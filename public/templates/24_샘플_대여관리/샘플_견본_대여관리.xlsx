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안내" sheetId="1" state="visible" r:id="rId3"/>
    <sheet name="대여처목록" sheetId="2" state="visible" r:id="rId4"/>
    <sheet name="품목목록" sheetId="3" state="visible" r:id="rId5"/>
    <sheet name="대여내역" sheetId="4" state="visible" r:id="rId6"/>
    <sheet name="반납내역" sheetId="5" state="visible" r:id="rId7"/>
    <sheet name="미반납현황" sheetId="6" state="visible" r:id="rId8"/>
    <sheet name="품목별현황" sheetId="7" state="visible" r:id="rId9"/>
    <sheet name="대여처별현황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<sst xmlns="http://schemas.openxmlformats.org/spreadsheetml/2006/main" count="116" uniqueCount="89">
  <si>
    <r>
      <rPr>
        <b val="true"/>
        <sz val="14"/>
        <color rgb="FFFFFFFF"/>
        <rFont val="Noto Sans CJK SC"/>
        <family val="2"/>
        <charset val="1"/>
      </rPr>
      <t xml:space="preserve">샘플 </t>
    </r>
    <r>
      <rPr>
        <b val="true"/>
        <sz val="14"/>
        <color rgb="FFFFFFFF"/>
        <rFont val="맑은 고딕"/>
        <family val="0"/>
        <charset val="1"/>
      </rPr>
      <t xml:space="preserve">· </t>
    </r>
    <r>
      <rPr>
        <b val="true"/>
        <sz val="14"/>
        <color rgb="FFFFFFFF"/>
        <rFont val="Noto Sans CJK SC"/>
        <family val="2"/>
        <charset val="1"/>
      </rPr>
      <t xml:space="preserve">견본 대여 관리</t>
    </r>
  </si>
  <si>
    <t xml:space="preserve">핵심</t>
  </si>
  <si>
    <r>
      <rPr>
        <sz val="10"/>
        <rFont val="Noto Sans CJK SC"/>
        <family val="2"/>
        <charset val="1"/>
      </rPr>
      <t xml:space="preserve">빌려준 수량에서 돌아온 수량을 빼면 아직 안 온 게 남습니다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며칠 지났는지도 자동으로 나옵니다</t>
    </r>
    <r>
      <rPr>
        <sz val="10"/>
        <rFont val="맑은 고딕"/>
        <family val="0"/>
        <charset val="1"/>
      </rPr>
      <t xml:space="preserve">.</t>
    </r>
  </si>
  <si>
    <t xml:space="preserve">입력 규칙</t>
  </si>
  <si>
    <r>
      <rPr>
        <sz val="10"/>
        <rFont val="Noto Sans CJK SC"/>
        <family val="2"/>
        <charset val="1"/>
      </rPr>
      <t xml:space="preserve">파란색 글씨 칸만 입력하세요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검은색은 자동 계산입니다</t>
    </r>
    <r>
      <rPr>
        <sz val="10"/>
        <rFont val="맑은 고딕"/>
        <family val="0"/>
        <charset val="1"/>
      </rPr>
      <t xml:space="preserve">.</t>
    </r>
  </si>
  <si>
    <t xml:space="preserve">① 대여처목록</t>
  </si>
  <si>
    <r>
      <rPr>
        <sz val="10"/>
        <rFont val="Noto Sans CJK SC"/>
        <family val="2"/>
        <charset val="1"/>
      </rPr>
      <t xml:space="preserve">샘플을 가져가는 거래처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부서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담당자를 등록합니다</t>
    </r>
    <r>
      <rPr>
        <sz val="10"/>
        <rFont val="맑은 고딕"/>
        <family val="0"/>
        <charset val="1"/>
      </rPr>
      <t xml:space="preserve">.</t>
    </r>
  </si>
  <si>
    <t xml:space="preserve">② 품목목록</t>
  </si>
  <si>
    <r>
      <rPr>
        <sz val="10"/>
        <rFont val="Noto Sans CJK SC"/>
        <family val="2"/>
        <charset val="1"/>
      </rPr>
      <t xml:space="preserve">빌려주는 샘플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견본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장비를 등록합니다</t>
    </r>
    <r>
      <rPr>
        <sz val="10"/>
        <rFont val="맑은 고딕"/>
        <family val="0"/>
        <charset val="1"/>
      </rPr>
      <t xml:space="preserve">.</t>
    </r>
  </si>
  <si>
    <t xml:space="preserve">③ 대여내역</t>
  </si>
  <si>
    <r>
      <rPr>
        <sz val="10"/>
        <rFont val="Noto Sans CJK SC"/>
        <family val="2"/>
        <charset val="1"/>
      </rPr>
      <t xml:space="preserve">빌려줄 때마다 한 줄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반납예정일을 넣으면 연체 여부가 자동으로 나옵니다</t>
    </r>
    <r>
      <rPr>
        <sz val="10"/>
        <rFont val="맑은 고딕"/>
        <family val="0"/>
        <charset val="1"/>
      </rPr>
      <t xml:space="preserve">.</t>
    </r>
  </si>
  <si>
    <t xml:space="preserve">④ 반납내역</t>
  </si>
  <si>
    <r>
      <rPr>
        <sz val="10"/>
        <rFont val="Noto Sans CJK SC"/>
        <family val="2"/>
        <charset val="1"/>
      </rPr>
      <t xml:space="preserve">돌아올 때마다 한 줄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나눠서 돌아와도 여러 줄로 넣으면 됩니다</t>
    </r>
    <r>
      <rPr>
        <sz val="10"/>
        <rFont val="맑은 고딕"/>
        <family val="0"/>
        <charset val="1"/>
      </rPr>
      <t xml:space="preserve">.</t>
    </r>
  </si>
  <si>
    <t xml:space="preserve">⑤ 미반납현황</t>
  </si>
  <si>
    <r>
      <rPr>
        <sz val="10"/>
        <rFont val="Noto Sans CJK SC"/>
        <family val="2"/>
        <charset val="1"/>
      </rPr>
      <t xml:space="preserve">아직 안 돌아온 것만 모아서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오래된 순으로 보여줍니다</t>
    </r>
    <r>
      <rPr>
        <sz val="10"/>
        <rFont val="맑은 고딕"/>
        <family val="0"/>
        <charset val="1"/>
      </rPr>
      <t xml:space="preserve">.</t>
    </r>
  </si>
  <si>
    <t xml:space="preserve">⑥ 품목별현황</t>
  </si>
  <si>
    <r>
      <rPr>
        <sz val="10"/>
        <rFont val="Noto Sans CJK SC"/>
        <family val="2"/>
        <charset val="1"/>
      </rPr>
      <t xml:space="preserve">품목별 총 대여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반납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미반납 수량입니다</t>
    </r>
    <r>
      <rPr>
        <sz val="10"/>
        <rFont val="맑은 고딕"/>
        <family val="0"/>
        <charset val="1"/>
      </rPr>
      <t xml:space="preserve">.</t>
    </r>
  </si>
  <si>
    <t xml:space="preserve">⑦ 대여처별현황</t>
  </si>
  <si>
    <r>
      <rPr>
        <sz val="10"/>
        <rFont val="Noto Sans CJK SC"/>
        <family val="2"/>
        <charset val="1"/>
      </rPr>
      <t xml:space="preserve">어느 거래처가 많이 안 돌려주는지 보여줍니다</t>
    </r>
    <r>
      <rPr>
        <sz val="10"/>
        <rFont val="맑은 고딕"/>
        <family val="0"/>
        <charset val="1"/>
      </rPr>
      <t xml:space="preserve">.</t>
    </r>
  </si>
  <si>
    <t xml:space="preserve">미반납 계산</t>
  </si>
  <si>
    <t xml:space="preserve">대여 수량 − 반납 수량 합계</t>
  </si>
  <si>
    <t xml:space="preserve">설정</t>
  </si>
  <si>
    <t xml:space="preserve">값을 바꾸면 모든 계산에 반영됩니다</t>
  </si>
  <si>
    <r>
      <rPr>
        <sz val="10"/>
        <rFont val="Noto Sans CJK SC"/>
        <family val="2"/>
        <charset val="1"/>
      </rPr>
      <t xml:space="preserve">연체 경고 기준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일</t>
    </r>
    <r>
      <rPr>
        <sz val="10"/>
        <rFont val="맑은 고딕"/>
        <family val="0"/>
        <charset val="1"/>
      </rPr>
      <t xml:space="preserve">)</t>
    </r>
  </si>
  <si>
    <t xml:space="preserve">대여처목록</t>
  </si>
  <si>
    <t xml:space="preserve">대여처</t>
  </si>
  <si>
    <t xml:space="preserve">담당자</t>
  </si>
  <si>
    <t xml:space="preserve">연락처</t>
  </si>
  <si>
    <t xml:space="preserve">비고</t>
  </si>
  <si>
    <t xml:space="preserve">○○상사</t>
  </si>
  <si>
    <t xml:space="preserve">김과장</t>
  </si>
  <si>
    <t xml:space="preserve">010-0000-0001</t>
  </si>
  <si>
    <t xml:space="preserve">△△디자인</t>
  </si>
  <si>
    <t xml:space="preserve">이대리</t>
  </si>
  <si>
    <t xml:space="preserve">010-0000-0002</t>
  </si>
  <si>
    <r>
      <rPr>
        <sz val="10"/>
        <color rgb="FF0000FF"/>
        <rFont val="Noto Sans CJK SC"/>
        <family val="2"/>
        <charset val="1"/>
      </rPr>
      <t xml:space="preserve">영업</t>
    </r>
    <r>
      <rPr>
        <sz val="10"/>
        <color rgb="FF0000FF"/>
        <rFont val="맑은 고딕"/>
        <family val="0"/>
        <charset val="1"/>
      </rPr>
      <t xml:space="preserve">2</t>
    </r>
    <r>
      <rPr>
        <sz val="10"/>
        <color rgb="FF0000FF"/>
        <rFont val="Noto Sans CJK SC"/>
        <family val="2"/>
        <charset val="1"/>
      </rPr>
      <t xml:space="preserve">팀</t>
    </r>
  </si>
  <si>
    <t xml:space="preserve">박주임</t>
  </si>
  <si>
    <r>
      <rPr>
        <sz val="10"/>
        <color rgb="FF0000FF"/>
        <rFont val="Noto Sans CJK SC"/>
        <family val="2"/>
        <charset val="1"/>
      </rPr>
      <t xml:space="preserve">내선 </t>
    </r>
    <r>
      <rPr>
        <sz val="10"/>
        <color rgb="FF0000FF"/>
        <rFont val="맑은 고딕"/>
        <family val="0"/>
        <charset val="1"/>
      </rPr>
      <t xml:space="preserve">204</t>
    </r>
  </si>
  <si>
    <t xml:space="preserve">품목목록</t>
  </si>
  <si>
    <t xml:space="preserve">품번</t>
  </si>
  <si>
    <t xml:space="preserve">품명</t>
  </si>
  <si>
    <t xml:space="preserve">규격</t>
  </si>
  <si>
    <t xml:space="preserve">단위</t>
  </si>
  <si>
    <t xml:space="preserve">보유수량</t>
  </si>
  <si>
    <t xml:space="preserve">S001</t>
  </si>
  <si>
    <r>
      <rPr>
        <sz val="10"/>
        <color rgb="FF0000FF"/>
        <rFont val="Noto Sans CJK SC"/>
        <family val="2"/>
        <charset val="1"/>
      </rPr>
      <t xml:space="preserve">원단 샘플북 </t>
    </r>
    <r>
      <rPr>
        <sz val="10"/>
        <color rgb="FF0000FF"/>
        <rFont val="맑은 고딕"/>
        <family val="0"/>
        <charset val="1"/>
      </rPr>
      <t xml:space="preserve">A</t>
    </r>
  </si>
  <si>
    <t xml:space="preserve">2026 S/S</t>
  </si>
  <si>
    <t xml:space="preserve">권</t>
  </si>
  <si>
    <t xml:space="preserve">S002</t>
  </si>
  <si>
    <t xml:space="preserve">컬러칩 세트</t>
  </si>
  <si>
    <t xml:space="preserve">표준</t>
  </si>
  <si>
    <t xml:space="preserve">세트</t>
  </si>
  <si>
    <t xml:space="preserve">S003</t>
  </si>
  <si>
    <t xml:space="preserve">시연용 노트북</t>
  </si>
  <si>
    <r>
      <rPr>
        <sz val="10"/>
        <color rgb="FF0000FF"/>
        <rFont val="맑은 고딕"/>
        <family val="0"/>
        <charset val="1"/>
      </rPr>
      <t xml:space="preserve">15</t>
    </r>
    <r>
      <rPr>
        <sz val="10"/>
        <color rgb="FF0000FF"/>
        <rFont val="Noto Sans CJK SC"/>
        <family val="2"/>
        <charset val="1"/>
      </rPr>
      <t xml:space="preserve">인치</t>
    </r>
  </si>
  <si>
    <t xml:space="preserve">대</t>
  </si>
  <si>
    <r>
      <rPr>
        <b val="true"/>
        <sz val="14"/>
        <color rgb="FFFFFFFF"/>
        <rFont val="Noto Sans CJK SC"/>
        <family val="2"/>
        <charset val="1"/>
      </rPr>
      <t xml:space="preserve">대여내역  </t>
    </r>
    <r>
      <rPr>
        <b val="true"/>
        <sz val="14"/>
        <color rgb="FFFFFFFF"/>
        <rFont val="맑은 고딕"/>
        <family val="0"/>
        <charset val="1"/>
      </rPr>
      <t xml:space="preserve">(</t>
    </r>
    <r>
      <rPr>
        <b val="true"/>
        <sz val="14"/>
        <color rgb="FFFFFFFF"/>
        <rFont val="Noto Sans CJK SC"/>
        <family val="2"/>
        <charset val="1"/>
      </rPr>
      <t xml:space="preserve">빌려줄 때마다 한 줄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</si>
  <si>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  <charset val="1"/>
      </rPr>
      <t xml:space="preserve">대여번호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  <charset val="1"/>
      </rPr>
      <t xml:space="preserve">자동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</si>
  <si>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대여일</t>
  </si>
  <si>
    <r>
      <rPr>
        <b val="true"/>
        <sz val="10"/>
        <color rgb="FFFFFFFF"/>
        <rFont val="Noto Sans CJK SC"/>
        <family val="2"/>
        <charset val="1"/>
      </rPr>
      <t xml:space="preserve">품명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  <charset val="1"/>
      </rPr>
      <t xml:space="preserve">자동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</si>
  <si>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  <charset val="1"/>
      </rPr>
      <t xml:space="preserve">단위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  <charset val="1"/>
      </rPr>
      <t xml:space="preserve">자동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</si>
  <si>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대여수량</t>
  </si>
  <si>
    <t xml:space="preserve">반납예정일</t>
  </si>
  <si>
    <r>
      <rPr>
        <b val="true"/>
        <sz val="10"/>
        <color rgb="FFFFFFFF"/>
        <rFont val="Noto Sans CJK SC"/>
        <family val="2"/>
        <charset val="1"/>
      </rPr>
      <t xml:space="preserve">반납수량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  <charset val="1"/>
      </rPr>
      <t xml:space="preserve">자동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</si>
  <si>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  <charset val="1"/>
      </rPr>
      <t xml:space="preserve">미반납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  <charset val="1"/>
      </rPr>
      <t xml:space="preserve">자동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</si>
  <si>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D-Day(</t>
    </r>
    <r>
      <rPr>
        <b val="true"/>
        <sz val="10"/>
        <color rgb="FFFFFFFF"/>
        <rFont val="Noto Sans CJK SC"/>
        <family val="2"/>
        <charset val="1"/>
      </rPr>
      <t xml:space="preserve">자동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</si>
  <si>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  <charset val="1"/>
      </rPr>
      <t xml:space="preserve">상태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  <charset val="1"/>
      </rPr>
      <t xml:space="preserve">자동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</si>
  <si>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4"/>
        <color rgb="FFFFFFFF"/>
        <rFont val="Noto Sans CJK SC"/>
        <family val="2"/>
        <charset val="1"/>
      </rPr>
      <t xml:space="preserve">반납내역  </t>
    </r>
    <r>
      <rPr>
        <b val="true"/>
        <sz val="14"/>
        <color rgb="FFFFFFFF"/>
        <rFont val="맑은 고딕"/>
        <family val="0"/>
        <charset val="1"/>
      </rPr>
      <t xml:space="preserve">(</t>
    </r>
    <r>
      <rPr>
        <b val="true"/>
        <sz val="14"/>
        <color rgb="FFFFFFFF"/>
        <rFont val="Noto Sans CJK SC"/>
        <family val="2"/>
        <charset val="1"/>
      </rPr>
      <t xml:space="preserve">나눠서 돌아와도 여러 줄로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</si>
  <si>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t xml:space="preserve">반납일</t>
  </si>
  <si>
    <t xml:space="preserve">대여번호</t>
  </si>
  <si>
    <t xml:space="preserve">반납수량</t>
  </si>
  <si>
    <t xml:space="preserve">상태</t>
  </si>
  <si>
    <t xml:space="preserve">260801-01</t>
  </si>
  <si>
    <t xml:space="preserve">정상</t>
  </si>
  <si>
    <t xml:space="preserve">260905-01</t>
  </si>
  <si>
    <t xml:space="preserve">미반납현황</t>
  </si>
  <si>
    <t xml:space="preserve">미반납 건수</t>
  </si>
  <si>
    <t xml:space="preserve">연체 건수</t>
  </si>
  <si>
    <t xml:space="preserve">미반납 수량</t>
  </si>
  <si>
    <t xml:space="preserve">순번</t>
  </si>
  <si>
    <t xml:space="preserve">미반납</t>
  </si>
  <si>
    <t xml:space="preserve">D-Day</t>
  </si>
  <si>
    <t xml:space="preserve">품목별현황</t>
  </si>
  <si>
    <t xml:space="preserve">대여중</t>
  </si>
  <si>
    <t xml:space="preserve">총 대여</t>
  </si>
  <si>
    <t xml:space="preserve">총 반납</t>
  </si>
  <si>
    <t xml:space="preserve">대여처별현황</t>
  </si>
  <si>
    <t xml:space="preserve">대여 건수</t>
  </si>
  <si>
    <t xml:space="preserve">반납률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</si>
</sst>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"/>
    <numFmt numFmtId="167" formatCode="yyyy\-mm\-dd"/>
    <numFmt numFmtId="168" formatCode="General"/>
    <numFmt numFmtId="169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  <charset val="1"/>
    </font>
    <font>
      <b val="true"/>
      <sz val="14"/>
      <color rgb="FFFFFFFF"/>
      <name val="맑은 고딕"/>
      <family val="0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sz val="10"/>
      <name val="맑은 고딕"/>
      <family val="0"/>
      <charset val="1"/>
    </font>
    <font>
      <b val="true"/>
      <sz val="10"/>
      <color rgb="FFFFFFFF"/>
      <name val="Noto Sans CJK SC"/>
      <family val="2"/>
      <charset val="1"/>
    </font>
    <font>
      <sz val="9"/>
      <color rgb="FF808080"/>
      <name val="Noto Sans CJK SC"/>
      <family val="2"/>
      <charset val="1"/>
    </font>
    <font>
      <sz val="10"/>
      <color rgb="FF0000FF"/>
      <name val="맑은 고딕"/>
      <family val="0"/>
      <charset val="1"/>
    </font>
    <font>
      <sz val="10"/>
      <color rgb="FF0000FF"/>
      <name val="Noto Sans CJK SC"/>
      <family val="2"/>
      <charset val="1"/>
    </font>
    <font>
      <b val="true"/>
      <sz val="10"/>
      <color rgb="FFFFFFFF"/>
      <name val="맑은 고딕"/>
      <family val="0"/>
      <charset val="1"/>
    </font>
    <font>
      <b val="true"/>
      <sz val="11"/>
      <name val="맑은 고딕"/>
      <family val="0"/>
      <charset val="1"/>
    </font>
    <font>
      <sz val="9"/>
      <color rgb="FF808080"/>
      <name val="맑은 고딕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B9A"/>
        <bgColor rgb="FF0066CC"/>
      </patternFill>
    </fill>
    <fill>
      <patternFill patternType="solid">
        <fgColor rgb="FFFFF2CC"/>
        <bgColor rgb="FFFCE4E4"/>
      </patternFill>
    </fill>
    <fill>
      <patternFill patternType="solid">
        <fgColor rgb="FF6B7A8F"/>
        <bgColor rgb="FF808080"/>
      </patternFill>
    </fill>
    <fill>
      <patternFill patternType="solid">
        <fgColor rgb="FFFCE4E4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2F2F2"/>
        </patternFill>
      </fill>
    </dxf>
    <dxf>
      <fill>
        <patternFill>
          <bgColor rgb="FFFCE4E4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B7A8F"/>
      <rgbColor rgb="FF969696"/>
      <rgbColor rgb="FF1F3864"/>
      <rgbColor rgb="FF339966"/>
      <rgbColor rgb="FF003300"/>
      <rgbColor rgb="FF333300"/>
      <rgbColor rgb="FF993300"/>
      <rgbColor rgb="FF993366"/>
      <rgbColor rgb="FF2E5B9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82"/>
  </cols>
  <sheetData>
    <row r="2" customFormat="false" ht="25.5" hidden="false" customHeight="true" outlineLevel="0" collapsed="false">
      <c r="B2" s="2" t="s">
        <v>0</v>
      </c>
      <c r="C2" s="2"/>
    </row>
    <row r="4" customFormat="false" ht="15" hidden="false" customHeight="false" outlineLevel="0" collapsed="false">
      <c r="B4" s="3" t="s">
        <v>1</v>
      </c>
      <c r="C4" s="4" t="s">
        <v>2</v>
      </c>
    </row>
    <row r="5" customFormat="false" ht="15" hidden="false" customHeight="false" outlineLevel="0" collapsed="false">
      <c r="B5" s="3" t="s">
        <v>3</v>
      </c>
      <c r="C5" s="4" t="s">
        <v>4</v>
      </c>
    </row>
    <row r="6" customFormat="false" ht="15" hidden="false" customHeight="false" outlineLevel="0" collapsed="false">
      <c r="B6" s="3" t="s">
        <v>5</v>
      </c>
      <c r="C6" s="4" t="s">
        <v>6</v>
      </c>
    </row>
    <row r="7" customFormat="false" ht="15" hidden="false" customHeight="false" outlineLevel="0" collapsed="false">
      <c r="B7" s="3" t="s">
        <v>7</v>
      </c>
      <c r="C7" s="4" t="s">
        <v>8</v>
      </c>
    </row>
    <row r="8" customFormat="false" ht="15" hidden="false" customHeight="false" outlineLevel="0" collapsed="false">
      <c r="B8" s="3" t="s">
        <v>9</v>
      </c>
      <c r="C8" s="4" t="s">
        <v>10</v>
      </c>
    </row>
    <row r="9" customFormat="false" ht="15" hidden="false" customHeight="false" outlineLevel="0" collapsed="false">
      <c r="B9" s="3" t="s">
        <v>11</v>
      </c>
      <c r="C9" s="4" t="s">
        <v>12</v>
      </c>
    </row>
    <row r="10" customFormat="false" ht="15" hidden="false" customHeight="false" outlineLevel="0" collapsed="false">
      <c r="B10" s="3" t="s">
        <v>13</v>
      </c>
      <c r="C10" s="4" t="s">
        <v>14</v>
      </c>
    </row>
    <row r="11" customFormat="false" ht="15" hidden="false" customHeight="false" outlineLevel="0" collapsed="false">
      <c r="B11" s="3" t="s">
        <v>15</v>
      </c>
      <c r="C11" s="4" t="s">
        <v>16</v>
      </c>
    </row>
    <row r="12" customFormat="false" ht="15" hidden="false" customHeight="false" outlineLevel="0" collapsed="false">
      <c r="B12" s="3" t="s">
        <v>17</v>
      </c>
      <c r="C12" s="4" t="s">
        <v>18</v>
      </c>
    </row>
    <row r="13" customFormat="false" ht="15" hidden="false" customHeight="false" outlineLevel="0" collapsed="false">
      <c r="B13" s="3" t="s">
        <v>19</v>
      </c>
      <c r="C13" s="4" t="s">
        <v>20</v>
      </c>
    </row>
    <row r="15" customFormat="false" ht="15" hidden="false" customHeight="false" outlineLevel="0" collapsed="false">
      <c r="B15" s="5" t="s">
        <v>21</v>
      </c>
      <c r="C15" s="6" t="s">
        <v>22</v>
      </c>
    </row>
    <row r="16" customFormat="false" ht="15" hidden="false" customHeight="false" outlineLevel="0" collapsed="false">
      <c r="B16" s="4" t="s">
        <v>23</v>
      </c>
      <c r="C16" s="7" t="n">
        <v>7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17"/>
    <col collapsed="false" customWidth="true" hidden="false" outlineLevel="0" max="4" min="4" style="1" width="24"/>
  </cols>
  <sheetData>
    <row r="1" customFormat="false" ht="25.5" hidden="false" customHeight="true" outlineLevel="0" collapsed="false">
      <c r="A1" s="2" t="s">
        <v>24</v>
      </c>
      <c r="B1" s="2"/>
      <c r="C1" s="2"/>
      <c r="D1" s="2"/>
    </row>
    <row r="2" customFormat="false" ht="15" hidden="false" customHeight="false" outlineLevel="0" collapsed="false">
      <c r="A2" s="8" t="s">
        <v>25</v>
      </c>
      <c r="B2" s="8" t="s">
        <v>26</v>
      </c>
      <c r="C2" s="8" t="s">
        <v>27</v>
      </c>
      <c r="D2" s="8" t="s">
        <v>28</v>
      </c>
    </row>
    <row r="3" customFormat="false" ht="15" hidden="false" customHeight="false" outlineLevel="0" collapsed="false">
      <c r="A3" s="9" t="s">
        <v>29</v>
      </c>
      <c r="B3" s="9" t="s">
        <v>30</v>
      </c>
      <c r="C3" s="10" t="s">
        <v>31</v>
      </c>
      <c r="D3" s="10"/>
    </row>
    <row r="4" customFormat="false" ht="15" hidden="false" customHeight="false" outlineLevel="0" collapsed="false">
      <c r="A4" s="9" t="s">
        <v>32</v>
      </c>
      <c r="B4" s="9" t="s">
        <v>33</v>
      </c>
      <c r="C4" s="10" t="s">
        <v>34</v>
      </c>
      <c r="D4" s="10"/>
    </row>
    <row r="5" customFormat="false" ht="15" hidden="false" customHeight="false" outlineLevel="0" collapsed="false">
      <c r="A5" s="9" t="s">
        <v>35</v>
      </c>
      <c r="B5" s="9" t="s">
        <v>36</v>
      </c>
      <c r="C5" s="9" t="s">
        <v>37</v>
      </c>
      <c r="D5" s="10"/>
    </row>
    <row r="6" customFormat="false" ht="15" hidden="false" customHeight="false" outlineLevel="0" collapsed="false">
      <c r="A6" s="10"/>
      <c r="B6" s="10"/>
      <c r="C6" s="10"/>
      <c r="D6" s="10"/>
    </row>
    <row r="7" customFormat="false" ht="15" hidden="false" customHeight="false" outlineLevel="0" collapsed="false">
      <c r="A7" s="10"/>
      <c r="B7" s="10"/>
      <c r="C7" s="10"/>
      <c r="D7" s="10"/>
    </row>
    <row r="8" customFormat="false" ht="15" hidden="false" customHeight="false" outlineLevel="0" collapsed="false">
      <c r="A8" s="10"/>
      <c r="B8" s="10"/>
      <c r="C8" s="10"/>
      <c r="D8" s="10"/>
    </row>
    <row r="9" customFormat="false" ht="15" hidden="false" customHeight="false" outlineLevel="0" collapsed="false">
      <c r="A9" s="10"/>
      <c r="B9" s="10"/>
      <c r="C9" s="10"/>
      <c r="D9" s="10"/>
    </row>
    <row r="10" customFormat="false" ht="15" hidden="false" customHeight="false" outlineLevel="0" collapsed="false">
      <c r="A10" s="10"/>
      <c r="B10" s="10"/>
      <c r="C10" s="10"/>
      <c r="D10" s="10"/>
    </row>
    <row r="11" customFormat="false" ht="15" hidden="false" customHeight="false" outlineLevel="0" collapsed="false">
      <c r="A11" s="10"/>
      <c r="B11" s="10"/>
      <c r="C11" s="10"/>
      <c r="D11" s="10"/>
    </row>
    <row r="12" customFormat="false" ht="15" hidden="false" customHeight="false" outlineLevel="0" collapsed="false">
      <c r="A12" s="10"/>
      <c r="B12" s="10"/>
      <c r="C12" s="10"/>
      <c r="D12" s="10"/>
    </row>
    <row r="13" customFormat="false" ht="15" hidden="false" customHeight="false" outlineLevel="0" collapsed="false">
      <c r="A13" s="10"/>
      <c r="B13" s="10"/>
      <c r="C13" s="10"/>
      <c r="D13" s="10"/>
    </row>
    <row r="14" customFormat="false" ht="15" hidden="false" customHeight="false" outlineLevel="0" collapsed="false">
      <c r="A14" s="10"/>
      <c r="B14" s="10"/>
      <c r="C14" s="10"/>
      <c r="D14" s="10"/>
    </row>
    <row r="15" customFormat="false" ht="15" hidden="false" customHeight="false" outlineLevel="0" collapsed="false">
      <c r="A15" s="10"/>
      <c r="B15" s="10"/>
      <c r="C15" s="10"/>
      <c r="D15" s="10"/>
    </row>
    <row r="16" customFormat="false" ht="15" hidden="false" customHeight="false" outlineLevel="0" collapsed="false">
      <c r="A16" s="10"/>
      <c r="B16" s="10"/>
      <c r="C16" s="10"/>
      <c r="D16" s="10"/>
    </row>
    <row r="17" customFormat="false" ht="15" hidden="false" customHeight="false" outlineLevel="0" collapsed="false">
      <c r="A17" s="10"/>
      <c r="B17" s="10"/>
      <c r="C17" s="10"/>
      <c r="D17" s="10"/>
    </row>
    <row r="18" customFormat="false" ht="15" hidden="false" customHeight="false" outlineLevel="0" collapsed="false">
      <c r="A18" s="10"/>
      <c r="B18" s="10"/>
      <c r="C18" s="10"/>
      <c r="D18" s="10"/>
    </row>
    <row r="19" customFormat="false" ht="15" hidden="false" customHeight="false" outlineLevel="0" collapsed="false">
      <c r="A19" s="10"/>
      <c r="B19" s="10"/>
      <c r="C19" s="10"/>
      <c r="D19" s="10"/>
    </row>
    <row r="20" customFormat="false" ht="15" hidden="false" customHeight="false" outlineLevel="0" collapsed="false">
      <c r="A20" s="10"/>
      <c r="B20" s="10"/>
      <c r="C20" s="10"/>
      <c r="D20" s="10"/>
    </row>
    <row r="21" customFormat="false" ht="15" hidden="false" customHeight="false" outlineLevel="0" collapsed="false">
      <c r="A21" s="10"/>
      <c r="B21" s="10"/>
      <c r="C21" s="10"/>
      <c r="D21" s="10"/>
    </row>
    <row r="22" customFormat="false" ht="15" hidden="false" customHeight="false" outlineLevel="0" collapsed="false">
      <c r="A22" s="10"/>
      <c r="B22" s="10"/>
      <c r="C22" s="10"/>
      <c r="D22" s="10"/>
    </row>
    <row r="23" customFormat="false" ht="15" hidden="false" customHeight="false" outlineLevel="0" collapsed="false">
      <c r="A23" s="10"/>
      <c r="B23" s="10"/>
      <c r="C23" s="10"/>
      <c r="D23" s="10"/>
    </row>
    <row r="24" customFormat="false" ht="15" hidden="false" customHeight="false" outlineLevel="0" collapsed="false">
      <c r="A24" s="10"/>
      <c r="B24" s="10"/>
      <c r="C24" s="10"/>
      <c r="D24" s="10"/>
    </row>
    <row r="25" customFormat="false" ht="15" hidden="false" customHeight="false" outlineLevel="0" collapsed="false">
      <c r="A25" s="10"/>
      <c r="B25" s="10"/>
      <c r="C25" s="10"/>
      <c r="D25" s="10"/>
    </row>
    <row r="26" customFormat="false" ht="15" hidden="false" customHeight="false" outlineLevel="0" collapsed="false">
      <c r="A26" s="10"/>
      <c r="B26" s="10"/>
      <c r="C26" s="10"/>
      <c r="D26" s="10"/>
    </row>
    <row r="27" customFormat="false" ht="15" hidden="false" customHeight="false" outlineLevel="0" collapsed="false">
      <c r="A27" s="10"/>
      <c r="B27" s="10"/>
      <c r="C27" s="10"/>
      <c r="D27" s="10"/>
    </row>
    <row r="28" customFormat="false" ht="15" hidden="false" customHeight="false" outlineLevel="0" collapsed="false">
      <c r="A28" s="10"/>
      <c r="B28" s="10"/>
      <c r="C28" s="10"/>
      <c r="D28" s="10"/>
    </row>
    <row r="29" customFormat="false" ht="15" hidden="false" customHeight="false" outlineLevel="0" collapsed="false">
      <c r="A29" s="10"/>
      <c r="B29" s="10"/>
      <c r="C29" s="10"/>
      <c r="D29" s="10"/>
    </row>
    <row r="30" customFormat="false" ht="15" hidden="false" customHeight="false" outlineLevel="0" collapsed="false">
      <c r="A30" s="10"/>
      <c r="B30" s="10"/>
      <c r="C30" s="10"/>
      <c r="D30" s="10"/>
    </row>
    <row r="31" customFormat="false" ht="15" hidden="false" customHeight="false" outlineLevel="0" collapsed="false">
      <c r="A31" s="10"/>
      <c r="B31" s="10"/>
      <c r="C31" s="10"/>
      <c r="D31" s="10"/>
    </row>
    <row r="32" customFormat="false" ht="15" hidden="false" customHeight="false" outlineLevel="0" collapsed="false">
      <c r="A32" s="10"/>
      <c r="B32" s="10"/>
      <c r="C32" s="10"/>
      <c r="D32" s="10"/>
    </row>
    <row r="33" customFormat="false" ht="15" hidden="false" customHeight="false" outlineLevel="0" collapsed="false">
      <c r="A33" s="10"/>
      <c r="B33" s="10"/>
      <c r="C33" s="10"/>
      <c r="D33" s="10"/>
    </row>
    <row r="34" customFormat="false" ht="15" hidden="false" customHeight="false" outlineLevel="0" collapsed="false">
      <c r="A34" s="10"/>
      <c r="B34" s="10"/>
      <c r="C34" s="10"/>
      <c r="D34" s="10"/>
    </row>
    <row r="35" customFormat="false" ht="15" hidden="false" customHeight="false" outlineLevel="0" collapsed="false">
      <c r="A35" s="10"/>
      <c r="B35" s="10"/>
      <c r="C35" s="10"/>
      <c r="D35" s="10"/>
    </row>
    <row r="36" customFormat="false" ht="15" hidden="false" customHeight="false" outlineLevel="0" collapsed="false">
      <c r="A36" s="10"/>
      <c r="B36" s="10"/>
      <c r="C36" s="10"/>
      <c r="D36" s="10"/>
    </row>
    <row r="37" customFormat="false" ht="15" hidden="false" customHeight="false" outlineLevel="0" collapsed="false">
      <c r="A37" s="10"/>
      <c r="B37" s="10"/>
      <c r="C37" s="10"/>
      <c r="D37" s="10"/>
    </row>
    <row r="38" customFormat="false" ht="15" hidden="false" customHeight="false" outlineLevel="0" collapsed="false">
      <c r="A38" s="10"/>
      <c r="B38" s="10"/>
      <c r="C38" s="10"/>
      <c r="D38" s="10"/>
    </row>
    <row r="39" customFormat="false" ht="15" hidden="false" customHeight="false" outlineLevel="0" collapsed="false">
      <c r="A39" s="10"/>
      <c r="B39" s="10"/>
      <c r="C39" s="10"/>
      <c r="D39" s="10"/>
    </row>
    <row r="40" customFormat="false" ht="15" hidden="false" customHeight="false" outlineLevel="0" collapsed="false">
      <c r="A40" s="10"/>
      <c r="B40" s="10"/>
      <c r="C40" s="10"/>
      <c r="D40" s="10"/>
    </row>
    <row r="41" customFormat="false" ht="15" hidden="false" customHeight="false" outlineLevel="0" collapsed="false">
      <c r="A41" s="10"/>
      <c r="B41" s="10"/>
      <c r="C41" s="10"/>
      <c r="D41" s="10"/>
    </row>
    <row r="42" customFormat="false" ht="15" hidden="false" customHeight="false" outlineLevel="0" collapsed="false">
      <c r="A42" s="10"/>
      <c r="B42" s="10"/>
      <c r="C42" s="10"/>
      <c r="D42" s="10"/>
    </row>
    <row r="43" customFormat="false" ht="15" hidden="false" customHeight="false" outlineLevel="0" collapsed="false">
      <c r="A43" s="10"/>
      <c r="B43" s="10"/>
      <c r="C43" s="10"/>
      <c r="D43" s="10"/>
    </row>
    <row r="44" customFormat="false" ht="15" hidden="false" customHeight="false" outlineLevel="0" collapsed="false">
      <c r="A44" s="10"/>
      <c r="B44" s="10"/>
      <c r="C44" s="10"/>
      <c r="D44" s="10"/>
    </row>
    <row r="45" customFormat="false" ht="15" hidden="false" customHeight="false" outlineLevel="0" collapsed="false">
      <c r="A45" s="10"/>
      <c r="B45" s="10"/>
      <c r="C45" s="10"/>
      <c r="D45" s="10"/>
    </row>
    <row r="46" customFormat="false" ht="15" hidden="false" customHeight="false" outlineLevel="0" collapsed="false">
      <c r="A46" s="10"/>
      <c r="B46" s="10"/>
      <c r="C46" s="10"/>
      <c r="D46" s="10"/>
    </row>
    <row r="47" customFormat="false" ht="15" hidden="false" customHeight="false" outlineLevel="0" collapsed="false">
      <c r="A47" s="10"/>
      <c r="B47" s="10"/>
      <c r="C47" s="10"/>
      <c r="D47" s="10"/>
    </row>
    <row r="48" customFormat="false" ht="15" hidden="false" customHeight="false" outlineLevel="0" collapsed="false">
      <c r="A48" s="10"/>
      <c r="B48" s="10"/>
      <c r="C48" s="10"/>
      <c r="D48" s="10"/>
    </row>
    <row r="49" customFormat="false" ht="15" hidden="false" customHeight="false" outlineLevel="0" collapsed="false">
      <c r="A49" s="10"/>
      <c r="B49" s="10"/>
      <c r="C49" s="10"/>
      <c r="D49" s="10"/>
    </row>
    <row r="50" customFormat="false" ht="15" hidden="false" customHeight="false" outlineLevel="0" collapsed="false">
      <c r="A50" s="10"/>
      <c r="B50" s="10"/>
      <c r="C50" s="10"/>
      <c r="D50" s="10"/>
    </row>
    <row r="51" customFormat="false" ht="15" hidden="false" customHeight="false" outlineLevel="0" collapsed="false">
      <c r="A51" s="10"/>
      <c r="B51" s="10"/>
      <c r="C51" s="10"/>
      <c r="D51" s="10"/>
    </row>
    <row r="52" customFormat="false" ht="15" hidden="false" customHeight="false" outlineLevel="0" collapsed="false">
      <c r="A52" s="10"/>
      <c r="B52" s="10"/>
      <c r="C52" s="10"/>
      <c r="D52" s="10"/>
    </row>
    <row r="53" customFormat="false" ht="15" hidden="false" customHeight="false" outlineLevel="0" collapsed="false">
      <c r="A53" s="10"/>
      <c r="B53" s="10"/>
      <c r="C53" s="10"/>
      <c r="D53" s="10"/>
    </row>
    <row r="54" customFormat="false" ht="15" hidden="false" customHeight="false" outlineLevel="0" collapsed="false">
      <c r="A54" s="10"/>
      <c r="B54" s="10"/>
      <c r="C54" s="10"/>
      <c r="D54" s="10"/>
    </row>
    <row r="55" customFormat="false" ht="15" hidden="false" customHeight="false" outlineLevel="0" collapsed="false">
      <c r="A55" s="10"/>
      <c r="B55" s="10"/>
      <c r="C55" s="10"/>
      <c r="D55" s="10"/>
    </row>
    <row r="56" customFormat="false" ht="15" hidden="false" customHeight="false" outlineLevel="0" collapsed="false">
      <c r="A56" s="10"/>
      <c r="B56" s="10"/>
      <c r="C56" s="10"/>
      <c r="D56" s="10"/>
    </row>
    <row r="57" customFormat="false" ht="15" hidden="false" customHeight="false" outlineLevel="0" collapsed="false">
      <c r="A57" s="10"/>
      <c r="B57" s="10"/>
      <c r="C57" s="10"/>
      <c r="D57" s="10"/>
    </row>
    <row r="58" customFormat="false" ht="15" hidden="false" customHeight="false" outlineLevel="0" collapsed="false">
      <c r="A58" s="10"/>
      <c r="B58" s="10"/>
      <c r="C58" s="10"/>
      <c r="D58" s="10"/>
    </row>
    <row r="59" customFormat="false" ht="15" hidden="false" customHeight="false" outlineLevel="0" collapsed="false">
      <c r="A59" s="10"/>
      <c r="B59" s="10"/>
      <c r="C59" s="10"/>
      <c r="D59" s="10"/>
    </row>
    <row r="60" customFormat="false" ht="15" hidden="false" customHeight="false" outlineLevel="0" collapsed="false">
      <c r="A60" s="10"/>
      <c r="B60" s="10"/>
      <c r="C60" s="10"/>
      <c r="D60" s="10"/>
    </row>
    <row r="61" customFormat="false" ht="15" hidden="false" customHeight="false" outlineLevel="0" collapsed="false">
      <c r="A61" s="10"/>
      <c r="B61" s="10"/>
      <c r="C61" s="10"/>
      <c r="D61" s="10"/>
    </row>
    <row r="62" customFormat="false" ht="15" hidden="false" customHeight="false" outlineLevel="0" collapsed="false">
      <c r="A62" s="10"/>
      <c r="B62" s="10"/>
      <c r="C62" s="10"/>
      <c r="D62" s="10"/>
    </row>
    <row r="63" customFormat="false" ht="15" hidden="false" customHeight="false" outlineLevel="0" collapsed="false">
      <c r="A63" s="10"/>
      <c r="B63" s="10"/>
      <c r="C63" s="10"/>
      <c r="D63" s="10"/>
    </row>
    <row r="64" customFormat="false" ht="15" hidden="false" customHeight="false" outlineLevel="0" collapsed="false">
      <c r="A64" s="10"/>
      <c r="B64" s="10"/>
      <c r="C64" s="10"/>
      <c r="D64" s="10"/>
    </row>
    <row r="65" customFormat="false" ht="15" hidden="false" customHeight="false" outlineLevel="0" collapsed="false">
      <c r="A65" s="10"/>
      <c r="B65" s="10"/>
      <c r="C65" s="10"/>
      <c r="D65" s="10"/>
    </row>
    <row r="66" customFormat="false" ht="15" hidden="false" customHeight="false" outlineLevel="0" collapsed="false">
      <c r="A66" s="10"/>
      <c r="B66" s="10"/>
      <c r="C66" s="10"/>
      <c r="D66" s="10"/>
    </row>
    <row r="67" customFormat="false" ht="15" hidden="false" customHeight="false" outlineLevel="0" collapsed="false">
      <c r="A67" s="10"/>
      <c r="B67" s="10"/>
      <c r="C67" s="10"/>
      <c r="D67" s="10"/>
    </row>
    <row r="68" customFormat="false" ht="15" hidden="false" customHeight="false" outlineLevel="0" collapsed="false">
      <c r="A68" s="10"/>
      <c r="B68" s="10"/>
      <c r="C68" s="10"/>
      <c r="D68" s="10"/>
    </row>
    <row r="69" customFormat="false" ht="15" hidden="false" customHeight="false" outlineLevel="0" collapsed="false">
      <c r="A69" s="10"/>
      <c r="B69" s="10"/>
      <c r="C69" s="10"/>
      <c r="D69" s="10"/>
    </row>
    <row r="70" customFormat="false" ht="15" hidden="false" customHeight="false" outlineLevel="0" collapsed="false">
      <c r="A70" s="10"/>
      <c r="B70" s="10"/>
      <c r="C70" s="10"/>
      <c r="D70" s="10"/>
    </row>
    <row r="71" customFormat="false" ht="15" hidden="false" customHeight="false" outlineLevel="0" collapsed="false">
      <c r="A71" s="10"/>
      <c r="B71" s="10"/>
      <c r="C71" s="10"/>
      <c r="D71" s="10"/>
    </row>
    <row r="72" customFormat="false" ht="15" hidden="false" customHeight="false" outlineLevel="0" collapsed="false">
      <c r="A72" s="10"/>
      <c r="B72" s="10"/>
      <c r="C72" s="10"/>
      <c r="D72" s="10"/>
    </row>
    <row r="73" customFormat="false" ht="15" hidden="false" customHeight="false" outlineLevel="0" collapsed="false">
      <c r="A73" s="10"/>
      <c r="B73" s="10"/>
      <c r="C73" s="10"/>
      <c r="D73" s="10"/>
    </row>
    <row r="74" customFormat="false" ht="15" hidden="false" customHeight="false" outlineLevel="0" collapsed="false">
      <c r="A74" s="10"/>
      <c r="B74" s="10"/>
      <c r="C74" s="10"/>
      <c r="D74" s="10"/>
    </row>
    <row r="75" customFormat="false" ht="15" hidden="false" customHeight="false" outlineLevel="0" collapsed="false">
      <c r="A75" s="10"/>
      <c r="B75" s="10"/>
      <c r="C75" s="10"/>
      <c r="D75" s="10"/>
    </row>
    <row r="76" customFormat="false" ht="15" hidden="false" customHeight="false" outlineLevel="0" collapsed="false">
      <c r="A76" s="10"/>
      <c r="B76" s="10"/>
      <c r="C76" s="10"/>
      <c r="D76" s="10"/>
    </row>
    <row r="77" customFormat="false" ht="15" hidden="false" customHeight="false" outlineLevel="0" collapsed="false">
      <c r="A77" s="10"/>
      <c r="B77" s="10"/>
      <c r="C77" s="10"/>
      <c r="D77" s="10"/>
    </row>
    <row r="78" customFormat="false" ht="15" hidden="false" customHeight="false" outlineLevel="0" collapsed="false">
      <c r="A78" s="10"/>
      <c r="B78" s="10"/>
      <c r="C78" s="10"/>
      <c r="D78" s="10"/>
    </row>
    <row r="79" customFormat="false" ht="15" hidden="false" customHeight="false" outlineLevel="0" collapsed="false">
      <c r="A79" s="10"/>
      <c r="B79" s="10"/>
      <c r="C79" s="10"/>
      <c r="D79" s="10"/>
    </row>
    <row r="80" customFormat="false" ht="15" hidden="false" customHeight="false" outlineLevel="0" collapsed="false">
      <c r="A80" s="10"/>
      <c r="B80" s="10"/>
      <c r="C80" s="10"/>
      <c r="D80" s="10"/>
    </row>
    <row r="81" customFormat="false" ht="15" hidden="false" customHeight="false" outlineLevel="0" collapsed="false">
      <c r="A81" s="10"/>
      <c r="B81" s="10"/>
      <c r="C81" s="10"/>
      <c r="D81" s="10"/>
    </row>
    <row r="82" customFormat="false" ht="15" hidden="false" customHeight="false" outlineLevel="0" collapsed="false">
      <c r="A82" s="10"/>
      <c r="B82" s="10"/>
      <c r="C82" s="10"/>
      <c r="D82" s="10"/>
    </row>
    <row r="83" customFormat="false" ht="15" hidden="false" customHeight="false" outlineLevel="0" collapsed="false">
      <c r="A83" s="10"/>
      <c r="B83" s="10"/>
      <c r="C83" s="10"/>
      <c r="D83" s="10"/>
    </row>
    <row r="84" customFormat="false" ht="15" hidden="false" customHeight="false" outlineLevel="0" collapsed="false">
      <c r="A84" s="10"/>
      <c r="B84" s="10"/>
      <c r="C84" s="10"/>
      <c r="D84" s="10"/>
    </row>
    <row r="85" customFormat="false" ht="15" hidden="false" customHeight="false" outlineLevel="0" collapsed="false">
      <c r="A85" s="10"/>
      <c r="B85" s="10"/>
      <c r="C85" s="10"/>
      <c r="D85" s="10"/>
    </row>
    <row r="86" customFormat="false" ht="15" hidden="false" customHeight="false" outlineLevel="0" collapsed="false">
      <c r="A86" s="10"/>
      <c r="B86" s="10"/>
      <c r="C86" s="10"/>
      <c r="D86" s="10"/>
    </row>
    <row r="87" customFormat="false" ht="15" hidden="false" customHeight="false" outlineLevel="0" collapsed="false">
      <c r="A87" s="10"/>
      <c r="B87" s="10"/>
      <c r="C87" s="10"/>
      <c r="D87" s="10"/>
    </row>
    <row r="88" customFormat="false" ht="15" hidden="false" customHeight="false" outlineLevel="0" collapsed="false">
      <c r="A88" s="10"/>
      <c r="B88" s="10"/>
      <c r="C88" s="10"/>
      <c r="D88" s="10"/>
    </row>
    <row r="89" customFormat="false" ht="15" hidden="false" customHeight="false" outlineLevel="0" collapsed="false">
      <c r="A89" s="10"/>
      <c r="B89" s="10"/>
      <c r="C89" s="10"/>
      <c r="D89" s="10"/>
    </row>
    <row r="90" customFormat="false" ht="15" hidden="false" customHeight="false" outlineLevel="0" collapsed="false">
      <c r="A90" s="10"/>
      <c r="B90" s="10"/>
      <c r="C90" s="10"/>
      <c r="D90" s="10"/>
    </row>
    <row r="91" customFormat="false" ht="15" hidden="false" customHeight="false" outlineLevel="0" collapsed="false">
      <c r="A91" s="10"/>
      <c r="B91" s="10"/>
      <c r="C91" s="10"/>
      <c r="D91" s="10"/>
    </row>
    <row r="92" customFormat="false" ht="15" hidden="false" customHeight="false" outlineLevel="0" collapsed="false">
      <c r="A92" s="10"/>
      <c r="B92" s="10"/>
      <c r="C92" s="10"/>
      <c r="D92" s="10"/>
    </row>
    <row r="93" customFormat="false" ht="15" hidden="false" customHeight="false" outlineLevel="0" collapsed="false">
      <c r="A93" s="10"/>
      <c r="B93" s="10"/>
      <c r="C93" s="10"/>
      <c r="D93" s="10"/>
    </row>
    <row r="94" customFormat="false" ht="15" hidden="false" customHeight="false" outlineLevel="0" collapsed="false">
      <c r="A94" s="10"/>
      <c r="B94" s="10"/>
      <c r="C94" s="10"/>
      <c r="D94" s="10"/>
    </row>
    <row r="95" customFormat="false" ht="15" hidden="false" customHeight="false" outlineLevel="0" collapsed="false">
      <c r="A95" s="10"/>
      <c r="B95" s="10"/>
      <c r="C95" s="10"/>
      <c r="D95" s="10"/>
    </row>
    <row r="96" customFormat="false" ht="15" hidden="false" customHeight="false" outlineLevel="0" collapsed="false">
      <c r="A96" s="10"/>
      <c r="B96" s="10"/>
      <c r="C96" s="10"/>
      <c r="D96" s="10"/>
    </row>
    <row r="97" customFormat="false" ht="15" hidden="false" customHeight="false" outlineLevel="0" collapsed="false">
      <c r="A97" s="10"/>
      <c r="B97" s="10"/>
      <c r="C97" s="10"/>
      <c r="D97" s="10"/>
    </row>
    <row r="98" customFormat="false" ht="15" hidden="false" customHeight="false" outlineLevel="0" collapsed="false">
      <c r="A98" s="10"/>
      <c r="B98" s="10"/>
      <c r="C98" s="10"/>
      <c r="D98" s="10"/>
    </row>
    <row r="99" customFormat="false" ht="15" hidden="false" customHeight="false" outlineLevel="0" collapsed="false">
      <c r="A99" s="10"/>
      <c r="B99" s="10"/>
      <c r="C99" s="10"/>
      <c r="D99" s="10"/>
    </row>
    <row r="100" customFormat="false" ht="15" hidden="false" customHeight="false" outlineLevel="0" collapsed="false">
      <c r="A100" s="10"/>
      <c r="B100" s="10"/>
      <c r="C100" s="10"/>
      <c r="D100" s="10"/>
    </row>
    <row r="101" customFormat="false" ht="15" hidden="false" customHeight="false" outlineLevel="0" collapsed="false">
      <c r="A101" s="10"/>
      <c r="B101" s="10"/>
      <c r="C101" s="10"/>
      <c r="D101" s="10"/>
    </row>
    <row r="102" customFormat="false" ht="15" hidden="false" customHeight="false" outlineLevel="0" collapsed="false">
      <c r="A102" s="10"/>
      <c r="B102" s="10"/>
      <c r="C102" s="10"/>
      <c r="D102" s="10"/>
    </row>
    <row r="103" customFormat="false" ht="15" hidden="false" customHeight="false" outlineLevel="0" collapsed="false">
      <c r="A103" s="10"/>
      <c r="B103" s="10"/>
      <c r="C103" s="10"/>
      <c r="D103" s="10"/>
    </row>
    <row r="104" customFormat="false" ht="15" hidden="false" customHeight="false" outlineLevel="0" collapsed="false">
      <c r="A104" s="10"/>
      <c r="B104" s="10"/>
      <c r="C104" s="10"/>
      <c r="D104" s="10"/>
    </row>
    <row r="105" customFormat="false" ht="15" hidden="false" customHeight="false" outlineLevel="0" collapsed="false">
      <c r="A105" s="10"/>
      <c r="B105" s="10"/>
      <c r="C105" s="10"/>
      <c r="D105" s="10"/>
    </row>
    <row r="106" customFormat="false" ht="15" hidden="false" customHeight="false" outlineLevel="0" collapsed="false">
      <c r="A106" s="10"/>
      <c r="B106" s="10"/>
      <c r="C106" s="10"/>
      <c r="D106" s="10"/>
    </row>
    <row r="107" customFormat="false" ht="15" hidden="false" customHeight="false" outlineLevel="0" collapsed="false">
      <c r="A107" s="10"/>
      <c r="B107" s="10"/>
      <c r="C107" s="10"/>
      <c r="D107" s="10"/>
    </row>
    <row r="108" customFormat="false" ht="15" hidden="false" customHeight="false" outlineLevel="0" collapsed="false">
      <c r="A108" s="10"/>
      <c r="B108" s="10"/>
      <c r="C108" s="10"/>
      <c r="D108" s="10"/>
    </row>
    <row r="109" customFormat="false" ht="15" hidden="false" customHeight="false" outlineLevel="0" collapsed="false">
      <c r="A109" s="10"/>
      <c r="B109" s="10"/>
      <c r="C109" s="10"/>
      <c r="D109" s="10"/>
    </row>
    <row r="110" customFormat="false" ht="15" hidden="false" customHeight="false" outlineLevel="0" collapsed="false">
      <c r="A110" s="10"/>
      <c r="B110" s="10"/>
      <c r="C110" s="10"/>
      <c r="D110" s="10"/>
    </row>
    <row r="111" customFormat="false" ht="15" hidden="false" customHeight="false" outlineLevel="0" collapsed="false">
      <c r="A111" s="10"/>
      <c r="B111" s="10"/>
      <c r="C111" s="10"/>
      <c r="D111" s="10"/>
    </row>
    <row r="112" customFormat="false" ht="15" hidden="false" customHeight="false" outlineLevel="0" collapsed="false">
      <c r="A112" s="10"/>
      <c r="B112" s="10"/>
      <c r="C112" s="10"/>
      <c r="D112" s="10"/>
    </row>
    <row r="113" customFormat="false" ht="15" hidden="false" customHeight="false" outlineLevel="0" collapsed="false">
      <c r="A113" s="10"/>
      <c r="B113" s="10"/>
      <c r="C113" s="10"/>
      <c r="D113" s="10"/>
    </row>
    <row r="114" customFormat="false" ht="15" hidden="false" customHeight="false" outlineLevel="0" collapsed="false">
      <c r="A114" s="10"/>
      <c r="B114" s="10"/>
      <c r="C114" s="10"/>
      <c r="D114" s="10"/>
    </row>
    <row r="115" customFormat="false" ht="15" hidden="false" customHeight="false" outlineLevel="0" collapsed="false">
      <c r="A115" s="10"/>
      <c r="B115" s="10"/>
      <c r="C115" s="10"/>
      <c r="D115" s="10"/>
    </row>
    <row r="116" customFormat="false" ht="15" hidden="false" customHeight="false" outlineLevel="0" collapsed="false">
      <c r="A116" s="10"/>
      <c r="B116" s="10"/>
      <c r="C116" s="10"/>
      <c r="D116" s="10"/>
    </row>
    <row r="117" customFormat="false" ht="15" hidden="false" customHeight="false" outlineLevel="0" collapsed="false">
      <c r="A117" s="10"/>
      <c r="B117" s="10"/>
      <c r="C117" s="10"/>
      <c r="D117" s="10"/>
    </row>
    <row r="118" customFormat="false" ht="15" hidden="false" customHeight="false" outlineLevel="0" collapsed="false">
      <c r="A118" s="10"/>
      <c r="B118" s="10"/>
      <c r="C118" s="10"/>
      <c r="D118" s="10"/>
    </row>
    <row r="119" customFormat="false" ht="15" hidden="false" customHeight="false" outlineLevel="0" collapsed="false">
      <c r="A119" s="10"/>
      <c r="B119" s="10"/>
      <c r="C119" s="10"/>
      <c r="D119" s="10"/>
    </row>
    <row r="120" customFormat="false" ht="15" hidden="false" customHeight="false" outlineLevel="0" collapsed="false">
      <c r="A120" s="10"/>
      <c r="B120" s="10"/>
      <c r="C120" s="10"/>
      <c r="D120" s="10"/>
    </row>
    <row r="121" customFormat="false" ht="15" hidden="false" customHeight="false" outlineLevel="0" collapsed="false">
      <c r="A121" s="10"/>
      <c r="B121" s="10"/>
      <c r="C121" s="10"/>
      <c r="D121" s="10"/>
    </row>
    <row r="122" customFormat="false" ht="15" hidden="false" customHeight="false" outlineLevel="0" collapsed="false">
      <c r="A122" s="10"/>
      <c r="B122" s="10"/>
      <c r="C122" s="10"/>
      <c r="D122" s="10"/>
    </row>
    <row r="123" customFormat="false" ht="15" hidden="false" customHeight="false" outlineLevel="0" collapsed="false">
      <c r="A123" s="10"/>
      <c r="B123" s="10"/>
      <c r="C123" s="10"/>
      <c r="D123" s="10"/>
    </row>
    <row r="124" customFormat="false" ht="15" hidden="false" customHeight="false" outlineLevel="0" collapsed="false">
      <c r="A124" s="10"/>
      <c r="B124" s="10"/>
      <c r="C124" s="10"/>
      <c r="D124" s="10"/>
    </row>
    <row r="125" customFormat="false" ht="15" hidden="false" customHeight="false" outlineLevel="0" collapsed="false">
      <c r="A125" s="10"/>
      <c r="B125" s="10"/>
      <c r="C125" s="10"/>
      <c r="D125" s="10"/>
    </row>
    <row r="126" customFormat="false" ht="15" hidden="false" customHeight="false" outlineLevel="0" collapsed="false">
      <c r="A126" s="10"/>
      <c r="B126" s="10"/>
      <c r="C126" s="10"/>
      <c r="D126" s="10"/>
    </row>
    <row r="127" customFormat="false" ht="15" hidden="false" customHeight="false" outlineLevel="0" collapsed="false">
      <c r="A127" s="10"/>
      <c r="B127" s="10"/>
      <c r="C127" s="10"/>
      <c r="D127" s="10"/>
    </row>
    <row r="128" customFormat="false" ht="15" hidden="false" customHeight="false" outlineLevel="0" collapsed="false">
      <c r="A128" s="10"/>
      <c r="B128" s="10"/>
      <c r="C128" s="10"/>
      <c r="D128" s="10"/>
    </row>
    <row r="129" customFormat="false" ht="15" hidden="false" customHeight="false" outlineLevel="0" collapsed="false">
      <c r="A129" s="10"/>
      <c r="B129" s="10"/>
      <c r="C129" s="10"/>
      <c r="D129" s="10"/>
    </row>
    <row r="130" customFormat="false" ht="15" hidden="false" customHeight="false" outlineLevel="0" collapsed="false">
      <c r="A130" s="10"/>
      <c r="B130" s="10"/>
      <c r="C130" s="10"/>
      <c r="D130" s="10"/>
    </row>
    <row r="131" customFormat="false" ht="15" hidden="false" customHeight="false" outlineLevel="0" collapsed="false">
      <c r="A131" s="10"/>
      <c r="B131" s="10"/>
      <c r="C131" s="10"/>
      <c r="D131" s="10"/>
    </row>
    <row r="132" customFormat="false" ht="15" hidden="false" customHeight="false" outlineLevel="0" collapsed="false">
      <c r="A132" s="10"/>
      <c r="B132" s="10"/>
      <c r="C132" s="10"/>
      <c r="D132" s="10"/>
    </row>
    <row r="133" customFormat="false" ht="15" hidden="false" customHeight="false" outlineLevel="0" collapsed="false">
      <c r="A133" s="10"/>
      <c r="B133" s="10"/>
      <c r="C133" s="10"/>
      <c r="D133" s="10"/>
    </row>
    <row r="134" customFormat="false" ht="15" hidden="false" customHeight="false" outlineLevel="0" collapsed="false">
      <c r="A134" s="10"/>
      <c r="B134" s="10"/>
      <c r="C134" s="10"/>
      <c r="D134" s="10"/>
    </row>
    <row r="135" customFormat="false" ht="15" hidden="false" customHeight="false" outlineLevel="0" collapsed="false">
      <c r="A135" s="10"/>
      <c r="B135" s="10"/>
      <c r="C135" s="10"/>
      <c r="D135" s="10"/>
    </row>
    <row r="136" customFormat="false" ht="15" hidden="false" customHeight="false" outlineLevel="0" collapsed="false">
      <c r="A136" s="10"/>
      <c r="B136" s="10"/>
      <c r="C136" s="10"/>
      <c r="D136" s="10"/>
    </row>
    <row r="137" customFormat="false" ht="15" hidden="false" customHeight="false" outlineLevel="0" collapsed="false">
      <c r="A137" s="10"/>
      <c r="B137" s="10"/>
      <c r="C137" s="10"/>
      <c r="D137" s="10"/>
    </row>
    <row r="138" customFormat="false" ht="15" hidden="false" customHeight="false" outlineLevel="0" collapsed="false">
      <c r="A138" s="10"/>
      <c r="B138" s="10"/>
      <c r="C138" s="10"/>
      <c r="D138" s="10"/>
    </row>
    <row r="139" customFormat="false" ht="15" hidden="false" customHeight="false" outlineLevel="0" collapsed="false">
      <c r="A139" s="10"/>
      <c r="B139" s="10"/>
      <c r="C139" s="10"/>
      <c r="D139" s="10"/>
    </row>
    <row r="140" customFormat="false" ht="15" hidden="false" customHeight="false" outlineLevel="0" collapsed="false">
      <c r="A140" s="10"/>
      <c r="B140" s="10"/>
      <c r="C140" s="10"/>
      <c r="D140" s="10"/>
    </row>
    <row r="141" customFormat="false" ht="15" hidden="false" customHeight="false" outlineLevel="0" collapsed="false">
      <c r="A141" s="10"/>
      <c r="B141" s="10"/>
      <c r="C141" s="10"/>
      <c r="D141" s="10"/>
    </row>
    <row r="142" customFormat="false" ht="15" hidden="false" customHeight="false" outlineLevel="0" collapsed="false">
      <c r="A142" s="10"/>
      <c r="B142" s="10"/>
      <c r="C142" s="10"/>
      <c r="D142" s="10"/>
    </row>
    <row r="143" customFormat="false" ht="15" hidden="false" customHeight="false" outlineLevel="0" collapsed="false">
      <c r="A143" s="10"/>
      <c r="B143" s="10"/>
      <c r="C143" s="10"/>
      <c r="D143" s="10"/>
    </row>
    <row r="144" customFormat="false" ht="15" hidden="false" customHeight="false" outlineLevel="0" collapsed="false">
      <c r="A144" s="10"/>
      <c r="B144" s="10"/>
      <c r="C144" s="10"/>
      <c r="D144" s="10"/>
    </row>
    <row r="145" customFormat="false" ht="15" hidden="false" customHeight="false" outlineLevel="0" collapsed="false">
      <c r="A145" s="10"/>
      <c r="B145" s="10"/>
      <c r="C145" s="10"/>
      <c r="D145" s="10"/>
    </row>
    <row r="146" customFormat="false" ht="15" hidden="false" customHeight="false" outlineLevel="0" collapsed="false">
      <c r="A146" s="10"/>
      <c r="B146" s="10"/>
      <c r="C146" s="10"/>
      <c r="D146" s="10"/>
    </row>
    <row r="147" customFormat="false" ht="15" hidden="false" customHeight="false" outlineLevel="0" collapsed="false">
      <c r="A147" s="10"/>
      <c r="B147" s="10"/>
      <c r="C147" s="10"/>
      <c r="D147" s="10"/>
    </row>
    <row r="148" customFormat="false" ht="15" hidden="false" customHeight="false" outlineLevel="0" collapsed="false">
      <c r="A148" s="10"/>
      <c r="B148" s="10"/>
      <c r="C148" s="10"/>
      <c r="D148" s="10"/>
    </row>
    <row r="149" customFormat="false" ht="15" hidden="false" customHeight="false" outlineLevel="0" collapsed="false">
      <c r="A149" s="10"/>
      <c r="B149" s="10"/>
      <c r="C149" s="10"/>
      <c r="D149" s="10"/>
    </row>
    <row r="150" customFormat="false" ht="15" hidden="false" customHeight="false" outlineLevel="0" collapsed="false">
      <c r="A150" s="10"/>
      <c r="B150" s="10"/>
      <c r="C150" s="10"/>
      <c r="D150" s="10"/>
    </row>
    <row r="151" customFormat="false" ht="15" hidden="false" customHeight="false" outlineLevel="0" collapsed="false">
      <c r="A151" s="10"/>
      <c r="B151" s="10"/>
      <c r="C151" s="10"/>
      <c r="D151" s="10"/>
    </row>
    <row r="152" customFormat="false" ht="15" hidden="false" customHeight="false" outlineLevel="0" collapsed="false">
      <c r="A152" s="10"/>
      <c r="B152" s="10"/>
      <c r="C152" s="10"/>
      <c r="D152" s="10"/>
    </row>
    <row r="153" customFormat="false" ht="15" hidden="false" customHeight="false" outlineLevel="0" collapsed="false">
      <c r="A153" s="10"/>
      <c r="B153" s="10"/>
      <c r="C153" s="10"/>
      <c r="D153" s="10"/>
    </row>
    <row r="154" customFormat="false" ht="15" hidden="false" customHeight="false" outlineLevel="0" collapsed="false">
      <c r="A154" s="10"/>
      <c r="B154" s="10"/>
      <c r="C154" s="10"/>
      <c r="D154" s="10"/>
    </row>
    <row r="155" customFormat="false" ht="15" hidden="false" customHeight="false" outlineLevel="0" collapsed="false">
      <c r="A155" s="10"/>
      <c r="B155" s="10"/>
      <c r="C155" s="10"/>
      <c r="D155" s="10"/>
    </row>
    <row r="156" customFormat="false" ht="15" hidden="false" customHeight="false" outlineLevel="0" collapsed="false">
      <c r="A156" s="10"/>
      <c r="B156" s="10"/>
      <c r="C156" s="10"/>
      <c r="D156" s="10"/>
    </row>
    <row r="157" customFormat="false" ht="15" hidden="false" customHeight="false" outlineLevel="0" collapsed="false">
      <c r="A157" s="10"/>
      <c r="B157" s="10"/>
      <c r="C157" s="10"/>
      <c r="D157" s="10"/>
    </row>
    <row r="158" customFormat="false" ht="15" hidden="false" customHeight="false" outlineLevel="0" collapsed="false">
      <c r="A158" s="10"/>
      <c r="B158" s="10"/>
      <c r="C158" s="10"/>
      <c r="D158" s="10"/>
    </row>
    <row r="159" customFormat="false" ht="15" hidden="false" customHeight="false" outlineLevel="0" collapsed="false">
      <c r="A159" s="10"/>
      <c r="B159" s="10"/>
      <c r="C159" s="10"/>
      <c r="D159" s="10"/>
    </row>
    <row r="160" customFormat="false" ht="15" hidden="false" customHeight="false" outlineLevel="0" collapsed="false">
      <c r="A160" s="10"/>
      <c r="B160" s="10"/>
      <c r="C160" s="10"/>
      <c r="D160" s="10"/>
    </row>
    <row r="161" customFormat="false" ht="15" hidden="false" customHeight="false" outlineLevel="0" collapsed="false">
      <c r="A161" s="10"/>
      <c r="B161" s="10"/>
      <c r="C161" s="10"/>
      <c r="D161" s="10"/>
    </row>
    <row r="162" customFormat="false" ht="15" hidden="false" customHeight="false" outlineLevel="0" collapsed="false">
      <c r="A162" s="10"/>
      <c r="B162" s="10"/>
      <c r="C162" s="10"/>
      <c r="D162" s="10"/>
    </row>
    <row r="163" customFormat="false" ht="15" hidden="false" customHeight="false" outlineLevel="0" collapsed="false">
      <c r="A163" s="10"/>
      <c r="B163" s="10"/>
      <c r="C163" s="10"/>
      <c r="D163" s="10"/>
    </row>
    <row r="164" customFormat="false" ht="15" hidden="false" customHeight="false" outlineLevel="0" collapsed="false">
      <c r="A164" s="10"/>
      <c r="B164" s="10"/>
      <c r="C164" s="10"/>
      <c r="D164" s="10"/>
    </row>
    <row r="165" customFormat="false" ht="15" hidden="false" customHeight="false" outlineLevel="0" collapsed="false">
      <c r="A165" s="10"/>
      <c r="B165" s="10"/>
      <c r="C165" s="10"/>
      <c r="D165" s="10"/>
    </row>
    <row r="166" customFormat="false" ht="15" hidden="false" customHeight="false" outlineLevel="0" collapsed="false">
      <c r="A166" s="10"/>
      <c r="B166" s="10"/>
      <c r="C166" s="10"/>
      <c r="D166" s="10"/>
    </row>
    <row r="167" customFormat="false" ht="15" hidden="false" customHeight="false" outlineLevel="0" collapsed="false">
      <c r="A167" s="10"/>
      <c r="B167" s="10"/>
      <c r="C167" s="10"/>
      <c r="D167" s="10"/>
    </row>
    <row r="168" customFormat="false" ht="15" hidden="false" customHeight="false" outlineLevel="0" collapsed="false">
      <c r="A168" s="10"/>
      <c r="B168" s="10"/>
      <c r="C168" s="10"/>
      <c r="D168" s="10"/>
    </row>
    <row r="169" customFormat="false" ht="15" hidden="false" customHeight="false" outlineLevel="0" collapsed="false">
      <c r="A169" s="10"/>
      <c r="B169" s="10"/>
      <c r="C169" s="10"/>
      <c r="D169" s="10"/>
    </row>
    <row r="170" customFormat="false" ht="15" hidden="false" customHeight="false" outlineLevel="0" collapsed="false">
      <c r="A170" s="10"/>
      <c r="B170" s="10"/>
      <c r="C170" s="10"/>
      <c r="D170" s="10"/>
    </row>
    <row r="171" customFormat="false" ht="15" hidden="false" customHeight="false" outlineLevel="0" collapsed="false">
      <c r="A171" s="10"/>
      <c r="B171" s="10"/>
      <c r="C171" s="10"/>
      <c r="D171" s="10"/>
    </row>
    <row r="172" customFormat="false" ht="15" hidden="false" customHeight="false" outlineLevel="0" collapsed="false">
      <c r="A172" s="10"/>
      <c r="B172" s="10"/>
      <c r="C172" s="10"/>
      <c r="D172" s="10"/>
    </row>
    <row r="173" customFormat="false" ht="15" hidden="false" customHeight="false" outlineLevel="0" collapsed="false">
      <c r="A173" s="10"/>
      <c r="B173" s="10"/>
      <c r="C173" s="10"/>
      <c r="D173" s="10"/>
    </row>
    <row r="174" customFormat="false" ht="15" hidden="false" customHeight="false" outlineLevel="0" collapsed="false">
      <c r="A174" s="10"/>
      <c r="B174" s="10"/>
      <c r="C174" s="10"/>
      <c r="D174" s="10"/>
    </row>
    <row r="175" customFormat="false" ht="15" hidden="false" customHeight="false" outlineLevel="0" collapsed="false">
      <c r="A175" s="10"/>
      <c r="B175" s="10"/>
      <c r="C175" s="10"/>
      <c r="D175" s="10"/>
    </row>
    <row r="176" customFormat="false" ht="15" hidden="false" customHeight="false" outlineLevel="0" collapsed="false">
      <c r="A176" s="10"/>
      <c r="B176" s="10"/>
      <c r="C176" s="10"/>
      <c r="D176" s="10"/>
    </row>
    <row r="177" customFormat="false" ht="15" hidden="false" customHeight="false" outlineLevel="0" collapsed="false">
      <c r="A177" s="10"/>
      <c r="B177" s="10"/>
      <c r="C177" s="10"/>
      <c r="D177" s="10"/>
    </row>
    <row r="178" customFormat="false" ht="15" hidden="false" customHeight="false" outlineLevel="0" collapsed="false">
      <c r="A178" s="10"/>
      <c r="B178" s="10"/>
      <c r="C178" s="10"/>
      <c r="D178" s="10"/>
    </row>
    <row r="179" customFormat="false" ht="15" hidden="false" customHeight="false" outlineLevel="0" collapsed="false">
      <c r="A179" s="10"/>
      <c r="B179" s="10"/>
      <c r="C179" s="10"/>
      <c r="D179" s="10"/>
    </row>
    <row r="180" customFormat="false" ht="15" hidden="false" customHeight="false" outlineLevel="0" collapsed="false">
      <c r="A180" s="10"/>
      <c r="B180" s="10"/>
      <c r="C180" s="10"/>
      <c r="D180" s="10"/>
    </row>
    <row r="181" customFormat="false" ht="15" hidden="false" customHeight="false" outlineLevel="0" collapsed="false">
      <c r="A181" s="10"/>
      <c r="B181" s="10"/>
      <c r="C181" s="10"/>
      <c r="D181" s="10"/>
    </row>
    <row r="182" customFormat="false" ht="15" hidden="false" customHeight="false" outlineLevel="0" collapsed="false">
      <c r="A182" s="10"/>
      <c r="B182" s="10"/>
      <c r="C182" s="10"/>
      <c r="D182" s="10"/>
    </row>
    <row r="183" customFormat="false" ht="15" hidden="false" customHeight="false" outlineLevel="0" collapsed="false">
      <c r="A183" s="10"/>
      <c r="B183" s="10"/>
      <c r="C183" s="10"/>
      <c r="D183" s="10"/>
    </row>
    <row r="184" customFormat="false" ht="15" hidden="false" customHeight="false" outlineLevel="0" collapsed="false">
      <c r="A184" s="10"/>
      <c r="B184" s="10"/>
      <c r="C184" s="10"/>
      <c r="D184" s="10"/>
    </row>
    <row r="185" customFormat="false" ht="15" hidden="false" customHeight="false" outlineLevel="0" collapsed="false">
      <c r="A185" s="10"/>
      <c r="B185" s="10"/>
      <c r="C185" s="10"/>
      <c r="D185" s="10"/>
    </row>
    <row r="186" customFormat="false" ht="15" hidden="false" customHeight="false" outlineLevel="0" collapsed="false">
      <c r="A186" s="10"/>
      <c r="B186" s="10"/>
      <c r="C186" s="10"/>
      <c r="D186" s="10"/>
    </row>
    <row r="187" customFormat="false" ht="15" hidden="false" customHeight="false" outlineLevel="0" collapsed="false">
      <c r="A187" s="10"/>
      <c r="B187" s="10"/>
      <c r="C187" s="10"/>
      <c r="D187" s="10"/>
    </row>
    <row r="188" customFormat="false" ht="15" hidden="false" customHeight="false" outlineLevel="0" collapsed="false">
      <c r="A188" s="10"/>
      <c r="B188" s="10"/>
      <c r="C188" s="10"/>
      <c r="D188" s="10"/>
    </row>
    <row r="189" customFormat="false" ht="15" hidden="false" customHeight="false" outlineLevel="0" collapsed="false">
      <c r="A189" s="10"/>
      <c r="B189" s="10"/>
      <c r="C189" s="10"/>
      <c r="D189" s="10"/>
    </row>
    <row r="190" customFormat="false" ht="15" hidden="false" customHeight="false" outlineLevel="0" collapsed="false">
      <c r="A190" s="10"/>
      <c r="B190" s="10"/>
      <c r="C190" s="10"/>
      <c r="D190" s="10"/>
    </row>
    <row r="191" customFormat="false" ht="15" hidden="false" customHeight="false" outlineLevel="0" collapsed="false">
      <c r="A191" s="10"/>
      <c r="B191" s="10"/>
      <c r="C191" s="10"/>
      <c r="D191" s="10"/>
    </row>
    <row r="192" customFormat="false" ht="15" hidden="false" customHeight="false" outlineLevel="0" collapsed="false">
      <c r="A192" s="10"/>
      <c r="B192" s="10"/>
      <c r="C192" s="10"/>
      <c r="D192" s="10"/>
    </row>
    <row r="193" customFormat="false" ht="15" hidden="false" customHeight="false" outlineLevel="0" collapsed="false">
      <c r="A193" s="10"/>
      <c r="B193" s="10"/>
      <c r="C193" s="10"/>
      <c r="D193" s="10"/>
    </row>
    <row r="194" customFormat="false" ht="15" hidden="false" customHeight="false" outlineLevel="0" collapsed="false">
      <c r="A194" s="10"/>
      <c r="B194" s="10"/>
      <c r="C194" s="10"/>
      <c r="D194" s="10"/>
    </row>
    <row r="195" customFormat="false" ht="15" hidden="false" customHeight="false" outlineLevel="0" collapsed="false">
      <c r="A195" s="10"/>
      <c r="B195" s="10"/>
      <c r="C195" s="10"/>
      <c r="D195" s="10"/>
    </row>
    <row r="196" customFormat="false" ht="15" hidden="false" customHeight="false" outlineLevel="0" collapsed="false">
      <c r="A196" s="10"/>
      <c r="B196" s="10"/>
      <c r="C196" s="10"/>
      <c r="D196" s="10"/>
    </row>
    <row r="197" customFormat="false" ht="15" hidden="false" customHeight="false" outlineLevel="0" collapsed="false">
      <c r="A197" s="10"/>
      <c r="B197" s="10"/>
      <c r="C197" s="10"/>
      <c r="D197" s="10"/>
    </row>
    <row r="198" customFormat="false" ht="15" hidden="false" customHeight="false" outlineLevel="0" collapsed="false">
      <c r="A198" s="10"/>
      <c r="B198" s="10"/>
      <c r="C198" s="10"/>
      <c r="D198" s="10"/>
    </row>
    <row r="199" customFormat="false" ht="15" hidden="false" customHeight="false" outlineLevel="0" collapsed="false">
      <c r="A199" s="10"/>
      <c r="B199" s="10"/>
      <c r="C199" s="10"/>
      <c r="D199" s="10"/>
    </row>
    <row r="200" customFormat="false" ht="15" hidden="false" customHeight="false" outlineLevel="0" collapsed="false">
      <c r="A200" s="10"/>
      <c r="B200" s="10"/>
      <c r="C200" s="10"/>
      <c r="D200" s="10"/>
    </row>
    <row r="201" customFormat="false" ht="15" hidden="false" customHeight="false" outlineLevel="0" collapsed="false">
      <c r="A201" s="10"/>
      <c r="B201" s="10"/>
      <c r="C201" s="10"/>
      <c r="D201" s="10"/>
    </row>
    <row r="202" customFormat="false" ht="15" hidden="false" customHeight="false" outlineLevel="0" collapsed="false">
      <c r="A202" s="10"/>
      <c r="B202" s="10"/>
      <c r="C202" s="10"/>
      <c r="D202" s="10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8"/>
    <col collapsed="false" customWidth="true" hidden="false" outlineLevel="0" max="3" min="3" style="1" width="20"/>
    <col collapsed="false" customWidth="true" hidden="false" outlineLevel="0" max="4" min="4" style="1" width="11"/>
    <col collapsed="false" customWidth="true" hidden="false" outlineLevel="0" max="5" min="5" style="1" width="13"/>
  </cols>
  <sheetData>
    <row r="1" customFormat="false" ht="25.5" hidden="false" customHeight="true" outlineLevel="0" collapsed="false">
      <c r="A1" s="2" t="s">
        <v>38</v>
      </c>
      <c r="B1" s="2"/>
      <c r="C1" s="2"/>
      <c r="D1" s="2"/>
      <c r="E1" s="2"/>
    </row>
    <row r="2" customFormat="false" ht="15" hidden="false" customHeight="false" outlineLevel="0" collapsed="false">
      <c r="A2" s="8" t="s">
        <v>39</v>
      </c>
      <c r="B2" s="8" t="s">
        <v>40</v>
      </c>
      <c r="C2" s="8" t="s">
        <v>41</v>
      </c>
      <c r="D2" s="8" t="s">
        <v>42</v>
      </c>
      <c r="E2" s="8" t="s">
        <v>43</v>
      </c>
    </row>
    <row r="3" customFormat="false" ht="15" hidden="false" customHeight="false" outlineLevel="0" collapsed="false">
      <c r="A3" s="10" t="s">
        <v>44</v>
      </c>
      <c r="B3" s="9" t="s">
        <v>45</v>
      </c>
      <c r="C3" s="10" t="s">
        <v>46</v>
      </c>
      <c r="D3" s="9" t="s">
        <v>47</v>
      </c>
      <c r="E3" s="11" t="n">
        <v>10</v>
      </c>
    </row>
    <row r="4" customFormat="false" ht="15" hidden="false" customHeight="false" outlineLevel="0" collapsed="false">
      <c r="A4" s="10" t="s">
        <v>48</v>
      </c>
      <c r="B4" s="9" t="s">
        <v>49</v>
      </c>
      <c r="C4" s="9" t="s">
        <v>50</v>
      </c>
      <c r="D4" s="9" t="s">
        <v>51</v>
      </c>
      <c r="E4" s="11" t="n">
        <v>5</v>
      </c>
    </row>
    <row r="5" customFormat="false" ht="15" hidden="false" customHeight="false" outlineLevel="0" collapsed="false">
      <c r="A5" s="10" t="s">
        <v>52</v>
      </c>
      <c r="B5" s="9" t="s">
        <v>53</v>
      </c>
      <c r="C5" s="10" t="s">
        <v>54</v>
      </c>
      <c r="D5" s="9" t="s">
        <v>55</v>
      </c>
      <c r="E5" s="11" t="n">
        <v>3</v>
      </c>
    </row>
    <row r="6" customFormat="false" ht="15" hidden="false" customHeight="false" outlineLevel="0" collapsed="false">
      <c r="A6" s="10"/>
      <c r="B6" s="10"/>
      <c r="C6" s="10"/>
      <c r="D6" s="10"/>
      <c r="E6" s="11"/>
    </row>
    <row r="7" customFormat="false" ht="15" hidden="false" customHeight="false" outlineLevel="0" collapsed="false">
      <c r="A7" s="10"/>
      <c r="B7" s="10"/>
      <c r="C7" s="10"/>
      <c r="D7" s="10"/>
      <c r="E7" s="11"/>
    </row>
    <row r="8" customFormat="false" ht="15" hidden="false" customHeight="false" outlineLevel="0" collapsed="false">
      <c r="A8" s="10"/>
      <c r="B8" s="10"/>
      <c r="C8" s="10"/>
      <c r="D8" s="10"/>
      <c r="E8" s="11"/>
    </row>
    <row r="9" customFormat="false" ht="15" hidden="false" customHeight="false" outlineLevel="0" collapsed="false">
      <c r="A9" s="10"/>
      <c r="B9" s="10"/>
      <c r="C9" s="10"/>
      <c r="D9" s="10"/>
      <c r="E9" s="11"/>
    </row>
    <row r="10" customFormat="false" ht="15" hidden="false" customHeight="false" outlineLevel="0" collapsed="false">
      <c r="A10" s="10"/>
      <c r="B10" s="10"/>
      <c r="C10" s="10"/>
      <c r="D10" s="10"/>
      <c r="E10" s="11"/>
    </row>
    <row r="11" customFormat="false" ht="15" hidden="false" customHeight="false" outlineLevel="0" collapsed="false">
      <c r="A11" s="10"/>
      <c r="B11" s="10"/>
      <c r="C11" s="10"/>
      <c r="D11" s="10"/>
      <c r="E11" s="11"/>
    </row>
    <row r="12" customFormat="false" ht="15" hidden="false" customHeight="false" outlineLevel="0" collapsed="false">
      <c r="A12" s="10"/>
      <c r="B12" s="10"/>
      <c r="C12" s="10"/>
      <c r="D12" s="10"/>
      <c r="E12" s="11"/>
    </row>
    <row r="13" customFormat="false" ht="15" hidden="false" customHeight="false" outlineLevel="0" collapsed="false">
      <c r="A13" s="10"/>
      <c r="B13" s="10"/>
      <c r="C13" s="10"/>
      <c r="D13" s="10"/>
      <c r="E13" s="11"/>
    </row>
    <row r="14" customFormat="false" ht="15" hidden="false" customHeight="false" outlineLevel="0" collapsed="false">
      <c r="A14" s="10"/>
      <c r="B14" s="10"/>
      <c r="C14" s="10"/>
      <c r="D14" s="10"/>
      <c r="E14" s="11"/>
    </row>
    <row r="15" customFormat="false" ht="15" hidden="false" customHeight="false" outlineLevel="0" collapsed="false">
      <c r="A15" s="10"/>
      <c r="B15" s="10"/>
      <c r="C15" s="10"/>
      <c r="D15" s="10"/>
      <c r="E15" s="11"/>
    </row>
    <row r="16" customFormat="false" ht="15" hidden="false" customHeight="false" outlineLevel="0" collapsed="false">
      <c r="A16" s="10"/>
      <c r="B16" s="10"/>
      <c r="C16" s="10"/>
      <c r="D16" s="10"/>
      <c r="E16" s="11"/>
    </row>
    <row r="17" customFormat="false" ht="15" hidden="false" customHeight="false" outlineLevel="0" collapsed="false">
      <c r="A17" s="10"/>
      <c r="B17" s="10"/>
      <c r="C17" s="10"/>
      <c r="D17" s="10"/>
      <c r="E17" s="11"/>
    </row>
    <row r="18" customFormat="false" ht="15" hidden="false" customHeight="false" outlineLevel="0" collapsed="false">
      <c r="A18" s="10"/>
      <c r="B18" s="10"/>
      <c r="C18" s="10"/>
      <c r="D18" s="10"/>
      <c r="E18" s="11"/>
    </row>
    <row r="19" customFormat="false" ht="15" hidden="false" customHeight="false" outlineLevel="0" collapsed="false">
      <c r="A19" s="10"/>
      <c r="B19" s="10"/>
      <c r="C19" s="10"/>
      <c r="D19" s="10"/>
      <c r="E19" s="11"/>
    </row>
    <row r="20" customFormat="false" ht="15" hidden="false" customHeight="false" outlineLevel="0" collapsed="false">
      <c r="A20" s="10"/>
      <c r="B20" s="10"/>
      <c r="C20" s="10"/>
      <c r="D20" s="10"/>
      <c r="E20" s="11"/>
    </row>
    <row r="21" customFormat="false" ht="15" hidden="false" customHeight="false" outlineLevel="0" collapsed="false">
      <c r="A21" s="10"/>
      <c r="B21" s="10"/>
      <c r="C21" s="10"/>
      <c r="D21" s="10"/>
      <c r="E21" s="11"/>
    </row>
    <row r="22" customFormat="false" ht="15" hidden="false" customHeight="false" outlineLevel="0" collapsed="false">
      <c r="A22" s="10"/>
      <c r="B22" s="10"/>
      <c r="C22" s="10"/>
      <c r="D22" s="10"/>
      <c r="E22" s="11"/>
    </row>
    <row r="23" customFormat="false" ht="15" hidden="false" customHeight="false" outlineLevel="0" collapsed="false">
      <c r="A23" s="10"/>
      <c r="B23" s="10"/>
      <c r="C23" s="10"/>
      <c r="D23" s="10"/>
      <c r="E23" s="11"/>
    </row>
    <row r="24" customFormat="false" ht="15" hidden="false" customHeight="false" outlineLevel="0" collapsed="false">
      <c r="A24" s="10"/>
      <c r="B24" s="10"/>
      <c r="C24" s="10"/>
      <c r="D24" s="10"/>
      <c r="E24" s="11"/>
    </row>
    <row r="25" customFormat="false" ht="15" hidden="false" customHeight="false" outlineLevel="0" collapsed="false">
      <c r="A25" s="10"/>
      <c r="B25" s="10"/>
      <c r="C25" s="10"/>
      <c r="D25" s="10"/>
      <c r="E25" s="11"/>
    </row>
    <row r="26" customFormat="false" ht="15" hidden="false" customHeight="false" outlineLevel="0" collapsed="false">
      <c r="A26" s="10"/>
      <c r="B26" s="10"/>
      <c r="C26" s="10"/>
      <c r="D26" s="10"/>
      <c r="E26" s="11"/>
    </row>
    <row r="27" customFormat="false" ht="15" hidden="false" customHeight="false" outlineLevel="0" collapsed="false">
      <c r="A27" s="10"/>
      <c r="B27" s="10"/>
      <c r="C27" s="10"/>
      <c r="D27" s="10"/>
      <c r="E27" s="11"/>
    </row>
    <row r="28" customFormat="false" ht="15" hidden="false" customHeight="false" outlineLevel="0" collapsed="false">
      <c r="A28" s="10"/>
      <c r="B28" s="10"/>
      <c r="C28" s="10"/>
      <c r="D28" s="10"/>
      <c r="E28" s="11"/>
    </row>
    <row r="29" customFormat="false" ht="15" hidden="false" customHeight="false" outlineLevel="0" collapsed="false">
      <c r="A29" s="10"/>
      <c r="B29" s="10"/>
      <c r="C29" s="10"/>
      <c r="D29" s="10"/>
      <c r="E29" s="11"/>
    </row>
    <row r="30" customFormat="false" ht="15" hidden="false" customHeight="false" outlineLevel="0" collapsed="false">
      <c r="A30" s="10"/>
      <c r="B30" s="10"/>
      <c r="C30" s="10"/>
      <c r="D30" s="10"/>
      <c r="E30" s="11"/>
    </row>
    <row r="31" customFormat="false" ht="15" hidden="false" customHeight="false" outlineLevel="0" collapsed="false">
      <c r="A31" s="10"/>
      <c r="B31" s="10"/>
      <c r="C31" s="10"/>
      <c r="D31" s="10"/>
      <c r="E31" s="11"/>
    </row>
    <row r="32" customFormat="false" ht="15" hidden="false" customHeight="false" outlineLevel="0" collapsed="false">
      <c r="A32" s="10"/>
      <c r="B32" s="10"/>
      <c r="C32" s="10"/>
      <c r="D32" s="10"/>
      <c r="E32" s="11"/>
    </row>
    <row r="33" customFormat="false" ht="15" hidden="false" customHeight="false" outlineLevel="0" collapsed="false">
      <c r="A33" s="10"/>
      <c r="B33" s="10"/>
      <c r="C33" s="10"/>
      <c r="D33" s="10"/>
      <c r="E33" s="11"/>
    </row>
    <row r="34" customFormat="false" ht="15" hidden="false" customHeight="false" outlineLevel="0" collapsed="false">
      <c r="A34" s="10"/>
      <c r="B34" s="10"/>
      <c r="C34" s="10"/>
      <c r="D34" s="10"/>
      <c r="E34" s="11"/>
    </row>
    <row r="35" customFormat="false" ht="15" hidden="false" customHeight="false" outlineLevel="0" collapsed="false">
      <c r="A35" s="10"/>
      <c r="B35" s="10"/>
      <c r="C35" s="10"/>
      <c r="D35" s="10"/>
      <c r="E35" s="11"/>
    </row>
    <row r="36" customFormat="false" ht="15" hidden="false" customHeight="false" outlineLevel="0" collapsed="false">
      <c r="A36" s="10"/>
      <c r="B36" s="10"/>
      <c r="C36" s="10"/>
      <c r="D36" s="10"/>
      <c r="E36" s="11"/>
    </row>
    <row r="37" customFormat="false" ht="15" hidden="false" customHeight="false" outlineLevel="0" collapsed="false">
      <c r="A37" s="10"/>
      <c r="B37" s="10"/>
      <c r="C37" s="10"/>
      <c r="D37" s="10"/>
      <c r="E37" s="11"/>
    </row>
    <row r="38" customFormat="false" ht="15" hidden="false" customHeight="false" outlineLevel="0" collapsed="false">
      <c r="A38" s="10"/>
      <c r="B38" s="10"/>
      <c r="C38" s="10"/>
      <c r="D38" s="10"/>
      <c r="E38" s="11"/>
    </row>
    <row r="39" customFormat="false" ht="15" hidden="false" customHeight="false" outlineLevel="0" collapsed="false">
      <c r="A39" s="10"/>
      <c r="B39" s="10"/>
      <c r="C39" s="10"/>
      <c r="D39" s="10"/>
      <c r="E39" s="11"/>
    </row>
    <row r="40" customFormat="false" ht="15" hidden="false" customHeight="false" outlineLevel="0" collapsed="false">
      <c r="A40" s="10"/>
      <c r="B40" s="10"/>
      <c r="C40" s="10"/>
      <c r="D40" s="10"/>
      <c r="E40" s="11"/>
    </row>
    <row r="41" customFormat="false" ht="15" hidden="false" customHeight="false" outlineLevel="0" collapsed="false">
      <c r="A41" s="10"/>
      <c r="B41" s="10"/>
      <c r="C41" s="10"/>
      <c r="D41" s="10"/>
      <c r="E41" s="11"/>
    </row>
    <row r="42" customFormat="false" ht="15" hidden="false" customHeight="false" outlineLevel="0" collapsed="false">
      <c r="A42" s="10"/>
      <c r="B42" s="10"/>
      <c r="C42" s="10"/>
      <c r="D42" s="10"/>
      <c r="E42" s="11"/>
    </row>
    <row r="43" customFormat="false" ht="15" hidden="false" customHeight="false" outlineLevel="0" collapsed="false">
      <c r="A43" s="10"/>
      <c r="B43" s="10"/>
      <c r="C43" s="10"/>
      <c r="D43" s="10"/>
      <c r="E43" s="11"/>
    </row>
    <row r="44" customFormat="false" ht="15" hidden="false" customHeight="false" outlineLevel="0" collapsed="false">
      <c r="A44" s="10"/>
      <c r="B44" s="10"/>
      <c r="C44" s="10"/>
      <c r="D44" s="10"/>
      <c r="E44" s="11"/>
    </row>
    <row r="45" customFormat="false" ht="15" hidden="false" customHeight="false" outlineLevel="0" collapsed="false">
      <c r="A45" s="10"/>
      <c r="B45" s="10"/>
      <c r="C45" s="10"/>
      <c r="D45" s="10"/>
      <c r="E45" s="11"/>
    </row>
    <row r="46" customFormat="false" ht="15" hidden="false" customHeight="false" outlineLevel="0" collapsed="false">
      <c r="A46" s="10"/>
      <c r="B46" s="10"/>
      <c r="C46" s="10"/>
      <c r="D46" s="10"/>
      <c r="E46" s="11"/>
    </row>
    <row r="47" customFormat="false" ht="15" hidden="false" customHeight="false" outlineLevel="0" collapsed="false">
      <c r="A47" s="10"/>
      <c r="B47" s="10"/>
      <c r="C47" s="10"/>
      <c r="D47" s="10"/>
      <c r="E47" s="11"/>
    </row>
    <row r="48" customFormat="false" ht="15" hidden="false" customHeight="false" outlineLevel="0" collapsed="false">
      <c r="A48" s="10"/>
      <c r="B48" s="10"/>
      <c r="C48" s="10"/>
      <c r="D48" s="10"/>
      <c r="E48" s="11"/>
    </row>
    <row r="49" customFormat="false" ht="15" hidden="false" customHeight="false" outlineLevel="0" collapsed="false">
      <c r="A49" s="10"/>
      <c r="B49" s="10"/>
      <c r="C49" s="10"/>
      <c r="D49" s="10"/>
      <c r="E49" s="11"/>
    </row>
    <row r="50" customFormat="false" ht="15" hidden="false" customHeight="false" outlineLevel="0" collapsed="false">
      <c r="A50" s="10"/>
      <c r="B50" s="10"/>
      <c r="C50" s="10"/>
      <c r="D50" s="10"/>
      <c r="E50" s="11"/>
    </row>
    <row r="51" customFormat="false" ht="15" hidden="false" customHeight="false" outlineLevel="0" collapsed="false">
      <c r="A51" s="10"/>
      <c r="B51" s="10"/>
      <c r="C51" s="10"/>
      <c r="D51" s="10"/>
      <c r="E51" s="11"/>
    </row>
    <row r="52" customFormat="false" ht="15" hidden="false" customHeight="false" outlineLevel="0" collapsed="false">
      <c r="A52" s="10"/>
      <c r="B52" s="10"/>
      <c r="C52" s="10"/>
      <c r="D52" s="10"/>
      <c r="E52" s="11"/>
    </row>
    <row r="53" customFormat="false" ht="15" hidden="false" customHeight="false" outlineLevel="0" collapsed="false">
      <c r="A53" s="10"/>
      <c r="B53" s="10"/>
      <c r="C53" s="10"/>
      <c r="D53" s="10"/>
      <c r="E53" s="11"/>
    </row>
    <row r="54" customFormat="false" ht="15" hidden="false" customHeight="false" outlineLevel="0" collapsed="false">
      <c r="A54" s="10"/>
      <c r="B54" s="10"/>
      <c r="C54" s="10"/>
      <c r="D54" s="10"/>
      <c r="E54" s="11"/>
    </row>
    <row r="55" customFormat="false" ht="15" hidden="false" customHeight="false" outlineLevel="0" collapsed="false">
      <c r="A55" s="10"/>
      <c r="B55" s="10"/>
      <c r="C55" s="10"/>
      <c r="D55" s="10"/>
      <c r="E55" s="11"/>
    </row>
    <row r="56" customFormat="false" ht="15" hidden="false" customHeight="false" outlineLevel="0" collapsed="false">
      <c r="A56" s="10"/>
      <c r="B56" s="10"/>
      <c r="C56" s="10"/>
      <c r="D56" s="10"/>
      <c r="E56" s="11"/>
    </row>
    <row r="57" customFormat="false" ht="15" hidden="false" customHeight="false" outlineLevel="0" collapsed="false">
      <c r="A57" s="10"/>
      <c r="B57" s="10"/>
      <c r="C57" s="10"/>
      <c r="D57" s="10"/>
      <c r="E57" s="11"/>
    </row>
    <row r="58" customFormat="false" ht="15" hidden="false" customHeight="false" outlineLevel="0" collapsed="false">
      <c r="A58" s="10"/>
      <c r="B58" s="10"/>
      <c r="C58" s="10"/>
      <c r="D58" s="10"/>
      <c r="E58" s="11"/>
    </row>
    <row r="59" customFormat="false" ht="15" hidden="false" customHeight="false" outlineLevel="0" collapsed="false">
      <c r="A59" s="10"/>
      <c r="B59" s="10"/>
      <c r="C59" s="10"/>
      <c r="D59" s="10"/>
      <c r="E59" s="11"/>
    </row>
    <row r="60" customFormat="false" ht="15" hidden="false" customHeight="false" outlineLevel="0" collapsed="false">
      <c r="A60" s="10"/>
      <c r="B60" s="10"/>
      <c r="C60" s="10"/>
      <c r="D60" s="10"/>
      <c r="E60" s="11"/>
    </row>
    <row r="61" customFormat="false" ht="15" hidden="false" customHeight="false" outlineLevel="0" collapsed="false">
      <c r="A61" s="10"/>
      <c r="B61" s="10"/>
      <c r="C61" s="10"/>
      <c r="D61" s="10"/>
      <c r="E61" s="11"/>
    </row>
    <row r="62" customFormat="false" ht="15" hidden="false" customHeight="false" outlineLevel="0" collapsed="false">
      <c r="A62" s="10"/>
      <c r="B62" s="10"/>
      <c r="C62" s="10"/>
      <c r="D62" s="10"/>
      <c r="E62" s="11"/>
    </row>
    <row r="63" customFormat="false" ht="15" hidden="false" customHeight="false" outlineLevel="0" collapsed="false">
      <c r="A63" s="10"/>
      <c r="B63" s="10"/>
      <c r="C63" s="10"/>
      <c r="D63" s="10"/>
      <c r="E63" s="11"/>
    </row>
    <row r="64" customFormat="false" ht="15" hidden="false" customHeight="false" outlineLevel="0" collapsed="false">
      <c r="A64" s="10"/>
      <c r="B64" s="10"/>
      <c r="C64" s="10"/>
      <c r="D64" s="10"/>
      <c r="E64" s="11"/>
    </row>
    <row r="65" customFormat="false" ht="15" hidden="false" customHeight="false" outlineLevel="0" collapsed="false">
      <c r="A65" s="10"/>
      <c r="B65" s="10"/>
      <c r="C65" s="10"/>
      <c r="D65" s="10"/>
      <c r="E65" s="11"/>
    </row>
    <row r="66" customFormat="false" ht="15" hidden="false" customHeight="false" outlineLevel="0" collapsed="false">
      <c r="A66" s="10"/>
      <c r="B66" s="10"/>
      <c r="C66" s="10"/>
      <c r="D66" s="10"/>
      <c r="E66" s="11"/>
    </row>
    <row r="67" customFormat="false" ht="15" hidden="false" customHeight="false" outlineLevel="0" collapsed="false">
      <c r="A67" s="10"/>
      <c r="B67" s="10"/>
      <c r="C67" s="10"/>
      <c r="D67" s="10"/>
      <c r="E67" s="11"/>
    </row>
    <row r="68" customFormat="false" ht="15" hidden="false" customHeight="false" outlineLevel="0" collapsed="false">
      <c r="A68" s="10"/>
      <c r="B68" s="10"/>
      <c r="C68" s="10"/>
      <c r="D68" s="10"/>
      <c r="E68" s="11"/>
    </row>
    <row r="69" customFormat="false" ht="15" hidden="false" customHeight="false" outlineLevel="0" collapsed="false">
      <c r="A69" s="10"/>
      <c r="B69" s="10"/>
      <c r="C69" s="10"/>
      <c r="D69" s="10"/>
      <c r="E69" s="11"/>
    </row>
    <row r="70" customFormat="false" ht="15" hidden="false" customHeight="false" outlineLevel="0" collapsed="false">
      <c r="A70" s="10"/>
      <c r="B70" s="10"/>
      <c r="C70" s="10"/>
      <c r="D70" s="10"/>
      <c r="E70" s="11"/>
    </row>
    <row r="71" customFormat="false" ht="15" hidden="false" customHeight="false" outlineLevel="0" collapsed="false">
      <c r="A71" s="10"/>
      <c r="B71" s="10"/>
      <c r="C71" s="10"/>
      <c r="D71" s="10"/>
      <c r="E71" s="11"/>
    </row>
    <row r="72" customFormat="false" ht="15" hidden="false" customHeight="false" outlineLevel="0" collapsed="false">
      <c r="A72" s="10"/>
      <c r="B72" s="10"/>
      <c r="C72" s="10"/>
      <c r="D72" s="10"/>
      <c r="E72" s="11"/>
    </row>
    <row r="73" customFormat="false" ht="15" hidden="false" customHeight="false" outlineLevel="0" collapsed="false">
      <c r="A73" s="10"/>
      <c r="B73" s="10"/>
      <c r="C73" s="10"/>
      <c r="D73" s="10"/>
      <c r="E73" s="11"/>
    </row>
    <row r="74" customFormat="false" ht="15" hidden="false" customHeight="false" outlineLevel="0" collapsed="false">
      <c r="A74" s="10"/>
      <c r="B74" s="10"/>
      <c r="C74" s="10"/>
      <c r="D74" s="10"/>
      <c r="E74" s="11"/>
    </row>
    <row r="75" customFormat="false" ht="15" hidden="false" customHeight="false" outlineLevel="0" collapsed="false">
      <c r="A75" s="10"/>
      <c r="B75" s="10"/>
      <c r="C75" s="10"/>
      <c r="D75" s="10"/>
      <c r="E75" s="11"/>
    </row>
    <row r="76" customFormat="false" ht="15" hidden="false" customHeight="false" outlineLevel="0" collapsed="false">
      <c r="A76" s="10"/>
      <c r="B76" s="10"/>
      <c r="C76" s="10"/>
      <c r="D76" s="10"/>
      <c r="E76" s="11"/>
    </row>
    <row r="77" customFormat="false" ht="15" hidden="false" customHeight="false" outlineLevel="0" collapsed="false">
      <c r="A77" s="10"/>
      <c r="B77" s="10"/>
      <c r="C77" s="10"/>
      <c r="D77" s="10"/>
      <c r="E77" s="11"/>
    </row>
    <row r="78" customFormat="false" ht="15" hidden="false" customHeight="false" outlineLevel="0" collapsed="false">
      <c r="A78" s="10"/>
      <c r="B78" s="10"/>
      <c r="C78" s="10"/>
      <c r="D78" s="10"/>
      <c r="E78" s="11"/>
    </row>
    <row r="79" customFormat="false" ht="15" hidden="false" customHeight="false" outlineLevel="0" collapsed="false">
      <c r="A79" s="10"/>
      <c r="B79" s="10"/>
      <c r="C79" s="10"/>
      <c r="D79" s="10"/>
      <c r="E79" s="11"/>
    </row>
    <row r="80" customFormat="false" ht="15" hidden="false" customHeight="false" outlineLevel="0" collapsed="false">
      <c r="A80" s="10"/>
      <c r="B80" s="10"/>
      <c r="C80" s="10"/>
      <c r="D80" s="10"/>
      <c r="E80" s="11"/>
    </row>
    <row r="81" customFormat="false" ht="15" hidden="false" customHeight="false" outlineLevel="0" collapsed="false">
      <c r="A81" s="10"/>
      <c r="B81" s="10"/>
      <c r="C81" s="10"/>
      <c r="D81" s="10"/>
      <c r="E81" s="11"/>
    </row>
    <row r="82" customFormat="false" ht="15" hidden="false" customHeight="false" outlineLevel="0" collapsed="false">
      <c r="A82" s="10"/>
      <c r="B82" s="10"/>
      <c r="C82" s="10"/>
      <c r="D82" s="10"/>
      <c r="E82" s="11"/>
    </row>
    <row r="83" customFormat="false" ht="15" hidden="false" customHeight="false" outlineLevel="0" collapsed="false">
      <c r="A83" s="10"/>
      <c r="B83" s="10"/>
      <c r="C83" s="10"/>
      <c r="D83" s="10"/>
      <c r="E83" s="11"/>
    </row>
    <row r="84" customFormat="false" ht="15" hidden="false" customHeight="false" outlineLevel="0" collapsed="false">
      <c r="A84" s="10"/>
      <c r="B84" s="10"/>
      <c r="C84" s="10"/>
      <c r="D84" s="10"/>
      <c r="E84" s="11"/>
    </row>
    <row r="85" customFormat="false" ht="15" hidden="false" customHeight="false" outlineLevel="0" collapsed="false">
      <c r="A85" s="10"/>
      <c r="B85" s="10"/>
      <c r="C85" s="10"/>
      <c r="D85" s="10"/>
      <c r="E85" s="11"/>
    </row>
    <row r="86" customFormat="false" ht="15" hidden="false" customHeight="false" outlineLevel="0" collapsed="false">
      <c r="A86" s="10"/>
      <c r="B86" s="10"/>
      <c r="C86" s="10"/>
      <c r="D86" s="10"/>
      <c r="E86" s="11"/>
    </row>
    <row r="87" customFormat="false" ht="15" hidden="false" customHeight="false" outlineLevel="0" collapsed="false">
      <c r="A87" s="10"/>
      <c r="B87" s="10"/>
      <c r="C87" s="10"/>
      <c r="D87" s="10"/>
      <c r="E87" s="11"/>
    </row>
    <row r="88" customFormat="false" ht="15" hidden="false" customHeight="false" outlineLevel="0" collapsed="false">
      <c r="A88" s="10"/>
      <c r="B88" s="10"/>
      <c r="C88" s="10"/>
      <c r="D88" s="10"/>
      <c r="E88" s="11"/>
    </row>
    <row r="89" customFormat="false" ht="15" hidden="false" customHeight="false" outlineLevel="0" collapsed="false">
      <c r="A89" s="10"/>
      <c r="B89" s="10"/>
      <c r="C89" s="10"/>
      <c r="D89" s="10"/>
      <c r="E89" s="11"/>
    </row>
    <row r="90" customFormat="false" ht="15" hidden="false" customHeight="false" outlineLevel="0" collapsed="false">
      <c r="A90" s="10"/>
      <c r="B90" s="10"/>
      <c r="C90" s="10"/>
      <c r="D90" s="10"/>
      <c r="E90" s="11"/>
    </row>
    <row r="91" customFormat="false" ht="15" hidden="false" customHeight="false" outlineLevel="0" collapsed="false">
      <c r="A91" s="10"/>
      <c r="B91" s="10"/>
      <c r="C91" s="10"/>
      <c r="D91" s="10"/>
      <c r="E91" s="11"/>
    </row>
    <row r="92" customFormat="false" ht="15" hidden="false" customHeight="false" outlineLevel="0" collapsed="false">
      <c r="A92" s="10"/>
      <c r="B92" s="10"/>
      <c r="C92" s="10"/>
      <c r="D92" s="10"/>
      <c r="E92" s="11"/>
    </row>
    <row r="93" customFormat="false" ht="15" hidden="false" customHeight="false" outlineLevel="0" collapsed="false">
      <c r="A93" s="10"/>
      <c r="B93" s="10"/>
      <c r="C93" s="10"/>
      <c r="D93" s="10"/>
      <c r="E93" s="11"/>
    </row>
    <row r="94" customFormat="false" ht="15" hidden="false" customHeight="false" outlineLevel="0" collapsed="false">
      <c r="A94" s="10"/>
      <c r="B94" s="10"/>
      <c r="C94" s="10"/>
      <c r="D94" s="10"/>
      <c r="E94" s="11"/>
    </row>
    <row r="95" customFormat="false" ht="15" hidden="false" customHeight="false" outlineLevel="0" collapsed="false">
      <c r="A95" s="10"/>
      <c r="B95" s="10"/>
      <c r="C95" s="10"/>
      <c r="D95" s="10"/>
      <c r="E95" s="11"/>
    </row>
    <row r="96" customFormat="false" ht="15" hidden="false" customHeight="false" outlineLevel="0" collapsed="false">
      <c r="A96" s="10"/>
      <c r="B96" s="10"/>
      <c r="C96" s="10"/>
      <c r="D96" s="10"/>
      <c r="E96" s="11"/>
    </row>
    <row r="97" customFormat="false" ht="15" hidden="false" customHeight="false" outlineLevel="0" collapsed="false">
      <c r="A97" s="10"/>
      <c r="B97" s="10"/>
      <c r="C97" s="10"/>
      <c r="D97" s="10"/>
      <c r="E97" s="11"/>
    </row>
    <row r="98" customFormat="false" ht="15" hidden="false" customHeight="false" outlineLevel="0" collapsed="false">
      <c r="A98" s="10"/>
      <c r="B98" s="10"/>
      <c r="C98" s="10"/>
      <c r="D98" s="10"/>
      <c r="E98" s="11"/>
    </row>
    <row r="99" customFormat="false" ht="15" hidden="false" customHeight="false" outlineLevel="0" collapsed="false">
      <c r="A99" s="10"/>
      <c r="B99" s="10"/>
      <c r="C99" s="10"/>
      <c r="D99" s="10"/>
      <c r="E99" s="11"/>
    </row>
    <row r="100" customFormat="false" ht="15" hidden="false" customHeight="false" outlineLevel="0" collapsed="false">
      <c r="A100" s="10"/>
      <c r="B100" s="10"/>
      <c r="C100" s="10"/>
      <c r="D100" s="10"/>
      <c r="E100" s="11"/>
    </row>
    <row r="101" customFormat="false" ht="15" hidden="false" customHeight="false" outlineLevel="0" collapsed="false">
      <c r="A101" s="10"/>
      <c r="B101" s="10"/>
      <c r="C101" s="10"/>
      <c r="D101" s="10"/>
      <c r="E101" s="11"/>
    </row>
    <row r="102" customFormat="false" ht="15" hidden="false" customHeight="false" outlineLevel="0" collapsed="false">
      <c r="A102" s="10"/>
      <c r="B102" s="10"/>
      <c r="C102" s="10"/>
      <c r="D102" s="10"/>
      <c r="E102" s="11"/>
    </row>
    <row r="103" customFormat="false" ht="15" hidden="false" customHeight="false" outlineLevel="0" collapsed="false">
      <c r="A103" s="10"/>
      <c r="B103" s="10"/>
      <c r="C103" s="10"/>
      <c r="D103" s="10"/>
      <c r="E103" s="11"/>
    </row>
    <row r="104" customFormat="false" ht="15" hidden="false" customHeight="false" outlineLevel="0" collapsed="false">
      <c r="A104" s="10"/>
      <c r="B104" s="10"/>
      <c r="C104" s="10"/>
      <c r="D104" s="10"/>
      <c r="E104" s="11"/>
    </row>
    <row r="105" customFormat="false" ht="15" hidden="false" customHeight="false" outlineLevel="0" collapsed="false">
      <c r="A105" s="10"/>
      <c r="B105" s="10"/>
      <c r="C105" s="10"/>
      <c r="D105" s="10"/>
      <c r="E105" s="11"/>
    </row>
    <row r="106" customFormat="false" ht="15" hidden="false" customHeight="false" outlineLevel="0" collapsed="false">
      <c r="A106" s="10"/>
      <c r="B106" s="10"/>
      <c r="C106" s="10"/>
      <c r="D106" s="10"/>
      <c r="E106" s="11"/>
    </row>
    <row r="107" customFormat="false" ht="15" hidden="false" customHeight="false" outlineLevel="0" collapsed="false">
      <c r="A107" s="10"/>
      <c r="B107" s="10"/>
      <c r="C107" s="10"/>
      <c r="D107" s="10"/>
      <c r="E107" s="11"/>
    </row>
    <row r="108" customFormat="false" ht="15" hidden="false" customHeight="false" outlineLevel="0" collapsed="false">
      <c r="A108" s="10"/>
      <c r="B108" s="10"/>
      <c r="C108" s="10"/>
      <c r="D108" s="10"/>
      <c r="E108" s="11"/>
    </row>
    <row r="109" customFormat="false" ht="15" hidden="false" customHeight="false" outlineLevel="0" collapsed="false">
      <c r="A109" s="10"/>
      <c r="B109" s="10"/>
      <c r="C109" s="10"/>
      <c r="D109" s="10"/>
      <c r="E109" s="11"/>
    </row>
    <row r="110" customFormat="false" ht="15" hidden="false" customHeight="false" outlineLevel="0" collapsed="false">
      <c r="A110" s="10"/>
      <c r="B110" s="10"/>
      <c r="C110" s="10"/>
      <c r="D110" s="10"/>
      <c r="E110" s="11"/>
    </row>
    <row r="111" customFormat="false" ht="15" hidden="false" customHeight="false" outlineLevel="0" collapsed="false">
      <c r="A111" s="10"/>
      <c r="B111" s="10"/>
      <c r="C111" s="10"/>
      <c r="D111" s="10"/>
      <c r="E111" s="11"/>
    </row>
    <row r="112" customFormat="false" ht="15" hidden="false" customHeight="false" outlineLevel="0" collapsed="false">
      <c r="A112" s="10"/>
      <c r="B112" s="10"/>
      <c r="C112" s="10"/>
      <c r="D112" s="10"/>
      <c r="E112" s="11"/>
    </row>
    <row r="113" customFormat="false" ht="15" hidden="false" customHeight="false" outlineLevel="0" collapsed="false">
      <c r="A113" s="10"/>
      <c r="B113" s="10"/>
      <c r="C113" s="10"/>
      <c r="D113" s="10"/>
      <c r="E113" s="11"/>
    </row>
    <row r="114" customFormat="false" ht="15" hidden="false" customHeight="false" outlineLevel="0" collapsed="false">
      <c r="A114" s="10"/>
      <c r="B114" s="10"/>
      <c r="C114" s="10"/>
      <c r="D114" s="10"/>
      <c r="E114" s="11"/>
    </row>
    <row r="115" customFormat="false" ht="15" hidden="false" customHeight="false" outlineLevel="0" collapsed="false">
      <c r="A115" s="10"/>
      <c r="B115" s="10"/>
      <c r="C115" s="10"/>
      <c r="D115" s="10"/>
      <c r="E115" s="11"/>
    </row>
    <row r="116" customFormat="false" ht="15" hidden="false" customHeight="false" outlineLevel="0" collapsed="false">
      <c r="A116" s="10"/>
      <c r="B116" s="10"/>
      <c r="C116" s="10"/>
      <c r="D116" s="10"/>
      <c r="E116" s="11"/>
    </row>
    <row r="117" customFormat="false" ht="15" hidden="false" customHeight="false" outlineLevel="0" collapsed="false">
      <c r="A117" s="10"/>
      <c r="B117" s="10"/>
      <c r="C117" s="10"/>
      <c r="D117" s="10"/>
      <c r="E117" s="11"/>
    </row>
    <row r="118" customFormat="false" ht="15" hidden="false" customHeight="false" outlineLevel="0" collapsed="false">
      <c r="A118" s="10"/>
      <c r="B118" s="10"/>
      <c r="C118" s="10"/>
      <c r="D118" s="10"/>
      <c r="E118" s="11"/>
    </row>
    <row r="119" customFormat="false" ht="15" hidden="false" customHeight="false" outlineLevel="0" collapsed="false">
      <c r="A119" s="10"/>
      <c r="B119" s="10"/>
      <c r="C119" s="10"/>
      <c r="D119" s="10"/>
      <c r="E119" s="11"/>
    </row>
    <row r="120" customFormat="false" ht="15" hidden="false" customHeight="false" outlineLevel="0" collapsed="false">
      <c r="A120" s="10"/>
      <c r="B120" s="10"/>
      <c r="C120" s="10"/>
      <c r="D120" s="10"/>
      <c r="E120" s="11"/>
    </row>
    <row r="121" customFormat="false" ht="15" hidden="false" customHeight="false" outlineLevel="0" collapsed="false">
      <c r="A121" s="10"/>
      <c r="B121" s="10"/>
      <c r="C121" s="10"/>
      <c r="D121" s="10"/>
      <c r="E121" s="11"/>
    </row>
    <row r="122" customFormat="false" ht="15" hidden="false" customHeight="false" outlineLevel="0" collapsed="false">
      <c r="A122" s="10"/>
      <c r="B122" s="10"/>
      <c r="C122" s="10"/>
      <c r="D122" s="10"/>
      <c r="E122" s="11"/>
    </row>
    <row r="123" customFormat="false" ht="15" hidden="false" customHeight="false" outlineLevel="0" collapsed="false">
      <c r="A123" s="10"/>
      <c r="B123" s="10"/>
      <c r="C123" s="10"/>
      <c r="D123" s="10"/>
      <c r="E123" s="11"/>
    </row>
    <row r="124" customFormat="false" ht="15" hidden="false" customHeight="false" outlineLevel="0" collapsed="false">
      <c r="A124" s="10"/>
      <c r="B124" s="10"/>
      <c r="C124" s="10"/>
      <c r="D124" s="10"/>
      <c r="E124" s="11"/>
    </row>
    <row r="125" customFormat="false" ht="15" hidden="false" customHeight="false" outlineLevel="0" collapsed="false">
      <c r="A125" s="10"/>
      <c r="B125" s="10"/>
      <c r="C125" s="10"/>
      <c r="D125" s="10"/>
      <c r="E125" s="11"/>
    </row>
    <row r="126" customFormat="false" ht="15" hidden="false" customHeight="false" outlineLevel="0" collapsed="false">
      <c r="A126" s="10"/>
      <c r="B126" s="10"/>
      <c r="C126" s="10"/>
      <c r="D126" s="10"/>
      <c r="E126" s="11"/>
    </row>
    <row r="127" customFormat="false" ht="15" hidden="false" customHeight="false" outlineLevel="0" collapsed="false">
      <c r="A127" s="10"/>
      <c r="B127" s="10"/>
      <c r="C127" s="10"/>
      <c r="D127" s="10"/>
      <c r="E127" s="11"/>
    </row>
    <row r="128" customFormat="false" ht="15" hidden="false" customHeight="false" outlineLevel="0" collapsed="false">
      <c r="A128" s="10"/>
      <c r="B128" s="10"/>
      <c r="C128" s="10"/>
      <c r="D128" s="10"/>
      <c r="E128" s="11"/>
    </row>
    <row r="129" customFormat="false" ht="15" hidden="false" customHeight="false" outlineLevel="0" collapsed="false">
      <c r="A129" s="10"/>
      <c r="B129" s="10"/>
      <c r="C129" s="10"/>
      <c r="D129" s="10"/>
      <c r="E129" s="11"/>
    </row>
    <row r="130" customFormat="false" ht="15" hidden="false" customHeight="false" outlineLevel="0" collapsed="false">
      <c r="A130" s="10"/>
      <c r="B130" s="10"/>
      <c r="C130" s="10"/>
      <c r="D130" s="10"/>
      <c r="E130" s="11"/>
    </row>
    <row r="131" customFormat="false" ht="15" hidden="false" customHeight="false" outlineLevel="0" collapsed="false">
      <c r="A131" s="10"/>
      <c r="B131" s="10"/>
      <c r="C131" s="10"/>
      <c r="D131" s="10"/>
      <c r="E131" s="11"/>
    </row>
    <row r="132" customFormat="false" ht="15" hidden="false" customHeight="false" outlineLevel="0" collapsed="false">
      <c r="A132" s="10"/>
      <c r="B132" s="10"/>
      <c r="C132" s="10"/>
      <c r="D132" s="10"/>
      <c r="E132" s="11"/>
    </row>
    <row r="133" customFormat="false" ht="15" hidden="false" customHeight="false" outlineLevel="0" collapsed="false">
      <c r="A133" s="10"/>
      <c r="B133" s="10"/>
      <c r="C133" s="10"/>
      <c r="D133" s="10"/>
      <c r="E133" s="11"/>
    </row>
    <row r="134" customFormat="false" ht="15" hidden="false" customHeight="false" outlineLevel="0" collapsed="false">
      <c r="A134" s="10"/>
      <c r="B134" s="10"/>
      <c r="C134" s="10"/>
      <c r="D134" s="10"/>
      <c r="E134" s="11"/>
    </row>
    <row r="135" customFormat="false" ht="15" hidden="false" customHeight="false" outlineLevel="0" collapsed="false">
      <c r="A135" s="10"/>
      <c r="B135" s="10"/>
      <c r="C135" s="10"/>
      <c r="D135" s="10"/>
      <c r="E135" s="11"/>
    </row>
    <row r="136" customFormat="false" ht="15" hidden="false" customHeight="false" outlineLevel="0" collapsed="false">
      <c r="A136" s="10"/>
      <c r="B136" s="10"/>
      <c r="C136" s="10"/>
      <c r="D136" s="10"/>
      <c r="E136" s="11"/>
    </row>
    <row r="137" customFormat="false" ht="15" hidden="false" customHeight="false" outlineLevel="0" collapsed="false">
      <c r="A137" s="10"/>
      <c r="B137" s="10"/>
      <c r="C137" s="10"/>
      <c r="D137" s="10"/>
      <c r="E137" s="11"/>
    </row>
    <row r="138" customFormat="false" ht="15" hidden="false" customHeight="false" outlineLevel="0" collapsed="false">
      <c r="A138" s="10"/>
      <c r="B138" s="10"/>
      <c r="C138" s="10"/>
      <c r="D138" s="10"/>
      <c r="E138" s="11"/>
    </row>
    <row r="139" customFormat="false" ht="15" hidden="false" customHeight="false" outlineLevel="0" collapsed="false">
      <c r="A139" s="10"/>
      <c r="B139" s="10"/>
      <c r="C139" s="10"/>
      <c r="D139" s="10"/>
      <c r="E139" s="11"/>
    </row>
    <row r="140" customFormat="false" ht="15" hidden="false" customHeight="false" outlineLevel="0" collapsed="false">
      <c r="A140" s="10"/>
      <c r="B140" s="10"/>
      <c r="C140" s="10"/>
      <c r="D140" s="10"/>
      <c r="E140" s="11"/>
    </row>
    <row r="141" customFormat="false" ht="15" hidden="false" customHeight="false" outlineLevel="0" collapsed="false">
      <c r="A141" s="10"/>
      <c r="B141" s="10"/>
      <c r="C141" s="10"/>
      <c r="D141" s="10"/>
      <c r="E141" s="11"/>
    </row>
    <row r="142" customFormat="false" ht="15" hidden="false" customHeight="false" outlineLevel="0" collapsed="false">
      <c r="A142" s="10"/>
      <c r="B142" s="10"/>
      <c r="C142" s="10"/>
      <c r="D142" s="10"/>
      <c r="E142" s="11"/>
    </row>
    <row r="143" customFormat="false" ht="15" hidden="false" customHeight="false" outlineLevel="0" collapsed="false">
      <c r="A143" s="10"/>
      <c r="B143" s="10"/>
      <c r="C143" s="10"/>
      <c r="D143" s="10"/>
      <c r="E143" s="11"/>
    </row>
    <row r="144" customFormat="false" ht="15" hidden="false" customHeight="false" outlineLevel="0" collapsed="false">
      <c r="A144" s="10"/>
      <c r="B144" s="10"/>
      <c r="C144" s="10"/>
      <c r="D144" s="10"/>
      <c r="E144" s="11"/>
    </row>
    <row r="145" customFormat="false" ht="15" hidden="false" customHeight="false" outlineLevel="0" collapsed="false">
      <c r="A145" s="10"/>
      <c r="B145" s="10"/>
      <c r="C145" s="10"/>
      <c r="D145" s="10"/>
      <c r="E145" s="11"/>
    </row>
    <row r="146" customFormat="false" ht="15" hidden="false" customHeight="false" outlineLevel="0" collapsed="false">
      <c r="A146" s="10"/>
      <c r="B146" s="10"/>
      <c r="C146" s="10"/>
      <c r="D146" s="10"/>
      <c r="E146" s="11"/>
    </row>
    <row r="147" customFormat="false" ht="15" hidden="false" customHeight="false" outlineLevel="0" collapsed="false">
      <c r="A147" s="10"/>
      <c r="B147" s="10"/>
      <c r="C147" s="10"/>
      <c r="D147" s="10"/>
      <c r="E147" s="11"/>
    </row>
    <row r="148" customFormat="false" ht="15" hidden="false" customHeight="false" outlineLevel="0" collapsed="false">
      <c r="A148" s="10"/>
      <c r="B148" s="10"/>
      <c r="C148" s="10"/>
      <c r="D148" s="10"/>
      <c r="E148" s="11"/>
    </row>
    <row r="149" customFormat="false" ht="15" hidden="false" customHeight="false" outlineLevel="0" collapsed="false">
      <c r="A149" s="10"/>
      <c r="B149" s="10"/>
      <c r="C149" s="10"/>
      <c r="D149" s="10"/>
      <c r="E149" s="11"/>
    </row>
    <row r="150" customFormat="false" ht="15" hidden="false" customHeight="false" outlineLevel="0" collapsed="false">
      <c r="A150" s="10"/>
      <c r="B150" s="10"/>
      <c r="C150" s="10"/>
      <c r="D150" s="10"/>
      <c r="E150" s="11"/>
    </row>
    <row r="151" customFormat="false" ht="15" hidden="false" customHeight="false" outlineLevel="0" collapsed="false">
      <c r="A151" s="10"/>
      <c r="B151" s="10"/>
      <c r="C151" s="10"/>
      <c r="D151" s="10"/>
      <c r="E151" s="11"/>
    </row>
    <row r="152" customFormat="false" ht="15" hidden="false" customHeight="false" outlineLevel="0" collapsed="false">
      <c r="A152" s="10"/>
      <c r="B152" s="10"/>
      <c r="C152" s="10"/>
      <c r="D152" s="10"/>
      <c r="E152" s="11"/>
    </row>
    <row r="153" customFormat="false" ht="15" hidden="false" customHeight="false" outlineLevel="0" collapsed="false">
      <c r="A153" s="10"/>
      <c r="B153" s="10"/>
      <c r="C153" s="10"/>
      <c r="D153" s="10"/>
      <c r="E153" s="11"/>
    </row>
    <row r="154" customFormat="false" ht="15" hidden="false" customHeight="false" outlineLevel="0" collapsed="false">
      <c r="A154" s="10"/>
      <c r="B154" s="10"/>
      <c r="C154" s="10"/>
      <c r="D154" s="10"/>
      <c r="E154" s="11"/>
    </row>
    <row r="155" customFormat="false" ht="15" hidden="false" customHeight="false" outlineLevel="0" collapsed="false">
      <c r="A155" s="10"/>
      <c r="B155" s="10"/>
      <c r="C155" s="10"/>
      <c r="D155" s="10"/>
      <c r="E155" s="11"/>
    </row>
    <row r="156" customFormat="false" ht="15" hidden="false" customHeight="false" outlineLevel="0" collapsed="false">
      <c r="A156" s="10"/>
      <c r="B156" s="10"/>
      <c r="C156" s="10"/>
      <c r="D156" s="10"/>
      <c r="E156" s="11"/>
    </row>
    <row r="157" customFormat="false" ht="15" hidden="false" customHeight="false" outlineLevel="0" collapsed="false">
      <c r="A157" s="10"/>
      <c r="B157" s="10"/>
      <c r="C157" s="10"/>
      <c r="D157" s="10"/>
      <c r="E157" s="11"/>
    </row>
    <row r="158" customFormat="false" ht="15" hidden="false" customHeight="false" outlineLevel="0" collapsed="false">
      <c r="A158" s="10"/>
      <c r="B158" s="10"/>
      <c r="C158" s="10"/>
      <c r="D158" s="10"/>
      <c r="E158" s="11"/>
    </row>
    <row r="159" customFormat="false" ht="15" hidden="false" customHeight="false" outlineLevel="0" collapsed="false">
      <c r="A159" s="10"/>
      <c r="B159" s="10"/>
      <c r="C159" s="10"/>
      <c r="D159" s="10"/>
      <c r="E159" s="11"/>
    </row>
    <row r="160" customFormat="false" ht="15" hidden="false" customHeight="false" outlineLevel="0" collapsed="false">
      <c r="A160" s="10"/>
      <c r="B160" s="10"/>
      <c r="C160" s="10"/>
      <c r="D160" s="10"/>
      <c r="E160" s="11"/>
    </row>
    <row r="161" customFormat="false" ht="15" hidden="false" customHeight="false" outlineLevel="0" collapsed="false">
      <c r="A161" s="10"/>
      <c r="B161" s="10"/>
      <c r="C161" s="10"/>
      <c r="D161" s="10"/>
      <c r="E161" s="11"/>
    </row>
    <row r="162" customFormat="false" ht="15" hidden="false" customHeight="false" outlineLevel="0" collapsed="false">
      <c r="A162" s="10"/>
      <c r="B162" s="10"/>
      <c r="C162" s="10"/>
      <c r="D162" s="10"/>
      <c r="E162" s="11"/>
    </row>
    <row r="163" customFormat="false" ht="15" hidden="false" customHeight="false" outlineLevel="0" collapsed="false">
      <c r="A163" s="10"/>
      <c r="B163" s="10"/>
      <c r="C163" s="10"/>
      <c r="D163" s="10"/>
      <c r="E163" s="11"/>
    </row>
    <row r="164" customFormat="false" ht="15" hidden="false" customHeight="false" outlineLevel="0" collapsed="false">
      <c r="A164" s="10"/>
      <c r="B164" s="10"/>
      <c r="C164" s="10"/>
      <c r="D164" s="10"/>
      <c r="E164" s="11"/>
    </row>
    <row r="165" customFormat="false" ht="15" hidden="false" customHeight="false" outlineLevel="0" collapsed="false">
      <c r="A165" s="10"/>
      <c r="B165" s="10"/>
      <c r="C165" s="10"/>
      <c r="D165" s="10"/>
      <c r="E165" s="11"/>
    </row>
    <row r="166" customFormat="false" ht="15" hidden="false" customHeight="false" outlineLevel="0" collapsed="false">
      <c r="A166" s="10"/>
      <c r="B166" s="10"/>
      <c r="C166" s="10"/>
      <c r="D166" s="10"/>
      <c r="E166" s="11"/>
    </row>
    <row r="167" customFormat="false" ht="15" hidden="false" customHeight="false" outlineLevel="0" collapsed="false">
      <c r="A167" s="10"/>
      <c r="B167" s="10"/>
      <c r="C167" s="10"/>
      <c r="D167" s="10"/>
      <c r="E167" s="11"/>
    </row>
    <row r="168" customFormat="false" ht="15" hidden="false" customHeight="false" outlineLevel="0" collapsed="false">
      <c r="A168" s="10"/>
      <c r="B168" s="10"/>
      <c r="C168" s="10"/>
      <c r="D168" s="10"/>
      <c r="E168" s="11"/>
    </row>
    <row r="169" customFormat="false" ht="15" hidden="false" customHeight="false" outlineLevel="0" collapsed="false">
      <c r="A169" s="10"/>
      <c r="B169" s="10"/>
      <c r="C169" s="10"/>
      <c r="D169" s="10"/>
      <c r="E169" s="11"/>
    </row>
    <row r="170" customFormat="false" ht="15" hidden="false" customHeight="false" outlineLevel="0" collapsed="false">
      <c r="A170" s="10"/>
      <c r="B170" s="10"/>
      <c r="C170" s="10"/>
      <c r="D170" s="10"/>
      <c r="E170" s="11"/>
    </row>
    <row r="171" customFormat="false" ht="15" hidden="false" customHeight="false" outlineLevel="0" collapsed="false">
      <c r="A171" s="10"/>
      <c r="B171" s="10"/>
      <c r="C171" s="10"/>
      <c r="D171" s="10"/>
      <c r="E171" s="11"/>
    </row>
    <row r="172" customFormat="false" ht="15" hidden="false" customHeight="false" outlineLevel="0" collapsed="false">
      <c r="A172" s="10"/>
      <c r="B172" s="10"/>
      <c r="C172" s="10"/>
      <c r="D172" s="10"/>
      <c r="E172" s="11"/>
    </row>
    <row r="173" customFormat="false" ht="15" hidden="false" customHeight="false" outlineLevel="0" collapsed="false">
      <c r="A173" s="10"/>
      <c r="B173" s="10"/>
      <c r="C173" s="10"/>
      <c r="D173" s="10"/>
      <c r="E173" s="11"/>
    </row>
    <row r="174" customFormat="false" ht="15" hidden="false" customHeight="false" outlineLevel="0" collapsed="false">
      <c r="A174" s="10"/>
      <c r="B174" s="10"/>
      <c r="C174" s="10"/>
      <c r="D174" s="10"/>
      <c r="E174" s="11"/>
    </row>
    <row r="175" customFormat="false" ht="15" hidden="false" customHeight="false" outlineLevel="0" collapsed="false">
      <c r="A175" s="10"/>
      <c r="B175" s="10"/>
      <c r="C175" s="10"/>
      <c r="D175" s="10"/>
      <c r="E175" s="11"/>
    </row>
    <row r="176" customFormat="false" ht="15" hidden="false" customHeight="false" outlineLevel="0" collapsed="false">
      <c r="A176" s="10"/>
      <c r="B176" s="10"/>
      <c r="C176" s="10"/>
      <c r="D176" s="10"/>
      <c r="E176" s="11"/>
    </row>
    <row r="177" customFormat="false" ht="15" hidden="false" customHeight="false" outlineLevel="0" collapsed="false">
      <c r="A177" s="10"/>
      <c r="B177" s="10"/>
      <c r="C177" s="10"/>
      <c r="D177" s="10"/>
      <c r="E177" s="11"/>
    </row>
    <row r="178" customFormat="false" ht="15" hidden="false" customHeight="false" outlineLevel="0" collapsed="false">
      <c r="A178" s="10"/>
      <c r="B178" s="10"/>
      <c r="C178" s="10"/>
      <c r="D178" s="10"/>
      <c r="E178" s="11"/>
    </row>
    <row r="179" customFormat="false" ht="15" hidden="false" customHeight="false" outlineLevel="0" collapsed="false">
      <c r="A179" s="10"/>
      <c r="B179" s="10"/>
      <c r="C179" s="10"/>
      <c r="D179" s="10"/>
      <c r="E179" s="11"/>
    </row>
    <row r="180" customFormat="false" ht="15" hidden="false" customHeight="false" outlineLevel="0" collapsed="false">
      <c r="A180" s="10"/>
      <c r="B180" s="10"/>
      <c r="C180" s="10"/>
      <c r="D180" s="10"/>
      <c r="E180" s="11"/>
    </row>
    <row r="181" customFormat="false" ht="15" hidden="false" customHeight="false" outlineLevel="0" collapsed="false">
      <c r="A181" s="10"/>
      <c r="B181" s="10"/>
      <c r="C181" s="10"/>
      <c r="D181" s="10"/>
      <c r="E181" s="11"/>
    </row>
    <row r="182" customFormat="false" ht="15" hidden="false" customHeight="false" outlineLevel="0" collapsed="false">
      <c r="A182" s="10"/>
      <c r="B182" s="10"/>
      <c r="C182" s="10"/>
      <c r="D182" s="10"/>
      <c r="E182" s="11"/>
    </row>
    <row r="183" customFormat="false" ht="15" hidden="false" customHeight="false" outlineLevel="0" collapsed="false">
      <c r="A183" s="10"/>
      <c r="B183" s="10"/>
      <c r="C183" s="10"/>
      <c r="D183" s="10"/>
      <c r="E183" s="11"/>
    </row>
    <row r="184" customFormat="false" ht="15" hidden="false" customHeight="false" outlineLevel="0" collapsed="false">
      <c r="A184" s="10"/>
      <c r="B184" s="10"/>
      <c r="C184" s="10"/>
      <c r="D184" s="10"/>
      <c r="E184" s="11"/>
    </row>
    <row r="185" customFormat="false" ht="15" hidden="false" customHeight="false" outlineLevel="0" collapsed="false">
      <c r="A185" s="10"/>
      <c r="B185" s="10"/>
      <c r="C185" s="10"/>
      <c r="D185" s="10"/>
      <c r="E185" s="11"/>
    </row>
    <row r="186" customFormat="false" ht="15" hidden="false" customHeight="false" outlineLevel="0" collapsed="false">
      <c r="A186" s="10"/>
      <c r="B186" s="10"/>
      <c r="C186" s="10"/>
      <c r="D186" s="10"/>
      <c r="E186" s="11"/>
    </row>
    <row r="187" customFormat="false" ht="15" hidden="false" customHeight="false" outlineLevel="0" collapsed="false">
      <c r="A187" s="10"/>
      <c r="B187" s="10"/>
      <c r="C187" s="10"/>
      <c r="D187" s="10"/>
      <c r="E187" s="11"/>
    </row>
    <row r="188" customFormat="false" ht="15" hidden="false" customHeight="false" outlineLevel="0" collapsed="false">
      <c r="A188" s="10"/>
      <c r="B188" s="10"/>
      <c r="C188" s="10"/>
      <c r="D188" s="10"/>
      <c r="E188" s="11"/>
    </row>
    <row r="189" customFormat="false" ht="15" hidden="false" customHeight="false" outlineLevel="0" collapsed="false">
      <c r="A189" s="10"/>
      <c r="B189" s="10"/>
      <c r="C189" s="10"/>
      <c r="D189" s="10"/>
      <c r="E189" s="11"/>
    </row>
    <row r="190" customFormat="false" ht="15" hidden="false" customHeight="false" outlineLevel="0" collapsed="false">
      <c r="A190" s="10"/>
      <c r="B190" s="10"/>
      <c r="C190" s="10"/>
      <c r="D190" s="10"/>
      <c r="E190" s="11"/>
    </row>
    <row r="191" customFormat="false" ht="15" hidden="false" customHeight="false" outlineLevel="0" collapsed="false">
      <c r="A191" s="10"/>
      <c r="B191" s="10"/>
      <c r="C191" s="10"/>
      <c r="D191" s="10"/>
      <c r="E191" s="11"/>
    </row>
    <row r="192" customFormat="false" ht="15" hidden="false" customHeight="false" outlineLevel="0" collapsed="false">
      <c r="A192" s="10"/>
      <c r="B192" s="10"/>
      <c r="C192" s="10"/>
      <c r="D192" s="10"/>
      <c r="E192" s="11"/>
    </row>
    <row r="193" customFormat="false" ht="15" hidden="false" customHeight="false" outlineLevel="0" collapsed="false">
      <c r="A193" s="10"/>
      <c r="B193" s="10"/>
      <c r="C193" s="10"/>
      <c r="D193" s="10"/>
      <c r="E193" s="11"/>
    </row>
    <row r="194" customFormat="false" ht="15" hidden="false" customHeight="false" outlineLevel="0" collapsed="false">
      <c r="A194" s="10"/>
      <c r="B194" s="10"/>
      <c r="C194" s="10"/>
      <c r="D194" s="10"/>
      <c r="E194" s="11"/>
    </row>
    <row r="195" customFormat="false" ht="15" hidden="false" customHeight="false" outlineLevel="0" collapsed="false">
      <c r="A195" s="10"/>
      <c r="B195" s="10"/>
      <c r="C195" s="10"/>
      <c r="D195" s="10"/>
      <c r="E195" s="11"/>
    </row>
    <row r="196" customFormat="false" ht="15" hidden="false" customHeight="false" outlineLevel="0" collapsed="false">
      <c r="A196" s="10"/>
      <c r="B196" s="10"/>
      <c r="C196" s="10"/>
      <c r="D196" s="10"/>
      <c r="E196" s="11"/>
    </row>
    <row r="197" customFormat="false" ht="15" hidden="false" customHeight="false" outlineLevel="0" collapsed="false">
      <c r="A197" s="10"/>
      <c r="B197" s="10"/>
      <c r="C197" s="10"/>
      <c r="D197" s="10"/>
      <c r="E197" s="11"/>
    </row>
    <row r="198" customFormat="false" ht="15" hidden="false" customHeight="false" outlineLevel="0" collapsed="false">
      <c r="A198" s="10"/>
      <c r="B198" s="10"/>
      <c r="C198" s="10"/>
      <c r="D198" s="10"/>
      <c r="E198" s="11"/>
    </row>
    <row r="199" customFormat="false" ht="15" hidden="false" customHeight="false" outlineLevel="0" collapsed="false">
      <c r="A199" s="10"/>
      <c r="B199" s="10"/>
      <c r="C199" s="10"/>
      <c r="D199" s="10"/>
      <c r="E199" s="11"/>
    </row>
    <row r="200" customFormat="false" ht="15" hidden="false" customHeight="false" outlineLevel="0" collapsed="false">
      <c r="A200" s="10"/>
      <c r="B200" s="10"/>
      <c r="C200" s="10"/>
      <c r="D200" s="10"/>
      <c r="E200" s="11"/>
    </row>
    <row r="201" customFormat="false" ht="15" hidden="false" customHeight="false" outlineLevel="0" collapsed="false">
      <c r="A201" s="10"/>
      <c r="B201" s="10"/>
      <c r="C201" s="10"/>
      <c r="D201" s="10"/>
      <c r="E201" s="11"/>
    </row>
    <row r="202" customFormat="false" ht="15" hidden="false" customHeight="false" outlineLevel="0" collapsed="false">
      <c r="A202" s="10"/>
      <c r="B202" s="10"/>
      <c r="C202" s="10"/>
      <c r="D202" s="10"/>
      <c r="E202" s="11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3"/>
    <col collapsed="false" customWidth="true" hidden="false" outlineLevel="0" max="3" min="3" style="1" width="24"/>
    <col collapsed="false" customWidth="true" hidden="false" outlineLevel="0" max="4" min="4" style="1" width="13"/>
    <col collapsed="false" customWidth="true" hidden="false" outlineLevel="0" max="5" min="5" style="1" width="26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0" min="10" style="1" width="14"/>
    <col collapsed="false" customWidth="true" hidden="false" outlineLevel="0" max="12" min="11" style="1" width="13"/>
  </cols>
  <sheetData>
    <row r="1" customFormat="false" ht="25.5" hidden="false" customHeight="true" outlineLevel="0" collapsed="false">
      <c r="A1" s="2" t="s">
        <v>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12" t="s">
        <v>57</v>
      </c>
      <c r="B2" s="8" t="s">
        <v>58</v>
      </c>
      <c r="C2" s="8" t="s">
        <v>25</v>
      </c>
      <c r="D2" s="8" t="s">
        <v>39</v>
      </c>
      <c r="E2" s="12" t="s">
        <v>59</v>
      </c>
      <c r="F2" s="12" t="s">
        <v>60</v>
      </c>
      <c r="G2" s="8" t="s">
        <v>61</v>
      </c>
      <c r="H2" s="8" t="s">
        <v>62</v>
      </c>
      <c r="I2" s="12" t="s">
        <v>63</v>
      </c>
      <c r="J2" s="12" t="s">
        <v>64</v>
      </c>
      <c r="K2" s="13" t="s">
        <v>65</v>
      </c>
      <c r="L2" s="12" t="s">
        <v>66</v>
      </c>
    </row>
    <row r="3" customFormat="false" ht="15" hidden="false" customHeight="false" outlineLevel="0" collapsed="false">
      <c r="A3" s="14" t="str">
        <f aca="false">IF($B3="","",TEXT($B3,"yymmdd")&amp;"-"&amp;TEXT(COUNTIFS($B$3:$B3,$B3),"00"))</f>
        <v>260801-01</v>
      </c>
      <c r="B3" s="15" t="n">
        <v>46235</v>
      </c>
      <c r="C3" s="9" t="s">
        <v>29</v>
      </c>
      <c r="D3" s="10" t="s">
        <v>44</v>
      </c>
      <c r="E3" s="14" t="str">
        <f aca="false">IF($D3="","",IFERROR(INDEX(품목목록!$B$3:$B$202,MATCH($D3,품목목록!$A$3:$A$202,0)),"미등록품번"))</f>
        <v>원단 샘플북 A</v>
      </c>
      <c r="F3" s="14" t="str">
        <f aca="false">IF($D3="","",IFERROR(INDEX(품목목록!$D$3:$D$202,MATCH($D3,품목목록!$A$3:$A$202,0)),""))</f>
        <v>권</v>
      </c>
      <c r="G3" s="11" t="n">
        <v>3</v>
      </c>
      <c r="H3" s="15" t="n">
        <v>46265</v>
      </c>
      <c r="I3" s="16" t="n">
        <f aca="false">IF($A3="","",SUMIFS(반납내역!$D$3:$D$1502,반납내역!$B$3:$B$1502,$A3))</f>
        <v>3</v>
      </c>
      <c r="J3" s="16" t="n">
        <f aca="false">IF($A3="","",IF($G3="","",$G3-$I3))</f>
        <v>0</v>
      </c>
      <c r="K3" s="17" t="str">
        <f aca="true">IF(OR($A3="",$J3="",$J3&lt;=0,$H3=""),"",TODAY()-$H3)</f>
        <v/>
      </c>
      <c r="L3" s="14" t="str">
        <f aca="false">IF($A3="","",IF($G3="","",IF($J3&lt;=0,"반납완료",IF($I3&gt;0,"부분반납","미반납"))))</f>
        <v>반납완료</v>
      </c>
    </row>
    <row r="4" customFormat="false" ht="15" hidden="false" customHeight="false" outlineLevel="0" collapsed="false">
      <c r="A4" s="14" t="str">
        <f aca="false">IF($B4="","",TEXT($B4,"yymmdd")&amp;"-"&amp;TEXT(COUNTIFS($B$3:$B4,$B4),"00"))</f>
        <v>260901-01</v>
      </c>
      <c r="B4" s="15" t="n">
        <v>46266</v>
      </c>
      <c r="C4" s="9" t="s">
        <v>32</v>
      </c>
      <c r="D4" s="10" t="s">
        <v>48</v>
      </c>
      <c r="E4" s="14" t="str">
        <f aca="false">IF($D4="","",IFERROR(INDEX(품목목록!$B$3:$B$202,MATCH($D4,품목목록!$A$3:$A$202,0)),"미등록품번"))</f>
        <v>컬러칩 세트</v>
      </c>
      <c r="F4" s="14" t="str">
        <f aca="false">IF($D4="","",IFERROR(INDEX(품목목록!$D$3:$D$202,MATCH($D4,품목목록!$A$3:$A$202,0)),""))</f>
        <v>세트</v>
      </c>
      <c r="G4" s="11" t="n">
        <v>2</v>
      </c>
      <c r="H4" s="15" t="n">
        <v>46295</v>
      </c>
      <c r="I4" s="16" t="n">
        <f aca="false">IF($A4="","",SUMIFS(반납내역!$D$3:$D$1502,반납내역!$B$3:$B$1502,$A4))</f>
        <v>0</v>
      </c>
      <c r="J4" s="16" t="n">
        <f aca="false">IF($A4="","",IF($G4="","",$G4-$I4))</f>
        <v>2</v>
      </c>
      <c r="K4" s="17" t="n">
        <f aca="true">IF(OR($A4="",$J4="",$J4&lt;=0,$H4=""),"",TODAY()-$H4)</f>
        <v>-16</v>
      </c>
      <c r="L4" s="14" t="str">
        <f aca="false">IF($A4="","",IF($G4="","",IF($J4&lt;=0,"반납완료",IF($I4&gt;0,"부분반납","미반납"))))</f>
        <v>미반납</v>
      </c>
    </row>
    <row r="5" customFormat="false" ht="15" hidden="false" customHeight="false" outlineLevel="0" collapsed="false">
      <c r="A5" s="14" t="str">
        <f aca="false">IF($B5="","",TEXT($B5,"yymmdd")&amp;"-"&amp;TEXT(COUNTIFS($B$3:$B5,$B5),"00"))</f>
        <v>260905-01</v>
      </c>
      <c r="B5" s="15" t="n">
        <v>46270</v>
      </c>
      <c r="C5" s="9" t="s">
        <v>35</v>
      </c>
      <c r="D5" s="10" t="s">
        <v>52</v>
      </c>
      <c r="E5" s="14" t="str">
        <f aca="false">IF($D5="","",IFERROR(INDEX(품목목록!$B$3:$B$202,MATCH($D5,품목목록!$A$3:$A$202,0)),"미등록품번"))</f>
        <v>시연용 노트북</v>
      </c>
      <c r="F5" s="14" t="str">
        <f aca="false">IF($D5="","",IFERROR(INDEX(품목목록!$D$3:$D$202,MATCH($D5,품목목록!$A$3:$A$202,0)),""))</f>
        <v>대</v>
      </c>
      <c r="G5" s="11" t="n">
        <v>1</v>
      </c>
      <c r="H5" s="15" t="n">
        <v>46277</v>
      </c>
      <c r="I5" s="16" t="n">
        <f aca="false">IF($A5="","",SUMIFS(반납내역!$D$3:$D$1502,반납내역!$B$3:$B$1502,$A5))</f>
        <v>1</v>
      </c>
      <c r="J5" s="16" t="n">
        <f aca="false">IF($A5="","",IF($G5="","",$G5-$I5))</f>
        <v>0</v>
      </c>
      <c r="K5" s="17" t="str">
        <f aca="true">IF(OR($A5="",$J5="",$J5&lt;=0,$H5=""),"",TODAY()-$H5)</f>
        <v/>
      </c>
      <c r="L5" s="14" t="str">
        <f aca="false">IF($A5="","",IF($G5="","",IF($J5&lt;=0,"반납완료",IF($I5&gt;0,"부분반납","미반납"))))</f>
        <v>반납완료</v>
      </c>
    </row>
    <row r="6" customFormat="false" ht="15" hidden="false" customHeight="false" outlineLevel="0" collapsed="false">
      <c r="A6" s="14" t="str">
        <f aca="false">IF($B6="","",TEXT($B6,"yymmdd")&amp;"-"&amp;TEXT(COUNTIFS($B$3:$B6,$B6),"00"))</f>
        <v>260910-01</v>
      </c>
      <c r="B6" s="15" t="n">
        <v>46275</v>
      </c>
      <c r="C6" s="9" t="s">
        <v>29</v>
      </c>
      <c r="D6" s="10" t="s">
        <v>44</v>
      </c>
      <c r="E6" s="14" t="str">
        <f aca="false">IF($D6="","",IFERROR(INDEX(품목목록!$B$3:$B$202,MATCH($D6,품목목록!$A$3:$A$202,0)),"미등록품번"))</f>
        <v>원단 샘플북 A</v>
      </c>
      <c r="F6" s="14" t="str">
        <f aca="false">IF($D6="","",IFERROR(INDEX(품목목록!$D$3:$D$202,MATCH($D6,품목목록!$A$3:$A$202,0)),""))</f>
        <v>권</v>
      </c>
      <c r="G6" s="11" t="n">
        <v>2</v>
      </c>
      <c r="H6" s="15" t="n">
        <v>46305</v>
      </c>
      <c r="I6" s="16" t="n">
        <f aca="false">IF($A6="","",SUMIFS(반납내역!$D$3:$D$1502,반납내역!$B$3:$B$1502,$A6))</f>
        <v>0</v>
      </c>
      <c r="J6" s="16" t="n">
        <f aca="false">IF($A6="","",IF($G6="","",$G6-$I6))</f>
        <v>2</v>
      </c>
      <c r="K6" s="17" t="n">
        <f aca="true">IF(OR($A6="",$J6="",$J6&lt;=0,$H6=""),"",TODAY()-$H6)</f>
        <v>-26</v>
      </c>
      <c r="L6" s="14" t="str">
        <f aca="false">IF($A6="","",IF($G6="","",IF($J6&lt;=0,"반납완료",IF($I6&gt;0,"부분반납","미반납"))))</f>
        <v>미반납</v>
      </c>
    </row>
    <row r="7" customFormat="false" ht="15" hidden="false" customHeight="false" outlineLevel="0" collapsed="false">
      <c r="A7" s="14" t="str">
        <f aca="false">IF($B7="","",TEXT($B7,"yymmdd")&amp;"-"&amp;TEXT(COUNTIFS($B$3:$B7,$B7),"00"))</f>
        <v/>
      </c>
      <c r="B7" s="15"/>
      <c r="C7" s="9"/>
      <c r="D7" s="10"/>
      <c r="E7" s="14" t="str">
        <f aca="false">IF($D7="","",IFERROR(INDEX(품목목록!$B$3:$B$202,MATCH($D7,품목목록!$A$3:$A$202,0)),"미등록품번"))</f>
        <v/>
      </c>
      <c r="F7" s="14" t="str">
        <f aca="false">IF($D7="","",IFERROR(INDEX(품목목록!$D$3:$D$202,MATCH($D7,품목목록!$A$3:$A$202,0)),""))</f>
        <v/>
      </c>
      <c r="G7" s="11"/>
      <c r="H7" s="15"/>
      <c r="I7" s="16" t="str">
        <f aca="false">IF($A7="","",SUMIFS(반납내역!$D$3:$D$1502,반납내역!$B$3:$B$1502,$A7))</f>
        <v/>
      </c>
      <c r="J7" s="16" t="str">
        <f aca="false">IF($A7="","",IF($G7="","",$G7-$I7))</f>
        <v/>
      </c>
      <c r="K7" s="17" t="str">
        <f aca="true">IF(OR($A7="",$J7="",$J7&lt;=0,$H7=""),"",TODAY()-$H7)</f>
        <v/>
      </c>
      <c r="L7" s="14" t="str">
        <f aca="false">IF($A7="","",IF($G7="","",IF($J7&lt;=0,"반납완료",IF($I7&gt;0,"부분반납","미반납"))))</f>
        <v/>
      </c>
    </row>
    <row r="8" customFormat="false" ht="15" hidden="false" customHeight="false" outlineLevel="0" collapsed="false">
      <c r="A8" s="14" t="str">
        <f aca="false">IF($B8="","",TEXT($B8,"yymmdd")&amp;"-"&amp;TEXT(COUNTIFS($B$3:$B8,$B8),"00"))</f>
        <v/>
      </c>
      <c r="B8" s="15"/>
      <c r="C8" s="9"/>
      <c r="D8" s="10"/>
      <c r="E8" s="14" t="str">
        <f aca="false">IF($D8="","",IFERROR(INDEX(품목목록!$B$3:$B$202,MATCH($D8,품목목록!$A$3:$A$202,0)),"미등록품번"))</f>
        <v/>
      </c>
      <c r="F8" s="14" t="str">
        <f aca="false">IF($D8="","",IFERROR(INDEX(품목목록!$D$3:$D$202,MATCH($D8,품목목록!$A$3:$A$202,0)),""))</f>
        <v/>
      </c>
      <c r="G8" s="11"/>
      <c r="H8" s="15"/>
      <c r="I8" s="16" t="str">
        <f aca="false">IF($A8="","",SUMIFS(반납내역!$D$3:$D$1502,반납내역!$B$3:$B$1502,$A8))</f>
        <v/>
      </c>
      <c r="J8" s="16" t="str">
        <f aca="false">IF($A8="","",IF($G8="","",$G8-$I8))</f>
        <v/>
      </c>
      <c r="K8" s="17" t="str">
        <f aca="true">IF(OR($A8="",$J8="",$J8&lt;=0,$H8=""),"",TODAY()-$H8)</f>
        <v/>
      </c>
      <c r="L8" s="14" t="str">
        <f aca="false">IF($A8="","",IF($G8="","",IF($J8&lt;=0,"반납완료",IF($I8&gt;0,"부분반납","미반납"))))</f>
        <v/>
      </c>
    </row>
    <row r="9" customFormat="false" ht="15" hidden="false" customHeight="false" outlineLevel="0" collapsed="false">
      <c r="A9" s="14" t="str">
        <f aca="false">IF($B9="","",TEXT($B9,"yymmdd")&amp;"-"&amp;TEXT(COUNTIFS($B$3:$B9,$B9),"00"))</f>
        <v/>
      </c>
      <c r="B9" s="15"/>
      <c r="C9" s="9"/>
      <c r="D9" s="10"/>
      <c r="E9" s="14" t="str">
        <f aca="false">IF($D9="","",IFERROR(INDEX(품목목록!$B$3:$B$202,MATCH($D9,품목목록!$A$3:$A$202,0)),"미등록품번"))</f>
        <v/>
      </c>
      <c r="F9" s="14" t="str">
        <f aca="false">IF($D9="","",IFERROR(INDEX(품목목록!$D$3:$D$202,MATCH($D9,품목목록!$A$3:$A$202,0)),""))</f>
        <v/>
      </c>
      <c r="G9" s="11"/>
      <c r="H9" s="15"/>
      <c r="I9" s="16" t="str">
        <f aca="false">IF($A9="","",SUMIFS(반납내역!$D$3:$D$1502,반납내역!$B$3:$B$1502,$A9))</f>
        <v/>
      </c>
      <c r="J9" s="16" t="str">
        <f aca="false">IF($A9="","",IF($G9="","",$G9-$I9))</f>
        <v/>
      </c>
      <c r="K9" s="17" t="str">
        <f aca="true">IF(OR($A9="",$J9="",$J9&lt;=0,$H9=""),"",TODAY()-$H9)</f>
        <v/>
      </c>
      <c r="L9" s="14" t="str">
        <f aca="false">IF($A9="","",IF($G9="","",IF($J9&lt;=0,"반납완료",IF($I9&gt;0,"부분반납","미반납"))))</f>
        <v/>
      </c>
    </row>
    <row r="10" customFormat="false" ht="15" hidden="false" customHeight="false" outlineLevel="0" collapsed="false">
      <c r="A10" s="14" t="str">
        <f aca="false">IF($B10="","",TEXT($B10,"yymmdd")&amp;"-"&amp;TEXT(COUNTIFS($B$3:$B10,$B10),"00"))</f>
        <v/>
      </c>
      <c r="B10" s="15"/>
      <c r="C10" s="9"/>
      <c r="D10" s="10"/>
      <c r="E10" s="14" t="str">
        <f aca="false">IF($D10="","",IFERROR(INDEX(품목목록!$B$3:$B$202,MATCH($D10,품목목록!$A$3:$A$202,0)),"미등록품번"))</f>
        <v/>
      </c>
      <c r="F10" s="14" t="str">
        <f aca="false">IF($D10="","",IFERROR(INDEX(품목목록!$D$3:$D$202,MATCH($D10,품목목록!$A$3:$A$202,0)),""))</f>
        <v/>
      </c>
      <c r="G10" s="11"/>
      <c r="H10" s="15"/>
      <c r="I10" s="16" t="str">
        <f aca="false">IF($A10="","",SUMIFS(반납내역!$D$3:$D$1502,반납내역!$B$3:$B$1502,$A10))</f>
        <v/>
      </c>
      <c r="J10" s="16" t="str">
        <f aca="false">IF($A10="","",IF($G10="","",$G10-$I10))</f>
        <v/>
      </c>
      <c r="K10" s="17" t="str">
        <f aca="true">IF(OR($A10="",$J10="",$J10&lt;=0,$H10=""),"",TODAY()-$H10)</f>
        <v/>
      </c>
      <c r="L10" s="14" t="str">
        <f aca="false">IF($A10="","",IF($G10="","",IF($J10&lt;=0,"반납완료",IF($I10&gt;0,"부분반납","미반납"))))</f>
        <v/>
      </c>
    </row>
    <row r="11" customFormat="false" ht="15" hidden="false" customHeight="false" outlineLevel="0" collapsed="false">
      <c r="A11" s="14" t="str">
        <f aca="false">IF($B11="","",TEXT($B11,"yymmdd")&amp;"-"&amp;TEXT(COUNTIFS($B$3:$B11,$B11),"00"))</f>
        <v/>
      </c>
      <c r="B11" s="15"/>
      <c r="C11" s="9"/>
      <c r="D11" s="10"/>
      <c r="E11" s="14" t="str">
        <f aca="false">IF($D11="","",IFERROR(INDEX(품목목록!$B$3:$B$202,MATCH($D11,품목목록!$A$3:$A$202,0)),"미등록품번"))</f>
        <v/>
      </c>
      <c r="F11" s="14" t="str">
        <f aca="false">IF($D11="","",IFERROR(INDEX(품목목록!$D$3:$D$202,MATCH($D11,품목목록!$A$3:$A$202,0)),""))</f>
        <v/>
      </c>
      <c r="G11" s="11"/>
      <c r="H11" s="15"/>
      <c r="I11" s="16" t="str">
        <f aca="false">IF($A11="","",SUMIFS(반납내역!$D$3:$D$1502,반납내역!$B$3:$B$1502,$A11))</f>
        <v/>
      </c>
      <c r="J11" s="16" t="str">
        <f aca="false">IF($A11="","",IF($G11="","",$G11-$I11))</f>
        <v/>
      </c>
      <c r="K11" s="17" t="str">
        <f aca="true">IF(OR($A11="",$J11="",$J11&lt;=0,$H11=""),"",TODAY()-$H11)</f>
        <v/>
      </c>
      <c r="L11" s="14" t="str">
        <f aca="false">IF($A11="","",IF($G11="","",IF($J11&lt;=0,"반납완료",IF($I11&gt;0,"부분반납","미반납"))))</f>
        <v/>
      </c>
    </row>
    <row r="12" customFormat="false" ht="15" hidden="false" customHeight="false" outlineLevel="0" collapsed="false">
      <c r="A12" s="14" t="str">
        <f aca="false">IF($B12="","",TEXT($B12,"yymmdd")&amp;"-"&amp;TEXT(COUNTIFS($B$3:$B12,$B12),"00"))</f>
        <v/>
      </c>
      <c r="B12" s="15"/>
      <c r="C12" s="9"/>
      <c r="D12" s="10"/>
      <c r="E12" s="14" t="str">
        <f aca="false">IF($D12="","",IFERROR(INDEX(품목목록!$B$3:$B$202,MATCH($D12,품목목록!$A$3:$A$202,0)),"미등록품번"))</f>
        <v/>
      </c>
      <c r="F12" s="14" t="str">
        <f aca="false">IF($D12="","",IFERROR(INDEX(품목목록!$D$3:$D$202,MATCH($D12,품목목록!$A$3:$A$202,0)),""))</f>
        <v/>
      </c>
      <c r="G12" s="11"/>
      <c r="H12" s="15"/>
      <c r="I12" s="16" t="str">
        <f aca="false">IF($A12="","",SUMIFS(반납내역!$D$3:$D$1502,반납내역!$B$3:$B$1502,$A12))</f>
        <v/>
      </c>
      <c r="J12" s="16" t="str">
        <f aca="false">IF($A12="","",IF($G12="","",$G12-$I12))</f>
        <v/>
      </c>
      <c r="K12" s="17" t="str">
        <f aca="true">IF(OR($A12="",$J12="",$J12&lt;=0,$H12=""),"",TODAY()-$H12)</f>
        <v/>
      </c>
      <c r="L12" s="14" t="str">
        <f aca="false">IF($A12="","",IF($G12="","",IF($J12&lt;=0,"반납완료",IF($I12&gt;0,"부분반납","미반납"))))</f>
        <v/>
      </c>
    </row>
    <row r="13" customFormat="false" ht="15" hidden="false" customHeight="false" outlineLevel="0" collapsed="false">
      <c r="A13" s="14" t="str">
        <f aca="false">IF($B13="","",TEXT($B13,"yymmdd")&amp;"-"&amp;TEXT(COUNTIFS($B$3:$B13,$B13),"00"))</f>
        <v/>
      </c>
      <c r="B13" s="15"/>
      <c r="C13" s="9"/>
      <c r="D13" s="10"/>
      <c r="E13" s="14" t="str">
        <f aca="false">IF($D13="","",IFERROR(INDEX(품목목록!$B$3:$B$202,MATCH($D13,품목목록!$A$3:$A$202,0)),"미등록품번"))</f>
        <v/>
      </c>
      <c r="F13" s="14" t="str">
        <f aca="false">IF($D13="","",IFERROR(INDEX(품목목록!$D$3:$D$202,MATCH($D13,품목목록!$A$3:$A$202,0)),""))</f>
        <v/>
      </c>
      <c r="G13" s="11"/>
      <c r="H13" s="15"/>
      <c r="I13" s="16" t="str">
        <f aca="false">IF($A13="","",SUMIFS(반납내역!$D$3:$D$1502,반납내역!$B$3:$B$1502,$A13))</f>
        <v/>
      </c>
      <c r="J13" s="16" t="str">
        <f aca="false">IF($A13="","",IF($G13="","",$G13-$I13))</f>
        <v/>
      </c>
      <c r="K13" s="17" t="str">
        <f aca="true">IF(OR($A13="",$J13="",$J13&lt;=0,$H13=""),"",TODAY()-$H13)</f>
        <v/>
      </c>
      <c r="L13" s="14" t="str">
        <f aca="false">IF($A13="","",IF($G13="","",IF($J13&lt;=0,"반납완료",IF($I13&gt;0,"부분반납","미반납"))))</f>
        <v/>
      </c>
    </row>
    <row r="14" customFormat="false" ht="15" hidden="false" customHeight="false" outlineLevel="0" collapsed="false">
      <c r="A14" s="14" t="str">
        <f aca="false">IF($B14="","",TEXT($B14,"yymmdd")&amp;"-"&amp;TEXT(COUNTIFS($B$3:$B14,$B14),"00"))</f>
        <v/>
      </c>
      <c r="B14" s="15"/>
      <c r="C14" s="9"/>
      <c r="D14" s="10"/>
      <c r="E14" s="14" t="str">
        <f aca="false">IF($D14="","",IFERROR(INDEX(품목목록!$B$3:$B$202,MATCH($D14,품목목록!$A$3:$A$202,0)),"미등록품번"))</f>
        <v/>
      </c>
      <c r="F14" s="14" t="str">
        <f aca="false">IF($D14="","",IFERROR(INDEX(품목목록!$D$3:$D$202,MATCH($D14,품목목록!$A$3:$A$202,0)),""))</f>
        <v/>
      </c>
      <c r="G14" s="11"/>
      <c r="H14" s="15"/>
      <c r="I14" s="16" t="str">
        <f aca="false">IF($A14="","",SUMIFS(반납내역!$D$3:$D$1502,반납내역!$B$3:$B$1502,$A14))</f>
        <v/>
      </c>
      <c r="J14" s="16" t="str">
        <f aca="false">IF($A14="","",IF($G14="","",$G14-$I14))</f>
        <v/>
      </c>
      <c r="K14" s="17" t="str">
        <f aca="true">IF(OR($A14="",$J14="",$J14&lt;=0,$H14=""),"",TODAY()-$H14)</f>
        <v/>
      </c>
      <c r="L14" s="14" t="str">
        <f aca="false">IF($A14="","",IF($G14="","",IF($J14&lt;=0,"반납완료",IF($I14&gt;0,"부분반납","미반납"))))</f>
        <v/>
      </c>
    </row>
    <row r="15" customFormat="false" ht="15" hidden="false" customHeight="false" outlineLevel="0" collapsed="false">
      <c r="A15" s="14" t="str">
        <f aca="false">IF($B15="","",TEXT($B15,"yymmdd")&amp;"-"&amp;TEXT(COUNTIFS($B$3:$B15,$B15),"00"))</f>
        <v/>
      </c>
      <c r="B15" s="15"/>
      <c r="C15" s="9"/>
      <c r="D15" s="10"/>
      <c r="E15" s="14" t="str">
        <f aca="false">IF($D15="","",IFERROR(INDEX(품목목록!$B$3:$B$202,MATCH($D15,품목목록!$A$3:$A$202,0)),"미등록품번"))</f>
        <v/>
      </c>
      <c r="F15" s="14" t="str">
        <f aca="false">IF($D15="","",IFERROR(INDEX(품목목록!$D$3:$D$202,MATCH($D15,품목목록!$A$3:$A$202,0)),""))</f>
        <v/>
      </c>
      <c r="G15" s="11"/>
      <c r="H15" s="15"/>
      <c r="I15" s="16" t="str">
        <f aca="false">IF($A15="","",SUMIFS(반납내역!$D$3:$D$1502,반납내역!$B$3:$B$1502,$A15))</f>
        <v/>
      </c>
      <c r="J15" s="16" t="str">
        <f aca="false">IF($A15="","",IF($G15="","",$G15-$I15))</f>
        <v/>
      </c>
      <c r="K15" s="17" t="str">
        <f aca="true">IF(OR($A15="",$J15="",$J15&lt;=0,$H15=""),"",TODAY()-$H15)</f>
        <v/>
      </c>
      <c r="L15" s="14" t="str">
        <f aca="false">IF($A15="","",IF($G15="","",IF($J15&lt;=0,"반납완료",IF($I15&gt;0,"부분반납","미반납"))))</f>
        <v/>
      </c>
    </row>
    <row r="16" customFormat="false" ht="15" hidden="false" customHeight="false" outlineLevel="0" collapsed="false">
      <c r="A16" s="14" t="str">
        <f aca="false">IF($B16="","",TEXT($B16,"yymmdd")&amp;"-"&amp;TEXT(COUNTIFS($B$3:$B16,$B16),"00"))</f>
        <v/>
      </c>
      <c r="B16" s="15"/>
      <c r="C16" s="9"/>
      <c r="D16" s="10"/>
      <c r="E16" s="14" t="str">
        <f aca="false">IF($D16="","",IFERROR(INDEX(품목목록!$B$3:$B$202,MATCH($D16,품목목록!$A$3:$A$202,0)),"미등록품번"))</f>
        <v/>
      </c>
      <c r="F16" s="14" t="str">
        <f aca="false">IF($D16="","",IFERROR(INDEX(품목목록!$D$3:$D$202,MATCH($D16,품목목록!$A$3:$A$202,0)),""))</f>
        <v/>
      </c>
      <c r="G16" s="11"/>
      <c r="H16" s="15"/>
      <c r="I16" s="16" t="str">
        <f aca="false">IF($A16="","",SUMIFS(반납내역!$D$3:$D$1502,반납내역!$B$3:$B$1502,$A16))</f>
        <v/>
      </c>
      <c r="J16" s="16" t="str">
        <f aca="false">IF($A16="","",IF($G16="","",$G16-$I16))</f>
        <v/>
      </c>
      <c r="K16" s="17" t="str">
        <f aca="true">IF(OR($A16="",$J16="",$J16&lt;=0,$H16=""),"",TODAY()-$H16)</f>
        <v/>
      </c>
      <c r="L16" s="14" t="str">
        <f aca="false">IF($A16="","",IF($G16="","",IF($J16&lt;=0,"반납완료",IF($I16&gt;0,"부분반납","미반납"))))</f>
        <v/>
      </c>
    </row>
    <row r="17" customFormat="false" ht="15" hidden="false" customHeight="false" outlineLevel="0" collapsed="false">
      <c r="A17" s="14" t="str">
        <f aca="false">IF($B17="","",TEXT($B17,"yymmdd")&amp;"-"&amp;TEXT(COUNTIFS($B$3:$B17,$B17),"00"))</f>
        <v/>
      </c>
      <c r="B17" s="15"/>
      <c r="C17" s="9"/>
      <c r="D17" s="10"/>
      <c r="E17" s="14" t="str">
        <f aca="false">IF($D17="","",IFERROR(INDEX(품목목록!$B$3:$B$202,MATCH($D17,품목목록!$A$3:$A$202,0)),"미등록품번"))</f>
        <v/>
      </c>
      <c r="F17" s="14" t="str">
        <f aca="false">IF($D17="","",IFERROR(INDEX(품목목록!$D$3:$D$202,MATCH($D17,품목목록!$A$3:$A$202,0)),""))</f>
        <v/>
      </c>
      <c r="G17" s="11"/>
      <c r="H17" s="15"/>
      <c r="I17" s="16" t="str">
        <f aca="false">IF($A17="","",SUMIFS(반납내역!$D$3:$D$1502,반납내역!$B$3:$B$1502,$A17))</f>
        <v/>
      </c>
      <c r="J17" s="16" t="str">
        <f aca="false">IF($A17="","",IF($G17="","",$G17-$I17))</f>
        <v/>
      </c>
      <c r="K17" s="17" t="str">
        <f aca="true">IF(OR($A17="",$J17="",$J17&lt;=0,$H17=""),"",TODAY()-$H17)</f>
        <v/>
      </c>
      <c r="L17" s="14" t="str">
        <f aca="false">IF($A17="","",IF($G17="","",IF($J17&lt;=0,"반납완료",IF($I17&gt;0,"부분반납","미반납"))))</f>
        <v/>
      </c>
    </row>
    <row r="18" customFormat="false" ht="15" hidden="false" customHeight="false" outlineLevel="0" collapsed="false">
      <c r="A18" s="14" t="str">
        <f aca="false">IF($B18="","",TEXT($B18,"yymmdd")&amp;"-"&amp;TEXT(COUNTIFS($B$3:$B18,$B18),"00"))</f>
        <v/>
      </c>
      <c r="B18" s="15"/>
      <c r="C18" s="9"/>
      <c r="D18" s="10"/>
      <c r="E18" s="14" t="str">
        <f aca="false">IF($D18="","",IFERROR(INDEX(품목목록!$B$3:$B$202,MATCH($D18,품목목록!$A$3:$A$202,0)),"미등록품번"))</f>
        <v/>
      </c>
      <c r="F18" s="14" t="str">
        <f aca="false">IF($D18="","",IFERROR(INDEX(품목목록!$D$3:$D$202,MATCH($D18,품목목록!$A$3:$A$202,0)),""))</f>
        <v/>
      </c>
      <c r="G18" s="11"/>
      <c r="H18" s="15"/>
      <c r="I18" s="16" t="str">
        <f aca="false">IF($A18="","",SUMIFS(반납내역!$D$3:$D$1502,반납내역!$B$3:$B$1502,$A18))</f>
        <v/>
      </c>
      <c r="J18" s="16" t="str">
        <f aca="false">IF($A18="","",IF($G18="","",$G18-$I18))</f>
        <v/>
      </c>
      <c r="K18" s="17" t="str">
        <f aca="true">IF(OR($A18="",$J18="",$J18&lt;=0,$H18=""),"",TODAY()-$H18)</f>
        <v/>
      </c>
      <c r="L18" s="14" t="str">
        <f aca="false">IF($A18="","",IF($G18="","",IF($J18&lt;=0,"반납완료",IF($I18&gt;0,"부분반납","미반납"))))</f>
        <v/>
      </c>
    </row>
    <row r="19" customFormat="false" ht="15" hidden="false" customHeight="false" outlineLevel="0" collapsed="false">
      <c r="A19" s="14" t="str">
        <f aca="false">IF($B19="","",TEXT($B19,"yymmdd")&amp;"-"&amp;TEXT(COUNTIFS($B$3:$B19,$B19),"00"))</f>
        <v/>
      </c>
      <c r="B19" s="15"/>
      <c r="C19" s="9"/>
      <c r="D19" s="10"/>
      <c r="E19" s="14" t="str">
        <f aca="false">IF($D19="","",IFERROR(INDEX(품목목록!$B$3:$B$202,MATCH($D19,품목목록!$A$3:$A$202,0)),"미등록품번"))</f>
        <v/>
      </c>
      <c r="F19" s="14" t="str">
        <f aca="false">IF($D19="","",IFERROR(INDEX(품목목록!$D$3:$D$202,MATCH($D19,품목목록!$A$3:$A$202,0)),""))</f>
        <v/>
      </c>
      <c r="G19" s="11"/>
      <c r="H19" s="15"/>
      <c r="I19" s="16" t="str">
        <f aca="false">IF($A19="","",SUMIFS(반납내역!$D$3:$D$1502,반납내역!$B$3:$B$1502,$A19))</f>
        <v/>
      </c>
      <c r="J19" s="16" t="str">
        <f aca="false">IF($A19="","",IF($G19="","",$G19-$I19))</f>
        <v/>
      </c>
      <c r="K19" s="17" t="str">
        <f aca="true">IF(OR($A19="",$J19="",$J19&lt;=0,$H19=""),"",TODAY()-$H19)</f>
        <v/>
      </c>
      <c r="L19" s="14" t="str">
        <f aca="false">IF($A19="","",IF($G19="","",IF($J19&lt;=0,"반납완료",IF($I19&gt;0,"부분반납","미반납"))))</f>
        <v/>
      </c>
    </row>
    <row r="20" customFormat="false" ht="15" hidden="false" customHeight="false" outlineLevel="0" collapsed="false">
      <c r="A20" s="14" t="str">
        <f aca="false">IF($B20="","",TEXT($B20,"yymmdd")&amp;"-"&amp;TEXT(COUNTIFS($B$3:$B20,$B20),"00"))</f>
        <v/>
      </c>
      <c r="B20" s="15"/>
      <c r="C20" s="9"/>
      <c r="D20" s="10"/>
      <c r="E20" s="14" t="str">
        <f aca="false">IF($D20="","",IFERROR(INDEX(품목목록!$B$3:$B$202,MATCH($D20,품목목록!$A$3:$A$202,0)),"미등록품번"))</f>
        <v/>
      </c>
      <c r="F20" s="14" t="str">
        <f aca="false">IF($D20="","",IFERROR(INDEX(품목목록!$D$3:$D$202,MATCH($D20,품목목록!$A$3:$A$202,0)),""))</f>
        <v/>
      </c>
      <c r="G20" s="11"/>
      <c r="H20" s="15"/>
      <c r="I20" s="16" t="str">
        <f aca="false">IF($A20="","",SUMIFS(반납내역!$D$3:$D$1502,반납내역!$B$3:$B$1502,$A20))</f>
        <v/>
      </c>
      <c r="J20" s="16" t="str">
        <f aca="false">IF($A20="","",IF($G20="","",$G20-$I20))</f>
        <v/>
      </c>
      <c r="K20" s="17" t="str">
        <f aca="true">IF(OR($A20="",$J20="",$J20&lt;=0,$H20=""),"",TODAY()-$H20)</f>
        <v/>
      </c>
      <c r="L20" s="14" t="str">
        <f aca="false">IF($A20="","",IF($G20="","",IF($J20&lt;=0,"반납완료",IF($I20&gt;0,"부분반납","미반납"))))</f>
        <v/>
      </c>
    </row>
    <row r="21" customFormat="false" ht="15" hidden="false" customHeight="false" outlineLevel="0" collapsed="false">
      <c r="A21" s="14" t="str">
        <f aca="false">IF($B21="","",TEXT($B21,"yymmdd")&amp;"-"&amp;TEXT(COUNTIFS($B$3:$B21,$B21),"00"))</f>
        <v/>
      </c>
      <c r="B21" s="15"/>
      <c r="C21" s="9"/>
      <c r="D21" s="10"/>
      <c r="E21" s="14" t="str">
        <f aca="false">IF($D21="","",IFERROR(INDEX(품목목록!$B$3:$B$202,MATCH($D21,품목목록!$A$3:$A$202,0)),"미등록품번"))</f>
        <v/>
      </c>
      <c r="F21" s="14" t="str">
        <f aca="false">IF($D21="","",IFERROR(INDEX(품목목록!$D$3:$D$202,MATCH($D21,품목목록!$A$3:$A$202,0)),""))</f>
        <v/>
      </c>
      <c r="G21" s="11"/>
      <c r="H21" s="15"/>
      <c r="I21" s="16" t="str">
        <f aca="false">IF($A21="","",SUMIFS(반납내역!$D$3:$D$1502,반납내역!$B$3:$B$1502,$A21))</f>
        <v/>
      </c>
      <c r="J21" s="16" t="str">
        <f aca="false">IF($A21="","",IF($G21="","",$G21-$I21))</f>
        <v/>
      </c>
      <c r="K21" s="17" t="str">
        <f aca="true">IF(OR($A21="",$J21="",$J21&lt;=0,$H21=""),"",TODAY()-$H21)</f>
        <v/>
      </c>
      <c r="L21" s="14" t="str">
        <f aca="false">IF($A21="","",IF($G21="","",IF($J21&lt;=0,"반납완료",IF($I21&gt;0,"부분반납","미반납"))))</f>
        <v/>
      </c>
    </row>
    <row r="22" customFormat="false" ht="15" hidden="false" customHeight="false" outlineLevel="0" collapsed="false">
      <c r="A22" s="14" t="str">
        <f aca="false">IF($B22="","",TEXT($B22,"yymmdd")&amp;"-"&amp;TEXT(COUNTIFS($B$3:$B22,$B22),"00"))</f>
        <v/>
      </c>
      <c r="B22" s="15"/>
      <c r="C22" s="9"/>
      <c r="D22" s="10"/>
      <c r="E22" s="14" t="str">
        <f aca="false">IF($D22="","",IFERROR(INDEX(품목목록!$B$3:$B$202,MATCH($D22,품목목록!$A$3:$A$202,0)),"미등록품번"))</f>
        <v/>
      </c>
      <c r="F22" s="14" t="str">
        <f aca="false">IF($D22="","",IFERROR(INDEX(품목목록!$D$3:$D$202,MATCH($D22,품목목록!$A$3:$A$202,0)),""))</f>
        <v/>
      </c>
      <c r="G22" s="11"/>
      <c r="H22" s="15"/>
      <c r="I22" s="16" t="str">
        <f aca="false">IF($A22="","",SUMIFS(반납내역!$D$3:$D$1502,반납내역!$B$3:$B$1502,$A22))</f>
        <v/>
      </c>
      <c r="J22" s="16" t="str">
        <f aca="false">IF($A22="","",IF($G22="","",$G22-$I22))</f>
        <v/>
      </c>
      <c r="K22" s="17" t="str">
        <f aca="true">IF(OR($A22="",$J22="",$J22&lt;=0,$H22=""),"",TODAY()-$H22)</f>
        <v/>
      </c>
      <c r="L22" s="14" t="str">
        <f aca="false">IF($A22="","",IF($G22="","",IF($J22&lt;=0,"반납완료",IF($I22&gt;0,"부분반납","미반납"))))</f>
        <v/>
      </c>
    </row>
    <row r="23" customFormat="false" ht="15" hidden="false" customHeight="false" outlineLevel="0" collapsed="false">
      <c r="A23" s="14" t="str">
        <f aca="false">IF($B23="","",TEXT($B23,"yymmdd")&amp;"-"&amp;TEXT(COUNTIFS($B$3:$B23,$B23),"00"))</f>
        <v/>
      </c>
      <c r="B23" s="15"/>
      <c r="C23" s="9"/>
      <c r="D23" s="10"/>
      <c r="E23" s="14" t="str">
        <f aca="false">IF($D23="","",IFERROR(INDEX(품목목록!$B$3:$B$202,MATCH($D23,품목목록!$A$3:$A$202,0)),"미등록품번"))</f>
        <v/>
      </c>
      <c r="F23" s="14" t="str">
        <f aca="false">IF($D23="","",IFERROR(INDEX(품목목록!$D$3:$D$202,MATCH($D23,품목목록!$A$3:$A$202,0)),""))</f>
        <v/>
      </c>
      <c r="G23" s="11"/>
      <c r="H23" s="15"/>
      <c r="I23" s="16" t="str">
        <f aca="false">IF($A23="","",SUMIFS(반납내역!$D$3:$D$1502,반납내역!$B$3:$B$1502,$A23))</f>
        <v/>
      </c>
      <c r="J23" s="16" t="str">
        <f aca="false">IF($A23="","",IF($G23="","",$G23-$I23))</f>
        <v/>
      </c>
      <c r="K23" s="17" t="str">
        <f aca="true">IF(OR($A23="",$J23="",$J23&lt;=0,$H23=""),"",TODAY()-$H23)</f>
        <v/>
      </c>
      <c r="L23" s="14" t="str">
        <f aca="false">IF($A23="","",IF($G23="","",IF($J23&lt;=0,"반납완료",IF($I23&gt;0,"부분반납","미반납"))))</f>
        <v/>
      </c>
    </row>
    <row r="24" customFormat="false" ht="15" hidden="false" customHeight="false" outlineLevel="0" collapsed="false">
      <c r="A24" s="14" t="str">
        <f aca="false">IF($B24="","",TEXT($B24,"yymmdd")&amp;"-"&amp;TEXT(COUNTIFS($B$3:$B24,$B24),"00"))</f>
        <v/>
      </c>
      <c r="B24" s="15"/>
      <c r="C24" s="9"/>
      <c r="D24" s="10"/>
      <c r="E24" s="14" t="str">
        <f aca="false">IF($D24="","",IFERROR(INDEX(품목목록!$B$3:$B$202,MATCH($D24,품목목록!$A$3:$A$202,0)),"미등록품번"))</f>
        <v/>
      </c>
      <c r="F24" s="14" t="str">
        <f aca="false">IF($D24="","",IFERROR(INDEX(품목목록!$D$3:$D$202,MATCH($D24,품목목록!$A$3:$A$202,0)),""))</f>
        <v/>
      </c>
      <c r="G24" s="11"/>
      <c r="H24" s="15"/>
      <c r="I24" s="16" t="str">
        <f aca="false">IF($A24="","",SUMIFS(반납내역!$D$3:$D$1502,반납내역!$B$3:$B$1502,$A24))</f>
        <v/>
      </c>
      <c r="J24" s="16" t="str">
        <f aca="false">IF($A24="","",IF($G24="","",$G24-$I24))</f>
        <v/>
      </c>
      <c r="K24" s="17" t="str">
        <f aca="true">IF(OR($A24="",$J24="",$J24&lt;=0,$H24=""),"",TODAY()-$H24)</f>
        <v/>
      </c>
      <c r="L24" s="14" t="str">
        <f aca="false">IF($A24="","",IF($G24="","",IF($J24&lt;=0,"반납완료",IF($I24&gt;0,"부분반납","미반납"))))</f>
        <v/>
      </c>
    </row>
    <row r="25" customFormat="false" ht="15" hidden="false" customHeight="false" outlineLevel="0" collapsed="false">
      <c r="A25" s="14" t="str">
        <f aca="false">IF($B25="","",TEXT($B25,"yymmdd")&amp;"-"&amp;TEXT(COUNTIFS($B$3:$B25,$B25),"00"))</f>
        <v/>
      </c>
      <c r="B25" s="15"/>
      <c r="C25" s="9"/>
      <c r="D25" s="10"/>
      <c r="E25" s="14" t="str">
        <f aca="false">IF($D25="","",IFERROR(INDEX(품목목록!$B$3:$B$202,MATCH($D25,품목목록!$A$3:$A$202,0)),"미등록품번"))</f>
        <v/>
      </c>
      <c r="F25" s="14" t="str">
        <f aca="false">IF($D25="","",IFERROR(INDEX(품목목록!$D$3:$D$202,MATCH($D25,품목목록!$A$3:$A$202,0)),""))</f>
        <v/>
      </c>
      <c r="G25" s="11"/>
      <c r="H25" s="15"/>
      <c r="I25" s="16" t="str">
        <f aca="false">IF($A25="","",SUMIFS(반납내역!$D$3:$D$1502,반납내역!$B$3:$B$1502,$A25))</f>
        <v/>
      </c>
      <c r="J25" s="16" t="str">
        <f aca="false">IF($A25="","",IF($G25="","",$G25-$I25))</f>
        <v/>
      </c>
      <c r="K25" s="17" t="str">
        <f aca="true">IF(OR($A25="",$J25="",$J25&lt;=0,$H25=""),"",TODAY()-$H25)</f>
        <v/>
      </c>
      <c r="L25" s="14" t="str">
        <f aca="false">IF($A25="","",IF($G25="","",IF($J25&lt;=0,"반납완료",IF($I25&gt;0,"부분반납","미반납"))))</f>
        <v/>
      </c>
    </row>
    <row r="26" customFormat="false" ht="15" hidden="false" customHeight="false" outlineLevel="0" collapsed="false">
      <c r="A26" s="14" t="str">
        <f aca="false">IF($B26="","",TEXT($B26,"yymmdd")&amp;"-"&amp;TEXT(COUNTIFS($B$3:$B26,$B26),"00"))</f>
        <v/>
      </c>
      <c r="B26" s="15"/>
      <c r="C26" s="9"/>
      <c r="D26" s="10"/>
      <c r="E26" s="14" t="str">
        <f aca="false">IF($D26="","",IFERROR(INDEX(품목목록!$B$3:$B$202,MATCH($D26,품목목록!$A$3:$A$202,0)),"미등록품번"))</f>
        <v/>
      </c>
      <c r="F26" s="14" t="str">
        <f aca="false">IF($D26="","",IFERROR(INDEX(품목목록!$D$3:$D$202,MATCH($D26,품목목록!$A$3:$A$202,0)),""))</f>
        <v/>
      </c>
      <c r="G26" s="11"/>
      <c r="H26" s="15"/>
      <c r="I26" s="16" t="str">
        <f aca="false">IF($A26="","",SUMIFS(반납내역!$D$3:$D$1502,반납내역!$B$3:$B$1502,$A26))</f>
        <v/>
      </c>
      <c r="J26" s="16" t="str">
        <f aca="false">IF($A26="","",IF($G26="","",$G26-$I26))</f>
        <v/>
      </c>
      <c r="K26" s="17" t="str">
        <f aca="true">IF(OR($A26="",$J26="",$J26&lt;=0,$H26=""),"",TODAY()-$H26)</f>
        <v/>
      </c>
      <c r="L26" s="14" t="str">
        <f aca="false">IF($A26="","",IF($G26="","",IF($J26&lt;=0,"반납완료",IF($I26&gt;0,"부분반납","미반납"))))</f>
        <v/>
      </c>
    </row>
    <row r="27" customFormat="false" ht="15" hidden="false" customHeight="false" outlineLevel="0" collapsed="false">
      <c r="A27" s="14" t="str">
        <f aca="false">IF($B27="","",TEXT($B27,"yymmdd")&amp;"-"&amp;TEXT(COUNTIFS($B$3:$B27,$B27),"00"))</f>
        <v/>
      </c>
      <c r="B27" s="15"/>
      <c r="C27" s="9"/>
      <c r="D27" s="10"/>
      <c r="E27" s="14" t="str">
        <f aca="false">IF($D27="","",IFERROR(INDEX(품목목록!$B$3:$B$202,MATCH($D27,품목목록!$A$3:$A$202,0)),"미등록품번"))</f>
        <v/>
      </c>
      <c r="F27" s="14" t="str">
        <f aca="false">IF($D27="","",IFERROR(INDEX(품목목록!$D$3:$D$202,MATCH($D27,품목목록!$A$3:$A$202,0)),""))</f>
        <v/>
      </c>
      <c r="G27" s="11"/>
      <c r="H27" s="15"/>
      <c r="I27" s="16" t="str">
        <f aca="false">IF($A27="","",SUMIFS(반납내역!$D$3:$D$1502,반납내역!$B$3:$B$1502,$A27))</f>
        <v/>
      </c>
      <c r="J27" s="16" t="str">
        <f aca="false">IF($A27="","",IF($G27="","",$G27-$I27))</f>
        <v/>
      </c>
      <c r="K27" s="17" t="str">
        <f aca="true">IF(OR($A27="",$J27="",$J27&lt;=0,$H27=""),"",TODAY()-$H27)</f>
        <v/>
      </c>
      <c r="L27" s="14" t="str">
        <f aca="false">IF($A27="","",IF($G27="","",IF($J27&lt;=0,"반납완료",IF($I27&gt;0,"부분반납","미반납"))))</f>
        <v/>
      </c>
    </row>
    <row r="28" customFormat="false" ht="15" hidden="false" customHeight="false" outlineLevel="0" collapsed="false">
      <c r="A28" s="14" t="str">
        <f aca="false">IF($B28="","",TEXT($B28,"yymmdd")&amp;"-"&amp;TEXT(COUNTIFS($B$3:$B28,$B28),"00"))</f>
        <v/>
      </c>
      <c r="B28" s="15"/>
      <c r="C28" s="9"/>
      <c r="D28" s="10"/>
      <c r="E28" s="14" t="str">
        <f aca="false">IF($D28="","",IFERROR(INDEX(품목목록!$B$3:$B$202,MATCH($D28,품목목록!$A$3:$A$202,0)),"미등록품번"))</f>
        <v/>
      </c>
      <c r="F28" s="14" t="str">
        <f aca="false">IF($D28="","",IFERROR(INDEX(품목목록!$D$3:$D$202,MATCH($D28,품목목록!$A$3:$A$202,0)),""))</f>
        <v/>
      </c>
      <c r="G28" s="11"/>
      <c r="H28" s="15"/>
      <c r="I28" s="16" t="str">
        <f aca="false">IF($A28="","",SUMIFS(반납내역!$D$3:$D$1502,반납내역!$B$3:$B$1502,$A28))</f>
        <v/>
      </c>
      <c r="J28" s="16" t="str">
        <f aca="false">IF($A28="","",IF($G28="","",$G28-$I28))</f>
        <v/>
      </c>
      <c r="K28" s="17" t="str">
        <f aca="true">IF(OR($A28="",$J28="",$J28&lt;=0,$H28=""),"",TODAY()-$H28)</f>
        <v/>
      </c>
      <c r="L28" s="14" t="str">
        <f aca="false">IF($A28="","",IF($G28="","",IF($J28&lt;=0,"반납완료",IF($I28&gt;0,"부분반납","미반납"))))</f>
        <v/>
      </c>
    </row>
    <row r="29" customFormat="false" ht="15" hidden="false" customHeight="false" outlineLevel="0" collapsed="false">
      <c r="A29" s="14" t="str">
        <f aca="false">IF($B29="","",TEXT($B29,"yymmdd")&amp;"-"&amp;TEXT(COUNTIFS($B$3:$B29,$B29),"00"))</f>
        <v/>
      </c>
      <c r="B29" s="15"/>
      <c r="C29" s="9"/>
      <c r="D29" s="10"/>
      <c r="E29" s="14" t="str">
        <f aca="false">IF($D29="","",IFERROR(INDEX(품목목록!$B$3:$B$202,MATCH($D29,품목목록!$A$3:$A$202,0)),"미등록품번"))</f>
        <v/>
      </c>
      <c r="F29" s="14" t="str">
        <f aca="false">IF($D29="","",IFERROR(INDEX(품목목록!$D$3:$D$202,MATCH($D29,품목목록!$A$3:$A$202,0)),""))</f>
        <v/>
      </c>
      <c r="G29" s="11"/>
      <c r="H29" s="15"/>
      <c r="I29" s="16" t="str">
        <f aca="false">IF($A29="","",SUMIFS(반납내역!$D$3:$D$1502,반납내역!$B$3:$B$1502,$A29))</f>
        <v/>
      </c>
      <c r="J29" s="16" t="str">
        <f aca="false">IF($A29="","",IF($G29="","",$G29-$I29))</f>
        <v/>
      </c>
      <c r="K29" s="17" t="str">
        <f aca="true">IF(OR($A29="",$J29="",$J29&lt;=0,$H29=""),"",TODAY()-$H29)</f>
        <v/>
      </c>
      <c r="L29" s="14" t="str">
        <f aca="false">IF($A29="","",IF($G29="","",IF($J29&lt;=0,"반납완료",IF($I29&gt;0,"부분반납","미반납"))))</f>
        <v/>
      </c>
    </row>
    <row r="30" customFormat="false" ht="15" hidden="false" customHeight="false" outlineLevel="0" collapsed="false">
      <c r="A30" s="14" t="str">
        <f aca="false">IF($B30="","",TEXT($B30,"yymmdd")&amp;"-"&amp;TEXT(COUNTIFS($B$3:$B30,$B30),"00"))</f>
        <v/>
      </c>
      <c r="B30" s="15"/>
      <c r="C30" s="9"/>
      <c r="D30" s="10"/>
      <c r="E30" s="14" t="str">
        <f aca="false">IF($D30="","",IFERROR(INDEX(품목목록!$B$3:$B$202,MATCH($D30,품목목록!$A$3:$A$202,0)),"미등록품번"))</f>
        <v/>
      </c>
      <c r="F30" s="14" t="str">
        <f aca="false">IF($D30="","",IFERROR(INDEX(품목목록!$D$3:$D$202,MATCH($D30,품목목록!$A$3:$A$202,0)),""))</f>
        <v/>
      </c>
      <c r="G30" s="11"/>
      <c r="H30" s="15"/>
      <c r="I30" s="16" t="str">
        <f aca="false">IF($A30="","",SUMIFS(반납내역!$D$3:$D$1502,반납내역!$B$3:$B$1502,$A30))</f>
        <v/>
      </c>
      <c r="J30" s="16" t="str">
        <f aca="false">IF($A30="","",IF($G30="","",$G30-$I30))</f>
        <v/>
      </c>
      <c r="K30" s="17" t="str">
        <f aca="true">IF(OR($A30="",$J30="",$J30&lt;=0,$H30=""),"",TODAY()-$H30)</f>
        <v/>
      </c>
      <c r="L30" s="14" t="str">
        <f aca="false">IF($A30="","",IF($G30="","",IF($J30&lt;=0,"반납완료",IF($I30&gt;0,"부분반납","미반납"))))</f>
        <v/>
      </c>
    </row>
    <row r="31" customFormat="false" ht="15" hidden="false" customHeight="false" outlineLevel="0" collapsed="false">
      <c r="A31" s="14" t="str">
        <f aca="false">IF($B31="","",TEXT($B31,"yymmdd")&amp;"-"&amp;TEXT(COUNTIFS($B$3:$B31,$B31),"00"))</f>
        <v/>
      </c>
      <c r="B31" s="15"/>
      <c r="C31" s="9"/>
      <c r="D31" s="10"/>
      <c r="E31" s="14" t="str">
        <f aca="false">IF($D31="","",IFERROR(INDEX(품목목록!$B$3:$B$202,MATCH($D31,품목목록!$A$3:$A$202,0)),"미등록품번"))</f>
        <v/>
      </c>
      <c r="F31" s="14" t="str">
        <f aca="false">IF($D31="","",IFERROR(INDEX(품목목록!$D$3:$D$202,MATCH($D31,품목목록!$A$3:$A$202,0)),""))</f>
        <v/>
      </c>
      <c r="G31" s="11"/>
      <c r="H31" s="15"/>
      <c r="I31" s="16" t="str">
        <f aca="false">IF($A31="","",SUMIFS(반납내역!$D$3:$D$1502,반납내역!$B$3:$B$1502,$A31))</f>
        <v/>
      </c>
      <c r="J31" s="16" t="str">
        <f aca="false">IF($A31="","",IF($G31="","",$G31-$I31))</f>
        <v/>
      </c>
      <c r="K31" s="17" t="str">
        <f aca="true">IF(OR($A31="",$J31="",$J31&lt;=0,$H31=""),"",TODAY()-$H31)</f>
        <v/>
      </c>
      <c r="L31" s="14" t="str">
        <f aca="false">IF($A31="","",IF($G31="","",IF($J31&lt;=0,"반납완료",IF($I31&gt;0,"부분반납","미반납"))))</f>
        <v/>
      </c>
    </row>
    <row r="32" customFormat="false" ht="15" hidden="false" customHeight="false" outlineLevel="0" collapsed="false">
      <c r="A32" s="14" t="str">
        <f aca="false">IF($B32="","",TEXT($B32,"yymmdd")&amp;"-"&amp;TEXT(COUNTIFS($B$3:$B32,$B32),"00"))</f>
        <v/>
      </c>
      <c r="B32" s="15"/>
      <c r="C32" s="9"/>
      <c r="D32" s="10"/>
      <c r="E32" s="14" t="str">
        <f aca="false">IF($D32="","",IFERROR(INDEX(품목목록!$B$3:$B$202,MATCH($D32,품목목록!$A$3:$A$202,0)),"미등록품번"))</f>
        <v/>
      </c>
      <c r="F32" s="14" t="str">
        <f aca="false">IF($D32="","",IFERROR(INDEX(품목목록!$D$3:$D$202,MATCH($D32,품목목록!$A$3:$A$202,0)),""))</f>
        <v/>
      </c>
      <c r="G32" s="11"/>
      <c r="H32" s="15"/>
      <c r="I32" s="16" t="str">
        <f aca="false">IF($A32="","",SUMIFS(반납내역!$D$3:$D$1502,반납내역!$B$3:$B$1502,$A32))</f>
        <v/>
      </c>
      <c r="J32" s="16" t="str">
        <f aca="false">IF($A32="","",IF($G32="","",$G32-$I32))</f>
        <v/>
      </c>
      <c r="K32" s="17" t="str">
        <f aca="true">IF(OR($A32="",$J32="",$J32&lt;=0,$H32=""),"",TODAY()-$H32)</f>
        <v/>
      </c>
      <c r="L32" s="14" t="str">
        <f aca="false">IF($A32="","",IF($G32="","",IF($J32&lt;=0,"반납완료",IF($I32&gt;0,"부분반납","미반납"))))</f>
        <v/>
      </c>
    </row>
    <row r="33" customFormat="false" ht="15" hidden="false" customHeight="false" outlineLevel="0" collapsed="false">
      <c r="A33" s="14" t="str">
        <f aca="false">IF($B33="","",TEXT($B33,"yymmdd")&amp;"-"&amp;TEXT(COUNTIFS($B$3:$B33,$B33),"00"))</f>
        <v/>
      </c>
      <c r="B33" s="15"/>
      <c r="C33" s="9"/>
      <c r="D33" s="10"/>
      <c r="E33" s="14" t="str">
        <f aca="false">IF($D33="","",IFERROR(INDEX(품목목록!$B$3:$B$202,MATCH($D33,품목목록!$A$3:$A$202,0)),"미등록품번"))</f>
        <v/>
      </c>
      <c r="F33" s="14" t="str">
        <f aca="false">IF($D33="","",IFERROR(INDEX(품목목록!$D$3:$D$202,MATCH($D33,품목목록!$A$3:$A$202,0)),""))</f>
        <v/>
      </c>
      <c r="G33" s="11"/>
      <c r="H33" s="15"/>
      <c r="I33" s="16" t="str">
        <f aca="false">IF($A33="","",SUMIFS(반납내역!$D$3:$D$1502,반납내역!$B$3:$B$1502,$A33))</f>
        <v/>
      </c>
      <c r="J33" s="16" t="str">
        <f aca="false">IF($A33="","",IF($G33="","",$G33-$I33))</f>
        <v/>
      </c>
      <c r="K33" s="17" t="str">
        <f aca="true">IF(OR($A33="",$J33="",$J33&lt;=0,$H33=""),"",TODAY()-$H33)</f>
        <v/>
      </c>
      <c r="L33" s="14" t="str">
        <f aca="false">IF($A33="","",IF($G33="","",IF($J33&lt;=0,"반납완료",IF($I33&gt;0,"부분반납","미반납"))))</f>
        <v/>
      </c>
    </row>
    <row r="34" customFormat="false" ht="15" hidden="false" customHeight="false" outlineLevel="0" collapsed="false">
      <c r="A34" s="14" t="str">
        <f aca="false">IF($B34="","",TEXT($B34,"yymmdd")&amp;"-"&amp;TEXT(COUNTIFS($B$3:$B34,$B34),"00"))</f>
        <v/>
      </c>
      <c r="B34" s="15"/>
      <c r="C34" s="9"/>
      <c r="D34" s="10"/>
      <c r="E34" s="14" t="str">
        <f aca="false">IF($D34="","",IFERROR(INDEX(품목목록!$B$3:$B$202,MATCH($D34,품목목록!$A$3:$A$202,0)),"미등록품번"))</f>
        <v/>
      </c>
      <c r="F34" s="14" t="str">
        <f aca="false">IF($D34="","",IFERROR(INDEX(품목목록!$D$3:$D$202,MATCH($D34,품목목록!$A$3:$A$202,0)),""))</f>
        <v/>
      </c>
      <c r="G34" s="11"/>
      <c r="H34" s="15"/>
      <c r="I34" s="16" t="str">
        <f aca="false">IF($A34="","",SUMIFS(반납내역!$D$3:$D$1502,반납내역!$B$3:$B$1502,$A34))</f>
        <v/>
      </c>
      <c r="J34" s="16" t="str">
        <f aca="false">IF($A34="","",IF($G34="","",$G34-$I34))</f>
        <v/>
      </c>
      <c r="K34" s="17" t="str">
        <f aca="true">IF(OR($A34="",$J34="",$J34&lt;=0,$H34=""),"",TODAY()-$H34)</f>
        <v/>
      </c>
      <c r="L34" s="14" t="str">
        <f aca="false">IF($A34="","",IF($G34="","",IF($J34&lt;=0,"반납완료",IF($I34&gt;0,"부분반납","미반납"))))</f>
        <v/>
      </c>
    </row>
    <row r="35" customFormat="false" ht="15" hidden="false" customHeight="false" outlineLevel="0" collapsed="false">
      <c r="A35" s="14" t="str">
        <f aca="false">IF($B35="","",TEXT($B35,"yymmdd")&amp;"-"&amp;TEXT(COUNTIFS($B$3:$B35,$B35),"00"))</f>
        <v/>
      </c>
      <c r="B35" s="15"/>
      <c r="C35" s="9"/>
      <c r="D35" s="10"/>
      <c r="E35" s="14" t="str">
        <f aca="false">IF($D35="","",IFERROR(INDEX(품목목록!$B$3:$B$202,MATCH($D35,품목목록!$A$3:$A$202,0)),"미등록품번"))</f>
        <v/>
      </c>
      <c r="F35" s="14" t="str">
        <f aca="false">IF($D35="","",IFERROR(INDEX(품목목록!$D$3:$D$202,MATCH($D35,품목목록!$A$3:$A$202,0)),""))</f>
        <v/>
      </c>
      <c r="G35" s="11"/>
      <c r="H35" s="15"/>
      <c r="I35" s="16" t="str">
        <f aca="false">IF($A35="","",SUMIFS(반납내역!$D$3:$D$1502,반납내역!$B$3:$B$1502,$A35))</f>
        <v/>
      </c>
      <c r="J35" s="16" t="str">
        <f aca="false">IF($A35="","",IF($G35="","",$G35-$I35))</f>
        <v/>
      </c>
      <c r="K35" s="17" t="str">
        <f aca="true">IF(OR($A35="",$J35="",$J35&lt;=0,$H35=""),"",TODAY()-$H35)</f>
        <v/>
      </c>
      <c r="L35" s="14" t="str">
        <f aca="false">IF($A35="","",IF($G35="","",IF($J35&lt;=0,"반납완료",IF($I35&gt;0,"부분반납","미반납"))))</f>
        <v/>
      </c>
    </row>
    <row r="36" customFormat="false" ht="15" hidden="false" customHeight="false" outlineLevel="0" collapsed="false">
      <c r="A36" s="14" t="str">
        <f aca="false">IF($B36="","",TEXT($B36,"yymmdd")&amp;"-"&amp;TEXT(COUNTIFS($B$3:$B36,$B36),"00"))</f>
        <v/>
      </c>
      <c r="B36" s="15"/>
      <c r="C36" s="9"/>
      <c r="D36" s="10"/>
      <c r="E36" s="14" t="str">
        <f aca="false">IF($D36="","",IFERROR(INDEX(품목목록!$B$3:$B$202,MATCH($D36,품목목록!$A$3:$A$202,0)),"미등록품번"))</f>
        <v/>
      </c>
      <c r="F36" s="14" t="str">
        <f aca="false">IF($D36="","",IFERROR(INDEX(품목목록!$D$3:$D$202,MATCH($D36,품목목록!$A$3:$A$202,0)),""))</f>
        <v/>
      </c>
      <c r="G36" s="11"/>
      <c r="H36" s="15"/>
      <c r="I36" s="16" t="str">
        <f aca="false">IF($A36="","",SUMIFS(반납내역!$D$3:$D$1502,반납내역!$B$3:$B$1502,$A36))</f>
        <v/>
      </c>
      <c r="J36" s="16" t="str">
        <f aca="false">IF($A36="","",IF($G36="","",$G36-$I36))</f>
        <v/>
      </c>
      <c r="K36" s="17" t="str">
        <f aca="true">IF(OR($A36="",$J36="",$J36&lt;=0,$H36=""),"",TODAY()-$H36)</f>
        <v/>
      </c>
      <c r="L36" s="14" t="str">
        <f aca="false">IF($A36="","",IF($G36="","",IF($J36&lt;=0,"반납완료",IF($I36&gt;0,"부분반납","미반납"))))</f>
        <v/>
      </c>
    </row>
    <row r="37" customFormat="false" ht="15" hidden="false" customHeight="false" outlineLevel="0" collapsed="false">
      <c r="A37" s="14" t="str">
        <f aca="false">IF($B37="","",TEXT($B37,"yymmdd")&amp;"-"&amp;TEXT(COUNTIFS($B$3:$B37,$B37),"00"))</f>
        <v/>
      </c>
      <c r="B37" s="15"/>
      <c r="C37" s="9"/>
      <c r="D37" s="10"/>
      <c r="E37" s="14" t="str">
        <f aca="false">IF($D37="","",IFERROR(INDEX(품목목록!$B$3:$B$202,MATCH($D37,품목목록!$A$3:$A$202,0)),"미등록품번"))</f>
        <v/>
      </c>
      <c r="F37" s="14" t="str">
        <f aca="false">IF($D37="","",IFERROR(INDEX(품목목록!$D$3:$D$202,MATCH($D37,품목목록!$A$3:$A$202,0)),""))</f>
        <v/>
      </c>
      <c r="G37" s="11"/>
      <c r="H37" s="15"/>
      <c r="I37" s="16" t="str">
        <f aca="false">IF($A37="","",SUMIFS(반납내역!$D$3:$D$1502,반납내역!$B$3:$B$1502,$A37))</f>
        <v/>
      </c>
      <c r="J37" s="16" t="str">
        <f aca="false">IF($A37="","",IF($G37="","",$G37-$I37))</f>
        <v/>
      </c>
      <c r="K37" s="17" t="str">
        <f aca="true">IF(OR($A37="",$J37="",$J37&lt;=0,$H37=""),"",TODAY()-$H37)</f>
        <v/>
      </c>
      <c r="L37" s="14" t="str">
        <f aca="false">IF($A37="","",IF($G37="","",IF($J37&lt;=0,"반납완료",IF($I37&gt;0,"부분반납","미반납"))))</f>
        <v/>
      </c>
    </row>
    <row r="38" customFormat="false" ht="15" hidden="false" customHeight="false" outlineLevel="0" collapsed="false">
      <c r="A38" s="14" t="str">
        <f aca="false">IF($B38="","",TEXT($B38,"yymmdd")&amp;"-"&amp;TEXT(COUNTIFS($B$3:$B38,$B38),"00"))</f>
        <v/>
      </c>
      <c r="B38" s="15"/>
      <c r="C38" s="9"/>
      <c r="D38" s="10"/>
      <c r="E38" s="14" t="str">
        <f aca="false">IF($D38="","",IFERROR(INDEX(품목목록!$B$3:$B$202,MATCH($D38,품목목록!$A$3:$A$202,0)),"미등록품번"))</f>
        <v/>
      </c>
      <c r="F38" s="14" t="str">
        <f aca="false">IF($D38="","",IFERROR(INDEX(품목목록!$D$3:$D$202,MATCH($D38,품목목록!$A$3:$A$202,0)),""))</f>
        <v/>
      </c>
      <c r="G38" s="11"/>
      <c r="H38" s="15"/>
      <c r="I38" s="16" t="str">
        <f aca="false">IF($A38="","",SUMIFS(반납내역!$D$3:$D$1502,반납내역!$B$3:$B$1502,$A38))</f>
        <v/>
      </c>
      <c r="J38" s="16" t="str">
        <f aca="false">IF($A38="","",IF($G38="","",$G38-$I38))</f>
        <v/>
      </c>
      <c r="K38" s="17" t="str">
        <f aca="true">IF(OR($A38="",$J38="",$J38&lt;=0,$H38=""),"",TODAY()-$H38)</f>
        <v/>
      </c>
      <c r="L38" s="14" t="str">
        <f aca="false">IF($A38="","",IF($G38="","",IF($J38&lt;=0,"반납완료",IF($I38&gt;0,"부분반납","미반납"))))</f>
        <v/>
      </c>
    </row>
    <row r="39" customFormat="false" ht="15" hidden="false" customHeight="false" outlineLevel="0" collapsed="false">
      <c r="A39" s="14" t="str">
        <f aca="false">IF($B39="","",TEXT($B39,"yymmdd")&amp;"-"&amp;TEXT(COUNTIFS($B$3:$B39,$B39),"00"))</f>
        <v/>
      </c>
      <c r="B39" s="15"/>
      <c r="C39" s="9"/>
      <c r="D39" s="10"/>
      <c r="E39" s="14" t="str">
        <f aca="false">IF($D39="","",IFERROR(INDEX(품목목록!$B$3:$B$202,MATCH($D39,품목목록!$A$3:$A$202,0)),"미등록품번"))</f>
        <v/>
      </c>
      <c r="F39" s="14" t="str">
        <f aca="false">IF($D39="","",IFERROR(INDEX(품목목록!$D$3:$D$202,MATCH($D39,품목목록!$A$3:$A$202,0)),""))</f>
        <v/>
      </c>
      <c r="G39" s="11"/>
      <c r="H39" s="15"/>
      <c r="I39" s="16" t="str">
        <f aca="false">IF($A39="","",SUMIFS(반납내역!$D$3:$D$1502,반납내역!$B$3:$B$1502,$A39))</f>
        <v/>
      </c>
      <c r="J39" s="16" t="str">
        <f aca="false">IF($A39="","",IF($G39="","",$G39-$I39))</f>
        <v/>
      </c>
      <c r="K39" s="17" t="str">
        <f aca="true">IF(OR($A39="",$J39="",$J39&lt;=0,$H39=""),"",TODAY()-$H39)</f>
        <v/>
      </c>
      <c r="L39" s="14" t="str">
        <f aca="false">IF($A39="","",IF($G39="","",IF($J39&lt;=0,"반납완료",IF($I39&gt;0,"부분반납","미반납"))))</f>
        <v/>
      </c>
    </row>
    <row r="40" customFormat="false" ht="15" hidden="false" customHeight="false" outlineLevel="0" collapsed="false">
      <c r="A40" s="14" t="str">
        <f aca="false">IF($B40="","",TEXT($B40,"yymmdd")&amp;"-"&amp;TEXT(COUNTIFS($B$3:$B40,$B40),"00"))</f>
        <v/>
      </c>
      <c r="B40" s="15"/>
      <c r="C40" s="9"/>
      <c r="D40" s="10"/>
      <c r="E40" s="14" t="str">
        <f aca="false">IF($D40="","",IFERROR(INDEX(품목목록!$B$3:$B$202,MATCH($D40,품목목록!$A$3:$A$202,0)),"미등록품번"))</f>
        <v/>
      </c>
      <c r="F40" s="14" t="str">
        <f aca="false">IF($D40="","",IFERROR(INDEX(품목목록!$D$3:$D$202,MATCH($D40,품목목록!$A$3:$A$202,0)),""))</f>
        <v/>
      </c>
      <c r="G40" s="11"/>
      <c r="H40" s="15"/>
      <c r="I40" s="16" t="str">
        <f aca="false">IF($A40="","",SUMIFS(반납내역!$D$3:$D$1502,반납내역!$B$3:$B$1502,$A40))</f>
        <v/>
      </c>
      <c r="J40" s="16" t="str">
        <f aca="false">IF($A40="","",IF($G40="","",$G40-$I40))</f>
        <v/>
      </c>
      <c r="K40" s="17" t="str">
        <f aca="true">IF(OR($A40="",$J40="",$J40&lt;=0,$H40=""),"",TODAY()-$H40)</f>
        <v/>
      </c>
      <c r="L40" s="14" t="str">
        <f aca="false">IF($A40="","",IF($G40="","",IF($J40&lt;=0,"반납완료",IF($I40&gt;0,"부분반납","미반납"))))</f>
        <v/>
      </c>
    </row>
    <row r="41" customFormat="false" ht="15" hidden="false" customHeight="false" outlineLevel="0" collapsed="false">
      <c r="A41" s="14" t="str">
        <f aca="false">IF($B41="","",TEXT($B41,"yymmdd")&amp;"-"&amp;TEXT(COUNTIFS($B$3:$B41,$B41),"00"))</f>
        <v/>
      </c>
      <c r="B41" s="15"/>
      <c r="C41" s="9"/>
      <c r="D41" s="10"/>
      <c r="E41" s="14" t="str">
        <f aca="false">IF($D41="","",IFERROR(INDEX(품목목록!$B$3:$B$202,MATCH($D41,품목목록!$A$3:$A$202,0)),"미등록품번"))</f>
        <v/>
      </c>
      <c r="F41" s="14" t="str">
        <f aca="false">IF($D41="","",IFERROR(INDEX(품목목록!$D$3:$D$202,MATCH($D41,품목목록!$A$3:$A$202,0)),""))</f>
        <v/>
      </c>
      <c r="G41" s="11"/>
      <c r="H41" s="15"/>
      <c r="I41" s="16" t="str">
        <f aca="false">IF($A41="","",SUMIFS(반납내역!$D$3:$D$1502,반납내역!$B$3:$B$1502,$A41))</f>
        <v/>
      </c>
      <c r="J41" s="16" t="str">
        <f aca="false">IF($A41="","",IF($G41="","",$G41-$I41))</f>
        <v/>
      </c>
      <c r="K41" s="17" t="str">
        <f aca="true">IF(OR($A41="",$J41="",$J41&lt;=0,$H41=""),"",TODAY()-$H41)</f>
        <v/>
      </c>
      <c r="L41" s="14" t="str">
        <f aca="false">IF($A41="","",IF($G41="","",IF($J41&lt;=0,"반납완료",IF($I41&gt;0,"부분반납","미반납"))))</f>
        <v/>
      </c>
    </row>
    <row r="42" customFormat="false" ht="15" hidden="false" customHeight="false" outlineLevel="0" collapsed="false">
      <c r="A42" s="14" t="str">
        <f aca="false">IF($B42="","",TEXT($B42,"yymmdd")&amp;"-"&amp;TEXT(COUNTIFS($B$3:$B42,$B42),"00"))</f>
        <v/>
      </c>
      <c r="B42" s="15"/>
      <c r="C42" s="9"/>
      <c r="D42" s="10"/>
      <c r="E42" s="14" t="str">
        <f aca="false">IF($D42="","",IFERROR(INDEX(품목목록!$B$3:$B$202,MATCH($D42,품목목록!$A$3:$A$202,0)),"미등록품번"))</f>
        <v/>
      </c>
      <c r="F42" s="14" t="str">
        <f aca="false">IF($D42="","",IFERROR(INDEX(품목목록!$D$3:$D$202,MATCH($D42,품목목록!$A$3:$A$202,0)),""))</f>
        <v/>
      </c>
      <c r="G42" s="11"/>
      <c r="H42" s="15"/>
      <c r="I42" s="16" t="str">
        <f aca="false">IF($A42="","",SUMIFS(반납내역!$D$3:$D$1502,반납내역!$B$3:$B$1502,$A42))</f>
        <v/>
      </c>
      <c r="J42" s="16" t="str">
        <f aca="false">IF($A42="","",IF($G42="","",$G42-$I42))</f>
        <v/>
      </c>
      <c r="K42" s="17" t="str">
        <f aca="true">IF(OR($A42="",$J42="",$J42&lt;=0,$H42=""),"",TODAY()-$H42)</f>
        <v/>
      </c>
      <c r="L42" s="14" t="str">
        <f aca="false">IF($A42="","",IF($G42="","",IF($J42&lt;=0,"반납완료",IF($I42&gt;0,"부분반납","미반납"))))</f>
        <v/>
      </c>
    </row>
    <row r="43" customFormat="false" ht="15" hidden="false" customHeight="false" outlineLevel="0" collapsed="false">
      <c r="A43" s="14" t="str">
        <f aca="false">IF($B43="","",TEXT($B43,"yymmdd")&amp;"-"&amp;TEXT(COUNTIFS($B$3:$B43,$B43),"00"))</f>
        <v/>
      </c>
      <c r="B43" s="15"/>
      <c r="C43" s="9"/>
      <c r="D43" s="10"/>
      <c r="E43" s="14" t="str">
        <f aca="false">IF($D43="","",IFERROR(INDEX(품목목록!$B$3:$B$202,MATCH($D43,품목목록!$A$3:$A$202,0)),"미등록품번"))</f>
        <v/>
      </c>
      <c r="F43" s="14" t="str">
        <f aca="false">IF($D43="","",IFERROR(INDEX(품목목록!$D$3:$D$202,MATCH($D43,품목목록!$A$3:$A$202,0)),""))</f>
        <v/>
      </c>
      <c r="G43" s="11"/>
      <c r="H43" s="15"/>
      <c r="I43" s="16" t="str">
        <f aca="false">IF($A43="","",SUMIFS(반납내역!$D$3:$D$1502,반납내역!$B$3:$B$1502,$A43))</f>
        <v/>
      </c>
      <c r="J43" s="16" t="str">
        <f aca="false">IF($A43="","",IF($G43="","",$G43-$I43))</f>
        <v/>
      </c>
      <c r="K43" s="17" t="str">
        <f aca="true">IF(OR($A43="",$J43="",$J43&lt;=0,$H43=""),"",TODAY()-$H43)</f>
        <v/>
      </c>
      <c r="L43" s="14" t="str">
        <f aca="false">IF($A43="","",IF($G43="","",IF($J43&lt;=0,"반납완료",IF($I43&gt;0,"부분반납","미반납"))))</f>
        <v/>
      </c>
    </row>
    <row r="44" customFormat="false" ht="15" hidden="false" customHeight="false" outlineLevel="0" collapsed="false">
      <c r="A44" s="14" t="str">
        <f aca="false">IF($B44="","",TEXT($B44,"yymmdd")&amp;"-"&amp;TEXT(COUNTIFS($B$3:$B44,$B44),"00"))</f>
        <v/>
      </c>
      <c r="B44" s="15"/>
      <c r="C44" s="9"/>
      <c r="D44" s="10"/>
      <c r="E44" s="14" t="str">
        <f aca="false">IF($D44="","",IFERROR(INDEX(품목목록!$B$3:$B$202,MATCH($D44,품목목록!$A$3:$A$202,0)),"미등록품번"))</f>
        <v/>
      </c>
      <c r="F44" s="14" t="str">
        <f aca="false">IF($D44="","",IFERROR(INDEX(품목목록!$D$3:$D$202,MATCH($D44,품목목록!$A$3:$A$202,0)),""))</f>
        <v/>
      </c>
      <c r="G44" s="11"/>
      <c r="H44" s="15"/>
      <c r="I44" s="16" t="str">
        <f aca="false">IF($A44="","",SUMIFS(반납내역!$D$3:$D$1502,반납내역!$B$3:$B$1502,$A44))</f>
        <v/>
      </c>
      <c r="J44" s="16" t="str">
        <f aca="false">IF($A44="","",IF($G44="","",$G44-$I44))</f>
        <v/>
      </c>
      <c r="K44" s="17" t="str">
        <f aca="true">IF(OR($A44="",$J44="",$J44&lt;=0,$H44=""),"",TODAY()-$H44)</f>
        <v/>
      </c>
      <c r="L44" s="14" t="str">
        <f aca="false">IF($A44="","",IF($G44="","",IF($J44&lt;=0,"반납완료",IF($I44&gt;0,"부분반납","미반납"))))</f>
        <v/>
      </c>
    </row>
    <row r="45" customFormat="false" ht="15" hidden="false" customHeight="false" outlineLevel="0" collapsed="false">
      <c r="A45" s="14" t="str">
        <f aca="false">IF($B45="","",TEXT($B45,"yymmdd")&amp;"-"&amp;TEXT(COUNTIFS($B$3:$B45,$B45),"00"))</f>
        <v/>
      </c>
      <c r="B45" s="15"/>
      <c r="C45" s="9"/>
      <c r="D45" s="10"/>
      <c r="E45" s="14" t="str">
        <f aca="false">IF($D45="","",IFERROR(INDEX(품목목록!$B$3:$B$202,MATCH($D45,품목목록!$A$3:$A$202,0)),"미등록품번"))</f>
        <v/>
      </c>
      <c r="F45" s="14" t="str">
        <f aca="false">IF($D45="","",IFERROR(INDEX(품목목록!$D$3:$D$202,MATCH($D45,품목목록!$A$3:$A$202,0)),""))</f>
        <v/>
      </c>
      <c r="G45" s="11"/>
      <c r="H45" s="15"/>
      <c r="I45" s="16" t="str">
        <f aca="false">IF($A45="","",SUMIFS(반납내역!$D$3:$D$1502,반납내역!$B$3:$B$1502,$A45))</f>
        <v/>
      </c>
      <c r="J45" s="16" t="str">
        <f aca="false">IF($A45="","",IF($G45="","",$G45-$I45))</f>
        <v/>
      </c>
      <c r="K45" s="17" t="str">
        <f aca="true">IF(OR($A45="",$J45="",$J45&lt;=0,$H45=""),"",TODAY()-$H45)</f>
        <v/>
      </c>
      <c r="L45" s="14" t="str">
        <f aca="false">IF($A45="","",IF($G45="","",IF($J45&lt;=0,"반납완료",IF($I45&gt;0,"부분반납","미반납"))))</f>
        <v/>
      </c>
    </row>
    <row r="46" customFormat="false" ht="15" hidden="false" customHeight="false" outlineLevel="0" collapsed="false">
      <c r="A46" s="14" t="str">
        <f aca="false">IF($B46="","",TEXT($B46,"yymmdd")&amp;"-"&amp;TEXT(COUNTIFS($B$3:$B46,$B46),"00"))</f>
        <v/>
      </c>
      <c r="B46" s="15"/>
      <c r="C46" s="9"/>
      <c r="D46" s="10"/>
      <c r="E46" s="14" t="str">
        <f aca="false">IF($D46="","",IFERROR(INDEX(품목목록!$B$3:$B$202,MATCH($D46,품목목록!$A$3:$A$202,0)),"미등록품번"))</f>
        <v/>
      </c>
      <c r="F46" s="14" t="str">
        <f aca="false">IF($D46="","",IFERROR(INDEX(품목목록!$D$3:$D$202,MATCH($D46,품목목록!$A$3:$A$202,0)),""))</f>
        <v/>
      </c>
      <c r="G46" s="11"/>
      <c r="H46" s="15"/>
      <c r="I46" s="16" t="str">
        <f aca="false">IF($A46="","",SUMIFS(반납내역!$D$3:$D$1502,반납내역!$B$3:$B$1502,$A46))</f>
        <v/>
      </c>
      <c r="J46" s="16" t="str">
        <f aca="false">IF($A46="","",IF($G46="","",$G46-$I46))</f>
        <v/>
      </c>
      <c r="K46" s="17" t="str">
        <f aca="true">IF(OR($A46="",$J46="",$J46&lt;=0,$H46=""),"",TODAY()-$H46)</f>
        <v/>
      </c>
      <c r="L46" s="14" t="str">
        <f aca="false">IF($A46="","",IF($G46="","",IF($J46&lt;=0,"반납완료",IF($I46&gt;0,"부분반납","미반납"))))</f>
        <v/>
      </c>
    </row>
    <row r="47" customFormat="false" ht="15" hidden="false" customHeight="false" outlineLevel="0" collapsed="false">
      <c r="A47" s="14" t="str">
        <f aca="false">IF($B47="","",TEXT($B47,"yymmdd")&amp;"-"&amp;TEXT(COUNTIFS($B$3:$B47,$B47),"00"))</f>
        <v/>
      </c>
      <c r="B47" s="15"/>
      <c r="C47" s="9"/>
      <c r="D47" s="10"/>
      <c r="E47" s="14" t="str">
        <f aca="false">IF($D47="","",IFERROR(INDEX(품목목록!$B$3:$B$202,MATCH($D47,품목목록!$A$3:$A$202,0)),"미등록품번"))</f>
        <v/>
      </c>
      <c r="F47" s="14" t="str">
        <f aca="false">IF($D47="","",IFERROR(INDEX(품목목록!$D$3:$D$202,MATCH($D47,품목목록!$A$3:$A$202,0)),""))</f>
        <v/>
      </c>
      <c r="G47" s="11"/>
      <c r="H47" s="15"/>
      <c r="I47" s="16" t="str">
        <f aca="false">IF($A47="","",SUMIFS(반납내역!$D$3:$D$1502,반납내역!$B$3:$B$1502,$A47))</f>
        <v/>
      </c>
      <c r="J47" s="16" t="str">
        <f aca="false">IF($A47="","",IF($G47="","",$G47-$I47))</f>
        <v/>
      </c>
      <c r="K47" s="17" t="str">
        <f aca="true">IF(OR($A47="",$J47="",$J47&lt;=0,$H47=""),"",TODAY()-$H47)</f>
        <v/>
      </c>
      <c r="L47" s="14" t="str">
        <f aca="false">IF($A47="","",IF($G47="","",IF($J47&lt;=0,"반납완료",IF($I47&gt;0,"부분반납","미반납"))))</f>
        <v/>
      </c>
    </row>
    <row r="48" customFormat="false" ht="15" hidden="false" customHeight="false" outlineLevel="0" collapsed="false">
      <c r="A48" s="14" t="str">
        <f aca="false">IF($B48="","",TEXT($B48,"yymmdd")&amp;"-"&amp;TEXT(COUNTIFS($B$3:$B48,$B48),"00"))</f>
        <v/>
      </c>
      <c r="B48" s="15"/>
      <c r="C48" s="9"/>
      <c r="D48" s="10"/>
      <c r="E48" s="14" t="str">
        <f aca="false">IF($D48="","",IFERROR(INDEX(품목목록!$B$3:$B$202,MATCH($D48,품목목록!$A$3:$A$202,0)),"미등록품번"))</f>
        <v/>
      </c>
      <c r="F48" s="14" t="str">
        <f aca="false">IF($D48="","",IFERROR(INDEX(품목목록!$D$3:$D$202,MATCH($D48,품목목록!$A$3:$A$202,0)),""))</f>
        <v/>
      </c>
      <c r="G48" s="11"/>
      <c r="H48" s="15"/>
      <c r="I48" s="16" t="str">
        <f aca="false">IF($A48="","",SUMIFS(반납내역!$D$3:$D$1502,반납내역!$B$3:$B$1502,$A48))</f>
        <v/>
      </c>
      <c r="J48" s="16" t="str">
        <f aca="false">IF($A48="","",IF($G48="","",$G48-$I48))</f>
        <v/>
      </c>
      <c r="K48" s="17" t="str">
        <f aca="true">IF(OR($A48="",$J48="",$J48&lt;=0,$H48=""),"",TODAY()-$H48)</f>
        <v/>
      </c>
      <c r="L48" s="14" t="str">
        <f aca="false">IF($A48="","",IF($G48="","",IF($J48&lt;=0,"반납완료",IF($I48&gt;0,"부분반납","미반납"))))</f>
        <v/>
      </c>
    </row>
    <row r="49" customFormat="false" ht="15" hidden="false" customHeight="false" outlineLevel="0" collapsed="false">
      <c r="A49" s="14" t="str">
        <f aca="false">IF($B49="","",TEXT($B49,"yymmdd")&amp;"-"&amp;TEXT(COUNTIFS($B$3:$B49,$B49),"00"))</f>
        <v/>
      </c>
      <c r="B49" s="15"/>
      <c r="C49" s="9"/>
      <c r="D49" s="10"/>
      <c r="E49" s="14" t="str">
        <f aca="false">IF($D49="","",IFERROR(INDEX(품목목록!$B$3:$B$202,MATCH($D49,품목목록!$A$3:$A$202,0)),"미등록품번"))</f>
        <v/>
      </c>
      <c r="F49" s="14" t="str">
        <f aca="false">IF($D49="","",IFERROR(INDEX(품목목록!$D$3:$D$202,MATCH($D49,품목목록!$A$3:$A$202,0)),""))</f>
        <v/>
      </c>
      <c r="G49" s="11"/>
      <c r="H49" s="15"/>
      <c r="I49" s="16" t="str">
        <f aca="false">IF($A49="","",SUMIFS(반납내역!$D$3:$D$1502,반납내역!$B$3:$B$1502,$A49))</f>
        <v/>
      </c>
      <c r="J49" s="16" t="str">
        <f aca="false">IF($A49="","",IF($G49="","",$G49-$I49))</f>
        <v/>
      </c>
      <c r="K49" s="17" t="str">
        <f aca="true">IF(OR($A49="",$J49="",$J49&lt;=0,$H49=""),"",TODAY()-$H49)</f>
        <v/>
      </c>
      <c r="L49" s="14" t="str">
        <f aca="false">IF($A49="","",IF($G49="","",IF($J49&lt;=0,"반납완료",IF($I49&gt;0,"부분반납","미반납"))))</f>
        <v/>
      </c>
    </row>
    <row r="50" customFormat="false" ht="15" hidden="false" customHeight="false" outlineLevel="0" collapsed="false">
      <c r="A50" s="14" t="str">
        <f aca="false">IF($B50="","",TEXT($B50,"yymmdd")&amp;"-"&amp;TEXT(COUNTIFS($B$3:$B50,$B50),"00"))</f>
        <v/>
      </c>
      <c r="B50" s="15"/>
      <c r="C50" s="9"/>
      <c r="D50" s="10"/>
      <c r="E50" s="14" t="str">
        <f aca="false">IF($D50="","",IFERROR(INDEX(품목목록!$B$3:$B$202,MATCH($D50,품목목록!$A$3:$A$202,0)),"미등록품번"))</f>
        <v/>
      </c>
      <c r="F50" s="14" t="str">
        <f aca="false">IF($D50="","",IFERROR(INDEX(품목목록!$D$3:$D$202,MATCH($D50,품목목록!$A$3:$A$202,0)),""))</f>
        <v/>
      </c>
      <c r="G50" s="11"/>
      <c r="H50" s="15"/>
      <c r="I50" s="16" t="str">
        <f aca="false">IF($A50="","",SUMIFS(반납내역!$D$3:$D$1502,반납내역!$B$3:$B$1502,$A50))</f>
        <v/>
      </c>
      <c r="J50" s="16" t="str">
        <f aca="false">IF($A50="","",IF($G50="","",$G50-$I50))</f>
        <v/>
      </c>
      <c r="K50" s="17" t="str">
        <f aca="true">IF(OR($A50="",$J50="",$J50&lt;=0,$H50=""),"",TODAY()-$H50)</f>
        <v/>
      </c>
      <c r="L50" s="14" t="str">
        <f aca="false">IF($A50="","",IF($G50="","",IF($J50&lt;=0,"반납완료",IF($I50&gt;0,"부분반납","미반납"))))</f>
        <v/>
      </c>
    </row>
    <row r="51" customFormat="false" ht="15" hidden="false" customHeight="false" outlineLevel="0" collapsed="false">
      <c r="A51" s="14" t="str">
        <f aca="false">IF($B51="","",TEXT($B51,"yymmdd")&amp;"-"&amp;TEXT(COUNTIFS($B$3:$B51,$B51),"00"))</f>
        <v/>
      </c>
      <c r="B51" s="15"/>
      <c r="C51" s="9"/>
      <c r="D51" s="10"/>
      <c r="E51" s="14" t="str">
        <f aca="false">IF($D51="","",IFERROR(INDEX(품목목록!$B$3:$B$202,MATCH($D51,품목목록!$A$3:$A$202,0)),"미등록품번"))</f>
        <v/>
      </c>
      <c r="F51" s="14" t="str">
        <f aca="false">IF($D51="","",IFERROR(INDEX(품목목록!$D$3:$D$202,MATCH($D51,품목목록!$A$3:$A$202,0)),""))</f>
        <v/>
      </c>
      <c r="G51" s="11"/>
      <c r="H51" s="15"/>
      <c r="I51" s="16" t="str">
        <f aca="false">IF($A51="","",SUMIFS(반납내역!$D$3:$D$1502,반납내역!$B$3:$B$1502,$A51))</f>
        <v/>
      </c>
      <c r="J51" s="16" t="str">
        <f aca="false">IF($A51="","",IF($G51="","",$G51-$I51))</f>
        <v/>
      </c>
      <c r="K51" s="17" t="str">
        <f aca="true">IF(OR($A51="",$J51="",$J51&lt;=0,$H51=""),"",TODAY()-$H51)</f>
        <v/>
      </c>
      <c r="L51" s="14" t="str">
        <f aca="false">IF($A51="","",IF($G51="","",IF($J51&lt;=0,"반납완료",IF($I51&gt;0,"부분반납","미반납"))))</f>
        <v/>
      </c>
    </row>
    <row r="52" customFormat="false" ht="15" hidden="false" customHeight="false" outlineLevel="0" collapsed="false">
      <c r="A52" s="14" t="str">
        <f aca="false">IF($B52="","",TEXT($B52,"yymmdd")&amp;"-"&amp;TEXT(COUNTIFS($B$3:$B52,$B52),"00"))</f>
        <v/>
      </c>
      <c r="B52" s="15"/>
      <c r="C52" s="9"/>
      <c r="D52" s="10"/>
      <c r="E52" s="14" t="str">
        <f aca="false">IF($D52="","",IFERROR(INDEX(품목목록!$B$3:$B$202,MATCH($D52,품목목록!$A$3:$A$202,0)),"미등록품번"))</f>
        <v/>
      </c>
      <c r="F52" s="14" t="str">
        <f aca="false">IF($D52="","",IFERROR(INDEX(품목목록!$D$3:$D$202,MATCH($D52,품목목록!$A$3:$A$202,0)),""))</f>
        <v/>
      </c>
      <c r="G52" s="11"/>
      <c r="H52" s="15"/>
      <c r="I52" s="16" t="str">
        <f aca="false">IF($A52="","",SUMIFS(반납내역!$D$3:$D$1502,반납내역!$B$3:$B$1502,$A52))</f>
        <v/>
      </c>
      <c r="J52" s="16" t="str">
        <f aca="false">IF($A52="","",IF($G52="","",$G52-$I52))</f>
        <v/>
      </c>
      <c r="K52" s="17" t="str">
        <f aca="true">IF(OR($A52="",$J52="",$J52&lt;=0,$H52=""),"",TODAY()-$H52)</f>
        <v/>
      </c>
      <c r="L52" s="14" t="str">
        <f aca="false">IF($A52="","",IF($G52="","",IF($J52&lt;=0,"반납완료",IF($I52&gt;0,"부분반납","미반납"))))</f>
        <v/>
      </c>
    </row>
    <row r="53" customFormat="false" ht="15" hidden="false" customHeight="false" outlineLevel="0" collapsed="false">
      <c r="A53" s="14" t="str">
        <f aca="false">IF($B53="","",TEXT($B53,"yymmdd")&amp;"-"&amp;TEXT(COUNTIFS($B$3:$B53,$B53),"00"))</f>
        <v/>
      </c>
      <c r="B53" s="15"/>
      <c r="C53" s="9"/>
      <c r="D53" s="10"/>
      <c r="E53" s="14" t="str">
        <f aca="false">IF($D53="","",IFERROR(INDEX(품목목록!$B$3:$B$202,MATCH($D53,품목목록!$A$3:$A$202,0)),"미등록품번"))</f>
        <v/>
      </c>
      <c r="F53" s="14" t="str">
        <f aca="false">IF($D53="","",IFERROR(INDEX(품목목록!$D$3:$D$202,MATCH($D53,품목목록!$A$3:$A$202,0)),""))</f>
        <v/>
      </c>
      <c r="G53" s="11"/>
      <c r="H53" s="15"/>
      <c r="I53" s="16" t="str">
        <f aca="false">IF($A53="","",SUMIFS(반납내역!$D$3:$D$1502,반납내역!$B$3:$B$1502,$A53))</f>
        <v/>
      </c>
      <c r="J53" s="16" t="str">
        <f aca="false">IF($A53="","",IF($G53="","",$G53-$I53))</f>
        <v/>
      </c>
      <c r="K53" s="17" t="str">
        <f aca="true">IF(OR($A53="",$J53="",$J53&lt;=0,$H53=""),"",TODAY()-$H53)</f>
        <v/>
      </c>
      <c r="L53" s="14" t="str">
        <f aca="false">IF($A53="","",IF($G53="","",IF($J53&lt;=0,"반납완료",IF($I53&gt;0,"부분반납","미반납"))))</f>
        <v/>
      </c>
    </row>
    <row r="54" customFormat="false" ht="15" hidden="false" customHeight="false" outlineLevel="0" collapsed="false">
      <c r="A54" s="14" t="str">
        <f aca="false">IF($B54="","",TEXT($B54,"yymmdd")&amp;"-"&amp;TEXT(COUNTIFS($B$3:$B54,$B54),"00"))</f>
        <v/>
      </c>
      <c r="B54" s="15"/>
      <c r="C54" s="9"/>
      <c r="D54" s="10"/>
      <c r="E54" s="14" t="str">
        <f aca="false">IF($D54="","",IFERROR(INDEX(품목목록!$B$3:$B$202,MATCH($D54,품목목록!$A$3:$A$202,0)),"미등록품번"))</f>
        <v/>
      </c>
      <c r="F54" s="14" t="str">
        <f aca="false">IF($D54="","",IFERROR(INDEX(품목목록!$D$3:$D$202,MATCH($D54,품목목록!$A$3:$A$202,0)),""))</f>
        <v/>
      </c>
      <c r="G54" s="11"/>
      <c r="H54" s="15"/>
      <c r="I54" s="16" t="str">
        <f aca="false">IF($A54="","",SUMIFS(반납내역!$D$3:$D$1502,반납내역!$B$3:$B$1502,$A54))</f>
        <v/>
      </c>
      <c r="J54" s="16" t="str">
        <f aca="false">IF($A54="","",IF($G54="","",$G54-$I54))</f>
        <v/>
      </c>
      <c r="K54" s="17" t="str">
        <f aca="true">IF(OR($A54="",$J54="",$J54&lt;=0,$H54=""),"",TODAY()-$H54)</f>
        <v/>
      </c>
      <c r="L54" s="14" t="str">
        <f aca="false">IF($A54="","",IF($G54="","",IF($J54&lt;=0,"반납완료",IF($I54&gt;0,"부분반납","미반납"))))</f>
        <v/>
      </c>
    </row>
    <row r="55" customFormat="false" ht="15" hidden="false" customHeight="false" outlineLevel="0" collapsed="false">
      <c r="A55" s="14" t="str">
        <f aca="false">IF($B55="","",TEXT($B55,"yymmdd")&amp;"-"&amp;TEXT(COUNTIFS($B$3:$B55,$B55),"00"))</f>
        <v/>
      </c>
      <c r="B55" s="15"/>
      <c r="C55" s="9"/>
      <c r="D55" s="10"/>
      <c r="E55" s="14" t="str">
        <f aca="false">IF($D55="","",IFERROR(INDEX(품목목록!$B$3:$B$202,MATCH($D55,품목목록!$A$3:$A$202,0)),"미등록품번"))</f>
        <v/>
      </c>
      <c r="F55" s="14" t="str">
        <f aca="false">IF($D55="","",IFERROR(INDEX(품목목록!$D$3:$D$202,MATCH($D55,품목목록!$A$3:$A$202,0)),""))</f>
        <v/>
      </c>
      <c r="G55" s="11"/>
      <c r="H55" s="15"/>
      <c r="I55" s="16" t="str">
        <f aca="false">IF($A55="","",SUMIFS(반납내역!$D$3:$D$1502,반납내역!$B$3:$B$1502,$A55))</f>
        <v/>
      </c>
      <c r="J55" s="16" t="str">
        <f aca="false">IF($A55="","",IF($G55="","",$G55-$I55))</f>
        <v/>
      </c>
      <c r="K55" s="17" t="str">
        <f aca="true">IF(OR($A55="",$J55="",$J55&lt;=0,$H55=""),"",TODAY()-$H55)</f>
        <v/>
      </c>
      <c r="L55" s="14" t="str">
        <f aca="false">IF($A55="","",IF($G55="","",IF($J55&lt;=0,"반납완료",IF($I55&gt;0,"부분반납","미반납"))))</f>
        <v/>
      </c>
    </row>
    <row r="56" customFormat="false" ht="15" hidden="false" customHeight="false" outlineLevel="0" collapsed="false">
      <c r="A56" s="14" t="str">
        <f aca="false">IF($B56="","",TEXT($B56,"yymmdd")&amp;"-"&amp;TEXT(COUNTIFS($B$3:$B56,$B56),"00"))</f>
        <v/>
      </c>
      <c r="B56" s="15"/>
      <c r="C56" s="9"/>
      <c r="D56" s="10"/>
      <c r="E56" s="14" t="str">
        <f aca="false">IF($D56="","",IFERROR(INDEX(품목목록!$B$3:$B$202,MATCH($D56,품목목록!$A$3:$A$202,0)),"미등록품번"))</f>
        <v/>
      </c>
      <c r="F56" s="14" t="str">
        <f aca="false">IF($D56="","",IFERROR(INDEX(품목목록!$D$3:$D$202,MATCH($D56,품목목록!$A$3:$A$202,0)),""))</f>
        <v/>
      </c>
      <c r="G56" s="11"/>
      <c r="H56" s="15"/>
      <c r="I56" s="16" t="str">
        <f aca="false">IF($A56="","",SUMIFS(반납내역!$D$3:$D$1502,반납내역!$B$3:$B$1502,$A56))</f>
        <v/>
      </c>
      <c r="J56" s="16" t="str">
        <f aca="false">IF($A56="","",IF($G56="","",$G56-$I56))</f>
        <v/>
      </c>
      <c r="K56" s="17" t="str">
        <f aca="true">IF(OR($A56="",$J56="",$J56&lt;=0,$H56=""),"",TODAY()-$H56)</f>
        <v/>
      </c>
      <c r="L56" s="14" t="str">
        <f aca="false">IF($A56="","",IF($G56="","",IF($J56&lt;=0,"반납완료",IF($I56&gt;0,"부분반납","미반납"))))</f>
        <v/>
      </c>
    </row>
    <row r="57" customFormat="false" ht="15" hidden="false" customHeight="false" outlineLevel="0" collapsed="false">
      <c r="A57" s="14" t="str">
        <f aca="false">IF($B57="","",TEXT($B57,"yymmdd")&amp;"-"&amp;TEXT(COUNTIFS($B$3:$B57,$B57),"00"))</f>
        <v/>
      </c>
      <c r="B57" s="15"/>
      <c r="C57" s="9"/>
      <c r="D57" s="10"/>
      <c r="E57" s="14" t="str">
        <f aca="false">IF($D57="","",IFERROR(INDEX(품목목록!$B$3:$B$202,MATCH($D57,품목목록!$A$3:$A$202,0)),"미등록품번"))</f>
        <v/>
      </c>
      <c r="F57" s="14" t="str">
        <f aca="false">IF($D57="","",IFERROR(INDEX(품목목록!$D$3:$D$202,MATCH($D57,품목목록!$A$3:$A$202,0)),""))</f>
        <v/>
      </c>
      <c r="G57" s="11"/>
      <c r="H57" s="15"/>
      <c r="I57" s="16" t="str">
        <f aca="false">IF($A57="","",SUMIFS(반납내역!$D$3:$D$1502,반납내역!$B$3:$B$1502,$A57))</f>
        <v/>
      </c>
      <c r="J57" s="16" t="str">
        <f aca="false">IF($A57="","",IF($G57="","",$G57-$I57))</f>
        <v/>
      </c>
      <c r="K57" s="17" t="str">
        <f aca="true">IF(OR($A57="",$J57="",$J57&lt;=0,$H57=""),"",TODAY()-$H57)</f>
        <v/>
      </c>
      <c r="L57" s="14" t="str">
        <f aca="false">IF($A57="","",IF($G57="","",IF($J57&lt;=0,"반납완료",IF($I57&gt;0,"부분반납","미반납"))))</f>
        <v/>
      </c>
    </row>
    <row r="58" customFormat="false" ht="15" hidden="false" customHeight="false" outlineLevel="0" collapsed="false">
      <c r="A58" s="14" t="str">
        <f aca="false">IF($B58="","",TEXT($B58,"yymmdd")&amp;"-"&amp;TEXT(COUNTIFS($B$3:$B58,$B58),"00"))</f>
        <v/>
      </c>
      <c r="B58" s="15"/>
      <c r="C58" s="9"/>
      <c r="D58" s="10"/>
      <c r="E58" s="14" t="str">
        <f aca="false">IF($D58="","",IFERROR(INDEX(품목목록!$B$3:$B$202,MATCH($D58,품목목록!$A$3:$A$202,0)),"미등록품번"))</f>
        <v/>
      </c>
      <c r="F58" s="14" t="str">
        <f aca="false">IF($D58="","",IFERROR(INDEX(품목목록!$D$3:$D$202,MATCH($D58,품목목록!$A$3:$A$202,0)),""))</f>
        <v/>
      </c>
      <c r="G58" s="11"/>
      <c r="H58" s="15"/>
      <c r="I58" s="16" t="str">
        <f aca="false">IF($A58="","",SUMIFS(반납내역!$D$3:$D$1502,반납내역!$B$3:$B$1502,$A58))</f>
        <v/>
      </c>
      <c r="J58" s="16" t="str">
        <f aca="false">IF($A58="","",IF($G58="","",$G58-$I58))</f>
        <v/>
      </c>
      <c r="K58" s="17" t="str">
        <f aca="true">IF(OR($A58="",$J58="",$J58&lt;=0,$H58=""),"",TODAY()-$H58)</f>
        <v/>
      </c>
      <c r="L58" s="14" t="str">
        <f aca="false">IF($A58="","",IF($G58="","",IF($J58&lt;=0,"반납완료",IF($I58&gt;0,"부분반납","미반납"))))</f>
        <v/>
      </c>
    </row>
    <row r="59" customFormat="false" ht="15" hidden="false" customHeight="false" outlineLevel="0" collapsed="false">
      <c r="A59" s="14" t="str">
        <f aca="false">IF($B59="","",TEXT($B59,"yymmdd")&amp;"-"&amp;TEXT(COUNTIFS($B$3:$B59,$B59),"00"))</f>
        <v/>
      </c>
      <c r="B59" s="15"/>
      <c r="C59" s="9"/>
      <c r="D59" s="10"/>
      <c r="E59" s="14" t="str">
        <f aca="false">IF($D59="","",IFERROR(INDEX(품목목록!$B$3:$B$202,MATCH($D59,품목목록!$A$3:$A$202,0)),"미등록품번"))</f>
        <v/>
      </c>
      <c r="F59" s="14" t="str">
        <f aca="false">IF($D59="","",IFERROR(INDEX(품목목록!$D$3:$D$202,MATCH($D59,품목목록!$A$3:$A$202,0)),""))</f>
        <v/>
      </c>
      <c r="G59" s="11"/>
      <c r="H59" s="15"/>
      <c r="I59" s="16" t="str">
        <f aca="false">IF($A59="","",SUMIFS(반납내역!$D$3:$D$1502,반납내역!$B$3:$B$1502,$A59))</f>
        <v/>
      </c>
      <c r="J59" s="16" t="str">
        <f aca="false">IF($A59="","",IF($G59="","",$G59-$I59))</f>
        <v/>
      </c>
      <c r="K59" s="17" t="str">
        <f aca="true">IF(OR($A59="",$J59="",$J59&lt;=0,$H59=""),"",TODAY()-$H59)</f>
        <v/>
      </c>
      <c r="L59" s="14" t="str">
        <f aca="false">IF($A59="","",IF($G59="","",IF($J59&lt;=0,"반납완료",IF($I59&gt;0,"부분반납","미반납"))))</f>
        <v/>
      </c>
    </row>
    <row r="60" customFormat="false" ht="15" hidden="false" customHeight="false" outlineLevel="0" collapsed="false">
      <c r="A60" s="14" t="str">
        <f aca="false">IF($B60="","",TEXT($B60,"yymmdd")&amp;"-"&amp;TEXT(COUNTIFS($B$3:$B60,$B60),"00"))</f>
        <v/>
      </c>
      <c r="B60" s="15"/>
      <c r="C60" s="9"/>
      <c r="D60" s="10"/>
      <c r="E60" s="14" t="str">
        <f aca="false">IF($D60="","",IFERROR(INDEX(품목목록!$B$3:$B$202,MATCH($D60,품목목록!$A$3:$A$202,0)),"미등록품번"))</f>
        <v/>
      </c>
      <c r="F60" s="14" t="str">
        <f aca="false">IF($D60="","",IFERROR(INDEX(품목목록!$D$3:$D$202,MATCH($D60,품목목록!$A$3:$A$202,0)),""))</f>
        <v/>
      </c>
      <c r="G60" s="11"/>
      <c r="H60" s="15"/>
      <c r="I60" s="16" t="str">
        <f aca="false">IF($A60="","",SUMIFS(반납내역!$D$3:$D$1502,반납내역!$B$3:$B$1502,$A60))</f>
        <v/>
      </c>
      <c r="J60" s="16" t="str">
        <f aca="false">IF($A60="","",IF($G60="","",$G60-$I60))</f>
        <v/>
      </c>
      <c r="K60" s="17" t="str">
        <f aca="true">IF(OR($A60="",$J60="",$J60&lt;=0,$H60=""),"",TODAY()-$H60)</f>
        <v/>
      </c>
      <c r="L60" s="14" t="str">
        <f aca="false">IF($A60="","",IF($G60="","",IF($J60&lt;=0,"반납완료",IF($I60&gt;0,"부분반납","미반납"))))</f>
        <v/>
      </c>
    </row>
    <row r="61" customFormat="false" ht="15" hidden="false" customHeight="false" outlineLevel="0" collapsed="false">
      <c r="A61" s="14" t="str">
        <f aca="false">IF($B61="","",TEXT($B61,"yymmdd")&amp;"-"&amp;TEXT(COUNTIFS($B$3:$B61,$B61),"00"))</f>
        <v/>
      </c>
      <c r="B61" s="15"/>
      <c r="C61" s="9"/>
      <c r="D61" s="10"/>
      <c r="E61" s="14" t="str">
        <f aca="false">IF($D61="","",IFERROR(INDEX(품목목록!$B$3:$B$202,MATCH($D61,품목목록!$A$3:$A$202,0)),"미등록품번"))</f>
        <v/>
      </c>
      <c r="F61" s="14" t="str">
        <f aca="false">IF($D61="","",IFERROR(INDEX(품목목록!$D$3:$D$202,MATCH($D61,품목목록!$A$3:$A$202,0)),""))</f>
        <v/>
      </c>
      <c r="G61" s="11"/>
      <c r="H61" s="15"/>
      <c r="I61" s="16" t="str">
        <f aca="false">IF($A61="","",SUMIFS(반납내역!$D$3:$D$1502,반납내역!$B$3:$B$1502,$A61))</f>
        <v/>
      </c>
      <c r="J61" s="16" t="str">
        <f aca="false">IF($A61="","",IF($G61="","",$G61-$I61))</f>
        <v/>
      </c>
      <c r="K61" s="17" t="str">
        <f aca="true">IF(OR($A61="",$J61="",$J61&lt;=0,$H61=""),"",TODAY()-$H61)</f>
        <v/>
      </c>
      <c r="L61" s="14" t="str">
        <f aca="false">IF($A61="","",IF($G61="","",IF($J61&lt;=0,"반납완료",IF($I61&gt;0,"부분반납","미반납"))))</f>
        <v/>
      </c>
    </row>
    <row r="62" customFormat="false" ht="15" hidden="false" customHeight="false" outlineLevel="0" collapsed="false">
      <c r="A62" s="14" t="str">
        <f aca="false">IF($B62="","",TEXT($B62,"yymmdd")&amp;"-"&amp;TEXT(COUNTIFS($B$3:$B62,$B62),"00"))</f>
        <v/>
      </c>
      <c r="B62" s="15"/>
      <c r="C62" s="9"/>
      <c r="D62" s="10"/>
      <c r="E62" s="14" t="str">
        <f aca="false">IF($D62="","",IFERROR(INDEX(품목목록!$B$3:$B$202,MATCH($D62,품목목록!$A$3:$A$202,0)),"미등록품번"))</f>
        <v/>
      </c>
      <c r="F62" s="14" t="str">
        <f aca="false">IF($D62="","",IFERROR(INDEX(품목목록!$D$3:$D$202,MATCH($D62,품목목록!$A$3:$A$202,0)),""))</f>
        <v/>
      </c>
      <c r="G62" s="11"/>
      <c r="H62" s="15"/>
      <c r="I62" s="16" t="str">
        <f aca="false">IF($A62="","",SUMIFS(반납내역!$D$3:$D$1502,반납내역!$B$3:$B$1502,$A62))</f>
        <v/>
      </c>
      <c r="J62" s="16" t="str">
        <f aca="false">IF($A62="","",IF($G62="","",$G62-$I62))</f>
        <v/>
      </c>
      <c r="K62" s="17" t="str">
        <f aca="true">IF(OR($A62="",$J62="",$J62&lt;=0,$H62=""),"",TODAY()-$H62)</f>
        <v/>
      </c>
      <c r="L62" s="14" t="str">
        <f aca="false">IF($A62="","",IF($G62="","",IF($J62&lt;=0,"반납완료",IF($I62&gt;0,"부분반납","미반납"))))</f>
        <v/>
      </c>
    </row>
    <row r="63" customFormat="false" ht="15" hidden="false" customHeight="false" outlineLevel="0" collapsed="false">
      <c r="A63" s="14" t="str">
        <f aca="false">IF($B63="","",TEXT($B63,"yymmdd")&amp;"-"&amp;TEXT(COUNTIFS($B$3:$B63,$B63),"00"))</f>
        <v/>
      </c>
      <c r="B63" s="15"/>
      <c r="C63" s="9"/>
      <c r="D63" s="10"/>
      <c r="E63" s="14" t="str">
        <f aca="false">IF($D63="","",IFERROR(INDEX(품목목록!$B$3:$B$202,MATCH($D63,품목목록!$A$3:$A$202,0)),"미등록품번"))</f>
        <v/>
      </c>
      <c r="F63" s="14" t="str">
        <f aca="false">IF($D63="","",IFERROR(INDEX(품목목록!$D$3:$D$202,MATCH($D63,품목목록!$A$3:$A$202,0)),""))</f>
        <v/>
      </c>
      <c r="G63" s="11"/>
      <c r="H63" s="15"/>
      <c r="I63" s="16" t="str">
        <f aca="false">IF($A63="","",SUMIFS(반납내역!$D$3:$D$1502,반납내역!$B$3:$B$1502,$A63))</f>
        <v/>
      </c>
      <c r="J63" s="16" t="str">
        <f aca="false">IF($A63="","",IF($G63="","",$G63-$I63))</f>
        <v/>
      </c>
      <c r="K63" s="17" t="str">
        <f aca="true">IF(OR($A63="",$J63="",$J63&lt;=0,$H63=""),"",TODAY()-$H63)</f>
        <v/>
      </c>
      <c r="L63" s="14" t="str">
        <f aca="false">IF($A63="","",IF($G63="","",IF($J63&lt;=0,"반납완료",IF($I63&gt;0,"부분반납","미반납"))))</f>
        <v/>
      </c>
    </row>
    <row r="64" customFormat="false" ht="15" hidden="false" customHeight="false" outlineLevel="0" collapsed="false">
      <c r="A64" s="14" t="str">
        <f aca="false">IF($B64="","",TEXT($B64,"yymmdd")&amp;"-"&amp;TEXT(COUNTIFS($B$3:$B64,$B64),"00"))</f>
        <v/>
      </c>
      <c r="B64" s="15"/>
      <c r="C64" s="9"/>
      <c r="D64" s="10"/>
      <c r="E64" s="14" t="str">
        <f aca="false">IF($D64="","",IFERROR(INDEX(품목목록!$B$3:$B$202,MATCH($D64,품목목록!$A$3:$A$202,0)),"미등록품번"))</f>
        <v/>
      </c>
      <c r="F64" s="14" t="str">
        <f aca="false">IF($D64="","",IFERROR(INDEX(품목목록!$D$3:$D$202,MATCH($D64,품목목록!$A$3:$A$202,0)),""))</f>
        <v/>
      </c>
      <c r="G64" s="11"/>
      <c r="H64" s="15"/>
      <c r="I64" s="16" t="str">
        <f aca="false">IF($A64="","",SUMIFS(반납내역!$D$3:$D$1502,반납내역!$B$3:$B$1502,$A64))</f>
        <v/>
      </c>
      <c r="J64" s="16" t="str">
        <f aca="false">IF($A64="","",IF($G64="","",$G64-$I64))</f>
        <v/>
      </c>
      <c r="K64" s="17" t="str">
        <f aca="true">IF(OR($A64="",$J64="",$J64&lt;=0,$H64=""),"",TODAY()-$H64)</f>
        <v/>
      </c>
      <c r="L64" s="14" t="str">
        <f aca="false">IF($A64="","",IF($G64="","",IF($J64&lt;=0,"반납완료",IF($I64&gt;0,"부분반납","미반납"))))</f>
        <v/>
      </c>
    </row>
    <row r="65" customFormat="false" ht="15" hidden="false" customHeight="false" outlineLevel="0" collapsed="false">
      <c r="A65" s="14" t="str">
        <f aca="false">IF($B65="","",TEXT($B65,"yymmdd")&amp;"-"&amp;TEXT(COUNTIFS($B$3:$B65,$B65),"00"))</f>
        <v/>
      </c>
      <c r="B65" s="15"/>
      <c r="C65" s="9"/>
      <c r="D65" s="10"/>
      <c r="E65" s="14" t="str">
        <f aca="false">IF($D65="","",IFERROR(INDEX(품목목록!$B$3:$B$202,MATCH($D65,품목목록!$A$3:$A$202,0)),"미등록품번"))</f>
        <v/>
      </c>
      <c r="F65" s="14" t="str">
        <f aca="false">IF($D65="","",IFERROR(INDEX(품목목록!$D$3:$D$202,MATCH($D65,품목목록!$A$3:$A$202,0)),""))</f>
        <v/>
      </c>
      <c r="G65" s="11"/>
      <c r="H65" s="15"/>
      <c r="I65" s="16" t="str">
        <f aca="false">IF($A65="","",SUMIFS(반납내역!$D$3:$D$1502,반납내역!$B$3:$B$1502,$A65))</f>
        <v/>
      </c>
      <c r="J65" s="16" t="str">
        <f aca="false">IF($A65="","",IF($G65="","",$G65-$I65))</f>
        <v/>
      </c>
      <c r="K65" s="17" t="str">
        <f aca="true">IF(OR($A65="",$J65="",$J65&lt;=0,$H65=""),"",TODAY()-$H65)</f>
        <v/>
      </c>
      <c r="L65" s="14" t="str">
        <f aca="false">IF($A65="","",IF($G65="","",IF($J65&lt;=0,"반납완료",IF($I65&gt;0,"부분반납","미반납"))))</f>
        <v/>
      </c>
    </row>
    <row r="66" customFormat="false" ht="15" hidden="false" customHeight="false" outlineLevel="0" collapsed="false">
      <c r="A66" s="14" t="str">
        <f aca="false">IF($B66="","",TEXT($B66,"yymmdd")&amp;"-"&amp;TEXT(COUNTIFS($B$3:$B66,$B66),"00"))</f>
        <v/>
      </c>
      <c r="B66" s="15"/>
      <c r="C66" s="9"/>
      <c r="D66" s="10"/>
      <c r="E66" s="14" t="str">
        <f aca="false">IF($D66="","",IFERROR(INDEX(품목목록!$B$3:$B$202,MATCH($D66,품목목록!$A$3:$A$202,0)),"미등록품번"))</f>
        <v/>
      </c>
      <c r="F66" s="14" t="str">
        <f aca="false">IF($D66="","",IFERROR(INDEX(품목목록!$D$3:$D$202,MATCH($D66,품목목록!$A$3:$A$202,0)),""))</f>
        <v/>
      </c>
      <c r="G66" s="11"/>
      <c r="H66" s="15"/>
      <c r="I66" s="16" t="str">
        <f aca="false">IF($A66="","",SUMIFS(반납내역!$D$3:$D$1502,반납내역!$B$3:$B$1502,$A66))</f>
        <v/>
      </c>
      <c r="J66" s="16" t="str">
        <f aca="false">IF($A66="","",IF($G66="","",$G66-$I66))</f>
        <v/>
      </c>
      <c r="K66" s="17" t="str">
        <f aca="true">IF(OR($A66="",$J66="",$J66&lt;=0,$H66=""),"",TODAY()-$H66)</f>
        <v/>
      </c>
      <c r="L66" s="14" t="str">
        <f aca="false">IF($A66="","",IF($G66="","",IF($J66&lt;=0,"반납완료",IF($I66&gt;0,"부분반납","미반납"))))</f>
        <v/>
      </c>
    </row>
    <row r="67" customFormat="false" ht="15" hidden="false" customHeight="false" outlineLevel="0" collapsed="false">
      <c r="A67" s="14" t="str">
        <f aca="false">IF($B67="","",TEXT($B67,"yymmdd")&amp;"-"&amp;TEXT(COUNTIFS($B$3:$B67,$B67),"00"))</f>
        <v/>
      </c>
      <c r="B67" s="15"/>
      <c r="C67" s="9"/>
      <c r="D67" s="10"/>
      <c r="E67" s="14" t="str">
        <f aca="false">IF($D67="","",IFERROR(INDEX(품목목록!$B$3:$B$202,MATCH($D67,품목목록!$A$3:$A$202,0)),"미등록품번"))</f>
        <v/>
      </c>
      <c r="F67" s="14" t="str">
        <f aca="false">IF($D67="","",IFERROR(INDEX(품목목록!$D$3:$D$202,MATCH($D67,품목목록!$A$3:$A$202,0)),""))</f>
        <v/>
      </c>
      <c r="G67" s="11"/>
      <c r="H67" s="15"/>
      <c r="I67" s="16" t="str">
        <f aca="false">IF($A67="","",SUMIFS(반납내역!$D$3:$D$1502,반납내역!$B$3:$B$1502,$A67))</f>
        <v/>
      </c>
      <c r="J67" s="16" t="str">
        <f aca="false">IF($A67="","",IF($G67="","",$G67-$I67))</f>
        <v/>
      </c>
      <c r="K67" s="17" t="str">
        <f aca="true">IF(OR($A67="",$J67="",$J67&lt;=0,$H67=""),"",TODAY()-$H67)</f>
        <v/>
      </c>
      <c r="L67" s="14" t="str">
        <f aca="false">IF($A67="","",IF($G67="","",IF($J67&lt;=0,"반납완료",IF($I67&gt;0,"부분반납","미반납"))))</f>
        <v/>
      </c>
    </row>
    <row r="68" customFormat="false" ht="15" hidden="false" customHeight="false" outlineLevel="0" collapsed="false">
      <c r="A68" s="14" t="str">
        <f aca="false">IF($B68="","",TEXT($B68,"yymmdd")&amp;"-"&amp;TEXT(COUNTIFS($B$3:$B68,$B68),"00"))</f>
        <v/>
      </c>
      <c r="B68" s="15"/>
      <c r="C68" s="9"/>
      <c r="D68" s="10"/>
      <c r="E68" s="14" t="str">
        <f aca="false">IF($D68="","",IFERROR(INDEX(품목목록!$B$3:$B$202,MATCH($D68,품목목록!$A$3:$A$202,0)),"미등록품번"))</f>
        <v/>
      </c>
      <c r="F68" s="14" t="str">
        <f aca="false">IF($D68="","",IFERROR(INDEX(품목목록!$D$3:$D$202,MATCH($D68,품목목록!$A$3:$A$202,0)),""))</f>
        <v/>
      </c>
      <c r="G68" s="11"/>
      <c r="H68" s="15"/>
      <c r="I68" s="16" t="str">
        <f aca="false">IF($A68="","",SUMIFS(반납내역!$D$3:$D$1502,반납내역!$B$3:$B$1502,$A68))</f>
        <v/>
      </c>
      <c r="J68" s="16" t="str">
        <f aca="false">IF($A68="","",IF($G68="","",$G68-$I68))</f>
        <v/>
      </c>
      <c r="K68" s="17" t="str">
        <f aca="true">IF(OR($A68="",$J68="",$J68&lt;=0,$H68=""),"",TODAY()-$H68)</f>
        <v/>
      </c>
      <c r="L68" s="14" t="str">
        <f aca="false">IF($A68="","",IF($G68="","",IF($J68&lt;=0,"반납완료",IF($I68&gt;0,"부분반납","미반납"))))</f>
        <v/>
      </c>
    </row>
    <row r="69" customFormat="false" ht="15" hidden="false" customHeight="false" outlineLevel="0" collapsed="false">
      <c r="A69" s="14" t="str">
        <f aca="false">IF($B69="","",TEXT($B69,"yymmdd")&amp;"-"&amp;TEXT(COUNTIFS($B$3:$B69,$B69),"00"))</f>
        <v/>
      </c>
      <c r="B69" s="15"/>
      <c r="C69" s="9"/>
      <c r="D69" s="10"/>
      <c r="E69" s="14" t="str">
        <f aca="false">IF($D69="","",IFERROR(INDEX(품목목록!$B$3:$B$202,MATCH($D69,품목목록!$A$3:$A$202,0)),"미등록품번"))</f>
        <v/>
      </c>
      <c r="F69" s="14" t="str">
        <f aca="false">IF($D69="","",IFERROR(INDEX(품목목록!$D$3:$D$202,MATCH($D69,품목목록!$A$3:$A$202,0)),""))</f>
        <v/>
      </c>
      <c r="G69" s="11"/>
      <c r="H69" s="15"/>
      <c r="I69" s="16" t="str">
        <f aca="false">IF($A69="","",SUMIFS(반납내역!$D$3:$D$1502,반납내역!$B$3:$B$1502,$A69))</f>
        <v/>
      </c>
      <c r="J69" s="16" t="str">
        <f aca="false">IF($A69="","",IF($G69="","",$G69-$I69))</f>
        <v/>
      </c>
      <c r="K69" s="17" t="str">
        <f aca="true">IF(OR($A69="",$J69="",$J69&lt;=0,$H69=""),"",TODAY()-$H69)</f>
        <v/>
      </c>
      <c r="L69" s="14" t="str">
        <f aca="false">IF($A69="","",IF($G69="","",IF($J69&lt;=0,"반납완료",IF($I69&gt;0,"부분반납","미반납"))))</f>
        <v/>
      </c>
    </row>
    <row r="70" customFormat="false" ht="15" hidden="false" customHeight="false" outlineLevel="0" collapsed="false">
      <c r="A70" s="14" t="str">
        <f aca="false">IF($B70="","",TEXT($B70,"yymmdd")&amp;"-"&amp;TEXT(COUNTIFS($B$3:$B70,$B70),"00"))</f>
        <v/>
      </c>
      <c r="B70" s="15"/>
      <c r="C70" s="9"/>
      <c r="D70" s="10"/>
      <c r="E70" s="14" t="str">
        <f aca="false">IF($D70="","",IFERROR(INDEX(품목목록!$B$3:$B$202,MATCH($D70,품목목록!$A$3:$A$202,0)),"미등록품번"))</f>
        <v/>
      </c>
      <c r="F70" s="14" t="str">
        <f aca="false">IF($D70="","",IFERROR(INDEX(품목목록!$D$3:$D$202,MATCH($D70,품목목록!$A$3:$A$202,0)),""))</f>
        <v/>
      </c>
      <c r="G70" s="11"/>
      <c r="H70" s="15"/>
      <c r="I70" s="16" t="str">
        <f aca="false">IF($A70="","",SUMIFS(반납내역!$D$3:$D$1502,반납내역!$B$3:$B$1502,$A70))</f>
        <v/>
      </c>
      <c r="J70" s="16" t="str">
        <f aca="false">IF($A70="","",IF($G70="","",$G70-$I70))</f>
        <v/>
      </c>
      <c r="K70" s="17" t="str">
        <f aca="true">IF(OR($A70="",$J70="",$J70&lt;=0,$H70=""),"",TODAY()-$H70)</f>
        <v/>
      </c>
      <c r="L70" s="14" t="str">
        <f aca="false">IF($A70="","",IF($G70="","",IF($J70&lt;=0,"반납완료",IF($I70&gt;0,"부분반납","미반납"))))</f>
        <v/>
      </c>
    </row>
    <row r="71" customFormat="false" ht="15" hidden="false" customHeight="false" outlineLevel="0" collapsed="false">
      <c r="A71" s="14" t="str">
        <f aca="false">IF($B71="","",TEXT($B71,"yymmdd")&amp;"-"&amp;TEXT(COUNTIFS($B$3:$B71,$B71),"00"))</f>
        <v/>
      </c>
      <c r="B71" s="15"/>
      <c r="C71" s="9"/>
      <c r="D71" s="10"/>
      <c r="E71" s="14" t="str">
        <f aca="false">IF($D71="","",IFERROR(INDEX(품목목록!$B$3:$B$202,MATCH($D71,품목목록!$A$3:$A$202,0)),"미등록품번"))</f>
        <v/>
      </c>
      <c r="F71" s="14" t="str">
        <f aca="false">IF($D71="","",IFERROR(INDEX(품목목록!$D$3:$D$202,MATCH($D71,품목목록!$A$3:$A$202,0)),""))</f>
        <v/>
      </c>
      <c r="G71" s="11"/>
      <c r="H71" s="15"/>
      <c r="I71" s="16" t="str">
        <f aca="false">IF($A71="","",SUMIFS(반납내역!$D$3:$D$1502,반납내역!$B$3:$B$1502,$A71))</f>
        <v/>
      </c>
      <c r="J71" s="16" t="str">
        <f aca="false">IF($A71="","",IF($G71="","",$G71-$I71))</f>
        <v/>
      </c>
      <c r="K71" s="17" t="str">
        <f aca="true">IF(OR($A71="",$J71="",$J71&lt;=0,$H71=""),"",TODAY()-$H71)</f>
        <v/>
      </c>
      <c r="L71" s="14" t="str">
        <f aca="false">IF($A71="","",IF($G71="","",IF($J71&lt;=0,"반납완료",IF($I71&gt;0,"부분반납","미반납"))))</f>
        <v/>
      </c>
    </row>
    <row r="72" customFormat="false" ht="15" hidden="false" customHeight="false" outlineLevel="0" collapsed="false">
      <c r="A72" s="14" t="str">
        <f aca="false">IF($B72="","",TEXT($B72,"yymmdd")&amp;"-"&amp;TEXT(COUNTIFS($B$3:$B72,$B72),"00"))</f>
        <v/>
      </c>
      <c r="B72" s="15"/>
      <c r="C72" s="9"/>
      <c r="D72" s="10"/>
      <c r="E72" s="14" t="str">
        <f aca="false">IF($D72="","",IFERROR(INDEX(품목목록!$B$3:$B$202,MATCH($D72,품목목록!$A$3:$A$202,0)),"미등록품번"))</f>
        <v/>
      </c>
      <c r="F72" s="14" t="str">
        <f aca="false">IF($D72="","",IFERROR(INDEX(품목목록!$D$3:$D$202,MATCH($D72,품목목록!$A$3:$A$202,0)),""))</f>
        <v/>
      </c>
      <c r="G72" s="11"/>
      <c r="H72" s="15"/>
      <c r="I72" s="16" t="str">
        <f aca="false">IF($A72="","",SUMIFS(반납내역!$D$3:$D$1502,반납내역!$B$3:$B$1502,$A72))</f>
        <v/>
      </c>
      <c r="J72" s="16" t="str">
        <f aca="false">IF($A72="","",IF($G72="","",$G72-$I72))</f>
        <v/>
      </c>
      <c r="K72" s="17" t="str">
        <f aca="true">IF(OR($A72="",$J72="",$J72&lt;=0,$H72=""),"",TODAY()-$H72)</f>
        <v/>
      </c>
      <c r="L72" s="14" t="str">
        <f aca="false">IF($A72="","",IF($G72="","",IF($J72&lt;=0,"반납완료",IF($I72&gt;0,"부분반납","미반납"))))</f>
        <v/>
      </c>
    </row>
    <row r="73" customFormat="false" ht="15" hidden="false" customHeight="false" outlineLevel="0" collapsed="false">
      <c r="A73" s="14" t="str">
        <f aca="false">IF($B73="","",TEXT($B73,"yymmdd")&amp;"-"&amp;TEXT(COUNTIFS($B$3:$B73,$B73),"00"))</f>
        <v/>
      </c>
      <c r="B73" s="15"/>
      <c r="C73" s="9"/>
      <c r="D73" s="10"/>
      <c r="E73" s="14" t="str">
        <f aca="false">IF($D73="","",IFERROR(INDEX(품목목록!$B$3:$B$202,MATCH($D73,품목목록!$A$3:$A$202,0)),"미등록품번"))</f>
        <v/>
      </c>
      <c r="F73" s="14" t="str">
        <f aca="false">IF($D73="","",IFERROR(INDEX(품목목록!$D$3:$D$202,MATCH($D73,품목목록!$A$3:$A$202,0)),""))</f>
        <v/>
      </c>
      <c r="G73" s="11"/>
      <c r="H73" s="15"/>
      <c r="I73" s="16" t="str">
        <f aca="false">IF($A73="","",SUMIFS(반납내역!$D$3:$D$1502,반납내역!$B$3:$B$1502,$A73))</f>
        <v/>
      </c>
      <c r="J73" s="16" t="str">
        <f aca="false">IF($A73="","",IF($G73="","",$G73-$I73))</f>
        <v/>
      </c>
      <c r="K73" s="17" t="str">
        <f aca="true">IF(OR($A73="",$J73="",$J73&lt;=0,$H73=""),"",TODAY()-$H73)</f>
        <v/>
      </c>
      <c r="L73" s="14" t="str">
        <f aca="false">IF($A73="","",IF($G73="","",IF($J73&lt;=0,"반납완료",IF($I73&gt;0,"부분반납","미반납"))))</f>
        <v/>
      </c>
    </row>
    <row r="74" customFormat="false" ht="15" hidden="false" customHeight="false" outlineLevel="0" collapsed="false">
      <c r="A74" s="14" t="str">
        <f aca="false">IF($B74="","",TEXT($B74,"yymmdd")&amp;"-"&amp;TEXT(COUNTIFS($B$3:$B74,$B74),"00"))</f>
        <v/>
      </c>
      <c r="B74" s="15"/>
      <c r="C74" s="9"/>
      <c r="D74" s="10"/>
      <c r="E74" s="14" t="str">
        <f aca="false">IF($D74="","",IFERROR(INDEX(품목목록!$B$3:$B$202,MATCH($D74,품목목록!$A$3:$A$202,0)),"미등록품번"))</f>
        <v/>
      </c>
      <c r="F74" s="14" t="str">
        <f aca="false">IF($D74="","",IFERROR(INDEX(품목목록!$D$3:$D$202,MATCH($D74,품목목록!$A$3:$A$202,0)),""))</f>
        <v/>
      </c>
      <c r="G74" s="11"/>
      <c r="H74" s="15"/>
      <c r="I74" s="16" t="str">
        <f aca="false">IF($A74="","",SUMIFS(반납내역!$D$3:$D$1502,반납내역!$B$3:$B$1502,$A74))</f>
        <v/>
      </c>
      <c r="J74" s="16" t="str">
        <f aca="false">IF($A74="","",IF($G74="","",$G74-$I74))</f>
        <v/>
      </c>
      <c r="K74" s="17" t="str">
        <f aca="true">IF(OR($A74="",$J74="",$J74&lt;=0,$H74=""),"",TODAY()-$H74)</f>
        <v/>
      </c>
      <c r="L74" s="14" t="str">
        <f aca="false">IF($A74="","",IF($G74="","",IF($J74&lt;=0,"반납완료",IF($I74&gt;0,"부분반납","미반납"))))</f>
        <v/>
      </c>
    </row>
    <row r="75" customFormat="false" ht="15" hidden="false" customHeight="false" outlineLevel="0" collapsed="false">
      <c r="A75" s="14" t="str">
        <f aca="false">IF($B75="","",TEXT($B75,"yymmdd")&amp;"-"&amp;TEXT(COUNTIFS($B$3:$B75,$B75),"00"))</f>
        <v/>
      </c>
      <c r="B75" s="15"/>
      <c r="C75" s="9"/>
      <c r="D75" s="10"/>
      <c r="E75" s="14" t="str">
        <f aca="false">IF($D75="","",IFERROR(INDEX(품목목록!$B$3:$B$202,MATCH($D75,품목목록!$A$3:$A$202,0)),"미등록품번"))</f>
        <v/>
      </c>
      <c r="F75" s="14" t="str">
        <f aca="false">IF($D75="","",IFERROR(INDEX(품목목록!$D$3:$D$202,MATCH($D75,품목목록!$A$3:$A$202,0)),""))</f>
        <v/>
      </c>
      <c r="G75" s="11"/>
      <c r="H75" s="15"/>
      <c r="I75" s="16" t="str">
        <f aca="false">IF($A75="","",SUMIFS(반납내역!$D$3:$D$1502,반납내역!$B$3:$B$1502,$A75))</f>
        <v/>
      </c>
      <c r="J75" s="16" t="str">
        <f aca="false">IF($A75="","",IF($G75="","",$G75-$I75))</f>
        <v/>
      </c>
      <c r="K75" s="17" t="str">
        <f aca="true">IF(OR($A75="",$J75="",$J75&lt;=0,$H75=""),"",TODAY()-$H75)</f>
        <v/>
      </c>
      <c r="L75" s="14" t="str">
        <f aca="false">IF($A75="","",IF($G75="","",IF($J75&lt;=0,"반납완료",IF($I75&gt;0,"부분반납","미반납"))))</f>
        <v/>
      </c>
    </row>
    <row r="76" customFormat="false" ht="15" hidden="false" customHeight="false" outlineLevel="0" collapsed="false">
      <c r="A76" s="14" t="str">
        <f aca="false">IF($B76="","",TEXT($B76,"yymmdd")&amp;"-"&amp;TEXT(COUNTIFS($B$3:$B76,$B76),"00"))</f>
        <v/>
      </c>
      <c r="B76" s="15"/>
      <c r="C76" s="9"/>
      <c r="D76" s="10"/>
      <c r="E76" s="14" t="str">
        <f aca="false">IF($D76="","",IFERROR(INDEX(품목목록!$B$3:$B$202,MATCH($D76,품목목록!$A$3:$A$202,0)),"미등록품번"))</f>
        <v/>
      </c>
      <c r="F76" s="14" t="str">
        <f aca="false">IF($D76="","",IFERROR(INDEX(품목목록!$D$3:$D$202,MATCH($D76,품목목록!$A$3:$A$202,0)),""))</f>
        <v/>
      </c>
      <c r="G76" s="11"/>
      <c r="H76" s="15"/>
      <c r="I76" s="16" t="str">
        <f aca="false">IF($A76="","",SUMIFS(반납내역!$D$3:$D$1502,반납내역!$B$3:$B$1502,$A76))</f>
        <v/>
      </c>
      <c r="J76" s="16" t="str">
        <f aca="false">IF($A76="","",IF($G76="","",$G76-$I76))</f>
        <v/>
      </c>
      <c r="K76" s="17" t="str">
        <f aca="true">IF(OR($A76="",$J76="",$J76&lt;=0,$H76=""),"",TODAY()-$H76)</f>
        <v/>
      </c>
      <c r="L76" s="14" t="str">
        <f aca="false">IF($A76="","",IF($G76="","",IF($J76&lt;=0,"반납완료",IF($I76&gt;0,"부분반납","미반납"))))</f>
        <v/>
      </c>
    </row>
    <row r="77" customFormat="false" ht="15" hidden="false" customHeight="false" outlineLevel="0" collapsed="false">
      <c r="A77" s="14" t="str">
        <f aca="false">IF($B77="","",TEXT($B77,"yymmdd")&amp;"-"&amp;TEXT(COUNTIFS($B$3:$B77,$B77),"00"))</f>
        <v/>
      </c>
      <c r="B77" s="15"/>
      <c r="C77" s="9"/>
      <c r="D77" s="10"/>
      <c r="E77" s="14" t="str">
        <f aca="false">IF($D77="","",IFERROR(INDEX(품목목록!$B$3:$B$202,MATCH($D77,품목목록!$A$3:$A$202,0)),"미등록품번"))</f>
        <v/>
      </c>
      <c r="F77" s="14" t="str">
        <f aca="false">IF($D77="","",IFERROR(INDEX(품목목록!$D$3:$D$202,MATCH($D77,품목목록!$A$3:$A$202,0)),""))</f>
        <v/>
      </c>
      <c r="G77" s="11"/>
      <c r="H77" s="15"/>
      <c r="I77" s="16" t="str">
        <f aca="false">IF($A77="","",SUMIFS(반납내역!$D$3:$D$1502,반납내역!$B$3:$B$1502,$A77))</f>
        <v/>
      </c>
      <c r="J77" s="16" t="str">
        <f aca="false">IF($A77="","",IF($G77="","",$G77-$I77))</f>
        <v/>
      </c>
      <c r="K77" s="17" t="str">
        <f aca="true">IF(OR($A77="",$J77="",$J77&lt;=0,$H77=""),"",TODAY()-$H77)</f>
        <v/>
      </c>
      <c r="L77" s="14" t="str">
        <f aca="false">IF($A77="","",IF($G77="","",IF($J77&lt;=0,"반납완료",IF($I77&gt;0,"부분반납","미반납"))))</f>
        <v/>
      </c>
    </row>
    <row r="78" customFormat="false" ht="15" hidden="false" customHeight="false" outlineLevel="0" collapsed="false">
      <c r="A78" s="14" t="str">
        <f aca="false">IF($B78="","",TEXT($B78,"yymmdd")&amp;"-"&amp;TEXT(COUNTIFS($B$3:$B78,$B78),"00"))</f>
        <v/>
      </c>
      <c r="B78" s="15"/>
      <c r="C78" s="9"/>
      <c r="D78" s="10"/>
      <c r="E78" s="14" t="str">
        <f aca="false">IF($D78="","",IFERROR(INDEX(품목목록!$B$3:$B$202,MATCH($D78,품목목록!$A$3:$A$202,0)),"미등록품번"))</f>
        <v/>
      </c>
      <c r="F78" s="14" t="str">
        <f aca="false">IF($D78="","",IFERROR(INDEX(품목목록!$D$3:$D$202,MATCH($D78,품목목록!$A$3:$A$202,0)),""))</f>
        <v/>
      </c>
      <c r="G78" s="11"/>
      <c r="H78" s="15"/>
      <c r="I78" s="16" t="str">
        <f aca="false">IF($A78="","",SUMIFS(반납내역!$D$3:$D$1502,반납내역!$B$3:$B$1502,$A78))</f>
        <v/>
      </c>
      <c r="J78" s="16" t="str">
        <f aca="false">IF($A78="","",IF($G78="","",$G78-$I78))</f>
        <v/>
      </c>
      <c r="K78" s="17" t="str">
        <f aca="true">IF(OR($A78="",$J78="",$J78&lt;=0,$H78=""),"",TODAY()-$H78)</f>
        <v/>
      </c>
      <c r="L78" s="14" t="str">
        <f aca="false">IF($A78="","",IF($G78="","",IF($J78&lt;=0,"반납완료",IF($I78&gt;0,"부분반납","미반납"))))</f>
        <v/>
      </c>
    </row>
    <row r="79" customFormat="false" ht="15" hidden="false" customHeight="false" outlineLevel="0" collapsed="false">
      <c r="A79" s="14" t="str">
        <f aca="false">IF($B79="","",TEXT($B79,"yymmdd")&amp;"-"&amp;TEXT(COUNTIFS($B$3:$B79,$B79),"00"))</f>
        <v/>
      </c>
      <c r="B79" s="15"/>
      <c r="C79" s="9"/>
      <c r="D79" s="10"/>
      <c r="E79" s="14" t="str">
        <f aca="false">IF($D79="","",IFERROR(INDEX(품목목록!$B$3:$B$202,MATCH($D79,품목목록!$A$3:$A$202,0)),"미등록품번"))</f>
        <v/>
      </c>
      <c r="F79" s="14" t="str">
        <f aca="false">IF($D79="","",IFERROR(INDEX(품목목록!$D$3:$D$202,MATCH($D79,품목목록!$A$3:$A$202,0)),""))</f>
        <v/>
      </c>
      <c r="G79" s="11"/>
      <c r="H79" s="15"/>
      <c r="I79" s="16" t="str">
        <f aca="false">IF($A79="","",SUMIFS(반납내역!$D$3:$D$1502,반납내역!$B$3:$B$1502,$A79))</f>
        <v/>
      </c>
      <c r="J79" s="16" t="str">
        <f aca="false">IF($A79="","",IF($G79="","",$G79-$I79))</f>
        <v/>
      </c>
      <c r="K79" s="17" t="str">
        <f aca="true">IF(OR($A79="",$J79="",$J79&lt;=0,$H79=""),"",TODAY()-$H79)</f>
        <v/>
      </c>
      <c r="L79" s="14" t="str">
        <f aca="false">IF($A79="","",IF($G79="","",IF($J79&lt;=0,"반납완료",IF($I79&gt;0,"부분반납","미반납"))))</f>
        <v/>
      </c>
    </row>
    <row r="80" customFormat="false" ht="15" hidden="false" customHeight="false" outlineLevel="0" collapsed="false">
      <c r="A80" s="14" t="str">
        <f aca="false">IF($B80="","",TEXT($B80,"yymmdd")&amp;"-"&amp;TEXT(COUNTIFS($B$3:$B80,$B80),"00"))</f>
        <v/>
      </c>
      <c r="B80" s="15"/>
      <c r="C80" s="9"/>
      <c r="D80" s="10"/>
      <c r="E80" s="14" t="str">
        <f aca="false">IF($D80="","",IFERROR(INDEX(품목목록!$B$3:$B$202,MATCH($D80,품목목록!$A$3:$A$202,0)),"미등록품번"))</f>
        <v/>
      </c>
      <c r="F80" s="14" t="str">
        <f aca="false">IF($D80="","",IFERROR(INDEX(품목목록!$D$3:$D$202,MATCH($D80,품목목록!$A$3:$A$202,0)),""))</f>
        <v/>
      </c>
      <c r="G80" s="11"/>
      <c r="H80" s="15"/>
      <c r="I80" s="16" t="str">
        <f aca="false">IF($A80="","",SUMIFS(반납내역!$D$3:$D$1502,반납내역!$B$3:$B$1502,$A80))</f>
        <v/>
      </c>
      <c r="J80" s="16" t="str">
        <f aca="false">IF($A80="","",IF($G80="","",$G80-$I80))</f>
        <v/>
      </c>
      <c r="K80" s="17" t="str">
        <f aca="true">IF(OR($A80="",$J80="",$J80&lt;=0,$H80=""),"",TODAY()-$H80)</f>
        <v/>
      </c>
      <c r="L80" s="14" t="str">
        <f aca="false">IF($A80="","",IF($G80="","",IF($J80&lt;=0,"반납완료",IF($I80&gt;0,"부분반납","미반납"))))</f>
        <v/>
      </c>
    </row>
    <row r="81" customFormat="false" ht="15" hidden="false" customHeight="false" outlineLevel="0" collapsed="false">
      <c r="A81" s="14" t="str">
        <f aca="false">IF($B81="","",TEXT($B81,"yymmdd")&amp;"-"&amp;TEXT(COUNTIFS($B$3:$B81,$B81),"00"))</f>
        <v/>
      </c>
      <c r="B81" s="15"/>
      <c r="C81" s="9"/>
      <c r="D81" s="10"/>
      <c r="E81" s="14" t="str">
        <f aca="false">IF($D81="","",IFERROR(INDEX(품목목록!$B$3:$B$202,MATCH($D81,품목목록!$A$3:$A$202,0)),"미등록품번"))</f>
        <v/>
      </c>
      <c r="F81" s="14" t="str">
        <f aca="false">IF($D81="","",IFERROR(INDEX(품목목록!$D$3:$D$202,MATCH($D81,품목목록!$A$3:$A$202,0)),""))</f>
        <v/>
      </c>
      <c r="G81" s="11"/>
      <c r="H81" s="15"/>
      <c r="I81" s="16" t="str">
        <f aca="false">IF($A81="","",SUMIFS(반납내역!$D$3:$D$1502,반납내역!$B$3:$B$1502,$A81))</f>
        <v/>
      </c>
      <c r="J81" s="16" t="str">
        <f aca="false">IF($A81="","",IF($G81="","",$G81-$I81))</f>
        <v/>
      </c>
      <c r="K81" s="17" t="str">
        <f aca="true">IF(OR($A81="",$J81="",$J81&lt;=0,$H81=""),"",TODAY()-$H81)</f>
        <v/>
      </c>
      <c r="L81" s="14" t="str">
        <f aca="false">IF($A81="","",IF($G81="","",IF($J81&lt;=0,"반납완료",IF($I81&gt;0,"부분반납","미반납"))))</f>
        <v/>
      </c>
    </row>
    <row r="82" customFormat="false" ht="15" hidden="false" customHeight="false" outlineLevel="0" collapsed="false">
      <c r="A82" s="14" t="str">
        <f aca="false">IF($B82="","",TEXT($B82,"yymmdd")&amp;"-"&amp;TEXT(COUNTIFS($B$3:$B82,$B82),"00"))</f>
        <v/>
      </c>
      <c r="B82" s="15"/>
      <c r="C82" s="9"/>
      <c r="D82" s="10"/>
      <c r="E82" s="14" t="str">
        <f aca="false">IF($D82="","",IFERROR(INDEX(품목목록!$B$3:$B$202,MATCH($D82,품목목록!$A$3:$A$202,0)),"미등록품번"))</f>
        <v/>
      </c>
      <c r="F82" s="14" t="str">
        <f aca="false">IF($D82="","",IFERROR(INDEX(품목목록!$D$3:$D$202,MATCH($D82,품목목록!$A$3:$A$202,0)),""))</f>
        <v/>
      </c>
      <c r="G82" s="11"/>
      <c r="H82" s="15"/>
      <c r="I82" s="16" t="str">
        <f aca="false">IF($A82="","",SUMIFS(반납내역!$D$3:$D$1502,반납내역!$B$3:$B$1502,$A82))</f>
        <v/>
      </c>
      <c r="J82" s="16" t="str">
        <f aca="false">IF($A82="","",IF($G82="","",$G82-$I82))</f>
        <v/>
      </c>
      <c r="K82" s="17" t="str">
        <f aca="true">IF(OR($A82="",$J82="",$J82&lt;=0,$H82=""),"",TODAY()-$H82)</f>
        <v/>
      </c>
      <c r="L82" s="14" t="str">
        <f aca="false">IF($A82="","",IF($G82="","",IF($J82&lt;=0,"반납완료",IF($I82&gt;0,"부분반납","미반납"))))</f>
        <v/>
      </c>
    </row>
    <row r="83" customFormat="false" ht="15" hidden="false" customHeight="false" outlineLevel="0" collapsed="false">
      <c r="A83" s="14" t="str">
        <f aca="false">IF($B83="","",TEXT($B83,"yymmdd")&amp;"-"&amp;TEXT(COUNTIFS($B$3:$B83,$B83),"00"))</f>
        <v/>
      </c>
      <c r="B83" s="15"/>
      <c r="C83" s="9"/>
      <c r="D83" s="10"/>
      <c r="E83" s="14" t="str">
        <f aca="false">IF($D83="","",IFERROR(INDEX(품목목록!$B$3:$B$202,MATCH($D83,품목목록!$A$3:$A$202,0)),"미등록품번"))</f>
        <v/>
      </c>
      <c r="F83" s="14" t="str">
        <f aca="false">IF($D83="","",IFERROR(INDEX(품목목록!$D$3:$D$202,MATCH($D83,품목목록!$A$3:$A$202,0)),""))</f>
        <v/>
      </c>
      <c r="G83" s="11"/>
      <c r="H83" s="15"/>
      <c r="I83" s="16" t="str">
        <f aca="false">IF($A83="","",SUMIFS(반납내역!$D$3:$D$1502,반납내역!$B$3:$B$1502,$A83))</f>
        <v/>
      </c>
      <c r="J83" s="16" t="str">
        <f aca="false">IF($A83="","",IF($G83="","",$G83-$I83))</f>
        <v/>
      </c>
      <c r="K83" s="17" t="str">
        <f aca="true">IF(OR($A83="",$J83="",$J83&lt;=0,$H83=""),"",TODAY()-$H83)</f>
        <v/>
      </c>
      <c r="L83" s="14" t="str">
        <f aca="false">IF($A83="","",IF($G83="","",IF($J83&lt;=0,"반납완료",IF($I83&gt;0,"부분반납","미반납"))))</f>
        <v/>
      </c>
    </row>
    <row r="84" customFormat="false" ht="15" hidden="false" customHeight="false" outlineLevel="0" collapsed="false">
      <c r="A84" s="14" t="str">
        <f aca="false">IF($B84="","",TEXT($B84,"yymmdd")&amp;"-"&amp;TEXT(COUNTIFS($B$3:$B84,$B84),"00"))</f>
        <v/>
      </c>
      <c r="B84" s="15"/>
      <c r="C84" s="9"/>
      <c r="D84" s="10"/>
      <c r="E84" s="14" t="str">
        <f aca="false">IF($D84="","",IFERROR(INDEX(품목목록!$B$3:$B$202,MATCH($D84,품목목록!$A$3:$A$202,0)),"미등록품번"))</f>
        <v/>
      </c>
      <c r="F84" s="14" t="str">
        <f aca="false">IF($D84="","",IFERROR(INDEX(품목목록!$D$3:$D$202,MATCH($D84,품목목록!$A$3:$A$202,0)),""))</f>
        <v/>
      </c>
      <c r="G84" s="11"/>
      <c r="H84" s="15"/>
      <c r="I84" s="16" t="str">
        <f aca="false">IF($A84="","",SUMIFS(반납내역!$D$3:$D$1502,반납내역!$B$3:$B$1502,$A84))</f>
        <v/>
      </c>
      <c r="J84" s="16" t="str">
        <f aca="false">IF($A84="","",IF($G84="","",$G84-$I84))</f>
        <v/>
      </c>
      <c r="K84" s="17" t="str">
        <f aca="true">IF(OR($A84="",$J84="",$J84&lt;=0,$H84=""),"",TODAY()-$H84)</f>
        <v/>
      </c>
      <c r="L84" s="14" t="str">
        <f aca="false">IF($A84="","",IF($G84="","",IF($J84&lt;=0,"반납완료",IF($I84&gt;0,"부분반납","미반납"))))</f>
        <v/>
      </c>
    </row>
    <row r="85" customFormat="false" ht="15" hidden="false" customHeight="false" outlineLevel="0" collapsed="false">
      <c r="A85" s="14" t="str">
        <f aca="false">IF($B85="","",TEXT($B85,"yymmdd")&amp;"-"&amp;TEXT(COUNTIFS($B$3:$B85,$B85),"00"))</f>
        <v/>
      </c>
      <c r="B85" s="15"/>
      <c r="C85" s="9"/>
      <c r="D85" s="10"/>
      <c r="E85" s="14" t="str">
        <f aca="false">IF($D85="","",IFERROR(INDEX(품목목록!$B$3:$B$202,MATCH($D85,품목목록!$A$3:$A$202,0)),"미등록품번"))</f>
        <v/>
      </c>
      <c r="F85" s="14" t="str">
        <f aca="false">IF($D85="","",IFERROR(INDEX(품목목록!$D$3:$D$202,MATCH($D85,품목목록!$A$3:$A$202,0)),""))</f>
        <v/>
      </c>
      <c r="G85" s="11"/>
      <c r="H85" s="15"/>
      <c r="I85" s="16" t="str">
        <f aca="false">IF($A85="","",SUMIFS(반납내역!$D$3:$D$1502,반납내역!$B$3:$B$1502,$A85))</f>
        <v/>
      </c>
      <c r="J85" s="16" t="str">
        <f aca="false">IF($A85="","",IF($G85="","",$G85-$I85))</f>
        <v/>
      </c>
      <c r="K85" s="17" t="str">
        <f aca="true">IF(OR($A85="",$J85="",$J85&lt;=0,$H85=""),"",TODAY()-$H85)</f>
        <v/>
      </c>
      <c r="L85" s="14" t="str">
        <f aca="false">IF($A85="","",IF($G85="","",IF($J85&lt;=0,"반납완료",IF($I85&gt;0,"부분반납","미반납"))))</f>
        <v/>
      </c>
    </row>
    <row r="86" customFormat="false" ht="15" hidden="false" customHeight="false" outlineLevel="0" collapsed="false">
      <c r="A86" s="14" t="str">
        <f aca="false">IF($B86="","",TEXT($B86,"yymmdd")&amp;"-"&amp;TEXT(COUNTIFS($B$3:$B86,$B86),"00"))</f>
        <v/>
      </c>
      <c r="B86" s="15"/>
      <c r="C86" s="9"/>
      <c r="D86" s="10"/>
      <c r="E86" s="14" t="str">
        <f aca="false">IF($D86="","",IFERROR(INDEX(품목목록!$B$3:$B$202,MATCH($D86,품목목록!$A$3:$A$202,0)),"미등록품번"))</f>
        <v/>
      </c>
      <c r="F86" s="14" t="str">
        <f aca="false">IF($D86="","",IFERROR(INDEX(품목목록!$D$3:$D$202,MATCH($D86,품목목록!$A$3:$A$202,0)),""))</f>
        <v/>
      </c>
      <c r="G86" s="11"/>
      <c r="H86" s="15"/>
      <c r="I86" s="16" t="str">
        <f aca="false">IF($A86="","",SUMIFS(반납내역!$D$3:$D$1502,반납내역!$B$3:$B$1502,$A86))</f>
        <v/>
      </c>
      <c r="J86" s="16" t="str">
        <f aca="false">IF($A86="","",IF($G86="","",$G86-$I86))</f>
        <v/>
      </c>
      <c r="K86" s="17" t="str">
        <f aca="true">IF(OR($A86="",$J86="",$J86&lt;=0,$H86=""),"",TODAY()-$H86)</f>
        <v/>
      </c>
      <c r="L86" s="14" t="str">
        <f aca="false">IF($A86="","",IF($G86="","",IF($J86&lt;=0,"반납완료",IF($I86&gt;0,"부분반납","미반납"))))</f>
        <v/>
      </c>
    </row>
    <row r="87" customFormat="false" ht="15" hidden="false" customHeight="false" outlineLevel="0" collapsed="false">
      <c r="A87" s="14" t="str">
        <f aca="false">IF($B87="","",TEXT($B87,"yymmdd")&amp;"-"&amp;TEXT(COUNTIFS($B$3:$B87,$B87),"00"))</f>
        <v/>
      </c>
      <c r="B87" s="15"/>
      <c r="C87" s="9"/>
      <c r="D87" s="10"/>
      <c r="E87" s="14" t="str">
        <f aca="false">IF($D87="","",IFERROR(INDEX(품목목록!$B$3:$B$202,MATCH($D87,품목목록!$A$3:$A$202,0)),"미등록품번"))</f>
        <v/>
      </c>
      <c r="F87" s="14" t="str">
        <f aca="false">IF($D87="","",IFERROR(INDEX(품목목록!$D$3:$D$202,MATCH($D87,품목목록!$A$3:$A$202,0)),""))</f>
        <v/>
      </c>
      <c r="G87" s="11"/>
      <c r="H87" s="15"/>
      <c r="I87" s="16" t="str">
        <f aca="false">IF($A87="","",SUMIFS(반납내역!$D$3:$D$1502,반납내역!$B$3:$B$1502,$A87))</f>
        <v/>
      </c>
      <c r="J87" s="16" t="str">
        <f aca="false">IF($A87="","",IF($G87="","",$G87-$I87))</f>
        <v/>
      </c>
      <c r="K87" s="17" t="str">
        <f aca="true">IF(OR($A87="",$J87="",$J87&lt;=0,$H87=""),"",TODAY()-$H87)</f>
        <v/>
      </c>
      <c r="L87" s="14" t="str">
        <f aca="false">IF($A87="","",IF($G87="","",IF($J87&lt;=0,"반납완료",IF($I87&gt;0,"부분반납","미반납"))))</f>
        <v/>
      </c>
    </row>
    <row r="88" customFormat="false" ht="15" hidden="false" customHeight="false" outlineLevel="0" collapsed="false">
      <c r="A88" s="14" t="str">
        <f aca="false">IF($B88="","",TEXT($B88,"yymmdd")&amp;"-"&amp;TEXT(COUNTIFS($B$3:$B88,$B88),"00"))</f>
        <v/>
      </c>
      <c r="B88" s="15"/>
      <c r="C88" s="9"/>
      <c r="D88" s="10"/>
      <c r="E88" s="14" t="str">
        <f aca="false">IF($D88="","",IFERROR(INDEX(품목목록!$B$3:$B$202,MATCH($D88,품목목록!$A$3:$A$202,0)),"미등록품번"))</f>
        <v/>
      </c>
      <c r="F88" s="14" t="str">
        <f aca="false">IF($D88="","",IFERROR(INDEX(품목목록!$D$3:$D$202,MATCH($D88,품목목록!$A$3:$A$202,0)),""))</f>
        <v/>
      </c>
      <c r="G88" s="11"/>
      <c r="H88" s="15"/>
      <c r="I88" s="16" t="str">
        <f aca="false">IF($A88="","",SUMIFS(반납내역!$D$3:$D$1502,반납내역!$B$3:$B$1502,$A88))</f>
        <v/>
      </c>
      <c r="J88" s="16" t="str">
        <f aca="false">IF($A88="","",IF($G88="","",$G88-$I88))</f>
        <v/>
      </c>
      <c r="K88" s="17" t="str">
        <f aca="true">IF(OR($A88="",$J88="",$J88&lt;=0,$H88=""),"",TODAY()-$H88)</f>
        <v/>
      </c>
      <c r="L88" s="14" t="str">
        <f aca="false">IF($A88="","",IF($G88="","",IF($J88&lt;=0,"반납완료",IF($I88&gt;0,"부분반납","미반납"))))</f>
        <v/>
      </c>
    </row>
    <row r="89" customFormat="false" ht="15" hidden="false" customHeight="false" outlineLevel="0" collapsed="false">
      <c r="A89" s="14" t="str">
        <f aca="false">IF($B89="","",TEXT($B89,"yymmdd")&amp;"-"&amp;TEXT(COUNTIFS($B$3:$B89,$B89),"00"))</f>
        <v/>
      </c>
      <c r="B89" s="15"/>
      <c r="C89" s="9"/>
      <c r="D89" s="10"/>
      <c r="E89" s="14" t="str">
        <f aca="false">IF($D89="","",IFERROR(INDEX(품목목록!$B$3:$B$202,MATCH($D89,품목목록!$A$3:$A$202,0)),"미등록품번"))</f>
        <v/>
      </c>
      <c r="F89" s="14" t="str">
        <f aca="false">IF($D89="","",IFERROR(INDEX(품목목록!$D$3:$D$202,MATCH($D89,품목목록!$A$3:$A$202,0)),""))</f>
        <v/>
      </c>
      <c r="G89" s="11"/>
      <c r="H89" s="15"/>
      <c r="I89" s="16" t="str">
        <f aca="false">IF($A89="","",SUMIFS(반납내역!$D$3:$D$1502,반납내역!$B$3:$B$1502,$A89))</f>
        <v/>
      </c>
      <c r="J89" s="16" t="str">
        <f aca="false">IF($A89="","",IF($G89="","",$G89-$I89))</f>
        <v/>
      </c>
      <c r="K89" s="17" t="str">
        <f aca="true">IF(OR($A89="",$J89="",$J89&lt;=0,$H89=""),"",TODAY()-$H89)</f>
        <v/>
      </c>
      <c r="L89" s="14" t="str">
        <f aca="false">IF($A89="","",IF($G89="","",IF($J89&lt;=0,"반납완료",IF($I89&gt;0,"부분반납","미반납"))))</f>
        <v/>
      </c>
    </row>
    <row r="90" customFormat="false" ht="15" hidden="false" customHeight="false" outlineLevel="0" collapsed="false">
      <c r="A90" s="14" t="str">
        <f aca="false">IF($B90="","",TEXT($B90,"yymmdd")&amp;"-"&amp;TEXT(COUNTIFS($B$3:$B90,$B90),"00"))</f>
        <v/>
      </c>
      <c r="B90" s="15"/>
      <c r="C90" s="9"/>
      <c r="D90" s="10"/>
      <c r="E90" s="14" t="str">
        <f aca="false">IF($D90="","",IFERROR(INDEX(품목목록!$B$3:$B$202,MATCH($D90,품목목록!$A$3:$A$202,0)),"미등록품번"))</f>
        <v/>
      </c>
      <c r="F90" s="14" t="str">
        <f aca="false">IF($D90="","",IFERROR(INDEX(품목목록!$D$3:$D$202,MATCH($D90,품목목록!$A$3:$A$202,0)),""))</f>
        <v/>
      </c>
      <c r="G90" s="11"/>
      <c r="H90" s="15"/>
      <c r="I90" s="16" t="str">
        <f aca="false">IF($A90="","",SUMIFS(반납내역!$D$3:$D$1502,반납내역!$B$3:$B$1502,$A90))</f>
        <v/>
      </c>
      <c r="J90" s="16" t="str">
        <f aca="false">IF($A90="","",IF($G90="","",$G90-$I90))</f>
        <v/>
      </c>
      <c r="K90" s="17" t="str">
        <f aca="true">IF(OR($A90="",$J90="",$J90&lt;=0,$H90=""),"",TODAY()-$H90)</f>
        <v/>
      </c>
      <c r="L90" s="14" t="str">
        <f aca="false">IF($A90="","",IF($G90="","",IF($J90&lt;=0,"반납완료",IF($I90&gt;0,"부분반납","미반납"))))</f>
        <v/>
      </c>
    </row>
    <row r="91" customFormat="false" ht="15" hidden="false" customHeight="false" outlineLevel="0" collapsed="false">
      <c r="A91" s="14" t="str">
        <f aca="false">IF($B91="","",TEXT($B91,"yymmdd")&amp;"-"&amp;TEXT(COUNTIFS($B$3:$B91,$B91),"00"))</f>
        <v/>
      </c>
      <c r="B91" s="15"/>
      <c r="C91" s="9"/>
      <c r="D91" s="10"/>
      <c r="E91" s="14" t="str">
        <f aca="false">IF($D91="","",IFERROR(INDEX(품목목록!$B$3:$B$202,MATCH($D91,품목목록!$A$3:$A$202,0)),"미등록품번"))</f>
        <v/>
      </c>
      <c r="F91" s="14" t="str">
        <f aca="false">IF($D91="","",IFERROR(INDEX(품목목록!$D$3:$D$202,MATCH($D91,품목목록!$A$3:$A$202,0)),""))</f>
        <v/>
      </c>
      <c r="G91" s="11"/>
      <c r="H91" s="15"/>
      <c r="I91" s="16" t="str">
        <f aca="false">IF($A91="","",SUMIFS(반납내역!$D$3:$D$1502,반납내역!$B$3:$B$1502,$A91))</f>
        <v/>
      </c>
      <c r="J91" s="16" t="str">
        <f aca="false">IF($A91="","",IF($G91="","",$G91-$I91))</f>
        <v/>
      </c>
      <c r="K91" s="17" t="str">
        <f aca="true">IF(OR($A91="",$J91="",$J91&lt;=0,$H91=""),"",TODAY()-$H91)</f>
        <v/>
      </c>
      <c r="L91" s="14" t="str">
        <f aca="false">IF($A91="","",IF($G91="","",IF($J91&lt;=0,"반납완료",IF($I91&gt;0,"부분반납","미반납"))))</f>
        <v/>
      </c>
    </row>
    <row r="92" customFormat="false" ht="15" hidden="false" customHeight="false" outlineLevel="0" collapsed="false">
      <c r="A92" s="14" t="str">
        <f aca="false">IF($B92="","",TEXT($B92,"yymmdd")&amp;"-"&amp;TEXT(COUNTIFS($B$3:$B92,$B92),"00"))</f>
        <v/>
      </c>
      <c r="B92" s="15"/>
      <c r="C92" s="9"/>
      <c r="D92" s="10"/>
      <c r="E92" s="14" t="str">
        <f aca="false">IF($D92="","",IFERROR(INDEX(품목목록!$B$3:$B$202,MATCH($D92,품목목록!$A$3:$A$202,0)),"미등록품번"))</f>
        <v/>
      </c>
      <c r="F92" s="14" t="str">
        <f aca="false">IF($D92="","",IFERROR(INDEX(품목목록!$D$3:$D$202,MATCH($D92,품목목록!$A$3:$A$202,0)),""))</f>
        <v/>
      </c>
      <c r="G92" s="11"/>
      <c r="H92" s="15"/>
      <c r="I92" s="16" t="str">
        <f aca="false">IF($A92="","",SUMIFS(반납내역!$D$3:$D$1502,반납내역!$B$3:$B$1502,$A92))</f>
        <v/>
      </c>
      <c r="J92" s="16" t="str">
        <f aca="false">IF($A92="","",IF($G92="","",$G92-$I92))</f>
        <v/>
      </c>
      <c r="K92" s="17" t="str">
        <f aca="true">IF(OR($A92="",$J92="",$J92&lt;=0,$H92=""),"",TODAY()-$H92)</f>
        <v/>
      </c>
      <c r="L92" s="14" t="str">
        <f aca="false">IF($A92="","",IF($G92="","",IF($J92&lt;=0,"반납완료",IF($I92&gt;0,"부분반납","미반납"))))</f>
        <v/>
      </c>
    </row>
    <row r="93" customFormat="false" ht="15" hidden="false" customHeight="false" outlineLevel="0" collapsed="false">
      <c r="A93" s="14" t="str">
        <f aca="false">IF($B93="","",TEXT($B93,"yymmdd")&amp;"-"&amp;TEXT(COUNTIFS($B$3:$B93,$B93),"00"))</f>
        <v/>
      </c>
      <c r="B93" s="15"/>
      <c r="C93" s="9"/>
      <c r="D93" s="10"/>
      <c r="E93" s="14" t="str">
        <f aca="false">IF($D93="","",IFERROR(INDEX(품목목록!$B$3:$B$202,MATCH($D93,품목목록!$A$3:$A$202,0)),"미등록품번"))</f>
        <v/>
      </c>
      <c r="F93" s="14" t="str">
        <f aca="false">IF($D93="","",IFERROR(INDEX(품목목록!$D$3:$D$202,MATCH($D93,품목목록!$A$3:$A$202,0)),""))</f>
        <v/>
      </c>
      <c r="G93" s="11"/>
      <c r="H93" s="15"/>
      <c r="I93" s="16" t="str">
        <f aca="false">IF($A93="","",SUMIFS(반납내역!$D$3:$D$1502,반납내역!$B$3:$B$1502,$A93))</f>
        <v/>
      </c>
      <c r="J93" s="16" t="str">
        <f aca="false">IF($A93="","",IF($G93="","",$G93-$I93))</f>
        <v/>
      </c>
      <c r="K93" s="17" t="str">
        <f aca="true">IF(OR($A93="",$J93="",$J93&lt;=0,$H93=""),"",TODAY()-$H93)</f>
        <v/>
      </c>
      <c r="L93" s="14" t="str">
        <f aca="false">IF($A93="","",IF($G93="","",IF($J93&lt;=0,"반납완료",IF($I93&gt;0,"부분반납","미반납"))))</f>
        <v/>
      </c>
    </row>
    <row r="94" customFormat="false" ht="15" hidden="false" customHeight="false" outlineLevel="0" collapsed="false">
      <c r="A94" s="14" t="str">
        <f aca="false">IF($B94="","",TEXT($B94,"yymmdd")&amp;"-"&amp;TEXT(COUNTIFS($B$3:$B94,$B94),"00"))</f>
        <v/>
      </c>
      <c r="B94" s="15"/>
      <c r="C94" s="9"/>
      <c r="D94" s="10"/>
      <c r="E94" s="14" t="str">
        <f aca="false">IF($D94="","",IFERROR(INDEX(품목목록!$B$3:$B$202,MATCH($D94,품목목록!$A$3:$A$202,0)),"미등록품번"))</f>
        <v/>
      </c>
      <c r="F94" s="14" t="str">
        <f aca="false">IF($D94="","",IFERROR(INDEX(품목목록!$D$3:$D$202,MATCH($D94,품목목록!$A$3:$A$202,0)),""))</f>
        <v/>
      </c>
      <c r="G94" s="11"/>
      <c r="H94" s="15"/>
      <c r="I94" s="16" t="str">
        <f aca="false">IF($A94="","",SUMIFS(반납내역!$D$3:$D$1502,반납내역!$B$3:$B$1502,$A94))</f>
        <v/>
      </c>
      <c r="J94" s="16" t="str">
        <f aca="false">IF($A94="","",IF($G94="","",$G94-$I94))</f>
        <v/>
      </c>
      <c r="K94" s="17" t="str">
        <f aca="true">IF(OR($A94="",$J94="",$J94&lt;=0,$H94=""),"",TODAY()-$H94)</f>
        <v/>
      </c>
      <c r="L94" s="14" t="str">
        <f aca="false">IF($A94="","",IF($G94="","",IF($J94&lt;=0,"반납완료",IF($I94&gt;0,"부분반납","미반납"))))</f>
        <v/>
      </c>
    </row>
    <row r="95" customFormat="false" ht="15" hidden="false" customHeight="false" outlineLevel="0" collapsed="false">
      <c r="A95" s="14" t="str">
        <f aca="false">IF($B95="","",TEXT($B95,"yymmdd")&amp;"-"&amp;TEXT(COUNTIFS($B$3:$B95,$B95),"00"))</f>
        <v/>
      </c>
      <c r="B95" s="15"/>
      <c r="C95" s="9"/>
      <c r="D95" s="10"/>
      <c r="E95" s="14" t="str">
        <f aca="false">IF($D95="","",IFERROR(INDEX(품목목록!$B$3:$B$202,MATCH($D95,품목목록!$A$3:$A$202,0)),"미등록품번"))</f>
        <v/>
      </c>
      <c r="F95" s="14" t="str">
        <f aca="false">IF($D95="","",IFERROR(INDEX(품목목록!$D$3:$D$202,MATCH($D95,품목목록!$A$3:$A$202,0)),""))</f>
        <v/>
      </c>
      <c r="G95" s="11"/>
      <c r="H95" s="15"/>
      <c r="I95" s="16" t="str">
        <f aca="false">IF($A95="","",SUMIFS(반납내역!$D$3:$D$1502,반납내역!$B$3:$B$1502,$A95))</f>
        <v/>
      </c>
      <c r="J95" s="16" t="str">
        <f aca="false">IF($A95="","",IF($G95="","",$G95-$I95))</f>
        <v/>
      </c>
      <c r="K95" s="17" t="str">
        <f aca="true">IF(OR($A95="",$J95="",$J95&lt;=0,$H95=""),"",TODAY()-$H95)</f>
        <v/>
      </c>
      <c r="L95" s="14" t="str">
        <f aca="false">IF($A95="","",IF($G95="","",IF($J95&lt;=0,"반납완료",IF($I95&gt;0,"부분반납","미반납"))))</f>
        <v/>
      </c>
    </row>
    <row r="96" customFormat="false" ht="15" hidden="false" customHeight="false" outlineLevel="0" collapsed="false">
      <c r="A96" s="14" t="str">
        <f aca="false">IF($B96="","",TEXT($B96,"yymmdd")&amp;"-"&amp;TEXT(COUNTIFS($B$3:$B96,$B96),"00"))</f>
        <v/>
      </c>
      <c r="B96" s="15"/>
      <c r="C96" s="9"/>
      <c r="D96" s="10"/>
      <c r="E96" s="14" t="str">
        <f aca="false">IF($D96="","",IFERROR(INDEX(품목목록!$B$3:$B$202,MATCH($D96,품목목록!$A$3:$A$202,0)),"미등록품번"))</f>
        <v/>
      </c>
      <c r="F96" s="14" t="str">
        <f aca="false">IF($D96="","",IFERROR(INDEX(품목목록!$D$3:$D$202,MATCH($D96,품목목록!$A$3:$A$202,0)),""))</f>
        <v/>
      </c>
      <c r="G96" s="11"/>
      <c r="H96" s="15"/>
      <c r="I96" s="16" t="str">
        <f aca="false">IF($A96="","",SUMIFS(반납내역!$D$3:$D$1502,반납내역!$B$3:$B$1502,$A96))</f>
        <v/>
      </c>
      <c r="J96" s="16" t="str">
        <f aca="false">IF($A96="","",IF($G96="","",$G96-$I96))</f>
        <v/>
      </c>
      <c r="K96" s="17" t="str">
        <f aca="true">IF(OR($A96="",$J96="",$J96&lt;=0,$H96=""),"",TODAY()-$H96)</f>
        <v/>
      </c>
      <c r="L96" s="14" t="str">
        <f aca="false">IF($A96="","",IF($G96="","",IF($J96&lt;=0,"반납완료",IF($I96&gt;0,"부분반납","미반납"))))</f>
        <v/>
      </c>
    </row>
    <row r="97" customFormat="false" ht="15" hidden="false" customHeight="false" outlineLevel="0" collapsed="false">
      <c r="A97" s="14" t="str">
        <f aca="false">IF($B97="","",TEXT($B97,"yymmdd")&amp;"-"&amp;TEXT(COUNTIFS($B$3:$B97,$B97),"00"))</f>
        <v/>
      </c>
      <c r="B97" s="15"/>
      <c r="C97" s="9"/>
      <c r="D97" s="10"/>
      <c r="E97" s="14" t="str">
        <f aca="false">IF($D97="","",IFERROR(INDEX(품목목록!$B$3:$B$202,MATCH($D97,품목목록!$A$3:$A$202,0)),"미등록품번"))</f>
        <v/>
      </c>
      <c r="F97" s="14" t="str">
        <f aca="false">IF($D97="","",IFERROR(INDEX(품목목록!$D$3:$D$202,MATCH($D97,품목목록!$A$3:$A$202,0)),""))</f>
        <v/>
      </c>
      <c r="G97" s="11"/>
      <c r="H97" s="15"/>
      <c r="I97" s="16" t="str">
        <f aca="false">IF($A97="","",SUMIFS(반납내역!$D$3:$D$1502,반납내역!$B$3:$B$1502,$A97))</f>
        <v/>
      </c>
      <c r="J97" s="16" t="str">
        <f aca="false">IF($A97="","",IF($G97="","",$G97-$I97))</f>
        <v/>
      </c>
      <c r="K97" s="17" t="str">
        <f aca="true">IF(OR($A97="",$J97="",$J97&lt;=0,$H97=""),"",TODAY()-$H97)</f>
        <v/>
      </c>
      <c r="L97" s="14" t="str">
        <f aca="false">IF($A97="","",IF($G97="","",IF($J97&lt;=0,"반납완료",IF($I97&gt;0,"부분반납","미반납"))))</f>
        <v/>
      </c>
    </row>
    <row r="98" customFormat="false" ht="15" hidden="false" customHeight="false" outlineLevel="0" collapsed="false">
      <c r="A98" s="14" t="str">
        <f aca="false">IF($B98="","",TEXT($B98,"yymmdd")&amp;"-"&amp;TEXT(COUNTIFS($B$3:$B98,$B98),"00"))</f>
        <v/>
      </c>
      <c r="B98" s="15"/>
      <c r="C98" s="9"/>
      <c r="D98" s="10"/>
      <c r="E98" s="14" t="str">
        <f aca="false">IF($D98="","",IFERROR(INDEX(품목목록!$B$3:$B$202,MATCH($D98,품목목록!$A$3:$A$202,0)),"미등록품번"))</f>
        <v/>
      </c>
      <c r="F98" s="14" t="str">
        <f aca="false">IF($D98="","",IFERROR(INDEX(품목목록!$D$3:$D$202,MATCH($D98,품목목록!$A$3:$A$202,0)),""))</f>
        <v/>
      </c>
      <c r="G98" s="11"/>
      <c r="H98" s="15"/>
      <c r="I98" s="16" t="str">
        <f aca="false">IF($A98="","",SUMIFS(반납내역!$D$3:$D$1502,반납내역!$B$3:$B$1502,$A98))</f>
        <v/>
      </c>
      <c r="J98" s="16" t="str">
        <f aca="false">IF($A98="","",IF($G98="","",$G98-$I98))</f>
        <v/>
      </c>
      <c r="K98" s="17" t="str">
        <f aca="true">IF(OR($A98="",$J98="",$J98&lt;=0,$H98=""),"",TODAY()-$H98)</f>
        <v/>
      </c>
      <c r="L98" s="14" t="str">
        <f aca="false">IF($A98="","",IF($G98="","",IF($J98&lt;=0,"반납완료",IF($I98&gt;0,"부분반납","미반납"))))</f>
        <v/>
      </c>
    </row>
    <row r="99" customFormat="false" ht="15" hidden="false" customHeight="false" outlineLevel="0" collapsed="false">
      <c r="A99" s="14" t="str">
        <f aca="false">IF($B99="","",TEXT($B99,"yymmdd")&amp;"-"&amp;TEXT(COUNTIFS($B$3:$B99,$B99),"00"))</f>
        <v/>
      </c>
      <c r="B99" s="15"/>
      <c r="C99" s="9"/>
      <c r="D99" s="10"/>
      <c r="E99" s="14" t="str">
        <f aca="false">IF($D99="","",IFERROR(INDEX(품목목록!$B$3:$B$202,MATCH($D99,품목목록!$A$3:$A$202,0)),"미등록품번"))</f>
        <v/>
      </c>
      <c r="F99" s="14" t="str">
        <f aca="false">IF($D99="","",IFERROR(INDEX(품목목록!$D$3:$D$202,MATCH($D99,품목목록!$A$3:$A$202,0)),""))</f>
        <v/>
      </c>
      <c r="G99" s="11"/>
      <c r="H99" s="15"/>
      <c r="I99" s="16" t="str">
        <f aca="false">IF($A99="","",SUMIFS(반납내역!$D$3:$D$1502,반납내역!$B$3:$B$1502,$A99))</f>
        <v/>
      </c>
      <c r="J99" s="16" t="str">
        <f aca="false">IF($A99="","",IF($G99="","",$G99-$I99))</f>
        <v/>
      </c>
      <c r="K99" s="17" t="str">
        <f aca="true">IF(OR($A99="",$J99="",$J99&lt;=0,$H99=""),"",TODAY()-$H99)</f>
        <v/>
      </c>
      <c r="L99" s="14" t="str">
        <f aca="false">IF($A99="","",IF($G99="","",IF($J99&lt;=0,"반납완료",IF($I99&gt;0,"부분반납","미반납"))))</f>
        <v/>
      </c>
    </row>
    <row r="100" customFormat="false" ht="15" hidden="false" customHeight="false" outlineLevel="0" collapsed="false">
      <c r="A100" s="14" t="str">
        <f aca="false">IF($B100="","",TEXT($B100,"yymmdd")&amp;"-"&amp;TEXT(COUNTIFS($B$3:$B100,$B100),"00"))</f>
        <v/>
      </c>
      <c r="B100" s="15"/>
      <c r="C100" s="9"/>
      <c r="D100" s="10"/>
      <c r="E100" s="14" t="str">
        <f aca="false">IF($D100="","",IFERROR(INDEX(품목목록!$B$3:$B$202,MATCH($D100,품목목록!$A$3:$A$202,0)),"미등록품번"))</f>
        <v/>
      </c>
      <c r="F100" s="14" t="str">
        <f aca="false">IF($D100="","",IFERROR(INDEX(품목목록!$D$3:$D$202,MATCH($D100,품목목록!$A$3:$A$202,0)),""))</f>
        <v/>
      </c>
      <c r="G100" s="11"/>
      <c r="H100" s="15"/>
      <c r="I100" s="16" t="str">
        <f aca="false">IF($A100="","",SUMIFS(반납내역!$D$3:$D$1502,반납내역!$B$3:$B$1502,$A100))</f>
        <v/>
      </c>
      <c r="J100" s="16" t="str">
        <f aca="false">IF($A100="","",IF($G100="","",$G100-$I100))</f>
        <v/>
      </c>
      <c r="K100" s="17" t="str">
        <f aca="true">IF(OR($A100="",$J100="",$J100&lt;=0,$H100=""),"",TODAY()-$H100)</f>
        <v/>
      </c>
      <c r="L100" s="14" t="str">
        <f aca="false">IF($A100="","",IF($G100="","",IF($J100&lt;=0,"반납완료",IF($I100&gt;0,"부분반납","미반납"))))</f>
        <v/>
      </c>
    </row>
    <row r="101" customFormat="false" ht="15" hidden="false" customHeight="false" outlineLevel="0" collapsed="false">
      <c r="A101" s="14" t="str">
        <f aca="false">IF($B101="","",TEXT($B101,"yymmdd")&amp;"-"&amp;TEXT(COUNTIFS($B$3:$B101,$B101),"00"))</f>
        <v/>
      </c>
      <c r="B101" s="15"/>
      <c r="C101" s="9"/>
      <c r="D101" s="10"/>
      <c r="E101" s="14" t="str">
        <f aca="false">IF($D101="","",IFERROR(INDEX(품목목록!$B$3:$B$202,MATCH($D101,품목목록!$A$3:$A$202,0)),"미등록품번"))</f>
        <v/>
      </c>
      <c r="F101" s="14" t="str">
        <f aca="false">IF($D101="","",IFERROR(INDEX(품목목록!$D$3:$D$202,MATCH($D101,품목목록!$A$3:$A$202,0)),""))</f>
        <v/>
      </c>
      <c r="G101" s="11"/>
      <c r="H101" s="15"/>
      <c r="I101" s="16" t="str">
        <f aca="false">IF($A101="","",SUMIFS(반납내역!$D$3:$D$1502,반납내역!$B$3:$B$1502,$A101))</f>
        <v/>
      </c>
      <c r="J101" s="16" t="str">
        <f aca="false">IF($A101="","",IF($G101="","",$G101-$I101))</f>
        <v/>
      </c>
      <c r="K101" s="17" t="str">
        <f aca="true">IF(OR($A101="",$J101="",$J101&lt;=0,$H101=""),"",TODAY()-$H101)</f>
        <v/>
      </c>
      <c r="L101" s="14" t="str">
        <f aca="false">IF($A101="","",IF($G101="","",IF($J101&lt;=0,"반납완료",IF($I101&gt;0,"부분반납","미반납"))))</f>
        <v/>
      </c>
    </row>
    <row r="102" customFormat="false" ht="15" hidden="false" customHeight="false" outlineLevel="0" collapsed="false">
      <c r="A102" s="14" t="str">
        <f aca="false">IF($B102="","",TEXT($B102,"yymmdd")&amp;"-"&amp;TEXT(COUNTIFS($B$3:$B102,$B102),"00"))</f>
        <v/>
      </c>
      <c r="B102" s="15"/>
      <c r="C102" s="9"/>
      <c r="D102" s="10"/>
      <c r="E102" s="14" t="str">
        <f aca="false">IF($D102="","",IFERROR(INDEX(품목목록!$B$3:$B$202,MATCH($D102,품목목록!$A$3:$A$202,0)),"미등록품번"))</f>
        <v/>
      </c>
      <c r="F102" s="14" t="str">
        <f aca="false">IF($D102="","",IFERROR(INDEX(품목목록!$D$3:$D$202,MATCH($D102,품목목록!$A$3:$A$202,0)),""))</f>
        <v/>
      </c>
      <c r="G102" s="11"/>
      <c r="H102" s="15"/>
      <c r="I102" s="16" t="str">
        <f aca="false">IF($A102="","",SUMIFS(반납내역!$D$3:$D$1502,반납내역!$B$3:$B$1502,$A102))</f>
        <v/>
      </c>
      <c r="J102" s="16" t="str">
        <f aca="false">IF($A102="","",IF($G102="","",$G102-$I102))</f>
        <v/>
      </c>
      <c r="K102" s="17" t="str">
        <f aca="true">IF(OR($A102="",$J102="",$J102&lt;=0,$H102=""),"",TODAY()-$H102)</f>
        <v/>
      </c>
      <c r="L102" s="14" t="str">
        <f aca="false">IF($A102="","",IF($G102="","",IF($J102&lt;=0,"반납완료",IF($I102&gt;0,"부분반납","미반납"))))</f>
        <v/>
      </c>
    </row>
    <row r="103" customFormat="false" ht="15" hidden="false" customHeight="false" outlineLevel="0" collapsed="false">
      <c r="A103" s="14" t="str">
        <f aca="false">IF($B103="","",TEXT($B103,"yymmdd")&amp;"-"&amp;TEXT(COUNTIFS($B$3:$B103,$B103),"00"))</f>
        <v/>
      </c>
      <c r="B103" s="15"/>
      <c r="C103" s="9"/>
      <c r="D103" s="10"/>
      <c r="E103" s="14" t="str">
        <f aca="false">IF($D103="","",IFERROR(INDEX(품목목록!$B$3:$B$202,MATCH($D103,품목목록!$A$3:$A$202,0)),"미등록품번"))</f>
        <v/>
      </c>
      <c r="F103" s="14" t="str">
        <f aca="false">IF($D103="","",IFERROR(INDEX(품목목록!$D$3:$D$202,MATCH($D103,품목목록!$A$3:$A$202,0)),""))</f>
        <v/>
      </c>
      <c r="G103" s="11"/>
      <c r="H103" s="15"/>
      <c r="I103" s="16" t="str">
        <f aca="false">IF($A103="","",SUMIFS(반납내역!$D$3:$D$1502,반납내역!$B$3:$B$1502,$A103))</f>
        <v/>
      </c>
      <c r="J103" s="16" t="str">
        <f aca="false">IF($A103="","",IF($G103="","",$G103-$I103))</f>
        <v/>
      </c>
      <c r="K103" s="17" t="str">
        <f aca="true">IF(OR($A103="",$J103="",$J103&lt;=0,$H103=""),"",TODAY()-$H103)</f>
        <v/>
      </c>
      <c r="L103" s="14" t="str">
        <f aca="false">IF($A103="","",IF($G103="","",IF($J103&lt;=0,"반납완료",IF($I103&gt;0,"부분반납","미반납"))))</f>
        <v/>
      </c>
    </row>
    <row r="104" customFormat="false" ht="15" hidden="false" customHeight="false" outlineLevel="0" collapsed="false">
      <c r="A104" s="14" t="str">
        <f aca="false">IF($B104="","",TEXT($B104,"yymmdd")&amp;"-"&amp;TEXT(COUNTIFS($B$3:$B104,$B104),"00"))</f>
        <v/>
      </c>
      <c r="B104" s="15"/>
      <c r="C104" s="9"/>
      <c r="D104" s="10"/>
      <c r="E104" s="14" t="str">
        <f aca="false">IF($D104="","",IFERROR(INDEX(품목목록!$B$3:$B$202,MATCH($D104,품목목록!$A$3:$A$202,0)),"미등록품번"))</f>
        <v/>
      </c>
      <c r="F104" s="14" t="str">
        <f aca="false">IF($D104="","",IFERROR(INDEX(품목목록!$D$3:$D$202,MATCH($D104,품목목록!$A$3:$A$202,0)),""))</f>
        <v/>
      </c>
      <c r="G104" s="11"/>
      <c r="H104" s="15"/>
      <c r="I104" s="16" t="str">
        <f aca="false">IF($A104="","",SUMIFS(반납내역!$D$3:$D$1502,반납내역!$B$3:$B$1502,$A104))</f>
        <v/>
      </c>
      <c r="J104" s="16" t="str">
        <f aca="false">IF($A104="","",IF($G104="","",$G104-$I104))</f>
        <v/>
      </c>
      <c r="K104" s="17" t="str">
        <f aca="true">IF(OR($A104="",$J104="",$J104&lt;=0,$H104=""),"",TODAY()-$H104)</f>
        <v/>
      </c>
      <c r="L104" s="14" t="str">
        <f aca="false">IF($A104="","",IF($G104="","",IF($J104&lt;=0,"반납완료",IF($I104&gt;0,"부분반납","미반납"))))</f>
        <v/>
      </c>
    </row>
    <row r="105" customFormat="false" ht="15" hidden="false" customHeight="false" outlineLevel="0" collapsed="false">
      <c r="A105" s="14" t="str">
        <f aca="false">IF($B105="","",TEXT($B105,"yymmdd")&amp;"-"&amp;TEXT(COUNTIFS($B$3:$B105,$B105),"00"))</f>
        <v/>
      </c>
      <c r="B105" s="15"/>
      <c r="C105" s="9"/>
      <c r="D105" s="10"/>
      <c r="E105" s="14" t="str">
        <f aca="false">IF($D105="","",IFERROR(INDEX(품목목록!$B$3:$B$202,MATCH($D105,품목목록!$A$3:$A$202,0)),"미등록품번"))</f>
        <v/>
      </c>
      <c r="F105" s="14" t="str">
        <f aca="false">IF($D105="","",IFERROR(INDEX(품목목록!$D$3:$D$202,MATCH($D105,품목목록!$A$3:$A$202,0)),""))</f>
        <v/>
      </c>
      <c r="G105" s="11"/>
      <c r="H105" s="15"/>
      <c r="I105" s="16" t="str">
        <f aca="false">IF($A105="","",SUMIFS(반납내역!$D$3:$D$1502,반납내역!$B$3:$B$1502,$A105))</f>
        <v/>
      </c>
      <c r="J105" s="16" t="str">
        <f aca="false">IF($A105="","",IF($G105="","",$G105-$I105))</f>
        <v/>
      </c>
      <c r="K105" s="17" t="str">
        <f aca="true">IF(OR($A105="",$J105="",$J105&lt;=0,$H105=""),"",TODAY()-$H105)</f>
        <v/>
      </c>
      <c r="L105" s="14" t="str">
        <f aca="false">IF($A105="","",IF($G105="","",IF($J105&lt;=0,"반납완료",IF($I105&gt;0,"부분반납","미반납"))))</f>
        <v/>
      </c>
    </row>
    <row r="106" customFormat="false" ht="15" hidden="false" customHeight="false" outlineLevel="0" collapsed="false">
      <c r="A106" s="14" t="str">
        <f aca="false">IF($B106="","",TEXT($B106,"yymmdd")&amp;"-"&amp;TEXT(COUNTIFS($B$3:$B106,$B106),"00"))</f>
        <v/>
      </c>
      <c r="B106" s="15"/>
      <c r="C106" s="9"/>
      <c r="D106" s="10"/>
      <c r="E106" s="14" t="str">
        <f aca="false">IF($D106="","",IFERROR(INDEX(품목목록!$B$3:$B$202,MATCH($D106,품목목록!$A$3:$A$202,0)),"미등록품번"))</f>
        <v/>
      </c>
      <c r="F106" s="14" t="str">
        <f aca="false">IF($D106="","",IFERROR(INDEX(품목목록!$D$3:$D$202,MATCH($D106,품목목록!$A$3:$A$202,0)),""))</f>
        <v/>
      </c>
      <c r="G106" s="11"/>
      <c r="H106" s="15"/>
      <c r="I106" s="16" t="str">
        <f aca="false">IF($A106="","",SUMIFS(반납내역!$D$3:$D$1502,반납내역!$B$3:$B$1502,$A106))</f>
        <v/>
      </c>
      <c r="J106" s="16" t="str">
        <f aca="false">IF($A106="","",IF($G106="","",$G106-$I106))</f>
        <v/>
      </c>
      <c r="K106" s="17" t="str">
        <f aca="true">IF(OR($A106="",$J106="",$J106&lt;=0,$H106=""),"",TODAY()-$H106)</f>
        <v/>
      </c>
      <c r="L106" s="14" t="str">
        <f aca="false">IF($A106="","",IF($G106="","",IF($J106&lt;=0,"반납완료",IF($I106&gt;0,"부분반납","미반납"))))</f>
        <v/>
      </c>
    </row>
    <row r="107" customFormat="false" ht="15" hidden="false" customHeight="false" outlineLevel="0" collapsed="false">
      <c r="A107" s="14" t="str">
        <f aca="false">IF($B107="","",TEXT($B107,"yymmdd")&amp;"-"&amp;TEXT(COUNTIFS($B$3:$B107,$B107),"00"))</f>
        <v/>
      </c>
      <c r="B107" s="15"/>
      <c r="C107" s="9"/>
      <c r="D107" s="10"/>
      <c r="E107" s="14" t="str">
        <f aca="false">IF($D107="","",IFERROR(INDEX(품목목록!$B$3:$B$202,MATCH($D107,품목목록!$A$3:$A$202,0)),"미등록품번"))</f>
        <v/>
      </c>
      <c r="F107" s="14" t="str">
        <f aca="false">IF($D107="","",IFERROR(INDEX(품목목록!$D$3:$D$202,MATCH($D107,품목목록!$A$3:$A$202,0)),""))</f>
        <v/>
      </c>
      <c r="G107" s="11"/>
      <c r="H107" s="15"/>
      <c r="I107" s="16" t="str">
        <f aca="false">IF($A107="","",SUMIFS(반납내역!$D$3:$D$1502,반납내역!$B$3:$B$1502,$A107))</f>
        <v/>
      </c>
      <c r="J107" s="16" t="str">
        <f aca="false">IF($A107="","",IF($G107="","",$G107-$I107))</f>
        <v/>
      </c>
      <c r="K107" s="17" t="str">
        <f aca="true">IF(OR($A107="",$J107="",$J107&lt;=0,$H107=""),"",TODAY()-$H107)</f>
        <v/>
      </c>
      <c r="L107" s="14" t="str">
        <f aca="false">IF($A107="","",IF($G107="","",IF($J107&lt;=0,"반납완료",IF($I107&gt;0,"부분반납","미반납"))))</f>
        <v/>
      </c>
    </row>
    <row r="108" customFormat="false" ht="15" hidden="false" customHeight="false" outlineLevel="0" collapsed="false">
      <c r="A108" s="14" t="str">
        <f aca="false">IF($B108="","",TEXT($B108,"yymmdd")&amp;"-"&amp;TEXT(COUNTIFS($B$3:$B108,$B108),"00"))</f>
        <v/>
      </c>
      <c r="B108" s="15"/>
      <c r="C108" s="9"/>
      <c r="D108" s="10"/>
      <c r="E108" s="14" t="str">
        <f aca="false">IF($D108="","",IFERROR(INDEX(품목목록!$B$3:$B$202,MATCH($D108,품목목록!$A$3:$A$202,0)),"미등록품번"))</f>
        <v/>
      </c>
      <c r="F108" s="14" t="str">
        <f aca="false">IF($D108="","",IFERROR(INDEX(품목목록!$D$3:$D$202,MATCH($D108,품목목록!$A$3:$A$202,0)),""))</f>
        <v/>
      </c>
      <c r="G108" s="11"/>
      <c r="H108" s="15"/>
      <c r="I108" s="16" t="str">
        <f aca="false">IF($A108="","",SUMIFS(반납내역!$D$3:$D$1502,반납내역!$B$3:$B$1502,$A108))</f>
        <v/>
      </c>
      <c r="J108" s="16" t="str">
        <f aca="false">IF($A108="","",IF($G108="","",$G108-$I108))</f>
        <v/>
      </c>
      <c r="K108" s="17" t="str">
        <f aca="true">IF(OR($A108="",$J108="",$J108&lt;=0,$H108=""),"",TODAY()-$H108)</f>
        <v/>
      </c>
      <c r="L108" s="14" t="str">
        <f aca="false">IF($A108="","",IF($G108="","",IF($J108&lt;=0,"반납완료",IF($I108&gt;0,"부분반납","미반납"))))</f>
        <v/>
      </c>
    </row>
    <row r="109" customFormat="false" ht="15" hidden="false" customHeight="false" outlineLevel="0" collapsed="false">
      <c r="A109" s="14" t="str">
        <f aca="false">IF($B109="","",TEXT($B109,"yymmdd")&amp;"-"&amp;TEXT(COUNTIFS($B$3:$B109,$B109),"00"))</f>
        <v/>
      </c>
      <c r="B109" s="15"/>
      <c r="C109" s="9"/>
      <c r="D109" s="10"/>
      <c r="E109" s="14" t="str">
        <f aca="false">IF($D109="","",IFERROR(INDEX(품목목록!$B$3:$B$202,MATCH($D109,품목목록!$A$3:$A$202,0)),"미등록품번"))</f>
        <v/>
      </c>
      <c r="F109" s="14" t="str">
        <f aca="false">IF($D109="","",IFERROR(INDEX(품목목록!$D$3:$D$202,MATCH($D109,품목목록!$A$3:$A$202,0)),""))</f>
        <v/>
      </c>
      <c r="G109" s="11"/>
      <c r="H109" s="15"/>
      <c r="I109" s="16" t="str">
        <f aca="false">IF($A109="","",SUMIFS(반납내역!$D$3:$D$1502,반납내역!$B$3:$B$1502,$A109))</f>
        <v/>
      </c>
      <c r="J109" s="16" t="str">
        <f aca="false">IF($A109="","",IF($G109="","",$G109-$I109))</f>
        <v/>
      </c>
      <c r="K109" s="17" t="str">
        <f aca="true">IF(OR($A109="",$J109="",$J109&lt;=0,$H109=""),"",TODAY()-$H109)</f>
        <v/>
      </c>
      <c r="L109" s="14" t="str">
        <f aca="false">IF($A109="","",IF($G109="","",IF($J109&lt;=0,"반납완료",IF($I109&gt;0,"부분반납","미반납"))))</f>
        <v/>
      </c>
    </row>
    <row r="110" customFormat="false" ht="15" hidden="false" customHeight="false" outlineLevel="0" collapsed="false">
      <c r="A110" s="14" t="str">
        <f aca="false">IF($B110="","",TEXT($B110,"yymmdd")&amp;"-"&amp;TEXT(COUNTIFS($B$3:$B110,$B110),"00"))</f>
        <v/>
      </c>
      <c r="B110" s="15"/>
      <c r="C110" s="9"/>
      <c r="D110" s="10"/>
      <c r="E110" s="14" t="str">
        <f aca="false">IF($D110="","",IFERROR(INDEX(품목목록!$B$3:$B$202,MATCH($D110,품목목록!$A$3:$A$202,0)),"미등록품번"))</f>
        <v/>
      </c>
      <c r="F110" s="14" t="str">
        <f aca="false">IF($D110="","",IFERROR(INDEX(품목목록!$D$3:$D$202,MATCH($D110,품목목록!$A$3:$A$202,0)),""))</f>
        <v/>
      </c>
      <c r="G110" s="11"/>
      <c r="H110" s="15"/>
      <c r="I110" s="16" t="str">
        <f aca="false">IF($A110="","",SUMIFS(반납내역!$D$3:$D$1502,반납내역!$B$3:$B$1502,$A110))</f>
        <v/>
      </c>
      <c r="J110" s="16" t="str">
        <f aca="false">IF($A110="","",IF($G110="","",$G110-$I110))</f>
        <v/>
      </c>
      <c r="K110" s="17" t="str">
        <f aca="true">IF(OR($A110="",$J110="",$J110&lt;=0,$H110=""),"",TODAY()-$H110)</f>
        <v/>
      </c>
      <c r="L110" s="14" t="str">
        <f aca="false">IF($A110="","",IF($G110="","",IF($J110&lt;=0,"반납완료",IF($I110&gt;0,"부분반납","미반납"))))</f>
        <v/>
      </c>
    </row>
    <row r="111" customFormat="false" ht="15" hidden="false" customHeight="false" outlineLevel="0" collapsed="false">
      <c r="A111" s="14" t="str">
        <f aca="false">IF($B111="","",TEXT($B111,"yymmdd")&amp;"-"&amp;TEXT(COUNTIFS($B$3:$B111,$B111),"00"))</f>
        <v/>
      </c>
      <c r="B111" s="15"/>
      <c r="C111" s="9"/>
      <c r="D111" s="10"/>
      <c r="E111" s="14" t="str">
        <f aca="false">IF($D111="","",IFERROR(INDEX(품목목록!$B$3:$B$202,MATCH($D111,품목목록!$A$3:$A$202,0)),"미등록품번"))</f>
        <v/>
      </c>
      <c r="F111" s="14" t="str">
        <f aca="false">IF($D111="","",IFERROR(INDEX(품목목록!$D$3:$D$202,MATCH($D111,품목목록!$A$3:$A$202,0)),""))</f>
        <v/>
      </c>
      <c r="G111" s="11"/>
      <c r="H111" s="15"/>
      <c r="I111" s="16" t="str">
        <f aca="false">IF($A111="","",SUMIFS(반납내역!$D$3:$D$1502,반납내역!$B$3:$B$1502,$A111))</f>
        <v/>
      </c>
      <c r="J111" s="16" t="str">
        <f aca="false">IF($A111="","",IF($G111="","",$G111-$I111))</f>
        <v/>
      </c>
      <c r="K111" s="17" t="str">
        <f aca="true">IF(OR($A111="",$J111="",$J111&lt;=0,$H111=""),"",TODAY()-$H111)</f>
        <v/>
      </c>
      <c r="L111" s="14" t="str">
        <f aca="false">IF($A111="","",IF($G111="","",IF($J111&lt;=0,"반납완료",IF($I111&gt;0,"부분반납","미반납"))))</f>
        <v/>
      </c>
    </row>
    <row r="112" customFormat="false" ht="15" hidden="false" customHeight="false" outlineLevel="0" collapsed="false">
      <c r="A112" s="14" t="str">
        <f aca="false">IF($B112="","",TEXT($B112,"yymmdd")&amp;"-"&amp;TEXT(COUNTIFS($B$3:$B112,$B112),"00"))</f>
        <v/>
      </c>
      <c r="B112" s="15"/>
      <c r="C112" s="9"/>
      <c r="D112" s="10"/>
      <c r="E112" s="14" t="str">
        <f aca="false">IF($D112="","",IFERROR(INDEX(품목목록!$B$3:$B$202,MATCH($D112,품목목록!$A$3:$A$202,0)),"미등록품번"))</f>
        <v/>
      </c>
      <c r="F112" s="14" t="str">
        <f aca="false">IF($D112="","",IFERROR(INDEX(품목목록!$D$3:$D$202,MATCH($D112,품목목록!$A$3:$A$202,0)),""))</f>
        <v/>
      </c>
      <c r="G112" s="11"/>
      <c r="H112" s="15"/>
      <c r="I112" s="16" t="str">
        <f aca="false">IF($A112="","",SUMIFS(반납내역!$D$3:$D$1502,반납내역!$B$3:$B$1502,$A112))</f>
        <v/>
      </c>
      <c r="J112" s="16" t="str">
        <f aca="false">IF($A112="","",IF($G112="","",$G112-$I112))</f>
        <v/>
      </c>
      <c r="K112" s="17" t="str">
        <f aca="true">IF(OR($A112="",$J112="",$J112&lt;=0,$H112=""),"",TODAY()-$H112)</f>
        <v/>
      </c>
      <c r="L112" s="14" t="str">
        <f aca="false">IF($A112="","",IF($G112="","",IF($J112&lt;=0,"반납완료",IF($I112&gt;0,"부분반납","미반납"))))</f>
        <v/>
      </c>
    </row>
    <row r="113" customFormat="false" ht="15" hidden="false" customHeight="false" outlineLevel="0" collapsed="false">
      <c r="A113" s="14" t="str">
        <f aca="false">IF($B113="","",TEXT($B113,"yymmdd")&amp;"-"&amp;TEXT(COUNTIFS($B$3:$B113,$B113),"00"))</f>
        <v/>
      </c>
      <c r="B113" s="15"/>
      <c r="C113" s="9"/>
      <c r="D113" s="10"/>
      <c r="E113" s="14" t="str">
        <f aca="false">IF($D113="","",IFERROR(INDEX(품목목록!$B$3:$B$202,MATCH($D113,품목목록!$A$3:$A$202,0)),"미등록품번"))</f>
        <v/>
      </c>
      <c r="F113" s="14" t="str">
        <f aca="false">IF($D113="","",IFERROR(INDEX(품목목록!$D$3:$D$202,MATCH($D113,품목목록!$A$3:$A$202,0)),""))</f>
        <v/>
      </c>
      <c r="G113" s="11"/>
      <c r="H113" s="15"/>
      <c r="I113" s="16" t="str">
        <f aca="false">IF($A113="","",SUMIFS(반납내역!$D$3:$D$1502,반납내역!$B$3:$B$1502,$A113))</f>
        <v/>
      </c>
      <c r="J113" s="16" t="str">
        <f aca="false">IF($A113="","",IF($G113="","",$G113-$I113))</f>
        <v/>
      </c>
      <c r="K113" s="17" t="str">
        <f aca="true">IF(OR($A113="",$J113="",$J113&lt;=0,$H113=""),"",TODAY()-$H113)</f>
        <v/>
      </c>
      <c r="L113" s="14" t="str">
        <f aca="false">IF($A113="","",IF($G113="","",IF($J113&lt;=0,"반납완료",IF($I113&gt;0,"부분반납","미반납"))))</f>
        <v/>
      </c>
    </row>
    <row r="114" customFormat="false" ht="15" hidden="false" customHeight="false" outlineLevel="0" collapsed="false">
      <c r="A114" s="14" t="str">
        <f aca="false">IF($B114="","",TEXT($B114,"yymmdd")&amp;"-"&amp;TEXT(COUNTIFS($B$3:$B114,$B114),"00"))</f>
        <v/>
      </c>
      <c r="B114" s="15"/>
      <c r="C114" s="9"/>
      <c r="D114" s="10"/>
      <c r="E114" s="14" t="str">
        <f aca="false">IF($D114="","",IFERROR(INDEX(품목목록!$B$3:$B$202,MATCH($D114,품목목록!$A$3:$A$202,0)),"미등록품번"))</f>
        <v/>
      </c>
      <c r="F114" s="14" t="str">
        <f aca="false">IF($D114="","",IFERROR(INDEX(품목목록!$D$3:$D$202,MATCH($D114,품목목록!$A$3:$A$202,0)),""))</f>
        <v/>
      </c>
      <c r="G114" s="11"/>
      <c r="H114" s="15"/>
      <c r="I114" s="16" t="str">
        <f aca="false">IF($A114="","",SUMIFS(반납내역!$D$3:$D$1502,반납내역!$B$3:$B$1502,$A114))</f>
        <v/>
      </c>
      <c r="J114" s="16" t="str">
        <f aca="false">IF($A114="","",IF($G114="","",$G114-$I114))</f>
        <v/>
      </c>
      <c r="K114" s="17" t="str">
        <f aca="true">IF(OR($A114="",$J114="",$J114&lt;=0,$H114=""),"",TODAY()-$H114)</f>
        <v/>
      </c>
      <c r="L114" s="14" t="str">
        <f aca="false">IF($A114="","",IF($G114="","",IF($J114&lt;=0,"반납완료",IF($I114&gt;0,"부분반납","미반납"))))</f>
        <v/>
      </c>
    </row>
    <row r="115" customFormat="false" ht="15" hidden="false" customHeight="false" outlineLevel="0" collapsed="false">
      <c r="A115" s="14" t="str">
        <f aca="false">IF($B115="","",TEXT($B115,"yymmdd")&amp;"-"&amp;TEXT(COUNTIFS($B$3:$B115,$B115),"00"))</f>
        <v/>
      </c>
      <c r="B115" s="15"/>
      <c r="C115" s="9"/>
      <c r="D115" s="10"/>
      <c r="E115" s="14" t="str">
        <f aca="false">IF($D115="","",IFERROR(INDEX(품목목록!$B$3:$B$202,MATCH($D115,품목목록!$A$3:$A$202,0)),"미등록품번"))</f>
        <v/>
      </c>
      <c r="F115" s="14" t="str">
        <f aca="false">IF($D115="","",IFERROR(INDEX(품목목록!$D$3:$D$202,MATCH($D115,품목목록!$A$3:$A$202,0)),""))</f>
        <v/>
      </c>
      <c r="G115" s="11"/>
      <c r="H115" s="15"/>
      <c r="I115" s="16" t="str">
        <f aca="false">IF($A115="","",SUMIFS(반납내역!$D$3:$D$1502,반납내역!$B$3:$B$1502,$A115))</f>
        <v/>
      </c>
      <c r="J115" s="16" t="str">
        <f aca="false">IF($A115="","",IF($G115="","",$G115-$I115))</f>
        <v/>
      </c>
      <c r="K115" s="17" t="str">
        <f aca="true">IF(OR($A115="",$J115="",$J115&lt;=0,$H115=""),"",TODAY()-$H115)</f>
        <v/>
      </c>
      <c r="L115" s="14" t="str">
        <f aca="false">IF($A115="","",IF($G115="","",IF($J115&lt;=0,"반납완료",IF($I115&gt;0,"부분반납","미반납"))))</f>
        <v/>
      </c>
    </row>
    <row r="116" customFormat="false" ht="15" hidden="false" customHeight="false" outlineLevel="0" collapsed="false">
      <c r="A116" s="14" t="str">
        <f aca="false">IF($B116="","",TEXT($B116,"yymmdd")&amp;"-"&amp;TEXT(COUNTIFS($B$3:$B116,$B116),"00"))</f>
        <v/>
      </c>
      <c r="B116" s="15"/>
      <c r="C116" s="9"/>
      <c r="D116" s="10"/>
      <c r="E116" s="14" t="str">
        <f aca="false">IF($D116="","",IFERROR(INDEX(품목목록!$B$3:$B$202,MATCH($D116,품목목록!$A$3:$A$202,0)),"미등록품번"))</f>
        <v/>
      </c>
      <c r="F116" s="14" t="str">
        <f aca="false">IF($D116="","",IFERROR(INDEX(품목목록!$D$3:$D$202,MATCH($D116,품목목록!$A$3:$A$202,0)),""))</f>
        <v/>
      </c>
      <c r="G116" s="11"/>
      <c r="H116" s="15"/>
      <c r="I116" s="16" t="str">
        <f aca="false">IF($A116="","",SUMIFS(반납내역!$D$3:$D$1502,반납내역!$B$3:$B$1502,$A116))</f>
        <v/>
      </c>
      <c r="J116" s="16" t="str">
        <f aca="false">IF($A116="","",IF($G116="","",$G116-$I116))</f>
        <v/>
      </c>
      <c r="K116" s="17" t="str">
        <f aca="true">IF(OR($A116="",$J116="",$J116&lt;=0,$H116=""),"",TODAY()-$H116)</f>
        <v/>
      </c>
      <c r="L116" s="14" t="str">
        <f aca="false">IF($A116="","",IF($G116="","",IF($J116&lt;=0,"반납완료",IF($I116&gt;0,"부분반납","미반납"))))</f>
        <v/>
      </c>
    </row>
    <row r="117" customFormat="false" ht="15" hidden="false" customHeight="false" outlineLevel="0" collapsed="false">
      <c r="A117" s="14" t="str">
        <f aca="false">IF($B117="","",TEXT($B117,"yymmdd")&amp;"-"&amp;TEXT(COUNTIFS($B$3:$B117,$B117),"00"))</f>
        <v/>
      </c>
      <c r="B117" s="15"/>
      <c r="C117" s="9"/>
      <c r="D117" s="10"/>
      <c r="E117" s="14" t="str">
        <f aca="false">IF($D117="","",IFERROR(INDEX(품목목록!$B$3:$B$202,MATCH($D117,품목목록!$A$3:$A$202,0)),"미등록품번"))</f>
        <v/>
      </c>
      <c r="F117" s="14" t="str">
        <f aca="false">IF($D117="","",IFERROR(INDEX(품목목록!$D$3:$D$202,MATCH($D117,품목목록!$A$3:$A$202,0)),""))</f>
        <v/>
      </c>
      <c r="G117" s="11"/>
      <c r="H117" s="15"/>
      <c r="I117" s="16" t="str">
        <f aca="false">IF($A117="","",SUMIFS(반납내역!$D$3:$D$1502,반납내역!$B$3:$B$1502,$A117))</f>
        <v/>
      </c>
      <c r="J117" s="16" t="str">
        <f aca="false">IF($A117="","",IF($G117="","",$G117-$I117))</f>
        <v/>
      </c>
      <c r="K117" s="17" t="str">
        <f aca="true">IF(OR($A117="",$J117="",$J117&lt;=0,$H117=""),"",TODAY()-$H117)</f>
        <v/>
      </c>
      <c r="L117" s="14" t="str">
        <f aca="false">IF($A117="","",IF($G117="","",IF($J117&lt;=0,"반납완료",IF($I117&gt;0,"부분반납","미반납"))))</f>
        <v/>
      </c>
    </row>
    <row r="118" customFormat="false" ht="15" hidden="false" customHeight="false" outlineLevel="0" collapsed="false">
      <c r="A118" s="14" t="str">
        <f aca="false">IF($B118="","",TEXT($B118,"yymmdd")&amp;"-"&amp;TEXT(COUNTIFS($B$3:$B118,$B118),"00"))</f>
        <v/>
      </c>
      <c r="B118" s="15"/>
      <c r="C118" s="9"/>
      <c r="D118" s="10"/>
      <c r="E118" s="14" t="str">
        <f aca="false">IF($D118="","",IFERROR(INDEX(품목목록!$B$3:$B$202,MATCH($D118,품목목록!$A$3:$A$202,0)),"미등록품번"))</f>
        <v/>
      </c>
      <c r="F118" s="14" t="str">
        <f aca="false">IF($D118="","",IFERROR(INDEX(품목목록!$D$3:$D$202,MATCH($D118,품목목록!$A$3:$A$202,0)),""))</f>
        <v/>
      </c>
      <c r="G118" s="11"/>
      <c r="H118" s="15"/>
      <c r="I118" s="16" t="str">
        <f aca="false">IF($A118="","",SUMIFS(반납내역!$D$3:$D$1502,반납내역!$B$3:$B$1502,$A118))</f>
        <v/>
      </c>
      <c r="J118" s="16" t="str">
        <f aca="false">IF($A118="","",IF($G118="","",$G118-$I118))</f>
        <v/>
      </c>
      <c r="K118" s="17" t="str">
        <f aca="true">IF(OR($A118="",$J118="",$J118&lt;=0,$H118=""),"",TODAY()-$H118)</f>
        <v/>
      </c>
      <c r="L118" s="14" t="str">
        <f aca="false">IF($A118="","",IF($G118="","",IF($J118&lt;=0,"반납완료",IF($I118&gt;0,"부분반납","미반납"))))</f>
        <v/>
      </c>
    </row>
    <row r="119" customFormat="false" ht="15" hidden="false" customHeight="false" outlineLevel="0" collapsed="false">
      <c r="A119" s="14" t="str">
        <f aca="false">IF($B119="","",TEXT($B119,"yymmdd")&amp;"-"&amp;TEXT(COUNTIFS($B$3:$B119,$B119),"00"))</f>
        <v/>
      </c>
      <c r="B119" s="15"/>
      <c r="C119" s="9"/>
      <c r="D119" s="10"/>
      <c r="E119" s="14" t="str">
        <f aca="false">IF($D119="","",IFERROR(INDEX(품목목록!$B$3:$B$202,MATCH($D119,품목목록!$A$3:$A$202,0)),"미등록품번"))</f>
        <v/>
      </c>
      <c r="F119" s="14" t="str">
        <f aca="false">IF($D119="","",IFERROR(INDEX(품목목록!$D$3:$D$202,MATCH($D119,품목목록!$A$3:$A$202,0)),""))</f>
        <v/>
      </c>
      <c r="G119" s="11"/>
      <c r="H119" s="15"/>
      <c r="I119" s="16" t="str">
        <f aca="false">IF($A119="","",SUMIFS(반납내역!$D$3:$D$1502,반납내역!$B$3:$B$1502,$A119))</f>
        <v/>
      </c>
      <c r="J119" s="16" t="str">
        <f aca="false">IF($A119="","",IF($G119="","",$G119-$I119))</f>
        <v/>
      </c>
      <c r="K119" s="17" t="str">
        <f aca="true">IF(OR($A119="",$J119="",$J119&lt;=0,$H119=""),"",TODAY()-$H119)</f>
        <v/>
      </c>
      <c r="L119" s="14" t="str">
        <f aca="false">IF($A119="","",IF($G119="","",IF($J119&lt;=0,"반납완료",IF($I119&gt;0,"부분반납","미반납"))))</f>
        <v/>
      </c>
    </row>
    <row r="120" customFormat="false" ht="15" hidden="false" customHeight="false" outlineLevel="0" collapsed="false">
      <c r="A120" s="14" t="str">
        <f aca="false">IF($B120="","",TEXT($B120,"yymmdd")&amp;"-"&amp;TEXT(COUNTIFS($B$3:$B120,$B120),"00"))</f>
        <v/>
      </c>
      <c r="B120" s="15"/>
      <c r="C120" s="9"/>
      <c r="D120" s="10"/>
      <c r="E120" s="14" t="str">
        <f aca="false">IF($D120="","",IFERROR(INDEX(품목목록!$B$3:$B$202,MATCH($D120,품목목록!$A$3:$A$202,0)),"미등록품번"))</f>
        <v/>
      </c>
      <c r="F120" s="14" t="str">
        <f aca="false">IF($D120="","",IFERROR(INDEX(품목목록!$D$3:$D$202,MATCH($D120,품목목록!$A$3:$A$202,0)),""))</f>
        <v/>
      </c>
      <c r="G120" s="11"/>
      <c r="H120" s="15"/>
      <c r="I120" s="16" t="str">
        <f aca="false">IF($A120="","",SUMIFS(반납내역!$D$3:$D$1502,반납내역!$B$3:$B$1502,$A120))</f>
        <v/>
      </c>
      <c r="J120" s="16" t="str">
        <f aca="false">IF($A120="","",IF($G120="","",$G120-$I120))</f>
        <v/>
      </c>
      <c r="K120" s="17" t="str">
        <f aca="true">IF(OR($A120="",$J120="",$J120&lt;=0,$H120=""),"",TODAY()-$H120)</f>
        <v/>
      </c>
      <c r="L120" s="14" t="str">
        <f aca="false">IF($A120="","",IF($G120="","",IF($J120&lt;=0,"반납완료",IF($I120&gt;0,"부분반납","미반납"))))</f>
        <v/>
      </c>
    </row>
    <row r="121" customFormat="false" ht="15" hidden="false" customHeight="false" outlineLevel="0" collapsed="false">
      <c r="A121" s="14" t="str">
        <f aca="false">IF($B121="","",TEXT($B121,"yymmdd")&amp;"-"&amp;TEXT(COUNTIFS($B$3:$B121,$B121),"00"))</f>
        <v/>
      </c>
      <c r="B121" s="15"/>
      <c r="C121" s="9"/>
      <c r="D121" s="10"/>
      <c r="E121" s="14" t="str">
        <f aca="false">IF($D121="","",IFERROR(INDEX(품목목록!$B$3:$B$202,MATCH($D121,품목목록!$A$3:$A$202,0)),"미등록품번"))</f>
        <v/>
      </c>
      <c r="F121" s="14" t="str">
        <f aca="false">IF($D121="","",IFERROR(INDEX(품목목록!$D$3:$D$202,MATCH($D121,품목목록!$A$3:$A$202,0)),""))</f>
        <v/>
      </c>
      <c r="G121" s="11"/>
      <c r="H121" s="15"/>
      <c r="I121" s="16" t="str">
        <f aca="false">IF($A121="","",SUMIFS(반납내역!$D$3:$D$1502,반납내역!$B$3:$B$1502,$A121))</f>
        <v/>
      </c>
      <c r="J121" s="16" t="str">
        <f aca="false">IF($A121="","",IF($G121="","",$G121-$I121))</f>
        <v/>
      </c>
      <c r="K121" s="17" t="str">
        <f aca="true">IF(OR($A121="",$J121="",$J121&lt;=0,$H121=""),"",TODAY()-$H121)</f>
        <v/>
      </c>
      <c r="L121" s="14" t="str">
        <f aca="false">IF($A121="","",IF($G121="","",IF($J121&lt;=0,"반납완료",IF($I121&gt;0,"부분반납","미반납"))))</f>
        <v/>
      </c>
    </row>
    <row r="122" customFormat="false" ht="15" hidden="false" customHeight="false" outlineLevel="0" collapsed="false">
      <c r="A122" s="14" t="str">
        <f aca="false">IF($B122="","",TEXT($B122,"yymmdd")&amp;"-"&amp;TEXT(COUNTIFS($B$3:$B122,$B122),"00"))</f>
        <v/>
      </c>
      <c r="B122" s="15"/>
      <c r="C122" s="9"/>
      <c r="D122" s="10"/>
      <c r="E122" s="14" t="str">
        <f aca="false">IF($D122="","",IFERROR(INDEX(품목목록!$B$3:$B$202,MATCH($D122,품목목록!$A$3:$A$202,0)),"미등록품번"))</f>
        <v/>
      </c>
      <c r="F122" s="14" t="str">
        <f aca="false">IF($D122="","",IFERROR(INDEX(품목목록!$D$3:$D$202,MATCH($D122,품목목록!$A$3:$A$202,0)),""))</f>
        <v/>
      </c>
      <c r="G122" s="11"/>
      <c r="H122" s="15"/>
      <c r="I122" s="16" t="str">
        <f aca="false">IF($A122="","",SUMIFS(반납내역!$D$3:$D$1502,반납내역!$B$3:$B$1502,$A122))</f>
        <v/>
      </c>
      <c r="J122" s="16" t="str">
        <f aca="false">IF($A122="","",IF($G122="","",$G122-$I122))</f>
        <v/>
      </c>
      <c r="K122" s="17" t="str">
        <f aca="true">IF(OR($A122="",$J122="",$J122&lt;=0,$H122=""),"",TODAY()-$H122)</f>
        <v/>
      </c>
      <c r="L122" s="14" t="str">
        <f aca="false">IF($A122="","",IF($G122="","",IF($J122&lt;=0,"반납완료",IF($I122&gt;0,"부분반납","미반납"))))</f>
        <v/>
      </c>
    </row>
    <row r="123" customFormat="false" ht="15" hidden="false" customHeight="false" outlineLevel="0" collapsed="false">
      <c r="A123" s="14" t="str">
        <f aca="false">IF($B123="","",TEXT($B123,"yymmdd")&amp;"-"&amp;TEXT(COUNTIFS($B$3:$B123,$B123),"00"))</f>
        <v/>
      </c>
      <c r="B123" s="15"/>
      <c r="C123" s="9"/>
      <c r="D123" s="10"/>
      <c r="E123" s="14" t="str">
        <f aca="false">IF($D123="","",IFERROR(INDEX(품목목록!$B$3:$B$202,MATCH($D123,품목목록!$A$3:$A$202,0)),"미등록품번"))</f>
        <v/>
      </c>
      <c r="F123" s="14" t="str">
        <f aca="false">IF($D123="","",IFERROR(INDEX(품목목록!$D$3:$D$202,MATCH($D123,품목목록!$A$3:$A$202,0)),""))</f>
        <v/>
      </c>
      <c r="G123" s="11"/>
      <c r="H123" s="15"/>
      <c r="I123" s="16" t="str">
        <f aca="false">IF($A123="","",SUMIFS(반납내역!$D$3:$D$1502,반납내역!$B$3:$B$1502,$A123))</f>
        <v/>
      </c>
      <c r="J123" s="16" t="str">
        <f aca="false">IF($A123="","",IF($G123="","",$G123-$I123))</f>
        <v/>
      </c>
      <c r="K123" s="17" t="str">
        <f aca="true">IF(OR($A123="",$J123="",$J123&lt;=0,$H123=""),"",TODAY()-$H123)</f>
        <v/>
      </c>
      <c r="L123" s="14" t="str">
        <f aca="false">IF($A123="","",IF($G123="","",IF($J123&lt;=0,"반납완료",IF($I123&gt;0,"부분반납","미반납"))))</f>
        <v/>
      </c>
    </row>
    <row r="124" customFormat="false" ht="15" hidden="false" customHeight="false" outlineLevel="0" collapsed="false">
      <c r="A124" s="14" t="str">
        <f aca="false">IF($B124="","",TEXT($B124,"yymmdd")&amp;"-"&amp;TEXT(COUNTIFS($B$3:$B124,$B124),"00"))</f>
        <v/>
      </c>
      <c r="B124" s="15"/>
      <c r="C124" s="9"/>
      <c r="D124" s="10"/>
      <c r="E124" s="14" t="str">
        <f aca="false">IF($D124="","",IFERROR(INDEX(품목목록!$B$3:$B$202,MATCH($D124,품목목록!$A$3:$A$202,0)),"미등록품번"))</f>
        <v/>
      </c>
      <c r="F124" s="14" t="str">
        <f aca="false">IF($D124="","",IFERROR(INDEX(품목목록!$D$3:$D$202,MATCH($D124,품목목록!$A$3:$A$202,0)),""))</f>
        <v/>
      </c>
      <c r="G124" s="11"/>
      <c r="H124" s="15"/>
      <c r="I124" s="16" t="str">
        <f aca="false">IF($A124="","",SUMIFS(반납내역!$D$3:$D$1502,반납내역!$B$3:$B$1502,$A124))</f>
        <v/>
      </c>
      <c r="J124" s="16" t="str">
        <f aca="false">IF($A124="","",IF($G124="","",$G124-$I124))</f>
        <v/>
      </c>
      <c r="K124" s="17" t="str">
        <f aca="true">IF(OR($A124="",$J124="",$J124&lt;=0,$H124=""),"",TODAY()-$H124)</f>
        <v/>
      </c>
      <c r="L124" s="14" t="str">
        <f aca="false">IF($A124="","",IF($G124="","",IF($J124&lt;=0,"반납완료",IF($I124&gt;0,"부분반납","미반납"))))</f>
        <v/>
      </c>
    </row>
    <row r="125" customFormat="false" ht="15" hidden="false" customHeight="false" outlineLevel="0" collapsed="false">
      <c r="A125" s="14" t="str">
        <f aca="false">IF($B125="","",TEXT($B125,"yymmdd")&amp;"-"&amp;TEXT(COUNTIFS($B$3:$B125,$B125),"00"))</f>
        <v/>
      </c>
      <c r="B125" s="15"/>
      <c r="C125" s="9"/>
      <c r="D125" s="10"/>
      <c r="E125" s="14" t="str">
        <f aca="false">IF($D125="","",IFERROR(INDEX(품목목록!$B$3:$B$202,MATCH($D125,품목목록!$A$3:$A$202,0)),"미등록품번"))</f>
        <v/>
      </c>
      <c r="F125" s="14" t="str">
        <f aca="false">IF($D125="","",IFERROR(INDEX(품목목록!$D$3:$D$202,MATCH($D125,품목목록!$A$3:$A$202,0)),""))</f>
        <v/>
      </c>
      <c r="G125" s="11"/>
      <c r="H125" s="15"/>
      <c r="I125" s="16" t="str">
        <f aca="false">IF($A125="","",SUMIFS(반납내역!$D$3:$D$1502,반납내역!$B$3:$B$1502,$A125))</f>
        <v/>
      </c>
      <c r="J125" s="16" t="str">
        <f aca="false">IF($A125="","",IF($G125="","",$G125-$I125))</f>
        <v/>
      </c>
      <c r="K125" s="17" t="str">
        <f aca="true">IF(OR($A125="",$J125="",$J125&lt;=0,$H125=""),"",TODAY()-$H125)</f>
        <v/>
      </c>
      <c r="L125" s="14" t="str">
        <f aca="false">IF($A125="","",IF($G125="","",IF($J125&lt;=0,"반납완료",IF($I125&gt;0,"부분반납","미반납"))))</f>
        <v/>
      </c>
    </row>
    <row r="126" customFormat="false" ht="15" hidden="false" customHeight="false" outlineLevel="0" collapsed="false">
      <c r="A126" s="14" t="str">
        <f aca="false">IF($B126="","",TEXT($B126,"yymmdd")&amp;"-"&amp;TEXT(COUNTIFS($B$3:$B126,$B126),"00"))</f>
        <v/>
      </c>
      <c r="B126" s="15"/>
      <c r="C126" s="9"/>
      <c r="D126" s="10"/>
      <c r="E126" s="14" t="str">
        <f aca="false">IF($D126="","",IFERROR(INDEX(품목목록!$B$3:$B$202,MATCH($D126,품목목록!$A$3:$A$202,0)),"미등록품번"))</f>
        <v/>
      </c>
      <c r="F126" s="14" t="str">
        <f aca="false">IF($D126="","",IFERROR(INDEX(품목목록!$D$3:$D$202,MATCH($D126,품목목록!$A$3:$A$202,0)),""))</f>
        <v/>
      </c>
      <c r="G126" s="11"/>
      <c r="H126" s="15"/>
      <c r="I126" s="16" t="str">
        <f aca="false">IF($A126="","",SUMIFS(반납내역!$D$3:$D$1502,반납내역!$B$3:$B$1502,$A126))</f>
        <v/>
      </c>
      <c r="J126" s="16" t="str">
        <f aca="false">IF($A126="","",IF($G126="","",$G126-$I126))</f>
        <v/>
      </c>
      <c r="K126" s="17" t="str">
        <f aca="true">IF(OR($A126="",$J126="",$J126&lt;=0,$H126=""),"",TODAY()-$H126)</f>
        <v/>
      </c>
      <c r="L126" s="14" t="str">
        <f aca="false">IF($A126="","",IF($G126="","",IF($J126&lt;=0,"반납완료",IF($I126&gt;0,"부분반납","미반납"))))</f>
        <v/>
      </c>
    </row>
    <row r="127" customFormat="false" ht="15" hidden="false" customHeight="false" outlineLevel="0" collapsed="false">
      <c r="A127" s="14" t="str">
        <f aca="false">IF($B127="","",TEXT($B127,"yymmdd")&amp;"-"&amp;TEXT(COUNTIFS($B$3:$B127,$B127),"00"))</f>
        <v/>
      </c>
      <c r="B127" s="15"/>
      <c r="C127" s="9"/>
      <c r="D127" s="10"/>
      <c r="E127" s="14" t="str">
        <f aca="false">IF($D127="","",IFERROR(INDEX(품목목록!$B$3:$B$202,MATCH($D127,품목목록!$A$3:$A$202,0)),"미등록품번"))</f>
        <v/>
      </c>
      <c r="F127" s="14" t="str">
        <f aca="false">IF($D127="","",IFERROR(INDEX(품목목록!$D$3:$D$202,MATCH($D127,품목목록!$A$3:$A$202,0)),""))</f>
        <v/>
      </c>
      <c r="G127" s="11"/>
      <c r="H127" s="15"/>
      <c r="I127" s="16" t="str">
        <f aca="false">IF($A127="","",SUMIFS(반납내역!$D$3:$D$1502,반납내역!$B$3:$B$1502,$A127))</f>
        <v/>
      </c>
      <c r="J127" s="16" t="str">
        <f aca="false">IF($A127="","",IF($G127="","",$G127-$I127))</f>
        <v/>
      </c>
      <c r="K127" s="17" t="str">
        <f aca="true">IF(OR($A127="",$J127="",$J127&lt;=0,$H127=""),"",TODAY()-$H127)</f>
        <v/>
      </c>
      <c r="L127" s="14" t="str">
        <f aca="false">IF($A127="","",IF($G127="","",IF($J127&lt;=0,"반납완료",IF($I127&gt;0,"부분반납","미반납"))))</f>
        <v/>
      </c>
    </row>
    <row r="128" customFormat="false" ht="15" hidden="false" customHeight="false" outlineLevel="0" collapsed="false">
      <c r="A128" s="14" t="str">
        <f aca="false">IF($B128="","",TEXT($B128,"yymmdd")&amp;"-"&amp;TEXT(COUNTIFS($B$3:$B128,$B128),"00"))</f>
        <v/>
      </c>
      <c r="B128" s="15"/>
      <c r="C128" s="9"/>
      <c r="D128" s="10"/>
      <c r="E128" s="14" t="str">
        <f aca="false">IF($D128="","",IFERROR(INDEX(품목목록!$B$3:$B$202,MATCH($D128,품목목록!$A$3:$A$202,0)),"미등록품번"))</f>
        <v/>
      </c>
      <c r="F128" s="14" t="str">
        <f aca="false">IF($D128="","",IFERROR(INDEX(품목목록!$D$3:$D$202,MATCH($D128,품목목록!$A$3:$A$202,0)),""))</f>
        <v/>
      </c>
      <c r="G128" s="11"/>
      <c r="H128" s="15"/>
      <c r="I128" s="16" t="str">
        <f aca="false">IF($A128="","",SUMIFS(반납내역!$D$3:$D$1502,반납내역!$B$3:$B$1502,$A128))</f>
        <v/>
      </c>
      <c r="J128" s="16" t="str">
        <f aca="false">IF($A128="","",IF($G128="","",$G128-$I128))</f>
        <v/>
      </c>
      <c r="K128" s="17" t="str">
        <f aca="true">IF(OR($A128="",$J128="",$J128&lt;=0,$H128=""),"",TODAY()-$H128)</f>
        <v/>
      </c>
      <c r="L128" s="14" t="str">
        <f aca="false">IF($A128="","",IF($G128="","",IF($J128&lt;=0,"반납완료",IF($I128&gt;0,"부분반납","미반납"))))</f>
        <v/>
      </c>
    </row>
    <row r="129" customFormat="false" ht="15" hidden="false" customHeight="false" outlineLevel="0" collapsed="false">
      <c r="A129" s="14" t="str">
        <f aca="false">IF($B129="","",TEXT($B129,"yymmdd")&amp;"-"&amp;TEXT(COUNTIFS($B$3:$B129,$B129),"00"))</f>
        <v/>
      </c>
      <c r="B129" s="15"/>
      <c r="C129" s="9"/>
      <c r="D129" s="10"/>
      <c r="E129" s="14" t="str">
        <f aca="false">IF($D129="","",IFERROR(INDEX(품목목록!$B$3:$B$202,MATCH($D129,품목목록!$A$3:$A$202,0)),"미등록품번"))</f>
        <v/>
      </c>
      <c r="F129" s="14" t="str">
        <f aca="false">IF($D129="","",IFERROR(INDEX(품목목록!$D$3:$D$202,MATCH($D129,품목목록!$A$3:$A$202,0)),""))</f>
        <v/>
      </c>
      <c r="G129" s="11"/>
      <c r="H129" s="15"/>
      <c r="I129" s="16" t="str">
        <f aca="false">IF($A129="","",SUMIFS(반납내역!$D$3:$D$1502,반납내역!$B$3:$B$1502,$A129))</f>
        <v/>
      </c>
      <c r="J129" s="16" t="str">
        <f aca="false">IF($A129="","",IF($G129="","",$G129-$I129))</f>
        <v/>
      </c>
      <c r="K129" s="17" t="str">
        <f aca="true">IF(OR($A129="",$J129="",$J129&lt;=0,$H129=""),"",TODAY()-$H129)</f>
        <v/>
      </c>
      <c r="L129" s="14" t="str">
        <f aca="false">IF($A129="","",IF($G129="","",IF($J129&lt;=0,"반납완료",IF($I129&gt;0,"부분반납","미반납"))))</f>
        <v/>
      </c>
    </row>
    <row r="130" customFormat="false" ht="15" hidden="false" customHeight="false" outlineLevel="0" collapsed="false">
      <c r="A130" s="14" t="str">
        <f aca="false">IF($B130="","",TEXT($B130,"yymmdd")&amp;"-"&amp;TEXT(COUNTIFS($B$3:$B130,$B130),"00"))</f>
        <v/>
      </c>
      <c r="B130" s="15"/>
      <c r="C130" s="9"/>
      <c r="D130" s="10"/>
      <c r="E130" s="14" t="str">
        <f aca="false">IF($D130="","",IFERROR(INDEX(품목목록!$B$3:$B$202,MATCH($D130,품목목록!$A$3:$A$202,0)),"미등록품번"))</f>
        <v/>
      </c>
      <c r="F130" s="14" t="str">
        <f aca="false">IF($D130="","",IFERROR(INDEX(품목목록!$D$3:$D$202,MATCH($D130,품목목록!$A$3:$A$202,0)),""))</f>
        <v/>
      </c>
      <c r="G130" s="11"/>
      <c r="H130" s="15"/>
      <c r="I130" s="16" t="str">
        <f aca="false">IF($A130="","",SUMIFS(반납내역!$D$3:$D$1502,반납내역!$B$3:$B$1502,$A130))</f>
        <v/>
      </c>
      <c r="J130" s="16" t="str">
        <f aca="false">IF($A130="","",IF($G130="","",$G130-$I130))</f>
        <v/>
      </c>
      <c r="K130" s="17" t="str">
        <f aca="true">IF(OR($A130="",$J130="",$J130&lt;=0,$H130=""),"",TODAY()-$H130)</f>
        <v/>
      </c>
      <c r="L130" s="14" t="str">
        <f aca="false">IF($A130="","",IF($G130="","",IF($J130&lt;=0,"반납완료",IF($I130&gt;0,"부분반납","미반납"))))</f>
        <v/>
      </c>
    </row>
    <row r="131" customFormat="false" ht="15" hidden="false" customHeight="false" outlineLevel="0" collapsed="false">
      <c r="A131" s="14" t="str">
        <f aca="false">IF($B131="","",TEXT($B131,"yymmdd")&amp;"-"&amp;TEXT(COUNTIFS($B$3:$B131,$B131),"00"))</f>
        <v/>
      </c>
      <c r="B131" s="15"/>
      <c r="C131" s="9"/>
      <c r="D131" s="10"/>
      <c r="E131" s="14" t="str">
        <f aca="false">IF($D131="","",IFERROR(INDEX(품목목록!$B$3:$B$202,MATCH($D131,품목목록!$A$3:$A$202,0)),"미등록품번"))</f>
        <v/>
      </c>
      <c r="F131" s="14" t="str">
        <f aca="false">IF($D131="","",IFERROR(INDEX(품목목록!$D$3:$D$202,MATCH($D131,품목목록!$A$3:$A$202,0)),""))</f>
        <v/>
      </c>
      <c r="G131" s="11"/>
      <c r="H131" s="15"/>
      <c r="I131" s="16" t="str">
        <f aca="false">IF($A131="","",SUMIFS(반납내역!$D$3:$D$1502,반납내역!$B$3:$B$1502,$A131))</f>
        <v/>
      </c>
      <c r="J131" s="16" t="str">
        <f aca="false">IF($A131="","",IF($G131="","",$G131-$I131))</f>
        <v/>
      </c>
      <c r="K131" s="17" t="str">
        <f aca="true">IF(OR($A131="",$J131="",$J131&lt;=0,$H131=""),"",TODAY()-$H131)</f>
        <v/>
      </c>
      <c r="L131" s="14" t="str">
        <f aca="false">IF($A131="","",IF($G131="","",IF($J131&lt;=0,"반납완료",IF($I131&gt;0,"부분반납","미반납"))))</f>
        <v/>
      </c>
    </row>
    <row r="132" customFormat="false" ht="15" hidden="false" customHeight="false" outlineLevel="0" collapsed="false">
      <c r="A132" s="14" t="str">
        <f aca="false">IF($B132="","",TEXT($B132,"yymmdd")&amp;"-"&amp;TEXT(COUNTIFS($B$3:$B132,$B132),"00"))</f>
        <v/>
      </c>
      <c r="B132" s="15"/>
      <c r="C132" s="9"/>
      <c r="D132" s="10"/>
      <c r="E132" s="14" t="str">
        <f aca="false">IF($D132="","",IFERROR(INDEX(품목목록!$B$3:$B$202,MATCH($D132,품목목록!$A$3:$A$202,0)),"미등록품번"))</f>
        <v/>
      </c>
      <c r="F132" s="14" t="str">
        <f aca="false">IF($D132="","",IFERROR(INDEX(품목목록!$D$3:$D$202,MATCH($D132,품목목록!$A$3:$A$202,0)),""))</f>
        <v/>
      </c>
      <c r="G132" s="11"/>
      <c r="H132" s="15"/>
      <c r="I132" s="16" t="str">
        <f aca="false">IF($A132="","",SUMIFS(반납내역!$D$3:$D$1502,반납내역!$B$3:$B$1502,$A132))</f>
        <v/>
      </c>
      <c r="J132" s="16" t="str">
        <f aca="false">IF($A132="","",IF($G132="","",$G132-$I132))</f>
        <v/>
      </c>
      <c r="K132" s="17" t="str">
        <f aca="true">IF(OR($A132="",$J132="",$J132&lt;=0,$H132=""),"",TODAY()-$H132)</f>
        <v/>
      </c>
      <c r="L132" s="14" t="str">
        <f aca="false">IF($A132="","",IF($G132="","",IF($J132&lt;=0,"반납완료",IF($I132&gt;0,"부분반납","미반납"))))</f>
        <v/>
      </c>
    </row>
    <row r="133" customFormat="false" ht="15" hidden="false" customHeight="false" outlineLevel="0" collapsed="false">
      <c r="A133" s="14" t="str">
        <f aca="false">IF($B133="","",TEXT($B133,"yymmdd")&amp;"-"&amp;TEXT(COUNTIFS($B$3:$B133,$B133),"00"))</f>
        <v/>
      </c>
      <c r="B133" s="15"/>
      <c r="C133" s="9"/>
      <c r="D133" s="10"/>
      <c r="E133" s="14" t="str">
        <f aca="false">IF($D133="","",IFERROR(INDEX(품목목록!$B$3:$B$202,MATCH($D133,품목목록!$A$3:$A$202,0)),"미등록품번"))</f>
        <v/>
      </c>
      <c r="F133" s="14" t="str">
        <f aca="false">IF($D133="","",IFERROR(INDEX(품목목록!$D$3:$D$202,MATCH($D133,품목목록!$A$3:$A$202,0)),""))</f>
        <v/>
      </c>
      <c r="G133" s="11"/>
      <c r="H133" s="15"/>
      <c r="I133" s="16" t="str">
        <f aca="false">IF($A133="","",SUMIFS(반납내역!$D$3:$D$1502,반납내역!$B$3:$B$1502,$A133))</f>
        <v/>
      </c>
      <c r="J133" s="16" t="str">
        <f aca="false">IF($A133="","",IF($G133="","",$G133-$I133))</f>
        <v/>
      </c>
      <c r="K133" s="17" t="str">
        <f aca="true">IF(OR($A133="",$J133="",$J133&lt;=0,$H133=""),"",TODAY()-$H133)</f>
        <v/>
      </c>
      <c r="L133" s="14" t="str">
        <f aca="false">IF($A133="","",IF($G133="","",IF($J133&lt;=0,"반납완료",IF($I133&gt;0,"부분반납","미반납"))))</f>
        <v/>
      </c>
    </row>
    <row r="134" customFormat="false" ht="15" hidden="false" customHeight="false" outlineLevel="0" collapsed="false">
      <c r="A134" s="14" t="str">
        <f aca="false">IF($B134="","",TEXT($B134,"yymmdd")&amp;"-"&amp;TEXT(COUNTIFS($B$3:$B134,$B134),"00"))</f>
        <v/>
      </c>
      <c r="B134" s="15"/>
      <c r="C134" s="9"/>
      <c r="D134" s="10"/>
      <c r="E134" s="14" t="str">
        <f aca="false">IF($D134="","",IFERROR(INDEX(품목목록!$B$3:$B$202,MATCH($D134,품목목록!$A$3:$A$202,0)),"미등록품번"))</f>
        <v/>
      </c>
      <c r="F134" s="14" t="str">
        <f aca="false">IF($D134="","",IFERROR(INDEX(품목목록!$D$3:$D$202,MATCH($D134,품목목록!$A$3:$A$202,0)),""))</f>
        <v/>
      </c>
      <c r="G134" s="11"/>
      <c r="H134" s="15"/>
      <c r="I134" s="16" t="str">
        <f aca="false">IF($A134="","",SUMIFS(반납내역!$D$3:$D$1502,반납내역!$B$3:$B$1502,$A134))</f>
        <v/>
      </c>
      <c r="J134" s="16" t="str">
        <f aca="false">IF($A134="","",IF($G134="","",$G134-$I134))</f>
        <v/>
      </c>
      <c r="K134" s="17" t="str">
        <f aca="true">IF(OR($A134="",$J134="",$J134&lt;=0,$H134=""),"",TODAY()-$H134)</f>
        <v/>
      </c>
      <c r="L134" s="14" t="str">
        <f aca="false">IF($A134="","",IF($G134="","",IF($J134&lt;=0,"반납완료",IF($I134&gt;0,"부분반납","미반납"))))</f>
        <v/>
      </c>
    </row>
    <row r="135" customFormat="false" ht="15" hidden="false" customHeight="false" outlineLevel="0" collapsed="false">
      <c r="A135" s="14" t="str">
        <f aca="false">IF($B135="","",TEXT($B135,"yymmdd")&amp;"-"&amp;TEXT(COUNTIFS($B$3:$B135,$B135),"00"))</f>
        <v/>
      </c>
      <c r="B135" s="15"/>
      <c r="C135" s="9"/>
      <c r="D135" s="10"/>
      <c r="E135" s="14" t="str">
        <f aca="false">IF($D135="","",IFERROR(INDEX(품목목록!$B$3:$B$202,MATCH($D135,품목목록!$A$3:$A$202,0)),"미등록품번"))</f>
        <v/>
      </c>
      <c r="F135" s="14" t="str">
        <f aca="false">IF($D135="","",IFERROR(INDEX(품목목록!$D$3:$D$202,MATCH($D135,품목목록!$A$3:$A$202,0)),""))</f>
        <v/>
      </c>
      <c r="G135" s="11"/>
      <c r="H135" s="15"/>
      <c r="I135" s="16" t="str">
        <f aca="false">IF($A135="","",SUMIFS(반납내역!$D$3:$D$1502,반납내역!$B$3:$B$1502,$A135))</f>
        <v/>
      </c>
      <c r="J135" s="16" t="str">
        <f aca="false">IF($A135="","",IF($G135="","",$G135-$I135))</f>
        <v/>
      </c>
      <c r="K135" s="17" t="str">
        <f aca="true">IF(OR($A135="",$J135="",$J135&lt;=0,$H135=""),"",TODAY()-$H135)</f>
        <v/>
      </c>
      <c r="L135" s="14" t="str">
        <f aca="false">IF($A135="","",IF($G135="","",IF($J135&lt;=0,"반납완료",IF($I135&gt;0,"부분반납","미반납"))))</f>
        <v/>
      </c>
    </row>
    <row r="136" customFormat="false" ht="15" hidden="false" customHeight="false" outlineLevel="0" collapsed="false">
      <c r="A136" s="14" t="str">
        <f aca="false">IF($B136="","",TEXT($B136,"yymmdd")&amp;"-"&amp;TEXT(COUNTIFS($B$3:$B136,$B136),"00"))</f>
        <v/>
      </c>
      <c r="B136" s="15"/>
      <c r="C136" s="9"/>
      <c r="D136" s="10"/>
      <c r="E136" s="14" t="str">
        <f aca="false">IF($D136="","",IFERROR(INDEX(품목목록!$B$3:$B$202,MATCH($D136,품목목록!$A$3:$A$202,0)),"미등록품번"))</f>
        <v/>
      </c>
      <c r="F136" s="14" t="str">
        <f aca="false">IF($D136="","",IFERROR(INDEX(품목목록!$D$3:$D$202,MATCH($D136,품목목록!$A$3:$A$202,0)),""))</f>
        <v/>
      </c>
      <c r="G136" s="11"/>
      <c r="H136" s="15"/>
      <c r="I136" s="16" t="str">
        <f aca="false">IF($A136="","",SUMIFS(반납내역!$D$3:$D$1502,반납내역!$B$3:$B$1502,$A136))</f>
        <v/>
      </c>
      <c r="J136" s="16" t="str">
        <f aca="false">IF($A136="","",IF($G136="","",$G136-$I136))</f>
        <v/>
      </c>
      <c r="K136" s="17" t="str">
        <f aca="true">IF(OR($A136="",$J136="",$J136&lt;=0,$H136=""),"",TODAY()-$H136)</f>
        <v/>
      </c>
      <c r="L136" s="14" t="str">
        <f aca="false">IF($A136="","",IF($G136="","",IF($J136&lt;=0,"반납완료",IF($I136&gt;0,"부분반납","미반납"))))</f>
        <v/>
      </c>
    </row>
    <row r="137" customFormat="false" ht="15" hidden="false" customHeight="false" outlineLevel="0" collapsed="false">
      <c r="A137" s="14" t="str">
        <f aca="false">IF($B137="","",TEXT($B137,"yymmdd")&amp;"-"&amp;TEXT(COUNTIFS($B$3:$B137,$B137),"00"))</f>
        <v/>
      </c>
      <c r="B137" s="15"/>
      <c r="C137" s="9"/>
      <c r="D137" s="10"/>
      <c r="E137" s="14" t="str">
        <f aca="false">IF($D137="","",IFERROR(INDEX(품목목록!$B$3:$B$202,MATCH($D137,품목목록!$A$3:$A$202,0)),"미등록품번"))</f>
        <v/>
      </c>
      <c r="F137" s="14" t="str">
        <f aca="false">IF($D137="","",IFERROR(INDEX(품목목록!$D$3:$D$202,MATCH($D137,품목목록!$A$3:$A$202,0)),""))</f>
        <v/>
      </c>
      <c r="G137" s="11"/>
      <c r="H137" s="15"/>
      <c r="I137" s="16" t="str">
        <f aca="false">IF($A137="","",SUMIFS(반납내역!$D$3:$D$1502,반납내역!$B$3:$B$1502,$A137))</f>
        <v/>
      </c>
      <c r="J137" s="16" t="str">
        <f aca="false">IF($A137="","",IF($G137="","",$G137-$I137))</f>
        <v/>
      </c>
      <c r="K137" s="17" t="str">
        <f aca="true">IF(OR($A137="",$J137="",$J137&lt;=0,$H137=""),"",TODAY()-$H137)</f>
        <v/>
      </c>
      <c r="L137" s="14" t="str">
        <f aca="false">IF($A137="","",IF($G137="","",IF($J137&lt;=0,"반납완료",IF($I137&gt;0,"부분반납","미반납"))))</f>
        <v/>
      </c>
    </row>
    <row r="138" customFormat="false" ht="15" hidden="false" customHeight="false" outlineLevel="0" collapsed="false">
      <c r="A138" s="14" t="str">
        <f aca="false">IF($B138="","",TEXT($B138,"yymmdd")&amp;"-"&amp;TEXT(COUNTIFS($B$3:$B138,$B138),"00"))</f>
        <v/>
      </c>
      <c r="B138" s="15"/>
      <c r="C138" s="9"/>
      <c r="D138" s="10"/>
      <c r="E138" s="14" t="str">
        <f aca="false">IF($D138="","",IFERROR(INDEX(품목목록!$B$3:$B$202,MATCH($D138,품목목록!$A$3:$A$202,0)),"미등록품번"))</f>
        <v/>
      </c>
      <c r="F138" s="14" t="str">
        <f aca="false">IF($D138="","",IFERROR(INDEX(품목목록!$D$3:$D$202,MATCH($D138,품목목록!$A$3:$A$202,0)),""))</f>
        <v/>
      </c>
      <c r="G138" s="11"/>
      <c r="H138" s="15"/>
      <c r="I138" s="16" t="str">
        <f aca="false">IF($A138="","",SUMIFS(반납내역!$D$3:$D$1502,반납내역!$B$3:$B$1502,$A138))</f>
        <v/>
      </c>
      <c r="J138" s="16" t="str">
        <f aca="false">IF($A138="","",IF($G138="","",$G138-$I138))</f>
        <v/>
      </c>
      <c r="K138" s="17" t="str">
        <f aca="true">IF(OR($A138="",$J138="",$J138&lt;=0,$H138=""),"",TODAY()-$H138)</f>
        <v/>
      </c>
      <c r="L138" s="14" t="str">
        <f aca="false">IF($A138="","",IF($G138="","",IF($J138&lt;=0,"반납완료",IF($I138&gt;0,"부분반납","미반납"))))</f>
        <v/>
      </c>
    </row>
    <row r="139" customFormat="false" ht="15" hidden="false" customHeight="false" outlineLevel="0" collapsed="false">
      <c r="A139" s="14" t="str">
        <f aca="false">IF($B139="","",TEXT($B139,"yymmdd")&amp;"-"&amp;TEXT(COUNTIFS($B$3:$B139,$B139),"00"))</f>
        <v/>
      </c>
      <c r="B139" s="15"/>
      <c r="C139" s="9"/>
      <c r="D139" s="10"/>
      <c r="E139" s="14" t="str">
        <f aca="false">IF($D139="","",IFERROR(INDEX(품목목록!$B$3:$B$202,MATCH($D139,품목목록!$A$3:$A$202,0)),"미등록품번"))</f>
        <v/>
      </c>
      <c r="F139" s="14" t="str">
        <f aca="false">IF($D139="","",IFERROR(INDEX(품목목록!$D$3:$D$202,MATCH($D139,품목목록!$A$3:$A$202,0)),""))</f>
        <v/>
      </c>
      <c r="G139" s="11"/>
      <c r="H139" s="15"/>
      <c r="I139" s="16" t="str">
        <f aca="false">IF($A139="","",SUMIFS(반납내역!$D$3:$D$1502,반납내역!$B$3:$B$1502,$A139))</f>
        <v/>
      </c>
      <c r="J139" s="16" t="str">
        <f aca="false">IF($A139="","",IF($G139="","",$G139-$I139))</f>
        <v/>
      </c>
      <c r="K139" s="17" t="str">
        <f aca="true">IF(OR($A139="",$J139="",$J139&lt;=0,$H139=""),"",TODAY()-$H139)</f>
        <v/>
      </c>
      <c r="L139" s="14" t="str">
        <f aca="false">IF($A139="","",IF($G139="","",IF($J139&lt;=0,"반납완료",IF($I139&gt;0,"부분반납","미반납"))))</f>
        <v/>
      </c>
    </row>
    <row r="140" customFormat="false" ht="15" hidden="false" customHeight="false" outlineLevel="0" collapsed="false">
      <c r="A140" s="14" t="str">
        <f aca="false">IF($B140="","",TEXT($B140,"yymmdd")&amp;"-"&amp;TEXT(COUNTIFS($B$3:$B140,$B140),"00"))</f>
        <v/>
      </c>
      <c r="B140" s="15"/>
      <c r="C140" s="9"/>
      <c r="D140" s="10"/>
      <c r="E140" s="14" t="str">
        <f aca="false">IF($D140="","",IFERROR(INDEX(품목목록!$B$3:$B$202,MATCH($D140,품목목록!$A$3:$A$202,0)),"미등록품번"))</f>
        <v/>
      </c>
      <c r="F140" s="14" t="str">
        <f aca="false">IF($D140="","",IFERROR(INDEX(품목목록!$D$3:$D$202,MATCH($D140,품목목록!$A$3:$A$202,0)),""))</f>
        <v/>
      </c>
      <c r="G140" s="11"/>
      <c r="H140" s="15"/>
      <c r="I140" s="16" t="str">
        <f aca="false">IF($A140="","",SUMIFS(반납내역!$D$3:$D$1502,반납내역!$B$3:$B$1502,$A140))</f>
        <v/>
      </c>
      <c r="J140" s="16" t="str">
        <f aca="false">IF($A140="","",IF($G140="","",$G140-$I140))</f>
        <v/>
      </c>
      <c r="K140" s="17" t="str">
        <f aca="true">IF(OR($A140="",$J140="",$J140&lt;=0,$H140=""),"",TODAY()-$H140)</f>
        <v/>
      </c>
      <c r="L140" s="14" t="str">
        <f aca="false">IF($A140="","",IF($G140="","",IF($J140&lt;=0,"반납완료",IF($I140&gt;0,"부분반납","미반납"))))</f>
        <v/>
      </c>
    </row>
    <row r="141" customFormat="false" ht="15" hidden="false" customHeight="false" outlineLevel="0" collapsed="false">
      <c r="A141" s="14" t="str">
        <f aca="false">IF($B141="","",TEXT($B141,"yymmdd")&amp;"-"&amp;TEXT(COUNTIFS($B$3:$B141,$B141),"00"))</f>
        <v/>
      </c>
      <c r="B141" s="15"/>
      <c r="C141" s="9"/>
      <c r="D141" s="10"/>
      <c r="E141" s="14" t="str">
        <f aca="false">IF($D141="","",IFERROR(INDEX(품목목록!$B$3:$B$202,MATCH($D141,품목목록!$A$3:$A$202,0)),"미등록품번"))</f>
        <v/>
      </c>
      <c r="F141" s="14" t="str">
        <f aca="false">IF($D141="","",IFERROR(INDEX(품목목록!$D$3:$D$202,MATCH($D141,품목목록!$A$3:$A$202,0)),""))</f>
        <v/>
      </c>
      <c r="G141" s="11"/>
      <c r="H141" s="15"/>
      <c r="I141" s="16" t="str">
        <f aca="false">IF($A141="","",SUMIFS(반납내역!$D$3:$D$1502,반납내역!$B$3:$B$1502,$A141))</f>
        <v/>
      </c>
      <c r="J141" s="16" t="str">
        <f aca="false">IF($A141="","",IF($G141="","",$G141-$I141))</f>
        <v/>
      </c>
      <c r="K141" s="17" t="str">
        <f aca="true">IF(OR($A141="",$J141="",$J141&lt;=0,$H141=""),"",TODAY()-$H141)</f>
        <v/>
      </c>
      <c r="L141" s="14" t="str">
        <f aca="false">IF($A141="","",IF($G141="","",IF($J141&lt;=0,"반납완료",IF($I141&gt;0,"부분반납","미반납"))))</f>
        <v/>
      </c>
    </row>
    <row r="142" customFormat="false" ht="15" hidden="false" customHeight="false" outlineLevel="0" collapsed="false">
      <c r="A142" s="14" t="str">
        <f aca="false">IF($B142="","",TEXT($B142,"yymmdd")&amp;"-"&amp;TEXT(COUNTIFS($B$3:$B142,$B142),"00"))</f>
        <v/>
      </c>
      <c r="B142" s="15"/>
      <c r="C142" s="9"/>
      <c r="D142" s="10"/>
      <c r="E142" s="14" t="str">
        <f aca="false">IF($D142="","",IFERROR(INDEX(품목목록!$B$3:$B$202,MATCH($D142,품목목록!$A$3:$A$202,0)),"미등록품번"))</f>
        <v/>
      </c>
      <c r="F142" s="14" t="str">
        <f aca="false">IF($D142="","",IFERROR(INDEX(품목목록!$D$3:$D$202,MATCH($D142,품목목록!$A$3:$A$202,0)),""))</f>
        <v/>
      </c>
      <c r="G142" s="11"/>
      <c r="H142" s="15"/>
      <c r="I142" s="16" t="str">
        <f aca="false">IF($A142="","",SUMIFS(반납내역!$D$3:$D$1502,반납내역!$B$3:$B$1502,$A142))</f>
        <v/>
      </c>
      <c r="J142" s="16" t="str">
        <f aca="false">IF($A142="","",IF($G142="","",$G142-$I142))</f>
        <v/>
      </c>
      <c r="K142" s="17" t="str">
        <f aca="true">IF(OR($A142="",$J142="",$J142&lt;=0,$H142=""),"",TODAY()-$H142)</f>
        <v/>
      </c>
      <c r="L142" s="14" t="str">
        <f aca="false">IF($A142="","",IF($G142="","",IF($J142&lt;=0,"반납완료",IF($I142&gt;0,"부분반납","미반납"))))</f>
        <v/>
      </c>
    </row>
    <row r="143" customFormat="false" ht="15" hidden="false" customHeight="false" outlineLevel="0" collapsed="false">
      <c r="A143" s="14" t="str">
        <f aca="false">IF($B143="","",TEXT($B143,"yymmdd")&amp;"-"&amp;TEXT(COUNTIFS($B$3:$B143,$B143),"00"))</f>
        <v/>
      </c>
      <c r="B143" s="15"/>
      <c r="C143" s="9"/>
      <c r="D143" s="10"/>
      <c r="E143" s="14" t="str">
        <f aca="false">IF($D143="","",IFERROR(INDEX(품목목록!$B$3:$B$202,MATCH($D143,품목목록!$A$3:$A$202,0)),"미등록품번"))</f>
        <v/>
      </c>
      <c r="F143" s="14" t="str">
        <f aca="false">IF($D143="","",IFERROR(INDEX(품목목록!$D$3:$D$202,MATCH($D143,품목목록!$A$3:$A$202,0)),""))</f>
        <v/>
      </c>
      <c r="G143" s="11"/>
      <c r="H143" s="15"/>
      <c r="I143" s="16" t="str">
        <f aca="false">IF($A143="","",SUMIFS(반납내역!$D$3:$D$1502,반납내역!$B$3:$B$1502,$A143))</f>
        <v/>
      </c>
      <c r="J143" s="16" t="str">
        <f aca="false">IF($A143="","",IF($G143="","",$G143-$I143))</f>
        <v/>
      </c>
      <c r="K143" s="17" t="str">
        <f aca="true">IF(OR($A143="",$J143="",$J143&lt;=0,$H143=""),"",TODAY()-$H143)</f>
        <v/>
      </c>
      <c r="L143" s="14" t="str">
        <f aca="false">IF($A143="","",IF($G143="","",IF($J143&lt;=0,"반납완료",IF($I143&gt;0,"부분반납","미반납"))))</f>
        <v/>
      </c>
    </row>
    <row r="144" customFormat="false" ht="15" hidden="false" customHeight="false" outlineLevel="0" collapsed="false">
      <c r="A144" s="14" t="str">
        <f aca="false">IF($B144="","",TEXT($B144,"yymmdd")&amp;"-"&amp;TEXT(COUNTIFS($B$3:$B144,$B144),"00"))</f>
        <v/>
      </c>
      <c r="B144" s="15"/>
      <c r="C144" s="9"/>
      <c r="D144" s="10"/>
      <c r="E144" s="14" t="str">
        <f aca="false">IF($D144="","",IFERROR(INDEX(품목목록!$B$3:$B$202,MATCH($D144,품목목록!$A$3:$A$202,0)),"미등록품번"))</f>
        <v/>
      </c>
      <c r="F144" s="14" t="str">
        <f aca="false">IF($D144="","",IFERROR(INDEX(품목목록!$D$3:$D$202,MATCH($D144,품목목록!$A$3:$A$202,0)),""))</f>
        <v/>
      </c>
      <c r="G144" s="11"/>
      <c r="H144" s="15"/>
      <c r="I144" s="16" t="str">
        <f aca="false">IF($A144="","",SUMIFS(반납내역!$D$3:$D$1502,반납내역!$B$3:$B$1502,$A144))</f>
        <v/>
      </c>
      <c r="J144" s="16" t="str">
        <f aca="false">IF($A144="","",IF($G144="","",$G144-$I144))</f>
        <v/>
      </c>
      <c r="K144" s="17" t="str">
        <f aca="true">IF(OR($A144="",$J144="",$J144&lt;=0,$H144=""),"",TODAY()-$H144)</f>
        <v/>
      </c>
      <c r="L144" s="14" t="str">
        <f aca="false">IF($A144="","",IF($G144="","",IF($J144&lt;=0,"반납완료",IF($I144&gt;0,"부분반납","미반납"))))</f>
        <v/>
      </c>
    </row>
    <row r="145" customFormat="false" ht="15" hidden="false" customHeight="false" outlineLevel="0" collapsed="false">
      <c r="A145" s="14" t="str">
        <f aca="false">IF($B145="","",TEXT($B145,"yymmdd")&amp;"-"&amp;TEXT(COUNTIFS($B$3:$B145,$B145),"00"))</f>
        <v/>
      </c>
      <c r="B145" s="15"/>
      <c r="C145" s="9"/>
      <c r="D145" s="10"/>
      <c r="E145" s="14" t="str">
        <f aca="false">IF($D145="","",IFERROR(INDEX(품목목록!$B$3:$B$202,MATCH($D145,품목목록!$A$3:$A$202,0)),"미등록품번"))</f>
        <v/>
      </c>
      <c r="F145" s="14" t="str">
        <f aca="false">IF($D145="","",IFERROR(INDEX(품목목록!$D$3:$D$202,MATCH($D145,품목목록!$A$3:$A$202,0)),""))</f>
        <v/>
      </c>
      <c r="G145" s="11"/>
      <c r="H145" s="15"/>
      <c r="I145" s="16" t="str">
        <f aca="false">IF($A145="","",SUMIFS(반납내역!$D$3:$D$1502,반납내역!$B$3:$B$1502,$A145))</f>
        <v/>
      </c>
      <c r="J145" s="16" t="str">
        <f aca="false">IF($A145="","",IF($G145="","",$G145-$I145))</f>
        <v/>
      </c>
      <c r="K145" s="17" t="str">
        <f aca="true">IF(OR($A145="",$J145="",$J145&lt;=0,$H145=""),"",TODAY()-$H145)</f>
        <v/>
      </c>
      <c r="L145" s="14" t="str">
        <f aca="false">IF($A145="","",IF($G145="","",IF($J145&lt;=0,"반납완료",IF($I145&gt;0,"부분반납","미반납"))))</f>
        <v/>
      </c>
    </row>
    <row r="146" customFormat="false" ht="15" hidden="false" customHeight="false" outlineLevel="0" collapsed="false">
      <c r="A146" s="14" t="str">
        <f aca="false">IF($B146="","",TEXT($B146,"yymmdd")&amp;"-"&amp;TEXT(COUNTIFS($B$3:$B146,$B146),"00"))</f>
        <v/>
      </c>
      <c r="B146" s="15"/>
      <c r="C146" s="9"/>
      <c r="D146" s="10"/>
      <c r="E146" s="14" t="str">
        <f aca="false">IF($D146="","",IFERROR(INDEX(품목목록!$B$3:$B$202,MATCH($D146,품목목록!$A$3:$A$202,0)),"미등록품번"))</f>
        <v/>
      </c>
      <c r="F146" s="14" t="str">
        <f aca="false">IF($D146="","",IFERROR(INDEX(품목목록!$D$3:$D$202,MATCH($D146,품목목록!$A$3:$A$202,0)),""))</f>
        <v/>
      </c>
      <c r="G146" s="11"/>
      <c r="H146" s="15"/>
      <c r="I146" s="16" t="str">
        <f aca="false">IF($A146="","",SUMIFS(반납내역!$D$3:$D$1502,반납내역!$B$3:$B$1502,$A146))</f>
        <v/>
      </c>
      <c r="J146" s="16" t="str">
        <f aca="false">IF($A146="","",IF($G146="","",$G146-$I146))</f>
        <v/>
      </c>
      <c r="K146" s="17" t="str">
        <f aca="true">IF(OR($A146="",$J146="",$J146&lt;=0,$H146=""),"",TODAY()-$H146)</f>
        <v/>
      </c>
      <c r="L146" s="14" t="str">
        <f aca="false">IF($A146="","",IF($G146="","",IF($J146&lt;=0,"반납완료",IF($I146&gt;0,"부분반납","미반납"))))</f>
        <v/>
      </c>
    </row>
    <row r="147" customFormat="false" ht="15" hidden="false" customHeight="false" outlineLevel="0" collapsed="false">
      <c r="A147" s="14" t="str">
        <f aca="false">IF($B147="","",TEXT($B147,"yymmdd")&amp;"-"&amp;TEXT(COUNTIFS($B$3:$B147,$B147),"00"))</f>
        <v/>
      </c>
      <c r="B147" s="15"/>
      <c r="C147" s="9"/>
      <c r="D147" s="10"/>
      <c r="E147" s="14" t="str">
        <f aca="false">IF($D147="","",IFERROR(INDEX(품목목록!$B$3:$B$202,MATCH($D147,품목목록!$A$3:$A$202,0)),"미등록품번"))</f>
        <v/>
      </c>
      <c r="F147" s="14" t="str">
        <f aca="false">IF($D147="","",IFERROR(INDEX(품목목록!$D$3:$D$202,MATCH($D147,품목목록!$A$3:$A$202,0)),""))</f>
        <v/>
      </c>
      <c r="G147" s="11"/>
      <c r="H147" s="15"/>
      <c r="I147" s="16" t="str">
        <f aca="false">IF($A147="","",SUMIFS(반납내역!$D$3:$D$1502,반납내역!$B$3:$B$1502,$A147))</f>
        <v/>
      </c>
      <c r="J147" s="16" t="str">
        <f aca="false">IF($A147="","",IF($G147="","",$G147-$I147))</f>
        <v/>
      </c>
      <c r="K147" s="17" t="str">
        <f aca="true">IF(OR($A147="",$J147="",$J147&lt;=0,$H147=""),"",TODAY()-$H147)</f>
        <v/>
      </c>
      <c r="L147" s="14" t="str">
        <f aca="false">IF($A147="","",IF($G147="","",IF($J147&lt;=0,"반납완료",IF($I147&gt;0,"부분반납","미반납"))))</f>
        <v/>
      </c>
    </row>
    <row r="148" customFormat="false" ht="15" hidden="false" customHeight="false" outlineLevel="0" collapsed="false">
      <c r="A148" s="14" t="str">
        <f aca="false">IF($B148="","",TEXT($B148,"yymmdd")&amp;"-"&amp;TEXT(COUNTIFS($B$3:$B148,$B148),"00"))</f>
        <v/>
      </c>
      <c r="B148" s="15"/>
      <c r="C148" s="9"/>
      <c r="D148" s="10"/>
      <c r="E148" s="14" t="str">
        <f aca="false">IF($D148="","",IFERROR(INDEX(품목목록!$B$3:$B$202,MATCH($D148,품목목록!$A$3:$A$202,0)),"미등록품번"))</f>
        <v/>
      </c>
      <c r="F148" s="14" t="str">
        <f aca="false">IF($D148="","",IFERROR(INDEX(품목목록!$D$3:$D$202,MATCH($D148,품목목록!$A$3:$A$202,0)),""))</f>
        <v/>
      </c>
      <c r="G148" s="11"/>
      <c r="H148" s="15"/>
      <c r="I148" s="16" t="str">
        <f aca="false">IF($A148="","",SUMIFS(반납내역!$D$3:$D$1502,반납내역!$B$3:$B$1502,$A148))</f>
        <v/>
      </c>
      <c r="J148" s="16" t="str">
        <f aca="false">IF($A148="","",IF($G148="","",$G148-$I148))</f>
        <v/>
      </c>
      <c r="K148" s="17" t="str">
        <f aca="true">IF(OR($A148="",$J148="",$J148&lt;=0,$H148=""),"",TODAY()-$H148)</f>
        <v/>
      </c>
      <c r="L148" s="14" t="str">
        <f aca="false">IF($A148="","",IF($G148="","",IF($J148&lt;=0,"반납완료",IF($I148&gt;0,"부분반납","미반납"))))</f>
        <v/>
      </c>
    </row>
    <row r="149" customFormat="false" ht="15" hidden="false" customHeight="false" outlineLevel="0" collapsed="false">
      <c r="A149" s="14" t="str">
        <f aca="false">IF($B149="","",TEXT($B149,"yymmdd")&amp;"-"&amp;TEXT(COUNTIFS($B$3:$B149,$B149),"00"))</f>
        <v/>
      </c>
      <c r="B149" s="15"/>
      <c r="C149" s="9"/>
      <c r="D149" s="10"/>
      <c r="E149" s="14" t="str">
        <f aca="false">IF($D149="","",IFERROR(INDEX(품목목록!$B$3:$B$202,MATCH($D149,품목목록!$A$3:$A$202,0)),"미등록품번"))</f>
        <v/>
      </c>
      <c r="F149" s="14" t="str">
        <f aca="false">IF($D149="","",IFERROR(INDEX(품목목록!$D$3:$D$202,MATCH($D149,품목목록!$A$3:$A$202,0)),""))</f>
        <v/>
      </c>
      <c r="G149" s="11"/>
      <c r="H149" s="15"/>
      <c r="I149" s="16" t="str">
        <f aca="false">IF($A149="","",SUMIFS(반납내역!$D$3:$D$1502,반납내역!$B$3:$B$1502,$A149))</f>
        <v/>
      </c>
      <c r="J149" s="16" t="str">
        <f aca="false">IF($A149="","",IF($G149="","",$G149-$I149))</f>
        <v/>
      </c>
      <c r="K149" s="17" t="str">
        <f aca="true">IF(OR($A149="",$J149="",$J149&lt;=0,$H149=""),"",TODAY()-$H149)</f>
        <v/>
      </c>
      <c r="L149" s="14" t="str">
        <f aca="false">IF($A149="","",IF($G149="","",IF($J149&lt;=0,"반납완료",IF($I149&gt;0,"부분반납","미반납"))))</f>
        <v/>
      </c>
    </row>
    <row r="150" customFormat="false" ht="15" hidden="false" customHeight="false" outlineLevel="0" collapsed="false">
      <c r="A150" s="14" t="str">
        <f aca="false">IF($B150="","",TEXT($B150,"yymmdd")&amp;"-"&amp;TEXT(COUNTIFS($B$3:$B150,$B150),"00"))</f>
        <v/>
      </c>
      <c r="B150" s="15"/>
      <c r="C150" s="9"/>
      <c r="D150" s="10"/>
      <c r="E150" s="14" t="str">
        <f aca="false">IF($D150="","",IFERROR(INDEX(품목목록!$B$3:$B$202,MATCH($D150,품목목록!$A$3:$A$202,0)),"미등록품번"))</f>
        <v/>
      </c>
      <c r="F150" s="14" t="str">
        <f aca="false">IF($D150="","",IFERROR(INDEX(품목목록!$D$3:$D$202,MATCH($D150,품목목록!$A$3:$A$202,0)),""))</f>
        <v/>
      </c>
      <c r="G150" s="11"/>
      <c r="H150" s="15"/>
      <c r="I150" s="16" t="str">
        <f aca="false">IF($A150="","",SUMIFS(반납내역!$D$3:$D$1502,반납내역!$B$3:$B$1502,$A150))</f>
        <v/>
      </c>
      <c r="J150" s="16" t="str">
        <f aca="false">IF($A150="","",IF($G150="","",$G150-$I150))</f>
        <v/>
      </c>
      <c r="K150" s="17" t="str">
        <f aca="true">IF(OR($A150="",$J150="",$J150&lt;=0,$H150=""),"",TODAY()-$H150)</f>
        <v/>
      </c>
      <c r="L150" s="14" t="str">
        <f aca="false">IF($A150="","",IF($G150="","",IF($J150&lt;=0,"반납완료",IF($I150&gt;0,"부분반납","미반납"))))</f>
        <v/>
      </c>
    </row>
    <row r="151" customFormat="false" ht="15" hidden="false" customHeight="false" outlineLevel="0" collapsed="false">
      <c r="A151" s="14" t="str">
        <f aca="false">IF($B151="","",TEXT($B151,"yymmdd")&amp;"-"&amp;TEXT(COUNTIFS($B$3:$B151,$B151),"00"))</f>
        <v/>
      </c>
      <c r="B151" s="15"/>
      <c r="C151" s="9"/>
      <c r="D151" s="10"/>
      <c r="E151" s="14" t="str">
        <f aca="false">IF($D151="","",IFERROR(INDEX(품목목록!$B$3:$B$202,MATCH($D151,품목목록!$A$3:$A$202,0)),"미등록품번"))</f>
        <v/>
      </c>
      <c r="F151" s="14" t="str">
        <f aca="false">IF($D151="","",IFERROR(INDEX(품목목록!$D$3:$D$202,MATCH($D151,품목목록!$A$3:$A$202,0)),""))</f>
        <v/>
      </c>
      <c r="G151" s="11"/>
      <c r="H151" s="15"/>
      <c r="I151" s="16" t="str">
        <f aca="false">IF($A151="","",SUMIFS(반납내역!$D$3:$D$1502,반납내역!$B$3:$B$1502,$A151))</f>
        <v/>
      </c>
      <c r="J151" s="16" t="str">
        <f aca="false">IF($A151="","",IF($G151="","",$G151-$I151))</f>
        <v/>
      </c>
      <c r="K151" s="17" t="str">
        <f aca="true">IF(OR($A151="",$J151="",$J151&lt;=0,$H151=""),"",TODAY()-$H151)</f>
        <v/>
      </c>
      <c r="L151" s="14" t="str">
        <f aca="false">IF($A151="","",IF($G151="","",IF($J151&lt;=0,"반납완료",IF($I151&gt;0,"부분반납","미반납"))))</f>
        <v/>
      </c>
    </row>
    <row r="152" customFormat="false" ht="15" hidden="false" customHeight="false" outlineLevel="0" collapsed="false">
      <c r="A152" s="14" t="str">
        <f aca="false">IF($B152="","",TEXT($B152,"yymmdd")&amp;"-"&amp;TEXT(COUNTIFS($B$3:$B152,$B152),"00"))</f>
        <v/>
      </c>
      <c r="B152" s="15"/>
      <c r="C152" s="9"/>
      <c r="D152" s="10"/>
      <c r="E152" s="14" t="str">
        <f aca="false">IF($D152="","",IFERROR(INDEX(품목목록!$B$3:$B$202,MATCH($D152,품목목록!$A$3:$A$202,0)),"미등록품번"))</f>
        <v/>
      </c>
      <c r="F152" s="14" t="str">
        <f aca="false">IF($D152="","",IFERROR(INDEX(품목목록!$D$3:$D$202,MATCH($D152,품목목록!$A$3:$A$202,0)),""))</f>
        <v/>
      </c>
      <c r="G152" s="11"/>
      <c r="H152" s="15"/>
      <c r="I152" s="16" t="str">
        <f aca="false">IF($A152="","",SUMIFS(반납내역!$D$3:$D$1502,반납내역!$B$3:$B$1502,$A152))</f>
        <v/>
      </c>
      <c r="J152" s="16" t="str">
        <f aca="false">IF($A152="","",IF($G152="","",$G152-$I152))</f>
        <v/>
      </c>
      <c r="K152" s="17" t="str">
        <f aca="true">IF(OR($A152="",$J152="",$J152&lt;=0,$H152=""),"",TODAY()-$H152)</f>
        <v/>
      </c>
      <c r="L152" s="14" t="str">
        <f aca="false">IF($A152="","",IF($G152="","",IF($J152&lt;=0,"반납완료",IF($I152&gt;0,"부분반납","미반납"))))</f>
        <v/>
      </c>
    </row>
    <row r="153" customFormat="false" ht="15" hidden="false" customHeight="false" outlineLevel="0" collapsed="false">
      <c r="A153" s="14" t="str">
        <f aca="false">IF($B153="","",TEXT($B153,"yymmdd")&amp;"-"&amp;TEXT(COUNTIFS($B$3:$B153,$B153),"00"))</f>
        <v/>
      </c>
      <c r="B153" s="15"/>
      <c r="C153" s="9"/>
      <c r="D153" s="10"/>
      <c r="E153" s="14" t="str">
        <f aca="false">IF($D153="","",IFERROR(INDEX(품목목록!$B$3:$B$202,MATCH($D153,품목목록!$A$3:$A$202,0)),"미등록품번"))</f>
        <v/>
      </c>
      <c r="F153" s="14" t="str">
        <f aca="false">IF($D153="","",IFERROR(INDEX(품목목록!$D$3:$D$202,MATCH($D153,품목목록!$A$3:$A$202,0)),""))</f>
        <v/>
      </c>
      <c r="G153" s="11"/>
      <c r="H153" s="15"/>
      <c r="I153" s="16" t="str">
        <f aca="false">IF($A153="","",SUMIFS(반납내역!$D$3:$D$1502,반납내역!$B$3:$B$1502,$A153))</f>
        <v/>
      </c>
      <c r="J153" s="16" t="str">
        <f aca="false">IF($A153="","",IF($G153="","",$G153-$I153))</f>
        <v/>
      </c>
      <c r="K153" s="17" t="str">
        <f aca="true">IF(OR($A153="",$J153="",$J153&lt;=0,$H153=""),"",TODAY()-$H153)</f>
        <v/>
      </c>
      <c r="L153" s="14" t="str">
        <f aca="false">IF($A153="","",IF($G153="","",IF($J153&lt;=0,"반납완료",IF($I153&gt;0,"부분반납","미반납"))))</f>
        <v/>
      </c>
    </row>
    <row r="154" customFormat="false" ht="15" hidden="false" customHeight="false" outlineLevel="0" collapsed="false">
      <c r="A154" s="14" t="str">
        <f aca="false">IF($B154="","",TEXT($B154,"yymmdd")&amp;"-"&amp;TEXT(COUNTIFS($B$3:$B154,$B154),"00"))</f>
        <v/>
      </c>
      <c r="B154" s="15"/>
      <c r="C154" s="9"/>
      <c r="D154" s="10"/>
      <c r="E154" s="14" t="str">
        <f aca="false">IF($D154="","",IFERROR(INDEX(품목목록!$B$3:$B$202,MATCH($D154,품목목록!$A$3:$A$202,0)),"미등록품번"))</f>
        <v/>
      </c>
      <c r="F154" s="14" t="str">
        <f aca="false">IF($D154="","",IFERROR(INDEX(품목목록!$D$3:$D$202,MATCH($D154,품목목록!$A$3:$A$202,0)),""))</f>
        <v/>
      </c>
      <c r="G154" s="11"/>
      <c r="H154" s="15"/>
      <c r="I154" s="16" t="str">
        <f aca="false">IF($A154="","",SUMIFS(반납내역!$D$3:$D$1502,반납내역!$B$3:$B$1502,$A154))</f>
        <v/>
      </c>
      <c r="J154" s="16" t="str">
        <f aca="false">IF($A154="","",IF($G154="","",$G154-$I154))</f>
        <v/>
      </c>
      <c r="K154" s="17" t="str">
        <f aca="true">IF(OR($A154="",$J154="",$J154&lt;=0,$H154=""),"",TODAY()-$H154)</f>
        <v/>
      </c>
      <c r="L154" s="14" t="str">
        <f aca="false">IF($A154="","",IF($G154="","",IF($J154&lt;=0,"반납완료",IF($I154&gt;0,"부분반납","미반납"))))</f>
        <v/>
      </c>
    </row>
    <row r="155" customFormat="false" ht="15" hidden="false" customHeight="false" outlineLevel="0" collapsed="false">
      <c r="A155" s="14" t="str">
        <f aca="false">IF($B155="","",TEXT($B155,"yymmdd")&amp;"-"&amp;TEXT(COUNTIFS($B$3:$B155,$B155),"00"))</f>
        <v/>
      </c>
      <c r="B155" s="15"/>
      <c r="C155" s="9"/>
      <c r="D155" s="10"/>
      <c r="E155" s="14" t="str">
        <f aca="false">IF($D155="","",IFERROR(INDEX(품목목록!$B$3:$B$202,MATCH($D155,품목목록!$A$3:$A$202,0)),"미등록품번"))</f>
        <v/>
      </c>
      <c r="F155" s="14" t="str">
        <f aca="false">IF($D155="","",IFERROR(INDEX(품목목록!$D$3:$D$202,MATCH($D155,품목목록!$A$3:$A$202,0)),""))</f>
        <v/>
      </c>
      <c r="G155" s="11"/>
      <c r="H155" s="15"/>
      <c r="I155" s="16" t="str">
        <f aca="false">IF($A155="","",SUMIFS(반납내역!$D$3:$D$1502,반납내역!$B$3:$B$1502,$A155))</f>
        <v/>
      </c>
      <c r="J155" s="16" t="str">
        <f aca="false">IF($A155="","",IF($G155="","",$G155-$I155))</f>
        <v/>
      </c>
      <c r="K155" s="17" t="str">
        <f aca="true">IF(OR($A155="",$J155="",$J155&lt;=0,$H155=""),"",TODAY()-$H155)</f>
        <v/>
      </c>
      <c r="L155" s="14" t="str">
        <f aca="false">IF($A155="","",IF($G155="","",IF($J155&lt;=0,"반납완료",IF($I155&gt;0,"부분반납","미반납"))))</f>
        <v/>
      </c>
    </row>
    <row r="156" customFormat="false" ht="15" hidden="false" customHeight="false" outlineLevel="0" collapsed="false">
      <c r="A156" s="14" t="str">
        <f aca="false">IF($B156="","",TEXT($B156,"yymmdd")&amp;"-"&amp;TEXT(COUNTIFS($B$3:$B156,$B156),"00"))</f>
        <v/>
      </c>
      <c r="B156" s="15"/>
      <c r="C156" s="9"/>
      <c r="D156" s="10"/>
      <c r="E156" s="14" t="str">
        <f aca="false">IF($D156="","",IFERROR(INDEX(품목목록!$B$3:$B$202,MATCH($D156,품목목록!$A$3:$A$202,0)),"미등록품번"))</f>
        <v/>
      </c>
      <c r="F156" s="14" t="str">
        <f aca="false">IF($D156="","",IFERROR(INDEX(품목목록!$D$3:$D$202,MATCH($D156,품목목록!$A$3:$A$202,0)),""))</f>
        <v/>
      </c>
      <c r="G156" s="11"/>
      <c r="H156" s="15"/>
      <c r="I156" s="16" t="str">
        <f aca="false">IF($A156="","",SUMIFS(반납내역!$D$3:$D$1502,반납내역!$B$3:$B$1502,$A156))</f>
        <v/>
      </c>
      <c r="J156" s="16" t="str">
        <f aca="false">IF($A156="","",IF($G156="","",$G156-$I156))</f>
        <v/>
      </c>
      <c r="K156" s="17" t="str">
        <f aca="true">IF(OR($A156="",$J156="",$J156&lt;=0,$H156=""),"",TODAY()-$H156)</f>
        <v/>
      </c>
      <c r="L156" s="14" t="str">
        <f aca="false">IF($A156="","",IF($G156="","",IF($J156&lt;=0,"반납완료",IF($I156&gt;0,"부분반납","미반납"))))</f>
        <v/>
      </c>
    </row>
    <row r="157" customFormat="false" ht="15" hidden="false" customHeight="false" outlineLevel="0" collapsed="false">
      <c r="A157" s="14" t="str">
        <f aca="false">IF($B157="","",TEXT($B157,"yymmdd")&amp;"-"&amp;TEXT(COUNTIFS($B$3:$B157,$B157),"00"))</f>
        <v/>
      </c>
      <c r="B157" s="15"/>
      <c r="C157" s="9"/>
      <c r="D157" s="10"/>
      <c r="E157" s="14" t="str">
        <f aca="false">IF($D157="","",IFERROR(INDEX(품목목록!$B$3:$B$202,MATCH($D157,품목목록!$A$3:$A$202,0)),"미등록품번"))</f>
        <v/>
      </c>
      <c r="F157" s="14" t="str">
        <f aca="false">IF($D157="","",IFERROR(INDEX(품목목록!$D$3:$D$202,MATCH($D157,품목목록!$A$3:$A$202,0)),""))</f>
        <v/>
      </c>
      <c r="G157" s="11"/>
      <c r="H157" s="15"/>
      <c r="I157" s="16" t="str">
        <f aca="false">IF($A157="","",SUMIFS(반납내역!$D$3:$D$1502,반납내역!$B$3:$B$1502,$A157))</f>
        <v/>
      </c>
      <c r="J157" s="16" t="str">
        <f aca="false">IF($A157="","",IF($G157="","",$G157-$I157))</f>
        <v/>
      </c>
      <c r="K157" s="17" t="str">
        <f aca="true">IF(OR($A157="",$J157="",$J157&lt;=0,$H157=""),"",TODAY()-$H157)</f>
        <v/>
      </c>
      <c r="L157" s="14" t="str">
        <f aca="false">IF($A157="","",IF($G157="","",IF($J157&lt;=0,"반납완료",IF($I157&gt;0,"부분반납","미반납"))))</f>
        <v/>
      </c>
    </row>
    <row r="158" customFormat="false" ht="15" hidden="false" customHeight="false" outlineLevel="0" collapsed="false">
      <c r="A158" s="14" t="str">
        <f aca="false">IF($B158="","",TEXT($B158,"yymmdd")&amp;"-"&amp;TEXT(COUNTIFS($B$3:$B158,$B158),"00"))</f>
        <v/>
      </c>
      <c r="B158" s="15"/>
      <c r="C158" s="9"/>
      <c r="D158" s="10"/>
      <c r="E158" s="14" t="str">
        <f aca="false">IF($D158="","",IFERROR(INDEX(품목목록!$B$3:$B$202,MATCH($D158,품목목록!$A$3:$A$202,0)),"미등록품번"))</f>
        <v/>
      </c>
      <c r="F158" s="14" t="str">
        <f aca="false">IF($D158="","",IFERROR(INDEX(품목목록!$D$3:$D$202,MATCH($D158,품목목록!$A$3:$A$202,0)),""))</f>
        <v/>
      </c>
      <c r="G158" s="11"/>
      <c r="H158" s="15"/>
      <c r="I158" s="16" t="str">
        <f aca="false">IF($A158="","",SUMIFS(반납내역!$D$3:$D$1502,반납내역!$B$3:$B$1502,$A158))</f>
        <v/>
      </c>
      <c r="J158" s="16" t="str">
        <f aca="false">IF($A158="","",IF($G158="","",$G158-$I158))</f>
        <v/>
      </c>
      <c r="K158" s="17" t="str">
        <f aca="true">IF(OR($A158="",$J158="",$J158&lt;=0,$H158=""),"",TODAY()-$H158)</f>
        <v/>
      </c>
      <c r="L158" s="14" t="str">
        <f aca="false">IF($A158="","",IF($G158="","",IF($J158&lt;=0,"반납완료",IF($I158&gt;0,"부분반납","미반납"))))</f>
        <v/>
      </c>
    </row>
    <row r="159" customFormat="false" ht="15" hidden="false" customHeight="false" outlineLevel="0" collapsed="false">
      <c r="A159" s="14" t="str">
        <f aca="false">IF($B159="","",TEXT($B159,"yymmdd")&amp;"-"&amp;TEXT(COUNTIFS($B$3:$B159,$B159),"00"))</f>
        <v/>
      </c>
      <c r="B159" s="15"/>
      <c r="C159" s="9"/>
      <c r="D159" s="10"/>
      <c r="E159" s="14" t="str">
        <f aca="false">IF($D159="","",IFERROR(INDEX(품목목록!$B$3:$B$202,MATCH($D159,품목목록!$A$3:$A$202,0)),"미등록품번"))</f>
        <v/>
      </c>
      <c r="F159" s="14" t="str">
        <f aca="false">IF($D159="","",IFERROR(INDEX(품목목록!$D$3:$D$202,MATCH($D159,품목목록!$A$3:$A$202,0)),""))</f>
        <v/>
      </c>
      <c r="G159" s="11"/>
      <c r="H159" s="15"/>
      <c r="I159" s="16" t="str">
        <f aca="false">IF($A159="","",SUMIFS(반납내역!$D$3:$D$1502,반납내역!$B$3:$B$1502,$A159))</f>
        <v/>
      </c>
      <c r="J159" s="16" t="str">
        <f aca="false">IF($A159="","",IF($G159="","",$G159-$I159))</f>
        <v/>
      </c>
      <c r="K159" s="17" t="str">
        <f aca="true">IF(OR($A159="",$J159="",$J159&lt;=0,$H159=""),"",TODAY()-$H159)</f>
        <v/>
      </c>
      <c r="L159" s="14" t="str">
        <f aca="false">IF($A159="","",IF($G159="","",IF($J159&lt;=0,"반납완료",IF($I159&gt;0,"부분반납","미반납"))))</f>
        <v/>
      </c>
    </row>
    <row r="160" customFormat="false" ht="15" hidden="false" customHeight="false" outlineLevel="0" collapsed="false">
      <c r="A160" s="14" t="str">
        <f aca="false">IF($B160="","",TEXT($B160,"yymmdd")&amp;"-"&amp;TEXT(COUNTIFS($B$3:$B160,$B160),"00"))</f>
        <v/>
      </c>
      <c r="B160" s="15"/>
      <c r="C160" s="9"/>
      <c r="D160" s="10"/>
      <c r="E160" s="14" t="str">
        <f aca="false">IF($D160="","",IFERROR(INDEX(품목목록!$B$3:$B$202,MATCH($D160,품목목록!$A$3:$A$202,0)),"미등록품번"))</f>
        <v/>
      </c>
      <c r="F160" s="14" t="str">
        <f aca="false">IF($D160="","",IFERROR(INDEX(품목목록!$D$3:$D$202,MATCH($D160,품목목록!$A$3:$A$202,0)),""))</f>
        <v/>
      </c>
      <c r="G160" s="11"/>
      <c r="H160" s="15"/>
      <c r="I160" s="16" t="str">
        <f aca="false">IF($A160="","",SUMIFS(반납내역!$D$3:$D$1502,반납내역!$B$3:$B$1502,$A160))</f>
        <v/>
      </c>
      <c r="J160" s="16" t="str">
        <f aca="false">IF($A160="","",IF($G160="","",$G160-$I160))</f>
        <v/>
      </c>
      <c r="K160" s="17" t="str">
        <f aca="true">IF(OR($A160="",$J160="",$J160&lt;=0,$H160=""),"",TODAY()-$H160)</f>
        <v/>
      </c>
      <c r="L160" s="14" t="str">
        <f aca="false">IF($A160="","",IF($G160="","",IF($J160&lt;=0,"반납완료",IF($I160&gt;0,"부분반납","미반납"))))</f>
        <v/>
      </c>
    </row>
    <row r="161" customFormat="false" ht="15" hidden="false" customHeight="false" outlineLevel="0" collapsed="false">
      <c r="A161" s="14" t="str">
        <f aca="false">IF($B161="","",TEXT($B161,"yymmdd")&amp;"-"&amp;TEXT(COUNTIFS($B$3:$B161,$B161),"00"))</f>
        <v/>
      </c>
      <c r="B161" s="15"/>
      <c r="C161" s="9"/>
      <c r="D161" s="10"/>
      <c r="E161" s="14" t="str">
        <f aca="false">IF($D161="","",IFERROR(INDEX(품목목록!$B$3:$B$202,MATCH($D161,품목목록!$A$3:$A$202,0)),"미등록품번"))</f>
        <v/>
      </c>
      <c r="F161" s="14" t="str">
        <f aca="false">IF($D161="","",IFERROR(INDEX(품목목록!$D$3:$D$202,MATCH($D161,품목목록!$A$3:$A$202,0)),""))</f>
        <v/>
      </c>
      <c r="G161" s="11"/>
      <c r="H161" s="15"/>
      <c r="I161" s="16" t="str">
        <f aca="false">IF($A161="","",SUMIFS(반납내역!$D$3:$D$1502,반납내역!$B$3:$B$1502,$A161))</f>
        <v/>
      </c>
      <c r="J161" s="16" t="str">
        <f aca="false">IF($A161="","",IF($G161="","",$G161-$I161))</f>
        <v/>
      </c>
      <c r="K161" s="17" t="str">
        <f aca="true">IF(OR($A161="",$J161="",$J161&lt;=0,$H161=""),"",TODAY()-$H161)</f>
        <v/>
      </c>
      <c r="L161" s="14" t="str">
        <f aca="false">IF($A161="","",IF($G161="","",IF($J161&lt;=0,"반납완료",IF($I161&gt;0,"부분반납","미반납"))))</f>
        <v/>
      </c>
    </row>
    <row r="162" customFormat="false" ht="15" hidden="false" customHeight="false" outlineLevel="0" collapsed="false">
      <c r="A162" s="14" t="str">
        <f aca="false">IF($B162="","",TEXT($B162,"yymmdd")&amp;"-"&amp;TEXT(COUNTIFS($B$3:$B162,$B162),"00"))</f>
        <v/>
      </c>
      <c r="B162" s="15"/>
      <c r="C162" s="9"/>
      <c r="D162" s="10"/>
      <c r="E162" s="14" t="str">
        <f aca="false">IF($D162="","",IFERROR(INDEX(품목목록!$B$3:$B$202,MATCH($D162,품목목록!$A$3:$A$202,0)),"미등록품번"))</f>
        <v/>
      </c>
      <c r="F162" s="14" t="str">
        <f aca="false">IF($D162="","",IFERROR(INDEX(품목목록!$D$3:$D$202,MATCH($D162,품목목록!$A$3:$A$202,0)),""))</f>
        <v/>
      </c>
      <c r="G162" s="11"/>
      <c r="H162" s="15"/>
      <c r="I162" s="16" t="str">
        <f aca="false">IF($A162="","",SUMIFS(반납내역!$D$3:$D$1502,반납내역!$B$3:$B$1502,$A162))</f>
        <v/>
      </c>
      <c r="J162" s="16" t="str">
        <f aca="false">IF($A162="","",IF($G162="","",$G162-$I162))</f>
        <v/>
      </c>
      <c r="K162" s="17" t="str">
        <f aca="true">IF(OR($A162="",$J162="",$J162&lt;=0,$H162=""),"",TODAY()-$H162)</f>
        <v/>
      </c>
      <c r="L162" s="14" t="str">
        <f aca="false">IF($A162="","",IF($G162="","",IF($J162&lt;=0,"반납완료",IF($I162&gt;0,"부분반납","미반납"))))</f>
        <v/>
      </c>
    </row>
    <row r="163" customFormat="false" ht="15" hidden="false" customHeight="false" outlineLevel="0" collapsed="false">
      <c r="A163" s="14" t="str">
        <f aca="false">IF($B163="","",TEXT($B163,"yymmdd")&amp;"-"&amp;TEXT(COUNTIFS($B$3:$B163,$B163),"00"))</f>
        <v/>
      </c>
      <c r="B163" s="15"/>
      <c r="C163" s="9"/>
      <c r="D163" s="10"/>
      <c r="E163" s="14" t="str">
        <f aca="false">IF($D163="","",IFERROR(INDEX(품목목록!$B$3:$B$202,MATCH($D163,품목목록!$A$3:$A$202,0)),"미등록품번"))</f>
        <v/>
      </c>
      <c r="F163" s="14" t="str">
        <f aca="false">IF($D163="","",IFERROR(INDEX(품목목록!$D$3:$D$202,MATCH($D163,품목목록!$A$3:$A$202,0)),""))</f>
        <v/>
      </c>
      <c r="G163" s="11"/>
      <c r="H163" s="15"/>
      <c r="I163" s="16" t="str">
        <f aca="false">IF($A163="","",SUMIFS(반납내역!$D$3:$D$1502,반납내역!$B$3:$B$1502,$A163))</f>
        <v/>
      </c>
      <c r="J163" s="16" t="str">
        <f aca="false">IF($A163="","",IF($G163="","",$G163-$I163))</f>
        <v/>
      </c>
      <c r="K163" s="17" t="str">
        <f aca="true">IF(OR($A163="",$J163="",$J163&lt;=0,$H163=""),"",TODAY()-$H163)</f>
        <v/>
      </c>
      <c r="L163" s="14" t="str">
        <f aca="false">IF($A163="","",IF($G163="","",IF($J163&lt;=0,"반납완료",IF($I163&gt;0,"부분반납","미반납"))))</f>
        <v/>
      </c>
    </row>
    <row r="164" customFormat="false" ht="15" hidden="false" customHeight="false" outlineLevel="0" collapsed="false">
      <c r="A164" s="14" t="str">
        <f aca="false">IF($B164="","",TEXT($B164,"yymmdd")&amp;"-"&amp;TEXT(COUNTIFS($B$3:$B164,$B164),"00"))</f>
        <v/>
      </c>
      <c r="B164" s="15"/>
      <c r="C164" s="9"/>
      <c r="D164" s="10"/>
      <c r="E164" s="14" t="str">
        <f aca="false">IF($D164="","",IFERROR(INDEX(품목목록!$B$3:$B$202,MATCH($D164,품목목록!$A$3:$A$202,0)),"미등록품번"))</f>
        <v/>
      </c>
      <c r="F164" s="14" t="str">
        <f aca="false">IF($D164="","",IFERROR(INDEX(품목목록!$D$3:$D$202,MATCH($D164,품목목록!$A$3:$A$202,0)),""))</f>
        <v/>
      </c>
      <c r="G164" s="11"/>
      <c r="H164" s="15"/>
      <c r="I164" s="16" t="str">
        <f aca="false">IF($A164="","",SUMIFS(반납내역!$D$3:$D$1502,반납내역!$B$3:$B$1502,$A164))</f>
        <v/>
      </c>
      <c r="J164" s="16" t="str">
        <f aca="false">IF($A164="","",IF($G164="","",$G164-$I164))</f>
        <v/>
      </c>
      <c r="K164" s="17" t="str">
        <f aca="true">IF(OR($A164="",$J164="",$J164&lt;=0,$H164=""),"",TODAY()-$H164)</f>
        <v/>
      </c>
      <c r="L164" s="14" t="str">
        <f aca="false">IF($A164="","",IF($G164="","",IF($J164&lt;=0,"반납완료",IF($I164&gt;0,"부분반납","미반납"))))</f>
        <v/>
      </c>
    </row>
    <row r="165" customFormat="false" ht="15" hidden="false" customHeight="false" outlineLevel="0" collapsed="false">
      <c r="A165" s="14" t="str">
        <f aca="false">IF($B165="","",TEXT($B165,"yymmdd")&amp;"-"&amp;TEXT(COUNTIFS($B$3:$B165,$B165),"00"))</f>
        <v/>
      </c>
      <c r="B165" s="15"/>
      <c r="C165" s="9"/>
      <c r="D165" s="10"/>
      <c r="E165" s="14" t="str">
        <f aca="false">IF($D165="","",IFERROR(INDEX(품목목록!$B$3:$B$202,MATCH($D165,품목목록!$A$3:$A$202,0)),"미등록품번"))</f>
        <v/>
      </c>
      <c r="F165" s="14" t="str">
        <f aca="false">IF($D165="","",IFERROR(INDEX(품목목록!$D$3:$D$202,MATCH($D165,품목목록!$A$3:$A$202,0)),""))</f>
        <v/>
      </c>
      <c r="G165" s="11"/>
      <c r="H165" s="15"/>
      <c r="I165" s="16" t="str">
        <f aca="false">IF($A165="","",SUMIFS(반납내역!$D$3:$D$1502,반납내역!$B$3:$B$1502,$A165))</f>
        <v/>
      </c>
      <c r="J165" s="16" t="str">
        <f aca="false">IF($A165="","",IF($G165="","",$G165-$I165))</f>
        <v/>
      </c>
      <c r="K165" s="17" t="str">
        <f aca="true">IF(OR($A165="",$J165="",$J165&lt;=0,$H165=""),"",TODAY()-$H165)</f>
        <v/>
      </c>
      <c r="L165" s="14" t="str">
        <f aca="false">IF($A165="","",IF($G165="","",IF($J165&lt;=0,"반납완료",IF($I165&gt;0,"부분반납","미반납"))))</f>
        <v/>
      </c>
    </row>
    <row r="166" customFormat="false" ht="15" hidden="false" customHeight="false" outlineLevel="0" collapsed="false">
      <c r="A166" s="14" t="str">
        <f aca="false">IF($B166="","",TEXT($B166,"yymmdd")&amp;"-"&amp;TEXT(COUNTIFS($B$3:$B166,$B166),"00"))</f>
        <v/>
      </c>
      <c r="B166" s="15"/>
      <c r="C166" s="9"/>
      <c r="D166" s="10"/>
      <c r="E166" s="14" t="str">
        <f aca="false">IF($D166="","",IFERROR(INDEX(품목목록!$B$3:$B$202,MATCH($D166,품목목록!$A$3:$A$202,0)),"미등록품번"))</f>
        <v/>
      </c>
      <c r="F166" s="14" t="str">
        <f aca="false">IF($D166="","",IFERROR(INDEX(품목목록!$D$3:$D$202,MATCH($D166,품목목록!$A$3:$A$202,0)),""))</f>
        <v/>
      </c>
      <c r="G166" s="11"/>
      <c r="H166" s="15"/>
      <c r="I166" s="16" t="str">
        <f aca="false">IF($A166="","",SUMIFS(반납내역!$D$3:$D$1502,반납내역!$B$3:$B$1502,$A166))</f>
        <v/>
      </c>
      <c r="J166" s="16" t="str">
        <f aca="false">IF($A166="","",IF($G166="","",$G166-$I166))</f>
        <v/>
      </c>
      <c r="K166" s="17" t="str">
        <f aca="true">IF(OR($A166="",$J166="",$J166&lt;=0,$H166=""),"",TODAY()-$H166)</f>
        <v/>
      </c>
      <c r="L166" s="14" t="str">
        <f aca="false">IF($A166="","",IF($G166="","",IF($J166&lt;=0,"반납완료",IF($I166&gt;0,"부분반납","미반납"))))</f>
        <v/>
      </c>
    </row>
    <row r="167" customFormat="false" ht="15" hidden="false" customHeight="false" outlineLevel="0" collapsed="false">
      <c r="A167" s="14" t="str">
        <f aca="false">IF($B167="","",TEXT($B167,"yymmdd")&amp;"-"&amp;TEXT(COUNTIFS($B$3:$B167,$B167),"00"))</f>
        <v/>
      </c>
      <c r="B167" s="15"/>
      <c r="C167" s="9"/>
      <c r="D167" s="10"/>
      <c r="E167" s="14" t="str">
        <f aca="false">IF($D167="","",IFERROR(INDEX(품목목록!$B$3:$B$202,MATCH($D167,품목목록!$A$3:$A$202,0)),"미등록품번"))</f>
        <v/>
      </c>
      <c r="F167" s="14" t="str">
        <f aca="false">IF($D167="","",IFERROR(INDEX(품목목록!$D$3:$D$202,MATCH($D167,품목목록!$A$3:$A$202,0)),""))</f>
        <v/>
      </c>
      <c r="G167" s="11"/>
      <c r="H167" s="15"/>
      <c r="I167" s="16" t="str">
        <f aca="false">IF($A167="","",SUMIFS(반납내역!$D$3:$D$1502,반납내역!$B$3:$B$1502,$A167))</f>
        <v/>
      </c>
      <c r="J167" s="16" t="str">
        <f aca="false">IF($A167="","",IF($G167="","",$G167-$I167))</f>
        <v/>
      </c>
      <c r="K167" s="17" t="str">
        <f aca="true">IF(OR($A167="",$J167="",$J167&lt;=0,$H167=""),"",TODAY()-$H167)</f>
        <v/>
      </c>
      <c r="L167" s="14" t="str">
        <f aca="false">IF($A167="","",IF($G167="","",IF($J167&lt;=0,"반납완료",IF($I167&gt;0,"부분반납","미반납"))))</f>
        <v/>
      </c>
    </row>
    <row r="168" customFormat="false" ht="15" hidden="false" customHeight="false" outlineLevel="0" collapsed="false">
      <c r="A168" s="14" t="str">
        <f aca="false">IF($B168="","",TEXT($B168,"yymmdd")&amp;"-"&amp;TEXT(COUNTIFS($B$3:$B168,$B168),"00"))</f>
        <v/>
      </c>
      <c r="B168" s="15"/>
      <c r="C168" s="9"/>
      <c r="D168" s="10"/>
      <c r="E168" s="14" t="str">
        <f aca="false">IF($D168="","",IFERROR(INDEX(품목목록!$B$3:$B$202,MATCH($D168,품목목록!$A$3:$A$202,0)),"미등록품번"))</f>
        <v/>
      </c>
      <c r="F168" s="14" t="str">
        <f aca="false">IF($D168="","",IFERROR(INDEX(품목목록!$D$3:$D$202,MATCH($D168,품목목록!$A$3:$A$202,0)),""))</f>
        <v/>
      </c>
      <c r="G168" s="11"/>
      <c r="H168" s="15"/>
      <c r="I168" s="16" t="str">
        <f aca="false">IF($A168="","",SUMIFS(반납내역!$D$3:$D$1502,반납내역!$B$3:$B$1502,$A168))</f>
        <v/>
      </c>
      <c r="J168" s="16" t="str">
        <f aca="false">IF($A168="","",IF($G168="","",$G168-$I168))</f>
        <v/>
      </c>
      <c r="K168" s="17" t="str">
        <f aca="true">IF(OR($A168="",$J168="",$J168&lt;=0,$H168=""),"",TODAY()-$H168)</f>
        <v/>
      </c>
      <c r="L168" s="14" t="str">
        <f aca="false">IF($A168="","",IF($G168="","",IF($J168&lt;=0,"반납완료",IF($I168&gt;0,"부분반납","미반납"))))</f>
        <v/>
      </c>
    </row>
    <row r="169" customFormat="false" ht="15" hidden="false" customHeight="false" outlineLevel="0" collapsed="false">
      <c r="A169" s="14" t="str">
        <f aca="false">IF($B169="","",TEXT($B169,"yymmdd")&amp;"-"&amp;TEXT(COUNTIFS($B$3:$B169,$B169),"00"))</f>
        <v/>
      </c>
      <c r="B169" s="15"/>
      <c r="C169" s="9"/>
      <c r="D169" s="10"/>
      <c r="E169" s="14" t="str">
        <f aca="false">IF($D169="","",IFERROR(INDEX(품목목록!$B$3:$B$202,MATCH($D169,품목목록!$A$3:$A$202,0)),"미등록품번"))</f>
        <v/>
      </c>
      <c r="F169" s="14" t="str">
        <f aca="false">IF($D169="","",IFERROR(INDEX(품목목록!$D$3:$D$202,MATCH($D169,품목목록!$A$3:$A$202,0)),""))</f>
        <v/>
      </c>
      <c r="G169" s="11"/>
      <c r="H169" s="15"/>
      <c r="I169" s="16" t="str">
        <f aca="false">IF($A169="","",SUMIFS(반납내역!$D$3:$D$1502,반납내역!$B$3:$B$1502,$A169))</f>
        <v/>
      </c>
      <c r="J169" s="16" t="str">
        <f aca="false">IF($A169="","",IF($G169="","",$G169-$I169))</f>
        <v/>
      </c>
      <c r="K169" s="17" t="str">
        <f aca="true">IF(OR($A169="",$J169="",$J169&lt;=0,$H169=""),"",TODAY()-$H169)</f>
        <v/>
      </c>
      <c r="L169" s="14" t="str">
        <f aca="false">IF($A169="","",IF($G169="","",IF($J169&lt;=0,"반납완료",IF($I169&gt;0,"부분반납","미반납"))))</f>
        <v/>
      </c>
    </row>
    <row r="170" customFormat="false" ht="15" hidden="false" customHeight="false" outlineLevel="0" collapsed="false">
      <c r="A170" s="14" t="str">
        <f aca="false">IF($B170="","",TEXT($B170,"yymmdd")&amp;"-"&amp;TEXT(COUNTIFS($B$3:$B170,$B170),"00"))</f>
        <v/>
      </c>
      <c r="B170" s="15"/>
      <c r="C170" s="9"/>
      <c r="D170" s="10"/>
      <c r="E170" s="14" t="str">
        <f aca="false">IF($D170="","",IFERROR(INDEX(품목목록!$B$3:$B$202,MATCH($D170,품목목록!$A$3:$A$202,0)),"미등록품번"))</f>
        <v/>
      </c>
      <c r="F170" s="14" t="str">
        <f aca="false">IF($D170="","",IFERROR(INDEX(품목목록!$D$3:$D$202,MATCH($D170,품목목록!$A$3:$A$202,0)),""))</f>
        <v/>
      </c>
      <c r="G170" s="11"/>
      <c r="H170" s="15"/>
      <c r="I170" s="16" t="str">
        <f aca="false">IF($A170="","",SUMIFS(반납내역!$D$3:$D$1502,반납내역!$B$3:$B$1502,$A170))</f>
        <v/>
      </c>
      <c r="J170" s="16" t="str">
        <f aca="false">IF($A170="","",IF($G170="","",$G170-$I170))</f>
        <v/>
      </c>
      <c r="K170" s="17" t="str">
        <f aca="true">IF(OR($A170="",$J170="",$J170&lt;=0,$H170=""),"",TODAY()-$H170)</f>
        <v/>
      </c>
      <c r="L170" s="14" t="str">
        <f aca="false">IF($A170="","",IF($G170="","",IF($J170&lt;=0,"반납완료",IF($I170&gt;0,"부분반납","미반납"))))</f>
        <v/>
      </c>
    </row>
    <row r="171" customFormat="false" ht="15" hidden="false" customHeight="false" outlineLevel="0" collapsed="false">
      <c r="A171" s="14" t="str">
        <f aca="false">IF($B171="","",TEXT($B171,"yymmdd")&amp;"-"&amp;TEXT(COUNTIFS($B$3:$B171,$B171),"00"))</f>
        <v/>
      </c>
      <c r="B171" s="15"/>
      <c r="C171" s="9"/>
      <c r="D171" s="10"/>
      <c r="E171" s="14" t="str">
        <f aca="false">IF($D171="","",IFERROR(INDEX(품목목록!$B$3:$B$202,MATCH($D171,품목목록!$A$3:$A$202,0)),"미등록품번"))</f>
        <v/>
      </c>
      <c r="F171" s="14" t="str">
        <f aca="false">IF($D171="","",IFERROR(INDEX(품목목록!$D$3:$D$202,MATCH($D171,품목목록!$A$3:$A$202,0)),""))</f>
        <v/>
      </c>
      <c r="G171" s="11"/>
      <c r="H171" s="15"/>
      <c r="I171" s="16" t="str">
        <f aca="false">IF($A171="","",SUMIFS(반납내역!$D$3:$D$1502,반납내역!$B$3:$B$1502,$A171))</f>
        <v/>
      </c>
      <c r="J171" s="16" t="str">
        <f aca="false">IF($A171="","",IF($G171="","",$G171-$I171))</f>
        <v/>
      </c>
      <c r="K171" s="17" t="str">
        <f aca="true">IF(OR($A171="",$J171="",$J171&lt;=0,$H171=""),"",TODAY()-$H171)</f>
        <v/>
      </c>
      <c r="L171" s="14" t="str">
        <f aca="false">IF($A171="","",IF($G171="","",IF($J171&lt;=0,"반납완료",IF($I171&gt;0,"부분반납","미반납"))))</f>
        <v/>
      </c>
    </row>
    <row r="172" customFormat="false" ht="15" hidden="false" customHeight="false" outlineLevel="0" collapsed="false">
      <c r="A172" s="14" t="str">
        <f aca="false">IF($B172="","",TEXT($B172,"yymmdd")&amp;"-"&amp;TEXT(COUNTIFS($B$3:$B172,$B172),"00"))</f>
        <v/>
      </c>
      <c r="B172" s="15"/>
      <c r="C172" s="9"/>
      <c r="D172" s="10"/>
      <c r="E172" s="14" t="str">
        <f aca="false">IF($D172="","",IFERROR(INDEX(품목목록!$B$3:$B$202,MATCH($D172,품목목록!$A$3:$A$202,0)),"미등록품번"))</f>
        <v/>
      </c>
      <c r="F172" s="14" t="str">
        <f aca="false">IF($D172="","",IFERROR(INDEX(품목목록!$D$3:$D$202,MATCH($D172,품목목록!$A$3:$A$202,0)),""))</f>
        <v/>
      </c>
      <c r="G172" s="11"/>
      <c r="H172" s="15"/>
      <c r="I172" s="16" t="str">
        <f aca="false">IF($A172="","",SUMIFS(반납내역!$D$3:$D$1502,반납내역!$B$3:$B$1502,$A172))</f>
        <v/>
      </c>
      <c r="J172" s="16" t="str">
        <f aca="false">IF($A172="","",IF($G172="","",$G172-$I172))</f>
        <v/>
      </c>
      <c r="K172" s="17" t="str">
        <f aca="true">IF(OR($A172="",$J172="",$J172&lt;=0,$H172=""),"",TODAY()-$H172)</f>
        <v/>
      </c>
      <c r="L172" s="14" t="str">
        <f aca="false">IF($A172="","",IF($G172="","",IF($J172&lt;=0,"반납완료",IF($I172&gt;0,"부분반납","미반납"))))</f>
        <v/>
      </c>
    </row>
    <row r="173" customFormat="false" ht="15" hidden="false" customHeight="false" outlineLevel="0" collapsed="false">
      <c r="A173" s="14" t="str">
        <f aca="false">IF($B173="","",TEXT($B173,"yymmdd")&amp;"-"&amp;TEXT(COUNTIFS($B$3:$B173,$B173),"00"))</f>
        <v/>
      </c>
      <c r="B173" s="15"/>
      <c r="C173" s="9"/>
      <c r="D173" s="10"/>
      <c r="E173" s="14" t="str">
        <f aca="false">IF($D173="","",IFERROR(INDEX(품목목록!$B$3:$B$202,MATCH($D173,품목목록!$A$3:$A$202,0)),"미등록품번"))</f>
        <v/>
      </c>
      <c r="F173" s="14" t="str">
        <f aca="false">IF($D173="","",IFERROR(INDEX(품목목록!$D$3:$D$202,MATCH($D173,품목목록!$A$3:$A$202,0)),""))</f>
        <v/>
      </c>
      <c r="G173" s="11"/>
      <c r="H173" s="15"/>
      <c r="I173" s="16" t="str">
        <f aca="false">IF($A173="","",SUMIFS(반납내역!$D$3:$D$1502,반납내역!$B$3:$B$1502,$A173))</f>
        <v/>
      </c>
      <c r="J173" s="16" t="str">
        <f aca="false">IF($A173="","",IF($G173="","",$G173-$I173))</f>
        <v/>
      </c>
      <c r="K173" s="17" t="str">
        <f aca="true">IF(OR($A173="",$J173="",$J173&lt;=0,$H173=""),"",TODAY()-$H173)</f>
        <v/>
      </c>
      <c r="L173" s="14" t="str">
        <f aca="false">IF($A173="","",IF($G173="","",IF($J173&lt;=0,"반납완료",IF($I173&gt;0,"부분반납","미반납"))))</f>
        <v/>
      </c>
    </row>
    <row r="174" customFormat="false" ht="15" hidden="false" customHeight="false" outlineLevel="0" collapsed="false">
      <c r="A174" s="14" t="str">
        <f aca="false">IF($B174="","",TEXT($B174,"yymmdd")&amp;"-"&amp;TEXT(COUNTIFS($B$3:$B174,$B174),"00"))</f>
        <v/>
      </c>
      <c r="B174" s="15"/>
      <c r="C174" s="9"/>
      <c r="D174" s="10"/>
      <c r="E174" s="14" t="str">
        <f aca="false">IF($D174="","",IFERROR(INDEX(품목목록!$B$3:$B$202,MATCH($D174,품목목록!$A$3:$A$202,0)),"미등록품번"))</f>
        <v/>
      </c>
      <c r="F174" s="14" t="str">
        <f aca="false">IF($D174="","",IFERROR(INDEX(품목목록!$D$3:$D$202,MATCH($D174,품목목록!$A$3:$A$202,0)),""))</f>
        <v/>
      </c>
      <c r="G174" s="11"/>
      <c r="H174" s="15"/>
      <c r="I174" s="16" t="str">
        <f aca="false">IF($A174="","",SUMIFS(반납내역!$D$3:$D$1502,반납내역!$B$3:$B$1502,$A174))</f>
        <v/>
      </c>
      <c r="J174" s="16" t="str">
        <f aca="false">IF($A174="","",IF($G174="","",$G174-$I174))</f>
        <v/>
      </c>
      <c r="K174" s="17" t="str">
        <f aca="true">IF(OR($A174="",$J174="",$J174&lt;=0,$H174=""),"",TODAY()-$H174)</f>
        <v/>
      </c>
      <c r="L174" s="14" t="str">
        <f aca="false">IF($A174="","",IF($G174="","",IF($J174&lt;=0,"반납완료",IF($I174&gt;0,"부분반납","미반납"))))</f>
        <v/>
      </c>
    </row>
    <row r="175" customFormat="false" ht="15" hidden="false" customHeight="false" outlineLevel="0" collapsed="false">
      <c r="A175" s="14" t="str">
        <f aca="false">IF($B175="","",TEXT($B175,"yymmdd")&amp;"-"&amp;TEXT(COUNTIFS($B$3:$B175,$B175),"00"))</f>
        <v/>
      </c>
      <c r="B175" s="15"/>
      <c r="C175" s="9"/>
      <c r="D175" s="10"/>
      <c r="E175" s="14" t="str">
        <f aca="false">IF($D175="","",IFERROR(INDEX(품목목록!$B$3:$B$202,MATCH($D175,품목목록!$A$3:$A$202,0)),"미등록품번"))</f>
        <v/>
      </c>
      <c r="F175" s="14" t="str">
        <f aca="false">IF($D175="","",IFERROR(INDEX(품목목록!$D$3:$D$202,MATCH($D175,품목목록!$A$3:$A$202,0)),""))</f>
        <v/>
      </c>
      <c r="G175" s="11"/>
      <c r="H175" s="15"/>
      <c r="I175" s="16" t="str">
        <f aca="false">IF($A175="","",SUMIFS(반납내역!$D$3:$D$1502,반납내역!$B$3:$B$1502,$A175))</f>
        <v/>
      </c>
      <c r="J175" s="16" t="str">
        <f aca="false">IF($A175="","",IF($G175="","",$G175-$I175))</f>
        <v/>
      </c>
      <c r="K175" s="17" t="str">
        <f aca="true">IF(OR($A175="",$J175="",$J175&lt;=0,$H175=""),"",TODAY()-$H175)</f>
        <v/>
      </c>
      <c r="L175" s="14" t="str">
        <f aca="false">IF($A175="","",IF($G175="","",IF($J175&lt;=0,"반납완료",IF($I175&gt;0,"부분반납","미반납"))))</f>
        <v/>
      </c>
    </row>
    <row r="176" customFormat="false" ht="15" hidden="false" customHeight="false" outlineLevel="0" collapsed="false">
      <c r="A176" s="14" t="str">
        <f aca="false">IF($B176="","",TEXT($B176,"yymmdd")&amp;"-"&amp;TEXT(COUNTIFS($B$3:$B176,$B176),"00"))</f>
        <v/>
      </c>
      <c r="B176" s="15"/>
      <c r="C176" s="9"/>
      <c r="D176" s="10"/>
      <c r="E176" s="14" t="str">
        <f aca="false">IF($D176="","",IFERROR(INDEX(품목목록!$B$3:$B$202,MATCH($D176,품목목록!$A$3:$A$202,0)),"미등록품번"))</f>
        <v/>
      </c>
      <c r="F176" s="14" t="str">
        <f aca="false">IF($D176="","",IFERROR(INDEX(품목목록!$D$3:$D$202,MATCH($D176,품목목록!$A$3:$A$202,0)),""))</f>
        <v/>
      </c>
      <c r="G176" s="11"/>
      <c r="H176" s="15"/>
      <c r="I176" s="16" t="str">
        <f aca="false">IF($A176="","",SUMIFS(반납내역!$D$3:$D$1502,반납내역!$B$3:$B$1502,$A176))</f>
        <v/>
      </c>
      <c r="J176" s="16" t="str">
        <f aca="false">IF($A176="","",IF($G176="","",$G176-$I176))</f>
        <v/>
      </c>
      <c r="K176" s="17" t="str">
        <f aca="true">IF(OR($A176="",$J176="",$J176&lt;=0,$H176=""),"",TODAY()-$H176)</f>
        <v/>
      </c>
      <c r="L176" s="14" t="str">
        <f aca="false">IF($A176="","",IF($G176="","",IF($J176&lt;=0,"반납완료",IF($I176&gt;0,"부분반납","미반납"))))</f>
        <v/>
      </c>
    </row>
    <row r="177" customFormat="false" ht="15" hidden="false" customHeight="false" outlineLevel="0" collapsed="false">
      <c r="A177" s="14" t="str">
        <f aca="false">IF($B177="","",TEXT($B177,"yymmdd")&amp;"-"&amp;TEXT(COUNTIFS($B$3:$B177,$B177),"00"))</f>
        <v/>
      </c>
      <c r="B177" s="15"/>
      <c r="C177" s="9"/>
      <c r="D177" s="10"/>
      <c r="E177" s="14" t="str">
        <f aca="false">IF($D177="","",IFERROR(INDEX(품목목록!$B$3:$B$202,MATCH($D177,품목목록!$A$3:$A$202,0)),"미등록품번"))</f>
        <v/>
      </c>
      <c r="F177" s="14" t="str">
        <f aca="false">IF($D177="","",IFERROR(INDEX(품목목록!$D$3:$D$202,MATCH($D177,품목목록!$A$3:$A$202,0)),""))</f>
        <v/>
      </c>
      <c r="G177" s="11"/>
      <c r="H177" s="15"/>
      <c r="I177" s="16" t="str">
        <f aca="false">IF($A177="","",SUMIFS(반납내역!$D$3:$D$1502,반납내역!$B$3:$B$1502,$A177))</f>
        <v/>
      </c>
      <c r="J177" s="16" t="str">
        <f aca="false">IF($A177="","",IF($G177="","",$G177-$I177))</f>
        <v/>
      </c>
      <c r="K177" s="17" t="str">
        <f aca="true">IF(OR($A177="",$J177="",$J177&lt;=0,$H177=""),"",TODAY()-$H177)</f>
        <v/>
      </c>
      <c r="L177" s="14" t="str">
        <f aca="false">IF($A177="","",IF($G177="","",IF($J177&lt;=0,"반납완료",IF($I177&gt;0,"부분반납","미반납"))))</f>
        <v/>
      </c>
    </row>
    <row r="178" customFormat="false" ht="15" hidden="false" customHeight="false" outlineLevel="0" collapsed="false">
      <c r="A178" s="14" t="str">
        <f aca="false">IF($B178="","",TEXT($B178,"yymmdd")&amp;"-"&amp;TEXT(COUNTIFS($B$3:$B178,$B178),"00"))</f>
        <v/>
      </c>
      <c r="B178" s="15"/>
      <c r="C178" s="9"/>
      <c r="D178" s="10"/>
      <c r="E178" s="14" t="str">
        <f aca="false">IF($D178="","",IFERROR(INDEX(품목목록!$B$3:$B$202,MATCH($D178,품목목록!$A$3:$A$202,0)),"미등록품번"))</f>
        <v/>
      </c>
      <c r="F178" s="14" t="str">
        <f aca="false">IF($D178="","",IFERROR(INDEX(품목목록!$D$3:$D$202,MATCH($D178,품목목록!$A$3:$A$202,0)),""))</f>
        <v/>
      </c>
      <c r="G178" s="11"/>
      <c r="H178" s="15"/>
      <c r="I178" s="16" t="str">
        <f aca="false">IF($A178="","",SUMIFS(반납내역!$D$3:$D$1502,반납내역!$B$3:$B$1502,$A178))</f>
        <v/>
      </c>
      <c r="J178" s="16" t="str">
        <f aca="false">IF($A178="","",IF($G178="","",$G178-$I178))</f>
        <v/>
      </c>
      <c r="K178" s="17" t="str">
        <f aca="true">IF(OR($A178="",$J178="",$J178&lt;=0,$H178=""),"",TODAY()-$H178)</f>
        <v/>
      </c>
      <c r="L178" s="14" t="str">
        <f aca="false">IF($A178="","",IF($G178="","",IF($J178&lt;=0,"반납완료",IF($I178&gt;0,"부분반납","미반납"))))</f>
        <v/>
      </c>
    </row>
    <row r="179" customFormat="false" ht="15" hidden="false" customHeight="false" outlineLevel="0" collapsed="false">
      <c r="A179" s="14" t="str">
        <f aca="false">IF($B179="","",TEXT($B179,"yymmdd")&amp;"-"&amp;TEXT(COUNTIFS($B$3:$B179,$B179),"00"))</f>
        <v/>
      </c>
      <c r="B179" s="15"/>
      <c r="C179" s="9"/>
      <c r="D179" s="10"/>
      <c r="E179" s="14" t="str">
        <f aca="false">IF($D179="","",IFERROR(INDEX(품목목록!$B$3:$B$202,MATCH($D179,품목목록!$A$3:$A$202,0)),"미등록품번"))</f>
        <v/>
      </c>
      <c r="F179" s="14" t="str">
        <f aca="false">IF($D179="","",IFERROR(INDEX(품목목록!$D$3:$D$202,MATCH($D179,품목목록!$A$3:$A$202,0)),""))</f>
        <v/>
      </c>
      <c r="G179" s="11"/>
      <c r="H179" s="15"/>
      <c r="I179" s="16" t="str">
        <f aca="false">IF($A179="","",SUMIFS(반납내역!$D$3:$D$1502,반납내역!$B$3:$B$1502,$A179))</f>
        <v/>
      </c>
      <c r="J179" s="16" t="str">
        <f aca="false">IF($A179="","",IF($G179="","",$G179-$I179))</f>
        <v/>
      </c>
      <c r="K179" s="17" t="str">
        <f aca="true">IF(OR($A179="",$J179="",$J179&lt;=0,$H179=""),"",TODAY()-$H179)</f>
        <v/>
      </c>
      <c r="L179" s="14" t="str">
        <f aca="false">IF($A179="","",IF($G179="","",IF($J179&lt;=0,"반납완료",IF($I179&gt;0,"부분반납","미반납"))))</f>
        <v/>
      </c>
    </row>
    <row r="180" customFormat="false" ht="15" hidden="false" customHeight="false" outlineLevel="0" collapsed="false">
      <c r="A180" s="14" t="str">
        <f aca="false">IF($B180="","",TEXT($B180,"yymmdd")&amp;"-"&amp;TEXT(COUNTIFS($B$3:$B180,$B180),"00"))</f>
        <v/>
      </c>
      <c r="B180" s="15"/>
      <c r="C180" s="9"/>
      <c r="D180" s="10"/>
      <c r="E180" s="14" t="str">
        <f aca="false">IF($D180="","",IFERROR(INDEX(품목목록!$B$3:$B$202,MATCH($D180,품목목록!$A$3:$A$202,0)),"미등록품번"))</f>
        <v/>
      </c>
      <c r="F180" s="14" t="str">
        <f aca="false">IF($D180="","",IFERROR(INDEX(품목목록!$D$3:$D$202,MATCH($D180,품목목록!$A$3:$A$202,0)),""))</f>
        <v/>
      </c>
      <c r="G180" s="11"/>
      <c r="H180" s="15"/>
      <c r="I180" s="16" t="str">
        <f aca="false">IF($A180="","",SUMIFS(반납내역!$D$3:$D$1502,반납내역!$B$3:$B$1502,$A180))</f>
        <v/>
      </c>
      <c r="J180" s="16" t="str">
        <f aca="false">IF($A180="","",IF($G180="","",$G180-$I180))</f>
        <v/>
      </c>
      <c r="K180" s="17" t="str">
        <f aca="true">IF(OR($A180="",$J180="",$J180&lt;=0,$H180=""),"",TODAY()-$H180)</f>
        <v/>
      </c>
      <c r="L180" s="14" t="str">
        <f aca="false">IF($A180="","",IF($G180="","",IF($J180&lt;=0,"반납완료",IF($I180&gt;0,"부분반납","미반납"))))</f>
        <v/>
      </c>
    </row>
    <row r="181" customFormat="false" ht="15" hidden="false" customHeight="false" outlineLevel="0" collapsed="false">
      <c r="A181" s="14" t="str">
        <f aca="false">IF($B181="","",TEXT($B181,"yymmdd")&amp;"-"&amp;TEXT(COUNTIFS($B$3:$B181,$B181),"00"))</f>
        <v/>
      </c>
      <c r="B181" s="15"/>
      <c r="C181" s="9"/>
      <c r="D181" s="10"/>
      <c r="E181" s="14" t="str">
        <f aca="false">IF($D181="","",IFERROR(INDEX(품목목록!$B$3:$B$202,MATCH($D181,품목목록!$A$3:$A$202,0)),"미등록품번"))</f>
        <v/>
      </c>
      <c r="F181" s="14" t="str">
        <f aca="false">IF($D181="","",IFERROR(INDEX(품목목록!$D$3:$D$202,MATCH($D181,품목목록!$A$3:$A$202,0)),""))</f>
        <v/>
      </c>
      <c r="G181" s="11"/>
      <c r="H181" s="15"/>
      <c r="I181" s="16" t="str">
        <f aca="false">IF($A181="","",SUMIFS(반납내역!$D$3:$D$1502,반납내역!$B$3:$B$1502,$A181))</f>
        <v/>
      </c>
      <c r="J181" s="16" t="str">
        <f aca="false">IF($A181="","",IF($G181="","",$G181-$I181))</f>
        <v/>
      </c>
      <c r="K181" s="17" t="str">
        <f aca="true">IF(OR($A181="",$J181="",$J181&lt;=0,$H181=""),"",TODAY()-$H181)</f>
        <v/>
      </c>
      <c r="L181" s="14" t="str">
        <f aca="false">IF($A181="","",IF($G181="","",IF($J181&lt;=0,"반납완료",IF($I181&gt;0,"부분반납","미반납"))))</f>
        <v/>
      </c>
    </row>
    <row r="182" customFormat="false" ht="15" hidden="false" customHeight="false" outlineLevel="0" collapsed="false">
      <c r="A182" s="14" t="str">
        <f aca="false">IF($B182="","",TEXT($B182,"yymmdd")&amp;"-"&amp;TEXT(COUNTIFS($B$3:$B182,$B182),"00"))</f>
        <v/>
      </c>
      <c r="B182" s="15"/>
      <c r="C182" s="9"/>
      <c r="D182" s="10"/>
      <c r="E182" s="14" t="str">
        <f aca="false">IF($D182="","",IFERROR(INDEX(품목목록!$B$3:$B$202,MATCH($D182,품목목록!$A$3:$A$202,0)),"미등록품번"))</f>
        <v/>
      </c>
      <c r="F182" s="14" t="str">
        <f aca="false">IF($D182="","",IFERROR(INDEX(품목목록!$D$3:$D$202,MATCH($D182,품목목록!$A$3:$A$202,0)),""))</f>
        <v/>
      </c>
      <c r="G182" s="11"/>
      <c r="H182" s="15"/>
      <c r="I182" s="16" t="str">
        <f aca="false">IF($A182="","",SUMIFS(반납내역!$D$3:$D$1502,반납내역!$B$3:$B$1502,$A182))</f>
        <v/>
      </c>
      <c r="J182" s="16" t="str">
        <f aca="false">IF($A182="","",IF($G182="","",$G182-$I182))</f>
        <v/>
      </c>
      <c r="K182" s="17" t="str">
        <f aca="true">IF(OR($A182="",$J182="",$J182&lt;=0,$H182=""),"",TODAY()-$H182)</f>
        <v/>
      </c>
      <c r="L182" s="14" t="str">
        <f aca="false">IF($A182="","",IF($G182="","",IF($J182&lt;=0,"반납완료",IF($I182&gt;0,"부분반납","미반납"))))</f>
        <v/>
      </c>
    </row>
    <row r="183" customFormat="false" ht="15" hidden="false" customHeight="false" outlineLevel="0" collapsed="false">
      <c r="A183" s="14" t="str">
        <f aca="false">IF($B183="","",TEXT($B183,"yymmdd")&amp;"-"&amp;TEXT(COUNTIFS($B$3:$B183,$B183),"00"))</f>
        <v/>
      </c>
      <c r="B183" s="15"/>
      <c r="C183" s="9"/>
      <c r="D183" s="10"/>
      <c r="E183" s="14" t="str">
        <f aca="false">IF($D183="","",IFERROR(INDEX(품목목록!$B$3:$B$202,MATCH($D183,품목목록!$A$3:$A$202,0)),"미등록품번"))</f>
        <v/>
      </c>
      <c r="F183" s="14" t="str">
        <f aca="false">IF($D183="","",IFERROR(INDEX(품목목록!$D$3:$D$202,MATCH($D183,품목목록!$A$3:$A$202,0)),""))</f>
        <v/>
      </c>
      <c r="G183" s="11"/>
      <c r="H183" s="15"/>
      <c r="I183" s="16" t="str">
        <f aca="false">IF($A183="","",SUMIFS(반납내역!$D$3:$D$1502,반납내역!$B$3:$B$1502,$A183))</f>
        <v/>
      </c>
      <c r="J183" s="16" t="str">
        <f aca="false">IF($A183="","",IF($G183="","",$G183-$I183))</f>
        <v/>
      </c>
      <c r="K183" s="17" t="str">
        <f aca="true">IF(OR($A183="",$J183="",$J183&lt;=0,$H183=""),"",TODAY()-$H183)</f>
        <v/>
      </c>
      <c r="L183" s="14" t="str">
        <f aca="false">IF($A183="","",IF($G183="","",IF($J183&lt;=0,"반납완료",IF($I183&gt;0,"부분반납","미반납"))))</f>
        <v/>
      </c>
    </row>
    <row r="184" customFormat="false" ht="15" hidden="false" customHeight="false" outlineLevel="0" collapsed="false">
      <c r="A184" s="14" t="str">
        <f aca="false">IF($B184="","",TEXT($B184,"yymmdd")&amp;"-"&amp;TEXT(COUNTIFS($B$3:$B184,$B184),"00"))</f>
        <v/>
      </c>
      <c r="B184" s="15"/>
      <c r="C184" s="9"/>
      <c r="D184" s="10"/>
      <c r="E184" s="14" t="str">
        <f aca="false">IF($D184="","",IFERROR(INDEX(품목목록!$B$3:$B$202,MATCH($D184,품목목록!$A$3:$A$202,0)),"미등록품번"))</f>
        <v/>
      </c>
      <c r="F184" s="14" t="str">
        <f aca="false">IF($D184="","",IFERROR(INDEX(품목목록!$D$3:$D$202,MATCH($D184,품목목록!$A$3:$A$202,0)),""))</f>
        <v/>
      </c>
      <c r="G184" s="11"/>
      <c r="H184" s="15"/>
      <c r="I184" s="16" t="str">
        <f aca="false">IF($A184="","",SUMIFS(반납내역!$D$3:$D$1502,반납내역!$B$3:$B$1502,$A184))</f>
        <v/>
      </c>
      <c r="J184" s="16" t="str">
        <f aca="false">IF($A184="","",IF($G184="","",$G184-$I184))</f>
        <v/>
      </c>
      <c r="K184" s="17" t="str">
        <f aca="true">IF(OR($A184="",$J184="",$J184&lt;=0,$H184=""),"",TODAY()-$H184)</f>
        <v/>
      </c>
      <c r="L184" s="14" t="str">
        <f aca="false">IF($A184="","",IF($G184="","",IF($J184&lt;=0,"반납완료",IF($I184&gt;0,"부분반납","미반납"))))</f>
        <v/>
      </c>
    </row>
    <row r="185" customFormat="false" ht="15" hidden="false" customHeight="false" outlineLevel="0" collapsed="false">
      <c r="A185" s="14" t="str">
        <f aca="false">IF($B185="","",TEXT($B185,"yymmdd")&amp;"-"&amp;TEXT(COUNTIFS($B$3:$B185,$B185),"00"))</f>
        <v/>
      </c>
      <c r="B185" s="15"/>
      <c r="C185" s="9"/>
      <c r="D185" s="10"/>
      <c r="E185" s="14" t="str">
        <f aca="false">IF($D185="","",IFERROR(INDEX(품목목록!$B$3:$B$202,MATCH($D185,품목목록!$A$3:$A$202,0)),"미등록품번"))</f>
        <v/>
      </c>
      <c r="F185" s="14" t="str">
        <f aca="false">IF($D185="","",IFERROR(INDEX(품목목록!$D$3:$D$202,MATCH($D185,품목목록!$A$3:$A$202,0)),""))</f>
        <v/>
      </c>
      <c r="G185" s="11"/>
      <c r="H185" s="15"/>
      <c r="I185" s="16" t="str">
        <f aca="false">IF($A185="","",SUMIFS(반납내역!$D$3:$D$1502,반납내역!$B$3:$B$1502,$A185))</f>
        <v/>
      </c>
      <c r="J185" s="16" t="str">
        <f aca="false">IF($A185="","",IF($G185="","",$G185-$I185))</f>
        <v/>
      </c>
      <c r="K185" s="17" t="str">
        <f aca="true">IF(OR($A185="",$J185="",$J185&lt;=0,$H185=""),"",TODAY()-$H185)</f>
        <v/>
      </c>
      <c r="L185" s="14" t="str">
        <f aca="false">IF($A185="","",IF($G185="","",IF($J185&lt;=0,"반납완료",IF($I185&gt;0,"부분반납","미반납"))))</f>
        <v/>
      </c>
    </row>
    <row r="186" customFormat="false" ht="15" hidden="false" customHeight="false" outlineLevel="0" collapsed="false">
      <c r="A186" s="14" t="str">
        <f aca="false">IF($B186="","",TEXT($B186,"yymmdd")&amp;"-"&amp;TEXT(COUNTIFS($B$3:$B186,$B186),"00"))</f>
        <v/>
      </c>
      <c r="B186" s="15"/>
      <c r="C186" s="9"/>
      <c r="D186" s="10"/>
      <c r="E186" s="14" t="str">
        <f aca="false">IF($D186="","",IFERROR(INDEX(품목목록!$B$3:$B$202,MATCH($D186,품목목록!$A$3:$A$202,0)),"미등록품번"))</f>
        <v/>
      </c>
      <c r="F186" s="14" t="str">
        <f aca="false">IF($D186="","",IFERROR(INDEX(품목목록!$D$3:$D$202,MATCH($D186,품목목록!$A$3:$A$202,0)),""))</f>
        <v/>
      </c>
      <c r="G186" s="11"/>
      <c r="H186" s="15"/>
      <c r="I186" s="16" t="str">
        <f aca="false">IF($A186="","",SUMIFS(반납내역!$D$3:$D$1502,반납내역!$B$3:$B$1502,$A186))</f>
        <v/>
      </c>
      <c r="J186" s="16" t="str">
        <f aca="false">IF($A186="","",IF($G186="","",$G186-$I186))</f>
        <v/>
      </c>
      <c r="K186" s="17" t="str">
        <f aca="true">IF(OR($A186="",$J186="",$J186&lt;=0,$H186=""),"",TODAY()-$H186)</f>
        <v/>
      </c>
      <c r="L186" s="14" t="str">
        <f aca="false">IF($A186="","",IF($G186="","",IF($J186&lt;=0,"반납완료",IF($I186&gt;0,"부분반납","미반납"))))</f>
        <v/>
      </c>
    </row>
    <row r="187" customFormat="false" ht="15" hidden="false" customHeight="false" outlineLevel="0" collapsed="false">
      <c r="A187" s="14" t="str">
        <f aca="false">IF($B187="","",TEXT($B187,"yymmdd")&amp;"-"&amp;TEXT(COUNTIFS($B$3:$B187,$B187),"00"))</f>
        <v/>
      </c>
      <c r="B187" s="15"/>
      <c r="C187" s="9"/>
      <c r="D187" s="10"/>
      <c r="E187" s="14" t="str">
        <f aca="false">IF($D187="","",IFERROR(INDEX(품목목록!$B$3:$B$202,MATCH($D187,품목목록!$A$3:$A$202,0)),"미등록품번"))</f>
        <v/>
      </c>
      <c r="F187" s="14" t="str">
        <f aca="false">IF($D187="","",IFERROR(INDEX(품목목록!$D$3:$D$202,MATCH($D187,품목목록!$A$3:$A$202,0)),""))</f>
        <v/>
      </c>
      <c r="G187" s="11"/>
      <c r="H187" s="15"/>
      <c r="I187" s="16" t="str">
        <f aca="false">IF($A187="","",SUMIFS(반납내역!$D$3:$D$1502,반납내역!$B$3:$B$1502,$A187))</f>
        <v/>
      </c>
      <c r="J187" s="16" t="str">
        <f aca="false">IF($A187="","",IF($G187="","",$G187-$I187))</f>
        <v/>
      </c>
      <c r="K187" s="17" t="str">
        <f aca="true">IF(OR($A187="",$J187="",$J187&lt;=0,$H187=""),"",TODAY()-$H187)</f>
        <v/>
      </c>
      <c r="L187" s="14" t="str">
        <f aca="false">IF($A187="","",IF($G187="","",IF($J187&lt;=0,"반납완료",IF($I187&gt;0,"부분반납","미반납"))))</f>
        <v/>
      </c>
    </row>
    <row r="188" customFormat="false" ht="15" hidden="false" customHeight="false" outlineLevel="0" collapsed="false">
      <c r="A188" s="14" t="str">
        <f aca="false">IF($B188="","",TEXT($B188,"yymmdd")&amp;"-"&amp;TEXT(COUNTIFS($B$3:$B188,$B188),"00"))</f>
        <v/>
      </c>
      <c r="B188" s="15"/>
      <c r="C188" s="9"/>
      <c r="D188" s="10"/>
      <c r="E188" s="14" t="str">
        <f aca="false">IF($D188="","",IFERROR(INDEX(품목목록!$B$3:$B$202,MATCH($D188,품목목록!$A$3:$A$202,0)),"미등록품번"))</f>
        <v/>
      </c>
      <c r="F188" s="14" t="str">
        <f aca="false">IF($D188="","",IFERROR(INDEX(품목목록!$D$3:$D$202,MATCH($D188,품목목록!$A$3:$A$202,0)),""))</f>
        <v/>
      </c>
      <c r="G188" s="11"/>
      <c r="H188" s="15"/>
      <c r="I188" s="16" t="str">
        <f aca="false">IF($A188="","",SUMIFS(반납내역!$D$3:$D$1502,반납내역!$B$3:$B$1502,$A188))</f>
        <v/>
      </c>
      <c r="J188" s="16" t="str">
        <f aca="false">IF($A188="","",IF($G188="","",$G188-$I188))</f>
        <v/>
      </c>
      <c r="K188" s="17" t="str">
        <f aca="true">IF(OR($A188="",$J188="",$J188&lt;=0,$H188=""),"",TODAY()-$H188)</f>
        <v/>
      </c>
      <c r="L188" s="14" t="str">
        <f aca="false">IF($A188="","",IF($G188="","",IF($J188&lt;=0,"반납완료",IF($I188&gt;0,"부분반납","미반납"))))</f>
        <v/>
      </c>
    </row>
    <row r="189" customFormat="false" ht="15" hidden="false" customHeight="false" outlineLevel="0" collapsed="false">
      <c r="A189" s="14" t="str">
        <f aca="false">IF($B189="","",TEXT($B189,"yymmdd")&amp;"-"&amp;TEXT(COUNTIFS($B$3:$B189,$B189),"00"))</f>
        <v/>
      </c>
      <c r="B189" s="15"/>
      <c r="C189" s="9"/>
      <c r="D189" s="10"/>
      <c r="E189" s="14" t="str">
        <f aca="false">IF($D189="","",IFERROR(INDEX(품목목록!$B$3:$B$202,MATCH($D189,품목목록!$A$3:$A$202,0)),"미등록품번"))</f>
        <v/>
      </c>
      <c r="F189" s="14" t="str">
        <f aca="false">IF($D189="","",IFERROR(INDEX(품목목록!$D$3:$D$202,MATCH($D189,품목목록!$A$3:$A$202,0)),""))</f>
        <v/>
      </c>
      <c r="G189" s="11"/>
      <c r="H189" s="15"/>
      <c r="I189" s="16" t="str">
        <f aca="false">IF($A189="","",SUMIFS(반납내역!$D$3:$D$1502,반납내역!$B$3:$B$1502,$A189))</f>
        <v/>
      </c>
      <c r="J189" s="16" t="str">
        <f aca="false">IF($A189="","",IF($G189="","",$G189-$I189))</f>
        <v/>
      </c>
      <c r="K189" s="17" t="str">
        <f aca="true">IF(OR($A189="",$J189="",$J189&lt;=0,$H189=""),"",TODAY()-$H189)</f>
        <v/>
      </c>
      <c r="L189" s="14" t="str">
        <f aca="false">IF($A189="","",IF($G189="","",IF($J189&lt;=0,"반납완료",IF($I189&gt;0,"부분반납","미반납"))))</f>
        <v/>
      </c>
    </row>
    <row r="190" customFormat="false" ht="15" hidden="false" customHeight="false" outlineLevel="0" collapsed="false">
      <c r="A190" s="14" t="str">
        <f aca="false">IF($B190="","",TEXT($B190,"yymmdd")&amp;"-"&amp;TEXT(COUNTIFS($B$3:$B190,$B190),"00"))</f>
        <v/>
      </c>
      <c r="B190" s="15"/>
      <c r="C190" s="9"/>
      <c r="D190" s="10"/>
      <c r="E190" s="14" t="str">
        <f aca="false">IF($D190="","",IFERROR(INDEX(품목목록!$B$3:$B$202,MATCH($D190,품목목록!$A$3:$A$202,0)),"미등록품번"))</f>
        <v/>
      </c>
      <c r="F190" s="14" t="str">
        <f aca="false">IF($D190="","",IFERROR(INDEX(품목목록!$D$3:$D$202,MATCH($D190,품목목록!$A$3:$A$202,0)),""))</f>
        <v/>
      </c>
      <c r="G190" s="11"/>
      <c r="H190" s="15"/>
      <c r="I190" s="16" t="str">
        <f aca="false">IF($A190="","",SUMIFS(반납내역!$D$3:$D$1502,반납내역!$B$3:$B$1502,$A190))</f>
        <v/>
      </c>
      <c r="J190" s="16" t="str">
        <f aca="false">IF($A190="","",IF($G190="","",$G190-$I190))</f>
        <v/>
      </c>
      <c r="K190" s="17" t="str">
        <f aca="true">IF(OR($A190="",$J190="",$J190&lt;=0,$H190=""),"",TODAY()-$H190)</f>
        <v/>
      </c>
      <c r="L190" s="14" t="str">
        <f aca="false">IF($A190="","",IF($G190="","",IF($J190&lt;=0,"반납완료",IF($I190&gt;0,"부분반납","미반납"))))</f>
        <v/>
      </c>
    </row>
    <row r="191" customFormat="false" ht="15" hidden="false" customHeight="false" outlineLevel="0" collapsed="false">
      <c r="A191" s="14" t="str">
        <f aca="false">IF($B191="","",TEXT($B191,"yymmdd")&amp;"-"&amp;TEXT(COUNTIFS($B$3:$B191,$B191),"00"))</f>
        <v/>
      </c>
      <c r="B191" s="15"/>
      <c r="C191" s="9"/>
      <c r="D191" s="10"/>
      <c r="E191" s="14" t="str">
        <f aca="false">IF($D191="","",IFERROR(INDEX(품목목록!$B$3:$B$202,MATCH($D191,품목목록!$A$3:$A$202,0)),"미등록품번"))</f>
        <v/>
      </c>
      <c r="F191" s="14" t="str">
        <f aca="false">IF($D191="","",IFERROR(INDEX(품목목록!$D$3:$D$202,MATCH($D191,품목목록!$A$3:$A$202,0)),""))</f>
        <v/>
      </c>
      <c r="G191" s="11"/>
      <c r="H191" s="15"/>
      <c r="I191" s="16" t="str">
        <f aca="false">IF($A191="","",SUMIFS(반납내역!$D$3:$D$1502,반납내역!$B$3:$B$1502,$A191))</f>
        <v/>
      </c>
      <c r="J191" s="16" t="str">
        <f aca="false">IF($A191="","",IF($G191="","",$G191-$I191))</f>
        <v/>
      </c>
      <c r="K191" s="17" t="str">
        <f aca="true">IF(OR($A191="",$J191="",$J191&lt;=0,$H191=""),"",TODAY()-$H191)</f>
        <v/>
      </c>
      <c r="L191" s="14" t="str">
        <f aca="false">IF($A191="","",IF($G191="","",IF($J191&lt;=0,"반납완료",IF($I191&gt;0,"부분반납","미반납"))))</f>
        <v/>
      </c>
    </row>
    <row r="192" customFormat="false" ht="15" hidden="false" customHeight="false" outlineLevel="0" collapsed="false">
      <c r="A192" s="14" t="str">
        <f aca="false">IF($B192="","",TEXT($B192,"yymmdd")&amp;"-"&amp;TEXT(COUNTIFS($B$3:$B192,$B192),"00"))</f>
        <v/>
      </c>
      <c r="B192" s="15"/>
      <c r="C192" s="9"/>
      <c r="D192" s="10"/>
      <c r="E192" s="14" t="str">
        <f aca="false">IF($D192="","",IFERROR(INDEX(품목목록!$B$3:$B$202,MATCH($D192,품목목록!$A$3:$A$202,0)),"미등록품번"))</f>
        <v/>
      </c>
      <c r="F192" s="14" t="str">
        <f aca="false">IF($D192="","",IFERROR(INDEX(품목목록!$D$3:$D$202,MATCH($D192,품목목록!$A$3:$A$202,0)),""))</f>
        <v/>
      </c>
      <c r="G192" s="11"/>
      <c r="H192" s="15"/>
      <c r="I192" s="16" t="str">
        <f aca="false">IF($A192="","",SUMIFS(반납내역!$D$3:$D$1502,반납내역!$B$3:$B$1502,$A192))</f>
        <v/>
      </c>
      <c r="J192" s="16" t="str">
        <f aca="false">IF($A192="","",IF($G192="","",$G192-$I192))</f>
        <v/>
      </c>
      <c r="K192" s="17" t="str">
        <f aca="true">IF(OR($A192="",$J192="",$J192&lt;=0,$H192=""),"",TODAY()-$H192)</f>
        <v/>
      </c>
      <c r="L192" s="14" t="str">
        <f aca="false">IF($A192="","",IF($G192="","",IF($J192&lt;=0,"반납완료",IF($I192&gt;0,"부분반납","미반납"))))</f>
        <v/>
      </c>
    </row>
    <row r="193" customFormat="false" ht="15" hidden="false" customHeight="false" outlineLevel="0" collapsed="false">
      <c r="A193" s="14" t="str">
        <f aca="false">IF($B193="","",TEXT($B193,"yymmdd")&amp;"-"&amp;TEXT(COUNTIFS($B$3:$B193,$B193),"00"))</f>
        <v/>
      </c>
      <c r="B193" s="15"/>
      <c r="C193" s="9"/>
      <c r="D193" s="10"/>
      <c r="E193" s="14" t="str">
        <f aca="false">IF($D193="","",IFERROR(INDEX(품목목록!$B$3:$B$202,MATCH($D193,품목목록!$A$3:$A$202,0)),"미등록품번"))</f>
        <v/>
      </c>
      <c r="F193" s="14" t="str">
        <f aca="false">IF($D193="","",IFERROR(INDEX(품목목록!$D$3:$D$202,MATCH($D193,품목목록!$A$3:$A$202,0)),""))</f>
        <v/>
      </c>
      <c r="G193" s="11"/>
      <c r="H193" s="15"/>
      <c r="I193" s="16" t="str">
        <f aca="false">IF($A193="","",SUMIFS(반납내역!$D$3:$D$1502,반납내역!$B$3:$B$1502,$A193))</f>
        <v/>
      </c>
      <c r="J193" s="16" t="str">
        <f aca="false">IF($A193="","",IF($G193="","",$G193-$I193))</f>
        <v/>
      </c>
      <c r="K193" s="17" t="str">
        <f aca="true">IF(OR($A193="",$J193="",$J193&lt;=0,$H193=""),"",TODAY()-$H193)</f>
        <v/>
      </c>
      <c r="L193" s="14" t="str">
        <f aca="false">IF($A193="","",IF($G193="","",IF($J193&lt;=0,"반납완료",IF($I193&gt;0,"부분반납","미반납"))))</f>
        <v/>
      </c>
    </row>
    <row r="194" customFormat="false" ht="15" hidden="false" customHeight="false" outlineLevel="0" collapsed="false">
      <c r="A194" s="14" t="str">
        <f aca="false">IF($B194="","",TEXT($B194,"yymmdd")&amp;"-"&amp;TEXT(COUNTIFS($B$3:$B194,$B194),"00"))</f>
        <v/>
      </c>
      <c r="B194" s="15"/>
      <c r="C194" s="9"/>
      <c r="D194" s="10"/>
      <c r="E194" s="14" t="str">
        <f aca="false">IF($D194="","",IFERROR(INDEX(품목목록!$B$3:$B$202,MATCH($D194,품목목록!$A$3:$A$202,0)),"미등록품번"))</f>
        <v/>
      </c>
      <c r="F194" s="14" t="str">
        <f aca="false">IF($D194="","",IFERROR(INDEX(품목목록!$D$3:$D$202,MATCH($D194,품목목록!$A$3:$A$202,0)),""))</f>
        <v/>
      </c>
      <c r="G194" s="11"/>
      <c r="H194" s="15"/>
      <c r="I194" s="16" t="str">
        <f aca="false">IF($A194="","",SUMIFS(반납내역!$D$3:$D$1502,반납내역!$B$3:$B$1502,$A194))</f>
        <v/>
      </c>
      <c r="J194" s="16" t="str">
        <f aca="false">IF($A194="","",IF($G194="","",$G194-$I194))</f>
        <v/>
      </c>
      <c r="K194" s="17" t="str">
        <f aca="true">IF(OR($A194="",$J194="",$J194&lt;=0,$H194=""),"",TODAY()-$H194)</f>
        <v/>
      </c>
      <c r="L194" s="14" t="str">
        <f aca="false">IF($A194="","",IF($G194="","",IF($J194&lt;=0,"반납완료",IF($I194&gt;0,"부분반납","미반납"))))</f>
        <v/>
      </c>
    </row>
    <row r="195" customFormat="false" ht="15" hidden="false" customHeight="false" outlineLevel="0" collapsed="false">
      <c r="A195" s="14" t="str">
        <f aca="false">IF($B195="","",TEXT($B195,"yymmdd")&amp;"-"&amp;TEXT(COUNTIFS($B$3:$B195,$B195),"00"))</f>
        <v/>
      </c>
      <c r="B195" s="15"/>
      <c r="C195" s="9"/>
      <c r="D195" s="10"/>
      <c r="E195" s="14" t="str">
        <f aca="false">IF($D195="","",IFERROR(INDEX(품목목록!$B$3:$B$202,MATCH($D195,품목목록!$A$3:$A$202,0)),"미등록품번"))</f>
        <v/>
      </c>
      <c r="F195" s="14" t="str">
        <f aca="false">IF($D195="","",IFERROR(INDEX(품목목록!$D$3:$D$202,MATCH($D195,품목목록!$A$3:$A$202,0)),""))</f>
        <v/>
      </c>
      <c r="G195" s="11"/>
      <c r="H195" s="15"/>
      <c r="I195" s="16" t="str">
        <f aca="false">IF($A195="","",SUMIFS(반납내역!$D$3:$D$1502,반납내역!$B$3:$B$1502,$A195))</f>
        <v/>
      </c>
      <c r="J195" s="16" t="str">
        <f aca="false">IF($A195="","",IF($G195="","",$G195-$I195))</f>
        <v/>
      </c>
      <c r="K195" s="17" t="str">
        <f aca="true">IF(OR($A195="",$J195="",$J195&lt;=0,$H195=""),"",TODAY()-$H195)</f>
        <v/>
      </c>
      <c r="L195" s="14" t="str">
        <f aca="false">IF($A195="","",IF($G195="","",IF($J195&lt;=0,"반납완료",IF($I195&gt;0,"부분반납","미반납"))))</f>
        <v/>
      </c>
    </row>
    <row r="196" customFormat="false" ht="15" hidden="false" customHeight="false" outlineLevel="0" collapsed="false">
      <c r="A196" s="14" t="str">
        <f aca="false">IF($B196="","",TEXT($B196,"yymmdd")&amp;"-"&amp;TEXT(COUNTIFS($B$3:$B196,$B196),"00"))</f>
        <v/>
      </c>
      <c r="B196" s="15"/>
      <c r="C196" s="9"/>
      <c r="D196" s="10"/>
      <c r="E196" s="14" t="str">
        <f aca="false">IF($D196="","",IFERROR(INDEX(품목목록!$B$3:$B$202,MATCH($D196,품목목록!$A$3:$A$202,0)),"미등록품번"))</f>
        <v/>
      </c>
      <c r="F196" s="14" t="str">
        <f aca="false">IF($D196="","",IFERROR(INDEX(품목목록!$D$3:$D$202,MATCH($D196,품목목록!$A$3:$A$202,0)),""))</f>
        <v/>
      </c>
      <c r="G196" s="11"/>
      <c r="H196" s="15"/>
      <c r="I196" s="16" t="str">
        <f aca="false">IF($A196="","",SUMIFS(반납내역!$D$3:$D$1502,반납내역!$B$3:$B$1502,$A196))</f>
        <v/>
      </c>
      <c r="J196" s="16" t="str">
        <f aca="false">IF($A196="","",IF($G196="","",$G196-$I196))</f>
        <v/>
      </c>
      <c r="K196" s="17" t="str">
        <f aca="true">IF(OR($A196="",$J196="",$J196&lt;=0,$H196=""),"",TODAY()-$H196)</f>
        <v/>
      </c>
      <c r="L196" s="14" t="str">
        <f aca="false">IF($A196="","",IF($G196="","",IF($J196&lt;=0,"반납완료",IF($I196&gt;0,"부분반납","미반납"))))</f>
        <v/>
      </c>
    </row>
    <row r="197" customFormat="false" ht="15" hidden="false" customHeight="false" outlineLevel="0" collapsed="false">
      <c r="A197" s="14" t="str">
        <f aca="false">IF($B197="","",TEXT($B197,"yymmdd")&amp;"-"&amp;TEXT(COUNTIFS($B$3:$B197,$B197),"00"))</f>
        <v/>
      </c>
      <c r="B197" s="15"/>
      <c r="C197" s="9"/>
      <c r="D197" s="10"/>
      <c r="E197" s="14" t="str">
        <f aca="false">IF($D197="","",IFERROR(INDEX(품목목록!$B$3:$B$202,MATCH($D197,품목목록!$A$3:$A$202,0)),"미등록품번"))</f>
        <v/>
      </c>
      <c r="F197" s="14" t="str">
        <f aca="false">IF($D197="","",IFERROR(INDEX(품목목록!$D$3:$D$202,MATCH($D197,품목목록!$A$3:$A$202,0)),""))</f>
        <v/>
      </c>
      <c r="G197" s="11"/>
      <c r="H197" s="15"/>
      <c r="I197" s="16" t="str">
        <f aca="false">IF($A197="","",SUMIFS(반납내역!$D$3:$D$1502,반납내역!$B$3:$B$1502,$A197))</f>
        <v/>
      </c>
      <c r="J197" s="16" t="str">
        <f aca="false">IF($A197="","",IF($G197="","",$G197-$I197))</f>
        <v/>
      </c>
      <c r="K197" s="17" t="str">
        <f aca="true">IF(OR($A197="",$J197="",$J197&lt;=0,$H197=""),"",TODAY()-$H197)</f>
        <v/>
      </c>
      <c r="L197" s="14" t="str">
        <f aca="false">IF($A197="","",IF($G197="","",IF($J197&lt;=0,"반납완료",IF($I197&gt;0,"부분반납","미반납"))))</f>
        <v/>
      </c>
    </row>
    <row r="198" customFormat="false" ht="15" hidden="false" customHeight="false" outlineLevel="0" collapsed="false">
      <c r="A198" s="14" t="str">
        <f aca="false">IF($B198="","",TEXT($B198,"yymmdd")&amp;"-"&amp;TEXT(COUNTIFS($B$3:$B198,$B198),"00"))</f>
        <v/>
      </c>
      <c r="B198" s="15"/>
      <c r="C198" s="9"/>
      <c r="D198" s="10"/>
      <c r="E198" s="14" t="str">
        <f aca="false">IF($D198="","",IFERROR(INDEX(품목목록!$B$3:$B$202,MATCH($D198,품목목록!$A$3:$A$202,0)),"미등록품번"))</f>
        <v/>
      </c>
      <c r="F198" s="14" t="str">
        <f aca="false">IF($D198="","",IFERROR(INDEX(품목목록!$D$3:$D$202,MATCH($D198,품목목록!$A$3:$A$202,0)),""))</f>
        <v/>
      </c>
      <c r="G198" s="11"/>
      <c r="H198" s="15"/>
      <c r="I198" s="16" t="str">
        <f aca="false">IF($A198="","",SUMIFS(반납내역!$D$3:$D$1502,반납내역!$B$3:$B$1502,$A198))</f>
        <v/>
      </c>
      <c r="J198" s="16" t="str">
        <f aca="false">IF($A198="","",IF($G198="","",$G198-$I198))</f>
        <v/>
      </c>
      <c r="K198" s="17" t="str">
        <f aca="true">IF(OR($A198="",$J198="",$J198&lt;=0,$H198=""),"",TODAY()-$H198)</f>
        <v/>
      </c>
      <c r="L198" s="14" t="str">
        <f aca="false">IF($A198="","",IF($G198="","",IF($J198&lt;=0,"반납완료",IF($I198&gt;0,"부분반납","미반납"))))</f>
        <v/>
      </c>
    </row>
    <row r="199" customFormat="false" ht="15" hidden="false" customHeight="false" outlineLevel="0" collapsed="false">
      <c r="A199" s="14" t="str">
        <f aca="false">IF($B199="","",TEXT($B199,"yymmdd")&amp;"-"&amp;TEXT(COUNTIFS($B$3:$B199,$B199),"00"))</f>
        <v/>
      </c>
      <c r="B199" s="15"/>
      <c r="C199" s="9"/>
      <c r="D199" s="10"/>
      <c r="E199" s="14" t="str">
        <f aca="false">IF($D199="","",IFERROR(INDEX(품목목록!$B$3:$B$202,MATCH($D199,품목목록!$A$3:$A$202,0)),"미등록품번"))</f>
        <v/>
      </c>
      <c r="F199" s="14" t="str">
        <f aca="false">IF($D199="","",IFERROR(INDEX(품목목록!$D$3:$D$202,MATCH($D199,품목목록!$A$3:$A$202,0)),""))</f>
        <v/>
      </c>
      <c r="G199" s="11"/>
      <c r="H199" s="15"/>
      <c r="I199" s="16" t="str">
        <f aca="false">IF($A199="","",SUMIFS(반납내역!$D$3:$D$1502,반납내역!$B$3:$B$1502,$A199))</f>
        <v/>
      </c>
      <c r="J199" s="16" t="str">
        <f aca="false">IF($A199="","",IF($G199="","",$G199-$I199))</f>
        <v/>
      </c>
      <c r="K199" s="17" t="str">
        <f aca="true">IF(OR($A199="",$J199="",$J199&lt;=0,$H199=""),"",TODAY()-$H199)</f>
        <v/>
      </c>
      <c r="L199" s="14" t="str">
        <f aca="false">IF($A199="","",IF($G199="","",IF($J199&lt;=0,"반납완료",IF($I199&gt;0,"부분반납","미반납"))))</f>
        <v/>
      </c>
    </row>
    <row r="200" customFormat="false" ht="15" hidden="false" customHeight="false" outlineLevel="0" collapsed="false">
      <c r="A200" s="14" t="str">
        <f aca="false">IF($B200="","",TEXT($B200,"yymmdd")&amp;"-"&amp;TEXT(COUNTIFS($B$3:$B200,$B200),"00"))</f>
        <v/>
      </c>
      <c r="B200" s="15"/>
      <c r="C200" s="9"/>
      <c r="D200" s="10"/>
      <c r="E200" s="14" t="str">
        <f aca="false">IF($D200="","",IFERROR(INDEX(품목목록!$B$3:$B$202,MATCH($D200,품목목록!$A$3:$A$202,0)),"미등록품번"))</f>
        <v/>
      </c>
      <c r="F200" s="14" t="str">
        <f aca="false">IF($D200="","",IFERROR(INDEX(품목목록!$D$3:$D$202,MATCH($D200,품목목록!$A$3:$A$202,0)),""))</f>
        <v/>
      </c>
      <c r="G200" s="11"/>
      <c r="H200" s="15"/>
      <c r="I200" s="16" t="str">
        <f aca="false">IF($A200="","",SUMIFS(반납내역!$D$3:$D$1502,반납내역!$B$3:$B$1502,$A200))</f>
        <v/>
      </c>
      <c r="J200" s="16" t="str">
        <f aca="false">IF($A200="","",IF($G200="","",$G200-$I200))</f>
        <v/>
      </c>
      <c r="K200" s="17" t="str">
        <f aca="true">IF(OR($A200="",$J200="",$J200&lt;=0,$H200=""),"",TODAY()-$H200)</f>
        <v/>
      </c>
      <c r="L200" s="14" t="str">
        <f aca="false">IF($A200="","",IF($G200="","",IF($J200&lt;=0,"반납완료",IF($I200&gt;0,"부분반납","미반납"))))</f>
        <v/>
      </c>
    </row>
    <row r="201" customFormat="false" ht="15" hidden="false" customHeight="false" outlineLevel="0" collapsed="false">
      <c r="A201" s="14" t="str">
        <f aca="false">IF($B201="","",TEXT($B201,"yymmdd")&amp;"-"&amp;TEXT(COUNTIFS($B$3:$B201,$B201),"00"))</f>
        <v/>
      </c>
      <c r="B201" s="15"/>
      <c r="C201" s="9"/>
      <c r="D201" s="10"/>
      <c r="E201" s="14" t="str">
        <f aca="false">IF($D201="","",IFERROR(INDEX(품목목록!$B$3:$B$202,MATCH($D201,품목목록!$A$3:$A$202,0)),"미등록품번"))</f>
        <v/>
      </c>
      <c r="F201" s="14" t="str">
        <f aca="false">IF($D201="","",IFERROR(INDEX(품목목록!$D$3:$D$202,MATCH($D201,품목목록!$A$3:$A$202,0)),""))</f>
        <v/>
      </c>
      <c r="G201" s="11"/>
      <c r="H201" s="15"/>
      <c r="I201" s="16" t="str">
        <f aca="false">IF($A201="","",SUMIFS(반납내역!$D$3:$D$1502,반납내역!$B$3:$B$1502,$A201))</f>
        <v/>
      </c>
      <c r="J201" s="16" t="str">
        <f aca="false">IF($A201="","",IF($G201="","",$G201-$I201))</f>
        <v/>
      </c>
      <c r="K201" s="17" t="str">
        <f aca="true">IF(OR($A201="",$J201="",$J201&lt;=0,$H201=""),"",TODAY()-$H201)</f>
        <v/>
      </c>
      <c r="L201" s="14" t="str">
        <f aca="false">IF($A201="","",IF($G201="","",IF($J201&lt;=0,"반납완료",IF($I201&gt;0,"부분반납","미반납"))))</f>
        <v/>
      </c>
    </row>
    <row r="202" customFormat="false" ht="15" hidden="false" customHeight="false" outlineLevel="0" collapsed="false">
      <c r="A202" s="14" t="str">
        <f aca="false">IF($B202="","",TEXT($B202,"yymmdd")&amp;"-"&amp;TEXT(COUNTIFS($B$3:$B202,$B202),"00"))</f>
        <v/>
      </c>
      <c r="B202" s="15"/>
      <c r="C202" s="9"/>
      <c r="D202" s="10"/>
      <c r="E202" s="14" t="str">
        <f aca="false">IF($D202="","",IFERROR(INDEX(품목목록!$B$3:$B$202,MATCH($D202,품목목록!$A$3:$A$202,0)),"미등록품번"))</f>
        <v/>
      </c>
      <c r="F202" s="14" t="str">
        <f aca="false">IF($D202="","",IFERROR(INDEX(품목목록!$D$3:$D$202,MATCH($D202,품목목록!$A$3:$A$202,0)),""))</f>
        <v/>
      </c>
      <c r="G202" s="11"/>
      <c r="H202" s="15"/>
      <c r="I202" s="16" t="str">
        <f aca="false">IF($A202="","",SUMIFS(반납내역!$D$3:$D$1502,반납내역!$B$3:$B$1502,$A202))</f>
        <v/>
      </c>
      <c r="J202" s="16" t="str">
        <f aca="false">IF($A202="","",IF($G202="","",$G202-$I202))</f>
        <v/>
      </c>
      <c r="K202" s="17" t="str">
        <f aca="true">IF(OR($A202="",$J202="",$J202&lt;=0,$H202=""),"",TODAY()-$H202)</f>
        <v/>
      </c>
      <c r="L202" s="14" t="str">
        <f aca="false">IF($A202="","",IF($G202="","",IF($J202&lt;=0,"반납완료",IF($I202&gt;0,"부분반납","미반납"))))</f>
        <v/>
      </c>
    </row>
    <row r="203" customFormat="false" ht="15" hidden="false" customHeight="false" outlineLevel="0" collapsed="false">
      <c r="A203" s="14" t="str">
        <f aca="false">IF($B203="","",TEXT($B203,"yymmdd")&amp;"-"&amp;TEXT(COUNTIFS($B$3:$B203,$B203),"00"))</f>
        <v/>
      </c>
      <c r="B203" s="15"/>
      <c r="C203" s="9"/>
      <c r="D203" s="10"/>
      <c r="E203" s="14" t="str">
        <f aca="false">IF($D203="","",IFERROR(INDEX(품목목록!$B$3:$B$202,MATCH($D203,품목목록!$A$3:$A$202,0)),"미등록품번"))</f>
        <v/>
      </c>
      <c r="F203" s="14" t="str">
        <f aca="false">IF($D203="","",IFERROR(INDEX(품목목록!$D$3:$D$202,MATCH($D203,품목목록!$A$3:$A$202,0)),""))</f>
        <v/>
      </c>
      <c r="G203" s="11"/>
      <c r="H203" s="15"/>
      <c r="I203" s="16" t="str">
        <f aca="false">IF($A203="","",SUMIFS(반납내역!$D$3:$D$1502,반납내역!$B$3:$B$1502,$A203))</f>
        <v/>
      </c>
      <c r="J203" s="16" t="str">
        <f aca="false">IF($A203="","",IF($G203="","",$G203-$I203))</f>
        <v/>
      </c>
      <c r="K203" s="17" t="str">
        <f aca="true">IF(OR($A203="",$J203="",$J203&lt;=0,$H203=""),"",TODAY()-$H203)</f>
        <v/>
      </c>
      <c r="L203" s="14" t="str">
        <f aca="false">IF($A203="","",IF($G203="","",IF($J203&lt;=0,"반납완료",IF($I203&gt;0,"부분반납","미반납"))))</f>
        <v/>
      </c>
    </row>
    <row r="204" customFormat="false" ht="15" hidden="false" customHeight="false" outlineLevel="0" collapsed="false">
      <c r="A204" s="14" t="str">
        <f aca="false">IF($B204="","",TEXT($B204,"yymmdd")&amp;"-"&amp;TEXT(COUNTIFS($B$3:$B204,$B204),"00"))</f>
        <v/>
      </c>
      <c r="B204" s="15"/>
      <c r="C204" s="9"/>
      <c r="D204" s="10"/>
      <c r="E204" s="14" t="str">
        <f aca="false">IF($D204="","",IFERROR(INDEX(품목목록!$B$3:$B$202,MATCH($D204,품목목록!$A$3:$A$202,0)),"미등록품번"))</f>
        <v/>
      </c>
      <c r="F204" s="14" t="str">
        <f aca="false">IF($D204="","",IFERROR(INDEX(품목목록!$D$3:$D$202,MATCH($D204,품목목록!$A$3:$A$202,0)),""))</f>
        <v/>
      </c>
      <c r="G204" s="11"/>
      <c r="H204" s="15"/>
      <c r="I204" s="16" t="str">
        <f aca="false">IF($A204="","",SUMIFS(반납내역!$D$3:$D$1502,반납내역!$B$3:$B$1502,$A204))</f>
        <v/>
      </c>
      <c r="J204" s="16" t="str">
        <f aca="false">IF($A204="","",IF($G204="","",$G204-$I204))</f>
        <v/>
      </c>
      <c r="K204" s="17" t="str">
        <f aca="true">IF(OR($A204="",$J204="",$J204&lt;=0,$H204=""),"",TODAY()-$H204)</f>
        <v/>
      </c>
      <c r="L204" s="14" t="str">
        <f aca="false">IF($A204="","",IF($G204="","",IF($J204&lt;=0,"반납완료",IF($I204&gt;0,"부분반납","미반납"))))</f>
        <v/>
      </c>
    </row>
    <row r="205" customFormat="false" ht="15" hidden="false" customHeight="false" outlineLevel="0" collapsed="false">
      <c r="A205" s="14" t="str">
        <f aca="false">IF($B205="","",TEXT($B205,"yymmdd")&amp;"-"&amp;TEXT(COUNTIFS($B$3:$B205,$B205),"00"))</f>
        <v/>
      </c>
      <c r="B205" s="15"/>
      <c r="C205" s="9"/>
      <c r="D205" s="10"/>
      <c r="E205" s="14" t="str">
        <f aca="false">IF($D205="","",IFERROR(INDEX(품목목록!$B$3:$B$202,MATCH($D205,품목목록!$A$3:$A$202,0)),"미등록품번"))</f>
        <v/>
      </c>
      <c r="F205" s="14" t="str">
        <f aca="false">IF($D205="","",IFERROR(INDEX(품목목록!$D$3:$D$202,MATCH($D205,품목목록!$A$3:$A$202,0)),""))</f>
        <v/>
      </c>
      <c r="G205" s="11"/>
      <c r="H205" s="15"/>
      <c r="I205" s="16" t="str">
        <f aca="false">IF($A205="","",SUMIFS(반납내역!$D$3:$D$1502,반납내역!$B$3:$B$1502,$A205))</f>
        <v/>
      </c>
      <c r="J205" s="16" t="str">
        <f aca="false">IF($A205="","",IF($G205="","",$G205-$I205))</f>
        <v/>
      </c>
      <c r="K205" s="17" t="str">
        <f aca="true">IF(OR($A205="",$J205="",$J205&lt;=0,$H205=""),"",TODAY()-$H205)</f>
        <v/>
      </c>
      <c r="L205" s="14" t="str">
        <f aca="false">IF($A205="","",IF($G205="","",IF($J205&lt;=0,"반납완료",IF($I205&gt;0,"부분반납","미반납"))))</f>
        <v/>
      </c>
    </row>
    <row r="206" customFormat="false" ht="15" hidden="false" customHeight="false" outlineLevel="0" collapsed="false">
      <c r="A206" s="14" t="str">
        <f aca="false">IF($B206="","",TEXT($B206,"yymmdd")&amp;"-"&amp;TEXT(COUNTIFS($B$3:$B206,$B206),"00"))</f>
        <v/>
      </c>
      <c r="B206" s="15"/>
      <c r="C206" s="9"/>
      <c r="D206" s="10"/>
      <c r="E206" s="14" t="str">
        <f aca="false">IF($D206="","",IFERROR(INDEX(품목목록!$B$3:$B$202,MATCH($D206,품목목록!$A$3:$A$202,0)),"미등록품번"))</f>
        <v/>
      </c>
      <c r="F206" s="14" t="str">
        <f aca="false">IF($D206="","",IFERROR(INDEX(품목목록!$D$3:$D$202,MATCH($D206,품목목록!$A$3:$A$202,0)),""))</f>
        <v/>
      </c>
      <c r="G206" s="11"/>
      <c r="H206" s="15"/>
      <c r="I206" s="16" t="str">
        <f aca="false">IF($A206="","",SUMIFS(반납내역!$D$3:$D$1502,반납내역!$B$3:$B$1502,$A206))</f>
        <v/>
      </c>
      <c r="J206" s="16" t="str">
        <f aca="false">IF($A206="","",IF($G206="","",$G206-$I206))</f>
        <v/>
      </c>
      <c r="K206" s="17" t="str">
        <f aca="true">IF(OR($A206="",$J206="",$J206&lt;=0,$H206=""),"",TODAY()-$H206)</f>
        <v/>
      </c>
      <c r="L206" s="14" t="str">
        <f aca="false">IF($A206="","",IF($G206="","",IF($J206&lt;=0,"반납완료",IF($I206&gt;0,"부분반납","미반납"))))</f>
        <v/>
      </c>
    </row>
    <row r="207" customFormat="false" ht="15" hidden="false" customHeight="false" outlineLevel="0" collapsed="false">
      <c r="A207" s="14" t="str">
        <f aca="false">IF($B207="","",TEXT($B207,"yymmdd")&amp;"-"&amp;TEXT(COUNTIFS($B$3:$B207,$B207),"00"))</f>
        <v/>
      </c>
      <c r="B207" s="15"/>
      <c r="C207" s="9"/>
      <c r="D207" s="10"/>
      <c r="E207" s="14" t="str">
        <f aca="false">IF($D207="","",IFERROR(INDEX(품목목록!$B$3:$B$202,MATCH($D207,품목목록!$A$3:$A$202,0)),"미등록품번"))</f>
        <v/>
      </c>
      <c r="F207" s="14" t="str">
        <f aca="false">IF($D207="","",IFERROR(INDEX(품목목록!$D$3:$D$202,MATCH($D207,품목목록!$A$3:$A$202,0)),""))</f>
        <v/>
      </c>
      <c r="G207" s="11"/>
      <c r="H207" s="15"/>
      <c r="I207" s="16" t="str">
        <f aca="false">IF($A207="","",SUMIFS(반납내역!$D$3:$D$1502,반납내역!$B$3:$B$1502,$A207))</f>
        <v/>
      </c>
      <c r="J207" s="16" t="str">
        <f aca="false">IF($A207="","",IF($G207="","",$G207-$I207))</f>
        <v/>
      </c>
      <c r="K207" s="17" t="str">
        <f aca="true">IF(OR($A207="",$J207="",$J207&lt;=0,$H207=""),"",TODAY()-$H207)</f>
        <v/>
      </c>
      <c r="L207" s="14" t="str">
        <f aca="false">IF($A207="","",IF($G207="","",IF($J207&lt;=0,"반납완료",IF($I207&gt;0,"부분반납","미반납"))))</f>
        <v/>
      </c>
    </row>
    <row r="208" customFormat="false" ht="15" hidden="false" customHeight="false" outlineLevel="0" collapsed="false">
      <c r="A208" s="14" t="str">
        <f aca="false">IF($B208="","",TEXT($B208,"yymmdd")&amp;"-"&amp;TEXT(COUNTIFS($B$3:$B208,$B208),"00"))</f>
        <v/>
      </c>
      <c r="B208" s="15"/>
      <c r="C208" s="9"/>
      <c r="D208" s="10"/>
      <c r="E208" s="14" t="str">
        <f aca="false">IF($D208="","",IFERROR(INDEX(품목목록!$B$3:$B$202,MATCH($D208,품목목록!$A$3:$A$202,0)),"미등록품번"))</f>
        <v/>
      </c>
      <c r="F208" s="14" t="str">
        <f aca="false">IF($D208="","",IFERROR(INDEX(품목목록!$D$3:$D$202,MATCH($D208,품목목록!$A$3:$A$202,0)),""))</f>
        <v/>
      </c>
      <c r="G208" s="11"/>
      <c r="H208" s="15"/>
      <c r="I208" s="16" t="str">
        <f aca="false">IF($A208="","",SUMIFS(반납내역!$D$3:$D$1502,반납내역!$B$3:$B$1502,$A208))</f>
        <v/>
      </c>
      <c r="J208" s="16" t="str">
        <f aca="false">IF($A208="","",IF($G208="","",$G208-$I208))</f>
        <v/>
      </c>
      <c r="K208" s="17" t="str">
        <f aca="true">IF(OR($A208="",$J208="",$J208&lt;=0,$H208=""),"",TODAY()-$H208)</f>
        <v/>
      </c>
      <c r="L208" s="14" t="str">
        <f aca="false">IF($A208="","",IF($G208="","",IF($J208&lt;=0,"반납완료",IF($I208&gt;0,"부분반납","미반납"))))</f>
        <v/>
      </c>
    </row>
    <row r="209" customFormat="false" ht="15" hidden="false" customHeight="false" outlineLevel="0" collapsed="false">
      <c r="A209" s="14" t="str">
        <f aca="false">IF($B209="","",TEXT($B209,"yymmdd")&amp;"-"&amp;TEXT(COUNTIFS($B$3:$B209,$B209),"00"))</f>
        <v/>
      </c>
      <c r="B209" s="15"/>
      <c r="C209" s="9"/>
      <c r="D209" s="10"/>
      <c r="E209" s="14" t="str">
        <f aca="false">IF($D209="","",IFERROR(INDEX(품목목록!$B$3:$B$202,MATCH($D209,품목목록!$A$3:$A$202,0)),"미등록품번"))</f>
        <v/>
      </c>
      <c r="F209" s="14" t="str">
        <f aca="false">IF($D209="","",IFERROR(INDEX(품목목록!$D$3:$D$202,MATCH($D209,품목목록!$A$3:$A$202,0)),""))</f>
        <v/>
      </c>
      <c r="G209" s="11"/>
      <c r="H209" s="15"/>
      <c r="I209" s="16" t="str">
        <f aca="false">IF($A209="","",SUMIFS(반납내역!$D$3:$D$1502,반납내역!$B$3:$B$1502,$A209))</f>
        <v/>
      </c>
      <c r="J209" s="16" t="str">
        <f aca="false">IF($A209="","",IF($G209="","",$G209-$I209))</f>
        <v/>
      </c>
      <c r="K209" s="17" t="str">
        <f aca="true">IF(OR($A209="",$J209="",$J209&lt;=0,$H209=""),"",TODAY()-$H209)</f>
        <v/>
      </c>
      <c r="L209" s="14" t="str">
        <f aca="false">IF($A209="","",IF($G209="","",IF($J209&lt;=0,"반납완료",IF($I209&gt;0,"부분반납","미반납"))))</f>
        <v/>
      </c>
    </row>
    <row r="210" customFormat="false" ht="15" hidden="false" customHeight="false" outlineLevel="0" collapsed="false">
      <c r="A210" s="14" t="str">
        <f aca="false">IF($B210="","",TEXT($B210,"yymmdd")&amp;"-"&amp;TEXT(COUNTIFS($B$3:$B210,$B210),"00"))</f>
        <v/>
      </c>
      <c r="B210" s="15"/>
      <c r="C210" s="9"/>
      <c r="D210" s="10"/>
      <c r="E210" s="14" t="str">
        <f aca="false">IF($D210="","",IFERROR(INDEX(품목목록!$B$3:$B$202,MATCH($D210,품목목록!$A$3:$A$202,0)),"미등록품번"))</f>
        <v/>
      </c>
      <c r="F210" s="14" t="str">
        <f aca="false">IF($D210="","",IFERROR(INDEX(품목목록!$D$3:$D$202,MATCH($D210,품목목록!$A$3:$A$202,0)),""))</f>
        <v/>
      </c>
      <c r="G210" s="11"/>
      <c r="H210" s="15"/>
      <c r="I210" s="16" t="str">
        <f aca="false">IF($A210="","",SUMIFS(반납내역!$D$3:$D$1502,반납내역!$B$3:$B$1502,$A210))</f>
        <v/>
      </c>
      <c r="J210" s="16" t="str">
        <f aca="false">IF($A210="","",IF($G210="","",$G210-$I210))</f>
        <v/>
      </c>
      <c r="K210" s="17" t="str">
        <f aca="true">IF(OR($A210="",$J210="",$J210&lt;=0,$H210=""),"",TODAY()-$H210)</f>
        <v/>
      </c>
      <c r="L210" s="14" t="str">
        <f aca="false">IF($A210="","",IF($G210="","",IF($J210&lt;=0,"반납완료",IF($I210&gt;0,"부분반납","미반납"))))</f>
        <v/>
      </c>
    </row>
    <row r="211" customFormat="false" ht="15" hidden="false" customHeight="false" outlineLevel="0" collapsed="false">
      <c r="A211" s="14" t="str">
        <f aca="false">IF($B211="","",TEXT($B211,"yymmdd")&amp;"-"&amp;TEXT(COUNTIFS($B$3:$B211,$B211),"00"))</f>
        <v/>
      </c>
      <c r="B211" s="15"/>
      <c r="C211" s="9"/>
      <c r="D211" s="10"/>
      <c r="E211" s="14" t="str">
        <f aca="false">IF($D211="","",IFERROR(INDEX(품목목록!$B$3:$B$202,MATCH($D211,품목목록!$A$3:$A$202,0)),"미등록품번"))</f>
        <v/>
      </c>
      <c r="F211" s="14" t="str">
        <f aca="false">IF($D211="","",IFERROR(INDEX(품목목록!$D$3:$D$202,MATCH($D211,품목목록!$A$3:$A$202,0)),""))</f>
        <v/>
      </c>
      <c r="G211" s="11"/>
      <c r="H211" s="15"/>
      <c r="I211" s="16" t="str">
        <f aca="false">IF($A211="","",SUMIFS(반납내역!$D$3:$D$1502,반납내역!$B$3:$B$1502,$A211))</f>
        <v/>
      </c>
      <c r="J211" s="16" t="str">
        <f aca="false">IF($A211="","",IF($G211="","",$G211-$I211))</f>
        <v/>
      </c>
      <c r="K211" s="17" t="str">
        <f aca="true">IF(OR($A211="",$J211="",$J211&lt;=0,$H211=""),"",TODAY()-$H211)</f>
        <v/>
      </c>
      <c r="L211" s="14" t="str">
        <f aca="false">IF($A211="","",IF($G211="","",IF($J211&lt;=0,"반납완료",IF($I211&gt;0,"부분반납","미반납"))))</f>
        <v/>
      </c>
    </row>
    <row r="212" customFormat="false" ht="15" hidden="false" customHeight="false" outlineLevel="0" collapsed="false">
      <c r="A212" s="14" t="str">
        <f aca="false">IF($B212="","",TEXT($B212,"yymmdd")&amp;"-"&amp;TEXT(COUNTIFS($B$3:$B212,$B212),"00"))</f>
        <v/>
      </c>
      <c r="B212" s="15"/>
      <c r="C212" s="9"/>
      <c r="D212" s="10"/>
      <c r="E212" s="14" t="str">
        <f aca="false">IF($D212="","",IFERROR(INDEX(품목목록!$B$3:$B$202,MATCH($D212,품목목록!$A$3:$A$202,0)),"미등록품번"))</f>
        <v/>
      </c>
      <c r="F212" s="14" t="str">
        <f aca="false">IF($D212="","",IFERROR(INDEX(품목목록!$D$3:$D$202,MATCH($D212,품목목록!$A$3:$A$202,0)),""))</f>
        <v/>
      </c>
      <c r="G212" s="11"/>
      <c r="H212" s="15"/>
      <c r="I212" s="16" t="str">
        <f aca="false">IF($A212="","",SUMIFS(반납내역!$D$3:$D$1502,반납내역!$B$3:$B$1502,$A212))</f>
        <v/>
      </c>
      <c r="J212" s="16" t="str">
        <f aca="false">IF($A212="","",IF($G212="","",$G212-$I212))</f>
        <v/>
      </c>
      <c r="K212" s="17" t="str">
        <f aca="true">IF(OR($A212="",$J212="",$J212&lt;=0,$H212=""),"",TODAY()-$H212)</f>
        <v/>
      </c>
      <c r="L212" s="14" t="str">
        <f aca="false">IF($A212="","",IF($G212="","",IF($J212&lt;=0,"반납완료",IF($I212&gt;0,"부분반납","미반납"))))</f>
        <v/>
      </c>
    </row>
    <row r="213" customFormat="false" ht="15" hidden="false" customHeight="false" outlineLevel="0" collapsed="false">
      <c r="A213" s="14" t="str">
        <f aca="false">IF($B213="","",TEXT($B213,"yymmdd")&amp;"-"&amp;TEXT(COUNTIFS($B$3:$B213,$B213),"00"))</f>
        <v/>
      </c>
      <c r="B213" s="15"/>
      <c r="C213" s="9"/>
      <c r="D213" s="10"/>
      <c r="E213" s="14" t="str">
        <f aca="false">IF($D213="","",IFERROR(INDEX(품목목록!$B$3:$B$202,MATCH($D213,품목목록!$A$3:$A$202,0)),"미등록품번"))</f>
        <v/>
      </c>
      <c r="F213" s="14" t="str">
        <f aca="false">IF($D213="","",IFERROR(INDEX(품목목록!$D$3:$D$202,MATCH($D213,품목목록!$A$3:$A$202,0)),""))</f>
        <v/>
      </c>
      <c r="G213" s="11"/>
      <c r="H213" s="15"/>
      <c r="I213" s="16" t="str">
        <f aca="false">IF($A213="","",SUMIFS(반납내역!$D$3:$D$1502,반납내역!$B$3:$B$1502,$A213))</f>
        <v/>
      </c>
      <c r="J213" s="16" t="str">
        <f aca="false">IF($A213="","",IF($G213="","",$G213-$I213))</f>
        <v/>
      </c>
      <c r="K213" s="17" t="str">
        <f aca="true">IF(OR($A213="",$J213="",$J213&lt;=0,$H213=""),"",TODAY()-$H213)</f>
        <v/>
      </c>
      <c r="L213" s="14" t="str">
        <f aca="false">IF($A213="","",IF($G213="","",IF($J213&lt;=0,"반납완료",IF($I213&gt;0,"부분반납","미반납"))))</f>
        <v/>
      </c>
    </row>
    <row r="214" customFormat="false" ht="15" hidden="false" customHeight="false" outlineLevel="0" collapsed="false">
      <c r="A214" s="14" t="str">
        <f aca="false">IF($B214="","",TEXT($B214,"yymmdd")&amp;"-"&amp;TEXT(COUNTIFS($B$3:$B214,$B214),"00"))</f>
        <v/>
      </c>
      <c r="B214" s="15"/>
      <c r="C214" s="9"/>
      <c r="D214" s="10"/>
      <c r="E214" s="14" t="str">
        <f aca="false">IF($D214="","",IFERROR(INDEX(품목목록!$B$3:$B$202,MATCH($D214,품목목록!$A$3:$A$202,0)),"미등록품번"))</f>
        <v/>
      </c>
      <c r="F214" s="14" t="str">
        <f aca="false">IF($D214="","",IFERROR(INDEX(품목목록!$D$3:$D$202,MATCH($D214,품목목록!$A$3:$A$202,0)),""))</f>
        <v/>
      </c>
      <c r="G214" s="11"/>
      <c r="H214" s="15"/>
      <c r="I214" s="16" t="str">
        <f aca="false">IF($A214="","",SUMIFS(반납내역!$D$3:$D$1502,반납내역!$B$3:$B$1502,$A214))</f>
        <v/>
      </c>
      <c r="J214" s="16" t="str">
        <f aca="false">IF($A214="","",IF($G214="","",$G214-$I214))</f>
        <v/>
      </c>
      <c r="K214" s="17" t="str">
        <f aca="true">IF(OR($A214="",$J214="",$J214&lt;=0,$H214=""),"",TODAY()-$H214)</f>
        <v/>
      </c>
      <c r="L214" s="14" t="str">
        <f aca="false">IF($A214="","",IF($G214="","",IF($J214&lt;=0,"반납완료",IF($I214&gt;0,"부분반납","미반납"))))</f>
        <v/>
      </c>
    </row>
    <row r="215" customFormat="false" ht="15" hidden="false" customHeight="false" outlineLevel="0" collapsed="false">
      <c r="A215" s="14" t="str">
        <f aca="false">IF($B215="","",TEXT($B215,"yymmdd")&amp;"-"&amp;TEXT(COUNTIFS($B$3:$B215,$B215),"00"))</f>
        <v/>
      </c>
      <c r="B215" s="15"/>
      <c r="C215" s="9"/>
      <c r="D215" s="10"/>
      <c r="E215" s="14" t="str">
        <f aca="false">IF($D215="","",IFERROR(INDEX(품목목록!$B$3:$B$202,MATCH($D215,품목목록!$A$3:$A$202,0)),"미등록품번"))</f>
        <v/>
      </c>
      <c r="F215" s="14" t="str">
        <f aca="false">IF($D215="","",IFERROR(INDEX(품목목록!$D$3:$D$202,MATCH($D215,품목목록!$A$3:$A$202,0)),""))</f>
        <v/>
      </c>
      <c r="G215" s="11"/>
      <c r="H215" s="15"/>
      <c r="I215" s="16" t="str">
        <f aca="false">IF($A215="","",SUMIFS(반납내역!$D$3:$D$1502,반납내역!$B$3:$B$1502,$A215))</f>
        <v/>
      </c>
      <c r="J215" s="16" t="str">
        <f aca="false">IF($A215="","",IF($G215="","",$G215-$I215))</f>
        <v/>
      </c>
      <c r="K215" s="17" t="str">
        <f aca="true">IF(OR($A215="",$J215="",$J215&lt;=0,$H215=""),"",TODAY()-$H215)</f>
        <v/>
      </c>
      <c r="L215" s="14" t="str">
        <f aca="false">IF($A215="","",IF($G215="","",IF($J215&lt;=0,"반납완료",IF($I215&gt;0,"부분반납","미반납"))))</f>
        <v/>
      </c>
    </row>
    <row r="216" customFormat="false" ht="15" hidden="false" customHeight="false" outlineLevel="0" collapsed="false">
      <c r="A216" s="14" t="str">
        <f aca="false">IF($B216="","",TEXT($B216,"yymmdd")&amp;"-"&amp;TEXT(COUNTIFS($B$3:$B216,$B216),"00"))</f>
        <v/>
      </c>
      <c r="B216" s="15"/>
      <c r="C216" s="9"/>
      <c r="D216" s="10"/>
      <c r="E216" s="14" t="str">
        <f aca="false">IF($D216="","",IFERROR(INDEX(품목목록!$B$3:$B$202,MATCH($D216,품목목록!$A$3:$A$202,0)),"미등록품번"))</f>
        <v/>
      </c>
      <c r="F216" s="14" t="str">
        <f aca="false">IF($D216="","",IFERROR(INDEX(품목목록!$D$3:$D$202,MATCH($D216,품목목록!$A$3:$A$202,0)),""))</f>
        <v/>
      </c>
      <c r="G216" s="11"/>
      <c r="H216" s="15"/>
      <c r="I216" s="16" t="str">
        <f aca="false">IF($A216="","",SUMIFS(반납내역!$D$3:$D$1502,반납내역!$B$3:$B$1502,$A216))</f>
        <v/>
      </c>
      <c r="J216" s="16" t="str">
        <f aca="false">IF($A216="","",IF($G216="","",$G216-$I216))</f>
        <v/>
      </c>
      <c r="K216" s="17" t="str">
        <f aca="true">IF(OR($A216="",$J216="",$J216&lt;=0,$H216=""),"",TODAY()-$H216)</f>
        <v/>
      </c>
      <c r="L216" s="14" t="str">
        <f aca="false">IF($A216="","",IF($G216="","",IF($J216&lt;=0,"반납완료",IF($I216&gt;0,"부분반납","미반납"))))</f>
        <v/>
      </c>
    </row>
    <row r="217" customFormat="false" ht="15" hidden="false" customHeight="false" outlineLevel="0" collapsed="false">
      <c r="A217" s="14" t="str">
        <f aca="false">IF($B217="","",TEXT($B217,"yymmdd")&amp;"-"&amp;TEXT(COUNTIFS($B$3:$B217,$B217),"00"))</f>
        <v/>
      </c>
      <c r="B217" s="15"/>
      <c r="C217" s="9"/>
      <c r="D217" s="10"/>
      <c r="E217" s="14" t="str">
        <f aca="false">IF($D217="","",IFERROR(INDEX(품목목록!$B$3:$B$202,MATCH($D217,품목목록!$A$3:$A$202,0)),"미등록품번"))</f>
        <v/>
      </c>
      <c r="F217" s="14" t="str">
        <f aca="false">IF($D217="","",IFERROR(INDEX(품목목록!$D$3:$D$202,MATCH($D217,품목목록!$A$3:$A$202,0)),""))</f>
        <v/>
      </c>
      <c r="G217" s="11"/>
      <c r="H217" s="15"/>
      <c r="I217" s="16" t="str">
        <f aca="false">IF($A217="","",SUMIFS(반납내역!$D$3:$D$1502,반납내역!$B$3:$B$1502,$A217))</f>
        <v/>
      </c>
      <c r="J217" s="16" t="str">
        <f aca="false">IF($A217="","",IF($G217="","",$G217-$I217))</f>
        <v/>
      </c>
      <c r="K217" s="17" t="str">
        <f aca="true">IF(OR($A217="",$J217="",$J217&lt;=0,$H217=""),"",TODAY()-$H217)</f>
        <v/>
      </c>
      <c r="L217" s="14" t="str">
        <f aca="false">IF($A217="","",IF($G217="","",IF($J217&lt;=0,"반납완료",IF($I217&gt;0,"부분반납","미반납"))))</f>
        <v/>
      </c>
    </row>
    <row r="218" customFormat="false" ht="15" hidden="false" customHeight="false" outlineLevel="0" collapsed="false">
      <c r="A218" s="14" t="str">
        <f aca="false">IF($B218="","",TEXT($B218,"yymmdd")&amp;"-"&amp;TEXT(COUNTIFS($B$3:$B218,$B218),"00"))</f>
        <v/>
      </c>
      <c r="B218" s="15"/>
      <c r="C218" s="9"/>
      <c r="D218" s="10"/>
      <c r="E218" s="14" t="str">
        <f aca="false">IF($D218="","",IFERROR(INDEX(품목목록!$B$3:$B$202,MATCH($D218,품목목록!$A$3:$A$202,0)),"미등록품번"))</f>
        <v/>
      </c>
      <c r="F218" s="14" t="str">
        <f aca="false">IF($D218="","",IFERROR(INDEX(품목목록!$D$3:$D$202,MATCH($D218,품목목록!$A$3:$A$202,0)),""))</f>
        <v/>
      </c>
      <c r="G218" s="11"/>
      <c r="H218" s="15"/>
      <c r="I218" s="16" t="str">
        <f aca="false">IF($A218="","",SUMIFS(반납내역!$D$3:$D$1502,반납내역!$B$3:$B$1502,$A218))</f>
        <v/>
      </c>
      <c r="J218" s="16" t="str">
        <f aca="false">IF($A218="","",IF($G218="","",$G218-$I218))</f>
        <v/>
      </c>
      <c r="K218" s="17" t="str">
        <f aca="true">IF(OR($A218="",$J218="",$J218&lt;=0,$H218=""),"",TODAY()-$H218)</f>
        <v/>
      </c>
      <c r="L218" s="14" t="str">
        <f aca="false">IF($A218="","",IF($G218="","",IF($J218&lt;=0,"반납완료",IF($I218&gt;0,"부분반납","미반납"))))</f>
        <v/>
      </c>
    </row>
    <row r="219" customFormat="false" ht="15" hidden="false" customHeight="false" outlineLevel="0" collapsed="false">
      <c r="A219" s="14" t="str">
        <f aca="false">IF($B219="","",TEXT($B219,"yymmdd")&amp;"-"&amp;TEXT(COUNTIFS($B$3:$B219,$B219),"00"))</f>
        <v/>
      </c>
      <c r="B219" s="15"/>
      <c r="C219" s="9"/>
      <c r="D219" s="10"/>
      <c r="E219" s="14" t="str">
        <f aca="false">IF($D219="","",IFERROR(INDEX(품목목록!$B$3:$B$202,MATCH($D219,품목목록!$A$3:$A$202,0)),"미등록품번"))</f>
        <v/>
      </c>
      <c r="F219" s="14" t="str">
        <f aca="false">IF($D219="","",IFERROR(INDEX(품목목록!$D$3:$D$202,MATCH($D219,품목목록!$A$3:$A$202,0)),""))</f>
        <v/>
      </c>
      <c r="G219" s="11"/>
      <c r="H219" s="15"/>
      <c r="I219" s="16" t="str">
        <f aca="false">IF($A219="","",SUMIFS(반납내역!$D$3:$D$1502,반납내역!$B$3:$B$1502,$A219))</f>
        <v/>
      </c>
      <c r="J219" s="16" t="str">
        <f aca="false">IF($A219="","",IF($G219="","",$G219-$I219))</f>
        <v/>
      </c>
      <c r="K219" s="17" t="str">
        <f aca="true">IF(OR($A219="",$J219="",$J219&lt;=0,$H219=""),"",TODAY()-$H219)</f>
        <v/>
      </c>
      <c r="L219" s="14" t="str">
        <f aca="false">IF($A219="","",IF($G219="","",IF($J219&lt;=0,"반납완료",IF($I219&gt;0,"부분반납","미반납"))))</f>
        <v/>
      </c>
    </row>
    <row r="220" customFormat="false" ht="15" hidden="false" customHeight="false" outlineLevel="0" collapsed="false">
      <c r="A220" s="14" t="str">
        <f aca="false">IF($B220="","",TEXT($B220,"yymmdd")&amp;"-"&amp;TEXT(COUNTIFS($B$3:$B220,$B220),"00"))</f>
        <v/>
      </c>
      <c r="B220" s="15"/>
      <c r="C220" s="9"/>
      <c r="D220" s="10"/>
      <c r="E220" s="14" t="str">
        <f aca="false">IF($D220="","",IFERROR(INDEX(품목목록!$B$3:$B$202,MATCH($D220,품목목록!$A$3:$A$202,0)),"미등록품번"))</f>
        <v/>
      </c>
      <c r="F220" s="14" t="str">
        <f aca="false">IF($D220="","",IFERROR(INDEX(품목목록!$D$3:$D$202,MATCH($D220,품목목록!$A$3:$A$202,0)),""))</f>
        <v/>
      </c>
      <c r="G220" s="11"/>
      <c r="H220" s="15"/>
      <c r="I220" s="16" t="str">
        <f aca="false">IF($A220="","",SUMIFS(반납내역!$D$3:$D$1502,반납내역!$B$3:$B$1502,$A220))</f>
        <v/>
      </c>
      <c r="J220" s="16" t="str">
        <f aca="false">IF($A220="","",IF($G220="","",$G220-$I220))</f>
        <v/>
      </c>
      <c r="K220" s="17" t="str">
        <f aca="true">IF(OR($A220="",$J220="",$J220&lt;=0,$H220=""),"",TODAY()-$H220)</f>
        <v/>
      </c>
      <c r="L220" s="14" t="str">
        <f aca="false">IF($A220="","",IF($G220="","",IF($J220&lt;=0,"반납완료",IF($I220&gt;0,"부분반납","미반납"))))</f>
        <v/>
      </c>
    </row>
    <row r="221" customFormat="false" ht="15" hidden="false" customHeight="false" outlineLevel="0" collapsed="false">
      <c r="A221" s="14" t="str">
        <f aca="false">IF($B221="","",TEXT($B221,"yymmdd")&amp;"-"&amp;TEXT(COUNTIFS($B$3:$B221,$B221),"00"))</f>
        <v/>
      </c>
      <c r="B221" s="15"/>
      <c r="C221" s="9"/>
      <c r="D221" s="10"/>
      <c r="E221" s="14" t="str">
        <f aca="false">IF($D221="","",IFERROR(INDEX(품목목록!$B$3:$B$202,MATCH($D221,품목목록!$A$3:$A$202,0)),"미등록품번"))</f>
        <v/>
      </c>
      <c r="F221" s="14" t="str">
        <f aca="false">IF($D221="","",IFERROR(INDEX(품목목록!$D$3:$D$202,MATCH($D221,품목목록!$A$3:$A$202,0)),""))</f>
        <v/>
      </c>
      <c r="G221" s="11"/>
      <c r="H221" s="15"/>
      <c r="I221" s="16" t="str">
        <f aca="false">IF($A221="","",SUMIFS(반납내역!$D$3:$D$1502,반납내역!$B$3:$B$1502,$A221))</f>
        <v/>
      </c>
      <c r="J221" s="16" t="str">
        <f aca="false">IF($A221="","",IF($G221="","",$G221-$I221))</f>
        <v/>
      </c>
      <c r="K221" s="17" t="str">
        <f aca="true">IF(OR($A221="",$J221="",$J221&lt;=0,$H221=""),"",TODAY()-$H221)</f>
        <v/>
      </c>
      <c r="L221" s="14" t="str">
        <f aca="false">IF($A221="","",IF($G221="","",IF($J221&lt;=0,"반납완료",IF($I221&gt;0,"부분반납","미반납"))))</f>
        <v/>
      </c>
    </row>
    <row r="222" customFormat="false" ht="15" hidden="false" customHeight="false" outlineLevel="0" collapsed="false">
      <c r="A222" s="14" t="str">
        <f aca="false">IF($B222="","",TEXT($B222,"yymmdd")&amp;"-"&amp;TEXT(COUNTIFS($B$3:$B222,$B222),"00"))</f>
        <v/>
      </c>
      <c r="B222" s="15"/>
      <c r="C222" s="9"/>
      <c r="D222" s="10"/>
      <c r="E222" s="14" t="str">
        <f aca="false">IF($D222="","",IFERROR(INDEX(품목목록!$B$3:$B$202,MATCH($D222,품목목록!$A$3:$A$202,0)),"미등록품번"))</f>
        <v/>
      </c>
      <c r="F222" s="14" t="str">
        <f aca="false">IF($D222="","",IFERROR(INDEX(품목목록!$D$3:$D$202,MATCH($D222,품목목록!$A$3:$A$202,0)),""))</f>
        <v/>
      </c>
      <c r="G222" s="11"/>
      <c r="H222" s="15"/>
      <c r="I222" s="16" t="str">
        <f aca="false">IF($A222="","",SUMIFS(반납내역!$D$3:$D$1502,반납내역!$B$3:$B$1502,$A222))</f>
        <v/>
      </c>
      <c r="J222" s="16" t="str">
        <f aca="false">IF($A222="","",IF($G222="","",$G222-$I222))</f>
        <v/>
      </c>
      <c r="K222" s="17" t="str">
        <f aca="true">IF(OR($A222="",$J222="",$J222&lt;=0,$H222=""),"",TODAY()-$H222)</f>
        <v/>
      </c>
      <c r="L222" s="14" t="str">
        <f aca="false">IF($A222="","",IF($G222="","",IF($J222&lt;=0,"반납완료",IF($I222&gt;0,"부분반납","미반납"))))</f>
        <v/>
      </c>
    </row>
    <row r="223" customFormat="false" ht="15" hidden="false" customHeight="false" outlineLevel="0" collapsed="false">
      <c r="A223" s="14" t="str">
        <f aca="false">IF($B223="","",TEXT($B223,"yymmdd")&amp;"-"&amp;TEXT(COUNTIFS($B$3:$B223,$B223),"00"))</f>
        <v/>
      </c>
      <c r="B223" s="15"/>
      <c r="C223" s="9"/>
      <c r="D223" s="10"/>
      <c r="E223" s="14" t="str">
        <f aca="false">IF($D223="","",IFERROR(INDEX(품목목록!$B$3:$B$202,MATCH($D223,품목목록!$A$3:$A$202,0)),"미등록품번"))</f>
        <v/>
      </c>
      <c r="F223" s="14" t="str">
        <f aca="false">IF($D223="","",IFERROR(INDEX(품목목록!$D$3:$D$202,MATCH($D223,품목목록!$A$3:$A$202,0)),""))</f>
        <v/>
      </c>
      <c r="G223" s="11"/>
      <c r="H223" s="15"/>
      <c r="I223" s="16" t="str">
        <f aca="false">IF($A223="","",SUMIFS(반납내역!$D$3:$D$1502,반납내역!$B$3:$B$1502,$A223))</f>
        <v/>
      </c>
      <c r="J223" s="16" t="str">
        <f aca="false">IF($A223="","",IF($G223="","",$G223-$I223))</f>
        <v/>
      </c>
      <c r="K223" s="17" t="str">
        <f aca="true">IF(OR($A223="",$J223="",$J223&lt;=0,$H223=""),"",TODAY()-$H223)</f>
        <v/>
      </c>
      <c r="L223" s="14" t="str">
        <f aca="false">IF($A223="","",IF($G223="","",IF($J223&lt;=0,"반납완료",IF($I223&gt;0,"부분반납","미반납"))))</f>
        <v/>
      </c>
    </row>
    <row r="224" customFormat="false" ht="15" hidden="false" customHeight="false" outlineLevel="0" collapsed="false">
      <c r="A224" s="14" t="str">
        <f aca="false">IF($B224="","",TEXT($B224,"yymmdd")&amp;"-"&amp;TEXT(COUNTIFS($B$3:$B224,$B224),"00"))</f>
        <v/>
      </c>
      <c r="B224" s="15"/>
      <c r="C224" s="9"/>
      <c r="D224" s="10"/>
      <c r="E224" s="14" t="str">
        <f aca="false">IF($D224="","",IFERROR(INDEX(품목목록!$B$3:$B$202,MATCH($D224,품목목록!$A$3:$A$202,0)),"미등록품번"))</f>
        <v/>
      </c>
      <c r="F224" s="14" t="str">
        <f aca="false">IF($D224="","",IFERROR(INDEX(품목목록!$D$3:$D$202,MATCH($D224,품목목록!$A$3:$A$202,0)),""))</f>
        <v/>
      </c>
      <c r="G224" s="11"/>
      <c r="H224" s="15"/>
      <c r="I224" s="16" t="str">
        <f aca="false">IF($A224="","",SUMIFS(반납내역!$D$3:$D$1502,반납내역!$B$3:$B$1502,$A224))</f>
        <v/>
      </c>
      <c r="J224" s="16" t="str">
        <f aca="false">IF($A224="","",IF($G224="","",$G224-$I224))</f>
        <v/>
      </c>
      <c r="K224" s="17" t="str">
        <f aca="true">IF(OR($A224="",$J224="",$J224&lt;=0,$H224=""),"",TODAY()-$H224)</f>
        <v/>
      </c>
      <c r="L224" s="14" t="str">
        <f aca="false">IF($A224="","",IF($G224="","",IF($J224&lt;=0,"반납완료",IF($I224&gt;0,"부분반납","미반납"))))</f>
        <v/>
      </c>
    </row>
    <row r="225" customFormat="false" ht="15" hidden="false" customHeight="false" outlineLevel="0" collapsed="false">
      <c r="A225" s="14" t="str">
        <f aca="false">IF($B225="","",TEXT($B225,"yymmdd")&amp;"-"&amp;TEXT(COUNTIFS($B$3:$B225,$B225),"00"))</f>
        <v/>
      </c>
      <c r="B225" s="15"/>
      <c r="C225" s="9"/>
      <c r="D225" s="10"/>
      <c r="E225" s="14" t="str">
        <f aca="false">IF($D225="","",IFERROR(INDEX(품목목록!$B$3:$B$202,MATCH($D225,품목목록!$A$3:$A$202,0)),"미등록품번"))</f>
        <v/>
      </c>
      <c r="F225" s="14" t="str">
        <f aca="false">IF($D225="","",IFERROR(INDEX(품목목록!$D$3:$D$202,MATCH($D225,품목목록!$A$3:$A$202,0)),""))</f>
        <v/>
      </c>
      <c r="G225" s="11"/>
      <c r="H225" s="15"/>
      <c r="I225" s="16" t="str">
        <f aca="false">IF($A225="","",SUMIFS(반납내역!$D$3:$D$1502,반납내역!$B$3:$B$1502,$A225))</f>
        <v/>
      </c>
      <c r="J225" s="16" t="str">
        <f aca="false">IF($A225="","",IF($G225="","",$G225-$I225))</f>
        <v/>
      </c>
      <c r="K225" s="17" t="str">
        <f aca="true">IF(OR($A225="",$J225="",$J225&lt;=0,$H225=""),"",TODAY()-$H225)</f>
        <v/>
      </c>
      <c r="L225" s="14" t="str">
        <f aca="false">IF($A225="","",IF($G225="","",IF($J225&lt;=0,"반납완료",IF($I225&gt;0,"부분반납","미반납"))))</f>
        <v/>
      </c>
    </row>
    <row r="226" customFormat="false" ht="15" hidden="false" customHeight="false" outlineLevel="0" collapsed="false">
      <c r="A226" s="14" t="str">
        <f aca="false">IF($B226="","",TEXT($B226,"yymmdd")&amp;"-"&amp;TEXT(COUNTIFS($B$3:$B226,$B226),"00"))</f>
        <v/>
      </c>
      <c r="B226" s="15"/>
      <c r="C226" s="9"/>
      <c r="D226" s="10"/>
      <c r="E226" s="14" t="str">
        <f aca="false">IF($D226="","",IFERROR(INDEX(품목목록!$B$3:$B$202,MATCH($D226,품목목록!$A$3:$A$202,0)),"미등록품번"))</f>
        <v/>
      </c>
      <c r="F226" s="14" t="str">
        <f aca="false">IF($D226="","",IFERROR(INDEX(품목목록!$D$3:$D$202,MATCH($D226,품목목록!$A$3:$A$202,0)),""))</f>
        <v/>
      </c>
      <c r="G226" s="11"/>
      <c r="H226" s="15"/>
      <c r="I226" s="16" t="str">
        <f aca="false">IF($A226="","",SUMIFS(반납내역!$D$3:$D$1502,반납내역!$B$3:$B$1502,$A226))</f>
        <v/>
      </c>
      <c r="J226" s="16" t="str">
        <f aca="false">IF($A226="","",IF($G226="","",$G226-$I226))</f>
        <v/>
      </c>
      <c r="K226" s="17" t="str">
        <f aca="true">IF(OR($A226="",$J226="",$J226&lt;=0,$H226=""),"",TODAY()-$H226)</f>
        <v/>
      </c>
      <c r="L226" s="14" t="str">
        <f aca="false">IF($A226="","",IF($G226="","",IF($J226&lt;=0,"반납완료",IF($I226&gt;0,"부분반납","미반납"))))</f>
        <v/>
      </c>
    </row>
    <row r="227" customFormat="false" ht="15" hidden="false" customHeight="false" outlineLevel="0" collapsed="false">
      <c r="A227" s="14" t="str">
        <f aca="false">IF($B227="","",TEXT($B227,"yymmdd")&amp;"-"&amp;TEXT(COUNTIFS($B$3:$B227,$B227),"00"))</f>
        <v/>
      </c>
      <c r="B227" s="15"/>
      <c r="C227" s="9"/>
      <c r="D227" s="10"/>
      <c r="E227" s="14" t="str">
        <f aca="false">IF($D227="","",IFERROR(INDEX(품목목록!$B$3:$B$202,MATCH($D227,품목목록!$A$3:$A$202,0)),"미등록품번"))</f>
        <v/>
      </c>
      <c r="F227" s="14" t="str">
        <f aca="false">IF($D227="","",IFERROR(INDEX(품목목록!$D$3:$D$202,MATCH($D227,품목목록!$A$3:$A$202,0)),""))</f>
        <v/>
      </c>
      <c r="G227" s="11"/>
      <c r="H227" s="15"/>
      <c r="I227" s="16" t="str">
        <f aca="false">IF($A227="","",SUMIFS(반납내역!$D$3:$D$1502,반납내역!$B$3:$B$1502,$A227))</f>
        <v/>
      </c>
      <c r="J227" s="16" t="str">
        <f aca="false">IF($A227="","",IF($G227="","",$G227-$I227))</f>
        <v/>
      </c>
      <c r="K227" s="17" t="str">
        <f aca="true">IF(OR($A227="",$J227="",$J227&lt;=0,$H227=""),"",TODAY()-$H227)</f>
        <v/>
      </c>
      <c r="L227" s="14" t="str">
        <f aca="false">IF($A227="","",IF($G227="","",IF($J227&lt;=0,"반납완료",IF($I227&gt;0,"부분반납","미반납"))))</f>
        <v/>
      </c>
    </row>
    <row r="228" customFormat="false" ht="15" hidden="false" customHeight="false" outlineLevel="0" collapsed="false">
      <c r="A228" s="14" t="str">
        <f aca="false">IF($B228="","",TEXT($B228,"yymmdd")&amp;"-"&amp;TEXT(COUNTIFS($B$3:$B228,$B228),"00"))</f>
        <v/>
      </c>
      <c r="B228" s="15"/>
      <c r="C228" s="9"/>
      <c r="D228" s="10"/>
      <c r="E228" s="14" t="str">
        <f aca="false">IF($D228="","",IFERROR(INDEX(품목목록!$B$3:$B$202,MATCH($D228,품목목록!$A$3:$A$202,0)),"미등록품번"))</f>
        <v/>
      </c>
      <c r="F228" s="14" t="str">
        <f aca="false">IF($D228="","",IFERROR(INDEX(품목목록!$D$3:$D$202,MATCH($D228,품목목록!$A$3:$A$202,0)),""))</f>
        <v/>
      </c>
      <c r="G228" s="11"/>
      <c r="H228" s="15"/>
      <c r="I228" s="16" t="str">
        <f aca="false">IF($A228="","",SUMIFS(반납내역!$D$3:$D$1502,반납내역!$B$3:$B$1502,$A228))</f>
        <v/>
      </c>
      <c r="J228" s="16" t="str">
        <f aca="false">IF($A228="","",IF($G228="","",$G228-$I228))</f>
        <v/>
      </c>
      <c r="K228" s="17" t="str">
        <f aca="true">IF(OR($A228="",$J228="",$J228&lt;=0,$H228=""),"",TODAY()-$H228)</f>
        <v/>
      </c>
      <c r="L228" s="14" t="str">
        <f aca="false">IF($A228="","",IF($G228="","",IF($J228&lt;=0,"반납완료",IF($I228&gt;0,"부분반납","미반납"))))</f>
        <v/>
      </c>
    </row>
    <row r="229" customFormat="false" ht="15" hidden="false" customHeight="false" outlineLevel="0" collapsed="false">
      <c r="A229" s="14" t="str">
        <f aca="false">IF($B229="","",TEXT($B229,"yymmdd")&amp;"-"&amp;TEXT(COUNTIFS($B$3:$B229,$B229),"00"))</f>
        <v/>
      </c>
      <c r="B229" s="15"/>
      <c r="C229" s="9"/>
      <c r="D229" s="10"/>
      <c r="E229" s="14" t="str">
        <f aca="false">IF($D229="","",IFERROR(INDEX(품목목록!$B$3:$B$202,MATCH($D229,품목목록!$A$3:$A$202,0)),"미등록품번"))</f>
        <v/>
      </c>
      <c r="F229" s="14" t="str">
        <f aca="false">IF($D229="","",IFERROR(INDEX(품목목록!$D$3:$D$202,MATCH($D229,품목목록!$A$3:$A$202,0)),""))</f>
        <v/>
      </c>
      <c r="G229" s="11"/>
      <c r="H229" s="15"/>
      <c r="I229" s="16" t="str">
        <f aca="false">IF($A229="","",SUMIFS(반납내역!$D$3:$D$1502,반납내역!$B$3:$B$1502,$A229))</f>
        <v/>
      </c>
      <c r="J229" s="16" t="str">
        <f aca="false">IF($A229="","",IF($G229="","",$G229-$I229))</f>
        <v/>
      </c>
      <c r="K229" s="17" t="str">
        <f aca="true">IF(OR($A229="",$J229="",$J229&lt;=0,$H229=""),"",TODAY()-$H229)</f>
        <v/>
      </c>
      <c r="L229" s="14" t="str">
        <f aca="false">IF($A229="","",IF($G229="","",IF($J229&lt;=0,"반납완료",IF($I229&gt;0,"부분반납","미반납"))))</f>
        <v/>
      </c>
    </row>
    <row r="230" customFormat="false" ht="15" hidden="false" customHeight="false" outlineLevel="0" collapsed="false">
      <c r="A230" s="14" t="str">
        <f aca="false">IF($B230="","",TEXT($B230,"yymmdd")&amp;"-"&amp;TEXT(COUNTIFS($B$3:$B230,$B230),"00"))</f>
        <v/>
      </c>
      <c r="B230" s="15"/>
      <c r="C230" s="9"/>
      <c r="D230" s="10"/>
      <c r="E230" s="14" t="str">
        <f aca="false">IF($D230="","",IFERROR(INDEX(품목목록!$B$3:$B$202,MATCH($D230,품목목록!$A$3:$A$202,0)),"미등록품번"))</f>
        <v/>
      </c>
      <c r="F230" s="14" t="str">
        <f aca="false">IF($D230="","",IFERROR(INDEX(품목목록!$D$3:$D$202,MATCH($D230,품목목록!$A$3:$A$202,0)),""))</f>
        <v/>
      </c>
      <c r="G230" s="11"/>
      <c r="H230" s="15"/>
      <c r="I230" s="16" t="str">
        <f aca="false">IF($A230="","",SUMIFS(반납내역!$D$3:$D$1502,반납내역!$B$3:$B$1502,$A230))</f>
        <v/>
      </c>
      <c r="J230" s="16" t="str">
        <f aca="false">IF($A230="","",IF($G230="","",$G230-$I230))</f>
        <v/>
      </c>
      <c r="K230" s="17" t="str">
        <f aca="true">IF(OR($A230="",$J230="",$J230&lt;=0,$H230=""),"",TODAY()-$H230)</f>
        <v/>
      </c>
      <c r="L230" s="14" t="str">
        <f aca="false">IF($A230="","",IF($G230="","",IF($J230&lt;=0,"반납완료",IF($I230&gt;0,"부분반납","미반납"))))</f>
        <v/>
      </c>
    </row>
    <row r="231" customFormat="false" ht="15" hidden="false" customHeight="false" outlineLevel="0" collapsed="false">
      <c r="A231" s="14" t="str">
        <f aca="false">IF($B231="","",TEXT($B231,"yymmdd")&amp;"-"&amp;TEXT(COUNTIFS($B$3:$B231,$B231),"00"))</f>
        <v/>
      </c>
      <c r="B231" s="15"/>
      <c r="C231" s="9"/>
      <c r="D231" s="10"/>
      <c r="E231" s="14" t="str">
        <f aca="false">IF($D231="","",IFERROR(INDEX(품목목록!$B$3:$B$202,MATCH($D231,품목목록!$A$3:$A$202,0)),"미등록품번"))</f>
        <v/>
      </c>
      <c r="F231" s="14" t="str">
        <f aca="false">IF($D231="","",IFERROR(INDEX(품목목록!$D$3:$D$202,MATCH($D231,품목목록!$A$3:$A$202,0)),""))</f>
        <v/>
      </c>
      <c r="G231" s="11"/>
      <c r="H231" s="15"/>
      <c r="I231" s="16" t="str">
        <f aca="false">IF($A231="","",SUMIFS(반납내역!$D$3:$D$1502,반납내역!$B$3:$B$1502,$A231))</f>
        <v/>
      </c>
      <c r="J231" s="16" t="str">
        <f aca="false">IF($A231="","",IF($G231="","",$G231-$I231))</f>
        <v/>
      </c>
      <c r="K231" s="17" t="str">
        <f aca="true">IF(OR($A231="",$J231="",$J231&lt;=0,$H231=""),"",TODAY()-$H231)</f>
        <v/>
      </c>
      <c r="L231" s="14" t="str">
        <f aca="false">IF($A231="","",IF($G231="","",IF($J231&lt;=0,"반납완료",IF($I231&gt;0,"부분반납","미반납"))))</f>
        <v/>
      </c>
    </row>
    <row r="232" customFormat="false" ht="15" hidden="false" customHeight="false" outlineLevel="0" collapsed="false">
      <c r="A232" s="14" t="str">
        <f aca="false">IF($B232="","",TEXT($B232,"yymmdd")&amp;"-"&amp;TEXT(COUNTIFS($B$3:$B232,$B232),"00"))</f>
        <v/>
      </c>
      <c r="B232" s="15"/>
      <c r="C232" s="9"/>
      <c r="D232" s="10"/>
      <c r="E232" s="14" t="str">
        <f aca="false">IF($D232="","",IFERROR(INDEX(품목목록!$B$3:$B$202,MATCH($D232,품목목록!$A$3:$A$202,0)),"미등록품번"))</f>
        <v/>
      </c>
      <c r="F232" s="14" t="str">
        <f aca="false">IF($D232="","",IFERROR(INDEX(품목목록!$D$3:$D$202,MATCH($D232,품목목록!$A$3:$A$202,0)),""))</f>
        <v/>
      </c>
      <c r="G232" s="11"/>
      <c r="H232" s="15"/>
      <c r="I232" s="16" t="str">
        <f aca="false">IF($A232="","",SUMIFS(반납내역!$D$3:$D$1502,반납내역!$B$3:$B$1502,$A232))</f>
        <v/>
      </c>
      <c r="J232" s="16" t="str">
        <f aca="false">IF($A232="","",IF($G232="","",$G232-$I232))</f>
        <v/>
      </c>
      <c r="K232" s="17" t="str">
        <f aca="true">IF(OR($A232="",$J232="",$J232&lt;=0,$H232=""),"",TODAY()-$H232)</f>
        <v/>
      </c>
      <c r="L232" s="14" t="str">
        <f aca="false">IF($A232="","",IF($G232="","",IF($J232&lt;=0,"반납완료",IF($I232&gt;0,"부분반납","미반납"))))</f>
        <v/>
      </c>
    </row>
    <row r="233" customFormat="false" ht="15" hidden="false" customHeight="false" outlineLevel="0" collapsed="false">
      <c r="A233" s="14" t="str">
        <f aca="false">IF($B233="","",TEXT($B233,"yymmdd")&amp;"-"&amp;TEXT(COUNTIFS($B$3:$B233,$B233),"00"))</f>
        <v/>
      </c>
      <c r="B233" s="15"/>
      <c r="C233" s="9"/>
      <c r="D233" s="10"/>
      <c r="E233" s="14" t="str">
        <f aca="false">IF($D233="","",IFERROR(INDEX(품목목록!$B$3:$B$202,MATCH($D233,품목목록!$A$3:$A$202,0)),"미등록품번"))</f>
        <v/>
      </c>
      <c r="F233" s="14" t="str">
        <f aca="false">IF($D233="","",IFERROR(INDEX(품목목록!$D$3:$D$202,MATCH($D233,품목목록!$A$3:$A$202,0)),""))</f>
        <v/>
      </c>
      <c r="G233" s="11"/>
      <c r="H233" s="15"/>
      <c r="I233" s="16" t="str">
        <f aca="false">IF($A233="","",SUMIFS(반납내역!$D$3:$D$1502,반납내역!$B$3:$B$1502,$A233))</f>
        <v/>
      </c>
      <c r="J233" s="16" t="str">
        <f aca="false">IF($A233="","",IF($G233="","",$G233-$I233))</f>
        <v/>
      </c>
      <c r="K233" s="17" t="str">
        <f aca="true">IF(OR($A233="",$J233="",$J233&lt;=0,$H233=""),"",TODAY()-$H233)</f>
        <v/>
      </c>
      <c r="L233" s="14" t="str">
        <f aca="false">IF($A233="","",IF($G233="","",IF($J233&lt;=0,"반납완료",IF($I233&gt;0,"부분반납","미반납"))))</f>
        <v/>
      </c>
    </row>
    <row r="234" customFormat="false" ht="15" hidden="false" customHeight="false" outlineLevel="0" collapsed="false">
      <c r="A234" s="14" t="str">
        <f aca="false">IF($B234="","",TEXT($B234,"yymmdd")&amp;"-"&amp;TEXT(COUNTIFS($B$3:$B234,$B234),"00"))</f>
        <v/>
      </c>
      <c r="B234" s="15"/>
      <c r="C234" s="9"/>
      <c r="D234" s="10"/>
      <c r="E234" s="14" t="str">
        <f aca="false">IF($D234="","",IFERROR(INDEX(품목목록!$B$3:$B$202,MATCH($D234,품목목록!$A$3:$A$202,0)),"미등록품번"))</f>
        <v/>
      </c>
      <c r="F234" s="14" t="str">
        <f aca="false">IF($D234="","",IFERROR(INDEX(품목목록!$D$3:$D$202,MATCH($D234,품목목록!$A$3:$A$202,0)),""))</f>
        <v/>
      </c>
      <c r="G234" s="11"/>
      <c r="H234" s="15"/>
      <c r="I234" s="16" t="str">
        <f aca="false">IF($A234="","",SUMIFS(반납내역!$D$3:$D$1502,반납내역!$B$3:$B$1502,$A234))</f>
        <v/>
      </c>
      <c r="J234" s="16" t="str">
        <f aca="false">IF($A234="","",IF($G234="","",$G234-$I234))</f>
        <v/>
      </c>
      <c r="K234" s="17" t="str">
        <f aca="true">IF(OR($A234="",$J234="",$J234&lt;=0,$H234=""),"",TODAY()-$H234)</f>
        <v/>
      </c>
      <c r="L234" s="14" t="str">
        <f aca="false">IF($A234="","",IF($G234="","",IF($J234&lt;=0,"반납완료",IF($I234&gt;0,"부분반납","미반납"))))</f>
        <v/>
      </c>
    </row>
    <row r="235" customFormat="false" ht="15" hidden="false" customHeight="false" outlineLevel="0" collapsed="false">
      <c r="A235" s="14" t="str">
        <f aca="false">IF($B235="","",TEXT($B235,"yymmdd")&amp;"-"&amp;TEXT(COUNTIFS($B$3:$B235,$B235),"00"))</f>
        <v/>
      </c>
      <c r="B235" s="15"/>
      <c r="C235" s="9"/>
      <c r="D235" s="10"/>
      <c r="E235" s="14" t="str">
        <f aca="false">IF($D235="","",IFERROR(INDEX(품목목록!$B$3:$B$202,MATCH($D235,품목목록!$A$3:$A$202,0)),"미등록품번"))</f>
        <v/>
      </c>
      <c r="F235" s="14" t="str">
        <f aca="false">IF($D235="","",IFERROR(INDEX(품목목록!$D$3:$D$202,MATCH($D235,품목목록!$A$3:$A$202,0)),""))</f>
        <v/>
      </c>
      <c r="G235" s="11"/>
      <c r="H235" s="15"/>
      <c r="I235" s="16" t="str">
        <f aca="false">IF($A235="","",SUMIFS(반납내역!$D$3:$D$1502,반납내역!$B$3:$B$1502,$A235))</f>
        <v/>
      </c>
      <c r="J235" s="16" t="str">
        <f aca="false">IF($A235="","",IF($G235="","",$G235-$I235))</f>
        <v/>
      </c>
      <c r="K235" s="17" t="str">
        <f aca="true">IF(OR($A235="",$J235="",$J235&lt;=0,$H235=""),"",TODAY()-$H235)</f>
        <v/>
      </c>
      <c r="L235" s="14" t="str">
        <f aca="false">IF($A235="","",IF($G235="","",IF($J235&lt;=0,"반납완료",IF($I235&gt;0,"부분반납","미반납"))))</f>
        <v/>
      </c>
    </row>
    <row r="236" customFormat="false" ht="15" hidden="false" customHeight="false" outlineLevel="0" collapsed="false">
      <c r="A236" s="14" t="str">
        <f aca="false">IF($B236="","",TEXT($B236,"yymmdd")&amp;"-"&amp;TEXT(COUNTIFS($B$3:$B236,$B236),"00"))</f>
        <v/>
      </c>
      <c r="B236" s="15"/>
      <c r="C236" s="9"/>
      <c r="D236" s="10"/>
      <c r="E236" s="14" t="str">
        <f aca="false">IF($D236="","",IFERROR(INDEX(품목목록!$B$3:$B$202,MATCH($D236,품목목록!$A$3:$A$202,0)),"미등록품번"))</f>
        <v/>
      </c>
      <c r="F236" s="14" t="str">
        <f aca="false">IF($D236="","",IFERROR(INDEX(품목목록!$D$3:$D$202,MATCH($D236,품목목록!$A$3:$A$202,0)),""))</f>
        <v/>
      </c>
      <c r="G236" s="11"/>
      <c r="H236" s="15"/>
      <c r="I236" s="16" t="str">
        <f aca="false">IF($A236="","",SUMIFS(반납내역!$D$3:$D$1502,반납내역!$B$3:$B$1502,$A236))</f>
        <v/>
      </c>
      <c r="J236" s="16" t="str">
        <f aca="false">IF($A236="","",IF($G236="","",$G236-$I236))</f>
        <v/>
      </c>
      <c r="K236" s="17" t="str">
        <f aca="true">IF(OR($A236="",$J236="",$J236&lt;=0,$H236=""),"",TODAY()-$H236)</f>
        <v/>
      </c>
      <c r="L236" s="14" t="str">
        <f aca="false">IF($A236="","",IF($G236="","",IF($J236&lt;=0,"반납완료",IF($I236&gt;0,"부분반납","미반납"))))</f>
        <v/>
      </c>
    </row>
    <row r="237" customFormat="false" ht="15" hidden="false" customHeight="false" outlineLevel="0" collapsed="false">
      <c r="A237" s="14" t="str">
        <f aca="false">IF($B237="","",TEXT($B237,"yymmdd")&amp;"-"&amp;TEXT(COUNTIFS($B$3:$B237,$B237),"00"))</f>
        <v/>
      </c>
      <c r="B237" s="15"/>
      <c r="C237" s="9"/>
      <c r="D237" s="10"/>
      <c r="E237" s="14" t="str">
        <f aca="false">IF($D237="","",IFERROR(INDEX(품목목록!$B$3:$B$202,MATCH($D237,품목목록!$A$3:$A$202,0)),"미등록품번"))</f>
        <v/>
      </c>
      <c r="F237" s="14" t="str">
        <f aca="false">IF($D237="","",IFERROR(INDEX(품목목록!$D$3:$D$202,MATCH($D237,품목목록!$A$3:$A$202,0)),""))</f>
        <v/>
      </c>
      <c r="G237" s="11"/>
      <c r="H237" s="15"/>
      <c r="I237" s="16" t="str">
        <f aca="false">IF($A237="","",SUMIFS(반납내역!$D$3:$D$1502,반납내역!$B$3:$B$1502,$A237))</f>
        <v/>
      </c>
      <c r="J237" s="16" t="str">
        <f aca="false">IF($A237="","",IF($G237="","",$G237-$I237))</f>
        <v/>
      </c>
      <c r="K237" s="17" t="str">
        <f aca="true">IF(OR($A237="",$J237="",$J237&lt;=0,$H237=""),"",TODAY()-$H237)</f>
        <v/>
      </c>
      <c r="L237" s="14" t="str">
        <f aca="false">IF($A237="","",IF($G237="","",IF($J237&lt;=0,"반납완료",IF($I237&gt;0,"부분반납","미반납"))))</f>
        <v/>
      </c>
    </row>
    <row r="238" customFormat="false" ht="15" hidden="false" customHeight="false" outlineLevel="0" collapsed="false">
      <c r="A238" s="14" t="str">
        <f aca="false">IF($B238="","",TEXT($B238,"yymmdd")&amp;"-"&amp;TEXT(COUNTIFS($B$3:$B238,$B238),"00"))</f>
        <v/>
      </c>
      <c r="B238" s="15"/>
      <c r="C238" s="9"/>
      <c r="D238" s="10"/>
      <c r="E238" s="14" t="str">
        <f aca="false">IF($D238="","",IFERROR(INDEX(품목목록!$B$3:$B$202,MATCH($D238,품목목록!$A$3:$A$202,0)),"미등록품번"))</f>
        <v/>
      </c>
      <c r="F238" s="14" t="str">
        <f aca="false">IF($D238="","",IFERROR(INDEX(품목목록!$D$3:$D$202,MATCH($D238,품목목록!$A$3:$A$202,0)),""))</f>
        <v/>
      </c>
      <c r="G238" s="11"/>
      <c r="H238" s="15"/>
      <c r="I238" s="16" t="str">
        <f aca="false">IF($A238="","",SUMIFS(반납내역!$D$3:$D$1502,반납내역!$B$3:$B$1502,$A238))</f>
        <v/>
      </c>
      <c r="J238" s="16" t="str">
        <f aca="false">IF($A238="","",IF($G238="","",$G238-$I238))</f>
        <v/>
      </c>
      <c r="K238" s="17" t="str">
        <f aca="true">IF(OR($A238="",$J238="",$J238&lt;=0,$H238=""),"",TODAY()-$H238)</f>
        <v/>
      </c>
      <c r="L238" s="14" t="str">
        <f aca="false">IF($A238="","",IF($G238="","",IF($J238&lt;=0,"반납완료",IF($I238&gt;0,"부분반납","미반납"))))</f>
        <v/>
      </c>
    </row>
    <row r="239" customFormat="false" ht="15" hidden="false" customHeight="false" outlineLevel="0" collapsed="false">
      <c r="A239" s="14" t="str">
        <f aca="false">IF($B239="","",TEXT($B239,"yymmdd")&amp;"-"&amp;TEXT(COUNTIFS($B$3:$B239,$B239),"00"))</f>
        <v/>
      </c>
      <c r="B239" s="15"/>
      <c r="C239" s="9"/>
      <c r="D239" s="10"/>
      <c r="E239" s="14" t="str">
        <f aca="false">IF($D239="","",IFERROR(INDEX(품목목록!$B$3:$B$202,MATCH($D239,품목목록!$A$3:$A$202,0)),"미등록품번"))</f>
        <v/>
      </c>
      <c r="F239" s="14" t="str">
        <f aca="false">IF($D239="","",IFERROR(INDEX(품목목록!$D$3:$D$202,MATCH($D239,품목목록!$A$3:$A$202,0)),""))</f>
        <v/>
      </c>
      <c r="G239" s="11"/>
      <c r="H239" s="15"/>
      <c r="I239" s="16" t="str">
        <f aca="false">IF($A239="","",SUMIFS(반납내역!$D$3:$D$1502,반납내역!$B$3:$B$1502,$A239))</f>
        <v/>
      </c>
      <c r="J239" s="16" t="str">
        <f aca="false">IF($A239="","",IF($G239="","",$G239-$I239))</f>
        <v/>
      </c>
      <c r="K239" s="17" t="str">
        <f aca="true">IF(OR($A239="",$J239="",$J239&lt;=0,$H239=""),"",TODAY()-$H239)</f>
        <v/>
      </c>
      <c r="L239" s="14" t="str">
        <f aca="false">IF($A239="","",IF($G239="","",IF($J239&lt;=0,"반납완료",IF($I239&gt;0,"부분반납","미반납"))))</f>
        <v/>
      </c>
    </row>
    <row r="240" customFormat="false" ht="15" hidden="false" customHeight="false" outlineLevel="0" collapsed="false">
      <c r="A240" s="14" t="str">
        <f aca="false">IF($B240="","",TEXT($B240,"yymmdd")&amp;"-"&amp;TEXT(COUNTIFS($B$3:$B240,$B240),"00"))</f>
        <v/>
      </c>
      <c r="B240" s="15"/>
      <c r="C240" s="9"/>
      <c r="D240" s="10"/>
      <c r="E240" s="14" t="str">
        <f aca="false">IF($D240="","",IFERROR(INDEX(품목목록!$B$3:$B$202,MATCH($D240,품목목록!$A$3:$A$202,0)),"미등록품번"))</f>
        <v/>
      </c>
      <c r="F240" s="14" t="str">
        <f aca="false">IF($D240="","",IFERROR(INDEX(품목목록!$D$3:$D$202,MATCH($D240,품목목록!$A$3:$A$202,0)),""))</f>
        <v/>
      </c>
      <c r="G240" s="11"/>
      <c r="H240" s="15"/>
      <c r="I240" s="16" t="str">
        <f aca="false">IF($A240="","",SUMIFS(반납내역!$D$3:$D$1502,반납내역!$B$3:$B$1502,$A240))</f>
        <v/>
      </c>
      <c r="J240" s="16" t="str">
        <f aca="false">IF($A240="","",IF($G240="","",$G240-$I240))</f>
        <v/>
      </c>
      <c r="K240" s="17" t="str">
        <f aca="true">IF(OR($A240="",$J240="",$J240&lt;=0,$H240=""),"",TODAY()-$H240)</f>
        <v/>
      </c>
      <c r="L240" s="14" t="str">
        <f aca="false">IF($A240="","",IF($G240="","",IF($J240&lt;=0,"반납완료",IF($I240&gt;0,"부분반납","미반납"))))</f>
        <v/>
      </c>
    </row>
    <row r="241" customFormat="false" ht="15" hidden="false" customHeight="false" outlineLevel="0" collapsed="false">
      <c r="A241" s="14" t="str">
        <f aca="false">IF($B241="","",TEXT($B241,"yymmdd")&amp;"-"&amp;TEXT(COUNTIFS($B$3:$B241,$B241),"00"))</f>
        <v/>
      </c>
      <c r="B241" s="15"/>
      <c r="C241" s="9"/>
      <c r="D241" s="10"/>
      <c r="E241" s="14" t="str">
        <f aca="false">IF($D241="","",IFERROR(INDEX(품목목록!$B$3:$B$202,MATCH($D241,품목목록!$A$3:$A$202,0)),"미등록품번"))</f>
        <v/>
      </c>
      <c r="F241" s="14" t="str">
        <f aca="false">IF($D241="","",IFERROR(INDEX(품목목록!$D$3:$D$202,MATCH($D241,품목목록!$A$3:$A$202,0)),""))</f>
        <v/>
      </c>
      <c r="G241" s="11"/>
      <c r="H241" s="15"/>
      <c r="I241" s="16" t="str">
        <f aca="false">IF($A241="","",SUMIFS(반납내역!$D$3:$D$1502,반납내역!$B$3:$B$1502,$A241))</f>
        <v/>
      </c>
      <c r="J241" s="16" t="str">
        <f aca="false">IF($A241="","",IF($G241="","",$G241-$I241))</f>
        <v/>
      </c>
      <c r="K241" s="17" t="str">
        <f aca="true">IF(OR($A241="",$J241="",$J241&lt;=0,$H241=""),"",TODAY()-$H241)</f>
        <v/>
      </c>
      <c r="L241" s="14" t="str">
        <f aca="false">IF($A241="","",IF($G241="","",IF($J241&lt;=0,"반납완료",IF($I241&gt;0,"부분반납","미반납"))))</f>
        <v/>
      </c>
    </row>
    <row r="242" customFormat="false" ht="15" hidden="false" customHeight="false" outlineLevel="0" collapsed="false">
      <c r="A242" s="14" t="str">
        <f aca="false">IF($B242="","",TEXT($B242,"yymmdd")&amp;"-"&amp;TEXT(COUNTIFS($B$3:$B242,$B242),"00"))</f>
        <v/>
      </c>
      <c r="B242" s="15"/>
      <c r="C242" s="9"/>
      <c r="D242" s="10"/>
      <c r="E242" s="14" t="str">
        <f aca="false">IF($D242="","",IFERROR(INDEX(품목목록!$B$3:$B$202,MATCH($D242,품목목록!$A$3:$A$202,0)),"미등록품번"))</f>
        <v/>
      </c>
      <c r="F242" s="14" t="str">
        <f aca="false">IF($D242="","",IFERROR(INDEX(품목목록!$D$3:$D$202,MATCH($D242,품목목록!$A$3:$A$202,0)),""))</f>
        <v/>
      </c>
      <c r="G242" s="11"/>
      <c r="H242" s="15"/>
      <c r="I242" s="16" t="str">
        <f aca="false">IF($A242="","",SUMIFS(반납내역!$D$3:$D$1502,반납내역!$B$3:$B$1502,$A242))</f>
        <v/>
      </c>
      <c r="J242" s="16" t="str">
        <f aca="false">IF($A242="","",IF($G242="","",$G242-$I242))</f>
        <v/>
      </c>
      <c r="K242" s="17" t="str">
        <f aca="true">IF(OR($A242="",$J242="",$J242&lt;=0,$H242=""),"",TODAY()-$H242)</f>
        <v/>
      </c>
      <c r="L242" s="14" t="str">
        <f aca="false">IF($A242="","",IF($G242="","",IF($J242&lt;=0,"반납완료",IF($I242&gt;0,"부분반납","미반납"))))</f>
        <v/>
      </c>
    </row>
    <row r="243" customFormat="false" ht="15" hidden="false" customHeight="false" outlineLevel="0" collapsed="false">
      <c r="A243" s="14" t="str">
        <f aca="false">IF($B243="","",TEXT($B243,"yymmdd")&amp;"-"&amp;TEXT(COUNTIFS($B$3:$B243,$B243),"00"))</f>
        <v/>
      </c>
      <c r="B243" s="15"/>
      <c r="C243" s="9"/>
      <c r="D243" s="10"/>
      <c r="E243" s="14" t="str">
        <f aca="false">IF($D243="","",IFERROR(INDEX(품목목록!$B$3:$B$202,MATCH($D243,품목목록!$A$3:$A$202,0)),"미등록품번"))</f>
        <v/>
      </c>
      <c r="F243" s="14" t="str">
        <f aca="false">IF($D243="","",IFERROR(INDEX(품목목록!$D$3:$D$202,MATCH($D243,품목목록!$A$3:$A$202,0)),""))</f>
        <v/>
      </c>
      <c r="G243" s="11"/>
      <c r="H243" s="15"/>
      <c r="I243" s="16" t="str">
        <f aca="false">IF($A243="","",SUMIFS(반납내역!$D$3:$D$1502,반납내역!$B$3:$B$1502,$A243))</f>
        <v/>
      </c>
      <c r="J243" s="16" t="str">
        <f aca="false">IF($A243="","",IF($G243="","",$G243-$I243))</f>
        <v/>
      </c>
      <c r="K243" s="17" t="str">
        <f aca="true">IF(OR($A243="",$J243="",$J243&lt;=0,$H243=""),"",TODAY()-$H243)</f>
        <v/>
      </c>
      <c r="L243" s="14" t="str">
        <f aca="false">IF($A243="","",IF($G243="","",IF($J243&lt;=0,"반납완료",IF($I243&gt;0,"부분반납","미반납"))))</f>
        <v/>
      </c>
    </row>
    <row r="244" customFormat="false" ht="15" hidden="false" customHeight="false" outlineLevel="0" collapsed="false">
      <c r="A244" s="14" t="str">
        <f aca="false">IF($B244="","",TEXT($B244,"yymmdd")&amp;"-"&amp;TEXT(COUNTIFS($B$3:$B244,$B244),"00"))</f>
        <v/>
      </c>
      <c r="B244" s="15"/>
      <c r="C244" s="9"/>
      <c r="D244" s="10"/>
      <c r="E244" s="14" t="str">
        <f aca="false">IF($D244="","",IFERROR(INDEX(품목목록!$B$3:$B$202,MATCH($D244,품목목록!$A$3:$A$202,0)),"미등록품번"))</f>
        <v/>
      </c>
      <c r="F244" s="14" t="str">
        <f aca="false">IF($D244="","",IFERROR(INDEX(품목목록!$D$3:$D$202,MATCH($D244,품목목록!$A$3:$A$202,0)),""))</f>
        <v/>
      </c>
      <c r="G244" s="11"/>
      <c r="H244" s="15"/>
      <c r="I244" s="16" t="str">
        <f aca="false">IF($A244="","",SUMIFS(반납내역!$D$3:$D$1502,반납내역!$B$3:$B$1502,$A244))</f>
        <v/>
      </c>
      <c r="J244" s="16" t="str">
        <f aca="false">IF($A244="","",IF($G244="","",$G244-$I244))</f>
        <v/>
      </c>
      <c r="K244" s="17" t="str">
        <f aca="true">IF(OR($A244="",$J244="",$J244&lt;=0,$H244=""),"",TODAY()-$H244)</f>
        <v/>
      </c>
      <c r="L244" s="14" t="str">
        <f aca="false">IF($A244="","",IF($G244="","",IF($J244&lt;=0,"반납완료",IF($I244&gt;0,"부분반납","미반납"))))</f>
        <v/>
      </c>
    </row>
    <row r="245" customFormat="false" ht="15" hidden="false" customHeight="false" outlineLevel="0" collapsed="false">
      <c r="A245" s="14" t="str">
        <f aca="false">IF($B245="","",TEXT($B245,"yymmdd")&amp;"-"&amp;TEXT(COUNTIFS($B$3:$B245,$B245),"00"))</f>
        <v/>
      </c>
      <c r="B245" s="15"/>
      <c r="C245" s="9"/>
      <c r="D245" s="10"/>
      <c r="E245" s="14" t="str">
        <f aca="false">IF($D245="","",IFERROR(INDEX(품목목록!$B$3:$B$202,MATCH($D245,품목목록!$A$3:$A$202,0)),"미등록품번"))</f>
        <v/>
      </c>
      <c r="F245" s="14" t="str">
        <f aca="false">IF($D245="","",IFERROR(INDEX(품목목록!$D$3:$D$202,MATCH($D245,품목목록!$A$3:$A$202,0)),""))</f>
        <v/>
      </c>
      <c r="G245" s="11"/>
      <c r="H245" s="15"/>
      <c r="I245" s="16" t="str">
        <f aca="false">IF($A245="","",SUMIFS(반납내역!$D$3:$D$1502,반납내역!$B$3:$B$1502,$A245))</f>
        <v/>
      </c>
      <c r="J245" s="16" t="str">
        <f aca="false">IF($A245="","",IF($G245="","",$G245-$I245))</f>
        <v/>
      </c>
      <c r="K245" s="17" t="str">
        <f aca="true">IF(OR($A245="",$J245="",$J245&lt;=0,$H245=""),"",TODAY()-$H245)</f>
        <v/>
      </c>
      <c r="L245" s="14" t="str">
        <f aca="false">IF($A245="","",IF($G245="","",IF($J245&lt;=0,"반납완료",IF($I245&gt;0,"부분반납","미반납"))))</f>
        <v/>
      </c>
    </row>
    <row r="246" customFormat="false" ht="15" hidden="false" customHeight="false" outlineLevel="0" collapsed="false">
      <c r="A246" s="14" t="str">
        <f aca="false">IF($B246="","",TEXT($B246,"yymmdd")&amp;"-"&amp;TEXT(COUNTIFS($B$3:$B246,$B246),"00"))</f>
        <v/>
      </c>
      <c r="B246" s="15"/>
      <c r="C246" s="9"/>
      <c r="D246" s="10"/>
      <c r="E246" s="14" t="str">
        <f aca="false">IF($D246="","",IFERROR(INDEX(품목목록!$B$3:$B$202,MATCH($D246,품목목록!$A$3:$A$202,0)),"미등록품번"))</f>
        <v/>
      </c>
      <c r="F246" s="14" t="str">
        <f aca="false">IF($D246="","",IFERROR(INDEX(품목목록!$D$3:$D$202,MATCH($D246,품목목록!$A$3:$A$202,0)),""))</f>
        <v/>
      </c>
      <c r="G246" s="11"/>
      <c r="H246" s="15"/>
      <c r="I246" s="16" t="str">
        <f aca="false">IF($A246="","",SUMIFS(반납내역!$D$3:$D$1502,반납내역!$B$3:$B$1502,$A246))</f>
        <v/>
      </c>
      <c r="J246" s="16" t="str">
        <f aca="false">IF($A246="","",IF($G246="","",$G246-$I246))</f>
        <v/>
      </c>
      <c r="K246" s="17" t="str">
        <f aca="true">IF(OR($A246="",$J246="",$J246&lt;=0,$H246=""),"",TODAY()-$H246)</f>
        <v/>
      </c>
      <c r="L246" s="14" t="str">
        <f aca="false">IF($A246="","",IF($G246="","",IF($J246&lt;=0,"반납완료",IF($I246&gt;0,"부분반납","미반납"))))</f>
        <v/>
      </c>
    </row>
    <row r="247" customFormat="false" ht="15" hidden="false" customHeight="false" outlineLevel="0" collapsed="false">
      <c r="A247" s="14" t="str">
        <f aca="false">IF($B247="","",TEXT($B247,"yymmdd")&amp;"-"&amp;TEXT(COUNTIFS($B$3:$B247,$B247),"00"))</f>
        <v/>
      </c>
      <c r="B247" s="15"/>
      <c r="C247" s="9"/>
      <c r="D247" s="10"/>
      <c r="E247" s="14" t="str">
        <f aca="false">IF($D247="","",IFERROR(INDEX(품목목록!$B$3:$B$202,MATCH($D247,품목목록!$A$3:$A$202,0)),"미등록품번"))</f>
        <v/>
      </c>
      <c r="F247" s="14" t="str">
        <f aca="false">IF($D247="","",IFERROR(INDEX(품목목록!$D$3:$D$202,MATCH($D247,품목목록!$A$3:$A$202,0)),""))</f>
        <v/>
      </c>
      <c r="G247" s="11"/>
      <c r="H247" s="15"/>
      <c r="I247" s="16" t="str">
        <f aca="false">IF($A247="","",SUMIFS(반납내역!$D$3:$D$1502,반납내역!$B$3:$B$1502,$A247))</f>
        <v/>
      </c>
      <c r="J247" s="16" t="str">
        <f aca="false">IF($A247="","",IF($G247="","",$G247-$I247))</f>
        <v/>
      </c>
      <c r="K247" s="17" t="str">
        <f aca="true">IF(OR($A247="",$J247="",$J247&lt;=0,$H247=""),"",TODAY()-$H247)</f>
        <v/>
      </c>
      <c r="L247" s="14" t="str">
        <f aca="false">IF($A247="","",IF($G247="","",IF($J247&lt;=0,"반납완료",IF($I247&gt;0,"부분반납","미반납"))))</f>
        <v/>
      </c>
    </row>
    <row r="248" customFormat="false" ht="15" hidden="false" customHeight="false" outlineLevel="0" collapsed="false">
      <c r="A248" s="14" t="str">
        <f aca="false">IF($B248="","",TEXT($B248,"yymmdd")&amp;"-"&amp;TEXT(COUNTIFS($B$3:$B248,$B248),"00"))</f>
        <v/>
      </c>
      <c r="B248" s="15"/>
      <c r="C248" s="9"/>
      <c r="D248" s="10"/>
      <c r="E248" s="14" t="str">
        <f aca="false">IF($D248="","",IFERROR(INDEX(품목목록!$B$3:$B$202,MATCH($D248,품목목록!$A$3:$A$202,0)),"미등록품번"))</f>
        <v/>
      </c>
      <c r="F248" s="14" t="str">
        <f aca="false">IF($D248="","",IFERROR(INDEX(품목목록!$D$3:$D$202,MATCH($D248,품목목록!$A$3:$A$202,0)),""))</f>
        <v/>
      </c>
      <c r="G248" s="11"/>
      <c r="H248" s="15"/>
      <c r="I248" s="16" t="str">
        <f aca="false">IF($A248="","",SUMIFS(반납내역!$D$3:$D$1502,반납내역!$B$3:$B$1502,$A248))</f>
        <v/>
      </c>
      <c r="J248" s="16" t="str">
        <f aca="false">IF($A248="","",IF($G248="","",$G248-$I248))</f>
        <v/>
      </c>
      <c r="K248" s="17" t="str">
        <f aca="true">IF(OR($A248="",$J248="",$J248&lt;=0,$H248=""),"",TODAY()-$H248)</f>
        <v/>
      </c>
      <c r="L248" s="14" t="str">
        <f aca="false">IF($A248="","",IF($G248="","",IF($J248&lt;=0,"반납완료",IF($I248&gt;0,"부분반납","미반납"))))</f>
        <v/>
      </c>
    </row>
    <row r="249" customFormat="false" ht="15" hidden="false" customHeight="false" outlineLevel="0" collapsed="false">
      <c r="A249" s="14" t="str">
        <f aca="false">IF($B249="","",TEXT($B249,"yymmdd")&amp;"-"&amp;TEXT(COUNTIFS($B$3:$B249,$B249),"00"))</f>
        <v/>
      </c>
      <c r="B249" s="15"/>
      <c r="C249" s="9"/>
      <c r="D249" s="10"/>
      <c r="E249" s="14" t="str">
        <f aca="false">IF($D249="","",IFERROR(INDEX(품목목록!$B$3:$B$202,MATCH($D249,품목목록!$A$3:$A$202,0)),"미등록품번"))</f>
        <v/>
      </c>
      <c r="F249" s="14" t="str">
        <f aca="false">IF($D249="","",IFERROR(INDEX(품목목록!$D$3:$D$202,MATCH($D249,품목목록!$A$3:$A$202,0)),""))</f>
        <v/>
      </c>
      <c r="G249" s="11"/>
      <c r="H249" s="15"/>
      <c r="I249" s="16" t="str">
        <f aca="false">IF($A249="","",SUMIFS(반납내역!$D$3:$D$1502,반납내역!$B$3:$B$1502,$A249))</f>
        <v/>
      </c>
      <c r="J249" s="16" t="str">
        <f aca="false">IF($A249="","",IF($G249="","",$G249-$I249))</f>
        <v/>
      </c>
      <c r="K249" s="17" t="str">
        <f aca="true">IF(OR($A249="",$J249="",$J249&lt;=0,$H249=""),"",TODAY()-$H249)</f>
        <v/>
      </c>
      <c r="L249" s="14" t="str">
        <f aca="false">IF($A249="","",IF($G249="","",IF($J249&lt;=0,"반납완료",IF($I249&gt;0,"부분반납","미반납"))))</f>
        <v/>
      </c>
    </row>
    <row r="250" customFormat="false" ht="15" hidden="false" customHeight="false" outlineLevel="0" collapsed="false">
      <c r="A250" s="14" t="str">
        <f aca="false">IF($B250="","",TEXT($B250,"yymmdd")&amp;"-"&amp;TEXT(COUNTIFS($B$3:$B250,$B250),"00"))</f>
        <v/>
      </c>
      <c r="B250" s="15"/>
      <c r="C250" s="9"/>
      <c r="D250" s="10"/>
      <c r="E250" s="14" t="str">
        <f aca="false">IF($D250="","",IFERROR(INDEX(품목목록!$B$3:$B$202,MATCH($D250,품목목록!$A$3:$A$202,0)),"미등록품번"))</f>
        <v/>
      </c>
      <c r="F250" s="14" t="str">
        <f aca="false">IF($D250="","",IFERROR(INDEX(품목목록!$D$3:$D$202,MATCH($D250,품목목록!$A$3:$A$202,0)),""))</f>
        <v/>
      </c>
      <c r="G250" s="11"/>
      <c r="H250" s="15"/>
      <c r="I250" s="16" t="str">
        <f aca="false">IF($A250="","",SUMIFS(반납내역!$D$3:$D$1502,반납내역!$B$3:$B$1502,$A250))</f>
        <v/>
      </c>
      <c r="J250" s="16" t="str">
        <f aca="false">IF($A250="","",IF($G250="","",$G250-$I250))</f>
        <v/>
      </c>
      <c r="K250" s="17" t="str">
        <f aca="true">IF(OR($A250="",$J250="",$J250&lt;=0,$H250=""),"",TODAY()-$H250)</f>
        <v/>
      </c>
      <c r="L250" s="14" t="str">
        <f aca="false">IF($A250="","",IF($G250="","",IF($J250&lt;=0,"반납완료",IF($I250&gt;0,"부분반납","미반납"))))</f>
        <v/>
      </c>
    </row>
    <row r="251" customFormat="false" ht="15" hidden="false" customHeight="false" outlineLevel="0" collapsed="false">
      <c r="A251" s="14" t="str">
        <f aca="false">IF($B251="","",TEXT($B251,"yymmdd")&amp;"-"&amp;TEXT(COUNTIFS($B$3:$B251,$B251),"00"))</f>
        <v/>
      </c>
      <c r="B251" s="15"/>
      <c r="C251" s="9"/>
      <c r="D251" s="10"/>
      <c r="E251" s="14" t="str">
        <f aca="false">IF($D251="","",IFERROR(INDEX(품목목록!$B$3:$B$202,MATCH($D251,품목목록!$A$3:$A$202,0)),"미등록품번"))</f>
        <v/>
      </c>
      <c r="F251" s="14" t="str">
        <f aca="false">IF($D251="","",IFERROR(INDEX(품목목록!$D$3:$D$202,MATCH($D251,품목목록!$A$3:$A$202,0)),""))</f>
        <v/>
      </c>
      <c r="G251" s="11"/>
      <c r="H251" s="15"/>
      <c r="I251" s="16" t="str">
        <f aca="false">IF($A251="","",SUMIFS(반납내역!$D$3:$D$1502,반납내역!$B$3:$B$1502,$A251))</f>
        <v/>
      </c>
      <c r="J251" s="16" t="str">
        <f aca="false">IF($A251="","",IF($G251="","",$G251-$I251))</f>
        <v/>
      </c>
      <c r="K251" s="17" t="str">
        <f aca="true">IF(OR($A251="",$J251="",$J251&lt;=0,$H251=""),"",TODAY()-$H251)</f>
        <v/>
      </c>
      <c r="L251" s="14" t="str">
        <f aca="false">IF($A251="","",IF($G251="","",IF($J251&lt;=0,"반납완료",IF($I251&gt;0,"부분반납","미반납"))))</f>
        <v/>
      </c>
    </row>
    <row r="252" customFormat="false" ht="15" hidden="false" customHeight="false" outlineLevel="0" collapsed="false">
      <c r="A252" s="14" t="str">
        <f aca="false">IF($B252="","",TEXT($B252,"yymmdd")&amp;"-"&amp;TEXT(COUNTIFS($B$3:$B252,$B252),"00"))</f>
        <v/>
      </c>
      <c r="B252" s="15"/>
      <c r="C252" s="9"/>
      <c r="D252" s="10"/>
      <c r="E252" s="14" t="str">
        <f aca="false">IF($D252="","",IFERROR(INDEX(품목목록!$B$3:$B$202,MATCH($D252,품목목록!$A$3:$A$202,0)),"미등록품번"))</f>
        <v/>
      </c>
      <c r="F252" s="14" t="str">
        <f aca="false">IF($D252="","",IFERROR(INDEX(품목목록!$D$3:$D$202,MATCH($D252,품목목록!$A$3:$A$202,0)),""))</f>
        <v/>
      </c>
      <c r="G252" s="11"/>
      <c r="H252" s="15"/>
      <c r="I252" s="16" t="str">
        <f aca="false">IF($A252="","",SUMIFS(반납내역!$D$3:$D$1502,반납내역!$B$3:$B$1502,$A252))</f>
        <v/>
      </c>
      <c r="J252" s="16" t="str">
        <f aca="false">IF($A252="","",IF($G252="","",$G252-$I252))</f>
        <v/>
      </c>
      <c r="K252" s="17" t="str">
        <f aca="true">IF(OR($A252="",$J252="",$J252&lt;=0,$H252=""),"",TODAY()-$H252)</f>
        <v/>
      </c>
      <c r="L252" s="14" t="str">
        <f aca="false">IF($A252="","",IF($G252="","",IF($J252&lt;=0,"반납완료",IF($I252&gt;0,"부분반납","미반납"))))</f>
        <v/>
      </c>
    </row>
    <row r="253" customFormat="false" ht="15" hidden="false" customHeight="false" outlineLevel="0" collapsed="false">
      <c r="A253" s="14" t="str">
        <f aca="false">IF($B253="","",TEXT($B253,"yymmdd")&amp;"-"&amp;TEXT(COUNTIFS($B$3:$B253,$B253),"00"))</f>
        <v/>
      </c>
      <c r="B253" s="15"/>
      <c r="C253" s="9"/>
      <c r="D253" s="10"/>
      <c r="E253" s="14" t="str">
        <f aca="false">IF($D253="","",IFERROR(INDEX(품목목록!$B$3:$B$202,MATCH($D253,품목목록!$A$3:$A$202,0)),"미등록품번"))</f>
        <v/>
      </c>
      <c r="F253" s="14" t="str">
        <f aca="false">IF($D253="","",IFERROR(INDEX(품목목록!$D$3:$D$202,MATCH($D253,품목목록!$A$3:$A$202,0)),""))</f>
        <v/>
      </c>
      <c r="G253" s="11"/>
      <c r="H253" s="15"/>
      <c r="I253" s="16" t="str">
        <f aca="false">IF($A253="","",SUMIFS(반납내역!$D$3:$D$1502,반납내역!$B$3:$B$1502,$A253))</f>
        <v/>
      </c>
      <c r="J253" s="16" t="str">
        <f aca="false">IF($A253="","",IF($G253="","",$G253-$I253))</f>
        <v/>
      </c>
      <c r="K253" s="17" t="str">
        <f aca="true">IF(OR($A253="",$J253="",$J253&lt;=0,$H253=""),"",TODAY()-$H253)</f>
        <v/>
      </c>
      <c r="L253" s="14" t="str">
        <f aca="false">IF($A253="","",IF($G253="","",IF($J253&lt;=0,"반납완료",IF($I253&gt;0,"부분반납","미반납"))))</f>
        <v/>
      </c>
    </row>
    <row r="254" customFormat="false" ht="15" hidden="false" customHeight="false" outlineLevel="0" collapsed="false">
      <c r="A254" s="14" t="str">
        <f aca="false">IF($B254="","",TEXT($B254,"yymmdd")&amp;"-"&amp;TEXT(COUNTIFS($B$3:$B254,$B254),"00"))</f>
        <v/>
      </c>
      <c r="B254" s="15"/>
      <c r="C254" s="9"/>
      <c r="D254" s="10"/>
      <c r="E254" s="14" t="str">
        <f aca="false">IF($D254="","",IFERROR(INDEX(품목목록!$B$3:$B$202,MATCH($D254,품목목록!$A$3:$A$202,0)),"미등록품번"))</f>
        <v/>
      </c>
      <c r="F254" s="14" t="str">
        <f aca="false">IF($D254="","",IFERROR(INDEX(품목목록!$D$3:$D$202,MATCH($D254,품목목록!$A$3:$A$202,0)),""))</f>
        <v/>
      </c>
      <c r="G254" s="11"/>
      <c r="H254" s="15"/>
      <c r="I254" s="16" t="str">
        <f aca="false">IF($A254="","",SUMIFS(반납내역!$D$3:$D$1502,반납내역!$B$3:$B$1502,$A254))</f>
        <v/>
      </c>
      <c r="J254" s="16" t="str">
        <f aca="false">IF($A254="","",IF($G254="","",$G254-$I254))</f>
        <v/>
      </c>
      <c r="K254" s="17" t="str">
        <f aca="true">IF(OR($A254="",$J254="",$J254&lt;=0,$H254=""),"",TODAY()-$H254)</f>
        <v/>
      </c>
      <c r="L254" s="14" t="str">
        <f aca="false">IF($A254="","",IF($G254="","",IF($J254&lt;=0,"반납완료",IF($I254&gt;0,"부분반납","미반납"))))</f>
        <v/>
      </c>
    </row>
    <row r="255" customFormat="false" ht="15" hidden="false" customHeight="false" outlineLevel="0" collapsed="false">
      <c r="A255" s="14" t="str">
        <f aca="false">IF($B255="","",TEXT($B255,"yymmdd")&amp;"-"&amp;TEXT(COUNTIFS($B$3:$B255,$B255),"00"))</f>
        <v/>
      </c>
      <c r="B255" s="15"/>
      <c r="C255" s="9"/>
      <c r="D255" s="10"/>
      <c r="E255" s="14" t="str">
        <f aca="false">IF($D255="","",IFERROR(INDEX(품목목록!$B$3:$B$202,MATCH($D255,품목목록!$A$3:$A$202,0)),"미등록품번"))</f>
        <v/>
      </c>
      <c r="F255" s="14" t="str">
        <f aca="false">IF($D255="","",IFERROR(INDEX(품목목록!$D$3:$D$202,MATCH($D255,품목목록!$A$3:$A$202,0)),""))</f>
        <v/>
      </c>
      <c r="G255" s="11"/>
      <c r="H255" s="15"/>
      <c r="I255" s="16" t="str">
        <f aca="false">IF($A255="","",SUMIFS(반납내역!$D$3:$D$1502,반납내역!$B$3:$B$1502,$A255))</f>
        <v/>
      </c>
      <c r="J255" s="16" t="str">
        <f aca="false">IF($A255="","",IF($G255="","",$G255-$I255))</f>
        <v/>
      </c>
      <c r="K255" s="17" t="str">
        <f aca="true">IF(OR($A255="",$J255="",$J255&lt;=0,$H255=""),"",TODAY()-$H255)</f>
        <v/>
      </c>
      <c r="L255" s="14" t="str">
        <f aca="false">IF($A255="","",IF($G255="","",IF($J255&lt;=0,"반납완료",IF($I255&gt;0,"부분반납","미반납"))))</f>
        <v/>
      </c>
    </row>
    <row r="256" customFormat="false" ht="15" hidden="false" customHeight="false" outlineLevel="0" collapsed="false">
      <c r="A256" s="14" t="str">
        <f aca="false">IF($B256="","",TEXT($B256,"yymmdd")&amp;"-"&amp;TEXT(COUNTIFS($B$3:$B256,$B256),"00"))</f>
        <v/>
      </c>
      <c r="B256" s="15"/>
      <c r="C256" s="9"/>
      <c r="D256" s="10"/>
      <c r="E256" s="14" t="str">
        <f aca="false">IF($D256="","",IFERROR(INDEX(품목목록!$B$3:$B$202,MATCH($D256,품목목록!$A$3:$A$202,0)),"미등록품번"))</f>
        <v/>
      </c>
      <c r="F256" s="14" t="str">
        <f aca="false">IF($D256="","",IFERROR(INDEX(품목목록!$D$3:$D$202,MATCH($D256,품목목록!$A$3:$A$202,0)),""))</f>
        <v/>
      </c>
      <c r="G256" s="11"/>
      <c r="H256" s="15"/>
      <c r="I256" s="16" t="str">
        <f aca="false">IF($A256="","",SUMIFS(반납내역!$D$3:$D$1502,반납내역!$B$3:$B$1502,$A256))</f>
        <v/>
      </c>
      <c r="J256" s="16" t="str">
        <f aca="false">IF($A256="","",IF($G256="","",$G256-$I256))</f>
        <v/>
      </c>
      <c r="K256" s="17" t="str">
        <f aca="true">IF(OR($A256="",$J256="",$J256&lt;=0,$H256=""),"",TODAY()-$H256)</f>
        <v/>
      </c>
      <c r="L256" s="14" t="str">
        <f aca="false">IF($A256="","",IF($G256="","",IF($J256&lt;=0,"반납완료",IF($I256&gt;0,"부분반납","미반납"))))</f>
        <v/>
      </c>
    </row>
    <row r="257" customFormat="false" ht="15" hidden="false" customHeight="false" outlineLevel="0" collapsed="false">
      <c r="A257" s="14" t="str">
        <f aca="false">IF($B257="","",TEXT($B257,"yymmdd")&amp;"-"&amp;TEXT(COUNTIFS($B$3:$B257,$B257),"00"))</f>
        <v/>
      </c>
      <c r="B257" s="15"/>
      <c r="C257" s="9"/>
      <c r="D257" s="10"/>
      <c r="E257" s="14" t="str">
        <f aca="false">IF($D257="","",IFERROR(INDEX(품목목록!$B$3:$B$202,MATCH($D257,품목목록!$A$3:$A$202,0)),"미등록품번"))</f>
        <v/>
      </c>
      <c r="F257" s="14" t="str">
        <f aca="false">IF($D257="","",IFERROR(INDEX(품목목록!$D$3:$D$202,MATCH($D257,품목목록!$A$3:$A$202,0)),""))</f>
        <v/>
      </c>
      <c r="G257" s="11"/>
      <c r="H257" s="15"/>
      <c r="I257" s="16" t="str">
        <f aca="false">IF($A257="","",SUMIFS(반납내역!$D$3:$D$1502,반납내역!$B$3:$B$1502,$A257))</f>
        <v/>
      </c>
      <c r="J257" s="16" t="str">
        <f aca="false">IF($A257="","",IF($G257="","",$G257-$I257))</f>
        <v/>
      </c>
      <c r="K257" s="17" t="str">
        <f aca="true">IF(OR($A257="",$J257="",$J257&lt;=0,$H257=""),"",TODAY()-$H257)</f>
        <v/>
      </c>
      <c r="L257" s="14" t="str">
        <f aca="false">IF($A257="","",IF($G257="","",IF($J257&lt;=0,"반납완료",IF($I257&gt;0,"부분반납","미반납"))))</f>
        <v/>
      </c>
    </row>
    <row r="258" customFormat="false" ht="15" hidden="false" customHeight="false" outlineLevel="0" collapsed="false">
      <c r="A258" s="14" t="str">
        <f aca="false">IF($B258="","",TEXT($B258,"yymmdd")&amp;"-"&amp;TEXT(COUNTIFS($B$3:$B258,$B258),"00"))</f>
        <v/>
      </c>
      <c r="B258" s="15"/>
      <c r="C258" s="9"/>
      <c r="D258" s="10"/>
      <c r="E258" s="14" t="str">
        <f aca="false">IF($D258="","",IFERROR(INDEX(품목목록!$B$3:$B$202,MATCH($D258,품목목록!$A$3:$A$202,0)),"미등록품번"))</f>
        <v/>
      </c>
      <c r="F258" s="14" t="str">
        <f aca="false">IF($D258="","",IFERROR(INDEX(품목목록!$D$3:$D$202,MATCH($D258,품목목록!$A$3:$A$202,0)),""))</f>
        <v/>
      </c>
      <c r="G258" s="11"/>
      <c r="H258" s="15"/>
      <c r="I258" s="16" t="str">
        <f aca="false">IF($A258="","",SUMIFS(반납내역!$D$3:$D$1502,반납내역!$B$3:$B$1502,$A258))</f>
        <v/>
      </c>
      <c r="J258" s="16" t="str">
        <f aca="false">IF($A258="","",IF($G258="","",$G258-$I258))</f>
        <v/>
      </c>
      <c r="K258" s="17" t="str">
        <f aca="true">IF(OR($A258="",$J258="",$J258&lt;=0,$H258=""),"",TODAY()-$H258)</f>
        <v/>
      </c>
      <c r="L258" s="14" t="str">
        <f aca="false">IF($A258="","",IF($G258="","",IF($J258&lt;=0,"반납완료",IF($I258&gt;0,"부분반납","미반납"))))</f>
        <v/>
      </c>
    </row>
    <row r="259" customFormat="false" ht="15" hidden="false" customHeight="false" outlineLevel="0" collapsed="false">
      <c r="A259" s="14" t="str">
        <f aca="false">IF($B259="","",TEXT($B259,"yymmdd")&amp;"-"&amp;TEXT(COUNTIFS($B$3:$B259,$B259),"00"))</f>
        <v/>
      </c>
      <c r="B259" s="15"/>
      <c r="C259" s="9"/>
      <c r="D259" s="10"/>
      <c r="E259" s="14" t="str">
        <f aca="false">IF($D259="","",IFERROR(INDEX(품목목록!$B$3:$B$202,MATCH($D259,품목목록!$A$3:$A$202,0)),"미등록품번"))</f>
        <v/>
      </c>
      <c r="F259" s="14" t="str">
        <f aca="false">IF($D259="","",IFERROR(INDEX(품목목록!$D$3:$D$202,MATCH($D259,품목목록!$A$3:$A$202,0)),""))</f>
        <v/>
      </c>
      <c r="G259" s="11"/>
      <c r="H259" s="15"/>
      <c r="I259" s="16" t="str">
        <f aca="false">IF($A259="","",SUMIFS(반납내역!$D$3:$D$1502,반납내역!$B$3:$B$1502,$A259))</f>
        <v/>
      </c>
      <c r="J259" s="16" t="str">
        <f aca="false">IF($A259="","",IF($G259="","",$G259-$I259))</f>
        <v/>
      </c>
      <c r="K259" s="17" t="str">
        <f aca="true">IF(OR($A259="",$J259="",$J259&lt;=0,$H259=""),"",TODAY()-$H259)</f>
        <v/>
      </c>
      <c r="L259" s="14" t="str">
        <f aca="false">IF($A259="","",IF($G259="","",IF($J259&lt;=0,"반납완료",IF($I259&gt;0,"부분반납","미반납"))))</f>
        <v/>
      </c>
    </row>
    <row r="260" customFormat="false" ht="15" hidden="false" customHeight="false" outlineLevel="0" collapsed="false">
      <c r="A260" s="14" t="str">
        <f aca="false">IF($B260="","",TEXT($B260,"yymmdd")&amp;"-"&amp;TEXT(COUNTIFS($B$3:$B260,$B260),"00"))</f>
        <v/>
      </c>
      <c r="B260" s="15"/>
      <c r="C260" s="9"/>
      <c r="D260" s="10"/>
      <c r="E260" s="14" t="str">
        <f aca="false">IF($D260="","",IFERROR(INDEX(품목목록!$B$3:$B$202,MATCH($D260,품목목록!$A$3:$A$202,0)),"미등록품번"))</f>
        <v/>
      </c>
      <c r="F260" s="14" t="str">
        <f aca="false">IF($D260="","",IFERROR(INDEX(품목목록!$D$3:$D$202,MATCH($D260,품목목록!$A$3:$A$202,0)),""))</f>
        <v/>
      </c>
      <c r="G260" s="11"/>
      <c r="H260" s="15"/>
      <c r="I260" s="16" t="str">
        <f aca="false">IF($A260="","",SUMIFS(반납내역!$D$3:$D$1502,반납내역!$B$3:$B$1502,$A260))</f>
        <v/>
      </c>
      <c r="J260" s="16" t="str">
        <f aca="false">IF($A260="","",IF($G260="","",$G260-$I260))</f>
        <v/>
      </c>
      <c r="K260" s="17" t="str">
        <f aca="true">IF(OR($A260="",$J260="",$J260&lt;=0,$H260=""),"",TODAY()-$H260)</f>
        <v/>
      </c>
      <c r="L260" s="14" t="str">
        <f aca="false">IF($A260="","",IF($G260="","",IF($J260&lt;=0,"반납완료",IF($I260&gt;0,"부분반납","미반납"))))</f>
        <v/>
      </c>
    </row>
    <row r="261" customFormat="false" ht="15" hidden="false" customHeight="false" outlineLevel="0" collapsed="false">
      <c r="A261" s="14" t="str">
        <f aca="false">IF($B261="","",TEXT($B261,"yymmdd")&amp;"-"&amp;TEXT(COUNTIFS($B$3:$B261,$B261),"00"))</f>
        <v/>
      </c>
      <c r="B261" s="15"/>
      <c r="C261" s="9"/>
      <c r="D261" s="10"/>
      <c r="E261" s="14" t="str">
        <f aca="false">IF($D261="","",IFERROR(INDEX(품목목록!$B$3:$B$202,MATCH($D261,품목목록!$A$3:$A$202,0)),"미등록품번"))</f>
        <v/>
      </c>
      <c r="F261" s="14" t="str">
        <f aca="false">IF($D261="","",IFERROR(INDEX(품목목록!$D$3:$D$202,MATCH($D261,품목목록!$A$3:$A$202,0)),""))</f>
        <v/>
      </c>
      <c r="G261" s="11"/>
      <c r="H261" s="15"/>
      <c r="I261" s="16" t="str">
        <f aca="false">IF($A261="","",SUMIFS(반납내역!$D$3:$D$1502,반납내역!$B$3:$B$1502,$A261))</f>
        <v/>
      </c>
      <c r="J261" s="16" t="str">
        <f aca="false">IF($A261="","",IF($G261="","",$G261-$I261))</f>
        <v/>
      </c>
      <c r="K261" s="17" t="str">
        <f aca="true">IF(OR($A261="",$J261="",$J261&lt;=0,$H261=""),"",TODAY()-$H261)</f>
        <v/>
      </c>
      <c r="L261" s="14" t="str">
        <f aca="false">IF($A261="","",IF($G261="","",IF($J261&lt;=0,"반납완료",IF($I261&gt;0,"부분반납","미반납"))))</f>
        <v/>
      </c>
    </row>
    <row r="262" customFormat="false" ht="15" hidden="false" customHeight="false" outlineLevel="0" collapsed="false">
      <c r="A262" s="14" t="str">
        <f aca="false">IF($B262="","",TEXT($B262,"yymmdd")&amp;"-"&amp;TEXT(COUNTIFS($B$3:$B262,$B262),"00"))</f>
        <v/>
      </c>
      <c r="B262" s="15"/>
      <c r="C262" s="9"/>
      <c r="D262" s="10"/>
      <c r="E262" s="14" t="str">
        <f aca="false">IF($D262="","",IFERROR(INDEX(품목목록!$B$3:$B$202,MATCH($D262,품목목록!$A$3:$A$202,0)),"미등록품번"))</f>
        <v/>
      </c>
      <c r="F262" s="14" t="str">
        <f aca="false">IF($D262="","",IFERROR(INDEX(품목목록!$D$3:$D$202,MATCH($D262,품목목록!$A$3:$A$202,0)),""))</f>
        <v/>
      </c>
      <c r="G262" s="11"/>
      <c r="H262" s="15"/>
      <c r="I262" s="16" t="str">
        <f aca="false">IF($A262="","",SUMIFS(반납내역!$D$3:$D$1502,반납내역!$B$3:$B$1502,$A262))</f>
        <v/>
      </c>
      <c r="J262" s="16" t="str">
        <f aca="false">IF($A262="","",IF($G262="","",$G262-$I262))</f>
        <v/>
      </c>
      <c r="K262" s="17" t="str">
        <f aca="true">IF(OR($A262="",$J262="",$J262&lt;=0,$H262=""),"",TODAY()-$H262)</f>
        <v/>
      </c>
      <c r="L262" s="14" t="str">
        <f aca="false">IF($A262="","",IF($G262="","",IF($J262&lt;=0,"반납완료",IF($I262&gt;0,"부분반납","미반납"))))</f>
        <v/>
      </c>
    </row>
    <row r="263" customFormat="false" ht="15" hidden="false" customHeight="false" outlineLevel="0" collapsed="false">
      <c r="A263" s="14" t="str">
        <f aca="false">IF($B263="","",TEXT($B263,"yymmdd")&amp;"-"&amp;TEXT(COUNTIFS($B$3:$B263,$B263),"00"))</f>
        <v/>
      </c>
      <c r="B263" s="15"/>
      <c r="C263" s="9"/>
      <c r="D263" s="10"/>
      <c r="E263" s="14" t="str">
        <f aca="false">IF($D263="","",IFERROR(INDEX(품목목록!$B$3:$B$202,MATCH($D263,품목목록!$A$3:$A$202,0)),"미등록품번"))</f>
        <v/>
      </c>
      <c r="F263" s="14" t="str">
        <f aca="false">IF($D263="","",IFERROR(INDEX(품목목록!$D$3:$D$202,MATCH($D263,품목목록!$A$3:$A$202,0)),""))</f>
        <v/>
      </c>
      <c r="G263" s="11"/>
      <c r="H263" s="15"/>
      <c r="I263" s="16" t="str">
        <f aca="false">IF($A263="","",SUMIFS(반납내역!$D$3:$D$1502,반납내역!$B$3:$B$1502,$A263))</f>
        <v/>
      </c>
      <c r="J263" s="16" t="str">
        <f aca="false">IF($A263="","",IF($G263="","",$G263-$I263))</f>
        <v/>
      </c>
      <c r="K263" s="17" t="str">
        <f aca="true">IF(OR($A263="",$J263="",$J263&lt;=0,$H263=""),"",TODAY()-$H263)</f>
        <v/>
      </c>
      <c r="L263" s="14" t="str">
        <f aca="false">IF($A263="","",IF($G263="","",IF($J263&lt;=0,"반납완료",IF($I263&gt;0,"부분반납","미반납"))))</f>
        <v/>
      </c>
    </row>
    <row r="264" customFormat="false" ht="15" hidden="false" customHeight="false" outlineLevel="0" collapsed="false">
      <c r="A264" s="14" t="str">
        <f aca="false">IF($B264="","",TEXT($B264,"yymmdd")&amp;"-"&amp;TEXT(COUNTIFS($B$3:$B264,$B264),"00"))</f>
        <v/>
      </c>
      <c r="B264" s="15"/>
      <c r="C264" s="9"/>
      <c r="D264" s="10"/>
      <c r="E264" s="14" t="str">
        <f aca="false">IF($D264="","",IFERROR(INDEX(품목목록!$B$3:$B$202,MATCH($D264,품목목록!$A$3:$A$202,0)),"미등록품번"))</f>
        <v/>
      </c>
      <c r="F264" s="14" t="str">
        <f aca="false">IF($D264="","",IFERROR(INDEX(품목목록!$D$3:$D$202,MATCH($D264,품목목록!$A$3:$A$202,0)),""))</f>
        <v/>
      </c>
      <c r="G264" s="11"/>
      <c r="H264" s="15"/>
      <c r="I264" s="16" t="str">
        <f aca="false">IF($A264="","",SUMIFS(반납내역!$D$3:$D$1502,반납내역!$B$3:$B$1502,$A264))</f>
        <v/>
      </c>
      <c r="J264" s="16" t="str">
        <f aca="false">IF($A264="","",IF($G264="","",$G264-$I264))</f>
        <v/>
      </c>
      <c r="K264" s="17" t="str">
        <f aca="true">IF(OR($A264="",$J264="",$J264&lt;=0,$H264=""),"",TODAY()-$H264)</f>
        <v/>
      </c>
      <c r="L264" s="14" t="str">
        <f aca="false">IF($A264="","",IF($G264="","",IF($J264&lt;=0,"반납완료",IF($I264&gt;0,"부분반납","미반납"))))</f>
        <v/>
      </c>
    </row>
    <row r="265" customFormat="false" ht="15" hidden="false" customHeight="false" outlineLevel="0" collapsed="false">
      <c r="A265" s="14" t="str">
        <f aca="false">IF($B265="","",TEXT($B265,"yymmdd")&amp;"-"&amp;TEXT(COUNTIFS($B$3:$B265,$B265),"00"))</f>
        <v/>
      </c>
      <c r="B265" s="15"/>
      <c r="C265" s="9"/>
      <c r="D265" s="10"/>
      <c r="E265" s="14" t="str">
        <f aca="false">IF($D265="","",IFERROR(INDEX(품목목록!$B$3:$B$202,MATCH($D265,품목목록!$A$3:$A$202,0)),"미등록품번"))</f>
        <v/>
      </c>
      <c r="F265" s="14" t="str">
        <f aca="false">IF($D265="","",IFERROR(INDEX(품목목록!$D$3:$D$202,MATCH($D265,품목목록!$A$3:$A$202,0)),""))</f>
        <v/>
      </c>
      <c r="G265" s="11"/>
      <c r="H265" s="15"/>
      <c r="I265" s="16" t="str">
        <f aca="false">IF($A265="","",SUMIFS(반납내역!$D$3:$D$1502,반납내역!$B$3:$B$1502,$A265))</f>
        <v/>
      </c>
      <c r="J265" s="16" t="str">
        <f aca="false">IF($A265="","",IF($G265="","",$G265-$I265))</f>
        <v/>
      </c>
      <c r="K265" s="17" t="str">
        <f aca="true">IF(OR($A265="",$J265="",$J265&lt;=0,$H265=""),"",TODAY()-$H265)</f>
        <v/>
      </c>
      <c r="L265" s="14" t="str">
        <f aca="false">IF($A265="","",IF($G265="","",IF($J265&lt;=0,"반납완료",IF($I265&gt;0,"부분반납","미반납"))))</f>
        <v/>
      </c>
    </row>
    <row r="266" customFormat="false" ht="15" hidden="false" customHeight="false" outlineLevel="0" collapsed="false">
      <c r="A266" s="14" t="str">
        <f aca="false">IF($B266="","",TEXT($B266,"yymmdd")&amp;"-"&amp;TEXT(COUNTIFS($B$3:$B266,$B266),"00"))</f>
        <v/>
      </c>
      <c r="B266" s="15"/>
      <c r="C266" s="9"/>
      <c r="D266" s="10"/>
      <c r="E266" s="14" t="str">
        <f aca="false">IF($D266="","",IFERROR(INDEX(품목목록!$B$3:$B$202,MATCH($D266,품목목록!$A$3:$A$202,0)),"미등록품번"))</f>
        <v/>
      </c>
      <c r="F266" s="14" t="str">
        <f aca="false">IF($D266="","",IFERROR(INDEX(품목목록!$D$3:$D$202,MATCH($D266,품목목록!$A$3:$A$202,0)),""))</f>
        <v/>
      </c>
      <c r="G266" s="11"/>
      <c r="H266" s="15"/>
      <c r="I266" s="16" t="str">
        <f aca="false">IF($A266="","",SUMIFS(반납내역!$D$3:$D$1502,반납내역!$B$3:$B$1502,$A266))</f>
        <v/>
      </c>
      <c r="J266" s="16" t="str">
        <f aca="false">IF($A266="","",IF($G266="","",$G266-$I266))</f>
        <v/>
      </c>
      <c r="K266" s="17" t="str">
        <f aca="true">IF(OR($A266="",$J266="",$J266&lt;=0,$H266=""),"",TODAY()-$H266)</f>
        <v/>
      </c>
      <c r="L266" s="14" t="str">
        <f aca="false">IF($A266="","",IF($G266="","",IF($J266&lt;=0,"반납완료",IF($I266&gt;0,"부분반납","미반납"))))</f>
        <v/>
      </c>
    </row>
    <row r="267" customFormat="false" ht="15" hidden="false" customHeight="false" outlineLevel="0" collapsed="false">
      <c r="A267" s="14" t="str">
        <f aca="false">IF($B267="","",TEXT($B267,"yymmdd")&amp;"-"&amp;TEXT(COUNTIFS($B$3:$B267,$B267),"00"))</f>
        <v/>
      </c>
      <c r="B267" s="15"/>
      <c r="C267" s="9"/>
      <c r="D267" s="10"/>
      <c r="E267" s="14" t="str">
        <f aca="false">IF($D267="","",IFERROR(INDEX(품목목록!$B$3:$B$202,MATCH($D267,품목목록!$A$3:$A$202,0)),"미등록품번"))</f>
        <v/>
      </c>
      <c r="F267" s="14" t="str">
        <f aca="false">IF($D267="","",IFERROR(INDEX(품목목록!$D$3:$D$202,MATCH($D267,품목목록!$A$3:$A$202,0)),""))</f>
        <v/>
      </c>
      <c r="G267" s="11"/>
      <c r="H267" s="15"/>
      <c r="I267" s="16" t="str">
        <f aca="false">IF($A267="","",SUMIFS(반납내역!$D$3:$D$1502,반납내역!$B$3:$B$1502,$A267))</f>
        <v/>
      </c>
      <c r="J267" s="16" t="str">
        <f aca="false">IF($A267="","",IF($G267="","",$G267-$I267))</f>
        <v/>
      </c>
      <c r="K267" s="17" t="str">
        <f aca="true">IF(OR($A267="",$J267="",$J267&lt;=0,$H267=""),"",TODAY()-$H267)</f>
        <v/>
      </c>
      <c r="L267" s="14" t="str">
        <f aca="false">IF($A267="","",IF($G267="","",IF($J267&lt;=0,"반납완료",IF($I267&gt;0,"부분반납","미반납"))))</f>
        <v/>
      </c>
    </row>
    <row r="268" customFormat="false" ht="15" hidden="false" customHeight="false" outlineLevel="0" collapsed="false">
      <c r="A268" s="14" t="str">
        <f aca="false">IF($B268="","",TEXT($B268,"yymmdd")&amp;"-"&amp;TEXT(COUNTIFS($B$3:$B268,$B268),"00"))</f>
        <v/>
      </c>
      <c r="B268" s="15"/>
      <c r="C268" s="9"/>
      <c r="D268" s="10"/>
      <c r="E268" s="14" t="str">
        <f aca="false">IF($D268="","",IFERROR(INDEX(품목목록!$B$3:$B$202,MATCH($D268,품목목록!$A$3:$A$202,0)),"미등록품번"))</f>
        <v/>
      </c>
      <c r="F268" s="14" t="str">
        <f aca="false">IF($D268="","",IFERROR(INDEX(품목목록!$D$3:$D$202,MATCH($D268,품목목록!$A$3:$A$202,0)),""))</f>
        <v/>
      </c>
      <c r="G268" s="11"/>
      <c r="H268" s="15"/>
      <c r="I268" s="16" t="str">
        <f aca="false">IF($A268="","",SUMIFS(반납내역!$D$3:$D$1502,반납내역!$B$3:$B$1502,$A268))</f>
        <v/>
      </c>
      <c r="J268" s="16" t="str">
        <f aca="false">IF($A268="","",IF($G268="","",$G268-$I268))</f>
        <v/>
      </c>
      <c r="K268" s="17" t="str">
        <f aca="true">IF(OR($A268="",$J268="",$J268&lt;=0,$H268=""),"",TODAY()-$H268)</f>
        <v/>
      </c>
      <c r="L268" s="14" t="str">
        <f aca="false">IF($A268="","",IF($G268="","",IF($J268&lt;=0,"반납완료",IF($I268&gt;0,"부분반납","미반납"))))</f>
        <v/>
      </c>
    </row>
    <row r="269" customFormat="false" ht="15" hidden="false" customHeight="false" outlineLevel="0" collapsed="false">
      <c r="A269" s="14" t="str">
        <f aca="false">IF($B269="","",TEXT($B269,"yymmdd")&amp;"-"&amp;TEXT(COUNTIFS($B$3:$B269,$B269),"00"))</f>
        <v/>
      </c>
      <c r="B269" s="15"/>
      <c r="C269" s="9"/>
      <c r="D269" s="10"/>
      <c r="E269" s="14" t="str">
        <f aca="false">IF($D269="","",IFERROR(INDEX(품목목록!$B$3:$B$202,MATCH($D269,품목목록!$A$3:$A$202,0)),"미등록품번"))</f>
        <v/>
      </c>
      <c r="F269" s="14" t="str">
        <f aca="false">IF($D269="","",IFERROR(INDEX(품목목록!$D$3:$D$202,MATCH($D269,품목목록!$A$3:$A$202,0)),""))</f>
        <v/>
      </c>
      <c r="G269" s="11"/>
      <c r="H269" s="15"/>
      <c r="I269" s="16" t="str">
        <f aca="false">IF($A269="","",SUMIFS(반납내역!$D$3:$D$1502,반납내역!$B$3:$B$1502,$A269))</f>
        <v/>
      </c>
      <c r="J269" s="16" t="str">
        <f aca="false">IF($A269="","",IF($G269="","",$G269-$I269))</f>
        <v/>
      </c>
      <c r="K269" s="17" t="str">
        <f aca="true">IF(OR($A269="",$J269="",$J269&lt;=0,$H269=""),"",TODAY()-$H269)</f>
        <v/>
      </c>
      <c r="L269" s="14" t="str">
        <f aca="false">IF($A269="","",IF($G269="","",IF($J269&lt;=0,"반납완료",IF($I269&gt;0,"부분반납","미반납"))))</f>
        <v/>
      </c>
    </row>
    <row r="270" customFormat="false" ht="15" hidden="false" customHeight="false" outlineLevel="0" collapsed="false">
      <c r="A270" s="14" t="str">
        <f aca="false">IF($B270="","",TEXT($B270,"yymmdd")&amp;"-"&amp;TEXT(COUNTIFS($B$3:$B270,$B270),"00"))</f>
        <v/>
      </c>
      <c r="B270" s="15"/>
      <c r="C270" s="9"/>
      <c r="D270" s="10"/>
      <c r="E270" s="14" t="str">
        <f aca="false">IF($D270="","",IFERROR(INDEX(품목목록!$B$3:$B$202,MATCH($D270,품목목록!$A$3:$A$202,0)),"미등록품번"))</f>
        <v/>
      </c>
      <c r="F270" s="14" t="str">
        <f aca="false">IF($D270="","",IFERROR(INDEX(품목목록!$D$3:$D$202,MATCH($D270,품목목록!$A$3:$A$202,0)),""))</f>
        <v/>
      </c>
      <c r="G270" s="11"/>
      <c r="H270" s="15"/>
      <c r="I270" s="16" t="str">
        <f aca="false">IF($A270="","",SUMIFS(반납내역!$D$3:$D$1502,반납내역!$B$3:$B$1502,$A270))</f>
        <v/>
      </c>
      <c r="J270" s="16" t="str">
        <f aca="false">IF($A270="","",IF($G270="","",$G270-$I270))</f>
        <v/>
      </c>
      <c r="K270" s="17" t="str">
        <f aca="true">IF(OR($A270="",$J270="",$J270&lt;=0,$H270=""),"",TODAY()-$H270)</f>
        <v/>
      </c>
      <c r="L270" s="14" t="str">
        <f aca="false">IF($A270="","",IF($G270="","",IF($J270&lt;=0,"반납완료",IF($I270&gt;0,"부분반납","미반납"))))</f>
        <v/>
      </c>
    </row>
    <row r="271" customFormat="false" ht="15" hidden="false" customHeight="false" outlineLevel="0" collapsed="false">
      <c r="A271" s="14" t="str">
        <f aca="false">IF($B271="","",TEXT($B271,"yymmdd")&amp;"-"&amp;TEXT(COUNTIFS($B$3:$B271,$B271),"00"))</f>
        <v/>
      </c>
      <c r="B271" s="15"/>
      <c r="C271" s="9"/>
      <c r="D271" s="10"/>
      <c r="E271" s="14" t="str">
        <f aca="false">IF($D271="","",IFERROR(INDEX(품목목록!$B$3:$B$202,MATCH($D271,품목목록!$A$3:$A$202,0)),"미등록품번"))</f>
        <v/>
      </c>
      <c r="F271" s="14" t="str">
        <f aca="false">IF($D271="","",IFERROR(INDEX(품목목록!$D$3:$D$202,MATCH($D271,품목목록!$A$3:$A$202,0)),""))</f>
        <v/>
      </c>
      <c r="G271" s="11"/>
      <c r="H271" s="15"/>
      <c r="I271" s="16" t="str">
        <f aca="false">IF($A271="","",SUMIFS(반납내역!$D$3:$D$1502,반납내역!$B$3:$B$1502,$A271))</f>
        <v/>
      </c>
      <c r="J271" s="16" t="str">
        <f aca="false">IF($A271="","",IF($G271="","",$G271-$I271))</f>
        <v/>
      </c>
      <c r="K271" s="17" t="str">
        <f aca="true">IF(OR($A271="",$J271="",$J271&lt;=0,$H271=""),"",TODAY()-$H271)</f>
        <v/>
      </c>
      <c r="L271" s="14" t="str">
        <f aca="false">IF($A271="","",IF($G271="","",IF($J271&lt;=0,"반납완료",IF($I271&gt;0,"부분반납","미반납"))))</f>
        <v/>
      </c>
    </row>
    <row r="272" customFormat="false" ht="15" hidden="false" customHeight="false" outlineLevel="0" collapsed="false">
      <c r="A272" s="14" t="str">
        <f aca="false">IF($B272="","",TEXT($B272,"yymmdd")&amp;"-"&amp;TEXT(COUNTIFS($B$3:$B272,$B272),"00"))</f>
        <v/>
      </c>
      <c r="B272" s="15"/>
      <c r="C272" s="9"/>
      <c r="D272" s="10"/>
      <c r="E272" s="14" t="str">
        <f aca="false">IF($D272="","",IFERROR(INDEX(품목목록!$B$3:$B$202,MATCH($D272,품목목록!$A$3:$A$202,0)),"미등록품번"))</f>
        <v/>
      </c>
      <c r="F272" s="14" t="str">
        <f aca="false">IF($D272="","",IFERROR(INDEX(품목목록!$D$3:$D$202,MATCH($D272,품목목록!$A$3:$A$202,0)),""))</f>
        <v/>
      </c>
      <c r="G272" s="11"/>
      <c r="H272" s="15"/>
      <c r="I272" s="16" t="str">
        <f aca="false">IF($A272="","",SUMIFS(반납내역!$D$3:$D$1502,반납내역!$B$3:$B$1502,$A272))</f>
        <v/>
      </c>
      <c r="J272" s="16" t="str">
        <f aca="false">IF($A272="","",IF($G272="","",$G272-$I272))</f>
        <v/>
      </c>
      <c r="K272" s="17" t="str">
        <f aca="true">IF(OR($A272="",$J272="",$J272&lt;=0,$H272=""),"",TODAY()-$H272)</f>
        <v/>
      </c>
      <c r="L272" s="14" t="str">
        <f aca="false">IF($A272="","",IF($G272="","",IF($J272&lt;=0,"반납완료",IF($I272&gt;0,"부분반납","미반납"))))</f>
        <v/>
      </c>
    </row>
    <row r="273" customFormat="false" ht="15" hidden="false" customHeight="false" outlineLevel="0" collapsed="false">
      <c r="A273" s="14" t="str">
        <f aca="false">IF($B273="","",TEXT($B273,"yymmdd")&amp;"-"&amp;TEXT(COUNTIFS($B$3:$B273,$B273),"00"))</f>
        <v/>
      </c>
      <c r="B273" s="15"/>
      <c r="C273" s="9"/>
      <c r="D273" s="10"/>
      <c r="E273" s="14" t="str">
        <f aca="false">IF($D273="","",IFERROR(INDEX(품목목록!$B$3:$B$202,MATCH($D273,품목목록!$A$3:$A$202,0)),"미등록품번"))</f>
        <v/>
      </c>
      <c r="F273" s="14" t="str">
        <f aca="false">IF($D273="","",IFERROR(INDEX(품목목록!$D$3:$D$202,MATCH($D273,품목목록!$A$3:$A$202,0)),""))</f>
        <v/>
      </c>
      <c r="G273" s="11"/>
      <c r="H273" s="15"/>
      <c r="I273" s="16" t="str">
        <f aca="false">IF($A273="","",SUMIFS(반납내역!$D$3:$D$1502,반납내역!$B$3:$B$1502,$A273))</f>
        <v/>
      </c>
      <c r="J273" s="16" t="str">
        <f aca="false">IF($A273="","",IF($G273="","",$G273-$I273))</f>
        <v/>
      </c>
      <c r="K273" s="17" t="str">
        <f aca="true">IF(OR($A273="",$J273="",$J273&lt;=0,$H273=""),"",TODAY()-$H273)</f>
        <v/>
      </c>
      <c r="L273" s="14" t="str">
        <f aca="false">IF($A273="","",IF($G273="","",IF($J273&lt;=0,"반납완료",IF($I273&gt;0,"부분반납","미반납"))))</f>
        <v/>
      </c>
    </row>
    <row r="274" customFormat="false" ht="15" hidden="false" customHeight="false" outlineLevel="0" collapsed="false">
      <c r="A274" s="14" t="str">
        <f aca="false">IF($B274="","",TEXT($B274,"yymmdd")&amp;"-"&amp;TEXT(COUNTIFS($B$3:$B274,$B274),"00"))</f>
        <v/>
      </c>
      <c r="B274" s="15"/>
      <c r="C274" s="9"/>
      <c r="D274" s="10"/>
      <c r="E274" s="14" t="str">
        <f aca="false">IF($D274="","",IFERROR(INDEX(품목목록!$B$3:$B$202,MATCH($D274,품목목록!$A$3:$A$202,0)),"미등록품번"))</f>
        <v/>
      </c>
      <c r="F274" s="14" t="str">
        <f aca="false">IF($D274="","",IFERROR(INDEX(품목목록!$D$3:$D$202,MATCH($D274,품목목록!$A$3:$A$202,0)),""))</f>
        <v/>
      </c>
      <c r="G274" s="11"/>
      <c r="H274" s="15"/>
      <c r="I274" s="16" t="str">
        <f aca="false">IF($A274="","",SUMIFS(반납내역!$D$3:$D$1502,반납내역!$B$3:$B$1502,$A274))</f>
        <v/>
      </c>
      <c r="J274" s="16" t="str">
        <f aca="false">IF($A274="","",IF($G274="","",$G274-$I274))</f>
        <v/>
      </c>
      <c r="K274" s="17" t="str">
        <f aca="true">IF(OR($A274="",$J274="",$J274&lt;=0,$H274=""),"",TODAY()-$H274)</f>
        <v/>
      </c>
      <c r="L274" s="14" t="str">
        <f aca="false">IF($A274="","",IF($G274="","",IF($J274&lt;=0,"반납완료",IF($I274&gt;0,"부분반납","미반납"))))</f>
        <v/>
      </c>
    </row>
    <row r="275" customFormat="false" ht="15" hidden="false" customHeight="false" outlineLevel="0" collapsed="false">
      <c r="A275" s="14" t="str">
        <f aca="false">IF($B275="","",TEXT($B275,"yymmdd")&amp;"-"&amp;TEXT(COUNTIFS($B$3:$B275,$B275),"00"))</f>
        <v/>
      </c>
      <c r="B275" s="15"/>
      <c r="C275" s="9"/>
      <c r="D275" s="10"/>
      <c r="E275" s="14" t="str">
        <f aca="false">IF($D275="","",IFERROR(INDEX(품목목록!$B$3:$B$202,MATCH($D275,품목목록!$A$3:$A$202,0)),"미등록품번"))</f>
        <v/>
      </c>
      <c r="F275" s="14" t="str">
        <f aca="false">IF($D275="","",IFERROR(INDEX(품목목록!$D$3:$D$202,MATCH($D275,품목목록!$A$3:$A$202,0)),""))</f>
        <v/>
      </c>
      <c r="G275" s="11"/>
      <c r="H275" s="15"/>
      <c r="I275" s="16" t="str">
        <f aca="false">IF($A275="","",SUMIFS(반납내역!$D$3:$D$1502,반납내역!$B$3:$B$1502,$A275))</f>
        <v/>
      </c>
      <c r="J275" s="16" t="str">
        <f aca="false">IF($A275="","",IF($G275="","",$G275-$I275))</f>
        <v/>
      </c>
      <c r="K275" s="17" t="str">
        <f aca="true">IF(OR($A275="",$J275="",$J275&lt;=0,$H275=""),"",TODAY()-$H275)</f>
        <v/>
      </c>
      <c r="L275" s="14" t="str">
        <f aca="false">IF($A275="","",IF($G275="","",IF($J275&lt;=0,"반납완료",IF($I275&gt;0,"부분반납","미반납"))))</f>
        <v/>
      </c>
    </row>
    <row r="276" customFormat="false" ht="15" hidden="false" customHeight="false" outlineLevel="0" collapsed="false">
      <c r="A276" s="14" t="str">
        <f aca="false">IF($B276="","",TEXT($B276,"yymmdd")&amp;"-"&amp;TEXT(COUNTIFS($B$3:$B276,$B276),"00"))</f>
        <v/>
      </c>
      <c r="B276" s="15"/>
      <c r="C276" s="9"/>
      <c r="D276" s="10"/>
      <c r="E276" s="14" t="str">
        <f aca="false">IF($D276="","",IFERROR(INDEX(품목목록!$B$3:$B$202,MATCH($D276,품목목록!$A$3:$A$202,0)),"미등록품번"))</f>
        <v/>
      </c>
      <c r="F276" s="14" t="str">
        <f aca="false">IF($D276="","",IFERROR(INDEX(품목목록!$D$3:$D$202,MATCH($D276,품목목록!$A$3:$A$202,0)),""))</f>
        <v/>
      </c>
      <c r="G276" s="11"/>
      <c r="H276" s="15"/>
      <c r="I276" s="16" t="str">
        <f aca="false">IF($A276="","",SUMIFS(반납내역!$D$3:$D$1502,반납내역!$B$3:$B$1502,$A276))</f>
        <v/>
      </c>
      <c r="J276" s="16" t="str">
        <f aca="false">IF($A276="","",IF($G276="","",$G276-$I276))</f>
        <v/>
      </c>
      <c r="K276" s="17" t="str">
        <f aca="true">IF(OR($A276="",$J276="",$J276&lt;=0,$H276=""),"",TODAY()-$H276)</f>
        <v/>
      </c>
      <c r="L276" s="14" t="str">
        <f aca="false">IF($A276="","",IF($G276="","",IF($J276&lt;=0,"반납완료",IF($I276&gt;0,"부분반납","미반납"))))</f>
        <v/>
      </c>
    </row>
    <row r="277" customFormat="false" ht="15" hidden="false" customHeight="false" outlineLevel="0" collapsed="false">
      <c r="A277" s="14" t="str">
        <f aca="false">IF($B277="","",TEXT($B277,"yymmdd")&amp;"-"&amp;TEXT(COUNTIFS($B$3:$B277,$B277),"00"))</f>
        <v/>
      </c>
      <c r="B277" s="15"/>
      <c r="C277" s="9"/>
      <c r="D277" s="10"/>
      <c r="E277" s="14" t="str">
        <f aca="false">IF($D277="","",IFERROR(INDEX(품목목록!$B$3:$B$202,MATCH($D277,품목목록!$A$3:$A$202,0)),"미등록품번"))</f>
        <v/>
      </c>
      <c r="F277" s="14" t="str">
        <f aca="false">IF($D277="","",IFERROR(INDEX(품목목록!$D$3:$D$202,MATCH($D277,품목목록!$A$3:$A$202,0)),""))</f>
        <v/>
      </c>
      <c r="G277" s="11"/>
      <c r="H277" s="15"/>
      <c r="I277" s="16" t="str">
        <f aca="false">IF($A277="","",SUMIFS(반납내역!$D$3:$D$1502,반납내역!$B$3:$B$1502,$A277))</f>
        <v/>
      </c>
      <c r="J277" s="16" t="str">
        <f aca="false">IF($A277="","",IF($G277="","",$G277-$I277))</f>
        <v/>
      </c>
      <c r="K277" s="17" t="str">
        <f aca="true">IF(OR($A277="",$J277="",$J277&lt;=0,$H277=""),"",TODAY()-$H277)</f>
        <v/>
      </c>
      <c r="L277" s="14" t="str">
        <f aca="false">IF($A277="","",IF($G277="","",IF($J277&lt;=0,"반납완료",IF($I277&gt;0,"부분반납","미반납"))))</f>
        <v/>
      </c>
    </row>
    <row r="278" customFormat="false" ht="15" hidden="false" customHeight="false" outlineLevel="0" collapsed="false">
      <c r="A278" s="14" t="str">
        <f aca="false">IF($B278="","",TEXT($B278,"yymmdd")&amp;"-"&amp;TEXT(COUNTIFS($B$3:$B278,$B278),"00"))</f>
        <v/>
      </c>
      <c r="B278" s="15"/>
      <c r="C278" s="9"/>
      <c r="D278" s="10"/>
      <c r="E278" s="14" t="str">
        <f aca="false">IF($D278="","",IFERROR(INDEX(품목목록!$B$3:$B$202,MATCH($D278,품목목록!$A$3:$A$202,0)),"미등록품번"))</f>
        <v/>
      </c>
      <c r="F278" s="14" t="str">
        <f aca="false">IF($D278="","",IFERROR(INDEX(품목목록!$D$3:$D$202,MATCH($D278,품목목록!$A$3:$A$202,0)),""))</f>
        <v/>
      </c>
      <c r="G278" s="11"/>
      <c r="H278" s="15"/>
      <c r="I278" s="16" t="str">
        <f aca="false">IF($A278="","",SUMIFS(반납내역!$D$3:$D$1502,반납내역!$B$3:$B$1502,$A278))</f>
        <v/>
      </c>
      <c r="J278" s="16" t="str">
        <f aca="false">IF($A278="","",IF($G278="","",$G278-$I278))</f>
        <v/>
      </c>
      <c r="K278" s="17" t="str">
        <f aca="true">IF(OR($A278="",$J278="",$J278&lt;=0,$H278=""),"",TODAY()-$H278)</f>
        <v/>
      </c>
      <c r="L278" s="14" t="str">
        <f aca="false">IF($A278="","",IF($G278="","",IF($J278&lt;=0,"반납완료",IF($I278&gt;0,"부분반납","미반납"))))</f>
        <v/>
      </c>
    </row>
    <row r="279" customFormat="false" ht="15" hidden="false" customHeight="false" outlineLevel="0" collapsed="false">
      <c r="A279" s="14" t="str">
        <f aca="false">IF($B279="","",TEXT($B279,"yymmdd")&amp;"-"&amp;TEXT(COUNTIFS($B$3:$B279,$B279),"00"))</f>
        <v/>
      </c>
      <c r="B279" s="15"/>
      <c r="C279" s="9"/>
      <c r="D279" s="10"/>
      <c r="E279" s="14" t="str">
        <f aca="false">IF($D279="","",IFERROR(INDEX(품목목록!$B$3:$B$202,MATCH($D279,품목목록!$A$3:$A$202,0)),"미등록품번"))</f>
        <v/>
      </c>
      <c r="F279" s="14" t="str">
        <f aca="false">IF($D279="","",IFERROR(INDEX(품목목록!$D$3:$D$202,MATCH($D279,품목목록!$A$3:$A$202,0)),""))</f>
        <v/>
      </c>
      <c r="G279" s="11"/>
      <c r="H279" s="15"/>
      <c r="I279" s="16" t="str">
        <f aca="false">IF($A279="","",SUMIFS(반납내역!$D$3:$D$1502,반납내역!$B$3:$B$1502,$A279))</f>
        <v/>
      </c>
      <c r="J279" s="16" t="str">
        <f aca="false">IF($A279="","",IF($G279="","",$G279-$I279))</f>
        <v/>
      </c>
      <c r="K279" s="17" t="str">
        <f aca="true">IF(OR($A279="",$J279="",$J279&lt;=0,$H279=""),"",TODAY()-$H279)</f>
        <v/>
      </c>
      <c r="L279" s="14" t="str">
        <f aca="false">IF($A279="","",IF($G279="","",IF($J279&lt;=0,"반납완료",IF($I279&gt;0,"부분반납","미반납"))))</f>
        <v/>
      </c>
    </row>
    <row r="280" customFormat="false" ht="15" hidden="false" customHeight="false" outlineLevel="0" collapsed="false">
      <c r="A280" s="14" t="str">
        <f aca="false">IF($B280="","",TEXT($B280,"yymmdd")&amp;"-"&amp;TEXT(COUNTIFS($B$3:$B280,$B280),"00"))</f>
        <v/>
      </c>
      <c r="B280" s="15"/>
      <c r="C280" s="9"/>
      <c r="D280" s="10"/>
      <c r="E280" s="14" t="str">
        <f aca="false">IF($D280="","",IFERROR(INDEX(품목목록!$B$3:$B$202,MATCH($D280,품목목록!$A$3:$A$202,0)),"미등록품번"))</f>
        <v/>
      </c>
      <c r="F280" s="14" t="str">
        <f aca="false">IF($D280="","",IFERROR(INDEX(품목목록!$D$3:$D$202,MATCH($D280,품목목록!$A$3:$A$202,0)),""))</f>
        <v/>
      </c>
      <c r="G280" s="11"/>
      <c r="H280" s="15"/>
      <c r="I280" s="16" t="str">
        <f aca="false">IF($A280="","",SUMIFS(반납내역!$D$3:$D$1502,반납내역!$B$3:$B$1502,$A280))</f>
        <v/>
      </c>
      <c r="J280" s="16" t="str">
        <f aca="false">IF($A280="","",IF($G280="","",$G280-$I280))</f>
        <v/>
      </c>
      <c r="K280" s="17" t="str">
        <f aca="true">IF(OR($A280="",$J280="",$J280&lt;=0,$H280=""),"",TODAY()-$H280)</f>
        <v/>
      </c>
      <c r="L280" s="14" t="str">
        <f aca="false">IF($A280="","",IF($G280="","",IF($J280&lt;=0,"반납완료",IF($I280&gt;0,"부분반납","미반납"))))</f>
        <v/>
      </c>
    </row>
    <row r="281" customFormat="false" ht="15" hidden="false" customHeight="false" outlineLevel="0" collapsed="false">
      <c r="A281" s="14" t="str">
        <f aca="false">IF($B281="","",TEXT($B281,"yymmdd")&amp;"-"&amp;TEXT(COUNTIFS($B$3:$B281,$B281),"00"))</f>
        <v/>
      </c>
      <c r="B281" s="15"/>
      <c r="C281" s="9"/>
      <c r="D281" s="10"/>
      <c r="E281" s="14" t="str">
        <f aca="false">IF($D281="","",IFERROR(INDEX(품목목록!$B$3:$B$202,MATCH($D281,품목목록!$A$3:$A$202,0)),"미등록품번"))</f>
        <v/>
      </c>
      <c r="F281" s="14" t="str">
        <f aca="false">IF($D281="","",IFERROR(INDEX(품목목록!$D$3:$D$202,MATCH($D281,품목목록!$A$3:$A$202,0)),""))</f>
        <v/>
      </c>
      <c r="G281" s="11"/>
      <c r="H281" s="15"/>
      <c r="I281" s="16" t="str">
        <f aca="false">IF($A281="","",SUMIFS(반납내역!$D$3:$D$1502,반납내역!$B$3:$B$1502,$A281))</f>
        <v/>
      </c>
      <c r="J281" s="16" t="str">
        <f aca="false">IF($A281="","",IF($G281="","",$G281-$I281))</f>
        <v/>
      </c>
      <c r="K281" s="17" t="str">
        <f aca="true">IF(OR($A281="",$J281="",$J281&lt;=0,$H281=""),"",TODAY()-$H281)</f>
        <v/>
      </c>
      <c r="L281" s="14" t="str">
        <f aca="false">IF($A281="","",IF($G281="","",IF($J281&lt;=0,"반납완료",IF($I281&gt;0,"부분반납","미반납"))))</f>
        <v/>
      </c>
    </row>
    <row r="282" customFormat="false" ht="15" hidden="false" customHeight="false" outlineLevel="0" collapsed="false">
      <c r="A282" s="14" t="str">
        <f aca="false">IF($B282="","",TEXT($B282,"yymmdd")&amp;"-"&amp;TEXT(COUNTIFS($B$3:$B282,$B282),"00"))</f>
        <v/>
      </c>
      <c r="B282" s="15"/>
      <c r="C282" s="9"/>
      <c r="D282" s="10"/>
      <c r="E282" s="14" t="str">
        <f aca="false">IF($D282="","",IFERROR(INDEX(품목목록!$B$3:$B$202,MATCH($D282,품목목록!$A$3:$A$202,0)),"미등록품번"))</f>
        <v/>
      </c>
      <c r="F282" s="14" t="str">
        <f aca="false">IF($D282="","",IFERROR(INDEX(품목목록!$D$3:$D$202,MATCH($D282,품목목록!$A$3:$A$202,0)),""))</f>
        <v/>
      </c>
      <c r="G282" s="11"/>
      <c r="H282" s="15"/>
      <c r="I282" s="16" t="str">
        <f aca="false">IF($A282="","",SUMIFS(반납내역!$D$3:$D$1502,반납내역!$B$3:$B$1502,$A282))</f>
        <v/>
      </c>
      <c r="J282" s="16" t="str">
        <f aca="false">IF($A282="","",IF($G282="","",$G282-$I282))</f>
        <v/>
      </c>
      <c r="K282" s="17" t="str">
        <f aca="true">IF(OR($A282="",$J282="",$J282&lt;=0,$H282=""),"",TODAY()-$H282)</f>
        <v/>
      </c>
      <c r="L282" s="14" t="str">
        <f aca="false">IF($A282="","",IF($G282="","",IF($J282&lt;=0,"반납완료",IF($I282&gt;0,"부분반납","미반납"))))</f>
        <v/>
      </c>
    </row>
    <row r="283" customFormat="false" ht="15" hidden="false" customHeight="false" outlineLevel="0" collapsed="false">
      <c r="A283" s="14" t="str">
        <f aca="false">IF($B283="","",TEXT($B283,"yymmdd")&amp;"-"&amp;TEXT(COUNTIFS($B$3:$B283,$B283),"00"))</f>
        <v/>
      </c>
      <c r="B283" s="15"/>
      <c r="C283" s="9"/>
      <c r="D283" s="10"/>
      <c r="E283" s="14" t="str">
        <f aca="false">IF($D283="","",IFERROR(INDEX(품목목록!$B$3:$B$202,MATCH($D283,품목목록!$A$3:$A$202,0)),"미등록품번"))</f>
        <v/>
      </c>
      <c r="F283" s="14" t="str">
        <f aca="false">IF($D283="","",IFERROR(INDEX(품목목록!$D$3:$D$202,MATCH($D283,품목목록!$A$3:$A$202,0)),""))</f>
        <v/>
      </c>
      <c r="G283" s="11"/>
      <c r="H283" s="15"/>
      <c r="I283" s="16" t="str">
        <f aca="false">IF($A283="","",SUMIFS(반납내역!$D$3:$D$1502,반납내역!$B$3:$B$1502,$A283))</f>
        <v/>
      </c>
      <c r="J283" s="16" t="str">
        <f aca="false">IF($A283="","",IF($G283="","",$G283-$I283))</f>
        <v/>
      </c>
      <c r="K283" s="17" t="str">
        <f aca="true">IF(OR($A283="",$J283="",$J283&lt;=0,$H283=""),"",TODAY()-$H283)</f>
        <v/>
      </c>
      <c r="L283" s="14" t="str">
        <f aca="false">IF($A283="","",IF($G283="","",IF($J283&lt;=0,"반납완료",IF($I283&gt;0,"부분반납","미반납"))))</f>
        <v/>
      </c>
    </row>
    <row r="284" customFormat="false" ht="15" hidden="false" customHeight="false" outlineLevel="0" collapsed="false">
      <c r="A284" s="14" t="str">
        <f aca="false">IF($B284="","",TEXT($B284,"yymmdd")&amp;"-"&amp;TEXT(COUNTIFS($B$3:$B284,$B284),"00"))</f>
        <v/>
      </c>
      <c r="B284" s="15"/>
      <c r="C284" s="9"/>
      <c r="D284" s="10"/>
      <c r="E284" s="14" t="str">
        <f aca="false">IF($D284="","",IFERROR(INDEX(품목목록!$B$3:$B$202,MATCH($D284,품목목록!$A$3:$A$202,0)),"미등록품번"))</f>
        <v/>
      </c>
      <c r="F284" s="14" t="str">
        <f aca="false">IF($D284="","",IFERROR(INDEX(품목목록!$D$3:$D$202,MATCH($D284,품목목록!$A$3:$A$202,0)),""))</f>
        <v/>
      </c>
      <c r="G284" s="11"/>
      <c r="H284" s="15"/>
      <c r="I284" s="16" t="str">
        <f aca="false">IF($A284="","",SUMIFS(반납내역!$D$3:$D$1502,반납내역!$B$3:$B$1502,$A284))</f>
        <v/>
      </c>
      <c r="J284" s="16" t="str">
        <f aca="false">IF($A284="","",IF($G284="","",$G284-$I284))</f>
        <v/>
      </c>
      <c r="K284" s="17" t="str">
        <f aca="true">IF(OR($A284="",$J284="",$J284&lt;=0,$H284=""),"",TODAY()-$H284)</f>
        <v/>
      </c>
      <c r="L284" s="14" t="str">
        <f aca="false">IF($A284="","",IF($G284="","",IF($J284&lt;=0,"반납완료",IF($I284&gt;0,"부분반납","미반납"))))</f>
        <v/>
      </c>
    </row>
    <row r="285" customFormat="false" ht="15" hidden="false" customHeight="false" outlineLevel="0" collapsed="false">
      <c r="A285" s="14" t="str">
        <f aca="false">IF($B285="","",TEXT($B285,"yymmdd")&amp;"-"&amp;TEXT(COUNTIFS($B$3:$B285,$B285),"00"))</f>
        <v/>
      </c>
      <c r="B285" s="15"/>
      <c r="C285" s="9"/>
      <c r="D285" s="10"/>
      <c r="E285" s="14" t="str">
        <f aca="false">IF($D285="","",IFERROR(INDEX(품목목록!$B$3:$B$202,MATCH($D285,품목목록!$A$3:$A$202,0)),"미등록품번"))</f>
        <v/>
      </c>
      <c r="F285" s="14" t="str">
        <f aca="false">IF($D285="","",IFERROR(INDEX(품목목록!$D$3:$D$202,MATCH($D285,품목목록!$A$3:$A$202,0)),""))</f>
        <v/>
      </c>
      <c r="G285" s="11"/>
      <c r="H285" s="15"/>
      <c r="I285" s="16" t="str">
        <f aca="false">IF($A285="","",SUMIFS(반납내역!$D$3:$D$1502,반납내역!$B$3:$B$1502,$A285))</f>
        <v/>
      </c>
      <c r="J285" s="16" t="str">
        <f aca="false">IF($A285="","",IF($G285="","",$G285-$I285))</f>
        <v/>
      </c>
      <c r="K285" s="17" t="str">
        <f aca="true">IF(OR($A285="",$J285="",$J285&lt;=0,$H285=""),"",TODAY()-$H285)</f>
        <v/>
      </c>
      <c r="L285" s="14" t="str">
        <f aca="false">IF($A285="","",IF($G285="","",IF($J285&lt;=0,"반납완료",IF($I285&gt;0,"부분반납","미반납"))))</f>
        <v/>
      </c>
    </row>
    <row r="286" customFormat="false" ht="15" hidden="false" customHeight="false" outlineLevel="0" collapsed="false">
      <c r="A286" s="14" t="str">
        <f aca="false">IF($B286="","",TEXT($B286,"yymmdd")&amp;"-"&amp;TEXT(COUNTIFS($B$3:$B286,$B286),"00"))</f>
        <v/>
      </c>
      <c r="B286" s="15"/>
      <c r="C286" s="9"/>
      <c r="D286" s="10"/>
      <c r="E286" s="14" t="str">
        <f aca="false">IF($D286="","",IFERROR(INDEX(품목목록!$B$3:$B$202,MATCH($D286,품목목록!$A$3:$A$202,0)),"미등록품번"))</f>
        <v/>
      </c>
      <c r="F286" s="14" t="str">
        <f aca="false">IF($D286="","",IFERROR(INDEX(품목목록!$D$3:$D$202,MATCH($D286,품목목록!$A$3:$A$202,0)),""))</f>
        <v/>
      </c>
      <c r="G286" s="11"/>
      <c r="H286" s="15"/>
      <c r="I286" s="16" t="str">
        <f aca="false">IF($A286="","",SUMIFS(반납내역!$D$3:$D$1502,반납내역!$B$3:$B$1502,$A286))</f>
        <v/>
      </c>
      <c r="J286" s="16" t="str">
        <f aca="false">IF($A286="","",IF($G286="","",$G286-$I286))</f>
        <v/>
      </c>
      <c r="K286" s="17" t="str">
        <f aca="true">IF(OR($A286="",$J286="",$J286&lt;=0,$H286=""),"",TODAY()-$H286)</f>
        <v/>
      </c>
      <c r="L286" s="14" t="str">
        <f aca="false">IF($A286="","",IF($G286="","",IF($J286&lt;=0,"반납완료",IF($I286&gt;0,"부분반납","미반납"))))</f>
        <v/>
      </c>
    </row>
    <row r="287" customFormat="false" ht="15" hidden="false" customHeight="false" outlineLevel="0" collapsed="false">
      <c r="A287" s="14" t="str">
        <f aca="false">IF($B287="","",TEXT($B287,"yymmdd")&amp;"-"&amp;TEXT(COUNTIFS($B$3:$B287,$B287),"00"))</f>
        <v/>
      </c>
      <c r="B287" s="15"/>
      <c r="C287" s="9"/>
      <c r="D287" s="10"/>
      <c r="E287" s="14" t="str">
        <f aca="false">IF($D287="","",IFERROR(INDEX(품목목록!$B$3:$B$202,MATCH($D287,품목목록!$A$3:$A$202,0)),"미등록품번"))</f>
        <v/>
      </c>
      <c r="F287" s="14" t="str">
        <f aca="false">IF($D287="","",IFERROR(INDEX(품목목록!$D$3:$D$202,MATCH($D287,품목목록!$A$3:$A$202,0)),""))</f>
        <v/>
      </c>
      <c r="G287" s="11"/>
      <c r="H287" s="15"/>
      <c r="I287" s="16" t="str">
        <f aca="false">IF($A287="","",SUMIFS(반납내역!$D$3:$D$1502,반납내역!$B$3:$B$1502,$A287))</f>
        <v/>
      </c>
      <c r="J287" s="16" t="str">
        <f aca="false">IF($A287="","",IF($G287="","",$G287-$I287))</f>
        <v/>
      </c>
      <c r="K287" s="17" t="str">
        <f aca="true">IF(OR($A287="",$J287="",$J287&lt;=0,$H287=""),"",TODAY()-$H287)</f>
        <v/>
      </c>
      <c r="L287" s="14" t="str">
        <f aca="false">IF($A287="","",IF($G287="","",IF($J287&lt;=0,"반납완료",IF($I287&gt;0,"부분반납","미반납"))))</f>
        <v/>
      </c>
    </row>
    <row r="288" customFormat="false" ht="15" hidden="false" customHeight="false" outlineLevel="0" collapsed="false">
      <c r="A288" s="14" t="str">
        <f aca="false">IF($B288="","",TEXT($B288,"yymmdd")&amp;"-"&amp;TEXT(COUNTIFS($B$3:$B288,$B288),"00"))</f>
        <v/>
      </c>
      <c r="B288" s="15"/>
      <c r="C288" s="9"/>
      <c r="D288" s="10"/>
      <c r="E288" s="14" t="str">
        <f aca="false">IF($D288="","",IFERROR(INDEX(품목목록!$B$3:$B$202,MATCH($D288,품목목록!$A$3:$A$202,0)),"미등록품번"))</f>
        <v/>
      </c>
      <c r="F288" s="14" t="str">
        <f aca="false">IF($D288="","",IFERROR(INDEX(품목목록!$D$3:$D$202,MATCH($D288,품목목록!$A$3:$A$202,0)),""))</f>
        <v/>
      </c>
      <c r="G288" s="11"/>
      <c r="H288" s="15"/>
      <c r="I288" s="16" t="str">
        <f aca="false">IF($A288="","",SUMIFS(반납내역!$D$3:$D$1502,반납내역!$B$3:$B$1502,$A288))</f>
        <v/>
      </c>
      <c r="J288" s="16" t="str">
        <f aca="false">IF($A288="","",IF($G288="","",$G288-$I288))</f>
        <v/>
      </c>
      <c r="K288" s="17" t="str">
        <f aca="true">IF(OR($A288="",$J288="",$J288&lt;=0,$H288=""),"",TODAY()-$H288)</f>
        <v/>
      </c>
      <c r="L288" s="14" t="str">
        <f aca="false">IF($A288="","",IF($G288="","",IF($J288&lt;=0,"반납완료",IF($I288&gt;0,"부분반납","미반납"))))</f>
        <v/>
      </c>
    </row>
    <row r="289" customFormat="false" ht="15" hidden="false" customHeight="false" outlineLevel="0" collapsed="false">
      <c r="A289" s="14" t="str">
        <f aca="false">IF($B289="","",TEXT($B289,"yymmdd")&amp;"-"&amp;TEXT(COUNTIFS($B$3:$B289,$B289),"00"))</f>
        <v/>
      </c>
      <c r="B289" s="15"/>
      <c r="C289" s="9"/>
      <c r="D289" s="10"/>
      <c r="E289" s="14" t="str">
        <f aca="false">IF($D289="","",IFERROR(INDEX(품목목록!$B$3:$B$202,MATCH($D289,품목목록!$A$3:$A$202,0)),"미등록품번"))</f>
        <v/>
      </c>
      <c r="F289" s="14" t="str">
        <f aca="false">IF($D289="","",IFERROR(INDEX(품목목록!$D$3:$D$202,MATCH($D289,품목목록!$A$3:$A$202,0)),""))</f>
        <v/>
      </c>
      <c r="G289" s="11"/>
      <c r="H289" s="15"/>
      <c r="I289" s="16" t="str">
        <f aca="false">IF($A289="","",SUMIFS(반납내역!$D$3:$D$1502,반납내역!$B$3:$B$1502,$A289))</f>
        <v/>
      </c>
      <c r="J289" s="16" t="str">
        <f aca="false">IF($A289="","",IF($G289="","",$G289-$I289))</f>
        <v/>
      </c>
      <c r="K289" s="17" t="str">
        <f aca="true">IF(OR($A289="",$J289="",$J289&lt;=0,$H289=""),"",TODAY()-$H289)</f>
        <v/>
      </c>
      <c r="L289" s="14" t="str">
        <f aca="false">IF($A289="","",IF($G289="","",IF($J289&lt;=0,"반납완료",IF($I289&gt;0,"부분반납","미반납"))))</f>
        <v/>
      </c>
    </row>
    <row r="290" customFormat="false" ht="15" hidden="false" customHeight="false" outlineLevel="0" collapsed="false">
      <c r="A290" s="14" t="str">
        <f aca="false">IF($B290="","",TEXT($B290,"yymmdd")&amp;"-"&amp;TEXT(COUNTIFS($B$3:$B290,$B290),"00"))</f>
        <v/>
      </c>
      <c r="B290" s="15"/>
      <c r="C290" s="9"/>
      <c r="D290" s="10"/>
      <c r="E290" s="14" t="str">
        <f aca="false">IF($D290="","",IFERROR(INDEX(품목목록!$B$3:$B$202,MATCH($D290,품목목록!$A$3:$A$202,0)),"미등록품번"))</f>
        <v/>
      </c>
      <c r="F290" s="14" t="str">
        <f aca="false">IF($D290="","",IFERROR(INDEX(품목목록!$D$3:$D$202,MATCH($D290,품목목록!$A$3:$A$202,0)),""))</f>
        <v/>
      </c>
      <c r="G290" s="11"/>
      <c r="H290" s="15"/>
      <c r="I290" s="16" t="str">
        <f aca="false">IF($A290="","",SUMIFS(반납내역!$D$3:$D$1502,반납내역!$B$3:$B$1502,$A290))</f>
        <v/>
      </c>
      <c r="J290" s="16" t="str">
        <f aca="false">IF($A290="","",IF($G290="","",$G290-$I290))</f>
        <v/>
      </c>
      <c r="K290" s="17" t="str">
        <f aca="true">IF(OR($A290="",$J290="",$J290&lt;=0,$H290=""),"",TODAY()-$H290)</f>
        <v/>
      </c>
      <c r="L290" s="14" t="str">
        <f aca="false">IF($A290="","",IF($G290="","",IF($J290&lt;=0,"반납완료",IF($I290&gt;0,"부분반납","미반납"))))</f>
        <v/>
      </c>
    </row>
    <row r="291" customFormat="false" ht="15" hidden="false" customHeight="false" outlineLevel="0" collapsed="false">
      <c r="A291" s="14" t="str">
        <f aca="false">IF($B291="","",TEXT($B291,"yymmdd")&amp;"-"&amp;TEXT(COUNTIFS($B$3:$B291,$B291),"00"))</f>
        <v/>
      </c>
      <c r="B291" s="15"/>
      <c r="C291" s="9"/>
      <c r="D291" s="10"/>
      <c r="E291" s="14" t="str">
        <f aca="false">IF($D291="","",IFERROR(INDEX(품목목록!$B$3:$B$202,MATCH($D291,품목목록!$A$3:$A$202,0)),"미등록품번"))</f>
        <v/>
      </c>
      <c r="F291" s="14" t="str">
        <f aca="false">IF($D291="","",IFERROR(INDEX(품목목록!$D$3:$D$202,MATCH($D291,품목목록!$A$3:$A$202,0)),""))</f>
        <v/>
      </c>
      <c r="G291" s="11"/>
      <c r="H291" s="15"/>
      <c r="I291" s="16" t="str">
        <f aca="false">IF($A291="","",SUMIFS(반납내역!$D$3:$D$1502,반납내역!$B$3:$B$1502,$A291))</f>
        <v/>
      </c>
      <c r="J291" s="16" t="str">
        <f aca="false">IF($A291="","",IF($G291="","",$G291-$I291))</f>
        <v/>
      </c>
      <c r="K291" s="17" t="str">
        <f aca="true">IF(OR($A291="",$J291="",$J291&lt;=0,$H291=""),"",TODAY()-$H291)</f>
        <v/>
      </c>
      <c r="L291" s="14" t="str">
        <f aca="false">IF($A291="","",IF($G291="","",IF($J291&lt;=0,"반납완료",IF($I291&gt;0,"부분반납","미반납"))))</f>
        <v/>
      </c>
    </row>
    <row r="292" customFormat="false" ht="15" hidden="false" customHeight="false" outlineLevel="0" collapsed="false">
      <c r="A292" s="14" t="str">
        <f aca="false">IF($B292="","",TEXT($B292,"yymmdd")&amp;"-"&amp;TEXT(COUNTIFS($B$3:$B292,$B292),"00"))</f>
        <v/>
      </c>
      <c r="B292" s="15"/>
      <c r="C292" s="9"/>
      <c r="D292" s="10"/>
      <c r="E292" s="14" t="str">
        <f aca="false">IF($D292="","",IFERROR(INDEX(품목목록!$B$3:$B$202,MATCH($D292,품목목록!$A$3:$A$202,0)),"미등록품번"))</f>
        <v/>
      </c>
      <c r="F292" s="14" t="str">
        <f aca="false">IF($D292="","",IFERROR(INDEX(품목목록!$D$3:$D$202,MATCH($D292,품목목록!$A$3:$A$202,0)),""))</f>
        <v/>
      </c>
      <c r="G292" s="11"/>
      <c r="H292" s="15"/>
      <c r="I292" s="16" t="str">
        <f aca="false">IF($A292="","",SUMIFS(반납내역!$D$3:$D$1502,반납내역!$B$3:$B$1502,$A292))</f>
        <v/>
      </c>
      <c r="J292" s="16" t="str">
        <f aca="false">IF($A292="","",IF($G292="","",$G292-$I292))</f>
        <v/>
      </c>
      <c r="K292" s="17" t="str">
        <f aca="true">IF(OR($A292="",$J292="",$J292&lt;=0,$H292=""),"",TODAY()-$H292)</f>
        <v/>
      </c>
      <c r="L292" s="14" t="str">
        <f aca="false">IF($A292="","",IF($G292="","",IF($J292&lt;=0,"반납완료",IF($I292&gt;0,"부분반납","미반납"))))</f>
        <v/>
      </c>
    </row>
    <row r="293" customFormat="false" ht="15" hidden="false" customHeight="false" outlineLevel="0" collapsed="false">
      <c r="A293" s="14" t="str">
        <f aca="false">IF($B293="","",TEXT($B293,"yymmdd")&amp;"-"&amp;TEXT(COUNTIFS($B$3:$B293,$B293),"00"))</f>
        <v/>
      </c>
      <c r="B293" s="15"/>
      <c r="C293" s="9"/>
      <c r="D293" s="10"/>
      <c r="E293" s="14" t="str">
        <f aca="false">IF($D293="","",IFERROR(INDEX(품목목록!$B$3:$B$202,MATCH($D293,품목목록!$A$3:$A$202,0)),"미등록품번"))</f>
        <v/>
      </c>
      <c r="F293" s="14" t="str">
        <f aca="false">IF($D293="","",IFERROR(INDEX(품목목록!$D$3:$D$202,MATCH($D293,품목목록!$A$3:$A$202,0)),""))</f>
        <v/>
      </c>
      <c r="G293" s="11"/>
      <c r="H293" s="15"/>
      <c r="I293" s="16" t="str">
        <f aca="false">IF($A293="","",SUMIFS(반납내역!$D$3:$D$1502,반납내역!$B$3:$B$1502,$A293))</f>
        <v/>
      </c>
      <c r="J293" s="16" t="str">
        <f aca="false">IF($A293="","",IF($G293="","",$G293-$I293))</f>
        <v/>
      </c>
      <c r="K293" s="17" t="str">
        <f aca="true">IF(OR($A293="",$J293="",$J293&lt;=0,$H293=""),"",TODAY()-$H293)</f>
        <v/>
      </c>
      <c r="L293" s="14" t="str">
        <f aca="false">IF($A293="","",IF($G293="","",IF($J293&lt;=0,"반납완료",IF($I293&gt;0,"부분반납","미반납"))))</f>
        <v/>
      </c>
    </row>
    <row r="294" customFormat="false" ht="15" hidden="false" customHeight="false" outlineLevel="0" collapsed="false">
      <c r="A294" s="14" t="str">
        <f aca="false">IF($B294="","",TEXT($B294,"yymmdd")&amp;"-"&amp;TEXT(COUNTIFS($B$3:$B294,$B294),"00"))</f>
        <v/>
      </c>
      <c r="B294" s="15"/>
      <c r="C294" s="9"/>
      <c r="D294" s="10"/>
      <c r="E294" s="14" t="str">
        <f aca="false">IF($D294="","",IFERROR(INDEX(품목목록!$B$3:$B$202,MATCH($D294,품목목록!$A$3:$A$202,0)),"미등록품번"))</f>
        <v/>
      </c>
      <c r="F294" s="14" t="str">
        <f aca="false">IF($D294="","",IFERROR(INDEX(품목목록!$D$3:$D$202,MATCH($D294,품목목록!$A$3:$A$202,0)),""))</f>
        <v/>
      </c>
      <c r="G294" s="11"/>
      <c r="H294" s="15"/>
      <c r="I294" s="16" t="str">
        <f aca="false">IF($A294="","",SUMIFS(반납내역!$D$3:$D$1502,반납내역!$B$3:$B$1502,$A294))</f>
        <v/>
      </c>
      <c r="J294" s="16" t="str">
        <f aca="false">IF($A294="","",IF($G294="","",$G294-$I294))</f>
        <v/>
      </c>
      <c r="K294" s="17" t="str">
        <f aca="true">IF(OR($A294="",$J294="",$J294&lt;=0,$H294=""),"",TODAY()-$H294)</f>
        <v/>
      </c>
      <c r="L294" s="14" t="str">
        <f aca="false">IF($A294="","",IF($G294="","",IF($J294&lt;=0,"반납완료",IF($I294&gt;0,"부분반납","미반납"))))</f>
        <v/>
      </c>
    </row>
    <row r="295" customFormat="false" ht="15" hidden="false" customHeight="false" outlineLevel="0" collapsed="false">
      <c r="A295" s="14" t="str">
        <f aca="false">IF($B295="","",TEXT($B295,"yymmdd")&amp;"-"&amp;TEXT(COUNTIFS($B$3:$B295,$B295),"00"))</f>
        <v/>
      </c>
      <c r="B295" s="15"/>
      <c r="C295" s="9"/>
      <c r="D295" s="10"/>
      <c r="E295" s="14" t="str">
        <f aca="false">IF($D295="","",IFERROR(INDEX(품목목록!$B$3:$B$202,MATCH($D295,품목목록!$A$3:$A$202,0)),"미등록품번"))</f>
        <v/>
      </c>
      <c r="F295" s="14" t="str">
        <f aca="false">IF($D295="","",IFERROR(INDEX(품목목록!$D$3:$D$202,MATCH($D295,품목목록!$A$3:$A$202,0)),""))</f>
        <v/>
      </c>
      <c r="G295" s="11"/>
      <c r="H295" s="15"/>
      <c r="I295" s="16" t="str">
        <f aca="false">IF($A295="","",SUMIFS(반납내역!$D$3:$D$1502,반납내역!$B$3:$B$1502,$A295))</f>
        <v/>
      </c>
      <c r="J295" s="16" t="str">
        <f aca="false">IF($A295="","",IF($G295="","",$G295-$I295))</f>
        <v/>
      </c>
      <c r="K295" s="17" t="str">
        <f aca="true">IF(OR($A295="",$J295="",$J295&lt;=0,$H295=""),"",TODAY()-$H295)</f>
        <v/>
      </c>
      <c r="L295" s="14" t="str">
        <f aca="false">IF($A295="","",IF($G295="","",IF($J295&lt;=0,"반납완료",IF($I295&gt;0,"부분반납","미반납"))))</f>
        <v/>
      </c>
    </row>
    <row r="296" customFormat="false" ht="15" hidden="false" customHeight="false" outlineLevel="0" collapsed="false">
      <c r="A296" s="14" t="str">
        <f aca="false">IF($B296="","",TEXT($B296,"yymmdd")&amp;"-"&amp;TEXT(COUNTIFS($B$3:$B296,$B296),"00"))</f>
        <v/>
      </c>
      <c r="B296" s="15"/>
      <c r="C296" s="9"/>
      <c r="D296" s="10"/>
      <c r="E296" s="14" t="str">
        <f aca="false">IF($D296="","",IFERROR(INDEX(품목목록!$B$3:$B$202,MATCH($D296,품목목록!$A$3:$A$202,0)),"미등록품번"))</f>
        <v/>
      </c>
      <c r="F296" s="14" t="str">
        <f aca="false">IF($D296="","",IFERROR(INDEX(품목목록!$D$3:$D$202,MATCH($D296,품목목록!$A$3:$A$202,0)),""))</f>
        <v/>
      </c>
      <c r="G296" s="11"/>
      <c r="H296" s="15"/>
      <c r="I296" s="16" t="str">
        <f aca="false">IF($A296="","",SUMIFS(반납내역!$D$3:$D$1502,반납내역!$B$3:$B$1502,$A296))</f>
        <v/>
      </c>
      <c r="J296" s="16" t="str">
        <f aca="false">IF($A296="","",IF($G296="","",$G296-$I296))</f>
        <v/>
      </c>
      <c r="K296" s="17" t="str">
        <f aca="true">IF(OR($A296="",$J296="",$J296&lt;=0,$H296=""),"",TODAY()-$H296)</f>
        <v/>
      </c>
      <c r="L296" s="14" t="str">
        <f aca="false">IF($A296="","",IF($G296="","",IF($J296&lt;=0,"반납완료",IF($I296&gt;0,"부분반납","미반납"))))</f>
        <v/>
      </c>
    </row>
    <row r="297" customFormat="false" ht="15" hidden="false" customHeight="false" outlineLevel="0" collapsed="false">
      <c r="A297" s="14" t="str">
        <f aca="false">IF($B297="","",TEXT($B297,"yymmdd")&amp;"-"&amp;TEXT(COUNTIFS($B$3:$B297,$B297),"00"))</f>
        <v/>
      </c>
      <c r="B297" s="15"/>
      <c r="C297" s="9"/>
      <c r="D297" s="10"/>
      <c r="E297" s="14" t="str">
        <f aca="false">IF($D297="","",IFERROR(INDEX(품목목록!$B$3:$B$202,MATCH($D297,품목목록!$A$3:$A$202,0)),"미등록품번"))</f>
        <v/>
      </c>
      <c r="F297" s="14" t="str">
        <f aca="false">IF($D297="","",IFERROR(INDEX(품목목록!$D$3:$D$202,MATCH($D297,품목목록!$A$3:$A$202,0)),""))</f>
        <v/>
      </c>
      <c r="G297" s="11"/>
      <c r="H297" s="15"/>
      <c r="I297" s="16" t="str">
        <f aca="false">IF($A297="","",SUMIFS(반납내역!$D$3:$D$1502,반납내역!$B$3:$B$1502,$A297))</f>
        <v/>
      </c>
      <c r="J297" s="16" t="str">
        <f aca="false">IF($A297="","",IF($G297="","",$G297-$I297))</f>
        <v/>
      </c>
      <c r="K297" s="17" t="str">
        <f aca="true">IF(OR($A297="",$J297="",$J297&lt;=0,$H297=""),"",TODAY()-$H297)</f>
        <v/>
      </c>
      <c r="L297" s="14" t="str">
        <f aca="false">IF($A297="","",IF($G297="","",IF($J297&lt;=0,"반납완료",IF($I297&gt;0,"부분반납","미반납"))))</f>
        <v/>
      </c>
    </row>
    <row r="298" customFormat="false" ht="15" hidden="false" customHeight="false" outlineLevel="0" collapsed="false">
      <c r="A298" s="14" t="str">
        <f aca="false">IF($B298="","",TEXT($B298,"yymmdd")&amp;"-"&amp;TEXT(COUNTIFS($B$3:$B298,$B298),"00"))</f>
        <v/>
      </c>
      <c r="B298" s="15"/>
      <c r="C298" s="9"/>
      <c r="D298" s="10"/>
      <c r="E298" s="14" t="str">
        <f aca="false">IF($D298="","",IFERROR(INDEX(품목목록!$B$3:$B$202,MATCH($D298,품목목록!$A$3:$A$202,0)),"미등록품번"))</f>
        <v/>
      </c>
      <c r="F298" s="14" t="str">
        <f aca="false">IF($D298="","",IFERROR(INDEX(품목목록!$D$3:$D$202,MATCH($D298,품목목록!$A$3:$A$202,0)),""))</f>
        <v/>
      </c>
      <c r="G298" s="11"/>
      <c r="H298" s="15"/>
      <c r="I298" s="16" t="str">
        <f aca="false">IF($A298="","",SUMIFS(반납내역!$D$3:$D$1502,반납내역!$B$3:$B$1502,$A298))</f>
        <v/>
      </c>
      <c r="J298" s="16" t="str">
        <f aca="false">IF($A298="","",IF($G298="","",$G298-$I298))</f>
        <v/>
      </c>
      <c r="K298" s="17" t="str">
        <f aca="true">IF(OR($A298="",$J298="",$J298&lt;=0,$H298=""),"",TODAY()-$H298)</f>
        <v/>
      </c>
      <c r="L298" s="14" t="str">
        <f aca="false">IF($A298="","",IF($G298="","",IF($J298&lt;=0,"반납완료",IF($I298&gt;0,"부분반납","미반납"))))</f>
        <v/>
      </c>
    </row>
    <row r="299" customFormat="false" ht="15" hidden="false" customHeight="false" outlineLevel="0" collapsed="false">
      <c r="A299" s="14" t="str">
        <f aca="false">IF($B299="","",TEXT($B299,"yymmdd")&amp;"-"&amp;TEXT(COUNTIFS($B$3:$B299,$B299),"00"))</f>
        <v/>
      </c>
      <c r="B299" s="15"/>
      <c r="C299" s="9"/>
      <c r="D299" s="10"/>
      <c r="E299" s="14" t="str">
        <f aca="false">IF($D299="","",IFERROR(INDEX(품목목록!$B$3:$B$202,MATCH($D299,품목목록!$A$3:$A$202,0)),"미등록품번"))</f>
        <v/>
      </c>
      <c r="F299" s="14" t="str">
        <f aca="false">IF($D299="","",IFERROR(INDEX(품목목록!$D$3:$D$202,MATCH($D299,품목목록!$A$3:$A$202,0)),""))</f>
        <v/>
      </c>
      <c r="G299" s="11"/>
      <c r="H299" s="15"/>
      <c r="I299" s="16" t="str">
        <f aca="false">IF($A299="","",SUMIFS(반납내역!$D$3:$D$1502,반납내역!$B$3:$B$1502,$A299))</f>
        <v/>
      </c>
      <c r="J299" s="16" t="str">
        <f aca="false">IF($A299="","",IF($G299="","",$G299-$I299))</f>
        <v/>
      </c>
      <c r="K299" s="17" t="str">
        <f aca="true">IF(OR($A299="",$J299="",$J299&lt;=0,$H299=""),"",TODAY()-$H299)</f>
        <v/>
      </c>
      <c r="L299" s="14" t="str">
        <f aca="false">IF($A299="","",IF($G299="","",IF($J299&lt;=0,"반납완료",IF($I299&gt;0,"부분반납","미반납"))))</f>
        <v/>
      </c>
    </row>
    <row r="300" customFormat="false" ht="15" hidden="false" customHeight="false" outlineLevel="0" collapsed="false">
      <c r="A300" s="14" t="str">
        <f aca="false">IF($B300="","",TEXT($B300,"yymmdd")&amp;"-"&amp;TEXT(COUNTIFS($B$3:$B300,$B300),"00"))</f>
        <v/>
      </c>
      <c r="B300" s="15"/>
      <c r="C300" s="9"/>
      <c r="D300" s="10"/>
      <c r="E300" s="14" t="str">
        <f aca="false">IF($D300="","",IFERROR(INDEX(품목목록!$B$3:$B$202,MATCH($D300,품목목록!$A$3:$A$202,0)),"미등록품번"))</f>
        <v/>
      </c>
      <c r="F300" s="14" t="str">
        <f aca="false">IF($D300="","",IFERROR(INDEX(품목목록!$D$3:$D$202,MATCH($D300,품목목록!$A$3:$A$202,0)),""))</f>
        <v/>
      </c>
      <c r="G300" s="11"/>
      <c r="H300" s="15"/>
      <c r="I300" s="16" t="str">
        <f aca="false">IF($A300="","",SUMIFS(반납내역!$D$3:$D$1502,반납내역!$B$3:$B$1502,$A300))</f>
        <v/>
      </c>
      <c r="J300" s="16" t="str">
        <f aca="false">IF($A300="","",IF($G300="","",$G300-$I300))</f>
        <v/>
      </c>
      <c r="K300" s="17" t="str">
        <f aca="true">IF(OR($A300="",$J300="",$J300&lt;=0,$H300=""),"",TODAY()-$H300)</f>
        <v/>
      </c>
      <c r="L300" s="14" t="str">
        <f aca="false">IF($A300="","",IF($G300="","",IF($J300&lt;=0,"반납완료",IF($I300&gt;0,"부분반납","미반납"))))</f>
        <v/>
      </c>
    </row>
    <row r="301" customFormat="false" ht="15" hidden="false" customHeight="false" outlineLevel="0" collapsed="false">
      <c r="A301" s="14" t="str">
        <f aca="false">IF($B301="","",TEXT($B301,"yymmdd")&amp;"-"&amp;TEXT(COUNTIFS($B$3:$B301,$B301),"00"))</f>
        <v/>
      </c>
      <c r="B301" s="15"/>
      <c r="C301" s="9"/>
      <c r="D301" s="10"/>
      <c r="E301" s="14" t="str">
        <f aca="false">IF($D301="","",IFERROR(INDEX(품목목록!$B$3:$B$202,MATCH($D301,품목목록!$A$3:$A$202,0)),"미등록품번"))</f>
        <v/>
      </c>
      <c r="F301" s="14" t="str">
        <f aca="false">IF($D301="","",IFERROR(INDEX(품목목록!$D$3:$D$202,MATCH($D301,품목목록!$A$3:$A$202,0)),""))</f>
        <v/>
      </c>
      <c r="G301" s="11"/>
      <c r="H301" s="15"/>
      <c r="I301" s="16" t="str">
        <f aca="false">IF($A301="","",SUMIFS(반납내역!$D$3:$D$1502,반납내역!$B$3:$B$1502,$A301))</f>
        <v/>
      </c>
      <c r="J301" s="16" t="str">
        <f aca="false">IF($A301="","",IF($G301="","",$G301-$I301))</f>
        <v/>
      </c>
      <c r="K301" s="17" t="str">
        <f aca="true">IF(OR($A301="",$J301="",$J301&lt;=0,$H301=""),"",TODAY()-$H301)</f>
        <v/>
      </c>
      <c r="L301" s="14" t="str">
        <f aca="false">IF($A301="","",IF($G301="","",IF($J301&lt;=0,"반납완료",IF($I301&gt;0,"부분반납","미반납"))))</f>
        <v/>
      </c>
    </row>
    <row r="302" customFormat="false" ht="15" hidden="false" customHeight="false" outlineLevel="0" collapsed="false">
      <c r="A302" s="14" t="str">
        <f aca="false">IF($B302="","",TEXT($B302,"yymmdd")&amp;"-"&amp;TEXT(COUNTIFS($B$3:$B302,$B302),"00"))</f>
        <v/>
      </c>
      <c r="B302" s="15"/>
      <c r="C302" s="9"/>
      <c r="D302" s="10"/>
      <c r="E302" s="14" t="str">
        <f aca="false">IF($D302="","",IFERROR(INDEX(품목목록!$B$3:$B$202,MATCH($D302,품목목록!$A$3:$A$202,0)),"미등록품번"))</f>
        <v/>
      </c>
      <c r="F302" s="14" t="str">
        <f aca="false">IF($D302="","",IFERROR(INDEX(품목목록!$D$3:$D$202,MATCH($D302,품목목록!$A$3:$A$202,0)),""))</f>
        <v/>
      </c>
      <c r="G302" s="11"/>
      <c r="H302" s="15"/>
      <c r="I302" s="16" t="str">
        <f aca="false">IF($A302="","",SUMIFS(반납내역!$D$3:$D$1502,반납내역!$B$3:$B$1502,$A302))</f>
        <v/>
      </c>
      <c r="J302" s="16" t="str">
        <f aca="false">IF($A302="","",IF($G302="","",$G302-$I302))</f>
        <v/>
      </c>
      <c r="K302" s="17" t="str">
        <f aca="true">IF(OR($A302="",$J302="",$J302&lt;=0,$H302=""),"",TODAY()-$H302)</f>
        <v/>
      </c>
      <c r="L302" s="14" t="str">
        <f aca="false">IF($A302="","",IF($G302="","",IF($J302&lt;=0,"반납완료",IF($I302&gt;0,"부분반납","미반납"))))</f>
        <v/>
      </c>
    </row>
    <row r="303" customFormat="false" ht="15" hidden="false" customHeight="false" outlineLevel="0" collapsed="false">
      <c r="A303" s="14" t="str">
        <f aca="false">IF($B303="","",TEXT($B303,"yymmdd")&amp;"-"&amp;TEXT(COUNTIFS($B$3:$B303,$B303),"00"))</f>
        <v/>
      </c>
      <c r="B303" s="15"/>
      <c r="C303" s="9"/>
      <c r="D303" s="10"/>
      <c r="E303" s="14" t="str">
        <f aca="false">IF($D303="","",IFERROR(INDEX(품목목록!$B$3:$B$202,MATCH($D303,품목목록!$A$3:$A$202,0)),"미등록품번"))</f>
        <v/>
      </c>
      <c r="F303" s="14" t="str">
        <f aca="false">IF($D303="","",IFERROR(INDEX(품목목록!$D$3:$D$202,MATCH($D303,품목목록!$A$3:$A$202,0)),""))</f>
        <v/>
      </c>
      <c r="G303" s="11"/>
      <c r="H303" s="15"/>
      <c r="I303" s="16" t="str">
        <f aca="false">IF($A303="","",SUMIFS(반납내역!$D$3:$D$1502,반납내역!$B$3:$B$1502,$A303))</f>
        <v/>
      </c>
      <c r="J303" s="16" t="str">
        <f aca="false">IF($A303="","",IF($G303="","",$G303-$I303))</f>
        <v/>
      </c>
      <c r="K303" s="17" t="str">
        <f aca="true">IF(OR($A303="",$J303="",$J303&lt;=0,$H303=""),"",TODAY()-$H303)</f>
        <v/>
      </c>
      <c r="L303" s="14" t="str">
        <f aca="false">IF($A303="","",IF($G303="","",IF($J303&lt;=0,"반납완료",IF($I303&gt;0,"부분반납","미반납"))))</f>
        <v/>
      </c>
    </row>
    <row r="304" customFormat="false" ht="15" hidden="false" customHeight="false" outlineLevel="0" collapsed="false">
      <c r="A304" s="14" t="str">
        <f aca="false">IF($B304="","",TEXT($B304,"yymmdd")&amp;"-"&amp;TEXT(COUNTIFS($B$3:$B304,$B304),"00"))</f>
        <v/>
      </c>
      <c r="B304" s="15"/>
      <c r="C304" s="9"/>
      <c r="D304" s="10"/>
      <c r="E304" s="14" t="str">
        <f aca="false">IF($D304="","",IFERROR(INDEX(품목목록!$B$3:$B$202,MATCH($D304,품목목록!$A$3:$A$202,0)),"미등록품번"))</f>
        <v/>
      </c>
      <c r="F304" s="14" t="str">
        <f aca="false">IF($D304="","",IFERROR(INDEX(품목목록!$D$3:$D$202,MATCH($D304,품목목록!$A$3:$A$202,0)),""))</f>
        <v/>
      </c>
      <c r="G304" s="11"/>
      <c r="H304" s="15"/>
      <c r="I304" s="16" t="str">
        <f aca="false">IF($A304="","",SUMIFS(반납내역!$D$3:$D$1502,반납내역!$B$3:$B$1502,$A304))</f>
        <v/>
      </c>
      <c r="J304" s="16" t="str">
        <f aca="false">IF($A304="","",IF($G304="","",$G304-$I304))</f>
        <v/>
      </c>
      <c r="K304" s="17" t="str">
        <f aca="true">IF(OR($A304="",$J304="",$J304&lt;=0,$H304=""),"",TODAY()-$H304)</f>
        <v/>
      </c>
      <c r="L304" s="14" t="str">
        <f aca="false">IF($A304="","",IF($G304="","",IF($J304&lt;=0,"반납완료",IF($I304&gt;0,"부분반납","미반납"))))</f>
        <v/>
      </c>
    </row>
    <row r="305" customFormat="false" ht="15" hidden="false" customHeight="false" outlineLevel="0" collapsed="false">
      <c r="A305" s="14" t="str">
        <f aca="false">IF($B305="","",TEXT($B305,"yymmdd")&amp;"-"&amp;TEXT(COUNTIFS($B$3:$B305,$B305),"00"))</f>
        <v/>
      </c>
      <c r="B305" s="15"/>
      <c r="C305" s="9"/>
      <c r="D305" s="10"/>
      <c r="E305" s="14" t="str">
        <f aca="false">IF($D305="","",IFERROR(INDEX(품목목록!$B$3:$B$202,MATCH($D305,품목목록!$A$3:$A$202,0)),"미등록품번"))</f>
        <v/>
      </c>
      <c r="F305" s="14" t="str">
        <f aca="false">IF($D305="","",IFERROR(INDEX(품목목록!$D$3:$D$202,MATCH($D305,품목목록!$A$3:$A$202,0)),""))</f>
        <v/>
      </c>
      <c r="G305" s="11"/>
      <c r="H305" s="15"/>
      <c r="I305" s="16" t="str">
        <f aca="false">IF($A305="","",SUMIFS(반납내역!$D$3:$D$1502,반납내역!$B$3:$B$1502,$A305))</f>
        <v/>
      </c>
      <c r="J305" s="16" t="str">
        <f aca="false">IF($A305="","",IF($G305="","",$G305-$I305))</f>
        <v/>
      </c>
      <c r="K305" s="17" t="str">
        <f aca="true">IF(OR($A305="",$J305="",$J305&lt;=0,$H305=""),"",TODAY()-$H305)</f>
        <v/>
      </c>
      <c r="L305" s="14" t="str">
        <f aca="false">IF($A305="","",IF($G305="","",IF($J305&lt;=0,"반납완료",IF($I305&gt;0,"부분반납","미반납"))))</f>
        <v/>
      </c>
    </row>
    <row r="306" customFormat="false" ht="15" hidden="false" customHeight="false" outlineLevel="0" collapsed="false">
      <c r="A306" s="14" t="str">
        <f aca="false">IF($B306="","",TEXT($B306,"yymmdd")&amp;"-"&amp;TEXT(COUNTIFS($B$3:$B306,$B306),"00"))</f>
        <v/>
      </c>
      <c r="B306" s="15"/>
      <c r="C306" s="9"/>
      <c r="D306" s="10"/>
      <c r="E306" s="14" t="str">
        <f aca="false">IF($D306="","",IFERROR(INDEX(품목목록!$B$3:$B$202,MATCH($D306,품목목록!$A$3:$A$202,0)),"미등록품번"))</f>
        <v/>
      </c>
      <c r="F306" s="14" t="str">
        <f aca="false">IF($D306="","",IFERROR(INDEX(품목목록!$D$3:$D$202,MATCH($D306,품목목록!$A$3:$A$202,0)),""))</f>
        <v/>
      </c>
      <c r="G306" s="11"/>
      <c r="H306" s="15"/>
      <c r="I306" s="16" t="str">
        <f aca="false">IF($A306="","",SUMIFS(반납내역!$D$3:$D$1502,반납내역!$B$3:$B$1502,$A306))</f>
        <v/>
      </c>
      <c r="J306" s="16" t="str">
        <f aca="false">IF($A306="","",IF($G306="","",$G306-$I306))</f>
        <v/>
      </c>
      <c r="K306" s="17" t="str">
        <f aca="true">IF(OR($A306="",$J306="",$J306&lt;=0,$H306=""),"",TODAY()-$H306)</f>
        <v/>
      </c>
      <c r="L306" s="14" t="str">
        <f aca="false">IF($A306="","",IF($G306="","",IF($J306&lt;=0,"반납완료",IF($I306&gt;0,"부분반납","미반납"))))</f>
        <v/>
      </c>
    </row>
    <row r="307" customFormat="false" ht="15" hidden="false" customHeight="false" outlineLevel="0" collapsed="false">
      <c r="A307" s="14" t="str">
        <f aca="false">IF($B307="","",TEXT($B307,"yymmdd")&amp;"-"&amp;TEXT(COUNTIFS($B$3:$B307,$B307),"00"))</f>
        <v/>
      </c>
      <c r="B307" s="15"/>
      <c r="C307" s="9"/>
      <c r="D307" s="10"/>
      <c r="E307" s="14" t="str">
        <f aca="false">IF($D307="","",IFERROR(INDEX(품목목록!$B$3:$B$202,MATCH($D307,품목목록!$A$3:$A$202,0)),"미등록품번"))</f>
        <v/>
      </c>
      <c r="F307" s="14" t="str">
        <f aca="false">IF($D307="","",IFERROR(INDEX(품목목록!$D$3:$D$202,MATCH($D307,품목목록!$A$3:$A$202,0)),""))</f>
        <v/>
      </c>
      <c r="G307" s="11"/>
      <c r="H307" s="15"/>
      <c r="I307" s="16" t="str">
        <f aca="false">IF($A307="","",SUMIFS(반납내역!$D$3:$D$1502,반납내역!$B$3:$B$1502,$A307))</f>
        <v/>
      </c>
      <c r="J307" s="16" t="str">
        <f aca="false">IF($A307="","",IF($G307="","",$G307-$I307))</f>
        <v/>
      </c>
      <c r="K307" s="17" t="str">
        <f aca="true">IF(OR($A307="",$J307="",$J307&lt;=0,$H307=""),"",TODAY()-$H307)</f>
        <v/>
      </c>
      <c r="L307" s="14" t="str">
        <f aca="false">IF($A307="","",IF($G307="","",IF($J307&lt;=0,"반납완료",IF($I307&gt;0,"부분반납","미반납"))))</f>
        <v/>
      </c>
    </row>
    <row r="308" customFormat="false" ht="15" hidden="false" customHeight="false" outlineLevel="0" collapsed="false">
      <c r="A308" s="14" t="str">
        <f aca="false">IF($B308="","",TEXT($B308,"yymmdd")&amp;"-"&amp;TEXT(COUNTIFS($B$3:$B308,$B308),"00"))</f>
        <v/>
      </c>
      <c r="B308" s="15"/>
      <c r="C308" s="9"/>
      <c r="D308" s="10"/>
      <c r="E308" s="14" t="str">
        <f aca="false">IF($D308="","",IFERROR(INDEX(품목목록!$B$3:$B$202,MATCH($D308,품목목록!$A$3:$A$202,0)),"미등록품번"))</f>
        <v/>
      </c>
      <c r="F308" s="14" t="str">
        <f aca="false">IF($D308="","",IFERROR(INDEX(품목목록!$D$3:$D$202,MATCH($D308,품목목록!$A$3:$A$202,0)),""))</f>
        <v/>
      </c>
      <c r="G308" s="11"/>
      <c r="H308" s="15"/>
      <c r="I308" s="16" t="str">
        <f aca="false">IF($A308="","",SUMIFS(반납내역!$D$3:$D$1502,반납내역!$B$3:$B$1502,$A308))</f>
        <v/>
      </c>
      <c r="J308" s="16" t="str">
        <f aca="false">IF($A308="","",IF($G308="","",$G308-$I308))</f>
        <v/>
      </c>
      <c r="K308" s="17" t="str">
        <f aca="true">IF(OR($A308="",$J308="",$J308&lt;=0,$H308=""),"",TODAY()-$H308)</f>
        <v/>
      </c>
      <c r="L308" s="14" t="str">
        <f aca="false">IF($A308="","",IF($G308="","",IF($J308&lt;=0,"반납완료",IF($I308&gt;0,"부분반납","미반납"))))</f>
        <v/>
      </c>
    </row>
    <row r="309" customFormat="false" ht="15" hidden="false" customHeight="false" outlineLevel="0" collapsed="false">
      <c r="A309" s="14" t="str">
        <f aca="false">IF($B309="","",TEXT($B309,"yymmdd")&amp;"-"&amp;TEXT(COUNTIFS($B$3:$B309,$B309),"00"))</f>
        <v/>
      </c>
      <c r="B309" s="15"/>
      <c r="C309" s="9"/>
      <c r="D309" s="10"/>
      <c r="E309" s="14" t="str">
        <f aca="false">IF($D309="","",IFERROR(INDEX(품목목록!$B$3:$B$202,MATCH($D309,품목목록!$A$3:$A$202,0)),"미등록품번"))</f>
        <v/>
      </c>
      <c r="F309" s="14" t="str">
        <f aca="false">IF($D309="","",IFERROR(INDEX(품목목록!$D$3:$D$202,MATCH($D309,품목목록!$A$3:$A$202,0)),""))</f>
        <v/>
      </c>
      <c r="G309" s="11"/>
      <c r="H309" s="15"/>
      <c r="I309" s="16" t="str">
        <f aca="false">IF($A309="","",SUMIFS(반납내역!$D$3:$D$1502,반납내역!$B$3:$B$1502,$A309))</f>
        <v/>
      </c>
      <c r="J309" s="16" t="str">
        <f aca="false">IF($A309="","",IF($G309="","",$G309-$I309))</f>
        <v/>
      </c>
      <c r="K309" s="17" t="str">
        <f aca="true">IF(OR($A309="",$J309="",$J309&lt;=0,$H309=""),"",TODAY()-$H309)</f>
        <v/>
      </c>
      <c r="L309" s="14" t="str">
        <f aca="false">IF($A309="","",IF($G309="","",IF($J309&lt;=0,"반납완료",IF($I309&gt;0,"부분반납","미반납"))))</f>
        <v/>
      </c>
    </row>
    <row r="310" customFormat="false" ht="15" hidden="false" customHeight="false" outlineLevel="0" collapsed="false">
      <c r="A310" s="14" t="str">
        <f aca="false">IF($B310="","",TEXT($B310,"yymmdd")&amp;"-"&amp;TEXT(COUNTIFS($B$3:$B310,$B310),"00"))</f>
        <v/>
      </c>
      <c r="B310" s="15"/>
      <c r="C310" s="9"/>
      <c r="D310" s="10"/>
      <c r="E310" s="14" t="str">
        <f aca="false">IF($D310="","",IFERROR(INDEX(품목목록!$B$3:$B$202,MATCH($D310,품목목록!$A$3:$A$202,0)),"미등록품번"))</f>
        <v/>
      </c>
      <c r="F310" s="14" t="str">
        <f aca="false">IF($D310="","",IFERROR(INDEX(품목목록!$D$3:$D$202,MATCH($D310,품목목록!$A$3:$A$202,0)),""))</f>
        <v/>
      </c>
      <c r="G310" s="11"/>
      <c r="H310" s="15"/>
      <c r="I310" s="16" t="str">
        <f aca="false">IF($A310="","",SUMIFS(반납내역!$D$3:$D$1502,반납내역!$B$3:$B$1502,$A310))</f>
        <v/>
      </c>
      <c r="J310" s="16" t="str">
        <f aca="false">IF($A310="","",IF($G310="","",$G310-$I310))</f>
        <v/>
      </c>
      <c r="K310" s="17" t="str">
        <f aca="true">IF(OR($A310="",$J310="",$J310&lt;=0,$H310=""),"",TODAY()-$H310)</f>
        <v/>
      </c>
      <c r="L310" s="14" t="str">
        <f aca="false">IF($A310="","",IF($G310="","",IF($J310&lt;=0,"반납완료",IF($I310&gt;0,"부분반납","미반납"))))</f>
        <v/>
      </c>
    </row>
    <row r="311" customFormat="false" ht="15" hidden="false" customHeight="false" outlineLevel="0" collapsed="false">
      <c r="A311" s="14" t="str">
        <f aca="false">IF($B311="","",TEXT($B311,"yymmdd")&amp;"-"&amp;TEXT(COUNTIFS($B$3:$B311,$B311),"00"))</f>
        <v/>
      </c>
      <c r="B311" s="15"/>
      <c r="C311" s="9"/>
      <c r="D311" s="10"/>
      <c r="E311" s="14" t="str">
        <f aca="false">IF($D311="","",IFERROR(INDEX(품목목록!$B$3:$B$202,MATCH($D311,품목목록!$A$3:$A$202,0)),"미등록품번"))</f>
        <v/>
      </c>
      <c r="F311" s="14" t="str">
        <f aca="false">IF($D311="","",IFERROR(INDEX(품목목록!$D$3:$D$202,MATCH($D311,품목목록!$A$3:$A$202,0)),""))</f>
        <v/>
      </c>
      <c r="G311" s="11"/>
      <c r="H311" s="15"/>
      <c r="I311" s="16" t="str">
        <f aca="false">IF($A311="","",SUMIFS(반납내역!$D$3:$D$1502,반납내역!$B$3:$B$1502,$A311))</f>
        <v/>
      </c>
      <c r="J311" s="16" t="str">
        <f aca="false">IF($A311="","",IF($G311="","",$G311-$I311))</f>
        <v/>
      </c>
      <c r="K311" s="17" t="str">
        <f aca="true">IF(OR($A311="",$J311="",$J311&lt;=0,$H311=""),"",TODAY()-$H311)</f>
        <v/>
      </c>
      <c r="L311" s="14" t="str">
        <f aca="false">IF($A311="","",IF($G311="","",IF($J311&lt;=0,"반납완료",IF($I311&gt;0,"부분반납","미반납"))))</f>
        <v/>
      </c>
    </row>
    <row r="312" customFormat="false" ht="15" hidden="false" customHeight="false" outlineLevel="0" collapsed="false">
      <c r="A312" s="14" t="str">
        <f aca="false">IF($B312="","",TEXT($B312,"yymmdd")&amp;"-"&amp;TEXT(COUNTIFS($B$3:$B312,$B312),"00"))</f>
        <v/>
      </c>
      <c r="B312" s="15"/>
      <c r="C312" s="9"/>
      <c r="D312" s="10"/>
      <c r="E312" s="14" t="str">
        <f aca="false">IF($D312="","",IFERROR(INDEX(품목목록!$B$3:$B$202,MATCH($D312,품목목록!$A$3:$A$202,0)),"미등록품번"))</f>
        <v/>
      </c>
      <c r="F312" s="14" t="str">
        <f aca="false">IF($D312="","",IFERROR(INDEX(품목목록!$D$3:$D$202,MATCH($D312,품목목록!$A$3:$A$202,0)),""))</f>
        <v/>
      </c>
      <c r="G312" s="11"/>
      <c r="H312" s="15"/>
      <c r="I312" s="16" t="str">
        <f aca="false">IF($A312="","",SUMIFS(반납내역!$D$3:$D$1502,반납내역!$B$3:$B$1502,$A312))</f>
        <v/>
      </c>
      <c r="J312" s="16" t="str">
        <f aca="false">IF($A312="","",IF($G312="","",$G312-$I312))</f>
        <v/>
      </c>
      <c r="K312" s="17" t="str">
        <f aca="true">IF(OR($A312="",$J312="",$J312&lt;=0,$H312=""),"",TODAY()-$H312)</f>
        <v/>
      </c>
      <c r="L312" s="14" t="str">
        <f aca="false">IF($A312="","",IF($G312="","",IF($J312&lt;=0,"반납완료",IF($I312&gt;0,"부분반납","미반납"))))</f>
        <v/>
      </c>
    </row>
    <row r="313" customFormat="false" ht="15" hidden="false" customHeight="false" outlineLevel="0" collapsed="false">
      <c r="A313" s="14" t="str">
        <f aca="false">IF($B313="","",TEXT($B313,"yymmdd")&amp;"-"&amp;TEXT(COUNTIFS($B$3:$B313,$B313),"00"))</f>
        <v/>
      </c>
      <c r="B313" s="15"/>
      <c r="C313" s="9"/>
      <c r="D313" s="10"/>
      <c r="E313" s="14" t="str">
        <f aca="false">IF($D313="","",IFERROR(INDEX(품목목록!$B$3:$B$202,MATCH($D313,품목목록!$A$3:$A$202,0)),"미등록품번"))</f>
        <v/>
      </c>
      <c r="F313" s="14" t="str">
        <f aca="false">IF($D313="","",IFERROR(INDEX(품목목록!$D$3:$D$202,MATCH($D313,품목목록!$A$3:$A$202,0)),""))</f>
        <v/>
      </c>
      <c r="G313" s="11"/>
      <c r="H313" s="15"/>
      <c r="I313" s="16" t="str">
        <f aca="false">IF($A313="","",SUMIFS(반납내역!$D$3:$D$1502,반납내역!$B$3:$B$1502,$A313))</f>
        <v/>
      </c>
      <c r="J313" s="16" t="str">
        <f aca="false">IF($A313="","",IF($G313="","",$G313-$I313))</f>
        <v/>
      </c>
      <c r="K313" s="17" t="str">
        <f aca="true">IF(OR($A313="",$J313="",$J313&lt;=0,$H313=""),"",TODAY()-$H313)</f>
        <v/>
      </c>
      <c r="L313" s="14" t="str">
        <f aca="false">IF($A313="","",IF($G313="","",IF($J313&lt;=0,"반납완료",IF($I313&gt;0,"부분반납","미반납"))))</f>
        <v/>
      </c>
    </row>
    <row r="314" customFormat="false" ht="15" hidden="false" customHeight="false" outlineLevel="0" collapsed="false">
      <c r="A314" s="14" t="str">
        <f aca="false">IF($B314="","",TEXT($B314,"yymmdd")&amp;"-"&amp;TEXT(COUNTIFS($B$3:$B314,$B314),"00"))</f>
        <v/>
      </c>
      <c r="B314" s="15"/>
      <c r="C314" s="9"/>
      <c r="D314" s="10"/>
      <c r="E314" s="14" t="str">
        <f aca="false">IF($D314="","",IFERROR(INDEX(품목목록!$B$3:$B$202,MATCH($D314,품목목록!$A$3:$A$202,0)),"미등록품번"))</f>
        <v/>
      </c>
      <c r="F314" s="14" t="str">
        <f aca="false">IF($D314="","",IFERROR(INDEX(품목목록!$D$3:$D$202,MATCH($D314,품목목록!$A$3:$A$202,0)),""))</f>
        <v/>
      </c>
      <c r="G314" s="11"/>
      <c r="H314" s="15"/>
      <c r="I314" s="16" t="str">
        <f aca="false">IF($A314="","",SUMIFS(반납내역!$D$3:$D$1502,반납내역!$B$3:$B$1502,$A314))</f>
        <v/>
      </c>
      <c r="J314" s="16" t="str">
        <f aca="false">IF($A314="","",IF($G314="","",$G314-$I314))</f>
        <v/>
      </c>
      <c r="K314" s="17" t="str">
        <f aca="true">IF(OR($A314="",$J314="",$J314&lt;=0,$H314=""),"",TODAY()-$H314)</f>
        <v/>
      </c>
      <c r="L314" s="14" t="str">
        <f aca="false">IF($A314="","",IF($G314="","",IF($J314&lt;=0,"반납완료",IF($I314&gt;0,"부분반납","미반납"))))</f>
        <v/>
      </c>
    </row>
    <row r="315" customFormat="false" ht="15" hidden="false" customHeight="false" outlineLevel="0" collapsed="false">
      <c r="A315" s="14" t="str">
        <f aca="false">IF($B315="","",TEXT($B315,"yymmdd")&amp;"-"&amp;TEXT(COUNTIFS($B$3:$B315,$B315),"00"))</f>
        <v/>
      </c>
      <c r="B315" s="15"/>
      <c r="C315" s="9"/>
      <c r="D315" s="10"/>
      <c r="E315" s="14" t="str">
        <f aca="false">IF($D315="","",IFERROR(INDEX(품목목록!$B$3:$B$202,MATCH($D315,품목목록!$A$3:$A$202,0)),"미등록품번"))</f>
        <v/>
      </c>
      <c r="F315" s="14" t="str">
        <f aca="false">IF($D315="","",IFERROR(INDEX(품목목록!$D$3:$D$202,MATCH($D315,품목목록!$A$3:$A$202,0)),""))</f>
        <v/>
      </c>
      <c r="G315" s="11"/>
      <c r="H315" s="15"/>
      <c r="I315" s="16" t="str">
        <f aca="false">IF($A315="","",SUMIFS(반납내역!$D$3:$D$1502,반납내역!$B$3:$B$1502,$A315))</f>
        <v/>
      </c>
      <c r="J315" s="16" t="str">
        <f aca="false">IF($A315="","",IF($G315="","",$G315-$I315))</f>
        <v/>
      </c>
      <c r="K315" s="17" t="str">
        <f aca="true">IF(OR($A315="",$J315="",$J315&lt;=0,$H315=""),"",TODAY()-$H315)</f>
        <v/>
      </c>
      <c r="L315" s="14" t="str">
        <f aca="false">IF($A315="","",IF($G315="","",IF($J315&lt;=0,"반납완료",IF($I315&gt;0,"부분반납","미반납"))))</f>
        <v/>
      </c>
    </row>
    <row r="316" customFormat="false" ht="15" hidden="false" customHeight="false" outlineLevel="0" collapsed="false">
      <c r="A316" s="14" t="str">
        <f aca="false">IF($B316="","",TEXT($B316,"yymmdd")&amp;"-"&amp;TEXT(COUNTIFS($B$3:$B316,$B316),"00"))</f>
        <v/>
      </c>
      <c r="B316" s="15"/>
      <c r="C316" s="9"/>
      <c r="D316" s="10"/>
      <c r="E316" s="14" t="str">
        <f aca="false">IF($D316="","",IFERROR(INDEX(품목목록!$B$3:$B$202,MATCH($D316,품목목록!$A$3:$A$202,0)),"미등록품번"))</f>
        <v/>
      </c>
      <c r="F316" s="14" t="str">
        <f aca="false">IF($D316="","",IFERROR(INDEX(품목목록!$D$3:$D$202,MATCH($D316,품목목록!$A$3:$A$202,0)),""))</f>
        <v/>
      </c>
      <c r="G316" s="11"/>
      <c r="H316" s="15"/>
      <c r="I316" s="16" t="str">
        <f aca="false">IF($A316="","",SUMIFS(반납내역!$D$3:$D$1502,반납내역!$B$3:$B$1502,$A316))</f>
        <v/>
      </c>
      <c r="J316" s="16" t="str">
        <f aca="false">IF($A316="","",IF($G316="","",$G316-$I316))</f>
        <v/>
      </c>
      <c r="K316" s="17" t="str">
        <f aca="true">IF(OR($A316="",$J316="",$J316&lt;=0,$H316=""),"",TODAY()-$H316)</f>
        <v/>
      </c>
      <c r="L316" s="14" t="str">
        <f aca="false">IF($A316="","",IF($G316="","",IF($J316&lt;=0,"반납완료",IF($I316&gt;0,"부분반납","미반납"))))</f>
        <v/>
      </c>
    </row>
    <row r="317" customFormat="false" ht="15" hidden="false" customHeight="false" outlineLevel="0" collapsed="false">
      <c r="A317" s="14" t="str">
        <f aca="false">IF($B317="","",TEXT($B317,"yymmdd")&amp;"-"&amp;TEXT(COUNTIFS($B$3:$B317,$B317),"00"))</f>
        <v/>
      </c>
      <c r="B317" s="15"/>
      <c r="C317" s="9"/>
      <c r="D317" s="10"/>
      <c r="E317" s="14" t="str">
        <f aca="false">IF($D317="","",IFERROR(INDEX(품목목록!$B$3:$B$202,MATCH($D317,품목목록!$A$3:$A$202,0)),"미등록품번"))</f>
        <v/>
      </c>
      <c r="F317" s="14" t="str">
        <f aca="false">IF($D317="","",IFERROR(INDEX(품목목록!$D$3:$D$202,MATCH($D317,품목목록!$A$3:$A$202,0)),""))</f>
        <v/>
      </c>
      <c r="G317" s="11"/>
      <c r="H317" s="15"/>
      <c r="I317" s="16" t="str">
        <f aca="false">IF($A317="","",SUMIFS(반납내역!$D$3:$D$1502,반납내역!$B$3:$B$1502,$A317))</f>
        <v/>
      </c>
      <c r="J317" s="16" t="str">
        <f aca="false">IF($A317="","",IF($G317="","",$G317-$I317))</f>
        <v/>
      </c>
      <c r="K317" s="17" t="str">
        <f aca="true">IF(OR($A317="",$J317="",$J317&lt;=0,$H317=""),"",TODAY()-$H317)</f>
        <v/>
      </c>
      <c r="L317" s="14" t="str">
        <f aca="false">IF($A317="","",IF($G317="","",IF($J317&lt;=0,"반납완료",IF($I317&gt;0,"부분반납","미반납"))))</f>
        <v/>
      </c>
    </row>
    <row r="318" customFormat="false" ht="15" hidden="false" customHeight="false" outlineLevel="0" collapsed="false">
      <c r="A318" s="14" t="str">
        <f aca="false">IF($B318="","",TEXT($B318,"yymmdd")&amp;"-"&amp;TEXT(COUNTIFS($B$3:$B318,$B318),"00"))</f>
        <v/>
      </c>
      <c r="B318" s="15"/>
      <c r="C318" s="9"/>
      <c r="D318" s="10"/>
      <c r="E318" s="14" t="str">
        <f aca="false">IF($D318="","",IFERROR(INDEX(품목목록!$B$3:$B$202,MATCH($D318,품목목록!$A$3:$A$202,0)),"미등록품번"))</f>
        <v/>
      </c>
      <c r="F318" s="14" t="str">
        <f aca="false">IF($D318="","",IFERROR(INDEX(품목목록!$D$3:$D$202,MATCH($D318,품목목록!$A$3:$A$202,0)),""))</f>
        <v/>
      </c>
      <c r="G318" s="11"/>
      <c r="H318" s="15"/>
      <c r="I318" s="16" t="str">
        <f aca="false">IF($A318="","",SUMIFS(반납내역!$D$3:$D$1502,반납내역!$B$3:$B$1502,$A318))</f>
        <v/>
      </c>
      <c r="J318" s="16" t="str">
        <f aca="false">IF($A318="","",IF($G318="","",$G318-$I318))</f>
        <v/>
      </c>
      <c r="K318" s="17" t="str">
        <f aca="true">IF(OR($A318="",$J318="",$J318&lt;=0,$H318=""),"",TODAY()-$H318)</f>
        <v/>
      </c>
      <c r="L318" s="14" t="str">
        <f aca="false">IF($A318="","",IF($G318="","",IF($J318&lt;=0,"반납완료",IF($I318&gt;0,"부분반납","미반납"))))</f>
        <v/>
      </c>
    </row>
    <row r="319" customFormat="false" ht="15" hidden="false" customHeight="false" outlineLevel="0" collapsed="false">
      <c r="A319" s="14" t="str">
        <f aca="false">IF($B319="","",TEXT($B319,"yymmdd")&amp;"-"&amp;TEXT(COUNTIFS($B$3:$B319,$B319),"00"))</f>
        <v/>
      </c>
      <c r="B319" s="15"/>
      <c r="C319" s="9"/>
      <c r="D319" s="10"/>
      <c r="E319" s="14" t="str">
        <f aca="false">IF($D319="","",IFERROR(INDEX(품목목록!$B$3:$B$202,MATCH($D319,품목목록!$A$3:$A$202,0)),"미등록품번"))</f>
        <v/>
      </c>
      <c r="F319" s="14" t="str">
        <f aca="false">IF($D319="","",IFERROR(INDEX(품목목록!$D$3:$D$202,MATCH($D319,품목목록!$A$3:$A$202,0)),""))</f>
        <v/>
      </c>
      <c r="G319" s="11"/>
      <c r="H319" s="15"/>
      <c r="I319" s="16" t="str">
        <f aca="false">IF($A319="","",SUMIFS(반납내역!$D$3:$D$1502,반납내역!$B$3:$B$1502,$A319))</f>
        <v/>
      </c>
      <c r="J319" s="16" t="str">
        <f aca="false">IF($A319="","",IF($G319="","",$G319-$I319))</f>
        <v/>
      </c>
      <c r="K319" s="17" t="str">
        <f aca="true">IF(OR($A319="",$J319="",$J319&lt;=0,$H319=""),"",TODAY()-$H319)</f>
        <v/>
      </c>
      <c r="L319" s="14" t="str">
        <f aca="false">IF($A319="","",IF($G319="","",IF($J319&lt;=0,"반납완료",IF($I319&gt;0,"부분반납","미반납"))))</f>
        <v/>
      </c>
    </row>
    <row r="320" customFormat="false" ht="15" hidden="false" customHeight="false" outlineLevel="0" collapsed="false">
      <c r="A320" s="14" t="str">
        <f aca="false">IF($B320="","",TEXT($B320,"yymmdd")&amp;"-"&amp;TEXT(COUNTIFS($B$3:$B320,$B320),"00"))</f>
        <v/>
      </c>
      <c r="B320" s="15"/>
      <c r="C320" s="9"/>
      <c r="D320" s="10"/>
      <c r="E320" s="14" t="str">
        <f aca="false">IF($D320="","",IFERROR(INDEX(품목목록!$B$3:$B$202,MATCH($D320,품목목록!$A$3:$A$202,0)),"미등록품번"))</f>
        <v/>
      </c>
      <c r="F320" s="14" t="str">
        <f aca="false">IF($D320="","",IFERROR(INDEX(품목목록!$D$3:$D$202,MATCH($D320,품목목록!$A$3:$A$202,0)),""))</f>
        <v/>
      </c>
      <c r="G320" s="11"/>
      <c r="H320" s="15"/>
      <c r="I320" s="16" t="str">
        <f aca="false">IF($A320="","",SUMIFS(반납내역!$D$3:$D$1502,반납내역!$B$3:$B$1502,$A320))</f>
        <v/>
      </c>
      <c r="J320" s="16" t="str">
        <f aca="false">IF($A320="","",IF($G320="","",$G320-$I320))</f>
        <v/>
      </c>
      <c r="K320" s="17" t="str">
        <f aca="true">IF(OR($A320="",$J320="",$J320&lt;=0,$H320=""),"",TODAY()-$H320)</f>
        <v/>
      </c>
      <c r="L320" s="14" t="str">
        <f aca="false">IF($A320="","",IF($G320="","",IF($J320&lt;=0,"반납완료",IF($I320&gt;0,"부분반납","미반납"))))</f>
        <v/>
      </c>
    </row>
    <row r="321" customFormat="false" ht="15" hidden="false" customHeight="false" outlineLevel="0" collapsed="false">
      <c r="A321" s="14" t="str">
        <f aca="false">IF($B321="","",TEXT($B321,"yymmdd")&amp;"-"&amp;TEXT(COUNTIFS($B$3:$B321,$B321),"00"))</f>
        <v/>
      </c>
      <c r="B321" s="15"/>
      <c r="C321" s="9"/>
      <c r="D321" s="10"/>
      <c r="E321" s="14" t="str">
        <f aca="false">IF($D321="","",IFERROR(INDEX(품목목록!$B$3:$B$202,MATCH($D321,품목목록!$A$3:$A$202,0)),"미등록품번"))</f>
        <v/>
      </c>
      <c r="F321" s="14" t="str">
        <f aca="false">IF($D321="","",IFERROR(INDEX(품목목록!$D$3:$D$202,MATCH($D321,품목목록!$A$3:$A$202,0)),""))</f>
        <v/>
      </c>
      <c r="G321" s="11"/>
      <c r="H321" s="15"/>
      <c r="I321" s="16" t="str">
        <f aca="false">IF($A321="","",SUMIFS(반납내역!$D$3:$D$1502,반납내역!$B$3:$B$1502,$A321))</f>
        <v/>
      </c>
      <c r="J321" s="16" t="str">
        <f aca="false">IF($A321="","",IF($G321="","",$G321-$I321))</f>
        <v/>
      </c>
      <c r="K321" s="17" t="str">
        <f aca="true">IF(OR($A321="",$J321="",$J321&lt;=0,$H321=""),"",TODAY()-$H321)</f>
        <v/>
      </c>
      <c r="L321" s="14" t="str">
        <f aca="false">IF($A321="","",IF($G321="","",IF($J321&lt;=0,"반납완료",IF($I321&gt;0,"부분반납","미반납"))))</f>
        <v/>
      </c>
    </row>
    <row r="322" customFormat="false" ht="15" hidden="false" customHeight="false" outlineLevel="0" collapsed="false">
      <c r="A322" s="14" t="str">
        <f aca="false">IF($B322="","",TEXT($B322,"yymmdd")&amp;"-"&amp;TEXT(COUNTIFS($B$3:$B322,$B322),"00"))</f>
        <v/>
      </c>
      <c r="B322" s="15"/>
      <c r="C322" s="9"/>
      <c r="D322" s="10"/>
      <c r="E322" s="14" t="str">
        <f aca="false">IF($D322="","",IFERROR(INDEX(품목목록!$B$3:$B$202,MATCH($D322,품목목록!$A$3:$A$202,0)),"미등록품번"))</f>
        <v/>
      </c>
      <c r="F322" s="14" t="str">
        <f aca="false">IF($D322="","",IFERROR(INDEX(품목목록!$D$3:$D$202,MATCH($D322,품목목록!$A$3:$A$202,0)),""))</f>
        <v/>
      </c>
      <c r="G322" s="11"/>
      <c r="H322" s="15"/>
      <c r="I322" s="16" t="str">
        <f aca="false">IF($A322="","",SUMIFS(반납내역!$D$3:$D$1502,반납내역!$B$3:$B$1502,$A322))</f>
        <v/>
      </c>
      <c r="J322" s="16" t="str">
        <f aca="false">IF($A322="","",IF($G322="","",$G322-$I322))</f>
        <v/>
      </c>
      <c r="K322" s="17" t="str">
        <f aca="true">IF(OR($A322="",$J322="",$J322&lt;=0,$H322=""),"",TODAY()-$H322)</f>
        <v/>
      </c>
      <c r="L322" s="14" t="str">
        <f aca="false">IF($A322="","",IF($G322="","",IF($J322&lt;=0,"반납완료",IF($I322&gt;0,"부분반납","미반납"))))</f>
        <v/>
      </c>
    </row>
    <row r="323" customFormat="false" ht="15" hidden="false" customHeight="false" outlineLevel="0" collapsed="false">
      <c r="A323" s="14" t="str">
        <f aca="false">IF($B323="","",TEXT($B323,"yymmdd")&amp;"-"&amp;TEXT(COUNTIFS($B$3:$B323,$B323),"00"))</f>
        <v/>
      </c>
      <c r="B323" s="15"/>
      <c r="C323" s="9"/>
      <c r="D323" s="10"/>
      <c r="E323" s="14" t="str">
        <f aca="false">IF($D323="","",IFERROR(INDEX(품목목록!$B$3:$B$202,MATCH($D323,품목목록!$A$3:$A$202,0)),"미등록품번"))</f>
        <v/>
      </c>
      <c r="F323" s="14" t="str">
        <f aca="false">IF($D323="","",IFERROR(INDEX(품목목록!$D$3:$D$202,MATCH($D323,품목목록!$A$3:$A$202,0)),""))</f>
        <v/>
      </c>
      <c r="G323" s="11"/>
      <c r="H323" s="15"/>
      <c r="I323" s="16" t="str">
        <f aca="false">IF($A323="","",SUMIFS(반납내역!$D$3:$D$1502,반납내역!$B$3:$B$1502,$A323))</f>
        <v/>
      </c>
      <c r="J323" s="16" t="str">
        <f aca="false">IF($A323="","",IF($G323="","",$G323-$I323))</f>
        <v/>
      </c>
      <c r="K323" s="17" t="str">
        <f aca="true">IF(OR($A323="",$J323="",$J323&lt;=0,$H323=""),"",TODAY()-$H323)</f>
        <v/>
      </c>
      <c r="L323" s="14" t="str">
        <f aca="false">IF($A323="","",IF($G323="","",IF($J323&lt;=0,"반납완료",IF($I323&gt;0,"부분반납","미반납"))))</f>
        <v/>
      </c>
    </row>
    <row r="324" customFormat="false" ht="15" hidden="false" customHeight="false" outlineLevel="0" collapsed="false">
      <c r="A324" s="14" t="str">
        <f aca="false">IF($B324="","",TEXT($B324,"yymmdd")&amp;"-"&amp;TEXT(COUNTIFS($B$3:$B324,$B324),"00"))</f>
        <v/>
      </c>
      <c r="B324" s="15"/>
      <c r="C324" s="9"/>
      <c r="D324" s="10"/>
      <c r="E324" s="14" t="str">
        <f aca="false">IF($D324="","",IFERROR(INDEX(품목목록!$B$3:$B$202,MATCH($D324,품목목록!$A$3:$A$202,0)),"미등록품번"))</f>
        <v/>
      </c>
      <c r="F324" s="14" t="str">
        <f aca="false">IF($D324="","",IFERROR(INDEX(품목목록!$D$3:$D$202,MATCH($D324,품목목록!$A$3:$A$202,0)),""))</f>
        <v/>
      </c>
      <c r="G324" s="11"/>
      <c r="H324" s="15"/>
      <c r="I324" s="16" t="str">
        <f aca="false">IF($A324="","",SUMIFS(반납내역!$D$3:$D$1502,반납내역!$B$3:$B$1502,$A324))</f>
        <v/>
      </c>
      <c r="J324" s="16" t="str">
        <f aca="false">IF($A324="","",IF($G324="","",$G324-$I324))</f>
        <v/>
      </c>
      <c r="K324" s="17" t="str">
        <f aca="true">IF(OR($A324="",$J324="",$J324&lt;=0,$H324=""),"",TODAY()-$H324)</f>
        <v/>
      </c>
      <c r="L324" s="14" t="str">
        <f aca="false">IF($A324="","",IF($G324="","",IF($J324&lt;=0,"반납완료",IF($I324&gt;0,"부분반납","미반납"))))</f>
        <v/>
      </c>
    </row>
    <row r="325" customFormat="false" ht="15" hidden="false" customHeight="false" outlineLevel="0" collapsed="false">
      <c r="A325" s="14" t="str">
        <f aca="false">IF($B325="","",TEXT($B325,"yymmdd")&amp;"-"&amp;TEXT(COUNTIFS($B$3:$B325,$B325),"00"))</f>
        <v/>
      </c>
      <c r="B325" s="15"/>
      <c r="C325" s="9"/>
      <c r="D325" s="10"/>
      <c r="E325" s="14" t="str">
        <f aca="false">IF($D325="","",IFERROR(INDEX(품목목록!$B$3:$B$202,MATCH($D325,품목목록!$A$3:$A$202,0)),"미등록품번"))</f>
        <v/>
      </c>
      <c r="F325" s="14" t="str">
        <f aca="false">IF($D325="","",IFERROR(INDEX(품목목록!$D$3:$D$202,MATCH($D325,품목목록!$A$3:$A$202,0)),""))</f>
        <v/>
      </c>
      <c r="G325" s="11"/>
      <c r="H325" s="15"/>
      <c r="I325" s="16" t="str">
        <f aca="false">IF($A325="","",SUMIFS(반납내역!$D$3:$D$1502,반납내역!$B$3:$B$1502,$A325))</f>
        <v/>
      </c>
      <c r="J325" s="16" t="str">
        <f aca="false">IF($A325="","",IF($G325="","",$G325-$I325))</f>
        <v/>
      </c>
      <c r="K325" s="17" t="str">
        <f aca="true">IF(OR($A325="",$J325="",$J325&lt;=0,$H325=""),"",TODAY()-$H325)</f>
        <v/>
      </c>
      <c r="L325" s="14" t="str">
        <f aca="false">IF($A325="","",IF($G325="","",IF($J325&lt;=0,"반납완료",IF($I325&gt;0,"부분반납","미반납"))))</f>
        <v/>
      </c>
    </row>
    <row r="326" customFormat="false" ht="15" hidden="false" customHeight="false" outlineLevel="0" collapsed="false">
      <c r="A326" s="14" t="str">
        <f aca="false">IF($B326="","",TEXT($B326,"yymmdd")&amp;"-"&amp;TEXT(COUNTIFS($B$3:$B326,$B326),"00"))</f>
        <v/>
      </c>
      <c r="B326" s="15"/>
      <c r="C326" s="9"/>
      <c r="D326" s="10"/>
      <c r="E326" s="14" t="str">
        <f aca="false">IF($D326="","",IFERROR(INDEX(품목목록!$B$3:$B$202,MATCH($D326,품목목록!$A$3:$A$202,0)),"미등록품번"))</f>
        <v/>
      </c>
      <c r="F326" s="14" t="str">
        <f aca="false">IF($D326="","",IFERROR(INDEX(품목목록!$D$3:$D$202,MATCH($D326,품목목록!$A$3:$A$202,0)),""))</f>
        <v/>
      </c>
      <c r="G326" s="11"/>
      <c r="H326" s="15"/>
      <c r="I326" s="16" t="str">
        <f aca="false">IF($A326="","",SUMIFS(반납내역!$D$3:$D$1502,반납내역!$B$3:$B$1502,$A326))</f>
        <v/>
      </c>
      <c r="J326" s="16" t="str">
        <f aca="false">IF($A326="","",IF($G326="","",$G326-$I326))</f>
        <v/>
      </c>
      <c r="K326" s="17" t="str">
        <f aca="true">IF(OR($A326="",$J326="",$J326&lt;=0,$H326=""),"",TODAY()-$H326)</f>
        <v/>
      </c>
      <c r="L326" s="14" t="str">
        <f aca="false">IF($A326="","",IF($G326="","",IF($J326&lt;=0,"반납완료",IF($I326&gt;0,"부분반납","미반납"))))</f>
        <v/>
      </c>
    </row>
    <row r="327" customFormat="false" ht="15" hidden="false" customHeight="false" outlineLevel="0" collapsed="false">
      <c r="A327" s="14" t="str">
        <f aca="false">IF($B327="","",TEXT($B327,"yymmdd")&amp;"-"&amp;TEXT(COUNTIFS($B$3:$B327,$B327),"00"))</f>
        <v/>
      </c>
      <c r="B327" s="15"/>
      <c r="C327" s="9"/>
      <c r="D327" s="10"/>
      <c r="E327" s="14" t="str">
        <f aca="false">IF($D327="","",IFERROR(INDEX(품목목록!$B$3:$B$202,MATCH($D327,품목목록!$A$3:$A$202,0)),"미등록품번"))</f>
        <v/>
      </c>
      <c r="F327" s="14" t="str">
        <f aca="false">IF($D327="","",IFERROR(INDEX(품목목록!$D$3:$D$202,MATCH($D327,품목목록!$A$3:$A$202,0)),""))</f>
        <v/>
      </c>
      <c r="G327" s="11"/>
      <c r="H327" s="15"/>
      <c r="I327" s="16" t="str">
        <f aca="false">IF($A327="","",SUMIFS(반납내역!$D$3:$D$1502,반납내역!$B$3:$B$1502,$A327))</f>
        <v/>
      </c>
      <c r="J327" s="16" t="str">
        <f aca="false">IF($A327="","",IF($G327="","",$G327-$I327))</f>
        <v/>
      </c>
      <c r="K327" s="17" t="str">
        <f aca="true">IF(OR($A327="",$J327="",$J327&lt;=0,$H327=""),"",TODAY()-$H327)</f>
        <v/>
      </c>
      <c r="L327" s="14" t="str">
        <f aca="false">IF($A327="","",IF($G327="","",IF($J327&lt;=0,"반납완료",IF($I327&gt;0,"부분반납","미반납"))))</f>
        <v/>
      </c>
    </row>
    <row r="328" customFormat="false" ht="15" hidden="false" customHeight="false" outlineLevel="0" collapsed="false">
      <c r="A328" s="14" t="str">
        <f aca="false">IF($B328="","",TEXT($B328,"yymmdd")&amp;"-"&amp;TEXT(COUNTIFS($B$3:$B328,$B328),"00"))</f>
        <v/>
      </c>
      <c r="B328" s="15"/>
      <c r="C328" s="9"/>
      <c r="D328" s="10"/>
      <c r="E328" s="14" t="str">
        <f aca="false">IF($D328="","",IFERROR(INDEX(품목목록!$B$3:$B$202,MATCH($D328,품목목록!$A$3:$A$202,0)),"미등록품번"))</f>
        <v/>
      </c>
      <c r="F328" s="14" t="str">
        <f aca="false">IF($D328="","",IFERROR(INDEX(품목목록!$D$3:$D$202,MATCH($D328,품목목록!$A$3:$A$202,0)),""))</f>
        <v/>
      </c>
      <c r="G328" s="11"/>
      <c r="H328" s="15"/>
      <c r="I328" s="16" t="str">
        <f aca="false">IF($A328="","",SUMIFS(반납내역!$D$3:$D$1502,반납내역!$B$3:$B$1502,$A328))</f>
        <v/>
      </c>
      <c r="J328" s="16" t="str">
        <f aca="false">IF($A328="","",IF($G328="","",$G328-$I328))</f>
        <v/>
      </c>
      <c r="K328" s="17" t="str">
        <f aca="true">IF(OR($A328="",$J328="",$J328&lt;=0,$H328=""),"",TODAY()-$H328)</f>
        <v/>
      </c>
      <c r="L328" s="14" t="str">
        <f aca="false">IF($A328="","",IF($G328="","",IF($J328&lt;=0,"반납완료",IF($I328&gt;0,"부분반납","미반납"))))</f>
        <v/>
      </c>
    </row>
    <row r="329" customFormat="false" ht="15" hidden="false" customHeight="false" outlineLevel="0" collapsed="false">
      <c r="A329" s="14" t="str">
        <f aca="false">IF($B329="","",TEXT($B329,"yymmdd")&amp;"-"&amp;TEXT(COUNTIFS($B$3:$B329,$B329),"00"))</f>
        <v/>
      </c>
      <c r="B329" s="15"/>
      <c r="C329" s="9"/>
      <c r="D329" s="10"/>
      <c r="E329" s="14" t="str">
        <f aca="false">IF($D329="","",IFERROR(INDEX(품목목록!$B$3:$B$202,MATCH($D329,품목목록!$A$3:$A$202,0)),"미등록품번"))</f>
        <v/>
      </c>
      <c r="F329" s="14" t="str">
        <f aca="false">IF($D329="","",IFERROR(INDEX(품목목록!$D$3:$D$202,MATCH($D329,품목목록!$A$3:$A$202,0)),""))</f>
        <v/>
      </c>
      <c r="G329" s="11"/>
      <c r="H329" s="15"/>
      <c r="I329" s="16" t="str">
        <f aca="false">IF($A329="","",SUMIFS(반납내역!$D$3:$D$1502,반납내역!$B$3:$B$1502,$A329))</f>
        <v/>
      </c>
      <c r="J329" s="16" t="str">
        <f aca="false">IF($A329="","",IF($G329="","",$G329-$I329))</f>
        <v/>
      </c>
      <c r="K329" s="17" t="str">
        <f aca="true">IF(OR($A329="",$J329="",$J329&lt;=0,$H329=""),"",TODAY()-$H329)</f>
        <v/>
      </c>
      <c r="L329" s="14" t="str">
        <f aca="false">IF($A329="","",IF($G329="","",IF($J329&lt;=0,"반납완료",IF($I329&gt;0,"부분반납","미반납"))))</f>
        <v/>
      </c>
    </row>
    <row r="330" customFormat="false" ht="15" hidden="false" customHeight="false" outlineLevel="0" collapsed="false">
      <c r="A330" s="14" t="str">
        <f aca="false">IF($B330="","",TEXT($B330,"yymmdd")&amp;"-"&amp;TEXT(COUNTIFS($B$3:$B330,$B330),"00"))</f>
        <v/>
      </c>
      <c r="B330" s="15"/>
      <c r="C330" s="9"/>
      <c r="D330" s="10"/>
      <c r="E330" s="14" t="str">
        <f aca="false">IF($D330="","",IFERROR(INDEX(품목목록!$B$3:$B$202,MATCH($D330,품목목록!$A$3:$A$202,0)),"미등록품번"))</f>
        <v/>
      </c>
      <c r="F330" s="14" t="str">
        <f aca="false">IF($D330="","",IFERROR(INDEX(품목목록!$D$3:$D$202,MATCH($D330,품목목록!$A$3:$A$202,0)),""))</f>
        <v/>
      </c>
      <c r="G330" s="11"/>
      <c r="H330" s="15"/>
      <c r="I330" s="16" t="str">
        <f aca="false">IF($A330="","",SUMIFS(반납내역!$D$3:$D$1502,반납내역!$B$3:$B$1502,$A330))</f>
        <v/>
      </c>
      <c r="J330" s="16" t="str">
        <f aca="false">IF($A330="","",IF($G330="","",$G330-$I330))</f>
        <v/>
      </c>
      <c r="K330" s="17" t="str">
        <f aca="true">IF(OR($A330="",$J330="",$J330&lt;=0,$H330=""),"",TODAY()-$H330)</f>
        <v/>
      </c>
      <c r="L330" s="14" t="str">
        <f aca="false">IF($A330="","",IF($G330="","",IF($J330&lt;=0,"반납완료",IF($I330&gt;0,"부분반납","미반납"))))</f>
        <v/>
      </c>
    </row>
    <row r="331" customFormat="false" ht="15" hidden="false" customHeight="false" outlineLevel="0" collapsed="false">
      <c r="A331" s="14" t="str">
        <f aca="false">IF($B331="","",TEXT($B331,"yymmdd")&amp;"-"&amp;TEXT(COUNTIFS($B$3:$B331,$B331),"00"))</f>
        <v/>
      </c>
      <c r="B331" s="15"/>
      <c r="C331" s="9"/>
      <c r="D331" s="10"/>
      <c r="E331" s="14" t="str">
        <f aca="false">IF($D331="","",IFERROR(INDEX(품목목록!$B$3:$B$202,MATCH($D331,품목목록!$A$3:$A$202,0)),"미등록품번"))</f>
        <v/>
      </c>
      <c r="F331" s="14" t="str">
        <f aca="false">IF($D331="","",IFERROR(INDEX(품목목록!$D$3:$D$202,MATCH($D331,품목목록!$A$3:$A$202,0)),""))</f>
        <v/>
      </c>
      <c r="G331" s="11"/>
      <c r="H331" s="15"/>
      <c r="I331" s="16" t="str">
        <f aca="false">IF($A331="","",SUMIFS(반납내역!$D$3:$D$1502,반납내역!$B$3:$B$1502,$A331))</f>
        <v/>
      </c>
      <c r="J331" s="16" t="str">
        <f aca="false">IF($A331="","",IF($G331="","",$G331-$I331))</f>
        <v/>
      </c>
      <c r="K331" s="17" t="str">
        <f aca="true">IF(OR($A331="",$J331="",$J331&lt;=0,$H331=""),"",TODAY()-$H331)</f>
        <v/>
      </c>
      <c r="L331" s="14" t="str">
        <f aca="false">IF($A331="","",IF($G331="","",IF($J331&lt;=0,"반납완료",IF($I331&gt;0,"부분반납","미반납"))))</f>
        <v/>
      </c>
    </row>
    <row r="332" customFormat="false" ht="15" hidden="false" customHeight="false" outlineLevel="0" collapsed="false">
      <c r="A332" s="14" t="str">
        <f aca="false">IF($B332="","",TEXT($B332,"yymmdd")&amp;"-"&amp;TEXT(COUNTIFS($B$3:$B332,$B332),"00"))</f>
        <v/>
      </c>
      <c r="B332" s="15"/>
      <c r="C332" s="9"/>
      <c r="D332" s="10"/>
      <c r="E332" s="14" t="str">
        <f aca="false">IF($D332="","",IFERROR(INDEX(품목목록!$B$3:$B$202,MATCH($D332,품목목록!$A$3:$A$202,0)),"미등록품번"))</f>
        <v/>
      </c>
      <c r="F332" s="14" t="str">
        <f aca="false">IF($D332="","",IFERROR(INDEX(품목목록!$D$3:$D$202,MATCH($D332,품목목록!$A$3:$A$202,0)),""))</f>
        <v/>
      </c>
      <c r="G332" s="11"/>
      <c r="H332" s="15"/>
      <c r="I332" s="16" t="str">
        <f aca="false">IF($A332="","",SUMIFS(반납내역!$D$3:$D$1502,반납내역!$B$3:$B$1502,$A332))</f>
        <v/>
      </c>
      <c r="J332" s="16" t="str">
        <f aca="false">IF($A332="","",IF($G332="","",$G332-$I332))</f>
        <v/>
      </c>
      <c r="K332" s="17" t="str">
        <f aca="true">IF(OR($A332="",$J332="",$J332&lt;=0,$H332=""),"",TODAY()-$H332)</f>
        <v/>
      </c>
      <c r="L332" s="14" t="str">
        <f aca="false">IF($A332="","",IF($G332="","",IF($J332&lt;=0,"반납완료",IF($I332&gt;0,"부분반납","미반납"))))</f>
        <v/>
      </c>
    </row>
    <row r="333" customFormat="false" ht="15" hidden="false" customHeight="false" outlineLevel="0" collapsed="false">
      <c r="A333" s="14" t="str">
        <f aca="false">IF($B333="","",TEXT($B333,"yymmdd")&amp;"-"&amp;TEXT(COUNTIFS($B$3:$B333,$B333),"00"))</f>
        <v/>
      </c>
      <c r="B333" s="15"/>
      <c r="C333" s="9"/>
      <c r="D333" s="10"/>
      <c r="E333" s="14" t="str">
        <f aca="false">IF($D333="","",IFERROR(INDEX(품목목록!$B$3:$B$202,MATCH($D333,품목목록!$A$3:$A$202,0)),"미등록품번"))</f>
        <v/>
      </c>
      <c r="F333" s="14" t="str">
        <f aca="false">IF($D333="","",IFERROR(INDEX(품목목록!$D$3:$D$202,MATCH($D333,품목목록!$A$3:$A$202,0)),""))</f>
        <v/>
      </c>
      <c r="G333" s="11"/>
      <c r="H333" s="15"/>
      <c r="I333" s="16" t="str">
        <f aca="false">IF($A333="","",SUMIFS(반납내역!$D$3:$D$1502,반납내역!$B$3:$B$1502,$A333))</f>
        <v/>
      </c>
      <c r="J333" s="16" t="str">
        <f aca="false">IF($A333="","",IF($G333="","",$G333-$I333))</f>
        <v/>
      </c>
      <c r="K333" s="17" t="str">
        <f aca="true">IF(OR($A333="",$J333="",$J333&lt;=0,$H333=""),"",TODAY()-$H333)</f>
        <v/>
      </c>
      <c r="L333" s="14" t="str">
        <f aca="false">IF($A333="","",IF($G333="","",IF($J333&lt;=0,"반납완료",IF($I333&gt;0,"부분반납","미반납"))))</f>
        <v/>
      </c>
    </row>
    <row r="334" customFormat="false" ht="15" hidden="false" customHeight="false" outlineLevel="0" collapsed="false">
      <c r="A334" s="14" t="str">
        <f aca="false">IF($B334="","",TEXT($B334,"yymmdd")&amp;"-"&amp;TEXT(COUNTIFS($B$3:$B334,$B334),"00"))</f>
        <v/>
      </c>
      <c r="B334" s="15"/>
      <c r="C334" s="9"/>
      <c r="D334" s="10"/>
      <c r="E334" s="14" t="str">
        <f aca="false">IF($D334="","",IFERROR(INDEX(품목목록!$B$3:$B$202,MATCH($D334,품목목록!$A$3:$A$202,0)),"미등록품번"))</f>
        <v/>
      </c>
      <c r="F334" s="14" t="str">
        <f aca="false">IF($D334="","",IFERROR(INDEX(품목목록!$D$3:$D$202,MATCH($D334,품목목록!$A$3:$A$202,0)),""))</f>
        <v/>
      </c>
      <c r="G334" s="11"/>
      <c r="H334" s="15"/>
      <c r="I334" s="16" t="str">
        <f aca="false">IF($A334="","",SUMIFS(반납내역!$D$3:$D$1502,반납내역!$B$3:$B$1502,$A334))</f>
        <v/>
      </c>
      <c r="J334" s="16" t="str">
        <f aca="false">IF($A334="","",IF($G334="","",$G334-$I334))</f>
        <v/>
      </c>
      <c r="K334" s="17" t="str">
        <f aca="true">IF(OR($A334="",$J334="",$J334&lt;=0,$H334=""),"",TODAY()-$H334)</f>
        <v/>
      </c>
      <c r="L334" s="14" t="str">
        <f aca="false">IF($A334="","",IF($G334="","",IF($J334&lt;=0,"반납완료",IF($I334&gt;0,"부분반납","미반납"))))</f>
        <v/>
      </c>
    </row>
    <row r="335" customFormat="false" ht="15" hidden="false" customHeight="false" outlineLevel="0" collapsed="false">
      <c r="A335" s="14" t="str">
        <f aca="false">IF($B335="","",TEXT($B335,"yymmdd")&amp;"-"&amp;TEXT(COUNTIFS($B$3:$B335,$B335),"00"))</f>
        <v/>
      </c>
      <c r="B335" s="15"/>
      <c r="C335" s="9"/>
      <c r="D335" s="10"/>
      <c r="E335" s="14" t="str">
        <f aca="false">IF($D335="","",IFERROR(INDEX(품목목록!$B$3:$B$202,MATCH($D335,품목목록!$A$3:$A$202,0)),"미등록품번"))</f>
        <v/>
      </c>
      <c r="F335" s="14" t="str">
        <f aca="false">IF($D335="","",IFERROR(INDEX(품목목록!$D$3:$D$202,MATCH($D335,품목목록!$A$3:$A$202,0)),""))</f>
        <v/>
      </c>
      <c r="G335" s="11"/>
      <c r="H335" s="15"/>
      <c r="I335" s="16" t="str">
        <f aca="false">IF($A335="","",SUMIFS(반납내역!$D$3:$D$1502,반납내역!$B$3:$B$1502,$A335))</f>
        <v/>
      </c>
      <c r="J335" s="16" t="str">
        <f aca="false">IF($A335="","",IF($G335="","",$G335-$I335))</f>
        <v/>
      </c>
      <c r="K335" s="17" t="str">
        <f aca="true">IF(OR($A335="",$J335="",$J335&lt;=0,$H335=""),"",TODAY()-$H335)</f>
        <v/>
      </c>
      <c r="L335" s="14" t="str">
        <f aca="false">IF($A335="","",IF($G335="","",IF($J335&lt;=0,"반납완료",IF($I335&gt;0,"부분반납","미반납"))))</f>
        <v/>
      </c>
    </row>
    <row r="336" customFormat="false" ht="15" hidden="false" customHeight="false" outlineLevel="0" collapsed="false">
      <c r="A336" s="14" t="str">
        <f aca="false">IF($B336="","",TEXT($B336,"yymmdd")&amp;"-"&amp;TEXT(COUNTIFS($B$3:$B336,$B336),"00"))</f>
        <v/>
      </c>
      <c r="B336" s="15"/>
      <c r="C336" s="9"/>
      <c r="D336" s="10"/>
      <c r="E336" s="14" t="str">
        <f aca="false">IF($D336="","",IFERROR(INDEX(품목목록!$B$3:$B$202,MATCH($D336,품목목록!$A$3:$A$202,0)),"미등록품번"))</f>
        <v/>
      </c>
      <c r="F336" s="14" t="str">
        <f aca="false">IF($D336="","",IFERROR(INDEX(품목목록!$D$3:$D$202,MATCH($D336,품목목록!$A$3:$A$202,0)),""))</f>
        <v/>
      </c>
      <c r="G336" s="11"/>
      <c r="H336" s="15"/>
      <c r="I336" s="16" t="str">
        <f aca="false">IF($A336="","",SUMIFS(반납내역!$D$3:$D$1502,반납내역!$B$3:$B$1502,$A336))</f>
        <v/>
      </c>
      <c r="J336" s="16" t="str">
        <f aca="false">IF($A336="","",IF($G336="","",$G336-$I336))</f>
        <v/>
      </c>
      <c r="K336" s="17" t="str">
        <f aca="true">IF(OR($A336="",$J336="",$J336&lt;=0,$H336=""),"",TODAY()-$H336)</f>
        <v/>
      </c>
      <c r="L336" s="14" t="str">
        <f aca="false">IF($A336="","",IF($G336="","",IF($J336&lt;=0,"반납완료",IF($I336&gt;0,"부분반납","미반납"))))</f>
        <v/>
      </c>
    </row>
    <row r="337" customFormat="false" ht="15" hidden="false" customHeight="false" outlineLevel="0" collapsed="false">
      <c r="A337" s="14" t="str">
        <f aca="false">IF($B337="","",TEXT($B337,"yymmdd")&amp;"-"&amp;TEXT(COUNTIFS($B$3:$B337,$B337),"00"))</f>
        <v/>
      </c>
      <c r="B337" s="15"/>
      <c r="C337" s="9"/>
      <c r="D337" s="10"/>
      <c r="E337" s="14" t="str">
        <f aca="false">IF($D337="","",IFERROR(INDEX(품목목록!$B$3:$B$202,MATCH($D337,품목목록!$A$3:$A$202,0)),"미등록품번"))</f>
        <v/>
      </c>
      <c r="F337" s="14" t="str">
        <f aca="false">IF($D337="","",IFERROR(INDEX(품목목록!$D$3:$D$202,MATCH($D337,품목목록!$A$3:$A$202,0)),""))</f>
        <v/>
      </c>
      <c r="G337" s="11"/>
      <c r="H337" s="15"/>
      <c r="I337" s="16" t="str">
        <f aca="false">IF($A337="","",SUMIFS(반납내역!$D$3:$D$1502,반납내역!$B$3:$B$1502,$A337))</f>
        <v/>
      </c>
      <c r="J337" s="16" t="str">
        <f aca="false">IF($A337="","",IF($G337="","",$G337-$I337))</f>
        <v/>
      </c>
      <c r="K337" s="17" t="str">
        <f aca="true">IF(OR($A337="",$J337="",$J337&lt;=0,$H337=""),"",TODAY()-$H337)</f>
        <v/>
      </c>
      <c r="L337" s="14" t="str">
        <f aca="false">IF($A337="","",IF($G337="","",IF($J337&lt;=0,"반납완료",IF($I337&gt;0,"부분반납","미반납"))))</f>
        <v/>
      </c>
    </row>
    <row r="338" customFormat="false" ht="15" hidden="false" customHeight="false" outlineLevel="0" collapsed="false">
      <c r="A338" s="14" t="str">
        <f aca="false">IF($B338="","",TEXT($B338,"yymmdd")&amp;"-"&amp;TEXT(COUNTIFS($B$3:$B338,$B338),"00"))</f>
        <v/>
      </c>
      <c r="B338" s="15"/>
      <c r="C338" s="9"/>
      <c r="D338" s="10"/>
      <c r="E338" s="14" t="str">
        <f aca="false">IF($D338="","",IFERROR(INDEX(품목목록!$B$3:$B$202,MATCH($D338,품목목록!$A$3:$A$202,0)),"미등록품번"))</f>
        <v/>
      </c>
      <c r="F338" s="14" t="str">
        <f aca="false">IF($D338="","",IFERROR(INDEX(품목목록!$D$3:$D$202,MATCH($D338,품목목록!$A$3:$A$202,0)),""))</f>
        <v/>
      </c>
      <c r="G338" s="11"/>
      <c r="H338" s="15"/>
      <c r="I338" s="16" t="str">
        <f aca="false">IF($A338="","",SUMIFS(반납내역!$D$3:$D$1502,반납내역!$B$3:$B$1502,$A338))</f>
        <v/>
      </c>
      <c r="J338" s="16" t="str">
        <f aca="false">IF($A338="","",IF($G338="","",$G338-$I338))</f>
        <v/>
      </c>
      <c r="K338" s="17" t="str">
        <f aca="true">IF(OR($A338="",$J338="",$J338&lt;=0,$H338=""),"",TODAY()-$H338)</f>
        <v/>
      </c>
      <c r="L338" s="14" t="str">
        <f aca="false">IF($A338="","",IF($G338="","",IF($J338&lt;=0,"반납완료",IF($I338&gt;0,"부분반납","미반납"))))</f>
        <v/>
      </c>
    </row>
    <row r="339" customFormat="false" ht="15" hidden="false" customHeight="false" outlineLevel="0" collapsed="false">
      <c r="A339" s="14" t="str">
        <f aca="false">IF($B339="","",TEXT($B339,"yymmdd")&amp;"-"&amp;TEXT(COUNTIFS($B$3:$B339,$B339),"00"))</f>
        <v/>
      </c>
      <c r="B339" s="15"/>
      <c r="C339" s="9"/>
      <c r="D339" s="10"/>
      <c r="E339" s="14" t="str">
        <f aca="false">IF($D339="","",IFERROR(INDEX(품목목록!$B$3:$B$202,MATCH($D339,품목목록!$A$3:$A$202,0)),"미등록품번"))</f>
        <v/>
      </c>
      <c r="F339" s="14" t="str">
        <f aca="false">IF($D339="","",IFERROR(INDEX(품목목록!$D$3:$D$202,MATCH($D339,품목목록!$A$3:$A$202,0)),""))</f>
        <v/>
      </c>
      <c r="G339" s="11"/>
      <c r="H339" s="15"/>
      <c r="I339" s="16" t="str">
        <f aca="false">IF($A339="","",SUMIFS(반납내역!$D$3:$D$1502,반납내역!$B$3:$B$1502,$A339))</f>
        <v/>
      </c>
      <c r="J339" s="16" t="str">
        <f aca="false">IF($A339="","",IF($G339="","",$G339-$I339))</f>
        <v/>
      </c>
      <c r="K339" s="17" t="str">
        <f aca="true">IF(OR($A339="",$J339="",$J339&lt;=0,$H339=""),"",TODAY()-$H339)</f>
        <v/>
      </c>
      <c r="L339" s="14" t="str">
        <f aca="false">IF($A339="","",IF($G339="","",IF($J339&lt;=0,"반납완료",IF($I339&gt;0,"부분반납","미반납"))))</f>
        <v/>
      </c>
    </row>
    <row r="340" customFormat="false" ht="15" hidden="false" customHeight="false" outlineLevel="0" collapsed="false">
      <c r="A340" s="14" t="str">
        <f aca="false">IF($B340="","",TEXT($B340,"yymmdd")&amp;"-"&amp;TEXT(COUNTIFS($B$3:$B340,$B340),"00"))</f>
        <v/>
      </c>
      <c r="B340" s="15"/>
      <c r="C340" s="9"/>
      <c r="D340" s="10"/>
      <c r="E340" s="14" t="str">
        <f aca="false">IF($D340="","",IFERROR(INDEX(품목목록!$B$3:$B$202,MATCH($D340,품목목록!$A$3:$A$202,0)),"미등록품번"))</f>
        <v/>
      </c>
      <c r="F340" s="14" t="str">
        <f aca="false">IF($D340="","",IFERROR(INDEX(품목목록!$D$3:$D$202,MATCH($D340,품목목록!$A$3:$A$202,0)),""))</f>
        <v/>
      </c>
      <c r="G340" s="11"/>
      <c r="H340" s="15"/>
      <c r="I340" s="16" t="str">
        <f aca="false">IF($A340="","",SUMIFS(반납내역!$D$3:$D$1502,반납내역!$B$3:$B$1502,$A340))</f>
        <v/>
      </c>
      <c r="J340" s="16" t="str">
        <f aca="false">IF($A340="","",IF($G340="","",$G340-$I340))</f>
        <v/>
      </c>
      <c r="K340" s="17" t="str">
        <f aca="true">IF(OR($A340="",$J340="",$J340&lt;=0,$H340=""),"",TODAY()-$H340)</f>
        <v/>
      </c>
      <c r="L340" s="14" t="str">
        <f aca="false">IF($A340="","",IF($G340="","",IF($J340&lt;=0,"반납완료",IF($I340&gt;0,"부분반납","미반납"))))</f>
        <v/>
      </c>
    </row>
    <row r="341" customFormat="false" ht="15" hidden="false" customHeight="false" outlineLevel="0" collapsed="false">
      <c r="A341" s="14" t="str">
        <f aca="false">IF($B341="","",TEXT($B341,"yymmdd")&amp;"-"&amp;TEXT(COUNTIFS($B$3:$B341,$B341),"00"))</f>
        <v/>
      </c>
      <c r="B341" s="15"/>
      <c r="C341" s="9"/>
      <c r="D341" s="10"/>
      <c r="E341" s="14" t="str">
        <f aca="false">IF($D341="","",IFERROR(INDEX(품목목록!$B$3:$B$202,MATCH($D341,품목목록!$A$3:$A$202,0)),"미등록품번"))</f>
        <v/>
      </c>
      <c r="F341" s="14" t="str">
        <f aca="false">IF($D341="","",IFERROR(INDEX(품목목록!$D$3:$D$202,MATCH($D341,품목목록!$A$3:$A$202,0)),""))</f>
        <v/>
      </c>
      <c r="G341" s="11"/>
      <c r="H341" s="15"/>
      <c r="I341" s="16" t="str">
        <f aca="false">IF($A341="","",SUMIFS(반납내역!$D$3:$D$1502,반납내역!$B$3:$B$1502,$A341))</f>
        <v/>
      </c>
      <c r="J341" s="16" t="str">
        <f aca="false">IF($A341="","",IF($G341="","",$G341-$I341))</f>
        <v/>
      </c>
      <c r="K341" s="17" t="str">
        <f aca="true">IF(OR($A341="",$J341="",$J341&lt;=0,$H341=""),"",TODAY()-$H341)</f>
        <v/>
      </c>
      <c r="L341" s="14" t="str">
        <f aca="false">IF($A341="","",IF($G341="","",IF($J341&lt;=0,"반납완료",IF($I341&gt;0,"부분반납","미반납"))))</f>
        <v/>
      </c>
    </row>
    <row r="342" customFormat="false" ht="15" hidden="false" customHeight="false" outlineLevel="0" collapsed="false">
      <c r="A342" s="14" t="str">
        <f aca="false">IF($B342="","",TEXT($B342,"yymmdd")&amp;"-"&amp;TEXT(COUNTIFS($B$3:$B342,$B342),"00"))</f>
        <v/>
      </c>
      <c r="B342" s="15"/>
      <c r="C342" s="9"/>
      <c r="D342" s="10"/>
      <c r="E342" s="14" t="str">
        <f aca="false">IF($D342="","",IFERROR(INDEX(품목목록!$B$3:$B$202,MATCH($D342,품목목록!$A$3:$A$202,0)),"미등록품번"))</f>
        <v/>
      </c>
      <c r="F342" s="14" t="str">
        <f aca="false">IF($D342="","",IFERROR(INDEX(품목목록!$D$3:$D$202,MATCH($D342,품목목록!$A$3:$A$202,0)),""))</f>
        <v/>
      </c>
      <c r="G342" s="11"/>
      <c r="H342" s="15"/>
      <c r="I342" s="16" t="str">
        <f aca="false">IF($A342="","",SUMIFS(반납내역!$D$3:$D$1502,반납내역!$B$3:$B$1502,$A342))</f>
        <v/>
      </c>
      <c r="J342" s="16" t="str">
        <f aca="false">IF($A342="","",IF($G342="","",$G342-$I342))</f>
        <v/>
      </c>
      <c r="K342" s="17" t="str">
        <f aca="true">IF(OR($A342="",$J342="",$J342&lt;=0,$H342=""),"",TODAY()-$H342)</f>
        <v/>
      </c>
      <c r="L342" s="14" t="str">
        <f aca="false">IF($A342="","",IF($G342="","",IF($J342&lt;=0,"반납완료",IF($I342&gt;0,"부분반납","미반납"))))</f>
        <v/>
      </c>
    </row>
    <row r="343" customFormat="false" ht="15" hidden="false" customHeight="false" outlineLevel="0" collapsed="false">
      <c r="A343" s="14" t="str">
        <f aca="false">IF($B343="","",TEXT($B343,"yymmdd")&amp;"-"&amp;TEXT(COUNTIFS($B$3:$B343,$B343),"00"))</f>
        <v/>
      </c>
      <c r="B343" s="15"/>
      <c r="C343" s="9"/>
      <c r="D343" s="10"/>
      <c r="E343" s="14" t="str">
        <f aca="false">IF($D343="","",IFERROR(INDEX(품목목록!$B$3:$B$202,MATCH($D343,품목목록!$A$3:$A$202,0)),"미등록품번"))</f>
        <v/>
      </c>
      <c r="F343" s="14" t="str">
        <f aca="false">IF($D343="","",IFERROR(INDEX(품목목록!$D$3:$D$202,MATCH($D343,품목목록!$A$3:$A$202,0)),""))</f>
        <v/>
      </c>
      <c r="G343" s="11"/>
      <c r="H343" s="15"/>
      <c r="I343" s="16" t="str">
        <f aca="false">IF($A343="","",SUMIFS(반납내역!$D$3:$D$1502,반납내역!$B$3:$B$1502,$A343))</f>
        <v/>
      </c>
      <c r="J343" s="16" t="str">
        <f aca="false">IF($A343="","",IF($G343="","",$G343-$I343))</f>
        <v/>
      </c>
      <c r="K343" s="17" t="str">
        <f aca="true">IF(OR($A343="",$J343="",$J343&lt;=0,$H343=""),"",TODAY()-$H343)</f>
        <v/>
      </c>
      <c r="L343" s="14" t="str">
        <f aca="false">IF($A343="","",IF($G343="","",IF($J343&lt;=0,"반납완료",IF($I343&gt;0,"부분반납","미반납"))))</f>
        <v/>
      </c>
    </row>
    <row r="344" customFormat="false" ht="15" hidden="false" customHeight="false" outlineLevel="0" collapsed="false">
      <c r="A344" s="14" t="str">
        <f aca="false">IF($B344="","",TEXT($B344,"yymmdd")&amp;"-"&amp;TEXT(COUNTIFS($B$3:$B344,$B344),"00"))</f>
        <v/>
      </c>
      <c r="B344" s="15"/>
      <c r="C344" s="9"/>
      <c r="D344" s="10"/>
      <c r="E344" s="14" t="str">
        <f aca="false">IF($D344="","",IFERROR(INDEX(품목목록!$B$3:$B$202,MATCH($D344,품목목록!$A$3:$A$202,0)),"미등록품번"))</f>
        <v/>
      </c>
      <c r="F344" s="14" t="str">
        <f aca="false">IF($D344="","",IFERROR(INDEX(품목목록!$D$3:$D$202,MATCH($D344,품목목록!$A$3:$A$202,0)),""))</f>
        <v/>
      </c>
      <c r="G344" s="11"/>
      <c r="H344" s="15"/>
      <c r="I344" s="16" t="str">
        <f aca="false">IF($A344="","",SUMIFS(반납내역!$D$3:$D$1502,반납내역!$B$3:$B$1502,$A344))</f>
        <v/>
      </c>
      <c r="J344" s="16" t="str">
        <f aca="false">IF($A344="","",IF($G344="","",$G344-$I344))</f>
        <v/>
      </c>
      <c r="K344" s="17" t="str">
        <f aca="true">IF(OR($A344="",$J344="",$J344&lt;=0,$H344=""),"",TODAY()-$H344)</f>
        <v/>
      </c>
      <c r="L344" s="14" t="str">
        <f aca="false">IF($A344="","",IF($G344="","",IF($J344&lt;=0,"반납완료",IF($I344&gt;0,"부분반납","미반납"))))</f>
        <v/>
      </c>
    </row>
    <row r="345" customFormat="false" ht="15" hidden="false" customHeight="false" outlineLevel="0" collapsed="false">
      <c r="A345" s="14" t="str">
        <f aca="false">IF($B345="","",TEXT($B345,"yymmdd")&amp;"-"&amp;TEXT(COUNTIFS($B$3:$B345,$B345),"00"))</f>
        <v/>
      </c>
      <c r="B345" s="15"/>
      <c r="C345" s="9"/>
      <c r="D345" s="10"/>
      <c r="E345" s="14" t="str">
        <f aca="false">IF($D345="","",IFERROR(INDEX(품목목록!$B$3:$B$202,MATCH($D345,품목목록!$A$3:$A$202,0)),"미등록품번"))</f>
        <v/>
      </c>
      <c r="F345" s="14" t="str">
        <f aca="false">IF($D345="","",IFERROR(INDEX(품목목록!$D$3:$D$202,MATCH($D345,품목목록!$A$3:$A$202,0)),""))</f>
        <v/>
      </c>
      <c r="G345" s="11"/>
      <c r="H345" s="15"/>
      <c r="I345" s="16" t="str">
        <f aca="false">IF($A345="","",SUMIFS(반납내역!$D$3:$D$1502,반납내역!$B$3:$B$1502,$A345))</f>
        <v/>
      </c>
      <c r="J345" s="16" t="str">
        <f aca="false">IF($A345="","",IF($G345="","",$G345-$I345))</f>
        <v/>
      </c>
      <c r="K345" s="17" t="str">
        <f aca="true">IF(OR($A345="",$J345="",$J345&lt;=0,$H345=""),"",TODAY()-$H345)</f>
        <v/>
      </c>
      <c r="L345" s="14" t="str">
        <f aca="false">IF($A345="","",IF($G345="","",IF($J345&lt;=0,"반납완료",IF($I345&gt;0,"부분반납","미반납"))))</f>
        <v/>
      </c>
    </row>
    <row r="346" customFormat="false" ht="15" hidden="false" customHeight="false" outlineLevel="0" collapsed="false">
      <c r="A346" s="14" t="str">
        <f aca="false">IF($B346="","",TEXT($B346,"yymmdd")&amp;"-"&amp;TEXT(COUNTIFS($B$3:$B346,$B346),"00"))</f>
        <v/>
      </c>
      <c r="B346" s="15"/>
      <c r="C346" s="9"/>
      <c r="D346" s="10"/>
      <c r="E346" s="14" t="str">
        <f aca="false">IF($D346="","",IFERROR(INDEX(품목목록!$B$3:$B$202,MATCH($D346,품목목록!$A$3:$A$202,0)),"미등록품번"))</f>
        <v/>
      </c>
      <c r="F346" s="14" t="str">
        <f aca="false">IF($D346="","",IFERROR(INDEX(품목목록!$D$3:$D$202,MATCH($D346,품목목록!$A$3:$A$202,0)),""))</f>
        <v/>
      </c>
      <c r="G346" s="11"/>
      <c r="H346" s="15"/>
      <c r="I346" s="16" t="str">
        <f aca="false">IF($A346="","",SUMIFS(반납내역!$D$3:$D$1502,반납내역!$B$3:$B$1502,$A346))</f>
        <v/>
      </c>
      <c r="J346" s="16" t="str">
        <f aca="false">IF($A346="","",IF($G346="","",$G346-$I346))</f>
        <v/>
      </c>
      <c r="K346" s="17" t="str">
        <f aca="true">IF(OR($A346="",$J346="",$J346&lt;=0,$H346=""),"",TODAY()-$H346)</f>
        <v/>
      </c>
      <c r="L346" s="14" t="str">
        <f aca="false">IF($A346="","",IF($G346="","",IF($J346&lt;=0,"반납완료",IF($I346&gt;0,"부분반납","미반납"))))</f>
        <v/>
      </c>
    </row>
    <row r="347" customFormat="false" ht="15" hidden="false" customHeight="false" outlineLevel="0" collapsed="false">
      <c r="A347" s="14" t="str">
        <f aca="false">IF($B347="","",TEXT($B347,"yymmdd")&amp;"-"&amp;TEXT(COUNTIFS($B$3:$B347,$B347),"00"))</f>
        <v/>
      </c>
      <c r="B347" s="15"/>
      <c r="C347" s="9"/>
      <c r="D347" s="10"/>
      <c r="E347" s="14" t="str">
        <f aca="false">IF($D347="","",IFERROR(INDEX(품목목록!$B$3:$B$202,MATCH($D347,품목목록!$A$3:$A$202,0)),"미등록품번"))</f>
        <v/>
      </c>
      <c r="F347" s="14" t="str">
        <f aca="false">IF($D347="","",IFERROR(INDEX(품목목록!$D$3:$D$202,MATCH($D347,품목목록!$A$3:$A$202,0)),""))</f>
        <v/>
      </c>
      <c r="G347" s="11"/>
      <c r="H347" s="15"/>
      <c r="I347" s="16" t="str">
        <f aca="false">IF($A347="","",SUMIFS(반납내역!$D$3:$D$1502,반납내역!$B$3:$B$1502,$A347))</f>
        <v/>
      </c>
      <c r="J347" s="16" t="str">
        <f aca="false">IF($A347="","",IF($G347="","",$G347-$I347))</f>
        <v/>
      </c>
      <c r="K347" s="17" t="str">
        <f aca="true">IF(OR($A347="",$J347="",$J347&lt;=0,$H347=""),"",TODAY()-$H347)</f>
        <v/>
      </c>
      <c r="L347" s="14" t="str">
        <f aca="false">IF($A347="","",IF($G347="","",IF($J347&lt;=0,"반납완료",IF($I347&gt;0,"부분반납","미반납"))))</f>
        <v/>
      </c>
    </row>
    <row r="348" customFormat="false" ht="15" hidden="false" customHeight="false" outlineLevel="0" collapsed="false">
      <c r="A348" s="14" t="str">
        <f aca="false">IF($B348="","",TEXT($B348,"yymmdd")&amp;"-"&amp;TEXT(COUNTIFS($B$3:$B348,$B348),"00"))</f>
        <v/>
      </c>
      <c r="B348" s="15"/>
      <c r="C348" s="9"/>
      <c r="D348" s="10"/>
      <c r="E348" s="14" t="str">
        <f aca="false">IF($D348="","",IFERROR(INDEX(품목목록!$B$3:$B$202,MATCH($D348,품목목록!$A$3:$A$202,0)),"미등록품번"))</f>
        <v/>
      </c>
      <c r="F348" s="14" t="str">
        <f aca="false">IF($D348="","",IFERROR(INDEX(품목목록!$D$3:$D$202,MATCH($D348,품목목록!$A$3:$A$202,0)),""))</f>
        <v/>
      </c>
      <c r="G348" s="11"/>
      <c r="H348" s="15"/>
      <c r="I348" s="16" t="str">
        <f aca="false">IF($A348="","",SUMIFS(반납내역!$D$3:$D$1502,반납내역!$B$3:$B$1502,$A348))</f>
        <v/>
      </c>
      <c r="J348" s="16" t="str">
        <f aca="false">IF($A348="","",IF($G348="","",$G348-$I348))</f>
        <v/>
      </c>
      <c r="K348" s="17" t="str">
        <f aca="true">IF(OR($A348="",$J348="",$J348&lt;=0,$H348=""),"",TODAY()-$H348)</f>
        <v/>
      </c>
      <c r="L348" s="14" t="str">
        <f aca="false">IF($A348="","",IF($G348="","",IF($J348&lt;=0,"반납완료",IF($I348&gt;0,"부분반납","미반납"))))</f>
        <v/>
      </c>
    </row>
    <row r="349" customFormat="false" ht="15" hidden="false" customHeight="false" outlineLevel="0" collapsed="false">
      <c r="A349" s="14" t="str">
        <f aca="false">IF($B349="","",TEXT($B349,"yymmdd")&amp;"-"&amp;TEXT(COUNTIFS($B$3:$B349,$B349),"00"))</f>
        <v/>
      </c>
      <c r="B349" s="15"/>
      <c r="C349" s="9"/>
      <c r="D349" s="10"/>
      <c r="E349" s="14" t="str">
        <f aca="false">IF($D349="","",IFERROR(INDEX(품목목록!$B$3:$B$202,MATCH($D349,품목목록!$A$3:$A$202,0)),"미등록품번"))</f>
        <v/>
      </c>
      <c r="F349" s="14" t="str">
        <f aca="false">IF($D349="","",IFERROR(INDEX(품목목록!$D$3:$D$202,MATCH($D349,품목목록!$A$3:$A$202,0)),""))</f>
        <v/>
      </c>
      <c r="G349" s="11"/>
      <c r="H349" s="15"/>
      <c r="I349" s="16" t="str">
        <f aca="false">IF($A349="","",SUMIFS(반납내역!$D$3:$D$1502,반납내역!$B$3:$B$1502,$A349))</f>
        <v/>
      </c>
      <c r="J349" s="16" t="str">
        <f aca="false">IF($A349="","",IF($G349="","",$G349-$I349))</f>
        <v/>
      </c>
      <c r="K349" s="17" t="str">
        <f aca="true">IF(OR($A349="",$J349="",$J349&lt;=0,$H349=""),"",TODAY()-$H349)</f>
        <v/>
      </c>
      <c r="L349" s="14" t="str">
        <f aca="false">IF($A349="","",IF($G349="","",IF($J349&lt;=0,"반납완료",IF($I349&gt;0,"부분반납","미반납"))))</f>
        <v/>
      </c>
    </row>
    <row r="350" customFormat="false" ht="15" hidden="false" customHeight="false" outlineLevel="0" collapsed="false">
      <c r="A350" s="14" t="str">
        <f aca="false">IF($B350="","",TEXT($B350,"yymmdd")&amp;"-"&amp;TEXT(COUNTIFS($B$3:$B350,$B350),"00"))</f>
        <v/>
      </c>
      <c r="B350" s="15"/>
      <c r="C350" s="9"/>
      <c r="D350" s="10"/>
      <c r="E350" s="14" t="str">
        <f aca="false">IF($D350="","",IFERROR(INDEX(품목목록!$B$3:$B$202,MATCH($D350,품목목록!$A$3:$A$202,0)),"미등록품번"))</f>
        <v/>
      </c>
      <c r="F350" s="14" t="str">
        <f aca="false">IF($D350="","",IFERROR(INDEX(품목목록!$D$3:$D$202,MATCH($D350,품목목록!$A$3:$A$202,0)),""))</f>
        <v/>
      </c>
      <c r="G350" s="11"/>
      <c r="H350" s="15"/>
      <c r="I350" s="16" t="str">
        <f aca="false">IF($A350="","",SUMIFS(반납내역!$D$3:$D$1502,반납내역!$B$3:$B$1502,$A350))</f>
        <v/>
      </c>
      <c r="J350" s="16" t="str">
        <f aca="false">IF($A350="","",IF($G350="","",$G350-$I350))</f>
        <v/>
      </c>
      <c r="K350" s="17" t="str">
        <f aca="true">IF(OR($A350="",$J350="",$J350&lt;=0,$H350=""),"",TODAY()-$H350)</f>
        <v/>
      </c>
      <c r="L350" s="14" t="str">
        <f aca="false">IF($A350="","",IF($G350="","",IF($J350&lt;=0,"반납완료",IF($I350&gt;0,"부분반납","미반납"))))</f>
        <v/>
      </c>
    </row>
    <row r="351" customFormat="false" ht="15" hidden="false" customHeight="false" outlineLevel="0" collapsed="false">
      <c r="A351" s="14" t="str">
        <f aca="false">IF($B351="","",TEXT($B351,"yymmdd")&amp;"-"&amp;TEXT(COUNTIFS($B$3:$B351,$B351),"00"))</f>
        <v/>
      </c>
      <c r="B351" s="15"/>
      <c r="C351" s="9"/>
      <c r="D351" s="10"/>
      <c r="E351" s="14" t="str">
        <f aca="false">IF($D351="","",IFERROR(INDEX(품목목록!$B$3:$B$202,MATCH($D351,품목목록!$A$3:$A$202,0)),"미등록품번"))</f>
        <v/>
      </c>
      <c r="F351" s="14" t="str">
        <f aca="false">IF($D351="","",IFERROR(INDEX(품목목록!$D$3:$D$202,MATCH($D351,품목목록!$A$3:$A$202,0)),""))</f>
        <v/>
      </c>
      <c r="G351" s="11"/>
      <c r="H351" s="15"/>
      <c r="I351" s="16" t="str">
        <f aca="false">IF($A351="","",SUMIFS(반납내역!$D$3:$D$1502,반납내역!$B$3:$B$1502,$A351))</f>
        <v/>
      </c>
      <c r="J351" s="16" t="str">
        <f aca="false">IF($A351="","",IF($G351="","",$G351-$I351))</f>
        <v/>
      </c>
      <c r="K351" s="17" t="str">
        <f aca="true">IF(OR($A351="",$J351="",$J351&lt;=0,$H351=""),"",TODAY()-$H351)</f>
        <v/>
      </c>
      <c r="L351" s="14" t="str">
        <f aca="false">IF($A351="","",IF($G351="","",IF($J351&lt;=0,"반납완료",IF($I351&gt;0,"부분반납","미반납"))))</f>
        <v/>
      </c>
    </row>
    <row r="352" customFormat="false" ht="15" hidden="false" customHeight="false" outlineLevel="0" collapsed="false">
      <c r="A352" s="14" t="str">
        <f aca="false">IF($B352="","",TEXT($B352,"yymmdd")&amp;"-"&amp;TEXT(COUNTIFS($B$3:$B352,$B352),"00"))</f>
        <v/>
      </c>
      <c r="B352" s="15"/>
      <c r="C352" s="9"/>
      <c r="D352" s="10"/>
      <c r="E352" s="14" t="str">
        <f aca="false">IF($D352="","",IFERROR(INDEX(품목목록!$B$3:$B$202,MATCH($D352,품목목록!$A$3:$A$202,0)),"미등록품번"))</f>
        <v/>
      </c>
      <c r="F352" s="14" t="str">
        <f aca="false">IF($D352="","",IFERROR(INDEX(품목목록!$D$3:$D$202,MATCH($D352,품목목록!$A$3:$A$202,0)),""))</f>
        <v/>
      </c>
      <c r="G352" s="11"/>
      <c r="H352" s="15"/>
      <c r="I352" s="16" t="str">
        <f aca="false">IF($A352="","",SUMIFS(반납내역!$D$3:$D$1502,반납내역!$B$3:$B$1502,$A352))</f>
        <v/>
      </c>
      <c r="J352" s="16" t="str">
        <f aca="false">IF($A352="","",IF($G352="","",$G352-$I352))</f>
        <v/>
      </c>
      <c r="K352" s="17" t="str">
        <f aca="true">IF(OR($A352="",$J352="",$J352&lt;=0,$H352=""),"",TODAY()-$H352)</f>
        <v/>
      </c>
      <c r="L352" s="14" t="str">
        <f aca="false">IF($A352="","",IF($G352="","",IF($J352&lt;=0,"반납완료",IF($I352&gt;0,"부분반납","미반납"))))</f>
        <v/>
      </c>
    </row>
    <row r="353" customFormat="false" ht="15" hidden="false" customHeight="false" outlineLevel="0" collapsed="false">
      <c r="A353" s="14" t="str">
        <f aca="false">IF($B353="","",TEXT($B353,"yymmdd")&amp;"-"&amp;TEXT(COUNTIFS($B$3:$B353,$B353),"00"))</f>
        <v/>
      </c>
      <c r="B353" s="15"/>
      <c r="C353" s="9"/>
      <c r="D353" s="10"/>
      <c r="E353" s="14" t="str">
        <f aca="false">IF($D353="","",IFERROR(INDEX(품목목록!$B$3:$B$202,MATCH($D353,품목목록!$A$3:$A$202,0)),"미등록품번"))</f>
        <v/>
      </c>
      <c r="F353" s="14" t="str">
        <f aca="false">IF($D353="","",IFERROR(INDEX(품목목록!$D$3:$D$202,MATCH($D353,품목목록!$A$3:$A$202,0)),""))</f>
        <v/>
      </c>
      <c r="G353" s="11"/>
      <c r="H353" s="15"/>
      <c r="I353" s="16" t="str">
        <f aca="false">IF($A353="","",SUMIFS(반납내역!$D$3:$D$1502,반납내역!$B$3:$B$1502,$A353))</f>
        <v/>
      </c>
      <c r="J353" s="16" t="str">
        <f aca="false">IF($A353="","",IF($G353="","",$G353-$I353))</f>
        <v/>
      </c>
      <c r="K353" s="17" t="str">
        <f aca="true">IF(OR($A353="",$J353="",$J353&lt;=0,$H353=""),"",TODAY()-$H353)</f>
        <v/>
      </c>
      <c r="L353" s="14" t="str">
        <f aca="false">IF($A353="","",IF($G353="","",IF($J353&lt;=0,"반납완료",IF($I353&gt;0,"부분반납","미반납"))))</f>
        <v/>
      </c>
    </row>
    <row r="354" customFormat="false" ht="15" hidden="false" customHeight="false" outlineLevel="0" collapsed="false">
      <c r="A354" s="14" t="str">
        <f aca="false">IF($B354="","",TEXT($B354,"yymmdd")&amp;"-"&amp;TEXT(COUNTIFS($B$3:$B354,$B354),"00"))</f>
        <v/>
      </c>
      <c r="B354" s="15"/>
      <c r="C354" s="9"/>
      <c r="D354" s="10"/>
      <c r="E354" s="14" t="str">
        <f aca="false">IF($D354="","",IFERROR(INDEX(품목목록!$B$3:$B$202,MATCH($D354,품목목록!$A$3:$A$202,0)),"미등록품번"))</f>
        <v/>
      </c>
      <c r="F354" s="14" t="str">
        <f aca="false">IF($D354="","",IFERROR(INDEX(품목목록!$D$3:$D$202,MATCH($D354,품목목록!$A$3:$A$202,0)),""))</f>
        <v/>
      </c>
      <c r="G354" s="11"/>
      <c r="H354" s="15"/>
      <c r="I354" s="16" t="str">
        <f aca="false">IF($A354="","",SUMIFS(반납내역!$D$3:$D$1502,반납내역!$B$3:$B$1502,$A354))</f>
        <v/>
      </c>
      <c r="J354" s="16" t="str">
        <f aca="false">IF($A354="","",IF($G354="","",$G354-$I354))</f>
        <v/>
      </c>
      <c r="K354" s="17" t="str">
        <f aca="true">IF(OR($A354="",$J354="",$J354&lt;=0,$H354=""),"",TODAY()-$H354)</f>
        <v/>
      </c>
      <c r="L354" s="14" t="str">
        <f aca="false">IF($A354="","",IF($G354="","",IF($J354&lt;=0,"반납완료",IF($I354&gt;0,"부분반납","미반납"))))</f>
        <v/>
      </c>
    </row>
    <row r="355" customFormat="false" ht="15" hidden="false" customHeight="false" outlineLevel="0" collapsed="false">
      <c r="A355" s="14" t="str">
        <f aca="false">IF($B355="","",TEXT($B355,"yymmdd")&amp;"-"&amp;TEXT(COUNTIFS($B$3:$B355,$B355),"00"))</f>
        <v/>
      </c>
      <c r="B355" s="15"/>
      <c r="C355" s="9"/>
      <c r="D355" s="10"/>
      <c r="E355" s="14" t="str">
        <f aca="false">IF($D355="","",IFERROR(INDEX(품목목록!$B$3:$B$202,MATCH($D355,품목목록!$A$3:$A$202,0)),"미등록품번"))</f>
        <v/>
      </c>
      <c r="F355" s="14" t="str">
        <f aca="false">IF($D355="","",IFERROR(INDEX(품목목록!$D$3:$D$202,MATCH($D355,품목목록!$A$3:$A$202,0)),""))</f>
        <v/>
      </c>
      <c r="G355" s="11"/>
      <c r="H355" s="15"/>
      <c r="I355" s="16" t="str">
        <f aca="false">IF($A355="","",SUMIFS(반납내역!$D$3:$D$1502,반납내역!$B$3:$B$1502,$A355))</f>
        <v/>
      </c>
      <c r="J355" s="16" t="str">
        <f aca="false">IF($A355="","",IF($G355="","",$G355-$I355))</f>
        <v/>
      </c>
      <c r="K355" s="17" t="str">
        <f aca="true">IF(OR($A355="",$J355="",$J355&lt;=0,$H355=""),"",TODAY()-$H355)</f>
        <v/>
      </c>
      <c r="L355" s="14" t="str">
        <f aca="false">IF($A355="","",IF($G355="","",IF($J355&lt;=0,"반납완료",IF($I355&gt;0,"부분반납","미반납"))))</f>
        <v/>
      </c>
    </row>
    <row r="356" customFormat="false" ht="15" hidden="false" customHeight="false" outlineLevel="0" collapsed="false">
      <c r="A356" s="14" t="str">
        <f aca="false">IF($B356="","",TEXT($B356,"yymmdd")&amp;"-"&amp;TEXT(COUNTIFS($B$3:$B356,$B356),"00"))</f>
        <v/>
      </c>
      <c r="B356" s="15"/>
      <c r="C356" s="9"/>
      <c r="D356" s="10"/>
      <c r="E356" s="14" t="str">
        <f aca="false">IF($D356="","",IFERROR(INDEX(품목목록!$B$3:$B$202,MATCH($D356,품목목록!$A$3:$A$202,0)),"미등록품번"))</f>
        <v/>
      </c>
      <c r="F356" s="14" t="str">
        <f aca="false">IF($D356="","",IFERROR(INDEX(품목목록!$D$3:$D$202,MATCH($D356,품목목록!$A$3:$A$202,0)),""))</f>
        <v/>
      </c>
      <c r="G356" s="11"/>
      <c r="H356" s="15"/>
      <c r="I356" s="16" t="str">
        <f aca="false">IF($A356="","",SUMIFS(반납내역!$D$3:$D$1502,반납내역!$B$3:$B$1502,$A356))</f>
        <v/>
      </c>
      <c r="J356" s="16" t="str">
        <f aca="false">IF($A356="","",IF($G356="","",$G356-$I356))</f>
        <v/>
      </c>
      <c r="K356" s="17" t="str">
        <f aca="true">IF(OR($A356="",$J356="",$J356&lt;=0,$H356=""),"",TODAY()-$H356)</f>
        <v/>
      </c>
      <c r="L356" s="14" t="str">
        <f aca="false">IF($A356="","",IF($G356="","",IF($J356&lt;=0,"반납완료",IF($I356&gt;0,"부분반납","미반납"))))</f>
        <v/>
      </c>
    </row>
    <row r="357" customFormat="false" ht="15" hidden="false" customHeight="false" outlineLevel="0" collapsed="false">
      <c r="A357" s="14" t="str">
        <f aca="false">IF($B357="","",TEXT($B357,"yymmdd")&amp;"-"&amp;TEXT(COUNTIFS($B$3:$B357,$B357),"00"))</f>
        <v/>
      </c>
      <c r="B357" s="15"/>
      <c r="C357" s="9"/>
      <c r="D357" s="10"/>
      <c r="E357" s="14" t="str">
        <f aca="false">IF($D357="","",IFERROR(INDEX(품목목록!$B$3:$B$202,MATCH($D357,품목목록!$A$3:$A$202,0)),"미등록품번"))</f>
        <v/>
      </c>
      <c r="F357" s="14" t="str">
        <f aca="false">IF($D357="","",IFERROR(INDEX(품목목록!$D$3:$D$202,MATCH($D357,품목목록!$A$3:$A$202,0)),""))</f>
        <v/>
      </c>
      <c r="G357" s="11"/>
      <c r="H357" s="15"/>
      <c r="I357" s="16" t="str">
        <f aca="false">IF($A357="","",SUMIFS(반납내역!$D$3:$D$1502,반납내역!$B$3:$B$1502,$A357))</f>
        <v/>
      </c>
      <c r="J357" s="16" t="str">
        <f aca="false">IF($A357="","",IF($G357="","",$G357-$I357))</f>
        <v/>
      </c>
      <c r="K357" s="17" t="str">
        <f aca="true">IF(OR($A357="",$J357="",$J357&lt;=0,$H357=""),"",TODAY()-$H357)</f>
        <v/>
      </c>
      <c r="L357" s="14" t="str">
        <f aca="false">IF($A357="","",IF($G357="","",IF($J357&lt;=0,"반납완료",IF($I357&gt;0,"부분반납","미반납"))))</f>
        <v/>
      </c>
    </row>
    <row r="358" customFormat="false" ht="15" hidden="false" customHeight="false" outlineLevel="0" collapsed="false">
      <c r="A358" s="14" t="str">
        <f aca="false">IF($B358="","",TEXT($B358,"yymmdd")&amp;"-"&amp;TEXT(COUNTIFS($B$3:$B358,$B358),"00"))</f>
        <v/>
      </c>
      <c r="B358" s="15"/>
      <c r="C358" s="9"/>
      <c r="D358" s="10"/>
      <c r="E358" s="14" t="str">
        <f aca="false">IF($D358="","",IFERROR(INDEX(품목목록!$B$3:$B$202,MATCH($D358,품목목록!$A$3:$A$202,0)),"미등록품번"))</f>
        <v/>
      </c>
      <c r="F358" s="14" t="str">
        <f aca="false">IF($D358="","",IFERROR(INDEX(품목목록!$D$3:$D$202,MATCH($D358,품목목록!$A$3:$A$202,0)),""))</f>
        <v/>
      </c>
      <c r="G358" s="11"/>
      <c r="H358" s="15"/>
      <c r="I358" s="16" t="str">
        <f aca="false">IF($A358="","",SUMIFS(반납내역!$D$3:$D$1502,반납내역!$B$3:$B$1502,$A358))</f>
        <v/>
      </c>
      <c r="J358" s="16" t="str">
        <f aca="false">IF($A358="","",IF($G358="","",$G358-$I358))</f>
        <v/>
      </c>
      <c r="K358" s="17" t="str">
        <f aca="true">IF(OR($A358="",$J358="",$J358&lt;=0,$H358=""),"",TODAY()-$H358)</f>
        <v/>
      </c>
      <c r="L358" s="14" t="str">
        <f aca="false">IF($A358="","",IF($G358="","",IF($J358&lt;=0,"반납완료",IF($I358&gt;0,"부분반납","미반납"))))</f>
        <v/>
      </c>
    </row>
    <row r="359" customFormat="false" ht="15" hidden="false" customHeight="false" outlineLevel="0" collapsed="false">
      <c r="A359" s="14" t="str">
        <f aca="false">IF($B359="","",TEXT($B359,"yymmdd")&amp;"-"&amp;TEXT(COUNTIFS($B$3:$B359,$B359),"00"))</f>
        <v/>
      </c>
      <c r="B359" s="15"/>
      <c r="C359" s="9"/>
      <c r="D359" s="10"/>
      <c r="E359" s="14" t="str">
        <f aca="false">IF($D359="","",IFERROR(INDEX(품목목록!$B$3:$B$202,MATCH($D359,품목목록!$A$3:$A$202,0)),"미등록품번"))</f>
        <v/>
      </c>
      <c r="F359" s="14" t="str">
        <f aca="false">IF($D359="","",IFERROR(INDEX(품목목록!$D$3:$D$202,MATCH($D359,품목목록!$A$3:$A$202,0)),""))</f>
        <v/>
      </c>
      <c r="G359" s="11"/>
      <c r="H359" s="15"/>
      <c r="I359" s="16" t="str">
        <f aca="false">IF($A359="","",SUMIFS(반납내역!$D$3:$D$1502,반납내역!$B$3:$B$1502,$A359))</f>
        <v/>
      </c>
      <c r="J359" s="16" t="str">
        <f aca="false">IF($A359="","",IF($G359="","",$G359-$I359))</f>
        <v/>
      </c>
      <c r="K359" s="17" t="str">
        <f aca="true">IF(OR($A359="",$J359="",$J359&lt;=0,$H359=""),"",TODAY()-$H359)</f>
        <v/>
      </c>
      <c r="L359" s="14" t="str">
        <f aca="false">IF($A359="","",IF($G359="","",IF($J359&lt;=0,"반납완료",IF($I359&gt;0,"부분반납","미반납"))))</f>
        <v/>
      </c>
    </row>
    <row r="360" customFormat="false" ht="15" hidden="false" customHeight="false" outlineLevel="0" collapsed="false">
      <c r="A360" s="14" t="str">
        <f aca="false">IF($B360="","",TEXT($B360,"yymmdd")&amp;"-"&amp;TEXT(COUNTIFS($B$3:$B360,$B360),"00"))</f>
        <v/>
      </c>
      <c r="B360" s="15"/>
      <c r="C360" s="9"/>
      <c r="D360" s="10"/>
      <c r="E360" s="14" t="str">
        <f aca="false">IF($D360="","",IFERROR(INDEX(품목목록!$B$3:$B$202,MATCH($D360,품목목록!$A$3:$A$202,0)),"미등록품번"))</f>
        <v/>
      </c>
      <c r="F360" s="14" t="str">
        <f aca="false">IF($D360="","",IFERROR(INDEX(품목목록!$D$3:$D$202,MATCH($D360,품목목록!$A$3:$A$202,0)),""))</f>
        <v/>
      </c>
      <c r="G360" s="11"/>
      <c r="H360" s="15"/>
      <c r="I360" s="16" t="str">
        <f aca="false">IF($A360="","",SUMIFS(반납내역!$D$3:$D$1502,반납내역!$B$3:$B$1502,$A360))</f>
        <v/>
      </c>
      <c r="J360" s="16" t="str">
        <f aca="false">IF($A360="","",IF($G360="","",$G360-$I360))</f>
        <v/>
      </c>
      <c r="K360" s="17" t="str">
        <f aca="true">IF(OR($A360="",$J360="",$J360&lt;=0,$H360=""),"",TODAY()-$H360)</f>
        <v/>
      </c>
      <c r="L360" s="14" t="str">
        <f aca="false">IF($A360="","",IF($G360="","",IF($J360&lt;=0,"반납완료",IF($I360&gt;0,"부분반납","미반납"))))</f>
        <v/>
      </c>
    </row>
    <row r="361" customFormat="false" ht="15" hidden="false" customHeight="false" outlineLevel="0" collapsed="false">
      <c r="A361" s="14" t="str">
        <f aca="false">IF($B361="","",TEXT($B361,"yymmdd")&amp;"-"&amp;TEXT(COUNTIFS($B$3:$B361,$B361),"00"))</f>
        <v/>
      </c>
      <c r="B361" s="15"/>
      <c r="C361" s="9"/>
      <c r="D361" s="10"/>
      <c r="E361" s="14" t="str">
        <f aca="false">IF($D361="","",IFERROR(INDEX(품목목록!$B$3:$B$202,MATCH($D361,품목목록!$A$3:$A$202,0)),"미등록품번"))</f>
        <v/>
      </c>
      <c r="F361" s="14" t="str">
        <f aca="false">IF($D361="","",IFERROR(INDEX(품목목록!$D$3:$D$202,MATCH($D361,품목목록!$A$3:$A$202,0)),""))</f>
        <v/>
      </c>
      <c r="G361" s="11"/>
      <c r="H361" s="15"/>
      <c r="I361" s="16" t="str">
        <f aca="false">IF($A361="","",SUMIFS(반납내역!$D$3:$D$1502,반납내역!$B$3:$B$1502,$A361))</f>
        <v/>
      </c>
      <c r="J361" s="16" t="str">
        <f aca="false">IF($A361="","",IF($G361="","",$G361-$I361))</f>
        <v/>
      </c>
      <c r="K361" s="17" t="str">
        <f aca="true">IF(OR($A361="",$J361="",$J361&lt;=0,$H361=""),"",TODAY()-$H361)</f>
        <v/>
      </c>
      <c r="L361" s="14" t="str">
        <f aca="false">IF($A361="","",IF($G361="","",IF($J361&lt;=0,"반납완료",IF($I361&gt;0,"부분반납","미반납"))))</f>
        <v/>
      </c>
    </row>
    <row r="362" customFormat="false" ht="15" hidden="false" customHeight="false" outlineLevel="0" collapsed="false">
      <c r="A362" s="14" t="str">
        <f aca="false">IF($B362="","",TEXT($B362,"yymmdd")&amp;"-"&amp;TEXT(COUNTIFS($B$3:$B362,$B362),"00"))</f>
        <v/>
      </c>
      <c r="B362" s="15"/>
      <c r="C362" s="9"/>
      <c r="D362" s="10"/>
      <c r="E362" s="14" t="str">
        <f aca="false">IF($D362="","",IFERROR(INDEX(품목목록!$B$3:$B$202,MATCH($D362,품목목록!$A$3:$A$202,0)),"미등록품번"))</f>
        <v/>
      </c>
      <c r="F362" s="14" t="str">
        <f aca="false">IF($D362="","",IFERROR(INDEX(품목목록!$D$3:$D$202,MATCH($D362,품목목록!$A$3:$A$202,0)),""))</f>
        <v/>
      </c>
      <c r="G362" s="11"/>
      <c r="H362" s="15"/>
      <c r="I362" s="16" t="str">
        <f aca="false">IF($A362="","",SUMIFS(반납내역!$D$3:$D$1502,반납내역!$B$3:$B$1502,$A362))</f>
        <v/>
      </c>
      <c r="J362" s="16" t="str">
        <f aca="false">IF($A362="","",IF($G362="","",$G362-$I362))</f>
        <v/>
      </c>
      <c r="K362" s="17" t="str">
        <f aca="true">IF(OR($A362="",$J362="",$J362&lt;=0,$H362=""),"",TODAY()-$H362)</f>
        <v/>
      </c>
      <c r="L362" s="14" t="str">
        <f aca="false">IF($A362="","",IF($G362="","",IF($J362&lt;=0,"반납완료",IF($I362&gt;0,"부분반납","미반납"))))</f>
        <v/>
      </c>
    </row>
    <row r="363" customFormat="false" ht="15" hidden="false" customHeight="false" outlineLevel="0" collapsed="false">
      <c r="A363" s="14" t="str">
        <f aca="false">IF($B363="","",TEXT($B363,"yymmdd")&amp;"-"&amp;TEXT(COUNTIFS($B$3:$B363,$B363),"00"))</f>
        <v/>
      </c>
      <c r="B363" s="15"/>
      <c r="C363" s="9"/>
      <c r="D363" s="10"/>
      <c r="E363" s="14" t="str">
        <f aca="false">IF($D363="","",IFERROR(INDEX(품목목록!$B$3:$B$202,MATCH($D363,품목목록!$A$3:$A$202,0)),"미등록품번"))</f>
        <v/>
      </c>
      <c r="F363" s="14" t="str">
        <f aca="false">IF($D363="","",IFERROR(INDEX(품목목록!$D$3:$D$202,MATCH($D363,품목목록!$A$3:$A$202,0)),""))</f>
        <v/>
      </c>
      <c r="G363" s="11"/>
      <c r="H363" s="15"/>
      <c r="I363" s="16" t="str">
        <f aca="false">IF($A363="","",SUMIFS(반납내역!$D$3:$D$1502,반납내역!$B$3:$B$1502,$A363))</f>
        <v/>
      </c>
      <c r="J363" s="16" t="str">
        <f aca="false">IF($A363="","",IF($G363="","",$G363-$I363))</f>
        <v/>
      </c>
      <c r="K363" s="17" t="str">
        <f aca="true">IF(OR($A363="",$J363="",$J363&lt;=0,$H363=""),"",TODAY()-$H363)</f>
        <v/>
      </c>
      <c r="L363" s="14" t="str">
        <f aca="false">IF($A363="","",IF($G363="","",IF($J363&lt;=0,"반납완료",IF($I363&gt;0,"부분반납","미반납"))))</f>
        <v/>
      </c>
    </row>
    <row r="364" customFormat="false" ht="15" hidden="false" customHeight="false" outlineLevel="0" collapsed="false">
      <c r="A364" s="14" t="str">
        <f aca="false">IF($B364="","",TEXT($B364,"yymmdd")&amp;"-"&amp;TEXT(COUNTIFS($B$3:$B364,$B364),"00"))</f>
        <v/>
      </c>
      <c r="B364" s="15"/>
      <c r="C364" s="9"/>
      <c r="D364" s="10"/>
      <c r="E364" s="14" t="str">
        <f aca="false">IF($D364="","",IFERROR(INDEX(품목목록!$B$3:$B$202,MATCH($D364,품목목록!$A$3:$A$202,0)),"미등록품번"))</f>
        <v/>
      </c>
      <c r="F364" s="14" t="str">
        <f aca="false">IF($D364="","",IFERROR(INDEX(품목목록!$D$3:$D$202,MATCH($D364,품목목록!$A$3:$A$202,0)),""))</f>
        <v/>
      </c>
      <c r="G364" s="11"/>
      <c r="H364" s="15"/>
      <c r="I364" s="16" t="str">
        <f aca="false">IF($A364="","",SUMIFS(반납내역!$D$3:$D$1502,반납내역!$B$3:$B$1502,$A364))</f>
        <v/>
      </c>
      <c r="J364" s="16" t="str">
        <f aca="false">IF($A364="","",IF($G364="","",$G364-$I364))</f>
        <v/>
      </c>
      <c r="K364" s="17" t="str">
        <f aca="true">IF(OR($A364="",$J364="",$J364&lt;=0,$H364=""),"",TODAY()-$H364)</f>
        <v/>
      </c>
      <c r="L364" s="14" t="str">
        <f aca="false">IF($A364="","",IF($G364="","",IF($J364&lt;=0,"반납완료",IF($I364&gt;0,"부분반납","미반납"))))</f>
        <v/>
      </c>
    </row>
    <row r="365" customFormat="false" ht="15" hidden="false" customHeight="false" outlineLevel="0" collapsed="false">
      <c r="A365" s="14" t="str">
        <f aca="false">IF($B365="","",TEXT($B365,"yymmdd")&amp;"-"&amp;TEXT(COUNTIFS($B$3:$B365,$B365),"00"))</f>
        <v/>
      </c>
      <c r="B365" s="15"/>
      <c r="C365" s="9"/>
      <c r="D365" s="10"/>
      <c r="E365" s="14" t="str">
        <f aca="false">IF($D365="","",IFERROR(INDEX(품목목록!$B$3:$B$202,MATCH($D365,품목목록!$A$3:$A$202,0)),"미등록품번"))</f>
        <v/>
      </c>
      <c r="F365" s="14" t="str">
        <f aca="false">IF($D365="","",IFERROR(INDEX(품목목록!$D$3:$D$202,MATCH($D365,품목목록!$A$3:$A$202,0)),""))</f>
        <v/>
      </c>
      <c r="G365" s="11"/>
      <c r="H365" s="15"/>
      <c r="I365" s="16" t="str">
        <f aca="false">IF($A365="","",SUMIFS(반납내역!$D$3:$D$1502,반납내역!$B$3:$B$1502,$A365))</f>
        <v/>
      </c>
      <c r="J365" s="16" t="str">
        <f aca="false">IF($A365="","",IF($G365="","",$G365-$I365))</f>
        <v/>
      </c>
      <c r="K365" s="17" t="str">
        <f aca="true">IF(OR($A365="",$J365="",$J365&lt;=0,$H365=""),"",TODAY()-$H365)</f>
        <v/>
      </c>
      <c r="L365" s="14" t="str">
        <f aca="false">IF($A365="","",IF($G365="","",IF($J365&lt;=0,"반납완료",IF($I365&gt;0,"부분반납","미반납"))))</f>
        <v/>
      </c>
    </row>
    <row r="366" customFormat="false" ht="15" hidden="false" customHeight="false" outlineLevel="0" collapsed="false">
      <c r="A366" s="14" t="str">
        <f aca="false">IF($B366="","",TEXT($B366,"yymmdd")&amp;"-"&amp;TEXT(COUNTIFS($B$3:$B366,$B366),"00"))</f>
        <v/>
      </c>
      <c r="B366" s="15"/>
      <c r="C366" s="9"/>
      <c r="D366" s="10"/>
      <c r="E366" s="14" t="str">
        <f aca="false">IF($D366="","",IFERROR(INDEX(품목목록!$B$3:$B$202,MATCH($D366,품목목록!$A$3:$A$202,0)),"미등록품번"))</f>
        <v/>
      </c>
      <c r="F366" s="14" t="str">
        <f aca="false">IF($D366="","",IFERROR(INDEX(품목목록!$D$3:$D$202,MATCH($D366,품목목록!$A$3:$A$202,0)),""))</f>
        <v/>
      </c>
      <c r="G366" s="11"/>
      <c r="H366" s="15"/>
      <c r="I366" s="16" t="str">
        <f aca="false">IF($A366="","",SUMIFS(반납내역!$D$3:$D$1502,반납내역!$B$3:$B$1502,$A366))</f>
        <v/>
      </c>
      <c r="J366" s="16" t="str">
        <f aca="false">IF($A366="","",IF($G366="","",$G366-$I366))</f>
        <v/>
      </c>
      <c r="K366" s="17" t="str">
        <f aca="true">IF(OR($A366="",$J366="",$J366&lt;=0,$H366=""),"",TODAY()-$H366)</f>
        <v/>
      </c>
      <c r="L366" s="14" t="str">
        <f aca="false">IF($A366="","",IF($G366="","",IF($J366&lt;=0,"반납완료",IF($I366&gt;0,"부분반납","미반납"))))</f>
        <v/>
      </c>
    </row>
    <row r="367" customFormat="false" ht="15" hidden="false" customHeight="false" outlineLevel="0" collapsed="false">
      <c r="A367" s="14" t="str">
        <f aca="false">IF($B367="","",TEXT($B367,"yymmdd")&amp;"-"&amp;TEXT(COUNTIFS($B$3:$B367,$B367),"00"))</f>
        <v/>
      </c>
      <c r="B367" s="15"/>
      <c r="C367" s="9"/>
      <c r="D367" s="10"/>
      <c r="E367" s="14" t="str">
        <f aca="false">IF($D367="","",IFERROR(INDEX(품목목록!$B$3:$B$202,MATCH($D367,품목목록!$A$3:$A$202,0)),"미등록품번"))</f>
        <v/>
      </c>
      <c r="F367" s="14" t="str">
        <f aca="false">IF($D367="","",IFERROR(INDEX(품목목록!$D$3:$D$202,MATCH($D367,품목목록!$A$3:$A$202,0)),""))</f>
        <v/>
      </c>
      <c r="G367" s="11"/>
      <c r="H367" s="15"/>
      <c r="I367" s="16" t="str">
        <f aca="false">IF($A367="","",SUMIFS(반납내역!$D$3:$D$1502,반납내역!$B$3:$B$1502,$A367))</f>
        <v/>
      </c>
      <c r="J367" s="16" t="str">
        <f aca="false">IF($A367="","",IF($G367="","",$G367-$I367))</f>
        <v/>
      </c>
      <c r="K367" s="17" t="str">
        <f aca="true">IF(OR($A367="",$J367="",$J367&lt;=0,$H367=""),"",TODAY()-$H367)</f>
        <v/>
      </c>
      <c r="L367" s="14" t="str">
        <f aca="false">IF($A367="","",IF($G367="","",IF($J367&lt;=0,"반납완료",IF($I367&gt;0,"부분반납","미반납"))))</f>
        <v/>
      </c>
    </row>
    <row r="368" customFormat="false" ht="15" hidden="false" customHeight="false" outlineLevel="0" collapsed="false">
      <c r="A368" s="14" t="str">
        <f aca="false">IF($B368="","",TEXT($B368,"yymmdd")&amp;"-"&amp;TEXT(COUNTIFS($B$3:$B368,$B368),"00"))</f>
        <v/>
      </c>
      <c r="B368" s="15"/>
      <c r="C368" s="9"/>
      <c r="D368" s="10"/>
      <c r="E368" s="14" t="str">
        <f aca="false">IF($D368="","",IFERROR(INDEX(품목목록!$B$3:$B$202,MATCH($D368,품목목록!$A$3:$A$202,0)),"미등록품번"))</f>
        <v/>
      </c>
      <c r="F368" s="14" t="str">
        <f aca="false">IF($D368="","",IFERROR(INDEX(품목목록!$D$3:$D$202,MATCH($D368,품목목록!$A$3:$A$202,0)),""))</f>
        <v/>
      </c>
      <c r="G368" s="11"/>
      <c r="H368" s="15"/>
      <c r="I368" s="16" t="str">
        <f aca="false">IF($A368="","",SUMIFS(반납내역!$D$3:$D$1502,반납내역!$B$3:$B$1502,$A368))</f>
        <v/>
      </c>
      <c r="J368" s="16" t="str">
        <f aca="false">IF($A368="","",IF($G368="","",$G368-$I368))</f>
        <v/>
      </c>
      <c r="K368" s="17" t="str">
        <f aca="true">IF(OR($A368="",$J368="",$J368&lt;=0,$H368=""),"",TODAY()-$H368)</f>
        <v/>
      </c>
      <c r="L368" s="14" t="str">
        <f aca="false">IF($A368="","",IF($G368="","",IF($J368&lt;=0,"반납완료",IF($I368&gt;0,"부분반납","미반납"))))</f>
        <v/>
      </c>
    </row>
    <row r="369" customFormat="false" ht="15" hidden="false" customHeight="false" outlineLevel="0" collapsed="false">
      <c r="A369" s="14" t="str">
        <f aca="false">IF($B369="","",TEXT($B369,"yymmdd")&amp;"-"&amp;TEXT(COUNTIFS($B$3:$B369,$B369),"00"))</f>
        <v/>
      </c>
      <c r="B369" s="15"/>
      <c r="C369" s="9"/>
      <c r="D369" s="10"/>
      <c r="E369" s="14" t="str">
        <f aca="false">IF($D369="","",IFERROR(INDEX(품목목록!$B$3:$B$202,MATCH($D369,품목목록!$A$3:$A$202,0)),"미등록품번"))</f>
        <v/>
      </c>
      <c r="F369" s="14" t="str">
        <f aca="false">IF($D369="","",IFERROR(INDEX(품목목록!$D$3:$D$202,MATCH($D369,품목목록!$A$3:$A$202,0)),""))</f>
        <v/>
      </c>
      <c r="G369" s="11"/>
      <c r="H369" s="15"/>
      <c r="I369" s="16" t="str">
        <f aca="false">IF($A369="","",SUMIFS(반납내역!$D$3:$D$1502,반납내역!$B$3:$B$1502,$A369))</f>
        <v/>
      </c>
      <c r="J369" s="16" t="str">
        <f aca="false">IF($A369="","",IF($G369="","",$G369-$I369))</f>
        <v/>
      </c>
      <c r="K369" s="17" t="str">
        <f aca="true">IF(OR($A369="",$J369="",$J369&lt;=0,$H369=""),"",TODAY()-$H369)</f>
        <v/>
      </c>
      <c r="L369" s="14" t="str">
        <f aca="false">IF($A369="","",IF($G369="","",IF($J369&lt;=0,"반납완료",IF($I369&gt;0,"부분반납","미반납"))))</f>
        <v/>
      </c>
    </row>
    <row r="370" customFormat="false" ht="15" hidden="false" customHeight="false" outlineLevel="0" collapsed="false">
      <c r="A370" s="14" t="str">
        <f aca="false">IF($B370="","",TEXT($B370,"yymmdd")&amp;"-"&amp;TEXT(COUNTIFS($B$3:$B370,$B370),"00"))</f>
        <v/>
      </c>
      <c r="B370" s="15"/>
      <c r="C370" s="9"/>
      <c r="D370" s="10"/>
      <c r="E370" s="14" t="str">
        <f aca="false">IF($D370="","",IFERROR(INDEX(품목목록!$B$3:$B$202,MATCH($D370,품목목록!$A$3:$A$202,0)),"미등록품번"))</f>
        <v/>
      </c>
      <c r="F370" s="14" t="str">
        <f aca="false">IF($D370="","",IFERROR(INDEX(품목목록!$D$3:$D$202,MATCH($D370,품목목록!$A$3:$A$202,0)),""))</f>
        <v/>
      </c>
      <c r="G370" s="11"/>
      <c r="H370" s="15"/>
      <c r="I370" s="16" t="str">
        <f aca="false">IF($A370="","",SUMIFS(반납내역!$D$3:$D$1502,반납내역!$B$3:$B$1502,$A370))</f>
        <v/>
      </c>
      <c r="J370" s="16" t="str">
        <f aca="false">IF($A370="","",IF($G370="","",$G370-$I370))</f>
        <v/>
      </c>
      <c r="K370" s="17" t="str">
        <f aca="true">IF(OR($A370="",$J370="",$J370&lt;=0,$H370=""),"",TODAY()-$H370)</f>
        <v/>
      </c>
      <c r="L370" s="14" t="str">
        <f aca="false">IF($A370="","",IF($G370="","",IF($J370&lt;=0,"반납완료",IF($I370&gt;0,"부분반납","미반납"))))</f>
        <v/>
      </c>
    </row>
    <row r="371" customFormat="false" ht="15" hidden="false" customHeight="false" outlineLevel="0" collapsed="false">
      <c r="A371" s="14" t="str">
        <f aca="false">IF($B371="","",TEXT($B371,"yymmdd")&amp;"-"&amp;TEXT(COUNTIFS($B$3:$B371,$B371),"00"))</f>
        <v/>
      </c>
      <c r="B371" s="15"/>
      <c r="C371" s="9"/>
      <c r="D371" s="10"/>
      <c r="E371" s="14" t="str">
        <f aca="false">IF($D371="","",IFERROR(INDEX(품목목록!$B$3:$B$202,MATCH($D371,품목목록!$A$3:$A$202,0)),"미등록품번"))</f>
        <v/>
      </c>
      <c r="F371" s="14" t="str">
        <f aca="false">IF($D371="","",IFERROR(INDEX(품목목록!$D$3:$D$202,MATCH($D371,품목목록!$A$3:$A$202,0)),""))</f>
        <v/>
      </c>
      <c r="G371" s="11"/>
      <c r="H371" s="15"/>
      <c r="I371" s="16" t="str">
        <f aca="false">IF($A371="","",SUMIFS(반납내역!$D$3:$D$1502,반납내역!$B$3:$B$1502,$A371))</f>
        <v/>
      </c>
      <c r="J371" s="16" t="str">
        <f aca="false">IF($A371="","",IF($G371="","",$G371-$I371))</f>
        <v/>
      </c>
      <c r="K371" s="17" t="str">
        <f aca="true">IF(OR($A371="",$J371="",$J371&lt;=0,$H371=""),"",TODAY()-$H371)</f>
        <v/>
      </c>
      <c r="L371" s="14" t="str">
        <f aca="false">IF($A371="","",IF($G371="","",IF($J371&lt;=0,"반납완료",IF($I371&gt;0,"부분반납","미반납"))))</f>
        <v/>
      </c>
    </row>
    <row r="372" customFormat="false" ht="15" hidden="false" customHeight="false" outlineLevel="0" collapsed="false">
      <c r="A372" s="14" t="str">
        <f aca="false">IF($B372="","",TEXT($B372,"yymmdd")&amp;"-"&amp;TEXT(COUNTIFS($B$3:$B372,$B372),"00"))</f>
        <v/>
      </c>
      <c r="B372" s="15"/>
      <c r="C372" s="9"/>
      <c r="D372" s="10"/>
      <c r="E372" s="14" t="str">
        <f aca="false">IF($D372="","",IFERROR(INDEX(품목목록!$B$3:$B$202,MATCH($D372,품목목록!$A$3:$A$202,0)),"미등록품번"))</f>
        <v/>
      </c>
      <c r="F372" s="14" t="str">
        <f aca="false">IF($D372="","",IFERROR(INDEX(품목목록!$D$3:$D$202,MATCH($D372,품목목록!$A$3:$A$202,0)),""))</f>
        <v/>
      </c>
      <c r="G372" s="11"/>
      <c r="H372" s="15"/>
      <c r="I372" s="16" t="str">
        <f aca="false">IF($A372="","",SUMIFS(반납내역!$D$3:$D$1502,반납내역!$B$3:$B$1502,$A372))</f>
        <v/>
      </c>
      <c r="J372" s="16" t="str">
        <f aca="false">IF($A372="","",IF($G372="","",$G372-$I372))</f>
        <v/>
      </c>
      <c r="K372" s="17" t="str">
        <f aca="true">IF(OR($A372="",$J372="",$J372&lt;=0,$H372=""),"",TODAY()-$H372)</f>
        <v/>
      </c>
      <c r="L372" s="14" t="str">
        <f aca="false">IF($A372="","",IF($G372="","",IF($J372&lt;=0,"반납완료",IF($I372&gt;0,"부분반납","미반납"))))</f>
        <v/>
      </c>
    </row>
    <row r="373" customFormat="false" ht="15" hidden="false" customHeight="false" outlineLevel="0" collapsed="false">
      <c r="A373" s="14" t="str">
        <f aca="false">IF($B373="","",TEXT($B373,"yymmdd")&amp;"-"&amp;TEXT(COUNTIFS($B$3:$B373,$B373),"00"))</f>
        <v/>
      </c>
      <c r="B373" s="15"/>
      <c r="C373" s="9"/>
      <c r="D373" s="10"/>
      <c r="E373" s="14" t="str">
        <f aca="false">IF($D373="","",IFERROR(INDEX(품목목록!$B$3:$B$202,MATCH($D373,품목목록!$A$3:$A$202,0)),"미등록품번"))</f>
        <v/>
      </c>
      <c r="F373" s="14" t="str">
        <f aca="false">IF($D373="","",IFERROR(INDEX(품목목록!$D$3:$D$202,MATCH($D373,품목목록!$A$3:$A$202,0)),""))</f>
        <v/>
      </c>
      <c r="G373" s="11"/>
      <c r="H373" s="15"/>
      <c r="I373" s="16" t="str">
        <f aca="false">IF($A373="","",SUMIFS(반납내역!$D$3:$D$1502,반납내역!$B$3:$B$1502,$A373))</f>
        <v/>
      </c>
      <c r="J373" s="16" t="str">
        <f aca="false">IF($A373="","",IF($G373="","",$G373-$I373))</f>
        <v/>
      </c>
      <c r="K373" s="17" t="str">
        <f aca="true">IF(OR($A373="",$J373="",$J373&lt;=0,$H373=""),"",TODAY()-$H373)</f>
        <v/>
      </c>
      <c r="L373" s="14" t="str">
        <f aca="false">IF($A373="","",IF($G373="","",IF($J373&lt;=0,"반납완료",IF($I373&gt;0,"부분반납","미반납"))))</f>
        <v/>
      </c>
    </row>
    <row r="374" customFormat="false" ht="15" hidden="false" customHeight="false" outlineLevel="0" collapsed="false">
      <c r="A374" s="14" t="str">
        <f aca="false">IF($B374="","",TEXT($B374,"yymmdd")&amp;"-"&amp;TEXT(COUNTIFS($B$3:$B374,$B374),"00"))</f>
        <v/>
      </c>
      <c r="B374" s="15"/>
      <c r="C374" s="9"/>
      <c r="D374" s="10"/>
      <c r="E374" s="14" t="str">
        <f aca="false">IF($D374="","",IFERROR(INDEX(품목목록!$B$3:$B$202,MATCH($D374,품목목록!$A$3:$A$202,0)),"미등록품번"))</f>
        <v/>
      </c>
      <c r="F374" s="14" t="str">
        <f aca="false">IF($D374="","",IFERROR(INDEX(품목목록!$D$3:$D$202,MATCH($D374,품목목록!$A$3:$A$202,0)),""))</f>
        <v/>
      </c>
      <c r="G374" s="11"/>
      <c r="H374" s="15"/>
      <c r="I374" s="16" t="str">
        <f aca="false">IF($A374="","",SUMIFS(반납내역!$D$3:$D$1502,반납내역!$B$3:$B$1502,$A374))</f>
        <v/>
      </c>
      <c r="J374" s="16" t="str">
        <f aca="false">IF($A374="","",IF($G374="","",$G374-$I374))</f>
        <v/>
      </c>
      <c r="K374" s="17" t="str">
        <f aca="true">IF(OR($A374="",$J374="",$J374&lt;=0,$H374=""),"",TODAY()-$H374)</f>
        <v/>
      </c>
      <c r="L374" s="14" t="str">
        <f aca="false">IF($A374="","",IF($G374="","",IF($J374&lt;=0,"반납완료",IF($I374&gt;0,"부분반납","미반납"))))</f>
        <v/>
      </c>
    </row>
    <row r="375" customFormat="false" ht="15" hidden="false" customHeight="false" outlineLevel="0" collapsed="false">
      <c r="A375" s="14" t="str">
        <f aca="false">IF($B375="","",TEXT($B375,"yymmdd")&amp;"-"&amp;TEXT(COUNTIFS($B$3:$B375,$B375),"00"))</f>
        <v/>
      </c>
      <c r="B375" s="15"/>
      <c r="C375" s="9"/>
      <c r="D375" s="10"/>
      <c r="E375" s="14" t="str">
        <f aca="false">IF($D375="","",IFERROR(INDEX(품목목록!$B$3:$B$202,MATCH($D375,품목목록!$A$3:$A$202,0)),"미등록품번"))</f>
        <v/>
      </c>
      <c r="F375" s="14" t="str">
        <f aca="false">IF($D375="","",IFERROR(INDEX(품목목록!$D$3:$D$202,MATCH($D375,품목목록!$A$3:$A$202,0)),""))</f>
        <v/>
      </c>
      <c r="G375" s="11"/>
      <c r="H375" s="15"/>
      <c r="I375" s="16" t="str">
        <f aca="false">IF($A375="","",SUMIFS(반납내역!$D$3:$D$1502,반납내역!$B$3:$B$1502,$A375))</f>
        <v/>
      </c>
      <c r="J375" s="16" t="str">
        <f aca="false">IF($A375="","",IF($G375="","",$G375-$I375))</f>
        <v/>
      </c>
      <c r="K375" s="17" t="str">
        <f aca="true">IF(OR($A375="",$J375="",$J375&lt;=0,$H375=""),"",TODAY()-$H375)</f>
        <v/>
      </c>
      <c r="L375" s="14" t="str">
        <f aca="false">IF($A375="","",IF($G375="","",IF($J375&lt;=0,"반납완료",IF($I375&gt;0,"부분반납","미반납"))))</f>
        <v/>
      </c>
    </row>
    <row r="376" customFormat="false" ht="15" hidden="false" customHeight="false" outlineLevel="0" collapsed="false">
      <c r="A376" s="14" t="str">
        <f aca="false">IF($B376="","",TEXT($B376,"yymmdd")&amp;"-"&amp;TEXT(COUNTIFS($B$3:$B376,$B376),"00"))</f>
        <v/>
      </c>
      <c r="B376" s="15"/>
      <c r="C376" s="9"/>
      <c r="D376" s="10"/>
      <c r="E376" s="14" t="str">
        <f aca="false">IF($D376="","",IFERROR(INDEX(품목목록!$B$3:$B$202,MATCH($D376,품목목록!$A$3:$A$202,0)),"미등록품번"))</f>
        <v/>
      </c>
      <c r="F376" s="14" t="str">
        <f aca="false">IF($D376="","",IFERROR(INDEX(품목목록!$D$3:$D$202,MATCH($D376,품목목록!$A$3:$A$202,0)),""))</f>
        <v/>
      </c>
      <c r="G376" s="11"/>
      <c r="H376" s="15"/>
      <c r="I376" s="16" t="str">
        <f aca="false">IF($A376="","",SUMIFS(반납내역!$D$3:$D$1502,반납내역!$B$3:$B$1502,$A376))</f>
        <v/>
      </c>
      <c r="J376" s="16" t="str">
        <f aca="false">IF($A376="","",IF($G376="","",$G376-$I376))</f>
        <v/>
      </c>
      <c r="K376" s="17" t="str">
        <f aca="true">IF(OR($A376="",$J376="",$J376&lt;=0,$H376=""),"",TODAY()-$H376)</f>
        <v/>
      </c>
      <c r="L376" s="14" t="str">
        <f aca="false">IF($A376="","",IF($G376="","",IF($J376&lt;=0,"반납완료",IF($I376&gt;0,"부분반납","미반납"))))</f>
        <v/>
      </c>
    </row>
    <row r="377" customFormat="false" ht="15" hidden="false" customHeight="false" outlineLevel="0" collapsed="false">
      <c r="A377" s="14" t="str">
        <f aca="false">IF($B377="","",TEXT($B377,"yymmdd")&amp;"-"&amp;TEXT(COUNTIFS($B$3:$B377,$B377),"00"))</f>
        <v/>
      </c>
      <c r="B377" s="15"/>
      <c r="C377" s="9"/>
      <c r="D377" s="10"/>
      <c r="E377" s="14" t="str">
        <f aca="false">IF($D377="","",IFERROR(INDEX(품목목록!$B$3:$B$202,MATCH($D377,품목목록!$A$3:$A$202,0)),"미등록품번"))</f>
        <v/>
      </c>
      <c r="F377" s="14" t="str">
        <f aca="false">IF($D377="","",IFERROR(INDEX(품목목록!$D$3:$D$202,MATCH($D377,품목목록!$A$3:$A$202,0)),""))</f>
        <v/>
      </c>
      <c r="G377" s="11"/>
      <c r="H377" s="15"/>
      <c r="I377" s="16" t="str">
        <f aca="false">IF($A377="","",SUMIFS(반납내역!$D$3:$D$1502,반납내역!$B$3:$B$1502,$A377))</f>
        <v/>
      </c>
      <c r="J377" s="16" t="str">
        <f aca="false">IF($A377="","",IF($G377="","",$G377-$I377))</f>
        <v/>
      </c>
      <c r="K377" s="17" t="str">
        <f aca="true">IF(OR($A377="",$J377="",$J377&lt;=0,$H377=""),"",TODAY()-$H377)</f>
        <v/>
      </c>
      <c r="L377" s="14" t="str">
        <f aca="false">IF($A377="","",IF($G377="","",IF($J377&lt;=0,"반납완료",IF($I377&gt;0,"부분반납","미반납"))))</f>
        <v/>
      </c>
    </row>
    <row r="378" customFormat="false" ht="15" hidden="false" customHeight="false" outlineLevel="0" collapsed="false">
      <c r="A378" s="14" t="str">
        <f aca="false">IF($B378="","",TEXT($B378,"yymmdd")&amp;"-"&amp;TEXT(COUNTIFS($B$3:$B378,$B378),"00"))</f>
        <v/>
      </c>
      <c r="B378" s="15"/>
      <c r="C378" s="9"/>
      <c r="D378" s="10"/>
      <c r="E378" s="14" t="str">
        <f aca="false">IF($D378="","",IFERROR(INDEX(품목목록!$B$3:$B$202,MATCH($D378,품목목록!$A$3:$A$202,0)),"미등록품번"))</f>
        <v/>
      </c>
      <c r="F378" s="14" t="str">
        <f aca="false">IF($D378="","",IFERROR(INDEX(품목목록!$D$3:$D$202,MATCH($D378,품목목록!$A$3:$A$202,0)),""))</f>
        <v/>
      </c>
      <c r="G378" s="11"/>
      <c r="H378" s="15"/>
      <c r="I378" s="16" t="str">
        <f aca="false">IF($A378="","",SUMIFS(반납내역!$D$3:$D$1502,반납내역!$B$3:$B$1502,$A378))</f>
        <v/>
      </c>
      <c r="J378" s="16" t="str">
        <f aca="false">IF($A378="","",IF($G378="","",$G378-$I378))</f>
        <v/>
      </c>
      <c r="K378" s="17" t="str">
        <f aca="true">IF(OR($A378="",$J378="",$J378&lt;=0,$H378=""),"",TODAY()-$H378)</f>
        <v/>
      </c>
      <c r="L378" s="14" t="str">
        <f aca="false">IF($A378="","",IF($G378="","",IF($J378&lt;=0,"반납완료",IF($I378&gt;0,"부분반납","미반납"))))</f>
        <v/>
      </c>
    </row>
    <row r="379" customFormat="false" ht="15" hidden="false" customHeight="false" outlineLevel="0" collapsed="false">
      <c r="A379" s="14" t="str">
        <f aca="false">IF($B379="","",TEXT($B379,"yymmdd")&amp;"-"&amp;TEXT(COUNTIFS($B$3:$B379,$B379),"00"))</f>
        <v/>
      </c>
      <c r="B379" s="15"/>
      <c r="C379" s="9"/>
      <c r="D379" s="10"/>
      <c r="E379" s="14" t="str">
        <f aca="false">IF($D379="","",IFERROR(INDEX(품목목록!$B$3:$B$202,MATCH($D379,품목목록!$A$3:$A$202,0)),"미등록품번"))</f>
        <v/>
      </c>
      <c r="F379" s="14" t="str">
        <f aca="false">IF($D379="","",IFERROR(INDEX(품목목록!$D$3:$D$202,MATCH($D379,품목목록!$A$3:$A$202,0)),""))</f>
        <v/>
      </c>
      <c r="G379" s="11"/>
      <c r="H379" s="15"/>
      <c r="I379" s="16" t="str">
        <f aca="false">IF($A379="","",SUMIFS(반납내역!$D$3:$D$1502,반납내역!$B$3:$B$1502,$A379))</f>
        <v/>
      </c>
      <c r="J379" s="16" t="str">
        <f aca="false">IF($A379="","",IF($G379="","",$G379-$I379))</f>
        <v/>
      </c>
      <c r="K379" s="17" t="str">
        <f aca="true">IF(OR($A379="",$J379="",$J379&lt;=0,$H379=""),"",TODAY()-$H379)</f>
        <v/>
      </c>
      <c r="L379" s="14" t="str">
        <f aca="false">IF($A379="","",IF($G379="","",IF($J379&lt;=0,"반납완료",IF($I379&gt;0,"부분반납","미반납"))))</f>
        <v/>
      </c>
    </row>
    <row r="380" customFormat="false" ht="15" hidden="false" customHeight="false" outlineLevel="0" collapsed="false">
      <c r="A380" s="14" t="str">
        <f aca="false">IF($B380="","",TEXT($B380,"yymmdd")&amp;"-"&amp;TEXT(COUNTIFS($B$3:$B380,$B380),"00"))</f>
        <v/>
      </c>
      <c r="B380" s="15"/>
      <c r="C380" s="9"/>
      <c r="D380" s="10"/>
      <c r="E380" s="14" t="str">
        <f aca="false">IF($D380="","",IFERROR(INDEX(품목목록!$B$3:$B$202,MATCH($D380,품목목록!$A$3:$A$202,0)),"미등록품번"))</f>
        <v/>
      </c>
      <c r="F380" s="14" t="str">
        <f aca="false">IF($D380="","",IFERROR(INDEX(품목목록!$D$3:$D$202,MATCH($D380,품목목록!$A$3:$A$202,0)),""))</f>
        <v/>
      </c>
      <c r="G380" s="11"/>
      <c r="H380" s="15"/>
      <c r="I380" s="16" t="str">
        <f aca="false">IF($A380="","",SUMIFS(반납내역!$D$3:$D$1502,반납내역!$B$3:$B$1502,$A380))</f>
        <v/>
      </c>
      <c r="J380" s="16" t="str">
        <f aca="false">IF($A380="","",IF($G380="","",$G380-$I380))</f>
        <v/>
      </c>
      <c r="K380" s="17" t="str">
        <f aca="true">IF(OR($A380="",$J380="",$J380&lt;=0,$H380=""),"",TODAY()-$H380)</f>
        <v/>
      </c>
      <c r="L380" s="14" t="str">
        <f aca="false">IF($A380="","",IF($G380="","",IF($J380&lt;=0,"반납완료",IF($I380&gt;0,"부분반납","미반납"))))</f>
        <v/>
      </c>
    </row>
    <row r="381" customFormat="false" ht="15" hidden="false" customHeight="false" outlineLevel="0" collapsed="false">
      <c r="A381" s="14" t="str">
        <f aca="false">IF($B381="","",TEXT($B381,"yymmdd")&amp;"-"&amp;TEXT(COUNTIFS($B$3:$B381,$B381),"00"))</f>
        <v/>
      </c>
      <c r="B381" s="15"/>
      <c r="C381" s="9"/>
      <c r="D381" s="10"/>
      <c r="E381" s="14" t="str">
        <f aca="false">IF($D381="","",IFERROR(INDEX(품목목록!$B$3:$B$202,MATCH($D381,품목목록!$A$3:$A$202,0)),"미등록품번"))</f>
        <v/>
      </c>
      <c r="F381" s="14" t="str">
        <f aca="false">IF($D381="","",IFERROR(INDEX(품목목록!$D$3:$D$202,MATCH($D381,품목목록!$A$3:$A$202,0)),""))</f>
        <v/>
      </c>
      <c r="G381" s="11"/>
      <c r="H381" s="15"/>
      <c r="I381" s="16" t="str">
        <f aca="false">IF($A381="","",SUMIFS(반납내역!$D$3:$D$1502,반납내역!$B$3:$B$1502,$A381))</f>
        <v/>
      </c>
      <c r="J381" s="16" t="str">
        <f aca="false">IF($A381="","",IF($G381="","",$G381-$I381))</f>
        <v/>
      </c>
      <c r="K381" s="17" t="str">
        <f aca="true">IF(OR($A381="",$J381="",$J381&lt;=0,$H381=""),"",TODAY()-$H381)</f>
        <v/>
      </c>
      <c r="L381" s="14" t="str">
        <f aca="false">IF($A381="","",IF($G381="","",IF($J381&lt;=0,"반납완료",IF($I381&gt;0,"부분반납","미반납"))))</f>
        <v/>
      </c>
    </row>
    <row r="382" customFormat="false" ht="15" hidden="false" customHeight="false" outlineLevel="0" collapsed="false">
      <c r="A382" s="14" t="str">
        <f aca="false">IF($B382="","",TEXT($B382,"yymmdd")&amp;"-"&amp;TEXT(COUNTIFS($B$3:$B382,$B382),"00"))</f>
        <v/>
      </c>
      <c r="B382" s="15"/>
      <c r="C382" s="9"/>
      <c r="D382" s="10"/>
      <c r="E382" s="14" t="str">
        <f aca="false">IF($D382="","",IFERROR(INDEX(품목목록!$B$3:$B$202,MATCH($D382,품목목록!$A$3:$A$202,0)),"미등록품번"))</f>
        <v/>
      </c>
      <c r="F382" s="14" t="str">
        <f aca="false">IF($D382="","",IFERROR(INDEX(품목목록!$D$3:$D$202,MATCH($D382,품목목록!$A$3:$A$202,0)),""))</f>
        <v/>
      </c>
      <c r="G382" s="11"/>
      <c r="H382" s="15"/>
      <c r="I382" s="16" t="str">
        <f aca="false">IF($A382="","",SUMIFS(반납내역!$D$3:$D$1502,반납내역!$B$3:$B$1502,$A382))</f>
        <v/>
      </c>
      <c r="J382" s="16" t="str">
        <f aca="false">IF($A382="","",IF($G382="","",$G382-$I382))</f>
        <v/>
      </c>
      <c r="K382" s="17" t="str">
        <f aca="true">IF(OR($A382="",$J382="",$J382&lt;=0,$H382=""),"",TODAY()-$H382)</f>
        <v/>
      </c>
      <c r="L382" s="14" t="str">
        <f aca="false">IF($A382="","",IF($G382="","",IF($J382&lt;=0,"반납완료",IF($I382&gt;0,"부분반납","미반납"))))</f>
        <v/>
      </c>
    </row>
    <row r="383" customFormat="false" ht="15" hidden="false" customHeight="false" outlineLevel="0" collapsed="false">
      <c r="A383" s="14" t="str">
        <f aca="false">IF($B383="","",TEXT($B383,"yymmdd")&amp;"-"&amp;TEXT(COUNTIFS($B$3:$B383,$B383),"00"))</f>
        <v/>
      </c>
      <c r="B383" s="15"/>
      <c r="C383" s="9"/>
      <c r="D383" s="10"/>
      <c r="E383" s="14" t="str">
        <f aca="false">IF($D383="","",IFERROR(INDEX(품목목록!$B$3:$B$202,MATCH($D383,품목목록!$A$3:$A$202,0)),"미등록품번"))</f>
        <v/>
      </c>
      <c r="F383" s="14" t="str">
        <f aca="false">IF($D383="","",IFERROR(INDEX(품목목록!$D$3:$D$202,MATCH($D383,품목목록!$A$3:$A$202,0)),""))</f>
        <v/>
      </c>
      <c r="G383" s="11"/>
      <c r="H383" s="15"/>
      <c r="I383" s="16" t="str">
        <f aca="false">IF($A383="","",SUMIFS(반납내역!$D$3:$D$1502,반납내역!$B$3:$B$1502,$A383))</f>
        <v/>
      </c>
      <c r="J383" s="16" t="str">
        <f aca="false">IF($A383="","",IF($G383="","",$G383-$I383))</f>
        <v/>
      </c>
      <c r="K383" s="17" t="str">
        <f aca="true">IF(OR($A383="",$J383="",$J383&lt;=0,$H383=""),"",TODAY()-$H383)</f>
        <v/>
      </c>
      <c r="L383" s="14" t="str">
        <f aca="false">IF($A383="","",IF($G383="","",IF($J383&lt;=0,"반납완료",IF($I383&gt;0,"부분반납","미반납"))))</f>
        <v/>
      </c>
    </row>
    <row r="384" customFormat="false" ht="15" hidden="false" customHeight="false" outlineLevel="0" collapsed="false">
      <c r="A384" s="14" t="str">
        <f aca="false">IF($B384="","",TEXT($B384,"yymmdd")&amp;"-"&amp;TEXT(COUNTIFS($B$3:$B384,$B384),"00"))</f>
        <v/>
      </c>
      <c r="B384" s="15"/>
      <c r="C384" s="9"/>
      <c r="D384" s="10"/>
      <c r="E384" s="14" t="str">
        <f aca="false">IF($D384="","",IFERROR(INDEX(품목목록!$B$3:$B$202,MATCH($D384,품목목록!$A$3:$A$202,0)),"미등록품번"))</f>
        <v/>
      </c>
      <c r="F384" s="14" t="str">
        <f aca="false">IF($D384="","",IFERROR(INDEX(품목목록!$D$3:$D$202,MATCH($D384,품목목록!$A$3:$A$202,0)),""))</f>
        <v/>
      </c>
      <c r="G384" s="11"/>
      <c r="H384" s="15"/>
      <c r="I384" s="16" t="str">
        <f aca="false">IF($A384="","",SUMIFS(반납내역!$D$3:$D$1502,반납내역!$B$3:$B$1502,$A384))</f>
        <v/>
      </c>
      <c r="J384" s="16" t="str">
        <f aca="false">IF($A384="","",IF($G384="","",$G384-$I384))</f>
        <v/>
      </c>
      <c r="K384" s="17" t="str">
        <f aca="true">IF(OR($A384="",$J384="",$J384&lt;=0,$H384=""),"",TODAY()-$H384)</f>
        <v/>
      </c>
      <c r="L384" s="14" t="str">
        <f aca="false">IF($A384="","",IF($G384="","",IF($J384&lt;=0,"반납완료",IF($I384&gt;0,"부분반납","미반납"))))</f>
        <v/>
      </c>
    </row>
    <row r="385" customFormat="false" ht="15" hidden="false" customHeight="false" outlineLevel="0" collapsed="false">
      <c r="A385" s="14" t="str">
        <f aca="false">IF($B385="","",TEXT($B385,"yymmdd")&amp;"-"&amp;TEXT(COUNTIFS($B$3:$B385,$B385),"00"))</f>
        <v/>
      </c>
      <c r="B385" s="15"/>
      <c r="C385" s="9"/>
      <c r="D385" s="10"/>
      <c r="E385" s="14" t="str">
        <f aca="false">IF($D385="","",IFERROR(INDEX(품목목록!$B$3:$B$202,MATCH($D385,품목목록!$A$3:$A$202,0)),"미등록품번"))</f>
        <v/>
      </c>
      <c r="F385" s="14" t="str">
        <f aca="false">IF($D385="","",IFERROR(INDEX(품목목록!$D$3:$D$202,MATCH($D385,품목목록!$A$3:$A$202,0)),""))</f>
        <v/>
      </c>
      <c r="G385" s="11"/>
      <c r="H385" s="15"/>
      <c r="I385" s="16" t="str">
        <f aca="false">IF($A385="","",SUMIFS(반납내역!$D$3:$D$1502,반납내역!$B$3:$B$1502,$A385))</f>
        <v/>
      </c>
      <c r="J385" s="16" t="str">
        <f aca="false">IF($A385="","",IF($G385="","",$G385-$I385))</f>
        <v/>
      </c>
      <c r="K385" s="17" t="str">
        <f aca="true">IF(OR($A385="",$J385="",$J385&lt;=0,$H385=""),"",TODAY()-$H385)</f>
        <v/>
      </c>
      <c r="L385" s="14" t="str">
        <f aca="false">IF($A385="","",IF($G385="","",IF($J385&lt;=0,"반납완료",IF($I385&gt;0,"부분반납","미반납"))))</f>
        <v/>
      </c>
    </row>
    <row r="386" customFormat="false" ht="15" hidden="false" customHeight="false" outlineLevel="0" collapsed="false">
      <c r="A386" s="14" t="str">
        <f aca="false">IF($B386="","",TEXT($B386,"yymmdd")&amp;"-"&amp;TEXT(COUNTIFS($B$3:$B386,$B386),"00"))</f>
        <v/>
      </c>
      <c r="B386" s="15"/>
      <c r="C386" s="9"/>
      <c r="D386" s="10"/>
      <c r="E386" s="14" t="str">
        <f aca="false">IF($D386="","",IFERROR(INDEX(품목목록!$B$3:$B$202,MATCH($D386,품목목록!$A$3:$A$202,0)),"미등록품번"))</f>
        <v/>
      </c>
      <c r="F386" s="14" t="str">
        <f aca="false">IF($D386="","",IFERROR(INDEX(품목목록!$D$3:$D$202,MATCH($D386,품목목록!$A$3:$A$202,0)),""))</f>
        <v/>
      </c>
      <c r="G386" s="11"/>
      <c r="H386" s="15"/>
      <c r="I386" s="16" t="str">
        <f aca="false">IF($A386="","",SUMIFS(반납내역!$D$3:$D$1502,반납내역!$B$3:$B$1502,$A386))</f>
        <v/>
      </c>
      <c r="J386" s="16" t="str">
        <f aca="false">IF($A386="","",IF($G386="","",$G386-$I386))</f>
        <v/>
      </c>
      <c r="K386" s="17" t="str">
        <f aca="true">IF(OR($A386="",$J386="",$J386&lt;=0,$H386=""),"",TODAY()-$H386)</f>
        <v/>
      </c>
      <c r="L386" s="14" t="str">
        <f aca="false">IF($A386="","",IF($G386="","",IF($J386&lt;=0,"반납완료",IF($I386&gt;0,"부분반납","미반납"))))</f>
        <v/>
      </c>
    </row>
    <row r="387" customFormat="false" ht="15" hidden="false" customHeight="false" outlineLevel="0" collapsed="false">
      <c r="A387" s="14" t="str">
        <f aca="false">IF($B387="","",TEXT($B387,"yymmdd")&amp;"-"&amp;TEXT(COUNTIFS($B$3:$B387,$B387),"00"))</f>
        <v/>
      </c>
      <c r="B387" s="15"/>
      <c r="C387" s="9"/>
      <c r="D387" s="10"/>
      <c r="E387" s="14" t="str">
        <f aca="false">IF($D387="","",IFERROR(INDEX(품목목록!$B$3:$B$202,MATCH($D387,품목목록!$A$3:$A$202,0)),"미등록품번"))</f>
        <v/>
      </c>
      <c r="F387" s="14" t="str">
        <f aca="false">IF($D387="","",IFERROR(INDEX(품목목록!$D$3:$D$202,MATCH($D387,품목목록!$A$3:$A$202,0)),""))</f>
        <v/>
      </c>
      <c r="G387" s="11"/>
      <c r="H387" s="15"/>
      <c r="I387" s="16" t="str">
        <f aca="false">IF($A387="","",SUMIFS(반납내역!$D$3:$D$1502,반납내역!$B$3:$B$1502,$A387))</f>
        <v/>
      </c>
      <c r="J387" s="16" t="str">
        <f aca="false">IF($A387="","",IF($G387="","",$G387-$I387))</f>
        <v/>
      </c>
      <c r="K387" s="17" t="str">
        <f aca="true">IF(OR($A387="",$J387="",$J387&lt;=0,$H387=""),"",TODAY()-$H387)</f>
        <v/>
      </c>
      <c r="L387" s="14" t="str">
        <f aca="false">IF($A387="","",IF($G387="","",IF($J387&lt;=0,"반납완료",IF($I387&gt;0,"부분반납","미반납"))))</f>
        <v/>
      </c>
    </row>
    <row r="388" customFormat="false" ht="15" hidden="false" customHeight="false" outlineLevel="0" collapsed="false">
      <c r="A388" s="14" t="str">
        <f aca="false">IF($B388="","",TEXT($B388,"yymmdd")&amp;"-"&amp;TEXT(COUNTIFS($B$3:$B388,$B388),"00"))</f>
        <v/>
      </c>
      <c r="B388" s="15"/>
      <c r="C388" s="9"/>
      <c r="D388" s="10"/>
      <c r="E388" s="14" t="str">
        <f aca="false">IF($D388="","",IFERROR(INDEX(품목목록!$B$3:$B$202,MATCH($D388,품목목록!$A$3:$A$202,0)),"미등록품번"))</f>
        <v/>
      </c>
      <c r="F388" s="14" t="str">
        <f aca="false">IF($D388="","",IFERROR(INDEX(품목목록!$D$3:$D$202,MATCH($D388,품목목록!$A$3:$A$202,0)),""))</f>
        <v/>
      </c>
      <c r="G388" s="11"/>
      <c r="H388" s="15"/>
      <c r="I388" s="16" t="str">
        <f aca="false">IF($A388="","",SUMIFS(반납내역!$D$3:$D$1502,반납내역!$B$3:$B$1502,$A388))</f>
        <v/>
      </c>
      <c r="J388" s="16" t="str">
        <f aca="false">IF($A388="","",IF($G388="","",$G388-$I388))</f>
        <v/>
      </c>
      <c r="K388" s="17" t="str">
        <f aca="true">IF(OR($A388="",$J388="",$J388&lt;=0,$H388=""),"",TODAY()-$H388)</f>
        <v/>
      </c>
      <c r="L388" s="14" t="str">
        <f aca="false">IF($A388="","",IF($G388="","",IF($J388&lt;=0,"반납완료",IF($I388&gt;0,"부분반납","미반납"))))</f>
        <v/>
      </c>
    </row>
    <row r="389" customFormat="false" ht="15" hidden="false" customHeight="false" outlineLevel="0" collapsed="false">
      <c r="A389" s="14" t="str">
        <f aca="false">IF($B389="","",TEXT($B389,"yymmdd")&amp;"-"&amp;TEXT(COUNTIFS($B$3:$B389,$B389),"00"))</f>
        <v/>
      </c>
      <c r="B389" s="15"/>
      <c r="C389" s="9"/>
      <c r="D389" s="10"/>
      <c r="E389" s="14" t="str">
        <f aca="false">IF($D389="","",IFERROR(INDEX(품목목록!$B$3:$B$202,MATCH($D389,품목목록!$A$3:$A$202,0)),"미등록품번"))</f>
        <v/>
      </c>
      <c r="F389" s="14" t="str">
        <f aca="false">IF($D389="","",IFERROR(INDEX(품목목록!$D$3:$D$202,MATCH($D389,품목목록!$A$3:$A$202,0)),""))</f>
        <v/>
      </c>
      <c r="G389" s="11"/>
      <c r="H389" s="15"/>
      <c r="I389" s="16" t="str">
        <f aca="false">IF($A389="","",SUMIFS(반납내역!$D$3:$D$1502,반납내역!$B$3:$B$1502,$A389))</f>
        <v/>
      </c>
      <c r="J389" s="16" t="str">
        <f aca="false">IF($A389="","",IF($G389="","",$G389-$I389))</f>
        <v/>
      </c>
      <c r="K389" s="17" t="str">
        <f aca="true">IF(OR($A389="",$J389="",$J389&lt;=0,$H389=""),"",TODAY()-$H389)</f>
        <v/>
      </c>
      <c r="L389" s="14" t="str">
        <f aca="false">IF($A389="","",IF($G389="","",IF($J389&lt;=0,"반납완료",IF($I389&gt;0,"부분반납","미반납"))))</f>
        <v/>
      </c>
    </row>
    <row r="390" customFormat="false" ht="15" hidden="false" customHeight="false" outlineLevel="0" collapsed="false">
      <c r="A390" s="14" t="str">
        <f aca="false">IF($B390="","",TEXT($B390,"yymmdd")&amp;"-"&amp;TEXT(COUNTIFS($B$3:$B390,$B390),"00"))</f>
        <v/>
      </c>
      <c r="B390" s="15"/>
      <c r="C390" s="9"/>
      <c r="D390" s="10"/>
      <c r="E390" s="14" t="str">
        <f aca="false">IF($D390="","",IFERROR(INDEX(품목목록!$B$3:$B$202,MATCH($D390,품목목록!$A$3:$A$202,0)),"미등록품번"))</f>
        <v/>
      </c>
      <c r="F390" s="14" t="str">
        <f aca="false">IF($D390="","",IFERROR(INDEX(품목목록!$D$3:$D$202,MATCH($D390,품목목록!$A$3:$A$202,0)),""))</f>
        <v/>
      </c>
      <c r="G390" s="11"/>
      <c r="H390" s="15"/>
      <c r="I390" s="16" t="str">
        <f aca="false">IF($A390="","",SUMIFS(반납내역!$D$3:$D$1502,반납내역!$B$3:$B$1502,$A390))</f>
        <v/>
      </c>
      <c r="J390" s="16" t="str">
        <f aca="false">IF($A390="","",IF($G390="","",$G390-$I390))</f>
        <v/>
      </c>
      <c r="K390" s="17" t="str">
        <f aca="true">IF(OR($A390="",$J390="",$J390&lt;=0,$H390=""),"",TODAY()-$H390)</f>
        <v/>
      </c>
      <c r="L390" s="14" t="str">
        <f aca="false">IF($A390="","",IF($G390="","",IF($J390&lt;=0,"반납완료",IF($I390&gt;0,"부분반납","미반납"))))</f>
        <v/>
      </c>
    </row>
    <row r="391" customFormat="false" ht="15" hidden="false" customHeight="false" outlineLevel="0" collapsed="false">
      <c r="A391" s="14" t="str">
        <f aca="false">IF($B391="","",TEXT($B391,"yymmdd")&amp;"-"&amp;TEXT(COUNTIFS($B$3:$B391,$B391),"00"))</f>
        <v/>
      </c>
      <c r="B391" s="15"/>
      <c r="C391" s="9"/>
      <c r="D391" s="10"/>
      <c r="E391" s="14" t="str">
        <f aca="false">IF($D391="","",IFERROR(INDEX(품목목록!$B$3:$B$202,MATCH($D391,품목목록!$A$3:$A$202,0)),"미등록품번"))</f>
        <v/>
      </c>
      <c r="F391" s="14" t="str">
        <f aca="false">IF($D391="","",IFERROR(INDEX(품목목록!$D$3:$D$202,MATCH($D391,품목목록!$A$3:$A$202,0)),""))</f>
        <v/>
      </c>
      <c r="G391" s="11"/>
      <c r="H391" s="15"/>
      <c r="I391" s="16" t="str">
        <f aca="false">IF($A391="","",SUMIFS(반납내역!$D$3:$D$1502,반납내역!$B$3:$B$1502,$A391))</f>
        <v/>
      </c>
      <c r="J391" s="16" t="str">
        <f aca="false">IF($A391="","",IF($G391="","",$G391-$I391))</f>
        <v/>
      </c>
      <c r="K391" s="17" t="str">
        <f aca="true">IF(OR($A391="",$J391="",$J391&lt;=0,$H391=""),"",TODAY()-$H391)</f>
        <v/>
      </c>
      <c r="L391" s="14" t="str">
        <f aca="false">IF($A391="","",IF($G391="","",IF($J391&lt;=0,"반납완료",IF($I391&gt;0,"부분반납","미반납"))))</f>
        <v/>
      </c>
    </row>
    <row r="392" customFormat="false" ht="15" hidden="false" customHeight="false" outlineLevel="0" collapsed="false">
      <c r="A392" s="14" t="str">
        <f aca="false">IF($B392="","",TEXT($B392,"yymmdd")&amp;"-"&amp;TEXT(COUNTIFS($B$3:$B392,$B392),"00"))</f>
        <v/>
      </c>
      <c r="B392" s="15"/>
      <c r="C392" s="9"/>
      <c r="D392" s="10"/>
      <c r="E392" s="14" t="str">
        <f aca="false">IF($D392="","",IFERROR(INDEX(품목목록!$B$3:$B$202,MATCH($D392,품목목록!$A$3:$A$202,0)),"미등록품번"))</f>
        <v/>
      </c>
      <c r="F392" s="14" t="str">
        <f aca="false">IF($D392="","",IFERROR(INDEX(품목목록!$D$3:$D$202,MATCH($D392,품목목록!$A$3:$A$202,0)),""))</f>
        <v/>
      </c>
      <c r="G392" s="11"/>
      <c r="H392" s="15"/>
      <c r="I392" s="16" t="str">
        <f aca="false">IF($A392="","",SUMIFS(반납내역!$D$3:$D$1502,반납내역!$B$3:$B$1502,$A392))</f>
        <v/>
      </c>
      <c r="J392" s="16" t="str">
        <f aca="false">IF($A392="","",IF($G392="","",$G392-$I392))</f>
        <v/>
      </c>
      <c r="K392" s="17" t="str">
        <f aca="true">IF(OR($A392="",$J392="",$J392&lt;=0,$H392=""),"",TODAY()-$H392)</f>
        <v/>
      </c>
      <c r="L392" s="14" t="str">
        <f aca="false">IF($A392="","",IF($G392="","",IF($J392&lt;=0,"반납완료",IF($I392&gt;0,"부분반납","미반납"))))</f>
        <v/>
      </c>
    </row>
    <row r="393" customFormat="false" ht="15" hidden="false" customHeight="false" outlineLevel="0" collapsed="false">
      <c r="A393" s="14" t="str">
        <f aca="false">IF($B393="","",TEXT($B393,"yymmdd")&amp;"-"&amp;TEXT(COUNTIFS($B$3:$B393,$B393),"00"))</f>
        <v/>
      </c>
      <c r="B393" s="15"/>
      <c r="C393" s="9"/>
      <c r="D393" s="10"/>
      <c r="E393" s="14" t="str">
        <f aca="false">IF($D393="","",IFERROR(INDEX(품목목록!$B$3:$B$202,MATCH($D393,품목목록!$A$3:$A$202,0)),"미등록품번"))</f>
        <v/>
      </c>
      <c r="F393" s="14" t="str">
        <f aca="false">IF($D393="","",IFERROR(INDEX(품목목록!$D$3:$D$202,MATCH($D393,품목목록!$A$3:$A$202,0)),""))</f>
        <v/>
      </c>
      <c r="G393" s="11"/>
      <c r="H393" s="15"/>
      <c r="I393" s="16" t="str">
        <f aca="false">IF($A393="","",SUMIFS(반납내역!$D$3:$D$1502,반납내역!$B$3:$B$1502,$A393))</f>
        <v/>
      </c>
      <c r="J393" s="16" t="str">
        <f aca="false">IF($A393="","",IF($G393="","",$G393-$I393))</f>
        <v/>
      </c>
      <c r="K393" s="17" t="str">
        <f aca="true">IF(OR($A393="",$J393="",$J393&lt;=0,$H393=""),"",TODAY()-$H393)</f>
        <v/>
      </c>
      <c r="L393" s="14" t="str">
        <f aca="false">IF($A393="","",IF($G393="","",IF($J393&lt;=0,"반납완료",IF($I393&gt;0,"부분반납","미반납"))))</f>
        <v/>
      </c>
    </row>
    <row r="394" customFormat="false" ht="15" hidden="false" customHeight="false" outlineLevel="0" collapsed="false">
      <c r="A394" s="14" t="str">
        <f aca="false">IF($B394="","",TEXT($B394,"yymmdd")&amp;"-"&amp;TEXT(COUNTIFS($B$3:$B394,$B394),"00"))</f>
        <v/>
      </c>
      <c r="B394" s="15"/>
      <c r="C394" s="9"/>
      <c r="D394" s="10"/>
      <c r="E394" s="14" t="str">
        <f aca="false">IF($D394="","",IFERROR(INDEX(품목목록!$B$3:$B$202,MATCH($D394,품목목록!$A$3:$A$202,0)),"미등록품번"))</f>
        <v/>
      </c>
      <c r="F394" s="14" t="str">
        <f aca="false">IF($D394="","",IFERROR(INDEX(품목목록!$D$3:$D$202,MATCH($D394,품목목록!$A$3:$A$202,0)),""))</f>
        <v/>
      </c>
      <c r="G394" s="11"/>
      <c r="H394" s="15"/>
      <c r="I394" s="16" t="str">
        <f aca="false">IF($A394="","",SUMIFS(반납내역!$D$3:$D$1502,반납내역!$B$3:$B$1502,$A394))</f>
        <v/>
      </c>
      <c r="J394" s="16" t="str">
        <f aca="false">IF($A394="","",IF($G394="","",$G394-$I394))</f>
        <v/>
      </c>
      <c r="K394" s="17" t="str">
        <f aca="true">IF(OR($A394="",$J394="",$J394&lt;=0,$H394=""),"",TODAY()-$H394)</f>
        <v/>
      </c>
      <c r="L394" s="14" t="str">
        <f aca="false">IF($A394="","",IF($G394="","",IF($J394&lt;=0,"반납완료",IF($I394&gt;0,"부분반납","미반납"))))</f>
        <v/>
      </c>
    </row>
    <row r="395" customFormat="false" ht="15" hidden="false" customHeight="false" outlineLevel="0" collapsed="false">
      <c r="A395" s="14" t="str">
        <f aca="false">IF($B395="","",TEXT($B395,"yymmdd")&amp;"-"&amp;TEXT(COUNTIFS($B$3:$B395,$B395),"00"))</f>
        <v/>
      </c>
      <c r="B395" s="15"/>
      <c r="C395" s="9"/>
      <c r="D395" s="10"/>
      <c r="E395" s="14" t="str">
        <f aca="false">IF($D395="","",IFERROR(INDEX(품목목록!$B$3:$B$202,MATCH($D395,품목목록!$A$3:$A$202,0)),"미등록품번"))</f>
        <v/>
      </c>
      <c r="F395" s="14" t="str">
        <f aca="false">IF($D395="","",IFERROR(INDEX(품목목록!$D$3:$D$202,MATCH($D395,품목목록!$A$3:$A$202,0)),""))</f>
        <v/>
      </c>
      <c r="G395" s="11"/>
      <c r="H395" s="15"/>
      <c r="I395" s="16" t="str">
        <f aca="false">IF($A395="","",SUMIFS(반납내역!$D$3:$D$1502,반납내역!$B$3:$B$1502,$A395))</f>
        <v/>
      </c>
      <c r="J395" s="16" t="str">
        <f aca="false">IF($A395="","",IF($G395="","",$G395-$I395))</f>
        <v/>
      </c>
      <c r="K395" s="17" t="str">
        <f aca="true">IF(OR($A395="",$J395="",$J395&lt;=0,$H395=""),"",TODAY()-$H395)</f>
        <v/>
      </c>
      <c r="L395" s="14" t="str">
        <f aca="false">IF($A395="","",IF($G395="","",IF($J395&lt;=0,"반납완료",IF($I395&gt;0,"부분반납","미반납"))))</f>
        <v/>
      </c>
    </row>
    <row r="396" customFormat="false" ht="15" hidden="false" customHeight="false" outlineLevel="0" collapsed="false">
      <c r="A396" s="14" t="str">
        <f aca="false">IF($B396="","",TEXT($B396,"yymmdd")&amp;"-"&amp;TEXT(COUNTIFS($B$3:$B396,$B396),"00"))</f>
        <v/>
      </c>
      <c r="B396" s="15"/>
      <c r="C396" s="9"/>
      <c r="D396" s="10"/>
      <c r="E396" s="14" t="str">
        <f aca="false">IF($D396="","",IFERROR(INDEX(품목목록!$B$3:$B$202,MATCH($D396,품목목록!$A$3:$A$202,0)),"미등록품번"))</f>
        <v/>
      </c>
      <c r="F396" s="14" t="str">
        <f aca="false">IF($D396="","",IFERROR(INDEX(품목목록!$D$3:$D$202,MATCH($D396,품목목록!$A$3:$A$202,0)),""))</f>
        <v/>
      </c>
      <c r="G396" s="11"/>
      <c r="H396" s="15"/>
      <c r="I396" s="16" t="str">
        <f aca="false">IF($A396="","",SUMIFS(반납내역!$D$3:$D$1502,반납내역!$B$3:$B$1502,$A396))</f>
        <v/>
      </c>
      <c r="J396" s="16" t="str">
        <f aca="false">IF($A396="","",IF($G396="","",$G396-$I396))</f>
        <v/>
      </c>
      <c r="K396" s="17" t="str">
        <f aca="true">IF(OR($A396="",$J396="",$J396&lt;=0,$H396=""),"",TODAY()-$H396)</f>
        <v/>
      </c>
      <c r="L396" s="14" t="str">
        <f aca="false">IF($A396="","",IF($G396="","",IF($J396&lt;=0,"반납완료",IF($I396&gt;0,"부분반납","미반납"))))</f>
        <v/>
      </c>
    </row>
    <row r="397" customFormat="false" ht="15" hidden="false" customHeight="false" outlineLevel="0" collapsed="false">
      <c r="A397" s="14" t="str">
        <f aca="false">IF($B397="","",TEXT($B397,"yymmdd")&amp;"-"&amp;TEXT(COUNTIFS($B$3:$B397,$B397),"00"))</f>
        <v/>
      </c>
      <c r="B397" s="15"/>
      <c r="C397" s="9"/>
      <c r="D397" s="10"/>
      <c r="E397" s="14" t="str">
        <f aca="false">IF($D397="","",IFERROR(INDEX(품목목록!$B$3:$B$202,MATCH($D397,품목목록!$A$3:$A$202,0)),"미등록품번"))</f>
        <v/>
      </c>
      <c r="F397" s="14" t="str">
        <f aca="false">IF($D397="","",IFERROR(INDEX(품목목록!$D$3:$D$202,MATCH($D397,품목목록!$A$3:$A$202,0)),""))</f>
        <v/>
      </c>
      <c r="G397" s="11"/>
      <c r="H397" s="15"/>
      <c r="I397" s="16" t="str">
        <f aca="false">IF($A397="","",SUMIFS(반납내역!$D$3:$D$1502,반납내역!$B$3:$B$1502,$A397))</f>
        <v/>
      </c>
      <c r="J397" s="16" t="str">
        <f aca="false">IF($A397="","",IF($G397="","",$G397-$I397))</f>
        <v/>
      </c>
      <c r="K397" s="17" t="str">
        <f aca="true">IF(OR($A397="",$J397="",$J397&lt;=0,$H397=""),"",TODAY()-$H397)</f>
        <v/>
      </c>
      <c r="L397" s="14" t="str">
        <f aca="false">IF($A397="","",IF($G397="","",IF($J397&lt;=0,"반납완료",IF($I397&gt;0,"부분반납","미반납"))))</f>
        <v/>
      </c>
    </row>
    <row r="398" customFormat="false" ht="15" hidden="false" customHeight="false" outlineLevel="0" collapsed="false">
      <c r="A398" s="14" t="str">
        <f aca="false">IF($B398="","",TEXT($B398,"yymmdd")&amp;"-"&amp;TEXT(COUNTIFS($B$3:$B398,$B398),"00"))</f>
        <v/>
      </c>
      <c r="B398" s="15"/>
      <c r="C398" s="9"/>
      <c r="D398" s="10"/>
      <c r="E398" s="14" t="str">
        <f aca="false">IF($D398="","",IFERROR(INDEX(품목목록!$B$3:$B$202,MATCH($D398,품목목록!$A$3:$A$202,0)),"미등록품번"))</f>
        <v/>
      </c>
      <c r="F398" s="14" t="str">
        <f aca="false">IF($D398="","",IFERROR(INDEX(품목목록!$D$3:$D$202,MATCH($D398,품목목록!$A$3:$A$202,0)),""))</f>
        <v/>
      </c>
      <c r="G398" s="11"/>
      <c r="H398" s="15"/>
      <c r="I398" s="16" t="str">
        <f aca="false">IF($A398="","",SUMIFS(반납내역!$D$3:$D$1502,반납내역!$B$3:$B$1502,$A398))</f>
        <v/>
      </c>
      <c r="J398" s="16" t="str">
        <f aca="false">IF($A398="","",IF($G398="","",$G398-$I398))</f>
        <v/>
      </c>
      <c r="K398" s="17" t="str">
        <f aca="true">IF(OR($A398="",$J398="",$J398&lt;=0,$H398=""),"",TODAY()-$H398)</f>
        <v/>
      </c>
      <c r="L398" s="14" t="str">
        <f aca="false">IF($A398="","",IF($G398="","",IF($J398&lt;=0,"반납완료",IF($I398&gt;0,"부분반납","미반납"))))</f>
        <v/>
      </c>
    </row>
    <row r="399" customFormat="false" ht="15" hidden="false" customHeight="false" outlineLevel="0" collapsed="false">
      <c r="A399" s="14" t="str">
        <f aca="false">IF($B399="","",TEXT($B399,"yymmdd")&amp;"-"&amp;TEXT(COUNTIFS($B$3:$B399,$B399),"00"))</f>
        <v/>
      </c>
      <c r="B399" s="15"/>
      <c r="C399" s="9"/>
      <c r="D399" s="10"/>
      <c r="E399" s="14" t="str">
        <f aca="false">IF($D399="","",IFERROR(INDEX(품목목록!$B$3:$B$202,MATCH($D399,품목목록!$A$3:$A$202,0)),"미등록품번"))</f>
        <v/>
      </c>
      <c r="F399" s="14" t="str">
        <f aca="false">IF($D399="","",IFERROR(INDEX(품목목록!$D$3:$D$202,MATCH($D399,품목목록!$A$3:$A$202,0)),""))</f>
        <v/>
      </c>
      <c r="G399" s="11"/>
      <c r="H399" s="15"/>
      <c r="I399" s="16" t="str">
        <f aca="false">IF($A399="","",SUMIFS(반납내역!$D$3:$D$1502,반납내역!$B$3:$B$1502,$A399))</f>
        <v/>
      </c>
      <c r="J399" s="16" t="str">
        <f aca="false">IF($A399="","",IF($G399="","",$G399-$I399))</f>
        <v/>
      </c>
      <c r="K399" s="17" t="str">
        <f aca="true">IF(OR($A399="",$J399="",$J399&lt;=0,$H399=""),"",TODAY()-$H399)</f>
        <v/>
      </c>
      <c r="L399" s="14" t="str">
        <f aca="false">IF($A399="","",IF($G399="","",IF($J399&lt;=0,"반납완료",IF($I399&gt;0,"부분반납","미반납"))))</f>
        <v/>
      </c>
    </row>
    <row r="400" customFormat="false" ht="15" hidden="false" customHeight="false" outlineLevel="0" collapsed="false">
      <c r="A400" s="14" t="str">
        <f aca="false">IF($B400="","",TEXT($B400,"yymmdd")&amp;"-"&amp;TEXT(COUNTIFS($B$3:$B400,$B400),"00"))</f>
        <v/>
      </c>
      <c r="B400" s="15"/>
      <c r="C400" s="9"/>
      <c r="D400" s="10"/>
      <c r="E400" s="14" t="str">
        <f aca="false">IF($D400="","",IFERROR(INDEX(품목목록!$B$3:$B$202,MATCH($D400,품목목록!$A$3:$A$202,0)),"미등록품번"))</f>
        <v/>
      </c>
      <c r="F400" s="14" t="str">
        <f aca="false">IF($D400="","",IFERROR(INDEX(품목목록!$D$3:$D$202,MATCH($D400,품목목록!$A$3:$A$202,0)),""))</f>
        <v/>
      </c>
      <c r="G400" s="11"/>
      <c r="H400" s="15"/>
      <c r="I400" s="16" t="str">
        <f aca="false">IF($A400="","",SUMIFS(반납내역!$D$3:$D$1502,반납내역!$B$3:$B$1502,$A400))</f>
        <v/>
      </c>
      <c r="J400" s="16" t="str">
        <f aca="false">IF($A400="","",IF($G400="","",$G400-$I400))</f>
        <v/>
      </c>
      <c r="K400" s="17" t="str">
        <f aca="true">IF(OR($A400="",$J400="",$J400&lt;=0,$H400=""),"",TODAY()-$H400)</f>
        <v/>
      </c>
      <c r="L400" s="14" t="str">
        <f aca="false">IF($A400="","",IF($G400="","",IF($J400&lt;=0,"반납완료",IF($I400&gt;0,"부분반납","미반납"))))</f>
        <v/>
      </c>
    </row>
    <row r="401" customFormat="false" ht="15" hidden="false" customHeight="false" outlineLevel="0" collapsed="false">
      <c r="A401" s="14" t="str">
        <f aca="false">IF($B401="","",TEXT($B401,"yymmdd")&amp;"-"&amp;TEXT(COUNTIFS($B$3:$B401,$B401),"00"))</f>
        <v/>
      </c>
      <c r="B401" s="15"/>
      <c r="C401" s="9"/>
      <c r="D401" s="10"/>
      <c r="E401" s="14" t="str">
        <f aca="false">IF($D401="","",IFERROR(INDEX(품목목록!$B$3:$B$202,MATCH($D401,품목목록!$A$3:$A$202,0)),"미등록품번"))</f>
        <v/>
      </c>
      <c r="F401" s="14" t="str">
        <f aca="false">IF($D401="","",IFERROR(INDEX(품목목록!$D$3:$D$202,MATCH($D401,품목목록!$A$3:$A$202,0)),""))</f>
        <v/>
      </c>
      <c r="G401" s="11"/>
      <c r="H401" s="15"/>
      <c r="I401" s="16" t="str">
        <f aca="false">IF($A401="","",SUMIFS(반납내역!$D$3:$D$1502,반납내역!$B$3:$B$1502,$A401))</f>
        <v/>
      </c>
      <c r="J401" s="16" t="str">
        <f aca="false">IF($A401="","",IF($G401="","",$G401-$I401))</f>
        <v/>
      </c>
      <c r="K401" s="17" t="str">
        <f aca="true">IF(OR($A401="",$J401="",$J401&lt;=0,$H401=""),"",TODAY()-$H401)</f>
        <v/>
      </c>
      <c r="L401" s="14" t="str">
        <f aca="false">IF($A401="","",IF($G401="","",IF($J401&lt;=0,"반납완료",IF($I401&gt;0,"부분반납","미반납"))))</f>
        <v/>
      </c>
    </row>
    <row r="402" customFormat="false" ht="15" hidden="false" customHeight="false" outlineLevel="0" collapsed="false">
      <c r="A402" s="14" t="str">
        <f aca="false">IF($B402="","",TEXT($B402,"yymmdd")&amp;"-"&amp;TEXT(COUNTIFS($B$3:$B402,$B402),"00"))</f>
        <v/>
      </c>
      <c r="B402" s="15"/>
      <c r="C402" s="9"/>
      <c r="D402" s="10"/>
      <c r="E402" s="14" t="str">
        <f aca="false">IF($D402="","",IFERROR(INDEX(품목목록!$B$3:$B$202,MATCH($D402,품목목록!$A$3:$A$202,0)),"미등록품번"))</f>
        <v/>
      </c>
      <c r="F402" s="14" t="str">
        <f aca="false">IF($D402="","",IFERROR(INDEX(품목목록!$D$3:$D$202,MATCH($D402,품목목록!$A$3:$A$202,0)),""))</f>
        <v/>
      </c>
      <c r="G402" s="11"/>
      <c r="H402" s="15"/>
      <c r="I402" s="16" t="str">
        <f aca="false">IF($A402="","",SUMIFS(반납내역!$D$3:$D$1502,반납내역!$B$3:$B$1502,$A402))</f>
        <v/>
      </c>
      <c r="J402" s="16" t="str">
        <f aca="false">IF($A402="","",IF($G402="","",$G402-$I402))</f>
        <v/>
      </c>
      <c r="K402" s="17" t="str">
        <f aca="true">IF(OR($A402="",$J402="",$J402&lt;=0,$H402=""),"",TODAY()-$H402)</f>
        <v/>
      </c>
      <c r="L402" s="14" t="str">
        <f aca="false">IF($A402="","",IF($G402="","",IF($J402&lt;=0,"반납완료",IF($I402&gt;0,"부분반납","미반납"))))</f>
        <v/>
      </c>
    </row>
    <row r="403" customFormat="false" ht="15" hidden="false" customHeight="false" outlineLevel="0" collapsed="false">
      <c r="A403" s="14" t="str">
        <f aca="false">IF($B403="","",TEXT($B403,"yymmdd")&amp;"-"&amp;TEXT(COUNTIFS($B$3:$B403,$B403),"00"))</f>
        <v/>
      </c>
      <c r="B403" s="15"/>
      <c r="C403" s="9"/>
      <c r="D403" s="10"/>
      <c r="E403" s="14" t="str">
        <f aca="false">IF($D403="","",IFERROR(INDEX(품목목록!$B$3:$B$202,MATCH($D403,품목목록!$A$3:$A$202,0)),"미등록품번"))</f>
        <v/>
      </c>
      <c r="F403" s="14" t="str">
        <f aca="false">IF($D403="","",IFERROR(INDEX(품목목록!$D$3:$D$202,MATCH($D403,품목목록!$A$3:$A$202,0)),""))</f>
        <v/>
      </c>
      <c r="G403" s="11"/>
      <c r="H403" s="15"/>
      <c r="I403" s="16" t="str">
        <f aca="false">IF($A403="","",SUMIFS(반납내역!$D$3:$D$1502,반납내역!$B$3:$B$1502,$A403))</f>
        <v/>
      </c>
      <c r="J403" s="16" t="str">
        <f aca="false">IF($A403="","",IF($G403="","",$G403-$I403))</f>
        <v/>
      </c>
      <c r="K403" s="17" t="str">
        <f aca="true">IF(OR($A403="",$J403="",$J403&lt;=0,$H403=""),"",TODAY()-$H403)</f>
        <v/>
      </c>
      <c r="L403" s="14" t="str">
        <f aca="false">IF($A403="","",IF($G403="","",IF($J403&lt;=0,"반납완료",IF($I403&gt;0,"부분반납","미반납"))))</f>
        <v/>
      </c>
    </row>
    <row r="404" customFormat="false" ht="15" hidden="false" customHeight="false" outlineLevel="0" collapsed="false">
      <c r="A404" s="14" t="str">
        <f aca="false">IF($B404="","",TEXT($B404,"yymmdd")&amp;"-"&amp;TEXT(COUNTIFS($B$3:$B404,$B404),"00"))</f>
        <v/>
      </c>
      <c r="B404" s="15"/>
      <c r="C404" s="9"/>
      <c r="D404" s="10"/>
      <c r="E404" s="14" t="str">
        <f aca="false">IF($D404="","",IFERROR(INDEX(품목목록!$B$3:$B$202,MATCH($D404,품목목록!$A$3:$A$202,0)),"미등록품번"))</f>
        <v/>
      </c>
      <c r="F404" s="14" t="str">
        <f aca="false">IF($D404="","",IFERROR(INDEX(품목목록!$D$3:$D$202,MATCH($D404,품목목록!$A$3:$A$202,0)),""))</f>
        <v/>
      </c>
      <c r="G404" s="11"/>
      <c r="H404" s="15"/>
      <c r="I404" s="16" t="str">
        <f aca="false">IF($A404="","",SUMIFS(반납내역!$D$3:$D$1502,반납내역!$B$3:$B$1502,$A404))</f>
        <v/>
      </c>
      <c r="J404" s="16" t="str">
        <f aca="false">IF($A404="","",IF($G404="","",$G404-$I404))</f>
        <v/>
      </c>
      <c r="K404" s="17" t="str">
        <f aca="true">IF(OR($A404="",$J404="",$J404&lt;=0,$H404=""),"",TODAY()-$H404)</f>
        <v/>
      </c>
      <c r="L404" s="14" t="str">
        <f aca="false">IF($A404="","",IF($G404="","",IF($J404&lt;=0,"반납완료",IF($I404&gt;0,"부분반납","미반납"))))</f>
        <v/>
      </c>
    </row>
    <row r="405" customFormat="false" ht="15" hidden="false" customHeight="false" outlineLevel="0" collapsed="false">
      <c r="A405" s="14" t="str">
        <f aca="false">IF($B405="","",TEXT($B405,"yymmdd")&amp;"-"&amp;TEXT(COUNTIFS($B$3:$B405,$B405),"00"))</f>
        <v/>
      </c>
      <c r="B405" s="15"/>
      <c r="C405" s="9"/>
      <c r="D405" s="10"/>
      <c r="E405" s="14" t="str">
        <f aca="false">IF($D405="","",IFERROR(INDEX(품목목록!$B$3:$B$202,MATCH($D405,품목목록!$A$3:$A$202,0)),"미등록품번"))</f>
        <v/>
      </c>
      <c r="F405" s="14" t="str">
        <f aca="false">IF($D405="","",IFERROR(INDEX(품목목록!$D$3:$D$202,MATCH($D405,품목목록!$A$3:$A$202,0)),""))</f>
        <v/>
      </c>
      <c r="G405" s="11"/>
      <c r="H405" s="15"/>
      <c r="I405" s="16" t="str">
        <f aca="false">IF($A405="","",SUMIFS(반납내역!$D$3:$D$1502,반납내역!$B$3:$B$1502,$A405))</f>
        <v/>
      </c>
      <c r="J405" s="16" t="str">
        <f aca="false">IF($A405="","",IF($G405="","",$G405-$I405))</f>
        <v/>
      </c>
      <c r="K405" s="17" t="str">
        <f aca="true">IF(OR($A405="",$J405="",$J405&lt;=0,$H405=""),"",TODAY()-$H405)</f>
        <v/>
      </c>
      <c r="L405" s="14" t="str">
        <f aca="false">IF($A405="","",IF($G405="","",IF($J405&lt;=0,"반납완료",IF($I405&gt;0,"부분반납","미반납"))))</f>
        <v/>
      </c>
    </row>
    <row r="406" customFormat="false" ht="15" hidden="false" customHeight="false" outlineLevel="0" collapsed="false">
      <c r="A406" s="14" t="str">
        <f aca="false">IF($B406="","",TEXT($B406,"yymmdd")&amp;"-"&amp;TEXT(COUNTIFS($B$3:$B406,$B406),"00"))</f>
        <v/>
      </c>
      <c r="B406" s="15"/>
      <c r="C406" s="9"/>
      <c r="D406" s="10"/>
      <c r="E406" s="14" t="str">
        <f aca="false">IF($D406="","",IFERROR(INDEX(품목목록!$B$3:$B$202,MATCH($D406,품목목록!$A$3:$A$202,0)),"미등록품번"))</f>
        <v/>
      </c>
      <c r="F406" s="14" t="str">
        <f aca="false">IF($D406="","",IFERROR(INDEX(품목목록!$D$3:$D$202,MATCH($D406,품목목록!$A$3:$A$202,0)),""))</f>
        <v/>
      </c>
      <c r="G406" s="11"/>
      <c r="H406" s="15"/>
      <c r="I406" s="16" t="str">
        <f aca="false">IF($A406="","",SUMIFS(반납내역!$D$3:$D$1502,반납내역!$B$3:$B$1502,$A406))</f>
        <v/>
      </c>
      <c r="J406" s="16" t="str">
        <f aca="false">IF($A406="","",IF($G406="","",$G406-$I406))</f>
        <v/>
      </c>
      <c r="K406" s="17" t="str">
        <f aca="true">IF(OR($A406="",$J406="",$J406&lt;=0,$H406=""),"",TODAY()-$H406)</f>
        <v/>
      </c>
      <c r="L406" s="14" t="str">
        <f aca="false">IF($A406="","",IF($G406="","",IF($J406&lt;=0,"반납완료",IF($I406&gt;0,"부분반납","미반납"))))</f>
        <v/>
      </c>
    </row>
    <row r="407" customFormat="false" ht="15" hidden="false" customHeight="false" outlineLevel="0" collapsed="false">
      <c r="A407" s="14" t="str">
        <f aca="false">IF($B407="","",TEXT($B407,"yymmdd")&amp;"-"&amp;TEXT(COUNTIFS($B$3:$B407,$B407),"00"))</f>
        <v/>
      </c>
      <c r="B407" s="15"/>
      <c r="C407" s="9"/>
      <c r="D407" s="10"/>
      <c r="E407" s="14" t="str">
        <f aca="false">IF($D407="","",IFERROR(INDEX(품목목록!$B$3:$B$202,MATCH($D407,품목목록!$A$3:$A$202,0)),"미등록품번"))</f>
        <v/>
      </c>
      <c r="F407" s="14" t="str">
        <f aca="false">IF($D407="","",IFERROR(INDEX(품목목록!$D$3:$D$202,MATCH($D407,품목목록!$A$3:$A$202,0)),""))</f>
        <v/>
      </c>
      <c r="G407" s="11"/>
      <c r="H407" s="15"/>
      <c r="I407" s="16" t="str">
        <f aca="false">IF($A407="","",SUMIFS(반납내역!$D$3:$D$1502,반납내역!$B$3:$B$1502,$A407))</f>
        <v/>
      </c>
      <c r="J407" s="16" t="str">
        <f aca="false">IF($A407="","",IF($G407="","",$G407-$I407))</f>
        <v/>
      </c>
      <c r="K407" s="17" t="str">
        <f aca="true">IF(OR($A407="",$J407="",$J407&lt;=0,$H407=""),"",TODAY()-$H407)</f>
        <v/>
      </c>
      <c r="L407" s="14" t="str">
        <f aca="false">IF($A407="","",IF($G407="","",IF($J407&lt;=0,"반납완료",IF($I407&gt;0,"부분반납","미반납"))))</f>
        <v/>
      </c>
    </row>
    <row r="408" customFormat="false" ht="15" hidden="false" customHeight="false" outlineLevel="0" collapsed="false">
      <c r="A408" s="14" t="str">
        <f aca="false">IF($B408="","",TEXT($B408,"yymmdd")&amp;"-"&amp;TEXT(COUNTIFS($B$3:$B408,$B408),"00"))</f>
        <v/>
      </c>
      <c r="B408" s="15"/>
      <c r="C408" s="9"/>
      <c r="D408" s="10"/>
      <c r="E408" s="14" t="str">
        <f aca="false">IF($D408="","",IFERROR(INDEX(품목목록!$B$3:$B$202,MATCH($D408,품목목록!$A$3:$A$202,0)),"미등록품번"))</f>
        <v/>
      </c>
      <c r="F408" s="14" t="str">
        <f aca="false">IF($D408="","",IFERROR(INDEX(품목목록!$D$3:$D$202,MATCH($D408,품목목록!$A$3:$A$202,0)),""))</f>
        <v/>
      </c>
      <c r="G408" s="11"/>
      <c r="H408" s="15"/>
      <c r="I408" s="16" t="str">
        <f aca="false">IF($A408="","",SUMIFS(반납내역!$D$3:$D$1502,반납내역!$B$3:$B$1502,$A408))</f>
        <v/>
      </c>
      <c r="J408" s="16" t="str">
        <f aca="false">IF($A408="","",IF($G408="","",$G408-$I408))</f>
        <v/>
      </c>
      <c r="K408" s="17" t="str">
        <f aca="true">IF(OR($A408="",$J408="",$J408&lt;=0,$H408=""),"",TODAY()-$H408)</f>
        <v/>
      </c>
      <c r="L408" s="14" t="str">
        <f aca="false">IF($A408="","",IF($G408="","",IF($J408&lt;=0,"반납완료",IF($I408&gt;0,"부분반납","미반납"))))</f>
        <v/>
      </c>
    </row>
    <row r="409" customFormat="false" ht="15" hidden="false" customHeight="false" outlineLevel="0" collapsed="false">
      <c r="A409" s="14" t="str">
        <f aca="false">IF($B409="","",TEXT($B409,"yymmdd")&amp;"-"&amp;TEXT(COUNTIFS($B$3:$B409,$B409),"00"))</f>
        <v/>
      </c>
      <c r="B409" s="15"/>
      <c r="C409" s="9"/>
      <c r="D409" s="10"/>
      <c r="E409" s="14" t="str">
        <f aca="false">IF($D409="","",IFERROR(INDEX(품목목록!$B$3:$B$202,MATCH($D409,품목목록!$A$3:$A$202,0)),"미등록품번"))</f>
        <v/>
      </c>
      <c r="F409" s="14" t="str">
        <f aca="false">IF($D409="","",IFERROR(INDEX(품목목록!$D$3:$D$202,MATCH($D409,품목목록!$A$3:$A$202,0)),""))</f>
        <v/>
      </c>
      <c r="G409" s="11"/>
      <c r="H409" s="15"/>
      <c r="I409" s="16" t="str">
        <f aca="false">IF($A409="","",SUMIFS(반납내역!$D$3:$D$1502,반납내역!$B$3:$B$1502,$A409))</f>
        <v/>
      </c>
      <c r="J409" s="16" t="str">
        <f aca="false">IF($A409="","",IF($G409="","",$G409-$I409))</f>
        <v/>
      </c>
      <c r="K409" s="17" t="str">
        <f aca="true">IF(OR($A409="",$J409="",$J409&lt;=0,$H409=""),"",TODAY()-$H409)</f>
        <v/>
      </c>
      <c r="L409" s="14" t="str">
        <f aca="false">IF($A409="","",IF($G409="","",IF($J409&lt;=0,"반납완료",IF($I409&gt;0,"부분반납","미반납"))))</f>
        <v/>
      </c>
    </row>
    <row r="410" customFormat="false" ht="15" hidden="false" customHeight="false" outlineLevel="0" collapsed="false">
      <c r="A410" s="14" t="str">
        <f aca="false">IF($B410="","",TEXT($B410,"yymmdd")&amp;"-"&amp;TEXT(COUNTIFS($B$3:$B410,$B410),"00"))</f>
        <v/>
      </c>
      <c r="B410" s="15"/>
      <c r="C410" s="9"/>
      <c r="D410" s="10"/>
      <c r="E410" s="14" t="str">
        <f aca="false">IF($D410="","",IFERROR(INDEX(품목목록!$B$3:$B$202,MATCH($D410,품목목록!$A$3:$A$202,0)),"미등록품번"))</f>
        <v/>
      </c>
      <c r="F410" s="14" t="str">
        <f aca="false">IF($D410="","",IFERROR(INDEX(품목목록!$D$3:$D$202,MATCH($D410,품목목록!$A$3:$A$202,0)),""))</f>
        <v/>
      </c>
      <c r="G410" s="11"/>
      <c r="H410" s="15"/>
      <c r="I410" s="16" t="str">
        <f aca="false">IF($A410="","",SUMIFS(반납내역!$D$3:$D$1502,반납내역!$B$3:$B$1502,$A410))</f>
        <v/>
      </c>
      <c r="J410" s="16" t="str">
        <f aca="false">IF($A410="","",IF($G410="","",$G410-$I410))</f>
        <v/>
      </c>
      <c r="K410" s="17" t="str">
        <f aca="true">IF(OR($A410="",$J410="",$J410&lt;=0,$H410=""),"",TODAY()-$H410)</f>
        <v/>
      </c>
      <c r="L410" s="14" t="str">
        <f aca="false">IF($A410="","",IF($G410="","",IF($J410&lt;=0,"반납완료",IF($I410&gt;0,"부분반납","미반납"))))</f>
        <v/>
      </c>
    </row>
    <row r="411" customFormat="false" ht="15" hidden="false" customHeight="false" outlineLevel="0" collapsed="false">
      <c r="A411" s="14" t="str">
        <f aca="false">IF($B411="","",TEXT($B411,"yymmdd")&amp;"-"&amp;TEXT(COUNTIFS($B$3:$B411,$B411),"00"))</f>
        <v/>
      </c>
      <c r="B411" s="15"/>
      <c r="C411" s="9"/>
      <c r="D411" s="10"/>
      <c r="E411" s="14" t="str">
        <f aca="false">IF($D411="","",IFERROR(INDEX(품목목록!$B$3:$B$202,MATCH($D411,품목목록!$A$3:$A$202,0)),"미등록품번"))</f>
        <v/>
      </c>
      <c r="F411" s="14" t="str">
        <f aca="false">IF($D411="","",IFERROR(INDEX(품목목록!$D$3:$D$202,MATCH($D411,품목목록!$A$3:$A$202,0)),""))</f>
        <v/>
      </c>
      <c r="G411" s="11"/>
      <c r="H411" s="15"/>
      <c r="I411" s="16" t="str">
        <f aca="false">IF($A411="","",SUMIFS(반납내역!$D$3:$D$1502,반납내역!$B$3:$B$1502,$A411))</f>
        <v/>
      </c>
      <c r="J411" s="16" t="str">
        <f aca="false">IF($A411="","",IF($G411="","",$G411-$I411))</f>
        <v/>
      </c>
      <c r="K411" s="17" t="str">
        <f aca="true">IF(OR($A411="",$J411="",$J411&lt;=0,$H411=""),"",TODAY()-$H411)</f>
        <v/>
      </c>
      <c r="L411" s="14" t="str">
        <f aca="false">IF($A411="","",IF($G411="","",IF($J411&lt;=0,"반납완료",IF($I411&gt;0,"부분반납","미반납"))))</f>
        <v/>
      </c>
    </row>
    <row r="412" customFormat="false" ht="15" hidden="false" customHeight="false" outlineLevel="0" collapsed="false">
      <c r="A412" s="14" t="str">
        <f aca="false">IF($B412="","",TEXT($B412,"yymmdd")&amp;"-"&amp;TEXT(COUNTIFS($B$3:$B412,$B412),"00"))</f>
        <v/>
      </c>
      <c r="B412" s="15"/>
      <c r="C412" s="9"/>
      <c r="D412" s="10"/>
      <c r="E412" s="14" t="str">
        <f aca="false">IF($D412="","",IFERROR(INDEX(품목목록!$B$3:$B$202,MATCH($D412,품목목록!$A$3:$A$202,0)),"미등록품번"))</f>
        <v/>
      </c>
      <c r="F412" s="14" t="str">
        <f aca="false">IF($D412="","",IFERROR(INDEX(품목목록!$D$3:$D$202,MATCH($D412,품목목록!$A$3:$A$202,0)),""))</f>
        <v/>
      </c>
      <c r="G412" s="11"/>
      <c r="H412" s="15"/>
      <c r="I412" s="16" t="str">
        <f aca="false">IF($A412="","",SUMIFS(반납내역!$D$3:$D$1502,반납내역!$B$3:$B$1502,$A412))</f>
        <v/>
      </c>
      <c r="J412" s="16" t="str">
        <f aca="false">IF($A412="","",IF($G412="","",$G412-$I412))</f>
        <v/>
      </c>
      <c r="K412" s="17" t="str">
        <f aca="true">IF(OR($A412="",$J412="",$J412&lt;=0,$H412=""),"",TODAY()-$H412)</f>
        <v/>
      </c>
      <c r="L412" s="14" t="str">
        <f aca="false">IF($A412="","",IF($G412="","",IF($J412&lt;=0,"반납완료",IF($I412&gt;0,"부분반납","미반납"))))</f>
        <v/>
      </c>
    </row>
    <row r="413" customFormat="false" ht="15" hidden="false" customHeight="false" outlineLevel="0" collapsed="false">
      <c r="A413" s="14" t="str">
        <f aca="false">IF($B413="","",TEXT($B413,"yymmdd")&amp;"-"&amp;TEXT(COUNTIFS($B$3:$B413,$B413),"00"))</f>
        <v/>
      </c>
      <c r="B413" s="15"/>
      <c r="C413" s="9"/>
      <c r="D413" s="10"/>
      <c r="E413" s="14" t="str">
        <f aca="false">IF($D413="","",IFERROR(INDEX(품목목록!$B$3:$B$202,MATCH($D413,품목목록!$A$3:$A$202,0)),"미등록품번"))</f>
        <v/>
      </c>
      <c r="F413" s="14" t="str">
        <f aca="false">IF($D413="","",IFERROR(INDEX(품목목록!$D$3:$D$202,MATCH($D413,품목목록!$A$3:$A$202,0)),""))</f>
        <v/>
      </c>
      <c r="G413" s="11"/>
      <c r="H413" s="15"/>
      <c r="I413" s="16" t="str">
        <f aca="false">IF($A413="","",SUMIFS(반납내역!$D$3:$D$1502,반납내역!$B$3:$B$1502,$A413))</f>
        <v/>
      </c>
      <c r="J413" s="16" t="str">
        <f aca="false">IF($A413="","",IF($G413="","",$G413-$I413))</f>
        <v/>
      </c>
      <c r="K413" s="17" t="str">
        <f aca="true">IF(OR($A413="",$J413="",$J413&lt;=0,$H413=""),"",TODAY()-$H413)</f>
        <v/>
      </c>
      <c r="L413" s="14" t="str">
        <f aca="false">IF($A413="","",IF($G413="","",IF($J413&lt;=0,"반납완료",IF($I413&gt;0,"부분반납","미반납"))))</f>
        <v/>
      </c>
    </row>
    <row r="414" customFormat="false" ht="15" hidden="false" customHeight="false" outlineLevel="0" collapsed="false">
      <c r="A414" s="14" t="str">
        <f aca="false">IF($B414="","",TEXT($B414,"yymmdd")&amp;"-"&amp;TEXT(COUNTIFS($B$3:$B414,$B414),"00"))</f>
        <v/>
      </c>
      <c r="B414" s="15"/>
      <c r="C414" s="9"/>
      <c r="D414" s="10"/>
      <c r="E414" s="14" t="str">
        <f aca="false">IF($D414="","",IFERROR(INDEX(품목목록!$B$3:$B$202,MATCH($D414,품목목록!$A$3:$A$202,0)),"미등록품번"))</f>
        <v/>
      </c>
      <c r="F414" s="14" t="str">
        <f aca="false">IF($D414="","",IFERROR(INDEX(품목목록!$D$3:$D$202,MATCH($D414,품목목록!$A$3:$A$202,0)),""))</f>
        <v/>
      </c>
      <c r="G414" s="11"/>
      <c r="H414" s="15"/>
      <c r="I414" s="16" t="str">
        <f aca="false">IF($A414="","",SUMIFS(반납내역!$D$3:$D$1502,반납내역!$B$3:$B$1502,$A414))</f>
        <v/>
      </c>
      <c r="J414" s="16" t="str">
        <f aca="false">IF($A414="","",IF($G414="","",$G414-$I414))</f>
        <v/>
      </c>
      <c r="K414" s="17" t="str">
        <f aca="true">IF(OR($A414="",$J414="",$J414&lt;=0,$H414=""),"",TODAY()-$H414)</f>
        <v/>
      </c>
      <c r="L414" s="14" t="str">
        <f aca="false">IF($A414="","",IF($G414="","",IF($J414&lt;=0,"반납완료",IF($I414&gt;0,"부분반납","미반납"))))</f>
        <v/>
      </c>
    </row>
    <row r="415" customFormat="false" ht="15" hidden="false" customHeight="false" outlineLevel="0" collapsed="false">
      <c r="A415" s="14" t="str">
        <f aca="false">IF($B415="","",TEXT($B415,"yymmdd")&amp;"-"&amp;TEXT(COUNTIFS($B$3:$B415,$B415),"00"))</f>
        <v/>
      </c>
      <c r="B415" s="15"/>
      <c r="C415" s="9"/>
      <c r="D415" s="10"/>
      <c r="E415" s="14" t="str">
        <f aca="false">IF($D415="","",IFERROR(INDEX(품목목록!$B$3:$B$202,MATCH($D415,품목목록!$A$3:$A$202,0)),"미등록품번"))</f>
        <v/>
      </c>
      <c r="F415" s="14" t="str">
        <f aca="false">IF($D415="","",IFERROR(INDEX(품목목록!$D$3:$D$202,MATCH($D415,품목목록!$A$3:$A$202,0)),""))</f>
        <v/>
      </c>
      <c r="G415" s="11"/>
      <c r="H415" s="15"/>
      <c r="I415" s="16" t="str">
        <f aca="false">IF($A415="","",SUMIFS(반납내역!$D$3:$D$1502,반납내역!$B$3:$B$1502,$A415))</f>
        <v/>
      </c>
      <c r="J415" s="16" t="str">
        <f aca="false">IF($A415="","",IF($G415="","",$G415-$I415))</f>
        <v/>
      </c>
      <c r="K415" s="17" t="str">
        <f aca="true">IF(OR($A415="",$J415="",$J415&lt;=0,$H415=""),"",TODAY()-$H415)</f>
        <v/>
      </c>
      <c r="L415" s="14" t="str">
        <f aca="false">IF($A415="","",IF($G415="","",IF($J415&lt;=0,"반납완료",IF($I415&gt;0,"부분반납","미반납"))))</f>
        <v/>
      </c>
    </row>
    <row r="416" customFormat="false" ht="15" hidden="false" customHeight="false" outlineLevel="0" collapsed="false">
      <c r="A416" s="14" t="str">
        <f aca="false">IF($B416="","",TEXT($B416,"yymmdd")&amp;"-"&amp;TEXT(COUNTIFS($B$3:$B416,$B416),"00"))</f>
        <v/>
      </c>
      <c r="B416" s="15"/>
      <c r="C416" s="9"/>
      <c r="D416" s="10"/>
      <c r="E416" s="14" t="str">
        <f aca="false">IF($D416="","",IFERROR(INDEX(품목목록!$B$3:$B$202,MATCH($D416,품목목록!$A$3:$A$202,0)),"미등록품번"))</f>
        <v/>
      </c>
      <c r="F416" s="14" t="str">
        <f aca="false">IF($D416="","",IFERROR(INDEX(품목목록!$D$3:$D$202,MATCH($D416,품목목록!$A$3:$A$202,0)),""))</f>
        <v/>
      </c>
      <c r="G416" s="11"/>
      <c r="H416" s="15"/>
      <c r="I416" s="16" t="str">
        <f aca="false">IF($A416="","",SUMIFS(반납내역!$D$3:$D$1502,반납내역!$B$3:$B$1502,$A416))</f>
        <v/>
      </c>
      <c r="J416" s="16" t="str">
        <f aca="false">IF($A416="","",IF($G416="","",$G416-$I416))</f>
        <v/>
      </c>
      <c r="K416" s="17" t="str">
        <f aca="true">IF(OR($A416="",$J416="",$J416&lt;=0,$H416=""),"",TODAY()-$H416)</f>
        <v/>
      </c>
      <c r="L416" s="14" t="str">
        <f aca="false">IF($A416="","",IF($G416="","",IF($J416&lt;=0,"반납완료",IF($I416&gt;0,"부분반납","미반납"))))</f>
        <v/>
      </c>
    </row>
    <row r="417" customFormat="false" ht="15" hidden="false" customHeight="false" outlineLevel="0" collapsed="false">
      <c r="A417" s="14" t="str">
        <f aca="false">IF($B417="","",TEXT($B417,"yymmdd")&amp;"-"&amp;TEXT(COUNTIFS($B$3:$B417,$B417),"00"))</f>
        <v/>
      </c>
      <c r="B417" s="15"/>
      <c r="C417" s="9"/>
      <c r="D417" s="10"/>
      <c r="E417" s="14" t="str">
        <f aca="false">IF($D417="","",IFERROR(INDEX(품목목록!$B$3:$B$202,MATCH($D417,품목목록!$A$3:$A$202,0)),"미등록품번"))</f>
        <v/>
      </c>
      <c r="F417" s="14" t="str">
        <f aca="false">IF($D417="","",IFERROR(INDEX(품목목록!$D$3:$D$202,MATCH($D417,품목목록!$A$3:$A$202,0)),""))</f>
        <v/>
      </c>
      <c r="G417" s="11"/>
      <c r="H417" s="15"/>
      <c r="I417" s="16" t="str">
        <f aca="false">IF($A417="","",SUMIFS(반납내역!$D$3:$D$1502,반납내역!$B$3:$B$1502,$A417))</f>
        <v/>
      </c>
      <c r="J417" s="16" t="str">
        <f aca="false">IF($A417="","",IF($G417="","",$G417-$I417))</f>
        <v/>
      </c>
      <c r="K417" s="17" t="str">
        <f aca="true">IF(OR($A417="",$J417="",$J417&lt;=0,$H417=""),"",TODAY()-$H417)</f>
        <v/>
      </c>
      <c r="L417" s="14" t="str">
        <f aca="false">IF($A417="","",IF($G417="","",IF($J417&lt;=0,"반납완료",IF($I417&gt;0,"부분반납","미반납"))))</f>
        <v/>
      </c>
    </row>
    <row r="418" customFormat="false" ht="15" hidden="false" customHeight="false" outlineLevel="0" collapsed="false">
      <c r="A418" s="14" t="str">
        <f aca="false">IF($B418="","",TEXT($B418,"yymmdd")&amp;"-"&amp;TEXT(COUNTIFS($B$3:$B418,$B418),"00"))</f>
        <v/>
      </c>
      <c r="B418" s="15"/>
      <c r="C418" s="9"/>
      <c r="D418" s="10"/>
      <c r="E418" s="14" t="str">
        <f aca="false">IF($D418="","",IFERROR(INDEX(품목목록!$B$3:$B$202,MATCH($D418,품목목록!$A$3:$A$202,0)),"미등록품번"))</f>
        <v/>
      </c>
      <c r="F418" s="14" t="str">
        <f aca="false">IF($D418="","",IFERROR(INDEX(품목목록!$D$3:$D$202,MATCH($D418,품목목록!$A$3:$A$202,0)),""))</f>
        <v/>
      </c>
      <c r="G418" s="11"/>
      <c r="H418" s="15"/>
      <c r="I418" s="16" t="str">
        <f aca="false">IF($A418="","",SUMIFS(반납내역!$D$3:$D$1502,반납내역!$B$3:$B$1502,$A418))</f>
        <v/>
      </c>
      <c r="J418" s="16" t="str">
        <f aca="false">IF($A418="","",IF($G418="","",$G418-$I418))</f>
        <v/>
      </c>
      <c r="K418" s="17" t="str">
        <f aca="true">IF(OR($A418="",$J418="",$J418&lt;=0,$H418=""),"",TODAY()-$H418)</f>
        <v/>
      </c>
      <c r="L418" s="14" t="str">
        <f aca="false">IF($A418="","",IF($G418="","",IF($J418&lt;=0,"반납완료",IF($I418&gt;0,"부분반납","미반납"))))</f>
        <v/>
      </c>
    </row>
    <row r="419" customFormat="false" ht="15" hidden="false" customHeight="false" outlineLevel="0" collapsed="false">
      <c r="A419" s="14" t="str">
        <f aca="false">IF($B419="","",TEXT($B419,"yymmdd")&amp;"-"&amp;TEXT(COUNTIFS($B$3:$B419,$B419),"00"))</f>
        <v/>
      </c>
      <c r="B419" s="15"/>
      <c r="C419" s="9"/>
      <c r="D419" s="10"/>
      <c r="E419" s="14" t="str">
        <f aca="false">IF($D419="","",IFERROR(INDEX(품목목록!$B$3:$B$202,MATCH($D419,품목목록!$A$3:$A$202,0)),"미등록품번"))</f>
        <v/>
      </c>
      <c r="F419" s="14" t="str">
        <f aca="false">IF($D419="","",IFERROR(INDEX(품목목록!$D$3:$D$202,MATCH($D419,품목목록!$A$3:$A$202,0)),""))</f>
        <v/>
      </c>
      <c r="G419" s="11"/>
      <c r="H419" s="15"/>
      <c r="I419" s="16" t="str">
        <f aca="false">IF($A419="","",SUMIFS(반납내역!$D$3:$D$1502,반납내역!$B$3:$B$1502,$A419))</f>
        <v/>
      </c>
      <c r="J419" s="16" t="str">
        <f aca="false">IF($A419="","",IF($G419="","",$G419-$I419))</f>
        <v/>
      </c>
      <c r="K419" s="17" t="str">
        <f aca="true">IF(OR($A419="",$J419="",$J419&lt;=0,$H419=""),"",TODAY()-$H419)</f>
        <v/>
      </c>
      <c r="L419" s="14" t="str">
        <f aca="false">IF($A419="","",IF($G419="","",IF($J419&lt;=0,"반납완료",IF($I419&gt;0,"부분반납","미반납"))))</f>
        <v/>
      </c>
    </row>
    <row r="420" customFormat="false" ht="15" hidden="false" customHeight="false" outlineLevel="0" collapsed="false">
      <c r="A420" s="14" t="str">
        <f aca="false">IF($B420="","",TEXT($B420,"yymmdd")&amp;"-"&amp;TEXT(COUNTIFS($B$3:$B420,$B420),"00"))</f>
        <v/>
      </c>
      <c r="B420" s="15"/>
      <c r="C420" s="9"/>
      <c r="D420" s="10"/>
      <c r="E420" s="14" t="str">
        <f aca="false">IF($D420="","",IFERROR(INDEX(품목목록!$B$3:$B$202,MATCH($D420,품목목록!$A$3:$A$202,0)),"미등록품번"))</f>
        <v/>
      </c>
      <c r="F420" s="14" t="str">
        <f aca="false">IF($D420="","",IFERROR(INDEX(품목목록!$D$3:$D$202,MATCH($D420,품목목록!$A$3:$A$202,0)),""))</f>
        <v/>
      </c>
      <c r="G420" s="11"/>
      <c r="H420" s="15"/>
      <c r="I420" s="16" t="str">
        <f aca="false">IF($A420="","",SUMIFS(반납내역!$D$3:$D$1502,반납내역!$B$3:$B$1502,$A420))</f>
        <v/>
      </c>
      <c r="J420" s="16" t="str">
        <f aca="false">IF($A420="","",IF($G420="","",$G420-$I420))</f>
        <v/>
      </c>
      <c r="K420" s="17" t="str">
        <f aca="true">IF(OR($A420="",$J420="",$J420&lt;=0,$H420=""),"",TODAY()-$H420)</f>
        <v/>
      </c>
      <c r="L420" s="14" t="str">
        <f aca="false">IF($A420="","",IF($G420="","",IF($J420&lt;=0,"반납완료",IF($I420&gt;0,"부분반납","미반납"))))</f>
        <v/>
      </c>
    </row>
    <row r="421" customFormat="false" ht="15" hidden="false" customHeight="false" outlineLevel="0" collapsed="false">
      <c r="A421" s="14" t="str">
        <f aca="false">IF($B421="","",TEXT($B421,"yymmdd")&amp;"-"&amp;TEXT(COUNTIFS($B$3:$B421,$B421),"00"))</f>
        <v/>
      </c>
      <c r="B421" s="15"/>
      <c r="C421" s="9"/>
      <c r="D421" s="10"/>
      <c r="E421" s="14" t="str">
        <f aca="false">IF($D421="","",IFERROR(INDEX(품목목록!$B$3:$B$202,MATCH($D421,품목목록!$A$3:$A$202,0)),"미등록품번"))</f>
        <v/>
      </c>
      <c r="F421" s="14" t="str">
        <f aca="false">IF($D421="","",IFERROR(INDEX(품목목록!$D$3:$D$202,MATCH($D421,품목목록!$A$3:$A$202,0)),""))</f>
        <v/>
      </c>
      <c r="G421" s="11"/>
      <c r="H421" s="15"/>
      <c r="I421" s="16" t="str">
        <f aca="false">IF($A421="","",SUMIFS(반납내역!$D$3:$D$1502,반납내역!$B$3:$B$1502,$A421))</f>
        <v/>
      </c>
      <c r="J421" s="16" t="str">
        <f aca="false">IF($A421="","",IF($G421="","",$G421-$I421))</f>
        <v/>
      </c>
      <c r="K421" s="17" t="str">
        <f aca="true">IF(OR($A421="",$J421="",$J421&lt;=0,$H421=""),"",TODAY()-$H421)</f>
        <v/>
      </c>
      <c r="L421" s="14" t="str">
        <f aca="false">IF($A421="","",IF($G421="","",IF($J421&lt;=0,"반납완료",IF($I421&gt;0,"부분반납","미반납"))))</f>
        <v/>
      </c>
    </row>
    <row r="422" customFormat="false" ht="15" hidden="false" customHeight="false" outlineLevel="0" collapsed="false">
      <c r="A422" s="14" t="str">
        <f aca="false">IF($B422="","",TEXT($B422,"yymmdd")&amp;"-"&amp;TEXT(COUNTIFS($B$3:$B422,$B422),"00"))</f>
        <v/>
      </c>
      <c r="B422" s="15"/>
      <c r="C422" s="9"/>
      <c r="D422" s="10"/>
      <c r="E422" s="14" t="str">
        <f aca="false">IF($D422="","",IFERROR(INDEX(품목목록!$B$3:$B$202,MATCH($D422,품목목록!$A$3:$A$202,0)),"미등록품번"))</f>
        <v/>
      </c>
      <c r="F422" s="14" t="str">
        <f aca="false">IF($D422="","",IFERROR(INDEX(품목목록!$D$3:$D$202,MATCH($D422,품목목록!$A$3:$A$202,0)),""))</f>
        <v/>
      </c>
      <c r="G422" s="11"/>
      <c r="H422" s="15"/>
      <c r="I422" s="16" t="str">
        <f aca="false">IF($A422="","",SUMIFS(반납내역!$D$3:$D$1502,반납내역!$B$3:$B$1502,$A422))</f>
        <v/>
      </c>
      <c r="J422" s="16" t="str">
        <f aca="false">IF($A422="","",IF($G422="","",$G422-$I422))</f>
        <v/>
      </c>
      <c r="K422" s="17" t="str">
        <f aca="true">IF(OR($A422="",$J422="",$J422&lt;=0,$H422=""),"",TODAY()-$H422)</f>
        <v/>
      </c>
      <c r="L422" s="14" t="str">
        <f aca="false">IF($A422="","",IF($G422="","",IF($J422&lt;=0,"반납완료",IF($I422&gt;0,"부분반납","미반납"))))</f>
        <v/>
      </c>
    </row>
    <row r="423" customFormat="false" ht="15" hidden="false" customHeight="false" outlineLevel="0" collapsed="false">
      <c r="A423" s="14" t="str">
        <f aca="false">IF($B423="","",TEXT($B423,"yymmdd")&amp;"-"&amp;TEXT(COUNTIFS($B$3:$B423,$B423),"00"))</f>
        <v/>
      </c>
      <c r="B423" s="15"/>
      <c r="C423" s="9"/>
      <c r="D423" s="10"/>
      <c r="E423" s="14" t="str">
        <f aca="false">IF($D423="","",IFERROR(INDEX(품목목록!$B$3:$B$202,MATCH($D423,품목목록!$A$3:$A$202,0)),"미등록품번"))</f>
        <v/>
      </c>
      <c r="F423" s="14" t="str">
        <f aca="false">IF($D423="","",IFERROR(INDEX(품목목록!$D$3:$D$202,MATCH($D423,품목목록!$A$3:$A$202,0)),""))</f>
        <v/>
      </c>
      <c r="G423" s="11"/>
      <c r="H423" s="15"/>
      <c r="I423" s="16" t="str">
        <f aca="false">IF($A423="","",SUMIFS(반납내역!$D$3:$D$1502,반납내역!$B$3:$B$1502,$A423))</f>
        <v/>
      </c>
      <c r="J423" s="16" t="str">
        <f aca="false">IF($A423="","",IF($G423="","",$G423-$I423))</f>
        <v/>
      </c>
      <c r="K423" s="17" t="str">
        <f aca="true">IF(OR($A423="",$J423="",$J423&lt;=0,$H423=""),"",TODAY()-$H423)</f>
        <v/>
      </c>
      <c r="L423" s="14" t="str">
        <f aca="false">IF($A423="","",IF($G423="","",IF($J423&lt;=0,"반납완료",IF($I423&gt;0,"부분반납","미반납"))))</f>
        <v/>
      </c>
    </row>
    <row r="424" customFormat="false" ht="15" hidden="false" customHeight="false" outlineLevel="0" collapsed="false">
      <c r="A424" s="14" t="str">
        <f aca="false">IF($B424="","",TEXT($B424,"yymmdd")&amp;"-"&amp;TEXT(COUNTIFS($B$3:$B424,$B424),"00"))</f>
        <v/>
      </c>
      <c r="B424" s="15"/>
      <c r="C424" s="9"/>
      <c r="D424" s="10"/>
      <c r="E424" s="14" t="str">
        <f aca="false">IF($D424="","",IFERROR(INDEX(품목목록!$B$3:$B$202,MATCH($D424,품목목록!$A$3:$A$202,0)),"미등록품번"))</f>
        <v/>
      </c>
      <c r="F424" s="14" t="str">
        <f aca="false">IF($D424="","",IFERROR(INDEX(품목목록!$D$3:$D$202,MATCH($D424,품목목록!$A$3:$A$202,0)),""))</f>
        <v/>
      </c>
      <c r="G424" s="11"/>
      <c r="H424" s="15"/>
      <c r="I424" s="16" t="str">
        <f aca="false">IF($A424="","",SUMIFS(반납내역!$D$3:$D$1502,반납내역!$B$3:$B$1502,$A424))</f>
        <v/>
      </c>
      <c r="J424" s="16" t="str">
        <f aca="false">IF($A424="","",IF($G424="","",$G424-$I424))</f>
        <v/>
      </c>
      <c r="K424" s="17" t="str">
        <f aca="true">IF(OR($A424="",$J424="",$J424&lt;=0,$H424=""),"",TODAY()-$H424)</f>
        <v/>
      </c>
      <c r="L424" s="14" t="str">
        <f aca="false">IF($A424="","",IF($G424="","",IF($J424&lt;=0,"반납완료",IF($I424&gt;0,"부분반납","미반납"))))</f>
        <v/>
      </c>
    </row>
    <row r="425" customFormat="false" ht="15" hidden="false" customHeight="false" outlineLevel="0" collapsed="false">
      <c r="A425" s="14" t="str">
        <f aca="false">IF($B425="","",TEXT($B425,"yymmdd")&amp;"-"&amp;TEXT(COUNTIFS($B$3:$B425,$B425),"00"))</f>
        <v/>
      </c>
      <c r="B425" s="15"/>
      <c r="C425" s="9"/>
      <c r="D425" s="10"/>
      <c r="E425" s="14" t="str">
        <f aca="false">IF($D425="","",IFERROR(INDEX(품목목록!$B$3:$B$202,MATCH($D425,품목목록!$A$3:$A$202,0)),"미등록품번"))</f>
        <v/>
      </c>
      <c r="F425" s="14" t="str">
        <f aca="false">IF($D425="","",IFERROR(INDEX(품목목록!$D$3:$D$202,MATCH($D425,품목목록!$A$3:$A$202,0)),""))</f>
        <v/>
      </c>
      <c r="G425" s="11"/>
      <c r="H425" s="15"/>
      <c r="I425" s="16" t="str">
        <f aca="false">IF($A425="","",SUMIFS(반납내역!$D$3:$D$1502,반납내역!$B$3:$B$1502,$A425))</f>
        <v/>
      </c>
      <c r="J425" s="16" t="str">
        <f aca="false">IF($A425="","",IF($G425="","",$G425-$I425))</f>
        <v/>
      </c>
      <c r="K425" s="17" t="str">
        <f aca="true">IF(OR($A425="",$J425="",$J425&lt;=0,$H425=""),"",TODAY()-$H425)</f>
        <v/>
      </c>
      <c r="L425" s="14" t="str">
        <f aca="false">IF($A425="","",IF($G425="","",IF($J425&lt;=0,"반납완료",IF($I425&gt;0,"부분반납","미반납"))))</f>
        <v/>
      </c>
    </row>
    <row r="426" customFormat="false" ht="15" hidden="false" customHeight="false" outlineLevel="0" collapsed="false">
      <c r="A426" s="14" t="str">
        <f aca="false">IF($B426="","",TEXT($B426,"yymmdd")&amp;"-"&amp;TEXT(COUNTIFS($B$3:$B426,$B426),"00"))</f>
        <v/>
      </c>
      <c r="B426" s="15"/>
      <c r="C426" s="9"/>
      <c r="D426" s="10"/>
      <c r="E426" s="14" t="str">
        <f aca="false">IF($D426="","",IFERROR(INDEX(품목목록!$B$3:$B$202,MATCH($D426,품목목록!$A$3:$A$202,0)),"미등록품번"))</f>
        <v/>
      </c>
      <c r="F426" s="14" t="str">
        <f aca="false">IF($D426="","",IFERROR(INDEX(품목목록!$D$3:$D$202,MATCH($D426,품목목록!$A$3:$A$202,0)),""))</f>
        <v/>
      </c>
      <c r="G426" s="11"/>
      <c r="H426" s="15"/>
      <c r="I426" s="16" t="str">
        <f aca="false">IF($A426="","",SUMIFS(반납내역!$D$3:$D$1502,반납내역!$B$3:$B$1502,$A426))</f>
        <v/>
      </c>
      <c r="J426" s="16" t="str">
        <f aca="false">IF($A426="","",IF($G426="","",$G426-$I426))</f>
        <v/>
      </c>
      <c r="K426" s="17" t="str">
        <f aca="true">IF(OR($A426="",$J426="",$J426&lt;=0,$H426=""),"",TODAY()-$H426)</f>
        <v/>
      </c>
      <c r="L426" s="14" t="str">
        <f aca="false">IF($A426="","",IF($G426="","",IF($J426&lt;=0,"반납완료",IF($I426&gt;0,"부분반납","미반납"))))</f>
        <v/>
      </c>
    </row>
    <row r="427" customFormat="false" ht="15" hidden="false" customHeight="false" outlineLevel="0" collapsed="false">
      <c r="A427" s="14" t="str">
        <f aca="false">IF($B427="","",TEXT($B427,"yymmdd")&amp;"-"&amp;TEXT(COUNTIFS($B$3:$B427,$B427),"00"))</f>
        <v/>
      </c>
      <c r="B427" s="15"/>
      <c r="C427" s="9"/>
      <c r="D427" s="10"/>
      <c r="E427" s="14" t="str">
        <f aca="false">IF($D427="","",IFERROR(INDEX(품목목록!$B$3:$B$202,MATCH($D427,품목목록!$A$3:$A$202,0)),"미등록품번"))</f>
        <v/>
      </c>
      <c r="F427" s="14" t="str">
        <f aca="false">IF($D427="","",IFERROR(INDEX(품목목록!$D$3:$D$202,MATCH($D427,품목목록!$A$3:$A$202,0)),""))</f>
        <v/>
      </c>
      <c r="G427" s="11"/>
      <c r="H427" s="15"/>
      <c r="I427" s="16" t="str">
        <f aca="false">IF($A427="","",SUMIFS(반납내역!$D$3:$D$1502,반납내역!$B$3:$B$1502,$A427))</f>
        <v/>
      </c>
      <c r="J427" s="16" t="str">
        <f aca="false">IF($A427="","",IF($G427="","",$G427-$I427))</f>
        <v/>
      </c>
      <c r="K427" s="17" t="str">
        <f aca="true">IF(OR($A427="",$J427="",$J427&lt;=0,$H427=""),"",TODAY()-$H427)</f>
        <v/>
      </c>
      <c r="L427" s="14" t="str">
        <f aca="false">IF($A427="","",IF($G427="","",IF($J427&lt;=0,"반납완료",IF($I427&gt;0,"부분반납","미반납"))))</f>
        <v/>
      </c>
    </row>
    <row r="428" customFormat="false" ht="15" hidden="false" customHeight="false" outlineLevel="0" collapsed="false">
      <c r="A428" s="14" t="str">
        <f aca="false">IF($B428="","",TEXT($B428,"yymmdd")&amp;"-"&amp;TEXT(COUNTIFS($B$3:$B428,$B428),"00"))</f>
        <v/>
      </c>
      <c r="B428" s="15"/>
      <c r="C428" s="9"/>
      <c r="D428" s="10"/>
      <c r="E428" s="14" t="str">
        <f aca="false">IF($D428="","",IFERROR(INDEX(품목목록!$B$3:$B$202,MATCH($D428,품목목록!$A$3:$A$202,0)),"미등록품번"))</f>
        <v/>
      </c>
      <c r="F428" s="14" t="str">
        <f aca="false">IF($D428="","",IFERROR(INDEX(품목목록!$D$3:$D$202,MATCH($D428,품목목록!$A$3:$A$202,0)),""))</f>
        <v/>
      </c>
      <c r="G428" s="11"/>
      <c r="H428" s="15"/>
      <c r="I428" s="16" t="str">
        <f aca="false">IF($A428="","",SUMIFS(반납내역!$D$3:$D$1502,반납내역!$B$3:$B$1502,$A428))</f>
        <v/>
      </c>
      <c r="J428" s="16" t="str">
        <f aca="false">IF($A428="","",IF($G428="","",$G428-$I428))</f>
        <v/>
      </c>
      <c r="K428" s="17" t="str">
        <f aca="true">IF(OR($A428="",$J428="",$J428&lt;=0,$H428=""),"",TODAY()-$H428)</f>
        <v/>
      </c>
      <c r="L428" s="14" t="str">
        <f aca="false">IF($A428="","",IF($G428="","",IF($J428&lt;=0,"반납완료",IF($I428&gt;0,"부분반납","미반납"))))</f>
        <v/>
      </c>
    </row>
    <row r="429" customFormat="false" ht="15" hidden="false" customHeight="false" outlineLevel="0" collapsed="false">
      <c r="A429" s="14" t="str">
        <f aca="false">IF($B429="","",TEXT($B429,"yymmdd")&amp;"-"&amp;TEXT(COUNTIFS($B$3:$B429,$B429),"00"))</f>
        <v/>
      </c>
      <c r="B429" s="15"/>
      <c r="C429" s="9"/>
      <c r="D429" s="10"/>
      <c r="E429" s="14" t="str">
        <f aca="false">IF($D429="","",IFERROR(INDEX(품목목록!$B$3:$B$202,MATCH($D429,품목목록!$A$3:$A$202,0)),"미등록품번"))</f>
        <v/>
      </c>
      <c r="F429" s="14" t="str">
        <f aca="false">IF($D429="","",IFERROR(INDEX(품목목록!$D$3:$D$202,MATCH($D429,품목목록!$A$3:$A$202,0)),""))</f>
        <v/>
      </c>
      <c r="G429" s="11"/>
      <c r="H429" s="15"/>
      <c r="I429" s="16" t="str">
        <f aca="false">IF($A429="","",SUMIFS(반납내역!$D$3:$D$1502,반납내역!$B$3:$B$1502,$A429))</f>
        <v/>
      </c>
      <c r="J429" s="16" t="str">
        <f aca="false">IF($A429="","",IF($G429="","",$G429-$I429))</f>
        <v/>
      </c>
      <c r="K429" s="17" t="str">
        <f aca="true">IF(OR($A429="",$J429="",$J429&lt;=0,$H429=""),"",TODAY()-$H429)</f>
        <v/>
      </c>
      <c r="L429" s="14" t="str">
        <f aca="false">IF($A429="","",IF($G429="","",IF($J429&lt;=0,"반납완료",IF($I429&gt;0,"부분반납","미반납"))))</f>
        <v/>
      </c>
    </row>
    <row r="430" customFormat="false" ht="15" hidden="false" customHeight="false" outlineLevel="0" collapsed="false">
      <c r="A430" s="14" t="str">
        <f aca="false">IF($B430="","",TEXT($B430,"yymmdd")&amp;"-"&amp;TEXT(COUNTIFS($B$3:$B430,$B430),"00"))</f>
        <v/>
      </c>
      <c r="B430" s="15"/>
      <c r="C430" s="9"/>
      <c r="D430" s="10"/>
      <c r="E430" s="14" t="str">
        <f aca="false">IF($D430="","",IFERROR(INDEX(품목목록!$B$3:$B$202,MATCH($D430,품목목록!$A$3:$A$202,0)),"미등록품번"))</f>
        <v/>
      </c>
      <c r="F430" s="14" t="str">
        <f aca="false">IF($D430="","",IFERROR(INDEX(품목목록!$D$3:$D$202,MATCH($D430,품목목록!$A$3:$A$202,0)),""))</f>
        <v/>
      </c>
      <c r="G430" s="11"/>
      <c r="H430" s="15"/>
      <c r="I430" s="16" t="str">
        <f aca="false">IF($A430="","",SUMIFS(반납내역!$D$3:$D$1502,반납내역!$B$3:$B$1502,$A430))</f>
        <v/>
      </c>
      <c r="J430" s="16" t="str">
        <f aca="false">IF($A430="","",IF($G430="","",$G430-$I430))</f>
        <v/>
      </c>
      <c r="K430" s="17" t="str">
        <f aca="true">IF(OR($A430="",$J430="",$J430&lt;=0,$H430=""),"",TODAY()-$H430)</f>
        <v/>
      </c>
      <c r="L430" s="14" t="str">
        <f aca="false">IF($A430="","",IF($G430="","",IF($J430&lt;=0,"반납완료",IF($I430&gt;0,"부분반납","미반납"))))</f>
        <v/>
      </c>
    </row>
    <row r="431" customFormat="false" ht="15" hidden="false" customHeight="false" outlineLevel="0" collapsed="false">
      <c r="A431" s="14" t="str">
        <f aca="false">IF($B431="","",TEXT($B431,"yymmdd")&amp;"-"&amp;TEXT(COUNTIFS($B$3:$B431,$B431),"00"))</f>
        <v/>
      </c>
      <c r="B431" s="15"/>
      <c r="C431" s="9"/>
      <c r="D431" s="10"/>
      <c r="E431" s="14" t="str">
        <f aca="false">IF($D431="","",IFERROR(INDEX(품목목록!$B$3:$B$202,MATCH($D431,품목목록!$A$3:$A$202,0)),"미등록품번"))</f>
        <v/>
      </c>
      <c r="F431" s="14" t="str">
        <f aca="false">IF($D431="","",IFERROR(INDEX(품목목록!$D$3:$D$202,MATCH($D431,품목목록!$A$3:$A$202,0)),""))</f>
        <v/>
      </c>
      <c r="G431" s="11"/>
      <c r="H431" s="15"/>
      <c r="I431" s="16" t="str">
        <f aca="false">IF($A431="","",SUMIFS(반납내역!$D$3:$D$1502,반납내역!$B$3:$B$1502,$A431))</f>
        <v/>
      </c>
      <c r="J431" s="16" t="str">
        <f aca="false">IF($A431="","",IF($G431="","",$G431-$I431))</f>
        <v/>
      </c>
      <c r="K431" s="17" t="str">
        <f aca="true">IF(OR($A431="",$J431="",$J431&lt;=0,$H431=""),"",TODAY()-$H431)</f>
        <v/>
      </c>
      <c r="L431" s="14" t="str">
        <f aca="false">IF($A431="","",IF($G431="","",IF($J431&lt;=0,"반납완료",IF($I431&gt;0,"부분반납","미반납"))))</f>
        <v/>
      </c>
    </row>
    <row r="432" customFormat="false" ht="15" hidden="false" customHeight="false" outlineLevel="0" collapsed="false">
      <c r="A432" s="14" t="str">
        <f aca="false">IF($B432="","",TEXT($B432,"yymmdd")&amp;"-"&amp;TEXT(COUNTIFS($B$3:$B432,$B432),"00"))</f>
        <v/>
      </c>
      <c r="B432" s="15"/>
      <c r="C432" s="9"/>
      <c r="D432" s="10"/>
      <c r="E432" s="14" t="str">
        <f aca="false">IF($D432="","",IFERROR(INDEX(품목목록!$B$3:$B$202,MATCH($D432,품목목록!$A$3:$A$202,0)),"미등록품번"))</f>
        <v/>
      </c>
      <c r="F432" s="14" t="str">
        <f aca="false">IF($D432="","",IFERROR(INDEX(품목목록!$D$3:$D$202,MATCH($D432,품목목록!$A$3:$A$202,0)),""))</f>
        <v/>
      </c>
      <c r="G432" s="11"/>
      <c r="H432" s="15"/>
      <c r="I432" s="16" t="str">
        <f aca="false">IF($A432="","",SUMIFS(반납내역!$D$3:$D$1502,반납내역!$B$3:$B$1502,$A432))</f>
        <v/>
      </c>
      <c r="J432" s="16" t="str">
        <f aca="false">IF($A432="","",IF($G432="","",$G432-$I432))</f>
        <v/>
      </c>
      <c r="K432" s="17" t="str">
        <f aca="true">IF(OR($A432="",$J432="",$J432&lt;=0,$H432=""),"",TODAY()-$H432)</f>
        <v/>
      </c>
      <c r="L432" s="14" t="str">
        <f aca="false">IF($A432="","",IF($G432="","",IF($J432&lt;=0,"반납완료",IF($I432&gt;0,"부분반납","미반납"))))</f>
        <v/>
      </c>
    </row>
    <row r="433" customFormat="false" ht="15" hidden="false" customHeight="false" outlineLevel="0" collapsed="false">
      <c r="A433" s="14" t="str">
        <f aca="false">IF($B433="","",TEXT($B433,"yymmdd")&amp;"-"&amp;TEXT(COUNTIFS($B$3:$B433,$B433),"00"))</f>
        <v/>
      </c>
      <c r="B433" s="15"/>
      <c r="C433" s="9"/>
      <c r="D433" s="10"/>
      <c r="E433" s="14" t="str">
        <f aca="false">IF($D433="","",IFERROR(INDEX(품목목록!$B$3:$B$202,MATCH($D433,품목목록!$A$3:$A$202,0)),"미등록품번"))</f>
        <v/>
      </c>
      <c r="F433" s="14" t="str">
        <f aca="false">IF($D433="","",IFERROR(INDEX(품목목록!$D$3:$D$202,MATCH($D433,품목목록!$A$3:$A$202,0)),""))</f>
        <v/>
      </c>
      <c r="G433" s="11"/>
      <c r="H433" s="15"/>
      <c r="I433" s="16" t="str">
        <f aca="false">IF($A433="","",SUMIFS(반납내역!$D$3:$D$1502,반납내역!$B$3:$B$1502,$A433))</f>
        <v/>
      </c>
      <c r="J433" s="16" t="str">
        <f aca="false">IF($A433="","",IF($G433="","",$G433-$I433))</f>
        <v/>
      </c>
      <c r="K433" s="17" t="str">
        <f aca="true">IF(OR($A433="",$J433="",$J433&lt;=0,$H433=""),"",TODAY()-$H433)</f>
        <v/>
      </c>
      <c r="L433" s="14" t="str">
        <f aca="false">IF($A433="","",IF($G433="","",IF($J433&lt;=0,"반납완료",IF($I433&gt;0,"부분반납","미반납"))))</f>
        <v/>
      </c>
    </row>
    <row r="434" customFormat="false" ht="15" hidden="false" customHeight="false" outlineLevel="0" collapsed="false">
      <c r="A434" s="14" t="str">
        <f aca="false">IF($B434="","",TEXT($B434,"yymmdd")&amp;"-"&amp;TEXT(COUNTIFS($B$3:$B434,$B434),"00"))</f>
        <v/>
      </c>
      <c r="B434" s="15"/>
      <c r="C434" s="9"/>
      <c r="D434" s="10"/>
      <c r="E434" s="14" t="str">
        <f aca="false">IF($D434="","",IFERROR(INDEX(품목목록!$B$3:$B$202,MATCH($D434,품목목록!$A$3:$A$202,0)),"미등록품번"))</f>
        <v/>
      </c>
      <c r="F434" s="14" t="str">
        <f aca="false">IF($D434="","",IFERROR(INDEX(품목목록!$D$3:$D$202,MATCH($D434,품목목록!$A$3:$A$202,0)),""))</f>
        <v/>
      </c>
      <c r="G434" s="11"/>
      <c r="H434" s="15"/>
      <c r="I434" s="16" t="str">
        <f aca="false">IF($A434="","",SUMIFS(반납내역!$D$3:$D$1502,반납내역!$B$3:$B$1502,$A434))</f>
        <v/>
      </c>
      <c r="J434" s="16" t="str">
        <f aca="false">IF($A434="","",IF($G434="","",$G434-$I434))</f>
        <v/>
      </c>
      <c r="K434" s="17" t="str">
        <f aca="true">IF(OR($A434="",$J434="",$J434&lt;=0,$H434=""),"",TODAY()-$H434)</f>
        <v/>
      </c>
      <c r="L434" s="14" t="str">
        <f aca="false">IF($A434="","",IF($G434="","",IF($J434&lt;=0,"반납완료",IF($I434&gt;0,"부분반납","미반납"))))</f>
        <v/>
      </c>
    </row>
    <row r="435" customFormat="false" ht="15" hidden="false" customHeight="false" outlineLevel="0" collapsed="false">
      <c r="A435" s="14" t="str">
        <f aca="false">IF($B435="","",TEXT($B435,"yymmdd")&amp;"-"&amp;TEXT(COUNTIFS($B$3:$B435,$B435),"00"))</f>
        <v/>
      </c>
      <c r="B435" s="15"/>
      <c r="C435" s="9"/>
      <c r="D435" s="10"/>
      <c r="E435" s="14" t="str">
        <f aca="false">IF($D435="","",IFERROR(INDEX(품목목록!$B$3:$B$202,MATCH($D435,품목목록!$A$3:$A$202,0)),"미등록품번"))</f>
        <v/>
      </c>
      <c r="F435" s="14" t="str">
        <f aca="false">IF($D435="","",IFERROR(INDEX(품목목록!$D$3:$D$202,MATCH($D435,품목목록!$A$3:$A$202,0)),""))</f>
        <v/>
      </c>
      <c r="G435" s="11"/>
      <c r="H435" s="15"/>
      <c r="I435" s="16" t="str">
        <f aca="false">IF($A435="","",SUMIFS(반납내역!$D$3:$D$1502,반납내역!$B$3:$B$1502,$A435))</f>
        <v/>
      </c>
      <c r="J435" s="16" t="str">
        <f aca="false">IF($A435="","",IF($G435="","",$G435-$I435))</f>
        <v/>
      </c>
      <c r="K435" s="17" t="str">
        <f aca="true">IF(OR($A435="",$J435="",$J435&lt;=0,$H435=""),"",TODAY()-$H435)</f>
        <v/>
      </c>
      <c r="L435" s="14" t="str">
        <f aca="false">IF($A435="","",IF($G435="","",IF($J435&lt;=0,"반납완료",IF($I435&gt;0,"부분반납","미반납"))))</f>
        <v/>
      </c>
    </row>
    <row r="436" customFormat="false" ht="15" hidden="false" customHeight="false" outlineLevel="0" collapsed="false">
      <c r="A436" s="14" t="str">
        <f aca="false">IF($B436="","",TEXT($B436,"yymmdd")&amp;"-"&amp;TEXT(COUNTIFS($B$3:$B436,$B436),"00"))</f>
        <v/>
      </c>
      <c r="B436" s="15"/>
      <c r="C436" s="9"/>
      <c r="D436" s="10"/>
      <c r="E436" s="14" t="str">
        <f aca="false">IF($D436="","",IFERROR(INDEX(품목목록!$B$3:$B$202,MATCH($D436,품목목록!$A$3:$A$202,0)),"미등록품번"))</f>
        <v/>
      </c>
      <c r="F436" s="14" t="str">
        <f aca="false">IF($D436="","",IFERROR(INDEX(품목목록!$D$3:$D$202,MATCH($D436,품목목록!$A$3:$A$202,0)),""))</f>
        <v/>
      </c>
      <c r="G436" s="11"/>
      <c r="H436" s="15"/>
      <c r="I436" s="16" t="str">
        <f aca="false">IF($A436="","",SUMIFS(반납내역!$D$3:$D$1502,반납내역!$B$3:$B$1502,$A436))</f>
        <v/>
      </c>
      <c r="J436" s="16" t="str">
        <f aca="false">IF($A436="","",IF($G436="","",$G436-$I436))</f>
        <v/>
      </c>
      <c r="K436" s="17" t="str">
        <f aca="true">IF(OR($A436="",$J436="",$J436&lt;=0,$H436=""),"",TODAY()-$H436)</f>
        <v/>
      </c>
      <c r="L436" s="14" t="str">
        <f aca="false">IF($A436="","",IF($G436="","",IF($J436&lt;=0,"반납완료",IF($I436&gt;0,"부분반납","미반납"))))</f>
        <v/>
      </c>
    </row>
    <row r="437" customFormat="false" ht="15" hidden="false" customHeight="false" outlineLevel="0" collapsed="false">
      <c r="A437" s="14" t="str">
        <f aca="false">IF($B437="","",TEXT($B437,"yymmdd")&amp;"-"&amp;TEXT(COUNTIFS($B$3:$B437,$B437),"00"))</f>
        <v/>
      </c>
      <c r="B437" s="15"/>
      <c r="C437" s="9"/>
      <c r="D437" s="10"/>
      <c r="E437" s="14" t="str">
        <f aca="false">IF($D437="","",IFERROR(INDEX(품목목록!$B$3:$B$202,MATCH($D437,품목목록!$A$3:$A$202,0)),"미등록품번"))</f>
        <v/>
      </c>
      <c r="F437" s="14" t="str">
        <f aca="false">IF($D437="","",IFERROR(INDEX(품목목록!$D$3:$D$202,MATCH($D437,품목목록!$A$3:$A$202,0)),""))</f>
        <v/>
      </c>
      <c r="G437" s="11"/>
      <c r="H437" s="15"/>
      <c r="I437" s="16" t="str">
        <f aca="false">IF($A437="","",SUMIFS(반납내역!$D$3:$D$1502,반납내역!$B$3:$B$1502,$A437))</f>
        <v/>
      </c>
      <c r="J437" s="16" t="str">
        <f aca="false">IF($A437="","",IF($G437="","",$G437-$I437))</f>
        <v/>
      </c>
      <c r="K437" s="17" t="str">
        <f aca="true">IF(OR($A437="",$J437="",$J437&lt;=0,$H437=""),"",TODAY()-$H437)</f>
        <v/>
      </c>
      <c r="L437" s="14" t="str">
        <f aca="false">IF($A437="","",IF($G437="","",IF($J437&lt;=0,"반납완료",IF($I437&gt;0,"부분반납","미반납"))))</f>
        <v/>
      </c>
    </row>
    <row r="438" customFormat="false" ht="15" hidden="false" customHeight="false" outlineLevel="0" collapsed="false">
      <c r="A438" s="14" t="str">
        <f aca="false">IF($B438="","",TEXT($B438,"yymmdd")&amp;"-"&amp;TEXT(COUNTIFS($B$3:$B438,$B438),"00"))</f>
        <v/>
      </c>
      <c r="B438" s="15"/>
      <c r="C438" s="9"/>
      <c r="D438" s="10"/>
      <c r="E438" s="14" t="str">
        <f aca="false">IF($D438="","",IFERROR(INDEX(품목목록!$B$3:$B$202,MATCH($D438,품목목록!$A$3:$A$202,0)),"미등록품번"))</f>
        <v/>
      </c>
      <c r="F438" s="14" t="str">
        <f aca="false">IF($D438="","",IFERROR(INDEX(품목목록!$D$3:$D$202,MATCH($D438,품목목록!$A$3:$A$202,0)),""))</f>
        <v/>
      </c>
      <c r="G438" s="11"/>
      <c r="H438" s="15"/>
      <c r="I438" s="16" t="str">
        <f aca="false">IF($A438="","",SUMIFS(반납내역!$D$3:$D$1502,반납내역!$B$3:$B$1502,$A438))</f>
        <v/>
      </c>
      <c r="J438" s="16" t="str">
        <f aca="false">IF($A438="","",IF($G438="","",$G438-$I438))</f>
        <v/>
      </c>
      <c r="K438" s="17" t="str">
        <f aca="true">IF(OR($A438="",$J438="",$J438&lt;=0,$H438=""),"",TODAY()-$H438)</f>
        <v/>
      </c>
      <c r="L438" s="14" t="str">
        <f aca="false">IF($A438="","",IF($G438="","",IF($J438&lt;=0,"반납완료",IF($I438&gt;0,"부분반납","미반납"))))</f>
        <v/>
      </c>
    </row>
    <row r="439" customFormat="false" ht="15" hidden="false" customHeight="false" outlineLevel="0" collapsed="false">
      <c r="A439" s="14" t="str">
        <f aca="false">IF($B439="","",TEXT($B439,"yymmdd")&amp;"-"&amp;TEXT(COUNTIFS($B$3:$B439,$B439),"00"))</f>
        <v/>
      </c>
      <c r="B439" s="15"/>
      <c r="C439" s="9"/>
      <c r="D439" s="10"/>
      <c r="E439" s="14" t="str">
        <f aca="false">IF($D439="","",IFERROR(INDEX(품목목록!$B$3:$B$202,MATCH($D439,품목목록!$A$3:$A$202,0)),"미등록품번"))</f>
        <v/>
      </c>
      <c r="F439" s="14" t="str">
        <f aca="false">IF($D439="","",IFERROR(INDEX(품목목록!$D$3:$D$202,MATCH($D439,품목목록!$A$3:$A$202,0)),""))</f>
        <v/>
      </c>
      <c r="G439" s="11"/>
      <c r="H439" s="15"/>
      <c r="I439" s="16" t="str">
        <f aca="false">IF($A439="","",SUMIFS(반납내역!$D$3:$D$1502,반납내역!$B$3:$B$1502,$A439))</f>
        <v/>
      </c>
      <c r="J439" s="16" t="str">
        <f aca="false">IF($A439="","",IF($G439="","",$G439-$I439))</f>
        <v/>
      </c>
      <c r="K439" s="17" t="str">
        <f aca="true">IF(OR($A439="",$J439="",$J439&lt;=0,$H439=""),"",TODAY()-$H439)</f>
        <v/>
      </c>
      <c r="L439" s="14" t="str">
        <f aca="false">IF($A439="","",IF($G439="","",IF($J439&lt;=0,"반납완료",IF($I439&gt;0,"부분반납","미반납"))))</f>
        <v/>
      </c>
    </row>
    <row r="440" customFormat="false" ht="15" hidden="false" customHeight="false" outlineLevel="0" collapsed="false">
      <c r="A440" s="14" t="str">
        <f aca="false">IF($B440="","",TEXT($B440,"yymmdd")&amp;"-"&amp;TEXT(COUNTIFS($B$3:$B440,$B440),"00"))</f>
        <v/>
      </c>
      <c r="B440" s="15"/>
      <c r="C440" s="9"/>
      <c r="D440" s="10"/>
      <c r="E440" s="14" t="str">
        <f aca="false">IF($D440="","",IFERROR(INDEX(품목목록!$B$3:$B$202,MATCH($D440,품목목록!$A$3:$A$202,0)),"미등록품번"))</f>
        <v/>
      </c>
      <c r="F440" s="14" t="str">
        <f aca="false">IF($D440="","",IFERROR(INDEX(품목목록!$D$3:$D$202,MATCH($D440,품목목록!$A$3:$A$202,0)),""))</f>
        <v/>
      </c>
      <c r="G440" s="11"/>
      <c r="H440" s="15"/>
      <c r="I440" s="16" t="str">
        <f aca="false">IF($A440="","",SUMIFS(반납내역!$D$3:$D$1502,반납내역!$B$3:$B$1502,$A440))</f>
        <v/>
      </c>
      <c r="J440" s="16" t="str">
        <f aca="false">IF($A440="","",IF($G440="","",$G440-$I440))</f>
        <v/>
      </c>
      <c r="K440" s="17" t="str">
        <f aca="true">IF(OR($A440="",$J440="",$J440&lt;=0,$H440=""),"",TODAY()-$H440)</f>
        <v/>
      </c>
      <c r="L440" s="14" t="str">
        <f aca="false">IF($A440="","",IF($G440="","",IF($J440&lt;=0,"반납완료",IF($I440&gt;0,"부분반납","미반납"))))</f>
        <v/>
      </c>
    </row>
    <row r="441" customFormat="false" ht="15" hidden="false" customHeight="false" outlineLevel="0" collapsed="false">
      <c r="A441" s="14" t="str">
        <f aca="false">IF($B441="","",TEXT($B441,"yymmdd")&amp;"-"&amp;TEXT(COUNTIFS($B$3:$B441,$B441),"00"))</f>
        <v/>
      </c>
      <c r="B441" s="15"/>
      <c r="C441" s="9"/>
      <c r="D441" s="10"/>
      <c r="E441" s="14" t="str">
        <f aca="false">IF($D441="","",IFERROR(INDEX(품목목록!$B$3:$B$202,MATCH($D441,품목목록!$A$3:$A$202,0)),"미등록품번"))</f>
        <v/>
      </c>
      <c r="F441" s="14" t="str">
        <f aca="false">IF($D441="","",IFERROR(INDEX(품목목록!$D$3:$D$202,MATCH($D441,품목목록!$A$3:$A$202,0)),""))</f>
        <v/>
      </c>
      <c r="G441" s="11"/>
      <c r="H441" s="15"/>
      <c r="I441" s="16" t="str">
        <f aca="false">IF($A441="","",SUMIFS(반납내역!$D$3:$D$1502,반납내역!$B$3:$B$1502,$A441))</f>
        <v/>
      </c>
      <c r="J441" s="16" t="str">
        <f aca="false">IF($A441="","",IF($G441="","",$G441-$I441))</f>
        <v/>
      </c>
      <c r="K441" s="17" t="str">
        <f aca="true">IF(OR($A441="",$J441="",$J441&lt;=0,$H441=""),"",TODAY()-$H441)</f>
        <v/>
      </c>
      <c r="L441" s="14" t="str">
        <f aca="false">IF($A441="","",IF($G441="","",IF($J441&lt;=0,"반납완료",IF($I441&gt;0,"부분반납","미반납"))))</f>
        <v/>
      </c>
    </row>
    <row r="442" customFormat="false" ht="15" hidden="false" customHeight="false" outlineLevel="0" collapsed="false">
      <c r="A442" s="14" t="str">
        <f aca="false">IF($B442="","",TEXT($B442,"yymmdd")&amp;"-"&amp;TEXT(COUNTIFS($B$3:$B442,$B442),"00"))</f>
        <v/>
      </c>
      <c r="B442" s="15"/>
      <c r="C442" s="9"/>
      <c r="D442" s="10"/>
      <c r="E442" s="14" t="str">
        <f aca="false">IF($D442="","",IFERROR(INDEX(품목목록!$B$3:$B$202,MATCH($D442,품목목록!$A$3:$A$202,0)),"미등록품번"))</f>
        <v/>
      </c>
      <c r="F442" s="14" t="str">
        <f aca="false">IF($D442="","",IFERROR(INDEX(품목목록!$D$3:$D$202,MATCH($D442,품목목록!$A$3:$A$202,0)),""))</f>
        <v/>
      </c>
      <c r="G442" s="11"/>
      <c r="H442" s="15"/>
      <c r="I442" s="16" t="str">
        <f aca="false">IF($A442="","",SUMIFS(반납내역!$D$3:$D$1502,반납내역!$B$3:$B$1502,$A442))</f>
        <v/>
      </c>
      <c r="J442" s="16" t="str">
        <f aca="false">IF($A442="","",IF($G442="","",$G442-$I442))</f>
        <v/>
      </c>
      <c r="K442" s="17" t="str">
        <f aca="true">IF(OR($A442="",$J442="",$J442&lt;=0,$H442=""),"",TODAY()-$H442)</f>
        <v/>
      </c>
      <c r="L442" s="14" t="str">
        <f aca="false">IF($A442="","",IF($G442="","",IF($J442&lt;=0,"반납완료",IF($I442&gt;0,"부분반납","미반납"))))</f>
        <v/>
      </c>
    </row>
    <row r="443" customFormat="false" ht="15" hidden="false" customHeight="false" outlineLevel="0" collapsed="false">
      <c r="A443" s="14" t="str">
        <f aca="false">IF($B443="","",TEXT($B443,"yymmdd")&amp;"-"&amp;TEXT(COUNTIFS($B$3:$B443,$B443),"00"))</f>
        <v/>
      </c>
      <c r="B443" s="15"/>
      <c r="C443" s="9"/>
      <c r="D443" s="10"/>
      <c r="E443" s="14" t="str">
        <f aca="false">IF($D443="","",IFERROR(INDEX(품목목록!$B$3:$B$202,MATCH($D443,품목목록!$A$3:$A$202,0)),"미등록품번"))</f>
        <v/>
      </c>
      <c r="F443" s="14" t="str">
        <f aca="false">IF($D443="","",IFERROR(INDEX(품목목록!$D$3:$D$202,MATCH($D443,품목목록!$A$3:$A$202,0)),""))</f>
        <v/>
      </c>
      <c r="G443" s="11"/>
      <c r="H443" s="15"/>
      <c r="I443" s="16" t="str">
        <f aca="false">IF($A443="","",SUMIFS(반납내역!$D$3:$D$1502,반납내역!$B$3:$B$1502,$A443))</f>
        <v/>
      </c>
      <c r="J443" s="16" t="str">
        <f aca="false">IF($A443="","",IF($G443="","",$G443-$I443))</f>
        <v/>
      </c>
      <c r="K443" s="17" t="str">
        <f aca="true">IF(OR($A443="",$J443="",$J443&lt;=0,$H443=""),"",TODAY()-$H443)</f>
        <v/>
      </c>
      <c r="L443" s="14" t="str">
        <f aca="false">IF($A443="","",IF($G443="","",IF($J443&lt;=0,"반납완료",IF($I443&gt;0,"부분반납","미반납"))))</f>
        <v/>
      </c>
    </row>
    <row r="444" customFormat="false" ht="15" hidden="false" customHeight="false" outlineLevel="0" collapsed="false">
      <c r="A444" s="14" t="str">
        <f aca="false">IF($B444="","",TEXT($B444,"yymmdd")&amp;"-"&amp;TEXT(COUNTIFS($B$3:$B444,$B444),"00"))</f>
        <v/>
      </c>
      <c r="B444" s="15"/>
      <c r="C444" s="9"/>
      <c r="D444" s="10"/>
      <c r="E444" s="14" t="str">
        <f aca="false">IF($D444="","",IFERROR(INDEX(품목목록!$B$3:$B$202,MATCH($D444,품목목록!$A$3:$A$202,0)),"미등록품번"))</f>
        <v/>
      </c>
      <c r="F444" s="14" t="str">
        <f aca="false">IF($D444="","",IFERROR(INDEX(품목목록!$D$3:$D$202,MATCH($D444,품목목록!$A$3:$A$202,0)),""))</f>
        <v/>
      </c>
      <c r="G444" s="11"/>
      <c r="H444" s="15"/>
      <c r="I444" s="16" t="str">
        <f aca="false">IF($A444="","",SUMIFS(반납내역!$D$3:$D$1502,반납내역!$B$3:$B$1502,$A444))</f>
        <v/>
      </c>
      <c r="J444" s="16" t="str">
        <f aca="false">IF($A444="","",IF($G444="","",$G444-$I444))</f>
        <v/>
      </c>
      <c r="K444" s="17" t="str">
        <f aca="true">IF(OR($A444="",$J444="",$J444&lt;=0,$H444=""),"",TODAY()-$H444)</f>
        <v/>
      </c>
      <c r="L444" s="14" t="str">
        <f aca="false">IF($A444="","",IF($G444="","",IF($J444&lt;=0,"반납완료",IF($I444&gt;0,"부분반납","미반납"))))</f>
        <v/>
      </c>
    </row>
    <row r="445" customFormat="false" ht="15" hidden="false" customHeight="false" outlineLevel="0" collapsed="false">
      <c r="A445" s="14" t="str">
        <f aca="false">IF($B445="","",TEXT($B445,"yymmdd")&amp;"-"&amp;TEXT(COUNTIFS($B$3:$B445,$B445),"00"))</f>
        <v/>
      </c>
      <c r="B445" s="15"/>
      <c r="C445" s="9"/>
      <c r="D445" s="10"/>
      <c r="E445" s="14" t="str">
        <f aca="false">IF($D445="","",IFERROR(INDEX(품목목록!$B$3:$B$202,MATCH($D445,품목목록!$A$3:$A$202,0)),"미등록품번"))</f>
        <v/>
      </c>
      <c r="F445" s="14" t="str">
        <f aca="false">IF($D445="","",IFERROR(INDEX(품목목록!$D$3:$D$202,MATCH($D445,품목목록!$A$3:$A$202,0)),""))</f>
        <v/>
      </c>
      <c r="G445" s="11"/>
      <c r="H445" s="15"/>
      <c r="I445" s="16" t="str">
        <f aca="false">IF($A445="","",SUMIFS(반납내역!$D$3:$D$1502,반납내역!$B$3:$B$1502,$A445))</f>
        <v/>
      </c>
      <c r="J445" s="16" t="str">
        <f aca="false">IF($A445="","",IF($G445="","",$G445-$I445))</f>
        <v/>
      </c>
      <c r="K445" s="17" t="str">
        <f aca="true">IF(OR($A445="",$J445="",$J445&lt;=0,$H445=""),"",TODAY()-$H445)</f>
        <v/>
      </c>
      <c r="L445" s="14" t="str">
        <f aca="false">IF($A445="","",IF($G445="","",IF($J445&lt;=0,"반납완료",IF($I445&gt;0,"부분반납","미반납"))))</f>
        <v/>
      </c>
    </row>
    <row r="446" customFormat="false" ht="15" hidden="false" customHeight="false" outlineLevel="0" collapsed="false">
      <c r="A446" s="14" t="str">
        <f aca="false">IF($B446="","",TEXT($B446,"yymmdd")&amp;"-"&amp;TEXT(COUNTIFS($B$3:$B446,$B446),"00"))</f>
        <v/>
      </c>
      <c r="B446" s="15"/>
      <c r="C446" s="9"/>
      <c r="D446" s="10"/>
      <c r="E446" s="14" t="str">
        <f aca="false">IF($D446="","",IFERROR(INDEX(품목목록!$B$3:$B$202,MATCH($D446,품목목록!$A$3:$A$202,0)),"미등록품번"))</f>
        <v/>
      </c>
      <c r="F446" s="14" t="str">
        <f aca="false">IF($D446="","",IFERROR(INDEX(품목목록!$D$3:$D$202,MATCH($D446,품목목록!$A$3:$A$202,0)),""))</f>
        <v/>
      </c>
      <c r="G446" s="11"/>
      <c r="H446" s="15"/>
      <c r="I446" s="16" t="str">
        <f aca="false">IF($A446="","",SUMIFS(반납내역!$D$3:$D$1502,반납내역!$B$3:$B$1502,$A446))</f>
        <v/>
      </c>
      <c r="J446" s="16" t="str">
        <f aca="false">IF($A446="","",IF($G446="","",$G446-$I446))</f>
        <v/>
      </c>
      <c r="K446" s="17" t="str">
        <f aca="true">IF(OR($A446="",$J446="",$J446&lt;=0,$H446=""),"",TODAY()-$H446)</f>
        <v/>
      </c>
      <c r="L446" s="14" t="str">
        <f aca="false">IF($A446="","",IF($G446="","",IF($J446&lt;=0,"반납완료",IF($I446&gt;0,"부분반납","미반납"))))</f>
        <v/>
      </c>
    </row>
    <row r="447" customFormat="false" ht="15" hidden="false" customHeight="false" outlineLevel="0" collapsed="false">
      <c r="A447" s="14" t="str">
        <f aca="false">IF($B447="","",TEXT($B447,"yymmdd")&amp;"-"&amp;TEXT(COUNTIFS($B$3:$B447,$B447),"00"))</f>
        <v/>
      </c>
      <c r="B447" s="15"/>
      <c r="C447" s="9"/>
      <c r="D447" s="10"/>
      <c r="E447" s="14" t="str">
        <f aca="false">IF($D447="","",IFERROR(INDEX(품목목록!$B$3:$B$202,MATCH($D447,품목목록!$A$3:$A$202,0)),"미등록품번"))</f>
        <v/>
      </c>
      <c r="F447" s="14" t="str">
        <f aca="false">IF($D447="","",IFERROR(INDEX(품목목록!$D$3:$D$202,MATCH($D447,품목목록!$A$3:$A$202,0)),""))</f>
        <v/>
      </c>
      <c r="G447" s="11"/>
      <c r="H447" s="15"/>
      <c r="I447" s="16" t="str">
        <f aca="false">IF($A447="","",SUMIFS(반납내역!$D$3:$D$1502,반납내역!$B$3:$B$1502,$A447))</f>
        <v/>
      </c>
      <c r="J447" s="16" t="str">
        <f aca="false">IF($A447="","",IF($G447="","",$G447-$I447))</f>
        <v/>
      </c>
      <c r="K447" s="17" t="str">
        <f aca="true">IF(OR($A447="",$J447="",$J447&lt;=0,$H447=""),"",TODAY()-$H447)</f>
        <v/>
      </c>
      <c r="L447" s="14" t="str">
        <f aca="false">IF($A447="","",IF($G447="","",IF($J447&lt;=0,"반납완료",IF($I447&gt;0,"부분반납","미반납"))))</f>
        <v/>
      </c>
    </row>
    <row r="448" customFormat="false" ht="15" hidden="false" customHeight="false" outlineLevel="0" collapsed="false">
      <c r="A448" s="14" t="str">
        <f aca="false">IF($B448="","",TEXT($B448,"yymmdd")&amp;"-"&amp;TEXT(COUNTIFS($B$3:$B448,$B448),"00"))</f>
        <v/>
      </c>
      <c r="B448" s="15"/>
      <c r="C448" s="9"/>
      <c r="D448" s="10"/>
      <c r="E448" s="14" t="str">
        <f aca="false">IF($D448="","",IFERROR(INDEX(품목목록!$B$3:$B$202,MATCH($D448,품목목록!$A$3:$A$202,0)),"미등록품번"))</f>
        <v/>
      </c>
      <c r="F448" s="14" t="str">
        <f aca="false">IF($D448="","",IFERROR(INDEX(품목목록!$D$3:$D$202,MATCH($D448,품목목록!$A$3:$A$202,0)),""))</f>
        <v/>
      </c>
      <c r="G448" s="11"/>
      <c r="H448" s="15"/>
      <c r="I448" s="16" t="str">
        <f aca="false">IF($A448="","",SUMIFS(반납내역!$D$3:$D$1502,반납내역!$B$3:$B$1502,$A448))</f>
        <v/>
      </c>
      <c r="J448" s="16" t="str">
        <f aca="false">IF($A448="","",IF($G448="","",$G448-$I448))</f>
        <v/>
      </c>
      <c r="K448" s="17" t="str">
        <f aca="true">IF(OR($A448="",$J448="",$J448&lt;=0,$H448=""),"",TODAY()-$H448)</f>
        <v/>
      </c>
      <c r="L448" s="14" t="str">
        <f aca="false">IF($A448="","",IF($G448="","",IF($J448&lt;=0,"반납완료",IF($I448&gt;0,"부분반납","미반납"))))</f>
        <v/>
      </c>
    </row>
    <row r="449" customFormat="false" ht="15" hidden="false" customHeight="false" outlineLevel="0" collapsed="false">
      <c r="A449" s="14" t="str">
        <f aca="false">IF($B449="","",TEXT($B449,"yymmdd")&amp;"-"&amp;TEXT(COUNTIFS($B$3:$B449,$B449),"00"))</f>
        <v/>
      </c>
      <c r="B449" s="15"/>
      <c r="C449" s="9"/>
      <c r="D449" s="10"/>
      <c r="E449" s="14" t="str">
        <f aca="false">IF($D449="","",IFERROR(INDEX(품목목록!$B$3:$B$202,MATCH($D449,품목목록!$A$3:$A$202,0)),"미등록품번"))</f>
        <v/>
      </c>
      <c r="F449" s="14" t="str">
        <f aca="false">IF($D449="","",IFERROR(INDEX(품목목록!$D$3:$D$202,MATCH($D449,품목목록!$A$3:$A$202,0)),""))</f>
        <v/>
      </c>
      <c r="G449" s="11"/>
      <c r="H449" s="15"/>
      <c r="I449" s="16" t="str">
        <f aca="false">IF($A449="","",SUMIFS(반납내역!$D$3:$D$1502,반납내역!$B$3:$B$1502,$A449))</f>
        <v/>
      </c>
      <c r="J449" s="16" t="str">
        <f aca="false">IF($A449="","",IF($G449="","",$G449-$I449))</f>
        <v/>
      </c>
      <c r="K449" s="17" t="str">
        <f aca="true">IF(OR($A449="",$J449="",$J449&lt;=0,$H449=""),"",TODAY()-$H449)</f>
        <v/>
      </c>
      <c r="L449" s="14" t="str">
        <f aca="false">IF($A449="","",IF($G449="","",IF($J449&lt;=0,"반납완료",IF($I449&gt;0,"부분반납","미반납"))))</f>
        <v/>
      </c>
    </row>
    <row r="450" customFormat="false" ht="15" hidden="false" customHeight="false" outlineLevel="0" collapsed="false">
      <c r="A450" s="14" t="str">
        <f aca="false">IF($B450="","",TEXT($B450,"yymmdd")&amp;"-"&amp;TEXT(COUNTIFS($B$3:$B450,$B450),"00"))</f>
        <v/>
      </c>
      <c r="B450" s="15"/>
      <c r="C450" s="9"/>
      <c r="D450" s="10"/>
      <c r="E450" s="14" t="str">
        <f aca="false">IF($D450="","",IFERROR(INDEX(품목목록!$B$3:$B$202,MATCH($D450,품목목록!$A$3:$A$202,0)),"미등록품번"))</f>
        <v/>
      </c>
      <c r="F450" s="14" t="str">
        <f aca="false">IF($D450="","",IFERROR(INDEX(품목목록!$D$3:$D$202,MATCH($D450,품목목록!$A$3:$A$202,0)),""))</f>
        <v/>
      </c>
      <c r="G450" s="11"/>
      <c r="H450" s="15"/>
      <c r="I450" s="16" t="str">
        <f aca="false">IF($A450="","",SUMIFS(반납내역!$D$3:$D$1502,반납내역!$B$3:$B$1502,$A450))</f>
        <v/>
      </c>
      <c r="J450" s="16" t="str">
        <f aca="false">IF($A450="","",IF($G450="","",$G450-$I450))</f>
        <v/>
      </c>
      <c r="K450" s="17" t="str">
        <f aca="true">IF(OR($A450="",$J450="",$J450&lt;=0,$H450=""),"",TODAY()-$H450)</f>
        <v/>
      </c>
      <c r="L450" s="14" t="str">
        <f aca="false">IF($A450="","",IF($G450="","",IF($J450&lt;=0,"반납완료",IF($I450&gt;0,"부분반납","미반납"))))</f>
        <v/>
      </c>
    </row>
    <row r="451" customFormat="false" ht="15" hidden="false" customHeight="false" outlineLevel="0" collapsed="false">
      <c r="A451" s="14" t="str">
        <f aca="false">IF($B451="","",TEXT($B451,"yymmdd")&amp;"-"&amp;TEXT(COUNTIFS($B$3:$B451,$B451),"00"))</f>
        <v/>
      </c>
      <c r="B451" s="15"/>
      <c r="C451" s="9"/>
      <c r="D451" s="10"/>
      <c r="E451" s="14" t="str">
        <f aca="false">IF($D451="","",IFERROR(INDEX(품목목록!$B$3:$B$202,MATCH($D451,품목목록!$A$3:$A$202,0)),"미등록품번"))</f>
        <v/>
      </c>
      <c r="F451" s="14" t="str">
        <f aca="false">IF($D451="","",IFERROR(INDEX(품목목록!$D$3:$D$202,MATCH($D451,품목목록!$A$3:$A$202,0)),""))</f>
        <v/>
      </c>
      <c r="G451" s="11"/>
      <c r="H451" s="15"/>
      <c r="I451" s="16" t="str">
        <f aca="false">IF($A451="","",SUMIFS(반납내역!$D$3:$D$1502,반납내역!$B$3:$B$1502,$A451))</f>
        <v/>
      </c>
      <c r="J451" s="16" t="str">
        <f aca="false">IF($A451="","",IF($G451="","",$G451-$I451))</f>
        <v/>
      </c>
      <c r="K451" s="17" t="str">
        <f aca="true">IF(OR($A451="",$J451="",$J451&lt;=0,$H451=""),"",TODAY()-$H451)</f>
        <v/>
      </c>
      <c r="L451" s="14" t="str">
        <f aca="false">IF($A451="","",IF($G451="","",IF($J451&lt;=0,"반납완료",IF($I451&gt;0,"부분반납","미반납"))))</f>
        <v/>
      </c>
    </row>
    <row r="452" customFormat="false" ht="15" hidden="false" customHeight="false" outlineLevel="0" collapsed="false">
      <c r="A452" s="14" t="str">
        <f aca="false">IF($B452="","",TEXT($B452,"yymmdd")&amp;"-"&amp;TEXT(COUNTIFS($B$3:$B452,$B452),"00"))</f>
        <v/>
      </c>
      <c r="B452" s="15"/>
      <c r="C452" s="9"/>
      <c r="D452" s="10"/>
      <c r="E452" s="14" t="str">
        <f aca="false">IF($D452="","",IFERROR(INDEX(품목목록!$B$3:$B$202,MATCH($D452,품목목록!$A$3:$A$202,0)),"미등록품번"))</f>
        <v/>
      </c>
      <c r="F452" s="14" t="str">
        <f aca="false">IF($D452="","",IFERROR(INDEX(품목목록!$D$3:$D$202,MATCH($D452,품목목록!$A$3:$A$202,0)),""))</f>
        <v/>
      </c>
      <c r="G452" s="11"/>
      <c r="H452" s="15"/>
      <c r="I452" s="16" t="str">
        <f aca="false">IF($A452="","",SUMIFS(반납내역!$D$3:$D$1502,반납내역!$B$3:$B$1502,$A452))</f>
        <v/>
      </c>
      <c r="J452" s="16" t="str">
        <f aca="false">IF($A452="","",IF($G452="","",$G452-$I452))</f>
        <v/>
      </c>
      <c r="K452" s="17" t="str">
        <f aca="true">IF(OR($A452="",$J452="",$J452&lt;=0,$H452=""),"",TODAY()-$H452)</f>
        <v/>
      </c>
      <c r="L452" s="14" t="str">
        <f aca="false">IF($A452="","",IF($G452="","",IF($J452&lt;=0,"반납완료",IF($I452&gt;0,"부분반납","미반납"))))</f>
        <v/>
      </c>
    </row>
    <row r="453" customFormat="false" ht="15" hidden="false" customHeight="false" outlineLevel="0" collapsed="false">
      <c r="A453" s="14" t="str">
        <f aca="false">IF($B453="","",TEXT($B453,"yymmdd")&amp;"-"&amp;TEXT(COUNTIFS($B$3:$B453,$B453),"00"))</f>
        <v/>
      </c>
      <c r="B453" s="15"/>
      <c r="C453" s="9"/>
      <c r="D453" s="10"/>
      <c r="E453" s="14" t="str">
        <f aca="false">IF($D453="","",IFERROR(INDEX(품목목록!$B$3:$B$202,MATCH($D453,품목목록!$A$3:$A$202,0)),"미등록품번"))</f>
        <v/>
      </c>
      <c r="F453" s="14" t="str">
        <f aca="false">IF($D453="","",IFERROR(INDEX(품목목록!$D$3:$D$202,MATCH($D453,품목목록!$A$3:$A$202,0)),""))</f>
        <v/>
      </c>
      <c r="G453" s="11"/>
      <c r="H453" s="15"/>
      <c r="I453" s="16" t="str">
        <f aca="false">IF($A453="","",SUMIFS(반납내역!$D$3:$D$1502,반납내역!$B$3:$B$1502,$A453))</f>
        <v/>
      </c>
      <c r="J453" s="16" t="str">
        <f aca="false">IF($A453="","",IF($G453="","",$G453-$I453))</f>
        <v/>
      </c>
      <c r="K453" s="17" t="str">
        <f aca="true">IF(OR($A453="",$J453="",$J453&lt;=0,$H453=""),"",TODAY()-$H453)</f>
        <v/>
      </c>
      <c r="L453" s="14" t="str">
        <f aca="false">IF($A453="","",IF($G453="","",IF($J453&lt;=0,"반납완료",IF($I453&gt;0,"부분반납","미반납"))))</f>
        <v/>
      </c>
    </row>
    <row r="454" customFormat="false" ht="15" hidden="false" customHeight="false" outlineLevel="0" collapsed="false">
      <c r="A454" s="14" t="str">
        <f aca="false">IF($B454="","",TEXT($B454,"yymmdd")&amp;"-"&amp;TEXT(COUNTIFS($B$3:$B454,$B454),"00"))</f>
        <v/>
      </c>
      <c r="B454" s="15"/>
      <c r="C454" s="9"/>
      <c r="D454" s="10"/>
      <c r="E454" s="14" t="str">
        <f aca="false">IF($D454="","",IFERROR(INDEX(품목목록!$B$3:$B$202,MATCH($D454,품목목록!$A$3:$A$202,0)),"미등록품번"))</f>
        <v/>
      </c>
      <c r="F454" s="14" t="str">
        <f aca="false">IF($D454="","",IFERROR(INDEX(품목목록!$D$3:$D$202,MATCH($D454,품목목록!$A$3:$A$202,0)),""))</f>
        <v/>
      </c>
      <c r="G454" s="11"/>
      <c r="H454" s="15"/>
      <c r="I454" s="16" t="str">
        <f aca="false">IF($A454="","",SUMIFS(반납내역!$D$3:$D$1502,반납내역!$B$3:$B$1502,$A454))</f>
        <v/>
      </c>
      <c r="J454" s="16" t="str">
        <f aca="false">IF($A454="","",IF($G454="","",$G454-$I454))</f>
        <v/>
      </c>
      <c r="K454" s="17" t="str">
        <f aca="true">IF(OR($A454="",$J454="",$J454&lt;=0,$H454=""),"",TODAY()-$H454)</f>
        <v/>
      </c>
      <c r="L454" s="14" t="str">
        <f aca="false">IF($A454="","",IF($G454="","",IF($J454&lt;=0,"반납완료",IF($I454&gt;0,"부분반납","미반납"))))</f>
        <v/>
      </c>
    </row>
    <row r="455" customFormat="false" ht="15" hidden="false" customHeight="false" outlineLevel="0" collapsed="false">
      <c r="A455" s="14" t="str">
        <f aca="false">IF($B455="","",TEXT($B455,"yymmdd")&amp;"-"&amp;TEXT(COUNTIFS($B$3:$B455,$B455),"00"))</f>
        <v/>
      </c>
      <c r="B455" s="15"/>
      <c r="C455" s="9"/>
      <c r="D455" s="10"/>
      <c r="E455" s="14" t="str">
        <f aca="false">IF($D455="","",IFERROR(INDEX(품목목록!$B$3:$B$202,MATCH($D455,품목목록!$A$3:$A$202,0)),"미등록품번"))</f>
        <v/>
      </c>
      <c r="F455" s="14" t="str">
        <f aca="false">IF($D455="","",IFERROR(INDEX(품목목록!$D$3:$D$202,MATCH($D455,품목목록!$A$3:$A$202,0)),""))</f>
        <v/>
      </c>
      <c r="G455" s="11"/>
      <c r="H455" s="15"/>
      <c r="I455" s="16" t="str">
        <f aca="false">IF($A455="","",SUMIFS(반납내역!$D$3:$D$1502,반납내역!$B$3:$B$1502,$A455))</f>
        <v/>
      </c>
      <c r="J455" s="16" t="str">
        <f aca="false">IF($A455="","",IF($G455="","",$G455-$I455))</f>
        <v/>
      </c>
      <c r="K455" s="17" t="str">
        <f aca="true">IF(OR($A455="",$J455="",$J455&lt;=0,$H455=""),"",TODAY()-$H455)</f>
        <v/>
      </c>
      <c r="L455" s="14" t="str">
        <f aca="false">IF($A455="","",IF($G455="","",IF($J455&lt;=0,"반납완료",IF($I455&gt;0,"부분반납","미반납"))))</f>
        <v/>
      </c>
    </row>
    <row r="456" customFormat="false" ht="15" hidden="false" customHeight="false" outlineLevel="0" collapsed="false">
      <c r="A456" s="14" t="str">
        <f aca="false">IF($B456="","",TEXT($B456,"yymmdd")&amp;"-"&amp;TEXT(COUNTIFS($B$3:$B456,$B456),"00"))</f>
        <v/>
      </c>
      <c r="B456" s="15"/>
      <c r="C456" s="9"/>
      <c r="D456" s="10"/>
      <c r="E456" s="14" t="str">
        <f aca="false">IF($D456="","",IFERROR(INDEX(품목목록!$B$3:$B$202,MATCH($D456,품목목록!$A$3:$A$202,0)),"미등록품번"))</f>
        <v/>
      </c>
      <c r="F456" s="14" t="str">
        <f aca="false">IF($D456="","",IFERROR(INDEX(품목목록!$D$3:$D$202,MATCH($D456,품목목록!$A$3:$A$202,0)),""))</f>
        <v/>
      </c>
      <c r="G456" s="11"/>
      <c r="H456" s="15"/>
      <c r="I456" s="16" t="str">
        <f aca="false">IF($A456="","",SUMIFS(반납내역!$D$3:$D$1502,반납내역!$B$3:$B$1502,$A456))</f>
        <v/>
      </c>
      <c r="J456" s="16" t="str">
        <f aca="false">IF($A456="","",IF($G456="","",$G456-$I456))</f>
        <v/>
      </c>
      <c r="K456" s="17" t="str">
        <f aca="true">IF(OR($A456="",$J456="",$J456&lt;=0,$H456=""),"",TODAY()-$H456)</f>
        <v/>
      </c>
      <c r="L456" s="14" t="str">
        <f aca="false">IF($A456="","",IF($G456="","",IF($J456&lt;=0,"반납완료",IF($I456&gt;0,"부분반납","미반납"))))</f>
        <v/>
      </c>
    </row>
    <row r="457" customFormat="false" ht="15" hidden="false" customHeight="false" outlineLevel="0" collapsed="false">
      <c r="A457" s="14" t="str">
        <f aca="false">IF($B457="","",TEXT($B457,"yymmdd")&amp;"-"&amp;TEXT(COUNTIFS($B$3:$B457,$B457),"00"))</f>
        <v/>
      </c>
      <c r="B457" s="15"/>
      <c r="C457" s="9"/>
      <c r="D457" s="10"/>
      <c r="E457" s="14" t="str">
        <f aca="false">IF($D457="","",IFERROR(INDEX(품목목록!$B$3:$B$202,MATCH($D457,품목목록!$A$3:$A$202,0)),"미등록품번"))</f>
        <v/>
      </c>
      <c r="F457" s="14" t="str">
        <f aca="false">IF($D457="","",IFERROR(INDEX(품목목록!$D$3:$D$202,MATCH($D457,품목목록!$A$3:$A$202,0)),""))</f>
        <v/>
      </c>
      <c r="G457" s="11"/>
      <c r="H457" s="15"/>
      <c r="I457" s="16" t="str">
        <f aca="false">IF($A457="","",SUMIFS(반납내역!$D$3:$D$1502,반납내역!$B$3:$B$1502,$A457))</f>
        <v/>
      </c>
      <c r="J457" s="16" t="str">
        <f aca="false">IF($A457="","",IF($G457="","",$G457-$I457))</f>
        <v/>
      </c>
      <c r="K457" s="17" t="str">
        <f aca="true">IF(OR($A457="",$J457="",$J457&lt;=0,$H457=""),"",TODAY()-$H457)</f>
        <v/>
      </c>
      <c r="L457" s="14" t="str">
        <f aca="false">IF($A457="","",IF($G457="","",IF($J457&lt;=0,"반납완료",IF($I457&gt;0,"부분반납","미반납"))))</f>
        <v/>
      </c>
    </row>
    <row r="458" customFormat="false" ht="15" hidden="false" customHeight="false" outlineLevel="0" collapsed="false">
      <c r="A458" s="14" t="str">
        <f aca="false">IF($B458="","",TEXT($B458,"yymmdd")&amp;"-"&amp;TEXT(COUNTIFS($B$3:$B458,$B458),"00"))</f>
        <v/>
      </c>
      <c r="B458" s="15"/>
      <c r="C458" s="9"/>
      <c r="D458" s="10"/>
      <c r="E458" s="14" t="str">
        <f aca="false">IF($D458="","",IFERROR(INDEX(품목목록!$B$3:$B$202,MATCH($D458,품목목록!$A$3:$A$202,0)),"미등록품번"))</f>
        <v/>
      </c>
      <c r="F458" s="14" t="str">
        <f aca="false">IF($D458="","",IFERROR(INDEX(품목목록!$D$3:$D$202,MATCH($D458,품목목록!$A$3:$A$202,0)),""))</f>
        <v/>
      </c>
      <c r="G458" s="11"/>
      <c r="H458" s="15"/>
      <c r="I458" s="16" t="str">
        <f aca="false">IF($A458="","",SUMIFS(반납내역!$D$3:$D$1502,반납내역!$B$3:$B$1502,$A458))</f>
        <v/>
      </c>
      <c r="J458" s="16" t="str">
        <f aca="false">IF($A458="","",IF($G458="","",$G458-$I458))</f>
        <v/>
      </c>
      <c r="K458" s="17" t="str">
        <f aca="true">IF(OR($A458="",$J458="",$J458&lt;=0,$H458=""),"",TODAY()-$H458)</f>
        <v/>
      </c>
      <c r="L458" s="14" t="str">
        <f aca="false">IF($A458="","",IF($G458="","",IF($J458&lt;=0,"반납완료",IF($I458&gt;0,"부분반납","미반납"))))</f>
        <v/>
      </c>
    </row>
    <row r="459" customFormat="false" ht="15" hidden="false" customHeight="false" outlineLevel="0" collapsed="false">
      <c r="A459" s="14" t="str">
        <f aca="false">IF($B459="","",TEXT($B459,"yymmdd")&amp;"-"&amp;TEXT(COUNTIFS($B$3:$B459,$B459),"00"))</f>
        <v/>
      </c>
      <c r="B459" s="15"/>
      <c r="C459" s="9"/>
      <c r="D459" s="10"/>
      <c r="E459" s="14" t="str">
        <f aca="false">IF($D459="","",IFERROR(INDEX(품목목록!$B$3:$B$202,MATCH($D459,품목목록!$A$3:$A$202,0)),"미등록품번"))</f>
        <v/>
      </c>
      <c r="F459" s="14" t="str">
        <f aca="false">IF($D459="","",IFERROR(INDEX(품목목록!$D$3:$D$202,MATCH($D459,품목목록!$A$3:$A$202,0)),""))</f>
        <v/>
      </c>
      <c r="G459" s="11"/>
      <c r="H459" s="15"/>
      <c r="I459" s="16" t="str">
        <f aca="false">IF($A459="","",SUMIFS(반납내역!$D$3:$D$1502,반납내역!$B$3:$B$1502,$A459))</f>
        <v/>
      </c>
      <c r="J459" s="16" t="str">
        <f aca="false">IF($A459="","",IF($G459="","",$G459-$I459))</f>
        <v/>
      </c>
      <c r="K459" s="17" t="str">
        <f aca="true">IF(OR($A459="",$J459="",$J459&lt;=0,$H459=""),"",TODAY()-$H459)</f>
        <v/>
      </c>
      <c r="L459" s="14" t="str">
        <f aca="false">IF($A459="","",IF($G459="","",IF($J459&lt;=0,"반납완료",IF($I459&gt;0,"부분반납","미반납"))))</f>
        <v/>
      </c>
    </row>
    <row r="460" customFormat="false" ht="15" hidden="false" customHeight="false" outlineLevel="0" collapsed="false">
      <c r="A460" s="14" t="str">
        <f aca="false">IF($B460="","",TEXT($B460,"yymmdd")&amp;"-"&amp;TEXT(COUNTIFS($B$3:$B460,$B460),"00"))</f>
        <v/>
      </c>
      <c r="B460" s="15"/>
      <c r="C460" s="9"/>
      <c r="D460" s="10"/>
      <c r="E460" s="14" t="str">
        <f aca="false">IF($D460="","",IFERROR(INDEX(품목목록!$B$3:$B$202,MATCH($D460,품목목록!$A$3:$A$202,0)),"미등록품번"))</f>
        <v/>
      </c>
      <c r="F460" s="14" t="str">
        <f aca="false">IF($D460="","",IFERROR(INDEX(품목목록!$D$3:$D$202,MATCH($D460,품목목록!$A$3:$A$202,0)),""))</f>
        <v/>
      </c>
      <c r="G460" s="11"/>
      <c r="H460" s="15"/>
      <c r="I460" s="16" t="str">
        <f aca="false">IF($A460="","",SUMIFS(반납내역!$D$3:$D$1502,반납내역!$B$3:$B$1502,$A460))</f>
        <v/>
      </c>
      <c r="J460" s="16" t="str">
        <f aca="false">IF($A460="","",IF($G460="","",$G460-$I460))</f>
        <v/>
      </c>
      <c r="K460" s="17" t="str">
        <f aca="true">IF(OR($A460="",$J460="",$J460&lt;=0,$H460=""),"",TODAY()-$H460)</f>
        <v/>
      </c>
      <c r="L460" s="14" t="str">
        <f aca="false">IF($A460="","",IF($G460="","",IF($J460&lt;=0,"반납완료",IF($I460&gt;0,"부분반납","미반납"))))</f>
        <v/>
      </c>
    </row>
    <row r="461" customFormat="false" ht="15" hidden="false" customHeight="false" outlineLevel="0" collapsed="false">
      <c r="A461" s="14" t="str">
        <f aca="false">IF($B461="","",TEXT($B461,"yymmdd")&amp;"-"&amp;TEXT(COUNTIFS($B$3:$B461,$B461),"00"))</f>
        <v/>
      </c>
      <c r="B461" s="15"/>
      <c r="C461" s="9"/>
      <c r="D461" s="10"/>
      <c r="E461" s="14" t="str">
        <f aca="false">IF($D461="","",IFERROR(INDEX(품목목록!$B$3:$B$202,MATCH($D461,품목목록!$A$3:$A$202,0)),"미등록품번"))</f>
        <v/>
      </c>
      <c r="F461" s="14" t="str">
        <f aca="false">IF($D461="","",IFERROR(INDEX(품목목록!$D$3:$D$202,MATCH($D461,품목목록!$A$3:$A$202,0)),""))</f>
        <v/>
      </c>
      <c r="G461" s="11"/>
      <c r="H461" s="15"/>
      <c r="I461" s="16" t="str">
        <f aca="false">IF($A461="","",SUMIFS(반납내역!$D$3:$D$1502,반납내역!$B$3:$B$1502,$A461))</f>
        <v/>
      </c>
      <c r="J461" s="16" t="str">
        <f aca="false">IF($A461="","",IF($G461="","",$G461-$I461))</f>
        <v/>
      </c>
      <c r="K461" s="17" t="str">
        <f aca="true">IF(OR($A461="",$J461="",$J461&lt;=0,$H461=""),"",TODAY()-$H461)</f>
        <v/>
      </c>
      <c r="L461" s="14" t="str">
        <f aca="false">IF($A461="","",IF($G461="","",IF($J461&lt;=0,"반납완료",IF($I461&gt;0,"부분반납","미반납"))))</f>
        <v/>
      </c>
    </row>
    <row r="462" customFormat="false" ht="15" hidden="false" customHeight="false" outlineLevel="0" collapsed="false">
      <c r="A462" s="14" t="str">
        <f aca="false">IF($B462="","",TEXT($B462,"yymmdd")&amp;"-"&amp;TEXT(COUNTIFS($B$3:$B462,$B462),"00"))</f>
        <v/>
      </c>
      <c r="B462" s="15"/>
      <c r="C462" s="9"/>
      <c r="D462" s="10"/>
      <c r="E462" s="14" t="str">
        <f aca="false">IF($D462="","",IFERROR(INDEX(품목목록!$B$3:$B$202,MATCH($D462,품목목록!$A$3:$A$202,0)),"미등록품번"))</f>
        <v/>
      </c>
      <c r="F462" s="14" t="str">
        <f aca="false">IF($D462="","",IFERROR(INDEX(품목목록!$D$3:$D$202,MATCH($D462,품목목록!$A$3:$A$202,0)),""))</f>
        <v/>
      </c>
      <c r="G462" s="11"/>
      <c r="H462" s="15"/>
      <c r="I462" s="16" t="str">
        <f aca="false">IF($A462="","",SUMIFS(반납내역!$D$3:$D$1502,반납내역!$B$3:$B$1502,$A462))</f>
        <v/>
      </c>
      <c r="J462" s="16" t="str">
        <f aca="false">IF($A462="","",IF($G462="","",$G462-$I462))</f>
        <v/>
      </c>
      <c r="K462" s="17" t="str">
        <f aca="true">IF(OR($A462="",$J462="",$J462&lt;=0,$H462=""),"",TODAY()-$H462)</f>
        <v/>
      </c>
      <c r="L462" s="14" t="str">
        <f aca="false">IF($A462="","",IF($G462="","",IF($J462&lt;=0,"반납완료",IF($I462&gt;0,"부분반납","미반납"))))</f>
        <v/>
      </c>
    </row>
    <row r="463" customFormat="false" ht="15" hidden="false" customHeight="false" outlineLevel="0" collapsed="false">
      <c r="A463" s="14" t="str">
        <f aca="false">IF($B463="","",TEXT($B463,"yymmdd")&amp;"-"&amp;TEXT(COUNTIFS($B$3:$B463,$B463),"00"))</f>
        <v/>
      </c>
      <c r="B463" s="15"/>
      <c r="C463" s="9"/>
      <c r="D463" s="10"/>
      <c r="E463" s="14" t="str">
        <f aca="false">IF($D463="","",IFERROR(INDEX(품목목록!$B$3:$B$202,MATCH($D463,품목목록!$A$3:$A$202,0)),"미등록품번"))</f>
        <v/>
      </c>
      <c r="F463" s="14" t="str">
        <f aca="false">IF($D463="","",IFERROR(INDEX(품목목록!$D$3:$D$202,MATCH($D463,품목목록!$A$3:$A$202,0)),""))</f>
        <v/>
      </c>
      <c r="G463" s="11"/>
      <c r="H463" s="15"/>
      <c r="I463" s="16" t="str">
        <f aca="false">IF($A463="","",SUMIFS(반납내역!$D$3:$D$1502,반납내역!$B$3:$B$1502,$A463))</f>
        <v/>
      </c>
      <c r="J463" s="16" t="str">
        <f aca="false">IF($A463="","",IF($G463="","",$G463-$I463))</f>
        <v/>
      </c>
      <c r="K463" s="17" t="str">
        <f aca="true">IF(OR($A463="",$J463="",$J463&lt;=0,$H463=""),"",TODAY()-$H463)</f>
        <v/>
      </c>
      <c r="L463" s="14" t="str">
        <f aca="false">IF($A463="","",IF($G463="","",IF($J463&lt;=0,"반납완료",IF($I463&gt;0,"부분반납","미반납"))))</f>
        <v/>
      </c>
    </row>
    <row r="464" customFormat="false" ht="15" hidden="false" customHeight="false" outlineLevel="0" collapsed="false">
      <c r="A464" s="14" t="str">
        <f aca="false">IF($B464="","",TEXT($B464,"yymmdd")&amp;"-"&amp;TEXT(COUNTIFS($B$3:$B464,$B464),"00"))</f>
        <v/>
      </c>
      <c r="B464" s="15"/>
      <c r="C464" s="9"/>
      <c r="D464" s="10"/>
      <c r="E464" s="14" t="str">
        <f aca="false">IF($D464="","",IFERROR(INDEX(품목목록!$B$3:$B$202,MATCH($D464,품목목록!$A$3:$A$202,0)),"미등록품번"))</f>
        <v/>
      </c>
      <c r="F464" s="14" t="str">
        <f aca="false">IF($D464="","",IFERROR(INDEX(품목목록!$D$3:$D$202,MATCH($D464,품목목록!$A$3:$A$202,0)),""))</f>
        <v/>
      </c>
      <c r="G464" s="11"/>
      <c r="H464" s="15"/>
      <c r="I464" s="16" t="str">
        <f aca="false">IF($A464="","",SUMIFS(반납내역!$D$3:$D$1502,반납내역!$B$3:$B$1502,$A464))</f>
        <v/>
      </c>
      <c r="J464" s="16" t="str">
        <f aca="false">IF($A464="","",IF($G464="","",$G464-$I464))</f>
        <v/>
      </c>
      <c r="K464" s="17" t="str">
        <f aca="true">IF(OR($A464="",$J464="",$J464&lt;=0,$H464=""),"",TODAY()-$H464)</f>
        <v/>
      </c>
      <c r="L464" s="14" t="str">
        <f aca="false">IF($A464="","",IF($G464="","",IF($J464&lt;=0,"반납완료",IF($I464&gt;0,"부분반납","미반납"))))</f>
        <v/>
      </c>
    </row>
    <row r="465" customFormat="false" ht="15" hidden="false" customHeight="false" outlineLevel="0" collapsed="false">
      <c r="A465" s="14" t="str">
        <f aca="false">IF($B465="","",TEXT($B465,"yymmdd")&amp;"-"&amp;TEXT(COUNTIFS($B$3:$B465,$B465),"00"))</f>
        <v/>
      </c>
      <c r="B465" s="15"/>
      <c r="C465" s="9"/>
      <c r="D465" s="10"/>
      <c r="E465" s="14" t="str">
        <f aca="false">IF($D465="","",IFERROR(INDEX(품목목록!$B$3:$B$202,MATCH($D465,품목목록!$A$3:$A$202,0)),"미등록품번"))</f>
        <v/>
      </c>
      <c r="F465" s="14" t="str">
        <f aca="false">IF($D465="","",IFERROR(INDEX(품목목록!$D$3:$D$202,MATCH($D465,품목목록!$A$3:$A$202,0)),""))</f>
        <v/>
      </c>
      <c r="G465" s="11"/>
      <c r="H465" s="15"/>
      <c r="I465" s="16" t="str">
        <f aca="false">IF($A465="","",SUMIFS(반납내역!$D$3:$D$1502,반납내역!$B$3:$B$1502,$A465))</f>
        <v/>
      </c>
      <c r="J465" s="16" t="str">
        <f aca="false">IF($A465="","",IF($G465="","",$G465-$I465))</f>
        <v/>
      </c>
      <c r="K465" s="17" t="str">
        <f aca="true">IF(OR($A465="",$J465="",$J465&lt;=0,$H465=""),"",TODAY()-$H465)</f>
        <v/>
      </c>
      <c r="L465" s="14" t="str">
        <f aca="false">IF($A465="","",IF($G465="","",IF($J465&lt;=0,"반납완료",IF($I465&gt;0,"부분반납","미반납"))))</f>
        <v/>
      </c>
    </row>
    <row r="466" customFormat="false" ht="15" hidden="false" customHeight="false" outlineLevel="0" collapsed="false">
      <c r="A466" s="14" t="str">
        <f aca="false">IF($B466="","",TEXT($B466,"yymmdd")&amp;"-"&amp;TEXT(COUNTIFS($B$3:$B466,$B466),"00"))</f>
        <v/>
      </c>
      <c r="B466" s="15"/>
      <c r="C466" s="9"/>
      <c r="D466" s="10"/>
      <c r="E466" s="14" t="str">
        <f aca="false">IF($D466="","",IFERROR(INDEX(품목목록!$B$3:$B$202,MATCH($D466,품목목록!$A$3:$A$202,0)),"미등록품번"))</f>
        <v/>
      </c>
      <c r="F466" s="14" t="str">
        <f aca="false">IF($D466="","",IFERROR(INDEX(품목목록!$D$3:$D$202,MATCH($D466,품목목록!$A$3:$A$202,0)),""))</f>
        <v/>
      </c>
      <c r="G466" s="11"/>
      <c r="H466" s="15"/>
      <c r="I466" s="16" t="str">
        <f aca="false">IF($A466="","",SUMIFS(반납내역!$D$3:$D$1502,반납내역!$B$3:$B$1502,$A466))</f>
        <v/>
      </c>
      <c r="J466" s="16" t="str">
        <f aca="false">IF($A466="","",IF($G466="","",$G466-$I466))</f>
        <v/>
      </c>
      <c r="K466" s="17" t="str">
        <f aca="true">IF(OR($A466="",$J466="",$J466&lt;=0,$H466=""),"",TODAY()-$H466)</f>
        <v/>
      </c>
      <c r="L466" s="14" t="str">
        <f aca="false">IF($A466="","",IF($G466="","",IF($J466&lt;=0,"반납완료",IF($I466&gt;0,"부분반납","미반납"))))</f>
        <v/>
      </c>
    </row>
    <row r="467" customFormat="false" ht="15" hidden="false" customHeight="false" outlineLevel="0" collapsed="false">
      <c r="A467" s="14" t="str">
        <f aca="false">IF($B467="","",TEXT($B467,"yymmdd")&amp;"-"&amp;TEXT(COUNTIFS($B$3:$B467,$B467),"00"))</f>
        <v/>
      </c>
      <c r="B467" s="15"/>
      <c r="C467" s="9"/>
      <c r="D467" s="10"/>
      <c r="E467" s="14" t="str">
        <f aca="false">IF($D467="","",IFERROR(INDEX(품목목록!$B$3:$B$202,MATCH($D467,품목목록!$A$3:$A$202,0)),"미등록품번"))</f>
        <v/>
      </c>
      <c r="F467" s="14" t="str">
        <f aca="false">IF($D467="","",IFERROR(INDEX(품목목록!$D$3:$D$202,MATCH($D467,품목목록!$A$3:$A$202,0)),""))</f>
        <v/>
      </c>
      <c r="G467" s="11"/>
      <c r="H467" s="15"/>
      <c r="I467" s="16" t="str">
        <f aca="false">IF($A467="","",SUMIFS(반납내역!$D$3:$D$1502,반납내역!$B$3:$B$1502,$A467))</f>
        <v/>
      </c>
      <c r="J467" s="16" t="str">
        <f aca="false">IF($A467="","",IF($G467="","",$G467-$I467))</f>
        <v/>
      </c>
      <c r="K467" s="17" t="str">
        <f aca="true">IF(OR($A467="",$J467="",$J467&lt;=0,$H467=""),"",TODAY()-$H467)</f>
        <v/>
      </c>
      <c r="L467" s="14" t="str">
        <f aca="false">IF($A467="","",IF($G467="","",IF($J467&lt;=0,"반납완료",IF($I467&gt;0,"부분반납","미반납"))))</f>
        <v/>
      </c>
    </row>
    <row r="468" customFormat="false" ht="15" hidden="false" customHeight="false" outlineLevel="0" collapsed="false">
      <c r="A468" s="14" t="str">
        <f aca="false">IF($B468="","",TEXT($B468,"yymmdd")&amp;"-"&amp;TEXT(COUNTIFS($B$3:$B468,$B468),"00"))</f>
        <v/>
      </c>
      <c r="B468" s="15"/>
      <c r="C468" s="9"/>
      <c r="D468" s="10"/>
      <c r="E468" s="14" t="str">
        <f aca="false">IF($D468="","",IFERROR(INDEX(품목목록!$B$3:$B$202,MATCH($D468,품목목록!$A$3:$A$202,0)),"미등록품번"))</f>
        <v/>
      </c>
      <c r="F468" s="14" t="str">
        <f aca="false">IF($D468="","",IFERROR(INDEX(품목목록!$D$3:$D$202,MATCH($D468,품목목록!$A$3:$A$202,0)),""))</f>
        <v/>
      </c>
      <c r="G468" s="11"/>
      <c r="H468" s="15"/>
      <c r="I468" s="16" t="str">
        <f aca="false">IF($A468="","",SUMIFS(반납내역!$D$3:$D$1502,반납내역!$B$3:$B$1502,$A468))</f>
        <v/>
      </c>
      <c r="J468" s="16" t="str">
        <f aca="false">IF($A468="","",IF($G468="","",$G468-$I468))</f>
        <v/>
      </c>
      <c r="K468" s="17" t="str">
        <f aca="true">IF(OR($A468="",$J468="",$J468&lt;=0,$H468=""),"",TODAY()-$H468)</f>
        <v/>
      </c>
      <c r="L468" s="14" t="str">
        <f aca="false">IF($A468="","",IF($G468="","",IF($J468&lt;=0,"반납완료",IF($I468&gt;0,"부분반납","미반납"))))</f>
        <v/>
      </c>
    </row>
    <row r="469" customFormat="false" ht="15" hidden="false" customHeight="false" outlineLevel="0" collapsed="false">
      <c r="A469" s="14" t="str">
        <f aca="false">IF($B469="","",TEXT($B469,"yymmdd")&amp;"-"&amp;TEXT(COUNTIFS($B$3:$B469,$B469),"00"))</f>
        <v/>
      </c>
      <c r="B469" s="15"/>
      <c r="C469" s="9"/>
      <c r="D469" s="10"/>
      <c r="E469" s="14" t="str">
        <f aca="false">IF($D469="","",IFERROR(INDEX(품목목록!$B$3:$B$202,MATCH($D469,품목목록!$A$3:$A$202,0)),"미등록품번"))</f>
        <v/>
      </c>
      <c r="F469" s="14" t="str">
        <f aca="false">IF($D469="","",IFERROR(INDEX(품목목록!$D$3:$D$202,MATCH($D469,품목목록!$A$3:$A$202,0)),""))</f>
        <v/>
      </c>
      <c r="G469" s="11"/>
      <c r="H469" s="15"/>
      <c r="I469" s="16" t="str">
        <f aca="false">IF($A469="","",SUMIFS(반납내역!$D$3:$D$1502,반납내역!$B$3:$B$1502,$A469))</f>
        <v/>
      </c>
      <c r="J469" s="16" t="str">
        <f aca="false">IF($A469="","",IF($G469="","",$G469-$I469))</f>
        <v/>
      </c>
      <c r="K469" s="17" t="str">
        <f aca="true">IF(OR($A469="",$J469="",$J469&lt;=0,$H469=""),"",TODAY()-$H469)</f>
        <v/>
      </c>
      <c r="L469" s="14" t="str">
        <f aca="false">IF($A469="","",IF($G469="","",IF($J469&lt;=0,"반납완료",IF($I469&gt;0,"부분반납","미반납"))))</f>
        <v/>
      </c>
    </row>
    <row r="470" customFormat="false" ht="15" hidden="false" customHeight="false" outlineLevel="0" collapsed="false">
      <c r="A470" s="14" t="str">
        <f aca="false">IF($B470="","",TEXT($B470,"yymmdd")&amp;"-"&amp;TEXT(COUNTIFS($B$3:$B470,$B470),"00"))</f>
        <v/>
      </c>
      <c r="B470" s="15"/>
      <c r="C470" s="9"/>
      <c r="D470" s="10"/>
      <c r="E470" s="14" t="str">
        <f aca="false">IF($D470="","",IFERROR(INDEX(품목목록!$B$3:$B$202,MATCH($D470,품목목록!$A$3:$A$202,0)),"미등록품번"))</f>
        <v/>
      </c>
      <c r="F470" s="14" t="str">
        <f aca="false">IF($D470="","",IFERROR(INDEX(품목목록!$D$3:$D$202,MATCH($D470,품목목록!$A$3:$A$202,0)),""))</f>
        <v/>
      </c>
      <c r="G470" s="11"/>
      <c r="H470" s="15"/>
      <c r="I470" s="16" t="str">
        <f aca="false">IF($A470="","",SUMIFS(반납내역!$D$3:$D$1502,반납내역!$B$3:$B$1502,$A470))</f>
        <v/>
      </c>
      <c r="J470" s="16" t="str">
        <f aca="false">IF($A470="","",IF($G470="","",$G470-$I470))</f>
        <v/>
      </c>
      <c r="K470" s="17" t="str">
        <f aca="true">IF(OR($A470="",$J470="",$J470&lt;=0,$H470=""),"",TODAY()-$H470)</f>
        <v/>
      </c>
      <c r="L470" s="14" t="str">
        <f aca="false">IF($A470="","",IF($G470="","",IF($J470&lt;=0,"반납완료",IF($I470&gt;0,"부분반납","미반납"))))</f>
        <v/>
      </c>
    </row>
    <row r="471" customFormat="false" ht="15" hidden="false" customHeight="false" outlineLevel="0" collapsed="false">
      <c r="A471" s="14" t="str">
        <f aca="false">IF($B471="","",TEXT($B471,"yymmdd")&amp;"-"&amp;TEXT(COUNTIFS($B$3:$B471,$B471),"00"))</f>
        <v/>
      </c>
      <c r="B471" s="15"/>
      <c r="C471" s="9"/>
      <c r="D471" s="10"/>
      <c r="E471" s="14" t="str">
        <f aca="false">IF($D471="","",IFERROR(INDEX(품목목록!$B$3:$B$202,MATCH($D471,품목목록!$A$3:$A$202,0)),"미등록품번"))</f>
        <v/>
      </c>
      <c r="F471" s="14" t="str">
        <f aca="false">IF($D471="","",IFERROR(INDEX(품목목록!$D$3:$D$202,MATCH($D471,품목목록!$A$3:$A$202,0)),""))</f>
        <v/>
      </c>
      <c r="G471" s="11"/>
      <c r="H471" s="15"/>
      <c r="I471" s="16" t="str">
        <f aca="false">IF($A471="","",SUMIFS(반납내역!$D$3:$D$1502,반납내역!$B$3:$B$1502,$A471))</f>
        <v/>
      </c>
      <c r="J471" s="16" t="str">
        <f aca="false">IF($A471="","",IF($G471="","",$G471-$I471))</f>
        <v/>
      </c>
      <c r="K471" s="17" t="str">
        <f aca="true">IF(OR($A471="",$J471="",$J471&lt;=0,$H471=""),"",TODAY()-$H471)</f>
        <v/>
      </c>
      <c r="L471" s="14" t="str">
        <f aca="false">IF($A471="","",IF($G471="","",IF($J471&lt;=0,"반납완료",IF($I471&gt;0,"부분반납","미반납"))))</f>
        <v/>
      </c>
    </row>
    <row r="472" customFormat="false" ht="15" hidden="false" customHeight="false" outlineLevel="0" collapsed="false">
      <c r="A472" s="14" t="str">
        <f aca="false">IF($B472="","",TEXT($B472,"yymmdd")&amp;"-"&amp;TEXT(COUNTIFS($B$3:$B472,$B472),"00"))</f>
        <v/>
      </c>
      <c r="B472" s="15"/>
      <c r="C472" s="9"/>
      <c r="D472" s="10"/>
      <c r="E472" s="14" t="str">
        <f aca="false">IF($D472="","",IFERROR(INDEX(품목목록!$B$3:$B$202,MATCH($D472,품목목록!$A$3:$A$202,0)),"미등록품번"))</f>
        <v/>
      </c>
      <c r="F472" s="14" t="str">
        <f aca="false">IF($D472="","",IFERROR(INDEX(품목목록!$D$3:$D$202,MATCH($D472,품목목록!$A$3:$A$202,0)),""))</f>
        <v/>
      </c>
      <c r="G472" s="11"/>
      <c r="H472" s="15"/>
      <c r="I472" s="16" t="str">
        <f aca="false">IF($A472="","",SUMIFS(반납내역!$D$3:$D$1502,반납내역!$B$3:$B$1502,$A472))</f>
        <v/>
      </c>
      <c r="J472" s="16" t="str">
        <f aca="false">IF($A472="","",IF($G472="","",$G472-$I472))</f>
        <v/>
      </c>
      <c r="K472" s="17" t="str">
        <f aca="true">IF(OR($A472="",$J472="",$J472&lt;=0,$H472=""),"",TODAY()-$H472)</f>
        <v/>
      </c>
      <c r="L472" s="14" t="str">
        <f aca="false">IF($A472="","",IF($G472="","",IF($J472&lt;=0,"반납완료",IF($I472&gt;0,"부분반납","미반납"))))</f>
        <v/>
      </c>
    </row>
    <row r="473" customFormat="false" ht="15" hidden="false" customHeight="false" outlineLevel="0" collapsed="false">
      <c r="A473" s="14" t="str">
        <f aca="false">IF($B473="","",TEXT($B473,"yymmdd")&amp;"-"&amp;TEXT(COUNTIFS($B$3:$B473,$B473),"00"))</f>
        <v/>
      </c>
      <c r="B473" s="15"/>
      <c r="C473" s="9"/>
      <c r="D473" s="10"/>
      <c r="E473" s="14" t="str">
        <f aca="false">IF($D473="","",IFERROR(INDEX(품목목록!$B$3:$B$202,MATCH($D473,품목목록!$A$3:$A$202,0)),"미등록품번"))</f>
        <v/>
      </c>
      <c r="F473" s="14" t="str">
        <f aca="false">IF($D473="","",IFERROR(INDEX(품목목록!$D$3:$D$202,MATCH($D473,품목목록!$A$3:$A$202,0)),""))</f>
        <v/>
      </c>
      <c r="G473" s="11"/>
      <c r="H473" s="15"/>
      <c r="I473" s="16" t="str">
        <f aca="false">IF($A473="","",SUMIFS(반납내역!$D$3:$D$1502,반납내역!$B$3:$B$1502,$A473))</f>
        <v/>
      </c>
      <c r="J473" s="16" t="str">
        <f aca="false">IF($A473="","",IF($G473="","",$G473-$I473))</f>
        <v/>
      </c>
      <c r="K473" s="17" t="str">
        <f aca="true">IF(OR($A473="",$J473="",$J473&lt;=0,$H473=""),"",TODAY()-$H473)</f>
        <v/>
      </c>
      <c r="L473" s="14" t="str">
        <f aca="false">IF($A473="","",IF($G473="","",IF($J473&lt;=0,"반납완료",IF($I473&gt;0,"부분반납","미반납"))))</f>
        <v/>
      </c>
    </row>
    <row r="474" customFormat="false" ht="15" hidden="false" customHeight="false" outlineLevel="0" collapsed="false">
      <c r="A474" s="14" t="str">
        <f aca="false">IF($B474="","",TEXT($B474,"yymmdd")&amp;"-"&amp;TEXT(COUNTIFS($B$3:$B474,$B474),"00"))</f>
        <v/>
      </c>
      <c r="B474" s="15"/>
      <c r="C474" s="9"/>
      <c r="D474" s="10"/>
      <c r="E474" s="14" t="str">
        <f aca="false">IF($D474="","",IFERROR(INDEX(품목목록!$B$3:$B$202,MATCH($D474,품목목록!$A$3:$A$202,0)),"미등록품번"))</f>
        <v/>
      </c>
      <c r="F474" s="14" t="str">
        <f aca="false">IF($D474="","",IFERROR(INDEX(품목목록!$D$3:$D$202,MATCH($D474,품목목록!$A$3:$A$202,0)),""))</f>
        <v/>
      </c>
      <c r="G474" s="11"/>
      <c r="H474" s="15"/>
      <c r="I474" s="16" t="str">
        <f aca="false">IF($A474="","",SUMIFS(반납내역!$D$3:$D$1502,반납내역!$B$3:$B$1502,$A474))</f>
        <v/>
      </c>
      <c r="J474" s="16" t="str">
        <f aca="false">IF($A474="","",IF($G474="","",$G474-$I474))</f>
        <v/>
      </c>
      <c r="K474" s="17" t="str">
        <f aca="true">IF(OR($A474="",$J474="",$J474&lt;=0,$H474=""),"",TODAY()-$H474)</f>
        <v/>
      </c>
      <c r="L474" s="14" t="str">
        <f aca="false">IF($A474="","",IF($G474="","",IF($J474&lt;=0,"반납완료",IF($I474&gt;0,"부분반납","미반납"))))</f>
        <v/>
      </c>
    </row>
    <row r="475" customFormat="false" ht="15" hidden="false" customHeight="false" outlineLevel="0" collapsed="false">
      <c r="A475" s="14" t="str">
        <f aca="false">IF($B475="","",TEXT($B475,"yymmdd")&amp;"-"&amp;TEXT(COUNTIFS($B$3:$B475,$B475),"00"))</f>
        <v/>
      </c>
      <c r="B475" s="15"/>
      <c r="C475" s="9"/>
      <c r="D475" s="10"/>
      <c r="E475" s="14" t="str">
        <f aca="false">IF($D475="","",IFERROR(INDEX(품목목록!$B$3:$B$202,MATCH($D475,품목목록!$A$3:$A$202,0)),"미등록품번"))</f>
        <v/>
      </c>
      <c r="F475" s="14" t="str">
        <f aca="false">IF($D475="","",IFERROR(INDEX(품목목록!$D$3:$D$202,MATCH($D475,품목목록!$A$3:$A$202,0)),""))</f>
        <v/>
      </c>
      <c r="G475" s="11"/>
      <c r="H475" s="15"/>
      <c r="I475" s="16" t="str">
        <f aca="false">IF($A475="","",SUMIFS(반납내역!$D$3:$D$1502,반납내역!$B$3:$B$1502,$A475))</f>
        <v/>
      </c>
      <c r="J475" s="16" t="str">
        <f aca="false">IF($A475="","",IF($G475="","",$G475-$I475))</f>
        <v/>
      </c>
      <c r="K475" s="17" t="str">
        <f aca="true">IF(OR($A475="",$J475="",$J475&lt;=0,$H475=""),"",TODAY()-$H475)</f>
        <v/>
      </c>
      <c r="L475" s="14" t="str">
        <f aca="false">IF($A475="","",IF($G475="","",IF($J475&lt;=0,"반납완료",IF($I475&gt;0,"부분반납","미반납"))))</f>
        <v/>
      </c>
    </row>
    <row r="476" customFormat="false" ht="15" hidden="false" customHeight="false" outlineLevel="0" collapsed="false">
      <c r="A476" s="14" t="str">
        <f aca="false">IF($B476="","",TEXT($B476,"yymmdd")&amp;"-"&amp;TEXT(COUNTIFS($B$3:$B476,$B476),"00"))</f>
        <v/>
      </c>
      <c r="B476" s="15"/>
      <c r="C476" s="9"/>
      <c r="D476" s="10"/>
      <c r="E476" s="14" t="str">
        <f aca="false">IF($D476="","",IFERROR(INDEX(품목목록!$B$3:$B$202,MATCH($D476,품목목록!$A$3:$A$202,0)),"미등록품번"))</f>
        <v/>
      </c>
      <c r="F476" s="14" t="str">
        <f aca="false">IF($D476="","",IFERROR(INDEX(품목목록!$D$3:$D$202,MATCH($D476,품목목록!$A$3:$A$202,0)),""))</f>
        <v/>
      </c>
      <c r="G476" s="11"/>
      <c r="H476" s="15"/>
      <c r="I476" s="16" t="str">
        <f aca="false">IF($A476="","",SUMIFS(반납내역!$D$3:$D$1502,반납내역!$B$3:$B$1502,$A476))</f>
        <v/>
      </c>
      <c r="J476" s="16" t="str">
        <f aca="false">IF($A476="","",IF($G476="","",$G476-$I476))</f>
        <v/>
      </c>
      <c r="K476" s="17" t="str">
        <f aca="true">IF(OR($A476="",$J476="",$J476&lt;=0,$H476=""),"",TODAY()-$H476)</f>
        <v/>
      </c>
      <c r="L476" s="14" t="str">
        <f aca="false">IF($A476="","",IF($G476="","",IF($J476&lt;=0,"반납완료",IF($I476&gt;0,"부분반납","미반납"))))</f>
        <v/>
      </c>
    </row>
    <row r="477" customFormat="false" ht="15" hidden="false" customHeight="false" outlineLevel="0" collapsed="false">
      <c r="A477" s="14" t="str">
        <f aca="false">IF($B477="","",TEXT($B477,"yymmdd")&amp;"-"&amp;TEXT(COUNTIFS($B$3:$B477,$B477),"00"))</f>
        <v/>
      </c>
      <c r="B477" s="15"/>
      <c r="C477" s="9"/>
      <c r="D477" s="10"/>
      <c r="E477" s="14" t="str">
        <f aca="false">IF($D477="","",IFERROR(INDEX(품목목록!$B$3:$B$202,MATCH($D477,품목목록!$A$3:$A$202,0)),"미등록품번"))</f>
        <v/>
      </c>
      <c r="F477" s="14" t="str">
        <f aca="false">IF($D477="","",IFERROR(INDEX(품목목록!$D$3:$D$202,MATCH($D477,품목목록!$A$3:$A$202,0)),""))</f>
        <v/>
      </c>
      <c r="G477" s="11"/>
      <c r="H477" s="15"/>
      <c r="I477" s="16" t="str">
        <f aca="false">IF($A477="","",SUMIFS(반납내역!$D$3:$D$1502,반납내역!$B$3:$B$1502,$A477))</f>
        <v/>
      </c>
      <c r="J477" s="16" t="str">
        <f aca="false">IF($A477="","",IF($G477="","",$G477-$I477))</f>
        <v/>
      </c>
      <c r="K477" s="17" t="str">
        <f aca="true">IF(OR($A477="",$J477="",$J477&lt;=0,$H477=""),"",TODAY()-$H477)</f>
        <v/>
      </c>
      <c r="L477" s="14" t="str">
        <f aca="false">IF($A477="","",IF($G477="","",IF($J477&lt;=0,"반납완료",IF($I477&gt;0,"부분반납","미반납"))))</f>
        <v/>
      </c>
    </row>
    <row r="478" customFormat="false" ht="15" hidden="false" customHeight="false" outlineLevel="0" collapsed="false">
      <c r="A478" s="14" t="str">
        <f aca="false">IF($B478="","",TEXT($B478,"yymmdd")&amp;"-"&amp;TEXT(COUNTIFS($B$3:$B478,$B478),"00"))</f>
        <v/>
      </c>
      <c r="B478" s="15"/>
      <c r="C478" s="9"/>
      <c r="D478" s="10"/>
      <c r="E478" s="14" t="str">
        <f aca="false">IF($D478="","",IFERROR(INDEX(품목목록!$B$3:$B$202,MATCH($D478,품목목록!$A$3:$A$202,0)),"미등록품번"))</f>
        <v/>
      </c>
      <c r="F478" s="14" t="str">
        <f aca="false">IF($D478="","",IFERROR(INDEX(품목목록!$D$3:$D$202,MATCH($D478,품목목록!$A$3:$A$202,0)),""))</f>
        <v/>
      </c>
      <c r="G478" s="11"/>
      <c r="H478" s="15"/>
      <c r="I478" s="16" t="str">
        <f aca="false">IF($A478="","",SUMIFS(반납내역!$D$3:$D$1502,반납내역!$B$3:$B$1502,$A478))</f>
        <v/>
      </c>
      <c r="J478" s="16" t="str">
        <f aca="false">IF($A478="","",IF($G478="","",$G478-$I478))</f>
        <v/>
      </c>
      <c r="K478" s="17" t="str">
        <f aca="true">IF(OR($A478="",$J478="",$J478&lt;=0,$H478=""),"",TODAY()-$H478)</f>
        <v/>
      </c>
      <c r="L478" s="14" t="str">
        <f aca="false">IF($A478="","",IF($G478="","",IF($J478&lt;=0,"반납완료",IF($I478&gt;0,"부분반납","미반납"))))</f>
        <v/>
      </c>
    </row>
    <row r="479" customFormat="false" ht="15" hidden="false" customHeight="false" outlineLevel="0" collapsed="false">
      <c r="A479" s="14" t="str">
        <f aca="false">IF($B479="","",TEXT($B479,"yymmdd")&amp;"-"&amp;TEXT(COUNTIFS($B$3:$B479,$B479),"00"))</f>
        <v/>
      </c>
      <c r="B479" s="15"/>
      <c r="C479" s="9"/>
      <c r="D479" s="10"/>
      <c r="E479" s="14" t="str">
        <f aca="false">IF($D479="","",IFERROR(INDEX(품목목록!$B$3:$B$202,MATCH($D479,품목목록!$A$3:$A$202,0)),"미등록품번"))</f>
        <v/>
      </c>
      <c r="F479" s="14" t="str">
        <f aca="false">IF($D479="","",IFERROR(INDEX(품목목록!$D$3:$D$202,MATCH($D479,품목목록!$A$3:$A$202,0)),""))</f>
        <v/>
      </c>
      <c r="G479" s="11"/>
      <c r="H479" s="15"/>
      <c r="I479" s="16" t="str">
        <f aca="false">IF($A479="","",SUMIFS(반납내역!$D$3:$D$1502,반납내역!$B$3:$B$1502,$A479))</f>
        <v/>
      </c>
      <c r="J479" s="16" t="str">
        <f aca="false">IF($A479="","",IF($G479="","",$G479-$I479))</f>
        <v/>
      </c>
      <c r="K479" s="17" t="str">
        <f aca="true">IF(OR($A479="",$J479="",$J479&lt;=0,$H479=""),"",TODAY()-$H479)</f>
        <v/>
      </c>
      <c r="L479" s="14" t="str">
        <f aca="false">IF($A479="","",IF($G479="","",IF($J479&lt;=0,"반납완료",IF($I479&gt;0,"부분반납","미반납"))))</f>
        <v/>
      </c>
    </row>
    <row r="480" customFormat="false" ht="15" hidden="false" customHeight="false" outlineLevel="0" collapsed="false">
      <c r="A480" s="14" t="str">
        <f aca="false">IF($B480="","",TEXT($B480,"yymmdd")&amp;"-"&amp;TEXT(COUNTIFS($B$3:$B480,$B480),"00"))</f>
        <v/>
      </c>
      <c r="B480" s="15"/>
      <c r="C480" s="9"/>
      <c r="D480" s="10"/>
      <c r="E480" s="14" t="str">
        <f aca="false">IF($D480="","",IFERROR(INDEX(품목목록!$B$3:$B$202,MATCH($D480,품목목록!$A$3:$A$202,0)),"미등록품번"))</f>
        <v/>
      </c>
      <c r="F480" s="14" t="str">
        <f aca="false">IF($D480="","",IFERROR(INDEX(품목목록!$D$3:$D$202,MATCH($D480,품목목록!$A$3:$A$202,0)),""))</f>
        <v/>
      </c>
      <c r="G480" s="11"/>
      <c r="H480" s="15"/>
      <c r="I480" s="16" t="str">
        <f aca="false">IF($A480="","",SUMIFS(반납내역!$D$3:$D$1502,반납내역!$B$3:$B$1502,$A480))</f>
        <v/>
      </c>
      <c r="J480" s="16" t="str">
        <f aca="false">IF($A480="","",IF($G480="","",$G480-$I480))</f>
        <v/>
      </c>
      <c r="K480" s="17" t="str">
        <f aca="true">IF(OR($A480="",$J480="",$J480&lt;=0,$H480=""),"",TODAY()-$H480)</f>
        <v/>
      </c>
      <c r="L480" s="14" t="str">
        <f aca="false">IF($A480="","",IF($G480="","",IF($J480&lt;=0,"반납완료",IF($I480&gt;0,"부분반납","미반납"))))</f>
        <v/>
      </c>
    </row>
    <row r="481" customFormat="false" ht="15" hidden="false" customHeight="false" outlineLevel="0" collapsed="false">
      <c r="A481" s="14" t="str">
        <f aca="false">IF($B481="","",TEXT($B481,"yymmdd")&amp;"-"&amp;TEXT(COUNTIFS($B$3:$B481,$B481),"00"))</f>
        <v/>
      </c>
      <c r="B481" s="15"/>
      <c r="C481" s="9"/>
      <c r="D481" s="10"/>
      <c r="E481" s="14" t="str">
        <f aca="false">IF($D481="","",IFERROR(INDEX(품목목록!$B$3:$B$202,MATCH($D481,품목목록!$A$3:$A$202,0)),"미등록품번"))</f>
        <v/>
      </c>
      <c r="F481" s="14" t="str">
        <f aca="false">IF($D481="","",IFERROR(INDEX(품목목록!$D$3:$D$202,MATCH($D481,품목목록!$A$3:$A$202,0)),""))</f>
        <v/>
      </c>
      <c r="G481" s="11"/>
      <c r="H481" s="15"/>
      <c r="I481" s="16" t="str">
        <f aca="false">IF($A481="","",SUMIFS(반납내역!$D$3:$D$1502,반납내역!$B$3:$B$1502,$A481))</f>
        <v/>
      </c>
      <c r="J481" s="16" t="str">
        <f aca="false">IF($A481="","",IF($G481="","",$G481-$I481))</f>
        <v/>
      </c>
      <c r="K481" s="17" t="str">
        <f aca="true">IF(OR($A481="",$J481="",$J481&lt;=0,$H481=""),"",TODAY()-$H481)</f>
        <v/>
      </c>
      <c r="L481" s="14" t="str">
        <f aca="false">IF($A481="","",IF($G481="","",IF($J481&lt;=0,"반납완료",IF($I481&gt;0,"부분반납","미반납"))))</f>
        <v/>
      </c>
    </row>
    <row r="482" customFormat="false" ht="15" hidden="false" customHeight="false" outlineLevel="0" collapsed="false">
      <c r="A482" s="14" t="str">
        <f aca="false">IF($B482="","",TEXT($B482,"yymmdd")&amp;"-"&amp;TEXT(COUNTIFS($B$3:$B482,$B482),"00"))</f>
        <v/>
      </c>
      <c r="B482" s="15"/>
      <c r="C482" s="9"/>
      <c r="D482" s="10"/>
      <c r="E482" s="14" t="str">
        <f aca="false">IF($D482="","",IFERROR(INDEX(품목목록!$B$3:$B$202,MATCH($D482,품목목록!$A$3:$A$202,0)),"미등록품번"))</f>
        <v/>
      </c>
      <c r="F482" s="14" t="str">
        <f aca="false">IF($D482="","",IFERROR(INDEX(품목목록!$D$3:$D$202,MATCH($D482,품목목록!$A$3:$A$202,0)),""))</f>
        <v/>
      </c>
      <c r="G482" s="11"/>
      <c r="H482" s="15"/>
      <c r="I482" s="16" t="str">
        <f aca="false">IF($A482="","",SUMIFS(반납내역!$D$3:$D$1502,반납내역!$B$3:$B$1502,$A482))</f>
        <v/>
      </c>
      <c r="J482" s="16" t="str">
        <f aca="false">IF($A482="","",IF($G482="","",$G482-$I482))</f>
        <v/>
      </c>
      <c r="K482" s="17" t="str">
        <f aca="true">IF(OR($A482="",$J482="",$J482&lt;=0,$H482=""),"",TODAY()-$H482)</f>
        <v/>
      </c>
      <c r="L482" s="14" t="str">
        <f aca="false">IF($A482="","",IF($G482="","",IF($J482&lt;=0,"반납완료",IF($I482&gt;0,"부분반납","미반납"))))</f>
        <v/>
      </c>
    </row>
    <row r="483" customFormat="false" ht="15" hidden="false" customHeight="false" outlineLevel="0" collapsed="false">
      <c r="A483" s="14" t="str">
        <f aca="false">IF($B483="","",TEXT($B483,"yymmdd")&amp;"-"&amp;TEXT(COUNTIFS($B$3:$B483,$B483),"00"))</f>
        <v/>
      </c>
      <c r="B483" s="15"/>
      <c r="C483" s="9"/>
      <c r="D483" s="10"/>
      <c r="E483" s="14" t="str">
        <f aca="false">IF($D483="","",IFERROR(INDEX(품목목록!$B$3:$B$202,MATCH($D483,품목목록!$A$3:$A$202,0)),"미등록품번"))</f>
        <v/>
      </c>
      <c r="F483" s="14" t="str">
        <f aca="false">IF($D483="","",IFERROR(INDEX(품목목록!$D$3:$D$202,MATCH($D483,품목목록!$A$3:$A$202,0)),""))</f>
        <v/>
      </c>
      <c r="G483" s="11"/>
      <c r="H483" s="15"/>
      <c r="I483" s="16" t="str">
        <f aca="false">IF($A483="","",SUMIFS(반납내역!$D$3:$D$1502,반납내역!$B$3:$B$1502,$A483))</f>
        <v/>
      </c>
      <c r="J483" s="16" t="str">
        <f aca="false">IF($A483="","",IF($G483="","",$G483-$I483))</f>
        <v/>
      </c>
      <c r="K483" s="17" t="str">
        <f aca="true">IF(OR($A483="",$J483="",$J483&lt;=0,$H483=""),"",TODAY()-$H483)</f>
        <v/>
      </c>
      <c r="L483" s="14" t="str">
        <f aca="false">IF($A483="","",IF($G483="","",IF($J483&lt;=0,"반납완료",IF($I483&gt;0,"부분반납","미반납"))))</f>
        <v/>
      </c>
    </row>
    <row r="484" customFormat="false" ht="15" hidden="false" customHeight="false" outlineLevel="0" collapsed="false">
      <c r="A484" s="14" t="str">
        <f aca="false">IF($B484="","",TEXT($B484,"yymmdd")&amp;"-"&amp;TEXT(COUNTIFS($B$3:$B484,$B484),"00"))</f>
        <v/>
      </c>
      <c r="B484" s="15"/>
      <c r="C484" s="9"/>
      <c r="D484" s="10"/>
      <c r="E484" s="14" t="str">
        <f aca="false">IF($D484="","",IFERROR(INDEX(품목목록!$B$3:$B$202,MATCH($D484,품목목록!$A$3:$A$202,0)),"미등록품번"))</f>
        <v/>
      </c>
      <c r="F484" s="14" t="str">
        <f aca="false">IF($D484="","",IFERROR(INDEX(품목목록!$D$3:$D$202,MATCH($D484,품목목록!$A$3:$A$202,0)),""))</f>
        <v/>
      </c>
      <c r="G484" s="11"/>
      <c r="H484" s="15"/>
      <c r="I484" s="16" t="str">
        <f aca="false">IF($A484="","",SUMIFS(반납내역!$D$3:$D$1502,반납내역!$B$3:$B$1502,$A484))</f>
        <v/>
      </c>
      <c r="J484" s="16" t="str">
        <f aca="false">IF($A484="","",IF($G484="","",$G484-$I484))</f>
        <v/>
      </c>
      <c r="K484" s="17" t="str">
        <f aca="true">IF(OR($A484="",$J484="",$J484&lt;=0,$H484=""),"",TODAY()-$H484)</f>
        <v/>
      </c>
      <c r="L484" s="14" t="str">
        <f aca="false">IF($A484="","",IF($G484="","",IF($J484&lt;=0,"반납완료",IF($I484&gt;0,"부분반납","미반납"))))</f>
        <v/>
      </c>
    </row>
    <row r="485" customFormat="false" ht="15" hidden="false" customHeight="false" outlineLevel="0" collapsed="false">
      <c r="A485" s="14" t="str">
        <f aca="false">IF($B485="","",TEXT($B485,"yymmdd")&amp;"-"&amp;TEXT(COUNTIFS($B$3:$B485,$B485),"00"))</f>
        <v/>
      </c>
      <c r="B485" s="15"/>
      <c r="C485" s="9"/>
      <c r="D485" s="10"/>
      <c r="E485" s="14" t="str">
        <f aca="false">IF($D485="","",IFERROR(INDEX(품목목록!$B$3:$B$202,MATCH($D485,품목목록!$A$3:$A$202,0)),"미등록품번"))</f>
        <v/>
      </c>
      <c r="F485" s="14" t="str">
        <f aca="false">IF($D485="","",IFERROR(INDEX(품목목록!$D$3:$D$202,MATCH($D485,품목목록!$A$3:$A$202,0)),""))</f>
        <v/>
      </c>
      <c r="G485" s="11"/>
      <c r="H485" s="15"/>
      <c r="I485" s="16" t="str">
        <f aca="false">IF($A485="","",SUMIFS(반납내역!$D$3:$D$1502,반납내역!$B$3:$B$1502,$A485))</f>
        <v/>
      </c>
      <c r="J485" s="16" t="str">
        <f aca="false">IF($A485="","",IF($G485="","",$G485-$I485))</f>
        <v/>
      </c>
      <c r="K485" s="17" t="str">
        <f aca="true">IF(OR($A485="",$J485="",$J485&lt;=0,$H485=""),"",TODAY()-$H485)</f>
        <v/>
      </c>
      <c r="L485" s="14" t="str">
        <f aca="false">IF($A485="","",IF($G485="","",IF($J485&lt;=0,"반납완료",IF($I485&gt;0,"부분반납","미반납"))))</f>
        <v/>
      </c>
    </row>
    <row r="486" customFormat="false" ht="15" hidden="false" customHeight="false" outlineLevel="0" collapsed="false">
      <c r="A486" s="14" t="str">
        <f aca="false">IF($B486="","",TEXT($B486,"yymmdd")&amp;"-"&amp;TEXT(COUNTIFS($B$3:$B486,$B486),"00"))</f>
        <v/>
      </c>
      <c r="B486" s="15"/>
      <c r="C486" s="9"/>
      <c r="D486" s="10"/>
      <c r="E486" s="14" t="str">
        <f aca="false">IF($D486="","",IFERROR(INDEX(품목목록!$B$3:$B$202,MATCH($D486,품목목록!$A$3:$A$202,0)),"미등록품번"))</f>
        <v/>
      </c>
      <c r="F486" s="14" t="str">
        <f aca="false">IF($D486="","",IFERROR(INDEX(품목목록!$D$3:$D$202,MATCH($D486,품목목록!$A$3:$A$202,0)),""))</f>
        <v/>
      </c>
      <c r="G486" s="11"/>
      <c r="H486" s="15"/>
      <c r="I486" s="16" t="str">
        <f aca="false">IF($A486="","",SUMIFS(반납내역!$D$3:$D$1502,반납내역!$B$3:$B$1502,$A486))</f>
        <v/>
      </c>
      <c r="J486" s="16" t="str">
        <f aca="false">IF($A486="","",IF($G486="","",$G486-$I486))</f>
        <v/>
      </c>
      <c r="K486" s="17" t="str">
        <f aca="true">IF(OR($A486="",$J486="",$J486&lt;=0,$H486=""),"",TODAY()-$H486)</f>
        <v/>
      </c>
      <c r="L486" s="14" t="str">
        <f aca="false">IF($A486="","",IF($G486="","",IF($J486&lt;=0,"반납완료",IF($I486&gt;0,"부분반납","미반납"))))</f>
        <v/>
      </c>
    </row>
    <row r="487" customFormat="false" ht="15" hidden="false" customHeight="false" outlineLevel="0" collapsed="false">
      <c r="A487" s="14" t="str">
        <f aca="false">IF($B487="","",TEXT($B487,"yymmdd")&amp;"-"&amp;TEXT(COUNTIFS($B$3:$B487,$B487),"00"))</f>
        <v/>
      </c>
      <c r="B487" s="15"/>
      <c r="C487" s="9"/>
      <c r="D487" s="10"/>
      <c r="E487" s="14" t="str">
        <f aca="false">IF($D487="","",IFERROR(INDEX(품목목록!$B$3:$B$202,MATCH($D487,품목목록!$A$3:$A$202,0)),"미등록품번"))</f>
        <v/>
      </c>
      <c r="F487" s="14" t="str">
        <f aca="false">IF($D487="","",IFERROR(INDEX(품목목록!$D$3:$D$202,MATCH($D487,품목목록!$A$3:$A$202,0)),""))</f>
        <v/>
      </c>
      <c r="G487" s="11"/>
      <c r="H487" s="15"/>
      <c r="I487" s="16" t="str">
        <f aca="false">IF($A487="","",SUMIFS(반납내역!$D$3:$D$1502,반납내역!$B$3:$B$1502,$A487))</f>
        <v/>
      </c>
      <c r="J487" s="16" t="str">
        <f aca="false">IF($A487="","",IF($G487="","",$G487-$I487))</f>
        <v/>
      </c>
      <c r="K487" s="17" t="str">
        <f aca="true">IF(OR($A487="",$J487="",$J487&lt;=0,$H487=""),"",TODAY()-$H487)</f>
        <v/>
      </c>
      <c r="L487" s="14" t="str">
        <f aca="false">IF($A487="","",IF($G487="","",IF($J487&lt;=0,"반납완료",IF($I487&gt;0,"부분반납","미반납"))))</f>
        <v/>
      </c>
    </row>
    <row r="488" customFormat="false" ht="15" hidden="false" customHeight="false" outlineLevel="0" collapsed="false">
      <c r="A488" s="14" t="str">
        <f aca="false">IF($B488="","",TEXT($B488,"yymmdd")&amp;"-"&amp;TEXT(COUNTIFS($B$3:$B488,$B488),"00"))</f>
        <v/>
      </c>
      <c r="B488" s="15"/>
      <c r="C488" s="9"/>
      <c r="D488" s="10"/>
      <c r="E488" s="14" t="str">
        <f aca="false">IF($D488="","",IFERROR(INDEX(품목목록!$B$3:$B$202,MATCH($D488,품목목록!$A$3:$A$202,0)),"미등록품번"))</f>
        <v/>
      </c>
      <c r="F488" s="14" t="str">
        <f aca="false">IF($D488="","",IFERROR(INDEX(품목목록!$D$3:$D$202,MATCH($D488,품목목록!$A$3:$A$202,0)),""))</f>
        <v/>
      </c>
      <c r="G488" s="11"/>
      <c r="H488" s="15"/>
      <c r="I488" s="16" t="str">
        <f aca="false">IF($A488="","",SUMIFS(반납내역!$D$3:$D$1502,반납내역!$B$3:$B$1502,$A488))</f>
        <v/>
      </c>
      <c r="J488" s="16" t="str">
        <f aca="false">IF($A488="","",IF($G488="","",$G488-$I488))</f>
        <v/>
      </c>
      <c r="K488" s="17" t="str">
        <f aca="true">IF(OR($A488="",$J488="",$J488&lt;=0,$H488=""),"",TODAY()-$H488)</f>
        <v/>
      </c>
      <c r="L488" s="14" t="str">
        <f aca="false">IF($A488="","",IF($G488="","",IF($J488&lt;=0,"반납완료",IF($I488&gt;0,"부분반납","미반납"))))</f>
        <v/>
      </c>
    </row>
    <row r="489" customFormat="false" ht="15" hidden="false" customHeight="false" outlineLevel="0" collapsed="false">
      <c r="A489" s="14" t="str">
        <f aca="false">IF($B489="","",TEXT($B489,"yymmdd")&amp;"-"&amp;TEXT(COUNTIFS($B$3:$B489,$B489),"00"))</f>
        <v/>
      </c>
      <c r="B489" s="15"/>
      <c r="C489" s="9"/>
      <c r="D489" s="10"/>
      <c r="E489" s="14" t="str">
        <f aca="false">IF($D489="","",IFERROR(INDEX(품목목록!$B$3:$B$202,MATCH($D489,품목목록!$A$3:$A$202,0)),"미등록품번"))</f>
        <v/>
      </c>
      <c r="F489" s="14" t="str">
        <f aca="false">IF($D489="","",IFERROR(INDEX(품목목록!$D$3:$D$202,MATCH($D489,품목목록!$A$3:$A$202,0)),""))</f>
        <v/>
      </c>
      <c r="G489" s="11"/>
      <c r="H489" s="15"/>
      <c r="I489" s="16" t="str">
        <f aca="false">IF($A489="","",SUMIFS(반납내역!$D$3:$D$1502,반납내역!$B$3:$B$1502,$A489))</f>
        <v/>
      </c>
      <c r="J489" s="16" t="str">
        <f aca="false">IF($A489="","",IF($G489="","",$G489-$I489))</f>
        <v/>
      </c>
      <c r="K489" s="17" t="str">
        <f aca="true">IF(OR($A489="",$J489="",$J489&lt;=0,$H489=""),"",TODAY()-$H489)</f>
        <v/>
      </c>
      <c r="L489" s="14" t="str">
        <f aca="false">IF($A489="","",IF($G489="","",IF($J489&lt;=0,"반납완료",IF($I489&gt;0,"부분반납","미반납"))))</f>
        <v/>
      </c>
    </row>
    <row r="490" customFormat="false" ht="15" hidden="false" customHeight="false" outlineLevel="0" collapsed="false">
      <c r="A490" s="14" t="str">
        <f aca="false">IF($B490="","",TEXT($B490,"yymmdd")&amp;"-"&amp;TEXT(COUNTIFS($B$3:$B490,$B490),"00"))</f>
        <v/>
      </c>
      <c r="B490" s="15"/>
      <c r="C490" s="9"/>
      <c r="D490" s="10"/>
      <c r="E490" s="14" t="str">
        <f aca="false">IF($D490="","",IFERROR(INDEX(품목목록!$B$3:$B$202,MATCH($D490,품목목록!$A$3:$A$202,0)),"미등록품번"))</f>
        <v/>
      </c>
      <c r="F490" s="14" t="str">
        <f aca="false">IF($D490="","",IFERROR(INDEX(품목목록!$D$3:$D$202,MATCH($D490,품목목록!$A$3:$A$202,0)),""))</f>
        <v/>
      </c>
      <c r="G490" s="11"/>
      <c r="H490" s="15"/>
      <c r="I490" s="16" t="str">
        <f aca="false">IF($A490="","",SUMIFS(반납내역!$D$3:$D$1502,반납내역!$B$3:$B$1502,$A490))</f>
        <v/>
      </c>
      <c r="J490" s="16" t="str">
        <f aca="false">IF($A490="","",IF($G490="","",$G490-$I490))</f>
        <v/>
      </c>
      <c r="K490" s="17" t="str">
        <f aca="true">IF(OR($A490="",$J490="",$J490&lt;=0,$H490=""),"",TODAY()-$H490)</f>
        <v/>
      </c>
      <c r="L490" s="14" t="str">
        <f aca="false">IF($A490="","",IF($G490="","",IF($J490&lt;=0,"반납완료",IF($I490&gt;0,"부분반납","미반납"))))</f>
        <v/>
      </c>
    </row>
    <row r="491" customFormat="false" ht="15" hidden="false" customHeight="false" outlineLevel="0" collapsed="false">
      <c r="A491" s="14" t="str">
        <f aca="false">IF($B491="","",TEXT($B491,"yymmdd")&amp;"-"&amp;TEXT(COUNTIFS($B$3:$B491,$B491),"00"))</f>
        <v/>
      </c>
      <c r="B491" s="15"/>
      <c r="C491" s="9"/>
      <c r="D491" s="10"/>
      <c r="E491" s="14" t="str">
        <f aca="false">IF($D491="","",IFERROR(INDEX(품목목록!$B$3:$B$202,MATCH($D491,품목목록!$A$3:$A$202,0)),"미등록품번"))</f>
        <v/>
      </c>
      <c r="F491" s="14" t="str">
        <f aca="false">IF($D491="","",IFERROR(INDEX(품목목록!$D$3:$D$202,MATCH($D491,품목목록!$A$3:$A$202,0)),""))</f>
        <v/>
      </c>
      <c r="G491" s="11"/>
      <c r="H491" s="15"/>
      <c r="I491" s="16" t="str">
        <f aca="false">IF($A491="","",SUMIFS(반납내역!$D$3:$D$1502,반납내역!$B$3:$B$1502,$A491))</f>
        <v/>
      </c>
      <c r="J491" s="16" t="str">
        <f aca="false">IF($A491="","",IF($G491="","",$G491-$I491))</f>
        <v/>
      </c>
      <c r="K491" s="17" t="str">
        <f aca="true">IF(OR($A491="",$J491="",$J491&lt;=0,$H491=""),"",TODAY()-$H491)</f>
        <v/>
      </c>
      <c r="L491" s="14" t="str">
        <f aca="false">IF($A491="","",IF($G491="","",IF($J491&lt;=0,"반납완료",IF($I491&gt;0,"부분반납","미반납"))))</f>
        <v/>
      </c>
    </row>
    <row r="492" customFormat="false" ht="15" hidden="false" customHeight="false" outlineLevel="0" collapsed="false">
      <c r="A492" s="14" t="str">
        <f aca="false">IF($B492="","",TEXT($B492,"yymmdd")&amp;"-"&amp;TEXT(COUNTIFS($B$3:$B492,$B492),"00"))</f>
        <v/>
      </c>
      <c r="B492" s="15"/>
      <c r="C492" s="9"/>
      <c r="D492" s="10"/>
      <c r="E492" s="14" t="str">
        <f aca="false">IF($D492="","",IFERROR(INDEX(품목목록!$B$3:$B$202,MATCH($D492,품목목록!$A$3:$A$202,0)),"미등록품번"))</f>
        <v/>
      </c>
      <c r="F492" s="14" t="str">
        <f aca="false">IF($D492="","",IFERROR(INDEX(품목목록!$D$3:$D$202,MATCH($D492,품목목록!$A$3:$A$202,0)),""))</f>
        <v/>
      </c>
      <c r="G492" s="11"/>
      <c r="H492" s="15"/>
      <c r="I492" s="16" t="str">
        <f aca="false">IF($A492="","",SUMIFS(반납내역!$D$3:$D$1502,반납내역!$B$3:$B$1502,$A492))</f>
        <v/>
      </c>
      <c r="J492" s="16" t="str">
        <f aca="false">IF($A492="","",IF($G492="","",$G492-$I492))</f>
        <v/>
      </c>
      <c r="K492" s="17" t="str">
        <f aca="true">IF(OR($A492="",$J492="",$J492&lt;=0,$H492=""),"",TODAY()-$H492)</f>
        <v/>
      </c>
      <c r="L492" s="14" t="str">
        <f aca="false">IF($A492="","",IF($G492="","",IF($J492&lt;=0,"반납완료",IF($I492&gt;0,"부분반납","미반납"))))</f>
        <v/>
      </c>
    </row>
    <row r="493" customFormat="false" ht="15" hidden="false" customHeight="false" outlineLevel="0" collapsed="false">
      <c r="A493" s="14" t="str">
        <f aca="false">IF($B493="","",TEXT($B493,"yymmdd")&amp;"-"&amp;TEXT(COUNTIFS($B$3:$B493,$B493),"00"))</f>
        <v/>
      </c>
      <c r="B493" s="15"/>
      <c r="C493" s="9"/>
      <c r="D493" s="10"/>
      <c r="E493" s="14" t="str">
        <f aca="false">IF($D493="","",IFERROR(INDEX(품목목록!$B$3:$B$202,MATCH($D493,품목목록!$A$3:$A$202,0)),"미등록품번"))</f>
        <v/>
      </c>
      <c r="F493" s="14" t="str">
        <f aca="false">IF($D493="","",IFERROR(INDEX(품목목록!$D$3:$D$202,MATCH($D493,품목목록!$A$3:$A$202,0)),""))</f>
        <v/>
      </c>
      <c r="G493" s="11"/>
      <c r="H493" s="15"/>
      <c r="I493" s="16" t="str">
        <f aca="false">IF($A493="","",SUMIFS(반납내역!$D$3:$D$1502,반납내역!$B$3:$B$1502,$A493))</f>
        <v/>
      </c>
      <c r="J493" s="16" t="str">
        <f aca="false">IF($A493="","",IF($G493="","",$G493-$I493))</f>
        <v/>
      </c>
      <c r="K493" s="17" t="str">
        <f aca="true">IF(OR($A493="",$J493="",$J493&lt;=0,$H493=""),"",TODAY()-$H493)</f>
        <v/>
      </c>
      <c r="L493" s="14" t="str">
        <f aca="false">IF($A493="","",IF($G493="","",IF($J493&lt;=0,"반납완료",IF($I493&gt;0,"부분반납","미반납"))))</f>
        <v/>
      </c>
    </row>
    <row r="494" customFormat="false" ht="15" hidden="false" customHeight="false" outlineLevel="0" collapsed="false">
      <c r="A494" s="14" t="str">
        <f aca="false">IF($B494="","",TEXT($B494,"yymmdd")&amp;"-"&amp;TEXT(COUNTIFS($B$3:$B494,$B494),"00"))</f>
        <v/>
      </c>
      <c r="B494" s="15"/>
      <c r="C494" s="9"/>
      <c r="D494" s="10"/>
      <c r="E494" s="14" t="str">
        <f aca="false">IF($D494="","",IFERROR(INDEX(품목목록!$B$3:$B$202,MATCH($D494,품목목록!$A$3:$A$202,0)),"미등록품번"))</f>
        <v/>
      </c>
      <c r="F494" s="14" t="str">
        <f aca="false">IF($D494="","",IFERROR(INDEX(품목목록!$D$3:$D$202,MATCH($D494,품목목록!$A$3:$A$202,0)),""))</f>
        <v/>
      </c>
      <c r="G494" s="11"/>
      <c r="H494" s="15"/>
      <c r="I494" s="16" t="str">
        <f aca="false">IF($A494="","",SUMIFS(반납내역!$D$3:$D$1502,반납내역!$B$3:$B$1502,$A494))</f>
        <v/>
      </c>
      <c r="J494" s="16" t="str">
        <f aca="false">IF($A494="","",IF($G494="","",$G494-$I494))</f>
        <v/>
      </c>
      <c r="K494" s="17" t="str">
        <f aca="true">IF(OR($A494="",$J494="",$J494&lt;=0,$H494=""),"",TODAY()-$H494)</f>
        <v/>
      </c>
      <c r="L494" s="14" t="str">
        <f aca="false">IF($A494="","",IF($G494="","",IF($J494&lt;=0,"반납완료",IF($I494&gt;0,"부분반납","미반납"))))</f>
        <v/>
      </c>
    </row>
    <row r="495" customFormat="false" ht="15" hidden="false" customHeight="false" outlineLevel="0" collapsed="false">
      <c r="A495" s="14" t="str">
        <f aca="false">IF($B495="","",TEXT($B495,"yymmdd")&amp;"-"&amp;TEXT(COUNTIFS($B$3:$B495,$B495),"00"))</f>
        <v/>
      </c>
      <c r="B495" s="15"/>
      <c r="C495" s="9"/>
      <c r="D495" s="10"/>
      <c r="E495" s="14" t="str">
        <f aca="false">IF($D495="","",IFERROR(INDEX(품목목록!$B$3:$B$202,MATCH($D495,품목목록!$A$3:$A$202,0)),"미등록품번"))</f>
        <v/>
      </c>
      <c r="F495" s="14" t="str">
        <f aca="false">IF($D495="","",IFERROR(INDEX(품목목록!$D$3:$D$202,MATCH($D495,품목목록!$A$3:$A$202,0)),""))</f>
        <v/>
      </c>
      <c r="G495" s="11"/>
      <c r="H495" s="15"/>
      <c r="I495" s="16" t="str">
        <f aca="false">IF($A495="","",SUMIFS(반납내역!$D$3:$D$1502,반납내역!$B$3:$B$1502,$A495))</f>
        <v/>
      </c>
      <c r="J495" s="16" t="str">
        <f aca="false">IF($A495="","",IF($G495="","",$G495-$I495))</f>
        <v/>
      </c>
      <c r="K495" s="17" t="str">
        <f aca="true">IF(OR($A495="",$J495="",$J495&lt;=0,$H495=""),"",TODAY()-$H495)</f>
        <v/>
      </c>
      <c r="L495" s="14" t="str">
        <f aca="false">IF($A495="","",IF($G495="","",IF($J495&lt;=0,"반납완료",IF($I495&gt;0,"부분반납","미반납"))))</f>
        <v/>
      </c>
    </row>
    <row r="496" customFormat="false" ht="15" hidden="false" customHeight="false" outlineLevel="0" collapsed="false">
      <c r="A496" s="14" t="str">
        <f aca="false">IF($B496="","",TEXT($B496,"yymmdd")&amp;"-"&amp;TEXT(COUNTIFS($B$3:$B496,$B496),"00"))</f>
        <v/>
      </c>
      <c r="B496" s="15"/>
      <c r="C496" s="9"/>
      <c r="D496" s="10"/>
      <c r="E496" s="14" t="str">
        <f aca="false">IF($D496="","",IFERROR(INDEX(품목목록!$B$3:$B$202,MATCH($D496,품목목록!$A$3:$A$202,0)),"미등록품번"))</f>
        <v/>
      </c>
      <c r="F496" s="14" t="str">
        <f aca="false">IF($D496="","",IFERROR(INDEX(품목목록!$D$3:$D$202,MATCH($D496,품목목록!$A$3:$A$202,0)),""))</f>
        <v/>
      </c>
      <c r="G496" s="11"/>
      <c r="H496" s="15"/>
      <c r="I496" s="16" t="str">
        <f aca="false">IF($A496="","",SUMIFS(반납내역!$D$3:$D$1502,반납내역!$B$3:$B$1502,$A496))</f>
        <v/>
      </c>
      <c r="J496" s="16" t="str">
        <f aca="false">IF($A496="","",IF($G496="","",$G496-$I496))</f>
        <v/>
      </c>
      <c r="K496" s="17" t="str">
        <f aca="true">IF(OR($A496="",$J496="",$J496&lt;=0,$H496=""),"",TODAY()-$H496)</f>
        <v/>
      </c>
      <c r="L496" s="14" t="str">
        <f aca="false">IF($A496="","",IF($G496="","",IF($J496&lt;=0,"반납완료",IF($I496&gt;0,"부분반납","미반납"))))</f>
        <v/>
      </c>
    </row>
    <row r="497" customFormat="false" ht="15" hidden="false" customHeight="false" outlineLevel="0" collapsed="false">
      <c r="A497" s="14" t="str">
        <f aca="false">IF($B497="","",TEXT($B497,"yymmdd")&amp;"-"&amp;TEXT(COUNTIFS($B$3:$B497,$B497),"00"))</f>
        <v/>
      </c>
      <c r="B497" s="15"/>
      <c r="C497" s="9"/>
      <c r="D497" s="10"/>
      <c r="E497" s="14" t="str">
        <f aca="false">IF($D497="","",IFERROR(INDEX(품목목록!$B$3:$B$202,MATCH($D497,품목목록!$A$3:$A$202,0)),"미등록품번"))</f>
        <v/>
      </c>
      <c r="F497" s="14" t="str">
        <f aca="false">IF($D497="","",IFERROR(INDEX(품목목록!$D$3:$D$202,MATCH($D497,품목목록!$A$3:$A$202,0)),""))</f>
        <v/>
      </c>
      <c r="G497" s="11"/>
      <c r="H497" s="15"/>
      <c r="I497" s="16" t="str">
        <f aca="false">IF($A497="","",SUMIFS(반납내역!$D$3:$D$1502,반납내역!$B$3:$B$1502,$A497))</f>
        <v/>
      </c>
      <c r="J497" s="16" t="str">
        <f aca="false">IF($A497="","",IF($G497="","",$G497-$I497))</f>
        <v/>
      </c>
      <c r="K497" s="17" t="str">
        <f aca="true">IF(OR($A497="",$J497="",$J497&lt;=0,$H497=""),"",TODAY()-$H497)</f>
        <v/>
      </c>
      <c r="L497" s="14" t="str">
        <f aca="false">IF($A497="","",IF($G497="","",IF($J497&lt;=0,"반납완료",IF($I497&gt;0,"부분반납","미반납"))))</f>
        <v/>
      </c>
    </row>
    <row r="498" customFormat="false" ht="15" hidden="false" customHeight="false" outlineLevel="0" collapsed="false">
      <c r="A498" s="14" t="str">
        <f aca="false">IF($B498="","",TEXT($B498,"yymmdd")&amp;"-"&amp;TEXT(COUNTIFS($B$3:$B498,$B498),"00"))</f>
        <v/>
      </c>
      <c r="B498" s="15"/>
      <c r="C498" s="9"/>
      <c r="D498" s="10"/>
      <c r="E498" s="14" t="str">
        <f aca="false">IF($D498="","",IFERROR(INDEX(품목목록!$B$3:$B$202,MATCH($D498,품목목록!$A$3:$A$202,0)),"미등록품번"))</f>
        <v/>
      </c>
      <c r="F498" s="14" t="str">
        <f aca="false">IF($D498="","",IFERROR(INDEX(품목목록!$D$3:$D$202,MATCH($D498,품목목록!$A$3:$A$202,0)),""))</f>
        <v/>
      </c>
      <c r="G498" s="11"/>
      <c r="H498" s="15"/>
      <c r="I498" s="16" t="str">
        <f aca="false">IF($A498="","",SUMIFS(반납내역!$D$3:$D$1502,반납내역!$B$3:$B$1502,$A498))</f>
        <v/>
      </c>
      <c r="J498" s="16" t="str">
        <f aca="false">IF($A498="","",IF($G498="","",$G498-$I498))</f>
        <v/>
      </c>
      <c r="K498" s="17" t="str">
        <f aca="true">IF(OR($A498="",$J498="",$J498&lt;=0,$H498=""),"",TODAY()-$H498)</f>
        <v/>
      </c>
      <c r="L498" s="14" t="str">
        <f aca="false">IF($A498="","",IF($G498="","",IF($J498&lt;=0,"반납완료",IF($I498&gt;0,"부분반납","미반납"))))</f>
        <v/>
      </c>
    </row>
    <row r="499" customFormat="false" ht="15" hidden="false" customHeight="false" outlineLevel="0" collapsed="false">
      <c r="A499" s="14" t="str">
        <f aca="false">IF($B499="","",TEXT($B499,"yymmdd")&amp;"-"&amp;TEXT(COUNTIFS($B$3:$B499,$B499),"00"))</f>
        <v/>
      </c>
      <c r="B499" s="15"/>
      <c r="C499" s="9"/>
      <c r="D499" s="10"/>
      <c r="E499" s="14" t="str">
        <f aca="false">IF($D499="","",IFERROR(INDEX(품목목록!$B$3:$B$202,MATCH($D499,품목목록!$A$3:$A$202,0)),"미등록품번"))</f>
        <v/>
      </c>
      <c r="F499" s="14" t="str">
        <f aca="false">IF($D499="","",IFERROR(INDEX(품목목록!$D$3:$D$202,MATCH($D499,품목목록!$A$3:$A$202,0)),""))</f>
        <v/>
      </c>
      <c r="G499" s="11"/>
      <c r="H499" s="15"/>
      <c r="I499" s="16" t="str">
        <f aca="false">IF($A499="","",SUMIFS(반납내역!$D$3:$D$1502,반납내역!$B$3:$B$1502,$A499))</f>
        <v/>
      </c>
      <c r="J499" s="16" t="str">
        <f aca="false">IF($A499="","",IF($G499="","",$G499-$I499))</f>
        <v/>
      </c>
      <c r="K499" s="17" t="str">
        <f aca="true">IF(OR($A499="",$J499="",$J499&lt;=0,$H499=""),"",TODAY()-$H499)</f>
        <v/>
      </c>
      <c r="L499" s="14" t="str">
        <f aca="false">IF($A499="","",IF($G499="","",IF($J499&lt;=0,"반납완료",IF($I499&gt;0,"부분반납","미반납"))))</f>
        <v/>
      </c>
    </row>
    <row r="500" customFormat="false" ht="15" hidden="false" customHeight="false" outlineLevel="0" collapsed="false">
      <c r="A500" s="14" t="str">
        <f aca="false">IF($B500="","",TEXT($B500,"yymmdd")&amp;"-"&amp;TEXT(COUNTIFS($B$3:$B500,$B500),"00"))</f>
        <v/>
      </c>
      <c r="B500" s="15"/>
      <c r="C500" s="9"/>
      <c r="D500" s="10"/>
      <c r="E500" s="14" t="str">
        <f aca="false">IF($D500="","",IFERROR(INDEX(품목목록!$B$3:$B$202,MATCH($D500,품목목록!$A$3:$A$202,0)),"미등록품번"))</f>
        <v/>
      </c>
      <c r="F500" s="14" t="str">
        <f aca="false">IF($D500="","",IFERROR(INDEX(품목목록!$D$3:$D$202,MATCH($D500,품목목록!$A$3:$A$202,0)),""))</f>
        <v/>
      </c>
      <c r="G500" s="11"/>
      <c r="H500" s="15"/>
      <c r="I500" s="16" t="str">
        <f aca="false">IF($A500="","",SUMIFS(반납내역!$D$3:$D$1502,반납내역!$B$3:$B$1502,$A500))</f>
        <v/>
      </c>
      <c r="J500" s="16" t="str">
        <f aca="false">IF($A500="","",IF($G500="","",$G500-$I500))</f>
        <v/>
      </c>
      <c r="K500" s="17" t="str">
        <f aca="true">IF(OR($A500="",$J500="",$J500&lt;=0,$H500=""),"",TODAY()-$H500)</f>
        <v/>
      </c>
      <c r="L500" s="14" t="str">
        <f aca="false">IF($A500="","",IF($G500="","",IF($J500&lt;=0,"반납완료",IF($I500&gt;0,"부분반납","미반납"))))</f>
        <v/>
      </c>
    </row>
    <row r="501" customFormat="false" ht="15" hidden="false" customHeight="false" outlineLevel="0" collapsed="false">
      <c r="A501" s="14" t="str">
        <f aca="false">IF($B501="","",TEXT($B501,"yymmdd")&amp;"-"&amp;TEXT(COUNTIFS($B$3:$B501,$B501),"00"))</f>
        <v/>
      </c>
      <c r="B501" s="15"/>
      <c r="C501" s="9"/>
      <c r="D501" s="10"/>
      <c r="E501" s="14" t="str">
        <f aca="false">IF($D501="","",IFERROR(INDEX(품목목록!$B$3:$B$202,MATCH($D501,품목목록!$A$3:$A$202,0)),"미등록품번"))</f>
        <v/>
      </c>
      <c r="F501" s="14" t="str">
        <f aca="false">IF($D501="","",IFERROR(INDEX(품목목록!$D$3:$D$202,MATCH($D501,품목목록!$A$3:$A$202,0)),""))</f>
        <v/>
      </c>
      <c r="G501" s="11"/>
      <c r="H501" s="15"/>
      <c r="I501" s="16" t="str">
        <f aca="false">IF($A501="","",SUMIFS(반납내역!$D$3:$D$1502,반납내역!$B$3:$B$1502,$A501))</f>
        <v/>
      </c>
      <c r="J501" s="16" t="str">
        <f aca="false">IF($A501="","",IF($G501="","",$G501-$I501))</f>
        <v/>
      </c>
      <c r="K501" s="17" t="str">
        <f aca="true">IF(OR($A501="",$J501="",$J501&lt;=0,$H501=""),"",TODAY()-$H501)</f>
        <v/>
      </c>
      <c r="L501" s="14" t="str">
        <f aca="false">IF($A501="","",IF($G501="","",IF($J501&lt;=0,"반납완료",IF($I501&gt;0,"부분반납","미반납"))))</f>
        <v/>
      </c>
    </row>
    <row r="502" customFormat="false" ht="15" hidden="false" customHeight="false" outlineLevel="0" collapsed="false">
      <c r="A502" s="14" t="str">
        <f aca="false">IF($B502="","",TEXT($B502,"yymmdd")&amp;"-"&amp;TEXT(COUNTIFS($B$3:$B502,$B502),"00"))</f>
        <v/>
      </c>
      <c r="B502" s="15"/>
      <c r="C502" s="9"/>
      <c r="D502" s="10"/>
      <c r="E502" s="14" t="str">
        <f aca="false">IF($D502="","",IFERROR(INDEX(품목목록!$B$3:$B$202,MATCH($D502,품목목록!$A$3:$A$202,0)),"미등록품번"))</f>
        <v/>
      </c>
      <c r="F502" s="14" t="str">
        <f aca="false">IF($D502="","",IFERROR(INDEX(품목목록!$D$3:$D$202,MATCH($D502,품목목록!$A$3:$A$202,0)),""))</f>
        <v/>
      </c>
      <c r="G502" s="11"/>
      <c r="H502" s="15"/>
      <c r="I502" s="16" t="str">
        <f aca="false">IF($A502="","",SUMIFS(반납내역!$D$3:$D$1502,반납내역!$B$3:$B$1502,$A502))</f>
        <v/>
      </c>
      <c r="J502" s="16" t="str">
        <f aca="false">IF($A502="","",IF($G502="","",$G502-$I502))</f>
        <v/>
      </c>
      <c r="K502" s="17" t="str">
        <f aca="true">IF(OR($A502="",$J502="",$J502&lt;=0,$H502=""),"",TODAY()-$H502)</f>
        <v/>
      </c>
      <c r="L502" s="14" t="str">
        <f aca="false">IF($A502="","",IF($G502="","",IF($J502&lt;=0,"반납완료",IF($I502&gt;0,"부분반납","미반납"))))</f>
        <v/>
      </c>
    </row>
    <row r="503" customFormat="false" ht="15" hidden="false" customHeight="false" outlineLevel="0" collapsed="false">
      <c r="A503" s="14" t="str">
        <f aca="false">IF($B503="","",TEXT($B503,"yymmdd")&amp;"-"&amp;TEXT(COUNTIFS($B$3:$B503,$B503),"00"))</f>
        <v/>
      </c>
      <c r="B503" s="15"/>
      <c r="C503" s="9"/>
      <c r="D503" s="10"/>
      <c r="E503" s="14" t="str">
        <f aca="false">IF($D503="","",IFERROR(INDEX(품목목록!$B$3:$B$202,MATCH($D503,품목목록!$A$3:$A$202,0)),"미등록품번"))</f>
        <v/>
      </c>
      <c r="F503" s="14" t="str">
        <f aca="false">IF($D503="","",IFERROR(INDEX(품목목록!$D$3:$D$202,MATCH($D503,품목목록!$A$3:$A$202,0)),""))</f>
        <v/>
      </c>
      <c r="G503" s="11"/>
      <c r="H503" s="15"/>
      <c r="I503" s="16" t="str">
        <f aca="false">IF($A503="","",SUMIFS(반납내역!$D$3:$D$1502,반납내역!$B$3:$B$1502,$A503))</f>
        <v/>
      </c>
      <c r="J503" s="16" t="str">
        <f aca="false">IF($A503="","",IF($G503="","",$G503-$I503))</f>
        <v/>
      </c>
      <c r="K503" s="17" t="str">
        <f aca="true">IF(OR($A503="",$J503="",$J503&lt;=0,$H503=""),"",TODAY()-$H503)</f>
        <v/>
      </c>
      <c r="L503" s="14" t="str">
        <f aca="false">IF($A503="","",IF($G503="","",IF($J503&lt;=0,"반납완료",IF($I503&gt;0,"부분반납","미반납"))))</f>
        <v/>
      </c>
    </row>
    <row r="504" customFormat="false" ht="15" hidden="false" customHeight="false" outlineLevel="0" collapsed="false">
      <c r="A504" s="14" t="str">
        <f aca="false">IF($B504="","",TEXT($B504,"yymmdd")&amp;"-"&amp;TEXT(COUNTIFS($B$3:$B504,$B504),"00"))</f>
        <v/>
      </c>
      <c r="B504" s="15"/>
      <c r="C504" s="9"/>
      <c r="D504" s="10"/>
      <c r="E504" s="14" t="str">
        <f aca="false">IF($D504="","",IFERROR(INDEX(품목목록!$B$3:$B$202,MATCH($D504,품목목록!$A$3:$A$202,0)),"미등록품번"))</f>
        <v/>
      </c>
      <c r="F504" s="14" t="str">
        <f aca="false">IF($D504="","",IFERROR(INDEX(품목목록!$D$3:$D$202,MATCH($D504,품목목록!$A$3:$A$202,0)),""))</f>
        <v/>
      </c>
      <c r="G504" s="11"/>
      <c r="H504" s="15"/>
      <c r="I504" s="16" t="str">
        <f aca="false">IF($A504="","",SUMIFS(반납내역!$D$3:$D$1502,반납내역!$B$3:$B$1502,$A504))</f>
        <v/>
      </c>
      <c r="J504" s="16" t="str">
        <f aca="false">IF($A504="","",IF($G504="","",$G504-$I504))</f>
        <v/>
      </c>
      <c r="K504" s="17" t="str">
        <f aca="true">IF(OR($A504="",$J504="",$J504&lt;=0,$H504=""),"",TODAY()-$H504)</f>
        <v/>
      </c>
      <c r="L504" s="14" t="str">
        <f aca="false">IF($A504="","",IF($G504="","",IF($J504&lt;=0,"반납완료",IF($I504&gt;0,"부분반납","미반납"))))</f>
        <v/>
      </c>
    </row>
    <row r="505" customFormat="false" ht="15" hidden="false" customHeight="false" outlineLevel="0" collapsed="false">
      <c r="A505" s="14" t="str">
        <f aca="false">IF($B505="","",TEXT($B505,"yymmdd")&amp;"-"&amp;TEXT(COUNTIFS($B$3:$B505,$B505),"00"))</f>
        <v/>
      </c>
      <c r="B505" s="15"/>
      <c r="C505" s="9"/>
      <c r="D505" s="10"/>
      <c r="E505" s="14" t="str">
        <f aca="false">IF($D505="","",IFERROR(INDEX(품목목록!$B$3:$B$202,MATCH($D505,품목목록!$A$3:$A$202,0)),"미등록품번"))</f>
        <v/>
      </c>
      <c r="F505" s="14" t="str">
        <f aca="false">IF($D505="","",IFERROR(INDEX(품목목록!$D$3:$D$202,MATCH($D505,품목목록!$A$3:$A$202,0)),""))</f>
        <v/>
      </c>
      <c r="G505" s="11"/>
      <c r="H505" s="15"/>
      <c r="I505" s="16" t="str">
        <f aca="false">IF($A505="","",SUMIFS(반납내역!$D$3:$D$1502,반납내역!$B$3:$B$1502,$A505))</f>
        <v/>
      </c>
      <c r="J505" s="16" t="str">
        <f aca="false">IF($A505="","",IF($G505="","",$G505-$I505))</f>
        <v/>
      </c>
      <c r="K505" s="17" t="str">
        <f aca="true">IF(OR($A505="",$J505="",$J505&lt;=0,$H505=""),"",TODAY()-$H505)</f>
        <v/>
      </c>
      <c r="L505" s="14" t="str">
        <f aca="false">IF($A505="","",IF($G505="","",IF($J505&lt;=0,"반납완료",IF($I505&gt;0,"부분반납","미반납"))))</f>
        <v/>
      </c>
    </row>
    <row r="506" customFormat="false" ht="15" hidden="false" customHeight="false" outlineLevel="0" collapsed="false">
      <c r="A506" s="14" t="str">
        <f aca="false">IF($B506="","",TEXT($B506,"yymmdd")&amp;"-"&amp;TEXT(COUNTIFS($B$3:$B506,$B506),"00"))</f>
        <v/>
      </c>
      <c r="B506" s="15"/>
      <c r="C506" s="9"/>
      <c r="D506" s="10"/>
      <c r="E506" s="14" t="str">
        <f aca="false">IF($D506="","",IFERROR(INDEX(품목목록!$B$3:$B$202,MATCH($D506,품목목록!$A$3:$A$202,0)),"미등록품번"))</f>
        <v/>
      </c>
      <c r="F506" s="14" t="str">
        <f aca="false">IF($D506="","",IFERROR(INDEX(품목목록!$D$3:$D$202,MATCH($D506,품목목록!$A$3:$A$202,0)),""))</f>
        <v/>
      </c>
      <c r="G506" s="11"/>
      <c r="H506" s="15"/>
      <c r="I506" s="16" t="str">
        <f aca="false">IF($A506="","",SUMIFS(반납내역!$D$3:$D$1502,반납내역!$B$3:$B$1502,$A506))</f>
        <v/>
      </c>
      <c r="J506" s="16" t="str">
        <f aca="false">IF($A506="","",IF($G506="","",$G506-$I506))</f>
        <v/>
      </c>
      <c r="K506" s="17" t="str">
        <f aca="true">IF(OR($A506="",$J506="",$J506&lt;=0,$H506=""),"",TODAY()-$H506)</f>
        <v/>
      </c>
      <c r="L506" s="14" t="str">
        <f aca="false">IF($A506="","",IF($G506="","",IF($J506&lt;=0,"반납완료",IF($I506&gt;0,"부분반납","미반납"))))</f>
        <v/>
      </c>
    </row>
    <row r="507" customFormat="false" ht="15" hidden="false" customHeight="false" outlineLevel="0" collapsed="false">
      <c r="A507" s="14" t="str">
        <f aca="false">IF($B507="","",TEXT($B507,"yymmdd")&amp;"-"&amp;TEXT(COUNTIFS($B$3:$B507,$B507),"00"))</f>
        <v/>
      </c>
      <c r="B507" s="15"/>
      <c r="C507" s="9"/>
      <c r="D507" s="10"/>
      <c r="E507" s="14" t="str">
        <f aca="false">IF($D507="","",IFERROR(INDEX(품목목록!$B$3:$B$202,MATCH($D507,품목목록!$A$3:$A$202,0)),"미등록품번"))</f>
        <v/>
      </c>
      <c r="F507" s="14" t="str">
        <f aca="false">IF($D507="","",IFERROR(INDEX(품목목록!$D$3:$D$202,MATCH($D507,품목목록!$A$3:$A$202,0)),""))</f>
        <v/>
      </c>
      <c r="G507" s="11"/>
      <c r="H507" s="15"/>
      <c r="I507" s="16" t="str">
        <f aca="false">IF($A507="","",SUMIFS(반납내역!$D$3:$D$1502,반납내역!$B$3:$B$1502,$A507))</f>
        <v/>
      </c>
      <c r="J507" s="16" t="str">
        <f aca="false">IF($A507="","",IF($G507="","",$G507-$I507))</f>
        <v/>
      </c>
      <c r="K507" s="17" t="str">
        <f aca="true">IF(OR($A507="",$J507="",$J507&lt;=0,$H507=""),"",TODAY()-$H507)</f>
        <v/>
      </c>
      <c r="L507" s="14" t="str">
        <f aca="false">IF($A507="","",IF($G507="","",IF($J507&lt;=0,"반납완료",IF($I507&gt;0,"부분반납","미반납"))))</f>
        <v/>
      </c>
    </row>
    <row r="508" customFormat="false" ht="15" hidden="false" customHeight="false" outlineLevel="0" collapsed="false">
      <c r="A508" s="14" t="str">
        <f aca="false">IF($B508="","",TEXT($B508,"yymmdd")&amp;"-"&amp;TEXT(COUNTIFS($B$3:$B508,$B508),"00"))</f>
        <v/>
      </c>
      <c r="B508" s="15"/>
      <c r="C508" s="9"/>
      <c r="D508" s="10"/>
      <c r="E508" s="14" t="str">
        <f aca="false">IF($D508="","",IFERROR(INDEX(품목목록!$B$3:$B$202,MATCH($D508,품목목록!$A$3:$A$202,0)),"미등록품번"))</f>
        <v/>
      </c>
      <c r="F508" s="14" t="str">
        <f aca="false">IF($D508="","",IFERROR(INDEX(품목목록!$D$3:$D$202,MATCH($D508,품목목록!$A$3:$A$202,0)),""))</f>
        <v/>
      </c>
      <c r="G508" s="11"/>
      <c r="H508" s="15"/>
      <c r="I508" s="16" t="str">
        <f aca="false">IF($A508="","",SUMIFS(반납내역!$D$3:$D$1502,반납내역!$B$3:$B$1502,$A508))</f>
        <v/>
      </c>
      <c r="J508" s="16" t="str">
        <f aca="false">IF($A508="","",IF($G508="","",$G508-$I508))</f>
        <v/>
      </c>
      <c r="K508" s="17" t="str">
        <f aca="true">IF(OR($A508="",$J508="",$J508&lt;=0,$H508=""),"",TODAY()-$H508)</f>
        <v/>
      </c>
      <c r="L508" s="14" t="str">
        <f aca="false">IF($A508="","",IF($G508="","",IF($J508&lt;=0,"반납완료",IF($I508&gt;0,"부분반납","미반납"))))</f>
        <v/>
      </c>
    </row>
    <row r="509" customFormat="false" ht="15" hidden="false" customHeight="false" outlineLevel="0" collapsed="false">
      <c r="A509" s="14" t="str">
        <f aca="false">IF($B509="","",TEXT($B509,"yymmdd")&amp;"-"&amp;TEXT(COUNTIFS($B$3:$B509,$B509),"00"))</f>
        <v/>
      </c>
      <c r="B509" s="15"/>
      <c r="C509" s="9"/>
      <c r="D509" s="10"/>
      <c r="E509" s="14" t="str">
        <f aca="false">IF($D509="","",IFERROR(INDEX(품목목록!$B$3:$B$202,MATCH($D509,품목목록!$A$3:$A$202,0)),"미등록품번"))</f>
        <v/>
      </c>
      <c r="F509" s="14" t="str">
        <f aca="false">IF($D509="","",IFERROR(INDEX(품목목록!$D$3:$D$202,MATCH($D509,품목목록!$A$3:$A$202,0)),""))</f>
        <v/>
      </c>
      <c r="G509" s="11"/>
      <c r="H509" s="15"/>
      <c r="I509" s="16" t="str">
        <f aca="false">IF($A509="","",SUMIFS(반납내역!$D$3:$D$1502,반납내역!$B$3:$B$1502,$A509))</f>
        <v/>
      </c>
      <c r="J509" s="16" t="str">
        <f aca="false">IF($A509="","",IF($G509="","",$G509-$I509))</f>
        <v/>
      </c>
      <c r="K509" s="17" t="str">
        <f aca="true">IF(OR($A509="",$J509="",$J509&lt;=0,$H509=""),"",TODAY()-$H509)</f>
        <v/>
      </c>
      <c r="L509" s="14" t="str">
        <f aca="false">IF($A509="","",IF($G509="","",IF($J509&lt;=0,"반납완료",IF($I509&gt;0,"부분반납","미반납"))))</f>
        <v/>
      </c>
    </row>
    <row r="510" customFormat="false" ht="15" hidden="false" customHeight="false" outlineLevel="0" collapsed="false">
      <c r="A510" s="14" t="str">
        <f aca="false">IF($B510="","",TEXT($B510,"yymmdd")&amp;"-"&amp;TEXT(COUNTIFS($B$3:$B510,$B510),"00"))</f>
        <v/>
      </c>
      <c r="B510" s="15"/>
      <c r="C510" s="9"/>
      <c r="D510" s="10"/>
      <c r="E510" s="14" t="str">
        <f aca="false">IF($D510="","",IFERROR(INDEX(품목목록!$B$3:$B$202,MATCH($D510,품목목록!$A$3:$A$202,0)),"미등록품번"))</f>
        <v/>
      </c>
      <c r="F510" s="14" t="str">
        <f aca="false">IF($D510="","",IFERROR(INDEX(품목목록!$D$3:$D$202,MATCH($D510,품목목록!$A$3:$A$202,0)),""))</f>
        <v/>
      </c>
      <c r="G510" s="11"/>
      <c r="H510" s="15"/>
      <c r="I510" s="16" t="str">
        <f aca="false">IF($A510="","",SUMIFS(반납내역!$D$3:$D$1502,반납내역!$B$3:$B$1502,$A510))</f>
        <v/>
      </c>
      <c r="J510" s="16" t="str">
        <f aca="false">IF($A510="","",IF($G510="","",$G510-$I510))</f>
        <v/>
      </c>
      <c r="K510" s="17" t="str">
        <f aca="true">IF(OR($A510="",$J510="",$J510&lt;=0,$H510=""),"",TODAY()-$H510)</f>
        <v/>
      </c>
      <c r="L510" s="14" t="str">
        <f aca="false">IF($A510="","",IF($G510="","",IF($J510&lt;=0,"반납완료",IF($I510&gt;0,"부분반납","미반납"))))</f>
        <v/>
      </c>
    </row>
    <row r="511" customFormat="false" ht="15" hidden="false" customHeight="false" outlineLevel="0" collapsed="false">
      <c r="A511" s="14" t="str">
        <f aca="false">IF($B511="","",TEXT($B511,"yymmdd")&amp;"-"&amp;TEXT(COUNTIFS($B$3:$B511,$B511),"00"))</f>
        <v/>
      </c>
      <c r="B511" s="15"/>
      <c r="C511" s="9"/>
      <c r="D511" s="10"/>
      <c r="E511" s="14" t="str">
        <f aca="false">IF($D511="","",IFERROR(INDEX(품목목록!$B$3:$B$202,MATCH($D511,품목목록!$A$3:$A$202,0)),"미등록품번"))</f>
        <v/>
      </c>
      <c r="F511" s="14" t="str">
        <f aca="false">IF($D511="","",IFERROR(INDEX(품목목록!$D$3:$D$202,MATCH($D511,품목목록!$A$3:$A$202,0)),""))</f>
        <v/>
      </c>
      <c r="G511" s="11"/>
      <c r="H511" s="15"/>
      <c r="I511" s="16" t="str">
        <f aca="false">IF($A511="","",SUMIFS(반납내역!$D$3:$D$1502,반납내역!$B$3:$B$1502,$A511))</f>
        <v/>
      </c>
      <c r="J511" s="16" t="str">
        <f aca="false">IF($A511="","",IF($G511="","",$G511-$I511))</f>
        <v/>
      </c>
      <c r="K511" s="17" t="str">
        <f aca="true">IF(OR($A511="",$J511="",$J511&lt;=0,$H511=""),"",TODAY()-$H511)</f>
        <v/>
      </c>
      <c r="L511" s="14" t="str">
        <f aca="false">IF($A511="","",IF($G511="","",IF($J511&lt;=0,"반납완료",IF($I511&gt;0,"부분반납","미반납"))))</f>
        <v/>
      </c>
    </row>
    <row r="512" customFormat="false" ht="15" hidden="false" customHeight="false" outlineLevel="0" collapsed="false">
      <c r="A512" s="14" t="str">
        <f aca="false">IF($B512="","",TEXT($B512,"yymmdd")&amp;"-"&amp;TEXT(COUNTIFS($B$3:$B512,$B512),"00"))</f>
        <v/>
      </c>
      <c r="B512" s="15"/>
      <c r="C512" s="9"/>
      <c r="D512" s="10"/>
      <c r="E512" s="14" t="str">
        <f aca="false">IF($D512="","",IFERROR(INDEX(품목목록!$B$3:$B$202,MATCH($D512,품목목록!$A$3:$A$202,0)),"미등록품번"))</f>
        <v/>
      </c>
      <c r="F512" s="14" t="str">
        <f aca="false">IF($D512="","",IFERROR(INDEX(품목목록!$D$3:$D$202,MATCH($D512,품목목록!$A$3:$A$202,0)),""))</f>
        <v/>
      </c>
      <c r="G512" s="11"/>
      <c r="H512" s="15"/>
      <c r="I512" s="16" t="str">
        <f aca="false">IF($A512="","",SUMIFS(반납내역!$D$3:$D$1502,반납내역!$B$3:$B$1502,$A512))</f>
        <v/>
      </c>
      <c r="J512" s="16" t="str">
        <f aca="false">IF($A512="","",IF($G512="","",$G512-$I512))</f>
        <v/>
      </c>
      <c r="K512" s="17" t="str">
        <f aca="true">IF(OR($A512="",$J512="",$J512&lt;=0,$H512=""),"",TODAY()-$H512)</f>
        <v/>
      </c>
      <c r="L512" s="14" t="str">
        <f aca="false">IF($A512="","",IF($G512="","",IF($J512&lt;=0,"반납완료",IF($I512&gt;0,"부분반납","미반납"))))</f>
        <v/>
      </c>
    </row>
    <row r="513" customFormat="false" ht="15" hidden="false" customHeight="false" outlineLevel="0" collapsed="false">
      <c r="A513" s="14" t="str">
        <f aca="false">IF($B513="","",TEXT($B513,"yymmdd")&amp;"-"&amp;TEXT(COUNTIFS($B$3:$B513,$B513),"00"))</f>
        <v/>
      </c>
      <c r="B513" s="15"/>
      <c r="C513" s="9"/>
      <c r="D513" s="10"/>
      <c r="E513" s="14" t="str">
        <f aca="false">IF($D513="","",IFERROR(INDEX(품목목록!$B$3:$B$202,MATCH($D513,품목목록!$A$3:$A$202,0)),"미등록품번"))</f>
        <v/>
      </c>
      <c r="F513" s="14" t="str">
        <f aca="false">IF($D513="","",IFERROR(INDEX(품목목록!$D$3:$D$202,MATCH($D513,품목목록!$A$3:$A$202,0)),""))</f>
        <v/>
      </c>
      <c r="G513" s="11"/>
      <c r="H513" s="15"/>
      <c r="I513" s="16" t="str">
        <f aca="false">IF($A513="","",SUMIFS(반납내역!$D$3:$D$1502,반납내역!$B$3:$B$1502,$A513))</f>
        <v/>
      </c>
      <c r="J513" s="16" t="str">
        <f aca="false">IF($A513="","",IF($G513="","",$G513-$I513))</f>
        <v/>
      </c>
      <c r="K513" s="17" t="str">
        <f aca="true">IF(OR($A513="",$J513="",$J513&lt;=0,$H513=""),"",TODAY()-$H513)</f>
        <v/>
      </c>
      <c r="L513" s="14" t="str">
        <f aca="false">IF($A513="","",IF($G513="","",IF($J513&lt;=0,"반납완료",IF($I513&gt;0,"부분반납","미반납"))))</f>
        <v/>
      </c>
    </row>
    <row r="514" customFormat="false" ht="15" hidden="false" customHeight="false" outlineLevel="0" collapsed="false">
      <c r="A514" s="14" t="str">
        <f aca="false">IF($B514="","",TEXT($B514,"yymmdd")&amp;"-"&amp;TEXT(COUNTIFS($B$3:$B514,$B514),"00"))</f>
        <v/>
      </c>
      <c r="B514" s="15"/>
      <c r="C514" s="9"/>
      <c r="D514" s="10"/>
      <c r="E514" s="14" t="str">
        <f aca="false">IF($D514="","",IFERROR(INDEX(품목목록!$B$3:$B$202,MATCH($D514,품목목록!$A$3:$A$202,0)),"미등록품번"))</f>
        <v/>
      </c>
      <c r="F514" s="14" t="str">
        <f aca="false">IF($D514="","",IFERROR(INDEX(품목목록!$D$3:$D$202,MATCH($D514,품목목록!$A$3:$A$202,0)),""))</f>
        <v/>
      </c>
      <c r="G514" s="11"/>
      <c r="H514" s="15"/>
      <c r="I514" s="16" t="str">
        <f aca="false">IF($A514="","",SUMIFS(반납내역!$D$3:$D$1502,반납내역!$B$3:$B$1502,$A514))</f>
        <v/>
      </c>
      <c r="J514" s="16" t="str">
        <f aca="false">IF($A514="","",IF($G514="","",$G514-$I514))</f>
        <v/>
      </c>
      <c r="K514" s="17" t="str">
        <f aca="true">IF(OR($A514="",$J514="",$J514&lt;=0,$H514=""),"",TODAY()-$H514)</f>
        <v/>
      </c>
      <c r="L514" s="14" t="str">
        <f aca="false">IF($A514="","",IF($G514="","",IF($J514&lt;=0,"반납완료",IF($I514&gt;0,"부분반납","미반납"))))</f>
        <v/>
      </c>
    </row>
    <row r="515" customFormat="false" ht="15" hidden="false" customHeight="false" outlineLevel="0" collapsed="false">
      <c r="A515" s="14" t="str">
        <f aca="false">IF($B515="","",TEXT($B515,"yymmdd")&amp;"-"&amp;TEXT(COUNTIFS($B$3:$B515,$B515),"00"))</f>
        <v/>
      </c>
      <c r="B515" s="15"/>
      <c r="C515" s="9"/>
      <c r="D515" s="10"/>
      <c r="E515" s="14" t="str">
        <f aca="false">IF($D515="","",IFERROR(INDEX(품목목록!$B$3:$B$202,MATCH($D515,품목목록!$A$3:$A$202,0)),"미등록품번"))</f>
        <v/>
      </c>
      <c r="F515" s="14" t="str">
        <f aca="false">IF($D515="","",IFERROR(INDEX(품목목록!$D$3:$D$202,MATCH($D515,품목목록!$A$3:$A$202,0)),""))</f>
        <v/>
      </c>
      <c r="G515" s="11"/>
      <c r="H515" s="15"/>
      <c r="I515" s="16" t="str">
        <f aca="false">IF($A515="","",SUMIFS(반납내역!$D$3:$D$1502,반납내역!$B$3:$B$1502,$A515))</f>
        <v/>
      </c>
      <c r="J515" s="16" t="str">
        <f aca="false">IF($A515="","",IF($G515="","",$G515-$I515))</f>
        <v/>
      </c>
      <c r="K515" s="17" t="str">
        <f aca="true">IF(OR($A515="",$J515="",$J515&lt;=0,$H515=""),"",TODAY()-$H515)</f>
        <v/>
      </c>
      <c r="L515" s="14" t="str">
        <f aca="false">IF($A515="","",IF($G515="","",IF($J515&lt;=0,"반납완료",IF($I515&gt;0,"부분반납","미반납"))))</f>
        <v/>
      </c>
    </row>
    <row r="516" customFormat="false" ht="15" hidden="false" customHeight="false" outlineLevel="0" collapsed="false">
      <c r="A516" s="14" t="str">
        <f aca="false">IF($B516="","",TEXT($B516,"yymmdd")&amp;"-"&amp;TEXT(COUNTIFS($B$3:$B516,$B516),"00"))</f>
        <v/>
      </c>
      <c r="B516" s="15"/>
      <c r="C516" s="9"/>
      <c r="D516" s="10"/>
      <c r="E516" s="14" t="str">
        <f aca="false">IF($D516="","",IFERROR(INDEX(품목목록!$B$3:$B$202,MATCH($D516,품목목록!$A$3:$A$202,0)),"미등록품번"))</f>
        <v/>
      </c>
      <c r="F516" s="14" t="str">
        <f aca="false">IF($D516="","",IFERROR(INDEX(품목목록!$D$3:$D$202,MATCH($D516,품목목록!$A$3:$A$202,0)),""))</f>
        <v/>
      </c>
      <c r="G516" s="11"/>
      <c r="H516" s="15"/>
      <c r="I516" s="16" t="str">
        <f aca="false">IF($A516="","",SUMIFS(반납내역!$D$3:$D$1502,반납내역!$B$3:$B$1502,$A516))</f>
        <v/>
      </c>
      <c r="J516" s="16" t="str">
        <f aca="false">IF($A516="","",IF($G516="","",$G516-$I516))</f>
        <v/>
      </c>
      <c r="K516" s="17" t="str">
        <f aca="true">IF(OR($A516="",$J516="",$J516&lt;=0,$H516=""),"",TODAY()-$H516)</f>
        <v/>
      </c>
      <c r="L516" s="14" t="str">
        <f aca="false">IF($A516="","",IF($G516="","",IF($J516&lt;=0,"반납완료",IF($I516&gt;0,"부분반납","미반납"))))</f>
        <v/>
      </c>
    </row>
    <row r="517" customFormat="false" ht="15" hidden="false" customHeight="false" outlineLevel="0" collapsed="false">
      <c r="A517" s="14" t="str">
        <f aca="false">IF($B517="","",TEXT($B517,"yymmdd")&amp;"-"&amp;TEXT(COUNTIFS($B$3:$B517,$B517),"00"))</f>
        <v/>
      </c>
      <c r="B517" s="15"/>
      <c r="C517" s="9"/>
      <c r="D517" s="10"/>
      <c r="E517" s="14" t="str">
        <f aca="false">IF($D517="","",IFERROR(INDEX(품목목록!$B$3:$B$202,MATCH($D517,품목목록!$A$3:$A$202,0)),"미등록품번"))</f>
        <v/>
      </c>
      <c r="F517" s="14" t="str">
        <f aca="false">IF($D517="","",IFERROR(INDEX(품목목록!$D$3:$D$202,MATCH($D517,품목목록!$A$3:$A$202,0)),""))</f>
        <v/>
      </c>
      <c r="G517" s="11"/>
      <c r="H517" s="15"/>
      <c r="I517" s="16" t="str">
        <f aca="false">IF($A517="","",SUMIFS(반납내역!$D$3:$D$1502,반납내역!$B$3:$B$1502,$A517))</f>
        <v/>
      </c>
      <c r="J517" s="16" t="str">
        <f aca="false">IF($A517="","",IF($G517="","",$G517-$I517))</f>
        <v/>
      </c>
      <c r="K517" s="17" t="str">
        <f aca="true">IF(OR($A517="",$J517="",$J517&lt;=0,$H517=""),"",TODAY()-$H517)</f>
        <v/>
      </c>
      <c r="L517" s="14" t="str">
        <f aca="false">IF($A517="","",IF($G517="","",IF($J517&lt;=0,"반납완료",IF($I517&gt;0,"부분반납","미반납"))))</f>
        <v/>
      </c>
    </row>
    <row r="518" customFormat="false" ht="15" hidden="false" customHeight="false" outlineLevel="0" collapsed="false">
      <c r="A518" s="14" t="str">
        <f aca="false">IF($B518="","",TEXT($B518,"yymmdd")&amp;"-"&amp;TEXT(COUNTIFS($B$3:$B518,$B518),"00"))</f>
        <v/>
      </c>
      <c r="B518" s="15"/>
      <c r="C518" s="9"/>
      <c r="D518" s="10"/>
      <c r="E518" s="14" t="str">
        <f aca="false">IF($D518="","",IFERROR(INDEX(품목목록!$B$3:$B$202,MATCH($D518,품목목록!$A$3:$A$202,0)),"미등록품번"))</f>
        <v/>
      </c>
      <c r="F518" s="14" t="str">
        <f aca="false">IF($D518="","",IFERROR(INDEX(품목목록!$D$3:$D$202,MATCH($D518,품목목록!$A$3:$A$202,0)),""))</f>
        <v/>
      </c>
      <c r="G518" s="11"/>
      <c r="H518" s="15"/>
      <c r="I518" s="16" t="str">
        <f aca="false">IF($A518="","",SUMIFS(반납내역!$D$3:$D$1502,반납내역!$B$3:$B$1502,$A518))</f>
        <v/>
      </c>
      <c r="J518" s="16" t="str">
        <f aca="false">IF($A518="","",IF($G518="","",$G518-$I518))</f>
        <v/>
      </c>
      <c r="K518" s="17" t="str">
        <f aca="true">IF(OR($A518="",$J518="",$J518&lt;=0,$H518=""),"",TODAY()-$H518)</f>
        <v/>
      </c>
      <c r="L518" s="14" t="str">
        <f aca="false">IF($A518="","",IF($G518="","",IF($J518&lt;=0,"반납완료",IF($I518&gt;0,"부분반납","미반납"))))</f>
        <v/>
      </c>
    </row>
    <row r="519" customFormat="false" ht="15" hidden="false" customHeight="false" outlineLevel="0" collapsed="false">
      <c r="A519" s="14" t="str">
        <f aca="false">IF($B519="","",TEXT($B519,"yymmdd")&amp;"-"&amp;TEXT(COUNTIFS($B$3:$B519,$B519),"00"))</f>
        <v/>
      </c>
      <c r="B519" s="15"/>
      <c r="C519" s="9"/>
      <c r="D519" s="10"/>
      <c r="E519" s="14" t="str">
        <f aca="false">IF($D519="","",IFERROR(INDEX(품목목록!$B$3:$B$202,MATCH($D519,품목목록!$A$3:$A$202,0)),"미등록품번"))</f>
        <v/>
      </c>
      <c r="F519" s="14" t="str">
        <f aca="false">IF($D519="","",IFERROR(INDEX(품목목록!$D$3:$D$202,MATCH($D519,품목목록!$A$3:$A$202,0)),""))</f>
        <v/>
      </c>
      <c r="G519" s="11"/>
      <c r="H519" s="15"/>
      <c r="I519" s="16" t="str">
        <f aca="false">IF($A519="","",SUMIFS(반납내역!$D$3:$D$1502,반납내역!$B$3:$B$1502,$A519))</f>
        <v/>
      </c>
      <c r="J519" s="16" t="str">
        <f aca="false">IF($A519="","",IF($G519="","",$G519-$I519))</f>
        <v/>
      </c>
      <c r="K519" s="17" t="str">
        <f aca="true">IF(OR($A519="",$J519="",$J519&lt;=0,$H519=""),"",TODAY()-$H519)</f>
        <v/>
      </c>
      <c r="L519" s="14" t="str">
        <f aca="false">IF($A519="","",IF($G519="","",IF($J519&lt;=0,"반납완료",IF($I519&gt;0,"부분반납","미반납"))))</f>
        <v/>
      </c>
    </row>
    <row r="520" customFormat="false" ht="15" hidden="false" customHeight="false" outlineLevel="0" collapsed="false">
      <c r="A520" s="14" t="str">
        <f aca="false">IF($B520="","",TEXT($B520,"yymmdd")&amp;"-"&amp;TEXT(COUNTIFS($B$3:$B520,$B520),"00"))</f>
        <v/>
      </c>
      <c r="B520" s="15"/>
      <c r="C520" s="9"/>
      <c r="D520" s="10"/>
      <c r="E520" s="14" t="str">
        <f aca="false">IF($D520="","",IFERROR(INDEX(품목목록!$B$3:$B$202,MATCH($D520,품목목록!$A$3:$A$202,0)),"미등록품번"))</f>
        <v/>
      </c>
      <c r="F520" s="14" t="str">
        <f aca="false">IF($D520="","",IFERROR(INDEX(품목목록!$D$3:$D$202,MATCH($D520,품목목록!$A$3:$A$202,0)),""))</f>
        <v/>
      </c>
      <c r="G520" s="11"/>
      <c r="H520" s="15"/>
      <c r="I520" s="16" t="str">
        <f aca="false">IF($A520="","",SUMIFS(반납내역!$D$3:$D$1502,반납내역!$B$3:$B$1502,$A520))</f>
        <v/>
      </c>
      <c r="J520" s="16" t="str">
        <f aca="false">IF($A520="","",IF($G520="","",$G520-$I520))</f>
        <v/>
      </c>
      <c r="K520" s="17" t="str">
        <f aca="true">IF(OR($A520="",$J520="",$J520&lt;=0,$H520=""),"",TODAY()-$H520)</f>
        <v/>
      </c>
      <c r="L520" s="14" t="str">
        <f aca="false">IF($A520="","",IF($G520="","",IF($J520&lt;=0,"반납완료",IF($I520&gt;0,"부분반납","미반납"))))</f>
        <v/>
      </c>
    </row>
    <row r="521" customFormat="false" ht="15" hidden="false" customHeight="false" outlineLevel="0" collapsed="false">
      <c r="A521" s="14" t="str">
        <f aca="false">IF($B521="","",TEXT($B521,"yymmdd")&amp;"-"&amp;TEXT(COUNTIFS($B$3:$B521,$B521),"00"))</f>
        <v/>
      </c>
      <c r="B521" s="15"/>
      <c r="C521" s="9"/>
      <c r="D521" s="10"/>
      <c r="E521" s="14" t="str">
        <f aca="false">IF($D521="","",IFERROR(INDEX(품목목록!$B$3:$B$202,MATCH($D521,품목목록!$A$3:$A$202,0)),"미등록품번"))</f>
        <v/>
      </c>
      <c r="F521" s="14" t="str">
        <f aca="false">IF($D521="","",IFERROR(INDEX(품목목록!$D$3:$D$202,MATCH($D521,품목목록!$A$3:$A$202,0)),""))</f>
        <v/>
      </c>
      <c r="G521" s="11"/>
      <c r="H521" s="15"/>
      <c r="I521" s="16" t="str">
        <f aca="false">IF($A521="","",SUMIFS(반납내역!$D$3:$D$1502,반납내역!$B$3:$B$1502,$A521))</f>
        <v/>
      </c>
      <c r="J521" s="16" t="str">
        <f aca="false">IF($A521="","",IF($G521="","",$G521-$I521))</f>
        <v/>
      </c>
      <c r="K521" s="17" t="str">
        <f aca="true">IF(OR($A521="",$J521="",$J521&lt;=0,$H521=""),"",TODAY()-$H521)</f>
        <v/>
      </c>
      <c r="L521" s="14" t="str">
        <f aca="false">IF($A521="","",IF($G521="","",IF($J521&lt;=0,"반납완료",IF($I521&gt;0,"부분반납","미반납"))))</f>
        <v/>
      </c>
    </row>
    <row r="522" customFormat="false" ht="15" hidden="false" customHeight="false" outlineLevel="0" collapsed="false">
      <c r="A522" s="14" t="str">
        <f aca="false">IF($B522="","",TEXT($B522,"yymmdd")&amp;"-"&amp;TEXT(COUNTIFS($B$3:$B522,$B522),"00"))</f>
        <v/>
      </c>
      <c r="B522" s="15"/>
      <c r="C522" s="9"/>
      <c r="D522" s="10"/>
      <c r="E522" s="14" t="str">
        <f aca="false">IF($D522="","",IFERROR(INDEX(품목목록!$B$3:$B$202,MATCH($D522,품목목록!$A$3:$A$202,0)),"미등록품번"))</f>
        <v/>
      </c>
      <c r="F522" s="14" t="str">
        <f aca="false">IF($D522="","",IFERROR(INDEX(품목목록!$D$3:$D$202,MATCH($D522,품목목록!$A$3:$A$202,0)),""))</f>
        <v/>
      </c>
      <c r="G522" s="11"/>
      <c r="H522" s="15"/>
      <c r="I522" s="16" t="str">
        <f aca="false">IF($A522="","",SUMIFS(반납내역!$D$3:$D$1502,반납내역!$B$3:$B$1502,$A522))</f>
        <v/>
      </c>
      <c r="J522" s="16" t="str">
        <f aca="false">IF($A522="","",IF($G522="","",$G522-$I522))</f>
        <v/>
      </c>
      <c r="K522" s="17" t="str">
        <f aca="true">IF(OR($A522="",$J522="",$J522&lt;=0,$H522=""),"",TODAY()-$H522)</f>
        <v/>
      </c>
      <c r="L522" s="14" t="str">
        <f aca="false">IF($A522="","",IF($G522="","",IF($J522&lt;=0,"반납완료",IF($I522&gt;0,"부분반납","미반납"))))</f>
        <v/>
      </c>
    </row>
    <row r="523" customFormat="false" ht="15" hidden="false" customHeight="false" outlineLevel="0" collapsed="false">
      <c r="A523" s="14" t="str">
        <f aca="false">IF($B523="","",TEXT($B523,"yymmdd")&amp;"-"&amp;TEXT(COUNTIFS($B$3:$B523,$B523),"00"))</f>
        <v/>
      </c>
      <c r="B523" s="15"/>
      <c r="C523" s="9"/>
      <c r="D523" s="10"/>
      <c r="E523" s="14" t="str">
        <f aca="false">IF($D523="","",IFERROR(INDEX(품목목록!$B$3:$B$202,MATCH($D523,품목목록!$A$3:$A$202,0)),"미등록품번"))</f>
        <v/>
      </c>
      <c r="F523" s="14" t="str">
        <f aca="false">IF($D523="","",IFERROR(INDEX(품목목록!$D$3:$D$202,MATCH($D523,품목목록!$A$3:$A$202,0)),""))</f>
        <v/>
      </c>
      <c r="G523" s="11"/>
      <c r="H523" s="15"/>
      <c r="I523" s="16" t="str">
        <f aca="false">IF($A523="","",SUMIFS(반납내역!$D$3:$D$1502,반납내역!$B$3:$B$1502,$A523))</f>
        <v/>
      </c>
      <c r="J523" s="16" t="str">
        <f aca="false">IF($A523="","",IF($G523="","",$G523-$I523))</f>
        <v/>
      </c>
      <c r="K523" s="17" t="str">
        <f aca="true">IF(OR($A523="",$J523="",$J523&lt;=0,$H523=""),"",TODAY()-$H523)</f>
        <v/>
      </c>
      <c r="L523" s="14" t="str">
        <f aca="false">IF($A523="","",IF($G523="","",IF($J523&lt;=0,"반납완료",IF($I523&gt;0,"부분반납","미반납"))))</f>
        <v/>
      </c>
    </row>
    <row r="524" customFormat="false" ht="15" hidden="false" customHeight="false" outlineLevel="0" collapsed="false">
      <c r="A524" s="14" t="str">
        <f aca="false">IF($B524="","",TEXT($B524,"yymmdd")&amp;"-"&amp;TEXT(COUNTIFS($B$3:$B524,$B524),"00"))</f>
        <v/>
      </c>
      <c r="B524" s="15"/>
      <c r="C524" s="9"/>
      <c r="D524" s="10"/>
      <c r="E524" s="14" t="str">
        <f aca="false">IF($D524="","",IFERROR(INDEX(품목목록!$B$3:$B$202,MATCH($D524,품목목록!$A$3:$A$202,0)),"미등록품번"))</f>
        <v/>
      </c>
      <c r="F524" s="14" t="str">
        <f aca="false">IF($D524="","",IFERROR(INDEX(품목목록!$D$3:$D$202,MATCH($D524,품목목록!$A$3:$A$202,0)),""))</f>
        <v/>
      </c>
      <c r="G524" s="11"/>
      <c r="H524" s="15"/>
      <c r="I524" s="16" t="str">
        <f aca="false">IF($A524="","",SUMIFS(반납내역!$D$3:$D$1502,반납내역!$B$3:$B$1502,$A524))</f>
        <v/>
      </c>
      <c r="J524" s="16" t="str">
        <f aca="false">IF($A524="","",IF($G524="","",$G524-$I524))</f>
        <v/>
      </c>
      <c r="K524" s="17" t="str">
        <f aca="true">IF(OR($A524="",$J524="",$J524&lt;=0,$H524=""),"",TODAY()-$H524)</f>
        <v/>
      </c>
      <c r="L524" s="14" t="str">
        <f aca="false">IF($A524="","",IF($G524="","",IF($J524&lt;=0,"반납완료",IF($I524&gt;0,"부분반납","미반납"))))</f>
        <v/>
      </c>
    </row>
    <row r="525" customFormat="false" ht="15" hidden="false" customHeight="false" outlineLevel="0" collapsed="false">
      <c r="A525" s="14" t="str">
        <f aca="false">IF($B525="","",TEXT($B525,"yymmdd")&amp;"-"&amp;TEXT(COUNTIFS($B$3:$B525,$B525),"00"))</f>
        <v/>
      </c>
      <c r="B525" s="15"/>
      <c r="C525" s="9"/>
      <c r="D525" s="10"/>
      <c r="E525" s="14" t="str">
        <f aca="false">IF($D525="","",IFERROR(INDEX(품목목록!$B$3:$B$202,MATCH($D525,품목목록!$A$3:$A$202,0)),"미등록품번"))</f>
        <v/>
      </c>
      <c r="F525" s="14" t="str">
        <f aca="false">IF($D525="","",IFERROR(INDEX(품목목록!$D$3:$D$202,MATCH($D525,품목목록!$A$3:$A$202,0)),""))</f>
        <v/>
      </c>
      <c r="G525" s="11"/>
      <c r="H525" s="15"/>
      <c r="I525" s="16" t="str">
        <f aca="false">IF($A525="","",SUMIFS(반납내역!$D$3:$D$1502,반납내역!$B$3:$B$1502,$A525))</f>
        <v/>
      </c>
      <c r="J525" s="16" t="str">
        <f aca="false">IF($A525="","",IF($G525="","",$G525-$I525))</f>
        <v/>
      </c>
      <c r="K525" s="17" t="str">
        <f aca="true">IF(OR($A525="",$J525="",$J525&lt;=0,$H525=""),"",TODAY()-$H525)</f>
        <v/>
      </c>
      <c r="L525" s="14" t="str">
        <f aca="false">IF($A525="","",IF($G525="","",IF($J525&lt;=0,"반납완료",IF($I525&gt;0,"부분반납","미반납"))))</f>
        <v/>
      </c>
    </row>
    <row r="526" customFormat="false" ht="15" hidden="false" customHeight="false" outlineLevel="0" collapsed="false">
      <c r="A526" s="14" t="str">
        <f aca="false">IF($B526="","",TEXT($B526,"yymmdd")&amp;"-"&amp;TEXT(COUNTIFS($B$3:$B526,$B526),"00"))</f>
        <v/>
      </c>
      <c r="B526" s="15"/>
      <c r="C526" s="9"/>
      <c r="D526" s="10"/>
      <c r="E526" s="14" t="str">
        <f aca="false">IF($D526="","",IFERROR(INDEX(품목목록!$B$3:$B$202,MATCH($D526,품목목록!$A$3:$A$202,0)),"미등록품번"))</f>
        <v/>
      </c>
      <c r="F526" s="14" t="str">
        <f aca="false">IF($D526="","",IFERROR(INDEX(품목목록!$D$3:$D$202,MATCH($D526,품목목록!$A$3:$A$202,0)),""))</f>
        <v/>
      </c>
      <c r="G526" s="11"/>
      <c r="H526" s="15"/>
      <c r="I526" s="16" t="str">
        <f aca="false">IF($A526="","",SUMIFS(반납내역!$D$3:$D$1502,반납내역!$B$3:$B$1502,$A526))</f>
        <v/>
      </c>
      <c r="J526" s="16" t="str">
        <f aca="false">IF($A526="","",IF($G526="","",$G526-$I526))</f>
        <v/>
      </c>
      <c r="K526" s="17" t="str">
        <f aca="true">IF(OR($A526="",$J526="",$J526&lt;=0,$H526=""),"",TODAY()-$H526)</f>
        <v/>
      </c>
      <c r="L526" s="14" t="str">
        <f aca="false">IF($A526="","",IF($G526="","",IF($J526&lt;=0,"반납완료",IF($I526&gt;0,"부분반납","미반납"))))</f>
        <v/>
      </c>
    </row>
    <row r="527" customFormat="false" ht="15" hidden="false" customHeight="false" outlineLevel="0" collapsed="false">
      <c r="A527" s="14" t="str">
        <f aca="false">IF($B527="","",TEXT($B527,"yymmdd")&amp;"-"&amp;TEXT(COUNTIFS($B$3:$B527,$B527),"00"))</f>
        <v/>
      </c>
      <c r="B527" s="15"/>
      <c r="C527" s="9"/>
      <c r="D527" s="10"/>
      <c r="E527" s="14" t="str">
        <f aca="false">IF($D527="","",IFERROR(INDEX(품목목록!$B$3:$B$202,MATCH($D527,품목목록!$A$3:$A$202,0)),"미등록품번"))</f>
        <v/>
      </c>
      <c r="F527" s="14" t="str">
        <f aca="false">IF($D527="","",IFERROR(INDEX(품목목록!$D$3:$D$202,MATCH($D527,품목목록!$A$3:$A$202,0)),""))</f>
        <v/>
      </c>
      <c r="G527" s="11"/>
      <c r="H527" s="15"/>
      <c r="I527" s="16" t="str">
        <f aca="false">IF($A527="","",SUMIFS(반납내역!$D$3:$D$1502,반납내역!$B$3:$B$1502,$A527))</f>
        <v/>
      </c>
      <c r="J527" s="16" t="str">
        <f aca="false">IF($A527="","",IF($G527="","",$G527-$I527))</f>
        <v/>
      </c>
      <c r="K527" s="17" t="str">
        <f aca="true">IF(OR($A527="",$J527="",$J527&lt;=0,$H527=""),"",TODAY()-$H527)</f>
        <v/>
      </c>
      <c r="L527" s="14" t="str">
        <f aca="false">IF($A527="","",IF($G527="","",IF($J527&lt;=0,"반납완료",IF($I527&gt;0,"부분반납","미반납"))))</f>
        <v/>
      </c>
    </row>
    <row r="528" customFormat="false" ht="15" hidden="false" customHeight="false" outlineLevel="0" collapsed="false">
      <c r="A528" s="14" t="str">
        <f aca="false">IF($B528="","",TEXT($B528,"yymmdd")&amp;"-"&amp;TEXT(COUNTIFS($B$3:$B528,$B528),"00"))</f>
        <v/>
      </c>
      <c r="B528" s="15"/>
      <c r="C528" s="9"/>
      <c r="D528" s="10"/>
      <c r="E528" s="14" t="str">
        <f aca="false">IF($D528="","",IFERROR(INDEX(품목목록!$B$3:$B$202,MATCH($D528,품목목록!$A$3:$A$202,0)),"미등록품번"))</f>
        <v/>
      </c>
      <c r="F528" s="14" t="str">
        <f aca="false">IF($D528="","",IFERROR(INDEX(품목목록!$D$3:$D$202,MATCH($D528,품목목록!$A$3:$A$202,0)),""))</f>
        <v/>
      </c>
      <c r="G528" s="11"/>
      <c r="H528" s="15"/>
      <c r="I528" s="16" t="str">
        <f aca="false">IF($A528="","",SUMIFS(반납내역!$D$3:$D$1502,반납내역!$B$3:$B$1502,$A528))</f>
        <v/>
      </c>
      <c r="J528" s="16" t="str">
        <f aca="false">IF($A528="","",IF($G528="","",$G528-$I528))</f>
        <v/>
      </c>
      <c r="K528" s="17" t="str">
        <f aca="true">IF(OR($A528="",$J528="",$J528&lt;=0,$H528=""),"",TODAY()-$H528)</f>
        <v/>
      </c>
      <c r="L528" s="14" t="str">
        <f aca="false">IF($A528="","",IF($G528="","",IF($J528&lt;=0,"반납완료",IF($I528&gt;0,"부분반납","미반납"))))</f>
        <v/>
      </c>
    </row>
    <row r="529" customFormat="false" ht="15" hidden="false" customHeight="false" outlineLevel="0" collapsed="false">
      <c r="A529" s="14" t="str">
        <f aca="false">IF($B529="","",TEXT($B529,"yymmdd")&amp;"-"&amp;TEXT(COUNTIFS($B$3:$B529,$B529),"00"))</f>
        <v/>
      </c>
      <c r="B529" s="15"/>
      <c r="C529" s="9"/>
      <c r="D529" s="10"/>
      <c r="E529" s="14" t="str">
        <f aca="false">IF($D529="","",IFERROR(INDEX(품목목록!$B$3:$B$202,MATCH($D529,품목목록!$A$3:$A$202,0)),"미등록품번"))</f>
        <v/>
      </c>
      <c r="F529" s="14" t="str">
        <f aca="false">IF($D529="","",IFERROR(INDEX(품목목록!$D$3:$D$202,MATCH($D529,품목목록!$A$3:$A$202,0)),""))</f>
        <v/>
      </c>
      <c r="G529" s="11"/>
      <c r="H529" s="15"/>
      <c r="I529" s="16" t="str">
        <f aca="false">IF($A529="","",SUMIFS(반납내역!$D$3:$D$1502,반납내역!$B$3:$B$1502,$A529))</f>
        <v/>
      </c>
      <c r="J529" s="16" t="str">
        <f aca="false">IF($A529="","",IF($G529="","",$G529-$I529))</f>
        <v/>
      </c>
      <c r="K529" s="17" t="str">
        <f aca="true">IF(OR($A529="",$J529="",$J529&lt;=0,$H529=""),"",TODAY()-$H529)</f>
        <v/>
      </c>
      <c r="L529" s="14" t="str">
        <f aca="false">IF($A529="","",IF($G529="","",IF($J529&lt;=0,"반납완료",IF($I529&gt;0,"부분반납","미반납"))))</f>
        <v/>
      </c>
    </row>
    <row r="530" customFormat="false" ht="15" hidden="false" customHeight="false" outlineLevel="0" collapsed="false">
      <c r="A530" s="14" t="str">
        <f aca="false">IF($B530="","",TEXT($B530,"yymmdd")&amp;"-"&amp;TEXT(COUNTIFS($B$3:$B530,$B530),"00"))</f>
        <v/>
      </c>
      <c r="B530" s="15"/>
      <c r="C530" s="9"/>
      <c r="D530" s="10"/>
      <c r="E530" s="14" t="str">
        <f aca="false">IF($D530="","",IFERROR(INDEX(품목목록!$B$3:$B$202,MATCH($D530,품목목록!$A$3:$A$202,0)),"미등록품번"))</f>
        <v/>
      </c>
      <c r="F530" s="14" t="str">
        <f aca="false">IF($D530="","",IFERROR(INDEX(품목목록!$D$3:$D$202,MATCH($D530,품목목록!$A$3:$A$202,0)),""))</f>
        <v/>
      </c>
      <c r="G530" s="11"/>
      <c r="H530" s="15"/>
      <c r="I530" s="16" t="str">
        <f aca="false">IF($A530="","",SUMIFS(반납내역!$D$3:$D$1502,반납내역!$B$3:$B$1502,$A530))</f>
        <v/>
      </c>
      <c r="J530" s="16" t="str">
        <f aca="false">IF($A530="","",IF($G530="","",$G530-$I530))</f>
        <v/>
      </c>
      <c r="K530" s="17" t="str">
        <f aca="true">IF(OR($A530="",$J530="",$J530&lt;=0,$H530=""),"",TODAY()-$H530)</f>
        <v/>
      </c>
      <c r="L530" s="14" t="str">
        <f aca="false">IF($A530="","",IF($G530="","",IF($J530&lt;=0,"반납완료",IF($I530&gt;0,"부분반납","미반납"))))</f>
        <v/>
      </c>
    </row>
    <row r="531" customFormat="false" ht="15" hidden="false" customHeight="false" outlineLevel="0" collapsed="false">
      <c r="A531" s="14" t="str">
        <f aca="false">IF($B531="","",TEXT($B531,"yymmdd")&amp;"-"&amp;TEXT(COUNTIFS($B$3:$B531,$B531),"00"))</f>
        <v/>
      </c>
      <c r="B531" s="15"/>
      <c r="C531" s="9"/>
      <c r="D531" s="10"/>
      <c r="E531" s="14" t="str">
        <f aca="false">IF($D531="","",IFERROR(INDEX(품목목록!$B$3:$B$202,MATCH($D531,품목목록!$A$3:$A$202,0)),"미등록품번"))</f>
        <v/>
      </c>
      <c r="F531" s="14" t="str">
        <f aca="false">IF($D531="","",IFERROR(INDEX(품목목록!$D$3:$D$202,MATCH($D531,품목목록!$A$3:$A$202,0)),""))</f>
        <v/>
      </c>
      <c r="G531" s="11"/>
      <c r="H531" s="15"/>
      <c r="I531" s="16" t="str">
        <f aca="false">IF($A531="","",SUMIFS(반납내역!$D$3:$D$1502,반납내역!$B$3:$B$1502,$A531))</f>
        <v/>
      </c>
      <c r="J531" s="16" t="str">
        <f aca="false">IF($A531="","",IF($G531="","",$G531-$I531))</f>
        <v/>
      </c>
      <c r="K531" s="17" t="str">
        <f aca="true">IF(OR($A531="",$J531="",$J531&lt;=0,$H531=""),"",TODAY()-$H531)</f>
        <v/>
      </c>
      <c r="L531" s="14" t="str">
        <f aca="false">IF($A531="","",IF($G531="","",IF($J531&lt;=0,"반납완료",IF($I531&gt;0,"부분반납","미반납"))))</f>
        <v/>
      </c>
    </row>
    <row r="532" customFormat="false" ht="15" hidden="false" customHeight="false" outlineLevel="0" collapsed="false">
      <c r="A532" s="14" t="str">
        <f aca="false">IF($B532="","",TEXT($B532,"yymmdd")&amp;"-"&amp;TEXT(COUNTIFS($B$3:$B532,$B532),"00"))</f>
        <v/>
      </c>
      <c r="B532" s="15"/>
      <c r="C532" s="9"/>
      <c r="D532" s="10"/>
      <c r="E532" s="14" t="str">
        <f aca="false">IF($D532="","",IFERROR(INDEX(품목목록!$B$3:$B$202,MATCH($D532,품목목록!$A$3:$A$202,0)),"미등록품번"))</f>
        <v/>
      </c>
      <c r="F532" s="14" t="str">
        <f aca="false">IF($D532="","",IFERROR(INDEX(품목목록!$D$3:$D$202,MATCH($D532,품목목록!$A$3:$A$202,0)),""))</f>
        <v/>
      </c>
      <c r="G532" s="11"/>
      <c r="H532" s="15"/>
      <c r="I532" s="16" t="str">
        <f aca="false">IF($A532="","",SUMIFS(반납내역!$D$3:$D$1502,반납내역!$B$3:$B$1502,$A532))</f>
        <v/>
      </c>
      <c r="J532" s="16" t="str">
        <f aca="false">IF($A532="","",IF($G532="","",$G532-$I532))</f>
        <v/>
      </c>
      <c r="K532" s="17" t="str">
        <f aca="true">IF(OR($A532="",$J532="",$J532&lt;=0,$H532=""),"",TODAY()-$H532)</f>
        <v/>
      </c>
      <c r="L532" s="14" t="str">
        <f aca="false">IF($A532="","",IF($G532="","",IF($J532&lt;=0,"반납완료",IF($I532&gt;0,"부분반납","미반납"))))</f>
        <v/>
      </c>
    </row>
    <row r="533" customFormat="false" ht="15" hidden="false" customHeight="false" outlineLevel="0" collapsed="false">
      <c r="A533" s="14" t="str">
        <f aca="false">IF($B533="","",TEXT($B533,"yymmdd")&amp;"-"&amp;TEXT(COUNTIFS($B$3:$B533,$B533),"00"))</f>
        <v/>
      </c>
      <c r="B533" s="15"/>
      <c r="C533" s="9"/>
      <c r="D533" s="10"/>
      <c r="E533" s="14" t="str">
        <f aca="false">IF($D533="","",IFERROR(INDEX(품목목록!$B$3:$B$202,MATCH($D533,품목목록!$A$3:$A$202,0)),"미등록품번"))</f>
        <v/>
      </c>
      <c r="F533" s="14" t="str">
        <f aca="false">IF($D533="","",IFERROR(INDEX(품목목록!$D$3:$D$202,MATCH($D533,품목목록!$A$3:$A$202,0)),""))</f>
        <v/>
      </c>
      <c r="G533" s="11"/>
      <c r="H533" s="15"/>
      <c r="I533" s="16" t="str">
        <f aca="false">IF($A533="","",SUMIFS(반납내역!$D$3:$D$1502,반납내역!$B$3:$B$1502,$A533))</f>
        <v/>
      </c>
      <c r="J533" s="16" t="str">
        <f aca="false">IF($A533="","",IF($G533="","",$G533-$I533))</f>
        <v/>
      </c>
      <c r="K533" s="17" t="str">
        <f aca="true">IF(OR($A533="",$J533="",$J533&lt;=0,$H533=""),"",TODAY()-$H533)</f>
        <v/>
      </c>
      <c r="L533" s="14" t="str">
        <f aca="false">IF($A533="","",IF($G533="","",IF($J533&lt;=0,"반납완료",IF($I533&gt;0,"부분반납","미반납"))))</f>
        <v/>
      </c>
    </row>
    <row r="534" customFormat="false" ht="15" hidden="false" customHeight="false" outlineLevel="0" collapsed="false">
      <c r="A534" s="14" t="str">
        <f aca="false">IF($B534="","",TEXT($B534,"yymmdd")&amp;"-"&amp;TEXT(COUNTIFS($B$3:$B534,$B534),"00"))</f>
        <v/>
      </c>
      <c r="B534" s="15"/>
      <c r="C534" s="9"/>
      <c r="D534" s="10"/>
      <c r="E534" s="14" t="str">
        <f aca="false">IF($D534="","",IFERROR(INDEX(품목목록!$B$3:$B$202,MATCH($D534,품목목록!$A$3:$A$202,0)),"미등록품번"))</f>
        <v/>
      </c>
      <c r="F534" s="14" t="str">
        <f aca="false">IF($D534="","",IFERROR(INDEX(품목목록!$D$3:$D$202,MATCH($D534,품목목록!$A$3:$A$202,0)),""))</f>
        <v/>
      </c>
      <c r="G534" s="11"/>
      <c r="H534" s="15"/>
      <c r="I534" s="16" t="str">
        <f aca="false">IF($A534="","",SUMIFS(반납내역!$D$3:$D$1502,반납내역!$B$3:$B$1502,$A534))</f>
        <v/>
      </c>
      <c r="J534" s="16" t="str">
        <f aca="false">IF($A534="","",IF($G534="","",$G534-$I534))</f>
        <v/>
      </c>
      <c r="K534" s="17" t="str">
        <f aca="true">IF(OR($A534="",$J534="",$J534&lt;=0,$H534=""),"",TODAY()-$H534)</f>
        <v/>
      </c>
      <c r="L534" s="14" t="str">
        <f aca="false">IF($A534="","",IF($G534="","",IF($J534&lt;=0,"반납완료",IF($I534&gt;0,"부분반납","미반납"))))</f>
        <v/>
      </c>
    </row>
    <row r="535" customFormat="false" ht="15" hidden="false" customHeight="false" outlineLevel="0" collapsed="false">
      <c r="A535" s="14" t="str">
        <f aca="false">IF($B535="","",TEXT($B535,"yymmdd")&amp;"-"&amp;TEXT(COUNTIFS($B$3:$B535,$B535),"00"))</f>
        <v/>
      </c>
      <c r="B535" s="15"/>
      <c r="C535" s="9"/>
      <c r="D535" s="10"/>
      <c r="E535" s="14" t="str">
        <f aca="false">IF($D535="","",IFERROR(INDEX(품목목록!$B$3:$B$202,MATCH($D535,품목목록!$A$3:$A$202,0)),"미등록품번"))</f>
        <v/>
      </c>
      <c r="F535" s="14" t="str">
        <f aca="false">IF($D535="","",IFERROR(INDEX(품목목록!$D$3:$D$202,MATCH($D535,품목목록!$A$3:$A$202,0)),""))</f>
        <v/>
      </c>
      <c r="G535" s="11"/>
      <c r="H535" s="15"/>
      <c r="I535" s="16" t="str">
        <f aca="false">IF($A535="","",SUMIFS(반납내역!$D$3:$D$1502,반납내역!$B$3:$B$1502,$A535))</f>
        <v/>
      </c>
      <c r="J535" s="16" t="str">
        <f aca="false">IF($A535="","",IF($G535="","",$G535-$I535))</f>
        <v/>
      </c>
      <c r="K535" s="17" t="str">
        <f aca="true">IF(OR($A535="",$J535="",$J535&lt;=0,$H535=""),"",TODAY()-$H535)</f>
        <v/>
      </c>
      <c r="L535" s="14" t="str">
        <f aca="false">IF($A535="","",IF($G535="","",IF($J535&lt;=0,"반납완료",IF($I535&gt;0,"부분반납","미반납"))))</f>
        <v/>
      </c>
    </row>
    <row r="536" customFormat="false" ht="15" hidden="false" customHeight="false" outlineLevel="0" collapsed="false">
      <c r="A536" s="14" t="str">
        <f aca="false">IF($B536="","",TEXT($B536,"yymmdd")&amp;"-"&amp;TEXT(COUNTIFS($B$3:$B536,$B536),"00"))</f>
        <v/>
      </c>
      <c r="B536" s="15"/>
      <c r="C536" s="9"/>
      <c r="D536" s="10"/>
      <c r="E536" s="14" t="str">
        <f aca="false">IF($D536="","",IFERROR(INDEX(품목목록!$B$3:$B$202,MATCH($D536,품목목록!$A$3:$A$202,0)),"미등록품번"))</f>
        <v/>
      </c>
      <c r="F536" s="14" t="str">
        <f aca="false">IF($D536="","",IFERROR(INDEX(품목목록!$D$3:$D$202,MATCH($D536,품목목록!$A$3:$A$202,0)),""))</f>
        <v/>
      </c>
      <c r="G536" s="11"/>
      <c r="H536" s="15"/>
      <c r="I536" s="16" t="str">
        <f aca="false">IF($A536="","",SUMIFS(반납내역!$D$3:$D$1502,반납내역!$B$3:$B$1502,$A536))</f>
        <v/>
      </c>
      <c r="J536" s="16" t="str">
        <f aca="false">IF($A536="","",IF($G536="","",$G536-$I536))</f>
        <v/>
      </c>
      <c r="K536" s="17" t="str">
        <f aca="true">IF(OR($A536="",$J536="",$J536&lt;=0,$H536=""),"",TODAY()-$H536)</f>
        <v/>
      </c>
      <c r="L536" s="14" t="str">
        <f aca="false">IF($A536="","",IF($G536="","",IF($J536&lt;=0,"반납완료",IF($I536&gt;0,"부분반납","미반납"))))</f>
        <v/>
      </c>
    </row>
    <row r="537" customFormat="false" ht="15" hidden="false" customHeight="false" outlineLevel="0" collapsed="false">
      <c r="A537" s="14" t="str">
        <f aca="false">IF($B537="","",TEXT($B537,"yymmdd")&amp;"-"&amp;TEXT(COUNTIFS($B$3:$B537,$B537),"00"))</f>
        <v/>
      </c>
      <c r="B537" s="15"/>
      <c r="C537" s="9"/>
      <c r="D537" s="10"/>
      <c r="E537" s="14" t="str">
        <f aca="false">IF($D537="","",IFERROR(INDEX(품목목록!$B$3:$B$202,MATCH($D537,품목목록!$A$3:$A$202,0)),"미등록품번"))</f>
        <v/>
      </c>
      <c r="F537" s="14" t="str">
        <f aca="false">IF($D537="","",IFERROR(INDEX(품목목록!$D$3:$D$202,MATCH($D537,품목목록!$A$3:$A$202,0)),""))</f>
        <v/>
      </c>
      <c r="G537" s="11"/>
      <c r="H537" s="15"/>
      <c r="I537" s="16" t="str">
        <f aca="false">IF($A537="","",SUMIFS(반납내역!$D$3:$D$1502,반납내역!$B$3:$B$1502,$A537))</f>
        <v/>
      </c>
      <c r="J537" s="16" t="str">
        <f aca="false">IF($A537="","",IF($G537="","",$G537-$I537))</f>
        <v/>
      </c>
      <c r="K537" s="17" t="str">
        <f aca="true">IF(OR($A537="",$J537="",$J537&lt;=0,$H537=""),"",TODAY()-$H537)</f>
        <v/>
      </c>
      <c r="L537" s="14" t="str">
        <f aca="false">IF($A537="","",IF($G537="","",IF($J537&lt;=0,"반납완료",IF($I537&gt;0,"부분반납","미반납"))))</f>
        <v/>
      </c>
    </row>
    <row r="538" customFormat="false" ht="15" hidden="false" customHeight="false" outlineLevel="0" collapsed="false">
      <c r="A538" s="14" t="str">
        <f aca="false">IF($B538="","",TEXT($B538,"yymmdd")&amp;"-"&amp;TEXT(COUNTIFS($B$3:$B538,$B538),"00"))</f>
        <v/>
      </c>
      <c r="B538" s="15"/>
      <c r="C538" s="9"/>
      <c r="D538" s="10"/>
      <c r="E538" s="14" t="str">
        <f aca="false">IF($D538="","",IFERROR(INDEX(품목목록!$B$3:$B$202,MATCH($D538,품목목록!$A$3:$A$202,0)),"미등록품번"))</f>
        <v/>
      </c>
      <c r="F538" s="14" t="str">
        <f aca="false">IF($D538="","",IFERROR(INDEX(품목목록!$D$3:$D$202,MATCH($D538,품목목록!$A$3:$A$202,0)),""))</f>
        <v/>
      </c>
      <c r="G538" s="11"/>
      <c r="H538" s="15"/>
      <c r="I538" s="16" t="str">
        <f aca="false">IF($A538="","",SUMIFS(반납내역!$D$3:$D$1502,반납내역!$B$3:$B$1502,$A538))</f>
        <v/>
      </c>
      <c r="J538" s="16" t="str">
        <f aca="false">IF($A538="","",IF($G538="","",$G538-$I538))</f>
        <v/>
      </c>
      <c r="K538" s="17" t="str">
        <f aca="true">IF(OR($A538="",$J538="",$J538&lt;=0,$H538=""),"",TODAY()-$H538)</f>
        <v/>
      </c>
      <c r="L538" s="14" t="str">
        <f aca="false">IF($A538="","",IF($G538="","",IF($J538&lt;=0,"반납완료",IF($I538&gt;0,"부분반납","미반납"))))</f>
        <v/>
      </c>
    </row>
    <row r="539" customFormat="false" ht="15" hidden="false" customHeight="false" outlineLevel="0" collapsed="false">
      <c r="A539" s="14" t="str">
        <f aca="false">IF($B539="","",TEXT($B539,"yymmdd")&amp;"-"&amp;TEXT(COUNTIFS($B$3:$B539,$B539),"00"))</f>
        <v/>
      </c>
      <c r="B539" s="15"/>
      <c r="C539" s="9"/>
      <c r="D539" s="10"/>
      <c r="E539" s="14" t="str">
        <f aca="false">IF($D539="","",IFERROR(INDEX(품목목록!$B$3:$B$202,MATCH($D539,품목목록!$A$3:$A$202,0)),"미등록품번"))</f>
        <v/>
      </c>
      <c r="F539" s="14" t="str">
        <f aca="false">IF($D539="","",IFERROR(INDEX(품목목록!$D$3:$D$202,MATCH($D539,품목목록!$A$3:$A$202,0)),""))</f>
        <v/>
      </c>
      <c r="G539" s="11"/>
      <c r="H539" s="15"/>
      <c r="I539" s="16" t="str">
        <f aca="false">IF($A539="","",SUMIFS(반납내역!$D$3:$D$1502,반납내역!$B$3:$B$1502,$A539))</f>
        <v/>
      </c>
      <c r="J539" s="16" t="str">
        <f aca="false">IF($A539="","",IF($G539="","",$G539-$I539))</f>
        <v/>
      </c>
      <c r="K539" s="17" t="str">
        <f aca="true">IF(OR($A539="",$J539="",$J539&lt;=0,$H539=""),"",TODAY()-$H539)</f>
        <v/>
      </c>
      <c r="L539" s="14" t="str">
        <f aca="false">IF($A539="","",IF($G539="","",IF($J539&lt;=0,"반납완료",IF($I539&gt;0,"부분반납","미반납"))))</f>
        <v/>
      </c>
    </row>
    <row r="540" customFormat="false" ht="15" hidden="false" customHeight="false" outlineLevel="0" collapsed="false">
      <c r="A540" s="14" t="str">
        <f aca="false">IF($B540="","",TEXT($B540,"yymmdd")&amp;"-"&amp;TEXT(COUNTIFS($B$3:$B540,$B540),"00"))</f>
        <v/>
      </c>
      <c r="B540" s="15"/>
      <c r="C540" s="9"/>
      <c r="D540" s="10"/>
      <c r="E540" s="14" t="str">
        <f aca="false">IF($D540="","",IFERROR(INDEX(품목목록!$B$3:$B$202,MATCH($D540,품목목록!$A$3:$A$202,0)),"미등록품번"))</f>
        <v/>
      </c>
      <c r="F540" s="14" t="str">
        <f aca="false">IF($D540="","",IFERROR(INDEX(품목목록!$D$3:$D$202,MATCH($D540,품목목록!$A$3:$A$202,0)),""))</f>
        <v/>
      </c>
      <c r="G540" s="11"/>
      <c r="H540" s="15"/>
      <c r="I540" s="16" t="str">
        <f aca="false">IF($A540="","",SUMIFS(반납내역!$D$3:$D$1502,반납내역!$B$3:$B$1502,$A540))</f>
        <v/>
      </c>
      <c r="J540" s="16" t="str">
        <f aca="false">IF($A540="","",IF($G540="","",$G540-$I540))</f>
        <v/>
      </c>
      <c r="K540" s="17" t="str">
        <f aca="true">IF(OR($A540="",$J540="",$J540&lt;=0,$H540=""),"",TODAY()-$H540)</f>
        <v/>
      </c>
      <c r="L540" s="14" t="str">
        <f aca="false">IF($A540="","",IF($G540="","",IF($J540&lt;=0,"반납완료",IF($I540&gt;0,"부분반납","미반납"))))</f>
        <v/>
      </c>
    </row>
    <row r="541" customFormat="false" ht="15" hidden="false" customHeight="false" outlineLevel="0" collapsed="false">
      <c r="A541" s="14" t="str">
        <f aca="false">IF($B541="","",TEXT($B541,"yymmdd")&amp;"-"&amp;TEXT(COUNTIFS($B$3:$B541,$B541),"00"))</f>
        <v/>
      </c>
      <c r="B541" s="15"/>
      <c r="C541" s="9"/>
      <c r="D541" s="10"/>
      <c r="E541" s="14" t="str">
        <f aca="false">IF($D541="","",IFERROR(INDEX(품목목록!$B$3:$B$202,MATCH($D541,품목목록!$A$3:$A$202,0)),"미등록품번"))</f>
        <v/>
      </c>
      <c r="F541" s="14" t="str">
        <f aca="false">IF($D541="","",IFERROR(INDEX(품목목록!$D$3:$D$202,MATCH($D541,품목목록!$A$3:$A$202,0)),""))</f>
        <v/>
      </c>
      <c r="G541" s="11"/>
      <c r="H541" s="15"/>
      <c r="I541" s="16" t="str">
        <f aca="false">IF($A541="","",SUMIFS(반납내역!$D$3:$D$1502,반납내역!$B$3:$B$1502,$A541))</f>
        <v/>
      </c>
      <c r="J541" s="16" t="str">
        <f aca="false">IF($A541="","",IF($G541="","",$G541-$I541))</f>
        <v/>
      </c>
      <c r="K541" s="17" t="str">
        <f aca="true">IF(OR($A541="",$J541="",$J541&lt;=0,$H541=""),"",TODAY()-$H541)</f>
        <v/>
      </c>
      <c r="L541" s="14" t="str">
        <f aca="false">IF($A541="","",IF($G541="","",IF($J541&lt;=0,"반납완료",IF($I541&gt;0,"부분반납","미반납"))))</f>
        <v/>
      </c>
    </row>
    <row r="542" customFormat="false" ht="15" hidden="false" customHeight="false" outlineLevel="0" collapsed="false">
      <c r="A542" s="14" t="str">
        <f aca="false">IF($B542="","",TEXT($B542,"yymmdd")&amp;"-"&amp;TEXT(COUNTIFS($B$3:$B542,$B542),"00"))</f>
        <v/>
      </c>
      <c r="B542" s="15"/>
      <c r="C542" s="9"/>
      <c r="D542" s="10"/>
      <c r="E542" s="14" t="str">
        <f aca="false">IF($D542="","",IFERROR(INDEX(품목목록!$B$3:$B$202,MATCH($D542,품목목록!$A$3:$A$202,0)),"미등록품번"))</f>
        <v/>
      </c>
      <c r="F542" s="14" t="str">
        <f aca="false">IF($D542="","",IFERROR(INDEX(품목목록!$D$3:$D$202,MATCH($D542,품목목록!$A$3:$A$202,0)),""))</f>
        <v/>
      </c>
      <c r="G542" s="11"/>
      <c r="H542" s="15"/>
      <c r="I542" s="16" t="str">
        <f aca="false">IF($A542="","",SUMIFS(반납내역!$D$3:$D$1502,반납내역!$B$3:$B$1502,$A542))</f>
        <v/>
      </c>
      <c r="J542" s="16" t="str">
        <f aca="false">IF($A542="","",IF($G542="","",$G542-$I542))</f>
        <v/>
      </c>
      <c r="K542" s="17" t="str">
        <f aca="true">IF(OR($A542="",$J542="",$J542&lt;=0,$H542=""),"",TODAY()-$H542)</f>
        <v/>
      </c>
      <c r="L542" s="14" t="str">
        <f aca="false">IF($A542="","",IF($G542="","",IF($J542&lt;=0,"반납완료",IF($I542&gt;0,"부분반납","미반납"))))</f>
        <v/>
      </c>
    </row>
    <row r="543" customFormat="false" ht="15" hidden="false" customHeight="false" outlineLevel="0" collapsed="false">
      <c r="A543" s="14" t="str">
        <f aca="false">IF($B543="","",TEXT($B543,"yymmdd")&amp;"-"&amp;TEXT(COUNTIFS($B$3:$B543,$B543),"00"))</f>
        <v/>
      </c>
      <c r="B543" s="15"/>
      <c r="C543" s="9"/>
      <c r="D543" s="10"/>
      <c r="E543" s="14" t="str">
        <f aca="false">IF($D543="","",IFERROR(INDEX(품목목록!$B$3:$B$202,MATCH($D543,품목목록!$A$3:$A$202,0)),"미등록품번"))</f>
        <v/>
      </c>
      <c r="F543" s="14" t="str">
        <f aca="false">IF($D543="","",IFERROR(INDEX(품목목록!$D$3:$D$202,MATCH($D543,품목목록!$A$3:$A$202,0)),""))</f>
        <v/>
      </c>
      <c r="G543" s="11"/>
      <c r="H543" s="15"/>
      <c r="I543" s="16" t="str">
        <f aca="false">IF($A543="","",SUMIFS(반납내역!$D$3:$D$1502,반납내역!$B$3:$B$1502,$A543))</f>
        <v/>
      </c>
      <c r="J543" s="16" t="str">
        <f aca="false">IF($A543="","",IF($G543="","",$G543-$I543))</f>
        <v/>
      </c>
      <c r="K543" s="17" t="str">
        <f aca="true">IF(OR($A543="",$J543="",$J543&lt;=0,$H543=""),"",TODAY()-$H543)</f>
        <v/>
      </c>
      <c r="L543" s="14" t="str">
        <f aca="false">IF($A543="","",IF($G543="","",IF($J543&lt;=0,"반납완료",IF($I543&gt;0,"부분반납","미반납"))))</f>
        <v/>
      </c>
    </row>
    <row r="544" customFormat="false" ht="15" hidden="false" customHeight="false" outlineLevel="0" collapsed="false">
      <c r="A544" s="14" t="str">
        <f aca="false">IF($B544="","",TEXT($B544,"yymmdd")&amp;"-"&amp;TEXT(COUNTIFS($B$3:$B544,$B544),"00"))</f>
        <v/>
      </c>
      <c r="B544" s="15"/>
      <c r="C544" s="9"/>
      <c r="D544" s="10"/>
      <c r="E544" s="14" t="str">
        <f aca="false">IF($D544="","",IFERROR(INDEX(품목목록!$B$3:$B$202,MATCH($D544,품목목록!$A$3:$A$202,0)),"미등록품번"))</f>
        <v/>
      </c>
      <c r="F544" s="14" t="str">
        <f aca="false">IF($D544="","",IFERROR(INDEX(품목목록!$D$3:$D$202,MATCH($D544,품목목록!$A$3:$A$202,0)),""))</f>
        <v/>
      </c>
      <c r="G544" s="11"/>
      <c r="H544" s="15"/>
      <c r="I544" s="16" t="str">
        <f aca="false">IF($A544="","",SUMIFS(반납내역!$D$3:$D$1502,반납내역!$B$3:$B$1502,$A544))</f>
        <v/>
      </c>
      <c r="J544" s="16" t="str">
        <f aca="false">IF($A544="","",IF($G544="","",$G544-$I544))</f>
        <v/>
      </c>
      <c r="K544" s="17" t="str">
        <f aca="true">IF(OR($A544="",$J544="",$J544&lt;=0,$H544=""),"",TODAY()-$H544)</f>
        <v/>
      </c>
      <c r="L544" s="14" t="str">
        <f aca="false">IF($A544="","",IF($G544="","",IF($J544&lt;=0,"반납완료",IF($I544&gt;0,"부분반납","미반납"))))</f>
        <v/>
      </c>
    </row>
    <row r="545" customFormat="false" ht="15" hidden="false" customHeight="false" outlineLevel="0" collapsed="false">
      <c r="A545" s="14" t="str">
        <f aca="false">IF($B545="","",TEXT($B545,"yymmdd")&amp;"-"&amp;TEXT(COUNTIFS($B$3:$B545,$B545),"00"))</f>
        <v/>
      </c>
      <c r="B545" s="15"/>
      <c r="C545" s="9"/>
      <c r="D545" s="10"/>
      <c r="E545" s="14" t="str">
        <f aca="false">IF($D545="","",IFERROR(INDEX(품목목록!$B$3:$B$202,MATCH($D545,품목목록!$A$3:$A$202,0)),"미등록품번"))</f>
        <v/>
      </c>
      <c r="F545" s="14" t="str">
        <f aca="false">IF($D545="","",IFERROR(INDEX(품목목록!$D$3:$D$202,MATCH($D545,품목목록!$A$3:$A$202,0)),""))</f>
        <v/>
      </c>
      <c r="G545" s="11"/>
      <c r="H545" s="15"/>
      <c r="I545" s="16" t="str">
        <f aca="false">IF($A545="","",SUMIFS(반납내역!$D$3:$D$1502,반납내역!$B$3:$B$1502,$A545))</f>
        <v/>
      </c>
      <c r="J545" s="16" t="str">
        <f aca="false">IF($A545="","",IF($G545="","",$G545-$I545))</f>
        <v/>
      </c>
      <c r="K545" s="17" t="str">
        <f aca="true">IF(OR($A545="",$J545="",$J545&lt;=0,$H545=""),"",TODAY()-$H545)</f>
        <v/>
      </c>
      <c r="L545" s="14" t="str">
        <f aca="false">IF($A545="","",IF($G545="","",IF($J545&lt;=0,"반납완료",IF($I545&gt;0,"부분반납","미반납"))))</f>
        <v/>
      </c>
    </row>
    <row r="546" customFormat="false" ht="15" hidden="false" customHeight="false" outlineLevel="0" collapsed="false">
      <c r="A546" s="14" t="str">
        <f aca="false">IF($B546="","",TEXT($B546,"yymmdd")&amp;"-"&amp;TEXT(COUNTIFS($B$3:$B546,$B546),"00"))</f>
        <v/>
      </c>
      <c r="B546" s="15"/>
      <c r="C546" s="9"/>
      <c r="D546" s="10"/>
      <c r="E546" s="14" t="str">
        <f aca="false">IF($D546="","",IFERROR(INDEX(품목목록!$B$3:$B$202,MATCH($D546,품목목록!$A$3:$A$202,0)),"미등록품번"))</f>
        <v/>
      </c>
      <c r="F546" s="14" t="str">
        <f aca="false">IF($D546="","",IFERROR(INDEX(품목목록!$D$3:$D$202,MATCH($D546,품목목록!$A$3:$A$202,0)),""))</f>
        <v/>
      </c>
      <c r="G546" s="11"/>
      <c r="H546" s="15"/>
      <c r="I546" s="16" t="str">
        <f aca="false">IF($A546="","",SUMIFS(반납내역!$D$3:$D$1502,반납내역!$B$3:$B$1502,$A546))</f>
        <v/>
      </c>
      <c r="J546" s="16" t="str">
        <f aca="false">IF($A546="","",IF($G546="","",$G546-$I546))</f>
        <v/>
      </c>
      <c r="K546" s="17" t="str">
        <f aca="true">IF(OR($A546="",$J546="",$J546&lt;=0,$H546=""),"",TODAY()-$H546)</f>
        <v/>
      </c>
      <c r="L546" s="14" t="str">
        <f aca="false">IF($A546="","",IF($G546="","",IF($J546&lt;=0,"반납완료",IF($I546&gt;0,"부분반납","미반납"))))</f>
        <v/>
      </c>
    </row>
    <row r="547" customFormat="false" ht="15" hidden="false" customHeight="false" outlineLevel="0" collapsed="false">
      <c r="A547" s="14" t="str">
        <f aca="false">IF($B547="","",TEXT($B547,"yymmdd")&amp;"-"&amp;TEXT(COUNTIFS($B$3:$B547,$B547),"00"))</f>
        <v/>
      </c>
      <c r="B547" s="15"/>
      <c r="C547" s="9"/>
      <c r="D547" s="10"/>
      <c r="E547" s="14" t="str">
        <f aca="false">IF($D547="","",IFERROR(INDEX(품목목록!$B$3:$B$202,MATCH($D547,품목목록!$A$3:$A$202,0)),"미등록품번"))</f>
        <v/>
      </c>
      <c r="F547" s="14" t="str">
        <f aca="false">IF($D547="","",IFERROR(INDEX(품목목록!$D$3:$D$202,MATCH($D547,품목목록!$A$3:$A$202,0)),""))</f>
        <v/>
      </c>
      <c r="G547" s="11"/>
      <c r="H547" s="15"/>
      <c r="I547" s="16" t="str">
        <f aca="false">IF($A547="","",SUMIFS(반납내역!$D$3:$D$1502,반납내역!$B$3:$B$1502,$A547))</f>
        <v/>
      </c>
      <c r="J547" s="16" t="str">
        <f aca="false">IF($A547="","",IF($G547="","",$G547-$I547))</f>
        <v/>
      </c>
      <c r="K547" s="17" t="str">
        <f aca="true">IF(OR($A547="",$J547="",$J547&lt;=0,$H547=""),"",TODAY()-$H547)</f>
        <v/>
      </c>
      <c r="L547" s="14" t="str">
        <f aca="false">IF($A547="","",IF($G547="","",IF($J547&lt;=0,"반납완료",IF($I547&gt;0,"부분반납","미반납"))))</f>
        <v/>
      </c>
    </row>
    <row r="548" customFormat="false" ht="15" hidden="false" customHeight="false" outlineLevel="0" collapsed="false">
      <c r="A548" s="14" t="str">
        <f aca="false">IF($B548="","",TEXT($B548,"yymmdd")&amp;"-"&amp;TEXT(COUNTIFS($B$3:$B548,$B548),"00"))</f>
        <v/>
      </c>
      <c r="B548" s="15"/>
      <c r="C548" s="9"/>
      <c r="D548" s="10"/>
      <c r="E548" s="14" t="str">
        <f aca="false">IF($D548="","",IFERROR(INDEX(품목목록!$B$3:$B$202,MATCH($D548,품목목록!$A$3:$A$202,0)),"미등록품번"))</f>
        <v/>
      </c>
      <c r="F548" s="14" t="str">
        <f aca="false">IF($D548="","",IFERROR(INDEX(품목목록!$D$3:$D$202,MATCH($D548,품목목록!$A$3:$A$202,0)),""))</f>
        <v/>
      </c>
      <c r="G548" s="11"/>
      <c r="H548" s="15"/>
      <c r="I548" s="16" t="str">
        <f aca="false">IF($A548="","",SUMIFS(반납내역!$D$3:$D$1502,반납내역!$B$3:$B$1502,$A548))</f>
        <v/>
      </c>
      <c r="J548" s="16" t="str">
        <f aca="false">IF($A548="","",IF($G548="","",$G548-$I548))</f>
        <v/>
      </c>
      <c r="K548" s="17" t="str">
        <f aca="true">IF(OR($A548="",$J548="",$J548&lt;=0,$H548=""),"",TODAY()-$H548)</f>
        <v/>
      </c>
      <c r="L548" s="14" t="str">
        <f aca="false">IF($A548="","",IF($G548="","",IF($J548&lt;=0,"반납완료",IF($I548&gt;0,"부분반납","미반납"))))</f>
        <v/>
      </c>
    </row>
    <row r="549" customFormat="false" ht="15" hidden="false" customHeight="false" outlineLevel="0" collapsed="false">
      <c r="A549" s="14" t="str">
        <f aca="false">IF($B549="","",TEXT($B549,"yymmdd")&amp;"-"&amp;TEXT(COUNTIFS($B$3:$B549,$B549),"00"))</f>
        <v/>
      </c>
      <c r="B549" s="15"/>
      <c r="C549" s="9"/>
      <c r="D549" s="10"/>
      <c r="E549" s="14" t="str">
        <f aca="false">IF($D549="","",IFERROR(INDEX(품목목록!$B$3:$B$202,MATCH($D549,품목목록!$A$3:$A$202,0)),"미등록품번"))</f>
        <v/>
      </c>
      <c r="F549" s="14" t="str">
        <f aca="false">IF($D549="","",IFERROR(INDEX(품목목록!$D$3:$D$202,MATCH($D549,품목목록!$A$3:$A$202,0)),""))</f>
        <v/>
      </c>
      <c r="G549" s="11"/>
      <c r="H549" s="15"/>
      <c r="I549" s="16" t="str">
        <f aca="false">IF($A549="","",SUMIFS(반납내역!$D$3:$D$1502,반납내역!$B$3:$B$1502,$A549))</f>
        <v/>
      </c>
      <c r="J549" s="16" t="str">
        <f aca="false">IF($A549="","",IF($G549="","",$G549-$I549))</f>
        <v/>
      </c>
      <c r="K549" s="17" t="str">
        <f aca="true">IF(OR($A549="",$J549="",$J549&lt;=0,$H549=""),"",TODAY()-$H549)</f>
        <v/>
      </c>
      <c r="L549" s="14" t="str">
        <f aca="false">IF($A549="","",IF($G549="","",IF($J549&lt;=0,"반납완료",IF($I549&gt;0,"부분반납","미반납"))))</f>
        <v/>
      </c>
    </row>
    <row r="550" customFormat="false" ht="15" hidden="false" customHeight="false" outlineLevel="0" collapsed="false">
      <c r="A550" s="14" t="str">
        <f aca="false">IF($B550="","",TEXT($B550,"yymmdd")&amp;"-"&amp;TEXT(COUNTIFS($B$3:$B550,$B550),"00"))</f>
        <v/>
      </c>
      <c r="B550" s="15"/>
      <c r="C550" s="9"/>
      <c r="D550" s="10"/>
      <c r="E550" s="14" t="str">
        <f aca="false">IF($D550="","",IFERROR(INDEX(품목목록!$B$3:$B$202,MATCH($D550,품목목록!$A$3:$A$202,0)),"미등록품번"))</f>
        <v/>
      </c>
      <c r="F550" s="14" t="str">
        <f aca="false">IF($D550="","",IFERROR(INDEX(품목목록!$D$3:$D$202,MATCH($D550,품목목록!$A$3:$A$202,0)),""))</f>
        <v/>
      </c>
      <c r="G550" s="11"/>
      <c r="H550" s="15"/>
      <c r="I550" s="16" t="str">
        <f aca="false">IF($A550="","",SUMIFS(반납내역!$D$3:$D$1502,반납내역!$B$3:$B$1502,$A550))</f>
        <v/>
      </c>
      <c r="J550" s="16" t="str">
        <f aca="false">IF($A550="","",IF($G550="","",$G550-$I550))</f>
        <v/>
      </c>
      <c r="K550" s="17" t="str">
        <f aca="true">IF(OR($A550="",$J550="",$J550&lt;=0,$H550=""),"",TODAY()-$H550)</f>
        <v/>
      </c>
      <c r="L550" s="14" t="str">
        <f aca="false">IF($A550="","",IF($G550="","",IF($J550&lt;=0,"반납완료",IF($I550&gt;0,"부분반납","미반납"))))</f>
        <v/>
      </c>
    </row>
    <row r="551" customFormat="false" ht="15" hidden="false" customHeight="false" outlineLevel="0" collapsed="false">
      <c r="A551" s="14" t="str">
        <f aca="false">IF($B551="","",TEXT($B551,"yymmdd")&amp;"-"&amp;TEXT(COUNTIFS($B$3:$B551,$B551),"00"))</f>
        <v/>
      </c>
      <c r="B551" s="15"/>
      <c r="C551" s="9"/>
      <c r="D551" s="10"/>
      <c r="E551" s="14" t="str">
        <f aca="false">IF($D551="","",IFERROR(INDEX(품목목록!$B$3:$B$202,MATCH($D551,품목목록!$A$3:$A$202,0)),"미등록품번"))</f>
        <v/>
      </c>
      <c r="F551" s="14" t="str">
        <f aca="false">IF($D551="","",IFERROR(INDEX(품목목록!$D$3:$D$202,MATCH($D551,품목목록!$A$3:$A$202,0)),""))</f>
        <v/>
      </c>
      <c r="G551" s="11"/>
      <c r="H551" s="15"/>
      <c r="I551" s="16" t="str">
        <f aca="false">IF($A551="","",SUMIFS(반납내역!$D$3:$D$1502,반납내역!$B$3:$B$1502,$A551))</f>
        <v/>
      </c>
      <c r="J551" s="16" t="str">
        <f aca="false">IF($A551="","",IF($G551="","",$G551-$I551))</f>
        <v/>
      </c>
      <c r="K551" s="17" t="str">
        <f aca="true">IF(OR($A551="",$J551="",$J551&lt;=0,$H551=""),"",TODAY()-$H551)</f>
        <v/>
      </c>
      <c r="L551" s="14" t="str">
        <f aca="false">IF($A551="","",IF($G551="","",IF($J551&lt;=0,"반납완료",IF($I551&gt;0,"부분반납","미반납"))))</f>
        <v/>
      </c>
    </row>
    <row r="552" customFormat="false" ht="15" hidden="false" customHeight="false" outlineLevel="0" collapsed="false">
      <c r="A552" s="14" t="str">
        <f aca="false">IF($B552="","",TEXT($B552,"yymmdd")&amp;"-"&amp;TEXT(COUNTIFS($B$3:$B552,$B552),"00"))</f>
        <v/>
      </c>
      <c r="B552" s="15"/>
      <c r="C552" s="9"/>
      <c r="D552" s="10"/>
      <c r="E552" s="14" t="str">
        <f aca="false">IF($D552="","",IFERROR(INDEX(품목목록!$B$3:$B$202,MATCH($D552,품목목록!$A$3:$A$202,0)),"미등록품번"))</f>
        <v/>
      </c>
      <c r="F552" s="14" t="str">
        <f aca="false">IF($D552="","",IFERROR(INDEX(품목목록!$D$3:$D$202,MATCH($D552,품목목록!$A$3:$A$202,0)),""))</f>
        <v/>
      </c>
      <c r="G552" s="11"/>
      <c r="H552" s="15"/>
      <c r="I552" s="16" t="str">
        <f aca="false">IF($A552="","",SUMIFS(반납내역!$D$3:$D$1502,반납내역!$B$3:$B$1502,$A552))</f>
        <v/>
      </c>
      <c r="J552" s="16" t="str">
        <f aca="false">IF($A552="","",IF($G552="","",$G552-$I552))</f>
        <v/>
      </c>
      <c r="K552" s="17" t="str">
        <f aca="true">IF(OR($A552="",$J552="",$J552&lt;=0,$H552=""),"",TODAY()-$H552)</f>
        <v/>
      </c>
      <c r="L552" s="14" t="str">
        <f aca="false">IF($A552="","",IF($G552="","",IF($J552&lt;=0,"반납완료",IF($I552&gt;0,"부분반납","미반납"))))</f>
        <v/>
      </c>
    </row>
    <row r="553" customFormat="false" ht="15" hidden="false" customHeight="false" outlineLevel="0" collapsed="false">
      <c r="A553" s="14" t="str">
        <f aca="false">IF($B553="","",TEXT($B553,"yymmdd")&amp;"-"&amp;TEXT(COUNTIFS($B$3:$B553,$B553),"00"))</f>
        <v/>
      </c>
      <c r="B553" s="15"/>
      <c r="C553" s="9"/>
      <c r="D553" s="10"/>
      <c r="E553" s="14" t="str">
        <f aca="false">IF($D553="","",IFERROR(INDEX(품목목록!$B$3:$B$202,MATCH($D553,품목목록!$A$3:$A$202,0)),"미등록품번"))</f>
        <v/>
      </c>
      <c r="F553" s="14" t="str">
        <f aca="false">IF($D553="","",IFERROR(INDEX(품목목록!$D$3:$D$202,MATCH($D553,품목목록!$A$3:$A$202,0)),""))</f>
        <v/>
      </c>
      <c r="G553" s="11"/>
      <c r="H553" s="15"/>
      <c r="I553" s="16" t="str">
        <f aca="false">IF($A553="","",SUMIFS(반납내역!$D$3:$D$1502,반납내역!$B$3:$B$1502,$A553))</f>
        <v/>
      </c>
      <c r="J553" s="16" t="str">
        <f aca="false">IF($A553="","",IF($G553="","",$G553-$I553))</f>
        <v/>
      </c>
      <c r="K553" s="17" t="str">
        <f aca="true">IF(OR($A553="",$J553="",$J553&lt;=0,$H553=""),"",TODAY()-$H553)</f>
        <v/>
      </c>
      <c r="L553" s="14" t="str">
        <f aca="false">IF($A553="","",IF($G553="","",IF($J553&lt;=0,"반납완료",IF($I553&gt;0,"부분반납","미반납"))))</f>
        <v/>
      </c>
    </row>
    <row r="554" customFormat="false" ht="15" hidden="false" customHeight="false" outlineLevel="0" collapsed="false">
      <c r="A554" s="14" t="str">
        <f aca="false">IF($B554="","",TEXT($B554,"yymmdd")&amp;"-"&amp;TEXT(COUNTIFS($B$3:$B554,$B554),"00"))</f>
        <v/>
      </c>
      <c r="B554" s="15"/>
      <c r="C554" s="9"/>
      <c r="D554" s="10"/>
      <c r="E554" s="14" t="str">
        <f aca="false">IF($D554="","",IFERROR(INDEX(품목목록!$B$3:$B$202,MATCH($D554,품목목록!$A$3:$A$202,0)),"미등록품번"))</f>
        <v/>
      </c>
      <c r="F554" s="14" t="str">
        <f aca="false">IF($D554="","",IFERROR(INDEX(품목목록!$D$3:$D$202,MATCH($D554,품목목록!$A$3:$A$202,0)),""))</f>
        <v/>
      </c>
      <c r="G554" s="11"/>
      <c r="H554" s="15"/>
      <c r="I554" s="16" t="str">
        <f aca="false">IF($A554="","",SUMIFS(반납내역!$D$3:$D$1502,반납내역!$B$3:$B$1502,$A554))</f>
        <v/>
      </c>
      <c r="J554" s="16" t="str">
        <f aca="false">IF($A554="","",IF($G554="","",$G554-$I554))</f>
        <v/>
      </c>
      <c r="K554" s="17" t="str">
        <f aca="true">IF(OR($A554="",$J554="",$J554&lt;=0,$H554=""),"",TODAY()-$H554)</f>
        <v/>
      </c>
      <c r="L554" s="14" t="str">
        <f aca="false">IF($A554="","",IF($G554="","",IF($J554&lt;=0,"반납완료",IF($I554&gt;0,"부분반납","미반납"))))</f>
        <v/>
      </c>
    </row>
    <row r="555" customFormat="false" ht="15" hidden="false" customHeight="false" outlineLevel="0" collapsed="false">
      <c r="A555" s="14" t="str">
        <f aca="false">IF($B555="","",TEXT($B555,"yymmdd")&amp;"-"&amp;TEXT(COUNTIFS($B$3:$B555,$B555),"00"))</f>
        <v/>
      </c>
      <c r="B555" s="15"/>
      <c r="C555" s="9"/>
      <c r="D555" s="10"/>
      <c r="E555" s="14" t="str">
        <f aca="false">IF($D555="","",IFERROR(INDEX(품목목록!$B$3:$B$202,MATCH($D555,품목목록!$A$3:$A$202,0)),"미등록품번"))</f>
        <v/>
      </c>
      <c r="F555" s="14" t="str">
        <f aca="false">IF($D555="","",IFERROR(INDEX(품목목록!$D$3:$D$202,MATCH($D555,품목목록!$A$3:$A$202,0)),""))</f>
        <v/>
      </c>
      <c r="G555" s="11"/>
      <c r="H555" s="15"/>
      <c r="I555" s="16" t="str">
        <f aca="false">IF($A555="","",SUMIFS(반납내역!$D$3:$D$1502,반납내역!$B$3:$B$1502,$A555))</f>
        <v/>
      </c>
      <c r="J555" s="16" t="str">
        <f aca="false">IF($A555="","",IF($G555="","",$G555-$I555))</f>
        <v/>
      </c>
      <c r="K555" s="17" t="str">
        <f aca="true">IF(OR($A555="",$J555="",$J555&lt;=0,$H555=""),"",TODAY()-$H555)</f>
        <v/>
      </c>
      <c r="L555" s="14" t="str">
        <f aca="false">IF($A555="","",IF($G555="","",IF($J555&lt;=0,"반납완료",IF($I555&gt;0,"부분반납","미반납"))))</f>
        <v/>
      </c>
    </row>
    <row r="556" customFormat="false" ht="15" hidden="false" customHeight="false" outlineLevel="0" collapsed="false">
      <c r="A556" s="14" t="str">
        <f aca="false">IF($B556="","",TEXT($B556,"yymmdd")&amp;"-"&amp;TEXT(COUNTIFS($B$3:$B556,$B556),"00"))</f>
        <v/>
      </c>
      <c r="B556" s="15"/>
      <c r="C556" s="9"/>
      <c r="D556" s="10"/>
      <c r="E556" s="14" t="str">
        <f aca="false">IF($D556="","",IFERROR(INDEX(품목목록!$B$3:$B$202,MATCH($D556,품목목록!$A$3:$A$202,0)),"미등록품번"))</f>
        <v/>
      </c>
      <c r="F556" s="14" t="str">
        <f aca="false">IF($D556="","",IFERROR(INDEX(품목목록!$D$3:$D$202,MATCH($D556,품목목록!$A$3:$A$202,0)),""))</f>
        <v/>
      </c>
      <c r="G556" s="11"/>
      <c r="H556" s="15"/>
      <c r="I556" s="16" t="str">
        <f aca="false">IF($A556="","",SUMIFS(반납내역!$D$3:$D$1502,반납내역!$B$3:$B$1502,$A556))</f>
        <v/>
      </c>
      <c r="J556" s="16" t="str">
        <f aca="false">IF($A556="","",IF($G556="","",$G556-$I556))</f>
        <v/>
      </c>
      <c r="K556" s="17" t="str">
        <f aca="true">IF(OR($A556="",$J556="",$J556&lt;=0,$H556=""),"",TODAY()-$H556)</f>
        <v/>
      </c>
      <c r="L556" s="14" t="str">
        <f aca="false">IF($A556="","",IF($G556="","",IF($J556&lt;=0,"반납완료",IF($I556&gt;0,"부분반납","미반납"))))</f>
        <v/>
      </c>
    </row>
    <row r="557" customFormat="false" ht="15" hidden="false" customHeight="false" outlineLevel="0" collapsed="false">
      <c r="A557" s="14" t="str">
        <f aca="false">IF($B557="","",TEXT($B557,"yymmdd")&amp;"-"&amp;TEXT(COUNTIFS($B$3:$B557,$B557),"00"))</f>
        <v/>
      </c>
      <c r="B557" s="15"/>
      <c r="C557" s="9"/>
      <c r="D557" s="10"/>
      <c r="E557" s="14" t="str">
        <f aca="false">IF($D557="","",IFERROR(INDEX(품목목록!$B$3:$B$202,MATCH($D557,품목목록!$A$3:$A$202,0)),"미등록품번"))</f>
        <v/>
      </c>
      <c r="F557" s="14" t="str">
        <f aca="false">IF($D557="","",IFERROR(INDEX(품목목록!$D$3:$D$202,MATCH($D557,품목목록!$A$3:$A$202,0)),""))</f>
        <v/>
      </c>
      <c r="G557" s="11"/>
      <c r="H557" s="15"/>
      <c r="I557" s="16" t="str">
        <f aca="false">IF($A557="","",SUMIFS(반납내역!$D$3:$D$1502,반납내역!$B$3:$B$1502,$A557))</f>
        <v/>
      </c>
      <c r="J557" s="16" t="str">
        <f aca="false">IF($A557="","",IF($G557="","",$G557-$I557))</f>
        <v/>
      </c>
      <c r="K557" s="17" t="str">
        <f aca="true">IF(OR($A557="",$J557="",$J557&lt;=0,$H557=""),"",TODAY()-$H557)</f>
        <v/>
      </c>
      <c r="L557" s="14" t="str">
        <f aca="false">IF($A557="","",IF($G557="","",IF($J557&lt;=0,"반납완료",IF($I557&gt;0,"부분반납","미반납"))))</f>
        <v/>
      </c>
    </row>
    <row r="558" customFormat="false" ht="15" hidden="false" customHeight="false" outlineLevel="0" collapsed="false">
      <c r="A558" s="14" t="str">
        <f aca="false">IF($B558="","",TEXT($B558,"yymmdd")&amp;"-"&amp;TEXT(COUNTIFS($B$3:$B558,$B558),"00"))</f>
        <v/>
      </c>
      <c r="B558" s="15"/>
      <c r="C558" s="9"/>
      <c r="D558" s="10"/>
      <c r="E558" s="14" t="str">
        <f aca="false">IF($D558="","",IFERROR(INDEX(품목목록!$B$3:$B$202,MATCH($D558,품목목록!$A$3:$A$202,0)),"미등록품번"))</f>
        <v/>
      </c>
      <c r="F558" s="14" t="str">
        <f aca="false">IF($D558="","",IFERROR(INDEX(품목목록!$D$3:$D$202,MATCH($D558,품목목록!$A$3:$A$202,0)),""))</f>
        <v/>
      </c>
      <c r="G558" s="11"/>
      <c r="H558" s="15"/>
      <c r="I558" s="16" t="str">
        <f aca="false">IF($A558="","",SUMIFS(반납내역!$D$3:$D$1502,반납내역!$B$3:$B$1502,$A558))</f>
        <v/>
      </c>
      <c r="J558" s="16" t="str">
        <f aca="false">IF($A558="","",IF($G558="","",$G558-$I558))</f>
        <v/>
      </c>
      <c r="K558" s="17" t="str">
        <f aca="true">IF(OR($A558="",$J558="",$J558&lt;=0,$H558=""),"",TODAY()-$H558)</f>
        <v/>
      </c>
      <c r="L558" s="14" t="str">
        <f aca="false">IF($A558="","",IF($G558="","",IF($J558&lt;=0,"반납완료",IF($I558&gt;0,"부분반납","미반납"))))</f>
        <v/>
      </c>
    </row>
    <row r="559" customFormat="false" ht="15" hidden="false" customHeight="false" outlineLevel="0" collapsed="false">
      <c r="A559" s="14" t="str">
        <f aca="false">IF($B559="","",TEXT($B559,"yymmdd")&amp;"-"&amp;TEXT(COUNTIFS($B$3:$B559,$B559),"00"))</f>
        <v/>
      </c>
      <c r="B559" s="15"/>
      <c r="C559" s="9"/>
      <c r="D559" s="10"/>
      <c r="E559" s="14" t="str">
        <f aca="false">IF($D559="","",IFERROR(INDEX(품목목록!$B$3:$B$202,MATCH($D559,품목목록!$A$3:$A$202,0)),"미등록품번"))</f>
        <v/>
      </c>
      <c r="F559" s="14" t="str">
        <f aca="false">IF($D559="","",IFERROR(INDEX(품목목록!$D$3:$D$202,MATCH($D559,품목목록!$A$3:$A$202,0)),""))</f>
        <v/>
      </c>
      <c r="G559" s="11"/>
      <c r="H559" s="15"/>
      <c r="I559" s="16" t="str">
        <f aca="false">IF($A559="","",SUMIFS(반납내역!$D$3:$D$1502,반납내역!$B$3:$B$1502,$A559))</f>
        <v/>
      </c>
      <c r="J559" s="16" t="str">
        <f aca="false">IF($A559="","",IF($G559="","",$G559-$I559))</f>
        <v/>
      </c>
      <c r="K559" s="17" t="str">
        <f aca="true">IF(OR($A559="",$J559="",$J559&lt;=0,$H559=""),"",TODAY()-$H559)</f>
        <v/>
      </c>
      <c r="L559" s="14" t="str">
        <f aca="false">IF($A559="","",IF($G559="","",IF($J559&lt;=0,"반납완료",IF($I559&gt;0,"부분반납","미반납"))))</f>
        <v/>
      </c>
    </row>
    <row r="560" customFormat="false" ht="15" hidden="false" customHeight="false" outlineLevel="0" collapsed="false">
      <c r="A560" s="14" t="str">
        <f aca="false">IF($B560="","",TEXT($B560,"yymmdd")&amp;"-"&amp;TEXT(COUNTIFS($B$3:$B560,$B560),"00"))</f>
        <v/>
      </c>
      <c r="B560" s="15"/>
      <c r="C560" s="9"/>
      <c r="D560" s="10"/>
      <c r="E560" s="14" t="str">
        <f aca="false">IF($D560="","",IFERROR(INDEX(품목목록!$B$3:$B$202,MATCH($D560,품목목록!$A$3:$A$202,0)),"미등록품번"))</f>
        <v/>
      </c>
      <c r="F560" s="14" t="str">
        <f aca="false">IF($D560="","",IFERROR(INDEX(품목목록!$D$3:$D$202,MATCH($D560,품목목록!$A$3:$A$202,0)),""))</f>
        <v/>
      </c>
      <c r="G560" s="11"/>
      <c r="H560" s="15"/>
      <c r="I560" s="16" t="str">
        <f aca="false">IF($A560="","",SUMIFS(반납내역!$D$3:$D$1502,반납내역!$B$3:$B$1502,$A560))</f>
        <v/>
      </c>
      <c r="J560" s="16" t="str">
        <f aca="false">IF($A560="","",IF($G560="","",$G560-$I560))</f>
        <v/>
      </c>
      <c r="K560" s="17" t="str">
        <f aca="true">IF(OR($A560="",$J560="",$J560&lt;=0,$H560=""),"",TODAY()-$H560)</f>
        <v/>
      </c>
      <c r="L560" s="14" t="str">
        <f aca="false">IF($A560="","",IF($G560="","",IF($J560&lt;=0,"반납완료",IF($I560&gt;0,"부분반납","미반납"))))</f>
        <v/>
      </c>
    </row>
    <row r="561" customFormat="false" ht="15" hidden="false" customHeight="false" outlineLevel="0" collapsed="false">
      <c r="A561" s="14" t="str">
        <f aca="false">IF($B561="","",TEXT($B561,"yymmdd")&amp;"-"&amp;TEXT(COUNTIFS($B$3:$B561,$B561),"00"))</f>
        <v/>
      </c>
      <c r="B561" s="15"/>
      <c r="C561" s="9"/>
      <c r="D561" s="10"/>
      <c r="E561" s="14" t="str">
        <f aca="false">IF($D561="","",IFERROR(INDEX(품목목록!$B$3:$B$202,MATCH($D561,품목목록!$A$3:$A$202,0)),"미등록품번"))</f>
        <v/>
      </c>
      <c r="F561" s="14" t="str">
        <f aca="false">IF($D561="","",IFERROR(INDEX(품목목록!$D$3:$D$202,MATCH($D561,품목목록!$A$3:$A$202,0)),""))</f>
        <v/>
      </c>
      <c r="G561" s="11"/>
      <c r="H561" s="15"/>
      <c r="I561" s="16" t="str">
        <f aca="false">IF($A561="","",SUMIFS(반납내역!$D$3:$D$1502,반납내역!$B$3:$B$1502,$A561))</f>
        <v/>
      </c>
      <c r="J561" s="16" t="str">
        <f aca="false">IF($A561="","",IF($G561="","",$G561-$I561))</f>
        <v/>
      </c>
      <c r="K561" s="17" t="str">
        <f aca="true">IF(OR($A561="",$J561="",$J561&lt;=0,$H561=""),"",TODAY()-$H561)</f>
        <v/>
      </c>
      <c r="L561" s="14" t="str">
        <f aca="false">IF($A561="","",IF($G561="","",IF($J561&lt;=0,"반납완료",IF($I561&gt;0,"부분반납","미반납"))))</f>
        <v/>
      </c>
    </row>
    <row r="562" customFormat="false" ht="15" hidden="false" customHeight="false" outlineLevel="0" collapsed="false">
      <c r="A562" s="14" t="str">
        <f aca="false">IF($B562="","",TEXT($B562,"yymmdd")&amp;"-"&amp;TEXT(COUNTIFS($B$3:$B562,$B562),"00"))</f>
        <v/>
      </c>
      <c r="B562" s="15"/>
      <c r="C562" s="9"/>
      <c r="D562" s="10"/>
      <c r="E562" s="14" t="str">
        <f aca="false">IF($D562="","",IFERROR(INDEX(품목목록!$B$3:$B$202,MATCH($D562,품목목록!$A$3:$A$202,0)),"미등록품번"))</f>
        <v/>
      </c>
      <c r="F562" s="14" t="str">
        <f aca="false">IF($D562="","",IFERROR(INDEX(품목목록!$D$3:$D$202,MATCH($D562,품목목록!$A$3:$A$202,0)),""))</f>
        <v/>
      </c>
      <c r="G562" s="11"/>
      <c r="H562" s="15"/>
      <c r="I562" s="16" t="str">
        <f aca="false">IF($A562="","",SUMIFS(반납내역!$D$3:$D$1502,반납내역!$B$3:$B$1502,$A562))</f>
        <v/>
      </c>
      <c r="J562" s="16" t="str">
        <f aca="false">IF($A562="","",IF($G562="","",$G562-$I562))</f>
        <v/>
      </c>
      <c r="K562" s="17" t="str">
        <f aca="true">IF(OR($A562="",$J562="",$J562&lt;=0,$H562=""),"",TODAY()-$H562)</f>
        <v/>
      </c>
      <c r="L562" s="14" t="str">
        <f aca="false">IF($A562="","",IF($G562="","",IF($J562&lt;=0,"반납완료",IF($I562&gt;0,"부분반납","미반납"))))</f>
        <v/>
      </c>
    </row>
    <row r="563" customFormat="false" ht="15" hidden="false" customHeight="false" outlineLevel="0" collapsed="false">
      <c r="A563" s="14" t="str">
        <f aca="false">IF($B563="","",TEXT($B563,"yymmdd")&amp;"-"&amp;TEXT(COUNTIFS($B$3:$B563,$B563),"00"))</f>
        <v/>
      </c>
      <c r="B563" s="15"/>
      <c r="C563" s="9"/>
      <c r="D563" s="10"/>
      <c r="E563" s="14" t="str">
        <f aca="false">IF($D563="","",IFERROR(INDEX(품목목록!$B$3:$B$202,MATCH($D563,품목목록!$A$3:$A$202,0)),"미등록품번"))</f>
        <v/>
      </c>
      <c r="F563" s="14" t="str">
        <f aca="false">IF($D563="","",IFERROR(INDEX(품목목록!$D$3:$D$202,MATCH($D563,품목목록!$A$3:$A$202,0)),""))</f>
        <v/>
      </c>
      <c r="G563" s="11"/>
      <c r="H563" s="15"/>
      <c r="I563" s="16" t="str">
        <f aca="false">IF($A563="","",SUMIFS(반납내역!$D$3:$D$1502,반납내역!$B$3:$B$1502,$A563))</f>
        <v/>
      </c>
      <c r="J563" s="16" t="str">
        <f aca="false">IF($A563="","",IF($G563="","",$G563-$I563))</f>
        <v/>
      </c>
      <c r="K563" s="17" t="str">
        <f aca="true">IF(OR($A563="",$J563="",$J563&lt;=0,$H563=""),"",TODAY()-$H563)</f>
        <v/>
      </c>
      <c r="L563" s="14" t="str">
        <f aca="false">IF($A563="","",IF($G563="","",IF($J563&lt;=0,"반납완료",IF($I563&gt;0,"부분반납","미반납"))))</f>
        <v/>
      </c>
    </row>
    <row r="564" customFormat="false" ht="15" hidden="false" customHeight="false" outlineLevel="0" collapsed="false">
      <c r="A564" s="14" t="str">
        <f aca="false">IF($B564="","",TEXT($B564,"yymmdd")&amp;"-"&amp;TEXT(COUNTIFS($B$3:$B564,$B564),"00"))</f>
        <v/>
      </c>
      <c r="B564" s="15"/>
      <c r="C564" s="9"/>
      <c r="D564" s="10"/>
      <c r="E564" s="14" t="str">
        <f aca="false">IF($D564="","",IFERROR(INDEX(품목목록!$B$3:$B$202,MATCH($D564,품목목록!$A$3:$A$202,0)),"미등록품번"))</f>
        <v/>
      </c>
      <c r="F564" s="14" t="str">
        <f aca="false">IF($D564="","",IFERROR(INDEX(품목목록!$D$3:$D$202,MATCH($D564,품목목록!$A$3:$A$202,0)),""))</f>
        <v/>
      </c>
      <c r="G564" s="11"/>
      <c r="H564" s="15"/>
      <c r="I564" s="16" t="str">
        <f aca="false">IF($A564="","",SUMIFS(반납내역!$D$3:$D$1502,반납내역!$B$3:$B$1502,$A564))</f>
        <v/>
      </c>
      <c r="J564" s="16" t="str">
        <f aca="false">IF($A564="","",IF($G564="","",$G564-$I564))</f>
        <v/>
      </c>
      <c r="K564" s="17" t="str">
        <f aca="true">IF(OR($A564="",$J564="",$J564&lt;=0,$H564=""),"",TODAY()-$H564)</f>
        <v/>
      </c>
      <c r="L564" s="14" t="str">
        <f aca="false">IF($A564="","",IF($G564="","",IF($J564&lt;=0,"반납완료",IF($I564&gt;0,"부분반납","미반납"))))</f>
        <v/>
      </c>
    </row>
    <row r="565" customFormat="false" ht="15" hidden="false" customHeight="false" outlineLevel="0" collapsed="false">
      <c r="A565" s="14" t="str">
        <f aca="false">IF($B565="","",TEXT($B565,"yymmdd")&amp;"-"&amp;TEXT(COUNTIFS($B$3:$B565,$B565),"00"))</f>
        <v/>
      </c>
      <c r="B565" s="15"/>
      <c r="C565" s="9"/>
      <c r="D565" s="10"/>
      <c r="E565" s="14" t="str">
        <f aca="false">IF($D565="","",IFERROR(INDEX(품목목록!$B$3:$B$202,MATCH($D565,품목목록!$A$3:$A$202,0)),"미등록품번"))</f>
        <v/>
      </c>
      <c r="F565" s="14" t="str">
        <f aca="false">IF($D565="","",IFERROR(INDEX(품목목록!$D$3:$D$202,MATCH($D565,품목목록!$A$3:$A$202,0)),""))</f>
        <v/>
      </c>
      <c r="G565" s="11"/>
      <c r="H565" s="15"/>
      <c r="I565" s="16" t="str">
        <f aca="false">IF($A565="","",SUMIFS(반납내역!$D$3:$D$1502,반납내역!$B$3:$B$1502,$A565))</f>
        <v/>
      </c>
      <c r="J565" s="16" t="str">
        <f aca="false">IF($A565="","",IF($G565="","",$G565-$I565))</f>
        <v/>
      </c>
      <c r="K565" s="17" t="str">
        <f aca="true">IF(OR($A565="",$J565="",$J565&lt;=0,$H565=""),"",TODAY()-$H565)</f>
        <v/>
      </c>
      <c r="L565" s="14" t="str">
        <f aca="false">IF($A565="","",IF($G565="","",IF($J565&lt;=0,"반납완료",IF($I565&gt;0,"부분반납","미반납"))))</f>
        <v/>
      </c>
    </row>
    <row r="566" customFormat="false" ht="15" hidden="false" customHeight="false" outlineLevel="0" collapsed="false">
      <c r="A566" s="14" t="str">
        <f aca="false">IF($B566="","",TEXT($B566,"yymmdd")&amp;"-"&amp;TEXT(COUNTIFS($B$3:$B566,$B566),"00"))</f>
        <v/>
      </c>
      <c r="B566" s="15"/>
      <c r="C566" s="9"/>
      <c r="D566" s="10"/>
      <c r="E566" s="14" t="str">
        <f aca="false">IF($D566="","",IFERROR(INDEX(품목목록!$B$3:$B$202,MATCH($D566,품목목록!$A$3:$A$202,0)),"미등록품번"))</f>
        <v/>
      </c>
      <c r="F566" s="14" t="str">
        <f aca="false">IF($D566="","",IFERROR(INDEX(품목목록!$D$3:$D$202,MATCH($D566,품목목록!$A$3:$A$202,0)),""))</f>
        <v/>
      </c>
      <c r="G566" s="11"/>
      <c r="H566" s="15"/>
      <c r="I566" s="16" t="str">
        <f aca="false">IF($A566="","",SUMIFS(반납내역!$D$3:$D$1502,반납내역!$B$3:$B$1502,$A566))</f>
        <v/>
      </c>
      <c r="J566" s="16" t="str">
        <f aca="false">IF($A566="","",IF($G566="","",$G566-$I566))</f>
        <v/>
      </c>
      <c r="K566" s="17" t="str">
        <f aca="true">IF(OR($A566="",$J566="",$J566&lt;=0,$H566=""),"",TODAY()-$H566)</f>
        <v/>
      </c>
      <c r="L566" s="14" t="str">
        <f aca="false">IF($A566="","",IF($G566="","",IF($J566&lt;=0,"반납완료",IF($I566&gt;0,"부분반납","미반납"))))</f>
        <v/>
      </c>
    </row>
    <row r="567" customFormat="false" ht="15" hidden="false" customHeight="false" outlineLevel="0" collapsed="false">
      <c r="A567" s="14" t="str">
        <f aca="false">IF($B567="","",TEXT($B567,"yymmdd")&amp;"-"&amp;TEXT(COUNTIFS($B$3:$B567,$B567),"00"))</f>
        <v/>
      </c>
      <c r="B567" s="15"/>
      <c r="C567" s="9"/>
      <c r="D567" s="10"/>
      <c r="E567" s="14" t="str">
        <f aca="false">IF($D567="","",IFERROR(INDEX(품목목록!$B$3:$B$202,MATCH($D567,품목목록!$A$3:$A$202,0)),"미등록품번"))</f>
        <v/>
      </c>
      <c r="F567" s="14" t="str">
        <f aca="false">IF($D567="","",IFERROR(INDEX(품목목록!$D$3:$D$202,MATCH($D567,품목목록!$A$3:$A$202,0)),""))</f>
        <v/>
      </c>
      <c r="G567" s="11"/>
      <c r="H567" s="15"/>
      <c r="I567" s="16" t="str">
        <f aca="false">IF($A567="","",SUMIFS(반납내역!$D$3:$D$1502,반납내역!$B$3:$B$1502,$A567))</f>
        <v/>
      </c>
      <c r="J567" s="16" t="str">
        <f aca="false">IF($A567="","",IF($G567="","",$G567-$I567))</f>
        <v/>
      </c>
      <c r="K567" s="17" t="str">
        <f aca="true">IF(OR($A567="",$J567="",$J567&lt;=0,$H567=""),"",TODAY()-$H567)</f>
        <v/>
      </c>
      <c r="L567" s="14" t="str">
        <f aca="false">IF($A567="","",IF($G567="","",IF($J567&lt;=0,"반납완료",IF($I567&gt;0,"부분반납","미반납"))))</f>
        <v/>
      </c>
    </row>
    <row r="568" customFormat="false" ht="15" hidden="false" customHeight="false" outlineLevel="0" collapsed="false">
      <c r="A568" s="14" t="str">
        <f aca="false">IF($B568="","",TEXT($B568,"yymmdd")&amp;"-"&amp;TEXT(COUNTIFS($B$3:$B568,$B568),"00"))</f>
        <v/>
      </c>
      <c r="B568" s="15"/>
      <c r="C568" s="9"/>
      <c r="D568" s="10"/>
      <c r="E568" s="14" t="str">
        <f aca="false">IF($D568="","",IFERROR(INDEX(품목목록!$B$3:$B$202,MATCH($D568,품목목록!$A$3:$A$202,0)),"미등록품번"))</f>
        <v/>
      </c>
      <c r="F568" s="14" t="str">
        <f aca="false">IF($D568="","",IFERROR(INDEX(품목목록!$D$3:$D$202,MATCH($D568,품목목록!$A$3:$A$202,0)),""))</f>
        <v/>
      </c>
      <c r="G568" s="11"/>
      <c r="H568" s="15"/>
      <c r="I568" s="16" t="str">
        <f aca="false">IF($A568="","",SUMIFS(반납내역!$D$3:$D$1502,반납내역!$B$3:$B$1502,$A568))</f>
        <v/>
      </c>
      <c r="J568" s="16" t="str">
        <f aca="false">IF($A568="","",IF($G568="","",$G568-$I568))</f>
        <v/>
      </c>
      <c r="K568" s="17" t="str">
        <f aca="true">IF(OR($A568="",$J568="",$J568&lt;=0,$H568=""),"",TODAY()-$H568)</f>
        <v/>
      </c>
      <c r="L568" s="14" t="str">
        <f aca="false">IF($A568="","",IF($G568="","",IF($J568&lt;=0,"반납완료",IF($I568&gt;0,"부분반납","미반납"))))</f>
        <v/>
      </c>
    </row>
    <row r="569" customFormat="false" ht="15" hidden="false" customHeight="false" outlineLevel="0" collapsed="false">
      <c r="A569" s="14" t="str">
        <f aca="false">IF($B569="","",TEXT($B569,"yymmdd")&amp;"-"&amp;TEXT(COUNTIFS($B$3:$B569,$B569),"00"))</f>
        <v/>
      </c>
      <c r="B569" s="15"/>
      <c r="C569" s="9"/>
      <c r="D569" s="10"/>
      <c r="E569" s="14" t="str">
        <f aca="false">IF($D569="","",IFERROR(INDEX(품목목록!$B$3:$B$202,MATCH($D569,품목목록!$A$3:$A$202,0)),"미등록품번"))</f>
        <v/>
      </c>
      <c r="F569" s="14" t="str">
        <f aca="false">IF($D569="","",IFERROR(INDEX(품목목록!$D$3:$D$202,MATCH($D569,품목목록!$A$3:$A$202,0)),""))</f>
        <v/>
      </c>
      <c r="G569" s="11"/>
      <c r="H569" s="15"/>
      <c r="I569" s="16" t="str">
        <f aca="false">IF($A569="","",SUMIFS(반납내역!$D$3:$D$1502,반납내역!$B$3:$B$1502,$A569))</f>
        <v/>
      </c>
      <c r="J569" s="16" t="str">
        <f aca="false">IF($A569="","",IF($G569="","",$G569-$I569))</f>
        <v/>
      </c>
      <c r="K569" s="17" t="str">
        <f aca="true">IF(OR($A569="",$J569="",$J569&lt;=0,$H569=""),"",TODAY()-$H569)</f>
        <v/>
      </c>
      <c r="L569" s="14" t="str">
        <f aca="false">IF($A569="","",IF($G569="","",IF($J569&lt;=0,"반납완료",IF($I569&gt;0,"부분반납","미반납"))))</f>
        <v/>
      </c>
    </row>
    <row r="570" customFormat="false" ht="15" hidden="false" customHeight="false" outlineLevel="0" collapsed="false">
      <c r="A570" s="14" t="str">
        <f aca="false">IF($B570="","",TEXT($B570,"yymmdd")&amp;"-"&amp;TEXT(COUNTIFS($B$3:$B570,$B570),"00"))</f>
        <v/>
      </c>
      <c r="B570" s="15"/>
      <c r="C570" s="9"/>
      <c r="D570" s="10"/>
      <c r="E570" s="14" t="str">
        <f aca="false">IF($D570="","",IFERROR(INDEX(품목목록!$B$3:$B$202,MATCH($D570,품목목록!$A$3:$A$202,0)),"미등록품번"))</f>
        <v/>
      </c>
      <c r="F570" s="14" t="str">
        <f aca="false">IF($D570="","",IFERROR(INDEX(품목목록!$D$3:$D$202,MATCH($D570,품목목록!$A$3:$A$202,0)),""))</f>
        <v/>
      </c>
      <c r="G570" s="11"/>
      <c r="H570" s="15"/>
      <c r="I570" s="16" t="str">
        <f aca="false">IF($A570="","",SUMIFS(반납내역!$D$3:$D$1502,반납내역!$B$3:$B$1502,$A570))</f>
        <v/>
      </c>
      <c r="J570" s="16" t="str">
        <f aca="false">IF($A570="","",IF($G570="","",$G570-$I570))</f>
        <v/>
      </c>
      <c r="K570" s="17" t="str">
        <f aca="true">IF(OR($A570="",$J570="",$J570&lt;=0,$H570=""),"",TODAY()-$H570)</f>
        <v/>
      </c>
      <c r="L570" s="14" t="str">
        <f aca="false">IF($A570="","",IF($G570="","",IF($J570&lt;=0,"반납완료",IF($I570&gt;0,"부분반납","미반납"))))</f>
        <v/>
      </c>
    </row>
    <row r="571" customFormat="false" ht="15" hidden="false" customHeight="false" outlineLevel="0" collapsed="false">
      <c r="A571" s="14" t="str">
        <f aca="false">IF($B571="","",TEXT($B571,"yymmdd")&amp;"-"&amp;TEXT(COUNTIFS($B$3:$B571,$B571),"00"))</f>
        <v/>
      </c>
      <c r="B571" s="15"/>
      <c r="C571" s="9"/>
      <c r="D571" s="10"/>
      <c r="E571" s="14" t="str">
        <f aca="false">IF($D571="","",IFERROR(INDEX(품목목록!$B$3:$B$202,MATCH($D571,품목목록!$A$3:$A$202,0)),"미등록품번"))</f>
        <v/>
      </c>
      <c r="F571" s="14" t="str">
        <f aca="false">IF($D571="","",IFERROR(INDEX(품목목록!$D$3:$D$202,MATCH($D571,품목목록!$A$3:$A$202,0)),""))</f>
        <v/>
      </c>
      <c r="G571" s="11"/>
      <c r="H571" s="15"/>
      <c r="I571" s="16" t="str">
        <f aca="false">IF($A571="","",SUMIFS(반납내역!$D$3:$D$1502,반납내역!$B$3:$B$1502,$A571))</f>
        <v/>
      </c>
      <c r="J571" s="16" t="str">
        <f aca="false">IF($A571="","",IF($G571="","",$G571-$I571))</f>
        <v/>
      </c>
      <c r="K571" s="17" t="str">
        <f aca="true">IF(OR($A571="",$J571="",$J571&lt;=0,$H571=""),"",TODAY()-$H571)</f>
        <v/>
      </c>
      <c r="L571" s="14" t="str">
        <f aca="false">IF($A571="","",IF($G571="","",IF($J571&lt;=0,"반납완료",IF($I571&gt;0,"부분반납","미반납"))))</f>
        <v/>
      </c>
    </row>
    <row r="572" customFormat="false" ht="15" hidden="false" customHeight="false" outlineLevel="0" collapsed="false">
      <c r="A572" s="14" t="str">
        <f aca="false">IF($B572="","",TEXT($B572,"yymmdd")&amp;"-"&amp;TEXT(COUNTIFS($B$3:$B572,$B572),"00"))</f>
        <v/>
      </c>
      <c r="B572" s="15"/>
      <c r="C572" s="9"/>
      <c r="D572" s="10"/>
      <c r="E572" s="14" t="str">
        <f aca="false">IF($D572="","",IFERROR(INDEX(품목목록!$B$3:$B$202,MATCH($D572,품목목록!$A$3:$A$202,0)),"미등록품번"))</f>
        <v/>
      </c>
      <c r="F572" s="14" t="str">
        <f aca="false">IF($D572="","",IFERROR(INDEX(품목목록!$D$3:$D$202,MATCH($D572,품목목록!$A$3:$A$202,0)),""))</f>
        <v/>
      </c>
      <c r="G572" s="11"/>
      <c r="H572" s="15"/>
      <c r="I572" s="16" t="str">
        <f aca="false">IF($A572="","",SUMIFS(반납내역!$D$3:$D$1502,반납내역!$B$3:$B$1502,$A572))</f>
        <v/>
      </c>
      <c r="J572" s="16" t="str">
        <f aca="false">IF($A572="","",IF($G572="","",$G572-$I572))</f>
        <v/>
      </c>
      <c r="K572" s="17" t="str">
        <f aca="true">IF(OR($A572="",$J572="",$J572&lt;=0,$H572=""),"",TODAY()-$H572)</f>
        <v/>
      </c>
      <c r="L572" s="14" t="str">
        <f aca="false">IF($A572="","",IF($G572="","",IF($J572&lt;=0,"반납완료",IF($I572&gt;0,"부분반납","미반납"))))</f>
        <v/>
      </c>
    </row>
    <row r="573" customFormat="false" ht="15" hidden="false" customHeight="false" outlineLevel="0" collapsed="false">
      <c r="A573" s="14" t="str">
        <f aca="false">IF($B573="","",TEXT($B573,"yymmdd")&amp;"-"&amp;TEXT(COUNTIFS($B$3:$B573,$B573),"00"))</f>
        <v/>
      </c>
      <c r="B573" s="15"/>
      <c r="C573" s="9"/>
      <c r="D573" s="10"/>
      <c r="E573" s="14" t="str">
        <f aca="false">IF($D573="","",IFERROR(INDEX(품목목록!$B$3:$B$202,MATCH($D573,품목목록!$A$3:$A$202,0)),"미등록품번"))</f>
        <v/>
      </c>
      <c r="F573" s="14" t="str">
        <f aca="false">IF($D573="","",IFERROR(INDEX(품목목록!$D$3:$D$202,MATCH($D573,품목목록!$A$3:$A$202,0)),""))</f>
        <v/>
      </c>
      <c r="G573" s="11"/>
      <c r="H573" s="15"/>
      <c r="I573" s="16" t="str">
        <f aca="false">IF($A573="","",SUMIFS(반납내역!$D$3:$D$1502,반납내역!$B$3:$B$1502,$A573))</f>
        <v/>
      </c>
      <c r="J573" s="16" t="str">
        <f aca="false">IF($A573="","",IF($G573="","",$G573-$I573))</f>
        <v/>
      </c>
      <c r="K573" s="17" t="str">
        <f aca="true">IF(OR($A573="",$J573="",$J573&lt;=0,$H573=""),"",TODAY()-$H573)</f>
        <v/>
      </c>
      <c r="L573" s="14" t="str">
        <f aca="false">IF($A573="","",IF($G573="","",IF($J573&lt;=0,"반납완료",IF($I573&gt;0,"부분반납","미반납"))))</f>
        <v/>
      </c>
    </row>
    <row r="574" customFormat="false" ht="15" hidden="false" customHeight="false" outlineLevel="0" collapsed="false">
      <c r="A574" s="14" t="str">
        <f aca="false">IF($B574="","",TEXT($B574,"yymmdd")&amp;"-"&amp;TEXT(COUNTIFS($B$3:$B574,$B574),"00"))</f>
        <v/>
      </c>
      <c r="B574" s="15"/>
      <c r="C574" s="9"/>
      <c r="D574" s="10"/>
      <c r="E574" s="14" t="str">
        <f aca="false">IF($D574="","",IFERROR(INDEX(품목목록!$B$3:$B$202,MATCH($D574,품목목록!$A$3:$A$202,0)),"미등록품번"))</f>
        <v/>
      </c>
      <c r="F574" s="14" t="str">
        <f aca="false">IF($D574="","",IFERROR(INDEX(품목목록!$D$3:$D$202,MATCH($D574,품목목록!$A$3:$A$202,0)),""))</f>
        <v/>
      </c>
      <c r="G574" s="11"/>
      <c r="H574" s="15"/>
      <c r="I574" s="16" t="str">
        <f aca="false">IF($A574="","",SUMIFS(반납내역!$D$3:$D$1502,반납내역!$B$3:$B$1502,$A574))</f>
        <v/>
      </c>
      <c r="J574" s="16" t="str">
        <f aca="false">IF($A574="","",IF($G574="","",$G574-$I574))</f>
        <v/>
      </c>
      <c r="K574" s="17" t="str">
        <f aca="true">IF(OR($A574="",$J574="",$J574&lt;=0,$H574=""),"",TODAY()-$H574)</f>
        <v/>
      </c>
      <c r="L574" s="14" t="str">
        <f aca="false">IF($A574="","",IF($G574="","",IF($J574&lt;=0,"반납완료",IF($I574&gt;0,"부분반납","미반납"))))</f>
        <v/>
      </c>
    </row>
    <row r="575" customFormat="false" ht="15" hidden="false" customHeight="false" outlineLevel="0" collapsed="false">
      <c r="A575" s="14" t="str">
        <f aca="false">IF($B575="","",TEXT($B575,"yymmdd")&amp;"-"&amp;TEXT(COUNTIFS($B$3:$B575,$B575),"00"))</f>
        <v/>
      </c>
      <c r="B575" s="15"/>
      <c r="C575" s="9"/>
      <c r="D575" s="10"/>
      <c r="E575" s="14" t="str">
        <f aca="false">IF($D575="","",IFERROR(INDEX(품목목록!$B$3:$B$202,MATCH($D575,품목목록!$A$3:$A$202,0)),"미등록품번"))</f>
        <v/>
      </c>
      <c r="F575" s="14" t="str">
        <f aca="false">IF($D575="","",IFERROR(INDEX(품목목록!$D$3:$D$202,MATCH($D575,품목목록!$A$3:$A$202,0)),""))</f>
        <v/>
      </c>
      <c r="G575" s="11"/>
      <c r="H575" s="15"/>
      <c r="I575" s="16" t="str">
        <f aca="false">IF($A575="","",SUMIFS(반납내역!$D$3:$D$1502,반납내역!$B$3:$B$1502,$A575))</f>
        <v/>
      </c>
      <c r="J575" s="16" t="str">
        <f aca="false">IF($A575="","",IF($G575="","",$G575-$I575))</f>
        <v/>
      </c>
      <c r="K575" s="17" t="str">
        <f aca="true">IF(OR($A575="",$J575="",$J575&lt;=0,$H575=""),"",TODAY()-$H575)</f>
        <v/>
      </c>
      <c r="L575" s="14" t="str">
        <f aca="false">IF($A575="","",IF($G575="","",IF($J575&lt;=0,"반납완료",IF($I575&gt;0,"부분반납","미반납"))))</f>
        <v/>
      </c>
    </row>
    <row r="576" customFormat="false" ht="15" hidden="false" customHeight="false" outlineLevel="0" collapsed="false">
      <c r="A576" s="14" t="str">
        <f aca="false">IF($B576="","",TEXT($B576,"yymmdd")&amp;"-"&amp;TEXT(COUNTIFS($B$3:$B576,$B576),"00"))</f>
        <v/>
      </c>
      <c r="B576" s="15"/>
      <c r="C576" s="9"/>
      <c r="D576" s="10"/>
      <c r="E576" s="14" t="str">
        <f aca="false">IF($D576="","",IFERROR(INDEX(품목목록!$B$3:$B$202,MATCH($D576,품목목록!$A$3:$A$202,0)),"미등록품번"))</f>
        <v/>
      </c>
      <c r="F576" s="14" t="str">
        <f aca="false">IF($D576="","",IFERROR(INDEX(품목목록!$D$3:$D$202,MATCH($D576,품목목록!$A$3:$A$202,0)),""))</f>
        <v/>
      </c>
      <c r="G576" s="11"/>
      <c r="H576" s="15"/>
      <c r="I576" s="16" t="str">
        <f aca="false">IF($A576="","",SUMIFS(반납내역!$D$3:$D$1502,반납내역!$B$3:$B$1502,$A576))</f>
        <v/>
      </c>
      <c r="J576" s="16" t="str">
        <f aca="false">IF($A576="","",IF($G576="","",$G576-$I576))</f>
        <v/>
      </c>
      <c r="K576" s="17" t="str">
        <f aca="true">IF(OR($A576="",$J576="",$J576&lt;=0,$H576=""),"",TODAY()-$H576)</f>
        <v/>
      </c>
      <c r="L576" s="14" t="str">
        <f aca="false">IF($A576="","",IF($G576="","",IF($J576&lt;=0,"반납완료",IF($I576&gt;0,"부분반납","미반납"))))</f>
        <v/>
      </c>
    </row>
    <row r="577" customFormat="false" ht="15" hidden="false" customHeight="false" outlineLevel="0" collapsed="false">
      <c r="A577" s="14" t="str">
        <f aca="false">IF($B577="","",TEXT($B577,"yymmdd")&amp;"-"&amp;TEXT(COUNTIFS($B$3:$B577,$B577),"00"))</f>
        <v/>
      </c>
      <c r="B577" s="15"/>
      <c r="C577" s="9"/>
      <c r="D577" s="10"/>
      <c r="E577" s="14" t="str">
        <f aca="false">IF($D577="","",IFERROR(INDEX(품목목록!$B$3:$B$202,MATCH($D577,품목목록!$A$3:$A$202,0)),"미등록품번"))</f>
        <v/>
      </c>
      <c r="F577" s="14" t="str">
        <f aca="false">IF($D577="","",IFERROR(INDEX(품목목록!$D$3:$D$202,MATCH($D577,품목목록!$A$3:$A$202,0)),""))</f>
        <v/>
      </c>
      <c r="G577" s="11"/>
      <c r="H577" s="15"/>
      <c r="I577" s="16" t="str">
        <f aca="false">IF($A577="","",SUMIFS(반납내역!$D$3:$D$1502,반납내역!$B$3:$B$1502,$A577))</f>
        <v/>
      </c>
      <c r="J577" s="16" t="str">
        <f aca="false">IF($A577="","",IF($G577="","",$G577-$I577))</f>
        <v/>
      </c>
      <c r="K577" s="17" t="str">
        <f aca="true">IF(OR($A577="",$J577="",$J577&lt;=0,$H577=""),"",TODAY()-$H577)</f>
        <v/>
      </c>
      <c r="L577" s="14" t="str">
        <f aca="false">IF($A577="","",IF($G577="","",IF($J577&lt;=0,"반납완료",IF($I577&gt;0,"부분반납","미반납"))))</f>
        <v/>
      </c>
    </row>
    <row r="578" customFormat="false" ht="15" hidden="false" customHeight="false" outlineLevel="0" collapsed="false">
      <c r="A578" s="14" t="str">
        <f aca="false">IF($B578="","",TEXT($B578,"yymmdd")&amp;"-"&amp;TEXT(COUNTIFS($B$3:$B578,$B578),"00"))</f>
        <v/>
      </c>
      <c r="B578" s="15"/>
      <c r="C578" s="9"/>
      <c r="D578" s="10"/>
      <c r="E578" s="14" t="str">
        <f aca="false">IF($D578="","",IFERROR(INDEX(품목목록!$B$3:$B$202,MATCH($D578,품목목록!$A$3:$A$202,0)),"미등록품번"))</f>
        <v/>
      </c>
      <c r="F578" s="14" t="str">
        <f aca="false">IF($D578="","",IFERROR(INDEX(품목목록!$D$3:$D$202,MATCH($D578,품목목록!$A$3:$A$202,0)),""))</f>
        <v/>
      </c>
      <c r="G578" s="11"/>
      <c r="H578" s="15"/>
      <c r="I578" s="16" t="str">
        <f aca="false">IF($A578="","",SUMIFS(반납내역!$D$3:$D$1502,반납내역!$B$3:$B$1502,$A578))</f>
        <v/>
      </c>
      <c r="J578" s="16" t="str">
        <f aca="false">IF($A578="","",IF($G578="","",$G578-$I578))</f>
        <v/>
      </c>
      <c r="K578" s="17" t="str">
        <f aca="true">IF(OR($A578="",$J578="",$J578&lt;=0,$H578=""),"",TODAY()-$H578)</f>
        <v/>
      </c>
      <c r="L578" s="14" t="str">
        <f aca="false">IF($A578="","",IF($G578="","",IF($J578&lt;=0,"반납완료",IF($I578&gt;0,"부분반납","미반납"))))</f>
        <v/>
      </c>
    </row>
    <row r="579" customFormat="false" ht="15" hidden="false" customHeight="false" outlineLevel="0" collapsed="false">
      <c r="A579" s="14" t="str">
        <f aca="false">IF($B579="","",TEXT($B579,"yymmdd")&amp;"-"&amp;TEXT(COUNTIFS($B$3:$B579,$B579),"00"))</f>
        <v/>
      </c>
      <c r="B579" s="15"/>
      <c r="C579" s="9"/>
      <c r="D579" s="10"/>
      <c r="E579" s="14" t="str">
        <f aca="false">IF($D579="","",IFERROR(INDEX(품목목록!$B$3:$B$202,MATCH($D579,품목목록!$A$3:$A$202,0)),"미등록품번"))</f>
        <v/>
      </c>
      <c r="F579" s="14" t="str">
        <f aca="false">IF($D579="","",IFERROR(INDEX(품목목록!$D$3:$D$202,MATCH($D579,품목목록!$A$3:$A$202,0)),""))</f>
        <v/>
      </c>
      <c r="G579" s="11"/>
      <c r="H579" s="15"/>
      <c r="I579" s="16" t="str">
        <f aca="false">IF($A579="","",SUMIFS(반납내역!$D$3:$D$1502,반납내역!$B$3:$B$1502,$A579))</f>
        <v/>
      </c>
      <c r="J579" s="16" t="str">
        <f aca="false">IF($A579="","",IF($G579="","",$G579-$I579))</f>
        <v/>
      </c>
      <c r="K579" s="17" t="str">
        <f aca="true">IF(OR($A579="",$J579="",$J579&lt;=0,$H579=""),"",TODAY()-$H579)</f>
        <v/>
      </c>
      <c r="L579" s="14" t="str">
        <f aca="false">IF($A579="","",IF($G579="","",IF($J579&lt;=0,"반납완료",IF($I579&gt;0,"부분반납","미반납"))))</f>
        <v/>
      </c>
    </row>
    <row r="580" customFormat="false" ht="15" hidden="false" customHeight="false" outlineLevel="0" collapsed="false">
      <c r="A580" s="14" t="str">
        <f aca="false">IF($B580="","",TEXT($B580,"yymmdd")&amp;"-"&amp;TEXT(COUNTIFS($B$3:$B580,$B580),"00"))</f>
        <v/>
      </c>
      <c r="B580" s="15"/>
      <c r="C580" s="9"/>
      <c r="D580" s="10"/>
      <c r="E580" s="14" t="str">
        <f aca="false">IF($D580="","",IFERROR(INDEX(품목목록!$B$3:$B$202,MATCH($D580,품목목록!$A$3:$A$202,0)),"미등록품번"))</f>
        <v/>
      </c>
      <c r="F580" s="14" t="str">
        <f aca="false">IF($D580="","",IFERROR(INDEX(품목목록!$D$3:$D$202,MATCH($D580,품목목록!$A$3:$A$202,0)),""))</f>
        <v/>
      </c>
      <c r="G580" s="11"/>
      <c r="H580" s="15"/>
      <c r="I580" s="16" t="str">
        <f aca="false">IF($A580="","",SUMIFS(반납내역!$D$3:$D$1502,반납내역!$B$3:$B$1502,$A580))</f>
        <v/>
      </c>
      <c r="J580" s="16" t="str">
        <f aca="false">IF($A580="","",IF($G580="","",$G580-$I580))</f>
        <v/>
      </c>
      <c r="K580" s="17" t="str">
        <f aca="true">IF(OR($A580="",$J580="",$J580&lt;=0,$H580=""),"",TODAY()-$H580)</f>
        <v/>
      </c>
      <c r="L580" s="14" t="str">
        <f aca="false">IF($A580="","",IF($G580="","",IF($J580&lt;=0,"반납완료",IF($I580&gt;0,"부분반납","미반납"))))</f>
        <v/>
      </c>
    </row>
    <row r="581" customFormat="false" ht="15" hidden="false" customHeight="false" outlineLevel="0" collapsed="false">
      <c r="A581" s="14" t="str">
        <f aca="false">IF($B581="","",TEXT($B581,"yymmdd")&amp;"-"&amp;TEXT(COUNTIFS($B$3:$B581,$B581),"00"))</f>
        <v/>
      </c>
      <c r="B581" s="15"/>
      <c r="C581" s="9"/>
      <c r="D581" s="10"/>
      <c r="E581" s="14" t="str">
        <f aca="false">IF($D581="","",IFERROR(INDEX(품목목록!$B$3:$B$202,MATCH($D581,품목목록!$A$3:$A$202,0)),"미등록품번"))</f>
        <v/>
      </c>
      <c r="F581" s="14" t="str">
        <f aca="false">IF($D581="","",IFERROR(INDEX(품목목록!$D$3:$D$202,MATCH($D581,품목목록!$A$3:$A$202,0)),""))</f>
        <v/>
      </c>
      <c r="G581" s="11"/>
      <c r="H581" s="15"/>
      <c r="I581" s="16" t="str">
        <f aca="false">IF($A581="","",SUMIFS(반납내역!$D$3:$D$1502,반납내역!$B$3:$B$1502,$A581))</f>
        <v/>
      </c>
      <c r="J581" s="16" t="str">
        <f aca="false">IF($A581="","",IF($G581="","",$G581-$I581))</f>
        <v/>
      </c>
      <c r="K581" s="17" t="str">
        <f aca="true">IF(OR($A581="",$J581="",$J581&lt;=0,$H581=""),"",TODAY()-$H581)</f>
        <v/>
      </c>
      <c r="L581" s="14" t="str">
        <f aca="false">IF($A581="","",IF($G581="","",IF($J581&lt;=0,"반납완료",IF($I581&gt;0,"부분반납","미반납"))))</f>
        <v/>
      </c>
    </row>
    <row r="582" customFormat="false" ht="15" hidden="false" customHeight="false" outlineLevel="0" collapsed="false">
      <c r="A582" s="14" t="str">
        <f aca="false">IF($B582="","",TEXT($B582,"yymmdd")&amp;"-"&amp;TEXT(COUNTIFS($B$3:$B582,$B582),"00"))</f>
        <v/>
      </c>
      <c r="B582" s="15"/>
      <c r="C582" s="9"/>
      <c r="D582" s="10"/>
      <c r="E582" s="14" t="str">
        <f aca="false">IF($D582="","",IFERROR(INDEX(품목목록!$B$3:$B$202,MATCH($D582,품목목록!$A$3:$A$202,0)),"미등록품번"))</f>
        <v/>
      </c>
      <c r="F582" s="14" t="str">
        <f aca="false">IF($D582="","",IFERROR(INDEX(품목목록!$D$3:$D$202,MATCH($D582,품목목록!$A$3:$A$202,0)),""))</f>
        <v/>
      </c>
      <c r="G582" s="11"/>
      <c r="H582" s="15"/>
      <c r="I582" s="16" t="str">
        <f aca="false">IF($A582="","",SUMIFS(반납내역!$D$3:$D$1502,반납내역!$B$3:$B$1502,$A582))</f>
        <v/>
      </c>
      <c r="J582" s="16" t="str">
        <f aca="false">IF($A582="","",IF($G582="","",$G582-$I582))</f>
        <v/>
      </c>
      <c r="K582" s="17" t="str">
        <f aca="true">IF(OR($A582="",$J582="",$J582&lt;=0,$H582=""),"",TODAY()-$H582)</f>
        <v/>
      </c>
      <c r="L582" s="14" t="str">
        <f aca="false">IF($A582="","",IF($G582="","",IF($J582&lt;=0,"반납완료",IF($I582&gt;0,"부분반납","미반납"))))</f>
        <v/>
      </c>
    </row>
    <row r="583" customFormat="false" ht="15" hidden="false" customHeight="false" outlineLevel="0" collapsed="false">
      <c r="A583" s="14" t="str">
        <f aca="false">IF($B583="","",TEXT($B583,"yymmdd")&amp;"-"&amp;TEXT(COUNTIFS($B$3:$B583,$B583),"00"))</f>
        <v/>
      </c>
      <c r="B583" s="15"/>
      <c r="C583" s="9"/>
      <c r="D583" s="10"/>
      <c r="E583" s="14" t="str">
        <f aca="false">IF($D583="","",IFERROR(INDEX(품목목록!$B$3:$B$202,MATCH($D583,품목목록!$A$3:$A$202,0)),"미등록품번"))</f>
        <v/>
      </c>
      <c r="F583" s="14" t="str">
        <f aca="false">IF($D583="","",IFERROR(INDEX(품목목록!$D$3:$D$202,MATCH($D583,품목목록!$A$3:$A$202,0)),""))</f>
        <v/>
      </c>
      <c r="G583" s="11"/>
      <c r="H583" s="15"/>
      <c r="I583" s="16" t="str">
        <f aca="false">IF($A583="","",SUMIFS(반납내역!$D$3:$D$1502,반납내역!$B$3:$B$1502,$A583))</f>
        <v/>
      </c>
      <c r="J583" s="16" t="str">
        <f aca="false">IF($A583="","",IF($G583="","",$G583-$I583))</f>
        <v/>
      </c>
      <c r="K583" s="17" t="str">
        <f aca="true">IF(OR($A583="",$J583="",$J583&lt;=0,$H583=""),"",TODAY()-$H583)</f>
        <v/>
      </c>
      <c r="L583" s="14" t="str">
        <f aca="false">IF($A583="","",IF($G583="","",IF($J583&lt;=0,"반납완료",IF($I583&gt;0,"부분반납","미반납"))))</f>
        <v/>
      </c>
    </row>
    <row r="584" customFormat="false" ht="15" hidden="false" customHeight="false" outlineLevel="0" collapsed="false">
      <c r="A584" s="14" t="str">
        <f aca="false">IF($B584="","",TEXT($B584,"yymmdd")&amp;"-"&amp;TEXT(COUNTIFS($B$3:$B584,$B584),"00"))</f>
        <v/>
      </c>
      <c r="B584" s="15"/>
      <c r="C584" s="9"/>
      <c r="D584" s="10"/>
      <c r="E584" s="14" t="str">
        <f aca="false">IF($D584="","",IFERROR(INDEX(품목목록!$B$3:$B$202,MATCH($D584,품목목록!$A$3:$A$202,0)),"미등록품번"))</f>
        <v/>
      </c>
      <c r="F584" s="14" t="str">
        <f aca="false">IF($D584="","",IFERROR(INDEX(품목목록!$D$3:$D$202,MATCH($D584,품목목록!$A$3:$A$202,0)),""))</f>
        <v/>
      </c>
      <c r="G584" s="11"/>
      <c r="H584" s="15"/>
      <c r="I584" s="16" t="str">
        <f aca="false">IF($A584="","",SUMIFS(반납내역!$D$3:$D$1502,반납내역!$B$3:$B$1502,$A584))</f>
        <v/>
      </c>
      <c r="J584" s="16" t="str">
        <f aca="false">IF($A584="","",IF($G584="","",$G584-$I584))</f>
        <v/>
      </c>
      <c r="K584" s="17" t="str">
        <f aca="true">IF(OR($A584="",$J584="",$J584&lt;=0,$H584=""),"",TODAY()-$H584)</f>
        <v/>
      </c>
      <c r="L584" s="14" t="str">
        <f aca="false">IF($A584="","",IF($G584="","",IF($J584&lt;=0,"반납완료",IF($I584&gt;0,"부분반납","미반납"))))</f>
        <v/>
      </c>
    </row>
    <row r="585" customFormat="false" ht="15" hidden="false" customHeight="false" outlineLevel="0" collapsed="false">
      <c r="A585" s="14" t="str">
        <f aca="false">IF($B585="","",TEXT($B585,"yymmdd")&amp;"-"&amp;TEXT(COUNTIFS($B$3:$B585,$B585),"00"))</f>
        <v/>
      </c>
      <c r="B585" s="15"/>
      <c r="C585" s="9"/>
      <c r="D585" s="10"/>
      <c r="E585" s="14" t="str">
        <f aca="false">IF($D585="","",IFERROR(INDEX(품목목록!$B$3:$B$202,MATCH($D585,품목목록!$A$3:$A$202,0)),"미등록품번"))</f>
        <v/>
      </c>
      <c r="F585" s="14" t="str">
        <f aca="false">IF($D585="","",IFERROR(INDEX(품목목록!$D$3:$D$202,MATCH($D585,품목목록!$A$3:$A$202,0)),""))</f>
        <v/>
      </c>
      <c r="G585" s="11"/>
      <c r="H585" s="15"/>
      <c r="I585" s="16" t="str">
        <f aca="false">IF($A585="","",SUMIFS(반납내역!$D$3:$D$1502,반납내역!$B$3:$B$1502,$A585))</f>
        <v/>
      </c>
      <c r="J585" s="16" t="str">
        <f aca="false">IF($A585="","",IF($G585="","",$G585-$I585))</f>
        <v/>
      </c>
      <c r="K585" s="17" t="str">
        <f aca="true">IF(OR($A585="",$J585="",$J585&lt;=0,$H585=""),"",TODAY()-$H585)</f>
        <v/>
      </c>
      <c r="L585" s="14" t="str">
        <f aca="false">IF($A585="","",IF($G585="","",IF($J585&lt;=0,"반납완료",IF($I585&gt;0,"부분반납","미반납"))))</f>
        <v/>
      </c>
    </row>
    <row r="586" customFormat="false" ht="15" hidden="false" customHeight="false" outlineLevel="0" collapsed="false">
      <c r="A586" s="14" t="str">
        <f aca="false">IF($B586="","",TEXT($B586,"yymmdd")&amp;"-"&amp;TEXT(COUNTIFS($B$3:$B586,$B586),"00"))</f>
        <v/>
      </c>
      <c r="B586" s="15"/>
      <c r="C586" s="9"/>
      <c r="D586" s="10"/>
      <c r="E586" s="14" t="str">
        <f aca="false">IF($D586="","",IFERROR(INDEX(품목목록!$B$3:$B$202,MATCH($D586,품목목록!$A$3:$A$202,0)),"미등록품번"))</f>
        <v/>
      </c>
      <c r="F586" s="14" t="str">
        <f aca="false">IF($D586="","",IFERROR(INDEX(품목목록!$D$3:$D$202,MATCH($D586,품목목록!$A$3:$A$202,0)),""))</f>
        <v/>
      </c>
      <c r="G586" s="11"/>
      <c r="H586" s="15"/>
      <c r="I586" s="16" t="str">
        <f aca="false">IF($A586="","",SUMIFS(반납내역!$D$3:$D$1502,반납내역!$B$3:$B$1502,$A586))</f>
        <v/>
      </c>
      <c r="J586" s="16" t="str">
        <f aca="false">IF($A586="","",IF($G586="","",$G586-$I586))</f>
        <v/>
      </c>
      <c r="K586" s="17" t="str">
        <f aca="true">IF(OR($A586="",$J586="",$J586&lt;=0,$H586=""),"",TODAY()-$H586)</f>
        <v/>
      </c>
      <c r="L586" s="14" t="str">
        <f aca="false">IF($A586="","",IF($G586="","",IF($J586&lt;=0,"반납완료",IF($I586&gt;0,"부분반납","미반납"))))</f>
        <v/>
      </c>
    </row>
    <row r="587" customFormat="false" ht="15" hidden="false" customHeight="false" outlineLevel="0" collapsed="false">
      <c r="A587" s="14" t="str">
        <f aca="false">IF($B587="","",TEXT($B587,"yymmdd")&amp;"-"&amp;TEXT(COUNTIFS($B$3:$B587,$B587),"00"))</f>
        <v/>
      </c>
      <c r="B587" s="15"/>
      <c r="C587" s="9"/>
      <c r="D587" s="10"/>
      <c r="E587" s="14" t="str">
        <f aca="false">IF($D587="","",IFERROR(INDEX(품목목록!$B$3:$B$202,MATCH($D587,품목목록!$A$3:$A$202,0)),"미등록품번"))</f>
        <v/>
      </c>
      <c r="F587" s="14" t="str">
        <f aca="false">IF($D587="","",IFERROR(INDEX(품목목록!$D$3:$D$202,MATCH($D587,품목목록!$A$3:$A$202,0)),""))</f>
        <v/>
      </c>
      <c r="G587" s="11"/>
      <c r="H587" s="15"/>
      <c r="I587" s="16" t="str">
        <f aca="false">IF($A587="","",SUMIFS(반납내역!$D$3:$D$1502,반납내역!$B$3:$B$1502,$A587))</f>
        <v/>
      </c>
      <c r="J587" s="16" t="str">
        <f aca="false">IF($A587="","",IF($G587="","",$G587-$I587))</f>
        <v/>
      </c>
      <c r="K587" s="17" t="str">
        <f aca="true">IF(OR($A587="",$J587="",$J587&lt;=0,$H587=""),"",TODAY()-$H587)</f>
        <v/>
      </c>
      <c r="L587" s="14" t="str">
        <f aca="false">IF($A587="","",IF($G587="","",IF($J587&lt;=0,"반납완료",IF($I587&gt;0,"부분반납","미반납"))))</f>
        <v/>
      </c>
    </row>
    <row r="588" customFormat="false" ht="15" hidden="false" customHeight="false" outlineLevel="0" collapsed="false">
      <c r="A588" s="14" t="str">
        <f aca="false">IF($B588="","",TEXT($B588,"yymmdd")&amp;"-"&amp;TEXT(COUNTIFS($B$3:$B588,$B588),"00"))</f>
        <v/>
      </c>
      <c r="B588" s="15"/>
      <c r="C588" s="9"/>
      <c r="D588" s="10"/>
      <c r="E588" s="14" t="str">
        <f aca="false">IF($D588="","",IFERROR(INDEX(품목목록!$B$3:$B$202,MATCH($D588,품목목록!$A$3:$A$202,0)),"미등록품번"))</f>
        <v/>
      </c>
      <c r="F588" s="14" t="str">
        <f aca="false">IF($D588="","",IFERROR(INDEX(품목목록!$D$3:$D$202,MATCH($D588,품목목록!$A$3:$A$202,0)),""))</f>
        <v/>
      </c>
      <c r="G588" s="11"/>
      <c r="H588" s="15"/>
      <c r="I588" s="16" t="str">
        <f aca="false">IF($A588="","",SUMIFS(반납내역!$D$3:$D$1502,반납내역!$B$3:$B$1502,$A588))</f>
        <v/>
      </c>
      <c r="J588" s="16" t="str">
        <f aca="false">IF($A588="","",IF($G588="","",$G588-$I588))</f>
        <v/>
      </c>
      <c r="K588" s="17" t="str">
        <f aca="true">IF(OR($A588="",$J588="",$J588&lt;=0,$H588=""),"",TODAY()-$H588)</f>
        <v/>
      </c>
      <c r="L588" s="14" t="str">
        <f aca="false">IF($A588="","",IF($G588="","",IF($J588&lt;=0,"반납완료",IF($I588&gt;0,"부분반납","미반납"))))</f>
        <v/>
      </c>
    </row>
    <row r="589" customFormat="false" ht="15" hidden="false" customHeight="false" outlineLevel="0" collapsed="false">
      <c r="A589" s="14" t="str">
        <f aca="false">IF($B589="","",TEXT($B589,"yymmdd")&amp;"-"&amp;TEXT(COUNTIFS($B$3:$B589,$B589),"00"))</f>
        <v/>
      </c>
      <c r="B589" s="15"/>
      <c r="C589" s="9"/>
      <c r="D589" s="10"/>
      <c r="E589" s="14" t="str">
        <f aca="false">IF($D589="","",IFERROR(INDEX(품목목록!$B$3:$B$202,MATCH($D589,품목목록!$A$3:$A$202,0)),"미등록품번"))</f>
        <v/>
      </c>
      <c r="F589" s="14" t="str">
        <f aca="false">IF($D589="","",IFERROR(INDEX(품목목록!$D$3:$D$202,MATCH($D589,품목목록!$A$3:$A$202,0)),""))</f>
        <v/>
      </c>
      <c r="G589" s="11"/>
      <c r="H589" s="15"/>
      <c r="I589" s="16" t="str">
        <f aca="false">IF($A589="","",SUMIFS(반납내역!$D$3:$D$1502,반납내역!$B$3:$B$1502,$A589))</f>
        <v/>
      </c>
      <c r="J589" s="16" t="str">
        <f aca="false">IF($A589="","",IF($G589="","",$G589-$I589))</f>
        <v/>
      </c>
      <c r="K589" s="17" t="str">
        <f aca="true">IF(OR($A589="",$J589="",$J589&lt;=0,$H589=""),"",TODAY()-$H589)</f>
        <v/>
      </c>
      <c r="L589" s="14" t="str">
        <f aca="false">IF($A589="","",IF($G589="","",IF($J589&lt;=0,"반납완료",IF($I589&gt;0,"부분반납","미반납"))))</f>
        <v/>
      </c>
    </row>
    <row r="590" customFormat="false" ht="15" hidden="false" customHeight="false" outlineLevel="0" collapsed="false">
      <c r="A590" s="14" t="str">
        <f aca="false">IF($B590="","",TEXT($B590,"yymmdd")&amp;"-"&amp;TEXT(COUNTIFS($B$3:$B590,$B590),"00"))</f>
        <v/>
      </c>
      <c r="B590" s="15"/>
      <c r="C590" s="9"/>
      <c r="D590" s="10"/>
      <c r="E590" s="14" t="str">
        <f aca="false">IF($D590="","",IFERROR(INDEX(품목목록!$B$3:$B$202,MATCH($D590,품목목록!$A$3:$A$202,0)),"미등록품번"))</f>
        <v/>
      </c>
      <c r="F590" s="14" t="str">
        <f aca="false">IF($D590="","",IFERROR(INDEX(품목목록!$D$3:$D$202,MATCH($D590,품목목록!$A$3:$A$202,0)),""))</f>
        <v/>
      </c>
      <c r="G590" s="11"/>
      <c r="H590" s="15"/>
      <c r="I590" s="16" t="str">
        <f aca="false">IF($A590="","",SUMIFS(반납내역!$D$3:$D$1502,반납내역!$B$3:$B$1502,$A590))</f>
        <v/>
      </c>
      <c r="J590" s="16" t="str">
        <f aca="false">IF($A590="","",IF($G590="","",$G590-$I590))</f>
        <v/>
      </c>
      <c r="K590" s="17" t="str">
        <f aca="true">IF(OR($A590="",$J590="",$J590&lt;=0,$H590=""),"",TODAY()-$H590)</f>
        <v/>
      </c>
      <c r="L590" s="14" t="str">
        <f aca="false">IF($A590="","",IF($G590="","",IF($J590&lt;=0,"반납완료",IF($I590&gt;0,"부분반납","미반납"))))</f>
        <v/>
      </c>
    </row>
    <row r="591" customFormat="false" ht="15" hidden="false" customHeight="false" outlineLevel="0" collapsed="false">
      <c r="A591" s="14" t="str">
        <f aca="false">IF($B591="","",TEXT($B591,"yymmdd")&amp;"-"&amp;TEXT(COUNTIFS($B$3:$B591,$B591),"00"))</f>
        <v/>
      </c>
      <c r="B591" s="15"/>
      <c r="C591" s="9"/>
      <c r="D591" s="10"/>
      <c r="E591" s="14" t="str">
        <f aca="false">IF($D591="","",IFERROR(INDEX(품목목록!$B$3:$B$202,MATCH($D591,품목목록!$A$3:$A$202,0)),"미등록품번"))</f>
        <v/>
      </c>
      <c r="F591" s="14" t="str">
        <f aca="false">IF($D591="","",IFERROR(INDEX(품목목록!$D$3:$D$202,MATCH($D591,품목목록!$A$3:$A$202,0)),""))</f>
        <v/>
      </c>
      <c r="G591" s="11"/>
      <c r="H591" s="15"/>
      <c r="I591" s="16" t="str">
        <f aca="false">IF($A591="","",SUMIFS(반납내역!$D$3:$D$1502,반납내역!$B$3:$B$1502,$A591))</f>
        <v/>
      </c>
      <c r="J591" s="16" t="str">
        <f aca="false">IF($A591="","",IF($G591="","",$G591-$I591))</f>
        <v/>
      </c>
      <c r="K591" s="17" t="str">
        <f aca="true">IF(OR($A591="",$J591="",$J591&lt;=0,$H591=""),"",TODAY()-$H591)</f>
        <v/>
      </c>
      <c r="L591" s="14" t="str">
        <f aca="false">IF($A591="","",IF($G591="","",IF($J591&lt;=0,"반납완료",IF($I591&gt;0,"부분반납","미반납"))))</f>
        <v/>
      </c>
    </row>
    <row r="592" customFormat="false" ht="15" hidden="false" customHeight="false" outlineLevel="0" collapsed="false">
      <c r="A592" s="14" t="str">
        <f aca="false">IF($B592="","",TEXT($B592,"yymmdd")&amp;"-"&amp;TEXT(COUNTIFS($B$3:$B592,$B592),"00"))</f>
        <v/>
      </c>
      <c r="B592" s="15"/>
      <c r="C592" s="9"/>
      <c r="D592" s="10"/>
      <c r="E592" s="14" t="str">
        <f aca="false">IF($D592="","",IFERROR(INDEX(품목목록!$B$3:$B$202,MATCH($D592,품목목록!$A$3:$A$202,0)),"미등록품번"))</f>
        <v/>
      </c>
      <c r="F592" s="14" t="str">
        <f aca="false">IF($D592="","",IFERROR(INDEX(품목목록!$D$3:$D$202,MATCH($D592,품목목록!$A$3:$A$202,0)),""))</f>
        <v/>
      </c>
      <c r="G592" s="11"/>
      <c r="H592" s="15"/>
      <c r="I592" s="16" t="str">
        <f aca="false">IF($A592="","",SUMIFS(반납내역!$D$3:$D$1502,반납내역!$B$3:$B$1502,$A592))</f>
        <v/>
      </c>
      <c r="J592" s="16" t="str">
        <f aca="false">IF($A592="","",IF($G592="","",$G592-$I592))</f>
        <v/>
      </c>
      <c r="K592" s="17" t="str">
        <f aca="true">IF(OR($A592="",$J592="",$J592&lt;=0,$H592=""),"",TODAY()-$H592)</f>
        <v/>
      </c>
      <c r="L592" s="14" t="str">
        <f aca="false">IF($A592="","",IF($G592="","",IF($J592&lt;=0,"반납완료",IF($I592&gt;0,"부분반납","미반납"))))</f>
        <v/>
      </c>
    </row>
    <row r="593" customFormat="false" ht="15" hidden="false" customHeight="false" outlineLevel="0" collapsed="false">
      <c r="A593" s="14" t="str">
        <f aca="false">IF($B593="","",TEXT($B593,"yymmdd")&amp;"-"&amp;TEXT(COUNTIFS($B$3:$B593,$B593),"00"))</f>
        <v/>
      </c>
      <c r="B593" s="15"/>
      <c r="C593" s="9"/>
      <c r="D593" s="10"/>
      <c r="E593" s="14" t="str">
        <f aca="false">IF($D593="","",IFERROR(INDEX(품목목록!$B$3:$B$202,MATCH($D593,품목목록!$A$3:$A$202,0)),"미등록품번"))</f>
        <v/>
      </c>
      <c r="F593" s="14" t="str">
        <f aca="false">IF($D593="","",IFERROR(INDEX(품목목록!$D$3:$D$202,MATCH($D593,품목목록!$A$3:$A$202,0)),""))</f>
        <v/>
      </c>
      <c r="G593" s="11"/>
      <c r="H593" s="15"/>
      <c r="I593" s="16" t="str">
        <f aca="false">IF($A593="","",SUMIFS(반납내역!$D$3:$D$1502,반납내역!$B$3:$B$1502,$A593))</f>
        <v/>
      </c>
      <c r="J593" s="16" t="str">
        <f aca="false">IF($A593="","",IF($G593="","",$G593-$I593))</f>
        <v/>
      </c>
      <c r="K593" s="17" t="str">
        <f aca="true">IF(OR($A593="",$J593="",$J593&lt;=0,$H593=""),"",TODAY()-$H593)</f>
        <v/>
      </c>
      <c r="L593" s="14" t="str">
        <f aca="false">IF($A593="","",IF($G593="","",IF($J593&lt;=0,"반납완료",IF($I593&gt;0,"부분반납","미반납"))))</f>
        <v/>
      </c>
    </row>
    <row r="594" customFormat="false" ht="15" hidden="false" customHeight="false" outlineLevel="0" collapsed="false">
      <c r="A594" s="14" t="str">
        <f aca="false">IF($B594="","",TEXT($B594,"yymmdd")&amp;"-"&amp;TEXT(COUNTIFS($B$3:$B594,$B594),"00"))</f>
        <v/>
      </c>
      <c r="B594" s="15"/>
      <c r="C594" s="9"/>
      <c r="D594" s="10"/>
      <c r="E594" s="14" t="str">
        <f aca="false">IF($D594="","",IFERROR(INDEX(품목목록!$B$3:$B$202,MATCH($D594,품목목록!$A$3:$A$202,0)),"미등록품번"))</f>
        <v/>
      </c>
      <c r="F594" s="14" t="str">
        <f aca="false">IF($D594="","",IFERROR(INDEX(품목목록!$D$3:$D$202,MATCH($D594,품목목록!$A$3:$A$202,0)),""))</f>
        <v/>
      </c>
      <c r="G594" s="11"/>
      <c r="H594" s="15"/>
      <c r="I594" s="16" t="str">
        <f aca="false">IF($A594="","",SUMIFS(반납내역!$D$3:$D$1502,반납내역!$B$3:$B$1502,$A594))</f>
        <v/>
      </c>
      <c r="J594" s="16" t="str">
        <f aca="false">IF($A594="","",IF($G594="","",$G594-$I594))</f>
        <v/>
      </c>
      <c r="K594" s="17" t="str">
        <f aca="true">IF(OR($A594="",$J594="",$J594&lt;=0,$H594=""),"",TODAY()-$H594)</f>
        <v/>
      </c>
      <c r="L594" s="14" t="str">
        <f aca="false">IF($A594="","",IF($G594="","",IF($J594&lt;=0,"반납완료",IF($I594&gt;0,"부분반납","미반납"))))</f>
        <v/>
      </c>
    </row>
    <row r="595" customFormat="false" ht="15" hidden="false" customHeight="false" outlineLevel="0" collapsed="false">
      <c r="A595" s="14" t="str">
        <f aca="false">IF($B595="","",TEXT($B595,"yymmdd")&amp;"-"&amp;TEXT(COUNTIFS($B$3:$B595,$B595),"00"))</f>
        <v/>
      </c>
      <c r="B595" s="15"/>
      <c r="C595" s="9"/>
      <c r="D595" s="10"/>
      <c r="E595" s="14" t="str">
        <f aca="false">IF($D595="","",IFERROR(INDEX(품목목록!$B$3:$B$202,MATCH($D595,품목목록!$A$3:$A$202,0)),"미등록품번"))</f>
        <v/>
      </c>
      <c r="F595" s="14" t="str">
        <f aca="false">IF($D595="","",IFERROR(INDEX(품목목록!$D$3:$D$202,MATCH($D595,품목목록!$A$3:$A$202,0)),""))</f>
        <v/>
      </c>
      <c r="G595" s="11"/>
      <c r="H595" s="15"/>
      <c r="I595" s="16" t="str">
        <f aca="false">IF($A595="","",SUMIFS(반납내역!$D$3:$D$1502,반납내역!$B$3:$B$1502,$A595))</f>
        <v/>
      </c>
      <c r="J595" s="16" t="str">
        <f aca="false">IF($A595="","",IF($G595="","",$G595-$I595))</f>
        <v/>
      </c>
      <c r="K595" s="17" t="str">
        <f aca="true">IF(OR($A595="",$J595="",$J595&lt;=0,$H595=""),"",TODAY()-$H595)</f>
        <v/>
      </c>
      <c r="L595" s="14" t="str">
        <f aca="false">IF($A595="","",IF($G595="","",IF($J595&lt;=0,"반납완료",IF($I595&gt;0,"부분반납","미반납"))))</f>
        <v/>
      </c>
    </row>
    <row r="596" customFormat="false" ht="15" hidden="false" customHeight="false" outlineLevel="0" collapsed="false">
      <c r="A596" s="14" t="str">
        <f aca="false">IF($B596="","",TEXT($B596,"yymmdd")&amp;"-"&amp;TEXT(COUNTIFS($B$3:$B596,$B596),"00"))</f>
        <v/>
      </c>
      <c r="B596" s="15"/>
      <c r="C596" s="9"/>
      <c r="D596" s="10"/>
      <c r="E596" s="14" t="str">
        <f aca="false">IF($D596="","",IFERROR(INDEX(품목목록!$B$3:$B$202,MATCH($D596,품목목록!$A$3:$A$202,0)),"미등록품번"))</f>
        <v/>
      </c>
      <c r="F596" s="14" t="str">
        <f aca="false">IF($D596="","",IFERROR(INDEX(품목목록!$D$3:$D$202,MATCH($D596,품목목록!$A$3:$A$202,0)),""))</f>
        <v/>
      </c>
      <c r="G596" s="11"/>
      <c r="H596" s="15"/>
      <c r="I596" s="16" t="str">
        <f aca="false">IF($A596="","",SUMIFS(반납내역!$D$3:$D$1502,반납내역!$B$3:$B$1502,$A596))</f>
        <v/>
      </c>
      <c r="J596" s="16" t="str">
        <f aca="false">IF($A596="","",IF($G596="","",$G596-$I596))</f>
        <v/>
      </c>
      <c r="K596" s="17" t="str">
        <f aca="true">IF(OR($A596="",$J596="",$J596&lt;=0,$H596=""),"",TODAY()-$H596)</f>
        <v/>
      </c>
      <c r="L596" s="14" t="str">
        <f aca="false">IF($A596="","",IF($G596="","",IF($J596&lt;=0,"반납완료",IF($I596&gt;0,"부분반납","미반납"))))</f>
        <v/>
      </c>
    </row>
    <row r="597" customFormat="false" ht="15" hidden="false" customHeight="false" outlineLevel="0" collapsed="false">
      <c r="A597" s="14" t="str">
        <f aca="false">IF($B597="","",TEXT($B597,"yymmdd")&amp;"-"&amp;TEXT(COUNTIFS($B$3:$B597,$B597),"00"))</f>
        <v/>
      </c>
      <c r="B597" s="15"/>
      <c r="C597" s="9"/>
      <c r="D597" s="10"/>
      <c r="E597" s="14" t="str">
        <f aca="false">IF($D597="","",IFERROR(INDEX(품목목록!$B$3:$B$202,MATCH($D597,품목목록!$A$3:$A$202,0)),"미등록품번"))</f>
        <v/>
      </c>
      <c r="F597" s="14" t="str">
        <f aca="false">IF($D597="","",IFERROR(INDEX(품목목록!$D$3:$D$202,MATCH($D597,품목목록!$A$3:$A$202,0)),""))</f>
        <v/>
      </c>
      <c r="G597" s="11"/>
      <c r="H597" s="15"/>
      <c r="I597" s="16" t="str">
        <f aca="false">IF($A597="","",SUMIFS(반납내역!$D$3:$D$1502,반납내역!$B$3:$B$1502,$A597))</f>
        <v/>
      </c>
      <c r="J597" s="16" t="str">
        <f aca="false">IF($A597="","",IF($G597="","",$G597-$I597))</f>
        <v/>
      </c>
      <c r="K597" s="17" t="str">
        <f aca="true">IF(OR($A597="",$J597="",$J597&lt;=0,$H597=""),"",TODAY()-$H597)</f>
        <v/>
      </c>
      <c r="L597" s="14" t="str">
        <f aca="false">IF($A597="","",IF($G597="","",IF($J597&lt;=0,"반납완료",IF($I597&gt;0,"부분반납","미반납"))))</f>
        <v/>
      </c>
    </row>
    <row r="598" customFormat="false" ht="15" hidden="false" customHeight="false" outlineLevel="0" collapsed="false">
      <c r="A598" s="14" t="str">
        <f aca="false">IF($B598="","",TEXT($B598,"yymmdd")&amp;"-"&amp;TEXT(COUNTIFS($B$3:$B598,$B598),"00"))</f>
        <v/>
      </c>
      <c r="B598" s="15"/>
      <c r="C598" s="9"/>
      <c r="D598" s="10"/>
      <c r="E598" s="14" t="str">
        <f aca="false">IF($D598="","",IFERROR(INDEX(품목목록!$B$3:$B$202,MATCH($D598,품목목록!$A$3:$A$202,0)),"미등록품번"))</f>
        <v/>
      </c>
      <c r="F598" s="14" t="str">
        <f aca="false">IF($D598="","",IFERROR(INDEX(품목목록!$D$3:$D$202,MATCH($D598,품목목록!$A$3:$A$202,0)),""))</f>
        <v/>
      </c>
      <c r="G598" s="11"/>
      <c r="H598" s="15"/>
      <c r="I598" s="16" t="str">
        <f aca="false">IF($A598="","",SUMIFS(반납내역!$D$3:$D$1502,반납내역!$B$3:$B$1502,$A598))</f>
        <v/>
      </c>
      <c r="J598" s="16" t="str">
        <f aca="false">IF($A598="","",IF($G598="","",$G598-$I598))</f>
        <v/>
      </c>
      <c r="K598" s="17" t="str">
        <f aca="true">IF(OR($A598="",$J598="",$J598&lt;=0,$H598=""),"",TODAY()-$H598)</f>
        <v/>
      </c>
      <c r="L598" s="14" t="str">
        <f aca="false">IF($A598="","",IF($G598="","",IF($J598&lt;=0,"반납완료",IF($I598&gt;0,"부분반납","미반납"))))</f>
        <v/>
      </c>
    </row>
    <row r="599" customFormat="false" ht="15" hidden="false" customHeight="false" outlineLevel="0" collapsed="false">
      <c r="A599" s="14" t="str">
        <f aca="false">IF($B599="","",TEXT($B599,"yymmdd")&amp;"-"&amp;TEXT(COUNTIFS($B$3:$B599,$B599),"00"))</f>
        <v/>
      </c>
      <c r="B599" s="15"/>
      <c r="C599" s="9"/>
      <c r="D599" s="10"/>
      <c r="E599" s="14" t="str">
        <f aca="false">IF($D599="","",IFERROR(INDEX(품목목록!$B$3:$B$202,MATCH($D599,품목목록!$A$3:$A$202,0)),"미등록품번"))</f>
        <v/>
      </c>
      <c r="F599" s="14" t="str">
        <f aca="false">IF($D599="","",IFERROR(INDEX(품목목록!$D$3:$D$202,MATCH($D599,품목목록!$A$3:$A$202,0)),""))</f>
        <v/>
      </c>
      <c r="G599" s="11"/>
      <c r="H599" s="15"/>
      <c r="I599" s="16" t="str">
        <f aca="false">IF($A599="","",SUMIFS(반납내역!$D$3:$D$1502,반납내역!$B$3:$B$1502,$A599))</f>
        <v/>
      </c>
      <c r="J599" s="16" t="str">
        <f aca="false">IF($A599="","",IF($G599="","",$G599-$I599))</f>
        <v/>
      </c>
      <c r="K599" s="17" t="str">
        <f aca="true">IF(OR($A599="",$J599="",$J599&lt;=0,$H599=""),"",TODAY()-$H599)</f>
        <v/>
      </c>
      <c r="L599" s="14" t="str">
        <f aca="false">IF($A599="","",IF($G599="","",IF($J599&lt;=0,"반납완료",IF($I599&gt;0,"부분반납","미반납"))))</f>
        <v/>
      </c>
    </row>
    <row r="600" customFormat="false" ht="15" hidden="false" customHeight="false" outlineLevel="0" collapsed="false">
      <c r="A600" s="14" t="str">
        <f aca="false">IF($B600="","",TEXT($B600,"yymmdd")&amp;"-"&amp;TEXT(COUNTIFS($B$3:$B600,$B600),"00"))</f>
        <v/>
      </c>
      <c r="B600" s="15"/>
      <c r="C600" s="9"/>
      <c r="D600" s="10"/>
      <c r="E600" s="14" t="str">
        <f aca="false">IF($D600="","",IFERROR(INDEX(품목목록!$B$3:$B$202,MATCH($D600,품목목록!$A$3:$A$202,0)),"미등록품번"))</f>
        <v/>
      </c>
      <c r="F600" s="14" t="str">
        <f aca="false">IF($D600="","",IFERROR(INDEX(품목목록!$D$3:$D$202,MATCH($D600,품목목록!$A$3:$A$202,0)),""))</f>
        <v/>
      </c>
      <c r="G600" s="11"/>
      <c r="H600" s="15"/>
      <c r="I600" s="16" t="str">
        <f aca="false">IF($A600="","",SUMIFS(반납내역!$D$3:$D$1502,반납내역!$B$3:$B$1502,$A600))</f>
        <v/>
      </c>
      <c r="J600" s="16" t="str">
        <f aca="false">IF($A600="","",IF($G600="","",$G600-$I600))</f>
        <v/>
      </c>
      <c r="K600" s="17" t="str">
        <f aca="true">IF(OR($A600="",$J600="",$J600&lt;=0,$H600=""),"",TODAY()-$H600)</f>
        <v/>
      </c>
      <c r="L600" s="14" t="str">
        <f aca="false">IF($A600="","",IF($G600="","",IF($J600&lt;=0,"반납완료",IF($I600&gt;0,"부분반납","미반납"))))</f>
        <v/>
      </c>
    </row>
    <row r="601" customFormat="false" ht="15" hidden="false" customHeight="false" outlineLevel="0" collapsed="false">
      <c r="A601" s="14" t="str">
        <f aca="false">IF($B601="","",TEXT($B601,"yymmdd")&amp;"-"&amp;TEXT(COUNTIFS($B$3:$B601,$B601),"00"))</f>
        <v/>
      </c>
      <c r="B601" s="15"/>
      <c r="C601" s="9"/>
      <c r="D601" s="10"/>
      <c r="E601" s="14" t="str">
        <f aca="false">IF($D601="","",IFERROR(INDEX(품목목록!$B$3:$B$202,MATCH($D601,품목목록!$A$3:$A$202,0)),"미등록품번"))</f>
        <v/>
      </c>
      <c r="F601" s="14" t="str">
        <f aca="false">IF($D601="","",IFERROR(INDEX(품목목록!$D$3:$D$202,MATCH($D601,품목목록!$A$3:$A$202,0)),""))</f>
        <v/>
      </c>
      <c r="G601" s="11"/>
      <c r="H601" s="15"/>
      <c r="I601" s="16" t="str">
        <f aca="false">IF($A601="","",SUMIFS(반납내역!$D$3:$D$1502,반납내역!$B$3:$B$1502,$A601))</f>
        <v/>
      </c>
      <c r="J601" s="16" t="str">
        <f aca="false">IF($A601="","",IF($G601="","",$G601-$I601))</f>
        <v/>
      </c>
      <c r="K601" s="17" t="str">
        <f aca="true">IF(OR($A601="",$J601="",$J601&lt;=0,$H601=""),"",TODAY()-$H601)</f>
        <v/>
      </c>
      <c r="L601" s="14" t="str">
        <f aca="false">IF($A601="","",IF($G601="","",IF($J601&lt;=0,"반납완료",IF($I601&gt;0,"부분반납","미반납"))))</f>
        <v/>
      </c>
    </row>
    <row r="602" customFormat="false" ht="15" hidden="false" customHeight="false" outlineLevel="0" collapsed="false">
      <c r="A602" s="14" t="str">
        <f aca="false">IF($B602="","",TEXT($B602,"yymmdd")&amp;"-"&amp;TEXT(COUNTIFS($B$3:$B602,$B602),"00"))</f>
        <v/>
      </c>
      <c r="B602" s="15"/>
      <c r="C602" s="9"/>
      <c r="D602" s="10"/>
      <c r="E602" s="14" t="str">
        <f aca="false">IF($D602="","",IFERROR(INDEX(품목목록!$B$3:$B$202,MATCH($D602,품목목록!$A$3:$A$202,0)),"미등록품번"))</f>
        <v/>
      </c>
      <c r="F602" s="14" t="str">
        <f aca="false">IF($D602="","",IFERROR(INDEX(품목목록!$D$3:$D$202,MATCH($D602,품목목록!$A$3:$A$202,0)),""))</f>
        <v/>
      </c>
      <c r="G602" s="11"/>
      <c r="H602" s="15"/>
      <c r="I602" s="16" t="str">
        <f aca="false">IF($A602="","",SUMIFS(반납내역!$D$3:$D$1502,반납내역!$B$3:$B$1502,$A602))</f>
        <v/>
      </c>
      <c r="J602" s="16" t="str">
        <f aca="false">IF($A602="","",IF($G602="","",$G602-$I602))</f>
        <v/>
      </c>
      <c r="K602" s="17" t="str">
        <f aca="true">IF(OR($A602="",$J602="",$J602&lt;=0,$H602=""),"",TODAY()-$H602)</f>
        <v/>
      </c>
      <c r="L602" s="14" t="str">
        <f aca="false">IF($A602="","",IF($G602="","",IF($J602&lt;=0,"반납완료",IF($I602&gt;0,"부분반납","미반납"))))</f>
        <v/>
      </c>
    </row>
    <row r="603" customFormat="false" ht="15" hidden="false" customHeight="false" outlineLevel="0" collapsed="false">
      <c r="A603" s="14" t="str">
        <f aca="false">IF($B603="","",TEXT($B603,"yymmdd")&amp;"-"&amp;TEXT(COUNTIFS($B$3:$B603,$B603),"00"))</f>
        <v/>
      </c>
      <c r="B603" s="15"/>
      <c r="C603" s="9"/>
      <c r="D603" s="10"/>
      <c r="E603" s="14" t="str">
        <f aca="false">IF($D603="","",IFERROR(INDEX(품목목록!$B$3:$B$202,MATCH($D603,품목목록!$A$3:$A$202,0)),"미등록품번"))</f>
        <v/>
      </c>
      <c r="F603" s="14" t="str">
        <f aca="false">IF($D603="","",IFERROR(INDEX(품목목록!$D$3:$D$202,MATCH($D603,품목목록!$A$3:$A$202,0)),""))</f>
        <v/>
      </c>
      <c r="G603" s="11"/>
      <c r="H603" s="15"/>
      <c r="I603" s="16" t="str">
        <f aca="false">IF($A603="","",SUMIFS(반납내역!$D$3:$D$1502,반납내역!$B$3:$B$1502,$A603))</f>
        <v/>
      </c>
      <c r="J603" s="16" t="str">
        <f aca="false">IF($A603="","",IF($G603="","",$G603-$I603))</f>
        <v/>
      </c>
      <c r="K603" s="17" t="str">
        <f aca="true">IF(OR($A603="",$J603="",$J603&lt;=0,$H603=""),"",TODAY()-$H603)</f>
        <v/>
      </c>
      <c r="L603" s="14" t="str">
        <f aca="false">IF($A603="","",IF($G603="","",IF($J603&lt;=0,"반납완료",IF($I603&gt;0,"부분반납","미반납"))))</f>
        <v/>
      </c>
    </row>
    <row r="604" customFormat="false" ht="15" hidden="false" customHeight="false" outlineLevel="0" collapsed="false">
      <c r="A604" s="14" t="str">
        <f aca="false">IF($B604="","",TEXT($B604,"yymmdd")&amp;"-"&amp;TEXT(COUNTIFS($B$3:$B604,$B604),"00"))</f>
        <v/>
      </c>
      <c r="B604" s="15"/>
      <c r="C604" s="9"/>
      <c r="D604" s="10"/>
      <c r="E604" s="14" t="str">
        <f aca="false">IF($D604="","",IFERROR(INDEX(품목목록!$B$3:$B$202,MATCH($D604,품목목록!$A$3:$A$202,0)),"미등록품번"))</f>
        <v/>
      </c>
      <c r="F604" s="14" t="str">
        <f aca="false">IF($D604="","",IFERROR(INDEX(품목목록!$D$3:$D$202,MATCH($D604,품목목록!$A$3:$A$202,0)),""))</f>
        <v/>
      </c>
      <c r="G604" s="11"/>
      <c r="H604" s="15"/>
      <c r="I604" s="16" t="str">
        <f aca="false">IF($A604="","",SUMIFS(반납내역!$D$3:$D$1502,반납내역!$B$3:$B$1502,$A604))</f>
        <v/>
      </c>
      <c r="J604" s="16" t="str">
        <f aca="false">IF($A604="","",IF($G604="","",$G604-$I604))</f>
        <v/>
      </c>
      <c r="K604" s="17" t="str">
        <f aca="true">IF(OR($A604="",$J604="",$J604&lt;=0,$H604=""),"",TODAY()-$H604)</f>
        <v/>
      </c>
      <c r="L604" s="14" t="str">
        <f aca="false">IF($A604="","",IF($G604="","",IF($J604&lt;=0,"반납완료",IF($I604&gt;0,"부분반납","미반납"))))</f>
        <v/>
      </c>
    </row>
    <row r="605" customFormat="false" ht="15" hidden="false" customHeight="false" outlineLevel="0" collapsed="false">
      <c r="A605" s="14" t="str">
        <f aca="false">IF($B605="","",TEXT($B605,"yymmdd")&amp;"-"&amp;TEXT(COUNTIFS($B$3:$B605,$B605),"00"))</f>
        <v/>
      </c>
      <c r="B605" s="15"/>
      <c r="C605" s="9"/>
      <c r="D605" s="10"/>
      <c r="E605" s="14" t="str">
        <f aca="false">IF($D605="","",IFERROR(INDEX(품목목록!$B$3:$B$202,MATCH($D605,품목목록!$A$3:$A$202,0)),"미등록품번"))</f>
        <v/>
      </c>
      <c r="F605" s="14" t="str">
        <f aca="false">IF($D605="","",IFERROR(INDEX(품목목록!$D$3:$D$202,MATCH($D605,품목목록!$A$3:$A$202,0)),""))</f>
        <v/>
      </c>
      <c r="G605" s="11"/>
      <c r="H605" s="15"/>
      <c r="I605" s="16" t="str">
        <f aca="false">IF($A605="","",SUMIFS(반납내역!$D$3:$D$1502,반납내역!$B$3:$B$1502,$A605))</f>
        <v/>
      </c>
      <c r="J605" s="16" t="str">
        <f aca="false">IF($A605="","",IF($G605="","",$G605-$I605))</f>
        <v/>
      </c>
      <c r="K605" s="17" t="str">
        <f aca="true">IF(OR($A605="",$J605="",$J605&lt;=0,$H605=""),"",TODAY()-$H605)</f>
        <v/>
      </c>
      <c r="L605" s="14" t="str">
        <f aca="false">IF($A605="","",IF($G605="","",IF($J605&lt;=0,"반납완료",IF($I605&gt;0,"부분반납","미반납"))))</f>
        <v/>
      </c>
    </row>
    <row r="606" customFormat="false" ht="15" hidden="false" customHeight="false" outlineLevel="0" collapsed="false">
      <c r="A606" s="14" t="str">
        <f aca="false">IF($B606="","",TEXT($B606,"yymmdd")&amp;"-"&amp;TEXT(COUNTIFS($B$3:$B606,$B606),"00"))</f>
        <v/>
      </c>
      <c r="B606" s="15"/>
      <c r="C606" s="9"/>
      <c r="D606" s="10"/>
      <c r="E606" s="14" t="str">
        <f aca="false">IF($D606="","",IFERROR(INDEX(품목목록!$B$3:$B$202,MATCH($D606,품목목록!$A$3:$A$202,0)),"미등록품번"))</f>
        <v/>
      </c>
      <c r="F606" s="14" t="str">
        <f aca="false">IF($D606="","",IFERROR(INDEX(품목목록!$D$3:$D$202,MATCH($D606,품목목록!$A$3:$A$202,0)),""))</f>
        <v/>
      </c>
      <c r="G606" s="11"/>
      <c r="H606" s="15"/>
      <c r="I606" s="16" t="str">
        <f aca="false">IF($A606="","",SUMIFS(반납내역!$D$3:$D$1502,반납내역!$B$3:$B$1502,$A606))</f>
        <v/>
      </c>
      <c r="J606" s="16" t="str">
        <f aca="false">IF($A606="","",IF($G606="","",$G606-$I606))</f>
        <v/>
      </c>
      <c r="K606" s="17" t="str">
        <f aca="true">IF(OR($A606="",$J606="",$J606&lt;=0,$H606=""),"",TODAY()-$H606)</f>
        <v/>
      </c>
      <c r="L606" s="14" t="str">
        <f aca="false">IF($A606="","",IF($G606="","",IF($J606&lt;=0,"반납완료",IF($I606&gt;0,"부분반납","미반납"))))</f>
        <v/>
      </c>
    </row>
    <row r="607" customFormat="false" ht="15" hidden="false" customHeight="false" outlineLevel="0" collapsed="false">
      <c r="A607" s="14" t="str">
        <f aca="false">IF($B607="","",TEXT($B607,"yymmdd")&amp;"-"&amp;TEXT(COUNTIFS($B$3:$B607,$B607),"00"))</f>
        <v/>
      </c>
      <c r="B607" s="15"/>
      <c r="C607" s="9"/>
      <c r="D607" s="10"/>
      <c r="E607" s="14" t="str">
        <f aca="false">IF($D607="","",IFERROR(INDEX(품목목록!$B$3:$B$202,MATCH($D607,품목목록!$A$3:$A$202,0)),"미등록품번"))</f>
        <v/>
      </c>
      <c r="F607" s="14" t="str">
        <f aca="false">IF($D607="","",IFERROR(INDEX(품목목록!$D$3:$D$202,MATCH($D607,품목목록!$A$3:$A$202,0)),""))</f>
        <v/>
      </c>
      <c r="G607" s="11"/>
      <c r="H607" s="15"/>
      <c r="I607" s="16" t="str">
        <f aca="false">IF($A607="","",SUMIFS(반납내역!$D$3:$D$1502,반납내역!$B$3:$B$1502,$A607))</f>
        <v/>
      </c>
      <c r="J607" s="16" t="str">
        <f aca="false">IF($A607="","",IF($G607="","",$G607-$I607))</f>
        <v/>
      </c>
      <c r="K607" s="17" t="str">
        <f aca="true">IF(OR($A607="",$J607="",$J607&lt;=0,$H607=""),"",TODAY()-$H607)</f>
        <v/>
      </c>
      <c r="L607" s="14" t="str">
        <f aca="false">IF($A607="","",IF($G607="","",IF($J607&lt;=0,"반납완료",IF($I607&gt;0,"부분반납","미반납"))))</f>
        <v/>
      </c>
    </row>
    <row r="608" customFormat="false" ht="15" hidden="false" customHeight="false" outlineLevel="0" collapsed="false">
      <c r="A608" s="14" t="str">
        <f aca="false">IF($B608="","",TEXT($B608,"yymmdd")&amp;"-"&amp;TEXT(COUNTIFS($B$3:$B608,$B608),"00"))</f>
        <v/>
      </c>
      <c r="B608" s="15"/>
      <c r="C608" s="9"/>
      <c r="D608" s="10"/>
      <c r="E608" s="14" t="str">
        <f aca="false">IF($D608="","",IFERROR(INDEX(품목목록!$B$3:$B$202,MATCH($D608,품목목록!$A$3:$A$202,0)),"미등록품번"))</f>
        <v/>
      </c>
      <c r="F608" s="14" t="str">
        <f aca="false">IF($D608="","",IFERROR(INDEX(품목목록!$D$3:$D$202,MATCH($D608,품목목록!$A$3:$A$202,0)),""))</f>
        <v/>
      </c>
      <c r="G608" s="11"/>
      <c r="H608" s="15"/>
      <c r="I608" s="16" t="str">
        <f aca="false">IF($A608="","",SUMIFS(반납내역!$D$3:$D$1502,반납내역!$B$3:$B$1502,$A608))</f>
        <v/>
      </c>
      <c r="J608" s="16" t="str">
        <f aca="false">IF($A608="","",IF($G608="","",$G608-$I608))</f>
        <v/>
      </c>
      <c r="K608" s="17" t="str">
        <f aca="true">IF(OR($A608="",$J608="",$J608&lt;=0,$H608=""),"",TODAY()-$H608)</f>
        <v/>
      </c>
      <c r="L608" s="14" t="str">
        <f aca="false">IF($A608="","",IF($G608="","",IF($J608&lt;=0,"반납완료",IF($I608&gt;0,"부분반납","미반납"))))</f>
        <v/>
      </c>
    </row>
    <row r="609" customFormat="false" ht="15" hidden="false" customHeight="false" outlineLevel="0" collapsed="false">
      <c r="A609" s="14" t="str">
        <f aca="false">IF($B609="","",TEXT($B609,"yymmdd")&amp;"-"&amp;TEXT(COUNTIFS($B$3:$B609,$B609),"00"))</f>
        <v/>
      </c>
      <c r="B609" s="15"/>
      <c r="C609" s="9"/>
      <c r="D609" s="10"/>
      <c r="E609" s="14" t="str">
        <f aca="false">IF($D609="","",IFERROR(INDEX(품목목록!$B$3:$B$202,MATCH($D609,품목목록!$A$3:$A$202,0)),"미등록품번"))</f>
        <v/>
      </c>
      <c r="F609" s="14" t="str">
        <f aca="false">IF($D609="","",IFERROR(INDEX(품목목록!$D$3:$D$202,MATCH($D609,품목목록!$A$3:$A$202,0)),""))</f>
        <v/>
      </c>
      <c r="G609" s="11"/>
      <c r="H609" s="15"/>
      <c r="I609" s="16" t="str">
        <f aca="false">IF($A609="","",SUMIFS(반납내역!$D$3:$D$1502,반납내역!$B$3:$B$1502,$A609))</f>
        <v/>
      </c>
      <c r="J609" s="16" t="str">
        <f aca="false">IF($A609="","",IF($G609="","",$G609-$I609))</f>
        <v/>
      </c>
      <c r="K609" s="17" t="str">
        <f aca="true">IF(OR($A609="",$J609="",$J609&lt;=0,$H609=""),"",TODAY()-$H609)</f>
        <v/>
      </c>
      <c r="L609" s="14" t="str">
        <f aca="false">IF($A609="","",IF($G609="","",IF($J609&lt;=0,"반납완료",IF($I609&gt;0,"부분반납","미반납"))))</f>
        <v/>
      </c>
    </row>
    <row r="610" customFormat="false" ht="15" hidden="false" customHeight="false" outlineLevel="0" collapsed="false">
      <c r="A610" s="14" t="str">
        <f aca="false">IF($B610="","",TEXT($B610,"yymmdd")&amp;"-"&amp;TEXT(COUNTIFS($B$3:$B610,$B610),"00"))</f>
        <v/>
      </c>
      <c r="B610" s="15"/>
      <c r="C610" s="9"/>
      <c r="D610" s="10"/>
      <c r="E610" s="14" t="str">
        <f aca="false">IF($D610="","",IFERROR(INDEX(품목목록!$B$3:$B$202,MATCH($D610,품목목록!$A$3:$A$202,0)),"미등록품번"))</f>
        <v/>
      </c>
      <c r="F610" s="14" t="str">
        <f aca="false">IF($D610="","",IFERROR(INDEX(품목목록!$D$3:$D$202,MATCH($D610,품목목록!$A$3:$A$202,0)),""))</f>
        <v/>
      </c>
      <c r="G610" s="11"/>
      <c r="H610" s="15"/>
      <c r="I610" s="16" t="str">
        <f aca="false">IF($A610="","",SUMIFS(반납내역!$D$3:$D$1502,반납내역!$B$3:$B$1502,$A610))</f>
        <v/>
      </c>
      <c r="J610" s="16" t="str">
        <f aca="false">IF($A610="","",IF($G610="","",$G610-$I610))</f>
        <v/>
      </c>
      <c r="K610" s="17" t="str">
        <f aca="true">IF(OR($A610="",$J610="",$J610&lt;=0,$H610=""),"",TODAY()-$H610)</f>
        <v/>
      </c>
      <c r="L610" s="14" t="str">
        <f aca="false">IF($A610="","",IF($G610="","",IF($J610&lt;=0,"반납완료",IF($I610&gt;0,"부분반납","미반납"))))</f>
        <v/>
      </c>
    </row>
    <row r="611" customFormat="false" ht="15" hidden="false" customHeight="false" outlineLevel="0" collapsed="false">
      <c r="A611" s="14" t="str">
        <f aca="false">IF($B611="","",TEXT($B611,"yymmdd")&amp;"-"&amp;TEXT(COUNTIFS($B$3:$B611,$B611),"00"))</f>
        <v/>
      </c>
      <c r="B611" s="15"/>
      <c r="C611" s="9"/>
      <c r="D611" s="10"/>
      <c r="E611" s="14" t="str">
        <f aca="false">IF($D611="","",IFERROR(INDEX(품목목록!$B$3:$B$202,MATCH($D611,품목목록!$A$3:$A$202,0)),"미등록품번"))</f>
        <v/>
      </c>
      <c r="F611" s="14" t="str">
        <f aca="false">IF($D611="","",IFERROR(INDEX(품목목록!$D$3:$D$202,MATCH($D611,품목목록!$A$3:$A$202,0)),""))</f>
        <v/>
      </c>
      <c r="G611" s="11"/>
      <c r="H611" s="15"/>
      <c r="I611" s="16" t="str">
        <f aca="false">IF($A611="","",SUMIFS(반납내역!$D$3:$D$1502,반납내역!$B$3:$B$1502,$A611))</f>
        <v/>
      </c>
      <c r="J611" s="16" t="str">
        <f aca="false">IF($A611="","",IF($G611="","",$G611-$I611))</f>
        <v/>
      </c>
      <c r="K611" s="17" t="str">
        <f aca="true">IF(OR($A611="",$J611="",$J611&lt;=0,$H611=""),"",TODAY()-$H611)</f>
        <v/>
      </c>
      <c r="L611" s="14" t="str">
        <f aca="false">IF($A611="","",IF($G611="","",IF($J611&lt;=0,"반납완료",IF($I611&gt;0,"부분반납","미반납"))))</f>
        <v/>
      </c>
    </row>
    <row r="612" customFormat="false" ht="15" hidden="false" customHeight="false" outlineLevel="0" collapsed="false">
      <c r="A612" s="14" t="str">
        <f aca="false">IF($B612="","",TEXT($B612,"yymmdd")&amp;"-"&amp;TEXT(COUNTIFS($B$3:$B612,$B612),"00"))</f>
        <v/>
      </c>
      <c r="B612" s="15"/>
      <c r="C612" s="9"/>
      <c r="D612" s="10"/>
      <c r="E612" s="14" t="str">
        <f aca="false">IF($D612="","",IFERROR(INDEX(품목목록!$B$3:$B$202,MATCH($D612,품목목록!$A$3:$A$202,0)),"미등록품번"))</f>
        <v/>
      </c>
      <c r="F612" s="14" t="str">
        <f aca="false">IF($D612="","",IFERROR(INDEX(품목목록!$D$3:$D$202,MATCH($D612,품목목록!$A$3:$A$202,0)),""))</f>
        <v/>
      </c>
      <c r="G612" s="11"/>
      <c r="H612" s="15"/>
      <c r="I612" s="16" t="str">
        <f aca="false">IF($A612="","",SUMIFS(반납내역!$D$3:$D$1502,반납내역!$B$3:$B$1502,$A612))</f>
        <v/>
      </c>
      <c r="J612" s="16" t="str">
        <f aca="false">IF($A612="","",IF($G612="","",$G612-$I612))</f>
        <v/>
      </c>
      <c r="K612" s="17" t="str">
        <f aca="true">IF(OR($A612="",$J612="",$J612&lt;=0,$H612=""),"",TODAY()-$H612)</f>
        <v/>
      </c>
      <c r="L612" s="14" t="str">
        <f aca="false">IF($A612="","",IF($G612="","",IF($J612&lt;=0,"반납완료",IF($I612&gt;0,"부분반납","미반납"))))</f>
        <v/>
      </c>
    </row>
    <row r="613" customFormat="false" ht="15" hidden="false" customHeight="false" outlineLevel="0" collapsed="false">
      <c r="A613" s="14" t="str">
        <f aca="false">IF($B613="","",TEXT($B613,"yymmdd")&amp;"-"&amp;TEXT(COUNTIFS($B$3:$B613,$B613),"00"))</f>
        <v/>
      </c>
      <c r="B613" s="15"/>
      <c r="C613" s="9"/>
      <c r="D613" s="10"/>
      <c r="E613" s="14" t="str">
        <f aca="false">IF($D613="","",IFERROR(INDEX(품목목록!$B$3:$B$202,MATCH($D613,품목목록!$A$3:$A$202,0)),"미등록품번"))</f>
        <v/>
      </c>
      <c r="F613" s="14" t="str">
        <f aca="false">IF($D613="","",IFERROR(INDEX(품목목록!$D$3:$D$202,MATCH($D613,품목목록!$A$3:$A$202,0)),""))</f>
        <v/>
      </c>
      <c r="G613" s="11"/>
      <c r="H613" s="15"/>
      <c r="I613" s="16" t="str">
        <f aca="false">IF($A613="","",SUMIFS(반납내역!$D$3:$D$1502,반납내역!$B$3:$B$1502,$A613))</f>
        <v/>
      </c>
      <c r="J613" s="16" t="str">
        <f aca="false">IF($A613="","",IF($G613="","",$G613-$I613))</f>
        <v/>
      </c>
      <c r="K613" s="17" t="str">
        <f aca="true">IF(OR($A613="",$J613="",$J613&lt;=0,$H613=""),"",TODAY()-$H613)</f>
        <v/>
      </c>
      <c r="L613" s="14" t="str">
        <f aca="false">IF($A613="","",IF($G613="","",IF($J613&lt;=0,"반납완료",IF($I613&gt;0,"부분반납","미반납"))))</f>
        <v/>
      </c>
    </row>
    <row r="614" customFormat="false" ht="15" hidden="false" customHeight="false" outlineLevel="0" collapsed="false">
      <c r="A614" s="14" t="str">
        <f aca="false">IF($B614="","",TEXT($B614,"yymmdd")&amp;"-"&amp;TEXT(COUNTIFS($B$3:$B614,$B614),"00"))</f>
        <v/>
      </c>
      <c r="B614" s="15"/>
      <c r="C614" s="9"/>
      <c r="D614" s="10"/>
      <c r="E614" s="14" t="str">
        <f aca="false">IF($D614="","",IFERROR(INDEX(품목목록!$B$3:$B$202,MATCH($D614,품목목록!$A$3:$A$202,0)),"미등록품번"))</f>
        <v/>
      </c>
      <c r="F614" s="14" t="str">
        <f aca="false">IF($D614="","",IFERROR(INDEX(품목목록!$D$3:$D$202,MATCH($D614,품목목록!$A$3:$A$202,0)),""))</f>
        <v/>
      </c>
      <c r="G614" s="11"/>
      <c r="H614" s="15"/>
      <c r="I614" s="16" t="str">
        <f aca="false">IF($A614="","",SUMIFS(반납내역!$D$3:$D$1502,반납내역!$B$3:$B$1502,$A614))</f>
        <v/>
      </c>
      <c r="J614" s="16" t="str">
        <f aca="false">IF($A614="","",IF($G614="","",$G614-$I614))</f>
        <v/>
      </c>
      <c r="K614" s="17" t="str">
        <f aca="true">IF(OR($A614="",$J614="",$J614&lt;=0,$H614=""),"",TODAY()-$H614)</f>
        <v/>
      </c>
      <c r="L614" s="14" t="str">
        <f aca="false">IF($A614="","",IF($G614="","",IF($J614&lt;=0,"반납완료",IF($I614&gt;0,"부분반납","미반납"))))</f>
        <v/>
      </c>
    </row>
    <row r="615" customFormat="false" ht="15" hidden="false" customHeight="false" outlineLevel="0" collapsed="false">
      <c r="A615" s="14" t="str">
        <f aca="false">IF($B615="","",TEXT($B615,"yymmdd")&amp;"-"&amp;TEXT(COUNTIFS($B$3:$B615,$B615),"00"))</f>
        <v/>
      </c>
      <c r="B615" s="15"/>
      <c r="C615" s="9"/>
      <c r="D615" s="10"/>
      <c r="E615" s="14" t="str">
        <f aca="false">IF($D615="","",IFERROR(INDEX(품목목록!$B$3:$B$202,MATCH($D615,품목목록!$A$3:$A$202,0)),"미등록품번"))</f>
        <v/>
      </c>
      <c r="F615" s="14" t="str">
        <f aca="false">IF($D615="","",IFERROR(INDEX(품목목록!$D$3:$D$202,MATCH($D615,품목목록!$A$3:$A$202,0)),""))</f>
        <v/>
      </c>
      <c r="G615" s="11"/>
      <c r="H615" s="15"/>
      <c r="I615" s="16" t="str">
        <f aca="false">IF($A615="","",SUMIFS(반납내역!$D$3:$D$1502,반납내역!$B$3:$B$1502,$A615))</f>
        <v/>
      </c>
      <c r="J615" s="16" t="str">
        <f aca="false">IF($A615="","",IF($G615="","",$G615-$I615))</f>
        <v/>
      </c>
      <c r="K615" s="17" t="str">
        <f aca="true">IF(OR($A615="",$J615="",$J615&lt;=0,$H615=""),"",TODAY()-$H615)</f>
        <v/>
      </c>
      <c r="L615" s="14" t="str">
        <f aca="false">IF($A615="","",IF($G615="","",IF($J615&lt;=0,"반납완료",IF($I615&gt;0,"부분반납","미반납"))))</f>
        <v/>
      </c>
    </row>
    <row r="616" customFormat="false" ht="15" hidden="false" customHeight="false" outlineLevel="0" collapsed="false">
      <c r="A616" s="14" t="str">
        <f aca="false">IF($B616="","",TEXT($B616,"yymmdd")&amp;"-"&amp;TEXT(COUNTIFS($B$3:$B616,$B616),"00"))</f>
        <v/>
      </c>
      <c r="B616" s="15"/>
      <c r="C616" s="9"/>
      <c r="D616" s="10"/>
      <c r="E616" s="14" t="str">
        <f aca="false">IF($D616="","",IFERROR(INDEX(품목목록!$B$3:$B$202,MATCH($D616,품목목록!$A$3:$A$202,0)),"미등록품번"))</f>
        <v/>
      </c>
      <c r="F616" s="14" t="str">
        <f aca="false">IF($D616="","",IFERROR(INDEX(품목목록!$D$3:$D$202,MATCH($D616,품목목록!$A$3:$A$202,0)),""))</f>
        <v/>
      </c>
      <c r="G616" s="11"/>
      <c r="H616" s="15"/>
      <c r="I616" s="16" t="str">
        <f aca="false">IF($A616="","",SUMIFS(반납내역!$D$3:$D$1502,반납내역!$B$3:$B$1502,$A616))</f>
        <v/>
      </c>
      <c r="J616" s="16" t="str">
        <f aca="false">IF($A616="","",IF($G616="","",$G616-$I616))</f>
        <v/>
      </c>
      <c r="K616" s="17" t="str">
        <f aca="true">IF(OR($A616="",$J616="",$J616&lt;=0,$H616=""),"",TODAY()-$H616)</f>
        <v/>
      </c>
      <c r="L616" s="14" t="str">
        <f aca="false">IF($A616="","",IF($G616="","",IF($J616&lt;=0,"반납완료",IF($I616&gt;0,"부분반납","미반납"))))</f>
        <v/>
      </c>
    </row>
    <row r="617" customFormat="false" ht="15" hidden="false" customHeight="false" outlineLevel="0" collapsed="false">
      <c r="A617" s="14" t="str">
        <f aca="false">IF($B617="","",TEXT($B617,"yymmdd")&amp;"-"&amp;TEXT(COUNTIFS($B$3:$B617,$B617),"00"))</f>
        <v/>
      </c>
      <c r="B617" s="15"/>
      <c r="C617" s="9"/>
      <c r="D617" s="10"/>
      <c r="E617" s="14" t="str">
        <f aca="false">IF($D617="","",IFERROR(INDEX(품목목록!$B$3:$B$202,MATCH($D617,품목목록!$A$3:$A$202,0)),"미등록품번"))</f>
        <v/>
      </c>
      <c r="F617" s="14" t="str">
        <f aca="false">IF($D617="","",IFERROR(INDEX(품목목록!$D$3:$D$202,MATCH($D617,품목목록!$A$3:$A$202,0)),""))</f>
        <v/>
      </c>
      <c r="G617" s="11"/>
      <c r="H617" s="15"/>
      <c r="I617" s="16" t="str">
        <f aca="false">IF($A617="","",SUMIFS(반납내역!$D$3:$D$1502,반납내역!$B$3:$B$1502,$A617))</f>
        <v/>
      </c>
      <c r="J617" s="16" t="str">
        <f aca="false">IF($A617="","",IF($G617="","",$G617-$I617))</f>
        <v/>
      </c>
      <c r="K617" s="17" t="str">
        <f aca="true">IF(OR($A617="",$J617="",$J617&lt;=0,$H617=""),"",TODAY()-$H617)</f>
        <v/>
      </c>
      <c r="L617" s="14" t="str">
        <f aca="false">IF($A617="","",IF($G617="","",IF($J617&lt;=0,"반납완료",IF($I617&gt;0,"부분반납","미반납"))))</f>
        <v/>
      </c>
    </row>
    <row r="618" customFormat="false" ht="15" hidden="false" customHeight="false" outlineLevel="0" collapsed="false">
      <c r="A618" s="14" t="str">
        <f aca="false">IF($B618="","",TEXT($B618,"yymmdd")&amp;"-"&amp;TEXT(COUNTIFS($B$3:$B618,$B618),"00"))</f>
        <v/>
      </c>
      <c r="B618" s="15"/>
      <c r="C618" s="9"/>
      <c r="D618" s="10"/>
      <c r="E618" s="14" t="str">
        <f aca="false">IF($D618="","",IFERROR(INDEX(품목목록!$B$3:$B$202,MATCH($D618,품목목록!$A$3:$A$202,0)),"미등록품번"))</f>
        <v/>
      </c>
      <c r="F618" s="14" t="str">
        <f aca="false">IF($D618="","",IFERROR(INDEX(품목목록!$D$3:$D$202,MATCH($D618,품목목록!$A$3:$A$202,0)),""))</f>
        <v/>
      </c>
      <c r="G618" s="11"/>
      <c r="H618" s="15"/>
      <c r="I618" s="16" t="str">
        <f aca="false">IF($A618="","",SUMIFS(반납내역!$D$3:$D$1502,반납내역!$B$3:$B$1502,$A618))</f>
        <v/>
      </c>
      <c r="J618" s="16" t="str">
        <f aca="false">IF($A618="","",IF($G618="","",$G618-$I618))</f>
        <v/>
      </c>
      <c r="K618" s="17" t="str">
        <f aca="true">IF(OR($A618="",$J618="",$J618&lt;=0,$H618=""),"",TODAY()-$H618)</f>
        <v/>
      </c>
      <c r="L618" s="14" t="str">
        <f aca="false">IF($A618="","",IF($G618="","",IF($J618&lt;=0,"반납완료",IF($I618&gt;0,"부분반납","미반납"))))</f>
        <v/>
      </c>
    </row>
    <row r="619" customFormat="false" ht="15" hidden="false" customHeight="false" outlineLevel="0" collapsed="false">
      <c r="A619" s="14" t="str">
        <f aca="false">IF($B619="","",TEXT($B619,"yymmdd")&amp;"-"&amp;TEXT(COUNTIFS($B$3:$B619,$B619),"00"))</f>
        <v/>
      </c>
      <c r="B619" s="15"/>
      <c r="C619" s="9"/>
      <c r="D619" s="10"/>
      <c r="E619" s="14" t="str">
        <f aca="false">IF($D619="","",IFERROR(INDEX(품목목록!$B$3:$B$202,MATCH($D619,품목목록!$A$3:$A$202,0)),"미등록품번"))</f>
        <v/>
      </c>
      <c r="F619" s="14" t="str">
        <f aca="false">IF($D619="","",IFERROR(INDEX(품목목록!$D$3:$D$202,MATCH($D619,품목목록!$A$3:$A$202,0)),""))</f>
        <v/>
      </c>
      <c r="G619" s="11"/>
      <c r="H619" s="15"/>
      <c r="I619" s="16" t="str">
        <f aca="false">IF($A619="","",SUMIFS(반납내역!$D$3:$D$1502,반납내역!$B$3:$B$1502,$A619))</f>
        <v/>
      </c>
      <c r="J619" s="16" t="str">
        <f aca="false">IF($A619="","",IF($G619="","",$G619-$I619))</f>
        <v/>
      </c>
      <c r="K619" s="17" t="str">
        <f aca="true">IF(OR($A619="",$J619="",$J619&lt;=0,$H619=""),"",TODAY()-$H619)</f>
        <v/>
      </c>
      <c r="L619" s="14" t="str">
        <f aca="false">IF($A619="","",IF($G619="","",IF($J619&lt;=0,"반납완료",IF($I619&gt;0,"부분반납","미반납"))))</f>
        <v/>
      </c>
    </row>
    <row r="620" customFormat="false" ht="15" hidden="false" customHeight="false" outlineLevel="0" collapsed="false">
      <c r="A620" s="14" t="str">
        <f aca="false">IF($B620="","",TEXT($B620,"yymmdd")&amp;"-"&amp;TEXT(COUNTIFS($B$3:$B620,$B620),"00"))</f>
        <v/>
      </c>
      <c r="B620" s="15"/>
      <c r="C620" s="9"/>
      <c r="D620" s="10"/>
      <c r="E620" s="14" t="str">
        <f aca="false">IF($D620="","",IFERROR(INDEX(품목목록!$B$3:$B$202,MATCH($D620,품목목록!$A$3:$A$202,0)),"미등록품번"))</f>
        <v/>
      </c>
      <c r="F620" s="14" t="str">
        <f aca="false">IF($D620="","",IFERROR(INDEX(품목목록!$D$3:$D$202,MATCH($D620,품목목록!$A$3:$A$202,0)),""))</f>
        <v/>
      </c>
      <c r="G620" s="11"/>
      <c r="H620" s="15"/>
      <c r="I620" s="16" t="str">
        <f aca="false">IF($A620="","",SUMIFS(반납내역!$D$3:$D$1502,반납내역!$B$3:$B$1502,$A620))</f>
        <v/>
      </c>
      <c r="J620" s="16" t="str">
        <f aca="false">IF($A620="","",IF($G620="","",$G620-$I620))</f>
        <v/>
      </c>
      <c r="K620" s="17" t="str">
        <f aca="true">IF(OR($A620="",$J620="",$J620&lt;=0,$H620=""),"",TODAY()-$H620)</f>
        <v/>
      </c>
      <c r="L620" s="14" t="str">
        <f aca="false">IF($A620="","",IF($G620="","",IF($J620&lt;=0,"반납완료",IF($I620&gt;0,"부분반납","미반납"))))</f>
        <v/>
      </c>
    </row>
    <row r="621" customFormat="false" ht="15" hidden="false" customHeight="false" outlineLevel="0" collapsed="false">
      <c r="A621" s="14" t="str">
        <f aca="false">IF($B621="","",TEXT($B621,"yymmdd")&amp;"-"&amp;TEXT(COUNTIFS($B$3:$B621,$B621),"00"))</f>
        <v/>
      </c>
      <c r="B621" s="15"/>
      <c r="C621" s="9"/>
      <c r="D621" s="10"/>
      <c r="E621" s="14" t="str">
        <f aca="false">IF($D621="","",IFERROR(INDEX(품목목록!$B$3:$B$202,MATCH($D621,품목목록!$A$3:$A$202,0)),"미등록품번"))</f>
        <v/>
      </c>
      <c r="F621" s="14" t="str">
        <f aca="false">IF($D621="","",IFERROR(INDEX(품목목록!$D$3:$D$202,MATCH($D621,품목목록!$A$3:$A$202,0)),""))</f>
        <v/>
      </c>
      <c r="G621" s="11"/>
      <c r="H621" s="15"/>
      <c r="I621" s="16" t="str">
        <f aca="false">IF($A621="","",SUMIFS(반납내역!$D$3:$D$1502,반납내역!$B$3:$B$1502,$A621))</f>
        <v/>
      </c>
      <c r="J621" s="16" t="str">
        <f aca="false">IF($A621="","",IF($G621="","",$G621-$I621))</f>
        <v/>
      </c>
      <c r="K621" s="17" t="str">
        <f aca="true">IF(OR($A621="",$J621="",$J621&lt;=0,$H621=""),"",TODAY()-$H621)</f>
        <v/>
      </c>
      <c r="L621" s="14" t="str">
        <f aca="false">IF($A621="","",IF($G621="","",IF($J621&lt;=0,"반납완료",IF($I621&gt;0,"부분반납","미반납"))))</f>
        <v/>
      </c>
    </row>
    <row r="622" customFormat="false" ht="15" hidden="false" customHeight="false" outlineLevel="0" collapsed="false">
      <c r="A622" s="14" t="str">
        <f aca="false">IF($B622="","",TEXT($B622,"yymmdd")&amp;"-"&amp;TEXT(COUNTIFS($B$3:$B622,$B622),"00"))</f>
        <v/>
      </c>
      <c r="B622" s="15"/>
      <c r="C622" s="9"/>
      <c r="D622" s="10"/>
      <c r="E622" s="14" t="str">
        <f aca="false">IF($D622="","",IFERROR(INDEX(품목목록!$B$3:$B$202,MATCH($D622,품목목록!$A$3:$A$202,0)),"미등록품번"))</f>
        <v/>
      </c>
      <c r="F622" s="14" t="str">
        <f aca="false">IF($D622="","",IFERROR(INDEX(품목목록!$D$3:$D$202,MATCH($D622,품목목록!$A$3:$A$202,0)),""))</f>
        <v/>
      </c>
      <c r="G622" s="11"/>
      <c r="H622" s="15"/>
      <c r="I622" s="16" t="str">
        <f aca="false">IF($A622="","",SUMIFS(반납내역!$D$3:$D$1502,반납내역!$B$3:$B$1502,$A622))</f>
        <v/>
      </c>
      <c r="J622" s="16" t="str">
        <f aca="false">IF($A622="","",IF($G622="","",$G622-$I622))</f>
        <v/>
      </c>
      <c r="K622" s="17" t="str">
        <f aca="true">IF(OR($A622="",$J622="",$J622&lt;=0,$H622=""),"",TODAY()-$H622)</f>
        <v/>
      </c>
      <c r="L622" s="14" t="str">
        <f aca="false">IF($A622="","",IF($G622="","",IF($J622&lt;=0,"반납완료",IF($I622&gt;0,"부분반납","미반납"))))</f>
        <v/>
      </c>
    </row>
    <row r="623" customFormat="false" ht="15" hidden="false" customHeight="false" outlineLevel="0" collapsed="false">
      <c r="A623" s="14" t="str">
        <f aca="false">IF($B623="","",TEXT($B623,"yymmdd")&amp;"-"&amp;TEXT(COUNTIFS($B$3:$B623,$B623),"00"))</f>
        <v/>
      </c>
      <c r="B623" s="15"/>
      <c r="C623" s="9"/>
      <c r="D623" s="10"/>
      <c r="E623" s="14" t="str">
        <f aca="false">IF($D623="","",IFERROR(INDEX(품목목록!$B$3:$B$202,MATCH($D623,품목목록!$A$3:$A$202,0)),"미등록품번"))</f>
        <v/>
      </c>
      <c r="F623" s="14" t="str">
        <f aca="false">IF($D623="","",IFERROR(INDEX(품목목록!$D$3:$D$202,MATCH($D623,품목목록!$A$3:$A$202,0)),""))</f>
        <v/>
      </c>
      <c r="G623" s="11"/>
      <c r="H623" s="15"/>
      <c r="I623" s="16" t="str">
        <f aca="false">IF($A623="","",SUMIFS(반납내역!$D$3:$D$1502,반납내역!$B$3:$B$1502,$A623))</f>
        <v/>
      </c>
      <c r="J623" s="16" t="str">
        <f aca="false">IF($A623="","",IF($G623="","",$G623-$I623))</f>
        <v/>
      </c>
      <c r="K623" s="17" t="str">
        <f aca="true">IF(OR($A623="",$J623="",$J623&lt;=0,$H623=""),"",TODAY()-$H623)</f>
        <v/>
      </c>
      <c r="L623" s="14" t="str">
        <f aca="false">IF($A623="","",IF($G623="","",IF($J623&lt;=0,"반납완료",IF($I623&gt;0,"부분반납","미반납"))))</f>
        <v/>
      </c>
    </row>
    <row r="624" customFormat="false" ht="15" hidden="false" customHeight="false" outlineLevel="0" collapsed="false">
      <c r="A624" s="14" t="str">
        <f aca="false">IF($B624="","",TEXT($B624,"yymmdd")&amp;"-"&amp;TEXT(COUNTIFS($B$3:$B624,$B624),"00"))</f>
        <v/>
      </c>
      <c r="B624" s="15"/>
      <c r="C624" s="9"/>
      <c r="D624" s="10"/>
      <c r="E624" s="14" t="str">
        <f aca="false">IF($D624="","",IFERROR(INDEX(품목목록!$B$3:$B$202,MATCH($D624,품목목록!$A$3:$A$202,0)),"미등록품번"))</f>
        <v/>
      </c>
      <c r="F624" s="14" t="str">
        <f aca="false">IF($D624="","",IFERROR(INDEX(품목목록!$D$3:$D$202,MATCH($D624,품목목록!$A$3:$A$202,0)),""))</f>
        <v/>
      </c>
      <c r="G624" s="11"/>
      <c r="H624" s="15"/>
      <c r="I624" s="16" t="str">
        <f aca="false">IF($A624="","",SUMIFS(반납내역!$D$3:$D$1502,반납내역!$B$3:$B$1502,$A624))</f>
        <v/>
      </c>
      <c r="J624" s="16" t="str">
        <f aca="false">IF($A624="","",IF($G624="","",$G624-$I624))</f>
        <v/>
      </c>
      <c r="K624" s="17" t="str">
        <f aca="true">IF(OR($A624="",$J624="",$J624&lt;=0,$H624=""),"",TODAY()-$H624)</f>
        <v/>
      </c>
      <c r="L624" s="14" t="str">
        <f aca="false">IF($A624="","",IF($G624="","",IF($J624&lt;=0,"반납완료",IF($I624&gt;0,"부분반납","미반납"))))</f>
        <v/>
      </c>
    </row>
    <row r="625" customFormat="false" ht="15" hidden="false" customHeight="false" outlineLevel="0" collapsed="false">
      <c r="A625" s="14" t="str">
        <f aca="false">IF($B625="","",TEXT($B625,"yymmdd")&amp;"-"&amp;TEXT(COUNTIFS($B$3:$B625,$B625),"00"))</f>
        <v/>
      </c>
      <c r="B625" s="15"/>
      <c r="C625" s="9"/>
      <c r="D625" s="10"/>
      <c r="E625" s="14" t="str">
        <f aca="false">IF($D625="","",IFERROR(INDEX(품목목록!$B$3:$B$202,MATCH($D625,품목목록!$A$3:$A$202,0)),"미등록품번"))</f>
        <v/>
      </c>
      <c r="F625" s="14" t="str">
        <f aca="false">IF($D625="","",IFERROR(INDEX(품목목록!$D$3:$D$202,MATCH($D625,품목목록!$A$3:$A$202,0)),""))</f>
        <v/>
      </c>
      <c r="G625" s="11"/>
      <c r="H625" s="15"/>
      <c r="I625" s="16" t="str">
        <f aca="false">IF($A625="","",SUMIFS(반납내역!$D$3:$D$1502,반납내역!$B$3:$B$1502,$A625))</f>
        <v/>
      </c>
      <c r="J625" s="16" t="str">
        <f aca="false">IF($A625="","",IF($G625="","",$G625-$I625))</f>
        <v/>
      </c>
      <c r="K625" s="17" t="str">
        <f aca="true">IF(OR($A625="",$J625="",$J625&lt;=0,$H625=""),"",TODAY()-$H625)</f>
        <v/>
      </c>
      <c r="L625" s="14" t="str">
        <f aca="false">IF($A625="","",IF($G625="","",IF($J625&lt;=0,"반납완료",IF($I625&gt;0,"부분반납","미반납"))))</f>
        <v/>
      </c>
    </row>
    <row r="626" customFormat="false" ht="15" hidden="false" customHeight="false" outlineLevel="0" collapsed="false">
      <c r="A626" s="14" t="str">
        <f aca="false">IF($B626="","",TEXT($B626,"yymmdd")&amp;"-"&amp;TEXT(COUNTIFS($B$3:$B626,$B626),"00"))</f>
        <v/>
      </c>
      <c r="B626" s="15"/>
      <c r="C626" s="9"/>
      <c r="D626" s="10"/>
      <c r="E626" s="14" t="str">
        <f aca="false">IF($D626="","",IFERROR(INDEX(품목목록!$B$3:$B$202,MATCH($D626,품목목록!$A$3:$A$202,0)),"미등록품번"))</f>
        <v/>
      </c>
      <c r="F626" s="14" t="str">
        <f aca="false">IF($D626="","",IFERROR(INDEX(품목목록!$D$3:$D$202,MATCH($D626,품목목록!$A$3:$A$202,0)),""))</f>
        <v/>
      </c>
      <c r="G626" s="11"/>
      <c r="H626" s="15"/>
      <c r="I626" s="16" t="str">
        <f aca="false">IF($A626="","",SUMIFS(반납내역!$D$3:$D$1502,반납내역!$B$3:$B$1502,$A626))</f>
        <v/>
      </c>
      <c r="J626" s="16" t="str">
        <f aca="false">IF($A626="","",IF($G626="","",$G626-$I626))</f>
        <v/>
      </c>
      <c r="K626" s="17" t="str">
        <f aca="true">IF(OR($A626="",$J626="",$J626&lt;=0,$H626=""),"",TODAY()-$H626)</f>
        <v/>
      </c>
      <c r="L626" s="14" t="str">
        <f aca="false">IF($A626="","",IF($G626="","",IF($J626&lt;=0,"반납완료",IF($I626&gt;0,"부분반납","미반납"))))</f>
        <v/>
      </c>
    </row>
    <row r="627" customFormat="false" ht="15" hidden="false" customHeight="false" outlineLevel="0" collapsed="false">
      <c r="A627" s="14" t="str">
        <f aca="false">IF($B627="","",TEXT($B627,"yymmdd")&amp;"-"&amp;TEXT(COUNTIFS($B$3:$B627,$B627),"00"))</f>
        <v/>
      </c>
      <c r="B627" s="15"/>
      <c r="C627" s="9"/>
      <c r="D627" s="10"/>
      <c r="E627" s="14" t="str">
        <f aca="false">IF($D627="","",IFERROR(INDEX(품목목록!$B$3:$B$202,MATCH($D627,품목목록!$A$3:$A$202,0)),"미등록품번"))</f>
        <v/>
      </c>
      <c r="F627" s="14" t="str">
        <f aca="false">IF($D627="","",IFERROR(INDEX(품목목록!$D$3:$D$202,MATCH($D627,품목목록!$A$3:$A$202,0)),""))</f>
        <v/>
      </c>
      <c r="G627" s="11"/>
      <c r="H627" s="15"/>
      <c r="I627" s="16" t="str">
        <f aca="false">IF($A627="","",SUMIFS(반납내역!$D$3:$D$1502,반납내역!$B$3:$B$1502,$A627))</f>
        <v/>
      </c>
      <c r="J627" s="16" t="str">
        <f aca="false">IF($A627="","",IF($G627="","",$G627-$I627))</f>
        <v/>
      </c>
      <c r="K627" s="17" t="str">
        <f aca="true">IF(OR($A627="",$J627="",$J627&lt;=0,$H627=""),"",TODAY()-$H627)</f>
        <v/>
      </c>
      <c r="L627" s="14" t="str">
        <f aca="false">IF($A627="","",IF($G627="","",IF($J627&lt;=0,"반납완료",IF($I627&gt;0,"부분반납","미반납"))))</f>
        <v/>
      </c>
    </row>
    <row r="628" customFormat="false" ht="15" hidden="false" customHeight="false" outlineLevel="0" collapsed="false">
      <c r="A628" s="14" t="str">
        <f aca="false">IF($B628="","",TEXT($B628,"yymmdd")&amp;"-"&amp;TEXT(COUNTIFS($B$3:$B628,$B628),"00"))</f>
        <v/>
      </c>
      <c r="B628" s="15"/>
      <c r="C628" s="9"/>
      <c r="D628" s="10"/>
      <c r="E628" s="14" t="str">
        <f aca="false">IF($D628="","",IFERROR(INDEX(품목목록!$B$3:$B$202,MATCH($D628,품목목록!$A$3:$A$202,0)),"미등록품번"))</f>
        <v/>
      </c>
      <c r="F628" s="14" t="str">
        <f aca="false">IF($D628="","",IFERROR(INDEX(품목목록!$D$3:$D$202,MATCH($D628,품목목록!$A$3:$A$202,0)),""))</f>
        <v/>
      </c>
      <c r="G628" s="11"/>
      <c r="H628" s="15"/>
      <c r="I628" s="16" t="str">
        <f aca="false">IF($A628="","",SUMIFS(반납내역!$D$3:$D$1502,반납내역!$B$3:$B$1502,$A628))</f>
        <v/>
      </c>
      <c r="J628" s="16" t="str">
        <f aca="false">IF($A628="","",IF($G628="","",$G628-$I628))</f>
        <v/>
      </c>
      <c r="K628" s="17" t="str">
        <f aca="true">IF(OR($A628="",$J628="",$J628&lt;=0,$H628=""),"",TODAY()-$H628)</f>
        <v/>
      </c>
      <c r="L628" s="14" t="str">
        <f aca="false">IF($A628="","",IF($G628="","",IF($J628&lt;=0,"반납완료",IF($I628&gt;0,"부분반납","미반납"))))</f>
        <v/>
      </c>
    </row>
    <row r="629" customFormat="false" ht="15" hidden="false" customHeight="false" outlineLevel="0" collapsed="false">
      <c r="A629" s="14" t="str">
        <f aca="false">IF($B629="","",TEXT($B629,"yymmdd")&amp;"-"&amp;TEXT(COUNTIFS($B$3:$B629,$B629),"00"))</f>
        <v/>
      </c>
      <c r="B629" s="15"/>
      <c r="C629" s="9"/>
      <c r="D629" s="10"/>
      <c r="E629" s="14" t="str">
        <f aca="false">IF($D629="","",IFERROR(INDEX(품목목록!$B$3:$B$202,MATCH($D629,품목목록!$A$3:$A$202,0)),"미등록품번"))</f>
        <v/>
      </c>
      <c r="F629" s="14" t="str">
        <f aca="false">IF($D629="","",IFERROR(INDEX(품목목록!$D$3:$D$202,MATCH($D629,품목목록!$A$3:$A$202,0)),""))</f>
        <v/>
      </c>
      <c r="G629" s="11"/>
      <c r="H629" s="15"/>
      <c r="I629" s="16" t="str">
        <f aca="false">IF($A629="","",SUMIFS(반납내역!$D$3:$D$1502,반납내역!$B$3:$B$1502,$A629))</f>
        <v/>
      </c>
      <c r="J629" s="16" t="str">
        <f aca="false">IF($A629="","",IF($G629="","",$G629-$I629))</f>
        <v/>
      </c>
      <c r="K629" s="17" t="str">
        <f aca="true">IF(OR($A629="",$J629="",$J629&lt;=0,$H629=""),"",TODAY()-$H629)</f>
        <v/>
      </c>
      <c r="L629" s="14" t="str">
        <f aca="false">IF($A629="","",IF($G629="","",IF($J629&lt;=0,"반납완료",IF($I629&gt;0,"부분반납","미반납"))))</f>
        <v/>
      </c>
    </row>
    <row r="630" customFormat="false" ht="15" hidden="false" customHeight="false" outlineLevel="0" collapsed="false">
      <c r="A630" s="14" t="str">
        <f aca="false">IF($B630="","",TEXT($B630,"yymmdd")&amp;"-"&amp;TEXT(COUNTIFS($B$3:$B630,$B630),"00"))</f>
        <v/>
      </c>
      <c r="B630" s="15"/>
      <c r="C630" s="9"/>
      <c r="D630" s="10"/>
      <c r="E630" s="14" t="str">
        <f aca="false">IF($D630="","",IFERROR(INDEX(품목목록!$B$3:$B$202,MATCH($D630,품목목록!$A$3:$A$202,0)),"미등록품번"))</f>
        <v/>
      </c>
      <c r="F630" s="14" t="str">
        <f aca="false">IF($D630="","",IFERROR(INDEX(품목목록!$D$3:$D$202,MATCH($D630,품목목록!$A$3:$A$202,0)),""))</f>
        <v/>
      </c>
      <c r="G630" s="11"/>
      <c r="H630" s="15"/>
      <c r="I630" s="16" t="str">
        <f aca="false">IF($A630="","",SUMIFS(반납내역!$D$3:$D$1502,반납내역!$B$3:$B$1502,$A630))</f>
        <v/>
      </c>
      <c r="J630" s="16" t="str">
        <f aca="false">IF($A630="","",IF($G630="","",$G630-$I630))</f>
        <v/>
      </c>
      <c r="K630" s="17" t="str">
        <f aca="true">IF(OR($A630="",$J630="",$J630&lt;=0,$H630=""),"",TODAY()-$H630)</f>
        <v/>
      </c>
      <c r="L630" s="14" t="str">
        <f aca="false">IF($A630="","",IF($G630="","",IF($J630&lt;=0,"반납완료",IF($I630&gt;0,"부분반납","미반납"))))</f>
        <v/>
      </c>
    </row>
    <row r="631" customFormat="false" ht="15" hidden="false" customHeight="false" outlineLevel="0" collapsed="false">
      <c r="A631" s="14" t="str">
        <f aca="false">IF($B631="","",TEXT($B631,"yymmdd")&amp;"-"&amp;TEXT(COUNTIFS($B$3:$B631,$B631),"00"))</f>
        <v/>
      </c>
      <c r="B631" s="15"/>
      <c r="C631" s="9"/>
      <c r="D631" s="10"/>
      <c r="E631" s="14" t="str">
        <f aca="false">IF($D631="","",IFERROR(INDEX(품목목록!$B$3:$B$202,MATCH($D631,품목목록!$A$3:$A$202,0)),"미등록품번"))</f>
        <v/>
      </c>
      <c r="F631" s="14" t="str">
        <f aca="false">IF($D631="","",IFERROR(INDEX(품목목록!$D$3:$D$202,MATCH($D631,품목목록!$A$3:$A$202,0)),""))</f>
        <v/>
      </c>
      <c r="G631" s="11"/>
      <c r="H631" s="15"/>
      <c r="I631" s="16" t="str">
        <f aca="false">IF($A631="","",SUMIFS(반납내역!$D$3:$D$1502,반납내역!$B$3:$B$1502,$A631))</f>
        <v/>
      </c>
      <c r="J631" s="16" t="str">
        <f aca="false">IF($A631="","",IF($G631="","",$G631-$I631))</f>
        <v/>
      </c>
      <c r="K631" s="17" t="str">
        <f aca="true">IF(OR($A631="",$J631="",$J631&lt;=0,$H631=""),"",TODAY()-$H631)</f>
        <v/>
      </c>
      <c r="L631" s="14" t="str">
        <f aca="false">IF($A631="","",IF($G631="","",IF($J631&lt;=0,"반납완료",IF($I631&gt;0,"부분반납","미반납"))))</f>
        <v/>
      </c>
    </row>
    <row r="632" customFormat="false" ht="15" hidden="false" customHeight="false" outlineLevel="0" collapsed="false">
      <c r="A632" s="14" t="str">
        <f aca="false">IF($B632="","",TEXT($B632,"yymmdd")&amp;"-"&amp;TEXT(COUNTIFS($B$3:$B632,$B632),"00"))</f>
        <v/>
      </c>
      <c r="B632" s="15"/>
      <c r="C632" s="9"/>
      <c r="D632" s="10"/>
      <c r="E632" s="14" t="str">
        <f aca="false">IF($D632="","",IFERROR(INDEX(품목목록!$B$3:$B$202,MATCH($D632,품목목록!$A$3:$A$202,0)),"미등록품번"))</f>
        <v/>
      </c>
      <c r="F632" s="14" t="str">
        <f aca="false">IF($D632="","",IFERROR(INDEX(품목목록!$D$3:$D$202,MATCH($D632,품목목록!$A$3:$A$202,0)),""))</f>
        <v/>
      </c>
      <c r="G632" s="11"/>
      <c r="H632" s="15"/>
      <c r="I632" s="16" t="str">
        <f aca="false">IF($A632="","",SUMIFS(반납내역!$D$3:$D$1502,반납내역!$B$3:$B$1502,$A632))</f>
        <v/>
      </c>
      <c r="J632" s="16" t="str">
        <f aca="false">IF($A632="","",IF($G632="","",$G632-$I632))</f>
        <v/>
      </c>
      <c r="K632" s="17" t="str">
        <f aca="true">IF(OR($A632="",$J632="",$J632&lt;=0,$H632=""),"",TODAY()-$H632)</f>
        <v/>
      </c>
      <c r="L632" s="14" t="str">
        <f aca="false">IF($A632="","",IF($G632="","",IF($J632&lt;=0,"반납완료",IF($I632&gt;0,"부분반납","미반납"))))</f>
        <v/>
      </c>
    </row>
    <row r="633" customFormat="false" ht="15" hidden="false" customHeight="false" outlineLevel="0" collapsed="false">
      <c r="A633" s="14" t="str">
        <f aca="false">IF($B633="","",TEXT($B633,"yymmdd")&amp;"-"&amp;TEXT(COUNTIFS($B$3:$B633,$B633),"00"))</f>
        <v/>
      </c>
      <c r="B633" s="15"/>
      <c r="C633" s="9"/>
      <c r="D633" s="10"/>
      <c r="E633" s="14" t="str">
        <f aca="false">IF($D633="","",IFERROR(INDEX(품목목록!$B$3:$B$202,MATCH($D633,품목목록!$A$3:$A$202,0)),"미등록품번"))</f>
        <v/>
      </c>
      <c r="F633" s="14" t="str">
        <f aca="false">IF($D633="","",IFERROR(INDEX(품목목록!$D$3:$D$202,MATCH($D633,품목목록!$A$3:$A$202,0)),""))</f>
        <v/>
      </c>
      <c r="G633" s="11"/>
      <c r="H633" s="15"/>
      <c r="I633" s="16" t="str">
        <f aca="false">IF($A633="","",SUMIFS(반납내역!$D$3:$D$1502,반납내역!$B$3:$B$1502,$A633))</f>
        <v/>
      </c>
      <c r="J633" s="16" t="str">
        <f aca="false">IF($A633="","",IF($G633="","",$G633-$I633))</f>
        <v/>
      </c>
      <c r="K633" s="17" t="str">
        <f aca="true">IF(OR($A633="",$J633="",$J633&lt;=0,$H633=""),"",TODAY()-$H633)</f>
        <v/>
      </c>
      <c r="L633" s="14" t="str">
        <f aca="false">IF($A633="","",IF($G633="","",IF($J633&lt;=0,"반납완료",IF($I633&gt;0,"부분반납","미반납"))))</f>
        <v/>
      </c>
    </row>
    <row r="634" customFormat="false" ht="15" hidden="false" customHeight="false" outlineLevel="0" collapsed="false">
      <c r="A634" s="14" t="str">
        <f aca="false">IF($B634="","",TEXT($B634,"yymmdd")&amp;"-"&amp;TEXT(COUNTIFS($B$3:$B634,$B634),"00"))</f>
        <v/>
      </c>
      <c r="B634" s="15"/>
      <c r="C634" s="9"/>
      <c r="D634" s="10"/>
      <c r="E634" s="14" t="str">
        <f aca="false">IF($D634="","",IFERROR(INDEX(품목목록!$B$3:$B$202,MATCH($D634,품목목록!$A$3:$A$202,0)),"미등록품번"))</f>
        <v/>
      </c>
      <c r="F634" s="14" t="str">
        <f aca="false">IF($D634="","",IFERROR(INDEX(품목목록!$D$3:$D$202,MATCH($D634,품목목록!$A$3:$A$202,0)),""))</f>
        <v/>
      </c>
      <c r="G634" s="11"/>
      <c r="H634" s="15"/>
      <c r="I634" s="16" t="str">
        <f aca="false">IF($A634="","",SUMIFS(반납내역!$D$3:$D$1502,반납내역!$B$3:$B$1502,$A634))</f>
        <v/>
      </c>
      <c r="J634" s="16" t="str">
        <f aca="false">IF($A634="","",IF($G634="","",$G634-$I634))</f>
        <v/>
      </c>
      <c r="K634" s="17" t="str">
        <f aca="true">IF(OR($A634="",$J634="",$J634&lt;=0,$H634=""),"",TODAY()-$H634)</f>
        <v/>
      </c>
      <c r="L634" s="14" t="str">
        <f aca="false">IF($A634="","",IF($G634="","",IF($J634&lt;=0,"반납완료",IF($I634&gt;0,"부분반납","미반납"))))</f>
        <v/>
      </c>
    </row>
    <row r="635" customFormat="false" ht="15" hidden="false" customHeight="false" outlineLevel="0" collapsed="false">
      <c r="A635" s="14" t="str">
        <f aca="false">IF($B635="","",TEXT($B635,"yymmdd")&amp;"-"&amp;TEXT(COUNTIFS($B$3:$B635,$B635),"00"))</f>
        <v/>
      </c>
      <c r="B635" s="15"/>
      <c r="C635" s="9"/>
      <c r="D635" s="10"/>
      <c r="E635" s="14" t="str">
        <f aca="false">IF($D635="","",IFERROR(INDEX(품목목록!$B$3:$B$202,MATCH($D635,품목목록!$A$3:$A$202,0)),"미등록품번"))</f>
        <v/>
      </c>
      <c r="F635" s="14" t="str">
        <f aca="false">IF($D635="","",IFERROR(INDEX(품목목록!$D$3:$D$202,MATCH($D635,품목목록!$A$3:$A$202,0)),""))</f>
        <v/>
      </c>
      <c r="G635" s="11"/>
      <c r="H635" s="15"/>
      <c r="I635" s="16" t="str">
        <f aca="false">IF($A635="","",SUMIFS(반납내역!$D$3:$D$1502,반납내역!$B$3:$B$1502,$A635))</f>
        <v/>
      </c>
      <c r="J635" s="16" t="str">
        <f aca="false">IF($A635="","",IF($G635="","",$G635-$I635))</f>
        <v/>
      </c>
      <c r="K635" s="17" t="str">
        <f aca="true">IF(OR($A635="",$J635="",$J635&lt;=0,$H635=""),"",TODAY()-$H635)</f>
        <v/>
      </c>
      <c r="L635" s="14" t="str">
        <f aca="false">IF($A635="","",IF($G635="","",IF($J635&lt;=0,"반납완료",IF($I635&gt;0,"부분반납","미반납"))))</f>
        <v/>
      </c>
    </row>
    <row r="636" customFormat="false" ht="15" hidden="false" customHeight="false" outlineLevel="0" collapsed="false">
      <c r="A636" s="14" t="str">
        <f aca="false">IF($B636="","",TEXT($B636,"yymmdd")&amp;"-"&amp;TEXT(COUNTIFS($B$3:$B636,$B636),"00"))</f>
        <v/>
      </c>
      <c r="B636" s="15"/>
      <c r="C636" s="9"/>
      <c r="D636" s="10"/>
      <c r="E636" s="14" t="str">
        <f aca="false">IF($D636="","",IFERROR(INDEX(품목목록!$B$3:$B$202,MATCH($D636,품목목록!$A$3:$A$202,0)),"미등록품번"))</f>
        <v/>
      </c>
      <c r="F636" s="14" t="str">
        <f aca="false">IF($D636="","",IFERROR(INDEX(품목목록!$D$3:$D$202,MATCH($D636,품목목록!$A$3:$A$202,0)),""))</f>
        <v/>
      </c>
      <c r="G636" s="11"/>
      <c r="H636" s="15"/>
      <c r="I636" s="16" t="str">
        <f aca="false">IF($A636="","",SUMIFS(반납내역!$D$3:$D$1502,반납내역!$B$3:$B$1502,$A636))</f>
        <v/>
      </c>
      <c r="J636" s="16" t="str">
        <f aca="false">IF($A636="","",IF($G636="","",$G636-$I636))</f>
        <v/>
      </c>
      <c r="K636" s="17" t="str">
        <f aca="true">IF(OR($A636="",$J636="",$J636&lt;=0,$H636=""),"",TODAY()-$H636)</f>
        <v/>
      </c>
      <c r="L636" s="14" t="str">
        <f aca="false">IF($A636="","",IF($G636="","",IF($J636&lt;=0,"반납완료",IF($I636&gt;0,"부분반납","미반납"))))</f>
        <v/>
      </c>
    </row>
    <row r="637" customFormat="false" ht="15" hidden="false" customHeight="false" outlineLevel="0" collapsed="false">
      <c r="A637" s="14" t="str">
        <f aca="false">IF($B637="","",TEXT($B637,"yymmdd")&amp;"-"&amp;TEXT(COUNTIFS($B$3:$B637,$B637),"00"))</f>
        <v/>
      </c>
      <c r="B637" s="15"/>
      <c r="C637" s="9"/>
      <c r="D637" s="10"/>
      <c r="E637" s="14" t="str">
        <f aca="false">IF($D637="","",IFERROR(INDEX(품목목록!$B$3:$B$202,MATCH($D637,품목목록!$A$3:$A$202,0)),"미등록품번"))</f>
        <v/>
      </c>
      <c r="F637" s="14" t="str">
        <f aca="false">IF($D637="","",IFERROR(INDEX(품목목록!$D$3:$D$202,MATCH($D637,품목목록!$A$3:$A$202,0)),""))</f>
        <v/>
      </c>
      <c r="G637" s="11"/>
      <c r="H637" s="15"/>
      <c r="I637" s="16" t="str">
        <f aca="false">IF($A637="","",SUMIFS(반납내역!$D$3:$D$1502,반납내역!$B$3:$B$1502,$A637))</f>
        <v/>
      </c>
      <c r="J637" s="16" t="str">
        <f aca="false">IF($A637="","",IF($G637="","",$G637-$I637))</f>
        <v/>
      </c>
      <c r="K637" s="17" t="str">
        <f aca="true">IF(OR($A637="",$J637="",$J637&lt;=0,$H637=""),"",TODAY()-$H637)</f>
        <v/>
      </c>
      <c r="L637" s="14" t="str">
        <f aca="false">IF($A637="","",IF($G637="","",IF($J637&lt;=0,"반납완료",IF($I637&gt;0,"부분반납","미반납"))))</f>
        <v/>
      </c>
    </row>
    <row r="638" customFormat="false" ht="15" hidden="false" customHeight="false" outlineLevel="0" collapsed="false">
      <c r="A638" s="14" t="str">
        <f aca="false">IF($B638="","",TEXT($B638,"yymmdd")&amp;"-"&amp;TEXT(COUNTIFS($B$3:$B638,$B638),"00"))</f>
        <v/>
      </c>
      <c r="B638" s="15"/>
      <c r="C638" s="9"/>
      <c r="D638" s="10"/>
      <c r="E638" s="14" t="str">
        <f aca="false">IF($D638="","",IFERROR(INDEX(품목목록!$B$3:$B$202,MATCH($D638,품목목록!$A$3:$A$202,0)),"미등록품번"))</f>
        <v/>
      </c>
      <c r="F638" s="14" t="str">
        <f aca="false">IF($D638="","",IFERROR(INDEX(품목목록!$D$3:$D$202,MATCH($D638,품목목록!$A$3:$A$202,0)),""))</f>
        <v/>
      </c>
      <c r="G638" s="11"/>
      <c r="H638" s="15"/>
      <c r="I638" s="16" t="str">
        <f aca="false">IF($A638="","",SUMIFS(반납내역!$D$3:$D$1502,반납내역!$B$3:$B$1502,$A638))</f>
        <v/>
      </c>
      <c r="J638" s="16" t="str">
        <f aca="false">IF($A638="","",IF($G638="","",$G638-$I638))</f>
        <v/>
      </c>
      <c r="K638" s="17" t="str">
        <f aca="true">IF(OR($A638="",$J638="",$J638&lt;=0,$H638=""),"",TODAY()-$H638)</f>
        <v/>
      </c>
      <c r="L638" s="14" t="str">
        <f aca="false">IF($A638="","",IF($G638="","",IF($J638&lt;=0,"반납완료",IF($I638&gt;0,"부분반납","미반납"))))</f>
        <v/>
      </c>
    </row>
    <row r="639" customFormat="false" ht="15" hidden="false" customHeight="false" outlineLevel="0" collapsed="false">
      <c r="A639" s="14" t="str">
        <f aca="false">IF($B639="","",TEXT($B639,"yymmdd")&amp;"-"&amp;TEXT(COUNTIFS($B$3:$B639,$B639),"00"))</f>
        <v/>
      </c>
      <c r="B639" s="15"/>
      <c r="C639" s="9"/>
      <c r="D639" s="10"/>
      <c r="E639" s="14" t="str">
        <f aca="false">IF($D639="","",IFERROR(INDEX(품목목록!$B$3:$B$202,MATCH($D639,품목목록!$A$3:$A$202,0)),"미등록품번"))</f>
        <v/>
      </c>
      <c r="F639" s="14" t="str">
        <f aca="false">IF($D639="","",IFERROR(INDEX(품목목록!$D$3:$D$202,MATCH($D639,품목목록!$A$3:$A$202,0)),""))</f>
        <v/>
      </c>
      <c r="G639" s="11"/>
      <c r="H639" s="15"/>
      <c r="I639" s="16" t="str">
        <f aca="false">IF($A639="","",SUMIFS(반납내역!$D$3:$D$1502,반납내역!$B$3:$B$1502,$A639))</f>
        <v/>
      </c>
      <c r="J639" s="16" t="str">
        <f aca="false">IF($A639="","",IF($G639="","",$G639-$I639))</f>
        <v/>
      </c>
      <c r="K639" s="17" t="str">
        <f aca="true">IF(OR($A639="",$J639="",$J639&lt;=0,$H639=""),"",TODAY()-$H639)</f>
        <v/>
      </c>
      <c r="L639" s="14" t="str">
        <f aca="false">IF($A639="","",IF($G639="","",IF($J639&lt;=0,"반납완료",IF($I639&gt;0,"부분반납","미반납"))))</f>
        <v/>
      </c>
    </row>
    <row r="640" customFormat="false" ht="15" hidden="false" customHeight="false" outlineLevel="0" collapsed="false">
      <c r="A640" s="14" t="str">
        <f aca="false">IF($B640="","",TEXT($B640,"yymmdd")&amp;"-"&amp;TEXT(COUNTIFS($B$3:$B640,$B640),"00"))</f>
        <v/>
      </c>
      <c r="B640" s="15"/>
      <c r="C640" s="9"/>
      <c r="D640" s="10"/>
      <c r="E640" s="14" t="str">
        <f aca="false">IF($D640="","",IFERROR(INDEX(품목목록!$B$3:$B$202,MATCH($D640,품목목록!$A$3:$A$202,0)),"미등록품번"))</f>
        <v/>
      </c>
      <c r="F640" s="14" t="str">
        <f aca="false">IF($D640="","",IFERROR(INDEX(품목목록!$D$3:$D$202,MATCH($D640,품목목록!$A$3:$A$202,0)),""))</f>
        <v/>
      </c>
      <c r="G640" s="11"/>
      <c r="H640" s="15"/>
      <c r="I640" s="16" t="str">
        <f aca="false">IF($A640="","",SUMIFS(반납내역!$D$3:$D$1502,반납내역!$B$3:$B$1502,$A640))</f>
        <v/>
      </c>
      <c r="J640" s="16" t="str">
        <f aca="false">IF($A640="","",IF($G640="","",$G640-$I640))</f>
        <v/>
      </c>
      <c r="K640" s="17" t="str">
        <f aca="true">IF(OR($A640="",$J640="",$J640&lt;=0,$H640=""),"",TODAY()-$H640)</f>
        <v/>
      </c>
      <c r="L640" s="14" t="str">
        <f aca="false">IF($A640="","",IF($G640="","",IF($J640&lt;=0,"반납완료",IF($I640&gt;0,"부분반납","미반납"))))</f>
        <v/>
      </c>
    </row>
    <row r="641" customFormat="false" ht="15" hidden="false" customHeight="false" outlineLevel="0" collapsed="false">
      <c r="A641" s="14" t="str">
        <f aca="false">IF($B641="","",TEXT($B641,"yymmdd")&amp;"-"&amp;TEXT(COUNTIFS($B$3:$B641,$B641),"00"))</f>
        <v/>
      </c>
      <c r="B641" s="15"/>
      <c r="C641" s="9"/>
      <c r="D641" s="10"/>
      <c r="E641" s="14" t="str">
        <f aca="false">IF($D641="","",IFERROR(INDEX(품목목록!$B$3:$B$202,MATCH($D641,품목목록!$A$3:$A$202,0)),"미등록품번"))</f>
        <v/>
      </c>
      <c r="F641" s="14" t="str">
        <f aca="false">IF($D641="","",IFERROR(INDEX(품목목록!$D$3:$D$202,MATCH($D641,품목목록!$A$3:$A$202,0)),""))</f>
        <v/>
      </c>
      <c r="G641" s="11"/>
      <c r="H641" s="15"/>
      <c r="I641" s="16" t="str">
        <f aca="false">IF($A641="","",SUMIFS(반납내역!$D$3:$D$1502,반납내역!$B$3:$B$1502,$A641))</f>
        <v/>
      </c>
      <c r="J641" s="16" t="str">
        <f aca="false">IF($A641="","",IF($G641="","",$G641-$I641))</f>
        <v/>
      </c>
      <c r="K641" s="17" t="str">
        <f aca="true">IF(OR($A641="",$J641="",$J641&lt;=0,$H641=""),"",TODAY()-$H641)</f>
        <v/>
      </c>
      <c r="L641" s="14" t="str">
        <f aca="false">IF($A641="","",IF($G641="","",IF($J641&lt;=0,"반납완료",IF($I641&gt;0,"부분반납","미반납"))))</f>
        <v/>
      </c>
    </row>
    <row r="642" customFormat="false" ht="15" hidden="false" customHeight="false" outlineLevel="0" collapsed="false">
      <c r="A642" s="14" t="str">
        <f aca="false">IF($B642="","",TEXT($B642,"yymmdd")&amp;"-"&amp;TEXT(COUNTIFS($B$3:$B642,$B642),"00"))</f>
        <v/>
      </c>
      <c r="B642" s="15"/>
      <c r="C642" s="9"/>
      <c r="D642" s="10"/>
      <c r="E642" s="14" t="str">
        <f aca="false">IF($D642="","",IFERROR(INDEX(품목목록!$B$3:$B$202,MATCH($D642,품목목록!$A$3:$A$202,0)),"미등록품번"))</f>
        <v/>
      </c>
      <c r="F642" s="14" t="str">
        <f aca="false">IF($D642="","",IFERROR(INDEX(품목목록!$D$3:$D$202,MATCH($D642,품목목록!$A$3:$A$202,0)),""))</f>
        <v/>
      </c>
      <c r="G642" s="11"/>
      <c r="H642" s="15"/>
      <c r="I642" s="16" t="str">
        <f aca="false">IF($A642="","",SUMIFS(반납내역!$D$3:$D$1502,반납내역!$B$3:$B$1502,$A642))</f>
        <v/>
      </c>
      <c r="J642" s="16" t="str">
        <f aca="false">IF($A642="","",IF($G642="","",$G642-$I642))</f>
        <v/>
      </c>
      <c r="K642" s="17" t="str">
        <f aca="true">IF(OR($A642="",$J642="",$J642&lt;=0,$H642=""),"",TODAY()-$H642)</f>
        <v/>
      </c>
      <c r="L642" s="14" t="str">
        <f aca="false">IF($A642="","",IF($G642="","",IF($J642&lt;=0,"반납완료",IF($I642&gt;0,"부분반납","미반납"))))</f>
        <v/>
      </c>
    </row>
    <row r="643" customFormat="false" ht="15" hidden="false" customHeight="false" outlineLevel="0" collapsed="false">
      <c r="A643" s="14" t="str">
        <f aca="false">IF($B643="","",TEXT($B643,"yymmdd")&amp;"-"&amp;TEXT(COUNTIFS($B$3:$B643,$B643),"00"))</f>
        <v/>
      </c>
      <c r="B643" s="15"/>
      <c r="C643" s="9"/>
      <c r="D643" s="10"/>
      <c r="E643" s="14" t="str">
        <f aca="false">IF($D643="","",IFERROR(INDEX(품목목록!$B$3:$B$202,MATCH($D643,품목목록!$A$3:$A$202,0)),"미등록품번"))</f>
        <v/>
      </c>
      <c r="F643" s="14" t="str">
        <f aca="false">IF($D643="","",IFERROR(INDEX(품목목록!$D$3:$D$202,MATCH($D643,품목목록!$A$3:$A$202,0)),""))</f>
        <v/>
      </c>
      <c r="G643" s="11"/>
      <c r="H643" s="15"/>
      <c r="I643" s="16" t="str">
        <f aca="false">IF($A643="","",SUMIFS(반납내역!$D$3:$D$1502,반납내역!$B$3:$B$1502,$A643))</f>
        <v/>
      </c>
      <c r="J643" s="16" t="str">
        <f aca="false">IF($A643="","",IF($G643="","",$G643-$I643))</f>
        <v/>
      </c>
      <c r="K643" s="17" t="str">
        <f aca="true">IF(OR($A643="",$J643="",$J643&lt;=0,$H643=""),"",TODAY()-$H643)</f>
        <v/>
      </c>
      <c r="L643" s="14" t="str">
        <f aca="false">IF($A643="","",IF($G643="","",IF($J643&lt;=0,"반납완료",IF($I643&gt;0,"부분반납","미반납"))))</f>
        <v/>
      </c>
    </row>
    <row r="644" customFormat="false" ht="15" hidden="false" customHeight="false" outlineLevel="0" collapsed="false">
      <c r="A644" s="14" t="str">
        <f aca="false">IF($B644="","",TEXT($B644,"yymmdd")&amp;"-"&amp;TEXT(COUNTIFS($B$3:$B644,$B644),"00"))</f>
        <v/>
      </c>
      <c r="B644" s="15"/>
      <c r="C644" s="9"/>
      <c r="D644" s="10"/>
      <c r="E644" s="14" t="str">
        <f aca="false">IF($D644="","",IFERROR(INDEX(품목목록!$B$3:$B$202,MATCH($D644,품목목록!$A$3:$A$202,0)),"미등록품번"))</f>
        <v/>
      </c>
      <c r="F644" s="14" t="str">
        <f aca="false">IF($D644="","",IFERROR(INDEX(품목목록!$D$3:$D$202,MATCH($D644,품목목록!$A$3:$A$202,0)),""))</f>
        <v/>
      </c>
      <c r="G644" s="11"/>
      <c r="H644" s="15"/>
      <c r="I644" s="16" t="str">
        <f aca="false">IF($A644="","",SUMIFS(반납내역!$D$3:$D$1502,반납내역!$B$3:$B$1502,$A644))</f>
        <v/>
      </c>
      <c r="J644" s="16" t="str">
        <f aca="false">IF($A644="","",IF($G644="","",$G644-$I644))</f>
        <v/>
      </c>
      <c r="K644" s="17" t="str">
        <f aca="true">IF(OR($A644="",$J644="",$J644&lt;=0,$H644=""),"",TODAY()-$H644)</f>
        <v/>
      </c>
      <c r="L644" s="14" t="str">
        <f aca="false">IF($A644="","",IF($G644="","",IF($J644&lt;=0,"반납완료",IF($I644&gt;0,"부분반납","미반납"))))</f>
        <v/>
      </c>
    </row>
    <row r="645" customFormat="false" ht="15" hidden="false" customHeight="false" outlineLevel="0" collapsed="false">
      <c r="A645" s="14" t="str">
        <f aca="false">IF($B645="","",TEXT($B645,"yymmdd")&amp;"-"&amp;TEXT(COUNTIFS($B$3:$B645,$B645),"00"))</f>
        <v/>
      </c>
      <c r="B645" s="15"/>
      <c r="C645" s="9"/>
      <c r="D645" s="10"/>
      <c r="E645" s="14" t="str">
        <f aca="false">IF($D645="","",IFERROR(INDEX(품목목록!$B$3:$B$202,MATCH($D645,품목목록!$A$3:$A$202,0)),"미등록품번"))</f>
        <v/>
      </c>
      <c r="F645" s="14" t="str">
        <f aca="false">IF($D645="","",IFERROR(INDEX(품목목록!$D$3:$D$202,MATCH($D645,품목목록!$A$3:$A$202,0)),""))</f>
        <v/>
      </c>
      <c r="G645" s="11"/>
      <c r="H645" s="15"/>
      <c r="I645" s="16" t="str">
        <f aca="false">IF($A645="","",SUMIFS(반납내역!$D$3:$D$1502,반납내역!$B$3:$B$1502,$A645))</f>
        <v/>
      </c>
      <c r="J645" s="16" t="str">
        <f aca="false">IF($A645="","",IF($G645="","",$G645-$I645))</f>
        <v/>
      </c>
      <c r="K645" s="17" t="str">
        <f aca="true">IF(OR($A645="",$J645="",$J645&lt;=0,$H645=""),"",TODAY()-$H645)</f>
        <v/>
      </c>
      <c r="L645" s="14" t="str">
        <f aca="false">IF($A645="","",IF($G645="","",IF($J645&lt;=0,"반납완료",IF($I645&gt;0,"부분반납","미반납"))))</f>
        <v/>
      </c>
    </row>
    <row r="646" customFormat="false" ht="15" hidden="false" customHeight="false" outlineLevel="0" collapsed="false">
      <c r="A646" s="14" t="str">
        <f aca="false">IF($B646="","",TEXT($B646,"yymmdd")&amp;"-"&amp;TEXT(COUNTIFS($B$3:$B646,$B646),"00"))</f>
        <v/>
      </c>
      <c r="B646" s="15"/>
      <c r="C646" s="9"/>
      <c r="D646" s="10"/>
      <c r="E646" s="14" t="str">
        <f aca="false">IF($D646="","",IFERROR(INDEX(품목목록!$B$3:$B$202,MATCH($D646,품목목록!$A$3:$A$202,0)),"미등록품번"))</f>
        <v/>
      </c>
      <c r="F646" s="14" t="str">
        <f aca="false">IF($D646="","",IFERROR(INDEX(품목목록!$D$3:$D$202,MATCH($D646,품목목록!$A$3:$A$202,0)),""))</f>
        <v/>
      </c>
      <c r="G646" s="11"/>
      <c r="H646" s="15"/>
      <c r="I646" s="16" t="str">
        <f aca="false">IF($A646="","",SUMIFS(반납내역!$D$3:$D$1502,반납내역!$B$3:$B$1502,$A646))</f>
        <v/>
      </c>
      <c r="J646" s="16" t="str">
        <f aca="false">IF($A646="","",IF($G646="","",$G646-$I646))</f>
        <v/>
      </c>
      <c r="K646" s="17" t="str">
        <f aca="true">IF(OR($A646="",$J646="",$J646&lt;=0,$H646=""),"",TODAY()-$H646)</f>
        <v/>
      </c>
      <c r="L646" s="14" t="str">
        <f aca="false">IF($A646="","",IF($G646="","",IF($J646&lt;=0,"반납완료",IF($I646&gt;0,"부분반납","미반납"))))</f>
        <v/>
      </c>
    </row>
    <row r="647" customFormat="false" ht="15" hidden="false" customHeight="false" outlineLevel="0" collapsed="false">
      <c r="A647" s="14" t="str">
        <f aca="false">IF($B647="","",TEXT($B647,"yymmdd")&amp;"-"&amp;TEXT(COUNTIFS($B$3:$B647,$B647),"00"))</f>
        <v/>
      </c>
      <c r="B647" s="15"/>
      <c r="C647" s="9"/>
      <c r="D647" s="10"/>
      <c r="E647" s="14" t="str">
        <f aca="false">IF($D647="","",IFERROR(INDEX(품목목록!$B$3:$B$202,MATCH($D647,품목목록!$A$3:$A$202,0)),"미등록품번"))</f>
        <v/>
      </c>
      <c r="F647" s="14" t="str">
        <f aca="false">IF($D647="","",IFERROR(INDEX(품목목록!$D$3:$D$202,MATCH($D647,품목목록!$A$3:$A$202,0)),""))</f>
        <v/>
      </c>
      <c r="G647" s="11"/>
      <c r="H647" s="15"/>
      <c r="I647" s="16" t="str">
        <f aca="false">IF($A647="","",SUMIFS(반납내역!$D$3:$D$1502,반납내역!$B$3:$B$1502,$A647))</f>
        <v/>
      </c>
      <c r="J647" s="16" t="str">
        <f aca="false">IF($A647="","",IF($G647="","",$G647-$I647))</f>
        <v/>
      </c>
      <c r="K647" s="17" t="str">
        <f aca="true">IF(OR($A647="",$J647="",$J647&lt;=0,$H647=""),"",TODAY()-$H647)</f>
        <v/>
      </c>
      <c r="L647" s="14" t="str">
        <f aca="false">IF($A647="","",IF($G647="","",IF($J647&lt;=0,"반납완료",IF($I647&gt;0,"부분반납","미반납"))))</f>
        <v/>
      </c>
    </row>
    <row r="648" customFormat="false" ht="15" hidden="false" customHeight="false" outlineLevel="0" collapsed="false">
      <c r="A648" s="14" t="str">
        <f aca="false">IF($B648="","",TEXT($B648,"yymmdd")&amp;"-"&amp;TEXT(COUNTIFS($B$3:$B648,$B648),"00"))</f>
        <v/>
      </c>
      <c r="B648" s="15"/>
      <c r="C648" s="9"/>
      <c r="D648" s="10"/>
      <c r="E648" s="14" t="str">
        <f aca="false">IF($D648="","",IFERROR(INDEX(품목목록!$B$3:$B$202,MATCH($D648,품목목록!$A$3:$A$202,0)),"미등록품번"))</f>
        <v/>
      </c>
      <c r="F648" s="14" t="str">
        <f aca="false">IF($D648="","",IFERROR(INDEX(품목목록!$D$3:$D$202,MATCH($D648,품목목록!$A$3:$A$202,0)),""))</f>
        <v/>
      </c>
      <c r="G648" s="11"/>
      <c r="H648" s="15"/>
      <c r="I648" s="16" t="str">
        <f aca="false">IF($A648="","",SUMIFS(반납내역!$D$3:$D$1502,반납내역!$B$3:$B$1502,$A648))</f>
        <v/>
      </c>
      <c r="J648" s="16" t="str">
        <f aca="false">IF($A648="","",IF($G648="","",$G648-$I648))</f>
        <v/>
      </c>
      <c r="K648" s="17" t="str">
        <f aca="true">IF(OR($A648="",$J648="",$J648&lt;=0,$H648=""),"",TODAY()-$H648)</f>
        <v/>
      </c>
      <c r="L648" s="14" t="str">
        <f aca="false">IF($A648="","",IF($G648="","",IF($J648&lt;=0,"반납완료",IF($I648&gt;0,"부분반납","미반납"))))</f>
        <v/>
      </c>
    </row>
    <row r="649" customFormat="false" ht="15" hidden="false" customHeight="false" outlineLevel="0" collapsed="false">
      <c r="A649" s="14" t="str">
        <f aca="false">IF($B649="","",TEXT($B649,"yymmdd")&amp;"-"&amp;TEXT(COUNTIFS($B$3:$B649,$B649),"00"))</f>
        <v/>
      </c>
      <c r="B649" s="15"/>
      <c r="C649" s="9"/>
      <c r="D649" s="10"/>
      <c r="E649" s="14" t="str">
        <f aca="false">IF($D649="","",IFERROR(INDEX(품목목록!$B$3:$B$202,MATCH($D649,품목목록!$A$3:$A$202,0)),"미등록품번"))</f>
        <v/>
      </c>
      <c r="F649" s="14" t="str">
        <f aca="false">IF($D649="","",IFERROR(INDEX(품목목록!$D$3:$D$202,MATCH($D649,품목목록!$A$3:$A$202,0)),""))</f>
        <v/>
      </c>
      <c r="G649" s="11"/>
      <c r="H649" s="15"/>
      <c r="I649" s="16" t="str">
        <f aca="false">IF($A649="","",SUMIFS(반납내역!$D$3:$D$1502,반납내역!$B$3:$B$1502,$A649))</f>
        <v/>
      </c>
      <c r="J649" s="16" t="str">
        <f aca="false">IF($A649="","",IF($G649="","",$G649-$I649))</f>
        <v/>
      </c>
      <c r="K649" s="17" t="str">
        <f aca="true">IF(OR($A649="",$J649="",$J649&lt;=0,$H649=""),"",TODAY()-$H649)</f>
        <v/>
      </c>
      <c r="L649" s="14" t="str">
        <f aca="false">IF($A649="","",IF($G649="","",IF($J649&lt;=0,"반납완료",IF($I649&gt;0,"부분반납","미반납"))))</f>
        <v/>
      </c>
    </row>
    <row r="650" customFormat="false" ht="15" hidden="false" customHeight="false" outlineLevel="0" collapsed="false">
      <c r="A650" s="14" t="str">
        <f aca="false">IF($B650="","",TEXT($B650,"yymmdd")&amp;"-"&amp;TEXT(COUNTIFS($B$3:$B650,$B650),"00"))</f>
        <v/>
      </c>
      <c r="B650" s="15"/>
      <c r="C650" s="9"/>
      <c r="D650" s="10"/>
      <c r="E650" s="14" t="str">
        <f aca="false">IF($D650="","",IFERROR(INDEX(품목목록!$B$3:$B$202,MATCH($D650,품목목록!$A$3:$A$202,0)),"미등록품번"))</f>
        <v/>
      </c>
      <c r="F650" s="14" t="str">
        <f aca="false">IF($D650="","",IFERROR(INDEX(품목목록!$D$3:$D$202,MATCH($D650,품목목록!$A$3:$A$202,0)),""))</f>
        <v/>
      </c>
      <c r="G650" s="11"/>
      <c r="H650" s="15"/>
      <c r="I650" s="16" t="str">
        <f aca="false">IF($A650="","",SUMIFS(반납내역!$D$3:$D$1502,반납내역!$B$3:$B$1502,$A650))</f>
        <v/>
      </c>
      <c r="J650" s="16" t="str">
        <f aca="false">IF($A650="","",IF($G650="","",$G650-$I650))</f>
        <v/>
      </c>
      <c r="K650" s="17" t="str">
        <f aca="true">IF(OR($A650="",$J650="",$J650&lt;=0,$H650=""),"",TODAY()-$H650)</f>
        <v/>
      </c>
      <c r="L650" s="14" t="str">
        <f aca="false">IF($A650="","",IF($G650="","",IF($J650&lt;=0,"반납완료",IF($I650&gt;0,"부분반납","미반납"))))</f>
        <v/>
      </c>
    </row>
    <row r="651" customFormat="false" ht="15" hidden="false" customHeight="false" outlineLevel="0" collapsed="false">
      <c r="A651" s="14" t="str">
        <f aca="false">IF($B651="","",TEXT($B651,"yymmdd")&amp;"-"&amp;TEXT(COUNTIFS($B$3:$B651,$B651),"00"))</f>
        <v/>
      </c>
      <c r="B651" s="15"/>
      <c r="C651" s="9"/>
      <c r="D651" s="10"/>
      <c r="E651" s="14" t="str">
        <f aca="false">IF($D651="","",IFERROR(INDEX(품목목록!$B$3:$B$202,MATCH($D651,품목목록!$A$3:$A$202,0)),"미등록품번"))</f>
        <v/>
      </c>
      <c r="F651" s="14" t="str">
        <f aca="false">IF($D651="","",IFERROR(INDEX(품목목록!$D$3:$D$202,MATCH($D651,품목목록!$A$3:$A$202,0)),""))</f>
        <v/>
      </c>
      <c r="G651" s="11"/>
      <c r="H651" s="15"/>
      <c r="I651" s="16" t="str">
        <f aca="false">IF($A651="","",SUMIFS(반납내역!$D$3:$D$1502,반납내역!$B$3:$B$1502,$A651))</f>
        <v/>
      </c>
      <c r="J651" s="16" t="str">
        <f aca="false">IF($A651="","",IF($G651="","",$G651-$I651))</f>
        <v/>
      </c>
      <c r="K651" s="17" t="str">
        <f aca="true">IF(OR($A651="",$J651="",$J651&lt;=0,$H651=""),"",TODAY()-$H651)</f>
        <v/>
      </c>
      <c r="L651" s="14" t="str">
        <f aca="false">IF($A651="","",IF($G651="","",IF($J651&lt;=0,"반납완료",IF($I651&gt;0,"부분반납","미반납"))))</f>
        <v/>
      </c>
    </row>
    <row r="652" customFormat="false" ht="15" hidden="false" customHeight="false" outlineLevel="0" collapsed="false">
      <c r="A652" s="14" t="str">
        <f aca="false">IF($B652="","",TEXT($B652,"yymmdd")&amp;"-"&amp;TEXT(COUNTIFS($B$3:$B652,$B652),"00"))</f>
        <v/>
      </c>
      <c r="B652" s="15"/>
      <c r="C652" s="9"/>
      <c r="D652" s="10"/>
      <c r="E652" s="14" t="str">
        <f aca="false">IF($D652="","",IFERROR(INDEX(품목목록!$B$3:$B$202,MATCH($D652,품목목록!$A$3:$A$202,0)),"미등록품번"))</f>
        <v/>
      </c>
      <c r="F652" s="14" t="str">
        <f aca="false">IF($D652="","",IFERROR(INDEX(품목목록!$D$3:$D$202,MATCH($D652,품목목록!$A$3:$A$202,0)),""))</f>
        <v/>
      </c>
      <c r="G652" s="11"/>
      <c r="H652" s="15"/>
      <c r="I652" s="16" t="str">
        <f aca="false">IF($A652="","",SUMIFS(반납내역!$D$3:$D$1502,반납내역!$B$3:$B$1502,$A652))</f>
        <v/>
      </c>
      <c r="J652" s="16" t="str">
        <f aca="false">IF($A652="","",IF($G652="","",$G652-$I652))</f>
        <v/>
      </c>
      <c r="K652" s="17" t="str">
        <f aca="true">IF(OR($A652="",$J652="",$J652&lt;=0,$H652=""),"",TODAY()-$H652)</f>
        <v/>
      </c>
      <c r="L652" s="14" t="str">
        <f aca="false">IF($A652="","",IF($G652="","",IF($J652&lt;=0,"반납완료",IF($I652&gt;0,"부분반납","미반납"))))</f>
        <v/>
      </c>
    </row>
    <row r="653" customFormat="false" ht="15" hidden="false" customHeight="false" outlineLevel="0" collapsed="false">
      <c r="A653" s="14" t="str">
        <f aca="false">IF($B653="","",TEXT($B653,"yymmdd")&amp;"-"&amp;TEXT(COUNTIFS($B$3:$B653,$B653),"00"))</f>
        <v/>
      </c>
      <c r="B653" s="15"/>
      <c r="C653" s="9"/>
      <c r="D653" s="10"/>
      <c r="E653" s="14" t="str">
        <f aca="false">IF($D653="","",IFERROR(INDEX(품목목록!$B$3:$B$202,MATCH($D653,품목목록!$A$3:$A$202,0)),"미등록품번"))</f>
        <v/>
      </c>
      <c r="F653" s="14" t="str">
        <f aca="false">IF($D653="","",IFERROR(INDEX(품목목록!$D$3:$D$202,MATCH($D653,품목목록!$A$3:$A$202,0)),""))</f>
        <v/>
      </c>
      <c r="G653" s="11"/>
      <c r="H653" s="15"/>
      <c r="I653" s="16" t="str">
        <f aca="false">IF($A653="","",SUMIFS(반납내역!$D$3:$D$1502,반납내역!$B$3:$B$1502,$A653))</f>
        <v/>
      </c>
      <c r="J653" s="16" t="str">
        <f aca="false">IF($A653="","",IF($G653="","",$G653-$I653))</f>
        <v/>
      </c>
      <c r="K653" s="17" t="str">
        <f aca="true">IF(OR($A653="",$J653="",$J653&lt;=0,$H653=""),"",TODAY()-$H653)</f>
        <v/>
      </c>
      <c r="L653" s="14" t="str">
        <f aca="false">IF($A653="","",IF($G653="","",IF($J653&lt;=0,"반납완료",IF($I653&gt;0,"부분반납","미반납"))))</f>
        <v/>
      </c>
    </row>
    <row r="654" customFormat="false" ht="15" hidden="false" customHeight="false" outlineLevel="0" collapsed="false">
      <c r="A654" s="14" t="str">
        <f aca="false">IF($B654="","",TEXT($B654,"yymmdd")&amp;"-"&amp;TEXT(COUNTIFS($B$3:$B654,$B654),"00"))</f>
        <v/>
      </c>
      <c r="B654" s="15"/>
      <c r="C654" s="9"/>
      <c r="D654" s="10"/>
      <c r="E654" s="14" t="str">
        <f aca="false">IF($D654="","",IFERROR(INDEX(품목목록!$B$3:$B$202,MATCH($D654,품목목록!$A$3:$A$202,0)),"미등록품번"))</f>
        <v/>
      </c>
      <c r="F654" s="14" t="str">
        <f aca="false">IF($D654="","",IFERROR(INDEX(품목목록!$D$3:$D$202,MATCH($D654,품목목록!$A$3:$A$202,0)),""))</f>
        <v/>
      </c>
      <c r="G654" s="11"/>
      <c r="H654" s="15"/>
      <c r="I654" s="16" t="str">
        <f aca="false">IF($A654="","",SUMIFS(반납내역!$D$3:$D$1502,반납내역!$B$3:$B$1502,$A654))</f>
        <v/>
      </c>
      <c r="J654" s="16" t="str">
        <f aca="false">IF($A654="","",IF($G654="","",$G654-$I654))</f>
        <v/>
      </c>
      <c r="K654" s="17" t="str">
        <f aca="true">IF(OR($A654="",$J654="",$J654&lt;=0,$H654=""),"",TODAY()-$H654)</f>
        <v/>
      </c>
      <c r="L654" s="14" t="str">
        <f aca="false">IF($A654="","",IF($G654="","",IF($J654&lt;=0,"반납완료",IF($I654&gt;0,"부분반납","미반납"))))</f>
        <v/>
      </c>
    </row>
    <row r="655" customFormat="false" ht="15" hidden="false" customHeight="false" outlineLevel="0" collapsed="false">
      <c r="A655" s="14" t="str">
        <f aca="false">IF($B655="","",TEXT($B655,"yymmdd")&amp;"-"&amp;TEXT(COUNTIFS($B$3:$B655,$B655),"00"))</f>
        <v/>
      </c>
      <c r="B655" s="15"/>
      <c r="C655" s="9"/>
      <c r="D655" s="10"/>
      <c r="E655" s="14" t="str">
        <f aca="false">IF($D655="","",IFERROR(INDEX(품목목록!$B$3:$B$202,MATCH($D655,품목목록!$A$3:$A$202,0)),"미등록품번"))</f>
        <v/>
      </c>
      <c r="F655" s="14" t="str">
        <f aca="false">IF($D655="","",IFERROR(INDEX(품목목록!$D$3:$D$202,MATCH($D655,품목목록!$A$3:$A$202,0)),""))</f>
        <v/>
      </c>
      <c r="G655" s="11"/>
      <c r="H655" s="15"/>
      <c r="I655" s="16" t="str">
        <f aca="false">IF($A655="","",SUMIFS(반납내역!$D$3:$D$1502,반납내역!$B$3:$B$1502,$A655))</f>
        <v/>
      </c>
      <c r="J655" s="16" t="str">
        <f aca="false">IF($A655="","",IF($G655="","",$G655-$I655))</f>
        <v/>
      </c>
      <c r="K655" s="17" t="str">
        <f aca="true">IF(OR($A655="",$J655="",$J655&lt;=0,$H655=""),"",TODAY()-$H655)</f>
        <v/>
      </c>
      <c r="L655" s="14" t="str">
        <f aca="false">IF($A655="","",IF($G655="","",IF($J655&lt;=0,"반납완료",IF($I655&gt;0,"부분반납","미반납"))))</f>
        <v/>
      </c>
    </row>
    <row r="656" customFormat="false" ht="15" hidden="false" customHeight="false" outlineLevel="0" collapsed="false">
      <c r="A656" s="14" t="str">
        <f aca="false">IF($B656="","",TEXT($B656,"yymmdd")&amp;"-"&amp;TEXT(COUNTIFS($B$3:$B656,$B656),"00"))</f>
        <v/>
      </c>
      <c r="B656" s="15"/>
      <c r="C656" s="9"/>
      <c r="D656" s="10"/>
      <c r="E656" s="14" t="str">
        <f aca="false">IF($D656="","",IFERROR(INDEX(품목목록!$B$3:$B$202,MATCH($D656,품목목록!$A$3:$A$202,0)),"미등록품번"))</f>
        <v/>
      </c>
      <c r="F656" s="14" t="str">
        <f aca="false">IF($D656="","",IFERROR(INDEX(품목목록!$D$3:$D$202,MATCH($D656,품목목록!$A$3:$A$202,0)),""))</f>
        <v/>
      </c>
      <c r="G656" s="11"/>
      <c r="H656" s="15"/>
      <c r="I656" s="16" t="str">
        <f aca="false">IF($A656="","",SUMIFS(반납내역!$D$3:$D$1502,반납내역!$B$3:$B$1502,$A656))</f>
        <v/>
      </c>
      <c r="J656" s="16" t="str">
        <f aca="false">IF($A656="","",IF($G656="","",$G656-$I656))</f>
        <v/>
      </c>
      <c r="K656" s="17" t="str">
        <f aca="true">IF(OR($A656="",$J656="",$J656&lt;=0,$H656=""),"",TODAY()-$H656)</f>
        <v/>
      </c>
      <c r="L656" s="14" t="str">
        <f aca="false">IF($A656="","",IF($G656="","",IF($J656&lt;=0,"반납완료",IF($I656&gt;0,"부분반납","미반납"))))</f>
        <v/>
      </c>
    </row>
    <row r="657" customFormat="false" ht="15" hidden="false" customHeight="false" outlineLevel="0" collapsed="false">
      <c r="A657" s="14" t="str">
        <f aca="false">IF($B657="","",TEXT($B657,"yymmdd")&amp;"-"&amp;TEXT(COUNTIFS($B$3:$B657,$B657),"00"))</f>
        <v/>
      </c>
      <c r="B657" s="15"/>
      <c r="C657" s="9"/>
      <c r="D657" s="10"/>
      <c r="E657" s="14" t="str">
        <f aca="false">IF($D657="","",IFERROR(INDEX(품목목록!$B$3:$B$202,MATCH($D657,품목목록!$A$3:$A$202,0)),"미등록품번"))</f>
        <v/>
      </c>
      <c r="F657" s="14" t="str">
        <f aca="false">IF($D657="","",IFERROR(INDEX(품목목록!$D$3:$D$202,MATCH($D657,품목목록!$A$3:$A$202,0)),""))</f>
        <v/>
      </c>
      <c r="G657" s="11"/>
      <c r="H657" s="15"/>
      <c r="I657" s="16" t="str">
        <f aca="false">IF($A657="","",SUMIFS(반납내역!$D$3:$D$1502,반납내역!$B$3:$B$1502,$A657))</f>
        <v/>
      </c>
      <c r="J657" s="16" t="str">
        <f aca="false">IF($A657="","",IF($G657="","",$G657-$I657))</f>
        <v/>
      </c>
      <c r="K657" s="17" t="str">
        <f aca="true">IF(OR($A657="",$J657="",$J657&lt;=0,$H657=""),"",TODAY()-$H657)</f>
        <v/>
      </c>
      <c r="L657" s="14" t="str">
        <f aca="false">IF($A657="","",IF($G657="","",IF($J657&lt;=0,"반납완료",IF($I657&gt;0,"부분반납","미반납"))))</f>
        <v/>
      </c>
    </row>
    <row r="658" customFormat="false" ht="15" hidden="false" customHeight="false" outlineLevel="0" collapsed="false">
      <c r="A658" s="14" t="str">
        <f aca="false">IF($B658="","",TEXT($B658,"yymmdd")&amp;"-"&amp;TEXT(COUNTIFS($B$3:$B658,$B658),"00"))</f>
        <v/>
      </c>
      <c r="B658" s="15"/>
      <c r="C658" s="9"/>
      <c r="D658" s="10"/>
      <c r="E658" s="14" t="str">
        <f aca="false">IF($D658="","",IFERROR(INDEX(품목목록!$B$3:$B$202,MATCH($D658,품목목록!$A$3:$A$202,0)),"미등록품번"))</f>
        <v/>
      </c>
      <c r="F658" s="14" t="str">
        <f aca="false">IF($D658="","",IFERROR(INDEX(품목목록!$D$3:$D$202,MATCH($D658,품목목록!$A$3:$A$202,0)),""))</f>
        <v/>
      </c>
      <c r="G658" s="11"/>
      <c r="H658" s="15"/>
      <c r="I658" s="16" t="str">
        <f aca="false">IF($A658="","",SUMIFS(반납내역!$D$3:$D$1502,반납내역!$B$3:$B$1502,$A658))</f>
        <v/>
      </c>
      <c r="J658" s="16" t="str">
        <f aca="false">IF($A658="","",IF($G658="","",$G658-$I658))</f>
        <v/>
      </c>
      <c r="K658" s="17" t="str">
        <f aca="true">IF(OR($A658="",$J658="",$J658&lt;=0,$H658=""),"",TODAY()-$H658)</f>
        <v/>
      </c>
      <c r="L658" s="14" t="str">
        <f aca="false">IF($A658="","",IF($G658="","",IF($J658&lt;=0,"반납완료",IF($I658&gt;0,"부분반납","미반납"))))</f>
        <v/>
      </c>
    </row>
    <row r="659" customFormat="false" ht="15" hidden="false" customHeight="false" outlineLevel="0" collapsed="false">
      <c r="A659" s="14" t="str">
        <f aca="false">IF($B659="","",TEXT($B659,"yymmdd")&amp;"-"&amp;TEXT(COUNTIFS($B$3:$B659,$B659),"00"))</f>
        <v/>
      </c>
      <c r="B659" s="15"/>
      <c r="C659" s="9"/>
      <c r="D659" s="10"/>
      <c r="E659" s="14" t="str">
        <f aca="false">IF($D659="","",IFERROR(INDEX(품목목록!$B$3:$B$202,MATCH($D659,품목목록!$A$3:$A$202,0)),"미등록품번"))</f>
        <v/>
      </c>
      <c r="F659" s="14" t="str">
        <f aca="false">IF($D659="","",IFERROR(INDEX(품목목록!$D$3:$D$202,MATCH($D659,품목목록!$A$3:$A$202,0)),""))</f>
        <v/>
      </c>
      <c r="G659" s="11"/>
      <c r="H659" s="15"/>
      <c r="I659" s="16" t="str">
        <f aca="false">IF($A659="","",SUMIFS(반납내역!$D$3:$D$1502,반납내역!$B$3:$B$1502,$A659))</f>
        <v/>
      </c>
      <c r="J659" s="16" t="str">
        <f aca="false">IF($A659="","",IF($G659="","",$G659-$I659))</f>
        <v/>
      </c>
      <c r="K659" s="17" t="str">
        <f aca="true">IF(OR($A659="",$J659="",$J659&lt;=0,$H659=""),"",TODAY()-$H659)</f>
        <v/>
      </c>
      <c r="L659" s="14" t="str">
        <f aca="false">IF($A659="","",IF($G659="","",IF($J659&lt;=0,"반납완료",IF($I659&gt;0,"부분반납","미반납"))))</f>
        <v/>
      </c>
    </row>
    <row r="660" customFormat="false" ht="15" hidden="false" customHeight="false" outlineLevel="0" collapsed="false">
      <c r="A660" s="14" t="str">
        <f aca="false">IF($B660="","",TEXT($B660,"yymmdd")&amp;"-"&amp;TEXT(COUNTIFS($B$3:$B660,$B660),"00"))</f>
        <v/>
      </c>
      <c r="B660" s="15"/>
      <c r="C660" s="9"/>
      <c r="D660" s="10"/>
      <c r="E660" s="14" t="str">
        <f aca="false">IF($D660="","",IFERROR(INDEX(품목목록!$B$3:$B$202,MATCH($D660,품목목록!$A$3:$A$202,0)),"미등록품번"))</f>
        <v/>
      </c>
      <c r="F660" s="14" t="str">
        <f aca="false">IF($D660="","",IFERROR(INDEX(품목목록!$D$3:$D$202,MATCH($D660,품목목록!$A$3:$A$202,0)),""))</f>
        <v/>
      </c>
      <c r="G660" s="11"/>
      <c r="H660" s="15"/>
      <c r="I660" s="16" t="str">
        <f aca="false">IF($A660="","",SUMIFS(반납내역!$D$3:$D$1502,반납내역!$B$3:$B$1502,$A660))</f>
        <v/>
      </c>
      <c r="J660" s="16" t="str">
        <f aca="false">IF($A660="","",IF($G660="","",$G660-$I660))</f>
        <v/>
      </c>
      <c r="K660" s="17" t="str">
        <f aca="true">IF(OR($A660="",$J660="",$J660&lt;=0,$H660=""),"",TODAY()-$H660)</f>
        <v/>
      </c>
      <c r="L660" s="14" t="str">
        <f aca="false">IF($A660="","",IF($G660="","",IF($J660&lt;=0,"반납완료",IF($I660&gt;0,"부분반납","미반납"))))</f>
        <v/>
      </c>
    </row>
    <row r="661" customFormat="false" ht="15" hidden="false" customHeight="false" outlineLevel="0" collapsed="false">
      <c r="A661" s="14" t="str">
        <f aca="false">IF($B661="","",TEXT($B661,"yymmdd")&amp;"-"&amp;TEXT(COUNTIFS($B$3:$B661,$B661),"00"))</f>
        <v/>
      </c>
      <c r="B661" s="15"/>
      <c r="C661" s="9"/>
      <c r="D661" s="10"/>
      <c r="E661" s="14" t="str">
        <f aca="false">IF($D661="","",IFERROR(INDEX(품목목록!$B$3:$B$202,MATCH($D661,품목목록!$A$3:$A$202,0)),"미등록품번"))</f>
        <v/>
      </c>
      <c r="F661" s="14" t="str">
        <f aca="false">IF($D661="","",IFERROR(INDEX(품목목록!$D$3:$D$202,MATCH($D661,품목목록!$A$3:$A$202,0)),""))</f>
        <v/>
      </c>
      <c r="G661" s="11"/>
      <c r="H661" s="15"/>
      <c r="I661" s="16" t="str">
        <f aca="false">IF($A661="","",SUMIFS(반납내역!$D$3:$D$1502,반납내역!$B$3:$B$1502,$A661))</f>
        <v/>
      </c>
      <c r="J661" s="16" t="str">
        <f aca="false">IF($A661="","",IF($G661="","",$G661-$I661))</f>
        <v/>
      </c>
      <c r="K661" s="17" t="str">
        <f aca="true">IF(OR($A661="",$J661="",$J661&lt;=0,$H661=""),"",TODAY()-$H661)</f>
        <v/>
      </c>
      <c r="L661" s="14" t="str">
        <f aca="false">IF($A661="","",IF($G661="","",IF($J661&lt;=0,"반납완료",IF($I661&gt;0,"부분반납","미반납"))))</f>
        <v/>
      </c>
    </row>
    <row r="662" customFormat="false" ht="15" hidden="false" customHeight="false" outlineLevel="0" collapsed="false">
      <c r="A662" s="14" t="str">
        <f aca="false">IF($B662="","",TEXT($B662,"yymmdd")&amp;"-"&amp;TEXT(COUNTIFS($B$3:$B662,$B662),"00"))</f>
        <v/>
      </c>
      <c r="B662" s="15"/>
      <c r="C662" s="9"/>
      <c r="D662" s="10"/>
      <c r="E662" s="14" t="str">
        <f aca="false">IF($D662="","",IFERROR(INDEX(품목목록!$B$3:$B$202,MATCH($D662,품목목록!$A$3:$A$202,0)),"미등록품번"))</f>
        <v/>
      </c>
      <c r="F662" s="14" t="str">
        <f aca="false">IF($D662="","",IFERROR(INDEX(품목목록!$D$3:$D$202,MATCH($D662,품목목록!$A$3:$A$202,0)),""))</f>
        <v/>
      </c>
      <c r="G662" s="11"/>
      <c r="H662" s="15"/>
      <c r="I662" s="16" t="str">
        <f aca="false">IF($A662="","",SUMIFS(반납내역!$D$3:$D$1502,반납내역!$B$3:$B$1502,$A662))</f>
        <v/>
      </c>
      <c r="J662" s="16" t="str">
        <f aca="false">IF($A662="","",IF($G662="","",$G662-$I662))</f>
        <v/>
      </c>
      <c r="K662" s="17" t="str">
        <f aca="true">IF(OR($A662="",$J662="",$J662&lt;=0,$H662=""),"",TODAY()-$H662)</f>
        <v/>
      </c>
      <c r="L662" s="14" t="str">
        <f aca="false">IF($A662="","",IF($G662="","",IF($J662&lt;=0,"반납완료",IF($I662&gt;0,"부분반납","미반납"))))</f>
        <v/>
      </c>
    </row>
    <row r="663" customFormat="false" ht="15" hidden="false" customHeight="false" outlineLevel="0" collapsed="false">
      <c r="A663" s="14" t="str">
        <f aca="false">IF($B663="","",TEXT($B663,"yymmdd")&amp;"-"&amp;TEXT(COUNTIFS($B$3:$B663,$B663),"00"))</f>
        <v/>
      </c>
      <c r="B663" s="15"/>
      <c r="C663" s="9"/>
      <c r="D663" s="10"/>
      <c r="E663" s="14" t="str">
        <f aca="false">IF($D663="","",IFERROR(INDEX(품목목록!$B$3:$B$202,MATCH($D663,품목목록!$A$3:$A$202,0)),"미등록품번"))</f>
        <v/>
      </c>
      <c r="F663" s="14" t="str">
        <f aca="false">IF($D663="","",IFERROR(INDEX(품목목록!$D$3:$D$202,MATCH($D663,품목목록!$A$3:$A$202,0)),""))</f>
        <v/>
      </c>
      <c r="G663" s="11"/>
      <c r="H663" s="15"/>
      <c r="I663" s="16" t="str">
        <f aca="false">IF($A663="","",SUMIFS(반납내역!$D$3:$D$1502,반납내역!$B$3:$B$1502,$A663))</f>
        <v/>
      </c>
      <c r="J663" s="16" t="str">
        <f aca="false">IF($A663="","",IF($G663="","",$G663-$I663))</f>
        <v/>
      </c>
      <c r="K663" s="17" t="str">
        <f aca="true">IF(OR($A663="",$J663="",$J663&lt;=0,$H663=""),"",TODAY()-$H663)</f>
        <v/>
      </c>
      <c r="L663" s="14" t="str">
        <f aca="false">IF($A663="","",IF($G663="","",IF($J663&lt;=0,"반납완료",IF($I663&gt;0,"부분반납","미반납"))))</f>
        <v/>
      </c>
    </row>
    <row r="664" customFormat="false" ht="15" hidden="false" customHeight="false" outlineLevel="0" collapsed="false">
      <c r="A664" s="14" t="str">
        <f aca="false">IF($B664="","",TEXT($B664,"yymmdd")&amp;"-"&amp;TEXT(COUNTIFS($B$3:$B664,$B664),"00"))</f>
        <v/>
      </c>
      <c r="B664" s="15"/>
      <c r="C664" s="9"/>
      <c r="D664" s="10"/>
      <c r="E664" s="14" t="str">
        <f aca="false">IF($D664="","",IFERROR(INDEX(품목목록!$B$3:$B$202,MATCH($D664,품목목록!$A$3:$A$202,0)),"미등록품번"))</f>
        <v/>
      </c>
      <c r="F664" s="14" t="str">
        <f aca="false">IF($D664="","",IFERROR(INDEX(품목목록!$D$3:$D$202,MATCH($D664,품목목록!$A$3:$A$202,0)),""))</f>
        <v/>
      </c>
      <c r="G664" s="11"/>
      <c r="H664" s="15"/>
      <c r="I664" s="16" t="str">
        <f aca="false">IF($A664="","",SUMIFS(반납내역!$D$3:$D$1502,반납내역!$B$3:$B$1502,$A664))</f>
        <v/>
      </c>
      <c r="J664" s="16" t="str">
        <f aca="false">IF($A664="","",IF($G664="","",$G664-$I664))</f>
        <v/>
      </c>
      <c r="K664" s="17" t="str">
        <f aca="true">IF(OR($A664="",$J664="",$J664&lt;=0,$H664=""),"",TODAY()-$H664)</f>
        <v/>
      </c>
      <c r="L664" s="14" t="str">
        <f aca="false">IF($A664="","",IF($G664="","",IF($J664&lt;=0,"반납완료",IF($I664&gt;0,"부분반납","미반납"))))</f>
        <v/>
      </c>
    </row>
    <row r="665" customFormat="false" ht="15" hidden="false" customHeight="false" outlineLevel="0" collapsed="false">
      <c r="A665" s="14" t="str">
        <f aca="false">IF($B665="","",TEXT($B665,"yymmdd")&amp;"-"&amp;TEXT(COUNTIFS($B$3:$B665,$B665),"00"))</f>
        <v/>
      </c>
      <c r="B665" s="15"/>
      <c r="C665" s="9"/>
      <c r="D665" s="10"/>
      <c r="E665" s="14" t="str">
        <f aca="false">IF($D665="","",IFERROR(INDEX(품목목록!$B$3:$B$202,MATCH($D665,품목목록!$A$3:$A$202,0)),"미등록품번"))</f>
        <v/>
      </c>
      <c r="F665" s="14" t="str">
        <f aca="false">IF($D665="","",IFERROR(INDEX(품목목록!$D$3:$D$202,MATCH($D665,품목목록!$A$3:$A$202,0)),""))</f>
        <v/>
      </c>
      <c r="G665" s="11"/>
      <c r="H665" s="15"/>
      <c r="I665" s="16" t="str">
        <f aca="false">IF($A665="","",SUMIFS(반납내역!$D$3:$D$1502,반납내역!$B$3:$B$1502,$A665))</f>
        <v/>
      </c>
      <c r="J665" s="16" t="str">
        <f aca="false">IF($A665="","",IF($G665="","",$G665-$I665))</f>
        <v/>
      </c>
      <c r="K665" s="17" t="str">
        <f aca="true">IF(OR($A665="",$J665="",$J665&lt;=0,$H665=""),"",TODAY()-$H665)</f>
        <v/>
      </c>
      <c r="L665" s="14" t="str">
        <f aca="false">IF($A665="","",IF($G665="","",IF($J665&lt;=0,"반납완료",IF($I665&gt;0,"부분반납","미반납"))))</f>
        <v/>
      </c>
    </row>
    <row r="666" customFormat="false" ht="15" hidden="false" customHeight="false" outlineLevel="0" collapsed="false">
      <c r="A666" s="14" t="str">
        <f aca="false">IF($B666="","",TEXT($B666,"yymmdd")&amp;"-"&amp;TEXT(COUNTIFS($B$3:$B666,$B666),"00"))</f>
        <v/>
      </c>
      <c r="B666" s="15"/>
      <c r="C666" s="9"/>
      <c r="D666" s="10"/>
      <c r="E666" s="14" t="str">
        <f aca="false">IF($D666="","",IFERROR(INDEX(품목목록!$B$3:$B$202,MATCH($D666,품목목록!$A$3:$A$202,0)),"미등록품번"))</f>
        <v/>
      </c>
      <c r="F666" s="14" t="str">
        <f aca="false">IF($D666="","",IFERROR(INDEX(품목목록!$D$3:$D$202,MATCH($D666,품목목록!$A$3:$A$202,0)),""))</f>
        <v/>
      </c>
      <c r="G666" s="11"/>
      <c r="H666" s="15"/>
      <c r="I666" s="16" t="str">
        <f aca="false">IF($A666="","",SUMIFS(반납내역!$D$3:$D$1502,반납내역!$B$3:$B$1502,$A666))</f>
        <v/>
      </c>
      <c r="J666" s="16" t="str">
        <f aca="false">IF($A666="","",IF($G666="","",$G666-$I666))</f>
        <v/>
      </c>
      <c r="K666" s="17" t="str">
        <f aca="true">IF(OR($A666="",$J666="",$J666&lt;=0,$H666=""),"",TODAY()-$H666)</f>
        <v/>
      </c>
      <c r="L666" s="14" t="str">
        <f aca="false">IF($A666="","",IF($G666="","",IF($J666&lt;=0,"반납완료",IF($I666&gt;0,"부분반납","미반납"))))</f>
        <v/>
      </c>
    </row>
    <row r="667" customFormat="false" ht="15" hidden="false" customHeight="false" outlineLevel="0" collapsed="false">
      <c r="A667" s="14" t="str">
        <f aca="false">IF($B667="","",TEXT($B667,"yymmdd")&amp;"-"&amp;TEXT(COUNTIFS($B$3:$B667,$B667),"00"))</f>
        <v/>
      </c>
      <c r="B667" s="15"/>
      <c r="C667" s="9"/>
      <c r="D667" s="10"/>
      <c r="E667" s="14" t="str">
        <f aca="false">IF($D667="","",IFERROR(INDEX(품목목록!$B$3:$B$202,MATCH($D667,품목목록!$A$3:$A$202,0)),"미등록품번"))</f>
        <v/>
      </c>
      <c r="F667" s="14" t="str">
        <f aca="false">IF($D667="","",IFERROR(INDEX(품목목록!$D$3:$D$202,MATCH($D667,품목목록!$A$3:$A$202,0)),""))</f>
        <v/>
      </c>
      <c r="G667" s="11"/>
      <c r="H667" s="15"/>
      <c r="I667" s="16" t="str">
        <f aca="false">IF($A667="","",SUMIFS(반납내역!$D$3:$D$1502,반납내역!$B$3:$B$1502,$A667))</f>
        <v/>
      </c>
      <c r="J667" s="16" t="str">
        <f aca="false">IF($A667="","",IF($G667="","",$G667-$I667))</f>
        <v/>
      </c>
      <c r="K667" s="17" t="str">
        <f aca="true">IF(OR($A667="",$J667="",$J667&lt;=0,$H667=""),"",TODAY()-$H667)</f>
        <v/>
      </c>
      <c r="L667" s="14" t="str">
        <f aca="false">IF($A667="","",IF($G667="","",IF($J667&lt;=0,"반납완료",IF($I667&gt;0,"부분반납","미반납"))))</f>
        <v/>
      </c>
    </row>
    <row r="668" customFormat="false" ht="15" hidden="false" customHeight="false" outlineLevel="0" collapsed="false">
      <c r="A668" s="14" t="str">
        <f aca="false">IF($B668="","",TEXT($B668,"yymmdd")&amp;"-"&amp;TEXT(COUNTIFS($B$3:$B668,$B668),"00"))</f>
        <v/>
      </c>
      <c r="B668" s="15"/>
      <c r="C668" s="9"/>
      <c r="D668" s="10"/>
      <c r="E668" s="14" t="str">
        <f aca="false">IF($D668="","",IFERROR(INDEX(품목목록!$B$3:$B$202,MATCH($D668,품목목록!$A$3:$A$202,0)),"미등록품번"))</f>
        <v/>
      </c>
      <c r="F668" s="14" t="str">
        <f aca="false">IF($D668="","",IFERROR(INDEX(품목목록!$D$3:$D$202,MATCH($D668,품목목록!$A$3:$A$202,0)),""))</f>
        <v/>
      </c>
      <c r="G668" s="11"/>
      <c r="H668" s="15"/>
      <c r="I668" s="16" t="str">
        <f aca="false">IF($A668="","",SUMIFS(반납내역!$D$3:$D$1502,반납내역!$B$3:$B$1502,$A668))</f>
        <v/>
      </c>
      <c r="J668" s="16" t="str">
        <f aca="false">IF($A668="","",IF($G668="","",$G668-$I668))</f>
        <v/>
      </c>
      <c r="K668" s="17" t="str">
        <f aca="true">IF(OR($A668="",$J668="",$J668&lt;=0,$H668=""),"",TODAY()-$H668)</f>
        <v/>
      </c>
      <c r="L668" s="14" t="str">
        <f aca="false">IF($A668="","",IF($G668="","",IF($J668&lt;=0,"반납완료",IF($I668&gt;0,"부분반납","미반납"))))</f>
        <v/>
      </c>
    </row>
    <row r="669" customFormat="false" ht="15" hidden="false" customHeight="false" outlineLevel="0" collapsed="false">
      <c r="A669" s="14" t="str">
        <f aca="false">IF($B669="","",TEXT($B669,"yymmdd")&amp;"-"&amp;TEXT(COUNTIFS($B$3:$B669,$B669),"00"))</f>
        <v/>
      </c>
      <c r="B669" s="15"/>
      <c r="C669" s="9"/>
      <c r="D669" s="10"/>
      <c r="E669" s="14" t="str">
        <f aca="false">IF($D669="","",IFERROR(INDEX(품목목록!$B$3:$B$202,MATCH($D669,품목목록!$A$3:$A$202,0)),"미등록품번"))</f>
        <v/>
      </c>
      <c r="F669" s="14" t="str">
        <f aca="false">IF($D669="","",IFERROR(INDEX(품목목록!$D$3:$D$202,MATCH($D669,품목목록!$A$3:$A$202,0)),""))</f>
        <v/>
      </c>
      <c r="G669" s="11"/>
      <c r="H669" s="15"/>
      <c r="I669" s="16" t="str">
        <f aca="false">IF($A669="","",SUMIFS(반납내역!$D$3:$D$1502,반납내역!$B$3:$B$1502,$A669))</f>
        <v/>
      </c>
      <c r="J669" s="16" t="str">
        <f aca="false">IF($A669="","",IF($G669="","",$G669-$I669))</f>
        <v/>
      </c>
      <c r="K669" s="17" t="str">
        <f aca="true">IF(OR($A669="",$J669="",$J669&lt;=0,$H669=""),"",TODAY()-$H669)</f>
        <v/>
      </c>
      <c r="L669" s="14" t="str">
        <f aca="false">IF($A669="","",IF($G669="","",IF($J669&lt;=0,"반납완료",IF($I669&gt;0,"부분반납","미반납"))))</f>
        <v/>
      </c>
    </row>
    <row r="670" customFormat="false" ht="15" hidden="false" customHeight="false" outlineLevel="0" collapsed="false">
      <c r="A670" s="14" t="str">
        <f aca="false">IF($B670="","",TEXT($B670,"yymmdd")&amp;"-"&amp;TEXT(COUNTIFS($B$3:$B670,$B670),"00"))</f>
        <v/>
      </c>
      <c r="B670" s="15"/>
      <c r="C670" s="9"/>
      <c r="D670" s="10"/>
      <c r="E670" s="14" t="str">
        <f aca="false">IF($D670="","",IFERROR(INDEX(품목목록!$B$3:$B$202,MATCH($D670,품목목록!$A$3:$A$202,0)),"미등록품번"))</f>
        <v/>
      </c>
      <c r="F670" s="14" t="str">
        <f aca="false">IF($D670="","",IFERROR(INDEX(품목목록!$D$3:$D$202,MATCH($D670,품목목록!$A$3:$A$202,0)),""))</f>
        <v/>
      </c>
      <c r="G670" s="11"/>
      <c r="H670" s="15"/>
      <c r="I670" s="16" t="str">
        <f aca="false">IF($A670="","",SUMIFS(반납내역!$D$3:$D$1502,반납내역!$B$3:$B$1502,$A670))</f>
        <v/>
      </c>
      <c r="J670" s="16" t="str">
        <f aca="false">IF($A670="","",IF($G670="","",$G670-$I670))</f>
        <v/>
      </c>
      <c r="K670" s="17" t="str">
        <f aca="true">IF(OR($A670="",$J670="",$J670&lt;=0,$H670=""),"",TODAY()-$H670)</f>
        <v/>
      </c>
      <c r="L670" s="14" t="str">
        <f aca="false">IF($A670="","",IF($G670="","",IF($J670&lt;=0,"반납완료",IF($I670&gt;0,"부분반납","미반납"))))</f>
        <v/>
      </c>
    </row>
    <row r="671" customFormat="false" ht="15" hidden="false" customHeight="false" outlineLevel="0" collapsed="false">
      <c r="A671" s="14" t="str">
        <f aca="false">IF($B671="","",TEXT($B671,"yymmdd")&amp;"-"&amp;TEXT(COUNTIFS($B$3:$B671,$B671),"00"))</f>
        <v/>
      </c>
      <c r="B671" s="15"/>
      <c r="C671" s="9"/>
      <c r="D671" s="10"/>
      <c r="E671" s="14" t="str">
        <f aca="false">IF($D671="","",IFERROR(INDEX(품목목록!$B$3:$B$202,MATCH($D671,품목목록!$A$3:$A$202,0)),"미등록품번"))</f>
        <v/>
      </c>
      <c r="F671" s="14" t="str">
        <f aca="false">IF($D671="","",IFERROR(INDEX(품목목록!$D$3:$D$202,MATCH($D671,품목목록!$A$3:$A$202,0)),""))</f>
        <v/>
      </c>
      <c r="G671" s="11"/>
      <c r="H671" s="15"/>
      <c r="I671" s="16" t="str">
        <f aca="false">IF($A671="","",SUMIFS(반납내역!$D$3:$D$1502,반납내역!$B$3:$B$1502,$A671))</f>
        <v/>
      </c>
      <c r="J671" s="16" t="str">
        <f aca="false">IF($A671="","",IF($G671="","",$G671-$I671))</f>
        <v/>
      </c>
      <c r="K671" s="17" t="str">
        <f aca="true">IF(OR($A671="",$J671="",$J671&lt;=0,$H671=""),"",TODAY()-$H671)</f>
        <v/>
      </c>
      <c r="L671" s="14" t="str">
        <f aca="false">IF($A671="","",IF($G671="","",IF($J671&lt;=0,"반납완료",IF($I671&gt;0,"부분반납","미반납"))))</f>
        <v/>
      </c>
    </row>
    <row r="672" customFormat="false" ht="15" hidden="false" customHeight="false" outlineLevel="0" collapsed="false">
      <c r="A672" s="14" t="str">
        <f aca="false">IF($B672="","",TEXT($B672,"yymmdd")&amp;"-"&amp;TEXT(COUNTIFS($B$3:$B672,$B672),"00"))</f>
        <v/>
      </c>
      <c r="B672" s="15"/>
      <c r="C672" s="9"/>
      <c r="D672" s="10"/>
      <c r="E672" s="14" t="str">
        <f aca="false">IF($D672="","",IFERROR(INDEX(품목목록!$B$3:$B$202,MATCH($D672,품목목록!$A$3:$A$202,0)),"미등록품번"))</f>
        <v/>
      </c>
      <c r="F672" s="14" t="str">
        <f aca="false">IF($D672="","",IFERROR(INDEX(품목목록!$D$3:$D$202,MATCH($D672,품목목록!$A$3:$A$202,0)),""))</f>
        <v/>
      </c>
      <c r="G672" s="11"/>
      <c r="H672" s="15"/>
      <c r="I672" s="16" t="str">
        <f aca="false">IF($A672="","",SUMIFS(반납내역!$D$3:$D$1502,반납내역!$B$3:$B$1502,$A672))</f>
        <v/>
      </c>
      <c r="J672" s="16" t="str">
        <f aca="false">IF($A672="","",IF($G672="","",$G672-$I672))</f>
        <v/>
      </c>
      <c r="K672" s="17" t="str">
        <f aca="true">IF(OR($A672="",$J672="",$J672&lt;=0,$H672=""),"",TODAY()-$H672)</f>
        <v/>
      </c>
      <c r="L672" s="14" t="str">
        <f aca="false">IF($A672="","",IF($G672="","",IF($J672&lt;=0,"반납완료",IF($I672&gt;0,"부분반납","미반납"))))</f>
        <v/>
      </c>
    </row>
    <row r="673" customFormat="false" ht="15" hidden="false" customHeight="false" outlineLevel="0" collapsed="false">
      <c r="A673" s="14" t="str">
        <f aca="false">IF($B673="","",TEXT($B673,"yymmdd")&amp;"-"&amp;TEXT(COUNTIFS($B$3:$B673,$B673),"00"))</f>
        <v/>
      </c>
      <c r="B673" s="15"/>
      <c r="C673" s="9"/>
      <c r="D673" s="10"/>
      <c r="E673" s="14" t="str">
        <f aca="false">IF($D673="","",IFERROR(INDEX(품목목록!$B$3:$B$202,MATCH($D673,품목목록!$A$3:$A$202,0)),"미등록품번"))</f>
        <v/>
      </c>
      <c r="F673" s="14" t="str">
        <f aca="false">IF($D673="","",IFERROR(INDEX(품목목록!$D$3:$D$202,MATCH($D673,품목목록!$A$3:$A$202,0)),""))</f>
        <v/>
      </c>
      <c r="G673" s="11"/>
      <c r="H673" s="15"/>
      <c r="I673" s="16" t="str">
        <f aca="false">IF($A673="","",SUMIFS(반납내역!$D$3:$D$1502,반납내역!$B$3:$B$1502,$A673))</f>
        <v/>
      </c>
      <c r="J673" s="16" t="str">
        <f aca="false">IF($A673="","",IF($G673="","",$G673-$I673))</f>
        <v/>
      </c>
      <c r="K673" s="17" t="str">
        <f aca="true">IF(OR($A673="",$J673="",$J673&lt;=0,$H673=""),"",TODAY()-$H673)</f>
        <v/>
      </c>
      <c r="L673" s="14" t="str">
        <f aca="false">IF($A673="","",IF($G673="","",IF($J673&lt;=0,"반납완료",IF($I673&gt;0,"부분반납","미반납"))))</f>
        <v/>
      </c>
    </row>
    <row r="674" customFormat="false" ht="15" hidden="false" customHeight="false" outlineLevel="0" collapsed="false">
      <c r="A674" s="14" t="str">
        <f aca="false">IF($B674="","",TEXT($B674,"yymmdd")&amp;"-"&amp;TEXT(COUNTIFS($B$3:$B674,$B674),"00"))</f>
        <v/>
      </c>
      <c r="B674" s="15"/>
      <c r="C674" s="9"/>
      <c r="D674" s="10"/>
      <c r="E674" s="14" t="str">
        <f aca="false">IF($D674="","",IFERROR(INDEX(품목목록!$B$3:$B$202,MATCH($D674,품목목록!$A$3:$A$202,0)),"미등록품번"))</f>
        <v/>
      </c>
      <c r="F674" s="14" t="str">
        <f aca="false">IF($D674="","",IFERROR(INDEX(품목목록!$D$3:$D$202,MATCH($D674,품목목록!$A$3:$A$202,0)),""))</f>
        <v/>
      </c>
      <c r="G674" s="11"/>
      <c r="H674" s="15"/>
      <c r="I674" s="16" t="str">
        <f aca="false">IF($A674="","",SUMIFS(반납내역!$D$3:$D$1502,반납내역!$B$3:$B$1502,$A674))</f>
        <v/>
      </c>
      <c r="J674" s="16" t="str">
        <f aca="false">IF($A674="","",IF($G674="","",$G674-$I674))</f>
        <v/>
      </c>
      <c r="K674" s="17" t="str">
        <f aca="true">IF(OR($A674="",$J674="",$J674&lt;=0,$H674=""),"",TODAY()-$H674)</f>
        <v/>
      </c>
      <c r="L674" s="14" t="str">
        <f aca="false">IF($A674="","",IF($G674="","",IF($J674&lt;=0,"반납완료",IF($I674&gt;0,"부분반납","미반납"))))</f>
        <v/>
      </c>
    </row>
    <row r="675" customFormat="false" ht="15" hidden="false" customHeight="false" outlineLevel="0" collapsed="false">
      <c r="A675" s="14" t="str">
        <f aca="false">IF($B675="","",TEXT($B675,"yymmdd")&amp;"-"&amp;TEXT(COUNTIFS($B$3:$B675,$B675),"00"))</f>
        <v/>
      </c>
      <c r="B675" s="15"/>
      <c r="C675" s="9"/>
      <c r="D675" s="10"/>
      <c r="E675" s="14" t="str">
        <f aca="false">IF($D675="","",IFERROR(INDEX(품목목록!$B$3:$B$202,MATCH($D675,품목목록!$A$3:$A$202,0)),"미등록품번"))</f>
        <v/>
      </c>
      <c r="F675" s="14" t="str">
        <f aca="false">IF($D675="","",IFERROR(INDEX(품목목록!$D$3:$D$202,MATCH($D675,품목목록!$A$3:$A$202,0)),""))</f>
        <v/>
      </c>
      <c r="G675" s="11"/>
      <c r="H675" s="15"/>
      <c r="I675" s="16" t="str">
        <f aca="false">IF($A675="","",SUMIFS(반납내역!$D$3:$D$1502,반납내역!$B$3:$B$1502,$A675))</f>
        <v/>
      </c>
      <c r="J675" s="16" t="str">
        <f aca="false">IF($A675="","",IF($G675="","",$G675-$I675))</f>
        <v/>
      </c>
      <c r="K675" s="17" t="str">
        <f aca="true">IF(OR($A675="",$J675="",$J675&lt;=0,$H675=""),"",TODAY()-$H675)</f>
        <v/>
      </c>
      <c r="L675" s="14" t="str">
        <f aca="false">IF($A675="","",IF($G675="","",IF($J675&lt;=0,"반납완료",IF($I675&gt;0,"부분반납","미반납"))))</f>
        <v/>
      </c>
    </row>
    <row r="676" customFormat="false" ht="15" hidden="false" customHeight="false" outlineLevel="0" collapsed="false">
      <c r="A676" s="14" t="str">
        <f aca="false">IF($B676="","",TEXT($B676,"yymmdd")&amp;"-"&amp;TEXT(COUNTIFS($B$3:$B676,$B676),"00"))</f>
        <v/>
      </c>
      <c r="B676" s="15"/>
      <c r="C676" s="9"/>
      <c r="D676" s="10"/>
      <c r="E676" s="14" t="str">
        <f aca="false">IF($D676="","",IFERROR(INDEX(품목목록!$B$3:$B$202,MATCH($D676,품목목록!$A$3:$A$202,0)),"미등록품번"))</f>
        <v/>
      </c>
      <c r="F676" s="14" t="str">
        <f aca="false">IF($D676="","",IFERROR(INDEX(품목목록!$D$3:$D$202,MATCH($D676,품목목록!$A$3:$A$202,0)),""))</f>
        <v/>
      </c>
      <c r="G676" s="11"/>
      <c r="H676" s="15"/>
      <c r="I676" s="16" t="str">
        <f aca="false">IF($A676="","",SUMIFS(반납내역!$D$3:$D$1502,반납내역!$B$3:$B$1502,$A676))</f>
        <v/>
      </c>
      <c r="J676" s="16" t="str">
        <f aca="false">IF($A676="","",IF($G676="","",$G676-$I676))</f>
        <v/>
      </c>
      <c r="K676" s="17" t="str">
        <f aca="true">IF(OR($A676="",$J676="",$J676&lt;=0,$H676=""),"",TODAY()-$H676)</f>
        <v/>
      </c>
      <c r="L676" s="14" t="str">
        <f aca="false">IF($A676="","",IF($G676="","",IF($J676&lt;=0,"반납완료",IF($I676&gt;0,"부분반납","미반납"))))</f>
        <v/>
      </c>
    </row>
    <row r="677" customFormat="false" ht="15" hidden="false" customHeight="false" outlineLevel="0" collapsed="false">
      <c r="A677" s="14" t="str">
        <f aca="false">IF($B677="","",TEXT($B677,"yymmdd")&amp;"-"&amp;TEXT(COUNTIFS($B$3:$B677,$B677),"00"))</f>
        <v/>
      </c>
      <c r="B677" s="15"/>
      <c r="C677" s="9"/>
      <c r="D677" s="10"/>
      <c r="E677" s="14" t="str">
        <f aca="false">IF($D677="","",IFERROR(INDEX(품목목록!$B$3:$B$202,MATCH($D677,품목목록!$A$3:$A$202,0)),"미등록품번"))</f>
        <v/>
      </c>
      <c r="F677" s="14" t="str">
        <f aca="false">IF($D677="","",IFERROR(INDEX(품목목록!$D$3:$D$202,MATCH($D677,품목목록!$A$3:$A$202,0)),""))</f>
        <v/>
      </c>
      <c r="G677" s="11"/>
      <c r="H677" s="15"/>
      <c r="I677" s="16" t="str">
        <f aca="false">IF($A677="","",SUMIFS(반납내역!$D$3:$D$1502,반납내역!$B$3:$B$1502,$A677))</f>
        <v/>
      </c>
      <c r="J677" s="16" t="str">
        <f aca="false">IF($A677="","",IF($G677="","",$G677-$I677))</f>
        <v/>
      </c>
      <c r="K677" s="17" t="str">
        <f aca="true">IF(OR($A677="",$J677="",$J677&lt;=0,$H677=""),"",TODAY()-$H677)</f>
        <v/>
      </c>
      <c r="L677" s="14" t="str">
        <f aca="false">IF($A677="","",IF($G677="","",IF($J677&lt;=0,"반납완료",IF($I677&gt;0,"부분반납","미반납"))))</f>
        <v/>
      </c>
    </row>
    <row r="678" customFormat="false" ht="15" hidden="false" customHeight="false" outlineLevel="0" collapsed="false">
      <c r="A678" s="14" t="str">
        <f aca="false">IF($B678="","",TEXT($B678,"yymmdd")&amp;"-"&amp;TEXT(COUNTIFS($B$3:$B678,$B678),"00"))</f>
        <v/>
      </c>
      <c r="B678" s="15"/>
      <c r="C678" s="9"/>
      <c r="D678" s="10"/>
      <c r="E678" s="14" t="str">
        <f aca="false">IF($D678="","",IFERROR(INDEX(품목목록!$B$3:$B$202,MATCH($D678,품목목록!$A$3:$A$202,0)),"미등록품번"))</f>
        <v/>
      </c>
      <c r="F678" s="14" t="str">
        <f aca="false">IF($D678="","",IFERROR(INDEX(품목목록!$D$3:$D$202,MATCH($D678,품목목록!$A$3:$A$202,0)),""))</f>
        <v/>
      </c>
      <c r="G678" s="11"/>
      <c r="H678" s="15"/>
      <c r="I678" s="16" t="str">
        <f aca="false">IF($A678="","",SUMIFS(반납내역!$D$3:$D$1502,반납내역!$B$3:$B$1502,$A678))</f>
        <v/>
      </c>
      <c r="J678" s="16" t="str">
        <f aca="false">IF($A678="","",IF($G678="","",$G678-$I678))</f>
        <v/>
      </c>
      <c r="K678" s="17" t="str">
        <f aca="true">IF(OR($A678="",$J678="",$J678&lt;=0,$H678=""),"",TODAY()-$H678)</f>
        <v/>
      </c>
      <c r="L678" s="14" t="str">
        <f aca="false">IF($A678="","",IF($G678="","",IF($J678&lt;=0,"반납완료",IF($I678&gt;0,"부분반납","미반납"))))</f>
        <v/>
      </c>
    </row>
    <row r="679" customFormat="false" ht="15" hidden="false" customHeight="false" outlineLevel="0" collapsed="false">
      <c r="A679" s="14" t="str">
        <f aca="false">IF($B679="","",TEXT($B679,"yymmdd")&amp;"-"&amp;TEXT(COUNTIFS($B$3:$B679,$B679),"00"))</f>
        <v/>
      </c>
      <c r="B679" s="15"/>
      <c r="C679" s="9"/>
      <c r="D679" s="10"/>
      <c r="E679" s="14" t="str">
        <f aca="false">IF($D679="","",IFERROR(INDEX(품목목록!$B$3:$B$202,MATCH($D679,품목목록!$A$3:$A$202,0)),"미등록품번"))</f>
        <v/>
      </c>
      <c r="F679" s="14" t="str">
        <f aca="false">IF($D679="","",IFERROR(INDEX(품목목록!$D$3:$D$202,MATCH($D679,품목목록!$A$3:$A$202,0)),""))</f>
        <v/>
      </c>
      <c r="G679" s="11"/>
      <c r="H679" s="15"/>
      <c r="I679" s="16" t="str">
        <f aca="false">IF($A679="","",SUMIFS(반납내역!$D$3:$D$1502,반납내역!$B$3:$B$1502,$A679))</f>
        <v/>
      </c>
      <c r="J679" s="16" t="str">
        <f aca="false">IF($A679="","",IF($G679="","",$G679-$I679))</f>
        <v/>
      </c>
      <c r="K679" s="17" t="str">
        <f aca="true">IF(OR($A679="",$J679="",$J679&lt;=0,$H679=""),"",TODAY()-$H679)</f>
        <v/>
      </c>
      <c r="L679" s="14" t="str">
        <f aca="false">IF($A679="","",IF($G679="","",IF($J679&lt;=0,"반납완료",IF($I679&gt;0,"부분반납","미반납"))))</f>
        <v/>
      </c>
    </row>
    <row r="680" customFormat="false" ht="15" hidden="false" customHeight="false" outlineLevel="0" collapsed="false">
      <c r="A680" s="14" t="str">
        <f aca="false">IF($B680="","",TEXT($B680,"yymmdd")&amp;"-"&amp;TEXT(COUNTIFS($B$3:$B680,$B680),"00"))</f>
        <v/>
      </c>
      <c r="B680" s="15"/>
      <c r="C680" s="9"/>
      <c r="D680" s="10"/>
      <c r="E680" s="14" t="str">
        <f aca="false">IF($D680="","",IFERROR(INDEX(품목목록!$B$3:$B$202,MATCH($D680,품목목록!$A$3:$A$202,0)),"미등록품번"))</f>
        <v/>
      </c>
      <c r="F680" s="14" t="str">
        <f aca="false">IF($D680="","",IFERROR(INDEX(품목목록!$D$3:$D$202,MATCH($D680,품목목록!$A$3:$A$202,0)),""))</f>
        <v/>
      </c>
      <c r="G680" s="11"/>
      <c r="H680" s="15"/>
      <c r="I680" s="16" t="str">
        <f aca="false">IF($A680="","",SUMIFS(반납내역!$D$3:$D$1502,반납내역!$B$3:$B$1502,$A680))</f>
        <v/>
      </c>
      <c r="J680" s="16" t="str">
        <f aca="false">IF($A680="","",IF($G680="","",$G680-$I680))</f>
        <v/>
      </c>
      <c r="K680" s="17" t="str">
        <f aca="true">IF(OR($A680="",$J680="",$J680&lt;=0,$H680=""),"",TODAY()-$H680)</f>
        <v/>
      </c>
      <c r="L680" s="14" t="str">
        <f aca="false">IF($A680="","",IF($G680="","",IF($J680&lt;=0,"반납완료",IF($I680&gt;0,"부분반납","미반납"))))</f>
        <v/>
      </c>
    </row>
    <row r="681" customFormat="false" ht="15" hidden="false" customHeight="false" outlineLevel="0" collapsed="false">
      <c r="A681" s="14" t="str">
        <f aca="false">IF($B681="","",TEXT($B681,"yymmdd")&amp;"-"&amp;TEXT(COUNTIFS($B$3:$B681,$B681),"00"))</f>
        <v/>
      </c>
      <c r="B681" s="15"/>
      <c r="C681" s="9"/>
      <c r="D681" s="10"/>
      <c r="E681" s="14" t="str">
        <f aca="false">IF($D681="","",IFERROR(INDEX(품목목록!$B$3:$B$202,MATCH($D681,품목목록!$A$3:$A$202,0)),"미등록품번"))</f>
        <v/>
      </c>
      <c r="F681" s="14" t="str">
        <f aca="false">IF($D681="","",IFERROR(INDEX(품목목록!$D$3:$D$202,MATCH($D681,품목목록!$A$3:$A$202,0)),""))</f>
        <v/>
      </c>
      <c r="G681" s="11"/>
      <c r="H681" s="15"/>
      <c r="I681" s="16" t="str">
        <f aca="false">IF($A681="","",SUMIFS(반납내역!$D$3:$D$1502,반납내역!$B$3:$B$1502,$A681))</f>
        <v/>
      </c>
      <c r="J681" s="16" t="str">
        <f aca="false">IF($A681="","",IF($G681="","",$G681-$I681))</f>
        <v/>
      </c>
      <c r="K681" s="17" t="str">
        <f aca="true">IF(OR($A681="",$J681="",$J681&lt;=0,$H681=""),"",TODAY()-$H681)</f>
        <v/>
      </c>
      <c r="L681" s="14" t="str">
        <f aca="false">IF($A681="","",IF($G681="","",IF($J681&lt;=0,"반납완료",IF($I681&gt;0,"부분반납","미반납"))))</f>
        <v/>
      </c>
    </row>
    <row r="682" customFormat="false" ht="15" hidden="false" customHeight="false" outlineLevel="0" collapsed="false">
      <c r="A682" s="14" t="str">
        <f aca="false">IF($B682="","",TEXT($B682,"yymmdd")&amp;"-"&amp;TEXT(COUNTIFS($B$3:$B682,$B682),"00"))</f>
        <v/>
      </c>
      <c r="B682" s="15"/>
      <c r="C682" s="9"/>
      <c r="D682" s="10"/>
      <c r="E682" s="14" t="str">
        <f aca="false">IF($D682="","",IFERROR(INDEX(품목목록!$B$3:$B$202,MATCH($D682,품목목록!$A$3:$A$202,0)),"미등록품번"))</f>
        <v/>
      </c>
      <c r="F682" s="14" t="str">
        <f aca="false">IF($D682="","",IFERROR(INDEX(품목목록!$D$3:$D$202,MATCH($D682,품목목록!$A$3:$A$202,0)),""))</f>
        <v/>
      </c>
      <c r="G682" s="11"/>
      <c r="H682" s="15"/>
      <c r="I682" s="16" t="str">
        <f aca="false">IF($A682="","",SUMIFS(반납내역!$D$3:$D$1502,반납내역!$B$3:$B$1502,$A682))</f>
        <v/>
      </c>
      <c r="J682" s="16" t="str">
        <f aca="false">IF($A682="","",IF($G682="","",$G682-$I682))</f>
        <v/>
      </c>
      <c r="K682" s="17" t="str">
        <f aca="true">IF(OR($A682="",$J682="",$J682&lt;=0,$H682=""),"",TODAY()-$H682)</f>
        <v/>
      </c>
      <c r="L682" s="14" t="str">
        <f aca="false">IF($A682="","",IF($G682="","",IF($J682&lt;=0,"반납완료",IF($I682&gt;0,"부분반납","미반납"))))</f>
        <v/>
      </c>
    </row>
    <row r="683" customFormat="false" ht="15" hidden="false" customHeight="false" outlineLevel="0" collapsed="false">
      <c r="A683" s="14" t="str">
        <f aca="false">IF($B683="","",TEXT($B683,"yymmdd")&amp;"-"&amp;TEXT(COUNTIFS($B$3:$B683,$B683),"00"))</f>
        <v/>
      </c>
      <c r="B683" s="15"/>
      <c r="C683" s="9"/>
      <c r="D683" s="10"/>
      <c r="E683" s="14" t="str">
        <f aca="false">IF($D683="","",IFERROR(INDEX(품목목록!$B$3:$B$202,MATCH($D683,품목목록!$A$3:$A$202,0)),"미등록품번"))</f>
        <v/>
      </c>
      <c r="F683" s="14" t="str">
        <f aca="false">IF($D683="","",IFERROR(INDEX(품목목록!$D$3:$D$202,MATCH($D683,품목목록!$A$3:$A$202,0)),""))</f>
        <v/>
      </c>
      <c r="G683" s="11"/>
      <c r="H683" s="15"/>
      <c r="I683" s="16" t="str">
        <f aca="false">IF($A683="","",SUMIFS(반납내역!$D$3:$D$1502,반납내역!$B$3:$B$1502,$A683))</f>
        <v/>
      </c>
      <c r="J683" s="16" t="str">
        <f aca="false">IF($A683="","",IF($G683="","",$G683-$I683))</f>
        <v/>
      </c>
      <c r="K683" s="17" t="str">
        <f aca="true">IF(OR($A683="",$J683="",$J683&lt;=0,$H683=""),"",TODAY()-$H683)</f>
        <v/>
      </c>
      <c r="L683" s="14" t="str">
        <f aca="false">IF($A683="","",IF($G683="","",IF($J683&lt;=0,"반납완료",IF($I683&gt;0,"부분반납","미반납"))))</f>
        <v/>
      </c>
    </row>
    <row r="684" customFormat="false" ht="15" hidden="false" customHeight="false" outlineLevel="0" collapsed="false">
      <c r="A684" s="14" t="str">
        <f aca="false">IF($B684="","",TEXT($B684,"yymmdd")&amp;"-"&amp;TEXT(COUNTIFS($B$3:$B684,$B684),"00"))</f>
        <v/>
      </c>
      <c r="B684" s="15"/>
      <c r="C684" s="9"/>
      <c r="D684" s="10"/>
      <c r="E684" s="14" t="str">
        <f aca="false">IF($D684="","",IFERROR(INDEX(품목목록!$B$3:$B$202,MATCH($D684,품목목록!$A$3:$A$202,0)),"미등록품번"))</f>
        <v/>
      </c>
      <c r="F684" s="14" t="str">
        <f aca="false">IF($D684="","",IFERROR(INDEX(품목목록!$D$3:$D$202,MATCH($D684,품목목록!$A$3:$A$202,0)),""))</f>
        <v/>
      </c>
      <c r="G684" s="11"/>
      <c r="H684" s="15"/>
      <c r="I684" s="16" t="str">
        <f aca="false">IF($A684="","",SUMIFS(반납내역!$D$3:$D$1502,반납내역!$B$3:$B$1502,$A684))</f>
        <v/>
      </c>
      <c r="J684" s="16" t="str">
        <f aca="false">IF($A684="","",IF($G684="","",$G684-$I684))</f>
        <v/>
      </c>
      <c r="K684" s="17" t="str">
        <f aca="true">IF(OR($A684="",$J684="",$J684&lt;=0,$H684=""),"",TODAY()-$H684)</f>
        <v/>
      </c>
      <c r="L684" s="14" t="str">
        <f aca="false">IF($A684="","",IF($G684="","",IF($J684&lt;=0,"반납완료",IF($I684&gt;0,"부분반납","미반납"))))</f>
        <v/>
      </c>
    </row>
    <row r="685" customFormat="false" ht="15" hidden="false" customHeight="false" outlineLevel="0" collapsed="false">
      <c r="A685" s="14" t="str">
        <f aca="false">IF($B685="","",TEXT($B685,"yymmdd")&amp;"-"&amp;TEXT(COUNTIFS($B$3:$B685,$B685),"00"))</f>
        <v/>
      </c>
      <c r="B685" s="15"/>
      <c r="C685" s="9"/>
      <c r="D685" s="10"/>
      <c r="E685" s="14" t="str">
        <f aca="false">IF($D685="","",IFERROR(INDEX(품목목록!$B$3:$B$202,MATCH($D685,품목목록!$A$3:$A$202,0)),"미등록품번"))</f>
        <v/>
      </c>
      <c r="F685" s="14" t="str">
        <f aca="false">IF($D685="","",IFERROR(INDEX(품목목록!$D$3:$D$202,MATCH($D685,품목목록!$A$3:$A$202,0)),""))</f>
        <v/>
      </c>
      <c r="G685" s="11"/>
      <c r="H685" s="15"/>
      <c r="I685" s="16" t="str">
        <f aca="false">IF($A685="","",SUMIFS(반납내역!$D$3:$D$1502,반납내역!$B$3:$B$1502,$A685))</f>
        <v/>
      </c>
      <c r="J685" s="16" t="str">
        <f aca="false">IF($A685="","",IF($G685="","",$G685-$I685))</f>
        <v/>
      </c>
      <c r="K685" s="17" t="str">
        <f aca="true">IF(OR($A685="",$J685="",$J685&lt;=0,$H685=""),"",TODAY()-$H685)</f>
        <v/>
      </c>
      <c r="L685" s="14" t="str">
        <f aca="false">IF($A685="","",IF($G685="","",IF($J685&lt;=0,"반납완료",IF($I685&gt;0,"부분반납","미반납"))))</f>
        <v/>
      </c>
    </row>
    <row r="686" customFormat="false" ht="15" hidden="false" customHeight="false" outlineLevel="0" collapsed="false">
      <c r="A686" s="14" t="str">
        <f aca="false">IF($B686="","",TEXT($B686,"yymmdd")&amp;"-"&amp;TEXT(COUNTIFS($B$3:$B686,$B686),"00"))</f>
        <v/>
      </c>
      <c r="B686" s="15"/>
      <c r="C686" s="9"/>
      <c r="D686" s="10"/>
      <c r="E686" s="14" t="str">
        <f aca="false">IF($D686="","",IFERROR(INDEX(품목목록!$B$3:$B$202,MATCH($D686,품목목록!$A$3:$A$202,0)),"미등록품번"))</f>
        <v/>
      </c>
      <c r="F686" s="14" t="str">
        <f aca="false">IF($D686="","",IFERROR(INDEX(품목목록!$D$3:$D$202,MATCH($D686,품목목록!$A$3:$A$202,0)),""))</f>
        <v/>
      </c>
      <c r="G686" s="11"/>
      <c r="H686" s="15"/>
      <c r="I686" s="16" t="str">
        <f aca="false">IF($A686="","",SUMIFS(반납내역!$D$3:$D$1502,반납내역!$B$3:$B$1502,$A686))</f>
        <v/>
      </c>
      <c r="J686" s="16" t="str">
        <f aca="false">IF($A686="","",IF($G686="","",$G686-$I686))</f>
        <v/>
      </c>
      <c r="K686" s="17" t="str">
        <f aca="true">IF(OR($A686="",$J686="",$J686&lt;=0,$H686=""),"",TODAY()-$H686)</f>
        <v/>
      </c>
      <c r="L686" s="14" t="str">
        <f aca="false">IF($A686="","",IF($G686="","",IF($J686&lt;=0,"반납완료",IF($I686&gt;0,"부분반납","미반납"))))</f>
        <v/>
      </c>
    </row>
    <row r="687" customFormat="false" ht="15" hidden="false" customHeight="false" outlineLevel="0" collapsed="false">
      <c r="A687" s="14" t="str">
        <f aca="false">IF($B687="","",TEXT($B687,"yymmdd")&amp;"-"&amp;TEXT(COUNTIFS($B$3:$B687,$B687),"00"))</f>
        <v/>
      </c>
      <c r="B687" s="15"/>
      <c r="C687" s="9"/>
      <c r="D687" s="10"/>
      <c r="E687" s="14" t="str">
        <f aca="false">IF($D687="","",IFERROR(INDEX(품목목록!$B$3:$B$202,MATCH($D687,품목목록!$A$3:$A$202,0)),"미등록품번"))</f>
        <v/>
      </c>
      <c r="F687" s="14" t="str">
        <f aca="false">IF($D687="","",IFERROR(INDEX(품목목록!$D$3:$D$202,MATCH($D687,품목목록!$A$3:$A$202,0)),""))</f>
        <v/>
      </c>
      <c r="G687" s="11"/>
      <c r="H687" s="15"/>
      <c r="I687" s="16" t="str">
        <f aca="false">IF($A687="","",SUMIFS(반납내역!$D$3:$D$1502,반납내역!$B$3:$B$1502,$A687))</f>
        <v/>
      </c>
      <c r="J687" s="16" t="str">
        <f aca="false">IF($A687="","",IF($G687="","",$G687-$I687))</f>
        <v/>
      </c>
      <c r="K687" s="17" t="str">
        <f aca="true">IF(OR($A687="",$J687="",$J687&lt;=0,$H687=""),"",TODAY()-$H687)</f>
        <v/>
      </c>
      <c r="L687" s="14" t="str">
        <f aca="false">IF($A687="","",IF($G687="","",IF($J687&lt;=0,"반납완료",IF($I687&gt;0,"부분반납","미반납"))))</f>
        <v/>
      </c>
    </row>
    <row r="688" customFormat="false" ht="15" hidden="false" customHeight="false" outlineLevel="0" collapsed="false">
      <c r="A688" s="14" t="str">
        <f aca="false">IF($B688="","",TEXT($B688,"yymmdd")&amp;"-"&amp;TEXT(COUNTIFS($B$3:$B688,$B688),"00"))</f>
        <v/>
      </c>
      <c r="B688" s="15"/>
      <c r="C688" s="9"/>
      <c r="D688" s="10"/>
      <c r="E688" s="14" t="str">
        <f aca="false">IF($D688="","",IFERROR(INDEX(품목목록!$B$3:$B$202,MATCH($D688,품목목록!$A$3:$A$202,0)),"미등록품번"))</f>
        <v/>
      </c>
      <c r="F688" s="14" t="str">
        <f aca="false">IF($D688="","",IFERROR(INDEX(품목목록!$D$3:$D$202,MATCH($D688,품목목록!$A$3:$A$202,0)),""))</f>
        <v/>
      </c>
      <c r="G688" s="11"/>
      <c r="H688" s="15"/>
      <c r="I688" s="16" t="str">
        <f aca="false">IF($A688="","",SUMIFS(반납내역!$D$3:$D$1502,반납내역!$B$3:$B$1502,$A688))</f>
        <v/>
      </c>
      <c r="J688" s="16" t="str">
        <f aca="false">IF($A688="","",IF($G688="","",$G688-$I688))</f>
        <v/>
      </c>
      <c r="K688" s="17" t="str">
        <f aca="true">IF(OR($A688="",$J688="",$J688&lt;=0,$H688=""),"",TODAY()-$H688)</f>
        <v/>
      </c>
      <c r="L688" s="14" t="str">
        <f aca="false">IF($A688="","",IF($G688="","",IF($J688&lt;=0,"반납완료",IF($I688&gt;0,"부분반납","미반납"))))</f>
        <v/>
      </c>
    </row>
    <row r="689" customFormat="false" ht="15" hidden="false" customHeight="false" outlineLevel="0" collapsed="false">
      <c r="A689" s="14" t="str">
        <f aca="false">IF($B689="","",TEXT($B689,"yymmdd")&amp;"-"&amp;TEXT(COUNTIFS($B$3:$B689,$B689),"00"))</f>
        <v/>
      </c>
      <c r="B689" s="15"/>
      <c r="C689" s="9"/>
      <c r="D689" s="10"/>
      <c r="E689" s="14" t="str">
        <f aca="false">IF($D689="","",IFERROR(INDEX(품목목록!$B$3:$B$202,MATCH($D689,품목목록!$A$3:$A$202,0)),"미등록품번"))</f>
        <v/>
      </c>
      <c r="F689" s="14" t="str">
        <f aca="false">IF($D689="","",IFERROR(INDEX(품목목록!$D$3:$D$202,MATCH($D689,품목목록!$A$3:$A$202,0)),""))</f>
        <v/>
      </c>
      <c r="G689" s="11"/>
      <c r="H689" s="15"/>
      <c r="I689" s="16" t="str">
        <f aca="false">IF($A689="","",SUMIFS(반납내역!$D$3:$D$1502,반납내역!$B$3:$B$1502,$A689))</f>
        <v/>
      </c>
      <c r="J689" s="16" t="str">
        <f aca="false">IF($A689="","",IF($G689="","",$G689-$I689))</f>
        <v/>
      </c>
      <c r="K689" s="17" t="str">
        <f aca="true">IF(OR($A689="",$J689="",$J689&lt;=0,$H689=""),"",TODAY()-$H689)</f>
        <v/>
      </c>
      <c r="L689" s="14" t="str">
        <f aca="false">IF($A689="","",IF($G689="","",IF($J689&lt;=0,"반납완료",IF($I689&gt;0,"부분반납","미반납"))))</f>
        <v/>
      </c>
    </row>
    <row r="690" customFormat="false" ht="15" hidden="false" customHeight="false" outlineLevel="0" collapsed="false">
      <c r="A690" s="14" t="str">
        <f aca="false">IF($B690="","",TEXT($B690,"yymmdd")&amp;"-"&amp;TEXT(COUNTIFS($B$3:$B690,$B690),"00"))</f>
        <v/>
      </c>
      <c r="B690" s="15"/>
      <c r="C690" s="9"/>
      <c r="D690" s="10"/>
      <c r="E690" s="14" t="str">
        <f aca="false">IF($D690="","",IFERROR(INDEX(품목목록!$B$3:$B$202,MATCH($D690,품목목록!$A$3:$A$202,0)),"미등록품번"))</f>
        <v/>
      </c>
      <c r="F690" s="14" t="str">
        <f aca="false">IF($D690="","",IFERROR(INDEX(품목목록!$D$3:$D$202,MATCH($D690,품목목록!$A$3:$A$202,0)),""))</f>
        <v/>
      </c>
      <c r="G690" s="11"/>
      <c r="H690" s="15"/>
      <c r="I690" s="16" t="str">
        <f aca="false">IF($A690="","",SUMIFS(반납내역!$D$3:$D$1502,반납내역!$B$3:$B$1502,$A690))</f>
        <v/>
      </c>
      <c r="J690" s="16" t="str">
        <f aca="false">IF($A690="","",IF($G690="","",$G690-$I690))</f>
        <v/>
      </c>
      <c r="K690" s="17" t="str">
        <f aca="true">IF(OR($A690="",$J690="",$J690&lt;=0,$H690=""),"",TODAY()-$H690)</f>
        <v/>
      </c>
      <c r="L690" s="14" t="str">
        <f aca="false">IF($A690="","",IF($G690="","",IF($J690&lt;=0,"반납완료",IF($I690&gt;0,"부분반납","미반납"))))</f>
        <v/>
      </c>
    </row>
    <row r="691" customFormat="false" ht="15" hidden="false" customHeight="false" outlineLevel="0" collapsed="false">
      <c r="A691" s="14" t="str">
        <f aca="false">IF($B691="","",TEXT($B691,"yymmdd")&amp;"-"&amp;TEXT(COUNTIFS($B$3:$B691,$B691),"00"))</f>
        <v/>
      </c>
      <c r="B691" s="15"/>
      <c r="C691" s="9"/>
      <c r="D691" s="10"/>
      <c r="E691" s="14" t="str">
        <f aca="false">IF($D691="","",IFERROR(INDEX(품목목록!$B$3:$B$202,MATCH($D691,품목목록!$A$3:$A$202,0)),"미등록품번"))</f>
        <v/>
      </c>
      <c r="F691" s="14" t="str">
        <f aca="false">IF($D691="","",IFERROR(INDEX(품목목록!$D$3:$D$202,MATCH($D691,품목목록!$A$3:$A$202,0)),""))</f>
        <v/>
      </c>
      <c r="G691" s="11"/>
      <c r="H691" s="15"/>
      <c r="I691" s="16" t="str">
        <f aca="false">IF($A691="","",SUMIFS(반납내역!$D$3:$D$1502,반납내역!$B$3:$B$1502,$A691))</f>
        <v/>
      </c>
      <c r="J691" s="16" t="str">
        <f aca="false">IF($A691="","",IF($G691="","",$G691-$I691))</f>
        <v/>
      </c>
      <c r="K691" s="17" t="str">
        <f aca="true">IF(OR($A691="",$J691="",$J691&lt;=0,$H691=""),"",TODAY()-$H691)</f>
        <v/>
      </c>
      <c r="L691" s="14" t="str">
        <f aca="false">IF($A691="","",IF($G691="","",IF($J691&lt;=0,"반납완료",IF($I691&gt;0,"부분반납","미반납"))))</f>
        <v/>
      </c>
    </row>
    <row r="692" customFormat="false" ht="15" hidden="false" customHeight="false" outlineLevel="0" collapsed="false">
      <c r="A692" s="14" t="str">
        <f aca="false">IF($B692="","",TEXT($B692,"yymmdd")&amp;"-"&amp;TEXT(COUNTIFS($B$3:$B692,$B692),"00"))</f>
        <v/>
      </c>
      <c r="B692" s="15"/>
      <c r="C692" s="9"/>
      <c r="D692" s="10"/>
      <c r="E692" s="14" t="str">
        <f aca="false">IF($D692="","",IFERROR(INDEX(품목목록!$B$3:$B$202,MATCH($D692,품목목록!$A$3:$A$202,0)),"미등록품번"))</f>
        <v/>
      </c>
      <c r="F692" s="14" t="str">
        <f aca="false">IF($D692="","",IFERROR(INDEX(품목목록!$D$3:$D$202,MATCH($D692,품목목록!$A$3:$A$202,0)),""))</f>
        <v/>
      </c>
      <c r="G692" s="11"/>
      <c r="H692" s="15"/>
      <c r="I692" s="16" t="str">
        <f aca="false">IF($A692="","",SUMIFS(반납내역!$D$3:$D$1502,반납내역!$B$3:$B$1502,$A692))</f>
        <v/>
      </c>
      <c r="J692" s="16" t="str">
        <f aca="false">IF($A692="","",IF($G692="","",$G692-$I692))</f>
        <v/>
      </c>
      <c r="K692" s="17" t="str">
        <f aca="true">IF(OR($A692="",$J692="",$J692&lt;=0,$H692=""),"",TODAY()-$H692)</f>
        <v/>
      </c>
      <c r="L692" s="14" t="str">
        <f aca="false">IF($A692="","",IF($G692="","",IF($J692&lt;=0,"반납완료",IF($I692&gt;0,"부분반납","미반납"))))</f>
        <v/>
      </c>
    </row>
    <row r="693" customFormat="false" ht="15" hidden="false" customHeight="false" outlineLevel="0" collapsed="false">
      <c r="A693" s="14" t="str">
        <f aca="false">IF($B693="","",TEXT($B693,"yymmdd")&amp;"-"&amp;TEXT(COUNTIFS($B$3:$B693,$B693),"00"))</f>
        <v/>
      </c>
      <c r="B693" s="15"/>
      <c r="C693" s="9"/>
      <c r="D693" s="10"/>
      <c r="E693" s="14" t="str">
        <f aca="false">IF($D693="","",IFERROR(INDEX(품목목록!$B$3:$B$202,MATCH($D693,품목목록!$A$3:$A$202,0)),"미등록품번"))</f>
        <v/>
      </c>
      <c r="F693" s="14" t="str">
        <f aca="false">IF($D693="","",IFERROR(INDEX(품목목록!$D$3:$D$202,MATCH($D693,품목목록!$A$3:$A$202,0)),""))</f>
        <v/>
      </c>
      <c r="G693" s="11"/>
      <c r="H693" s="15"/>
      <c r="I693" s="16" t="str">
        <f aca="false">IF($A693="","",SUMIFS(반납내역!$D$3:$D$1502,반납내역!$B$3:$B$1502,$A693))</f>
        <v/>
      </c>
      <c r="J693" s="16" t="str">
        <f aca="false">IF($A693="","",IF($G693="","",$G693-$I693))</f>
        <v/>
      </c>
      <c r="K693" s="17" t="str">
        <f aca="true">IF(OR($A693="",$J693="",$J693&lt;=0,$H693=""),"",TODAY()-$H693)</f>
        <v/>
      </c>
      <c r="L693" s="14" t="str">
        <f aca="false">IF($A693="","",IF($G693="","",IF($J693&lt;=0,"반납완료",IF($I693&gt;0,"부분반납","미반납"))))</f>
        <v/>
      </c>
    </row>
    <row r="694" customFormat="false" ht="15" hidden="false" customHeight="false" outlineLevel="0" collapsed="false">
      <c r="A694" s="14" t="str">
        <f aca="false">IF($B694="","",TEXT($B694,"yymmdd")&amp;"-"&amp;TEXT(COUNTIFS($B$3:$B694,$B694),"00"))</f>
        <v/>
      </c>
      <c r="B694" s="15"/>
      <c r="C694" s="9"/>
      <c r="D694" s="10"/>
      <c r="E694" s="14" t="str">
        <f aca="false">IF($D694="","",IFERROR(INDEX(품목목록!$B$3:$B$202,MATCH($D694,품목목록!$A$3:$A$202,0)),"미등록품번"))</f>
        <v/>
      </c>
      <c r="F694" s="14" t="str">
        <f aca="false">IF($D694="","",IFERROR(INDEX(품목목록!$D$3:$D$202,MATCH($D694,품목목록!$A$3:$A$202,0)),""))</f>
        <v/>
      </c>
      <c r="G694" s="11"/>
      <c r="H694" s="15"/>
      <c r="I694" s="16" t="str">
        <f aca="false">IF($A694="","",SUMIFS(반납내역!$D$3:$D$1502,반납내역!$B$3:$B$1502,$A694))</f>
        <v/>
      </c>
      <c r="J694" s="16" t="str">
        <f aca="false">IF($A694="","",IF($G694="","",$G694-$I694))</f>
        <v/>
      </c>
      <c r="K694" s="17" t="str">
        <f aca="true">IF(OR($A694="",$J694="",$J694&lt;=0,$H694=""),"",TODAY()-$H694)</f>
        <v/>
      </c>
      <c r="L694" s="14" t="str">
        <f aca="false">IF($A694="","",IF($G694="","",IF($J694&lt;=0,"반납완료",IF($I694&gt;0,"부분반납","미반납"))))</f>
        <v/>
      </c>
    </row>
    <row r="695" customFormat="false" ht="15" hidden="false" customHeight="false" outlineLevel="0" collapsed="false">
      <c r="A695" s="14" t="str">
        <f aca="false">IF($B695="","",TEXT($B695,"yymmdd")&amp;"-"&amp;TEXT(COUNTIFS($B$3:$B695,$B695),"00"))</f>
        <v/>
      </c>
      <c r="B695" s="15"/>
      <c r="C695" s="9"/>
      <c r="D695" s="10"/>
      <c r="E695" s="14" t="str">
        <f aca="false">IF($D695="","",IFERROR(INDEX(품목목록!$B$3:$B$202,MATCH($D695,품목목록!$A$3:$A$202,0)),"미등록품번"))</f>
        <v/>
      </c>
      <c r="F695" s="14" t="str">
        <f aca="false">IF($D695="","",IFERROR(INDEX(품목목록!$D$3:$D$202,MATCH($D695,품목목록!$A$3:$A$202,0)),""))</f>
        <v/>
      </c>
      <c r="G695" s="11"/>
      <c r="H695" s="15"/>
      <c r="I695" s="16" t="str">
        <f aca="false">IF($A695="","",SUMIFS(반납내역!$D$3:$D$1502,반납내역!$B$3:$B$1502,$A695))</f>
        <v/>
      </c>
      <c r="J695" s="16" t="str">
        <f aca="false">IF($A695="","",IF($G695="","",$G695-$I695))</f>
        <v/>
      </c>
      <c r="K695" s="17" t="str">
        <f aca="true">IF(OR($A695="",$J695="",$J695&lt;=0,$H695=""),"",TODAY()-$H695)</f>
        <v/>
      </c>
      <c r="L695" s="14" t="str">
        <f aca="false">IF($A695="","",IF($G695="","",IF($J695&lt;=0,"반납완료",IF($I695&gt;0,"부분반납","미반납"))))</f>
        <v/>
      </c>
    </row>
    <row r="696" customFormat="false" ht="15" hidden="false" customHeight="false" outlineLevel="0" collapsed="false">
      <c r="A696" s="14" t="str">
        <f aca="false">IF($B696="","",TEXT($B696,"yymmdd")&amp;"-"&amp;TEXT(COUNTIFS($B$3:$B696,$B696),"00"))</f>
        <v/>
      </c>
      <c r="B696" s="15"/>
      <c r="C696" s="9"/>
      <c r="D696" s="10"/>
      <c r="E696" s="14" t="str">
        <f aca="false">IF($D696="","",IFERROR(INDEX(품목목록!$B$3:$B$202,MATCH($D696,품목목록!$A$3:$A$202,0)),"미등록품번"))</f>
        <v/>
      </c>
      <c r="F696" s="14" t="str">
        <f aca="false">IF($D696="","",IFERROR(INDEX(품목목록!$D$3:$D$202,MATCH($D696,품목목록!$A$3:$A$202,0)),""))</f>
        <v/>
      </c>
      <c r="G696" s="11"/>
      <c r="H696" s="15"/>
      <c r="I696" s="16" t="str">
        <f aca="false">IF($A696="","",SUMIFS(반납내역!$D$3:$D$1502,반납내역!$B$3:$B$1502,$A696))</f>
        <v/>
      </c>
      <c r="J696" s="16" t="str">
        <f aca="false">IF($A696="","",IF($G696="","",$G696-$I696))</f>
        <v/>
      </c>
      <c r="K696" s="17" t="str">
        <f aca="true">IF(OR($A696="",$J696="",$J696&lt;=0,$H696=""),"",TODAY()-$H696)</f>
        <v/>
      </c>
      <c r="L696" s="14" t="str">
        <f aca="false">IF($A696="","",IF($G696="","",IF($J696&lt;=0,"반납완료",IF($I696&gt;0,"부분반납","미반납"))))</f>
        <v/>
      </c>
    </row>
    <row r="697" customFormat="false" ht="15" hidden="false" customHeight="false" outlineLevel="0" collapsed="false">
      <c r="A697" s="14" t="str">
        <f aca="false">IF($B697="","",TEXT($B697,"yymmdd")&amp;"-"&amp;TEXT(COUNTIFS($B$3:$B697,$B697),"00"))</f>
        <v/>
      </c>
      <c r="B697" s="15"/>
      <c r="C697" s="9"/>
      <c r="D697" s="10"/>
      <c r="E697" s="14" t="str">
        <f aca="false">IF($D697="","",IFERROR(INDEX(품목목록!$B$3:$B$202,MATCH($D697,품목목록!$A$3:$A$202,0)),"미등록품번"))</f>
        <v/>
      </c>
      <c r="F697" s="14" t="str">
        <f aca="false">IF($D697="","",IFERROR(INDEX(품목목록!$D$3:$D$202,MATCH($D697,품목목록!$A$3:$A$202,0)),""))</f>
        <v/>
      </c>
      <c r="G697" s="11"/>
      <c r="H697" s="15"/>
      <c r="I697" s="16" t="str">
        <f aca="false">IF($A697="","",SUMIFS(반납내역!$D$3:$D$1502,반납내역!$B$3:$B$1502,$A697))</f>
        <v/>
      </c>
      <c r="J697" s="16" t="str">
        <f aca="false">IF($A697="","",IF($G697="","",$G697-$I697))</f>
        <v/>
      </c>
      <c r="K697" s="17" t="str">
        <f aca="true">IF(OR($A697="",$J697="",$J697&lt;=0,$H697=""),"",TODAY()-$H697)</f>
        <v/>
      </c>
      <c r="L697" s="14" t="str">
        <f aca="false">IF($A697="","",IF($G697="","",IF($J697&lt;=0,"반납완료",IF($I697&gt;0,"부분반납","미반납"))))</f>
        <v/>
      </c>
    </row>
    <row r="698" customFormat="false" ht="15" hidden="false" customHeight="false" outlineLevel="0" collapsed="false">
      <c r="A698" s="14" t="str">
        <f aca="false">IF($B698="","",TEXT($B698,"yymmdd")&amp;"-"&amp;TEXT(COUNTIFS($B$3:$B698,$B698),"00"))</f>
        <v/>
      </c>
      <c r="B698" s="15"/>
      <c r="C698" s="9"/>
      <c r="D698" s="10"/>
      <c r="E698" s="14" t="str">
        <f aca="false">IF($D698="","",IFERROR(INDEX(품목목록!$B$3:$B$202,MATCH($D698,품목목록!$A$3:$A$202,0)),"미등록품번"))</f>
        <v/>
      </c>
      <c r="F698" s="14" t="str">
        <f aca="false">IF($D698="","",IFERROR(INDEX(품목목록!$D$3:$D$202,MATCH($D698,품목목록!$A$3:$A$202,0)),""))</f>
        <v/>
      </c>
      <c r="G698" s="11"/>
      <c r="H698" s="15"/>
      <c r="I698" s="16" t="str">
        <f aca="false">IF($A698="","",SUMIFS(반납내역!$D$3:$D$1502,반납내역!$B$3:$B$1502,$A698))</f>
        <v/>
      </c>
      <c r="J698" s="16" t="str">
        <f aca="false">IF($A698="","",IF($G698="","",$G698-$I698))</f>
        <v/>
      </c>
      <c r="K698" s="17" t="str">
        <f aca="true">IF(OR($A698="",$J698="",$J698&lt;=0,$H698=""),"",TODAY()-$H698)</f>
        <v/>
      </c>
      <c r="L698" s="14" t="str">
        <f aca="false">IF($A698="","",IF($G698="","",IF($J698&lt;=0,"반납완료",IF($I698&gt;0,"부분반납","미반납"))))</f>
        <v/>
      </c>
    </row>
    <row r="699" customFormat="false" ht="15" hidden="false" customHeight="false" outlineLevel="0" collapsed="false">
      <c r="A699" s="14" t="str">
        <f aca="false">IF($B699="","",TEXT($B699,"yymmdd")&amp;"-"&amp;TEXT(COUNTIFS($B$3:$B699,$B699),"00"))</f>
        <v/>
      </c>
      <c r="B699" s="15"/>
      <c r="C699" s="9"/>
      <c r="D699" s="10"/>
      <c r="E699" s="14" t="str">
        <f aca="false">IF($D699="","",IFERROR(INDEX(품목목록!$B$3:$B$202,MATCH($D699,품목목록!$A$3:$A$202,0)),"미등록품번"))</f>
        <v/>
      </c>
      <c r="F699" s="14" t="str">
        <f aca="false">IF($D699="","",IFERROR(INDEX(품목목록!$D$3:$D$202,MATCH($D699,품목목록!$A$3:$A$202,0)),""))</f>
        <v/>
      </c>
      <c r="G699" s="11"/>
      <c r="H699" s="15"/>
      <c r="I699" s="16" t="str">
        <f aca="false">IF($A699="","",SUMIFS(반납내역!$D$3:$D$1502,반납내역!$B$3:$B$1502,$A699))</f>
        <v/>
      </c>
      <c r="J699" s="16" t="str">
        <f aca="false">IF($A699="","",IF($G699="","",$G699-$I699))</f>
        <v/>
      </c>
      <c r="K699" s="17" t="str">
        <f aca="true">IF(OR($A699="",$J699="",$J699&lt;=0,$H699=""),"",TODAY()-$H699)</f>
        <v/>
      </c>
      <c r="L699" s="14" t="str">
        <f aca="false">IF($A699="","",IF($G699="","",IF($J699&lt;=0,"반납완료",IF($I699&gt;0,"부분반납","미반납"))))</f>
        <v/>
      </c>
    </row>
    <row r="700" customFormat="false" ht="15" hidden="false" customHeight="false" outlineLevel="0" collapsed="false">
      <c r="A700" s="14" t="str">
        <f aca="false">IF($B700="","",TEXT($B700,"yymmdd")&amp;"-"&amp;TEXT(COUNTIFS($B$3:$B700,$B700),"00"))</f>
        <v/>
      </c>
      <c r="B700" s="15"/>
      <c r="C700" s="9"/>
      <c r="D700" s="10"/>
      <c r="E700" s="14" t="str">
        <f aca="false">IF($D700="","",IFERROR(INDEX(품목목록!$B$3:$B$202,MATCH($D700,품목목록!$A$3:$A$202,0)),"미등록품번"))</f>
        <v/>
      </c>
      <c r="F700" s="14" t="str">
        <f aca="false">IF($D700="","",IFERROR(INDEX(품목목록!$D$3:$D$202,MATCH($D700,품목목록!$A$3:$A$202,0)),""))</f>
        <v/>
      </c>
      <c r="G700" s="11"/>
      <c r="H700" s="15"/>
      <c r="I700" s="16" t="str">
        <f aca="false">IF($A700="","",SUMIFS(반납내역!$D$3:$D$1502,반납내역!$B$3:$B$1502,$A700))</f>
        <v/>
      </c>
      <c r="J700" s="16" t="str">
        <f aca="false">IF($A700="","",IF($G700="","",$G700-$I700))</f>
        <v/>
      </c>
      <c r="K700" s="17" t="str">
        <f aca="true">IF(OR($A700="",$J700="",$J700&lt;=0,$H700=""),"",TODAY()-$H700)</f>
        <v/>
      </c>
      <c r="L700" s="14" t="str">
        <f aca="false">IF($A700="","",IF($G700="","",IF($J700&lt;=0,"반납완료",IF($I700&gt;0,"부분반납","미반납"))))</f>
        <v/>
      </c>
    </row>
    <row r="701" customFormat="false" ht="15" hidden="false" customHeight="false" outlineLevel="0" collapsed="false">
      <c r="A701" s="14" t="str">
        <f aca="false">IF($B701="","",TEXT($B701,"yymmdd")&amp;"-"&amp;TEXT(COUNTIFS($B$3:$B701,$B701),"00"))</f>
        <v/>
      </c>
      <c r="B701" s="15"/>
      <c r="C701" s="9"/>
      <c r="D701" s="10"/>
      <c r="E701" s="14" t="str">
        <f aca="false">IF($D701="","",IFERROR(INDEX(품목목록!$B$3:$B$202,MATCH($D701,품목목록!$A$3:$A$202,0)),"미등록품번"))</f>
        <v/>
      </c>
      <c r="F701" s="14" t="str">
        <f aca="false">IF($D701="","",IFERROR(INDEX(품목목록!$D$3:$D$202,MATCH($D701,품목목록!$A$3:$A$202,0)),""))</f>
        <v/>
      </c>
      <c r="G701" s="11"/>
      <c r="H701" s="15"/>
      <c r="I701" s="16" t="str">
        <f aca="false">IF($A701="","",SUMIFS(반납내역!$D$3:$D$1502,반납내역!$B$3:$B$1502,$A701))</f>
        <v/>
      </c>
      <c r="J701" s="16" t="str">
        <f aca="false">IF($A701="","",IF($G701="","",$G701-$I701))</f>
        <v/>
      </c>
      <c r="K701" s="17" t="str">
        <f aca="true">IF(OR($A701="",$J701="",$J701&lt;=0,$H701=""),"",TODAY()-$H701)</f>
        <v/>
      </c>
      <c r="L701" s="14" t="str">
        <f aca="false">IF($A701="","",IF($G701="","",IF($J701&lt;=0,"반납완료",IF($I701&gt;0,"부분반납","미반납"))))</f>
        <v/>
      </c>
    </row>
    <row r="702" customFormat="false" ht="15" hidden="false" customHeight="false" outlineLevel="0" collapsed="false">
      <c r="A702" s="14" t="str">
        <f aca="false">IF($B702="","",TEXT($B702,"yymmdd")&amp;"-"&amp;TEXT(COUNTIFS($B$3:$B702,$B702),"00"))</f>
        <v/>
      </c>
      <c r="B702" s="15"/>
      <c r="C702" s="9"/>
      <c r="D702" s="10"/>
      <c r="E702" s="14" t="str">
        <f aca="false">IF($D702="","",IFERROR(INDEX(품목목록!$B$3:$B$202,MATCH($D702,품목목록!$A$3:$A$202,0)),"미등록품번"))</f>
        <v/>
      </c>
      <c r="F702" s="14" t="str">
        <f aca="false">IF($D702="","",IFERROR(INDEX(품목목록!$D$3:$D$202,MATCH($D702,품목목록!$A$3:$A$202,0)),""))</f>
        <v/>
      </c>
      <c r="G702" s="11"/>
      <c r="H702" s="15"/>
      <c r="I702" s="16" t="str">
        <f aca="false">IF($A702="","",SUMIFS(반납내역!$D$3:$D$1502,반납내역!$B$3:$B$1502,$A702))</f>
        <v/>
      </c>
      <c r="J702" s="16" t="str">
        <f aca="false">IF($A702="","",IF($G702="","",$G702-$I702))</f>
        <v/>
      </c>
      <c r="K702" s="17" t="str">
        <f aca="true">IF(OR($A702="",$J702="",$J702&lt;=0,$H702=""),"",TODAY()-$H702)</f>
        <v/>
      </c>
      <c r="L702" s="14" t="str">
        <f aca="false">IF($A702="","",IF($G702="","",IF($J702&lt;=0,"반납완료",IF($I702&gt;0,"부분반납","미반납"))))</f>
        <v/>
      </c>
    </row>
    <row r="703" customFormat="false" ht="15" hidden="false" customHeight="false" outlineLevel="0" collapsed="false">
      <c r="A703" s="14" t="str">
        <f aca="false">IF($B703="","",TEXT($B703,"yymmdd")&amp;"-"&amp;TEXT(COUNTIFS($B$3:$B703,$B703),"00"))</f>
        <v/>
      </c>
      <c r="B703" s="15"/>
      <c r="C703" s="9"/>
      <c r="D703" s="10"/>
      <c r="E703" s="14" t="str">
        <f aca="false">IF($D703="","",IFERROR(INDEX(품목목록!$B$3:$B$202,MATCH($D703,품목목록!$A$3:$A$202,0)),"미등록품번"))</f>
        <v/>
      </c>
      <c r="F703" s="14" t="str">
        <f aca="false">IF($D703="","",IFERROR(INDEX(품목목록!$D$3:$D$202,MATCH($D703,품목목록!$A$3:$A$202,0)),""))</f>
        <v/>
      </c>
      <c r="G703" s="11"/>
      <c r="H703" s="15"/>
      <c r="I703" s="16" t="str">
        <f aca="false">IF($A703="","",SUMIFS(반납내역!$D$3:$D$1502,반납내역!$B$3:$B$1502,$A703))</f>
        <v/>
      </c>
      <c r="J703" s="16" t="str">
        <f aca="false">IF($A703="","",IF($G703="","",$G703-$I703))</f>
        <v/>
      </c>
      <c r="K703" s="17" t="str">
        <f aca="true">IF(OR($A703="",$J703="",$J703&lt;=0,$H703=""),"",TODAY()-$H703)</f>
        <v/>
      </c>
      <c r="L703" s="14" t="str">
        <f aca="false">IF($A703="","",IF($G703="","",IF($J703&lt;=0,"반납완료",IF($I703&gt;0,"부분반납","미반납"))))</f>
        <v/>
      </c>
    </row>
    <row r="704" customFormat="false" ht="15" hidden="false" customHeight="false" outlineLevel="0" collapsed="false">
      <c r="A704" s="14" t="str">
        <f aca="false">IF($B704="","",TEXT($B704,"yymmdd")&amp;"-"&amp;TEXT(COUNTIFS($B$3:$B704,$B704),"00"))</f>
        <v/>
      </c>
      <c r="B704" s="15"/>
      <c r="C704" s="9"/>
      <c r="D704" s="10"/>
      <c r="E704" s="14" t="str">
        <f aca="false">IF($D704="","",IFERROR(INDEX(품목목록!$B$3:$B$202,MATCH($D704,품목목록!$A$3:$A$202,0)),"미등록품번"))</f>
        <v/>
      </c>
      <c r="F704" s="14" t="str">
        <f aca="false">IF($D704="","",IFERROR(INDEX(품목목록!$D$3:$D$202,MATCH($D704,품목목록!$A$3:$A$202,0)),""))</f>
        <v/>
      </c>
      <c r="G704" s="11"/>
      <c r="H704" s="15"/>
      <c r="I704" s="16" t="str">
        <f aca="false">IF($A704="","",SUMIFS(반납내역!$D$3:$D$1502,반납내역!$B$3:$B$1502,$A704))</f>
        <v/>
      </c>
      <c r="J704" s="16" t="str">
        <f aca="false">IF($A704="","",IF($G704="","",$G704-$I704))</f>
        <v/>
      </c>
      <c r="K704" s="17" t="str">
        <f aca="true">IF(OR($A704="",$J704="",$J704&lt;=0,$H704=""),"",TODAY()-$H704)</f>
        <v/>
      </c>
      <c r="L704" s="14" t="str">
        <f aca="false">IF($A704="","",IF($G704="","",IF($J704&lt;=0,"반납완료",IF($I704&gt;0,"부분반납","미반납"))))</f>
        <v/>
      </c>
    </row>
    <row r="705" customFormat="false" ht="15" hidden="false" customHeight="false" outlineLevel="0" collapsed="false">
      <c r="A705" s="14" t="str">
        <f aca="false">IF($B705="","",TEXT($B705,"yymmdd")&amp;"-"&amp;TEXT(COUNTIFS($B$3:$B705,$B705),"00"))</f>
        <v/>
      </c>
      <c r="B705" s="15"/>
      <c r="C705" s="9"/>
      <c r="D705" s="10"/>
      <c r="E705" s="14" t="str">
        <f aca="false">IF($D705="","",IFERROR(INDEX(품목목록!$B$3:$B$202,MATCH($D705,품목목록!$A$3:$A$202,0)),"미등록품번"))</f>
        <v/>
      </c>
      <c r="F705" s="14" t="str">
        <f aca="false">IF($D705="","",IFERROR(INDEX(품목목록!$D$3:$D$202,MATCH($D705,품목목록!$A$3:$A$202,0)),""))</f>
        <v/>
      </c>
      <c r="G705" s="11"/>
      <c r="H705" s="15"/>
      <c r="I705" s="16" t="str">
        <f aca="false">IF($A705="","",SUMIFS(반납내역!$D$3:$D$1502,반납내역!$B$3:$B$1502,$A705))</f>
        <v/>
      </c>
      <c r="J705" s="16" t="str">
        <f aca="false">IF($A705="","",IF($G705="","",$G705-$I705))</f>
        <v/>
      </c>
      <c r="K705" s="17" t="str">
        <f aca="true">IF(OR($A705="",$J705="",$J705&lt;=0,$H705=""),"",TODAY()-$H705)</f>
        <v/>
      </c>
      <c r="L705" s="14" t="str">
        <f aca="false">IF($A705="","",IF($G705="","",IF($J705&lt;=0,"반납완료",IF($I705&gt;0,"부분반납","미반납"))))</f>
        <v/>
      </c>
    </row>
    <row r="706" customFormat="false" ht="15" hidden="false" customHeight="false" outlineLevel="0" collapsed="false">
      <c r="A706" s="14" t="str">
        <f aca="false">IF($B706="","",TEXT($B706,"yymmdd")&amp;"-"&amp;TEXT(COUNTIFS($B$3:$B706,$B706),"00"))</f>
        <v/>
      </c>
      <c r="B706" s="15"/>
      <c r="C706" s="9"/>
      <c r="D706" s="10"/>
      <c r="E706" s="14" t="str">
        <f aca="false">IF($D706="","",IFERROR(INDEX(품목목록!$B$3:$B$202,MATCH($D706,품목목록!$A$3:$A$202,0)),"미등록품번"))</f>
        <v/>
      </c>
      <c r="F706" s="14" t="str">
        <f aca="false">IF($D706="","",IFERROR(INDEX(품목목록!$D$3:$D$202,MATCH($D706,품목목록!$A$3:$A$202,0)),""))</f>
        <v/>
      </c>
      <c r="G706" s="11"/>
      <c r="H706" s="15"/>
      <c r="I706" s="16" t="str">
        <f aca="false">IF($A706="","",SUMIFS(반납내역!$D$3:$D$1502,반납내역!$B$3:$B$1502,$A706))</f>
        <v/>
      </c>
      <c r="J706" s="16" t="str">
        <f aca="false">IF($A706="","",IF($G706="","",$G706-$I706))</f>
        <v/>
      </c>
      <c r="K706" s="17" t="str">
        <f aca="true">IF(OR($A706="",$J706="",$J706&lt;=0,$H706=""),"",TODAY()-$H706)</f>
        <v/>
      </c>
      <c r="L706" s="14" t="str">
        <f aca="false">IF($A706="","",IF($G706="","",IF($J706&lt;=0,"반납완료",IF($I706&gt;0,"부분반납","미반납"))))</f>
        <v/>
      </c>
    </row>
    <row r="707" customFormat="false" ht="15" hidden="false" customHeight="false" outlineLevel="0" collapsed="false">
      <c r="A707" s="14" t="str">
        <f aca="false">IF($B707="","",TEXT($B707,"yymmdd")&amp;"-"&amp;TEXT(COUNTIFS($B$3:$B707,$B707),"00"))</f>
        <v/>
      </c>
      <c r="B707" s="15"/>
      <c r="C707" s="9"/>
      <c r="D707" s="10"/>
      <c r="E707" s="14" t="str">
        <f aca="false">IF($D707="","",IFERROR(INDEX(품목목록!$B$3:$B$202,MATCH($D707,품목목록!$A$3:$A$202,0)),"미등록품번"))</f>
        <v/>
      </c>
      <c r="F707" s="14" t="str">
        <f aca="false">IF($D707="","",IFERROR(INDEX(품목목록!$D$3:$D$202,MATCH($D707,품목목록!$A$3:$A$202,0)),""))</f>
        <v/>
      </c>
      <c r="G707" s="11"/>
      <c r="H707" s="15"/>
      <c r="I707" s="16" t="str">
        <f aca="false">IF($A707="","",SUMIFS(반납내역!$D$3:$D$1502,반납내역!$B$3:$B$1502,$A707))</f>
        <v/>
      </c>
      <c r="J707" s="16" t="str">
        <f aca="false">IF($A707="","",IF($G707="","",$G707-$I707))</f>
        <v/>
      </c>
      <c r="K707" s="17" t="str">
        <f aca="true">IF(OR($A707="",$J707="",$J707&lt;=0,$H707=""),"",TODAY()-$H707)</f>
        <v/>
      </c>
      <c r="L707" s="14" t="str">
        <f aca="false">IF($A707="","",IF($G707="","",IF($J707&lt;=0,"반납완료",IF($I707&gt;0,"부분반납","미반납"))))</f>
        <v/>
      </c>
    </row>
    <row r="708" customFormat="false" ht="15" hidden="false" customHeight="false" outlineLevel="0" collapsed="false">
      <c r="A708" s="14" t="str">
        <f aca="false">IF($B708="","",TEXT($B708,"yymmdd")&amp;"-"&amp;TEXT(COUNTIFS($B$3:$B708,$B708),"00"))</f>
        <v/>
      </c>
      <c r="B708" s="15"/>
      <c r="C708" s="9"/>
      <c r="D708" s="10"/>
      <c r="E708" s="14" t="str">
        <f aca="false">IF($D708="","",IFERROR(INDEX(품목목록!$B$3:$B$202,MATCH($D708,품목목록!$A$3:$A$202,0)),"미등록품번"))</f>
        <v/>
      </c>
      <c r="F708" s="14" t="str">
        <f aca="false">IF($D708="","",IFERROR(INDEX(품목목록!$D$3:$D$202,MATCH($D708,품목목록!$A$3:$A$202,0)),""))</f>
        <v/>
      </c>
      <c r="G708" s="11"/>
      <c r="H708" s="15"/>
      <c r="I708" s="16" t="str">
        <f aca="false">IF($A708="","",SUMIFS(반납내역!$D$3:$D$1502,반납내역!$B$3:$B$1502,$A708))</f>
        <v/>
      </c>
      <c r="J708" s="16" t="str">
        <f aca="false">IF($A708="","",IF($G708="","",$G708-$I708))</f>
        <v/>
      </c>
      <c r="K708" s="17" t="str">
        <f aca="true">IF(OR($A708="",$J708="",$J708&lt;=0,$H708=""),"",TODAY()-$H708)</f>
        <v/>
      </c>
      <c r="L708" s="14" t="str">
        <f aca="false">IF($A708="","",IF($G708="","",IF($J708&lt;=0,"반납완료",IF($I708&gt;0,"부분반납","미반납"))))</f>
        <v/>
      </c>
    </row>
    <row r="709" customFormat="false" ht="15" hidden="false" customHeight="false" outlineLevel="0" collapsed="false">
      <c r="A709" s="14" t="str">
        <f aca="false">IF($B709="","",TEXT($B709,"yymmdd")&amp;"-"&amp;TEXT(COUNTIFS($B$3:$B709,$B709),"00"))</f>
        <v/>
      </c>
      <c r="B709" s="15"/>
      <c r="C709" s="9"/>
      <c r="D709" s="10"/>
      <c r="E709" s="14" t="str">
        <f aca="false">IF($D709="","",IFERROR(INDEX(품목목록!$B$3:$B$202,MATCH($D709,품목목록!$A$3:$A$202,0)),"미등록품번"))</f>
        <v/>
      </c>
      <c r="F709" s="14" t="str">
        <f aca="false">IF($D709="","",IFERROR(INDEX(품목목록!$D$3:$D$202,MATCH($D709,품목목록!$A$3:$A$202,0)),""))</f>
        <v/>
      </c>
      <c r="G709" s="11"/>
      <c r="H709" s="15"/>
      <c r="I709" s="16" t="str">
        <f aca="false">IF($A709="","",SUMIFS(반납내역!$D$3:$D$1502,반납내역!$B$3:$B$1502,$A709))</f>
        <v/>
      </c>
      <c r="J709" s="16" t="str">
        <f aca="false">IF($A709="","",IF($G709="","",$G709-$I709))</f>
        <v/>
      </c>
      <c r="K709" s="17" t="str">
        <f aca="true">IF(OR($A709="",$J709="",$J709&lt;=0,$H709=""),"",TODAY()-$H709)</f>
        <v/>
      </c>
      <c r="L709" s="14" t="str">
        <f aca="false">IF($A709="","",IF($G709="","",IF($J709&lt;=0,"반납완료",IF($I709&gt;0,"부분반납","미반납"))))</f>
        <v/>
      </c>
    </row>
    <row r="710" customFormat="false" ht="15" hidden="false" customHeight="false" outlineLevel="0" collapsed="false">
      <c r="A710" s="14" t="str">
        <f aca="false">IF($B710="","",TEXT($B710,"yymmdd")&amp;"-"&amp;TEXT(COUNTIFS($B$3:$B710,$B710),"00"))</f>
        <v/>
      </c>
      <c r="B710" s="15"/>
      <c r="C710" s="9"/>
      <c r="D710" s="10"/>
      <c r="E710" s="14" t="str">
        <f aca="false">IF($D710="","",IFERROR(INDEX(품목목록!$B$3:$B$202,MATCH($D710,품목목록!$A$3:$A$202,0)),"미등록품번"))</f>
        <v/>
      </c>
      <c r="F710" s="14" t="str">
        <f aca="false">IF($D710="","",IFERROR(INDEX(품목목록!$D$3:$D$202,MATCH($D710,품목목록!$A$3:$A$202,0)),""))</f>
        <v/>
      </c>
      <c r="G710" s="11"/>
      <c r="H710" s="15"/>
      <c r="I710" s="16" t="str">
        <f aca="false">IF($A710="","",SUMIFS(반납내역!$D$3:$D$1502,반납내역!$B$3:$B$1502,$A710))</f>
        <v/>
      </c>
      <c r="J710" s="16" t="str">
        <f aca="false">IF($A710="","",IF($G710="","",$G710-$I710))</f>
        <v/>
      </c>
      <c r="K710" s="17" t="str">
        <f aca="true">IF(OR($A710="",$J710="",$J710&lt;=0,$H710=""),"",TODAY()-$H710)</f>
        <v/>
      </c>
      <c r="L710" s="14" t="str">
        <f aca="false">IF($A710="","",IF($G710="","",IF($J710&lt;=0,"반납완료",IF($I710&gt;0,"부분반납","미반납"))))</f>
        <v/>
      </c>
    </row>
    <row r="711" customFormat="false" ht="15" hidden="false" customHeight="false" outlineLevel="0" collapsed="false">
      <c r="A711" s="14" t="str">
        <f aca="false">IF($B711="","",TEXT($B711,"yymmdd")&amp;"-"&amp;TEXT(COUNTIFS($B$3:$B711,$B711),"00"))</f>
        <v/>
      </c>
      <c r="B711" s="15"/>
      <c r="C711" s="9"/>
      <c r="D711" s="10"/>
      <c r="E711" s="14" t="str">
        <f aca="false">IF($D711="","",IFERROR(INDEX(품목목록!$B$3:$B$202,MATCH($D711,품목목록!$A$3:$A$202,0)),"미등록품번"))</f>
        <v/>
      </c>
      <c r="F711" s="14" t="str">
        <f aca="false">IF($D711="","",IFERROR(INDEX(품목목록!$D$3:$D$202,MATCH($D711,품목목록!$A$3:$A$202,0)),""))</f>
        <v/>
      </c>
      <c r="G711" s="11"/>
      <c r="H711" s="15"/>
      <c r="I711" s="16" t="str">
        <f aca="false">IF($A711="","",SUMIFS(반납내역!$D$3:$D$1502,반납내역!$B$3:$B$1502,$A711))</f>
        <v/>
      </c>
      <c r="J711" s="16" t="str">
        <f aca="false">IF($A711="","",IF($G711="","",$G711-$I711))</f>
        <v/>
      </c>
      <c r="K711" s="17" t="str">
        <f aca="true">IF(OR($A711="",$J711="",$J711&lt;=0,$H711=""),"",TODAY()-$H711)</f>
        <v/>
      </c>
      <c r="L711" s="14" t="str">
        <f aca="false">IF($A711="","",IF($G711="","",IF($J711&lt;=0,"반납완료",IF($I711&gt;0,"부분반납","미반납"))))</f>
        <v/>
      </c>
    </row>
    <row r="712" customFormat="false" ht="15" hidden="false" customHeight="false" outlineLevel="0" collapsed="false">
      <c r="A712" s="14" t="str">
        <f aca="false">IF($B712="","",TEXT($B712,"yymmdd")&amp;"-"&amp;TEXT(COUNTIFS($B$3:$B712,$B712),"00"))</f>
        <v/>
      </c>
      <c r="B712" s="15"/>
      <c r="C712" s="9"/>
      <c r="D712" s="10"/>
      <c r="E712" s="14" t="str">
        <f aca="false">IF($D712="","",IFERROR(INDEX(품목목록!$B$3:$B$202,MATCH($D712,품목목록!$A$3:$A$202,0)),"미등록품번"))</f>
        <v/>
      </c>
      <c r="F712" s="14" t="str">
        <f aca="false">IF($D712="","",IFERROR(INDEX(품목목록!$D$3:$D$202,MATCH($D712,품목목록!$A$3:$A$202,0)),""))</f>
        <v/>
      </c>
      <c r="G712" s="11"/>
      <c r="H712" s="15"/>
      <c r="I712" s="16" t="str">
        <f aca="false">IF($A712="","",SUMIFS(반납내역!$D$3:$D$1502,반납내역!$B$3:$B$1502,$A712))</f>
        <v/>
      </c>
      <c r="J712" s="16" t="str">
        <f aca="false">IF($A712="","",IF($G712="","",$G712-$I712))</f>
        <v/>
      </c>
      <c r="K712" s="17" t="str">
        <f aca="true">IF(OR($A712="",$J712="",$J712&lt;=0,$H712=""),"",TODAY()-$H712)</f>
        <v/>
      </c>
      <c r="L712" s="14" t="str">
        <f aca="false">IF($A712="","",IF($G712="","",IF($J712&lt;=0,"반납완료",IF($I712&gt;0,"부분반납","미반납"))))</f>
        <v/>
      </c>
    </row>
    <row r="713" customFormat="false" ht="15" hidden="false" customHeight="false" outlineLevel="0" collapsed="false">
      <c r="A713" s="14" t="str">
        <f aca="false">IF($B713="","",TEXT($B713,"yymmdd")&amp;"-"&amp;TEXT(COUNTIFS($B$3:$B713,$B713),"00"))</f>
        <v/>
      </c>
      <c r="B713" s="15"/>
      <c r="C713" s="9"/>
      <c r="D713" s="10"/>
      <c r="E713" s="14" t="str">
        <f aca="false">IF($D713="","",IFERROR(INDEX(품목목록!$B$3:$B$202,MATCH($D713,품목목록!$A$3:$A$202,0)),"미등록품번"))</f>
        <v/>
      </c>
      <c r="F713" s="14" t="str">
        <f aca="false">IF($D713="","",IFERROR(INDEX(품목목록!$D$3:$D$202,MATCH($D713,품목목록!$A$3:$A$202,0)),""))</f>
        <v/>
      </c>
      <c r="G713" s="11"/>
      <c r="H713" s="15"/>
      <c r="I713" s="16" t="str">
        <f aca="false">IF($A713="","",SUMIFS(반납내역!$D$3:$D$1502,반납내역!$B$3:$B$1502,$A713))</f>
        <v/>
      </c>
      <c r="J713" s="16" t="str">
        <f aca="false">IF($A713="","",IF($G713="","",$G713-$I713))</f>
        <v/>
      </c>
      <c r="K713" s="17" t="str">
        <f aca="true">IF(OR($A713="",$J713="",$J713&lt;=0,$H713=""),"",TODAY()-$H713)</f>
        <v/>
      </c>
      <c r="L713" s="14" t="str">
        <f aca="false">IF($A713="","",IF($G713="","",IF($J713&lt;=0,"반납완료",IF($I713&gt;0,"부분반납","미반납"))))</f>
        <v/>
      </c>
    </row>
    <row r="714" customFormat="false" ht="15" hidden="false" customHeight="false" outlineLevel="0" collapsed="false">
      <c r="A714" s="14" t="str">
        <f aca="false">IF($B714="","",TEXT($B714,"yymmdd")&amp;"-"&amp;TEXT(COUNTIFS($B$3:$B714,$B714),"00"))</f>
        <v/>
      </c>
      <c r="B714" s="15"/>
      <c r="C714" s="9"/>
      <c r="D714" s="10"/>
      <c r="E714" s="14" t="str">
        <f aca="false">IF($D714="","",IFERROR(INDEX(품목목록!$B$3:$B$202,MATCH($D714,품목목록!$A$3:$A$202,0)),"미등록품번"))</f>
        <v/>
      </c>
      <c r="F714" s="14" t="str">
        <f aca="false">IF($D714="","",IFERROR(INDEX(품목목록!$D$3:$D$202,MATCH($D714,품목목록!$A$3:$A$202,0)),""))</f>
        <v/>
      </c>
      <c r="G714" s="11"/>
      <c r="H714" s="15"/>
      <c r="I714" s="16" t="str">
        <f aca="false">IF($A714="","",SUMIFS(반납내역!$D$3:$D$1502,반납내역!$B$3:$B$1502,$A714))</f>
        <v/>
      </c>
      <c r="J714" s="16" t="str">
        <f aca="false">IF($A714="","",IF($G714="","",$G714-$I714))</f>
        <v/>
      </c>
      <c r="K714" s="17" t="str">
        <f aca="true">IF(OR($A714="",$J714="",$J714&lt;=0,$H714=""),"",TODAY()-$H714)</f>
        <v/>
      </c>
      <c r="L714" s="14" t="str">
        <f aca="false">IF($A714="","",IF($G714="","",IF($J714&lt;=0,"반납완료",IF($I714&gt;0,"부분반납","미반납"))))</f>
        <v/>
      </c>
    </row>
    <row r="715" customFormat="false" ht="15" hidden="false" customHeight="false" outlineLevel="0" collapsed="false">
      <c r="A715" s="14" t="str">
        <f aca="false">IF($B715="","",TEXT($B715,"yymmdd")&amp;"-"&amp;TEXT(COUNTIFS($B$3:$B715,$B715),"00"))</f>
        <v/>
      </c>
      <c r="B715" s="15"/>
      <c r="C715" s="9"/>
      <c r="D715" s="10"/>
      <c r="E715" s="14" t="str">
        <f aca="false">IF($D715="","",IFERROR(INDEX(품목목록!$B$3:$B$202,MATCH($D715,품목목록!$A$3:$A$202,0)),"미등록품번"))</f>
        <v/>
      </c>
      <c r="F715" s="14" t="str">
        <f aca="false">IF($D715="","",IFERROR(INDEX(품목목록!$D$3:$D$202,MATCH($D715,품목목록!$A$3:$A$202,0)),""))</f>
        <v/>
      </c>
      <c r="G715" s="11"/>
      <c r="H715" s="15"/>
      <c r="I715" s="16" t="str">
        <f aca="false">IF($A715="","",SUMIFS(반납내역!$D$3:$D$1502,반납내역!$B$3:$B$1502,$A715))</f>
        <v/>
      </c>
      <c r="J715" s="16" t="str">
        <f aca="false">IF($A715="","",IF($G715="","",$G715-$I715))</f>
        <v/>
      </c>
      <c r="K715" s="17" t="str">
        <f aca="true">IF(OR($A715="",$J715="",$J715&lt;=0,$H715=""),"",TODAY()-$H715)</f>
        <v/>
      </c>
      <c r="L715" s="14" t="str">
        <f aca="false">IF($A715="","",IF($G715="","",IF($J715&lt;=0,"반납완료",IF($I715&gt;0,"부분반납","미반납"))))</f>
        <v/>
      </c>
    </row>
    <row r="716" customFormat="false" ht="15" hidden="false" customHeight="false" outlineLevel="0" collapsed="false">
      <c r="A716" s="14" t="str">
        <f aca="false">IF($B716="","",TEXT($B716,"yymmdd")&amp;"-"&amp;TEXT(COUNTIFS($B$3:$B716,$B716),"00"))</f>
        <v/>
      </c>
      <c r="B716" s="15"/>
      <c r="C716" s="9"/>
      <c r="D716" s="10"/>
      <c r="E716" s="14" t="str">
        <f aca="false">IF($D716="","",IFERROR(INDEX(품목목록!$B$3:$B$202,MATCH($D716,품목목록!$A$3:$A$202,0)),"미등록품번"))</f>
        <v/>
      </c>
      <c r="F716" s="14" t="str">
        <f aca="false">IF($D716="","",IFERROR(INDEX(품목목록!$D$3:$D$202,MATCH($D716,품목목록!$A$3:$A$202,0)),""))</f>
        <v/>
      </c>
      <c r="G716" s="11"/>
      <c r="H716" s="15"/>
      <c r="I716" s="16" t="str">
        <f aca="false">IF($A716="","",SUMIFS(반납내역!$D$3:$D$1502,반납내역!$B$3:$B$1502,$A716))</f>
        <v/>
      </c>
      <c r="J716" s="16" t="str">
        <f aca="false">IF($A716="","",IF($G716="","",$G716-$I716))</f>
        <v/>
      </c>
      <c r="K716" s="17" t="str">
        <f aca="true">IF(OR($A716="",$J716="",$J716&lt;=0,$H716=""),"",TODAY()-$H716)</f>
        <v/>
      </c>
      <c r="L716" s="14" t="str">
        <f aca="false">IF($A716="","",IF($G716="","",IF($J716&lt;=0,"반납완료",IF($I716&gt;0,"부분반납","미반납"))))</f>
        <v/>
      </c>
    </row>
    <row r="717" customFormat="false" ht="15" hidden="false" customHeight="false" outlineLevel="0" collapsed="false">
      <c r="A717" s="14" t="str">
        <f aca="false">IF($B717="","",TEXT($B717,"yymmdd")&amp;"-"&amp;TEXT(COUNTIFS($B$3:$B717,$B717),"00"))</f>
        <v/>
      </c>
      <c r="B717" s="15"/>
      <c r="C717" s="9"/>
      <c r="D717" s="10"/>
      <c r="E717" s="14" t="str">
        <f aca="false">IF($D717="","",IFERROR(INDEX(품목목록!$B$3:$B$202,MATCH($D717,품목목록!$A$3:$A$202,0)),"미등록품번"))</f>
        <v/>
      </c>
      <c r="F717" s="14" t="str">
        <f aca="false">IF($D717="","",IFERROR(INDEX(품목목록!$D$3:$D$202,MATCH($D717,품목목록!$A$3:$A$202,0)),""))</f>
        <v/>
      </c>
      <c r="G717" s="11"/>
      <c r="H717" s="15"/>
      <c r="I717" s="16" t="str">
        <f aca="false">IF($A717="","",SUMIFS(반납내역!$D$3:$D$1502,반납내역!$B$3:$B$1502,$A717))</f>
        <v/>
      </c>
      <c r="J717" s="16" t="str">
        <f aca="false">IF($A717="","",IF($G717="","",$G717-$I717))</f>
        <v/>
      </c>
      <c r="K717" s="17" t="str">
        <f aca="true">IF(OR($A717="",$J717="",$J717&lt;=0,$H717=""),"",TODAY()-$H717)</f>
        <v/>
      </c>
      <c r="L717" s="14" t="str">
        <f aca="false">IF($A717="","",IF($G717="","",IF($J717&lt;=0,"반납완료",IF($I717&gt;0,"부분반납","미반납"))))</f>
        <v/>
      </c>
    </row>
    <row r="718" customFormat="false" ht="15" hidden="false" customHeight="false" outlineLevel="0" collapsed="false">
      <c r="A718" s="14" t="str">
        <f aca="false">IF($B718="","",TEXT($B718,"yymmdd")&amp;"-"&amp;TEXT(COUNTIFS($B$3:$B718,$B718),"00"))</f>
        <v/>
      </c>
      <c r="B718" s="15"/>
      <c r="C718" s="9"/>
      <c r="D718" s="10"/>
      <c r="E718" s="14" t="str">
        <f aca="false">IF($D718="","",IFERROR(INDEX(품목목록!$B$3:$B$202,MATCH($D718,품목목록!$A$3:$A$202,0)),"미등록품번"))</f>
        <v/>
      </c>
      <c r="F718" s="14" t="str">
        <f aca="false">IF($D718="","",IFERROR(INDEX(품목목록!$D$3:$D$202,MATCH($D718,품목목록!$A$3:$A$202,0)),""))</f>
        <v/>
      </c>
      <c r="G718" s="11"/>
      <c r="H718" s="15"/>
      <c r="I718" s="16" t="str">
        <f aca="false">IF($A718="","",SUMIFS(반납내역!$D$3:$D$1502,반납내역!$B$3:$B$1502,$A718))</f>
        <v/>
      </c>
      <c r="J718" s="16" t="str">
        <f aca="false">IF($A718="","",IF($G718="","",$G718-$I718))</f>
        <v/>
      </c>
      <c r="K718" s="17" t="str">
        <f aca="true">IF(OR($A718="",$J718="",$J718&lt;=0,$H718=""),"",TODAY()-$H718)</f>
        <v/>
      </c>
      <c r="L718" s="14" t="str">
        <f aca="false">IF($A718="","",IF($G718="","",IF($J718&lt;=0,"반납완료",IF($I718&gt;0,"부분반납","미반납"))))</f>
        <v/>
      </c>
    </row>
    <row r="719" customFormat="false" ht="15" hidden="false" customHeight="false" outlineLevel="0" collapsed="false">
      <c r="A719" s="14" t="str">
        <f aca="false">IF($B719="","",TEXT($B719,"yymmdd")&amp;"-"&amp;TEXT(COUNTIFS($B$3:$B719,$B719),"00"))</f>
        <v/>
      </c>
      <c r="B719" s="15"/>
      <c r="C719" s="9"/>
      <c r="D719" s="10"/>
      <c r="E719" s="14" t="str">
        <f aca="false">IF($D719="","",IFERROR(INDEX(품목목록!$B$3:$B$202,MATCH($D719,품목목록!$A$3:$A$202,0)),"미등록품번"))</f>
        <v/>
      </c>
      <c r="F719" s="14" t="str">
        <f aca="false">IF($D719="","",IFERROR(INDEX(품목목록!$D$3:$D$202,MATCH($D719,품목목록!$A$3:$A$202,0)),""))</f>
        <v/>
      </c>
      <c r="G719" s="11"/>
      <c r="H719" s="15"/>
      <c r="I719" s="16" t="str">
        <f aca="false">IF($A719="","",SUMIFS(반납내역!$D$3:$D$1502,반납내역!$B$3:$B$1502,$A719))</f>
        <v/>
      </c>
      <c r="J719" s="16" t="str">
        <f aca="false">IF($A719="","",IF($G719="","",$G719-$I719))</f>
        <v/>
      </c>
      <c r="K719" s="17" t="str">
        <f aca="true">IF(OR($A719="",$J719="",$J719&lt;=0,$H719=""),"",TODAY()-$H719)</f>
        <v/>
      </c>
      <c r="L719" s="14" t="str">
        <f aca="false">IF($A719="","",IF($G719="","",IF($J719&lt;=0,"반납완료",IF($I719&gt;0,"부분반납","미반납"))))</f>
        <v/>
      </c>
    </row>
    <row r="720" customFormat="false" ht="15" hidden="false" customHeight="false" outlineLevel="0" collapsed="false">
      <c r="A720" s="14" t="str">
        <f aca="false">IF($B720="","",TEXT($B720,"yymmdd")&amp;"-"&amp;TEXT(COUNTIFS($B$3:$B720,$B720),"00"))</f>
        <v/>
      </c>
      <c r="B720" s="15"/>
      <c r="C720" s="9"/>
      <c r="D720" s="10"/>
      <c r="E720" s="14" t="str">
        <f aca="false">IF($D720="","",IFERROR(INDEX(품목목록!$B$3:$B$202,MATCH($D720,품목목록!$A$3:$A$202,0)),"미등록품번"))</f>
        <v/>
      </c>
      <c r="F720" s="14" t="str">
        <f aca="false">IF($D720="","",IFERROR(INDEX(품목목록!$D$3:$D$202,MATCH($D720,품목목록!$A$3:$A$202,0)),""))</f>
        <v/>
      </c>
      <c r="G720" s="11"/>
      <c r="H720" s="15"/>
      <c r="I720" s="16" t="str">
        <f aca="false">IF($A720="","",SUMIFS(반납내역!$D$3:$D$1502,반납내역!$B$3:$B$1502,$A720))</f>
        <v/>
      </c>
      <c r="J720" s="16" t="str">
        <f aca="false">IF($A720="","",IF($G720="","",$G720-$I720))</f>
        <v/>
      </c>
      <c r="K720" s="17" t="str">
        <f aca="true">IF(OR($A720="",$J720="",$J720&lt;=0,$H720=""),"",TODAY()-$H720)</f>
        <v/>
      </c>
      <c r="L720" s="14" t="str">
        <f aca="false">IF($A720="","",IF($G720="","",IF($J720&lt;=0,"반납완료",IF($I720&gt;0,"부분반납","미반납"))))</f>
        <v/>
      </c>
    </row>
    <row r="721" customFormat="false" ht="15" hidden="false" customHeight="false" outlineLevel="0" collapsed="false">
      <c r="A721" s="14" t="str">
        <f aca="false">IF($B721="","",TEXT($B721,"yymmdd")&amp;"-"&amp;TEXT(COUNTIFS($B$3:$B721,$B721),"00"))</f>
        <v/>
      </c>
      <c r="B721" s="15"/>
      <c r="C721" s="9"/>
      <c r="D721" s="10"/>
      <c r="E721" s="14" t="str">
        <f aca="false">IF($D721="","",IFERROR(INDEX(품목목록!$B$3:$B$202,MATCH($D721,품목목록!$A$3:$A$202,0)),"미등록품번"))</f>
        <v/>
      </c>
      <c r="F721" s="14" t="str">
        <f aca="false">IF($D721="","",IFERROR(INDEX(품목목록!$D$3:$D$202,MATCH($D721,품목목록!$A$3:$A$202,0)),""))</f>
        <v/>
      </c>
      <c r="G721" s="11"/>
      <c r="H721" s="15"/>
      <c r="I721" s="16" t="str">
        <f aca="false">IF($A721="","",SUMIFS(반납내역!$D$3:$D$1502,반납내역!$B$3:$B$1502,$A721))</f>
        <v/>
      </c>
      <c r="J721" s="16" t="str">
        <f aca="false">IF($A721="","",IF($G721="","",$G721-$I721))</f>
        <v/>
      </c>
      <c r="K721" s="17" t="str">
        <f aca="true">IF(OR($A721="",$J721="",$J721&lt;=0,$H721=""),"",TODAY()-$H721)</f>
        <v/>
      </c>
      <c r="L721" s="14" t="str">
        <f aca="false">IF($A721="","",IF($G721="","",IF($J721&lt;=0,"반납완료",IF($I721&gt;0,"부분반납","미반납"))))</f>
        <v/>
      </c>
    </row>
    <row r="722" customFormat="false" ht="15" hidden="false" customHeight="false" outlineLevel="0" collapsed="false">
      <c r="A722" s="14" t="str">
        <f aca="false">IF($B722="","",TEXT($B722,"yymmdd")&amp;"-"&amp;TEXT(COUNTIFS($B$3:$B722,$B722),"00"))</f>
        <v/>
      </c>
      <c r="B722" s="15"/>
      <c r="C722" s="9"/>
      <c r="D722" s="10"/>
      <c r="E722" s="14" t="str">
        <f aca="false">IF($D722="","",IFERROR(INDEX(품목목록!$B$3:$B$202,MATCH($D722,품목목록!$A$3:$A$202,0)),"미등록품번"))</f>
        <v/>
      </c>
      <c r="F722" s="14" t="str">
        <f aca="false">IF($D722="","",IFERROR(INDEX(품목목록!$D$3:$D$202,MATCH($D722,품목목록!$A$3:$A$202,0)),""))</f>
        <v/>
      </c>
      <c r="G722" s="11"/>
      <c r="H722" s="15"/>
      <c r="I722" s="16" t="str">
        <f aca="false">IF($A722="","",SUMIFS(반납내역!$D$3:$D$1502,반납내역!$B$3:$B$1502,$A722))</f>
        <v/>
      </c>
      <c r="J722" s="16" t="str">
        <f aca="false">IF($A722="","",IF($G722="","",$G722-$I722))</f>
        <v/>
      </c>
      <c r="K722" s="17" t="str">
        <f aca="true">IF(OR($A722="",$J722="",$J722&lt;=0,$H722=""),"",TODAY()-$H722)</f>
        <v/>
      </c>
      <c r="L722" s="14" t="str">
        <f aca="false">IF($A722="","",IF($G722="","",IF($J722&lt;=0,"반납완료",IF($I722&gt;0,"부분반납","미반납"))))</f>
        <v/>
      </c>
    </row>
    <row r="723" customFormat="false" ht="15" hidden="false" customHeight="false" outlineLevel="0" collapsed="false">
      <c r="A723" s="14" t="str">
        <f aca="false">IF($B723="","",TEXT($B723,"yymmdd")&amp;"-"&amp;TEXT(COUNTIFS($B$3:$B723,$B723),"00"))</f>
        <v/>
      </c>
      <c r="B723" s="15"/>
      <c r="C723" s="9"/>
      <c r="D723" s="10"/>
      <c r="E723" s="14" t="str">
        <f aca="false">IF($D723="","",IFERROR(INDEX(품목목록!$B$3:$B$202,MATCH($D723,품목목록!$A$3:$A$202,0)),"미등록품번"))</f>
        <v/>
      </c>
      <c r="F723" s="14" t="str">
        <f aca="false">IF($D723="","",IFERROR(INDEX(품목목록!$D$3:$D$202,MATCH($D723,품목목록!$A$3:$A$202,0)),""))</f>
        <v/>
      </c>
      <c r="G723" s="11"/>
      <c r="H723" s="15"/>
      <c r="I723" s="16" t="str">
        <f aca="false">IF($A723="","",SUMIFS(반납내역!$D$3:$D$1502,반납내역!$B$3:$B$1502,$A723))</f>
        <v/>
      </c>
      <c r="J723" s="16" t="str">
        <f aca="false">IF($A723="","",IF($G723="","",$G723-$I723))</f>
        <v/>
      </c>
      <c r="K723" s="17" t="str">
        <f aca="true">IF(OR($A723="",$J723="",$J723&lt;=0,$H723=""),"",TODAY()-$H723)</f>
        <v/>
      </c>
      <c r="L723" s="14" t="str">
        <f aca="false">IF($A723="","",IF($G723="","",IF($J723&lt;=0,"반납완료",IF($I723&gt;0,"부분반납","미반납"))))</f>
        <v/>
      </c>
    </row>
    <row r="724" customFormat="false" ht="15" hidden="false" customHeight="false" outlineLevel="0" collapsed="false">
      <c r="A724" s="14" t="str">
        <f aca="false">IF($B724="","",TEXT($B724,"yymmdd")&amp;"-"&amp;TEXT(COUNTIFS($B$3:$B724,$B724),"00"))</f>
        <v/>
      </c>
      <c r="B724" s="15"/>
      <c r="C724" s="9"/>
      <c r="D724" s="10"/>
      <c r="E724" s="14" t="str">
        <f aca="false">IF($D724="","",IFERROR(INDEX(품목목록!$B$3:$B$202,MATCH($D724,품목목록!$A$3:$A$202,0)),"미등록품번"))</f>
        <v/>
      </c>
      <c r="F724" s="14" t="str">
        <f aca="false">IF($D724="","",IFERROR(INDEX(품목목록!$D$3:$D$202,MATCH($D724,품목목록!$A$3:$A$202,0)),""))</f>
        <v/>
      </c>
      <c r="G724" s="11"/>
      <c r="H724" s="15"/>
      <c r="I724" s="16" t="str">
        <f aca="false">IF($A724="","",SUMIFS(반납내역!$D$3:$D$1502,반납내역!$B$3:$B$1502,$A724))</f>
        <v/>
      </c>
      <c r="J724" s="16" t="str">
        <f aca="false">IF($A724="","",IF($G724="","",$G724-$I724))</f>
        <v/>
      </c>
      <c r="K724" s="17" t="str">
        <f aca="true">IF(OR($A724="",$J724="",$J724&lt;=0,$H724=""),"",TODAY()-$H724)</f>
        <v/>
      </c>
      <c r="L724" s="14" t="str">
        <f aca="false">IF($A724="","",IF($G724="","",IF($J724&lt;=0,"반납완료",IF($I724&gt;0,"부분반납","미반납"))))</f>
        <v/>
      </c>
    </row>
    <row r="725" customFormat="false" ht="15" hidden="false" customHeight="false" outlineLevel="0" collapsed="false">
      <c r="A725" s="14" t="str">
        <f aca="false">IF($B725="","",TEXT($B725,"yymmdd")&amp;"-"&amp;TEXT(COUNTIFS($B$3:$B725,$B725),"00"))</f>
        <v/>
      </c>
      <c r="B725" s="15"/>
      <c r="C725" s="9"/>
      <c r="D725" s="10"/>
      <c r="E725" s="14" t="str">
        <f aca="false">IF($D725="","",IFERROR(INDEX(품목목록!$B$3:$B$202,MATCH($D725,품목목록!$A$3:$A$202,0)),"미등록품번"))</f>
        <v/>
      </c>
      <c r="F725" s="14" t="str">
        <f aca="false">IF($D725="","",IFERROR(INDEX(품목목록!$D$3:$D$202,MATCH($D725,품목목록!$A$3:$A$202,0)),""))</f>
        <v/>
      </c>
      <c r="G725" s="11"/>
      <c r="H725" s="15"/>
      <c r="I725" s="16" t="str">
        <f aca="false">IF($A725="","",SUMIFS(반납내역!$D$3:$D$1502,반납내역!$B$3:$B$1502,$A725))</f>
        <v/>
      </c>
      <c r="J725" s="16" t="str">
        <f aca="false">IF($A725="","",IF($G725="","",$G725-$I725))</f>
        <v/>
      </c>
      <c r="K725" s="17" t="str">
        <f aca="true">IF(OR($A725="",$J725="",$J725&lt;=0,$H725=""),"",TODAY()-$H725)</f>
        <v/>
      </c>
      <c r="L725" s="14" t="str">
        <f aca="false">IF($A725="","",IF($G725="","",IF($J725&lt;=0,"반납완료",IF($I725&gt;0,"부분반납","미반납"))))</f>
        <v/>
      </c>
    </row>
    <row r="726" customFormat="false" ht="15" hidden="false" customHeight="false" outlineLevel="0" collapsed="false">
      <c r="A726" s="14" t="str">
        <f aca="false">IF($B726="","",TEXT($B726,"yymmdd")&amp;"-"&amp;TEXT(COUNTIFS($B$3:$B726,$B726),"00"))</f>
        <v/>
      </c>
      <c r="B726" s="15"/>
      <c r="C726" s="9"/>
      <c r="D726" s="10"/>
      <c r="E726" s="14" t="str">
        <f aca="false">IF($D726="","",IFERROR(INDEX(품목목록!$B$3:$B$202,MATCH($D726,품목목록!$A$3:$A$202,0)),"미등록품번"))</f>
        <v/>
      </c>
      <c r="F726" s="14" t="str">
        <f aca="false">IF($D726="","",IFERROR(INDEX(품목목록!$D$3:$D$202,MATCH($D726,품목목록!$A$3:$A$202,0)),""))</f>
        <v/>
      </c>
      <c r="G726" s="11"/>
      <c r="H726" s="15"/>
      <c r="I726" s="16" t="str">
        <f aca="false">IF($A726="","",SUMIFS(반납내역!$D$3:$D$1502,반납내역!$B$3:$B$1502,$A726))</f>
        <v/>
      </c>
      <c r="J726" s="16" t="str">
        <f aca="false">IF($A726="","",IF($G726="","",$G726-$I726))</f>
        <v/>
      </c>
      <c r="K726" s="17" t="str">
        <f aca="true">IF(OR($A726="",$J726="",$J726&lt;=0,$H726=""),"",TODAY()-$H726)</f>
        <v/>
      </c>
      <c r="L726" s="14" t="str">
        <f aca="false">IF($A726="","",IF($G726="","",IF($J726&lt;=0,"반납완료",IF($I726&gt;0,"부분반납","미반납"))))</f>
        <v/>
      </c>
    </row>
    <row r="727" customFormat="false" ht="15" hidden="false" customHeight="false" outlineLevel="0" collapsed="false">
      <c r="A727" s="14" t="str">
        <f aca="false">IF($B727="","",TEXT($B727,"yymmdd")&amp;"-"&amp;TEXT(COUNTIFS($B$3:$B727,$B727),"00"))</f>
        <v/>
      </c>
      <c r="B727" s="15"/>
      <c r="C727" s="9"/>
      <c r="D727" s="10"/>
      <c r="E727" s="14" t="str">
        <f aca="false">IF($D727="","",IFERROR(INDEX(품목목록!$B$3:$B$202,MATCH($D727,품목목록!$A$3:$A$202,0)),"미등록품번"))</f>
        <v/>
      </c>
      <c r="F727" s="14" t="str">
        <f aca="false">IF($D727="","",IFERROR(INDEX(품목목록!$D$3:$D$202,MATCH($D727,품목목록!$A$3:$A$202,0)),""))</f>
        <v/>
      </c>
      <c r="G727" s="11"/>
      <c r="H727" s="15"/>
      <c r="I727" s="16" t="str">
        <f aca="false">IF($A727="","",SUMIFS(반납내역!$D$3:$D$1502,반납내역!$B$3:$B$1502,$A727))</f>
        <v/>
      </c>
      <c r="J727" s="16" t="str">
        <f aca="false">IF($A727="","",IF($G727="","",$G727-$I727))</f>
        <v/>
      </c>
      <c r="K727" s="17" t="str">
        <f aca="true">IF(OR($A727="",$J727="",$J727&lt;=0,$H727=""),"",TODAY()-$H727)</f>
        <v/>
      </c>
      <c r="L727" s="14" t="str">
        <f aca="false">IF($A727="","",IF($G727="","",IF($J727&lt;=0,"반납완료",IF($I727&gt;0,"부분반납","미반납"))))</f>
        <v/>
      </c>
    </row>
    <row r="728" customFormat="false" ht="15" hidden="false" customHeight="false" outlineLevel="0" collapsed="false">
      <c r="A728" s="14" t="str">
        <f aca="false">IF($B728="","",TEXT($B728,"yymmdd")&amp;"-"&amp;TEXT(COUNTIFS($B$3:$B728,$B728),"00"))</f>
        <v/>
      </c>
      <c r="B728" s="15"/>
      <c r="C728" s="9"/>
      <c r="D728" s="10"/>
      <c r="E728" s="14" t="str">
        <f aca="false">IF($D728="","",IFERROR(INDEX(품목목록!$B$3:$B$202,MATCH($D728,품목목록!$A$3:$A$202,0)),"미등록품번"))</f>
        <v/>
      </c>
      <c r="F728" s="14" t="str">
        <f aca="false">IF($D728="","",IFERROR(INDEX(품목목록!$D$3:$D$202,MATCH($D728,품목목록!$A$3:$A$202,0)),""))</f>
        <v/>
      </c>
      <c r="G728" s="11"/>
      <c r="H728" s="15"/>
      <c r="I728" s="16" t="str">
        <f aca="false">IF($A728="","",SUMIFS(반납내역!$D$3:$D$1502,반납내역!$B$3:$B$1502,$A728))</f>
        <v/>
      </c>
      <c r="J728" s="16" t="str">
        <f aca="false">IF($A728="","",IF($G728="","",$G728-$I728))</f>
        <v/>
      </c>
      <c r="K728" s="17" t="str">
        <f aca="true">IF(OR($A728="",$J728="",$J728&lt;=0,$H728=""),"",TODAY()-$H728)</f>
        <v/>
      </c>
      <c r="L728" s="14" t="str">
        <f aca="false">IF($A728="","",IF($G728="","",IF($J728&lt;=0,"반납완료",IF($I728&gt;0,"부분반납","미반납"))))</f>
        <v/>
      </c>
    </row>
    <row r="729" customFormat="false" ht="15" hidden="false" customHeight="false" outlineLevel="0" collapsed="false">
      <c r="A729" s="14" t="str">
        <f aca="false">IF($B729="","",TEXT($B729,"yymmdd")&amp;"-"&amp;TEXT(COUNTIFS($B$3:$B729,$B729),"00"))</f>
        <v/>
      </c>
      <c r="B729" s="15"/>
      <c r="C729" s="9"/>
      <c r="D729" s="10"/>
      <c r="E729" s="14" t="str">
        <f aca="false">IF($D729="","",IFERROR(INDEX(품목목록!$B$3:$B$202,MATCH($D729,품목목록!$A$3:$A$202,0)),"미등록품번"))</f>
        <v/>
      </c>
      <c r="F729" s="14" t="str">
        <f aca="false">IF($D729="","",IFERROR(INDEX(품목목록!$D$3:$D$202,MATCH($D729,품목목록!$A$3:$A$202,0)),""))</f>
        <v/>
      </c>
      <c r="G729" s="11"/>
      <c r="H729" s="15"/>
      <c r="I729" s="16" t="str">
        <f aca="false">IF($A729="","",SUMIFS(반납내역!$D$3:$D$1502,반납내역!$B$3:$B$1502,$A729))</f>
        <v/>
      </c>
      <c r="J729" s="16" t="str">
        <f aca="false">IF($A729="","",IF($G729="","",$G729-$I729))</f>
        <v/>
      </c>
      <c r="K729" s="17" t="str">
        <f aca="true">IF(OR($A729="",$J729="",$J729&lt;=0,$H729=""),"",TODAY()-$H729)</f>
        <v/>
      </c>
      <c r="L729" s="14" t="str">
        <f aca="false">IF($A729="","",IF($G729="","",IF($J729&lt;=0,"반납완료",IF($I729&gt;0,"부분반납","미반납"))))</f>
        <v/>
      </c>
    </row>
    <row r="730" customFormat="false" ht="15" hidden="false" customHeight="false" outlineLevel="0" collapsed="false">
      <c r="A730" s="14" t="str">
        <f aca="false">IF($B730="","",TEXT($B730,"yymmdd")&amp;"-"&amp;TEXT(COUNTIFS($B$3:$B730,$B730),"00"))</f>
        <v/>
      </c>
      <c r="B730" s="15"/>
      <c r="C730" s="9"/>
      <c r="D730" s="10"/>
      <c r="E730" s="14" t="str">
        <f aca="false">IF($D730="","",IFERROR(INDEX(품목목록!$B$3:$B$202,MATCH($D730,품목목록!$A$3:$A$202,0)),"미등록품번"))</f>
        <v/>
      </c>
      <c r="F730" s="14" t="str">
        <f aca="false">IF($D730="","",IFERROR(INDEX(품목목록!$D$3:$D$202,MATCH($D730,품목목록!$A$3:$A$202,0)),""))</f>
        <v/>
      </c>
      <c r="G730" s="11"/>
      <c r="H730" s="15"/>
      <c r="I730" s="16" t="str">
        <f aca="false">IF($A730="","",SUMIFS(반납내역!$D$3:$D$1502,반납내역!$B$3:$B$1502,$A730))</f>
        <v/>
      </c>
      <c r="J730" s="16" t="str">
        <f aca="false">IF($A730="","",IF($G730="","",$G730-$I730))</f>
        <v/>
      </c>
      <c r="K730" s="17" t="str">
        <f aca="true">IF(OR($A730="",$J730="",$J730&lt;=0,$H730=""),"",TODAY()-$H730)</f>
        <v/>
      </c>
      <c r="L730" s="14" t="str">
        <f aca="false">IF($A730="","",IF($G730="","",IF($J730&lt;=0,"반납완료",IF($I730&gt;0,"부분반납","미반납"))))</f>
        <v/>
      </c>
    </row>
    <row r="731" customFormat="false" ht="15" hidden="false" customHeight="false" outlineLevel="0" collapsed="false">
      <c r="A731" s="14" t="str">
        <f aca="false">IF($B731="","",TEXT($B731,"yymmdd")&amp;"-"&amp;TEXT(COUNTIFS($B$3:$B731,$B731),"00"))</f>
        <v/>
      </c>
      <c r="B731" s="15"/>
      <c r="C731" s="9"/>
      <c r="D731" s="10"/>
      <c r="E731" s="14" t="str">
        <f aca="false">IF($D731="","",IFERROR(INDEX(품목목록!$B$3:$B$202,MATCH($D731,품목목록!$A$3:$A$202,0)),"미등록품번"))</f>
        <v/>
      </c>
      <c r="F731" s="14" t="str">
        <f aca="false">IF($D731="","",IFERROR(INDEX(품목목록!$D$3:$D$202,MATCH($D731,품목목록!$A$3:$A$202,0)),""))</f>
        <v/>
      </c>
      <c r="G731" s="11"/>
      <c r="H731" s="15"/>
      <c r="I731" s="16" t="str">
        <f aca="false">IF($A731="","",SUMIFS(반납내역!$D$3:$D$1502,반납내역!$B$3:$B$1502,$A731))</f>
        <v/>
      </c>
      <c r="J731" s="16" t="str">
        <f aca="false">IF($A731="","",IF($G731="","",$G731-$I731))</f>
        <v/>
      </c>
      <c r="K731" s="17" t="str">
        <f aca="true">IF(OR($A731="",$J731="",$J731&lt;=0,$H731=""),"",TODAY()-$H731)</f>
        <v/>
      </c>
      <c r="L731" s="14" t="str">
        <f aca="false">IF($A731="","",IF($G731="","",IF($J731&lt;=0,"반납완료",IF($I731&gt;0,"부분반납","미반납"))))</f>
        <v/>
      </c>
    </row>
    <row r="732" customFormat="false" ht="15" hidden="false" customHeight="false" outlineLevel="0" collapsed="false">
      <c r="A732" s="14" t="str">
        <f aca="false">IF($B732="","",TEXT($B732,"yymmdd")&amp;"-"&amp;TEXT(COUNTIFS($B$3:$B732,$B732),"00"))</f>
        <v/>
      </c>
      <c r="B732" s="15"/>
      <c r="C732" s="9"/>
      <c r="D732" s="10"/>
      <c r="E732" s="14" t="str">
        <f aca="false">IF($D732="","",IFERROR(INDEX(품목목록!$B$3:$B$202,MATCH($D732,품목목록!$A$3:$A$202,0)),"미등록품번"))</f>
        <v/>
      </c>
      <c r="F732" s="14" t="str">
        <f aca="false">IF($D732="","",IFERROR(INDEX(품목목록!$D$3:$D$202,MATCH($D732,품목목록!$A$3:$A$202,0)),""))</f>
        <v/>
      </c>
      <c r="G732" s="11"/>
      <c r="H732" s="15"/>
      <c r="I732" s="16" t="str">
        <f aca="false">IF($A732="","",SUMIFS(반납내역!$D$3:$D$1502,반납내역!$B$3:$B$1502,$A732))</f>
        <v/>
      </c>
      <c r="J732" s="16" t="str">
        <f aca="false">IF($A732="","",IF($G732="","",$G732-$I732))</f>
        <v/>
      </c>
      <c r="K732" s="17" t="str">
        <f aca="true">IF(OR($A732="",$J732="",$J732&lt;=0,$H732=""),"",TODAY()-$H732)</f>
        <v/>
      </c>
      <c r="L732" s="14" t="str">
        <f aca="false">IF($A732="","",IF($G732="","",IF($J732&lt;=0,"반납완료",IF($I732&gt;0,"부분반납","미반납"))))</f>
        <v/>
      </c>
    </row>
    <row r="733" customFormat="false" ht="15" hidden="false" customHeight="false" outlineLevel="0" collapsed="false">
      <c r="A733" s="14" t="str">
        <f aca="false">IF($B733="","",TEXT($B733,"yymmdd")&amp;"-"&amp;TEXT(COUNTIFS($B$3:$B733,$B733),"00"))</f>
        <v/>
      </c>
      <c r="B733" s="15"/>
      <c r="C733" s="9"/>
      <c r="D733" s="10"/>
      <c r="E733" s="14" t="str">
        <f aca="false">IF($D733="","",IFERROR(INDEX(품목목록!$B$3:$B$202,MATCH($D733,품목목록!$A$3:$A$202,0)),"미등록품번"))</f>
        <v/>
      </c>
      <c r="F733" s="14" t="str">
        <f aca="false">IF($D733="","",IFERROR(INDEX(품목목록!$D$3:$D$202,MATCH($D733,품목목록!$A$3:$A$202,0)),""))</f>
        <v/>
      </c>
      <c r="G733" s="11"/>
      <c r="H733" s="15"/>
      <c r="I733" s="16" t="str">
        <f aca="false">IF($A733="","",SUMIFS(반납내역!$D$3:$D$1502,반납내역!$B$3:$B$1502,$A733))</f>
        <v/>
      </c>
      <c r="J733" s="16" t="str">
        <f aca="false">IF($A733="","",IF($G733="","",$G733-$I733))</f>
        <v/>
      </c>
      <c r="K733" s="17" t="str">
        <f aca="true">IF(OR($A733="",$J733="",$J733&lt;=0,$H733=""),"",TODAY()-$H733)</f>
        <v/>
      </c>
      <c r="L733" s="14" t="str">
        <f aca="false">IF($A733="","",IF($G733="","",IF($J733&lt;=0,"반납완료",IF($I733&gt;0,"부분반납","미반납"))))</f>
        <v/>
      </c>
    </row>
    <row r="734" customFormat="false" ht="15" hidden="false" customHeight="false" outlineLevel="0" collapsed="false">
      <c r="A734" s="14" t="str">
        <f aca="false">IF($B734="","",TEXT($B734,"yymmdd")&amp;"-"&amp;TEXT(COUNTIFS($B$3:$B734,$B734),"00"))</f>
        <v/>
      </c>
      <c r="B734" s="15"/>
      <c r="C734" s="9"/>
      <c r="D734" s="10"/>
      <c r="E734" s="14" t="str">
        <f aca="false">IF($D734="","",IFERROR(INDEX(품목목록!$B$3:$B$202,MATCH($D734,품목목록!$A$3:$A$202,0)),"미등록품번"))</f>
        <v/>
      </c>
      <c r="F734" s="14" t="str">
        <f aca="false">IF($D734="","",IFERROR(INDEX(품목목록!$D$3:$D$202,MATCH($D734,품목목록!$A$3:$A$202,0)),""))</f>
        <v/>
      </c>
      <c r="G734" s="11"/>
      <c r="H734" s="15"/>
      <c r="I734" s="16" t="str">
        <f aca="false">IF($A734="","",SUMIFS(반납내역!$D$3:$D$1502,반납내역!$B$3:$B$1502,$A734))</f>
        <v/>
      </c>
      <c r="J734" s="16" t="str">
        <f aca="false">IF($A734="","",IF($G734="","",$G734-$I734))</f>
        <v/>
      </c>
      <c r="K734" s="17" t="str">
        <f aca="true">IF(OR($A734="",$J734="",$J734&lt;=0,$H734=""),"",TODAY()-$H734)</f>
        <v/>
      </c>
      <c r="L734" s="14" t="str">
        <f aca="false">IF($A734="","",IF($G734="","",IF($J734&lt;=0,"반납완료",IF($I734&gt;0,"부분반납","미반납"))))</f>
        <v/>
      </c>
    </row>
    <row r="735" customFormat="false" ht="15" hidden="false" customHeight="false" outlineLevel="0" collapsed="false">
      <c r="A735" s="14" t="str">
        <f aca="false">IF($B735="","",TEXT($B735,"yymmdd")&amp;"-"&amp;TEXT(COUNTIFS($B$3:$B735,$B735),"00"))</f>
        <v/>
      </c>
      <c r="B735" s="15"/>
      <c r="C735" s="9"/>
      <c r="D735" s="10"/>
      <c r="E735" s="14" t="str">
        <f aca="false">IF($D735="","",IFERROR(INDEX(품목목록!$B$3:$B$202,MATCH($D735,품목목록!$A$3:$A$202,0)),"미등록품번"))</f>
        <v/>
      </c>
      <c r="F735" s="14" t="str">
        <f aca="false">IF($D735="","",IFERROR(INDEX(품목목록!$D$3:$D$202,MATCH($D735,품목목록!$A$3:$A$202,0)),""))</f>
        <v/>
      </c>
      <c r="G735" s="11"/>
      <c r="H735" s="15"/>
      <c r="I735" s="16" t="str">
        <f aca="false">IF($A735="","",SUMIFS(반납내역!$D$3:$D$1502,반납내역!$B$3:$B$1502,$A735))</f>
        <v/>
      </c>
      <c r="J735" s="16" t="str">
        <f aca="false">IF($A735="","",IF($G735="","",$G735-$I735))</f>
        <v/>
      </c>
      <c r="K735" s="17" t="str">
        <f aca="true">IF(OR($A735="",$J735="",$J735&lt;=0,$H735=""),"",TODAY()-$H735)</f>
        <v/>
      </c>
      <c r="L735" s="14" t="str">
        <f aca="false">IF($A735="","",IF($G735="","",IF($J735&lt;=0,"반납완료",IF($I735&gt;0,"부분반납","미반납"))))</f>
        <v/>
      </c>
    </row>
    <row r="736" customFormat="false" ht="15" hidden="false" customHeight="false" outlineLevel="0" collapsed="false">
      <c r="A736" s="14" t="str">
        <f aca="false">IF($B736="","",TEXT($B736,"yymmdd")&amp;"-"&amp;TEXT(COUNTIFS($B$3:$B736,$B736),"00"))</f>
        <v/>
      </c>
      <c r="B736" s="15"/>
      <c r="C736" s="9"/>
      <c r="D736" s="10"/>
      <c r="E736" s="14" t="str">
        <f aca="false">IF($D736="","",IFERROR(INDEX(품목목록!$B$3:$B$202,MATCH($D736,품목목록!$A$3:$A$202,0)),"미등록품번"))</f>
        <v/>
      </c>
      <c r="F736" s="14" t="str">
        <f aca="false">IF($D736="","",IFERROR(INDEX(품목목록!$D$3:$D$202,MATCH($D736,품목목록!$A$3:$A$202,0)),""))</f>
        <v/>
      </c>
      <c r="G736" s="11"/>
      <c r="H736" s="15"/>
      <c r="I736" s="16" t="str">
        <f aca="false">IF($A736="","",SUMIFS(반납내역!$D$3:$D$1502,반납내역!$B$3:$B$1502,$A736))</f>
        <v/>
      </c>
      <c r="J736" s="16" t="str">
        <f aca="false">IF($A736="","",IF($G736="","",$G736-$I736))</f>
        <v/>
      </c>
      <c r="K736" s="17" t="str">
        <f aca="true">IF(OR($A736="",$J736="",$J736&lt;=0,$H736=""),"",TODAY()-$H736)</f>
        <v/>
      </c>
      <c r="L736" s="14" t="str">
        <f aca="false">IF($A736="","",IF($G736="","",IF($J736&lt;=0,"반납완료",IF($I736&gt;0,"부분반납","미반납"))))</f>
        <v/>
      </c>
    </row>
    <row r="737" customFormat="false" ht="15" hidden="false" customHeight="false" outlineLevel="0" collapsed="false">
      <c r="A737" s="14" t="str">
        <f aca="false">IF($B737="","",TEXT($B737,"yymmdd")&amp;"-"&amp;TEXT(COUNTIFS($B$3:$B737,$B737),"00"))</f>
        <v/>
      </c>
      <c r="B737" s="15"/>
      <c r="C737" s="9"/>
      <c r="D737" s="10"/>
      <c r="E737" s="14" t="str">
        <f aca="false">IF($D737="","",IFERROR(INDEX(품목목록!$B$3:$B$202,MATCH($D737,품목목록!$A$3:$A$202,0)),"미등록품번"))</f>
        <v/>
      </c>
      <c r="F737" s="14" t="str">
        <f aca="false">IF($D737="","",IFERROR(INDEX(품목목록!$D$3:$D$202,MATCH($D737,품목목록!$A$3:$A$202,0)),""))</f>
        <v/>
      </c>
      <c r="G737" s="11"/>
      <c r="H737" s="15"/>
      <c r="I737" s="16" t="str">
        <f aca="false">IF($A737="","",SUMIFS(반납내역!$D$3:$D$1502,반납내역!$B$3:$B$1502,$A737))</f>
        <v/>
      </c>
      <c r="J737" s="16" t="str">
        <f aca="false">IF($A737="","",IF($G737="","",$G737-$I737))</f>
        <v/>
      </c>
      <c r="K737" s="17" t="str">
        <f aca="true">IF(OR($A737="",$J737="",$J737&lt;=0,$H737=""),"",TODAY()-$H737)</f>
        <v/>
      </c>
      <c r="L737" s="14" t="str">
        <f aca="false">IF($A737="","",IF($G737="","",IF($J737&lt;=0,"반납완료",IF($I737&gt;0,"부분반납","미반납"))))</f>
        <v/>
      </c>
    </row>
    <row r="738" customFormat="false" ht="15" hidden="false" customHeight="false" outlineLevel="0" collapsed="false">
      <c r="A738" s="14" t="str">
        <f aca="false">IF($B738="","",TEXT($B738,"yymmdd")&amp;"-"&amp;TEXT(COUNTIFS($B$3:$B738,$B738),"00"))</f>
        <v/>
      </c>
      <c r="B738" s="15"/>
      <c r="C738" s="9"/>
      <c r="D738" s="10"/>
      <c r="E738" s="14" t="str">
        <f aca="false">IF($D738="","",IFERROR(INDEX(품목목록!$B$3:$B$202,MATCH($D738,품목목록!$A$3:$A$202,0)),"미등록품번"))</f>
        <v/>
      </c>
      <c r="F738" s="14" t="str">
        <f aca="false">IF($D738="","",IFERROR(INDEX(품목목록!$D$3:$D$202,MATCH($D738,품목목록!$A$3:$A$202,0)),""))</f>
        <v/>
      </c>
      <c r="G738" s="11"/>
      <c r="H738" s="15"/>
      <c r="I738" s="16" t="str">
        <f aca="false">IF($A738="","",SUMIFS(반납내역!$D$3:$D$1502,반납내역!$B$3:$B$1502,$A738))</f>
        <v/>
      </c>
      <c r="J738" s="16" t="str">
        <f aca="false">IF($A738="","",IF($G738="","",$G738-$I738))</f>
        <v/>
      </c>
      <c r="K738" s="17" t="str">
        <f aca="true">IF(OR($A738="",$J738="",$J738&lt;=0,$H738=""),"",TODAY()-$H738)</f>
        <v/>
      </c>
      <c r="L738" s="14" t="str">
        <f aca="false">IF($A738="","",IF($G738="","",IF($J738&lt;=0,"반납완료",IF($I738&gt;0,"부분반납","미반납"))))</f>
        <v/>
      </c>
    </row>
    <row r="739" customFormat="false" ht="15" hidden="false" customHeight="false" outlineLevel="0" collapsed="false">
      <c r="A739" s="14" t="str">
        <f aca="false">IF($B739="","",TEXT($B739,"yymmdd")&amp;"-"&amp;TEXT(COUNTIFS($B$3:$B739,$B739),"00"))</f>
        <v/>
      </c>
      <c r="B739" s="15"/>
      <c r="C739" s="9"/>
      <c r="D739" s="10"/>
      <c r="E739" s="14" t="str">
        <f aca="false">IF($D739="","",IFERROR(INDEX(품목목록!$B$3:$B$202,MATCH($D739,품목목록!$A$3:$A$202,0)),"미등록품번"))</f>
        <v/>
      </c>
      <c r="F739" s="14" t="str">
        <f aca="false">IF($D739="","",IFERROR(INDEX(품목목록!$D$3:$D$202,MATCH($D739,품목목록!$A$3:$A$202,0)),""))</f>
        <v/>
      </c>
      <c r="G739" s="11"/>
      <c r="H739" s="15"/>
      <c r="I739" s="16" t="str">
        <f aca="false">IF($A739="","",SUMIFS(반납내역!$D$3:$D$1502,반납내역!$B$3:$B$1502,$A739))</f>
        <v/>
      </c>
      <c r="J739" s="16" t="str">
        <f aca="false">IF($A739="","",IF($G739="","",$G739-$I739))</f>
        <v/>
      </c>
      <c r="K739" s="17" t="str">
        <f aca="true">IF(OR($A739="",$J739="",$J739&lt;=0,$H739=""),"",TODAY()-$H739)</f>
        <v/>
      </c>
      <c r="L739" s="14" t="str">
        <f aca="false">IF($A739="","",IF($G739="","",IF($J739&lt;=0,"반납완료",IF($I739&gt;0,"부분반납","미반납"))))</f>
        <v/>
      </c>
    </row>
    <row r="740" customFormat="false" ht="15" hidden="false" customHeight="false" outlineLevel="0" collapsed="false">
      <c r="A740" s="14" t="str">
        <f aca="false">IF($B740="","",TEXT($B740,"yymmdd")&amp;"-"&amp;TEXT(COUNTIFS($B$3:$B740,$B740),"00"))</f>
        <v/>
      </c>
      <c r="B740" s="15"/>
      <c r="C740" s="9"/>
      <c r="D740" s="10"/>
      <c r="E740" s="14" t="str">
        <f aca="false">IF($D740="","",IFERROR(INDEX(품목목록!$B$3:$B$202,MATCH($D740,품목목록!$A$3:$A$202,0)),"미등록품번"))</f>
        <v/>
      </c>
      <c r="F740" s="14" t="str">
        <f aca="false">IF($D740="","",IFERROR(INDEX(품목목록!$D$3:$D$202,MATCH($D740,품목목록!$A$3:$A$202,0)),""))</f>
        <v/>
      </c>
      <c r="G740" s="11"/>
      <c r="H740" s="15"/>
      <c r="I740" s="16" t="str">
        <f aca="false">IF($A740="","",SUMIFS(반납내역!$D$3:$D$1502,반납내역!$B$3:$B$1502,$A740))</f>
        <v/>
      </c>
      <c r="J740" s="16" t="str">
        <f aca="false">IF($A740="","",IF($G740="","",$G740-$I740))</f>
        <v/>
      </c>
      <c r="K740" s="17" t="str">
        <f aca="true">IF(OR($A740="",$J740="",$J740&lt;=0,$H740=""),"",TODAY()-$H740)</f>
        <v/>
      </c>
      <c r="L740" s="14" t="str">
        <f aca="false">IF($A740="","",IF($G740="","",IF($J740&lt;=0,"반납완료",IF($I740&gt;0,"부분반납","미반납"))))</f>
        <v/>
      </c>
    </row>
    <row r="741" customFormat="false" ht="15" hidden="false" customHeight="false" outlineLevel="0" collapsed="false">
      <c r="A741" s="14" t="str">
        <f aca="false">IF($B741="","",TEXT($B741,"yymmdd")&amp;"-"&amp;TEXT(COUNTIFS($B$3:$B741,$B741),"00"))</f>
        <v/>
      </c>
      <c r="B741" s="15"/>
      <c r="C741" s="9"/>
      <c r="D741" s="10"/>
      <c r="E741" s="14" t="str">
        <f aca="false">IF($D741="","",IFERROR(INDEX(품목목록!$B$3:$B$202,MATCH($D741,품목목록!$A$3:$A$202,0)),"미등록품번"))</f>
        <v/>
      </c>
      <c r="F741" s="14" t="str">
        <f aca="false">IF($D741="","",IFERROR(INDEX(품목목록!$D$3:$D$202,MATCH($D741,품목목록!$A$3:$A$202,0)),""))</f>
        <v/>
      </c>
      <c r="G741" s="11"/>
      <c r="H741" s="15"/>
      <c r="I741" s="16" t="str">
        <f aca="false">IF($A741="","",SUMIFS(반납내역!$D$3:$D$1502,반납내역!$B$3:$B$1502,$A741))</f>
        <v/>
      </c>
      <c r="J741" s="16" t="str">
        <f aca="false">IF($A741="","",IF($G741="","",$G741-$I741))</f>
        <v/>
      </c>
      <c r="K741" s="17" t="str">
        <f aca="true">IF(OR($A741="",$J741="",$J741&lt;=0,$H741=""),"",TODAY()-$H741)</f>
        <v/>
      </c>
      <c r="L741" s="14" t="str">
        <f aca="false">IF($A741="","",IF($G741="","",IF($J741&lt;=0,"반납완료",IF($I741&gt;0,"부분반납","미반납"))))</f>
        <v/>
      </c>
    </row>
    <row r="742" customFormat="false" ht="15" hidden="false" customHeight="false" outlineLevel="0" collapsed="false">
      <c r="A742" s="14" t="str">
        <f aca="false">IF($B742="","",TEXT($B742,"yymmdd")&amp;"-"&amp;TEXT(COUNTIFS($B$3:$B742,$B742),"00"))</f>
        <v/>
      </c>
      <c r="B742" s="15"/>
      <c r="C742" s="9"/>
      <c r="D742" s="10"/>
      <c r="E742" s="14" t="str">
        <f aca="false">IF($D742="","",IFERROR(INDEX(품목목록!$B$3:$B$202,MATCH($D742,품목목록!$A$3:$A$202,0)),"미등록품번"))</f>
        <v/>
      </c>
      <c r="F742" s="14" t="str">
        <f aca="false">IF($D742="","",IFERROR(INDEX(품목목록!$D$3:$D$202,MATCH($D742,품목목록!$A$3:$A$202,0)),""))</f>
        <v/>
      </c>
      <c r="G742" s="11"/>
      <c r="H742" s="15"/>
      <c r="I742" s="16" t="str">
        <f aca="false">IF($A742="","",SUMIFS(반납내역!$D$3:$D$1502,반납내역!$B$3:$B$1502,$A742))</f>
        <v/>
      </c>
      <c r="J742" s="16" t="str">
        <f aca="false">IF($A742="","",IF($G742="","",$G742-$I742))</f>
        <v/>
      </c>
      <c r="K742" s="17" t="str">
        <f aca="true">IF(OR($A742="",$J742="",$J742&lt;=0,$H742=""),"",TODAY()-$H742)</f>
        <v/>
      </c>
      <c r="L742" s="14" t="str">
        <f aca="false">IF($A742="","",IF($G742="","",IF($J742&lt;=0,"반납완료",IF($I742&gt;0,"부분반납","미반납"))))</f>
        <v/>
      </c>
    </row>
    <row r="743" customFormat="false" ht="15" hidden="false" customHeight="false" outlineLevel="0" collapsed="false">
      <c r="A743" s="14" t="str">
        <f aca="false">IF($B743="","",TEXT($B743,"yymmdd")&amp;"-"&amp;TEXT(COUNTIFS($B$3:$B743,$B743),"00"))</f>
        <v/>
      </c>
      <c r="B743" s="15"/>
      <c r="C743" s="9"/>
      <c r="D743" s="10"/>
      <c r="E743" s="14" t="str">
        <f aca="false">IF($D743="","",IFERROR(INDEX(품목목록!$B$3:$B$202,MATCH($D743,품목목록!$A$3:$A$202,0)),"미등록품번"))</f>
        <v/>
      </c>
      <c r="F743" s="14" t="str">
        <f aca="false">IF($D743="","",IFERROR(INDEX(품목목록!$D$3:$D$202,MATCH($D743,품목목록!$A$3:$A$202,0)),""))</f>
        <v/>
      </c>
      <c r="G743" s="11"/>
      <c r="H743" s="15"/>
      <c r="I743" s="16" t="str">
        <f aca="false">IF($A743="","",SUMIFS(반납내역!$D$3:$D$1502,반납내역!$B$3:$B$1502,$A743))</f>
        <v/>
      </c>
      <c r="J743" s="16" t="str">
        <f aca="false">IF($A743="","",IF($G743="","",$G743-$I743))</f>
        <v/>
      </c>
      <c r="K743" s="17" t="str">
        <f aca="true">IF(OR($A743="",$J743="",$J743&lt;=0,$H743=""),"",TODAY()-$H743)</f>
        <v/>
      </c>
      <c r="L743" s="14" t="str">
        <f aca="false">IF($A743="","",IF($G743="","",IF($J743&lt;=0,"반납완료",IF($I743&gt;0,"부분반납","미반납"))))</f>
        <v/>
      </c>
    </row>
    <row r="744" customFormat="false" ht="15" hidden="false" customHeight="false" outlineLevel="0" collapsed="false">
      <c r="A744" s="14" t="str">
        <f aca="false">IF($B744="","",TEXT($B744,"yymmdd")&amp;"-"&amp;TEXT(COUNTIFS($B$3:$B744,$B744),"00"))</f>
        <v/>
      </c>
      <c r="B744" s="15"/>
      <c r="C744" s="9"/>
      <c r="D744" s="10"/>
      <c r="E744" s="14" t="str">
        <f aca="false">IF($D744="","",IFERROR(INDEX(품목목록!$B$3:$B$202,MATCH($D744,품목목록!$A$3:$A$202,0)),"미등록품번"))</f>
        <v/>
      </c>
      <c r="F744" s="14" t="str">
        <f aca="false">IF($D744="","",IFERROR(INDEX(품목목록!$D$3:$D$202,MATCH($D744,품목목록!$A$3:$A$202,0)),""))</f>
        <v/>
      </c>
      <c r="G744" s="11"/>
      <c r="H744" s="15"/>
      <c r="I744" s="16" t="str">
        <f aca="false">IF($A744="","",SUMIFS(반납내역!$D$3:$D$1502,반납내역!$B$3:$B$1502,$A744))</f>
        <v/>
      </c>
      <c r="J744" s="16" t="str">
        <f aca="false">IF($A744="","",IF($G744="","",$G744-$I744))</f>
        <v/>
      </c>
      <c r="K744" s="17" t="str">
        <f aca="true">IF(OR($A744="",$J744="",$J744&lt;=0,$H744=""),"",TODAY()-$H744)</f>
        <v/>
      </c>
      <c r="L744" s="14" t="str">
        <f aca="false">IF($A744="","",IF($G744="","",IF($J744&lt;=0,"반납완료",IF($I744&gt;0,"부분반납","미반납"))))</f>
        <v/>
      </c>
    </row>
    <row r="745" customFormat="false" ht="15" hidden="false" customHeight="false" outlineLevel="0" collapsed="false">
      <c r="A745" s="14" t="str">
        <f aca="false">IF($B745="","",TEXT($B745,"yymmdd")&amp;"-"&amp;TEXT(COUNTIFS($B$3:$B745,$B745),"00"))</f>
        <v/>
      </c>
      <c r="B745" s="15"/>
      <c r="C745" s="9"/>
      <c r="D745" s="10"/>
      <c r="E745" s="14" t="str">
        <f aca="false">IF($D745="","",IFERROR(INDEX(품목목록!$B$3:$B$202,MATCH($D745,품목목록!$A$3:$A$202,0)),"미등록품번"))</f>
        <v/>
      </c>
      <c r="F745" s="14" t="str">
        <f aca="false">IF($D745="","",IFERROR(INDEX(품목목록!$D$3:$D$202,MATCH($D745,품목목록!$A$3:$A$202,0)),""))</f>
        <v/>
      </c>
      <c r="G745" s="11"/>
      <c r="H745" s="15"/>
      <c r="I745" s="16" t="str">
        <f aca="false">IF($A745="","",SUMIFS(반납내역!$D$3:$D$1502,반납내역!$B$3:$B$1502,$A745))</f>
        <v/>
      </c>
      <c r="J745" s="16" t="str">
        <f aca="false">IF($A745="","",IF($G745="","",$G745-$I745))</f>
        <v/>
      </c>
      <c r="K745" s="17" t="str">
        <f aca="true">IF(OR($A745="",$J745="",$J745&lt;=0,$H745=""),"",TODAY()-$H745)</f>
        <v/>
      </c>
      <c r="L745" s="14" t="str">
        <f aca="false">IF($A745="","",IF($G745="","",IF($J745&lt;=0,"반납완료",IF($I745&gt;0,"부분반납","미반납"))))</f>
        <v/>
      </c>
    </row>
    <row r="746" customFormat="false" ht="15" hidden="false" customHeight="false" outlineLevel="0" collapsed="false">
      <c r="A746" s="14" t="str">
        <f aca="false">IF($B746="","",TEXT($B746,"yymmdd")&amp;"-"&amp;TEXT(COUNTIFS($B$3:$B746,$B746),"00"))</f>
        <v/>
      </c>
      <c r="B746" s="15"/>
      <c r="C746" s="9"/>
      <c r="D746" s="10"/>
      <c r="E746" s="14" t="str">
        <f aca="false">IF($D746="","",IFERROR(INDEX(품목목록!$B$3:$B$202,MATCH($D746,품목목록!$A$3:$A$202,0)),"미등록품번"))</f>
        <v/>
      </c>
      <c r="F746" s="14" t="str">
        <f aca="false">IF($D746="","",IFERROR(INDEX(품목목록!$D$3:$D$202,MATCH($D746,품목목록!$A$3:$A$202,0)),""))</f>
        <v/>
      </c>
      <c r="G746" s="11"/>
      <c r="H746" s="15"/>
      <c r="I746" s="16" t="str">
        <f aca="false">IF($A746="","",SUMIFS(반납내역!$D$3:$D$1502,반납내역!$B$3:$B$1502,$A746))</f>
        <v/>
      </c>
      <c r="J746" s="16" t="str">
        <f aca="false">IF($A746="","",IF($G746="","",$G746-$I746))</f>
        <v/>
      </c>
      <c r="K746" s="17" t="str">
        <f aca="true">IF(OR($A746="",$J746="",$J746&lt;=0,$H746=""),"",TODAY()-$H746)</f>
        <v/>
      </c>
      <c r="L746" s="14" t="str">
        <f aca="false">IF($A746="","",IF($G746="","",IF($J746&lt;=0,"반납완료",IF($I746&gt;0,"부분반납","미반납"))))</f>
        <v/>
      </c>
    </row>
    <row r="747" customFormat="false" ht="15" hidden="false" customHeight="false" outlineLevel="0" collapsed="false">
      <c r="A747" s="14" t="str">
        <f aca="false">IF($B747="","",TEXT($B747,"yymmdd")&amp;"-"&amp;TEXT(COUNTIFS($B$3:$B747,$B747),"00"))</f>
        <v/>
      </c>
      <c r="B747" s="15"/>
      <c r="C747" s="9"/>
      <c r="D747" s="10"/>
      <c r="E747" s="14" t="str">
        <f aca="false">IF($D747="","",IFERROR(INDEX(품목목록!$B$3:$B$202,MATCH($D747,품목목록!$A$3:$A$202,0)),"미등록품번"))</f>
        <v/>
      </c>
      <c r="F747" s="14" t="str">
        <f aca="false">IF($D747="","",IFERROR(INDEX(품목목록!$D$3:$D$202,MATCH($D747,품목목록!$A$3:$A$202,0)),""))</f>
        <v/>
      </c>
      <c r="G747" s="11"/>
      <c r="H747" s="15"/>
      <c r="I747" s="16" t="str">
        <f aca="false">IF($A747="","",SUMIFS(반납내역!$D$3:$D$1502,반납내역!$B$3:$B$1502,$A747))</f>
        <v/>
      </c>
      <c r="J747" s="16" t="str">
        <f aca="false">IF($A747="","",IF($G747="","",$G747-$I747))</f>
        <v/>
      </c>
      <c r="K747" s="17" t="str">
        <f aca="true">IF(OR($A747="",$J747="",$J747&lt;=0,$H747=""),"",TODAY()-$H747)</f>
        <v/>
      </c>
      <c r="L747" s="14" t="str">
        <f aca="false">IF($A747="","",IF($G747="","",IF($J747&lt;=0,"반납완료",IF($I747&gt;0,"부분반납","미반납"))))</f>
        <v/>
      </c>
    </row>
    <row r="748" customFormat="false" ht="15" hidden="false" customHeight="false" outlineLevel="0" collapsed="false">
      <c r="A748" s="14" t="str">
        <f aca="false">IF($B748="","",TEXT($B748,"yymmdd")&amp;"-"&amp;TEXT(COUNTIFS($B$3:$B748,$B748),"00"))</f>
        <v/>
      </c>
      <c r="B748" s="15"/>
      <c r="C748" s="9"/>
      <c r="D748" s="10"/>
      <c r="E748" s="14" t="str">
        <f aca="false">IF($D748="","",IFERROR(INDEX(품목목록!$B$3:$B$202,MATCH($D748,품목목록!$A$3:$A$202,0)),"미등록품번"))</f>
        <v/>
      </c>
      <c r="F748" s="14" t="str">
        <f aca="false">IF($D748="","",IFERROR(INDEX(품목목록!$D$3:$D$202,MATCH($D748,품목목록!$A$3:$A$202,0)),""))</f>
        <v/>
      </c>
      <c r="G748" s="11"/>
      <c r="H748" s="15"/>
      <c r="I748" s="16" t="str">
        <f aca="false">IF($A748="","",SUMIFS(반납내역!$D$3:$D$1502,반납내역!$B$3:$B$1502,$A748))</f>
        <v/>
      </c>
      <c r="J748" s="16" t="str">
        <f aca="false">IF($A748="","",IF($G748="","",$G748-$I748))</f>
        <v/>
      </c>
      <c r="K748" s="17" t="str">
        <f aca="true">IF(OR($A748="",$J748="",$J748&lt;=0,$H748=""),"",TODAY()-$H748)</f>
        <v/>
      </c>
      <c r="L748" s="14" t="str">
        <f aca="false">IF($A748="","",IF($G748="","",IF($J748&lt;=0,"반납완료",IF($I748&gt;0,"부분반납","미반납"))))</f>
        <v/>
      </c>
    </row>
    <row r="749" customFormat="false" ht="15" hidden="false" customHeight="false" outlineLevel="0" collapsed="false">
      <c r="A749" s="14" t="str">
        <f aca="false">IF($B749="","",TEXT($B749,"yymmdd")&amp;"-"&amp;TEXT(COUNTIFS($B$3:$B749,$B749),"00"))</f>
        <v/>
      </c>
      <c r="B749" s="15"/>
      <c r="C749" s="9"/>
      <c r="D749" s="10"/>
      <c r="E749" s="14" t="str">
        <f aca="false">IF($D749="","",IFERROR(INDEX(품목목록!$B$3:$B$202,MATCH($D749,품목목록!$A$3:$A$202,0)),"미등록품번"))</f>
        <v/>
      </c>
      <c r="F749" s="14" t="str">
        <f aca="false">IF($D749="","",IFERROR(INDEX(품목목록!$D$3:$D$202,MATCH($D749,품목목록!$A$3:$A$202,0)),""))</f>
        <v/>
      </c>
      <c r="G749" s="11"/>
      <c r="H749" s="15"/>
      <c r="I749" s="16" t="str">
        <f aca="false">IF($A749="","",SUMIFS(반납내역!$D$3:$D$1502,반납내역!$B$3:$B$1502,$A749))</f>
        <v/>
      </c>
      <c r="J749" s="16" t="str">
        <f aca="false">IF($A749="","",IF($G749="","",$G749-$I749))</f>
        <v/>
      </c>
      <c r="K749" s="17" t="str">
        <f aca="true">IF(OR($A749="",$J749="",$J749&lt;=0,$H749=""),"",TODAY()-$H749)</f>
        <v/>
      </c>
      <c r="L749" s="14" t="str">
        <f aca="false">IF($A749="","",IF($G749="","",IF($J749&lt;=0,"반납완료",IF($I749&gt;0,"부분반납","미반납"))))</f>
        <v/>
      </c>
    </row>
    <row r="750" customFormat="false" ht="15" hidden="false" customHeight="false" outlineLevel="0" collapsed="false">
      <c r="A750" s="14" t="str">
        <f aca="false">IF($B750="","",TEXT($B750,"yymmdd")&amp;"-"&amp;TEXT(COUNTIFS($B$3:$B750,$B750),"00"))</f>
        <v/>
      </c>
      <c r="B750" s="15"/>
      <c r="C750" s="9"/>
      <c r="D750" s="10"/>
      <c r="E750" s="14" t="str">
        <f aca="false">IF($D750="","",IFERROR(INDEX(품목목록!$B$3:$B$202,MATCH($D750,품목목록!$A$3:$A$202,0)),"미등록품번"))</f>
        <v/>
      </c>
      <c r="F750" s="14" t="str">
        <f aca="false">IF($D750="","",IFERROR(INDEX(품목목록!$D$3:$D$202,MATCH($D750,품목목록!$A$3:$A$202,0)),""))</f>
        <v/>
      </c>
      <c r="G750" s="11"/>
      <c r="H750" s="15"/>
      <c r="I750" s="16" t="str">
        <f aca="false">IF($A750="","",SUMIFS(반납내역!$D$3:$D$1502,반납내역!$B$3:$B$1502,$A750))</f>
        <v/>
      </c>
      <c r="J750" s="16" t="str">
        <f aca="false">IF($A750="","",IF($G750="","",$G750-$I750))</f>
        <v/>
      </c>
      <c r="K750" s="17" t="str">
        <f aca="true">IF(OR($A750="",$J750="",$J750&lt;=0,$H750=""),"",TODAY()-$H750)</f>
        <v/>
      </c>
      <c r="L750" s="14" t="str">
        <f aca="false">IF($A750="","",IF($G750="","",IF($J750&lt;=0,"반납완료",IF($I750&gt;0,"부분반납","미반납"))))</f>
        <v/>
      </c>
    </row>
    <row r="751" customFormat="false" ht="15" hidden="false" customHeight="false" outlineLevel="0" collapsed="false">
      <c r="A751" s="14" t="str">
        <f aca="false">IF($B751="","",TEXT($B751,"yymmdd")&amp;"-"&amp;TEXT(COUNTIFS($B$3:$B751,$B751),"00"))</f>
        <v/>
      </c>
      <c r="B751" s="15"/>
      <c r="C751" s="9"/>
      <c r="D751" s="10"/>
      <c r="E751" s="14" t="str">
        <f aca="false">IF($D751="","",IFERROR(INDEX(품목목록!$B$3:$B$202,MATCH($D751,품목목록!$A$3:$A$202,0)),"미등록품번"))</f>
        <v/>
      </c>
      <c r="F751" s="14" t="str">
        <f aca="false">IF($D751="","",IFERROR(INDEX(품목목록!$D$3:$D$202,MATCH($D751,품목목록!$A$3:$A$202,0)),""))</f>
        <v/>
      </c>
      <c r="G751" s="11"/>
      <c r="H751" s="15"/>
      <c r="I751" s="16" t="str">
        <f aca="false">IF($A751="","",SUMIFS(반납내역!$D$3:$D$1502,반납내역!$B$3:$B$1502,$A751))</f>
        <v/>
      </c>
      <c r="J751" s="16" t="str">
        <f aca="false">IF($A751="","",IF($G751="","",$G751-$I751))</f>
        <v/>
      </c>
      <c r="K751" s="17" t="str">
        <f aca="true">IF(OR($A751="",$J751="",$J751&lt;=0,$H751=""),"",TODAY()-$H751)</f>
        <v/>
      </c>
      <c r="L751" s="14" t="str">
        <f aca="false">IF($A751="","",IF($G751="","",IF($J751&lt;=0,"반납완료",IF($I751&gt;0,"부분반납","미반납"))))</f>
        <v/>
      </c>
    </row>
    <row r="752" customFormat="false" ht="15" hidden="false" customHeight="false" outlineLevel="0" collapsed="false">
      <c r="A752" s="14" t="str">
        <f aca="false">IF($B752="","",TEXT($B752,"yymmdd")&amp;"-"&amp;TEXT(COUNTIFS($B$3:$B752,$B752),"00"))</f>
        <v/>
      </c>
      <c r="B752" s="15"/>
      <c r="C752" s="9"/>
      <c r="D752" s="10"/>
      <c r="E752" s="14" t="str">
        <f aca="false">IF($D752="","",IFERROR(INDEX(품목목록!$B$3:$B$202,MATCH($D752,품목목록!$A$3:$A$202,0)),"미등록품번"))</f>
        <v/>
      </c>
      <c r="F752" s="14" t="str">
        <f aca="false">IF($D752="","",IFERROR(INDEX(품목목록!$D$3:$D$202,MATCH($D752,품목목록!$A$3:$A$202,0)),""))</f>
        <v/>
      </c>
      <c r="G752" s="11"/>
      <c r="H752" s="15"/>
      <c r="I752" s="16" t="str">
        <f aca="false">IF($A752="","",SUMIFS(반납내역!$D$3:$D$1502,반납내역!$B$3:$B$1502,$A752))</f>
        <v/>
      </c>
      <c r="J752" s="16" t="str">
        <f aca="false">IF($A752="","",IF($G752="","",$G752-$I752))</f>
        <v/>
      </c>
      <c r="K752" s="17" t="str">
        <f aca="true">IF(OR($A752="",$J752="",$J752&lt;=0,$H752=""),"",TODAY()-$H752)</f>
        <v/>
      </c>
      <c r="L752" s="14" t="str">
        <f aca="false">IF($A752="","",IF($G752="","",IF($J752&lt;=0,"반납완료",IF($I752&gt;0,"부분반납","미반납"))))</f>
        <v/>
      </c>
    </row>
    <row r="753" customFormat="false" ht="15" hidden="false" customHeight="false" outlineLevel="0" collapsed="false">
      <c r="A753" s="14" t="str">
        <f aca="false">IF($B753="","",TEXT($B753,"yymmdd")&amp;"-"&amp;TEXT(COUNTIFS($B$3:$B753,$B753),"00"))</f>
        <v/>
      </c>
      <c r="B753" s="15"/>
      <c r="C753" s="9"/>
      <c r="D753" s="10"/>
      <c r="E753" s="14" t="str">
        <f aca="false">IF($D753="","",IFERROR(INDEX(품목목록!$B$3:$B$202,MATCH($D753,품목목록!$A$3:$A$202,0)),"미등록품번"))</f>
        <v/>
      </c>
      <c r="F753" s="14" t="str">
        <f aca="false">IF($D753="","",IFERROR(INDEX(품목목록!$D$3:$D$202,MATCH($D753,품목목록!$A$3:$A$202,0)),""))</f>
        <v/>
      </c>
      <c r="G753" s="11"/>
      <c r="H753" s="15"/>
      <c r="I753" s="16" t="str">
        <f aca="false">IF($A753="","",SUMIFS(반납내역!$D$3:$D$1502,반납내역!$B$3:$B$1502,$A753))</f>
        <v/>
      </c>
      <c r="J753" s="16" t="str">
        <f aca="false">IF($A753="","",IF($G753="","",$G753-$I753))</f>
        <v/>
      </c>
      <c r="K753" s="17" t="str">
        <f aca="true">IF(OR($A753="",$J753="",$J753&lt;=0,$H753=""),"",TODAY()-$H753)</f>
        <v/>
      </c>
      <c r="L753" s="14" t="str">
        <f aca="false">IF($A753="","",IF($G753="","",IF($J753&lt;=0,"반납완료",IF($I753&gt;0,"부분반납","미반납"))))</f>
        <v/>
      </c>
    </row>
    <row r="754" customFormat="false" ht="15" hidden="false" customHeight="false" outlineLevel="0" collapsed="false">
      <c r="A754" s="14" t="str">
        <f aca="false">IF($B754="","",TEXT($B754,"yymmdd")&amp;"-"&amp;TEXT(COUNTIFS($B$3:$B754,$B754),"00"))</f>
        <v/>
      </c>
      <c r="B754" s="15"/>
      <c r="C754" s="9"/>
      <c r="D754" s="10"/>
      <c r="E754" s="14" t="str">
        <f aca="false">IF($D754="","",IFERROR(INDEX(품목목록!$B$3:$B$202,MATCH($D754,품목목록!$A$3:$A$202,0)),"미등록품번"))</f>
        <v/>
      </c>
      <c r="F754" s="14" t="str">
        <f aca="false">IF($D754="","",IFERROR(INDEX(품목목록!$D$3:$D$202,MATCH($D754,품목목록!$A$3:$A$202,0)),""))</f>
        <v/>
      </c>
      <c r="G754" s="11"/>
      <c r="H754" s="15"/>
      <c r="I754" s="16" t="str">
        <f aca="false">IF($A754="","",SUMIFS(반납내역!$D$3:$D$1502,반납내역!$B$3:$B$1502,$A754))</f>
        <v/>
      </c>
      <c r="J754" s="16" t="str">
        <f aca="false">IF($A754="","",IF($G754="","",$G754-$I754))</f>
        <v/>
      </c>
      <c r="K754" s="17" t="str">
        <f aca="true">IF(OR($A754="",$J754="",$J754&lt;=0,$H754=""),"",TODAY()-$H754)</f>
        <v/>
      </c>
      <c r="L754" s="14" t="str">
        <f aca="false">IF($A754="","",IF($G754="","",IF($J754&lt;=0,"반납완료",IF($I754&gt;0,"부분반납","미반납"))))</f>
        <v/>
      </c>
    </row>
    <row r="755" customFormat="false" ht="15" hidden="false" customHeight="false" outlineLevel="0" collapsed="false">
      <c r="A755" s="14" t="str">
        <f aca="false">IF($B755="","",TEXT($B755,"yymmdd")&amp;"-"&amp;TEXT(COUNTIFS($B$3:$B755,$B755),"00"))</f>
        <v/>
      </c>
      <c r="B755" s="15"/>
      <c r="C755" s="9"/>
      <c r="D755" s="10"/>
      <c r="E755" s="14" t="str">
        <f aca="false">IF($D755="","",IFERROR(INDEX(품목목록!$B$3:$B$202,MATCH($D755,품목목록!$A$3:$A$202,0)),"미등록품번"))</f>
        <v/>
      </c>
      <c r="F755" s="14" t="str">
        <f aca="false">IF($D755="","",IFERROR(INDEX(품목목록!$D$3:$D$202,MATCH($D755,품목목록!$A$3:$A$202,0)),""))</f>
        <v/>
      </c>
      <c r="G755" s="11"/>
      <c r="H755" s="15"/>
      <c r="I755" s="16" t="str">
        <f aca="false">IF($A755="","",SUMIFS(반납내역!$D$3:$D$1502,반납내역!$B$3:$B$1502,$A755))</f>
        <v/>
      </c>
      <c r="J755" s="16" t="str">
        <f aca="false">IF($A755="","",IF($G755="","",$G755-$I755))</f>
        <v/>
      </c>
      <c r="K755" s="17" t="str">
        <f aca="true">IF(OR($A755="",$J755="",$J755&lt;=0,$H755=""),"",TODAY()-$H755)</f>
        <v/>
      </c>
      <c r="L755" s="14" t="str">
        <f aca="false">IF($A755="","",IF($G755="","",IF($J755&lt;=0,"반납완료",IF($I755&gt;0,"부분반납","미반납"))))</f>
        <v/>
      </c>
    </row>
    <row r="756" customFormat="false" ht="15" hidden="false" customHeight="false" outlineLevel="0" collapsed="false">
      <c r="A756" s="14" t="str">
        <f aca="false">IF($B756="","",TEXT($B756,"yymmdd")&amp;"-"&amp;TEXT(COUNTIFS($B$3:$B756,$B756),"00"))</f>
        <v/>
      </c>
      <c r="B756" s="15"/>
      <c r="C756" s="9"/>
      <c r="D756" s="10"/>
      <c r="E756" s="14" t="str">
        <f aca="false">IF($D756="","",IFERROR(INDEX(품목목록!$B$3:$B$202,MATCH($D756,품목목록!$A$3:$A$202,0)),"미등록품번"))</f>
        <v/>
      </c>
      <c r="F756" s="14" t="str">
        <f aca="false">IF($D756="","",IFERROR(INDEX(품목목록!$D$3:$D$202,MATCH($D756,품목목록!$A$3:$A$202,0)),""))</f>
        <v/>
      </c>
      <c r="G756" s="11"/>
      <c r="H756" s="15"/>
      <c r="I756" s="16" t="str">
        <f aca="false">IF($A756="","",SUMIFS(반납내역!$D$3:$D$1502,반납내역!$B$3:$B$1502,$A756))</f>
        <v/>
      </c>
      <c r="J756" s="16" t="str">
        <f aca="false">IF($A756="","",IF($G756="","",$G756-$I756))</f>
        <v/>
      </c>
      <c r="K756" s="17" t="str">
        <f aca="true">IF(OR($A756="",$J756="",$J756&lt;=0,$H756=""),"",TODAY()-$H756)</f>
        <v/>
      </c>
      <c r="L756" s="14" t="str">
        <f aca="false">IF($A756="","",IF($G756="","",IF($J756&lt;=0,"반납완료",IF($I756&gt;0,"부분반납","미반납"))))</f>
        <v/>
      </c>
    </row>
    <row r="757" customFormat="false" ht="15" hidden="false" customHeight="false" outlineLevel="0" collapsed="false">
      <c r="A757" s="14" t="str">
        <f aca="false">IF($B757="","",TEXT($B757,"yymmdd")&amp;"-"&amp;TEXT(COUNTIFS($B$3:$B757,$B757),"00"))</f>
        <v/>
      </c>
      <c r="B757" s="15"/>
      <c r="C757" s="9"/>
      <c r="D757" s="10"/>
      <c r="E757" s="14" t="str">
        <f aca="false">IF($D757="","",IFERROR(INDEX(품목목록!$B$3:$B$202,MATCH($D757,품목목록!$A$3:$A$202,0)),"미등록품번"))</f>
        <v/>
      </c>
      <c r="F757" s="14" t="str">
        <f aca="false">IF($D757="","",IFERROR(INDEX(품목목록!$D$3:$D$202,MATCH($D757,품목목록!$A$3:$A$202,0)),""))</f>
        <v/>
      </c>
      <c r="G757" s="11"/>
      <c r="H757" s="15"/>
      <c r="I757" s="16" t="str">
        <f aca="false">IF($A757="","",SUMIFS(반납내역!$D$3:$D$1502,반납내역!$B$3:$B$1502,$A757))</f>
        <v/>
      </c>
      <c r="J757" s="16" t="str">
        <f aca="false">IF($A757="","",IF($G757="","",$G757-$I757))</f>
        <v/>
      </c>
      <c r="K757" s="17" t="str">
        <f aca="true">IF(OR($A757="",$J757="",$J757&lt;=0,$H757=""),"",TODAY()-$H757)</f>
        <v/>
      </c>
      <c r="L757" s="14" t="str">
        <f aca="false">IF($A757="","",IF($G757="","",IF($J757&lt;=0,"반납완료",IF($I757&gt;0,"부분반납","미반납"))))</f>
        <v/>
      </c>
    </row>
    <row r="758" customFormat="false" ht="15" hidden="false" customHeight="false" outlineLevel="0" collapsed="false">
      <c r="A758" s="14" t="str">
        <f aca="false">IF($B758="","",TEXT($B758,"yymmdd")&amp;"-"&amp;TEXT(COUNTIFS($B$3:$B758,$B758),"00"))</f>
        <v/>
      </c>
      <c r="B758" s="15"/>
      <c r="C758" s="9"/>
      <c r="D758" s="10"/>
      <c r="E758" s="14" t="str">
        <f aca="false">IF($D758="","",IFERROR(INDEX(품목목록!$B$3:$B$202,MATCH($D758,품목목록!$A$3:$A$202,0)),"미등록품번"))</f>
        <v/>
      </c>
      <c r="F758" s="14" t="str">
        <f aca="false">IF($D758="","",IFERROR(INDEX(품목목록!$D$3:$D$202,MATCH($D758,품목목록!$A$3:$A$202,0)),""))</f>
        <v/>
      </c>
      <c r="G758" s="11"/>
      <c r="H758" s="15"/>
      <c r="I758" s="16" t="str">
        <f aca="false">IF($A758="","",SUMIFS(반납내역!$D$3:$D$1502,반납내역!$B$3:$B$1502,$A758))</f>
        <v/>
      </c>
      <c r="J758" s="16" t="str">
        <f aca="false">IF($A758="","",IF($G758="","",$G758-$I758))</f>
        <v/>
      </c>
      <c r="K758" s="17" t="str">
        <f aca="true">IF(OR($A758="",$J758="",$J758&lt;=0,$H758=""),"",TODAY()-$H758)</f>
        <v/>
      </c>
      <c r="L758" s="14" t="str">
        <f aca="false">IF($A758="","",IF($G758="","",IF($J758&lt;=0,"반납완료",IF($I758&gt;0,"부분반납","미반납"))))</f>
        <v/>
      </c>
    </row>
    <row r="759" customFormat="false" ht="15" hidden="false" customHeight="false" outlineLevel="0" collapsed="false">
      <c r="A759" s="14" t="str">
        <f aca="false">IF($B759="","",TEXT($B759,"yymmdd")&amp;"-"&amp;TEXT(COUNTIFS($B$3:$B759,$B759),"00"))</f>
        <v/>
      </c>
      <c r="B759" s="15"/>
      <c r="C759" s="9"/>
      <c r="D759" s="10"/>
      <c r="E759" s="14" t="str">
        <f aca="false">IF($D759="","",IFERROR(INDEX(품목목록!$B$3:$B$202,MATCH($D759,품목목록!$A$3:$A$202,0)),"미등록품번"))</f>
        <v/>
      </c>
      <c r="F759" s="14" t="str">
        <f aca="false">IF($D759="","",IFERROR(INDEX(품목목록!$D$3:$D$202,MATCH($D759,품목목록!$A$3:$A$202,0)),""))</f>
        <v/>
      </c>
      <c r="G759" s="11"/>
      <c r="H759" s="15"/>
      <c r="I759" s="16" t="str">
        <f aca="false">IF($A759="","",SUMIFS(반납내역!$D$3:$D$1502,반납내역!$B$3:$B$1502,$A759))</f>
        <v/>
      </c>
      <c r="J759" s="16" t="str">
        <f aca="false">IF($A759="","",IF($G759="","",$G759-$I759))</f>
        <v/>
      </c>
      <c r="K759" s="17" t="str">
        <f aca="true">IF(OR($A759="",$J759="",$J759&lt;=0,$H759=""),"",TODAY()-$H759)</f>
        <v/>
      </c>
      <c r="L759" s="14" t="str">
        <f aca="false">IF($A759="","",IF($G759="","",IF($J759&lt;=0,"반납완료",IF($I759&gt;0,"부분반납","미반납"))))</f>
        <v/>
      </c>
    </row>
    <row r="760" customFormat="false" ht="15" hidden="false" customHeight="false" outlineLevel="0" collapsed="false">
      <c r="A760" s="14" t="str">
        <f aca="false">IF($B760="","",TEXT($B760,"yymmdd")&amp;"-"&amp;TEXT(COUNTIFS($B$3:$B760,$B760),"00"))</f>
        <v/>
      </c>
      <c r="B760" s="15"/>
      <c r="C760" s="9"/>
      <c r="D760" s="10"/>
      <c r="E760" s="14" t="str">
        <f aca="false">IF($D760="","",IFERROR(INDEX(품목목록!$B$3:$B$202,MATCH($D760,품목목록!$A$3:$A$202,0)),"미등록품번"))</f>
        <v/>
      </c>
      <c r="F760" s="14" t="str">
        <f aca="false">IF($D760="","",IFERROR(INDEX(품목목록!$D$3:$D$202,MATCH($D760,품목목록!$A$3:$A$202,0)),""))</f>
        <v/>
      </c>
      <c r="G760" s="11"/>
      <c r="H760" s="15"/>
      <c r="I760" s="16" t="str">
        <f aca="false">IF($A760="","",SUMIFS(반납내역!$D$3:$D$1502,반납내역!$B$3:$B$1502,$A760))</f>
        <v/>
      </c>
      <c r="J760" s="16" t="str">
        <f aca="false">IF($A760="","",IF($G760="","",$G760-$I760))</f>
        <v/>
      </c>
      <c r="K760" s="17" t="str">
        <f aca="true">IF(OR($A760="",$J760="",$J760&lt;=0,$H760=""),"",TODAY()-$H760)</f>
        <v/>
      </c>
      <c r="L760" s="14" t="str">
        <f aca="false">IF($A760="","",IF($G760="","",IF($J760&lt;=0,"반납완료",IF($I760&gt;0,"부분반납","미반납"))))</f>
        <v/>
      </c>
    </row>
    <row r="761" customFormat="false" ht="15" hidden="false" customHeight="false" outlineLevel="0" collapsed="false">
      <c r="A761" s="14" t="str">
        <f aca="false">IF($B761="","",TEXT($B761,"yymmdd")&amp;"-"&amp;TEXT(COUNTIFS($B$3:$B761,$B761),"00"))</f>
        <v/>
      </c>
      <c r="B761" s="15"/>
      <c r="C761" s="9"/>
      <c r="D761" s="10"/>
      <c r="E761" s="14" t="str">
        <f aca="false">IF($D761="","",IFERROR(INDEX(품목목록!$B$3:$B$202,MATCH($D761,품목목록!$A$3:$A$202,0)),"미등록품번"))</f>
        <v/>
      </c>
      <c r="F761" s="14" t="str">
        <f aca="false">IF($D761="","",IFERROR(INDEX(품목목록!$D$3:$D$202,MATCH($D761,품목목록!$A$3:$A$202,0)),""))</f>
        <v/>
      </c>
      <c r="G761" s="11"/>
      <c r="H761" s="15"/>
      <c r="I761" s="16" t="str">
        <f aca="false">IF($A761="","",SUMIFS(반납내역!$D$3:$D$1502,반납내역!$B$3:$B$1502,$A761))</f>
        <v/>
      </c>
      <c r="J761" s="16" t="str">
        <f aca="false">IF($A761="","",IF($G761="","",$G761-$I761))</f>
        <v/>
      </c>
      <c r="K761" s="17" t="str">
        <f aca="true">IF(OR($A761="",$J761="",$J761&lt;=0,$H761=""),"",TODAY()-$H761)</f>
        <v/>
      </c>
      <c r="L761" s="14" t="str">
        <f aca="false">IF($A761="","",IF($G761="","",IF($J761&lt;=0,"반납완료",IF($I761&gt;0,"부분반납","미반납"))))</f>
        <v/>
      </c>
    </row>
    <row r="762" customFormat="false" ht="15" hidden="false" customHeight="false" outlineLevel="0" collapsed="false">
      <c r="A762" s="14" t="str">
        <f aca="false">IF($B762="","",TEXT($B762,"yymmdd")&amp;"-"&amp;TEXT(COUNTIFS($B$3:$B762,$B762),"00"))</f>
        <v/>
      </c>
      <c r="B762" s="15"/>
      <c r="C762" s="9"/>
      <c r="D762" s="10"/>
      <c r="E762" s="14" t="str">
        <f aca="false">IF($D762="","",IFERROR(INDEX(품목목록!$B$3:$B$202,MATCH($D762,품목목록!$A$3:$A$202,0)),"미등록품번"))</f>
        <v/>
      </c>
      <c r="F762" s="14" t="str">
        <f aca="false">IF($D762="","",IFERROR(INDEX(품목목록!$D$3:$D$202,MATCH($D762,품목목록!$A$3:$A$202,0)),""))</f>
        <v/>
      </c>
      <c r="G762" s="11"/>
      <c r="H762" s="15"/>
      <c r="I762" s="16" t="str">
        <f aca="false">IF($A762="","",SUMIFS(반납내역!$D$3:$D$1502,반납내역!$B$3:$B$1502,$A762))</f>
        <v/>
      </c>
      <c r="J762" s="16" t="str">
        <f aca="false">IF($A762="","",IF($G762="","",$G762-$I762))</f>
        <v/>
      </c>
      <c r="K762" s="17" t="str">
        <f aca="true">IF(OR($A762="",$J762="",$J762&lt;=0,$H762=""),"",TODAY()-$H762)</f>
        <v/>
      </c>
      <c r="L762" s="14" t="str">
        <f aca="false">IF($A762="","",IF($G762="","",IF($J762&lt;=0,"반납완료",IF($I762&gt;0,"부분반납","미반납"))))</f>
        <v/>
      </c>
    </row>
    <row r="763" customFormat="false" ht="15" hidden="false" customHeight="false" outlineLevel="0" collapsed="false">
      <c r="A763" s="14" t="str">
        <f aca="false">IF($B763="","",TEXT($B763,"yymmdd")&amp;"-"&amp;TEXT(COUNTIFS($B$3:$B763,$B763),"00"))</f>
        <v/>
      </c>
      <c r="B763" s="15"/>
      <c r="C763" s="9"/>
      <c r="D763" s="10"/>
      <c r="E763" s="14" t="str">
        <f aca="false">IF($D763="","",IFERROR(INDEX(품목목록!$B$3:$B$202,MATCH($D763,품목목록!$A$3:$A$202,0)),"미등록품번"))</f>
        <v/>
      </c>
      <c r="F763" s="14" t="str">
        <f aca="false">IF($D763="","",IFERROR(INDEX(품목목록!$D$3:$D$202,MATCH($D763,품목목록!$A$3:$A$202,0)),""))</f>
        <v/>
      </c>
      <c r="G763" s="11"/>
      <c r="H763" s="15"/>
      <c r="I763" s="16" t="str">
        <f aca="false">IF($A763="","",SUMIFS(반납내역!$D$3:$D$1502,반납내역!$B$3:$B$1502,$A763))</f>
        <v/>
      </c>
      <c r="J763" s="16" t="str">
        <f aca="false">IF($A763="","",IF($G763="","",$G763-$I763))</f>
        <v/>
      </c>
      <c r="K763" s="17" t="str">
        <f aca="true">IF(OR($A763="",$J763="",$J763&lt;=0,$H763=""),"",TODAY()-$H763)</f>
        <v/>
      </c>
      <c r="L763" s="14" t="str">
        <f aca="false">IF($A763="","",IF($G763="","",IF($J763&lt;=0,"반납완료",IF($I763&gt;0,"부분반납","미반납"))))</f>
        <v/>
      </c>
    </row>
    <row r="764" customFormat="false" ht="15" hidden="false" customHeight="false" outlineLevel="0" collapsed="false">
      <c r="A764" s="14" t="str">
        <f aca="false">IF($B764="","",TEXT($B764,"yymmdd")&amp;"-"&amp;TEXT(COUNTIFS($B$3:$B764,$B764),"00"))</f>
        <v/>
      </c>
      <c r="B764" s="15"/>
      <c r="C764" s="9"/>
      <c r="D764" s="10"/>
      <c r="E764" s="14" t="str">
        <f aca="false">IF($D764="","",IFERROR(INDEX(품목목록!$B$3:$B$202,MATCH($D764,품목목록!$A$3:$A$202,0)),"미등록품번"))</f>
        <v/>
      </c>
      <c r="F764" s="14" t="str">
        <f aca="false">IF($D764="","",IFERROR(INDEX(품목목록!$D$3:$D$202,MATCH($D764,품목목록!$A$3:$A$202,0)),""))</f>
        <v/>
      </c>
      <c r="G764" s="11"/>
      <c r="H764" s="15"/>
      <c r="I764" s="16" t="str">
        <f aca="false">IF($A764="","",SUMIFS(반납내역!$D$3:$D$1502,반납내역!$B$3:$B$1502,$A764))</f>
        <v/>
      </c>
      <c r="J764" s="16" t="str">
        <f aca="false">IF($A764="","",IF($G764="","",$G764-$I764))</f>
        <v/>
      </c>
      <c r="K764" s="17" t="str">
        <f aca="true">IF(OR($A764="",$J764="",$J764&lt;=0,$H764=""),"",TODAY()-$H764)</f>
        <v/>
      </c>
      <c r="L764" s="14" t="str">
        <f aca="false">IF($A764="","",IF($G764="","",IF($J764&lt;=0,"반납완료",IF($I764&gt;0,"부분반납","미반납"))))</f>
        <v/>
      </c>
    </row>
    <row r="765" customFormat="false" ht="15" hidden="false" customHeight="false" outlineLevel="0" collapsed="false">
      <c r="A765" s="14" t="str">
        <f aca="false">IF($B765="","",TEXT($B765,"yymmdd")&amp;"-"&amp;TEXT(COUNTIFS($B$3:$B765,$B765),"00"))</f>
        <v/>
      </c>
      <c r="B765" s="15"/>
      <c r="C765" s="9"/>
      <c r="D765" s="10"/>
      <c r="E765" s="14" t="str">
        <f aca="false">IF($D765="","",IFERROR(INDEX(품목목록!$B$3:$B$202,MATCH($D765,품목목록!$A$3:$A$202,0)),"미등록품번"))</f>
        <v/>
      </c>
      <c r="F765" s="14" t="str">
        <f aca="false">IF($D765="","",IFERROR(INDEX(품목목록!$D$3:$D$202,MATCH($D765,품목목록!$A$3:$A$202,0)),""))</f>
        <v/>
      </c>
      <c r="G765" s="11"/>
      <c r="H765" s="15"/>
      <c r="I765" s="16" t="str">
        <f aca="false">IF($A765="","",SUMIFS(반납내역!$D$3:$D$1502,반납내역!$B$3:$B$1502,$A765))</f>
        <v/>
      </c>
      <c r="J765" s="16" t="str">
        <f aca="false">IF($A765="","",IF($G765="","",$G765-$I765))</f>
        <v/>
      </c>
      <c r="K765" s="17" t="str">
        <f aca="true">IF(OR($A765="",$J765="",$J765&lt;=0,$H765=""),"",TODAY()-$H765)</f>
        <v/>
      </c>
      <c r="L765" s="14" t="str">
        <f aca="false">IF($A765="","",IF($G765="","",IF($J765&lt;=0,"반납완료",IF($I765&gt;0,"부분반납","미반납"))))</f>
        <v/>
      </c>
    </row>
    <row r="766" customFormat="false" ht="15" hidden="false" customHeight="false" outlineLevel="0" collapsed="false">
      <c r="A766" s="14" t="str">
        <f aca="false">IF($B766="","",TEXT($B766,"yymmdd")&amp;"-"&amp;TEXT(COUNTIFS($B$3:$B766,$B766),"00"))</f>
        <v/>
      </c>
      <c r="B766" s="15"/>
      <c r="C766" s="9"/>
      <c r="D766" s="10"/>
      <c r="E766" s="14" t="str">
        <f aca="false">IF($D766="","",IFERROR(INDEX(품목목록!$B$3:$B$202,MATCH($D766,품목목록!$A$3:$A$202,0)),"미등록품번"))</f>
        <v/>
      </c>
      <c r="F766" s="14" t="str">
        <f aca="false">IF($D766="","",IFERROR(INDEX(품목목록!$D$3:$D$202,MATCH($D766,품목목록!$A$3:$A$202,0)),""))</f>
        <v/>
      </c>
      <c r="G766" s="11"/>
      <c r="H766" s="15"/>
      <c r="I766" s="16" t="str">
        <f aca="false">IF($A766="","",SUMIFS(반납내역!$D$3:$D$1502,반납내역!$B$3:$B$1502,$A766))</f>
        <v/>
      </c>
      <c r="J766" s="16" t="str">
        <f aca="false">IF($A766="","",IF($G766="","",$G766-$I766))</f>
        <v/>
      </c>
      <c r="K766" s="17" t="str">
        <f aca="true">IF(OR($A766="",$J766="",$J766&lt;=0,$H766=""),"",TODAY()-$H766)</f>
        <v/>
      </c>
      <c r="L766" s="14" t="str">
        <f aca="false">IF($A766="","",IF($G766="","",IF($J766&lt;=0,"반납완료",IF($I766&gt;0,"부분반납","미반납"))))</f>
        <v/>
      </c>
    </row>
    <row r="767" customFormat="false" ht="15" hidden="false" customHeight="false" outlineLevel="0" collapsed="false">
      <c r="A767" s="14" t="str">
        <f aca="false">IF($B767="","",TEXT($B767,"yymmdd")&amp;"-"&amp;TEXT(COUNTIFS($B$3:$B767,$B767),"00"))</f>
        <v/>
      </c>
      <c r="B767" s="15"/>
      <c r="C767" s="9"/>
      <c r="D767" s="10"/>
      <c r="E767" s="14" t="str">
        <f aca="false">IF($D767="","",IFERROR(INDEX(품목목록!$B$3:$B$202,MATCH($D767,품목목록!$A$3:$A$202,0)),"미등록품번"))</f>
        <v/>
      </c>
      <c r="F767" s="14" t="str">
        <f aca="false">IF($D767="","",IFERROR(INDEX(품목목록!$D$3:$D$202,MATCH($D767,품목목록!$A$3:$A$202,0)),""))</f>
        <v/>
      </c>
      <c r="G767" s="11"/>
      <c r="H767" s="15"/>
      <c r="I767" s="16" t="str">
        <f aca="false">IF($A767="","",SUMIFS(반납내역!$D$3:$D$1502,반납내역!$B$3:$B$1502,$A767))</f>
        <v/>
      </c>
      <c r="J767" s="16" t="str">
        <f aca="false">IF($A767="","",IF($G767="","",$G767-$I767))</f>
        <v/>
      </c>
      <c r="K767" s="17" t="str">
        <f aca="true">IF(OR($A767="",$J767="",$J767&lt;=0,$H767=""),"",TODAY()-$H767)</f>
        <v/>
      </c>
      <c r="L767" s="14" t="str">
        <f aca="false">IF($A767="","",IF($G767="","",IF($J767&lt;=0,"반납완료",IF($I767&gt;0,"부분반납","미반납"))))</f>
        <v/>
      </c>
    </row>
    <row r="768" customFormat="false" ht="15" hidden="false" customHeight="false" outlineLevel="0" collapsed="false">
      <c r="A768" s="14" t="str">
        <f aca="false">IF($B768="","",TEXT($B768,"yymmdd")&amp;"-"&amp;TEXT(COUNTIFS($B$3:$B768,$B768),"00"))</f>
        <v/>
      </c>
      <c r="B768" s="15"/>
      <c r="C768" s="9"/>
      <c r="D768" s="10"/>
      <c r="E768" s="14" t="str">
        <f aca="false">IF($D768="","",IFERROR(INDEX(품목목록!$B$3:$B$202,MATCH($D768,품목목록!$A$3:$A$202,0)),"미등록품번"))</f>
        <v/>
      </c>
      <c r="F768" s="14" t="str">
        <f aca="false">IF($D768="","",IFERROR(INDEX(품목목록!$D$3:$D$202,MATCH($D768,품목목록!$A$3:$A$202,0)),""))</f>
        <v/>
      </c>
      <c r="G768" s="11"/>
      <c r="H768" s="15"/>
      <c r="I768" s="16" t="str">
        <f aca="false">IF($A768="","",SUMIFS(반납내역!$D$3:$D$1502,반납내역!$B$3:$B$1502,$A768))</f>
        <v/>
      </c>
      <c r="J768" s="16" t="str">
        <f aca="false">IF($A768="","",IF($G768="","",$G768-$I768))</f>
        <v/>
      </c>
      <c r="K768" s="17" t="str">
        <f aca="true">IF(OR($A768="",$J768="",$J768&lt;=0,$H768=""),"",TODAY()-$H768)</f>
        <v/>
      </c>
      <c r="L768" s="14" t="str">
        <f aca="false">IF($A768="","",IF($G768="","",IF($J768&lt;=0,"반납완료",IF($I768&gt;0,"부분반납","미반납"))))</f>
        <v/>
      </c>
    </row>
    <row r="769" customFormat="false" ht="15" hidden="false" customHeight="false" outlineLevel="0" collapsed="false">
      <c r="A769" s="14" t="str">
        <f aca="false">IF($B769="","",TEXT($B769,"yymmdd")&amp;"-"&amp;TEXT(COUNTIFS($B$3:$B769,$B769),"00"))</f>
        <v/>
      </c>
      <c r="B769" s="15"/>
      <c r="C769" s="9"/>
      <c r="D769" s="10"/>
      <c r="E769" s="14" t="str">
        <f aca="false">IF($D769="","",IFERROR(INDEX(품목목록!$B$3:$B$202,MATCH($D769,품목목록!$A$3:$A$202,0)),"미등록품번"))</f>
        <v/>
      </c>
      <c r="F769" s="14" t="str">
        <f aca="false">IF($D769="","",IFERROR(INDEX(품목목록!$D$3:$D$202,MATCH($D769,품목목록!$A$3:$A$202,0)),""))</f>
        <v/>
      </c>
      <c r="G769" s="11"/>
      <c r="H769" s="15"/>
      <c r="I769" s="16" t="str">
        <f aca="false">IF($A769="","",SUMIFS(반납내역!$D$3:$D$1502,반납내역!$B$3:$B$1502,$A769))</f>
        <v/>
      </c>
      <c r="J769" s="16" t="str">
        <f aca="false">IF($A769="","",IF($G769="","",$G769-$I769))</f>
        <v/>
      </c>
      <c r="K769" s="17" t="str">
        <f aca="true">IF(OR($A769="",$J769="",$J769&lt;=0,$H769=""),"",TODAY()-$H769)</f>
        <v/>
      </c>
      <c r="L769" s="14" t="str">
        <f aca="false">IF($A769="","",IF($G769="","",IF($J769&lt;=0,"반납완료",IF($I769&gt;0,"부분반납","미반납"))))</f>
        <v/>
      </c>
    </row>
    <row r="770" customFormat="false" ht="15" hidden="false" customHeight="false" outlineLevel="0" collapsed="false">
      <c r="A770" s="14" t="str">
        <f aca="false">IF($B770="","",TEXT($B770,"yymmdd")&amp;"-"&amp;TEXT(COUNTIFS($B$3:$B770,$B770),"00"))</f>
        <v/>
      </c>
      <c r="B770" s="15"/>
      <c r="C770" s="9"/>
      <c r="D770" s="10"/>
      <c r="E770" s="14" t="str">
        <f aca="false">IF($D770="","",IFERROR(INDEX(품목목록!$B$3:$B$202,MATCH($D770,품목목록!$A$3:$A$202,0)),"미등록품번"))</f>
        <v/>
      </c>
      <c r="F770" s="14" t="str">
        <f aca="false">IF($D770="","",IFERROR(INDEX(품목목록!$D$3:$D$202,MATCH($D770,품목목록!$A$3:$A$202,0)),""))</f>
        <v/>
      </c>
      <c r="G770" s="11"/>
      <c r="H770" s="15"/>
      <c r="I770" s="16" t="str">
        <f aca="false">IF($A770="","",SUMIFS(반납내역!$D$3:$D$1502,반납내역!$B$3:$B$1502,$A770))</f>
        <v/>
      </c>
      <c r="J770" s="16" t="str">
        <f aca="false">IF($A770="","",IF($G770="","",$G770-$I770))</f>
        <v/>
      </c>
      <c r="K770" s="17" t="str">
        <f aca="true">IF(OR($A770="",$J770="",$J770&lt;=0,$H770=""),"",TODAY()-$H770)</f>
        <v/>
      </c>
      <c r="L770" s="14" t="str">
        <f aca="false">IF($A770="","",IF($G770="","",IF($J770&lt;=0,"반납완료",IF($I770&gt;0,"부분반납","미반납"))))</f>
        <v/>
      </c>
    </row>
    <row r="771" customFormat="false" ht="15" hidden="false" customHeight="false" outlineLevel="0" collapsed="false">
      <c r="A771" s="14" t="str">
        <f aca="false">IF($B771="","",TEXT($B771,"yymmdd")&amp;"-"&amp;TEXT(COUNTIFS($B$3:$B771,$B771),"00"))</f>
        <v/>
      </c>
      <c r="B771" s="15"/>
      <c r="C771" s="9"/>
      <c r="D771" s="10"/>
      <c r="E771" s="14" t="str">
        <f aca="false">IF($D771="","",IFERROR(INDEX(품목목록!$B$3:$B$202,MATCH($D771,품목목록!$A$3:$A$202,0)),"미등록품번"))</f>
        <v/>
      </c>
      <c r="F771" s="14" t="str">
        <f aca="false">IF($D771="","",IFERROR(INDEX(품목목록!$D$3:$D$202,MATCH($D771,품목목록!$A$3:$A$202,0)),""))</f>
        <v/>
      </c>
      <c r="G771" s="11"/>
      <c r="H771" s="15"/>
      <c r="I771" s="16" t="str">
        <f aca="false">IF($A771="","",SUMIFS(반납내역!$D$3:$D$1502,반납내역!$B$3:$B$1502,$A771))</f>
        <v/>
      </c>
      <c r="J771" s="16" t="str">
        <f aca="false">IF($A771="","",IF($G771="","",$G771-$I771))</f>
        <v/>
      </c>
      <c r="K771" s="17" t="str">
        <f aca="true">IF(OR($A771="",$J771="",$J771&lt;=0,$H771=""),"",TODAY()-$H771)</f>
        <v/>
      </c>
      <c r="L771" s="14" t="str">
        <f aca="false">IF($A771="","",IF($G771="","",IF($J771&lt;=0,"반납완료",IF($I771&gt;0,"부분반납","미반납"))))</f>
        <v/>
      </c>
    </row>
    <row r="772" customFormat="false" ht="15" hidden="false" customHeight="false" outlineLevel="0" collapsed="false">
      <c r="A772" s="14" t="str">
        <f aca="false">IF($B772="","",TEXT($B772,"yymmdd")&amp;"-"&amp;TEXT(COUNTIFS($B$3:$B772,$B772),"00"))</f>
        <v/>
      </c>
      <c r="B772" s="15"/>
      <c r="C772" s="9"/>
      <c r="D772" s="10"/>
      <c r="E772" s="14" t="str">
        <f aca="false">IF($D772="","",IFERROR(INDEX(품목목록!$B$3:$B$202,MATCH($D772,품목목록!$A$3:$A$202,0)),"미등록품번"))</f>
        <v/>
      </c>
      <c r="F772" s="14" t="str">
        <f aca="false">IF($D772="","",IFERROR(INDEX(품목목록!$D$3:$D$202,MATCH($D772,품목목록!$A$3:$A$202,0)),""))</f>
        <v/>
      </c>
      <c r="G772" s="11"/>
      <c r="H772" s="15"/>
      <c r="I772" s="16" t="str">
        <f aca="false">IF($A772="","",SUMIFS(반납내역!$D$3:$D$1502,반납내역!$B$3:$B$1502,$A772))</f>
        <v/>
      </c>
      <c r="J772" s="16" t="str">
        <f aca="false">IF($A772="","",IF($G772="","",$G772-$I772))</f>
        <v/>
      </c>
      <c r="K772" s="17" t="str">
        <f aca="true">IF(OR($A772="",$J772="",$J772&lt;=0,$H772=""),"",TODAY()-$H772)</f>
        <v/>
      </c>
      <c r="L772" s="14" t="str">
        <f aca="false">IF($A772="","",IF($G772="","",IF($J772&lt;=0,"반납완료",IF($I772&gt;0,"부분반납","미반납"))))</f>
        <v/>
      </c>
    </row>
    <row r="773" customFormat="false" ht="15" hidden="false" customHeight="false" outlineLevel="0" collapsed="false">
      <c r="A773" s="14" t="str">
        <f aca="false">IF($B773="","",TEXT($B773,"yymmdd")&amp;"-"&amp;TEXT(COUNTIFS($B$3:$B773,$B773),"00"))</f>
        <v/>
      </c>
      <c r="B773" s="15"/>
      <c r="C773" s="9"/>
      <c r="D773" s="10"/>
      <c r="E773" s="14" t="str">
        <f aca="false">IF($D773="","",IFERROR(INDEX(품목목록!$B$3:$B$202,MATCH($D773,품목목록!$A$3:$A$202,0)),"미등록품번"))</f>
        <v/>
      </c>
      <c r="F773" s="14" t="str">
        <f aca="false">IF($D773="","",IFERROR(INDEX(품목목록!$D$3:$D$202,MATCH($D773,품목목록!$A$3:$A$202,0)),""))</f>
        <v/>
      </c>
      <c r="G773" s="11"/>
      <c r="H773" s="15"/>
      <c r="I773" s="16" t="str">
        <f aca="false">IF($A773="","",SUMIFS(반납내역!$D$3:$D$1502,반납내역!$B$3:$B$1502,$A773))</f>
        <v/>
      </c>
      <c r="J773" s="16" t="str">
        <f aca="false">IF($A773="","",IF($G773="","",$G773-$I773))</f>
        <v/>
      </c>
      <c r="K773" s="17" t="str">
        <f aca="true">IF(OR($A773="",$J773="",$J773&lt;=0,$H773=""),"",TODAY()-$H773)</f>
        <v/>
      </c>
      <c r="L773" s="14" t="str">
        <f aca="false">IF($A773="","",IF($G773="","",IF($J773&lt;=0,"반납완료",IF($I773&gt;0,"부분반납","미반납"))))</f>
        <v/>
      </c>
    </row>
    <row r="774" customFormat="false" ht="15" hidden="false" customHeight="false" outlineLevel="0" collapsed="false">
      <c r="A774" s="14" t="str">
        <f aca="false">IF($B774="","",TEXT($B774,"yymmdd")&amp;"-"&amp;TEXT(COUNTIFS($B$3:$B774,$B774),"00"))</f>
        <v/>
      </c>
      <c r="B774" s="15"/>
      <c r="C774" s="9"/>
      <c r="D774" s="10"/>
      <c r="E774" s="14" t="str">
        <f aca="false">IF($D774="","",IFERROR(INDEX(품목목록!$B$3:$B$202,MATCH($D774,품목목록!$A$3:$A$202,0)),"미등록품번"))</f>
        <v/>
      </c>
      <c r="F774" s="14" t="str">
        <f aca="false">IF($D774="","",IFERROR(INDEX(품목목록!$D$3:$D$202,MATCH($D774,품목목록!$A$3:$A$202,0)),""))</f>
        <v/>
      </c>
      <c r="G774" s="11"/>
      <c r="H774" s="15"/>
      <c r="I774" s="16" t="str">
        <f aca="false">IF($A774="","",SUMIFS(반납내역!$D$3:$D$1502,반납내역!$B$3:$B$1502,$A774))</f>
        <v/>
      </c>
      <c r="J774" s="16" t="str">
        <f aca="false">IF($A774="","",IF($G774="","",$G774-$I774))</f>
        <v/>
      </c>
      <c r="K774" s="17" t="str">
        <f aca="true">IF(OR($A774="",$J774="",$J774&lt;=0,$H774=""),"",TODAY()-$H774)</f>
        <v/>
      </c>
      <c r="L774" s="14" t="str">
        <f aca="false">IF($A774="","",IF($G774="","",IF($J774&lt;=0,"반납완료",IF($I774&gt;0,"부분반납","미반납"))))</f>
        <v/>
      </c>
    </row>
    <row r="775" customFormat="false" ht="15" hidden="false" customHeight="false" outlineLevel="0" collapsed="false">
      <c r="A775" s="14" t="str">
        <f aca="false">IF($B775="","",TEXT($B775,"yymmdd")&amp;"-"&amp;TEXT(COUNTIFS($B$3:$B775,$B775),"00"))</f>
        <v/>
      </c>
      <c r="B775" s="15"/>
      <c r="C775" s="9"/>
      <c r="D775" s="10"/>
      <c r="E775" s="14" t="str">
        <f aca="false">IF($D775="","",IFERROR(INDEX(품목목록!$B$3:$B$202,MATCH($D775,품목목록!$A$3:$A$202,0)),"미등록품번"))</f>
        <v/>
      </c>
      <c r="F775" s="14" t="str">
        <f aca="false">IF($D775="","",IFERROR(INDEX(품목목록!$D$3:$D$202,MATCH($D775,품목목록!$A$3:$A$202,0)),""))</f>
        <v/>
      </c>
      <c r="G775" s="11"/>
      <c r="H775" s="15"/>
      <c r="I775" s="16" t="str">
        <f aca="false">IF($A775="","",SUMIFS(반납내역!$D$3:$D$1502,반납내역!$B$3:$B$1502,$A775))</f>
        <v/>
      </c>
      <c r="J775" s="16" t="str">
        <f aca="false">IF($A775="","",IF($G775="","",$G775-$I775))</f>
        <v/>
      </c>
      <c r="K775" s="17" t="str">
        <f aca="true">IF(OR($A775="",$J775="",$J775&lt;=0,$H775=""),"",TODAY()-$H775)</f>
        <v/>
      </c>
      <c r="L775" s="14" t="str">
        <f aca="false">IF($A775="","",IF($G775="","",IF($J775&lt;=0,"반납완료",IF($I775&gt;0,"부분반납","미반납"))))</f>
        <v/>
      </c>
    </row>
    <row r="776" customFormat="false" ht="15" hidden="false" customHeight="false" outlineLevel="0" collapsed="false">
      <c r="A776" s="14" t="str">
        <f aca="false">IF($B776="","",TEXT($B776,"yymmdd")&amp;"-"&amp;TEXT(COUNTIFS($B$3:$B776,$B776),"00"))</f>
        <v/>
      </c>
      <c r="B776" s="15"/>
      <c r="C776" s="9"/>
      <c r="D776" s="10"/>
      <c r="E776" s="14" t="str">
        <f aca="false">IF($D776="","",IFERROR(INDEX(품목목록!$B$3:$B$202,MATCH($D776,품목목록!$A$3:$A$202,0)),"미등록품번"))</f>
        <v/>
      </c>
      <c r="F776" s="14" t="str">
        <f aca="false">IF($D776="","",IFERROR(INDEX(품목목록!$D$3:$D$202,MATCH($D776,품목목록!$A$3:$A$202,0)),""))</f>
        <v/>
      </c>
      <c r="G776" s="11"/>
      <c r="H776" s="15"/>
      <c r="I776" s="16" t="str">
        <f aca="false">IF($A776="","",SUMIFS(반납내역!$D$3:$D$1502,반납내역!$B$3:$B$1502,$A776))</f>
        <v/>
      </c>
      <c r="J776" s="16" t="str">
        <f aca="false">IF($A776="","",IF($G776="","",$G776-$I776))</f>
        <v/>
      </c>
      <c r="K776" s="17" t="str">
        <f aca="true">IF(OR($A776="",$J776="",$J776&lt;=0,$H776=""),"",TODAY()-$H776)</f>
        <v/>
      </c>
      <c r="L776" s="14" t="str">
        <f aca="false">IF($A776="","",IF($G776="","",IF($J776&lt;=0,"반납완료",IF($I776&gt;0,"부분반납","미반납"))))</f>
        <v/>
      </c>
    </row>
    <row r="777" customFormat="false" ht="15" hidden="false" customHeight="false" outlineLevel="0" collapsed="false">
      <c r="A777" s="14" t="str">
        <f aca="false">IF($B777="","",TEXT($B777,"yymmdd")&amp;"-"&amp;TEXT(COUNTIFS($B$3:$B777,$B777),"00"))</f>
        <v/>
      </c>
      <c r="B777" s="15"/>
      <c r="C777" s="9"/>
      <c r="D777" s="10"/>
      <c r="E777" s="14" t="str">
        <f aca="false">IF($D777="","",IFERROR(INDEX(품목목록!$B$3:$B$202,MATCH($D777,품목목록!$A$3:$A$202,0)),"미등록품번"))</f>
        <v/>
      </c>
      <c r="F777" s="14" t="str">
        <f aca="false">IF($D777="","",IFERROR(INDEX(품목목록!$D$3:$D$202,MATCH($D777,품목목록!$A$3:$A$202,0)),""))</f>
        <v/>
      </c>
      <c r="G777" s="11"/>
      <c r="H777" s="15"/>
      <c r="I777" s="16" t="str">
        <f aca="false">IF($A777="","",SUMIFS(반납내역!$D$3:$D$1502,반납내역!$B$3:$B$1502,$A777))</f>
        <v/>
      </c>
      <c r="J777" s="16" t="str">
        <f aca="false">IF($A777="","",IF($G777="","",$G777-$I777))</f>
        <v/>
      </c>
      <c r="K777" s="17" t="str">
        <f aca="true">IF(OR($A777="",$J777="",$J777&lt;=0,$H777=""),"",TODAY()-$H777)</f>
        <v/>
      </c>
      <c r="L777" s="14" t="str">
        <f aca="false">IF($A777="","",IF($G777="","",IF($J777&lt;=0,"반납완료",IF($I777&gt;0,"부분반납","미반납"))))</f>
        <v/>
      </c>
    </row>
    <row r="778" customFormat="false" ht="15" hidden="false" customHeight="false" outlineLevel="0" collapsed="false">
      <c r="A778" s="14" t="str">
        <f aca="false">IF($B778="","",TEXT($B778,"yymmdd")&amp;"-"&amp;TEXT(COUNTIFS($B$3:$B778,$B778),"00"))</f>
        <v/>
      </c>
      <c r="B778" s="15"/>
      <c r="C778" s="9"/>
      <c r="D778" s="10"/>
      <c r="E778" s="14" t="str">
        <f aca="false">IF($D778="","",IFERROR(INDEX(품목목록!$B$3:$B$202,MATCH($D778,품목목록!$A$3:$A$202,0)),"미등록품번"))</f>
        <v/>
      </c>
      <c r="F778" s="14" t="str">
        <f aca="false">IF($D778="","",IFERROR(INDEX(품목목록!$D$3:$D$202,MATCH($D778,품목목록!$A$3:$A$202,0)),""))</f>
        <v/>
      </c>
      <c r="G778" s="11"/>
      <c r="H778" s="15"/>
      <c r="I778" s="16" t="str">
        <f aca="false">IF($A778="","",SUMIFS(반납내역!$D$3:$D$1502,반납내역!$B$3:$B$1502,$A778))</f>
        <v/>
      </c>
      <c r="J778" s="16" t="str">
        <f aca="false">IF($A778="","",IF($G778="","",$G778-$I778))</f>
        <v/>
      </c>
      <c r="K778" s="17" t="str">
        <f aca="true">IF(OR($A778="",$J778="",$J778&lt;=0,$H778=""),"",TODAY()-$H778)</f>
        <v/>
      </c>
      <c r="L778" s="14" t="str">
        <f aca="false">IF($A778="","",IF($G778="","",IF($J778&lt;=0,"반납완료",IF($I778&gt;0,"부분반납","미반납"))))</f>
        <v/>
      </c>
    </row>
    <row r="779" customFormat="false" ht="15" hidden="false" customHeight="false" outlineLevel="0" collapsed="false">
      <c r="A779" s="14" t="str">
        <f aca="false">IF($B779="","",TEXT($B779,"yymmdd")&amp;"-"&amp;TEXT(COUNTIFS($B$3:$B779,$B779),"00"))</f>
        <v/>
      </c>
      <c r="B779" s="15"/>
      <c r="C779" s="9"/>
      <c r="D779" s="10"/>
      <c r="E779" s="14" t="str">
        <f aca="false">IF($D779="","",IFERROR(INDEX(품목목록!$B$3:$B$202,MATCH($D779,품목목록!$A$3:$A$202,0)),"미등록품번"))</f>
        <v/>
      </c>
      <c r="F779" s="14" t="str">
        <f aca="false">IF($D779="","",IFERROR(INDEX(품목목록!$D$3:$D$202,MATCH($D779,품목목록!$A$3:$A$202,0)),""))</f>
        <v/>
      </c>
      <c r="G779" s="11"/>
      <c r="H779" s="15"/>
      <c r="I779" s="16" t="str">
        <f aca="false">IF($A779="","",SUMIFS(반납내역!$D$3:$D$1502,반납내역!$B$3:$B$1502,$A779))</f>
        <v/>
      </c>
      <c r="J779" s="16" t="str">
        <f aca="false">IF($A779="","",IF($G779="","",$G779-$I779))</f>
        <v/>
      </c>
      <c r="K779" s="17" t="str">
        <f aca="true">IF(OR($A779="",$J779="",$J779&lt;=0,$H779=""),"",TODAY()-$H779)</f>
        <v/>
      </c>
      <c r="L779" s="14" t="str">
        <f aca="false">IF($A779="","",IF($G779="","",IF($J779&lt;=0,"반납완료",IF($I779&gt;0,"부분반납","미반납"))))</f>
        <v/>
      </c>
    </row>
    <row r="780" customFormat="false" ht="15" hidden="false" customHeight="false" outlineLevel="0" collapsed="false">
      <c r="A780" s="14" t="str">
        <f aca="false">IF($B780="","",TEXT($B780,"yymmdd")&amp;"-"&amp;TEXT(COUNTIFS($B$3:$B780,$B780),"00"))</f>
        <v/>
      </c>
      <c r="B780" s="15"/>
      <c r="C780" s="9"/>
      <c r="D780" s="10"/>
      <c r="E780" s="14" t="str">
        <f aca="false">IF($D780="","",IFERROR(INDEX(품목목록!$B$3:$B$202,MATCH($D780,품목목록!$A$3:$A$202,0)),"미등록품번"))</f>
        <v/>
      </c>
      <c r="F780" s="14" t="str">
        <f aca="false">IF($D780="","",IFERROR(INDEX(품목목록!$D$3:$D$202,MATCH($D780,품목목록!$A$3:$A$202,0)),""))</f>
        <v/>
      </c>
      <c r="G780" s="11"/>
      <c r="H780" s="15"/>
      <c r="I780" s="16" t="str">
        <f aca="false">IF($A780="","",SUMIFS(반납내역!$D$3:$D$1502,반납내역!$B$3:$B$1502,$A780))</f>
        <v/>
      </c>
      <c r="J780" s="16" t="str">
        <f aca="false">IF($A780="","",IF($G780="","",$G780-$I780))</f>
        <v/>
      </c>
      <c r="K780" s="17" t="str">
        <f aca="true">IF(OR($A780="",$J780="",$J780&lt;=0,$H780=""),"",TODAY()-$H780)</f>
        <v/>
      </c>
      <c r="L780" s="14" t="str">
        <f aca="false">IF($A780="","",IF($G780="","",IF($J780&lt;=0,"반납완료",IF($I780&gt;0,"부분반납","미반납"))))</f>
        <v/>
      </c>
    </row>
    <row r="781" customFormat="false" ht="15" hidden="false" customHeight="false" outlineLevel="0" collapsed="false">
      <c r="A781" s="14" t="str">
        <f aca="false">IF($B781="","",TEXT($B781,"yymmdd")&amp;"-"&amp;TEXT(COUNTIFS($B$3:$B781,$B781),"00"))</f>
        <v/>
      </c>
      <c r="B781" s="15"/>
      <c r="C781" s="9"/>
      <c r="D781" s="10"/>
      <c r="E781" s="14" t="str">
        <f aca="false">IF($D781="","",IFERROR(INDEX(품목목록!$B$3:$B$202,MATCH($D781,품목목록!$A$3:$A$202,0)),"미등록품번"))</f>
        <v/>
      </c>
      <c r="F781" s="14" t="str">
        <f aca="false">IF($D781="","",IFERROR(INDEX(품목목록!$D$3:$D$202,MATCH($D781,품목목록!$A$3:$A$202,0)),""))</f>
        <v/>
      </c>
      <c r="G781" s="11"/>
      <c r="H781" s="15"/>
      <c r="I781" s="16" t="str">
        <f aca="false">IF($A781="","",SUMIFS(반납내역!$D$3:$D$1502,반납내역!$B$3:$B$1502,$A781))</f>
        <v/>
      </c>
      <c r="J781" s="16" t="str">
        <f aca="false">IF($A781="","",IF($G781="","",$G781-$I781))</f>
        <v/>
      </c>
      <c r="K781" s="17" t="str">
        <f aca="true">IF(OR($A781="",$J781="",$J781&lt;=0,$H781=""),"",TODAY()-$H781)</f>
        <v/>
      </c>
      <c r="L781" s="14" t="str">
        <f aca="false">IF($A781="","",IF($G781="","",IF($J781&lt;=0,"반납완료",IF($I781&gt;0,"부분반납","미반납"))))</f>
        <v/>
      </c>
    </row>
    <row r="782" customFormat="false" ht="15" hidden="false" customHeight="false" outlineLevel="0" collapsed="false">
      <c r="A782" s="14" t="str">
        <f aca="false">IF($B782="","",TEXT($B782,"yymmdd")&amp;"-"&amp;TEXT(COUNTIFS($B$3:$B782,$B782),"00"))</f>
        <v/>
      </c>
      <c r="B782" s="15"/>
      <c r="C782" s="9"/>
      <c r="D782" s="10"/>
      <c r="E782" s="14" t="str">
        <f aca="false">IF($D782="","",IFERROR(INDEX(품목목록!$B$3:$B$202,MATCH($D782,품목목록!$A$3:$A$202,0)),"미등록품번"))</f>
        <v/>
      </c>
      <c r="F782" s="14" t="str">
        <f aca="false">IF($D782="","",IFERROR(INDEX(품목목록!$D$3:$D$202,MATCH($D782,품목목록!$A$3:$A$202,0)),""))</f>
        <v/>
      </c>
      <c r="G782" s="11"/>
      <c r="H782" s="15"/>
      <c r="I782" s="16" t="str">
        <f aca="false">IF($A782="","",SUMIFS(반납내역!$D$3:$D$1502,반납내역!$B$3:$B$1502,$A782))</f>
        <v/>
      </c>
      <c r="J782" s="16" t="str">
        <f aca="false">IF($A782="","",IF($G782="","",$G782-$I782))</f>
        <v/>
      </c>
      <c r="K782" s="17" t="str">
        <f aca="true">IF(OR($A782="",$J782="",$J782&lt;=0,$H782=""),"",TODAY()-$H782)</f>
        <v/>
      </c>
      <c r="L782" s="14" t="str">
        <f aca="false">IF($A782="","",IF($G782="","",IF($J782&lt;=0,"반납완료",IF($I782&gt;0,"부분반납","미반납"))))</f>
        <v/>
      </c>
    </row>
    <row r="783" customFormat="false" ht="15" hidden="false" customHeight="false" outlineLevel="0" collapsed="false">
      <c r="A783" s="14" t="str">
        <f aca="false">IF($B783="","",TEXT($B783,"yymmdd")&amp;"-"&amp;TEXT(COUNTIFS($B$3:$B783,$B783),"00"))</f>
        <v/>
      </c>
      <c r="B783" s="15"/>
      <c r="C783" s="9"/>
      <c r="D783" s="10"/>
      <c r="E783" s="14" t="str">
        <f aca="false">IF($D783="","",IFERROR(INDEX(품목목록!$B$3:$B$202,MATCH($D783,품목목록!$A$3:$A$202,0)),"미등록품번"))</f>
        <v/>
      </c>
      <c r="F783" s="14" t="str">
        <f aca="false">IF($D783="","",IFERROR(INDEX(품목목록!$D$3:$D$202,MATCH($D783,품목목록!$A$3:$A$202,0)),""))</f>
        <v/>
      </c>
      <c r="G783" s="11"/>
      <c r="H783" s="15"/>
      <c r="I783" s="16" t="str">
        <f aca="false">IF($A783="","",SUMIFS(반납내역!$D$3:$D$1502,반납내역!$B$3:$B$1502,$A783))</f>
        <v/>
      </c>
      <c r="J783" s="16" t="str">
        <f aca="false">IF($A783="","",IF($G783="","",$G783-$I783))</f>
        <v/>
      </c>
      <c r="K783" s="17" t="str">
        <f aca="true">IF(OR($A783="",$J783="",$J783&lt;=0,$H783=""),"",TODAY()-$H783)</f>
        <v/>
      </c>
      <c r="L783" s="14" t="str">
        <f aca="false">IF($A783="","",IF($G783="","",IF($J783&lt;=0,"반납완료",IF($I783&gt;0,"부분반납","미반납"))))</f>
        <v/>
      </c>
    </row>
    <row r="784" customFormat="false" ht="15" hidden="false" customHeight="false" outlineLevel="0" collapsed="false">
      <c r="A784" s="14" t="str">
        <f aca="false">IF($B784="","",TEXT($B784,"yymmdd")&amp;"-"&amp;TEXT(COUNTIFS($B$3:$B784,$B784),"00"))</f>
        <v/>
      </c>
      <c r="B784" s="15"/>
      <c r="C784" s="9"/>
      <c r="D784" s="10"/>
      <c r="E784" s="14" t="str">
        <f aca="false">IF($D784="","",IFERROR(INDEX(품목목록!$B$3:$B$202,MATCH($D784,품목목록!$A$3:$A$202,0)),"미등록품번"))</f>
        <v/>
      </c>
      <c r="F784" s="14" t="str">
        <f aca="false">IF($D784="","",IFERROR(INDEX(품목목록!$D$3:$D$202,MATCH($D784,품목목록!$A$3:$A$202,0)),""))</f>
        <v/>
      </c>
      <c r="G784" s="11"/>
      <c r="H784" s="15"/>
      <c r="I784" s="16" t="str">
        <f aca="false">IF($A784="","",SUMIFS(반납내역!$D$3:$D$1502,반납내역!$B$3:$B$1502,$A784))</f>
        <v/>
      </c>
      <c r="J784" s="16" t="str">
        <f aca="false">IF($A784="","",IF($G784="","",$G784-$I784))</f>
        <v/>
      </c>
      <c r="K784" s="17" t="str">
        <f aca="true">IF(OR($A784="",$J784="",$J784&lt;=0,$H784=""),"",TODAY()-$H784)</f>
        <v/>
      </c>
      <c r="L784" s="14" t="str">
        <f aca="false">IF($A784="","",IF($G784="","",IF($J784&lt;=0,"반납완료",IF($I784&gt;0,"부분반납","미반납"))))</f>
        <v/>
      </c>
    </row>
    <row r="785" customFormat="false" ht="15" hidden="false" customHeight="false" outlineLevel="0" collapsed="false">
      <c r="A785" s="14" t="str">
        <f aca="false">IF($B785="","",TEXT($B785,"yymmdd")&amp;"-"&amp;TEXT(COUNTIFS($B$3:$B785,$B785),"00"))</f>
        <v/>
      </c>
      <c r="B785" s="15"/>
      <c r="C785" s="9"/>
      <c r="D785" s="10"/>
      <c r="E785" s="14" t="str">
        <f aca="false">IF($D785="","",IFERROR(INDEX(품목목록!$B$3:$B$202,MATCH($D785,품목목록!$A$3:$A$202,0)),"미등록품번"))</f>
        <v/>
      </c>
      <c r="F785" s="14" t="str">
        <f aca="false">IF($D785="","",IFERROR(INDEX(품목목록!$D$3:$D$202,MATCH($D785,품목목록!$A$3:$A$202,0)),""))</f>
        <v/>
      </c>
      <c r="G785" s="11"/>
      <c r="H785" s="15"/>
      <c r="I785" s="16" t="str">
        <f aca="false">IF($A785="","",SUMIFS(반납내역!$D$3:$D$1502,반납내역!$B$3:$B$1502,$A785))</f>
        <v/>
      </c>
      <c r="J785" s="16" t="str">
        <f aca="false">IF($A785="","",IF($G785="","",$G785-$I785))</f>
        <v/>
      </c>
      <c r="K785" s="17" t="str">
        <f aca="true">IF(OR($A785="",$J785="",$J785&lt;=0,$H785=""),"",TODAY()-$H785)</f>
        <v/>
      </c>
      <c r="L785" s="14" t="str">
        <f aca="false">IF($A785="","",IF($G785="","",IF($J785&lt;=0,"반납완료",IF($I785&gt;0,"부분반납","미반납"))))</f>
        <v/>
      </c>
    </row>
    <row r="786" customFormat="false" ht="15" hidden="false" customHeight="false" outlineLevel="0" collapsed="false">
      <c r="A786" s="14" t="str">
        <f aca="false">IF($B786="","",TEXT($B786,"yymmdd")&amp;"-"&amp;TEXT(COUNTIFS($B$3:$B786,$B786),"00"))</f>
        <v/>
      </c>
      <c r="B786" s="15"/>
      <c r="C786" s="9"/>
      <c r="D786" s="10"/>
      <c r="E786" s="14" t="str">
        <f aca="false">IF($D786="","",IFERROR(INDEX(품목목록!$B$3:$B$202,MATCH($D786,품목목록!$A$3:$A$202,0)),"미등록품번"))</f>
        <v/>
      </c>
      <c r="F786" s="14" t="str">
        <f aca="false">IF($D786="","",IFERROR(INDEX(품목목록!$D$3:$D$202,MATCH($D786,품목목록!$A$3:$A$202,0)),""))</f>
        <v/>
      </c>
      <c r="G786" s="11"/>
      <c r="H786" s="15"/>
      <c r="I786" s="16" t="str">
        <f aca="false">IF($A786="","",SUMIFS(반납내역!$D$3:$D$1502,반납내역!$B$3:$B$1502,$A786))</f>
        <v/>
      </c>
      <c r="J786" s="16" t="str">
        <f aca="false">IF($A786="","",IF($G786="","",$G786-$I786))</f>
        <v/>
      </c>
      <c r="K786" s="17" t="str">
        <f aca="true">IF(OR($A786="",$J786="",$J786&lt;=0,$H786=""),"",TODAY()-$H786)</f>
        <v/>
      </c>
      <c r="L786" s="14" t="str">
        <f aca="false">IF($A786="","",IF($G786="","",IF($J786&lt;=0,"반납완료",IF($I786&gt;0,"부분반납","미반납"))))</f>
        <v/>
      </c>
    </row>
    <row r="787" customFormat="false" ht="15" hidden="false" customHeight="false" outlineLevel="0" collapsed="false">
      <c r="A787" s="14" t="str">
        <f aca="false">IF($B787="","",TEXT($B787,"yymmdd")&amp;"-"&amp;TEXT(COUNTIFS($B$3:$B787,$B787),"00"))</f>
        <v/>
      </c>
      <c r="B787" s="15"/>
      <c r="C787" s="9"/>
      <c r="D787" s="10"/>
      <c r="E787" s="14" t="str">
        <f aca="false">IF($D787="","",IFERROR(INDEX(품목목록!$B$3:$B$202,MATCH($D787,품목목록!$A$3:$A$202,0)),"미등록품번"))</f>
        <v/>
      </c>
      <c r="F787" s="14" t="str">
        <f aca="false">IF($D787="","",IFERROR(INDEX(품목목록!$D$3:$D$202,MATCH($D787,품목목록!$A$3:$A$202,0)),""))</f>
        <v/>
      </c>
      <c r="G787" s="11"/>
      <c r="H787" s="15"/>
      <c r="I787" s="16" t="str">
        <f aca="false">IF($A787="","",SUMIFS(반납내역!$D$3:$D$1502,반납내역!$B$3:$B$1502,$A787))</f>
        <v/>
      </c>
      <c r="J787" s="16" t="str">
        <f aca="false">IF($A787="","",IF($G787="","",$G787-$I787))</f>
        <v/>
      </c>
      <c r="K787" s="17" t="str">
        <f aca="true">IF(OR($A787="",$J787="",$J787&lt;=0,$H787=""),"",TODAY()-$H787)</f>
        <v/>
      </c>
      <c r="L787" s="14" t="str">
        <f aca="false">IF($A787="","",IF($G787="","",IF($J787&lt;=0,"반납완료",IF($I787&gt;0,"부분반납","미반납"))))</f>
        <v/>
      </c>
    </row>
    <row r="788" customFormat="false" ht="15" hidden="false" customHeight="false" outlineLevel="0" collapsed="false">
      <c r="A788" s="14" t="str">
        <f aca="false">IF($B788="","",TEXT($B788,"yymmdd")&amp;"-"&amp;TEXT(COUNTIFS($B$3:$B788,$B788),"00"))</f>
        <v/>
      </c>
      <c r="B788" s="15"/>
      <c r="C788" s="9"/>
      <c r="D788" s="10"/>
      <c r="E788" s="14" t="str">
        <f aca="false">IF($D788="","",IFERROR(INDEX(품목목록!$B$3:$B$202,MATCH($D788,품목목록!$A$3:$A$202,0)),"미등록품번"))</f>
        <v/>
      </c>
      <c r="F788" s="14" t="str">
        <f aca="false">IF($D788="","",IFERROR(INDEX(품목목록!$D$3:$D$202,MATCH($D788,품목목록!$A$3:$A$202,0)),""))</f>
        <v/>
      </c>
      <c r="G788" s="11"/>
      <c r="H788" s="15"/>
      <c r="I788" s="16" t="str">
        <f aca="false">IF($A788="","",SUMIFS(반납내역!$D$3:$D$1502,반납내역!$B$3:$B$1502,$A788))</f>
        <v/>
      </c>
      <c r="J788" s="16" t="str">
        <f aca="false">IF($A788="","",IF($G788="","",$G788-$I788))</f>
        <v/>
      </c>
      <c r="K788" s="17" t="str">
        <f aca="true">IF(OR($A788="",$J788="",$J788&lt;=0,$H788=""),"",TODAY()-$H788)</f>
        <v/>
      </c>
      <c r="L788" s="14" t="str">
        <f aca="false">IF($A788="","",IF($G788="","",IF($J788&lt;=0,"반납완료",IF($I788&gt;0,"부분반납","미반납"))))</f>
        <v/>
      </c>
    </row>
    <row r="789" customFormat="false" ht="15" hidden="false" customHeight="false" outlineLevel="0" collapsed="false">
      <c r="A789" s="14" t="str">
        <f aca="false">IF($B789="","",TEXT($B789,"yymmdd")&amp;"-"&amp;TEXT(COUNTIFS($B$3:$B789,$B789),"00"))</f>
        <v/>
      </c>
      <c r="B789" s="15"/>
      <c r="C789" s="9"/>
      <c r="D789" s="10"/>
      <c r="E789" s="14" t="str">
        <f aca="false">IF($D789="","",IFERROR(INDEX(품목목록!$B$3:$B$202,MATCH($D789,품목목록!$A$3:$A$202,0)),"미등록품번"))</f>
        <v/>
      </c>
      <c r="F789" s="14" t="str">
        <f aca="false">IF($D789="","",IFERROR(INDEX(품목목록!$D$3:$D$202,MATCH($D789,품목목록!$A$3:$A$202,0)),""))</f>
        <v/>
      </c>
      <c r="G789" s="11"/>
      <c r="H789" s="15"/>
      <c r="I789" s="16" t="str">
        <f aca="false">IF($A789="","",SUMIFS(반납내역!$D$3:$D$1502,반납내역!$B$3:$B$1502,$A789))</f>
        <v/>
      </c>
      <c r="J789" s="16" t="str">
        <f aca="false">IF($A789="","",IF($G789="","",$G789-$I789))</f>
        <v/>
      </c>
      <c r="K789" s="17" t="str">
        <f aca="true">IF(OR($A789="",$J789="",$J789&lt;=0,$H789=""),"",TODAY()-$H789)</f>
        <v/>
      </c>
      <c r="L789" s="14" t="str">
        <f aca="false">IF($A789="","",IF($G789="","",IF($J789&lt;=0,"반납완료",IF($I789&gt;0,"부분반납","미반납"))))</f>
        <v/>
      </c>
    </row>
    <row r="790" customFormat="false" ht="15" hidden="false" customHeight="false" outlineLevel="0" collapsed="false">
      <c r="A790" s="14" t="str">
        <f aca="false">IF($B790="","",TEXT($B790,"yymmdd")&amp;"-"&amp;TEXT(COUNTIFS($B$3:$B790,$B790),"00"))</f>
        <v/>
      </c>
      <c r="B790" s="15"/>
      <c r="C790" s="9"/>
      <c r="D790" s="10"/>
      <c r="E790" s="14" t="str">
        <f aca="false">IF($D790="","",IFERROR(INDEX(품목목록!$B$3:$B$202,MATCH($D790,품목목록!$A$3:$A$202,0)),"미등록품번"))</f>
        <v/>
      </c>
      <c r="F790" s="14" t="str">
        <f aca="false">IF($D790="","",IFERROR(INDEX(품목목록!$D$3:$D$202,MATCH($D790,품목목록!$A$3:$A$202,0)),""))</f>
        <v/>
      </c>
      <c r="G790" s="11"/>
      <c r="H790" s="15"/>
      <c r="I790" s="16" t="str">
        <f aca="false">IF($A790="","",SUMIFS(반납내역!$D$3:$D$1502,반납내역!$B$3:$B$1502,$A790))</f>
        <v/>
      </c>
      <c r="J790" s="16" t="str">
        <f aca="false">IF($A790="","",IF($G790="","",$G790-$I790))</f>
        <v/>
      </c>
      <c r="K790" s="17" t="str">
        <f aca="true">IF(OR($A790="",$J790="",$J790&lt;=0,$H790=""),"",TODAY()-$H790)</f>
        <v/>
      </c>
      <c r="L790" s="14" t="str">
        <f aca="false">IF($A790="","",IF($G790="","",IF($J790&lt;=0,"반납완료",IF($I790&gt;0,"부분반납","미반납"))))</f>
        <v/>
      </c>
    </row>
    <row r="791" customFormat="false" ht="15" hidden="false" customHeight="false" outlineLevel="0" collapsed="false">
      <c r="A791" s="14" t="str">
        <f aca="false">IF($B791="","",TEXT($B791,"yymmdd")&amp;"-"&amp;TEXT(COUNTIFS($B$3:$B791,$B791),"00"))</f>
        <v/>
      </c>
      <c r="B791" s="15"/>
      <c r="C791" s="9"/>
      <c r="D791" s="10"/>
      <c r="E791" s="14" t="str">
        <f aca="false">IF($D791="","",IFERROR(INDEX(품목목록!$B$3:$B$202,MATCH($D791,품목목록!$A$3:$A$202,0)),"미등록품번"))</f>
        <v/>
      </c>
      <c r="F791" s="14" t="str">
        <f aca="false">IF($D791="","",IFERROR(INDEX(품목목록!$D$3:$D$202,MATCH($D791,품목목록!$A$3:$A$202,0)),""))</f>
        <v/>
      </c>
      <c r="G791" s="11"/>
      <c r="H791" s="15"/>
      <c r="I791" s="16" t="str">
        <f aca="false">IF($A791="","",SUMIFS(반납내역!$D$3:$D$1502,반납내역!$B$3:$B$1502,$A791))</f>
        <v/>
      </c>
      <c r="J791" s="16" t="str">
        <f aca="false">IF($A791="","",IF($G791="","",$G791-$I791))</f>
        <v/>
      </c>
      <c r="K791" s="17" t="str">
        <f aca="true">IF(OR($A791="",$J791="",$J791&lt;=0,$H791=""),"",TODAY()-$H791)</f>
        <v/>
      </c>
      <c r="L791" s="14" t="str">
        <f aca="false">IF($A791="","",IF($G791="","",IF($J791&lt;=0,"반납완료",IF($I791&gt;0,"부분반납","미반납"))))</f>
        <v/>
      </c>
    </row>
    <row r="792" customFormat="false" ht="15" hidden="false" customHeight="false" outlineLevel="0" collapsed="false">
      <c r="A792" s="14" t="str">
        <f aca="false">IF($B792="","",TEXT($B792,"yymmdd")&amp;"-"&amp;TEXT(COUNTIFS($B$3:$B792,$B792),"00"))</f>
        <v/>
      </c>
      <c r="B792" s="15"/>
      <c r="C792" s="9"/>
      <c r="D792" s="10"/>
      <c r="E792" s="14" t="str">
        <f aca="false">IF($D792="","",IFERROR(INDEX(품목목록!$B$3:$B$202,MATCH($D792,품목목록!$A$3:$A$202,0)),"미등록품번"))</f>
        <v/>
      </c>
      <c r="F792" s="14" t="str">
        <f aca="false">IF($D792="","",IFERROR(INDEX(품목목록!$D$3:$D$202,MATCH($D792,품목목록!$A$3:$A$202,0)),""))</f>
        <v/>
      </c>
      <c r="G792" s="11"/>
      <c r="H792" s="15"/>
      <c r="I792" s="16" t="str">
        <f aca="false">IF($A792="","",SUMIFS(반납내역!$D$3:$D$1502,반납내역!$B$3:$B$1502,$A792))</f>
        <v/>
      </c>
      <c r="J792" s="16" t="str">
        <f aca="false">IF($A792="","",IF($G792="","",$G792-$I792))</f>
        <v/>
      </c>
      <c r="K792" s="17" t="str">
        <f aca="true">IF(OR($A792="",$J792="",$J792&lt;=0,$H792=""),"",TODAY()-$H792)</f>
        <v/>
      </c>
      <c r="L792" s="14" t="str">
        <f aca="false">IF($A792="","",IF($G792="","",IF($J792&lt;=0,"반납완료",IF($I792&gt;0,"부분반납","미반납"))))</f>
        <v/>
      </c>
    </row>
    <row r="793" customFormat="false" ht="15" hidden="false" customHeight="false" outlineLevel="0" collapsed="false">
      <c r="A793" s="14" t="str">
        <f aca="false">IF($B793="","",TEXT($B793,"yymmdd")&amp;"-"&amp;TEXT(COUNTIFS($B$3:$B793,$B793),"00"))</f>
        <v/>
      </c>
      <c r="B793" s="15"/>
      <c r="C793" s="9"/>
      <c r="D793" s="10"/>
      <c r="E793" s="14" t="str">
        <f aca="false">IF($D793="","",IFERROR(INDEX(품목목록!$B$3:$B$202,MATCH($D793,품목목록!$A$3:$A$202,0)),"미등록품번"))</f>
        <v/>
      </c>
      <c r="F793" s="14" t="str">
        <f aca="false">IF($D793="","",IFERROR(INDEX(품목목록!$D$3:$D$202,MATCH($D793,품목목록!$A$3:$A$202,0)),""))</f>
        <v/>
      </c>
      <c r="G793" s="11"/>
      <c r="H793" s="15"/>
      <c r="I793" s="16" t="str">
        <f aca="false">IF($A793="","",SUMIFS(반납내역!$D$3:$D$1502,반납내역!$B$3:$B$1502,$A793))</f>
        <v/>
      </c>
      <c r="J793" s="16" t="str">
        <f aca="false">IF($A793="","",IF($G793="","",$G793-$I793))</f>
        <v/>
      </c>
      <c r="K793" s="17" t="str">
        <f aca="true">IF(OR($A793="",$J793="",$J793&lt;=0,$H793=""),"",TODAY()-$H793)</f>
        <v/>
      </c>
      <c r="L793" s="14" t="str">
        <f aca="false">IF($A793="","",IF($G793="","",IF($J793&lt;=0,"반납완료",IF($I793&gt;0,"부분반납","미반납"))))</f>
        <v/>
      </c>
    </row>
    <row r="794" customFormat="false" ht="15" hidden="false" customHeight="false" outlineLevel="0" collapsed="false">
      <c r="A794" s="14" t="str">
        <f aca="false">IF($B794="","",TEXT($B794,"yymmdd")&amp;"-"&amp;TEXT(COUNTIFS($B$3:$B794,$B794),"00"))</f>
        <v/>
      </c>
      <c r="B794" s="15"/>
      <c r="C794" s="9"/>
      <c r="D794" s="10"/>
      <c r="E794" s="14" t="str">
        <f aca="false">IF($D794="","",IFERROR(INDEX(품목목록!$B$3:$B$202,MATCH($D794,품목목록!$A$3:$A$202,0)),"미등록품번"))</f>
        <v/>
      </c>
      <c r="F794" s="14" t="str">
        <f aca="false">IF($D794="","",IFERROR(INDEX(품목목록!$D$3:$D$202,MATCH($D794,품목목록!$A$3:$A$202,0)),""))</f>
        <v/>
      </c>
      <c r="G794" s="11"/>
      <c r="H794" s="15"/>
      <c r="I794" s="16" t="str">
        <f aca="false">IF($A794="","",SUMIFS(반납내역!$D$3:$D$1502,반납내역!$B$3:$B$1502,$A794))</f>
        <v/>
      </c>
      <c r="J794" s="16" t="str">
        <f aca="false">IF($A794="","",IF($G794="","",$G794-$I794))</f>
        <v/>
      </c>
      <c r="K794" s="17" t="str">
        <f aca="true">IF(OR($A794="",$J794="",$J794&lt;=0,$H794=""),"",TODAY()-$H794)</f>
        <v/>
      </c>
      <c r="L794" s="14" t="str">
        <f aca="false">IF($A794="","",IF($G794="","",IF($J794&lt;=0,"반납완료",IF($I794&gt;0,"부분반납","미반납"))))</f>
        <v/>
      </c>
    </row>
    <row r="795" customFormat="false" ht="15" hidden="false" customHeight="false" outlineLevel="0" collapsed="false">
      <c r="A795" s="14" t="str">
        <f aca="false">IF($B795="","",TEXT($B795,"yymmdd")&amp;"-"&amp;TEXT(COUNTIFS($B$3:$B795,$B795),"00"))</f>
        <v/>
      </c>
      <c r="B795" s="15"/>
      <c r="C795" s="9"/>
      <c r="D795" s="10"/>
      <c r="E795" s="14" t="str">
        <f aca="false">IF($D795="","",IFERROR(INDEX(품목목록!$B$3:$B$202,MATCH($D795,품목목록!$A$3:$A$202,0)),"미등록품번"))</f>
        <v/>
      </c>
      <c r="F795" s="14" t="str">
        <f aca="false">IF($D795="","",IFERROR(INDEX(품목목록!$D$3:$D$202,MATCH($D795,품목목록!$A$3:$A$202,0)),""))</f>
        <v/>
      </c>
      <c r="G795" s="11"/>
      <c r="H795" s="15"/>
      <c r="I795" s="16" t="str">
        <f aca="false">IF($A795="","",SUMIFS(반납내역!$D$3:$D$1502,반납내역!$B$3:$B$1502,$A795))</f>
        <v/>
      </c>
      <c r="J795" s="16" t="str">
        <f aca="false">IF($A795="","",IF($G795="","",$G795-$I795))</f>
        <v/>
      </c>
      <c r="K795" s="17" t="str">
        <f aca="true">IF(OR($A795="",$J795="",$J795&lt;=0,$H795=""),"",TODAY()-$H795)</f>
        <v/>
      </c>
      <c r="L795" s="14" t="str">
        <f aca="false">IF($A795="","",IF($G795="","",IF($J795&lt;=0,"반납완료",IF($I795&gt;0,"부분반납","미반납"))))</f>
        <v/>
      </c>
    </row>
    <row r="796" customFormat="false" ht="15" hidden="false" customHeight="false" outlineLevel="0" collapsed="false">
      <c r="A796" s="14" t="str">
        <f aca="false">IF($B796="","",TEXT($B796,"yymmdd")&amp;"-"&amp;TEXT(COUNTIFS($B$3:$B796,$B796),"00"))</f>
        <v/>
      </c>
      <c r="B796" s="15"/>
      <c r="C796" s="9"/>
      <c r="D796" s="10"/>
      <c r="E796" s="14" t="str">
        <f aca="false">IF($D796="","",IFERROR(INDEX(품목목록!$B$3:$B$202,MATCH($D796,품목목록!$A$3:$A$202,0)),"미등록품번"))</f>
        <v/>
      </c>
      <c r="F796" s="14" t="str">
        <f aca="false">IF($D796="","",IFERROR(INDEX(품목목록!$D$3:$D$202,MATCH($D796,품목목록!$A$3:$A$202,0)),""))</f>
        <v/>
      </c>
      <c r="G796" s="11"/>
      <c r="H796" s="15"/>
      <c r="I796" s="16" t="str">
        <f aca="false">IF($A796="","",SUMIFS(반납내역!$D$3:$D$1502,반납내역!$B$3:$B$1502,$A796))</f>
        <v/>
      </c>
      <c r="J796" s="16" t="str">
        <f aca="false">IF($A796="","",IF($G796="","",$G796-$I796))</f>
        <v/>
      </c>
      <c r="K796" s="17" t="str">
        <f aca="true">IF(OR($A796="",$J796="",$J796&lt;=0,$H796=""),"",TODAY()-$H796)</f>
        <v/>
      </c>
      <c r="L796" s="14" t="str">
        <f aca="false">IF($A796="","",IF($G796="","",IF($J796&lt;=0,"반납완료",IF($I796&gt;0,"부분반납","미반납"))))</f>
        <v/>
      </c>
    </row>
    <row r="797" customFormat="false" ht="15" hidden="false" customHeight="false" outlineLevel="0" collapsed="false">
      <c r="A797" s="14" t="str">
        <f aca="false">IF($B797="","",TEXT($B797,"yymmdd")&amp;"-"&amp;TEXT(COUNTIFS($B$3:$B797,$B797),"00"))</f>
        <v/>
      </c>
      <c r="B797" s="15"/>
      <c r="C797" s="9"/>
      <c r="D797" s="10"/>
      <c r="E797" s="14" t="str">
        <f aca="false">IF($D797="","",IFERROR(INDEX(품목목록!$B$3:$B$202,MATCH($D797,품목목록!$A$3:$A$202,0)),"미등록품번"))</f>
        <v/>
      </c>
      <c r="F797" s="14" t="str">
        <f aca="false">IF($D797="","",IFERROR(INDEX(품목목록!$D$3:$D$202,MATCH($D797,품목목록!$A$3:$A$202,0)),""))</f>
        <v/>
      </c>
      <c r="G797" s="11"/>
      <c r="H797" s="15"/>
      <c r="I797" s="16" t="str">
        <f aca="false">IF($A797="","",SUMIFS(반납내역!$D$3:$D$1502,반납내역!$B$3:$B$1502,$A797))</f>
        <v/>
      </c>
      <c r="J797" s="16" t="str">
        <f aca="false">IF($A797="","",IF($G797="","",$G797-$I797))</f>
        <v/>
      </c>
      <c r="K797" s="17" t="str">
        <f aca="true">IF(OR($A797="",$J797="",$J797&lt;=0,$H797=""),"",TODAY()-$H797)</f>
        <v/>
      </c>
      <c r="L797" s="14" t="str">
        <f aca="false">IF($A797="","",IF($G797="","",IF($J797&lt;=0,"반납완료",IF($I797&gt;0,"부분반납","미반납"))))</f>
        <v/>
      </c>
    </row>
    <row r="798" customFormat="false" ht="15" hidden="false" customHeight="false" outlineLevel="0" collapsed="false">
      <c r="A798" s="14" t="str">
        <f aca="false">IF($B798="","",TEXT($B798,"yymmdd")&amp;"-"&amp;TEXT(COUNTIFS($B$3:$B798,$B798),"00"))</f>
        <v/>
      </c>
      <c r="B798" s="15"/>
      <c r="C798" s="9"/>
      <c r="D798" s="10"/>
      <c r="E798" s="14" t="str">
        <f aca="false">IF($D798="","",IFERROR(INDEX(품목목록!$B$3:$B$202,MATCH($D798,품목목록!$A$3:$A$202,0)),"미등록품번"))</f>
        <v/>
      </c>
      <c r="F798" s="14" t="str">
        <f aca="false">IF($D798="","",IFERROR(INDEX(품목목록!$D$3:$D$202,MATCH($D798,품목목록!$A$3:$A$202,0)),""))</f>
        <v/>
      </c>
      <c r="G798" s="11"/>
      <c r="H798" s="15"/>
      <c r="I798" s="16" t="str">
        <f aca="false">IF($A798="","",SUMIFS(반납내역!$D$3:$D$1502,반납내역!$B$3:$B$1502,$A798))</f>
        <v/>
      </c>
      <c r="J798" s="16" t="str">
        <f aca="false">IF($A798="","",IF($G798="","",$G798-$I798))</f>
        <v/>
      </c>
      <c r="K798" s="17" t="str">
        <f aca="true">IF(OR($A798="",$J798="",$J798&lt;=0,$H798=""),"",TODAY()-$H798)</f>
        <v/>
      </c>
      <c r="L798" s="14" t="str">
        <f aca="false">IF($A798="","",IF($G798="","",IF($J798&lt;=0,"반납완료",IF($I798&gt;0,"부분반납","미반납"))))</f>
        <v/>
      </c>
    </row>
    <row r="799" customFormat="false" ht="15" hidden="false" customHeight="false" outlineLevel="0" collapsed="false">
      <c r="A799" s="14" t="str">
        <f aca="false">IF($B799="","",TEXT($B799,"yymmdd")&amp;"-"&amp;TEXT(COUNTIFS($B$3:$B799,$B799),"00"))</f>
        <v/>
      </c>
      <c r="B799" s="15"/>
      <c r="C799" s="9"/>
      <c r="D799" s="10"/>
      <c r="E799" s="14" t="str">
        <f aca="false">IF($D799="","",IFERROR(INDEX(품목목록!$B$3:$B$202,MATCH($D799,품목목록!$A$3:$A$202,0)),"미등록품번"))</f>
        <v/>
      </c>
      <c r="F799" s="14" t="str">
        <f aca="false">IF($D799="","",IFERROR(INDEX(품목목록!$D$3:$D$202,MATCH($D799,품목목록!$A$3:$A$202,0)),""))</f>
        <v/>
      </c>
      <c r="G799" s="11"/>
      <c r="H799" s="15"/>
      <c r="I799" s="16" t="str">
        <f aca="false">IF($A799="","",SUMIFS(반납내역!$D$3:$D$1502,반납내역!$B$3:$B$1502,$A799))</f>
        <v/>
      </c>
      <c r="J799" s="16" t="str">
        <f aca="false">IF($A799="","",IF($G799="","",$G799-$I799))</f>
        <v/>
      </c>
      <c r="K799" s="17" t="str">
        <f aca="true">IF(OR($A799="",$J799="",$J799&lt;=0,$H799=""),"",TODAY()-$H799)</f>
        <v/>
      </c>
      <c r="L799" s="14" t="str">
        <f aca="false">IF($A799="","",IF($G799="","",IF($J799&lt;=0,"반납완료",IF($I799&gt;0,"부분반납","미반납"))))</f>
        <v/>
      </c>
    </row>
    <row r="800" customFormat="false" ht="15" hidden="false" customHeight="false" outlineLevel="0" collapsed="false">
      <c r="A800" s="14" t="str">
        <f aca="false">IF($B800="","",TEXT($B800,"yymmdd")&amp;"-"&amp;TEXT(COUNTIFS($B$3:$B800,$B800),"00"))</f>
        <v/>
      </c>
      <c r="B800" s="15"/>
      <c r="C800" s="9"/>
      <c r="D800" s="10"/>
      <c r="E800" s="14" t="str">
        <f aca="false">IF($D800="","",IFERROR(INDEX(품목목록!$B$3:$B$202,MATCH($D800,품목목록!$A$3:$A$202,0)),"미등록품번"))</f>
        <v/>
      </c>
      <c r="F800" s="14" t="str">
        <f aca="false">IF($D800="","",IFERROR(INDEX(품목목록!$D$3:$D$202,MATCH($D800,품목목록!$A$3:$A$202,0)),""))</f>
        <v/>
      </c>
      <c r="G800" s="11"/>
      <c r="H800" s="15"/>
      <c r="I800" s="16" t="str">
        <f aca="false">IF($A800="","",SUMIFS(반납내역!$D$3:$D$1502,반납내역!$B$3:$B$1502,$A800))</f>
        <v/>
      </c>
      <c r="J800" s="16" t="str">
        <f aca="false">IF($A800="","",IF($G800="","",$G800-$I800))</f>
        <v/>
      </c>
      <c r="K800" s="17" t="str">
        <f aca="true">IF(OR($A800="",$J800="",$J800&lt;=0,$H800=""),"",TODAY()-$H800)</f>
        <v/>
      </c>
      <c r="L800" s="14" t="str">
        <f aca="false">IF($A800="","",IF($G800="","",IF($J800&lt;=0,"반납완료",IF($I800&gt;0,"부분반납","미반납"))))</f>
        <v/>
      </c>
    </row>
    <row r="801" customFormat="false" ht="15" hidden="false" customHeight="false" outlineLevel="0" collapsed="false">
      <c r="A801" s="14" t="str">
        <f aca="false">IF($B801="","",TEXT($B801,"yymmdd")&amp;"-"&amp;TEXT(COUNTIFS($B$3:$B801,$B801),"00"))</f>
        <v/>
      </c>
      <c r="B801" s="15"/>
      <c r="C801" s="9"/>
      <c r="D801" s="10"/>
      <c r="E801" s="14" t="str">
        <f aca="false">IF($D801="","",IFERROR(INDEX(품목목록!$B$3:$B$202,MATCH($D801,품목목록!$A$3:$A$202,0)),"미등록품번"))</f>
        <v/>
      </c>
      <c r="F801" s="14" t="str">
        <f aca="false">IF($D801="","",IFERROR(INDEX(품목목록!$D$3:$D$202,MATCH($D801,품목목록!$A$3:$A$202,0)),""))</f>
        <v/>
      </c>
      <c r="G801" s="11"/>
      <c r="H801" s="15"/>
      <c r="I801" s="16" t="str">
        <f aca="false">IF($A801="","",SUMIFS(반납내역!$D$3:$D$1502,반납내역!$B$3:$B$1502,$A801))</f>
        <v/>
      </c>
      <c r="J801" s="16" t="str">
        <f aca="false">IF($A801="","",IF($G801="","",$G801-$I801))</f>
        <v/>
      </c>
      <c r="K801" s="17" t="str">
        <f aca="true">IF(OR($A801="",$J801="",$J801&lt;=0,$H801=""),"",TODAY()-$H801)</f>
        <v/>
      </c>
      <c r="L801" s="14" t="str">
        <f aca="false">IF($A801="","",IF($G801="","",IF($J801&lt;=0,"반납완료",IF($I801&gt;0,"부분반납","미반납"))))</f>
        <v/>
      </c>
    </row>
    <row r="802" customFormat="false" ht="15" hidden="false" customHeight="false" outlineLevel="0" collapsed="false">
      <c r="A802" s="14" t="str">
        <f aca="false">IF($B802="","",TEXT($B802,"yymmdd")&amp;"-"&amp;TEXT(COUNTIFS($B$3:$B802,$B802),"00"))</f>
        <v/>
      </c>
      <c r="B802" s="15"/>
      <c r="C802" s="9"/>
      <c r="D802" s="10"/>
      <c r="E802" s="14" t="str">
        <f aca="false">IF($D802="","",IFERROR(INDEX(품목목록!$B$3:$B$202,MATCH($D802,품목목록!$A$3:$A$202,0)),"미등록품번"))</f>
        <v/>
      </c>
      <c r="F802" s="14" t="str">
        <f aca="false">IF($D802="","",IFERROR(INDEX(품목목록!$D$3:$D$202,MATCH($D802,품목목록!$A$3:$A$202,0)),""))</f>
        <v/>
      </c>
      <c r="G802" s="11"/>
      <c r="H802" s="15"/>
      <c r="I802" s="16" t="str">
        <f aca="false">IF($A802="","",SUMIFS(반납내역!$D$3:$D$1502,반납내역!$B$3:$B$1502,$A802))</f>
        <v/>
      </c>
      <c r="J802" s="16" t="str">
        <f aca="false">IF($A802="","",IF($G802="","",$G802-$I802))</f>
        <v/>
      </c>
      <c r="K802" s="17" t="str">
        <f aca="true">IF(OR($A802="",$J802="",$J802&lt;=0,$H802=""),"",TODAY()-$H802)</f>
        <v/>
      </c>
      <c r="L802" s="14" t="str">
        <f aca="false">IF($A802="","",IF($G802="","",IF($J802&lt;=0,"반납완료",IF($I802&gt;0,"부분반납","미반납"))))</f>
        <v/>
      </c>
    </row>
    <row r="803" customFormat="false" ht="15" hidden="false" customHeight="false" outlineLevel="0" collapsed="false">
      <c r="A803" s="14" t="str">
        <f aca="false">IF($B803="","",TEXT($B803,"yymmdd")&amp;"-"&amp;TEXT(COUNTIFS($B$3:$B803,$B803),"00"))</f>
        <v/>
      </c>
      <c r="B803" s="15"/>
      <c r="C803" s="9"/>
      <c r="D803" s="10"/>
      <c r="E803" s="14" t="str">
        <f aca="false">IF($D803="","",IFERROR(INDEX(품목목록!$B$3:$B$202,MATCH($D803,품목목록!$A$3:$A$202,0)),"미등록품번"))</f>
        <v/>
      </c>
      <c r="F803" s="14" t="str">
        <f aca="false">IF($D803="","",IFERROR(INDEX(품목목록!$D$3:$D$202,MATCH($D803,품목목록!$A$3:$A$202,0)),""))</f>
        <v/>
      </c>
      <c r="G803" s="11"/>
      <c r="H803" s="15"/>
      <c r="I803" s="16" t="str">
        <f aca="false">IF($A803="","",SUMIFS(반납내역!$D$3:$D$1502,반납내역!$B$3:$B$1502,$A803))</f>
        <v/>
      </c>
      <c r="J803" s="16" t="str">
        <f aca="false">IF($A803="","",IF($G803="","",$G803-$I803))</f>
        <v/>
      </c>
      <c r="K803" s="17" t="str">
        <f aca="true">IF(OR($A803="",$J803="",$J803&lt;=0,$H803=""),"",TODAY()-$H803)</f>
        <v/>
      </c>
      <c r="L803" s="14" t="str">
        <f aca="false">IF($A803="","",IF($G803="","",IF($J803&lt;=0,"반납완료",IF($I803&gt;0,"부분반납","미반납"))))</f>
        <v/>
      </c>
    </row>
    <row r="804" customFormat="false" ht="15" hidden="false" customHeight="false" outlineLevel="0" collapsed="false">
      <c r="A804" s="14" t="str">
        <f aca="false">IF($B804="","",TEXT($B804,"yymmdd")&amp;"-"&amp;TEXT(COUNTIFS($B$3:$B804,$B804),"00"))</f>
        <v/>
      </c>
      <c r="B804" s="15"/>
      <c r="C804" s="9"/>
      <c r="D804" s="10"/>
      <c r="E804" s="14" t="str">
        <f aca="false">IF($D804="","",IFERROR(INDEX(품목목록!$B$3:$B$202,MATCH($D804,품목목록!$A$3:$A$202,0)),"미등록품번"))</f>
        <v/>
      </c>
      <c r="F804" s="14" t="str">
        <f aca="false">IF($D804="","",IFERROR(INDEX(품목목록!$D$3:$D$202,MATCH($D804,품목목록!$A$3:$A$202,0)),""))</f>
        <v/>
      </c>
      <c r="G804" s="11"/>
      <c r="H804" s="15"/>
      <c r="I804" s="16" t="str">
        <f aca="false">IF($A804="","",SUMIFS(반납내역!$D$3:$D$1502,반납내역!$B$3:$B$1502,$A804))</f>
        <v/>
      </c>
      <c r="J804" s="16" t="str">
        <f aca="false">IF($A804="","",IF($G804="","",$G804-$I804))</f>
        <v/>
      </c>
      <c r="K804" s="17" t="str">
        <f aca="true">IF(OR($A804="",$J804="",$J804&lt;=0,$H804=""),"",TODAY()-$H804)</f>
        <v/>
      </c>
      <c r="L804" s="14" t="str">
        <f aca="false">IF($A804="","",IF($G804="","",IF($J804&lt;=0,"반납완료",IF($I804&gt;0,"부분반납","미반납"))))</f>
        <v/>
      </c>
    </row>
    <row r="805" customFormat="false" ht="15" hidden="false" customHeight="false" outlineLevel="0" collapsed="false">
      <c r="A805" s="14" t="str">
        <f aca="false">IF($B805="","",TEXT($B805,"yymmdd")&amp;"-"&amp;TEXT(COUNTIFS($B$3:$B805,$B805),"00"))</f>
        <v/>
      </c>
      <c r="B805" s="15"/>
      <c r="C805" s="9"/>
      <c r="D805" s="10"/>
      <c r="E805" s="14" t="str">
        <f aca="false">IF($D805="","",IFERROR(INDEX(품목목록!$B$3:$B$202,MATCH($D805,품목목록!$A$3:$A$202,0)),"미등록품번"))</f>
        <v/>
      </c>
      <c r="F805" s="14" t="str">
        <f aca="false">IF($D805="","",IFERROR(INDEX(품목목록!$D$3:$D$202,MATCH($D805,품목목록!$A$3:$A$202,0)),""))</f>
        <v/>
      </c>
      <c r="G805" s="11"/>
      <c r="H805" s="15"/>
      <c r="I805" s="16" t="str">
        <f aca="false">IF($A805="","",SUMIFS(반납내역!$D$3:$D$1502,반납내역!$B$3:$B$1502,$A805))</f>
        <v/>
      </c>
      <c r="J805" s="16" t="str">
        <f aca="false">IF($A805="","",IF($G805="","",$G805-$I805))</f>
        <v/>
      </c>
      <c r="K805" s="17" t="str">
        <f aca="true">IF(OR($A805="",$J805="",$J805&lt;=0,$H805=""),"",TODAY()-$H805)</f>
        <v/>
      </c>
      <c r="L805" s="14" t="str">
        <f aca="false">IF($A805="","",IF($G805="","",IF($J805&lt;=0,"반납완료",IF($I805&gt;0,"부분반납","미반납"))))</f>
        <v/>
      </c>
    </row>
    <row r="806" customFormat="false" ht="15" hidden="false" customHeight="false" outlineLevel="0" collapsed="false">
      <c r="A806" s="14" t="str">
        <f aca="false">IF($B806="","",TEXT($B806,"yymmdd")&amp;"-"&amp;TEXT(COUNTIFS($B$3:$B806,$B806),"00"))</f>
        <v/>
      </c>
      <c r="B806" s="15"/>
      <c r="C806" s="9"/>
      <c r="D806" s="10"/>
      <c r="E806" s="14" t="str">
        <f aca="false">IF($D806="","",IFERROR(INDEX(품목목록!$B$3:$B$202,MATCH($D806,품목목록!$A$3:$A$202,0)),"미등록품번"))</f>
        <v/>
      </c>
      <c r="F806" s="14" t="str">
        <f aca="false">IF($D806="","",IFERROR(INDEX(품목목록!$D$3:$D$202,MATCH($D806,품목목록!$A$3:$A$202,0)),""))</f>
        <v/>
      </c>
      <c r="G806" s="11"/>
      <c r="H806" s="15"/>
      <c r="I806" s="16" t="str">
        <f aca="false">IF($A806="","",SUMIFS(반납내역!$D$3:$D$1502,반납내역!$B$3:$B$1502,$A806))</f>
        <v/>
      </c>
      <c r="J806" s="16" t="str">
        <f aca="false">IF($A806="","",IF($G806="","",$G806-$I806))</f>
        <v/>
      </c>
      <c r="K806" s="17" t="str">
        <f aca="true">IF(OR($A806="",$J806="",$J806&lt;=0,$H806=""),"",TODAY()-$H806)</f>
        <v/>
      </c>
      <c r="L806" s="14" t="str">
        <f aca="false">IF($A806="","",IF($G806="","",IF($J806&lt;=0,"반납완료",IF($I806&gt;0,"부분반납","미반납"))))</f>
        <v/>
      </c>
    </row>
    <row r="807" customFormat="false" ht="15" hidden="false" customHeight="false" outlineLevel="0" collapsed="false">
      <c r="A807" s="14" t="str">
        <f aca="false">IF($B807="","",TEXT($B807,"yymmdd")&amp;"-"&amp;TEXT(COUNTIFS($B$3:$B807,$B807),"00"))</f>
        <v/>
      </c>
      <c r="B807" s="15"/>
      <c r="C807" s="9"/>
      <c r="D807" s="10"/>
      <c r="E807" s="14" t="str">
        <f aca="false">IF($D807="","",IFERROR(INDEX(품목목록!$B$3:$B$202,MATCH($D807,품목목록!$A$3:$A$202,0)),"미등록품번"))</f>
        <v/>
      </c>
      <c r="F807" s="14" t="str">
        <f aca="false">IF($D807="","",IFERROR(INDEX(품목목록!$D$3:$D$202,MATCH($D807,품목목록!$A$3:$A$202,0)),""))</f>
        <v/>
      </c>
      <c r="G807" s="11"/>
      <c r="H807" s="15"/>
      <c r="I807" s="16" t="str">
        <f aca="false">IF($A807="","",SUMIFS(반납내역!$D$3:$D$1502,반납내역!$B$3:$B$1502,$A807))</f>
        <v/>
      </c>
      <c r="J807" s="16" t="str">
        <f aca="false">IF($A807="","",IF($G807="","",$G807-$I807))</f>
        <v/>
      </c>
      <c r="K807" s="17" t="str">
        <f aca="true">IF(OR($A807="",$J807="",$J807&lt;=0,$H807=""),"",TODAY()-$H807)</f>
        <v/>
      </c>
      <c r="L807" s="14" t="str">
        <f aca="false">IF($A807="","",IF($G807="","",IF($J807&lt;=0,"반납완료",IF($I807&gt;0,"부분반납","미반납"))))</f>
        <v/>
      </c>
    </row>
    <row r="808" customFormat="false" ht="15" hidden="false" customHeight="false" outlineLevel="0" collapsed="false">
      <c r="A808" s="14" t="str">
        <f aca="false">IF($B808="","",TEXT($B808,"yymmdd")&amp;"-"&amp;TEXT(COUNTIFS($B$3:$B808,$B808),"00"))</f>
        <v/>
      </c>
      <c r="B808" s="15"/>
      <c r="C808" s="9"/>
      <c r="D808" s="10"/>
      <c r="E808" s="14" t="str">
        <f aca="false">IF($D808="","",IFERROR(INDEX(품목목록!$B$3:$B$202,MATCH($D808,품목목록!$A$3:$A$202,0)),"미등록품번"))</f>
        <v/>
      </c>
      <c r="F808" s="14" t="str">
        <f aca="false">IF($D808="","",IFERROR(INDEX(품목목록!$D$3:$D$202,MATCH($D808,품목목록!$A$3:$A$202,0)),""))</f>
        <v/>
      </c>
      <c r="G808" s="11"/>
      <c r="H808" s="15"/>
      <c r="I808" s="16" t="str">
        <f aca="false">IF($A808="","",SUMIFS(반납내역!$D$3:$D$1502,반납내역!$B$3:$B$1502,$A808))</f>
        <v/>
      </c>
      <c r="J808" s="16" t="str">
        <f aca="false">IF($A808="","",IF($G808="","",$G808-$I808))</f>
        <v/>
      </c>
      <c r="K808" s="17" t="str">
        <f aca="true">IF(OR($A808="",$J808="",$J808&lt;=0,$H808=""),"",TODAY()-$H808)</f>
        <v/>
      </c>
      <c r="L808" s="14" t="str">
        <f aca="false">IF($A808="","",IF($G808="","",IF($J808&lt;=0,"반납완료",IF($I808&gt;0,"부분반납","미반납"))))</f>
        <v/>
      </c>
    </row>
    <row r="809" customFormat="false" ht="15" hidden="false" customHeight="false" outlineLevel="0" collapsed="false">
      <c r="A809" s="14" t="str">
        <f aca="false">IF($B809="","",TEXT($B809,"yymmdd")&amp;"-"&amp;TEXT(COUNTIFS($B$3:$B809,$B809),"00"))</f>
        <v/>
      </c>
      <c r="B809" s="15"/>
      <c r="C809" s="9"/>
      <c r="D809" s="10"/>
      <c r="E809" s="14" t="str">
        <f aca="false">IF($D809="","",IFERROR(INDEX(품목목록!$B$3:$B$202,MATCH($D809,품목목록!$A$3:$A$202,0)),"미등록품번"))</f>
        <v/>
      </c>
      <c r="F809" s="14" t="str">
        <f aca="false">IF($D809="","",IFERROR(INDEX(품목목록!$D$3:$D$202,MATCH($D809,품목목록!$A$3:$A$202,0)),""))</f>
        <v/>
      </c>
      <c r="G809" s="11"/>
      <c r="H809" s="15"/>
      <c r="I809" s="16" t="str">
        <f aca="false">IF($A809="","",SUMIFS(반납내역!$D$3:$D$1502,반납내역!$B$3:$B$1502,$A809))</f>
        <v/>
      </c>
      <c r="J809" s="16" t="str">
        <f aca="false">IF($A809="","",IF($G809="","",$G809-$I809))</f>
        <v/>
      </c>
      <c r="K809" s="17" t="str">
        <f aca="true">IF(OR($A809="",$J809="",$J809&lt;=0,$H809=""),"",TODAY()-$H809)</f>
        <v/>
      </c>
      <c r="L809" s="14" t="str">
        <f aca="false">IF($A809="","",IF($G809="","",IF($J809&lt;=0,"반납완료",IF($I809&gt;0,"부분반납","미반납"))))</f>
        <v/>
      </c>
    </row>
    <row r="810" customFormat="false" ht="15" hidden="false" customHeight="false" outlineLevel="0" collapsed="false">
      <c r="A810" s="14" t="str">
        <f aca="false">IF($B810="","",TEXT($B810,"yymmdd")&amp;"-"&amp;TEXT(COUNTIFS($B$3:$B810,$B810),"00"))</f>
        <v/>
      </c>
      <c r="B810" s="15"/>
      <c r="C810" s="9"/>
      <c r="D810" s="10"/>
      <c r="E810" s="14" t="str">
        <f aca="false">IF($D810="","",IFERROR(INDEX(품목목록!$B$3:$B$202,MATCH($D810,품목목록!$A$3:$A$202,0)),"미등록품번"))</f>
        <v/>
      </c>
      <c r="F810" s="14" t="str">
        <f aca="false">IF($D810="","",IFERROR(INDEX(품목목록!$D$3:$D$202,MATCH($D810,품목목록!$A$3:$A$202,0)),""))</f>
        <v/>
      </c>
      <c r="G810" s="11"/>
      <c r="H810" s="15"/>
      <c r="I810" s="16" t="str">
        <f aca="false">IF($A810="","",SUMIFS(반납내역!$D$3:$D$1502,반납내역!$B$3:$B$1502,$A810))</f>
        <v/>
      </c>
      <c r="J810" s="16" t="str">
        <f aca="false">IF($A810="","",IF($G810="","",$G810-$I810))</f>
        <v/>
      </c>
      <c r="K810" s="17" t="str">
        <f aca="true">IF(OR($A810="",$J810="",$J810&lt;=0,$H810=""),"",TODAY()-$H810)</f>
        <v/>
      </c>
      <c r="L810" s="14" t="str">
        <f aca="false">IF($A810="","",IF($G810="","",IF($J810&lt;=0,"반납완료",IF($I810&gt;0,"부분반납","미반납"))))</f>
        <v/>
      </c>
    </row>
    <row r="811" customFormat="false" ht="15" hidden="false" customHeight="false" outlineLevel="0" collapsed="false">
      <c r="A811" s="14" t="str">
        <f aca="false">IF($B811="","",TEXT($B811,"yymmdd")&amp;"-"&amp;TEXT(COUNTIFS($B$3:$B811,$B811),"00"))</f>
        <v/>
      </c>
      <c r="B811" s="15"/>
      <c r="C811" s="9"/>
      <c r="D811" s="10"/>
      <c r="E811" s="14" t="str">
        <f aca="false">IF($D811="","",IFERROR(INDEX(품목목록!$B$3:$B$202,MATCH($D811,품목목록!$A$3:$A$202,0)),"미등록품번"))</f>
        <v/>
      </c>
      <c r="F811" s="14" t="str">
        <f aca="false">IF($D811="","",IFERROR(INDEX(품목목록!$D$3:$D$202,MATCH($D811,품목목록!$A$3:$A$202,0)),""))</f>
        <v/>
      </c>
      <c r="G811" s="11"/>
      <c r="H811" s="15"/>
      <c r="I811" s="16" t="str">
        <f aca="false">IF($A811="","",SUMIFS(반납내역!$D$3:$D$1502,반납내역!$B$3:$B$1502,$A811))</f>
        <v/>
      </c>
      <c r="J811" s="16" t="str">
        <f aca="false">IF($A811="","",IF($G811="","",$G811-$I811))</f>
        <v/>
      </c>
      <c r="K811" s="17" t="str">
        <f aca="true">IF(OR($A811="",$J811="",$J811&lt;=0,$H811=""),"",TODAY()-$H811)</f>
        <v/>
      </c>
      <c r="L811" s="14" t="str">
        <f aca="false">IF($A811="","",IF($G811="","",IF($J811&lt;=0,"반납완료",IF($I811&gt;0,"부분반납","미반납"))))</f>
        <v/>
      </c>
    </row>
    <row r="812" customFormat="false" ht="15" hidden="false" customHeight="false" outlineLevel="0" collapsed="false">
      <c r="A812" s="14" t="str">
        <f aca="false">IF($B812="","",TEXT($B812,"yymmdd")&amp;"-"&amp;TEXT(COUNTIFS($B$3:$B812,$B812),"00"))</f>
        <v/>
      </c>
      <c r="B812" s="15"/>
      <c r="C812" s="9"/>
      <c r="D812" s="10"/>
      <c r="E812" s="14" t="str">
        <f aca="false">IF($D812="","",IFERROR(INDEX(품목목록!$B$3:$B$202,MATCH($D812,품목목록!$A$3:$A$202,0)),"미등록품번"))</f>
        <v/>
      </c>
      <c r="F812" s="14" t="str">
        <f aca="false">IF($D812="","",IFERROR(INDEX(품목목록!$D$3:$D$202,MATCH($D812,품목목록!$A$3:$A$202,0)),""))</f>
        <v/>
      </c>
      <c r="G812" s="11"/>
      <c r="H812" s="15"/>
      <c r="I812" s="16" t="str">
        <f aca="false">IF($A812="","",SUMIFS(반납내역!$D$3:$D$1502,반납내역!$B$3:$B$1502,$A812))</f>
        <v/>
      </c>
      <c r="J812" s="16" t="str">
        <f aca="false">IF($A812="","",IF($G812="","",$G812-$I812))</f>
        <v/>
      </c>
      <c r="K812" s="17" t="str">
        <f aca="true">IF(OR($A812="",$J812="",$J812&lt;=0,$H812=""),"",TODAY()-$H812)</f>
        <v/>
      </c>
      <c r="L812" s="14" t="str">
        <f aca="false">IF($A812="","",IF($G812="","",IF($J812&lt;=0,"반납완료",IF($I812&gt;0,"부분반납","미반납"))))</f>
        <v/>
      </c>
    </row>
    <row r="813" customFormat="false" ht="15" hidden="false" customHeight="false" outlineLevel="0" collapsed="false">
      <c r="A813" s="14" t="str">
        <f aca="false">IF($B813="","",TEXT($B813,"yymmdd")&amp;"-"&amp;TEXT(COUNTIFS($B$3:$B813,$B813),"00"))</f>
        <v/>
      </c>
      <c r="B813" s="15"/>
      <c r="C813" s="9"/>
      <c r="D813" s="10"/>
      <c r="E813" s="14" t="str">
        <f aca="false">IF($D813="","",IFERROR(INDEX(품목목록!$B$3:$B$202,MATCH($D813,품목목록!$A$3:$A$202,0)),"미등록품번"))</f>
        <v/>
      </c>
      <c r="F813" s="14" t="str">
        <f aca="false">IF($D813="","",IFERROR(INDEX(품목목록!$D$3:$D$202,MATCH($D813,품목목록!$A$3:$A$202,0)),""))</f>
        <v/>
      </c>
      <c r="G813" s="11"/>
      <c r="H813" s="15"/>
      <c r="I813" s="16" t="str">
        <f aca="false">IF($A813="","",SUMIFS(반납내역!$D$3:$D$1502,반납내역!$B$3:$B$1502,$A813))</f>
        <v/>
      </c>
      <c r="J813" s="16" t="str">
        <f aca="false">IF($A813="","",IF($G813="","",$G813-$I813))</f>
        <v/>
      </c>
      <c r="K813" s="17" t="str">
        <f aca="true">IF(OR($A813="",$J813="",$J813&lt;=0,$H813=""),"",TODAY()-$H813)</f>
        <v/>
      </c>
      <c r="L813" s="14" t="str">
        <f aca="false">IF($A813="","",IF($G813="","",IF($J813&lt;=0,"반납완료",IF($I813&gt;0,"부분반납","미반납"))))</f>
        <v/>
      </c>
    </row>
    <row r="814" customFormat="false" ht="15" hidden="false" customHeight="false" outlineLevel="0" collapsed="false">
      <c r="A814" s="14" t="str">
        <f aca="false">IF($B814="","",TEXT($B814,"yymmdd")&amp;"-"&amp;TEXT(COUNTIFS($B$3:$B814,$B814),"00"))</f>
        <v/>
      </c>
      <c r="B814" s="15"/>
      <c r="C814" s="9"/>
      <c r="D814" s="10"/>
      <c r="E814" s="14" t="str">
        <f aca="false">IF($D814="","",IFERROR(INDEX(품목목록!$B$3:$B$202,MATCH($D814,품목목록!$A$3:$A$202,0)),"미등록품번"))</f>
        <v/>
      </c>
      <c r="F814" s="14" t="str">
        <f aca="false">IF($D814="","",IFERROR(INDEX(품목목록!$D$3:$D$202,MATCH($D814,품목목록!$A$3:$A$202,0)),""))</f>
        <v/>
      </c>
      <c r="G814" s="11"/>
      <c r="H814" s="15"/>
      <c r="I814" s="16" t="str">
        <f aca="false">IF($A814="","",SUMIFS(반납내역!$D$3:$D$1502,반납내역!$B$3:$B$1502,$A814))</f>
        <v/>
      </c>
      <c r="J814" s="16" t="str">
        <f aca="false">IF($A814="","",IF($G814="","",$G814-$I814))</f>
        <v/>
      </c>
      <c r="K814" s="17" t="str">
        <f aca="true">IF(OR($A814="",$J814="",$J814&lt;=0,$H814=""),"",TODAY()-$H814)</f>
        <v/>
      </c>
      <c r="L814" s="14" t="str">
        <f aca="false">IF($A814="","",IF($G814="","",IF($J814&lt;=0,"반납완료",IF($I814&gt;0,"부분반납","미반납"))))</f>
        <v/>
      </c>
    </row>
    <row r="815" customFormat="false" ht="15" hidden="false" customHeight="false" outlineLevel="0" collapsed="false">
      <c r="A815" s="14" t="str">
        <f aca="false">IF($B815="","",TEXT($B815,"yymmdd")&amp;"-"&amp;TEXT(COUNTIFS($B$3:$B815,$B815),"00"))</f>
        <v/>
      </c>
      <c r="B815" s="15"/>
      <c r="C815" s="9"/>
      <c r="D815" s="10"/>
      <c r="E815" s="14" t="str">
        <f aca="false">IF($D815="","",IFERROR(INDEX(품목목록!$B$3:$B$202,MATCH($D815,품목목록!$A$3:$A$202,0)),"미등록품번"))</f>
        <v/>
      </c>
      <c r="F815" s="14" t="str">
        <f aca="false">IF($D815="","",IFERROR(INDEX(품목목록!$D$3:$D$202,MATCH($D815,품목목록!$A$3:$A$202,0)),""))</f>
        <v/>
      </c>
      <c r="G815" s="11"/>
      <c r="H815" s="15"/>
      <c r="I815" s="16" t="str">
        <f aca="false">IF($A815="","",SUMIFS(반납내역!$D$3:$D$1502,반납내역!$B$3:$B$1502,$A815))</f>
        <v/>
      </c>
      <c r="J815" s="16" t="str">
        <f aca="false">IF($A815="","",IF($G815="","",$G815-$I815))</f>
        <v/>
      </c>
      <c r="K815" s="17" t="str">
        <f aca="true">IF(OR($A815="",$J815="",$J815&lt;=0,$H815=""),"",TODAY()-$H815)</f>
        <v/>
      </c>
      <c r="L815" s="14" t="str">
        <f aca="false">IF($A815="","",IF($G815="","",IF($J815&lt;=0,"반납완료",IF($I815&gt;0,"부분반납","미반납"))))</f>
        <v/>
      </c>
    </row>
    <row r="816" customFormat="false" ht="15" hidden="false" customHeight="false" outlineLevel="0" collapsed="false">
      <c r="A816" s="14" t="str">
        <f aca="false">IF($B816="","",TEXT($B816,"yymmdd")&amp;"-"&amp;TEXT(COUNTIFS($B$3:$B816,$B816),"00"))</f>
        <v/>
      </c>
      <c r="B816" s="15"/>
      <c r="C816" s="9"/>
      <c r="D816" s="10"/>
      <c r="E816" s="14" t="str">
        <f aca="false">IF($D816="","",IFERROR(INDEX(품목목록!$B$3:$B$202,MATCH($D816,품목목록!$A$3:$A$202,0)),"미등록품번"))</f>
        <v/>
      </c>
      <c r="F816" s="14" t="str">
        <f aca="false">IF($D816="","",IFERROR(INDEX(품목목록!$D$3:$D$202,MATCH($D816,품목목록!$A$3:$A$202,0)),""))</f>
        <v/>
      </c>
      <c r="G816" s="11"/>
      <c r="H816" s="15"/>
      <c r="I816" s="16" t="str">
        <f aca="false">IF($A816="","",SUMIFS(반납내역!$D$3:$D$1502,반납내역!$B$3:$B$1502,$A816))</f>
        <v/>
      </c>
      <c r="J816" s="16" t="str">
        <f aca="false">IF($A816="","",IF($G816="","",$G816-$I816))</f>
        <v/>
      </c>
      <c r="K816" s="17" t="str">
        <f aca="true">IF(OR($A816="",$J816="",$J816&lt;=0,$H816=""),"",TODAY()-$H816)</f>
        <v/>
      </c>
      <c r="L816" s="14" t="str">
        <f aca="false">IF($A816="","",IF($G816="","",IF($J816&lt;=0,"반납완료",IF($I816&gt;0,"부분반납","미반납"))))</f>
        <v/>
      </c>
    </row>
    <row r="817" customFormat="false" ht="15" hidden="false" customHeight="false" outlineLevel="0" collapsed="false">
      <c r="A817" s="14" t="str">
        <f aca="false">IF($B817="","",TEXT($B817,"yymmdd")&amp;"-"&amp;TEXT(COUNTIFS($B$3:$B817,$B817),"00"))</f>
        <v/>
      </c>
      <c r="B817" s="15"/>
      <c r="C817" s="9"/>
      <c r="D817" s="10"/>
      <c r="E817" s="14" t="str">
        <f aca="false">IF($D817="","",IFERROR(INDEX(품목목록!$B$3:$B$202,MATCH($D817,품목목록!$A$3:$A$202,0)),"미등록품번"))</f>
        <v/>
      </c>
      <c r="F817" s="14" t="str">
        <f aca="false">IF($D817="","",IFERROR(INDEX(품목목록!$D$3:$D$202,MATCH($D817,품목목록!$A$3:$A$202,0)),""))</f>
        <v/>
      </c>
      <c r="G817" s="11"/>
      <c r="H817" s="15"/>
      <c r="I817" s="16" t="str">
        <f aca="false">IF($A817="","",SUMIFS(반납내역!$D$3:$D$1502,반납내역!$B$3:$B$1502,$A817))</f>
        <v/>
      </c>
      <c r="J817" s="16" t="str">
        <f aca="false">IF($A817="","",IF($G817="","",$G817-$I817))</f>
        <v/>
      </c>
      <c r="K817" s="17" t="str">
        <f aca="true">IF(OR($A817="",$J817="",$J817&lt;=0,$H817=""),"",TODAY()-$H817)</f>
        <v/>
      </c>
      <c r="L817" s="14" t="str">
        <f aca="false">IF($A817="","",IF($G817="","",IF($J817&lt;=0,"반납완료",IF($I817&gt;0,"부분반납","미반납"))))</f>
        <v/>
      </c>
    </row>
    <row r="818" customFormat="false" ht="15" hidden="false" customHeight="false" outlineLevel="0" collapsed="false">
      <c r="A818" s="14" t="str">
        <f aca="false">IF($B818="","",TEXT($B818,"yymmdd")&amp;"-"&amp;TEXT(COUNTIFS($B$3:$B818,$B818),"00"))</f>
        <v/>
      </c>
      <c r="B818" s="15"/>
      <c r="C818" s="9"/>
      <c r="D818" s="10"/>
      <c r="E818" s="14" t="str">
        <f aca="false">IF($D818="","",IFERROR(INDEX(품목목록!$B$3:$B$202,MATCH($D818,품목목록!$A$3:$A$202,0)),"미등록품번"))</f>
        <v/>
      </c>
      <c r="F818" s="14" t="str">
        <f aca="false">IF($D818="","",IFERROR(INDEX(품목목록!$D$3:$D$202,MATCH($D818,품목목록!$A$3:$A$202,0)),""))</f>
        <v/>
      </c>
      <c r="G818" s="11"/>
      <c r="H818" s="15"/>
      <c r="I818" s="16" t="str">
        <f aca="false">IF($A818="","",SUMIFS(반납내역!$D$3:$D$1502,반납내역!$B$3:$B$1502,$A818))</f>
        <v/>
      </c>
      <c r="J818" s="16" t="str">
        <f aca="false">IF($A818="","",IF($G818="","",$G818-$I818))</f>
        <v/>
      </c>
      <c r="K818" s="17" t="str">
        <f aca="true">IF(OR($A818="",$J818="",$J818&lt;=0,$H818=""),"",TODAY()-$H818)</f>
        <v/>
      </c>
      <c r="L818" s="14" t="str">
        <f aca="false">IF($A818="","",IF($G818="","",IF($J818&lt;=0,"반납완료",IF($I818&gt;0,"부분반납","미반납"))))</f>
        <v/>
      </c>
    </row>
    <row r="819" customFormat="false" ht="15" hidden="false" customHeight="false" outlineLevel="0" collapsed="false">
      <c r="A819" s="14" t="str">
        <f aca="false">IF($B819="","",TEXT($B819,"yymmdd")&amp;"-"&amp;TEXT(COUNTIFS($B$3:$B819,$B819),"00"))</f>
        <v/>
      </c>
      <c r="B819" s="15"/>
      <c r="C819" s="9"/>
      <c r="D819" s="10"/>
      <c r="E819" s="14" t="str">
        <f aca="false">IF($D819="","",IFERROR(INDEX(품목목록!$B$3:$B$202,MATCH($D819,품목목록!$A$3:$A$202,0)),"미등록품번"))</f>
        <v/>
      </c>
      <c r="F819" s="14" t="str">
        <f aca="false">IF($D819="","",IFERROR(INDEX(품목목록!$D$3:$D$202,MATCH($D819,품목목록!$A$3:$A$202,0)),""))</f>
        <v/>
      </c>
      <c r="G819" s="11"/>
      <c r="H819" s="15"/>
      <c r="I819" s="16" t="str">
        <f aca="false">IF($A819="","",SUMIFS(반납내역!$D$3:$D$1502,반납내역!$B$3:$B$1502,$A819))</f>
        <v/>
      </c>
      <c r="J819" s="16" t="str">
        <f aca="false">IF($A819="","",IF($G819="","",$G819-$I819))</f>
        <v/>
      </c>
      <c r="K819" s="17" t="str">
        <f aca="true">IF(OR($A819="",$J819="",$J819&lt;=0,$H819=""),"",TODAY()-$H819)</f>
        <v/>
      </c>
      <c r="L819" s="14" t="str">
        <f aca="false">IF($A819="","",IF($G819="","",IF($J819&lt;=0,"반납완료",IF($I819&gt;0,"부분반납","미반납"))))</f>
        <v/>
      </c>
    </row>
    <row r="820" customFormat="false" ht="15" hidden="false" customHeight="false" outlineLevel="0" collapsed="false">
      <c r="A820" s="14" t="str">
        <f aca="false">IF($B820="","",TEXT($B820,"yymmdd")&amp;"-"&amp;TEXT(COUNTIFS($B$3:$B820,$B820),"00"))</f>
        <v/>
      </c>
      <c r="B820" s="15"/>
      <c r="C820" s="9"/>
      <c r="D820" s="10"/>
      <c r="E820" s="14" t="str">
        <f aca="false">IF($D820="","",IFERROR(INDEX(품목목록!$B$3:$B$202,MATCH($D820,품목목록!$A$3:$A$202,0)),"미등록품번"))</f>
        <v/>
      </c>
      <c r="F820" s="14" t="str">
        <f aca="false">IF($D820="","",IFERROR(INDEX(품목목록!$D$3:$D$202,MATCH($D820,품목목록!$A$3:$A$202,0)),""))</f>
        <v/>
      </c>
      <c r="G820" s="11"/>
      <c r="H820" s="15"/>
      <c r="I820" s="16" t="str">
        <f aca="false">IF($A820="","",SUMIFS(반납내역!$D$3:$D$1502,반납내역!$B$3:$B$1502,$A820))</f>
        <v/>
      </c>
      <c r="J820" s="16" t="str">
        <f aca="false">IF($A820="","",IF($G820="","",$G820-$I820))</f>
        <v/>
      </c>
      <c r="K820" s="17" t="str">
        <f aca="true">IF(OR($A820="",$J820="",$J820&lt;=0,$H820=""),"",TODAY()-$H820)</f>
        <v/>
      </c>
      <c r="L820" s="14" t="str">
        <f aca="false">IF($A820="","",IF($G820="","",IF($J820&lt;=0,"반납완료",IF($I820&gt;0,"부분반납","미반납"))))</f>
        <v/>
      </c>
    </row>
    <row r="821" customFormat="false" ht="15" hidden="false" customHeight="false" outlineLevel="0" collapsed="false">
      <c r="A821" s="14" t="str">
        <f aca="false">IF($B821="","",TEXT($B821,"yymmdd")&amp;"-"&amp;TEXT(COUNTIFS($B$3:$B821,$B821),"00"))</f>
        <v/>
      </c>
      <c r="B821" s="15"/>
      <c r="C821" s="9"/>
      <c r="D821" s="10"/>
      <c r="E821" s="14" t="str">
        <f aca="false">IF($D821="","",IFERROR(INDEX(품목목록!$B$3:$B$202,MATCH($D821,품목목록!$A$3:$A$202,0)),"미등록품번"))</f>
        <v/>
      </c>
      <c r="F821" s="14" t="str">
        <f aca="false">IF($D821="","",IFERROR(INDEX(품목목록!$D$3:$D$202,MATCH($D821,품목목록!$A$3:$A$202,0)),""))</f>
        <v/>
      </c>
      <c r="G821" s="11"/>
      <c r="H821" s="15"/>
      <c r="I821" s="16" t="str">
        <f aca="false">IF($A821="","",SUMIFS(반납내역!$D$3:$D$1502,반납내역!$B$3:$B$1502,$A821))</f>
        <v/>
      </c>
      <c r="J821" s="16" t="str">
        <f aca="false">IF($A821="","",IF($G821="","",$G821-$I821))</f>
        <v/>
      </c>
      <c r="K821" s="17" t="str">
        <f aca="true">IF(OR($A821="",$J821="",$J821&lt;=0,$H821=""),"",TODAY()-$H821)</f>
        <v/>
      </c>
      <c r="L821" s="14" t="str">
        <f aca="false">IF($A821="","",IF($G821="","",IF($J821&lt;=0,"반납완료",IF($I821&gt;0,"부분반납","미반납"))))</f>
        <v/>
      </c>
    </row>
    <row r="822" customFormat="false" ht="15" hidden="false" customHeight="false" outlineLevel="0" collapsed="false">
      <c r="A822" s="14" t="str">
        <f aca="false">IF($B822="","",TEXT($B822,"yymmdd")&amp;"-"&amp;TEXT(COUNTIFS($B$3:$B822,$B822),"00"))</f>
        <v/>
      </c>
      <c r="B822" s="15"/>
      <c r="C822" s="9"/>
      <c r="D822" s="10"/>
      <c r="E822" s="14" t="str">
        <f aca="false">IF($D822="","",IFERROR(INDEX(품목목록!$B$3:$B$202,MATCH($D822,품목목록!$A$3:$A$202,0)),"미등록품번"))</f>
        <v/>
      </c>
      <c r="F822" s="14" t="str">
        <f aca="false">IF($D822="","",IFERROR(INDEX(품목목록!$D$3:$D$202,MATCH($D822,품목목록!$A$3:$A$202,0)),""))</f>
        <v/>
      </c>
      <c r="G822" s="11"/>
      <c r="H822" s="15"/>
      <c r="I822" s="16" t="str">
        <f aca="false">IF($A822="","",SUMIFS(반납내역!$D$3:$D$1502,반납내역!$B$3:$B$1502,$A822))</f>
        <v/>
      </c>
      <c r="J822" s="16" t="str">
        <f aca="false">IF($A822="","",IF($G822="","",$G822-$I822))</f>
        <v/>
      </c>
      <c r="K822" s="17" t="str">
        <f aca="true">IF(OR($A822="",$J822="",$J822&lt;=0,$H822=""),"",TODAY()-$H822)</f>
        <v/>
      </c>
      <c r="L822" s="14" t="str">
        <f aca="false">IF($A822="","",IF($G822="","",IF($J822&lt;=0,"반납완료",IF($I822&gt;0,"부분반납","미반납"))))</f>
        <v/>
      </c>
    </row>
    <row r="823" customFormat="false" ht="15" hidden="false" customHeight="false" outlineLevel="0" collapsed="false">
      <c r="A823" s="14" t="str">
        <f aca="false">IF($B823="","",TEXT($B823,"yymmdd")&amp;"-"&amp;TEXT(COUNTIFS($B$3:$B823,$B823),"00"))</f>
        <v/>
      </c>
      <c r="B823" s="15"/>
      <c r="C823" s="9"/>
      <c r="D823" s="10"/>
      <c r="E823" s="14" t="str">
        <f aca="false">IF($D823="","",IFERROR(INDEX(품목목록!$B$3:$B$202,MATCH($D823,품목목록!$A$3:$A$202,0)),"미등록품번"))</f>
        <v/>
      </c>
      <c r="F823" s="14" t="str">
        <f aca="false">IF($D823="","",IFERROR(INDEX(품목목록!$D$3:$D$202,MATCH($D823,품목목록!$A$3:$A$202,0)),""))</f>
        <v/>
      </c>
      <c r="G823" s="11"/>
      <c r="H823" s="15"/>
      <c r="I823" s="16" t="str">
        <f aca="false">IF($A823="","",SUMIFS(반납내역!$D$3:$D$1502,반납내역!$B$3:$B$1502,$A823))</f>
        <v/>
      </c>
      <c r="J823" s="16" t="str">
        <f aca="false">IF($A823="","",IF($G823="","",$G823-$I823))</f>
        <v/>
      </c>
      <c r="K823" s="17" t="str">
        <f aca="true">IF(OR($A823="",$J823="",$J823&lt;=0,$H823=""),"",TODAY()-$H823)</f>
        <v/>
      </c>
      <c r="L823" s="14" t="str">
        <f aca="false">IF($A823="","",IF($G823="","",IF($J823&lt;=0,"반납완료",IF($I823&gt;0,"부분반납","미반납"))))</f>
        <v/>
      </c>
    </row>
    <row r="824" customFormat="false" ht="15" hidden="false" customHeight="false" outlineLevel="0" collapsed="false">
      <c r="A824" s="14" t="str">
        <f aca="false">IF($B824="","",TEXT($B824,"yymmdd")&amp;"-"&amp;TEXT(COUNTIFS($B$3:$B824,$B824),"00"))</f>
        <v/>
      </c>
      <c r="B824" s="15"/>
      <c r="C824" s="9"/>
      <c r="D824" s="10"/>
      <c r="E824" s="14" t="str">
        <f aca="false">IF($D824="","",IFERROR(INDEX(품목목록!$B$3:$B$202,MATCH($D824,품목목록!$A$3:$A$202,0)),"미등록품번"))</f>
        <v/>
      </c>
      <c r="F824" s="14" t="str">
        <f aca="false">IF($D824="","",IFERROR(INDEX(품목목록!$D$3:$D$202,MATCH($D824,품목목록!$A$3:$A$202,0)),""))</f>
        <v/>
      </c>
      <c r="G824" s="11"/>
      <c r="H824" s="15"/>
      <c r="I824" s="16" t="str">
        <f aca="false">IF($A824="","",SUMIFS(반납내역!$D$3:$D$1502,반납내역!$B$3:$B$1502,$A824))</f>
        <v/>
      </c>
      <c r="J824" s="16" t="str">
        <f aca="false">IF($A824="","",IF($G824="","",$G824-$I824))</f>
        <v/>
      </c>
      <c r="K824" s="17" t="str">
        <f aca="true">IF(OR($A824="",$J824="",$J824&lt;=0,$H824=""),"",TODAY()-$H824)</f>
        <v/>
      </c>
      <c r="L824" s="14" t="str">
        <f aca="false">IF($A824="","",IF($G824="","",IF($J824&lt;=0,"반납완료",IF($I824&gt;0,"부분반납","미반납"))))</f>
        <v/>
      </c>
    </row>
    <row r="825" customFormat="false" ht="15" hidden="false" customHeight="false" outlineLevel="0" collapsed="false">
      <c r="A825" s="14" t="str">
        <f aca="false">IF($B825="","",TEXT($B825,"yymmdd")&amp;"-"&amp;TEXT(COUNTIFS($B$3:$B825,$B825),"00"))</f>
        <v/>
      </c>
      <c r="B825" s="15"/>
      <c r="C825" s="9"/>
      <c r="D825" s="10"/>
      <c r="E825" s="14" t="str">
        <f aca="false">IF($D825="","",IFERROR(INDEX(품목목록!$B$3:$B$202,MATCH($D825,품목목록!$A$3:$A$202,0)),"미등록품번"))</f>
        <v/>
      </c>
      <c r="F825" s="14" t="str">
        <f aca="false">IF($D825="","",IFERROR(INDEX(품목목록!$D$3:$D$202,MATCH($D825,품목목록!$A$3:$A$202,0)),""))</f>
        <v/>
      </c>
      <c r="G825" s="11"/>
      <c r="H825" s="15"/>
      <c r="I825" s="16" t="str">
        <f aca="false">IF($A825="","",SUMIFS(반납내역!$D$3:$D$1502,반납내역!$B$3:$B$1502,$A825))</f>
        <v/>
      </c>
      <c r="J825" s="16" t="str">
        <f aca="false">IF($A825="","",IF($G825="","",$G825-$I825))</f>
        <v/>
      </c>
      <c r="K825" s="17" t="str">
        <f aca="true">IF(OR($A825="",$J825="",$J825&lt;=0,$H825=""),"",TODAY()-$H825)</f>
        <v/>
      </c>
      <c r="L825" s="14" t="str">
        <f aca="false">IF($A825="","",IF($G825="","",IF($J825&lt;=0,"반납완료",IF($I825&gt;0,"부분반납","미반납"))))</f>
        <v/>
      </c>
    </row>
    <row r="826" customFormat="false" ht="15" hidden="false" customHeight="false" outlineLevel="0" collapsed="false">
      <c r="A826" s="14" t="str">
        <f aca="false">IF($B826="","",TEXT($B826,"yymmdd")&amp;"-"&amp;TEXT(COUNTIFS($B$3:$B826,$B826),"00"))</f>
        <v/>
      </c>
      <c r="B826" s="15"/>
      <c r="C826" s="9"/>
      <c r="D826" s="10"/>
      <c r="E826" s="14" t="str">
        <f aca="false">IF($D826="","",IFERROR(INDEX(품목목록!$B$3:$B$202,MATCH($D826,품목목록!$A$3:$A$202,0)),"미등록품번"))</f>
        <v/>
      </c>
      <c r="F826" s="14" t="str">
        <f aca="false">IF($D826="","",IFERROR(INDEX(품목목록!$D$3:$D$202,MATCH($D826,품목목록!$A$3:$A$202,0)),""))</f>
        <v/>
      </c>
      <c r="G826" s="11"/>
      <c r="H826" s="15"/>
      <c r="I826" s="16" t="str">
        <f aca="false">IF($A826="","",SUMIFS(반납내역!$D$3:$D$1502,반납내역!$B$3:$B$1502,$A826))</f>
        <v/>
      </c>
      <c r="J826" s="16" t="str">
        <f aca="false">IF($A826="","",IF($G826="","",$G826-$I826))</f>
        <v/>
      </c>
      <c r="K826" s="17" t="str">
        <f aca="true">IF(OR($A826="",$J826="",$J826&lt;=0,$H826=""),"",TODAY()-$H826)</f>
        <v/>
      </c>
      <c r="L826" s="14" t="str">
        <f aca="false">IF($A826="","",IF($G826="","",IF($J826&lt;=0,"반납완료",IF($I826&gt;0,"부분반납","미반납"))))</f>
        <v/>
      </c>
    </row>
    <row r="827" customFormat="false" ht="15" hidden="false" customHeight="false" outlineLevel="0" collapsed="false">
      <c r="A827" s="14" t="str">
        <f aca="false">IF($B827="","",TEXT($B827,"yymmdd")&amp;"-"&amp;TEXT(COUNTIFS($B$3:$B827,$B827),"00"))</f>
        <v/>
      </c>
      <c r="B827" s="15"/>
      <c r="C827" s="9"/>
      <c r="D827" s="10"/>
      <c r="E827" s="14" t="str">
        <f aca="false">IF($D827="","",IFERROR(INDEX(품목목록!$B$3:$B$202,MATCH($D827,품목목록!$A$3:$A$202,0)),"미등록품번"))</f>
        <v/>
      </c>
      <c r="F827" s="14" t="str">
        <f aca="false">IF($D827="","",IFERROR(INDEX(품목목록!$D$3:$D$202,MATCH($D827,품목목록!$A$3:$A$202,0)),""))</f>
        <v/>
      </c>
      <c r="G827" s="11"/>
      <c r="H827" s="15"/>
      <c r="I827" s="16" t="str">
        <f aca="false">IF($A827="","",SUMIFS(반납내역!$D$3:$D$1502,반납내역!$B$3:$B$1502,$A827))</f>
        <v/>
      </c>
      <c r="J827" s="16" t="str">
        <f aca="false">IF($A827="","",IF($G827="","",$G827-$I827))</f>
        <v/>
      </c>
      <c r="K827" s="17" t="str">
        <f aca="true">IF(OR($A827="",$J827="",$J827&lt;=0,$H827=""),"",TODAY()-$H827)</f>
        <v/>
      </c>
      <c r="L827" s="14" t="str">
        <f aca="false">IF($A827="","",IF($G827="","",IF($J827&lt;=0,"반납완료",IF($I827&gt;0,"부분반납","미반납"))))</f>
        <v/>
      </c>
    </row>
    <row r="828" customFormat="false" ht="15" hidden="false" customHeight="false" outlineLevel="0" collapsed="false">
      <c r="A828" s="14" t="str">
        <f aca="false">IF($B828="","",TEXT($B828,"yymmdd")&amp;"-"&amp;TEXT(COUNTIFS($B$3:$B828,$B828),"00"))</f>
        <v/>
      </c>
      <c r="B828" s="15"/>
      <c r="C828" s="9"/>
      <c r="D828" s="10"/>
      <c r="E828" s="14" t="str">
        <f aca="false">IF($D828="","",IFERROR(INDEX(품목목록!$B$3:$B$202,MATCH($D828,품목목록!$A$3:$A$202,0)),"미등록품번"))</f>
        <v/>
      </c>
      <c r="F828" s="14" t="str">
        <f aca="false">IF($D828="","",IFERROR(INDEX(품목목록!$D$3:$D$202,MATCH($D828,품목목록!$A$3:$A$202,0)),""))</f>
        <v/>
      </c>
      <c r="G828" s="11"/>
      <c r="H828" s="15"/>
      <c r="I828" s="16" t="str">
        <f aca="false">IF($A828="","",SUMIFS(반납내역!$D$3:$D$1502,반납내역!$B$3:$B$1502,$A828))</f>
        <v/>
      </c>
      <c r="J828" s="16" t="str">
        <f aca="false">IF($A828="","",IF($G828="","",$G828-$I828))</f>
        <v/>
      </c>
      <c r="K828" s="17" t="str">
        <f aca="true">IF(OR($A828="",$J828="",$J828&lt;=0,$H828=""),"",TODAY()-$H828)</f>
        <v/>
      </c>
      <c r="L828" s="14" t="str">
        <f aca="false">IF($A828="","",IF($G828="","",IF($J828&lt;=0,"반납완료",IF($I828&gt;0,"부분반납","미반납"))))</f>
        <v/>
      </c>
    </row>
    <row r="829" customFormat="false" ht="15" hidden="false" customHeight="false" outlineLevel="0" collapsed="false">
      <c r="A829" s="14" t="str">
        <f aca="false">IF($B829="","",TEXT($B829,"yymmdd")&amp;"-"&amp;TEXT(COUNTIFS($B$3:$B829,$B829),"00"))</f>
        <v/>
      </c>
      <c r="B829" s="15"/>
      <c r="C829" s="9"/>
      <c r="D829" s="10"/>
      <c r="E829" s="14" t="str">
        <f aca="false">IF($D829="","",IFERROR(INDEX(품목목록!$B$3:$B$202,MATCH($D829,품목목록!$A$3:$A$202,0)),"미등록품번"))</f>
        <v/>
      </c>
      <c r="F829" s="14" t="str">
        <f aca="false">IF($D829="","",IFERROR(INDEX(품목목록!$D$3:$D$202,MATCH($D829,품목목록!$A$3:$A$202,0)),""))</f>
        <v/>
      </c>
      <c r="G829" s="11"/>
      <c r="H829" s="15"/>
      <c r="I829" s="16" t="str">
        <f aca="false">IF($A829="","",SUMIFS(반납내역!$D$3:$D$1502,반납내역!$B$3:$B$1502,$A829))</f>
        <v/>
      </c>
      <c r="J829" s="16" t="str">
        <f aca="false">IF($A829="","",IF($G829="","",$G829-$I829))</f>
        <v/>
      </c>
      <c r="K829" s="17" t="str">
        <f aca="true">IF(OR($A829="",$J829="",$J829&lt;=0,$H829=""),"",TODAY()-$H829)</f>
        <v/>
      </c>
      <c r="L829" s="14" t="str">
        <f aca="false">IF($A829="","",IF($G829="","",IF($J829&lt;=0,"반납완료",IF($I829&gt;0,"부분반납","미반납"))))</f>
        <v/>
      </c>
    </row>
    <row r="830" customFormat="false" ht="15" hidden="false" customHeight="false" outlineLevel="0" collapsed="false">
      <c r="A830" s="14" t="str">
        <f aca="false">IF($B830="","",TEXT($B830,"yymmdd")&amp;"-"&amp;TEXT(COUNTIFS($B$3:$B830,$B830),"00"))</f>
        <v/>
      </c>
      <c r="B830" s="15"/>
      <c r="C830" s="9"/>
      <c r="D830" s="10"/>
      <c r="E830" s="14" t="str">
        <f aca="false">IF($D830="","",IFERROR(INDEX(품목목록!$B$3:$B$202,MATCH($D830,품목목록!$A$3:$A$202,0)),"미등록품번"))</f>
        <v/>
      </c>
      <c r="F830" s="14" t="str">
        <f aca="false">IF($D830="","",IFERROR(INDEX(품목목록!$D$3:$D$202,MATCH($D830,품목목록!$A$3:$A$202,0)),""))</f>
        <v/>
      </c>
      <c r="G830" s="11"/>
      <c r="H830" s="15"/>
      <c r="I830" s="16" t="str">
        <f aca="false">IF($A830="","",SUMIFS(반납내역!$D$3:$D$1502,반납내역!$B$3:$B$1502,$A830))</f>
        <v/>
      </c>
      <c r="J830" s="16" t="str">
        <f aca="false">IF($A830="","",IF($G830="","",$G830-$I830))</f>
        <v/>
      </c>
      <c r="K830" s="17" t="str">
        <f aca="true">IF(OR($A830="",$J830="",$J830&lt;=0,$H830=""),"",TODAY()-$H830)</f>
        <v/>
      </c>
      <c r="L830" s="14" t="str">
        <f aca="false">IF($A830="","",IF($G830="","",IF($J830&lt;=0,"반납완료",IF($I830&gt;0,"부분반납","미반납"))))</f>
        <v/>
      </c>
    </row>
    <row r="831" customFormat="false" ht="15" hidden="false" customHeight="false" outlineLevel="0" collapsed="false">
      <c r="A831" s="14" t="str">
        <f aca="false">IF($B831="","",TEXT($B831,"yymmdd")&amp;"-"&amp;TEXT(COUNTIFS($B$3:$B831,$B831),"00"))</f>
        <v/>
      </c>
      <c r="B831" s="15"/>
      <c r="C831" s="9"/>
      <c r="D831" s="10"/>
      <c r="E831" s="14" t="str">
        <f aca="false">IF($D831="","",IFERROR(INDEX(품목목록!$B$3:$B$202,MATCH($D831,품목목록!$A$3:$A$202,0)),"미등록품번"))</f>
        <v/>
      </c>
      <c r="F831" s="14" t="str">
        <f aca="false">IF($D831="","",IFERROR(INDEX(품목목록!$D$3:$D$202,MATCH($D831,품목목록!$A$3:$A$202,0)),""))</f>
        <v/>
      </c>
      <c r="G831" s="11"/>
      <c r="H831" s="15"/>
      <c r="I831" s="16" t="str">
        <f aca="false">IF($A831="","",SUMIFS(반납내역!$D$3:$D$1502,반납내역!$B$3:$B$1502,$A831))</f>
        <v/>
      </c>
      <c r="J831" s="16" t="str">
        <f aca="false">IF($A831="","",IF($G831="","",$G831-$I831))</f>
        <v/>
      </c>
      <c r="K831" s="17" t="str">
        <f aca="true">IF(OR($A831="",$J831="",$J831&lt;=0,$H831=""),"",TODAY()-$H831)</f>
        <v/>
      </c>
      <c r="L831" s="14" t="str">
        <f aca="false">IF($A831="","",IF($G831="","",IF($J831&lt;=0,"반납완료",IF($I831&gt;0,"부분반납","미반납"))))</f>
        <v/>
      </c>
    </row>
    <row r="832" customFormat="false" ht="15" hidden="false" customHeight="false" outlineLevel="0" collapsed="false">
      <c r="A832" s="14" t="str">
        <f aca="false">IF($B832="","",TEXT($B832,"yymmdd")&amp;"-"&amp;TEXT(COUNTIFS($B$3:$B832,$B832),"00"))</f>
        <v/>
      </c>
      <c r="B832" s="15"/>
      <c r="C832" s="9"/>
      <c r="D832" s="10"/>
      <c r="E832" s="14" t="str">
        <f aca="false">IF($D832="","",IFERROR(INDEX(품목목록!$B$3:$B$202,MATCH($D832,품목목록!$A$3:$A$202,0)),"미등록품번"))</f>
        <v/>
      </c>
      <c r="F832" s="14" t="str">
        <f aca="false">IF($D832="","",IFERROR(INDEX(품목목록!$D$3:$D$202,MATCH($D832,품목목록!$A$3:$A$202,0)),""))</f>
        <v/>
      </c>
      <c r="G832" s="11"/>
      <c r="H832" s="15"/>
      <c r="I832" s="16" t="str">
        <f aca="false">IF($A832="","",SUMIFS(반납내역!$D$3:$D$1502,반납내역!$B$3:$B$1502,$A832))</f>
        <v/>
      </c>
      <c r="J832" s="16" t="str">
        <f aca="false">IF($A832="","",IF($G832="","",$G832-$I832))</f>
        <v/>
      </c>
      <c r="K832" s="17" t="str">
        <f aca="true">IF(OR($A832="",$J832="",$J832&lt;=0,$H832=""),"",TODAY()-$H832)</f>
        <v/>
      </c>
      <c r="L832" s="14" t="str">
        <f aca="false">IF($A832="","",IF($G832="","",IF($J832&lt;=0,"반납완료",IF($I832&gt;0,"부분반납","미반납"))))</f>
        <v/>
      </c>
    </row>
    <row r="833" customFormat="false" ht="15" hidden="false" customHeight="false" outlineLevel="0" collapsed="false">
      <c r="A833" s="14" t="str">
        <f aca="false">IF($B833="","",TEXT($B833,"yymmdd")&amp;"-"&amp;TEXT(COUNTIFS($B$3:$B833,$B833),"00"))</f>
        <v/>
      </c>
      <c r="B833" s="15"/>
      <c r="C833" s="9"/>
      <c r="D833" s="10"/>
      <c r="E833" s="14" t="str">
        <f aca="false">IF($D833="","",IFERROR(INDEX(품목목록!$B$3:$B$202,MATCH($D833,품목목록!$A$3:$A$202,0)),"미등록품번"))</f>
        <v/>
      </c>
      <c r="F833" s="14" t="str">
        <f aca="false">IF($D833="","",IFERROR(INDEX(품목목록!$D$3:$D$202,MATCH($D833,품목목록!$A$3:$A$202,0)),""))</f>
        <v/>
      </c>
      <c r="G833" s="11"/>
      <c r="H833" s="15"/>
      <c r="I833" s="16" t="str">
        <f aca="false">IF($A833="","",SUMIFS(반납내역!$D$3:$D$1502,반납내역!$B$3:$B$1502,$A833))</f>
        <v/>
      </c>
      <c r="J833" s="16" t="str">
        <f aca="false">IF($A833="","",IF($G833="","",$G833-$I833))</f>
        <v/>
      </c>
      <c r="K833" s="17" t="str">
        <f aca="true">IF(OR($A833="",$J833="",$J833&lt;=0,$H833=""),"",TODAY()-$H833)</f>
        <v/>
      </c>
      <c r="L833" s="14" t="str">
        <f aca="false">IF($A833="","",IF($G833="","",IF($J833&lt;=0,"반납완료",IF($I833&gt;0,"부분반납","미반납"))))</f>
        <v/>
      </c>
    </row>
    <row r="834" customFormat="false" ht="15" hidden="false" customHeight="false" outlineLevel="0" collapsed="false">
      <c r="A834" s="14" t="str">
        <f aca="false">IF($B834="","",TEXT($B834,"yymmdd")&amp;"-"&amp;TEXT(COUNTIFS($B$3:$B834,$B834),"00"))</f>
        <v/>
      </c>
      <c r="B834" s="15"/>
      <c r="C834" s="9"/>
      <c r="D834" s="10"/>
      <c r="E834" s="14" t="str">
        <f aca="false">IF($D834="","",IFERROR(INDEX(품목목록!$B$3:$B$202,MATCH($D834,품목목록!$A$3:$A$202,0)),"미등록품번"))</f>
        <v/>
      </c>
      <c r="F834" s="14" t="str">
        <f aca="false">IF($D834="","",IFERROR(INDEX(품목목록!$D$3:$D$202,MATCH($D834,품목목록!$A$3:$A$202,0)),""))</f>
        <v/>
      </c>
      <c r="G834" s="11"/>
      <c r="H834" s="15"/>
      <c r="I834" s="16" t="str">
        <f aca="false">IF($A834="","",SUMIFS(반납내역!$D$3:$D$1502,반납내역!$B$3:$B$1502,$A834))</f>
        <v/>
      </c>
      <c r="J834" s="16" t="str">
        <f aca="false">IF($A834="","",IF($G834="","",$G834-$I834))</f>
        <v/>
      </c>
      <c r="K834" s="17" t="str">
        <f aca="true">IF(OR($A834="",$J834="",$J834&lt;=0,$H834=""),"",TODAY()-$H834)</f>
        <v/>
      </c>
      <c r="L834" s="14" t="str">
        <f aca="false">IF($A834="","",IF($G834="","",IF($J834&lt;=0,"반납완료",IF($I834&gt;0,"부분반납","미반납"))))</f>
        <v/>
      </c>
    </row>
    <row r="835" customFormat="false" ht="15" hidden="false" customHeight="false" outlineLevel="0" collapsed="false">
      <c r="A835" s="14" t="str">
        <f aca="false">IF($B835="","",TEXT($B835,"yymmdd")&amp;"-"&amp;TEXT(COUNTIFS($B$3:$B835,$B835),"00"))</f>
        <v/>
      </c>
      <c r="B835" s="15"/>
      <c r="C835" s="9"/>
      <c r="D835" s="10"/>
      <c r="E835" s="14" t="str">
        <f aca="false">IF($D835="","",IFERROR(INDEX(품목목록!$B$3:$B$202,MATCH($D835,품목목록!$A$3:$A$202,0)),"미등록품번"))</f>
        <v/>
      </c>
      <c r="F835" s="14" t="str">
        <f aca="false">IF($D835="","",IFERROR(INDEX(품목목록!$D$3:$D$202,MATCH($D835,품목목록!$A$3:$A$202,0)),""))</f>
        <v/>
      </c>
      <c r="G835" s="11"/>
      <c r="H835" s="15"/>
      <c r="I835" s="16" t="str">
        <f aca="false">IF($A835="","",SUMIFS(반납내역!$D$3:$D$1502,반납내역!$B$3:$B$1502,$A835))</f>
        <v/>
      </c>
      <c r="J835" s="16" t="str">
        <f aca="false">IF($A835="","",IF($G835="","",$G835-$I835))</f>
        <v/>
      </c>
      <c r="K835" s="17" t="str">
        <f aca="true">IF(OR($A835="",$J835="",$J835&lt;=0,$H835=""),"",TODAY()-$H835)</f>
        <v/>
      </c>
      <c r="L835" s="14" t="str">
        <f aca="false">IF($A835="","",IF($G835="","",IF($J835&lt;=0,"반납완료",IF($I835&gt;0,"부분반납","미반납"))))</f>
        <v/>
      </c>
    </row>
    <row r="836" customFormat="false" ht="15" hidden="false" customHeight="false" outlineLevel="0" collapsed="false">
      <c r="A836" s="14" t="str">
        <f aca="false">IF($B836="","",TEXT($B836,"yymmdd")&amp;"-"&amp;TEXT(COUNTIFS($B$3:$B836,$B836),"00"))</f>
        <v/>
      </c>
      <c r="B836" s="15"/>
      <c r="C836" s="9"/>
      <c r="D836" s="10"/>
      <c r="E836" s="14" t="str">
        <f aca="false">IF($D836="","",IFERROR(INDEX(품목목록!$B$3:$B$202,MATCH($D836,품목목록!$A$3:$A$202,0)),"미등록품번"))</f>
        <v/>
      </c>
      <c r="F836" s="14" t="str">
        <f aca="false">IF($D836="","",IFERROR(INDEX(품목목록!$D$3:$D$202,MATCH($D836,품목목록!$A$3:$A$202,0)),""))</f>
        <v/>
      </c>
      <c r="G836" s="11"/>
      <c r="H836" s="15"/>
      <c r="I836" s="16" t="str">
        <f aca="false">IF($A836="","",SUMIFS(반납내역!$D$3:$D$1502,반납내역!$B$3:$B$1502,$A836))</f>
        <v/>
      </c>
      <c r="J836" s="16" t="str">
        <f aca="false">IF($A836="","",IF($G836="","",$G836-$I836))</f>
        <v/>
      </c>
      <c r="K836" s="17" t="str">
        <f aca="true">IF(OR($A836="",$J836="",$J836&lt;=0,$H836=""),"",TODAY()-$H836)</f>
        <v/>
      </c>
      <c r="L836" s="14" t="str">
        <f aca="false">IF($A836="","",IF($G836="","",IF($J836&lt;=0,"반납완료",IF($I836&gt;0,"부분반납","미반납"))))</f>
        <v/>
      </c>
    </row>
    <row r="837" customFormat="false" ht="15" hidden="false" customHeight="false" outlineLevel="0" collapsed="false">
      <c r="A837" s="14" t="str">
        <f aca="false">IF($B837="","",TEXT($B837,"yymmdd")&amp;"-"&amp;TEXT(COUNTIFS($B$3:$B837,$B837),"00"))</f>
        <v/>
      </c>
      <c r="B837" s="15"/>
      <c r="C837" s="9"/>
      <c r="D837" s="10"/>
      <c r="E837" s="14" t="str">
        <f aca="false">IF($D837="","",IFERROR(INDEX(품목목록!$B$3:$B$202,MATCH($D837,품목목록!$A$3:$A$202,0)),"미등록품번"))</f>
        <v/>
      </c>
      <c r="F837" s="14" t="str">
        <f aca="false">IF($D837="","",IFERROR(INDEX(품목목록!$D$3:$D$202,MATCH($D837,품목목록!$A$3:$A$202,0)),""))</f>
        <v/>
      </c>
      <c r="G837" s="11"/>
      <c r="H837" s="15"/>
      <c r="I837" s="16" t="str">
        <f aca="false">IF($A837="","",SUMIFS(반납내역!$D$3:$D$1502,반납내역!$B$3:$B$1502,$A837))</f>
        <v/>
      </c>
      <c r="J837" s="16" t="str">
        <f aca="false">IF($A837="","",IF($G837="","",$G837-$I837))</f>
        <v/>
      </c>
      <c r="K837" s="17" t="str">
        <f aca="true">IF(OR($A837="",$J837="",$J837&lt;=0,$H837=""),"",TODAY()-$H837)</f>
        <v/>
      </c>
      <c r="L837" s="14" t="str">
        <f aca="false">IF($A837="","",IF($G837="","",IF($J837&lt;=0,"반납완료",IF($I837&gt;0,"부분반납","미반납"))))</f>
        <v/>
      </c>
    </row>
    <row r="838" customFormat="false" ht="15" hidden="false" customHeight="false" outlineLevel="0" collapsed="false">
      <c r="A838" s="14" t="str">
        <f aca="false">IF($B838="","",TEXT($B838,"yymmdd")&amp;"-"&amp;TEXT(COUNTIFS($B$3:$B838,$B838),"00"))</f>
        <v/>
      </c>
      <c r="B838" s="15"/>
      <c r="C838" s="9"/>
      <c r="D838" s="10"/>
      <c r="E838" s="14" t="str">
        <f aca="false">IF($D838="","",IFERROR(INDEX(품목목록!$B$3:$B$202,MATCH($D838,품목목록!$A$3:$A$202,0)),"미등록품번"))</f>
        <v/>
      </c>
      <c r="F838" s="14" t="str">
        <f aca="false">IF($D838="","",IFERROR(INDEX(품목목록!$D$3:$D$202,MATCH($D838,품목목록!$A$3:$A$202,0)),""))</f>
        <v/>
      </c>
      <c r="G838" s="11"/>
      <c r="H838" s="15"/>
      <c r="I838" s="16" t="str">
        <f aca="false">IF($A838="","",SUMIFS(반납내역!$D$3:$D$1502,반납내역!$B$3:$B$1502,$A838))</f>
        <v/>
      </c>
      <c r="J838" s="16" t="str">
        <f aca="false">IF($A838="","",IF($G838="","",$G838-$I838))</f>
        <v/>
      </c>
      <c r="K838" s="17" t="str">
        <f aca="true">IF(OR($A838="",$J838="",$J838&lt;=0,$H838=""),"",TODAY()-$H838)</f>
        <v/>
      </c>
      <c r="L838" s="14" t="str">
        <f aca="false">IF($A838="","",IF($G838="","",IF($J838&lt;=0,"반납완료",IF($I838&gt;0,"부분반납","미반납"))))</f>
        <v/>
      </c>
    </row>
    <row r="839" customFormat="false" ht="15" hidden="false" customHeight="false" outlineLevel="0" collapsed="false">
      <c r="A839" s="14" t="str">
        <f aca="false">IF($B839="","",TEXT($B839,"yymmdd")&amp;"-"&amp;TEXT(COUNTIFS($B$3:$B839,$B839),"00"))</f>
        <v/>
      </c>
      <c r="B839" s="15"/>
      <c r="C839" s="9"/>
      <c r="D839" s="10"/>
      <c r="E839" s="14" t="str">
        <f aca="false">IF($D839="","",IFERROR(INDEX(품목목록!$B$3:$B$202,MATCH($D839,품목목록!$A$3:$A$202,0)),"미등록품번"))</f>
        <v/>
      </c>
      <c r="F839" s="14" t="str">
        <f aca="false">IF($D839="","",IFERROR(INDEX(품목목록!$D$3:$D$202,MATCH($D839,품목목록!$A$3:$A$202,0)),""))</f>
        <v/>
      </c>
      <c r="G839" s="11"/>
      <c r="H839" s="15"/>
      <c r="I839" s="16" t="str">
        <f aca="false">IF($A839="","",SUMIFS(반납내역!$D$3:$D$1502,반납내역!$B$3:$B$1502,$A839))</f>
        <v/>
      </c>
      <c r="J839" s="16" t="str">
        <f aca="false">IF($A839="","",IF($G839="","",$G839-$I839))</f>
        <v/>
      </c>
      <c r="K839" s="17" t="str">
        <f aca="true">IF(OR($A839="",$J839="",$J839&lt;=0,$H839=""),"",TODAY()-$H839)</f>
        <v/>
      </c>
      <c r="L839" s="14" t="str">
        <f aca="false">IF($A839="","",IF($G839="","",IF($J839&lt;=0,"반납완료",IF($I839&gt;0,"부분반납","미반납"))))</f>
        <v/>
      </c>
    </row>
    <row r="840" customFormat="false" ht="15" hidden="false" customHeight="false" outlineLevel="0" collapsed="false">
      <c r="A840" s="14" t="str">
        <f aca="false">IF($B840="","",TEXT($B840,"yymmdd")&amp;"-"&amp;TEXT(COUNTIFS($B$3:$B840,$B840),"00"))</f>
        <v/>
      </c>
      <c r="B840" s="15"/>
      <c r="C840" s="9"/>
      <c r="D840" s="10"/>
      <c r="E840" s="14" t="str">
        <f aca="false">IF($D840="","",IFERROR(INDEX(품목목록!$B$3:$B$202,MATCH($D840,품목목록!$A$3:$A$202,0)),"미등록품번"))</f>
        <v/>
      </c>
      <c r="F840" s="14" t="str">
        <f aca="false">IF($D840="","",IFERROR(INDEX(품목목록!$D$3:$D$202,MATCH($D840,품목목록!$A$3:$A$202,0)),""))</f>
        <v/>
      </c>
      <c r="G840" s="11"/>
      <c r="H840" s="15"/>
      <c r="I840" s="16" t="str">
        <f aca="false">IF($A840="","",SUMIFS(반납내역!$D$3:$D$1502,반납내역!$B$3:$B$1502,$A840))</f>
        <v/>
      </c>
      <c r="J840" s="16" t="str">
        <f aca="false">IF($A840="","",IF($G840="","",$G840-$I840))</f>
        <v/>
      </c>
      <c r="K840" s="17" t="str">
        <f aca="true">IF(OR($A840="",$J840="",$J840&lt;=0,$H840=""),"",TODAY()-$H840)</f>
        <v/>
      </c>
      <c r="L840" s="14" t="str">
        <f aca="false">IF($A840="","",IF($G840="","",IF($J840&lt;=0,"반납완료",IF($I840&gt;0,"부분반납","미반납"))))</f>
        <v/>
      </c>
    </row>
    <row r="841" customFormat="false" ht="15" hidden="false" customHeight="false" outlineLevel="0" collapsed="false">
      <c r="A841" s="14" t="str">
        <f aca="false">IF($B841="","",TEXT($B841,"yymmdd")&amp;"-"&amp;TEXT(COUNTIFS($B$3:$B841,$B841),"00"))</f>
        <v/>
      </c>
      <c r="B841" s="15"/>
      <c r="C841" s="9"/>
      <c r="D841" s="10"/>
      <c r="E841" s="14" t="str">
        <f aca="false">IF($D841="","",IFERROR(INDEX(품목목록!$B$3:$B$202,MATCH($D841,품목목록!$A$3:$A$202,0)),"미등록품번"))</f>
        <v/>
      </c>
      <c r="F841" s="14" t="str">
        <f aca="false">IF($D841="","",IFERROR(INDEX(품목목록!$D$3:$D$202,MATCH($D841,품목목록!$A$3:$A$202,0)),""))</f>
        <v/>
      </c>
      <c r="G841" s="11"/>
      <c r="H841" s="15"/>
      <c r="I841" s="16" t="str">
        <f aca="false">IF($A841="","",SUMIFS(반납내역!$D$3:$D$1502,반납내역!$B$3:$B$1502,$A841))</f>
        <v/>
      </c>
      <c r="J841" s="16" t="str">
        <f aca="false">IF($A841="","",IF($G841="","",$G841-$I841))</f>
        <v/>
      </c>
      <c r="K841" s="17" t="str">
        <f aca="true">IF(OR($A841="",$J841="",$J841&lt;=0,$H841=""),"",TODAY()-$H841)</f>
        <v/>
      </c>
      <c r="L841" s="14" t="str">
        <f aca="false">IF($A841="","",IF($G841="","",IF($J841&lt;=0,"반납완료",IF($I841&gt;0,"부분반납","미반납"))))</f>
        <v/>
      </c>
    </row>
    <row r="842" customFormat="false" ht="15" hidden="false" customHeight="false" outlineLevel="0" collapsed="false">
      <c r="A842" s="14" t="str">
        <f aca="false">IF($B842="","",TEXT($B842,"yymmdd")&amp;"-"&amp;TEXT(COUNTIFS($B$3:$B842,$B842),"00"))</f>
        <v/>
      </c>
      <c r="B842" s="15"/>
      <c r="C842" s="9"/>
      <c r="D842" s="10"/>
      <c r="E842" s="14" t="str">
        <f aca="false">IF($D842="","",IFERROR(INDEX(품목목록!$B$3:$B$202,MATCH($D842,품목목록!$A$3:$A$202,0)),"미등록품번"))</f>
        <v/>
      </c>
      <c r="F842" s="14" t="str">
        <f aca="false">IF($D842="","",IFERROR(INDEX(품목목록!$D$3:$D$202,MATCH($D842,품목목록!$A$3:$A$202,0)),""))</f>
        <v/>
      </c>
      <c r="G842" s="11"/>
      <c r="H842" s="15"/>
      <c r="I842" s="16" t="str">
        <f aca="false">IF($A842="","",SUMIFS(반납내역!$D$3:$D$1502,반납내역!$B$3:$B$1502,$A842))</f>
        <v/>
      </c>
      <c r="J842" s="16" t="str">
        <f aca="false">IF($A842="","",IF($G842="","",$G842-$I842))</f>
        <v/>
      </c>
      <c r="K842" s="17" t="str">
        <f aca="true">IF(OR($A842="",$J842="",$J842&lt;=0,$H842=""),"",TODAY()-$H842)</f>
        <v/>
      </c>
      <c r="L842" s="14" t="str">
        <f aca="false">IF($A842="","",IF($G842="","",IF($J842&lt;=0,"반납완료",IF($I842&gt;0,"부분반납","미반납"))))</f>
        <v/>
      </c>
    </row>
    <row r="843" customFormat="false" ht="15" hidden="false" customHeight="false" outlineLevel="0" collapsed="false">
      <c r="A843" s="14" t="str">
        <f aca="false">IF($B843="","",TEXT($B843,"yymmdd")&amp;"-"&amp;TEXT(COUNTIFS($B$3:$B843,$B843),"00"))</f>
        <v/>
      </c>
      <c r="B843" s="15"/>
      <c r="C843" s="9"/>
      <c r="D843" s="10"/>
      <c r="E843" s="14" t="str">
        <f aca="false">IF($D843="","",IFERROR(INDEX(품목목록!$B$3:$B$202,MATCH($D843,품목목록!$A$3:$A$202,0)),"미등록품번"))</f>
        <v/>
      </c>
      <c r="F843" s="14" t="str">
        <f aca="false">IF($D843="","",IFERROR(INDEX(품목목록!$D$3:$D$202,MATCH($D843,품목목록!$A$3:$A$202,0)),""))</f>
        <v/>
      </c>
      <c r="G843" s="11"/>
      <c r="H843" s="15"/>
      <c r="I843" s="16" t="str">
        <f aca="false">IF($A843="","",SUMIFS(반납내역!$D$3:$D$1502,반납내역!$B$3:$B$1502,$A843))</f>
        <v/>
      </c>
      <c r="J843" s="16" t="str">
        <f aca="false">IF($A843="","",IF($G843="","",$G843-$I843))</f>
        <v/>
      </c>
      <c r="K843" s="17" t="str">
        <f aca="true">IF(OR($A843="",$J843="",$J843&lt;=0,$H843=""),"",TODAY()-$H843)</f>
        <v/>
      </c>
      <c r="L843" s="14" t="str">
        <f aca="false">IF($A843="","",IF($G843="","",IF($J843&lt;=0,"반납완료",IF($I843&gt;0,"부분반납","미반납"))))</f>
        <v/>
      </c>
    </row>
    <row r="844" customFormat="false" ht="15" hidden="false" customHeight="false" outlineLevel="0" collapsed="false">
      <c r="A844" s="14" t="str">
        <f aca="false">IF($B844="","",TEXT($B844,"yymmdd")&amp;"-"&amp;TEXT(COUNTIFS($B$3:$B844,$B844),"00"))</f>
        <v/>
      </c>
      <c r="B844" s="15"/>
      <c r="C844" s="9"/>
      <c r="D844" s="10"/>
      <c r="E844" s="14" t="str">
        <f aca="false">IF($D844="","",IFERROR(INDEX(품목목록!$B$3:$B$202,MATCH($D844,품목목록!$A$3:$A$202,0)),"미등록품번"))</f>
        <v/>
      </c>
      <c r="F844" s="14" t="str">
        <f aca="false">IF($D844="","",IFERROR(INDEX(품목목록!$D$3:$D$202,MATCH($D844,품목목록!$A$3:$A$202,0)),""))</f>
        <v/>
      </c>
      <c r="G844" s="11"/>
      <c r="H844" s="15"/>
      <c r="I844" s="16" t="str">
        <f aca="false">IF($A844="","",SUMIFS(반납내역!$D$3:$D$1502,반납내역!$B$3:$B$1502,$A844))</f>
        <v/>
      </c>
      <c r="J844" s="16" t="str">
        <f aca="false">IF($A844="","",IF($G844="","",$G844-$I844))</f>
        <v/>
      </c>
      <c r="K844" s="17" t="str">
        <f aca="true">IF(OR($A844="",$J844="",$J844&lt;=0,$H844=""),"",TODAY()-$H844)</f>
        <v/>
      </c>
      <c r="L844" s="14" t="str">
        <f aca="false">IF($A844="","",IF($G844="","",IF($J844&lt;=0,"반납완료",IF($I844&gt;0,"부분반납","미반납"))))</f>
        <v/>
      </c>
    </row>
    <row r="845" customFormat="false" ht="15" hidden="false" customHeight="false" outlineLevel="0" collapsed="false">
      <c r="A845" s="14" t="str">
        <f aca="false">IF($B845="","",TEXT($B845,"yymmdd")&amp;"-"&amp;TEXT(COUNTIFS($B$3:$B845,$B845),"00"))</f>
        <v/>
      </c>
      <c r="B845" s="15"/>
      <c r="C845" s="9"/>
      <c r="D845" s="10"/>
      <c r="E845" s="14" t="str">
        <f aca="false">IF($D845="","",IFERROR(INDEX(품목목록!$B$3:$B$202,MATCH($D845,품목목록!$A$3:$A$202,0)),"미등록품번"))</f>
        <v/>
      </c>
      <c r="F845" s="14" t="str">
        <f aca="false">IF($D845="","",IFERROR(INDEX(품목목록!$D$3:$D$202,MATCH($D845,품목목록!$A$3:$A$202,0)),""))</f>
        <v/>
      </c>
      <c r="G845" s="11"/>
      <c r="H845" s="15"/>
      <c r="I845" s="16" t="str">
        <f aca="false">IF($A845="","",SUMIFS(반납내역!$D$3:$D$1502,반납내역!$B$3:$B$1502,$A845))</f>
        <v/>
      </c>
      <c r="J845" s="16" t="str">
        <f aca="false">IF($A845="","",IF($G845="","",$G845-$I845))</f>
        <v/>
      </c>
      <c r="K845" s="17" t="str">
        <f aca="true">IF(OR($A845="",$J845="",$J845&lt;=0,$H845=""),"",TODAY()-$H845)</f>
        <v/>
      </c>
      <c r="L845" s="14" t="str">
        <f aca="false">IF($A845="","",IF($G845="","",IF($J845&lt;=0,"반납완료",IF($I845&gt;0,"부분반납","미반납"))))</f>
        <v/>
      </c>
    </row>
    <row r="846" customFormat="false" ht="15" hidden="false" customHeight="false" outlineLevel="0" collapsed="false">
      <c r="A846" s="14" t="str">
        <f aca="false">IF($B846="","",TEXT($B846,"yymmdd")&amp;"-"&amp;TEXT(COUNTIFS($B$3:$B846,$B846),"00"))</f>
        <v/>
      </c>
      <c r="B846" s="15"/>
      <c r="C846" s="9"/>
      <c r="D846" s="10"/>
      <c r="E846" s="14" t="str">
        <f aca="false">IF($D846="","",IFERROR(INDEX(품목목록!$B$3:$B$202,MATCH($D846,품목목록!$A$3:$A$202,0)),"미등록품번"))</f>
        <v/>
      </c>
      <c r="F846" s="14" t="str">
        <f aca="false">IF($D846="","",IFERROR(INDEX(품목목록!$D$3:$D$202,MATCH($D846,품목목록!$A$3:$A$202,0)),""))</f>
        <v/>
      </c>
      <c r="G846" s="11"/>
      <c r="H846" s="15"/>
      <c r="I846" s="16" t="str">
        <f aca="false">IF($A846="","",SUMIFS(반납내역!$D$3:$D$1502,반납내역!$B$3:$B$1502,$A846))</f>
        <v/>
      </c>
      <c r="J846" s="16" t="str">
        <f aca="false">IF($A846="","",IF($G846="","",$G846-$I846))</f>
        <v/>
      </c>
      <c r="K846" s="17" t="str">
        <f aca="true">IF(OR($A846="",$J846="",$J846&lt;=0,$H846=""),"",TODAY()-$H846)</f>
        <v/>
      </c>
      <c r="L846" s="14" t="str">
        <f aca="false">IF($A846="","",IF($G846="","",IF($J846&lt;=0,"반납완료",IF($I846&gt;0,"부분반납","미반납"))))</f>
        <v/>
      </c>
    </row>
    <row r="847" customFormat="false" ht="15" hidden="false" customHeight="false" outlineLevel="0" collapsed="false">
      <c r="A847" s="14" t="str">
        <f aca="false">IF($B847="","",TEXT($B847,"yymmdd")&amp;"-"&amp;TEXT(COUNTIFS($B$3:$B847,$B847),"00"))</f>
        <v/>
      </c>
      <c r="B847" s="15"/>
      <c r="C847" s="9"/>
      <c r="D847" s="10"/>
      <c r="E847" s="14" t="str">
        <f aca="false">IF($D847="","",IFERROR(INDEX(품목목록!$B$3:$B$202,MATCH($D847,품목목록!$A$3:$A$202,0)),"미등록품번"))</f>
        <v/>
      </c>
      <c r="F847" s="14" t="str">
        <f aca="false">IF($D847="","",IFERROR(INDEX(품목목록!$D$3:$D$202,MATCH($D847,품목목록!$A$3:$A$202,0)),""))</f>
        <v/>
      </c>
      <c r="G847" s="11"/>
      <c r="H847" s="15"/>
      <c r="I847" s="16" t="str">
        <f aca="false">IF($A847="","",SUMIFS(반납내역!$D$3:$D$1502,반납내역!$B$3:$B$1502,$A847))</f>
        <v/>
      </c>
      <c r="J847" s="16" t="str">
        <f aca="false">IF($A847="","",IF($G847="","",$G847-$I847))</f>
        <v/>
      </c>
      <c r="K847" s="17" t="str">
        <f aca="true">IF(OR($A847="",$J847="",$J847&lt;=0,$H847=""),"",TODAY()-$H847)</f>
        <v/>
      </c>
      <c r="L847" s="14" t="str">
        <f aca="false">IF($A847="","",IF($G847="","",IF($J847&lt;=0,"반납완료",IF($I847&gt;0,"부분반납","미반납"))))</f>
        <v/>
      </c>
    </row>
    <row r="848" customFormat="false" ht="15" hidden="false" customHeight="false" outlineLevel="0" collapsed="false">
      <c r="A848" s="14" t="str">
        <f aca="false">IF($B848="","",TEXT($B848,"yymmdd")&amp;"-"&amp;TEXT(COUNTIFS($B$3:$B848,$B848),"00"))</f>
        <v/>
      </c>
      <c r="B848" s="15"/>
      <c r="C848" s="9"/>
      <c r="D848" s="10"/>
      <c r="E848" s="14" t="str">
        <f aca="false">IF($D848="","",IFERROR(INDEX(품목목록!$B$3:$B$202,MATCH($D848,품목목록!$A$3:$A$202,0)),"미등록품번"))</f>
        <v/>
      </c>
      <c r="F848" s="14" t="str">
        <f aca="false">IF($D848="","",IFERROR(INDEX(품목목록!$D$3:$D$202,MATCH($D848,품목목록!$A$3:$A$202,0)),""))</f>
        <v/>
      </c>
      <c r="G848" s="11"/>
      <c r="H848" s="15"/>
      <c r="I848" s="16" t="str">
        <f aca="false">IF($A848="","",SUMIFS(반납내역!$D$3:$D$1502,반납내역!$B$3:$B$1502,$A848))</f>
        <v/>
      </c>
      <c r="J848" s="16" t="str">
        <f aca="false">IF($A848="","",IF($G848="","",$G848-$I848))</f>
        <v/>
      </c>
      <c r="K848" s="17" t="str">
        <f aca="true">IF(OR($A848="",$J848="",$J848&lt;=0,$H848=""),"",TODAY()-$H848)</f>
        <v/>
      </c>
      <c r="L848" s="14" t="str">
        <f aca="false">IF($A848="","",IF($G848="","",IF($J848&lt;=0,"반납완료",IF($I848&gt;0,"부분반납","미반납"))))</f>
        <v/>
      </c>
    </row>
    <row r="849" customFormat="false" ht="15" hidden="false" customHeight="false" outlineLevel="0" collapsed="false">
      <c r="A849" s="14" t="str">
        <f aca="false">IF($B849="","",TEXT($B849,"yymmdd")&amp;"-"&amp;TEXT(COUNTIFS($B$3:$B849,$B849),"00"))</f>
        <v/>
      </c>
      <c r="B849" s="15"/>
      <c r="C849" s="9"/>
      <c r="D849" s="10"/>
      <c r="E849" s="14" t="str">
        <f aca="false">IF($D849="","",IFERROR(INDEX(품목목록!$B$3:$B$202,MATCH($D849,품목목록!$A$3:$A$202,0)),"미등록품번"))</f>
        <v/>
      </c>
      <c r="F849" s="14" t="str">
        <f aca="false">IF($D849="","",IFERROR(INDEX(품목목록!$D$3:$D$202,MATCH($D849,품목목록!$A$3:$A$202,0)),""))</f>
        <v/>
      </c>
      <c r="G849" s="11"/>
      <c r="H849" s="15"/>
      <c r="I849" s="16" t="str">
        <f aca="false">IF($A849="","",SUMIFS(반납내역!$D$3:$D$1502,반납내역!$B$3:$B$1502,$A849))</f>
        <v/>
      </c>
      <c r="J849" s="16" t="str">
        <f aca="false">IF($A849="","",IF($G849="","",$G849-$I849))</f>
        <v/>
      </c>
      <c r="K849" s="17" t="str">
        <f aca="true">IF(OR($A849="",$J849="",$J849&lt;=0,$H849=""),"",TODAY()-$H849)</f>
        <v/>
      </c>
      <c r="L849" s="14" t="str">
        <f aca="false">IF($A849="","",IF($G849="","",IF($J849&lt;=0,"반납완료",IF($I849&gt;0,"부분반납","미반납"))))</f>
        <v/>
      </c>
    </row>
    <row r="850" customFormat="false" ht="15" hidden="false" customHeight="false" outlineLevel="0" collapsed="false">
      <c r="A850" s="14" t="str">
        <f aca="false">IF($B850="","",TEXT($B850,"yymmdd")&amp;"-"&amp;TEXT(COUNTIFS($B$3:$B850,$B850),"00"))</f>
        <v/>
      </c>
      <c r="B850" s="15"/>
      <c r="C850" s="9"/>
      <c r="D850" s="10"/>
      <c r="E850" s="14" t="str">
        <f aca="false">IF($D850="","",IFERROR(INDEX(품목목록!$B$3:$B$202,MATCH($D850,품목목록!$A$3:$A$202,0)),"미등록품번"))</f>
        <v/>
      </c>
      <c r="F850" s="14" t="str">
        <f aca="false">IF($D850="","",IFERROR(INDEX(품목목록!$D$3:$D$202,MATCH($D850,품목목록!$A$3:$A$202,0)),""))</f>
        <v/>
      </c>
      <c r="G850" s="11"/>
      <c r="H850" s="15"/>
      <c r="I850" s="16" t="str">
        <f aca="false">IF($A850="","",SUMIFS(반납내역!$D$3:$D$1502,반납내역!$B$3:$B$1502,$A850))</f>
        <v/>
      </c>
      <c r="J850" s="16" t="str">
        <f aca="false">IF($A850="","",IF($G850="","",$G850-$I850))</f>
        <v/>
      </c>
      <c r="K850" s="17" t="str">
        <f aca="true">IF(OR($A850="",$J850="",$J850&lt;=0,$H850=""),"",TODAY()-$H850)</f>
        <v/>
      </c>
      <c r="L850" s="14" t="str">
        <f aca="false">IF($A850="","",IF($G850="","",IF($J850&lt;=0,"반납완료",IF($I850&gt;0,"부분반납","미반납"))))</f>
        <v/>
      </c>
    </row>
    <row r="851" customFormat="false" ht="15" hidden="false" customHeight="false" outlineLevel="0" collapsed="false">
      <c r="A851" s="14" t="str">
        <f aca="false">IF($B851="","",TEXT($B851,"yymmdd")&amp;"-"&amp;TEXT(COUNTIFS($B$3:$B851,$B851),"00"))</f>
        <v/>
      </c>
      <c r="B851" s="15"/>
      <c r="C851" s="9"/>
      <c r="D851" s="10"/>
      <c r="E851" s="14" t="str">
        <f aca="false">IF($D851="","",IFERROR(INDEX(품목목록!$B$3:$B$202,MATCH($D851,품목목록!$A$3:$A$202,0)),"미등록품번"))</f>
        <v/>
      </c>
      <c r="F851" s="14" t="str">
        <f aca="false">IF($D851="","",IFERROR(INDEX(품목목록!$D$3:$D$202,MATCH($D851,품목목록!$A$3:$A$202,0)),""))</f>
        <v/>
      </c>
      <c r="G851" s="11"/>
      <c r="H851" s="15"/>
      <c r="I851" s="16" t="str">
        <f aca="false">IF($A851="","",SUMIFS(반납내역!$D$3:$D$1502,반납내역!$B$3:$B$1502,$A851))</f>
        <v/>
      </c>
      <c r="J851" s="16" t="str">
        <f aca="false">IF($A851="","",IF($G851="","",$G851-$I851))</f>
        <v/>
      </c>
      <c r="K851" s="17" t="str">
        <f aca="true">IF(OR($A851="",$J851="",$J851&lt;=0,$H851=""),"",TODAY()-$H851)</f>
        <v/>
      </c>
      <c r="L851" s="14" t="str">
        <f aca="false">IF($A851="","",IF($G851="","",IF($J851&lt;=0,"반납완료",IF($I851&gt;0,"부분반납","미반납"))))</f>
        <v/>
      </c>
    </row>
    <row r="852" customFormat="false" ht="15" hidden="false" customHeight="false" outlineLevel="0" collapsed="false">
      <c r="A852" s="14" t="str">
        <f aca="false">IF($B852="","",TEXT($B852,"yymmdd")&amp;"-"&amp;TEXT(COUNTIFS($B$3:$B852,$B852),"00"))</f>
        <v/>
      </c>
      <c r="B852" s="15"/>
      <c r="C852" s="9"/>
      <c r="D852" s="10"/>
      <c r="E852" s="14" t="str">
        <f aca="false">IF($D852="","",IFERROR(INDEX(품목목록!$B$3:$B$202,MATCH($D852,품목목록!$A$3:$A$202,0)),"미등록품번"))</f>
        <v/>
      </c>
      <c r="F852" s="14" t="str">
        <f aca="false">IF($D852="","",IFERROR(INDEX(품목목록!$D$3:$D$202,MATCH($D852,품목목록!$A$3:$A$202,0)),""))</f>
        <v/>
      </c>
      <c r="G852" s="11"/>
      <c r="H852" s="15"/>
      <c r="I852" s="16" t="str">
        <f aca="false">IF($A852="","",SUMIFS(반납내역!$D$3:$D$1502,반납내역!$B$3:$B$1502,$A852))</f>
        <v/>
      </c>
      <c r="J852" s="16" t="str">
        <f aca="false">IF($A852="","",IF($G852="","",$G852-$I852))</f>
        <v/>
      </c>
      <c r="K852" s="17" t="str">
        <f aca="true">IF(OR($A852="",$J852="",$J852&lt;=0,$H852=""),"",TODAY()-$H852)</f>
        <v/>
      </c>
      <c r="L852" s="14" t="str">
        <f aca="false">IF($A852="","",IF($G852="","",IF($J852&lt;=0,"반납완료",IF($I852&gt;0,"부분반납","미반납"))))</f>
        <v/>
      </c>
    </row>
    <row r="853" customFormat="false" ht="15" hidden="false" customHeight="false" outlineLevel="0" collapsed="false">
      <c r="A853" s="14" t="str">
        <f aca="false">IF($B853="","",TEXT($B853,"yymmdd")&amp;"-"&amp;TEXT(COUNTIFS($B$3:$B853,$B853),"00"))</f>
        <v/>
      </c>
      <c r="B853" s="15"/>
      <c r="C853" s="9"/>
      <c r="D853" s="10"/>
      <c r="E853" s="14" t="str">
        <f aca="false">IF($D853="","",IFERROR(INDEX(품목목록!$B$3:$B$202,MATCH($D853,품목목록!$A$3:$A$202,0)),"미등록품번"))</f>
        <v/>
      </c>
      <c r="F853" s="14" t="str">
        <f aca="false">IF($D853="","",IFERROR(INDEX(품목목록!$D$3:$D$202,MATCH($D853,품목목록!$A$3:$A$202,0)),""))</f>
        <v/>
      </c>
      <c r="G853" s="11"/>
      <c r="H853" s="15"/>
      <c r="I853" s="16" t="str">
        <f aca="false">IF($A853="","",SUMIFS(반납내역!$D$3:$D$1502,반납내역!$B$3:$B$1502,$A853))</f>
        <v/>
      </c>
      <c r="J853" s="16" t="str">
        <f aca="false">IF($A853="","",IF($G853="","",$G853-$I853))</f>
        <v/>
      </c>
      <c r="K853" s="17" t="str">
        <f aca="true">IF(OR($A853="",$J853="",$J853&lt;=0,$H853=""),"",TODAY()-$H853)</f>
        <v/>
      </c>
      <c r="L853" s="14" t="str">
        <f aca="false">IF($A853="","",IF($G853="","",IF($J853&lt;=0,"반납완료",IF($I853&gt;0,"부분반납","미반납"))))</f>
        <v/>
      </c>
    </row>
    <row r="854" customFormat="false" ht="15" hidden="false" customHeight="false" outlineLevel="0" collapsed="false">
      <c r="A854" s="14" t="str">
        <f aca="false">IF($B854="","",TEXT($B854,"yymmdd")&amp;"-"&amp;TEXT(COUNTIFS($B$3:$B854,$B854),"00"))</f>
        <v/>
      </c>
      <c r="B854" s="15"/>
      <c r="C854" s="9"/>
      <c r="D854" s="10"/>
      <c r="E854" s="14" t="str">
        <f aca="false">IF($D854="","",IFERROR(INDEX(품목목록!$B$3:$B$202,MATCH($D854,품목목록!$A$3:$A$202,0)),"미등록품번"))</f>
        <v/>
      </c>
      <c r="F854" s="14" t="str">
        <f aca="false">IF($D854="","",IFERROR(INDEX(품목목록!$D$3:$D$202,MATCH($D854,품목목록!$A$3:$A$202,0)),""))</f>
        <v/>
      </c>
      <c r="G854" s="11"/>
      <c r="H854" s="15"/>
      <c r="I854" s="16" t="str">
        <f aca="false">IF($A854="","",SUMIFS(반납내역!$D$3:$D$1502,반납내역!$B$3:$B$1502,$A854))</f>
        <v/>
      </c>
      <c r="J854" s="16" t="str">
        <f aca="false">IF($A854="","",IF($G854="","",$G854-$I854))</f>
        <v/>
      </c>
      <c r="K854" s="17" t="str">
        <f aca="true">IF(OR($A854="",$J854="",$J854&lt;=0,$H854=""),"",TODAY()-$H854)</f>
        <v/>
      </c>
      <c r="L854" s="14" t="str">
        <f aca="false">IF($A854="","",IF($G854="","",IF($J854&lt;=0,"반납완료",IF($I854&gt;0,"부분반납","미반납"))))</f>
        <v/>
      </c>
    </row>
    <row r="855" customFormat="false" ht="15" hidden="false" customHeight="false" outlineLevel="0" collapsed="false">
      <c r="A855" s="14" t="str">
        <f aca="false">IF($B855="","",TEXT($B855,"yymmdd")&amp;"-"&amp;TEXT(COUNTIFS($B$3:$B855,$B855),"00"))</f>
        <v/>
      </c>
      <c r="B855" s="15"/>
      <c r="C855" s="9"/>
      <c r="D855" s="10"/>
      <c r="E855" s="14" t="str">
        <f aca="false">IF($D855="","",IFERROR(INDEX(품목목록!$B$3:$B$202,MATCH($D855,품목목록!$A$3:$A$202,0)),"미등록품번"))</f>
        <v/>
      </c>
      <c r="F855" s="14" t="str">
        <f aca="false">IF($D855="","",IFERROR(INDEX(품목목록!$D$3:$D$202,MATCH($D855,품목목록!$A$3:$A$202,0)),""))</f>
        <v/>
      </c>
      <c r="G855" s="11"/>
      <c r="H855" s="15"/>
      <c r="I855" s="16" t="str">
        <f aca="false">IF($A855="","",SUMIFS(반납내역!$D$3:$D$1502,반납내역!$B$3:$B$1502,$A855))</f>
        <v/>
      </c>
      <c r="J855" s="16" t="str">
        <f aca="false">IF($A855="","",IF($G855="","",$G855-$I855))</f>
        <v/>
      </c>
      <c r="K855" s="17" t="str">
        <f aca="true">IF(OR($A855="",$J855="",$J855&lt;=0,$H855=""),"",TODAY()-$H855)</f>
        <v/>
      </c>
      <c r="L855" s="14" t="str">
        <f aca="false">IF($A855="","",IF($G855="","",IF($J855&lt;=0,"반납완료",IF($I855&gt;0,"부분반납","미반납"))))</f>
        <v/>
      </c>
    </row>
    <row r="856" customFormat="false" ht="15" hidden="false" customHeight="false" outlineLevel="0" collapsed="false">
      <c r="A856" s="14" t="str">
        <f aca="false">IF($B856="","",TEXT($B856,"yymmdd")&amp;"-"&amp;TEXT(COUNTIFS($B$3:$B856,$B856),"00"))</f>
        <v/>
      </c>
      <c r="B856" s="15"/>
      <c r="C856" s="9"/>
      <c r="D856" s="10"/>
      <c r="E856" s="14" t="str">
        <f aca="false">IF($D856="","",IFERROR(INDEX(품목목록!$B$3:$B$202,MATCH($D856,품목목록!$A$3:$A$202,0)),"미등록품번"))</f>
        <v/>
      </c>
      <c r="F856" s="14" t="str">
        <f aca="false">IF($D856="","",IFERROR(INDEX(품목목록!$D$3:$D$202,MATCH($D856,품목목록!$A$3:$A$202,0)),""))</f>
        <v/>
      </c>
      <c r="G856" s="11"/>
      <c r="H856" s="15"/>
      <c r="I856" s="16" t="str">
        <f aca="false">IF($A856="","",SUMIFS(반납내역!$D$3:$D$1502,반납내역!$B$3:$B$1502,$A856))</f>
        <v/>
      </c>
      <c r="J856" s="16" t="str">
        <f aca="false">IF($A856="","",IF($G856="","",$G856-$I856))</f>
        <v/>
      </c>
      <c r="K856" s="17" t="str">
        <f aca="true">IF(OR($A856="",$J856="",$J856&lt;=0,$H856=""),"",TODAY()-$H856)</f>
        <v/>
      </c>
      <c r="L856" s="14" t="str">
        <f aca="false">IF($A856="","",IF($G856="","",IF($J856&lt;=0,"반납완료",IF($I856&gt;0,"부분반납","미반납"))))</f>
        <v/>
      </c>
    </row>
    <row r="857" customFormat="false" ht="15" hidden="false" customHeight="false" outlineLevel="0" collapsed="false">
      <c r="A857" s="14" t="str">
        <f aca="false">IF($B857="","",TEXT($B857,"yymmdd")&amp;"-"&amp;TEXT(COUNTIFS($B$3:$B857,$B857),"00"))</f>
        <v/>
      </c>
      <c r="B857" s="15"/>
      <c r="C857" s="9"/>
      <c r="D857" s="10"/>
      <c r="E857" s="14" t="str">
        <f aca="false">IF($D857="","",IFERROR(INDEX(품목목록!$B$3:$B$202,MATCH($D857,품목목록!$A$3:$A$202,0)),"미등록품번"))</f>
        <v/>
      </c>
      <c r="F857" s="14" t="str">
        <f aca="false">IF($D857="","",IFERROR(INDEX(품목목록!$D$3:$D$202,MATCH($D857,품목목록!$A$3:$A$202,0)),""))</f>
        <v/>
      </c>
      <c r="G857" s="11"/>
      <c r="H857" s="15"/>
      <c r="I857" s="16" t="str">
        <f aca="false">IF($A857="","",SUMIFS(반납내역!$D$3:$D$1502,반납내역!$B$3:$B$1502,$A857))</f>
        <v/>
      </c>
      <c r="J857" s="16" t="str">
        <f aca="false">IF($A857="","",IF($G857="","",$G857-$I857))</f>
        <v/>
      </c>
      <c r="K857" s="17" t="str">
        <f aca="true">IF(OR($A857="",$J857="",$J857&lt;=0,$H857=""),"",TODAY()-$H857)</f>
        <v/>
      </c>
      <c r="L857" s="14" t="str">
        <f aca="false">IF($A857="","",IF($G857="","",IF($J857&lt;=0,"반납완료",IF($I857&gt;0,"부분반납","미반납"))))</f>
        <v/>
      </c>
    </row>
    <row r="858" customFormat="false" ht="15" hidden="false" customHeight="false" outlineLevel="0" collapsed="false">
      <c r="A858" s="14" t="str">
        <f aca="false">IF($B858="","",TEXT($B858,"yymmdd")&amp;"-"&amp;TEXT(COUNTIFS($B$3:$B858,$B858),"00"))</f>
        <v/>
      </c>
      <c r="B858" s="15"/>
      <c r="C858" s="9"/>
      <c r="D858" s="10"/>
      <c r="E858" s="14" t="str">
        <f aca="false">IF($D858="","",IFERROR(INDEX(품목목록!$B$3:$B$202,MATCH($D858,품목목록!$A$3:$A$202,0)),"미등록품번"))</f>
        <v/>
      </c>
      <c r="F858" s="14" t="str">
        <f aca="false">IF($D858="","",IFERROR(INDEX(품목목록!$D$3:$D$202,MATCH($D858,품목목록!$A$3:$A$202,0)),""))</f>
        <v/>
      </c>
      <c r="G858" s="11"/>
      <c r="H858" s="15"/>
      <c r="I858" s="16" t="str">
        <f aca="false">IF($A858="","",SUMIFS(반납내역!$D$3:$D$1502,반납내역!$B$3:$B$1502,$A858))</f>
        <v/>
      </c>
      <c r="J858" s="16" t="str">
        <f aca="false">IF($A858="","",IF($G858="","",$G858-$I858))</f>
        <v/>
      </c>
      <c r="K858" s="17" t="str">
        <f aca="true">IF(OR($A858="",$J858="",$J858&lt;=0,$H858=""),"",TODAY()-$H858)</f>
        <v/>
      </c>
      <c r="L858" s="14" t="str">
        <f aca="false">IF($A858="","",IF($G858="","",IF($J858&lt;=0,"반납완료",IF($I858&gt;0,"부분반납","미반납"))))</f>
        <v/>
      </c>
    </row>
    <row r="859" customFormat="false" ht="15" hidden="false" customHeight="false" outlineLevel="0" collapsed="false">
      <c r="A859" s="14" t="str">
        <f aca="false">IF($B859="","",TEXT($B859,"yymmdd")&amp;"-"&amp;TEXT(COUNTIFS($B$3:$B859,$B859),"00"))</f>
        <v/>
      </c>
      <c r="B859" s="15"/>
      <c r="C859" s="9"/>
      <c r="D859" s="10"/>
      <c r="E859" s="14" t="str">
        <f aca="false">IF($D859="","",IFERROR(INDEX(품목목록!$B$3:$B$202,MATCH($D859,품목목록!$A$3:$A$202,0)),"미등록품번"))</f>
        <v/>
      </c>
      <c r="F859" s="14" t="str">
        <f aca="false">IF($D859="","",IFERROR(INDEX(품목목록!$D$3:$D$202,MATCH($D859,품목목록!$A$3:$A$202,0)),""))</f>
        <v/>
      </c>
      <c r="G859" s="11"/>
      <c r="H859" s="15"/>
      <c r="I859" s="16" t="str">
        <f aca="false">IF($A859="","",SUMIFS(반납내역!$D$3:$D$1502,반납내역!$B$3:$B$1502,$A859))</f>
        <v/>
      </c>
      <c r="J859" s="16" t="str">
        <f aca="false">IF($A859="","",IF($G859="","",$G859-$I859))</f>
        <v/>
      </c>
      <c r="K859" s="17" t="str">
        <f aca="true">IF(OR($A859="",$J859="",$J859&lt;=0,$H859=""),"",TODAY()-$H859)</f>
        <v/>
      </c>
      <c r="L859" s="14" t="str">
        <f aca="false">IF($A859="","",IF($G859="","",IF($J859&lt;=0,"반납완료",IF($I859&gt;0,"부분반납","미반납"))))</f>
        <v/>
      </c>
    </row>
    <row r="860" customFormat="false" ht="15" hidden="false" customHeight="false" outlineLevel="0" collapsed="false">
      <c r="A860" s="14" t="str">
        <f aca="false">IF($B860="","",TEXT($B860,"yymmdd")&amp;"-"&amp;TEXT(COUNTIFS($B$3:$B860,$B860),"00"))</f>
        <v/>
      </c>
      <c r="B860" s="15"/>
      <c r="C860" s="9"/>
      <c r="D860" s="10"/>
      <c r="E860" s="14" t="str">
        <f aca="false">IF($D860="","",IFERROR(INDEX(품목목록!$B$3:$B$202,MATCH($D860,품목목록!$A$3:$A$202,0)),"미등록품번"))</f>
        <v/>
      </c>
      <c r="F860" s="14" t="str">
        <f aca="false">IF($D860="","",IFERROR(INDEX(품목목록!$D$3:$D$202,MATCH($D860,품목목록!$A$3:$A$202,0)),""))</f>
        <v/>
      </c>
      <c r="G860" s="11"/>
      <c r="H860" s="15"/>
      <c r="I860" s="16" t="str">
        <f aca="false">IF($A860="","",SUMIFS(반납내역!$D$3:$D$1502,반납내역!$B$3:$B$1502,$A860))</f>
        <v/>
      </c>
      <c r="J860" s="16" t="str">
        <f aca="false">IF($A860="","",IF($G860="","",$G860-$I860))</f>
        <v/>
      </c>
      <c r="K860" s="17" t="str">
        <f aca="true">IF(OR($A860="",$J860="",$J860&lt;=0,$H860=""),"",TODAY()-$H860)</f>
        <v/>
      </c>
      <c r="L860" s="14" t="str">
        <f aca="false">IF($A860="","",IF($G860="","",IF($J860&lt;=0,"반납완료",IF($I860&gt;0,"부분반납","미반납"))))</f>
        <v/>
      </c>
    </row>
    <row r="861" customFormat="false" ht="15" hidden="false" customHeight="false" outlineLevel="0" collapsed="false">
      <c r="A861" s="14" t="str">
        <f aca="false">IF($B861="","",TEXT($B861,"yymmdd")&amp;"-"&amp;TEXT(COUNTIFS($B$3:$B861,$B861),"00"))</f>
        <v/>
      </c>
      <c r="B861" s="15"/>
      <c r="C861" s="9"/>
      <c r="D861" s="10"/>
      <c r="E861" s="14" t="str">
        <f aca="false">IF($D861="","",IFERROR(INDEX(품목목록!$B$3:$B$202,MATCH($D861,품목목록!$A$3:$A$202,0)),"미등록품번"))</f>
        <v/>
      </c>
      <c r="F861" s="14" t="str">
        <f aca="false">IF($D861="","",IFERROR(INDEX(품목목록!$D$3:$D$202,MATCH($D861,품목목록!$A$3:$A$202,0)),""))</f>
        <v/>
      </c>
      <c r="G861" s="11"/>
      <c r="H861" s="15"/>
      <c r="I861" s="16" t="str">
        <f aca="false">IF($A861="","",SUMIFS(반납내역!$D$3:$D$1502,반납내역!$B$3:$B$1502,$A861))</f>
        <v/>
      </c>
      <c r="J861" s="16" t="str">
        <f aca="false">IF($A861="","",IF($G861="","",$G861-$I861))</f>
        <v/>
      </c>
      <c r="K861" s="17" t="str">
        <f aca="true">IF(OR($A861="",$J861="",$J861&lt;=0,$H861=""),"",TODAY()-$H861)</f>
        <v/>
      </c>
      <c r="L861" s="14" t="str">
        <f aca="false">IF($A861="","",IF($G861="","",IF($J861&lt;=0,"반납완료",IF($I861&gt;0,"부분반납","미반납"))))</f>
        <v/>
      </c>
    </row>
    <row r="862" customFormat="false" ht="15" hidden="false" customHeight="false" outlineLevel="0" collapsed="false">
      <c r="A862" s="14" t="str">
        <f aca="false">IF($B862="","",TEXT($B862,"yymmdd")&amp;"-"&amp;TEXT(COUNTIFS($B$3:$B862,$B862),"00"))</f>
        <v/>
      </c>
      <c r="B862" s="15"/>
      <c r="C862" s="9"/>
      <c r="D862" s="10"/>
      <c r="E862" s="14" t="str">
        <f aca="false">IF($D862="","",IFERROR(INDEX(품목목록!$B$3:$B$202,MATCH($D862,품목목록!$A$3:$A$202,0)),"미등록품번"))</f>
        <v/>
      </c>
      <c r="F862" s="14" t="str">
        <f aca="false">IF($D862="","",IFERROR(INDEX(품목목록!$D$3:$D$202,MATCH($D862,품목목록!$A$3:$A$202,0)),""))</f>
        <v/>
      </c>
      <c r="G862" s="11"/>
      <c r="H862" s="15"/>
      <c r="I862" s="16" t="str">
        <f aca="false">IF($A862="","",SUMIFS(반납내역!$D$3:$D$1502,반납내역!$B$3:$B$1502,$A862))</f>
        <v/>
      </c>
      <c r="J862" s="16" t="str">
        <f aca="false">IF($A862="","",IF($G862="","",$G862-$I862))</f>
        <v/>
      </c>
      <c r="K862" s="17" t="str">
        <f aca="true">IF(OR($A862="",$J862="",$J862&lt;=0,$H862=""),"",TODAY()-$H862)</f>
        <v/>
      </c>
      <c r="L862" s="14" t="str">
        <f aca="false">IF($A862="","",IF($G862="","",IF($J862&lt;=0,"반납완료",IF($I862&gt;0,"부분반납","미반납"))))</f>
        <v/>
      </c>
    </row>
    <row r="863" customFormat="false" ht="15" hidden="false" customHeight="false" outlineLevel="0" collapsed="false">
      <c r="A863" s="14" t="str">
        <f aca="false">IF($B863="","",TEXT($B863,"yymmdd")&amp;"-"&amp;TEXT(COUNTIFS($B$3:$B863,$B863),"00"))</f>
        <v/>
      </c>
      <c r="B863" s="15"/>
      <c r="C863" s="9"/>
      <c r="D863" s="10"/>
      <c r="E863" s="14" t="str">
        <f aca="false">IF($D863="","",IFERROR(INDEX(품목목록!$B$3:$B$202,MATCH($D863,품목목록!$A$3:$A$202,0)),"미등록품번"))</f>
        <v/>
      </c>
      <c r="F863" s="14" t="str">
        <f aca="false">IF($D863="","",IFERROR(INDEX(품목목록!$D$3:$D$202,MATCH($D863,품목목록!$A$3:$A$202,0)),""))</f>
        <v/>
      </c>
      <c r="G863" s="11"/>
      <c r="H863" s="15"/>
      <c r="I863" s="16" t="str">
        <f aca="false">IF($A863="","",SUMIFS(반납내역!$D$3:$D$1502,반납내역!$B$3:$B$1502,$A863))</f>
        <v/>
      </c>
      <c r="J863" s="16" t="str">
        <f aca="false">IF($A863="","",IF($G863="","",$G863-$I863))</f>
        <v/>
      </c>
      <c r="K863" s="17" t="str">
        <f aca="true">IF(OR($A863="",$J863="",$J863&lt;=0,$H863=""),"",TODAY()-$H863)</f>
        <v/>
      </c>
      <c r="L863" s="14" t="str">
        <f aca="false">IF($A863="","",IF($G863="","",IF($J863&lt;=0,"반납완료",IF($I863&gt;0,"부분반납","미반납"))))</f>
        <v/>
      </c>
    </row>
    <row r="864" customFormat="false" ht="15" hidden="false" customHeight="false" outlineLevel="0" collapsed="false">
      <c r="A864" s="14" t="str">
        <f aca="false">IF($B864="","",TEXT($B864,"yymmdd")&amp;"-"&amp;TEXT(COUNTIFS($B$3:$B864,$B864),"00"))</f>
        <v/>
      </c>
      <c r="B864" s="15"/>
      <c r="C864" s="9"/>
      <c r="D864" s="10"/>
      <c r="E864" s="14" t="str">
        <f aca="false">IF($D864="","",IFERROR(INDEX(품목목록!$B$3:$B$202,MATCH($D864,품목목록!$A$3:$A$202,0)),"미등록품번"))</f>
        <v/>
      </c>
      <c r="F864" s="14" t="str">
        <f aca="false">IF($D864="","",IFERROR(INDEX(품목목록!$D$3:$D$202,MATCH($D864,품목목록!$A$3:$A$202,0)),""))</f>
        <v/>
      </c>
      <c r="G864" s="11"/>
      <c r="H864" s="15"/>
      <c r="I864" s="16" t="str">
        <f aca="false">IF($A864="","",SUMIFS(반납내역!$D$3:$D$1502,반납내역!$B$3:$B$1502,$A864))</f>
        <v/>
      </c>
      <c r="J864" s="16" t="str">
        <f aca="false">IF($A864="","",IF($G864="","",$G864-$I864))</f>
        <v/>
      </c>
      <c r="K864" s="17" t="str">
        <f aca="true">IF(OR($A864="",$J864="",$J864&lt;=0,$H864=""),"",TODAY()-$H864)</f>
        <v/>
      </c>
      <c r="L864" s="14" t="str">
        <f aca="false">IF($A864="","",IF($G864="","",IF($J864&lt;=0,"반납완료",IF($I864&gt;0,"부분반납","미반납"))))</f>
        <v/>
      </c>
    </row>
    <row r="865" customFormat="false" ht="15" hidden="false" customHeight="false" outlineLevel="0" collapsed="false">
      <c r="A865" s="14" t="str">
        <f aca="false">IF($B865="","",TEXT($B865,"yymmdd")&amp;"-"&amp;TEXT(COUNTIFS($B$3:$B865,$B865),"00"))</f>
        <v/>
      </c>
      <c r="B865" s="15"/>
      <c r="C865" s="9"/>
      <c r="D865" s="10"/>
      <c r="E865" s="14" t="str">
        <f aca="false">IF($D865="","",IFERROR(INDEX(품목목록!$B$3:$B$202,MATCH($D865,품목목록!$A$3:$A$202,0)),"미등록품번"))</f>
        <v/>
      </c>
      <c r="F865" s="14" t="str">
        <f aca="false">IF($D865="","",IFERROR(INDEX(품목목록!$D$3:$D$202,MATCH($D865,품목목록!$A$3:$A$202,0)),""))</f>
        <v/>
      </c>
      <c r="G865" s="11"/>
      <c r="H865" s="15"/>
      <c r="I865" s="16" t="str">
        <f aca="false">IF($A865="","",SUMIFS(반납내역!$D$3:$D$1502,반납내역!$B$3:$B$1502,$A865))</f>
        <v/>
      </c>
      <c r="J865" s="16" t="str">
        <f aca="false">IF($A865="","",IF($G865="","",$G865-$I865))</f>
        <v/>
      </c>
      <c r="K865" s="17" t="str">
        <f aca="true">IF(OR($A865="",$J865="",$J865&lt;=0,$H865=""),"",TODAY()-$H865)</f>
        <v/>
      </c>
      <c r="L865" s="14" t="str">
        <f aca="false">IF($A865="","",IF($G865="","",IF($J865&lt;=0,"반납완료",IF($I865&gt;0,"부분반납","미반납"))))</f>
        <v/>
      </c>
    </row>
    <row r="866" customFormat="false" ht="15" hidden="false" customHeight="false" outlineLevel="0" collapsed="false">
      <c r="A866" s="14" t="str">
        <f aca="false">IF($B866="","",TEXT($B866,"yymmdd")&amp;"-"&amp;TEXT(COUNTIFS($B$3:$B866,$B866),"00"))</f>
        <v/>
      </c>
      <c r="B866" s="15"/>
      <c r="C866" s="9"/>
      <c r="D866" s="10"/>
      <c r="E866" s="14" t="str">
        <f aca="false">IF($D866="","",IFERROR(INDEX(품목목록!$B$3:$B$202,MATCH($D866,품목목록!$A$3:$A$202,0)),"미등록품번"))</f>
        <v/>
      </c>
      <c r="F866" s="14" t="str">
        <f aca="false">IF($D866="","",IFERROR(INDEX(품목목록!$D$3:$D$202,MATCH($D866,품목목록!$A$3:$A$202,0)),""))</f>
        <v/>
      </c>
      <c r="G866" s="11"/>
      <c r="H866" s="15"/>
      <c r="I866" s="16" t="str">
        <f aca="false">IF($A866="","",SUMIFS(반납내역!$D$3:$D$1502,반납내역!$B$3:$B$1502,$A866))</f>
        <v/>
      </c>
      <c r="J866" s="16" t="str">
        <f aca="false">IF($A866="","",IF($G866="","",$G866-$I866))</f>
        <v/>
      </c>
      <c r="K866" s="17" t="str">
        <f aca="true">IF(OR($A866="",$J866="",$J866&lt;=0,$H866=""),"",TODAY()-$H866)</f>
        <v/>
      </c>
      <c r="L866" s="14" t="str">
        <f aca="false">IF($A866="","",IF($G866="","",IF($J866&lt;=0,"반납완료",IF($I866&gt;0,"부분반납","미반납"))))</f>
        <v/>
      </c>
    </row>
    <row r="867" customFormat="false" ht="15" hidden="false" customHeight="false" outlineLevel="0" collapsed="false">
      <c r="A867" s="14" t="str">
        <f aca="false">IF($B867="","",TEXT($B867,"yymmdd")&amp;"-"&amp;TEXT(COUNTIFS($B$3:$B867,$B867),"00"))</f>
        <v/>
      </c>
      <c r="B867" s="15"/>
      <c r="C867" s="9"/>
      <c r="D867" s="10"/>
      <c r="E867" s="14" t="str">
        <f aca="false">IF($D867="","",IFERROR(INDEX(품목목록!$B$3:$B$202,MATCH($D867,품목목록!$A$3:$A$202,0)),"미등록품번"))</f>
        <v/>
      </c>
      <c r="F867" s="14" t="str">
        <f aca="false">IF($D867="","",IFERROR(INDEX(품목목록!$D$3:$D$202,MATCH($D867,품목목록!$A$3:$A$202,0)),""))</f>
        <v/>
      </c>
      <c r="G867" s="11"/>
      <c r="H867" s="15"/>
      <c r="I867" s="16" t="str">
        <f aca="false">IF($A867="","",SUMIFS(반납내역!$D$3:$D$1502,반납내역!$B$3:$B$1502,$A867))</f>
        <v/>
      </c>
      <c r="J867" s="16" t="str">
        <f aca="false">IF($A867="","",IF($G867="","",$G867-$I867))</f>
        <v/>
      </c>
      <c r="K867" s="17" t="str">
        <f aca="true">IF(OR($A867="",$J867="",$J867&lt;=0,$H867=""),"",TODAY()-$H867)</f>
        <v/>
      </c>
      <c r="L867" s="14" t="str">
        <f aca="false">IF($A867="","",IF($G867="","",IF($J867&lt;=0,"반납완료",IF($I867&gt;0,"부분반납","미반납"))))</f>
        <v/>
      </c>
    </row>
    <row r="868" customFormat="false" ht="15" hidden="false" customHeight="false" outlineLevel="0" collapsed="false">
      <c r="A868" s="14" t="str">
        <f aca="false">IF($B868="","",TEXT($B868,"yymmdd")&amp;"-"&amp;TEXT(COUNTIFS($B$3:$B868,$B868),"00"))</f>
        <v/>
      </c>
      <c r="B868" s="15"/>
      <c r="C868" s="9"/>
      <c r="D868" s="10"/>
      <c r="E868" s="14" t="str">
        <f aca="false">IF($D868="","",IFERROR(INDEX(품목목록!$B$3:$B$202,MATCH($D868,품목목록!$A$3:$A$202,0)),"미등록품번"))</f>
        <v/>
      </c>
      <c r="F868" s="14" t="str">
        <f aca="false">IF($D868="","",IFERROR(INDEX(품목목록!$D$3:$D$202,MATCH($D868,품목목록!$A$3:$A$202,0)),""))</f>
        <v/>
      </c>
      <c r="G868" s="11"/>
      <c r="H868" s="15"/>
      <c r="I868" s="16" t="str">
        <f aca="false">IF($A868="","",SUMIFS(반납내역!$D$3:$D$1502,반납내역!$B$3:$B$1502,$A868))</f>
        <v/>
      </c>
      <c r="J868" s="16" t="str">
        <f aca="false">IF($A868="","",IF($G868="","",$G868-$I868))</f>
        <v/>
      </c>
      <c r="K868" s="17" t="str">
        <f aca="true">IF(OR($A868="",$J868="",$J868&lt;=0,$H868=""),"",TODAY()-$H868)</f>
        <v/>
      </c>
      <c r="L868" s="14" t="str">
        <f aca="false">IF($A868="","",IF($G868="","",IF($J868&lt;=0,"반납완료",IF($I868&gt;0,"부분반납","미반납"))))</f>
        <v/>
      </c>
    </row>
    <row r="869" customFormat="false" ht="15" hidden="false" customHeight="false" outlineLevel="0" collapsed="false">
      <c r="A869" s="14" t="str">
        <f aca="false">IF($B869="","",TEXT($B869,"yymmdd")&amp;"-"&amp;TEXT(COUNTIFS($B$3:$B869,$B869),"00"))</f>
        <v/>
      </c>
      <c r="B869" s="15"/>
      <c r="C869" s="9"/>
      <c r="D869" s="10"/>
      <c r="E869" s="14" t="str">
        <f aca="false">IF($D869="","",IFERROR(INDEX(품목목록!$B$3:$B$202,MATCH($D869,품목목록!$A$3:$A$202,0)),"미등록품번"))</f>
        <v/>
      </c>
      <c r="F869" s="14" t="str">
        <f aca="false">IF($D869="","",IFERROR(INDEX(품목목록!$D$3:$D$202,MATCH($D869,품목목록!$A$3:$A$202,0)),""))</f>
        <v/>
      </c>
      <c r="G869" s="11"/>
      <c r="H869" s="15"/>
      <c r="I869" s="16" t="str">
        <f aca="false">IF($A869="","",SUMIFS(반납내역!$D$3:$D$1502,반납내역!$B$3:$B$1502,$A869))</f>
        <v/>
      </c>
      <c r="J869" s="16" t="str">
        <f aca="false">IF($A869="","",IF($G869="","",$G869-$I869))</f>
        <v/>
      </c>
      <c r="K869" s="17" t="str">
        <f aca="true">IF(OR($A869="",$J869="",$J869&lt;=0,$H869=""),"",TODAY()-$H869)</f>
        <v/>
      </c>
      <c r="L869" s="14" t="str">
        <f aca="false">IF($A869="","",IF($G869="","",IF($J869&lt;=0,"반납완료",IF($I869&gt;0,"부분반납","미반납"))))</f>
        <v/>
      </c>
    </row>
    <row r="870" customFormat="false" ht="15" hidden="false" customHeight="false" outlineLevel="0" collapsed="false">
      <c r="A870" s="14" t="str">
        <f aca="false">IF($B870="","",TEXT($B870,"yymmdd")&amp;"-"&amp;TEXT(COUNTIFS($B$3:$B870,$B870),"00"))</f>
        <v/>
      </c>
      <c r="B870" s="15"/>
      <c r="C870" s="9"/>
      <c r="D870" s="10"/>
      <c r="E870" s="14" t="str">
        <f aca="false">IF($D870="","",IFERROR(INDEX(품목목록!$B$3:$B$202,MATCH($D870,품목목록!$A$3:$A$202,0)),"미등록품번"))</f>
        <v/>
      </c>
      <c r="F870" s="14" t="str">
        <f aca="false">IF($D870="","",IFERROR(INDEX(품목목록!$D$3:$D$202,MATCH($D870,품목목록!$A$3:$A$202,0)),""))</f>
        <v/>
      </c>
      <c r="G870" s="11"/>
      <c r="H870" s="15"/>
      <c r="I870" s="16" t="str">
        <f aca="false">IF($A870="","",SUMIFS(반납내역!$D$3:$D$1502,반납내역!$B$3:$B$1502,$A870))</f>
        <v/>
      </c>
      <c r="J870" s="16" t="str">
        <f aca="false">IF($A870="","",IF($G870="","",$G870-$I870))</f>
        <v/>
      </c>
      <c r="K870" s="17" t="str">
        <f aca="true">IF(OR($A870="",$J870="",$J870&lt;=0,$H870=""),"",TODAY()-$H870)</f>
        <v/>
      </c>
      <c r="L870" s="14" t="str">
        <f aca="false">IF($A870="","",IF($G870="","",IF($J870&lt;=0,"반납완료",IF($I870&gt;0,"부분반납","미반납"))))</f>
        <v/>
      </c>
    </row>
    <row r="871" customFormat="false" ht="15" hidden="false" customHeight="false" outlineLevel="0" collapsed="false">
      <c r="A871" s="14" t="str">
        <f aca="false">IF($B871="","",TEXT($B871,"yymmdd")&amp;"-"&amp;TEXT(COUNTIFS($B$3:$B871,$B871),"00"))</f>
        <v/>
      </c>
      <c r="B871" s="15"/>
      <c r="C871" s="9"/>
      <c r="D871" s="10"/>
      <c r="E871" s="14" t="str">
        <f aca="false">IF($D871="","",IFERROR(INDEX(품목목록!$B$3:$B$202,MATCH($D871,품목목록!$A$3:$A$202,0)),"미등록품번"))</f>
        <v/>
      </c>
      <c r="F871" s="14" t="str">
        <f aca="false">IF($D871="","",IFERROR(INDEX(품목목록!$D$3:$D$202,MATCH($D871,품목목록!$A$3:$A$202,0)),""))</f>
        <v/>
      </c>
      <c r="G871" s="11"/>
      <c r="H871" s="15"/>
      <c r="I871" s="16" t="str">
        <f aca="false">IF($A871="","",SUMIFS(반납내역!$D$3:$D$1502,반납내역!$B$3:$B$1502,$A871))</f>
        <v/>
      </c>
      <c r="J871" s="16" t="str">
        <f aca="false">IF($A871="","",IF($G871="","",$G871-$I871))</f>
        <v/>
      </c>
      <c r="K871" s="17" t="str">
        <f aca="true">IF(OR($A871="",$J871="",$J871&lt;=0,$H871=""),"",TODAY()-$H871)</f>
        <v/>
      </c>
      <c r="L871" s="14" t="str">
        <f aca="false">IF($A871="","",IF($G871="","",IF($J871&lt;=0,"반납완료",IF($I871&gt;0,"부분반납","미반납"))))</f>
        <v/>
      </c>
    </row>
    <row r="872" customFormat="false" ht="15" hidden="false" customHeight="false" outlineLevel="0" collapsed="false">
      <c r="A872" s="14" t="str">
        <f aca="false">IF($B872="","",TEXT($B872,"yymmdd")&amp;"-"&amp;TEXT(COUNTIFS($B$3:$B872,$B872),"00"))</f>
        <v/>
      </c>
      <c r="B872" s="15"/>
      <c r="C872" s="9"/>
      <c r="D872" s="10"/>
      <c r="E872" s="14" t="str">
        <f aca="false">IF($D872="","",IFERROR(INDEX(품목목록!$B$3:$B$202,MATCH($D872,품목목록!$A$3:$A$202,0)),"미등록품번"))</f>
        <v/>
      </c>
      <c r="F872" s="14" t="str">
        <f aca="false">IF($D872="","",IFERROR(INDEX(품목목록!$D$3:$D$202,MATCH($D872,품목목록!$A$3:$A$202,0)),""))</f>
        <v/>
      </c>
      <c r="G872" s="11"/>
      <c r="H872" s="15"/>
      <c r="I872" s="16" t="str">
        <f aca="false">IF($A872="","",SUMIFS(반납내역!$D$3:$D$1502,반납내역!$B$3:$B$1502,$A872))</f>
        <v/>
      </c>
      <c r="J872" s="16" t="str">
        <f aca="false">IF($A872="","",IF($G872="","",$G872-$I872))</f>
        <v/>
      </c>
      <c r="K872" s="17" t="str">
        <f aca="true">IF(OR($A872="",$J872="",$J872&lt;=0,$H872=""),"",TODAY()-$H872)</f>
        <v/>
      </c>
      <c r="L872" s="14" t="str">
        <f aca="false">IF($A872="","",IF($G872="","",IF($J872&lt;=0,"반납완료",IF($I872&gt;0,"부분반납","미반납"))))</f>
        <v/>
      </c>
    </row>
    <row r="873" customFormat="false" ht="15" hidden="false" customHeight="false" outlineLevel="0" collapsed="false">
      <c r="A873" s="14" t="str">
        <f aca="false">IF($B873="","",TEXT($B873,"yymmdd")&amp;"-"&amp;TEXT(COUNTIFS($B$3:$B873,$B873),"00"))</f>
        <v/>
      </c>
      <c r="B873" s="15"/>
      <c r="C873" s="9"/>
      <c r="D873" s="10"/>
      <c r="E873" s="14" t="str">
        <f aca="false">IF($D873="","",IFERROR(INDEX(품목목록!$B$3:$B$202,MATCH($D873,품목목록!$A$3:$A$202,0)),"미등록품번"))</f>
        <v/>
      </c>
      <c r="F873" s="14" t="str">
        <f aca="false">IF($D873="","",IFERROR(INDEX(품목목록!$D$3:$D$202,MATCH($D873,품목목록!$A$3:$A$202,0)),""))</f>
        <v/>
      </c>
      <c r="G873" s="11"/>
      <c r="H873" s="15"/>
      <c r="I873" s="16" t="str">
        <f aca="false">IF($A873="","",SUMIFS(반납내역!$D$3:$D$1502,반납내역!$B$3:$B$1502,$A873))</f>
        <v/>
      </c>
      <c r="J873" s="16" t="str">
        <f aca="false">IF($A873="","",IF($G873="","",$G873-$I873))</f>
        <v/>
      </c>
      <c r="K873" s="17" t="str">
        <f aca="true">IF(OR($A873="",$J873="",$J873&lt;=0,$H873=""),"",TODAY()-$H873)</f>
        <v/>
      </c>
      <c r="L873" s="14" t="str">
        <f aca="false">IF($A873="","",IF($G873="","",IF($J873&lt;=0,"반납완료",IF($I873&gt;0,"부분반납","미반납"))))</f>
        <v/>
      </c>
    </row>
    <row r="874" customFormat="false" ht="15" hidden="false" customHeight="false" outlineLevel="0" collapsed="false">
      <c r="A874" s="14" t="str">
        <f aca="false">IF($B874="","",TEXT($B874,"yymmdd")&amp;"-"&amp;TEXT(COUNTIFS($B$3:$B874,$B874),"00"))</f>
        <v/>
      </c>
      <c r="B874" s="15"/>
      <c r="C874" s="9"/>
      <c r="D874" s="10"/>
      <c r="E874" s="14" t="str">
        <f aca="false">IF($D874="","",IFERROR(INDEX(품목목록!$B$3:$B$202,MATCH($D874,품목목록!$A$3:$A$202,0)),"미등록품번"))</f>
        <v/>
      </c>
      <c r="F874" s="14" t="str">
        <f aca="false">IF($D874="","",IFERROR(INDEX(품목목록!$D$3:$D$202,MATCH($D874,품목목록!$A$3:$A$202,0)),""))</f>
        <v/>
      </c>
      <c r="G874" s="11"/>
      <c r="H874" s="15"/>
      <c r="I874" s="16" t="str">
        <f aca="false">IF($A874="","",SUMIFS(반납내역!$D$3:$D$1502,반납내역!$B$3:$B$1502,$A874))</f>
        <v/>
      </c>
      <c r="J874" s="16" t="str">
        <f aca="false">IF($A874="","",IF($G874="","",$G874-$I874))</f>
        <v/>
      </c>
      <c r="K874" s="17" t="str">
        <f aca="true">IF(OR($A874="",$J874="",$J874&lt;=0,$H874=""),"",TODAY()-$H874)</f>
        <v/>
      </c>
      <c r="L874" s="14" t="str">
        <f aca="false">IF($A874="","",IF($G874="","",IF($J874&lt;=0,"반납완료",IF($I874&gt;0,"부분반납","미반납"))))</f>
        <v/>
      </c>
    </row>
    <row r="875" customFormat="false" ht="15" hidden="false" customHeight="false" outlineLevel="0" collapsed="false">
      <c r="A875" s="14" t="str">
        <f aca="false">IF($B875="","",TEXT($B875,"yymmdd")&amp;"-"&amp;TEXT(COUNTIFS($B$3:$B875,$B875),"00"))</f>
        <v/>
      </c>
      <c r="B875" s="15"/>
      <c r="C875" s="9"/>
      <c r="D875" s="10"/>
      <c r="E875" s="14" t="str">
        <f aca="false">IF($D875="","",IFERROR(INDEX(품목목록!$B$3:$B$202,MATCH($D875,품목목록!$A$3:$A$202,0)),"미등록품번"))</f>
        <v/>
      </c>
      <c r="F875" s="14" t="str">
        <f aca="false">IF($D875="","",IFERROR(INDEX(품목목록!$D$3:$D$202,MATCH($D875,품목목록!$A$3:$A$202,0)),""))</f>
        <v/>
      </c>
      <c r="G875" s="11"/>
      <c r="H875" s="15"/>
      <c r="I875" s="16" t="str">
        <f aca="false">IF($A875="","",SUMIFS(반납내역!$D$3:$D$1502,반납내역!$B$3:$B$1502,$A875))</f>
        <v/>
      </c>
      <c r="J875" s="16" t="str">
        <f aca="false">IF($A875="","",IF($G875="","",$G875-$I875))</f>
        <v/>
      </c>
      <c r="K875" s="17" t="str">
        <f aca="true">IF(OR($A875="",$J875="",$J875&lt;=0,$H875=""),"",TODAY()-$H875)</f>
        <v/>
      </c>
      <c r="L875" s="14" t="str">
        <f aca="false">IF($A875="","",IF($G875="","",IF($J875&lt;=0,"반납완료",IF($I875&gt;0,"부분반납","미반납"))))</f>
        <v/>
      </c>
    </row>
    <row r="876" customFormat="false" ht="15" hidden="false" customHeight="false" outlineLevel="0" collapsed="false">
      <c r="A876" s="14" t="str">
        <f aca="false">IF($B876="","",TEXT($B876,"yymmdd")&amp;"-"&amp;TEXT(COUNTIFS($B$3:$B876,$B876),"00"))</f>
        <v/>
      </c>
      <c r="B876" s="15"/>
      <c r="C876" s="9"/>
      <c r="D876" s="10"/>
      <c r="E876" s="14" t="str">
        <f aca="false">IF($D876="","",IFERROR(INDEX(품목목록!$B$3:$B$202,MATCH($D876,품목목록!$A$3:$A$202,0)),"미등록품번"))</f>
        <v/>
      </c>
      <c r="F876" s="14" t="str">
        <f aca="false">IF($D876="","",IFERROR(INDEX(품목목록!$D$3:$D$202,MATCH($D876,품목목록!$A$3:$A$202,0)),""))</f>
        <v/>
      </c>
      <c r="G876" s="11"/>
      <c r="H876" s="15"/>
      <c r="I876" s="16" t="str">
        <f aca="false">IF($A876="","",SUMIFS(반납내역!$D$3:$D$1502,반납내역!$B$3:$B$1502,$A876))</f>
        <v/>
      </c>
      <c r="J876" s="16" t="str">
        <f aca="false">IF($A876="","",IF($G876="","",$G876-$I876))</f>
        <v/>
      </c>
      <c r="K876" s="17" t="str">
        <f aca="true">IF(OR($A876="",$J876="",$J876&lt;=0,$H876=""),"",TODAY()-$H876)</f>
        <v/>
      </c>
      <c r="L876" s="14" t="str">
        <f aca="false">IF($A876="","",IF($G876="","",IF($J876&lt;=0,"반납완료",IF($I876&gt;0,"부분반납","미반납"))))</f>
        <v/>
      </c>
    </row>
    <row r="877" customFormat="false" ht="15" hidden="false" customHeight="false" outlineLevel="0" collapsed="false">
      <c r="A877" s="14" t="str">
        <f aca="false">IF($B877="","",TEXT($B877,"yymmdd")&amp;"-"&amp;TEXT(COUNTIFS($B$3:$B877,$B877),"00"))</f>
        <v/>
      </c>
      <c r="B877" s="15"/>
      <c r="C877" s="9"/>
      <c r="D877" s="10"/>
      <c r="E877" s="14" t="str">
        <f aca="false">IF($D877="","",IFERROR(INDEX(품목목록!$B$3:$B$202,MATCH($D877,품목목록!$A$3:$A$202,0)),"미등록품번"))</f>
        <v/>
      </c>
      <c r="F877" s="14" t="str">
        <f aca="false">IF($D877="","",IFERROR(INDEX(품목목록!$D$3:$D$202,MATCH($D877,품목목록!$A$3:$A$202,0)),""))</f>
        <v/>
      </c>
      <c r="G877" s="11"/>
      <c r="H877" s="15"/>
      <c r="I877" s="16" t="str">
        <f aca="false">IF($A877="","",SUMIFS(반납내역!$D$3:$D$1502,반납내역!$B$3:$B$1502,$A877))</f>
        <v/>
      </c>
      <c r="J877" s="16" t="str">
        <f aca="false">IF($A877="","",IF($G877="","",$G877-$I877))</f>
        <v/>
      </c>
      <c r="K877" s="17" t="str">
        <f aca="true">IF(OR($A877="",$J877="",$J877&lt;=0,$H877=""),"",TODAY()-$H877)</f>
        <v/>
      </c>
      <c r="L877" s="14" t="str">
        <f aca="false">IF($A877="","",IF($G877="","",IF($J877&lt;=0,"반납완료",IF($I877&gt;0,"부분반납","미반납"))))</f>
        <v/>
      </c>
    </row>
    <row r="878" customFormat="false" ht="15" hidden="false" customHeight="false" outlineLevel="0" collapsed="false">
      <c r="A878" s="14" t="str">
        <f aca="false">IF($B878="","",TEXT($B878,"yymmdd")&amp;"-"&amp;TEXT(COUNTIFS($B$3:$B878,$B878),"00"))</f>
        <v/>
      </c>
      <c r="B878" s="15"/>
      <c r="C878" s="9"/>
      <c r="D878" s="10"/>
      <c r="E878" s="14" t="str">
        <f aca="false">IF($D878="","",IFERROR(INDEX(품목목록!$B$3:$B$202,MATCH($D878,품목목록!$A$3:$A$202,0)),"미등록품번"))</f>
        <v/>
      </c>
      <c r="F878" s="14" t="str">
        <f aca="false">IF($D878="","",IFERROR(INDEX(품목목록!$D$3:$D$202,MATCH($D878,품목목록!$A$3:$A$202,0)),""))</f>
        <v/>
      </c>
      <c r="G878" s="11"/>
      <c r="H878" s="15"/>
      <c r="I878" s="16" t="str">
        <f aca="false">IF($A878="","",SUMIFS(반납내역!$D$3:$D$1502,반납내역!$B$3:$B$1502,$A878))</f>
        <v/>
      </c>
      <c r="J878" s="16" t="str">
        <f aca="false">IF($A878="","",IF($G878="","",$G878-$I878))</f>
        <v/>
      </c>
      <c r="K878" s="17" t="str">
        <f aca="true">IF(OR($A878="",$J878="",$J878&lt;=0,$H878=""),"",TODAY()-$H878)</f>
        <v/>
      </c>
      <c r="L878" s="14" t="str">
        <f aca="false">IF($A878="","",IF($G878="","",IF($J878&lt;=0,"반납완료",IF($I878&gt;0,"부분반납","미반납"))))</f>
        <v/>
      </c>
    </row>
    <row r="879" customFormat="false" ht="15" hidden="false" customHeight="false" outlineLevel="0" collapsed="false">
      <c r="A879" s="14" t="str">
        <f aca="false">IF($B879="","",TEXT($B879,"yymmdd")&amp;"-"&amp;TEXT(COUNTIFS($B$3:$B879,$B879),"00"))</f>
        <v/>
      </c>
      <c r="B879" s="15"/>
      <c r="C879" s="9"/>
      <c r="D879" s="10"/>
      <c r="E879" s="14" t="str">
        <f aca="false">IF($D879="","",IFERROR(INDEX(품목목록!$B$3:$B$202,MATCH($D879,품목목록!$A$3:$A$202,0)),"미등록품번"))</f>
        <v/>
      </c>
      <c r="F879" s="14" t="str">
        <f aca="false">IF($D879="","",IFERROR(INDEX(품목목록!$D$3:$D$202,MATCH($D879,품목목록!$A$3:$A$202,0)),""))</f>
        <v/>
      </c>
      <c r="G879" s="11"/>
      <c r="H879" s="15"/>
      <c r="I879" s="16" t="str">
        <f aca="false">IF($A879="","",SUMIFS(반납내역!$D$3:$D$1502,반납내역!$B$3:$B$1502,$A879))</f>
        <v/>
      </c>
      <c r="J879" s="16" t="str">
        <f aca="false">IF($A879="","",IF($G879="","",$G879-$I879))</f>
        <v/>
      </c>
      <c r="K879" s="17" t="str">
        <f aca="true">IF(OR($A879="",$J879="",$J879&lt;=0,$H879=""),"",TODAY()-$H879)</f>
        <v/>
      </c>
      <c r="L879" s="14" t="str">
        <f aca="false">IF($A879="","",IF($G879="","",IF($J879&lt;=0,"반납완료",IF($I879&gt;0,"부분반납","미반납"))))</f>
        <v/>
      </c>
    </row>
    <row r="880" customFormat="false" ht="15" hidden="false" customHeight="false" outlineLevel="0" collapsed="false">
      <c r="A880" s="14" t="str">
        <f aca="false">IF($B880="","",TEXT($B880,"yymmdd")&amp;"-"&amp;TEXT(COUNTIFS($B$3:$B880,$B880),"00"))</f>
        <v/>
      </c>
      <c r="B880" s="15"/>
      <c r="C880" s="9"/>
      <c r="D880" s="10"/>
      <c r="E880" s="14" t="str">
        <f aca="false">IF($D880="","",IFERROR(INDEX(품목목록!$B$3:$B$202,MATCH($D880,품목목록!$A$3:$A$202,0)),"미등록품번"))</f>
        <v/>
      </c>
      <c r="F880" s="14" t="str">
        <f aca="false">IF($D880="","",IFERROR(INDEX(품목목록!$D$3:$D$202,MATCH($D880,품목목록!$A$3:$A$202,0)),""))</f>
        <v/>
      </c>
      <c r="G880" s="11"/>
      <c r="H880" s="15"/>
      <c r="I880" s="16" t="str">
        <f aca="false">IF($A880="","",SUMIFS(반납내역!$D$3:$D$1502,반납내역!$B$3:$B$1502,$A880))</f>
        <v/>
      </c>
      <c r="J880" s="16" t="str">
        <f aca="false">IF($A880="","",IF($G880="","",$G880-$I880))</f>
        <v/>
      </c>
      <c r="K880" s="17" t="str">
        <f aca="true">IF(OR($A880="",$J880="",$J880&lt;=0,$H880=""),"",TODAY()-$H880)</f>
        <v/>
      </c>
      <c r="L880" s="14" t="str">
        <f aca="false">IF($A880="","",IF($G880="","",IF($J880&lt;=0,"반납완료",IF($I880&gt;0,"부분반납","미반납"))))</f>
        <v/>
      </c>
    </row>
    <row r="881" customFormat="false" ht="15" hidden="false" customHeight="false" outlineLevel="0" collapsed="false">
      <c r="A881" s="14" t="str">
        <f aca="false">IF($B881="","",TEXT($B881,"yymmdd")&amp;"-"&amp;TEXT(COUNTIFS($B$3:$B881,$B881),"00"))</f>
        <v/>
      </c>
      <c r="B881" s="15"/>
      <c r="C881" s="9"/>
      <c r="D881" s="10"/>
      <c r="E881" s="14" t="str">
        <f aca="false">IF($D881="","",IFERROR(INDEX(품목목록!$B$3:$B$202,MATCH($D881,품목목록!$A$3:$A$202,0)),"미등록품번"))</f>
        <v/>
      </c>
      <c r="F881" s="14" t="str">
        <f aca="false">IF($D881="","",IFERROR(INDEX(품목목록!$D$3:$D$202,MATCH($D881,품목목록!$A$3:$A$202,0)),""))</f>
        <v/>
      </c>
      <c r="G881" s="11"/>
      <c r="H881" s="15"/>
      <c r="I881" s="16" t="str">
        <f aca="false">IF($A881="","",SUMIFS(반납내역!$D$3:$D$1502,반납내역!$B$3:$B$1502,$A881))</f>
        <v/>
      </c>
      <c r="J881" s="16" t="str">
        <f aca="false">IF($A881="","",IF($G881="","",$G881-$I881))</f>
        <v/>
      </c>
      <c r="K881" s="17" t="str">
        <f aca="true">IF(OR($A881="",$J881="",$J881&lt;=0,$H881=""),"",TODAY()-$H881)</f>
        <v/>
      </c>
      <c r="L881" s="14" t="str">
        <f aca="false">IF($A881="","",IF($G881="","",IF($J881&lt;=0,"반납완료",IF($I881&gt;0,"부분반납","미반납"))))</f>
        <v/>
      </c>
    </row>
    <row r="882" customFormat="false" ht="15" hidden="false" customHeight="false" outlineLevel="0" collapsed="false">
      <c r="A882" s="14" t="str">
        <f aca="false">IF($B882="","",TEXT($B882,"yymmdd")&amp;"-"&amp;TEXT(COUNTIFS($B$3:$B882,$B882),"00"))</f>
        <v/>
      </c>
      <c r="B882" s="15"/>
      <c r="C882" s="9"/>
      <c r="D882" s="10"/>
      <c r="E882" s="14" t="str">
        <f aca="false">IF($D882="","",IFERROR(INDEX(품목목록!$B$3:$B$202,MATCH($D882,품목목록!$A$3:$A$202,0)),"미등록품번"))</f>
        <v/>
      </c>
      <c r="F882" s="14" t="str">
        <f aca="false">IF($D882="","",IFERROR(INDEX(품목목록!$D$3:$D$202,MATCH($D882,품목목록!$A$3:$A$202,0)),""))</f>
        <v/>
      </c>
      <c r="G882" s="11"/>
      <c r="H882" s="15"/>
      <c r="I882" s="16" t="str">
        <f aca="false">IF($A882="","",SUMIFS(반납내역!$D$3:$D$1502,반납내역!$B$3:$B$1502,$A882))</f>
        <v/>
      </c>
      <c r="J882" s="16" t="str">
        <f aca="false">IF($A882="","",IF($G882="","",$G882-$I882))</f>
        <v/>
      </c>
      <c r="K882" s="17" t="str">
        <f aca="true">IF(OR($A882="",$J882="",$J882&lt;=0,$H882=""),"",TODAY()-$H882)</f>
        <v/>
      </c>
      <c r="L882" s="14" t="str">
        <f aca="false">IF($A882="","",IF($G882="","",IF($J882&lt;=0,"반납완료",IF($I882&gt;0,"부분반납","미반납"))))</f>
        <v/>
      </c>
    </row>
    <row r="883" customFormat="false" ht="15" hidden="false" customHeight="false" outlineLevel="0" collapsed="false">
      <c r="A883" s="14" t="str">
        <f aca="false">IF($B883="","",TEXT($B883,"yymmdd")&amp;"-"&amp;TEXT(COUNTIFS($B$3:$B883,$B883),"00"))</f>
        <v/>
      </c>
      <c r="B883" s="15"/>
      <c r="C883" s="9"/>
      <c r="D883" s="10"/>
      <c r="E883" s="14" t="str">
        <f aca="false">IF($D883="","",IFERROR(INDEX(품목목록!$B$3:$B$202,MATCH($D883,품목목록!$A$3:$A$202,0)),"미등록품번"))</f>
        <v/>
      </c>
      <c r="F883" s="14" t="str">
        <f aca="false">IF($D883="","",IFERROR(INDEX(품목목록!$D$3:$D$202,MATCH($D883,품목목록!$A$3:$A$202,0)),""))</f>
        <v/>
      </c>
      <c r="G883" s="11"/>
      <c r="H883" s="15"/>
      <c r="I883" s="16" t="str">
        <f aca="false">IF($A883="","",SUMIFS(반납내역!$D$3:$D$1502,반납내역!$B$3:$B$1502,$A883))</f>
        <v/>
      </c>
      <c r="J883" s="16" t="str">
        <f aca="false">IF($A883="","",IF($G883="","",$G883-$I883))</f>
        <v/>
      </c>
      <c r="K883" s="17" t="str">
        <f aca="true">IF(OR($A883="",$J883="",$J883&lt;=0,$H883=""),"",TODAY()-$H883)</f>
        <v/>
      </c>
      <c r="L883" s="14" t="str">
        <f aca="false">IF($A883="","",IF($G883="","",IF($J883&lt;=0,"반납완료",IF($I883&gt;0,"부분반납","미반납"))))</f>
        <v/>
      </c>
    </row>
    <row r="884" customFormat="false" ht="15" hidden="false" customHeight="false" outlineLevel="0" collapsed="false">
      <c r="A884" s="14" t="str">
        <f aca="false">IF($B884="","",TEXT($B884,"yymmdd")&amp;"-"&amp;TEXT(COUNTIFS($B$3:$B884,$B884),"00"))</f>
        <v/>
      </c>
      <c r="B884" s="15"/>
      <c r="C884" s="9"/>
      <c r="D884" s="10"/>
      <c r="E884" s="14" t="str">
        <f aca="false">IF($D884="","",IFERROR(INDEX(품목목록!$B$3:$B$202,MATCH($D884,품목목록!$A$3:$A$202,0)),"미등록품번"))</f>
        <v/>
      </c>
      <c r="F884" s="14" t="str">
        <f aca="false">IF($D884="","",IFERROR(INDEX(품목목록!$D$3:$D$202,MATCH($D884,품목목록!$A$3:$A$202,0)),""))</f>
        <v/>
      </c>
      <c r="G884" s="11"/>
      <c r="H884" s="15"/>
      <c r="I884" s="16" t="str">
        <f aca="false">IF($A884="","",SUMIFS(반납내역!$D$3:$D$1502,반납내역!$B$3:$B$1502,$A884))</f>
        <v/>
      </c>
      <c r="J884" s="16" t="str">
        <f aca="false">IF($A884="","",IF($G884="","",$G884-$I884))</f>
        <v/>
      </c>
      <c r="K884" s="17" t="str">
        <f aca="true">IF(OR($A884="",$J884="",$J884&lt;=0,$H884=""),"",TODAY()-$H884)</f>
        <v/>
      </c>
      <c r="L884" s="14" t="str">
        <f aca="false">IF($A884="","",IF($G884="","",IF($J884&lt;=0,"반납완료",IF($I884&gt;0,"부분반납","미반납"))))</f>
        <v/>
      </c>
    </row>
    <row r="885" customFormat="false" ht="15" hidden="false" customHeight="false" outlineLevel="0" collapsed="false">
      <c r="A885" s="14" t="str">
        <f aca="false">IF($B885="","",TEXT($B885,"yymmdd")&amp;"-"&amp;TEXT(COUNTIFS($B$3:$B885,$B885),"00"))</f>
        <v/>
      </c>
      <c r="B885" s="15"/>
      <c r="C885" s="9"/>
      <c r="D885" s="10"/>
      <c r="E885" s="14" t="str">
        <f aca="false">IF($D885="","",IFERROR(INDEX(품목목록!$B$3:$B$202,MATCH($D885,품목목록!$A$3:$A$202,0)),"미등록품번"))</f>
        <v/>
      </c>
      <c r="F885" s="14" t="str">
        <f aca="false">IF($D885="","",IFERROR(INDEX(품목목록!$D$3:$D$202,MATCH($D885,품목목록!$A$3:$A$202,0)),""))</f>
        <v/>
      </c>
      <c r="G885" s="11"/>
      <c r="H885" s="15"/>
      <c r="I885" s="16" t="str">
        <f aca="false">IF($A885="","",SUMIFS(반납내역!$D$3:$D$1502,반납내역!$B$3:$B$1502,$A885))</f>
        <v/>
      </c>
      <c r="J885" s="16" t="str">
        <f aca="false">IF($A885="","",IF($G885="","",$G885-$I885))</f>
        <v/>
      </c>
      <c r="K885" s="17" t="str">
        <f aca="true">IF(OR($A885="",$J885="",$J885&lt;=0,$H885=""),"",TODAY()-$H885)</f>
        <v/>
      </c>
      <c r="L885" s="14" t="str">
        <f aca="false">IF($A885="","",IF($G885="","",IF($J885&lt;=0,"반납완료",IF($I885&gt;0,"부분반납","미반납"))))</f>
        <v/>
      </c>
    </row>
    <row r="886" customFormat="false" ht="15" hidden="false" customHeight="false" outlineLevel="0" collapsed="false">
      <c r="A886" s="14" t="str">
        <f aca="false">IF($B886="","",TEXT($B886,"yymmdd")&amp;"-"&amp;TEXT(COUNTIFS($B$3:$B886,$B886),"00"))</f>
        <v/>
      </c>
      <c r="B886" s="15"/>
      <c r="C886" s="9"/>
      <c r="D886" s="10"/>
      <c r="E886" s="14" t="str">
        <f aca="false">IF($D886="","",IFERROR(INDEX(품목목록!$B$3:$B$202,MATCH($D886,품목목록!$A$3:$A$202,0)),"미등록품번"))</f>
        <v/>
      </c>
      <c r="F886" s="14" t="str">
        <f aca="false">IF($D886="","",IFERROR(INDEX(품목목록!$D$3:$D$202,MATCH($D886,품목목록!$A$3:$A$202,0)),""))</f>
        <v/>
      </c>
      <c r="G886" s="11"/>
      <c r="H886" s="15"/>
      <c r="I886" s="16" t="str">
        <f aca="false">IF($A886="","",SUMIFS(반납내역!$D$3:$D$1502,반납내역!$B$3:$B$1502,$A886))</f>
        <v/>
      </c>
      <c r="J886" s="16" t="str">
        <f aca="false">IF($A886="","",IF($G886="","",$G886-$I886))</f>
        <v/>
      </c>
      <c r="K886" s="17" t="str">
        <f aca="true">IF(OR($A886="",$J886="",$J886&lt;=0,$H886=""),"",TODAY()-$H886)</f>
        <v/>
      </c>
      <c r="L886" s="14" t="str">
        <f aca="false">IF($A886="","",IF($G886="","",IF($J886&lt;=0,"반납완료",IF($I886&gt;0,"부분반납","미반납"))))</f>
        <v/>
      </c>
    </row>
    <row r="887" customFormat="false" ht="15" hidden="false" customHeight="false" outlineLevel="0" collapsed="false">
      <c r="A887" s="14" t="str">
        <f aca="false">IF($B887="","",TEXT($B887,"yymmdd")&amp;"-"&amp;TEXT(COUNTIFS($B$3:$B887,$B887),"00"))</f>
        <v/>
      </c>
      <c r="B887" s="15"/>
      <c r="C887" s="9"/>
      <c r="D887" s="10"/>
      <c r="E887" s="14" t="str">
        <f aca="false">IF($D887="","",IFERROR(INDEX(품목목록!$B$3:$B$202,MATCH($D887,품목목록!$A$3:$A$202,0)),"미등록품번"))</f>
        <v/>
      </c>
      <c r="F887" s="14" t="str">
        <f aca="false">IF($D887="","",IFERROR(INDEX(품목목록!$D$3:$D$202,MATCH($D887,품목목록!$A$3:$A$202,0)),""))</f>
        <v/>
      </c>
      <c r="G887" s="11"/>
      <c r="H887" s="15"/>
      <c r="I887" s="16" t="str">
        <f aca="false">IF($A887="","",SUMIFS(반납내역!$D$3:$D$1502,반납내역!$B$3:$B$1502,$A887))</f>
        <v/>
      </c>
      <c r="J887" s="16" t="str">
        <f aca="false">IF($A887="","",IF($G887="","",$G887-$I887))</f>
        <v/>
      </c>
      <c r="K887" s="17" t="str">
        <f aca="true">IF(OR($A887="",$J887="",$J887&lt;=0,$H887=""),"",TODAY()-$H887)</f>
        <v/>
      </c>
      <c r="L887" s="14" t="str">
        <f aca="false">IF($A887="","",IF($G887="","",IF($J887&lt;=0,"반납완료",IF($I887&gt;0,"부분반납","미반납"))))</f>
        <v/>
      </c>
    </row>
    <row r="888" customFormat="false" ht="15" hidden="false" customHeight="false" outlineLevel="0" collapsed="false">
      <c r="A888" s="14" t="str">
        <f aca="false">IF($B888="","",TEXT($B888,"yymmdd")&amp;"-"&amp;TEXT(COUNTIFS($B$3:$B888,$B888),"00"))</f>
        <v/>
      </c>
      <c r="B888" s="15"/>
      <c r="C888" s="9"/>
      <c r="D888" s="10"/>
      <c r="E888" s="14" t="str">
        <f aca="false">IF($D888="","",IFERROR(INDEX(품목목록!$B$3:$B$202,MATCH($D888,품목목록!$A$3:$A$202,0)),"미등록품번"))</f>
        <v/>
      </c>
      <c r="F888" s="14" t="str">
        <f aca="false">IF($D888="","",IFERROR(INDEX(품목목록!$D$3:$D$202,MATCH($D888,품목목록!$A$3:$A$202,0)),""))</f>
        <v/>
      </c>
      <c r="G888" s="11"/>
      <c r="H888" s="15"/>
      <c r="I888" s="16" t="str">
        <f aca="false">IF($A888="","",SUMIFS(반납내역!$D$3:$D$1502,반납내역!$B$3:$B$1502,$A888))</f>
        <v/>
      </c>
      <c r="J888" s="16" t="str">
        <f aca="false">IF($A888="","",IF($G888="","",$G888-$I888))</f>
        <v/>
      </c>
      <c r="K888" s="17" t="str">
        <f aca="true">IF(OR($A888="",$J888="",$J888&lt;=0,$H888=""),"",TODAY()-$H888)</f>
        <v/>
      </c>
      <c r="L888" s="14" t="str">
        <f aca="false">IF($A888="","",IF($G888="","",IF($J888&lt;=0,"반납완료",IF($I888&gt;0,"부분반납","미반납"))))</f>
        <v/>
      </c>
    </row>
    <row r="889" customFormat="false" ht="15" hidden="false" customHeight="false" outlineLevel="0" collapsed="false">
      <c r="A889" s="14" t="str">
        <f aca="false">IF($B889="","",TEXT($B889,"yymmdd")&amp;"-"&amp;TEXT(COUNTIFS($B$3:$B889,$B889),"00"))</f>
        <v/>
      </c>
      <c r="B889" s="15"/>
      <c r="C889" s="9"/>
      <c r="D889" s="10"/>
      <c r="E889" s="14" t="str">
        <f aca="false">IF($D889="","",IFERROR(INDEX(품목목록!$B$3:$B$202,MATCH($D889,품목목록!$A$3:$A$202,0)),"미등록품번"))</f>
        <v/>
      </c>
      <c r="F889" s="14" t="str">
        <f aca="false">IF($D889="","",IFERROR(INDEX(품목목록!$D$3:$D$202,MATCH($D889,품목목록!$A$3:$A$202,0)),""))</f>
        <v/>
      </c>
      <c r="G889" s="11"/>
      <c r="H889" s="15"/>
      <c r="I889" s="16" t="str">
        <f aca="false">IF($A889="","",SUMIFS(반납내역!$D$3:$D$1502,반납내역!$B$3:$B$1502,$A889))</f>
        <v/>
      </c>
      <c r="J889" s="16" t="str">
        <f aca="false">IF($A889="","",IF($G889="","",$G889-$I889))</f>
        <v/>
      </c>
      <c r="K889" s="17" t="str">
        <f aca="true">IF(OR($A889="",$J889="",$J889&lt;=0,$H889=""),"",TODAY()-$H889)</f>
        <v/>
      </c>
      <c r="L889" s="14" t="str">
        <f aca="false">IF($A889="","",IF($G889="","",IF($J889&lt;=0,"반납완료",IF($I889&gt;0,"부분반납","미반납"))))</f>
        <v/>
      </c>
    </row>
    <row r="890" customFormat="false" ht="15" hidden="false" customHeight="false" outlineLevel="0" collapsed="false">
      <c r="A890" s="14" t="str">
        <f aca="false">IF($B890="","",TEXT($B890,"yymmdd")&amp;"-"&amp;TEXT(COUNTIFS($B$3:$B890,$B890),"00"))</f>
        <v/>
      </c>
      <c r="B890" s="15"/>
      <c r="C890" s="9"/>
      <c r="D890" s="10"/>
      <c r="E890" s="14" t="str">
        <f aca="false">IF($D890="","",IFERROR(INDEX(품목목록!$B$3:$B$202,MATCH($D890,품목목록!$A$3:$A$202,0)),"미등록품번"))</f>
        <v/>
      </c>
      <c r="F890" s="14" t="str">
        <f aca="false">IF($D890="","",IFERROR(INDEX(품목목록!$D$3:$D$202,MATCH($D890,품목목록!$A$3:$A$202,0)),""))</f>
        <v/>
      </c>
      <c r="G890" s="11"/>
      <c r="H890" s="15"/>
      <c r="I890" s="16" t="str">
        <f aca="false">IF($A890="","",SUMIFS(반납내역!$D$3:$D$1502,반납내역!$B$3:$B$1502,$A890))</f>
        <v/>
      </c>
      <c r="J890" s="16" t="str">
        <f aca="false">IF($A890="","",IF($G890="","",$G890-$I890))</f>
        <v/>
      </c>
      <c r="K890" s="17" t="str">
        <f aca="true">IF(OR($A890="",$J890="",$J890&lt;=0,$H890=""),"",TODAY()-$H890)</f>
        <v/>
      </c>
      <c r="L890" s="14" t="str">
        <f aca="false">IF($A890="","",IF($G890="","",IF($J890&lt;=0,"반납완료",IF($I890&gt;0,"부분반납","미반납"))))</f>
        <v/>
      </c>
    </row>
    <row r="891" customFormat="false" ht="15" hidden="false" customHeight="false" outlineLevel="0" collapsed="false">
      <c r="A891" s="14" t="str">
        <f aca="false">IF($B891="","",TEXT($B891,"yymmdd")&amp;"-"&amp;TEXT(COUNTIFS($B$3:$B891,$B891),"00"))</f>
        <v/>
      </c>
      <c r="B891" s="15"/>
      <c r="C891" s="9"/>
      <c r="D891" s="10"/>
      <c r="E891" s="14" t="str">
        <f aca="false">IF($D891="","",IFERROR(INDEX(품목목록!$B$3:$B$202,MATCH($D891,품목목록!$A$3:$A$202,0)),"미등록품번"))</f>
        <v/>
      </c>
      <c r="F891" s="14" t="str">
        <f aca="false">IF($D891="","",IFERROR(INDEX(품목목록!$D$3:$D$202,MATCH($D891,품목목록!$A$3:$A$202,0)),""))</f>
        <v/>
      </c>
      <c r="G891" s="11"/>
      <c r="H891" s="15"/>
      <c r="I891" s="16" t="str">
        <f aca="false">IF($A891="","",SUMIFS(반납내역!$D$3:$D$1502,반납내역!$B$3:$B$1502,$A891))</f>
        <v/>
      </c>
      <c r="J891" s="16" t="str">
        <f aca="false">IF($A891="","",IF($G891="","",$G891-$I891))</f>
        <v/>
      </c>
      <c r="K891" s="17" t="str">
        <f aca="true">IF(OR($A891="",$J891="",$J891&lt;=0,$H891=""),"",TODAY()-$H891)</f>
        <v/>
      </c>
      <c r="L891" s="14" t="str">
        <f aca="false">IF($A891="","",IF($G891="","",IF($J891&lt;=0,"반납완료",IF($I891&gt;0,"부분반납","미반납"))))</f>
        <v/>
      </c>
    </row>
    <row r="892" customFormat="false" ht="15" hidden="false" customHeight="false" outlineLevel="0" collapsed="false">
      <c r="A892" s="14" t="str">
        <f aca="false">IF($B892="","",TEXT($B892,"yymmdd")&amp;"-"&amp;TEXT(COUNTIFS($B$3:$B892,$B892),"00"))</f>
        <v/>
      </c>
      <c r="B892" s="15"/>
      <c r="C892" s="9"/>
      <c r="D892" s="10"/>
      <c r="E892" s="14" t="str">
        <f aca="false">IF($D892="","",IFERROR(INDEX(품목목록!$B$3:$B$202,MATCH($D892,품목목록!$A$3:$A$202,0)),"미등록품번"))</f>
        <v/>
      </c>
      <c r="F892" s="14" t="str">
        <f aca="false">IF($D892="","",IFERROR(INDEX(품목목록!$D$3:$D$202,MATCH($D892,품목목록!$A$3:$A$202,0)),""))</f>
        <v/>
      </c>
      <c r="G892" s="11"/>
      <c r="H892" s="15"/>
      <c r="I892" s="16" t="str">
        <f aca="false">IF($A892="","",SUMIFS(반납내역!$D$3:$D$1502,반납내역!$B$3:$B$1502,$A892))</f>
        <v/>
      </c>
      <c r="J892" s="16" t="str">
        <f aca="false">IF($A892="","",IF($G892="","",$G892-$I892))</f>
        <v/>
      </c>
      <c r="K892" s="17" t="str">
        <f aca="true">IF(OR($A892="",$J892="",$J892&lt;=0,$H892=""),"",TODAY()-$H892)</f>
        <v/>
      </c>
      <c r="L892" s="14" t="str">
        <f aca="false">IF($A892="","",IF($G892="","",IF($J892&lt;=0,"반납완료",IF($I892&gt;0,"부분반납","미반납"))))</f>
        <v/>
      </c>
    </row>
    <row r="893" customFormat="false" ht="15" hidden="false" customHeight="false" outlineLevel="0" collapsed="false">
      <c r="A893" s="14" t="str">
        <f aca="false">IF($B893="","",TEXT($B893,"yymmdd")&amp;"-"&amp;TEXT(COUNTIFS($B$3:$B893,$B893),"00"))</f>
        <v/>
      </c>
      <c r="B893" s="15"/>
      <c r="C893" s="9"/>
      <c r="D893" s="10"/>
      <c r="E893" s="14" t="str">
        <f aca="false">IF($D893="","",IFERROR(INDEX(품목목록!$B$3:$B$202,MATCH($D893,품목목록!$A$3:$A$202,0)),"미등록품번"))</f>
        <v/>
      </c>
      <c r="F893" s="14" t="str">
        <f aca="false">IF($D893="","",IFERROR(INDEX(품목목록!$D$3:$D$202,MATCH($D893,품목목록!$A$3:$A$202,0)),""))</f>
        <v/>
      </c>
      <c r="G893" s="11"/>
      <c r="H893" s="15"/>
      <c r="I893" s="16" t="str">
        <f aca="false">IF($A893="","",SUMIFS(반납내역!$D$3:$D$1502,반납내역!$B$3:$B$1502,$A893))</f>
        <v/>
      </c>
      <c r="J893" s="16" t="str">
        <f aca="false">IF($A893="","",IF($G893="","",$G893-$I893))</f>
        <v/>
      </c>
      <c r="K893" s="17" t="str">
        <f aca="true">IF(OR($A893="",$J893="",$J893&lt;=0,$H893=""),"",TODAY()-$H893)</f>
        <v/>
      </c>
      <c r="L893" s="14" t="str">
        <f aca="false">IF($A893="","",IF($G893="","",IF($J893&lt;=0,"반납완료",IF($I893&gt;0,"부분반납","미반납"))))</f>
        <v/>
      </c>
    </row>
    <row r="894" customFormat="false" ht="15" hidden="false" customHeight="false" outlineLevel="0" collapsed="false">
      <c r="A894" s="14" t="str">
        <f aca="false">IF($B894="","",TEXT($B894,"yymmdd")&amp;"-"&amp;TEXT(COUNTIFS($B$3:$B894,$B894),"00"))</f>
        <v/>
      </c>
      <c r="B894" s="15"/>
      <c r="C894" s="9"/>
      <c r="D894" s="10"/>
      <c r="E894" s="14" t="str">
        <f aca="false">IF($D894="","",IFERROR(INDEX(품목목록!$B$3:$B$202,MATCH($D894,품목목록!$A$3:$A$202,0)),"미등록품번"))</f>
        <v/>
      </c>
      <c r="F894" s="14" t="str">
        <f aca="false">IF($D894="","",IFERROR(INDEX(품목목록!$D$3:$D$202,MATCH($D894,품목목록!$A$3:$A$202,0)),""))</f>
        <v/>
      </c>
      <c r="G894" s="11"/>
      <c r="H894" s="15"/>
      <c r="I894" s="16" t="str">
        <f aca="false">IF($A894="","",SUMIFS(반납내역!$D$3:$D$1502,반납내역!$B$3:$B$1502,$A894))</f>
        <v/>
      </c>
      <c r="J894" s="16" t="str">
        <f aca="false">IF($A894="","",IF($G894="","",$G894-$I894))</f>
        <v/>
      </c>
      <c r="K894" s="17" t="str">
        <f aca="true">IF(OR($A894="",$J894="",$J894&lt;=0,$H894=""),"",TODAY()-$H894)</f>
        <v/>
      </c>
      <c r="L894" s="14" t="str">
        <f aca="false">IF($A894="","",IF($G894="","",IF($J894&lt;=0,"반납완료",IF($I894&gt;0,"부분반납","미반납"))))</f>
        <v/>
      </c>
    </row>
    <row r="895" customFormat="false" ht="15" hidden="false" customHeight="false" outlineLevel="0" collapsed="false">
      <c r="A895" s="14" t="str">
        <f aca="false">IF($B895="","",TEXT($B895,"yymmdd")&amp;"-"&amp;TEXT(COUNTIFS($B$3:$B895,$B895),"00"))</f>
        <v/>
      </c>
      <c r="B895" s="15"/>
      <c r="C895" s="9"/>
      <c r="D895" s="10"/>
      <c r="E895" s="14" t="str">
        <f aca="false">IF($D895="","",IFERROR(INDEX(품목목록!$B$3:$B$202,MATCH($D895,품목목록!$A$3:$A$202,0)),"미등록품번"))</f>
        <v/>
      </c>
      <c r="F895" s="14" t="str">
        <f aca="false">IF($D895="","",IFERROR(INDEX(품목목록!$D$3:$D$202,MATCH($D895,품목목록!$A$3:$A$202,0)),""))</f>
        <v/>
      </c>
      <c r="G895" s="11"/>
      <c r="H895" s="15"/>
      <c r="I895" s="16" t="str">
        <f aca="false">IF($A895="","",SUMIFS(반납내역!$D$3:$D$1502,반납내역!$B$3:$B$1502,$A895))</f>
        <v/>
      </c>
      <c r="J895" s="16" t="str">
        <f aca="false">IF($A895="","",IF($G895="","",$G895-$I895))</f>
        <v/>
      </c>
      <c r="K895" s="17" t="str">
        <f aca="true">IF(OR($A895="",$J895="",$J895&lt;=0,$H895=""),"",TODAY()-$H895)</f>
        <v/>
      </c>
      <c r="L895" s="14" t="str">
        <f aca="false">IF($A895="","",IF($G895="","",IF($J895&lt;=0,"반납완료",IF($I895&gt;0,"부분반납","미반납"))))</f>
        <v/>
      </c>
    </row>
    <row r="896" customFormat="false" ht="15" hidden="false" customHeight="false" outlineLevel="0" collapsed="false">
      <c r="A896" s="14" t="str">
        <f aca="false">IF($B896="","",TEXT($B896,"yymmdd")&amp;"-"&amp;TEXT(COUNTIFS($B$3:$B896,$B896),"00"))</f>
        <v/>
      </c>
      <c r="B896" s="15"/>
      <c r="C896" s="9"/>
      <c r="D896" s="10"/>
      <c r="E896" s="14" t="str">
        <f aca="false">IF($D896="","",IFERROR(INDEX(품목목록!$B$3:$B$202,MATCH($D896,품목목록!$A$3:$A$202,0)),"미등록품번"))</f>
        <v/>
      </c>
      <c r="F896" s="14" t="str">
        <f aca="false">IF($D896="","",IFERROR(INDEX(품목목록!$D$3:$D$202,MATCH($D896,품목목록!$A$3:$A$202,0)),""))</f>
        <v/>
      </c>
      <c r="G896" s="11"/>
      <c r="H896" s="15"/>
      <c r="I896" s="16" t="str">
        <f aca="false">IF($A896="","",SUMIFS(반납내역!$D$3:$D$1502,반납내역!$B$3:$B$1502,$A896))</f>
        <v/>
      </c>
      <c r="J896" s="16" t="str">
        <f aca="false">IF($A896="","",IF($G896="","",$G896-$I896))</f>
        <v/>
      </c>
      <c r="K896" s="17" t="str">
        <f aca="true">IF(OR($A896="",$J896="",$J896&lt;=0,$H896=""),"",TODAY()-$H896)</f>
        <v/>
      </c>
      <c r="L896" s="14" t="str">
        <f aca="false">IF($A896="","",IF($G896="","",IF($J896&lt;=0,"반납완료",IF($I896&gt;0,"부분반납","미반납"))))</f>
        <v/>
      </c>
    </row>
    <row r="897" customFormat="false" ht="15" hidden="false" customHeight="false" outlineLevel="0" collapsed="false">
      <c r="A897" s="14" t="str">
        <f aca="false">IF($B897="","",TEXT($B897,"yymmdd")&amp;"-"&amp;TEXT(COUNTIFS($B$3:$B897,$B897),"00"))</f>
        <v/>
      </c>
      <c r="B897" s="15"/>
      <c r="C897" s="9"/>
      <c r="D897" s="10"/>
      <c r="E897" s="14" t="str">
        <f aca="false">IF($D897="","",IFERROR(INDEX(품목목록!$B$3:$B$202,MATCH($D897,품목목록!$A$3:$A$202,0)),"미등록품번"))</f>
        <v/>
      </c>
      <c r="F897" s="14" t="str">
        <f aca="false">IF($D897="","",IFERROR(INDEX(품목목록!$D$3:$D$202,MATCH($D897,품목목록!$A$3:$A$202,0)),""))</f>
        <v/>
      </c>
      <c r="G897" s="11"/>
      <c r="H897" s="15"/>
      <c r="I897" s="16" t="str">
        <f aca="false">IF($A897="","",SUMIFS(반납내역!$D$3:$D$1502,반납내역!$B$3:$B$1502,$A897))</f>
        <v/>
      </c>
      <c r="J897" s="16" t="str">
        <f aca="false">IF($A897="","",IF($G897="","",$G897-$I897))</f>
        <v/>
      </c>
      <c r="K897" s="17" t="str">
        <f aca="true">IF(OR($A897="",$J897="",$J897&lt;=0,$H897=""),"",TODAY()-$H897)</f>
        <v/>
      </c>
      <c r="L897" s="14" t="str">
        <f aca="false">IF($A897="","",IF($G897="","",IF($J897&lt;=0,"반납완료",IF($I897&gt;0,"부분반납","미반납"))))</f>
        <v/>
      </c>
    </row>
    <row r="898" customFormat="false" ht="15" hidden="false" customHeight="false" outlineLevel="0" collapsed="false">
      <c r="A898" s="14" t="str">
        <f aca="false">IF($B898="","",TEXT($B898,"yymmdd")&amp;"-"&amp;TEXT(COUNTIFS($B$3:$B898,$B898),"00"))</f>
        <v/>
      </c>
      <c r="B898" s="15"/>
      <c r="C898" s="9"/>
      <c r="D898" s="10"/>
      <c r="E898" s="14" t="str">
        <f aca="false">IF($D898="","",IFERROR(INDEX(품목목록!$B$3:$B$202,MATCH($D898,품목목록!$A$3:$A$202,0)),"미등록품번"))</f>
        <v/>
      </c>
      <c r="F898" s="14" t="str">
        <f aca="false">IF($D898="","",IFERROR(INDEX(품목목록!$D$3:$D$202,MATCH($D898,품목목록!$A$3:$A$202,0)),""))</f>
        <v/>
      </c>
      <c r="G898" s="11"/>
      <c r="H898" s="15"/>
      <c r="I898" s="16" t="str">
        <f aca="false">IF($A898="","",SUMIFS(반납내역!$D$3:$D$1502,반납내역!$B$3:$B$1502,$A898))</f>
        <v/>
      </c>
      <c r="J898" s="16" t="str">
        <f aca="false">IF($A898="","",IF($G898="","",$G898-$I898))</f>
        <v/>
      </c>
      <c r="K898" s="17" t="str">
        <f aca="true">IF(OR($A898="",$J898="",$J898&lt;=0,$H898=""),"",TODAY()-$H898)</f>
        <v/>
      </c>
      <c r="L898" s="14" t="str">
        <f aca="false">IF($A898="","",IF($G898="","",IF($J898&lt;=0,"반납완료",IF($I898&gt;0,"부분반납","미반납"))))</f>
        <v/>
      </c>
    </row>
    <row r="899" customFormat="false" ht="15" hidden="false" customHeight="false" outlineLevel="0" collapsed="false">
      <c r="A899" s="14" t="str">
        <f aca="false">IF($B899="","",TEXT($B899,"yymmdd")&amp;"-"&amp;TEXT(COUNTIFS($B$3:$B899,$B899),"00"))</f>
        <v/>
      </c>
      <c r="B899" s="15"/>
      <c r="C899" s="9"/>
      <c r="D899" s="10"/>
      <c r="E899" s="14" t="str">
        <f aca="false">IF($D899="","",IFERROR(INDEX(품목목록!$B$3:$B$202,MATCH($D899,품목목록!$A$3:$A$202,0)),"미등록품번"))</f>
        <v/>
      </c>
      <c r="F899" s="14" t="str">
        <f aca="false">IF($D899="","",IFERROR(INDEX(품목목록!$D$3:$D$202,MATCH($D899,품목목록!$A$3:$A$202,0)),""))</f>
        <v/>
      </c>
      <c r="G899" s="11"/>
      <c r="H899" s="15"/>
      <c r="I899" s="16" t="str">
        <f aca="false">IF($A899="","",SUMIFS(반납내역!$D$3:$D$1502,반납내역!$B$3:$B$1502,$A899))</f>
        <v/>
      </c>
      <c r="J899" s="16" t="str">
        <f aca="false">IF($A899="","",IF($G899="","",$G899-$I899))</f>
        <v/>
      </c>
      <c r="K899" s="17" t="str">
        <f aca="true">IF(OR($A899="",$J899="",$J899&lt;=0,$H899=""),"",TODAY()-$H899)</f>
        <v/>
      </c>
      <c r="L899" s="14" t="str">
        <f aca="false">IF($A899="","",IF($G899="","",IF($J899&lt;=0,"반납완료",IF($I899&gt;0,"부분반납","미반납"))))</f>
        <v/>
      </c>
    </row>
    <row r="900" customFormat="false" ht="15" hidden="false" customHeight="false" outlineLevel="0" collapsed="false">
      <c r="A900" s="14" t="str">
        <f aca="false">IF($B900="","",TEXT($B900,"yymmdd")&amp;"-"&amp;TEXT(COUNTIFS($B$3:$B900,$B900),"00"))</f>
        <v/>
      </c>
      <c r="B900" s="15"/>
      <c r="C900" s="9"/>
      <c r="D900" s="10"/>
      <c r="E900" s="14" t="str">
        <f aca="false">IF($D900="","",IFERROR(INDEX(품목목록!$B$3:$B$202,MATCH($D900,품목목록!$A$3:$A$202,0)),"미등록품번"))</f>
        <v/>
      </c>
      <c r="F900" s="14" t="str">
        <f aca="false">IF($D900="","",IFERROR(INDEX(품목목록!$D$3:$D$202,MATCH($D900,품목목록!$A$3:$A$202,0)),""))</f>
        <v/>
      </c>
      <c r="G900" s="11"/>
      <c r="H900" s="15"/>
      <c r="I900" s="16" t="str">
        <f aca="false">IF($A900="","",SUMIFS(반납내역!$D$3:$D$1502,반납내역!$B$3:$B$1502,$A900))</f>
        <v/>
      </c>
      <c r="J900" s="16" t="str">
        <f aca="false">IF($A900="","",IF($G900="","",$G900-$I900))</f>
        <v/>
      </c>
      <c r="K900" s="17" t="str">
        <f aca="true">IF(OR($A900="",$J900="",$J900&lt;=0,$H900=""),"",TODAY()-$H900)</f>
        <v/>
      </c>
      <c r="L900" s="14" t="str">
        <f aca="false">IF($A900="","",IF($G900="","",IF($J900&lt;=0,"반납완료",IF($I900&gt;0,"부분반납","미반납"))))</f>
        <v/>
      </c>
    </row>
    <row r="901" customFormat="false" ht="15" hidden="false" customHeight="false" outlineLevel="0" collapsed="false">
      <c r="A901" s="14" t="str">
        <f aca="false">IF($B901="","",TEXT($B901,"yymmdd")&amp;"-"&amp;TEXT(COUNTIFS($B$3:$B901,$B901),"00"))</f>
        <v/>
      </c>
      <c r="B901" s="15"/>
      <c r="C901" s="9"/>
      <c r="D901" s="10"/>
      <c r="E901" s="14" t="str">
        <f aca="false">IF($D901="","",IFERROR(INDEX(품목목록!$B$3:$B$202,MATCH($D901,품목목록!$A$3:$A$202,0)),"미등록품번"))</f>
        <v/>
      </c>
      <c r="F901" s="14" t="str">
        <f aca="false">IF($D901="","",IFERROR(INDEX(품목목록!$D$3:$D$202,MATCH($D901,품목목록!$A$3:$A$202,0)),""))</f>
        <v/>
      </c>
      <c r="G901" s="11"/>
      <c r="H901" s="15"/>
      <c r="I901" s="16" t="str">
        <f aca="false">IF($A901="","",SUMIFS(반납내역!$D$3:$D$1502,반납내역!$B$3:$B$1502,$A901))</f>
        <v/>
      </c>
      <c r="J901" s="16" t="str">
        <f aca="false">IF($A901="","",IF($G901="","",$G901-$I901))</f>
        <v/>
      </c>
      <c r="K901" s="17" t="str">
        <f aca="true">IF(OR($A901="",$J901="",$J901&lt;=0,$H901=""),"",TODAY()-$H901)</f>
        <v/>
      </c>
      <c r="L901" s="14" t="str">
        <f aca="false">IF($A901="","",IF($G901="","",IF($J901&lt;=0,"반납완료",IF($I901&gt;0,"부분반납","미반납"))))</f>
        <v/>
      </c>
    </row>
    <row r="902" customFormat="false" ht="15" hidden="false" customHeight="false" outlineLevel="0" collapsed="false">
      <c r="A902" s="14" t="str">
        <f aca="false">IF($B902="","",TEXT($B902,"yymmdd")&amp;"-"&amp;TEXT(COUNTIFS($B$3:$B902,$B902),"00"))</f>
        <v/>
      </c>
      <c r="B902" s="15"/>
      <c r="C902" s="9"/>
      <c r="D902" s="10"/>
      <c r="E902" s="14" t="str">
        <f aca="false">IF($D902="","",IFERROR(INDEX(품목목록!$B$3:$B$202,MATCH($D902,품목목록!$A$3:$A$202,0)),"미등록품번"))</f>
        <v/>
      </c>
      <c r="F902" s="14" t="str">
        <f aca="false">IF($D902="","",IFERROR(INDEX(품목목록!$D$3:$D$202,MATCH($D902,품목목록!$A$3:$A$202,0)),""))</f>
        <v/>
      </c>
      <c r="G902" s="11"/>
      <c r="H902" s="15"/>
      <c r="I902" s="16" t="str">
        <f aca="false">IF($A902="","",SUMIFS(반납내역!$D$3:$D$1502,반납내역!$B$3:$B$1502,$A902))</f>
        <v/>
      </c>
      <c r="J902" s="16" t="str">
        <f aca="false">IF($A902="","",IF($G902="","",$G902-$I902))</f>
        <v/>
      </c>
      <c r="K902" s="17" t="str">
        <f aca="true">IF(OR($A902="",$J902="",$J902&lt;=0,$H902=""),"",TODAY()-$H902)</f>
        <v/>
      </c>
      <c r="L902" s="14" t="str">
        <f aca="false">IF($A902="","",IF($G902="","",IF($J902&lt;=0,"반납완료",IF($I902&gt;0,"부분반납","미반납"))))</f>
        <v/>
      </c>
    </row>
    <row r="903" customFormat="false" ht="15" hidden="false" customHeight="false" outlineLevel="0" collapsed="false">
      <c r="A903" s="14" t="str">
        <f aca="false">IF($B903="","",TEXT($B903,"yymmdd")&amp;"-"&amp;TEXT(COUNTIFS($B$3:$B903,$B903),"00"))</f>
        <v/>
      </c>
      <c r="B903" s="15"/>
      <c r="C903" s="9"/>
      <c r="D903" s="10"/>
      <c r="E903" s="14" t="str">
        <f aca="false">IF($D903="","",IFERROR(INDEX(품목목록!$B$3:$B$202,MATCH($D903,품목목록!$A$3:$A$202,0)),"미등록품번"))</f>
        <v/>
      </c>
      <c r="F903" s="14" t="str">
        <f aca="false">IF($D903="","",IFERROR(INDEX(품목목록!$D$3:$D$202,MATCH($D903,품목목록!$A$3:$A$202,0)),""))</f>
        <v/>
      </c>
      <c r="G903" s="11"/>
      <c r="H903" s="15"/>
      <c r="I903" s="16" t="str">
        <f aca="false">IF($A903="","",SUMIFS(반납내역!$D$3:$D$1502,반납내역!$B$3:$B$1502,$A903))</f>
        <v/>
      </c>
      <c r="J903" s="16" t="str">
        <f aca="false">IF($A903="","",IF($G903="","",$G903-$I903))</f>
        <v/>
      </c>
      <c r="K903" s="17" t="str">
        <f aca="true">IF(OR($A903="",$J903="",$J903&lt;=0,$H903=""),"",TODAY()-$H903)</f>
        <v/>
      </c>
      <c r="L903" s="14" t="str">
        <f aca="false">IF($A903="","",IF($G903="","",IF($J903&lt;=0,"반납완료",IF($I903&gt;0,"부분반납","미반납"))))</f>
        <v/>
      </c>
    </row>
    <row r="904" customFormat="false" ht="15" hidden="false" customHeight="false" outlineLevel="0" collapsed="false">
      <c r="A904" s="14" t="str">
        <f aca="false">IF($B904="","",TEXT($B904,"yymmdd")&amp;"-"&amp;TEXT(COUNTIFS($B$3:$B904,$B904),"00"))</f>
        <v/>
      </c>
      <c r="B904" s="15"/>
      <c r="C904" s="9"/>
      <c r="D904" s="10"/>
      <c r="E904" s="14" t="str">
        <f aca="false">IF($D904="","",IFERROR(INDEX(품목목록!$B$3:$B$202,MATCH($D904,품목목록!$A$3:$A$202,0)),"미등록품번"))</f>
        <v/>
      </c>
      <c r="F904" s="14" t="str">
        <f aca="false">IF($D904="","",IFERROR(INDEX(품목목록!$D$3:$D$202,MATCH($D904,품목목록!$A$3:$A$202,0)),""))</f>
        <v/>
      </c>
      <c r="G904" s="11"/>
      <c r="H904" s="15"/>
      <c r="I904" s="16" t="str">
        <f aca="false">IF($A904="","",SUMIFS(반납내역!$D$3:$D$1502,반납내역!$B$3:$B$1502,$A904))</f>
        <v/>
      </c>
      <c r="J904" s="16" t="str">
        <f aca="false">IF($A904="","",IF($G904="","",$G904-$I904))</f>
        <v/>
      </c>
      <c r="K904" s="17" t="str">
        <f aca="true">IF(OR($A904="",$J904="",$J904&lt;=0,$H904=""),"",TODAY()-$H904)</f>
        <v/>
      </c>
      <c r="L904" s="14" t="str">
        <f aca="false">IF($A904="","",IF($G904="","",IF($J904&lt;=0,"반납완료",IF($I904&gt;0,"부분반납","미반납"))))</f>
        <v/>
      </c>
    </row>
    <row r="905" customFormat="false" ht="15" hidden="false" customHeight="false" outlineLevel="0" collapsed="false">
      <c r="A905" s="14" t="str">
        <f aca="false">IF($B905="","",TEXT($B905,"yymmdd")&amp;"-"&amp;TEXT(COUNTIFS($B$3:$B905,$B905),"00"))</f>
        <v/>
      </c>
      <c r="B905" s="15"/>
      <c r="C905" s="9"/>
      <c r="D905" s="10"/>
      <c r="E905" s="14" t="str">
        <f aca="false">IF($D905="","",IFERROR(INDEX(품목목록!$B$3:$B$202,MATCH($D905,품목목록!$A$3:$A$202,0)),"미등록품번"))</f>
        <v/>
      </c>
      <c r="F905" s="14" t="str">
        <f aca="false">IF($D905="","",IFERROR(INDEX(품목목록!$D$3:$D$202,MATCH($D905,품목목록!$A$3:$A$202,0)),""))</f>
        <v/>
      </c>
      <c r="G905" s="11"/>
      <c r="H905" s="15"/>
      <c r="I905" s="16" t="str">
        <f aca="false">IF($A905="","",SUMIFS(반납내역!$D$3:$D$1502,반납내역!$B$3:$B$1502,$A905))</f>
        <v/>
      </c>
      <c r="J905" s="16" t="str">
        <f aca="false">IF($A905="","",IF($G905="","",$G905-$I905))</f>
        <v/>
      </c>
      <c r="K905" s="17" t="str">
        <f aca="true">IF(OR($A905="",$J905="",$J905&lt;=0,$H905=""),"",TODAY()-$H905)</f>
        <v/>
      </c>
      <c r="L905" s="14" t="str">
        <f aca="false">IF($A905="","",IF($G905="","",IF($J905&lt;=0,"반납완료",IF($I905&gt;0,"부분반납","미반납"))))</f>
        <v/>
      </c>
    </row>
    <row r="906" customFormat="false" ht="15" hidden="false" customHeight="false" outlineLevel="0" collapsed="false">
      <c r="A906" s="14" t="str">
        <f aca="false">IF($B906="","",TEXT($B906,"yymmdd")&amp;"-"&amp;TEXT(COUNTIFS($B$3:$B906,$B906),"00"))</f>
        <v/>
      </c>
      <c r="B906" s="15"/>
      <c r="C906" s="9"/>
      <c r="D906" s="10"/>
      <c r="E906" s="14" t="str">
        <f aca="false">IF($D906="","",IFERROR(INDEX(품목목록!$B$3:$B$202,MATCH($D906,품목목록!$A$3:$A$202,0)),"미등록품번"))</f>
        <v/>
      </c>
      <c r="F906" s="14" t="str">
        <f aca="false">IF($D906="","",IFERROR(INDEX(품목목록!$D$3:$D$202,MATCH($D906,품목목록!$A$3:$A$202,0)),""))</f>
        <v/>
      </c>
      <c r="G906" s="11"/>
      <c r="H906" s="15"/>
      <c r="I906" s="16" t="str">
        <f aca="false">IF($A906="","",SUMIFS(반납내역!$D$3:$D$1502,반납내역!$B$3:$B$1502,$A906))</f>
        <v/>
      </c>
      <c r="J906" s="16" t="str">
        <f aca="false">IF($A906="","",IF($G906="","",$G906-$I906))</f>
        <v/>
      </c>
      <c r="K906" s="17" t="str">
        <f aca="true">IF(OR($A906="",$J906="",$J906&lt;=0,$H906=""),"",TODAY()-$H906)</f>
        <v/>
      </c>
      <c r="L906" s="14" t="str">
        <f aca="false">IF($A906="","",IF($G906="","",IF($J906&lt;=0,"반납완료",IF($I906&gt;0,"부분반납","미반납"))))</f>
        <v/>
      </c>
    </row>
    <row r="907" customFormat="false" ht="15" hidden="false" customHeight="false" outlineLevel="0" collapsed="false">
      <c r="A907" s="14" t="str">
        <f aca="false">IF($B907="","",TEXT($B907,"yymmdd")&amp;"-"&amp;TEXT(COUNTIFS($B$3:$B907,$B907),"00"))</f>
        <v/>
      </c>
      <c r="B907" s="15"/>
      <c r="C907" s="9"/>
      <c r="D907" s="10"/>
      <c r="E907" s="14" t="str">
        <f aca="false">IF($D907="","",IFERROR(INDEX(품목목록!$B$3:$B$202,MATCH($D907,품목목록!$A$3:$A$202,0)),"미등록품번"))</f>
        <v/>
      </c>
      <c r="F907" s="14" t="str">
        <f aca="false">IF($D907="","",IFERROR(INDEX(품목목록!$D$3:$D$202,MATCH($D907,품목목록!$A$3:$A$202,0)),""))</f>
        <v/>
      </c>
      <c r="G907" s="11"/>
      <c r="H907" s="15"/>
      <c r="I907" s="16" t="str">
        <f aca="false">IF($A907="","",SUMIFS(반납내역!$D$3:$D$1502,반납내역!$B$3:$B$1502,$A907))</f>
        <v/>
      </c>
      <c r="J907" s="16" t="str">
        <f aca="false">IF($A907="","",IF($G907="","",$G907-$I907))</f>
        <v/>
      </c>
      <c r="K907" s="17" t="str">
        <f aca="true">IF(OR($A907="",$J907="",$J907&lt;=0,$H907=""),"",TODAY()-$H907)</f>
        <v/>
      </c>
      <c r="L907" s="14" t="str">
        <f aca="false">IF($A907="","",IF($G907="","",IF($J907&lt;=0,"반납완료",IF($I907&gt;0,"부분반납","미반납"))))</f>
        <v/>
      </c>
    </row>
    <row r="908" customFormat="false" ht="15" hidden="false" customHeight="false" outlineLevel="0" collapsed="false">
      <c r="A908" s="14" t="str">
        <f aca="false">IF($B908="","",TEXT($B908,"yymmdd")&amp;"-"&amp;TEXT(COUNTIFS($B$3:$B908,$B908),"00"))</f>
        <v/>
      </c>
      <c r="B908" s="15"/>
      <c r="C908" s="9"/>
      <c r="D908" s="10"/>
      <c r="E908" s="14" t="str">
        <f aca="false">IF($D908="","",IFERROR(INDEX(품목목록!$B$3:$B$202,MATCH($D908,품목목록!$A$3:$A$202,0)),"미등록품번"))</f>
        <v/>
      </c>
      <c r="F908" s="14" t="str">
        <f aca="false">IF($D908="","",IFERROR(INDEX(품목목록!$D$3:$D$202,MATCH($D908,품목목록!$A$3:$A$202,0)),""))</f>
        <v/>
      </c>
      <c r="G908" s="11"/>
      <c r="H908" s="15"/>
      <c r="I908" s="16" t="str">
        <f aca="false">IF($A908="","",SUMIFS(반납내역!$D$3:$D$1502,반납내역!$B$3:$B$1502,$A908))</f>
        <v/>
      </c>
      <c r="J908" s="16" t="str">
        <f aca="false">IF($A908="","",IF($G908="","",$G908-$I908))</f>
        <v/>
      </c>
      <c r="K908" s="17" t="str">
        <f aca="true">IF(OR($A908="",$J908="",$J908&lt;=0,$H908=""),"",TODAY()-$H908)</f>
        <v/>
      </c>
      <c r="L908" s="14" t="str">
        <f aca="false">IF($A908="","",IF($G908="","",IF($J908&lt;=0,"반납완료",IF($I908&gt;0,"부분반납","미반납"))))</f>
        <v/>
      </c>
    </row>
    <row r="909" customFormat="false" ht="15" hidden="false" customHeight="false" outlineLevel="0" collapsed="false">
      <c r="A909" s="14" t="str">
        <f aca="false">IF($B909="","",TEXT($B909,"yymmdd")&amp;"-"&amp;TEXT(COUNTIFS($B$3:$B909,$B909),"00"))</f>
        <v/>
      </c>
      <c r="B909" s="15"/>
      <c r="C909" s="9"/>
      <c r="D909" s="10"/>
      <c r="E909" s="14" t="str">
        <f aca="false">IF($D909="","",IFERROR(INDEX(품목목록!$B$3:$B$202,MATCH($D909,품목목록!$A$3:$A$202,0)),"미등록품번"))</f>
        <v/>
      </c>
      <c r="F909" s="14" t="str">
        <f aca="false">IF($D909="","",IFERROR(INDEX(품목목록!$D$3:$D$202,MATCH($D909,품목목록!$A$3:$A$202,0)),""))</f>
        <v/>
      </c>
      <c r="G909" s="11"/>
      <c r="H909" s="15"/>
      <c r="I909" s="16" t="str">
        <f aca="false">IF($A909="","",SUMIFS(반납내역!$D$3:$D$1502,반납내역!$B$3:$B$1502,$A909))</f>
        <v/>
      </c>
      <c r="J909" s="16" t="str">
        <f aca="false">IF($A909="","",IF($G909="","",$G909-$I909))</f>
        <v/>
      </c>
      <c r="K909" s="17" t="str">
        <f aca="true">IF(OR($A909="",$J909="",$J909&lt;=0,$H909=""),"",TODAY()-$H909)</f>
        <v/>
      </c>
      <c r="L909" s="14" t="str">
        <f aca="false">IF($A909="","",IF($G909="","",IF($J909&lt;=0,"반납완료",IF($I909&gt;0,"부분반납","미반납"))))</f>
        <v/>
      </c>
    </row>
    <row r="910" customFormat="false" ht="15" hidden="false" customHeight="false" outlineLevel="0" collapsed="false">
      <c r="A910" s="14" t="str">
        <f aca="false">IF($B910="","",TEXT($B910,"yymmdd")&amp;"-"&amp;TEXT(COUNTIFS($B$3:$B910,$B910),"00"))</f>
        <v/>
      </c>
      <c r="B910" s="15"/>
      <c r="C910" s="9"/>
      <c r="D910" s="10"/>
      <c r="E910" s="14" t="str">
        <f aca="false">IF($D910="","",IFERROR(INDEX(품목목록!$B$3:$B$202,MATCH($D910,품목목록!$A$3:$A$202,0)),"미등록품번"))</f>
        <v/>
      </c>
      <c r="F910" s="14" t="str">
        <f aca="false">IF($D910="","",IFERROR(INDEX(품목목록!$D$3:$D$202,MATCH($D910,품목목록!$A$3:$A$202,0)),""))</f>
        <v/>
      </c>
      <c r="G910" s="11"/>
      <c r="H910" s="15"/>
      <c r="I910" s="16" t="str">
        <f aca="false">IF($A910="","",SUMIFS(반납내역!$D$3:$D$1502,반납내역!$B$3:$B$1502,$A910))</f>
        <v/>
      </c>
      <c r="J910" s="16" t="str">
        <f aca="false">IF($A910="","",IF($G910="","",$G910-$I910))</f>
        <v/>
      </c>
      <c r="K910" s="17" t="str">
        <f aca="true">IF(OR($A910="",$J910="",$J910&lt;=0,$H910=""),"",TODAY()-$H910)</f>
        <v/>
      </c>
      <c r="L910" s="14" t="str">
        <f aca="false">IF($A910="","",IF($G910="","",IF($J910&lt;=0,"반납완료",IF($I910&gt;0,"부분반납","미반납"))))</f>
        <v/>
      </c>
    </row>
    <row r="911" customFormat="false" ht="15" hidden="false" customHeight="false" outlineLevel="0" collapsed="false">
      <c r="A911" s="14" t="str">
        <f aca="false">IF($B911="","",TEXT($B911,"yymmdd")&amp;"-"&amp;TEXT(COUNTIFS($B$3:$B911,$B911),"00"))</f>
        <v/>
      </c>
      <c r="B911" s="15"/>
      <c r="C911" s="9"/>
      <c r="D911" s="10"/>
      <c r="E911" s="14" t="str">
        <f aca="false">IF($D911="","",IFERROR(INDEX(품목목록!$B$3:$B$202,MATCH($D911,품목목록!$A$3:$A$202,0)),"미등록품번"))</f>
        <v/>
      </c>
      <c r="F911" s="14" t="str">
        <f aca="false">IF($D911="","",IFERROR(INDEX(품목목록!$D$3:$D$202,MATCH($D911,품목목록!$A$3:$A$202,0)),""))</f>
        <v/>
      </c>
      <c r="G911" s="11"/>
      <c r="H911" s="15"/>
      <c r="I911" s="16" t="str">
        <f aca="false">IF($A911="","",SUMIFS(반납내역!$D$3:$D$1502,반납내역!$B$3:$B$1502,$A911))</f>
        <v/>
      </c>
      <c r="J911" s="16" t="str">
        <f aca="false">IF($A911="","",IF($G911="","",$G911-$I911))</f>
        <v/>
      </c>
      <c r="K911" s="17" t="str">
        <f aca="true">IF(OR($A911="",$J911="",$J911&lt;=0,$H911=""),"",TODAY()-$H911)</f>
        <v/>
      </c>
      <c r="L911" s="14" t="str">
        <f aca="false">IF($A911="","",IF($G911="","",IF($J911&lt;=0,"반납완료",IF($I911&gt;0,"부분반납","미반납"))))</f>
        <v/>
      </c>
    </row>
    <row r="912" customFormat="false" ht="15" hidden="false" customHeight="false" outlineLevel="0" collapsed="false">
      <c r="A912" s="14" t="str">
        <f aca="false">IF($B912="","",TEXT($B912,"yymmdd")&amp;"-"&amp;TEXT(COUNTIFS($B$3:$B912,$B912),"00"))</f>
        <v/>
      </c>
      <c r="B912" s="15"/>
      <c r="C912" s="9"/>
      <c r="D912" s="10"/>
      <c r="E912" s="14" t="str">
        <f aca="false">IF($D912="","",IFERROR(INDEX(품목목록!$B$3:$B$202,MATCH($D912,품목목록!$A$3:$A$202,0)),"미등록품번"))</f>
        <v/>
      </c>
      <c r="F912" s="14" t="str">
        <f aca="false">IF($D912="","",IFERROR(INDEX(품목목록!$D$3:$D$202,MATCH($D912,품목목록!$A$3:$A$202,0)),""))</f>
        <v/>
      </c>
      <c r="G912" s="11"/>
      <c r="H912" s="15"/>
      <c r="I912" s="16" t="str">
        <f aca="false">IF($A912="","",SUMIFS(반납내역!$D$3:$D$1502,반납내역!$B$3:$B$1502,$A912))</f>
        <v/>
      </c>
      <c r="J912" s="16" t="str">
        <f aca="false">IF($A912="","",IF($G912="","",$G912-$I912))</f>
        <v/>
      </c>
      <c r="K912" s="17" t="str">
        <f aca="true">IF(OR($A912="",$J912="",$J912&lt;=0,$H912=""),"",TODAY()-$H912)</f>
        <v/>
      </c>
      <c r="L912" s="14" t="str">
        <f aca="false">IF($A912="","",IF($G912="","",IF($J912&lt;=0,"반납완료",IF($I912&gt;0,"부분반납","미반납"))))</f>
        <v/>
      </c>
    </row>
    <row r="913" customFormat="false" ht="15" hidden="false" customHeight="false" outlineLevel="0" collapsed="false">
      <c r="A913" s="14" t="str">
        <f aca="false">IF($B913="","",TEXT($B913,"yymmdd")&amp;"-"&amp;TEXT(COUNTIFS($B$3:$B913,$B913),"00"))</f>
        <v/>
      </c>
      <c r="B913" s="15"/>
      <c r="C913" s="9"/>
      <c r="D913" s="10"/>
      <c r="E913" s="14" t="str">
        <f aca="false">IF($D913="","",IFERROR(INDEX(품목목록!$B$3:$B$202,MATCH($D913,품목목록!$A$3:$A$202,0)),"미등록품번"))</f>
        <v/>
      </c>
      <c r="F913" s="14" t="str">
        <f aca="false">IF($D913="","",IFERROR(INDEX(품목목록!$D$3:$D$202,MATCH($D913,품목목록!$A$3:$A$202,0)),""))</f>
        <v/>
      </c>
      <c r="G913" s="11"/>
      <c r="H913" s="15"/>
      <c r="I913" s="16" t="str">
        <f aca="false">IF($A913="","",SUMIFS(반납내역!$D$3:$D$1502,반납내역!$B$3:$B$1502,$A913))</f>
        <v/>
      </c>
      <c r="J913" s="16" t="str">
        <f aca="false">IF($A913="","",IF($G913="","",$G913-$I913))</f>
        <v/>
      </c>
      <c r="K913" s="17" t="str">
        <f aca="true">IF(OR($A913="",$J913="",$J913&lt;=0,$H913=""),"",TODAY()-$H913)</f>
        <v/>
      </c>
      <c r="L913" s="14" t="str">
        <f aca="false">IF($A913="","",IF($G913="","",IF($J913&lt;=0,"반납완료",IF($I913&gt;0,"부분반납","미반납"))))</f>
        <v/>
      </c>
    </row>
    <row r="914" customFormat="false" ht="15" hidden="false" customHeight="false" outlineLevel="0" collapsed="false">
      <c r="A914" s="14" t="str">
        <f aca="false">IF($B914="","",TEXT($B914,"yymmdd")&amp;"-"&amp;TEXT(COUNTIFS($B$3:$B914,$B914),"00"))</f>
        <v/>
      </c>
      <c r="B914" s="15"/>
      <c r="C914" s="9"/>
      <c r="D914" s="10"/>
      <c r="E914" s="14" t="str">
        <f aca="false">IF($D914="","",IFERROR(INDEX(품목목록!$B$3:$B$202,MATCH($D914,품목목록!$A$3:$A$202,0)),"미등록품번"))</f>
        <v/>
      </c>
      <c r="F914" s="14" t="str">
        <f aca="false">IF($D914="","",IFERROR(INDEX(품목목록!$D$3:$D$202,MATCH($D914,품목목록!$A$3:$A$202,0)),""))</f>
        <v/>
      </c>
      <c r="G914" s="11"/>
      <c r="H914" s="15"/>
      <c r="I914" s="16" t="str">
        <f aca="false">IF($A914="","",SUMIFS(반납내역!$D$3:$D$1502,반납내역!$B$3:$B$1502,$A914))</f>
        <v/>
      </c>
      <c r="J914" s="16" t="str">
        <f aca="false">IF($A914="","",IF($G914="","",$G914-$I914))</f>
        <v/>
      </c>
      <c r="K914" s="17" t="str">
        <f aca="true">IF(OR($A914="",$J914="",$J914&lt;=0,$H914=""),"",TODAY()-$H914)</f>
        <v/>
      </c>
      <c r="L914" s="14" t="str">
        <f aca="false">IF($A914="","",IF($G914="","",IF($J914&lt;=0,"반납완료",IF($I914&gt;0,"부분반납","미반납"))))</f>
        <v/>
      </c>
    </row>
    <row r="915" customFormat="false" ht="15" hidden="false" customHeight="false" outlineLevel="0" collapsed="false">
      <c r="A915" s="14" t="str">
        <f aca="false">IF($B915="","",TEXT($B915,"yymmdd")&amp;"-"&amp;TEXT(COUNTIFS($B$3:$B915,$B915),"00"))</f>
        <v/>
      </c>
      <c r="B915" s="15"/>
      <c r="C915" s="9"/>
      <c r="D915" s="10"/>
      <c r="E915" s="14" t="str">
        <f aca="false">IF($D915="","",IFERROR(INDEX(품목목록!$B$3:$B$202,MATCH($D915,품목목록!$A$3:$A$202,0)),"미등록품번"))</f>
        <v/>
      </c>
      <c r="F915" s="14" t="str">
        <f aca="false">IF($D915="","",IFERROR(INDEX(품목목록!$D$3:$D$202,MATCH($D915,품목목록!$A$3:$A$202,0)),""))</f>
        <v/>
      </c>
      <c r="G915" s="11"/>
      <c r="H915" s="15"/>
      <c r="I915" s="16" t="str">
        <f aca="false">IF($A915="","",SUMIFS(반납내역!$D$3:$D$1502,반납내역!$B$3:$B$1502,$A915))</f>
        <v/>
      </c>
      <c r="J915" s="16" t="str">
        <f aca="false">IF($A915="","",IF($G915="","",$G915-$I915))</f>
        <v/>
      </c>
      <c r="K915" s="17" t="str">
        <f aca="true">IF(OR($A915="",$J915="",$J915&lt;=0,$H915=""),"",TODAY()-$H915)</f>
        <v/>
      </c>
      <c r="L915" s="14" t="str">
        <f aca="false">IF($A915="","",IF($G915="","",IF($J915&lt;=0,"반납완료",IF($I915&gt;0,"부분반납","미반납"))))</f>
        <v/>
      </c>
    </row>
    <row r="916" customFormat="false" ht="15" hidden="false" customHeight="false" outlineLevel="0" collapsed="false">
      <c r="A916" s="14" t="str">
        <f aca="false">IF($B916="","",TEXT($B916,"yymmdd")&amp;"-"&amp;TEXT(COUNTIFS($B$3:$B916,$B916),"00"))</f>
        <v/>
      </c>
      <c r="B916" s="15"/>
      <c r="C916" s="9"/>
      <c r="D916" s="10"/>
      <c r="E916" s="14" t="str">
        <f aca="false">IF($D916="","",IFERROR(INDEX(품목목록!$B$3:$B$202,MATCH($D916,품목목록!$A$3:$A$202,0)),"미등록품번"))</f>
        <v/>
      </c>
      <c r="F916" s="14" t="str">
        <f aca="false">IF($D916="","",IFERROR(INDEX(품목목록!$D$3:$D$202,MATCH($D916,품목목록!$A$3:$A$202,0)),""))</f>
        <v/>
      </c>
      <c r="G916" s="11"/>
      <c r="H916" s="15"/>
      <c r="I916" s="16" t="str">
        <f aca="false">IF($A916="","",SUMIFS(반납내역!$D$3:$D$1502,반납내역!$B$3:$B$1502,$A916))</f>
        <v/>
      </c>
      <c r="J916" s="16" t="str">
        <f aca="false">IF($A916="","",IF($G916="","",$G916-$I916))</f>
        <v/>
      </c>
      <c r="K916" s="17" t="str">
        <f aca="true">IF(OR($A916="",$J916="",$J916&lt;=0,$H916=""),"",TODAY()-$H916)</f>
        <v/>
      </c>
      <c r="L916" s="14" t="str">
        <f aca="false">IF($A916="","",IF($G916="","",IF($J916&lt;=0,"반납완료",IF($I916&gt;0,"부분반납","미반납"))))</f>
        <v/>
      </c>
    </row>
    <row r="917" customFormat="false" ht="15" hidden="false" customHeight="false" outlineLevel="0" collapsed="false">
      <c r="A917" s="14" t="str">
        <f aca="false">IF($B917="","",TEXT($B917,"yymmdd")&amp;"-"&amp;TEXT(COUNTIFS($B$3:$B917,$B917),"00"))</f>
        <v/>
      </c>
      <c r="B917" s="15"/>
      <c r="C917" s="9"/>
      <c r="D917" s="10"/>
      <c r="E917" s="14" t="str">
        <f aca="false">IF($D917="","",IFERROR(INDEX(품목목록!$B$3:$B$202,MATCH($D917,품목목록!$A$3:$A$202,0)),"미등록품번"))</f>
        <v/>
      </c>
      <c r="F917" s="14" t="str">
        <f aca="false">IF($D917="","",IFERROR(INDEX(품목목록!$D$3:$D$202,MATCH($D917,품목목록!$A$3:$A$202,0)),""))</f>
        <v/>
      </c>
      <c r="G917" s="11"/>
      <c r="H917" s="15"/>
      <c r="I917" s="16" t="str">
        <f aca="false">IF($A917="","",SUMIFS(반납내역!$D$3:$D$1502,반납내역!$B$3:$B$1502,$A917))</f>
        <v/>
      </c>
      <c r="J917" s="16" t="str">
        <f aca="false">IF($A917="","",IF($G917="","",$G917-$I917))</f>
        <v/>
      </c>
      <c r="K917" s="17" t="str">
        <f aca="true">IF(OR($A917="",$J917="",$J917&lt;=0,$H917=""),"",TODAY()-$H917)</f>
        <v/>
      </c>
      <c r="L917" s="14" t="str">
        <f aca="false">IF($A917="","",IF($G917="","",IF($J917&lt;=0,"반납완료",IF($I917&gt;0,"부분반납","미반납"))))</f>
        <v/>
      </c>
    </row>
    <row r="918" customFormat="false" ht="15" hidden="false" customHeight="false" outlineLevel="0" collapsed="false">
      <c r="A918" s="14" t="str">
        <f aca="false">IF($B918="","",TEXT($B918,"yymmdd")&amp;"-"&amp;TEXT(COUNTIFS($B$3:$B918,$B918),"00"))</f>
        <v/>
      </c>
      <c r="B918" s="15"/>
      <c r="C918" s="9"/>
      <c r="D918" s="10"/>
      <c r="E918" s="14" t="str">
        <f aca="false">IF($D918="","",IFERROR(INDEX(품목목록!$B$3:$B$202,MATCH($D918,품목목록!$A$3:$A$202,0)),"미등록품번"))</f>
        <v/>
      </c>
      <c r="F918" s="14" t="str">
        <f aca="false">IF($D918="","",IFERROR(INDEX(품목목록!$D$3:$D$202,MATCH($D918,품목목록!$A$3:$A$202,0)),""))</f>
        <v/>
      </c>
      <c r="G918" s="11"/>
      <c r="H918" s="15"/>
      <c r="I918" s="16" t="str">
        <f aca="false">IF($A918="","",SUMIFS(반납내역!$D$3:$D$1502,반납내역!$B$3:$B$1502,$A918))</f>
        <v/>
      </c>
      <c r="J918" s="16" t="str">
        <f aca="false">IF($A918="","",IF($G918="","",$G918-$I918))</f>
        <v/>
      </c>
      <c r="K918" s="17" t="str">
        <f aca="true">IF(OR($A918="",$J918="",$J918&lt;=0,$H918=""),"",TODAY()-$H918)</f>
        <v/>
      </c>
      <c r="L918" s="14" t="str">
        <f aca="false">IF($A918="","",IF($G918="","",IF($J918&lt;=0,"반납완료",IF($I918&gt;0,"부분반납","미반납"))))</f>
        <v/>
      </c>
    </row>
    <row r="919" customFormat="false" ht="15" hidden="false" customHeight="false" outlineLevel="0" collapsed="false">
      <c r="A919" s="14" t="str">
        <f aca="false">IF($B919="","",TEXT($B919,"yymmdd")&amp;"-"&amp;TEXT(COUNTIFS($B$3:$B919,$B919),"00"))</f>
        <v/>
      </c>
      <c r="B919" s="15"/>
      <c r="C919" s="9"/>
      <c r="D919" s="10"/>
      <c r="E919" s="14" t="str">
        <f aca="false">IF($D919="","",IFERROR(INDEX(품목목록!$B$3:$B$202,MATCH($D919,품목목록!$A$3:$A$202,0)),"미등록품번"))</f>
        <v/>
      </c>
      <c r="F919" s="14" t="str">
        <f aca="false">IF($D919="","",IFERROR(INDEX(품목목록!$D$3:$D$202,MATCH($D919,품목목록!$A$3:$A$202,0)),""))</f>
        <v/>
      </c>
      <c r="G919" s="11"/>
      <c r="H919" s="15"/>
      <c r="I919" s="16" t="str">
        <f aca="false">IF($A919="","",SUMIFS(반납내역!$D$3:$D$1502,반납내역!$B$3:$B$1502,$A919))</f>
        <v/>
      </c>
      <c r="J919" s="16" t="str">
        <f aca="false">IF($A919="","",IF($G919="","",$G919-$I919))</f>
        <v/>
      </c>
      <c r="K919" s="17" t="str">
        <f aca="true">IF(OR($A919="",$J919="",$J919&lt;=0,$H919=""),"",TODAY()-$H919)</f>
        <v/>
      </c>
      <c r="L919" s="14" t="str">
        <f aca="false">IF($A919="","",IF($G919="","",IF($J919&lt;=0,"반납완료",IF($I919&gt;0,"부분반납","미반납"))))</f>
        <v/>
      </c>
    </row>
    <row r="920" customFormat="false" ht="15" hidden="false" customHeight="false" outlineLevel="0" collapsed="false">
      <c r="A920" s="14" t="str">
        <f aca="false">IF($B920="","",TEXT($B920,"yymmdd")&amp;"-"&amp;TEXT(COUNTIFS($B$3:$B920,$B920),"00"))</f>
        <v/>
      </c>
      <c r="B920" s="15"/>
      <c r="C920" s="9"/>
      <c r="D920" s="10"/>
      <c r="E920" s="14" t="str">
        <f aca="false">IF($D920="","",IFERROR(INDEX(품목목록!$B$3:$B$202,MATCH($D920,품목목록!$A$3:$A$202,0)),"미등록품번"))</f>
        <v/>
      </c>
      <c r="F920" s="14" t="str">
        <f aca="false">IF($D920="","",IFERROR(INDEX(품목목록!$D$3:$D$202,MATCH($D920,품목목록!$A$3:$A$202,0)),""))</f>
        <v/>
      </c>
      <c r="G920" s="11"/>
      <c r="H920" s="15"/>
      <c r="I920" s="16" t="str">
        <f aca="false">IF($A920="","",SUMIFS(반납내역!$D$3:$D$1502,반납내역!$B$3:$B$1502,$A920))</f>
        <v/>
      </c>
      <c r="J920" s="16" t="str">
        <f aca="false">IF($A920="","",IF($G920="","",$G920-$I920))</f>
        <v/>
      </c>
      <c r="K920" s="17" t="str">
        <f aca="true">IF(OR($A920="",$J920="",$J920&lt;=0,$H920=""),"",TODAY()-$H920)</f>
        <v/>
      </c>
      <c r="L920" s="14" t="str">
        <f aca="false">IF($A920="","",IF($G920="","",IF($J920&lt;=0,"반납완료",IF($I920&gt;0,"부분반납","미반납"))))</f>
        <v/>
      </c>
    </row>
    <row r="921" customFormat="false" ht="15" hidden="false" customHeight="false" outlineLevel="0" collapsed="false">
      <c r="A921" s="14" t="str">
        <f aca="false">IF($B921="","",TEXT($B921,"yymmdd")&amp;"-"&amp;TEXT(COUNTIFS($B$3:$B921,$B921),"00"))</f>
        <v/>
      </c>
      <c r="B921" s="15"/>
      <c r="C921" s="9"/>
      <c r="D921" s="10"/>
      <c r="E921" s="14" t="str">
        <f aca="false">IF($D921="","",IFERROR(INDEX(품목목록!$B$3:$B$202,MATCH($D921,품목목록!$A$3:$A$202,0)),"미등록품번"))</f>
        <v/>
      </c>
      <c r="F921" s="14" t="str">
        <f aca="false">IF($D921="","",IFERROR(INDEX(품목목록!$D$3:$D$202,MATCH($D921,품목목록!$A$3:$A$202,0)),""))</f>
        <v/>
      </c>
      <c r="G921" s="11"/>
      <c r="H921" s="15"/>
      <c r="I921" s="16" t="str">
        <f aca="false">IF($A921="","",SUMIFS(반납내역!$D$3:$D$1502,반납내역!$B$3:$B$1502,$A921))</f>
        <v/>
      </c>
      <c r="J921" s="16" t="str">
        <f aca="false">IF($A921="","",IF($G921="","",$G921-$I921))</f>
        <v/>
      </c>
      <c r="K921" s="17" t="str">
        <f aca="true">IF(OR($A921="",$J921="",$J921&lt;=0,$H921=""),"",TODAY()-$H921)</f>
        <v/>
      </c>
      <c r="L921" s="14" t="str">
        <f aca="false">IF($A921="","",IF($G921="","",IF($J921&lt;=0,"반납완료",IF($I921&gt;0,"부분반납","미반납"))))</f>
        <v/>
      </c>
    </row>
    <row r="922" customFormat="false" ht="15" hidden="false" customHeight="false" outlineLevel="0" collapsed="false">
      <c r="A922" s="14" t="str">
        <f aca="false">IF($B922="","",TEXT($B922,"yymmdd")&amp;"-"&amp;TEXT(COUNTIFS($B$3:$B922,$B922),"00"))</f>
        <v/>
      </c>
      <c r="B922" s="15"/>
      <c r="C922" s="9"/>
      <c r="D922" s="10"/>
      <c r="E922" s="14" t="str">
        <f aca="false">IF($D922="","",IFERROR(INDEX(품목목록!$B$3:$B$202,MATCH($D922,품목목록!$A$3:$A$202,0)),"미등록품번"))</f>
        <v/>
      </c>
      <c r="F922" s="14" t="str">
        <f aca="false">IF($D922="","",IFERROR(INDEX(품목목록!$D$3:$D$202,MATCH($D922,품목목록!$A$3:$A$202,0)),""))</f>
        <v/>
      </c>
      <c r="G922" s="11"/>
      <c r="H922" s="15"/>
      <c r="I922" s="16" t="str">
        <f aca="false">IF($A922="","",SUMIFS(반납내역!$D$3:$D$1502,반납내역!$B$3:$B$1502,$A922))</f>
        <v/>
      </c>
      <c r="J922" s="16" t="str">
        <f aca="false">IF($A922="","",IF($G922="","",$G922-$I922))</f>
        <v/>
      </c>
      <c r="K922" s="17" t="str">
        <f aca="true">IF(OR($A922="",$J922="",$J922&lt;=0,$H922=""),"",TODAY()-$H922)</f>
        <v/>
      </c>
      <c r="L922" s="14" t="str">
        <f aca="false">IF($A922="","",IF($G922="","",IF($J922&lt;=0,"반납완료",IF($I922&gt;0,"부분반납","미반납"))))</f>
        <v/>
      </c>
    </row>
    <row r="923" customFormat="false" ht="15" hidden="false" customHeight="false" outlineLevel="0" collapsed="false">
      <c r="A923" s="14" t="str">
        <f aca="false">IF($B923="","",TEXT($B923,"yymmdd")&amp;"-"&amp;TEXT(COUNTIFS($B$3:$B923,$B923),"00"))</f>
        <v/>
      </c>
      <c r="B923" s="15"/>
      <c r="C923" s="9"/>
      <c r="D923" s="10"/>
      <c r="E923" s="14" t="str">
        <f aca="false">IF($D923="","",IFERROR(INDEX(품목목록!$B$3:$B$202,MATCH($D923,품목목록!$A$3:$A$202,0)),"미등록품번"))</f>
        <v/>
      </c>
      <c r="F923" s="14" t="str">
        <f aca="false">IF($D923="","",IFERROR(INDEX(품목목록!$D$3:$D$202,MATCH($D923,품목목록!$A$3:$A$202,0)),""))</f>
        <v/>
      </c>
      <c r="G923" s="11"/>
      <c r="H923" s="15"/>
      <c r="I923" s="16" t="str">
        <f aca="false">IF($A923="","",SUMIFS(반납내역!$D$3:$D$1502,반납내역!$B$3:$B$1502,$A923))</f>
        <v/>
      </c>
      <c r="J923" s="16" t="str">
        <f aca="false">IF($A923="","",IF($G923="","",$G923-$I923))</f>
        <v/>
      </c>
      <c r="K923" s="17" t="str">
        <f aca="true">IF(OR($A923="",$J923="",$J923&lt;=0,$H923=""),"",TODAY()-$H923)</f>
        <v/>
      </c>
      <c r="L923" s="14" t="str">
        <f aca="false">IF($A923="","",IF($G923="","",IF($J923&lt;=0,"반납완료",IF($I923&gt;0,"부분반납","미반납"))))</f>
        <v/>
      </c>
    </row>
    <row r="924" customFormat="false" ht="15" hidden="false" customHeight="false" outlineLevel="0" collapsed="false">
      <c r="A924" s="14" t="str">
        <f aca="false">IF($B924="","",TEXT($B924,"yymmdd")&amp;"-"&amp;TEXT(COUNTIFS($B$3:$B924,$B924),"00"))</f>
        <v/>
      </c>
      <c r="B924" s="15"/>
      <c r="C924" s="9"/>
      <c r="D924" s="10"/>
      <c r="E924" s="14" t="str">
        <f aca="false">IF($D924="","",IFERROR(INDEX(품목목록!$B$3:$B$202,MATCH($D924,품목목록!$A$3:$A$202,0)),"미등록품번"))</f>
        <v/>
      </c>
      <c r="F924" s="14" t="str">
        <f aca="false">IF($D924="","",IFERROR(INDEX(품목목록!$D$3:$D$202,MATCH($D924,품목목록!$A$3:$A$202,0)),""))</f>
        <v/>
      </c>
      <c r="G924" s="11"/>
      <c r="H924" s="15"/>
      <c r="I924" s="16" t="str">
        <f aca="false">IF($A924="","",SUMIFS(반납내역!$D$3:$D$1502,반납내역!$B$3:$B$1502,$A924))</f>
        <v/>
      </c>
      <c r="J924" s="16" t="str">
        <f aca="false">IF($A924="","",IF($G924="","",$G924-$I924))</f>
        <v/>
      </c>
      <c r="K924" s="17" t="str">
        <f aca="true">IF(OR($A924="",$J924="",$J924&lt;=0,$H924=""),"",TODAY()-$H924)</f>
        <v/>
      </c>
      <c r="L924" s="14" t="str">
        <f aca="false">IF($A924="","",IF($G924="","",IF($J924&lt;=0,"반납완료",IF($I924&gt;0,"부분반납","미반납"))))</f>
        <v/>
      </c>
    </row>
    <row r="925" customFormat="false" ht="15" hidden="false" customHeight="false" outlineLevel="0" collapsed="false">
      <c r="A925" s="14" t="str">
        <f aca="false">IF($B925="","",TEXT($B925,"yymmdd")&amp;"-"&amp;TEXT(COUNTIFS($B$3:$B925,$B925),"00"))</f>
        <v/>
      </c>
      <c r="B925" s="15"/>
      <c r="C925" s="9"/>
      <c r="D925" s="10"/>
      <c r="E925" s="14" t="str">
        <f aca="false">IF($D925="","",IFERROR(INDEX(품목목록!$B$3:$B$202,MATCH($D925,품목목록!$A$3:$A$202,0)),"미등록품번"))</f>
        <v/>
      </c>
      <c r="F925" s="14" t="str">
        <f aca="false">IF($D925="","",IFERROR(INDEX(품목목록!$D$3:$D$202,MATCH($D925,품목목록!$A$3:$A$202,0)),""))</f>
        <v/>
      </c>
      <c r="G925" s="11"/>
      <c r="H925" s="15"/>
      <c r="I925" s="16" t="str">
        <f aca="false">IF($A925="","",SUMIFS(반납내역!$D$3:$D$1502,반납내역!$B$3:$B$1502,$A925))</f>
        <v/>
      </c>
      <c r="J925" s="16" t="str">
        <f aca="false">IF($A925="","",IF($G925="","",$G925-$I925))</f>
        <v/>
      </c>
      <c r="K925" s="17" t="str">
        <f aca="true">IF(OR($A925="",$J925="",$J925&lt;=0,$H925=""),"",TODAY()-$H925)</f>
        <v/>
      </c>
      <c r="L925" s="14" t="str">
        <f aca="false">IF($A925="","",IF($G925="","",IF($J925&lt;=0,"반납완료",IF($I925&gt;0,"부분반납","미반납"))))</f>
        <v/>
      </c>
    </row>
    <row r="926" customFormat="false" ht="15" hidden="false" customHeight="false" outlineLevel="0" collapsed="false">
      <c r="A926" s="14" t="str">
        <f aca="false">IF($B926="","",TEXT($B926,"yymmdd")&amp;"-"&amp;TEXT(COUNTIFS($B$3:$B926,$B926),"00"))</f>
        <v/>
      </c>
      <c r="B926" s="15"/>
      <c r="C926" s="9"/>
      <c r="D926" s="10"/>
      <c r="E926" s="14" t="str">
        <f aca="false">IF($D926="","",IFERROR(INDEX(품목목록!$B$3:$B$202,MATCH($D926,품목목록!$A$3:$A$202,0)),"미등록품번"))</f>
        <v/>
      </c>
      <c r="F926" s="14" t="str">
        <f aca="false">IF($D926="","",IFERROR(INDEX(품목목록!$D$3:$D$202,MATCH($D926,품목목록!$A$3:$A$202,0)),""))</f>
        <v/>
      </c>
      <c r="G926" s="11"/>
      <c r="H926" s="15"/>
      <c r="I926" s="16" t="str">
        <f aca="false">IF($A926="","",SUMIFS(반납내역!$D$3:$D$1502,반납내역!$B$3:$B$1502,$A926))</f>
        <v/>
      </c>
      <c r="J926" s="16" t="str">
        <f aca="false">IF($A926="","",IF($G926="","",$G926-$I926))</f>
        <v/>
      </c>
      <c r="K926" s="17" t="str">
        <f aca="true">IF(OR($A926="",$J926="",$J926&lt;=0,$H926=""),"",TODAY()-$H926)</f>
        <v/>
      </c>
      <c r="L926" s="14" t="str">
        <f aca="false">IF($A926="","",IF($G926="","",IF($J926&lt;=0,"반납완료",IF($I926&gt;0,"부분반납","미반납"))))</f>
        <v/>
      </c>
    </row>
    <row r="927" customFormat="false" ht="15" hidden="false" customHeight="false" outlineLevel="0" collapsed="false">
      <c r="A927" s="14" t="str">
        <f aca="false">IF($B927="","",TEXT($B927,"yymmdd")&amp;"-"&amp;TEXT(COUNTIFS($B$3:$B927,$B927),"00"))</f>
        <v/>
      </c>
      <c r="B927" s="15"/>
      <c r="C927" s="9"/>
      <c r="D927" s="10"/>
      <c r="E927" s="14" t="str">
        <f aca="false">IF($D927="","",IFERROR(INDEX(품목목록!$B$3:$B$202,MATCH($D927,품목목록!$A$3:$A$202,0)),"미등록품번"))</f>
        <v/>
      </c>
      <c r="F927" s="14" t="str">
        <f aca="false">IF($D927="","",IFERROR(INDEX(품목목록!$D$3:$D$202,MATCH($D927,품목목록!$A$3:$A$202,0)),""))</f>
        <v/>
      </c>
      <c r="G927" s="11"/>
      <c r="H927" s="15"/>
      <c r="I927" s="16" t="str">
        <f aca="false">IF($A927="","",SUMIFS(반납내역!$D$3:$D$1502,반납내역!$B$3:$B$1502,$A927))</f>
        <v/>
      </c>
      <c r="J927" s="16" t="str">
        <f aca="false">IF($A927="","",IF($G927="","",$G927-$I927))</f>
        <v/>
      </c>
      <c r="K927" s="17" t="str">
        <f aca="true">IF(OR($A927="",$J927="",$J927&lt;=0,$H927=""),"",TODAY()-$H927)</f>
        <v/>
      </c>
      <c r="L927" s="14" t="str">
        <f aca="false">IF($A927="","",IF($G927="","",IF($J927&lt;=0,"반납완료",IF($I927&gt;0,"부분반납","미반납"))))</f>
        <v/>
      </c>
    </row>
    <row r="928" customFormat="false" ht="15" hidden="false" customHeight="false" outlineLevel="0" collapsed="false">
      <c r="A928" s="14" t="str">
        <f aca="false">IF($B928="","",TEXT($B928,"yymmdd")&amp;"-"&amp;TEXT(COUNTIFS($B$3:$B928,$B928),"00"))</f>
        <v/>
      </c>
      <c r="B928" s="15"/>
      <c r="C928" s="9"/>
      <c r="D928" s="10"/>
      <c r="E928" s="14" t="str">
        <f aca="false">IF($D928="","",IFERROR(INDEX(품목목록!$B$3:$B$202,MATCH($D928,품목목록!$A$3:$A$202,0)),"미등록품번"))</f>
        <v/>
      </c>
      <c r="F928" s="14" t="str">
        <f aca="false">IF($D928="","",IFERROR(INDEX(품목목록!$D$3:$D$202,MATCH($D928,품목목록!$A$3:$A$202,0)),""))</f>
        <v/>
      </c>
      <c r="G928" s="11"/>
      <c r="H928" s="15"/>
      <c r="I928" s="16" t="str">
        <f aca="false">IF($A928="","",SUMIFS(반납내역!$D$3:$D$1502,반납내역!$B$3:$B$1502,$A928))</f>
        <v/>
      </c>
      <c r="J928" s="16" t="str">
        <f aca="false">IF($A928="","",IF($G928="","",$G928-$I928))</f>
        <v/>
      </c>
      <c r="K928" s="17" t="str">
        <f aca="true">IF(OR($A928="",$J928="",$J928&lt;=0,$H928=""),"",TODAY()-$H928)</f>
        <v/>
      </c>
      <c r="L928" s="14" t="str">
        <f aca="false">IF($A928="","",IF($G928="","",IF($J928&lt;=0,"반납완료",IF($I928&gt;0,"부분반납","미반납"))))</f>
        <v/>
      </c>
    </row>
    <row r="929" customFormat="false" ht="15" hidden="false" customHeight="false" outlineLevel="0" collapsed="false">
      <c r="A929" s="14" t="str">
        <f aca="false">IF($B929="","",TEXT($B929,"yymmdd")&amp;"-"&amp;TEXT(COUNTIFS($B$3:$B929,$B929),"00"))</f>
        <v/>
      </c>
      <c r="B929" s="15"/>
      <c r="C929" s="9"/>
      <c r="D929" s="10"/>
      <c r="E929" s="14" t="str">
        <f aca="false">IF($D929="","",IFERROR(INDEX(품목목록!$B$3:$B$202,MATCH($D929,품목목록!$A$3:$A$202,0)),"미등록품번"))</f>
        <v/>
      </c>
      <c r="F929" s="14" t="str">
        <f aca="false">IF($D929="","",IFERROR(INDEX(품목목록!$D$3:$D$202,MATCH($D929,품목목록!$A$3:$A$202,0)),""))</f>
        <v/>
      </c>
      <c r="G929" s="11"/>
      <c r="H929" s="15"/>
      <c r="I929" s="16" t="str">
        <f aca="false">IF($A929="","",SUMIFS(반납내역!$D$3:$D$1502,반납내역!$B$3:$B$1502,$A929))</f>
        <v/>
      </c>
      <c r="J929" s="16" t="str">
        <f aca="false">IF($A929="","",IF($G929="","",$G929-$I929))</f>
        <v/>
      </c>
      <c r="K929" s="17" t="str">
        <f aca="true">IF(OR($A929="",$J929="",$J929&lt;=0,$H929=""),"",TODAY()-$H929)</f>
        <v/>
      </c>
      <c r="L929" s="14" t="str">
        <f aca="false">IF($A929="","",IF($G929="","",IF($J929&lt;=0,"반납완료",IF($I929&gt;0,"부분반납","미반납"))))</f>
        <v/>
      </c>
    </row>
    <row r="930" customFormat="false" ht="15" hidden="false" customHeight="false" outlineLevel="0" collapsed="false">
      <c r="A930" s="14" t="str">
        <f aca="false">IF($B930="","",TEXT($B930,"yymmdd")&amp;"-"&amp;TEXT(COUNTIFS($B$3:$B930,$B930),"00"))</f>
        <v/>
      </c>
      <c r="B930" s="15"/>
      <c r="C930" s="9"/>
      <c r="D930" s="10"/>
      <c r="E930" s="14" t="str">
        <f aca="false">IF($D930="","",IFERROR(INDEX(품목목록!$B$3:$B$202,MATCH($D930,품목목록!$A$3:$A$202,0)),"미등록품번"))</f>
        <v/>
      </c>
      <c r="F930" s="14" t="str">
        <f aca="false">IF($D930="","",IFERROR(INDEX(품목목록!$D$3:$D$202,MATCH($D930,품목목록!$A$3:$A$202,0)),""))</f>
        <v/>
      </c>
      <c r="G930" s="11"/>
      <c r="H930" s="15"/>
      <c r="I930" s="16" t="str">
        <f aca="false">IF($A930="","",SUMIFS(반납내역!$D$3:$D$1502,반납내역!$B$3:$B$1502,$A930))</f>
        <v/>
      </c>
      <c r="J930" s="16" t="str">
        <f aca="false">IF($A930="","",IF($G930="","",$G930-$I930))</f>
        <v/>
      </c>
      <c r="K930" s="17" t="str">
        <f aca="true">IF(OR($A930="",$J930="",$J930&lt;=0,$H930=""),"",TODAY()-$H930)</f>
        <v/>
      </c>
      <c r="L930" s="14" t="str">
        <f aca="false">IF($A930="","",IF($G930="","",IF($J930&lt;=0,"반납완료",IF($I930&gt;0,"부분반납","미반납"))))</f>
        <v/>
      </c>
    </row>
    <row r="931" customFormat="false" ht="15" hidden="false" customHeight="false" outlineLevel="0" collapsed="false">
      <c r="A931" s="14" t="str">
        <f aca="false">IF($B931="","",TEXT($B931,"yymmdd")&amp;"-"&amp;TEXT(COUNTIFS($B$3:$B931,$B931),"00"))</f>
        <v/>
      </c>
      <c r="B931" s="15"/>
      <c r="C931" s="9"/>
      <c r="D931" s="10"/>
      <c r="E931" s="14" t="str">
        <f aca="false">IF($D931="","",IFERROR(INDEX(품목목록!$B$3:$B$202,MATCH($D931,품목목록!$A$3:$A$202,0)),"미등록품번"))</f>
        <v/>
      </c>
      <c r="F931" s="14" t="str">
        <f aca="false">IF($D931="","",IFERROR(INDEX(품목목록!$D$3:$D$202,MATCH($D931,품목목록!$A$3:$A$202,0)),""))</f>
        <v/>
      </c>
      <c r="G931" s="11"/>
      <c r="H931" s="15"/>
      <c r="I931" s="16" t="str">
        <f aca="false">IF($A931="","",SUMIFS(반납내역!$D$3:$D$1502,반납내역!$B$3:$B$1502,$A931))</f>
        <v/>
      </c>
      <c r="J931" s="16" t="str">
        <f aca="false">IF($A931="","",IF($G931="","",$G931-$I931))</f>
        <v/>
      </c>
      <c r="K931" s="17" t="str">
        <f aca="true">IF(OR($A931="",$J931="",$J931&lt;=0,$H931=""),"",TODAY()-$H931)</f>
        <v/>
      </c>
      <c r="L931" s="14" t="str">
        <f aca="false">IF($A931="","",IF($G931="","",IF($J931&lt;=0,"반납완료",IF($I931&gt;0,"부분반납","미반납"))))</f>
        <v/>
      </c>
    </row>
    <row r="932" customFormat="false" ht="15" hidden="false" customHeight="false" outlineLevel="0" collapsed="false">
      <c r="A932" s="14" t="str">
        <f aca="false">IF($B932="","",TEXT($B932,"yymmdd")&amp;"-"&amp;TEXT(COUNTIFS($B$3:$B932,$B932),"00"))</f>
        <v/>
      </c>
      <c r="B932" s="15"/>
      <c r="C932" s="9"/>
      <c r="D932" s="10"/>
      <c r="E932" s="14" t="str">
        <f aca="false">IF($D932="","",IFERROR(INDEX(품목목록!$B$3:$B$202,MATCH($D932,품목목록!$A$3:$A$202,0)),"미등록품번"))</f>
        <v/>
      </c>
      <c r="F932" s="14" t="str">
        <f aca="false">IF($D932="","",IFERROR(INDEX(품목목록!$D$3:$D$202,MATCH($D932,품목목록!$A$3:$A$202,0)),""))</f>
        <v/>
      </c>
      <c r="G932" s="11"/>
      <c r="H932" s="15"/>
      <c r="I932" s="16" t="str">
        <f aca="false">IF($A932="","",SUMIFS(반납내역!$D$3:$D$1502,반납내역!$B$3:$B$1502,$A932))</f>
        <v/>
      </c>
      <c r="J932" s="16" t="str">
        <f aca="false">IF($A932="","",IF($G932="","",$G932-$I932))</f>
        <v/>
      </c>
      <c r="K932" s="17" t="str">
        <f aca="true">IF(OR($A932="",$J932="",$J932&lt;=0,$H932=""),"",TODAY()-$H932)</f>
        <v/>
      </c>
      <c r="L932" s="14" t="str">
        <f aca="false">IF($A932="","",IF($G932="","",IF($J932&lt;=0,"반납완료",IF($I932&gt;0,"부분반납","미반납"))))</f>
        <v/>
      </c>
    </row>
    <row r="933" customFormat="false" ht="15" hidden="false" customHeight="false" outlineLevel="0" collapsed="false">
      <c r="A933" s="14" t="str">
        <f aca="false">IF($B933="","",TEXT($B933,"yymmdd")&amp;"-"&amp;TEXT(COUNTIFS($B$3:$B933,$B933),"00"))</f>
        <v/>
      </c>
      <c r="B933" s="15"/>
      <c r="C933" s="9"/>
      <c r="D933" s="10"/>
      <c r="E933" s="14" t="str">
        <f aca="false">IF($D933="","",IFERROR(INDEX(품목목록!$B$3:$B$202,MATCH($D933,품목목록!$A$3:$A$202,0)),"미등록품번"))</f>
        <v/>
      </c>
      <c r="F933" s="14" t="str">
        <f aca="false">IF($D933="","",IFERROR(INDEX(품목목록!$D$3:$D$202,MATCH($D933,품목목록!$A$3:$A$202,0)),""))</f>
        <v/>
      </c>
      <c r="G933" s="11"/>
      <c r="H933" s="15"/>
      <c r="I933" s="16" t="str">
        <f aca="false">IF($A933="","",SUMIFS(반납내역!$D$3:$D$1502,반납내역!$B$3:$B$1502,$A933))</f>
        <v/>
      </c>
      <c r="J933" s="16" t="str">
        <f aca="false">IF($A933="","",IF($G933="","",$G933-$I933))</f>
        <v/>
      </c>
      <c r="K933" s="17" t="str">
        <f aca="true">IF(OR($A933="",$J933="",$J933&lt;=0,$H933=""),"",TODAY()-$H933)</f>
        <v/>
      </c>
      <c r="L933" s="14" t="str">
        <f aca="false">IF($A933="","",IF($G933="","",IF($J933&lt;=0,"반납완료",IF($I933&gt;0,"부분반납","미반납"))))</f>
        <v/>
      </c>
    </row>
    <row r="934" customFormat="false" ht="15" hidden="false" customHeight="false" outlineLevel="0" collapsed="false">
      <c r="A934" s="14" t="str">
        <f aca="false">IF($B934="","",TEXT($B934,"yymmdd")&amp;"-"&amp;TEXT(COUNTIFS($B$3:$B934,$B934),"00"))</f>
        <v/>
      </c>
      <c r="B934" s="15"/>
      <c r="C934" s="9"/>
      <c r="D934" s="10"/>
      <c r="E934" s="14" t="str">
        <f aca="false">IF($D934="","",IFERROR(INDEX(품목목록!$B$3:$B$202,MATCH($D934,품목목록!$A$3:$A$202,0)),"미등록품번"))</f>
        <v/>
      </c>
      <c r="F934" s="14" t="str">
        <f aca="false">IF($D934="","",IFERROR(INDEX(품목목록!$D$3:$D$202,MATCH($D934,품목목록!$A$3:$A$202,0)),""))</f>
        <v/>
      </c>
      <c r="G934" s="11"/>
      <c r="H934" s="15"/>
      <c r="I934" s="16" t="str">
        <f aca="false">IF($A934="","",SUMIFS(반납내역!$D$3:$D$1502,반납내역!$B$3:$B$1502,$A934))</f>
        <v/>
      </c>
      <c r="J934" s="16" t="str">
        <f aca="false">IF($A934="","",IF($G934="","",$G934-$I934))</f>
        <v/>
      </c>
      <c r="K934" s="17" t="str">
        <f aca="true">IF(OR($A934="",$J934="",$J934&lt;=0,$H934=""),"",TODAY()-$H934)</f>
        <v/>
      </c>
      <c r="L934" s="14" t="str">
        <f aca="false">IF($A934="","",IF($G934="","",IF($J934&lt;=0,"반납완료",IF($I934&gt;0,"부분반납","미반납"))))</f>
        <v/>
      </c>
    </row>
    <row r="935" customFormat="false" ht="15" hidden="false" customHeight="false" outlineLevel="0" collapsed="false">
      <c r="A935" s="14" t="str">
        <f aca="false">IF($B935="","",TEXT($B935,"yymmdd")&amp;"-"&amp;TEXT(COUNTIFS($B$3:$B935,$B935),"00"))</f>
        <v/>
      </c>
      <c r="B935" s="15"/>
      <c r="C935" s="9"/>
      <c r="D935" s="10"/>
      <c r="E935" s="14" t="str">
        <f aca="false">IF($D935="","",IFERROR(INDEX(품목목록!$B$3:$B$202,MATCH($D935,품목목록!$A$3:$A$202,0)),"미등록품번"))</f>
        <v/>
      </c>
      <c r="F935" s="14" t="str">
        <f aca="false">IF($D935="","",IFERROR(INDEX(품목목록!$D$3:$D$202,MATCH($D935,품목목록!$A$3:$A$202,0)),""))</f>
        <v/>
      </c>
      <c r="G935" s="11"/>
      <c r="H935" s="15"/>
      <c r="I935" s="16" t="str">
        <f aca="false">IF($A935="","",SUMIFS(반납내역!$D$3:$D$1502,반납내역!$B$3:$B$1502,$A935))</f>
        <v/>
      </c>
      <c r="J935" s="16" t="str">
        <f aca="false">IF($A935="","",IF($G935="","",$G935-$I935))</f>
        <v/>
      </c>
      <c r="K935" s="17" t="str">
        <f aca="true">IF(OR($A935="",$J935="",$J935&lt;=0,$H935=""),"",TODAY()-$H935)</f>
        <v/>
      </c>
      <c r="L935" s="14" t="str">
        <f aca="false">IF($A935="","",IF($G935="","",IF($J935&lt;=0,"반납완료",IF($I935&gt;0,"부분반납","미반납"))))</f>
        <v/>
      </c>
    </row>
    <row r="936" customFormat="false" ht="15" hidden="false" customHeight="false" outlineLevel="0" collapsed="false">
      <c r="A936" s="14" t="str">
        <f aca="false">IF($B936="","",TEXT($B936,"yymmdd")&amp;"-"&amp;TEXT(COUNTIFS($B$3:$B936,$B936),"00"))</f>
        <v/>
      </c>
      <c r="B936" s="15"/>
      <c r="C936" s="9"/>
      <c r="D936" s="10"/>
      <c r="E936" s="14" t="str">
        <f aca="false">IF($D936="","",IFERROR(INDEX(품목목록!$B$3:$B$202,MATCH($D936,품목목록!$A$3:$A$202,0)),"미등록품번"))</f>
        <v/>
      </c>
      <c r="F936" s="14" t="str">
        <f aca="false">IF($D936="","",IFERROR(INDEX(품목목록!$D$3:$D$202,MATCH($D936,품목목록!$A$3:$A$202,0)),""))</f>
        <v/>
      </c>
      <c r="G936" s="11"/>
      <c r="H936" s="15"/>
      <c r="I936" s="16" t="str">
        <f aca="false">IF($A936="","",SUMIFS(반납내역!$D$3:$D$1502,반납내역!$B$3:$B$1502,$A936))</f>
        <v/>
      </c>
      <c r="J936" s="16" t="str">
        <f aca="false">IF($A936="","",IF($G936="","",$G936-$I936))</f>
        <v/>
      </c>
      <c r="K936" s="17" t="str">
        <f aca="true">IF(OR($A936="",$J936="",$J936&lt;=0,$H936=""),"",TODAY()-$H936)</f>
        <v/>
      </c>
      <c r="L936" s="14" t="str">
        <f aca="false">IF($A936="","",IF($G936="","",IF($J936&lt;=0,"반납완료",IF($I936&gt;0,"부분반납","미반납"))))</f>
        <v/>
      </c>
    </row>
    <row r="937" customFormat="false" ht="15" hidden="false" customHeight="false" outlineLevel="0" collapsed="false">
      <c r="A937" s="14" t="str">
        <f aca="false">IF($B937="","",TEXT($B937,"yymmdd")&amp;"-"&amp;TEXT(COUNTIFS($B$3:$B937,$B937),"00"))</f>
        <v/>
      </c>
      <c r="B937" s="15"/>
      <c r="C937" s="9"/>
      <c r="D937" s="10"/>
      <c r="E937" s="14" t="str">
        <f aca="false">IF($D937="","",IFERROR(INDEX(품목목록!$B$3:$B$202,MATCH($D937,품목목록!$A$3:$A$202,0)),"미등록품번"))</f>
        <v/>
      </c>
      <c r="F937" s="14" t="str">
        <f aca="false">IF($D937="","",IFERROR(INDEX(품목목록!$D$3:$D$202,MATCH($D937,품목목록!$A$3:$A$202,0)),""))</f>
        <v/>
      </c>
      <c r="G937" s="11"/>
      <c r="H937" s="15"/>
      <c r="I937" s="16" t="str">
        <f aca="false">IF($A937="","",SUMIFS(반납내역!$D$3:$D$1502,반납내역!$B$3:$B$1502,$A937))</f>
        <v/>
      </c>
      <c r="J937" s="16" t="str">
        <f aca="false">IF($A937="","",IF($G937="","",$G937-$I937))</f>
        <v/>
      </c>
      <c r="K937" s="17" t="str">
        <f aca="true">IF(OR($A937="",$J937="",$J937&lt;=0,$H937=""),"",TODAY()-$H937)</f>
        <v/>
      </c>
      <c r="L937" s="14" t="str">
        <f aca="false">IF($A937="","",IF($G937="","",IF($J937&lt;=0,"반납완료",IF($I937&gt;0,"부분반납","미반납"))))</f>
        <v/>
      </c>
    </row>
    <row r="938" customFormat="false" ht="15" hidden="false" customHeight="false" outlineLevel="0" collapsed="false">
      <c r="A938" s="14" t="str">
        <f aca="false">IF($B938="","",TEXT($B938,"yymmdd")&amp;"-"&amp;TEXT(COUNTIFS($B$3:$B938,$B938),"00"))</f>
        <v/>
      </c>
      <c r="B938" s="15"/>
      <c r="C938" s="9"/>
      <c r="D938" s="10"/>
      <c r="E938" s="14" t="str">
        <f aca="false">IF($D938="","",IFERROR(INDEX(품목목록!$B$3:$B$202,MATCH($D938,품목목록!$A$3:$A$202,0)),"미등록품번"))</f>
        <v/>
      </c>
      <c r="F938" s="14" t="str">
        <f aca="false">IF($D938="","",IFERROR(INDEX(품목목록!$D$3:$D$202,MATCH($D938,품목목록!$A$3:$A$202,0)),""))</f>
        <v/>
      </c>
      <c r="G938" s="11"/>
      <c r="H938" s="15"/>
      <c r="I938" s="16" t="str">
        <f aca="false">IF($A938="","",SUMIFS(반납내역!$D$3:$D$1502,반납내역!$B$3:$B$1502,$A938))</f>
        <v/>
      </c>
      <c r="J938" s="16" t="str">
        <f aca="false">IF($A938="","",IF($G938="","",$G938-$I938))</f>
        <v/>
      </c>
      <c r="K938" s="17" t="str">
        <f aca="true">IF(OR($A938="",$J938="",$J938&lt;=0,$H938=""),"",TODAY()-$H938)</f>
        <v/>
      </c>
      <c r="L938" s="14" t="str">
        <f aca="false">IF($A938="","",IF($G938="","",IF($J938&lt;=0,"반납완료",IF($I938&gt;0,"부분반납","미반납"))))</f>
        <v/>
      </c>
    </row>
    <row r="939" customFormat="false" ht="15" hidden="false" customHeight="false" outlineLevel="0" collapsed="false">
      <c r="A939" s="14" t="str">
        <f aca="false">IF($B939="","",TEXT($B939,"yymmdd")&amp;"-"&amp;TEXT(COUNTIFS($B$3:$B939,$B939),"00"))</f>
        <v/>
      </c>
      <c r="B939" s="15"/>
      <c r="C939" s="9"/>
      <c r="D939" s="10"/>
      <c r="E939" s="14" t="str">
        <f aca="false">IF($D939="","",IFERROR(INDEX(품목목록!$B$3:$B$202,MATCH($D939,품목목록!$A$3:$A$202,0)),"미등록품번"))</f>
        <v/>
      </c>
      <c r="F939" s="14" t="str">
        <f aca="false">IF($D939="","",IFERROR(INDEX(품목목록!$D$3:$D$202,MATCH($D939,품목목록!$A$3:$A$202,0)),""))</f>
        <v/>
      </c>
      <c r="G939" s="11"/>
      <c r="H939" s="15"/>
      <c r="I939" s="16" t="str">
        <f aca="false">IF($A939="","",SUMIFS(반납내역!$D$3:$D$1502,반납내역!$B$3:$B$1502,$A939))</f>
        <v/>
      </c>
      <c r="J939" s="16" t="str">
        <f aca="false">IF($A939="","",IF($G939="","",$G939-$I939))</f>
        <v/>
      </c>
      <c r="K939" s="17" t="str">
        <f aca="true">IF(OR($A939="",$J939="",$J939&lt;=0,$H939=""),"",TODAY()-$H939)</f>
        <v/>
      </c>
      <c r="L939" s="14" t="str">
        <f aca="false">IF($A939="","",IF($G939="","",IF($J939&lt;=0,"반납완료",IF($I939&gt;0,"부분반납","미반납"))))</f>
        <v/>
      </c>
    </row>
    <row r="940" customFormat="false" ht="15" hidden="false" customHeight="false" outlineLevel="0" collapsed="false">
      <c r="A940" s="14" t="str">
        <f aca="false">IF($B940="","",TEXT($B940,"yymmdd")&amp;"-"&amp;TEXT(COUNTIFS($B$3:$B940,$B940),"00"))</f>
        <v/>
      </c>
      <c r="B940" s="15"/>
      <c r="C940" s="9"/>
      <c r="D940" s="10"/>
      <c r="E940" s="14" t="str">
        <f aca="false">IF($D940="","",IFERROR(INDEX(품목목록!$B$3:$B$202,MATCH($D940,품목목록!$A$3:$A$202,0)),"미등록품번"))</f>
        <v/>
      </c>
      <c r="F940" s="14" t="str">
        <f aca="false">IF($D940="","",IFERROR(INDEX(품목목록!$D$3:$D$202,MATCH($D940,품목목록!$A$3:$A$202,0)),""))</f>
        <v/>
      </c>
      <c r="G940" s="11"/>
      <c r="H940" s="15"/>
      <c r="I940" s="16" t="str">
        <f aca="false">IF($A940="","",SUMIFS(반납내역!$D$3:$D$1502,반납내역!$B$3:$B$1502,$A940))</f>
        <v/>
      </c>
      <c r="J940" s="16" t="str">
        <f aca="false">IF($A940="","",IF($G940="","",$G940-$I940))</f>
        <v/>
      </c>
      <c r="K940" s="17" t="str">
        <f aca="true">IF(OR($A940="",$J940="",$J940&lt;=0,$H940=""),"",TODAY()-$H940)</f>
        <v/>
      </c>
      <c r="L940" s="14" t="str">
        <f aca="false">IF($A940="","",IF($G940="","",IF($J940&lt;=0,"반납완료",IF($I940&gt;0,"부분반납","미반납"))))</f>
        <v/>
      </c>
    </row>
    <row r="941" customFormat="false" ht="15" hidden="false" customHeight="false" outlineLevel="0" collapsed="false">
      <c r="A941" s="14" t="str">
        <f aca="false">IF($B941="","",TEXT($B941,"yymmdd")&amp;"-"&amp;TEXT(COUNTIFS($B$3:$B941,$B941),"00"))</f>
        <v/>
      </c>
      <c r="B941" s="15"/>
      <c r="C941" s="9"/>
      <c r="D941" s="10"/>
      <c r="E941" s="14" t="str">
        <f aca="false">IF($D941="","",IFERROR(INDEX(품목목록!$B$3:$B$202,MATCH($D941,품목목록!$A$3:$A$202,0)),"미등록품번"))</f>
        <v/>
      </c>
      <c r="F941" s="14" t="str">
        <f aca="false">IF($D941="","",IFERROR(INDEX(품목목록!$D$3:$D$202,MATCH($D941,품목목록!$A$3:$A$202,0)),""))</f>
        <v/>
      </c>
      <c r="G941" s="11"/>
      <c r="H941" s="15"/>
      <c r="I941" s="16" t="str">
        <f aca="false">IF($A941="","",SUMIFS(반납내역!$D$3:$D$1502,반납내역!$B$3:$B$1502,$A941))</f>
        <v/>
      </c>
      <c r="J941" s="16" t="str">
        <f aca="false">IF($A941="","",IF($G941="","",$G941-$I941))</f>
        <v/>
      </c>
      <c r="K941" s="17" t="str">
        <f aca="true">IF(OR($A941="",$J941="",$J941&lt;=0,$H941=""),"",TODAY()-$H941)</f>
        <v/>
      </c>
      <c r="L941" s="14" t="str">
        <f aca="false">IF($A941="","",IF($G941="","",IF($J941&lt;=0,"반납완료",IF($I941&gt;0,"부분반납","미반납"))))</f>
        <v/>
      </c>
    </row>
    <row r="942" customFormat="false" ht="15" hidden="false" customHeight="false" outlineLevel="0" collapsed="false">
      <c r="A942" s="14" t="str">
        <f aca="false">IF($B942="","",TEXT($B942,"yymmdd")&amp;"-"&amp;TEXT(COUNTIFS($B$3:$B942,$B942),"00"))</f>
        <v/>
      </c>
      <c r="B942" s="15"/>
      <c r="C942" s="9"/>
      <c r="D942" s="10"/>
      <c r="E942" s="14" t="str">
        <f aca="false">IF($D942="","",IFERROR(INDEX(품목목록!$B$3:$B$202,MATCH($D942,품목목록!$A$3:$A$202,0)),"미등록품번"))</f>
        <v/>
      </c>
      <c r="F942" s="14" t="str">
        <f aca="false">IF($D942="","",IFERROR(INDEX(품목목록!$D$3:$D$202,MATCH($D942,품목목록!$A$3:$A$202,0)),""))</f>
        <v/>
      </c>
      <c r="G942" s="11"/>
      <c r="H942" s="15"/>
      <c r="I942" s="16" t="str">
        <f aca="false">IF($A942="","",SUMIFS(반납내역!$D$3:$D$1502,반납내역!$B$3:$B$1502,$A942))</f>
        <v/>
      </c>
      <c r="J942" s="16" t="str">
        <f aca="false">IF($A942="","",IF($G942="","",$G942-$I942))</f>
        <v/>
      </c>
      <c r="K942" s="17" t="str">
        <f aca="true">IF(OR($A942="",$J942="",$J942&lt;=0,$H942=""),"",TODAY()-$H942)</f>
        <v/>
      </c>
      <c r="L942" s="14" t="str">
        <f aca="false">IF($A942="","",IF($G942="","",IF($J942&lt;=0,"반납완료",IF($I942&gt;0,"부분반납","미반납"))))</f>
        <v/>
      </c>
    </row>
    <row r="943" customFormat="false" ht="15" hidden="false" customHeight="false" outlineLevel="0" collapsed="false">
      <c r="A943" s="14" t="str">
        <f aca="false">IF($B943="","",TEXT($B943,"yymmdd")&amp;"-"&amp;TEXT(COUNTIFS($B$3:$B943,$B943),"00"))</f>
        <v/>
      </c>
      <c r="B943" s="15"/>
      <c r="C943" s="9"/>
      <c r="D943" s="10"/>
      <c r="E943" s="14" t="str">
        <f aca="false">IF($D943="","",IFERROR(INDEX(품목목록!$B$3:$B$202,MATCH($D943,품목목록!$A$3:$A$202,0)),"미등록품번"))</f>
        <v/>
      </c>
      <c r="F943" s="14" t="str">
        <f aca="false">IF($D943="","",IFERROR(INDEX(품목목록!$D$3:$D$202,MATCH($D943,품목목록!$A$3:$A$202,0)),""))</f>
        <v/>
      </c>
      <c r="G943" s="11"/>
      <c r="H943" s="15"/>
      <c r="I943" s="16" t="str">
        <f aca="false">IF($A943="","",SUMIFS(반납내역!$D$3:$D$1502,반납내역!$B$3:$B$1502,$A943))</f>
        <v/>
      </c>
      <c r="J943" s="16" t="str">
        <f aca="false">IF($A943="","",IF($G943="","",$G943-$I943))</f>
        <v/>
      </c>
      <c r="K943" s="17" t="str">
        <f aca="true">IF(OR($A943="",$J943="",$J943&lt;=0,$H943=""),"",TODAY()-$H943)</f>
        <v/>
      </c>
      <c r="L943" s="14" t="str">
        <f aca="false">IF($A943="","",IF($G943="","",IF($J943&lt;=0,"반납완료",IF($I943&gt;0,"부분반납","미반납"))))</f>
        <v/>
      </c>
    </row>
    <row r="944" customFormat="false" ht="15" hidden="false" customHeight="false" outlineLevel="0" collapsed="false">
      <c r="A944" s="14" t="str">
        <f aca="false">IF($B944="","",TEXT($B944,"yymmdd")&amp;"-"&amp;TEXT(COUNTIFS($B$3:$B944,$B944),"00"))</f>
        <v/>
      </c>
      <c r="B944" s="15"/>
      <c r="C944" s="9"/>
      <c r="D944" s="10"/>
      <c r="E944" s="14" t="str">
        <f aca="false">IF($D944="","",IFERROR(INDEX(품목목록!$B$3:$B$202,MATCH($D944,품목목록!$A$3:$A$202,0)),"미등록품번"))</f>
        <v/>
      </c>
      <c r="F944" s="14" t="str">
        <f aca="false">IF($D944="","",IFERROR(INDEX(품목목록!$D$3:$D$202,MATCH($D944,품목목록!$A$3:$A$202,0)),""))</f>
        <v/>
      </c>
      <c r="G944" s="11"/>
      <c r="H944" s="15"/>
      <c r="I944" s="16" t="str">
        <f aca="false">IF($A944="","",SUMIFS(반납내역!$D$3:$D$1502,반납내역!$B$3:$B$1502,$A944))</f>
        <v/>
      </c>
      <c r="J944" s="16" t="str">
        <f aca="false">IF($A944="","",IF($G944="","",$G944-$I944))</f>
        <v/>
      </c>
      <c r="K944" s="17" t="str">
        <f aca="true">IF(OR($A944="",$J944="",$J944&lt;=0,$H944=""),"",TODAY()-$H944)</f>
        <v/>
      </c>
      <c r="L944" s="14" t="str">
        <f aca="false">IF($A944="","",IF($G944="","",IF($J944&lt;=0,"반납완료",IF($I944&gt;0,"부분반납","미반납"))))</f>
        <v/>
      </c>
    </row>
    <row r="945" customFormat="false" ht="15" hidden="false" customHeight="false" outlineLevel="0" collapsed="false">
      <c r="A945" s="14" t="str">
        <f aca="false">IF($B945="","",TEXT($B945,"yymmdd")&amp;"-"&amp;TEXT(COUNTIFS($B$3:$B945,$B945),"00"))</f>
        <v/>
      </c>
      <c r="B945" s="15"/>
      <c r="C945" s="9"/>
      <c r="D945" s="10"/>
      <c r="E945" s="14" t="str">
        <f aca="false">IF($D945="","",IFERROR(INDEX(품목목록!$B$3:$B$202,MATCH($D945,품목목록!$A$3:$A$202,0)),"미등록품번"))</f>
        <v/>
      </c>
      <c r="F945" s="14" t="str">
        <f aca="false">IF($D945="","",IFERROR(INDEX(품목목록!$D$3:$D$202,MATCH($D945,품목목록!$A$3:$A$202,0)),""))</f>
        <v/>
      </c>
      <c r="G945" s="11"/>
      <c r="H945" s="15"/>
      <c r="I945" s="16" t="str">
        <f aca="false">IF($A945="","",SUMIFS(반납내역!$D$3:$D$1502,반납내역!$B$3:$B$1502,$A945))</f>
        <v/>
      </c>
      <c r="J945" s="16" t="str">
        <f aca="false">IF($A945="","",IF($G945="","",$G945-$I945))</f>
        <v/>
      </c>
      <c r="K945" s="17" t="str">
        <f aca="true">IF(OR($A945="",$J945="",$J945&lt;=0,$H945=""),"",TODAY()-$H945)</f>
        <v/>
      </c>
      <c r="L945" s="14" t="str">
        <f aca="false">IF($A945="","",IF($G945="","",IF($J945&lt;=0,"반납완료",IF($I945&gt;0,"부분반납","미반납"))))</f>
        <v/>
      </c>
    </row>
    <row r="946" customFormat="false" ht="15" hidden="false" customHeight="false" outlineLevel="0" collapsed="false">
      <c r="A946" s="14" t="str">
        <f aca="false">IF($B946="","",TEXT($B946,"yymmdd")&amp;"-"&amp;TEXT(COUNTIFS($B$3:$B946,$B946),"00"))</f>
        <v/>
      </c>
      <c r="B946" s="15"/>
      <c r="C946" s="9"/>
      <c r="D946" s="10"/>
      <c r="E946" s="14" t="str">
        <f aca="false">IF($D946="","",IFERROR(INDEX(품목목록!$B$3:$B$202,MATCH($D946,품목목록!$A$3:$A$202,0)),"미등록품번"))</f>
        <v/>
      </c>
      <c r="F946" s="14" t="str">
        <f aca="false">IF($D946="","",IFERROR(INDEX(품목목록!$D$3:$D$202,MATCH($D946,품목목록!$A$3:$A$202,0)),""))</f>
        <v/>
      </c>
      <c r="G946" s="11"/>
      <c r="H946" s="15"/>
      <c r="I946" s="16" t="str">
        <f aca="false">IF($A946="","",SUMIFS(반납내역!$D$3:$D$1502,반납내역!$B$3:$B$1502,$A946))</f>
        <v/>
      </c>
      <c r="J946" s="16" t="str">
        <f aca="false">IF($A946="","",IF($G946="","",$G946-$I946))</f>
        <v/>
      </c>
      <c r="K946" s="17" t="str">
        <f aca="true">IF(OR($A946="",$J946="",$J946&lt;=0,$H946=""),"",TODAY()-$H946)</f>
        <v/>
      </c>
      <c r="L946" s="14" t="str">
        <f aca="false">IF($A946="","",IF($G946="","",IF($J946&lt;=0,"반납완료",IF($I946&gt;0,"부분반납","미반납"))))</f>
        <v/>
      </c>
    </row>
    <row r="947" customFormat="false" ht="15" hidden="false" customHeight="false" outlineLevel="0" collapsed="false">
      <c r="A947" s="14" t="str">
        <f aca="false">IF($B947="","",TEXT($B947,"yymmdd")&amp;"-"&amp;TEXT(COUNTIFS($B$3:$B947,$B947),"00"))</f>
        <v/>
      </c>
      <c r="B947" s="15"/>
      <c r="C947" s="9"/>
      <c r="D947" s="10"/>
      <c r="E947" s="14" t="str">
        <f aca="false">IF($D947="","",IFERROR(INDEX(품목목록!$B$3:$B$202,MATCH($D947,품목목록!$A$3:$A$202,0)),"미등록품번"))</f>
        <v/>
      </c>
      <c r="F947" s="14" t="str">
        <f aca="false">IF($D947="","",IFERROR(INDEX(품목목록!$D$3:$D$202,MATCH($D947,품목목록!$A$3:$A$202,0)),""))</f>
        <v/>
      </c>
      <c r="G947" s="11"/>
      <c r="H947" s="15"/>
      <c r="I947" s="16" t="str">
        <f aca="false">IF($A947="","",SUMIFS(반납내역!$D$3:$D$1502,반납내역!$B$3:$B$1502,$A947))</f>
        <v/>
      </c>
      <c r="J947" s="16" t="str">
        <f aca="false">IF($A947="","",IF($G947="","",$G947-$I947))</f>
        <v/>
      </c>
      <c r="K947" s="17" t="str">
        <f aca="true">IF(OR($A947="",$J947="",$J947&lt;=0,$H947=""),"",TODAY()-$H947)</f>
        <v/>
      </c>
      <c r="L947" s="14" t="str">
        <f aca="false">IF($A947="","",IF($G947="","",IF($J947&lt;=0,"반납완료",IF($I947&gt;0,"부분반납","미반납"))))</f>
        <v/>
      </c>
    </row>
    <row r="948" customFormat="false" ht="15" hidden="false" customHeight="false" outlineLevel="0" collapsed="false">
      <c r="A948" s="14" t="str">
        <f aca="false">IF($B948="","",TEXT($B948,"yymmdd")&amp;"-"&amp;TEXT(COUNTIFS($B$3:$B948,$B948),"00"))</f>
        <v/>
      </c>
      <c r="B948" s="15"/>
      <c r="C948" s="9"/>
      <c r="D948" s="10"/>
      <c r="E948" s="14" t="str">
        <f aca="false">IF($D948="","",IFERROR(INDEX(품목목록!$B$3:$B$202,MATCH($D948,품목목록!$A$3:$A$202,0)),"미등록품번"))</f>
        <v/>
      </c>
      <c r="F948" s="14" t="str">
        <f aca="false">IF($D948="","",IFERROR(INDEX(품목목록!$D$3:$D$202,MATCH($D948,품목목록!$A$3:$A$202,0)),""))</f>
        <v/>
      </c>
      <c r="G948" s="11"/>
      <c r="H948" s="15"/>
      <c r="I948" s="16" t="str">
        <f aca="false">IF($A948="","",SUMIFS(반납내역!$D$3:$D$1502,반납내역!$B$3:$B$1502,$A948))</f>
        <v/>
      </c>
      <c r="J948" s="16" t="str">
        <f aca="false">IF($A948="","",IF($G948="","",$G948-$I948))</f>
        <v/>
      </c>
      <c r="K948" s="17" t="str">
        <f aca="true">IF(OR($A948="",$J948="",$J948&lt;=0,$H948=""),"",TODAY()-$H948)</f>
        <v/>
      </c>
      <c r="L948" s="14" t="str">
        <f aca="false">IF($A948="","",IF($G948="","",IF($J948&lt;=0,"반납완료",IF($I948&gt;0,"부분반납","미반납"))))</f>
        <v/>
      </c>
    </row>
    <row r="949" customFormat="false" ht="15" hidden="false" customHeight="false" outlineLevel="0" collapsed="false">
      <c r="A949" s="14" t="str">
        <f aca="false">IF($B949="","",TEXT($B949,"yymmdd")&amp;"-"&amp;TEXT(COUNTIFS($B$3:$B949,$B949),"00"))</f>
        <v/>
      </c>
      <c r="B949" s="15"/>
      <c r="C949" s="9"/>
      <c r="D949" s="10"/>
      <c r="E949" s="14" t="str">
        <f aca="false">IF($D949="","",IFERROR(INDEX(품목목록!$B$3:$B$202,MATCH($D949,품목목록!$A$3:$A$202,0)),"미등록품번"))</f>
        <v/>
      </c>
      <c r="F949" s="14" t="str">
        <f aca="false">IF($D949="","",IFERROR(INDEX(품목목록!$D$3:$D$202,MATCH($D949,품목목록!$A$3:$A$202,0)),""))</f>
        <v/>
      </c>
      <c r="G949" s="11"/>
      <c r="H949" s="15"/>
      <c r="I949" s="16" t="str">
        <f aca="false">IF($A949="","",SUMIFS(반납내역!$D$3:$D$1502,반납내역!$B$3:$B$1502,$A949))</f>
        <v/>
      </c>
      <c r="J949" s="16" t="str">
        <f aca="false">IF($A949="","",IF($G949="","",$G949-$I949))</f>
        <v/>
      </c>
      <c r="K949" s="17" t="str">
        <f aca="true">IF(OR($A949="",$J949="",$J949&lt;=0,$H949=""),"",TODAY()-$H949)</f>
        <v/>
      </c>
      <c r="L949" s="14" t="str">
        <f aca="false">IF($A949="","",IF($G949="","",IF($J949&lt;=0,"반납완료",IF($I949&gt;0,"부분반납","미반납"))))</f>
        <v/>
      </c>
    </row>
    <row r="950" customFormat="false" ht="15" hidden="false" customHeight="false" outlineLevel="0" collapsed="false">
      <c r="A950" s="14" t="str">
        <f aca="false">IF($B950="","",TEXT($B950,"yymmdd")&amp;"-"&amp;TEXT(COUNTIFS($B$3:$B950,$B950),"00"))</f>
        <v/>
      </c>
      <c r="B950" s="15"/>
      <c r="C950" s="9"/>
      <c r="D950" s="10"/>
      <c r="E950" s="14" t="str">
        <f aca="false">IF($D950="","",IFERROR(INDEX(품목목록!$B$3:$B$202,MATCH($D950,품목목록!$A$3:$A$202,0)),"미등록품번"))</f>
        <v/>
      </c>
      <c r="F950" s="14" t="str">
        <f aca="false">IF($D950="","",IFERROR(INDEX(품목목록!$D$3:$D$202,MATCH($D950,품목목록!$A$3:$A$202,0)),""))</f>
        <v/>
      </c>
      <c r="G950" s="11"/>
      <c r="H950" s="15"/>
      <c r="I950" s="16" t="str">
        <f aca="false">IF($A950="","",SUMIFS(반납내역!$D$3:$D$1502,반납내역!$B$3:$B$1502,$A950))</f>
        <v/>
      </c>
      <c r="J950" s="16" t="str">
        <f aca="false">IF($A950="","",IF($G950="","",$G950-$I950))</f>
        <v/>
      </c>
      <c r="K950" s="17" t="str">
        <f aca="true">IF(OR($A950="",$J950="",$J950&lt;=0,$H950=""),"",TODAY()-$H950)</f>
        <v/>
      </c>
      <c r="L950" s="14" t="str">
        <f aca="false">IF($A950="","",IF($G950="","",IF($J950&lt;=0,"반납완료",IF($I950&gt;0,"부분반납","미반납"))))</f>
        <v/>
      </c>
    </row>
    <row r="951" customFormat="false" ht="15" hidden="false" customHeight="false" outlineLevel="0" collapsed="false">
      <c r="A951" s="14" t="str">
        <f aca="false">IF($B951="","",TEXT($B951,"yymmdd")&amp;"-"&amp;TEXT(COUNTIFS($B$3:$B951,$B951),"00"))</f>
        <v/>
      </c>
      <c r="B951" s="15"/>
      <c r="C951" s="9"/>
      <c r="D951" s="10"/>
      <c r="E951" s="14" t="str">
        <f aca="false">IF($D951="","",IFERROR(INDEX(품목목록!$B$3:$B$202,MATCH($D951,품목목록!$A$3:$A$202,0)),"미등록품번"))</f>
        <v/>
      </c>
      <c r="F951" s="14" t="str">
        <f aca="false">IF($D951="","",IFERROR(INDEX(품목목록!$D$3:$D$202,MATCH($D951,품목목록!$A$3:$A$202,0)),""))</f>
        <v/>
      </c>
      <c r="G951" s="11"/>
      <c r="H951" s="15"/>
      <c r="I951" s="16" t="str">
        <f aca="false">IF($A951="","",SUMIFS(반납내역!$D$3:$D$1502,반납내역!$B$3:$B$1502,$A951))</f>
        <v/>
      </c>
      <c r="J951" s="16" t="str">
        <f aca="false">IF($A951="","",IF($G951="","",$G951-$I951))</f>
        <v/>
      </c>
      <c r="K951" s="17" t="str">
        <f aca="true">IF(OR($A951="",$J951="",$J951&lt;=0,$H951=""),"",TODAY()-$H951)</f>
        <v/>
      </c>
      <c r="L951" s="14" t="str">
        <f aca="false">IF($A951="","",IF($G951="","",IF($J951&lt;=0,"반납완료",IF($I951&gt;0,"부분반납","미반납"))))</f>
        <v/>
      </c>
    </row>
    <row r="952" customFormat="false" ht="15" hidden="false" customHeight="false" outlineLevel="0" collapsed="false">
      <c r="A952" s="14" t="str">
        <f aca="false">IF($B952="","",TEXT($B952,"yymmdd")&amp;"-"&amp;TEXT(COUNTIFS($B$3:$B952,$B952),"00"))</f>
        <v/>
      </c>
      <c r="B952" s="15"/>
      <c r="C952" s="9"/>
      <c r="D952" s="10"/>
      <c r="E952" s="14" t="str">
        <f aca="false">IF($D952="","",IFERROR(INDEX(품목목록!$B$3:$B$202,MATCH($D952,품목목록!$A$3:$A$202,0)),"미등록품번"))</f>
        <v/>
      </c>
      <c r="F952" s="14" t="str">
        <f aca="false">IF($D952="","",IFERROR(INDEX(품목목록!$D$3:$D$202,MATCH($D952,품목목록!$A$3:$A$202,0)),""))</f>
        <v/>
      </c>
      <c r="G952" s="11"/>
      <c r="H952" s="15"/>
      <c r="I952" s="16" t="str">
        <f aca="false">IF($A952="","",SUMIFS(반납내역!$D$3:$D$1502,반납내역!$B$3:$B$1502,$A952))</f>
        <v/>
      </c>
      <c r="J952" s="16" t="str">
        <f aca="false">IF($A952="","",IF($G952="","",$G952-$I952))</f>
        <v/>
      </c>
      <c r="K952" s="17" t="str">
        <f aca="true">IF(OR($A952="",$J952="",$J952&lt;=0,$H952=""),"",TODAY()-$H952)</f>
        <v/>
      </c>
      <c r="L952" s="14" t="str">
        <f aca="false">IF($A952="","",IF($G952="","",IF($J952&lt;=0,"반납완료",IF($I952&gt;0,"부분반납","미반납"))))</f>
        <v/>
      </c>
    </row>
    <row r="953" customFormat="false" ht="15" hidden="false" customHeight="false" outlineLevel="0" collapsed="false">
      <c r="A953" s="14" t="str">
        <f aca="false">IF($B953="","",TEXT($B953,"yymmdd")&amp;"-"&amp;TEXT(COUNTIFS($B$3:$B953,$B953),"00"))</f>
        <v/>
      </c>
      <c r="B953" s="15"/>
      <c r="C953" s="9"/>
      <c r="D953" s="10"/>
      <c r="E953" s="14" t="str">
        <f aca="false">IF($D953="","",IFERROR(INDEX(품목목록!$B$3:$B$202,MATCH($D953,품목목록!$A$3:$A$202,0)),"미등록품번"))</f>
        <v/>
      </c>
      <c r="F953" s="14" t="str">
        <f aca="false">IF($D953="","",IFERROR(INDEX(품목목록!$D$3:$D$202,MATCH($D953,품목목록!$A$3:$A$202,0)),""))</f>
        <v/>
      </c>
      <c r="G953" s="11"/>
      <c r="H953" s="15"/>
      <c r="I953" s="16" t="str">
        <f aca="false">IF($A953="","",SUMIFS(반납내역!$D$3:$D$1502,반납내역!$B$3:$B$1502,$A953))</f>
        <v/>
      </c>
      <c r="J953" s="16" t="str">
        <f aca="false">IF($A953="","",IF($G953="","",$G953-$I953))</f>
        <v/>
      </c>
      <c r="K953" s="17" t="str">
        <f aca="true">IF(OR($A953="",$J953="",$J953&lt;=0,$H953=""),"",TODAY()-$H953)</f>
        <v/>
      </c>
      <c r="L953" s="14" t="str">
        <f aca="false">IF($A953="","",IF($G953="","",IF($J953&lt;=0,"반납완료",IF($I953&gt;0,"부분반납","미반납"))))</f>
        <v/>
      </c>
    </row>
    <row r="954" customFormat="false" ht="15" hidden="false" customHeight="false" outlineLevel="0" collapsed="false">
      <c r="A954" s="14" t="str">
        <f aca="false">IF($B954="","",TEXT($B954,"yymmdd")&amp;"-"&amp;TEXT(COUNTIFS($B$3:$B954,$B954),"00"))</f>
        <v/>
      </c>
      <c r="B954" s="15"/>
      <c r="C954" s="9"/>
      <c r="D954" s="10"/>
      <c r="E954" s="14" t="str">
        <f aca="false">IF($D954="","",IFERROR(INDEX(품목목록!$B$3:$B$202,MATCH($D954,품목목록!$A$3:$A$202,0)),"미등록품번"))</f>
        <v/>
      </c>
      <c r="F954" s="14" t="str">
        <f aca="false">IF($D954="","",IFERROR(INDEX(품목목록!$D$3:$D$202,MATCH($D954,품목목록!$A$3:$A$202,0)),""))</f>
        <v/>
      </c>
      <c r="G954" s="11"/>
      <c r="H954" s="15"/>
      <c r="I954" s="16" t="str">
        <f aca="false">IF($A954="","",SUMIFS(반납내역!$D$3:$D$1502,반납내역!$B$3:$B$1502,$A954))</f>
        <v/>
      </c>
      <c r="J954" s="16" t="str">
        <f aca="false">IF($A954="","",IF($G954="","",$G954-$I954))</f>
        <v/>
      </c>
      <c r="K954" s="17" t="str">
        <f aca="true">IF(OR($A954="",$J954="",$J954&lt;=0,$H954=""),"",TODAY()-$H954)</f>
        <v/>
      </c>
      <c r="L954" s="14" t="str">
        <f aca="false">IF($A954="","",IF($G954="","",IF($J954&lt;=0,"반납완료",IF($I954&gt;0,"부분반납","미반납"))))</f>
        <v/>
      </c>
    </row>
    <row r="955" customFormat="false" ht="15" hidden="false" customHeight="false" outlineLevel="0" collapsed="false">
      <c r="A955" s="14" t="str">
        <f aca="false">IF($B955="","",TEXT($B955,"yymmdd")&amp;"-"&amp;TEXT(COUNTIFS($B$3:$B955,$B955),"00"))</f>
        <v/>
      </c>
      <c r="B955" s="15"/>
      <c r="C955" s="9"/>
      <c r="D955" s="10"/>
      <c r="E955" s="14" t="str">
        <f aca="false">IF($D955="","",IFERROR(INDEX(품목목록!$B$3:$B$202,MATCH($D955,품목목록!$A$3:$A$202,0)),"미등록품번"))</f>
        <v/>
      </c>
      <c r="F955" s="14" t="str">
        <f aca="false">IF($D955="","",IFERROR(INDEX(품목목록!$D$3:$D$202,MATCH($D955,품목목록!$A$3:$A$202,0)),""))</f>
        <v/>
      </c>
      <c r="G955" s="11"/>
      <c r="H955" s="15"/>
      <c r="I955" s="16" t="str">
        <f aca="false">IF($A955="","",SUMIFS(반납내역!$D$3:$D$1502,반납내역!$B$3:$B$1502,$A955))</f>
        <v/>
      </c>
      <c r="J955" s="16" t="str">
        <f aca="false">IF($A955="","",IF($G955="","",$G955-$I955))</f>
        <v/>
      </c>
      <c r="K955" s="17" t="str">
        <f aca="true">IF(OR($A955="",$J955="",$J955&lt;=0,$H955=""),"",TODAY()-$H955)</f>
        <v/>
      </c>
      <c r="L955" s="14" t="str">
        <f aca="false">IF($A955="","",IF($G955="","",IF($J955&lt;=0,"반납완료",IF($I955&gt;0,"부분반납","미반납"))))</f>
        <v/>
      </c>
    </row>
    <row r="956" customFormat="false" ht="15" hidden="false" customHeight="false" outlineLevel="0" collapsed="false">
      <c r="A956" s="14" t="str">
        <f aca="false">IF($B956="","",TEXT($B956,"yymmdd")&amp;"-"&amp;TEXT(COUNTIFS($B$3:$B956,$B956),"00"))</f>
        <v/>
      </c>
      <c r="B956" s="15"/>
      <c r="C956" s="9"/>
      <c r="D956" s="10"/>
      <c r="E956" s="14" t="str">
        <f aca="false">IF($D956="","",IFERROR(INDEX(품목목록!$B$3:$B$202,MATCH($D956,품목목록!$A$3:$A$202,0)),"미등록품번"))</f>
        <v/>
      </c>
      <c r="F956" s="14" t="str">
        <f aca="false">IF($D956="","",IFERROR(INDEX(품목목록!$D$3:$D$202,MATCH($D956,품목목록!$A$3:$A$202,0)),""))</f>
        <v/>
      </c>
      <c r="G956" s="11"/>
      <c r="H956" s="15"/>
      <c r="I956" s="16" t="str">
        <f aca="false">IF($A956="","",SUMIFS(반납내역!$D$3:$D$1502,반납내역!$B$3:$B$1502,$A956))</f>
        <v/>
      </c>
      <c r="J956" s="16" t="str">
        <f aca="false">IF($A956="","",IF($G956="","",$G956-$I956))</f>
        <v/>
      </c>
      <c r="K956" s="17" t="str">
        <f aca="true">IF(OR($A956="",$J956="",$J956&lt;=0,$H956=""),"",TODAY()-$H956)</f>
        <v/>
      </c>
      <c r="L956" s="14" t="str">
        <f aca="false">IF($A956="","",IF($G956="","",IF($J956&lt;=0,"반납완료",IF($I956&gt;0,"부분반납","미반납"))))</f>
        <v/>
      </c>
    </row>
    <row r="957" customFormat="false" ht="15" hidden="false" customHeight="false" outlineLevel="0" collapsed="false">
      <c r="A957" s="14" t="str">
        <f aca="false">IF($B957="","",TEXT($B957,"yymmdd")&amp;"-"&amp;TEXT(COUNTIFS($B$3:$B957,$B957),"00"))</f>
        <v/>
      </c>
      <c r="B957" s="15"/>
      <c r="C957" s="9"/>
      <c r="D957" s="10"/>
      <c r="E957" s="14" t="str">
        <f aca="false">IF($D957="","",IFERROR(INDEX(품목목록!$B$3:$B$202,MATCH($D957,품목목록!$A$3:$A$202,0)),"미등록품번"))</f>
        <v/>
      </c>
      <c r="F957" s="14" t="str">
        <f aca="false">IF($D957="","",IFERROR(INDEX(품목목록!$D$3:$D$202,MATCH($D957,품목목록!$A$3:$A$202,0)),""))</f>
        <v/>
      </c>
      <c r="G957" s="11"/>
      <c r="H957" s="15"/>
      <c r="I957" s="16" t="str">
        <f aca="false">IF($A957="","",SUMIFS(반납내역!$D$3:$D$1502,반납내역!$B$3:$B$1502,$A957))</f>
        <v/>
      </c>
      <c r="J957" s="16" t="str">
        <f aca="false">IF($A957="","",IF($G957="","",$G957-$I957))</f>
        <v/>
      </c>
      <c r="K957" s="17" t="str">
        <f aca="true">IF(OR($A957="",$J957="",$J957&lt;=0,$H957=""),"",TODAY()-$H957)</f>
        <v/>
      </c>
      <c r="L957" s="14" t="str">
        <f aca="false">IF($A957="","",IF($G957="","",IF($J957&lt;=0,"반납완료",IF($I957&gt;0,"부분반납","미반납"))))</f>
        <v/>
      </c>
    </row>
    <row r="958" customFormat="false" ht="15" hidden="false" customHeight="false" outlineLevel="0" collapsed="false">
      <c r="A958" s="14" t="str">
        <f aca="false">IF($B958="","",TEXT($B958,"yymmdd")&amp;"-"&amp;TEXT(COUNTIFS($B$3:$B958,$B958),"00"))</f>
        <v/>
      </c>
      <c r="B958" s="15"/>
      <c r="C958" s="9"/>
      <c r="D958" s="10"/>
      <c r="E958" s="14" t="str">
        <f aca="false">IF($D958="","",IFERROR(INDEX(품목목록!$B$3:$B$202,MATCH($D958,품목목록!$A$3:$A$202,0)),"미등록품번"))</f>
        <v/>
      </c>
      <c r="F958" s="14" t="str">
        <f aca="false">IF($D958="","",IFERROR(INDEX(품목목록!$D$3:$D$202,MATCH($D958,품목목록!$A$3:$A$202,0)),""))</f>
        <v/>
      </c>
      <c r="G958" s="11"/>
      <c r="H958" s="15"/>
      <c r="I958" s="16" t="str">
        <f aca="false">IF($A958="","",SUMIFS(반납내역!$D$3:$D$1502,반납내역!$B$3:$B$1502,$A958))</f>
        <v/>
      </c>
      <c r="J958" s="16" t="str">
        <f aca="false">IF($A958="","",IF($G958="","",$G958-$I958))</f>
        <v/>
      </c>
      <c r="K958" s="17" t="str">
        <f aca="true">IF(OR($A958="",$J958="",$J958&lt;=0,$H958=""),"",TODAY()-$H958)</f>
        <v/>
      </c>
      <c r="L958" s="14" t="str">
        <f aca="false">IF($A958="","",IF($G958="","",IF($J958&lt;=0,"반납완료",IF($I958&gt;0,"부분반납","미반납"))))</f>
        <v/>
      </c>
    </row>
    <row r="959" customFormat="false" ht="15" hidden="false" customHeight="false" outlineLevel="0" collapsed="false">
      <c r="A959" s="14" t="str">
        <f aca="false">IF($B959="","",TEXT($B959,"yymmdd")&amp;"-"&amp;TEXT(COUNTIFS($B$3:$B959,$B959),"00"))</f>
        <v/>
      </c>
      <c r="B959" s="15"/>
      <c r="C959" s="9"/>
      <c r="D959" s="10"/>
      <c r="E959" s="14" t="str">
        <f aca="false">IF($D959="","",IFERROR(INDEX(품목목록!$B$3:$B$202,MATCH($D959,품목목록!$A$3:$A$202,0)),"미등록품번"))</f>
        <v/>
      </c>
      <c r="F959" s="14" t="str">
        <f aca="false">IF($D959="","",IFERROR(INDEX(품목목록!$D$3:$D$202,MATCH($D959,품목목록!$A$3:$A$202,0)),""))</f>
        <v/>
      </c>
      <c r="G959" s="11"/>
      <c r="H959" s="15"/>
      <c r="I959" s="16" t="str">
        <f aca="false">IF($A959="","",SUMIFS(반납내역!$D$3:$D$1502,반납내역!$B$3:$B$1502,$A959))</f>
        <v/>
      </c>
      <c r="J959" s="16" t="str">
        <f aca="false">IF($A959="","",IF($G959="","",$G959-$I959))</f>
        <v/>
      </c>
      <c r="K959" s="17" t="str">
        <f aca="true">IF(OR($A959="",$J959="",$J959&lt;=0,$H959=""),"",TODAY()-$H959)</f>
        <v/>
      </c>
      <c r="L959" s="14" t="str">
        <f aca="false">IF($A959="","",IF($G959="","",IF($J959&lt;=0,"반납완료",IF($I959&gt;0,"부분반납","미반납"))))</f>
        <v/>
      </c>
    </row>
    <row r="960" customFormat="false" ht="15" hidden="false" customHeight="false" outlineLevel="0" collapsed="false">
      <c r="A960" s="14" t="str">
        <f aca="false">IF($B960="","",TEXT($B960,"yymmdd")&amp;"-"&amp;TEXT(COUNTIFS($B$3:$B960,$B960),"00"))</f>
        <v/>
      </c>
      <c r="B960" s="15"/>
      <c r="C960" s="9"/>
      <c r="D960" s="10"/>
      <c r="E960" s="14" t="str">
        <f aca="false">IF($D960="","",IFERROR(INDEX(품목목록!$B$3:$B$202,MATCH($D960,품목목록!$A$3:$A$202,0)),"미등록품번"))</f>
        <v/>
      </c>
      <c r="F960" s="14" t="str">
        <f aca="false">IF($D960="","",IFERROR(INDEX(품목목록!$D$3:$D$202,MATCH($D960,품목목록!$A$3:$A$202,0)),""))</f>
        <v/>
      </c>
      <c r="G960" s="11"/>
      <c r="H960" s="15"/>
      <c r="I960" s="16" t="str">
        <f aca="false">IF($A960="","",SUMIFS(반납내역!$D$3:$D$1502,반납내역!$B$3:$B$1502,$A960))</f>
        <v/>
      </c>
      <c r="J960" s="16" t="str">
        <f aca="false">IF($A960="","",IF($G960="","",$G960-$I960))</f>
        <v/>
      </c>
      <c r="K960" s="17" t="str">
        <f aca="true">IF(OR($A960="",$J960="",$J960&lt;=0,$H960=""),"",TODAY()-$H960)</f>
        <v/>
      </c>
      <c r="L960" s="14" t="str">
        <f aca="false">IF($A960="","",IF($G960="","",IF($J960&lt;=0,"반납완료",IF($I960&gt;0,"부분반납","미반납"))))</f>
        <v/>
      </c>
    </row>
    <row r="961" customFormat="false" ht="15" hidden="false" customHeight="false" outlineLevel="0" collapsed="false">
      <c r="A961" s="14" t="str">
        <f aca="false">IF($B961="","",TEXT($B961,"yymmdd")&amp;"-"&amp;TEXT(COUNTIFS($B$3:$B961,$B961),"00"))</f>
        <v/>
      </c>
      <c r="B961" s="15"/>
      <c r="C961" s="9"/>
      <c r="D961" s="10"/>
      <c r="E961" s="14" t="str">
        <f aca="false">IF($D961="","",IFERROR(INDEX(품목목록!$B$3:$B$202,MATCH($D961,품목목록!$A$3:$A$202,0)),"미등록품번"))</f>
        <v/>
      </c>
      <c r="F961" s="14" t="str">
        <f aca="false">IF($D961="","",IFERROR(INDEX(품목목록!$D$3:$D$202,MATCH($D961,품목목록!$A$3:$A$202,0)),""))</f>
        <v/>
      </c>
      <c r="G961" s="11"/>
      <c r="H961" s="15"/>
      <c r="I961" s="16" t="str">
        <f aca="false">IF($A961="","",SUMIFS(반납내역!$D$3:$D$1502,반납내역!$B$3:$B$1502,$A961))</f>
        <v/>
      </c>
      <c r="J961" s="16" t="str">
        <f aca="false">IF($A961="","",IF($G961="","",$G961-$I961))</f>
        <v/>
      </c>
      <c r="K961" s="17" t="str">
        <f aca="true">IF(OR($A961="",$J961="",$J961&lt;=0,$H961=""),"",TODAY()-$H961)</f>
        <v/>
      </c>
      <c r="L961" s="14" t="str">
        <f aca="false">IF($A961="","",IF($G961="","",IF($J961&lt;=0,"반납완료",IF($I961&gt;0,"부분반납","미반납"))))</f>
        <v/>
      </c>
    </row>
    <row r="962" customFormat="false" ht="15" hidden="false" customHeight="false" outlineLevel="0" collapsed="false">
      <c r="A962" s="14" t="str">
        <f aca="false">IF($B962="","",TEXT($B962,"yymmdd")&amp;"-"&amp;TEXT(COUNTIFS($B$3:$B962,$B962),"00"))</f>
        <v/>
      </c>
      <c r="B962" s="15"/>
      <c r="C962" s="9"/>
      <c r="D962" s="10"/>
      <c r="E962" s="14" t="str">
        <f aca="false">IF($D962="","",IFERROR(INDEX(품목목록!$B$3:$B$202,MATCH($D962,품목목록!$A$3:$A$202,0)),"미등록품번"))</f>
        <v/>
      </c>
      <c r="F962" s="14" t="str">
        <f aca="false">IF($D962="","",IFERROR(INDEX(품목목록!$D$3:$D$202,MATCH($D962,품목목록!$A$3:$A$202,0)),""))</f>
        <v/>
      </c>
      <c r="G962" s="11"/>
      <c r="H962" s="15"/>
      <c r="I962" s="16" t="str">
        <f aca="false">IF($A962="","",SUMIFS(반납내역!$D$3:$D$1502,반납내역!$B$3:$B$1502,$A962))</f>
        <v/>
      </c>
      <c r="J962" s="16" t="str">
        <f aca="false">IF($A962="","",IF($G962="","",$G962-$I962))</f>
        <v/>
      </c>
      <c r="K962" s="17" t="str">
        <f aca="true">IF(OR($A962="",$J962="",$J962&lt;=0,$H962=""),"",TODAY()-$H962)</f>
        <v/>
      </c>
      <c r="L962" s="14" t="str">
        <f aca="false">IF($A962="","",IF($G962="","",IF($J962&lt;=0,"반납완료",IF($I962&gt;0,"부분반납","미반납"))))</f>
        <v/>
      </c>
    </row>
    <row r="963" customFormat="false" ht="15" hidden="false" customHeight="false" outlineLevel="0" collapsed="false">
      <c r="A963" s="14" t="str">
        <f aca="false">IF($B963="","",TEXT($B963,"yymmdd")&amp;"-"&amp;TEXT(COUNTIFS($B$3:$B963,$B963),"00"))</f>
        <v/>
      </c>
      <c r="B963" s="15"/>
      <c r="C963" s="9"/>
      <c r="D963" s="10"/>
      <c r="E963" s="14" t="str">
        <f aca="false">IF($D963="","",IFERROR(INDEX(품목목록!$B$3:$B$202,MATCH($D963,품목목록!$A$3:$A$202,0)),"미등록품번"))</f>
        <v/>
      </c>
      <c r="F963" s="14" t="str">
        <f aca="false">IF($D963="","",IFERROR(INDEX(품목목록!$D$3:$D$202,MATCH($D963,품목목록!$A$3:$A$202,0)),""))</f>
        <v/>
      </c>
      <c r="G963" s="11"/>
      <c r="H963" s="15"/>
      <c r="I963" s="16" t="str">
        <f aca="false">IF($A963="","",SUMIFS(반납내역!$D$3:$D$1502,반납내역!$B$3:$B$1502,$A963))</f>
        <v/>
      </c>
      <c r="J963" s="16" t="str">
        <f aca="false">IF($A963="","",IF($G963="","",$G963-$I963))</f>
        <v/>
      </c>
      <c r="K963" s="17" t="str">
        <f aca="true">IF(OR($A963="",$J963="",$J963&lt;=0,$H963=""),"",TODAY()-$H963)</f>
        <v/>
      </c>
      <c r="L963" s="14" t="str">
        <f aca="false">IF($A963="","",IF($G963="","",IF($J963&lt;=0,"반납완료",IF($I963&gt;0,"부분반납","미반납"))))</f>
        <v/>
      </c>
    </row>
    <row r="964" customFormat="false" ht="15" hidden="false" customHeight="false" outlineLevel="0" collapsed="false">
      <c r="A964" s="14" t="str">
        <f aca="false">IF($B964="","",TEXT($B964,"yymmdd")&amp;"-"&amp;TEXT(COUNTIFS($B$3:$B964,$B964),"00"))</f>
        <v/>
      </c>
      <c r="B964" s="15"/>
      <c r="C964" s="9"/>
      <c r="D964" s="10"/>
      <c r="E964" s="14" t="str">
        <f aca="false">IF($D964="","",IFERROR(INDEX(품목목록!$B$3:$B$202,MATCH($D964,품목목록!$A$3:$A$202,0)),"미등록품번"))</f>
        <v/>
      </c>
      <c r="F964" s="14" t="str">
        <f aca="false">IF($D964="","",IFERROR(INDEX(품목목록!$D$3:$D$202,MATCH($D964,품목목록!$A$3:$A$202,0)),""))</f>
        <v/>
      </c>
      <c r="G964" s="11"/>
      <c r="H964" s="15"/>
      <c r="I964" s="16" t="str">
        <f aca="false">IF($A964="","",SUMIFS(반납내역!$D$3:$D$1502,반납내역!$B$3:$B$1502,$A964))</f>
        <v/>
      </c>
      <c r="J964" s="16" t="str">
        <f aca="false">IF($A964="","",IF($G964="","",$G964-$I964))</f>
        <v/>
      </c>
      <c r="K964" s="17" t="str">
        <f aca="true">IF(OR($A964="",$J964="",$J964&lt;=0,$H964=""),"",TODAY()-$H964)</f>
        <v/>
      </c>
      <c r="L964" s="14" t="str">
        <f aca="false">IF($A964="","",IF($G964="","",IF($J964&lt;=0,"반납완료",IF($I964&gt;0,"부분반납","미반납"))))</f>
        <v/>
      </c>
    </row>
    <row r="965" customFormat="false" ht="15" hidden="false" customHeight="false" outlineLevel="0" collapsed="false">
      <c r="A965" s="14" t="str">
        <f aca="false">IF($B965="","",TEXT($B965,"yymmdd")&amp;"-"&amp;TEXT(COUNTIFS($B$3:$B965,$B965),"00"))</f>
        <v/>
      </c>
      <c r="B965" s="15"/>
      <c r="C965" s="9"/>
      <c r="D965" s="10"/>
      <c r="E965" s="14" t="str">
        <f aca="false">IF($D965="","",IFERROR(INDEX(품목목록!$B$3:$B$202,MATCH($D965,품목목록!$A$3:$A$202,0)),"미등록품번"))</f>
        <v/>
      </c>
      <c r="F965" s="14" t="str">
        <f aca="false">IF($D965="","",IFERROR(INDEX(품목목록!$D$3:$D$202,MATCH($D965,품목목록!$A$3:$A$202,0)),""))</f>
        <v/>
      </c>
      <c r="G965" s="11"/>
      <c r="H965" s="15"/>
      <c r="I965" s="16" t="str">
        <f aca="false">IF($A965="","",SUMIFS(반납내역!$D$3:$D$1502,반납내역!$B$3:$B$1502,$A965))</f>
        <v/>
      </c>
      <c r="J965" s="16" t="str">
        <f aca="false">IF($A965="","",IF($G965="","",$G965-$I965))</f>
        <v/>
      </c>
      <c r="K965" s="17" t="str">
        <f aca="true">IF(OR($A965="",$J965="",$J965&lt;=0,$H965=""),"",TODAY()-$H965)</f>
        <v/>
      </c>
      <c r="L965" s="14" t="str">
        <f aca="false">IF($A965="","",IF($G965="","",IF($J965&lt;=0,"반납완료",IF($I965&gt;0,"부분반납","미반납"))))</f>
        <v/>
      </c>
    </row>
    <row r="966" customFormat="false" ht="15" hidden="false" customHeight="false" outlineLevel="0" collapsed="false">
      <c r="A966" s="14" t="str">
        <f aca="false">IF($B966="","",TEXT($B966,"yymmdd")&amp;"-"&amp;TEXT(COUNTIFS($B$3:$B966,$B966),"00"))</f>
        <v/>
      </c>
      <c r="B966" s="15"/>
      <c r="C966" s="9"/>
      <c r="D966" s="10"/>
      <c r="E966" s="14" t="str">
        <f aca="false">IF($D966="","",IFERROR(INDEX(품목목록!$B$3:$B$202,MATCH($D966,품목목록!$A$3:$A$202,0)),"미등록품번"))</f>
        <v/>
      </c>
      <c r="F966" s="14" t="str">
        <f aca="false">IF($D966="","",IFERROR(INDEX(품목목록!$D$3:$D$202,MATCH($D966,품목목록!$A$3:$A$202,0)),""))</f>
        <v/>
      </c>
      <c r="G966" s="11"/>
      <c r="H966" s="15"/>
      <c r="I966" s="16" t="str">
        <f aca="false">IF($A966="","",SUMIFS(반납내역!$D$3:$D$1502,반납내역!$B$3:$B$1502,$A966))</f>
        <v/>
      </c>
      <c r="J966" s="16" t="str">
        <f aca="false">IF($A966="","",IF($G966="","",$G966-$I966))</f>
        <v/>
      </c>
      <c r="K966" s="17" t="str">
        <f aca="true">IF(OR($A966="",$J966="",$J966&lt;=0,$H966=""),"",TODAY()-$H966)</f>
        <v/>
      </c>
      <c r="L966" s="14" t="str">
        <f aca="false">IF($A966="","",IF($G966="","",IF($J966&lt;=0,"반납완료",IF($I966&gt;0,"부분반납","미반납"))))</f>
        <v/>
      </c>
    </row>
    <row r="967" customFormat="false" ht="15" hidden="false" customHeight="false" outlineLevel="0" collapsed="false">
      <c r="A967" s="14" t="str">
        <f aca="false">IF($B967="","",TEXT($B967,"yymmdd")&amp;"-"&amp;TEXT(COUNTIFS($B$3:$B967,$B967),"00"))</f>
        <v/>
      </c>
      <c r="B967" s="15"/>
      <c r="C967" s="9"/>
      <c r="D967" s="10"/>
      <c r="E967" s="14" t="str">
        <f aca="false">IF($D967="","",IFERROR(INDEX(품목목록!$B$3:$B$202,MATCH($D967,품목목록!$A$3:$A$202,0)),"미등록품번"))</f>
        <v/>
      </c>
      <c r="F967" s="14" t="str">
        <f aca="false">IF($D967="","",IFERROR(INDEX(품목목록!$D$3:$D$202,MATCH($D967,품목목록!$A$3:$A$202,0)),""))</f>
        <v/>
      </c>
      <c r="G967" s="11"/>
      <c r="H967" s="15"/>
      <c r="I967" s="16" t="str">
        <f aca="false">IF($A967="","",SUMIFS(반납내역!$D$3:$D$1502,반납내역!$B$3:$B$1502,$A967))</f>
        <v/>
      </c>
      <c r="J967" s="16" t="str">
        <f aca="false">IF($A967="","",IF($G967="","",$G967-$I967))</f>
        <v/>
      </c>
      <c r="K967" s="17" t="str">
        <f aca="true">IF(OR($A967="",$J967="",$J967&lt;=0,$H967=""),"",TODAY()-$H967)</f>
        <v/>
      </c>
      <c r="L967" s="14" t="str">
        <f aca="false">IF($A967="","",IF($G967="","",IF($J967&lt;=0,"반납완료",IF($I967&gt;0,"부분반납","미반납"))))</f>
        <v/>
      </c>
    </row>
    <row r="968" customFormat="false" ht="15" hidden="false" customHeight="false" outlineLevel="0" collapsed="false">
      <c r="A968" s="14" t="str">
        <f aca="false">IF($B968="","",TEXT($B968,"yymmdd")&amp;"-"&amp;TEXT(COUNTIFS($B$3:$B968,$B968),"00"))</f>
        <v/>
      </c>
      <c r="B968" s="15"/>
      <c r="C968" s="9"/>
      <c r="D968" s="10"/>
      <c r="E968" s="14" t="str">
        <f aca="false">IF($D968="","",IFERROR(INDEX(품목목록!$B$3:$B$202,MATCH($D968,품목목록!$A$3:$A$202,0)),"미등록품번"))</f>
        <v/>
      </c>
      <c r="F968" s="14" t="str">
        <f aca="false">IF($D968="","",IFERROR(INDEX(품목목록!$D$3:$D$202,MATCH($D968,품목목록!$A$3:$A$202,0)),""))</f>
        <v/>
      </c>
      <c r="G968" s="11"/>
      <c r="H968" s="15"/>
      <c r="I968" s="16" t="str">
        <f aca="false">IF($A968="","",SUMIFS(반납내역!$D$3:$D$1502,반납내역!$B$3:$B$1502,$A968))</f>
        <v/>
      </c>
      <c r="J968" s="16" t="str">
        <f aca="false">IF($A968="","",IF($G968="","",$G968-$I968))</f>
        <v/>
      </c>
      <c r="K968" s="17" t="str">
        <f aca="true">IF(OR($A968="",$J968="",$J968&lt;=0,$H968=""),"",TODAY()-$H968)</f>
        <v/>
      </c>
      <c r="L968" s="14" t="str">
        <f aca="false">IF($A968="","",IF($G968="","",IF($J968&lt;=0,"반납완료",IF($I968&gt;0,"부분반납","미반납"))))</f>
        <v/>
      </c>
    </row>
    <row r="969" customFormat="false" ht="15" hidden="false" customHeight="false" outlineLevel="0" collapsed="false">
      <c r="A969" s="14" t="str">
        <f aca="false">IF($B969="","",TEXT($B969,"yymmdd")&amp;"-"&amp;TEXT(COUNTIFS($B$3:$B969,$B969),"00"))</f>
        <v/>
      </c>
      <c r="B969" s="15"/>
      <c r="C969" s="9"/>
      <c r="D969" s="10"/>
      <c r="E969" s="14" t="str">
        <f aca="false">IF($D969="","",IFERROR(INDEX(품목목록!$B$3:$B$202,MATCH($D969,품목목록!$A$3:$A$202,0)),"미등록품번"))</f>
        <v/>
      </c>
      <c r="F969" s="14" t="str">
        <f aca="false">IF($D969="","",IFERROR(INDEX(품목목록!$D$3:$D$202,MATCH($D969,품목목록!$A$3:$A$202,0)),""))</f>
        <v/>
      </c>
      <c r="G969" s="11"/>
      <c r="H969" s="15"/>
      <c r="I969" s="16" t="str">
        <f aca="false">IF($A969="","",SUMIFS(반납내역!$D$3:$D$1502,반납내역!$B$3:$B$1502,$A969))</f>
        <v/>
      </c>
      <c r="J969" s="16" t="str">
        <f aca="false">IF($A969="","",IF($G969="","",$G969-$I969))</f>
        <v/>
      </c>
      <c r="K969" s="17" t="str">
        <f aca="true">IF(OR($A969="",$J969="",$J969&lt;=0,$H969=""),"",TODAY()-$H969)</f>
        <v/>
      </c>
      <c r="L969" s="14" t="str">
        <f aca="false">IF($A969="","",IF($G969="","",IF($J969&lt;=0,"반납완료",IF($I969&gt;0,"부분반납","미반납"))))</f>
        <v/>
      </c>
    </row>
    <row r="970" customFormat="false" ht="15" hidden="false" customHeight="false" outlineLevel="0" collapsed="false">
      <c r="A970" s="14" t="str">
        <f aca="false">IF($B970="","",TEXT($B970,"yymmdd")&amp;"-"&amp;TEXT(COUNTIFS($B$3:$B970,$B970),"00"))</f>
        <v/>
      </c>
      <c r="B970" s="15"/>
      <c r="C970" s="9"/>
      <c r="D970" s="10"/>
      <c r="E970" s="14" t="str">
        <f aca="false">IF($D970="","",IFERROR(INDEX(품목목록!$B$3:$B$202,MATCH($D970,품목목록!$A$3:$A$202,0)),"미등록품번"))</f>
        <v/>
      </c>
      <c r="F970" s="14" t="str">
        <f aca="false">IF($D970="","",IFERROR(INDEX(품목목록!$D$3:$D$202,MATCH($D970,품목목록!$A$3:$A$202,0)),""))</f>
        <v/>
      </c>
      <c r="G970" s="11"/>
      <c r="H970" s="15"/>
      <c r="I970" s="16" t="str">
        <f aca="false">IF($A970="","",SUMIFS(반납내역!$D$3:$D$1502,반납내역!$B$3:$B$1502,$A970))</f>
        <v/>
      </c>
      <c r="J970" s="16" t="str">
        <f aca="false">IF($A970="","",IF($G970="","",$G970-$I970))</f>
        <v/>
      </c>
      <c r="K970" s="17" t="str">
        <f aca="true">IF(OR($A970="",$J970="",$J970&lt;=0,$H970=""),"",TODAY()-$H970)</f>
        <v/>
      </c>
      <c r="L970" s="14" t="str">
        <f aca="false">IF($A970="","",IF($G970="","",IF($J970&lt;=0,"반납완료",IF($I970&gt;0,"부분반납","미반납"))))</f>
        <v/>
      </c>
    </row>
    <row r="971" customFormat="false" ht="15" hidden="false" customHeight="false" outlineLevel="0" collapsed="false">
      <c r="A971" s="14" t="str">
        <f aca="false">IF($B971="","",TEXT($B971,"yymmdd")&amp;"-"&amp;TEXT(COUNTIFS($B$3:$B971,$B971),"00"))</f>
        <v/>
      </c>
      <c r="B971" s="15"/>
      <c r="C971" s="9"/>
      <c r="D971" s="10"/>
      <c r="E971" s="14" t="str">
        <f aca="false">IF($D971="","",IFERROR(INDEX(품목목록!$B$3:$B$202,MATCH($D971,품목목록!$A$3:$A$202,0)),"미등록품번"))</f>
        <v/>
      </c>
      <c r="F971" s="14" t="str">
        <f aca="false">IF($D971="","",IFERROR(INDEX(품목목록!$D$3:$D$202,MATCH($D971,품목목록!$A$3:$A$202,0)),""))</f>
        <v/>
      </c>
      <c r="G971" s="11"/>
      <c r="H971" s="15"/>
      <c r="I971" s="16" t="str">
        <f aca="false">IF($A971="","",SUMIFS(반납내역!$D$3:$D$1502,반납내역!$B$3:$B$1502,$A971))</f>
        <v/>
      </c>
      <c r="J971" s="16" t="str">
        <f aca="false">IF($A971="","",IF($G971="","",$G971-$I971))</f>
        <v/>
      </c>
      <c r="K971" s="17" t="str">
        <f aca="true">IF(OR($A971="",$J971="",$J971&lt;=0,$H971=""),"",TODAY()-$H971)</f>
        <v/>
      </c>
      <c r="L971" s="14" t="str">
        <f aca="false">IF($A971="","",IF($G971="","",IF($J971&lt;=0,"반납완료",IF($I971&gt;0,"부분반납","미반납"))))</f>
        <v/>
      </c>
    </row>
    <row r="972" customFormat="false" ht="15" hidden="false" customHeight="false" outlineLevel="0" collapsed="false">
      <c r="A972" s="14" t="str">
        <f aca="false">IF($B972="","",TEXT($B972,"yymmdd")&amp;"-"&amp;TEXT(COUNTIFS($B$3:$B972,$B972),"00"))</f>
        <v/>
      </c>
      <c r="B972" s="15"/>
      <c r="C972" s="9"/>
      <c r="D972" s="10"/>
      <c r="E972" s="14" t="str">
        <f aca="false">IF($D972="","",IFERROR(INDEX(품목목록!$B$3:$B$202,MATCH($D972,품목목록!$A$3:$A$202,0)),"미등록품번"))</f>
        <v/>
      </c>
      <c r="F972" s="14" t="str">
        <f aca="false">IF($D972="","",IFERROR(INDEX(품목목록!$D$3:$D$202,MATCH($D972,품목목록!$A$3:$A$202,0)),""))</f>
        <v/>
      </c>
      <c r="G972" s="11"/>
      <c r="H972" s="15"/>
      <c r="I972" s="16" t="str">
        <f aca="false">IF($A972="","",SUMIFS(반납내역!$D$3:$D$1502,반납내역!$B$3:$B$1502,$A972))</f>
        <v/>
      </c>
      <c r="J972" s="16" t="str">
        <f aca="false">IF($A972="","",IF($G972="","",$G972-$I972))</f>
        <v/>
      </c>
      <c r="K972" s="17" t="str">
        <f aca="true">IF(OR($A972="",$J972="",$J972&lt;=0,$H972=""),"",TODAY()-$H972)</f>
        <v/>
      </c>
      <c r="L972" s="14" t="str">
        <f aca="false">IF($A972="","",IF($G972="","",IF($J972&lt;=0,"반납완료",IF($I972&gt;0,"부분반납","미반납"))))</f>
        <v/>
      </c>
    </row>
    <row r="973" customFormat="false" ht="15" hidden="false" customHeight="false" outlineLevel="0" collapsed="false">
      <c r="A973" s="14" t="str">
        <f aca="false">IF($B973="","",TEXT($B973,"yymmdd")&amp;"-"&amp;TEXT(COUNTIFS($B$3:$B973,$B973),"00"))</f>
        <v/>
      </c>
      <c r="B973" s="15"/>
      <c r="C973" s="9"/>
      <c r="D973" s="10"/>
      <c r="E973" s="14" t="str">
        <f aca="false">IF($D973="","",IFERROR(INDEX(품목목록!$B$3:$B$202,MATCH($D973,품목목록!$A$3:$A$202,0)),"미등록품번"))</f>
        <v/>
      </c>
      <c r="F973" s="14" t="str">
        <f aca="false">IF($D973="","",IFERROR(INDEX(품목목록!$D$3:$D$202,MATCH($D973,품목목록!$A$3:$A$202,0)),""))</f>
        <v/>
      </c>
      <c r="G973" s="11"/>
      <c r="H973" s="15"/>
      <c r="I973" s="16" t="str">
        <f aca="false">IF($A973="","",SUMIFS(반납내역!$D$3:$D$1502,반납내역!$B$3:$B$1502,$A973))</f>
        <v/>
      </c>
      <c r="J973" s="16" t="str">
        <f aca="false">IF($A973="","",IF($G973="","",$G973-$I973))</f>
        <v/>
      </c>
      <c r="K973" s="17" t="str">
        <f aca="true">IF(OR($A973="",$J973="",$J973&lt;=0,$H973=""),"",TODAY()-$H973)</f>
        <v/>
      </c>
      <c r="L973" s="14" t="str">
        <f aca="false">IF($A973="","",IF($G973="","",IF($J973&lt;=0,"반납완료",IF($I973&gt;0,"부분반납","미반납"))))</f>
        <v/>
      </c>
    </row>
    <row r="974" customFormat="false" ht="15" hidden="false" customHeight="false" outlineLevel="0" collapsed="false">
      <c r="A974" s="14" t="str">
        <f aca="false">IF($B974="","",TEXT($B974,"yymmdd")&amp;"-"&amp;TEXT(COUNTIFS($B$3:$B974,$B974),"00"))</f>
        <v/>
      </c>
      <c r="B974" s="15"/>
      <c r="C974" s="9"/>
      <c r="D974" s="10"/>
      <c r="E974" s="14" t="str">
        <f aca="false">IF($D974="","",IFERROR(INDEX(품목목록!$B$3:$B$202,MATCH($D974,품목목록!$A$3:$A$202,0)),"미등록품번"))</f>
        <v/>
      </c>
      <c r="F974" s="14" t="str">
        <f aca="false">IF($D974="","",IFERROR(INDEX(품목목록!$D$3:$D$202,MATCH($D974,품목목록!$A$3:$A$202,0)),""))</f>
        <v/>
      </c>
      <c r="G974" s="11"/>
      <c r="H974" s="15"/>
      <c r="I974" s="16" t="str">
        <f aca="false">IF($A974="","",SUMIFS(반납내역!$D$3:$D$1502,반납내역!$B$3:$B$1502,$A974))</f>
        <v/>
      </c>
      <c r="J974" s="16" t="str">
        <f aca="false">IF($A974="","",IF($G974="","",$G974-$I974))</f>
        <v/>
      </c>
      <c r="K974" s="17" t="str">
        <f aca="true">IF(OR($A974="",$J974="",$J974&lt;=0,$H974=""),"",TODAY()-$H974)</f>
        <v/>
      </c>
      <c r="L974" s="14" t="str">
        <f aca="false">IF($A974="","",IF($G974="","",IF($J974&lt;=0,"반납완료",IF($I974&gt;0,"부분반납","미반납"))))</f>
        <v/>
      </c>
    </row>
    <row r="975" customFormat="false" ht="15" hidden="false" customHeight="false" outlineLevel="0" collapsed="false">
      <c r="A975" s="14" t="str">
        <f aca="false">IF($B975="","",TEXT($B975,"yymmdd")&amp;"-"&amp;TEXT(COUNTIFS($B$3:$B975,$B975),"00"))</f>
        <v/>
      </c>
      <c r="B975" s="15"/>
      <c r="C975" s="9"/>
      <c r="D975" s="10"/>
      <c r="E975" s="14" t="str">
        <f aca="false">IF($D975="","",IFERROR(INDEX(품목목록!$B$3:$B$202,MATCH($D975,품목목록!$A$3:$A$202,0)),"미등록품번"))</f>
        <v/>
      </c>
      <c r="F975" s="14" t="str">
        <f aca="false">IF($D975="","",IFERROR(INDEX(품목목록!$D$3:$D$202,MATCH($D975,품목목록!$A$3:$A$202,0)),""))</f>
        <v/>
      </c>
      <c r="G975" s="11"/>
      <c r="H975" s="15"/>
      <c r="I975" s="16" t="str">
        <f aca="false">IF($A975="","",SUMIFS(반납내역!$D$3:$D$1502,반납내역!$B$3:$B$1502,$A975))</f>
        <v/>
      </c>
      <c r="J975" s="16" t="str">
        <f aca="false">IF($A975="","",IF($G975="","",$G975-$I975))</f>
        <v/>
      </c>
      <c r="K975" s="17" t="str">
        <f aca="true">IF(OR($A975="",$J975="",$J975&lt;=0,$H975=""),"",TODAY()-$H975)</f>
        <v/>
      </c>
      <c r="L975" s="14" t="str">
        <f aca="false">IF($A975="","",IF($G975="","",IF($J975&lt;=0,"반납완료",IF($I975&gt;0,"부분반납","미반납"))))</f>
        <v/>
      </c>
    </row>
    <row r="976" customFormat="false" ht="15" hidden="false" customHeight="false" outlineLevel="0" collapsed="false">
      <c r="A976" s="14" t="str">
        <f aca="false">IF($B976="","",TEXT($B976,"yymmdd")&amp;"-"&amp;TEXT(COUNTIFS($B$3:$B976,$B976),"00"))</f>
        <v/>
      </c>
      <c r="B976" s="15"/>
      <c r="C976" s="9"/>
      <c r="D976" s="10"/>
      <c r="E976" s="14" t="str">
        <f aca="false">IF($D976="","",IFERROR(INDEX(품목목록!$B$3:$B$202,MATCH($D976,품목목록!$A$3:$A$202,0)),"미등록품번"))</f>
        <v/>
      </c>
      <c r="F976" s="14" t="str">
        <f aca="false">IF($D976="","",IFERROR(INDEX(품목목록!$D$3:$D$202,MATCH($D976,품목목록!$A$3:$A$202,0)),""))</f>
        <v/>
      </c>
      <c r="G976" s="11"/>
      <c r="H976" s="15"/>
      <c r="I976" s="16" t="str">
        <f aca="false">IF($A976="","",SUMIFS(반납내역!$D$3:$D$1502,반납내역!$B$3:$B$1502,$A976))</f>
        <v/>
      </c>
      <c r="J976" s="16" t="str">
        <f aca="false">IF($A976="","",IF($G976="","",$G976-$I976))</f>
        <v/>
      </c>
      <c r="K976" s="17" t="str">
        <f aca="true">IF(OR($A976="",$J976="",$J976&lt;=0,$H976=""),"",TODAY()-$H976)</f>
        <v/>
      </c>
      <c r="L976" s="14" t="str">
        <f aca="false">IF($A976="","",IF($G976="","",IF($J976&lt;=0,"반납완료",IF($I976&gt;0,"부분반납","미반납"))))</f>
        <v/>
      </c>
    </row>
    <row r="977" customFormat="false" ht="15" hidden="false" customHeight="false" outlineLevel="0" collapsed="false">
      <c r="A977" s="14" t="str">
        <f aca="false">IF($B977="","",TEXT($B977,"yymmdd")&amp;"-"&amp;TEXT(COUNTIFS($B$3:$B977,$B977),"00"))</f>
        <v/>
      </c>
      <c r="B977" s="15"/>
      <c r="C977" s="9"/>
      <c r="D977" s="10"/>
      <c r="E977" s="14" t="str">
        <f aca="false">IF($D977="","",IFERROR(INDEX(품목목록!$B$3:$B$202,MATCH($D977,품목목록!$A$3:$A$202,0)),"미등록품번"))</f>
        <v/>
      </c>
      <c r="F977" s="14" t="str">
        <f aca="false">IF($D977="","",IFERROR(INDEX(품목목록!$D$3:$D$202,MATCH($D977,품목목록!$A$3:$A$202,0)),""))</f>
        <v/>
      </c>
      <c r="G977" s="11"/>
      <c r="H977" s="15"/>
      <c r="I977" s="16" t="str">
        <f aca="false">IF($A977="","",SUMIFS(반납내역!$D$3:$D$1502,반납내역!$B$3:$B$1502,$A977))</f>
        <v/>
      </c>
      <c r="J977" s="16" t="str">
        <f aca="false">IF($A977="","",IF($G977="","",$G977-$I977))</f>
        <v/>
      </c>
      <c r="K977" s="17" t="str">
        <f aca="true">IF(OR($A977="",$J977="",$J977&lt;=0,$H977=""),"",TODAY()-$H977)</f>
        <v/>
      </c>
      <c r="L977" s="14" t="str">
        <f aca="false">IF($A977="","",IF($G977="","",IF($J977&lt;=0,"반납완료",IF($I977&gt;0,"부분반납","미반납"))))</f>
        <v/>
      </c>
    </row>
    <row r="978" customFormat="false" ht="15" hidden="false" customHeight="false" outlineLevel="0" collapsed="false">
      <c r="A978" s="14" t="str">
        <f aca="false">IF($B978="","",TEXT($B978,"yymmdd")&amp;"-"&amp;TEXT(COUNTIFS($B$3:$B978,$B978),"00"))</f>
        <v/>
      </c>
      <c r="B978" s="15"/>
      <c r="C978" s="9"/>
      <c r="D978" s="10"/>
      <c r="E978" s="14" t="str">
        <f aca="false">IF($D978="","",IFERROR(INDEX(품목목록!$B$3:$B$202,MATCH($D978,품목목록!$A$3:$A$202,0)),"미등록품번"))</f>
        <v/>
      </c>
      <c r="F978" s="14" t="str">
        <f aca="false">IF($D978="","",IFERROR(INDEX(품목목록!$D$3:$D$202,MATCH($D978,품목목록!$A$3:$A$202,0)),""))</f>
        <v/>
      </c>
      <c r="G978" s="11"/>
      <c r="H978" s="15"/>
      <c r="I978" s="16" t="str">
        <f aca="false">IF($A978="","",SUMIFS(반납내역!$D$3:$D$1502,반납내역!$B$3:$B$1502,$A978))</f>
        <v/>
      </c>
      <c r="J978" s="16" t="str">
        <f aca="false">IF($A978="","",IF($G978="","",$G978-$I978))</f>
        <v/>
      </c>
      <c r="K978" s="17" t="str">
        <f aca="true">IF(OR($A978="",$J978="",$J978&lt;=0,$H978=""),"",TODAY()-$H978)</f>
        <v/>
      </c>
      <c r="L978" s="14" t="str">
        <f aca="false">IF($A978="","",IF($G978="","",IF($J978&lt;=0,"반납완료",IF($I978&gt;0,"부분반납","미반납"))))</f>
        <v/>
      </c>
    </row>
    <row r="979" customFormat="false" ht="15" hidden="false" customHeight="false" outlineLevel="0" collapsed="false">
      <c r="A979" s="14" t="str">
        <f aca="false">IF($B979="","",TEXT($B979,"yymmdd")&amp;"-"&amp;TEXT(COUNTIFS($B$3:$B979,$B979),"00"))</f>
        <v/>
      </c>
      <c r="B979" s="15"/>
      <c r="C979" s="9"/>
      <c r="D979" s="10"/>
      <c r="E979" s="14" t="str">
        <f aca="false">IF($D979="","",IFERROR(INDEX(품목목록!$B$3:$B$202,MATCH($D979,품목목록!$A$3:$A$202,0)),"미등록품번"))</f>
        <v/>
      </c>
      <c r="F979" s="14" t="str">
        <f aca="false">IF($D979="","",IFERROR(INDEX(품목목록!$D$3:$D$202,MATCH($D979,품목목록!$A$3:$A$202,0)),""))</f>
        <v/>
      </c>
      <c r="G979" s="11"/>
      <c r="H979" s="15"/>
      <c r="I979" s="16" t="str">
        <f aca="false">IF($A979="","",SUMIFS(반납내역!$D$3:$D$1502,반납내역!$B$3:$B$1502,$A979))</f>
        <v/>
      </c>
      <c r="J979" s="16" t="str">
        <f aca="false">IF($A979="","",IF($G979="","",$G979-$I979))</f>
        <v/>
      </c>
      <c r="K979" s="17" t="str">
        <f aca="true">IF(OR($A979="",$J979="",$J979&lt;=0,$H979=""),"",TODAY()-$H979)</f>
        <v/>
      </c>
      <c r="L979" s="14" t="str">
        <f aca="false">IF($A979="","",IF($G979="","",IF($J979&lt;=0,"반납완료",IF($I979&gt;0,"부분반납","미반납"))))</f>
        <v/>
      </c>
    </row>
    <row r="980" customFormat="false" ht="15" hidden="false" customHeight="false" outlineLevel="0" collapsed="false">
      <c r="A980" s="14" t="str">
        <f aca="false">IF($B980="","",TEXT($B980,"yymmdd")&amp;"-"&amp;TEXT(COUNTIFS($B$3:$B980,$B980),"00"))</f>
        <v/>
      </c>
      <c r="B980" s="15"/>
      <c r="C980" s="9"/>
      <c r="D980" s="10"/>
      <c r="E980" s="14" t="str">
        <f aca="false">IF($D980="","",IFERROR(INDEX(품목목록!$B$3:$B$202,MATCH($D980,품목목록!$A$3:$A$202,0)),"미등록품번"))</f>
        <v/>
      </c>
      <c r="F980" s="14" t="str">
        <f aca="false">IF($D980="","",IFERROR(INDEX(품목목록!$D$3:$D$202,MATCH($D980,품목목록!$A$3:$A$202,0)),""))</f>
        <v/>
      </c>
      <c r="G980" s="11"/>
      <c r="H980" s="15"/>
      <c r="I980" s="16" t="str">
        <f aca="false">IF($A980="","",SUMIFS(반납내역!$D$3:$D$1502,반납내역!$B$3:$B$1502,$A980))</f>
        <v/>
      </c>
      <c r="J980" s="16" t="str">
        <f aca="false">IF($A980="","",IF($G980="","",$G980-$I980))</f>
        <v/>
      </c>
      <c r="K980" s="17" t="str">
        <f aca="true">IF(OR($A980="",$J980="",$J980&lt;=0,$H980=""),"",TODAY()-$H980)</f>
        <v/>
      </c>
      <c r="L980" s="14" t="str">
        <f aca="false">IF($A980="","",IF($G980="","",IF($J980&lt;=0,"반납완료",IF($I980&gt;0,"부분반납","미반납"))))</f>
        <v/>
      </c>
    </row>
    <row r="981" customFormat="false" ht="15" hidden="false" customHeight="false" outlineLevel="0" collapsed="false">
      <c r="A981" s="14" t="str">
        <f aca="false">IF($B981="","",TEXT($B981,"yymmdd")&amp;"-"&amp;TEXT(COUNTIFS($B$3:$B981,$B981),"00"))</f>
        <v/>
      </c>
      <c r="B981" s="15"/>
      <c r="C981" s="9"/>
      <c r="D981" s="10"/>
      <c r="E981" s="14" t="str">
        <f aca="false">IF($D981="","",IFERROR(INDEX(품목목록!$B$3:$B$202,MATCH($D981,품목목록!$A$3:$A$202,0)),"미등록품번"))</f>
        <v/>
      </c>
      <c r="F981" s="14" t="str">
        <f aca="false">IF($D981="","",IFERROR(INDEX(품목목록!$D$3:$D$202,MATCH($D981,품목목록!$A$3:$A$202,0)),""))</f>
        <v/>
      </c>
      <c r="G981" s="11"/>
      <c r="H981" s="15"/>
      <c r="I981" s="16" t="str">
        <f aca="false">IF($A981="","",SUMIFS(반납내역!$D$3:$D$1502,반납내역!$B$3:$B$1502,$A981))</f>
        <v/>
      </c>
      <c r="J981" s="16" t="str">
        <f aca="false">IF($A981="","",IF($G981="","",$G981-$I981))</f>
        <v/>
      </c>
      <c r="K981" s="17" t="str">
        <f aca="true">IF(OR($A981="",$J981="",$J981&lt;=0,$H981=""),"",TODAY()-$H981)</f>
        <v/>
      </c>
      <c r="L981" s="14" t="str">
        <f aca="false">IF($A981="","",IF($G981="","",IF($J981&lt;=0,"반납완료",IF($I981&gt;0,"부분반납","미반납"))))</f>
        <v/>
      </c>
    </row>
    <row r="982" customFormat="false" ht="15" hidden="false" customHeight="false" outlineLevel="0" collapsed="false">
      <c r="A982" s="14" t="str">
        <f aca="false">IF($B982="","",TEXT($B982,"yymmdd")&amp;"-"&amp;TEXT(COUNTIFS($B$3:$B982,$B982),"00"))</f>
        <v/>
      </c>
      <c r="B982" s="15"/>
      <c r="C982" s="9"/>
      <c r="D982" s="10"/>
      <c r="E982" s="14" t="str">
        <f aca="false">IF($D982="","",IFERROR(INDEX(품목목록!$B$3:$B$202,MATCH($D982,품목목록!$A$3:$A$202,0)),"미등록품번"))</f>
        <v/>
      </c>
      <c r="F982" s="14" t="str">
        <f aca="false">IF($D982="","",IFERROR(INDEX(품목목록!$D$3:$D$202,MATCH($D982,품목목록!$A$3:$A$202,0)),""))</f>
        <v/>
      </c>
      <c r="G982" s="11"/>
      <c r="H982" s="15"/>
      <c r="I982" s="16" t="str">
        <f aca="false">IF($A982="","",SUMIFS(반납내역!$D$3:$D$1502,반납내역!$B$3:$B$1502,$A982))</f>
        <v/>
      </c>
      <c r="J982" s="16" t="str">
        <f aca="false">IF($A982="","",IF($G982="","",$G982-$I982))</f>
        <v/>
      </c>
      <c r="K982" s="17" t="str">
        <f aca="true">IF(OR($A982="",$J982="",$J982&lt;=0,$H982=""),"",TODAY()-$H982)</f>
        <v/>
      </c>
      <c r="L982" s="14" t="str">
        <f aca="false">IF($A982="","",IF($G982="","",IF($J982&lt;=0,"반납완료",IF($I982&gt;0,"부분반납","미반납"))))</f>
        <v/>
      </c>
    </row>
    <row r="983" customFormat="false" ht="15" hidden="false" customHeight="false" outlineLevel="0" collapsed="false">
      <c r="A983" s="14" t="str">
        <f aca="false">IF($B983="","",TEXT($B983,"yymmdd")&amp;"-"&amp;TEXT(COUNTIFS($B$3:$B983,$B983),"00"))</f>
        <v/>
      </c>
      <c r="B983" s="15"/>
      <c r="C983" s="9"/>
      <c r="D983" s="10"/>
      <c r="E983" s="14" t="str">
        <f aca="false">IF($D983="","",IFERROR(INDEX(품목목록!$B$3:$B$202,MATCH($D983,품목목록!$A$3:$A$202,0)),"미등록품번"))</f>
        <v/>
      </c>
      <c r="F983" s="14" t="str">
        <f aca="false">IF($D983="","",IFERROR(INDEX(품목목록!$D$3:$D$202,MATCH($D983,품목목록!$A$3:$A$202,0)),""))</f>
        <v/>
      </c>
      <c r="G983" s="11"/>
      <c r="H983" s="15"/>
      <c r="I983" s="16" t="str">
        <f aca="false">IF($A983="","",SUMIFS(반납내역!$D$3:$D$1502,반납내역!$B$3:$B$1502,$A983))</f>
        <v/>
      </c>
      <c r="J983" s="16" t="str">
        <f aca="false">IF($A983="","",IF($G983="","",$G983-$I983))</f>
        <v/>
      </c>
      <c r="K983" s="17" t="str">
        <f aca="true">IF(OR($A983="",$J983="",$J983&lt;=0,$H983=""),"",TODAY()-$H983)</f>
        <v/>
      </c>
      <c r="L983" s="14" t="str">
        <f aca="false">IF($A983="","",IF($G983="","",IF($J983&lt;=0,"반납완료",IF($I983&gt;0,"부분반납","미반납"))))</f>
        <v/>
      </c>
    </row>
    <row r="984" customFormat="false" ht="15" hidden="false" customHeight="false" outlineLevel="0" collapsed="false">
      <c r="A984" s="14" t="str">
        <f aca="false">IF($B984="","",TEXT($B984,"yymmdd")&amp;"-"&amp;TEXT(COUNTIFS($B$3:$B984,$B984),"00"))</f>
        <v/>
      </c>
      <c r="B984" s="15"/>
      <c r="C984" s="9"/>
      <c r="D984" s="10"/>
      <c r="E984" s="14" t="str">
        <f aca="false">IF($D984="","",IFERROR(INDEX(품목목록!$B$3:$B$202,MATCH($D984,품목목록!$A$3:$A$202,0)),"미등록품번"))</f>
        <v/>
      </c>
      <c r="F984" s="14" t="str">
        <f aca="false">IF($D984="","",IFERROR(INDEX(품목목록!$D$3:$D$202,MATCH($D984,품목목록!$A$3:$A$202,0)),""))</f>
        <v/>
      </c>
      <c r="G984" s="11"/>
      <c r="H984" s="15"/>
      <c r="I984" s="16" t="str">
        <f aca="false">IF($A984="","",SUMIFS(반납내역!$D$3:$D$1502,반납내역!$B$3:$B$1502,$A984))</f>
        <v/>
      </c>
      <c r="J984" s="16" t="str">
        <f aca="false">IF($A984="","",IF($G984="","",$G984-$I984))</f>
        <v/>
      </c>
      <c r="K984" s="17" t="str">
        <f aca="true">IF(OR($A984="",$J984="",$J984&lt;=0,$H984=""),"",TODAY()-$H984)</f>
        <v/>
      </c>
      <c r="L984" s="14" t="str">
        <f aca="false">IF($A984="","",IF($G984="","",IF($J984&lt;=0,"반납완료",IF($I984&gt;0,"부분반납","미반납"))))</f>
        <v/>
      </c>
    </row>
    <row r="985" customFormat="false" ht="15" hidden="false" customHeight="false" outlineLevel="0" collapsed="false">
      <c r="A985" s="14" t="str">
        <f aca="false">IF($B985="","",TEXT($B985,"yymmdd")&amp;"-"&amp;TEXT(COUNTIFS($B$3:$B985,$B985),"00"))</f>
        <v/>
      </c>
      <c r="B985" s="15"/>
      <c r="C985" s="9"/>
      <c r="D985" s="10"/>
      <c r="E985" s="14" t="str">
        <f aca="false">IF($D985="","",IFERROR(INDEX(품목목록!$B$3:$B$202,MATCH($D985,품목목록!$A$3:$A$202,0)),"미등록품번"))</f>
        <v/>
      </c>
      <c r="F985" s="14" t="str">
        <f aca="false">IF($D985="","",IFERROR(INDEX(품목목록!$D$3:$D$202,MATCH($D985,품목목록!$A$3:$A$202,0)),""))</f>
        <v/>
      </c>
      <c r="G985" s="11"/>
      <c r="H985" s="15"/>
      <c r="I985" s="16" t="str">
        <f aca="false">IF($A985="","",SUMIFS(반납내역!$D$3:$D$1502,반납내역!$B$3:$B$1502,$A985))</f>
        <v/>
      </c>
      <c r="J985" s="16" t="str">
        <f aca="false">IF($A985="","",IF($G985="","",$G985-$I985))</f>
        <v/>
      </c>
      <c r="K985" s="17" t="str">
        <f aca="true">IF(OR($A985="",$J985="",$J985&lt;=0,$H985=""),"",TODAY()-$H985)</f>
        <v/>
      </c>
      <c r="L985" s="14" t="str">
        <f aca="false">IF($A985="","",IF($G985="","",IF($J985&lt;=0,"반납완료",IF($I985&gt;0,"부분반납","미반납"))))</f>
        <v/>
      </c>
    </row>
    <row r="986" customFormat="false" ht="15" hidden="false" customHeight="false" outlineLevel="0" collapsed="false">
      <c r="A986" s="14" t="str">
        <f aca="false">IF($B986="","",TEXT($B986,"yymmdd")&amp;"-"&amp;TEXT(COUNTIFS($B$3:$B986,$B986),"00"))</f>
        <v/>
      </c>
      <c r="B986" s="15"/>
      <c r="C986" s="9"/>
      <c r="D986" s="10"/>
      <c r="E986" s="14" t="str">
        <f aca="false">IF($D986="","",IFERROR(INDEX(품목목록!$B$3:$B$202,MATCH($D986,품목목록!$A$3:$A$202,0)),"미등록품번"))</f>
        <v/>
      </c>
      <c r="F986" s="14" t="str">
        <f aca="false">IF($D986="","",IFERROR(INDEX(품목목록!$D$3:$D$202,MATCH($D986,품목목록!$A$3:$A$202,0)),""))</f>
        <v/>
      </c>
      <c r="G986" s="11"/>
      <c r="H986" s="15"/>
      <c r="I986" s="16" t="str">
        <f aca="false">IF($A986="","",SUMIFS(반납내역!$D$3:$D$1502,반납내역!$B$3:$B$1502,$A986))</f>
        <v/>
      </c>
      <c r="J986" s="16" t="str">
        <f aca="false">IF($A986="","",IF($G986="","",$G986-$I986))</f>
        <v/>
      </c>
      <c r="K986" s="17" t="str">
        <f aca="true">IF(OR($A986="",$J986="",$J986&lt;=0,$H986=""),"",TODAY()-$H986)</f>
        <v/>
      </c>
      <c r="L986" s="14" t="str">
        <f aca="false">IF($A986="","",IF($G986="","",IF($J986&lt;=0,"반납완료",IF($I986&gt;0,"부분반납","미반납"))))</f>
        <v/>
      </c>
    </row>
    <row r="987" customFormat="false" ht="15" hidden="false" customHeight="false" outlineLevel="0" collapsed="false">
      <c r="A987" s="14" t="str">
        <f aca="false">IF($B987="","",TEXT($B987,"yymmdd")&amp;"-"&amp;TEXT(COUNTIFS($B$3:$B987,$B987),"00"))</f>
        <v/>
      </c>
      <c r="B987" s="15"/>
      <c r="C987" s="9"/>
      <c r="D987" s="10"/>
      <c r="E987" s="14" t="str">
        <f aca="false">IF($D987="","",IFERROR(INDEX(품목목록!$B$3:$B$202,MATCH($D987,품목목록!$A$3:$A$202,0)),"미등록품번"))</f>
        <v/>
      </c>
      <c r="F987" s="14" t="str">
        <f aca="false">IF($D987="","",IFERROR(INDEX(품목목록!$D$3:$D$202,MATCH($D987,품목목록!$A$3:$A$202,0)),""))</f>
        <v/>
      </c>
      <c r="G987" s="11"/>
      <c r="H987" s="15"/>
      <c r="I987" s="16" t="str">
        <f aca="false">IF($A987="","",SUMIFS(반납내역!$D$3:$D$1502,반납내역!$B$3:$B$1502,$A987))</f>
        <v/>
      </c>
      <c r="J987" s="16" t="str">
        <f aca="false">IF($A987="","",IF($G987="","",$G987-$I987))</f>
        <v/>
      </c>
      <c r="K987" s="17" t="str">
        <f aca="true">IF(OR($A987="",$J987="",$J987&lt;=0,$H987=""),"",TODAY()-$H987)</f>
        <v/>
      </c>
      <c r="L987" s="14" t="str">
        <f aca="false">IF($A987="","",IF($G987="","",IF($J987&lt;=0,"반납완료",IF($I987&gt;0,"부분반납","미반납"))))</f>
        <v/>
      </c>
    </row>
    <row r="988" customFormat="false" ht="15" hidden="false" customHeight="false" outlineLevel="0" collapsed="false">
      <c r="A988" s="14" t="str">
        <f aca="false">IF($B988="","",TEXT($B988,"yymmdd")&amp;"-"&amp;TEXT(COUNTIFS($B$3:$B988,$B988),"00"))</f>
        <v/>
      </c>
      <c r="B988" s="15"/>
      <c r="C988" s="9"/>
      <c r="D988" s="10"/>
      <c r="E988" s="14" t="str">
        <f aca="false">IF($D988="","",IFERROR(INDEX(품목목록!$B$3:$B$202,MATCH($D988,품목목록!$A$3:$A$202,0)),"미등록품번"))</f>
        <v/>
      </c>
      <c r="F988" s="14" t="str">
        <f aca="false">IF($D988="","",IFERROR(INDEX(품목목록!$D$3:$D$202,MATCH($D988,품목목록!$A$3:$A$202,0)),""))</f>
        <v/>
      </c>
      <c r="G988" s="11"/>
      <c r="H988" s="15"/>
      <c r="I988" s="16" t="str">
        <f aca="false">IF($A988="","",SUMIFS(반납내역!$D$3:$D$1502,반납내역!$B$3:$B$1502,$A988))</f>
        <v/>
      </c>
      <c r="J988" s="16" t="str">
        <f aca="false">IF($A988="","",IF($G988="","",$G988-$I988))</f>
        <v/>
      </c>
      <c r="K988" s="17" t="str">
        <f aca="true">IF(OR($A988="",$J988="",$J988&lt;=0,$H988=""),"",TODAY()-$H988)</f>
        <v/>
      </c>
      <c r="L988" s="14" t="str">
        <f aca="false">IF($A988="","",IF($G988="","",IF($J988&lt;=0,"반납완료",IF($I988&gt;0,"부분반납","미반납"))))</f>
        <v/>
      </c>
    </row>
    <row r="989" customFormat="false" ht="15" hidden="false" customHeight="false" outlineLevel="0" collapsed="false">
      <c r="A989" s="14" t="str">
        <f aca="false">IF($B989="","",TEXT($B989,"yymmdd")&amp;"-"&amp;TEXT(COUNTIFS($B$3:$B989,$B989),"00"))</f>
        <v/>
      </c>
      <c r="B989" s="15"/>
      <c r="C989" s="9"/>
      <c r="D989" s="10"/>
      <c r="E989" s="14" t="str">
        <f aca="false">IF($D989="","",IFERROR(INDEX(품목목록!$B$3:$B$202,MATCH($D989,품목목록!$A$3:$A$202,0)),"미등록품번"))</f>
        <v/>
      </c>
      <c r="F989" s="14" t="str">
        <f aca="false">IF($D989="","",IFERROR(INDEX(품목목록!$D$3:$D$202,MATCH($D989,품목목록!$A$3:$A$202,0)),""))</f>
        <v/>
      </c>
      <c r="G989" s="11"/>
      <c r="H989" s="15"/>
      <c r="I989" s="16" t="str">
        <f aca="false">IF($A989="","",SUMIFS(반납내역!$D$3:$D$1502,반납내역!$B$3:$B$1502,$A989))</f>
        <v/>
      </c>
      <c r="J989" s="16" t="str">
        <f aca="false">IF($A989="","",IF($G989="","",$G989-$I989))</f>
        <v/>
      </c>
      <c r="K989" s="17" t="str">
        <f aca="true">IF(OR($A989="",$J989="",$J989&lt;=0,$H989=""),"",TODAY()-$H989)</f>
        <v/>
      </c>
      <c r="L989" s="14" t="str">
        <f aca="false">IF($A989="","",IF($G989="","",IF($J989&lt;=0,"반납완료",IF($I989&gt;0,"부분반납","미반납"))))</f>
        <v/>
      </c>
    </row>
    <row r="990" customFormat="false" ht="15" hidden="false" customHeight="false" outlineLevel="0" collapsed="false">
      <c r="A990" s="14" t="str">
        <f aca="false">IF($B990="","",TEXT($B990,"yymmdd")&amp;"-"&amp;TEXT(COUNTIFS($B$3:$B990,$B990),"00"))</f>
        <v/>
      </c>
      <c r="B990" s="15"/>
      <c r="C990" s="9"/>
      <c r="D990" s="10"/>
      <c r="E990" s="14" t="str">
        <f aca="false">IF($D990="","",IFERROR(INDEX(품목목록!$B$3:$B$202,MATCH($D990,품목목록!$A$3:$A$202,0)),"미등록품번"))</f>
        <v/>
      </c>
      <c r="F990" s="14" t="str">
        <f aca="false">IF($D990="","",IFERROR(INDEX(품목목록!$D$3:$D$202,MATCH($D990,품목목록!$A$3:$A$202,0)),""))</f>
        <v/>
      </c>
      <c r="G990" s="11"/>
      <c r="H990" s="15"/>
      <c r="I990" s="16" t="str">
        <f aca="false">IF($A990="","",SUMIFS(반납내역!$D$3:$D$1502,반납내역!$B$3:$B$1502,$A990))</f>
        <v/>
      </c>
      <c r="J990" s="16" t="str">
        <f aca="false">IF($A990="","",IF($G990="","",$G990-$I990))</f>
        <v/>
      </c>
      <c r="K990" s="17" t="str">
        <f aca="true">IF(OR($A990="",$J990="",$J990&lt;=0,$H990=""),"",TODAY()-$H990)</f>
        <v/>
      </c>
      <c r="L990" s="14" t="str">
        <f aca="false">IF($A990="","",IF($G990="","",IF($J990&lt;=0,"반납완료",IF($I990&gt;0,"부분반납","미반납"))))</f>
        <v/>
      </c>
    </row>
    <row r="991" customFormat="false" ht="15" hidden="false" customHeight="false" outlineLevel="0" collapsed="false">
      <c r="A991" s="14" t="str">
        <f aca="false">IF($B991="","",TEXT($B991,"yymmdd")&amp;"-"&amp;TEXT(COUNTIFS($B$3:$B991,$B991),"00"))</f>
        <v/>
      </c>
      <c r="B991" s="15"/>
      <c r="C991" s="9"/>
      <c r="D991" s="10"/>
      <c r="E991" s="14" t="str">
        <f aca="false">IF($D991="","",IFERROR(INDEX(품목목록!$B$3:$B$202,MATCH($D991,품목목록!$A$3:$A$202,0)),"미등록품번"))</f>
        <v/>
      </c>
      <c r="F991" s="14" t="str">
        <f aca="false">IF($D991="","",IFERROR(INDEX(품목목록!$D$3:$D$202,MATCH($D991,품목목록!$A$3:$A$202,0)),""))</f>
        <v/>
      </c>
      <c r="G991" s="11"/>
      <c r="H991" s="15"/>
      <c r="I991" s="16" t="str">
        <f aca="false">IF($A991="","",SUMIFS(반납내역!$D$3:$D$1502,반납내역!$B$3:$B$1502,$A991))</f>
        <v/>
      </c>
      <c r="J991" s="16" t="str">
        <f aca="false">IF($A991="","",IF($G991="","",$G991-$I991))</f>
        <v/>
      </c>
      <c r="K991" s="17" t="str">
        <f aca="true">IF(OR($A991="",$J991="",$J991&lt;=0,$H991=""),"",TODAY()-$H991)</f>
        <v/>
      </c>
      <c r="L991" s="14" t="str">
        <f aca="false">IF($A991="","",IF($G991="","",IF($J991&lt;=0,"반납완료",IF($I991&gt;0,"부분반납","미반납"))))</f>
        <v/>
      </c>
    </row>
    <row r="992" customFormat="false" ht="15" hidden="false" customHeight="false" outlineLevel="0" collapsed="false">
      <c r="A992" s="14" t="str">
        <f aca="false">IF($B992="","",TEXT($B992,"yymmdd")&amp;"-"&amp;TEXT(COUNTIFS($B$3:$B992,$B992),"00"))</f>
        <v/>
      </c>
      <c r="B992" s="15"/>
      <c r="C992" s="9"/>
      <c r="D992" s="10"/>
      <c r="E992" s="14" t="str">
        <f aca="false">IF($D992="","",IFERROR(INDEX(품목목록!$B$3:$B$202,MATCH($D992,품목목록!$A$3:$A$202,0)),"미등록품번"))</f>
        <v/>
      </c>
      <c r="F992" s="14" t="str">
        <f aca="false">IF($D992="","",IFERROR(INDEX(품목목록!$D$3:$D$202,MATCH($D992,품목목록!$A$3:$A$202,0)),""))</f>
        <v/>
      </c>
      <c r="G992" s="11"/>
      <c r="H992" s="15"/>
      <c r="I992" s="16" t="str">
        <f aca="false">IF($A992="","",SUMIFS(반납내역!$D$3:$D$1502,반납내역!$B$3:$B$1502,$A992))</f>
        <v/>
      </c>
      <c r="J992" s="16" t="str">
        <f aca="false">IF($A992="","",IF($G992="","",$G992-$I992))</f>
        <v/>
      </c>
      <c r="K992" s="17" t="str">
        <f aca="true">IF(OR($A992="",$J992="",$J992&lt;=0,$H992=""),"",TODAY()-$H992)</f>
        <v/>
      </c>
      <c r="L992" s="14" t="str">
        <f aca="false">IF($A992="","",IF($G992="","",IF($J992&lt;=0,"반납완료",IF($I992&gt;0,"부분반납","미반납"))))</f>
        <v/>
      </c>
    </row>
    <row r="993" customFormat="false" ht="15" hidden="false" customHeight="false" outlineLevel="0" collapsed="false">
      <c r="A993" s="14" t="str">
        <f aca="false">IF($B993="","",TEXT($B993,"yymmdd")&amp;"-"&amp;TEXT(COUNTIFS($B$3:$B993,$B993),"00"))</f>
        <v/>
      </c>
      <c r="B993" s="15"/>
      <c r="C993" s="9"/>
      <c r="D993" s="10"/>
      <c r="E993" s="14" t="str">
        <f aca="false">IF($D993="","",IFERROR(INDEX(품목목록!$B$3:$B$202,MATCH($D993,품목목록!$A$3:$A$202,0)),"미등록품번"))</f>
        <v/>
      </c>
      <c r="F993" s="14" t="str">
        <f aca="false">IF($D993="","",IFERROR(INDEX(품목목록!$D$3:$D$202,MATCH($D993,품목목록!$A$3:$A$202,0)),""))</f>
        <v/>
      </c>
      <c r="G993" s="11"/>
      <c r="H993" s="15"/>
      <c r="I993" s="16" t="str">
        <f aca="false">IF($A993="","",SUMIFS(반납내역!$D$3:$D$1502,반납내역!$B$3:$B$1502,$A993))</f>
        <v/>
      </c>
      <c r="J993" s="16" t="str">
        <f aca="false">IF($A993="","",IF($G993="","",$G993-$I993))</f>
        <v/>
      </c>
      <c r="K993" s="17" t="str">
        <f aca="true">IF(OR($A993="",$J993="",$J993&lt;=0,$H993=""),"",TODAY()-$H993)</f>
        <v/>
      </c>
      <c r="L993" s="14" t="str">
        <f aca="false">IF($A993="","",IF($G993="","",IF($J993&lt;=0,"반납완료",IF($I993&gt;0,"부분반납","미반납"))))</f>
        <v/>
      </c>
    </row>
    <row r="994" customFormat="false" ht="15" hidden="false" customHeight="false" outlineLevel="0" collapsed="false">
      <c r="A994" s="14" t="str">
        <f aca="false">IF($B994="","",TEXT($B994,"yymmdd")&amp;"-"&amp;TEXT(COUNTIFS($B$3:$B994,$B994),"00"))</f>
        <v/>
      </c>
      <c r="B994" s="15"/>
      <c r="C994" s="9"/>
      <c r="D994" s="10"/>
      <c r="E994" s="14" t="str">
        <f aca="false">IF($D994="","",IFERROR(INDEX(품목목록!$B$3:$B$202,MATCH($D994,품목목록!$A$3:$A$202,0)),"미등록품번"))</f>
        <v/>
      </c>
      <c r="F994" s="14" t="str">
        <f aca="false">IF($D994="","",IFERROR(INDEX(품목목록!$D$3:$D$202,MATCH($D994,품목목록!$A$3:$A$202,0)),""))</f>
        <v/>
      </c>
      <c r="G994" s="11"/>
      <c r="H994" s="15"/>
      <c r="I994" s="16" t="str">
        <f aca="false">IF($A994="","",SUMIFS(반납내역!$D$3:$D$1502,반납내역!$B$3:$B$1502,$A994))</f>
        <v/>
      </c>
      <c r="J994" s="16" t="str">
        <f aca="false">IF($A994="","",IF($G994="","",$G994-$I994))</f>
        <v/>
      </c>
      <c r="K994" s="17" t="str">
        <f aca="true">IF(OR($A994="",$J994="",$J994&lt;=0,$H994=""),"",TODAY()-$H994)</f>
        <v/>
      </c>
      <c r="L994" s="14" t="str">
        <f aca="false">IF($A994="","",IF($G994="","",IF($J994&lt;=0,"반납완료",IF($I994&gt;0,"부분반납","미반납"))))</f>
        <v/>
      </c>
    </row>
    <row r="995" customFormat="false" ht="15" hidden="false" customHeight="false" outlineLevel="0" collapsed="false">
      <c r="A995" s="14" t="str">
        <f aca="false">IF($B995="","",TEXT($B995,"yymmdd")&amp;"-"&amp;TEXT(COUNTIFS($B$3:$B995,$B995),"00"))</f>
        <v/>
      </c>
      <c r="B995" s="15"/>
      <c r="C995" s="9"/>
      <c r="D995" s="10"/>
      <c r="E995" s="14" t="str">
        <f aca="false">IF($D995="","",IFERROR(INDEX(품목목록!$B$3:$B$202,MATCH($D995,품목목록!$A$3:$A$202,0)),"미등록품번"))</f>
        <v/>
      </c>
      <c r="F995" s="14" t="str">
        <f aca="false">IF($D995="","",IFERROR(INDEX(품목목록!$D$3:$D$202,MATCH($D995,품목목록!$A$3:$A$202,0)),""))</f>
        <v/>
      </c>
      <c r="G995" s="11"/>
      <c r="H995" s="15"/>
      <c r="I995" s="16" t="str">
        <f aca="false">IF($A995="","",SUMIFS(반납내역!$D$3:$D$1502,반납내역!$B$3:$B$1502,$A995))</f>
        <v/>
      </c>
      <c r="J995" s="16" t="str">
        <f aca="false">IF($A995="","",IF($G995="","",$G995-$I995))</f>
        <v/>
      </c>
      <c r="K995" s="17" t="str">
        <f aca="true">IF(OR($A995="",$J995="",$J995&lt;=0,$H995=""),"",TODAY()-$H995)</f>
        <v/>
      </c>
      <c r="L995" s="14" t="str">
        <f aca="false">IF($A995="","",IF($G995="","",IF($J995&lt;=0,"반납완료",IF($I995&gt;0,"부분반납","미반납"))))</f>
        <v/>
      </c>
    </row>
    <row r="996" customFormat="false" ht="15" hidden="false" customHeight="false" outlineLevel="0" collapsed="false">
      <c r="A996" s="14" t="str">
        <f aca="false">IF($B996="","",TEXT($B996,"yymmdd")&amp;"-"&amp;TEXT(COUNTIFS($B$3:$B996,$B996),"00"))</f>
        <v/>
      </c>
      <c r="B996" s="15"/>
      <c r="C996" s="9"/>
      <c r="D996" s="10"/>
      <c r="E996" s="14" t="str">
        <f aca="false">IF($D996="","",IFERROR(INDEX(품목목록!$B$3:$B$202,MATCH($D996,품목목록!$A$3:$A$202,0)),"미등록품번"))</f>
        <v/>
      </c>
      <c r="F996" s="14" t="str">
        <f aca="false">IF($D996="","",IFERROR(INDEX(품목목록!$D$3:$D$202,MATCH($D996,품목목록!$A$3:$A$202,0)),""))</f>
        <v/>
      </c>
      <c r="G996" s="11"/>
      <c r="H996" s="15"/>
      <c r="I996" s="16" t="str">
        <f aca="false">IF($A996="","",SUMIFS(반납내역!$D$3:$D$1502,반납내역!$B$3:$B$1502,$A996))</f>
        <v/>
      </c>
      <c r="J996" s="16" t="str">
        <f aca="false">IF($A996="","",IF($G996="","",$G996-$I996))</f>
        <v/>
      </c>
      <c r="K996" s="17" t="str">
        <f aca="true">IF(OR($A996="",$J996="",$J996&lt;=0,$H996=""),"",TODAY()-$H996)</f>
        <v/>
      </c>
      <c r="L996" s="14" t="str">
        <f aca="false">IF($A996="","",IF($G996="","",IF($J996&lt;=0,"반납완료",IF($I996&gt;0,"부분반납","미반납"))))</f>
        <v/>
      </c>
    </row>
    <row r="997" customFormat="false" ht="15" hidden="false" customHeight="false" outlineLevel="0" collapsed="false">
      <c r="A997" s="14" t="str">
        <f aca="false">IF($B997="","",TEXT($B997,"yymmdd")&amp;"-"&amp;TEXT(COUNTIFS($B$3:$B997,$B997),"00"))</f>
        <v/>
      </c>
      <c r="B997" s="15"/>
      <c r="C997" s="9"/>
      <c r="D997" s="10"/>
      <c r="E997" s="14" t="str">
        <f aca="false">IF($D997="","",IFERROR(INDEX(품목목록!$B$3:$B$202,MATCH($D997,품목목록!$A$3:$A$202,0)),"미등록품번"))</f>
        <v/>
      </c>
      <c r="F997" s="14" t="str">
        <f aca="false">IF($D997="","",IFERROR(INDEX(품목목록!$D$3:$D$202,MATCH($D997,품목목록!$A$3:$A$202,0)),""))</f>
        <v/>
      </c>
      <c r="G997" s="11"/>
      <c r="H997" s="15"/>
      <c r="I997" s="16" t="str">
        <f aca="false">IF($A997="","",SUMIFS(반납내역!$D$3:$D$1502,반납내역!$B$3:$B$1502,$A997))</f>
        <v/>
      </c>
      <c r="J997" s="16" t="str">
        <f aca="false">IF($A997="","",IF($G997="","",$G997-$I997))</f>
        <v/>
      </c>
      <c r="K997" s="17" t="str">
        <f aca="true">IF(OR($A997="",$J997="",$J997&lt;=0,$H997=""),"",TODAY()-$H997)</f>
        <v/>
      </c>
      <c r="L997" s="14" t="str">
        <f aca="false">IF($A997="","",IF($G997="","",IF($J997&lt;=0,"반납완료",IF($I997&gt;0,"부분반납","미반납"))))</f>
        <v/>
      </c>
    </row>
    <row r="998" customFormat="false" ht="15" hidden="false" customHeight="false" outlineLevel="0" collapsed="false">
      <c r="A998" s="14" t="str">
        <f aca="false">IF($B998="","",TEXT($B998,"yymmdd")&amp;"-"&amp;TEXT(COUNTIFS($B$3:$B998,$B998),"00"))</f>
        <v/>
      </c>
      <c r="B998" s="15"/>
      <c r="C998" s="9"/>
      <c r="D998" s="10"/>
      <c r="E998" s="14" t="str">
        <f aca="false">IF($D998="","",IFERROR(INDEX(품목목록!$B$3:$B$202,MATCH($D998,품목목록!$A$3:$A$202,0)),"미등록품번"))</f>
        <v/>
      </c>
      <c r="F998" s="14" t="str">
        <f aca="false">IF($D998="","",IFERROR(INDEX(품목목록!$D$3:$D$202,MATCH($D998,품목목록!$A$3:$A$202,0)),""))</f>
        <v/>
      </c>
      <c r="G998" s="11"/>
      <c r="H998" s="15"/>
      <c r="I998" s="16" t="str">
        <f aca="false">IF($A998="","",SUMIFS(반납내역!$D$3:$D$1502,반납내역!$B$3:$B$1502,$A998))</f>
        <v/>
      </c>
      <c r="J998" s="16" t="str">
        <f aca="false">IF($A998="","",IF($G998="","",$G998-$I998))</f>
        <v/>
      </c>
      <c r="K998" s="17" t="str">
        <f aca="true">IF(OR($A998="",$J998="",$J998&lt;=0,$H998=""),"",TODAY()-$H998)</f>
        <v/>
      </c>
      <c r="L998" s="14" t="str">
        <f aca="false">IF($A998="","",IF($G998="","",IF($J998&lt;=0,"반납완료",IF($I998&gt;0,"부분반납","미반납"))))</f>
        <v/>
      </c>
    </row>
    <row r="999" customFormat="false" ht="15" hidden="false" customHeight="false" outlineLevel="0" collapsed="false">
      <c r="A999" s="14" t="str">
        <f aca="false">IF($B999="","",TEXT($B999,"yymmdd")&amp;"-"&amp;TEXT(COUNTIFS($B$3:$B999,$B999),"00"))</f>
        <v/>
      </c>
      <c r="B999" s="15"/>
      <c r="C999" s="9"/>
      <c r="D999" s="10"/>
      <c r="E999" s="14" t="str">
        <f aca="false">IF($D999="","",IFERROR(INDEX(품목목록!$B$3:$B$202,MATCH($D999,품목목록!$A$3:$A$202,0)),"미등록품번"))</f>
        <v/>
      </c>
      <c r="F999" s="14" t="str">
        <f aca="false">IF($D999="","",IFERROR(INDEX(품목목록!$D$3:$D$202,MATCH($D999,품목목록!$A$3:$A$202,0)),""))</f>
        <v/>
      </c>
      <c r="G999" s="11"/>
      <c r="H999" s="15"/>
      <c r="I999" s="16" t="str">
        <f aca="false">IF($A999="","",SUMIFS(반납내역!$D$3:$D$1502,반납내역!$B$3:$B$1502,$A999))</f>
        <v/>
      </c>
      <c r="J999" s="16" t="str">
        <f aca="false">IF($A999="","",IF($G999="","",$G999-$I999))</f>
        <v/>
      </c>
      <c r="K999" s="17" t="str">
        <f aca="true">IF(OR($A999="",$J999="",$J999&lt;=0,$H999=""),"",TODAY()-$H999)</f>
        <v/>
      </c>
      <c r="L999" s="14" t="str">
        <f aca="false">IF($A999="","",IF($G999="","",IF($J999&lt;=0,"반납완료",IF($I999&gt;0,"부분반납","미반납"))))</f>
        <v/>
      </c>
    </row>
    <row r="1000" customFormat="false" ht="15" hidden="false" customHeight="false" outlineLevel="0" collapsed="false">
      <c r="A1000" s="14" t="str">
        <f aca="false">IF($B1000="","",TEXT($B1000,"yymmdd")&amp;"-"&amp;TEXT(COUNTIFS($B$3:$B1000,$B1000),"00"))</f>
        <v/>
      </c>
      <c r="B1000" s="15"/>
      <c r="C1000" s="9"/>
      <c r="D1000" s="10"/>
      <c r="E1000" s="14" t="str">
        <f aca="false">IF($D1000="","",IFERROR(INDEX(품목목록!$B$3:$B$202,MATCH($D1000,품목목록!$A$3:$A$202,0)),"미등록품번"))</f>
        <v/>
      </c>
      <c r="F1000" s="14" t="str">
        <f aca="false">IF($D1000="","",IFERROR(INDEX(품목목록!$D$3:$D$202,MATCH($D1000,품목목록!$A$3:$A$202,0)),""))</f>
        <v/>
      </c>
      <c r="G1000" s="11"/>
      <c r="H1000" s="15"/>
      <c r="I1000" s="16" t="str">
        <f aca="false">IF($A1000="","",SUMIFS(반납내역!$D$3:$D$1502,반납내역!$B$3:$B$1502,$A1000))</f>
        <v/>
      </c>
      <c r="J1000" s="16" t="str">
        <f aca="false">IF($A1000="","",IF($G1000="","",$G1000-$I1000))</f>
        <v/>
      </c>
      <c r="K1000" s="17" t="str">
        <f aca="true">IF(OR($A1000="",$J1000="",$J1000&lt;=0,$H1000=""),"",TODAY()-$H1000)</f>
        <v/>
      </c>
      <c r="L1000" s="14" t="str">
        <f aca="false">IF($A1000="","",IF($G1000="","",IF($J1000&lt;=0,"반납완료",IF($I1000&gt;0,"부분반납","미반납"))))</f>
        <v/>
      </c>
    </row>
    <row r="1001" customFormat="false" ht="15" hidden="false" customHeight="false" outlineLevel="0" collapsed="false">
      <c r="A1001" s="14" t="str">
        <f aca="false">IF($B1001="","",TEXT($B1001,"yymmdd")&amp;"-"&amp;TEXT(COUNTIFS($B$3:$B1001,$B1001),"00"))</f>
        <v/>
      </c>
      <c r="B1001" s="15"/>
      <c r="C1001" s="9"/>
      <c r="D1001" s="10"/>
      <c r="E1001" s="14" t="str">
        <f aca="false">IF($D1001="","",IFERROR(INDEX(품목목록!$B$3:$B$202,MATCH($D1001,품목목록!$A$3:$A$202,0)),"미등록품번"))</f>
        <v/>
      </c>
      <c r="F1001" s="14" t="str">
        <f aca="false">IF($D1001="","",IFERROR(INDEX(품목목록!$D$3:$D$202,MATCH($D1001,품목목록!$A$3:$A$202,0)),""))</f>
        <v/>
      </c>
      <c r="G1001" s="11"/>
      <c r="H1001" s="15"/>
      <c r="I1001" s="16" t="str">
        <f aca="false">IF($A1001="","",SUMIFS(반납내역!$D$3:$D$1502,반납내역!$B$3:$B$1502,$A1001))</f>
        <v/>
      </c>
      <c r="J1001" s="16" t="str">
        <f aca="false">IF($A1001="","",IF($G1001="","",$G1001-$I1001))</f>
        <v/>
      </c>
      <c r="K1001" s="17" t="str">
        <f aca="true">IF(OR($A1001="",$J1001="",$J1001&lt;=0,$H1001=""),"",TODAY()-$H1001)</f>
        <v/>
      </c>
      <c r="L1001" s="14" t="str">
        <f aca="false">IF($A1001="","",IF($G1001="","",IF($J1001&lt;=0,"반납완료",IF($I1001&gt;0,"부분반납","미반납"))))</f>
        <v/>
      </c>
    </row>
    <row r="1002" customFormat="false" ht="15" hidden="false" customHeight="false" outlineLevel="0" collapsed="false">
      <c r="A1002" s="14" t="str">
        <f aca="false">IF($B1002="","",TEXT($B1002,"yymmdd")&amp;"-"&amp;TEXT(COUNTIFS($B$3:$B1002,$B1002),"00"))</f>
        <v/>
      </c>
      <c r="B1002" s="15"/>
      <c r="C1002" s="9"/>
      <c r="D1002" s="10"/>
      <c r="E1002" s="14" t="str">
        <f aca="false">IF($D1002="","",IFERROR(INDEX(품목목록!$B$3:$B$202,MATCH($D1002,품목목록!$A$3:$A$202,0)),"미등록품번"))</f>
        <v/>
      </c>
      <c r="F1002" s="14" t="str">
        <f aca="false">IF($D1002="","",IFERROR(INDEX(품목목록!$D$3:$D$202,MATCH($D1002,품목목록!$A$3:$A$202,0)),""))</f>
        <v/>
      </c>
      <c r="G1002" s="11"/>
      <c r="H1002" s="15"/>
      <c r="I1002" s="16" t="str">
        <f aca="false">IF($A1002="","",SUMIFS(반납내역!$D$3:$D$1502,반납내역!$B$3:$B$1502,$A1002))</f>
        <v/>
      </c>
      <c r="J1002" s="16" t="str">
        <f aca="false">IF($A1002="","",IF($G1002="","",$G1002-$I1002))</f>
        <v/>
      </c>
      <c r="K1002" s="17" t="str">
        <f aca="true">IF(OR($A1002="",$J1002="",$J1002&lt;=0,$H1002=""),"",TODAY()-$H1002)</f>
        <v/>
      </c>
      <c r="L1002" s="14" t="str">
        <f aca="false">IF($A1002="","",IF($G1002="","",IF($J1002&lt;=0,"반납완료",IF($I1002&gt;0,"부분반납","미반납"))))</f>
        <v/>
      </c>
    </row>
  </sheetData>
  <mergeCells count="1">
    <mergeCell ref="A1:L1"/>
  </mergeCells>
  <conditionalFormatting sqref="A3:L1002">
    <cfRule type="expression" priority="2" aboveAverage="0" equalAverage="0" bottom="0" percent="0" rank="0" text="" dxfId="0">
      <formula>$L3="반납완료"</formula>
    </cfRule>
    <cfRule type="expression" priority="3" aboveAverage="0" equalAverage="0" bottom="0" percent="0" rank="0" text="" dxfId="1">
      <formula>AND($K3&lt;&gt;"",$K3&gt;사용안내!$C$16)</formula>
    </cfRule>
    <cfRule type="expression" priority="4" aboveAverage="0" equalAverage="0" bottom="0" percent="0" rank="0" text="" dxfId="2">
      <formula>$L3="부분반납"</formula>
    </cfRule>
  </conditionalFormatting>
  <dataValidations count="2">
    <dataValidation allowBlank="true" errorStyle="stop" operator="between" showDropDown="false" showErrorMessage="false" showInputMessage="false" sqref="C3:C1002" type="list">
      <formula1>대여처목록!$A$3:$A$202</formula1>
      <formula2>0</formula2>
    </dataValidation>
    <dataValidation allowBlank="true" errorStyle="stop" operator="between" showDropDown="false" showErrorMessage="false" showInputMessage="false" sqref="D3:D1002" type="list">
      <formula1>품목목록!$A$3:$A$202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5"/>
    <col collapsed="false" customWidth="true" hidden="false" outlineLevel="0" max="3" min="3" style="1" width="26"/>
    <col collapsed="false" customWidth="true" hidden="false" outlineLevel="0" max="4" min="4" style="1" width="13"/>
    <col collapsed="false" customWidth="true" hidden="false" outlineLevel="0" max="5" min="5" style="1" width="14"/>
    <col collapsed="false" customWidth="true" hidden="false" outlineLevel="0" max="6" min="6" style="1" width="26"/>
  </cols>
  <sheetData>
    <row r="1" customFormat="false" ht="25.5" hidden="false" customHeight="true" outlineLevel="0" collapsed="false">
      <c r="A1" s="2" t="s">
        <v>67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8" t="s">
        <v>68</v>
      </c>
      <c r="B2" s="8" t="s">
        <v>69</v>
      </c>
      <c r="C2" s="12" t="s">
        <v>59</v>
      </c>
      <c r="D2" s="8" t="s">
        <v>70</v>
      </c>
      <c r="E2" s="8" t="s">
        <v>71</v>
      </c>
      <c r="F2" s="8" t="s">
        <v>28</v>
      </c>
    </row>
    <row r="3" customFormat="false" ht="15" hidden="false" customHeight="false" outlineLevel="0" collapsed="false">
      <c r="A3" s="15" t="n">
        <v>46254</v>
      </c>
      <c r="B3" s="10" t="s">
        <v>72</v>
      </c>
      <c r="C3" s="18" t="str">
        <f aca="false">IF($B3="","",IFERROR(INDEX(대여내역!$E$3:$E$1002,MATCH($B3,대여내역!$A$3:$A$1002,0)),"대여번호없음"))</f>
        <v>원단 샘플북 A</v>
      </c>
      <c r="D3" s="11" t="n">
        <v>3</v>
      </c>
      <c r="E3" s="9" t="s">
        <v>73</v>
      </c>
      <c r="F3" s="10"/>
    </row>
    <row r="4" customFormat="false" ht="15" hidden="false" customHeight="false" outlineLevel="0" collapsed="false">
      <c r="A4" s="15" t="n">
        <v>46277</v>
      </c>
      <c r="B4" s="10" t="s">
        <v>74</v>
      </c>
      <c r="C4" s="18" t="str">
        <f aca="false">IF($B4="","",IFERROR(INDEX(대여내역!$E$3:$E$1002,MATCH($B4,대여내역!$A$3:$A$1002,0)),"대여번호없음"))</f>
        <v>시연용 노트북</v>
      </c>
      <c r="D4" s="11" t="n">
        <v>1</v>
      </c>
      <c r="E4" s="9" t="s">
        <v>73</v>
      </c>
      <c r="F4" s="10"/>
    </row>
    <row r="5" customFormat="false" ht="15" hidden="false" customHeight="false" outlineLevel="0" collapsed="false">
      <c r="A5" s="15"/>
      <c r="B5" s="10"/>
      <c r="C5" s="18" t="str">
        <f aca="false">IF($B5="","",IFERROR(INDEX(대여내역!$E$3:$E$1002,MATCH($B5,대여내역!$A$3:$A$1002,0)),"대여번호없음"))</f>
        <v/>
      </c>
      <c r="D5" s="11"/>
      <c r="E5" s="9"/>
      <c r="F5" s="10"/>
    </row>
    <row r="6" customFormat="false" ht="15" hidden="false" customHeight="false" outlineLevel="0" collapsed="false">
      <c r="A6" s="15"/>
      <c r="B6" s="10"/>
      <c r="C6" s="18" t="str">
        <f aca="false">IF($B6="","",IFERROR(INDEX(대여내역!$E$3:$E$1002,MATCH($B6,대여내역!$A$3:$A$1002,0)),"대여번호없음"))</f>
        <v/>
      </c>
      <c r="D6" s="11"/>
      <c r="E6" s="9"/>
      <c r="F6" s="10"/>
    </row>
    <row r="7" customFormat="false" ht="15" hidden="false" customHeight="false" outlineLevel="0" collapsed="false">
      <c r="A7" s="15"/>
      <c r="B7" s="10"/>
      <c r="C7" s="18" t="str">
        <f aca="false">IF($B7="","",IFERROR(INDEX(대여내역!$E$3:$E$1002,MATCH($B7,대여내역!$A$3:$A$1002,0)),"대여번호없음"))</f>
        <v/>
      </c>
      <c r="D7" s="11"/>
      <c r="E7" s="9"/>
      <c r="F7" s="10"/>
    </row>
    <row r="8" customFormat="false" ht="15" hidden="false" customHeight="false" outlineLevel="0" collapsed="false">
      <c r="A8" s="15"/>
      <c r="B8" s="10"/>
      <c r="C8" s="18" t="str">
        <f aca="false">IF($B8="","",IFERROR(INDEX(대여내역!$E$3:$E$1002,MATCH($B8,대여내역!$A$3:$A$1002,0)),"대여번호없음"))</f>
        <v/>
      </c>
      <c r="D8" s="11"/>
      <c r="E8" s="9"/>
      <c r="F8" s="10"/>
    </row>
    <row r="9" customFormat="false" ht="15" hidden="false" customHeight="false" outlineLevel="0" collapsed="false">
      <c r="A9" s="15"/>
      <c r="B9" s="10"/>
      <c r="C9" s="18" t="str">
        <f aca="false">IF($B9="","",IFERROR(INDEX(대여내역!$E$3:$E$1002,MATCH($B9,대여내역!$A$3:$A$1002,0)),"대여번호없음"))</f>
        <v/>
      </c>
      <c r="D9" s="11"/>
      <c r="E9" s="9"/>
      <c r="F9" s="10"/>
    </row>
    <row r="10" customFormat="false" ht="15" hidden="false" customHeight="false" outlineLevel="0" collapsed="false">
      <c r="A10" s="15"/>
      <c r="B10" s="10"/>
      <c r="C10" s="18" t="str">
        <f aca="false">IF($B10="","",IFERROR(INDEX(대여내역!$E$3:$E$1002,MATCH($B10,대여내역!$A$3:$A$1002,0)),"대여번호없음"))</f>
        <v/>
      </c>
      <c r="D10" s="11"/>
      <c r="E10" s="9"/>
      <c r="F10" s="10"/>
    </row>
    <row r="11" customFormat="false" ht="15" hidden="false" customHeight="false" outlineLevel="0" collapsed="false">
      <c r="A11" s="15"/>
      <c r="B11" s="10"/>
      <c r="C11" s="18" t="str">
        <f aca="false">IF($B11="","",IFERROR(INDEX(대여내역!$E$3:$E$1002,MATCH($B11,대여내역!$A$3:$A$1002,0)),"대여번호없음"))</f>
        <v/>
      </c>
      <c r="D11" s="11"/>
      <c r="E11" s="9"/>
      <c r="F11" s="10"/>
    </row>
    <row r="12" customFormat="false" ht="15" hidden="false" customHeight="false" outlineLevel="0" collapsed="false">
      <c r="A12" s="15"/>
      <c r="B12" s="10"/>
      <c r="C12" s="18" t="str">
        <f aca="false">IF($B12="","",IFERROR(INDEX(대여내역!$E$3:$E$1002,MATCH($B12,대여내역!$A$3:$A$1002,0)),"대여번호없음"))</f>
        <v/>
      </c>
      <c r="D12" s="11"/>
      <c r="E12" s="9"/>
      <c r="F12" s="10"/>
    </row>
    <row r="13" customFormat="false" ht="15" hidden="false" customHeight="false" outlineLevel="0" collapsed="false">
      <c r="A13" s="15"/>
      <c r="B13" s="10"/>
      <c r="C13" s="18" t="str">
        <f aca="false">IF($B13="","",IFERROR(INDEX(대여내역!$E$3:$E$1002,MATCH($B13,대여내역!$A$3:$A$1002,0)),"대여번호없음"))</f>
        <v/>
      </c>
      <c r="D13" s="11"/>
      <c r="E13" s="9"/>
      <c r="F13" s="10"/>
    </row>
    <row r="14" customFormat="false" ht="15" hidden="false" customHeight="false" outlineLevel="0" collapsed="false">
      <c r="A14" s="15"/>
      <c r="B14" s="10"/>
      <c r="C14" s="18" t="str">
        <f aca="false">IF($B14="","",IFERROR(INDEX(대여내역!$E$3:$E$1002,MATCH($B14,대여내역!$A$3:$A$1002,0)),"대여번호없음"))</f>
        <v/>
      </c>
      <c r="D14" s="11"/>
      <c r="E14" s="9"/>
      <c r="F14" s="10"/>
    </row>
    <row r="15" customFormat="false" ht="15" hidden="false" customHeight="false" outlineLevel="0" collapsed="false">
      <c r="A15" s="15"/>
      <c r="B15" s="10"/>
      <c r="C15" s="18" t="str">
        <f aca="false">IF($B15="","",IFERROR(INDEX(대여내역!$E$3:$E$1002,MATCH($B15,대여내역!$A$3:$A$1002,0)),"대여번호없음"))</f>
        <v/>
      </c>
      <c r="D15" s="11"/>
      <c r="E15" s="9"/>
      <c r="F15" s="10"/>
    </row>
    <row r="16" customFormat="false" ht="15" hidden="false" customHeight="false" outlineLevel="0" collapsed="false">
      <c r="A16" s="15"/>
      <c r="B16" s="10"/>
      <c r="C16" s="18" t="str">
        <f aca="false">IF($B16="","",IFERROR(INDEX(대여내역!$E$3:$E$1002,MATCH($B16,대여내역!$A$3:$A$1002,0)),"대여번호없음"))</f>
        <v/>
      </c>
      <c r="D16" s="11"/>
      <c r="E16" s="9"/>
      <c r="F16" s="10"/>
    </row>
    <row r="17" customFormat="false" ht="15" hidden="false" customHeight="false" outlineLevel="0" collapsed="false">
      <c r="A17" s="15"/>
      <c r="B17" s="10"/>
      <c r="C17" s="18" t="str">
        <f aca="false">IF($B17="","",IFERROR(INDEX(대여내역!$E$3:$E$1002,MATCH($B17,대여내역!$A$3:$A$1002,0)),"대여번호없음"))</f>
        <v/>
      </c>
      <c r="D17" s="11"/>
      <c r="E17" s="9"/>
      <c r="F17" s="10"/>
    </row>
    <row r="18" customFormat="false" ht="15" hidden="false" customHeight="false" outlineLevel="0" collapsed="false">
      <c r="A18" s="15"/>
      <c r="B18" s="10"/>
      <c r="C18" s="18" t="str">
        <f aca="false">IF($B18="","",IFERROR(INDEX(대여내역!$E$3:$E$1002,MATCH($B18,대여내역!$A$3:$A$1002,0)),"대여번호없음"))</f>
        <v/>
      </c>
      <c r="D18" s="11"/>
      <c r="E18" s="9"/>
      <c r="F18" s="10"/>
    </row>
    <row r="19" customFormat="false" ht="15" hidden="false" customHeight="false" outlineLevel="0" collapsed="false">
      <c r="A19" s="15"/>
      <c r="B19" s="10"/>
      <c r="C19" s="18" t="str">
        <f aca="false">IF($B19="","",IFERROR(INDEX(대여내역!$E$3:$E$1002,MATCH($B19,대여내역!$A$3:$A$1002,0)),"대여번호없음"))</f>
        <v/>
      </c>
      <c r="D19" s="11"/>
      <c r="E19" s="9"/>
      <c r="F19" s="10"/>
    </row>
    <row r="20" customFormat="false" ht="15" hidden="false" customHeight="false" outlineLevel="0" collapsed="false">
      <c r="A20" s="15"/>
      <c r="B20" s="10"/>
      <c r="C20" s="18" t="str">
        <f aca="false">IF($B20="","",IFERROR(INDEX(대여내역!$E$3:$E$1002,MATCH($B20,대여내역!$A$3:$A$1002,0)),"대여번호없음"))</f>
        <v/>
      </c>
      <c r="D20" s="11"/>
      <c r="E20" s="9"/>
      <c r="F20" s="10"/>
    </row>
    <row r="21" customFormat="false" ht="15" hidden="false" customHeight="false" outlineLevel="0" collapsed="false">
      <c r="A21" s="15"/>
      <c r="B21" s="10"/>
      <c r="C21" s="18" t="str">
        <f aca="false">IF($B21="","",IFERROR(INDEX(대여내역!$E$3:$E$1002,MATCH($B21,대여내역!$A$3:$A$1002,0)),"대여번호없음"))</f>
        <v/>
      </c>
      <c r="D21" s="11"/>
      <c r="E21" s="9"/>
      <c r="F21" s="10"/>
    </row>
    <row r="22" customFormat="false" ht="15" hidden="false" customHeight="false" outlineLevel="0" collapsed="false">
      <c r="A22" s="15"/>
      <c r="B22" s="10"/>
      <c r="C22" s="18" t="str">
        <f aca="false">IF($B22="","",IFERROR(INDEX(대여내역!$E$3:$E$1002,MATCH($B22,대여내역!$A$3:$A$1002,0)),"대여번호없음"))</f>
        <v/>
      </c>
      <c r="D22" s="11"/>
      <c r="E22" s="9"/>
      <c r="F22" s="10"/>
    </row>
    <row r="23" customFormat="false" ht="15" hidden="false" customHeight="false" outlineLevel="0" collapsed="false">
      <c r="A23" s="15"/>
      <c r="B23" s="10"/>
      <c r="C23" s="18" t="str">
        <f aca="false">IF($B23="","",IFERROR(INDEX(대여내역!$E$3:$E$1002,MATCH($B23,대여내역!$A$3:$A$1002,0)),"대여번호없음"))</f>
        <v/>
      </c>
      <c r="D23" s="11"/>
      <c r="E23" s="9"/>
      <c r="F23" s="10"/>
    </row>
    <row r="24" customFormat="false" ht="15" hidden="false" customHeight="false" outlineLevel="0" collapsed="false">
      <c r="A24" s="15"/>
      <c r="B24" s="10"/>
      <c r="C24" s="18" t="str">
        <f aca="false">IF($B24="","",IFERROR(INDEX(대여내역!$E$3:$E$1002,MATCH($B24,대여내역!$A$3:$A$1002,0)),"대여번호없음"))</f>
        <v/>
      </c>
      <c r="D24" s="11"/>
      <c r="E24" s="9"/>
      <c r="F24" s="10"/>
    </row>
    <row r="25" customFormat="false" ht="15" hidden="false" customHeight="false" outlineLevel="0" collapsed="false">
      <c r="A25" s="15"/>
      <c r="B25" s="10"/>
      <c r="C25" s="18" t="str">
        <f aca="false">IF($B25="","",IFERROR(INDEX(대여내역!$E$3:$E$1002,MATCH($B25,대여내역!$A$3:$A$1002,0)),"대여번호없음"))</f>
        <v/>
      </c>
      <c r="D25" s="11"/>
      <c r="E25" s="9"/>
      <c r="F25" s="10"/>
    </row>
    <row r="26" customFormat="false" ht="15" hidden="false" customHeight="false" outlineLevel="0" collapsed="false">
      <c r="A26" s="15"/>
      <c r="B26" s="10"/>
      <c r="C26" s="18" t="str">
        <f aca="false">IF($B26="","",IFERROR(INDEX(대여내역!$E$3:$E$1002,MATCH($B26,대여내역!$A$3:$A$1002,0)),"대여번호없음"))</f>
        <v/>
      </c>
      <c r="D26" s="11"/>
      <c r="E26" s="9"/>
      <c r="F26" s="10"/>
    </row>
    <row r="27" customFormat="false" ht="15" hidden="false" customHeight="false" outlineLevel="0" collapsed="false">
      <c r="A27" s="15"/>
      <c r="B27" s="10"/>
      <c r="C27" s="18" t="str">
        <f aca="false">IF($B27="","",IFERROR(INDEX(대여내역!$E$3:$E$1002,MATCH($B27,대여내역!$A$3:$A$1002,0)),"대여번호없음"))</f>
        <v/>
      </c>
      <c r="D27" s="11"/>
      <c r="E27" s="9"/>
      <c r="F27" s="10"/>
    </row>
    <row r="28" customFormat="false" ht="15" hidden="false" customHeight="false" outlineLevel="0" collapsed="false">
      <c r="A28" s="15"/>
      <c r="B28" s="10"/>
      <c r="C28" s="18" t="str">
        <f aca="false">IF($B28="","",IFERROR(INDEX(대여내역!$E$3:$E$1002,MATCH($B28,대여내역!$A$3:$A$1002,0)),"대여번호없음"))</f>
        <v/>
      </c>
      <c r="D28" s="11"/>
      <c r="E28" s="9"/>
      <c r="F28" s="10"/>
    </row>
    <row r="29" customFormat="false" ht="15" hidden="false" customHeight="false" outlineLevel="0" collapsed="false">
      <c r="A29" s="15"/>
      <c r="B29" s="10"/>
      <c r="C29" s="18" t="str">
        <f aca="false">IF($B29="","",IFERROR(INDEX(대여내역!$E$3:$E$1002,MATCH($B29,대여내역!$A$3:$A$1002,0)),"대여번호없음"))</f>
        <v/>
      </c>
      <c r="D29" s="11"/>
      <c r="E29" s="9"/>
      <c r="F29" s="10"/>
    </row>
    <row r="30" customFormat="false" ht="15" hidden="false" customHeight="false" outlineLevel="0" collapsed="false">
      <c r="A30" s="15"/>
      <c r="B30" s="10"/>
      <c r="C30" s="18" t="str">
        <f aca="false">IF($B30="","",IFERROR(INDEX(대여내역!$E$3:$E$1002,MATCH($B30,대여내역!$A$3:$A$1002,0)),"대여번호없음"))</f>
        <v/>
      </c>
      <c r="D30" s="11"/>
      <c r="E30" s="9"/>
      <c r="F30" s="10"/>
    </row>
    <row r="31" customFormat="false" ht="15" hidden="false" customHeight="false" outlineLevel="0" collapsed="false">
      <c r="A31" s="15"/>
      <c r="B31" s="10"/>
      <c r="C31" s="18" t="str">
        <f aca="false">IF($B31="","",IFERROR(INDEX(대여내역!$E$3:$E$1002,MATCH($B31,대여내역!$A$3:$A$1002,0)),"대여번호없음"))</f>
        <v/>
      </c>
      <c r="D31" s="11"/>
      <c r="E31" s="9"/>
      <c r="F31" s="10"/>
    </row>
    <row r="32" customFormat="false" ht="15" hidden="false" customHeight="false" outlineLevel="0" collapsed="false">
      <c r="A32" s="15"/>
      <c r="B32" s="10"/>
      <c r="C32" s="18" t="str">
        <f aca="false">IF($B32="","",IFERROR(INDEX(대여내역!$E$3:$E$1002,MATCH($B32,대여내역!$A$3:$A$1002,0)),"대여번호없음"))</f>
        <v/>
      </c>
      <c r="D32" s="11"/>
      <c r="E32" s="9"/>
      <c r="F32" s="10"/>
    </row>
    <row r="33" customFormat="false" ht="15" hidden="false" customHeight="false" outlineLevel="0" collapsed="false">
      <c r="A33" s="15"/>
      <c r="B33" s="10"/>
      <c r="C33" s="18" t="str">
        <f aca="false">IF($B33="","",IFERROR(INDEX(대여내역!$E$3:$E$1002,MATCH($B33,대여내역!$A$3:$A$1002,0)),"대여번호없음"))</f>
        <v/>
      </c>
      <c r="D33" s="11"/>
      <c r="E33" s="9"/>
      <c r="F33" s="10"/>
    </row>
    <row r="34" customFormat="false" ht="15" hidden="false" customHeight="false" outlineLevel="0" collapsed="false">
      <c r="A34" s="15"/>
      <c r="B34" s="10"/>
      <c r="C34" s="18" t="str">
        <f aca="false">IF($B34="","",IFERROR(INDEX(대여내역!$E$3:$E$1002,MATCH($B34,대여내역!$A$3:$A$1002,0)),"대여번호없음"))</f>
        <v/>
      </c>
      <c r="D34" s="11"/>
      <c r="E34" s="9"/>
      <c r="F34" s="10"/>
    </row>
    <row r="35" customFormat="false" ht="15" hidden="false" customHeight="false" outlineLevel="0" collapsed="false">
      <c r="A35" s="15"/>
      <c r="B35" s="10"/>
      <c r="C35" s="18" t="str">
        <f aca="false">IF($B35="","",IFERROR(INDEX(대여내역!$E$3:$E$1002,MATCH($B35,대여내역!$A$3:$A$1002,0)),"대여번호없음"))</f>
        <v/>
      </c>
      <c r="D35" s="11"/>
      <c r="E35" s="9"/>
      <c r="F35" s="10"/>
    </row>
    <row r="36" customFormat="false" ht="15" hidden="false" customHeight="false" outlineLevel="0" collapsed="false">
      <c r="A36" s="15"/>
      <c r="B36" s="10"/>
      <c r="C36" s="18" t="str">
        <f aca="false">IF($B36="","",IFERROR(INDEX(대여내역!$E$3:$E$1002,MATCH($B36,대여내역!$A$3:$A$1002,0)),"대여번호없음"))</f>
        <v/>
      </c>
      <c r="D36" s="11"/>
      <c r="E36" s="9"/>
      <c r="F36" s="10"/>
    </row>
    <row r="37" customFormat="false" ht="15" hidden="false" customHeight="false" outlineLevel="0" collapsed="false">
      <c r="A37" s="15"/>
      <c r="B37" s="10"/>
      <c r="C37" s="18" t="str">
        <f aca="false">IF($B37="","",IFERROR(INDEX(대여내역!$E$3:$E$1002,MATCH($B37,대여내역!$A$3:$A$1002,0)),"대여번호없음"))</f>
        <v/>
      </c>
      <c r="D37" s="11"/>
      <c r="E37" s="9"/>
      <c r="F37" s="10"/>
    </row>
    <row r="38" customFormat="false" ht="15" hidden="false" customHeight="false" outlineLevel="0" collapsed="false">
      <c r="A38" s="15"/>
      <c r="B38" s="10"/>
      <c r="C38" s="18" t="str">
        <f aca="false">IF($B38="","",IFERROR(INDEX(대여내역!$E$3:$E$1002,MATCH($B38,대여내역!$A$3:$A$1002,0)),"대여번호없음"))</f>
        <v/>
      </c>
      <c r="D38" s="11"/>
      <c r="E38" s="9"/>
      <c r="F38" s="10"/>
    </row>
    <row r="39" customFormat="false" ht="15" hidden="false" customHeight="false" outlineLevel="0" collapsed="false">
      <c r="A39" s="15"/>
      <c r="B39" s="10"/>
      <c r="C39" s="18" t="str">
        <f aca="false">IF($B39="","",IFERROR(INDEX(대여내역!$E$3:$E$1002,MATCH($B39,대여내역!$A$3:$A$1002,0)),"대여번호없음"))</f>
        <v/>
      </c>
      <c r="D39" s="11"/>
      <c r="E39" s="9"/>
      <c r="F39" s="10"/>
    </row>
    <row r="40" customFormat="false" ht="15" hidden="false" customHeight="false" outlineLevel="0" collapsed="false">
      <c r="A40" s="15"/>
      <c r="B40" s="10"/>
      <c r="C40" s="18" t="str">
        <f aca="false">IF($B40="","",IFERROR(INDEX(대여내역!$E$3:$E$1002,MATCH($B40,대여내역!$A$3:$A$1002,0)),"대여번호없음"))</f>
        <v/>
      </c>
      <c r="D40" s="11"/>
      <c r="E40" s="9"/>
      <c r="F40" s="10"/>
    </row>
    <row r="41" customFormat="false" ht="15" hidden="false" customHeight="false" outlineLevel="0" collapsed="false">
      <c r="A41" s="15"/>
      <c r="B41" s="10"/>
      <c r="C41" s="18" t="str">
        <f aca="false">IF($B41="","",IFERROR(INDEX(대여내역!$E$3:$E$1002,MATCH($B41,대여내역!$A$3:$A$1002,0)),"대여번호없음"))</f>
        <v/>
      </c>
      <c r="D41" s="11"/>
      <c r="E41" s="9"/>
      <c r="F41" s="10"/>
    </row>
    <row r="42" customFormat="false" ht="15" hidden="false" customHeight="false" outlineLevel="0" collapsed="false">
      <c r="A42" s="15"/>
      <c r="B42" s="10"/>
      <c r="C42" s="18" t="str">
        <f aca="false">IF($B42="","",IFERROR(INDEX(대여내역!$E$3:$E$1002,MATCH($B42,대여내역!$A$3:$A$1002,0)),"대여번호없음"))</f>
        <v/>
      </c>
      <c r="D42" s="11"/>
      <c r="E42" s="9"/>
      <c r="F42" s="10"/>
    </row>
    <row r="43" customFormat="false" ht="15" hidden="false" customHeight="false" outlineLevel="0" collapsed="false">
      <c r="A43" s="15"/>
      <c r="B43" s="10"/>
      <c r="C43" s="18" t="str">
        <f aca="false">IF($B43="","",IFERROR(INDEX(대여내역!$E$3:$E$1002,MATCH($B43,대여내역!$A$3:$A$1002,0)),"대여번호없음"))</f>
        <v/>
      </c>
      <c r="D43" s="11"/>
      <c r="E43" s="9"/>
      <c r="F43" s="10"/>
    </row>
    <row r="44" customFormat="false" ht="15" hidden="false" customHeight="false" outlineLevel="0" collapsed="false">
      <c r="A44" s="15"/>
      <c r="B44" s="10"/>
      <c r="C44" s="18" t="str">
        <f aca="false">IF($B44="","",IFERROR(INDEX(대여내역!$E$3:$E$1002,MATCH($B44,대여내역!$A$3:$A$1002,0)),"대여번호없음"))</f>
        <v/>
      </c>
      <c r="D44" s="11"/>
      <c r="E44" s="9"/>
      <c r="F44" s="10"/>
    </row>
    <row r="45" customFormat="false" ht="15" hidden="false" customHeight="false" outlineLevel="0" collapsed="false">
      <c r="A45" s="15"/>
      <c r="B45" s="10"/>
      <c r="C45" s="18" t="str">
        <f aca="false">IF($B45="","",IFERROR(INDEX(대여내역!$E$3:$E$1002,MATCH($B45,대여내역!$A$3:$A$1002,0)),"대여번호없음"))</f>
        <v/>
      </c>
      <c r="D45" s="11"/>
      <c r="E45" s="9"/>
      <c r="F45" s="10"/>
    </row>
    <row r="46" customFormat="false" ht="15" hidden="false" customHeight="false" outlineLevel="0" collapsed="false">
      <c r="A46" s="15"/>
      <c r="B46" s="10"/>
      <c r="C46" s="18" t="str">
        <f aca="false">IF($B46="","",IFERROR(INDEX(대여내역!$E$3:$E$1002,MATCH($B46,대여내역!$A$3:$A$1002,0)),"대여번호없음"))</f>
        <v/>
      </c>
      <c r="D46" s="11"/>
      <c r="E46" s="9"/>
      <c r="F46" s="10"/>
    </row>
    <row r="47" customFormat="false" ht="15" hidden="false" customHeight="false" outlineLevel="0" collapsed="false">
      <c r="A47" s="15"/>
      <c r="B47" s="10"/>
      <c r="C47" s="18" t="str">
        <f aca="false">IF($B47="","",IFERROR(INDEX(대여내역!$E$3:$E$1002,MATCH($B47,대여내역!$A$3:$A$1002,0)),"대여번호없음"))</f>
        <v/>
      </c>
      <c r="D47" s="11"/>
      <c r="E47" s="9"/>
      <c r="F47" s="10"/>
    </row>
    <row r="48" customFormat="false" ht="15" hidden="false" customHeight="false" outlineLevel="0" collapsed="false">
      <c r="A48" s="15"/>
      <c r="B48" s="10"/>
      <c r="C48" s="18" t="str">
        <f aca="false">IF($B48="","",IFERROR(INDEX(대여내역!$E$3:$E$1002,MATCH($B48,대여내역!$A$3:$A$1002,0)),"대여번호없음"))</f>
        <v/>
      </c>
      <c r="D48" s="11"/>
      <c r="E48" s="9"/>
      <c r="F48" s="10"/>
    </row>
    <row r="49" customFormat="false" ht="15" hidden="false" customHeight="false" outlineLevel="0" collapsed="false">
      <c r="A49" s="15"/>
      <c r="B49" s="10"/>
      <c r="C49" s="18" t="str">
        <f aca="false">IF($B49="","",IFERROR(INDEX(대여내역!$E$3:$E$1002,MATCH($B49,대여내역!$A$3:$A$1002,0)),"대여번호없음"))</f>
        <v/>
      </c>
      <c r="D49" s="11"/>
      <c r="E49" s="9"/>
      <c r="F49" s="10"/>
    </row>
    <row r="50" customFormat="false" ht="15" hidden="false" customHeight="false" outlineLevel="0" collapsed="false">
      <c r="A50" s="15"/>
      <c r="B50" s="10"/>
      <c r="C50" s="18" t="str">
        <f aca="false">IF($B50="","",IFERROR(INDEX(대여내역!$E$3:$E$1002,MATCH($B50,대여내역!$A$3:$A$1002,0)),"대여번호없음"))</f>
        <v/>
      </c>
      <c r="D50" s="11"/>
      <c r="E50" s="9"/>
      <c r="F50" s="10"/>
    </row>
    <row r="51" customFormat="false" ht="15" hidden="false" customHeight="false" outlineLevel="0" collapsed="false">
      <c r="A51" s="15"/>
      <c r="B51" s="10"/>
      <c r="C51" s="18" t="str">
        <f aca="false">IF($B51="","",IFERROR(INDEX(대여내역!$E$3:$E$1002,MATCH($B51,대여내역!$A$3:$A$1002,0)),"대여번호없음"))</f>
        <v/>
      </c>
      <c r="D51" s="11"/>
      <c r="E51" s="9"/>
      <c r="F51" s="10"/>
    </row>
    <row r="52" customFormat="false" ht="15" hidden="false" customHeight="false" outlineLevel="0" collapsed="false">
      <c r="A52" s="15"/>
      <c r="B52" s="10"/>
      <c r="C52" s="18" t="str">
        <f aca="false">IF($B52="","",IFERROR(INDEX(대여내역!$E$3:$E$1002,MATCH($B52,대여내역!$A$3:$A$1002,0)),"대여번호없음"))</f>
        <v/>
      </c>
      <c r="D52" s="11"/>
      <c r="E52" s="9"/>
      <c r="F52" s="10"/>
    </row>
    <row r="53" customFormat="false" ht="15" hidden="false" customHeight="false" outlineLevel="0" collapsed="false">
      <c r="A53" s="15"/>
      <c r="B53" s="10"/>
      <c r="C53" s="18" t="str">
        <f aca="false">IF($B53="","",IFERROR(INDEX(대여내역!$E$3:$E$1002,MATCH($B53,대여내역!$A$3:$A$1002,0)),"대여번호없음"))</f>
        <v/>
      </c>
      <c r="D53" s="11"/>
      <c r="E53" s="9"/>
      <c r="F53" s="10"/>
    </row>
    <row r="54" customFormat="false" ht="15" hidden="false" customHeight="false" outlineLevel="0" collapsed="false">
      <c r="A54" s="15"/>
      <c r="B54" s="10"/>
      <c r="C54" s="18" t="str">
        <f aca="false">IF($B54="","",IFERROR(INDEX(대여내역!$E$3:$E$1002,MATCH($B54,대여내역!$A$3:$A$1002,0)),"대여번호없음"))</f>
        <v/>
      </c>
      <c r="D54" s="11"/>
      <c r="E54" s="9"/>
      <c r="F54" s="10"/>
    </row>
    <row r="55" customFormat="false" ht="15" hidden="false" customHeight="false" outlineLevel="0" collapsed="false">
      <c r="A55" s="15"/>
      <c r="B55" s="10"/>
      <c r="C55" s="18" t="str">
        <f aca="false">IF($B55="","",IFERROR(INDEX(대여내역!$E$3:$E$1002,MATCH($B55,대여내역!$A$3:$A$1002,0)),"대여번호없음"))</f>
        <v/>
      </c>
      <c r="D55" s="11"/>
      <c r="E55" s="9"/>
      <c r="F55" s="10"/>
    </row>
    <row r="56" customFormat="false" ht="15" hidden="false" customHeight="false" outlineLevel="0" collapsed="false">
      <c r="A56" s="15"/>
      <c r="B56" s="10"/>
      <c r="C56" s="18" t="str">
        <f aca="false">IF($B56="","",IFERROR(INDEX(대여내역!$E$3:$E$1002,MATCH($B56,대여내역!$A$3:$A$1002,0)),"대여번호없음"))</f>
        <v/>
      </c>
      <c r="D56" s="11"/>
      <c r="E56" s="9"/>
      <c r="F56" s="10"/>
    </row>
    <row r="57" customFormat="false" ht="15" hidden="false" customHeight="false" outlineLevel="0" collapsed="false">
      <c r="A57" s="15"/>
      <c r="B57" s="10"/>
      <c r="C57" s="18" t="str">
        <f aca="false">IF($B57="","",IFERROR(INDEX(대여내역!$E$3:$E$1002,MATCH($B57,대여내역!$A$3:$A$1002,0)),"대여번호없음"))</f>
        <v/>
      </c>
      <c r="D57" s="11"/>
      <c r="E57" s="9"/>
      <c r="F57" s="10"/>
    </row>
    <row r="58" customFormat="false" ht="15" hidden="false" customHeight="false" outlineLevel="0" collapsed="false">
      <c r="A58" s="15"/>
      <c r="B58" s="10"/>
      <c r="C58" s="18" t="str">
        <f aca="false">IF($B58="","",IFERROR(INDEX(대여내역!$E$3:$E$1002,MATCH($B58,대여내역!$A$3:$A$1002,0)),"대여번호없음"))</f>
        <v/>
      </c>
      <c r="D58" s="11"/>
      <c r="E58" s="9"/>
      <c r="F58" s="10"/>
    </row>
    <row r="59" customFormat="false" ht="15" hidden="false" customHeight="false" outlineLevel="0" collapsed="false">
      <c r="A59" s="15"/>
      <c r="B59" s="10"/>
      <c r="C59" s="18" t="str">
        <f aca="false">IF($B59="","",IFERROR(INDEX(대여내역!$E$3:$E$1002,MATCH($B59,대여내역!$A$3:$A$1002,0)),"대여번호없음"))</f>
        <v/>
      </c>
      <c r="D59" s="11"/>
      <c r="E59" s="9"/>
      <c r="F59" s="10"/>
    </row>
    <row r="60" customFormat="false" ht="15" hidden="false" customHeight="false" outlineLevel="0" collapsed="false">
      <c r="A60" s="15"/>
      <c r="B60" s="10"/>
      <c r="C60" s="18" t="str">
        <f aca="false">IF($B60="","",IFERROR(INDEX(대여내역!$E$3:$E$1002,MATCH($B60,대여내역!$A$3:$A$1002,0)),"대여번호없음"))</f>
        <v/>
      </c>
      <c r="D60" s="11"/>
      <c r="E60" s="9"/>
      <c r="F60" s="10"/>
    </row>
    <row r="61" customFormat="false" ht="15" hidden="false" customHeight="false" outlineLevel="0" collapsed="false">
      <c r="A61" s="15"/>
      <c r="B61" s="10"/>
      <c r="C61" s="18" t="str">
        <f aca="false">IF($B61="","",IFERROR(INDEX(대여내역!$E$3:$E$1002,MATCH($B61,대여내역!$A$3:$A$1002,0)),"대여번호없음"))</f>
        <v/>
      </c>
      <c r="D61" s="11"/>
      <c r="E61" s="9"/>
      <c r="F61" s="10"/>
    </row>
    <row r="62" customFormat="false" ht="15" hidden="false" customHeight="false" outlineLevel="0" collapsed="false">
      <c r="A62" s="15"/>
      <c r="B62" s="10"/>
      <c r="C62" s="18" t="str">
        <f aca="false">IF($B62="","",IFERROR(INDEX(대여내역!$E$3:$E$1002,MATCH($B62,대여내역!$A$3:$A$1002,0)),"대여번호없음"))</f>
        <v/>
      </c>
      <c r="D62" s="11"/>
      <c r="E62" s="9"/>
      <c r="F62" s="10"/>
    </row>
    <row r="63" customFormat="false" ht="15" hidden="false" customHeight="false" outlineLevel="0" collapsed="false">
      <c r="A63" s="15"/>
      <c r="B63" s="10"/>
      <c r="C63" s="18" t="str">
        <f aca="false">IF($B63="","",IFERROR(INDEX(대여내역!$E$3:$E$1002,MATCH($B63,대여내역!$A$3:$A$1002,0)),"대여번호없음"))</f>
        <v/>
      </c>
      <c r="D63" s="11"/>
      <c r="E63" s="9"/>
      <c r="F63" s="10"/>
    </row>
    <row r="64" customFormat="false" ht="15" hidden="false" customHeight="false" outlineLevel="0" collapsed="false">
      <c r="A64" s="15"/>
      <c r="B64" s="10"/>
      <c r="C64" s="18" t="str">
        <f aca="false">IF($B64="","",IFERROR(INDEX(대여내역!$E$3:$E$1002,MATCH($B64,대여내역!$A$3:$A$1002,0)),"대여번호없음"))</f>
        <v/>
      </c>
      <c r="D64" s="11"/>
      <c r="E64" s="9"/>
      <c r="F64" s="10"/>
    </row>
    <row r="65" customFormat="false" ht="15" hidden="false" customHeight="false" outlineLevel="0" collapsed="false">
      <c r="A65" s="15"/>
      <c r="B65" s="10"/>
      <c r="C65" s="18" t="str">
        <f aca="false">IF($B65="","",IFERROR(INDEX(대여내역!$E$3:$E$1002,MATCH($B65,대여내역!$A$3:$A$1002,0)),"대여번호없음"))</f>
        <v/>
      </c>
      <c r="D65" s="11"/>
      <c r="E65" s="9"/>
      <c r="F65" s="10"/>
    </row>
    <row r="66" customFormat="false" ht="15" hidden="false" customHeight="false" outlineLevel="0" collapsed="false">
      <c r="A66" s="15"/>
      <c r="B66" s="10"/>
      <c r="C66" s="18" t="str">
        <f aca="false">IF($B66="","",IFERROR(INDEX(대여내역!$E$3:$E$1002,MATCH($B66,대여내역!$A$3:$A$1002,0)),"대여번호없음"))</f>
        <v/>
      </c>
      <c r="D66" s="11"/>
      <c r="E66" s="9"/>
      <c r="F66" s="10"/>
    </row>
    <row r="67" customFormat="false" ht="15" hidden="false" customHeight="false" outlineLevel="0" collapsed="false">
      <c r="A67" s="15"/>
      <c r="B67" s="10"/>
      <c r="C67" s="18" t="str">
        <f aca="false">IF($B67="","",IFERROR(INDEX(대여내역!$E$3:$E$1002,MATCH($B67,대여내역!$A$3:$A$1002,0)),"대여번호없음"))</f>
        <v/>
      </c>
      <c r="D67" s="11"/>
      <c r="E67" s="9"/>
      <c r="F67" s="10"/>
    </row>
    <row r="68" customFormat="false" ht="15" hidden="false" customHeight="false" outlineLevel="0" collapsed="false">
      <c r="A68" s="15"/>
      <c r="B68" s="10"/>
      <c r="C68" s="18" t="str">
        <f aca="false">IF($B68="","",IFERROR(INDEX(대여내역!$E$3:$E$1002,MATCH($B68,대여내역!$A$3:$A$1002,0)),"대여번호없음"))</f>
        <v/>
      </c>
      <c r="D68" s="11"/>
      <c r="E68" s="9"/>
      <c r="F68" s="10"/>
    </row>
    <row r="69" customFormat="false" ht="15" hidden="false" customHeight="false" outlineLevel="0" collapsed="false">
      <c r="A69" s="15"/>
      <c r="B69" s="10"/>
      <c r="C69" s="18" t="str">
        <f aca="false">IF($B69="","",IFERROR(INDEX(대여내역!$E$3:$E$1002,MATCH($B69,대여내역!$A$3:$A$1002,0)),"대여번호없음"))</f>
        <v/>
      </c>
      <c r="D69" s="11"/>
      <c r="E69" s="9"/>
      <c r="F69" s="10"/>
    </row>
    <row r="70" customFormat="false" ht="15" hidden="false" customHeight="false" outlineLevel="0" collapsed="false">
      <c r="A70" s="15"/>
      <c r="B70" s="10"/>
      <c r="C70" s="18" t="str">
        <f aca="false">IF($B70="","",IFERROR(INDEX(대여내역!$E$3:$E$1002,MATCH($B70,대여내역!$A$3:$A$1002,0)),"대여번호없음"))</f>
        <v/>
      </c>
      <c r="D70" s="11"/>
      <c r="E70" s="9"/>
      <c r="F70" s="10"/>
    </row>
    <row r="71" customFormat="false" ht="15" hidden="false" customHeight="false" outlineLevel="0" collapsed="false">
      <c r="A71" s="15"/>
      <c r="B71" s="10"/>
      <c r="C71" s="18" t="str">
        <f aca="false">IF($B71="","",IFERROR(INDEX(대여내역!$E$3:$E$1002,MATCH($B71,대여내역!$A$3:$A$1002,0)),"대여번호없음"))</f>
        <v/>
      </c>
      <c r="D71" s="11"/>
      <c r="E71" s="9"/>
      <c r="F71" s="10"/>
    </row>
    <row r="72" customFormat="false" ht="15" hidden="false" customHeight="false" outlineLevel="0" collapsed="false">
      <c r="A72" s="15"/>
      <c r="B72" s="10"/>
      <c r="C72" s="18" t="str">
        <f aca="false">IF($B72="","",IFERROR(INDEX(대여내역!$E$3:$E$1002,MATCH($B72,대여내역!$A$3:$A$1002,0)),"대여번호없음"))</f>
        <v/>
      </c>
      <c r="D72" s="11"/>
      <c r="E72" s="9"/>
      <c r="F72" s="10"/>
    </row>
    <row r="73" customFormat="false" ht="15" hidden="false" customHeight="false" outlineLevel="0" collapsed="false">
      <c r="A73" s="15"/>
      <c r="B73" s="10"/>
      <c r="C73" s="18" t="str">
        <f aca="false">IF($B73="","",IFERROR(INDEX(대여내역!$E$3:$E$1002,MATCH($B73,대여내역!$A$3:$A$1002,0)),"대여번호없음"))</f>
        <v/>
      </c>
      <c r="D73" s="11"/>
      <c r="E73" s="9"/>
      <c r="F73" s="10"/>
    </row>
    <row r="74" customFormat="false" ht="15" hidden="false" customHeight="false" outlineLevel="0" collapsed="false">
      <c r="A74" s="15"/>
      <c r="B74" s="10"/>
      <c r="C74" s="18" t="str">
        <f aca="false">IF($B74="","",IFERROR(INDEX(대여내역!$E$3:$E$1002,MATCH($B74,대여내역!$A$3:$A$1002,0)),"대여번호없음"))</f>
        <v/>
      </c>
      <c r="D74" s="11"/>
      <c r="E74" s="9"/>
      <c r="F74" s="10"/>
    </row>
    <row r="75" customFormat="false" ht="15" hidden="false" customHeight="false" outlineLevel="0" collapsed="false">
      <c r="A75" s="15"/>
      <c r="B75" s="10"/>
      <c r="C75" s="18" t="str">
        <f aca="false">IF($B75="","",IFERROR(INDEX(대여내역!$E$3:$E$1002,MATCH($B75,대여내역!$A$3:$A$1002,0)),"대여번호없음"))</f>
        <v/>
      </c>
      <c r="D75" s="11"/>
      <c r="E75" s="9"/>
      <c r="F75" s="10"/>
    </row>
    <row r="76" customFormat="false" ht="15" hidden="false" customHeight="false" outlineLevel="0" collapsed="false">
      <c r="A76" s="15"/>
      <c r="B76" s="10"/>
      <c r="C76" s="18" t="str">
        <f aca="false">IF($B76="","",IFERROR(INDEX(대여내역!$E$3:$E$1002,MATCH($B76,대여내역!$A$3:$A$1002,0)),"대여번호없음"))</f>
        <v/>
      </c>
      <c r="D76" s="11"/>
      <c r="E76" s="9"/>
      <c r="F76" s="10"/>
    </row>
    <row r="77" customFormat="false" ht="15" hidden="false" customHeight="false" outlineLevel="0" collapsed="false">
      <c r="A77" s="15"/>
      <c r="B77" s="10"/>
      <c r="C77" s="18" t="str">
        <f aca="false">IF($B77="","",IFERROR(INDEX(대여내역!$E$3:$E$1002,MATCH($B77,대여내역!$A$3:$A$1002,0)),"대여번호없음"))</f>
        <v/>
      </c>
      <c r="D77" s="11"/>
      <c r="E77" s="9"/>
      <c r="F77" s="10"/>
    </row>
    <row r="78" customFormat="false" ht="15" hidden="false" customHeight="false" outlineLevel="0" collapsed="false">
      <c r="A78" s="15"/>
      <c r="B78" s="10"/>
      <c r="C78" s="18" t="str">
        <f aca="false">IF($B78="","",IFERROR(INDEX(대여내역!$E$3:$E$1002,MATCH($B78,대여내역!$A$3:$A$1002,0)),"대여번호없음"))</f>
        <v/>
      </c>
      <c r="D78" s="11"/>
      <c r="E78" s="9"/>
      <c r="F78" s="10"/>
    </row>
    <row r="79" customFormat="false" ht="15" hidden="false" customHeight="false" outlineLevel="0" collapsed="false">
      <c r="A79" s="15"/>
      <c r="B79" s="10"/>
      <c r="C79" s="18" t="str">
        <f aca="false">IF($B79="","",IFERROR(INDEX(대여내역!$E$3:$E$1002,MATCH($B79,대여내역!$A$3:$A$1002,0)),"대여번호없음"))</f>
        <v/>
      </c>
      <c r="D79" s="11"/>
      <c r="E79" s="9"/>
      <c r="F79" s="10"/>
    </row>
    <row r="80" customFormat="false" ht="15" hidden="false" customHeight="false" outlineLevel="0" collapsed="false">
      <c r="A80" s="15"/>
      <c r="B80" s="10"/>
      <c r="C80" s="18" t="str">
        <f aca="false">IF($B80="","",IFERROR(INDEX(대여내역!$E$3:$E$1002,MATCH($B80,대여내역!$A$3:$A$1002,0)),"대여번호없음"))</f>
        <v/>
      </c>
      <c r="D80" s="11"/>
      <c r="E80" s="9"/>
      <c r="F80" s="10"/>
    </row>
    <row r="81" customFormat="false" ht="15" hidden="false" customHeight="false" outlineLevel="0" collapsed="false">
      <c r="A81" s="15"/>
      <c r="B81" s="10"/>
      <c r="C81" s="18" t="str">
        <f aca="false">IF($B81="","",IFERROR(INDEX(대여내역!$E$3:$E$1002,MATCH($B81,대여내역!$A$3:$A$1002,0)),"대여번호없음"))</f>
        <v/>
      </c>
      <c r="D81" s="11"/>
      <c r="E81" s="9"/>
      <c r="F81" s="10"/>
    </row>
    <row r="82" customFormat="false" ht="15" hidden="false" customHeight="false" outlineLevel="0" collapsed="false">
      <c r="A82" s="15"/>
      <c r="B82" s="10"/>
      <c r="C82" s="18" t="str">
        <f aca="false">IF($B82="","",IFERROR(INDEX(대여내역!$E$3:$E$1002,MATCH($B82,대여내역!$A$3:$A$1002,0)),"대여번호없음"))</f>
        <v/>
      </c>
      <c r="D82" s="11"/>
      <c r="E82" s="9"/>
      <c r="F82" s="10"/>
    </row>
    <row r="83" customFormat="false" ht="15" hidden="false" customHeight="false" outlineLevel="0" collapsed="false">
      <c r="A83" s="15"/>
      <c r="B83" s="10"/>
      <c r="C83" s="18" t="str">
        <f aca="false">IF($B83="","",IFERROR(INDEX(대여내역!$E$3:$E$1002,MATCH($B83,대여내역!$A$3:$A$1002,0)),"대여번호없음"))</f>
        <v/>
      </c>
      <c r="D83" s="11"/>
      <c r="E83" s="9"/>
      <c r="F83" s="10"/>
    </row>
    <row r="84" customFormat="false" ht="15" hidden="false" customHeight="false" outlineLevel="0" collapsed="false">
      <c r="A84" s="15"/>
      <c r="B84" s="10"/>
      <c r="C84" s="18" t="str">
        <f aca="false">IF($B84="","",IFERROR(INDEX(대여내역!$E$3:$E$1002,MATCH($B84,대여내역!$A$3:$A$1002,0)),"대여번호없음"))</f>
        <v/>
      </c>
      <c r="D84" s="11"/>
      <c r="E84" s="9"/>
      <c r="F84" s="10"/>
    </row>
    <row r="85" customFormat="false" ht="15" hidden="false" customHeight="false" outlineLevel="0" collapsed="false">
      <c r="A85" s="15"/>
      <c r="B85" s="10"/>
      <c r="C85" s="18" t="str">
        <f aca="false">IF($B85="","",IFERROR(INDEX(대여내역!$E$3:$E$1002,MATCH($B85,대여내역!$A$3:$A$1002,0)),"대여번호없음"))</f>
        <v/>
      </c>
      <c r="D85" s="11"/>
      <c r="E85" s="9"/>
      <c r="F85" s="10"/>
    </row>
    <row r="86" customFormat="false" ht="15" hidden="false" customHeight="false" outlineLevel="0" collapsed="false">
      <c r="A86" s="15"/>
      <c r="B86" s="10"/>
      <c r="C86" s="18" t="str">
        <f aca="false">IF($B86="","",IFERROR(INDEX(대여내역!$E$3:$E$1002,MATCH($B86,대여내역!$A$3:$A$1002,0)),"대여번호없음"))</f>
        <v/>
      </c>
      <c r="D86" s="11"/>
      <c r="E86" s="9"/>
      <c r="F86" s="10"/>
    </row>
    <row r="87" customFormat="false" ht="15" hidden="false" customHeight="false" outlineLevel="0" collapsed="false">
      <c r="A87" s="15"/>
      <c r="B87" s="10"/>
      <c r="C87" s="18" t="str">
        <f aca="false">IF($B87="","",IFERROR(INDEX(대여내역!$E$3:$E$1002,MATCH($B87,대여내역!$A$3:$A$1002,0)),"대여번호없음"))</f>
        <v/>
      </c>
      <c r="D87" s="11"/>
      <c r="E87" s="9"/>
      <c r="F87" s="10"/>
    </row>
    <row r="88" customFormat="false" ht="15" hidden="false" customHeight="false" outlineLevel="0" collapsed="false">
      <c r="A88" s="15"/>
      <c r="B88" s="10"/>
      <c r="C88" s="18" t="str">
        <f aca="false">IF($B88="","",IFERROR(INDEX(대여내역!$E$3:$E$1002,MATCH($B88,대여내역!$A$3:$A$1002,0)),"대여번호없음"))</f>
        <v/>
      </c>
      <c r="D88" s="11"/>
      <c r="E88" s="9"/>
      <c r="F88" s="10"/>
    </row>
    <row r="89" customFormat="false" ht="15" hidden="false" customHeight="false" outlineLevel="0" collapsed="false">
      <c r="A89" s="15"/>
      <c r="B89" s="10"/>
      <c r="C89" s="18" t="str">
        <f aca="false">IF($B89="","",IFERROR(INDEX(대여내역!$E$3:$E$1002,MATCH($B89,대여내역!$A$3:$A$1002,0)),"대여번호없음"))</f>
        <v/>
      </c>
      <c r="D89" s="11"/>
      <c r="E89" s="9"/>
      <c r="F89" s="10"/>
    </row>
    <row r="90" customFormat="false" ht="15" hidden="false" customHeight="false" outlineLevel="0" collapsed="false">
      <c r="A90" s="15"/>
      <c r="B90" s="10"/>
      <c r="C90" s="18" t="str">
        <f aca="false">IF($B90="","",IFERROR(INDEX(대여내역!$E$3:$E$1002,MATCH($B90,대여내역!$A$3:$A$1002,0)),"대여번호없음"))</f>
        <v/>
      </c>
      <c r="D90" s="11"/>
      <c r="E90" s="9"/>
      <c r="F90" s="10"/>
    </row>
    <row r="91" customFormat="false" ht="15" hidden="false" customHeight="false" outlineLevel="0" collapsed="false">
      <c r="A91" s="15"/>
      <c r="B91" s="10"/>
      <c r="C91" s="18" t="str">
        <f aca="false">IF($B91="","",IFERROR(INDEX(대여내역!$E$3:$E$1002,MATCH($B91,대여내역!$A$3:$A$1002,0)),"대여번호없음"))</f>
        <v/>
      </c>
      <c r="D91" s="11"/>
      <c r="E91" s="9"/>
      <c r="F91" s="10"/>
    </row>
    <row r="92" customFormat="false" ht="15" hidden="false" customHeight="false" outlineLevel="0" collapsed="false">
      <c r="A92" s="15"/>
      <c r="B92" s="10"/>
      <c r="C92" s="18" t="str">
        <f aca="false">IF($B92="","",IFERROR(INDEX(대여내역!$E$3:$E$1002,MATCH($B92,대여내역!$A$3:$A$1002,0)),"대여번호없음"))</f>
        <v/>
      </c>
      <c r="D92" s="11"/>
      <c r="E92" s="9"/>
      <c r="F92" s="10"/>
    </row>
    <row r="93" customFormat="false" ht="15" hidden="false" customHeight="false" outlineLevel="0" collapsed="false">
      <c r="A93" s="15"/>
      <c r="B93" s="10"/>
      <c r="C93" s="18" t="str">
        <f aca="false">IF($B93="","",IFERROR(INDEX(대여내역!$E$3:$E$1002,MATCH($B93,대여내역!$A$3:$A$1002,0)),"대여번호없음"))</f>
        <v/>
      </c>
      <c r="D93" s="11"/>
      <c r="E93" s="9"/>
      <c r="F93" s="10"/>
    </row>
    <row r="94" customFormat="false" ht="15" hidden="false" customHeight="false" outlineLevel="0" collapsed="false">
      <c r="A94" s="15"/>
      <c r="B94" s="10"/>
      <c r="C94" s="18" t="str">
        <f aca="false">IF($B94="","",IFERROR(INDEX(대여내역!$E$3:$E$1002,MATCH($B94,대여내역!$A$3:$A$1002,0)),"대여번호없음"))</f>
        <v/>
      </c>
      <c r="D94" s="11"/>
      <c r="E94" s="9"/>
      <c r="F94" s="10"/>
    </row>
    <row r="95" customFormat="false" ht="15" hidden="false" customHeight="false" outlineLevel="0" collapsed="false">
      <c r="A95" s="15"/>
      <c r="B95" s="10"/>
      <c r="C95" s="18" t="str">
        <f aca="false">IF($B95="","",IFERROR(INDEX(대여내역!$E$3:$E$1002,MATCH($B95,대여내역!$A$3:$A$1002,0)),"대여번호없음"))</f>
        <v/>
      </c>
      <c r="D95" s="11"/>
      <c r="E95" s="9"/>
      <c r="F95" s="10"/>
    </row>
    <row r="96" customFormat="false" ht="15" hidden="false" customHeight="false" outlineLevel="0" collapsed="false">
      <c r="A96" s="15"/>
      <c r="B96" s="10"/>
      <c r="C96" s="18" t="str">
        <f aca="false">IF($B96="","",IFERROR(INDEX(대여내역!$E$3:$E$1002,MATCH($B96,대여내역!$A$3:$A$1002,0)),"대여번호없음"))</f>
        <v/>
      </c>
      <c r="D96" s="11"/>
      <c r="E96" s="9"/>
      <c r="F96" s="10"/>
    </row>
    <row r="97" customFormat="false" ht="15" hidden="false" customHeight="false" outlineLevel="0" collapsed="false">
      <c r="A97" s="15"/>
      <c r="B97" s="10"/>
      <c r="C97" s="18" t="str">
        <f aca="false">IF($B97="","",IFERROR(INDEX(대여내역!$E$3:$E$1002,MATCH($B97,대여내역!$A$3:$A$1002,0)),"대여번호없음"))</f>
        <v/>
      </c>
      <c r="D97" s="11"/>
      <c r="E97" s="9"/>
      <c r="F97" s="10"/>
    </row>
    <row r="98" customFormat="false" ht="15" hidden="false" customHeight="false" outlineLevel="0" collapsed="false">
      <c r="A98" s="15"/>
      <c r="B98" s="10"/>
      <c r="C98" s="18" t="str">
        <f aca="false">IF($B98="","",IFERROR(INDEX(대여내역!$E$3:$E$1002,MATCH($B98,대여내역!$A$3:$A$1002,0)),"대여번호없음"))</f>
        <v/>
      </c>
      <c r="D98" s="11"/>
      <c r="E98" s="9"/>
      <c r="F98" s="10"/>
    </row>
    <row r="99" customFormat="false" ht="15" hidden="false" customHeight="false" outlineLevel="0" collapsed="false">
      <c r="A99" s="15"/>
      <c r="B99" s="10"/>
      <c r="C99" s="18" t="str">
        <f aca="false">IF($B99="","",IFERROR(INDEX(대여내역!$E$3:$E$1002,MATCH($B99,대여내역!$A$3:$A$1002,0)),"대여번호없음"))</f>
        <v/>
      </c>
      <c r="D99" s="11"/>
      <c r="E99" s="9"/>
      <c r="F99" s="10"/>
    </row>
    <row r="100" customFormat="false" ht="15" hidden="false" customHeight="false" outlineLevel="0" collapsed="false">
      <c r="A100" s="15"/>
      <c r="B100" s="10"/>
      <c r="C100" s="18" t="str">
        <f aca="false">IF($B100="","",IFERROR(INDEX(대여내역!$E$3:$E$1002,MATCH($B100,대여내역!$A$3:$A$1002,0)),"대여번호없음"))</f>
        <v/>
      </c>
      <c r="D100" s="11"/>
      <c r="E100" s="9"/>
      <c r="F100" s="10"/>
    </row>
    <row r="101" customFormat="false" ht="15" hidden="false" customHeight="false" outlineLevel="0" collapsed="false">
      <c r="A101" s="15"/>
      <c r="B101" s="10"/>
      <c r="C101" s="18" t="str">
        <f aca="false">IF($B101="","",IFERROR(INDEX(대여내역!$E$3:$E$1002,MATCH($B101,대여내역!$A$3:$A$1002,0)),"대여번호없음"))</f>
        <v/>
      </c>
      <c r="D101" s="11"/>
      <c r="E101" s="9"/>
      <c r="F101" s="10"/>
    </row>
    <row r="102" customFormat="false" ht="15" hidden="false" customHeight="false" outlineLevel="0" collapsed="false">
      <c r="A102" s="15"/>
      <c r="B102" s="10"/>
      <c r="C102" s="18" t="str">
        <f aca="false">IF($B102="","",IFERROR(INDEX(대여내역!$E$3:$E$1002,MATCH($B102,대여내역!$A$3:$A$1002,0)),"대여번호없음"))</f>
        <v/>
      </c>
      <c r="D102" s="11"/>
      <c r="E102" s="9"/>
      <c r="F102" s="10"/>
    </row>
    <row r="103" customFormat="false" ht="15" hidden="false" customHeight="false" outlineLevel="0" collapsed="false">
      <c r="A103" s="15"/>
      <c r="B103" s="10"/>
      <c r="C103" s="18" t="str">
        <f aca="false">IF($B103="","",IFERROR(INDEX(대여내역!$E$3:$E$1002,MATCH($B103,대여내역!$A$3:$A$1002,0)),"대여번호없음"))</f>
        <v/>
      </c>
      <c r="D103" s="11"/>
      <c r="E103" s="9"/>
      <c r="F103" s="10"/>
    </row>
    <row r="104" customFormat="false" ht="15" hidden="false" customHeight="false" outlineLevel="0" collapsed="false">
      <c r="A104" s="15"/>
      <c r="B104" s="10"/>
      <c r="C104" s="18" t="str">
        <f aca="false">IF($B104="","",IFERROR(INDEX(대여내역!$E$3:$E$1002,MATCH($B104,대여내역!$A$3:$A$1002,0)),"대여번호없음"))</f>
        <v/>
      </c>
      <c r="D104" s="11"/>
      <c r="E104" s="9"/>
      <c r="F104" s="10"/>
    </row>
    <row r="105" customFormat="false" ht="15" hidden="false" customHeight="false" outlineLevel="0" collapsed="false">
      <c r="A105" s="15"/>
      <c r="B105" s="10"/>
      <c r="C105" s="18" t="str">
        <f aca="false">IF($B105="","",IFERROR(INDEX(대여내역!$E$3:$E$1002,MATCH($B105,대여내역!$A$3:$A$1002,0)),"대여번호없음"))</f>
        <v/>
      </c>
      <c r="D105" s="11"/>
      <c r="E105" s="9"/>
      <c r="F105" s="10"/>
    </row>
    <row r="106" customFormat="false" ht="15" hidden="false" customHeight="false" outlineLevel="0" collapsed="false">
      <c r="A106" s="15"/>
      <c r="B106" s="10"/>
      <c r="C106" s="18" t="str">
        <f aca="false">IF($B106="","",IFERROR(INDEX(대여내역!$E$3:$E$1002,MATCH($B106,대여내역!$A$3:$A$1002,0)),"대여번호없음"))</f>
        <v/>
      </c>
      <c r="D106" s="11"/>
      <c r="E106" s="9"/>
      <c r="F106" s="10"/>
    </row>
    <row r="107" customFormat="false" ht="15" hidden="false" customHeight="false" outlineLevel="0" collapsed="false">
      <c r="A107" s="15"/>
      <c r="B107" s="10"/>
      <c r="C107" s="18" t="str">
        <f aca="false">IF($B107="","",IFERROR(INDEX(대여내역!$E$3:$E$1002,MATCH($B107,대여내역!$A$3:$A$1002,0)),"대여번호없음"))</f>
        <v/>
      </c>
      <c r="D107" s="11"/>
      <c r="E107" s="9"/>
      <c r="F107" s="10"/>
    </row>
    <row r="108" customFormat="false" ht="15" hidden="false" customHeight="false" outlineLevel="0" collapsed="false">
      <c r="A108" s="15"/>
      <c r="B108" s="10"/>
      <c r="C108" s="18" t="str">
        <f aca="false">IF($B108="","",IFERROR(INDEX(대여내역!$E$3:$E$1002,MATCH($B108,대여내역!$A$3:$A$1002,0)),"대여번호없음"))</f>
        <v/>
      </c>
      <c r="D108" s="11"/>
      <c r="E108" s="9"/>
      <c r="F108" s="10"/>
    </row>
    <row r="109" customFormat="false" ht="15" hidden="false" customHeight="false" outlineLevel="0" collapsed="false">
      <c r="A109" s="15"/>
      <c r="B109" s="10"/>
      <c r="C109" s="18" t="str">
        <f aca="false">IF($B109="","",IFERROR(INDEX(대여내역!$E$3:$E$1002,MATCH($B109,대여내역!$A$3:$A$1002,0)),"대여번호없음"))</f>
        <v/>
      </c>
      <c r="D109" s="11"/>
      <c r="E109" s="9"/>
      <c r="F109" s="10"/>
    </row>
    <row r="110" customFormat="false" ht="15" hidden="false" customHeight="false" outlineLevel="0" collapsed="false">
      <c r="A110" s="15"/>
      <c r="B110" s="10"/>
      <c r="C110" s="18" t="str">
        <f aca="false">IF($B110="","",IFERROR(INDEX(대여내역!$E$3:$E$1002,MATCH($B110,대여내역!$A$3:$A$1002,0)),"대여번호없음"))</f>
        <v/>
      </c>
      <c r="D110" s="11"/>
      <c r="E110" s="9"/>
      <c r="F110" s="10"/>
    </row>
    <row r="111" customFormat="false" ht="15" hidden="false" customHeight="false" outlineLevel="0" collapsed="false">
      <c r="A111" s="15"/>
      <c r="B111" s="10"/>
      <c r="C111" s="18" t="str">
        <f aca="false">IF($B111="","",IFERROR(INDEX(대여내역!$E$3:$E$1002,MATCH($B111,대여내역!$A$3:$A$1002,0)),"대여번호없음"))</f>
        <v/>
      </c>
      <c r="D111" s="11"/>
      <c r="E111" s="9"/>
      <c r="F111" s="10"/>
    </row>
    <row r="112" customFormat="false" ht="15" hidden="false" customHeight="false" outlineLevel="0" collapsed="false">
      <c r="A112" s="15"/>
      <c r="B112" s="10"/>
      <c r="C112" s="18" t="str">
        <f aca="false">IF($B112="","",IFERROR(INDEX(대여내역!$E$3:$E$1002,MATCH($B112,대여내역!$A$3:$A$1002,0)),"대여번호없음"))</f>
        <v/>
      </c>
      <c r="D112" s="11"/>
      <c r="E112" s="9"/>
      <c r="F112" s="10"/>
    </row>
    <row r="113" customFormat="false" ht="15" hidden="false" customHeight="false" outlineLevel="0" collapsed="false">
      <c r="A113" s="15"/>
      <c r="B113" s="10"/>
      <c r="C113" s="18" t="str">
        <f aca="false">IF($B113="","",IFERROR(INDEX(대여내역!$E$3:$E$1002,MATCH($B113,대여내역!$A$3:$A$1002,0)),"대여번호없음"))</f>
        <v/>
      </c>
      <c r="D113" s="11"/>
      <c r="E113" s="9"/>
      <c r="F113" s="10"/>
    </row>
    <row r="114" customFormat="false" ht="15" hidden="false" customHeight="false" outlineLevel="0" collapsed="false">
      <c r="A114" s="15"/>
      <c r="B114" s="10"/>
      <c r="C114" s="18" t="str">
        <f aca="false">IF($B114="","",IFERROR(INDEX(대여내역!$E$3:$E$1002,MATCH($B114,대여내역!$A$3:$A$1002,0)),"대여번호없음"))</f>
        <v/>
      </c>
      <c r="D114" s="11"/>
      <c r="E114" s="9"/>
      <c r="F114" s="10"/>
    </row>
    <row r="115" customFormat="false" ht="15" hidden="false" customHeight="false" outlineLevel="0" collapsed="false">
      <c r="A115" s="15"/>
      <c r="B115" s="10"/>
      <c r="C115" s="18" t="str">
        <f aca="false">IF($B115="","",IFERROR(INDEX(대여내역!$E$3:$E$1002,MATCH($B115,대여내역!$A$3:$A$1002,0)),"대여번호없음"))</f>
        <v/>
      </c>
      <c r="D115" s="11"/>
      <c r="E115" s="9"/>
      <c r="F115" s="10"/>
    </row>
    <row r="116" customFormat="false" ht="15" hidden="false" customHeight="false" outlineLevel="0" collapsed="false">
      <c r="A116" s="15"/>
      <c r="B116" s="10"/>
      <c r="C116" s="18" t="str">
        <f aca="false">IF($B116="","",IFERROR(INDEX(대여내역!$E$3:$E$1002,MATCH($B116,대여내역!$A$3:$A$1002,0)),"대여번호없음"))</f>
        <v/>
      </c>
      <c r="D116" s="11"/>
      <c r="E116" s="9"/>
      <c r="F116" s="10"/>
    </row>
    <row r="117" customFormat="false" ht="15" hidden="false" customHeight="false" outlineLevel="0" collapsed="false">
      <c r="A117" s="15"/>
      <c r="B117" s="10"/>
      <c r="C117" s="18" t="str">
        <f aca="false">IF($B117="","",IFERROR(INDEX(대여내역!$E$3:$E$1002,MATCH($B117,대여내역!$A$3:$A$1002,0)),"대여번호없음"))</f>
        <v/>
      </c>
      <c r="D117" s="11"/>
      <c r="E117" s="9"/>
      <c r="F117" s="10"/>
    </row>
    <row r="118" customFormat="false" ht="15" hidden="false" customHeight="false" outlineLevel="0" collapsed="false">
      <c r="A118" s="15"/>
      <c r="B118" s="10"/>
      <c r="C118" s="18" t="str">
        <f aca="false">IF($B118="","",IFERROR(INDEX(대여내역!$E$3:$E$1002,MATCH($B118,대여내역!$A$3:$A$1002,0)),"대여번호없음"))</f>
        <v/>
      </c>
      <c r="D118" s="11"/>
      <c r="E118" s="9"/>
      <c r="F118" s="10"/>
    </row>
    <row r="119" customFormat="false" ht="15" hidden="false" customHeight="false" outlineLevel="0" collapsed="false">
      <c r="A119" s="15"/>
      <c r="B119" s="10"/>
      <c r="C119" s="18" t="str">
        <f aca="false">IF($B119="","",IFERROR(INDEX(대여내역!$E$3:$E$1002,MATCH($B119,대여내역!$A$3:$A$1002,0)),"대여번호없음"))</f>
        <v/>
      </c>
      <c r="D119" s="11"/>
      <c r="E119" s="9"/>
      <c r="F119" s="10"/>
    </row>
    <row r="120" customFormat="false" ht="15" hidden="false" customHeight="false" outlineLevel="0" collapsed="false">
      <c r="A120" s="15"/>
      <c r="B120" s="10"/>
      <c r="C120" s="18" t="str">
        <f aca="false">IF($B120="","",IFERROR(INDEX(대여내역!$E$3:$E$1002,MATCH($B120,대여내역!$A$3:$A$1002,0)),"대여번호없음"))</f>
        <v/>
      </c>
      <c r="D120" s="11"/>
      <c r="E120" s="9"/>
      <c r="F120" s="10"/>
    </row>
    <row r="121" customFormat="false" ht="15" hidden="false" customHeight="false" outlineLevel="0" collapsed="false">
      <c r="A121" s="15"/>
      <c r="B121" s="10"/>
      <c r="C121" s="18" t="str">
        <f aca="false">IF($B121="","",IFERROR(INDEX(대여내역!$E$3:$E$1002,MATCH($B121,대여내역!$A$3:$A$1002,0)),"대여번호없음"))</f>
        <v/>
      </c>
      <c r="D121" s="11"/>
      <c r="E121" s="9"/>
      <c r="F121" s="10"/>
    </row>
    <row r="122" customFormat="false" ht="15" hidden="false" customHeight="false" outlineLevel="0" collapsed="false">
      <c r="A122" s="15"/>
      <c r="B122" s="10"/>
      <c r="C122" s="18" t="str">
        <f aca="false">IF($B122="","",IFERROR(INDEX(대여내역!$E$3:$E$1002,MATCH($B122,대여내역!$A$3:$A$1002,0)),"대여번호없음"))</f>
        <v/>
      </c>
      <c r="D122" s="11"/>
      <c r="E122" s="9"/>
      <c r="F122" s="10"/>
    </row>
    <row r="123" customFormat="false" ht="15" hidden="false" customHeight="false" outlineLevel="0" collapsed="false">
      <c r="A123" s="15"/>
      <c r="B123" s="10"/>
      <c r="C123" s="18" t="str">
        <f aca="false">IF($B123="","",IFERROR(INDEX(대여내역!$E$3:$E$1002,MATCH($B123,대여내역!$A$3:$A$1002,0)),"대여번호없음"))</f>
        <v/>
      </c>
      <c r="D123" s="11"/>
      <c r="E123" s="9"/>
      <c r="F123" s="10"/>
    </row>
    <row r="124" customFormat="false" ht="15" hidden="false" customHeight="false" outlineLevel="0" collapsed="false">
      <c r="A124" s="15"/>
      <c r="B124" s="10"/>
      <c r="C124" s="18" t="str">
        <f aca="false">IF($B124="","",IFERROR(INDEX(대여내역!$E$3:$E$1002,MATCH($B124,대여내역!$A$3:$A$1002,0)),"대여번호없음"))</f>
        <v/>
      </c>
      <c r="D124" s="11"/>
      <c r="E124" s="9"/>
      <c r="F124" s="10"/>
    </row>
    <row r="125" customFormat="false" ht="15" hidden="false" customHeight="false" outlineLevel="0" collapsed="false">
      <c r="A125" s="15"/>
      <c r="B125" s="10"/>
      <c r="C125" s="18" t="str">
        <f aca="false">IF($B125="","",IFERROR(INDEX(대여내역!$E$3:$E$1002,MATCH($B125,대여내역!$A$3:$A$1002,0)),"대여번호없음"))</f>
        <v/>
      </c>
      <c r="D125" s="11"/>
      <c r="E125" s="9"/>
      <c r="F125" s="10"/>
    </row>
    <row r="126" customFormat="false" ht="15" hidden="false" customHeight="false" outlineLevel="0" collapsed="false">
      <c r="A126" s="15"/>
      <c r="B126" s="10"/>
      <c r="C126" s="18" t="str">
        <f aca="false">IF($B126="","",IFERROR(INDEX(대여내역!$E$3:$E$1002,MATCH($B126,대여내역!$A$3:$A$1002,0)),"대여번호없음"))</f>
        <v/>
      </c>
      <c r="D126" s="11"/>
      <c r="E126" s="9"/>
      <c r="F126" s="10"/>
    </row>
    <row r="127" customFormat="false" ht="15" hidden="false" customHeight="false" outlineLevel="0" collapsed="false">
      <c r="A127" s="15"/>
      <c r="B127" s="10"/>
      <c r="C127" s="18" t="str">
        <f aca="false">IF($B127="","",IFERROR(INDEX(대여내역!$E$3:$E$1002,MATCH($B127,대여내역!$A$3:$A$1002,0)),"대여번호없음"))</f>
        <v/>
      </c>
      <c r="D127" s="11"/>
      <c r="E127" s="9"/>
      <c r="F127" s="10"/>
    </row>
    <row r="128" customFormat="false" ht="15" hidden="false" customHeight="false" outlineLevel="0" collapsed="false">
      <c r="A128" s="15"/>
      <c r="B128" s="10"/>
      <c r="C128" s="18" t="str">
        <f aca="false">IF($B128="","",IFERROR(INDEX(대여내역!$E$3:$E$1002,MATCH($B128,대여내역!$A$3:$A$1002,0)),"대여번호없음"))</f>
        <v/>
      </c>
      <c r="D128" s="11"/>
      <c r="E128" s="9"/>
      <c r="F128" s="10"/>
    </row>
    <row r="129" customFormat="false" ht="15" hidden="false" customHeight="false" outlineLevel="0" collapsed="false">
      <c r="A129" s="15"/>
      <c r="B129" s="10"/>
      <c r="C129" s="18" t="str">
        <f aca="false">IF($B129="","",IFERROR(INDEX(대여내역!$E$3:$E$1002,MATCH($B129,대여내역!$A$3:$A$1002,0)),"대여번호없음"))</f>
        <v/>
      </c>
      <c r="D129" s="11"/>
      <c r="E129" s="9"/>
      <c r="F129" s="10"/>
    </row>
    <row r="130" customFormat="false" ht="15" hidden="false" customHeight="false" outlineLevel="0" collapsed="false">
      <c r="A130" s="15"/>
      <c r="B130" s="10"/>
      <c r="C130" s="18" t="str">
        <f aca="false">IF($B130="","",IFERROR(INDEX(대여내역!$E$3:$E$1002,MATCH($B130,대여내역!$A$3:$A$1002,0)),"대여번호없음"))</f>
        <v/>
      </c>
      <c r="D130" s="11"/>
      <c r="E130" s="9"/>
      <c r="F130" s="10"/>
    </row>
    <row r="131" customFormat="false" ht="15" hidden="false" customHeight="false" outlineLevel="0" collapsed="false">
      <c r="A131" s="15"/>
      <c r="B131" s="10"/>
      <c r="C131" s="18" t="str">
        <f aca="false">IF($B131="","",IFERROR(INDEX(대여내역!$E$3:$E$1002,MATCH($B131,대여내역!$A$3:$A$1002,0)),"대여번호없음"))</f>
        <v/>
      </c>
      <c r="D131" s="11"/>
      <c r="E131" s="9"/>
      <c r="F131" s="10"/>
    </row>
    <row r="132" customFormat="false" ht="15" hidden="false" customHeight="false" outlineLevel="0" collapsed="false">
      <c r="A132" s="15"/>
      <c r="B132" s="10"/>
      <c r="C132" s="18" t="str">
        <f aca="false">IF($B132="","",IFERROR(INDEX(대여내역!$E$3:$E$1002,MATCH($B132,대여내역!$A$3:$A$1002,0)),"대여번호없음"))</f>
        <v/>
      </c>
      <c r="D132" s="11"/>
      <c r="E132" s="9"/>
      <c r="F132" s="10"/>
    </row>
    <row r="133" customFormat="false" ht="15" hidden="false" customHeight="false" outlineLevel="0" collapsed="false">
      <c r="A133" s="15"/>
      <c r="B133" s="10"/>
      <c r="C133" s="18" t="str">
        <f aca="false">IF($B133="","",IFERROR(INDEX(대여내역!$E$3:$E$1002,MATCH($B133,대여내역!$A$3:$A$1002,0)),"대여번호없음"))</f>
        <v/>
      </c>
      <c r="D133" s="11"/>
      <c r="E133" s="9"/>
      <c r="F133" s="10"/>
    </row>
    <row r="134" customFormat="false" ht="15" hidden="false" customHeight="false" outlineLevel="0" collapsed="false">
      <c r="A134" s="15"/>
      <c r="B134" s="10"/>
      <c r="C134" s="18" t="str">
        <f aca="false">IF($B134="","",IFERROR(INDEX(대여내역!$E$3:$E$1002,MATCH($B134,대여내역!$A$3:$A$1002,0)),"대여번호없음"))</f>
        <v/>
      </c>
      <c r="D134" s="11"/>
      <c r="E134" s="9"/>
      <c r="F134" s="10"/>
    </row>
    <row r="135" customFormat="false" ht="15" hidden="false" customHeight="false" outlineLevel="0" collapsed="false">
      <c r="A135" s="15"/>
      <c r="B135" s="10"/>
      <c r="C135" s="18" t="str">
        <f aca="false">IF($B135="","",IFERROR(INDEX(대여내역!$E$3:$E$1002,MATCH($B135,대여내역!$A$3:$A$1002,0)),"대여번호없음"))</f>
        <v/>
      </c>
      <c r="D135" s="11"/>
      <c r="E135" s="9"/>
      <c r="F135" s="10"/>
    </row>
    <row r="136" customFormat="false" ht="15" hidden="false" customHeight="false" outlineLevel="0" collapsed="false">
      <c r="A136" s="15"/>
      <c r="B136" s="10"/>
      <c r="C136" s="18" t="str">
        <f aca="false">IF($B136="","",IFERROR(INDEX(대여내역!$E$3:$E$1002,MATCH($B136,대여내역!$A$3:$A$1002,0)),"대여번호없음"))</f>
        <v/>
      </c>
      <c r="D136" s="11"/>
      <c r="E136" s="9"/>
      <c r="F136" s="10"/>
    </row>
    <row r="137" customFormat="false" ht="15" hidden="false" customHeight="false" outlineLevel="0" collapsed="false">
      <c r="A137" s="15"/>
      <c r="B137" s="10"/>
      <c r="C137" s="18" t="str">
        <f aca="false">IF($B137="","",IFERROR(INDEX(대여내역!$E$3:$E$1002,MATCH($B137,대여내역!$A$3:$A$1002,0)),"대여번호없음"))</f>
        <v/>
      </c>
      <c r="D137" s="11"/>
      <c r="E137" s="9"/>
      <c r="F137" s="10"/>
    </row>
    <row r="138" customFormat="false" ht="15" hidden="false" customHeight="false" outlineLevel="0" collapsed="false">
      <c r="A138" s="15"/>
      <c r="B138" s="10"/>
      <c r="C138" s="18" t="str">
        <f aca="false">IF($B138="","",IFERROR(INDEX(대여내역!$E$3:$E$1002,MATCH($B138,대여내역!$A$3:$A$1002,0)),"대여번호없음"))</f>
        <v/>
      </c>
      <c r="D138" s="11"/>
      <c r="E138" s="9"/>
      <c r="F138" s="10"/>
    </row>
    <row r="139" customFormat="false" ht="15" hidden="false" customHeight="false" outlineLevel="0" collapsed="false">
      <c r="A139" s="15"/>
      <c r="B139" s="10"/>
      <c r="C139" s="18" t="str">
        <f aca="false">IF($B139="","",IFERROR(INDEX(대여내역!$E$3:$E$1002,MATCH($B139,대여내역!$A$3:$A$1002,0)),"대여번호없음"))</f>
        <v/>
      </c>
      <c r="D139" s="11"/>
      <c r="E139" s="9"/>
      <c r="F139" s="10"/>
    </row>
    <row r="140" customFormat="false" ht="15" hidden="false" customHeight="false" outlineLevel="0" collapsed="false">
      <c r="A140" s="15"/>
      <c r="B140" s="10"/>
      <c r="C140" s="18" t="str">
        <f aca="false">IF($B140="","",IFERROR(INDEX(대여내역!$E$3:$E$1002,MATCH($B140,대여내역!$A$3:$A$1002,0)),"대여번호없음"))</f>
        <v/>
      </c>
      <c r="D140" s="11"/>
      <c r="E140" s="9"/>
      <c r="F140" s="10"/>
    </row>
    <row r="141" customFormat="false" ht="15" hidden="false" customHeight="false" outlineLevel="0" collapsed="false">
      <c r="A141" s="15"/>
      <c r="B141" s="10"/>
      <c r="C141" s="18" t="str">
        <f aca="false">IF($B141="","",IFERROR(INDEX(대여내역!$E$3:$E$1002,MATCH($B141,대여내역!$A$3:$A$1002,0)),"대여번호없음"))</f>
        <v/>
      </c>
      <c r="D141" s="11"/>
      <c r="E141" s="9"/>
      <c r="F141" s="10"/>
    </row>
    <row r="142" customFormat="false" ht="15" hidden="false" customHeight="false" outlineLevel="0" collapsed="false">
      <c r="A142" s="15"/>
      <c r="B142" s="10"/>
      <c r="C142" s="18" t="str">
        <f aca="false">IF($B142="","",IFERROR(INDEX(대여내역!$E$3:$E$1002,MATCH($B142,대여내역!$A$3:$A$1002,0)),"대여번호없음"))</f>
        <v/>
      </c>
      <c r="D142" s="11"/>
      <c r="E142" s="9"/>
      <c r="F142" s="10"/>
    </row>
    <row r="143" customFormat="false" ht="15" hidden="false" customHeight="false" outlineLevel="0" collapsed="false">
      <c r="A143" s="15"/>
      <c r="B143" s="10"/>
      <c r="C143" s="18" t="str">
        <f aca="false">IF($B143="","",IFERROR(INDEX(대여내역!$E$3:$E$1002,MATCH($B143,대여내역!$A$3:$A$1002,0)),"대여번호없음"))</f>
        <v/>
      </c>
      <c r="D143" s="11"/>
      <c r="E143" s="9"/>
      <c r="F143" s="10"/>
    </row>
    <row r="144" customFormat="false" ht="15" hidden="false" customHeight="false" outlineLevel="0" collapsed="false">
      <c r="A144" s="15"/>
      <c r="B144" s="10"/>
      <c r="C144" s="18" t="str">
        <f aca="false">IF($B144="","",IFERROR(INDEX(대여내역!$E$3:$E$1002,MATCH($B144,대여내역!$A$3:$A$1002,0)),"대여번호없음"))</f>
        <v/>
      </c>
      <c r="D144" s="11"/>
      <c r="E144" s="9"/>
      <c r="F144" s="10"/>
    </row>
    <row r="145" customFormat="false" ht="15" hidden="false" customHeight="false" outlineLevel="0" collapsed="false">
      <c r="A145" s="15"/>
      <c r="B145" s="10"/>
      <c r="C145" s="18" t="str">
        <f aca="false">IF($B145="","",IFERROR(INDEX(대여내역!$E$3:$E$1002,MATCH($B145,대여내역!$A$3:$A$1002,0)),"대여번호없음"))</f>
        <v/>
      </c>
      <c r="D145" s="11"/>
      <c r="E145" s="9"/>
      <c r="F145" s="10"/>
    </row>
    <row r="146" customFormat="false" ht="15" hidden="false" customHeight="false" outlineLevel="0" collapsed="false">
      <c r="A146" s="15"/>
      <c r="B146" s="10"/>
      <c r="C146" s="18" t="str">
        <f aca="false">IF($B146="","",IFERROR(INDEX(대여내역!$E$3:$E$1002,MATCH($B146,대여내역!$A$3:$A$1002,0)),"대여번호없음"))</f>
        <v/>
      </c>
      <c r="D146" s="11"/>
      <c r="E146" s="9"/>
      <c r="F146" s="10"/>
    </row>
    <row r="147" customFormat="false" ht="15" hidden="false" customHeight="false" outlineLevel="0" collapsed="false">
      <c r="A147" s="15"/>
      <c r="B147" s="10"/>
      <c r="C147" s="18" t="str">
        <f aca="false">IF($B147="","",IFERROR(INDEX(대여내역!$E$3:$E$1002,MATCH($B147,대여내역!$A$3:$A$1002,0)),"대여번호없음"))</f>
        <v/>
      </c>
      <c r="D147" s="11"/>
      <c r="E147" s="9"/>
      <c r="F147" s="10"/>
    </row>
    <row r="148" customFormat="false" ht="15" hidden="false" customHeight="false" outlineLevel="0" collapsed="false">
      <c r="A148" s="15"/>
      <c r="B148" s="10"/>
      <c r="C148" s="18" t="str">
        <f aca="false">IF($B148="","",IFERROR(INDEX(대여내역!$E$3:$E$1002,MATCH($B148,대여내역!$A$3:$A$1002,0)),"대여번호없음"))</f>
        <v/>
      </c>
      <c r="D148" s="11"/>
      <c r="E148" s="9"/>
      <c r="F148" s="10"/>
    </row>
    <row r="149" customFormat="false" ht="15" hidden="false" customHeight="false" outlineLevel="0" collapsed="false">
      <c r="A149" s="15"/>
      <c r="B149" s="10"/>
      <c r="C149" s="18" t="str">
        <f aca="false">IF($B149="","",IFERROR(INDEX(대여내역!$E$3:$E$1002,MATCH($B149,대여내역!$A$3:$A$1002,0)),"대여번호없음"))</f>
        <v/>
      </c>
      <c r="D149" s="11"/>
      <c r="E149" s="9"/>
      <c r="F149" s="10"/>
    </row>
    <row r="150" customFormat="false" ht="15" hidden="false" customHeight="false" outlineLevel="0" collapsed="false">
      <c r="A150" s="15"/>
      <c r="B150" s="10"/>
      <c r="C150" s="18" t="str">
        <f aca="false">IF($B150="","",IFERROR(INDEX(대여내역!$E$3:$E$1002,MATCH($B150,대여내역!$A$3:$A$1002,0)),"대여번호없음"))</f>
        <v/>
      </c>
      <c r="D150" s="11"/>
      <c r="E150" s="9"/>
      <c r="F150" s="10"/>
    </row>
    <row r="151" customFormat="false" ht="15" hidden="false" customHeight="false" outlineLevel="0" collapsed="false">
      <c r="A151" s="15"/>
      <c r="B151" s="10"/>
      <c r="C151" s="18" t="str">
        <f aca="false">IF($B151="","",IFERROR(INDEX(대여내역!$E$3:$E$1002,MATCH($B151,대여내역!$A$3:$A$1002,0)),"대여번호없음"))</f>
        <v/>
      </c>
      <c r="D151" s="11"/>
      <c r="E151" s="9"/>
      <c r="F151" s="10"/>
    </row>
    <row r="152" customFormat="false" ht="15" hidden="false" customHeight="false" outlineLevel="0" collapsed="false">
      <c r="A152" s="15"/>
      <c r="B152" s="10"/>
      <c r="C152" s="18" t="str">
        <f aca="false">IF($B152="","",IFERROR(INDEX(대여내역!$E$3:$E$1002,MATCH($B152,대여내역!$A$3:$A$1002,0)),"대여번호없음"))</f>
        <v/>
      </c>
      <c r="D152" s="11"/>
      <c r="E152" s="9"/>
      <c r="F152" s="10"/>
    </row>
    <row r="153" customFormat="false" ht="15" hidden="false" customHeight="false" outlineLevel="0" collapsed="false">
      <c r="A153" s="15"/>
      <c r="B153" s="10"/>
      <c r="C153" s="18" t="str">
        <f aca="false">IF($B153="","",IFERROR(INDEX(대여내역!$E$3:$E$1002,MATCH($B153,대여내역!$A$3:$A$1002,0)),"대여번호없음"))</f>
        <v/>
      </c>
      <c r="D153" s="11"/>
      <c r="E153" s="9"/>
      <c r="F153" s="10"/>
    </row>
    <row r="154" customFormat="false" ht="15" hidden="false" customHeight="false" outlineLevel="0" collapsed="false">
      <c r="A154" s="15"/>
      <c r="B154" s="10"/>
      <c r="C154" s="18" t="str">
        <f aca="false">IF($B154="","",IFERROR(INDEX(대여내역!$E$3:$E$1002,MATCH($B154,대여내역!$A$3:$A$1002,0)),"대여번호없음"))</f>
        <v/>
      </c>
      <c r="D154" s="11"/>
      <c r="E154" s="9"/>
      <c r="F154" s="10"/>
    </row>
    <row r="155" customFormat="false" ht="15" hidden="false" customHeight="false" outlineLevel="0" collapsed="false">
      <c r="A155" s="15"/>
      <c r="B155" s="10"/>
      <c r="C155" s="18" t="str">
        <f aca="false">IF($B155="","",IFERROR(INDEX(대여내역!$E$3:$E$1002,MATCH($B155,대여내역!$A$3:$A$1002,0)),"대여번호없음"))</f>
        <v/>
      </c>
      <c r="D155" s="11"/>
      <c r="E155" s="9"/>
      <c r="F155" s="10"/>
    </row>
    <row r="156" customFormat="false" ht="15" hidden="false" customHeight="false" outlineLevel="0" collapsed="false">
      <c r="A156" s="15"/>
      <c r="B156" s="10"/>
      <c r="C156" s="18" t="str">
        <f aca="false">IF($B156="","",IFERROR(INDEX(대여내역!$E$3:$E$1002,MATCH($B156,대여내역!$A$3:$A$1002,0)),"대여번호없음"))</f>
        <v/>
      </c>
      <c r="D156" s="11"/>
      <c r="E156" s="9"/>
      <c r="F156" s="10"/>
    </row>
    <row r="157" customFormat="false" ht="15" hidden="false" customHeight="false" outlineLevel="0" collapsed="false">
      <c r="A157" s="15"/>
      <c r="B157" s="10"/>
      <c r="C157" s="18" t="str">
        <f aca="false">IF($B157="","",IFERROR(INDEX(대여내역!$E$3:$E$1002,MATCH($B157,대여내역!$A$3:$A$1002,0)),"대여번호없음"))</f>
        <v/>
      </c>
      <c r="D157" s="11"/>
      <c r="E157" s="9"/>
      <c r="F157" s="10"/>
    </row>
    <row r="158" customFormat="false" ht="15" hidden="false" customHeight="false" outlineLevel="0" collapsed="false">
      <c r="A158" s="15"/>
      <c r="B158" s="10"/>
      <c r="C158" s="18" t="str">
        <f aca="false">IF($B158="","",IFERROR(INDEX(대여내역!$E$3:$E$1002,MATCH($B158,대여내역!$A$3:$A$1002,0)),"대여번호없음"))</f>
        <v/>
      </c>
      <c r="D158" s="11"/>
      <c r="E158" s="9"/>
      <c r="F158" s="10"/>
    </row>
    <row r="159" customFormat="false" ht="15" hidden="false" customHeight="false" outlineLevel="0" collapsed="false">
      <c r="A159" s="15"/>
      <c r="B159" s="10"/>
      <c r="C159" s="18" t="str">
        <f aca="false">IF($B159="","",IFERROR(INDEX(대여내역!$E$3:$E$1002,MATCH($B159,대여내역!$A$3:$A$1002,0)),"대여번호없음"))</f>
        <v/>
      </c>
      <c r="D159" s="11"/>
      <c r="E159" s="9"/>
      <c r="F159" s="10"/>
    </row>
    <row r="160" customFormat="false" ht="15" hidden="false" customHeight="false" outlineLevel="0" collapsed="false">
      <c r="A160" s="15"/>
      <c r="B160" s="10"/>
      <c r="C160" s="18" t="str">
        <f aca="false">IF($B160="","",IFERROR(INDEX(대여내역!$E$3:$E$1002,MATCH($B160,대여내역!$A$3:$A$1002,0)),"대여번호없음"))</f>
        <v/>
      </c>
      <c r="D160" s="11"/>
      <c r="E160" s="9"/>
      <c r="F160" s="10"/>
    </row>
    <row r="161" customFormat="false" ht="15" hidden="false" customHeight="false" outlineLevel="0" collapsed="false">
      <c r="A161" s="15"/>
      <c r="B161" s="10"/>
      <c r="C161" s="18" t="str">
        <f aca="false">IF($B161="","",IFERROR(INDEX(대여내역!$E$3:$E$1002,MATCH($B161,대여내역!$A$3:$A$1002,0)),"대여번호없음"))</f>
        <v/>
      </c>
      <c r="D161" s="11"/>
      <c r="E161" s="9"/>
      <c r="F161" s="10"/>
    </row>
    <row r="162" customFormat="false" ht="15" hidden="false" customHeight="false" outlineLevel="0" collapsed="false">
      <c r="A162" s="15"/>
      <c r="B162" s="10"/>
      <c r="C162" s="18" t="str">
        <f aca="false">IF($B162="","",IFERROR(INDEX(대여내역!$E$3:$E$1002,MATCH($B162,대여내역!$A$3:$A$1002,0)),"대여번호없음"))</f>
        <v/>
      </c>
      <c r="D162" s="11"/>
      <c r="E162" s="9"/>
      <c r="F162" s="10"/>
    </row>
    <row r="163" customFormat="false" ht="15" hidden="false" customHeight="false" outlineLevel="0" collapsed="false">
      <c r="A163" s="15"/>
      <c r="B163" s="10"/>
      <c r="C163" s="18" t="str">
        <f aca="false">IF($B163="","",IFERROR(INDEX(대여내역!$E$3:$E$1002,MATCH($B163,대여내역!$A$3:$A$1002,0)),"대여번호없음"))</f>
        <v/>
      </c>
      <c r="D163" s="11"/>
      <c r="E163" s="9"/>
      <c r="F163" s="10"/>
    </row>
    <row r="164" customFormat="false" ht="15" hidden="false" customHeight="false" outlineLevel="0" collapsed="false">
      <c r="A164" s="15"/>
      <c r="B164" s="10"/>
      <c r="C164" s="18" t="str">
        <f aca="false">IF($B164="","",IFERROR(INDEX(대여내역!$E$3:$E$1002,MATCH($B164,대여내역!$A$3:$A$1002,0)),"대여번호없음"))</f>
        <v/>
      </c>
      <c r="D164" s="11"/>
      <c r="E164" s="9"/>
      <c r="F164" s="10"/>
    </row>
    <row r="165" customFormat="false" ht="15" hidden="false" customHeight="false" outlineLevel="0" collapsed="false">
      <c r="A165" s="15"/>
      <c r="B165" s="10"/>
      <c r="C165" s="18" t="str">
        <f aca="false">IF($B165="","",IFERROR(INDEX(대여내역!$E$3:$E$1002,MATCH($B165,대여내역!$A$3:$A$1002,0)),"대여번호없음"))</f>
        <v/>
      </c>
      <c r="D165" s="11"/>
      <c r="E165" s="9"/>
      <c r="F165" s="10"/>
    </row>
    <row r="166" customFormat="false" ht="15" hidden="false" customHeight="false" outlineLevel="0" collapsed="false">
      <c r="A166" s="15"/>
      <c r="B166" s="10"/>
      <c r="C166" s="18" t="str">
        <f aca="false">IF($B166="","",IFERROR(INDEX(대여내역!$E$3:$E$1002,MATCH($B166,대여내역!$A$3:$A$1002,0)),"대여번호없음"))</f>
        <v/>
      </c>
      <c r="D166" s="11"/>
      <c r="E166" s="9"/>
      <c r="F166" s="10"/>
    </row>
    <row r="167" customFormat="false" ht="15" hidden="false" customHeight="false" outlineLevel="0" collapsed="false">
      <c r="A167" s="15"/>
      <c r="B167" s="10"/>
      <c r="C167" s="18" t="str">
        <f aca="false">IF($B167="","",IFERROR(INDEX(대여내역!$E$3:$E$1002,MATCH($B167,대여내역!$A$3:$A$1002,0)),"대여번호없음"))</f>
        <v/>
      </c>
      <c r="D167" s="11"/>
      <c r="E167" s="9"/>
      <c r="F167" s="10"/>
    </row>
    <row r="168" customFormat="false" ht="15" hidden="false" customHeight="false" outlineLevel="0" collapsed="false">
      <c r="A168" s="15"/>
      <c r="B168" s="10"/>
      <c r="C168" s="18" t="str">
        <f aca="false">IF($B168="","",IFERROR(INDEX(대여내역!$E$3:$E$1002,MATCH($B168,대여내역!$A$3:$A$1002,0)),"대여번호없음"))</f>
        <v/>
      </c>
      <c r="D168" s="11"/>
      <c r="E168" s="9"/>
      <c r="F168" s="10"/>
    </row>
    <row r="169" customFormat="false" ht="15" hidden="false" customHeight="false" outlineLevel="0" collapsed="false">
      <c r="A169" s="15"/>
      <c r="B169" s="10"/>
      <c r="C169" s="18" t="str">
        <f aca="false">IF($B169="","",IFERROR(INDEX(대여내역!$E$3:$E$1002,MATCH($B169,대여내역!$A$3:$A$1002,0)),"대여번호없음"))</f>
        <v/>
      </c>
      <c r="D169" s="11"/>
      <c r="E169" s="9"/>
      <c r="F169" s="10"/>
    </row>
    <row r="170" customFormat="false" ht="15" hidden="false" customHeight="false" outlineLevel="0" collapsed="false">
      <c r="A170" s="15"/>
      <c r="B170" s="10"/>
      <c r="C170" s="18" t="str">
        <f aca="false">IF($B170="","",IFERROR(INDEX(대여내역!$E$3:$E$1002,MATCH($B170,대여내역!$A$3:$A$1002,0)),"대여번호없음"))</f>
        <v/>
      </c>
      <c r="D170" s="11"/>
      <c r="E170" s="9"/>
      <c r="F170" s="10"/>
    </row>
    <row r="171" customFormat="false" ht="15" hidden="false" customHeight="false" outlineLevel="0" collapsed="false">
      <c r="A171" s="15"/>
      <c r="B171" s="10"/>
      <c r="C171" s="18" t="str">
        <f aca="false">IF($B171="","",IFERROR(INDEX(대여내역!$E$3:$E$1002,MATCH($B171,대여내역!$A$3:$A$1002,0)),"대여번호없음"))</f>
        <v/>
      </c>
      <c r="D171" s="11"/>
      <c r="E171" s="9"/>
      <c r="F171" s="10"/>
    </row>
    <row r="172" customFormat="false" ht="15" hidden="false" customHeight="false" outlineLevel="0" collapsed="false">
      <c r="A172" s="15"/>
      <c r="B172" s="10"/>
      <c r="C172" s="18" t="str">
        <f aca="false">IF($B172="","",IFERROR(INDEX(대여내역!$E$3:$E$1002,MATCH($B172,대여내역!$A$3:$A$1002,0)),"대여번호없음"))</f>
        <v/>
      </c>
      <c r="D172" s="11"/>
      <c r="E172" s="9"/>
      <c r="F172" s="10"/>
    </row>
    <row r="173" customFormat="false" ht="15" hidden="false" customHeight="false" outlineLevel="0" collapsed="false">
      <c r="A173" s="15"/>
      <c r="B173" s="10"/>
      <c r="C173" s="18" t="str">
        <f aca="false">IF($B173="","",IFERROR(INDEX(대여내역!$E$3:$E$1002,MATCH($B173,대여내역!$A$3:$A$1002,0)),"대여번호없음"))</f>
        <v/>
      </c>
      <c r="D173" s="11"/>
      <c r="E173" s="9"/>
      <c r="F173" s="10"/>
    </row>
    <row r="174" customFormat="false" ht="15" hidden="false" customHeight="false" outlineLevel="0" collapsed="false">
      <c r="A174" s="15"/>
      <c r="B174" s="10"/>
      <c r="C174" s="18" t="str">
        <f aca="false">IF($B174="","",IFERROR(INDEX(대여내역!$E$3:$E$1002,MATCH($B174,대여내역!$A$3:$A$1002,0)),"대여번호없음"))</f>
        <v/>
      </c>
      <c r="D174" s="11"/>
      <c r="E174" s="9"/>
      <c r="F174" s="10"/>
    </row>
    <row r="175" customFormat="false" ht="15" hidden="false" customHeight="false" outlineLevel="0" collapsed="false">
      <c r="A175" s="15"/>
      <c r="B175" s="10"/>
      <c r="C175" s="18" t="str">
        <f aca="false">IF($B175="","",IFERROR(INDEX(대여내역!$E$3:$E$1002,MATCH($B175,대여내역!$A$3:$A$1002,0)),"대여번호없음"))</f>
        <v/>
      </c>
      <c r="D175" s="11"/>
      <c r="E175" s="9"/>
      <c r="F175" s="10"/>
    </row>
    <row r="176" customFormat="false" ht="15" hidden="false" customHeight="false" outlineLevel="0" collapsed="false">
      <c r="A176" s="15"/>
      <c r="B176" s="10"/>
      <c r="C176" s="18" t="str">
        <f aca="false">IF($B176="","",IFERROR(INDEX(대여내역!$E$3:$E$1002,MATCH($B176,대여내역!$A$3:$A$1002,0)),"대여번호없음"))</f>
        <v/>
      </c>
      <c r="D176" s="11"/>
      <c r="E176" s="9"/>
      <c r="F176" s="10"/>
    </row>
    <row r="177" customFormat="false" ht="15" hidden="false" customHeight="false" outlineLevel="0" collapsed="false">
      <c r="A177" s="15"/>
      <c r="B177" s="10"/>
      <c r="C177" s="18" t="str">
        <f aca="false">IF($B177="","",IFERROR(INDEX(대여내역!$E$3:$E$1002,MATCH($B177,대여내역!$A$3:$A$1002,0)),"대여번호없음"))</f>
        <v/>
      </c>
      <c r="D177" s="11"/>
      <c r="E177" s="9"/>
      <c r="F177" s="10"/>
    </row>
    <row r="178" customFormat="false" ht="15" hidden="false" customHeight="false" outlineLevel="0" collapsed="false">
      <c r="A178" s="15"/>
      <c r="B178" s="10"/>
      <c r="C178" s="18" t="str">
        <f aca="false">IF($B178="","",IFERROR(INDEX(대여내역!$E$3:$E$1002,MATCH($B178,대여내역!$A$3:$A$1002,0)),"대여번호없음"))</f>
        <v/>
      </c>
      <c r="D178" s="11"/>
      <c r="E178" s="9"/>
      <c r="F178" s="10"/>
    </row>
    <row r="179" customFormat="false" ht="15" hidden="false" customHeight="false" outlineLevel="0" collapsed="false">
      <c r="A179" s="15"/>
      <c r="B179" s="10"/>
      <c r="C179" s="18" t="str">
        <f aca="false">IF($B179="","",IFERROR(INDEX(대여내역!$E$3:$E$1002,MATCH($B179,대여내역!$A$3:$A$1002,0)),"대여번호없음"))</f>
        <v/>
      </c>
      <c r="D179" s="11"/>
      <c r="E179" s="9"/>
      <c r="F179" s="10"/>
    </row>
    <row r="180" customFormat="false" ht="15" hidden="false" customHeight="false" outlineLevel="0" collapsed="false">
      <c r="A180" s="15"/>
      <c r="B180" s="10"/>
      <c r="C180" s="18" t="str">
        <f aca="false">IF($B180="","",IFERROR(INDEX(대여내역!$E$3:$E$1002,MATCH($B180,대여내역!$A$3:$A$1002,0)),"대여번호없음"))</f>
        <v/>
      </c>
      <c r="D180" s="11"/>
      <c r="E180" s="9"/>
      <c r="F180" s="10"/>
    </row>
    <row r="181" customFormat="false" ht="15" hidden="false" customHeight="false" outlineLevel="0" collapsed="false">
      <c r="A181" s="15"/>
      <c r="B181" s="10"/>
      <c r="C181" s="18" t="str">
        <f aca="false">IF($B181="","",IFERROR(INDEX(대여내역!$E$3:$E$1002,MATCH($B181,대여내역!$A$3:$A$1002,0)),"대여번호없음"))</f>
        <v/>
      </c>
      <c r="D181" s="11"/>
      <c r="E181" s="9"/>
      <c r="F181" s="10"/>
    </row>
    <row r="182" customFormat="false" ht="15" hidden="false" customHeight="false" outlineLevel="0" collapsed="false">
      <c r="A182" s="15"/>
      <c r="B182" s="10"/>
      <c r="C182" s="18" t="str">
        <f aca="false">IF($B182="","",IFERROR(INDEX(대여내역!$E$3:$E$1002,MATCH($B182,대여내역!$A$3:$A$1002,0)),"대여번호없음"))</f>
        <v/>
      </c>
      <c r="D182" s="11"/>
      <c r="E182" s="9"/>
      <c r="F182" s="10"/>
    </row>
    <row r="183" customFormat="false" ht="15" hidden="false" customHeight="false" outlineLevel="0" collapsed="false">
      <c r="A183" s="15"/>
      <c r="B183" s="10"/>
      <c r="C183" s="18" t="str">
        <f aca="false">IF($B183="","",IFERROR(INDEX(대여내역!$E$3:$E$1002,MATCH($B183,대여내역!$A$3:$A$1002,0)),"대여번호없음"))</f>
        <v/>
      </c>
      <c r="D183" s="11"/>
      <c r="E183" s="9"/>
      <c r="F183" s="10"/>
    </row>
    <row r="184" customFormat="false" ht="15" hidden="false" customHeight="false" outlineLevel="0" collapsed="false">
      <c r="A184" s="15"/>
      <c r="B184" s="10"/>
      <c r="C184" s="18" t="str">
        <f aca="false">IF($B184="","",IFERROR(INDEX(대여내역!$E$3:$E$1002,MATCH($B184,대여내역!$A$3:$A$1002,0)),"대여번호없음"))</f>
        <v/>
      </c>
      <c r="D184" s="11"/>
      <c r="E184" s="9"/>
      <c r="F184" s="10"/>
    </row>
    <row r="185" customFormat="false" ht="15" hidden="false" customHeight="false" outlineLevel="0" collapsed="false">
      <c r="A185" s="15"/>
      <c r="B185" s="10"/>
      <c r="C185" s="18" t="str">
        <f aca="false">IF($B185="","",IFERROR(INDEX(대여내역!$E$3:$E$1002,MATCH($B185,대여내역!$A$3:$A$1002,0)),"대여번호없음"))</f>
        <v/>
      </c>
      <c r="D185" s="11"/>
      <c r="E185" s="9"/>
      <c r="F185" s="10"/>
    </row>
    <row r="186" customFormat="false" ht="15" hidden="false" customHeight="false" outlineLevel="0" collapsed="false">
      <c r="A186" s="15"/>
      <c r="B186" s="10"/>
      <c r="C186" s="18" t="str">
        <f aca="false">IF($B186="","",IFERROR(INDEX(대여내역!$E$3:$E$1002,MATCH($B186,대여내역!$A$3:$A$1002,0)),"대여번호없음"))</f>
        <v/>
      </c>
      <c r="D186" s="11"/>
      <c r="E186" s="9"/>
      <c r="F186" s="10"/>
    </row>
    <row r="187" customFormat="false" ht="15" hidden="false" customHeight="false" outlineLevel="0" collapsed="false">
      <c r="A187" s="15"/>
      <c r="B187" s="10"/>
      <c r="C187" s="18" t="str">
        <f aca="false">IF($B187="","",IFERROR(INDEX(대여내역!$E$3:$E$1002,MATCH($B187,대여내역!$A$3:$A$1002,0)),"대여번호없음"))</f>
        <v/>
      </c>
      <c r="D187" s="11"/>
      <c r="E187" s="9"/>
      <c r="F187" s="10"/>
    </row>
    <row r="188" customFormat="false" ht="15" hidden="false" customHeight="false" outlineLevel="0" collapsed="false">
      <c r="A188" s="15"/>
      <c r="B188" s="10"/>
      <c r="C188" s="18" t="str">
        <f aca="false">IF($B188="","",IFERROR(INDEX(대여내역!$E$3:$E$1002,MATCH($B188,대여내역!$A$3:$A$1002,0)),"대여번호없음"))</f>
        <v/>
      </c>
      <c r="D188" s="11"/>
      <c r="E188" s="9"/>
      <c r="F188" s="10"/>
    </row>
    <row r="189" customFormat="false" ht="15" hidden="false" customHeight="false" outlineLevel="0" collapsed="false">
      <c r="A189" s="15"/>
      <c r="B189" s="10"/>
      <c r="C189" s="18" t="str">
        <f aca="false">IF($B189="","",IFERROR(INDEX(대여내역!$E$3:$E$1002,MATCH($B189,대여내역!$A$3:$A$1002,0)),"대여번호없음"))</f>
        <v/>
      </c>
      <c r="D189" s="11"/>
      <c r="E189" s="9"/>
      <c r="F189" s="10"/>
    </row>
    <row r="190" customFormat="false" ht="15" hidden="false" customHeight="false" outlineLevel="0" collapsed="false">
      <c r="A190" s="15"/>
      <c r="B190" s="10"/>
      <c r="C190" s="18" t="str">
        <f aca="false">IF($B190="","",IFERROR(INDEX(대여내역!$E$3:$E$1002,MATCH($B190,대여내역!$A$3:$A$1002,0)),"대여번호없음"))</f>
        <v/>
      </c>
      <c r="D190" s="11"/>
      <c r="E190" s="9"/>
      <c r="F190" s="10"/>
    </row>
    <row r="191" customFormat="false" ht="15" hidden="false" customHeight="false" outlineLevel="0" collapsed="false">
      <c r="A191" s="15"/>
      <c r="B191" s="10"/>
      <c r="C191" s="18" t="str">
        <f aca="false">IF($B191="","",IFERROR(INDEX(대여내역!$E$3:$E$1002,MATCH($B191,대여내역!$A$3:$A$1002,0)),"대여번호없음"))</f>
        <v/>
      </c>
      <c r="D191" s="11"/>
      <c r="E191" s="9"/>
      <c r="F191" s="10"/>
    </row>
    <row r="192" customFormat="false" ht="15" hidden="false" customHeight="false" outlineLevel="0" collapsed="false">
      <c r="A192" s="15"/>
      <c r="B192" s="10"/>
      <c r="C192" s="18" t="str">
        <f aca="false">IF($B192="","",IFERROR(INDEX(대여내역!$E$3:$E$1002,MATCH($B192,대여내역!$A$3:$A$1002,0)),"대여번호없음"))</f>
        <v/>
      </c>
      <c r="D192" s="11"/>
      <c r="E192" s="9"/>
      <c r="F192" s="10"/>
    </row>
    <row r="193" customFormat="false" ht="15" hidden="false" customHeight="false" outlineLevel="0" collapsed="false">
      <c r="A193" s="15"/>
      <c r="B193" s="10"/>
      <c r="C193" s="18" t="str">
        <f aca="false">IF($B193="","",IFERROR(INDEX(대여내역!$E$3:$E$1002,MATCH($B193,대여내역!$A$3:$A$1002,0)),"대여번호없음"))</f>
        <v/>
      </c>
      <c r="D193" s="11"/>
      <c r="E193" s="9"/>
      <c r="F193" s="10"/>
    </row>
    <row r="194" customFormat="false" ht="15" hidden="false" customHeight="false" outlineLevel="0" collapsed="false">
      <c r="A194" s="15"/>
      <c r="B194" s="10"/>
      <c r="C194" s="18" t="str">
        <f aca="false">IF($B194="","",IFERROR(INDEX(대여내역!$E$3:$E$1002,MATCH($B194,대여내역!$A$3:$A$1002,0)),"대여번호없음"))</f>
        <v/>
      </c>
      <c r="D194" s="11"/>
      <c r="E194" s="9"/>
      <c r="F194" s="10"/>
    </row>
    <row r="195" customFormat="false" ht="15" hidden="false" customHeight="false" outlineLevel="0" collapsed="false">
      <c r="A195" s="15"/>
      <c r="B195" s="10"/>
      <c r="C195" s="18" t="str">
        <f aca="false">IF($B195="","",IFERROR(INDEX(대여내역!$E$3:$E$1002,MATCH($B195,대여내역!$A$3:$A$1002,0)),"대여번호없음"))</f>
        <v/>
      </c>
      <c r="D195" s="11"/>
      <c r="E195" s="9"/>
      <c r="F195" s="10"/>
    </row>
    <row r="196" customFormat="false" ht="15" hidden="false" customHeight="false" outlineLevel="0" collapsed="false">
      <c r="A196" s="15"/>
      <c r="B196" s="10"/>
      <c r="C196" s="18" t="str">
        <f aca="false">IF($B196="","",IFERROR(INDEX(대여내역!$E$3:$E$1002,MATCH($B196,대여내역!$A$3:$A$1002,0)),"대여번호없음"))</f>
        <v/>
      </c>
      <c r="D196" s="11"/>
      <c r="E196" s="9"/>
      <c r="F196" s="10"/>
    </row>
    <row r="197" customFormat="false" ht="15" hidden="false" customHeight="false" outlineLevel="0" collapsed="false">
      <c r="A197" s="15"/>
      <c r="B197" s="10"/>
      <c r="C197" s="18" t="str">
        <f aca="false">IF($B197="","",IFERROR(INDEX(대여내역!$E$3:$E$1002,MATCH($B197,대여내역!$A$3:$A$1002,0)),"대여번호없음"))</f>
        <v/>
      </c>
      <c r="D197" s="11"/>
      <c r="E197" s="9"/>
      <c r="F197" s="10"/>
    </row>
    <row r="198" customFormat="false" ht="15" hidden="false" customHeight="false" outlineLevel="0" collapsed="false">
      <c r="A198" s="15"/>
      <c r="B198" s="10"/>
      <c r="C198" s="18" t="str">
        <f aca="false">IF($B198="","",IFERROR(INDEX(대여내역!$E$3:$E$1002,MATCH($B198,대여내역!$A$3:$A$1002,0)),"대여번호없음"))</f>
        <v/>
      </c>
      <c r="D198" s="11"/>
      <c r="E198" s="9"/>
      <c r="F198" s="10"/>
    </row>
    <row r="199" customFormat="false" ht="15" hidden="false" customHeight="false" outlineLevel="0" collapsed="false">
      <c r="A199" s="15"/>
      <c r="B199" s="10"/>
      <c r="C199" s="18" t="str">
        <f aca="false">IF($B199="","",IFERROR(INDEX(대여내역!$E$3:$E$1002,MATCH($B199,대여내역!$A$3:$A$1002,0)),"대여번호없음"))</f>
        <v/>
      </c>
      <c r="D199" s="11"/>
      <c r="E199" s="9"/>
      <c r="F199" s="10"/>
    </row>
    <row r="200" customFormat="false" ht="15" hidden="false" customHeight="false" outlineLevel="0" collapsed="false">
      <c r="A200" s="15"/>
      <c r="B200" s="10"/>
      <c r="C200" s="18" t="str">
        <f aca="false">IF($B200="","",IFERROR(INDEX(대여내역!$E$3:$E$1002,MATCH($B200,대여내역!$A$3:$A$1002,0)),"대여번호없음"))</f>
        <v/>
      </c>
      <c r="D200" s="11"/>
      <c r="E200" s="9"/>
      <c r="F200" s="10"/>
    </row>
    <row r="201" customFormat="false" ht="15" hidden="false" customHeight="false" outlineLevel="0" collapsed="false">
      <c r="A201" s="15"/>
      <c r="B201" s="10"/>
      <c r="C201" s="18" t="str">
        <f aca="false">IF($B201="","",IFERROR(INDEX(대여내역!$E$3:$E$1002,MATCH($B201,대여내역!$A$3:$A$1002,0)),"대여번호없음"))</f>
        <v/>
      </c>
      <c r="D201" s="11"/>
      <c r="E201" s="9"/>
      <c r="F201" s="10"/>
    </row>
    <row r="202" customFormat="false" ht="15" hidden="false" customHeight="false" outlineLevel="0" collapsed="false">
      <c r="A202" s="15"/>
      <c r="B202" s="10"/>
      <c r="C202" s="18" t="str">
        <f aca="false">IF($B202="","",IFERROR(INDEX(대여내역!$E$3:$E$1002,MATCH($B202,대여내역!$A$3:$A$1002,0)),"대여번호없음"))</f>
        <v/>
      </c>
      <c r="D202" s="11"/>
      <c r="E202" s="9"/>
      <c r="F202" s="10"/>
    </row>
    <row r="203" customFormat="false" ht="15" hidden="false" customHeight="false" outlineLevel="0" collapsed="false">
      <c r="A203" s="15"/>
      <c r="B203" s="10"/>
      <c r="C203" s="18" t="str">
        <f aca="false">IF($B203="","",IFERROR(INDEX(대여내역!$E$3:$E$1002,MATCH($B203,대여내역!$A$3:$A$1002,0)),"대여번호없음"))</f>
        <v/>
      </c>
      <c r="D203" s="11"/>
      <c r="E203" s="9"/>
      <c r="F203" s="10"/>
    </row>
    <row r="204" customFormat="false" ht="15" hidden="false" customHeight="false" outlineLevel="0" collapsed="false">
      <c r="A204" s="15"/>
      <c r="B204" s="10"/>
      <c r="C204" s="18" t="str">
        <f aca="false">IF($B204="","",IFERROR(INDEX(대여내역!$E$3:$E$1002,MATCH($B204,대여내역!$A$3:$A$1002,0)),"대여번호없음"))</f>
        <v/>
      </c>
      <c r="D204" s="11"/>
      <c r="E204" s="9"/>
      <c r="F204" s="10"/>
    </row>
    <row r="205" customFormat="false" ht="15" hidden="false" customHeight="false" outlineLevel="0" collapsed="false">
      <c r="A205" s="15"/>
      <c r="B205" s="10"/>
      <c r="C205" s="18" t="str">
        <f aca="false">IF($B205="","",IFERROR(INDEX(대여내역!$E$3:$E$1002,MATCH($B205,대여내역!$A$3:$A$1002,0)),"대여번호없음"))</f>
        <v/>
      </c>
      <c r="D205" s="11"/>
      <c r="E205" s="9"/>
      <c r="F205" s="10"/>
    </row>
    <row r="206" customFormat="false" ht="15" hidden="false" customHeight="false" outlineLevel="0" collapsed="false">
      <c r="A206" s="15"/>
      <c r="B206" s="10"/>
      <c r="C206" s="18" t="str">
        <f aca="false">IF($B206="","",IFERROR(INDEX(대여내역!$E$3:$E$1002,MATCH($B206,대여내역!$A$3:$A$1002,0)),"대여번호없음"))</f>
        <v/>
      </c>
      <c r="D206" s="11"/>
      <c r="E206" s="9"/>
      <c r="F206" s="10"/>
    </row>
    <row r="207" customFormat="false" ht="15" hidden="false" customHeight="false" outlineLevel="0" collapsed="false">
      <c r="A207" s="15"/>
      <c r="B207" s="10"/>
      <c r="C207" s="18" t="str">
        <f aca="false">IF($B207="","",IFERROR(INDEX(대여내역!$E$3:$E$1002,MATCH($B207,대여내역!$A$3:$A$1002,0)),"대여번호없음"))</f>
        <v/>
      </c>
      <c r="D207" s="11"/>
      <c r="E207" s="9"/>
      <c r="F207" s="10"/>
    </row>
    <row r="208" customFormat="false" ht="15" hidden="false" customHeight="false" outlineLevel="0" collapsed="false">
      <c r="A208" s="15"/>
      <c r="B208" s="10"/>
      <c r="C208" s="18" t="str">
        <f aca="false">IF($B208="","",IFERROR(INDEX(대여내역!$E$3:$E$1002,MATCH($B208,대여내역!$A$3:$A$1002,0)),"대여번호없음"))</f>
        <v/>
      </c>
      <c r="D208" s="11"/>
      <c r="E208" s="9"/>
      <c r="F208" s="10"/>
    </row>
    <row r="209" customFormat="false" ht="15" hidden="false" customHeight="false" outlineLevel="0" collapsed="false">
      <c r="A209" s="15"/>
      <c r="B209" s="10"/>
      <c r="C209" s="18" t="str">
        <f aca="false">IF($B209="","",IFERROR(INDEX(대여내역!$E$3:$E$1002,MATCH($B209,대여내역!$A$3:$A$1002,0)),"대여번호없음"))</f>
        <v/>
      </c>
      <c r="D209" s="11"/>
      <c r="E209" s="9"/>
      <c r="F209" s="10"/>
    </row>
    <row r="210" customFormat="false" ht="15" hidden="false" customHeight="false" outlineLevel="0" collapsed="false">
      <c r="A210" s="15"/>
      <c r="B210" s="10"/>
      <c r="C210" s="18" t="str">
        <f aca="false">IF($B210="","",IFERROR(INDEX(대여내역!$E$3:$E$1002,MATCH($B210,대여내역!$A$3:$A$1002,0)),"대여번호없음"))</f>
        <v/>
      </c>
      <c r="D210" s="11"/>
      <c r="E210" s="9"/>
      <c r="F210" s="10"/>
    </row>
    <row r="211" customFormat="false" ht="15" hidden="false" customHeight="false" outlineLevel="0" collapsed="false">
      <c r="A211" s="15"/>
      <c r="B211" s="10"/>
      <c r="C211" s="18" t="str">
        <f aca="false">IF($B211="","",IFERROR(INDEX(대여내역!$E$3:$E$1002,MATCH($B211,대여내역!$A$3:$A$1002,0)),"대여번호없음"))</f>
        <v/>
      </c>
      <c r="D211" s="11"/>
      <c r="E211" s="9"/>
      <c r="F211" s="10"/>
    </row>
    <row r="212" customFormat="false" ht="15" hidden="false" customHeight="false" outlineLevel="0" collapsed="false">
      <c r="A212" s="15"/>
      <c r="B212" s="10"/>
      <c r="C212" s="18" t="str">
        <f aca="false">IF($B212="","",IFERROR(INDEX(대여내역!$E$3:$E$1002,MATCH($B212,대여내역!$A$3:$A$1002,0)),"대여번호없음"))</f>
        <v/>
      </c>
      <c r="D212" s="11"/>
      <c r="E212" s="9"/>
      <c r="F212" s="10"/>
    </row>
    <row r="213" customFormat="false" ht="15" hidden="false" customHeight="false" outlineLevel="0" collapsed="false">
      <c r="A213" s="15"/>
      <c r="B213" s="10"/>
      <c r="C213" s="18" t="str">
        <f aca="false">IF($B213="","",IFERROR(INDEX(대여내역!$E$3:$E$1002,MATCH($B213,대여내역!$A$3:$A$1002,0)),"대여번호없음"))</f>
        <v/>
      </c>
      <c r="D213" s="11"/>
      <c r="E213" s="9"/>
      <c r="F213" s="10"/>
    </row>
    <row r="214" customFormat="false" ht="15" hidden="false" customHeight="false" outlineLevel="0" collapsed="false">
      <c r="A214" s="15"/>
      <c r="B214" s="10"/>
      <c r="C214" s="18" t="str">
        <f aca="false">IF($B214="","",IFERROR(INDEX(대여내역!$E$3:$E$1002,MATCH($B214,대여내역!$A$3:$A$1002,0)),"대여번호없음"))</f>
        <v/>
      </c>
      <c r="D214" s="11"/>
      <c r="E214" s="9"/>
      <c r="F214" s="10"/>
    </row>
    <row r="215" customFormat="false" ht="15" hidden="false" customHeight="false" outlineLevel="0" collapsed="false">
      <c r="A215" s="15"/>
      <c r="B215" s="10"/>
      <c r="C215" s="18" t="str">
        <f aca="false">IF($B215="","",IFERROR(INDEX(대여내역!$E$3:$E$1002,MATCH($B215,대여내역!$A$3:$A$1002,0)),"대여번호없음"))</f>
        <v/>
      </c>
      <c r="D215" s="11"/>
      <c r="E215" s="9"/>
      <c r="F215" s="10"/>
    </row>
    <row r="216" customFormat="false" ht="15" hidden="false" customHeight="false" outlineLevel="0" collapsed="false">
      <c r="A216" s="15"/>
      <c r="B216" s="10"/>
      <c r="C216" s="18" t="str">
        <f aca="false">IF($B216="","",IFERROR(INDEX(대여내역!$E$3:$E$1002,MATCH($B216,대여내역!$A$3:$A$1002,0)),"대여번호없음"))</f>
        <v/>
      </c>
      <c r="D216" s="11"/>
      <c r="E216" s="9"/>
      <c r="F216" s="10"/>
    </row>
    <row r="217" customFormat="false" ht="15" hidden="false" customHeight="false" outlineLevel="0" collapsed="false">
      <c r="A217" s="15"/>
      <c r="B217" s="10"/>
      <c r="C217" s="18" t="str">
        <f aca="false">IF($B217="","",IFERROR(INDEX(대여내역!$E$3:$E$1002,MATCH($B217,대여내역!$A$3:$A$1002,0)),"대여번호없음"))</f>
        <v/>
      </c>
      <c r="D217" s="11"/>
      <c r="E217" s="9"/>
      <c r="F217" s="10"/>
    </row>
    <row r="218" customFormat="false" ht="15" hidden="false" customHeight="false" outlineLevel="0" collapsed="false">
      <c r="A218" s="15"/>
      <c r="B218" s="10"/>
      <c r="C218" s="18" t="str">
        <f aca="false">IF($B218="","",IFERROR(INDEX(대여내역!$E$3:$E$1002,MATCH($B218,대여내역!$A$3:$A$1002,0)),"대여번호없음"))</f>
        <v/>
      </c>
      <c r="D218" s="11"/>
      <c r="E218" s="9"/>
      <c r="F218" s="10"/>
    </row>
    <row r="219" customFormat="false" ht="15" hidden="false" customHeight="false" outlineLevel="0" collapsed="false">
      <c r="A219" s="15"/>
      <c r="B219" s="10"/>
      <c r="C219" s="18" t="str">
        <f aca="false">IF($B219="","",IFERROR(INDEX(대여내역!$E$3:$E$1002,MATCH($B219,대여내역!$A$3:$A$1002,0)),"대여번호없음"))</f>
        <v/>
      </c>
      <c r="D219" s="11"/>
      <c r="E219" s="9"/>
      <c r="F219" s="10"/>
    </row>
    <row r="220" customFormat="false" ht="15" hidden="false" customHeight="false" outlineLevel="0" collapsed="false">
      <c r="A220" s="15"/>
      <c r="B220" s="10"/>
      <c r="C220" s="18" t="str">
        <f aca="false">IF($B220="","",IFERROR(INDEX(대여내역!$E$3:$E$1002,MATCH($B220,대여내역!$A$3:$A$1002,0)),"대여번호없음"))</f>
        <v/>
      </c>
      <c r="D220" s="11"/>
      <c r="E220" s="9"/>
      <c r="F220" s="10"/>
    </row>
    <row r="221" customFormat="false" ht="15" hidden="false" customHeight="false" outlineLevel="0" collapsed="false">
      <c r="A221" s="15"/>
      <c r="B221" s="10"/>
      <c r="C221" s="18" t="str">
        <f aca="false">IF($B221="","",IFERROR(INDEX(대여내역!$E$3:$E$1002,MATCH($B221,대여내역!$A$3:$A$1002,0)),"대여번호없음"))</f>
        <v/>
      </c>
      <c r="D221" s="11"/>
      <c r="E221" s="9"/>
      <c r="F221" s="10"/>
    </row>
    <row r="222" customFormat="false" ht="15" hidden="false" customHeight="false" outlineLevel="0" collapsed="false">
      <c r="A222" s="15"/>
      <c r="B222" s="10"/>
      <c r="C222" s="18" t="str">
        <f aca="false">IF($B222="","",IFERROR(INDEX(대여내역!$E$3:$E$1002,MATCH($B222,대여내역!$A$3:$A$1002,0)),"대여번호없음"))</f>
        <v/>
      </c>
      <c r="D222" s="11"/>
      <c r="E222" s="9"/>
      <c r="F222" s="10"/>
    </row>
    <row r="223" customFormat="false" ht="15" hidden="false" customHeight="false" outlineLevel="0" collapsed="false">
      <c r="A223" s="15"/>
      <c r="B223" s="10"/>
      <c r="C223" s="18" t="str">
        <f aca="false">IF($B223="","",IFERROR(INDEX(대여내역!$E$3:$E$1002,MATCH($B223,대여내역!$A$3:$A$1002,0)),"대여번호없음"))</f>
        <v/>
      </c>
      <c r="D223" s="11"/>
      <c r="E223" s="9"/>
      <c r="F223" s="10"/>
    </row>
    <row r="224" customFormat="false" ht="15" hidden="false" customHeight="false" outlineLevel="0" collapsed="false">
      <c r="A224" s="15"/>
      <c r="B224" s="10"/>
      <c r="C224" s="18" t="str">
        <f aca="false">IF($B224="","",IFERROR(INDEX(대여내역!$E$3:$E$1002,MATCH($B224,대여내역!$A$3:$A$1002,0)),"대여번호없음"))</f>
        <v/>
      </c>
      <c r="D224" s="11"/>
      <c r="E224" s="9"/>
      <c r="F224" s="10"/>
    </row>
    <row r="225" customFormat="false" ht="15" hidden="false" customHeight="false" outlineLevel="0" collapsed="false">
      <c r="A225" s="15"/>
      <c r="B225" s="10"/>
      <c r="C225" s="18" t="str">
        <f aca="false">IF($B225="","",IFERROR(INDEX(대여내역!$E$3:$E$1002,MATCH($B225,대여내역!$A$3:$A$1002,0)),"대여번호없음"))</f>
        <v/>
      </c>
      <c r="D225" s="11"/>
      <c r="E225" s="9"/>
      <c r="F225" s="10"/>
    </row>
    <row r="226" customFormat="false" ht="15" hidden="false" customHeight="false" outlineLevel="0" collapsed="false">
      <c r="A226" s="15"/>
      <c r="B226" s="10"/>
      <c r="C226" s="18" t="str">
        <f aca="false">IF($B226="","",IFERROR(INDEX(대여내역!$E$3:$E$1002,MATCH($B226,대여내역!$A$3:$A$1002,0)),"대여번호없음"))</f>
        <v/>
      </c>
      <c r="D226" s="11"/>
      <c r="E226" s="9"/>
      <c r="F226" s="10"/>
    </row>
    <row r="227" customFormat="false" ht="15" hidden="false" customHeight="false" outlineLevel="0" collapsed="false">
      <c r="A227" s="15"/>
      <c r="B227" s="10"/>
      <c r="C227" s="18" t="str">
        <f aca="false">IF($B227="","",IFERROR(INDEX(대여내역!$E$3:$E$1002,MATCH($B227,대여내역!$A$3:$A$1002,0)),"대여번호없음"))</f>
        <v/>
      </c>
      <c r="D227" s="11"/>
      <c r="E227" s="9"/>
      <c r="F227" s="10"/>
    </row>
    <row r="228" customFormat="false" ht="15" hidden="false" customHeight="false" outlineLevel="0" collapsed="false">
      <c r="A228" s="15"/>
      <c r="B228" s="10"/>
      <c r="C228" s="18" t="str">
        <f aca="false">IF($B228="","",IFERROR(INDEX(대여내역!$E$3:$E$1002,MATCH($B228,대여내역!$A$3:$A$1002,0)),"대여번호없음"))</f>
        <v/>
      </c>
      <c r="D228" s="11"/>
      <c r="E228" s="9"/>
      <c r="F228" s="10"/>
    </row>
    <row r="229" customFormat="false" ht="15" hidden="false" customHeight="false" outlineLevel="0" collapsed="false">
      <c r="A229" s="15"/>
      <c r="B229" s="10"/>
      <c r="C229" s="18" t="str">
        <f aca="false">IF($B229="","",IFERROR(INDEX(대여내역!$E$3:$E$1002,MATCH($B229,대여내역!$A$3:$A$1002,0)),"대여번호없음"))</f>
        <v/>
      </c>
      <c r="D229" s="11"/>
      <c r="E229" s="9"/>
      <c r="F229" s="10"/>
    </row>
    <row r="230" customFormat="false" ht="15" hidden="false" customHeight="false" outlineLevel="0" collapsed="false">
      <c r="A230" s="15"/>
      <c r="B230" s="10"/>
      <c r="C230" s="18" t="str">
        <f aca="false">IF($B230="","",IFERROR(INDEX(대여내역!$E$3:$E$1002,MATCH($B230,대여내역!$A$3:$A$1002,0)),"대여번호없음"))</f>
        <v/>
      </c>
      <c r="D230" s="11"/>
      <c r="E230" s="9"/>
      <c r="F230" s="10"/>
    </row>
    <row r="231" customFormat="false" ht="15" hidden="false" customHeight="false" outlineLevel="0" collapsed="false">
      <c r="A231" s="15"/>
      <c r="B231" s="10"/>
      <c r="C231" s="18" t="str">
        <f aca="false">IF($B231="","",IFERROR(INDEX(대여내역!$E$3:$E$1002,MATCH($B231,대여내역!$A$3:$A$1002,0)),"대여번호없음"))</f>
        <v/>
      </c>
      <c r="D231" s="11"/>
      <c r="E231" s="9"/>
      <c r="F231" s="10"/>
    </row>
    <row r="232" customFormat="false" ht="15" hidden="false" customHeight="false" outlineLevel="0" collapsed="false">
      <c r="A232" s="15"/>
      <c r="B232" s="10"/>
      <c r="C232" s="18" t="str">
        <f aca="false">IF($B232="","",IFERROR(INDEX(대여내역!$E$3:$E$1002,MATCH($B232,대여내역!$A$3:$A$1002,0)),"대여번호없음"))</f>
        <v/>
      </c>
      <c r="D232" s="11"/>
      <c r="E232" s="9"/>
      <c r="F232" s="10"/>
    </row>
    <row r="233" customFormat="false" ht="15" hidden="false" customHeight="false" outlineLevel="0" collapsed="false">
      <c r="A233" s="15"/>
      <c r="B233" s="10"/>
      <c r="C233" s="18" t="str">
        <f aca="false">IF($B233="","",IFERROR(INDEX(대여내역!$E$3:$E$1002,MATCH($B233,대여내역!$A$3:$A$1002,0)),"대여번호없음"))</f>
        <v/>
      </c>
      <c r="D233" s="11"/>
      <c r="E233" s="9"/>
      <c r="F233" s="10"/>
    </row>
    <row r="234" customFormat="false" ht="15" hidden="false" customHeight="false" outlineLevel="0" collapsed="false">
      <c r="A234" s="15"/>
      <c r="B234" s="10"/>
      <c r="C234" s="18" t="str">
        <f aca="false">IF($B234="","",IFERROR(INDEX(대여내역!$E$3:$E$1002,MATCH($B234,대여내역!$A$3:$A$1002,0)),"대여번호없음"))</f>
        <v/>
      </c>
      <c r="D234" s="11"/>
      <c r="E234" s="9"/>
      <c r="F234" s="10"/>
    </row>
    <row r="235" customFormat="false" ht="15" hidden="false" customHeight="false" outlineLevel="0" collapsed="false">
      <c r="A235" s="15"/>
      <c r="B235" s="10"/>
      <c r="C235" s="18" t="str">
        <f aca="false">IF($B235="","",IFERROR(INDEX(대여내역!$E$3:$E$1002,MATCH($B235,대여내역!$A$3:$A$1002,0)),"대여번호없음"))</f>
        <v/>
      </c>
      <c r="D235" s="11"/>
      <c r="E235" s="9"/>
      <c r="F235" s="10"/>
    </row>
    <row r="236" customFormat="false" ht="15" hidden="false" customHeight="false" outlineLevel="0" collapsed="false">
      <c r="A236" s="15"/>
      <c r="B236" s="10"/>
      <c r="C236" s="18" t="str">
        <f aca="false">IF($B236="","",IFERROR(INDEX(대여내역!$E$3:$E$1002,MATCH($B236,대여내역!$A$3:$A$1002,0)),"대여번호없음"))</f>
        <v/>
      </c>
      <c r="D236" s="11"/>
      <c r="E236" s="9"/>
      <c r="F236" s="10"/>
    </row>
    <row r="237" customFormat="false" ht="15" hidden="false" customHeight="false" outlineLevel="0" collapsed="false">
      <c r="A237" s="15"/>
      <c r="B237" s="10"/>
      <c r="C237" s="18" t="str">
        <f aca="false">IF($B237="","",IFERROR(INDEX(대여내역!$E$3:$E$1002,MATCH($B237,대여내역!$A$3:$A$1002,0)),"대여번호없음"))</f>
        <v/>
      </c>
      <c r="D237" s="11"/>
      <c r="E237" s="9"/>
      <c r="F237" s="10"/>
    </row>
    <row r="238" customFormat="false" ht="15" hidden="false" customHeight="false" outlineLevel="0" collapsed="false">
      <c r="A238" s="15"/>
      <c r="B238" s="10"/>
      <c r="C238" s="18" t="str">
        <f aca="false">IF($B238="","",IFERROR(INDEX(대여내역!$E$3:$E$1002,MATCH($B238,대여내역!$A$3:$A$1002,0)),"대여번호없음"))</f>
        <v/>
      </c>
      <c r="D238" s="11"/>
      <c r="E238" s="9"/>
      <c r="F238" s="10"/>
    </row>
    <row r="239" customFormat="false" ht="15" hidden="false" customHeight="false" outlineLevel="0" collapsed="false">
      <c r="A239" s="15"/>
      <c r="B239" s="10"/>
      <c r="C239" s="18" t="str">
        <f aca="false">IF($B239="","",IFERROR(INDEX(대여내역!$E$3:$E$1002,MATCH($B239,대여내역!$A$3:$A$1002,0)),"대여번호없음"))</f>
        <v/>
      </c>
      <c r="D239" s="11"/>
      <c r="E239" s="9"/>
      <c r="F239" s="10"/>
    </row>
    <row r="240" customFormat="false" ht="15" hidden="false" customHeight="false" outlineLevel="0" collapsed="false">
      <c r="A240" s="15"/>
      <c r="B240" s="10"/>
      <c r="C240" s="18" t="str">
        <f aca="false">IF($B240="","",IFERROR(INDEX(대여내역!$E$3:$E$1002,MATCH($B240,대여내역!$A$3:$A$1002,0)),"대여번호없음"))</f>
        <v/>
      </c>
      <c r="D240" s="11"/>
      <c r="E240" s="9"/>
      <c r="F240" s="10"/>
    </row>
    <row r="241" customFormat="false" ht="15" hidden="false" customHeight="false" outlineLevel="0" collapsed="false">
      <c r="A241" s="15"/>
      <c r="B241" s="10"/>
      <c r="C241" s="18" t="str">
        <f aca="false">IF($B241="","",IFERROR(INDEX(대여내역!$E$3:$E$1002,MATCH($B241,대여내역!$A$3:$A$1002,0)),"대여번호없음"))</f>
        <v/>
      </c>
      <c r="D241" s="11"/>
      <c r="E241" s="9"/>
      <c r="F241" s="10"/>
    </row>
    <row r="242" customFormat="false" ht="15" hidden="false" customHeight="false" outlineLevel="0" collapsed="false">
      <c r="A242" s="15"/>
      <c r="B242" s="10"/>
      <c r="C242" s="18" t="str">
        <f aca="false">IF($B242="","",IFERROR(INDEX(대여내역!$E$3:$E$1002,MATCH($B242,대여내역!$A$3:$A$1002,0)),"대여번호없음"))</f>
        <v/>
      </c>
      <c r="D242" s="11"/>
      <c r="E242" s="9"/>
      <c r="F242" s="10"/>
    </row>
    <row r="243" customFormat="false" ht="15" hidden="false" customHeight="false" outlineLevel="0" collapsed="false">
      <c r="A243" s="15"/>
      <c r="B243" s="10"/>
      <c r="C243" s="18" t="str">
        <f aca="false">IF($B243="","",IFERROR(INDEX(대여내역!$E$3:$E$1002,MATCH($B243,대여내역!$A$3:$A$1002,0)),"대여번호없음"))</f>
        <v/>
      </c>
      <c r="D243" s="11"/>
      <c r="E243" s="9"/>
      <c r="F243" s="10"/>
    </row>
    <row r="244" customFormat="false" ht="15" hidden="false" customHeight="false" outlineLevel="0" collapsed="false">
      <c r="A244" s="15"/>
      <c r="B244" s="10"/>
      <c r="C244" s="18" t="str">
        <f aca="false">IF($B244="","",IFERROR(INDEX(대여내역!$E$3:$E$1002,MATCH($B244,대여내역!$A$3:$A$1002,0)),"대여번호없음"))</f>
        <v/>
      </c>
      <c r="D244" s="11"/>
      <c r="E244" s="9"/>
      <c r="F244" s="10"/>
    </row>
    <row r="245" customFormat="false" ht="15" hidden="false" customHeight="false" outlineLevel="0" collapsed="false">
      <c r="A245" s="15"/>
      <c r="B245" s="10"/>
      <c r="C245" s="18" t="str">
        <f aca="false">IF($B245="","",IFERROR(INDEX(대여내역!$E$3:$E$1002,MATCH($B245,대여내역!$A$3:$A$1002,0)),"대여번호없음"))</f>
        <v/>
      </c>
      <c r="D245" s="11"/>
      <c r="E245" s="9"/>
      <c r="F245" s="10"/>
    </row>
    <row r="246" customFormat="false" ht="15" hidden="false" customHeight="false" outlineLevel="0" collapsed="false">
      <c r="A246" s="15"/>
      <c r="B246" s="10"/>
      <c r="C246" s="18" t="str">
        <f aca="false">IF($B246="","",IFERROR(INDEX(대여내역!$E$3:$E$1002,MATCH($B246,대여내역!$A$3:$A$1002,0)),"대여번호없음"))</f>
        <v/>
      </c>
      <c r="D246" s="11"/>
      <c r="E246" s="9"/>
      <c r="F246" s="10"/>
    </row>
    <row r="247" customFormat="false" ht="15" hidden="false" customHeight="false" outlineLevel="0" collapsed="false">
      <c r="A247" s="15"/>
      <c r="B247" s="10"/>
      <c r="C247" s="18" t="str">
        <f aca="false">IF($B247="","",IFERROR(INDEX(대여내역!$E$3:$E$1002,MATCH($B247,대여내역!$A$3:$A$1002,0)),"대여번호없음"))</f>
        <v/>
      </c>
      <c r="D247" s="11"/>
      <c r="E247" s="9"/>
      <c r="F247" s="10"/>
    </row>
    <row r="248" customFormat="false" ht="15" hidden="false" customHeight="false" outlineLevel="0" collapsed="false">
      <c r="A248" s="15"/>
      <c r="B248" s="10"/>
      <c r="C248" s="18" t="str">
        <f aca="false">IF($B248="","",IFERROR(INDEX(대여내역!$E$3:$E$1002,MATCH($B248,대여내역!$A$3:$A$1002,0)),"대여번호없음"))</f>
        <v/>
      </c>
      <c r="D248" s="11"/>
      <c r="E248" s="9"/>
      <c r="F248" s="10"/>
    </row>
    <row r="249" customFormat="false" ht="15" hidden="false" customHeight="false" outlineLevel="0" collapsed="false">
      <c r="A249" s="15"/>
      <c r="B249" s="10"/>
      <c r="C249" s="18" t="str">
        <f aca="false">IF($B249="","",IFERROR(INDEX(대여내역!$E$3:$E$1002,MATCH($B249,대여내역!$A$3:$A$1002,0)),"대여번호없음"))</f>
        <v/>
      </c>
      <c r="D249" s="11"/>
      <c r="E249" s="9"/>
      <c r="F249" s="10"/>
    </row>
    <row r="250" customFormat="false" ht="15" hidden="false" customHeight="false" outlineLevel="0" collapsed="false">
      <c r="A250" s="15"/>
      <c r="B250" s="10"/>
      <c r="C250" s="18" t="str">
        <f aca="false">IF($B250="","",IFERROR(INDEX(대여내역!$E$3:$E$1002,MATCH($B250,대여내역!$A$3:$A$1002,0)),"대여번호없음"))</f>
        <v/>
      </c>
      <c r="D250" s="11"/>
      <c r="E250" s="9"/>
      <c r="F250" s="10"/>
    </row>
    <row r="251" customFormat="false" ht="15" hidden="false" customHeight="false" outlineLevel="0" collapsed="false">
      <c r="A251" s="15"/>
      <c r="B251" s="10"/>
      <c r="C251" s="18" t="str">
        <f aca="false">IF($B251="","",IFERROR(INDEX(대여내역!$E$3:$E$1002,MATCH($B251,대여내역!$A$3:$A$1002,0)),"대여번호없음"))</f>
        <v/>
      </c>
      <c r="D251" s="11"/>
      <c r="E251" s="9"/>
      <c r="F251" s="10"/>
    </row>
    <row r="252" customFormat="false" ht="15" hidden="false" customHeight="false" outlineLevel="0" collapsed="false">
      <c r="A252" s="15"/>
      <c r="B252" s="10"/>
      <c r="C252" s="18" t="str">
        <f aca="false">IF($B252="","",IFERROR(INDEX(대여내역!$E$3:$E$1002,MATCH($B252,대여내역!$A$3:$A$1002,0)),"대여번호없음"))</f>
        <v/>
      </c>
      <c r="D252" s="11"/>
      <c r="E252" s="9"/>
      <c r="F252" s="10"/>
    </row>
    <row r="253" customFormat="false" ht="15" hidden="false" customHeight="false" outlineLevel="0" collapsed="false">
      <c r="A253" s="15"/>
      <c r="B253" s="10"/>
      <c r="C253" s="18" t="str">
        <f aca="false">IF($B253="","",IFERROR(INDEX(대여내역!$E$3:$E$1002,MATCH($B253,대여내역!$A$3:$A$1002,0)),"대여번호없음"))</f>
        <v/>
      </c>
      <c r="D253" s="11"/>
      <c r="E253" s="9"/>
      <c r="F253" s="10"/>
    </row>
    <row r="254" customFormat="false" ht="15" hidden="false" customHeight="false" outlineLevel="0" collapsed="false">
      <c r="A254" s="15"/>
      <c r="B254" s="10"/>
      <c r="C254" s="18" t="str">
        <f aca="false">IF($B254="","",IFERROR(INDEX(대여내역!$E$3:$E$1002,MATCH($B254,대여내역!$A$3:$A$1002,0)),"대여번호없음"))</f>
        <v/>
      </c>
      <c r="D254" s="11"/>
      <c r="E254" s="9"/>
      <c r="F254" s="10"/>
    </row>
    <row r="255" customFormat="false" ht="15" hidden="false" customHeight="false" outlineLevel="0" collapsed="false">
      <c r="A255" s="15"/>
      <c r="B255" s="10"/>
      <c r="C255" s="18" t="str">
        <f aca="false">IF($B255="","",IFERROR(INDEX(대여내역!$E$3:$E$1002,MATCH($B255,대여내역!$A$3:$A$1002,0)),"대여번호없음"))</f>
        <v/>
      </c>
      <c r="D255" s="11"/>
      <c r="E255" s="9"/>
      <c r="F255" s="10"/>
    </row>
    <row r="256" customFormat="false" ht="15" hidden="false" customHeight="false" outlineLevel="0" collapsed="false">
      <c r="A256" s="15"/>
      <c r="B256" s="10"/>
      <c r="C256" s="18" t="str">
        <f aca="false">IF($B256="","",IFERROR(INDEX(대여내역!$E$3:$E$1002,MATCH($B256,대여내역!$A$3:$A$1002,0)),"대여번호없음"))</f>
        <v/>
      </c>
      <c r="D256" s="11"/>
      <c r="E256" s="9"/>
      <c r="F256" s="10"/>
    </row>
    <row r="257" customFormat="false" ht="15" hidden="false" customHeight="false" outlineLevel="0" collapsed="false">
      <c r="A257" s="15"/>
      <c r="B257" s="10"/>
      <c r="C257" s="18" t="str">
        <f aca="false">IF($B257="","",IFERROR(INDEX(대여내역!$E$3:$E$1002,MATCH($B257,대여내역!$A$3:$A$1002,0)),"대여번호없음"))</f>
        <v/>
      </c>
      <c r="D257" s="11"/>
      <c r="E257" s="9"/>
      <c r="F257" s="10"/>
    </row>
    <row r="258" customFormat="false" ht="15" hidden="false" customHeight="false" outlineLevel="0" collapsed="false">
      <c r="A258" s="15"/>
      <c r="B258" s="10"/>
      <c r="C258" s="18" t="str">
        <f aca="false">IF($B258="","",IFERROR(INDEX(대여내역!$E$3:$E$1002,MATCH($B258,대여내역!$A$3:$A$1002,0)),"대여번호없음"))</f>
        <v/>
      </c>
      <c r="D258" s="11"/>
      <c r="E258" s="9"/>
      <c r="F258" s="10"/>
    </row>
    <row r="259" customFormat="false" ht="15" hidden="false" customHeight="false" outlineLevel="0" collapsed="false">
      <c r="A259" s="15"/>
      <c r="B259" s="10"/>
      <c r="C259" s="18" t="str">
        <f aca="false">IF($B259="","",IFERROR(INDEX(대여내역!$E$3:$E$1002,MATCH($B259,대여내역!$A$3:$A$1002,0)),"대여번호없음"))</f>
        <v/>
      </c>
      <c r="D259" s="11"/>
      <c r="E259" s="9"/>
      <c r="F259" s="10"/>
    </row>
    <row r="260" customFormat="false" ht="15" hidden="false" customHeight="false" outlineLevel="0" collapsed="false">
      <c r="A260" s="15"/>
      <c r="B260" s="10"/>
      <c r="C260" s="18" t="str">
        <f aca="false">IF($B260="","",IFERROR(INDEX(대여내역!$E$3:$E$1002,MATCH($B260,대여내역!$A$3:$A$1002,0)),"대여번호없음"))</f>
        <v/>
      </c>
      <c r="D260" s="11"/>
      <c r="E260" s="9"/>
      <c r="F260" s="10"/>
    </row>
    <row r="261" customFormat="false" ht="15" hidden="false" customHeight="false" outlineLevel="0" collapsed="false">
      <c r="A261" s="15"/>
      <c r="B261" s="10"/>
      <c r="C261" s="18" t="str">
        <f aca="false">IF($B261="","",IFERROR(INDEX(대여내역!$E$3:$E$1002,MATCH($B261,대여내역!$A$3:$A$1002,0)),"대여번호없음"))</f>
        <v/>
      </c>
      <c r="D261" s="11"/>
      <c r="E261" s="9"/>
      <c r="F261" s="10"/>
    </row>
    <row r="262" customFormat="false" ht="15" hidden="false" customHeight="false" outlineLevel="0" collapsed="false">
      <c r="A262" s="15"/>
      <c r="B262" s="10"/>
      <c r="C262" s="18" t="str">
        <f aca="false">IF($B262="","",IFERROR(INDEX(대여내역!$E$3:$E$1002,MATCH($B262,대여내역!$A$3:$A$1002,0)),"대여번호없음"))</f>
        <v/>
      </c>
      <c r="D262" s="11"/>
      <c r="E262" s="9"/>
      <c r="F262" s="10"/>
    </row>
    <row r="263" customFormat="false" ht="15" hidden="false" customHeight="false" outlineLevel="0" collapsed="false">
      <c r="A263" s="15"/>
      <c r="B263" s="10"/>
      <c r="C263" s="18" t="str">
        <f aca="false">IF($B263="","",IFERROR(INDEX(대여내역!$E$3:$E$1002,MATCH($B263,대여내역!$A$3:$A$1002,0)),"대여번호없음"))</f>
        <v/>
      </c>
      <c r="D263" s="11"/>
      <c r="E263" s="9"/>
      <c r="F263" s="10"/>
    </row>
    <row r="264" customFormat="false" ht="15" hidden="false" customHeight="false" outlineLevel="0" collapsed="false">
      <c r="A264" s="15"/>
      <c r="B264" s="10"/>
      <c r="C264" s="18" t="str">
        <f aca="false">IF($B264="","",IFERROR(INDEX(대여내역!$E$3:$E$1002,MATCH($B264,대여내역!$A$3:$A$1002,0)),"대여번호없음"))</f>
        <v/>
      </c>
      <c r="D264" s="11"/>
      <c r="E264" s="9"/>
      <c r="F264" s="10"/>
    </row>
    <row r="265" customFormat="false" ht="15" hidden="false" customHeight="false" outlineLevel="0" collapsed="false">
      <c r="A265" s="15"/>
      <c r="B265" s="10"/>
      <c r="C265" s="18" t="str">
        <f aca="false">IF($B265="","",IFERROR(INDEX(대여내역!$E$3:$E$1002,MATCH($B265,대여내역!$A$3:$A$1002,0)),"대여번호없음"))</f>
        <v/>
      </c>
      <c r="D265" s="11"/>
      <c r="E265" s="9"/>
      <c r="F265" s="10"/>
    </row>
    <row r="266" customFormat="false" ht="15" hidden="false" customHeight="false" outlineLevel="0" collapsed="false">
      <c r="A266" s="15"/>
      <c r="B266" s="10"/>
      <c r="C266" s="18" t="str">
        <f aca="false">IF($B266="","",IFERROR(INDEX(대여내역!$E$3:$E$1002,MATCH($B266,대여내역!$A$3:$A$1002,0)),"대여번호없음"))</f>
        <v/>
      </c>
      <c r="D266" s="11"/>
      <c r="E266" s="9"/>
      <c r="F266" s="10"/>
    </row>
    <row r="267" customFormat="false" ht="15" hidden="false" customHeight="false" outlineLevel="0" collapsed="false">
      <c r="A267" s="15"/>
      <c r="B267" s="10"/>
      <c r="C267" s="18" t="str">
        <f aca="false">IF($B267="","",IFERROR(INDEX(대여내역!$E$3:$E$1002,MATCH($B267,대여내역!$A$3:$A$1002,0)),"대여번호없음"))</f>
        <v/>
      </c>
      <c r="D267" s="11"/>
      <c r="E267" s="9"/>
      <c r="F267" s="10"/>
    </row>
    <row r="268" customFormat="false" ht="15" hidden="false" customHeight="false" outlineLevel="0" collapsed="false">
      <c r="A268" s="15"/>
      <c r="B268" s="10"/>
      <c r="C268" s="18" t="str">
        <f aca="false">IF($B268="","",IFERROR(INDEX(대여내역!$E$3:$E$1002,MATCH($B268,대여내역!$A$3:$A$1002,0)),"대여번호없음"))</f>
        <v/>
      </c>
      <c r="D268" s="11"/>
      <c r="E268" s="9"/>
      <c r="F268" s="10"/>
    </row>
    <row r="269" customFormat="false" ht="15" hidden="false" customHeight="false" outlineLevel="0" collapsed="false">
      <c r="A269" s="15"/>
      <c r="B269" s="10"/>
      <c r="C269" s="18" t="str">
        <f aca="false">IF($B269="","",IFERROR(INDEX(대여내역!$E$3:$E$1002,MATCH($B269,대여내역!$A$3:$A$1002,0)),"대여번호없음"))</f>
        <v/>
      </c>
      <c r="D269" s="11"/>
      <c r="E269" s="9"/>
      <c r="F269" s="10"/>
    </row>
    <row r="270" customFormat="false" ht="15" hidden="false" customHeight="false" outlineLevel="0" collapsed="false">
      <c r="A270" s="15"/>
      <c r="B270" s="10"/>
      <c r="C270" s="18" t="str">
        <f aca="false">IF($B270="","",IFERROR(INDEX(대여내역!$E$3:$E$1002,MATCH($B270,대여내역!$A$3:$A$1002,0)),"대여번호없음"))</f>
        <v/>
      </c>
      <c r="D270" s="11"/>
      <c r="E270" s="9"/>
      <c r="F270" s="10"/>
    </row>
    <row r="271" customFormat="false" ht="15" hidden="false" customHeight="false" outlineLevel="0" collapsed="false">
      <c r="A271" s="15"/>
      <c r="B271" s="10"/>
      <c r="C271" s="18" t="str">
        <f aca="false">IF($B271="","",IFERROR(INDEX(대여내역!$E$3:$E$1002,MATCH($B271,대여내역!$A$3:$A$1002,0)),"대여번호없음"))</f>
        <v/>
      </c>
      <c r="D271" s="11"/>
      <c r="E271" s="9"/>
      <c r="F271" s="10"/>
    </row>
    <row r="272" customFormat="false" ht="15" hidden="false" customHeight="false" outlineLevel="0" collapsed="false">
      <c r="A272" s="15"/>
      <c r="B272" s="10"/>
      <c r="C272" s="18" t="str">
        <f aca="false">IF($B272="","",IFERROR(INDEX(대여내역!$E$3:$E$1002,MATCH($B272,대여내역!$A$3:$A$1002,0)),"대여번호없음"))</f>
        <v/>
      </c>
      <c r="D272" s="11"/>
      <c r="E272" s="9"/>
      <c r="F272" s="10"/>
    </row>
    <row r="273" customFormat="false" ht="15" hidden="false" customHeight="false" outlineLevel="0" collapsed="false">
      <c r="A273" s="15"/>
      <c r="B273" s="10"/>
      <c r="C273" s="18" t="str">
        <f aca="false">IF($B273="","",IFERROR(INDEX(대여내역!$E$3:$E$1002,MATCH($B273,대여내역!$A$3:$A$1002,0)),"대여번호없음"))</f>
        <v/>
      </c>
      <c r="D273" s="11"/>
      <c r="E273" s="9"/>
      <c r="F273" s="10"/>
    </row>
    <row r="274" customFormat="false" ht="15" hidden="false" customHeight="false" outlineLevel="0" collapsed="false">
      <c r="A274" s="15"/>
      <c r="B274" s="10"/>
      <c r="C274" s="18" t="str">
        <f aca="false">IF($B274="","",IFERROR(INDEX(대여내역!$E$3:$E$1002,MATCH($B274,대여내역!$A$3:$A$1002,0)),"대여번호없음"))</f>
        <v/>
      </c>
      <c r="D274" s="11"/>
      <c r="E274" s="9"/>
      <c r="F274" s="10"/>
    </row>
    <row r="275" customFormat="false" ht="15" hidden="false" customHeight="false" outlineLevel="0" collapsed="false">
      <c r="A275" s="15"/>
      <c r="B275" s="10"/>
      <c r="C275" s="18" t="str">
        <f aca="false">IF($B275="","",IFERROR(INDEX(대여내역!$E$3:$E$1002,MATCH($B275,대여내역!$A$3:$A$1002,0)),"대여번호없음"))</f>
        <v/>
      </c>
      <c r="D275" s="11"/>
      <c r="E275" s="9"/>
      <c r="F275" s="10"/>
    </row>
    <row r="276" customFormat="false" ht="15" hidden="false" customHeight="false" outlineLevel="0" collapsed="false">
      <c r="A276" s="15"/>
      <c r="B276" s="10"/>
      <c r="C276" s="18" t="str">
        <f aca="false">IF($B276="","",IFERROR(INDEX(대여내역!$E$3:$E$1002,MATCH($B276,대여내역!$A$3:$A$1002,0)),"대여번호없음"))</f>
        <v/>
      </c>
      <c r="D276" s="11"/>
      <c r="E276" s="9"/>
      <c r="F276" s="10"/>
    </row>
    <row r="277" customFormat="false" ht="15" hidden="false" customHeight="false" outlineLevel="0" collapsed="false">
      <c r="A277" s="15"/>
      <c r="B277" s="10"/>
      <c r="C277" s="18" t="str">
        <f aca="false">IF($B277="","",IFERROR(INDEX(대여내역!$E$3:$E$1002,MATCH($B277,대여내역!$A$3:$A$1002,0)),"대여번호없음"))</f>
        <v/>
      </c>
      <c r="D277" s="11"/>
      <c r="E277" s="9"/>
      <c r="F277" s="10"/>
    </row>
    <row r="278" customFormat="false" ht="15" hidden="false" customHeight="false" outlineLevel="0" collapsed="false">
      <c r="A278" s="15"/>
      <c r="B278" s="10"/>
      <c r="C278" s="18" t="str">
        <f aca="false">IF($B278="","",IFERROR(INDEX(대여내역!$E$3:$E$1002,MATCH($B278,대여내역!$A$3:$A$1002,0)),"대여번호없음"))</f>
        <v/>
      </c>
      <c r="D278" s="11"/>
      <c r="E278" s="9"/>
      <c r="F278" s="10"/>
    </row>
    <row r="279" customFormat="false" ht="15" hidden="false" customHeight="false" outlineLevel="0" collapsed="false">
      <c r="A279" s="15"/>
      <c r="B279" s="10"/>
      <c r="C279" s="18" t="str">
        <f aca="false">IF($B279="","",IFERROR(INDEX(대여내역!$E$3:$E$1002,MATCH($B279,대여내역!$A$3:$A$1002,0)),"대여번호없음"))</f>
        <v/>
      </c>
      <c r="D279" s="11"/>
      <c r="E279" s="9"/>
      <c r="F279" s="10"/>
    </row>
    <row r="280" customFormat="false" ht="15" hidden="false" customHeight="false" outlineLevel="0" collapsed="false">
      <c r="A280" s="15"/>
      <c r="B280" s="10"/>
      <c r="C280" s="18" t="str">
        <f aca="false">IF($B280="","",IFERROR(INDEX(대여내역!$E$3:$E$1002,MATCH($B280,대여내역!$A$3:$A$1002,0)),"대여번호없음"))</f>
        <v/>
      </c>
      <c r="D280" s="11"/>
      <c r="E280" s="9"/>
      <c r="F280" s="10"/>
    </row>
    <row r="281" customFormat="false" ht="15" hidden="false" customHeight="false" outlineLevel="0" collapsed="false">
      <c r="A281" s="15"/>
      <c r="B281" s="10"/>
      <c r="C281" s="18" t="str">
        <f aca="false">IF($B281="","",IFERROR(INDEX(대여내역!$E$3:$E$1002,MATCH($B281,대여내역!$A$3:$A$1002,0)),"대여번호없음"))</f>
        <v/>
      </c>
      <c r="D281" s="11"/>
      <c r="E281" s="9"/>
      <c r="F281" s="10"/>
    </row>
    <row r="282" customFormat="false" ht="15" hidden="false" customHeight="false" outlineLevel="0" collapsed="false">
      <c r="A282" s="15"/>
      <c r="B282" s="10"/>
      <c r="C282" s="18" t="str">
        <f aca="false">IF($B282="","",IFERROR(INDEX(대여내역!$E$3:$E$1002,MATCH($B282,대여내역!$A$3:$A$1002,0)),"대여번호없음"))</f>
        <v/>
      </c>
      <c r="D282" s="11"/>
      <c r="E282" s="9"/>
      <c r="F282" s="10"/>
    </row>
    <row r="283" customFormat="false" ht="15" hidden="false" customHeight="false" outlineLevel="0" collapsed="false">
      <c r="A283" s="15"/>
      <c r="B283" s="10"/>
      <c r="C283" s="18" t="str">
        <f aca="false">IF($B283="","",IFERROR(INDEX(대여내역!$E$3:$E$1002,MATCH($B283,대여내역!$A$3:$A$1002,0)),"대여번호없음"))</f>
        <v/>
      </c>
      <c r="D283" s="11"/>
      <c r="E283" s="9"/>
      <c r="F283" s="10"/>
    </row>
    <row r="284" customFormat="false" ht="15" hidden="false" customHeight="false" outlineLevel="0" collapsed="false">
      <c r="A284" s="15"/>
      <c r="B284" s="10"/>
      <c r="C284" s="18" t="str">
        <f aca="false">IF($B284="","",IFERROR(INDEX(대여내역!$E$3:$E$1002,MATCH($B284,대여내역!$A$3:$A$1002,0)),"대여번호없음"))</f>
        <v/>
      </c>
      <c r="D284" s="11"/>
      <c r="E284" s="9"/>
      <c r="F284" s="10"/>
    </row>
    <row r="285" customFormat="false" ht="15" hidden="false" customHeight="false" outlineLevel="0" collapsed="false">
      <c r="A285" s="15"/>
      <c r="B285" s="10"/>
      <c r="C285" s="18" t="str">
        <f aca="false">IF($B285="","",IFERROR(INDEX(대여내역!$E$3:$E$1002,MATCH($B285,대여내역!$A$3:$A$1002,0)),"대여번호없음"))</f>
        <v/>
      </c>
      <c r="D285" s="11"/>
      <c r="E285" s="9"/>
      <c r="F285" s="10"/>
    </row>
    <row r="286" customFormat="false" ht="15" hidden="false" customHeight="false" outlineLevel="0" collapsed="false">
      <c r="A286" s="15"/>
      <c r="B286" s="10"/>
      <c r="C286" s="18" t="str">
        <f aca="false">IF($B286="","",IFERROR(INDEX(대여내역!$E$3:$E$1002,MATCH($B286,대여내역!$A$3:$A$1002,0)),"대여번호없음"))</f>
        <v/>
      </c>
      <c r="D286" s="11"/>
      <c r="E286" s="9"/>
      <c r="F286" s="10"/>
    </row>
    <row r="287" customFormat="false" ht="15" hidden="false" customHeight="false" outlineLevel="0" collapsed="false">
      <c r="A287" s="15"/>
      <c r="B287" s="10"/>
      <c r="C287" s="18" t="str">
        <f aca="false">IF($B287="","",IFERROR(INDEX(대여내역!$E$3:$E$1002,MATCH($B287,대여내역!$A$3:$A$1002,0)),"대여번호없음"))</f>
        <v/>
      </c>
      <c r="D287" s="11"/>
      <c r="E287" s="9"/>
      <c r="F287" s="10"/>
    </row>
    <row r="288" customFormat="false" ht="15" hidden="false" customHeight="false" outlineLevel="0" collapsed="false">
      <c r="A288" s="15"/>
      <c r="B288" s="10"/>
      <c r="C288" s="18" t="str">
        <f aca="false">IF($B288="","",IFERROR(INDEX(대여내역!$E$3:$E$1002,MATCH($B288,대여내역!$A$3:$A$1002,0)),"대여번호없음"))</f>
        <v/>
      </c>
      <c r="D288" s="11"/>
      <c r="E288" s="9"/>
      <c r="F288" s="10"/>
    </row>
    <row r="289" customFormat="false" ht="15" hidden="false" customHeight="false" outlineLevel="0" collapsed="false">
      <c r="A289" s="15"/>
      <c r="B289" s="10"/>
      <c r="C289" s="18" t="str">
        <f aca="false">IF($B289="","",IFERROR(INDEX(대여내역!$E$3:$E$1002,MATCH($B289,대여내역!$A$3:$A$1002,0)),"대여번호없음"))</f>
        <v/>
      </c>
      <c r="D289" s="11"/>
      <c r="E289" s="9"/>
      <c r="F289" s="10"/>
    </row>
    <row r="290" customFormat="false" ht="15" hidden="false" customHeight="false" outlineLevel="0" collapsed="false">
      <c r="A290" s="15"/>
      <c r="B290" s="10"/>
      <c r="C290" s="18" t="str">
        <f aca="false">IF($B290="","",IFERROR(INDEX(대여내역!$E$3:$E$1002,MATCH($B290,대여내역!$A$3:$A$1002,0)),"대여번호없음"))</f>
        <v/>
      </c>
      <c r="D290" s="11"/>
      <c r="E290" s="9"/>
      <c r="F290" s="10"/>
    </row>
    <row r="291" customFormat="false" ht="15" hidden="false" customHeight="false" outlineLevel="0" collapsed="false">
      <c r="A291" s="15"/>
      <c r="B291" s="10"/>
      <c r="C291" s="18" t="str">
        <f aca="false">IF($B291="","",IFERROR(INDEX(대여내역!$E$3:$E$1002,MATCH($B291,대여내역!$A$3:$A$1002,0)),"대여번호없음"))</f>
        <v/>
      </c>
      <c r="D291" s="11"/>
      <c r="E291" s="9"/>
      <c r="F291" s="10"/>
    </row>
    <row r="292" customFormat="false" ht="15" hidden="false" customHeight="false" outlineLevel="0" collapsed="false">
      <c r="A292" s="15"/>
      <c r="B292" s="10"/>
      <c r="C292" s="18" t="str">
        <f aca="false">IF($B292="","",IFERROR(INDEX(대여내역!$E$3:$E$1002,MATCH($B292,대여내역!$A$3:$A$1002,0)),"대여번호없음"))</f>
        <v/>
      </c>
      <c r="D292" s="11"/>
      <c r="E292" s="9"/>
      <c r="F292" s="10"/>
    </row>
    <row r="293" customFormat="false" ht="15" hidden="false" customHeight="false" outlineLevel="0" collapsed="false">
      <c r="A293" s="15"/>
      <c r="B293" s="10"/>
      <c r="C293" s="18" t="str">
        <f aca="false">IF($B293="","",IFERROR(INDEX(대여내역!$E$3:$E$1002,MATCH($B293,대여내역!$A$3:$A$1002,0)),"대여번호없음"))</f>
        <v/>
      </c>
      <c r="D293" s="11"/>
      <c r="E293" s="9"/>
      <c r="F293" s="10"/>
    </row>
    <row r="294" customFormat="false" ht="15" hidden="false" customHeight="false" outlineLevel="0" collapsed="false">
      <c r="A294" s="15"/>
      <c r="B294" s="10"/>
      <c r="C294" s="18" t="str">
        <f aca="false">IF($B294="","",IFERROR(INDEX(대여내역!$E$3:$E$1002,MATCH($B294,대여내역!$A$3:$A$1002,0)),"대여번호없음"))</f>
        <v/>
      </c>
      <c r="D294" s="11"/>
      <c r="E294" s="9"/>
      <c r="F294" s="10"/>
    </row>
    <row r="295" customFormat="false" ht="15" hidden="false" customHeight="false" outlineLevel="0" collapsed="false">
      <c r="A295" s="15"/>
      <c r="B295" s="10"/>
      <c r="C295" s="18" t="str">
        <f aca="false">IF($B295="","",IFERROR(INDEX(대여내역!$E$3:$E$1002,MATCH($B295,대여내역!$A$3:$A$1002,0)),"대여번호없음"))</f>
        <v/>
      </c>
      <c r="D295" s="11"/>
      <c r="E295" s="9"/>
      <c r="F295" s="10"/>
    </row>
    <row r="296" customFormat="false" ht="15" hidden="false" customHeight="false" outlineLevel="0" collapsed="false">
      <c r="A296" s="15"/>
      <c r="B296" s="10"/>
      <c r="C296" s="18" t="str">
        <f aca="false">IF($B296="","",IFERROR(INDEX(대여내역!$E$3:$E$1002,MATCH($B296,대여내역!$A$3:$A$1002,0)),"대여번호없음"))</f>
        <v/>
      </c>
      <c r="D296" s="11"/>
      <c r="E296" s="9"/>
      <c r="F296" s="10"/>
    </row>
    <row r="297" customFormat="false" ht="15" hidden="false" customHeight="false" outlineLevel="0" collapsed="false">
      <c r="A297" s="15"/>
      <c r="B297" s="10"/>
      <c r="C297" s="18" t="str">
        <f aca="false">IF($B297="","",IFERROR(INDEX(대여내역!$E$3:$E$1002,MATCH($B297,대여내역!$A$3:$A$1002,0)),"대여번호없음"))</f>
        <v/>
      </c>
      <c r="D297" s="11"/>
      <c r="E297" s="9"/>
      <c r="F297" s="10"/>
    </row>
    <row r="298" customFormat="false" ht="15" hidden="false" customHeight="false" outlineLevel="0" collapsed="false">
      <c r="A298" s="15"/>
      <c r="B298" s="10"/>
      <c r="C298" s="18" t="str">
        <f aca="false">IF($B298="","",IFERROR(INDEX(대여내역!$E$3:$E$1002,MATCH($B298,대여내역!$A$3:$A$1002,0)),"대여번호없음"))</f>
        <v/>
      </c>
      <c r="D298" s="11"/>
      <c r="E298" s="9"/>
      <c r="F298" s="10"/>
    </row>
    <row r="299" customFormat="false" ht="15" hidden="false" customHeight="false" outlineLevel="0" collapsed="false">
      <c r="A299" s="15"/>
      <c r="B299" s="10"/>
      <c r="C299" s="18" t="str">
        <f aca="false">IF($B299="","",IFERROR(INDEX(대여내역!$E$3:$E$1002,MATCH($B299,대여내역!$A$3:$A$1002,0)),"대여번호없음"))</f>
        <v/>
      </c>
      <c r="D299" s="11"/>
      <c r="E299" s="9"/>
      <c r="F299" s="10"/>
    </row>
    <row r="300" customFormat="false" ht="15" hidden="false" customHeight="false" outlineLevel="0" collapsed="false">
      <c r="A300" s="15"/>
      <c r="B300" s="10"/>
      <c r="C300" s="18" t="str">
        <f aca="false">IF($B300="","",IFERROR(INDEX(대여내역!$E$3:$E$1002,MATCH($B300,대여내역!$A$3:$A$1002,0)),"대여번호없음"))</f>
        <v/>
      </c>
      <c r="D300" s="11"/>
      <c r="E300" s="9"/>
      <c r="F300" s="10"/>
    </row>
    <row r="301" customFormat="false" ht="15" hidden="false" customHeight="false" outlineLevel="0" collapsed="false">
      <c r="A301" s="15"/>
      <c r="B301" s="10"/>
      <c r="C301" s="18" t="str">
        <f aca="false">IF($B301="","",IFERROR(INDEX(대여내역!$E$3:$E$1002,MATCH($B301,대여내역!$A$3:$A$1002,0)),"대여번호없음"))</f>
        <v/>
      </c>
      <c r="D301" s="11"/>
      <c r="E301" s="9"/>
      <c r="F301" s="10"/>
    </row>
    <row r="302" customFormat="false" ht="15" hidden="false" customHeight="false" outlineLevel="0" collapsed="false">
      <c r="A302" s="15"/>
      <c r="B302" s="10"/>
      <c r="C302" s="18" t="str">
        <f aca="false">IF($B302="","",IFERROR(INDEX(대여내역!$E$3:$E$1002,MATCH($B302,대여내역!$A$3:$A$1002,0)),"대여번호없음"))</f>
        <v/>
      </c>
      <c r="D302" s="11"/>
      <c r="E302" s="9"/>
      <c r="F302" s="10"/>
    </row>
    <row r="303" customFormat="false" ht="15" hidden="false" customHeight="false" outlineLevel="0" collapsed="false">
      <c r="A303" s="15"/>
      <c r="B303" s="10"/>
      <c r="C303" s="18" t="str">
        <f aca="false">IF($B303="","",IFERROR(INDEX(대여내역!$E$3:$E$1002,MATCH($B303,대여내역!$A$3:$A$1002,0)),"대여번호없음"))</f>
        <v/>
      </c>
      <c r="D303" s="11"/>
      <c r="E303" s="9"/>
      <c r="F303" s="10"/>
    </row>
    <row r="304" customFormat="false" ht="15" hidden="false" customHeight="false" outlineLevel="0" collapsed="false">
      <c r="A304" s="15"/>
      <c r="B304" s="10"/>
      <c r="C304" s="18" t="str">
        <f aca="false">IF($B304="","",IFERROR(INDEX(대여내역!$E$3:$E$1002,MATCH($B304,대여내역!$A$3:$A$1002,0)),"대여번호없음"))</f>
        <v/>
      </c>
      <c r="D304" s="11"/>
      <c r="E304" s="9"/>
      <c r="F304" s="10"/>
    </row>
    <row r="305" customFormat="false" ht="15" hidden="false" customHeight="false" outlineLevel="0" collapsed="false">
      <c r="A305" s="15"/>
      <c r="B305" s="10"/>
      <c r="C305" s="18" t="str">
        <f aca="false">IF($B305="","",IFERROR(INDEX(대여내역!$E$3:$E$1002,MATCH($B305,대여내역!$A$3:$A$1002,0)),"대여번호없음"))</f>
        <v/>
      </c>
      <c r="D305" s="11"/>
      <c r="E305" s="9"/>
      <c r="F305" s="10"/>
    </row>
    <row r="306" customFormat="false" ht="15" hidden="false" customHeight="false" outlineLevel="0" collapsed="false">
      <c r="A306" s="15"/>
      <c r="B306" s="10"/>
      <c r="C306" s="18" t="str">
        <f aca="false">IF($B306="","",IFERROR(INDEX(대여내역!$E$3:$E$1002,MATCH($B306,대여내역!$A$3:$A$1002,0)),"대여번호없음"))</f>
        <v/>
      </c>
      <c r="D306" s="11"/>
      <c r="E306" s="9"/>
      <c r="F306" s="10"/>
    </row>
    <row r="307" customFormat="false" ht="15" hidden="false" customHeight="false" outlineLevel="0" collapsed="false">
      <c r="A307" s="15"/>
      <c r="B307" s="10"/>
      <c r="C307" s="18" t="str">
        <f aca="false">IF($B307="","",IFERROR(INDEX(대여내역!$E$3:$E$1002,MATCH($B307,대여내역!$A$3:$A$1002,0)),"대여번호없음"))</f>
        <v/>
      </c>
      <c r="D307" s="11"/>
      <c r="E307" s="9"/>
      <c r="F307" s="10"/>
    </row>
    <row r="308" customFormat="false" ht="15" hidden="false" customHeight="false" outlineLevel="0" collapsed="false">
      <c r="A308" s="15"/>
      <c r="B308" s="10"/>
      <c r="C308" s="18" t="str">
        <f aca="false">IF($B308="","",IFERROR(INDEX(대여내역!$E$3:$E$1002,MATCH($B308,대여내역!$A$3:$A$1002,0)),"대여번호없음"))</f>
        <v/>
      </c>
      <c r="D308" s="11"/>
      <c r="E308" s="9"/>
      <c r="F308" s="10"/>
    </row>
    <row r="309" customFormat="false" ht="15" hidden="false" customHeight="false" outlineLevel="0" collapsed="false">
      <c r="A309" s="15"/>
      <c r="B309" s="10"/>
      <c r="C309" s="18" t="str">
        <f aca="false">IF($B309="","",IFERROR(INDEX(대여내역!$E$3:$E$1002,MATCH($B309,대여내역!$A$3:$A$1002,0)),"대여번호없음"))</f>
        <v/>
      </c>
      <c r="D309" s="11"/>
      <c r="E309" s="9"/>
      <c r="F309" s="10"/>
    </row>
    <row r="310" customFormat="false" ht="15" hidden="false" customHeight="false" outlineLevel="0" collapsed="false">
      <c r="A310" s="15"/>
      <c r="B310" s="10"/>
      <c r="C310" s="18" t="str">
        <f aca="false">IF($B310="","",IFERROR(INDEX(대여내역!$E$3:$E$1002,MATCH($B310,대여내역!$A$3:$A$1002,0)),"대여번호없음"))</f>
        <v/>
      </c>
      <c r="D310" s="11"/>
      <c r="E310" s="9"/>
      <c r="F310" s="10"/>
    </row>
    <row r="311" customFormat="false" ht="15" hidden="false" customHeight="false" outlineLevel="0" collapsed="false">
      <c r="A311" s="15"/>
      <c r="B311" s="10"/>
      <c r="C311" s="18" t="str">
        <f aca="false">IF($B311="","",IFERROR(INDEX(대여내역!$E$3:$E$1002,MATCH($B311,대여내역!$A$3:$A$1002,0)),"대여번호없음"))</f>
        <v/>
      </c>
      <c r="D311" s="11"/>
      <c r="E311" s="9"/>
      <c r="F311" s="10"/>
    </row>
    <row r="312" customFormat="false" ht="15" hidden="false" customHeight="false" outlineLevel="0" collapsed="false">
      <c r="A312" s="15"/>
      <c r="B312" s="10"/>
      <c r="C312" s="18" t="str">
        <f aca="false">IF($B312="","",IFERROR(INDEX(대여내역!$E$3:$E$1002,MATCH($B312,대여내역!$A$3:$A$1002,0)),"대여번호없음"))</f>
        <v/>
      </c>
      <c r="D312" s="11"/>
      <c r="E312" s="9"/>
      <c r="F312" s="10"/>
    </row>
    <row r="313" customFormat="false" ht="15" hidden="false" customHeight="false" outlineLevel="0" collapsed="false">
      <c r="A313" s="15"/>
      <c r="B313" s="10"/>
      <c r="C313" s="18" t="str">
        <f aca="false">IF($B313="","",IFERROR(INDEX(대여내역!$E$3:$E$1002,MATCH($B313,대여내역!$A$3:$A$1002,0)),"대여번호없음"))</f>
        <v/>
      </c>
      <c r="D313" s="11"/>
      <c r="E313" s="9"/>
      <c r="F313" s="10"/>
    </row>
    <row r="314" customFormat="false" ht="15" hidden="false" customHeight="false" outlineLevel="0" collapsed="false">
      <c r="A314" s="15"/>
      <c r="B314" s="10"/>
      <c r="C314" s="18" t="str">
        <f aca="false">IF($B314="","",IFERROR(INDEX(대여내역!$E$3:$E$1002,MATCH($B314,대여내역!$A$3:$A$1002,0)),"대여번호없음"))</f>
        <v/>
      </c>
      <c r="D314" s="11"/>
      <c r="E314" s="9"/>
      <c r="F314" s="10"/>
    </row>
    <row r="315" customFormat="false" ht="15" hidden="false" customHeight="false" outlineLevel="0" collapsed="false">
      <c r="A315" s="15"/>
      <c r="B315" s="10"/>
      <c r="C315" s="18" t="str">
        <f aca="false">IF($B315="","",IFERROR(INDEX(대여내역!$E$3:$E$1002,MATCH($B315,대여내역!$A$3:$A$1002,0)),"대여번호없음"))</f>
        <v/>
      </c>
      <c r="D315" s="11"/>
      <c r="E315" s="9"/>
      <c r="F315" s="10"/>
    </row>
    <row r="316" customFormat="false" ht="15" hidden="false" customHeight="false" outlineLevel="0" collapsed="false">
      <c r="A316" s="15"/>
      <c r="B316" s="10"/>
      <c r="C316" s="18" t="str">
        <f aca="false">IF($B316="","",IFERROR(INDEX(대여내역!$E$3:$E$1002,MATCH($B316,대여내역!$A$3:$A$1002,0)),"대여번호없음"))</f>
        <v/>
      </c>
      <c r="D316" s="11"/>
      <c r="E316" s="9"/>
      <c r="F316" s="10"/>
    </row>
    <row r="317" customFormat="false" ht="15" hidden="false" customHeight="false" outlineLevel="0" collapsed="false">
      <c r="A317" s="15"/>
      <c r="B317" s="10"/>
      <c r="C317" s="18" t="str">
        <f aca="false">IF($B317="","",IFERROR(INDEX(대여내역!$E$3:$E$1002,MATCH($B317,대여내역!$A$3:$A$1002,0)),"대여번호없음"))</f>
        <v/>
      </c>
      <c r="D317" s="11"/>
      <c r="E317" s="9"/>
      <c r="F317" s="10"/>
    </row>
    <row r="318" customFormat="false" ht="15" hidden="false" customHeight="false" outlineLevel="0" collapsed="false">
      <c r="A318" s="15"/>
      <c r="B318" s="10"/>
      <c r="C318" s="18" t="str">
        <f aca="false">IF($B318="","",IFERROR(INDEX(대여내역!$E$3:$E$1002,MATCH($B318,대여내역!$A$3:$A$1002,0)),"대여번호없음"))</f>
        <v/>
      </c>
      <c r="D318" s="11"/>
      <c r="E318" s="9"/>
      <c r="F318" s="10"/>
    </row>
    <row r="319" customFormat="false" ht="15" hidden="false" customHeight="false" outlineLevel="0" collapsed="false">
      <c r="A319" s="15"/>
      <c r="B319" s="10"/>
      <c r="C319" s="18" t="str">
        <f aca="false">IF($B319="","",IFERROR(INDEX(대여내역!$E$3:$E$1002,MATCH($B319,대여내역!$A$3:$A$1002,0)),"대여번호없음"))</f>
        <v/>
      </c>
      <c r="D319" s="11"/>
      <c r="E319" s="9"/>
      <c r="F319" s="10"/>
    </row>
    <row r="320" customFormat="false" ht="15" hidden="false" customHeight="false" outlineLevel="0" collapsed="false">
      <c r="A320" s="15"/>
      <c r="B320" s="10"/>
      <c r="C320" s="18" t="str">
        <f aca="false">IF($B320="","",IFERROR(INDEX(대여내역!$E$3:$E$1002,MATCH($B320,대여내역!$A$3:$A$1002,0)),"대여번호없음"))</f>
        <v/>
      </c>
      <c r="D320" s="11"/>
      <c r="E320" s="9"/>
      <c r="F320" s="10"/>
    </row>
    <row r="321" customFormat="false" ht="15" hidden="false" customHeight="false" outlineLevel="0" collapsed="false">
      <c r="A321" s="15"/>
      <c r="B321" s="10"/>
      <c r="C321" s="18" t="str">
        <f aca="false">IF($B321="","",IFERROR(INDEX(대여내역!$E$3:$E$1002,MATCH($B321,대여내역!$A$3:$A$1002,0)),"대여번호없음"))</f>
        <v/>
      </c>
      <c r="D321" s="11"/>
      <c r="E321" s="9"/>
      <c r="F321" s="10"/>
    </row>
    <row r="322" customFormat="false" ht="15" hidden="false" customHeight="false" outlineLevel="0" collapsed="false">
      <c r="A322" s="15"/>
      <c r="B322" s="10"/>
      <c r="C322" s="18" t="str">
        <f aca="false">IF($B322="","",IFERROR(INDEX(대여내역!$E$3:$E$1002,MATCH($B322,대여내역!$A$3:$A$1002,0)),"대여번호없음"))</f>
        <v/>
      </c>
      <c r="D322" s="11"/>
      <c r="E322" s="9"/>
      <c r="F322" s="10"/>
    </row>
    <row r="323" customFormat="false" ht="15" hidden="false" customHeight="false" outlineLevel="0" collapsed="false">
      <c r="A323" s="15"/>
      <c r="B323" s="10"/>
      <c r="C323" s="18" t="str">
        <f aca="false">IF($B323="","",IFERROR(INDEX(대여내역!$E$3:$E$1002,MATCH($B323,대여내역!$A$3:$A$1002,0)),"대여번호없음"))</f>
        <v/>
      </c>
      <c r="D323" s="11"/>
      <c r="E323" s="9"/>
      <c r="F323" s="10"/>
    </row>
    <row r="324" customFormat="false" ht="15" hidden="false" customHeight="false" outlineLevel="0" collapsed="false">
      <c r="A324" s="15"/>
      <c r="B324" s="10"/>
      <c r="C324" s="18" t="str">
        <f aca="false">IF($B324="","",IFERROR(INDEX(대여내역!$E$3:$E$1002,MATCH($B324,대여내역!$A$3:$A$1002,0)),"대여번호없음"))</f>
        <v/>
      </c>
      <c r="D324" s="11"/>
      <c r="E324" s="9"/>
      <c r="F324" s="10"/>
    </row>
    <row r="325" customFormat="false" ht="15" hidden="false" customHeight="false" outlineLevel="0" collapsed="false">
      <c r="A325" s="15"/>
      <c r="B325" s="10"/>
      <c r="C325" s="18" t="str">
        <f aca="false">IF($B325="","",IFERROR(INDEX(대여내역!$E$3:$E$1002,MATCH($B325,대여내역!$A$3:$A$1002,0)),"대여번호없음"))</f>
        <v/>
      </c>
      <c r="D325" s="11"/>
      <c r="E325" s="9"/>
      <c r="F325" s="10"/>
    </row>
    <row r="326" customFormat="false" ht="15" hidden="false" customHeight="false" outlineLevel="0" collapsed="false">
      <c r="A326" s="15"/>
      <c r="B326" s="10"/>
      <c r="C326" s="18" t="str">
        <f aca="false">IF($B326="","",IFERROR(INDEX(대여내역!$E$3:$E$1002,MATCH($B326,대여내역!$A$3:$A$1002,0)),"대여번호없음"))</f>
        <v/>
      </c>
      <c r="D326" s="11"/>
      <c r="E326" s="9"/>
      <c r="F326" s="10"/>
    </row>
    <row r="327" customFormat="false" ht="15" hidden="false" customHeight="false" outlineLevel="0" collapsed="false">
      <c r="A327" s="15"/>
      <c r="B327" s="10"/>
      <c r="C327" s="18" t="str">
        <f aca="false">IF($B327="","",IFERROR(INDEX(대여내역!$E$3:$E$1002,MATCH($B327,대여내역!$A$3:$A$1002,0)),"대여번호없음"))</f>
        <v/>
      </c>
      <c r="D327" s="11"/>
      <c r="E327" s="9"/>
      <c r="F327" s="10"/>
    </row>
    <row r="328" customFormat="false" ht="15" hidden="false" customHeight="false" outlineLevel="0" collapsed="false">
      <c r="A328" s="15"/>
      <c r="B328" s="10"/>
      <c r="C328" s="18" t="str">
        <f aca="false">IF($B328="","",IFERROR(INDEX(대여내역!$E$3:$E$1002,MATCH($B328,대여내역!$A$3:$A$1002,0)),"대여번호없음"))</f>
        <v/>
      </c>
      <c r="D328" s="11"/>
      <c r="E328" s="9"/>
      <c r="F328" s="10"/>
    </row>
    <row r="329" customFormat="false" ht="15" hidden="false" customHeight="false" outlineLevel="0" collapsed="false">
      <c r="A329" s="15"/>
      <c r="B329" s="10"/>
      <c r="C329" s="18" t="str">
        <f aca="false">IF($B329="","",IFERROR(INDEX(대여내역!$E$3:$E$1002,MATCH($B329,대여내역!$A$3:$A$1002,0)),"대여번호없음"))</f>
        <v/>
      </c>
      <c r="D329" s="11"/>
      <c r="E329" s="9"/>
      <c r="F329" s="10"/>
    </row>
    <row r="330" customFormat="false" ht="15" hidden="false" customHeight="false" outlineLevel="0" collapsed="false">
      <c r="A330" s="15"/>
      <c r="B330" s="10"/>
      <c r="C330" s="18" t="str">
        <f aca="false">IF($B330="","",IFERROR(INDEX(대여내역!$E$3:$E$1002,MATCH($B330,대여내역!$A$3:$A$1002,0)),"대여번호없음"))</f>
        <v/>
      </c>
      <c r="D330" s="11"/>
      <c r="E330" s="9"/>
      <c r="F330" s="10"/>
    </row>
    <row r="331" customFormat="false" ht="15" hidden="false" customHeight="false" outlineLevel="0" collapsed="false">
      <c r="A331" s="15"/>
      <c r="B331" s="10"/>
      <c r="C331" s="18" t="str">
        <f aca="false">IF($B331="","",IFERROR(INDEX(대여내역!$E$3:$E$1002,MATCH($B331,대여내역!$A$3:$A$1002,0)),"대여번호없음"))</f>
        <v/>
      </c>
      <c r="D331" s="11"/>
      <c r="E331" s="9"/>
      <c r="F331" s="10"/>
    </row>
    <row r="332" customFormat="false" ht="15" hidden="false" customHeight="false" outlineLevel="0" collapsed="false">
      <c r="A332" s="15"/>
      <c r="B332" s="10"/>
      <c r="C332" s="18" t="str">
        <f aca="false">IF($B332="","",IFERROR(INDEX(대여내역!$E$3:$E$1002,MATCH($B332,대여내역!$A$3:$A$1002,0)),"대여번호없음"))</f>
        <v/>
      </c>
      <c r="D332" s="11"/>
      <c r="E332" s="9"/>
      <c r="F332" s="10"/>
    </row>
    <row r="333" customFormat="false" ht="15" hidden="false" customHeight="false" outlineLevel="0" collapsed="false">
      <c r="A333" s="15"/>
      <c r="B333" s="10"/>
      <c r="C333" s="18" t="str">
        <f aca="false">IF($B333="","",IFERROR(INDEX(대여내역!$E$3:$E$1002,MATCH($B333,대여내역!$A$3:$A$1002,0)),"대여번호없음"))</f>
        <v/>
      </c>
      <c r="D333" s="11"/>
      <c r="E333" s="9"/>
      <c r="F333" s="10"/>
    </row>
    <row r="334" customFormat="false" ht="15" hidden="false" customHeight="false" outlineLevel="0" collapsed="false">
      <c r="A334" s="15"/>
      <c r="B334" s="10"/>
      <c r="C334" s="18" t="str">
        <f aca="false">IF($B334="","",IFERROR(INDEX(대여내역!$E$3:$E$1002,MATCH($B334,대여내역!$A$3:$A$1002,0)),"대여번호없음"))</f>
        <v/>
      </c>
      <c r="D334" s="11"/>
      <c r="E334" s="9"/>
      <c r="F334" s="10"/>
    </row>
    <row r="335" customFormat="false" ht="15" hidden="false" customHeight="false" outlineLevel="0" collapsed="false">
      <c r="A335" s="15"/>
      <c r="B335" s="10"/>
      <c r="C335" s="18" t="str">
        <f aca="false">IF($B335="","",IFERROR(INDEX(대여내역!$E$3:$E$1002,MATCH($B335,대여내역!$A$3:$A$1002,0)),"대여번호없음"))</f>
        <v/>
      </c>
      <c r="D335" s="11"/>
      <c r="E335" s="9"/>
      <c r="F335" s="10"/>
    </row>
    <row r="336" customFormat="false" ht="15" hidden="false" customHeight="false" outlineLevel="0" collapsed="false">
      <c r="A336" s="15"/>
      <c r="B336" s="10"/>
      <c r="C336" s="18" t="str">
        <f aca="false">IF($B336="","",IFERROR(INDEX(대여내역!$E$3:$E$1002,MATCH($B336,대여내역!$A$3:$A$1002,0)),"대여번호없음"))</f>
        <v/>
      </c>
      <c r="D336" s="11"/>
      <c r="E336" s="9"/>
      <c r="F336" s="10"/>
    </row>
    <row r="337" customFormat="false" ht="15" hidden="false" customHeight="false" outlineLevel="0" collapsed="false">
      <c r="A337" s="15"/>
      <c r="B337" s="10"/>
      <c r="C337" s="18" t="str">
        <f aca="false">IF($B337="","",IFERROR(INDEX(대여내역!$E$3:$E$1002,MATCH($B337,대여내역!$A$3:$A$1002,0)),"대여번호없음"))</f>
        <v/>
      </c>
      <c r="D337" s="11"/>
      <c r="E337" s="9"/>
      <c r="F337" s="10"/>
    </row>
    <row r="338" customFormat="false" ht="15" hidden="false" customHeight="false" outlineLevel="0" collapsed="false">
      <c r="A338" s="15"/>
      <c r="B338" s="10"/>
      <c r="C338" s="18" t="str">
        <f aca="false">IF($B338="","",IFERROR(INDEX(대여내역!$E$3:$E$1002,MATCH($B338,대여내역!$A$3:$A$1002,0)),"대여번호없음"))</f>
        <v/>
      </c>
      <c r="D338" s="11"/>
      <c r="E338" s="9"/>
      <c r="F338" s="10"/>
    </row>
    <row r="339" customFormat="false" ht="15" hidden="false" customHeight="false" outlineLevel="0" collapsed="false">
      <c r="A339" s="15"/>
      <c r="B339" s="10"/>
      <c r="C339" s="18" t="str">
        <f aca="false">IF($B339="","",IFERROR(INDEX(대여내역!$E$3:$E$1002,MATCH($B339,대여내역!$A$3:$A$1002,0)),"대여번호없음"))</f>
        <v/>
      </c>
      <c r="D339" s="11"/>
      <c r="E339" s="9"/>
      <c r="F339" s="10"/>
    </row>
    <row r="340" customFormat="false" ht="15" hidden="false" customHeight="false" outlineLevel="0" collapsed="false">
      <c r="A340" s="15"/>
      <c r="B340" s="10"/>
      <c r="C340" s="18" t="str">
        <f aca="false">IF($B340="","",IFERROR(INDEX(대여내역!$E$3:$E$1002,MATCH($B340,대여내역!$A$3:$A$1002,0)),"대여번호없음"))</f>
        <v/>
      </c>
      <c r="D340" s="11"/>
      <c r="E340" s="9"/>
      <c r="F340" s="10"/>
    </row>
    <row r="341" customFormat="false" ht="15" hidden="false" customHeight="false" outlineLevel="0" collapsed="false">
      <c r="A341" s="15"/>
      <c r="B341" s="10"/>
      <c r="C341" s="18" t="str">
        <f aca="false">IF($B341="","",IFERROR(INDEX(대여내역!$E$3:$E$1002,MATCH($B341,대여내역!$A$3:$A$1002,0)),"대여번호없음"))</f>
        <v/>
      </c>
      <c r="D341" s="11"/>
      <c r="E341" s="9"/>
      <c r="F341" s="10"/>
    </row>
    <row r="342" customFormat="false" ht="15" hidden="false" customHeight="false" outlineLevel="0" collapsed="false">
      <c r="A342" s="15"/>
      <c r="B342" s="10"/>
      <c r="C342" s="18" t="str">
        <f aca="false">IF($B342="","",IFERROR(INDEX(대여내역!$E$3:$E$1002,MATCH($B342,대여내역!$A$3:$A$1002,0)),"대여번호없음"))</f>
        <v/>
      </c>
      <c r="D342" s="11"/>
      <c r="E342" s="9"/>
      <c r="F342" s="10"/>
    </row>
    <row r="343" customFormat="false" ht="15" hidden="false" customHeight="false" outlineLevel="0" collapsed="false">
      <c r="A343" s="15"/>
      <c r="B343" s="10"/>
      <c r="C343" s="18" t="str">
        <f aca="false">IF($B343="","",IFERROR(INDEX(대여내역!$E$3:$E$1002,MATCH($B343,대여내역!$A$3:$A$1002,0)),"대여번호없음"))</f>
        <v/>
      </c>
      <c r="D343" s="11"/>
      <c r="E343" s="9"/>
      <c r="F343" s="10"/>
    </row>
    <row r="344" customFormat="false" ht="15" hidden="false" customHeight="false" outlineLevel="0" collapsed="false">
      <c r="A344" s="15"/>
      <c r="B344" s="10"/>
      <c r="C344" s="18" t="str">
        <f aca="false">IF($B344="","",IFERROR(INDEX(대여내역!$E$3:$E$1002,MATCH($B344,대여내역!$A$3:$A$1002,0)),"대여번호없음"))</f>
        <v/>
      </c>
      <c r="D344" s="11"/>
      <c r="E344" s="9"/>
      <c r="F344" s="10"/>
    </row>
    <row r="345" customFormat="false" ht="15" hidden="false" customHeight="false" outlineLevel="0" collapsed="false">
      <c r="A345" s="15"/>
      <c r="B345" s="10"/>
      <c r="C345" s="18" t="str">
        <f aca="false">IF($B345="","",IFERROR(INDEX(대여내역!$E$3:$E$1002,MATCH($B345,대여내역!$A$3:$A$1002,0)),"대여번호없음"))</f>
        <v/>
      </c>
      <c r="D345" s="11"/>
      <c r="E345" s="9"/>
      <c r="F345" s="10"/>
    </row>
    <row r="346" customFormat="false" ht="15" hidden="false" customHeight="false" outlineLevel="0" collapsed="false">
      <c r="A346" s="15"/>
      <c r="B346" s="10"/>
      <c r="C346" s="18" t="str">
        <f aca="false">IF($B346="","",IFERROR(INDEX(대여내역!$E$3:$E$1002,MATCH($B346,대여내역!$A$3:$A$1002,0)),"대여번호없음"))</f>
        <v/>
      </c>
      <c r="D346" s="11"/>
      <c r="E346" s="9"/>
      <c r="F346" s="10"/>
    </row>
    <row r="347" customFormat="false" ht="15" hidden="false" customHeight="false" outlineLevel="0" collapsed="false">
      <c r="A347" s="15"/>
      <c r="B347" s="10"/>
      <c r="C347" s="18" t="str">
        <f aca="false">IF($B347="","",IFERROR(INDEX(대여내역!$E$3:$E$1002,MATCH($B347,대여내역!$A$3:$A$1002,0)),"대여번호없음"))</f>
        <v/>
      </c>
      <c r="D347" s="11"/>
      <c r="E347" s="9"/>
      <c r="F347" s="10"/>
    </row>
    <row r="348" customFormat="false" ht="15" hidden="false" customHeight="false" outlineLevel="0" collapsed="false">
      <c r="A348" s="15"/>
      <c r="B348" s="10"/>
      <c r="C348" s="18" t="str">
        <f aca="false">IF($B348="","",IFERROR(INDEX(대여내역!$E$3:$E$1002,MATCH($B348,대여내역!$A$3:$A$1002,0)),"대여번호없음"))</f>
        <v/>
      </c>
      <c r="D348" s="11"/>
      <c r="E348" s="9"/>
      <c r="F348" s="10"/>
    </row>
    <row r="349" customFormat="false" ht="15" hidden="false" customHeight="false" outlineLevel="0" collapsed="false">
      <c r="A349" s="15"/>
      <c r="B349" s="10"/>
      <c r="C349" s="18" t="str">
        <f aca="false">IF($B349="","",IFERROR(INDEX(대여내역!$E$3:$E$1002,MATCH($B349,대여내역!$A$3:$A$1002,0)),"대여번호없음"))</f>
        <v/>
      </c>
      <c r="D349" s="11"/>
      <c r="E349" s="9"/>
      <c r="F349" s="10"/>
    </row>
    <row r="350" customFormat="false" ht="15" hidden="false" customHeight="false" outlineLevel="0" collapsed="false">
      <c r="A350" s="15"/>
      <c r="B350" s="10"/>
      <c r="C350" s="18" t="str">
        <f aca="false">IF($B350="","",IFERROR(INDEX(대여내역!$E$3:$E$1002,MATCH($B350,대여내역!$A$3:$A$1002,0)),"대여번호없음"))</f>
        <v/>
      </c>
      <c r="D350" s="11"/>
      <c r="E350" s="9"/>
      <c r="F350" s="10"/>
    </row>
    <row r="351" customFormat="false" ht="15" hidden="false" customHeight="false" outlineLevel="0" collapsed="false">
      <c r="A351" s="15"/>
      <c r="B351" s="10"/>
      <c r="C351" s="18" t="str">
        <f aca="false">IF($B351="","",IFERROR(INDEX(대여내역!$E$3:$E$1002,MATCH($B351,대여내역!$A$3:$A$1002,0)),"대여번호없음"))</f>
        <v/>
      </c>
      <c r="D351" s="11"/>
      <c r="E351" s="9"/>
      <c r="F351" s="10"/>
    </row>
    <row r="352" customFormat="false" ht="15" hidden="false" customHeight="false" outlineLevel="0" collapsed="false">
      <c r="A352" s="15"/>
      <c r="B352" s="10"/>
      <c r="C352" s="18" t="str">
        <f aca="false">IF($B352="","",IFERROR(INDEX(대여내역!$E$3:$E$1002,MATCH($B352,대여내역!$A$3:$A$1002,0)),"대여번호없음"))</f>
        <v/>
      </c>
      <c r="D352" s="11"/>
      <c r="E352" s="9"/>
      <c r="F352" s="10"/>
    </row>
    <row r="353" customFormat="false" ht="15" hidden="false" customHeight="false" outlineLevel="0" collapsed="false">
      <c r="A353" s="15"/>
      <c r="B353" s="10"/>
      <c r="C353" s="18" t="str">
        <f aca="false">IF($B353="","",IFERROR(INDEX(대여내역!$E$3:$E$1002,MATCH($B353,대여내역!$A$3:$A$1002,0)),"대여번호없음"))</f>
        <v/>
      </c>
      <c r="D353" s="11"/>
      <c r="E353" s="9"/>
      <c r="F353" s="10"/>
    </row>
    <row r="354" customFormat="false" ht="15" hidden="false" customHeight="false" outlineLevel="0" collapsed="false">
      <c r="A354" s="15"/>
      <c r="B354" s="10"/>
      <c r="C354" s="18" t="str">
        <f aca="false">IF($B354="","",IFERROR(INDEX(대여내역!$E$3:$E$1002,MATCH($B354,대여내역!$A$3:$A$1002,0)),"대여번호없음"))</f>
        <v/>
      </c>
      <c r="D354" s="11"/>
      <c r="E354" s="9"/>
      <c r="F354" s="10"/>
    </row>
    <row r="355" customFormat="false" ht="15" hidden="false" customHeight="false" outlineLevel="0" collapsed="false">
      <c r="A355" s="15"/>
      <c r="B355" s="10"/>
      <c r="C355" s="18" t="str">
        <f aca="false">IF($B355="","",IFERROR(INDEX(대여내역!$E$3:$E$1002,MATCH($B355,대여내역!$A$3:$A$1002,0)),"대여번호없음"))</f>
        <v/>
      </c>
      <c r="D355" s="11"/>
      <c r="E355" s="9"/>
      <c r="F355" s="10"/>
    </row>
    <row r="356" customFormat="false" ht="15" hidden="false" customHeight="false" outlineLevel="0" collapsed="false">
      <c r="A356" s="15"/>
      <c r="B356" s="10"/>
      <c r="C356" s="18" t="str">
        <f aca="false">IF($B356="","",IFERROR(INDEX(대여내역!$E$3:$E$1002,MATCH($B356,대여내역!$A$3:$A$1002,0)),"대여번호없음"))</f>
        <v/>
      </c>
      <c r="D356" s="11"/>
      <c r="E356" s="9"/>
      <c r="F356" s="10"/>
    </row>
    <row r="357" customFormat="false" ht="15" hidden="false" customHeight="false" outlineLevel="0" collapsed="false">
      <c r="A357" s="15"/>
      <c r="B357" s="10"/>
      <c r="C357" s="18" t="str">
        <f aca="false">IF($B357="","",IFERROR(INDEX(대여내역!$E$3:$E$1002,MATCH($B357,대여내역!$A$3:$A$1002,0)),"대여번호없음"))</f>
        <v/>
      </c>
      <c r="D357" s="11"/>
      <c r="E357" s="9"/>
      <c r="F357" s="10"/>
    </row>
    <row r="358" customFormat="false" ht="15" hidden="false" customHeight="false" outlineLevel="0" collapsed="false">
      <c r="A358" s="15"/>
      <c r="B358" s="10"/>
      <c r="C358" s="18" t="str">
        <f aca="false">IF($B358="","",IFERROR(INDEX(대여내역!$E$3:$E$1002,MATCH($B358,대여내역!$A$3:$A$1002,0)),"대여번호없음"))</f>
        <v/>
      </c>
      <c r="D358" s="11"/>
      <c r="E358" s="9"/>
      <c r="F358" s="10"/>
    </row>
    <row r="359" customFormat="false" ht="15" hidden="false" customHeight="false" outlineLevel="0" collapsed="false">
      <c r="A359" s="15"/>
      <c r="B359" s="10"/>
      <c r="C359" s="18" t="str">
        <f aca="false">IF($B359="","",IFERROR(INDEX(대여내역!$E$3:$E$1002,MATCH($B359,대여내역!$A$3:$A$1002,0)),"대여번호없음"))</f>
        <v/>
      </c>
      <c r="D359" s="11"/>
      <c r="E359" s="9"/>
      <c r="F359" s="10"/>
    </row>
    <row r="360" customFormat="false" ht="15" hidden="false" customHeight="false" outlineLevel="0" collapsed="false">
      <c r="A360" s="15"/>
      <c r="B360" s="10"/>
      <c r="C360" s="18" t="str">
        <f aca="false">IF($B360="","",IFERROR(INDEX(대여내역!$E$3:$E$1002,MATCH($B360,대여내역!$A$3:$A$1002,0)),"대여번호없음"))</f>
        <v/>
      </c>
      <c r="D360" s="11"/>
      <c r="E360" s="9"/>
      <c r="F360" s="10"/>
    </row>
    <row r="361" customFormat="false" ht="15" hidden="false" customHeight="false" outlineLevel="0" collapsed="false">
      <c r="A361" s="15"/>
      <c r="B361" s="10"/>
      <c r="C361" s="18" t="str">
        <f aca="false">IF($B361="","",IFERROR(INDEX(대여내역!$E$3:$E$1002,MATCH($B361,대여내역!$A$3:$A$1002,0)),"대여번호없음"))</f>
        <v/>
      </c>
      <c r="D361" s="11"/>
      <c r="E361" s="9"/>
      <c r="F361" s="10"/>
    </row>
    <row r="362" customFormat="false" ht="15" hidden="false" customHeight="false" outlineLevel="0" collapsed="false">
      <c r="A362" s="15"/>
      <c r="B362" s="10"/>
      <c r="C362" s="18" t="str">
        <f aca="false">IF($B362="","",IFERROR(INDEX(대여내역!$E$3:$E$1002,MATCH($B362,대여내역!$A$3:$A$1002,0)),"대여번호없음"))</f>
        <v/>
      </c>
      <c r="D362" s="11"/>
      <c r="E362" s="9"/>
      <c r="F362" s="10"/>
    </row>
    <row r="363" customFormat="false" ht="15" hidden="false" customHeight="false" outlineLevel="0" collapsed="false">
      <c r="A363" s="15"/>
      <c r="B363" s="10"/>
      <c r="C363" s="18" t="str">
        <f aca="false">IF($B363="","",IFERROR(INDEX(대여내역!$E$3:$E$1002,MATCH($B363,대여내역!$A$3:$A$1002,0)),"대여번호없음"))</f>
        <v/>
      </c>
      <c r="D363" s="11"/>
      <c r="E363" s="9"/>
      <c r="F363" s="10"/>
    </row>
    <row r="364" customFormat="false" ht="15" hidden="false" customHeight="false" outlineLevel="0" collapsed="false">
      <c r="A364" s="15"/>
      <c r="B364" s="10"/>
      <c r="C364" s="18" t="str">
        <f aca="false">IF($B364="","",IFERROR(INDEX(대여내역!$E$3:$E$1002,MATCH($B364,대여내역!$A$3:$A$1002,0)),"대여번호없음"))</f>
        <v/>
      </c>
      <c r="D364" s="11"/>
      <c r="E364" s="9"/>
      <c r="F364" s="10"/>
    </row>
    <row r="365" customFormat="false" ht="15" hidden="false" customHeight="false" outlineLevel="0" collapsed="false">
      <c r="A365" s="15"/>
      <c r="B365" s="10"/>
      <c r="C365" s="18" t="str">
        <f aca="false">IF($B365="","",IFERROR(INDEX(대여내역!$E$3:$E$1002,MATCH($B365,대여내역!$A$3:$A$1002,0)),"대여번호없음"))</f>
        <v/>
      </c>
      <c r="D365" s="11"/>
      <c r="E365" s="9"/>
      <c r="F365" s="10"/>
    </row>
    <row r="366" customFormat="false" ht="15" hidden="false" customHeight="false" outlineLevel="0" collapsed="false">
      <c r="A366" s="15"/>
      <c r="B366" s="10"/>
      <c r="C366" s="18" t="str">
        <f aca="false">IF($B366="","",IFERROR(INDEX(대여내역!$E$3:$E$1002,MATCH($B366,대여내역!$A$3:$A$1002,0)),"대여번호없음"))</f>
        <v/>
      </c>
      <c r="D366" s="11"/>
      <c r="E366" s="9"/>
      <c r="F366" s="10"/>
    </row>
    <row r="367" customFormat="false" ht="15" hidden="false" customHeight="false" outlineLevel="0" collapsed="false">
      <c r="A367" s="15"/>
      <c r="B367" s="10"/>
      <c r="C367" s="18" t="str">
        <f aca="false">IF($B367="","",IFERROR(INDEX(대여내역!$E$3:$E$1002,MATCH($B367,대여내역!$A$3:$A$1002,0)),"대여번호없음"))</f>
        <v/>
      </c>
      <c r="D367" s="11"/>
      <c r="E367" s="9"/>
      <c r="F367" s="10"/>
    </row>
    <row r="368" customFormat="false" ht="15" hidden="false" customHeight="false" outlineLevel="0" collapsed="false">
      <c r="A368" s="15"/>
      <c r="B368" s="10"/>
      <c r="C368" s="18" t="str">
        <f aca="false">IF($B368="","",IFERROR(INDEX(대여내역!$E$3:$E$1002,MATCH($B368,대여내역!$A$3:$A$1002,0)),"대여번호없음"))</f>
        <v/>
      </c>
      <c r="D368" s="11"/>
      <c r="E368" s="9"/>
      <c r="F368" s="10"/>
    </row>
    <row r="369" customFormat="false" ht="15" hidden="false" customHeight="false" outlineLevel="0" collapsed="false">
      <c r="A369" s="15"/>
      <c r="B369" s="10"/>
      <c r="C369" s="18" t="str">
        <f aca="false">IF($B369="","",IFERROR(INDEX(대여내역!$E$3:$E$1002,MATCH($B369,대여내역!$A$3:$A$1002,0)),"대여번호없음"))</f>
        <v/>
      </c>
      <c r="D369" s="11"/>
      <c r="E369" s="9"/>
      <c r="F369" s="10"/>
    </row>
    <row r="370" customFormat="false" ht="15" hidden="false" customHeight="false" outlineLevel="0" collapsed="false">
      <c r="A370" s="15"/>
      <c r="B370" s="10"/>
      <c r="C370" s="18" t="str">
        <f aca="false">IF($B370="","",IFERROR(INDEX(대여내역!$E$3:$E$1002,MATCH($B370,대여내역!$A$3:$A$1002,0)),"대여번호없음"))</f>
        <v/>
      </c>
      <c r="D370" s="11"/>
      <c r="E370" s="9"/>
      <c r="F370" s="10"/>
    </row>
    <row r="371" customFormat="false" ht="15" hidden="false" customHeight="false" outlineLevel="0" collapsed="false">
      <c r="A371" s="15"/>
      <c r="B371" s="10"/>
      <c r="C371" s="18" t="str">
        <f aca="false">IF($B371="","",IFERROR(INDEX(대여내역!$E$3:$E$1002,MATCH($B371,대여내역!$A$3:$A$1002,0)),"대여번호없음"))</f>
        <v/>
      </c>
      <c r="D371" s="11"/>
      <c r="E371" s="9"/>
      <c r="F371" s="10"/>
    </row>
    <row r="372" customFormat="false" ht="15" hidden="false" customHeight="false" outlineLevel="0" collapsed="false">
      <c r="A372" s="15"/>
      <c r="B372" s="10"/>
      <c r="C372" s="18" t="str">
        <f aca="false">IF($B372="","",IFERROR(INDEX(대여내역!$E$3:$E$1002,MATCH($B372,대여내역!$A$3:$A$1002,0)),"대여번호없음"))</f>
        <v/>
      </c>
      <c r="D372" s="11"/>
      <c r="E372" s="9"/>
      <c r="F372" s="10"/>
    </row>
    <row r="373" customFormat="false" ht="15" hidden="false" customHeight="false" outlineLevel="0" collapsed="false">
      <c r="A373" s="15"/>
      <c r="B373" s="10"/>
      <c r="C373" s="18" t="str">
        <f aca="false">IF($B373="","",IFERROR(INDEX(대여내역!$E$3:$E$1002,MATCH($B373,대여내역!$A$3:$A$1002,0)),"대여번호없음"))</f>
        <v/>
      </c>
      <c r="D373" s="11"/>
      <c r="E373" s="9"/>
      <c r="F373" s="10"/>
    </row>
    <row r="374" customFormat="false" ht="15" hidden="false" customHeight="false" outlineLevel="0" collapsed="false">
      <c r="A374" s="15"/>
      <c r="B374" s="10"/>
      <c r="C374" s="18" t="str">
        <f aca="false">IF($B374="","",IFERROR(INDEX(대여내역!$E$3:$E$1002,MATCH($B374,대여내역!$A$3:$A$1002,0)),"대여번호없음"))</f>
        <v/>
      </c>
      <c r="D374" s="11"/>
      <c r="E374" s="9"/>
      <c r="F374" s="10"/>
    </row>
    <row r="375" customFormat="false" ht="15" hidden="false" customHeight="false" outlineLevel="0" collapsed="false">
      <c r="A375" s="15"/>
      <c r="B375" s="10"/>
      <c r="C375" s="18" t="str">
        <f aca="false">IF($B375="","",IFERROR(INDEX(대여내역!$E$3:$E$1002,MATCH($B375,대여내역!$A$3:$A$1002,0)),"대여번호없음"))</f>
        <v/>
      </c>
      <c r="D375" s="11"/>
      <c r="E375" s="9"/>
      <c r="F375" s="10"/>
    </row>
    <row r="376" customFormat="false" ht="15" hidden="false" customHeight="false" outlineLevel="0" collapsed="false">
      <c r="A376" s="15"/>
      <c r="B376" s="10"/>
      <c r="C376" s="18" t="str">
        <f aca="false">IF($B376="","",IFERROR(INDEX(대여내역!$E$3:$E$1002,MATCH($B376,대여내역!$A$3:$A$1002,0)),"대여번호없음"))</f>
        <v/>
      </c>
      <c r="D376" s="11"/>
      <c r="E376" s="9"/>
      <c r="F376" s="10"/>
    </row>
    <row r="377" customFormat="false" ht="15" hidden="false" customHeight="false" outlineLevel="0" collapsed="false">
      <c r="A377" s="15"/>
      <c r="B377" s="10"/>
      <c r="C377" s="18" t="str">
        <f aca="false">IF($B377="","",IFERROR(INDEX(대여내역!$E$3:$E$1002,MATCH($B377,대여내역!$A$3:$A$1002,0)),"대여번호없음"))</f>
        <v/>
      </c>
      <c r="D377" s="11"/>
      <c r="E377" s="9"/>
      <c r="F377" s="10"/>
    </row>
    <row r="378" customFormat="false" ht="15" hidden="false" customHeight="false" outlineLevel="0" collapsed="false">
      <c r="A378" s="15"/>
      <c r="B378" s="10"/>
      <c r="C378" s="18" t="str">
        <f aca="false">IF($B378="","",IFERROR(INDEX(대여내역!$E$3:$E$1002,MATCH($B378,대여내역!$A$3:$A$1002,0)),"대여번호없음"))</f>
        <v/>
      </c>
      <c r="D378" s="11"/>
      <c r="E378" s="9"/>
      <c r="F378" s="10"/>
    </row>
    <row r="379" customFormat="false" ht="15" hidden="false" customHeight="false" outlineLevel="0" collapsed="false">
      <c r="A379" s="15"/>
      <c r="B379" s="10"/>
      <c r="C379" s="18" t="str">
        <f aca="false">IF($B379="","",IFERROR(INDEX(대여내역!$E$3:$E$1002,MATCH($B379,대여내역!$A$3:$A$1002,0)),"대여번호없음"))</f>
        <v/>
      </c>
      <c r="D379" s="11"/>
      <c r="E379" s="9"/>
      <c r="F379" s="10"/>
    </row>
    <row r="380" customFormat="false" ht="15" hidden="false" customHeight="false" outlineLevel="0" collapsed="false">
      <c r="A380" s="15"/>
      <c r="B380" s="10"/>
      <c r="C380" s="18" t="str">
        <f aca="false">IF($B380="","",IFERROR(INDEX(대여내역!$E$3:$E$1002,MATCH($B380,대여내역!$A$3:$A$1002,0)),"대여번호없음"))</f>
        <v/>
      </c>
      <c r="D380" s="11"/>
      <c r="E380" s="9"/>
      <c r="F380" s="10"/>
    </row>
    <row r="381" customFormat="false" ht="15" hidden="false" customHeight="false" outlineLevel="0" collapsed="false">
      <c r="A381" s="15"/>
      <c r="B381" s="10"/>
      <c r="C381" s="18" t="str">
        <f aca="false">IF($B381="","",IFERROR(INDEX(대여내역!$E$3:$E$1002,MATCH($B381,대여내역!$A$3:$A$1002,0)),"대여번호없음"))</f>
        <v/>
      </c>
      <c r="D381" s="11"/>
      <c r="E381" s="9"/>
      <c r="F381" s="10"/>
    </row>
    <row r="382" customFormat="false" ht="15" hidden="false" customHeight="false" outlineLevel="0" collapsed="false">
      <c r="A382" s="15"/>
      <c r="B382" s="10"/>
      <c r="C382" s="18" t="str">
        <f aca="false">IF($B382="","",IFERROR(INDEX(대여내역!$E$3:$E$1002,MATCH($B382,대여내역!$A$3:$A$1002,0)),"대여번호없음"))</f>
        <v/>
      </c>
      <c r="D382" s="11"/>
      <c r="E382" s="9"/>
      <c r="F382" s="10"/>
    </row>
    <row r="383" customFormat="false" ht="15" hidden="false" customHeight="false" outlineLevel="0" collapsed="false">
      <c r="A383" s="15"/>
      <c r="B383" s="10"/>
      <c r="C383" s="18" t="str">
        <f aca="false">IF($B383="","",IFERROR(INDEX(대여내역!$E$3:$E$1002,MATCH($B383,대여내역!$A$3:$A$1002,0)),"대여번호없음"))</f>
        <v/>
      </c>
      <c r="D383" s="11"/>
      <c r="E383" s="9"/>
      <c r="F383" s="10"/>
    </row>
    <row r="384" customFormat="false" ht="15" hidden="false" customHeight="false" outlineLevel="0" collapsed="false">
      <c r="A384" s="15"/>
      <c r="B384" s="10"/>
      <c r="C384" s="18" t="str">
        <f aca="false">IF($B384="","",IFERROR(INDEX(대여내역!$E$3:$E$1002,MATCH($B384,대여내역!$A$3:$A$1002,0)),"대여번호없음"))</f>
        <v/>
      </c>
      <c r="D384" s="11"/>
      <c r="E384" s="9"/>
      <c r="F384" s="10"/>
    </row>
    <row r="385" customFormat="false" ht="15" hidden="false" customHeight="false" outlineLevel="0" collapsed="false">
      <c r="A385" s="15"/>
      <c r="B385" s="10"/>
      <c r="C385" s="18" t="str">
        <f aca="false">IF($B385="","",IFERROR(INDEX(대여내역!$E$3:$E$1002,MATCH($B385,대여내역!$A$3:$A$1002,0)),"대여번호없음"))</f>
        <v/>
      </c>
      <c r="D385" s="11"/>
      <c r="E385" s="9"/>
      <c r="F385" s="10"/>
    </row>
    <row r="386" customFormat="false" ht="15" hidden="false" customHeight="false" outlineLevel="0" collapsed="false">
      <c r="A386" s="15"/>
      <c r="B386" s="10"/>
      <c r="C386" s="18" t="str">
        <f aca="false">IF($B386="","",IFERROR(INDEX(대여내역!$E$3:$E$1002,MATCH($B386,대여내역!$A$3:$A$1002,0)),"대여번호없음"))</f>
        <v/>
      </c>
      <c r="D386" s="11"/>
      <c r="E386" s="9"/>
      <c r="F386" s="10"/>
    </row>
    <row r="387" customFormat="false" ht="15" hidden="false" customHeight="false" outlineLevel="0" collapsed="false">
      <c r="A387" s="15"/>
      <c r="B387" s="10"/>
      <c r="C387" s="18" t="str">
        <f aca="false">IF($B387="","",IFERROR(INDEX(대여내역!$E$3:$E$1002,MATCH($B387,대여내역!$A$3:$A$1002,0)),"대여번호없음"))</f>
        <v/>
      </c>
      <c r="D387" s="11"/>
      <c r="E387" s="9"/>
      <c r="F387" s="10"/>
    </row>
    <row r="388" customFormat="false" ht="15" hidden="false" customHeight="false" outlineLevel="0" collapsed="false">
      <c r="A388" s="15"/>
      <c r="B388" s="10"/>
      <c r="C388" s="18" t="str">
        <f aca="false">IF($B388="","",IFERROR(INDEX(대여내역!$E$3:$E$1002,MATCH($B388,대여내역!$A$3:$A$1002,0)),"대여번호없음"))</f>
        <v/>
      </c>
      <c r="D388" s="11"/>
      <c r="E388" s="9"/>
      <c r="F388" s="10"/>
    </row>
    <row r="389" customFormat="false" ht="15" hidden="false" customHeight="false" outlineLevel="0" collapsed="false">
      <c r="A389" s="15"/>
      <c r="B389" s="10"/>
      <c r="C389" s="18" t="str">
        <f aca="false">IF($B389="","",IFERROR(INDEX(대여내역!$E$3:$E$1002,MATCH($B389,대여내역!$A$3:$A$1002,0)),"대여번호없음"))</f>
        <v/>
      </c>
      <c r="D389" s="11"/>
      <c r="E389" s="9"/>
      <c r="F389" s="10"/>
    </row>
    <row r="390" customFormat="false" ht="15" hidden="false" customHeight="false" outlineLevel="0" collapsed="false">
      <c r="A390" s="15"/>
      <c r="B390" s="10"/>
      <c r="C390" s="18" t="str">
        <f aca="false">IF($B390="","",IFERROR(INDEX(대여내역!$E$3:$E$1002,MATCH($B390,대여내역!$A$3:$A$1002,0)),"대여번호없음"))</f>
        <v/>
      </c>
      <c r="D390" s="11"/>
      <c r="E390" s="9"/>
      <c r="F390" s="10"/>
    </row>
    <row r="391" customFormat="false" ht="15" hidden="false" customHeight="false" outlineLevel="0" collapsed="false">
      <c r="A391" s="15"/>
      <c r="B391" s="10"/>
      <c r="C391" s="18" t="str">
        <f aca="false">IF($B391="","",IFERROR(INDEX(대여내역!$E$3:$E$1002,MATCH($B391,대여내역!$A$3:$A$1002,0)),"대여번호없음"))</f>
        <v/>
      </c>
      <c r="D391" s="11"/>
      <c r="E391" s="9"/>
      <c r="F391" s="10"/>
    </row>
    <row r="392" customFormat="false" ht="15" hidden="false" customHeight="false" outlineLevel="0" collapsed="false">
      <c r="A392" s="15"/>
      <c r="B392" s="10"/>
      <c r="C392" s="18" t="str">
        <f aca="false">IF($B392="","",IFERROR(INDEX(대여내역!$E$3:$E$1002,MATCH($B392,대여내역!$A$3:$A$1002,0)),"대여번호없음"))</f>
        <v/>
      </c>
      <c r="D392" s="11"/>
      <c r="E392" s="9"/>
      <c r="F392" s="10"/>
    </row>
    <row r="393" customFormat="false" ht="15" hidden="false" customHeight="false" outlineLevel="0" collapsed="false">
      <c r="A393" s="15"/>
      <c r="B393" s="10"/>
      <c r="C393" s="18" t="str">
        <f aca="false">IF($B393="","",IFERROR(INDEX(대여내역!$E$3:$E$1002,MATCH($B393,대여내역!$A$3:$A$1002,0)),"대여번호없음"))</f>
        <v/>
      </c>
      <c r="D393" s="11"/>
      <c r="E393" s="9"/>
      <c r="F393" s="10"/>
    </row>
    <row r="394" customFormat="false" ht="15" hidden="false" customHeight="false" outlineLevel="0" collapsed="false">
      <c r="A394" s="15"/>
      <c r="B394" s="10"/>
      <c r="C394" s="18" t="str">
        <f aca="false">IF($B394="","",IFERROR(INDEX(대여내역!$E$3:$E$1002,MATCH($B394,대여내역!$A$3:$A$1002,0)),"대여번호없음"))</f>
        <v/>
      </c>
      <c r="D394" s="11"/>
      <c r="E394" s="9"/>
      <c r="F394" s="10"/>
    </row>
    <row r="395" customFormat="false" ht="15" hidden="false" customHeight="false" outlineLevel="0" collapsed="false">
      <c r="A395" s="15"/>
      <c r="B395" s="10"/>
      <c r="C395" s="18" t="str">
        <f aca="false">IF($B395="","",IFERROR(INDEX(대여내역!$E$3:$E$1002,MATCH($B395,대여내역!$A$3:$A$1002,0)),"대여번호없음"))</f>
        <v/>
      </c>
      <c r="D395" s="11"/>
      <c r="E395" s="9"/>
      <c r="F395" s="10"/>
    </row>
    <row r="396" customFormat="false" ht="15" hidden="false" customHeight="false" outlineLevel="0" collapsed="false">
      <c r="A396" s="15"/>
      <c r="B396" s="10"/>
      <c r="C396" s="18" t="str">
        <f aca="false">IF($B396="","",IFERROR(INDEX(대여내역!$E$3:$E$1002,MATCH($B396,대여내역!$A$3:$A$1002,0)),"대여번호없음"))</f>
        <v/>
      </c>
      <c r="D396" s="11"/>
      <c r="E396" s="9"/>
      <c r="F396" s="10"/>
    </row>
    <row r="397" customFormat="false" ht="15" hidden="false" customHeight="false" outlineLevel="0" collapsed="false">
      <c r="A397" s="15"/>
      <c r="B397" s="10"/>
      <c r="C397" s="18" t="str">
        <f aca="false">IF($B397="","",IFERROR(INDEX(대여내역!$E$3:$E$1002,MATCH($B397,대여내역!$A$3:$A$1002,0)),"대여번호없음"))</f>
        <v/>
      </c>
      <c r="D397" s="11"/>
      <c r="E397" s="9"/>
      <c r="F397" s="10"/>
    </row>
    <row r="398" customFormat="false" ht="15" hidden="false" customHeight="false" outlineLevel="0" collapsed="false">
      <c r="A398" s="15"/>
      <c r="B398" s="10"/>
      <c r="C398" s="18" t="str">
        <f aca="false">IF($B398="","",IFERROR(INDEX(대여내역!$E$3:$E$1002,MATCH($B398,대여내역!$A$3:$A$1002,0)),"대여번호없음"))</f>
        <v/>
      </c>
      <c r="D398" s="11"/>
      <c r="E398" s="9"/>
      <c r="F398" s="10"/>
    </row>
    <row r="399" customFormat="false" ht="15" hidden="false" customHeight="false" outlineLevel="0" collapsed="false">
      <c r="A399" s="15"/>
      <c r="B399" s="10"/>
      <c r="C399" s="18" t="str">
        <f aca="false">IF($B399="","",IFERROR(INDEX(대여내역!$E$3:$E$1002,MATCH($B399,대여내역!$A$3:$A$1002,0)),"대여번호없음"))</f>
        <v/>
      </c>
      <c r="D399" s="11"/>
      <c r="E399" s="9"/>
      <c r="F399" s="10"/>
    </row>
    <row r="400" customFormat="false" ht="15" hidden="false" customHeight="false" outlineLevel="0" collapsed="false">
      <c r="A400" s="15"/>
      <c r="B400" s="10"/>
      <c r="C400" s="18" t="str">
        <f aca="false">IF($B400="","",IFERROR(INDEX(대여내역!$E$3:$E$1002,MATCH($B400,대여내역!$A$3:$A$1002,0)),"대여번호없음"))</f>
        <v/>
      </c>
      <c r="D400" s="11"/>
      <c r="E400" s="9"/>
      <c r="F400" s="10"/>
    </row>
    <row r="401" customFormat="false" ht="15" hidden="false" customHeight="false" outlineLevel="0" collapsed="false">
      <c r="A401" s="15"/>
      <c r="B401" s="10"/>
      <c r="C401" s="18" t="str">
        <f aca="false">IF($B401="","",IFERROR(INDEX(대여내역!$E$3:$E$1002,MATCH($B401,대여내역!$A$3:$A$1002,0)),"대여번호없음"))</f>
        <v/>
      </c>
      <c r="D401" s="11"/>
      <c r="E401" s="9"/>
      <c r="F401" s="10"/>
    </row>
    <row r="402" customFormat="false" ht="15" hidden="false" customHeight="false" outlineLevel="0" collapsed="false">
      <c r="A402" s="15"/>
      <c r="B402" s="10"/>
      <c r="C402" s="18" t="str">
        <f aca="false">IF($B402="","",IFERROR(INDEX(대여내역!$E$3:$E$1002,MATCH($B402,대여내역!$A$3:$A$1002,0)),"대여번호없음"))</f>
        <v/>
      </c>
      <c r="D402" s="11"/>
      <c r="E402" s="9"/>
      <c r="F402" s="10"/>
    </row>
    <row r="403" customFormat="false" ht="15" hidden="false" customHeight="false" outlineLevel="0" collapsed="false">
      <c r="A403" s="15"/>
      <c r="B403" s="10"/>
      <c r="C403" s="18" t="str">
        <f aca="false">IF($B403="","",IFERROR(INDEX(대여내역!$E$3:$E$1002,MATCH($B403,대여내역!$A$3:$A$1002,0)),"대여번호없음"))</f>
        <v/>
      </c>
      <c r="D403" s="11"/>
      <c r="E403" s="9"/>
      <c r="F403" s="10"/>
    </row>
    <row r="404" customFormat="false" ht="15" hidden="false" customHeight="false" outlineLevel="0" collapsed="false">
      <c r="A404" s="15"/>
      <c r="B404" s="10"/>
      <c r="C404" s="18" t="str">
        <f aca="false">IF($B404="","",IFERROR(INDEX(대여내역!$E$3:$E$1002,MATCH($B404,대여내역!$A$3:$A$1002,0)),"대여번호없음"))</f>
        <v/>
      </c>
      <c r="D404" s="11"/>
      <c r="E404" s="9"/>
      <c r="F404" s="10"/>
    </row>
    <row r="405" customFormat="false" ht="15" hidden="false" customHeight="false" outlineLevel="0" collapsed="false">
      <c r="A405" s="15"/>
      <c r="B405" s="10"/>
      <c r="C405" s="18" t="str">
        <f aca="false">IF($B405="","",IFERROR(INDEX(대여내역!$E$3:$E$1002,MATCH($B405,대여내역!$A$3:$A$1002,0)),"대여번호없음"))</f>
        <v/>
      </c>
      <c r="D405" s="11"/>
      <c r="E405" s="9"/>
      <c r="F405" s="10"/>
    </row>
    <row r="406" customFormat="false" ht="15" hidden="false" customHeight="false" outlineLevel="0" collapsed="false">
      <c r="A406" s="15"/>
      <c r="B406" s="10"/>
      <c r="C406" s="18" t="str">
        <f aca="false">IF($B406="","",IFERROR(INDEX(대여내역!$E$3:$E$1002,MATCH($B406,대여내역!$A$3:$A$1002,0)),"대여번호없음"))</f>
        <v/>
      </c>
      <c r="D406" s="11"/>
      <c r="E406" s="9"/>
      <c r="F406" s="10"/>
    </row>
    <row r="407" customFormat="false" ht="15" hidden="false" customHeight="false" outlineLevel="0" collapsed="false">
      <c r="A407" s="15"/>
      <c r="B407" s="10"/>
      <c r="C407" s="18" t="str">
        <f aca="false">IF($B407="","",IFERROR(INDEX(대여내역!$E$3:$E$1002,MATCH($B407,대여내역!$A$3:$A$1002,0)),"대여번호없음"))</f>
        <v/>
      </c>
      <c r="D407" s="11"/>
      <c r="E407" s="9"/>
      <c r="F407" s="10"/>
    </row>
    <row r="408" customFormat="false" ht="15" hidden="false" customHeight="false" outlineLevel="0" collapsed="false">
      <c r="A408" s="15"/>
      <c r="B408" s="10"/>
      <c r="C408" s="18" t="str">
        <f aca="false">IF($B408="","",IFERROR(INDEX(대여내역!$E$3:$E$1002,MATCH($B408,대여내역!$A$3:$A$1002,0)),"대여번호없음"))</f>
        <v/>
      </c>
      <c r="D408" s="11"/>
      <c r="E408" s="9"/>
      <c r="F408" s="10"/>
    </row>
    <row r="409" customFormat="false" ht="15" hidden="false" customHeight="false" outlineLevel="0" collapsed="false">
      <c r="A409" s="15"/>
      <c r="B409" s="10"/>
      <c r="C409" s="18" t="str">
        <f aca="false">IF($B409="","",IFERROR(INDEX(대여내역!$E$3:$E$1002,MATCH($B409,대여내역!$A$3:$A$1002,0)),"대여번호없음"))</f>
        <v/>
      </c>
      <c r="D409" s="11"/>
      <c r="E409" s="9"/>
      <c r="F409" s="10"/>
    </row>
    <row r="410" customFormat="false" ht="15" hidden="false" customHeight="false" outlineLevel="0" collapsed="false">
      <c r="A410" s="15"/>
      <c r="B410" s="10"/>
      <c r="C410" s="18" t="str">
        <f aca="false">IF($B410="","",IFERROR(INDEX(대여내역!$E$3:$E$1002,MATCH($B410,대여내역!$A$3:$A$1002,0)),"대여번호없음"))</f>
        <v/>
      </c>
      <c r="D410" s="11"/>
      <c r="E410" s="9"/>
      <c r="F410" s="10"/>
    </row>
    <row r="411" customFormat="false" ht="15" hidden="false" customHeight="false" outlineLevel="0" collapsed="false">
      <c r="A411" s="15"/>
      <c r="B411" s="10"/>
      <c r="C411" s="18" t="str">
        <f aca="false">IF($B411="","",IFERROR(INDEX(대여내역!$E$3:$E$1002,MATCH($B411,대여내역!$A$3:$A$1002,0)),"대여번호없음"))</f>
        <v/>
      </c>
      <c r="D411" s="11"/>
      <c r="E411" s="9"/>
      <c r="F411" s="10"/>
    </row>
    <row r="412" customFormat="false" ht="15" hidden="false" customHeight="false" outlineLevel="0" collapsed="false">
      <c r="A412" s="15"/>
      <c r="B412" s="10"/>
      <c r="C412" s="18" t="str">
        <f aca="false">IF($B412="","",IFERROR(INDEX(대여내역!$E$3:$E$1002,MATCH($B412,대여내역!$A$3:$A$1002,0)),"대여번호없음"))</f>
        <v/>
      </c>
      <c r="D412" s="11"/>
      <c r="E412" s="9"/>
      <c r="F412" s="10"/>
    </row>
    <row r="413" customFormat="false" ht="15" hidden="false" customHeight="false" outlineLevel="0" collapsed="false">
      <c r="A413" s="15"/>
      <c r="B413" s="10"/>
      <c r="C413" s="18" t="str">
        <f aca="false">IF($B413="","",IFERROR(INDEX(대여내역!$E$3:$E$1002,MATCH($B413,대여내역!$A$3:$A$1002,0)),"대여번호없음"))</f>
        <v/>
      </c>
      <c r="D413" s="11"/>
      <c r="E413" s="9"/>
      <c r="F413" s="10"/>
    </row>
    <row r="414" customFormat="false" ht="15" hidden="false" customHeight="false" outlineLevel="0" collapsed="false">
      <c r="A414" s="15"/>
      <c r="B414" s="10"/>
      <c r="C414" s="18" t="str">
        <f aca="false">IF($B414="","",IFERROR(INDEX(대여내역!$E$3:$E$1002,MATCH($B414,대여내역!$A$3:$A$1002,0)),"대여번호없음"))</f>
        <v/>
      </c>
      <c r="D414" s="11"/>
      <c r="E414" s="9"/>
      <c r="F414" s="10"/>
    </row>
    <row r="415" customFormat="false" ht="15" hidden="false" customHeight="false" outlineLevel="0" collapsed="false">
      <c r="A415" s="15"/>
      <c r="B415" s="10"/>
      <c r="C415" s="18" t="str">
        <f aca="false">IF($B415="","",IFERROR(INDEX(대여내역!$E$3:$E$1002,MATCH($B415,대여내역!$A$3:$A$1002,0)),"대여번호없음"))</f>
        <v/>
      </c>
      <c r="D415" s="11"/>
      <c r="E415" s="9"/>
      <c r="F415" s="10"/>
    </row>
    <row r="416" customFormat="false" ht="15" hidden="false" customHeight="false" outlineLevel="0" collapsed="false">
      <c r="A416" s="15"/>
      <c r="B416" s="10"/>
      <c r="C416" s="18" t="str">
        <f aca="false">IF($B416="","",IFERROR(INDEX(대여내역!$E$3:$E$1002,MATCH($B416,대여내역!$A$3:$A$1002,0)),"대여번호없음"))</f>
        <v/>
      </c>
      <c r="D416" s="11"/>
      <c r="E416" s="9"/>
      <c r="F416" s="10"/>
    </row>
    <row r="417" customFormat="false" ht="15" hidden="false" customHeight="false" outlineLevel="0" collapsed="false">
      <c r="A417" s="15"/>
      <c r="B417" s="10"/>
      <c r="C417" s="18" t="str">
        <f aca="false">IF($B417="","",IFERROR(INDEX(대여내역!$E$3:$E$1002,MATCH($B417,대여내역!$A$3:$A$1002,0)),"대여번호없음"))</f>
        <v/>
      </c>
      <c r="D417" s="11"/>
      <c r="E417" s="9"/>
      <c r="F417" s="10"/>
    </row>
    <row r="418" customFormat="false" ht="15" hidden="false" customHeight="false" outlineLevel="0" collapsed="false">
      <c r="A418" s="15"/>
      <c r="B418" s="10"/>
      <c r="C418" s="18" t="str">
        <f aca="false">IF($B418="","",IFERROR(INDEX(대여내역!$E$3:$E$1002,MATCH($B418,대여내역!$A$3:$A$1002,0)),"대여번호없음"))</f>
        <v/>
      </c>
      <c r="D418" s="11"/>
      <c r="E418" s="9"/>
      <c r="F418" s="10"/>
    </row>
    <row r="419" customFormat="false" ht="15" hidden="false" customHeight="false" outlineLevel="0" collapsed="false">
      <c r="A419" s="15"/>
      <c r="B419" s="10"/>
      <c r="C419" s="18" t="str">
        <f aca="false">IF($B419="","",IFERROR(INDEX(대여내역!$E$3:$E$1002,MATCH($B419,대여내역!$A$3:$A$1002,0)),"대여번호없음"))</f>
        <v/>
      </c>
      <c r="D419" s="11"/>
      <c r="E419" s="9"/>
      <c r="F419" s="10"/>
    </row>
    <row r="420" customFormat="false" ht="15" hidden="false" customHeight="false" outlineLevel="0" collapsed="false">
      <c r="A420" s="15"/>
      <c r="B420" s="10"/>
      <c r="C420" s="18" t="str">
        <f aca="false">IF($B420="","",IFERROR(INDEX(대여내역!$E$3:$E$1002,MATCH($B420,대여내역!$A$3:$A$1002,0)),"대여번호없음"))</f>
        <v/>
      </c>
      <c r="D420" s="11"/>
      <c r="E420" s="9"/>
      <c r="F420" s="10"/>
    </row>
    <row r="421" customFormat="false" ht="15" hidden="false" customHeight="false" outlineLevel="0" collapsed="false">
      <c r="A421" s="15"/>
      <c r="B421" s="10"/>
      <c r="C421" s="18" t="str">
        <f aca="false">IF($B421="","",IFERROR(INDEX(대여내역!$E$3:$E$1002,MATCH($B421,대여내역!$A$3:$A$1002,0)),"대여번호없음"))</f>
        <v/>
      </c>
      <c r="D421" s="11"/>
      <c r="E421" s="9"/>
      <c r="F421" s="10"/>
    </row>
    <row r="422" customFormat="false" ht="15" hidden="false" customHeight="false" outlineLevel="0" collapsed="false">
      <c r="A422" s="15"/>
      <c r="B422" s="10"/>
      <c r="C422" s="18" t="str">
        <f aca="false">IF($B422="","",IFERROR(INDEX(대여내역!$E$3:$E$1002,MATCH($B422,대여내역!$A$3:$A$1002,0)),"대여번호없음"))</f>
        <v/>
      </c>
      <c r="D422" s="11"/>
      <c r="E422" s="9"/>
      <c r="F422" s="10"/>
    </row>
    <row r="423" customFormat="false" ht="15" hidden="false" customHeight="false" outlineLevel="0" collapsed="false">
      <c r="A423" s="15"/>
      <c r="B423" s="10"/>
      <c r="C423" s="18" t="str">
        <f aca="false">IF($B423="","",IFERROR(INDEX(대여내역!$E$3:$E$1002,MATCH($B423,대여내역!$A$3:$A$1002,0)),"대여번호없음"))</f>
        <v/>
      </c>
      <c r="D423" s="11"/>
      <c r="E423" s="9"/>
      <c r="F423" s="10"/>
    </row>
    <row r="424" customFormat="false" ht="15" hidden="false" customHeight="false" outlineLevel="0" collapsed="false">
      <c r="A424" s="15"/>
      <c r="B424" s="10"/>
      <c r="C424" s="18" t="str">
        <f aca="false">IF($B424="","",IFERROR(INDEX(대여내역!$E$3:$E$1002,MATCH($B424,대여내역!$A$3:$A$1002,0)),"대여번호없음"))</f>
        <v/>
      </c>
      <c r="D424" s="11"/>
      <c r="E424" s="9"/>
      <c r="F424" s="10"/>
    </row>
    <row r="425" customFormat="false" ht="15" hidden="false" customHeight="false" outlineLevel="0" collapsed="false">
      <c r="A425" s="15"/>
      <c r="B425" s="10"/>
      <c r="C425" s="18" t="str">
        <f aca="false">IF($B425="","",IFERROR(INDEX(대여내역!$E$3:$E$1002,MATCH($B425,대여내역!$A$3:$A$1002,0)),"대여번호없음"))</f>
        <v/>
      </c>
      <c r="D425" s="11"/>
      <c r="E425" s="9"/>
      <c r="F425" s="10"/>
    </row>
    <row r="426" customFormat="false" ht="15" hidden="false" customHeight="false" outlineLevel="0" collapsed="false">
      <c r="A426" s="15"/>
      <c r="B426" s="10"/>
      <c r="C426" s="18" t="str">
        <f aca="false">IF($B426="","",IFERROR(INDEX(대여내역!$E$3:$E$1002,MATCH($B426,대여내역!$A$3:$A$1002,0)),"대여번호없음"))</f>
        <v/>
      </c>
      <c r="D426" s="11"/>
      <c r="E426" s="9"/>
      <c r="F426" s="10"/>
    </row>
    <row r="427" customFormat="false" ht="15" hidden="false" customHeight="false" outlineLevel="0" collapsed="false">
      <c r="A427" s="15"/>
      <c r="B427" s="10"/>
      <c r="C427" s="18" t="str">
        <f aca="false">IF($B427="","",IFERROR(INDEX(대여내역!$E$3:$E$1002,MATCH($B427,대여내역!$A$3:$A$1002,0)),"대여번호없음"))</f>
        <v/>
      </c>
      <c r="D427" s="11"/>
      <c r="E427" s="9"/>
      <c r="F427" s="10"/>
    </row>
    <row r="428" customFormat="false" ht="15" hidden="false" customHeight="false" outlineLevel="0" collapsed="false">
      <c r="A428" s="15"/>
      <c r="B428" s="10"/>
      <c r="C428" s="18" t="str">
        <f aca="false">IF($B428="","",IFERROR(INDEX(대여내역!$E$3:$E$1002,MATCH($B428,대여내역!$A$3:$A$1002,0)),"대여번호없음"))</f>
        <v/>
      </c>
      <c r="D428" s="11"/>
      <c r="E428" s="9"/>
      <c r="F428" s="10"/>
    </row>
    <row r="429" customFormat="false" ht="15" hidden="false" customHeight="false" outlineLevel="0" collapsed="false">
      <c r="A429" s="15"/>
      <c r="B429" s="10"/>
      <c r="C429" s="18" t="str">
        <f aca="false">IF($B429="","",IFERROR(INDEX(대여내역!$E$3:$E$1002,MATCH($B429,대여내역!$A$3:$A$1002,0)),"대여번호없음"))</f>
        <v/>
      </c>
      <c r="D429" s="11"/>
      <c r="E429" s="9"/>
      <c r="F429" s="10"/>
    </row>
    <row r="430" customFormat="false" ht="15" hidden="false" customHeight="false" outlineLevel="0" collapsed="false">
      <c r="A430" s="15"/>
      <c r="B430" s="10"/>
      <c r="C430" s="18" t="str">
        <f aca="false">IF($B430="","",IFERROR(INDEX(대여내역!$E$3:$E$1002,MATCH($B430,대여내역!$A$3:$A$1002,0)),"대여번호없음"))</f>
        <v/>
      </c>
      <c r="D430" s="11"/>
      <c r="E430" s="9"/>
      <c r="F430" s="10"/>
    </row>
    <row r="431" customFormat="false" ht="15" hidden="false" customHeight="false" outlineLevel="0" collapsed="false">
      <c r="A431" s="15"/>
      <c r="B431" s="10"/>
      <c r="C431" s="18" t="str">
        <f aca="false">IF($B431="","",IFERROR(INDEX(대여내역!$E$3:$E$1002,MATCH($B431,대여내역!$A$3:$A$1002,0)),"대여번호없음"))</f>
        <v/>
      </c>
      <c r="D431" s="11"/>
      <c r="E431" s="9"/>
      <c r="F431" s="10"/>
    </row>
    <row r="432" customFormat="false" ht="15" hidden="false" customHeight="false" outlineLevel="0" collapsed="false">
      <c r="A432" s="15"/>
      <c r="B432" s="10"/>
      <c r="C432" s="18" t="str">
        <f aca="false">IF($B432="","",IFERROR(INDEX(대여내역!$E$3:$E$1002,MATCH($B432,대여내역!$A$3:$A$1002,0)),"대여번호없음"))</f>
        <v/>
      </c>
      <c r="D432" s="11"/>
      <c r="E432" s="9"/>
      <c r="F432" s="10"/>
    </row>
    <row r="433" customFormat="false" ht="15" hidden="false" customHeight="false" outlineLevel="0" collapsed="false">
      <c r="A433" s="15"/>
      <c r="B433" s="10"/>
      <c r="C433" s="18" t="str">
        <f aca="false">IF($B433="","",IFERROR(INDEX(대여내역!$E$3:$E$1002,MATCH($B433,대여내역!$A$3:$A$1002,0)),"대여번호없음"))</f>
        <v/>
      </c>
      <c r="D433" s="11"/>
      <c r="E433" s="9"/>
      <c r="F433" s="10"/>
    </row>
    <row r="434" customFormat="false" ht="15" hidden="false" customHeight="false" outlineLevel="0" collapsed="false">
      <c r="A434" s="15"/>
      <c r="B434" s="10"/>
      <c r="C434" s="18" t="str">
        <f aca="false">IF($B434="","",IFERROR(INDEX(대여내역!$E$3:$E$1002,MATCH($B434,대여내역!$A$3:$A$1002,0)),"대여번호없음"))</f>
        <v/>
      </c>
      <c r="D434" s="11"/>
      <c r="E434" s="9"/>
      <c r="F434" s="10"/>
    </row>
    <row r="435" customFormat="false" ht="15" hidden="false" customHeight="false" outlineLevel="0" collapsed="false">
      <c r="A435" s="15"/>
      <c r="B435" s="10"/>
      <c r="C435" s="18" t="str">
        <f aca="false">IF($B435="","",IFERROR(INDEX(대여내역!$E$3:$E$1002,MATCH($B435,대여내역!$A$3:$A$1002,0)),"대여번호없음"))</f>
        <v/>
      </c>
      <c r="D435" s="11"/>
      <c r="E435" s="9"/>
      <c r="F435" s="10"/>
    </row>
    <row r="436" customFormat="false" ht="15" hidden="false" customHeight="false" outlineLevel="0" collapsed="false">
      <c r="A436" s="15"/>
      <c r="B436" s="10"/>
      <c r="C436" s="18" t="str">
        <f aca="false">IF($B436="","",IFERROR(INDEX(대여내역!$E$3:$E$1002,MATCH($B436,대여내역!$A$3:$A$1002,0)),"대여번호없음"))</f>
        <v/>
      </c>
      <c r="D436" s="11"/>
      <c r="E436" s="9"/>
      <c r="F436" s="10"/>
    </row>
    <row r="437" customFormat="false" ht="15" hidden="false" customHeight="false" outlineLevel="0" collapsed="false">
      <c r="A437" s="15"/>
      <c r="B437" s="10"/>
      <c r="C437" s="18" t="str">
        <f aca="false">IF($B437="","",IFERROR(INDEX(대여내역!$E$3:$E$1002,MATCH($B437,대여내역!$A$3:$A$1002,0)),"대여번호없음"))</f>
        <v/>
      </c>
      <c r="D437" s="11"/>
      <c r="E437" s="9"/>
      <c r="F437" s="10"/>
    </row>
    <row r="438" customFormat="false" ht="15" hidden="false" customHeight="false" outlineLevel="0" collapsed="false">
      <c r="A438" s="15"/>
      <c r="B438" s="10"/>
      <c r="C438" s="18" t="str">
        <f aca="false">IF($B438="","",IFERROR(INDEX(대여내역!$E$3:$E$1002,MATCH($B438,대여내역!$A$3:$A$1002,0)),"대여번호없음"))</f>
        <v/>
      </c>
      <c r="D438" s="11"/>
      <c r="E438" s="9"/>
      <c r="F438" s="10"/>
    </row>
    <row r="439" customFormat="false" ht="15" hidden="false" customHeight="false" outlineLevel="0" collapsed="false">
      <c r="A439" s="15"/>
      <c r="B439" s="10"/>
      <c r="C439" s="18" t="str">
        <f aca="false">IF($B439="","",IFERROR(INDEX(대여내역!$E$3:$E$1002,MATCH($B439,대여내역!$A$3:$A$1002,0)),"대여번호없음"))</f>
        <v/>
      </c>
      <c r="D439" s="11"/>
      <c r="E439" s="9"/>
      <c r="F439" s="10"/>
    </row>
    <row r="440" customFormat="false" ht="15" hidden="false" customHeight="false" outlineLevel="0" collapsed="false">
      <c r="A440" s="15"/>
      <c r="B440" s="10"/>
      <c r="C440" s="18" t="str">
        <f aca="false">IF($B440="","",IFERROR(INDEX(대여내역!$E$3:$E$1002,MATCH($B440,대여내역!$A$3:$A$1002,0)),"대여번호없음"))</f>
        <v/>
      </c>
      <c r="D440" s="11"/>
      <c r="E440" s="9"/>
      <c r="F440" s="10"/>
    </row>
    <row r="441" customFormat="false" ht="15" hidden="false" customHeight="false" outlineLevel="0" collapsed="false">
      <c r="A441" s="15"/>
      <c r="B441" s="10"/>
      <c r="C441" s="18" t="str">
        <f aca="false">IF($B441="","",IFERROR(INDEX(대여내역!$E$3:$E$1002,MATCH($B441,대여내역!$A$3:$A$1002,0)),"대여번호없음"))</f>
        <v/>
      </c>
      <c r="D441" s="11"/>
      <c r="E441" s="9"/>
      <c r="F441" s="10"/>
    </row>
    <row r="442" customFormat="false" ht="15" hidden="false" customHeight="false" outlineLevel="0" collapsed="false">
      <c r="A442" s="15"/>
      <c r="B442" s="10"/>
      <c r="C442" s="18" t="str">
        <f aca="false">IF($B442="","",IFERROR(INDEX(대여내역!$E$3:$E$1002,MATCH($B442,대여내역!$A$3:$A$1002,0)),"대여번호없음"))</f>
        <v/>
      </c>
      <c r="D442" s="11"/>
      <c r="E442" s="9"/>
      <c r="F442" s="10"/>
    </row>
    <row r="443" customFormat="false" ht="15" hidden="false" customHeight="false" outlineLevel="0" collapsed="false">
      <c r="A443" s="15"/>
      <c r="B443" s="10"/>
      <c r="C443" s="18" t="str">
        <f aca="false">IF($B443="","",IFERROR(INDEX(대여내역!$E$3:$E$1002,MATCH($B443,대여내역!$A$3:$A$1002,0)),"대여번호없음"))</f>
        <v/>
      </c>
      <c r="D443" s="11"/>
      <c r="E443" s="9"/>
      <c r="F443" s="10"/>
    </row>
    <row r="444" customFormat="false" ht="15" hidden="false" customHeight="false" outlineLevel="0" collapsed="false">
      <c r="A444" s="15"/>
      <c r="B444" s="10"/>
      <c r="C444" s="18" t="str">
        <f aca="false">IF($B444="","",IFERROR(INDEX(대여내역!$E$3:$E$1002,MATCH($B444,대여내역!$A$3:$A$1002,0)),"대여번호없음"))</f>
        <v/>
      </c>
      <c r="D444" s="11"/>
      <c r="E444" s="9"/>
      <c r="F444" s="10"/>
    </row>
    <row r="445" customFormat="false" ht="15" hidden="false" customHeight="false" outlineLevel="0" collapsed="false">
      <c r="A445" s="15"/>
      <c r="B445" s="10"/>
      <c r="C445" s="18" t="str">
        <f aca="false">IF($B445="","",IFERROR(INDEX(대여내역!$E$3:$E$1002,MATCH($B445,대여내역!$A$3:$A$1002,0)),"대여번호없음"))</f>
        <v/>
      </c>
      <c r="D445" s="11"/>
      <c r="E445" s="9"/>
      <c r="F445" s="10"/>
    </row>
    <row r="446" customFormat="false" ht="15" hidden="false" customHeight="false" outlineLevel="0" collapsed="false">
      <c r="A446" s="15"/>
      <c r="B446" s="10"/>
      <c r="C446" s="18" t="str">
        <f aca="false">IF($B446="","",IFERROR(INDEX(대여내역!$E$3:$E$1002,MATCH($B446,대여내역!$A$3:$A$1002,0)),"대여번호없음"))</f>
        <v/>
      </c>
      <c r="D446" s="11"/>
      <c r="E446" s="9"/>
      <c r="F446" s="10"/>
    </row>
    <row r="447" customFormat="false" ht="15" hidden="false" customHeight="false" outlineLevel="0" collapsed="false">
      <c r="A447" s="15"/>
      <c r="B447" s="10"/>
      <c r="C447" s="18" t="str">
        <f aca="false">IF($B447="","",IFERROR(INDEX(대여내역!$E$3:$E$1002,MATCH($B447,대여내역!$A$3:$A$1002,0)),"대여번호없음"))</f>
        <v/>
      </c>
      <c r="D447" s="11"/>
      <c r="E447" s="9"/>
      <c r="F447" s="10"/>
    </row>
    <row r="448" customFormat="false" ht="15" hidden="false" customHeight="false" outlineLevel="0" collapsed="false">
      <c r="A448" s="15"/>
      <c r="B448" s="10"/>
      <c r="C448" s="18" t="str">
        <f aca="false">IF($B448="","",IFERROR(INDEX(대여내역!$E$3:$E$1002,MATCH($B448,대여내역!$A$3:$A$1002,0)),"대여번호없음"))</f>
        <v/>
      </c>
      <c r="D448" s="11"/>
      <c r="E448" s="9"/>
      <c r="F448" s="10"/>
    </row>
    <row r="449" customFormat="false" ht="15" hidden="false" customHeight="false" outlineLevel="0" collapsed="false">
      <c r="A449" s="15"/>
      <c r="B449" s="10"/>
      <c r="C449" s="18" t="str">
        <f aca="false">IF($B449="","",IFERROR(INDEX(대여내역!$E$3:$E$1002,MATCH($B449,대여내역!$A$3:$A$1002,0)),"대여번호없음"))</f>
        <v/>
      </c>
      <c r="D449" s="11"/>
      <c r="E449" s="9"/>
      <c r="F449" s="10"/>
    </row>
    <row r="450" customFormat="false" ht="15" hidden="false" customHeight="false" outlineLevel="0" collapsed="false">
      <c r="A450" s="15"/>
      <c r="B450" s="10"/>
      <c r="C450" s="18" t="str">
        <f aca="false">IF($B450="","",IFERROR(INDEX(대여내역!$E$3:$E$1002,MATCH($B450,대여내역!$A$3:$A$1002,0)),"대여번호없음"))</f>
        <v/>
      </c>
      <c r="D450" s="11"/>
      <c r="E450" s="9"/>
      <c r="F450" s="10"/>
    </row>
    <row r="451" customFormat="false" ht="15" hidden="false" customHeight="false" outlineLevel="0" collapsed="false">
      <c r="A451" s="15"/>
      <c r="B451" s="10"/>
      <c r="C451" s="18" t="str">
        <f aca="false">IF($B451="","",IFERROR(INDEX(대여내역!$E$3:$E$1002,MATCH($B451,대여내역!$A$3:$A$1002,0)),"대여번호없음"))</f>
        <v/>
      </c>
      <c r="D451" s="11"/>
      <c r="E451" s="9"/>
      <c r="F451" s="10"/>
    </row>
    <row r="452" customFormat="false" ht="15" hidden="false" customHeight="false" outlineLevel="0" collapsed="false">
      <c r="A452" s="15"/>
      <c r="B452" s="10"/>
      <c r="C452" s="18" t="str">
        <f aca="false">IF($B452="","",IFERROR(INDEX(대여내역!$E$3:$E$1002,MATCH($B452,대여내역!$A$3:$A$1002,0)),"대여번호없음"))</f>
        <v/>
      </c>
      <c r="D452" s="11"/>
      <c r="E452" s="9"/>
      <c r="F452" s="10"/>
    </row>
    <row r="453" customFormat="false" ht="15" hidden="false" customHeight="false" outlineLevel="0" collapsed="false">
      <c r="A453" s="15"/>
      <c r="B453" s="10"/>
      <c r="C453" s="18" t="str">
        <f aca="false">IF($B453="","",IFERROR(INDEX(대여내역!$E$3:$E$1002,MATCH($B453,대여내역!$A$3:$A$1002,0)),"대여번호없음"))</f>
        <v/>
      </c>
      <c r="D453" s="11"/>
      <c r="E453" s="9"/>
      <c r="F453" s="10"/>
    </row>
    <row r="454" customFormat="false" ht="15" hidden="false" customHeight="false" outlineLevel="0" collapsed="false">
      <c r="A454" s="15"/>
      <c r="B454" s="10"/>
      <c r="C454" s="18" t="str">
        <f aca="false">IF($B454="","",IFERROR(INDEX(대여내역!$E$3:$E$1002,MATCH($B454,대여내역!$A$3:$A$1002,0)),"대여번호없음"))</f>
        <v/>
      </c>
      <c r="D454" s="11"/>
      <c r="E454" s="9"/>
      <c r="F454" s="10"/>
    </row>
    <row r="455" customFormat="false" ht="15" hidden="false" customHeight="false" outlineLevel="0" collapsed="false">
      <c r="A455" s="15"/>
      <c r="B455" s="10"/>
      <c r="C455" s="18" t="str">
        <f aca="false">IF($B455="","",IFERROR(INDEX(대여내역!$E$3:$E$1002,MATCH($B455,대여내역!$A$3:$A$1002,0)),"대여번호없음"))</f>
        <v/>
      </c>
      <c r="D455" s="11"/>
      <c r="E455" s="9"/>
      <c r="F455" s="10"/>
    </row>
    <row r="456" customFormat="false" ht="15" hidden="false" customHeight="false" outlineLevel="0" collapsed="false">
      <c r="A456" s="15"/>
      <c r="B456" s="10"/>
      <c r="C456" s="18" t="str">
        <f aca="false">IF($B456="","",IFERROR(INDEX(대여내역!$E$3:$E$1002,MATCH($B456,대여내역!$A$3:$A$1002,0)),"대여번호없음"))</f>
        <v/>
      </c>
      <c r="D456" s="11"/>
      <c r="E456" s="9"/>
      <c r="F456" s="10"/>
    </row>
    <row r="457" customFormat="false" ht="15" hidden="false" customHeight="false" outlineLevel="0" collapsed="false">
      <c r="A457" s="15"/>
      <c r="B457" s="10"/>
      <c r="C457" s="18" t="str">
        <f aca="false">IF($B457="","",IFERROR(INDEX(대여내역!$E$3:$E$1002,MATCH($B457,대여내역!$A$3:$A$1002,0)),"대여번호없음"))</f>
        <v/>
      </c>
      <c r="D457" s="11"/>
      <c r="E457" s="9"/>
      <c r="F457" s="10"/>
    </row>
    <row r="458" customFormat="false" ht="15" hidden="false" customHeight="false" outlineLevel="0" collapsed="false">
      <c r="A458" s="15"/>
      <c r="B458" s="10"/>
      <c r="C458" s="18" t="str">
        <f aca="false">IF($B458="","",IFERROR(INDEX(대여내역!$E$3:$E$1002,MATCH($B458,대여내역!$A$3:$A$1002,0)),"대여번호없음"))</f>
        <v/>
      </c>
      <c r="D458" s="11"/>
      <c r="E458" s="9"/>
      <c r="F458" s="10"/>
    </row>
    <row r="459" customFormat="false" ht="15" hidden="false" customHeight="false" outlineLevel="0" collapsed="false">
      <c r="A459" s="15"/>
      <c r="B459" s="10"/>
      <c r="C459" s="18" t="str">
        <f aca="false">IF($B459="","",IFERROR(INDEX(대여내역!$E$3:$E$1002,MATCH($B459,대여내역!$A$3:$A$1002,0)),"대여번호없음"))</f>
        <v/>
      </c>
      <c r="D459" s="11"/>
      <c r="E459" s="9"/>
      <c r="F459" s="10"/>
    </row>
    <row r="460" customFormat="false" ht="15" hidden="false" customHeight="false" outlineLevel="0" collapsed="false">
      <c r="A460" s="15"/>
      <c r="B460" s="10"/>
      <c r="C460" s="18" t="str">
        <f aca="false">IF($B460="","",IFERROR(INDEX(대여내역!$E$3:$E$1002,MATCH($B460,대여내역!$A$3:$A$1002,0)),"대여번호없음"))</f>
        <v/>
      </c>
      <c r="D460" s="11"/>
      <c r="E460" s="9"/>
      <c r="F460" s="10"/>
    </row>
    <row r="461" customFormat="false" ht="15" hidden="false" customHeight="false" outlineLevel="0" collapsed="false">
      <c r="A461" s="15"/>
      <c r="B461" s="10"/>
      <c r="C461" s="18" t="str">
        <f aca="false">IF($B461="","",IFERROR(INDEX(대여내역!$E$3:$E$1002,MATCH($B461,대여내역!$A$3:$A$1002,0)),"대여번호없음"))</f>
        <v/>
      </c>
      <c r="D461" s="11"/>
      <c r="E461" s="9"/>
      <c r="F461" s="10"/>
    </row>
    <row r="462" customFormat="false" ht="15" hidden="false" customHeight="false" outlineLevel="0" collapsed="false">
      <c r="A462" s="15"/>
      <c r="B462" s="10"/>
      <c r="C462" s="18" t="str">
        <f aca="false">IF($B462="","",IFERROR(INDEX(대여내역!$E$3:$E$1002,MATCH($B462,대여내역!$A$3:$A$1002,0)),"대여번호없음"))</f>
        <v/>
      </c>
      <c r="D462" s="11"/>
      <c r="E462" s="9"/>
      <c r="F462" s="10"/>
    </row>
    <row r="463" customFormat="false" ht="15" hidden="false" customHeight="false" outlineLevel="0" collapsed="false">
      <c r="A463" s="15"/>
      <c r="B463" s="10"/>
      <c r="C463" s="18" t="str">
        <f aca="false">IF($B463="","",IFERROR(INDEX(대여내역!$E$3:$E$1002,MATCH($B463,대여내역!$A$3:$A$1002,0)),"대여번호없음"))</f>
        <v/>
      </c>
      <c r="D463" s="11"/>
      <c r="E463" s="9"/>
      <c r="F463" s="10"/>
    </row>
    <row r="464" customFormat="false" ht="15" hidden="false" customHeight="false" outlineLevel="0" collapsed="false">
      <c r="A464" s="15"/>
      <c r="B464" s="10"/>
      <c r="C464" s="18" t="str">
        <f aca="false">IF($B464="","",IFERROR(INDEX(대여내역!$E$3:$E$1002,MATCH($B464,대여내역!$A$3:$A$1002,0)),"대여번호없음"))</f>
        <v/>
      </c>
      <c r="D464" s="11"/>
      <c r="E464" s="9"/>
      <c r="F464" s="10"/>
    </row>
    <row r="465" customFormat="false" ht="15" hidden="false" customHeight="false" outlineLevel="0" collapsed="false">
      <c r="A465" s="15"/>
      <c r="B465" s="10"/>
      <c r="C465" s="18" t="str">
        <f aca="false">IF($B465="","",IFERROR(INDEX(대여내역!$E$3:$E$1002,MATCH($B465,대여내역!$A$3:$A$1002,0)),"대여번호없음"))</f>
        <v/>
      </c>
      <c r="D465" s="11"/>
      <c r="E465" s="9"/>
      <c r="F465" s="10"/>
    </row>
    <row r="466" customFormat="false" ht="15" hidden="false" customHeight="false" outlineLevel="0" collapsed="false">
      <c r="A466" s="15"/>
      <c r="B466" s="10"/>
      <c r="C466" s="18" t="str">
        <f aca="false">IF($B466="","",IFERROR(INDEX(대여내역!$E$3:$E$1002,MATCH($B466,대여내역!$A$3:$A$1002,0)),"대여번호없음"))</f>
        <v/>
      </c>
      <c r="D466" s="11"/>
      <c r="E466" s="9"/>
      <c r="F466" s="10"/>
    </row>
    <row r="467" customFormat="false" ht="15" hidden="false" customHeight="false" outlineLevel="0" collapsed="false">
      <c r="A467" s="15"/>
      <c r="B467" s="10"/>
      <c r="C467" s="18" t="str">
        <f aca="false">IF($B467="","",IFERROR(INDEX(대여내역!$E$3:$E$1002,MATCH($B467,대여내역!$A$3:$A$1002,0)),"대여번호없음"))</f>
        <v/>
      </c>
      <c r="D467" s="11"/>
      <c r="E467" s="9"/>
      <c r="F467" s="10"/>
    </row>
    <row r="468" customFormat="false" ht="15" hidden="false" customHeight="false" outlineLevel="0" collapsed="false">
      <c r="A468" s="15"/>
      <c r="B468" s="10"/>
      <c r="C468" s="18" t="str">
        <f aca="false">IF($B468="","",IFERROR(INDEX(대여내역!$E$3:$E$1002,MATCH($B468,대여내역!$A$3:$A$1002,0)),"대여번호없음"))</f>
        <v/>
      </c>
      <c r="D468" s="11"/>
      <c r="E468" s="9"/>
      <c r="F468" s="10"/>
    </row>
    <row r="469" customFormat="false" ht="15" hidden="false" customHeight="false" outlineLevel="0" collapsed="false">
      <c r="A469" s="15"/>
      <c r="B469" s="10"/>
      <c r="C469" s="18" t="str">
        <f aca="false">IF($B469="","",IFERROR(INDEX(대여내역!$E$3:$E$1002,MATCH($B469,대여내역!$A$3:$A$1002,0)),"대여번호없음"))</f>
        <v/>
      </c>
      <c r="D469" s="11"/>
      <c r="E469" s="9"/>
      <c r="F469" s="10"/>
    </row>
    <row r="470" customFormat="false" ht="15" hidden="false" customHeight="false" outlineLevel="0" collapsed="false">
      <c r="A470" s="15"/>
      <c r="B470" s="10"/>
      <c r="C470" s="18" t="str">
        <f aca="false">IF($B470="","",IFERROR(INDEX(대여내역!$E$3:$E$1002,MATCH($B470,대여내역!$A$3:$A$1002,0)),"대여번호없음"))</f>
        <v/>
      </c>
      <c r="D470" s="11"/>
      <c r="E470" s="9"/>
      <c r="F470" s="10"/>
    </row>
    <row r="471" customFormat="false" ht="15" hidden="false" customHeight="false" outlineLevel="0" collapsed="false">
      <c r="A471" s="15"/>
      <c r="B471" s="10"/>
      <c r="C471" s="18" t="str">
        <f aca="false">IF($B471="","",IFERROR(INDEX(대여내역!$E$3:$E$1002,MATCH($B471,대여내역!$A$3:$A$1002,0)),"대여번호없음"))</f>
        <v/>
      </c>
      <c r="D471" s="11"/>
      <c r="E471" s="9"/>
      <c r="F471" s="10"/>
    </row>
    <row r="472" customFormat="false" ht="15" hidden="false" customHeight="false" outlineLevel="0" collapsed="false">
      <c r="A472" s="15"/>
      <c r="B472" s="10"/>
      <c r="C472" s="18" t="str">
        <f aca="false">IF($B472="","",IFERROR(INDEX(대여내역!$E$3:$E$1002,MATCH($B472,대여내역!$A$3:$A$1002,0)),"대여번호없음"))</f>
        <v/>
      </c>
      <c r="D472" s="11"/>
      <c r="E472" s="9"/>
      <c r="F472" s="10"/>
    </row>
    <row r="473" customFormat="false" ht="15" hidden="false" customHeight="false" outlineLevel="0" collapsed="false">
      <c r="A473" s="15"/>
      <c r="B473" s="10"/>
      <c r="C473" s="18" t="str">
        <f aca="false">IF($B473="","",IFERROR(INDEX(대여내역!$E$3:$E$1002,MATCH($B473,대여내역!$A$3:$A$1002,0)),"대여번호없음"))</f>
        <v/>
      </c>
      <c r="D473" s="11"/>
      <c r="E473" s="9"/>
      <c r="F473" s="10"/>
    </row>
    <row r="474" customFormat="false" ht="15" hidden="false" customHeight="false" outlineLevel="0" collapsed="false">
      <c r="A474" s="15"/>
      <c r="B474" s="10"/>
      <c r="C474" s="18" t="str">
        <f aca="false">IF($B474="","",IFERROR(INDEX(대여내역!$E$3:$E$1002,MATCH($B474,대여내역!$A$3:$A$1002,0)),"대여번호없음"))</f>
        <v/>
      </c>
      <c r="D474" s="11"/>
      <c r="E474" s="9"/>
      <c r="F474" s="10"/>
    </row>
    <row r="475" customFormat="false" ht="15" hidden="false" customHeight="false" outlineLevel="0" collapsed="false">
      <c r="A475" s="15"/>
      <c r="B475" s="10"/>
      <c r="C475" s="18" t="str">
        <f aca="false">IF($B475="","",IFERROR(INDEX(대여내역!$E$3:$E$1002,MATCH($B475,대여내역!$A$3:$A$1002,0)),"대여번호없음"))</f>
        <v/>
      </c>
      <c r="D475" s="11"/>
      <c r="E475" s="9"/>
      <c r="F475" s="10"/>
    </row>
    <row r="476" customFormat="false" ht="15" hidden="false" customHeight="false" outlineLevel="0" collapsed="false">
      <c r="A476" s="15"/>
      <c r="B476" s="10"/>
      <c r="C476" s="18" t="str">
        <f aca="false">IF($B476="","",IFERROR(INDEX(대여내역!$E$3:$E$1002,MATCH($B476,대여내역!$A$3:$A$1002,0)),"대여번호없음"))</f>
        <v/>
      </c>
      <c r="D476" s="11"/>
      <c r="E476" s="9"/>
      <c r="F476" s="10"/>
    </row>
    <row r="477" customFormat="false" ht="15" hidden="false" customHeight="false" outlineLevel="0" collapsed="false">
      <c r="A477" s="15"/>
      <c r="B477" s="10"/>
      <c r="C477" s="18" t="str">
        <f aca="false">IF($B477="","",IFERROR(INDEX(대여내역!$E$3:$E$1002,MATCH($B477,대여내역!$A$3:$A$1002,0)),"대여번호없음"))</f>
        <v/>
      </c>
      <c r="D477" s="11"/>
      <c r="E477" s="9"/>
      <c r="F477" s="10"/>
    </row>
    <row r="478" customFormat="false" ht="15" hidden="false" customHeight="false" outlineLevel="0" collapsed="false">
      <c r="A478" s="15"/>
      <c r="B478" s="10"/>
      <c r="C478" s="18" t="str">
        <f aca="false">IF($B478="","",IFERROR(INDEX(대여내역!$E$3:$E$1002,MATCH($B478,대여내역!$A$3:$A$1002,0)),"대여번호없음"))</f>
        <v/>
      </c>
      <c r="D478" s="11"/>
      <c r="E478" s="9"/>
      <c r="F478" s="10"/>
    </row>
    <row r="479" customFormat="false" ht="15" hidden="false" customHeight="false" outlineLevel="0" collapsed="false">
      <c r="A479" s="15"/>
      <c r="B479" s="10"/>
      <c r="C479" s="18" t="str">
        <f aca="false">IF($B479="","",IFERROR(INDEX(대여내역!$E$3:$E$1002,MATCH($B479,대여내역!$A$3:$A$1002,0)),"대여번호없음"))</f>
        <v/>
      </c>
      <c r="D479" s="11"/>
      <c r="E479" s="9"/>
      <c r="F479" s="10"/>
    </row>
    <row r="480" customFormat="false" ht="15" hidden="false" customHeight="false" outlineLevel="0" collapsed="false">
      <c r="A480" s="15"/>
      <c r="B480" s="10"/>
      <c r="C480" s="18" t="str">
        <f aca="false">IF($B480="","",IFERROR(INDEX(대여내역!$E$3:$E$1002,MATCH($B480,대여내역!$A$3:$A$1002,0)),"대여번호없음"))</f>
        <v/>
      </c>
      <c r="D480" s="11"/>
      <c r="E480" s="9"/>
      <c r="F480" s="10"/>
    </row>
    <row r="481" customFormat="false" ht="15" hidden="false" customHeight="false" outlineLevel="0" collapsed="false">
      <c r="A481" s="15"/>
      <c r="B481" s="10"/>
      <c r="C481" s="18" t="str">
        <f aca="false">IF($B481="","",IFERROR(INDEX(대여내역!$E$3:$E$1002,MATCH($B481,대여내역!$A$3:$A$1002,0)),"대여번호없음"))</f>
        <v/>
      </c>
      <c r="D481" s="11"/>
      <c r="E481" s="9"/>
      <c r="F481" s="10"/>
    </row>
    <row r="482" customFormat="false" ht="15" hidden="false" customHeight="false" outlineLevel="0" collapsed="false">
      <c r="A482" s="15"/>
      <c r="B482" s="10"/>
      <c r="C482" s="18" t="str">
        <f aca="false">IF($B482="","",IFERROR(INDEX(대여내역!$E$3:$E$1002,MATCH($B482,대여내역!$A$3:$A$1002,0)),"대여번호없음"))</f>
        <v/>
      </c>
      <c r="D482" s="11"/>
      <c r="E482" s="9"/>
      <c r="F482" s="10"/>
    </row>
    <row r="483" customFormat="false" ht="15" hidden="false" customHeight="false" outlineLevel="0" collapsed="false">
      <c r="A483" s="15"/>
      <c r="B483" s="10"/>
      <c r="C483" s="18" t="str">
        <f aca="false">IF($B483="","",IFERROR(INDEX(대여내역!$E$3:$E$1002,MATCH($B483,대여내역!$A$3:$A$1002,0)),"대여번호없음"))</f>
        <v/>
      </c>
      <c r="D483" s="11"/>
      <c r="E483" s="9"/>
      <c r="F483" s="10"/>
    </row>
    <row r="484" customFormat="false" ht="15" hidden="false" customHeight="false" outlineLevel="0" collapsed="false">
      <c r="A484" s="15"/>
      <c r="B484" s="10"/>
      <c r="C484" s="18" t="str">
        <f aca="false">IF($B484="","",IFERROR(INDEX(대여내역!$E$3:$E$1002,MATCH($B484,대여내역!$A$3:$A$1002,0)),"대여번호없음"))</f>
        <v/>
      </c>
      <c r="D484" s="11"/>
      <c r="E484" s="9"/>
      <c r="F484" s="10"/>
    </row>
    <row r="485" customFormat="false" ht="15" hidden="false" customHeight="false" outlineLevel="0" collapsed="false">
      <c r="A485" s="15"/>
      <c r="B485" s="10"/>
      <c r="C485" s="18" t="str">
        <f aca="false">IF($B485="","",IFERROR(INDEX(대여내역!$E$3:$E$1002,MATCH($B485,대여내역!$A$3:$A$1002,0)),"대여번호없음"))</f>
        <v/>
      </c>
      <c r="D485" s="11"/>
      <c r="E485" s="9"/>
      <c r="F485" s="10"/>
    </row>
    <row r="486" customFormat="false" ht="15" hidden="false" customHeight="false" outlineLevel="0" collapsed="false">
      <c r="A486" s="15"/>
      <c r="B486" s="10"/>
      <c r="C486" s="18" t="str">
        <f aca="false">IF($B486="","",IFERROR(INDEX(대여내역!$E$3:$E$1002,MATCH($B486,대여내역!$A$3:$A$1002,0)),"대여번호없음"))</f>
        <v/>
      </c>
      <c r="D486" s="11"/>
      <c r="E486" s="9"/>
      <c r="F486" s="10"/>
    </row>
    <row r="487" customFormat="false" ht="15" hidden="false" customHeight="false" outlineLevel="0" collapsed="false">
      <c r="A487" s="15"/>
      <c r="B487" s="10"/>
      <c r="C487" s="18" t="str">
        <f aca="false">IF($B487="","",IFERROR(INDEX(대여내역!$E$3:$E$1002,MATCH($B487,대여내역!$A$3:$A$1002,0)),"대여번호없음"))</f>
        <v/>
      </c>
      <c r="D487" s="11"/>
      <c r="E487" s="9"/>
      <c r="F487" s="10"/>
    </row>
    <row r="488" customFormat="false" ht="15" hidden="false" customHeight="false" outlineLevel="0" collapsed="false">
      <c r="A488" s="15"/>
      <c r="B488" s="10"/>
      <c r="C488" s="18" t="str">
        <f aca="false">IF($B488="","",IFERROR(INDEX(대여내역!$E$3:$E$1002,MATCH($B488,대여내역!$A$3:$A$1002,0)),"대여번호없음"))</f>
        <v/>
      </c>
      <c r="D488" s="11"/>
      <c r="E488" s="9"/>
      <c r="F488" s="10"/>
    </row>
    <row r="489" customFormat="false" ht="15" hidden="false" customHeight="false" outlineLevel="0" collapsed="false">
      <c r="A489" s="15"/>
      <c r="B489" s="10"/>
      <c r="C489" s="18" t="str">
        <f aca="false">IF($B489="","",IFERROR(INDEX(대여내역!$E$3:$E$1002,MATCH($B489,대여내역!$A$3:$A$1002,0)),"대여번호없음"))</f>
        <v/>
      </c>
      <c r="D489" s="11"/>
      <c r="E489" s="9"/>
      <c r="F489" s="10"/>
    </row>
    <row r="490" customFormat="false" ht="15" hidden="false" customHeight="false" outlineLevel="0" collapsed="false">
      <c r="A490" s="15"/>
      <c r="B490" s="10"/>
      <c r="C490" s="18" t="str">
        <f aca="false">IF($B490="","",IFERROR(INDEX(대여내역!$E$3:$E$1002,MATCH($B490,대여내역!$A$3:$A$1002,0)),"대여번호없음"))</f>
        <v/>
      </c>
      <c r="D490" s="11"/>
      <c r="E490" s="9"/>
      <c r="F490" s="10"/>
    </row>
    <row r="491" customFormat="false" ht="15" hidden="false" customHeight="false" outlineLevel="0" collapsed="false">
      <c r="A491" s="15"/>
      <c r="B491" s="10"/>
      <c r="C491" s="18" t="str">
        <f aca="false">IF($B491="","",IFERROR(INDEX(대여내역!$E$3:$E$1002,MATCH($B491,대여내역!$A$3:$A$1002,0)),"대여번호없음"))</f>
        <v/>
      </c>
      <c r="D491" s="11"/>
      <c r="E491" s="9"/>
      <c r="F491" s="10"/>
    </row>
    <row r="492" customFormat="false" ht="15" hidden="false" customHeight="false" outlineLevel="0" collapsed="false">
      <c r="A492" s="15"/>
      <c r="B492" s="10"/>
      <c r="C492" s="18" t="str">
        <f aca="false">IF($B492="","",IFERROR(INDEX(대여내역!$E$3:$E$1002,MATCH($B492,대여내역!$A$3:$A$1002,0)),"대여번호없음"))</f>
        <v/>
      </c>
      <c r="D492" s="11"/>
      <c r="E492" s="9"/>
      <c r="F492" s="10"/>
    </row>
    <row r="493" customFormat="false" ht="15" hidden="false" customHeight="false" outlineLevel="0" collapsed="false">
      <c r="A493" s="15"/>
      <c r="B493" s="10"/>
      <c r="C493" s="18" t="str">
        <f aca="false">IF($B493="","",IFERROR(INDEX(대여내역!$E$3:$E$1002,MATCH($B493,대여내역!$A$3:$A$1002,0)),"대여번호없음"))</f>
        <v/>
      </c>
      <c r="D493" s="11"/>
      <c r="E493" s="9"/>
      <c r="F493" s="10"/>
    </row>
    <row r="494" customFormat="false" ht="15" hidden="false" customHeight="false" outlineLevel="0" collapsed="false">
      <c r="A494" s="15"/>
      <c r="B494" s="10"/>
      <c r="C494" s="18" t="str">
        <f aca="false">IF($B494="","",IFERROR(INDEX(대여내역!$E$3:$E$1002,MATCH($B494,대여내역!$A$3:$A$1002,0)),"대여번호없음"))</f>
        <v/>
      </c>
      <c r="D494" s="11"/>
      <c r="E494" s="9"/>
      <c r="F494" s="10"/>
    </row>
    <row r="495" customFormat="false" ht="15" hidden="false" customHeight="false" outlineLevel="0" collapsed="false">
      <c r="A495" s="15"/>
      <c r="B495" s="10"/>
      <c r="C495" s="18" t="str">
        <f aca="false">IF($B495="","",IFERROR(INDEX(대여내역!$E$3:$E$1002,MATCH($B495,대여내역!$A$3:$A$1002,0)),"대여번호없음"))</f>
        <v/>
      </c>
      <c r="D495" s="11"/>
      <c r="E495" s="9"/>
      <c r="F495" s="10"/>
    </row>
    <row r="496" customFormat="false" ht="15" hidden="false" customHeight="false" outlineLevel="0" collapsed="false">
      <c r="A496" s="15"/>
      <c r="B496" s="10"/>
      <c r="C496" s="18" t="str">
        <f aca="false">IF($B496="","",IFERROR(INDEX(대여내역!$E$3:$E$1002,MATCH($B496,대여내역!$A$3:$A$1002,0)),"대여번호없음"))</f>
        <v/>
      </c>
      <c r="D496" s="11"/>
      <c r="E496" s="9"/>
      <c r="F496" s="10"/>
    </row>
    <row r="497" customFormat="false" ht="15" hidden="false" customHeight="false" outlineLevel="0" collapsed="false">
      <c r="A497" s="15"/>
      <c r="B497" s="10"/>
      <c r="C497" s="18" t="str">
        <f aca="false">IF($B497="","",IFERROR(INDEX(대여내역!$E$3:$E$1002,MATCH($B497,대여내역!$A$3:$A$1002,0)),"대여번호없음"))</f>
        <v/>
      </c>
      <c r="D497" s="11"/>
      <c r="E497" s="9"/>
      <c r="F497" s="10"/>
    </row>
    <row r="498" customFormat="false" ht="15" hidden="false" customHeight="false" outlineLevel="0" collapsed="false">
      <c r="A498" s="15"/>
      <c r="B498" s="10"/>
      <c r="C498" s="18" t="str">
        <f aca="false">IF($B498="","",IFERROR(INDEX(대여내역!$E$3:$E$1002,MATCH($B498,대여내역!$A$3:$A$1002,0)),"대여번호없음"))</f>
        <v/>
      </c>
      <c r="D498" s="11"/>
      <c r="E498" s="9"/>
      <c r="F498" s="10"/>
    </row>
    <row r="499" customFormat="false" ht="15" hidden="false" customHeight="false" outlineLevel="0" collapsed="false">
      <c r="A499" s="15"/>
      <c r="B499" s="10"/>
      <c r="C499" s="18" t="str">
        <f aca="false">IF($B499="","",IFERROR(INDEX(대여내역!$E$3:$E$1002,MATCH($B499,대여내역!$A$3:$A$1002,0)),"대여번호없음"))</f>
        <v/>
      </c>
      <c r="D499" s="11"/>
      <c r="E499" s="9"/>
      <c r="F499" s="10"/>
    </row>
    <row r="500" customFormat="false" ht="15" hidden="false" customHeight="false" outlineLevel="0" collapsed="false">
      <c r="A500" s="15"/>
      <c r="B500" s="10"/>
      <c r="C500" s="18" t="str">
        <f aca="false">IF($B500="","",IFERROR(INDEX(대여내역!$E$3:$E$1002,MATCH($B500,대여내역!$A$3:$A$1002,0)),"대여번호없음"))</f>
        <v/>
      </c>
      <c r="D500" s="11"/>
      <c r="E500" s="9"/>
      <c r="F500" s="10"/>
    </row>
    <row r="501" customFormat="false" ht="15" hidden="false" customHeight="false" outlineLevel="0" collapsed="false">
      <c r="A501" s="15"/>
      <c r="B501" s="10"/>
      <c r="C501" s="18" t="str">
        <f aca="false">IF($B501="","",IFERROR(INDEX(대여내역!$E$3:$E$1002,MATCH($B501,대여내역!$A$3:$A$1002,0)),"대여번호없음"))</f>
        <v/>
      </c>
      <c r="D501" s="11"/>
      <c r="E501" s="9"/>
      <c r="F501" s="10"/>
    </row>
    <row r="502" customFormat="false" ht="15" hidden="false" customHeight="false" outlineLevel="0" collapsed="false">
      <c r="A502" s="15"/>
      <c r="B502" s="10"/>
      <c r="C502" s="18" t="str">
        <f aca="false">IF($B502="","",IFERROR(INDEX(대여내역!$E$3:$E$1002,MATCH($B502,대여내역!$A$3:$A$1002,0)),"대여번호없음"))</f>
        <v/>
      </c>
      <c r="D502" s="11"/>
      <c r="E502" s="9"/>
      <c r="F502" s="10"/>
    </row>
    <row r="503" customFormat="false" ht="15" hidden="false" customHeight="false" outlineLevel="0" collapsed="false">
      <c r="A503" s="15"/>
      <c r="B503" s="10"/>
      <c r="C503" s="18" t="str">
        <f aca="false">IF($B503="","",IFERROR(INDEX(대여내역!$E$3:$E$1002,MATCH($B503,대여내역!$A$3:$A$1002,0)),"대여번호없음"))</f>
        <v/>
      </c>
      <c r="D503" s="11"/>
      <c r="E503" s="9"/>
      <c r="F503" s="10"/>
    </row>
    <row r="504" customFormat="false" ht="15" hidden="false" customHeight="false" outlineLevel="0" collapsed="false">
      <c r="A504" s="15"/>
      <c r="B504" s="10"/>
      <c r="C504" s="18" t="str">
        <f aca="false">IF($B504="","",IFERROR(INDEX(대여내역!$E$3:$E$1002,MATCH($B504,대여내역!$A$3:$A$1002,0)),"대여번호없음"))</f>
        <v/>
      </c>
      <c r="D504" s="11"/>
      <c r="E504" s="9"/>
      <c r="F504" s="10"/>
    </row>
    <row r="505" customFormat="false" ht="15" hidden="false" customHeight="false" outlineLevel="0" collapsed="false">
      <c r="A505" s="15"/>
      <c r="B505" s="10"/>
      <c r="C505" s="18" t="str">
        <f aca="false">IF($B505="","",IFERROR(INDEX(대여내역!$E$3:$E$1002,MATCH($B505,대여내역!$A$3:$A$1002,0)),"대여번호없음"))</f>
        <v/>
      </c>
      <c r="D505" s="11"/>
      <c r="E505" s="9"/>
      <c r="F505" s="10"/>
    </row>
    <row r="506" customFormat="false" ht="15" hidden="false" customHeight="false" outlineLevel="0" collapsed="false">
      <c r="A506" s="15"/>
      <c r="B506" s="10"/>
      <c r="C506" s="18" t="str">
        <f aca="false">IF($B506="","",IFERROR(INDEX(대여내역!$E$3:$E$1002,MATCH($B506,대여내역!$A$3:$A$1002,0)),"대여번호없음"))</f>
        <v/>
      </c>
      <c r="D506" s="11"/>
      <c r="E506" s="9"/>
      <c r="F506" s="10"/>
    </row>
    <row r="507" customFormat="false" ht="15" hidden="false" customHeight="false" outlineLevel="0" collapsed="false">
      <c r="A507" s="15"/>
      <c r="B507" s="10"/>
      <c r="C507" s="18" t="str">
        <f aca="false">IF($B507="","",IFERROR(INDEX(대여내역!$E$3:$E$1002,MATCH($B507,대여내역!$A$3:$A$1002,0)),"대여번호없음"))</f>
        <v/>
      </c>
      <c r="D507" s="11"/>
      <c r="E507" s="9"/>
      <c r="F507" s="10"/>
    </row>
    <row r="508" customFormat="false" ht="15" hidden="false" customHeight="false" outlineLevel="0" collapsed="false">
      <c r="A508" s="15"/>
      <c r="B508" s="10"/>
      <c r="C508" s="18" t="str">
        <f aca="false">IF($B508="","",IFERROR(INDEX(대여내역!$E$3:$E$1002,MATCH($B508,대여내역!$A$3:$A$1002,0)),"대여번호없음"))</f>
        <v/>
      </c>
      <c r="D508" s="11"/>
      <c r="E508" s="9"/>
      <c r="F508" s="10"/>
    </row>
    <row r="509" customFormat="false" ht="15" hidden="false" customHeight="false" outlineLevel="0" collapsed="false">
      <c r="A509" s="15"/>
      <c r="B509" s="10"/>
      <c r="C509" s="18" t="str">
        <f aca="false">IF($B509="","",IFERROR(INDEX(대여내역!$E$3:$E$1002,MATCH($B509,대여내역!$A$3:$A$1002,0)),"대여번호없음"))</f>
        <v/>
      </c>
      <c r="D509" s="11"/>
      <c r="E509" s="9"/>
      <c r="F509" s="10"/>
    </row>
    <row r="510" customFormat="false" ht="15" hidden="false" customHeight="false" outlineLevel="0" collapsed="false">
      <c r="A510" s="15"/>
      <c r="B510" s="10"/>
      <c r="C510" s="18" t="str">
        <f aca="false">IF($B510="","",IFERROR(INDEX(대여내역!$E$3:$E$1002,MATCH($B510,대여내역!$A$3:$A$1002,0)),"대여번호없음"))</f>
        <v/>
      </c>
      <c r="D510" s="11"/>
      <c r="E510" s="9"/>
      <c r="F510" s="10"/>
    </row>
    <row r="511" customFormat="false" ht="15" hidden="false" customHeight="false" outlineLevel="0" collapsed="false">
      <c r="A511" s="15"/>
      <c r="B511" s="10"/>
      <c r="C511" s="18" t="str">
        <f aca="false">IF($B511="","",IFERROR(INDEX(대여내역!$E$3:$E$1002,MATCH($B511,대여내역!$A$3:$A$1002,0)),"대여번호없음"))</f>
        <v/>
      </c>
      <c r="D511" s="11"/>
      <c r="E511" s="9"/>
      <c r="F511" s="10"/>
    </row>
    <row r="512" customFormat="false" ht="15" hidden="false" customHeight="false" outlineLevel="0" collapsed="false">
      <c r="A512" s="15"/>
      <c r="B512" s="10"/>
      <c r="C512" s="18" t="str">
        <f aca="false">IF($B512="","",IFERROR(INDEX(대여내역!$E$3:$E$1002,MATCH($B512,대여내역!$A$3:$A$1002,0)),"대여번호없음"))</f>
        <v/>
      </c>
      <c r="D512" s="11"/>
      <c r="E512" s="9"/>
      <c r="F512" s="10"/>
    </row>
    <row r="513" customFormat="false" ht="15" hidden="false" customHeight="false" outlineLevel="0" collapsed="false">
      <c r="A513" s="15"/>
      <c r="B513" s="10"/>
      <c r="C513" s="18" t="str">
        <f aca="false">IF($B513="","",IFERROR(INDEX(대여내역!$E$3:$E$1002,MATCH($B513,대여내역!$A$3:$A$1002,0)),"대여번호없음"))</f>
        <v/>
      </c>
      <c r="D513" s="11"/>
      <c r="E513" s="9"/>
      <c r="F513" s="10"/>
    </row>
    <row r="514" customFormat="false" ht="15" hidden="false" customHeight="false" outlineLevel="0" collapsed="false">
      <c r="A514" s="15"/>
      <c r="B514" s="10"/>
      <c r="C514" s="18" t="str">
        <f aca="false">IF($B514="","",IFERROR(INDEX(대여내역!$E$3:$E$1002,MATCH($B514,대여내역!$A$3:$A$1002,0)),"대여번호없음"))</f>
        <v/>
      </c>
      <c r="D514" s="11"/>
      <c r="E514" s="9"/>
      <c r="F514" s="10"/>
    </row>
    <row r="515" customFormat="false" ht="15" hidden="false" customHeight="false" outlineLevel="0" collapsed="false">
      <c r="A515" s="15"/>
      <c r="B515" s="10"/>
      <c r="C515" s="18" t="str">
        <f aca="false">IF($B515="","",IFERROR(INDEX(대여내역!$E$3:$E$1002,MATCH($B515,대여내역!$A$3:$A$1002,0)),"대여번호없음"))</f>
        <v/>
      </c>
      <c r="D515" s="11"/>
      <c r="E515" s="9"/>
      <c r="F515" s="10"/>
    </row>
    <row r="516" customFormat="false" ht="15" hidden="false" customHeight="false" outlineLevel="0" collapsed="false">
      <c r="A516" s="15"/>
      <c r="B516" s="10"/>
      <c r="C516" s="18" t="str">
        <f aca="false">IF($B516="","",IFERROR(INDEX(대여내역!$E$3:$E$1002,MATCH($B516,대여내역!$A$3:$A$1002,0)),"대여번호없음"))</f>
        <v/>
      </c>
      <c r="D516" s="11"/>
      <c r="E516" s="9"/>
      <c r="F516" s="10"/>
    </row>
    <row r="517" customFormat="false" ht="15" hidden="false" customHeight="false" outlineLevel="0" collapsed="false">
      <c r="A517" s="15"/>
      <c r="B517" s="10"/>
      <c r="C517" s="18" t="str">
        <f aca="false">IF($B517="","",IFERROR(INDEX(대여내역!$E$3:$E$1002,MATCH($B517,대여내역!$A$3:$A$1002,0)),"대여번호없음"))</f>
        <v/>
      </c>
      <c r="D517" s="11"/>
      <c r="E517" s="9"/>
      <c r="F517" s="10"/>
    </row>
    <row r="518" customFormat="false" ht="15" hidden="false" customHeight="false" outlineLevel="0" collapsed="false">
      <c r="A518" s="15"/>
      <c r="B518" s="10"/>
      <c r="C518" s="18" t="str">
        <f aca="false">IF($B518="","",IFERROR(INDEX(대여내역!$E$3:$E$1002,MATCH($B518,대여내역!$A$3:$A$1002,0)),"대여번호없음"))</f>
        <v/>
      </c>
      <c r="D518" s="11"/>
      <c r="E518" s="9"/>
      <c r="F518" s="10"/>
    </row>
    <row r="519" customFormat="false" ht="15" hidden="false" customHeight="false" outlineLevel="0" collapsed="false">
      <c r="A519" s="15"/>
      <c r="B519" s="10"/>
      <c r="C519" s="18" t="str">
        <f aca="false">IF($B519="","",IFERROR(INDEX(대여내역!$E$3:$E$1002,MATCH($B519,대여내역!$A$3:$A$1002,0)),"대여번호없음"))</f>
        <v/>
      </c>
      <c r="D519" s="11"/>
      <c r="E519" s="9"/>
      <c r="F519" s="10"/>
    </row>
    <row r="520" customFormat="false" ht="15" hidden="false" customHeight="false" outlineLevel="0" collapsed="false">
      <c r="A520" s="15"/>
      <c r="B520" s="10"/>
      <c r="C520" s="18" t="str">
        <f aca="false">IF($B520="","",IFERROR(INDEX(대여내역!$E$3:$E$1002,MATCH($B520,대여내역!$A$3:$A$1002,0)),"대여번호없음"))</f>
        <v/>
      </c>
      <c r="D520" s="11"/>
      <c r="E520" s="9"/>
      <c r="F520" s="10"/>
    </row>
    <row r="521" customFormat="false" ht="15" hidden="false" customHeight="false" outlineLevel="0" collapsed="false">
      <c r="A521" s="15"/>
      <c r="B521" s="10"/>
      <c r="C521" s="18" t="str">
        <f aca="false">IF($B521="","",IFERROR(INDEX(대여내역!$E$3:$E$1002,MATCH($B521,대여내역!$A$3:$A$1002,0)),"대여번호없음"))</f>
        <v/>
      </c>
      <c r="D521" s="11"/>
      <c r="E521" s="9"/>
      <c r="F521" s="10"/>
    </row>
    <row r="522" customFormat="false" ht="15" hidden="false" customHeight="false" outlineLevel="0" collapsed="false">
      <c r="A522" s="15"/>
      <c r="B522" s="10"/>
      <c r="C522" s="18" t="str">
        <f aca="false">IF($B522="","",IFERROR(INDEX(대여내역!$E$3:$E$1002,MATCH($B522,대여내역!$A$3:$A$1002,0)),"대여번호없음"))</f>
        <v/>
      </c>
      <c r="D522" s="11"/>
      <c r="E522" s="9"/>
      <c r="F522" s="10"/>
    </row>
    <row r="523" customFormat="false" ht="15" hidden="false" customHeight="false" outlineLevel="0" collapsed="false">
      <c r="A523" s="15"/>
      <c r="B523" s="10"/>
      <c r="C523" s="18" t="str">
        <f aca="false">IF($B523="","",IFERROR(INDEX(대여내역!$E$3:$E$1002,MATCH($B523,대여내역!$A$3:$A$1002,0)),"대여번호없음"))</f>
        <v/>
      </c>
      <c r="D523" s="11"/>
      <c r="E523" s="9"/>
      <c r="F523" s="10"/>
    </row>
    <row r="524" customFormat="false" ht="15" hidden="false" customHeight="false" outlineLevel="0" collapsed="false">
      <c r="A524" s="15"/>
      <c r="B524" s="10"/>
      <c r="C524" s="18" t="str">
        <f aca="false">IF($B524="","",IFERROR(INDEX(대여내역!$E$3:$E$1002,MATCH($B524,대여내역!$A$3:$A$1002,0)),"대여번호없음"))</f>
        <v/>
      </c>
      <c r="D524" s="11"/>
      <c r="E524" s="9"/>
      <c r="F524" s="10"/>
    </row>
    <row r="525" customFormat="false" ht="15" hidden="false" customHeight="false" outlineLevel="0" collapsed="false">
      <c r="A525" s="15"/>
      <c r="B525" s="10"/>
      <c r="C525" s="18" t="str">
        <f aca="false">IF($B525="","",IFERROR(INDEX(대여내역!$E$3:$E$1002,MATCH($B525,대여내역!$A$3:$A$1002,0)),"대여번호없음"))</f>
        <v/>
      </c>
      <c r="D525" s="11"/>
      <c r="E525" s="9"/>
      <c r="F525" s="10"/>
    </row>
    <row r="526" customFormat="false" ht="15" hidden="false" customHeight="false" outlineLevel="0" collapsed="false">
      <c r="A526" s="15"/>
      <c r="B526" s="10"/>
      <c r="C526" s="18" t="str">
        <f aca="false">IF($B526="","",IFERROR(INDEX(대여내역!$E$3:$E$1002,MATCH($B526,대여내역!$A$3:$A$1002,0)),"대여번호없음"))</f>
        <v/>
      </c>
      <c r="D526" s="11"/>
      <c r="E526" s="9"/>
      <c r="F526" s="10"/>
    </row>
    <row r="527" customFormat="false" ht="15" hidden="false" customHeight="false" outlineLevel="0" collapsed="false">
      <c r="A527" s="15"/>
      <c r="B527" s="10"/>
      <c r="C527" s="18" t="str">
        <f aca="false">IF($B527="","",IFERROR(INDEX(대여내역!$E$3:$E$1002,MATCH($B527,대여내역!$A$3:$A$1002,0)),"대여번호없음"))</f>
        <v/>
      </c>
      <c r="D527" s="11"/>
      <c r="E527" s="9"/>
      <c r="F527" s="10"/>
    </row>
    <row r="528" customFormat="false" ht="15" hidden="false" customHeight="false" outlineLevel="0" collapsed="false">
      <c r="A528" s="15"/>
      <c r="B528" s="10"/>
      <c r="C528" s="18" t="str">
        <f aca="false">IF($B528="","",IFERROR(INDEX(대여내역!$E$3:$E$1002,MATCH($B528,대여내역!$A$3:$A$1002,0)),"대여번호없음"))</f>
        <v/>
      </c>
      <c r="D528" s="11"/>
      <c r="E528" s="9"/>
      <c r="F528" s="10"/>
    </row>
    <row r="529" customFormat="false" ht="15" hidden="false" customHeight="false" outlineLevel="0" collapsed="false">
      <c r="A529" s="15"/>
      <c r="B529" s="10"/>
      <c r="C529" s="18" t="str">
        <f aca="false">IF($B529="","",IFERROR(INDEX(대여내역!$E$3:$E$1002,MATCH($B529,대여내역!$A$3:$A$1002,0)),"대여번호없음"))</f>
        <v/>
      </c>
      <c r="D529" s="11"/>
      <c r="E529" s="9"/>
      <c r="F529" s="10"/>
    </row>
    <row r="530" customFormat="false" ht="15" hidden="false" customHeight="false" outlineLevel="0" collapsed="false">
      <c r="A530" s="15"/>
      <c r="B530" s="10"/>
      <c r="C530" s="18" t="str">
        <f aca="false">IF($B530="","",IFERROR(INDEX(대여내역!$E$3:$E$1002,MATCH($B530,대여내역!$A$3:$A$1002,0)),"대여번호없음"))</f>
        <v/>
      </c>
      <c r="D530" s="11"/>
      <c r="E530" s="9"/>
      <c r="F530" s="10"/>
    </row>
    <row r="531" customFormat="false" ht="15" hidden="false" customHeight="false" outlineLevel="0" collapsed="false">
      <c r="A531" s="15"/>
      <c r="B531" s="10"/>
      <c r="C531" s="18" t="str">
        <f aca="false">IF($B531="","",IFERROR(INDEX(대여내역!$E$3:$E$1002,MATCH($B531,대여내역!$A$3:$A$1002,0)),"대여번호없음"))</f>
        <v/>
      </c>
      <c r="D531" s="11"/>
      <c r="E531" s="9"/>
      <c r="F531" s="10"/>
    </row>
    <row r="532" customFormat="false" ht="15" hidden="false" customHeight="false" outlineLevel="0" collapsed="false">
      <c r="A532" s="15"/>
      <c r="B532" s="10"/>
      <c r="C532" s="18" t="str">
        <f aca="false">IF($B532="","",IFERROR(INDEX(대여내역!$E$3:$E$1002,MATCH($B532,대여내역!$A$3:$A$1002,0)),"대여번호없음"))</f>
        <v/>
      </c>
      <c r="D532" s="11"/>
      <c r="E532" s="9"/>
      <c r="F532" s="10"/>
    </row>
    <row r="533" customFormat="false" ht="15" hidden="false" customHeight="false" outlineLevel="0" collapsed="false">
      <c r="A533" s="15"/>
      <c r="B533" s="10"/>
      <c r="C533" s="18" t="str">
        <f aca="false">IF($B533="","",IFERROR(INDEX(대여내역!$E$3:$E$1002,MATCH($B533,대여내역!$A$3:$A$1002,0)),"대여번호없음"))</f>
        <v/>
      </c>
      <c r="D533" s="11"/>
      <c r="E533" s="9"/>
      <c r="F533" s="10"/>
    </row>
    <row r="534" customFormat="false" ht="15" hidden="false" customHeight="false" outlineLevel="0" collapsed="false">
      <c r="A534" s="15"/>
      <c r="B534" s="10"/>
      <c r="C534" s="18" t="str">
        <f aca="false">IF($B534="","",IFERROR(INDEX(대여내역!$E$3:$E$1002,MATCH($B534,대여내역!$A$3:$A$1002,0)),"대여번호없음"))</f>
        <v/>
      </c>
      <c r="D534" s="11"/>
      <c r="E534" s="9"/>
      <c r="F534" s="10"/>
    </row>
    <row r="535" customFormat="false" ht="15" hidden="false" customHeight="false" outlineLevel="0" collapsed="false">
      <c r="A535" s="15"/>
      <c r="B535" s="10"/>
      <c r="C535" s="18" t="str">
        <f aca="false">IF($B535="","",IFERROR(INDEX(대여내역!$E$3:$E$1002,MATCH($B535,대여내역!$A$3:$A$1002,0)),"대여번호없음"))</f>
        <v/>
      </c>
      <c r="D535" s="11"/>
      <c r="E535" s="9"/>
      <c r="F535" s="10"/>
    </row>
    <row r="536" customFormat="false" ht="15" hidden="false" customHeight="false" outlineLevel="0" collapsed="false">
      <c r="A536" s="15"/>
      <c r="B536" s="10"/>
      <c r="C536" s="18" t="str">
        <f aca="false">IF($B536="","",IFERROR(INDEX(대여내역!$E$3:$E$1002,MATCH($B536,대여내역!$A$3:$A$1002,0)),"대여번호없음"))</f>
        <v/>
      </c>
      <c r="D536" s="11"/>
      <c r="E536" s="9"/>
      <c r="F536" s="10"/>
    </row>
    <row r="537" customFormat="false" ht="15" hidden="false" customHeight="false" outlineLevel="0" collapsed="false">
      <c r="A537" s="15"/>
      <c r="B537" s="10"/>
      <c r="C537" s="18" t="str">
        <f aca="false">IF($B537="","",IFERROR(INDEX(대여내역!$E$3:$E$1002,MATCH($B537,대여내역!$A$3:$A$1002,0)),"대여번호없음"))</f>
        <v/>
      </c>
      <c r="D537" s="11"/>
      <c r="E537" s="9"/>
      <c r="F537" s="10"/>
    </row>
    <row r="538" customFormat="false" ht="15" hidden="false" customHeight="false" outlineLevel="0" collapsed="false">
      <c r="A538" s="15"/>
      <c r="B538" s="10"/>
      <c r="C538" s="18" t="str">
        <f aca="false">IF($B538="","",IFERROR(INDEX(대여내역!$E$3:$E$1002,MATCH($B538,대여내역!$A$3:$A$1002,0)),"대여번호없음"))</f>
        <v/>
      </c>
      <c r="D538" s="11"/>
      <c r="E538" s="9"/>
      <c r="F538" s="10"/>
    </row>
    <row r="539" customFormat="false" ht="15" hidden="false" customHeight="false" outlineLevel="0" collapsed="false">
      <c r="A539" s="15"/>
      <c r="B539" s="10"/>
      <c r="C539" s="18" t="str">
        <f aca="false">IF($B539="","",IFERROR(INDEX(대여내역!$E$3:$E$1002,MATCH($B539,대여내역!$A$3:$A$1002,0)),"대여번호없음"))</f>
        <v/>
      </c>
      <c r="D539" s="11"/>
      <c r="E539" s="9"/>
      <c r="F539" s="10"/>
    </row>
    <row r="540" customFormat="false" ht="15" hidden="false" customHeight="false" outlineLevel="0" collapsed="false">
      <c r="A540" s="15"/>
      <c r="B540" s="10"/>
      <c r="C540" s="18" t="str">
        <f aca="false">IF($B540="","",IFERROR(INDEX(대여내역!$E$3:$E$1002,MATCH($B540,대여내역!$A$3:$A$1002,0)),"대여번호없음"))</f>
        <v/>
      </c>
      <c r="D540" s="11"/>
      <c r="E540" s="9"/>
      <c r="F540" s="10"/>
    </row>
    <row r="541" customFormat="false" ht="15" hidden="false" customHeight="false" outlineLevel="0" collapsed="false">
      <c r="A541" s="15"/>
      <c r="B541" s="10"/>
      <c r="C541" s="18" t="str">
        <f aca="false">IF($B541="","",IFERROR(INDEX(대여내역!$E$3:$E$1002,MATCH($B541,대여내역!$A$3:$A$1002,0)),"대여번호없음"))</f>
        <v/>
      </c>
      <c r="D541" s="11"/>
      <c r="E541" s="9"/>
      <c r="F541" s="10"/>
    </row>
    <row r="542" customFormat="false" ht="15" hidden="false" customHeight="false" outlineLevel="0" collapsed="false">
      <c r="A542" s="15"/>
      <c r="B542" s="10"/>
      <c r="C542" s="18" t="str">
        <f aca="false">IF($B542="","",IFERROR(INDEX(대여내역!$E$3:$E$1002,MATCH($B542,대여내역!$A$3:$A$1002,0)),"대여번호없음"))</f>
        <v/>
      </c>
      <c r="D542" s="11"/>
      <c r="E542" s="9"/>
      <c r="F542" s="10"/>
    </row>
    <row r="543" customFormat="false" ht="15" hidden="false" customHeight="false" outlineLevel="0" collapsed="false">
      <c r="A543" s="15"/>
      <c r="B543" s="10"/>
      <c r="C543" s="18" t="str">
        <f aca="false">IF($B543="","",IFERROR(INDEX(대여내역!$E$3:$E$1002,MATCH($B543,대여내역!$A$3:$A$1002,0)),"대여번호없음"))</f>
        <v/>
      </c>
      <c r="D543" s="11"/>
      <c r="E543" s="9"/>
      <c r="F543" s="10"/>
    </row>
    <row r="544" customFormat="false" ht="15" hidden="false" customHeight="false" outlineLevel="0" collapsed="false">
      <c r="A544" s="15"/>
      <c r="B544" s="10"/>
      <c r="C544" s="18" t="str">
        <f aca="false">IF($B544="","",IFERROR(INDEX(대여내역!$E$3:$E$1002,MATCH($B544,대여내역!$A$3:$A$1002,0)),"대여번호없음"))</f>
        <v/>
      </c>
      <c r="D544" s="11"/>
      <c r="E544" s="9"/>
      <c r="F544" s="10"/>
    </row>
    <row r="545" customFormat="false" ht="15" hidden="false" customHeight="false" outlineLevel="0" collapsed="false">
      <c r="A545" s="15"/>
      <c r="B545" s="10"/>
      <c r="C545" s="18" t="str">
        <f aca="false">IF($B545="","",IFERROR(INDEX(대여내역!$E$3:$E$1002,MATCH($B545,대여내역!$A$3:$A$1002,0)),"대여번호없음"))</f>
        <v/>
      </c>
      <c r="D545" s="11"/>
      <c r="E545" s="9"/>
      <c r="F545" s="10"/>
    </row>
    <row r="546" customFormat="false" ht="15" hidden="false" customHeight="false" outlineLevel="0" collapsed="false">
      <c r="A546" s="15"/>
      <c r="B546" s="10"/>
      <c r="C546" s="18" t="str">
        <f aca="false">IF($B546="","",IFERROR(INDEX(대여내역!$E$3:$E$1002,MATCH($B546,대여내역!$A$3:$A$1002,0)),"대여번호없음"))</f>
        <v/>
      </c>
      <c r="D546" s="11"/>
      <c r="E546" s="9"/>
      <c r="F546" s="10"/>
    </row>
    <row r="547" customFormat="false" ht="15" hidden="false" customHeight="false" outlineLevel="0" collapsed="false">
      <c r="A547" s="15"/>
      <c r="B547" s="10"/>
      <c r="C547" s="18" t="str">
        <f aca="false">IF($B547="","",IFERROR(INDEX(대여내역!$E$3:$E$1002,MATCH($B547,대여내역!$A$3:$A$1002,0)),"대여번호없음"))</f>
        <v/>
      </c>
      <c r="D547" s="11"/>
      <c r="E547" s="9"/>
      <c r="F547" s="10"/>
    </row>
    <row r="548" customFormat="false" ht="15" hidden="false" customHeight="false" outlineLevel="0" collapsed="false">
      <c r="A548" s="15"/>
      <c r="B548" s="10"/>
      <c r="C548" s="18" t="str">
        <f aca="false">IF($B548="","",IFERROR(INDEX(대여내역!$E$3:$E$1002,MATCH($B548,대여내역!$A$3:$A$1002,0)),"대여번호없음"))</f>
        <v/>
      </c>
      <c r="D548" s="11"/>
      <c r="E548" s="9"/>
      <c r="F548" s="10"/>
    </row>
    <row r="549" customFormat="false" ht="15" hidden="false" customHeight="false" outlineLevel="0" collapsed="false">
      <c r="A549" s="15"/>
      <c r="B549" s="10"/>
      <c r="C549" s="18" t="str">
        <f aca="false">IF($B549="","",IFERROR(INDEX(대여내역!$E$3:$E$1002,MATCH($B549,대여내역!$A$3:$A$1002,0)),"대여번호없음"))</f>
        <v/>
      </c>
      <c r="D549" s="11"/>
      <c r="E549" s="9"/>
      <c r="F549" s="10"/>
    </row>
    <row r="550" customFormat="false" ht="15" hidden="false" customHeight="false" outlineLevel="0" collapsed="false">
      <c r="A550" s="15"/>
      <c r="B550" s="10"/>
      <c r="C550" s="18" t="str">
        <f aca="false">IF($B550="","",IFERROR(INDEX(대여내역!$E$3:$E$1002,MATCH($B550,대여내역!$A$3:$A$1002,0)),"대여번호없음"))</f>
        <v/>
      </c>
      <c r="D550" s="11"/>
      <c r="E550" s="9"/>
      <c r="F550" s="10"/>
    </row>
    <row r="551" customFormat="false" ht="15" hidden="false" customHeight="false" outlineLevel="0" collapsed="false">
      <c r="A551" s="15"/>
      <c r="B551" s="10"/>
      <c r="C551" s="18" t="str">
        <f aca="false">IF($B551="","",IFERROR(INDEX(대여내역!$E$3:$E$1002,MATCH($B551,대여내역!$A$3:$A$1002,0)),"대여번호없음"))</f>
        <v/>
      </c>
      <c r="D551" s="11"/>
      <c r="E551" s="9"/>
      <c r="F551" s="10"/>
    </row>
    <row r="552" customFormat="false" ht="15" hidden="false" customHeight="false" outlineLevel="0" collapsed="false">
      <c r="A552" s="15"/>
      <c r="B552" s="10"/>
      <c r="C552" s="18" t="str">
        <f aca="false">IF($B552="","",IFERROR(INDEX(대여내역!$E$3:$E$1002,MATCH($B552,대여내역!$A$3:$A$1002,0)),"대여번호없음"))</f>
        <v/>
      </c>
      <c r="D552" s="11"/>
      <c r="E552" s="9"/>
      <c r="F552" s="10"/>
    </row>
    <row r="553" customFormat="false" ht="15" hidden="false" customHeight="false" outlineLevel="0" collapsed="false">
      <c r="A553" s="15"/>
      <c r="B553" s="10"/>
      <c r="C553" s="18" t="str">
        <f aca="false">IF($B553="","",IFERROR(INDEX(대여내역!$E$3:$E$1002,MATCH($B553,대여내역!$A$3:$A$1002,0)),"대여번호없음"))</f>
        <v/>
      </c>
      <c r="D553" s="11"/>
      <c r="E553" s="9"/>
      <c r="F553" s="10"/>
    </row>
    <row r="554" customFormat="false" ht="15" hidden="false" customHeight="false" outlineLevel="0" collapsed="false">
      <c r="A554" s="15"/>
      <c r="B554" s="10"/>
      <c r="C554" s="18" t="str">
        <f aca="false">IF($B554="","",IFERROR(INDEX(대여내역!$E$3:$E$1002,MATCH($B554,대여내역!$A$3:$A$1002,0)),"대여번호없음"))</f>
        <v/>
      </c>
      <c r="D554" s="11"/>
      <c r="E554" s="9"/>
      <c r="F554" s="10"/>
    </row>
    <row r="555" customFormat="false" ht="15" hidden="false" customHeight="false" outlineLevel="0" collapsed="false">
      <c r="A555" s="15"/>
      <c r="B555" s="10"/>
      <c r="C555" s="18" t="str">
        <f aca="false">IF($B555="","",IFERROR(INDEX(대여내역!$E$3:$E$1002,MATCH($B555,대여내역!$A$3:$A$1002,0)),"대여번호없음"))</f>
        <v/>
      </c>
      <c r="D555" s="11"/>
      <c r="E555" s="9"/>
      <c r="F555" s="10"/>
    </row>
    <row r="556" customFormat="false" ht="15" hidden="false" customHeight="false" outlineLevel="0" collapsed="false">
      <c r="A556" s="15"/>
      <c r="B556" s="10"/>
      <c r="C556" s="18" t="str">
        <f aca="false">IF($B556="","",IFERROR(INDEX(대여내역!$E$3:$E$1002,MATCH($B556,대여내역!$A$3:$A$1002,0)),"대여번호없음"))</f>
        <v/>
      </c>
      <c r="D556" s="11"/>
      <c r="E556" s="9"/>
      <c r="F556" s="10"/>
    </row>
    <row r="557" customFormat="false" ht="15" hidden="false" customHeight="false" outlineLevel="0" collapsed="false">
      <c r="A557" s="15"/>
      <c r="B557" s="10"/>
      <c r="C557" s="18" t="str">
        <f aca="false">IF($B557="","",IFERROR(INDEX(대여내역!$E$3:$E$1002,MATCH($B557,대여내역!$A$3:$A$1002,0)),"대여번호없음"))</f>
        <v/>
      </c>
      <c r="D557" s="11"/>
      <c r="E557" s="9"/>
      <c r="F557" s="10"/>
    </row>
    <row r="558" customFormat="false" ht="15" hidden="false" customHeight="false" outlineLevel="0" collapsed="false">
      <c r="A558" s="15"/>
      <c r="B558" s="10"/>
      <c r="C558" s="18" t="str">
        <f aca="false">IF($B558="","",IFERROR(INDEX(대여내역!$E$3:$E$1002,MATCH($B558,대여내역!$A$3:$A$1002,0)),"대여번호없음"))</f>
        <v/>
      </c>
      <c r="D558" s="11"/>
      <c r="E558" s="9"/>
      <c r="F558" s="10"/>
    </row>
    <row r="559" customFormat="false" ht="15" hidden="false" customHeight="false" outlineLevel="0" collapsed="false">
      <c r="A559" s="15"/>
      <c r="B559" s="10"/>
      <c r="C559" s="18" t="str">
        <f aca="false">IF($B559="","",IFERROR(INDEX(대여내역!$E$3:$E$1002,MATCH($B559,대여내역!$A$3:$A$1002,0)),"대여번호없음"))</f>
        <v/>
      </c>
      <c r="D559" s="11"/>
      <c r="E559" s="9"/>
      <c r="F559" s="10"/>
    </row>
    <row r="560" customFormat="false" ht="15" hidden="false" customHeight="false" outlineLevel="0" collapsed="false">
      <c r="A560" s="15"/>
      <c r="B560" s="10"/>
      <c r="C560" s="18" t="str">
        <f aca="false">IF($B560="","",IFERROR(INDEX(대여내역!$E$3:$E$1002,MATCH($B560,대여내역!$A$3:$A$1002,0)),"대여번호없음"))</f>
        <v/>
      </c>
      <c r="D560" s="11"/>
      <c r="E560" s="9"/>
      <c r="F560" s="10"/>
    </row>
    <row r="561" customFormat="false" ht="15" hidden="false" customHeight="false" outlineLevel="0" collapsed="false">
      <c r="A561" s="15"/>
      <c r="B561" s="10"/>
      <c r="C561" s="18" t="str">
        <f aca="false">IF($B561="","",IFERROR(INDEX(대여내역!$E$3:$E$1002,MATCH($B561,대여내역!$A$3:$A$1002,0)),"대여번호없음"))</f>
        <v/>
      </c>
      <c r="D561" s="11"/>
      <c r="E561" s="9"/>
      <c r="F561" s="10"/>
    </row>
    <row r="562" customFormat="false" ht="15" hidden="false" customHeight="false" outlineLevel="0" collapsed="false">
      <c r="A562" s="15"/>
      <c r="B562" s="10"/>
      <c r="C562" s="18" t="str">
        <f aca="false">IF($B562="","",IFERROR(INDEX(대여내역!$E$3:$E$1002,MATCH($B562,대여내역!$A$3:$A$1002,0)),"대여번호없음"))</f>
        <v/>
      </c>
      <c r="D562" s="11"/>
      <c r="E562" s="9"/>
      <c r="F562" s="10"/>
    </row>
    <row r="563" customFormat="false" ht="15" hidden="false" customHeight="false" outlineLevel="0" collapsed="false">
      <c r="A563" s="15"/>
      <c r="B563" s="10"/>
      <c r="C563" s="18" t="str">
        <f aca="false">IF($B563="","",IFERROR(INDEX(대여내역!$E$3:$E$1002,MATCH($B563,대여내역!$A$3:$A$1002,0)),"대여번호없음"))</f>
        <v/>
      </c>
      <c r="D563" s="11"/>
      <c r="E563" s="9"/>
      <c r="F563" s="10"/>
    </row>
    <row r="564" customFormat="false" ht="15" hidden="false" customHeight="false" outlineLevel="0" collapsed="false">
      <c r="A564" s="15"/>
      <c r="B564" s="10"/>
      <c r="C564" s="18" t="str">
        <f aca="false">IF($B564="","",IFERROR(INDEX(대여내역!$E$3:$E$1002,MATCH($B564,대여내역!$A$3:$A$1002,0)),"대여번호없음"))</f>
        <v/>
      </c>
      <c r="D564" s="11"/>
      <c r="E564" s="9"/>
      <c r="F564" s="10"/>
    </row>
    <row r="565" customFormat="false" ht="15" hidden="false" customHeight="false" outlineLevel="0" collapsed="false">
      <c r="A565" s="15"/>
      <c r="B565" s="10"/>
      <c r="C565" s="18" t="str">
        <f aca="false">IF($B565="","",IFERROR(INDEX(대여내역!$E$3:$E$1002,MATCH($B565,대여내역!$A$3:$A$1002,0)),"대여번호없음"))</f>
        <v/>
      </c>
      <c r="D565" s="11"/>
      <c r="E565" s="9"/>
      <c r="F565" s="10"/>
    </row>
    <row r="566" customFormat="false" ht="15" hidden="false" customHeight="false" outlineLevel="0" collapsed="false">
      <c r="A566" s="15"/>
      <c r="B566" s="10"/>
      <c r="C566" s="18" t="str">
        <f aca="false">IF($B566="","",IFERROR(INDEX(대여내역!$E$3:$E$1002,MATCH($B566,대여내역!$A$3:$A$1002,0)),"대여번호없음"))</f>
        <v/>
      </c>
      <c r="D566" s="11"/>
      <c r="E566" s="9"/>
      <c r="F566" s="10"/>
    </row>
    <row r="567" customFormat="false" ht="15" hidden="false" customHeight="false" outlineLevel="0" collapsed="false">
      <c r="A567" s="15"/>
      <c r="B567" s="10"/>
      <c r="C567" s="18" t="str">
        <f aca="false">IF($B567="","",IFERROR(INDEX(대여내역!$E$3:$E$1002,MATCH($B567,대여내역!$A$3:$A$1002,0)),"대여번호없음"))</f>
        <v/>
      </c>
      <c r="D567" s="11"/>
      <c r="E567" s="9"/>
      <c r="F567" s="10"/>
    </row>
    <row r="568" customFormat="false" ht="15" hidden="false" customHeight="false" outlineLevel="0" collapsed="false">
      <c r="A568" s="15"/>
      <c r="B568" s="10"/>
      <c r="C568" s="18" t="str">
        <f aca="false">IF($B568="","",IFERROR(INDEX(대여내역!$E$3:$E$1002,MATCH($B568,대여내역!$A$3:$A$1002,0)),"대여번호없음"))</f>
        <v/>
      </c>
      <c r="D568" s="11"/>
      <c r="E568" s="9"/>
      <c r="F568" s="10"/>
    </row>
    <row r="569" customFormat="false" ht="15" hidden="false" customHeight="false" outlineLevel="0" collapsed="false">
      <c r="A569" s="15"/>
      <c r="B569" s="10"/>
      <c r="C569" s="18" t="str">
        <f aca="false">IF($B569="","",IFERROR(INDEX(대여내역!$E$3:$E$1002,MATCH($B569,대여내역!$A$3:$A$1002,0)),"대여번호없음"))</f>
        <v/>
      </c>
      <c r="D569" s="11"/>
      <c r="E569" s="9"/>
      <c r="F569" s="10"/>
    </row>
    <row r="570" customFormat="false" ht="15" hidden="false" customHeight="false" outlineLevel="0" collapsed="false">
      <c r="A570" s="15"/>
      <c r="B570" s="10"/>
      <c r="C570" s="18" t="str">
        <f aca="false">IF($B570="","",IFERROR(INDEX(대여내역!$E$3:$E$1002,MATCH($B570,대여내역!$A$3:$A$1002,0)),"대여번호없음"))</f>
        <v/>
      </c>
      <c r="D570" s="11"/>
      <c r="E570" s="9"/>
      <c r="F570" s="10"/>
    </row>
    <row r="571" customFormat="false" ht="15" hidden="false" customHeight="false" outlineLevel="0" collapsed="false">
      <c r="A571" s="15"/>
      <c r="B571" s="10"/>
      <c r="C571" s="18" t="str">
        <f aca="false">IF($B571="","",IFERROR(INDEX(대여내역!$E$3:$E$1002,MATCH($B571,대여내역!$A$3:$A$1002,0)),"대여번호없음"))</f>
        <v/>
      </c>
      <c r="D571" s="11"/>
      <c r="E571" s="9"/>
      <c r="F571" s="10"/>
    </row>
    <row r="572" customFormat="false" ht="15" hidden="false" customHeight="false" outlineLevel="0" collapsed="false">
      <c r="A572" s="15"/>
      <c r="B572" s="10"/>
      <c r="C572" s="18" t="str">
        <f aca="false">IF($B572="","",IFERROR(INDEX(대여내역!$E$3:$E$1002,MATCH($B572,대여내역!$A$3:$A$1002,0)),"대여번호없음"))</f>
        <v/>
      </c>
      <c r="D572" s="11"/>
      <c r="E572" s="9"/>
      <c r="F572" s="10"/>
    </row>
    <row r="573" customFormat="false" ht="15" hidden="false" customHeight="false" outlineLevel="0" collapsed="false">
      <c r="A573" s="15"/>
      <c r="B573" s="10"/>
      <c r="C573" s="18" t="str">
        <f aca="false">IF($B573="","",IFERROR(INDEX(대여내역!$E$3:$E$1002,MATCH($B573,대여내역!$A$3:$A$1002,0)),"대여번호없음"))</f>
        <v/>
      </c>
      <c r="D573" s="11"/>
      <c r="E573" s="9"/>
      <c r="F573" s="10"/>
    </row>
    <row r="574" customFormat="false" ht="15" hidden="false" customHeight="false" outlineLevel="0" collapsed="false">
      <c r="A574" s="15"/>
      <c r="B574" s="10"/>
      <c r="C574" s="18" t="str">
        <f aca="false">IF($B574="","",IFERROR(INDEX(대여내역!$E$3:$E$1002,MATCH($B574,대여내역!$A$3:$A$1002,0)),"대여번호없음"))</f>
        <v/>
      </c>
      <c r="D574" s="11"/>
      <c r="E574" s="9"/>
      <c r="F574" s="10"/>
    </row>
    <row r="575" customFormat="false" ht="15" hidden="false" customHeight="false" outlineLevel="0" collapsed="false">
      <c r="A575" s="15"/>
      <c r="B575" s="10"/>
      <c r="C575" s="18" t="str">
        <f aca="false">IF($B575="","",IFERROR(INDEX(대여내역!$E$3:$E$1002,MATCH($B575,대여내역!$A$3:$A$1002,0)),"대여번호없음"))</f>
        <v/>
      </c>
      <c r="D575" s="11"/>
      <c r="E575" s="9"/>
      <c r="F575" s="10"/>
    </row>
    <row r="576" customFormat="false" ht="15" hidden="false" customHeight="false" outlineLevel="0" collapsed="false">
      <c r="A576" s="15"/>
      <c r="B576" s="10"/>
      <c r="C576" s="18" t="str">
        <f aca="false">IF($B576="","",IFERROR(INDEX(대여내역!$E$3:$E$1002,MATCH($B576,대여내역!$A$3:$A$1002,0)),"대여번호없음"))</f>
        <v/>
      </c>
      <c r="D576" s="11"/>
      <c r="E576" s="9"/>
      <c r="F576" s="10"/>
    </row>
    <row r="577" customFormat="false" ht="15" hidden="false" customHeight="false" outlineLevel="0" collapsed="false">
      <c r="A577" s="15"/>
      <c r="B577" s="10"/>
      <c r="C577" s="18" t="str">
        <f aca="false">IF($B577="","",IFERROR(INDEX(대여내역!$E$3:$E$1002,MATCH($B577,대여내역!$A$3:$A$1002,0)),"대여번호없음"))</f>
        <v/>
      </c>
      <c r="D577" s="11"/>
      <c r="E577" s="9"/>
      <c r="F577" s="10"/>
    </row>
    <row r="578" customFormat="false" ht="15" hidden="false" customHeight="false" outlineLevel="0" collapsed="false">
      <c r="A578" s="15"/>
      <c r="B578" s="10"/>
      <c r="C578" s="18" t="str">
        <f aca="false">IF($B578="","",IFERROR(INDEX(대여내역!$E$3:$E$1002,MATCH($B578,대여내역!$A$3:$A$1002,0)),"대여번호없음"))</f>
        <v/>
      </c>
      <c r="D578" s="11"/>
      <c r="E578" s="9"/>
      <c r="F578" s="10"/>
    </row>
    <row r="579" customFormat="false" ht="15" hidden="false" customHeight="false" outlineLevel="0" collapsed="false">
      <c r="A579" s="15"/>
      <c r="B579" s="10"/>
      <c r="C579" s="18" t="str">
        <f aca="false">IF($B579="","",IFERROR(INDEX(대여내역!$E$3:$E$1002,MATCH($B579,대여내역!$A$3:$A$1002,0)),"대여번호없음"))</f>
        <v/>
      </c>
      <c r="D579" s="11"/>
      <c r="E579" s="9"/>
      <c r="F579" s="10"/>
    </row>
    <row r="580" customFormat="false" ht="15" hidden="false" customHeight="false" outlineLevel="0" collapsed="false">
      <c r="A580" s="15"/>
      <c r="B580" s="10"/>
      <c r="C580" s="18" t="str">
        <f aca="false">IF($B580="","",IFERROR(INDEX(대여내역!$E$3:$E$1002,MATCH($B580,대여내역!$A$3:$A$1002,0)),"대여번호없음"))</f>
        <v/>
      </c>
      <c r="D580" s="11"/>
      <c r="E580" s="9"/>
      <c r="F580" s="10"/>
    </row>
    <row r="581" customFormat="false" ht="15" hidden="false" customHeight="false" outlineLevel="0" collapsed="false">
      <c r="A581" s="15"/>
      <c r="B581" s="10"/>
      <c r="C581" s="18" t="str">
        <f aca="false">IF($B581="","",IFERROR(INDEX(대여내역!$E$3:$E$1002,MATCH($B581,대여내역!$A$3:$A$1002,0)),"대여번호없음"))</f>
        <v/>
      </c>
      <c r="D581" s="11"/>
      <c r="E581" s="9"/>
      <c r="F581" s="10"/>
    </row>
    <row r="582" customFormat="false" ht="15" hidden="false" customHeight="false" outlineLevel="0" collapsed="false">
      <c r="A582" s="15"/>
      <c r="B582" s="10"/>
      <c r="C582" s="18" t="str">
        <f aca="false">IF($B582="","",IFERROR(INDEX(대여내역!$E$3:$E$1002,MATCH($B582,대여내역!$A$3:$A$1002,0)),"대여번호없음"))</f>
        <v/>
      </c>
      <c r="D582" s="11"/>
      <c r="E582" s="9"/>
      <c r="F582" s="10"/>
    </row>
    <row r="583" customFormat="false" ht="15" hidden="false" customHeight="false" outlineLevel="0" collapsed="false">
      <c r="A583" s="15"/>
      <c r="B583" s="10"/>
      <c r="C583" s="18" t="str">
        <f aca="false">IF($B583="","",IFERROR(INDEX(대여내역!$E$3:$E$1002,MATCH($B583,대여내역!$A$3:$A$1002,0)),"대여번호없음"))</f>
        <v/>
      </c>
      <c r="D583" s="11"/>
      <c r="E583" s="9"/>
      <c r="F583" s="10"/>
    </row>
    <row r="584" customFormat="false" ht="15" hidden="false" customHeight="false" outlineLevel="0" collapsed="false">
      <c r="A584" s="15"/>
      <c r="B584" s="10"/>
      <c r="C584" s="18" t="str">
        <f aca="false">IF($B584="","",IFERROR(INDEX(대여내역!$E$3:$E$1002,MATCH($B584,대여내역!$A$3:$A$1002,0)),"대여번호없음"))</f>
        <v/>
      </c>
      <c r="D584" s="11"/>
      <c r="E584" s="9"/>
      <c r="F584" s="10"/>
    </row>
    <row r="585" customFormat="false" ht="15" hidden="false" customHeight="false" outlineLevel="0" collapsed="false">
      <c r="A585" s="15"/>
      <c r="B585" s="10"/>
      <c r="C585" s="18" t="str">
        <f aca="false">IF($B585="","",IFERROR(INDEX(대여내역!$E$3:$E$1002,MATCH($B585,대여내역!$A$3:$A$1002,0)),"대여번호없음"))</f>
        <v/>
      </c>
      <c r="D585" s="11"/>
      <c r="E585" s="9"/>
      <c r="F585" s="10"/>
    </row>
    <row r="586" customFormat="false" ht="15" hidden="false" customHeight="false" outlineLevel="0" collapsed="false">
      <c r="A586" s="15"/>
      <c r="B586" s="10"/>
      <c r="C586" s="18" t="str">
        <f aca="false">IF($B586="","",IFERROR(INDEX(대여내역!$E$3:$E$1002,MATCH($B586,대여내역!$A$3:$A$1002,0)),"대여번호없음"))</f>
        <v/>
      </c>
      <c r="D586" s="11"/>
      <c r="E586" s="9"/>
      <c r="F586" s="10"/>
    </row>
    <row r="587" customFormat="false" ht="15" hidden="false" customHeight="false" outlineLevel="0" collapsed="false">
      <c r="A587" s="15"/>
      <c r="B587" s="10"/>
      <c r="C587" s="18" t="str">
        <f aca="false">IF($B587="","",IFERROR(INDEX(대여내역!$E$3:$E$1002,MATCH($B587,대여내역!$A$3:$A$1002,0)),"대여번호없음"))</f>
        <v/>
      </c>
      <c r="D587" s="11"/>
      <c r="E587" s="9"/>
      <c r="F587" s="10"/>
    </row>
    <row r="588" customFormat="false" ht="15" hidden="false" customHeight="false" outlineLevel="0" collapsed="false">
      <c r="A588" s="15"/>
      <c r="B588" s="10"/>
      <c r="C588" s="18" t="str">
        <f aca="false">IF($B588="","",IFERROR(INDEX(대여내역!$E$3:$E$1002,MATCH($B588,대여내역!$A$3:$A$1002,0)),"대여번호없음"))</f>
        <v/>
      </c>
      <c r="D588" s="11"/>
      <c r="E588" s="9"/>
      <c r="F588" s="10"/>
    </row>
    <row r="589" customFormat="false" ht="15" hidden="false" customHeight="false" outlineLevel="0" collapsed="false">
      <c r="A589" s="15"/>
      <c r="B589" s="10"/>
      <c r="C589" s="18" t="str">
        <f aca="false">IF($B589="","",IFERROR(INDEX(대여내역!$E$3:$E$1002,MATCH($B589,대여내역!$A$3:$A$1002,0)),"대여번호없음"))</f>
        <v/>
      </c>
      <c r="D589" s="11"/>
      <c r="E589" s="9"/>
      <c r="F589" s="10"/>
    </row>
    <row r="590" customFormat="false" ht="15" hidden="false" customHeight="false" outlineLevel="0" collapsed="false">
      <c r="A590" s="15"/>
      <c r="B590" s="10"/>
      <c r="C590" s="18" t="str">
        <f aca="false">IF($B590="","",IFERROR(INDEX(대여내역!$E$3:$E$1002,MATCH($B590,대여내역!$A$3:$A$1002,0)),"대여번호없음"))</f>
        <v/>
      </c>
      <c r="D590" s="11"/>
      <c r="E590" s="9"/>
      <c r="F590" s="10"/>
    </row>
    <row r="591" customFormat="false" ht="15" hidden="false" customHeight="false" outlineLevel="0" collapsed="false">
      <c r="A591" s="15"/>
      <c r="B591" s="10"/>
      <c r="C591" s="18" t="str">
        <f aca="false">IF($B591="","",IFERROR(INDEX(대여내역!$E$3:$E$1002,MATCH($B591,대여내역!$A$3:$A$1002,0)),"대여번호없음"))</f>
        <v/>
      </c>
      <c r="D591" s="11"/>
      <c r="E591" s="9"/>
      <c r="F591" s="10"/>
    </row>
    <row r="592" customFormat="false" ht="15" hidden="false" customHeight="false" outlineLevel="0" collapsed="false">
      <c r="A592" s="15"/>
      <c r="B592" s="10"/>
      <c r="C592" s="18" t="str">
        <f aca="false">IF($B592="","",IFERROR(INDEX(대여내역!$E$3:$E$1002,MATCH($B592,대여내역!$A$3:$A$1002,0)),"대여번호없음"))</f>
        <v/>
      </c>
      <c r="D592" s="11"/>
      <c r="E592" s="9"/>
      <c r="F592" s="10"/>
    </row>
    <row r="593" customFormat="false" ht="15" hidden="false" customHeight="false" outlineLevel="0" collapsed="false">
      <c r="A593" s="15"/>
      <c r="B593" s="10"/>
      <c r="C593" s="18" t="str">
        <f aca="false">IF($B593="","",IFERROR(INDEX(대여내역!$E$3:$E$1002,MATCH($B593,대여내역!$A$3:$A$1002,0)),"대여번호없음"))</f>
        <v/>
      </c>
      <c r="D593" s="11"/>
      <c r="E593" s="9"/>
      <c r="F593" s="10"/>
    </row>
    <row r="594" customFormat="false" ht="15" hidden="false" customHeight="false" outlineLevel="0" collapsed="false">
      <c r="A594" s="15"/>
      <c r="B594" s="10"/>
      <c r="C594" s="18" t="str">
        <f aca="false">IF($B594="","",IFERROR(INDEX(대여내역!$E$3:$E$1002,MATCH($B594,대여내역!$A$3:$A$1002,0)),"대여번호없음"))</f>
        <v/>
      </c>
      <c r="D594" s="11"/>
      <c r="E594" s="9"/>
      <c r="F594" s="10"/>
    </row>
    <row r="595" customFormat="false" ht="15" hidden="false" customHeight="false" outlineLevel="0" collapsed="false">
      <c r="A595" s="15"/>
      <c r="B595" s="10"/>
      <c r="C595" s="18" t="str">
        <f aca="false">IF($B595="","",IFERROR(INDEX(대여내역!$E$3:$E$1002,MATCH($B595,대여내역!$A$3:$A$1002,0)),"대여번호없음"))</f>
        <v/>
      </c>
      <c r="D595" s="11"/>
      <c r="E595" s="9"/>
      <c r="F595" s="10"/>
    </row>
    <row r="596" customFormat="false" ht="15" hidden="false" customHeight="false" outlineLevel="0" collapsed="false">
      <c r="A596" s="15"/>
      <c r="B596" s="10"/>
      <c r="C596" s="18" t="str">
        <f aca="false">IF($B596="","",IFERROR(INDEX(대여내역!$E$3:$E$1002,MATCH($B596,대여내역!$A$3:$A$1002,0)),"대여번호없음"))</f>
        <v/>
      </c>
      <c r="D596" s="11"/>
      <c r="E596" s="9"/>
      <c r="F596" s="10"/>
    </row>
    <row r="597" customFormat="false" ht="15" hidden="false" customHeight="false" outlineLevel="0" collapsed="false">
      <c r="A597" s="15"/>
      <c r="B597" s="10"/>
      <c r="C597" s="18" t="str">
        <f aca="false">IF($B597="","",IFERROR(INDEX(대여내역!$E$3:$E$1002,MATCH($B597,대여내역!$A$3:$A$1002,0)),"대여번호없음"))</f>
        <v/>
      </c>
      <c r="D597" s="11"/>
      <c r="E597" s="9"/>
      <c r="F597" s="10"/>
    </row>
    <row r="598" customFormat="false" ht="15" hidden="false" customHeight="false" outlineLevel="0" collapsed="false">
      <c r="A598" s="15"/>
      <c r="B598" s="10"/>
      <c r="C598" s="18" t="str">
        <f aca="false">IF($B598="","",IFERROR(INDEX(대여내역!$E$3:$E$1002,MATCH($B598,대여내역!$A$3:$A$1002,0)),"대여번호없음"))</f>
        <v/>
      </c>
      <c r="D598" s="11"/>
      <c r="E598" s="9"/>
      <c r="F598" s="10"/>
    </row>
    <row r="599" customFormat="false" ht="15" hidden="false" customHeight="false" outlineLevel="0" collapsed="false">
      <c r="A599" s="15"/>
      <c r="B599" s="10"/>
      <c r="C599" s="18" t="str">
        <f aca="false">IF($B599="","",IFERROR(INDEX(대여내역!$E$3:$E$1002,MATCH($B599,대여내역!$A$3:$A$1002,0)),"대여번호없음"))</f>
        <v/>
      </c>
      <c r="D599" s="11"/>
      <c r="E599" s="9"/>
      <c r="F599" s="10"/>
    </row>
    <row r="600" customFormat="false" ht="15" hidden="false" customHeight="false" outlineLevel="0" collapsed="false">
      <c r="A600" s="15"/>
      <c r="B600" s="10"/>
      <c r="C600" s="18" t="str">
        <f aca="false">IF($B600="","",IFERROR(INDEX(대여내역!$E$3:$E$1002,MATCH($B600,대여내역!$A$3:$A$1002,0)),"대여번호없음"))</f>
        <v/>
      </c>
      <c r="D600" s="11"/>
      <c r="E600" s="9"/>
      <c r="F600" s="10"/>
    </row>
    <row r="601" customFormat="false" ht="15" hidden="false" customHeight="false" outlineLevel="0" collapsed="false">
      <c r="A601" s="15"/>
      <c r="B601" s="10"/>
      <c r="C601" s="18" t="str">
        <f aca="false">IF($B601="","",IFERROR(INDEX(대여내역!$E$3:$E$1002,MATCH($B601,대여내역!$A$3:$A$1002,0)),"대여번호없음"))</f>
        <v/>
      </c>
      <c r="D601" s="11"/>
      <c r="E601" s="9"/>
      <c r="F601" s="10"/>
    </row>
    <row r="602" customFormat="false" ht="15" hidden="false" customHeight="false" outlineLevel="0" collapsed="false">
      <c r="A602" s="15"/>
      <c r="B602" s="10"/>
      <c r="C602" s="18" t="str">
        <f aca="false">IF($B602="","",IFERROR(INDEX(대여내역!$E$3:$E$1002,MATCH($B602,대여내역!$A$3:$A$1002,0)),"대여번호없음"))</f>
        <v/>
      </c>
      <c r="D602" s="11"/>
      <c r="E602" s="9"/>
      <c r="F602" s="10"/>
    </row>
    <row r="603" customFormat="false" ht="15" hidden="false" customHeight="false" outlineLevel="0" collapsed="false">
      <c r="A603" s="15"/>
      <c r="B603" s="10"/>
      <c r="C603" s="18" t="str">
        <f aca="false">IF($B603="","",IFERROR(INDEX(대여내역!$E$3:$E$1002,MATCH($B603,대여내역!$A$3:$A$1002,0)),"대여번호없음"))</f>
        <v/>
      </c>
      <c r="D603" s="11"/>
      <c r="E603" s="9"/>
      <c r="F603" s="10"/>
    </row>
    <row r="604" customFormat="false" ht="15" hidden="false" customHeight="false" outlineLevel="0" collapsed="false">
      <c r="A604" s="15"/>
      <c r="B604" s="10"/>
      <c r="C604" s="18" t="str">
        <f aca="false">IF($B604="","",IFERROR(INDEX(대여내역!$E$3:$E$1002,MATCH($B604,대여내역!$A$3:$A$1002,0)),"대여번호없음"))</f>
        <v/>
      </c>
      <c r="D604" s="11"/>
      <c r="E604" s="9"/>
      <c r="F604" s="10"/>
    </row>
    <row r="605" customFormat="false" ht="15" hidden="false" customHeight="false" outlineLevel="0" collapsed="false">
      <c r="A605" s="15"/>
      <c r="B605" s="10"/>
      <c r="C605" s="18" t="str">
        <f aca="false">IF($B605="","",IFERROR(INDEX(대여내역!$E$3:$E$1002,MATCH($B605,대여내역!$A$3:$A$1002,0)),"대여번호없음"))</f>
        <v/>
      </c>
      <c r="D605" s="11"/>
      <c r="E605" s="9"/>
      <c r="F605" s="10"/>
    </row>
    <row r="606" customFormat="false" ht="15" hidden="false" customHeight="false" outlineLevel="0" collapsed="false">
      <c r="A606" s="15"/>
      <c r="B606" s="10"/>
      <c r="C606" s="18" t="str">
        <f aca="false">IF($B606="","",IFERROR(INDEX(대여내역!$E$3:$E$1002,MATCH($B606,대여내역!$A$3:$A$1002,0)),"대여번호없음"))</f>
        <v/>
      </c>
      <c r="D606" s="11"/>
      <c r="E606" s="9"/>
      <c r="F606" s="10"/>
    </row>
    <row r="607" customFormat="false" ht="15" hidden="false" customHeight="false" outlineLevel="0" collapsed="false">
      <c r="A607" s="15"/>
      <c r="B607" s="10"/>
      <c r="C607" s="18" t="str">
        <f aca="false">IF($B607="","",IFERROR(INDEX(대여내역!$E$3:$E$1002,MATCH($B607,대여내역!$A$3:$A$1002,0)),"대여번호없음"))</f>
        <v/>
      </c>
      <c r="D607" s="11"/>
      <c r="E607" s="9"/>
      <c r="F607" s="10"/>
    </row>
    <row r="608" customFormat="false" ht="15" hidden="false" customHeight="false" outlineLevel="0" collapsed="false">
      <c r="A608" s="15"/>
      <c r="B608" s="10"/>
      <c r="C608" s="18" t="str">
        <f aca="false">IF($B608="","",IFERROR(INDEX(대여내역!$E$3:$E$1002,MATCH($B608,대여내역!$A$3:$A$1002,0)),"대여번호없음"))</f>
        <v/>
      </c>
      <c r="D608" s="11"/>
      <c r="E608" s="9"/>
      <c r="F608" s="10"/>
    </row>
    <row r="609" customFormat="false" ht="15" hidden="false" customHeight="false" outlineLevel="0" collapsed="false">
      <c r="A609" s="15"/>
      <c r="B609" s="10"/>
      <c r="C609" s="18" t="str">
        <f aca="false">IF($B609="","",IFERROR(INDEX(대여내역!$E$3:$E$1002,MATCH($B609,대여내역!$A$3:$A$1002,0)),"대여번호없음"))</f>
        <v/>
      </c>
      <c r="D609" s="11"/>
      <c r="E609" s="9"/>
      <c r="F609" s="10"/>
    </row>
    <row r="610" customFormat="false" ht="15" hidden="false" customHeight="false" outlineLevel="0" collapsed="false">
      <c r="A610" s="15"/>
      <c r="B610" s="10"/>
      <c r="C610" s="18" t="str">
        <f aca="false">IF($B610="","",IFERROR(INDEX(대여내역!$E$3:$E$1002,MATCH($B610,대여내역!$A$3:$A$1002,0)),"대여번호없음"))</f>
        <v/>
      </c>
      <c r="D610" s="11"/>
      <c r="E610" s="9"/>
      <c r="F610" s="10"/>
    </row>
    <row r="611" customFormat="false" ht="15" hidden="false" customHeight="false" outlineLevel="0" collapsed="false">
      <c r="A611" s="15"/>
      <c r="B611" s="10"/>
      <c r="C611" s="18" t="str">
        <f aca="false">IF($B611="","",IFERROR(INDEX(대여내역!$E$3:$E$1002,MATCH($B611,대여내역!$A$3:$A$1002,0)),"대여번호없음"))</f>
        <v/>
      </c>
      <c r="D611" s="11"/>
      <c r="E611" s="9"/>
      <c r="F611" s="10"/>
    </row>
    <row r="612" customFormat="false" ht="15" hidden="false" customHeight="false" outlineLevel="0" collapsed="false">
      <c r="A612" s="15"/>
      <c r="B612" s="10"/>
      <c r="C612" s="18" t="str">
        <f aca="false">IF($B612="","",IFERROR(INDEX(대여내역!$E$3:$E$1002,MATCH($B612,대여내역!$A$3:$A$1002,0)),"대여번호없음"))</f>
        <v/>
      </c>
      <c r="D612" s="11"/>
      <c r="E612" s="9"/>
      <c r="F612" s="10"/>
    </row>
    <row r="613" customFormat="false" ht="15" hidden="false" customHeight="false" outlineLevel="0" collapsed="false">
      <c r="A613" s="15"/>
      <c r="B613" s="10"/>
      <c r="C613" s="18" t="str">
        <f aca="false">IF($B613="","",IFERROR(INDEX(대여내역!$E$3:$E$1002,MATCH($B613,대여내역!$A$3:$A$1002,0)),"대여번호없음"))</f>
        <v/>
      </c>
      <c r="D613" s="11"/>
      <c r="E613" s="9"/>
      <c r="F613" s="10"/>
    </row>
    <row r="614" customFormat="false" ht="15" hidden="false" customHeight="false" outlineLevel="0" collapsed="false">
      <c r="A614" s="15"/>
      <c r="B614" s="10"/>
      <c r="C614" s="18" t="str">
        <f aca="false">IF($B614="","",IFERROR(INDEX(대여내역!$E$3:$E$1002,MATCH($B614,대여내역!$A$3:$A$1002,0)),"대여번호없음"))</f>
        <v/>
      </c>
      <c r="D614" s="11"/>
      <c r="E614" s="9"/>
      <c r="F614" s="10"/>
    </row>
    <row r="615" customFormat="false" ht="15" hidden="false" customHeight="false" outlineLevel="0" collapsed="false">
      <c r="A615" s="15"/>
      <c r="B615" s="10"/>
      <c r="C615" s="18" t="str">
        <f aca="false">IF($B615="","",IFERROR(INDEX(대여내역!$E$3:$E$1002,MATCH($B615,대여내역!$A$3:$A$1002,0)),"대여번호없음"))</f>
        <v/>
      </c>
      <c r="D615" s="11"/>
      <c r="E615" s="9"/>
      <c r="F615" s="10"/>
    </row>
    <row r="616" customFormat="false" ht="15" hidden="false" customHeight="false" outlineLevel="0" collapsed="false">
      <c r="A616" s="15"/>
      <c r="B616" s="10"/>
      <c r="C616" s="18" t="str">
        <f aca="false">IF($B616="","",IFERROR(INDEX(대여내역!$E$3:$E$1002,MATCH($B616,대여내역!$A$3:$A$1002,0)),"대여번호없음"))</f>
        <v/>
      </c>
      <c r="D616" s="11"/>
      <c r="E616" s="9"/>
      <c r="F616" s="10"/>
    </row>
    <row r="617" customFormat="false" ht="15" hidden="false" customHeight="false" outlineLevel="0" collapsed="false">
      <c r="A617" s="15"/>
      <c r="B617" s="10"/>
      <c r="C617" s="18" t="str">
        <f aca="false">IF($B617="","",IFERROR(INDEX(대여내역!$E$3:$E$1002,MATCH($B617,대여내역!$A$3:$A$1002,0)),"대여번호없음"))</f>
        <v/>
      </c>
      <c r="D617" s="11"/>
      <c r="E617" s="9"/>
      <c r="F617" s="10"/>
    </row>
    <row r="618" customFormat="false" ht="15" hidden="false" customHeight="false" outlineLevel="0" collapsed="false">
      <c r="A618" s="15"/>
      <c r="B618" s="10"/>
      <c r="C618" s="18" t="str">
        <f aca="false">IF($B618="","",IFERROR(INDEX(대여내역!$E$3:$E$1002,MATCH($B618,대여내역!$A$3:$A$1002,0)),"대여번호없음"))</f>
        <v/>
      </c>
      <c r="D618" s="11"/>
      <c r="E618" s="9"/>
      <c r="F618" s="10"/>
    </row>
    <row r="619" customFormat="false" ht="15" hidden="false" customHeight="false" outlineLevel="0" collapsed="false">
      <c r="A619" s="15"/>
      <c r="B619" s="10"/>
      <c r="C619" s="18" t="str">
        <f aca="false">IF($B619="","",IFERROR(INDEX(대여내역!$E$3:$E$1002,MATCH($B619,대여내역!$A$3:$A$1002,0)),"대여번호없음"))</f>
        <v/>
      </c>
      <c r="D619" s="11"/>
      <c r="E619" s="9"/>
      <c r="F619" s="10"/>
    </row>
    <row r="620" customFormat="false" ht="15" hidden="false" customHeight="false" outlineLevel="0" collapsed="false">
      <c r="A620" s="15"/>
      <c r="B620" s="10"/>
      <c r="C620" s="18" t="str">
        <f aca="false">IF($B620="","",IFERROR(INDEX(대여내역!$E$3:$E$1002,MATCH($B620,대여내역!$A$3:$A$1002,0)),"대여번호없음"))</f>
        <v/>
      </c>
      <c r="D620" s="11"/>
      <c r="E620" s="9"/>
      <c r="F620" s="10"/>
    </row>
    <row r="621" customFormat="false" ht="15" hidden="false" customHeight="false" outlineLevel="0" collapsed="false">
      <c r="A621" s="15"/>
      <c r="B621" s="10"/>
      <c r="C621" s="18" t="str">
        <f aca="false">IF($B621="","",IFERROR(INDEX(대여내역!$E$3:$E$1002,MATCH($B621,대여내역!$A$3:$A$1002,0)),"대여번호없음"))</f>
        <v/>
      </c>
      <c r="D621" s="11"/>
      <c r="E621" s="9"/>
      <c r="F621" s="10"/>
    </row>
    <row r="622" customFormat="false" ht="15" hidden="false" customHeight="false" outlineLevel="0" collapsed="false">
      <c r="A622" s="15"/>
      <c r="B622" s="10"/>
      <c r="C622" s="18" t="str">
        <f aca="false">IF($B622="","",IFERROR(INDEX(대여내역!$E$3:$E$1002,MATCH($B622,대여내역!$A$3:$A$1002,0)),"대여번호없음"))</f>
        <v/>
      </c>
      <c r="D622" s="11"/>
      <c r="E622" s="9"/>
      <c r="F622" s="10"/>
    </row>
    <row r="623" customFormat="false" ht="15" hidden="false" customHeight="false" outlineLevel="0" collapsed="false">
      <c r="A623" s="15"/>
      <c r="B623" s="10"/>
      <c r="C623" s="18" t="str">
        <f aca="false">IF($B623="","",IFERROR(INDEX(대여내역!$E$3:$E$1002,MATCH($B623,대여내역!$A$3:$A$1002,0)),"대여번호없음"))</f>
        <v/>
      </c>
      <c r="D623" s="11"/>
      <c r="E623" s="9"/>
      <c r="F623" s="10"/>
    </row>
    <row r="624" customFormat="false" ht="15" hidden="false" customHeight="false" outlineLevel="0" collapsed="false">
      <c r="A624" s="15"/>
      <c r="B624" s="10"/>
      <c r="C624" s="18" t="str">
        <f aca="false">IF($B624="","",IFERROR(INDEX(대여내역!$E$3:$E$1002,MATCH($B624,대여내역!$A$3:$A$1002,0)),"대여번호없음"))</f>
        <v/>
      </c>
      <c r="D624" s="11"/>
      <c r="E624" s="9"/>
      <c r="F624" s="10"/>
    </row>
    <row r="625" customFormat="false" ht="15" hidden="false" customHeight="false" outlineLevel="0" collapsed="false">
      <c r="A625" s="15"/>
      <c r="B625" s="10"/>
      <c r="C625" s="18" t="str">
        <f aca="false">IF($B625="","",IFERROR(INDEX(대여내역!$E$3:$E$1002,MATCH($B625,대여내역!$A$3:$A$1002,0)),"대여번호없음"))</f>
        <v/>
      </c>
      <c r="D625" s="11"/>
      <c r="E625" s="9"/>
      <c r="F625" s="10"/>
    </row>
    <row r="626" customFormat="false" ht="15" hidden="false" customHeight="false" outlineLevel="0" collapsed="false">
      <c r="A626" s="15"/>
      <c r="B626" s="10"/>
      <c r="C626" s="18" t="str">
        <f aca="false">IF($B626="","",IFERROR(INDEX(대여내역!$E$3:$E$1002,MATCH($B626,대여내역!$A$3:$A$1002,0)),"대여번호없음"))</f>
        <v/>
      </c>
      <c r="D626" s="11"/>
      <c r="E626" s="9"/>
      <c r="F626" s="10"/>
    </row>
    <row r="627" customFormat="false" ht="15" hidden="false" customHeight="false" outlineLevel="0" collapsed="false">
      <c r="A627" s="15"/>
      <c r="B627" s="10"/>
      <c r="C627" s="18" t="str">
        <f aca="false">IF($B627="","",IFERROR(INDEX(대여내역!$E$3:$E$1002,MATCH($B627,대여내역!$A$3:$A$1002,0)),"대여번호없음"))</f>
        <v/>
      </c>
      <c r="D627" s="11"/>
      <c r="E627" s="9"/>
      <c r="F627" s="10"/>
    </row>
    <row r="628" customFormat="false" ht="15" hidden="false" customHeight="false" outlineLevel="0" collapsed="false">
      <c r="A628" s="15"/>
      <c r="B628" s="10"/>
      <c r="C628" s="18" t="str">
        <f aca="false">IF($B628="","",IFERROR(INDEX(대여내역!$E$3:$E$1002,MATCH($B628,대여내역!$A$3:$A$1002,0)),"대여번호없음"))</f>
        <v/>
      </c>
      <c r="D628" s="11"/>
      <c r="E628" s="9"/>
      <c r="F628" s="10"/>
    </row>
    <row r="629" customFormat="false" ht="15" hidden="false" customHeight="false" outlineLevel="0" collapsed="false">
      <c r="A629" s="15"/>
      <c r="B629" s="10"/>
      <c r="C629" s="18" t="str">
        <f aca="false">IF($B629="","",IFERROR(INDEX(대여내역!$E$3:$E$1002,MATCH($B629,대여내역!$A$3:$A$1002,0)),"대여번호없음"))</f>
        <v/>
      </c>
      <c r="D629" s="11"/>
      <c r="E629" s="9"/>
      <c r="F629" s="10"/>
    </row>
    <row r="630" customFormat="false" ht="15" hidden="false" customHeight="false" outlineLevel="0" collapsed="false">
      <c r="A630" s="15"/>
      <c r="B630" s="10"/>
      <c r="C630" s="18" t="str">
        <f aca="false">IF($B630="","",IFERROR(INDEX(대여내역!$E$3:$E$1002,MATCH($B630,대여내역!$A$3:$A$1002,0)),"대여번호없음"))</f>
        <v/>
      </c>
      <c r="D630" s="11"/>
      <c r="E630" s="9"/>
      <c r="F630" s="10"/>
    </row>
    <row r="631" customFormat="false" ht="15" hidden="false" customHeight="false" outlineLevel="0" collapsed="false">
      <c r="A631" s="15"/>
      <c r="B631" s="10"/>
      <c r="C631" s="18" t="str">
        <f aca="false">IF($B631="","",IFERROR(INDEX(대여내역!$E$3:$E$1002,MATCH($B631,대여내역!$A$3:$A$1002,0)),"대여번호없음"))</f>
        <v/>
      </c>
      <c r="D631" s="11"/>
      <c r="E631" s="9"/>
      <c r="F631" s="10"/>
    </row>
    <row r="632" customFormat="false" ht="15" hidden="false" customHeight="false" outlineLevel="0" collapsed="false">
      <c r="A632" s="15"/>
      <c r="B632" s="10"/>
      <c r="C632" s="18" t="str">
        <f aca="false">IF($B632="","",IFERROR(INDEX(대여내역!$E$3:$E$1002,MATCH($B632,대여내역!$A$3:$A$1002,0)),"대여번호없음"))</f>
        <v/>
      </c>
      <c r="D632" s="11"/>
      <c r="E632" s="9"/>
      <c r="F632" s="10"/>
    </row>
    <row r="633" customFormat="false" ht="15" hidden="false" customHeight="false" outlineLevel="0" collapsed="false">
      <c r="A633" s="15"/>
      <c r="B633" s="10"/>
      <c r="C633" s="18" t="str">
        <f aca="false">IF($B633="","",IFERROR(INDEX(대여내역!$E$3:$E$1002,MATCH($B633,대여내역!$A$3:$A$1002,0)),"대여번호없음"))</f>
        <v/>
      </c>
      <c r="D633" s="11"/>
      <c r="E633" s="9"/>
      <c r="F633" s="10"/>
    </row>
    <row r="634" customFormat="false" ht="15" hidden="false" customHeight="false" outlineLevel="0" collapsed="false">
      <c r="A634" s="15"/>
      <c r="B634" s="10"/>
      <c r="C634" s="18" t="str">
        <f aca="false">IF($B634="","",IFERROR(INDEX(대여내역!$E$3:$E$1002,MATCH($B634,대여내역!$A$3:$A$1002,0)),"대여번호없음"))</f>
        <v/>
      </c>
      <c r="D634" s="11"/>
      <c r="E634" s="9"/>
      <c r="F634" s="10"/>
    </row>
    <row r="635" customFormat="false" ht="15" hidden="false" customHeight="false" outlineLevel="0" collapsed="false">
      <c r="A635" s="15"/>
      <c r="B635" s="10"/>
      <c r="C635" s="18" t="str">
        <f aca="false">IF($B635="","",IFERROR(INDEX(대여내역!$E$3:$E$1002,MATCH($B635,대여내역!$A$3:$A$1002,0)),"대여번호없음"))</f>
        <v/>
      </c>
      <c r="D635" s="11"/>
      <c r="E635" s="9"/>
      <c r="F635" s="10"/>
    </row>
    <row r="636" customFormat="false" ht="15" hidden="false" customHeight="false" outlineLevel="0" collapsed="false">
      <c r="A636" s="15"/>
      <c r="B636" s="10"/>
      <c r="C636" s="18" t="str">
        <f aca="false">IF($B636="","",IFERROR(INDEX(대여내역!$E$3:$E$1002,MATCH($B636,대여내역!$A$3:$A$1002,0)),"대여번호없음"))</f>
        <v/>
      </c>
      <c r="D636" s="11"/>
      <c r="E636" s="9"/>
      <c r="F636" s="10"/>
    </row>
    <row r="637" customFormat="false" ht="15" hidden="false" customHeight="false" outlineLevel="0" collapsed="false">
      <c r="A637" s="15"/>
      <c r="B637" s="10"/>
      <c r="C637" s="18" t="str">
        <f aca="false">IF($B637="","",IFERROR(INDEX(대여내역!$E$3:$E$1002,MATCH($B637,대여내역!$A$3:$A$1002,0)),"대여번호없음"))</f>
        <v/>
      </c>
      <c r="D637" s="11"/>
      <c r="E637" s="9"/>
      <c r="F637" s="10"/>
    </row>
    <row r="638" customFormat="false" ht="15" hidden="false" customHeight="false" outlineLevel="0" collapsed="false">
      <c r="A638" s="15"/>
      <c r="B638" s="10"/>
      <c r="C638" s="18" t="str">
        <f aca="false">IF($B638="","",IFERROR(INDEX(대여내역!$E$3:$E$1002,MATCH($B638,대여내역!$A$3:$A$1002,0)),"대여번호없음"))</f>
        <v/>
      </c>
      <c r="D638" s="11"/>
      <c r="E638" s="9"/>
      <c r="F638" s="10"/>
    </row>
    <row r="639" customFormat="false" ht="15" hidden="false" customHeight="false" outlineLevel="0" collapsed="false">
      <c r="A639" s="15"/>
      <c r="B639" s="10"/>
      <c r="C639" s="18" t="str">
        <f aca="false">IF($B639="","",IFERROR(INDEX(대여내역!$E$3:$E$1002,MATCH($B639,대여내역!$A$3:$A$1002,0)),"대여번호없음"))</f>
        <v/>
      </c>
      <c r="D639" s="11"/>
      <c r="E639" s="9"/>
      <c r="F639" s="10"/>
    </row>
    <row r="640" customFormat="false" ht="15" hidden="false" customHeight="false" outlineLevel="0" collapsed="false">
      <c r="A640" s="15"/>
      <c r="B640" s="10"/>
      <c r="C640" s="18" t="str">
        <f aca="false">IF($B640="","",IFERROR(INDEX(대여내역!$E$3:$E$1002,MATCH($B640,대여내역!$A$3:$A$1002,0)),"대여번호없음"))</f>
        <v/>
      </c>
      <c r="D640" s="11"/>
      <c r="E640" s="9"/>
      <c r="F640" s="10"/>
    </row>
    <row r="641" customFormat="false" ht="15" hidden="false" customHeight="false" outlineLevel="0" collapsed="false">
      <c r="A641" s="15"/>
      <c r="B641" s="10"/>
      <c r="C641" s="18" t="str">
        <f aca="false">IF($B641="","",IFERROR(INDEX(대여내역!$E$3:$E$1002,MATCH($B641,대여내역!$A$3:$A$1002,0)),"대여번호없음"))</f>
        <v/>
      </c>
      <c r="D641" s="11"/>
      <c r="E641" s="9"/>
      <c r="F641" s="10"/>
    </row>
    <row r="642" customFormat="false" ht="15" hidden="false" customHeight="false" outlineLevel="0" collapsed="false">
      <c r="A642" s="15"/>
      <c r="B642" s="10"/>
      <c r="C642" s="18" t="str">
        <f aca="false">IF($B642="","",IFERROR(INDEX(대여내역!$E$3:$E$1002,MATCH($B642,대여내역!$A$3:$A$1002,0)),"대여번호없음"))</f>
        <v/>
      </c>
      <c r="D642" s="11"/>
      <c r="E642" s="9"/>
      <c r="F642" s="10"/>
    </row>
    <row r="643" customFormat="false" ht="15" hidden="false" customHeight="false" outlineLevel="0" collapsed="false">
      <c r="A643" s="15"/>
      <c r="B643" s="10"/>
      <c r="C643" s="18" t="str">
        <f aca="false">IF($B643="","",IFERROR(INDEX(대여내역!$E$3:$E$1002,MATCH($B643,대여내역!$A$3:$A$1002,0)),"대여번호없음"))</f>
        <v/>
      </c>
      <c r="D643" s="11"/>
      <c r="E643" s="9"/>
      <c r="F643" s="10"/>
    </row>
    <row r="644" customFormat="false" ht="15" hidden="false" customHeight="false" outlineLevel="0" collapsed="false">
      <c r="A644" s="15"/>
      <c r="B644" s="10"/>
      <c r="C644" s="18" t="str">
        <f aca="false">IF($B644="","",IFERROR(INDEX(대여내역!$E$3:$E$1002,MATCH($B644,대여내역!$A$3:$A$1002,0)),"대여번호없음"))</f>
        <v/>
      </c>
      <c r="D644" s="11"/>
      <c r="E644" s="9"/>
      <c r="F644" s="10"/>
    </row>
    <row r="645" customFormat="false" ht="15" hidden="false" customHeight="false" outlineLevel="0" collapsed="false">
      <c r="A645" s="15"/>
      <c r="B645" s="10"/>
      <c r="C645" s="18" t="str">
        <f aca="false">IF($B645="","",IFERROR(INDEX(대여내역!$E$3:$E$1002,MATCH($B645,대여내역!$A$3:$A$1002,0)),"대여번호없음"))</f>
        <v/>
      </c>
      <c r="D645" s="11"/>
      <c r="E645" s="9"/>
      <c r="F645" s="10"/>
    </row>
    <row r="646" customFormat="false" ht="15" hidden="false" customHeight="false" outlineLevel="0" collapsed="false">
      <c r="A646" s="15"/>
      <c r="B646" s="10"/>
      <c r="C646" s="18" t="str">
        <f aca="false">IF($B646="","",IFERROR(INDEX(대여내역!$E$3:$E$1002,MATCH($B646,대여내역!$A$3:$A$1002,0)),"대여번호없음"))</f>
        <v/>
      </c>
      <c r="D646" s="11"/>
      <c r="E646" s="9"/>
      <c r="F646" s="10"/>
    </row>
    <row r="647" customFormat="false" ht="15" hidden="false" customHeight="false" outlineLevel="0" collapsed="false">
      <c r="A647" s="15"/>
      <c r="B647" s="10"/>
      <c r="C647" s="18" t="str">
        <f aca="false">IF($B647="","",IFERROR(INDEX(대여내역!$E$3:$E$1002,MATCH($B647,대여내역!$A$3:$A$1002,0)),"대여번호없음"))</f>
        <v/>
      </c>
      <c r="D647" s="11"/>
      <c r="E647" s="9"/>
      <c r="F647" s="10"/>
    </row>
    <row r="648" customFormat="false" ht="15" hidden="false" customHeight="false" outlineLevel="0" collapsed="false">
      <c r="A648" s="15"/>
      <c r="B648" s="10"/>
      <c r="C648" s="18" t="str">
        <f aca="false">IF($B648="","",IFERROR(INDEX(대여내역!$E$3:$E$1002,MATCH($B648,대여내역!$A$3:$A$1002,0)),"대여번호없음"))</f>
        <v/>
      </c>
      <c r="D648" s="11"/>
      <c r="E648" s="9"/>
      <c r="F648" s="10"/>
    </row>
    <row r="649" customFormat="false" ht="15" hidden="false" customHeight="false" outlineLevel="0" collapsed="false">
      <c r="A649" s="15"/>
      <c r="B649" s="10"/>
      <c r="C649" s="18" t="str">
        <f aca="false">IF($B649="","",IFERROR(INDEX(대여내역!$E$3:$E$1002,MATCH($B649,대여내역!$A$3:$A$1002,0)),"대여번호없음"))</f>
        <v/>
      </c>
      <c r="D649" s="11"/>
      <c r="E649" s="9"/>
      <c r="F649" s="10"/>
    </row>
    <row r="650" customFormat="false" ht="15" hidden="false" customHeight="false" outlineLevel="0" collapsed="false">
      <c r="A650" s="15"/>
      <c r="B650" s="10"/>
      <c r="C650" s="18" t="str">
        <f aca="false">IF($B650="","",IFERROR(INDEX(대여내역!$E$3:$E$1002,MATCH($B650,대여내역!$A$3:$A$1002,0)),"대여번호없음"))</f>
        <v/>
      </c>
      <c r="D650" s="11"/>
      <c r="E650" s="9"/>
      <c r="F650" s="10"/>
    </row>
    <row r="651" customFormat="false" ht="15" hidden="false" customHeight="false" outlineLevel="0" collapsed="false">
      <c r="A651" s="15"/>
      <c r="B651" s="10"/>
      <c r="C651" s="18" t="str">
        <f aca="false">IF($B651="","",IFERROR(INDEX(대여내역!$E$3:$E$1002,MATCH($B651,대여내역!$A$3:$A$1002,0)),"대여번호없음"))</f>
        <v/>
      </c>
      <c r="D651" s="11"/>
      <c r="E651" s="9"/>
      <c r="F651" s="10"/>
    </row>
    <row r="652" customFormat="false" ht="15" hidden="false" customHeight="false" outlineLevel="0" collapsed="false">
      <c r="A652" s="15"/>
      <c r="B652" s="10"/>
      <c r="C652" s="18" t="str">
        <f aca="false">IF($B652="","",IFERROR(INDEX(대여내역!$E$3:$E$1002,MATCH($B652,대여내역!$A$3:$A$1002,0)),"대여번호없음"))</f>
        <v/>
      </c>
      <c r="D652" s="11"/>
      <c r="E652" s="9"/>
      <c r="F652" s="10"/>
    </row>
    <row r="653" customFormat="false" ht="15" hidden="false" customHeight="false" outlineLevel="0" collapsed="false">
      <c r="A653" s="15"/>
      <c r="B653" s="10"/>
      <c r="C653" s="18" t="str">
        <f aca="false">IF($B653="","",IFERROR(INDEX(대여내역!$E$3:$E$1002,MATCH($B653,대여내역!$A$3:$A$1002,0)),"대여번호없음"))</f>
        <v/>
      </c>
      <c r="D653" s="11"/>
      <c r="E653" s="9"/>
      <c r="F653" s="10"/>
    </row>
    <row r="654" customFormat="false" ht="15" hidden="false" customHeight="false" outlineLevel="0" collapsed="false">
      <c r="A654" s="15"/>
      <c r="B654" s="10"/>
      <c r="C654" s="18" t="str">
        <f aca="false">IF($B654="","",IFERROR(INDEX(대여내역!$E$3:$E$1002,MATCH($B654,대여내역!$A$3:$A$1002,0)),"대여번호없음"))</f>
        <v/>
      </c>
      <c r="D654" s="11"/>
      <c r="E654" s="9"/>
      <c r="F654" s="10"/>
    </row>
    <row r="655" customFormat="false" ht="15" hidden="false" customHeight="false" outlineLevel="0" collapsed="false">
      <c r="A655" s="15"/>
      <c r="B655" s="10"/>
      <c r="C655" s="18" t="str">
        <f aca="false">IF($B655="","",IFERROR(INDEX(대여내역!$E$3:$E$1002,MATCH($B655,대여내역!$A$3:$A$1002,0)),"대여번호없음"))</f>
        <v/>
      </c>
      <c r="D655" s="11"/>
      <c r="E655" s="9"/>
      <c r="F655" s="10"/>
    </row>
    <row r="656" customFormat="false" ht="15" hidden="false" customHeight="false" outlineLevel="0" collapsed="false">
      <c r="A656" s="15"/>
      <c r="B656" s="10"/>
      <c r="C656" s="18" t="str">
        <f aca="false">IF($B656="","",IFERROR(INDEX(대여내역!$E$3:$E$1002,MATCH($B656,대여내역!$A$3:$A$1002,0)),"대여번호없음"))</f>
        <v/>
      </c>
      <c r="D656" s="11"/>
      <c r="E656" s="9"/>
      <c r="F656" s="10"/>
    </row>
    <row r="657" customFormat="false" ht="15" hidden="false" customHeight="false" outlineLevel="0" collapsed="false">
      <c r="A657" s="15"/>
      <c r="B657" s="10"/>
      <c r="C657" s="18" t="str">
        <f aca="false">IF($B657="","",IFERROR(INDEX(대여내역!$E$3:$E$1002,MATCH($B657,대여내역!$A$3:$A$1002,0)),"대여번호없음"))</f>
        <v/>
      </c>
      <c r="D657" s="11"/>
      <c r="E657" s="9"/>
      <c r="F657" s="10"/>
    </row>
    <row r="658" customFormat="false" ht="15" hidden="false" customHeight="false" outlineLevel="0" collapsed="false">
      <c r="A658" s="15"/>
      <c r="B658" s="10"/>
      <c r="C658" s="18" t="str">
        <f aca="false">IF($B658="","",IFERROR(INDEX(대여내역!$E$3:$E$1002,MATCH($B658,대여내역!$A$3:$A$1002,0)),"대여번호없음"))</f>
        <v/>
      </c>
      <c r="D658" s="11"/>
      <c r="E658" s="9"/>
      <c r="F658" s="10"/>
    </row>
    <row r="659" customFormat="false" ht="15" hidden="false" customHeight="false" outlineLevel="0" collapsed="false">
      <c r="A659" s="15"/>
      <c r="B659" s="10"/>
      <c r="C659" s="18" t="str">
        <f aca="false">IF($B659="","",IFERROR(INDEX(대여내역!$E$3:$E$1002,MATCH($B659,대여내역!$A$3:$A$1002,0)),"대여번호없음"))</f>
        <v/>
      </c>
      <c r="D659" s="11"/>
      <c r="E659" s="9"/>
      <c r="F659" s="10"/>
    </row>
    <row r="660" customFormat="false" ht="15" hidden="false" customHeight="false" outlineLevel="0" collapsed="false">
      <c r="A660" s="15"/>
      <c r="B660" s="10"/>
      <c r="C660" s="18" t="str">
        <f aca="false">IF($B660="","",IFERROR(INDEX(대여내역!$E$3:$E$1002,MATCH($B660,대여내역!$A$3:$A$1002,0)),"대여번호없음"))</f>
        <v/>
      </c>
      <c r="D660" s="11"/>
      <c r="E660" s="9"/>
      <c r="F660" s="10"/>
    </row>
    <row r="661" customFormat="false" ht="15" hidden="false" customHeight="false" outlineLevel="0" collapsed="false">
      <c r="A661" s="15"/>
      <c r="B661" s="10"/>
      <c r="C661" s="18" t="str">
        <f aca="false">IF($B661="","",IFERROR(INDEX(대여내역!$E$3:$E$1002,MATCH($B661,대여내역!$A$3:$A$1002,0)),"대여번호없음"))</f>
        <v/>
      </c>
      <c r="D661" s="11"/>
      <c r="E661" s="9"/>
      <c r="F661" s="10"/>
    </row>
    <row r="662" customFormat="false" ht="15" hidden="false" customHeight="false" outlineLevel="0" collapsed="false">
      <c r="A662" s="15"/>
      <c r="B662" s="10"/>
      <c r="C662" s="18" t="str">
        <f aca="false">IF($B662="","",IFERROR(INDEX(대여내역!$E$3:$E$1002,MATCH($B662,대여내역!$A$3:$A$1002,0)),"대여번호없음"))</f>
        <v/>
      </c>
      <c r="D662" s="11"/>
      <c r="E662" s="9"/>
      <c r="F662" s="10"/>
    </row>
    <row r="663" customFormat="false" ht="15" hidden="false" customHeight="false" outlineLevel="0" collapsed="false">
      <c r="A663" s="15"/>
      <c r="B663" s="10"/>
      <c r="C663" s="18" t="str">
        <f aca="false">IF($B663="","",IFERROR(INDEX(대여내역!$E$3:$E$1002,MATCH($B663,대여내역!$A$3:$A$1002,0)),"대여번호없음"))</f>
        <v/>
      </c>
      <c r="D663" s="11"/>
      <c r="E663" s="9"/>
      <c r="F663" s="10"/>
    </row>
    <row r="664" customFormat="false" ht="15" hidden="false" customHeight="false" outlineLevel="0" collapsed="false">
      <c r="A664" s="15"/>
      <c r="B664" s="10"/>
      <c r="C664" s="18" t="str">
        <f aca="false">IF($B664="","",IFERROR(INDEX(대여내역!$E$3:$E$1002,MATCH($B664,대여내역!$A$3:$A$1002,0)),"대여번호없음"))</f>
        <v/>
      </c>
      <c r="D664" s="11"/>
      <c r="E664" s="9"/>
      <c r="F664" s="10"/>
    </row>
    <row r="665" customFormat="false" ht="15" hidden="false" customHeight="false" outlineLevel="0" collapsed="false">
      <c r="A665" s="15"/>
      <c r="B665" s="10"/>
      <c r="C665" s="18" t="str">
        <f aca="false">IF($B665="","",IFERROR(INDEX(대여내역!$E$3:$E$1002,MATCH($B665,대여내역!$A$3:$A$1002,0)),"대여번호없음"))</f>
        <v/>
      </c>
      <c r="D665" s="11"/>
      <c r="E665" s="9"/>
      <c r="F665" s="10"/>
    </row>
    <row r="666" customFormat="false" ht="15" hidden="false" customHeight="false" outlineLevel="0" collapsed="false">
      <c r="A666" s="15"/>
      <c r="B666" s="10"/>
      <c r="C666" s="18" t="str">
        <f aca="false">IF($B666="","",IFERROR(INDEX(대여내역!$E$3:$E$1002,MATCH($B666,대여내역!$A$3:$A$1002,0)),"대여번호없음"))</f>
        <v/>
      </c>
      <c r="D666" s="11"/>
      <c r="E666" s="9"/>
      <c r="F666" s="10"/>
    </row>
    <row r="667" customFormat="false" ht="15" hidden="false" customHeight="false" outlineLevel="0" collapsed="false">
      <c r="A667" s="15"/>
      <c r="B667" s="10"/>
      <c r="C667" s="18" t="str">
        <f aca="false">IF($B667="","",IFERROR(INDEX(대여내역!$E$3:$E$1002,MATCH($B667,대여내역!$A$3:$A$1002,0)),"대여번호없음"))</f>
        <v/>
      </c>
      <c r="D667" s="11"/>
      <c r="E667" s="9"/>
      <c r="F667" s="10"/>
    </row>
    <row r="668" customFormat="false" ht="15" hidden="false" customHeight="false" outlineLevel="0" collapsed="false">
      <c r="A668" s="15"/>
      <c r="B668" s="10"/>
      <c r="C668" s="18" t="str">
        <f aca="false">IF($B668="","",IFERROR(INDEX(대여내역!$E$3:$E$1002,MATCH($B668,대여내역!$A$3:$A$1002,0)),"대여번호없음"))</f>
        <v/>
      </c>
      <c r="D668" s="11"/>
      <c r="E668" s="9"/>
      <c r="F668" s="10"/>
    </row>
    <row r="669" customFormat="false" ht="15" hidden="false" customHeight="false" outlineLevel="0" collapsed="false">
      <c r="A669" s="15"/>
      <c r="B669" s="10"/>
      <c r="C669" s="18" t="str">
        <f aca="false">IF($B669="","",IFERROR(INDEX(대여내역!$E$3:$E$1002,MATCH($B669,대여내역!$A$3:$A$1002,0)),"대여번호없음"))</f>
        <v/>
      </c>
      <c r="D669" s="11"/>
      <c r="E669" s="9"/>
      <c r="F669" s="10"/>
    </row>
    <row r="670" customFormat="false" ht="15" hidden="false" customHeight="false" outlineLevel="0" collapsed="false">
      <c r="A670" s="15"/>
      <c r="B670" s="10"/>
      <c r="C670" s="18" t="str">
        <f aca="false">IF($B670="","",IFERROR(INDEX(대여내역!$E$3:$E$1002,MATCH($B670,대여내역!$A$3:$A$1002,0)),"대여번호없음"))</f>
        <v/>
      </c>
      <c r="D670" s="11"/>
      <c r="E670" s="9"/>
      <c r="F670" s="10"/>
    </row>
    <row r="671" customFormat="false" ht="15" hidden="false" customHeight="false" outlineLevel="0" collapsed="false">
      <c r="A671" s="15"/>
      <c r="B671" s="10"/>
      <c r="C671" s="18" t="str">
        <f aca="false">IF($B671="","",IFERROR(INDEX(대여내역!$E$3:$E$1002,MATCH($B671,대여내역!$A$3:$A$1002,0)),"대여번호없음"))</f>
        <v/>
      </c>
      <c r="D671" s="11"/>
      <c r="E671" s="9"/>
      <c r="F671" s="10"/>
    </row>
    <row r="672" customFormat="false" ht="15" hidden="false" customHeight="false" outlineLevel="0" collapsed="false">
      <c r="A672" s="15"/>
      <c r="B672" s="10"/>
      <c r="C672" s="18" t="str">
        <f aca="false">IF($B672="","",IFERROR(INDEX(대여내역!$E$3:$E$1002,MATCH($B672,대여내역!$A$3:$A$1002,0)),"대여번호없음"))</f>
        <v/>
      </c>
      <c r="D672" s="11"/>
      <c r="E672" s="9"/>
      <c r="F672" s="10"/>
    </row>
    <row r="673" customFormat="false" ht="15" hidden="false" customHeight="false" outlineLevel="0" collapsed="false">
      <c r="A673" s="15"/>
      <c r="B673" s="10"/>
      <c r="C673" s="18" t="str">
        <f aca="false">IF($B673="","",IFERROR(INDEX(대여내역!$E$3:$E$1002,MATCH($B673,대여내역!$A$3:$A$1002,0)),"대여번호없음"))</f>
        <v/>
      </c>
      <c r="D673" s="11"/>
      <c r="E673" s="9"/>
      <c r="F673" s="10"/>
    </row>
    <row r="674" customFormat="false" ht="15" hidden="false" customHeight="false" outlineLevel="0" collapsed="false">
      <c r="A674" s="15"/>
      <c r="B674" s="10"/>
      <c r="C674" s="18" t="str">
        <f aca="false">IF($B674="","",IFERROR(INDEX(대여내역!$E$3:$E$1002,MATCH($B674,대여내역!$A$3:$A$1002,0)),"대여번호없음"))</f>
        <v/>
      </c>
      <c r="D674" s="11"/>
      <c r="E674" s="9"/>
      <c r="F674" s="10"/>
    </row>
    <row r="675" customFormat="false" ht="15" hidden="false" customHeight="false" outlineLevel="0" collapsed="false">
      <c r="A675" s="15"/>
      <c r="B675" s="10"/>
      <c r="C675" s="18" t="str">
        <f aca="false">IF($B675="","",IFERROR(INDEX(대여내역!$E$3:$E$1002,MATCH($B675,대여내역!$A$3:$A$1002,0)),"대여번호없음"))</f>
        <v/>
      </c>
      <c r="D675" s="11"/>
      <c r="E675" s="9"/>
      <c r="F675" s="10"/>
    </row>
    <row r="676" customFormat="false" ht="15" hidden="false" customHeight="false" outlineLevel="0" collapsed="false">
      <c r="A676" s="15"/>
      <c r="B676" s="10"/>
      <c r="C676" s="18" t="str">
        <f aca="false">IF($B676="","",IFERROR(INDEX(대여내역!$E$3:$E$1002,MATCH($B676,대여내역!$A$3:$A$1002,0)),"대여번호없음"))</f>
        <v/>
      </c>
      <c r="D676" s="11"/>
      <c r="E676" s="9"/>
      <c r="F676" s="10"/>
    </row>
    <row r="677" customFormat="false" ht="15" hidden="false" customHeight="false" outlineLevel="0" collapsed="false">
      <c r="A677" s="15"/>
      <c r="B677" s="10"/>
      <c r="C677" s="18" t="str">
        <f aca="false">IF($B677="","",IFERROR(INDEX(대여내역!$E$3:$E$1002,MATCH($B677,대여내역!$A$3:$A$1002,0)),"대여번호없음"))</f>
        <v/>
      </c>
      <c r="D677" s="11"/>
      <c r="E677" s="9"/>
      <c r="F677" s="10"/>
    </row>
    <row r="678" customFormat="false" ht="15" hidden="false" customHeight="false" outlineLevel="0" collapsed="false">
      <c r="A678" s="15"/>
      <c r="B678" s="10"/>
      <c r="C678" s="18" t="str">
        <f aca="false">IF($B678="","",IFERROR(INDEX(대여내역!$E$3:$E$1002,MATCH($B678,대여내역!$A$3:$A$1002,0)),"대여번호없음"))</f>
        <v/>
      </c>
      <c r="D678" s="11"/>
      <c r="E678" s="9"/>
      <c r="F678" s="10"/>
    </row>
    <row r="679" customFormat="false" ht="15" hidden="false" customHeight="false" outlineLevel="0" collapsed="false">
      <c r="A679" s="15"/>
      <c r="B679" s="10"/>
      <c r="C679" s="18" t="str">
        <f aca="false">IF($B679="","",IFERROR(INDEX(대여내역!$E$3:$E$1002,MATCH($B679,대여내역!$A$3:$A$1002,0)),"대여번호없음"))</f>
        <v/>
      </c>
      <c r="D679" s="11"/>
      <c r="E679" s="9"/>
      <c r="F679" s="10"/>
    </row>
    <row r="680" customFormat="false" ht="15" hidden="false" customHeight="false" outlineLevel="0" collapsed="false">
      <c r="A680" s="15"/>
      <c r="B680" s="10"/>
      <c r="C680" s="18" t="str">
        <f aca="false">IF($B680="","",IFERROR(INDEX(대여내역!$E$3:$E$1002,MATCH($B680,대여내역!$A$3:$A$1002,0)),"대여번호없음"))</f>
        <v/>
      </c>
      <c r="D680" s="11"/>
      <c r="E680" s="9"/>
      <c r="F680" s="10"/>
    </row>
    <row r="681" customFormat="false" ht="15" hidden="false" customHeight="false" outlineLevel="0" collapsed="false">
      <c r="A681" s="15"/>
      <c r="B681" s="10"/>
      <c r="C681" s="18" t="str">
        <f aca="false">IF($B681="","",IFERROR(INDEX(대여내역!$E$3:$E$1002,MATCH($B681,대여내역!$A$3:$A$1002,0)),"대여번호없음"))</f>
        <v/>
      </c>
      <c r="D681" s="11"/>
      <c r="E681" s="9"/>
      <c r="F681" s="10"/>
    </row>
    <row r="682" customFormat="false" ht="15" hidden="false" customHeight="false" outlineLevel="0" collapsed="false">
      <c r="A682" s="15"/>
      <c r="B682" s="10"/>
      <c r="C682" s="18" t="str">
        <f aca="false">IF($B682="","",IFERROR(INDEX(대여내역!$E$3:$E$1002,MATCH($B682,대여내역!$A$3:$A$1002,0)),"대여번호없음"))</f>
        <v/>
      </c>
      <c r="D682" s="11"/>
      <c r="E682" s="9"/>
      <c r="F682" s="10"/>
    </row>
    <row r="683" customFormat="false" ht="15" hidden="false" customHeight="false" outlineLevel="0" collapsed="false">
      <c r="A683" s="15"/>
      <c r="B683" s="10"/>
      <c r="C683" s="18" t="str">
        <f aca="false">IF($B683="","",IFERROR(INDEX(대여내역!$E$3:$E$1002,MATCH($B683,대여내역!$A$3:$A$1002,0)),"대여번호없음"))</f>
        <v/>
      </c>
      <c r="D683" s="11"/>
      <c r="E683" s="9"/>
      <c r="F683" s="10"/>
    </row>
    <row r="684" customFormat="false" ht="15" hidden="false" customHeight="false" outlineLevel="0" collapsed="false">
      <c r="A684" s="15"/>
      <c r="B684" s="10"/>
      <c r="C684" s="18" t="str">
        <f aca="false">IF($B684="","",IFERROR(INDEX(대여내역!$E$3:$E$1002,MATCH($B684,대여내역!$A$3:$A$1002,0)),"대여번호없음"))</f>
        <v/>
      </c>
      <c r="D684" s="11"/>
      <c r="E684" s="9"/>
      <c r="F684" s="10"/>
    </row>
    <row r="685" customFormat="false" ht="15" hidden="false" customHeight="false" outlineLevel="0" collapsed="false">
      <c r="A685" s="15"/>
      <c r="B685" s="10"/>
      <c r="C685" s="18" t="str">
        <f aca="false">IF($B685="","",IFERROR(INDEX(대여내역!$E$3:$E$1002,MATCH($B685,대여내역!$A$3:$A$1002,0)),"대여번호없음"))</f>
        <v/>
      </c>
      <c r="D685" s="11"/>
      <c r="E685" s="9"/>
      <c r="F685" s="10"/>
    </row>
    <row r="686" customFormat="false" ht="15" hidden="false" customHeight="false" outlineLevel="0" collapsed="false">
      <c r="A686" s="15"/>
      <c r="B686" s="10"/>
      <c r="C686" s="18" t="str">
        <f aca="false">IF($B686="","",IFERROR(INDEX(대여내역!$E$3:$E$1002,MATCH($B686,대여내역!$A$3:$A$1002,0)),"대여번호없음"))</f>
        <v/>
      </c>
      <c r="D686" s="11"/>
      <c r="E686" s="9"/>
      <c r="F686" s="10"/>
    </row>
    <row r="687" customFormat="false" ht="15" hidden="false" customHeight="false" outlineLevel="0" collapsed="false">
      <c r="A687" s="15"/>
      <c r="B687" s="10"/>
      <c r="C687" s="18" t="str">
        <f aca="false">IF($B687="","",IFERROR(INDEX(대여내역!$E$3:$E$1002,MATCH($B687,대여내역!$A$3:$A$1002,0)),"대여번호없음"))</f>
        <v/>
      </c>
      <c r="D687" s="11"/>
      <c r="E687" s="9"/>
      <c r="F687" s="10"/>
    </row>
    <row r="688" customFormat="false" ht="15" hidden="false" customHeight="false" outlineLevel="0" collapsed="false">
      <c r="A688" s="15"/>
      <c r="B688" s="10"/>
      <c r="C688" s="18" t="str">
        <f aca="false">IF($B688="","",IFERROR(INDEX(대여내역!$E$3:$E$1002,MATCH($B688,대여내역!$A$3:$A$1002,0)),"대여번호없음"))</f>
        <v/>
      </c>
      <c r="D688" s="11"/>
      <c r="E688" s="9"/>
      <c r="F688" s="10"/>
    </row>
    <row r="689" customFormat="false" ht="15" hidden="false" customHeight="false" outlineLevel="0" collapsed="false">
      <c r="A689" s="15"/>
      <c r="B689" s="10"/>
      <c r="C689" s="18" t="str">
        <f aca="false">IF($B689="","",IFERROR(INDEX(대여내역!$E$3:$E$1002,MATCH($B689,대여내역!$A$3:$A$1002,0)),"대여번호없음"))</f>
        <v/>
      </c>
      <c r="D689" s="11"/>
      <c r="E689" s="9"/>
      <c r="F689" s="10"/>
    </row>
    <row r="690" customFormat="false" ht="15" hidden="false" customHeight="false" outlineLevel="0" collapsed="false">
      <c r="A690" s="15"/>
      <c r="B690" s="10"/>
      <c r="C690" s="18" t="str">
        <f aca="false">IF($B690="","",IFERROR(INDEX(대여내역!$E$3:$E$1002,MATCH($B690,대여내역!$A$3:$A$1002,0)),"대여번호없음"))</f>
        <v/>
      </c>
      <c r="D690" s="11"/>
      <c r="E690" s="9"/>
      <c r="F690" s="10"/>
    </row>
    <row r="691" customFormat="false" ht="15" hidden="false" customHeight="false" outlineLevel="0" collapsed="false">
      <c r="A691" s="15"/>
      <c r="B691" s="10"/>
      <c r="C691" s="18" t="str">
        <f aca="false">IF($B691="","",IFERROR(INDEX(대여내역!$E$3:$E$1002,MATCH($B691,대여내역!$A$3:$A$1002,0)),"대여번호없음"))</f>
        <v/>
      </c>
      <c r="D691" s="11"/>
      <c r="E691" s="9"/>
      <c r="F691" s="10"/>
    </row>
    <row r="692" customFormat="false" ht="15" hidden="false" customHeight="false" outlineLevel="0" collapsed="false">
      <c r="A692" s="15"/>
      <c r="B692" s="10"/>
      <c r="C692" s="18" t="str">
        <f aca="false">IF($B692="","",IFERROR(INDEX(대여내역!$E$3:$E$1002,MATCH($B692,대여내역!$A$3:$A$1002,0)),"대여번호없음"))</f>
        <v/>
      </c>
      <c r="D692" s="11"/>
      <c r="E692" s="9"/>
      <c r="F692" s="10"/>
    </row>
    <row r="693" customFormat="false" ht="15" hidden="false" customHeight="false" outlineLevel="0" collapsed="false">
      <c r="A693" s="15"/>
      <c r="B693" s="10"/>
      <c r="C693" s="18" t="str">
        <f aca="false">IF($B693="","",IFERROR(INDEX(대여내역!$E$3:$E$1002,MATCH($B693,대여내역!$A$3:$A$1002,0)),"대여번호없음"))</f>
        <v/>
      </c>
      <c r="D693" s="11"/>
      <c r="E693" s="9"/>
      <c r="F693" s="10"/>
    </row>
    <row r="694" customFormat="false" ht="15" hidden="false" customHeight="false" outlineLevel="0" collapsed="false">
      <c r="A694" s="15"/>
      <c r="B694" s="10"/>
      <c r="C694" s="18" t="str">
        <f aca="false">IF($B694="","",IFERROR(INDEX(대여내역!$E$3:$E$1002,MATCH($B694,대여내역!$A$3:$A$1002,0)),"대여번호없음"))</f>
        <v/>
      </c>
      <c r="D694" s="11"/>
      <c r="E694" s="9"/>
      <c r="F694" s="10"/>
    </row>
    <row r="695" customFormat="false" ht="15" hidden="false" customHeight="false" outlineLevel="0" collapsed="false">
      <c r="A695" s="15"/>
      <c r="B695" s="10"/>
      <c r="C695" s="18" t="str">
        <f aca="false">IF($B695="","",IFERROR(INDEX(대여내역!$E$3:$E$1002,MATCH($B695,대여내역!$A$3:$A$1002,0)),"대여번호없음"))</f>
        <v/>
      </c>
      <c r="D695" s="11"/>
      <c r="E695" s="9"/>
      <c r="F695" s="10"/>
    </row>
    <row r="696" customFormat="false" ht="15" hidden="false" customHeight="false" outlineLevel="0" collapsed="false">
      <c r="A696" s="15"/>
      <c r="B696" s="10"/>
      <c r="C696" s="18" t="str">
        <f aca="false">IF($B696="","",IFERROR(INDEX(대여내역!$E$3:$E$1002,MATCH($B696,대여내역!$A$3:$A$1002,0)),"대여번호없음"))</f>
        <v/>
      </c>
      <c r="D696" s="11"/>
      <c r="E696" s="9"/>
      <c r="F696" s="10"/>
    </row>
    <row r="697" customFormat="false" ht="15" hidden="false" customHeight="false" outlineLevel="0" collapsed="false">
      <c r="A697" s="15"/>
      <c r="B697" s="10"/>
      <c r="C697" s="18" t="str">
        <f aca="false">IF($B697="","",IFERROR(INDEX(대여내역!$E$3:$E$1002,MATCH($B697,대여내역!$A$3:$A$1002,0)),"대여번호없음"))</f>
        <v/>
      </c>
      <c r="D697" s="11"/>
      <c r="E697" s="9"/>
      <c r="F697" s="10"/>
    </row>
    <row r="698" customFormat="false" ht="15" hidden="false" customHeight="false" outlineLevel="0" collapsed="false">
      <c r="A698" s="15"/>
      <c r="B698" s="10"/>
      <c r="C698" s="18" t="str">
        <f aca="false">IF($B698="","",IFERROR(INDEX(대여내역!$E$3:$E$1002,MATCH($B698,대여내역!$A$3:$A$1002,0)),"대여번호없음"))</f>
        <v/>
      </c>
      <c r="D698" s="11"/>
      <c r="E698" s="9"/>
      <c r="F698" s="10"/>
    </row>
    <row r="699" customFormat="false" ht="15" hidden="false" customHeight="false" outlineLevel="0" collapsed="false">
      <c r="A699" s="15"/>
      <c r="B699" s="10"/>
      <c r="C699" s="18" t="str">
        <f aca="false">IF($B699="","",IFERROR(INDEX(대여내역!$E$3:$E$1002,MATCH($B699,대여내역!$A$3:$A$1002,0)),"대여번호없음"))</f>
        <v/>
      </c>
      <c r="D699" s="11"/>
      <c r="E699" s="9"/>
      <c r="F699" s="10"/>
    </row>
    <row r="700" customFormat="false" ht="15" hidden="false" customHeight="false" outlineLevel="0" collapsed="false">
      <c r="A700" s="15"/>
      <c r="B700" s="10"/>
      <c r="C700" s="18" t="str">
        <f aca="false">IF($B700="","",IFERROR(INDEX(대여내역!$E$3:$E$1002,MATCH($B700,대여내역!$A$3:$A$1002,0)),"대여번호없음"))</f>
        <v/>
      </c>
      <c r="D700" s="11"/>
      <c r="E700" s="9"/>
      <c r="F700" s="10"/>
    </row>
    <row r="701" customFormat="false" ht="15" hidden="false" customHeight="false" outlineLevel="0" collapsed="false">
      <c r="A701" s="15"/>
      <c r="B701" s="10"/>
      <c r="C701" s="18" t="str">
        <f aca="false">IF($B701="","",IFERROR(INDEX(대여내역!$E$3:$E$1002,MATCH($B701,대여내역!$A$3:$A$1002,0)),"대여번호없음"))</f>
        <v/>
      </c>
      <c r="D701" s="11"/>
      <c r="E701" s="9"/>
      <c r="F701" s="10"/>
    </row>
    <row r="702" customFormat="false" ht="15" hidden="false" customHeight="false" outlineLevel="0" collapsed="false">
      <c r="A702" s="15"/>
      <c r="B702" s="10"/>
      <c r="C702" s="18" t="str">
        <f aca="false">IF($B702="","",IFERROR(INDEX(대여내역!$E$3:$E$1002,MATCH($B702,대여내역!$A$3:$A$1002,0)),"대여번호없음"))</f>
        <v/>
      </c>
      <c r="D702" s="11"/>
      <c r="E702" s="9"/>
      <c r="F702" s="10"/>
    </row>
    <row r="703" customFormat="false" ht="15" hidden="false" customHeight="false" outlineLevel="0" collapsed="false">
      <c r="A703" s="15"/>
      <c r="B703" s="10"/>
      <c r="C703" s="18" t="str">
        <f aca="false">IF($B703="","",IFERROR(INDEX(대여내역!$E$3:$E$1002,MATCH($B703,대여내역!$A$3:$A$1002,0)),"대여번호없음"))</f>
        <v/>
      </c>
      <c r="D703" s="11"/>
      <c r="E703" s="9"/>
      <c r="F703" s="10"/>
    </row>
    <row r="704" customFormat="false" ht="15" hidden="false" customHeight="false" outlineLevel="0" collapsed="false">
      <c r="A704" s="15"/>
      <c r="B704" s="10"/>
      <c r="C704" s="18" t="str">
        <f aca="false">IF($B704="","",IFERROR(INDEX(대여내역!$E$3:$E$1002,MATCH($B704,대여내역!$A$3:$A$1002,0)),"대여번호없음"))</f>
        <v/>
      </c>
      <c r="D704" s="11"/>
      <c r="E704" s="9"/>
      <c r="F704" s="10"/>
    </row>
    <row r="705" customFormat="false" ht="15" hidden="false" customHeight="false" outlineLevel="0" collapsed="false">
      <c r="A705" s="15"/>
      <c r="B705" s="10"/>
      <c r="C705" s="18" t="str">
        <f aca="false">IF($B705="","",IFERROR(INDEX(대여내역!$E$3:$E$1002,MATCH($B705,대여내역!$A$3:$A$1002,0)),"대여번호없음"))</f>
        <v/>
      </c>
      <c r="D705" s="11"/>
      <c r="E705" s="9"/>
      <c r="F705" s="10"/>
    </row>
    <row r="706" customFormat="false" ht="15" hidden="false" customHeight="false" outlineLevel="0" collapsed="false">
      <c r="A706" s="15"/>
      <c r="B706" s="10"/>
      <c r="C706" s="18" t="str">
        <f aca="false">IF($B706="","",IFERROR(INDEX(대여내역!$E$3:$E$1002,MATCH($B706,대여내역!$A$3:$A$1002,0)),"대여번호없음"))</f>
        <v/>
      </c>
      <c r="D706" s="11"/>
      <c r="E706" s="9"/>
      <c r="F706" s="10"/>
    </row>
    <row r="707" customFormat="false" ht="15" hidden="false" customHeight="false" outlineLevel="0" collapsed="false">
      <c r="A707" s="15"/>
      <c r="B707" s="10"/>
      <c r="C707" s="18" t="str">
        <f aca="false">IF($B707="","",IFERROR(INDEX(대여내역!$E$3:$E$1002,MATCH($B707,대여내역!$A$3:$A$1002,0)),"대여번호없음"))</f>
        <v/>
      </c>
      <c r="D707" s="11"/>
      <c r="E707" s="9"/>
      <c r="F707" s="10"/>
    </row>
    <row r="708" customFormat="false" ht="15" hidden="false" customHeight="false" outlineLevel="0" collapsed="false">
      <c r="A708" s="15"/>
      <c r="B708" s="10"/>
      <c r="C708" s="18" t="str">
        <f aca="false">IF($B708="","",IFERROR(INDEX(대여내역!$E$3:$E$1002,MATCH($B708,대여내역!$A$3:$A$1002,0)),"대여번호없음"))</f>
        <v/>
      </c>
      <c r="D708" s="11"/>
      <c r="E708" s="9"/>
      <c r="F708" s="10"/>
    </row>
    <row r="709" customFormat="false" ht="15" hidden="false" customHeight="false" outlineLevel="0" collapsed="false">
      <c r="A709" s="15"/>
      <c r="B709" s="10"/>
      <c r="C709" s="18" t="str">
        <f aca="false">IF($B709="","",IFERROR(INDEX(대여내역!$E$3:$E$1002,MATCH($B709,대여내역!$A$3:$A$1002,0)),"대여번호없음"))</f>
        <v/>
      </c>
      <c r="D709" s="11"/>
      <c r="E709" s="9"/>
      <c r="F709" s="10"/>
    </row>
    <row r="710" customFormat="false" ht="15" hidden="false" customHeight="false" outlineLevel="0" collapsed="false">
      <c r="A710" s="15"/>
      <c r="B710" s="10"/>
      <c r="C710" s="18" t="str">
        <f aca="false">IF($B710="","",IFERROR(INDEX(대여내역!$E$3:$E$1002,MATCH($B710,대여내역!$A$3:$A$1002,0)),"대여번호없음"))</f>
        <v/>
      </c>
      <c r="D710" s="11"/>
      <c r="E710" s="9"/>
      <c r="F710" s="10"/>
    </row>
    <row r="711" customFormat="false" ht="15" hidden="false" customHeight="false" outlineLevel="0" collapsed="false">
      <c r="A711" s="15"/>
      <c r="B711" s="10"/>
      <c r="C711" s="18" t="str">
        <f aca="false">IF($B711="","",IFERROR(INDEX(대여내역!$E$3:$E$1002,MATCH($B711,대여내역!$A$3:$A$1002,0)),"대여번호없음"))</f>
        <v/>
      </c>
      <c r="D711" s="11"/>
      <c r="E711" s="9"/>
      <c r="F711" s="10"/>
    </row>
    <row r="712" customFormat="false" ht="15" hidden="false" customHeight="false" outlineLevel="0" collapsed="false">
      <c r="A712" s="15"/>
      <c r="B712" s="10"/>
      <c r="C712" s="18" t="str">
        <f aca="false">IF($B712="","",IFERROR(INDEX(대여내역!$E$3:$E$1002,MATCH($B712,대여내역!$A$3:$A$1002,0)),"대여번호없음"))</f>
        <v/>
      </c>
      <c r="D712" s="11"/>
      <c r="E712" s="9"/>
      <c r="F712" s="10"/>
    </row>
    <row r="713" customFormat="false" ht="15" hidden="false" customHeight="false" outlineLevel="0" collapsed="false">
      <c r="A713" s="15"/>
      <c r="B713" s="10"/>
      <c r="C713" s="18" t="str">
        <f aca="false">IF($B713="","",IFERROR(INDEX(대여내역!$E$3:$E$1002,MATCH($B713,대여내역!$A$3:$A$1002,0)),"대여번호없음"))</f>
        <v/>
      </c>
      <c r="D713" s="11"/>
      <c r="E713" s="9"/>
      <c r="F713" s="10"/>
    </row>
    <row r="714" customFormat="false" ht="15" hidden="false" customHeight="false" outlineLevel="0" collapsed="false">
      <c r="A714" s="15"/>
      <c r="B714" s="10"/>
      <c r="C714" s="18" t="str">
        <f aca="false">IF($B714="","",IFERROR(INDEX(대여내역!$E$3:$E$1002,MATCH($B714,대여내역!$A$3:$A$1002,0)),"대여번호없음"))</f>
        <v/>
      </c>
      <c r="D714" s="11"/>
      <c r="E714" s="9"/>
      <c r="F714" s="10"/>
    </row>
    <row r="715" customFormat="false" ht="15" hidden="false" customHeight="false" outlineLevel="0" collapsed="false">
      <c r="A715" s="15"/>
      <c r="B715" s="10"/>
      <c r="C715" s="18" t="str">
        <f aca="false">IF($B715="","",IFERROR(INDEX(대여내역!$E$3:$E$1002,MATCH($B715,대여내역!$A$3:$A$1002,0)),"대여번호없음"))</f>
        <v/>
      </c>
      <c r="D715" s="11"/>
      <c r="E715" s="9"/>
      <c r="F715" s="10"/>
    </row>
    <row r="716" customFormat="false" ht="15" hidden="false" customHeight="false" outlineLevel="0" collapsed="false">
      <c r="A716" s="15"/>
      <c r="B716" s="10"/>
      <c r="C716" s="18" t="str">
        <f aca="false">IF($B716="","",IFERROR(INDEX(대여내역!$E$3:$E$1002,MATCH($B716,대여내역!$A$3:$A$1002,0)),"대여번호없음"))</f>
        <v/>
      </c>
      <c r="D716" s="11"/>
      <c r="E716" s="9"/>
      <c r="F716" s="10"/>
    </row>
    <row r="717" customFormat="false" ht="15" hidden="false" customHeight="false" outlineLevel="0" collapsed="false">
      <c r="A717" s="15"/>
      <c r="B717" s="10"/>
      <c r="C717" s="18" t="str">
        <f aca="false">IF($B717="","",IFERROR(INDEX(대여내역!$E$3:$E$1002,MATCH($B717,대여내역!$A$3:$A$1002,0)),"대여번호없음"))</f>
        <v/>
      </c>
      <c r="D717" s="11"/>
      <c r="E717" s="9"/>
      <c r="F717" s="10"/>
    </row>
    <row r="718" customFormat="false" ht="15" hidden="false" customHeight="false" outlineLevel="0" collapsed="false">
      <c r="A718" s="15"/>
      <c r="B718" s="10"/>
      <c r="C718" s="18" t="str">
        <f aca="false">IF($B718="","",IFERROR(INDEX(대여내역!$E$3:$E$1002,MATCH($B718,대여내역!$A$3:$A$1002,0)),"대여번호없음"))</f>
        <v/>
      </c>
      <c r="D718" s="11"/>
      <c r="E718" s="9"/>
      <c r="F718" s="10"/>
    </row>
    <row r="719" customFormat="false" ht="15" hidden="false" customHeight="false" outlineLevel="0" collapsed="false">
      <c r="A719" s="15"/>
      <c r="B719" s="10"/>
      <c r="C719" s="18" t="str">
        <f aca="false">IF($B719="","",IFERROR(INDEX(대여내역!$E$3:$E$1002,MATCH($B719,대여내역!$A$3:$A$1002,0)),"대여번호없음"))</f>
        <v/>
      </c>
      <c r="D719" s="11"/>
      <c r="E719" s="9"/>
      <c r="F719" s="10"/>
    </row>
    <row r="720" customFormat="false" ht="15" hidden="false" customHeight="false" outlineLevel="0" collapsed="false">
      <c r="A720" s="15"/>
      <c r="B720" s="10"/>
      <c r="C720" s="18" t="str">
        <f aca="false">IF($B720="","",IFERROR(INDEX(대여내역!$E$3:$E$1002,MATCH($B720,대여내역!$A$3:$A$1002,0)),"대여번호없음"))</f>
        <v/>
      </c>
      <c r="D720" s="11"/>
      <c r="E720" s="9"/>
      <c r="F720" s="10"/>
    </row>
    <row r="721" customFormat="false" ht="15" hidden="false" customHeight="false" outlineLevel="0" collapsed="false">
      <c r="A721" s="15"/>
      <c r="B721" s="10"/>
      <c r="C721" s="18" t="str">
        <f aca="false">IF($B721="","",IFERROR(INDEX(대여내역!$E$3:$E$1002,MATCH($B721,대여내역!$A$3:$A$1002,0)),"대여번호없음"))</f>
        <v/>
      </c>
      <c r="D721" s="11"/>
      <c r="E721" s="9"/>
      <c r="F721" s="10"/>
    </row>
    <row r="722" customFormat="false" ht="15" hidden="false" customHeight="false" outlineLevel="0" collapsed="false">
      <c r="A722" s="15"/>
      <c r="B722" s="10"/>
      <c r="C722" s="18" t="str">
        <f aca="false">IF($B722="","",IFERROR(INDEX(대여내역!$E$3:$E$1002,MATCH($B722,대여내역!$A$3:$A$1002,0)),"대여번호없음"))</f>
        <v/>
      </c>
      <c r="D722" s="11"/>
      <c r="E722" s="9"/>
      <c r="F722" s="10"/>
    </row>
    <row r="723" customFormat="false" ht="15" hidden="false" customHeight="false" outlineLevel="0" collapsed="false">
      <c r="A723" s="15"/>
      <c r="B723" s="10"/>
      <c r="C723" s="18" t="str">
        <f aca="false">IF($B723="","",IFERROR(INDEX(대여내역!$E$3:$E$1002,MATCH($B723,대여내역!$A$3:$A$1002,0)),"대여번호없음"))</f>
        <v/>
      </c>
      <c r="D723" s="11"/>
      <c r="E723" s="9"/>
      <c r="F723" s="10"/>
    </row>
    <row r="724" customFormat="false" ht="15" hidden="false" customHeight="false" outlineLevel="0" collapsed="false">
      <c r="A724" s="15"/>
      <c r="B724" s="10"/>
      <c r="C724" s="18" t="str">
        <f aca="false">IF($B724="","",IFERROR(INDEX(대여내역!$E$3:$E$1002,MATCH($B724,대여내역!$A$3:$A$1002,0)),"대여번호없음"))</f>
        <v/>
      </c>
      <c r="D724" s="11"/>
      <c r="E724" s="9"/>
      <c r="F724" s="10"/>
    </row>
    <row r="725" customFormat="false" ht="15" hidden="false" customHeight="false" outlineLevel="0" collapsed="false">
      <c r="A725" s="15"/>
      <c r="B725" s="10"/>
      <c r="C725" s="18" t="str">
        <f aca="false">IF($B725="","",IFERROR(INDEX(대여내역!$E$3:$E$1002,MATCH($B725,대여내역!$A$3:$A$1002,0)),"대여번호없음"))</f>
        <v/>
      </c>
      <c r="D725" s="11"/>
      <c r="E725" s="9"/>
      <c r="F725" s="10"/>
    </row>
    <row r="726" customFormat="false" ht="15" hidden="false" customHeight="false" outlineLevel="0" collapsed="false">
      <c r="A726" s="15"/>
      <c r="B726" s="10"/>
      <c r="C726" s="18" t="str">
        <f aca="false">IF($B726="","",IFERROR(INDEX(대여내역!$E$3:$E$1002,MATCH($B726,대여내역!$A$3:$A$1002,0)),"대여번호없음"))</f>
        <v/>
      </c>
      <c r="D726" s="11"/>
      <c r="E726" s="9"/>
      <c r="F726" s="10"/>
    </row>
    <row r="727" customFormat="false" ht="15" hidden="false" customHeight="false" outlineLevel="0" collapsed="false">
      <c r="A727" s="15"/>
      <c r="B727" s="10"/>
      <c r="C727" s="18" t="str">
        <f aca="false">IF($B727="","",IFERROR(INDEX(대여내역!$E$3:$E$1002,MATCH($B727,대여내역!$A$3:$A$1002,0)),"대여번호없음"))</f>
        <v/>
      </c>
      <c r="D727" s="11"/>
      <c r="E727" s="9"/>
      <c r="F727" s="10"/>
    </row>
    <row r="728" customFormat="false" ht="15" hidden="false" customHeight="false" outlineLevel="0" collapsed="false">
      <c r="A728" s="15"/>
      <c r="B728" s="10"/>
      <c r="C728" s="18" t="str">
        <f aca="false">IF($B728="","",IFERROR(INDEX(대여내역!$E$3:$E$1002,MATCH($B728,대여내역!$A$3:$A$1002,0)),"대여번호없음"))</f>
        <v/>
      </c>
      <c r="D728" s="11"/>
      <c r="E728" s="9"/>
      <c r="F728" s="10"/>
    </row>
    <row r="729" customFormat="false" ht="15" hidden="false" customHeight="false" outlineLevel="0" collapsed="false">
      <c r="A729" s="15"/>
      <c r="B729" s="10"/>
      <c r="C729" s="18" t="str">
        <f aca="false">IF($B729="","",IFERROR(INDEX(대여내역!$E$3:$E$1002,MATCH($B729,대여내역!$A$3:$A$1002,0)),"대여번호없음"))</f>
        <v/>
      </c>
      <c r="D729" s="11"/>
      <c r="E729" s="9"/>
      <c r="F729" s="10"/>
    </row>
    <row r="730" customFormat="false" ht="15" hidden="false" customHeight="false" outlineLevel="0" collapsed="false">
      <c r="A730" s="15"/>
      <c r="B730" s="10"/>
      <c r="C730" s="18" t="str">
        <f aca="false">IF($B730="","",IFERROR(INDEX(대여내역!$E$3:$E$1002,MATCH($B730,대여내역!$A$3:$A$1002,0)),"대여번호없음"))</f>
        <v/>
      </c>
      <c r="D730" s="11"/>
      <c r="E730" s="9"/>
      <c r="F730" s="10"/>
    </row>
    <row r="731" customFormat="false" ht="15" hidden="false" customHeight="false" outlineLevel="0" collapsed="false">
      <c r="A731" s="15"/>
      <c r="B731" s="10"/>
      <c r="C731" s="18" t="str">
        <f aca="false">IF($B731="","",IFERROR(INDEX(대여내역!$E$3:$E$1002,MATCH($B731,대여내역!$A$3:$A$1002,0)),"대여번호없음"))</f>
        <v/>
      </c>
      <c r="D731" s="11"/>
      <c r="E731" s="9"/>
      <c r="F731" s="10"/>
    </row>
    <row r="732" customFormat="false" ht="15" hidden="false" customHeight="false" outlineLevel="0" collapsed="false">
      <c r="A732" s="15"/>
      <c r="B732" s="10"/>
      <c r="C732" s="18" t="str">
        <f aca="false">IF($B732="","",IFERROR(INDEX(대여내역!$E$3:$E$1002,MATCH($B732,대여내역!$A$3:$A$1002,0)),"대여번호없음"))</f>
        <v/>
      </c>
      <c r="D732" s="11"/>
      <c r="E732" s="9"/>
      <c r="F732" s="10"/>
    </row>
    <row r="733" customFormat="false" ht="15" hidden="false" customHeight="false" outlineLevel="0" collapsed="false">
      <c r="A733" s="15"/>
      <c r="B733" s="10"/>
      <c r="C733" s="18" t="str">
        <f aca="false">IF($B733="","",IFERROR(INDEX(대여내역!$E$3:$E$1002,MATCH($B733,대여내역!$A$3:$A$1002,0)),"대여번호없음"))</f>
        <v/>
      </c>
      <c r="D733" s="11"/>
      <c r="E733" s="9"/>
      <c r="F733" s="10"/>
    </row>
    <row r="734" customFormat="false" ht="15" hidden="false" customHeight="false" outlineLevel="0" collapsed="false">
      <c r="A734" s="15"/>
      <c r="B734" s="10"/>
      <c r="C734" s="18" t="str">
        <f aca="false">IF($B734="","",IFERROR(INDEX(대여내역!$E$3:$E$1002,MATCH($B734,대여내역!$A$3:$A$1002,0)),"대여번호없음"))</f>
        <v/>
      </c>
      <c r="D734" s="11"/>
      <c r="E734" s="9"/>
      <c r="F734" s="10"/>
    </row>
    <row r="735" customFormat="false" ht="15" hidden="false" customHeight="false" outlineLevel="0" collapsed="false">
      <c r="A735" s="15"/>
      <c r="B735" s="10"/>
      <c r="C735" s="18" t="str">
        <f aca="false">IF($B735="","",IFERROR(INDEX(대여내역!$E$3:$E$1002,MATCH($B735,대여내역!$A$3:$A$1002,0)),"대여번호없음"))</f>
        <v/>
      </c>
      <c r="D735" s="11"/>
      <c r="E735" s="9"/>
      <c r="F735" s="10"/>
    </row>
    <row r="736" customFormat="false" ht="15" hidden="false" customHeight="false" outlineLevel="0" collapsed="false">
      <c r="A736" s="15"/>
      <c r="B736" s="10"/>
      <c r="C736" s="18" t="str">
        <f aca="false">IF($B736="","",IFERROR(INDEX(대여내역!$E$3:$E$1002,MATCH($B736,대여내역!$A$3:$A$1002,0)),"대여번호없음"))</f>
        <v/>
      </c>
      <c r="D736" s="11"/>
      <c r="E736" s="9"/>
      <c r="F736" s="10"/>
    </row>
    <row r="737" customFormat="false" ht="15" hidden="false" customHeight="false" outlineLevel="0" collapsed="false">
      <c r="A737" s="15"/>
      <c r="B737" s="10"/>
      <c r="C737" s="18" t="str">
        <f aca="false">IF($B737="","",IFERROR(INDEX(대여내역!$E$3:$E$1002,MATCH($B737,대여내역!$A$3:$A$1002,0)),"대여번호없음"))</f>
        <v/>
      </c>
      <c r="D737" s="11"/>
      <c r="E737" s="9"/>
      <c r="F737" s="10"/>
    </row>
    <row r="738" customFormat="false" ht="15" hidden="false" customHeight="false" outlineLevel="0" collapsed="false">
      <c r="A738" s="15"/>
      <c r="B738" s="10"/>
      <c r="C738" s="18" t="str">
        <f aca="false">IF($B738="","",IFERROR(INDEX(대여내역!$E$3:$E$1002,MATCH($B738,대여내역!$A$3:$A$1002,0)),"대여번호없음"))</f>
        <v/>
      </c>
      <c r="D738" s="11"/>
      <c r="E738" s="9"/>
      <c r="F738" s="10"/>
    </row>
    <row r="739" customFormat="false" ht="15" hidden="false" customHeight="false" outlineLevel="0" collapsed="false">
      <c r="A739" s="15"/>
      <c r="B739" s="10"/>
      <c r="C739" s="18" t="str">
        <f aca="false">IF($B739="","",IFERROR(INDEX(대여내역!$E$3:$E$1002,MATCH($B739,대여내역!$A$3:$A$1002,0)),"대여번호없음"))</f>
        <v/>
      </c>
      <c r="D739" s="11"/>
      <c r="E739" s="9"/>
      <c r="F739" s="10"/>
    </row>
    <row r="740" customFormat="false" ht="15" hidden="false" customHeight="false" outlineLevel="0" collapsed="false">
      <c r="A740" s="15"/>
      <c r="B740" s="10"/>
      <c r="C740" s="18" t="str">
        <f aca="false">IF($B740="","",IFERROR(INDEX(대여내역!$E$3:$E$1002,MATCH($B740,대여내역!$A$3:$A$1002,0)),"대여번호없음"))</f>
        <v/>
      </c>
      <c r="D740" s="11"/>
      <c r="E740" s="9"/>
      <c r="F740" s="10"/>
    </row>
    <row r="741" customFormat="false" ht="15" hidden="false" customHeight="false" outlineLevel="0" collapsed="false">
      <c r="A741" s="15"/>
      <c r="B741" s="10"/>
      <c r="C741" s="18" t="str">
        <f aca="false">IF($B741="","",IFERROR(INDEX(대여내역!$E$3:$E$1002,MATCH($B741,대여내역!$A$3:$A$1002,0)),"대여번호없음"))</f>
        <v/>
      </c>
      <c r="D741" s="11"/>
      <c r="E741" s="9"/>
      <c r="F741" s="10"/>
    </row>
    <row r="742" customFormat="false" ht="15" hidden="false" customHeight="false" outlineLevel="0" collapsed="false">
      <c r="A742" s="15"/>
      <c r="B742" s="10"/>
      <c r="C742" s="18" t="str">
        <f aca="false">IF($B742="","",IFERROR(INDEX(대여내역!$E$3:$E$1002,MATCH($B742,대여내역!$A$3:$A$1002,0)),"대여번호없음"))</f>
        <v/>
      </c>
      <c r="D742" s="11"/>
      <c r="E742" s="9"/>
      <c r="F742" s="10"/>
    </row>
    <row r="743" customFormat="false" ht="15" hidden="false" customHeight="false" outlineLevel="0" collapsed="false">
      <c r="A743" s="15"/>
      <c r="B743" s="10"/>
      <c r="C743" s="18" t="str">
        <f aca="false">IF($B743="","",IFERROR(INDEX(대여내역!$E$3:$E$1002,MATCH($B743,대여내역!$A$3:$A$1002,0)),"대여번호없음"))</f>
        <v/>
      </c>
      <c r="D743" s="11"/>
      <c r="E743" s="9"/>
      <c r="F743" s="10"/>
    </row>
    <row r="744" customFormat="false" ht="15" hidden="false" customHeight="false" outlineLevel="0" collapsed="false">
      <c r="A744" s="15"/>
      <c r="B744" s="10"/>
      <c r="C744" s="18" t="str">
        <f aca="false">IF($B744="","",IFERROR(INDEX(대여내역!$E$3:$E$1002,MATCH($B744,대여내역!$A$3:$A$1002,0)),"대여번호없음"))</f>
        <v/>
      </c>
      <c r="D744" s="11"/>
      <c r="E744" s="9"/>
      <c r="F744" s="10"/>
    </row>
    <row r="745" customFormat="false" ht="15" hidden="false" customHeight="false" outlineLevel="0" collapsed="false">
      <c r="A745" s="15"/>
      <c r="B745" s="10"/>
      <c r="C745" s="18" t="str">
        <f aca="false">IF($B745="","",IFERROR(INDEX(대여내역!$E$3:$E$1002,MATCH($B745,대여내역!$A$3:$A$1002,0)),"대여번호없음"))</f>
        <v/>
      </c>
      <c r="D745" s="11"/>
      <c r="E745" s="9"/>
      <c r="F745" s="10"/>
    </row>
    <row r="746" customFormat="false" ht="15" hidden="false" customHeight="false" outlineLevel="0" collapsed="false">
      <c r="A746" s="15"/>
      <c r="B746" s="10"/>
      <c r="C746" s="18" t="str">
        <f aca="false">IF($B746="","",IFERROR(INDEX(대여내역!$E$3:$E$1002,MATCH($B746,대여내역!$A$3:$A$1002,0)),"대여번호없음"))</f>
        <v/>
      </c>
      <c r="D746" s="11"/>
      <c r="E746" s="9"/>
      <c r="F746" s="10"/>
    </row>
    <row r="747" customFormat="false" ht="15" hidden="false" customHeight="false" outlineLevel="0" collapsed="false">
      <c r="A747" s="15"/>
      <c r="B747" s="10"/>
      <c r="C747" s="18" t="str">
        <f aca="false">IF($B747="","",IFERROR(INDEX(대여내역!$E$3:$E$1002,MATCH($B747,대여내역!$A$3:$A$1002,0)),"대여번호없음"))</f>
        <v/>
      </c>
      <c r="D747" s="11"/>
      <c r="E747" s="9"/>
      <c r="F747" s="10"/>
    </row>
    <row r="748" customFormat="false" ht="15" hidden="false" customHeight="false" outlineLevel="0" collapsed="false">
      <c r="A748" s="15"/>
      <c r="B748" s="10"/>
      <c r="C748" s="18" t="str">
        <f aca="false">IF($B748="","",IFERROR(INDEX(대여내역!$E$3:$E$1002,MATCH($B748,대여내역!$A$3:$A$1002,0)),"대여번호없음"))</f>
        <v/>
      </c>
      <c r="D748" s="11"/>
      <c r="E748" s="9"/>
      <c r="F748" s="10"/>
    </row>
    <row r="749" customFormat="false" ht="15" hidden="false" customHeight="false" outlineLevel="0" collapsed="false">
      <c r="A749" s="15"/>
      <c r="B749" s="10"/>
      <c r="C749" s="18" t="str">
        <f aca="false">IF($B749="","",IFERROR(INDEX(대여내역!$E$3:$E$1002,MATCH($B749,대여내역!$A$3:$A$1002,0)),"대여번호없음"))</f>
        <v/>
      </c>
      <c r="D749" s="11"/>
      <c r="E749" s="9"/>
      <c r="F749" s="10"/>
    </row>
    <row r="750" customFormat="false" ht="15" hidden="false" customHeight="false" outlineLevel="0" collapsed="false">
      <c r="A750" s="15"/>
      <c r="B750" s="10"/>
      <c r="C750" s="18" t="str">
        <f aca="false">IF($B750="","",IFERROR(INDEX(대여내역!$E$3:$E$1002,MATCH($B750,대여내역!$A$3:$A$1002,0)),"대여번호없음"))</f>
        <v/>
      </c>
      <c r="D750" s="11"/>
      <c r="E750" s="9"/>
      <c r="F750" s="10"/>
    </row>
    <row r="751" customFormat="false" ht="15" hidden="false" customHeight="false" outlineLevel="0" collapsed="false">
      <c r="A751" s="15"/>
      <c r="B751" s="10"/>
      <c r="C751" s="18" t="str">
        <f aca="false">IF($B751="","",IFERROR(INDEX(대여내역!$E$3:$E$1002,MATCH($B751,대여내역!$A$3:$A$1002,0)),"대여번호없음"))</f>
        <v/>
      </c>
      <c r="D751" s="11"/>
      <c r="E751" s="9"/>
      <c r="F751" s="10"/>
    </row>
    <row r="752" customFormat="false" ht="15" hidden="false" customHeight="false" outlineLevel="0" collapsed="false">
      <c r="A752" s="15"/>
      <c r="B752" s="10"/>
      <c r="C752" s="18" t="str">
        <f aca="false">IF($B752="","",IFERROR(INDEX(대여내역!$E$3:$E$1002,MATCH($B752,대여내역!$A$3:$A$1002,0)),"대여번호없음"))</f>
        <v/>
      </c>
      <c r="D752" s="11"/>
      <c r="E752" s="9"/>
      <c r="F752" s="10"/>
    </row>
    <row r="753" customFormat="false" ht="15" hidden="false" customHeight="false" outlineLevel="0" collapsed="false">
      <c r="A753" s="15"/>
      <c r="B753" s="10"/>
      <c r="C753" s="18" t="str">
        <f aca="false">IF($B753="","",IFERROR(INDEX(대여내역!$E$3:$E$1002,MATCH($B753,대여내역!$A$3:$A$1002,0)),"대여번호없음"))</f>
        <v/>
      </c>
      <c r="D753" s="11"/>
      <c r="E753" s="9"/>
      <c r="F753" s="10"/>
    </row>
    <row r="754" customFormat="false" ht="15" hidden="false" customHeight="false" outlineLevel="0" collapsed="false">
      <c r="A754" s="15"/>
      <c r="B754" s="10"/>
      <c r="C754" s="18" t="str">
        <f aca="false">IF($B754="","",IFERROR(INDEX(대여내역!$E$3:$E$1002,MATCH($B754,대여내역!$A$3:$A$1002,0)),"대여번호없음"))</f>
        <v/>
      </c>
      <c r="D754" s="11"/>
      <c r="E754" s="9"/>
      <c r="F754" s="10"/>
    </row>
    <row r="755" customFormat="false" ht="15" hidden="false" customHeight="false" outlineLevel="0" collapsed="false">
      <c r="A755" s="15"/>
      <c r="B755" s="10"/>
      <c r="C755" s="18" t="str">
        <f aca="false">IF($B755="","",IFERROR(INDEX(대여내역!$E$3:$E$1002,MATCH($B755,대여내역!$A$3:$A$1002,0)),"대여번호없음"))</f>
        <v/>
      </c>
      <c r="D755" s="11"/>
      <c r="E755" s="9"/>
      <c r="F755" s="10"/>
    </row>
    <row r="756" customFormat="false" ht="15" hidden="false" customHeight="false" outlineLevel="0" collapsed="false">
      <c r="A756" s="15"/>
      <c r="B756" s="10"/>
      <c r="C756" s="18" t="str">
        <f aca="false">IF($B756="","",IFERROR(INDEX(대여내역!$E$3:$E$1002,MATCH($B756,대여내역!$A$3:$A$1002,0)),"대여번호없음"))</f>
        <v/>
      </c>
      <c r="D756" s="11"/>
      <c r="E756" s="9"/>
      <c r="F756" s="10"/>
    </row>
    <row r="757" customFormat="false" ht="15" hidden="false" customHeight="false" outlineLevel="0" collapsed="false">
      <c r="A757" s="15"/>
      <c r="B757" s="10"/>
      <c r="C757" s="18" t="str">
        <f aca="false">IF($B757="","",IFERROR(INDEX(대여내역!$E$3:$E$1002,MATCH($B757,대여내역!$A$3:$A$1002,0)),"대여번호없음"))</f>
        <v/>
      </c>
      <c r="D757" s="11"/>
      <c r="E757" s="9"/>
      <c r="F757" s="10"/>
    </row>
    <row r="758" customFormat="false" ht="15" hidden="false" customHeight="false" outlineLevel="0" collapsed="false">
      <c r="A758" s="15"/>
      <c r="B758" s="10"/>
      <c r="C758" s="18" t="str">
        <f aca="false">IF($B758="","",IFERROR(INDEX(대여내역!$E$3:$E$1002,MATCH($B758,대여내역!$A$3:$A$1002,0)),"대여번호없음"))</f>
        <v/>
      </c>
      <c r="D758" s="11"/>
      <c r="E758" s="9"/>
      <c r="F758" s="10"/>
    </row>
    <row r="759" customFormat="false" ht="15" hidden="false" customHeight="false" outlineLevel="0" collapsed="false">
      <c r="A759" s="15"/>
      <c r="B759" s="10"/>
      <c r="C759" s="18" t="str">
        <f aca="false">IF($B759="","",IFERROR(INDEX(대여내역!$E$3:$E$1002,MATCH($B759,대여내역!$A$3:$A$1002,0)),"대여번호없음"))</f>
        <v/>
      </c>
      <c r="D759" s="11"/>
      <c r="E759" s="9"/>
      <c r="F759" s="10"/>
    </row>
    <row r="760" customFormat="false" ht="15" hidden="false" customHeight="false" outlineLevel="0" collapsed="false">
      <c r="A760" s="15"/>
      <c r="B760" s="10"/>
      <c r="C760" s="18" t="str">
        <f aca="false">IF($B760="","",IFERROR(INDEX(대여내역!$E$3:$E$1002,MATCH($B760,대여내역!$A$3:$A$1002,0)),"대여번호없음"))</f>
        <v/>
      </c>
      <c r="D760" s="11"/>
      <c r="E760" s="9"/>
      <c r="F760" s="10"/>
    </row>
    <row r="761" customFormat="false" ht="15" hidden="false" customHeight="false" outlineLevel="0" collapsed="false">
      <c r="A761" s="15"/>
      <c r="B761" s="10"/>
      <c r="C761" s="18" t="str">
        <f aca="false">IF($B761="","",IFERROR(INDEX(대여내역!$E$3:$E$1002,MATCH($B761,대여내역!$A$3:$A$1002,0)),"대여번호없음"))</f>
        <v/>
      </c>
      <c r="D761" s="11"/>
      <c r="E761" s="9"/>
      <c r="F761" s="10"/>
    </row>
    <row r="762" customFormat="false" ht="15" hidden="false" customHeight="false" outlineLevel="0" collapsed="false">
      <c r="A762" s="15"/>
      <c r="B762" s="10"/>
      <c r="C762" s="18" t="str">
        <f aca="false">IF($B762="","",IFERROR(INDEX(대여내역!$E$3:$E$1002,MATCH($B762,대여내역!$A$3:$A$1002,0)),"대여번호없음"))</f>
        <v/>
      </c>
      <c r="D762" s="11"/>
      <c r="E762" s="9"/>
      <c r="F762" s="10"/>
    </row>
    <row r="763" customFormat="false" ht="15" hidden="false" customHeight="false" outlineLevel="0" collapsed="false">
      <c r="A763" s="15"/>
      <c r="B763" s="10"/>
      <c r="C763" s="18" t="str">
        <f aca="false">IF($B763="","",IFERROR(INDEX(대여내역!$E$3:$E$1002,MATCH($B763,대여내역!$A$3:$A$1002,0)),"대여번호없음"))</f>
        <v/>
      </c>
      <c r="D763" s="11"/>
      <c r="E763" s="9"/>
      <c r="F763" s="10"/>
    </row>
    <row r="764" customFormat="false" ht="15" hidden="false" customHeight="false" outlineLevel="0" collapsed="false">
      <c r="A764" s="15"/>
      <c r="B764" s="10"/>
      <c r="C764" s="18" t="str">
        <f aca="false">IF($B764="","",IFERROR(INDEX(대여내역!$E$3:$E$1002,MATCH($B764,대여내역!$A$3:$A$1002,0)),"대여번호없음"))</f>
        <v/>
      </c>
      <c r="D764" s="11"/>
      <c r="E764" s="9"/>
      <c r="F764" s="10"/>
    </row>
    <row r="765" customFormat="false" ht="15" hidden="false" customHeight="false" outlineLevel="0" collapsed="false">
      <c r="A765" s="15"/>
      <c r="B765" s="10"/>
      <c r="C765" s="18" t="str">
        <f aca="false">IF($B765="","",IFERROR(INDEX(대여내역!$E$3:$E$1002,MATCH($B765,대여내역!$A$3:$A$1002,0)),"대여번호없음"))</f>
        <v/>
      </c>
      <c r="D765" s="11"/>
      <c r="E765" s="9"/>
      <c r="F765" s="10"/>
    </row>
    <row r="766" customFormat="false" ht="15" hidden="false" customHeight="false" outlineLevel="0" collapsed="false">
      <c r="A766" s="15"/>
      <c r="B766" s="10"/>
      <c r="C766" s="18" t="str">
        <f aca="false">IF($B766="","",IFERROR(INDEX(대여내역!$E$3:$E$1002,MATCH($B766,대여내역!$A$3:$A$1002,0)),"대여번호없음"))</f>
        <v/>
      </c>
      <c r="D766" s="11"/>
      <c r="E766" s="9"/>
      <c r="F766" s="10"/>
    </row>
    <row r="767" customFormat="false" ht="15" hidden="false" customHeight="false" outlineLevel="0" collapsed="false">
      <c r="A767" s="15"/>
      <c r="B767" s="10"/>
      <c r="C767" s="18" t="str">
        <f aca="false">IF($B767="","",IFERROR(INDEX(대여내역!$E$3:$E$1002,MATCH($B767,대여내역!$A$3:$A$1002,0)),"대여번호없음"))</f>
        <v/>
      </c>
      <c r="D767" s="11"/>
      <c r="E767" s="9"/>
      <c r="F767" s="10"/>
    </row>
    <row r="768" customFormat="false" ht="15" hidden="false" customHeight="false" outlineLevel="0" collapsed="false">
      <c r="A768" s="15"/>
      <c r="B768" s="10"/>
      <c r="C768" s="18" t="str">
        <f aca="false">IF($B768="","",IFERROR(INDEX(대여내역!$E$3:$E$1002,MATCH($B768,대여내역!$A$3:$A$1002,0)),"대여번호없음"))</f>
        <v/>
      </c>
      <c r="D768" s="11"/>
      <c r="E768" s="9"/>
      <c r="F768" s="10"/>
    </row>
    <row r="769" customFormat="false" ht="15" hidden="false" customHeight="false" outlineLevel="0" collapsed="false">
      <c r="A769" s="15"/>
      <c r="B769" s="10"/>
      <c r="C769" s="18" t="str">
        <f aca="false">IF($B769="","",IFERROR(INDEX(대여내역!$E$3:$E$1002,MATCH($B769,대여내역!$A$3:$A$1002,0)),"대여번호없음"))</f>
        <v/>
      </c>
      <c r="D769" s="11"/>
      <c r="E769" s="9"/>
      <c r="F769" s="10"/>
    </row>
    <row r="770" customFormat="false" ht="15" hidden="false" customHeight="false" outlineLevel="0" collapsed="false">
      <c r="A770" s="15"/>
      <c r="B770" s="10"/>
      <c r="C770" s="18" t="str">
        <f aca="false">IF($B770="","",IFERROR(INDEX(대여내역!$E$3:$E$1002,MATCH($B770,대여내역!$A$3:$A$1002,0)),"대여번호없음"))</f>
        <v/>
      </c>
      <c r="D770" s="11"/>
      <c r="E770" s="9"/>
      <c r="F770" s="10"/>
    </row>
    <row r="771" customFormat="false" ht="15" hidden="false" customHeight="false" outlineLevel="0" collapsed="false">
      <c r="A771" s="15"/>
      <c r="B771" s="10"/>
      <c r="C771" s="18" t="str">
        <f aca="false">IF($B771="","",IFERROR(INDEX(대여내역!$E$3:$E$1002,MATCH($B771,대여내역!$A$3:$A$1002,0)),"대여번호없음"))</f>
        <v/>
      </c>
      <c r="D771" s="11"/>
      <c r="E771" s="9"/>
      <c r="F771" s="10"/>
    </row>
    <row r="772" customFormat="false" ht="15" hidden="false" customHeight="false" outlineLevel="0" collapsed="false">
      <c r="A772" s="15"/>
      <c r="B772" s="10"/>
      <c r="C772" s="18" t="str">
        <f aca="false">IF($B772="","",IFERROR(INDEX(대여내역!$E$3:$E$1002,MATCH($B772,대여내역!$A$3:$A$1002,0)),"대여번호없음"))</f>
        <v/>
      </c>
      <c r="D772" s="11"/>
      <c r="E772" s="9"/>
      <c r="F772" s="10"/>
    </row>
    <row r="773" customFormat="false" ht="15" hidden="false" customHeight="false" outlineLevel="0" collapsed="false">
      <c r="A773" s="15"/>
      <c r="B773" s="10"/>
      <c r="C773" s="18" t="str">
        <f aca="false">IF($B773="","",IFERROR(INDEX(대여내역!$E$3:$E$1002,MATCH($B773,대여내역!$A$3:$A$1002,0)),"대여번호없음"))</f>
        <v/>
      </c>
      <c r="D773" s="11"/>
      <c r="E773" s="9"/>
      <c r="F773" s="10"/>
    </row>
    <row r="774" customFormat="false" ht="15" hidden="false" customHeight="false" outlineLevel="0" collapsed="false">
      <c r="A774" s="15"/>
      <c r="B774" s="10"/>
      <c r="C774" s="18" t="str">
        <f aca="false">IF($B774="","",IFERROR(INDEX(대여내역!$E$3:$E$1002,MATCH($B774,대여내역!$A$3:$A$1002,0)),"대여번호없음"))</f>
        <v/>
      </c>
      <c r="D774" s="11"/>
      <c r="E774" s="9"/>
      <c r="F774" s="10"/>
    </row>
    <row r="775" customFormat="false" ht="15" hidden="false" customHeight="false" outlineLevel="0" collapsed="false">
      <c r="A775" s="15"/>
      <c r="B775" s="10"/>
      <c r="C775" s="18" t="str">
        <f aca="false">IF($B775="","",IFERROR(INDEX(대여내역!$E$3:$E$1002,MATCH($B775,대여내역!$A$3:$A$1002,0)),"대여번호없음"))</f>
        <v/>
      </c>
      <c r="D775" s="11"/>
      <c r="E775" s="9"/>
      <c r="F775" s="10"/>
    </row>
    <row r="776" customFormat="false" ht="15" hidden="false" customHeight="false" outlineLevel="0" collapsed="false">
      <c r="A776" s="15"/>
      <c r="B776" s="10"/>
      <c r="C776" s="18" t="str">
        <f aca="false">IF($B776="","",IFERROR(INDEX(대여내역!$E$3:$E$1002,MATCH($B776,대여내역!$A$3:$A$1002,0)),"대여번호없음"))</f>
        <v/>
      </c>
      <c r="D776" s="11"/>
      <c r="E776" s="9"/>
      <c r="F776" s="10"/>
    </row>
    <row r="777" customFormat="false" ht="15" hidden="false" customHeight="false" outlineLevel="0" collapsed="false">
      <c r="A777" s="15"/>
      <c r="B777" s="10"/>
      <c r="C777" s="18" t="str">
        <f aca="false">IF($B777="","",IFERROR(INDEX(대여내역!$E$3:$E$1002,MATCH($B777,대여내역!$A$3:$A$1002,0)),"대여번호없음"))</f>
        <v/>
      </c>
      <c r="D777" s="11"/>
      <c r="E777" s="9"/>
      <c r="F777" s="10"/>
    </row>
    <row r="778" customFormat="false" ht="15" hidden="false" customHeight="false" outlineLevel="0" collapsed="false">
      <c r="A778" s="15"/>
      <c r="B778" s="10"/>
      <c r="C778" s="18" t="str">
        <f aca="false">IF($B778="","",IFERROR(INDEX(대여내역!$E$3:$E$1002,MATCH($B778,대여내역!$A$3:$A$1002,0)),"대여번호없음"))</f>
        <v/>
      </c>
      <c r="D778" s="11"/>
      <c r="E778" s="9"/>
      <c r="F778" s="10"/>
    </row>
    <row r="779" customFormat="false" ht="15" hidden="false" customHeight="false" outlineLevel="0" collapsed="false">
      <c r="A779" s="15"/>
      <c r="B779" s="10"/>
      <c r="C779" s="18" t="str">
        <f aca="false">IF($B779="","",IFERROR(INDEX(대여내역!$E$3:$E$1002,MATCH($B779,대여내역!$A$3:$A$1002,0)),"대여번호없음"))</f>
        <v/>
      </c>
      <c r="D779" s="11"/>
      <c r="E779" s="9"/>
      <c r="F779" s="10"/>
    </row>
    <row r="780" customFormat="false" ht="15" hidden="false" customHeight="false" outlineLevel="0" collapsed="false">
      <c r="A780" s="15"/>
      <c r="B780" s="10"/>
      <c r="C780" s="18" t="str">
        <f aca="false">IF($B780="","",IFERROR(INDEX(대여내역!$E$3:$E$1002,MATCH($B780,대여내역!$A$3:$A$1002,0)),"대여번호없음"))</f>
        <v/>
      </c>
      <c r="D780" s="11"/>
      <c r="E780" s="9"/>
      <c r="F780" s="10"/>
    </row>
    <row r="781" customFormat="false" ht="15" hidden="false" customHeight="false" outlineLevel="0" collapsed="false">
      <c r="A781" s="15"/>
      <c r="B781" s="10"/>
      <c r="C781" s="18" t="str">
        <f aca="false">IF($B781="","",IFERROR(INDEX(대여내역!$E$3:$E$1002,MATCH($B781,대여내역!$A$3:$A$1002,0)),"대여번호없음"))</f>
        <v/>
      </c>
      <c r="D781" s="11"/>
      <c r="E781" s="9"/>
      <c r="F781" s="10"/>
    </row>
    <row r="782" customFormat="false" ht="15" hidden="false" customHeight="false" outlineLevel="0" collapsed="false">
      <c r="A782" s="15"/>
      <c r="B782" s="10"/>
      <c r="C782" s="18" t="str">
        <f aca="false">IF($B782="","",IFERROR(INDEX(대여내역!$E$3:$E$1002,MATCH($B782,대여내역!$A$3:$A$1002,0)),"대여번호없음"))</f>
        <v/>
      </c>
      <c r="D782" s="11"/>
      <c r="E782" s="9"/>
      <c r="F782" s="10"/>
    </row>
    <row r="783" customFormat="false" ht="15" hidden="false" customHeight="false" outlineLevel="0" collapsed="false">
      <c r="A783" s="15"/>
      <c r="B783" s="10"/>
      <c r="C783" s="18" t="str">
        <f aca="false">IF($B783="","",IFERROR(INDEX(대여내역!$E$3:$E$1002,MATCH($B783,대여내역!$A$3:$A$1002,0)),"대여번호없음"))</f>
        <v/>
      </c>
      <c r="D783" s="11"/>
      <c r="E783" s="9"/>
      <c r="F783" s="10"/>
    </row>
    <row r="784" customFormat="false" ht="15" hidden="false" customHeight="false" outlineLevel="0" collapsed="false">
      <c r="A784" s="15"/>
      <c r="B784" s="10"/>
      <c r="C784" s="18" t="str">
        <f aca="false">IF($B784="","",IFERROR(INDEX(대여내역!$E$3:$E$1002,MATCH($B784,대여내역!$A$3:$A$1002,0)),"대여번호없음"))</f>
        <v/>
      </c>
      <c r="D784" s="11"/>
      <c r="E784" s="9"/>
      <c r="F784" s="10"/>
    </row>
    <row r="785" customFormat="false" ht="15" hidden="false" customHeight="false" outlineLevel="0" collapsed="false">
      <c r="A785" s="15"/>
      <c r="B785" s="10"/>
      <c r="C785" s="18" t="str">
        <f aca="false">IF($B785="","",IFERROR(INDEX(대여내역!$E$3:$E$1002,MATCH($B785,대여내역!$A$3:$A$1002,0)),"대여번호없음"))</f>
        <v/>
      </c>
      <c r="D785" s="11"/>
      <c r="E785" s="9"/>
      <c r="F785" s="10"/>
    </row>
    <row r="786" customFormat="false" ht="15" hidden="false" customHeight="false" outlineLevel="0" collapsed="false">
      <c r="A786" s="15"/>
      <c r="B786" s="10"/>
      <c r="C786" s="18" t="str">
        <f aca="false">IF($B786="","",IFERROR(INDEX(대여내역!$E$3:$E$1002,MATCH($B786,대여내역!$A$3:$A$1002,0)),"대여번호없음"))</f>
        <v/>
      </c>
      <c r="D786" s="11"/>
      <c r="E786" s="9"/>
      <c r="F786" s="10"/>
    </row>
    <row r="787" customFormat="false" ht="15" hidden="false" customHeight="false" outlineLevel="0" collapsed="false">
      <c r="A787" s="15"/>
      <c r="B787" s="10"/>
      <c r="C787" s="18" t="str">
        <f aca="false">IF($B787="","",IFERROR(INDEX(대여내역!$E$3:$E$1002,MATCH($B787,대여내역!$A$3:$A$1002,0)),"대여번호없음"))</f>
        <v/>
      </c>
      <c r="D787" s="11"/>
      <c r="E787" s="9"/>
      <c r="F787" s="10"/>
    </row>
    <row r="788" customFormat="false" ht="15" hidden="false" customHeight="false" outlineLevel="0" collapsed="false">
      <c r="A788" s="15"/>
      <c r="B788" s="10"/>
      <c r="C788" s="18" t="str">
        <f aca="false">IF($B788="","",IFERROR(INDEX(대여내역!$E$3:$E$1002,MATCH($B788,대여내역!$A$3:$A$1002,0)),"대여번호없음"))</f>
        <v/>
      </c>
      <c r="D788" s="11"/>
      <c r="E788" s="9"/>
      <c r="F788" s="10"/>
    </row>
    <row r="789" customFormat="false" ht="15" hidden="false" customHeight="false" outlineLevel="0" collapsed="false">
      <c r="A789" s="15"/>
      <c r="B789" s="10"/>
      <c r="C789" s="18" t="str">
        <f aca="false">IF($B789="","",IFERROR(INDEX(대여내역!$E$3:$E$1002,MATCH($B789,대여내역!$A$3:$A$1002,0)),"대여번호없음"))</f>
        <v/>
      </c>
      <c r="D789" s="11"/>
      <c r="E789" s="9"/>
      <c r="F789" s="10"/>
    </row>
    <row r="790" customFormat="false" ht="15" hidden="false" customHeight="false" outlineLevel="0" collapsed="false">
      <c r="A790" s="15"/>
      <c r="B790" s="10"/>
      <c r="C790" s="18" t="str">
        <f aca="false">IF($B790="","",IFERROR(INDEX(대여내역!$E$3:$E$1002,MATCH($B790,대여내역!$A$3:$A$1002,0)),"대여번호없음"))</f>
        <v/>
      </c>
      <c r="D790" s="11"/>
      <c r="E790" s="9"/>
      <c r="F790" s="10"/>
    </row>
    <row r="791" customFormat="false" ht="15" hidden="false" customHeight="false" outlineLevel="0" collapsed="false">
      <c r="A791" s="15"/>
      <c r="B791" s="10"/>
      <c r="C791" s="18" t="str">
        <f aca="false">IF($B791="","",IFERROR(INDEX(대여내역!$E$3:$E$1002,MATCH($B791,대여내역!$A$3:$A$1002,0)),"대여번호없음"))</f>
        <v/>
      </c>
      <c r="D791" s="11"/>
      <c r="E791" s="9"/>
      <c r="F791" s="10"/>
    </row>
    <row r="792" customFormat="false" ht="15" hidden="false" customHeight="false" outlineLevel="0" collapsed="false">
      <c r="A792" s="15"/>
      <c r="B792" s="10"/>
      <c r="C792" s="18" t="str">
        <f aca="false">IF($B792="","",IFERROR(INDEX(대여내역!$E$3:$E$1002,MATCH($B792,대여내역!$A$3:$A$1002,0)),"대여번호없음"))</f>
        <v/>
      </c>
      <c r="D792" s="11"/>
      <c r="E792" s="9"/>
      <c r="F792" s="10"/>
    </row>
    <row r="793" customFormat="false" ht="15" hidden="false" customHeight="false" outlineLevel="0" collapsed="false">
      <c r="A793" s="15"/>
      <c r="B793" s="10"/>
      <c r="C793" s="18" t="str">
        <f aca="false">IF($B793="","",IFERROR(INDEX(대여내역!$E$3:$E$1002,MATCH($B793,대여내역!$A$3:$A$1002,0)),"대여번호없음"))</f>
        <v/>
      </c>
      <c r="D793" s="11"/>
      <c r="E793" s="9"/>
      <c r="F793" s="10"/>
    </row>
    <row r="794" customFormat="false" ht="15" hidden="false" customHeight="false" outlineLevel="0" collapsed="false">
      <c r="A794" s="15"/>
      <c r="B794" s="10"/>
      <c r="C794" s="18" t="str">
        <f aca="false">IF($B794="","",IFERROR(INDEX(대여내역!$E$3:$E$1002,MATCH($B794,대여내역!$A$3:$A$1002,0)),"대여번호없음"))</f>
        <v/>
      </c>
      <c r="D794" s="11"/>
      <c r="E794" s="9"/>
      <c r="F794" s="10"/>
    </row>
    <row r="795" customFormat="false" ht="15" hidden="false" customHeight="false" outlineLevel="0" collapsed="false">
      <c r="A795" s="15"/>
      <c r="B795" s="10"/>
      <c r="C795" s="18" t="str">
        <f aca="false">IF($B795="","",IFERROR(INDEX(대여내역!$E$3:$E$1002,MATCH($B795,대여내역!$A$3:$A$1002,0)),"대여번호없음"))</f>
        <v/>
      </c>
      <c r="D795" s="11"/>
      <c r="E795" s="9"/>
      <c r="F795" s="10"/>
    </row>
    <row r="796" customFormat="false" ht="15" hidden="false" customHeight="false" outlineLevel="0" collapsed="false">
      <c r="A796" s="15"/>
      <c r="B796" s="10"/>
      <c r="C796" s="18" t="str">
        <f aca="false">IF($B796="","",IFERROR(INDEX(대여내역!$E$3:$E$1002,MATCH($B796,대여내역!$A$3:$A$1002,0)),"대여번호없음"))</f>
        <v/>
      </c>
      <c r="D796" s="11"/>
      <c r="E796" s="9"/>
      <c r="F796" s="10"/>
    </row>
    <row r="797" customFormat="false" ht="15" hidden="false" customHeight="false" outlineLevel="0" collapsed="false">
      <c r="A797" s="15"/>
      <c r="B797" s="10"/>
      <c r="C797" s="18" t="str">
        <f aca="false">IF($B797="","",IFERROR(INDEX(대여내역!$E$3:$E$1002,MATCH($B797,대여내역!$A$3:$A$1002,0)),"대여번호없음"))</f>
        <v/>
      </c>
      <c r="D797" s="11"/>
      <c r="E797" s="9"/>
      <c r="F797" s="10"/>
    </row>
    <row r="798" customFormat="false" ht="15" hidden="false" customHeight="false" outlineLevel="0" collapsed="false">
      <c r="A798" s="15"/>
      <c r="B798" s="10"/>
      <c r="C798" s="18" t="str">
        <f aca="false">IF($B798="","",IFERROR(INDEX(대여내역!$E$3:$E$1002,MATCH($B798,대여내역!$A$3:$A$1002,0)),"대여번호없음"))</f>
        <v/>
      </c>
      <c r="D798" s="11"/>
      <c r="E798" s="9"/>
      <c r="F798" s="10"/>
    </row>
    <row r="799" customFormat="false" ht="15" hidden="false" customHeight="false" outlineLevel="0" collapsed="false">
      <c r="A799" s="15"/>
      <c r="B799" s="10"/>
      <c r="C799" s="18" t="str">
        <f aca="false">IF($B799="","",IFERROR(INDEX(대여내역!$E$3:$E$1002,MATCH($B799,대여내역!$A$3:$A$1002,0)),"대여번호없음"))</f>
        <v/>
      </c>
      <c r="D799" s="11"/>
      <c r="E799" s="9"/>
      <c r="F799" s="10"/>
    </row>
    <row r="800" customFormat="false" ht="15" hidden="false" customHeight="false" outlineLevel="0" collapsed="false">
      <c r="A800" s="15"/>
      <c r="B800" s="10"/>
      <c r="C800" s="18" t="str">
        <f aca="false">IF($B800="","",IFERROR(INDEX(대여내역!$E$3:$E$1002,MATCH($B800,대여내역!$A$3:$A$1002,0)),"대여번호없음"))</f>
        <v/>
      </c>
      <c r="D800" s="11"/>
      <c r="E800" s="9"/>
      <c r="F800" s="10"/>
    </row>
    <row r="801" customFormat="false" ht="15" hidden="false" customHeight="false" outlineLevel="0" collapsed="false">
      <c r="A801" s="15"/>
      <c r="B801" s="10"/>
      <c r="C801" s="18" t="str">
        <f aca="false">IF($B801="","",IFERROR(INDEX(대여내역!$E$3:$E$1002,MATCH($B801,대여내역!$A$3:$A$1002,0)),"대여번호없음"))</f>
        <v/>
      </c>
      <c r="D801" s="11"/>
      <c r="E801" s="9"/>
      <c r="F801" s="10"/>
    </row>
    <row r="802" customFormat="false" ht="15" hidden="false" customHeight="false" outlineLevel="0" collapsed="false">
      <c r="A802" s="15"/>
      <c r="B802" s="10"/>
      <c r="C802" s="18" t="str">
        <f aca="false">IF($B802="","",IFERROR(INDEX(대여내역!$E$3:$E$1002,MATCH($B802,대여내역!$A$3:$A$1002,0)),"대여번호없음"))</f>
        <v/>
      </c>
      <c r="D802" s="11"/>
      <c r="E802" s="9"/>
      <c r="F802" s="10"/>
    </row>
    <row r="803" customFormat="false" ht="15" hidden="false" customHeight="false" outlineLevel="0" collapsed="false">
      <c r="A803" s="15"/>
      <c r="B803" s="10"/>
      <c r="C803" s="18" t="str">
        <f aca="false">IF($B803="","",IFERROR(INDEX(대여내역!$E$3:$E$1002,MATCH($B803,대여내역!$A$3:$A$1002,0)),"대여번호없음"))</f>
        <v/>
      </c>
      <c r="D803" s="11"/>
      <c r="E803" s="9"/>
      <c r="F803" s="10"/>
    </row>
    <row r="804" customFormat="false" ht="15" hidden="false" customHeight="false" outlineLevel="0" collapsed="false">
      <c r="A804" s="15"/>
      <c r="B804" s="10"/>
      <c r="C804" s="18" t="str">
        <f aca="false">IF($B804="","",IFERROR(INDEX(대여내역!$E$3:$E$1002,MATCH($B804,대여내역!$A$3:$A$1002,0)),"대여번호없음"))</f>
        <v/>
      </c>
      <c r="D804" s="11"/>
      <c r="E804" s="9"/>
      <c r="F804" s="10"/>
    </row>
    <row r="805" customFormat="false" ht="15" hidden="false" customHeight="false" outlineLevel="0" collapsed="false">
      <c r="A805" s="15"/>
      <c r="B805" s="10"/>
      <c r="C805" s="18" t="str">
        <f aca="false">IF($B805="","",IFERROR(INDEX(대여내역!$E$3:$E$1002,MATCH($B805,대여내역!$A$3:$A$1002,0)),"대여번호없음"))</f>
        <v/>
      </c>
      <c r="D805" s="11"/>
      <c r="E805" s="9"/>
      <c r="F805" s="10"/>
    </row>
    <row r="806" customFormat="false" ht="15" hidden="false" customHeight="false" outlineLevel="0" collapsed="false">
      <c r="A806" s="15"/>
      <c r="B806" s="10"/>
      <c r="C806" s="18" t="str">
        <f aca="false">IF($B806="","",IFERROR(INDEX(대여내역!$E$3:$E$1002,MATCH($B806,대여내역!$A$3:$A$1002,0)),"대여번호없음"))</f>
        <v/>
      </c>
      <c r="D806" s="11"/>
      <c r="E806" s="9"/>
      <c r="F806" s="10"/>
    </row>
    <row r="807" customFormat="false" ht="15" hidden="false" customHeight="false" outlineLevel="0" collapsed="false">
      <c r="A807" s="15"/>
      <c r="B807" s="10"/>
      <c r="C807" s="18" t="str">
        <f aca="false">IF($B807="","",IFERROR(INDEX(대여내역!$E$3:$E$1002,MATCH($B807,대여내역!$A$3:$A$1002,0)),"대여번호없음"))</f>
        <v/>
      </c>
      <c r="D807" s="11"/>
      <c r="E807" s="9"/>
      <c r="F807" s="10"/>
    </row>
    <row r="808" customFormat="false" ht="15" hidden="false" customHeight="false" outlineLevel="0" collapsed="false">
      <c r="A808" s="15"/>
      <c r="B808" s="10"/>
      <c r="C808" s="18" t="str">
        <f aca="false">IF($B808="","",IFERROR(INDEX(대여내역!$E$3:$E$1002,MATCH($B808,대여내역!$A$3:$A$1002,0)),"대여번호없음"))</f>
        <v/>
      </c>
      <c r="D808" s="11"/>
      <c r="E808" s="9"/>
      <c r="F808" s="10"/>
    </row>
    <row r="809" customFormat="false" ht="15" hidden="false" customHeight="false" outlineLevel="0" collapsed="false">
      <c r="A809" s="15"/>
      <c r="B809" s="10"/>
      <c r="C809" s="18" t="str">
        <f aca="false">IF($B809="","",IFERROR(INDEX(대여내역!$E$3:$E$1002,MATCH($B809,대여내역!$A$3:$A$1002,0)),"대여번호없음"))</f>
        <v/>
      </c>
      <c r="D809" s="11"/>
      <c r="E809" s="9"/>
      <c r="F809" s="10"/>
    </row>
    <row r="810" customFormat="false" ht="15" hidden="false" customHeight="false" outlineLevel="0" collapsed="false">
      <c r="A810" s="15"/>
      <c r="B810" s="10"/>
      <c r="C810" s="18" t="str">
        <f aca="false">IF($B810="","",IFERROR(INDEX(대여내역!$E$3:$E$1002,MATCH($B810,대여내역!$A$3:$A$1002,0)),"대여번호없음"))</f>
        <v/>
      </c>
      <c r="D810" s="11"/>
      <c r="E810" s="9"/>
      <c r="F810" s="10"/>
    </row>
    <row r="811" customFormat="false" ht="15" hidden="false" customHeight="false" outlineLevel="0" collapsed="false">
      <c r="A811" s="15"/>
      <c r="B811" s="10"/>
      <c r="C811" s="18" t="str">
        <f aca="false">IF($B811="","",IFERROR(INDEX(대여내역!$E$3:$E$1002,MATCH($B811,대여내역!$A$3:$A$1002,0)),"대여번호없음"))</f>
        <v/>
      </c>
      <c r="D811" s="11"/>
      <c r="E811" s="9"/>
      <c r="F811" s="10"/>
    </row>
    <row r="812" customFormat="false" ht="15" hidden="false" customHeight="false" outlineLevel="0" collapsed="false">
      <c r="A812" s="15"/>
      <c r="B812" s="10"/>
      <c r="C812" s="18" t="str">
        <f aca="false">IF($B812="","",IFERROR(INDEX(대여내역!$E$3:$E$1002,MATCH($B812,대여내역!$A$3:$A$1002,0)),"대여번호없음"))</f>
        <v/>
      </c>
      <c r="D812" s="11"/>
      <c r="E812" s="9"/>
      <c r="F812" s="10"/>
    </row>
    <row r="813" customFormat="false" ht="15" hidden="false" customHeight="false" outlineLevel="0" collapsed="false">
      <c r="A813" s="15"/>
      <c r="B813" s="10"/>
      <c r="C813" s="18" t="str">
        <f aca="false">IF($B813="","",IFERROR(INDEX(대여내역!$E$3:$E$1002,MATCH($B813,대여내역!$A$3:$A$1002,0)),"대여번호없음"))</f>
        <v/>
      </c>
      <c r="D813" s="11"/>
      <c r="E813" s="9"/>
      <c r="F813" s="10"/>
    </row>
    <row r="814" customFormat="false" ht="15" hidden="false" customHeight="false" outlineLevel="0" collapsed="false">
      <c r="A814" s="15"/>
      <c r="B814" s="10"/>
      <c r="C814" s="18" t="str">
        <f aca="false">IF($B814="","",IFERROR(INDEX(대여내역!$E$3:$E$1002,MATCH($B814,대여내역!$A$3:$A$1002,0)),"대여번호없음"))</f>
        <v/>
      </c>
      <c r="D814" s="11"/>
      <c r="E814" s="9"/>
      <c r="F814" s="10"/>
    </row>
    <row r="815" customFormat="false" ht="15" hidden="false" customHeight="false" outlineLevel="0" collapsed="false">
      <c r="A815" s="15"/>
      <c r="B815" s="10"/>
      <c r="C815" s="18" t="str">
        <f aca="false">IF($B815="","",IFERROR(INDEX(대여내역!$E$3:$E$1002,MATCH($B815,대여내역!$A$3:$A$1002,0)),"대여번호없음"))</f>
        <v/>
      </c>
      <c r="D815" s="11"/>
      <c r="E815" s="9"/>
      <c r="F815" s="10"/>
    </row>
    <row r="816" customFormat="false" ht="15" hidden="false" customHeight="false" outlineLevel="0" collapsed="false">
      <c r="A816" s="15"/>
      <c r="B816" s="10"/>
      <c r="C816" s="18" t="str">
        <f aca="false">IF($B816="","",IFERROR(INDEX(대여내역!$E$3:$E$1002,MATCH($B816,대여내역!$A$3:$A$1002,0)),"대여번호없음"))</f>
        <v/>
      </c>
      <c r="D816" s="11"/>
      <c r="E816" s="9"/>
      <c r="F816" s="10"/>
    </row>
    <row r="817" customFormat="false" ht="15" hidden="false" customHeight="false" outlineLevel="0" collapsed="false">
      <c r="A817" s="15"/>
      <c r="B817" s="10"/>
      <c r="C817" s="18" t="str">
        <f aca="false">IF($B817="","",IFERROR(INDEX(대여내역!$E$3:$E$1002,MATCH($B817,대여내역!$A$3:$A$1002,0)),"대여번호없음"))</f>
        <v/>
      </c>
      <c r="D817" s="11"/>
      <c r="E817" s="9"/>
      <c r="F817" s="10"/>
    </row>
    <row r="818" customFormat="false" ht="15" hidden="false" customHeight="false" outlineLevel="0" collapsed="false">
      <c r="A818" s="15"/>
      <c r="B818" s="10"/>
      <c r="C818" s="18" t="str">
        <f aca="false">IF($B818="","",IFERROR(INDEX(대여내역!$E$3:$E$1002,MATCH($B818,대여내역!$A$3:$A$1002,0)),"대여번호없음"))</f>
        <v/>
      </c>
      <c r="D818" s="11"/>
      <c r="E818" s="9"/>
      <c r="F818" s="10"/>
    </row>
    <row r="819" customFormat="false" ht="15" hidden="false" customHeight="false" outlineLevel="0" collapsed="false">
      <c r="A819" s="15"/>
      <c r="B819" s="10"/>
      <c r="C819" s="18" t="str">
        <f aca="false">IF($B819="","",IFERROR(INDEX(대여내역!$E$3:$E$1002,MATCH($B819,대여내역!$A$3:$A$1002,0)),"대여번호없음"))</f>
        <v/>
      </c>
      <c r="D819" s="11"/>
      <c r="E819" s="9"/>
      <c r="F819" s="10"/>
    </row>
    <row r="820" customFormat="false" ht="15" hidden="false" customHeight="false" outlineLevel="0" collapsed="false">
      <c r="A820" s="15"/>
      <c r="B820" s="10"/>
      <c r="C820" s="18" t="str">
        <f aca="false">IF($B820="","",IFERROR(INDEX(대여내역!$E$3:$E$1002,MATCH($B820,대여내역!$A$3:$A$1002,0)),"대여번호없음"))</f>
        <v/>
      </c>
      <c r="D820" s="11"/>
      <c r="E820" s="9"/>
      <c r="F820" s="10"/>
    </row>
    <row r="821" customFormat="false" ht="15" hidden="false" customHeight="false" outlineLevel="0" collapsed="false">
      <c r="A821" s="15"/>
      <c r="B821" s="10"/>
      <c r="C821" s="18" t="str">
        <f aca="false">IF($B821="","",IFERROR(INDEX(대여내역!$E$3:$E$1002,MATCH($B821,대여내역!$A$3:$A$1002,0)),"대여번호없음"))</f>
        <v/>
      </c>
      <c r="D821" s="11"/>
      <c r="E821" s="9"/>
      <c r="F821" s="10"/>
    </row>
    <row r="822" customFormat="false" ht="15" hidden="false" customHeight="false" outlineLevel="0" collapsed="false">
      <c r="A822" s="15"/>
      <c r="B822" s="10"/>
      <c r="C822" s="18" t="str">
        <f aca="false">IF($B822="","",IFERROR(INDEX(대여내역!$E$3:$E$1002,MATCH($B822,대여내역!$A$3:$A$1002,0)),"대여번호없음"))</f>
        <v/>
      </c>
      <c r="D822" s="11"/>
      <c r="E822" s="9"/>
      <c r="F822" s="10"/>
    </row>
    <row r="823" customFormat="false" ht="15" hidden="false" customHeight="false" outlineLevel="0" collapsed="false">
      <c r="A823" s="15"/>
      <c r="B823" s="10"/>
      <c r="C823" s="18" t="str">
        <f aca="false">IF($B823="","",IFERROR(INDEX(대여내역!$E$3:$E$1002,MATCH($B823,대여내역!$A$3:$A$1002,0)),"대여번호없음"))</f>
        <v/>
      </c>
      <c r="D823" s="11"/>
      <c r="E823" s="9"/>
      <c r="F823" s="10"/>
    </row>
    <row r="824" customFormat="false" ht="15" hidden="false" customHeight="false" outlineLevel="0" collapsed="false">
      <c r="A824" s="15"/>
      <c r="B824" s="10"/>
      <c r="C824" s="18" t="str">
        <f aca="false">IF($B824="","",IFERROR(INDEX(대여내역!$E$3:$E$1002,MATCH($B824,대여내역!$A$3:$A$1002,0)),"대여번호없음"))</f>
        <v/>
      </c>
      <c r="D824" s="11"/>
      <c r="E824" s="9"/>
      <c r="F824" s="10"/>
    </row>
    <row r="825" customFormat="false" ht="15" hidden="false" customHeight="false" outlineLevel="0" collapsed="false">
      <c r="A825" s="15"/>
      <c r="B825" s="10"/>
      <c r="C825" s="18" t="str">
        <f aca="false">IF($B825="","",IFERROR(INDEX(대여내역!$E$3:$E$1002,MATCH($B825,대여내역!$A$3:$A$1002,0)),"대여번호없음"))</f>
        <v/>
      </c>
      <c r="D825" s="11"/>
      <c r="E825" s="9"/>
      <c r="F825" s="10"/>
    </row>
    <row r="826" customFormat="false" ht="15" hidden="false" customHeight="false" outlineLevel="0" collapsed="false">
      <c r="A826" s="15"/>
      <c r="B826" s="10"/>
      <c r="C826" s="18" t="str">
        <f aca="false">IF($B826="","",IFERROR(INDEX(대여내역!$E$3:$E$1002,MATCH($B826,대여내역!$A$3:$A$1002,0)),"대여번호없음"))</f>
        <v/>
      </c>
      <c r="D826" s="11"/>
      <c r="E826" s="9"/>
      <c r="F826" s="10"/>
    </row>
    <row r="827" customFormat="false" ht="15" hidden="false" customHeight="false" outlineLevel="0" collapsed="false">
      <c r="A827" s="15"/>
      <c r="B827" s="10"/>
      <c r="C827" s="18" t="str">
        <f aca="false">IF($B827="","",IFERROR(INDEX(대여내역!$E$3:$E$1002,MATCH($B827,대여내역!$A$3:$A$1002,0)),"대여번호없음"))</f>
        <v/>
      </c>
      <c r="D827" s="11"/>
      <c r="E827" s="9"/>
      <c r="F827" s="10"/>
    </row>
    <row r="828" customFormat="false" ht="15" hidden="false" customHeight="false" outlineLevel="0" collapsed="false">
      <c r="A828" s="15"/>
      <c r="B828" s="10"/>
      <c r="C828" s="18" t="str">
        <f aca="false">IF($B828="","",IFERROR(INDEX(대여내역!$E$3:$E$1002,MATCH($B828,대여내역!$A$3:$A$1002,0)),"대여번호없음"))</f>
        <v/>
      </c>
      <c r="D828" s="11"/>
      <c r="E828" s="9"/>
      <c r="F828" s="10"/>
    </row>
    <row r="829" customFormat="false" ht="15" hidden="false" customHeight="false" outlineLevel="0" collapsed="false">
      <c r="A829" s="15"/>
      <c r="B829" s="10"/>
      <c r="C829" s="18" t="str">
        <f aca="false">IF($B829="","",IFERROR(INDEX(대여내역!$E$3:$E$1002,MATCH($B829,대여내역!$A$3:$A$1002,0)),"대여번호없음"))</f>
        <v/>
      </c>
      <c r="D829" s="11"/>
      <c r="E829" s="9"/>
      <c r="F829" s="10"/>
    </row>
    <row r="830" customFormat="false" ht="15" hidden="false" customHeight="false" outlineLevel="0" collapsed="false">
      <c r="A830" s="15"/>
      <c r="B830" s="10"/>
      <c r="C830" s="18" t="str">
        <f aca="false">IF($B830="","",IFERROR(INDEX(대여내역!$E$3:$E$1002,MATCH($B830,대여내역!$A$3:$A$1002,0)),"대여번호없음"))</f>
        <v/>
      </c>
      <c r="D830" s="11"/>
      <c r="E830" s="9"/>
      <c r="F830" s="10"/>
    </row>
    <row r="831" customFormat="false" ht="15" hidden="false" customHeight="false" outlineLevel="0" collapsed="false">
      <c r="A831" s="15"/>
      <c r="B831" s="10"/>
      <c r="C831" s="18" t="str">
        <f aca="false">IF($B831="","",IFERROR(INDEX(대여내역!$E$3:$E$1002,MATCH($B831,대여내역!$A$3:$A$1002,0)),"대여번호없음"))</f>
        <v/>
      </c>
      <c r="D831" s="11"/>
      <c r="E831" s="9"/>
      <c r="F831" s="10"/>
    </row>
    <row r="832" customFormat="false" ht="15" hidden="false" customHeight="false" outlineLevel="0" collapsed="false">
      <c r="A832" s="15"/>
      <c r="B832" s="10"/>
      <c r="C832" s="18" t="str">
        <f aca="false">IF($B832="","",IFERROR(INDEX(대여내역!$E$3:$E$1002,MATCH($B832,대여내역!$A$3:$A$1002,0)),"대여번호없음"))</f>
        <v/>
      </c>
      <c r="D832" s="11"/>
      <c r="E832" s="9"/>
      <c r="F832" s="10"/>
    </row>
    <row r="833" customFormat="false" ht="15" hidden="false" customHeight="false" outlineLevel="0" collapsed="false">
      <c r="A833" s="15"/>
      <c r="B833" s="10"/>
      <c r="C833" s="18" t="str">
        <f aca="false">IF($B833="","",IFERROR(INDEX(대여내역!$E$3:$E$1002,MATCH($B833,대여내역!$A$3:$A$1002,0)),"대여번호없음"))</f>
        <v/>
      </c>
      <c r="D833" s="11"/>
      <c r="E833" s="9"/>
      <c r="F833" s="10"/>
    </row>
    <row r="834" customFormat="false" ht="15" hidden="false" customHeight="false" outlineLevel="0" collapsed="false">
      <c r="A834" s="15"/>
      <c r="B834" s="10"/>
      <c r="C834" s="18" t="str">
        <f aca="false">IF($B834="","",IFERROR(INDEX(대여내역!$E$3:$E$1002,MATCH($B834,대여내역!$A$3:$A$1002,0)),"대여번호없음"))</f>
        <v/>
      </c>
      <c r="D834" s="11"/>
      <c r="E834" s="9"/>
      <c r="F834" s="10"/>
    </row>
    <row r="835" customFormat="false" ht="15" hidden="false" customHeight="false" outlineLevel="0" collapsed="false">
      <c r="A835" s="15"/>
      <c r="B835" s="10"/>
      <c r="C835" s="18" t="str">
        <f aca="false">IF($B835="","",IFERROR(INDEX(대여내역!$E$3:$E$1002,MATCH($B835,대여내역!$A$3:$A$1002,0)),"대여번호없음"))</f>
        <v/>
      </c>
      <c r="D835" s="11"/>
      <c r="E835" s="9"/>
      <c r="F835" s="10"/>
    </row>
    <row r="836" customFormat="false" ht="15" hidden="false" customHeight="false" outlineLevel="0" collapsed="false">
      <c r="A836" s="15"/>
      <c r="B836" s="10"/>
      <c r="C836" s="18" t="str">
        <f aca="false">IF($B836="","",IFERROR(INDEX(대여내역!$E$3:$E$1002,MATCH($B836,대여내역!$A$3:$A$1002,0)),"대여번호없음"))</f>
        <v/>
      </c>
      <c r="D836" s="11"/>
      <c r="E836" s="9"/>
      <c r="F836" s="10"/>
    </row>
    <row r="837" customFormat="false" ht="15" hidden="false" customHeight="false" outlineLevel="0" collapsed="false">
      <c r="A837" s="15"/>
      <c r="B837" s="10"/>
      <c r="C837" s="18" t="str">
        <f aca="false">IF($B837="","",IFERROR(INDEX(대여내역!$E$3:$E$1002,MATCH($B837,대여내역!$A$3:$A$1002,0)),"대여번호없음"))</f>
        <v/>
      </c>
      <c r="D837" s="11"/>
      <c r="E837" s="9"/>
      <c r="F837" s="10"/>
    </row>
    <row r="838" customFormat="false" ht="15" hidden="false" customHeight="false" outlineLevel="0" collapsed="false">
      <c r="A838" s="15"/>
      <c r="B838" s="10"/>
      <c r="C838" s="18" t="str">
        <f aca="false">IF($B838="","",IFERROR(INDEX(대여내역!$E$3:$E$1002,MATCH($B838,대여내역!$A$3:$A$1002,0)),"대여번호없음"))</f>
        <v/>
      </c>
      <c r="D838" s="11"/>
      <c r="E838" s="9"/>
      <c r="F838" s="10"/>
    </row>
    <row r="839" customFormat="false" ht="15" hidden="false" customHeight="false" outlineLevel="0" collapsed="false">
      <c r="A839" s="15"/>
      <c r="B839" s="10"/>
      <c r="C839" s="18" t="str">
        <f aca="false">IF($B839="","",IFERROR(INDEX(대여내역!$E$3:$E$1002,MATCH($B839,대여내역!$A$3:$A$1002,0)),"대여번호없음"))</f>
        <v/>
      </c>
      <c r="D839" s="11"/>
      <c r="E839" s="9"/>
      <c r="F839" s="10"/>
    </row>
    <row r="840" customFormat="false" ht="15" hidden="false" customHeight="false" outlineLevel="0" collapsed="false">
      <c r="A840" s="15"/>
      <c r="B840" s="10"/>
      <c r="C840" s="18" t="str">
        <f aca="false">IF($B840="","",IFERROR(INDEX(대여내역!$E$3:$E$1002,MATCH($B840,대여내역!$A$3:$A$1002,0)),"대여번호없음"))</f>
        <v/>
      </c>
      <c r="D840" s="11"/>
      <c r="E840" s="9"/>
      <c r="F840" s="10"/>
    </row>
    <row r="841" customFormat="false" ht="15" hidden="false" customHeight="false" outlineLevel="0" collapsed="false">
      <c r="A841" s="15"/>
      <c r="B841" s="10"/>
      <c r="C841" s="18" t="str">
        <f aca="false">IF($B841="","",IFERROR(INDEX(대여내역!$E$3:$E$1002,MATCH($B841,대여내역!$A$3:$A$1002,0)),"대여번호없음"))</f>
        <v/>
      </c>
      <c r="D841" s="11"/>
      <c r="E841" s="9"/>
      <c r="F841" s="10"/>
    </row>
    <row r="842" customFormat="false" ht="15" hidden="false" customHeight="false" outlineLevel="0" collapsed="false">
      <c r="A842" s="15"/>
      <c r="B842" s="10"/>
      <c r="C842" s="18" t="str">
        <f aca="false">IF($B842="","",IFERROR(INDEX(대여내역!$E$3:$E$1002,MATCH($B842,대여내역!$A$3:$A$1002,0)),"대여번호없음"))</f>
        <v/>
      </c>
      <c r="D842" s="11"/>
      <c r="E842" s="9"/>
      <c r="F842" s="10"/>
    </row>
    <row r="843" customFormat="false" ht="15" hidden="false" customHeight="false" outlineLevel="0" collapsed="false">
      <c r="A843" s="15"/>
      <c r="B843" s="10"/>
      <c r="C843" s="18" t="str">
        <f aca="false">IF($B843="","",IFERROR(INDEX(대여내역!$E$3:$E$1002,MATCH($B843,대여내역!$A$3:$A$1002,0)),"대여번호없음"))</f>
        <v/>
      </c>
      <c r="D843" s="11"/>
      <c r="E843" s="9"/>
      <c r="F843" s="10"/>
    </row>
    <row r="844" customFormat="false" ht="15" hidden="false" customHeight="false" outlineLevel="0" collapsed="false">
      <c r="A844" s="15"/>
      <c r="B844" s="10"/>
      <c r="C844" s="18" t="str">
        <f aca="false">IF($B844="","",IFERROR(INDEX(대여내역!$E$3:$E$1002,MATCH($B844,대여내역!$A$3:$A$1002,0)),"대여번호없음"))</f>
        <v/>
      </c>
      <c r="D844" s="11"/>
      <c r="E844" s="9"/>
      <c r="F844" s="10"/>
    </row>
    <row r="845" customFormat="false" ht="15" hidden="false" customHeight="false" outlineLevel="0" collapsed="false">
      <c r="A845" s="15"/>
      <c r="B845" s="10"/>
      <c r="C845" s="18" t="str">
        <f aca="false">IF($B845="","",IFERROR(INDEX(대여내역!$E$3:$E$1002,MATCH($B845,대여내역!$A$3:$A$1002,0)),"대여번호없음"))</f>
        <v/>
      </c>
      <c r="D845" s="11"/>
      <c r="E845" s="9"/>
      <c r="F845" s="10"/>
    </row>
    <row r="846" customFormat="false" ht="15" hidden="false" customHeight="false" outlineLevel="0" collapsed="false">
      <c r="A846" s="15"/>
      <c r="B846" s="10"/>
      <c r="C846" s="18" t="str">
        <f aca="false">IF($B846="","",IFERROR(INDEX(대여내역!$E$3:$E$1002,MATCH($B846,대여내역!$A$3:$A$1002,0)),"대여번호없음"))</f>
        <v/>
      </c>
      <c r="D846" s="11"/>
      <c r="E846" s="9"/>
      <c r="F846" s="10"/>
    </row>
    <row r="847" customFormat="false" ht="15" hidden="false" customHeight="false" outlineLevel="0" collapsed="false">
      <c r="A847" s="15"/>
      <c r="B847" s="10"/>
      <c r="C847" s="18" t="str">
        <f aca="false">IF($B847="","",IFERROR(INDEX(대여내역!$E$3:$E$1002,MATCH($B847,대여내역!$A$3:$A$1002,0)),"대여번호없음"))</f>
        <v/>
      </c>
      <c r="D847" s="11"/>
      <c r="E847" s="9"/>
      <c r="F847" s="10"/>
    </row>
    <row r="848" customFormat="false" ht="15" hidden="false" customHeight="false" outlineLevel="0" collapsed="false">
      <c r="A848" s="15"/>
      <c r="B848" s="10"/>
      <c r="C848" s="18" t="str">
        <f aca="false">IF($B848="","",IFERROR(INDEX(대여내역!$E$3:$E$1002,MATCH($B848,대여내역!$A$3:$A$1002,0)),"대여번호없음"))</f>
        <v/>
      </c>
      <c r="D848" s="11"/>
      <c r="E848" s="9"/>
      <c r="F848" s="10"/>
    </row>
    <row r="849" customFormat="false" ht="15" hidden="false" customHeight="false" outlineLevel="0" collapsed="false">
      <c r="A849" s="15"/>
      <c r="B849" s="10"/>
      <c r="C849" s="18" t="str">
        <f aca="false">IF($B849="","",IFERROR(INDEX(대여내역!$E$3:$E$1002,MATCH($B849,대여내역!$A$3:$A$1002,0)),"대여번호없음"))</f>
        <v/>
      </c>
      <c r="D849" s="11"/>
      <c r="E849" s="9"/>
      <c r="F849" s="10"/>
    </row>
    <row r="850" customFormat="false" ht="15" hidden="false" customHeight="false" outlineLevel="0" collapsed="false">
      <c r="A850" s="15"/>
      <c r="B850" s="10"/>
      <c r="C850" s="18" t="str">
        <f aca="false">IF($B850="","",IFERROR(INDEX(대여내역!$E$3:$E$1002,MATCH($B850,대여내역!$A$3:$A$1002,0)),"대여번호없음"))</f>
        <v/>
      </c>
      <c r="D850" s="11"/>
      <c r="E850" s="9"/>
      <c r="F850" s="10"/>
    </row>
    <row r="851" customFormat="false" ht="15" hidden="false" customHeight="false" outlineLevel="0" collapsed="false">
      <c r="A851" s="15"/>
      <c r="B851" s="10"/>
      <c r="C851" s="18" t="str">
        <f aca="false">IF($B851="","",IFERROR(INDEX(대여내역!$E$3:$E$1002,MATCH($B851,대여내역!$A$3:$A$1002,0)),"대여번호없음"))</f>
        <v/>
      </c>
      <c r="D851" s="11"/>
      <c r="E851" s="9"/>
      <c r="F851" s="10"/>
    </row>
    <row r="852" customFormat="false" ht="15" hidden="false" customHeight="false" outlineLevel="0" collapsed="false">
      <c r="A852" s="15"/>
      <c r="B852" s="10"/>
      <c r="C852" s="18" t="str">
        <f aca="false">IF($B852="","",IFERROR(INDEX(대여내역!$E$3:$E$1002,MATCH($B852,대여내역!$A$3:$A$1002,0)),"대여번호없음"))</f>
        <v/>
      </c>
      <c r="D852" s="11"/>
      <c r="E852" s="9"/>
      <c r="F852" s="10"/>
    </row>
    <row r="853" customFormat="false" ht="15" hidden="false" customHeight="false" outlineLevel="0" collapsed="false">
      <c r="A853" s="15"/>
      <c r="B853" s="10"/>
      <c r="C853" s="18" t="str">
        <f aca="false">IF($B853="","",IFERROR(INDEX(대여내역!$E$3:$E$1002,MATCH($B853,대여내역!$A$3:$A$1002,0)),"대여번호없음"))</f>
        <v/>
      </c>
      <c r="D853" s="11"/>
      <c r="E853" s="9"/>
      <c r="F853" s="10"/>
    </row>
    <row r="854" customFormat="false" ht="15" hidden="false" customHeight="false" outlineLevel="0" collapsed="false">
      <c r="A854" s="15"/>
      <c r="B854" s="10"/>
      <c r="C854" s="18" t="str">
        <f aca="false">IF($B854="","",IFERROR(INDEX(대여내역!$E$3:$E$1002,MATCH($B854,대여내역!$A$3:$A$1002,0)),"대여번호없음"))</f>
        <v/>
      </c>
      <c r="D854" s="11"/>
      <c r="E854" s="9"/>
      <c r="F854" s="10"/>
    </row>
    <row r="855" customFormat="false" ht="15" hidden="false" customHeight="false" outlineLevel="0" collapsed="false">
      <c r="A855" s="15"/>
      <c r="B855" s="10"/>
      <c r="C855" s="18" t="str">
        <f aca="false">IF($B855="","",IFERROR(INDEX(대여내역!$E$3:$E$1002,MATCH($B855,대여내역!$A$3:$A$1002,0)),"대여번호없음"))</f>
        <v/>
      </c>
      <c r="D855" s="11"/>
      <c r="E855" s="9"/>
      <c r="F855" s="10"/>
    </row>
    <row r="856" customFormat="false" ht="15" hidden="false" customHeight="false" outlineLevel="0" collapsed="false">
      <c r="A856" s="15"/>
      <c r="B856" s="10"/>
      <c r="C856" s="18" t="str">
        <f aca="false">IF($B856="","",IFERROR(INDEX(대여내역!$E$3:$E$1002,MATCH($B856,대여내역!$A$3:$A$1002,0)),"대여번호없음"))</f>
        <v/>
      </c>
      <c r="D856" s="11"/>
      <c r="E856" s="9"/>
      <c r="F856" s="10"/>
    </row>
    <row r="857" customFormat="false" ht="15" hidden="false" customHeight="false" outlineLevel="0" collapsed="false">
      <c r="A857" s="15"/>
      <c r="B857" s="10"/>
      <c r="C857" s="18" t="str">
        <f aca="false">IF($B857="","",IFERROR(INDEX(대여내역!$E$3:$E$1002,MATCH($B857,대여내역!$A$3:$A$1002,0)),"대여번호없음"))</f>
        <v/>
      </c>
      <c r="D857" s="11"/>
      <c r="E857" s="9"/>
      <c r="F857" s="10"/>
    </row>
    <row r="858" customFormat="false" ht="15" hidden="false" customHeight="false" outlineLevel="0" collapsed="false">
      <c r="A858" s="15"/>
      <c r="B858" s="10"/>
      <c r="C858" s="18" t="str">
        <f aca="false">IF($B858="","",IFERROR(INDEX(대여내역!$E$3:$E$1002,MATCH($B858,대여내역!$A$3:$A$1002,0)),"대여번호없음"))</f>
        <v/>
      </c>
      <c r="D858" s="11"/>
      <c r="E858" s="9"/>
      <c r="F858" s="10"/>
    </row>
    <row r="859" customFormat="false" ht="15" hidden="false" customHeight="false" outlineLevel="0" collapsed="false">
      <c r="A859" s="15"/>
      <c r="B859" s="10"/>
      <c r="C859" s="18" t="str">
        <f aca="false">IF($B859="","",IFERROR(INDEX(대여내역!$E$3:$E$1002,MATCH($B859,대여내역!$A$3:$A$1002,0)),"대여번호없음"))</f>
        <v/>
      </c>
      <c r="D859" s="11"/>
      <c r="E859" s="9"/>
      <c r="F859" s="10"/>
    </row>
    <row r="860" customFormat="false" ht="15" hidden="false" customHeight="false" outlineLevel="0" collapsed="false">
      <c r="A860" s="15"/>
      <c r="B860" s="10"/>
      <c r="C860" s="18" t="str">
        <f aca="false">IF($B860="","",IFERROR(INDEX(대여내역!$E$3:$E$1002,MATCH($B860,대여내역!$A$3:$A$1002,0)),"대여번호없음"))</f>
        <v/>
      </c>
      <c r="D860" s="11"/>
      <c r="E860" s="9"/>
      <c r="F860" s="10"/>
    </row>
    <row r="861" customFormat="false" ht="15" hidden="false" customHeight="false" outlineLevel="0" collapsed="false">
      <c r="A861" s="15"/>
      <c r="B861" s="10"/>
      <c r="C861" s="18" t="str">
        <f aca="false">IF($B861="","",IFERROR(INDEX(대여내역!$E$3:$E$1002,MATCH($B861,대여내역!$A$3:$A$1002,0)),"대여번호없음"))</f>
        <v/>
      </c>
      <c r="D861" s="11"/>
      <c r="E861" s="9"/>
      <c r="F861" s="10"/>
    </row>
    <row r="862" customFormat="false" ht="15" hidden="false" customHeight="false" outlineLevel="0" collapsed="false">
      <c r="A862" s="15"/>
      <c r="B862" s="10"/>
      <c r="C862" s="18" t="str">
        <f aca="false">IF($B862="","",IFERROR(INDEX(대여내역!$E$3:$E$1002,MATCH($B862,대여내역!$A$3:$A$1002,0)),"대여번호없음"))</f>
        <v/>
      </c>
      <c r="D862" s="11"/>
      <c r="E862" s="9"/>
      <c r="F862" s="10"/>
    </row>
    <row r="863" customFormat="false" ht="15" hidden="false" customHeight="false" outlineLevel="0" collapsed="false">
      <c r="A863" s="15"/>
      <c r="B863" s="10"/>
      <c r="C863" s="18" t="str">
        <f aca="false">IF($B863="","",IFERROR(INDEX(대여내역!$E$3:$E$1002,MATCH($B863,대여내역!$A$3:$A$1002,0)),"대여번호없음"))</f>
        <v/>
      </c>
      <c r="D863" s="11"/>
      <c r="E863" s="9"/>
      <c r="F863" s="10"/>
    </row>
    <row r="864" customFormat="false" ht="15" hidden="false" customHeight="false" outlineLevel="0" collapsed="false">
      <c r="A864" s="15"/>
      <c r="B864" s="10"/>
      <c r="C864" s="18" t="str">
        <f aca="false">IF($B864="","",IFERROR(INDEX(대여내역!$E$3:$E$1002,MATCH($B864,대여내역!$A$3:$A$1002,0)),"대여번호없음"))</f>
        <v/>
      </c>
      <c r="D864" s="11"/>
      <c r="E864" s="9"/>
      <c r="F864" s="10"/>
    </row>
    <row r="865" customFormat="false" ht="15" hidden="false" customHeight="false" outlineLevel="0" collapsed="false">
      <c r="A865" s="15"/>
      <c r="B865" s="10"/>
      <c r="C865" s="18" t="str">
        <f aca="false">IF($B865="","",IFERROR(INDEX(대여내역!$E$3:$E$1002,MATCH($B865,대여내역!$A$3:$A$1002,0)),"대여번호없음"))</f>
        <v/>
      </c>
      <c r="D865" s="11"/>
      <c r="E865" s="9"/>
      <c r="F865" s="10"/>
    </row>
    <row r="866" customFormat="false" ht="15" hidden="false" customHeight="false" outlineLevel="0" collapsed="false">
      <c r="A866" s="15"/>
      <c r="B866" s="10"/>
      <c r="C866" s="18" t="str">
        <f aca="false">IF($B866="","",IFERROR(INDEX(대여내역!$E$3:$E$1002,MATCH($B866,대여내역!$A$3:$A$1002,0)),"대여번호없음"))</f>
        <v/>
      </c>
      <c r="D866" s="11"/>
      <c r="E866" s="9"/>
      <c r="F866" s="10"/>
    </row>
    <row r="867" customFormat="false" ht="15" hidden="false" customHeight="false" outlineLevel="0" collapsed="false">
      <c r="A867" s="15"/>
      <c r="B867" s="10"/>
      <c r="C867" s="18" t="str">
        <f aca="false">IF($B867="","",IFERROR(INDEX(대여내역!$E$3:$E$1002,MATCH($B867,대여내역!$A$3:$A$1002,0)),"대여번호없음"))</f>
        <v/>
      </c>
      <c r="D867" s="11"/>
      <c r="E867" s="9"/>
      <c r="F867" s="10"/>
    </row>
    <row r="868" customFormat="false" ht="15" hidden="false" customHeight="false" outlineLevel="0" collapsed="false">
      <c r="A868" s="15"/>
      <c r="B868" s="10"/>
      <c r="C868" s="18" t="str">
        <f aca="false">IF($B868="","",IFERROR(INDEX(대여내역!$E$3:$E$1002,MATCH($B868,대여내역!$A$3:$A$1002,0)),"대여번호없음"))</f>
        <v/>
      </c>
      <c r="D868" s="11"/>
      <c r="E868" s="9"/>
      <c r="F868" s="10"/>
    </row>
    <row r="869" customFormat="false" ht="15" hidden="false" customHeight="false" outlineLevel="0" collapsed="false">
      <c r="A869" s="15"/>
      <c r="B869" s="10"/>
      <c r="C869" s="18" t="str">
        <f aca="false">IF($B869="","",IFERROR(INDEX(대여내역!$E$3:$E$1002,MATCH($B869,대여내역!$A$3:$A$1002,0)),"대여번호없음"))</f>
        <v/>
      </c>
      <c r="D869" s="11"/>
      <c r="E869" s="9"/>
      <c r="F869" s="10"/>
    </row>
    <row r="870" customFormat="false" ht="15" hidden="false" customHeight="false" outlineLevel="0" collapsed="false">
      <c r="A870" s="15"/>
      <c r="B870" s="10"/>
      <c r="C870" s="18" t="str">
        <f aca="false">IF($B870="","",IFERROR(INDEX(대여내역!$E$3:$E$1002,MATCH($B870,대여내역!$A$3:$A$1002,0)),"대여번호없음"))</f>
        <v/>
      </c>
      <c r="D870" s="11"/>
      <c r="E870" s="9"/>
      <c r="F870" s="10"/>
    </row>
    <row r="871" customFormat="false" ht="15" hidden="false" customHeight="false" outlineLevel="0" collapsed="false">
      <c r="A871" s="15"/>
      <c r="B871" s="10"/>
      <c r="C871" s="18" t="str">
        <f aca="false">IF($B871="","",IFERROR(INDEX(대여내역!$E$3:$E$1002,MATCH($B871,대여내역!$A$3:$A$1002,0)),"대여번호없음"))</f>
        <v/>
      </c>
      <c r="D871" s="11"/>
      <c r="E871" s="9"/>
      <c r="F871" s="10"/>
    </row>
    <row r="872" customFormat="false" ht="15" hidden="false" customHeight="false" outlineLevel="0" collapsed="false">
      <c r="A872" s="15"/>
      <c r="B872" s="10"/>
      <c r="C872" s="18" t="str">
        <f aca="false">IF($B872="","",IFERROR(INDEX(대여내역!$E$3:$E$1002,MATCH($B872,대여내역!$A$3:$A$1002,0)),"대여번호없음"))</f>
        <v/>
      </c>
      <c r="D872" s="11"/>
      <c r="E872" s="9"/>
      <c r="F872" s="10"/>
    </row>
    <row r="873" customFormat="false" ht="15" hidden="false" customHeight="false" outlineLevel="0" collapsed="false">
      <c r="A873" s="15"/>
      <c r="B873" s="10"/>
      <c r="C873" s="18" t="str">
        <f aca="false">IF($B873="","",IFERROR(INDEX(대여내역!$E$3:$E$1002,MATCH($B873,대여내역!$A$3:$A$1002,0)),"대여번호없음"))</f>
        <v/>
      </c>
      <c r="D873" s="11"/>
      <c r="E873" s="9"/>
      <c r="F873" s="10"/>
    </row>
    <row r="874" customFormat="false" ht="15" hidden="false" customHeight="false" outlineLevel="0" collapsed="false">
      <c r="A874" s="15"/>
      <c r="B874" s="10"/>
      <c r="C874" s="18" t="str">
        <f aca="false">IF($B874="","",IFERROR(INDEX(대여내역!$E$3:$E$1002,MATCH($B874,대여내역!$A$3:$A$1002,0)),"대여번호없음"))</f>
        <v/>
      </c>
      <c r="D874" s="11"/>
      <c r="E874" s="9"/>
      <c r="F874" s="10"/>
    </row>
    <row r="875" customFormat="false" ht="15" hidden="false" customHeight="false" outlineLevel="0" collapsed="false">
      <c r="A875" s="15"/>
      <c r="B875" s="10"/>
      <c r="C875" s="18" t="str">
        <f aca="false">IF($B875="","",IFERROR(INDEX(대여내역!$E$3:$E$1002,MATCH($B875,대여내역!$A$3:$A$1002,0)),"대여번호없음"))</f>
        <v/>
      </c>
      <c r="D875" s="11"/>
      <c r="E875" s="9"/>
      <c r="F875" s="10"/>
    </row>
    <row r="876" customFormat="false" ht="15" hidden="false" customHeight="false" outlineLevel="0" collapsed="false">
      <c r="A876" s="15"/>
      <c r="B876" s="10"/>
      <c r="C876" s="18" t="str">
        <f aca="false">IF($B876="","",IFERROR(INDEX(대여내역!$E$3:$E$1002,MATCH($B876,대여내역!$A$3:$A$1002,0)),"대여번호없음"))</f>
        <v/>
      </c>
      <c r="D876" s="11"/>
      <c r="E876" s="9"/>
      <c r="F876" s="10"/>
    </row>
    <row r="877" customFormat="false" ht="15" hidden="false" customHeight="false" outlineLevel="0" collapsed="false">
      <c r="A877" s="15"/>
      <c r="B877" s="10"/>
      <c r="C877" s="18" t="str">
        <f aca="false">IF($B877="","",IFERROR(INDEX(대여내역!$E$3:$E$1002,MATCH($B877,대여내역!$A$3:$A$1002,0)),"대여번호없음"))</f>
        <v/>
      </c>
      <c r="D877" s="11"/>
      <c r="E877" s="9"/>
      <c r="F877" s="10"/>
    </row>
    <row r="878" customFormat="false" ht="15" hidden="false" customHeight="false" outlineLevel="0" collapsed="false">
      <c r="A878" s="15"/>
      <c r="B878" s="10"/>
      <c r="C878" s="18" t="str">
        <f aca="false">IF($B878="","",IFERROR(INDEX(대여내역!$E$3:$E$1002,MATCH($B878,대여내역!$A$3:$A$1002,0)),"대여번호없음"))</f>
        <v/>
      </c>
      <c r="D878" s="11"/>
      <c r="E878" s="9"/>
      <c r="F878" s="10"/>
    </row>
    <row r="879" customFormat="false" ht="15" hidden="false" customHeight="false" outlineLevel="0" collapsed="false">
      <c r="A879" s="15"/>
      <c r="B879" s="10"/>
      <c r="C879" s="18" t="str">
        <f aca="false">IF($B879="","",IFERROR(INDEX(대여내역!$E$3:$E$1002,MATCH($B879,대여내역!$A$3:$A$1002,0)),"대여번호없음"))</f>
        <v/>
      </c>
      <c r="D879" s="11"/>
      <c r="E879" s="9"/>
      <c r="F879" s="10"/>
    </row>
    <row r="880" customFormat="false" ht="15" hidden="false" customHeight="false" outlineLevel="0" collapsed="false">
      <c r="A880" s="15"/>
      <c r="B880" s="10"/>
      <c r="C880" s="18" t="str">
        <f aca="false">IF($B880="","",IFERROR(INDEX(대여내역!$E$3:$E$1002,MATCH($B880,대여내역!$A$3:$A$1002,0)),"대여번호없음"))</f>
        <v/>
      </c>
      <c r="D880" s="11"/>
      <c r="E880" s="9"/>
      <c r="F880" s="10"/>
    </row>
    <row r="881" customFormat="false" ht="15" hidden="false" customHeight="false" outlineLevel="0" collapsed="false">
      <c r="A881" s="15"/>
      <c r="B881" s="10"/>
      <c r="C881" s="18" t="str">
        <f aca="false">IF($B881="","",IFERROR(INDEX(대여내역!$E$3:$E$1002,MATCH($B881,대여내역!$A$3:$A$1002,0)),"대여번호없음"))</f>
        <v/>
      </c>
      <c r="D881" s="11"/>
      <c r="E881" s="9"/>
      <c r="F881" s="10"/>
    </row>
    <row r="882" customFormat="false" ht="15" hidden="false" customHeight="false" outlineLevel="0" collapsed="false">
      <c r="A882" s="15"/>
      <c r="B882" s="10"/>
      <c r="C882" s="18" t="str">
        <f aca="false">IF($B882="","",IFERROR(INDEX(대여내역!$E$3:$E$1002,MATCH($B882,대여내역!$A$3:$A$1002,0)),"대여번호없음"))</f>
        <v/>
      </c>
      <c r="D882" s="11"/>
      <c r="E882" s="9"/>
      <c r="F882" s="10"/>
    </row>
    <row r="883" customFormat="false" ht="15" hidden="false" customHeight="false" outlineLevel="0" collapsed="false">
      <c r="A883" s="15"/>
      <c r="B883" s="10"/>
      <c r="C883" s="18" t="str">
        <f aca="false">IF($B883="","",IFERROR(INDEX(대여내역!$E$3:$E$1002,MATCH($B883,대여내역!$A$3:$A$1002,0)),"대여번호없음"))</f>
        <v/>
      </c>
      <c r="D883" s="11"/>
      <c r="E883" s="9"/>
      <c r="F883" s="10"/>
    </row>
    <row r="884" customFormat="false" ht="15" hidden="false" customHeight="false" outlineLevel="0" collapsed="false">
      <c r="A884" s="15"/>
      <c r="B884" s="10"/>
      <c r="C884" s="18" t="str">
        <f aca="false">IF($B884="","",IFERROR(INDEX(대여내역!$E$3:$E$1002,MATCH($B884,대여내역!$A$3:$A$1002,0)),"대여번호없음"))</f>
        <v/>
      </c>
      <c r="D884" s="11"/>
      <c r="E884" s="9"/>
      <c r="F884" s="10"/>
    </row>
    <row r="885" customFormat="false" ht="15" hidden="false" customHeight="false" outlineLevel="0" collapsed="false">
      <c r="A885" s="15"/>
      <c r="B885" s="10"/>
      <c r="C885" s="18" t="str">
        <f aca="false">IF($B885="","",IFERROR(INDEX(대여내역!$E$3:$E$1002,MATCH($B885,대여내역!$A$3:$A$1002,0)),"대여번호없음"))</f>
        <v/>
      </c>
      <c r="D885" s="11"/>
      <c r="E885" s="9"/>
      <c r="F885" s="10"/>
    </row>
    <row r="886" customFormat="false" ht="15" hidden="false" customHeight="false" outlineLevel="0" collapsed="false">
      <c r="A886" s="15"/>
      <c r="B886" s="10"/>
      <c r="C886" s="18" t="str">
        <f aca="false">IF($B886="","",IFERROR(INDEX(대여내역!$E$3:$E$1002,MATCH($B886,대여내역!$A$3:$A$1002,0)),"대여번호없음"))</f>
        <v/>
      </c>
      <c r="D886" s="11"/>
      <c r="E886" s="9"/>
      <c r="F886" s="10"/>
    </row>
    <row r="887" customFormat="false" ht="15" hidden="false" customHeight="false" outlineLevel="0" collapsed="false">
      <c r="A887" s="15"/>
      <c r="B887" s="10"/>
      <c r="C887" s="18" t="str">
        <f aca="false">IF($B887="","",IFERROR(INDEX(대여내역!$E$3:$E$1002,MATCH($B887,대여내역!$A$3:$A$1002,0)),"대여번호없음"))</f>
        <v/>
      </c>
      <c r="D887" s="11"/>
      <c r="E887" s="9"/>
      <c r="F887" s="10"/>
    </row>
    <row r="888" customFormat="false" ht="15" hidden="false" customHeight="false" outlineLevel="0" collapsed="false">
      <c r="A888" s="15"/>
      <c r="B888" s="10"/>
      <c r="C888" s="18" t="str">
        <f aca="false">IF($B888="","",IFERROR(INDEX(대여내역!$E$3:$E$1002,MATCH($B888,대여내역!$A$3:$A$1002,0)),"대여번호없음"))</f>
        <v/>
      </c>
      <c r="D888" s="11"/>
      <c r="E888" s="9"/>
      <c r="F888" s="10"/>
    </row>
    <row r="889" customFormat="false" ht="15" hidden="false" customHeight="false" outlineLevel="0" collapsed="false">
      <c r="A889" s="15"/>
      <c r="B889" s="10"/>
      <c r="C889" s="18" t="str">
        <f aca="false">IF($B889="","",IFERROR(INDEX(대여내역!$E$3:$E$1002,MATCH($B889,대여내역!$A$3:$A$1002,0)),"대여번호없음"))</f>
        <v/>
      </c>
      <c r="D889" s="11"/>
      <c r="E889" s="9"/>
      <c r="F889" s="10"/>
    </row>
    <row r="890" customFormat="false" ht="15" hidden="false" customHeight="false" outlineLevel="0" collapsed="false">
      <c r="A890" s="15"/>
      <c r="B890" s="10"/>
      <c r="C890" s="18" t="str">
        <f aca="false">IF($B890="","",IFERROR(INDEX(대여내역!$E$3:$E$1002,MATCH($B890,대여내역!$A$3:$A$1002,0)),"대여번호없음"))</f>
        <v/>
      </c>
      <c r="D890" s="11"/>
      <c r="E890" s="9"/>
      <c r="F890" s="10"/>
    </row>
    <row r="891" customFormat="false" ht="15" hidden="false" customHeight="false" outlineLevel="0" collapsed="false">
      <c r="A891" s="15"/>
      <c r="B891" s="10"/>
      <c r="C891" s="18" t="str">
        <f aca="false">IF($B891="","",IFERROR(INDEX(대여내역!$E$3:$E$1002,MATCH($B891,대여내역!$A$3:$A$1002,0)),"대여번호없음"))</f>
        <v/>
      </c>
      <c r="D891" s="11"/>
      <c r="E891" s="9"/>
      <c r="F891" s="10"/>
    </row>
    <row r="892" customFormat="false" ht="15" hidden="false" customHeight="false" outlineLevel="0" collapsed="false">
      <c r="A892" s="15"/>
      <c r="B892" s="10"/>
      <c r="C892" s="18" t="str">
        <f aca="false">IF($B892="","",IFERROR(INDEX(대여내역!$E$3:$E$1002,MATCH($B892,대여내역!$A$3:$A$1002,0)),"대여번호없음"))</f>
        <v/>
      </c>
      <c r="D892" s="11"/>
      <c r="E892" s="9"/>
      <c r="F892" s="10"/>
    </row>
    <row r="893" customFormat="false" ht="15" hidden="false" customHeight="false" outlineLevel="0" collapsed="false">
      <c r="A893" s="15"/>
      <c r="B893" s="10"/>
      <c r="C893" s="18" t="str">
        <f aca="false">IF($B893="","",IFERROR(INDEX(대여내역!$E$3:$E$1002,MATCH($B893,대여내역!$A$3:$A$1002,0)),"대여번호없음"))</f>
        <v/>
      </c>
      <c r="D893" s="11"/>
      <c r="E893" s="9"/>
      <c r="F893" s="10"/>
    </row>
    <row r="894" customFormat="false" ht="15" hidden="false" customHeight="false" outlineLevel="0" collapsed="false">
      <c r="A894" s="15"/>
      <c r="B894" s="10"/>
      <c r="C894" s="18" t="str">
        <f aca="false">IF($B894="","",IFERROR(INDEX(대여내역!$E$3:$E$1002,MATCH($B894,대여내역!$A$3:$A$1002,0)),"대여번호없음"))</f>
        <v/>
      </c>
      <c r="D894" s="11"/>
      <c r="E894" s="9"/>
      <c r="F894" s="10"/>
    </row>
    <row r="895" customFormat="false" ht="15" hidden="false" customHeight="false" outlineLevel="0" collapsed="false">
      <c r="A895" s="15"/>
      <c r="B895" s="10"/>
      <c r="C895" s="18" t="str">
        <f aca="false">IF($B895="","",IFERROR(INDEX(대여내역!$E$3:$E$1002,MATCH($B895,대여내역!$A$3:$A$1002,0)),"대여번호없음"))</f>
        <v/>
      </c>
      <c r="D895" s="11"/>
      <c r="E895" s="9"/>
      <c r="F895" s="10"/>
    </row>
    <row r="896" customFormat="false" ht="15" hidden="false" customHeight="false" outlineLevel="0" collapsed="false">
      <c r="A896" s="15"/>
      <c r="B896" s="10"/>
      <c r="C896" s="18" t="str">
        <f aca="false">IF($B896="","",IFERROR(INDEX(대여내역!$E$3:$E$1002,MATCH($B896,대여내역!$A$3:$A$1002,0)),"대여번호없음"))</f>
        <v/>
      </c>
      <c r="D896" s="11"/>
      <c r="E896" s="9"/>
      <c r="F896" s="10"/>
    </row>
    <row r="897" customFormat="false" ht="15" hidden="false" customHeight="false" outlineLevel="0" collapsed="false">
      <c r="A897" s="15"/>
      <c r="B897" s="10"/>
      <c r="C897" s="18" t="str">
        <f aca="false">IF($B897="","",IFERROR(INDEX(대여내역!$E$3:$E$1002,MATCH($B897,대여내역!$A$3:$A$1002,0)),"대여번호없음"))</f>
        <v/>
      </c>
      <c r="D897" s="11"/>
      <c r="E897" s="9"/>
      <c r="F897" s="10"/>
    </row>
    <row r="898" customFormat="false" ht="15" hidden="false" customHeight="false" outlineLevel="0" collapsed="false">
      <c r="A898" s="15"/>
      <c r="B898" s="10"/>
      <c r="C898" s="18" t="str">
        <f aca="false">IF($B898="","",IFERROR(INDEX(대여내역!$E$3:$E$1002,MATCH($B898,대여내역!$A$3:$A$1002,0)),"대여번호없음"))</f>
        <v/>
      </c>
      <c r="D898" s="11"/>
      <c r="E898" s="9"/>
      <c r="F898" s="10"/>
    </row>
    <row r="899" customFormat="false" ht="15" hidden="false" customHeight="false" outlineLevel="0" collapsed="false">
      <c r="A899" s="15"/>
      <c r="B899" s="10"/>
      <c r="C899" s="18" t="str">
        <f aca="false">IF($B899="","",IFERROR(INDEX(대여내역!$E$3:$E$1002,MATCH($B899,대여내역!$A$3:$A$1002,0)),"대여번호없음"))</f>
        <v/>
      </c>
      <c r="D899" s="11"/>
      <c r="E899" s="9"/>
      <c r="F899" s="10"/>
    </row>
    <row r="900" customFormat="false" ht="15" hidden="false" customHeight="false" outlineLevel="0" collapsed="false">
      <c r="A900" s="15"/>
      <c r="B900" s="10"/>
      <c r="C900" s="18" t="str">
        <f aca="false">IF($B900="","",IFERROR(INDEX(대여내역!$E$3:$E$1002,MATCH($B900,대여내역!$A$3:$A$1002,0)),"대여번호없음"))</f>
        <v/>
      </c>
      <c r="D900" s="11"/>
      <c r="E900" s="9"/>
      <c r="F900" s="10"/>
    </row>
    <row r="901" customFormat="false" ht="15" hidden="false" customHeight="false" outlineLevel="0" collapsed="false">
      <c r="A901" s="15"/>
      <c r="B901" s="10"/>
      <c r="C901" s="18" t="str">
        <f aca="false">IF($B901="","",IFERROR(INDEX(대여내역!$E$3:$E$1002,MATCH($B901,대여내역!$A$3:$A$1002,0)),"대여번호없음"))</f>
        <v/>
      </c>
      <c r="D901" s="11"/>
      <c r="E901" s="9"/>
      <c r="F901" s="10"/>
    </row>
    <row r="902" customFormat="false" ht="15" hidden="false" customHeight="false" outlineLevel="0" collapsed="false">
      <c r="A902" s="15"/>
      <c r="B902" s="10"/>
      <c r="C902" s="18" t="str">
        <f aca="false">IF($B902="","",IFERROR(INDEX(대여내역!$E$3:$E$1002,MATCH($B902,대여내역!$A$3:$A$1002,0)),"대여번호없음"))</f>
        <v/>
      </c>
      <c r="D902" s="11"/>
      <c r="E902" s="9"/>
      <c r="F902" s="10"/>
    </row>
    <row r="903" customFormat="false" ht="15" hidden="false" customHeight="false" outlineLevel="0" collapsed="false">
      <c r="A903" s="15"/>
      <c r="B903" s="10"/>
      <c r="C903" s="18" t="str">
        <f aca="false">IF($B903="","",IFERROR(INDEX(대여내역!$E$3:$E$1002,MATCH($B903,대여내역!$A$3:$A$1002,0)),"대여번호없음"))</f>
        <v/>
      </c>
      <c r="D903" s="11"/>
      <c r="E903" s="9"/>
      <c r="F903" s="10"/>
    </row>
    <row r="904" customFormat="false" ht="15" hidden="false" customHeight="false" outlineLevel="0" collapsed="false">
      <c r="A904" s="15"/>
      <c r="B904" s="10"/>
      <c r="C904" s="18" t="str">
        <f aca="false">IF($B904="","",IFERROR(INDEX(대여내역!$E$3:$E$1002,MATCH($B904,대여내역!$A$3:$A$1002,0)),"대여번호없음"))</f>
        <v/>
      </c>
      <c r="D904" s="11"/>
      <c r="E904" s="9"/>
      <c r="F904" s="10"/>
    </row>
    <row r="905" customFormat="false" ht="15" hidden="false" customHeight="false" outlineLevel="0" collapsed="false">
      <c r="A905" s="15"/>
      <c r="B905" s="10"/>
      <c r="C905" s="18" t="str">
        <f aca="false">IF($B905="","",IFERROR(INDEX(대여내역!$E$3:$E$1002,MATCH($B905,대여내역!$A$3:$A$1002,0)),"대여번호없음"))</f>
        <v/>
      </c>
      <c r="D905" s="11"/>
      <c r="E905" s="9"/>
      <c r="F905" s="10"/>
    </row>
    <row r="906" customFormat="false" ht="15" hidden="false" customHeight="false" outlineLevel="0" collapsed="false">
      <c r="A906" s="15"/>
      <c r="B906" s="10"/>
      <c r="C906" s="18" t="str">
        <f aca="false">IF($B906="","",IFERROR(INDEX(대여내역!$E$3:$E$1002,MATCH($B906,대여내역!$A$3:$A$1002,0)),"대여번호없음"))</f>
        <v/>
      </c>
      <c r="D906" s="11"/>
      <c r="E906" s="9"/>
      <c r="F906" s="10"/>
    </row>
    <row r="907" customFormat="false" ht="15" hidden="false" customHeight="false" outlineLevel="0" collapsed="false">
      <c r="A907" s="15"/>
      <c r="B907" s="10"/>
      <c r="C907" s="18" t="str">
        <f aca="false">IF($B907="","",IFERROR(INDEX(대여내역!$E$3:$E$1002,MATCH($B907,대여내역!$A$3:$A$1002,0)),"대여번호없음"))</f>
        <v/>
      </c>
      <c r="D907" s="11"/>
      <c r="E907" s="9"/>
      <c r="F907" s="10"/>
    </row>
    <row r="908" customFormat="false" ht="15" hidden="false" customHeight="false" outlineLevel="0" collapsed="false">
      <c r="A908" s="15"/>
      <c r="B908" s="10"/>
      <c r="C908" s="18" t="str">
        <f aca="false">IF($B908="","",IFERROR(INDEX(대여내역!$E$3:$E$1002,MATCH($B908,대여내역!$A$3:$A$1002,0)),"대여번호없음"))</f>
        <v/>
      </c>
      <c r="D908" s="11"/>
      <c r="E908" s="9"/>
      <c r="F908" s="10"/>
    </row>
    <row r="909" customFormat="false" ht="15" hidden="false" customHeight="false" outlineLevel="0" collapsed="false">
      <c r="A909" s="15"/>
      <c r="B909" s="10"/>
      <c r="C909" s="18" t="str">
        <f aca="false">IF($B909="","",IFERROR(INDEX(대여내역!$E$3:$E$1002,MATCH($B909,대여내역!$A$3:$A$1002,0)),"대여번호없음"))</f>
        <v/>
      </c>
      <c r="D909" s="11"/>
      <c r="E909" s="9"/>
      <c r="F909" s="10"/>
    </row>
    <row r="910" customFormat="false" ht="15" hidden="false" customHeight="false" outlineLevel="0" collapsed="false">
      <c r="A910" s="15"/>
      <c r="B910" s="10"/>
      <c r="C910" s="18" t="str">
        <f aca="false">IF($B910="","",IFERROR(INDEX(대여내역!$E$3:$E$1002,MATCH($B910,대여내역!$A$3:$A$1002,0)),"대여번호없음"))</f>
        <v/>
      </c>
      <c r="D910" s="11"/>
      <c r="E910" s="9"/>
      <c r="F910" s="10"/>
    </row>
    <row r="911" customFormat="false" ht="15" hidden="false" customHeight="false" outlineLevel="0" collapsed="false">
      <c r="A911" s="15"/>
      <c r="B911" s="10"/>
      <c r="C911" s="18" t="str">
        <f aca="false">IF($B911="","",IFERROR(INDEX(대여내역!$E$3:$E$1002,MATCH($B911,대여내역!$A$3:$A$1002,0)),"대여번호없음"))</f>
        <v/>
      </c>
      <c r="D911" s="11"/>
      <c r="E911" s="9"/>
      <c r="F911" s="10"/>
    </row>
    <row r="912" customFormat="false" ht="15" hidden="false" customHeight="false" outlineLevel="0" collapsed="false">
      <c r="A912" s="15"/>
      <c r="B912" s="10"/>
      <c r="C912" s="18" t="str">
        <f aca="false">IF($B912="","",IFERROR(INDEX(대여내역!$E$3:$E$1002,MATCH($B912,대여내역!$A$3:$A$1002,0)),"대여번호없음"))</f>
        <v/>
      </c>
      <c r="D912" s="11"/>
      <c r="E912" s="9"/>
      <c r="F912" s="10"/>
    </row>
    <row r="913" customFormat="false" ht="15" hidden="false" customHeight="false" outlineLevel="0" collapsed="false">
      <c r="A913" s="15"/>
      <c r="B913" s="10"/>
      <c r="C913" s="18" t="str">
        <f aca="false">IF($B913="","",IFERROR(INDEX(대여내역!$E$3:$E$1002,MATCH($B913,대여내역!$A$3:$A$1002,0)),"대여번호없음"))</f>
        <v/>
      </c>
      <c r="D913" s="11"/>
      <c r="E913" s="9"/>
      <c r="F913" s="10"/>
    </row>
    <row r="914" customFormat="false" ht="15" hidden="false" customHeight="false" outlineLevel="0" collapsed="false">
      <c r="A914" s="15"/>
      <c r="B914" s="10"/>
      <c r="C914" s="18" t="str">
        <f aca="false">IF($B914="","",IFERROR(INDEX(대여내역!$E$3:$E$1002,MATCH($B914,대여내역!$A$3:$A$1002,0)),"대여번호없음"))</f>
        <v/>
      </c>
      <c r="D914" s="11"/>
      <c r="E914" s="9"/>
      <c r="F914" s="10"/>
    </row>
    <row r="915" customFormat="false" ht="15" hidden="false" customHeight="false" outlineLevel="0" collapsed="false">
      <c r="A915" s="15"/>
      <c r="B915" s="10"/>
      <c r="C915" s="18" t="str">
        <f aca="false">IF($B915="","",IFERROR(INDEX(대여내역!$E$3:$E$1002,MATCH($B915,대여내역!$A$3:$A$1002,0)),"대여번호없음"))</f>
        <v/>
      </c>
      <c r="D915" s="11"/>
      <c r="E915" s="9"/>
      <c r="F915" s="10"/>
    </row>
    <row r="916" customFormat="false" ht="15" hidden="false" customHeight="false" outlineLevel="0" collapsed="false">
      <c r="A916" s="15"/>
      <c r="B916" s="10"/>
      <c r="C916" s="18" t="str">
        <f aca="false">IF($B916="","",IFERROR(INDEX(대여내역!$E$3:$E$1002,MATCH($B916,대여내역!$A$3:$A$1002,0)),"대여번호없음"))</f>
        <v/>
      </c>
      <c r="D916" s="11"/>
      <c r="E916" s="9"/>
      <c r="F916" s="10"/>
    </row>
    <row r="917" customFormat="false" ht="15" hidden="false" customHeight="false" outlineLevel="0" collapsed="false">
      <c r="A917" s="15"/>
      <c r="B917" s="10"/>
      <c r="C917" s="18" t="str">
        <f aca="false">IF($B917="","",IFERROR(INDEX(대여내역!$E$3:$E$1002,MATCH($B917,대여내역!$A$3:$A$1002,0)),"대여번호없음"))</f>
        <v/>
      </c>
      <c r="D917" s="11"/>
      <c r="E917" s="9"/>
      <c r="F917" s="10"/>
    </row>
    <row r="918" customFormat="false" ht="15" hidden="false" customHeight="false" outlineLevel="0" collapsed="false">
      <c r="A918" s="15"/>
      <c r="B918" s="10"/>
      <c r="C918" s="18" t="str">
        <f aca="false">IF($B918="","",IFERROR(INDEX(대여내역!$E$3:$E$1002,MATCH($B918,대여내역!$A$3:$A$1002,0)),"대여번호없음"))</f>
        <v/>
      </c>
      <c r="D918" s="11"/>
      <c r="E918" s="9"/>
      <c r="F918" s="10"/>
    </row>
    <row r="919" customFormat="false" ht="15" hidden="false" customHeight="false" outlineLevel="0" collapsed="false">
      <c r="A919" s="15"/>
      <c r="B919" s="10"/>
      <c r="C919" s="18" t="str">
        <f aca="false">IF($B919="","",IFERROR(INDEX(대여내역!$E$3:$E$1002,MATCH($B919,대여내역!$A$3:$A$1002,0)),"대여번호없음"))</f>
        <v/>
      </c>
      <c r="D919" s="11"/>
      <c r="E919" s="9"/>
      <c r="F919" s="10"/>
    </row>
    <row r="920" customFormat="false" ht="15" hidden="false" customHeight="false" outlineLevel="0" collapsed="false">
      <c r="A920" s="15"/>
      <c r="B920" s="10"/>
      <c r="C920" s="18" t="str">
        <f aca="false">IF($B920="","",IFERROR(INDEX(대여내역!$E$3:$E$1002,MATCH($B920,대여내역!$A$3:$A$1002,0)),"대여번호없음"))</f>
        <v/>
      </c>
      <c r="D920" s="11"/>
      <c r="E920" s="9"/>
      <c r="F920" s="10"/>
    </row>
    <row r="921" customFormat="false" ht="15" hidden="false" customHeight="false" outlineLevel="0" collapsed="false">
      <c r="A921" s="15"/>
      <c r="B921" s="10"/>
      <c r="C921" s="18" t="str">
        <f aca="false">IF($B921="","",IFERROR(INDEX(대여내역!$E$3:$E$1002,MATCH($B921,대여내역!$A$3:$A$1002,0)),"대여번호없음"))</f>
        <v/>
      </c>
      <c r="D921" s="11"/>
      <c r="E921" s="9"/>
      <c r="F921" s="10"/>
    </row>
    <row r="922" customFormat="false" ht="15" hidden="false" customHeight="false" outlineLevel="0" collapsed="false">
      <c r="A922" s="15"/>
      <c r="B922" s="10"/>
      <c r="C922" s="18" t="str">
        <f aca="false">IF($B922="","",IFERROR(INDEX(대여내역!$E$3:$E$1002,MATCH($B922,대여내역!$A$3:$A$1002,0)),"대여번호없음"))</f>
        <v/>
      </c>
      <c r="D922" s="11"/>
      <c r="E922" s="9"/>
      <c r="F922" s="10"/>
    </row>
    <row r="923" customFormat="false" ht="15" hidden="false" customHeight="false" outlineLevel="0" collapsed="false">
      <c r="A923" s="15"/>
      <c r="B923" s="10"/>
      <c r="C923" s="18" t="str">
        <f aca="false">IF($B923="","",IFERROR(INDEX(대여내역!$E$3:$E$1002,MATCH($B923,대여내역!$A$3:$A$1002,0)),"대여번호없음"))</f>
        <v/>
      </c>
      <c r="D923" s="11"/>
      <c r="E923" s="9"/>
      <c r="F923" s="10"/>
    </row>
    <row r="924" customFormat="false" ht="15" hidden="false" customHeight="false" outlineLevel="0" collapsed="false">
      <c r="A924" s="15"/>
      <c r="B924" s="10"/>
      <c r="C924" s="18" t="str">
        <f aca="false">IF($B924="","",IFERROR(INDEX(대여내역!$E$3:$E$1002,MATCH($B924,대여내역!$A$3:$A$1002,0)),"대여번호없음"))</f>
        <v/>
      </c>
      <c r="D924" s="11"/>
      <c r="E924" s="9"/>
      <c r="F924" s="10"/>
    </row>
    <row r="925" customFormat="false" ht="15" hidden="false" customHeight="false" outlineLevel="0" collapsed="false">
      <c r="A925" s="15"/>
      <c r="B925" s="10"/>
      <c r="C925" s="18" t="str">
        <f aca="false">IF($B925="","",IFERROR(INDEX(대여내역!$E$3:$E$1002,MATCH($B925,대여내역!$A$3:$A$1002,0)),"대여번호없음"))</f>
        <v/>
      </c>
      <c r="D925" s="11"/>
      <c r="E925" s="9"/>
      <c r="F925" s="10"/>
    </row>
    <row r="926" customFormat="false" ht="15" hidden="false" customHeight="false" outlineLevel="0" collapsed="false">
      <c r="A926" s="15"/>
      <c r="B926" s="10"/>
      <c r="C926" s="18" t="str">
        <f aca="false">IF($B926="","",IFERROR(INDEX(대여내역!$E$3:$E$1002,MATCH($B926,대여내역!$A$3:$A$1002,0)),"대여번호없음"))</f>
        <v/>
      </c>
      <c r="D926" s="11"/>
      <c r="E926" s="9"/>
      <c r="F926" s="10"/>
    </row>
    <row r="927" customFormat="false" ht="15" hidden="false" customHeight="false" outlineLevel="0" collapsed="false">
      <c r="A927" s="15"/>
      <c r="B927" s="10"/>
      <c r="C927" s="18" t="str">
        <f aca="false">IF($B927="","",IFERROR(INDEX(대여내역!$E$3:$E$1002,MATCH($B927,대여내역!$A$3:$A$1002,0)),"대여번호없음"))</f>
        <v/>
      </c>
      <c r="D927" s="11"/>
      <c r="E927" s="9"/>
      <c r="F927" s="10"/>
    </row>
    <row r="928" customFormat="false" ht="15" hidden="false" customHeight="false" outlineLevel="0" collapsed="false">
      <c r="A928" s="15"/>
      <c r="B928" s="10"/>
      <c r="C928" s="18" t="str">
        <f aca="false">IF($B928="","",IFERROR(INDEX(대여내역!$E$3:$E$1002,MATCH($B928,대여내역!$A$3:$A$1002,0)),"대여번호없음"))</f>
        <v/>
      </c>
      <c r="D928" s="11"/>
      <c r="E928" s="9"/>
      <c r="F928" s="10"/>
    </row>
    <row r="929" customFormat="false" ht="15" hidden="false" customHeight="false" outlineLevel="0" collapsed="false">
      <c r="A929" s="15"/>
      <c r="B929" s="10"/>
      <c r="C929" s="18" t="str">
        <f aca="false">IF($B929="","",IFERROR(INDEX(대여내역!$E$3:$E$1002,MATCH($B929,대여내역!$A$3:$A$1002,0)),"대여번호없음"))</f>
        <v/>
      </c>
      <c r="D929" s="11"/>
      <c r="E929" s="9"/>
      <c r="F929" s="10"/>
    </row>
    <row r="930" customFormat="false" ht="15" hidden="false" customHeight="false" outlineLevel="0" collapsed="false">
      <c r="A930" s="15"/>
      <c r="B930" s="10"/>
      <c r="C930" s="18" t="str">
        <f aca="false">IF($B930="","",IFERROR(INDEX(대여내역!$E$3:$E$1002,MATCH($B930,대여내역!$A$3:$A$1002,0)),"대여번호없음"))</f>
        <v/>
      </c>
      <c r="D930" s="11"/>
      <c r="E930" s="9"/>
      <c r="F930" s="10"/>
    </row>
    <row r="931" customFormat="false" ht="15" hidden="false" customHeight="false" outlineLevel="0" collapsed="false">
      <c r="A931" s="15"/>
      <c r="B931" s="10"/>
      <c r="C931" s="18" t="str">
        <f aca="false">IF($B931="","",IFERROR(INDEX(대여내역!$E$3:$E$1002,MATCH($B931,대여내역!$A$3:$A$1002,0)),"대여번호없음"))</f>
        <v/>
      </c>
      <c r="D931" s="11"/>
      <c r="E931" s="9"/>
      <c r="F931" s="10"/>
    </row>
    <row r="932" customFormat="false" ht="15" hidden="false" customHeight="false" outlineLevel="0" collapsed="false">
      <c r="A932" s="15"/>
      <c r="B932" s="10"/>
      <c r="C932" s="18" t="str">
        <f aca="false">IF($B932="","",IFERROR(INDEX(대여내역!$E$3:$E$1002,MATCH($B932,대여내역!$A$3:$A$1002,0)),"대여번호없음"))</f>
        <v/>
      </c>
      <c r="D932" s="11"/>
      <c r="E932" s="9"/>
      <c r="F932" s="10"/>
    </row>
    <row r="933" customFormat="false" ht="15" hidden="false" customHeight="false" outlineLevel="0" collapsed="false">
      <c r="A933" s="15"/>
      <c r="B933" s="10"/>
      <c r="C933" s="18" t="str">
        <f aca="false">IF($B933="","",IFERROR(INDEX(대여내역!$E$3:$E$1002,MATCH($B933,대여내역!$A$3:$A$1002,0)),"대여번호없음"))</f>
        <v/>
      </c>
      <c r="D933" s="11"/>
      <c r="E933" s="9"/>
      <c r="F933" s="10"/>
    </row>
    <row r="934" customFormat="false" ht="15" hidden="false" customHeight="false" outlineLevel="0" collapsed="false">
      <c r="A934" s="15"/>
      <c r="B934" s="10"/>
      <c r="C934" s="18" t="str">
        <f aca="false">IF($B934="","",IFERROR(INDEX(대여내역!$E$3:$E$1002,MATCH($B934,대여내역!$A$3:$A$1002,0)),"대여번호없음"))</f>
        <v/>
      </c>
      <c r="D934" s="11"/>
      <c r="E934" s="9"/>
      <c r="F934" s="10"/>
    </row>
    <row r="935" customFormat="false" ht="15" hidden="false" customHeight="false" outlineLevel="0" collapsed="false">
      <c r="A935" s="15"/>
      <c r="B935" s="10"/>
      <c r="C935" s="18" t="str">
        <f aca="false">IF($B935="","",IFERROR(INDEX(대여내역!$E$3:$E$1002,MATCH($B935,대여내역!$A$3:$A$1002,0)),"대여번호없음"))</f>
        <v/>
      </c>
      <c r="D935" s="11"/>
      <c r="E935" s="9"/>
      <c r="F935" s="10"/>
    </row>
    <row r="936" customFormat="false" ht="15" hidden="false" customHeight="false" outlineLevel="0" collapsed="false">
      <c r="A936" s="15"/>
      <c r="B936" s="10"/>
      <c r="C936" s="18" t="str">
        <f aca="false">IF($B936="","",IFERROR(INDEX(대여내역!$E$3:$E$1002,MATCH($B936,대여내역!$A$3:$A$1002,0)),"대여번호없음"))</f>
        <v/>
      </c>
      <c r="D936" s="11"/>
      <c r="E936" s="9"/>
      <c r="F936" s="10"/>
    </row>
    <row r="937" customFormat="false" ht="15" hidden="false" customHeight="false" outlineLevel="0" collapsed="false">
      <c r="A937" s="15"/>
      <c r="B937" s="10"/>
      <c r="C937" s="18" t="str">
        <f aca="false">IF($B937="","",IFERROR(INDEX(대여내역!$E$3:$E$1002,MATCH($B937,대여내역!$A$3:$A$1002,0)),"대여번호없음"))</f>
        <v/>
      </c>
      <c r="D937" s="11"/>
      <c r="E937" s="9"/>
      <c r="F937" s="10"/>
    </row>
    <row r="938" customFormat="false" ht="15" hidden="false" customHeight="false" outlineLevel="0" collapsed="false">
      <c r="A938" s="15"/>
      <c r="B938" s="10"/>
      <c r="C938" s="18" t="str">
        <f aca="false">IF($B938="","",IFERROR(INDEX(대여내역!$E$3:$E$1002,MATCH($B938,대여내역!$A$3:$A$1002,0)),"대여번호없음"))</f>
        <v/>
      </c>
      <c r="D938" s="11"/>
      <c r="E938" s="9"/>
      <c r="F938" s="10"/>
    </row>
    <row r="939" customFormat="false" ht="15" hidden="false" customHeight="false" outlineLevel="0" collapsed="false">
      <c r="A939" s="15"/>
      <c r="B939" s="10"/>
      <c r="C939" s="18" t="str">
        <f aca="false">IF($B939="","",IFERROR(INDEX(대여내역!$E$3:$E$1002,MATCH($B939,대여내역!$A$3:$A$1002,0)),"대여번호없음"))</f>
        <v/>
      </c>
      <c r="D939" s="11"/>
      <c r="E939" s="9"/>
      <c r="F939" s="10"/>
    </row>
    <row r="940" customFormat="false" ht="15" hidden="false" customHeight="false" outlineLevel="0" collapsed="false">
      <c r="A940" s="15"/>
      <c r="B940" s="10"/>
      <c r="C940" s="18" t="str">
        <f aca="false">IF($B940="","",IFERROR(INDEX(대여내역!$E$3:$E$1002,MATCH($B940,대여내역!$A$3:$A$1002,0)),"대여번호없음"))</f>
        <v/>
      </c>
      <c r="D940" s="11"/>
      <c r="E940" s="9"/>
      <c r="F940" s="10"/>
    </row>
    <row r="941" customFormat="false" ht="15" hidden="false" customHeight="false" outlineLevel="0" collapsed="false">
      <c r="A941" s="15"/>
      <c r="B941" s="10"/>
      <c r="C941" s="18" t="str">
        <f aca="false">IF($B941="","",IFERROR(INDEX(대여내역!$E$3:$E$1002,MATCH($B941,대여내역!$A$3:$A$1002,0)),"대여번호없음"))</f>
        <v/>
      </c>
      <c r="D941" s="11"/>
      <c r="E941" s="9"/>
      <c r="F941" s="10"/>
    </row>
    <row r="942" customFormat="false" ht="15" hidden="false" customHeight="false" outlineLevel="0" collapsed="false">
      <c r="A942" s="15"/>
      <c r="B942" s="10"/>
      <c r="C942" s="18" t="str">
        <f aca="false">IF($B942="","",IFERROR(INDEX(대여내역!$E$3:$E$1002,MATCH($B942,대여내역!$A$3:$A$1002,0)),"대여번호없음"))</f>
        <v/>
      </c>
      <c r="D942" s="11"/>
      <c r="E942" s="9"/>
      <c r="F942" s="10"/>
    </row>
    <row r="943" customFormat="false" ht="15" hidden="false" customHeight="false" outlineLevel="0" collapsed="false">
      <c r="A943" s="15"/>
      <c r="B943" s="10"/>
      <c r="C943" s="18" t="str">
        <f aca="false">IF($B943="","",IFERROR(INDEX(대여내역!$E$3:$E$1002,MATCH($B943,대여내역!$A$3:$A$1002,0)),"대여번호없음"))</f>
        <v/>
      </c>
      <c r="D943" s="11"/>
      <c r="E943" s="9"/>
      <c r="F943" s="10"/>
    </row>
    <row r="944" customFormat="false" ht="15" hidden="false" customHeight="false" outlineLevel="0" collapsed="false">
      <c r="A944" s="15"/>
      <c r="B944" s="10"/>
      <c r="C944" s="18" t="str">
        <f aca="false">IF($B944="","",IFERROR(INDEX(대여내역!$E$3:$E$1002,MATCH($B944,대여내역!$A$3:$A$1002,0)),"대여번호없음"))</f>
        <v/>
      </c>
      <c r="D944" s="11"/>
      <c r="E944" s="9"/>
      <c r="F944" s="10"/>
    </row>
    <row r="945" customFormat="false" ht="15" hidden="false" customHeight="false" outlineLevel="0" collapsed="false">
      <c r="A945" s="15"/>
      <c r="B945" s="10"/>
      <c r="C945" s="18" t="str">
        <f aca="false">IF($B945="","",IFERROR(INDEX(대여내역!$E$3:$E$1002,MATCH($B945,대여내역!$A$3:$A$1002,0)),"대여번호없음"))</f>
        <v/>
      </c>
      <c r="D945" s="11"/>
      <c r="E945" s="9"/>
      <c r="F945" s="10"/>
    </row>
    <row r="946" customFormat="false" ht="15" hidden="false" customHeight="false" outlineLevel="0" collapsed="false">
      <c r="A946" s="15"/>
      <c r="B946" s="10"/>
      <c r="C946" s="18" t="str">
        <f aca="false">IF($B946="","",IFERROR(INDEX(대여내역!$E$3:$E$1002,MATCH($B946,대여내역!$A$3:$A$1002,0)),"대여번호없음"))</f>
        <v/>
      </c>
      <c r="D946" s="11"/>
      <c r="E946" s="9"/>
      <c r="F946" s="10"/>
    </row>
    <row r="947" customFormat="false" ht="15" hidden="false" customHeight="false" outlineLevel="0" collapsed="false">
      <c r="A947" s="15"/>
      <c r="B947" s="10"/>
      <c r="C947" s="18" t="str">
        <f aca="false">IF($B947="","",IFERROR(INDEX(대여내역!$E$3:$E$1002,MATCH($B947,대여내역!$A$3:$A$1002,0)),"대여번호없음"))</f>
        <v/>
      </c>
      <c r="D947" s="11"/>
      <c r="E947" s="9"/>
      <c r="F947" s="10"/>
    </row>
    <row r="948" customFormat="false" ht="15" hidden="false" customHeight="false" outlineLevel="0" collapsed="false">
      <c r="A948" s="15"/>
      <c r="B948" s="10"/>
      <c r="C948" s="18" t="str">
        <f aca="false">IF($B948="","",IFERROR(INDEX(대여내역!$E$3:$E$1002,MATCH($B948,대여내역!$A$3:$A$1002,0)),"대여번호없음"))</f>
        <v/>
      </c>
      <c r="D948" s="11"/>
      <c r="E948" s="9"/>
      <c r="F948" s="10"/>
    </row>
    <row r="949" customFormat="false" ht="15" hidden="false" customHeight="false" outlineLevel="0" collapsed="false">
      <c r="A949" s="15"/>
      <c r="B949" s="10"/>
      <c r="C949" s="18" t="str">
        <f aca="false">IF($B949="","",IFERROR(INDEX(대여내역!$E$3:$E$1002,MATCH($B949,대여내역!$A$3:$A$1002,0)),"대여번호없음"))</f>
        <v/>
      </c>
      <c r="D949" s="11"/>
      <c r="E949" s="9"/>
      <c r="F949" s="10"/>
    </row>
    <row r="950" customFormat="false" ht="15" hidden="false" customHeight="false" outlineLevel="0" collapsed="false">
      <c r="A950" s="15"/>
      <c r="B950" s="10"/>
      <c r="C950" s="18" t="str">
        <f aca="false">IF($B950="","",IFERROR(INDEX(대여내역!$E$3:$E$1002,MATCH($B950,대여내역!$A$3:$A$1002,0)),"대여번호없음"))</f>
        <v/>
      </c>
      <c r="D950" s="11"/>
      <c r="E950" s="9"/>
      <c r="F950" s="10"/>
    </row>
    <row r="951" customFormat="false" ht="15" hidden="false" customHeight="false" outlineLevel="0" collapsed="false">
      <c r="A951" s="15"/>
      <c r="B951" s="10"/>
      <c r="C951" s="18" t="str">
        <f aca="false">IF($B951="","",IFERROR(INDEX(대여내역!$E$3:$E$1002,MATCH($B951,대여내역!$A$3:$A$1002,0)),"대여번호없음"))</f>
        <v/>
      </c>
      <c r="D951" s="11"/>
      <c r="E951" s="9"/>
      <c r="F951" s="10"/>
    </row>
    <row r="952" customFormat="false" ht="15" hidden="false" customHeight="false" outlineLevel="0" collapsed="false">
      <c r="A952" s="15"/>
      <c r="B952" s="10"/>
      <c r="C952" s="18" t="str">
        <f aca="false">IF($B952="","",IFERROR(INDEX(대여내역!$E$3:$E$1002,MATCH($B952,대여내역!$A$3:$A$1002,0)),"대여번호없음"))</f>
        <v/>
      </c>
      <c r="D952" s="11"/>
      <c r="E952" s="9"/>
      <c r="F952" s="10"/>
    </row>
    <row r="953" customFormat="false" ht="15" hidden="false" customHeight="false" outlineLevel="0" collapsed="false">
      <c r="A953" s="15"/>
      <c r="B953" s="10"/>
      <c r="C953" s="18" t="str">
        <f aca="false">IF($B953="","",IFERROR(INDEX(대여내역!$E$3:$E$1002,MATCH($B953,대여내역!$A$3:$A$1002,0)),"대여번호없음"))</f>
        <v/>
      </c>
      <c r="D953" s="11"/>
      <c r="E953" s="9"/>
      <c r="F953" s="10"/>
    </row>
    <row r="954" customFormat="false" ht="15" hidden="false" customHeight="false" outlineLevel="0" collapsed="false">
      <c r="A954" s="15"/>
      <c r="B954" s="10"/>
      <c r="C954" s="18" t="str">
        <f aca="false">IF($B954="","",IFERROR(INDEX(대여내역!$E$3:$E$1002,MATCH($B954,대여내역!$A$3:$A$1002,0)),"대여번호없음"))</f>
        <v/>
      </c>
      <c r="D954" s="11"/>
      <c r="E954" s="9"/>
      <c r="F954" s="10"/>
    </row>
    <row r="955" customFormat="false" ht="15" hidden="false" customHeight="false" outlineLevel="0" collapsed="false">
      <c r="A955" s="15"/>
      <c r="B955" s="10"/>
      <c r="C955" s="18" t="str">
        <f aca="false">IF($B955="","",IFERROR(INDEX(대여내역!$E$3:$E$1002,MATCH($B955,대여내역!$A$3:$A$1002,0)),"대여번호없음"))</f>
        <v/>
      </c>
      <c r="D955" s="11"/>
      <c r="E955" s="9"/>
      <c r="F955" s="10"/>
    </row>
    <row r="956" customFormat="false" ht="15" hidden="false" customHeight="false" outlineLevel="0" collapsed="false">
      <c r="A956" s="15"/>
      <c r="B956" s="10"/>
      <c r="C956" s="18" t="str">
        <f aca="false">IF($B956="","",IFERROR(INDEX(대여내역!$E$3:$E$1002,MATCH($B956,대여내역!$A$3:$A$1002,0)),"대여번호없음"))</f>
        <v/>
      </c>
      <c r="D956" s="11"/>
      <c r="E956" s="9"/>
      <c r="F956" s="10"/>
    </row>
    <row r="957" customFormat="false" ht="15" hidden="false" customHeight="false" outlineLevel="0" collapsed="false">
      <c r="A957" s="15"/>
      <c r="B957" s="10"/>
      <c r="C957" s="18" t="str">
        <f aca="false">IF($B957="","",IFERROR(INDEX(대여내역!$E$3:$E$1002,MATCH($B957,대여내역!$A$3:$A$1002,0)),"대여번호없음"))</f>
        <v/>
      </c>
      <c r="D957" s="11"/>
      <c r="E957" s="9"/>
      <c r="F957" s="10"/>
    </row>
    <row r="958" customFormat="false" ht="15" hidden="false" customHeight="false" outlineLevel="0" collapsed="false">
      <c r="A958" s="15"/>
      <c r="B958" s="10"/>
      <c r="C958" s="18" t="str">
        <f aca="false">IF($B958="","",IFERROR(INDEX(대여내역!$E$3:$E$1002,MATCH($B958,대여내역!$A$3:$A$1002,0)),"대여번호없음"))</f>
        <v/>
      </c>
      <c r="D958" s="11"/>
      <c r="E958" s="9"/>
      <c r="F958" s="10"/>
    </row>
    <row r="959" customFormat="false" ht="15" hidden="false" customHeight="false" outlineLevel="0" collapsed="false">
      <c r="A959" s="15"/>
      <c r="B959" s="10"/>
      <c r="C959" s="18" t="str">
        <f aca="false">IF($B959="","",IFERROR(INDEX(대여내역!$E$3:$E$1002,MATCH($B959,대여내역!$A$3:$A$1002,0)),"대여번호없음"))</f>
        <v/>
      </c>
      <c r="D959" s="11"/>
      <c r="E959" s="9"/>
      <c r="F959" s="10"/>
    </row>
    <row r="960" customFormat="false" ht="15" hidden="false" customHeight="false" outlineLevel="0" collapsed="false">
      <c r="A960" s="15"/>
      <c r="B960" s="10"/>
      <c r="C960" s="18" t="str">
        <f aca="false">IF($B960="","",IFERROR(INDEX(대여내역!$E$3:$E$1002,MATCH($B960,대여내역!$A$3:$A$1002,0)),"대여번호없음"))</f>
        <v/>
      </c>
      <c r="D960" s="11"/>
      <c r="E960" s="9"/>
      <c r="F960" s="10"/>
    </row>
    <row r="961" customFormat="false" ht="15" hidden="false" customHeight="false" outlineLevel="0" collapsed="false">
      <c r="A961" s="15"/>
      <c r="B961" s="10"/>
      <c r="C961" s="18" t="str">
        <f aca="false">IF($B961="","",IFERROR(INDEX(대여내역!$E$3:$E$1002,MATCH($B961,대여내역!$A$3:$A$1002,0)),"대여번호없음"))</f>
        <v/>
      </c>
      <c r="D961" s="11"/>
      <c r="E961" s="9"/>
      <c r="F961" s="10"/>
    </row>
    <row r="962" customFormat="false" ht="15" hidden="false" customHeight="false" outlineLevel="0" collapsed="false">
      <c r="A962" s="15"/>
      <c r="B962" s="10"/>
      <c r="C962" s="18" t="str">
        <f aca="false">IF($B962="","",IFERROR(INDEX(대여내역!$E$3:$E$1002,MATCH($B962,대여내역!$A$3:$A$1002,0)),"대여번호없음"))</f>
        <v/>
      </c>
      <c r="D962" s="11"/>
      <c r="E962" s="9"/>
      <c r="F962" s="10"/>
    </row>
    <row r="963" customFormat="false" ht="15" hidden="false" customHeight="false" outlineLevel="0" collapsed="false">
      <c r="A963" s="15"/>
      <c r="B963" s="10"/>
      <c r="C963" s="18" t="str">
        <f aca="false">IF($B963="","",IFERROR(INDEX(대여내역!$E$3:$E$1002,MATCH($B963,대여내역!$A$3:$A$1002,0)),"대여번호없음"))</f>
        <v/>
      </c>
      <c r="D963" s="11"/>
      <c r="E963" s="9"/>
      <c r="F963" s="10"/>
    </row>
    <row r="964" customFormat="false" ht="15" hidden="false" customHeight="false" outlineLevel="0" collapsed="false">
      <c r="A964" s="15"/>
      <c r="B964" s="10"/>
      <c r="C964" s="18" t="str">
        <f aca="false">IF($B964="","",IFERROR(INDEX(대여내역!$E$3:$E$1002,MATCH($B964,대여내역!$A$3:$A$1002,0)),"대여번호없음"))</f>
        <v/>
      </c>
      <c r="D964" s="11"/>
      <c r="E964" s="9"/>
      <c r="F964" s="10"/>
    </row>
    <row r="965" customFormat="false" ht="15" hidden="false" customHeight="false" outlineLevel="0" collapsed="false">
      <c r="A965" s="15"/>
      <c r="B965" s="10"/>
      <c r="C965" s="18" t="str">
        <f aca="false">IF($B965="","",IFERROR(INDEX(대여내역!$E$3:$E$1002,MATCH($B965,대여내역!$A$3:$A$1002,0)),"대여번호없음"))</f>
        <v/>
      </c>
      <c r="D965" s="11"/>
      <c r="E965" s="9"/>
      <c r="F965" s="10"/>
    </row>
    <row r="966" customFormat="false" ht="15" hidden="false" customHeight="false" outlineLevel="0" collapsed="false">
      <c r="A966" s="15"/>
      <c r="B966" s="10"/>
      <c r="C966" s="18" t="str">
        <f aca="false">IF($B966="","",IFERROR(INDEX(대여내역!$E$3:$E$1002,MATCH($B966,대여내역!$A$3:$A$1002,0)),"대여번호없음"))</f>
        <v/>
      </c>
      <c r="D966" s="11"/>
      <c r="E966" s="9"/>
      <c r="F966" s="10"/>
    </row>
    <row r="967" customFormat="false" ht="15" hidden="false" customHeight="false" outlineLevel="0" collapsed="false">
      <c r="A967" s="15"/>
      <c r="B967" s="10"/>
      <c r="C967" s="18" t="str">
        <f aca="false">IF($B967="","",IFERROR(INDEX(대여내역!$E$3:$E$1002,MATCH($B967,대여내역!$A$3:$A$1002,0)),"대여번호없음"))</f>
        <v/>
      </c>
      <c r="D967" s="11"/>
      <c r="E967" s="9"/>
      <c r="F967" s="10"/>
    </row>
    <row r="968" customFormat="false" ht="15" hidden="false" customHeight="false" outlineLevel="0" collapsed="false">
      <c r="A968" s="15"/>
      <c r="B968" s="10"/>
      <c r="C968" s="18" t="str">
        <f aca="false">IF($B968="","",IFERROR(INDEX(대여내역!$E$3:$E$1002,MATCH($B968,대여내역!$A$3:$A$1002,0)),"대여번호없음"))</f>
        <v/>
      </c>
      <c r="D968" s="11"/>
      <c r="E968" s="9"/>
      <c r="F968" s="10"/>
    </row>
    <row r="969" customFormat="false" ht="15" hidden="false" customHeight="false" outlineLevel="0" collapsed="false">
      <c r="A969" s="15"/>
      <c r="B969" s="10"/>
      <c r="C969" s="18" t="str">
        <f aca="false">IF($B969="","",IFERROR(INDEX(대여내역!$E$3:$E$1002,MATCH($B969,대여내역!$A$3:$A$1002,0)),"대여번호없음"))</f>
        <v/>
      </c>
      <c r="D969" s="11"/>
      <c r="E969" s="9"/>
      <c r="F969" s="10"/>
    </row>
    <row r="970" customFormat="false" ht="15" hidden="false" customHeight="false" outlineLevel="0" collapsed="false">
      <c r="A970" s="15"/>
      <c r="B970" s="10"/>
      <c r="C970" s="18" t="str">
        <f aca="false">IF($B970="","",IFERROR(INDEX(대여내역!$E$3:$E$1002,MATCH($B970,대여내역!$A$3:$A$1002,0)),"대여번호없음"))</f>
        <v/>
      </c>
      <c r="D970" s="11"/>
      <c r="E970" s="9"/>
      <c r="F970" s="10"/>
    </row>
    <row r="971" customFormat="false" ht="15" hidden="false" customHeight="false" outlineLevel="0" collapsed="false">
      <c r="A971" s="15"/>
      <c r="B971" s="10"/>
      <c r="C971" s="18" t="str">
        <f aca="false">IF($B971="","",IFERROR(INDEX(대여내역!$E$3:$E$1002,MATCH($B971,대여내역!$A$3:$A$1002,0)),"대여번호없음"))</f>
        <v/>
      </c>
      <c r="D971" s="11"/>
      <c r="E971" s="9"/>
      <c r="F971" s="10"/>
    </row>
    <row r="972" customFormat="false" ht="15" hidden="false" customHeight="false" outlineLevel="0" collapsed="false">
      <c r="A972" s="15"/>
      <c r="B972" s="10"/>
      <c r="C972" s="18" t="str">
        <f aca="false">IF($B972="","",IFERROR(INDEX(대여내역!$E$3:$E$1002,MATCH($B972,대여내역!$A$3:$A$1002,0)),"대여번호없음"))</f>
        <v/>
      </c>
      <c r="D972" s="11"/>
      <c r="E972" s="9"/>
      <c r="F972" s="10"/>
    </row>
    <row r="973" customFormat="false" ht="15" hidden="false" customHeight="false" outlineLevel="0" collapsed="false">
      <c r="A973" s="15"/>
      <c r="B973" s="10"/>
      <c r="C973" s="18" t="str">
        <f aca="false">IF($B973="","",IFERROR(INDEX(대여내역!$E$3:$E$1002,MATCH($B973,대여내역!$A$3:$A$1002,0)),"대여번호없음"))</f>
        <v/>
      </c>
      <c r="D973" s="11"/>
      <c r="E973" s="9"/>
      <c r="F973" s="10"/>
    </row>
    <row r="974" customFormat="false" ht="15" hidden="false" customHeight="false" outlineLevel="0" collapsed="false">
      <c r="A974" s="15"/>
      <c r="B974" s="10"/>
      <c r="C974" s="18" t="str">
        <f aca="false">IF($B974="","",IFERROR(INDEX(대여내역!$E$3:$E$1002,MATCH($B974,대여내역!$A$3:$A$1002,0)),"대여번호없음"))</f>
        <v/>
      </c>
      <c r="D974" s="11"/>
      <c r="E974" s="9"/>
      <c r="F974" s="10"/>
    </row>
    <row r="975" customFormat="false" ht="15" hidden="false" customHeight="false" outlineLevel="0" collapsed="false">
      <c r="A975" s="15"/>
      <c r="B975" s="10"/>
      <c r="C975" s="18" t="str">
        <f aca="false">IF($B975="","",IFERROR(INDEX(대여내역!$E$3:$E$1002,MATCH($B975,대여내역!$A$3:$A$1002,0)),"대여번호없음"))</f>
        <v/>
      </c>
      <c r="D975" s="11"/>
      <c r="E975" s="9"/>
      <c r="F975" s="10"/>
    </row>
    <row r="976" customFormat="false" ht="15" hidden="false" customHeight="false" outlineLevel="0" collapsed="false">
      <c r="A976" s="15"/>
      <c r="B976" s="10"/>
      <c r="C976" s="18" t="str">
        <f aca="false">IF($B976="","",IFERROR(INDEX(대여내역!$E$3:$E$1002,MATCH($B976,대여내역!$A$3:$A$1002,0)),"대여번호없음"))</f>
        <v/>
      </c>
      <c r="D976" s="11"/>
      <c r="E976" s="9"/>
      <c r="F976" s="10"/>
    </row>
    <row r="977" customFormat="false" ht="15" hidden="false" customHeight="false" outlineLevel="0" collapsed="false">
      <c r="A977" s="15"/>
      <c r="B977" s="10"/>
      <c r="C977" s="18" t="str">
        <f aca="false">IF($B977="","",IFERROR(INDEX(대여내역!$E$3:$E$1002,MATCH($B977,대여내역!$A$3:$A$1002,0)),"대여번호없음"))</f>
        <v/>
      </c>
      <c r="D977" s="11"/>
      <c r="E977" s="9"/>
      <c r="F977" s="10"/>
    </row>
    <row r="978" customFormat="false" ht="15" hidden="false" customHeight="false" outlineLevel="0" collapsed="false">
      <c r="A978" s="15"/>
      <c r="B978" s="10"/>
      <c r="C978" s="18" t="str">
        <f aca="false">IF($B978="","",IFERROR(INDEX(대여내역!$E$3:$E$1002,MATCH($B978,대여내역!$A$3:$A$1002,0)),"대여번호없음"))</f>
        <v/>
      </c>
      <c r="D978" s="11"/>
      <c r="E978" s="9"/>
      <c r="F978" s="10"/>
    </row>
    <row r="979" customFormat="false" ht="15" hidden="false" customHeight="false" outlineLevel="0" collapsed="false">
      <c r="A979" s="15"/>
      <c r="B979" s="10"/>
      <c r="C979" s="18" t="str">
        <f aca="false">IF($B979="","",IFERROR(INDEX(대여내역!$E$3:$E$1002,MATCH($B979,대여내역!$A$3:$A$1002,0)),"대여번호없음"))</f>
        <v/>
      </c>
      <c r="D979" s="11"/>
      <c r="E979" s="9"/>
      <c r="F979" s="10"/>
    </row>
    <row r="980" customFormat="false" ht="15" hidden="false" customHeight="false" outlineLevel="0" collapsed="false">
      <c r="A980" s="15"/>
      <c r="B980" s="10"/>
      <c r="C980" s="18" t="str">
        <f aca="false">IF($B980="","",IFERROR(INDEX(대여내역!$E$3:$E$1002,MATCH($B980,대여내역!$A$3:$A$1002,0)),"대여번호없음"))</f>
        <v/>
      </c>
      <c r="D980" s="11"/>
      <c r="E980" s="9"/>
      <c r="F980" s="10"/>
    </row>
    <row r="981" customFormat="false" ht="15" hidden="false" customHeight="false" outlineLevel="0" collapsed="false">
      <c r="A981" s="15"/>
      <c r="B981" s="10"/>
      <c r="C981" s="18" t="str">
        <f aca="false">IF($B981="","",IFERROR(INDEX(대여내역!$E$3:$E$1002,MATCH($B981,대여내역!$A$3:$A$1002,0)),"대여번호없음"))</f>
        <v/>
      </c>
      <c r="D981" s="11"/>
      <c r="E981" s="9"/>
      <c r="F981" s="10"/>
    </row>
    <row r="982" customFormat="false" ht="15" hidden="false" customHeight="false" outlineLevel="0" collapsed="false">
      <c r="A982" s="15"/>
      <c r="B982" s="10"/>
      <c r="C982" s="18" t="str">
        <f aca="false">IF($B982="","",IFERROR(INDEX(대여내역!$E$3:$E$1002,MATCH($B982,대여내역!$A$3:$A$1002,0)),"대여번호없음"))</f>
        <v/>
      </c>
      <c r="D982" s="11"/>
      <c r="E982" s="9"/>
      <c r="F982" s="10"/>
    </row>
    <row r="983" customFormat="false" ht="15" hidden="false" customHeight="false" outlineLevel="0" collapsed="false">
      <c r="A983" s="15"/>
      <c r="B983" s="10"/>
      <c r="C983" s="18" t="str">
        <f aca="false">IF($B983="","",IFERROR(INDEX(대여내역!$E$3:$E$1002,MATCH($B983,대여내역!$A$3:$A$1002,0)),"대여번호없음"))</f>
        <v/>
      </c>
      <c r="D983" s="11"/>
      <c r="E983" s="9"/>
      <c r="F983" s="10"/>
    </row>
    <row r="984" customFormat="false" ht="15" hidden="false" customHeight="false" outlineLevel="0" collapsed="false">
      <c r="A984" s="15"/>
      <c r="B984" s="10"/>
      <c r="C984" s="18" t="str">
        <f aca="false">IF($B984="","",IFERROR(INDEX(대여내역!$E$3:$E$1002,MATCH($B984,대여내역!$A$3:$A$1002,0)),"대여번호없음"))</f>
        <v/>
      </c>
      <c r="D984" s="11"/>
      <c r="E984" s="9"/>
      <c r="F984" s="10"/>
    </row>
    <row r="985" customFormat="false" ht="15" hidden="false" customHeight="false" outlineLevel="0" collapsed="false">
      <c r="A985" s="15"/>
      <c r="B985" s="10"/>
      <c r="C985" s="18" t="str">
        <f aca="false">IF($B985="","",IFERROR(INDEX(대여내역!$E$3:$E$1002,MATCH($B985,대여내역!$A$3:$A$1002,0)),"대여번호없음"))</f>
        <v/>
      </c>
      <c r="D985" s="11"/>
      <c r="E985" s="9"/>
      <c r="F985" s="10"/>
    </row>
    <row r="986" customFormat="false" ht="15" hidden="false" customHeight="false" outlineLevel="0" collapsed="false">
      <c r="A986" s="15"/>
      <c r="B986" s="10"/>
      <c r="C986" s="18" t="str">
        <f aca="false">IF($B986="","",IFERROR(INDEX(대여내역!$E$3:$E$1002,MATCH($B986,대여내역!$A$3:$A$1002,0)),"대여번호없음"))</f>
        <v/>
      </c>
      <c r="D986" s="11"/>
      <c r="E986" s="9"/>
      <c r="F986" s="10"/>
    </row>
    <row r="987" customFormat="false" ht="15" hidden="false" customHeight="false" outlineLevel="0" collapsed="false">
      <c r="A987" s="15"/>
      <c r="B987" s="10"/>
      <c r="C987" s="18" t="str">
        <f aca="false">IF($B987="","",IFERROR(INDEX(대여내역!$E$3:$E$1002,MATCH($B987,대여내역!$A$3:$A$1002,0)),"대여번호없음"))</f>
        <v/>
      </c>
      <c r="D987" s="11"/>
      <c r="E987" s="9"/>
      <c r="F987" s="10"/>
    </row>
    <row r="988" customFormat="false" ht="15" hidden="false" customHeight="false" outlineLevel="0" collapsed="false">
      <c r="A988" s="15"/>
      <c r="B988" s="10"/>
      <c r="C988" s="18" t="str">
        <f aca="false">IF($B988="","",IFERROR(INDEX(대여내역!$E$3:$E$1002,MATCH($B988,대여내역!$A$3:$A$1002,0)),"대여번호없음"))</f>
        <v/>
      </c>
      <c r="D988" s="11"/>
      <c r="E988" s="9"/>
      <c r="F988" s="10"/>
    </row>
    <row r="989" customFormat="false" ht="15" hidden="false" customHeight="false" outlineLevel="0" collapsed="false">
      <c r="A989" s="15"/>
      <c r="B989" s="10"/>
      <c r="C989" s="18" t="str">
        <f aca="false">IF($B989="","",IFERROR(INDEX(대여내역!$E$3:$E$1002,MATCH($B989,대여내역!$A$3:$A$1002,0)),"대여번호없음"))</f>
        <v/>
      </c>
      <c r="D989" s="11"/>
      <c r="E989" s="9"/>
      <c r="F989" s="10"/>
    </row>
    <row r="990" customFormat="false" ht="15" hidden="false" customHeight="false" outlineLevel="0" collapsed="false">
      <c r="A990" s="15"/>
      <c r="B990" s="10"/>
      <c r="C990" s="18" t="str">
        <f aca="false">IF($B990="","",IFERROR(INDEX(대여내역!$E$3:$E$1002,MATCH($B990,대여내역!$A$3:$A$1002,0)),"대여번호없음"))</f>
        <v/>
      </c>
      <c r="D990" s="11"/>
      <c r="E990" s="9"/>
      <c r="F990" s="10"/>
    </row>
    <row r="991" customFormat="false" ht="15" hidden="false" customHeight="false" outlineLevel="0" collapsed="false">
      <c r="A991" s="15"/>
      <c r="B991" s="10"/>
      <c r="C991" s="18" t="str">
        <f aca="false">IF($B991="","",IFERROR(INDEX(대여내역!$E$3:$E$1002,MATCH($B991,대여내역!$A$3:$A$1002,0)),"대여번호없음"))</f>
        <v/>
      </c>
      <c r="D991" s="11"/>
      <c r="E991" s="9"/>
      <c r="F991" s="10"/>
    </row>
    <row r="992" customFormat="false" ht="15" hidden="false" customHeight="false" outlineLevel="0" collapsed="false">
      <c r="A992" s="15"/>
      <c r="B992" s="10"/>
      <c r="C992" s="18" t="str">
        <f aca="false">IF($B992="","",IFERROR(INDEX(대여내역!$E$3:$E$1002,MATCH($B992,대여내역!$A$3:$A$1002,0)),"대여번호없음"))</f>
        <v/>
      </c>
      <c r="D992" s="11"/>
      <c r="E992" s="9"/>
      <c r="F992" s="10"/>
    </row>
    <row r="993" customFormat="false" ht="15" hidden="false" customHeight="false" outlineLevel="0" collapsed="false">
      <c r="A993" s="15"/>
      <c r="B993" s="10"/>
      <c r="C993" s="18" t="str">
        <f aca="false">IF($B993="","",IFERROR(INDEX(대여내역!$E$3:$E$1002,MATCH($B993,대여내역!$A$3:$A$1002,0)),"대여번호없음"))</f>
        <v/>
      </c>
      <c r="D993" s="11"/>
      <c r="E993" s="9"/>
      <c r="F993" s="10"/>
    </row>
    <row r="994" customFormat="false" ht="15" hidden="false" customHeight="false" outlineLevel="0" collapsed="false">
      <c r="A994" s="15"/>
      <c r="B994" s="10"/>
      <c r="C994" s="18" t="str">
        <f aca="false">IF($B994="","",IFERROR(INDEX(대여내역!$E$3:$E$1002,MATCH($B994,대여내역!$A$3:$A$1002,0)),"대여번호없음"))</f>
        <v/>
      </c>
      <c r="D994" s="11"/>
      <c r="E994" s="9"/>
      <c r="F994" s="10"/>
    </row>
    <row r="995" customFormat="false" ht="15" hidden="false" customHeight="false" outlineLevel="0" collapsed="false">
      <c r="A995" s="15"/>
      <c r="B995" s="10"/>
      <c r="C995" s="18" t="str">
        <f aca="false">IF($B995="","",IFERROR(INDEX(대여내역!$E$3:$E$1002,MATCH($B995,대여내역!$A$3:$A$1002,0)),"대여번호없음"))</f>
        <v/>
      </c>
      <c r="D995" s="11"/>
      <c r="E995" s="9"/>
      <c r="F995" s="10"/>
    </row>
    <row r="996" customFormat="false" ht="15" hidden="false" customHeight="false" outlineLevel="0" collapsed="false">
      <c r="A996" s="15"/>
      <c r="B996" s="10"/>
      <c r="C996" s="18" t="str">
        <f aca="false">IF($B996="","",IFERROR(INDEX(대여내역!$E$3:$E$1002,MATCH($B996,대여내역!$A$3:$A$1002,0)),"대여번호없음"))</f>
        <v/>
      </c>
      <c r="D996" s="11"/>
      <c r="E996" s="9"/>
      <c r="F996" s="10"/>
    </row>
    <row r="997" customFormat="false" ht="15" hidden="false" customHeight="false" outlineLevel="0" collapsed="false">
      <c r="A997" s="15"/>
      <c r="B997" s="10"/>
      <c r="C997" s="18" t="str">
        <f aca="false">IF($B997="","",IFERROR(INDEX(대여내역!$E$3:$E$1002,MATCH($B997,대여내역!$A$3:$A$1002,0)),"대여번호없음"))</f>
        <v/>
      </c>
      <c r="D997" s="11"/>
      <c r="E997" s="9"/>
      <c r="F997" s="10"/>
    </row>
    <row r="998" customFormat="false" ht="15" hidden="false" customHeight="false" outlineLevel="0" collapsed="false">
      <c r="A998" s="15"/>
      <c r="B998" s="10"/>
      <c r="C998" s="18" t="str">
        <f aca="false">IF($B998="","",IFERROR(INDEX(대여내역!$E$3:$E$1002,MATCH($B998,대여내역!$A$3:$A$1002,0)),"대여번호없음"))</f>
        <v/>
      </c>
      <c r="D998" s="11"/>
      <c r="E998" s="9"/>
      <c r="F998" s="10"/>
    </row>
    <row r="999" customFormat="false" ht="15" hidden="false" customHeight="false" outlineLevel="0" collapsed="false">
      <c r="A999" s="15"/>
      <c r="B999" s="10"/>
      <c r="C999" s="18" t="str">
        <f aca="false">IF($B999="","",IFERROR(INDEX(대여내역!$E$3:$E$1002,MATCH($B999,대여내역!$A$3:$A$1002,0)),"대여번호없음"))</f>
        <v/>
      </c>
      <c r="D999" s="11"/>
      <c r="E999" s="9"/>
      <c r="F999" s="10"/>
    </row>
    <row r="1000" customFormat="false" ht="15" hidden="false" customHeight="false" outlineLevel="0" collapsed="false">
      <c r="A1000" s="15"/>
      <c r="B1000" s="10"/>
      <c r="C1000" s="18" t="str">
        <f aca="false">IF($B1000="","",IFERROR(INDEX(대여내역!$E$3:$E$1002,MATCH($B1000,대여내역!$A$3:$A$1002,0)),"대여번호없음"))</f>
        <v/>
      </c>
      <c r="D1000" s="11"/>
      <c r="E1000" s="9"/>
      <c r="F1000" s="10"/>
    </row>
    <row r="1001" customFormat="false" ht="15" hidden="false" customHeight="false" outlineLevel="0" collapsed="false">
      <c r="A1001" s="15"/>
      <c r="B1001" s="10"/>
      <c r="C1001" s="18" t="str">
        <f aca="false">IF($B1001="","",IFERROR(INDEX(대여내역!$E$3:$E$1002,MATCH($B1001,대여내역!$A$3:$A$1002,0)),"대여번호없음"))</f>
        <v/>
      </c>
      <c r="D1001" s="11"/>
      <c r="E1001" s="9"/>
      <c r="F1001" s="10"/>
    </row>
    <row r="1002" customFormat="false" ht="15" hidden="false" customHeight="false" outlineLevel="0" collapsed="false">
      <c r="A1002" s="15"/>
      <c r="B1002" s="10"/>
      <c r="C1002" s="18" t="str">
        <f aca="false">IF($B1002="","",IFERROR(INDEX(대여내역!$E$3:$E$1002,MATCH($B1002,대여내역!$A$3:$A$1002,0)),"대여번호없음"))</f>
        <v/>
      </c>
      <c r="D1002" s="11"/>
      <c r="E1002" s="9"/>
      <c r="F1002" s="10"/>
    </row>
    <row r="1003" customFormat="false" ht="15" hidden="false" customHeight="false" outlineLevel="0" collapsed="false">
      <c r="A1003" s="15"/>
      <c r="B1003" s="10"/>
      <c r="C1003" s="18" t="str">
        <f aca="false">IF($B1003="","",IFERROR(INDEX(대여내역!$E$3:$E$1002,MATCH($B1003,대여내역!$A$3:$A$1002,0)),"대여번호없음"))</f>
        <v/>
      </c>
      <c r="D1003" s="11"/>
      <c r="E1003" s="9"/>
      <c r="F1003" s="10"/>
    </row>
    <row r="1004" customFormat="false" ht="15" hidden="false" customHeight="false" outlineLevel="0" collapsed="false">
      <c r="A1004" s="15"/>
      <c r="B1004" s="10"/>
      <c r="C1004" s="18" t="str">
        <f aca="false">IF($B1004="","",IFERROR(INDEX(대여내역!$E$3:$E$1002,MATCH($B1004,대여내역!$A$3:$A$1002,0)),"대여번호없음"))</f>
        <v/>
      </c>
      <c r="D1004" s="11"/>
      <c r="E1004" s="9"/>
      <c r="F1004" s="10"/>
    </row>
    <row r="1005" customFormat="false" ht="15" hidden="false" customHeight="false" outlineLevel="0" collapsed="false">
      <c r="A1005" s="15"/>
      <c r="B1005" s="10"/>
      <c r="C1005" s="18" t="str">
        <f aca="false">IF($B1005="","",IFERROR(INDEX(대여내역!$E$3:$E$1002,MATCH($B1005,대여내역!$A$3:$A$1002,0)),"대여번호없음"))</f>
        <v/>
      </c>
      <c r="D1005" s="11"/>
      <c r="E1005" s="9"/>
      <c r="F1005" s="10"/>
    </row>
    <row r="1006" customFormat="false" ht="15" hidden="false" customHeight="false" outlineLevel="0" collapsed="false">
      <c r="A1006" s="15"/>
      <c r="B1006" s="10"/>
      <c r="C1006" s="18" t="str">
        <f aca="false">IF($B1006="","",IFERROR(INDEX(대여내역!$E$3:$E$1002,MATCH($B1006,대여내역!$A$3:$A$1002,0)),"대여번호없음"))</f>
        <v/>
      </c>
      <c r="D1006" s="11"/>
      <c r="E1006" s="9"/>
      <c r="F1006" s="10"/>
    </row>
    <row r="1007" customFormat="false" ht="15" hidden="false" customHeight="false" outlineLevel="0" collapsed="false">
      <c r="A1007" s="15"/>
      <c r="B1007" s="10"/>
      <c r="C1007" s="18" t="str">
        <f aca="false">IF($B1007="","",IFERROR(INDEX(대여내역!$E$3:$E$1002,MATCH($B1007,대여내역!$A$3:$A$1002,0)),"대여번호없음"))</f>
        <v/>
      </c>
      <c r="D1007" s="11"/>
      <c r="E1007" s="9"/>
      <c r="F1007" s="10"/>
    </row>
    <row r="1008" customFormat="false" ht="15" hidden="false" customHeight="false" outlineLevel="0" collapsed="false">
      <c r="A1008" s="15"/>
      <c r="B1008" s="10"/>
      <c r="C1008" s="18" t="str">
        <f aca="false">IF($B1008="","",IFERROR(INDEX(대여내역!$E$3:$E$1002,MATCH($B1008,대여내역!$A$3:$A$1002,0)),"대여번호없음"))</f>
        <v/>
      </c>
      <c r="D1008" s="11"/>
      <c r="E1008" s="9"/>
      <c r="F1008" s="10"/>
    </row>
    <row r="1009" customFormat="false" ht="15" hidden="false" customHeight="false" outlineLevel="0" collapsed="false">
      <c r="A1009" s="15"/>
      <c r="B1009" s="10"/>
      <c r="C1009" s="18" t="str">
        <f aca="false">IF($B1009="","",IFERROR(INDEX(대여내역!$E$3:$E$1002,MATCH($B1009,대여내역!$A$3:$A$1002,0)),"대여번호없음"))</f>
        <v/>
      </c>
      <c r="D1009" s="11"/>
      <c r="E1009" s="9"/>
      <c r="F1009" s="10"/>
    </row>
    <row r="1010" customFormat="false" ht="15" hidden="false" customHeight="false" outlineLevel="0" collapsed="false">
      <c r="A1010" s="15"/>
      <c r="B1010" s="10"/>
      <c r="C1010" s="18" t="str">
        <f aca="false">IF($B1010="","",IFERROR(INDEX(대여내역!$E$3:$E$1002,MATCH($B1010,대여내역!$A$3:$A$1002,0)),"대여번호없음"))</f>
        <v/>
      </c>
      <c r="D1010" s="11"/>
      <c r="E1010" s="9"/>
      <c r="F1010" s="10"/>
    </row>
    <row r="1011" customFormat="false" ht="15" hidden="false" customHeight="false" outlineLevel="0" collapsed="false">
      <c r="A1011" s="15"/>
      <c r="B1011" s="10"/>
      <c r="C1011" s="18" t="str">
        <f aca="false">IF($B1011="","",IFERROR(INDEX(대여내역!$E$3:$E$1002,MATCH($B1011,대여내역!$A$3:$A$1002,0)),"대여번호없음"))</f>
        <v/>
      </c>
      <c r="D1011" s="11"/>
      <c r="E1011" s="9"/>
      <c r="F1011" s="10"/>
    </row>
    <row r="1012" customFormat="false" ht="15" hidden="false" customHeight="false" outlineLevel="0" collapsed="false">
      <c r="A1012" s="15"/>
      <c r="B1012" s="10"/>
      <c r="C1012" s="18" t="str">
        <f aca="false">IF($B1012="","",IFERROR(INDEX(대여내역!$E$3:$E$1002,MATCH($B1012,대여내역!$A$3:$A$1002,0)),"대여번호없음"))</f>
        <v/>
      </c>
      <c r="D1012" s="11"/>
      <c r="E1012" s="9"/>
      <c r="F1012" s="10"/>
    </row>
    <row r="1013" customFormat="false" ht="15" hidden="false" customHeight="false" outlineLevel="0" collapsed="false">
      <c r="A1013" s="15"/>
      <c r="B1013" s="10"/>
      <c r="C1013" s="18" t="str">
        <f aca="false">IF($B1013="","",IFERROR(INDEX(대여내역!$E$3:$E$1002,MATCH($B1013,대여내역!$A$3:$A$1002,0)),"대여번호없음"))</f>
        <v/>
      </c>
      <c r="D1013" s="11"/>
      <c r="E1013" s="9"/>
      <c r="F1013" s="10"/>
    </row>
    <row r="1014" customFormat="false" ht="15" hidden="false" customHeight="false" outlineLevel="0" collapsed="false">
      <c r="A1014" s="15"/>
      <c r="B1014" s="10"/>
      <c r="C1014" s="18" t="str">
        <f aca="false">IF($B1014="","",IFERROR(INDEX(대여내역!$E$3:$E$1002,MATCH($B1014,대여내역!$A$3:$A$1002,0)),"대여번호없음"))</f>
        <v/>
      </c>
      <c r="D1014" s="11"/>
      <c r="E1014" s="9"/>
      <c r="F1014" s="10"/>
    </row>
    <row r="1015" customFormat="false" ht="15" hidden="false" customHeight="false" outlineLevel="0" collapsed="false">
      <c r="A1015" s="15"/>
      <c r="B1015" s="10"/>
      <c r="C1015" s="18" t="str">
        <f aca="false">IF($B1015="","",IFERROR(INDEX(대여내역!$E$3:$E$1002,MATCH($B1015,대여내역!$A$3:$A$1002,0)),"대여번호없음"))</f>
        <v/>
      </c>
      <c r="D1015" s="11"/>
      <c r="E1015" s="9"/>
      <c r="F1015" s="10"/>
    </row>
    <row r="1016" customFormat="false" ht="15" hidden="false" customHeight="false" outlineLevel="0" collapsed="false">
      <c r="A1016" s="15"/>
      <c r="B1016" s="10"/>
      <c r="C1016" s="18" t="str">
        <f aca="false">IF($B1016="","",IFERROR(INDEX(대여내역!$E$3:$E$1002,MATCH($B1016,대여내역!$A$3:$A$1002,0)),"대여번호없음"))</f>
        <v/>
      </c>
      <c r="D1016" s="11"/>
      <c r="E1016" s="9"/>
      <c r="F1016" s="10"/>
    </row>
    <row r="1017" customFormat="false" ht="15" hidden="false" customHeight="false" outlineLevel="0" collapsed="false">
      <c r="A1017" s="15"/>
      <c r="B1017" s="10"/>
      <c r="C1017" s="18" t="str">
        <f aca="false">IF($B1017="","",IFERROR(INDEX(대여내역!$E$3:$E$1002,MATCH($B1017,대여내역!$A$3:$A$1002,0)),"대여번호없음"))</f>
        <v/>
      </c>
      <c r="D1017" s="11"/>
      <c r="E1017" s="9"/>
      <c r="F1017" s="10"/>
    </row>
    <row r="1018" customFormat="false" ht="15" hidden="false" customHeight="false" outlineLevel="0" collapsed="false">
      <c r="A1018" s="15"/>
      <c r="B1018" s="10"/>
      <c r="C1018" s="18" t="str">
        <f aca="false">IF($B1018="","",IFERROR(INDEX(대여내역!$E$3:$E$1002,MATCH($B1018,대여내역!$A$3:$A$1002,0)),"대여번호없음"))</f>
        <v/>
      </c>
      <c r="D1018" s="11"/>
      <c r="E1018" s="9"/>
      <c r="F1018" s="10"/>
    </row>
    <row r="1019" customFormat="false" ht="15" hidden="false" customHeight="false" outlineLevel="0" collapsed="false">
      <c r="A1019" s="15"/>
      <c r="B1019" s="10"/>
      <c r="C1019" s="18" t="str">
        <f aca="false">IF($B1019="","",IFERROR(INDEX(대여내역!$E$3:$E$1002,MATCH($B1019,대여내역!$A$3:$A$1002,0)),"대여번호없음"))</f>
        <v/>
      </c>
      <c r="D1019" s="11"/>
      <c r="E1019" s="9"/>
      <c r="F1019" s="10"/>
    </row>
    <row r="1020" customFormat="false" ht="15" hidden="false" customHeight="false" outlineLevel="0" collapsed="false">
      <c r="A1020" s="15"/>
      <c r="B1020" s="10"/>
      <c r="C1020" s="18" t="str">
        <f aca="false">IF($B1020="","",IFERROR(INDEX(대여내역!$E$3:$E$1002,MATCH($B1020,대여내역!$A$3:$A$1002,0)),"대여번호없음"))</f>
        <v/>
      </c>
      <c r="D1020" s="11"/>
      <c r="E1020" s="9"/>
      <c r="F1020" s="10"/>
    </row>
    <row r="1021" customFormat="false" ht="15" hidden="false" customHeight="false" outlineLevel="0" collapsed="false">
      <c r="A1021" s="15"/>
      <c r="B1021" s="10"/>
      <c r="C1021" s="18" t="str">
        <f aca="false">IF($B1021="","",IFERROR(INDEX(대여내역!$E$3:$E$1002,MATCH($B1021,대여내역!$A$3:$A$1002,0)),"대여번호없음"))</f>
        <v/>
      </c>
      <c r="D1021" s="11"/>
      <c r="E1021" s="9"/>
      <c r="F1021" s="10"/>
    </row>
    <row r="1022" customFormat="false" ht="15" hidden="false" customHeight="false" outlineLevel="0" collapsed="false">
      <c r="A1022" s="15"/>
      <c r="B1022" s="10"/>
      <c r="C1022" s="18" t="str">
        <f aca="false">IF($B1022="","",IFERROR(INDEX(대여내역!$E$3:$E$1002,MATCH($B1022,대여내역!$A$3:$A$1002,0)),"대여번호없음"))</f>
        <v/>
      </c>
      <c r="D1022" s="11"/>
      <c r="E1022" s="9"/>
      <c r="F1022" s="10"/>
    </row>
    <row r="1023" customFormat="false" ht="15" hidden="false" customHeight="false" outlineLevel="0" collapsed="false">
      <c r="A1023" s="15"/>
      <c r="B1023" s="10"/>
      <c r="C1023" s="18" t="str">
        <f aca="false">IF($B1023="","",IFERROR(INDEX(대여내역!$E$3:$E$1002,MATCH($B1023,대여내역!$A$3:$A$1002,0)),"대여번호없음"))</f>
        <v/>
      </c>
      <c r="D1023" s="11"/>
      <c r="E1023" s="9"/>
      <c r="F1023" s="10"/>
    </row>
    <row r="1024" customFormat="false" ht="15" hidden="false" customHeight="false" outlineLevel="0" collapsed="false">
      <c r="A1024" s="15"/>
      <c r="B1024" s="10"/>
      <c r="C1024" s="18" t="str">
        <f aca="false">IF($B1024="","",IFERROR(INDEX(대여내역!$E$3:$E$1002,MATCH($B1024,대여내역!$A$3:$A$1002,0)),"대여번호없음"))</f>
        <v/>
      </c>
      <c r="D1024" s="11"/>
      <c r="E1024" s="9"/>
      <c r="F1024" s="10"/>
    </row>
    <row r="1025" customFormat="false" ht="15" hidden="false" customHeight="false" outlineLevel="0" collapsed="false">
      <c r="A1025" s="15"/>
      <c r="B1025" s="10"/>
      <c r="C1025" s="18" t="str">
        <f aca="false">IF($B1025="","",IFERROR(INDEX(대여내역!$E$3:$E$1002,MATCH($B1025,대여내역!$A$3:$A$1002,0)),"대여번호없음"))</f>
        <v/>
      </c>
      <c r="D1025" s="11"/>
      <c r="E1025" s="9"/>
      <c r="F1025" s="10"/>
    </row>
    <row r="1026" customFormat="false" ht="15" hidden="false" customHeight="false" outlineLevel="0" collapsed="false">
      <c r="A1026" s="15"/>
      <c r="B1026" s="10"/>
      <c r="C1026" s="18" t="str">
        <f aca="false">IF($B1026="","",IFERROR(INDEX(대여내역!$E$3:$E$1002,MATCH($B1026,대여내역!$A$3:$A$1002,0)),"대여번호없음"))</f>
        <v/>
      </c>
      <c r="D1026" s="11"/>
      <c r="E1026" s="9"/>
      <c r="F1026" s="10"/>
    </row>
    <row r="1027" customFormat="false" ht="15" hidden="false" customHeight="false" outlineLevel="0" collapsed="false">
      <c r="A1027" s="15"/>
      <c r="B1027" s="10"/>
      <c r="C1027" s="18" t="str">
        <f aca="false">IF($B1027="","",IFERROR(INDEX(대여내역!$E$3:$E$1002,MATCH($B1027,대여내역!$A$3:$A$1002,0)),"대여번호없음"))</f>
        <v/>
      </c>
      <c r="D1027" s="11"/>
      <c r="E1027" s="9"/>
      <c r="F1027" s="10"/>
    </row>
    <row r="1028" customFormat="false" ht="15" hidden="false" customHeight="false" outlineLevel="0" collapsed="false">
      <c r="A1028" s="15"/>
      <c r="B1028" s="10"/>
      <c r="C1028" s="18" t="str">
        <f aca="false">IF($B1028="","",IFERROR(INDEX(대여내역!$E$3:$E$1002,MATCH($B1028,대여내역!$A$3:$A$1002,0)),"대여번호없음"))</f>
        <v/>
      </c>
      <c r="D1028" s="11"/>
      <c r="E1028" s="9"/>
      <c r="F1028" s="10"/>
    </row>
    <row r="1029" customFormat="false" ht="15" hidden="false" customHeight="false" outlineLevel="0" collapsed="false">
      <c r="A1029" s="15"/>
      <c r="B1029" s="10"/>
      <c r="C1029" s="18" t="str">
        <f aca="false">IF($B1029="","",IFERROR(INDEX(대여내역!$E$3:$E$1002,MATCH($B1029,대여내역!$A$3:$A$1002,0)),"대여번호없음"))</f>
        <v/>
      </c>
      <c r="D1029" s="11"/>
      <c r="E1029" s="9"/>
      <c r="F1029" s="10"/>
    </row>
    <row r="1030" customFormat="false" ht="15" hidden="false" customHeight="false" outlineLevel="0" collapsed="false">
      <c r="A1030" s="15"/>
      <c r="B1030" s="10"/>
      <c r="C1030" s="18" t="str">
        <f aca="false">IF($B1030="","",IFERROR(INDEX(대여내역!$E$3:$E$1002,MATCH($B1030,대여내역!$A$3:$A$1002,0)),"대여번호없음"))</f>
        <v/>
      </c>
      <c r="D1030" s="11"/>
      <c r="E1030" s="9"/>
      <c r="F1030" s="10"/>
    </row>
    <row r="1031" customFormat="false" ht="15" hidden="false" customHeight="false" outlineLevel="0" collapsed="false">
      <c r="A1031" s="15"/>
      <c r="B1031" s="10"/>
      <c r="C1031" s="18" t="str">
        <f aca="false">IF($B1031="","",IFERROR(INDEX(대여내역!$E$3:$E$1002,MATCH($B1031,대여내역!$A$3:$A$1002,0)),"대여번호없음"))</f>
        <v/>
      </c>
      <c r="D1031" s="11"/>
      <c r="E1031" s="9"/>
      <c r="F1031" s="10"/>
    </row>
    <row r="1032" customFormat="false" ht="15" hidden="false" customHeight="false" outlineLevel="0" collapsed="false">
      <c r="A1032" s="15"/>
      <c r="B1032" s="10"/>
      <c r="C1032" s="18" t="str">
        <f aca="false">IF($B1032="","",IFERROR(INDEX(대여내역!$E$3:$E$1002,MATCH($B1032,대여내역!$A$3:$A$1002,0)),"대여번호없음"))</f>
        <v/>
      </c>
      <c r="D1032" s="11"/>
      <c r="E1032" s="9"/>
      <c r="F1032" s="10"/>
    </row>
    <row r="1033" customFormat="false" ht="15" hidden="false" customHeight="false" outlineLevel="0" collapsed="false">
      <c r="A1033" s="15"/>
      <c r="B1033" s="10"/>
      <c r="C1033" s="18" t="str">
        <f aca="false">IF($B1033="","",IFERROR(INDEX(대여내역!$E$3:$E$1002,MATCH($B1033,대여내역!$A$3:$A$1002,0)),"대여번호없음"))</f>
        <v/>
      </c>
      <c r="D1033" s="11"/>
      <c r="E1033" s="9"/>
      <c r="F1033" s="10"/>
    </row>
    <row r="1034" customFormat="false" ht="15" hidden="false" customHeight="false" outlineLevel="0" collapsed="false">
      <c r="A1034" s="15"/>
      <c r="B1034" s="10"/>
      <c r="C1034" s="18" t="str">
        <f aca="false">IF($B1034="","",IFERROR(INDEX(대여내역!$E$3:$E$1002,MATCH($B1034,대여내역!$A$3:$A$1002,0)),"대여번호없음"))</f>
        <v/>
      </c>
      <c r="D1034" s="11"/>
      <c r="E1034" s="9"/>
      <c r="F1034" s="10"/>
    </row>
    <row r="1035" customFormat="false" ht="15" hidden="false" customHeight="false" outlineLevel="0" collapsed="false">
      <c r="A1035" s="15"/>
      <c r="B1035" s="10"/>
      <c r="C1035" s="18" t="str">
        <f aca="false">IF($B1035="","",IFERROR(INDEX(대여내역!$E$3:$E$1002,MATCH($B1035,대여내역!$A$3:$A$1002,0)),"대여번호없음"))</f>
        <v/>
      </c>
      <c r="D1035" s="11"/>
      <c r="E1035" s="9"/>
      <c r="F1035" s="10"/>
    </row>
    <row r="1036" customFormat="false" ht="15" hidden="false" customHeight="false" outlineLevel="0" collapsed="false">
      <c r="A1036" s="15"/>
      <c r="B1036" s="10"/>
      <c r="C1036" s="18" t="str">
        <f aca="false">IF($B1036="","",IFERROR(INDEX(대여내역!$E$3:$E$1002,MATCH($B1036,대여내역!$A$3:$A$1002,0)),"대여번호없음"))</f>
        <v/>
      </c>
      <c r="D1036" s="11"/>
      <c r="E1036" s="9"/>
      <c r="F1036" s="10"/>
    </row>
    <row r="1037" customFormat="false" ht="15" hidden="false" customHeight="false" outlineLevel="0" collapsed="false">
      <c r="A1037" s="15"/>
      <c r="B1037" s="10"/>
      <c r="C1037" s="18" t="str">
        <f aca="false">IF($B1037="","",IFERROR(INDEX(대여내역!$E$3:$E$1002,MATCH($B1037,대여내역!$A$3:$A$1002,0)),"대여번호없음"))</f>
        <v/>
      </c>
      <c r="D1037" s="11"/>
      <c r="E1037" s="9"/>
      <c r="F1037" s="10"/>
    </row>
    <row r="1038" customFormat="false" ht="15" hidden="false" customHeight="false" outlineLevel="0" collapsed="false">
      <c r="A1038" s="15"/>
      <c r="B1038" s="10"/>
      <c r="C1038" s="18" t="str">
        <f aca="false">IF($B1038="","",IFERROR(INDEX(대여내역!$E$3:$E$1002,MATCH($B1038,대여내역!$A$3:$A$1002,0)),"대여번호없음"))</f>
        <v/>
      </c>
      <c r="D1038" s="11"/>
      <c r="E1038" s="9"/>
      <c r="F1038" s="10"/>
    </row>
    <row r="1039" customFormat="false" ht="15" hidden="false" customHeight="false" outlineLevel="0" collapsed="false">
      <c r="A1039" s="15"/>
      <c r="B1039" s="10"/>
      <c r="C1039" s="18" t="str">
        <f aca="false">IF($B1039="","",IFERROR(INDEX(대여내역!$E$3:$E$1002,MATCH($B1039,대여내역!$A$3:$A$1002,0)),"대여번호없음"))</f>
        <v/>
      </c>
      <c r="D1039" s="11"/>
      <c r="E1039" s="9"/>
      <c r="F1039" s="10"/>
    </row>
    <row r="1040" customFormat="false" ht="15" hidden="false" customHeight="false" outlineLevel="0" collapsed="false">
      <c r="A1040" s="15"/>
      <c r="B1040" s="10"/>
      <c r="C1040" s="18" t="str">
        <f aca="false">IF($B1040="","",IFERROR(INDEX(대여내역!$E$3:$E$1002,MATCH($B1040,대여내역!$A$3:$A$1002,0)),"대여번호없음"))</f>
        <v/>
      </c>
      <c r="D1040" s="11"/>
      <c r="E1040" s="9"/>
      <c r="F1040" s="10"/>
    </row>
    <row r="1041" customFormat="false" ht="15" hidden="false" customHeight="false" outlineLevel="0" collapsed="false">
      <c r="A1041" s="15"/>
      <c r="B1041" s="10"/>
      <c r="C1041" s="18" t="str">
        <f aca="false">IF($B1041="","",IFERROR(INDEX(대여내역!$E$3:$E$1002,MATCH($B1041,대여내역!$A$3:$A$1002,0)),"대여번호없음"))</f>
        <v/>
      </c>
      <c r="D1041" s="11"/>
      <c r="E1041" s="9"/>
      <c r="F1041" s="10"/>
    </row>
    <row r="1042" customFormat="false" ht="15" hidden="false" customHeight="false" outlineLevel="0" collapsed="false">
      <c r="A1042" s="15"/>
      <c r="B1042" s="10"/>
      <c r="C1042" s="18" t="str">
        <f aca="false">IF($B1042="","",IFERROR(INDEX(대여내역!$E$3:$E$1002,MATCH($B1042,대여내역!$A$3:$A$1002,0)),"대여번호없음"))</f>
        <v/>
      </c>
      <c r="D1042" s="11"/>
      <c r="E1042" s="9"/>
      <c r="F1042" s="10"/>
    </row>
    <row r="1043" customFormat="false" ht="15" hidden="false" customHeight="false" outlineLevel="0" collapsed="false">
      <c r="A1043" s="15"/>
      <c r="B1043" s="10"/>
      <c r="C1043" s="18" t="str">
        <f aca="false">IF($B1043="","",IFERROR(INDEX(대여내역!$E$3:$E$1002,MATCH($B1043,대여내역!$A$3:$A$1002,0)),"대여번호없음"))</f>
        <v/>
      </c>
      <c r="D1043" s="11"/>
      <c r="E1043" s="9"/>
      <c r="F1043" s="10"/>
    </row>
    <row r="1044" customFormat="false" ht="15" hidden="false" customHeight="false" outlineLevel="0" collapsed="false">
      <c r="A1044" s="15"/>
      <c r="B1044" s="10"/>
      <c r="C1044" s="18" t="str">
        <f aca="false">IF($B1044="","",IFERROR(INDEX(대여내역!$E$3:$E$1002,MATCH($B1044,대여내역!$A$3:$A$1002,0)),"대여번호없음"))</f>
        <v/>
      </c>
      <c r="D1044" s="11"/>
      <c r="E1044" s="9"/>
      <c r="F1044" s="10"/>
    </row>
    <row r="1045" customFormat="false" ht="15" hidden="false" customHeight="false" outlineLevel="0" collapsed="false">
      <c r="A1045" s="15"/>
      <c r="B1045" s="10"/>
      <c r="C1045" s="18" t="str">
        <f aca="false">IF($B1045="","",IFERROR(INDEX(대여내역!$E$3:$E$1002,MATCH($B1045,대여내역!$A$3:$A$1002,0)),"대여번호없음"))</f>
        <v/>
      </c>
      <c r="D1045" s="11"/>
      <c r="E1045" s="9"/>
      <c r="F1045" s="10"/>
    </row>
    <row r="1046" customFormat="false" ht="15" hidden="false" customHeight="false" outlineLevel="0" collapsed="false">
      <c r="A1046" s="15"/>
      <c r="B1046" s="10"/>
      <c r="C1046" s="18" t="str">
        <f aca="false">IF($B1046="","",IFERROR(INDEX(대여내역!$E$3:$E$1002,MATCH($B1046,대여내역!$A$3:$A$1002,0)),"대여번호없음"))</f>
        <v/>
      </c>
      <c r="D1046" s="11"/>
      <c r="E1046" s="9"/>
      <c r="F1046" s="10"/>
    </row>
    <row r="1047" customFormat="false" ht="15" hidden="false" customHeight="false" outlineLevel="0" collapsed="false">
      <c r="A1047" s="15"/>
      <c r="B1047" s="10"/>
      <c r="C1047" s="18" t="str">
        <f aca="false">IF($B1047="","",IFERROR(INDEX(대여내역!$E$3:$E$1002,MATCH($B1047,대여내역!$A$3:$A$1002,0)),"대여번호없음"))</f>
        <v/>
      </c>
      <c r="D1047" s="11"/>
      <c r="E1047" s="9"/>
      <c r="F1047" s="10"/>
    </row>
    <row r="1048" customFormat="false" ht="15" hidden="false" customHeight="false" outlineLevel="0" collapsed="false">
      <c r="A1048" s="15"/>
      <c r="B1048" s="10"/>
      <c r="C1048" s="18" t="str">
        <f aca="false">IF($B1048="","",IFERROR(INDEX(대여내역!$E$3:$E$1002,MATCH($B1048,대여내역!$A$3:$A$1002,0)),"대여번호없음"))</f>
        <v/>
      </c>
      <c r="D1048" s="11"/>
      <c r="E1048" s="9"/>
      <c r="F1048" s="10"/>
    </row>
    <row r="1049" customFormat="false" ht="15" hidden="false" customHeight="false" outlineLevel="0" collapsed="false">
      <c r="A1049" s="15"/>
      <c r="B1049" s="10"/>
      <c r="C1049" s="18" t="str">
        <f aca="false">IF($B1049="","",IFERROR(INDEX(대여내역!$E$3:$E$1002,MATCH($B1049,대여내역!$A$3:$A$1002,0)),"대여번호없음"))</f>
        <v/>
      </c>
      <c r="D1049" s="11"/>
      <c r="E1049" s="9"/>
      <c r="F1049" s="10"/>
    </row>
    <row r="1050" customFormat="false" ht="15" hidden="false" customHeight="false" outlineLevel="0" collapsed="false">
      <c r="A1050" s="15"/>
      <c r="B1050" s="10"/>
      <c r="C1050" s="18" t="str">
        <f aca="false">IF($B1050="","",IFERROR(INDEX(대여내역!$E$3:$E$1002,MATCH($B1050,대여내역!$A$3:$A$1002,0)),"대여번호없음"))</f>
        <v/>
      </c>
      <c r="D1050" s="11"/>
      <c r="E1050" s="9"/>
      <c r="F1050" s="10"/>
    </row>
    <row r="1051" customFormat="false" ht="15" hidden="false" customHeight="false" outlineLevel="0" collapsed="false">
      <c r="A1051" s="15"/>
      <c r="B1051" s="10"/>
      <c r="C1051" s="18" t="str">
        <f aca="false">IF($B1051="","",IFERROR(INDEX(대여내역!$E$3:$E$1002,MATCH($B1051,대여내역!$A$3:$A$1002,0)),"대여번호없음"))</f>
        <v/>
      </c>
      <c r="D1051" s="11"/>
      <c r="E1051" s="9"/>
      <c r="F1051" s="10"/>
    </row>
    <row r="1052" customFormat="false" ht="15" hidden="false" customHeight="false" outlineLevel="0" collapsed="false">
      <c r="A1052" s="15"/>
      <c r="B1052" s="10"/>
      <c r="C1052" s="18" t="str">
        <f aca="false">IF($B1052="","",IFERROR(INDEX(대여내역!$E$3:$E$1002,MATCH($B1052,대여내역!$A$3:$A$1002,0)),"대여번호없음"))</f>
        <v/>
      </c>
      <c r="D1052" s="11"/>
      <c r="E1052" s="9"/>
      <c r="F1052" s="10"/>
    </row>
    <row r="1053" customFormat="false" ht="15" hidden="false" customHeight="false" outlineLevel="0" collapsed="false">
      <c r="A1053" s="15"/>
      <c r="B1053" s="10"/>
      <c r="C1053" s="18" t="str">
        <f aca="false">IF($B1053="","",IFERROR(INDEX(대여내역!$E$3:$E$1002,MATCH($B1053,대여내역!$A$3:$A$1002,0)),"대여번호없음"))</f>
        <v/>
      </c>
      <c r="D1053" s="11"/>
      <c r="E1053" s="9"/>
      <c r="F1053" s="10"/>
    </row>
    <row r="1054" customFormat="false" ht="15" hidden="false" customHeight="false" outlineLevel="0" collapsed="false">
      <c r="A1054" s="15"/>
      <c r="B1054" s="10"/>
      <c r="C1054" s="18" t="str">
        <f aca="false">IF($B1054="","",IFERROR(INDEX(대여내역!$E$3:$E$1002,MATCH($B1054,대여내역!$A$3:$A$1002,0)),"대여번호없음"))</f>
        <v/>
      </c>
      <c r="D1054" s="11"/>
      <c r="E1054" s="9"/>
      <c r="F1054" s="10"/>
    </row>
    <row r="1055" customFormat="false" ht="15" hidden="false" customHeight="false" outlineLevel="0" collapsed="false">
      <c r="A1055" s="15"/>
      <c r="B1055" s="10"/>
      <c r="C1055" s="18" t="str">
        <f aca="false">IF($B1055="","",IFERROR(INDEX(대여내역!$E$3:$E$1002,MATCH($B1055,대여내역!$A$3:$A$1002,0)),"대여번호없음"))</f>
        <v/>
      </c>
      <c r="D1055" s="11"/>
      <c r="E1055" s="9"/>
      <c r="F1055" s="10"/>
    </row>
    <row r="1056" customFormat="false" ht="15" hidden="false" customHeight="false" outlineLevel="0" collapsed="false">
      <c r="A1056" s="15"/>
      <c r="B1056" s="10"/>
      <c r="C1056" s="18" t="str">
        <f aca="false">IF($B1056="","",IFERROR(INDEX(대여내역!$E$3:$E$1002,MATCH($B1056,대여내역!$A$3:$A$1002,0)),"대여번호없음"))</f>
        <v/>
      </c>
      <c r="D1056" s="11"/>
      <c r="E1056" s="9"/>
      <c r="F1056" s="10"/>
    </row>
    <row r="1057" customFormat="false" ht="15" hidden="false" customHeight="false" outlineLevel="0" collapsed="false">
      <c r="A1057" s="15"/>
      <c r="B1057" s="10"/>
      <c r="C1057" s="18" t="str">
        <f aca="false">IF($B1057="","",IFERROR(INDEX(대여내역!$E$3:$E$1002,MATCH($B1057,대여내역!$A$3:$A$1002,0)),"대여번호없음"))</f>
        <v/>
      </c>
      <c r="D1057" s="11"/>
      <c r="E1057" s="9"/>
      <c r="F1057" s="10"/>
    </row>
    <row r="1058" customFormat="false" ht="15" hidden="false" customHeight="false" outlineLevel="0" collapsed="false">
      <c r="A1058" s="15"/>
      <c r="B1058" s="10"/>
      <c r="C1058" s="18" t="str">
        <f aca="false">IF($B1058="","",IFERROR(INDEX(대여내역!$E$3:$E$1002,MATCH($B1058,대여내역!$A$3:$A$1002,0)),"대여번호없음"))</f>
        <v/>
      </c>
      <c r="D1058" s="11"/>
      <c r="E1058" s="9"/>
      <c r="F1058" s="10"/>
    </row>
    <row r="1059" customFormat="false" ht="15" hidden="false" customHeight="false" outlineLevel="0" collapsed="false">
      <c r="A1059" s="15"/>
      <c r="B1059" s="10"/>
      <c r="C1059" s="18" t="str">
        <f aca="false">IF($B1059="","",IFERROR(INDEX(대여내역!$E$3:$E$1002,MATCH($B1059,대여내역!$A$3:$A$1002,0)),"대여번호없음"))</f>
        <v/>
      </c>
      <c r="D1059" s="11"/>
      <c r="E1059" s="9"/>
      <c r="F1059" s="10"/>
    </row>
    <row r="1060" customFormat="false" ht="15" hidden="false" customHeight="false" outlineLevel="0" collapsed="false">
      <c r="A1060" s="15"/>
      <c r="B1060" s="10"/>
      <c r="C1060" s="18" t="str">
        <f aca="false">IF($B1060="","",IFERROR(INDEX(대여내역!$E$3:$E$1002,MATCH($B1060,대여내역!$A$3:$A$1002,0)),"대여번호없음"))</f>
        <v/>
      </c>
      <c r="D1060" s="11"/>
      <c r="E1060" s="9"/>
      <c r="F1060" s="10"/>
    </row>
    <row r="1061" customFormat="false" ht="15" hidden="false" customHeight="false" outlineLevel="0" collapsed="false">
      <c r="A1061" s="15"/>
      <c r="B1061" s="10"/>
      <c r="C1061" s="18" t="str">
        <f aca="false">IF($B1061="","",IFERROR(INDEX(대여내역!$E$3:$E$1002,MATCH($B1061,대여내역!$A$3:$A$1002,0)),"대여번호없음"))</f>
        <v/>
      </c>
      <c r="D1061" s="11"/>
      <c r="E1061" s="9"/>
      <c r="F1061" s="10"/>
    </row>
    <row r="1062" customFormat="false" ht="15" hidden="false" customHeight="false" outlineLevel="0" collapsed="false">
      <c r="A1062" s="15"/>
      <c r="B1062" s="10"/>
      <c r="C1062" s="18" t="str">
        <f aca="false">IF($B1062="","",IFERROR(INDEX(대여내역!$E$3:$E$1002,MATCH($B1062,대여내역!$A$3:$A$1002,0)),"대여번호없음"))</f>
        <v/>
      </c>
      <c r="D1062" s="11"/>
      <c r="E1062" s="9"/>
      <c r="F1062" s="10"/>
    </row>
    <row r="1063" customFormat="false" ht="15" hidden="false" customHeight="false" outlineLevel="0" collapsed="false">
      <c r="A1063" s="15"/>
      <c r="B1063" s="10"/>
      <c r="C1063" s="18" t="str">
        <f aca="false">IF($B1063="","",IFERROR(INDEX(대여내역!$E$3:$E$1002,MATCH($B1063,대여내역!$A$3:$A$1002,0)),"대여번호없음"))</f>
        <v/>
      </c>
      <c r="D1063" s="11"/>
      <c r="E1063" s="9"/>
      <c r="F1063" s="10"/>
    </row>
    <row r="1064" customFormat="false" ht="15" hidden="false" customHeight="false" outlineLevel="0" collapsed="false">
      <c r="A1064" s="15"/>
      <c r="B1064" s="10"/>
      <c r="C1064" s="18" t="str">
        <f aca="false">IF($B1064="","",IFERROR(INDEX(대여내역!$E$3:$E$1002,MATCH($B1064,대여내역!$A$3:$A$1002,0)),"대여번호없음"))</f>
        <v/>
      </c>
      <c r="D1064" s="11"/>
      <c r="E1064" s="9"/>
      <c r="F1064" s="10"/>
    </row>
    <row r="1065" customFormat="false" ht="15" hidden="false" customHeight="false" outlineLevel="0" collapsed="false">
      <c r="A1065" s="15"/>
      <c r="B1065" s="10"/>
      <c r="C1065" s="18" t="str">
        <f aca="false">IF($B1065="","",IFERROR(INDEX(대여내역!$E$3:$E$1002,MATCH($B1065,대여내역!$A$3:$A$1002,0)),"대여번호없음"))</f>
        <v/>
      </c>
      <c r="D1065" s="11"/>
      <c r="E1065" s="9"/>
      <c r="F1065" s="10"/>
    </row>
    <row r="1066" customFormat="false" ht="15" hidden="false" customHeight="false" outlineLevel="0" collapsed="false">
      <c r="A1066" s="15"/>
      <c r="B1066" s="10"/>
      <c r="C1066" s="18" t="str">
        <f aca="false">IF($B1066="","",IFERROR(INDEX(대여내역!$E$3:$E$1002,MATCH($B1066,대여내역!$A$3:$A$1002,0)),"대여번호없음"))</f>
        <v/>
      </c>
      <c r="D1066" s="11"/>
      <c r="E1066" s="9"/>
      <c r="F1066" s="10"/>
    </row>
    <row r="1067" customFormat="false" ht="15" hidden="false" customHeight="false" outlineLevel="0" collapsed="false">
      <c r="A1067" s="15"/>
      <c r="B1067" s="10"/>
      <c r="C1067" s="18" t="str">
        <f aca="false">IF($B1067="","",IFERROR(INDEX(대여내역!$E$3:$E$1002,MATCH($B1067,대여내역!$A$3:$A$1002,0)),"대여번호없음"))</f>
        <v/>
      </c>
      <c r="D1067" s="11"/>
      <c r="E1067" s="9"/>
      <c r="F1067" s="10"/>
    </row>
    <row r="1068" customFormat="false" ht="15" hidden="false" customHeight="false" outlineLevel="0" collapsed="false">
      <c r="A1068" s="15"/>
      <c r="B1068" s="10"/>
      <c r="C1068" s="18" t="str">
        <f aca="false">IF($B1068="","",IFERROR(INDEX(대여내역!$E$3:$E$1002,MATCH($B1068,대여내역!$A$3:$A$1002,0)),"대여번호없음"))</f>
        <v/>
      </c>
      <c r="D1068" s="11"/>
      <c r="E1068" s="9"/>
      <c r="F1068" s="10"/>
    </row>
    <row r="1069" customFormat="false" ht="15" hidden="false" customHeight="false" outlineLevel="0" collapsed="false">
      <c r="A1069" s="15"/>
      <c r="B1069" s="10"/>
      <c r="C1069" s="18" t="str">
        <f aca="false">IF($B1069="","",IFERROR(INDEX(대여내역!$E$3:$E$1002,MATCH($B1069,대여내역!$A$3:$A$1002,0)),"대여번호없음"))</f>
        <v/>
      </c>
      <c r="D1069" s="11"/>
      <c r="E1069" s="9"/>
      <c r="F1069" s="10"/>
    </row>
    <row r="1070" customFormat="false" ht="15" hidden="false" customHeight="false" outlineLevel="0" collapsed="false">
      <c r="A1070" s="15"/>
      <c r="B1070" s="10"/>
      <c r="C1070" s="18" t="str">
        <f aca="false">IF($B1070="","",IFERROR(INDEX(대여내역!$E$3:$E$1002,MATCH($B1070,대여내역!$A$3:$A$1002,0)),"대여번호없음"))</f>
        <v/>
      </c>
      <c r="D1070" s="11"/>
      <c r="E1070" s="9"/>
      <c r="F1070" s="10"/>
    </row>
    <row r="1071" customFormat="false" ht="15" hidden="false" customHeight="false" outlineLevel="0" collapsed="false">
      <c r="A1071" s="15"/>
      <c r="B1071" s="10"/>
      <c r="C1071" s="18" t="str">
        <f aca="false">IF($B1071="","",IFERROR(INDEX(대여내역!$E$3:$E$1002,MATCH($B1071,대여내역!$A$3:$A$1002,0)),"대여번호없음"))</f>
        <v/>
      </c>
      <c r="D1071" s="11"/>
      <c r="E1071" s="9"/>
      <c r="F1071" s="10"/>
    </row>
    <row r="1072" customFormat="false" ht="15" hidden="false" customHeight="false" outlineLevel="0" collapsed="false">
      <c r="A1072" s="15"/>
      <c r="B1072" s="10"/>
      <c r="C1072" s="18" t="str">
        <f aca="false">IF($B1072="","",IFERROR(INDEX(대여내역!$E$3:$E$1002,MATCH($B1072,대여내역!$A$3:$A$1002,0)),"대여번호없음"))</f>
        <v/>
      </c>
      <c r="D1072" s="11"/>
      <c r="E1072" s="9"/>
      <c r="F1072" s="10"/>
    </row>
    <row r="1073" customFormat="false" ht="15" hidden="false" customHeight="false" outlineLevel="0" collapsed="false">
      <c r="A1073" s="15"/>
      <c r="B1073" s="10"/>
      <c r="C1073" s="18" t="str">
        <f aca="false">IF($B1073="","",IFERROR(INDEX(대여내역!$E$3:$E$1002,MATCH($B1073,대여내역!$A$3:$A$1002,0)),"대여번호없음"))</f>
        <v/>
      </c>
      <c r="D1073" s="11"/>
      <c r="E1073" s="9"/>
      <c r="F1073" s="10"/>
    </row>
    <row r="1074" customFormat="false" ht="15" hidden="false" customHeight="false" outlineLevel="0" collapsed="false">
      <c r="A1074" s="15"/>
      <c r="B1074" s="10"/>
      <c r="C1074" s="18" t="str">
        <f aca="false">IF($B1074="","",IFERROR(INDEX(대여내역!$E$3:$E$1002,MATCH($B1074,대여내역!$A$3:$A$1002,0)),"대여번호없음"))</f>
        <v/>
      </c>
      <c r="D1074" s="11"/>
      <c r="E1074" s="9"/>
      <c r="F1074" s="10"/>
    </row>
    <row r="1075" customFormat="false" ht="15" hidden="false" customHeight="false" outlineLevel="0" collapsed="false">
      <c r="A1075" s="15"/>
      <c r="B1075" s="10"/>
      <c r="C1075" s="18" t="str">
        <f aca="false">IF($B1075="","",IFERROR(INDEX(대여내역!$E$3:$E$1002,MATCH($B1075,대여내역!$A$3:$A$1002,0)),"대여번호없음"))</f>
        <v/>
      </c>
      <c r="D1075" s="11"/>
      <c r="E1075" s="9"/>
      <c r="F1075" s="10"/>
    </row>
    <row r="1076" customFormat="false" ht="15" hidden="false" customHeight="false" outlineLevel="0" collapsed="false">
      <c r="A1076" s="15"/>
      <c r="B1076" s="10"/>
      <c r="C1076" s="18" t="str">
        <f aca="false">IF($B1076="","",IFERROR(INDEX(대여내역!$E$3:$E$1002,MATCH($B1076,대여내역!$A$3:$A$1002,0)),"대여번호없음"))</f>
        <v/>
      </c>
      <c r="D1076" s="11"/>
      <c r="E1076" s="9"/>
      <c r="F1076" s="10"/>
    </row>
    <row r="1077" customFormat="false" ht="15" hidden="false" customHeight="false" outlineLevel="0" collapsed="false">
      <c r="A1077" s="15"/>
      <c r="B1077" s="10"/>
      <c r="C1077" s="18" t="str">
        <f aca="false">IF($B1077="","",IFERROR(INDEX(대여내역!$E$3:$E$1002,MATCH($B1077,대여내역!$A$3:$A$1002,0)),"대여번호없음"))</f>
        <v/>
      </c>
      <c r="D1077" s="11"/>
      <c r="E1077" s="9"/>
      <c r="F1077" s="10"/>
    </row>
    <row r="1078" customFormat="false" ht="15" hidden="false" customHeight="false" outlineLevel="0" collapsed="false">
      <c r="A1078" s="15"/>
      <c r="B1078" s="10"/>
      <c r="C1078" s="18" t="str">
        <f aca="false">IF($B1078="","",IFERROR(INDEX(대여내역!$E$3:$E$1002,MATCH($B1078,대여내역!$A$3:$A$1002,0)),"대여번호없음"))</f>
        <v/>
      </c>
      <c r="D1078" s="11"/>
      <c r="E1078" s="9"/>
      <c r="F1078" s="10"/>
    </row>
    <row r="1079" customFormat="false" ht="15" hidden="false" customHeight="false" outlineLevel="0" collapsed="false">
      <c r="A1079" s="15"/>
      <c r="B1079" s="10"/>
      <c r="C1079" s="18" t="str">
        <f aca="false">IF($B1079="","",IFERROR(INDEX(대여내역!$E$3:$E$1002,MATCH($B1079,대여내역!$A$3:$A$1002,0)),"대여번호없음"))</f>
        <v/>
      </c>
      <c r="D1079" s="11"/>
      <c r="E1079" s="9"/>
      <c r="F1079" s="10"/>
    </row>
    <row r="1080" customFormat="false" ht="15" hidden="false" customHeight="false" outlineLevel="0" collapsed="false">
      <c r="A1080" s="15"/>
      <c r="B1080" s="10"/>
      <c r="C1080" s="18" t="str">
        <f aca="false">IF($B1080="","",IFERROR(INDEX(대여내역!$E$3:$E$1002,MATCH($B1080,대여내역!$A$3:$A$1002,0)),"대여번호없음"))</f>
        <v/>
      </c>
      <c r="D1080" s="11"/>
      <c r="E1080" s="9"/>
      <c r="F1080" s="10"/>
    </row>
    <row r="1081" customFormat="false" ht="15" hidden="false" customHeight="false" outlineLevel="0" collapsed="false">
      <c r="A1081" s="15"/>
      <c r="B1081" s="10"/>
      <c r="C1081" s="18" t="str">
        <f aca="false">IF($B1081="","",IFERROR(INDEX(대여내역!$E$3:$E$1002,MATCH($B1081,대여내역!$A$3:$A$1002,0)),"대여번호없음"))</f>
        <v/>
      </c>
      <c r="D1081" s="11"/>
      <c r="E1081" s="9"/>
      <c r="F1081" s="10"/>
    </row>
    <row r="1082" customFormat="false" ht="15" hidden="false" customHeight="false" outlineLevel="0" collapsed="false">
      <c r="A1082" s="15"/>
      <c r="B1082" s="10"/>
      <c r="C1082" s="18" t="str">
        <f aca="false">IF($B1082="","",IFERROR(INDEX(대여내역!$E$3:$E$1002,MATCH($B1082,대여내역!$A$3:$A$1002,0)),"대여번호없음"))</f>
        <v/>
      </c>
      <c r="D1082" s="11"/>
      <c r="E1082" s="9"/>
      <c r="F1082" s="10"/>
    </row>
    <row r="1083" customFormat="false" ht="15" hidden="false" customHeight="false" outlineLevel="0" collapsed="false">
      <c r="A1083" s="15"/>
      <c r="B1083" s="10"/>
      <c r="C1083" s="18" t="str">
        <f aca="false">IF($B1083="","",IFERROR(INDEX(대여내역!$E$3:$E$1002,MATCH($B1083,대여내역!$A$3:$A$1002,0)),"대여번호없음"))</f>
        <v/>
      </c>
      <c r="D1083" s="11"/>
      <c r="E1083" s="9"/>
      <c r="F1083" s="10"/>
    </row>
    <row r="1084" customFormat="false" ht="15" hidden="false" customHeight="false" outlineLevel="0" collapsed="false">
      <c r="A1084" s="15"/>
      <c r="B1084" s="10"/>
      <c r="C1084" s="18" t="str">
        <f aca="false">IF($B1084="","",IFERROR(INDEX(대여내역!$E$3:$E$1002,MATCH($B1084,대여내역!$A$3:$A$1002,0)),"대여번호없음"))</f>
        <v/>
      </c>
      <c r="D1084" s="11"/>
      <c r="E1084" s="9"/>
      <c r="F1084" s="10"/>
    </row>
    <row r="1085" customFormat="false" ht="15" hidden="false" customHeight="false" outlineLevel="0" collapsed="false">
      <c r="A1085" s="15"/>
      <c r="B1085" s="10"/>
      <c r="C1085" s="18" t="str">
        <f aca="false">IF($B1085="","",IFERROR(INDEX(대여내역!$E$3:$E$1002,MATCH($B1085,대여내역!$A$3:$A$1002,0)),"대여번호없음"))</f>
        <v/>
      </c>
      <c r="D1085" s="11"/>
      <c r="E1085" s="9"/>
      <c r="F1085" s="10"/>
    </row>
    <row r="1086" customFormat="false" ht="15" hidden="false" customHeight="false" outlineLevel="0" collapsed="false">
      <c r="A1086" s="15"/>
      <c r="B1086" s="10"/>
      <c r="C1086" s="18" t="str">
        <f aca="false">IF($B1086="","",IFERROR(INDEX(대여내역!$E$3:$E$1002,MATCH($B1086,대여내역!$A$3:$A$1002,0)),"대여번호없음"))</f>
        <v/>
      </c>
      <c r="D1086" s="11"/>
      <c r="E1086" s="9"/>
      <c r="F1086" s="10"/>
    </row>
    <row r="1087" customFormat="false" ht="15" hidden="false" customHeight="false" outlineLevel="0" collapsed="false">
      <c r="A1087" s="15"/>
      <c r="B1087" s="10"/>
      <c r="C1087" s="18" t="str">
        <f aca="false">IF($B1087="","",IFERROR(INDEX(대여내역!$E$3:$E$1002,MATCH($B1087,대여내역!$A$3:$A$1002,0)),"대여번호없음"))</f>
        <v/>
      </c>
      <c r="D1087" s="11"/>
      <c r="E1087" s="9"/>
      <c r="F1087" s="10"/>
    </row>
    <row r="1088" customFormat="false" ht="15" hidden="false" customHeight="false" outlineLevel="0" collapsed="false">
      <c r="A1088" s="15"/>
      <c r="B1088" s="10"/>
      <c r="C1088" s="18" t="str">
        <f aca="false">IF($B1088="","",IFERROR(INDEX(대여내역!$E$3:$E$1002,MATCH($B1088,대여내역!$A$3:$A$1002,0)),"대여번호없음"))</f>
        <v/>
      </c>
      <c r="D1088" s="11"/>
      <c r="E1088" s="9"/>
      <c r="F1088" s="10"/>
    </row>
    <row r="1089" customFormat="false" ht="15" hidden="false" customHeight="false" outlineLevel="0" collapsed="false">
      <c r="A1089" s="15"/>
      <c r="B1089" s="10"/>
      <c r="C1089" s="18" t="str">
        <f aca="false">IF($B1089="","",IFERROR(INDEX(대여내역!$E$3:$E$1002,MATCH($B1089,대여내역!$A$3:$A$1002,0)),"대여번호없음"))</f>
        <v/>
      </c>
      <c r="D1089" s="11"/>
      <c r="E1089" s="9"/>
      <c r="F1089" s="10"/>
    </row>
    <row r="1090" customFormat="false" ht="15" hidden="false" customHeight="false" outlineLevel="0" collapsed="false">
      <c r="A1090" s="15"/>
      <c r="B1090" s="10"/>
      <c r="C1090" s="18" t="str">
        <f aca="false">IF($B1090="","",IFERROR(INDEX(대여내역!$E$3:$E$1002,MATCH($B1090,대여내역!$A$3:$A$1002,0)),"대여번호없음"))</f>
        <v/>
      </c>
      <c r="D1090" s="11"/>
      <c r="E1090" s="9"/>
      <c r="F1090" s="10"/>
    </row>
    <row r="1091" customFormat="false" ht="15" hidden="false" customHeight="false" outlineLevel="0" collapsed="false">
      <c r="A1091" s="15"/>
      <c r="B1091" s="10"/>
      <c r="C1091" s="18" t="str">
        <f aca="false">IF($B1091="","",IFERROR(INDEX(대여내역!$E$3:$E$1002,MATCH($B1091,대여내역!$A$3:$A$1002,0)),"대여번호없음"))</f>
        <v/>
      </c>
      <c r="D1091" s="11"/>
      <c r="E1091" s="9"/>
      <c r="F1091" s="10"/>
    </row>
    <row r="1092" customFormat="false" ht="15" hidden="false" customHeight="false" outlineLevel="0" collapsed="false">
      <c r="A1092" s="15"/>
      <c r="B1092" s="10"/>
      <c r="C1092" s="18" t="str">
        <f aca="false">IF($B1092="","",IFERROR(INDEX(대여내역!$E$3:$E$1002,MATCH($B1092,대여내역!$A$3:$A$1002,0)),"대여번호없음"))</f>
        <v/>
      </c>
      <c r="D1092" s="11"/>
      <c r="E1092" s="9"/>
      <c r="F1092" s="10"/>
    </row>
    <row r="1093" customFormat="false" ht="15" hidden="false" customHeight="false" outlineLevel="0" collapsed="false">
      <c r="A1093" s="15"/>
      <c r="B1093" s="10"/>
      <c r="C1093" s="18" t="str">
        <f aca="false">IF($B1093="","",IFERROR(INDEX(대여내역!$E$3:$E$1002,MATCH($B1093,대여내역!$A$3:$A$1002,0)),"대여번호없음"))</f>
        <v/>
      </c>
      <c r="D1093" s="11"/>
      <c r="E1093" s="9"/>
      <c r="F1093" s="10"/>
    </row>
    <row r="1094" customFormat="false" ht="15" hidden="false" customHeight="false" outlineLevel="0" collapsed="false">
      <c r="A1094" s="15"/>
      <c r="B1094" s="10"/>
      <c r="C1094" s="18" t="str">
        <f aca="false">IF($B1094="","",IFERROR(INDEX(대여내역!$E$3:$E$1002,MATCH($B1094,대여내역!$A$3:$A$1002,0)),"대여번호없음"))</f>
        <v/>
      </c>
      <c r="D1094" s="11"/>
      <c r="E1094" s="9"/>
      <c r="F1094" s="10"/>
    </row>
    <row r="1095" customFormat="false" ht="15" hidden="false" customHeight="false" outlineLevel="0" collapsed="false">
      <c r="A1095" s="15"/>
      <c r="B1095" s="10"/>
      <c r="C1095" s="18" t="str">
        <f aca="false">IF($B1095="","",IFERROR(INDEX(대여내역!$E$3:$E$1002,MATCH($B1095,대여내역!$A$3:$A$1002,0)),"대여번호없음"))</f>
        <v/>
      </c>
      <c r="D1095" s="11"/>
      <c r="E1095" s="9"/>
      <c r="F1095" s="10"/>
    </row>
    <row r="1096" customFormat="false" ht="15" hidden="false" customHeight="false" outlineLevel="0" collapsed="false">
      <c r="A1096" s="15"/>
      <c r="B1096" s="10"/>
      <c r="C1096" s="18" t="str">
        <f aca="false">IF($B1096="","",IFERROR(INDEX(대여내역!$E$3:$E$1002,MATCH($B1096,대여내역!$A$3:$A$1002,0)),"대여번호없음"))</f>
        <v/>
      </c>
      <c r="D1096" s="11"/>
      <c r="E1096" s="9"/>
      <c r="F1096" s="10"/>
    </row>
    <row r="1097" customFormat="false" ht="15" hidden="false" customHeight="false" outlineLevel="0" collapsed="false">
      <c r="A1097" s="15"/>
      <c r="B1097" s="10"/>
      <c r="C1097" s="18" t="str">
        <f aca="false">IF($B1097="","",IFERROR(INDEX(대여내역!$E$3:$E$1002,MATCH($B1097,대여내역!$A$3:$A$1002,0)),"대여번호없음"))</f>
        <v/>
      </c>
      <c r="D1097" s="11"/>
      <c r="E1097" s="9"/>
      <c r="F1097" s="10"/>
    </row>
    <row r="1098" customFormat="false" ht="15" hidden="false" customHeight="false" outlineLevel="0" collapsed="false">
      <c r="A1098" s="15"/>
      <c r="B1098" s="10"/>
      <c r="C1098" s="18" t="str">
        <f aca="false">IF($B1098="","",IFERROR(INDEX(대여내역!$E$3:$E$1002,MATCH($B1098,대여내역!$A$3:$A$1002,0)),"대여번호없음"))</f>
        <v/>
      </c>
      <c r="D1098" s="11"/>
      <c r="E1098" s="9"/>
      <c r="F1098" s="10"/>
    </row>
    <row r="1099" customFormat="false" ht="15" hidden="false" customHeight="false" outlineLevel="0" collapsed="false">
      <c r="A1099" s="15"/>
      <c r="B1099" s="10"/>
      <c r="C1099" s="18" t="str">
        <f aca="false">IF($B1099="","",IFERROR(INDEX(대여내역!$E$3:$E$1002,MATCH($B1099,대여내역!$A$3:$A$1002,0)),"대여번호없음"))</f>
        <v/>
      </c>
      <c r="D1099" s="11"/>
      <c r="E1099" s="9"/>
      <c r="F1099" s="10"/>
    </row>
    <row r="1100" customFormat="false" ht="15" hidden="false" customHeight="false" outlineLevel="0" collapsed="false">
      <c r="A1100" s="15"/>
      <c r="B1100" s="10"/>
      <c r="C1100" s="18" t="str">
        <f aca="false">IF($B1100="","",IFERROR(INDEX(대여내역!$E$3:$E$1002,MATCH($B1100,대여내역!$A$3:$A$1002,0)),"대여번호없음"))</f>
        <v/>
      </c>
      <c r="D1100" s="11"/>
      <c r="E1100" s="9"/>
      <c r="F1100" s="10"/>
    </row>
    <row r="1101" customFormat="false" ht="15" hidden="false" customHeight="false" outlineLevel="0" collapsed="false">
      <c r="A1101" s="15"/>
      <c r="B1101" s="10"/>
      <c r="C1101" s="18" t="str">
        <f aca="false">IF($B1101="","",IFERROR(INDEX(대여내역!$E$3:$E$1002,MATCH($B1101,대여내역!$A$3:$A$1002,0)),"대여번호없음"))</f>
        <v/>
      </c>
      <c r="D1101" s="11"/>
      <c r="E1101" s="9"/>
      <c r="F1101" s="10"/>
    </row>
    <row r="1102" customFormat="false" ht="15" hidden="false" customHeight="false" outlineLevel="0" collapsed="false">
      <c r="A1102" s="15"/>
      <c r="B1102" s="10"/>
      <c r="C1102" s="18" t="str">
        <f aca="false">IF($B1102="","",IFERROR(INDEX(대여내역!$E$3:$E$1002,MATCH($B1102,대여내역!$A$3:$A$1002,0)),"대여번호없음"))</f>
        <v/>
      </c>
      <c r="D1102" s="11"/>
      <c r="E1102" s="9"/>
      <c r="F1102" s="10"/>
    </row>
    <row r="1103" customFormat="false" ht="15" hidden="false" customHeight="false" outlineLevel="0" collapsed="false">
      <c r="A1103" s="15"/>
      <c r="B1103" s="10"/>
      <c r="C1103" s="18" t="str">
        <f aca="false">IF($B1103="","",IFERROR(INDEX(대여내역!$E$3:$E$1002,MATCH($B1103,대여내역!$A$3:$A$1002,0)),"대여번호없음"))</f>
        <v/>
      </c>
      <c r="D1103" s="11"/>
      <c r="E1103" s="9"/>
      <c r="F1103" s="10"/>
    </row>
    <row r="1104" customFormat="false" ht="15" hidden="false" customHeight="false" outlineLevel="0" collapsed="false">
      <c r="A1104" s="15"/>
      <c r="B1104" s="10"/>
      <c r="C1104" s="18" t="str">
        <f aca="false">IF($B1104="","",IFERROR(INDEX(대여내역!$E$3:$E$1002,MATCH($B1104,대여내역!$A$3:$A$1002,0)),"대여번호없음"))</f>
        <v/>
      </c>
      <c r="D1104" s="11"/>
      <c r="E1104" s="9"/>
      <c r="F1104" s="10"/>
    </row>
    <row r="1105" customFormat="false" ht="15" hidden="false" customHeight="false" outlineLevel="0" collapsed="false">
      <c r="A1105" s="15"/>
      <c r="B1105" s="10"/>
      <c r="C1105" s="18" t="str">
        <f aca="false">IF($B1105="","",IFERROR(INDEX(대여내역!$E$3:$E$1002,MATCH($B1105,대여내역!$A$3:$A$1002,0)),"대여번호없음"))</f>
        <v/>
      </c>
      <c r="D1105" s="11"/>
      <c r="E1105" s="9"/>
      <c r="F1105" s="10"/>
    </row>
    <row r="1106" customFormat="false" ht="15" hidden="false" customHeight="false" outlineLevel="0" collapsed="false">
      <c r="A1106" s="15"/>
      <c r="B1106" s="10"/>
      <c r="C1106" s="18" t="str">
        <f aca="false">IF($B1106="","",IFERROR(INDEX(대여내역!$E$3:$E$1002,MATCH($B1106,대여내역!$A$3:$A$1002,0)),"대여번호없음"))</f>
        <v/>
      </c>
      <c r="D1106" s="11"/>
      <c r="E1106" s="9"/>
      <c r="F1106" s="10"/>
    </row>
    <row r="1107" customFormat="false" ht="15" hidden="false" customHeight="false" outlineLevel="0" collapsed="false">
      <c r="A1107" s="15"/>
      <c r="B1107" s="10"/>
      <c r="C1107" s="18" t="str">
        <f aca="false">IF($B1107="","",IFERROR(INDEX(대여내역!$E$3:$E$1002,MATCH($B1107,대여내역!$A$3:$A$1002,0)),"대여번호없음"))</f>
        <v/>
      </c>
      <c r="D1107" s="11"/>
      <c r="E1107" s="9"/>
      <c r="F1107" s="10"/>
    </row>
    <row r="1108" customFormat="false" ht="15" hidden="false" customHeight="false" outlineLevel="0" collapsed="false">
      <c r="A1108" s="15"/>
      <c r="B1108" s="10"/>
      <c r="C1108" s="18" t="str">
        <f aca="false">IF($B1108="","",IFERROR(INDEX(대여내역!$E$3:$E$1002,MATCH($B1108,대여내역!$A$3:$A$1002,0)),"대여번호없음"))</f>
        <v/>
      </c>
      <c r="D1108" s="11"/>
      <c r="E1108" s="9"/>
      <c r="F1108" s="10"/>
    </row>
    <row r="1109" customFormat="false" ht="15" hidden="false" customHeight="false" outlineLevel="0" collapsed="false">
      <c r="A1109" s="15"/>
      <c r="B1109" s="10"/>
      <c r="C1109" s="18" t="str">
        <f aca="false">IF($B1109="","",IFERROR(INDEX(대여내역!$E$3:$E$1002,MATCH($B1109,대여내역!$A$3:$A$1002,0)),"대여번호없음"))</f>
        <v/>
      </c>
      <c r="D1109" s="11"/>
      <c r="E1109" s="9"/>
      <c r="F1109" s="10"/>
    </row>
    <row r="1110" customFormat="false" ht="15" hidden="false" customHeight="false" outlineLevel="0" collapsed="false">
      <c r="A1110" s="15"/>
      <c r="B1110" s="10"/>
      <c r="C1110" s="18" t="str">
        <f aca="false">IF($B1110="","",IFERROR(INDEX(대여내역!$E$3:$E$1002,MATCH($B1110,대여내역!$A$3:$A$1002,0)),"대여번호없음"))</f>
        <v/>
      </c>
      <c r="D1110" s="11"/>
      <c r="E1110" s="9"/>
      <c r="F1110" s="10"/>
    </row>
    <row r="1111" customFormat="false" ht="15" hidden="false" customHeight="false" outlineLevel="0" collapsed="false">
      <c r="A1111" s="15"/>
      <c r="B1111" s="10"/>
      <c r="C1111" s="18" t="str">
        <f aca="false">IF($B1111="","",IFERROR(INDEX(대여내역!$E$3:$E$1002,MATCH($B1111,대여내역!$A$3:$A$1002,0)),"대여번호없음"))</f>
        <v/>
      </c>
      <c r="D1111" s="11"/>
      <c r="E1111" s="9"/>
      <c r="F1111" s="10"/>
    </row>
    <row r="1112" customFormat="false" ht="15" hidden="false" customHeight="false" outlineLevel="0" collapsed="false">
      <c r="A1112" s="15"/>
      <c r="B1112" s="10"/>
      <c r="C1112" s="18" t="str">
        <f aca="false">IF($B1112="","",IFERROR(INDEX(대여내역!$E$3:$E$1002,MATCH($B1112,대여내역!$A$3:$A$1002,0)),"대여번호없음"))</f>
        <v/>
      </c>
      <c r="D1112" s="11"/>
      <c r="E1112" s="9"/>
      <c r="F1112" s="10"/>
    </row>
    <row r="1113" customFormat="false" ht="15" hidden="false" customHeight="false" outlineLevel="0" collapsed="false">
      <c r="A1113" s="15"/>
      <c r="B1113" s="10"/>
      <c r="C1113" s="18" t="str">
        <f aca="false">IF($B1113="","",IFERROR(INDEX(대여내역!$E$3:$E$1002,MATCH($B1113,대여내역!$A$3:$A$1002,0)),"대여번호없음"))</f>
        <v/>
      </c>
      <c r="D1113" s="11"/>
      <c r="E1113" s="9"/>
      <c r="F1113" s="10"/>
    </row>
    <row r="1114" customFormat="false" ht="15" hidden="false" customHeight="false" outlineLevel="0" collapsed="false">
      <c r="A1114" s="15"/>
      <c r="B1114" s="10"/>
      <c r="C1114" s="18" t="str">
        <f aca="false">IF($B1114="","",IFERROR(INDEX(대여내역!$E$3:$E$1002,MATCH($B1114,대여내역!$A$3:$A$1002,0)),"대여번호없음"))</f>
        <v/>
      </c>
      <c r="D1114" s="11"/>
      <c r="E1114" s="9"/>
      <c r="F1114" s="10"/>
    </row>
    <row r="1115" customFormat="false" ht="15" hidden="false" customHeight="false" outlineLevel="0" collapsed="false">
      <c r="A1115" s="15"/>
      <c r="B1115" s="10"/>
      <c r="C1115" s="18" t="str">
        <f aca="false">IF($B1115="","",IFERROR(INDEX(대여내역!$E$3:$E$1002,MATCH($B1115,대여내역!$A$3:$A$1002,0)),"대여번호없음"))</f>
        <v/>
      </c>
      <c r="D1115" s="11"/>
      <c r="E1115" s="9"/>
      <c r="F1115" s="10"/>
    </row>
    <row r="1116" customFormat="false" ht="15" hidden="false" customHeight="false" outlineLevel="0" collapsed="false">
      <c r="A1116" s="15"/>
      <c r="B1116" s="10"/>
      <c r="C1116" s="18" t="str">
        <f aca="false">IF($B1116="","",IFERROR(INDEX(대여내역!$E$3:$E$1002,MATCH($B1116,대여내역!$A$3:$A$1002,0)),"대여번호없음"))</f>
        <v/>
      </c>
      <c r="D1116" s="11"/>
      <c r="E1116" s="9"/>
      <c r="F1116" s="10"/>
    </row>
    <row r="1117" customFormat="false" ht="15" hidden="false" customHeight="false" outlineLevel="0" collapsed="false">
      <c r="A1117" s="15"/>
      <c r="B1117" s="10"/>
      <c r="C1117" s="18" t="str">
        <f aca="false">IF($B1117="","",IFERROR(INDEX(대여내역!$E$3:$E$1002,MATCH($B1117,대여내역!$A$3:$A$1002,0)),"대여번호없음"))</f>
        <v/>
      </c>
      <c r="D1117" s="11"/>
      <c r="E1117" s="9"/>
      <c r="F1117" s="10"/>
    </row>
    <row r="1118" customFormat="false" ht="15" hidden="false" customHeight="false" outlineLevel="0" collapsed="false">
      <c r="A1118" s="15"/>
      <c r="B1118" s="10"/>
      <c r="C1118" s="18" t="str">
        <f aca="false">IF($B1118="","",IFERROR(INDEX(대여내역!$E$3:$E$1002,MATCH($B1118,대여내역!$A$3:$A$1002,0)),"대여번호없음"))</f>
        <v/>
      </c>
      <c r="D1118" s="11"/>
      <c r="E1118" s="9"/>
      <c r="F1118" s="10"/>
    </row>
    <row r="1119" customFormat="false" ht="15" hidden="false" customHeight="false" outlineLevel="0" collapsed="false">
      <c r="A1119" s="15"/>
      <c r="B1119" s="10"/>
      <c r="C1119" s="18" t="str">
        <f aca="false">IF($B1119="","",IFERROR(INDEX(대여내역!$E$3:$E$1002,MATCH($B1119,대여내역!$A$3:$A$1002,0)),"대여번호없음"))</f>
        <v/>
      </c>
      <c r="D1119" s="11"/>
      <c r="E1119" s="9"/>
      <c r="F1119" s="10"/>
    </row>
    <row r="1120" customFormat="false" ht="15" hidden="false" customHeight="false" outlineLevel="0" collapsed="false">
      <c r="A1120" s="15"/>
      <c r="B1120" s="10"/>
      <c r="C1120" s="18" t="str">
        <f aca="false">IF($B1120="","",IFERROR(INDEX(대여내역!$E$3:$E$1002,MATCH($B1120,대여내역!$A$3:$A$1002,0)),"대여번호없음"))</f>
        <v/>
      </c>
      <c r="D1120" s="11"/>
      <c r="E1120" s="9"/>
      <c r="F1120" s="10"/>
    </row>
    <row r="1121" customFormat="false" ht="15" hidden="false" customHeight="false" outlineLevel="0" collapsed="false">
      <c r="A1121" s="15"/>
      <c r="B1121" s="10"/>
      <c r="C1121" s="18" t="str">
        <f aca="false">IF($B1121="","",IFERROR(INDEX(대여내역!$E$3:$E$1002,MATCH($B1121,대여내역!$A$3:$A$1002,0)),"대여번호없음"))</f>
        <v/>
      </c>
      <c r="D1121" s="11"/>
      <c r="E1121" s="9"/>
      <c r="F1121" s="10"/>
    </row>
    <row r="1122" customFormat="false" ht="15" hidden="false" customHeight="false" outlineLevel="0" collapsed="false">
      <c r="A1122" s="15"/>
      <c r="B1122" s="10"/>
      <c r="C1122" s="18" t="str">
        <f aca="false">IF($B1122="","",IFERROR(INDEX(대여내역!$E$3:$E$1002,MATCH($B1122,대여내역!$A$3:$A$1002,0)),"대여번호없음"))</f>
        <v/>
      </c>
      <c r="D1122" s="11"/>
      <c r="E1122" s="9"/>
      <c r="F1122" s="10"/>
    </row>
    <row r="1123" customFormat="false" ht="15" hidden="false" customHeight="false" outlineLevel="0" collapsed="false">
      <c r="A1123" s="15"/>
      <c r="B1123" s="10"/>
      <c r="C1123" s="18" t="str">
        <f aca="false">IF($B1123="","",IFERROR(INDEX(대여내역!$E$3:$E$1002,MATCH($B1123,대여내역!$A$3:$A$1002,0)),"대여번호없음"))</f>
        <v/>
      </c>
      <c r="D1123" s="11"/>
      <c r="E1123" s="9"/>
      <c r="F1123" s="10"/>
    </row>
    <row r="1124" customFormat="false" ht="15" hidden="false" customHeight="false" outlineLevel="0" collapsed="false">
      <c r="A1124" s="15"/>
      <c r="B1124" s="10"/>
      <c r="C1124" s="18" t="str">
        <f aca="false">IF($B1124="","",IFERROR(INDEX(대여내역!$E$3:$E$1002,MATCH($B1124,대여내역!$A$3:$A$1002,0)),"대여번호없음"))</f>
        <v/>
      </c>
      <c r="D1124" s="11"/>
      <c r="E1124" s="9"/>
      <c r="F1124" s="10"/>
    </row>
    <row r="1125" customFormat="false" ht="15" hidden="false" customHeight="false" outlineLevel="0" collapsed="false">
      <c r="A1125" s="15"/>
      <c r="B1125" s="10"/>
      <c r="C1125" s="18" t="str">
        <f aca="false">IF($B1125="","",IFERROR(INDEX(대여내역!$E$3:$E$1002,MATCH($B1125,대여내역!$A$3:$A$1002,0)),"대여번호없음"))</f>
        <v/>
      </c>
      <c r="D1125" s="11"/>
      <c r="E1125" s="9"/>
      <c r="F1125" s="10"/>
    </row>
    <row r="1126" customFormat="false" ht="15" hidden="false" customHeight="false" outlineLevel="0" collapsed="false">
      <c r="A1126" s="15"/>
      <c r="B1126" s="10"/>
      <c r="C1126" s="18" t="str">
        <f aca="false">IF($B1126="","",IFERROR(INDEX(대여내역!$E$3:$E$1002,MATCH($B1126,대여내역!$A$3:$A$1002,0)),"대여번호없음"))</f>
        <v/>
      </c>
      <c r="D1126" s="11"/>
      <c r="E1126" s="9"/>
      <c r="F1126" s="10"/>
    </row>
    <row r="1127" customFormat="false" ht="15" hidden="false" customHeight="false" outlineLevel="0" collapsed="false">
      <c r="A1127" s="15"/>
      <c r="B1127" s="10"/>
      <c r="C1127" s="18" t="str">
        <f aca="false">IF($B1127="","",IFERROR(INDEX(대여내역!$E$3:$E$1002,MATCH($B1127,대여내역!$A$3:$A$1002,0)),"대여번호없음"))</f>
        <v/>
      </c>
      <c r="D1127" s="11"/>
      <c r="E1127" s="9"/>
      <c r="F1127" s="10"/>
    </row>
    <row r="1128" customFormat="false" ht="15" hidden="false" customHeight="false" outlineLevel="0" collapsed="false">
      <c r="A1128" s="15"/>
      <c r="B1128" s="10"/>
      <c r="C1128" s="18" t="str">
        <f aca="false">IF($B1128="","",IFERROR(INDEX(대여내역!$E$3:$E$1002,MATCH($B1128,대여내역!$A$3:$A$1002,0)),"대여번호없음"))</f>
        <v/>
      </c>
      <c r="D1128" s="11"/>
      <c r="E1128" s="9"/>
      <c r="F1128" s="10"/>
    </row>
    <row r="1129" customFormat="false" ht="15" hidden="false" customHeight="false" outlineLevel="0" collapsed="false">
      <c r="A1129" s="15"/>
      <c r="B1129" s="10"/>
      <c r="C1129" s="18" t="str">
        <f aca="false">IF($B1129="","",IFERROR(INDEX(대여내역!$E$3:$E$1002,MATCH($B1129,대여내역!$A$3:$A$1002,0)),"대여번호없음"))</f>
        <v/>
      </c>
      <c r="D1129" s="11"/>
      <c r="E1129" s="9"/>
      <c r="F1129" s="10"/>
    </row>
    <row r="1130" customFormat="false" ht="15" hidden="false" customHeight="false" outlineLevel="0" collapsed="false">
      <c r="A1130" s="15"/>
      <c r="B1130" s="10"/>
      <c r="C1130" s="18" t="str">
        <f aca="false">IF($B1130="","",IFERROR(INDEX(대여내역!$E$3:$E$1002,MATCH($B1130,대여내역!$A$3:$A$1002,0)),"대여번호없음"))</f>
        <v/>
      </c>
      <c r="D1130" s="11"/>
      <c r="E1130" s="9"/>
      <c r="F1130" s="10"/>
    </row>
    <row r="1131" customFormat="false" ht="15" hidden="false" customHeight="false" outlineLevel="0" collapsed="false">
      <c r="A1131" s="15"/>
      <c r="B1131" s="10"/>
      <c r="C1131" s="18" t="str">
        <f aca="false">IF($B1131="","",IFERROR(INDEX(대여내역!$E$3:$E$1002,MATCH($B1131,대여내역!$A$3:$A$1002,0)),"대여번호없음"))</f>
        <v/>
      </c>
      <c r="D1131" s="11"/>
      <c r="E1131" s="9"/>
      <c r="F1131" s="10"/>
    </row>
    <row r="1132" customFormat="false" ht="15" hidden="false" customHeight="false" outlineLevel="0" collapsed="false">
      <c r="A1132" s="15"/>
      <c r="B1132" s="10"/>
      <c r="C1132" s="18" t="str">
        <f aca="false">IF($B1132="","",IFERROR(INDEX(대여내역!$E$3:$E$1002,MATCH($B1132,대여내역!$A$3:$A$1002,0)),"대여번호없음"))</f>
        <v/>
      </c>
      <c r="D1132" s="11"/>
      <c r="E1132" s="9"/>
      <c r="F1132" s="10"/>
    </row>
    <row r="1133" customFormat="false" ht="15" hidden="false" customHeight="false" outlineLevel="0" collapsed="false">
      <c r="A1133" s="15"/>
      <c r="B1133" s="10"/>
      <c r="C1133" s="18" t="str">
        <f aca="false">IF($B1133="","",IFERROR(INDEX(대여내역!$E$3:$E$1002,MATCH($B1133,대여내역!$A$3:$A$1002,0)),"대여번호없음"))</f>
        <v/>
      </c>
      <c r="D1133" s="11"/>
      <c r="E1133" s="9"/>
      <c r="F1133" s="10"/>
    </row>
    <row r="1134" customFormat="false" ht="15" hidden="false" customHeight="false" outlineLevel="0" collapsed="false">
      <c r="A1134" s="15"/>
      <c r="B1134" s="10"/>
      <c r="C1134" s="18" t="str">
        <f aca="false">IF($B1134="","",IFERROR(INDEX(대여내역!$E$3:$E$1002,MATCH($B1134,대여내역!$A$3:$A$1002,0)),"대여번호없음"))</f>
        <v/>
      </c>
      <c r="D1134" s="11"/>
      <c r="E1134" s="9"/>
      <c r="F1134" s="10"/>
    </row>
    <row r="1135" customFormat="false" ht="15" hidden="false" customHeight="false" outlineLevel="0" collapsed="false">
      <c r="A1135" s="15"/>
      <c r="B1135" s="10"/>
      <c r="C1135" s="18" t="str">
        <f aca="false">IF($B1135="","",IFERROR(INDEX(대여내역!$E$3:$E$1002,MATCH($B1135,대여내역!$A$3:$A$1002,0)),"대여번호없음"))</f>
        <v/>
      </c>
      <c r="D1135" s="11"/>
      <c r="E1135" s="9"/>
      <c r="F1135" s="10"/>
    </row>
    <row r="1136" customFormat="false" ht="15" hidden="false" customHeight="false" outlineLevel="0" collapsed="false">
      <c r="A1136" s="15"/>
      <c r="B1136" s="10"/>
      <c r="C1136" s="18" t="str">
        <f aca="false">IF($B1136="","",IFERROR(INDEX(대여내역!$E$3:$E$1002,MATCH($B1136,대여내역!$A$3:$A$1002,0)),"대여번호없음"))</f>
        <v/>
      </c>
      <c r="D1136" s="11"/>
      <c r="E1136" s="9"/>
      <c r="F1136" s="10"/>
    </row>
    <row r="1137" customFormat="false" ht="15" hidden="false" customHeight="false" outlineLevel="0" collapsed="false">
      <c r="A1137" s="15"/>
      <c r="B1137" s="10"/>
      <c r="C1137" s="18" t="str">
        <f aca="false">IF($B1137="","",IFERROR(INDEX(대여내역!$E$3:$E$1002,MATCH($B1137,대여내역!$A$3:$A$1002,0)),"대여번호없음"))</f>
        <v/>
      </c>
      <c r="D1137" s="11"/>
      <c r="E1137" s="9"/>
      <c r="F1137" s="10"/>
    </row>
    <row r="1138" customFormat="false" ht="15" hidden="false" customHeight="false" outlineLevel="0" collapsed="false">
      <c r="A1138" s="15"/>
      <c r="B1138" s="10"/>
      <c r="C1138" s="18" t="str">
        <f aca="false">IF($B1138="","",IFERROR(INDEX(대여내역!$E$3:$E$1002,MATCH($B1138,대여내역!$A$3:$A$1002,0)),"대여번호없음"))</f>
        <v/>
      </c>
      <c r="D1138" s="11"/>
      <c r="E1138" s="9"/>
      <c r="F1138" s="10"/>
    </row>
    <row r="1139" customFormat="false" ht="15" hidden="false" customHeight="false" outlineLevel="0" collapsed="false">
      <c r="A1139" s="15"/>
      <c r="B1139" s="10"/>
      <c r="C1139" s="18" t="str">
        <f aca="false">IF($B1139="","",IFERROR(INDEX(대여내역!$E$3:$E$1002,MATCH($B1139,대여내역!$A$3:$A$1002,0)),"대여번호없음"))</f>
        <v/>
      </c>
      <c r="D1139" s="11"/>
      <c r="E1139" s="9"/>
      <c r="F1139" s="10"/>
    </row>
    <row r="1140" customFormat="false" ht="15" hidden="false" customHeight="false" outlineLevel="0" collapsed="false">
      <c r="A1140" s="15"/>
      <c r="B1140" s="10"/>
      <c r="C1140" s="18" t="str">
        <f aca="false">IF($B1140="","",IFERROR(INDEX(대여내역!$E$3:$E$1002,MATCH($B1140,대여내역!$A$3:$A$1002,0)),"대여번호없음"))</f>
        <v/>
      </c>
      <c r="D1140" s="11"/>
      <c r="E1140" s="9"/>
      <c r="F1140" s="10"/>
    </row>
    <row r="1141" customFormat="false" ht="15" hidden="false" customHeight="false" outlineLevel="0" collapsed="false">
      <c r="A1141" s="15"/>
      <c r="B1141" s="10"/>
      <c r="C1141" s="18" t="str">
        <f aca="false">IF($B1141="","",IFERROR(INDEX(대여내역!$E$3:$E$1002,MATCH($B1141,대여내역!$A$3:$A$1002,0)),"대여번호없음"))</f>
        <v/>
      </c>
      <c r="D1141" s="11"/>
      <c r="E1141" s="9"/>
      <c r="F1141" s="10"/>
    </row>
    <row r="1142" customFormat="false" ht="15" hidden="false" customHeight="false" outlineLevel="0" collapsed="false">
      <c r="A1142" s="15"/>
      <c r="B1142" s="10"/>
      <c r="C1142" s="18" t="str">
        <f aca="false">IF($B1142="","",IFERROR(INDEX(대여내역!$E$3:$E$1002,MATCH($B1142,대여내역!$A$3:$A$1002,0)),"대여번호없음"))</f>
        <v/>
      </c>
      <c r="D1142" s="11"/>
      <c r="E1142" s="9"/>
      <c r="F1142" s="10"/>
    </row>
    <row r="1143" customFormat="false" ht="15" hidden="false" customHeight="false" outlineLevel="0" collapsed="false">
      <c r="A1143" s="15"/>
      <c r="B1143" s="10"/>
      <c r="C1143" s="18" t="str">
        <f aca="false">IF($B1143="","",IFERROR(INDEX(대여내역!$E$3:$E$1002,MATCH($B1143,대여내역!$A$3:$A$1002,0)),"대여번호없음"))</f>
        <v/>
      </c>
      <c r="D1143" s="11"/>
      <c r="E1143" s="9"/>
      <c r="F1143" s="10"/>
    </row>
    <row r="1144" customFormat="false" ht="15" hidden="false" customHeight="false" outlineLevel="0" collapsed="false">
      <c r="A1144" s="15"/>
      <c r="B1144" s="10"/>
      <c r="C1144" s="18" t="str">
        <f aca="false">IF($B1144="","",IFERROR(INDEX(대여내역!$E$3:$E$1002,MATCH($B1144,대여내역!$A$3:$A$1002,0)),"대여번호없음"))</f>
        <v/>
      </c>
      <c r="D1144" s="11"/>
      <c r="E1144" s="9"/>
      <c r="F1144" s="10"/>
    </row>
    <row r="1145" customFormat="false" ht="15" hidden="false" customHeight="false" outlineLevel="0" collapsed="false">
      <c r="A1145" s="15"/>
      <c r="B1145" s="10"/>
      <c r="C1145" s="18" t="str">
        <f aca="false">IF($B1145="","",IFERROR(INDEX(대여내역!$E$3:$E$1002,MATCH($B1145,대여내역!$A$3:$A$1002,0)),"대여번호없음"))</f>
        <v/>
      </c>
      <c r="D1145" s="11"/>
      <c r="E1145" s="9"/>
      <c r="F1145" s="10"/>
    </row>
    <row r="1146" customFormat="false" ht="15" hidden="false" customHeight="false" outlineLevel="0" collapsed="false">
      <c r="A1146" s="15"/>
      <c r="B1146" s="10"/>
      <c r="C1146" s="18" t="str">
        <f aca="false">IF($B1146="","",IFERROR(INDEX(대여내역!$E$3:$E$1002,MATCH($B1146,대여내역!$A$3:$A$1002,0)),"대여번호없음"))</f>
        <v/>
      </c>
      <c r="D1146" s="11"/>
      <c r="E1146" s="9"/>
      <c r="F1146" s="10"/>
    </row>
    <row r="1147" customFormat="false" ht="15" hidden="false" customHeight="false" outlineLevel="0" collapsed="false">
      <c r="A1147" s="15"/>
      <c r="B1147" s="10"/>
      <c r="C1147" s="18" t="str">
        <f aca="false">IF($B1147="","",IFERROR(INDEX(대여내역!$E$3:$E$1002,MATCH($B1147,대여내역!$A$3:$A$1002,0)),"대여번호없음"))</f>
        <v/>
      </c>
      <c r="D1147" s="11"/>
      <c r="E1147" s="9"/>
      <c r="F1147" s="10"/>
    </row>
    <row r="1148" customFormat="false" ht="15" hidden="false" customHeight="false" outlineLevel="0" collapsed="false">
      <c r="A1148" s="15"/>
      <c r="B1148" s="10"/>
      <c r="C1148" s="18" t="str">
        <f aca="false">IF($B1148="","",IFERROR(INDEX(대여내역!$E$3:$E$1002,MATCH($B1148,대여내역!$A$3:$A$1002,0)),"대여번호없음"))</f>
        <v/>
      </c>
      <c r="D1148" s="11"/>
      <c r="E1148" s="9"/>
      <c r="F1148" s="10"/>
    </row>
    <row r="1149" customFormat="false" ht="15" hidden="false" customHeight="false" outlineLevel="0" collapsed="false">
      <c r="A1149" s="15"/>
      <c r="B1149" s="10"/>
      <c r="C1149" s="18" t="str">
        <f aca="false">IF($B1149="","",IFERROR(INDEX(대여내역!$E$3:$E$1002,MATCH($B1149,대여내역!$A$3:$A$1002,0)),"대여번호없음"))</f>
        <v/>
      </c>
      <c r="D1149" s="11"/>
      <c r="E1149" s="9"/>
      <c r="F1149" s="10"/>
    </row>
    <row r="1150" customFormat="false" ht="15" hidden="false" customHeight="false" outlineLevel="0" collapsed="false">
      <c r="A1150" s="15"/>
      <c r="B1150" s="10"/>
      <c r="C1150" s="18" t="str">
        <f aca="false">IF($B1150="","",IFERROR(INDEX(대여내역!$E$3:$E$1002,MATCH($B1150,대여내역!$A$3:$A$1002,0)),"대여번호없음"))</f>
        <v/>
      </c>
      <c r="D1150" s="11"/>
      <c r="E1150" s="9"/>
      <c r="F1150" s="10"/>
    </row>
    <row r="1151" customFormat="false" ht="15" hidden="false" customHeight="false" outlineLevel="0" collapsed="false">
      <c r="A1151" s="15"/>
      <c r="B1151" s="10"/>
      <c r="C1151" s="18" t="str">
        <f aca="false">IF($B1151="","",IFERROR(INDEX(대여내역!$E$3:$E$1002,MATCH($B1151,대여내역!$A$3:$A$1002,0)),"대여번호없음"))</f>
        <v/>
      </c>
      <c r="D1151" s="11"/>
      <c r="E1151" s="9"/>
      <c r="F1151" s="10"/>
    </row>
    <row r="1152" customFormat="false" ht="15" hidden="false" customHeight="false" outlineLevel="0" collapsed="false">
      <c r="A1152" s="15"/>
      <c r="B1152" s="10"/>
      <c r="C1152" s="18" t="str">
        <f aca="false">IF($B1152="","",IFERROR(INDEX(대여내역!$E$3:$E$1002,MATCH($B1152,대여내역!$A$3:$A$1002,0)),"대여번호없음"))</f>
        <v/>
      </c>
      <c r="D1152" s="11"/>
      <c r="E1152" s="9"/>
      <c r="F1152" s="10"/>
    </row>
    <row r="1153" customFormat="false" ht="15" hidden="false" customHeight="false" outlineLevel="0" collapsed="false">
      <c r="A1153" s="15"/>
      <c r="B1153" s="10"/>
      <c r="C1153" s="18" t="str">
        <f aca="false">IF($B1153="","",IFERROR(INDEX(대여내역!$E$3:$E$1002,MATCH($B1153,대여내역!$A$3:$A$1002,0)),"대여번호없음"))</f>
        <v/>
      </c>
      <c r="D1153" s="11"/>
      <c r="E1153" s="9"/>
      <c r="F1153" s="10"/>
    </row>
    <row r="1154" customFormat="false" ht="15" hidden="false" customHeight="false" outlineLevel="0" collapsed="false">
      <c r="A1154" s="15"/>
      <c r="B1154" s="10"/>
      <c r="C1154" s="18" t="str">
        <f aca="false">IF($B1154="","",IFERROR(INDEX(대여내역!$E$3:$E$1002,MATCH($B1154,대여내역!$A$3:$A$1002,0)),"대여번호없음"))</f>
        <v/>
      </c>
      <c r="D1154" s="11"/>
      <c r="E1154" s="9"/>
      <c r="F1154" s="10"/>
    </row>
    <row r="1155" customFormat="false" ht="15" hidden="false" customHeight="false" outlineLevel="0" collapsed="false">
      <c r="A1155" s="15"/>
      <c r="B1155" s="10"/>
      <c r="C1155" s="18" t="str">
        <f aca="false">IF($B1155="","",IFERROR(INDEX(대여내역!$E$3:$E$1002,MATCH($B1155,대여내역!$A$3:$A$1002,0)),"대여번호없음"))</f>
        <v/>
      </c>
      <c r="D1155" s="11"/>
      <c r="E1155" s="9"/>
      <c r="F1155" s="10"/>
    </row>
    <row r="1156" customFormat="false" ht="15" hidden="false" customHeight="false" outlineLevel="0" collapsed="false">
      <c r="A1156" s="15"/>
      <c r="B1156" s="10"/>
      <c r="C1156" s="18" t="str">
        <f aca="false">IF($B1156="","",IFERROR(INDEX(대여내역!$E$3:$E$1002,MATCH($B1156,대여내역!$A$3:$A$1002,0)),"대여번호없음"))</f>
        <v/>
      </c>
      <c r="D1156" s="11"/>
      <c r="E1156" s="9"/>
      <c r="F1156" s="10"/>
    </row>
    <row r="1157" customFormat="false" ht="15" hidden="false" customHeight="false" outlineLevel="0" collapsed="false">
      <c r="A1157" s="15"/>
      <c r="B1157" s="10"/>
      <c r="C1157" s="18" t="str">
        <f aca="false">IF($B1157="","",IFERROR(INDEX(대여내역!$E$3:$E$1002,MATCH($B1157,대여내역!$A$3:$A$1002,0)),"대여번호없음"))</f>
        <v/>
      </c>
      <c r="D1157" s="11"/>
      <c r="E1157" s="9"/>
      <c r="F1157" s="10"/>
    </row>
    <row r="1158" customFormat="false" ht="15" hidden="false" customHeight="false" outlineLevel="0" collapsed="false">
      <c r="A1158" s="15"/>
      <c r="B1158" s="10"/>
      <c r="C1158" s="18" t="str">
        <f aca="false">IF($B1158="","",IFERROR(INDEX(대여내역!$E$3:$E$1002,MATCH($B1158,대여내역!$A$3:$A$1002,0)),"대여번호없음"))</f>
        <v/>
      </c>
      <c r="D1158" s="11"/>
      <c r="E1158" s="9"/>
      <c r="F1158" s="10"/>
    </row>
    <row r="1159" customFormat="false" ht="15" hidden="false" customHeight="false" outlineLevel="0" collapsed="false">
      <c r="A1159" s="15"/>
      <c r="B1159" s="10"/>
      <c r="C1159" s="18" t="str">
        <f aca="false">IF($B1159="","",IFERROR(INDEX(대여내역!$E$3:$E$1002,MATCH($B1159,대여내역!$A$3:$A$1002,0)),"대여번호없음"))</f>
        <v/>
      </c>
      <c r="D1159" s="11"/>
      <c r="E1159" s="9"/>
      <c r="F1159" s="10"/>
    </row>
    <row r="1160" customFormat="false" ht="15" hidden="false" customHeight="false" outlineLevel="0" collapsed="false">
      <c r="A1160" s="15"/>
      <c r="B1160" s="10"/>
      <c r="C1160" s="18" t="str">
        <f aca="false">IF($B1160="","",IFERROR(INDEX(대여내역!$E$3:$E$1002,MATCH($B1160,대여내역!$A$3:$A$1002,0)),"대여번호없음"))</f>
        <v/>
      </c>
      <c r="D1160" s="11"/>
      <c r="E1160" s="9"/>
      <c r="F1160" s="10"/>
    </row>
    <row r="1161" customFormat="false" ht="15" hidden="false" customHeight="false" outlineLevel="0" collapsed="false">
      <c r="A1161" s="15"/>
      <c r="B1161" s="10"/>
      <c r="C1161" s="18" t="str">
        <f aca="false">IF($B1161="","",IFERROR(INDEX(대여내역!$E$3:$E$1002,MATCH($B1161,대여내역!$A$3:$A$1002,0)),"대여번호없음"))</f>
        <v/>
      </c>
      <c r="D1161" s="11"/>
      <c r="E1161" s="9"/>
      <c r="F1161" s="10"/>
    </row>
    <row r="1162" customFormat="false" ht="15" hidden="false" customHeight="false" outlineLevel="0" collapsed="false">
      <c r="A1162" s="15"/>
      <c r="B1162" s="10"/>
      <c r="C1162" s="18" t="str">
        <f aca="false">IF($B1162="","",IFERROR(INDEX(대여내역!$E$3:$E$1002,MATCH($B1162,대여내역!$A$3:$A$1002,0)),"대여번호없음"))</f>
        <v/>
      </c>
      <c r="D1162" s="11"/>
      <c r="E1162" s="9"/>
      <c r="F1162" s="10"/>
    </row>
    <row r="1163" customFormat="false" ht="15" hidden="false" customHeight="false" outlineLevel="0" collapsed="false">
      <c r="A1163" s="15"/>
      <c r="B1163" s="10"/>
      <c r="C1163" s="18" t="str">
        <f aca="false">IF($B1163="","",IFERROR(INDEX(대여내역!$E$3:$E$1002,MATCH($B1163,대여내역!$A$3:$A$1002,0)),"대여번호없음"))</f>
        <v/>
      </c>
      <c r="D1163" s="11"/>
      <c r="E1163" s="9"/>
      <c r="F1163" s="10"/>
    </row>
    <row r="1164" customFormat="false" ht="15" hidden="false" customHeight="false" outlineLevel="0" collapsed="false">
      <c r="A1164" s="15"/>
      <c r="B1164" s="10"/>
      <c r="C1164" s="18" t="str">
        <f aca="false">IF($B1164="","",IFERROR(INDEX(대여내역!$E$3:$E$1002,MATCH($B1164,대여내역!$A$3:$A$1002,0)),"대여번호없음"))</f>
        <v/>
      </c>
      <c r="D1164" s="11"/>
      <c r="E1164" s="9"/>
      <c r="F1164" s="10"/>
    </row>
    <row r="1165" customFormat="false" ht="15" hidden="false" customHeight="false" outlineLevel="0" collapsed="false">
      <c r="A1165" s="15"/>
      <c r="B1165" s="10"/>
      <c r="C1165" s="18" t="str">
        <f aca="false">IF($B1165="","",IFERROR(INDEX(대여내역!$E$3:$E$1002,MATCH($B1165,대여내역!$A$3:$A$1002,0)),"대여번호없음"))</f>
        <v/>
      </c>
      <c r="D1165" s="11"/>
      <c r="E1165" s="9"/>
      <c r="F1165" s="10"/>
    </row>
    <row r="1166" customFormat="false" ht="15" hidden="false" customHeight="false" outlineLevel="0" collapsed="false">
      <c r="A1166" s="15"/>
      <c r="B1166" s="10"/>
      <c r="C1166" s="18" t="str">
        <f aca="false">IF($B1166="","",IFERROR(INDEX(대여내역!$E$3:$E$1002,MATCH($B1166,대여내역!$A$3:$A$1002,0)),"대여번호없음"))</f>
        <v/>
      </c>
      <c r="D1166" s="11"/>
      <c r="E1166" s="9"/>
      <c r="F1166" s="10"/>
    </row>
    <row r="1167" customFormat="false" ht="15" hidden="false" customHeight="false" outlineLevel="0" collapsed="false">
      <c r="A1167" s="15"/>
      <c r="B1167" s="10"/>
      <c r="C1167" s="18" t="str">
        <f aca="false">IF($B1167="","",IFERROR(INDEX(대여내역!$E$3:$E$1002,MATCH($B1167,대여내역!$A$3:$A$1002,0)),"대여번호없음"))</f>
        <v/>
      </c>
      <c r="D1167" s="11"/>
      <c r="E1167" s="9"/>
      <c r="F1167" s="10"/>
    </row>
    <row r="1168" customFormat="false" ht="15" hidden="false" customHeight="false" outlineLevel="0" collapsed="false">
      <c r="A1168" s="15"/>
      <c r="B1168" s="10"/>
      <c r="C1168" s="18" t="str">
        <f aca="false">IF($B1168="","",IFERROR(INDEX(대여내역!$E$3:$E$1002,MATCH($B1168,대여내역!$A$3:$A$1002,0)),"대여번호없음"))</f>
        <v/>
      </c>
      <c r="D1168" s="11"/>
      <c r="E1168" s="9"/>
      <c r="F1168" s="10"/>
    </row>
    <row r="1169" customFormat="false" ht="15" hidden="false" customHeight="false" outlineLevel="0" collapsed="false">
      <c r="A1169" s="15"/>
      <c r="B1169" s="10"/>
      <c r="C1169" s="18" t="str">
        <f aca="false">IF($B1169="","",IFERROR(INDEX(대여내역!$E$3:$E$1002,MATCH($B1169,대여내역!$A$3:$A$1002,0)),"대여번호없음"))</f>
        <v/>
      </c>
      <c r="D1169" s="11"/>
      <c r="E1169" s="9"/>
      <c r="F1169" s="10"/>
    </row>
    <row r="1170" customFormat="false" ht="15" hidden="false" customHeight="false" outlineLevel="0" collapsed="false">
      <c r="A1170" s="15"/>
      <c r="B1170" s="10"/>
      <c r="C1170" s="18" t="str">
        <f aca="false">IF($B1170="","",IFERROR(INDEX(대여내역!$E$3:$E$1002,MATCH($B1170,대여내역!$A$3:$A$1002,0)),"대여번호없음"))</f>
        <v/>
      </c>
      <c r="D1170" s="11"/>
      <c r="E1170" s="9"/>
      <c r="F1170" s="10"/>
    </row>
    <row r="1171" customFormat="false" ht="15" hidden="false" customHeight="false" outlineLevel="0" collapsed="false">
      <c r="A1171" s="15"/>
      <c r="B1171" s="10"/>
      <c r="C1171" s="18" t="str">
        <f aca="false">IF($B1171="","",IFERROR(INDEX(대여내역!$E$3:$E$1002,MATCH($B1171,대여내역!$A$3:$A$1002,0)),"대여번호없음"))</f>
        <v/>
      </c>
      <c r="D1171" s="11"/>
      <c r="E1171" s="9"/>
      <c r="F1171" s="10"/>
    </row>
    <row r="1172" customFormat="false" ht="15" hidden="false" customHeight="false" outlineLevel="0" collapsed="false">
      <c r="A1172" s="15"/>
      <c r="B1172" s="10"/>
      <c r="C1172" s="18" t="str">
        <f aca="false">IF($B1172="","",IFERROR(INDEX(대여내역!$E$3:$E$1002,MATCH($B1172,대여내역!$A$3:$A$1002,0)),"대여번호없음"))</f>
        <v/>
      </c>
      <c r="D1172" s="11"/>
      <c r="E1172" s="9"/>
      <c r="F1172" s="10"/>
    </row>
    <row r="1173" customFormat="false" ht="15" hidden="false" customHeight="false" outlineLevel="0" collapsed="false">
      <c r="A1173" s="15"/>
      <c r="B1173" s="10"/>
      <c r="C1173" s="18" t="str">
        <f aca="false">IF($B1173="","",IFERROR(INDEX(대여내역!$E$3:$E$1002,MATCH($B1173,대여내역!$A$3:$A$1002,0)),"대여번호없음"))</f>
        <v/>
      </c>
      <c r="D1173" s="11"/>
      <c r="E1173" s="9"/>
      <c r="F1173" s="10"/>
    </row>
    <row r="1174" customFormat="false" ht="15" hidden="false" customHeight="false" outlineLevel="0" collapsed="false">
      <c r="A1174" s="15"/>
      <c r="B1174" s="10"/>
      <c r="C1174" s="18" t="str">
        <f aca="false">IF($B1174="","",IFERROR(INDEX(대여내역!$E$3:$E$1002,MATCH($B1174,대여내역!$A$3:$A$1002,0)),"대여번호없음"))</f>
        <v/>
      </c>
      <c r="D1174" s="11"/>
      <c r="E1174" s="9"/>
      <c r="F1174" s="10"/>
    </row>
    <row r="1175" customFormat="false" ht="15" hidden="false" customHeight="false" outlineLevel="0" collapsed="false">
      <c r="A1175" s="15"/>
      <c r="B1175" s="10"/>
      <c r="C1175" s="18" t="str">
        <f aca="false">IF($B1175="","",IFERROR(INDEX(대여내역!$E$3:$E$1002,MATCH($B1175,대여내역!$A$3:$A$1002,0)),"대여번호없음"))</f>
        <v/>
      </c>
      <c r="D1175" s="11"/>
      <c r="E1175" s="9"/>
      <c r="F1175" s="10"/>
    </row>
    <row r="1176" customFormat="false" ht="15" hidden="false" customHeight="false" outlineLevel="0" collapsed="false">
      <c r="A1176" s="15"/>
      <c r="B1176" s="10"/>
      <c r="C1176" s="18" t="str">
        <f aca="false">IF($B1176="","",IFERROR(INDEX(대여내역!$E$3:$E$1002,MATCH($B1176,대여내역!$A$3:$A$1002,0)),"대여번호없음"))</f>
        <v/>
      </c>
      <c r="D1176" s="11"/>
      <c r="E1176" s="9"/>
      <c r="F1176" s="10"/>
    </row>
    <row r="1177" customFormat="false" ht="15" hidden="false" customHeight="false" outlineLevel="0" collapsed="false">
      <c r="A1177" s="15"/>
      <c r="B1177" s="10"/>
      <c r="C1177" s="18" t="str">
        <f aca="false">IF($B1177="","",IFERROR(INDEX(대여내역!$E$3:$E$1002,MATCH($B1177,대여내역!$A$3:$A$1002,0)),"대여번호없음"))</f>
        <v/>
      </c>
      <c r="D1177" s="11"/>
      <c r="E1177" s="9"/>
      <c r="F1177" s="10"/>
    </row>
    <row r="1178" customFormat="false" ht="15" hidden="false" customHeight="false" outlineLevel="0" collapsed="false">
      <c r="A1178" s="15"/>
      <c r="B1178" s="10"/>
      <c r="C1178" s="18" t="str">
        <f aca="false">IF($B1178="","",IFERROR(INDEX(대여내역!$E$3:$E$1002,MATCH($B1178,대여내역!$A$3:$A$1002,0)),"대여번호없음"))</f>
        <v/>
      </c>
      <c r="D1178" s="11"/>
      <c r="E1178" s="9"/>
      <c r="F1178" s="10"/>
    </row>
    <row r="1179" customFormat="false" ht="15" hidden="false" customHeight="false" outlineLevel="0" collapsed="false">
      <c r="A1179" s="15"/>
      <c r="B1179" s="10"/>
      <c r="C1179" s="18" t="str">
        <f aca="false">IF($B1179="","",IFERROR(INDEX(대여내역!$E$3:$E$1002,MATCH($B1179,대여내역!$A$3:$A$1002,0)),"대여번호없음"))</f>
        <v/>
      </c>
      <c r="D1179" s="11"/>
      <c r="E1179" s="9"/>
      <c r="F1179" s="10"/>
    </row>
    <row r="1180" customFormat="false" ht="15" hidden="false" customHeight="false" outlineLevel="0" collapsed="false">
      <c r="A1180" s="15"/>
      <c r="B1180" s="10"/>
      <c r="C1180" s="18" t="str">
        <f aca="false">IF($B1180="","",IFERROR(INDEX(대여내역!$E$3:$E$1002,MATCH($B1180,대여내역!$A$3:$A$1002,0)),"대여번호없음"))</f>
        <v/>
      </c>
      <c r="D1180" s="11"/>
      <c r="E1180" s="9"/>
      <c r="F1180" s="10"/>
    </row>
    <row r="1181" customFormat="false" ht="15" hidden="false" customHeight="false" outlineLevel="0" collapsed="false">
      <c r="A1181" s="15"/>
      <c r="B1181" s="10"/>
      <c r="C1181" s="18" t="str">
        <f aca="false">IF($B1181="","",IFERROR(INDEX(대여내역!$E$3:$E$1002,MATCH($B1181,대여내역!$A$3:$A$1002,0)),"대여번호없음"))</f>
        <v/>
      </c>
      <c r="D1181" s="11"/>
      <c r="E1181" s="9"/>
      <c r="F1181" s="10"/>
    </row>
    <row r="1182" customFormat="false" ht="15" hidden="false" customHeight="false" outlineLevel="0" collapsed="false">
      <c r="A1182" s="15"/>
      <c r="B1182" s="10"/>
      <c r="C1182" s="18" t="str">
        <f aca="false">IF($B1182="","",IFERROR(INDEX(대여내역!$E$3:$E$1002,MATCH($B1182,대여내역!$A$3:$A$1002,0)),"대여번호없음"))</f>
        <v/>
      </c>
      <c r="D1182" s="11"/>
      <c r="E1182" s="9"/>
      <c r="F1182" s="10"/>
    </row>
    <row r="1183" customFormat="false" ht="15" hidden="false" customHeight="false" outlineLevel="0" collapsed="false">
      <c r="A1183" s="15"/>
      <c r="B1183" s="10"/>
      <c r="C1183" s="18" t="str">
        <f aca="false">IF($B1183="","",IFERROR(INDEX(대여내역!$E$3:$E$1002,MATCH($B1183,대여내역!$A$3:$A$1002,0)),"대여번호없음"))</f>
        <v/>
      </c>
      <c r="D1183" s="11"/>
      <c r="E1183" s="9"/>
      <c r="F1183" s="10"/>
    </row>
    <row r="1184" customFormat="false" ht="15" hidden="false" customHeight="false" outlineLevel="0" collapsed="false">
      <c r="A1184" s="15"/>
      <c r="B1184" s="10"/>
      <c r="C1184" s="18" t="str">
        <f aca="false">IF($B1184="","",IFERROR(INDEX(대여내역!$E$3:$E$1002,MATCH($B1184,대여내역!$A$3:$A$1002,0)),"대여번호없음"))</f>
        <v/>
      </c>
      <c r="D1184" s="11"/>
      <c r="E1184" s="9"/>
      <c r="F1184" s="10"/>
    </row>
    <row r="1185" customFormat="false" ht="15" hidden="false" customHeight="false" outlineLevel="0" collapsed="false">
      <c r="A1185" s="15"/>
      <c r="B1185" s="10"/>
      <c r="C1185" s="18" t="str">
        <f aca="false">IF($B1185="","",IFERROR(INDEX(대여내역!$E$3:$E$1002,MATCH($B1185,대여내역!$A$3:$A$1002,0)),"대여번호없음"))</f>
        <v/>
      </c>
      <c r="D1185" s="11"/>
      <c r="E1185" s="9"/>
      <c r="F1185" s="10"/>
    </row>
    <row r="1186" customFormat="false" ht="15" hidden="false" customHeight="false" outlineLevel="0" collapsed="false">
      <c r="A1186" s="15"/>
      <c r="B1186" s="10"/>
      <c r="C1186" s="18" t="str">
        <f aca="false">IF($B1186="","",IFERROR(INDEX(대여내역!$E$3:$E$1002,MATCH($B1186,대여내역!$A$3:$A$1002,0)),"대여번호없음"))</f>
        <v/>
      </c>
      <c r="D1186" s="11"/>
      <c r="E1186" s="9"/>
      <c r="F1186" s="10"/>
    </row>
    <row r="1187" customFormat="false" ht="15" hidden="false" customHeight="false" outlineLevel="0" collapsed="false">
      <c r="A1187" s="15"/>
      <c r="B1187" s="10"/>
      <c r="C1187" s="18" t="str">
        <f aca="false">IF($B1187="","",IFERROR(INDEX(대여내역!$E$3:$E$1002,MATCH($B1187,대여내역!$A$3:$A$1002,0)),"대여번호없음"))</f>
        <v/>
      </c>
      <c r="D1187" s="11"/>
      <c r="E1187" s="9"/>
      <c r="F1187" s="10"/>
    </row>
    <row r="1188" customFormat="false" ht="15" hidden="false" customHeight="false" outlineLevel="0" collapsed="false">
      <c r="A1188" s="15"/>
      <c r="B1188" s="10"/>
      <c r="C1188" s="18" t="str">
        <f aca="false">IF($B1188="","",IFERROR(INDEX(대여내역!$E$3:$E$1002,MATCH($B1188,대여내역!$A$3:$A$1002,0)),"대여번호없음"))</f>
        <v/>
      </c>
      <c r="D1188" s="11"/>
      <c r="E1188" s="9"/>
      <c r="F1188" s="10"/>
    </row>
    <row r="1189" customFormat="false" ht="15" hidden="false" customHeight="false" outlineLevel="0" collapsed="false">
      <c r="A1189" s="15"/>
      <c r="B1189" s="10"/>
      <c r="C1189" s="18" t="str">
        <f aca="false">IF($B1189="","",IFERROR(INDEX(대여내역!$E$3:$E$1002,MATCH($B1189,대여내역!$A$3:$A$1002,0)),"대여번호없음"))</f>
        <v/>
      </c>
      <c r="D1189" s="11"/>
      <c r="E1189" s="9"/>
      <c r="F1189" s="10"/>
    </row>
    <row r="1190" customFormat="false" ht="15" hidden="false" customHeight="false" outlineLevel="0" collapsed="false">
      <c r="A1190" s="15"/>
      <c r="B1190" s="10"/>
      <c r="C1190" s="18" t="str">
        <f aca="false">IF($B1190="","",IFERROR(INDEX(대여내역!$E$3:$E$1002,MATCH($B1190,대여내역!$A$3:$A$1002,0)),"대여번호없음"))</f>
        <v/>
      </c>
      <c r="D1190" s="11"/>
      <c r="E1190" s="9"/>
      <c r="F1190" s="10"/>
    </row>
    <row r="1191" customFormat="false" ht="15" hidden="false" customHeight="false" outlineLevel="0" collapsed="false">
      <c r="A1191" s="15"/>
      <c r="B1191" s="10"/>
      <c r="C1191" s="18" t="str">
        <f aca="false">IF($B1191="","",IFERROR(INDEX(대여내역!$E$3:$E$1002,MATCH($B1191,대여내역!$A$3:$A$1002,0)),"대여번호없음"))</f>
        <v/>
      </c>
      <c r="D1191" s="11"/>
      <c r="E1191" s="9"/>
      <c r="F1191" s="10"/>
    </row>
    <row r="1192" customFormat="false" ht="15" hidden="false" customHeight="false" outlineLevel="0" collapsed="false">
      <c r="A1192" s="15"/>
      <c r="B1192" s="10"/>
      <c r="C1192" s="18" t="str">
        <f aca="false">IF($B1192="","",IFERROR(INDEX(대여내역!$E$3:$E$1002,MATCH($B1192,대여내역!$A$3:$A$1002,0)),"대여번호없음"))</f>
        <v/>
      </c>
      <c r="D1192" s="11"/>
      <c r="E1192" s="9"/>
      <c r="F1192" s="10"/>
    </row>
    <row r="1193" customFormat="false" ht="15" hidden="false" customHeight="false" outlineLevel="0" collapsed="false">
      <c r="A1193" s="15"/>
      <c r="B1193" s="10"/>
      <c r="C1193" s="18" t="str">
        <f aca="false">IF($B1193="","",IFERROR(INDEX(대여내역!$E$3:$E$1002,MATCH($B1193,대여내역!$A$3:$A$1002,0)),"대여번호없음"))</f>
        <v/>
      </c>
      <c r="D1193" s="11"/>
      <c r="E1193" s="9"/>
      <c r="F1193" s="10"/>
    </row>
    <row r="1194" customFormat="false" ht="15" hidden="false" customHeight="false" outlineLevel="0" collapsed="false">
      <c r="A1194" s="15"/>
      <c r="B1194" s="10"/>
      <c r="C1194" s="18" t="str">
        <f aca="false">IF($B1194="","",IFERROR(INDEX(대여내역!$E$3:$E$1002,MATCH($B1194,대여내역!$A$3:$A$1002,0)),"대여번호없음"))</f>
        <v/>
      </c>
      <c r="D1194" s="11"/>
      <c r="E1194" s="9"/>
      <c r="F1194" s="10"/>
    </row>
    <row r="1195" customFormat="false" ht="15" hidden="false" customHeight="false" outlineLevel="0" collapsed="false">
      <c r="A1195" s="15"/>
      <c r="B1195" s="10"/>
      <c r="C1195" s="18" t="str">
        <f aca="false">IF($B1195="","",IFERROR(INDEX(대여내역!$E$3:$E$1002,MATCH($B1195,대여내역!$A$3:$A$1002,0)),"대여번호없음"))</f>
        <v/>
      </c>
      <c r="D1195" s="11"/>
      <c r="E1195" s="9"/>
      <c r="F1195" s="10"/>
    </row>
    <row r="1196" customFormat="false" ht="15" hidden="false" customHeight="false" outlineLevel="0" collapsed="false">
      <c r="A1196" s="15"/>
      <c r="B1196" s="10"/>
      <c r="C1196" s="18" t="str">
        <f aca="false">IF($B1196="","",IFERROR(INDEX(대여내역!$E$3:$E$1002,MATCH($B1196,대여내역!$A$3:$A$1002,0)),"대여번호없음"))</f>
        <v/>
      </c>
      <c r="D1196" s="11"/>
      <c r="E1196" s="9"/>
      <c r="F1196" s="10"/>
    </row>
    <row r="1197" customFormat="false" ht="15" hidden="false" customHeight="false" outlineLevel="0" collapsed="false">
      <c r="A1197" s="15"/>
      <c r="B1197" s="10"/>
      <c r="C1197" s="18" t="str">
        <f aca="false">IF($B1197="","",IFERROR(INDEX(대여내역!$E$3:$E$1002,MATCH($B1197,대여내역!$A$3:$A$1002,0)),"대여번호없음"))</f>
        <v/>
      </c>
      <c r="D1197" s="11"/>
      <c r="E1197" s="9"/>
      <c r="F1197" s="10"/>
    </row>
    <row r="1198" customFormat="false" ht="15" hidden="false" customHeight="false" outlineLevel="0" collapsed="false">
      <c r="A1198" s="15"/>
      <c r="B1198" s="10"/>
      <c r="C1198" s="18" t="str">
        <f aca="false">IF($B1198="","",IFERROR(INDEX(대여내역!$E$3:$E$1002,MATCH($B1198,대여내역!$A$3:$A$1002,0)),"대여번호없음"))</f>
        <v/>
      </c>
      <c r="D1198" s="11"/>
      <c r="E1198" s="9"/>
      <c r="F1198" s="10"/>
    </row>
    <row r="1199" customFormat="false" ht="15" hidden="false" customHeight="false" outlineLevel="0" collapsed="false">
      <c r="A1199" s="15"/>
      <c r="B1199" s="10"/>
      <c r="C1199" s="18" t="str">
        <f aca="false">IF($B1199="","",IFERROR(INDEX(대여내역!$E$3:$E$1002,MATCH($B1199,대여내역!$A$3:$A$1002,0)),"대여번호없음"))</f>
        <v/>
      </c>
      <c r="D1199" s="11"/>
      <c r="E1199" s="9"/>
      <c r="F1199" s="10"/>
    </row>
    <row r="1200" customFormat="false" ht="15" hidden="false" customHeight="false" outlineLevel="0" collapsed="false">
      <c r="A1200" s="15"/>
      <c r="B1200" s="10"/>
      <c r="C1200" s="18" t="str">
        <f aca="false">IF($B1200="","",IFERROR(INDEX(대여내역!$E$3:$E$1002,MATCH($B1200,대여내역!$A$3:$A$1002,0)),"대여번호없음"))</f>
        <v/>
      </c>
      <c r="D1200" s="11"/>
      <c r="E1200" s="9"/>
      <c r="F1200" s="10"/>
    </row>
    <row r="1201" customFormat="false" ht="15" hidden="false" customHeight="false" outlineLevel="0" collapsed="false">
      <c r="A1201" s="15"/>
      <c r="B1201" s="10"/>
      <c r="C1201" s="18" t="str">
        <f aca="false">IF($B1201="","",IFERROR(INDEX(대여내역!$E$3:$E$1002,MATCH($B1201,대여내역!$A$3:$A$1002,0)),"대여번호없음"))</f>
        <v/>
      </c>
      <c r="D1201" s="11"/>
      <c r="E1201" s="9"/>
      <c r="F1201" s="10"/>
    </row>
    <row r="1202" customFormat="false" ht="15" hidden="false" customHeight="false" outlineLevel="0" collapsed="false">
      <c r="A1202" s="15"/>
      <c r="B1202" s="10"/>
      <c r="C1202" s="18" t="str">
        <f aca="false">IF($B1202="","",IFERROR(INDEX(대여내역!$E$3:$E$1002,MATCH($B1202,대여내역!$A$3:$A$1002,0)),"대여번호없음"))</f>
        <v/>
      </c>
      <c r="D1202" s="11"/>
      <c r="E1202" s="9"/>
      <c r="F1202" s="10"/>
    </row>
    <row r="1203" customFormat="false" ht="15" hidden="false" customHeight="false" outlineLevel="0" collapsed="false">
      <c r="A1203" s="15"/>
      <c r="B1203" s="10"/>
      <c r="C1203" s="18" t="str">
        <f aca="false">IF($B1203="","",IFERROR(INDEX(대여내역!$E$3:$E$1002,MATCH($B1203,대여내역!$A$3:$A$1002,0)),"대여번호없음"))</f>
        <v/>
      </c>
      <c r="D1203" s="11"/>
      <c r="E1203" s="9"/>
      <c r="F1203" s="10"/>
    </row>
    <row r="1204" customFormat="false" ht="15" hidden="false" customHeight="false" outlineLevel="0" collapsed="false">
      <c r="A1204" s="15"/>
      <c r="B1204" s="10"/>
      <c r="C1204" s="18" t="str">
        <f aca="false">IF($B1204="","",IFERROR(INDEX(대여내역!$E$3:$E$1002,MATCH($B1204,대여내역!$A$3:$A$1002,0)),"대여번호없음"))</f>
        <v/>
      </c>
      <c r="D1204" s="11"/>
      <c r="E1204" s="9"/>
      <c r="F1204" s="10"/>
    </row>
    <row r="1205" customFormat="false" ht="15" hidden="false" customHeight="false" outlineLevel="0" collapsed="false">
      <c r="A1205" s="15"/>
      <c r="B1205" s="10"/>
      <c r="C1205" s="18" t="str">
        <f aca="false">IF($B1205="","",IFERROR(INDEX(대여내역!$E$3:$E$1002,MATCH($B1205,대여내역!$A$3:$A$1002,0)),"대여번호없음"))</f>
        <v/>
      </c>
      <c r="D1205" s="11"/>
      <c r="E1205" s="9"/>
      <c r="F1205" s="10"/>
    </row>
    <row r="1206" customFormat="false" ht="15" hidden="false" customHeight="false" outlineLevel="0" collapsed="false">
      <c r="A1206" s="15"/>
      <c r="B1206" s="10"/>
      <c r="C1206" s="18" t="str">
        <f aca="false">IF($B1206="","",IFERROR(INDEX(대여내역!$E$3:$E$1002,MATCH($B1206,대여내역!$A$3:$A$1002,0)),"대여번호없음"))</f>
        <v/>
      </c>
      <c r="D1206" s="11"/>
      <c r="E1206" s="9"/>
      <c r="F1206" s="10"/>
    </row>
    <row r="1207" customFormat="false" ht="15" hidden="false" customHeight="false" outlineLevel="0" collapsed="false">
      <c r="A1207" s="15"/>
      <c r="B1207" s="10"/>
      <c r="C1207" s="18" t="str">
        <f aca="false">IF($B1207="","",IFERROR(INDEX(대여내역!$E$3:$E$1002,MATCH($B1207,대여내역!$A$3:$A$1002,0)),"대여번호없음"))</f>
        <v/>
      </c>
      <c r="D1207" s="11"/>
      <c r="E1207" s="9"/>
      <c r="F1207" s="10"/>
    </row>
    <row r="1208" customFormat="false" ht="15" hidden="false" customHeight="false" outlineLevel="0" collapsed="false">
      <c r="A1208" s="15"/>
      <c r="B1208" s="10"/>
      <c r="C1208" s="18" t="str">
        <f aca="false">IF($B1208="","",IFERROR(INDEX(대여내역!$E$3:$E$1002,MATCH($B1208,대여내역!$A$3:$A$1002,0)),"대여번호없음"))</f>
        <v/>
      </c>
      <c r="D1208" s="11"/>
      <c r="E1208" s="9"/>
      <c r="F1208" s="10"/>
    </row>
    <row r="1209" customFormat="false" ht="15" hidden="false" customHeight="false" outlineLevel="0" collapsed="false">
      <c r="A1209" s="15"/>
      <c r="B1209" s="10"/>
      <c r="C1209" s="18" t="str">
        <f aca="false">IF($B1209="","",IFERROR(INDEX(대여내역!$E$3:$E$1002,MATCH($B1209,대여내역!$A$3:$A$1002,0)),"대여번호없음"))</f>
        <v/>
      </c>
      <c r="D1209" s="11"/>
      <c r="E1209" s="9"/>
      <c r="F1209" s="10"/>
    </row>
    <row r="1210" customFormat="false" ht="15" hidden="false" customHeight="false" outlineLevel="0" collapsed="false">
      <c r="A1210" s="15"/>
      <c r="B1210" s="10"/>
      <c r="C1210" s="18" t="str">
        <f aca="false">IF($B1210="","",IFERROR(INDEX(대여내역!$E$3:$E$1002,MATCH($B1210,대여내역!$A$3:$A$1002,0)),"대여번호없음"))</f>
        <v/>
      </c>
      <c r="D1210" s="11"/>
      <c r="E1210" s="9"/>
      <c r="F1210" s="10"/>
    </row>
    <row r="1211" customFormat="false" ht="15" hidden="false" customHeight="false" outlineLevel="0" collapsed="false">
      <c r="A1211" s="15"/>
      <c r="B1211" s="10"/>
      <c r="C1211" s="18" t="str">
        <f aca="false">IF($B1211="","",IFERROR(INDEX(대여내역!$E$3:$E$1002,MATCH($B1211,대여내역!$A$3:$A$1002,0)),"대여번호없음"))</f>
        <v/>
      </c>
      <c r="D1211" s="11"/>
      <c r="E1211" s="9"/>
      <c r="F1211" s="10"/>
    </row>
    <row r="1212" customFormat="false" ht="15" hidden="false" customHeight="false" outlineLevel="0" collapsed="false">
      <c r="A1212" s="15"/>
      <c r="B1212" s="10"/>
      <c r="C1212" s="18" t="str">
        <f aca="false">IF($B1212="","",IFERROR(INDEX(대여내역!$E$3:$E$1002,MATCH($B1212,대여내역!$A$3:$A$1002,0)),"대여번호없음"))</f>
        <v/>
      </c>
      <c r="D1212" s="11"/>
      <c r="E1212" s="9"/>
      <c r="F1212" s="10"/>
    </row>
    <row r="1213" customFormat="false" ht="15" hidden="false" customHeight="false" outlineLevel="0" collapsed="false">
      <c r="A1213" s="15"/>
      <c r="B1213" s="10"/>
      <c r="C1213" s="18" t="str">
        <f aca="false">IF($B1213="","",IFERROR(INDEX(대여내역!$E$3:$E$1002,MATCH($B1213,대여내역!$A$3:$A$1002,0)),"대여번호없음"))</f>
        <v/>
      </c>
      <c r="D1213" s="11"/>
      <c r="E1213" s="9"/>
      <c r="F1213" s="10"/>
    </row>
    <row r="1214" customFormat="false" ht="15" hidden="false" customHeight="false" outlineLevel="0" collapsed="false">
      <c r="A1214" s="15"/>
      <c r="B1214" s="10"/>
      <c r="C1214" s="18" t="str">
        <f aca="false">IF($B1214="","",IFERROR(INDEX(대여내역!$E$3:$E$1002,MATCH($B1214,대여내역!$A$3:$A$1002,0)),"대여번호없음"))</f>
        <v/>
      </c>
      <c r="D1214" s="11"/>
      <c r="E1214" s="9"/>
      <c r="F1214" s="10"/>
    </row>
    <row r="1215" customFormat="false" ht="15" hidden="false" customHeight="false" outlineLevel="0" collapsed="false">
      <c r="A1215" s="15"/>
      <c r="B1215" s="10"/>
      <c r="C1215" s="18" t="str">
        <f aca="false">IF($B1215="","",IFERROR(INDEX(대여내역!$E$3:$E$1002,MATCH($B1215,대여내역!$A$3:$A$1002,0)),"대여번호없음"))</f>
        <v/>
      </c>
      <c r="D1215" s="11"/>
      <c r="E1215" s="9"/>
      <c r="F1215" s="10"/>
    </row>
    <row r="1216" customFormat="false" ht="15" hidden="false" customHeight="false" outlineLevel="0" collapsed="false">
      <c r="A1216" s="15"/>
      <c r="B1216" s="10"/>
      <c r="C1216" s="18" t="str">
        <f aca="false">IF($B1216="","",IFERROR(INDEX(대여내역!$E$3:$E$1002,MATCH($B1216,대여내역!$A$3:$A$1002,0)),"대여번호없음"))</f>
        <v/>
      </c>
      <c r="D1216" s="11"/>
      <c r="E1216" s="9"/>
      <c r="F1216" s="10"/>
    </row>
    <row r="1217" customFormat="false" ht="15" hidden="false" customHeight="false" outlineLevel="0" collapsed="false">
      <c r="A1217" s="15"/>
      <c r="B1217" s="10"/>
      <c r="C1217" s="18" t="str">
        <f aca="false">IF($B1217="","",IFERROR(INDEX(대여내역!$E$3:$E$1002,MATCH($B1217,대여내역!$A$3:$A$1002,0)),"대여번호없음"))</f>
        <v/>
      </c>
      <c r="D1217" s="11"/>
      <c r="E1217" s="9"/>
      <c r="F1217" s="10"/>
    </row>
    <row r="1218" customFormat="false" ht="15" hidden="false" customHeight="false" outlineLevel="0" collapsed="false">
      <c r="A1218" s="15"/>
      <c r="B1218" s="10"/>
      <c r="C1218" s="18" t="str">
        <f aca="false">IF($B1218="","",IFERROR(INDEX(대여내역!$E$3:$E$1002,MATCH($B1218,대여내역!$A$3:$A$1002,0)),"대여번호없음"))</f>
        <v/>
      </c>
      <c r="D1218" s="11"/>
      <c r="E1218" s="9"/>
      <c r="F1218" s="10"/>
    </row>
    <row r="1219" customFormat="false" ht="15" hidden="false" customHeight="false" outlineLevel="0" collapsed="false">
      <c r="A1219" s="15"/>
      <c r="B1219" s="10"/>
      <c r="C1219" s="18" t="str">
        <f aca="false">IF($B1219="","",IFERROR(INDEX(대여내역!$E$3:$E$1002,MATCH($B1219,대여내역!$A$3:$A$1002,0)),"대여번호없음"))</f>
        <v/>
      </c>
      <c r="D1219" s="11"/>
      <c r="E1219" s="9"/>
      <c r="F1219" s="10"/>
    </row>
    <row r="1220" customFormat="false" ht="15" hidden="false" customHeight="false" outlineLevel="0" collapsed="false">
      <c r="A1220" s="15"/>
      <c r="B1220" s="10"/>
      <c r="C1220" s="18" t="str">
        <f aca="false">IF($B1220="","",IFERROR(INDEX(대여내역!$E$3:$E$1002,MATCH($B1220,대여내역!$A$3:$A$1002,0)),"대여번호없음"))</f>
        <v/>
      </c>
      <c r="D1220" s="11"/>
      <c r="E1220" s="9"/>
      <c r="F1220" s="10"/>
    </row>
    <row r="1221" customFormat="false" ht="15" hidden="false" customHeight="false" outlineLevel="0" collapsed="false">
      <c r="A1221" s="15"/>
      <c r="B1221" s="10"/>
      <c r="C1221" s="18" t="str">
        <f aca="false">IF($B1221="","",IFERROR(INDEX(대여내역!$E$3:$E$1002,MATCH($B1221,대여내역!$A$3:$A$1002,0)),"대여번호없음"))</f>
        <v/>
      </c>
      <c r="D1221" s="11"/>
      <c r="E1221" s="9"/>
      <c r="F1221" s="10"/>
    </row>
    <row r="1222" customFormat="false" ht="15" hidden="false" customHeight="false" outlineLevel="0" collapsed="false">
      <c r="A1222" s="15"/>
      <c r="B1222" s="10"/>
      <c r="C1222" s="18" t="str">
        <f aca="false">IF($B1222="","",IFERROR(INDEX(대여내역!$E$3:$E$1002,MATCH($B1222,대여내역!$A$3:$A$1002,0)),"대여번호없음"))</f>
        <v/>
      </c>
      <c r="D1222" s="11"/>
      <c r="E1222" s="9"/>
      <c r="F1222" s="10"/>
    </row>
    <row r="1223" customFormat="false" ht="15" hidden="false" customHeight="false" outlineLevel="0" collapsed="false">
      <c r="A1223" s="15"/>
      <c r="B1223" s="10"/>
      <c r="C1223" s="18" t="str">
        <f aca="false">IF($B1223="","",IFERROR(INDEX(대여내역!$E$3:$E$1002,MATCH($B1223,대여내역!$A$3:$A$1002,0)),"대여번호없음"))</f>
        <v/>
      </c>
      <c r="D1223" s="11"/>
      <c r="E1223" s="9"/>
      <c r="F1223" s="10"/>
    </row>
    <row r="1224" customFormat="false" ht="15" hidden="false" customHeight="false" outlineLevel="0" collapsed="false">
      <c r="A1224" s="15"/>
      <c r="B1224" s="10"/>
      <c r="C1224" s="18" t="str">
        <f aca="false">IF($B1224="","",IFERROR(INDEX(대여내역!$E$3:$E$1002,MATCH($B1224,대여내역!$A$3:$A$1002,0)),"대여번호없음"))</f>
        <v/>
      </c>
      <c r="D1224" s="11"/>
      <c r="E1224" s="9"/>
      <c r="F1224" s="10"/>
    </row>
    <row r="1225" customFormat="false" ht="15" hidden="false" customHeight="false" outlineLevel="0" collapsed="false">
      <c r="A1225" s="15"/>
      <c r="B1225" s="10"/>
      <c r="C1225" s="18" t="str">
        <f aca="false">IF($B1225="","",IFERROR(INDEX(대여내역!$E$3:$E$1002,MATCH($B1225,대여내역!$A$3:$A$1002,0)),"대여번호없음"))</f>
        <v/>
      </c>
      <c r="D1225" s="11"/>
      <c r="E1225" s="9"/>
      <c r="F1225" s="10"/>
    </row>
    <row r="1226" customFormat="false" ht="15" hidden="false" customHeight="false" outlineLevel="0" collapsed="false">
      <c r="A1226" s="15"/>
      <c r="B1226" s="10"/>
      <c r="C1226" s="18" t="str">
        <f aca="false">IF($B1226="","",IFERROR(INDEX(대여내역!$E$3:$E$1002,MATCH($B1226,대여내역!$A$3:$A$1002,0)),"대여번호없음"))</f>
        <v/>
      </c>
      <c r="D1226" s="11"/>
      <c r="E1226" s="9"/>
      <c r="F1226" s="10"/>
    </row>
    <row r="1227" customFormat="false" ht="15" hidden="false" customHeight="false" outlineLevel="0" collapsed="false">
      <c r="A1227" s="15"/>
      <c r="B1227" s="10"/>
      <c r="C1227" s="18" t="str">
        <f aca="false">IF($B1227="","",IFERROR(INDEX(대여내역!$E$3:$E$1002,MATCH($B1227,대여내역!$A$3:$A$1002,0)),"대여번호없음"))</f>
        <v/>
      </c>
      <c r="D1227" s="11"/>
      <c r="E1227" s="9"/>
      <c r="F1227" s="10"/>
    </row>
    <row r="1228" customFormat="false" ht="15" hidden="false" customHeight="false" outlineLevel="0" collapsed="false">
      <c r="A1228" s="15"/>
      <c r="B1228" s="10"/>
      <c r="C1228" s="18" t="str">
        <f aca="false">IF($B1228="","",IFERROR(INDEX(대여내역!$E$3:$E$1002,MATCH($B1228,대여내역!$A$3:$A$1002,0)),"대여번호없음"))</f>
        <v/>
      </c>
      <c r="D1228" s="11"/>
      <c r="E1228" s="9"/>
      <c r="F1228" s="10"/>
    </row>
    <row r="1229" customFormat="false" ht="15" hidden="false" customHeight="false" outlineLevel="0" collapsed="false">
      <c r="A1229" s="15"/>
      <c r="B1229" s="10"/>
      <c r="C1229" s="18" t="str">
        <f aca="false">IF($B1229="","",IFERROR(INDEX(대여내역!$E$3:$E$1002,MATCH($B1229,대여내역!$A$3:$A$1002,0)),"대여번호없음"))</f>
        <v/>
      </c>
      <c r="D1229" s="11"/>
      <c r="E1229" s="9"/>
      <c r="F1229" s="10"/>
    </row>
    <row r="1230" customFormat="false" ht="15" hidden="false" customHeight="false" outlineLevel="0" collapsed="false">
      <c r="A1230" s="15"/>
      <c r="B1230" s="10"/>
      <c r="C1230" s="18" t="str">
        <f aca="false">IF($B1230="","",IFERROR(INDEX(대여내역!$E$3:$E$1002,MATCH($B1230,대여내역!$A$3:$A$1002,0)),"대여번호없음"))</f>
        <v/>
      </c>
      <c r="D1230" s="11"/>
      <c r="E1230" s="9"/>
      <c r="F1230" s="10"/>
    </row>
    <row r="1231" customFormat="false" ht="15" hidden="false" customHeight="false" outlineLevel="0" collapsed="false">
      <c r="A1231" s="15"/>
      <c r="B1231" s="10"/>
      <c r="C1231" s="18" t="str">
        <f aca="false">IF($B1231="","",IFERROR(INDEX(대여내역!$E$3:$E$1002,MATCH($B1231,대여내역!$A$3:$A$1002,0)),"대여번호없음"))</f>
        <v/>
      </c>
      <c r="D1231" s="11"/>
      <c r="E1231" s="9"/>
      <c r="F1231" s="10"/>
    </row>
    <row r="1232" customFormat="false" ht="15" hidden="false" customHeight="false" outlineLevel="0" collapsed="false">
      <c r="A1232" s="15"/>
      <c r="B1232" s="10"/>
      <c r="C1232" s="18" t="str">
        <f aca="false">IF($B1232="","",IFERROR(INDEX(대여내역!$E$3:$E$1002,MATCH($B1232,대여내역!$A$3:$A$1002,0)),"대여번호없음"))</f>
        <v/>
      </c>
      <c r="D1232" s="11"/>
      <c r="E1232" s="9"/>
      <c r="F1232" s="10"/>
    </row>
    <row r="1233" customFormat="false" ht="15" hidden="false" customHeight="false" outlineLevel="0" collapsed="false">
      <c r="A1233" s="15"/>
      <c r="B1233" s="10"/>
      <c r="C1233" s="18" t="str">
        <f aca="false">IF($B1233="","",IFERROR(INDEX(대여내역!$E$3:$E$1002,MATCH($B1233,대여내역!$A$3:$A$1002,0)),"대여번호없음"))</f>
        <v/>
      </c>
      <c r="D1233" s="11"/>
      <c r="E1233" s="9"/>
      <c r="F1233" s="10"/>
    </row>
    <row r="1234" customFormat="false" ht="15" hidden="false" customHeight="false" outlineLevel="0" collapsed="false">
      <c r="A1234" s="15"/>
      <c r="B1234" s="10"/>
      <c r="C1234" s="18" t="str">
        <f aca="false">IF($B1234="","",IFERROR(INDEX(대여내역!$E$3:$E$1002,MATCH($B1234,대여내역!$A$3:$A$1002,0)),"대여번호없음"))</f>
        <v/>
      </c>
      <c r="D1234" s="11"/>
      <c r="E1234" s="9"/>
      <c r="F1234" s="10"/>
    </row>
    <row r="1235" customFormat="false" ht="15" hidden="false" customHeight="false" outlineLevel="0" collapsed="false">
      <c r="A1235" s="15"/>
      <c r="B1235" s="10"/>
      <c r="C1235" s="18" t="str">
        <f aca="false">IF($B1235="","",IFERROR(INDEX(대여내역!$E$3:$E$1002,MATCH($B1235,대여내역!$A$3:$A$1002,0)),"대여번호없음"))</f>
        <v/>
      </c>
      <c r="D1235" s="11"/>
      <c r="E1235" s="9"/>
      <c r="F1235" s="10"/>
    </row>
    <row r="1236" customFormat="false" ht="15" hidden="false" customHeight="false" outlineLevel="0" collapsed="false">
      <c r="A1236" s="15"/>
      <c r="B1236" s="10"/>
      <c r="C1236" s="18" t="str">
        <f aca="false">IF($B1236="","",IFERROR(INDEX(대여내역!$E$3:$E$1002,MATCH($B1236,대여내역!$A$3:$A$1002,0)),"대여번호없음"))</f>
        <v/>
      </c>
      <c r="D1236" s="11"/>
      <c r="E1236" s="9"/>
      <c r="F1236" s="10"/>
    </row>
    <row r="1237" customFormat="false" ht="15" hidden="false" customHeight="false" outlineLevel="0" collapsed="false">
      <c r="A1237" s="15"/>
      <c r="B1237" s="10"/>
      <c r="C1237" s="18" t="str">
        <f aca="false">IF($B1237="","",IFERROR(INDEX(대여내역!$E$3:$E$1002,MATCH($B1237,대여내역!$A$3:$A$1002,0)),"대여번호없음"))</f>
        <v/>
      </c>
      <c r="D1237" s="11"/>
      <c r="E1237" s="9"/>
      <c r="F1237" s="10"/>
    </row>
    <row r="1238" customFormat="false" ht="15" hidden="false" customHeight="false" outlineLevel="0" collapsed="false">
      <c r="A1238" s="15"/>
      <c r="B1238" s="10"/>
      <c r="C1238" s="18" t="str">
        <f aca="false">IF($B1238="","",IFERROR(INDEX(대여내역!$E$3:$E$1002,MATCH($B1238,대여내역!$A$3:$A$1002,0)),"대여번호없음"))</f>
        <v/>
      </c>
      <c r="D1238" s="11"/>
      <c r="E1238" s="9"/>
      <c r="F1238" s="10"/>
    </row>
    <row r="1239" customFormat="false" ht="15" hidden="false" customHeight="false" outlineLevel="0" collapsed="false">
      <c r="A1239" s="15"/>
      <c r="B1239" s="10"/>
      <c r="C1239" s="18" t="str">
        <f aca="false">IF($B1239="","",IFERROR(INDEX(대여내역!$E$3:$E$1002,MATCH($B1239,대여내역!$A$3:$A$1002,0)),"대여번호없음"))</f>
        <v/>
      </c>
      <c r="D1239" s="11"/>
      <c r="E1239" s="9"/>
      <c r="F1239" s="10"/>
    </row>
    <row r="1240" customFormat="false" ht="15" hidden="false" customHeight="false" outlineLevel="0" collapsed="false">
      <c r="A1240" s="15"/>
      <c r="B1240" s="10"/>
      <c r="C1240" s="18" t="str">
        <f aca="false">IF($B1240="","",IFERROR(INDEX(대여내역!$E$3:$E$1002,MATCH($B1240,대여내역!$A$3:$A$1002,0)),"대여번호없음"))</f>
        <v/>
      </c>
      <c r="D1240" s="11"/>
      <c r="E1240" s="9"/>
      <c r="F1240" s="10"/>
    </row>
    <row r="1241" customFormat="false" ht="15" hidden="false" customHeight="false" outlineLevel="0" collapsed="false">
      <c r="A1241" s="15"/>
      <c r="B1241" s="10"/>
      <c r="C1241" s="18" t="str">
        <f aca="false">IF($B1241="","",IFERROR(INDEX(대여내역!$E$3:$E$1002,MATCH($B1241,대여내역!$A$3:$A$1002,0)),"대여번호없음"))</f>
        <v/>
      </c>
      <c r="D1241" s="11"/>
      <c r="E1241" s="9"/>
      <c r="F1241" s="10"/>
    </row>
    <row r="1242" customFormat="false" ht="15" hidden="false" customHeight="false" outlineLevel="0" collapsed="false">
      <c r="A1242" s="15"/>
      <c r="B1242" s="10"/>
      <c r="C1242" s="18" t="str">
        <f aca="false">IF($B1242="","",IFERROR(INDEX(대여내역!$E$3:$E$1002,MATCH($B1242,대여내역!$A$3:$A$1002,0)),"대여번호없음"))</f>
        <v/>
      </c>
      <c r="D1242" s="11"/>
      <c r="E1242" s="9"/>
      <c r="F1242" s="10"/>
    </row>
    <row r="1243" customFormat="false" ht="15" hidden="false" customHeight="false" outlineLevel="0" collapsed="false">
      <c r="A1243" s="15"/>
      <c r="B1243" s="10"/>
      <c r="C1243" s="18" t="str">
        <f aca="false">IF($B1243="","",IFERROR(INDEX(대여내역!$E$3:$E$1002,MATCH($B1243,대여내역!$A$3:$A$1002,0)),"대여번호없음"))</f>
        <v/>
      </c>
      <c r="D1243" s="11"/>
      <c r="E1243" s="9"/>
      <c r="F1243" s="10"/>
    </row>
    <row r="1244" customFormat="false" ht="15" hidden="false" customHeight="false" outlineLevel="0" collapsed="false">
      <c r="A1244" s="15"/>
      <c r="B1244" s="10"/>
      <c r="C1244" s="18" t="str">
        <f aca="false">IF($B1244="","",IFERROR(INDEX(대여내역!$E$3:$E$1002,MATCH($B1244,대여내역!$A$3:$A$1002,0)),"대여번호없음"))</f>
        <v/>
      </c>
      <c r="D1244" s="11"/>
      <c r="E1244" s="9"/>
      <c r="F1244" s="10"/>
    </row>
    <row r="1245" customFormat="false" ht="15" hidden="false" customHeight="false" outlineLevel="0" collapsed="false">
      <c r="A1245" s="15"/>
      <c r="B1245" s="10"/>
      <c r="C1245" s="18" t="str">
        <f aca="false">IF($B1245="","",IFERROR(INDEX(대여내역!$E$3:$E$1002,MATCH($B1245,대여내역!$A$3:$A$1002,0)),"대여번호없음"))</f>
        <v/>
      </c>
      <c r="D1245" s="11"/>
      <c r="E1245" s="9"/>
      <c r="F1245" s="10"/>
    </row>
    <row r="1246" customFormat="false" ht="15" hidden="false" customHeight="false" outlineLevel="0" collapsed="false">
      <c r="A1246" s="15"/>
      <c r="B1246" s="10"/>
      <c r="C1246" s="18" t="str">
        <f aca="false">IF($B1246="","",IFERROR(INDEX(대여내역!$E$3:$E$1002,MATCH($B1246,대여내역!$A$3:$A$1002,0)),"대여번호없음"))</f>
        <v/>
      </c>
      <c r="D1246" s="11"/>
      <c r="E1246" s="9"/>
      <c r="F1246" s="10"/>
    </row>
    <row r="1247" customFormat="false" ht="15" hidden="false" customHeight="false" outlineLevel="0" collapsed="false">
      <c r="A1247" s="15"/>
      <c r="B1247" s="10"/>
      <c r="C1247" s="18" t="str">
        <f aca="false">IF($B1247="","",IFERROR(INDEX(대여내역!$E$3:$E$1002,MATCH($B1247,대여내역!$A$3:$A$1002,0)),"대여번호없음"))</f>
        <v/>
      </c>
      <c r="D1247" s="11"/>
      <c r="E1247" s="9"/>
      <c r="F1247" s="10"/>
    </row>
    <row r="1248" customFormat="false" ht="15" hidden="false" customHeight="false" outlineLevel="0" collapsed="false">
      <c r="A1248" s="15"/>
      <c r="B1248" s="10"/>
      <c r="C1248" s="18" t="str">
        <f aca="false">IF($B1248="","",IFERROR(INDEX(대여내역!$E$3:$E$1002,MATCH($B1248,대여내역!$A$3:$A$1002,0)),"대여번호없음"))</f>
        <v/>
      </c>
      <c r="D1248" s="11"/>
      <c r="E1248" s="9"/>
      <c r="F1248" s="10"/>
    </row>
    <row r="1249" customFormat="false" ht="15" hidden="false" customHeight="false" outlineLevel="0" collapsed="false">
      <c r="A1249" s="15"/>
      <c r="B1249" s="10"/>
      <c r="C1249" s="18" t="str">
        <f aca="false">IF($B1249="","",IFERROR(INDEX(대여내역!$E$3:$E$1002,MATCH($B1249,대여내역!$A$3:$A$1002,0)),"대여번호없음"))</f>
        <v/>
      </c>
      <c r="D1249" s="11"/>
      <c r="E1249" s="9"/>
      <c r="F1249" s="10"/>
    </row>
    <row r="1250" customFormat="false" ht="15" hidden="false" customHeight="false" outlineLevel="0" collapsed="false">
      <c r="A1250" s="15"/>
      <c r="B1250" s="10"/>
      <c r="C1250" s="18" t="str">
        <f aca="false">IF($B1250="","",IFERROR(INDEX(대여내역!$E$3:$E$1002,MATCH($B1250,대여내역!$A$3:$A$1002,0)),"대여번호없음"))</f>
        <v/>
      </c>
      <c r="D1250" s="11"/>
      <c r="E1250" s="9"/>
      <c r="F1250" s="10"/>
    </row>
    <row r="1251" customFormat="false" ht="15" hidden="false" customHeight="false" outlineLevel="0" collapsed="false">
      <c r="A1251" s="15"/>
      <c r="B1251" s="10"/>
      <c r="C1251" s="18" t="str">
        <f aca="false">IF($B1251="","",IFERROR(INDEX(대여내역!$E$3:$E$1002,MATCH($B1251,대여내역!$A$3:$A$1002,0)),"대여번호없음"))</f>
        <v/>
      </c>
      <c r="D1251" s="11"/>
      <c r="E1251" s="9"/>
      <c r="F1251" s="10"/>
    </row>
    <row r="1252" customFormat="false" ht="15" hidden="false" customHeight="false" outlineLevel="0" collapsed="false">
      <c r="A1252" s="15"/>
      <c r="B1252" s="10"/>
      <c r="C1252" s="18" t="str">
        <f aca="false">IF($B1252="","",IFERROR(INDEX(대여내역!$E$3:$E$1002,MATCH($B1252,대여내역!$A$3:$A$1002,0)),"대여번호없음"))</f>
        <v/>
      </c>
      <c r="D1252" s="11"/>
      <c r="E1252" s="9"/>
      <c r="F1252" s="10"/>
    </row>
    <row r="1253" customFormat="false" ht="15" hidden="false" customHeight="false" outlineLevel="0" collapsed="false">
      <c r="A1253" s="15"/>
      <c r="B1253" s="10"/>
      <c r="C1253" s="18" t="str">
        <f aca="false">IF($B1253="","",IFERROR(INDEX(대여내역!$E$3:$E$1002,MATCH($B1253,대여내역!$A$3:$A$1002,0)),"대여번호없음"))</f>
        <v/>
      </c>
      <c r="D1253" s="11"/>
      <c r="E1253" s="9"/>
      <c r="F1253" s="10"/>
    </row>
    <row r="1254" customFormat="false" ht="15" hidden="false" customHeight="false" outlineLevel="0" collapsed="false">
      <c r="A1254" s="15"/>
      <c r="B1254" s="10"/>
      <c r="C1254" s="18" t="str">
        <f aca="false">IF($B1254="","",IFERROR(INDEX(대여내역!$E$3:$E$1002,MATCH($B1254,대여내역!$A$3:$A$1002,0)),"대여번호없음"))</f>
        <v/>
      </c>
      <c r="D1254" s="11"/>
      <c r="E1254" s="9"/>
      <c r="F1254" s="10"/>
    </row>
    <row r="1255" customFormat="false" ht="15" hidden="false" customHeight="false" outlineLevel="0" collapsed="false">
      <c r="A1255" s="15"/>
      <c r="B1255" s="10"/>
      <c r="C1255" s="18" t="str">
        <f aca="false">IF($B1255="","",IFERROR(INDEX(대여내역!$E$3:$E$1002,MATCH($B1255,대여내역!$A$3:$A$1002,0)),"대여번호없음"))</f>
        <v/>
      </c>
      <c r="D1255" s="11"/>
      <c r="E1255" s="9"/>
      <c r="F1255" s="10"/>
    </row>
    <row r="1256" customFormat="false" ht="15" hidden="false" customHeight="false" outlineLevel="0" collapsed="false">
      <c r="A1256" s="15"/>
      <c r="B1256" s="10"/>
      <c r="C1256" s="18" t="str">
        <f aca="false">IF($B1256="","",IFERROR(INDEX(대여내역!$E$3:$E$1002,MATCH($B1256,대여내역!$A$3:$A$1002,0)),"대여번호없음"))</f>
        <v/>
      </c>
      <c r="D1256" s="11"/>
      <c r="E1256" s="9"/>
      <c r="F1256" s="10"/>
    </row>
    <row r="1257" customFormat="false" ht="15" hidden="false" customHeight="false" outlineLevel="0" collapsed="false">
      <c r="A1257" s="15"/>
      <c r="B1257" s="10"/>
      <c r="C1257" s="18" t="str">
        <f aca="false">IF($B1257="","",IFERROR(INDEX(대여내역!$E$3:$E$1002,MATCH($B1257,대여내역!$A$3:$A$1002,0)),"대여번호없음"))</f>
        <v/>
      </c>
      <c r="D1257" s="11"/>
      <c r="E1257" s="9"/>
      <c r="F1257" s="10"/>
    </row>
    <row r="1258" customFormat="false" ht="15" hidden="false" customHeight="false" outlineLevel="0" collapsed="false">
      <c r="A1258" s="15"/>
      <c r="B1258" s="10"/>
      <c r="C1258" s="18" t="str">
        <f aca="false">IF($B1258="","",IFERROR(INDEX(대여내역!$E$3:$E$1002,MATCH($B1258,대여내역!$A$3:$A$1002,0)),"대여번호없음"))</f>
        <v/>
      </c>
      <c r="D1258" s="11"/>
      <c r="E1258" s="9"/>
      <c r="F1258" s="10"/>
    </row>
    <row r="1259" customFormat="false" ht="15" hidden="false" customHeight="false" outlineLevel="0" collapsed="false">
      <c r="A1259" s="15"/>
      <c r="B1259" s="10"/>
      <c r="C1259" s="18" t="str">
        <f aca="false">IF($B1259="","",IFERROR(INDEX(대여내역!$E$3:$E$1002,MATCH($B1259,대여내역!$A$3:$A$1002,0)),"대여번호없음"))</f>
        <v/>
      </c>
      <c r="D1259" s="11"/>
      <c r="E1259" s="9"/>
      <c r="F1259" s="10"/>
    </row>
    <row r="1260" customFormat="false" ht="15" hidden="false" customHeight="false" outlineLevel="0" collapsed="false">
      <c r="A1260" s="15"/>
      <c r="B1260" s="10"/>
      <c r="C1260" s="18" t="str">
        <f aca="false">IF($B1260="","",IFERROR(INDEX(대여내역!$E$3:$E$1002,MATCH($B1260,대여내역!$A$3:$A$1002,0)),"대여번호없음"))</f>
        <v/>
      </c>
      <c r="D1260" s="11"/>
      <c r="E1260" s="9"/>
      <c r="F1260" s="10"/>
    </row>
    <row r="1261" customFormat="false" ht="15" hidden="false" customHeight="false" outlineLevel="0" collapsed="false">
      <c r="A1261" s="15"/>
      <c r="B1261" s="10"/>
      <c r="C1261" s="18" t="str">
        <f aca="false">IF($B1261="","",IFERROR(INDEX(대여내역!$E$3:$E$1002,MATCH($B1261,대여내역!$A$3:$A$1002,0)),"대여번호없음"))</f>
        <v/>
      </c>
      <c r="D1261" s="11"/>
      <c r="E1261" s="9"/>
      <c r="F1261" s="10"/>
    </row>
    <row r="1262" customFormat="false" ht="15" hidden="false" customHeight="false" outlineLevel="0" collapsed="false">
      <c r="A1262" s="15"/>
      <c r="B1262" s="10"/>
      <c r="C1262" s="18" t="str">
        <f aca="false">IF($B1262="","",IFERROR(INDEX(대여내역!$E$3:$E$1002,MATCH($B1262,대여내역!$A$3:$A$1002,0)),"대여번호없음"))</f>
        <v/>
      </c>
      <c r="D1262" s="11"/>
      <c r="E1262" s="9"/>
      <c r="F1262" s="10"/>
    </row>
    <row r="1263" customFormat="false" ht="15" hidden="false" customHeight="false" outlineLevel="0" collapsed="false">
      <c r="A1263" s="15"/>
      <c r="B1263" s="10"/>
      <c r="C1263" s="18" t="str">
        <f aca="false">IF($B1263="","",IFERROR(INDEX(대여내역!$E$3:$E$1002,MATCH($B1263,대여내역!$A$3:$A$1002,0)),"대여번호없음"))</f>
        <v/>
      </c>
      <c r="D1263" s="11"/>
      <c r="E1263" s="9"/>
      <c r="F1263" s="10"/>
    </row>
    <row r="1264" customFormat="false" ht="15" hidden="false" customHeight="false" outlineLevel="0" collapsed="false">
      <c r="A1264" s="15"/>
      <c r="B1264" s="10"/>
      <c r="C1264" s="18" t="str">
        <f aca="false">IF($B1264="","",IFERROR(INDEX(대여내역!$E$3:$E$1002,MATCH($B1264,대여내역!$A$3:$A$1002,0)),"대여번호없음"))</f>
        <v/>
      </c>
      <c r="D1264" s="11"/>
      <c r="E1264" s="9"/>
      <c r="F1264" s="10"/>
    </row>
    <row r="1265" customFormat="false" ht="15" hidden="false" customHeight="false" outlineLevel="0" collapsed="false">
      <c r="A1265" s="15"/>
      <c r="B1265" s="10"/>
      <c r="C1265" s="18" t="str">
        <f aca="false">IF($B1265="","",IFERROR(INDEX(대여내역!$E$3:$E$1002,MATCH($B1265,대여내역!$A$3:$A$1002,0)),"대여번호없음"))</f>
        <v/>
      </c>
      <c r="D1265" s="11"/>
      <c r="E1265" s="9"/>
      <c r="F1265" s="10"/>
    </row>
    <row r="1266" customFormat="false" ht="15" hidden="false" customHeight="false" outlineLevel="0" collapsed="false">
      <c r="A1266" s="15"/>
      <c r="B1266" s="10"/>
      <c r="C1266" s="18" t="str">
        <f aca="false">IF($B1266="","",IFERROR(INDEX(대여내역!$E$3:$E$1002,MATCH($B1266,대여내역!$A$3:$A$1002,0)),"대여번호없음"))</f>
        <v/>
      </c>
      <c r="D1266" s="11"/>
      <c r="E1266" s="9"/>
      <c r="F1266" s="10"/>
    </row>
    <row r="1267" customFormat="false" ht="15" hidden="false" customHeight="false" outlineLevel="0" collapsed="false">
      <c r="A1267" s="15"/>
      <c r="B1267" s="10"/>
      <c r="C1267" s="18" t="str">
        <f aca="false">IF($B1267="","",IFERROR(INDEX(대여내역!$E$3:$E$1002,MATCH($B1267,대여내역!$A$3:$A$1002,0)),"대여번호없음"))</f>
        <v/>
      </c>
      <c r="D1267" s="11"/>
      <c r="E1267" s="9"/>
      <c r="F1267" s="10"/>
    </row>
    <row r="1268" customFormat="false" ht="15" hidden="false" customHeight="false" outlineLevel="0" collapsed="false">
      <c r="A1268" s="15"/>
      <c r="B1268" s="10"/>
      <c r="C1268" s="18" t="str">
        <f aca="false">IF($B1268="","",IFERROR(INDEX(대여내역!$E$3:$E$1002,MATCH($B1268,대여내역!$A$3:$A$1002,0)),"대여번호없음"))</f>
        <v/>
      </c>
      <c r="D1268" s="11"/>
      <c r="E1268" s="9"/>
      <c r="F1268" s="10"/>
    </row>
    <row r="1269" customFormat="false" ht="15" hidden="false" customHeight="false" outlineLevel="0" collapsed="false">
      <c r="A1269" s="15"/>
      <c r="B1269" s="10"/>
      <c r="C1269" s="18" t="str">
        <f aca="false">IF($B1269="","",IFERROR(INDEX(대여내역!$E$3:$E$1002,MATCH($B1269,대여내역!$A$3:$A$1002,0)),"대여번호없음"))</f>
        <v/>
      </c>
      <c r="D1269" s="11"/>
      <c r="E1269" s="9"/>
      <c r="F1269" s="10"/>
    </row>
    <row r="1270" customFormat="false" ht="15" hidden="false" customHeight="false" outlineLevel="0" collapsed="false">
      <c r="A1270" s="15"/>
      <c r="B1270" s="10"/>
      <c r="C1270" s="18" t="str">
        <f aca="false">IF($B1270="","",IFERROR(INDEX(대여내역!$E$3:$E$1002,MATCH($B1270,대여내역!$A$3:$A$1002,0)),"대여번호없음"))</f>
        <v/>
      </c>
      <c r="D1270" s="11"/>
      <c r="E1270" s="9"/>
      <c r="F1270" s="10"/>
    </row>
    <row r="1271" customFormat="false" ht="15" hidden="false" customHeight="false" outlineLevel="0" collapsed="false">
      <c r="A1271" s="15"/>
      <c r="B1271" s="10"/>
      <c r="C1271" s="18" t="str">
        <f aca="false">IF($B1271="","",IFERROR(INDEX(대여내역!$E$3:$E$1002,MATCH($B1271,대여내역!$A$3:$A$1002,0)),"대여번호없음"))</f>
        <v/>
      </c>
      <c r="D1271" s="11"/>
      <c r="E1271" s="9"/>
      <c r="F1271" s="10"/>
    </row>
    <row r="1272" customFormat="false" ht="15" hidden="false" customHeight="false" outlineLevel="0" collapsed="false">
      <c r="A1272" s="15"/>
      <c r="B1272" s="10"/>
      <c r="C1272" s="18" t="str">
        <f aca="false">IF($B1272="","",IFERROR(INDEX(대여내역!$E$3:$E$1002,MATCH($B1272,대여내역!$A$3:$A$1002,0)),"대여번호없음"))</f>
        <v/>
      </c>
      <c r="D1272" s="11"/>
      <c r="E1272" s="9"/>
      <c r="F1272" s="10"/>
    </row>
    <row r="1273" customFormat="false" ht="15" hidden="false" customHeight="false" outlineLevel="0" collapsed="false">
      <c r="A1273" s="15"/>
      <c r="B1273" s="10"/>
      <c r="C1273" s="18" t="str">
        <f aca="false">IF($B1273="","",IFERROR(INDEX(대여내역!$E$3:$E$1002,MATCH($B1273,대여내역!$A$3:$A$1002,0)),"대여번호없음"))</f>
        <v/>
      </c>
      <c r="D1273" s="11"/>
      <c r="E1273" s="9"/>
      <c r="F1273" s="10"/>
    </row>
    <row r="1274" customFormat="false" ht="15" hidden="false" customHeight="false" outlineLevel="0" collapsed="false">
      <c r="A1274" s="15"/>
      <c r="B1274" s="10"/>
      <c r="C1274" s="18" t="str">
        <f aca="false">IF($B1274="","",IFERROR(INDEX(대여내역!$E$3:$E$1002,MATCH($B1274,대여내역!$A$3:$A$1002,0)),"대여번호없음"))</f>
        <v/>
      </c>
      <c r="D1274" s="11"/>
      <c r="E1274" s="9"/>
      <c r="F1274" s="10"/>
    </row>
    <row r="1275" customFormat="false" ht="15" hidden="false" customHeight="false" outlineLevel="0" collapsed="false">
      <c r="A1275" s="15"/>
      <c r="B1275" s="10"/>
      <c r="C1275" s="18" t="str">
        <f aca="false">IF($B1275="","",IFERROR(INDEX(대여내역!$E$3:$E$1002,MATCH($B1275,대여내역!$A$3:$A$1002,0)),"대여번호없음"))</f>
        <v/>
      </c>
      <c r="D1275" s="11"/>
      <c r="E1275" s="9"/>
      <c r="F1275" s="10"/>
    </row>
    <row r="1276" customFormat="false" ht="15" hidden="false" customHeight="false" outlineLevel="0" collapsed="false">
      <c r="A1276" s="15"/>
      <c r="B1276" s="10"/>
      <c r="C1276" s="18" t="str">
        <f aca="false">IF($B1276="","",IFERROR(INDEX(대여내역!$E$3:$E$1002,MATCH($B1276,대여내역!$A$3:$A$1002,0)),"대여번호없음"))</f>
        <v/>
      </c>
      <c r="D1276" s="11"/>
      <c r="E1276" s="9"/>
      <c r="F1276" s="10"/>
    </row>
    <row r="1277" customFormat="false" ht="15" hidden="false" customHeight="false" outlineLevel="0" collapsed="false">
      <c r="A1277" s="15"/>
      <c r="B1277" s="10"/>
      <c r="C1277" s="18" t="str">
        <f aca="false">IF($B1277="","",IFERROR(INDEX(대여내역!$E$3:$E$1002,MATCH($B1277,대여내역!$A$3:$A$1002,0)),"대여번호없음"))</f>
        <v/>
      </c>
      <c r="D1277" s="11"/>
      <c r="E1277" s="9"/>
      <c r="F1277" s="10"/>
    </row>
    <row r="1278" customFormat="false" ht="15" hidden="false" customHeight="false" outlineLevel="0" collapsed="false">
      <c r="A1278" s="15"/>
      <c r="B1278" s="10"/>
      <c r="C1278" s="18" t="str">
        <f aca="false">IF($B1278="","",IFERROR(INDEX(대여내역!$E$3:$E$1002,MATCH($B1278,대여내역!$A$3:$A$1002,0)),"대여번호없음"))</f>
        <v/>
      </c>
      <c r="D1278" s="11"/>
      <c r="E1278" s="9"/>
      <c r="F1278" s="10"/>
    </row>
    <row r="1279" customFormat="false" ht="15" hidden="false" customHeight="false" outlineLevel="0" collapsed="false">
      <c r="A1279" s="15"/>
      <c r="B1279" s="10"/>
      <c r="C1279" s="18" t="str">
        <f aca="false">IF($B1279="","",IFERROR(INDEX(대여내역!$E$3:$E$1002,MATCH($B1279,대여내역!$A$3:$A$1002,0)),"대여번호없음"))</f>
        <v/>
      </c>
      <c r="D1279" s="11"/>
      <c r="E1279" s="9"/>
      <c r="F1279" s="10"/>
    </row>
    <row r="1280" customFormat="false" ht="15" hidden="false" customHeight="false" outlineLevel="0" collapsed="false">
      <c r="A1280" s="15"/>
      <c r="B1280" s="10"/>
      <c r="C1280" s="18" t="str">
        <f aca="false">IF($B1280="","",IFERROR(INDEX(대여내역!$E$3:$E$1002,MATCH($B1280,대여내역!$A$3:$A$1002,0)),"대여번호없음"))</f>
        <v/>
      </c>
      <c r="D1280" s="11"/>
      <c r="E1280" s="9"/>
      <c r="F1280" s="10"/>
    </row>
    <row r="1281" customFormat="false" ht="15" hidden="false" customHeight="false" outlineLevel="0" collapsed="false">
      <c r="A1281" s="15"/>
      <c r="B1281" s="10"/>
      <c r="C1281" s="18" t="str">
        <f aca="false">IF($B1281="","",IFERROR(INDEX(대여내역!$E$3:$E$1002,MATCH($B1281,대여내역!$A$3:$A$1002,0)),"대여번호없음"))</f>
        <v/>
      </c>
      <c r="D1281" s="11"/>
      <c r="E1281" s="9"/>
      <c r="F1281" s="10"/>
    </row>
    <row r="1282" customFormat="false" ht="15" hidden="false" customHeight="false" outlineLevel="0" collapsed="false">
      <c r="A1282" s="15"/>
      <c r="B1282" s="10"/>
      <c r="C1282" s="18" t="str">
        <f aca="false">IF($B1282="","",IFERROR(INDEX(대여내역!$E$3:$E$1002,MATCH($B1282,대여내역!$A$3:$A$1002,0)),"대여번호없음"))</f>
        <v/>
      </c>
      <c r="D1282" s="11"/>
      <c r="E1282" s="9"/>
      <c r="F1282" s="10"/>
    </row>
    <row r="1283" customFormat="false" ht="15" hidden="false" customHeight="false" outlineLevel="0" collapsed="false">
      <c r="A1283" s="15"/>
      <c r="B1283" s="10"/>
      <c r="C1283" s="18" t="str">
        <f aca="false">IF($B1283="","",IFERROR(INDEX(대여내역!$E$3:$E$1002,MATCH($B1283,대여내역!$A$3:$A$1002,0)),"대여번호없음"))</f>
        <v/>
      </c>
      <c r="D1283" s="11"/>
      <c r="E1283" s="9"/>
      <c r="F1283" s="10"/>
    </row>
    <row r="1284" customFormat="false" ht="15" hidden="false" customHeight="false" outlineLevel="0" collapsed="false">
      <c r="A1284" s="15"/>
      <c r="B1284" s="10"/>
      <c r="C1284" s="18" t="str">
        <f aca="false">IF($B1284="","",IFERROR(INDEX(대여내역!$E$3:$E$1002,MATCH($B1284,대여내역!$A$3:$A$1002,0)),"대여번호없음"))</f>
        <v/>
      </c>
      <c r="D1284" s="11"/>
      <c r="E1284" s="9"/>
      <c r="F1284" s="10"/>
    </row>
    <row r="1285" customFormat="false" ht="15" hidden="false" customHeight="false" outlineLevel="0" collapsed="false">
      <c r="A1285" s="15"/>
      <c r="B1285" s="10"/>
      <c r="C1285" s="18" t="str">
        <f aca="false">IF($B1285="","",IFERROR(INDEX(대여내역!$E$3:$E$1002,MATCH($B1285,대여내역!$A$3:$A$1002,0)),"대여번호없음"))</f>
        <v/>
      </c>
      <c r="D1285" s="11"/>
      <c r="E1285" s="9"/>
      <c r="F1285" s="10"/>
    </row>
    <row r="1286" customFormat="false" ht="15" hidden="false" customHeight="false" outlineLevel="0" collapsed="false">
      <c r="A1286" s="15"/>
      <c r="B1286" s="10"/>
      <c r="C1286" s="18" t="str">
        <f aca="false">IF($B1286="","",IFERROR(INDEX(대여내역!$E$3:$E$1002,MATCH($B1286,대여내역!$A$3:$A$1002,0)),"대여번호없음"))</f>
        <v/>
      </c>
      <c r="D1286" s="11"/>
      <c r="E1286" s="9"/>
      <c r="F1286" s="10"/>
    </row>
    <row r="1287" customFormat="false" ht="15" hidden="false" customHeight="false" outlineLevel="0" collapsed="false">
      <c r="A1287" s="15"/>
      <c r="B1287" s="10"/>
      <c r="C1287" s="18" t="str">
        <f aca="false">IF($B1287="","",IFERROR(INDEX(대여내역!$E$3:$E$1002,MATCH($B1287,대여내역!$A$3:$A$1002,0)),"대여번호없음"))</f>
        <v/>
      </c>
      <c r="D1287" s="11"/>
      <c r="E1287" s="9"/>
      <c r="F1287" s="10"/>
    </row>
    <row r="1288" customFormat="false" ht="15" hidden="false" customHeight="false" outlineLevel="0" collapsed="false">
      <c r="A1288" s="15"/>
      <c r="B1288" s="10"/>
      <c r="C1288" s="18" t="str">
        <f aca="false">IF($B1288="","",IFERROR(INDEX(대여내역!$E$3:$E$1002,MATCH($B1288,대여내역!$A$3:$A$1002,0)),"대여번호없음"))</f>
        <v/>
      </c>
      <c r="D1288" s="11"/>
      <c r="E1288" s="9"/>
      <c r="F1288" s="10"/>
    </row>
    <row r="1289" customFormat="false" ht="15" hidden="false" customHeight="false" outlineLevel="0" collapsed="false">
      <c r="A1289" s="15"/>
      <c r="B1289" s="10"/>
      <c r="C1289" s="18" t="str">
        <f aca="false">IF($B1289="","",IFERROR(INDEX(대여내역!$E$3:$E$1002,MATCH($B1289,대여내역!$A$3:$A$1002,0)),"대여번호없음"))</f>
        <v/>
      </c>
      <c r="D1289" s="11"/>
      <c r="E1289" s="9"/>
      <c r="F1289" s="10"/>
    </row>
    <row r="1290" customFormat="false" ht="15" hidden="false" customHeight="false" outlineLevel="0" collapsed="false">
      <c r="A1290" s="15"/>
      <c r="B1290" s="10"/>
      <c r="C1290" s="18" t="str">
        <f aca="false">IF($B1290="","",IFERROR(INDEX(대여내역!$E$3:$E$1002,MATCH($B1290,대여내역!$A$3:$A$1002,0)),"대여번호없음"))</f>
        <v/>
      </c>
      <c r="D1290" s="11"/>
      <c r="E1290" s="9"/>
      <c r="F1290" s="10"/>
    </row>
    <row r="1291" customFormat="false" ht="15" hidden="false" customHeight="false" outlineLevel="0" collapsed="false">
      <c r="A1291" s="15"/>
      <c r="B1291" s="10"/>
      <c r="C1291" s="18" t="str">
        <f aca="false">IF($B1291="","",IFERROR(INDEX(대여내역!$E$3:$E$1002,MATCH($B1291,대여내역!$A$3:$A$1002,0)),"대여번호없음"))</f>
        <v/>
      </c>
      <c r="D1291" s="11"/>
      <c r="E1291" s="9"/>
      <c r="F1291" s="10"/>
    </row>
    <row r="1292" customFormat="false" ht="15" hidden="false" customHeight="false" outlineLevel="0" collapsed="false">
      <c r="A1292" s="15"/>
      <c r="B1292" s="10"/>
      <c r="C1292" s="18" t="str">
        <f aca="false">IF($B1292="","",IFERROR(INDEX(대여내역!$E$3:$E$1002,MATCH($B1292,대여내역!$A$3:$A$1002,0)),"대여번호없음"))</f>
        <v/>
      </c>
      <c r="D1292" s="11"/>
      <c r="E1292" s="9"/>
      <c r="F1292" s="10"/>
    </row>
    <row r="1293" customFormat="false" ht="15" hidden="false" customHeight="false" outlineLevel="0" collapsed="false">
      <c r="A1293" s="15"/>
      <c r="B1293" s="10"/>
      <c r="C1293" s="18" t="str">
        <f aca="false">IF($B1293="","",IFERROR(INDEX(대여내역!$E$3:$E$1002,MATCH($B1293,대여내역!$A$3:$A$1002,0)),"대여번호없음"))</f>
        <v/>
      </c>
      <c r="D1293" s="11"/>
      <c r="E1293" s="9"/>
      <c r="F1293" s="10"/>
    </row>
    <row r="1294" customFormat="false" ht="15" hidden="false" customHeight="false" outlineLevel="0" collapsed="false">
      <c r="A1294" s="15"/>
      <c r="B1294" s="10"/>
      <c r="C1294" s="18" t="str">
        <f aca="false">IF($B1294="","",IFERROR(INDEX(대여내역!$E$3:$E$1002,MATCH($B1294,대여내역!$A$3:$A$1002,0)),"대여번호없음"))</f>
        <v/>
      </c>
      <c r="D1294" s="11"/>
      <c r="E1294" s="9"/>
      <c r="F1294" s="10"/>
    </row>
    <row r="1295" customFormat="false" ht="15" hidden="false" customHeight="false" outlineLevel="0" collapsed="false">
      <c r="A1295" s="15"/>
      <c r="B1295" s="10"/>
      <c r="C1295" s="18" t="str">
        <f aca="false">IF($B1295="","",IFERROR(INDEX(대여내역!$E$3:$E$1002,MATCH($B1295,대여내역!$A$3:$A$1002,0)),"대여번호없음"))</f>
        <v/>
      </c>
      <c r="D1295" s="11"/>
      <c r="E1295" s="9"/>
      <c r="F1295" s="10"/>
    </row>
    <row r="1296" customFormat="false" ht="15" hidden="false" customHeight="false" outlineLevel="0" collapsed="false">
      <c r="A1296" s="15"/>
      <c r="B1296" s="10"/>
      <c r="C1296" s="18" t="str">
        <f aca="false">IF($B1296="","",IFERROR(INDEX(대여내역!$E$3:$E$1002,MATCH($B1296,대여내역!$A$3:$A$1002,0)),"대여번호없음"))</f>
        <v/>
      </c>
      <c r="D1296" s="11"/>
      <c r="E1296" s="9"/>
      <c r="F1296" s="10"/>
    </row>
    <row r="1297" customFormat="false" ht="15" hidden="false" customHeight="false" outlineLevel="0" collapsed="false">
      <c r="A1297" s="15"/>
      <c r="B1297" s="10"/>
      <c r="C1297" s="18" t="str">
        <f aca="false">IF($B1297="","",IFERROR(INDEX(대여내역!$E$3:$E$1002,MATCH($B1297,대여내역!$A$3:$A$1002,0)),"대여번호없음"))</f>
        <v/>
      </c>
      <c r="D1297" s="11"/>
      <c r="E1297" s="9"/>
      <c r="F1297" s="10"/>
    </row>
    <row r="1298" customFormat="false" ht="15" hidden="false" customHeight="false" outlineLevel="0" collapsed="false">
      <c r="A1298" s="15"/>
      <c r="B1298" s="10"/>
      <c r="C1298" s="18" t="str">
        <f aca="false">IF($B1298="","",IFERROR(INDEX(대여내역!$E$3:$E$1002,MATCH($B1298,대여내역!$A$3:$A$1002,0)),"대여번호없음"))</f>
        <v/>
      </c>
      <c r="D1298" s="11"/>
      <c r="E1298" s="9"/>
      <c r="F1298" s="10"/>
    </row>
    <row r="1299" customFormat="false" ht="15" hidden="false" customHeight="false" outlineLevel="0" collapsed="false">
      <c r="A1299" s="15"/>
      <c r="B1299" s="10"/>
      <c r="C1299" s="18" t="str">
        <f aca="false">IF($B1299="","",IFERROR(INDEX(대여내역!$E$3:$E$1002,MATCH($B1299,대여내역!$A$3:$A$1002,0)),"대여번호없음"))</f>
        <v/>
      </c>
      <c r="D1299" s="11"/>
      <c r="E1299" s="9"/>
      <c r="F1299" s="10"/>
    </row>
    <row r="1300" customFormat="false" ht="15" hidden="false" customHeight="false" outlineLevel="0" collapsed="false">
      <c r="A1300" s="15"/>
      <c r="B1300" s="10"/>
      <c r="C1300" s="18" t="str">
        <f aca="false">IF($B1300="","",IFERROR(INDEX(대여내역!$E$3:$E$1002,MATCH($B1300,대여내역!$A$3:$A$1002,0)),"대여번호없음"))</f>
        <v/>
      </c>
      <c r="D1300" s="11"/>
      <c r="E1300" s="9"/>
      <c r="F1300" s="10"/>
    </row>
    <row r="1301" customFormat="false" ht="15" hidden="false" customHeight="false" outlineLevel="0" collapsed="false">
      <c r="A1301" s="15"/>
      <c r="B1301" s="10"/>
      <c r="C1301" s="18" t="str">
        <f aca="false">IF($B1301="","",IFERROR(INDEX(대여내역!$E$3:$E$1002,MATCH($B1301,대여내역!$A$3:$A$1002,0)),"대여번호없음"))</f>
        <v/>
      </c>
      <c r="D1301" s="11"/>
      <c r="E1301" s="9"/>
      <c r="F1301" s="10"/>
    </row>
    <row r="1302" customFormat="false" ht="15" hidden="false" customHeight="false" outlineLevel="0" collapsed="false">
      <c r="A1302" s="15"/>
      <c r="B1302" s="10"/>
      <c r="C1302" s="18" t="str">
        <f aca="false">IF($B1302="","",IFERROR(INDEX(대여내역!$E$3:$E$1002,MATCH($B1302,대여내역!$A$3:$A$1002,0)),"대여번호없음"))</f>
        <v/>
      </c>
      <c r="D1302" s="11"/>
      <c r="E1302" s="9"/>
      <c r="F1302" s="10"/>
    </row>
    <row r="1303" customFormat="false" ht="15" hidden="false" customHeight="false" outlineLevel="0" collapsed="false">
      <c r="A1303" s="15"/>
      <c r="B1303" s="10"/>
      <c r="C1303" s="18" t="str">
        <f aca="false">IF($B1303="","",IFERROR(INDEX(대여내역!$E$3:$E$1002,MATCH($B1303,대여내역!$A$3:$A$1002,0)),"대여번호없음"))</f>
        <v/>
      </c>
      <c r="D1303" s="11"/>
      <c r="E1303" s="9"/>
      <c r="F1303" s="10"/>
    </row>
    <row r="1304" customFormat="false" ht="15" hidden="false" customHeight="false" outlineLevel="0" collapsed="false">
      <c r="A1304" s="15"/>
      <c r="B1304" s="10"/>
      <c r="C1304" s="18" t="str">
        <f aca="false">IF($B1304="","",IFERROR(INDEX(대여내역!$E$3:$E$1002,MATCH($B1304,대여내역!$A$3:$A$1002,0)),"대여번호없음"))</f>
        <v/>
      </c>
      <c r="D1304" s="11"/>
      <c r="E1304" s="9"/>
      <c r="F1304" s="10"/>
    </row>
    <row r="1305" customFormat="false" ht="15" hidden="false" customHeight="false" outlineLevel="0" collapsed="false">
      <c r="A1305" s="15"/>
      <c r="B1305" s="10"/>
      <c r="C1305" s="18" t="str">
        <f aca="false">IF($B1305="","",IFERROR(INDEX(대여내역!$E$3:$E$1002,MATCH($B1305,대여내역!$A$3:$A$1002,0)),"대여번호없음"))</f>
        <v/>
      </c>
      <c r="D1305" s="11"/>
      <c r="E1305" s="9"/>
      <c r="F1305" s="10"/>
    </row>
    <row r="1306" customFormat="false" ht="15" hidden="false" customHeight="false" outlineLevel="0" collapsed="false">
      <c r="A1306" s="15"/>
      <c r="B1306" s="10"/>
      <c r="C1306" s="18" t="str">
        <f aca="false">IF($B1306="","",IFERROR(INDEX(대여내역!$E$3:$E$1002,MATCH($B1306,대여내역!$A$3:$A$1002,0)),"대여번호없음"))</f>
        <v/>
      </c>
      <c r="D1306" s="11"/>
      <c r="E1306" s="9"/>
      <c r="F1306" s="10"/>
    </row>
    <row r="1307" customFormat="false" ht="15" hidden="false" customHeight="false" outlineLevel="0" collapsed="false">
      <c r="A1307" s="15"/>
      <c r="B1307" s="10"/>
      <c r="C1307" s="18" t="str">
        <f aca="false">IF($B1307="","",IFERROR(INDEX(대여내역!$E$3:$E$1002,MATCH($B1307,대여내역!$A$3:$A$1002,0)),"대여번호없음"))</f>
        <v/>
      </c>
      <c r="D1307" s="11"/>
      <c r="E1307" s="9"/>
      <c r="F1307" s="10"/>
    </row>
    <row r="1308" customFormat="false" ht="15" hidden="false" customHeight="false" outlineLevel="0" collapsed="false">
      <c r="A1308" s="15"/>
      <c r="B1308" s="10"/>
      <c r="C1308" s="18" t="str">
        <f aca="false">IF($B1308="","",IFERROR(INDEX(대여내역!$E$3:$E$1002,MATCH($B1308,대여내역!$A$3:$A$1002,0)),"대여번호없음"))</f>
        <v/>
      </c>
      <c r="D1308" s="11"/>
      <c r="E1308" s="9"/>
      <c r="F1308" s="10"/>
    </row>
    <row r="1309" customFormat="false" ht="15" hidden="false" customHeight="false" outlineLevel="0" collapsed="false">
      <c r="A1309" s="15"/>
      <c r="B1309" s="10"/>
      <c r="C1309" s="18" t="str">
        <f aca="false">IF($B1309="","",IFERROR(INDEX(대여내역!$E$3:$E$1002,MATCH($B1309,대여내역!$A$3:$A$1002,0)),"대여번호없음"))</f>
        <v/>
      </c>
      <c r="D1309" s="11"/>
      <c r="E1309" s="9"/>
      <c r="F1309" s="10"/>
    </row>
    <row r="1310" customFormat="false" ht="15" hidden="false" customHeight="false" outlineLevel="0" collapsed="false">
      <c r="A1310" s="15"/>
      <c r="B1310" s="10"/>
      <c r="C1310" s="18" t="str">
        <f aca="false">IF($B1310="","",IFERROR(INDEX(대여내역!$E$3:$E$1002,MATCH($B1310,대여내역!$A$3:$A$1002,0)),"대여번호없음"))</f>
        <v/>
      </c>
      <c r="D1310" s="11"/>
      <c r="E1310" s="9"/>
      <c r="F1310" s="10"/>
    </row>
    <row r="1311" customFormat="false" ht="15" hidden="false" customHeight="false" outlineLevel="0" collapsed="false">
      <c r="A1311" s="15"/>
      <c r="B1311" s="10"/>
      <c r="C1311" s="18" t="str">
        <f aca="false">IF($B1311="","",IFERROR(INDEX(대여내역!$E$3:$E$1002,MATCH($B1311,대여내역!$A$3:$A$1002,0)),"대여번호없음"))</f>
        <v/>
      </c>
      <c r="D1311" s="11"/>
      <c r="E1311" s="9"/>
      <c r="F1311" s="10"/>
    </row>
    <row r="1312" customFormat="false" ht="15" hidden="false" customHeight="false" outlineLevel="0" collapsed="false">
      <c r="A1312" s="15"/>
      <c r="B1312" s="10"/>
      <c r="C1312" s="18" t="str">
        <f aca="false">IF($B1312="","",IFERROR(INDEX(대여내역!$E$3:$E$1002,MATCH($B1312,대여내역!$A$3:$A$1002,0)),"대여번호없음"))</f>
        <v/>
      </c>
      <c r="D1312" s="11"/>
      <c r="E1312" s="9"/>
      <c r="F1312" s="10"/>
    </row>
    <row r="1313" customFormat="false" ht="15" hidden="false" customHeight="false" outlineLevel="0" collapsed="false">
      <c r="A1313" s="15"/>
      <c r="B1313" s="10"/>
      <c r="C1313" s="18" t="str">
        <f aca="false">IF($B1313="","",IFERROR(INDEX(대여내역!$E$3:$E$1002,MATCH($B1313,대여내역!$A$3:$A$1002,0)),"대여번호없음"))</f>
        <v/>
      </c>
      <c r="D1313" s="11"/>
      <c r="E1313" s="9"/>
      <c r="F1313" s="10"/>
    </row>
    <row r="1314" customFormat="false" ht="15" hidden="false" customHeight="false" outlineLevel="0" collapsed="false">
      <c r="A1314" s="15"/>
      <c r="B1314" s="10"/>
      <c r="C1314" s="18" t="str">
        <f aca="false">IF($B1314="","",IFERROR(INDEX(대여내역!$E$3:$E$1002,MATCH($B1314,대여내역!$A$3:$A$1002,0)),"대여번호없음"))</f>
        <v/>
      </c>
      <c r="D1314" s="11"/>
      <c r="E1314" s="9"/>
      <c r="F1314" s="10"/>
    </row>
    <row r="1315" customFormat="false" ht="15" hidden="false" customHeight="false" outlineLevel="0" collapsed="false">
      <c r="A1315" s="15"/>
      <c r="B1315" s="10"/>
      <c r="C1315" s="18" t="str">
        <f aca="false">IF($B1315="","",IFERROR(INDEX(대여내역!$E$3:$E$1002,MATCH($B1315,대여내역!$A$3:$A$1002,0)),"대여번호없음"))</f>
        <v/>
      </c>
      <c r="D1315" s="11"/>
      <c r="E1315" s="9"/>
      <c r="F1315" s="10"/>
    </row>
    <row r="1316" customFormat="false" ht="15" hidden="false" customHeight="false" outlineLevel="0" collapsed="false">
      <c r="A1316" s="15"/>
      <c r="B1316" s="10"/>
      <c r="C1316" s="18" t="str">
        <f aca="false">IF($B1316="","",IFERROR(INDEX(대여내역!$E$3:$E$1002,MATCH($B1316,대여내역!$A$3:$A$1002,0)),"대여번호없음"))</f>
        <v/>
      </c>
      <c r="D1316" s="11"/>
      <c r="E1316" s="9"/>
      <c r="F1316" s="10"/>
    </row>
    <row r="1317" customFormat="false" ht="15" hidden="false" customHeight="false" outlineLevel="0" collapsed="false">
      <c r="A1317" s="15"/>
      <c r="B1317" s="10"/>
      <c r="C1317" s="18" t="str">
        <f aca="false">IF($B1317="","",IFERROR(INDEX(대여내역!$E$3:$E$1002,MATCH($B1317,대여내역!$A$3:$A$1002,0)),"대여번호없음"))</f>
        <v/>
      </c>
      <c r="D1317" s="11"/>
      <c r="E1317" s="9"/>
      <c r="F1317" s="10"/>
    </row>
    <row r="1318" customFormat="false" ht="15" hidden="false" customHeight="false" outlineLevel="0" collapsed="false">
      <c r="A1318" s="15"/>
      <c r="B1318" s="10"/>
      <c r="C1318" s="18" t="str">
        <f aca="false">IF($B1318="","",IFERROR(INDEX(대여내역!$E$3:$E$1002,MATCH($B1318,대여내역!$A$3:$A$1002,0)),"대여번호없음"))</f>
        <v/>
      </c>
      <c r="D1318" s="11"/>
      <c r="E1318" s="9"/>
      <c r="F1318" s="10"/>
    </row>
    <row r="1319" customFormat="false" ht="15" hidden="false" customHeight="false" outlineLevel="0" collapsed="false">
      <c r="A1319" s="15"/>
      <c r="B1319" s="10"/>
      <c r="C1319" s="18" t="str">
        <f aca="false">IF($B1319="","",IFERROR(INDEX(대여내역!$E$3:$E$1002,MATCH($B1319,대여내역!$A$3:$A$1002,0)),"대여번호없음"))</f>
        <v/>
      </c>
      <c r="D1319" s="11"/>
      <c r="E1319" s="9"/>
      <c r="F1319" s="10"/>
    </row>
    <row r="1320" customFormat="false" ht="15" hidden="false" customHeight="false" outlineLevel="0" collapsed="false">
      <c r="A1320" s="15"/>
      <c r="B1320" s="10"/>
      <c r="C1320" s="18" t="str">
        <f aca="false">IF($B1320="","",IFERROR(INDEX(대여내역!$E$3:$E$1002,MATCH($B1320,대여내역!$A$3:$A$1002,0)),"대여번호없음"))</f>
        <v/>
      </c>
      <c r="D1320" s="11"/>
      <c r="E1320" s="9"/>
      <c r="F1320" s="10"/>
    </row>
    <row r="1321" customFormat="false" ht="15" hidden="false" customHeight="false" outlineLevel="0" collapsed="false">
      <c r="A1321" s="15"/>
      <c r="B1321" s="10"/>
      <c r="C1321" s="18" t="str">
        <f aca="false">IF($B1321="","",IFERROR(INDEX(대여내역!$E$3:$E$1002,MATCH($B1321,대여내역!$A$3:$A$1002,0)),"대여번호없음"))</f>
        <v/>
      </c>
      <c r="D1321" s="11"/>
      <c r="E1321" s="9"/>
      <c r="F1321" s="10"/>
    </row>
    <row r="1322" customFormat="false" ht="15" hidden="false" customHeight="false" outlineLevel="0" collapsed="false">
      <c r="A1322" s="15"/>
      <c r="B1322" s="10"/>
      <c r="C1322" s="18" t="str">
        <f aca="false">IF($B1322="","",IFERROR(INDEX(대여내역!$E$3:$E$1002,MATCH($B1322,대여내역!$A$3:$A$1002,0)),"대여번호없음"))</f>
        <v/>
      </c>
      <c r="D1322" s="11"/>
      <c r="E1322" s="9"/>
      <c r="F1322" s="10"/>
    </row>
    <row r="1323" customFormat="false" ht="15" hidden="false" customHeight="false" outlineLevel="0" collapsed="false">
      <c r="A1323" s="15"/>
      <c r="B1323" s="10"/>
      <c r="C1323" s="18" t="str">
        <f aca="false">IF($B1323="","",IFERROR(INDEX(대여내역!$E$3:$E$1002,MATCH($B1323,대여내역!$A$3:$A$1002,0)),"대여번호없음"))</f>
        <v/>
      </c>
      <c r="D1323" s="11"/>
      <c r="E1323" s="9"/>
      <c r="F1323" s="10"/>
    </row>
    <row r="1324" customFormat="false" ht="15" hidden="false" customHeight="false" outlineLevel="0" collapsed="false">
      <c r="A1324" s="15"/>
      <c r="B1324" s="10"/>
      <c r="C1324" s="18" t="str">
        <f aca="false">IF($B1324="","",IFERROR(INDEX(대여내역!$E$3:$E$1002,MATCH($B1324,대여내역!$A$3:$A$1002,0)),"대여번호없음"))</f>
        <v/>
      </c>
      <c r="D1324" s="11"/>
      <c r="E1324" s="9"/>
      <c r="F1324" s="10"/>
    </row>
    <row r="1325" customFormat="false" ht="15" hidden="false" customHeight="false" outlineLevel="0" collapsed="false">
      <c r="A1325" s="15"/>
      <c r="B1325" s="10"/>
      <c r="C1325" s="18" t="str">
        <f aca="false">IF($B1325="","",IFERROR(INDEX(대여내역!$E$3:$E$1002,MATCH($B1325,대여내역!$A$3:$A$1002,0)),"대여번호없음"))</f>
        <v/>
      </c>
      <c r="D1325" s="11"/>
      <c r="E1325" s="9"/>
      <c r="F1325" s="10"/>
    </row>
    <row r="1326" customFormat="false" ht="15" hidden="false" customHeight="false" outlineLevel="0" collapsed="false">
      <c r="A1326" s="15"/>
      <c r="B1326" s="10"/>
      <c r="C1326" s="18" t="str">
        <f aca="false">IF($B1326="","",IFERROR(INDEX(대여내역!$E$3:$E$1002,MATCH($B1326,대여내역!$A$3:$A$1002,0)),"대여번호없음"))</f>
        <v/>
      </c>
      <c r="D1326" s="11"/>
      <c r="E1326" s="9"/>
      <c r="F1326" s="10"/>
    </row>
    <row r="1327" customFormat="false" ht="15" hidden="false" customHeight="false" outlineLevel="0" collapsed="false">
      <c r="A1327" s="15"/>
      <c r="B1327" s="10"/>
      <c r="C1327" s="18" t="str">
        <f aca="false">IF($B1327="","",IFERROR(INDEX(대여내역!$E$3:$E$1002,MATCH($B1327,대여내역!$A$3:$A$1002,0)),"대여번호없음"))</f>
        <v/>
      </c>
      <c r="D1327" s="11"/>
      <c r="E1327" s="9"/>
      <c r="F1327" s="10"/>
    </row>
    <row r="1328" customFormat="false" ht="15" hidden="false" customHeight="false" outlineLevel="0" collapsed="false">
      <c r="A1328" s="15"/>
      <c r="B1328" s="10"/>
      <c r="C1328" s="18" t="str">
        <f aca="false">IF($B1328="","",IFERROR(INDEX(대여내역!$E$3:$E$1002,MATCH($B1328,대여내역!$A$3:$A$1002,0)),"대여번호없음"))</f>
        <v/>
      </c>
      <c r="D1328" s="11"/>
      <c r="E1328" s="9"/>
      <c r="F1328" s="10"/>
    </row>
    <row r="1329" customFormat="false" ht="15" hidden="false" customHeight="false" outlineLevel="0" collapsed="false">
      <c r="A1329" s="15"/>
      <c r="B1329" s="10"/>
      <c r="C1329" s="18" t="str">
        <f aca="false">IF($B1329="","",IFERROR(INDEX(대여내역!$E$3:$E$1002,MATCH($B1329,대여내역!$A$3:$A$1002,0)),"대여번호없음"))</f>
        <v/>
      </c>
      <c r="D1329" s="11"/>
      <c r="E1329" s="9"/>
      <c r="F1329" s="10"/>
    </row>
    <row r="1330" customFormat="false" ht="15" hidden="false" customHeight="false" outlineLevel="0" collapsed="false">
      <c r="A1330" s="15"/>
      <c r="B1330" s="10"/>
      <c r="C1330" s="18" t="str">
        <f aca="false">IF($B1330="","",IFERROR(INDEX(대여내역!$E$3:$E$1002,MATCH($B1330,대여내역!$A$3:$A$1002,0)),"대여번호없음"))</f>
        <v/>
      </c>
      <c r="D1330" s="11"/>
      <c r="E1330" s="9"/>
      <c r="F1330" s="10"/>
    </row>
    <row r="1331" customFormat="false" ht="15" hidden="false" customHeight="false" outlineLevel="0" collapsed="false">
      <c r="A1331" s="15"/>
      <c r="B1331" s="10"/>
      <c r="C1331" s="18" t="str">
        <f aca="false">IF($B1331="","",IFERROR(INDEX(대여내역!$E$3:$E$1002,MATCH($B1331,대여내역!$A$3:$A$1002,0)),"대여번호없음"))</f>
        <v/>
      </c>
      <c r="D1331" s="11"/>
      <c r="E1331" s="9"/>
      <c r="F1331" s="10"/>
    </row>
    <row r="1332" customFormat="false" ht="15" hidden="false" customHeight="false" outlineLevel="0" collapsed="false">
      <c r="A1332" s="15"/>
      <c r="B1332" s="10"/>
      <c r="C1332" s="18" t="str">
        <f aca="false">IF($B1332="","",IFERROR(INDEX(대여내역!$E$3:$E$1002,MATCH($B1332,대여내역!$A$3:$A$1002,0)),"대여번호없음"))</f>
        <v/>
      </c>
      <c r="D1332" s="11"/>
      <c r="E1332" s="9"/>
      <c r="F1332" s="10"/>
    </row>
    <row r="1333" customFormat="false" ht="15" hidden="false" customHeight="false" outlineLevel="0" collapsed="false">
      <c r="A1333" s="15"/>
      <c r="B1333" s="10"/>
      <c r="C1333" s="18" t="str">
        <f aca="false">IF($B1333="","",IFERROR(INDEX(대여내역!$E$3:$E$1002,MATCH($B1333,대여내역!$A$3:$A$1002,0)),"대여번호없음"))</f>
        <v/>
      </c>
      <c r="D1333" s="11"/>
      <c r="E1333" s="9"/>
      <c r="F1333" s="10"/>
    </row>
    <row r="1334" customFormat="false" ht="15" hidden="false" customHeight="false" outlineLevel="0" collapsed="false">
      <c r="A1334" s="15"/>
      <c r="B1334" s="10"/>
      <c r="C1334" s="18" t="str">
        <f aca="false">IF($B1334="","",IFERROR(INDEX(대여내역!$E$3:$E$1002,MATCH($B1334,대여내역!$A$3:$A$1002,0)),"대여번호없음"))</f>
        <v/>
      </c>
      <c r="D1334" s="11"/>
      <c r="E1334" s="9"/>
      <c r="F1334" s="10"/>
    </row>
    <row r="1335" customFormat="false" ht="15" hidden="false" customHeight="false" outlineLevel="0" collapsed="false">
      <c r="A1335" s="15"/>
      <c r="B1335" s="10"/>
      <c r="C1335" s="18" t="str">
        <f aca="false">IF($B1335="","",IFERROR(INDEX(대여내역!$E$3:$E$1002,MATCH($B1335,대여내역!$A$3:$A$1002,0)),"대여번호없음"))</f>
        <v/>
      </c>
      <c r="D1335" s="11"/>
      <c r="E1335" s="9"/>
      <c r="F1335" s="10"/>
    </row>
    <row r="1336" customFormat="false" ht="15" hidden="false" customHeight="false" outlineLevel="0" collapsed="false">
      <c r="A1336" s="15"/>
      <c r="B1336" s="10"/>
      <c r="C1336" s="18" t="str">
        <f aca="false">IF($B1336="","",IFERROR(INDEX(대여내역!$E$3:$E$1002,MATCH($B1336,대여내역!$A$3:$A$1002,0)),"대여번호없음"))</f>
        <v/>
      </c>
      <c r="D1336" s="11"/>
      <c r="E1336" s="9"/>
      <c r="F1336" s="10"/>
    </row>
    <row r="1337" customFormat="false" ht="15" hidden="false" customHeight="false" outlineLevel="0" collapsed="false">
      <c r="A1337" s="15"/>
      <c r="B1337" s="10"/>
      <c r="C1337" s="18" t="str">
        <f aca="false">IF($B1337="","",IFERROR(INDEX(대여내역!$E$3:$E$1002,MATCH($B1337,대여내역!$A$3:$A$1002,0)),"대여번호없음"))</f>
        <v/>
      </c>
      <c r="D1337" s="11"/>
      <c r="E1337" s="9"/>
      <c r="F1337" s="10"/>
    </row>
    <row r="1338" customFormat="false" ht="15" hidden="false" customHeight="false" outlineLevel="0" collapsed="false">
      <c r="A1338" s="15"/>
      <c r="B1338" s="10"/>
      <c r="C1338" s="18" t="str">
        <f aca="false">IF($B1338="","",IFERROR(INDEX(대여내역!$E$3:$E$1002,MATCH($B1338,대여내역!$A$3:$A$1002,0)),"대여번호없음"))</f>
        <v/>
      </c>
      <c r="D1338" s="11"/>
      <c r="E1338" s="9"/>
      <c r="F1338" s="10"/>
    </row>
    <row r="1339" customFormat="false" ht="15" hidden="false" customHeight="false" outlineLevel="0" collapsed="false">
      <c r="A1339" s="15"/>
      <c r="B1339" s="10"/>
      <c r="C1339" s="18" t="str">
        <f aca="false">IF($B1339="","",IFERROR(INDEX(대여내역!$E$3:$E$1002,MATCH($B1339,대여내역!$A$3:$A$1002,0)),"대여번호없음"))</f>
        <v/>
      </c>
      <c r="D1339" s="11"/>
      <c r="E1339" s="9"/>
      <c r="F1339" s="10"/>
    </row>
    <row r="1340" customFormat="false" ht="15" hidden="false" customHeight="false" outlineLevel="0" collapsed="false">
      <c r="A1340" s="15"/>
      <c r="B1340" s="10"/>
      <c r="C1340" s="18" t="str">
        <f aca="false">IF($B1340="","",IFERROR(INDEX(대여내역!$E$3:$E$1002,MATCH($B1340,대여내역!$A$3:$A$1002,0)),"대여번호없음"))</f>
        <v/>
      </c>
      <c r="D1340" s="11"/>
      <c r="E1340" s="9"/>
      <c r="F1340" s="10"/>
    </row>
    <row r="1341" customFormat="false" ht="15" hidden="false" customHeight="false" outlineLevel="0" collapsed="false">
      <c r="A1341" s="15"/>
      <c r="B1341" s="10"/>
      <c r="C1341" s="18" t="str">
        <f aca="false">IF($B1341="","",IFERROR(INDEX(대여내역!$E$3:$E$1002,MATCH($B1341,대여내역!$A$3:$A$1002,0)),"대여번호없음"))</f>
        <v/>
      </c>
      <c r="D1341" s="11"/>
      <c r="E1341" s="9"/>
      <c r="F1341" s="10"/>
    </row>
    <row r="1342" customFormat="false" ht="15" hidden="false" customHeight="false" outlineLevel="0" collapsed="false">
      <c r="A1342" s="15"/>
      <c r="B1342" s="10"/>
      <c r="C1342" s="18" t="str">
        <f aca="false">IF($B1342="","",IFERROR(INDEX(대여내역!$E$3:$E$1002,MATCH($B1342,대여내역!$A$3:$A$1002,0)),"대여번호없음"))</f>
        <v/>
      </c>
      <c r="D1342" s="11"/>
      <c r="E1342" s="9"/>
      <c r="F1342" s="10"/>
    </row>
    <row r="1343" customFormat="false" ht="15" hidden="false" customHeight="false" outlineLevel="0" collapsed="false">
      <c r="A1343" s="15"/>
      <c r="B1343" s="10"/>
      <c r="C1343" s="18" t="str">
        <f aca="false">IF($B1343="","",IFERROR(INDEX(대여내역!$E$3:$E$1002,MATCH($B1343,대여내역!$A$3:$A$1002,0)),"대여번호없음"))</f>
        <v/>
      </c>
      <c r="D1343" s="11"/>
      <c r="E1343" s="9"/>
      <c r="F1343" s="10"/>
    </row>
    <row r="1344" customFormat="false" ht="15" hidden="false" customHeight="false" outlineLevel="0" collapsed="false">
      <c r="A1344" s="15"/>
      <c r="B1344" s="10"/>
      <c r="C1344" s="18" t="str">
        <f aca="false">IF($B1344="","",IFERROR(INDEX(대여내역!$E$3:$E$1002,MATCH($B1344,대여내역!$A$3:$A$1002,0)),"대여번호없음"))</f>
        <v/>
      </c>
      <c r="D1344" s="11"/>
      <c r="E1344" s="9"/>
      <c r="F1344" s="10"/>
    </row>
    <row r="1345" customFormat="false" ht="15" hidden="false" customHeight="false" outlineLevel="0" collapsed="false">
      <c r="A1345" s="15"/>
      <c r="B1345" s="10"/>
      <c r="C1345" s="18" t="str">
        <f aca="false">IF($B1345="","",IFERROR(INDEX(대여내역!$E$3:$E$1002,MATCH($B1345,대여내역!$A$3:$A$1002,0)),"대여번호없음"))</f>
        <v/>
      </c>
      <c r="D1345" s="11"/>
      <c r="E1345" s="9"/>
      <c r="F1345" s="10"/>
    </row>
    <row r="1346" customFormat="false" ht="15" hidden="false" customHeight="false" outlineLevel="0" collapsed="false">
      <c r="A1346" s="15"/>
      <c r="B1346" s="10"/>
      <c r="C1346" s="18" t="str">
        <f aca="false">IF($B1346="","",IFERROR(INDEX(대여내역!$E$3:$E$1002,MATCH($B1346,대여내역!$A$3:$A$1002,0)),"대여번호없음"))</f>
        <v/>
      </c>
      <c r="D1346" s="11"/>
      <c r="E1346" s="9"/>
      <c r="F1346" s="10"/>
    </row>
    <row r="1347" customFormat="false" ht="15" hidden="false" customHeight="false" outlineLevel="0" collapsed="false">
      <c r="A1347" s="15"/>
      <c r="B1347" s="10"/>
      <c r="C1347" s="18" t="str">
        <f aca="false">IF($B1347="","",IFERROR(INDEX(대여내역!$E$3:$E$1002,MATCH($B1347,대여내역!$A$3:$A$1002,0)),"대여번호없음"))</f>
        <v/>
      </c>
      <c r="D1347" s="11"/>
      <c r="E1347" s="9"/>
      <c r="F1347" s="10"/>
    </row>
    <row r="1348" customFormat="false" ht="15" hidden="false" customHeight="false" outlineLevel="0" collapsed="false">
      <c r="A1348" s="15"/>
      <c r="B1348" s="10"/>
      <c r="C1348" s="18" t="str">
        <f aca="false">IF($B1348="","",IFERROR(INDEX(대여내역!$E$3:$E$1002,MATCH($B1348,대여내역!$A$3:$A$1002,0)),"대여번호없음"))</f>
        <v/>
      </c>
      <c r="D1348" s="11"/>
      <c r="E1348" s="9"/>
      <c r="F1348" s="10"/>
    </row>
    <row r="1349" customFormat="false" ht="15" hidden="false" customHeight="false" outlineLevel="0" collapsed="false">
      <c r="A1349" s="15"/>
      <c r="B1349" s="10"/>
      <c r="C1349" s="18" t="str">
        <f aca="false">IF($B1349="","",IFERROR(INDEX(대여내역!$E$3:$E$1002,MATCH($B1349,대여내역!$A$3:$A$1002,0)),"대여번호없음"))</f>
        <v/>
      </c>
      <c r="D1349" s="11"/>
      <c r="E1349" s="9"/>
      <c r="F1349" s="10"/>
    </row>
    <row r="1350" customFormat="false" ht="15" hidden="false" customHeight="false" outlineLevel="0" collapsed="false">
      <c r="A1350" s="15"/>
      <c r="B1350" s="10"/>
      <c r="C1350" s="18" t="str">
        <f aca="false">IF($B1350="","",IFERROR(INDEX(대여내역!$E$3:$E$1002,MATCH($B1350,대여내역!$A$3:$A$1002,0)),"대여번호없음"))</f>
        <v/>
      </c>
      <c r="D1350" s="11"/>
      <c r="E1350" s="9"/>
      <c r="F1350" s="10"/>
    </row>
    <row r="1351" customFormat="false" ht="15" hidden="false" customHeight="false" outlineLevel="0" collapsed="false">
      <c r="A1351" s="15"/>
      <c r="B1351" s="10"/>
      <c r="C1351" s="18" t="str">
        <f aca="false">IF($B1351="","",IFERROR(INDEX(대여내역!$E$3:$E$1002,MATCH($B1351,대여내역!$A$3:$A$1002,0)),"대여번호없음"))</f>
        <v/>
      </c>
      <c r="D1351" s="11"/>
      <c r="E1351" s="9"/>
      <c r="F1351" s="10"/>
    </row>
    <row r="1352" customFormat="false" ht="15" hidden="false" customHeight="false" outlineLevel="0" collapsed="false">
      <c r="A1352" s="15"/>
      <c r="B1352" s="10"/>
      <c r="C1352" s="18" t="str">
        <f aca="false">IF($B1352="","",IFERROR(INDEX(대여내역!$E$3:$E$1002,MATCH($B1352,대여내역!$A$3:$A$1002,0)),"대여번호없음"))</f>
        <v/>
      </c>
      <c r="D1352" s="11"/>
      <c r="E1352" s="9"/>
      <c r="F1352" s="10"/>
    </row>
    <row r="1353" customFormat="false" ht="15" hidden="false" customHeight="false" outlineLevel="0" collapsed="false">
      <c r="A1353" s="15"/>
      <c r="B1353" s="10"/>
      <c r="C1353" s="18" t="str">
        <f aca="false">IF($B1353="","",IFERROR(INDEX(대여내역!$E$3:$E$1002,MATCH($B1353,대여내역!$A$3:$A$1002,0)),"대여번호없음"))</f>
        <v/>
      </c>
      <c r="D1353" s="11"/>
      <c r="E1353" s="9"/>
      <c r="F1353" s="10"/>
    </row>
    <row r="1354" customFormat="false" ht="15" hidden="false" customHeight="false" outlineLevel="0" collapsed="false">
      <c r="A1354" s="15"/>
      <c r="B1354" s="10"/>
      <c r="C1354" s="18" t="str">
        <f aca="false">IF($B1354="","",IFERROR(INDEX(대여내역!$E$3:$E$1002,MATCH($B1354,대여내역!$A$3:$A$1002,0)),"대여번호없음"))</f>
        <v/>
      </c>
      <c r="D1354" s="11"/>
      <c r="E1354" s="9"/>
      <c r="F1354" s="10"/>
    </row>
    <row r="1355" customFormat="false" ht="15" hidden="false" customHeight="false" outlineLevel="0" collapsed="false">
      <c r="A1355" s="15"/>
      <c r="B1355" s="10"/>
      <c r="C1355" s="18" t="str">
        <f aca="false">IF($B1355="","",IFERROR(INDEX(대여내역!$E$3:$E$1002,MATCH($B1355,대여내역!$A$3:$A$1002,0)),"대여번호없음"))</f>
        <v/>
      </c>
      <c r="D1355" s="11"/>
      <c r="E1355" s="9"/>
      <c r="F1355" s="10"/>
    </row>
    <row r="1356" customFormat="false" ht="15" hidden="false" customHeight="false" outlineLevel="0" collapsed="false">
      <c r="A1356" s="15"/>
      <c r="B1356" s="10"/>
      <c r="C1356" s="18" t="str">
        <f aca="false">IF($B1356="","",IFERROR(INDEX(대여내역!$E$3:$E$1002,MATCH($B1356,대여내역!$A$3:$A$1002,0)),"대여번호없음"))</f>
        <v/>
      </c>
      <c r="D1356" s="11"/>
      <c r="E1356" s="9"/>
      <c r="F1356" s="10"/>
    </row>
    <row r="1357" customFormat="false" ht="15" hidden="false" customHeight="false" outlineLevel="0" collapsed="false">
      <c r="A1357" s="15"/>
      <c r="B1357" s="10"/>
      <c r="C1357" s="18" t="str">
        <f aca="false">IF($B1357="","",IFERROR(INDEX(대여내역!$E$3:$E$1002,MATCH($B1357,대여내역!$A$3:$A$1002,0)),"대여번호없음"))</f>
        <v/>
      </c>
      <c r="D1357" s="11"/>
      <c r="E1357" s="9"/>
      <c r="F1357" s="10"/>
    </row>
    <row r="1358" customFormat="false" ht="15" hidden="false" customHeight="false" outlineLevel="0" collapsed="false">
      <c r="A1358" s="15"/>
      <c r="B1358" s="10"/>
      <c r="C1358" s="18" t="str">
        <f aca="false">IF($B1358="","",IFERROR(INDEX(대여내역!$E$3:$E$1002,MATCH($B1358,대여내역!$A$3:$A$1002,0)),"대여번호없음"))</f>
        <v/>
      </c>
      <c r="D1358" s="11"/>
      <c r="E1358" s="9"/>
      <c r="F1358" s="10"/>
    </row>
    <row r="1359" customFormat="false" ht="15" hidden="false" customHeight="false" outlineLevel="0" collapsed="false">
      <c r="A1359" s="15"/>
      <c r="B1359" s="10"/>
      <c r="C1359" s="18" t="str">
        <f aca="false">IF($B1359="","",IFERROR(INDEX(대여내역!$E$3:$E$1002,MATCH($B1359,대여내역!$A$3:$A$1002,0)),"대여번호없음"))</f>
        <v/>
      </c>
      <c r="D1359" s="11"/>
      <c r="E1359" s="9"/>
      <c r="F1359" s="10"/>
    </row>
    <row r="1360" customFormat="false" ht="15" hidden="false" customHeight="false" outlineLevel="0" collapsed="false">
      <c r="A1360" s="15"/>
      <c r="B1360" s="10"/>
      <c r="C1360" s="18" t="str">
        <f aca="false">IF($B1360="","",IFERROR(INDEX(대여내역!$E$3:$E$1002,MATCH($B1360,대여내역!$A$3:$A$1002,0)),"대여번호없음"))</f>
        <v/>
      </c>
      <c r="D1360" s="11"/>
      <c r="E1360" s="9"/>
      <c r="F1360" s="10"/>
    </row>
    <row r="1361" customFormat="false" ht="15" hidden="false" customHeight="false" outlineLevel="0" collapsed="false">
      <c r="A1361" s="15"/>
      <c r="B1361" s="10"/>
      <c r="C1361" s="18" t="str">
        <f aca="false">IF($B1361="","",IFERROR(INDEX(대여내역!$E$3:$E$1002,MATCH($B1361,대여내역!$A$3:$A$1002,0)),"대여번호없음"))</f>
        <v/>
      </c>
      <c r="D1361" s="11"/>
      <c r="E1361" s="9"/>
      <c r="F1361" s="10"/>
    </row>
    <row r="1362" customFormat="false" ht="15" hidden="false" customHeight="false" outlineLevel="0" collapsed="false">
      <c r="A1362" s="15"/>
      <c r="B1362" s="10"/>
      <c r="C1362" s="18" t="str">
        <f aca="false">IF($B1362="","",IFERROR(INDEX(대여내역!$E$3:$E$1002,MATCH($B1362,대여내역!$A$3:$A$1002,0)),"대여번호없음"))</f>
        <v/>
      </c>
      <c r="D1362" s="11"/>
      <c r="E1362" s="9"/>
      <c r="F1362" s="10"/>
    </row>
    <row r="1363" customFormat="false" ht="15" hidden="false" customHeight="false" outlineLevel="0" collapsed="false">
      <c r="A1363" s="15"/>
      <c r="B1363" s="10"/>
      <c r="C1363" s="18" t="str">
        <f aca="false">IF($B1363="","",IFERROR(INDEX(대여내역!$E$3:$E$1002,MATCH($B1363,대여내역!$A$3:$A$1002,0)),"대여번호없음"))</f>
        <v/>
      </c>
      <c r="D1363" s="11"/>
      <c r="E1363" s="9"/>
      <c r="F1363" s="10"/>
    </row>
    <row r="1364" customFormat="false" ht="15" hidden="false" customHeight="false" outlineLevel="0" collapsed="false">
      <c r="A1364" s="15"/>
      <c r="B1364" s="10"/>
      <c r="C1364" s="18" t="str">
        <f aca="false">IF($B1364="","",IFERROR(INDEX(대여내역!$E$3:$E$1002,MATCH($B1364,대여내역!$A$3:$A$1002,0)),"대여번호없음"))</f>
        <v/>
      </c>
      <c r="D1364" s="11"/>
      <c r="E1364" s="9"/>
      <c r="F1364" s="10"/>
    </row>
    <row r="1365" customFormat="false" ht="15" hidden="false" customHeight="false" outlineLevel="0" collapsed="false">
      <c r="A1365" s="15"/>
      <c r="B1365" s="10"/>
      <c r="C1365" s="18" t="str">
        <f aca="false">IF($B1365="","",IFERROR(INDEX(대여내역!$E$3:$E$1002,MATCH($B1365,대여내역!$A$3:$A$1002,0)),"대여번호없음"))</f>
        <v/>
      </c>
      <c r="D1365" s="11"/>
      <c r="E1365" s="9"/>
      <c r="F1365" s="10"/>
    </row>
    <row r="1366" customFormat="false" ht="15" hidden="false" customHeight="false" outlineLevel="0" collapsed="false">
      <c r="A1366" s="15"/>
      <c r="B1366" s="10"/>
      <c r="C1366" s="18" t="str">
        <f aca="false">IF($B1366="","",IFERROR(INDEX(대여내역!$E$3:$E$1002,MATCH($B1366,대여내역!$A$3:$A$1002,0)),"대여번호없음"))</f>
        <v/>
      </c>
      <c r="D1366" s="11"/>
      <c r="E1366" s="9"/>
      <c r="F1366" s="10"/>
    </row>
    <row r="1367" customFormat="false" ht="15" hidden="false" customHeight="false" outlineLevel="0" collapsed="false">
      <c r="A1367" s="15"/>
      <c r="B1367" s="10"/>
      <c r="C1367" s="18" t="str">
        <f aca="false">IF($B1367="","",IFERROR(INDEX(대여내역!$E$3:$E$1002,MATCH($B1367,대여내역!$A$3:$A$1002,0)),"대여번호없음"))</f>
        <v/>
      </c>
      <c r="D1367" s="11"/>
      <c r="E1367" s="9"/>
      <c r="F1367" s="10"/>
    </row>
    <row r="1368" customFormat="false" ht="15" hidden="false" customHeight="false" outlineLevel="0" collapsed="false">
      <c r="A1368" s="15"/>
      <c r="B1368" s="10"/>
      <c r="C1368" s="18" t="str">
        <f aca="false">IF($B1368="","",IFERROR(INDEX(대여내역!$E$3:$E$1002,MATCH($B1368,대여내역!$A$3:$A$1002,0)),"대여번호없음"))</f>
        <v/>
      </c>
      <c r="D1368" s="11"/>
      <c r="E1368" s="9"/>
      <c r="F1368" s="10"/>
    </row>
    <row r="1369" customFormat="false" ht="15" hidden="false" customHeight="false" outlineLevel="0" collapsed="false">
      <c r="A1369" s="15"/>
      <c r="B1369" s="10"/>
      <c r="C1369" s="18" t="str">
        <f aca="false">IF($B1369="","",IFERROR(INDEX(대여내역!$E$3:$E$1002,MATCH($B1369,대여내역!$A$3:$A$1002,0)),"대여번호없음"))</f>
        <v/>
      </c>
      <c r="D1369" s="11"/>
      <c r="E1369" s="9"/>
      <c r="F1369" s="10"/>
    </row>
    <row r="1370" customFormat="false" ht="15" hidden="false" customHeight="false" outlineLevel="0" collapsed="false">
      <c r="A1370" s="15"/>
      <c r="B1370" s="10"/>
      <c r="C1370" s="18" t="str">
        <f aca="false">IF($B1370="","",IFERROR(INDEX(대여내역!$E$3:$E$1002,MATCH($B1370,대여내역!$A$3:$A$1002,0)),"대여번호없음"))</f>
        <v/>
      </c>
      <c r="D1370" s="11"/>
      <c r="E1370" s="9"/>
      <c r="F1370" s="10"/>
    </row>
    <row r="1371" customFormat="false" ht="15" hidden="false" customHeight="false" outlineLevel="0" collapsed="false">
      <c r="A1371" s="15"/>
      <c r="B1371" s="10"/>
      <c r="C1371" s="18" t="str">
        <f aca="false">IF($B1371="","",IFERROR(INDEX(대여내역!$E$3:$E$1002,MATCH($B1371,대여내역!$A$3:$A$1002,0)),"대여번호없음"))</f>
        <v/>
      </c>
      <c r="D1371" s="11"/>
      <c r="E1371" s="9"/>
      <c r="F1371" s="10"/>
    </row>
    <row r="1372" customFormat="false" ht="15" hidden="false" customHeight="false" outlineLevel="0" collapsed="false">
      <c r="A1372" s="15"/>
      <c r="B1372" s="10"/>
      <c r="C1372" s="18" t="str">
        <f aca="false">IF($B1372="","",IFERROR(INDEX(대여내역!$E$3:$E$1002,MATCH($B1372,대여내역!$A$3:$A$1002,0)),"대여번호없음"))</f>
        <v/>
      </c>
      <c r="D1372" s="11"/>
      <c r="E1372" s="9"/>
      <c r="F1372" s="10"/>
    </row>
    <row r="1373" customFormat="false" ht="15" hidden="false" customHeight="false" outlineLevel="0" collapsed="false">
      <c r="A1373" s="15"/>
      <c r="B1373" s="10"/>
      <c r="C1373" s="18" t="str">
        <f aca="false">IF($B1373="","",IFERROR(INDEX(대여내역!$E$3:$E$1002,MATCH($B1373,대여내역!$A$3:$A$1002,0)),"대여번호없음"))</f>
        <v/>
      </c>
      <c r="D1373" s="11"/>
      <c r="E1373" s="9"/>
      <c r="F1373" s="10"/>
    </row>
    <row r="1374" customFormat="false" ht="15" hidden="false" customHeight="false" outlineLevel="0" collapsed="false">
      <c r="A1374" s="15"/>
      <c r="B1374" s="10"/>
      <c r="C1374" s="18" t="str">
        <f aca="false">IF($B1374="","",IFERROR(INDEX(대여내역!$E$3:$E$1002,MATCH($B1374,대여내역!$A$3:$A$1002,0)),"대여번호없음"))</f>
        <v/>
      </c>
      <c r="D1374" s="11"/>
      <c r="E1374" s="9"/>
      <c r="F1374" s="10"/>
    </row>
    <row r="1375" customFormat="false" ht="15" hidden="false" customHeight="false" outlineLevel="0" collapsed="false">
      <c r="A1375" s="15"/>
      <c r="B1375" s="10"/>
      <c r="C1375" s="18" t="str">
        <f aca="false">IF($B1375="","",IFERROR(INDEX(대여내역!$E$3:$E$1002,MATCH($B1375,대여내역!$A$3:$A$1002,0)),"대여번호없음"))</f>
        <v/>
      </c>
      <c r="D1375" s="11"/>
      <c r="E1375" s="9"/>
      <c r="F1375" s="10"/>
    </row>
    <row r="1376" customFormat="false" ht="15" hidden="false" customHeight="false" outlineLevel="0" collapsed="false">
      <c r="A1376" s="15"/>
      <c r="B1376" s="10"/>
      <c r="C1376" s="18" t="str">
        <f aca="false">IF($B1376="","",IFERROR(INDEX(대여내역!$E$3:$E$1002,MATCH($B1376,대여내역!$A$3:$A$1002,0)),"대여번호없음"))</f>
        <v/>
      </c>
      <c r="D1376" s="11"/>
      <c r="E1376" s="9"/>
      <c r="F1376" s="10"/>
    </row>
    <row r="1377" customFormat="false" ht="15" hidden="false" customHeight="false" outlineLevel="0" collapsed="false">
      <c r="A1377" s="15"/>
      <c r="B1377" s="10"/>
      <c r="C1377" s="18" t="str">
        <f aca="false">IF($B1377="","",IFERROR(INDEX(대여내역!$E$3:$E$1002,MATCH($B1377,대여내역!$A$3:$A$1002,0)),"대여번호없음"))</f>
        <v/>
      </c>
      <c r="D1377" s="11"/>
      <c r="E1377" s="9"/>
      <c r="F1377" s="10"/>
    </row>
    <row r="1378" customFormat="false" ht="15" hidden="false" customHeight="false" outlineLevel="0" collapsed="false">
      <c r="A1378" s="15"/>
      <c r="B1378" s="10"/>
      <c r="C1378" s="18" t="str">
        <f aca="false">IF($B1378="","",IFERROR(INDEX(대여내역!$E$3:$E$1002,MATCH($B1378,대여내역!$A$3:$A$1002,0)),"대여번호없음"))</f>
        <v/>
      </c>
      <c r="D1378" s="11"/>
      <c r="E1378" s="9"/>
      <c r="F1378" s="10"/>
    </row>
    <row r="1379" customFormat="false" ht="15" hidden="false" customHeight="false" outlineLevel="0" collapsed="false">
      <c r="A1379" s="15"/>
      <c r="B1379" s="10"/>
      <c r="C1379" s="18" t="str">
        <f aca="false">IF($B1379="","",IFERROR(INDEX(대여내역!$E$3:$E$1002,MATCH($B1379,대여내역!$A$3:$A$1002,0)),"대여번호없음"))</f>
        <v/>
      </c>
      <c r="D1379" s="11"/>
      <c r="E1379" s="9"/>
      <c r="F1379" s="10"/>
    </row>
    <row r="1380" customFormat="false" ht="15" hidden="false" customHeight="false" outlineLevel="0" collapsed="false">
      <c r="A1380" s="15"/>
      <c r="B1380" s="10"/>
      <c r="C1380" s="18" t="str">
        <f aca="false">IF($B1380="","",IFERROR(INDEX(대여내역!$E$3:$E$1002,MATCH($B1380,대여내역!$A$3:$A$1002,0)),"대여번호없음"))</f>
        <v/>
      </c>
      <c r="D1380" s="11"/>
      <c r="E1380" s="9"/>
      <c r="F1380" s="10"/>
    </row>
    <row r="1381" customFormat="false" ht="15" hidden="false" customHeight="false" outlineLevel="0" collapsed="false">
      <c r="A1381" s="15"/>
      <c r="B1381" s="10"/>
      <c r="C1381" s="18" t="str">
        <f aca="false">IF($B1381="","",IFERROR(INDEX(대여내역!$E$3:$E$1002,MATCH($B1381,대여내역!$A$3:$A$1002,0)),"대여번호없음"))</f>
        <v/>
      </c>
      <c r="D1381" s="11"/>
      <c r="E1381" s="9"/>
      <c r="F1381" s="10"/>
    </row>
    <row r="1382" customFormat="false" ht="15" hidden="false" customHeight="false" outlineLevel="0" collapsed="false">
      <c r="A1382" s="15"/>
      <c r="B1382" s="10"/>
      <c r="C1382" s="18" t="str">
        <f aca="false">IF($B1382="","",IFERROR(INDEX(대여내역!$E$3:$E$1002,MATCH($B1382,대여내역!$A$3:$A$1002,0)),"대여번호없음"))</f>
        <v/>
      </c>
      <c r="D1382" s="11"/>
      <c r="E1382" s="9"/>
      <c r="F1382" s="10"/>
    </row>
    <row r="1383" customFormat="false" ht="15" hidden="false" customHeight="false" outlineLevel="0" collapsed="false">
      <c r="A1383" s="15"/>
      <c r="B1383" s="10"/>
      <c r="C1383" s="18" t="str">
        <f aca="false">IF($B1383="","",IFERROR(INDEX(대여내역!$E$3:$E$1002,MATCH($B1383,대여내역!$A$3:$A$1002,0)),"대여번호없음"))</f>
        <v/>
      </c>
      <c r="D1383" s="11"/>
      <c r="E1383" s="9"/>
      <c r="F1383" s="10"/>
    </row>
    <row r="1384" customFormat="false" ht="15" hidden="false" customHeight="false" outlineLevel="0" collapsed="false">
      <c r="A1384" s="15"/>
      <c r="B1384" s="10"/>
      <c r="C1384" s="18" t="str">
        <f aca="false">IF($B1384="","",IFERROR(INDEX(대여내역!$E$3:$E$1002,MATCH($B1384,대여내역!$A$3:$A$1002,0)),"대여번호없음"))</f>
        <v/>
      </c>
      <c r="D1384" s="11"/>
      <c r="E1384" s="9"/>
      <c r="F1384" s="10"/>
    </row>
    <row r="1385" customFormat="false" ht="15" hidden="false" customHeight="false" outlineLevel="0" collapsed="false">
      <c r="A1385" s="15"/>
      <c r="B1385" s="10"/>
      <c r="C1385" s="18" t="str">
        <f aca="false">IF($B1385="","",IFERROR(INDEX(대여내역!$E$3:$E$1002,MATCH($B1385,대여내역!$A$3:$A$1002,0)),"대여번호없음"))</f>
        <v/>
      </c>
      <c r="D1385" s="11"/>
      <c r="E1385" s="9"/>
      <c r="F1385" s="10"/>
    </row>
    <row r="1386" customFormat="false" ht="15" hidden="false" customHeight="false" outlineLevel="0" collapsed="false">
      <c r="A1386" s="15"/>
      <c r="B1386" s="10"/>
      <c r="C1386" s="18" t="str">
        <f aca="false">IF($B1386="","",IFERROR(INDEX(대여내역!$E$3:$E$1002,MATCH($B1386,대여내역!$A$3:$A$1002,0)),"대여번호없음"))</f>
        <v/>
      </c>
      <c r="D1386" s="11"/>
      <c r="E1386" s="9"/>
      <c r="F1386" s="10"/>
    </row>
    <row r="1387" customFormat="false" ht="15" hidden="false" customHeight="false" outlineLevel="0" collapsed="false">
      <c r="A1387" s="15"/>
      <c r="B1387" s="10"/>
      <c r="C1387" s="18" t="str">
        <f aca="false">IF($B1387="","",IFERROR(INDEX(대여내역!$E$3:$E$1002,MATCH($B1387,대여내역!$A$3:$A$1002,0)),"대여번호없음"))</f>
        <v/>
      </c>
      <c r="D1387" s="11"/>
      <c r="E1387" s="9"/>
      <c r="F1387" s="10"/>
    </row>
    <row r="1388" customFormat="false" ht="15" hidden="false" customHeight="false" outlineLevel="0" collapsed="false">
      <c r="A1388" s="15"/>
      <c r="B1388" s="10"/>
      <c r="C1388" s="18" t="str">
        <f aca="false">IF($B1388="","",IFERROR(INDEX(대여내역!$E$3:$E$1002,MATCH($B1388,대여내역!$A$3:$A$1002,0)),"대여번호없음"))</f>
        <v/>
      </c>
      <c r="D1388" s="11"/>
      <c r="E1388" s="9"/>
      <c r="F1388" s="10"/>
    </row>
    <row r="1389" customFormat="false" ht="15" hidden="false" customHeight="false" outlineLevel="0" collapsed="false">
      <c r="A1389" s="15"/>
      <c r="B1389" s="10"/>
      <c r="C1389" s="18" t="str">
        <f aca="false">IF($B1389="","",IFERROR(INDEX(대여내역!$E$3:$E$1002,MATCH($B1389,대여내역!$A$3:$A$1002,0)),"대여번호없음"))</f>
        <v/>
      </c>
      <c r="D1389" s="11"/>
      <c r="E1389" s="9"/>
      <c r="F1389" s="10"/>
    </row>
    <row r="1390" customFormat="false" ht="15" hidden="false" customHeight="false" outlineLevel="0" collapsed="false">
      <c r="A1390" s="15"/>
      <c r="B1390" s="10"/>
      <c r="C1390" s="18" t="str">
        <f aca="false">IF($B1390="","",IFERROR(INDEX(대여내역!$E$3:$E$1002,MATCH($B1390,대여내역!$A$3:$A$1002,0)),"대여번호없음"))</f>
        <v/>
      </c>
      <c r="D1390" s="11"/>
      <c r="E1390" s="9"/>
      <c r="F1390" s="10"/>
    </row>
    <row r="1391" customFormat="false" ht="15" hidden="false" customHeight="false" outlineLevel="0" collapsed="false">
      <c r="A1391" s="15"/>
      <c r="B1391" s="10"/>
      <c r="C1391" s="18" t="str">
        <f aca="false">IF($B1391="","",IFERROR(INDEX(대여내역!$E$3:$E$1002,MATCH($B1391,대여내역!$A$3:$A$1002,0)),"대여번호없음"))</f>
        <v/>
      </c>
      <c r="D1391" s="11"/>
      <c r="E1391" s="9"/>
      <c r="F1391" s="10"/>
    </row>
    <row r="1392" customFormat="false" ht="15" hidden="false" customHeight="false" outlineLevel="0" collapsed="false">
      <c r="A1392" s="15"/>
      <c r="B1392" s="10"/>
      <c r="C1392" s="18" t="str">
        <f aca="false">IF($B1392="","",IFERROR(INDEX(대여내역!$E$3:$E$1002,MATCH($B1392,대여내역!$A$3:$A$1002,0)),"대여번호없음"))</f>
        <v/>
      </c>
      <c r="D1392" s="11"/>
      <c r="E1392" s="9"/>
      <c r="F1392" s="10"/>
    </row>
    <row r="1393" customFormat="false" ht="15" hidden="false" customHeight="false" outlineLevel="0" collapsed="false">
      <c r="A1393" s="15"/>
      <c r="B1393" s="10"/>
      <c r="C1393" s="18" t="str">
        <f aca="false">IF($B1393="","",IFERROR(INDEX(대여내역!$E$3:$E$1002,MATCH($B1393,대여내역!$A$3:$A$1002,0)),"대여번호없음"))</f>
        <v/>
      </c>
      <c r="D1393" s="11"/>
      <c r="E1393" s="9"/>
      <c r="F1393" s="10"/>
    </row>
    <row r="1394" customFormat="false" ht="15" hidden="false" customHeight="false" outlineLevel="0" collapsed="false">
      <c r="A1394" s="15"/>
      <c r="B1394" s="10"/>
      <c r="C1394" s="18" t="str">
        <f aca="false">IF($B1394="","",IFERROR(INDEX(대여내역!$E$3:$E$1002,MATCH($B1394,대여내역!$A$3:$A$1002,0)),"대여번호없음"))</f>
        <v/>
      </c>
      <c r="D1394" s="11"/>
      <c r="E1394" s="9"/>
      <c r="F1394" s="10"/>
    </row>
    <row r="1395" customFormat="false" ht="15" hidden="false" customHeight="false" outlineLevel="0" collapsed="false">
      <c r="A1395" s="15"/>
      <c r="B1395" s="10"/>
      <c r="C1395" s="18" t="str">
        <f aca="false">IF($B1395="","",IFERROR(INDEX(대여내역!$E$3:$E$1002,MATCH($B1395,대여내역!$A$3:$A$1002,0)),"대여번호없음"))</f>
        <v/>
      </c>
      <c r="D1395" s="11"/>
      <c r="E1395" s="9"/>
      <c r="F1395" s="10"/>
    </row>
    <row r="1396" customFormat="false" ht="15" hidden="false" customHeight="false" outlineLevel="0" collapsed="false">
      <c r="A1396" s="15"/>
      <c r="B1396" s="10"/>
      <c r="C1396" s="18" t="str">
        <f aca="false">IF($B1396="","",IFERROR(INDEX(대여내역!$E$3:$E$1002,MATCH($B1396,대여내역!$A$3:$A$1002,0)),"대여번호없음"))</f>
        <v/>
      </c>
      <c r="D1396" s="11"/>
      <c r="E1396" s="9"/>
      <c r="F1396" s="10"/>
    </row>
    <row r="1397" customFormat="false" ht="15" hidden="false" customHeight="false" outlineLevel="0" collapsed="false">
      <c r="A1397" s="15"/>
      <c r="B1397" s="10"/>
      <c r="C1397" s="18" t="str">
        <f aca="false">IF($B1397="","",IFERROR(INDEX(대여내역!$E$3:$E$1002,MATCH($B1397,대여내역!$A$3:$A$1002,0)),"대여번호없음"))</f>
        <v/>
      </c>
      <c r="D1397" s="11"/>
      <c r="E1397" s="9"/>
      <c r="F1397" s="10"/>
    </row>
    <row r="1398" customFormat="false" ht="15" hidden="false" customHeight="false" outlineLevel="0" collapsed="false">
      <c r="A1398" s="15"/>
      <c r="B1398" s="10"/>
      <c r="C1398" s="18" t="str">
        <f aca="false">IF($B1398="","",IFERROR(INDEX(대여내역!$E$3:$E$1002,MATCH($B1398,대여내역!$A$3:$A$1002,0)),"대여번호없음"))</f>
        <v/>
      </c>
      <c r="D1398" s="11"/>
      <c r="E1398" s="9"/>
      <c r="F1398" s="10"/>
    </row>
    <row r="1399" customFormat="false" ht="15" hidden="false" customHeight="false" outlineLevel="0" collapsed="false">
      <c r="A1399" s="15"/>
      <c r="B1399" s="10"/>
      <c r="C1399" s="18" t="str">
        <f aca="false">IF($B1399="","",IFERROR(INDEX(대여내역!$E$3:$E$1002,MATCH($B1399,대여내역!$A$3:$A$1002,0)),"대여번호없음"))</f>
        <v/>
      </c>
      <c r="D1399" s="11"/>
      <c r="E1399" s="9"/>
      <c r="F1399" s="10"/>
    </row>
    <row r="1400" customFormat="false" ht="15" hidden="false" customHeight="false" outlineLevel="0" collapsed="false">
      <c r="A1400" s="15"/>
      <c r="B1400" s="10"/>
      <c r="C1400" s="18" t="str">
        <f aca="false">IF($B1400="","",IFERROR(INDEX(대여내역!$E$3:$E$1002,MATCH($B1400,대여내역!$A$3:$A$1002,0)),"대여번호없음"))</f>
        <v/>
      </c>
      <c r="D1400" s="11"/>
      <c r="E1400" s="9"/>
      <c r="F1400" s="10"/>
    </row>
    <row r="1401" customFormat="false" ht="15" hidden="false" customHeight="false" outlineLevel="0" collapsed="false">
      <c r="A1401" s="15"/>
      <c r="B1401" s="10"/>
      <c r="C1401" s="18" t="str">
        <f aca="false">IF($B1401="","",IFERROR(INDEX(대여내역!$E$3:$E$1002,MATCH($B1401,대여내역!$A$3:$A$1002,0)),"대여번호없음"))</f>
        <v/>
      </c>
      <c r="D1401" s="11"/>
      <c r="E1401" s="9"/>
      <c r="F1401" s="10"/>
    </row>
    <row r="1402" customFormat="false" ht="15" hidden="false" customHeight="false" outlineLevel="0" collapsed="false">
      <c r="A1402" s="15"/>
      <c r="B1402" s="10"/>
      <c r="C1402" s="18" t="str">
        <f aca="false">IF($B1402="","",IFERROR(INDEX(대여내역!$E$3:$E$1002,MATCH($B1402,대여내역!$A$3:$A$1002,0)),"대여번호없음"))</f>
        <v/>
      </c>
      <c r="D1402" s="11"/>
      <c r="E1402" s="9"/>
      <c r="F1402" s="10"/>
    </row>
    <row r="1403" customFormat="false" ht="15" hidden="false" customHeight="false" outlineLevel="0" collapsed="false">
      <c r="A1403" s="15"/>
      <c r="B1403" s="10"/>
      <c r="C1403" s="18" t="str">
        <f aca="false">IF($B1403="","",IFERROR(INDEX(대여내역!$E$3:$E$1002,MATCH($B1403,대여내역!$A$3:$A$1002,0)),"대여번호없음"))</f>
        <v/>
      </c>
      <c r="D1403" s="11"/>
      <c r="E1403" s="9"/>
      <c r="F1403" s="10"/>
    </row>
    <row r="1404" customFormat="false" ht="15" hidden="false" customHeight="false" outlineLevel="0" collapsed="false">
      <c r="A1404" s="15"/>
      <c r="B1404" s="10"/>
      <c r="C1404" s="18" t="str">
        <f aca="false">IF($B1404="","",IFERROR(INDEX(대여내역!$E$3:$E$1002,MATCH($B1404,대여내역!$A$3:$A$1002,0)),"대여번호없음"))</f>
        <v/>
      </c>
      <c r="D1404" s="11"/>
      <c r="E1404" s="9"/>
      <c r="F1404" s="10"/>
    </row>
    <row r="1405" customFormat="false" ht="15" hidden="false" customHeight="false" outlineLevel="0" collapsed="false">
      <c r="A1405" s="15"/>
      <c r="B1405" s="10"/>
      <c r="C1405" s="18" t="str">
        <f aca="false">IF($B1405="","",IFERROR(INDEX(대여내역!$E$3:$E$1002,MATCH($B1405,대여내역!$A$3:$A$1002,0)),"대여번호없음"))</f>
        <v/>
      </c>
      <c r="D1405" s="11"/>
      <c r="E1405" s="9"/>
      <c r="F1405" s="10"/>
    </row>
    <row r="1406" customFormat="false" ht="15" hidden="false" customHeight="false" outlineLevel="0" collapsed="false">
      <c r="A1406" s="15"/>
      <c r="B1406" s="10"/>
      <c r="C1406" s="18" t="str">
        <f aca="false">IF($B1406="","",IFERROR(INDEX(대여내역!$E$3:$E$1002,MATCH($B1406,대여내역!$A$3:$A$1002,0)),"대여번호없음"))</f>
        <v/>
      </c>
      <c r="D1406" s="11"/>
      <c r="E1406" s="9"/>
      <c r="F1406" s="10"/>
    </row>
    <row r="1407" customFormat="false" ht="15" hidden="false" customHeight="false" outlineLevel="0" collapsed="false">
      <c r="A1407" s="15"/>
      <c r="B1407" s="10"/>
      <c r="C1407" s="18" t="str">
        <f aca="false">IF($B1407="","",IFERROR(INDEX(대여내역!$E$3:$E$1002,MATCH($B1407,대여내역!$A$3:$A$1002,0)),"대여번호없음"))</f>
        <v/>
      </c>
      <c r="D1407" s="11"/>
      <c r="E1407" s="9"/>
      <c r="F1407" s="10"/>
    </row>
    <row r="1408" customFormat="false" ht="15" hidden="false" customHeight="false" outlineLevel="0" collapsed="false">
      <c r="A1408" s="15"/>
      <c r="B1408" s="10"/>
      <c r="C1408" s="18" t="str">
        <f aca="false">IF($B1408="","",IFERROR(INDEX(대여내역!$E$3:$E$1002,MATCH($B1408,대여내역!$A$3:$A$1002,0)),"대여번호없음"))</f>
        <v/>
      </c>
      <c r="D1408" s="11"/>
      <c r="E1408" s="9"/>
      <c r="F1408" s="10"/>
    </row>
    <row r="1409" customFormat="false" ht="15" hidden="false" customHeight="false" outlineLevel="0" collapsed="false">
      <c r="A1409" s="15"/>
      <c r="B1409" s="10"/>
      <c r="C1409" s="18" t="str">
        <f aca="false">IF($B1409="","",IFERROR(INDEX(대여내역!$E$3:$E$1002,MATCH($B1409,대여내역!$A$3:$A$1002,0)),"대여번호없음"))</f>
        <v/>
      </c>
      <c r="D1409" s="11"/>
      <c r="E1409" s="9"/>
      <c r="F1409" s="10"/>
    </row>
    <row r="1410" customFormat="false" ht="15" hidden="false" customHeight="false" outlineLevel="0" collapsed="false">
      <c r="A1410" s="15"/>
      <c r="B1410" s="10"/>
      <c r="C1410" s="18" t="str">
        <f aca="false">IF($B1410="","",IFERROR(INDEX(대여내역!$E$3:$E$1002,MATCH($B1410,대여내역!$A$3:$A$1002,0)),"대여번호없음"))</f>
        <v/>
      </c>
      <c r="D1410" s="11"/>
      <c r="E1410" s="9"/>
      <c r="F1410" s="10"/>
    </row>
    <row r="1411" customFormat="false" ht="15" hidden="false" customHeight="false" outlineLevel="0" collapsed="false">
      <c r="A1411" s="15"/>
      <c r="B1411" s="10"/>
      <c r="C1411" s="18" t="str">
        <f aca="false">IF($B1411="","",IFERROR(INDEX(대여내역!$E$3:$E$1002,MATCH($B1411,대여내역!$A$3:$A$1002,0)),"대여번호없음"))</f>
        <v/>
      </c>
      <c r="D1411" s="11"/>
      <c r="E1411" s="9"/>
      <c r="F1411" s="10"/>
    </row>
    <row r="1412" customFormat="false" ht="15" hidden="false" customHeight="false" outlineLevel="0" collapsed="false">
      <c r="A1412" s="15"/>
      <c r="B1412" s="10"/>
      <c r="C1412" s="18" t="str">
        <f aca="false">IF($B1412="","",IFERROR(INDEX(대여내역!$E$3:$E$1002,MATCH($B1412,대여내역!$A$3:$A$1002,0)),"대여번호없음"))</f>
        <v/>
      </c>
      <c r="D1412" s="11"/>
      <c r="E1412" s="9"/>
      <c r="F1412" s="10"/>
    </row>
    <row r="1413" customFormat="false" ht="15" hidden="false" customHeight="false" outlineLevel="0" collapsed="false">
      <c r="A1413" s="15"/>
      <c r="B1413" s="10"/>
      <c r="C1413" s="18" t="str">
        <f aca="false">IF($B1413="","",IFERROR(INDEX(대여내역!$E$3:$E$1002,MATCH($B1413,대여내역!$A$3:$A$1002,0)),"대여번호없음"))</f>
        <v/>
      </c>
      <c r="D1413" s="11"/>
      <c r="E1413" s="9"/>
      <c r="F1413" s="10"/>
    </row>
    <row r="1414" customFormat="false" ht="15" hidden="false" customHeight="false" outlineLevel="0" collapsed="false">
      <c r="A1414" s="15"/>
      <c r="B1414" s="10"/>
      <c r="C1414" s="18" t="str">
        <f aca="false">IF($B1414="","",IFERROR(INDEX(대여내역!$E$3:$E$1002,MATCH($B1414,대여내역!$A$3:$A$1002,0)),"대여번호없음"))</f>
        <v/>
      </c>
      <c r="D1414" s="11"/>
      <c r="E1414" s="9"/>
      <c r="F1414" s="10"/>
    </row>
    <row r="1415" customFormat="false" ht="15" hidden="false" customHeight="false" outlineLevel="0" collapsed="false">
      <c r="A1415" s="15"/>
      <c r="B1415" s="10"/>
      <c r="C1415" s="18" t="str">
        <f aca="false">IF($B1415="","",IFERROR(INDEX(대여내역!$E$3:$E$1002,MATCH($B1415,대여내역!$A$3:$A$1002,0)),"대여번호없음"))</f>
        <v/>
      </c>
      <c r="D1415" s="11"/>
      <c r="E1415" s="9"/>
      <c r="F1415" s="10"/>
    </row>
    <row r="1416" customFormat="false" ht="15" hidden="false" customHeight="false" outlineLevel="0" collapsed="false">
      <c r="A1416" s="15"/>
      <c r="B1416" s="10"/>
      <c r="C1416" s="18" t="str">
        <f aca="false">IF($B1416="","",IFERROR(INDEX(대여내역!$E$3:$E$1002,MATCH($B1416,대여내역!$A$3:$A$1002,0)),"대여번호없음"))</f>
        <v/>
      </c>
      <c r="D1416" s="11"/>
      <c r="E1416" s="9"/>
      <c r="F1416" s="10"/>
    </row>
    <row r="1417" customFormat="false" ht="15" hidden="false" customHeight="false" outlineLevel="0" collapsed="false">
      <c r="A1417" s="15"/>
      <c r="B1417" s="10"/>
      <c r="C1417" s="18" t="str">
        <f aca="false">IF($B1417="","",IFERROR(INDEX(대여내역!$E$3:$E$1002,MATCH($B1417,대여내역!$A$3:$A$1002,0)),"대여번호없음"))</f>
        <v/>
      </c>
      <c r="D1417" s="11"/>
      <c r="E1417" s="9"/>
      <c r="F1417" s="10"/>
    </row>
    <row r="1418" customFormat="false" ht="15" hidden="false" customHeight="false" outlineLevel="0" collapsed="false">
      <c r="A1418" s="15"/>
      <c r="B1418" s="10"/>
      <c r="C1418" s="18" t="str">
        <f aca="false">IF($B1418="","",IFERROR(INDEX(대여내역!$E$3:$E$1002,MATCH($B1418,대여내역!$A$3:$A$1002,0)),"대여번호없음"))</f>
        <v/>
      </c>
      <c r="D1418" s="11"/>
      <c r="E1418" s="9"/>
      <c r="F1418" s="10"/>
    </row>
    <row r="1419" customFormat="false" ht="15" hidden="false" customHeight="false" outlineLevel="0" collapsed="false">
      <c r="A1419" s="15"/>
      <c r="B1419" s="10"/>
      <c r="C1419" s="18" t="str">
        <f aca="false">IF($B1419="","",IFERROR(INDEX(대여내역!$E$3:$E$1002,MATCH($B1419,대여내역!$A$3:$A$1002,0)),"대여번호없음"))</f>
        <v/>
      </c>
      <c r="D1419" s="11"/>
      <c r="E1419" s="9"/>
      <c r="F1419" s="10"/>
    </row>
    <row r="1420" customFormat="false" ht="15" hidden="false" customHeight="false" outlineLevel="0" collapsed="false">
      <c r="A1420" s="15"/>
      <c r="B1420" s="10"/>
      <c r="C1420" s="18" t="str">
        <f aca="false">IF($B1420="","",IFERROR(INDEX(대여내역!$E$3:$E$1002,MATCH($B1420,대여내역!$A$3:$A$1002,0)),"대여번호없음"))</f>
        <v/>
      </c>
      <c r="D1420" s="11"/>
      <c r="E1420" s="9"/>
      <c r="F1420" s="10"/>
    </row>
    <row r="1421" customFormat="false" ht="15" hidden="false" customHeight="false" outlineLevel="0" collapsed="false">
      <c r="A1421" s="15"/>
      <c r="B1421" s="10"/>
      <c r="C1421" s="18" t="str">
        <f aca="false">IF($B1421="","",IFERROR(INDEX(대여내역!$E$3:$E$1002,MATCH($B1421,대여내역!$A$3:$A$1002,0)),"대여번호없음"))</f>
        <v/>
      </c>
      <c r="D1421" s="11"/>
      <c r="E1421" s="9"/>
      <c r="F1421" s="10"/>
    </row>
    <row r="1422" customFormat="false" ht="15" hidden="false" customHeight="false" outlineLevel="0" collapsed="false">
      <c r="A1422" s="15"/>
      <c r="B1422" s="10"/>
      <c r="C1422" s="18" t="str">
        <f aca="false">IF($B1422="","",IFERROR(INDEX(대여내역!$E$3:$E$1002,MATCH($B1422,대여내역!$A$3:$A$1002,0)),"대여번호없음"))</f>
        <v/>
      </c>
      <c r="D1422" s="11"/>
      <c r="E1422" s="9"/>
      <c r="F1422" s="10"/>
    </row>
    <row r="1423" customFormat="false" ht="15" hidden="false" customHeight="false" outlineLevel="0" collapsed="false">
      <c r="A1423" s="15"/>
      <c r="B1423" s="10"/>
      <c r="C1423" s="18" t="str">
        <f aca="false">IF($B1423="","",IFERROR(INDEX(대여내역!$E$3:$E$1002,MATCH($B1423,대여내역!$A$3:$A$1002,0)),"대여번호없음"))</f>
        <v/>
      </c>
      <c r="D1423" s="11"/>
      <c r="E1423" s="9"/>
      <c r="F1423" s="10"/>
    </row>
    <row r="1424" customFormat="false" ht="15" hidden="false" customHeight="false" outlineLevel="0" collapsed="false">
      <c r="A1424" s="15"/>
      <c r="B1424" s="10"/>
      <c r="C1424" s="18" t="str">
        <f aca="false">IF($B1424="","",IFERROR(INDEX(대여내역!$E$3:$E$1002,MATCH($B1424,대여내역!$A$3:$A$1002,0)),"대여번호없음"))</f>
        <v/>
      </c>
      <c r="D1424" s="11"/>
      <c r="E1424" s="9"/>
      <c r="F1424" s="10"/>
    </row>
    <row r="1425" customFormat="false" ht="15" hidden="false" customHeight="false" outlineLevel="0" collapsed="false">
      <c r="A1425" s="15"/>
      <c r="B1425" s="10"/>
      <c r="C1425" s="18" t="str">
        <f aca="false">IF($B1425="","",IFERROR(INDEX(대여내역!$E$3:$E$1002,MATCH($B1425,대여내역!$A$3:$A$1002,0)),"대여번호없음"))</f>
        <v/>
      </c>
      <c r="D1425" s="11"/>
      <c r="E1425" s="9"/>
      <c r="F1425" s="10"/>
    </row>
    <row r="1426" customFormat="false" ht="15" hidden="false" customHeight="false" outlineLevel="0" collapsed="false">
      <c r="A1426" s="15"/>
      <c r="B1426" s="10"/>
      <c r="C1426" s="18" t="str">
        <f aca="false">IF($B1426="","",IFERROR(INDEX(대여내역!$E$3:$E$1002,MATCH($B1426,대여내역!$A$3:$A$1002,0)),"대여번호없음"))</f>
        <v/>
      </c>
      <c r="D1426" s="11"/>
      <c r="E1426" s="9"/>
      <c r="F1426" s="10"/>
    </row>
    <row r="1427" customFormat="false" ht="15" hidden="false" customHeight="false" outlineLevel="0" collapsed="false">
      <c r="A1427" s="15"/>
      <c r="B1427" s="10"/>
      <c r="C1427" s="18" t="str">
        <f aca="false">IF($B1427="","",IFERROR(INDEX(대여내역!$E$3:$E$1002,MATCH($B1427,대여내역!$A$3:$A$1002,0)),"대여번호없음"))</f>
        <v/>
      </c>
      <c r="D1427" s="11"/>
      <c r="E1427" s="9"/>
      <c r="F1427" s="10"/>
    </row>
    <row r="1428" customFormat="false" ht="15" hidden="false" customHeight="false" outlineLevel="0" collapsed="false">
      <c r="A1428" s="15"/>
      <c r="B1428" s="10"/>
      <c r="C1428" s="18" t="str">
        <f aca="false">IF($B1428="","",IFERROR(INDEX(대여내역!$E$3:$E$1002,MATCH($B1428,대여내역!$A$3:$A$1002,0)),"대여번호없음"))</f>
        <v/>
      </c>
      <c r="D1428" s="11"/>
      <c r="E1428" s="9"/>
      <c r="F1428" s="10"/>
    </row>
    <row r="1429" customFormat="false" ht="15" hidden="false" customHeight="false" outlineLevel="0" collapsed="false">
      <c r="A1429" s="15"/>
      <c r="B1429" s="10"/>
      <c r="C1429" s="18" t="str">
        <f aca="false">IF($B1429="","",IFERROR(INDEX(대여내역!$E$3:$E$1002,MATCH($B1429,대여내역!$A$3:$A$1002,0)),"대여번호없음"))</f>
        <v/>
      </c>
      <c r="D1429" s="11"/>
      <c r="E1429" s="9"/>
      <c r="F1429" s="10"/>
    </row>
    <row r="1430" customFormat="false" ht="15" hidden="false" customHeight="false" outlineLevel="0" collapsed="false">
      <c r="A1430" s="15"/>
      <c r="B1430" s="10"/>
      <c r="C1430" s="18" t="str">
        <f aca="false">IF($B1430="","",IFERROR(INDEX(대여내역!$E$3:$E$1002,MATCH($B1430,대여내역!$A$3:$A$1002,0)),"대여번호없음"))</f>
        <v/>
      </c>
      <c r="D1430" s="11"/>
      <c r="E1430" s="9"/>
      <c r="F1430" s="10"/>
    </row>
    <row r="1431" customFormat="false" ht="15" hidden="false" customHeight="false" outlineLevel="0" collapsed="false">
      <c r="A1431" s="15"/>
      <c r="B1431" s="10"/>
      <c r="C1431" s="18" t="str">
        <f aca="false">IF($B1431="","",IFERROR(INDEX(대여내역!$E$3:$E$1002,MATCH($B1431,대여내역!$A$3:$A$1002,0)),"대여번호없음"))</f>
        <v/>
      </c>
      <c r="D1431" s="11"/>
      <c r="E1431" s="9"/>
      <c r="F1431" s="10"/>
    </row>
    <row r="1432" customFormat="false" ht="15" hidden="false" customHeight="false" outlineLevel="0" collapsed="false">
      <c r="A1432" s="15"/>
      <c r="B1432" s="10"/>
      <c r="C1432" s="18" t="str">
        <f aca="false">IF($B1432="","",IFERROR(INDEX(대여내역!$E$3:$E$1002,MATCH($B1432,대여내역!$A$3:$A$1002,0)),"대여번호없음"))</f>
        <v/>
      </c>
      <c r="D1432" s="11"/>
      <c r="E1432" s="9"/>
      <c r="F1432" s="10"/>
    </row>
    <row r="1433" customFormat="false" ht="15" hidden="false" customHeight="false" outlineLevel="0" collapsed="false">
      <c r="A1433" s="15"/>
      <c r="B1433" s="10"/>
      <c r="C1433" s="18" t="str">
        <f aca="false">IF($B1433="","",IFERROR(INDEX(대여내역!$E$3:$E$1002,MATCH($B1433,대여내역!$A$3:$A$1002,0)),"대여번호없음"))</f>
        <v/>
      </c>
      <c r="D1433" s="11"/>
      <c r="E1433" s="9"/>
      <c r="F1433" s="10"/>
    </row>
    <row r="1434" customFormat="false" ht="15" hidden="false" customHeight="false" outlineLevel="0" collapsed="false">
      <c r="A1434" s="15"/>
      <c r="B1434" s="10"/>
      <c r="C1434" s="18" t="str">
        <f aca="false">IF($B1434="","",IFERROR(INDEX(대여내역!$E$3:$E$1002,MATCH($B1434,대여내역!$A$3:$A$1002,0)),"대여번호없음"))</f>
        <v/>
      </c>
      <c r="D1434" s="11"/>
      <c r="E1434" s="9"/>
      <c r="F1434" s="10"/>
    </row>
    <row r="1435" customFormat="false" ht="15" hidden="false" customHeight="false" outlineLevel="0" collapsed="false">
      <c r="A1435" s="15"/>
      <c r="B1435" s="10"/>
      <c r="C1435" s="18" t="str">
        <f aca="false">IF($B1435="","",IFERROR(INDEX(대여내역!$E$3:$E$1002,MATCH($B1435,대여내역!$A$3:$A$1002,0)),"대여번호없음"))</f>
        <v/>
      </c>
      <c r="D1435" s="11"/>
      <c r="E1435" s="9"/>
      <c r="F1435" s="10"/>
    </row>
    <row r="1436" customFormat="false" ht="15" hidden="false" customHeight="false" outlineLevel="0" collapsed="false">
      <c r="A1436" s="15"/>
      <c r="B1436" s="10"/>
      <c r="C1436" s="18" t="str">
        <f aca="false">IF($B1436="","",IFERROR(INDEX(대여내역!$E$3:$E$1002,MATCH($B1436,대여내역!$A$3:$A$1002,0)),"대여번호없음"))</f>
        <v/>
      </c>
      <c r="D1436" s="11"/>
      <c r="E1436" s="9"/>
      <c r="F1436" s="10"/>
    </row>
    <row r="1437" customFormat="false" ht="15" hidden="false" customHeight="false" outlineLevel="0" collapsed="false">
      <c r="A1437" s="15"/>
      <c r="B1437" s="10"/>
      <c r="C1437" s="18" t="str">
        <f aca="false">IF($B1437="","",IFERROR(INDEX(대여내역!$E$3:$E$1002,MATCH($B1437,대여내역!$A$3:$A$1002,0)),"대여번호없음"))</f>
        <v/>
      </c>
      <c r="D1437" s="11"/>
      <c r="E1437" s="9"/>
      <c r="F1437" s="10"/>
    </row>
    <row r="1438" customFormat="false" ht="15" hidden="false" customHeight="false" outlineLevel="0" collapsed="false">
      <c r="A1438" s="15"/>
      <c r="B1438" s="10"/>
      <c r="C1438" s="18" t="str">
        <f aca="false">IF($B1438="","",IFERROR(INDEX(대여내역!$E$3:$E$1002,MATCH($B1438,대여내역!$A$3:$A$1002,0)),"대여번호없음"))</f>
        <v/>
      </c>
      <c r="D1438" s="11"/>
      <c r="E1438" s="9"/>
      <c r="F1438" s="10"/>
    </row>
    <row r="1439" customFormat="false" ht="15" hidden="false" customHeight="false" outlineLevel="0" collapsed="false">
      <c r="A1439" s="15"/>
      <c r="B1439" s="10"/>
      <c r="C1439" s="18" t="str">
        <f aca="false">IF($B1439="","",IFERROR(INDEX(대여내역!$E$3:$E$1002,MATCH($B1439,대여내역!$A$3:$A$1002,0)),"대여번호없음"))</f>
        <v/>
      </c>
      <c r="D1439" s="11"/>
      <c r="E1439" s="9"/>
      <c r="F1439" s="10"/>
    </row>
    <row r="1440" customFormat="false" ht="15" hidden="false" customHeight="false" outlineLevel="0" collapsed="false">
      <c r="A1440" s="15"/>
      <c r="B1440" s="10"/>
      <c r="C1440" s="18" t="str">
        <f aca="false">IF($B1440="","",IFERROR(INDEX(대여내역!$E$3:$E$1002,MATCH($B1440,대여내역!$A$3:$A$1002,0)),"대여번호없음"))</f>
        <v/>
      </c>
      <c r="D1440" s="11"/>
      <c r="E1440" s="9"/>
      <c r="F1440" s="10"/>
    </row>
    <row r="1441" customFormat="false" ht="15" hidden="false" customHeight="false" outlineLevel="0" collapsed="false">
      <c r="A1441" s="15"/>
      <c r="B1441" s="10"/>
      <c r="C1441" s="18" t="str">
        <f aca="false">IF($B1441="","",IFERROR(INDEX(대여내역!$E$3:$E$1002,MATCH($B1441,대여내역!$A$3:$A$1002,0)),"대여번호없음"))</f>
        <v/>
      </c>
      <c r="D1441" s="11"/>
      <c r="E1441" s="9"/>
      <c r="F1441" s="10"/>
    </row>
    <row r="1442" customFormat="false" ht="15" hidden="false" customHeight="false" outlineLevel="0" collapsed="false">
      <c r="A1442" s="15"/>
      <c r="B1442" s="10"/>
      <c r="C1442" s="18" t="str">
        <f aca="false">IF($B1442="","",IFERROR(INDEX(대여내역!$E$3:$E$1002,MATCH($B1442,대여내역!$A$3:$A$1002,0)),"대여번호없음"))</f>
        <v/>
      </c>
      <c r="D1442" s="11"/>
      <c r="E1442" s="9"/>
      <c r="F1442" s="10"/>
    </row>
    <row r="1443" customFormat="false" ht="15" hidden="false" customHeight="false" outlineLevel="0" collapsed="false">
      <c r="A1443" s="15"/>
      <c r="B1443" s="10"/>
      <c r="C1443" s="18" t="str">
        <f aca="false">IF($B1443="","",IFERROR(INDEX(대여내역!$E$3:$E$1002,MATCH($B1443,대여내역!$A$3:$A$1002,0)),"대여번호없음"))</f>
        <v/>
      </c>
      <c r="D1443" s="11"/>
      <c r="E1443" s="9"/>
      <c r="F1443" s="10"/>
    </row>
    <row r="1444" customFormat="false" ht="15" hidden="false" customHeight="false" outlineLevel="0" collapsed="false">
      <c r="A1444" s="15"/>
      <c r="B1444" s="10"/>
      <c r="C1444" s="18" t="str">
        <f aca="false">IF($B1444="","",IFERROR(INDEX(대여내역!$E$3:$E$1002,MATCH($B1444,대여내역!$A$3:$A$1002,0)),"대여번호없음"))</f>
        <v/>
      </c>
      <c r="D1444" s="11"/>
      <c r="E1444" s="9"/>
      <c r="F1444" s="10"/>
    </row>
    <row r="1445" customFormat="false" ht="15" hidden="false" customHeight="false" outlineLevel="0" collapsed="false">
      <c r="A1445" s="15"/>
      <c r="B1445" s="10"/>
      <c r="C1445" s="18" t="str">
        <f aca="false">IF($B1445="","",IFERROR(INDEX(대여내역!$E$3:$E$1002,MATCH($B1445,대여내역!$A$3:$A$1002,0)),"대여번호없음"))</f>
        <v/>
      </c>
      <c r="D1445" s="11"/>
      <c r="E1445" s="9"/>
      <c r="F1445" s="10"/>
    </row>
    <row r="1446" customFormat="false" ht="15" hidden="false" customHeight="false" outlineLevel="0" collapsed="false">
      <c r="A1446" s="15"/>
      <c r="B1446" s="10"/>
      <c r="C1446" s="18" t="str">
        <f aca="false">IF($B1446="","",IFERROR(INDEX(대여내역!$E$3:$E$1002,MATCH($B1446,대여내역!$A$3:$A$1002,0)),"대여번호없음"))</f>
        <v/>
      </c>
      <c r="D1446" s="11"/>
      <c r="E1446" s="9"/>
      <c r="F1446" s="10"/>
    </row>
    <row r="1447" customFormat="false" ht="15" hidden="false" customHeight="false" outlineLevel="0" collapsed="false">
      <c r="A1447" s="15"/>
      <c r="B1447" s="10"/>
      <c r="C1447" s="18" t="str">
        <f aca="false">IF($B1447="","",IFERROR(INDEX(대여내역!$E$3:$E$1002,MATCH($B1447,대여내역!$A$3:$A$1002,0)),"대여번호없음"))</f>
        <v/>
      </c>
      <c r="D1447" s="11"/>
      <c r="E1447" s="9"/>
      <c r="F1447" s="10"/>
    </row>
    <row r="1448" customFormat="false" ht="15" hidden="false" customHeight="false" outlineLevel="0" collapsed="false">
      <c r="A1448" s="15"/>
      <c r="B1448" s="10"/>
      <c r="C1448" s="18" t="str">
        <f aca="false">IF($B1448="","",IFERROR(INDEX(대여내역!$E$3:$E$1002,MATCH($B1448,대여내역!$A$3:$A$1002,0)),"대여번호없음"))</f>
        <v/>
      </c>
      <c r="D1448" s="11"/>
      <c r="E1448" s="9"/>
      <c r="F1448" s="10"/>
    </row>
    <row r="1449" customFormat="false" ht="15" hidden="false" customHeight="false" outlineLevel="0" collapsed="false">
      <c r="A1449" s="15"/>
      <c r="B1449" s="10"/>
      <c r="C1449" s="18" t="str">
        <f aca="false">IF($B1449="","",IFERROR(INDEX(대여내역!$E$3:$E$1002,MATCH($B1449,대여내역!$A$3:$A$1002,0)),"대여번호없음"))</f>
        <v/>
      </c>
      <c r="D1449" s="11"/>
      <c r="E1449" s="9"/>
      <c r="F1449" s="10"/>
    </row>
    <row r="1450" customFormat="false" ht="15" hidden="false" customHeight="false" outlineLevel="0" collapsed="false">
      <c r="A1450" s="15"/>
      <c r="B1450" s="10"/>
      <c r="C1450" s="18" t="str">
        <f aca="false">IF($B1450="","",IFERROR(INDEX(대여내역!$E$3:$E$1002,MATCH($B1450,대여내역!$A$3:$A$1002,0)),"대여번호없음"))</f>
        <v/>
      </c>
      <c r="D1450" s="11"/>
      <c r="E1450" s="9"/>
      <c r="F1450" s="10"/>
    </row>
    <row r="1451" customFormat="false" ht="15" hidden="false" customHeight="false" outlineLevel="0" collapsed="false">
      <c r="A1451" s="15"/>
      <c r="B1451" s="10"/>
      <c r="C1451" s="18" t="str">
        <f aca="false">IF($B1451="","",IFERROR(INDEX(대여내역!$E$3:$E$1002,MATCH($B1451,대여내역!$A$3:$A$1002,0)),"대여번호없음"))</f>
        <v/>
      </c>
      <c r="D1451" s="11"/>
      <c r="E1451" s="9"/>
      <c r="F1451" s="10"/>
    </row>
    <row r="1452" customFormat="false" ht="15" hidden="false" customHeight="false" outlineLevel="0" collapsed="false">
      <c r="A1452" s="15"/>
      <c r="B1452" s="10"/>
      <c r="C1452" s="18" t="str">
        <f aca="false">IF($B1452="","",IFERROR(INDEX(대여내역!$E$3:$E$1002,MATCH($B1452,대여내역!$A$3:$A$1002,0)),"대여번호없음"))</f>
        <v/>
      </c>
      <c r="D1452" s="11"/>
      <c r="E1452" s="9"/>
      <c r="F1452" s="10"/>
    </row>
    <row r="1453" customFormat="false" ht="15" hidden="false" customHeight="false" outlineLevel="0" collapsed="false">
      <c r="A1453" s="15"/>
      <c r="B1453" s="10"/>
      <c r="C1453" s="18" t="str">
        <f aca="false">IF($B1453="","",IFERROR(INDEX(대여내역!$E$3:$E$1002,MATCH($B1453,대여내역!$A$3:$A$1002,0)),"대여번호없음"))</f>
        <v/>
      </c>
      <c r="D1453" s="11"/>
      <c r="E1453" s="9"/>
      <c r="F1453" s="10"/>
    </row>
    <row r="1454" customFormat="false" ht="15" hidden="false" customHeight="false" outlineLevel="0" collapsed="false">
      <c r="A1454" s="15"/>
      <c r="B1454" s="10"/>
      <c r="C1454" s="18" t="str">
        <f aca="false">IF($B1454="","",IFERROR(INDEX(대여내역!$E$3:$E$1002,MATCH($B1454,대여내역!$A$3:$A$1002,0)),"대여번호없음"))</f>
        <v/>
      </c>
      <c r="D1454" s="11"/>
      <c r="E1454" s="9"/>
      <c r="F1454" s="10"/>
    </row>
    <row r="1455" customFormat="false" ht="15" hidden="false" customHeight="false" outlineLevel="0" collapsed="false">
      <c r="A1455" s="15"/>
      <c r="B1455" s="10"/>
      <c r="C1455" s="18" t="str">
        <f aca="false">IF($B1455="","",IFERROR(INDEX(대여내역!$E$3:$E$1002,MATCH($B1455,대여내역!$A$3:$A$1002,0)),"대여번호없음"))</f>
        <v/>
      </c>
      <c r="D1455" s="11"/>
      <c r="E1455" s="9"/>
      <c r="F1455" s="10"/>
    </row>
    <row r="1456" customFormat="false" ht="15" hidden="false" customHeight="false" outlineLevel="0" collapsed="false">
      <c r="A1456" s="15"/>
      <c r="B1456" s="10"/>
      <c r="C1456" s="18" t="str">
        <f aca="false">IF($B1456="","",IFERROR(INDEX(대여내역!$E$3:$E$1002,MATCH($B1456,대여내역!$A$3:$A$1002,0)),"대여번호없음"))</f>
        <v/>
      </c>
      <c r="D1456" s="11"/>
      <c r="E1456" s="9"/>
      <c r="F1456" s="10"/>
    </row>
    <row r="1457" customFormat="false" ht="15" hidden="false" customHeight="false" outlineLevel="0" collapsed="false">
      <c r="A1457" s="15"/>
      <c r="B1457" s="10"/>
      <c r="C1457" s="18" t="str">
        <f aca="false">IF($B1457="","",IFERROR(INDEX(대여내역!$E$3:$E$1002,MATCH($B1457,대여내역!$A$3:$A$1002,0)),"대여번호없음"))</f>
        <v/>
      </c>
      <c r="D1457" s="11"/>
      <c r="E1457" s="9"/>
      <c r="F1457" s="10"/>
    </row>
    <row r="1458" customFormat="false" ht="15" hidden="false" customHeight="false" outlineLevel="0" collapsed="false">
      <c r="A1458" s="15"/>
      <c r="B1458" s="10"/>
      <c r="C1458" s="18" t="str">
        <f aca="false">IF($B1458="","",IFERROR(INDEX(대여내역!$E$3:$E$1002,MATCH($B1458,대여내역!$A$3:$A$1002,0)),"대여번호없음"))</f>
        <v/>
      </c>
      <c r="D1458" s="11"/>
      <c r="E1458" s="9"/>
      <c r="F1458" s="10"/>
    </row>
    <row r="1459" customFormat="false" ht="15" hidden="false" customHeight="false" outlineLevel="0" collapsed="false">
      <c r="A1459" s="15"/>
      <c r="B1459" s="10"/>
      <c r="C1459" s="18" t="str">
        <f aca="false">IF($B1459="","",IFERROR(INDEX(대여내역!$E$3:$E$1002,MATCH($B1459,대여내역!$A$3:$A$1002,0)),"대여번호없음"))</f>
        <v/>
      </c>
      <c r="D1459" s="11"/>
      <c r="E1459" s="9"/>
      <c r="F1459" s="10"/>
    </row>
    <row r="1460" customFormat="false" ht="15" hidden="false" customHeight="false" outlineLevel="0" collapsed="false">
      <c r="A1460" s="15"/>
      <c r="B1460" s="10"/>
      <c r="C1460" s="18" t="str">
        <f aca="false">IF($B1460="","",IFERROR(INDEX(대여내역!$E$3:$E$1002,MATCH($B1460,대여내역!$A$3:$A$1002,0)),"대여번호없음"))</f>
        <v/>
      </c>
      <c r="D1460" s="11"/>
      <c r="E1460" s="9"/>
      <c r="F1460" s="10"/>
    </row>
    <row r="1461" customFormat="false" ht="15" hidden="false" customHeight="false" outlineLevel="0" collapsed="false">
      <c r="A1461" s="15"/>
      <c r="B1461" s="10"/>
      <c r="C1461" s="18" t="str">
        <f aca="false">IF($B1461="","",IFERROR(INDEX(대여내역!$E$3:$E$1002,MATCH($B1461,대여내역!$A$3:$A$1002,0)),"대여번호없음"))</f>
        <v/>
      </c>
      <c r="D1461" s="11"/>
      <c r="E1461" s="9"/>
      <c r="F1461" s="10"/>
    </row>
    <row r="1462" customFormat="false" ht="15" hidden="false" customHeight="false" outlineLevel="0" collapsed="false">
      <c r="A1462" s="15"/>
      <c r="B1462" s="10"/>
      <c r="C1462" s="18" t="str">
        <f aca="false">IF($B1462="","",IFERROR(INDEX(대여내역!$E$3:$E$1002,MATCH($B1462,대여내역!$A$3:$A$1002,0)),"대여번호없음"))</f>
        <v/>
      </c>
      <c r="D1462" s="11"/>
      <c r="E1462" s="9"/>
      <c r="F1462" s="10"/>
    </row>
    <row r="1463" customFormat="false" ht="15" hidden="false" customHeight="false" outlineLevel="0" collapsed="false">
      <c r="A1463" s="15"/>
      <c r="B1463" s="10"/>
      <c r="C1463" s="18" t="str">
        <f aca="false">IF($B1463="","",IFERROR(INDEX(대여내역!$E$3:$E$1002,MATCH($B1463,대여내역!$A$3:$A$1002,0)),"대여번호없음"))</f>
        <v/>
      </c>
      <c r="D1463" s="11"/>
      <c r="E1463" s="9"/>
      <c r="F1463" s="10"/>
    </row>
    <row r="1464" customFormat="false" ht="15" hidden="false" customHeight="false" outlineLevel="0" collapsed="false">
      <c r="A1464" s="15"/>
      <c r="B1464" s="10"/>
      <c r="C1464" s="18" t="str">
        <f aca="false">IF($B1464="","",IFERROR(INDEX(대여내역!$E$3:$E$1002,MATCH($B1464,대여내역!$A$3:$A$1002,0)),"대여번호없음"))</f>
        <v/>
      </c>
      <c r="D1464" s="11"/>
      <c r="E1464" s="9"/>
      <c r="F1464" s="10"/>
    </row>
    <row r="1465" customFormat="false" ht="15" hidden="false" customHeight="false" outlineLevel="0" collapsed="false">
      <c r="A1465" s="15"/>
      <c r="B1465" s="10"/>
      <c r="C1465" s="18" t="str">
        <f aca="false">IF($B1465="","",IFERROR(INDEX(대여내역!$E$3:$E$1002,MATCH($B1465,대여내역!$A$3:$A$1002,0)),"대여번호없음"))</f>
        <v/>
      </c>
      <c r="D1465" s="11"/>
      <c r="E1465" s="9"/>
      <c r="F1465" s="10"/>
    </row>
    <row r="1466" customFormat="false" ht="15" hidden="false" customHeight="false" outlineLevel="0" collapsed="false">
      <c r="A1466" s="15"/>
      <c r="B1466" s="10"/>
      <c r="C1466" s="18" t="str">
        <f aca="false">IF($B1466="","",IFERROR(INDEX(대여내역!$E$3:$E$1002,MATCH($B1466,대여내역!$A$3:$A$1002,0)),"대여번호없음"))</f>
        <v/>
      </c>
      <c r="D1466" s="11"/>
      <c r="E1466" s="9"/>
      <c r="F1466" s="10"/>
    </row>
    <row r="1467" customFormat="false" ht="15" hidden="false" customHeight="false" outlineLevel="0" collapsed="false">
      <c r="A1467" s="15"/>
      <c r="B1467" s="10"/>
      <c r="C1467" s="18" t="str">
        <f aca="false">IF($B1467="","",IFERROR(INDEX(대여내역!$E$3:$E$1002,MATCH($B1467,대여내역!$A$3:$A$1002,0)),"대여번호없음"))</f>
        <v/>
      </c>
      <c r="D1467" s="11"/>
      <c r="E1467" s="9"/>
      <c r="F1467" s="10"/>
    </row>
    <row r="1468" customFormat="false" ht="15" hidden="false" customHeight="false" outlineLevel="0" collapsed="false">
      <c r="A1468" s="15"/>
      <c r="B1468" s="10"/>
      <c r="C1468" s="18" t="str">
        <f aca="false">IF($B1468="","",IFERROR(INDEX(대여내역!$E$3:$E$1002,MATCH($B1468,대여내역!$A$3:$A$1002,0)),"대여번호없음"))</f>
        <v/>
      </c>
      <c r="D1468" s="11"/>
      <c r="E1468" s="9"/>
      <c r="F1468" s="10"/>
    </row>
    <row r="1469" customFormat="false" ht="15" hidden="false" customHeight="false" outlineLevel="0" collapsed="false">
      <c r="A1469" s="15"/>
      <c r="B1469" s="10"/>
      <c r="C1469" s="18" t="str">
        <f aca="false">IF($B1469="","",IFERROR(INDEX(대여내역!$E$3:$E$1002,MATCH($B1469,대여내역!$A$3:$A$1002,0)),"대여번호없음"))</f>
        <v/>
      </c>
      <c r="D1469" s="11"/>
      <c r="E1469" s="9"/>
      <c r="F1469" s="10"/>
    </row>
    <row r="1470" customFormat="false" ht="15" hidden="false" customHeight="false" outlineLevel="0" collapsed="false">
      <c r="A1470" s="15"/>
      <c r="B1470" s="10"/>
      <c r="C1470" s="18" t="str">
        <f aca="false">IF($B1470="","",IFERROR(INDEX(대여내역!$E$3:$E$1002,MATCH($B1470,대여내역!$A$3:$A$1002,0)),"대여번호없음"))</f>
        <v/>
      </c>
      <c r="D1470" s="11"/>
      <c r="E1470" s="9"/>
      <c r="F1470" s="10"/>
    </row>
    <row r="1471" customFormat="false" ht="15" hidden="false" customHeight="false" outlineLevel="0" collapsed="false">
      <c r="A1471" s="15"/>
      <c r="B1471" s="10"/>
      <c r="C1471" s="18" t="str">
        <f aca="false">IF($B1471="","",IFERROR(INDEX(대여내역!$E$3:$E$1002,MATCH($B1471,대여내역!$A$3:$A$1002,0)),"대여번호없음"))</f>
        <v/>
      </c>
      <c r="D1471" s="11"/>
      <c r="E1471" s="9"/>
      <c r="F1471" s="10"/>
    </row>
    <row r="1472" customFormat="false" ht="15" hidden="false" customHeight="false" outlineLevel="0" collapsed="false">
      <c r="A1472" s="15"/>
      <c r="B1472" s="10"/>
      <c r="C1472" s="18" t="str">
        <f aca="false">IF($B1472="","",IFERROR(INDEX(대여내역!$E$3:$E$1002,MATCH($B1472,대여내역!$A$3:$A$1002,0)),"대여번호없음"))</f>
        <v/>
      </c>
      <c r="D1472" s="11"/>
      <c r="E1472" s="9"/>
      <c r="F1472" s="10"/>
    </row>
    <row r="1473" customFormat="false" ht="15" hidden="false" customHeight="false" outlineLevel="0" collapsed="false">
      <c r="A1473" s="15"/>
      <c r="B1473" s="10"/>
      <c r="C1473" s="18" t="str">
        <f aca="false">IF($B1473="","",IFERROR(INDEX(대여내역!$E$3:$E$1002,MATCH($B1473,대여내역!$A$3:$A$1002,0)),"대여번호없음"))</f>
        <v/>
      </c>
      <c r="D1473" s="11"/>
      <c r="E1473" s="9"/>
      <c r="F1473" s="10"/>
    </row>
    <row r="1474" customFormat="false" ht="15" hidden="false" customHeight="false" outlineLevel="0" collapsed="false">
      <c r="A1474" s="15"/>
      <c r="B1474" s="10"/>
      <c r="C1474" s="18" t="str">
        <f aca="false">IF($B1474="","",IFERROR(INDEX(대여내역!$E$3:$E$1002,MATCH($B1474,대여내역!$A$3:$A$1002,0)),"대여번호없음"))</f>
        <v/>
      </c>
      <c r="D1474" s="11"/>
      <c r="E1474" s="9"/>
      <c r="F1474" s="10"/>
    </row>
    <row r="1475" customFormat="false" ht="15" hidden="false" customHeight="false" outlineLevel="0" collapsed="false">
      <c r="A1475" s="15"/>
      <c r="B1475" s="10"/>
      <c r="C1475" s="18" t="str">
        <f aca="false">IF($B1475="","",IFERROR(INDEX(대여내역!$E$3:$E$1002,MATCH($B1475,대여내역!$A$3:$A$1002,0)),"대여번호없음"))</f>
        <v/>
      </c>
      <c r="D1475" s="11"/>
      <c r="E1475" s="9"/>
      <c r="F1475" s="10"/>
    </row>
    <row r="1476" customFormat="false" ht="15" hidden="false" customHeight="false" outlineLevel="0" collapsed="false">
      <c r="A1476" s="15"/>
      <c r="B1476" s="10"/>
      <c r="C1476" s="18" t="str">
        <f aca="false">IF($B1476="","",IFERROR(INDEX(대여내역!$E$3:$E$1002,MATCH($B1476,대여내역!$A$3:$A$1002,0)),"대여번호없음"))</f>
        <v/>
      </c>
      <c r="D1476" s="11"/>
      <c r="E1476" s="9"/>
      <c r="F1476" s="10"/>
    </row>
    <row r="1477" customFormat="false" ht="15" hidden="false" customHeight="false" outlineLevel="0" collapsed="false">
      <c r="A1477" s="15"/>
      <c r="B1477" s="10"/>
      <c r="C1477" s="18" t="str">
        <f aca="false">IF($B1477="","",IFERROR(INDEX(대여내역!$E$3:$E$1002,MATCH($B1477,대여내역!$A$3:$A$1002,0)),"대여번호없음"))</f>
        <v/>
      </c>
      <c r="D1477" s="11"/>
      <c r="E1477" s="9"/>
      <c r="F1477" s="10"/>
    </row>
    <row r="1478" customFormat="false" ht="15" hidden="false" customHeight="false" outlineLevel="0" collapsed="false">
      <c r="A1478" s="15"/>
      <c r="B1478" s="10"/>
      <c r="C1478" s="18" t="str">
        <f aca="false">IF($B1478="","",IFERROR(INDEX(대여내역!$E$3:$E$1002,MATCH($B1478,대여내역!$A$3:$A$1002,0)),"대여번호없음"))</f>
        <v/>
      </c>
      <c r="D1478" s="11"/>
      <c r="E1478" s="9"/>
      <c r="F1478" s="10"/>
    </row>
    <row r="1479" customFormat="false" ht="15" hidden="false" customHeight="false" outlineLevel="0" collapsed="false">
      <c r="A1479" s="15"/>
      <c r="B1479" s="10"/>
      <c r="C1479" s="18" t="str">
        <f aca="false">IF($B1479="","",IFERROR(INDEX(대여내역!$E$3:$E$1002,MATCH($B1479,대여내역!$A$3:$A$1002,0)),"대여번호없음"))</f>
        <v/>
      </c>
      <c r="D1479" s="11"/>
      <c r="E1479" s="9"/>
      <c r="F1479" s="10"/>
    </row>
    <row r="1480" customFormat="false" ht="15" hidden="false" customHeight="false" outlineLevel="0" collapsed="false">
      <c r="A1480" s="15"/>
      <c r="B1480" s="10"/>
      <c r="C1480" s="18" t="str">
        <f aca="false">IF($B1480="","",IFERROR(INDEX(대여내역!$E$3:$E$1002,MATCH($B1480,대여내역!$A$3:$A$1002,0)),"대여번호없음"))</f>
        <v/>
      </c>
      <c r="D1480" s="11"/>
      <c r="E1480" s="9"/>
      <c r="F1480" s="10"/>
    </row>
    <row r="1481" customFormat="false" ht="15" hidden="false" customHeight="false" outlineLevel="0" collapsed="false">
      <c r="A1481" s="15"/>
      <c r="B1481" s="10"/>
      <c r="C1481" s="18" t="str">
        <f aca="false">IF($B1481="","",IFERROR(INDEX(대여내역!$E$3:$E$1002,MATCH($B1481,대여내역!$A$3:$A$1002,0)),"대여번호없음"))</f>
        <v/>
      </c>
      <c r="D1481" s="11"/>
      <c r="E1481" s="9"/>
      <c r="F1481" s="10"/>
    </row>
    <row r="1482" customFormat="false" ht="15" hidden="false" customHeight="false" outlineLevel="0" collapsed="false">
      <c r="A1482" s="15"/>
      <c r="B1482" s="10"/>
      <c r="C1482" s="18" t="str">
        <f aca="false">IF($B1482="","",IFERROR(INDEX(대여내역!$E$3:$E$1002,MATCH($B1482,대여내역!$A$3:$A$1002,0)),"대여번호없음"))</f>
        <v/>
      </c>
      <c r="D1482" s="11"/>
      <c r="E1482" s="9"/>
      <c r="F1482" s="10"/>
    </row>
    <row r="1483" customFormat="false" ht="15" hidden="false" customHeight="false" outlineLevel="0" collapsed="false">
      <c r="A1483" s="15"/>
      <c r="B1483" s="10"/>
      <c r="C1483" s="18" t="str">
        <f aca="false">IF($B1483="","",IFERROR(INDEX(대여내역!$E$3:$E$1002,MATCH($B1483,대여내역!$A$3:$A$1002,0)),"대여번호없음"))</f>
        <v/>
      </c>
      <c r="D1483" s="11"/>
      <c r="E1483" s="9"/>
      <c r="F1483" s="10"/>
    </row>
    <row r="1484" customFormat="false" ht="15" hidden="false" customHeight="false" outlineLevel="0" collapsed="false">
      <c r="A1484" s="15"/>
      <c r="B1484" s="10"/>
      <c r="C1484" s="18" t="str">
        <f aca="false">IF($B1484="","",IFERROR(INDEX(대여내역!$E$3:$E$1002,MATCH($B1484,대여내역!$A$3:$A$1002,0)),"대여번호없음"))</f>
        <v/>
      </c>
      <c r="D1484" s="11"/>
      <c r="E1484" s="9"/>
      <c r="F1484" s="10"/>
    </row>
    <row r="1485" customFormat="false" ht="15" hidden="false" customHeight="false" outlineLevel="0" collapsed="false">
      <c r="A1485" s="15"/>
      <c r="B1485" s="10"/>
      <c r="C1485" s="18" t="str">
        <f aca="false">IF($B1485="","",IFERROR(INDEX(대여내역!$E$3:$E$1002,MATCH($B1485,대여내역!$A$3:$A$1002,0)),"대여번호없음"))</f>
        <v/>
      </c>
      <c r="D1485" s="11"/>
      <c r="E1485" s="9"/>
      <c r="F1485" s="10"/>
    </row>
    <row r="1486" customFormat="false" ht="15" hidden="false" customHeight="false" outlineLevel="0" collapsed="false">
      <c r="A1486" s="15"/>
      <c r="B1486" s="10"/>
      <c r="C1486" s="18" t="str">
        <f aca="false">IF($B1486="","",IFERROR(INDEX(대여내역!$E$3:$E$1002,MATCH($B1486,대여내역!$A$3:$A$1002,0)),"대여번호없음"))</f>
        <v/>
      </c>
      <c r="D1486" s="11"/>
      <c r="E1486" s="9"/>
      <c r="F1486" s="10"/>
    </row>
    <row r="1487" customFormat="false" ht="15" hidden="false" customHeight="false" outlineLevel="0" collapsed="false">
      <c r="A1487" s="15"/>
      <c r="B1487" s="10"/>
      <c r="C1487" s="18" t="str">
        <f aca="false">IF($B1487="","",IFERROR(INDEX(대여내역!$E$3:$E$1002,MATCH($B1487,대여내역!$A$3:$A$1002,0)),"대여번호없음"))</f>
        <v/>
      </c>
      <c r="D1487" s="11"/>
      <c r="E1487" s="9"/>
      <c r="F1487" s="10"/>
    </row>
    <row r="1488" customFormat="false" ht="15" hidden="false" customHeight="false" outlineLevel="0" collapsed="false">
      <c r="A1488" s="15"/>
      <c r="B1488" s="10"/>
      <c r="C1488" s="18" t="str">
        <f aca="false">IF($B1488="","",IFERROR(INDEX(대여내역!$E$3:$E$1002,MATCH($B1488,대여내역!$A$3:$A$1002,0)),"대여번호없음"))</f>
        <v/>
      </c>
      <c r="D1488" s="11"/>
      <c r="E1488" s="9"/>
      <c r="F1488" s="10"/>
    </row>
    <row r="1489" customFormat="false" ht="15" hidden="false" customHeight="false" outlineLevel="0" collapsed="false">
      <c r="A1489" s="15"/>
      <c r="B1489" s="10"/>
      <c r="C1489" s="18" t="str">
        <f aca="false">IF($B1489="","",IFERROR(INDEX(대여내역!$E$3:$E$1002,MATCH($B1489,대여내역!$A$3:$A$1002,0)),"대여번호없음"))</f>
        <v/>
      </c>
      <c r="D1489" s="11"/>
      <c r="E1489" s="9"/>
      <c r="F1489" s="10"/>
    </row>
    <row r="1490" customFormat="false" ht="15" hidden="false" customHeight="false" outlineLevel="0" collapsed="false">
      <c r="A1490" s="15"/>
      <c r="B1490" s="10"/>
      <c r="C1490" s="18" t="str">
        <f aca="false">IF($B1490="","",IFERROR(INDEX(대여내역!$E$3:$E$1002,MATCH($B1490,대여내역!$A$3:$A$1002,0)),"대여번호없음"))</f>
        <v/>
      </c>
      <c r="D1490" s="11"/>
      <c r="E1490" s="9"/>
      <c r="F1490" s="10"/>
    </row>
    <row r="1491" customFormat="false" ht="15" hidden="false" customHeight="false" outlineLevel="0" collapsed="false">
      <c r="A1491" s="15"/>
      <c r="B1491" s="10"/>
      <c r="C1491" s="18" t="str">
        <f aca="false">IF($B1491="","",IFERROR(INDEX(대여내역!$E$3:$E$1002,MATCH($B1491,대여내역!$A$3:$A$1002,0)),"대여번호없음"))</f>
        <v/>
      </c>
      <c r="D1491" s="11"/>
      <c r="E1491" s="9"/>
      <c r="F1491" s="10"/>
    </row>
    <row r="1492" customFormat="false" ht="15" hidden="false" customHeight="false" outlineLevel="0" collapsed="false">
      <c r="A1492" s="15"/>
      <c r="B1492" s="10"/>
      <c r="C1492" s="18" t="str">
        <f aca="false">IF($B1492="","",IFERROR(INDEX(대여내역!$E$3:$E$1002,MATCH($B1492,대여내역!$A$3:$A$1002,0)),"대여번호없음"))</f>
        <v/>
      </c>
      <c r="D1492" s="11"/>
      <c r="E1492" s="9"/>
      <c r="F1492" s="10"/>
    </row>
    <row r="1493" customFormat="false" ht="15" hidden="false" customHeight="false" outlineLevel="0" collapsed="false">
      <c r="A1493" s="15"/>
      <c r="B1493" s="10"/>
      <c r="C1493" s="18" t="str">
        <f aca="false">IF($B1493="","",IFERROR(INDEX(대여내역!$E$3:$E$1002,MATCH($B1493,대여내역!$A$3:$A$1002,0)),"대여번호없음"))</f>
        <v/>
      </c>
      <c r="D1493" s="11"/>
      <c r="E1493" s="9"/>
      <c r="F1493" s="10"/>
    </row>
    <row r="1494" customFormat="false" ht="15" hidden="false" customHeight="false" outlineLevel="0" collapsed="false">
      <c r="A1494" s="15"/>
      <c r="B1494" s="10"/>
      <c r="C1494" s="18" t="str">
        <f aca="false">IF($B1494="","",IFERROR(INDEX(대여내역!$E$3:$E$1002,MATCH($B1494,대여내역!$A$3:$A$1002,0)),"대여번호없음"))</f>
        <v/>
      </c>
      <c r="D1494" s="11"/>
      <c r="E1494" s="9"/>
      <c r="F1494" s="10"/>
    </row>
    <row r="1495" customFormat="false" ht="15" hidden="false" customHeight="false" outlineLevel="0" collapsed="false">
      <c r="A1495" s="15"/>
      <c r="B1495" s="10"/>
      <c r="C1495" s="18" t="str">
        <f aca="false">IF($B1495="","",IFERROR(INDEX(대여내역!$E$3:$E$1002,MATCH($B1495,대여내역!$A$3:$A$1002,0)),"대여번호없음"))</f>
        <v/>
      </c>
      <c r="D1495" s="11"/>
      <c r="E1495" s="9"/>
      <c r="F1495" s="10"/>
    </row>
    <row r="1496" customFormat="false" ht="15" hidden="false" customHeight="false" outlineLevel="0" collapsed="false">
      <c r="A1496" s="15"/>
      <c r="B1496" s="10"/>
      <c r="C1496" s="18" t="str">
        <f aca="false">IF($B1496="","",IFERROR(INDEX(대여내역!$E$3:$E$1002,MATCH($B1496,대여내역!$A$3:$A$1002,0)),"대여번호없음"))</f>
        <v/>
      </c>
      <c r="D1496" s="11"/>
      <c r="E1496" s="9"/>
      <c r="F1496" s="10"/>
    </row>
    <row r="1497" customFormat="false" ht="15" hidden="false" customHeight="false" outlineLevel="0" collapsed="false">
      <c r="A1497" s="15"/>
      <c r="B1497" s="10"/>
      <c r="C1497" s="18" t="str">
        <f aca="false">IF($B1497="","",IFERROR(INDEX(대여내역!$E$3:$E$1002,MATCH($B1497,대여내역!$A$3:$A$1002,0)),"대여번호없음"))</f>
        <v/>
      </c>
      <c r="D1497" s="11"/>
      <c r="E1497" s="9"/>
      <c r="F1497" s="10"/>
    </row>
    <row r="1498" customFormat="false" ht="15" hidden="false" customHeight="false" outlineLevel="0" collapsed="false">
      <c r="A1498" s="15"/>
      <c r="B1498" s="10"/>
      <c r="C1498" s="18" t="str">
        <f aca="false">IF($B1498="","",IFERROR(INDEX(대여내역!$E$3:$E$1002,MATCH($B1498,대여내역!$A$3:$A$1002,0)),"대여번호없음"))</f>
        <v/>
      </c>
      <c r="D1498" s="11"/>
      <c r="E1498" s="9"/>
      <c r="F1498" s="10"/>
    </row>
    <row r="1499" customFormat="false" ht="15" hidden="false" customHeight="false" outlineLevel="0" collapsed="false">
      <c r="A1499" s="15"/>
      <c r="B1499" s="10"/>
      <c r="C1499" s="18" t="str">
        <f aca="false">IF($B1499="","",IFERROR(INDEX(대여내역!$E$3:$E$1002,MATCH($B1499,대여내역!$A$3:$A$1002,0)),"대여번호없음"))</f>
        <v/>
      </c>
      <c r="D1499" s="11"/>
      <c r="E1499" s="9"/>
      <c r="F1499" s="10"/>
    </row>
    <row r="1500" customFormat="false" ht="15" hidden="false" customHeight="false" outlineLevel="0" collapsed="false">
      <c r="A1500" s="15"/>
      <c r="B1500" s="10"/>
      <c r="C1500" s="18" t="str">
        <f aca="false">IF($B1500="","",IFERROR(INDEX(대여내역!$E$3:$E$1002,MATCH($B1500,대여내역!$A$3:$A$1002,0)),"대여번호없음"))</f>
        <v/>
      </c>
      <c r="D1500" s="11"/>
      <c r="E1500" s="9"/>
      <c r="F1500" s="10"/>
    </row>
    <row r="1501" customFormat="false" ht="15" hidden="false" customHeight="false" outlineLevel="0" collapsed="false">
      <c r="A1501" s="15"/>
      <c r="B1501" s="10"/>
      <c r="C1501" s="18" t="str">
        <f aca="false">IF($B1501="","",IFERROR(INDEX(대여내역!$E$3:$E$1002,MATCH($B1501,대여내역!$A$3:$A$1002,0)),"대여번호없음"))</f>
        <v/>
      </c>
      <c r="D1501" s="11"/>
      <c r="E1501" s="9"/>
      <c r="F1501" s="10"/>
    </row>
    <row r="1502" customFormat="false" ht="15" hidden="false" customHeight="false" outlineLevel="0" collapsed="false">
      <c r="A1502" s="15"/>
      <c r="B1502" s="10"/>
      <c r="C1502" s="18" t="str">
        <f aca="false">IF($B1502="","",IFERROR(INDEX(대여내역!$E$3:$E$1002,MATCH($B1502,대여내역!$A$3:$A$1002,0)),"대여번호없음"))</f>
        <v/>
      </c>
      <c r="D1502" s="11"/>
      <c r="E1502" s="9"/>
      <c r="F1502" s="10"/>
    </row>
  </sheetData>
  <mergeCells count="1">
    <mergeCell ref="A1:F1"/>
  </mergeCells>
  <dataValidations count="2">
    <dataValidation allowBlank="true" errorStyle="stop" operator="between" showDropDown="false" showErrorMessage="false" showInputMessage="false" sqref="B3:B1502" type="list">
      <formula1>대여내역!$A$3:$A$1002</formula1>
      <formula2>0</formula2>
    </dataValidation>
    <dataValidation allowBlank="true" errorStyle="stop" operator="between" showDropDown="false" showErrorMessage="false" showInputMessage="false" sqref="E3:E1502" type="list">
      <formula1>"정상,손상,분실"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5"/>
    <col collapsed="false" customWidth="true" hidden="false" outlineLevel="0" max="3" min="3" style="1" width="13"/>
    <col collapsed="false" customWidth="true" hidden="false" outlineLevel="0" max="4" min="4" style="1" width="24"/>
    <col collapsed="false" customWidth="true" hidden="false" outlineLevel="0" max="5" min="5" style="1" width="26"/>
    <col collapsed="false" customWidth="true" hidden="false" outlineLevel="0" max="7" min="6" style="1" width="13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2" min="11" style="1" width="11"/>
    <col collapsed="false" customWidth="true" hidden="false" outlineLevel="0" max="13" min="13" style="1" width="13"/>
  </cols>
  <sheetData>
    <row r="1" customFormat="false" ht="25.5" hidden="false" customHeight="true" outlineLevel="0" collapsed="false">
      <c r="A1" s="2" t="s">
        <v>75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false" outlineLevel="0" collapsed="false">
      <c r="A3" s="3" t="s">
        <v>76</v>
      </c>
      <c r="B3" s="19" t="n">
        <f aca="false">COUNTIF(대여내역!$L$3:$L$1002,"미반납")+COUNTIF(대여내역!$L$3:$L$1002,"부분반납")</f>
        <v>2</v>
      </c>
      <c r="D3" s="3" t="s">
        <v>77</v>
      </c>
      <c r="E3" s="19" t="n">
        <f aca="true">COUNTIFS(대여내역!$J$3:$J$1002,"&gt;0",대여내역!$H$3:$H$1002,"&lt;"&amp;TODAY())</f>
        <v>0</v>
      </c>
      <c r="G3" s="3" t="s">
        <v>78</v>
      </c>
      <c r="H3" s="20" t="n">
        <f aca="false">SUMIFS(대여내역!$J$3:$J$1002,대여내역!$J$3:$J$1002,"&gt;0")</f>
        <v>4</v>
      </c>
    </row>
    <row r="5" customFormat="false" ht="15" hidden="false" customHeight="false" outlineLevel="0" collapsed="false">
      <c r="A5" s="8" t="s">
        <v>79</v>
      </c>
      <c r="B5" s="8" t="s">
        <v>69</v>
      </c>
      <c r="C5" s="8" t="s">
        <v>58</v>
      </c>
      <c r="D5" s="8" t="s">
        <v>25</v>
      </c>
      <c r="E5" s="8" t="s">
        <v>40</v>
      </c>
      <c r="F5" s="8" t="s">
        <v>61</v>
      </c>
      <c r="G5" s="8" t="s">
        <v>80</v>
      </c>
      <c r="H5" s="8" t="s">
        <v>62</v>
      </c>
      <c r="I5" s="21" t="s">
        <v>81</v>
      </c>
    </row>
    <row r="6" customFormat="false" ht="15" hidden="false" customHeight="false" outlineLevel="0" collapsed="false">
      <c r="A6" s="22" t="n">
        <f aca="false">IF($B6="","",1)</f>
        <v>1</v>
      </c>
      <c r="B6" s="14" t="str">
        <f aca="false">IFERROR(INDEX(대여내역!$A$3:$A$1002,MATCH("R"&amp;1,미반납현황!$M$6:$M$1005,0)),"")</f>
        <v>260901-01</v>
      </c>
      <c r="C6" s="23" t="n">
        <f aca="false">IF($B6="","",IFERROR(INDEX(대여내역!$B$3:$B$1002,MATCH("R"&amp;1,미반납현황!$M$6:$M$1005,0)),""))</f>
        <v>46266</v>
      </c>
      <c r="D6" s="14" t="str">
        <f aca="false">IF($B6="","",IFERROR(INDEX(대여내역!$C$3:$C$1002,MATCH("R"&amp;1,미반납현황!$M$6:$M$1005,0)),""))</f>
        <v>△△디자인</v>
      </c>
      <c r="E6" s="14" t="str">
        <f aca="false">IF($B6="","",IFERROR(INDEX(대여내역!$E$3:$E$1002,MATCH("R"&amp;1,미반납현황!$M$6:$M$1005,0)),""))</f>
        <v>컬러칩 세트</v>
      </c>
      <c r="F6" s="24" t="n">
        <f aca="false">IF($B6="","",IFERROR(INDEX(대여내역!$G$3:$G$1002,MATCH("R"&amp;1,미반납현황!$M$6:$M$1005,0)),""))</f>
        <v>2</v>
      </c>
      <c r="G6" s="24" t="n">
        <f aca="false">IF($B6="","",IFERROR(INDEX(대여내역!$J$3:$J$1002,MATCH("R"&amp;1,미반납현황!$M$6:$M$1005,0)),""))</f>
        <v>2</v>
      </c>
      <c r="H6" s="23" t="n">
        <f aca="false">IF($B6="","",IFERROR(INDEX(대여내역!$H$3:$H$1002,MATCH("R"&amp;1,미반납현황!$M$6:$M$1005,0)),""))</f>
        <v>46295</v>
      </c>
      <c r="I6" s="25" t="n">
        <f aca="false">IF($B6="","",IFERROR(INDEX(대여내역!$K$3:$K$1002,MATCH("R"&amp;1,미반납현황!$M$6:$M$1005,0)),""))</f>
        <v>-16</v>
      </c>
      <c r="K6" s="26" t="b">
        <f aca="false">IF(대여내역!$A3="",FALSE(),OR(대여내역!$L3="미반납",대여내역!$L3="부분반납"))</f>
        <v>0</v>
      </c>
      <c r="L6" s="6" t="str">
        <f aca="false">IF($K6=FALSE(),"",COUNTIF($K$6:$K6,TRUE()))</f>
        <v/>
      </c>
      <c r="M6" s="6" t="str">
        <f aca="false">IF($L6="","","R"&amp;$L6)</f>
        <v/>
      </c>
    </row>
    <row r="7" customFormat="false" ht="15" hidden="false" customHeight="false" outlineLevel="0" collapsed="false">
      <c r="A7" s="22" t="n">
        <f aca="false">IF($B7="","",2)</f>
        <v>2</v>
      </c>
      <c r="B7" s="14" t="str">
        <f aca="false">IFERROR(INDEX(대여내역!$A$3:$A$1002,MATCH("R"&amp;2,미반납현황!$M$6:$M$1005,0)),"")</f>
        <v>260910-01</v>
      </c>
      <c r="C7" s="23" t="n">
        <f aca="false">IF($B7="","",IFERROR(INDEX(대여내역!$B$3:$B$1002,MATCH("R"&amp;2,미반납현황!$M$6:$M$1005,0)),""))</f>
        <v>46275</v>
      </c>
      <c r="D7" s="14" t="str">
        <f aca="false">IF($B7="","",IFERROR(INDEX(대여내역!$C$3:$C$1002,MATCH("R"&amp;2,미반납현황!$M$6:$M$1005,0)),""))</f>
        <v>○○상사</v>
      </c>
      <c r="E7" s="14" t="str">
        <f aca="false">IF($B7="","",IFERROR(INDEX(대여내역!$E$3:$E$1002,MATCH("R"&amp;2,미반납현황!$M$6:$M$1005,0)),""))</f>
        <v>원단 샘플북 A</v>
      </c>
      <c r="F7" s="24" t="n">
        <f aca="false">IF($B7="","",IFERROR(INDEX(대여내역!$G$3:$G$1002,MATCH("R"&amp;2,미반납현황!$M$6:$M$1005,0)),""))</f>
        <v>2</v>
      </c>
      <c r="G7" s="24" t="n">
        <f aca="false">IF($B7="","",IFERROR(INDEX(대여내역!$J$3:$J$1002,MATCH("R"&amp;2,미반납현황!$M$6:$M$1005,0)),""))</f>
        <v>2</v>
      </c>
      <c r="H7" s="23" t="n">
        <f aca="false">IF($B7="","",IFERROR(INDEX(대여내역!$H$3:$H$1002,MATCH("R"&amp;2,미반납현황!$M$6:$M$1005,0)),""))</f>
        <v>46305</v>
      </c>
      <c r="I7" s="25" t="n">
        <f aca="false">IF($B7="","",IFERROR(INDEX(대여내역!$K$3:$K$1002,MATCH("R"&amp;2,미반납현황!$M$6:$M$1005,0)),""))</f>
        <v>-26</v>
      </c>
      <c r="K7" s="26" t="b">
        <f aca="false">IF(대여내역!$A4="",FALSE(),OR(대여내역!$L4="미반납",대여내역!$L4="부분반납"))</f>
        <v>1</v>
      </c>
      <c r="L7" s="6" t="n">
        <f aca="false">IF($K7=FALSE(),"",COUNTIF($K$6:$K7,TRUE()))</f>
        <v>1</v>
      </c>
      <c r="M7" s="6" t="str">
        <f aca="false">IF($L7="","","R"&amp;$L7)</f>
        <v>R1</v>
      </c>
    </row>
    <row r="8" customFormat="false" ht="15" hidden="false" customHeight="false" outlineLevel="0" collapsed="false">
      <c r="A8" s="22" t="str">
        <f aca="false">IF($B8="","",3)</f>
        <v/>
      </c>
      <c r="B8" s="14" t="str">
        <f aca="false">IFERROR(INDEX(대여내역!$A$3:$A$1002,MATCH("R"&amp;3,미반납현황!$M$6:$M$1005,0)),"")</f>
        <v/>
      </c>
      <c r="C8" s="23" t="str">
        <f aca="false">IF($B8="","",IFERROR(INDEX(대여내역!$B$3:$B$1002,MATCH("R"&amp;3,미반납현황!$M$6:$M$1005,0)),""))</f>
        <v/>
      </c>
      <c r="D8" s="14" t="str">
        <f aca="false">IF($B8="","",IFERROR(INDEX(대여내역!$C$3:$C$1002,MATCH("R"&amp;3,미반납현황!$M$6:$M$1005,0)),""))</f>
        <v/>
      </c>
      <c r="E8" s="14" t="str">
        <f aca="false">IF($B8="","",IFERROR(INDEX(대여내역!$E$3:$E$1002,MATCH("R"&amp;3,미반납현황!$M$6:$M$1005,0)),""))</f>
        <v/>
      </c>
      <c r="F8" s="22" t="str">
        <f aca="false">IF($B8="","",IFERROR(INDEX(대여내역!$G$3:$G$1002,MATCH("R"&amp;3,미반납현황!$M$6:$M$1005,0)),""))</f>
        <v/>
      </c>
      <c r="G8" s="22" t="str">
        <f aca="false">IF($B8="","",IFERROR(INDEX(대여내역!$J$3:$J$1002,MATCH("R"&amp;3,미반납현황!$M$6:$M$1005,0)),""))</f>
        <v/>
      </c>
      <c r="H8" s="23" t="str">
        <f aca="false">IF($B8="","",IFERROR(INDEX(대여내역!$H$3:$H$1002,MATCH("R"&amp;3,미반납현황!$M$6:$M$1005,0)),""))</f>
        <v/>
      </c>
      <c r="I8" s="22" t="str">
        <f aca="false">IF($B8="","",IFERROR(INDEX(대여내역!$K$3:$K$1002,MATCH("R"&amp;3,미반납현황!$M$6:$M$1005,0)),""))</f>
        <v/>
      </c>
      <c r="K8" s="26" t="b">
        <f aca="false">IF(대여내역!$A5="",FALSE(),OR(대여내역!$L5="미반납",대여내역!$L5="부분반납"))</f>
        <v>0</v>
      </c>
      <c r="L8" s="6" t="str">
        <f aca="false">IF($K8=FALSE(),"",COUNTIF($K$6:$K8,TRUE()))</f>
        <v/>
      </c>
      <c r="M8" s="6" t="str">
        <f aca="false">IF($L8="","","R"&amp;$L8)</f>
        <v/>
      </c>
    </row>
    <row r="9" customFormat="false" ht="15" hidden="false" customHeight="false" outlineLevel="0" collapsed="false">
      <c r="A9" s="22" t="str">
        <f aca="false">IF($B9="","",4)</f>
        <v/>
      </c>
      <c r="B9" s="14" t="str">
        <f aca="false">IFERROR(INDEX(대여내역!$A$3:$A$1002,MATCH("R"&amp;4,미반납현황!$M$6:$M$1005,0)),"")</f>
        <v/>
      </c>
      <c r="C9" s="23" t="str">
        <f aca="false">IF($B9="","",IFERROR(INDEX(대여내역!$B$3:$B$1002,MATCH("R"&amp;4,미반납현황!$M$6:$M$1005,0)),""))</f>
        <v/>
      </c>
      <c r="D9" s="14" t="str">
        <f aca="false">IF($B9="","",IFERROR(INDEX(대여내역!$C$3:$C$1002,MATCH("R"&amp;4,미반납현황!$M$6:$M$1005,0)),""))</f>
        <v/>
      </c>
      <c r="E9" s="14" t="str">
        <f aca="false">IF($B9="","",IFERROR(INDEX(대여내역!$E$3:$E$1002,MATCH("R"&amp;4,미반납현황!$M$6:$M$1005,0)),""))</f>
        <v/>
      </c>
      <c r="F9" s="22" t="str">
        <f aca="false">IF($B9="","",IFERROR(INDEX(대여내역!$G$3:$G$1002,MATCH("R"&amp;4,미반납현황!$M$6:$M$1005,0)),""))</f>
        <v/>
      </c>
      <c r="G9" s="22" t="str">
        <f aca="false">IF($B9="","",IFERROR(INDEX(대여내역!$J$3:$J$1002,MATCH("R"&amp;4,미반납현황!$M$6:$M$1005,0)),""))</f>
        <v/>
      </c>
      <c r="H9" s="23" t="str">
        <f aca="false">IF($B9="","",IFERROR(INDEX(대여내역!$H$3:$H$1002,MATCH("R"&amp;4,미반납현황!$M$6:$M$1005,0)),""))</f>
        <v/>
      </c>
      <c r="I9" s="22" t="str">
        <f aca="false">IF($B9="","",IFERROR(INDEX(대여내역!$K$3:$K$1002,MATCH("R"&amp;4,미반납현황!$M$6:$M$1005,0)),""))</f>
        <v/>
      </c>
      <c r="K9" s="26" t="b">
        <f aca="false">IF(대여내역!$A6="",FALSE(),OR(대여내역!$L6="미반납",대여내역!$L6="부분반납"))</f>
        <v>1</v>
      </c>
      <c r="L9" s="6" t="n">
        <f aca="false">IF($K9=FALSE(),"",COUNTIF($K$6:$K9,TRUE()))</f>
        <v>2</v>
      </c>
      <c r="M9" s="6" t="str">
        <f aca="false">IF($L9="","","R"&amp;$L9)</f>
        <v>R2</v>
      </c>
    </row>
    <row r="10" customFormat="false" ht="15" hidden="false" customHeight="false" outlineLevel="0" collapsed="false">
      <c r="A10" s="22" t="str">
        <f aca="false">IF($B10="","",5)</f>
        <v/>
      </c>
      <c r="B10" s="14" t="str">
        <f aca="false">IFERROR(INDEX(대여내역!$A$3:$A$1002,MATCH("R"&amp;5,미반납현황!$M$6:$M$1005,0)),"")</f>
        <v/>
      </c>
      <c r="C10" s="23" t="str">
        <f aca="false">IF($B10="","",IFERROR(INDEX(대여내역!$B$3:$B$1002,MATCH("R"&amp;5,미반납현황!$M$6:$M$1005,0)),""))</f>
        <v/>
      </c>
      <c r="D10" s="14" t="str">
        <f aca="false">IF($B10="","",IFERROR(INDEX(대여내역!$C$3:$C$1002,MATCH("R"&amp;5,미반납현황!$M$6:$M$1005,0)),""))</f>
        <v/>
      </c>
      <c r="E10" s="14" t="str">
        <f aca="false">IF($B10="","",IFERROR(INDEX(대여내역!$E$3:$E$1002,MATCH("R"&amp;5,미반납현황!$M$6:$M$1005,0)),""))</f>
        <v/>
      </c>
      <c r="F10" s="22" t="str">
        <f aca="false">IF($B10="","",IFERROR(INDEX(대여내역!$G$3:$G$1002,MATCH("R"&amp;5,미반납현황!$M$6:$M$1005,0)),""))</f>
        <v/>
      </c>
      <c r="G10" s="22" t="str">
        <f aca="false">IF($B10="","",IFERROR(INDEX(대여내역!$J$3:$J$1002,MATCH("R"&amp;5,미반납현황!$M$6:$M$1005,0)),""))</f>
        <v/>
      </c>
      <c r="H10" s="23" t="str">
        <f aca="false">IF($B10="","",IFERROR(INDEX(대여내역!$H$3:$H$1002,MATCH("R"&amp;5,미반납현황!$M$6:$M$1005,0)),""))</f>
        <v/>
      </c>
      <c r="I10" s="22" t="str">
        <f aca="false">IF($B10="","",IFERROR(INDEX(대여내역!$K$3:$K$1002,MATCH("R"&amp;5,미반납현황!$M$6:$M$1005,0)),""))</f>
        <v/>
      </c>
      <c r="K10" s="26" t="b">
        <f aca="false">IF(대여내역!$A7="",FALSE(),OR(대여내역!$L7="미반납",대여내역!$L7="부분반납"))</f>
        <v>0</v>
      </c>
      <c r="L10" s="6" t="str">
        <f aca="false">IF($K10=FALSE(),"",COUNTIF($K$6:$K10,TRUE()))</f>
        <v/>
      </c>
      <c r="M10" s="6" t="str">
        <f aca="false">IF($L10="","","R"&amp;$L10)</f>
        <v/>
      </c>
    </row>
    <row r="11" customFormat="false" ht="15" hidden="false" customHeight="false" outlineLevel="0" collapsed="false">
      <c r="A11" s="22" t="str">
        <f aca="false">IF($B11="","",6)</f>
        <v/>
      </c>
      <c r="B11" s="14" t="str">
        <f aca="false">IFERROR(INDEX(대여내역!$A$3:$A$1002,MATCH("R"&amp;6,미반납현황!$M$6:$M$1005,0)),"")</f>
        <v/>
      </c>
      <c r="C11" s="23" t="str">
        <f aca="false">IF($B11="","",IFERROR(INDEX(대여내역!$B$3:$B$1002,MATCH("R"&amp;6,미반납현황!$M$6:$M$1005,0)),""))</f>
        <v/>
      </c>
      <c r="D11" s="14" t="str">
        <f aca="false">IF($B11="","",IFERROR(INDEX(대여내역!$C$3:$C$1002,MATCH("R"&amp;6,미반납현황!$M$6:$M$1005,0)),""))</f>
        <v/>
      </c>
      <c r="E11" s="14" t="str">
        <f aca="false">IF($B11="","",IFERROR(INDEX(대여내역!$E$3:$E$1002,MATCH("R"&amp;6,미반납현황!$M$6:$M$1005,0)),""))</f>
        <v/>
      </c>
      <c r="F11" s="22" t="str">
        <f aca="false">IF($B11="","",IFERROR(INDEX(대여내역!$G$3:$G$1002,MATCH("R"&amp;6,미반납현황!$M$6:$M$1005,0)),""))</f>
        <v/>
      </c>
      <c r="G11" s="22" t="str">
        <f aca="false">IF($B11="","",IFERROR(INDEX(대여내역!$J$3:$J$1002,MATCH("R"&amp;6,미반납현황!$M$6:$M$1005,0)),""))</f>
        <v/>
      </c>
      <c r="H11" s="23" t="str">
        <f aca="false">IF($B11="","",IFERROR(INDEX(대여내역!$H$3:$H$1002,MATCH("R"&amp;6,미반납현황!$M$6:$M$1005,0)),""))</f>
        <v/>
      </c>
      <c r="I11" s="22" t="str">
        <f aca="false">IF($B11="","",IFERROR(INDEX(대여내역!$K$3:$K$1002,MATCH("R"&amp;6,미반납현황!$M$6:$M$1005,0)),""))</f>
        <v/>
      </c>
      <c r="K11" s="26" t="b">
        <f aca="false">IF(대여내역!$A8="",FALSE(),OR(대여내역!$L8="미반납",대여내역!$L8="부분반납"))</f>
        <v>0</v>
      </c>
      <c r="L11" s="6" t="str">
        <f aca="false">IF($K11=FALSE(),"",COUNTIF($K$6:$K11,TRUE()))</f>
        <v/>
      </c>
      <c r="M11" s="6" t="str">
        <f aca="false">IF($L11="","","R"&amp;$L11)</f>
        <v/>
      </c>
    </row>
    <row r="12" customFormat="false" ht="15" hidden="false" customHeight="false" outlineLevel="0" collapsed="false">
      <c r="A12" s="22" t="str">
        <f aca="false">IF($B12="","",7)</f>
        <v/>
      </c>
      <c r="B12" s="14" t="str">
        <f aca="false">IFERROR(INDEX(대여내역!$A$3:$A$1002,MATCH("R"&amp;7,미반납현황!$M$6:$M$1005,0)),"")</f>
        <v/>
      </c>
      <c r="C12" s="23" t="str">
        <f aca="false">IF($B12="","",IFERROR(INDEX(대여내역!$B$3:$B$1002,MATCH("R"&amp;7,미반납현황!$M$6:$M$1005,0)),""))</f>
        <v/>
      </c>
      <c r="D12" s="14" t="str">
        <f aca="false">IF($B12="","",IFERROR(INDEX(대여내역!$C$3:$C$1002,MATCH("R"&amp;7,미반납현황!$M$6:$M$1005,0)),""))</f>
        <v/>
      </c>
      <c r="E12" s="14" t="str">
        <f aca="false">IF($B12="","",IFERROR(INDEX(대여내역!$E$3:$E$1002,MATCH("R"&amp;7,미반납현황!$M$6:$M$1005,0)),""))</f>
        <v/>
      </c>
      <c r="F12" s="22" t="str">
        <f aca="false">IF($B12="","",IFERROR(INDEX(대여내역!$G$3:$G$1002,MATCH("R"&amp;7,미반납현황!$M$6:$M$1005,0)),""))</f>
        <v/>
      </c>
      <c r="G12" s="22" t="str">
        <f aca="false">IF($B12="","",IFERROR(INDEX(대여내역!$J$3:$J$1002,MATCH("R"&amp;7,미반납현황!$M$6:$M$1005,0)),""))</f>
        <v/>
      </c>
      <c r="H12" s="23" t="str">
        <f aca="false">IF($B12="","",IFERROR(INDEX(대여내역!$H$3:$H$1002,MATCH("R"&amp;7,미반납현황!$M$6:$M$1005,0)),""))</f>
        <v/>
      </c>
      <c r="I12" s="22" t="str">
        <f aca="false">IF($B12="","",IFERROR(INDEX(대여내역!$K$3:$K$1002,MATCH("R"&amp;7,미반납현황!$M$6:$M$1005,0)),""))</f>
        <v/>
      </c>
      <c r="K12" s="26" t="b">
        <f aca="false">IF(대여내역!$A9="",FALSE(),OR(대여내역!$L9="미반납",대여내역!$L9="부분반납"))</f>
        <v>0</v>
      </c>
      <c r="L12" s="6" t="str">
        <f aca="false">IF($K12=FALSE(),"",COUNTIF($K$6:$K12,TRUE()))</f>
        <v/>
      </c>
      <c r="M12" s="6" t="str">
        <f aca="false">IF($L12="","","R"&amp;$L12)</f>
        <v/>
      </c>
    </row>
    <row r="13" customFormat="false" ht="15" hidden="false" customHeight="false" outlineLevel="0" collapsed="false">
      <c r="A13" s="22" t="str">
        <f aca="false">IF($B13="","",8)</f>
        <v/>
      </c>
      <c r="B13" s="14" t="str">
        <f aca="false">IFERROR(INDEX(대여내역!$A$3:$A$1002,MATCH("R"&amp;8,미반납현황!$M$6:$M$1005,0)),"")</f>
        <v/>
      </c>
      <c r="C13" s="23" t="str">
        <f aca="false">IF($B13="","",IFERROR(INDEX(대여내역!$B$3:$B$1002,MATCH("R"&amp;8,미반납현황!$M$6:$M$1005,0)),""))</f>
        <v/>
      </c>
      <c r="D13" s="14" t="str">
        <f aca="false">IF($B13="","",IFERROR(INDEX(대여내역!$C$3:$C$1002,MATCH("R"&amp;8,미반납현황!$M$6:$M$1005,0)),""))</f>
        <v/>
      </c>
      <c r="E13" s="14" t="str">
        <f aca="false">IF($B13="","",IFERROR(INDEX(대여내역!$E$3:$E$1002,MATCH("R"&amp;8,미반납현황!$M$6:$M$1005,0)),""))</f>
        <v/>
      </c>
      <c r="F13" s="22" t="str">
        <f aca="false">IF($B13="","",IFERROR(INDEX(대여내역!$G$3:$G$1002,MATCH("R"&amp;8,미반납현황!$M$6:$M$1005,0)),""))</f>
        <v/>
      </c>
      <c r="G13" s="22" t="str">
        <f aca="false">IF($B13="","",IFERROR(INDEX(대여내역!$J$3:$J$1002,MATCH("R"&amp;8,미반납현황!$M$6:$M$1005,0)),""))</f>
        <v/>
      </c>
      <c r="H13" s="23" t="str">
        <f aca="false">IF($B13="","",IFERROR(INDEX(대여내역!$H$3:$H$1002,MATCH("R"&amp;8,미반납현황!$M$6:$M$1005,0)),""))</f>
        <v/>
      </c>
      <c r="I13" s="22" t="str">
        <f aca="false">IF($B13="","",IFERROR(INDEX(대여내역!$K$3:$K$1002,MATCH("R"&amp;8,미반납현황!$M$6:$M$1005,0)),""))</f>
        <v/>
      </c>
      <c r="K13" s="26" t="b">
        <f aca="false">IF(대여내역!$A10="",FALSE(),OR(대여내역!$L10="미반납",대여내역!$L10="부분반납"))</f>
        <v>0</v>
      </c>
      <c r="L13" s="6" t="str">
        <f aca="false">IF($K13=FALSE(),"",COUNTIF($K$6:$K13,TRUE()))</f>
        <v/>
      </c>
      <c r="M13" s="6" t="str">
        <f aca="false">IF($L13="","","R"&amp;$L13)</f>
        <v/>
      </c>
    </row>
    <row r="14" customFormat="false" ht="15" hidden="false" customHeight="false" outlineLevel="0" collapsed="false">
      <c r="A14" s="22" t="str">
        <f aca="false">IF($B14="","",9)</f>
        <v/>
      </c>
      <c r="B14" s="14" t="str">
        <f aca="false">IFERROR(INDEX(대여내역!$A$3:$A$1002,MATCH("R"&amp;9,미반납현황!$M$6:$M$1005,0)),"")</f>
        <v/>
      </c>
      <c r="C14" s="23" t="str">
        <f aca="false">IF($B14="","",IFERROR(INDEX(대여내역!$B$3:$B$1002,MATCH("R"&amp;9,미반납현황!$M$6:$M$1005,0)),""))</f>
        <v/>
      </c>
      <c r="D14" s="14" t="str">
        <f aca="false">IF($B14="","",IFERROR(INDEX(대여내역!$C$3:$C$1002,MATCH("R"&amp;9,미반납현황!$M$6:$M$1005,0)),""))</f>
        <v/>
      </c>
      <c r="E14" s="14" t="str">
        <f aca="false">IF($B14="","",IFERROR(INDEX(대여내역!$E$3:$E$1002,MATCH("R"&amp;9,미반납현황!$M$6:$M$1005,0)),""))</f>
        <v/>
      </c>
      <c r="F14" s="22" t="str">
        <f aca="false">IF($B14="","",IFERROR(INDEX(대여내역!$G$3:$G$1002,MATCH("R"&amp;9,미반납현황!$M$6:$M$1005,0)),""))</f>
        <v/>
      </c>
      <c r="G14" s="22" t="str">
        <f aca="false">IF($B14="","",IFERROR(INDEX(대여내역!$J$3:$J$1002,MATCH("R"&amp;9,미반납현황!$M$6:$M$1005,0)),""))</f>
        <v/>
      </c>
      <c r="H14" s="23" t="str">
        <f aca="false">IF($B14="","",IFERROR(INDEX(대여내역!$H$3:$H$1002,MATCH("R"&amp;9,미반납현황!$M$6:$M$1005,0)),""))</f>
        <v/>
      </c>
      <c r="I14" s="22" t="str">
        <f aca="false">IF($B14="","",IFERROR(INDEX(대여내역!$K$3:$K$1002,MATCH("R"&amp;9,미반납현황!$M$6:$M$1005,0)),""))</f>
        <v/>
      </c>
      <c r="K14" s="26" t="b">
        <f aca="false">IF(대여내역!$A11="",FALSE(),OR(대여내역!$L11="미반납",대여내역!$L11="부분반납"))</f>
        <v>0</v>
      </c>
      <c r="L14" s="6" t="str">
        <f aca="false">IF($K14=FALSE(),"",COUNTIF($K$6:$K14,TRUE()))</f>
        <v/>
      </c>
      <c r="M14" s="6" t="str">
        <f aca="false">IF($L14="","","R"&amp;$L14)</f>
        <v/>
      </c>
    </row>
    <row r="15" customFormat="false" ht="15" hidden="false" customHeight="false" outlineLevel="0" collapsed="false">
      <c r="A15" s="22" t="str">
        <f aca="false">IF($B15="","",10)</f>
        <v/>
      </c>
      <c r="B15" s="14" t="str">
        <f aca="false">IFERROR(INDEX(대여내역!$A$3:$A$1002,MATCH("R"&amp;10,미반납현황!$M$6:$M$1005,0)),"")</f>
        <v/>
      </c>
      <c r="C15" s="23" t="str">
        <f aca="false">IF($B15="","",IFERROR(INDEX(대여내역!$B$3:$B$1002,MATCH("R"&amp;10,미반납현황!$M$6:$M$1005,0)),""))</f>
        <v/>
      </c>
      <c r="D15" s="14" t="str">
        <f aca="false">IF($B15="","",IFERROR(INDEX(대여내역!$C$3:$C$1002,MATCH("R"&amp;10,미반납현황!$M$6:$M$1005,0)),""))</f>
        <v/>
      </c>
      <c r="E15" s="14" t="str">
        <f aca="false">IF($B15="","",IFERROR(INDEX(대여내역!$E$3:$E$1002,MATCH("R"&amp;10,미반납현황!$M$6:$M$1005,0)),""))</f>
        <v/>
      </c>
      <c r="F15" s="22" t="str">
        <f aca="false">IF($B15="","",IFERROR(INDEX(대여내역!$G$3:$G$1002,MATCH("R"&amp;10,미반납현황!$M$6:$M$1005,0)),""))</f>
        <v/>
      </c>
      <c r="G15" s="22" t="str">
        <f aca="false">IF($B15="","",IFERROR(INDEX(대여내역!$J$3:$J$1002,MATCH("R"&amp;10,미반납현황!$M$6:$M$1005,0)),""))</f>
        <v/>
      </c>
      <c r="H15" s="23" t="str">
        <f aca="false">IF($B15="","",IFERROR(INDEX(대여내역!$H$3:$H$1002,MATCH("R"&amp;10,미반납현황!$M$6:$M$1005,0)),""))</f>
        <v/>
      </c>
      <c r="I15" s="22" t="str">
        <f aca="false">IF($B15="","",IFERROR(INDEX(대여내역!$K$3:$K$1002,MATCH("R"&amp;10,미반납현황!$M$6:$M$1005,0)),""))</f>
        <v/>
      </c>
      <c r="K15" s="26" t="b">
        <f aca="false">IF(대여내역!$A12="",FALSE(),OR(대여내역!$L12="미반납",대여내역!$L12="부분반납"))</f>
        <v>0</v>
      </c>
      <c r="L15" s="6" t="str">
        <f aca="false">IF($K15=FALSE(),"",COUNTIF($K$6:$K15,TRUE()))</f>
        <v/>
      </c>
      <c r="M15" s="6" t="str">
        <f aca="false">IF($L15="","","R"&amp;$L15)</f>
        <v/>
      </c>
    </row>
    <row r="16" customFormat="false" ht="15" hidden="false" customHeight="false" outlineLevel="0" collapsed="false">
      <c r="A16" s="22" t="str">
        <f aca="false">IF($B16="","",11)</f>
        <v/>
      </c>
      <c r="B16" s="14" t="str">
        <f aca="false">IFERROR(INDEX(대여내역!$A$3:$A$1002,MATCH("R"&amp;11,미반납현황!$M$6:$M$1005,0)),"")</f>
        <v/>
      </c>
      <c r="C16" s="23" t="str">
        <f aca="false">IF($B16="","",IFERROR(INDEX(대여내역!$B$3:$B$1002,MATCH("R"&amp;11,미반납현황!$M$6:$M$1005,0)),""))</f>
        <v/>
      </c>
      <c r="D16" s="14" t="str">
        <f aca="false">IF($B16="","",IFERROR(INDEX(대여내역!$C$3:$C$1002,MATCH("R"&amp;11,미반납현황!$M$6:$M$1005,0)),""))</f>
        <v/>
      </c>
      <c r="E16" s="14" t="str">
        <f aca="false">IF($B16="","",IFERROR(INDEX(대여내역!$E$3:$E$1002,MATCH("R"&amp;11,미반납현황!$M$6:$M$1005,0)),""))</f>
        <v/>
      </c>
      <c r="F16" s="22" t="str">
        <f aca="false">IF($B16="","",IFERROR(INDEX(대여내역!$G$3:$G$1002,MATCH("R"&amp;11,미반납현황!$M$6:$M$1005,0)),""))</f>
        <v/>
      </c>
      <c r="G16" s="22" t="str">
        <f aca="false">IF($B16="","",IFERROR(INDEX(대여내역!$J$3:$J$1002,MATCH("R"&amp;11,미반납현황!$M$6:$M$1005,0)),""))</f>
        <v/>
      </c>
      <c r="H16" s="23" t="str">
        <f aca="false">IF($B16="","",IFERROR(INDEX(대여내역!$H$3:$H$1002,MATCH("R"&amp;11,미반납현황!$M$6:$M$1005,0)),""))</f>
        <v/>
      </c>
      <c r="I16" s="22" t="str">
        <f aca="false">IF($B16="","",IFERROR(INDEX(대여내역!$K$3:$K$1002,MATCH("R"&amp;11,미반납현황!$M$6:$M$1005,0)),""))</f>
        <v/>
      </c>
      <c r="K16" s="26" t="b">
        <f aca="false">IF(대여내역!$A13="",FALSE(),OR(대여내역!$L13="미반납",대여내역!$L13="부분반납"))</f>
        <v>0</v>
      </c>
      <c r="L16" s="6" t="str">
        <f aca="false">IF($K16=FALSE(),"",COUNTIF($K$6:$K16,TRUE()))</f>
        <v/>
      </c>
      <c r="M16" s="6" t="str">
        <f aca="false">IF($L16="","","R"&amp;$L16)</f>
        <v/>
      </c>
    </row>
    <row r="17" customFormat="false" ht="15" hidden="false" customHeight="false" outlineLevel="0" collapsed="false">
      <c r="A17" s="22" t="str">
        <f aca="false">IF($B17="","",12)</f>
        <v/>
      </c>
      <c r="B17" s="14" t="str">
        <f aca="false">IFERROR(INDEX(대여내역!$A$3:$A$1002,MATCH("R"&amp;12,미반납현황!$M$6:$M$1005,0)),"")</f>
        <v/>
      </c>
      <c r="C17" s="23" t="str">
        <f aca="false">IF($B17="","",IFERROR(INDEX(대여내역!$B$3:$B$1002,MATCH("R"&amp;12,미반납현황!$M$6:$M$1005,0)),""))</f>
        <v/>
      </c>
      <c r="D17" s="14" t="str">
        <f aca="false">IF($B17="","",IFERROR(INDEX(대여내역!$C$3:$C$1002,MATCH("R"&amp;12,미반납현황!$M$6:$M$1005,0)),""))</f>
        <v/>
      </c>
      <c r="E17" s="14" t="str">
        <f aca="false">IF($B17="","",IFERROR(INDEX(대여내역!$E$3:$E$1002,MATCH("R"&amp;12,미반납현황!$M$6:$M$1005,0)),""))</f>
        <v/>
      </c>
      <c r="F17" s="22" t="str">
        <f aca="false">IF($B17="","",IFERROR(INDEX(대여내역!$G$3:$G$1002,MATCH("R"&amp;12,미반납현황!$M$6:$M$1005,0)),""))</f>
        <v/>
      </c>
      <c r="G17" s="22" t="str">
        <f aca="false">IF($B17="","",IFERROR(INDEX(대여내역!$J$3:$J$1002,MATCH("R"&amp;12,미반납현황!$M$6:$M$1005,0)),""))</f>
        <v/>
      </c>
      <c r="H17" s="23" t="str">
        <f aca="false">IF($B17="","",IFERROR(INDEX(대여내역!$H$3:$H$1002,MATCH("R"&amp;12,미반납현황!$M$6:$M$1005,0)),""))</f>
        <v/>
      </c>
      <c r="I17" s="22" t="str">
        <f aca="false">IF($B17="","",IFERROR(INDEX(대여내역!$K$3:$K$1002,MATCH("R"&amp;12,미반납현황!$M$6:$M$1005,0)),""))</f>
        <v/>
      </c>
      <c r="K17" s="26" t="b">
        <f aca="false">IF(대여내역!$A14="",FALSE(),OR(대여내역!$L14="미반납",대여내역!$L14="부분반납"))</f>
        <v>0</v>
      </c>
      <c r="L17" s="6" t="str">
        <f aca="false">IF($K17=FALSE(),"",COUNTIF($K$6:$K17,TRUE()))</f>
        <v/>
      </c>
      <c r="M17" s="6" t="str">
        <f aca="false">IF($L17="","","R"&amp;$L17)</f>
        <v/>
      </c>
    </row>
    <row r="18" customFormat="false" ht="15" hidden="false" customHeight="false" outlineLevel="0" collapsed="false">
      <c r="A18" s="22" t="str">
        <f aca="false">IF($B18="","",13)</f>
        <v/>
      </c>
      <c r="B18" s="14" t="str">
        <f aca="false">IFERROR(INDEX(대여내역!$A$3:$A$1002,MATCH("R"&amp;13,미반납현황!$M$6:$M$1005,0)),"")</f>
        <v/>
      </c>
      <c r="C18" s="23" t="str">
        <f aca="false">IF($B18="","",IFERROR(INDEX(대여내역!$B$3:$B$1002,MATCH("R"&amp;13,미반납현황!$M$6:$M$1005,0)),""))</f>
        <v/>
      </c>
      <c r="D18" s="14" t="str">
        <f aca="false">IF($B18="","",IFERROR(INDEX(대여내역!$C$3:$C$1002,MATCH("R"&amp;13,미반납현황!$M$6:$M$1005,0)),""))</f>
        <v/>
      </c>
      <c r="E18" s="14" t="str">
        <f aca="false">IF($B18="","",IFERROR(INDEX(대여내역!$E$3:$E$1002,MATCH("R"&amp;13,미반납현황!$M$6:$M$1005,0)),""))</f>
        <v/>
      </c>
      <c r="F18" s="22" t="str">
        <f aca="false">IF($B18="","",IFERROR(INDEX(대여내역!$G$3:$G$1002,MATCH("R"&amp;13,미반납현황!$M$6:$M$1005,0)),""))</f>
        <v/>
      </c>
      <c r="G18" s="22" t="str">
        <f aca="false">IF($B18="","",IFERROR(INDEX(대여내역!$J$3:$J$1002,MATCH("R"&amp;13,미반납현황!$M$6:$M$1005,0)),""))</f>
        <v/>
      </c>
      <c r="H18" s="23" t="str">
        <f aca="false">IF($B18="","",IFERROR(INDEX(대여내역!$H$3:$H$1002,MATCH("R"&amp;13,미반납현황!$M$6:$M$1005,0)),""))</f>
        <v/>
      </c>
      <c r="I18" s="22" t="str">
        <f aca="false">IF($B18="","",IFERROR(INDEX(대여내역!$K$3:$K$1002,MATCH("R"&amp;13,미반납현황!$M$6:$M$1005,0)),""))</f>
        <v/>
      </c>
      <c r="K18" s="26" t="b">
        <f aca="false">IF(대여내역!$A15="",FALSE(),OR(대여내역!$L15="미반납",대여내역!$L15="부분반납"))</f>
        <v>0</v>
      </c>
      <c r="L18" s="6" t="str">
        <f aca="false">IF($K18=FALSE(),"",COUNTIF($K$6:$K18,TRUE()))</f>
        <v/>
      </c>
      <c r="M18" s="6" t="str">
        <f aca="false">IF($L18="","","R"&amp;$L18)</f>
        <v/>
      </c>
    </row>
    <row r="19" customFormat="false" ht="15" hidden="false" customHeight="false" outlineLevel="0" collapsed="false">
      <c r="A19" s="22" t="str">
        <f aca="false">IF($B19="","",14)</f>
        <v/>
      </c>
      <c r="B19" s="14" t="str">
        <f aca="false">IFERROR(INDEX(대여내역!$A$3:$A$1002,MATCH("R"&amp;14,미반납현황!$M$6:$M$1005,0)),"")</f>
        <v/>
      </c>
      <c r="C19" s="23" t="str">
        <f aca="false">IF($B19="","",IFERROR(INDEX(대여내역!$B$3:$B$1002,MATCH("R"&amp;14,미반납현황!$M$6:$M$1005,0)),""))</f>
        <v/>
      </c>
      <c r="D19" s="14" t="str">
        <f aca="false">IF($B19="","",IFERROR(INDEX(대여내역!$C$3:$C$1002,MATCH("R"&amp;14,미반납현황!$M$6:$M$1005,0)),""))</f>
        <v/>
      </c>
      <c r="E19" s="14" t="str">
        <f aca="false">IF($B19="","",IFERROR(INDEX(대여내역!$E$3:$E$1002,MATCH("R"&amp;14,미반납현황!$M$6:$M$1005,0)),""))</f>
        <v/>
      </c>
      <c r="F19" s="22" t="str">
        <f aca="false">IF($B19="","",IFERROR(INDEX(대여내역!$G$3:$G$1002,MATCH("R"&amp;14,미반납현황!$M$6:$M$1005,0)),""))</f>
        <v/>
      </c>
      <c r="G19" s="22" t="str">
        <f aca="false">IF($B19="","",IFERROR(INDEX(대여내역!$J$3:$J$1002,MATCH("R"&amp;14,미반납현황!$M$6:$M$1005,0)),""))</f>
        <v/>
      </c>
      <c r="H19" s="23" t="str">
        <f aca="false">IF($B19="","",IFERROR(INDEX(대여내역!$H$3:$H$1002,MATCH("R"&amp;14,미반납현황!$M$6:$M$1005,0)),""))</f>
        <v/>
      </c>
      <c r="I19" s="22" t="str">
        <f aca="false">IF($B19="","",IFERROR(INDEX(대여내역!$K$3:$K$1002,MATCH("R"&amp;14,미반납현황!$M$6:$M$1005,0)),""))</f>
        <v/>
      </c>
      <c r="K19" s="26" t="b">
        <f aca="false">IF(대여내역!$A16="",FALSE(),OR(대여내역!$L16="미반납",대여내역!$L16="부분반납"))</f>
        <v>0</v>
      </c>
      <c r="L19" s="6" t="str">
        <f aca="false">IF($K19=FALSE(),"",COUNTIF($K$6:$K19,TRUE()))</f>
        <v/>
      </c>
      <c r="M19" s="6" t="str">
        <f aca="false">IF($L19="","","R"&amp;$L19)</f>
        <v/>
      </c>
    </row>
    <row r="20" customFormat="false" ht="15" hidden="false" customHeight="false" outlineLevel="0" collapsed="false">
      <c r="A20" s="22" t="str">
        <f aca="false">IF($B20="","",15)</f>
        <v/>
      </c>
      <c r="B20" s="14" t="str">
        <f aca="false">IFERROR(INDEX(대여내역!$A$3:$A$1002,MATCH("R"&amp;15,미반납현황!$M$6:$M$1005,0)),"")</f>
        <v/>
      </c>
      <c r="C20" s="23" t="str">
        <f aca="false">IF($B20="","",IFERROR(INDEX(대여내역!$B$3:$B$1002,MATCH("R"&amp;15,미반납현황!$M$6:$M$1005,0)),""))</f>
        <v/>
      </c>
      <c r="D20" s="14" t="str">
        <f aca="false">IF($B20="","",IFERROR(INDEX(대여내역!$C$3:$C$1002,MATCH("R"&amp;15,미반납현황!$M$6:$M$1005,0)),""))</f>
        <v/>
      </c>
      <c r="E20" s="14" t="str">
        <f aca="false">IF($B20="","",IFERROR(INDEX(대여내역!$E$3:$E$1002,MATCH("R"&amp;15,미반납현황!$M$6:$M$1005,0)),""))</f>
        <v/>
      </c>
      <c r="F20" s="22" t="str">
        <f aca="false">IF($B20="","",IFERROR(INDEX(대여내역!$G$3:$G$1002,MATCH("R"&amp;15,미반납현황!$M$6:$M$1005,0)),""))</f>
        <v/>
      </c>
      <c r="G20" s="22" t="str">
        <f aca="false">IF($B20="","",IFERROR(INDEX(대여내역!$J$3:$J$1002,MATCH("R"&amp;15,미반납현황!$M$6:$M$1005,0)),""))</f>
        <v/>
      </c>
      <c r="H20" s="23" t="str">
        <f aca="false">IF($B20="","",IFERROR(INDEX(대여내역!$H$3:$H$1002,MATCH("R"&amp;15,미반납현황!$M$6:$M$1005,0)),""))</f>
        <v/>
      </c>
      <c r="I20" s="22" t="str">
        <f aca="false">IF($B20="","",IFERROR(INDEX(대여내역!$K$3:$K$1002,MATCH("R"&amp;15,미반납현황!$M$6:$M$1005,0)),""))</f>
        <v/>
      </c>
      <c r="K20" s="26" t="b">
        <f aca="false">IF(대여내역!$A17="",FALSE(),OR(대여내역!$L17="미반납",대여내역!$L17="부분반납"))</f>
        <v>0</v>
      </c>
      <c r="L20" s="6" t="str">
        <f aca="false">IF($K20=FALSE(),"",COUNTIF($K$6:$K20,TRUE()))</f>
        <v/>
      </c>
      <c r="M20" s="6" t="str">
        <f aca="false">IF($L20="","","R"&amp;$L20)</f>
        <v/>
      </c>
    </row>
    <row r="21" customFormat="false" ht="15" hidden="false" customHeight="false" outlineLevel="0" collapsed="false">
      <c r="A21" s="22" t="str">
        <f aca="false">IF($B21="","",16)</f>
        <v/>
      </c>
      <c r="B21" s="14" t="str">
        <f aca="false">IFERROR(INDEX(대여내역!$A$3:$A$1002,MATCH("R"&amp;16,미반납현황!$M$6:$M$1005,0)),"")</f>
        <v/>
      </c>
      <c r="C21" s="23" t="str">
        <f aca="false">IF($B21="","",IFERROR(INDEX(대여내역!$B$3:$B$1002,MATCH("R"&amp;16,미반납현황!$M$6:$M$1005,0)),""))</f>
        <v/>
      </c>
      <c r="D21" s="14" t="str">
        <f aca="false">IF($B21="","",IFERROR(INDEX(대여내역!$C$3:$C$1002,MATCH("R"&amp;16,미반납현황!$M$6:$M$1005,0)),""))</f>
        <v/>
      </c>
      <c r="E21" s="14" t="str">
        <f aca="false">IF($B21="","",IFERROR(INDEX(대여내역!$E$3:$E$1002,MATCH("R"&amp;16,미반납현황!$M$6:$M$1005,0)),""))</f>
        <v/>
      </c>
      <c r="F21" s="22" t="str">
        <f aca="false">IF($B21="","",IFERROR(INDEX(대여내역!$G$3:$G$1002,MATCH("R"&amp;16,미반납현황!$M$6:$M$1005,0)),""))</f>
        <v/>
      </c>
      <c r="G21" s="22" t="str">
        <f aca="false">IF($B21="","",IFERROR(INDEX(대여내역!$J$3:$J$1002,MATCH("R"&amp;16,미반납현황!$M$6:$M$1005,0)),""))</f>
        <v/>
      </c>
      <c r="H21" s="23" t="str">
        <f aca="false">IF($B21="","",IFERROR(INDEX(대여내역!$H$3:$H$1002,MATCH("R"&amp;16,미반납현황!$M$6:$M$1005,0)),""))</f>
        <v/>
      </c>
      <c r="I21" s="22" t="str">
        <f aca="false">IF($B21="","",IFERROR(INDEX(대여내역!$K$3:$K$1002,MATCH("R"&amp;16,미반납현황!$M$6:$M$1005,0)),""))</f>
        <v/>
      </c>
      <c r="K21" s="26" t="b">
        <f aca="false">IF(대여내역!$A18="",FALSE(),OR(대여내역!$L18="미반납",대여내역!$L18="부분반납"))</f>
        <v>0</v>
      </c>
      <c r="L21" s="6" t="str">
        <f aca="false">IF($K21=FALSE(),"",COUNTIF($K$6:$K21,TRUE()))</f>
        <v/>
      </c>
      <c r="M21" s="6" t="str">
        <f aca="false">IF($L21="","","R"&amp;$L21)</f>
        <v/>
      </c>
    </row>
    <row r="22" customFormat="false" ht="15" hidden="false" customHeight="false" outlineLevel="0" collapsed="false">
      <c r="A22" s="22" t="str">
        <f aca="false">IF($B22="","",17)</f>
        <v/>
      </c>
      <c r="B22" s="14" t="str">
        <f aca="false">IFERROR(INDEX(대여내역!$A$3:$A$1002,MATCH("R"&amp;17,미반납현황!$M$6:$M$1005,0)),"")</f>
        <v/>
      </c>
      <c r="C22" s="23" t="str">
        <f aca="false">IF($B22="","",IFERROR(INDEX(대여내역!$B$3:$B$1002,MATCH("R"&amp;17,미반납현황!$M$6:$M$1005,0)),""))</f>
        <v/>
      </c>
      <c r="D22" s="14" t="str">
        <f aca="false">IF($B22="","",IFERROR(INDEX(대여내역!$C$3:$C$1002,MATCH("R"&amp;17,미반납현황!$M$6:$M$1005,0)),""))</f>
        <v/>
      </c>
      <c r="E22" s="14" t="str">
        <f aca="false">IF($B22="","",IFERROR(INDEX(대여내역!$E$3:$E$1002,MATCH("R"&amp;17,미반납현황!$M$6:$M$1005,0)),""))</f>
        <v/>
      </c>
      <c r="F22" s="22" t="str">
        <f aca="false">IF($B22="","",IFERROR(INDEX(대여내역!$G$3:$G$1002,MATCH("R"&amp;17,미반납현황!$M$6:$M$1005,0)),""))</f>
        <v/>
      </c>
      <c r="G22" s="22" t="str">
        <f aca="false">IF($B22="","",IFERROR(INDEX(대여내역!$J$3:$J$1002,MATCH("R"&amp;17,미반납현황!$M$6:$M$1005,0)),""))</f>
        <v/>
      </c>
      <c r="H22" s="23" t="str">
        <f aca="false">IF($B22="","",IFERROR(INDEX(대여내역!$H$3:$H$1002,MATCH("R"&amp;17,미반납현황!$M$6:$M$1005,0)),""))</f>
        <v/>
      </c>
      <c r="I22" s="22" t="str">
        <f aca="false">IF($B22="","",IFERROR(INDEX(대여내역!$K$3:$K$1002,MATCH("R"&amp;17,미반납현황!$M$6:$M$1005,0)),""))</f>
        <v/>
      </c>
      <c r="K22" s="26" t="b">
        <f aca="false">IF(대여내역!$A19="",FALSE(),OR(대여내역!$L19="미반납",대여내역!$L19="부분반납"))</f>
        <v>0</v>
      </c>
      <c r="L22" s="6" t="str">
        <f aca="false">IF($K22=FALSE(),"",COUNTIF($K$6:$K22,TRUE()))</f>
        <v/>
      </c>
      <c r="M22" s="6" t="str">
        <f aca="false">IF($L22="","","R"&amp;$L22)</f>
        <v/>
      </c>
    </row>
    <row r="23" customFormat="false" ht="15" hidden="false" customHeight="false" outlineLevel="0" collapsed="false">
      <c r="A23" s="22" t="str">
        <f aca="false">IF($B23="","",18)</f>
        <v/>
      </c>
      <c r="B23" s="14" t="str">
        <f aca="false">IFERROR(INDEX(대여내역!$A$3:$A$1002,MATCH("R"&amp;18,미반납현황!$M$6:$M$1005,0)),"")</f>
        <v/>
      </c>
      <c r="C23" s="23" t="str">
        <f aca="false">IF($B23="","",IFERROR(INDEX(대여내역!$B$3:$B$1002,MATCH("R"&amp;18,미반납현황!$M$6:$M$1005,0)),""))</f>
        <v/>
      </c>
      <c r="D23" s="14" t="str">
        <f aca="false">IF($B23="","",IFERROR(INDEX(대여내역!$C$3:$C$1002,MATCH("R"&amp;18,미반납현황!$M$6:$M$1005,0)),""))</f>
        <v/>
      </c>
      <c r="E23" s="14" t="str">
        <f aca="false">IF($B23="","",IFERROR(INDEX(대여내역!$E$3:$E$1002,MATCH("R"&amp;18,미반납현황!$M$6:$M$1005,0)),""))</f>
        <v/>
      </c>
      <c r="F23" s="22" t="str">
        <f aca="false">IF($B23="","",IFERROR(INDEX(대여내역!$G$3:$G$1002,MATCH("R"&amp;18,미반납현황!$M$6:$M$1005,0)),""))</f>
        <v/>
      </c>
      <c r="G23" s="22" t="str">
        <f aca="false">IF($B23="","",IFERROR(INDEX(대여내역!$J$3:$J$1002,MATCH("R"&amp;18,미반납현황!$M$6:$M$1005,0)),""))</f>
        <v/>
      </c>
      <c r="H23" s="23" t="str">
        <f aca="false">IF($B23="","",IFERROR(INDEX(대여내역!$H$3:$H$1002,MATCH("R"&amp;18,미반납현황!$M$6:$M$1005,0)),""))</f>
        <v/>
      </c>
      <c r="I23" s="22" t="str">
        <f aca="false">IF($B23="","",IFERROR(INDEX(대여내역!$K$3:$K$1002,MATCH("R"&amp;18,미반납현황!$M$6:$M$1005,0)),""))</f>
        <v/>
      </c>
      <c r="K23" s="26" t="b">
        <f aca="false">IF(대여내역!$A20="",FALSE(),OR(대여내역!$L20="미반납",대여내역!$L20="부분반납"))</f>
        <v>0</v>
      </c>
      <c r="L23" s="6" t="str">
        <f aca="false">IF($K23=FALSE(),"",COUNTIF($K$6:$K23,TRUE()))</f>
        <v/>
      </c>
      <c r="M23" s="6" t="str">
        <f aca="false">IF($L23="","","R"&amp;$L23)</f>
        <v/>
      </c>
    </row>
    <row r="24" customFormat="false" ht="15" hidden="false" customHeight="false" outlineLevel="0" collapsed="false">
      <c r="A24" s="22" t="str">
        <f aca="false">IF($B24="","",19)</f>
        <v/>
      </c>
      <c r="B24" s="14" t="str">
        <f aca="false">IFERROR(INDEX(대여내역!$A$3:$A$1002,MATCH("R"&amp;19,미반납현황!$M$6:$M$1005,0)),"")</f>
        <v/>
      </c>
      <c r="C24" s="23" t="str">
        <f aca="false">IF($B24="","",IFERROR(INDEX(대여내역!$B$3:$B$1002,MATCH("R"&amp;19,미반납현황!$M$6:$M$1005,0)),""))</f>
        <v/>
      </c>
      <c r="D24" s="14" t="str">
        <f aca="false">IF($B24="","",IFERROR(INDEX(대여내역!$C$3:$C$1002,MATCH("R"&amp;19,미반납현황!$M$6:$M$1005,0)),""))</f>
        <v/>
      </c>
      <c r="E24" s="14" t="str">
        <f aca="false">IF($B24="","",IFERROR(INDEX(대여내역!$E$3:$E$1002,MATCH("R"&amp;19,미반납현황!$M$6:$M$1005,0)),""))</f>
        <v/>
      </c>
      <c r="F24" s="22" t="str">
        <f aca="false">IF($B24="","",IFERROR(INDEX(대여내역!$G$3:$G$1002,MATCH("R"&amp;19,미반납현황!$M$6:$M$1005,0)),""))</f>
        <v/>
      </c>
      <c r="G24" s="22" t="str">
        <f aca="false">IF($B24="","",IFERROR(INDEX(대여내역!$J$3:$J$1002,MATCH("R"&amp;19,미반납현황!$M$6:$M$1005,0)),""))</f>
        <v/>
      </c>
      <c r="H24" s="23" t="str">
        <f aca="false">IF($B24="","",IFERROR(INDEX(대여내역!$H$3:$H$1002,MATCH("R"&amp;19,미반납현황!$M$6:$M$1005,0)),""))</f>
        <v/>
      </c>
      <c r="I24" s="22" t="str">
        <f aca="false">IF($B24="","",IFERROR(INDEX(대여내역!$K$3:$K$1002,MATCH("R"&amp;19,미반납현황!$M$6:$M$1005,0)),""))</f>
        <v/>
      </c>
      <c r="K24" s="26" t="b">
        <f aca="false">IF(대여내역!$A21="",FALSE(),OR(대여내역!$L21="미반납",대여내역!$L21="부분반납"))</f>
        <v>0</v>
      </c>
      <c r="L24" s="6" t="str">
        <f aca="false">IF($K24=FALSE(),"",COUNTIF($K$6:$K24,TRUE()))</f>
        <v/>
      </c>
      <c r="M24" s="6" t="str">
        <f aca="false">IF($L24="","","R"&amp;$L24)</f>
        <v/>
      </c>
    </row>
    <row r="25" customFormat="false" ht="15" hidden="false" customHeight="false" outlineLevel="0" collapsed="false">
      <c r="A25" s="22" t="str">
        <f aca="false">IF($B25="","",20)</f>
        <v/>
      </c>
      <c r="B25" s="14" t="str">
        <f aca="false">IFERROR(INDEX(대여내역!$A$3:$A$1002,MATCH("R"&amp;20,미반납현황!$M$6:$M$1005,0)),"")</f>
        <v/>
      </c>
      <c r="C25" s="23" t="str">
        <f aca="false">IF($B25="","",IFERROR(INDEX(대여내역!$B$3:$B$1002,MATCH("R"&amp;20,미반납현황!$M$6:$M$1005,0)),""))</f>
        <v/>
      </c>
      <c r="D25" s="14" t="str">
        <f aca="false">IF($B25="","",IFERROR(INDEX(대여내역!$C$3:$C$1002,MATCH("R"&amp;20,미반납현황!$M$6:$M$1005,0)),""))</f>
        <v/>
      </c>
      <c r="E25" s="14" t="str">
        <f aca="false">IF($B25="","",IFERROR(INDEX(대여내역!$E$3:$E$1002,MATCH("R"&amp;20,미반납현황!$M$6:$M$1005,0)),""))</f>
        <v/>
      </c>
      <c r="F25" s="22" t="str">
        <f aca="false">IF($B25="","",IFERROR(INDEX(대여내역!$G$3:$G$1002,MATCH("R"&amp;20,미반납현황!$M$6:$M$1005,0)),""))</f>
        <v/>
      </c>
      <c r="G25" s="22" t="str">
        <f aca="false">IF($B25="","",IFERROR(INDEX(대여내역!$J$3:$J$1002,MATCH("R"&amp;20,미반납현황!$M$6:$M$1005,0)),""))</f>
        <v/>
      </c>
      <c r="H25" s="23" t="str">
        <f aca="false">IF($B25="","",IFERROR(INDEX(대여내역!$H$3:$H$1002,MATCH("R"&amp;20,미반납현황!$M$6:$M$1005,0)),""))</f>
        <v/>
      </c>
      <c r="I25" s="22" t="str">
        <f aca="false">IF($B25="","",IFERROR(INDEX(대여내역!$K$3:$K$1002,MATCH("R"&amp;20,미반납현황!$M$6:$M$1005,0)),""))</f>
        <v/>
      </c>
      <c r="K25" s="26" t="b">
        <f aca="false">IF(대여내역!$A22="",FALSE(),OR(대여내역!$L22="미반납",대여내역!$L22="부분반납"))</f>
        <v>0</v>
      </c>
      <c r="L25" s="6" t="str">
        <f aca="false">IF($K25=FALSE(),"",COUNTIF($K$6:$K25,TRUE()))</f>
        <v/>
      </c>
      <c r="M25" s="6" t="str">
        <f aca="false">IF($L25="","","R"&amp;$L25)</f>
        <v/>
      </c>
    </row>
    <row r="26" customFormat="false" ht="15" hidden="false" customHeight="false" outlineLevel="0" collapsed="false">
      <c r="A26" s="22" t="str">
        <f aca="false">IF($B26="","",21)</f>
        <v/>
      </c>
      <c r="B26" s="14" t="str">
        <f aca="false">IFERROR(INDEX(대여내역!$A$3:$A$1002,MATCH("R"&amp;21,미반납현황!$M$6:$M$1005,0)),"")</f>
        <v/>
      </c>
      <c r="C26" s="23" t="str">
        <f aca="false">IF($B26="","",IFERROR(INDEX(대여내역!$B$3:$B$1002,MATCH("R"&amp;21,미반납현황!$M$6:$M$1005,0)),""))</f>
        <v/>
      </c>
      <c r="D26" s="14" t="str">
        <f aca="false">IF($B26="","",IFERROR(INDEX(대여내역!$C$3:$C$1002,MATCH("R"&amp;21,미반납현황!$M$6:$M$1005,0)),""))</f>
        <v/>
      </c>
      <c r="E26" s="14" t="str">
        <f aca="false">IF($B26="","",IFERROR(INDEX(대여내역!$E$3:$E$1002,MATCH("R"&amp;21,미반납현황!$M$6:$M$1005,0)),""))</f>
        <v/>
      </c>
      <c r="F26" s="22" t="str">
        <f aca="false">IF($B26="","",IFERROR(INDEX(대여내역!$G$3:$G$1002,MATCH("R"&amp;21,미반납현황!$M$6:$M$1005,0)),""))</f>
        <v/>
      </c>
      <c r="G26" s="22" t="str">
        <f aca="false">IF($B26="","",IFERROR(INDEX(대여내역!$J$3:$J$1002,MATCH("R"&amp;21,미반납현황!$M$6:$M$1005,0)),""))</f>
        <v/>
      </c>
      <c r="H26" s="23" t="str">
        <f aca="false">IF($B26="","",IFERROR(INDEX(대여내역!$H$3:$H$1002,MATCH("R"&amp;21,미반납현황!$M$6:$M$1005,0)),""))</f>
        <v/>
      </c>
      <c r="I26" s="22" t="str">
        <f aca="false">IF($B26="","",IFERROR(INDEX(대여내역!$K$3:$K$1002,MATCH("R"&amp;21,미반납현황!$M$6:$M$1005,0)),""))</f>
        <v/>
      </c>
      <c r="K26" s="26" t="b">
        <f aca="false">IF(대여내역!$A23="",FALSE(),OR(대여내역!$L23="미반납",대여내역!$L23="부분반납"))</f>
        <v>0</v>
      </c>
      <c r="L26" s="6" t="str">
        <f aca="false">IF($K26=FALSE(),"",COUNTIF($K$6:$K26,TRUE()))</f>
        <v/>
      </c>
      <c r="M26" s="6" t="str">
        <f aca="false">IF($L26="","","R"&amp;$L26)</f>
        <v/>
      </c>
    </row>
    <row r="27" customFormat="false" ht="15" hidden="false" customHeight="false" outlineLevel="0" collapsed="false">
      <c r="A27" s="22" t="str">
        <f aca="false">IF($B27="","",22)</f>
        <v/>
      </c>
      <c r="B27" s="14" t="str">
        <f aca="false">IFERROR(INDEX(대여내역!$A$3:$A$1002,MATCH("R"&amp;22,미반납현황!$M$6:$M$1005,0)),"")</f>
        <v/>
      </c>
      <c r="C27" s="23" t="str">
        <f aca="false">IF($B27="","",IFERROR(INDEX(대여내역!$B$3:$B$1002,MATCH("R"&amp;22,미반납현황!$M$6:$M$1005,0)),""))</f>
        <v/>
      </c>
      <c r="D27" s="14" t="str">
        <f aca="false">IF($B27="","",IFERROR(INDEX(대여내역!$C$3:$C$1002,MATCH("R"&amp;22,미반납현황!$M$6:$M$1005,0)),""))</f>
        <v/>
      </c>
      <c r="E27" s="14" t="str">
        <f aca="false">IF($B27="","",IFERROR(INDEX(대여내역!$E$3:$E$1002,MATCH("R"&amp;22,미반납현황!$M$6:$M$1005,0)),""))</f>
        <v/>
      </c>
      <c r="F27" s="22" t="str">
        <f aca="false">IF($B27="","",IFERROR(INDEX(대여내역!$G$3:$G$1002,MATCH("R"&amp;22,미반납현황!$M$6:$M$1005,0)),""))</f>
        <v/>
      </c>
      <c r="G27" s="22" t="str">
        <f aca="false">IF($B27="","",IFERROR(INDEX(대여내역!$J$3:$J$1002,MATCH("R"&amp;22,미반납현황!$M$6:$M$1005,0)),""))</f>
        <v/>
      </c>
      <c r="H27" s="23" t="str">
        <f aca="false">IF($B27="","",IFERROR(INDEX(대여내역!$H$3:$H$1002,MATCH("R"&amp;22,미반납현황!$M$6:$M$1005,0)),""))</f>
        <v/>
      </c>
      <c r="I27" s="22" t="str">
        <f aca="false">IF($B27="","",IFERROR(INDEX(대여내역!$K$3:$K$1002,MATCH("R"&amp;22,미반납현황!$M$6:$M$1005,0)),""))</f>
        <v/>
      </c>
      <c r="K27" s="26" t="b">
        <f aca="false">IF(대여내역!$A24="",FALSE(),OR(대여내역!$L24="미반납",대여내역!$L24="부분반납"))</f>
        <v>0</v>
      </c>
      <c r="L27" s="6" t="str">
        <f aca="false">IF($K27=FALSE(),"",COUNTIF($K$6:$K27,TRUE()))</f>
        <v/>
      </c>
      <c r="M27" s="6" t="str">
        <f aca="false">IF($L27="","","R"&amp;$L27)</f>
        <v/>
      </c>
    </row>
    <row r="28" customFormat="false" ht="15" hidden="false" customHeight="false" outlineLevel="0" collapsed="false">
      <c r="A28" s="22" t="str">
        <f aca="false">IF($B28="","",23)</f>
        <v/>
      </c>
      <c r="B28" s="14" t="str">
        <f aca="false">IFERROR(INDEX(대여내역!$A$3:$A$1002,MATCH("R"&amp;23,미반납현황!$M$6:$M$1005,0)),"")</f>
        <v/>
      </c>
      <c r="C28" s="23" t="str">
        <f aca="false">IF($B28="","",IFERROR(INDEX(대여내역!$B$3:$B$1002,MATCH("R"&amp;23,미반납현황!$M$6:$M$1005,0)),""))</f>
        <v/>
      </c>
      <c r="D28" s="14" t="str">
        <f aca="false">IF($B28="","",IFERROR(INDEX(대여내역!$C$3:$C$1002,MATCH("R"&amp;23,미반납현황!$M$6:$M$1005,0)),""))</f>
        <v/>
      </c>
      <c r="E28" s="14" t="str">
        <f aca="false">IF($B28="","",IFERROR(INDEX(대여내역!$E$3:$E$1002,MATCH("R"&amp;23,미반납현황!$M$6:$M$1005,0)),""))</f>
        <v/>
      </c>
      <c r="F28" s="22" t="str">
        <f aca="false">IF($B28="","",IFERROR(INDEX(대여내역!$G$3:$G$1002,MATCH("R"&amp;23,미반납현황!$M$6:$M$1005,0)),""))</f>
        <v/>
      </c>
      <c r="G28" s="22" t="str">
        <f aca="false">IF($B28="","",IFERROR(INDEX(대여내역!$J$3:$J$1002,MATCH("R"&amp;23,미반납현황!$M$6:$M$1005,0)),""))</f>
        <v/>
      </c>
      <c r="H28" s="23" t="str">
        <f aca="false">IF($B28="","",IFERROR(INDEX(대여내역!$H$3:$H$1002,MATCH("R"&amp;23,미반납현황!$M$6:$M$1005,0)),""))</f>
        <v/>
      </c>
      <c r="I28" s="22" t="str">
        <f aca="false">IF($B28="","",IFERROR(INDEX(대여내역!$K$3:$K$1002,MATCH("R"&amp;23,미반납현황!$M$6:$M$1005,0)),""))</f>
        <v/>
      </c>
      <c r="K28" s="26" t="b">
        <f aca="false">IF(대여내역!$A25="",FALSE(),OR(대여내역!$L25="미반납",대여내역!$L25="부분반납"))</f>
        <v>0</v>
      </c>
      <c r="L28" s="6" t="str">
        <f aca="false">IF($K28=FALSE(),"",COUNTIF($K$6:$K28,TRUE()))</f>
        <v/>
      </c>
      <c r="M28" s="6" t="str">
        <f aca="false">IF($L28="","","R"&amp;$L28)</f>
        <v/>
      </c>
    </row>
    <row r="29" customFormat="false" ht="15" hidden="false" customHeight="false" outlineLevel="0" collapsed="false">
      <c r="A29" s="22" t="str">
        <f aca="false">IF($B29="","",24)</f>
        <v/>
      </c>
      <c r="B29" s="14" t="str">
        <f aca="false">IFERROR(INDEX(대여내역!$A$3:$A$1002,MATCH("R"&amp;24,미반납현황!$M$6:$M$1005,0)),"")</f>
        <v/>
      </c>
      <c r="C29" s="23" t="str">
        <f aca="false">IF($B29="","",IFERROR(INDEX(대여내역!$B$3:$B$1002,MATCH("R"&amp;24,미반납현황!$M$6:$M$1005,0)),""))</f>
        <v/>
      </c>
      <c r="D29" s="14" t="str">
        <f aca="false">IF($B29="","",IFERROR(INDEX(대여내역!$C$3:$C$1002,MATCH("R"&amp;24,미반납현황!$M$6:$M$1005,0)),""))</f>
        <v/>
      </c>
      <c r="E29" s="14" t="str">
        <f aca="false">IF($B29="","",IFERROR(INDEX(대여내역!$E$3:$E$1002,MATCH("R"&amp;24,미반납현황!$M$6:$M$1005,0)),""))</f>
        <v/>
      </c>
      <c r="F29" s="22" t="str">
        <f aca="false">IF($B29="","",IFERROR(INDEX(대여내역!$G$3:$G$1002,MATCH("R"&amp;24,미반납현황!$M$6:$M$1005,0)),""))</f>
        <v/>
      </c>
      <c r="G29" s="22" t="str">
        <f aca="false">IF($B29="","",IFERROR(INDEX(대여내역!$J$3:$J$1002,MATCH("R"&amp;24,미반납현황!$M$6:$M$1005,0)),""))</f>
        <v/>
      </c>
      <c r="H29" s="23" t="str">
        <f aca="false">IF($B29="","",IFERROR(INDEX(대여내역!$H$3:$H$1002,MATCH("R"&amp;24,미반납현황!$M$6:$M$1005,0)),""))</f>
        <v/>
      </c>
      <c r="I29" s="22" t="str">
        <f aca="false">IF($B29="","",IFERROR(INDEX(대여내역!$K$3:$K$1002,MATCH("R"&amp;24,미반납현황!$M$6:$M$1005,0)),""))</f>
        <v/>
      </c>
      <c r="K29" s="26" t="b">
        <f aca="false">IF(대여내역!$A26="",FALSE(),OR(대여내역!$L26="미반납",대여내역!$L26="부분반납"))</f>
        <v>0</v>
      </c>
      <c r="L29" s="6" t="str">
        <f aca="false">IF($K29=FALSE(),"",COUNTIF($K$6:$K29,TRUE()))</f>
        <v/>
      </c>
      <c r="M29" s="6" t="str">
        <f aca="false">IF($L29="","","R"&amp;$L29)</f>
        <v/>
      </c>
    </row>
    <row r="30" customFormat="false" ht="15" hidden="false" customHeight="false" outlineLevel="0" collapsed="false">
      <c r="A30" s="22" t="str">
        <f aca="false">IF($B30="","",25)</f>
        <v/>
      </c>
      <c r="B30" s="14" t="str">
        <f aca="false">IFERROR(INDEX(대여내역!$A$3:$A$1002,MATCH("R"&amp;25,미반납현황!$M$6:$M$1005,0)),"")</f>
        <v/>
      </c>
      <c r="C30" s="23" t="str">
        <f aca="false">IF($B30="","",IFERROR(INDEX(대여내역!$B$3:$B$1002,MATCH("R"&amp;25,미반납현황!$M$6:$M$1005,0)),""))</f>
        <v/>
      </c>
      <c r="D30" s="14" t="str">
        <f aca="false">IF($B30="","",IFERROR(INDEX(대여내역!$C$3:$C$1002,MATCH("R"&amp;25,미반납현황!$M$6:$M$1005,0)),""))</f>
        <v/>
      </c>
      <c r="E30" s="14" t="str">
        <f aca="false">IF($B30="","",IFERROR(INDEX(대여내역!$E$3:$E$1002,MATCH("R"&amp;25,미반납현황!$M$6:$M$1005,0)),""))</f>
        <v/>
      </c>
      <c r="F30" s="22" t="str">
        <f aca="false">IF($B30="","",IFERROR(INDEX(대여내역!$G$3:$G$1002,MATCH("R"&amp;25,미반납현황!$M$6:$M$1005,0)),""))</f>
        <v/>
      </c>
      <c r="G30" s="22" t="str">
        <f aca="false">IF($B30="","",IFERROR(INDEX(대여내역!$J$3:$J$1002,MATCH("R"&amp;25,미반납현황!$M$6:$M$1005,0)),""))</f>
        <v/>
      </c>
      <c r="H30" s="23" t="str">
        <f aca="false">IF($B30="","",IFERROR(INDEX(대여내역!$H$3:$H$1002,MATCH("R"&amp;25,미반납현황!$M$6:$M$1005,0)),""))</f>
        <v/>
      </c>
      <c r="I30" s="22" t="str">
        <f aca="false">IF($B30="","",IFERROR(INDEX(대여내역!$K$3:$K$1002,MATCH("R"&amp;25,미반납현황!$M$6:$M$1005,0)),""))</f>
        <v/>
      </c>
      <c r="K30" s="26" t="b">
        <f aca="false">IF(대여내역!$A27="",FALSE(),OR(대여내역!$L27="미반납",대여내역!$L27="부분반납"))</f>
        <v>0</v>
      </c>
      <c r="L30" s="6" t="str">
        <f aca="false">IF($K30=FALSE(),"",COUNTIF($K$6:$K30,TRUE()))</f>
        <v/>
      </c>
      <c r="M30" s="6" t="str">
        <f aca="false">IF($L30="","","R"&amp;$L30)</f>
        <v/>
      </c>
    </row>
    <row r="31" customFormat="false" ht="15" hidden="false" customHeight="false" outlineLevel="0" collapsed="false">
      <c r="A31" s="22" t="str">
        <f aca="false">IF($B31="","",26)</f>
        <v/>
      </c>
      <c r="B31" s="14" t="str">
        <f aca="false">IFERROR(INDEX(대여내역!$A$3:$A$1002,MATCH("R"&amp;26,미반납현황!$M$6:$M$1005,0)),"")</f>
        <v/>
      </c>
      <c r="C31" s="23" t="str">
        <f aca="false">IF($B31="","",IFERROR(INDEX(대여내역!$B$3:$B$1002,MATCH("R"&amp;26,미반납현황!$M$6:$M$1005,0)),""))</f>
        <v/>
      </c>
      <c r="D31" s="14" t="str">
        <f aca="false">IF($B31="","",IFERROR(INDEX(대여내역!$C$3:$C$1002,MATCH("R"&amp;26,미반납현황!$M$6:$M$1005,0)),""))</f>
        <v/>
      </c>
      <c r="E31" s="14" t="str">
        <f aca="false">IF($B31="","",IFERROR(INDEX(대여내역!$E$3:$E$1002,MATCH("R"&amp;26,미반납현황!$M$6:$M$1005,0)),""))</f>
        <v/>
      </c>
      <c r="F31" s="22" t="str">
        <f aca="false">IF($B31="","",IFERROR(INDEX(대여내역!$G$3:$G$1002,MATCH("R"&amp;26,미반납현황!$M$6:$M$1005,0)),""))</f>
        <v/>
      </c>
      <c r="G31" s="22" t="str">
        <f aca="false">IF($B31="","",IFERROR(INDEX(대여내역!$J$3:$J$1002,MATCH("R"&amp;26,미반납현황!$M$6:$M$1005,0)),""))</f>
        <v/>
      </c>
      <c r="H31" s="23" t="str">
        <f aca="false">IF($B31="","",IFERROR(INDEX(대여내역!$H$3:$H$1002,MATCH("R"&amp;26,미반납현황!$M$6:$M$1005,0)),""))</f>
        <v/>
      </c>
      <c r="I31" s="22" t="str">
        <f aca="false">IF($B31="","",IFERROR(INDEX(대여내역!$K$3:$K$1002,MATCH("R"&amp;26,미반납현황!$M$6:$M$1005,0)),""))</f>
        <v/>
      </c>
      <c r="K31" s="26" t="b">
        <f aca="false">IF(대여내역!$A28="",FALSE(),OR(대여내역!$L28="미반납",대여내역!$L28="부분반납"))</f>
        <v>0</v>
      </c>
      <c r="L31" s="6" t="str">
        <f aca="false">IF($K31=FALSE(),"",COUNTIF($K$6:$K31,TRUE()))</f>
        <v/>
      </c>
      <c r="M31" s="6" t="str">
        <f aca="false">IF($L31="","","R"&amp;$L31)</f>
        <v/>
      </c>
    </row>
    <row r="32" customFormat="false" ht="15" hidden="false" customHeight="false" outlineLevel="0" collapsed="false">
      <c r="A32" s="22" t="str">
        <f aca="false">IF($B32="","",27)</f>
        <v/>
      </c>
      <c r="B32" s="14" t="str">
        <f aca="false">IFERROR(INDEX(대여내역!$A$3:$A$1002,MATCH("R"&amp;27,미반납현황!$M$6:$M$1005,0)),"")</f>
        <v/>
      </c>
      <c r="C32" s="23" t="str">
        <f aca="false">IF($B32="","",IFERROR(INDEX(대여내역!$B$3:$B$1002,MATCH("R"&amp;27,미반납현황!$M$6:$M$1005,0)),""))</f>
        <v/>
      </c>
      <c r="D32" s="14" t="str">
        <f aca="false">IF($B32="","",IFERROR(INDEX(대여내역!$C$3:$C$1002,MATCH("R"&amp;27,미반납현황!$M$6:$M$1005,0)),""))</f>
        <v/>
      </c>
      <c r="E32" s="14" t="str">
        <f aca="false">IF($B32="","",IFERROR(INDEX(대여내역!$E$3:$E$1002,MATCH("R"&amp;27,미반납현황!$M$6:$M$1005,0)),""))</f>
        <v/>
      </c>
      <c r="F32" s="22" t="str">
        <f aca="false">IF($B32="","",IFERROR(INDEX(대여내역!$G$3:$G$1002,MATCH("R"&amp;27,미반납현황!$M$6:$M$1005,0)),""))</f>
        <v/>
      </c>
      <c r="G32" s="22" t="str">
        <f aca="false">IF($B32="","",IFERROR(INDEX(대여내역!$J$3:$J$1002,MATCH("R"&amp;27,미반납현황!$M$6:$M$1005,0)),""))</f>
        <v/>
      </c>
      <c r="H32" s="23" t="str">
        <f aca="false">IF($B32="","",IFERROR(INDEX(대여내역!$H$3:$H$1002,MATCH("R"&amp;27,미반납현황!$M$6:$M$1005,0)),""))</f>
        <v/>
      </c>
      <c r="I32" s="22" t="str">
        <f aca="false">IF($B32="","",IFERROR(INDEX(대여내역!$K$3:$K$1002,MATCH("R"&amp;27,미반납현황!$M$6:$M$1005,0)),""))</f>
        <v/>
      </c>
      <c r="K32" s="26" t="b">
        <f aca="false">IF(대여내역!$A29="",FALSE(),OR(대여내역!$L29="미반납",대여내역!$L29="부분반납"))</f>
        <v>0</v>
      </c>
      <c r="L32" s="6" t="str">
        <f aca="false">IF($K32=FALSE(),"",COUNTIF($K$6:$K32,TRUE()))</f>
        <v/>
      </c>
      <c r="M32" s="6" t="str">
        <f aca="false">IF($L32="","","R"&amp;$L32)</f>
        <v/>
      </c>
    </row>
    <row r="33" customFormat="false" ht="15" hidden="false" customHeight="false" outlineLevel="0" collapsed="false">
      <c r="A33" s="22" t="str">
        <f aca="false">IF($B33="","",28)</f>
        <v/>
      </c>
      <c r="B33" s="14" t="str">
        <f aca="false">IFERROR(INDEX(대여내역!$A$3:$A$1002,MATCH("R"&amp;28,미반납현황!$M$6:$M$1005,0)),"")</f>
        <v/>
      </c>
      <c r="C33" s="23" t="str">
        <f aca="false">IF($B33="","",IFERROR(INDEX(대여내역!$B$3:$B$1002,MATCH("R"&amp;28,미반납현황!$M$6:$M$1005,0)),""))</f>
        <v/>
      </c>
      <c r="D33" s="14" t="str">
        <f aca="false">IF($B33="","",IFERROR(INDEX(대여내역!$C$3:$C$1002,MATCH("R"&amp;28,미반납현황!$M$6:$M$1005,0)),""))</f>
        <v/>
      </c>
      <c r="E33" s="14" t="str">
        <f aca="false">IF($B33="","",IFERROR(INDEX(대여내역!$E$3:$E$1002,MATCH("R"&amp;28,미반납현황!$M$6:$M$1005,0)),""))</f>
        <v/>
      </c>
      <c r="F33" s="22" t="str">
        <f aca="false">IF($B33="","",IFERROR(INDEX(대여내역!$G$3:$G$1002,MATCH("R"&amp;28,미반납현황!$M$6:$M$1005,0)),""))</f>
        <v/>
      </c>
      <c r="G33" s="22" t="str">
        <f aca="false">IF($B33="","",IFERROR(INDEX(대여내역!$J$3:$J$1002,MATCH("R"&amp;28,미반납현황!$M$6:$M$1005,0)),""))</f>
        <v/>
      </c>
      <c r="H33" s="23" t="str">
        <f aca="false">IF($B33="","",IFERROR(INDEX(대여내역!$H$3:$H$1002,MATCH("R"&amp;28,미반납현황!$M$6:$M$1005,0)),""))</f>
        <v/>
      </c>
      <c r="I33" s="22" t="str">
        <f aca="false">IF($B33="","",IFERROR(INDEX(대여내역!$K$3:$K$1002,MATCH("R"&amp;28,미반납현황!$M$6:$M$1005,0)),""))</f>
        <v/>
      </c>
      <c r="K33" s="26" t="b">
        <f aca="false">IF(대여내역!$A30="",FALSE(),OR(대여내역!$L30="미반납",대여내역!$L30="부분반납"))</f>
        <v>0</v>
      </c>
      <c r="L33" s="6" t="str">
        <f aca="false">IF($K33=FALSE(),"",COUNTIF($K$6:$K33,TRUE()))</f>
        <v/>
      </c>
      <c r="M33" s="6" t="str">
        <f aca="false">IF($L33="","","R"&amp;$L33)</f>
        <v/>
      </c>
    </row>
    <row r="34" customFormat="false" ht="15" hidden="false" customHeight="false" outlineLevel="0" collapsed="false">
      <c r="A34" s="22" t="str">
        <f aca="false">IF($B34="","",29)</f>
        <v/>
      </c>
      <c r="B34" s="14" t="str">
        <f aca="false">IFERROR(INDEX(대여내역!$A$3:$A$1002,MATCH("R"&amp;29,미반납현황!$M$6:$M$1005,0)),"")</f>
        <v/>
      </c>
      <c r="C34" s="23" t="str">
        <f aca="false">IF($B34="","",IFERROR(INDEX(대여내역!$B$3:$B$1002,MATCH("R"&amp;29,미반납현황!$M$6:$M$1005,0)),""))</f>
        <v/>
      </c>
      <c r="D34" s="14" t="str">
        <f aca="false">IF($B34="","",IFERROR(INDEX(대여내역!$C$3:$C$1002,MATCH("R"&amp;29,미반납현황!$M$6:$M$1005,0)),""))</f>
        <v/>
      </c>
      <c r="E34" s="14" t="str">
        <f aca="false">IF($B34="","",IFERROR(INDEX(대여내역!$E$3:$E$1002,MATCH("R"&amp;29,미반납현황!$M$6:$M$1005,0)),""))</f>
        <v/>
      </c>
      <c r="F34" s="22" t="str">
        <f aca="false">IF($B34="","",IFERROR(INDEX(대여내역!$G$3:$G$1002,MATCH("R"&amp;29,미반납현황!$M$6:$M$1005,0)),""))</f>
        <v/>
      </c>
      <c r="G34" s="22" t="str">
        <f aca="false">IF($B34="","",IFERROR(INDEX(대여내역!$J$3:$J$1002,MATCH("R"&amp;29,미반납현황!$M$6:$M$1005,0)),""))</f>
        <v/>
      </c>
      <c r="H34" s="23" t="str">
        <f aca="false">IF($B34="","",IFERROR(INDEX(대여내역!$H$3:$H$1002,MATCH("R"&amp;29,미반납현황!$M$6:$M$1005,0)),""))</f>
        <v/>
      </c>
      <c r="I34" s="22" t="str">
        <f aca="false">IF($B34="","",IFERROR(INDEX(대여내역!$K$3:$K$1002,MATCH("R"&amp;29,미반납현황!$M$6:$M$1005,0)),""))</f>
        <v/>
      </c>
      <c r="K34" s="26" t="b">
        <f aca="false">IF(대여내역!$A31="",FALSE(),OR(대여내역!$L31="미반납",대여내역!$L31="부분반납"))</f>
        <v>0</v>
      </c>
      <c r="L34" s="6" t="str">
        <f aca="false">IF($K34=FALSE(),"",COUNTIF($K$6:$K34,TRUE()))</f>
        <v/>
      </c>
      <c r="M34" s="6" t="str">
        <f aca="false">IF($L34="","","R"&amp;$L34)</f>
        <v/>
      </c>
    </row>
    <row r="35" customFormat="false" ht="15" hidden="false" customHeight="false" outlineLevel="0" collapsed="false">
      <c r="A35" s="22" t="str">
        <f aca="false">IF($B35="","",30)</f>
        <v/>
      </c>
      <c r="B35" s="14" t="str">
        <f aca="false">IFERROR(INDEX(대여내역!$A$3:$A$1002,MATCH("R"&amp;30,미반납현황!$M$6:$M$1005,0)),"")</f>
        <v/>
      </c>
      <c r="C35" s="23" t="str">
        <f aca="false">IF($B35="","",IFERROR(INDEX(대여내역!$B$3:$B$1002,MATCH("R"&amp;30,미반납현황!$M$6:$M$1005,0)),""))</f>
        <v/>
      </c>
      <c r="D35" s="14" t="str">
        <f aca="false">IF($B35="","",IFERROR(INDEX(대여내역!$C$3:$C$1002,MATCH("R"&amp;30,미반납현황!$M$6:$M$1005,0)),""))</f>
        <v/>
      </c>
      <c r="E35" s="14" t="str">
        <f aca="false">IF($B35="","",IFERROR(INDEX(대여내역!$E$3:$E$1002,MATCH("R"&amp;30,미반납현황!$M$6:$M$1005,0)),""))</f>
        <v/>
      </c>
      <c r="F35" s="22" t="str">
        <f aca="false">IF($B35="","",IFERROR(INDEX(대여내역!$G$3:$G$1002,MATCH("R"&amp;30,미반납현황!$M$6:$M$1005,0)),""))</f>
        <v/>
      </c>
      <c r="G35" s="22" t="str">
        <f aca="false">IF($B35="","",IFERROR(INDEX(대여내역!$J$3:$J$1002,MATCH("R"&amp;30,미반납현황!$M$6:$M$1005,0)),""))</f>
        <v/>
      </c>
      <c r="H35" s="23" t="str">
        <f aca="false">IF($B35="","",IFERROR(INDEX(대여내역!$H$3:$H$1002,MATCH("R"&amp;30,미반납현황!$M$6:$M$1005,0)),""))</f>
        <v/>
      </c>
      <c r="I35" s="22" t="str">
        <f aca="false">IF($B35="","",IFERROR(INDEX(대여내역!$K$3:$K$1002,MATCH("R"&amp;30,미반납현황!$M$6:$M$1005,0)),""))</f>
        <v/>
      </c>
      <c r="K35" s="26" t="b">
        <f aca="false">IF(대여내역!$A32="",FALSE(),OR(대여내역!$L32="미반납",대여내역!$L32="부분반납"))</f>
        <v>0</v>
      </c>
      <c r="L35" s="6" t="str">
        <f aca="false">IF($K35=FALSE(),"",COUNTIF($K$6:$K35,TRUE()))</f>
        <v/>
      </c>
      <c r="M35" s="6" t="str">
        <f aca="false">IF($L35="","","R"&amp;$L35)</f>
        <v/>
      </c>
    </row>
    <row r="36" customFormat="false" ht="15" hidden="false" customHeight="false" outlineLevel="0" collapsed="false">
      <c r="A36" s="22" t="str">
        <f aca="false">IF($B36="","",31)</f>
        <v/>
      </c>
      <c r="B36" s="14" t="str">
        <f aca="false">IFERROR(INDEX(대여내역!$A$3:$A$1002,MATCH("R"&amp;31,미반납현황!$M$6:$M$1005,0)),"")</f>
        <v/>
      </c>
      <c r="C36" s="23" t="str">
        <f aca="false">IF($B36="","",IFERROR(INDEX(대여내역!$B$3:$B$1002,MATCH("R"&amp;31,미반납현황!$M$6:$M$1005,0)),""))</f>
        <v/>
      </c>
      <c r="D36" s="14" t="str">
        <f aca="false">IF($B36="","",IFERROR(INDEX(대여내역!$C$3:$C$1002,MATCH("R"&amp;31,미반납현황!$M$6:$M$1005,0)),""))</f>
        <v/>
      </c>
      <c r="E36" s="14" t="str">
        <f aca="false">IF($B36="","",IFERROR(INDEX(대여내역!$E$3:$E$1002,MATCH("R"&amp;31,미반납현황!$M$6:$M$1005,0)),""))</f>
        <v/>
      </c>
      <c r="F36" s="22" t="str">
        <f aca="false">IF($B36="","",IFERROR(INDEX(대여내역!$G$3:$G$1002,MATCH("R"&amp;31,미반납현황!$M$6:$M$1005,0)),""))</f>
        <v/>
      </c>
      <c r="G36" s="22" t="str">
        <f aca="false">IF($B36="","",IFERROR(INDEX(대여내역!$J$3:$J$1002,MATCH("R"&amp;31,미반납현황!$M$6:$M$1005,0)),""))</f>
        <v/>
      </c>
      <c r="H36" s="23" t="str">
        <f aca="false">IF($B36="","",IFERROR(INDEX(대여내역!$H$3:$H$1002,MATCH("R"&amp;31,미반납현황!$M$6:$M$1005,0)),""))</f>
        <v/>
      </c>
      <c r="I36" s="22" t="str">
        <f aca="false">IF($B36="","",IFERROR(INDEX(대여내역!$K$3:$K$1002,MATCH("R"&amp;31,미반납현황!$M$6:$M$1005,0)),""))</f>
        <v/>
      </c>
      <c r="K36" s="26" t="b">
        <f aca="false">IF(대여내역!$A33="",FALSE(),OR(대여내역!$L33="미반납",대여내역!$L33="부분반납"))</f>
        <v>0</v>
      </c>
      <c r="L36" s="6" t="str">
        <f aca="false">IF($K36=FALSE(),"",COUNTIF($K$6:$K36,TRUE()))</f>
        <v/>
      </c>
      <c r="M36" s="6" t="str">
        <f aca="false">IF($L36="","","R"&amp;$L36)</f>
        <v/>
      </c>
    </row>
    <row r="37" customFormat="false" ht="15" hidden="false" customHeight="false" outlineLevel="0" collapsed="false">
      <c r="A37" s="22" t="str">
        <f aca="false">IF($B37="","",32)</f>
        <v/>
      </c>
      <c r="B37" s="14" t="str">
        <f aca="false">IFERROR(INDEX(대여내역!$A$3:$A$1002,MATCH("R"&amp;32,미반납현황!$M$6:$M$1005,0)),"")</f>
        <v/>
      </c>
      <c r="C37" s="23" t="str">
        <f aca="false">IF($B37="","",IFERROR(INDEX(대여내역!$B$3:$B$1002,MATCH("R"&amp;32,미반납현황!$M$6:$M$1005,0)),""))</f>
        <v/>
      </c>
      <c r="D37" s="14" t="str">
        <f aca="false">IF($B37="","",IFERROR(INDEX(대여내역!$C$3:$C$1002,MATCH("R"&amp;32,미반납현황!$M$6:$M$1005,0)),""))</f>
        <v/>
      </c>
      <c r="E37" s="14" t="str">
        <f aca="false">IF($B37="","",IFERROR(INDEX(대여내역!$E$3:$E$1002,MATCH("R"&amp;32,미반납현황!$M$6:$M$1005,0)),""))</f>
        <v/>
      </c>
      <c r="F37" s="22" t="str">
        <f aca="false">IF($B37="","",IFERROR(INDEX(대여내역!$G$3:$G$1002,MATCH("R"&amp;32,미반납현황!$M$6:$M$1005,0)),""))</f>
        <v/>
      </c>
      <c r="G37" s="22" t="str">
        <f aca="false">IF($B37="","",IFERROR(INDEX(대여내역!$J$3:$J$1002,MATCH("R"&amp;32,미반납현황!$M$6:$M$1005,0)),""))</f>
        <v/>
      </c>
      <c r="H37" s="23" t="str">
        <f aca="false">IF($B37="","",IFERROR(INDEX(대여내역!$H$3:$H$1002,MATCH("R"&amp;32,미반납현황!$M$6:$M$1005,0)),""))</f>
        <v/>
      </c>
      <c r="I37" s="22" t="str">
        <f aca="false">IF($B37="","",IFERROR(INDEX(대여내역!$K$3:$K$1002,MATCH("R"&amp;32,미반납현황!$M$6:$M$1005,0)),""))</f>
        <v/>
      </c>
      <c r="K37" s="26" t="b">
        <f aca="false">IF(대여내역!$A34="",FALSE(),OR(대여내역!$L34="미반납",대여내역!$L34="부분반납"))</f>
        <v>0</v>
      </c>
      <c r="L37" s="6" t="str">
        <f aca="false">IF($K37=FALSE(),"",COUNTIF($K$6:$K37,TRUE()))</f>
        <v/>
      </c>
      <c r="M37" s="6" t="str">
        <f aca="false">IF($L37="","","R"&amp;$L37)</f>
        <v/>
      </c>
    </row>
    <row r="38" customFormat="false" ht="15" hidden="false" customHeight="false" outlineLevel="0" collapsed="false">
      <c r="A38" s="22" t="str">
        <f aca="false">IF($B38="","",33)</f>
        <v/>
      </c>
      <c r="B38" s="14" t="str">
        <f aca="false">IFERROR(INDEX(대여내역!$A$3:$A$1002,MATCH("R"&amp;33,미반납현황!$M$6:$M$1005,0)),"")</f>
        <v/>
      </c>
      <c r="C38" s="23" t="str">
        <f aca="false">IF($B38="","",IFERROR(INDEX(대여내역!$B$3:$B$1002,MATCH("R"&amp;33,미반납현황!$M$6:$M$1005,0)),""))</f>
        <v/>
      </c>
      <c r="D38" s="14" t="str">
        <f aca="false">IF($B38="","",IFERROR(INDEX(대여내역!$C$3:$C$1002,MATCH("R"&amp;33,미반납현황!$M$6:$M$1005,0)),""))</f>
        <v/>
      </c>
      <c r="E38" s="14" t="str">
        <f aca="false">IF($B38="","",IFERROR(INDEX(대여내역!$E$3:$E$1002,MATCH("R"&amp;33,미반납현황!$M$6:$M$1005,0)),""))</f>
        <v/>
      </c>
      <c r="F38" s="22" t="str">
        <f aca="false">IF($B38="","",IFERROR(INDEX(대여내역!$G$3:$G$1002,MATCH("R"&amp;33,미반납현황!$M$6:$M$1005,0)),""))</f>
        <v/>
      </c>
      <c r="G38" s="22" t="str">
        <f aca="false">IF($B38="","",IFERROR(INDEX(대여내역!$J$3:$J$1002,MATCH("R"&amp;33,미반납현황!$M$6:$M$1005,0)),""))</f>
        <v/>
      </c>
      <c r="H38" s="23" t="str">
        <f aca="false">IF($B38="","",IFERROR(INDEX(대여내역!$H$3:$H$1002,MATCH("R"&amp;33,미반납현황!$M$6:$M$1005,0)),""))</f>
        <v/>
      </c>
      <c r="I38" s="22" t="str">
        <f aca="false">IF($B38="","",IFERROR(INDEX(대여내역!$K$3:$K$1002,MATCH("R"&amp;33,미반납현황!$M$6:$M$1005,0)),""))</f>
        <v/>
      </c>
      <c r="K38" s="26" t="b">
        <f aca="false">IF(대여내역!$A35="",FALSE(),OR(대여내역!$L35="미반납",대여내역!$L35="부분반납"))</f>
        <v>0</v>
      </c>
      <c r="L38" s="6" t="str">
        <f aca="false">IF($K38=FALSE(),"",COUNTIF($K$6:$K38,TRUE()))</f>
        <v/>
      </c>
      <c r="M38" s="6" t="str">
        <f aca="false">IF($L38="","","R"&amp;$L38)</f>
        <v/>
      </c>
    </row>
    <row r="39" customFormat="false" ht="15" hidden="false" customHeight="false" outlineLevel="0" collapsed="false">
      <c r="A39" s="22" t="str">
        <f aca="false">IF($B39="","",34)</f>
        <v/>
      </c>
      <c r="B39" s="14" t="str">
        <f aca="false">IFERROR(INDEX(대여내역!$A$3:$A$1002,MATCH("R"&amp;34,미반납현황!$M$6:$M$1005,0)),"")</f>
        <v/>
      </c>
      <c r="C39" s="23" t="str">
        <f aca="false">IF($B39="","",IFERROR(INDEX(대여내역!$B$3:$B$1002,MATCH("R"&amp;34,미반납현황!$M$6:$M$1005,0)),""))</f>
        <v/>
      </c>
      <c r="D39" s="14" t="str">
        <f aca="false">IF($B39="","",IFERROR(INDEX(대여내역!$C$3:$C$1002,MATCH("R"&amp;34,미반납현황!$M$6:$M$1005,0)),""))</f>
        <v/>
      </c>
      <c r="E39" s="14" t="str">
        <f aca="false">IF($B39="","",IFERROR(INDEX(대여내역!$E$3:$E$1002,MATCH("R"&amp;34,미반납현황!$M$6:$M$1005,0)),""))</f>
        <v/>
      </c>
      <c r="F39" s="22" t="str">
        <f aca="false">IF($B39="","",IFERROR(INDEX(대여내역!$G$3:$G$1002,MATCH("R"&amp;34,미반납현황!$M$6:$M$1005,0)),""))</f>
        <v/>
      </c>
      <c r="G39" s="22" t="str">
        <f aca="false">IF($B39="","",IFERROR(INDEX(대여내역!$J$3:$J$1002,MATCH("R"&amp;34,미반납현황!$M$6:$M$1005,0)),""))</f>
        <v/>
      </c>
      <c r="H39" s="23" t="str">
        <f aca="false">IF($B39="","",IFERROR(INDEX(대여내역!$H$3:$H$1002,MATCH("R"&amp;34,미반납현황!$M$6:$M$1005,0)),""))</f>
        <v/>
      </c>
      <c r="I39" s="22" t="str">
        <f aca="false">IF($B39="","",IFERROR(INDEX(대여내역!$K$3:$K$1002,MATCH("R"&amp;34,미반납현황!$M$6:$M$1005,0)),""))</f>
        <v/>
      </c>
      <c r="K39" s="26" t="b">
        <f aca="false">IF(대여내역!$A36="",FALSE(),OR(대여내역!$L36="미반납",대여내역!$L36="부분반납"))</f>
        <v>0</v>
      </c>
      <c r="L39" s="6" t="str">
        <f aca="false">IF($K39=FALSE(),"",COUNTIF($K$6:$K39,TRUE()))</f>
        <v/>
      </c>
      <c r="M39" s="6" t="str">
        <f aca="false">IF($L39="","","R"&amp;$L39)</f>
        <v/>
      </c>
    </row>
    <row r="40" customFormat="false" ht="15" hidden="false" customHeight="false" outlineLevel="0" collapsed="false">
      <c r="A40" s="22" t="str">
        <f aca="false">IF($B40="","",35)</f>
        <v/>
      </c>
      <c r="B40" s="14" t="str">
        <f aca="false">IFERROR(INDEX(대여내역!$A$3:$A$1002,MATCH("R"&amp;35,미반납현황!$M$6:$M$1005,0)),"")</f>
        <v/>
      </c>
      <c r="C40" s="23" t="str">
        <f aca="false">IF($B40="","",IFERROR(INDEX(대여내역!$B$3:$B$1002,MATCH("R"&amp;35,미반납현황!$M$6:$M$1005,0)),""))</f>
        <v/>
      </c>
      <c r="D40" s="14" t="str">
        <f aca="false">IF($B40="","",IFERROR(INDEX(대여내역!$C$3:$C$1002,MATCH("R"&amp;35,미반납현황!$M$6:$M$1005,0)),""))</f>
        <v/>
      </c>
      <c r="E40" s="14" t="str">
        <f aca="false">IF($B40="","",IFERROR(INDEX(대여내역!$E$3:$E$1002,MATCH("R"&amp;35,미반납현황!$M$6:$M$1005,0)),""))</f>
        <v/>
      </c>
      <c r="F40" s="22" t="str">
        <f aca="false">IF($B40="","",IFERROR(INDEX(대여내역!$G$3:$G$1002,MATCH("R"&amp;35,미반납현황!$M$6:$M$1005,0)),""))</f>
        <v/>
      </c>
      <c r="G40" s="22" t="str">
        <f aca="false">IF($B40="","",IFERROR(INDEX(대여내역!$J$3:$J$1002,MATCH("R"&amp;35,미반납현황!$M$6:$M$1005,0)),""))</f>
        <v/>
      </c>
      <c r="H40" s="23" t="str">
        <f aca="false">IF($B40="","",IFERROR(INDEX(대여내역!$H$3:$H$1002,MATCH("R"&amp;35,미반납현황!$M$6:$M$1005,0)),""))</f>
        <v/>
      </c>
      <c r="I40" s="22" t="str">
        <f aca="false">IF($B40="","",IFERROR(INDEX(대여내역!$K$3:$K$1002,MATCH("R"&amp;35,미반납현황!$M$6:$M$1005,0)),""))</f>
        <v/>
      </c>
      <c r="K40" s="26" t="b">
        <f aca="false">IF(대여내역!$A37="",FALSE(),OR(대여내역!$L37="미반납",대여내역!$L37="부분반납"))</f>
        <v>0</v>
      </c>
      <c r="L40" s="6" t="str">
        <f aca="false">IF($K40=FALSE(),"",COUNTIF($K$6:$K40,TRUE()))</f>
        <v/>
      </c>
      <c r="M40" s="6" t="str">
        <f aca="false">IF($L40="","","R"&amp;$L40)</f>
        <v/>
      </c>
    </row>
    <row r="41" customFormat="false" ht="15" hidden="false" customHeight="false" outlineLevel="0" collapsed="false">
      <c r="A41" s="22" t="str">
        <f aca="false">IF($B41="","",36)</f>
        <v/>
      </c>
      <c r="B41" s="14" t="str">
        <f aca="false">IFERROR(INDEX(대여내역!$A$3:$A$1002,MATCH("R"&amp;36,미반납현황!$M$6:$M$1005,0)),"")</f>
        <v/>
      </c>
      <c r="C41" s="23" t="str">
        <f aca="false">IF($B41="","",IFERROR(INDEX(대여내역!$B$3:$B$1002,MATCH("R"&amp;36,미반납현황!$M$6:$M$1005,0)),""))</f>
        <v/>
      </c>
      <c r="D41" s="14" t="str">
        <f aca="false">IF($B41="","",IFERROR(INDEX(대여내역!$C$3:$C$1002,MATCH("R"&amp;36,미반납현황!$M$6:$M$1005,0)),""))</f>
        <v/>
      </c>
      <c r="E41" s="14" t="str">
        <f aca="false">IF($B41="","",IFERROR(INDEX(대여내역!$E$3:$E$1002,MATCH("R"&amp;36,미반납현황!$M$6:$M$1005,0)),""))</f>
        <v/>
      </c>
      <c r="F41" s="22" t="str">
        <f aca="false">IF($B41="","",IFERROR(INDEX(대여내역!$G$3:$G$1002,MATCH("R"&amp;36,미반납현황!$M$6:$M$1005,0)),""))</f>
        <v/>
      </c>
      <c r="G41" s="22" t="str">
        <f aca="false">IF($B41="","",IFERROR(INDEX(대여내역!$J$3:$J$1002,MATCH("R"&amp;36,미반납현황!$M$6:$M$1005,0)),""))</f>
        <v/>
      </c>
      <c r="H41" s="23" t="str">
        <f aca="false">IF($B41="","",IFERROR(INDEX(대여내역!$H$3:$H$1002,MATCH("R"&amp;36,미반납현황!$M$6:$M$1005,0)),""))</f>
        <v/>
      </c>
      <c r="I41" s="22" t="str">
        <f aca="false">IF($B41="","",IFERROR(INDEX(대여내역!$K$3:$K$1002,MATCH("R"&amp;36,미반납현황!$M$6:$M$1005,0)),""))</f>
        <v/>
      </c>
      <c r="K41" s="26" t="b">
        <f aca="false">IF(대여내역!$A38="",FALSE(),OR(대여내역!$L38="미반납",대여내역!$L38="부분반납"))</f>
        <v>0</v>
      </c>
      <c r="L41" s="6" t="str">
        <f aca="false">IF($K41=FALSE(),"",COUNTIF($K$6:$K41,TRUE()))</f>
        <v/>
      </c>
      <c r="M41" s="6" t="str">
        <f aca="false">IF($L41="","","R"&amp;$L41)</f>
        <v/>
      </c>
    </row>
    <row r="42" customFormat="false" ht="15" hidden="false" customHeight="false" outlineLevel="0" collapsed="false">
      <c r="A42" s="22" t="str">
        <f aca="false">IF($B42="","",37)</f>
        <v/>
      </c>
      <c r="B42" s="14" t="str">
        <f aca="false">IFERROR(INDEX(대여내역!$A$3:$A$1002,MATCH("R"&amp;37,미반납현황!$M$6:$M$1005,0)),"")</f>
        <v/>
      </c>
      <c r="C42" s="23" t="str">
        <f aca="false">IF($B42="","",IFERROR(INDEX(대여내역!$B$3:$B$1002,MATCH("R"&amp;37,미반납현황!$M$6:$M$1005,0)),""))</f>
        <v/>
      </c>
      <c r="D42" s="14" t="str">
        <f aca="false">IF($B42="","",IFERROR(INDEX(대여내역!$C$3:$C$1002,MATCH("R"&amp;37,미반납현황!$M$6:$M$1005,0)),""))</f>
        <v/>
      </c>
      <c r="E42" s="14" t="str">
        <f aca="false">IF($B42="","",IFERROR(INDEX(대여내역!$E$3:$E$1002,MATCH("R"&amp;37,미반납현황!$M$6:$M$1005,0)),""))</f>
        <v/>
      </c>
      <c r="F42" s="22" t="str">
        <f aca="false">IF($B42="","",IFERROR(INDEX(대여내역!$G$3:$G$1002,MATCH("R"&amp;37,미반납현황!$M$6:$M$1005,0)),""))</f>
        <v/>
      </c>
      <c r="G42" s="22" t="str">
        <f aca="false">IF($B42="","",IFERROR(INDEX(대여내역!$J$3:$J$1002,MATCH("R"&amp;37,미반납현황!$M$6:$M$1005,0)),""))</f>
        <v/>
      </c>
      <c r="H42" s="23" t="str">
        <f aca="false">IF($B42="","",IFERROR(INDEX(대여내역!$H$3:$H$1002,MATCH("R"&amp;37,미반납현황!$M$6:$M$1005,0)),""))</f>
        <v/>
      </c>
      <c r="I42" s="22" t="str">
        <f aca="false">IF($B42="","",IFERROR(INDEX(대여내역!$K$3:$K$1002,MATCH("R"&amp;37,미반납현황!$M$6:$M$1005,0)),""))</f>
        <v/>
      </c>
      <c r="K42" s="26" t="b">
        <f aca="false">IF(대여내역!$A39="",FALSE(),OR(대여내역!$L39="미반납",대여내역!$L39="부분반납"))</f>
        <v>0</v>
      </c>
      <c r="L42" s="6" t="str">
        <f aca="false">IF($K42=FALSE(),"",COUNTIF($K$6:$K42,TRUE()))</f>
        <v/>
      </c>
      <c r="M42" s="6" t="str">
        <f aca="false">IF($L42="","","R"&amp;$L42)</f>
        <v/>
      </c>
    </row>
    <row r="43" customFormat="false" ht="15" hidden="false" customHeight="false" outlineLevel="0" collapsed="false">
      <c r="A43" s="22" t="str">
        <f aca="false">IF($B43="","",38)</f>
        <v/>
      </c>
      <c r="B43" s="14" t="str">
        <f aca="false">IFERROR(INDEX(대여내역!$A$3:$A$1002,MATCH("R"&amp;38,미반납현황!$M$6:$M$1005,0)),"")</f>
        <v/>
      </c>
      <c r="C43" s="23" t="str">
        <f aca="false">IF($B43="","",IFERROR(INDEX(대여내역!$B$3:$B$1002,MATCH("R"&amp;38,미반납현황!$M$6:$M$1005,0)),""))</f>
        <v/>
      </c>
      <c r="D43" s="14" t="str">
        <f aca="false">IF($B43="","",IFERROR(INDEX(대여내역!$C$3:$C$1002,MATCH("R"&amp;38,미반납현황!$M$6:$M$1005,0)),""))</f>
        <v/>
      </c>
      <c r="E43" s="14" t="str">
        <f aca="false">IF($B43="","",IFERROR(INDEX(대여내역!$E$3:$E$1002,MATCH("R"&amp;38,미반납현황!$M$6:$M$1005,0)),""))</f>
        <v/>
      </c>
      <c r="F43" s="22" t="str">
        <f aca="false">IF($B43="","",IFERROR(INDEX(대여내역!$G$3:$G$1002,MATCH("R"&amp;38,미반납현황!$M$6:$M$1005,0)),""))</f>
        <v/>
      </c>
      <c r="G43" s="22" t="str">
        <f aca="false">IF($B43="","",IFERROR(INDEX(대여내역!$J$3:$J$1002,MATCH("R"&amp;38,미반납현황!$M$6:$M$1005,0)),""))</f>
        <v/>
      </c>
      <c r="H43" s="23" t="str">
        <f aca="false">IF($B43="","",IFERROR(INDEX(대여내역!$H$3:$H$1002,MATCH("R"&amp;38,미반납현황!$M$6:$M$1005,0)),""))</f>
        <v/>
      </c>
      <c r="I43" s="22" t="str">
        <f aca="false">IF($B43="","",IFERROR(INDEX(대여내역!$K$3:$K$1002,MATCH("R"&amp;38,미반납현황!$M$6:$M$1005,0)),""))</f>
        <v/>
      </c>
      <c r="K43" s="26" t="b">
        <f aca="false">IF(대여내역!$A40="",FALSE(),OR(대여내역!$L40="미반납",대여내역!$L40="부분반납"))</f>
        <v>0</v>
      </c>
      <c r="L43" s="6" t="str">
        <f aca="false">IF($K43=FALSE(),"",COUNTIF($K$6:$K43,TRUE()))</f>
        <v/>
      </c>
      <c r="M43" s="6" t="str">
        <f aca="false">IF($L43="","","R"&amp;$L43)</f>
        <v/>
      </c>
    </row>
    <row r="44" customFormat="false" ht="15" hidden="false" customHeight="false" outlineLevel="0" collapsed="false">
      <c r="A44" s="22" t="str">
        <f aca="false">IF($B44="","",39)</f>
        <v/>
      </c>
      <c r="B44" s="14" t="str">
        <f aca="false">IFERROR(INDEX(대여내역!$A$3:$A$1002,MATCH("R"&amp;39,미반납현황!$M$6:$M$1005,0)),"")</f>
        <v/>
      </c>
      <c r="C44" s="23" t="str">
        <f aca="false">IF($B44="","",IFERROR(INDEX(대여내역!$B$3:$B$1002,MATCH("R"&amp;39,미반납현황!$M$6:$M$1005,0)),""))</f>
        <v/>
      </c>
      <c r="D44" s="14" t="str">
        <f aca="false">IF($B44="","",IFERROR(INDEX(대여내역!$C$3:$C$1002,MATCH("R"&amp;39,미반납현황!$M$6:$M$1005,0)),""))</f>
        <v/>
      </c>
      <c r="E44" s="14" t="str">
        <f aca="false">IF($B44="","",IFERROR(INDEX(대여내역!$E$3:$E$1002,MATCH("R"&amp;39,미반납현황!$M$6:$M$1005,0)),""))</f>
        <v/>
      </c>
      <c r="F44" s="22" t="str">
        <f aca="false">IF($B44="","",IFERROR(INDEX(대여내역!$G$3:$G$1002,MATCH("R"&amp;39,미반납현황!$M$6:$M$1005,0)),""))</f>
        <v/>
      </c>
      <c r="G44" s="22" t="str">
        <f aca="false">IF($B44="","",IFERROR(INDEX(대여내역!$J$3:$J$1002,MATCH("R"&amp;39,미반납현황!$M$6:$M$1005,0)),""))</f>
        <v/>
      </c>
      <c r="H44" s="23" t="str">
        <f aca="false">IF($B44="","",IFERROR(INDEX(대여내역!$H$3:$H$1002,MATCH("R"&amp;39,미반납현황!$M$6:$M$1005,0)),""))</f>
        <v/>
      </c>
      <c r="I44" s="22" t="str">
        <f aca="false">IF($B44="","",IFERROR(INDEX(대여내역!$K$3:$K$1002,MATCH("R"&amp;39,미반납현황!$M$6:$M$1005,0)),""))</f>
        <v/>
      </c>
      <c r="K44" s="26" t="b">
        <f aca="false">IF(대여내역!$A41="",FALSE(),OR(대여내역!$L41="미반납",대여내역!$L41="부분반납"))</f>
        <v>0</v>
      </c>
      <c r="L44" s="6" t="str">
        <f aca="false">IF($K44=FALSE(),"",COUNTIF($K$6:$K44,TRUE()))</f>
        <v/>
      </c>
      <c r="M44" s="6" t="str">
        <f aca="false">IF($L44="","","R"&amp;$L44)</f>
        <v/>
      </c>
    </row>
    <row r="45" customFormat="false" ht="15" hidden="false" customHeight="false" outlineLevel="0" collapsed="false">
      <c r="A45" s="22" t="str">
        <f aca="false">IF($B45="","",40)</f>
        <v/>
      </c>
      <c r="B45" s="14" t="str">
        <f aca="false">IFERROR(INDEX(대여내역!$A$3:$A$1002,MATCH("R"&amp;40,미반납현황!$M$6:$M$1005,0)),"")</f>
        <v/>
      </c>
      <c r="C45" s="23" t="str">
        <f aca="false">IF($B45="","",IFERROR(INDEX(대여내역!$B$3:$B$1002,MATCH("R"&amp;40,미반납현황!$M$6:$M$1005,0)),""))</f>
        <v/>
      </c>
      <c r="D45" s="14" t="str">
        <f aca="false">IF($B45="","",IFERROR(INDEX(대여내역!$C$3:$C$1002,MATCH("R"&amp;40,미반납현황!$M$6:$M$1005,0)),""))</f>
        <v/>
      </c>
      <c r="E45" s="14" t="str">
        <f aca="false">IF($B45="","",IFERROR(INDEX(대여내역!$E$3:$E$1002,MATCH("R"&amp;40,미반납현황!$M$6:$M$1005,0)),""))</f>
        <v/>
      </c>
      <c r="F45" s="22" t="str">
        <f aca="false">IF($B45="","",IFERROR(INDEX(대여내역!$G$3:$G$1002,MATCH("R"&amp;40,미반납현황!$M$6:$M$1005,0)),""))</f>
        <v/>
      </c>
      <c r="G45" s="22" t="str">
        <f aca="false">IF($B45="","",IFERROR(INDEX(대여내역!$J$3:$J$1002,MATCH("R"&amp;40,미반납현황!$M$6:$M$1005,0)),""))</f>
        <v/>
      </c>
      <c r="H45" s="23" t="str">
        <f aca="false">IF($B45="","",IFERROR(INDEX(대여내역!$H$3:$H$1002,MATCH("R"&amp;40,미반납현황!$M$6:$M$1005,0)),""))</f>
        <v/>
      </c>
      <c r="I45" s="22" t="str">
        <f aca="false">IF($B45="","",IFERROR(INDEX(대여내역!$K$3:$K$1002,MATCH("R"&amp;40,미반납현황!$M$6:$M$1005,0)),""))</f>
        <v/>
      </c>
      <c r="K45" s="26" t="b">
        <f aca="false">IF(대여내역!$A42="",FALSE(),OR(대여내역!$L42="미반납",대여내역!$L42="부분반납"))</f>
        <v>0</v>
      </c>
      <c r="L45" s="6" t="str">
        <f aca="false">IF($K45=FALSE(),"",COUNTIF($K$6:$K45,TRUE()))</f>
        <v/>
      </c>
      <c r="M45" s="6" t="str">
        <f aca="false">IF($L45="","","R"&amp;$L45)</f>
        <v/>
      </c>
    </row>
    <row r="46" customFormat="false" ht="15" hidden="false" customHeight="false" outlineLevel="0" collapsed="false">
      <c r="A46" s="22" t="str">
        <f aca="false">IF($B46="","",41)</f>
        <v/>
      </c>
      <c r="B46" s="14" t="str">
        <f aca="false">IFERROR(INDEX(대여내역!$A$3:$A$1002,MATCH("R"&amp;41,미반납현황!$M$6:$M$1005,0)),"")</f>
        <v/>
      </c>
      <c r="C46" s="23" t="str">
        <f aca="false">IF($B46="","",IFERROR(INDEX(대여내역!$B$3:$B$1002,MATCH("R"&amp;41,미반납현황!$M$6:$M$1005,0)),""))</f>
        <v/>
      </c>
      <c r="D46" s="14" t="str">
        <f aca="false">IF($B46="","",IFERROR(INDEX(대여내역!$C$3:$C$1002,MATCH("R"&amp;41,미반납현황!$M$6:$M$1005,0)),""))</f>
        <v/>
      </c>
      <c r="E46" s="14" t="str">
        <f aca="false">IF($B46="","",IFERROR(INDEX(대여내역!$E$3:$E$1002,MATCH("R"&amp;41,미반납현황!$M$6:$M$1005,0)),""))</f>
        <v/>
      </c>
      <c r="F46" s="22" t="str">
        <f aca="false">IF($B46="","",IFERROR(INDEX(대여내역!$G$3:$G$1002,MATCH("R"&amp;41,미반납현황!$M$6:$M$1005,0)),""))</f>
        <v/>
      </c>
      <c r="G46" s="22" t="str">
        <f aca="false">IF($B46="","",IFERROR(INDEX(대여내역!$J$3:$J$1002,MATCH("R"&amp;41,미반납현황!$M$6:$M$1005,0)),""))</f>
        <v/>
      </c>
      <c r="H46" s="23" t="str">
        <f aca="false">IF($B46="","",IFERROR(INDEX(대여내역!$H$3:$H$1002,MATCH("R"&amp;41,미반납현황!$M$6:$M$1005,0)),""))</f>
        <v/>
      </c>
      <c r="I46" s="22" t="str">
        <f aca="false">IF($B46="","",IFERROR(INDEX(대여내역!$K$3:$K$1002,MATCH("R"&amp;41,미반납현황!$M$6:$M$1005,0)),""))</f>
        <v/>
      </c>
      <c r="K46" s="26" t="b">
        <f aca="false">IF(대여내역!$A43="",FALSE(),OR(대여내역!$L43="미반납",대여내역!$L43="부분반납"))</f>
        <v>0</v>
      </c>
      <c r="L46" s="6" t="str">
        <f aca="false">IF($K46=FALSE(),"",COUNTIF($K$6:$K46,TRUE()))</f>
        <v/>
      </c>
      <c r="M46" s="6" t="str">
        <f aca="false">IF($L46="","","R"&amp;$L46)</f>
        <v/>
      </c>
    </row>
    <row r="47" customFormat="false" ht="15" hidden="false" customHeight="false" outlineLevel="0" collapsed="false">
      <c r="A47" s="22" t="str">
        <f aca="false">IF($B47="","",42)</f>
        <v/>
      </c>
      <c r="B47" s="14" t="str">
        <f aca="false">IFERROR(INDEX(대여내역!$A$3:$A$1002,MATCH("R"&amp;42,미반납현황!$M$6:$M$1005,0)),"")</f>
        <v/>
      </c>
      <c r="C47" s="23" t="str">
        <f aca="false">IF($B47="","",IFERROR(INDEX(대여내역!$B$3:$B$1002,MATCH("R"&amp;42,미반납현황!$M$6:$M$1005,0)),""))</f>
        <v/>
      </c>
      <c r="D47" s="14" t="str">
        <f aca="false">IF($B47="","",IFERROR(INDEX(대여내역!$C$3:$C$1002,MATCH("R"&amp;42,미반납현황!$M$6:$M$1005,0)),""))</f>
        <v/>
      </c>
      <c r="E47" s="14" t="str">
        <f aca="false">IF($B47="","",IFERROR(INDEX(대여내역!$E$3:$E$1002,MATCH("R"&amp;42,미반납현황!$M$6:$M$1005,0)),""))</f>
        <v/>
      </c>
      <c r="F47" s="22" t="str">
        <f aca="false">IF($B47="","",IFERROR(INDEX(대여내역!$G$3:$G$1002,MATCH("R"&amp;42,미반납현황!$M$6:$M$1005,0)),""))</f>
        <v/>
      </c>
      <c r="G47" s="22" t="str">
        <f aca="false">IF($B47="","",IFERROR(INDEX(대여내역!$J$3:$J$1002,MATCH("R"&amp;42,미반납현황!$M$6:$M$1005,0)),""))</f>
        <v/>
      </c>
      <c r="H47" s="23" t="str">
        <f aca="false">IF($B47="","",IFERROR(INDEX(대여내역!$H$3:$H$1002,MATCH("R"&amp;42,미반납현황!$M$6:$M$1005,0)),""))</f>
        <v/>
      </c>
      <c r="I47" s="22" t="str">
        <f aca="false">IF($B47="","",IFERROR(INDEX(대여내역!$K$3:$K$1002,MATCH("R"&amp;42,미반납현황!$M$6:$M$1005,0)),""))</f>
        <v/>
      </c>
      <c r="K47" s="26" t="b">
        <f aca="false">IF(대여내역!$A44="",FALSE(),OR(대여내역!$L44="미반납",대여내역!$L44="부분반납"))</f>
        <v>0</v>
      </c>
      <c r="L47" s="6" t="str">
        <f aca="false">IF($K47=FALSE(),"",COUNTIF($K$6:$K47,TRUE()))</f>
        <v/>
      </c>
      <c r="M47" s="6" t="str">
        <f aca="false">IF($L47="","","R"&amp;$L47)</f>
        <v/>
      </c>
    </row>
    <row r="48" customFormat="false" ht="15" hidden="false" customHeight="false" outlineLevel="0" collapsed="false">
      <c r="A48" s="22" t="str">
        <f aca="false">IF($B48="","",43)</f>
        <v/>
      </c>
      <c r="B48" s="14" t="str">
        <f aca="false">IFERROR(INDEX(대여내역!$A$3:$A$1002,MATCH("R"&amp;43,미반납현황!$M$6:$M$1005,0)),"")</f>
        <v/>
      </c>
      <c r="C48" s="23" t="str">
        <f aca="false">IF($B48="","",IFERROR(INDEX(대여내역!$B$3:$B$1002,MATCH("R"&amp;43,미반납현황!$M$6:$M$1005,0)),""))</f>
        <v/>
      </c>
      <c r="D48" s="14" t="str">
        <f aca="false">IF($B48="","",IFERROR(INDEX(대여내역!$C$3:$C$1002,MATCH("R"&amp;43,미반납현황!$M$6:$M$1005,0)),""))</f>
        <v/>
      </c>
      <c r="E48" s="14" t="str">
        <f aca="false">IF($B48="","",IFERROR(INDEX(대여내역!$E$3:$E$1002,MATCH("R"&amp;43,미반납현황!$M$6:$M$1005,0)),""))</f>
        <v/>
      </c>
      <c r="F48" s="22" t="str">
        <f aca="false">IF($B48="","",IFERROR(INDEX(대여내역!$G$3:$G$1002,MATCH("R"&amp;43,미반납현황!$M$6:$M$1005,0)),""))</f>
        <v/>
      </c>
      <c r="G48" s="22" t="str">
        <f aca="false">IF($B48="","",IFERROR(INDEX(대여내역!$J$3:$J$1002,MATCH("R"&amp;43,미반납현황!$M$6:$M$1005,0)),""))</f>
        <v/>
      </c>
      <c r="H48" s="23" t="str">
        <f aca="false">IF($B48="","",IFERROR(INDEX(대여내역!$H$3:$H$1002,MATCH("R"&amp;43,미반납현황!$M$6:$M$1005,0)),""))</f>
        <v/>
      </c>
      <c r="I48" s="22" t="str">
        <f aca="false">IF($B48="","",IFERROR(INDEX(대여내역!$K$3:$K$1002,MATCH("R"&amp;43,미반납현황!$M$6:$M$1005,0)),""))</f>
        <v/>
      </c>
      <c r="K48" s="26" t="b">
        <f aca="false">IF(대여내역!$A45="",FALSE(),OR(대여내역!$L45="미반납",대여내역!$L45="부분반납"))</f>
        <v>0</v>
      </c>
      <c r="L48" s="6" t="str">
        <f aca="false">IF($K48=FALSE(),"",COUNTIF($K$6:$K48,TRUE()))</f>
        <v/>
      </c>
      <c r="M48" s="6" t="str">
        <f aca="false">IF($L48="","","R"&amp;$L48)</f>
        <v/>
      </c>
    </row>
    <row r="49" customFormat="false" ht="15" hidden="false" customHeight="false" outlineLevel="0" collapsed="false">
      <c r="A49" s="22" t="str">
        <f aca="false">IF($B49="","",44)</f>
        <v/>
      </c>
      <c r="B49" s="14" t="str">
        <f aca="false">IFERROR(INDEX(대여내역!$A$3:$A$1002,MATCH("R"&amp;44,미반납현황!$M$6:$M$1005,0)),"")</f>
        <v/>
      </c>
      <c r="C49" s="23" t="str">
        <f aca="false">IF($B49="","",IFERROR(INDEX(대여내역!$B$3:$B$1002,MATCH("R"&amp;44,미반납현황!$M$6:$M$1005,0)),""))</f>
        <v/>
      </c>
      <c r="D49" s="14" t="str">
        <f aca="false">IF($B49="","",IFERROR(INDEX(대여내역!$C$3:$C$1002,MATCH("R"&amp;44,미반납현황!$M$6:$M$1005,0)),""))</f>
        <v/>
      </c>
      <c r="E49" s="14" t="str">
        <f aca="false">IF($B49="","",IFERROR(INDEX(대여내역!$E$3:$E$1002,MATCH("R"&amp;44,미반납현황!$M$6:$M$1005,0)),""))</f>
        <v/>
      </c>
      <c r="F49" s="22" t="str">
        <f aca="false">IF($B49="","",IFERROR(INDEX(대여내역!$G$3:$G$1002,MATCH("R"&amp;44,미반납현황!$M$6:$M$1005,0)),""))</f>
        <v/>
      </c>
      <c r="G49" s="22" t="str">
        <f aca="false">IF($B49="","",IFERROR(INDEX(대여내역!$J$3:$J$1002,MATCH("R"&amp;44,미반납현황!$M$6:$M$1005,0)),""))</f>
        <v/>
      </c>
      <c r="H49" s="23" t="str">
        <f aca="false">IF($B49="","",IFERROR(INDEX(대여내역!$H$3:$H$1002,MATCH("R"&amp;44,미반납현황!$M$6:$M$1005,0)),""))</f>
        <v/>
      </c>
      <c r="I49" s="22" t="str">
        <f aca="false">IF($B49="","",IFERROR(INDEX(대여내역!$K$3:$K$1002,MATCH("R"&amp;44,미반납현황!$M$6:$M$1005,0)),""))</f>
        <v/>
      </c>
      <c r="K49" s="26" t="b">
        <f aca="false">IF(대여내역!$A46="",FALSE(),OR(대여내역!$L46="미반납",대여내역!$L46="부분반납"))</f>
        <v>0</v>
      </c>
      <c r="L49" s="6" t="str">
        <f aca="false">IF($K49=FALSE(),"",COUNTIF($K$6:$K49,TRUE()))</f>
        <v/>
      </c>
      <c r="M49" s="6" t="str">
        <f aca="false">IF($L49="","","R"&amp;$L49)</f>
        <v/>
      </c>
    </row>
    <row r="50" customFormat="false" ht="15" hidden="false" customHeight="false" outlineLevel="0" collapsed="false">
      <c r="A50" s="22" t="str">
        <f aca="false">IF($B50="","",45)</f>
        <v/>
      </c>
      <c r="B50" s="14" t="str">
        <f aca="false">IFERROR(INDEX(대여내역!$A$3:$A$1002,MATCH("R"&amp;45,미반납현황!$M$6:$M$1005,0)),"")</f>
        <v/>
      </c>
      <c r="C50" s="23" t="str">
        <f aca="false">IF($B50="","",IFERROR(INDEX(대여내역!$B$3:$B$1002,MATCH("R"&amp;45,미반납현황!$M$6:$M$1005,0)),""))</f>
        <v/>
      </c>
      <c r="D50" s="14" t="str">
        <f aca="false">IF($B50="","",IFERROR(INDEX(대여내역!$C$3:$C$1002,MATCH("R"&amp;45,미반납현황!$M$6:$M$1005,0)),""))</f>
        <v/>
      </c>
      <c r="E50" s="14" t="str">
        <f aca="false">IF($B50="","",IFERROR(INDEX(대여내역!$E$3:$E$1002,MATCH("R"&amp;45,미반납현황!$M$6:$M$1005,0)),""))</f>
        <v/>
      </c>
      <c r="F50" s="22" t="str">
        <f aca="false">IF($B50="","",IFERROR(INDEX(대여내역!$G$3:$G$1002,MATCH("R"&amp;45,미반납현황!$M$6:$M$1005,0)),""))</f>
        <v/>
      </c>
      <c r="G50" s="22" t="str">
        <f aca="false">IF($B50="","",IFERROR(INDEX(대여내역!$J$3:$J$1002,MATCH("R"&amp;45,미반납현황!$M$6:$M$1005,0)),""))</f>
        <v/>
      </c>
      <c r="H50" s="23" t="str">
        <f aca="false">IF($B50="","",IFERROR(INDEX(대여내역!$H$3:$H$1002,MATCH("R"&amp;45,미반납현황!$M$6:$M$1005,0)),""))</f>
        <v/>
      </c>
      <c r="I50" s="22" t="str">
        <f aca="false">IF($B50="","",IFERROR(INDEX(대여내역!$K$3:$K$1002,MATCH("R"&amp;45,미반납현황!$M$6:$M$1005,0)),""))</f>
        <v/>
      </c>
      <c r="K50" s="26" t="b">
        <f aca="false">IF(대여내역!$A47="",FALSE(),OR(대여내역!$L47="미반납",대여내역!$L47="부분반납"))</f>
        <v>0</v>
      </c>
      <c r="L50" s="6" t="str">
        <f aca="false">IF($K50=FALSE(),"",COUNTIF($K$6:$K50,TRUE()))</f>
        <v/>
      </c>
      <c r="M50" s="6" t="str">
        <f aca="false">IF($L50="","","R"&amp;$L50)</f>
        <v/>
      </c>
    </row>
    <row r="51" customFormat="false" ht="15" hidden="false" customHeight="false" outlineLevel="0" collapsed="false">
      <c r="A51" s="22" t="str">
        <f aca="false">IF($B51="","",46)</f>
        <v/>
      </c>
      <c r="B51" s="14" t="str">
        <f aca="false">IFERROR(INDEX(대여내역!$A$3:$A$1002,MATCH("R"&amp;46,미반납현황!$M$6:$M$1005,0)),"")</f>
        <v/>
      </c>
      <c r="C51" s="23" t="str">
        <f aca="false">IF($B51="","",IFERROR(INDEX(대여내역!$B$3:$B$1002,MATCH("R"&amp;46,미반납현황!$M$6:$M$1005,0)),""))</f>
        <v/>
      </c>
      <c r="D51" s="14" t="str">
        <f aca="false">IF($B51="","",IFERROR(INDEX(대여내역!$C$3:$C$1002,MATCH("R"&amp;46,미반납현황!$M$6:$M$1005,0)),""))</f>
        <v/>
      </c>
      <c r="E51" s="14" t="str">
        <f aca="false">IF($B51="","",IFERROR(INDEX(대여내역!$E$3:$E$1002,MATCH("R"&amp;46,미반납현황!$M$6:$M$1005,0)),""))</f>
        <v/>
      </c>
      <c r="F51" s="22" t="str">
        <f aca="false">IF($B51="","",IFERROR(INDEX(대여내역!$G$3:$G$1002,MATCH("R"&amp;46,미반납현황!$M$6:$M$1005,0)),""))</f>
        <v/>
      </c>
      <c r="G51" s="22" t="str">
        <f aca="false">IF($B51="","",IFERROR(INDEX(대여내역!$J$3:$J$1002,MATCH("R"&amp;46,미반납현황!$M$6:$M$1005,0)),""))</f>
        <v/>
      </c>
      <c r="H51" s="23" t="str">
        <f aca="false">IF($B51="","",IFERROR(INDEX(대여내역!$H$3:$H$1002,MATCH("R"&amp;46,미반납현황!$M$6:$M$1005,0)),""))</f>
        <v/>
      </c>
      <c r="I51" s="22" t="str">
        <f aca="false">IF($B51="","",IFERROR(INDEX(대여내역!$K$3:$K$1002,MATCH("R"&amp;46,미반납현황!$M$6:$M$1005,0)),""))</f>
        <v/>
      </c>
      <c r="K51" s="26" t="b">
        <f aca="false">IF(대여내역!$A48="",FALSE(),OR(대여내역!$L48="미반납",대여내역!$L48="부분반납"))</f>
        <v>0</v>
      </c>
      <c r="L51" s="6" t="str">
        <f aca="false">IF($K51=FALSE(),"",COUNTIF($K$6:$K51,TRUE()))</f>
        <v/>
      </c>
      <c r="M51" s="6" t="str">
        <f aca="false">IF($L51="","","R"&amp;$L51)</f>
        <v/>
      </c>
    </row>
    <row r="52" customFormat="false" ht="15" hidden="false" customHeight="false" outlineLevel="0" collapsed="false">
      <c r="A52" s="22" t="str">
        <f aca="false">IF($B52="","",47)</f>
        <v/>
      </c>
      <c r="B52" s="14" t="str">
        <f aca="false">IFERROR(INDEX(대여내역!$A$3:$A$1002,MATCH("R"&amp;47,미반납현황!$M$6:$M$1005,0)),"")</f>
        <v/>
      </c>
      <c r="C52" s="23" t="str">
        <f aca="false">IF($B52="","",IFERROR(INDEX(대여내역!$B$3:$B$1002,MATCH("R"&amp;47,미반납현황!$M$6:$M$1005,0)),""))</f>
        <v/>
      </c>
      <c r="D52" s="14" t="str">
        <f aca="false">IF($B52="","",IFERROR(INDEX(대여내역!$C$3:$C$1002,MATCH("R"&amp;47,미반납현황!$M$6:$M$1005,0)),""))</f>
        <v/>
      </c>
      <c r="E52" s="14" t="str">
        <f aca="false">IF($B52="","",IFERROR(INDEX(대여내역!$E$3:$E$1002,MATCH("R"&amp;47,미반납현황!$M$6:$M$1005,0)),""))</f>
        <v/>
      </c>
      <c r="F52" s="22" t="str">
        <f aca="false">IF($B52="","",IFERROR(INDEX(대여내역!$G$3:$G$1002,MATCH("R"&amp;47,미반납현황!$M$6:$M$1005,0)),""))</f>
        <v/>
      </c>
      <c r="G52" s="22" t="str">
        <f aca="false">IF($B52="","",IFERROR(INDEX(대여내역!$J$3:$J$1002,MATCH("R"&amp;47,미반납현황!$M$6:$M$1005,0)),""))</f>
        <v/>
      </c>
      <c r="H52" s="23" t="str">
        <f aca="false">IF($B52="","",IFERROR(INDEX(대여내역!$H$3:$H$1002,MATCH("R"&amp;47,미반납현황!$M$6:$M$1005,0)),""))</f>
        <v/>
      </c>
      <c r="I52" s="22" t="str">
        <f aca="false">IF($B52="","",IFERROR(INDEX(대여내역!$K$3:$K$1002,MATCH("R"&amp;47,미반납현황!$M$6:$M$1005,0)),""))</f>
        <v/>
      </c>
      <c r="K52" s="26" t="b">
        <f aca="false">IF(대여내역!$A49="",FALSE(),OR(대여내역!$L49="미반납",대여내역!$L49="부분반납"))</f>
        <v>0</v>
      </c>
      <c r="L52" s="6" t="str">
        <f aca="false">IF($K52=FALSE(),"",COUNTIF($K$6:$K52,TRUE()))</f>
        <v/>
      </c>
      <c r="M52" s="6" t="str">
        <f aca="false">IF($L52="","","R"&amp;$L52)</f>
        <v/>
      </c>
    </row>
    <row r="53" customFormat="false" ht="15" hidden="false" customHeight="false" outlineLevel="0" collapsed="false">
      <c r="A53" s="22" t="str">
        <f aca="false">IF($B53="","",48)</f>
        <v/>
      </c>
      <c r="B53" s="14" t="str">
        <f aca="false">IFERROR(INDEX(대여내역!$A$3:$A$1002,MATCH("R"&amp;48,미반납현황!$M$6:$M$1005,0)),"")</f>
        <v/>
      </c>
      <c r="C53" s="23" t="str">
        <f aca="false">IF($B53="","",IFERROR(INDEX(대여내역!$B$3:$B$1002,MATCH("R"&amp;48,미반납현황!$M$6:$M$1005,0)),""))</f>
        <v/>
      </c>
      <c r="D53" s="14" t="str">
        <f aca="false">IF($B53="","",IFERROR(INDEX(대여내역!$C$3:$C$1002,MATCH("R"&amp;48,미반납현황!$M$6:$M$1005,0)),""))</f>
        <v/>
      </c>
      <c r="E53" s="14" t="str">
        <f aca="false">IF($B53="","",IFERROR(INDEX(대여내역!$E$3:$E$1002,MATCH("R"&amp;48,미반납현황!$M$6:$M$1005,0)),""))</f>
        <v/>
      </c>
      <c r="F53" s="22" t="str">
        <f aca="false">IF($B53="","",IFERROR(INDEX(대여내역!$G$3:$G$1002,MATCH("R"&amp;48,미반납현황!$M$6:$M$1005,0)),""))</f>
        <v/>
      </c>
      <c r="G53" s="22" t="str">
        <f aca="false">IF($B53="","",IFERROR(INDEX(대여내역!$J$3:$J$1002,MATCH("R"&amp;48,미반납현황!$M$6:$M$1005,0)),""))</f>
        <v/>
      </c>
      <c r="H53" s="23" t="str">
        <f aca="false">IF($B53="","",IFERROR(INDEX(대여내역!$H$3:$H$1002,MATCH("R"&amp;48,미반납현황!$M$6:$M$1005,0)),""))</f>
        <v/>
      </c>
      <c r="I53" s="22" t="str">
        <f aca="false">IF($B53="","",IFERROR(INDEX(대여내역!$K$3:$K$1002,MATCH("R"&amp;48,미반납현황!$M$6:$M$1005,0)),""))</f>
        <v/>
      </c>
      <c r="K53" s="26" t="b">
        <f aca="false">IF(대여내역!$A50="",FALSE(),OR(대여내역!$L50="미반납",대여내역!$L50="부분반납"))</f>
        <v>0</v>
      </c>
      <c r="L53" s="6" t="str">
        <f aca="false">IF($K53=FALSE(),"",COUNTIF($K$6:$K53,TRUE()))</f>
        <v/>
      </c>
      <c r="M53" s="6" t="str">
        <f aca="false">IF($L53="","","R"&amp;$L53)</f>
        <v/>
      </c>
    </row>
    <row r="54" customFormat="false" ht="15" hidden="false" customHeight="false" outlineLevel="0" collapsed="false">
      <c r="A54" s="22" t="str">
        <f aca="false">IF($B54="","",49)</f>
        <v/>
      </c>
      <c r="B54" s="14" t="str">
        <f aca="false">IFERROR(INDEX(대여내역!$A$3:$A$1002,MATCH("R"&amp;49,미반납현황!$M$6:$M$1005,0)),"")</f>
        <v/>
      </c>
      <c r="C54" s="23" t="str">
        <f aca="false">IF($B54="","",IFERROR(INDEX(대여내역!$B$3:$B$1002,MATCH("R"&amp;49,미반납현황!$M$6:$M$1005,0)),""))</f>
        <v/>
      </c>
      <c r="D54" s="14" t="str">
        <f aca="false">IF($B54="","",IFERROR(INDEX(대여내역!$C$3:$C$1002,MATCH("R"&amp;49,미반납현황!$M$6:$M$1005,0)),""))</f>
        <v/>
      </c>
      <c r="E54" s="14" t="str">
        <f aca="false">IF($B54="","",IFERROR(INDEX(대여내역!$E$3:$E$1002,MATCH("R"&amp;49,미반납현황!$M$6:$M$1005,0)),""))</f>
        <v/>
      </c>
      <c r="F54" s="22" t="str">
        <f aca="false">IF($B54="","",IFERROR(INDEX(대여내역!$G$3:$G$1002,MATCH("R"&amp;49,미반납현황!$M$6:$M$1005,0)),""))</f>
        <v/>
      </c>
      <c r="G54" s="22" t="str">
        <f aca="false">IF($B54="","",IFERROR(INDEX(대여내역!$J$3:$J$1002,MATCH("R"&amp;49,미반납현황!$M$6:$M$1005,0)),""))</f>
        <v/>
      </c>
      <c r="H54" s="23" t="str">
        <f aca="false">IF($B54="","",IFERROR(INDEX(대여내역!$H$3:$H$1002,MATCH("R"&amp;49,미반납현황!$M$6:$M$1005,0)),""))</f>
        <v/>
      </c>
      <c r="I54" s="22" t="str">
        <f aca="false">IF($B54="","",IFERROR(INDEX(대여내역!$K$3:$K$1002,MATCH("R"&amp;49,미반납현황!$M$6:$M$1005,0)),""))</f>
        <v/>
      </c>
      <c r="K54" s="26" t="b">
        <f aca="false">IF(대여내역!$A51="",FALSE(),OR(대여내역!$L51="미반납",대여내역!$L51="부분반납"))</f>
        <v>0</v>
      </c>
      <c r="L54" s="6" t="str">
        <f aca="false">IF($K54=FALSE(),"",COUNTIF($K$6:$K54,TRUE()))</f>
        <v/>
      </c>
      <c r="M54" s="6" t="str">
        <f aca="false">IF($L54="","","R"&amp;$L54)</f>
        <v/>
      </c>
    </row>
    <row r="55" customFormat="false" ht="15" hidden="false" customHeight="false" outlineLevel="0" collapsed="false">
      <c r="A55" s="22" t="str">
        <f aca="false">IF($B55="","",50)</f>
        <v/>
      </c>
      <c r="B55" s="14" t="str">
        <f aca="false">IFERROR(INDEX(대여내역!$A$3:$A$1002,MATCH("R"&amp;50,미반납현황!$M$6:$M$1005,0)),"")</f>
        <v/>
      </c>
      <c r="C55" s="23" t="str">
        <f aca="false">IF($B55="","",IFERROR(INDEX(대여내역!$B$3:$B$1002,MATCH("R"&amp;50,미반납현황!$M$6:$M$1005,0)),""))</f>
        <v/>
      </c>
      <c r="D55" s="14" t="str">
        <f aca="false">IF($B55="","",IFERROR(INDEX(대여내역!$C$3:$C$1002,MATCH("R"&amp;50,미반납현황!$M$6:$M$1005,0)),""))</f>
        <v/>
      </c>
      <c r="E55" s="14" t="str">
        <f aca="false">IF($B55="","",IFERROR(INDEX(대여내역!$E$3:$E$1002,MATCH("R"&amp;50,미반납현황!$M$6:$M$1005,0)),""))</f>
        <v/>
      </c>
      <c r="F55" s="22" t="str">
        <f aca="false">IF($B55="","",IFERROR(INDEX(대여내역!$G$3:$G$1002,MATCH("R"&amp;50,미반납현황!$M$6:$M$1005,0)),""))</f>
        <v/>
      </c>
      <c r="G55" s="22" t="str">
        <f aca="false">IF($B55="","",IFERROR(INDEX(대여내역!$J$3:$J$1002,MATCH("R"&amp;50,미반납현황!$M$6:$M$1005,0)),""))</f>
        <v/>
      </c>
      <c r="H55" s="23" t="str">
        <f aca="false">IF($B55="","",IFERROR(INDEX(대여내역!$H$3:$H$1002,MATCH("R"&amp;50,미반납현황!$M$6:$M$1005,0)),""))</f>
        <v/>
      </c>
      <c r="I55" s="22" t="str">
        <f aca="false">IF($B55="","",IFERROR(INDEX(대여내역!$K$3:$K$1002,MATCH("R"&amp;50,미반납현황!$M$6:$M$1005,0)),""))</f>
        <v/>
      </c>
      <c r="K55" s="26" t="b">
        <f aca="false">IF(대여내역!$A52="",FALSE(),OR(대여내역!$L52="미반납",대여내역!$L52="부분반납"))</f>
        <v>0</v>
      </c>
      <c r="L55" s="6" t="str">
        <f aca="false">IF($K55=FALSE(),"",COUNTIF($K$6:$K55,TRUE()))</f>
        <v/>
      </c>
      <c r="M55" s="6" t="str">
        <f aca="false">IF($L55="","","R"&amp;$L55)</f>
        <v/>
      </c>
    </row>
    <row r="56" customFormat="false" ht="15" hidden="false" customHeight="false" outlineLevel="0" collapsed="false">
      <c r="A56" s="22" t="str">
        <f aca="false">IF($B56="","",51)</f>
        <v/>
      </c>
      <c r="B56" s="14" t="str">
        <f aca="false">IFERROR(INDEX(대여내역!$A$3:$A$1002,MATCH("R"&amp;51,미반납현황!$M$6:$M$1005,0)),"")</f>
        <v/>
      </c>
      <c r="C56" s="23" t="str">
        <f aca="false">IF($B56="","",IFERROR(INDEX(대여내역!$B$3:$B$1002,MATCH("R"&amp;51,미반납현황!$M$6:$M$1005,0)),""))</f>
        <v/>
      </c>
      <c r="D56" s="14" t="str">
        <f aca="false">IF($B56="","",IFERROR(INDEX(대여내역!$C$3:$C$1002,MATCH("R"&amp;51,미반납현황!$M$6:$M$1005,0)),""))</f>
        <v/>
      </c>
      <c r="E56" s="14" t="str">
        <f aca="false">IF($B56="","",IFERROR(INDEX(대여내역!$E$3:$E$1002,MATCH("R"&amp;51,미반납현황!$M$6:$M$1005,0)),""))</f>
        <v/>
      </c>
      <c r="F56" s="22" t="str">
        <f aca="false">IF($B56="","",IFERROR(INDEX(대여내역!$G$3:$G$1002,MATCH("R"&amp;51,미반납현황!$M$6:$M$1005,0)),""))</f>
        <v/>
      </c>
      <c r="G56" s="22" t="str">
        <f aca="false">IF($B56="","",IFERROR(INDEX(대여내역!$J$3:$J$1002,MATCH("R"&amp;51,미반납현황!$M$6:$M$1005,0)),""))</f>
        <v/>
      </c>
      <c r="H56" s="23" t="str">
        <f aca="false">IF($B56="","",IFERROR(INDEX(대여내역!$H$3:$H$1002,MATCH("R"&amp;51,미반납현황!$M$6:$M$1005,0)),""))</f>
        <v/>
      </c>
      <c r="I56" s="22" t="str">
        <f aca="false">IF($B56="","",IFERROR(INDEX(대여내역!$K$3:$K$1002,MATCH("R"&amp;51,미반납현황!$M$6:$M$1005,0)),""))</f>
        <v/>
      </c>
      <c r="K56" s="26" t="b">
        <f aca="false">IF(대여내역!$A53="",FALSE(),OR(대여내역!$L53="미반납",대여내역!$L53="부분반납"))</f>
        <v>0</v>
      </c>
      <c r="L56" s="6" t="str">
        <f aca="false">IF($K56=FALSE(),"",COUNTIF($K$6:$K56,TRUE()))</f>
        <v/>
      </c>
      <c r="M56" s="6" t="str">
        <f aca="false">IF($L56="","","R"&amp;$L56)</f>
        <v/>
      </c>
    </row>
    <row r="57" customFormat="false" ht="15" hidden="false" customHeight="false" outlineLevel="0" collapsed="false">
      <c r="A57" s="22" t="str">
        <f aca="false">IF($B57="","",52)</f>
        <v/>
      </c>
      <c r="B57" s="14" t="str">
        <f aca="false">IFERROR(INDEX(대여내역!$A$3:$A$1002,MATCH("R"&amp;52,미반납현황!$M$6:$M$1005,0)),"")</f>
        <v/>
      </c>
      <c r="C57" s="23" t="str">
        <f aca="false">IF($B57="","",IFERROR(INDEX(대여내역!$B$3:$B$1002,MATCH("R"&amp;52,미반납현황!$M$6:$M$1005,0)),""))</f>
        <v/>
      </c>
      <c r="D57" s="14" t="str">
        <f aca="false">IF($B57="","",IFERROR(INDEX(대여내역!$C$3:$C$1002,MATCH("R"&amp;52,미반납현황!$M$6:$M$1005,0)),""))</f>
        <v/>
      </c>
      <c r="E57" s="14" t="str">
        <f aca="false">IF($B57="","",IFERROR(INDEX(대여내역!$E$3:$E$1002,MATCH("R"&amp;52,미반납현황!$M$6:$M$1005,0)),""))</f>
        <v/>
      </c>
      <c r="F57" s="22" t="str">
        <f aca="false">IF($B57="","",IFERROR(INDEX(대여내역!$G$3:$G$1002,MATCH("R"&amp;52,미반납현황!$M$6:$M$1005,0)),""))</f>
        <v/>
      </c>
      <c r="G57" s="22" t="str">
        <f aca="false">IF($B57="","",IFERROR(INDEX(대여내역!$J$3:$J$1002,MATCH("R"&amp;52,미반납현황!$M$6:$M$1005,0)),""))</f>
        <v/>
      </c>
      <c r="H57" s="23" t="str">
        <f aca="false">IF($B57="","",IFERROR(INDEX(대여내역!$H$3:$H$1002,MATCH("R"&amp;52,미반납현황!$M$6:$M$1005,0)),""))</f>
        <v/>
      </c>
      <c r="I57" s="22" t="str">
        <f aca="false">IF($B57="","",IFERROR(INDEX(대여내역!$K$3:$K$1002,MATCH("R"&amp;52,미반납현황!$M$6:$M$1005,0)),""))</f>
        <v/>
      </c>
      <c r="K57" s="26" t="b">
        <f aca="false">IF(대여내역!$A54="",FALSE(),OR(대여내역!$L54="미반납",대여내역!$L54="부분반납"))</f>
        <v>0</v>
      </c>
      <c r="L57" s="6" t="str">
        <f aca="false">IF($K57=FALSE(),"",COUNTIF($K$6:$K57,TRUE()))</f>
        <v/>
      </c>
      <c r="M57" s="6" t="str">
        <f aca="false">IF($L57="","","R"&amp;$L57)</f>
        <v/>
      </c>
    </row>
    <row r="58" customFormat="false" ht="15" hidden="false" customHeight="false" outlineLevel="0" collapsed="false">
      <c r="A58" s="22" t="str">
        <f aca="false">IF($B58="","",53)</f>
        <v/>
      </c>
      <c r="B58" s="14" t="str">
        <f aca="false">IFERROR(INDEX(대여내역!$A$3:$A$1002,MATCH("R"&amp;53,미반납현황!$M$6:$M$1005,0)),"")</f>
        <v/>
      </c>
      <c r="C58" s="23" t="str">
        <f aca="false">IF($B58="","",IFERROR(INDEX(대여내역!$B$3:$B$1002,MATCH("R"&amp;53,미반납현황!$M$6:$M$1005,0)),""))</f>
        <v/>
      </c>
      <c r="D58" s="14" t="str">
        <f aca="false">IF($B58="","",IFERROR(INDEX(대여내역!$C$3:$C$1002,MATCH("R"&amp;53,미반납현황!$M$6:$M$1005,0)),""))</f>
        <v/>
      </c>
      <c r="E58" s="14" t="str">
        <f aca="false">IF($B58="","",IFERROR(INDEX(대여내역!$E$3:$E$1002,MATCH("R"&amp;53,미반납현황!$M$6:$M$1005,0)),""))</f>
        <v/>
      </c>
      <c r="F58" s="22" t="str">
        <f aca="false">IF($B58="","",IFERROR(INDEX(대여내역!$G$3:$G$1002,MATCH("R"&amp;53,미반납현황!$M$6:$M$1005,0)),""))</f>
        <v/>
      </c>
      <c r="G58" s="22" t="str">
        <f aca="false">IF($B58="","",IFERROR(INDEX(대여내역!$J$3:$J$1002,MATCH("R"&amp;53,미반납현황!$M$6:$M$1005,0)),""))</f>
        <v/>
      </c>
      <c r="H58" s="23" t="str">
        <f aca="false">IF($B58="","",IFERROR(INDEX(대여내역!$H$3:$H$1002,MATCH("R"&amp;53,미반납현황!$M$6:$M$1005,0)),""))</f>
        <v/>
      </c>
      <c r="I58" s="22" t="str">
        <f aca="false">IF($B58="","",IFERROR(INDEX(대여내역!$K$3:$K$1002,MATCH("R"&amp;53,미반납현황!$M$6:$M$1005,0)),""))</f>
        <v/>
      </c>
      <c r="K58" s="26" t="b">
        <f aca="false">IF(대여내역!$A55="",FALSE(),OR(대여내역!$L55="미반납",대여내역!$L55="부분반납"))</f>
        <v>0</v>
      </c>
      <c r="L58" s="6" t="str">
        <f aca="false">IF($K58=FALSE(),"",COUNTIF($K$6:$K58,TRUE()))</f>
        <v/>
      </c>
      <c r="M58" s="6" t="str">
        <f aca="false">IF($L58="","","R"&amp;$L58)</f>
        <v/>
      </c>
    </row>
    <row r="59" customFormat="false" ht="15" hidden="false" customHeight="false" outlineLevel="0" collapsed="false">
      <c r="A59" s="22" t="str">
        <f aca="false">IF($B59="","",54)</f>
        <v/>
      </c>
      <c r="B59" s="14" t="str">
        <f aca="false">IFERROR(INDEX(대여내역!$A$3:$A$1002,MATCH("R"&amp;54,미반납현황!$M$6:$M$1005,0)),"")</f>
        <v/>
      </c>
      <c r="C59" s="23" t="str">
        <f aca="false">IF($B59="","",IFERROR(INDEX(대여내역!$B$3:$B$1002,MATCH("R"&amp;54,미반납현황!$M$6:$M$1005,0)),""))</f>
        <v/>
      </c>
      <c r="D59" s="14" t="str">
        <f aca="false">IF($B59="","",IFERROR(INDEX(대여내역!$C$3:$C$1002,MATCH("R"&amp;54,미반납현황!$M$6:$M$1005,0)),""))</f>
        <v/>
      </c>
      <c r="E59" s="14" t="str">
        <f aca="false">IF($B59="","",IFERROR(INDEX(대여내역!$E$3:$E$1002,MATCH("R"&amp;54,미반납현황!$M$6:$M$1005,0)),""))</f>
        <v/>
      </c>
      <c r="F59" s="22" t="str">
        <f aca="false">IF($B59="","",IFERROR(INDEX(대여내역!$G$3:$G$1002,MATCH("R"&amp;54,미반납현황!$M$6:$M$1005,0)),""))</f>
        <v/>
      </c>
      <c r="G59" s="22" t="str">
        <f aca="false">IF($B59="","",IFERROR(INDEX(대여내역!$J$3:$J$1002,MATCH("R"&amp;54,미반납현황!$M$6:$M$1005,0)),""))</f>
        <v/>
      </c>
      <c r="H59" s="23" t="str">
        <f aca="false">IF($B59="","",IFERROR(INDEX(대여내역!$H$3:$H$1002,MATCH("R"&amp;54,미반납현황!$M$6:$M$1005,0)),""))</f>
        <v/>
      </c>
      <c r="I59" s="22" t="str">
        <f aca="false">IF($B59="","",IFERROR(INDEX(대여내역!$K$3:$K$1002,MATCH("R"&amp;54,미반납현황!$M$6:$M$1005,0)),""))</f>
        <v/>
      </c>
      <c r="K59" s="26" t="b">
        <f aca="false">IF(대여내역!$A56="",FALSE(),OR(대여내역!$L56="미반납",대여내역!$L56="부분반납"))</f>
        <v>0</v>
      </c>
      <c r="L59" s="6" t="str">
        <f aca="false">IF($K59=FALSE(),"",COUNTIF($K$6:$K59,TRUE()))</f>
        <v/>
      </c>
      <c r="M59" s="6" t="str">
        <f aca="false">IF($L59="","","R"&amp;$L59)</f>
        <v/>
      </c>
    </row>
    <row r="60" customFormat="false" ht="15" hidden="false" customHeight="false" outlineLevel="0" collapsed="false">
      <c r="A60" s="22" t="str">
        <f aca="false">IF($B60="","",55)</f>
        <v/>
      </c>
      <c r="B60" s="14" t="str">
        <f aca="false">IFERROR(INDEX(대여내역!$A$3:$A$1002,MATCH("R"&amp;55,미반납현황!$M$6:$M$1005,0)),"")</f>
        <v/>
      </c>
      <c r="C60" s="23" t="str">
        <f aca="false">IF($B60="","",IFERROR(INDEX(대여내역!$B$3:$B$1002,MATCH("R"&amp;55,미반납현황!$M$6:$M$1005,0)),""))</f>
        <v/>
      </c>
      <c r="D60" s="14" t="str">
        <f aca="false">IF($B60="","",IFERROR(INDEX(대여내역!$C$3:$C$1002,MATCH("R"&amp;55,미반납현황!$M$6:$M$1005,0)),""))</f>
        <v/>
      </c>
      <c r="E60" s="14" t="str">
        <f aca="false">IF($B60="","",IFERROR(INDEX(대여내역!$E$3:$E$1002,MATCH("R"&amp;55,미반납현황!$M$6:$M$1005,0)),""))</f>
        <v/>
      </c>
      <c r="F60" s="22" t="str">
        <f aca="false">IF($B60="","",IFERROR(INDEX(대여내역!$G$3:$G$1002,MATCH("R"&amp;55,미반납현황!$M$6:$M$1005,0)),""))</f>
        <v/>
      </c>
      <c r="G60" s="22" t="str">
        <f aca="false">IF($B60="","",IFERROR(INDEX(대여내역!$J$3:$J$1002,MATCH("R"&amp;55,미반납현황!$M$6:$M$1005,0)),""))</f>
        <v/>
      </c>
      <c r="H60" s="23" t="str">
        <f aca="false">IF($B60="","",IFERROR(INDEX(대여내역!$H$3:$H$1002,MATCH("R"&amp;55,미반납현황!$M$6:$M$1005,0)),""))</f>
        <v/>
      </c>
      <c r="I60" s="22" t="str">
        <f aca="false">IF($B60="","",IFERROR(INDEX(대여내역!$K$3:$K$1002,MATCH("R"&amp;55,미반납현황!$M$6:$M$1005,0)),""))</f>
        <v/>
      </c>
      <c r="K60" s="26" t="b">
        <f aca="false">IF(대여내역!$A57="",FALSE(),OR(대여내역!$L57="미반납",대여내역!$L57="부분반납"))</f>
        <v>0</v>
      </c>
      <c r="L60" s="6" t="str">
        <f aca="false">IF($K60=FALSE(),"",COUNTIF($K$6:$K60,TRUE()))</f>
        <v/>
      </c>
      <c r="M60" s="6" t="str">
        <f aca="false">IF($L60="","","R"&amp;$L60)</f>
        <v/>
      </c>
    </row>
    <row r="61" customFormat="false" ht="15" hidden="false" customHeight="false" outlineLevel="0" collapsed="false">
      <c r="A61" s="22" t="str">
        <f aca="false">IF($B61="","",56)</f>
        <v/>
      </c>
      <c r="B61" s="14" t="str">
        <f aca="false">IFERROR(INDEX(대여내역!$A$3:$A$1002,MATCH("R"&amp;56,미반납현황!$M$6:$M$1005,0)),"")</f>
        <v/>
      </c>
      <c r="C61" s="23" t="str">
        <f aca="false">IF($B61="","",IFERROR(INDEX(대여내역!$B$3:$B$1002,MATCH("R"&amp;56,미반납현황!$M$6:$M$1005,0)),""))</f>
        <v/>
      </c>
      <c r="D61" s="14" t="str">
        <f aca="false">IF($B61="","",IFERROR(INDEX(대여내역!$C$3:$C$1002,MATCH("R"&amp;56,미반납현황!$M$6:$M$1005,0)),""))</f>
        <v/>
      </c>
      <c r="E61" s="14" t="str">
        <f aca="false">IF($B61="","",IFERROR(INDEX(대여내역!$E$3:$E$1002,MATCH("R"&amp;56,미반납현황!$M$6:$M$1005,0)),""))</f>
        <v/>
      </c>
      <c r="F61" s="22" t="str">
        <f aca="false">IF($B61="","",IFERROR(INDEX(대여내역!$G$3:$G$1002,MATCH("R"&amp;56,미반납현황!$M$6:$M$1005,0)),""))</f>
        <v/>
      </c>
      <c r="G61" s="22" t="str">
        <f aca="false">IF($B61="","",IFERROR(INDEX(대여내역!$J$3:$J$1002,MATCH("R"&amp;56,미반납현황!$M$6:$M$1005,0)),""))</f>
        <v/>
      </c>
      <c r="H61" s="23" t="str">
        <f aca="false">IF($B61="","",IFERROR(INDEX(대여내역!$H$3:$H$1002,MATCH("R"&amp;56,미반납현황!$M$6:$M$1005,0)),""))</f>
        <v/>
      </c>
      <c r="I61" s="22" t="str">
        <f aca="false">IF($B61="","",IFERROR(INDEX(대여내역!$K$3:$K$1002,MATCH("R"&amp;56,미반납현황!$M$6:$M$1005,0)),""))</f>
        <v/>
      </c>
      <c r="K61" s="26" t="b">
        <f aca="false">IF(대여내역!$A58="",FALSE(),OR(대여내역!$L58="미반납",대여내역!$L58="부분반납"))</f>
        <v>0</v>
      </c>
      <c r="L61" s="6" t="str">
        <f aca="false">IF($K61=FALSE(),"",COUNTIF($K$6:$K61,TRUE()))</f>
        <v/>
      </c>
      <c r="M61" s="6" t="str">
        <f aca="false">IF($L61="","","R"&amp;$L61)</f>
        <v/>
      </c>
    </row>
    <row r="62" customFormat="false" ht="15" hidden="false" customHeight="false" outlineLevel="0" collapsed="false">
      <c r="A62" s="22" t="str">
        <f aca="false">IF($B62="","",57)</f>
        <v/>
      </c>
      <c r="B62" s="14" t="str">
        <f aca="false">IFERROR(INDEX(대여내역!$A$3:$A$1002,MATCH("R"&amp;57,미반납현황!$M$6:$M$1005,0)),"")</f>
        <v/>
      </c>
      <c r="C62" s="23" t="str">
        <f aca="false">IF($B62="","",IFERROR(INDEX(대여내역!$B$3:$B$1002,MATCH("R"&amp;57,미반납현황!$M$6:$M$1005,0)),""))</f>
        <v/>
      </c>
      <c r="D62" s="14" t="str">
        <f aca="false">IF($B62="","",IFERROR(INDEX(대여내역!$C$3:$C$1002,MATCH("R"&amp;57,미반납현황!$M$6:$M$1005,0)),""))</f>
        <v/>
      </c>
      <c r="E62" s="14" t="str">
        <f aca="false">IF($B62="","",IFERROR(INDEX(대여내역!$E$3:$E$1002,MATCH("R"&amp;57,미반납현황!$M$6:$M$1005,0)),""))</f>
        <v/>
      </c>
      <c r="F62" s="22" t="str">
        <f aca="false">IF($B62="","",IFERROR(INDEX(대여내역!$G$3:$G$1002,MATCH("R"&amp;57,미반납현황!$M$6:$M$1005,0)),""))</f>
        <v/>
      </c>
      <c r="G62" s="22" t="str">
        <f aca="false">IF($B62="","",IFERROR(INDEX(대여내역!$J$3:$J$1002,MATCH("R"&amp;57,미반납현황!$M$6:$M$1005,0)),""))</f>
        <v/>
      </c>
      <c r="H62" s="23" t="str">
        <f aca="false">IF($B62="","",IFERROR(INDEX(대여내역!$H$3:$H$1002,MATCH("R"&amp;57,미반납현황!$M$6:$M$1005,0)),""))</f>
        <v/>
      </c>
      <c r="I62" s="22" t="str">
        <f aca="false">IF($B62="","",IFERROR(INDEX(대여내역!$K$3:$K$1002,MATCH("R"&amp;57,미반납현황!$M$6:$M$1005,0)),""))</f>
        <v/>
      </c>
      <c r="K62" s="26" t="b">
        <f aca="false">IF(대여내역!$A59="",FALSE(),OR(대여내역!$L59="미반납",대여내역!$L59="부분반납"))</f>
        <v>0</v>
      </c>
      <c r="L62" s="6" t="str">
        <f aca="false">IF($K62=FALSE(),"",COUNTIF($K$6:$K62,TRUE()))</f>
        <v/>
      </c>
      <c r="M62" s="6" t="str">
        <f aca="false">IF($L62="","","R"&amp;$L62)</f>
        <v/>
      </c>
    </row>
    <row r="63" customFormat="false" ht="15" hidden="false" customHeight="false" outlineLevel="0" collapsed="false">
      <c r="A63" s="22" t="str">
        <f aca="false">IF($B63="","",58)</f>
        <v/>
      </c>
      <c r="B63" s="14" t="str">
        <f aca="false">IFERROR(INDEX(대여내역!$A$3:$A$1002,MATCH("R"&amp;58,미반납현황!$M$6:$M$1005,0)),"")</f>
        <v/>
      </c>
      <c r="C63" s="23" t="str">
        <f aca="false">IF($B63="","",IFERROR(INDEX(대여내역!$B$3:$B$1002,MATCH("R"&amp;58,미반납현황!$M$6:$M$1005,0)),""))</f>
        <v/>
      </c>
      <c r="D63" s="14" t="str">
        <f aca="false">IF($B63="","",IFERROR(INDEX(대여내역!$C$3:$C$1002,MATCH("R"&amp;58,미반납현황!$M$6:$M$1005,0)),""))</f>
        <v/>
      </c>
      <c r="E63" s="14" t="str">
        <f aca="false">IF($B63="","",IFERROR(INDEX(대여내역!$E$3:$E$1002,MATCH("R"&amp;58,미반납현황!$M$6:$M$1005,0)),""))</f>
        <v/>
      </c>
      <c r="F63" s="22" t="str">
        <f aca="false">IF($B63="","",IFERROR(INDEX(대여내역!$G$3:$G$1002,MATCH("R"&amp;58,미반납현황!$M$6:$M$1005,0)),""))</f>
        <v/>
      </c>
      <c r="G63" s="22" t="str">
        <f aca="false">IF($B63="","",IFERROR(INDEX(대여내역!$J$3:$J$1002,MATCH("R"&amp;58,미반납현황!$M$6:$M$1005,0)),""))</f>
        <v/>
      </c>
      <c r="H63" s="23" t="str">
        <f aca="false">IF($B63="","",IFERROR(INDEX(대여내역!$H$3:$H$1002,MATCH("R"&amp;58,미반납현황!$M$6:$M$1005,0)),""))</f>
        <v/>
      </c>
      <c r="I63" s="22" t="str">
        <f aca="false">IF($B63="","",IFERROR(INDEX(대여내역!$K$3:$K$1002,MATCH("R"&amp;58,미반납현황!$M$6:$M$1005,0)),""))</f>
        <v/>
      </c>
      <c r="K63" s="26" t="b">
        <f aca="false">IF(대여내역!$A60="",FALSE(),OR(대여내역!$L60="미반납",대여내역!$L60="부분반납"))</f>
        <v>0</v>
      </c>
      <c r="L63" s="6" t="str">
        <f aca="false">IF($K63=FALSE(),"",COUNTIF($K$6:$K63,TRUE()))</f>
        <v/>
      </c>
      <c r="M63" s="6" t="str">
        <f aca="false">IF($L63="","","R"&amp;$L63)</f>
        <v/>
      </c>
    </row>
    <row r="64" customFormat="false" ht="15" hidden="false" customHeight="false" outlineLevel="0" collapsed="false">
      <c r="A64" s="22" t="str">
        <f aca="false">IF($B64="","",59)</f>
        <v/>
      </c>
      <c r="B64" s="14" t="str">
        <f aca="false">IFERROR(INDEX(대여내역!$A$3:$A$1002,MATCH("R"&amp;59,미반납현황!$M$6:$M$1005,0)),"")</f>
        <v/>
      </c>
      <c r="C64" s="23" t="str">
        <f aca="false">IF($B64="","",IFERROR(INDEX(대여내역!$B$3:$B$1002,MATCH("R"&amp;59,미반납현황!$M$6:$M$1005,0)),""))</f>
        <v/>
      </c>
      <c r="D64" s="14" t="str">
        <f aca="false">IF($B64="","",IFERROR(INDEX(대여내역!$C$3:$C$1002,MATCH("R"&amp;59,미반납현황!$M$6:$M$1005,0)),""))</f>
        <v/>
      </c>
      <c r="E64" s="14" t="str">
        <f aca="false">IF($B64="","",IFERROR(INDEX(대여내역!$E$3:$E$1002,MATCH("R"&amp;59,미반납현황!$M$6:$M$1005,0)),""))</f>
        <v/>
      </c>
      <c r="F64" s="22" t="str">
        <f aca="false">IF($B64="","",IFERROR(INDEX(대여내역!$G$3:$G$1002,MATCH("R"&amp;59,미반납현황!$M$6:$M$1005,0)),""))</f>
        <v/>
      </c>
      <c r="G64" s="22" t="str">
        <f aca="false">IF($B64="","",IFERROR(INDEX(대여내역!$J$3:$J$1002,MATCH("R"&amp;59,미반납현황!$M$6:$M$1005,0)),""))</f>
        <v/>
      </c>
      <c r="H64" s="23" t="str">
        <f aca="false">IF($B64="","",IFERROR(INDEX(대여내역!$H$3:$H$1002,MATCH("R"&amp;59,미반납현황!$M$6:$M$1005,0)),""))</f>
        <v/>
      </c>
      <c r="I64" s="22" t="str">
        <f aca="false">IF($B64="","",IFERROR(INDEX(대여내역!$K$3:$K$1002,MATCH("R"&amp;59,미반납현황!$M$6:$M$1005,0)),""))</f>
        <v/>
      </c>
      <c r="K64" s="26" t="b">
        <f aca="false">IF(대여내역!$A61="",FALSE(),OR(대여내역!$L61="미반납",대여내역!$L61="부분반납"))</f>
        <v>0</v>
      </c>
      <c r="L64" s="6" t="str">
        <f aca="false">IF($K64=FALSE(),"",COUNTIF($K$6:$K64,TRUE()))</f>
        <v/>
      </c>
      <c r="M64" s="6" t="str">
        <f aca="false">IF($L64="","","R"&amp;$L64)</f>
        <v/>
      </c>
    </row>
    <row r="65" customFormat="false" ht="15" hidden="false" customHeight="false" outlineLevel="0" collapsed="false">
      <c r="A65" s="22" t="str">
        <f aca="false">IF($B65="","",60)</f>
        <v/>
      </c>
      <c r="B65" s="14" t="str">
        <f aca="false">IFERROR(INDEX(대여내역!$A$3:$A$1002,MATCH("R"&amp;60,미반납현황!$M$6:$M$1005,0)),"")</f>
        <v/>
      </c>
      <c r="C65" s="23" t="str">
        <f aca="false">IF($B65="","",IFERROR(INDEX(대여내역!$B$3:$B$1002,MATCH("R"&amp;60,미반납현황!$M$6:$M$1005,0)),""))</f>
        <v/>
      </c>
      <c r="D65" s="14" t="str">
        <f aca="false">IF($B65="","",IFERROR(INDEX(대여내역!$C$3:$C$1002,MATCH("R"&amp;60,미반납현황!$M$6:$M$1005,0)),""))</f>
        <v/>
      </c>
      <c r="E65" s="14" t="str">
        <f aca="false">IF($B65="","",IFERROR(INDEX(대여내역!$E$3:$E$1002,MATCH("R"&amp;60,미반납현황!$M$6:$M$1005,0)),""))</f>
        <v/>
      </c>
      <c r="F65" s="22" t="str">
        <f aca="false">IF($B65="","",IFERROR(INDEX(대여내역!$G$3:$G$1002,MATCH("R"&amp;60,미반납현황!$M$6:$M$1005,0)),""))</f>
        <v/>
      </c>
      <c r="G65" s="22" t="str">
        <f aca="false">IF($B65="","",IFERROR(INDEX(대여내역!$J$3:$J$1002,MATCH("R"&amp;60,미반납현황!$M$6:$M$1005,0)),""))</f>
        <v/>
      </c>
      <c r="H65" s="23" t="str">
        <f aca="false">IF($B65="","",IFERROR(INDEX(대여내역!$H$3:$H$1002,MATCH("R"&amp;60,미반납현황!$M$6:$M$1005,0)),""))</f>
        <v/>
      </c>
      <c r="I65" s="22" t="str">
        <f aca="false">IF($B65="","",IFERROR(INDEX(대여내역!$K$3:$K$1002,MATCH("R"&amp;60,미반납현황!$M$6:$M$1005,0)),""))</f>
        <v/>
      </c>
      <c r="K65" s="26" t="b">
        <f aca="false">IF(대여내역!$A62="",FALSE(),OR(대여내역!$L62="미반납",대여내역!$L62="부분반납"))</f>
        <v>0</v>
      </c>
      <c r="L65" s="6" t="str">
        <f aca="false">IF($K65=FALSE(),"",COUNTIF($K$6:$K65,TRUE()))</f>
        <v/>
      </c>
      <c r="M65" s="6" t="str">
        <f aca="false">IF($L65="","","R"&amp;$L65)</f>
        <v/>
      </c>
    </row>
    <row r="66" customFormat="false" ht="15" hidden="false" customHeight="false" outlineLevel="0" collapsed="false">
      <c r="A66" s="22" t="str">
        <f aca="false">IF($B66="","",61)</f>
        <v/>
      </c>
      <c r="B66" s="14" t="str">
        <f aca="false">IFERROR(INDEX(대여내역!$A$3:$A$1002,MATCH("R"&amp;61,미반납현황!$M$6:$M$1005,0)),"")</f>
        <v/>
      </c>
      <c r="C66" s="23" t="str">
        <f aca="false">IF($B66="","",IFERROR(INDEX(대여내역!$B$3:$B$1002,MATCH("R"&amp;61,미반납현황!$M$6:$M$1005,0)),""))</f>
        <v/>
      </c>
      <c r="D66" s="14" t="str">
        <f aca="false">IF($B66="","",IFERROR(INDEX(대여내역!$C$3:$C$1002,MATCH("R"&amp;61,미반납현황!$M$6:$M$1005,0)),""))</f>
        <v/>
      </c>
      <c r="E66" s="14" t="str">
        <f aca="false">IF($B66="","",IFERROR(INDEX(대여내역!$E$3:$E$1002,MATCH("R"&amp;61,미반납현황!$M$6:$M$1005,0)),""))</f>
        <v/>
      </c>
      <c r="F66" s="22" t="str">
        <f aca="false">IF($B66="","",IFERROR(INDEX(대여내역!$G$3:$G$1002,MATCH("R"&amp;61,미반납현황!$M$6:$M$1005,0)),""))</f>
        <v/>
      </c>
      <c r="G66" s="22" t="str">
        <f aca="false">IF($B66="","",IFERROR(INDEX(대여내역!$J$3:$J$1002,MATCH("R"&amp;61,미반납현황!$M$6:$M$1005,0)),""))</f>
        <v/>
      </c>
      <c r="H66" s="23" t="str">
        <f aca="false">IF($B66="","",IFERROR(INDEX(대여내역!$H$3:$H$1002,MATCH("R"&amp;61,미반납현황!$M$6:$M$1005,0)),""))</f>
        <v/>
      </c>
      <c r="I66" s="22" t="str">
        <f aca="false">IF($B66="","",IFERROR(INDEX(대여내역!$K$3:$K$1002,MATCH("R"&amp;61,미반납현황!$M$6:$M$1005,0)),""))</f>
        <v/>
      </c>
      <c r="K66" s="26" t="b">
        <f aca="false">IF(대여내역!$A63="",FALSE(),OR(대여내역!$L63="미반납",대여내역!$L63="부분반납"))</f>
        <v>0</v>
      </c>
      <c r="L66" s="6" t="str">
        <f aca="false">IF($K66=FALSE(),"",COUNTIF($K$6:$K66,TRUE()))</f>
        <v/>
      </c>
      <c r="M66" s="6" t="str">
        <f aca="false">IF($L66="","","R"&amp;$L66)</f>
        <v/>
      </c>
    </row>
    <row r="67" customFormat="false" ht="15" hidden="false" customHeight="false" outlineLevel="0" collapsed="false">
      <c r="A67" s="22" t="str">
        <f aca="false">IF($B67="","",62)</f>
        <v/>
      </c>
      <c r="B67" s="14" t="str">
        <f aca="false">IFERROR(INDEX(대여내역!$A$3:$A$1002,MATCH("R"&amp;62,미반납현황!$M$6:$M$1005,0)),"")</f>
        <v/>
      </c>
      <c r="C67" s="23" t="str">
        <f aca="false">IF($B67="","",IFERROR(INDEX(대여내역!$B$3:$B$1002,MATCH("R"&amp;62,미반납현황!$M$6:$M$1005,0)),""))</f>
        <v/>
      </c>
      <c r="D67" s="14" t="str">
        <f aca="false">IF($B67="","",IFERROR(INDEX(대여내역!$C$3:$C$1002,MATCH("R"&amp;62,미반납현황!$M$6:$M$1005,0)),""))</f>
        <v/>
      </c>
      <c r="E67" s="14" t="str">
        <f aca="false">IF($B67="","",IFERROR(INDEX(대여내역!$E$3:$E$1002,MATCH("R"&amp;62,미반납현황!$M$6:$M$1005,0)),""))</f>
        <v/>
      </c>
      <c r="F67" s="22" t="str">
        <f aca="false">IF($B67="","",IFERROR(INDEX(대여내역!$G$3:$G$1002,MATCH("R"&amp;62,미반납현황!$M$6:$M$1005,0)),""))</f>
        <v/>
      </c>
      <c r="G67" s="22" t="str">
        <f aca="false">IF($B67="","",IFERROR(INDEX(대여내역!$J$3:$J$1002,MATCH("R"&amp;62,미반납현황!$M$6:$M$1005,0)),""))</f>
        <v/>
      </c>
      <c r="H67" s="23" t="str">
        <f aca="false">IF($B67="","",IFERROR(INDEX(대여내역!$H$3:$H$1002,MATCH("R"&amp;62,미반납현황!$M$6:$M$1005,0)),""))</f>
        <v/>
      </c>
      <c r="I67" s="22" t="str">
        <f aca="false">IF($B67="","",IFERROR(INDEX(대여내역!$K$3:$K$1002,MATCH("R"&amp;62,미반납현황!$M$6:$M$1005,0)),""))</f>
        <v/>
      </c>
      <c r="K67" s="26" t="b">
        <f aca="false">IF(대여내역!$A64="",FALSE(),OR(대여내역!$L64="미반납",대여내역!$L64="부분반납"))</f>
        <v>0</v>
      </c>
      <c r="L67" s="6" t="str">
        <f aca="false">IF($K67=FALSE(),"",COUNTIF($K$6:$K67,TRUE()))</f>
        <v/>
      </c>
      <c r="M67" s="6" t="str">
        <f aca="false">IF($L67="","","R"&amp;$L67)</f>
        <v/>
      </c>
    </row>
    <row r="68" customFormat="false" ht="15" hidden="false" customHeight="false" outlineLevel="0" collapsed="false">
      <c r="A68" s="22" t="str">
        <f aca="false">IF($B68="","",63)</f>
        <v/>
      </c>
      <c r="B68" s="14" t="str">
        <f aca="false">IFERROR(INDEX(대여내역!$A$3:$A$1002,MATCH("R"&amp;63,미반납현황!$M$6:$M$1005,0)),"")</f>
        <v/>
      </c>
      <c r="C68" s="23" t="str">
        <f aca="false">IF($B68="","",IFERROR(INDEX(대여내역!$B$3:$B$1002,MATCH("R"&amp;63,미반납현황!$M$6:$M$1005,0)),""))</f>
        <v/>
      </c>
      <c r="D68" s="14" t="str">
        <f aca="false">IF($B68="","",IFERROR(INDEX(대여내역!$C$3:$C$1002,MATCH("R"&amp;63,미반납현황!$M$6:$M$1005,0)),""))</f>
        <v/>
      </c>
      <c r="E68" s="14" t="str">
        <f aca="false">IF($B68="","",IFERROR(INDEX(대여내역!$E$3:$E$1002,MATCH("R"&amp;63,미반납현황!$M$6:$M$1005,0)),""))</f>
        <v/>
      </c>
      <c r="F68" s="22" t="str">
        <f aca="false">IF($B68="","",IFERROR(INDEX(대여내역!$G$3:$G$1002,MATCH("R"&amp;63,미반납현황!$M$6:$M$1005,0)),""))</f>
        <v/>
      </c>
      <c r="G68" s="22" t="str">
        <f aca="false">IF($B68="","",IFERROR(INDEX(대여내역!$J$3:$J$1002,MATCH("R"&amp;63,미반납현황!$M$6:$M$1005,0)),""))</f>
        <v/>
      </c>
      <c r="H68" s="23" t="str">
        <f aca="false">IF($B68="","",IFERROR(INDEX(대여내역!$H$3:$H$1002,MATCH("R"&amp;63,미반납현황!$M$6:$M$1005,0)),""))</f>
        <v/>
      </c>
      <c r="I68" s="22" t="str">
        <f aca="false">IF($B68="","",IFERROR(INDEX(대여내역!$K$3:$K$1002,MATCH("R"&amp;63,미반납현황!$M$6:$M$1005,0)),""))</f>
        <v/>
      </c>
      <c r="K68" s="26" t="b">
        <f aca="false">IF(대여내역!$A65="",FALSE(),OR(대여내역!$L65="미반납",대여내역!$L65="부분반납"))</f>
        <v>0</v>
      </c>
      <c r="L68" s="6" t="str">
        <f aca="false">IF($K68=FALSE(),"",COUNTIF($K$6:$K68,TRUE()))</f>
        <v/>
      </c>
      <c r="M68" s="6" t="str">
        <f aca="false">IF($L68="","","R"&amp;$L68)</f>
        <v/>
      </c>
    </row>
    <row r="69" customFormat="false" ht="15" hidden="false" customHeight="false" outlineLevel="0" collapsed="false">
      <c r="A69" s="22" t="str">
        <f aca="false">IF($B69="","",64)</f>
        <v/>
      </c>
      <c r="B69" s="14" t="str">
        <f aca="false">IFERROR(INDEX(대여내역!$A$3:$A$1002,MATCH("R"&amp;64,미반납현황!$M$6:$M$1005,0)),"")</f>
        <v/>
      </c>
      <c r="C69" s="23" t="str">
        <f aca="false">IF($B69="","",IFERROR(INDEX(대여내역!$B$3:$B$1002,MATCH("R"&amp;64,미반납현황!$M$6:$M$1005,0)),""))</f>
        <v/>
      </c>
      <c r="D69" s="14" t="str">
        <f aca="false">IF($B69="","",IFERROR(INDEX(대여내역!$C$3:$C$1002,MATCH("R"&amp;64,미반납현황!$M$6:$M$1005,0)),""))</f>
        <v/>
      </c>
      <c r="E69" s="14" t="str">
        <f aca="false">IF($B69="","",IFERROR(INDEX(대여내역!$E$3:$E$1002,MATCH("R"&amp;64,미반납현황!$M$6:$M$1005,0)),""))</f>
        <v/>
      </c>
      <c r="F69" s="22" t="str">
        <f aca="false">IF($B69="","",IFERROR(INDEX(대여내역!$G$3:$G$1002,MATCH("R"&amp;64,미반납현황!$M$6:$M$1005,0)),""))</f>
        <v/>
      </c>
      <c r="G69" s="22" t="str">
        <f aca="false">IF($B69="","",IFERROR(INDEX(대여내역!$J$3:$J$1002,MATCH("R"&amp;64,미반납현황!$M$6:$M$1005,0)),""))</f>
        <v/>
      </c>
      <c r="H69" s="23" t="str">
        <f aca="false">IF($B69="","",IFERROR(INDEX(대여내역!$H$3:$H$1002,MATCH("R"&amp;64,미반납현황!$M$6:$M$1005,0)),""))</f>
        <v/>
      </c>
      <c r="I69" s="22" t="str">
        <f aca="false">IF($B69="","",IFERROR(INDEX(대여내역!$K$3:$K$1002,MATCH("R"&amp;64,미반납현황!$M$6:$M$1005,0)),""))</f>
        <v/>
      </c>
      <c r="K69" s="26" t="b">
        <f aca="false">IF(대여내역!$A66="",FALSE(),OR(대여내역!$L66="미반납",대여내역!$L66="부분반납"))</f>
        <v>0</v>
      </c>
      <c r="L69" s="6" t="str">
        <f aca="false">IF($K69=FALSE(),"",COUNTIF($K$6:$K69,TRUE()))</f>
        <v/>
      </c>
      <c r="M69" s="6" t="str">
        <f aca="false">IF($L69="","","R"&amp;$L69)</f>
        <v/>
      </c>
    </row>
    <row r="70" customFormat="false" ht="15" hidden="false" customHeight="false" outlineLevel="0" collapsed="false">
      <c r="A70" s="22" t="str">
        <f aca="false">IF($B70="","",65)</f>
        <v/>
      </c>
      <c r="B70" s="14" t="str">
        <f aca="false">IFERROR(INDEX(대여내역!$A$3:$A$1002,MATCH("R"&amp;65,미반납현황!$M$6:$M$1005,0)),"")</f>
        <v/>
      </c>
      <c r="C70" s="23" t="str">
        <f aca="false">IF($B70="","",IFERROR(INDEX(대여내역!$B$3:$B$1002,MATCH("R"&amp;65,미반납현황!$M$6:$M$1005,0)),""))</f>
        <v/>
      </c>
      <c r="D70" s="14" t="str">
        <f aca="false">IF($B70="","",IFERROR(INDEX(대여내역!$C$3:$C$1002,MATCH("R"&amp;65,미반납현황!$M$6:$M$1005,0)),""))</f>
        <v/>
      </c>
      <c r="E70" s="14" t="str">
        <f aca="false">IF($B70="","",IFERROR(INDEX(대여내역!$E$3:$E$1002,MATCH("R"&amp;65,미반납현황!$M$6:$M$1005,0)),""))</f>
        <v/>
      </c>
      <c r="F70" s="22" t="str">
        <f aca="false">IF($B70="","",IFERROR(INDEX(대여내역!$G$3:$G$1002,MATCH("R"&amp;65,미반납현황!$M$6:$M$1005,0)),""))</f>
        <v/>
      </c>
      <c r="G70" s="22" t="str">
        <f aca="false">IF($B70="","",IFERROR(INDEX(대여내역!$J$3:$J$1002,MATCH("R"&amp;65,미반납현황!$M$6:$M$1005,0)),""))</f>
        <v/>
      </c>
      <c r="H70" s="23" t="str">
        <f aca="false">IF($B70="","",IFERROR(INDEX(대여내역!$H$3:$H$1002,MATCH("R"&amp;65,미반납현황!$M$6:$M$1005,0)),""))</f>
        <v/>
      </c>
      <c r="I70" s="22" t="str">
        <f aca="false">IF($B70="","",IFERROR(INDEX(대여내역!$K$3:$K$1002,MATCH("R"&amp;65,미반납현황!$M$6:$M$1005,0)),""))</f>
        <v/>
      </c>
      <c r="K70" s="26" t="b">
        <f aca="false">IF(대여내역!$A67="",FALSE(),OR(대여내역!$L67="미반납",대여내역!$L67="부분반납"))</f>
        <v>0</v>
      </c>
      <c r="L70" s="6" t="str">
        <f aca="false">IF($K70=FALSE(),"",COUNTIF($K$6:$K70,TRUE()))</f>
        <v/>
      </c>
      <c r="M70" s="6" t="str">
        <f aca="false">IF($L70="","","R"&amp;$L70)</f>
        <v/>
      </c>
    </row>
    <row r="71" customFormat="false" ht="15" hidden="false" customHeight="false" outlineLevel="0" collapsed="false">
      <c r="A71" s="22" t="str">
        <f aca="false">IF($B71="","",66)</f>
        <v/>
      </c>
      <c r="B71" s="14" t="str">
        <f aca="false">IFERROR(INDEX(대여내역!$A$3:$A$1002,MATCH("R"&amp;66,미반납현황!$M$6:$M$1005,0)),"")</f>
        <v/>
      </c>
      <c r="C71" s="23" t="str">
        <f aca="false">IF($B71="","",IFERROR(INDEX(대여내역!$B$3:$B$1002,MATCH("R"&amp;66,미반납현황!$M$6:$M$1005,0)),""))</f>
        <v/>
      </c>
      <c r="D71" s="14" t="str">
        <f aca="false">IF($B71="","",IFERROR(INDEX(대여내역!$C$3:$C$1002,MATCH("R"&amp;66,미반납현황!$M$6:$M$1005,0)),""))</f>
        <v/>
      </c>
      <c r="E71" s="14" t="str">
        <f aca="false">IF($B71="","",IFERROR(INDEX(대여내역!$E$3:$E$1002,MATCH("R"&amp;66,미반납현황!$M$6:$M$1005,0)),""))</f>
        <v/>
      </c>
      <c r="F71" s="22" t="str">
        <f aca="false">IF($B71="","",IFERROR(INDEX(대여내역!$G$3:$G$1002,MATCH("R"&amp;66,미반납현황!$M$6:$M$1005,0)),""))</f>
        <v/>
      </c>
      <c r="G71" s="22" t="str">
        <f aca="false">IF($B71="","",IFERROR(INDEX(대여내역!$J$3:$J$1002,MATCH("R"&amp;66,미반납현황!$M$6:$M$1005,0)),""))</f>
        <v/>
      </c>
      <c r="H71" s="23" t="str">
        <f aca="false">IF($B71="","",IFERROR(INDEX(대여내역!$H$3:$H$1002,MATCH("R"&amp;66,미반납현황!$M$6:$M$1005,0)),""))</f>
        <v/>
      </c>
      <c r="I71" s="22" t="str">
        <f aca="false">IF($B71="","",IFERROR(INDEX(대여내역!$K$3:$K$1002,MATCH("R"&amp;66,미반납현황!$M$6:$M$1005,0)),""))</f>
        <v/>
      </c>
      <c r="K71" s="26" t="b">
        <f aca="false">IF(대여내역!$A68="",FALSE(),OR(대여내역!$L68="미반납",대여내역!$L68="부분반납"))</f>
        <v>0</v>
      </c>
      <c r="L71" s="6" t="str">
        <f aca="false">IF($K71=FALSE(),"",COUNTIF($K$6:$K71,TRUE()))</f>
        <v/>
      </c>
      <c r="M71" s="6" t="str">
        <f aca="false">IF($L71="","","R"&amp;$L71)</f>
        <v/>
      </c>
    </row>
    <row r="72" customFormat="false" ht="15" hidden="false" customHeight="false" outlineLevel="0" collapsed="false">
      <c r="A72" s="22" t="str">
        <f aca="false">IF($B72="","",67)</f>
        <v/>
      </c>
      <c r="B72" s="14" t="str">
        <f aca="false">IFERROR(INDEX(대여내역!$A$3:$A$1002,MATCH("R"&amp;67,미반납현황!$M$6:$M$1005,0)),"")</f>
        <v/>
      </c>
      <c r="C72" s="23" t="str">
        <f aca="false">IF($B72="","",IFERROR(INDEX(대여내역!$B$3:$B$1002,MATCH("R"&amp;67,미반납현황!$M$6:$M$1005,0)),""))</f>
        <v/>
      </c>
      <c r="D72" s="14" t="str">
        <f aca="false">IF($B72="","",IFERROR(INDEX(대여내역!$C$3:$C$1002,MATCH("R"&amp;67,미반납현황!$M$6:$M$1005,0)),""))</f>
        <v/>
      </c>
      <c r="E72" s="14" t="str">
        <f aca="false">IF($B72="","",IFERROR(INDEX(대여내역!$E$3:$E$1002,MATCH("R"&amp;67,미반납현황!$M$6:$M$1005,0)),""))</f>
        <v/>
      </c>
      <c r="F72" s="22" t="str">
        <f aca="false">IF($B72="","",IFERROR(INDEX(대여내역!$G$3:$G$1002,MATCH("R"&amp;67,미반납현황!$M$6:$M$1005,0)),""))</f>
        <v/>
      </c>
      <c r="G72" s="22" t="str">
        <f aca="false">IF($B72="","",IFERROR(INDEX(대여내역!$J$3:$J$1002,MATCH("R"&amp;67,미반납현황!$M$6:$M$1005,0)),""))</f>
        <v/>
      </c>
      <c r="H72" s="23" t="str">
        <f aca="false">IF($B72="","",IFERROR(INDEX(대여내역!$H$3:$H$1002,MATCH("R"&amp;67,미반납현황!$M$6:$M$1005,0)),""))</f>
        <v/>
      </c>
      <c r="I72" s="22" t="str">
        <f aca="false">IF($B72="","",IFERROR(INDEX(대여내역!$K$3:$K$1002,MATCH("R"&amp;67,미반납현황!$M$6:$M$1005,0)),""))</f>
        <v/>
      </c>
      <c r="K72" s="26" t="b">
        <f aca="false">IF(대여내역!$A69="",FALSE(),OR(대여내역!$L69="미반납",대여내역!$L69="부분반납"))</f>
        <v>0</v>
      </c>
      <c r="L72" s="6" t="str">
        <f aca="false">IF($K72=FALSE(),"",COUNTIF($K$6:$K72,TRUE()))</f>
        <v/>
      </c>
      <c r="M72" s="6" t="str">
        <f aca="false">IF($L72="","","R"&amp;$L72)</f>
        <v/>
      </c>
    </row>
    <row r="73" customFormat="false" ht="15" hidden="false" customHeight="false" outlineLevel="0" collapsed="false">
      <c r="A73" s="22" t="str">
        <f aca="false">IF($B73="","",68)</f>
        <v/>
      </c>
      <c r="B73" s="14" t="str">
        <f aca="false">IFERROR(INDEX(대여내역!$A$3:$A$1002,MATCH("R"&amp;68,미반납현황!$M$6:$M$1005,0)),"")</f>
        <v/>
      </c>
      <c r="C73" s="23" t="str">
        <f aca="false">IF($B73="","",IFERROR(INDEX(대여내역!$B$3:$B$1002,MATCH("R"&amp;68,미반납현황!$M$6:$M$1005,0)),""))</f>
        <v/>
      </c>
      <c r="D73" s="14" t="str">
        <f aca="false">IF($B73="","",IFERROR(INDEX(대여내역!$C$3:$C$1002,MATCH("R"&amp;68,미반납현황!$M$6:$M$1005,0)),""))</f>
        <v/>
      </c>
      <c r="E73" s="14" t="str">
        <f aca="false">IF($B73="","",IFERROR(INDEX(대여내역!$E$3:$E$1002,MATCH("R"&amp;68,미반납현황!$M$6:$M$1005,0)),""))</f>
        <v/>
      </c>
      <c r="F73" s="22" t="str">
        <f aca="false">IF($B73="","",IFERROR(INDEX(대여내역!$G$3:$G$1002,MATCH("R"&amp;68,미반납현황!$M$6:$M$1005,0)),""))</f>
        <v/>
      </c>
      <c r="G73" s="22" t="str">
        <f aca="false">IF($B73="","",IFERROR(INDEX(대여내역!$J$3:$J$1002,MATCH("R"&amp;68,미반납현황!$M$6:$M$1005,0)),""))</f>
        <v/>
      </c>
      <c r="H73" s="23" t="str">
        <f aca="false">IF($B73="","",IFERROR(INDEX(대여내역!$H$3:$H$1002,MATCH("R"&amp;68,미반납현황!$M$6:$M$1005,0)),""))</f>
        <v/>
      </c>
      <c r="I73" s="22" t="str">
        <f aca="false">IF($B73="","",IFERROR(INDEX(대여내역!$K$3:$K$1002,MATCH("R"&amp;68,미반납현황!$M$6:$M$1005,0)),""))</f>
        <v/>
      </c>
      <c r="K73" s="26" t="b">
        <f aca="false">IF(대여내역!$A70="",FALSE(),OR(대여내역!$L70="미반납",대여내역!$L70="부분반납"))</f>
        <v>0</v>
      </c>
      <c r="L73" s="6" t="str">
        <f aca="false">IF($K73=FALSE(),"",COUNTIF($K$6:$K73,TRUE()))</f>
        <v/>
      </c>
      <c r="M73" s="6" t="str">
        <f aca="false">IF($L73="","","R"&amp;$L73)</f>
        <v/>
      </c>
    </row>
    <row r="74" customFormat="false" ht="15" hidden="false" customHeight="false" outlineLevel="0" collapsed="false">
      <c r="A74" s="22" t="str">
        <f aca="false">IF($B74="","",69)</f>
        <v/>
      </c>
      <c r="B74" s="14" t="str">
        <f aca="false">IFERROR(INDEX(대여내역!$A$3:$A$1002,MATCH("R"&amp;69,미반납현황!$M$6:$M$1005,0)),"")</f>
        <v/>
      </c>
      <c r="C74" s="23" t="str">
        <f aca="false">IF($B74="","",IFERROR(INDEX(대여내역!$B$3:$B$1002,MATCH("R"&amp;69,미반납현황!$M$6:$M$1005,0)),""))</f>
        <v/>
      </c>
      <c r="D74" s="14" t="str">
        <f aca="false">IF($B74="","",IFERROR(INDEX(대여내역!$C$3:$C$1002,MATCH("R"&amp;69,미반납현황!$M$6:$M$1005,0)),""))</f>
        <v/>
      </c>
      <c r="E74" s="14" t="str">
        <f aca="false">IF($B74="","",IFERROR(INDEX(대여내역!$E$3:$E$1002,MATCH("R"&amp;69,미반납현황!$M$6:$M$1005,0)),""))</f>
        <v/>
      </c>
      <c r="F74" s="22" t="str">
        <f aca="false">IF($B74="","",IFERROR(INDEX(대여내역!$G$3:$G$1002,MATCH("R"&amp;69,미반납현황!$M$6:$M$1005,0)),""))</f>
        <v/>
      </c>
      <c r="G74" s="22" t="str">
        <f aca="false">IF($B74="","",IFERROR(INDEX(대여내역!$J$3:$J$1002,MATCH("R"&amp;69,미반납현황!$M$6:$M$1005,0)),""))</f>
        <v/>
      </c>
      <c r="H74" s="23" t="str">
        <f aca="false">IF($B74="","",IFERROR(INDEX(대여내역!$H$3:$H$1002,MATCH("R"&amp;69,미반납현황!$M$6:$M$1005,0)),""))</f>
        <v/>
      </c>
      <c r="I74" s="22" t="str">
        <f aca="false">IF($B74="","",IFERROR(INDEX(대여내역!$K$3:$K$1002,MATCH("R"&amp;69,미반납현황!$M$6:$M$1005,0)),""))</f>
        <v/>
      </c>
      <c r="K74" s="26" t="b">
        <f aca="false">IF(대여내역!$A71="",FALSE(),OR(대여내역!$L71="미반납",대여내역!$L71="부분반납"))</f>
        <v>0</v>
      </c>
      <c r="L74" s="6" t="str">
        <f aca="false">IF($K74=FALSE(),"",COUNTIF($K$6:$K74,TRUE()))</f>
        <v/>
      </c>
      <c r="M74" s="6" t="str">
        <f aca="false">IF($L74="","","R"&amp;$L74)</f>
        <v/>
      </c>
    </row>
    <row r="75" customFormat="false" ht="15" hidden="false" customHeight="false" outlineLevel="0" collapsed="false">
      <c r="A75" s="22" t="str">
        <f aca="false">IF($B75="","",70)</f>
        <v/>
      </c>
      <c r="B75" s="14" t="str">
        <f aca="false">IFERROR(INDEX(대여내역!$A$3:$A$1002,MATCH("R"&amp;70,미반납현황!$M$6:$M$1005,0)),"")</f>
        <v/>
      </c>
      <c r="C75" s="23" t="str">
        <f aca="false">IF($B75="","",IFERROR(INDEX(대여내역!$B$3:$B$1002,MATCH("R"&amp;70,미반납현황!$M$6:$M$1005,0)),""))</f>
        <v/>
      </c>
      <c r="D75" s="14" t="str">
        <f aca="false">IF($B75="","",IFERROR(INDEX(대여내역!$C$3:$C$1002,MATCH("R"&amp;70,미반납현황!$M$6:$M$1005,0)),""))</f>
        <v/>
      </c>
      <c r="E75" s="14" t="str">
        <f aca="false">IF($B75="","",IFERROR(INDEX(대여내역!$E$3:$E$1002,MATCH("R"&amp;70,미반납현황!$M$6:$M$1005,0)),""))</f>
        <v/>
      </c>
      <c r="F75" s="22" t="str">
        <f aca="false">IF($B75="","",IFERROR(INDEX(대여내역!$G$3:$G$1002,MATCH("R"&amp;70,미반납현황!$M$6:$M$1005,0)),""))</f>
        <v/>
      </c>
      <c r="G75" s="22" t="str">
        <f aca="false">IF($B75="","",IFERROR(INDEX(대여내역!$J$3:$J$1002,MATCH("R"&amp;70,미반납현황!$M$6:$M$1005,0)),""))</f>
        <v/>
      </c>
      <c r="H75" s="23" t="str">
        <f aca="false">IF($B75="","",IFERROR(INDEX(대여내역!$H$3:$H$1002,MATCH("R"&amp;70,미반납현황!$M$6:$M$1005,0)),""))</f>
        <v/>
      </c>
      <c r="I75" s="22" t="str">
        <f aca="false">IF($B75="","",IFERROR(INDEX(대여내역!$K$3:$K$1002,MATCH("R"&amp;70,미반납현황!$M$6:$M$1005,0)),""))</f>
        <v/>
      </c>
      <c r="K75" s="26" t="b">
        <f aca="false">IF(대여내역!$A72="",FALSE(),OR(대여내역!$L72="미반납",대여내역!$L72="부분반납"))</f>
        <v>0</v>
      </c>
      <c r="L75" s="6" t="str">
        <f aca="false">IF($K75=FALSE(),"",COUNTIF($K$6:$K75,TRUE()))</f>
        <v/>
      </c>
      <c r="M75" s="6" t="str">
        <f aca="false">IF($L75="","","R"&amp;$L75)</f>
        <v/>
      </c>
    </row>
    <row r="76" customFormat="false" ht="15" hidden="false" customHeight="false" outlineLevel="0" collapsed="false">
      <c r="A76" s="22" t="str">
        <f aca="false">IF($B76="","",71)</f>
        <v/>
      </c>
      <c r="B76" s="14" t="str">
        <f aca="false">IFERROR(INDEX(대여내역!$A$3:$A$1002,MATCH("R"&amp;71,미반납현황!$M$6:$M$1005,0)),"")</f>
        <v/>
      </c>
      <c r="C76" s="23" t="str">
        <f aca="false">IF($B76="","",IFERROR(INDEX(대여내역!$B$3:$B$1002,MATCH("R"&amp;71,미반납현황!$M$6:$M$1005,0)),""))</f>
        <v/>
      </c>
      <c r="D76" s="14" t="str">
        <f aca="false">IF($B76="","",IFERROR(INDEX(대여내역!$C$3:$C$1002,MATCH("R"&amp;71,미반납현황!$M$6:$M$1005,0)),""))</f>
        <v/>
      </c>
      <c r="E76" s="14" t="str">
        <f aca="false">IF($B76="","",IFERROR(INDEX(대여내역!$E$3:$E$1002,MATCH("R"&amp;71,미반납현황!$M$6:$M$1005,0)),""))</f>
        <v/>
      </c>
      <c r="F76" s="22" t="str">
        <f aca="false">IF($B76="","",IFERROR(INDEX(대여내역!$G$3:$G$1002,MATCH("R"&amp;71,미반납현황!$M$6:$M$1005,0)),""))</f>
        <v/>
      </c>
      <c r="G76" s="22" t="str">
        <f aca="false">IF($B76="","",IFERROR(INDEX(대여내역!$J$3:$J$1002,MATCH("R"&amp;71,미반납현황!$M$6:$M$1005,0)),""))</f>
        <v/>
      </c>
      <c r="H76" s="23" t="str">
        <f aca="false">IF($B76="","",IFERROR(INDEX(대여내역!$H$3:$H$1002,MATCH("R"&amp;71,미반납현황!$M$6:$M$1005,0)),""))</f>
        <v/>
      </c>
      <c r="I76" s="22" t="str">
        <f aca="false">IF($B76="","",IFERROR(INDEX(대여내역!$K$3:$K$1002,MATCH("R"&amp;71,미반납현황!$M$6:$M$1005,0)),""))</f>
        <v/>
      </c>
      <c r="K76" s="26" t="b">
        <f aca="false">IF(대여내역!$A73="",FALSE(),OR(대여내역!$L73="미반납",대여내역!$L73="부분반납"))</f>
        <v>0</v>
      </c>
      <c r="L76" s="6" t="str">
        <f aca="false">IF($K76=FALSE(),"",COUNTIF($K$6:$K76,TRUE()))</f>
        <v/>
      </c>
      <c r="M76" s="6" t="str">
        <f aca="false">IF($L76="","","R"&amp;$L76)</f>
        <v/>
      </c>
    </row>
    <row r="77" customFormat="false" ht="15" hidden="false" customHeight="false" outlineLevel="0" collapsed="false">
      <c r="A77" s="22" t="str">
        <f aca="false">IF($B77="","",72)</f>
        <v/>
      </c>
      <c r="B77" s="14" t="str">
        <f aca="false">IFERROR(INDEX(대여내역!$A$3:$A$1002,MATCH("R"&amp;72,미반납현황!$M$6:$M$1005,0)),"")</f>
        <v/>
      </c>
      <c r="C77" s="23" t="str">
        <f aca="false">IF($B77="","",IFERROR(INDEX(대여내역!$B$3:$B$1002,MATCH("R"&amp;72,미반납현황!$M$6:$M$1005,0)),""))</f>
        <v/>
      </c>
      <c r="D77" s="14" t="str">
        <f aca="false">IF($B77="","",IFERROR(INDEX(대여내역!$C$3:$C$1002,MATCH("R"&amp;72,미반납현황!$M$6:$M$1005,0)),""))</f>
        <v/>
      </c>
      <c r="E77" s="14" t="str">
        <f aca="false">IF($B77="","",IFERROR(INDEX(대여내역!$E$3:$E$1002,MATCH("R"&amp;72,미반납현황!$M$6:$M$1005,0)),""))</f>
        <v/>
      </c>
      <c r="F77" s="22" t="str">
        <f aca="false">IF($B77="","",IFERROR(INDEX(대여내역!$G$3:$G$1002,MATCH("R"&amp;72,미반납현황!$M$6:$M$1005,0)),""))</f>
        <v/>
      </c>
      <c r="G77" s="22" t="str">
        <f aca="false">IF($B77="","",IFERROR(INDEX(대여내역!$J$3:$J$1002,MATCH("R"&amp;72,미반납현황!$M$6:$M$1005,0)),""))</f>
        <v/>
      </c>
      <c r="H77" s="23" t="str">
        <f aca="false">IF($B77="","",IFERROR(INDEX(대여내역!$H$3:$H$1002,MATCH("R"&amp;72,미반납현황!$M$6:$M$1005,0)),""))</f>
        <v/>
      </c>
      <c r="I77" s="22" t="str">
        <f aca="false">IF($B77="","",IFERROR(INDEX(대여내역!$K$3:$K$1002,MATCH("R"&amp;72,미반납현황!$M$6:$M$1005,0)),""))</f>
        <v/>
      </c>
      <c r="K77" s="26" t="b">
        <f aca="false">IF(대여내역!$A74="",FALSE(),OR(대여내역!$L74="미반납",대여내역!$L74="부분반납"))</f>
        <v>0</v>
      </c>
      <c r="L77" s="6" t="str">
        <f aca="false">IF($K77=FALSE(),"",COUNTIF($K$6:$K77,TRUE()))</f>
        <v/>
      </c>
      <c r="M77" s="6" t="str">
        <f aca="false">IF($L77="","","R"&amp;$L77)</f>
        <v/>
      </c>
    </row>
    <row r="78" customFormat="false" ht="15" hidden="false" customHeight="false" outlineLevel="0" collapsed="false">
      <c r="A78" s="22" t="str">
        <f aca="false">IF($B78="","",73)</f>
        <v/>
      </c>
      <c r="B78" s="14" t="str">
        <f aca="false">IFERROR(INDEX(대여내역!$A$3:$A$1002,MATCH("R"&amp;73,미반납현황!$M$6:$M$1005,0)),"")</f>
        <v/>
      </c>
      <c r="C78" s="23" t="str">
        <f aca="false">IF($B78="","",IFERROR(INDEX(대여내역!$B$3:$B$1002,MATCH("R"&amp;73,미반납현황!$M$6:$M$1005,0)),""))</f>
        <v/>
      </c>
      <c r="D78" s="14" t="str">
        <f aca="false">IF($B78="","",IFERROR(INDEX(대여내역!$C$3:$C$1002,MATCH("R"&amp;73,미반납현황!$M$6:$M$1005,0)),""))</f>
        <v/>
      </c>
      <c r="E78" s="14" t="str">
        <f aca="false">IF($B78="","",IFERROR(INDEX(대여내역!$E$3:$E$1002,MATCH("R"&amp;73,미반납현황!$M$6:$M$1005,0)),""))</f>
        <v/>
      </c>
      <c r="F78" s="22" t="str">
        <f aca="false">IF($B78="","",IFERROR(INDEX(대여내역!$G$3:$G$1002,MATCH("R"&amp;73,미반납현황!$M$6:$M$1005,0)),""))</f>
        <v/>
      </c>
      <c r="G78" s="22" t="str">
        <f aca="false">IF($B78="","",IFERROR(INDEX(대여내역!$J$3:$J$1002,MATCH("R"&amp;73,미반납현황!$M$6:$M$1005,0)),""))</f>
        <v/>
      </c>
      <c r="H78" s="23" t="str">
        <f aca="false">IF($B78="","",IFERROR(INDEX(대여내역!$H$3:$H$1002,MATCH("R"&amp;73,미반납현황!$M$6:$M$1005,0)),""))</f>
        <v/>
      </c>
      <c r="I78" s="22" t="str">
        <f aca="false">IF($B78="","",IFERROR(INDEX(대여내역!$K$3:$K$1002,MATCH("R"&amp;73,미반납현황!$M$6:$M$1005,0)),""))</f>
        <v/>
      </c>
      <c r="K78" s="26" t="b">
        <f aca="false">IF(대여내역!$A75="",FALSE(),OR(대여내역!$L75="미반납",대여내역!$L75="부분반납"))</f>
        <v>0</v>
      </c>
      <c r="L78" s="6" t="str">
        <f aca="false">IF($K78=FALSE(),"",COUNTIF($K$6:$K78,TRUE()))</f>
        <v/>
      </c>
      <c r="M78" s="6" t="str">
        <f aca="false">IF($L78="","","R"&amp;$L78)</f>
        <v/>
      </c>
    </row>
    <row r="79" customFormat="false" ht="15" hidden="false" customHeight="false" outlineLevel="0" collapsed="false">
      <c r="A79" s="22" t="str">
        <f aca="false">IF($B79="","",74)</f>
        <v/>
      </c>
      <c r="B79" s="14" t="str">
        <f aca="false">IFERROR(INDEX(대여내역!$A$3:$A$1002,MATCH("R"&amp;74,미반납현황!$M$6:$M$1005,0)),"")</f>
        <v/>
      </c>
      <c r="C79" s="23" t="str">
        <f aca="false">IF($B79="","",IFERROR(INDEX(대여내역!$B$3:$B$1002,MATCH("R"&amp;74,미반납현황!$M$6:$M$1005,0)),""))</f>
        <v/>
      </c>
      <c r="D79" s="14" t="str">
        <f aca="false">IF($B79="","",IFERROR(INDEX(대여내역!$C$3:$C$1002,MATCH("R"&amp;74,미반납현황!$M$6:$M$1005,0)),""))</f>
        <v/>
      </c>
      <c r="E79" s="14" t="str">
        <f aca="false">IF($B79="","",IFERROR(INDEX(대여내역!$E$3:$E$1002,MATCH("R"&amp;74,미반납현황!$M$6:$M$1005,0)),""))</f>
        <v/>
      </c>
      <c r="F79" s="22" t="str">
        <f aca="false">IF($B79="","",IFERROR(INDEX(대여내역!$G$3:$G$1002,MATCH("R"&amp;74,미반납현황!$M$6:$M$1005,0)),""))</f>
        <v/>
      </c>
      <c r="G79" s="22" t="str">
        <f aca="false">IF($B79="","",IFERROR(INDEX(대여내역!$J$3:$J$1002,MATCH("R"&amp;74,미반납현황!$M$6:$M$1005,0)),""))</f>
        <v/>
      </c>
      <c r="H79" s="23" t="str">
        <f aca="false">IF($B79="","",IFERROR(INDEX(대여내역!$H$3:$H$1002,MATCH("R"&amp;74,미반납현황!$M$6:$M$1005,0)),""))</f>
        <v/>
      </c>
      <c r="I79" s="22" t="str">
        <f aca="false">IF($B79="","",IFERROR(INDEX(대여내역!$K$3:$K$1002,MATCH("R"&amp;74,미반납현황!$M$6:$M$1005,0)),""))</f>
        <v/>
      </c>
      <c r="K79" s="26" t="b">
        <f aca="false">IF(대여내역!$A76="",FALSE(),OR(대여내역!$L76="미반납",대여내역!$L76="부분반납"))</f>
        <v>0</v>
      </c>
      <c r="L79" s="6" t="str">
        <f aca="false">IF($K79=FALSE(),"",COUNTIF($K$6:$K79,TRUE()))</f>
        <v/>
      </c>
      <c r="M79" s="6" t="str">
        <f aca="false">IF($L79="","","R"&amp;$L79)</f>
        <v/>
      </c>
    </row>
    <row r="80" customFormat="false" ht="15" hidden="false" customHeight="false" outlineLevel="0" collapsed="false">
      <c r="A80" s="22" t="str">
        <f aca="false">IF($B80="","",75)</f>
        <v/>
      </c>
      <c r="B80" s="14" t="str">
        <f aca="false">IFERROR(INDEX(대여내역!$A$3:$A$1002,MATCH("R"&amp;75,미반납현황!$M$6:$M$1005,0)),"")</f>
        <v/>
      </c>
      <c r="C80" s="23" t="str">
        <f aca="false">IF($B80="","",IFERROR(INDEX(대여내역!$B$3:$B$1002,MATCH("R"&amp;75,미반납현황!$M$6:$M$1005,0)),""))</f>
        <v/>
      </c>
      <c r="D80" s="14" t="str">
        <f aca="false">IF($B80="","",IFERROR(INDEX(대여내역!$C$3:$C$1002,MATCH("R"&amp;75,미반납현황!$M$6:$M$1005,0)),""))</f>
        <v/>
      </c>
      <c r="E80" s="14" t="str">
        <f aca="false">IF($B80="","",IFERROR(INDEX(대여내역!$E$3:$E$1002,MATCH("R"&amp;75,미반납현황!$M$6:$M$1005,0)),""))</f>
        <v/>
      </c>
      <c r="F80" s="22" t="str">
        <f aca="false">IF($B80="","",IFERROR(INDEX(대여내역!$G$3:$G$1002,MATCH("R"&amp;75,미반납현황!$M$6:$M$1005,0)),""))</f>
        <v/>
      </c>
      <c r="G80" s="22" t="str">
        <f aca="false">IF($B80="","",IFERROR(INDEX(대여내역!$J$3:$J$1002,MATCH("R"&amp;75,미반납현황!$M$6:$M$1005,0)),""))</f>
        <v/>
      </c>
      <c r="H80" s="23" t="str">
        <f aca="false">IF($B80="","",IFERROR(INDEX(대여내역!$H$3:$H$1002,MATCH("R"&amp;75,미반납현황!$M$6:$M$1005,0)),""))</f>
        <v/>
      </c>
      <c r="I80" s="22" t="str">
        <f aca="false">IF($B80="","",IFERROR(INDEX(대여내역!$K$3:$K$1002,MATCH("R"&amp;75,미반납현황!$M$6:$M$1005,0)),""))</f>
        <v/>
      </c>
      <c r="K80" s="26" t="b">
        <f aca="false">IF(대여내역!$A77="",FALSE(),OR(대여내역!$L77="미반납",대여내역!$L77="부분반납"))</f>
        <v>0</v>
      </c>
      <c r="L80" s="6" t="str">
        <f aca="false">IF($K80=FALSE(),"",COUNTIF($K$6:$K80,TRUE()))</f>
        <v/>
      </c>
      <c r="M80" s="6" t="str">
        <f aca="false">IF($L80="","","R"&amp;$L80)</f>
        <v/>
      </c>
    </row>
    <row r="81" customFormat="false" ht="15" hidden="false" customHeight="false" outlineLevel="0" collapsed="false">
      <c r="A81" s="22" t="str">
        <f aca="false">IF($B81="","",76)</f>
        <v/>
      </c>
      <c r="B81" s="14" t="str">
        <f aca="false">IFERROR(INDEX(대여내역!$A$3:$A$1002,MATCH("R"&amp;76,미반납현황!$M$6:$M$1005,0)),"")</f>
        <v/>
      </c>
      <c r="C81" s="23" t="str">
        <f aca="false">IF($B81="","",IFERROR(INDEX(대여내역!$B$3:$B$1002,MATCH("R"&amp;76,미반납현황!$M$6:$M$1005,0)),""))</f>
        <v/>
      </c>
      <c r="D81" s="14" t="str">
        <f aca="false">IF($B81="","",IFERROR(INDEX(대여내역!$C$3:$C$1002,MATCH("R"&amp;76,미반납현황!$M$6:$M$1005,0)),""))</f>
        <v/>
      </c>
      <c r="E81" s="14" t="str">
        <f aca="false">IF($B81="","",IFERROR(INDEX(대여내역!$E$3:$E$1002,MATCH("R"&amp;76,미반납현황!$M$6:$M$1005,0)),""))</f>
        <v/>
      </c>
      <c r="F81" s="22" t="str">
        <f aca="false">IF($B81="","",IFERROR(INDEX(대여내역!$G$3:$G$1002,MATCH("R"&amp;76,미반납현황!$M$6:$M$1005,0)),""))</f>
        <v/>
      </c>
      <c r="G81" s="22" t="str">
        <f aca="false">IF($B81="","",IFERROR(INDEX(대여내역!$J$3:$J$1002,MATCH("R"&amp;76,미반납현황!$M$6:$M$1005,0)),""))</f>
        <v/>
      </c>
      <c r="H81" s="23" t="str">
        <f aca="false">IF($B81="","",IFERROR(INDEX(대여내역!$H$3:$H$1002,MATCH("R"&amp;76,미반납현황!$M$6:$M$1005,0)),""))</f>
        <v/>
      </c>
      <c r="I81" s="22" t="str">
        <f aca="false">IF($B81="","",IFERROR(INDEX(대여내역!$K$3:$K$1002,MATCH("R"&amp;76,미반납현황!$M$6:$M$1005,0)),""))</f>
        <v/>
      </c>
      <c r="K81" s="26" t="b">
        <f aca="false">IF(대여내역!$A78="",FALSE(),OR(대여내역!$L78="미반납",대여내역!$L78="부분반납"))</f>
        <v>0</v>
      </c>
      <c r="L81" s="6" t="str">
        <f aca="false">IF($K81=FALSE(),"",COUNTIF($K$6:$K81,TRUE()))</f>
        <v/>
      </c>
      <c r="M81" s="6" t="str">
        <f aca="false">IF($L81="","","R"&amp;$L81)</f>
        <v/>
      </c>
    </row>
    <row r="82" customFormat="false" ht="15" hidden="false" customHeight="false" outlineLevel="0" collapsed="false">
      <c r="A82" s="22" t="str">
        <f aca="false">IF($B82="","",77)</f>
        <v/>
      </c>
      <c r="B82" s="14" t="str">
        <f aca="false">IFERROR(INDEX(대여내역!$A$3:$A$1002,MATCH("R"&amp;77,미반납현황!$M$6:$M$1005,0)),"")</f>
        <v/>
      </c>
      <c r="C82" s="23" t="str">
        <f aca="false">IF($B82="","",IFERROR(INDEX(대여내역!$B$3:$B$1002,MATCH("R"&amp;77,미반납현황!$M$6:$M$1005,0)),""))</f>
        <v/>
      </c>
      <c r="D82" s="14" t="str">
        <f aca="false">IF($B82="","",IFERROR(INDEX(대여내역!$C$3:$C$1002,MATCH("R"&amp;77,미반납현황!$M$6:$M$1005,0)),""))</f>
        <v/>
      </c>
      <c r="E82" s="14" t="str">
        <f aca="false">IF($B82="","",IFERROR(INDEX(대여내역!$E$3:$E$1002,MATCH("R"&amp;77,미반납현황!$M$6:$M$1005,0)),""))</f>
        <v/>
      </c>
      <c r="F82" s="22" t="str">
        <f aca="false">IF($B82="","",IFERROR(INDEX(대여내역!$G$3:$G$1002,MATCH("R"&amp;77,미반납현황!$M$6:$M$1005,0)),""))</f>
        <v/>
      </c>
      <c r="G82" s="22" t="str">
        <f aca="false">IF($B82="","",IFERROR(INDEX(대여내역!$J$3:$J$1002,MATCH("R"&amp;77,미반납현황!$M$6:$M$1005,0)),""))</f>
        <v/>
      </c>
      <c r="H82" s="23" t="str">
        <f aca="false">IF($B82="","",IFERROR(INDEX(대여내역!$H$3:$H$1002,MATCH("R"&amp;77,미반납현황!$M$6:$M$1005,0)),""))</f>
        <v/>
      </c>
      <c r="I82" s="22" t="str">
        <f aca="false">IF($B82="","",IFERROR(INDEX(대여내역!$K$3:$K$1002,MATCH("R"&amp;77,미반납현황!$M$6:$M$1005,0)),""))</f>
        <v/>
      </c>
      <c r="K82" s="26" t="b">
        <f aca="false">IF(대여내역!$A79="",FALSE(),OR(대여내역!$L79="미반납",대여내역!$L79="부분반납"))</f>
        <v>0</v>
      </c>
      <c r="L82" s="6" t="str">
        <f aca="false">IF($K82=FALSE(),"",COUNTIF($K$6:$K82,TRUE()))</f>
        <v/>
      </c>
      <c r="M82" s="6" t="str">
        <f aca="false">IF($L82="","","R"&amp;$L82)</f>
        <v/>
      </c>
    </row>
    <row r="83" customFormat="false" ht="15" hidden="false" customHeight="false" outlineLevel="0" collapsed="false">
      <c r="A83" s="22" t="str">
        <f aca="false">IF($B83="","",78)</f>
        <v/>
      </c>
      <c r="B83" s="14" t="str">
        <f aca="false">IFERROR(INDEX(대여내역!$A$3:$A$1002,MATCH("R"&amp;78,미반납현황!$M$6:$M$1005,0)),"")</f>
        <v/>
      </c>
      <c r="C83" s="23" t="str">
        <f aca="false">IF($B83="","",IFERROR(INDEX(대여내역!$B$3:$B$1002,MATCH("R"&amp;78,미반납현황!$M$6:$M$1005,0)),""))</f>
        <v/>
      </c>
      <c r="D83" s="14" t="str">
        <f aca="false">IF($B83="","",IFERROR(INDEX(대여내역!$C$3:$C$1002,MATCH("R"&amp;78,미반납현황!$M$6:$M$1005,0)),""))</f>
        <v/>
      </c>
      <c r="E83" s="14" t="str">
        <f aca="false">IF($B83="","",IFERROR(INDEX(대여내역!$E$3:$E$1002,MATCH("R"&amp;78,미반납현황!$M$6:$M$1005,0)),""))</f>
        <v/>
      </c>
      <c r="F83" s="22" t="str">
        <f aca="false">IF($B83="","",IFERROR(INDEX(대여내역!$G$3:$G$1002,MATCH("R"&amp;78,미반납현황!$M$6:$M$1005,0)),""))</f>
        <v/>
      </c>
      <c r="G83" s="22" t="str">
        <f aca="false">IF($B83="","",IFERROR(INDEX(대여내역!$J$3:$J$1002,MATCH("R"&amp;78,미반납현황!$M$6:$M$1005,0)),""))</f>
        <v/>
      </c>
      <c r="H83" s="23" t="str">
        <f aca="false">IF($B83="","",IFERROR(INDEX(대여내역!$H$3:$H$1002,MATCH("R"&amp;78,미반납현황!$M$6:$M$1005,0)),""))</f>
        <v/>
      </c>
      <c r="I83" s="22" t="str">
        <f aca="false">IF($B83="","",IFERROR(INDEX(대여내역!$K$3:$K$1002,MATCH("R"&amp;78,미반납현황!$M$6:$M$1005,0)),""))</f>
        <v/>
      </c>
      <c r="K83" s="26" t="b">
        <f aca="false">IF(대여내역!$A80="",FALSE(),OR(대여내역!$L80="미반납",대여내역!$L80="부분반납"))</f>
        <v>0</v>
      </c>
      <c r="L83" s="6" t="str">
        <f aca="false">IF($K83=FALSE(),"",COUNTIF($K$6:$K83,TRUE()))</f>
        <v/>
      </c>
      <c r="M83" s="6" t="str">
        <f aca="false">IF($L83="","","R"&amp;$L83)</f>
        <v/>
      </c>
    </row>
    <row r="84" customFormat="false" ht="15" hidden="false" customHeight="false" outlineLevel="0" collapsed="false">
      <c r="A84" s="22" t="str">
        <f aca="false">IF($B84="","",79)</f>
        <v/>
      </c>
      <c r="B84" s="14" t="str">
        <f aca="false">IFERROR(INDEX(대여내역!$A$3:$A$1002,MATCH("R"&amp;79,미반납현황!$M$6:$M$1005,0)),"")</f>
        <v/>
      </c>
      <c r="C84" s="23" t="str">
        <f aca="false">IF($B84="","",IFERROR(INDEX(대여내역!$B$3:$B$1002,MATCH("R"&amp;79,미반납현황!$M$6:$M$1005,0)),""))</f>
        <v/>
      </c>
      <c r="D84" s="14" t="str">
        <f aca="false">IF($B84="","",IFERROR(INDEX(대여내역!$C$3:$C$1002,MATCH("R"&amp;79,미반납현황!$M$6:$M$1005,0)),""))</f>
        <v/>
      </c>
      <c r="E84" s="14" t="str">
        <f aca="false">IF($B84="","",IFERROR(INDEX(대여내역!$E$3:$E$1002,MATCH("R"&amp;79,미반납현황!$M$6:$M$1005,0)),""))</f>
        <v/>
      </c>
      <c r="F84" s="22" t="str">
        <f aca="false">IF($B84="","",IFERROR(INDEX(대여내역!$G$3:$G$1002,MATCH("R"&amp;79,미반납현황!$M$6:$M$1005,0)),""))</f>
        <v/>
      </c>
      <c r="G84" s="22" t="str">
        <f aca="false">IF($B84="","",IFERROR(INDEX(대여내역!$J$3:$J$1002,MATCH("R"&amp;79,미반납현황!$M$6:$M$1005,0)),""))</f>
        <v/>
      </c>
      <c r="H84" s="23" t="str">
        <f aca="false">IF($B84="","",IFERROR(INDEX(대여내역!$H$3:$H$1002,MATCH("R"&amp;79,미반납현황!$M$6:$M$1005,0)),""))</f>
        <v/>
      </c>
      <c r="I84" s="22" t="str">
        <f aca="false">IF($B84="","",IFERROR(INDEX(대여내역!$K$3:$K$1002,MATCH("R"&amp;79,미반납현황!$M$6:$M$1005,0)),""))</f>
        <v/>
      </c>
      <c r="K84" s="26" t="b">
        <f aca="false">IF(대여내역!$A81="",FALSE(),OR(대여내역!$L81="미반납",대여내역!$L81="부분반납"))</f>
        <v>0</v>
      </c>
      <c r="L84" s="6" t="str">
        <f aca="false">IF($K84=FALSE(),"",COUNTIF($K$6:$K84,TRUE()))</f>
        <v/>
      </c>
      <c r="M84" s="6" t="str">
        <f aca="false">IF($L84="","","R"&amp;$L84)</f>
        <v/>
      </c>
    </row>
    <row r="85" customFormat="false" ht="15" hidden="false" customHeight="false" outlineLevel="0" collapsed="false">
      <c r="A85" s="22" t="str">
        <f aca="false">IF($B85="","",80)</f>
        <v/>
      </c>
      <c r="B85" s="14" t="str">
        <f aca="false">IFERROR(INDEX(대여내역!$A$3:$A$1002,MATCH("R"&amp;80,미반납현황!$M$6:$M$1005,0)),"")</f>
        <v/>
      </c>
      <c r="C85" s="23" t="str">
        <f aca="false">IF($B85="","",IFERROR(INDEX(대여내역!$B$3:$B$1002,MATCH("R"&amp;80,미반납현황!$M$6:$M$1005,0)),""))</f>
        <v/>
      </c>
      <c r="D85" s="14" t="str">
        <f aca="false">IF($B85="","",IFERROR(INDEX(대여내역!$C$3:$C$1002,MATCH("R"&amp;80,미반납현황!$M$6:$M$1005,0)),""))</f>
        <v/>
      </c>
      <c r="E85" s="14" t="str">
        <f aca="false">IF($B85="","",IFERROR(INDEX(대여내역!$E$3:$E$1002,MATCH("R"&amp;80,미반납현황!$M$6:$M$1005,0)),""))</f>
        <v/>
      </c>
      <c r="F85" s="22" t="str">
        <f aca="false">IF($B85="","",IFERROR(INDEX(대여내역!$G$3:$G$1002,MATCH("R"&amp;80,미반납현황!$M$6:$M$1005,0)),""))</f>
        <v/>
      </c>
      <c r="G85" s="22" t="str">
        <f aca="false">IF($B85="","",IFERROR(INDEX(대여내역!$J$3:$J$1002,MATCH("R"&amp;80,미반납현황!$M$6:$M$1005,0)),""))</f>
        <v/>
      </c>
      <c r="H85" s="23" t="str">
        <f aca="false">IF($B85="","",IFERROR(INDEX(대여내역!$H$3:$H$1002,MATCH("R"&amp;80,미반납현황!$M$6:$M$1005,0)),""))</f>
        <v/>
      </c>
      <c r="I85" s="22" t="str">
        <f aca="false">IF($B85="","",IFERROR(INDEX(대여내역!$K$3:$K$1002,MATCH("R"&amp;80,미반납현황!$M$6:$M$1005,0)),""))</f>
        <v/>
      </c>
      <c r="K85" s="26" t="b">
        <f aca="false">IF(대여내역!$A82="",FALSE(),OR(대여내역!$L82="미반납",대여내역!$L82="부분반납"))</f>
        <v>0</v>
      </c>
      <c r="L85" s="6" t="str">
        <f aca="false">IF($K85=FALSE(),"",COUNTIF($K$6:$K85,TRUE()))</f>
        <v/>
      </c>
      <c r="M85" s="6" t="str">
        <f aca="false">IF($L85="","","R"&amp;$L85)</f>
        <v/>
      </c>
    </row>
    <row r="86" customFormat="false" ht="15" hidden="false" customHeight="false" outlineLevel="0" collapsed="false">
      <c r="A86" s="22" t="str">
        <f aca="false">IF($B86="","",81)</f>
        <v/>
      </c>
      <c r="B86" s="14" t="str">
        <f aca="false">IFERROR(INDEX(대여내역!$A$3:$A$1002,MATCH("R"&amp;81,미반납현황!$M$6:$M$1005,0)),"")</f>
        <v/>
      </c>
      <c r="C86" s="23" t="str">
        <f aca="false">IF($B86="","",IFERROR(INDEX(대여내역!$B$3:$B$1002,MATCH("R"&amp;81,미반납현황!$M$6:$M$1005,0)),""))</f>
        <v/>
      </c>
      <c r="D86" s="14" t="str">
        <f aca="false">IF($B86="","",IFERROR(INDEX(대여내역!$C$3:$C$1002,MATCH("R"&amp;81,미반납현황!$M$6:$M$1005,0)),""))</f>
        <v/>
      </c>
      <c r="E86" s="14" t="str">
        <f aca="false">IF($B86="","",IFERROR(INDEX(대여내역!$E$3:$E$1002,MATCH("R"&amp;81,미반납현황!$M$6:$M$1005,0)),""))</f>
        <v/>
      </c>
      <c r="F86" s="22" t="str">
        <f aca="false">IF($B86="","",IFERROR(INDEX(대여내역!$G$3:$G$1002,MATCH("R"&amp;81,미반납현황!$M$6:$M$1005,0)),""))</f>
        <v/>
      </c>
      <c r="G86" s="22" t="str">
        <f aca="false">IF($B86="","",IFERROR(INDEX(대여내역!$J$3:$J$1002,MATCH("R"&amp;81,미반납현황!$M$6:$M$1005,0)),""))</f>
        <v/>
      </c>
      <c r="H86" s="23" t="str">
        <f aca="false">IF($B86="","",IFERROR(INDEX(대여내역!$H$3:$H$1002,MATCH("R"&amp;81,미반납현황!$M$6:$M$1005,0)),""))</f>
        <v/>
      </c>
      <c r="I86" s="22" t="str">
        <f aca="false">IF($B86="","",IFERROR(INDEX(대여내역!$K$3:$K$1002,MATCH("R"&amp;81,미반납현황!$M$6:$M$1005,0)),""))</f>
        <v/>
      </c>
      <c r="K86" s="26" t="b">
        <f aca="false">IF(대여내역!$A83="",FALSE(),OR(대여내역!$L83="미반납",대여내역!$L83="부분반납"))</f>
        <v>0</v>
      </c>
      <c r="L86" s="6" t="str">
        <f aca="false">IF($K86=FALSE(),"",COUNTIF($K$6:$K86,TRUE()))</f>
        <v/>
      </c>
      <c r="M86" s="6" t="str">
        <f aca="false">IF($L86="","","R"&amp;$L86)</f>
        <v/>
      </c>
    </row>
    <row r="87" customFormat="false" ht="15" hidden="false" customHeight="false" outlineLevel="0" collapsed="false">
      <c r="A87" s="22" t="str">
        <f aca="false">IF($B87="","",82)</f>
        <v/>
      </c>
      <c r="B87" s="14" t="str">
        <f aca="false">IFERROR(INDEX(대여내역!$A$3:$A$1002,MATCH("R"&amp;82,미반납현황!$M$6:$M$1005,0)),"")</f>
        <v/>
      </c>
      <c r="C87" s="23" t="str">
        <f aca="false">IF($B87="","",IFERROR(INDEX(대여내역!$B$3:$B$1002,MATCH("R"&amp;82,미반납현황!$M$6:$M$1005,0)),""))</f>
        <v/>
      </c>
      <c r="D87" s="14" t="str">
        <f aca="false">IF($B87="","",IFERROR(INDEX(대여내역!$C$3:$C$1002,MATCH("R"&amp;82,미반납현황!$M$6:$M$1005,0)),""))</f>
        <v/>
      </c>
      <c r="E87" s="14" t="str">
        <f aca="false">IF($B87="","",IFERROR(INDEX(대여내역!$E$3:$E$1002,MATCH("R"&amp;82,미반납현황!$M$6:$M$1005,0)),""))</f>
        <v/>
      </c>
      <c r="F87" s="22" t="str">
        <f aca="false">IF($B87="","",IFERROR(INDEX(대여내역!$G$3:$G$1002,MATCH("R"&amp;82,미반납현황!$M$6:$M$1005,0)),""))</f>
        <v/>
      </c>
      <c r="G87" s="22" t="str">
        <f aca="false">IF($B87="","",IFERROR(INDEX(대여내역!$J$3:$J$1002,MATCH("R"&amp;82,미반납현황!$M$6:$M$1005,0)),""))</f>
        <v/>
      </c>
      <c r="H87" s="23" t="str">
        <f aca="false">IF($B87="","",IFERROR(INDEX(대여내역!$H$3:$H$1002,MATCH("R"&amp;82,미반납현황!$M$6:$M$1005,0)),""))</f>
        <v/>
      </c>
      <c r="I87" s="22" t="str">
        <f aca="false">IF($B87="","",IFERROR(INDEX(대여내역!$K$3:$K$1002,MATCH("R"&amp;82,미반납현황!$M$6:$M$1005,0)),""))</f>
        <v/>
      </c>
      <c r="K87" s="26" t="b">
        <f aca="false">IF(대여내역!$A84="",FALSE(),OR(대여내역!$L84="미반납",대여내역!$L84="부분반납"))</f>
        <v>0</v>
      </c>
      <c r="L87" s="6" t="str">
        <f aca="false">IF($K87=FALSE(),"",COUNTIF($K$6:$K87,TRUE()))</f>
        <v/>
      </c>
      <c r="M87" s="6" t="str">
        <f aca="false">IF($L87="","","R"&amp;$L87)</f>
        <v/>
      </c>
    </row>
    <row r="88" customFormat="false" ht="15" hidden="false" customHeight="false" outlineLevel="0" collapsed="false">
      <c r="A88" s="22" t="str">
        <f aca="false">IF($B88="","",83)</f>
        <v/>
      </c>
      <c r="B88" s="14" t="str">
        <f aca="false">IFERROR(INDEX(대여내역!$A$3:$A$1002,MATCH("R"&amp;83,미반납현황!$M$6:$M$1005,0)),"")</f>
        <v/>
      </c>
      <c r="C88" s="23" t="str">
        <f aca="false">IF($B88="","",IFERROR(INDEX(대여내역!$B$3:$B$1002,MATCH("R"&amp;83,미반납현황!$M$6:$M$1005,0)),""))</f>
        <v/>
      </c>
      <c r="D88" s="14" t="str">
        <f aca="false">IF($B88="","",IFERROR(INDEX(대여내역!$C$3:$C$1002,MATCH("R"&amp;83,미반납현황!$M$6:$M$1005,0)),""))</f>
        <v/>
      </c>
      <c r="E88" s="14" t="str">
        <f aca="false">IF($B88="","",IFERROR(INDEX(대여내역!$E$3:$E$1002,MATCH("R"&amp;83,미반납현황!$M$6:$M$1005,0)),""))</f>
        <v/>
      </c>
      <c r="F88" s="22" t="str">
        <f aca="false">IF($B88="","",IFERROR(INDEX(대여내역!$G$3:$G$1002,MATCH("R"&amp;83,미반납현황!$M$6:$M$1005,0)),""))</f>
        <v/>
      </c>
      <c r="G88" s="22" t="str">
        <f aca="false">IF($B88="","",IFERROR(INDEX(대여내역!$J$3:$J$1002,MATCH("R"&amp;83,미반납현황!$M$6:$M$1005,0)),""))</f>
        <v/>
      </c>
      <c r="H88" s="23" t="str">
        <f aca="false">IF($B88="","",IFERROR(INDEX(대여내역!$H$3:$H$1002,MATCH("R"&amp;83,미반납현황!$M$6:$M$1005,0)),""))</f>
        <v/>
      </c>
      <c r="I88" s="22" t="str">
        <f aca="false">IF($B88="","",IFERROR(INDEX(대여내역!$K$3:$K$1002,MATCH("R"&amp;83,미반납현황!$M$6:$M$1005,0)),""))</f>
        <v/>
      </c>
      <c r="K88" s="26" t="b">
        <f aca="false">IF(대여내역!$A85="",FALSE(),OR(대여내역!$L85="미반납",대여내역!$L85="부분반납"))</f>
        <v>0</v>
      </c>
      <c r="L88" s="6" t="str">
        <f aca="false">IF($K88=FALSE(),"",COUNTIF($K$6:$K88,TRUE()))</f>
        <v/>
      </c>
      <c r="M88" s="6" t="str">
        <f aca="false">IF($L88="","","R"&amp;$L88)</f>
        <v/>
      </c>
    </row>
    <row r="89" customFormat="false" ht="15" hidden="false" customHeight="false" outlineLevel="0" collapsed="false">
      <c r="A89" s="22" t="str">
        <f aca="false">IF($B89="","",84)</f>
        <v/>
      </c>
      <c r="B89" s="14" t="str">
        <f aca="false">IFERROR(INDEX(대여내역!$A$3:$A$1002,MATCH("R"&amp;84,미반납현황!$M$6:$M$1005,0)),"")</f>
        <v/>
      </c>
      <c r="C89" s="23" t="str">
        <f aca="false">IF($B89="","",IFERROR(INDEX(대여내역!$B$3:$B$1002,MATCH("R"&amp;84,미반납현황!$M$6:$M$1005,0)),""))</f>
        <v/>
      </c>
      <c r="D89" s="14" t="str">
        <f aca="false">IF($B89="","",IFERROR(INDEX(대여내역!$C$3:$C$1002,MATCH("R"&amp;84,미반납현황!$M$6:$M$1005,0)),""))</f>
        <v/>
      </c>
      <c r="E89" s="14" t="str">
        <f aca="false">IF($B89="","",IFERROR(INDEX(대여내역!$E$3:$E$1002,MATCH("R"&amp;84,미반납현황!$M$6:$M$1005,0)),""))</f>
        <v/>
      </c>
      <c r="F89" s="22" t="str">
        <f aca="false">IF($B89="","",IFERROR(INDEX(대여내역!$G$3:$G$1002,MATCH("R"&amp;84,미반납현황!$M$6:$M$1005,0)),""))</f>
        <v/>
      </c>
      <c r="G89" s="22" t="str">
        <f aca="false">IF($B89="","",IFERROR(INDEX(대여내역!$J$3:$J$1002,MATCH("R"&amp;84,미반납현황!$M$6:$M$1005,0)),""))</f>
        <v/>
      </c>
      <c r="H89" s="23" t="str">
        <f aca="false">IF($B89="","",IFERROR(INDEX(대여내역!$H$3:$H$1002,MATCH("R"&amp;84,미반납현황!$M$6:$M$1005,0)),""))</f>
        <v/>
      </c>
      <c r="I89" s="22" t="str">
        <f aca="false">IF($B89="","",IFERROR(INDEX(대여내역!$K$3:$K$1002,MATCH("R"&amp;84,미반납현황!$M$6:$M$1005,0)),""))</f>
        <v/>
      </c>
      <c r="K89" s="26" t="b">
        <f aca="false">IF(대여내역!$A86="",FALSE(),OR(대여내역!$L86="미반납",대여내역!$L86="부분반납"))</f>
        <v>0</v>
      </c>
      <c r="L89" s="6" t="str">
        <f aca="false">IF($K89=FALSE(),"",COUNTIF($K$6:$K89,TRUE()))</f>
        <v/>
      </c>
      <c r="M89" s="6" t="str">
        <f aca="false">IF($L89="","","R"&amp;$L89)</f>
        <v/>
      </c>
    </row>
    <row r="90" customFormat="false" ht="15" hidden="false" customHeight="false" outlineLevel="0" collapsed="false">
      <c r="A90" s="22" t="str">
        <f aca="false">IF($B90="","",85)</f>
        <v/>
      </c>
      <c r="B90" s="14" t="str">
        <f aca="false">IFERROR(INDEX(대여내역!$A$3:$A$1002,MATCH("R"&amp;85,미반납현황!$M$6:$M$1005,0)),"")</f>
        <v/>
      </c>
      <c r="C90" s="23" t="str">
        <f aca="false">IF($B90="","",IFERROR(INDEX(대여내역!$B$3:$B$1002,MATCH("R"&amp;85,미반납현황!$M$6:$M$1005,0)),""))</f>
        <v/>
      </c>
      <c r="D90" s="14" t="str">
        <f aca="false">IF($B90="","",IFERROR(INDEX(대여내역!$C$3:$C$1002,MATCH("R"&amp;85,미반납현황!$M$6:$M$1005,0)),""))</f>
        <v/>
      </c>
      <c r="E90" s="14" t="str">
        <f aca="false">IF($B90="","",IFERROR(INDEX(대여내역!$E$3:$E$1002,MATCH("R"&amp;85,미반납현황!$M$6:$M$1005,0)),""))</f>
        <v/>
      </c>
      <c r="F90" s="22" t="str">
        <f aca="false">IF($B90="","",IFERROR(INDEX(대여내역!$G$3:$G$1002,MATCH("R"&amp;85,미반납현황!$M$6:$M$1005,0)),""))</f>
        <v/>
      </c>
      <c r="G90" s="22" t="str">
        <f aca="false">IF($B90="","",IFERROR(INDEX(대여내역!$J$3:$J$1002,MATCH("R"&amp;85,미반납현황!$M$6:$M$1005,0)),""))</f>
        <v/>
      </c>
      <c r="H90" s="23" t="str">
        <f aca="false">IF($B90="","",IFERROR(INDEX(대여내역!$H$3:$H$1002,MATCH("R"&amp;85,미반납현황!$M$6:$M$1005,0)),""))</f>
        <v/>
      </c>
      <c r="I90" s="22" t="str">
        <f aca="false">IF($B90="","",IFERROR(INDEX(대여내역!$K$3:$K$1002,MATCH("R"&amp;85,미반납현황!$M$6:$M$1005,0)),""))</f>
        <v/>
      </c>
      <c r="K90" s="26" t="b">
        <f aca="false">IF(대여내역!$A87="",FALSE(),OR(대여내역!$L87="미반납",대여내역!$L87="부분반납"))</f>
        <v>0</v>
      </c>
      <c r="L90" s="6" t="str">
        <f aca="false">IF($K90=FALSE(),"",COUNTIF($K$6:$K90,TRUE()))</f>
        <v/>
      </c>
      <c r="M90" s="6" t="str">
        <f aca="false">IF($L90="","","R"&amp;$L90)</f>
        <v/>
      </c>
    </row>
    <row r="91" customFormat="false" ht="15" hidden="false" customHeight="false" outlineLevel="0" collapsed="false">
      <c r="A91" s="22" t="str">
        <f aca="false">IF($B91="","",86)</f>
        <v/>
      </c>
      <c r="B91" s="14" t="str">
        <f aca="false">IFERROR(INDEX(대여내역!$A$3:$A$1002,MATCH("R"&amp;86,미반납현황!$M$6:$M$1005,0)),"")</f>
        <v/>
      </c>
      <c r="C91" s="23" t="str">
        <f aca="false">IF($B91="","",IFERROR(INDEX(대여내역!$B$3:$B$1002,MATCH("R"&amp;86,미반납현황!$M$6:$M$1005,0)),""))</f>
        <v/>
      </c>
      <c r="D91" s="14" t="str">
        <f aca="false">IF($B91="","",IFERROR(INDEX(대여내역!$C$3:$C$1002,MATCH("R"&amp;86,미반납현황!$M$6:$M$1005,0)),""))</f>
        <v/>
      </c>
      <c r="E91" s="14" t="str">
        <f aca="false">IF($B91="","",IFERROR(INDEX(대여내역!$E$3:$E$1002,MATCH("R"&amp;86,미반납현황!$M$6:$M$1005,0)),""))</f>
        <v/>
      </c>
      <c r="F91" s="22" t="str">
        <f aca="false">IF($B91="","",IFERROR(INDEX(대여내역!$G$3:$G$1002,MATCH("R"&amp;86,미반납현황!$M$6:$M$1005,0)),""))</f>
        <v/>
      </c>
      <c r="G91" s="22" t="str">
        <f aca="false">IF($B91="","",IFERROR(INDEX(대여내역!$J$3:$J$1002,MATCH("R"&amp;86,미반납현황!$M$6:$M$1005,0)),""))</f>
        <v/>
      </c>
      <c r="H91" s="23" t="str">
        <f aca="false">IF($B91="","",IFERROR(INDEX(대여내역!$H$3:$H$1002,MATCH("R"&amp;86,미반납현황!$M$6:$M$1005,0)),""))</f>
        <v/>
      </c>
      <c r="I91" s="22" t="str">
        <f aca="false">IF($B91="","",IFERROR(INDEX(대여내역!$K$3:$K$1002,MATCH("R"&amp;86,미반납현황!$M$6:$M$1005,0)),""))</f>
        <v/>
      </c>
      <c r="K91" s="26" t="b">
        <f aca="false">IF(대여내역!$A88="",FALSE(),OR(대여내역!$L88="미반납",대여내역!$L88="부분반납"))</f>
        <v>0</v>
      </c>
      <c r="L91" s="6" t="str">
        <f aca="false">IF($K91=FALSE(),"",COUNTIF($K$6:$K91,TRUE()))</f>
        <v/>
      </c>
      <c r="M91" s="6" t="str">
        <f aca="false">IF($L91="","","R"&amp;$L91)</f>
        <v/>
      </c>
    </row>
    <row r="92" customFormat="false" ht="15" hidden="false" customHeight="false" outlineLevel="0" collapsed="false">
      <c r="A92" s="22" t="str">
        <f aca="false">IF($B92="","",87)</f>
        <v/>
      </c>
      <c r="B92" s="14" t="str">
        <f aca="false">IFERROR(INDEX(대여내역!$A$3:$A$1002,MATCH("R"&amp;87,미반납현황!$M$6:$M$1005,0)),"")</f>
        <v/>
      </c>
      <c r="C92" s="23" t="str">
        <f aca="false">IF($B92="","",IFERROR(INDEX(대여내역!$B$3:$B$1002,MATCH("R"&amp;87,미반납현황!$M$6:$M$1005,0)),""))</f>
        <v/>
      </c>
      <c r="D92" s="14" t="str">
        <f aca="false">IF($B92="","",IFERROR(INDEX(대여내역!$C$3:$C$1002,MATCH("R"&amp;87,미반납현황!$M$6:$M$1005,0)),""))</f>
        <v/>
      </c>
      <c r="E92" s="14" t="str">
        <f aca="false">IF($B92="","",IFERROR(INDEX(대여내역!$E$3:$E$1002,MATCH("R"&amp;87,미반납현황!$M$6:$M$1005,0)),""))</f>
        <v/>
      </c>
      <c r="F92" s="22" t="str">
        <f aca="false">IF($B92="","",IFERROR(INDEX(대여내역!$G$3:$G$1002,MATCH("R"&amp;87,미반납현황!$M$6:$M$1005,0)),""))</f>
        <v/>
      </c>
      <c r="G92" s="22" t="str">
        <f aca="false">IF($B92="","",IFERROR(INDEX(대여내역!$J$3:$J$1002,MATCH("R"&amp;87,미반납현황!$M$6:$M$1005,0)),""))</f>
        <v/>
      </c>
      <c r="H92" s="23" t="str">
        <f aca="false">IF($B92="","",IFERROR(INDEX(대여내역!$H$3:$H$1002,MATCH("R"&amp;87,미반납현황!$M$6:$M$1005,0)),""))</f>
        <v/>
      </c>
      <c r="I92" s="22" t="str">
        <f aca="false">IF($B92="","",IFERROR(INDEX(대여내역!$K$3:$K$1002,MATCH("R"&amp;87,미반납현황!$M$6:$M$1005,0)),""))</f>
        <v/>
      </c>
      <c r="K92" s="26" t="b">
        <f aca="false">IF(대여내역!$A89="",FALSE(),OR(대여내역!$L89="미반납",대여내역!$L89="부분반납"))</f>
        <v>0</v>
      </c>
      <c r="L92" s="6" t="str">
        <f aca="false">IF($K92=FALSE(),"",COUNTIF($K$6:$K92,TRUE()))</f>
        <v/>
      </c>
      <c r="M92" s="6" t="str">
        <f aca="false">IF($L92="","","R"&amp;$L92)</f>
        <v/>
      </c>
    </row>
    <row r="93" customFormat="false" ht="15" hidden="false" customHeight="false" outlineLevel="0" collapsed="false">
      <c r="A93" s="22" t="str">
        <f aca="false">IF($B93="","",88)</f>
        <v/>
      </c>
      <c r="B93" s="14" t="str">
        <f aca="false">IFERROR(INDEX(대여내역!$A$3:$A$1002,MATCH("R"&amp;88,미반납현황!$M$6:$M$1005,0)),"")</f>
        <v/>
      </c>
      <c r="C93" s="23" t="str">
        <f aca="false">IF($B93="","",IFERROR(INDEX(대여내역!$B$3:$B$1002,MATCH("R"&amp;88,미반납현황!$M$6:$M$1005,0)),""))</f>
        <v/>
      </c>
      <c r="D93" s="14" t="str">
        <f aca="false">IF($B93="","",IFERROR(INDEX(대여내역!$C$3:$C$1002,MATCH("R"&amp;88,미반납현황!$M$6:$M$1005,0)),""))</f>
        <v/>
      </c>
      <c r="E93" s="14" t="str">
        <f aca="false">IF($B93="","",IFERROR(INDEX(대여내역!$E$3:$E$1002,MATCH("R"&amp;88,미반납현황!$M$6:$M$1005,0)),""))</f>
        <v/>
      </c>
      <c r="F93" s="22" t="str">
        <f aca="false">IF($B93="","",IFERROR(INDEX(대여내역!$G$3:$G$1002,MATCH("R"&amp;88,미반납현황!$M$6:$M$1005,0)),""))</f>
        <v/>
      </c>
      <c r="G93" s="22" t="str">
        <f aca="false">IF($B93="","",IFERROR(INDEX(대여내역!$J$3:$J$1002,MATCH("R"&amp;88,미반납현황!$M$6:$M$1005,0)),""))</f>
        <v/>
      </c>
      <c r="H93" s="23" t="str">
        <f aca="false">IF($B93="","",IFERROR(INDEX(대여내역!$H$3:$H$1002,MATCH("R"&amp;88,미반납현황!$M$6:$M$1005,0)),""))</f>
        <v/>
      </c>
      <c r="I93" s="22" t="str">
        <f aca="false">IF($B93="","",IFERROR(INDEX(대여내역!$K$3:$K$1002,MATCH("R"&amp;88,미반납현황!$M$6:$M$1005,0)),""))</f>
        <v/>
      </c>
      <c r="K93" s="26" t="b">
        <f aca="false">IF(대여내역!$A90="",FALSE(),OR(대여내역!$L90="미반납",대여내역!$L90="부분반납"))</f>
        <v>0</v>
      </c>
      <c r="L93" s="6" t="str">
        <f aca="false">IF($K93=FALSE(),"",COUNTIF($K$6:$K93,TRUE()))</f>
        <v/>
      </c>
      <c r="M93" s="6" t="str">
        <f aca="false">IF($L93="","","R"&amp;$L93)</f>
        <v/>
      </c>
    </row>
    <row r="94" customFormat="false" ht="15" hidden="false" customHeight="false" outlineLevel="0" collapsed="false">
      <c r="A94" s="22" t="str">
        <f aca="false">IF($B94="","",89)</f>
        <v/>
      </c>
      <c r="B94" s="14" t="str">
        <f aca="false">IFERROR(INDEX(대여내역!$A$3:$A$1002,MATCH("R"&amp;89,미반납현황!$M$6:$M$1005,0)),"")</f>
        <v/>
      </c>
      <c r="C94" s="23" t="str">
        <f aca="false">IF($B94="","",IFERROR(INDEX(대여내역!$B$3:$B$1002,MATCH("R"&amp;89,미반납현황!$M$6:$M$1005,0)),""))</f>
        <v/>
      </c>
      <c r="D94" s="14" t="str">
        <f aca="false">IF($B94="","",IFERROR(INDEX(대여내역!$C$3:$C$1002,MATCH("R"&amp;89,미반납현황!$M$6:$M$1005,0)),""))</f>
        <v/>
      </c>
      <c r="E94" s="14" t="str">
        <f aca="false">IF($B94="","",IFERROR(INDEX(대여내역!$E$3:$E$1002,MATCH("R"&amp;89,미반납현황!$M$6:$M$1005,0)),""))</f>
        <v/>
      </c>
      <c r="F94" s="22" t="str">
        <f aca="false">IF($B94="","",IFERROR(INDEX(대여내역!$G$3:$G$1002,MATCH("R"&amp;89,미반납현황!$M$6:$M$1005,0)),""))</f>
        <v/>
      </c>
      <c r="G94" s="22" t="str">
        <f aca="false">IF($B94="","",IFERROR(INDEX(대여내역!$J$3:$J$1002,MATCH("R"&amp;89,미반납현황!$M$6:$M$1005,0)),""))</f>
        <v/>
      </c>
      <c r="H94" s="23" t="str">
        <f aca="false">IF($B94="","",IFERROR(INDEX(대여내역!$H$3:$H$1002,MATCH("R"&amp;89,미반납현황!$M$6:$M$1005,0)),""))</f>
        <v/>
      </c>
      <c r="I94" s="22" t="str">
        <f aca="false">IF($B94="","",IFERROR(INDEX(대여내역!$K$3:$K$1002,MATCH("R"&amp;89,미반납현황!$M$6:$M$1005,0)),""))</f>
        <v/>
      </c>
      <c r="K94" s="26" t="b">
        <f aca="false">IF(대여내역!$A91="",FALSE(),OR(대여내역!$L91="미반납",대여내역!$L91="부분반납"))</f>
        <v>0</v>
      </c>
      <c r="L94" s="6" t="str">
        <f aca="false">IF($K94=FALSE(),"",COUNTIF($K$6:$K94,TRUE()))</f>
        <v/>
      </c>
      <c r="M94" s="6" t="str">
        <f aca="false">IF($L94="","","R"&amp;$L94)</f>
        <v/>
      </c>
    </row>
    <row r="95" customFormat="false" ht="15" hidden="false" customHeight="false" outlineLevel="0" collapsed="false">
      <c r="A95" s="22" t="str">
        <f aca="false">IF($B95="","",90)</f>
        <v/>
      </c>
      <c r="B95" s="14" t="str">
        <f aca="false">IFERROR(INDEX(대여내역!$A$3:$A$1002,MATCH("R"&amp;90,미반납현황!$M$6:$M$1005,0)),"")</f>
        <v/>
      </c>
      <c r="C95" s="23" t="str">
        <f aca="false">IF($B95="","",IFERROR(INDEX(대여내역!$B$3:$B$1002,MATCH("R"&amp;90,미반납현황!$M$6:$M$1005,0)),""))</f>
        <v/>
      </c>
      <c r="D95" s="14" t="str">
        <f aca="false">IF($B95="","",IFERROR(INDEX(대여내역!$C$3:$C$1002,MATCH("R"&amp;90,미반납현황!$M$6:$M$1005,0)),""))</f>
        <v/>
      </c>
      <c r="E95" s="14" t="str">
        <f aca="false">IF($B95="","",IFERROR(INDEX(대여내역!$E$3:$E$1002,MATCH("R"&amp;90,미반납현황!$M$6:$M$1005,0)),""))</f>
        <v/>
      </c>
      <c r="F95" s="22" t="str">
        <f aca="false">IF($B95="","",IFERROR(INDEX(대여내역!$G$3:$G$1002,MATCH("R"&amp;90,미반납현황!$M$6:$M$1005,0)),""))</f>
        <v/>
      </c>
      <c r="G95" s="22" t="str">
        <f aca="false">IF($B95="","",IFERROR(INDEX(대여내역!$J$3:$J$1002,MATCH("R"&amp;90,미반납현황!$M$6:$M$1005,0)),""))</f>
        <v/>
      </c>
      <c r="H95" s="23" t="str">
        <f aca="false">IF($B95="","",IFERROR(INDEX(대여내역!$H$3:$H$1002,MATCH("R"&amp;90,미반납현황!$M$6:$M$1005,0)),""))</f>
        <v/>
      </c>
      <c r="I95" s="22" t="str">
        <f aca="false">IF($B95="","",IFERROR(INDEX(대여내역!$K$3:$K$1002,MATCH("R"&amp;90,미반납현황!$M$6:$M$1005,0)),""))</f>
        <v/>
      </c>
      <c r="K95" s="26" t="b">
        <f aca="false">IF(대여내역!$A92="",FALSE(),OR(대여내역!$L92="미반납",대여내역!$L92="부분반납"))</f>
        <v>0</v>
      </c>
      <c r="L95" s="6" t="str">
        <f aca="false">IF($K95=FALSE(),"",COUNTIF($K$6:$K95,TRUE()))</f>
        <v/>
      </c>
      <c r="M95" s="6" t="str">
        <f aca="false">IF($L95="","","R"&amp;$L95)</f>
        <v/>
      </c>
    </row>
    <row r="96" customFormat="false" ht="15" hidden="false" customHeight="false" outlineLevel="0" collapsed="false">
      <c r="A96" s="22" t="str">
        <f aca="false">IF($B96="","",91)</f>
        <v/>
      </c>
      <c r="B96" s="14" t="str">
        <f aca="false">IFERROR(INDEX(대여내역!$A$3:$A$1002,MATCH("R"&amp;91,미반납현황!$M$6:$M$1005,0)),"")</f>
        <v/>
      </c>
      <c r="C96" s="23" t="str">
        <f aca="false">IF($B96="","",IFERROR(INDEX(대여내역!$B$3:$B$1002,MATCH("R"&amp;91,미반납현황!$M$6:$M$1005,0)),""))</f>
        <v/>
      </c>
      <c r="D96" s="14" t="str">
        <f aca="false">IF($B96="","",IFERROR(INDEX(대여내역!$C$3:$C$1002,MATCH("R"&amp;91,미반납현황!$M$6:$M$1005,0)),""))</f>
        <v/>
      </c>
      <c r="E96" s="14" t="str">
        <f aca="false">IF($B96="","",IFERROR(INDEX(대여내역!$E$3:$E$1002,MATCH("R"&amp;91,미반납현황!$M$6:$M$1005,0)),""))</f>
        <v/>
      </c>
      <c r="F96" s="22" t="str">
        <f aca="false">IF($B96="","",IFERROR(INDEX(대여내역!$G$3:$G$1002,MATCH("R"&amp;91,미반납현황!$M$6:$M$1005,0)),""))</f>
        <v/>
      </c>
      <c r="G96" s="22" t="str">
        <f aca="false">IF($B96="","",IFERROR(INDEX(대여내역!$J$3:$J$1002,MATCH("R"&amp;91,미반납현황!$M$6:$M$1005,0)),""))</f>
        <v/>
      </c>
      <c r="H96" s="23" t="str">
        <f aca="false">IF($B96="","",IFERROR(INDEX(대여내역!$H$3:$H$1002,MATCH("R"&amp;91,미반납현황!$M$6:$M$1005,0)),""))</f>
        <v/>
      </c>
      <c r="I96" s="22" t="str">
        <f aca="false">IF($B96="","",IFERROR(INDEX(대여내역!$K$3:$K$1002,MATCH("R"&amp;91,미반납현황!$M$6:$M$1005,0)),""))</f>
        <v/>
      </c>
      <c r="K96" s="26" t="b">
        <f aca="false">IF(대여내역!$A93="",FALSE(),OR(대여내역!$L93="미반납",대여내역!$L93="부분반납"))</f>
        <v>0</v>
      </c>
      <c r="L96" s="6" t="str">
        <f aca="false">IF($K96=FALSE(),"",COUNTIF($K$6:$K96,TRUE()))</f>
        <v/>
      </c>
      <c r="M96" s="6" t="str">
        <f aca="false">IF($L96="","","R"&amp;$L96)</f>
        <v/>
      </c>
    </row>
    <row r="97" customFormat="false" ht="15" hidden="false" customHeight="false" outlineLevel="0" collapsed="false">
      <c r="A97" s="22" t="str">
        <f aca="false">IF($B97="","",92)</f>
        <v/>
      </c>
      <c r="B97" s="14" t="str">
        <f aca="false">IFERROR(INDEX(대여내역!$A$3:$A$1002,MATCH("R"&amp;92,미반납현황!$M$6:$M$1005,0)),"")</f>
        <v/>
      </c>
      <c r="C97" s="23" t="str">
        <f aca="false">IF($B97="","",IFERROR(INDEX(대여내역!$B$3:$B$1002,MATCH("R"&amp;92,미반납현황!$M$6:$M$1005,0)),""))</f>
        <v/>
      </c>
      <c r="D97" s="14" t="str">
        <f aca="false">IF($B97="","",IFERROR(INDEX(대여내역!$C$3:$C$1002,MATCH("R"&amp;92,미반납현황!$M$6:$M$1005,0)),""))</f>
        <v/>
      </c>
      <c r="E97" s="14" t="str">
        <f aca="false">IF($B97="","",IFERROR(INDEX(대여내역!$E$3:$E$1002,MATCH("R"&amp;92,미반납현황!$M$6:$M$1005,0)),""))</f>
        <v/>
      </c>
      <c r="F97" s="22" t="str">
        <f aca="false">IF($B97="","",IFERROR(INDEX(대여내역!$G$3:$G$1002,MATCH("R"&amp;92,미반납현황!$M$6:$M$1005,0)),""))</f>
        <v/>
      </c>
      <c r="G97" s="22" t="str">
        <f aca="false">IF($B97="","",IFERROR(INDEX(대여내역!$J$3:$J$1002,MATCH("R"&amp;92,미반납현황!$M$6:$M$1005,0)),""))</f>
        <v/>
      </c>
      <c r="H97" s="23" t="str">
        <f aca="false">IF($B97="","",IFERROR(INDEX(대여내역!$H$3:$H$1002,MATCH("R"&amp;92,미반납현황!$M$6:$M$1005,0)),""))</f>
        <v/>
      </c>
      <c r="I97" s="22" t="str">
        <f aca="false">IF($B97="","",IFERROR(INDEX(대여내역!$K$3:$K$1002,MATCH("R"&amp;92,미반납현황!$M$6:$M$1005,0)),""))</f>
        <v/>
      </c>
      <c r="K97" s="26" t="b">
        <f aca="false">IF(대여내역!$A94="",FALSE(),OR(대여내역!$L94="미반납",대여내역!$L94="부분반납"))</f>
        <v>0</v>
      </c>
      <c r="L97" s="6" t="str">
        <f aca="false">IF($K97=FALSE(),"",COUNTIF($K$6:$K97,TRUE()))</f>
        <v/>
      </c>
      <c r="M97" s="6" t="str">
        <f aca="false">IF($L97="","","R"&amp;$L97)</f>
        <v/>
      </c>
    </row>
    <row r="98" customFormat="false" ht="15" hidden="false" customHeight="false" outlineLevel="0" collapsed="false">
      <c r="A98" s="22" t="str">
        <f aca="false">IF($B98="","",93)</f>
        <v/>
      </c>
      <c r="B98" s="14" t="str">
        <f aca="false">IFERROR(INDEX(대여내역!$A$3:$A$1002,MATCH("R"&amp;93,미반납현황!$M$6:$M$1005,0)),"")</f>
        <v/>
      </c>
      <c r="C98" s="23" t="str">
        <f aca="false">IF($B98="","",IFERROR(INDEX(대여내역!$B$3:$B$1002,MATCH("R"&amp;93,미반납현황!$M$6:$M$1005,0)),""))</f>
        <v/>
      </c>
      <c r="D98" s="14" t="str">
        <f aca="false">IF($B98="","",IFERROR(INDEX(대여내역!$C$3:$C$1002,MATCH("R"&amp;93,미반납현황!$M$6:$M$1005,0)),""))</f>
        <v/>
      </c>
      <c r="E98" s="14" t="str">
        <f aca="false">IF($B98="","",IFERROR(INDEX(대여내역!$E$3:$E$1002,MATCH("R"&amp;93,미반납현황!$M$6:$M$1005,0)),""))</f>
        <v/>
      </c>
      <c r="F98" s="22" t="str">
        <f aca="false">IF($B98="","",IFERROR(INDEX(대여내역!$G$3:$G$1002,MATCH("R"&amp;93,미반납현황!$M$6:$M$1005,0)),""))</f>
        <v/>
      </c>
      <c r="G98" s="22" t="str">
        <f aca="false">IF($B98="","",IFERROR(INDEX(대여내역!$J$3:$J$1002,MATCH("R"&amp;93,미반납현황!$M$6:$M$1005,0)),""))</f>
        <v/>
      </c>
      <c r="H98" s="23" t="str">
        <f aca="false">IF($B98="","",IFERROR(INDEX(대여내역!$H$3:$H$1002,MATCH("R"&amp;93,미반납현황!$M$6:$M$1005,0)),""))</f>
        <v/>
      </c>
      <c r="I98" s="22" t="str">
        <f aca="false">IF($B98="","",IFERROR(INDEX(대여내역!$K$3:$K$1002,MATCH("R"&amp;93,미반납현황!$M$6:$M$1005,0)),""))</f>
        <v/>
      </c>
      <c r="K98" s="26" t="b">
        <f aca="false">IF(대여내역!$A95="",FALSE(),OR(대여내역!$L95="미반납",대여내역!$L95="부분반납"))</f>
        <v>0</v>
      </c>
      <c r="L98" s="6" t="str">
        <f aca="false">IF($K98=FALSE(),"",COUNTIF($K$6:$K98,TRUE()))</f>
        <v/>
      </c>
      <c r="M98" s="6" t="str">
        <f aca="false">IF($L98="","","R"&amp;$L98)</f>
        <v/>
      </c>
    </row>
    <row r="99" customFormat="false" ht="15" hidden="false" customHeight="false" outlineLevel="0" collapsed="false">
      <c r="A99" s="22" t="str">
        <f aca="false">IF($B99="","",94)</f>
        <v/>
      </c>
      <c r="B99" s="14" t="str">
        <f aca="false">IFERROR(INDEX(대여내역!$A$3:$A$1002,MATCH("R"&amp;94,미반납현황!$M$6:$M$1005,0)),"")</f>
        <v/>
      </c>
      <c r="C99" s="23" t="str">
        <f aca="false">IF($B99="","",IFERROR(INDEX(대여내역!$B$3:$B$1002,MATCH("R"&amp;94,미반납현황!$M$6:$M$1005,0)),""))</f>
        <v/>
      </c>
      <c r="D99" s="14" t="str">
        <f aca="false">IF($B99="","",IFERROR(INDEX(대여내역!$C$3:$C$1002,MATCH("R"&amp;94,미반납현황!$M$6:$M$1005,0)),""))</f>
        <v/>
      </c>
      <c r="E99" s="14" t="str">
        <f aca="false">IF($B99="","",IFERROR(INDEX(대여내역!$E$3:$E$1002,MATCH("R"&amp;94,미반납현황!$M$6:$M$1005,0)),""))</f>
        <v/>
      </c>
      <c r="F99" s="22" t="str">
        <f aca="false">IF($B99="","",IFERROR(INDEX(대여내역!$G$3:$G$1002,MATCH("R"&amp;94,미반납현황!$M$6:$M$1005,0)),""))</f>
        <v/>
      </c>
      <c r="G99" s="22" t="str">
        <f aca="false">IF($B99="","",IFERROR(INDEX(대여내역!$J$3:$J$1002,MATCH("R"&amp;94,미반납현황!$M$6:$M$1005,0)),""))</f>
        <v/>
      </c>
      <c r="H99" s="23" t="str">
        <f aca="false">IF($B99="","",IFERROR(INDEX(대여내역!$H$3:$H$1002,MATCH("R"&amp;94,미반납현황!$M$6:$M$1005,0)),""))</f>
        <v/>
      </c>
      <c r="I99" s="22" t="str">
        <f aca="false">IF($B99="","",IFERROR(INDEX(대여내역!$K$3:$K$1002,MATCH("R"&amp;94,미반납현황!$M$6:$M$1005,0)),""))</f>
        <v/>
      </c>
      <c r="K99" s="26" t="b">
        <f aca="false">IF(대여내역!$A96="",FALSE(),OR(대여내역!$L96="미반납",대여내역!$L96="부분반납"))</f>
        <v>0</v>
      </c>
      <c r="L99" s="6" t="str">
        <f aca="false">IF($K99=FALSE(),"",COUNTIF($K$6:$K99,TRUE()))</f>
        <v/>
      </c>
      <c r="M99" s="6" t="str">
        <f aca="false">IF($L99="","","R"&amp;$L99)</f>
        <v/>
      </c>
    </row>
    <row r="100" customFormat="false" ht="15" hidden="false" customHeight="false" outlineLevel="0" collapsed="false">
      <c r="A100" s="22" t="str">
        <f aca="false">IF($B100="","",95)</f>
        <v/>
      </c>
      <c r="B100" s="14" t="str">
        <f aca="false">IFERROR(INDEX(대여내역!$A$3:$A$1002,MATCH("R"&amp;95,미반납현황!$M$6:$M$1005,0)),"")</f>
        <v/>
      </c>
      <c r="C100" s="23" t="str">
        <f aca="false">IF($B100="","",IFERROR(INDEX(대여내역!$B$3:$B$1002,MATCH("R"&amp;95,미반납현황!$M$6:$M$1005,0)),""))</f>
        <v/>
      </c>
      <c r="D100" s="14" t="str">
        <f aca="false">IF($B100="","",IFERROR(INDEX(대여내역!$C$3:$C$1002,MATCH("R"&amp;95,미반납현황!$M$6:$M$1005,0)),""))</f>
        <v/>
      </c>
      <c r="E100" s="14" t="str">
        <f aca="false">IF($B100="","",IFERROR(INDEX(대여내역!$E$3:$E$1002,MATCH("R"&amp;95,미반납현황!$M$6:$M$1005,0)),""))</f>
        <v/>
      </c>
      <c r="F100" s="22" t="str">
        <f aca="false">IF($B100="","",IFERROR(INDEX(대여내역!$G$3:$G$1002,MATCH("R"&amp;95,미반납현황!$M$6:$M$1005,0)),""))</f>
        <v/>
      </c>
      <c r="G100" s="22" t="str">
        <f aca="false">IF($B100="","",IFERROR(INDEX(대여내역!$J$3:$J$1002,MATCH("R"&amp;95,미반납현황!$M$6:$M$1005,0)),""))</f>
        <v/>
      </c>
      <c r="H100" s="23" t="str">
        <f aca="false">IF($B100="","",IFERROR(INDEX(대여내역!$H$3:$H$1002,MATCH("R"&amp;95,미반납현황!$M$6:$M$1005,0)),""))</f>
        <v/>
      </c>
      <c r="I100" s="22" t="str">
        <f aca="false">IF($B100="","",IFERROR(INDEX(대여내역!$K$3:$K$1002,MATCH("R"&amp;95,미반납현황!$M$6:$M$1005,0)),""))</f>
        <v/>
      </c>
      <c r="K100" s="26" t="b">
        <f aca="false">IF(대여내역!$A97="",FALSE(),OR(대여내역!$L97="미반납",대여내역!$L97="부분반납"))</f>
        <v>0</v>
      </c>
      <c r="L100" s="6" t="str">
        <f aca="false">IF($K100=FALSE(),"",COUNTIF($K$6:$K100,TRUE()))</f>
        <v/>
      </c>
      <c r="M100" s="6" t="str">
        <f aca="false">IF($L100="","","R"&amp;$L100)</f>
        <v/>
      </c>
    </row>
    <row r="101" customFormat="false" ht="15" hidden="false" customHeight="false" outlineLevel="0" collapsed="false">
      <c r="A101" s="22" t="str">
        <f aca="false">IF($B101="","",96)</f>
        <v/>
      </c>
      <c r="B101" s="14" t="str">
        <f aca="false">IFERROR(INDEX(대여내역!$A$3:$A$1002,MATCH("R"&amp;96,미반납현황!$M$6:$M$1005,0)),"")</f>
        <v/>
      </c>
      <c r="C101" s="23" t="str">
        <f aca="false">IF($B101="","",IFERROR(INDEX(대여내역!$B$3:$B$1002,MATCH("R"&amp;96,미반납현황!$M$6:$M$1005,0)),""))</f>
        <v/>
      </c>
      <c r="D101" s="14" t="str">
        <f aca="false">IF($B101="","",IFERROR(INDEX(대여내역!$C$3:$C$1002,MATCH("R"&amp;96,미반납현황!$M$6:$M$1005,0)),""))</f>
        <v/>
      </c>
      <c r="E101" s="14" t="str">
        <f aca="false">IF($B101="","",IFERROR(INDEX(대여내역!$E$3:$E$1002,MATCH("R"&amp;96,미반납현황!$M$6:$M$1005,0)),""))</f>
        <v/>
      </c>
      <c r="F101" s="22" t="str">
        <f aca="false">IF($B101="","",IFERROR(INDEX(대여내역!$G$3:$G$1002,MATCH("R"&amp;96,미반납현황!$M$6:$M$1005,0)),""))</f>
        <v/>
      </c>
      <c r="G101" s="22" t="str">
        <f aca="false">IF($B101="","",IFERROR(INDEX(대여내역!$J$3:$J$1002,MATCH("R"&amp;96,미반납현황!$M$6:$M$1005,0)),""))</f>
        <v/>
      </c>
      <c r="H101" s="23" t="str">
        <f aca="false">IF($B101="","",IFERROR(INDEX(대여내역!$H$3:$H$1002,MATCH("R"&amp;96,미반납현황!$M$6:$M$1005,0)),""))</f>
        <v/>
      </c>
      <c r="I101" s="22" t="str">
        <f aca="false">IF($B101="","",IFERROR(INDEX(대여내역!$K$3:$K$1002,MATCH("R"&amp;96,미반납현황!$M$6:$M$1005,0)),""))</f>
        <v/>
      </c>
      <c r="K101" s="26" t="b">
        <f aca="false">IF(대여내역!$A98="",FALSE(),OR(대여내역!$L98="미반납",대여내역!$L98="부분반납"))</f>
        <v>0</v>
      </c>
      <c r="L101" s="6" t="str">
        <f aca="false">IF($K101=FALSE(),"",COUNTIF($K$6:$K101,TRUE()))</f>
        <v/>
      </c>
      <c r="M101" s="6" t="str">
        <f aca="false">IF($L101="","","R"&amp;$L101)</f>
        <v/>
      </c>
    </row>
    <row r="102" customFormat="false" ht="15" hidden="false" customHeight="false" outlineLevel="0" collapsed="false">
      <c r="A102" s="22" t="str">
        <f aca="false">IF($B102="","",97)</f>
        <v/>
      </c>
      <c r="B102" s="14" t="str">
        <f aca="false">IFERROR(INDEX(대여내역!$A$3:$A$1002,MATCH("R"&amp;97,미반납현황!$M$6:$M$1005,0)),"")</f>
        <v/>
      </c>
      <c r="C102" s="23" t="str">
        <f aca="false">IF($B102="","",IFERROR(INDEX(대여내역!$B$3:$B$1002,MATCH("R"&amp;97,미반납현황!$M$6:$M$1005,0)),""))</f>
        <v/>
      </c>
      <c r="D102" s="14" t="str">
        <f aca="false">IF($B102="","",IFERROR(INDEX(대여내역!$C$3:$C$1002,MATCH("R"&amp;97,미반납현황!$M$6:$M$1005,0)),""))</f>
        <v/>
      </c>
      <c r="E102" s="14" t="str">
        <f aca="false">IF($B102="","",IFERROR(INDEX(대여내역!$E$3:$E$1002,MATCH("R"&amp;97,미반납현황!$M$6:$M$1005,0)),""))</f>
        <v/>
      </c>
      <c r="F102" s="22" t="str">
        <f aca="false">IF($B102="","",IFERROR(INDEX(대여내역!$G$3:$G$1002,MATCH("R"&amp;97,미반납현황!$M$6:$M$1005,0)),""))</f>
        <v/>
      </c>
      <c r="G102" s="22" t="str">
        <f aca="false">IF($B102="","",IFERROR(INDEX(대여내역!$J$3:$J$1002,MATCH("R"&amp;97,미반납현황!$M$6:$M$1005,0)),""))</f>
        <v/>
      </c>
      <c r="H102" s="23" t="str">
        <f aca="false">IF($B102="","",IFERROR(INDEX(대여내역!$H$3:$H$1002,MATCH("R"&amp;97,미반납현황!$M$6:$M$1005,0)),""))</f>
        <v/>
      </c>
      <c r="I102" s="22" t="str">
        <f aca="false">IF($B102="","",IFERROR(INDEX(대여내역!$K$3:$K$1002,MATCH("R"&amp;97,미반납현황!$M$6:$M$1005,0)),""))</f>
        <v/>
      </c>
      <c r="K102" s="26" t="b">
        <f aca="false">IF(대여내역!$A99="",FALSE(),OR(대여내역!$L99="미반납",대여내역!$L99="부분반납"))</f>
        <v>0</v>
      </c>
      <c r="L102" s="6" t="str">
        <f aca="false">IF($K102=FALSE(),"",COUNTIF($K$6:$K102,TRUE()))</f>
        <v/>
      </c>
      <c r="M102" s="6" t="str">
        <f aca="false">IF($L102="","","R"&amp;$L102)</f>
        <v/>
      </c>
    </row>
    <row r="103" customFormat="false" ht="15" hidden="false" customHeight="false" outlineLevel="0" collapsed="false">
      <c r="A103" s="22" t="str">
        <f aca="false">IF($B103="","",98)</f>
        <v/>
      </c>
      <c r="B103" s="14" t="str">
        <f aca="false">IFERROR(INDEX(대여내역!$A$3:$A$1002,MATCH("R"&amp;98,미반납현황!$M$6:$M$1005,0)),"")</f>
        <v/>
      </c>
      <c r="C103" s="23" t="str">
        <f aca="false">IF($B103="","",IFERROR(INDEX(대여내역!$B$3:$B$1002,MATCH("R"&amp;98,미반납현황!$M$6:$M$1005,0)),""))</f>
        <v/>
      </c>
      <c r="D103" s="14" t="str">
        <f aca="false">IF($B103="","",IFERROR(INDEX(대여내역!$C$3:$C$1002,MATCH("R"&amp;98,미반납현황!$M$6:$M$1005,0)),""))</f>
        <v/>
      </c>
      <c r="E103" s="14" t="str">
        <f aca="false">IF($B103="","",IFERROR(INDEX(대여내역!$E$3:$E$1002,MATCH("R"&amp;98,미반납현황!$M$6:$M$1005,0)),""))</f>
        <v/>
      </c>
      <c r="F103" s="22" t="str">
        <f aca="false">IF($B103="","",IFERROR(INDEX(대여내역!$G$3:$G$1002,MATCH("R"&amp;98,미반납현황!$M$6:$M$1005,0)),""))</f>
        <v/>
      </c>
      <c r="G103" s="22" t="str">
        <f aca="false">IF($B103="","",IFERROR(INDEX(대여내역!$J$3:$J$1002,MATCH("R"&amp;98,미반납현황!$M$6:$M$1005,0)),""))</f>
        <v/>
      </c>
      <c r="H103" s="23" t="str">
        <f aca="false">IF($B103="","",IFERROR(INDEX(대여내역!$H$3:$H$1002,MATCH("R"&amp;98,미반납현황!$M$6:$M$1005,0)),""))</f>
        <v/>
      </c>
      <c r="I103" s="22" t="str">
        <f aca="false">IF($B103="","",IFERROR(INDEX(대여내역!$K$3:$K$1002,MATCH("R"&amp;98,미반납현황!$M$6:$M$1005,0)),""))</f>
        <v/>
      </c>
      <c r="K103" s="26" t="b">
        <f aca="false">IF(대여내역!$A100="",FALSE(),OR(대여내역!$L100="미반납",대여내역!$L100="부분반납"))</f>
        <v>0</v>
      </c>
      <c r="L103" s="6" t="str">
        <f aca="false">IF($K103=FALSE(),"",COUNTIF($K$6:$K103,TRUE()))</f>
        <v/>
      </c>
      <c r="M103" s="6" t="str">
        <f aca="false">IF($L103="","","R"&amp;$L103)</f>
        <v/>
      </c>
    </row>
    <row r="104" customFormat="false" ht="15" hidden="false" customHeight="false" outlineLevel="0" collapsed="false">
      <c r="A104" s="22" t="str">
        <f aca="false">IF($B104="","",99)</f>
        <v/>
      </c>
      <c r="B104" s="14" t="str">
        <f aca="false">IFERROR(INDEX(대여내역!$A$3:$A$1002,MATCH("R"&amp;99,미반납현황!$M$6:$M$1005,0)),"")</f>
        <v/>
      </c>
      <c r="C104" s="23" t="str">
        <f aca="false">IF($B104="","",IFERROR(INDEX(대여내역!$B$3:$B$1002,MATCH("R"&amp;99,미반납현황!$M$6:$M$1005,0)),""))</f>
        <v/>
      </c>
      <c r="D104" s="14" t="str">
        <f aca="false">IF($B104="","",IFERROR(INDEX(대여내역!$C$3:$C$1002,MATCH("R"&amp;99,미반납현황!$M$6:$M$1005,0)),""))</f>
        <v/>
      </c>
      <c r="E104" s="14" t="str">
        <f aca="false">IF($B104="","",IFERROR(INDEX(대여내역!$E$3:$E$1002,MATCH("R"&amp;99,미반납현황!$M$6:$M$1005,0)),""))</f>
        <v/>
      </c>
      <c r="F104" s="22" t="str">
        <f aca="false">IF($B104="","",IFERROR(INDEX(대여내역!$G$3:$G$1002,MATCH("R"&amp;99,미반납현황!$M$6:$M$1005,0)),""))</f>
        <v/>
      </c>
      <c r="G104" s="22" t="str">
        <f aca="false">IF($B104="","",IFERROR(INDEX(대여내역!$J$3:$J$1002,MATCH("R"&amp;99,미반납현황!$M$6:$M$1005,0)),""))</f>
        <v/>
      </c>
      <c r="H104" s="23" t="str">
        <f aca="false">IF($B104="","",IFERROR(INDEX(대여내역!$H$3:$H$1002,MATCH("R"&amp;99,미반납현황!$M$6:$M$1005,0)),""))</f>
        <v/>
      </c>
      <c r="I104" s="22" t="str">
        <f aca="false">IF($B104="","",IFERROR(INDEX(대여내역!$K$3:$K$1002,MATCH("R"&amp;99,미반납현황!$M$6:$M$1005,0)),""))</f>
        <v/>
      </c>
      <c r="K104" s="26" t="b">
        <f aca="false">IF(대여내역!$A101="",FALSE(),OR(대여내역!$L101="미반납",대여내역!$L101="부분반납"))</f>
        <v>0</v>
      </c>
      <c r="L104" s="6" t="str">
        <f aca="false">IF($K104=FALSE(),"",COUNTIF($K$6:$K104,TRUE()))</f>
        <v/>
      </c>
      <c r="M104" s="6" t="str">
        <f aca="false">IF($L104="","","R"&amp;$L104)</f>
        <v/>
      </c>
    </row>
    <row r="105" customFormat="false" ht="15" hidden="false" customHeight="false" outlineLevel="0" collapsed="false">
      <c r="A105" s="22" t="str">
        <f aca="false">IF($B105="","",100)</f>
        <v/>
      </c>
      <c r="B105" s="14" t="str">
        <f aca="false">IFERROR(INDEX(대여내역!$A$3:$A$1002,MATCH("R"&amp;100,미반납현황!$M$6:$M$1005,0)),"")</f>
        <v/>
      </c>
      <c r="C105" s="23" t="str">
        <f aca="false">IF($B105="","",IFERROR(INDEX(대여내역!$B$3:$B$1002,MATCH("R"&amp;100,미반납현황!$M$6:$M$1005,0)),""))</f>
        <v/>
      </c>
      <c r="D105" s="14" t="str">
        <f aca="false">IF($B105="","",IFERROR(INDEX(대여내역!$C$3:$C$1002,MATCH("R"&amp;100,미반납현황!$M$6:$M$1005,0)),""))</f>
        <v/>
      </c>
      <c r="E105" s="14" t="str">
        <f aca="false">IF($B105="","",IFERROR(INDEX(대여내역!$E$3:$E$1002,MATCH("R"&amp;100,미반납현황!$M$6:$M$1005,0)),""))</f>
        <v/>
      </c>
      <c r="F105" s="22" t="str">
        <f aca="false">IF($B105="","",IFERROR(INDEX(대여내역!$G$3:$G$1002,MATCH("R"&amp;100,미반납현황!$M$6:$M$1005,0)),""))</f>
        <v/>
      </c>
      <c r="G105" s="22" t="str">
        <f aca="false">IF($B105="","",IFERROR(INDEX(대여내역!$J$3:$J$1002,MATCH("R"&amp;100,미반납현황!$M$6:$M$1005,0)),""))</f>
        <v/>
      </c>
      <c r="H105" s="23" t="str">
        <f aca="false">IF($B105="","",IFERROR(INDEX(대여내역!$H$3:$H$1002,MATCH("R"&amp;100,미반납현황!$M$6:$M$1005,0)),""))</f>
        <v/>
      </c>
      <c r="I105" s="22" t="str">
        <f aca="false">IF($B105="","",IFERROR(INDEX(대여내역!$K$3:$K$1002,MATCH("R"&amp;100,미반납현황!$M$6:$M$1005,0)),""))</f>
        <v/>
      </c>
      <c r="K105" s="26" t="b">
        <f aca="false">IF(대여내역!$A102="",FALSE(),OR(대여내역!$L102="미반납",대여내역!$L102="부분반납"))</f>
        <v>0</v>
      </c>
      <c r="L105" s="6" t="str">
        <f aca="false">IF($K105=FALSE(),"",COUNTIF($K$6:$K105,TRUE()))</f>
        <v/>
      </c>
      <c r="M105" s="6" t="str">
        <f aca="false">IF($L105="","","R"&amp;$L105)</f>
        <v/>
      </c>
    </row>
    <row r="106" customFormat="false" ht="15" hidden="false" customHeight="false" outlineLevel="0" collapsed="false">
      <c r="K106" s="26" t="b">
        <f aca="false">IF(대여내역!$A103="",FALSE(),OR(대여내역!$L103="미반납",대여내역!$L103="부분반납"))</f>
        <v>0</v>
      </c>
      <c r="L106" s="6" t="str">
        <f aca="false">IF($K106=FALSE(),"",COUNTIF($K$6:$K106,TRUE()))</f>
        <v/>
      </c>
      <c r="M106" s="6" t="str">
        <f aca="false">IF($L106="","","R"&amp;$L106)</f>
        <v/>
      </c>
    </row>
    <row r="107" customFormat="false" ht="15" hidden="false" customHeight="false" outlineLevel="0" collapsed="false">
      <c r="K107" s="26" t="b">
        <f aca="false">IF(대여내역!$A104="",FALSE(),OR(대여내역!$L104="미반납",대여내역!$L104="부분반납"))</f>
        <v>0</v>
      </c>
      <c r="L107" s="6" t="str">
        <f aca="false">IF($K107=FALSE(),"",COUNTIF($K$6:$K107,TRUE()))</f>
        <v/>
      </c>
      <c r="M107" s="6" t="str">
        <f aca="false">IF($L107="","","R"&amp;$L107)</f>
        <v/>
      </c>
    </row>
    <row r="108" customFormat="false" ht="15" hidden="false" customHeight="false" outlineLevel="0" collapsed="false">
      <c r="K108" s="26" t="b">
        <f aca="false">IF(대여내역!$A105="",FALSE(),OR(대여내역!$L105="미반납",대여내역!$L105="부분반납"))</f>
        <v>0</v>
      </c>
      <c r="L108" s="6" t="str">
        <f aca="false">IF($K108=FALSE(),"",COUNTIF($K$6:$K108,TRUE()))</f>
        <v/>
      </c>
      <c r="M108" s="6" t="str">
        <f aca="false">IF($L108="","","R"&amp;$L108)</f>
        <v/>
      </c>
    </row>
    <row r="109" customFormat="false" ht="15" hidden="false" customHeight="false" outlineLevel="0" collapsed="false">
      <c r="K109" s="26" t="b">
        <f aca="false">IF(대여내역!$A106="",FALSE(),OR(대여내역!$L106="미반납",대여내역!$L106="부분반납"))</f>
        <v>0</v>
      </c>
      <c r="L109" s="6" t="str">
        <f aca="false">IF($K109=FALSE(),"",COUNTIF($K$6:$K109,TRUE()))</f>
        <v/>
      </c>
      <c r="M109" s="6" t="str">
        <f aca="false">IF($L109="","","R"&amp;$L109)</f>
        <v/>
      </c>
    </row>
    <row r="110" customFormat="false" ht="15" hidden="false" customHeight="false" outlineLevel="0" collapsed="false">
      <c r="K110" s="26" t="b">
        <f aca="false">IF(대여내역!$A107="",FALSE(),OR(대여내역!$L107="미반납",대여내역!$L107="부분반납"))</f>
        <v>0</v>
      </c>
      <c r="L110" s="6" t="str">
        <f aca="false">IF($K110=FALSE(),"",COUNTIF($K$6:$K110,TRUE()))</f>
        <v/>
      </c>
      <c r="M110" s="6" t="str">
        <f aca="false">IF($L110="","","R"&amp;$L110)</f>
        <v/>
      </c>
    </row>
    <row r="111" customFormat="false" ht="15" hidden="false" customHeight="false" outlineLevel="0" collapsed="false">
      <c r="K111" s="26" t="b">
        <f aca="false">IF(대여내역!$A108="",FALSE(),OR(대여내역!$L108="미반납",대여내역!$L108="부분반납"))</f>
        <v>0</v>
      </c>
      <c r="L111" s="6" t="str">
        <f aca="false">IF($K111=FALSE(),"",COUNTIF($K$6:$K111,TRUE()))</f>
        <v/>
      </c>
      <c r="M111" s="6" t="str">
        <f aca="false">IF($L111="","","R"&amp;$L111)</f>
        <v/>
      </c>
    </row>
    <row r="112" customFormat="false" ht="15" hidden="false" customHeight="false" outlineLevel="0" collapsed="false">
      <c r="K112" s="26" t="b">
        <f aca="false">IF(대여내역!$A109="",FALSE(),OR(대여내역!$L109="미반납",대여내역!$L109="부분반납"))</f>
        <v>0</v>
      </c>
      <c r="L112" s="6" t="str">
        <f aca="false">IF($K112=FALSE(),"",COUNTIF($K$6:$K112,TRUE()))</f>
        <v/>
      </c>
      <c r="M112" s="6" t="str">
        <f aca="false">IF($L112="","","R"&amp;$L112)</f>
        <v/>
      </c>
    </row>
    <row r="113" customFormat="false" ht="15" hidden="false" customHeight="false" outlineLevel="0" collapsed="false">
      <c r="K113" s="26" t="b">
        <f aca="false">IF(대여내역!$A110="",FALSE(),OR(대여내역!$L110="미반납",대여내역!$L110="부분반납"))</f>
        <v>0</v>
      </c>
      <c r="L113" s="6" t="str">
        <f aca="false">IF($K113=FALSE(),"",COUNTIF($K$6:$K113,TRUE()))</f>
        <v/>
      </c>
      <c r="M113" s="6" t="str">
        <f aca="false">IF($L113="","","R"&amp;$L113)</f>
        <v/>
      </c>
    </row>
    <row r="114" customFormat="false" ht="15" hidden="false" customHeight="false" outlineLevel="0" collapsed="false">
      <c r="K114" s="26" t="b">
        <f aca="false">IF(대여내역!$A111="",FALSE(),OR(대여내역!$L111="미반납",대여내역!$L111="부분반납"))</f>
        <v>0</v>
      </c>
      <c r="L114" s="6" t="str">
        <f aca="false">IF($K114=FALSE(),"",COUNTIF($K$6:$K114,TRUE()))</f>
        <v/>
      </c>
      <c r="M114" s="6" t="str">
        <f aca="false">IF($L114="","","R"&amp;$L114)</f>
        <v/>
      </c>
    </row>
    <row r="115" customFormat="false" ht="15" hidden="false" customHeight="false" outlineLevel="0" collapsed="false">
      <c r="K115" s="26" t="b">
        <f aca="false">IF(대여내역!$A112="",FALSE(),OR(대여내역!$L112="미반납",대여내역!$L112="부분반납"))</f>
        <v>0</v>
      </c>
      <c r="L115" s="6" t="str">
        <f aca="false">IF($K115=FALSE(),"",COUNTIF($K$6:$K115,TRUE()))</f>
        <v/>
      </c>
      <c r="M115" s="6" t="str">
        <f aca="false">IF($L115="","","R"&amp;$L115)</f>
        <v/>
      </c>
    </row>
    <row r="116" customFormat="false" ht="15" hidden="false" customHeight="false" outlineLevel="0" collapsed="false">
      <c r="K116" s="26" t="b">
        <f aca="false">IF(대여내역!$A113="",FALSE(),OR(대여내역!$L113="미반납",대여내역!$L113="부분반납"))</f>
        <v>0</v>
      </c>
      <c r="L116" s="6" t="str">
        <f aca="false">IF($K116=FALSE(),"",COUNTIF($K$6:$K116,TRUE()))</f>
        <v/>
      </c>
      <c r="M116" s="6" t="str">
        <f aca="false">IF($L116="","","R"&amp;$L116)</f>
        <v/>
      </c>
    </row>
    <row r="117" customFormat="false" ht="15" hidden="false" customHeight="false" outlineLevel="0" collapsed="false">
      <c r="K117" s="26" t="b">
        <f aca="false">IF(대여내역!$A114="",FALSE(),OR(대여내역!$L114="미반납",대여내역!$L114="부분반납"))</f>
        <v>0</v>
      </c>
      <c r="L117" s="6" t="str">
        <f aca="false">IF($K117=FALSE(),"",COUNTIF($K$6:$K117,TRUE()))</f>
        <v/>
      </c>
      <c r="M117" s="6" t="str">
        <f aca="false">IF($L117="","","R"&amp;$L117)</f>
        <v/>
      </c>
    </row>
    <row r="118" customFormat="false" ht="15" hidden="false" customHeight="false" outlineLevel="0" collapsed="false">
      <c r="K118" s="26" t="b">
        <f aca="false">IF(대여내역!$A115="",FALSE(),OR(대여내역!$L115="미반납",대여내역!$L115="부분반납"))</f>
        <v>0</v>
      </c>
      <c r="L118" s="6" t="str">
        <f aca="false">IF($K118=FALSE(),"",COUNTIF($K$6:$K118,TRUE()))</f>
        <v/>
      </c>
      <c r="M118" s="6" t="str">
        <f aca="false">IF($L118="","","R"&amp;$L118)</f>
        <v/>
      </c>
    </row>
    <row r="119" customFormat="false" ht="15" hidden="false" customHeight="false" outlineLevel="0" collapsed="false">
      <c r="K119" s="26" t="b">
        <f aca="false">IF(대여내역!$A116="",FALSE(),OR(대여내역!$L116="미반납",대여내역!$L116="부분반납"))</f>
        <v>0</v>
      </c>
      <c r="L119" s="6" t="str">
        <f aca="false">IF($K119=FALSE(),"",COUNTIF($K$6:$K119,TRUE()))</f>
        <v/>
      </c>
      <c r="M119" s="6" t="str">
        <f aca="false">IF($L119="","","R"&amp;$L119)</f>
        <v/>
      </c>
    </row>
    <row r="120" customFormat="false" ht="15" hidden="false" customHeight="false" outlineLevel="0" collapsed="false">
      <c r="K120" s="26" t="b">
        <f aca="false">IF(대여내역!$A117="",FALSE(),OR(대여내역!$L117="미반납",대여내역!$L117="부분반납"))</f>
        <v>0</v>
      </c>
      <c r="L120" s="6" t="str">
        <f aca="false">IF($K120=FALSE(),"",COUNTIF($K$6:$K120,TRUE()))</f>
        <v/>
      </c>
      <c r="M120" s="6" t="str">
        <f aca="false">IF($L120="","","R"&amp;$L120)</f>
        <v/>
      </c>
    </row>
    <row r="121" customFormat="false" ht="15" hidden="false" customHeight="false" outlineLevel="0" collapsed="false">
      <c r="K121" s="26" t="b">
        <f aca="false">IF(대여내역!$A118="",FALSE(),OR(대여내역!$L118="미반납",대여내역!$L118="부분반납"))</f>
        <v>0</v>
      </c>
      <c r="L121" s="6" t="str">
        <f aca="false">IF($K121=FALSE(),"",COUNTIF($K$6:$K121,TRUE()))</f>
        <v/>
      </c>
      <c r="M121" s="6" t="str">
        <f aca="false">IF($L121="","","R"&amp;$L121)</f>
        <v/>
      </c>
    </row>
    <row r="122" customFormat="false" ht="15" hidden="false" customHeight="false" outlineLevel="0" collapsed="false">
      <c r="K122" s="26" t="b">
        <f aca="false">IF(대여내역!$A119="",FALSE(),OR(대여내역!$L119="미반납",대여내역!$L119="부분반납"))</f>
        <v>0</v>
      </c>
      <c r="L122" s="6" t="str">
        <f aca="false">IF($K122=FALSE(),"",COUNTIF($K$6:$K122,TRUE()))</f>
        <v/>
      </c>
      <c r="M122" s="6" t="str">
        <f aca="false">IF($L122="","","R"&amp;$L122)</f>
        <v/>
      </c>
    </row>
    <row r="123" customFormat="false" ht="15" hidden="false" customHeight="false" outlineLevel="0" collapsed="false">
      <c r="K123" s="26" t="b">
        <f aca="false">IF(대여내역!$A120="",FALSE(),OR(대여내역!$L120="미반납",대여내역!$L120="부분반납"))</f>
        <v>0</v>
      </c>
      <c r="L123" s="6" t="str">
        <f aca="false">IF($K123=FALSE(),"",COUNTIF($K$6:$K123,TRUE()))</f>
        <v/>
      </c>
      <c r="M123" s="6" t="str">
        <f aca="false">IF($L123="","","R"&amp;$L123)</f>
        <v/>
      </c>
    </row>
    <row r="124" customFormat="false" ht="15" hidden="false" customHeight="false" outlineLevel="0" collapsed="false">
      <c r="K124" s="26" t="b">
        <f aca="false">IF(대여내역!$A121="",FALSE(),OR(대여내역!$L121="미반납",대여내역!$L121="부분반납"))</f>
        <v>0</v>
      </c>
      <c r="L124" s="6" t="str">
        <f aca="false">IF($K124=FALSE(),"",COUNTIF($K$6:$K124,TRUE()))</f>
        <v/>
      </c>
      <c r="M124" s="6" t="str">
        <f aca="false">IF($L124="","","R"&amp;$L124)</f>
        <v/>
      </c>
    </row>
    <row r="125" customFormat="false" ht="15" hidden="false" customHeight="false" outlineLevel="0" collapsed="false">
      <c r="K125" s="26" t="b">
        <f aca="false">IF(대여내역!$A122="",FALSE(),OR(대여내역!$L122="미반납",대여내역!$L122="부분반납"))</f>
        <v>0</v>
      </c>
      <c r="L125" s="6" t="str">
        <f aca="false">IF($K125=FALSE(),"",COUNTIF($K$6:$K125,TRUE()))</f>
        <v/>
      </c>
      <c r="M125" s="6" t="str">
        <f aca="false">IF($L125="","","R"&amp;$L125)</f>
        <v/>
      </c>
    </row>
    <row r="126" customFormat="false" ht="15" hidden="false" customHeight="false" outlineLevel="0" collapsed="false">
      <c r="K126" s="26" t="b">
        <f aca="false">IF(대여내역!$A123="",FALSE(),OR(대여내역!$L123="미반납",대여내역!$L123="부분반납"))</f>
        <v>0</v>
      </c>
      <c r="L126" s="6" t="str">
        <f aca="false">IF($K126=FALSE(),"",COUNTIF($K$6:$K126,TRUE()))</f>
        <v/>
      </c>
      <c r="M126" s="6" t="str">
        <f aca="false">IF($L126="","","R"&amp;$L126)</f>
        <v/>
      </c>
    </row>
    <row r="127" customFormat="false" ht="15" hidden="false" customHeight="false" outlineLevel="0" collapsed="false">
      <c r="K127" s="26" t="b">
        <f aca="false">IF(대여내역!$A124="",FALSE(),OR(대여내역!$L124="미반납",대여내역!$L124="부분반납"))</f>
        <v>0</v>
      </c>
      <c r="L127" s="6" t="str">
        <f aca="false">IF($K127=FALSE(),"",COUNTIF($K$6:$K127,TRUE()))</f>
        <v/>
      </c>
      <c r="M127" s="6" t="str">
        <f aca="false">IF($L127="","","R"&amp;$L127)</f>
        <v/>
      </c>
    </row>
    <row r="128" customFormat="false" ht="15" hidden="false" customHeight="false" outlineLevel="0" collapsed="false">
      <c r="K128" s="26" t="b">
        <f aca="false">IF(대여내역!$A125="",FALSE(),OR(대여내역!$L125="미반납",대여내역!$L125="부분반납"))</f>
        <v>0</v>
      </c>
      <c r="L128" s="6" t="str">
        <f aca="false">IF($K128=FALSE(),"",COUNTIF($K$6:$K128,TRUE()))</f>
        <v/>
      </c>
      <c r="M128" s="6" t="str">
        <f aca="false">IF($L128="","","R"&amp;$L128)</f>
        <v/>
      </c>
    </row>
    <row r="129" customFormat="false" ht="15" hidden="false" customHeight="false" outlineLevel="0" collapsed="false">
      <c r="K129" s="26" t="b">
        <f aca="false">IF(대여내역!$A126="",FALSE(),OR(대여내역!$L126="미반납",대여내역!$L126="부분반납"))</f>
        <v>0</v>
      </c>
      <c r="L129" s="6" t="str">
        <f aca="false">IF($K129=FALSE(),"",COUNTIF($K$6:$K129,TRUE()))</f>
        <v/>
      </c>
      <c r="M129" s="6" t="str">
        <f aca="false">IF($L129="","","R"&amp;$L129)</f>
        <v/>
      </c>
    </row>
    <row r="130" customFormat="false" ht="15" hidden="false" customHeight="false" outlineLevel="0" collapsed="false">
      <c r="K130" s="26" t="b">
        <f aca="false">IF(대여내역!$A127="",FALSE(),OR(대여내역!$L127="미반납",대여내역!$L127="부분반납"))</f>
        <v>0</v>
      </c>
      <c r="L130" s="6" t="str">
        <f aca="false">IF($K130=FALSE(),"",COUNTIF($K$6:$K130,TRUE()))</f>
        <v/>
      </c>
      <c r="M130" s="6" t="str">
        <f aca="false">IF($L130="","","R"&amp;$L130)</f>
        <v/>
      </c>
    </row>
    <row r="131" customFormat="false" ht="15" hidden="false" customHeight="false" outlineLevel="0" collapsed="false">
      <c r="K131" s="26" t="b">
        <f aca="false">IF(대여내역!$A128="",FALSE(),OR(대여내역!$L128="미반납",대여내역!$L128="부분반납"))</f>
        <v>0</v>
      </c>
      <c r="L131" s="6" t="str">
        <f aca="false">IF($K131=FALSE(),"",COUNTIF($K$6:$K131,TRUE()))</f>
        <v/>
      </c>
      <c r="M131" s="6" t="str">
        <f aca="false">IF($L131="","","R"&amp;$L131)</f>
        <v/>
      </c>
    </row>
    <row r="132" customFormat="false" ht="15" hidden="false" customHeight="false" outlineLevel="0" collapsed="false">
      <c r="K132" s="26" t="b">
        <f aca="false">IF(대여내역!$A129="",FALSE(),OR(대여내역!$L129="미반납",대여내역!$L129="부분반납"))</f>
        <v>0</v>
      </c>
      <c r="L132" s="6" t="str">
        <f aca="false">IF($K132=FALSE(),"",COUNTIF($K$6:$K132,TRUE()))</f>
        <v/>
      </c>
      <c r="M132" s="6" t="str">
        <f aca="false">IF($L132="","","R"&amp;$L132)</f>
        <v/>
      </c>
    </row>
    <row r="133" customFormat="false" ht="15" hidden="false" customHeight="false" outlineLevel="0" collapsed="false">
      <c r="K133" s="26" t="b">
        <f aca="false">IF(대여내역!$A130="",FALSE(),OR(대여내역!$L130="미반납",대여내역!$L130="부분반납"))</f>
        <v>0</v>
      </c>
      <c r="L133" s="6" t="str">
        <f aca="false">IF($K133=FALSE(),"",COUNTIF($K$6:$K133,TRUE()))</f>
        <v/>
      </c>
      <c r="M133" s="6" t="str">
        <f aca="false">IF($L133="","","R"&amp;$L133)</f>
        <v/>
      </c>
    </row>
    <row r="134" customFormat="false" ht="15" hidden="false" customHeight="false" outlineLevel="0" collapsed="false">
      <c r="K134" s="26" t="b">
        <f aca="false">IF(대여내역!$A131="",FALSE(),OR(대여내역!$L131="미반납",대여내역!$L131="부분반납"))</f>
        <v>0</v>
      </c>
      <c r="L134" s="6" t="str">
        <f aca="false">IF($K134=FALSE(),"",COUNTIF($K$6:$K134,TRUE()))</f>
        <v/>
      </c>
      <c r="M134" s="6" t="str">
        <f aca="false">IF($L134="","","R"&amp;$L134)</f>
        <v/>
      </c>
    </row>
    <row r="135" customFormat="false" ht="15" hidden="false" customHeight="false" outlineLevel="0" collapsed="false">
      <c r="K135" s="26" t="b">
        <f aca="false">IF(대여내역!$A132="",FALSE(),OR(대여내역!$L132="미반납",대여내역!$L132="부분반납"))</f>
        <v>0</v>
      </c>
      <c r="L135" s="6" t="str">
        <f aca="false">IF($K135=FALSE(),"",COUNTIF($K$6:$K135,TRUE()))</f>
        <v/>
      </c>
      <c r="M135" s="6" t="str">
        <f aca="false">IF($L135="","","R"&amp;$L135)</f>
        <v/>
      </c>
    </row>
    <row r="136" customFormat="false" ht="15" hidden="false" customHeight="false" outlineLevel="0" collapsed="false">
      <c r="K136" s="26" t="b">
        <f aca="false">IF(대여내역!$A133="",FALSE(),OR(대여내역!$L133="미반납",대여내역!$L133="부분반납"))</f>
        <v>0</v>
      </c>
      <c r="L136" s="6" t="str">
        <f aca="false">IF($K136=FALSE(),"",COUNTIF($K$6:$K136,TRUE()))</f>
        <v/>
      </c>
      <c r="M136" s="6" t="str">
        <f aca="false">IF($L136="","","R"&amp;$L136)</f>
        <v/>
      </c>
    </row>
    <row r="137" customFormat="false" ht="15" hidden="false" customHeight="false" outlineLevel="0" collapsed="false">
      <c r="K137" s="26" t="b">
        <f aca="false">IF(대여내역!$A134="",FALSE(),OR(대여내역!$L134="미반납",대여내역!$L134="부분반납"))</f>
        <v>0</v>
      </c>
      <c r="L137" s="6" t="str">
        <f aca="false">IF($K137=FALSE(),"",COUNTIF($K$6:$K137,TRUE()))</f>
        <v/>
      </c>
      <c r="M137" s="6" t="str">
        <f aca="false">IF($L137="","","R"&amp;$L137)</f>
        <v/>
      </c>
    </row>
    <row r="138" customFormat="false" ht="15" hidden="false" customHeight="false" outlineLevel="0" collapsed="false">
      <c r="K138" s="26" t="b">
        <f aca="false">IF(대여내역!$A135="",FALSE(),OR(대여내역!$L135="미반납",대여내역!$L135="부분반납"))</f>
        <v>0</v>
      </c>
      <c r="L138" s="6" t="str">
        <f aca="false">IF($K138=FALSE(),"",COUNTIF($K$6:$K138,TRUE()))</f>
        <v/>
      </c>
      <c r="M138" s="6" t="str">
        <f aca="false">IF($L138="","","R"&amp;$L138)</f>
        <v/>
      </c>
    </row>
    <row r="139" customFormat="false" ht="15" hidden="false" customHeight="false" outlineLevel="0" collapsed="false">
      <c r="K139" s="26" t="b">
        <f aca="false">IF(대여내역!$A136="",FALSE(),OR(대여내역!$L136="미반납",대여내역!$L136="부분반납"))</f>
        <v>0</v>
      </c>
      <c r="L139" s="6" t="str">
        <f aca="false">IF($K139=FALSE(),"",COUNTIF($K$6:$K139,TRUE()))</f>
        <v/>
      </c>
      <c r="M139" s="6" t="str">
        <f aca="false">IF($L139="","","R"&amp;$L139)</f>
        <v/>
      </c>
    </row>
    <row r="140" customFormat="false" ht="15" hidden="false" customHeight="false" outlineLevel="0" collapsed="false">
      <c r="K140" s="26" t="b">
        <f aca="false">IF(대여내역!$A137="",FALSE(),OR(대여내역!$L137="미반납",대여내역!$L137="부분반납"))</f>
        <v>0</v>
      </c>
      <c r="L140" s="6" t="str">
        <f aca="false">IF($K140=FALSE(),"",COUNTIF($K$6:$K140,TRUE()))</f>
        <v/>
      </c>
      <c r="M140" s="6" t="str">
        <f aca="false">IF($L140="","","R"&amp;$L140)</f>
        <v/>
      </c>
    </row>
    <row r="141" customFormat="false" ht="15" hidden="false" customHeight="false" outlineLevel="0" collapsed="false">
      <c r="K141" s="26" t="b">
        <f aca="false">IF(대여내역!$A138="",FALSE(),OR(대여내역!$L138="미반납",대여내역!$L138="부분반납"))</f>
        <v>0</v>
      </c>
      <c r="L141" s="6" t="str">
        <f aca="false">IF($K141=FALSE(),"",COUNTIF($K$6:$K141,TRUE()))</f>
        <v/>
      </c>
      <c r="M141" s="6" t="str">
        <f aca="false">IF($L141="","","R"&amp;$L141)</f>
        <v/>
      </c>
    </row>
    <row r="142" customFormat="false" ht="15" hidden="false" customHeight="false" outlineLevel="0" collapsed="false">
      <c r="K142" s="26" t="b">
        <f aca="false">IF(대여내역!$A139="",FALSE(),OR(대여내역!$L139="미반납",대여내역!$L139="부분반납"))</f>
        <v>0</v>
      </c>
      <c r="L142" s="6" t="str">
        <f aca="false">IF($K142=FALSE(),"",COUNTIF($K$6:$K142,TRUE()))</f>
        <v/>
      </c>
      <c r="M142" s="6" t="str">
        <f aca="false">IF($L142="","","R"&amp;$L142)</f>
        <v/>
      </c>
    </row>
    <row r="143" customFormat="false" ht="15" hidden="false" customHeight="false" outlineLevel="0" collapsed="false">
      <c r="K143" s="26" t="b">
        <f aca="false">IF(대여내역!$A140="",FALSE(),OR(대여내역!$L140="미반납",대여내역!$L140="부분반납"))</f>
        <v>0</v>
      </c>
      <c r="L143" s="6" t="str">
        <f aca="false">IF($K143=FALSE(),"",COUNTIF($K$6:$K143,TRUE()))</f>
        <v/>
      </c>
      <c r="M143" s="6" t="str">
        <f aca="false">IF($L143="","","R"&amp;$L143)</f>
        <v/>
      </c>
    </row>
    <row r="144" customFormat="false" ht="15" hidden="false" customHeight="false" outlineLevel="0" collapsed="false">
      <c r="K144" s="26" t="b">
        <f aca="false">IF(대여내역!$A141="",FALSE(),OR(대여내역!$L141="미반납",대여내역!$L141="부분반납"))</f>
        <v>0</v>
      </c>
      <c r="L144" s="6" t="str">
        <f aca="false">IF($K144=FALSE(),"",COUNTIF($K$6:$K144,TRUE()))</f>
        <v/>
      </c>
      <c r="M144" s="6" t="str">
        <f aca="false">IF($L144="","","R"&amp;$L144)</f>
        <v/>
      </c>
    </row>
    <row r="145" customFormat="false" ht="15" hidden="false" customHeight="false" outlineLevel="0" collapsed="false">
      <c r="K145" s="26" t="b">
        <f aca="false">IF(대여내역!$A142="",FALSE(),OR(대여내역!$L142="미반납",대여내역!$L142="부분반납"))</f>
        <v>0</v>
      </c>
      <c r="L145" s="6" t="str">
        <f aca="false">IF($K145=FALSE(),"",COUNTIF($K$6:$K145,TRUE()))</f>
        <v/>
      </c>
      <c r="M145" s="6" t="str">
        <f aca="false">IF($L145="","","R"&amp;$L145)</f>
        <v/>
      </c>
    </row>
    <row r="146" customFormat="false" ht="15" hidden="false" customHeight="false" outlineLevel="0" collapsed="false">
      <c r="K146" s="26" t="b">
        <f aca="false">IF(대여내역!$A143="",FALSE(),OR(대여내역!$L143="미반납",대여내역!$L143="부분반납"))</f>
        <v>0</v>
      </c>
      <c r="L146" s="6" t="str">
        <f aca="false">IF($K146=FALSE(),"",COUNTIF($K$6:$K146,TRUE()))</f>
        <v/>
      </c>
      <c r="M146" s="6" t="str">
        <f aca="false">IF($L146="","","R"&amp;$L146)</f>
        <v/>
      </c>
    </row>
    <row r="147" customFormat="false" ht="15" hidden="false" customHeight="false" outlineLevel="0" collapsed="false">
      <c r="K147" s="26" t="b">
        <f aca="false">IF(대여내역!$A144="",FALSE(),OR(대여내역!$L144="미반납",대여내역!$L144="부분반납"))</f>
        <v>0</v>
      </c>
      <c r="L147" s="6" t="str">
        <f aca="false">IF($K147=FALSE(),"",COUNTIF($K$6:$K147,TRUE()))</f>
        <v/>
      </c>
      <c r="M147" s="6" t="str">
        <f aca="false">IF($L147="","","R"&amp;$L147)</f>
        <v/>
      </c>
    </row>
    <row r="148" customFormat="false" ht="15" hidden="false" customHeight="false" outlineLevel="0" collapsed="false">
      <c r="K148" s="26" t="b">
        <f aca="false">IF(대여내역!$A145="",FALSE(),OR(대여내역!$L145="미반납",대여내역!$L145="부분반납"))</f>
        <v>0</v>
      </c>
      <c r="L148" s="6" t="str">
        <f aca="false">IF($K148=FALSE(),"",COUNTIF($K$6:$K148,TRUE()))</f>
        <v/>
      </c>
      <c r="M148" s="6" t="str">
        <f aca="false">IF($L148="","","R"&amp;$L148)</f>
        <v/>
      </c>
    </row>
    <row r="149" customFormat="false" ht="15" hidden="false" customHeight="false" outlineLevel="0" collapsed="false">
      <c r="K149" s="26" t="b">
        <f aca="false">IF(대여내역!$A146="",FALSE(),OR(대여내역!$L146="미반납",대여내역!$L146="부분반납"))</f>
        <v>0</v>
      </c>
      <c r="L149" s="6" t="str">
        <f aca="false">IF($K149=FALSE(),"",COUNTIF($K$6:$K149,TRUE()))</f>
        <v/>
      </c>
      <c r="M149" s="6" t="str">
        <f aca="false">IF($L149="","","R"&amp;$L149)</f>
        <v/>
      </c>
    </row>
    <row r="150" customFormat="false" ht="15" hidden="false" customHeight="false" outlineLevel="0" collapsed="false">
      <c r="K150" s="26" t="b">
        <f aca="false">IF(대여내역!$A147="",FALSE(),OR(대여내역!$L147="미반납",대여내역!$L147="부분반납"))</f>
        <v>0</v>
      </c>
      <c r="L150" s="6" t="str">
        <f aca="false">IF($K150=FALSE(),"",COUNTIF($K$6:$K150,TRUE()))</f>
        <v/>
      </c>
      <c r="M150" s="6" t="str">
        <f aca="false">IF($L150="","","R"&amp;$L150)</f>
        <v/>
      </c>
    </row>
    <row r="151" customFormat="false" ht="15" hidden="false" customHeight="false" outlineLevel="0" collapsed="false">
      <c r="K151" s="26" t="b">
        <f aca="false">IF(대여내역!$A148="",FALSE(),OR(대여내역!$L148="미반납",대여내역!$L148="부분반납"))</f>
        <v>0</v>
      </c>
      <c r="L151" s="6" t="str">
        <f aca="false">IF($K151=FALSE(),"",COUNTIF($K$6:$K151,TRUE()))</f>
        <v/>
      </c>
      <c r="M151" s="6" t="str">
        <f aca="false">IF($L151="","","R"&amp;$L151)</f>
        <v/>
      </c>
    </row>
    <row r="152" customFormat="false" ht="15" hidden="false" customHeight="false" outlineLevel="0" collapsed="false">
      <c r="K152" s="26" t="b">
        <f aca="false">IF(대여내역!$A149="",FALSE(),OR(대여내역!$L149="미반납",대여내역!$L149="부분반납"))</f>
        <v>0</v>
      </c>
      <c r="L152" s="6" t="str">
        <f aca="false">IF($K152=FALSE(),"",COUNTIF($K$6:$K152,TRUE()))</f>
        <v/>
      </c>
      <c r="M152" s="6" t="str">
        <f aca="false">IF($L152="","","R"&amp;$L152)</f>
        <v/>
      </c>
    </row>
    <row r="153" customFormat="false" ht="15" hidden="false" customHeight="false" outlineLevel="0" collapsed="false">
      <c r="K153" s="26" t="b">
        <f aca="false">IF(대여내역!$A150="",FALSE(),OR(대여내역!$L150="미반납",대여내역!$L150="부분반납"))</f>
        <v>0</v>
      </c>
      <c r="L153" s="6" t="str">
        <f aca="false">IF($K153=FALSE(),"",COUNTIF($K$6:$K153,TRUE()))</f>
        <v/>
      </c>
      <c r="M153" s="6" t="str">
        <f aca="false">IF($L153="","","R"&amp;$L153)</f>
        <v/>
      </c>
    </row>
    <row r="154" customFormat="false" ht="15" hidden="false" customHeight="false" outlineLevel="0" collapsed="false">
      <c r="K154" s="26" t="b">
        <f aca="false">IF(대여내역!$A151="",FALSE(),OR(대여내역!$L151="미반납",대여내역!$L151="부분반납"))</f>
        <v>0</v>
      </c>
      <c r="L154" s="6" t="str">
        <f aca="false">IF($K154=FALSE(),"",COUNTIF($K$6:$K154,TRUE()))</f>
        <v/>
      </c>
      <c r="M154" s="6" t="str">
        <f aca="false">IF($L154="","","R"&amp;$L154)</f>
        <v/>
      </c>
    </row>
    <row r="155" customFormat="false" ht="15" hidden="false" customHeight="false" outlineLevel="0" collapsed="false">
      <c r="K155" s="26" t="b">
        <f aca="false">IF(대여내역!$A152="",FALSE(),OR(대여내역!$L152="미반납",대여내역!$L152="부분반납"))</f>
        <v>0</v>
      </c>
      <c r="L155" s="6" t="str">
        <f aca="false">IF($K155=FALSE(),"",COUNTIF($K$6:$K155,TRUE()))</f>
        <v/>
      </c>
      <c r="M155" s="6" t="str">
        <f aca="false">IF($L155="","","R"&amp;$L155)</f>
        <v/>
      </c>
    </row>
    <row r="156" customFormat="false" ht="15" hidden="false" customHeight="false" outlineLevel="0" collapsed="false">
      <c r="K156" s="26" t="b">
        <f aca="false">IF(대여내역!$A153="",FALSE(),OR(대여내역!$L153="미반납",대여내역!$L153="부분반납"))</f>
        <v>0</v>
      </c>
      <c r="L156" s="6" t="str">
        <f aca="false">IF($K156=FALSE(),"",COUNTIF($K$6:$K156,TRUE()))</f>
        <v/>
      </c>
      <c r="M156" s="6" t="str">
        <f aca="false">IF($L156="","","R"&amp;$L156)</f>
        <v/>
      </c>
    </row>
    <row r="157" customFormat="false" ht="15" hidden="false" customHeight="false" outlineLevel="0" collapsed="false">
      <c r="K157" s="26" t="b">
        <f aca="false">IF(대여내역!$A154="",FALSE(),OR(대여내역!$L154="미반납",대여내역!$L154="부분반납"))</f>
        <v>0</v>
      </c>
      <c r="L157" s="6" t="str">
        <f aca="false">IF($K157=FALSE(),"",COUNTIF($K$6:$K157,TRUE()))</f>
        <v/>
      </c>
      <c r="M157" s="6" t="str">
        <f aca="false">IF($L157="","","R"&amp;$L157)</f>
        <v/>
      </c>
    </row>
    <row r="158" customFormat="false" ht="15" hidden="false" customHeight="false" outlineLevel="0" collapsed="false">
      <c r="K158" s="26" t="b">
        <f aca="false">IF(대여내역!$A155="",FALSE(),OR(대여내역!$L155="미반납",대여내역!$L155="부분반납"))</f>
        <v>0</v>
      </c>
      <c r="L158" s="6" t="str">
        <f aca="false">IF($K158=FALSE(),"",COUNTIF($K$6:$K158,TRUE()))</f>
        <v/>
      </c>
      <c r="M158" s="6" t="str">
        <f aca="false">IF($L158="","","R"&amp;$L158)</f>
        <v/>
      </c>
    </row>
    <row r="159" customFormat="false" ht="15" hidden="false" customHeight="false" outlineLevel="0" collapsed="false">
      <c r="K159" s="26" t="b">
        <f aca="false">IF(대여내역!$A156="",FALSE(),OR(대여내역!$L156="미반납",대여내역!$L156="부분반납"))</f>
        <v>0</v>
      </c>
      <c r="L159" s="6" t="str">
        <f aca="false">IF($K159=FALSE(),"",COUNTIF($K$6:$K159,TRUE()))</f>
        <v/>
      </c>
      <c r="M159" s="6" t="str">
        <f aca="false">IF($L159="","","R"&amp;$L159)</f>
        <v/>
      </c>
    </row>
    <row r="160" customFormat="false" ht="15" hidden="false" customHeight="false" outlineLevel="0" collapsed="false">
      <c r="K160" s="26" t="b">
        <f aca="false">IF(대여내역!$A157="",FALSE(),OR(대여내역!$L157="미반납",대여내역!$L157="부분반납"))</f>
        <v>0</v>
      </c>
      <c r="L160" s="6" t="str">
        <f aca="false">IF($K160=FALSE(),"",COUNTIF($K$6:$K160,TRUE()))</f>
        <v/>
      </c>
      <c r="M160" s="6" t="str">
        <f aca="false">IF($L160="","","R"&amp;$L160)</f>
        <v/>
      </c>
    </row>
    <row r="161" customFormat="false" ht="15" hidden="false" customHeight="false" outlineLevel="0" collapsed="false">
      <c r="K161" s="26" t="b">
        <f aca="false">IF(대여내역!$A158="",FALSE(),OR(대여내역!$L158="미반납",대여내역!$L158="부분반납"))</f>
        <v>0</v>
      </c>
      <c r="L161" s="6" t="str">
        <f aca="false">IF($K161=FALSE(),"",COUNTIF($K$6:$K161,TRUE()))</f>
        <v/>
      </c>
      <c r="M161" s="6" t="str">
        <f aca="false">IF($L161="","","R"&amp;$L161)</f>
        <v/>
      </c>
    </row>
    <row r="162" customFormat="false" ht="15" hidden="false" customHeight="false" outlineLevel="0" collapsed="false">
      <c r="K162" s="26" t="b">
        <f aca="false">IF(대여내역!$A159="",FALSE(),OR(대여내역!$L159="미반납",대여내역!$L159="부분반납"))</f>
        <v>0</v>
      </c>
      <c r="L162" s="6" t="str">
        <f aca="false">IF($K162=FALSE(),"",COUNTIF($K$6:$K162,TRUE()))</f>
        <v/>
      </c>
      <c r="M162" s="6" t="str">
        <f aca="false">IF($L162="","","R"&amp;$L162)</f>
        <v/>
      </c>
    </row>
    <row r="163" customFormat="false" ht="15" hidden="false" customHeight="false" outlineLevel="0" collapsed="false">
      <c r="K163" s="26" t="b">
        <f aca="false">IF(대여내역!$A160="",FALSE(),OR(대여내역!$L160="미반납",대여내역!$L160="부분반납"))</f>
        <v>0</v>
      </c>
      <c r="L163" s="6" t="str">
        <f aca="false">IF($K163=FALSE(),"",COUNTIF($K$6:$K163,TRUE()))</f>
        <v/>
      </c>
      <c r="M163" s="6" t="str">
        <f aca="false">IF($L163="","","R"&amp;$L163)</f>
        <v/>
      </c>
    </row>
    <row r="164" customFormat="false" ht="15" hidden="false" customHeight="false" outlineLevel="0" collapsed="false">
      <c r="K164" s="26" t="b">
        <f aca="false">IF(대여내역!$A161="",FALSE(),OR(대여내역!$L161="미반납",대여내역!$L161="부분반납"))</f>
        <v>0</v>
      </c>
      <c r="L164" s="6" t="str">
        <f aca="false">IF($K164=FALSE(),"",COUNTIF($K$6:$K164,TRUE()))</f>
        <v/>
      </c>
      <c r="M164" s="6" t="str">
        <f aca="false">IF($L164="","","R"&amp;$L164)</f>
        <v/>
      </c>
    </row>
    <row r="165" customFormat="false" ht="15" hidden="false" customHeight="false" outlineLevel="0" collapsed="false">
      <c r="K165" s="26" t="b">
        <f aca="false">IF(대여내역!$A162="",FALSE(),OR(대여내역!$L162="미반납",대여내역!$L162="부분반납"))</f>
        <v>0</v>
      </c>
      <c r="L165" s="6" t="str">
        <f aca="false">IF($K165=FALSE(),"",COUNTIF($K$6:$K165,TRUE()))</f>
        <v/>
      </c>
      <c r="M165" s="6" t="str">
        <f aca="false">IF($L165="","","R"&amp;$L165)</f>
        <v/>
      </c>
    </row>
    <row r="166" customFormat="false" ht="15" hidden="false" customHeight="false" outlineLevel="0" collapsed="false">
      <c r="K166" s="26" t="b">
        <f aca="false">IF(대여내역!$A163="",FALSE(),OR(대여내역!$L163="미반납",대여내역!$L163="부분반납"))</f>
        <v>0</v>
      </c>
      <c r="L166" s="6" t="str">
        <f aca="false">IF($K166=FALSE(),"",COUNTIF($K$6:$K166,TRUE()))</f>
        <v/>
      </c>
      <c r="M166" s="6" t="str">
        <f aca="false">IF($L166="","","R"&amp;$L166)</f>
        <v/>
      </c>
    </row>
    <row r="167" customFormat="false" ht="15" hidden="false" customHeight="false" outlineLevel="0" collapsed="false">
      <c r="K167" s="26" t="b">
        <f aca="false">IF(대여내역!$A164="",FALSE(),OR(대여내역!$L164="미반납",대여내역!$L164="부분반납"))</f>
        <v>0</v>
      </c>
      <c r="L167" s="6" t="str">
        <f aca="false">IF($K167=FALSE(),"",COUNTIF($K$6:$K167,TRUE()))</f>
        <v/>
      </c>
      <c r="M167" s="6" t="str">
        <f aca="false">IF($L167="","","R"&amp;$L167)</f>
        <v/>
      </c>
    </row>
    <row r="168" customFormat="false" ht="15" hidden="false" customHeight="false" outlineLevel="0" collapsed="false">
      <c r="K168" s="26" t="b">
        <f aca="false">IF(대여내역!$A165="",FALSE(),OR(대여내역!$L165="미반납",대여내역!$L165="부분반납"))</f>
        <v>0</v>
      </c>
      <c r="L168" s="6" t="str">
        <f aca="false">IF($K168=FALSE(),"",COUNTIF($K$6:$K168,TRUE()))</f>
        <v/>
      </c>
      <c r="M168" s="6" t="str">
        <f aca="false">IF($L168="","","R"&amp;$L168)</f>
        <v/>
      </c>
    </row>
    <row r="169" customFormat="false" ht="15" hidden="false" customHeight="false" outlineLevel="0" collapsed="false">
      <c r="K169" s="26" t="b">
        <f aca="false">IF(대여내역!$A166="",FALSE(),OR(대여내역!$L166="미반납",대여내역!$L166="부분반납"))</f>
        <v>0</v>
      </c>
      <c r="L169" s="6" t="str">
        <f aca="false">IF($K169=FALSE(),"",COUNTIF($K$6:$K169,TRUE()))</f>
        <v/>
      </c>
      <c r="M169" s="6" t="str">
        <f aca="false">IF($L169="","","R"&amp;$L169)</f>
        <v/>
      </c>
    </row>
    <row r="170" customFormat="false" ht="15" hidden="false" customHeight="false" outlineLevel="0" collapsed="false">
      <c r="K170" s="26" t="b">
        <f aca="false">IF(대여내역!$A167="",FALSE(),OR(대여내역!$L167="미반납",대여내역!$L167="부분반납"))</f>
        <v>0</v>
      </c>
      <c r="L170" s="6" t="str">
        <f aca="false">IF($K170=FALSE(),"",COUNTIF($K$6:$K170,TRUE()))</f>
        <v/>
      </c>
      <c r="M170" s="6" t="str">
        <f aca="false">IF($L170="","","R"&amp;$L170)</f>
        <v/>
      </c>
    </row>
    <row r="171" customFormat="false" ht="15" hidden="false" customHeight="false" outlineLevel="0" collapsed="false">
      <c r="K171" s="26" t="b">
        <f aca="false">IF(대여내역!$A168="",FALSE(),OR(대여내역!$L168="미반납",대여내역!$L168="부분반납"))</f>
        <v>0</v>
      </c>
      <c r="L171" s="6" t="str">
        <f aca="false">IF($K171=FALSE(),"",COUNTIF($K$6:$K171,TRUE()))</f>
        <v/>
      </c>
      <c r="M171" s="6" t="str">
        <f aca="false">IF($L171="","","R"&amp;$L171)</f>
        <v/>
      </c>
    </row>
    <row r="172" customFormat="false" ht="15" hidden="false" customHeight="false" outlineLevel="0" collapsed="false">
      <c r="K172" s="26" t="b">
        <f aca="false">IF(대여내역!$A169="",FALSE(),OR(대여내역!$L169="미반납",대여내역!$L169="부분반납"))</f>
        <v>0</v>
      </c>
      <c r="L172" s="6" t="str">
        <f aca="false">IF($K172=FALSE(),"",COUNTIF($K$6:$K172,TRUE()))</f>
        <v/>
      </c>
      <c r="M172" s="6" t="str">
        <f aca="false">IF($L172="","","R"&amp;$L172)</f>
        <v/>
      </c>
    </row>
    <row r="173" customFormat="false" ht="15" hidden="false" customHeight="false" outlineLevel="0" collapsed="false">
      <c r="K173" s="26" t="b">
        <f aca="false">IF(대여내역!$A170="",FALSE(),OR(대여내역!$L170="미반납",대여내역!$L170="부분반납"))</f>
        <v>0</v>
      </c>
      <c r="L173" s="6" t="str">
        <f aca="false">IF($K173=FALSE(),"",COUNTIF($K$6:$K173,TRUE()))</f>
        <v/>
      </c>
      <c r="M173" s="6" t="str">
        <f aca="false">IF($L173="","","R"&amp;$L173)</f>
        <v/>
      </c>
    </row>
    <row r="174" customFormat="false" ht="15" hidden="false" customHeight="false" outlineLevel="0" collapsed="false">
      <c r="K174" s="26" t="b">
        <f aca="false">IF(대여내역!$A171="",FALSE(),OR(대여내역!$L171="미반납",대여내역!$L171="부분반납"))</f>
        <v>0</v>
      </c>
      <c r="L174" s="6" t="str">
        <f aca="false">IF($K174=FALSE(),"",COUNTIF($K$6:$K174,TRUE()))</f>
        <v/>
      </c>
      <c r="M174" s="6" t="str">
        <f aca="false">IF($L174="","","R"&amp;$L174)</f>
        <v/>
      </c>
    </row>
    <row r="175" customFormat="false" ht="15" hidden="false" customHeight="false" outlineLevel="0" collapsed="false">
      <c r="K175" s="26" t="b">
        <f aca="false">IF(대여내역!$A172="",FALSE(),OR(대여내역!$L172="미반납",대여내역!$L172="부분반납"))</f>
        <v>0</v>
      </c>
      <c r="L175" s="6" t="str">
        <f aca="false">IF($K175=FALSE(),"",COUNTIF($K$6:$K175,TRUE()))</f>
        <v/>
      </c>
      <c r="M175" s="6" t="str">
        <f aca="false">IF($L175="","","R"&amp;$L175)</f>
        <v/>
      </c>
    </row>
    <row r="176" customFormat="false" ht="15" hidden="false" customHeight="false" outlineLevel="0" collapsed="false">
      <c r="K176" s="26" t="b">
        <f aca="false">IF(대여내역!$A173="",FALSE(),OR(대여내역!$L173="미반납",대여내역!$L173="부분반납"))</f>
        <v>0</v>
      </c>
      <c r="L176" s="6" t="str">
        <f aca="false">IF($K176=FALSE(),"",COUNTIF($K$6:$K176,TRUE()))</f>
        <v/>
      </c>
      <c r="M176" s="6" t="str">
        <f aca="false">IF($L176="","","R"&amp;$L176)</f>
        <v/>
      </c>
    </row>
    <row r="177" customFormat="false" ht="15" hidden="false" customHeight="false" outlineLevel="0" collapsed="false">
      <c r="K177" s="26" t="b">
        <f aca="false">IF(대여내역!$A174="",FALSE(),OR(대여내역!$L174="미반납",대여내역!$L174="부분반납"))</f>
        <v>0</v>
      </c>
      <c r="L177" s="6" t="str">
        <f aca="false">IF($K177=FALSE(),"",COUNTIF($K$6:$K177,TRUE()))</f>
        <v/>
      </c>
      <c r="M177" s="6" t="str">
        <f aca="false">IF($L177="","","R"&amp;$L177)</f>
        <v/>
      </c>
    </row>
    <row r="178" customFormat="false" ht="15" hidden="false" customHeight="false" outlineLevel="0" collapsed="false">
      <c r="K178" s="26" t="b">
        <f aca="false">IF(대여내역!$A175="",FALSE(),OR(대여내역!$L175="미반납",대여내역!$L175="부분반납"))</f>
        <v>0</v>
      </c>
      <c r="L178" s="6" t="str">
        <f aca="false">IF($K178=FALSE(),"",COUNTIF($K$6:$K178,TRUE()))</f>
        <v/>
      </c>
      <c r="M178" s="6" t="str">
        <f aca="false">IF($L178="","","R"&amp;$L178)</f>
        <v/>
      </c>
    </row>
    <row r="179" customFormat="false" ht="15" hidden="false" customHeight="false" outlineLevel="0" collapsed="false">
      <c r="K179" s="26" t="b">
        <f aca="false">IF(대여내역!$A176="",FALSE(),OR(대여내역!$L176="미반납",대여내역!$L176="부분반납"))</f>
        <v>0</v>
      </c>
      <c r="L179" s="6" t="str">
        <f aca="false">IF($K179=FALSE(),"",COUNTIF($K$6:$K179,TRUE()))</f>
        <v/>
      </c>
      <c r="M179" s="6" t="str">
        <f aca="false">IF($L179="","","R"&amp;$L179)</f>
        <v/>
      </c>
    </row>
    <row r="180" customFormat="false" ht="15" hidden="false" customHeight="false" outlineLevel="0" collapsed="false">
      <c r="K180" s="26" t="b">
        <f aca="false">IF(대여내역!$A177="",FALSE(),OR(대여내역!$L177="미반납",대여내역!$L177="부분반납"))</f>
        <v>0</v>
      </c>
      <c r="L180" s="6" t="str">
        <f aca="false">IF($K180=FALSE(),"",COUNTIF($K$6:$K180,TRUE()))</f>
        <v/>
      </c>
      <c r="M180" s="6" t="str">
        <f aca="false">IF($L180="","","R"&amp;$L180)</f>
        <v/>
      </c>
    </row>
    <row r="181" customFormat="false" ht="15" hidden="false" customHeight="false" outlineLevel="0" collapsed="false">
      <c r="K181" s="26" t="b">
        <f aca="false">IF(대여내역!$A178="",FALSE(),OR(대여내역!$L178="미반납",대여내역!$L178="부분반납"))</f>
        <v>0</v>
      </c>
      <c r="L181" s="6" t="str">
        <f aca="false">IF($K181=FALSE(),"",COUNTIF($K$6:$K181,TRUE()))</f>
        <v/>
      </c>
      <c r="M181" s="6" t="str">
        <f aca="false">IF($L181="","","R"&amp;$L181)</f>
        <v/>
      </c>
    </row>
    <row r="182" customFormat="false" ht="15" hidden="false" customHeight="false" outlineLevel="0" collapsed="false">
      <c r="K182" s="26" t="b">
        <f aca="false">IF(대여내역!$A179="",FALSE(),OR(대여내역!$L179="미반납",대여내역!$L179="부분반납"))</f>
        <v>0</v>
      </c>
      <c r="L182" s="6" t="str">
        <f aca="false">IF($K182=FALSE(),"",COUNTIF($K$6:$K182,TRUE()))</f>
        <v/>
      </c>
      <c r="M182" s="6" t="str">
        <f aca="false">IF($L182="","","R"&amp;$L182)</f>
        <v/>
      </c>
    </row>
    <row r="183" customFormat="false" ht="15" hidden="false" customHeight="false" outlineLevel="0" collapsed="false">
      <c r="K183" s="26" t="b">
        <f aca="false">IF(대여내역!$A180="",FALSE(),OR(대여내역!$L180="미반납",대여내역!$L180="부분반납"))</f>
        <v>0</v>
      </c>
      <c r="L183" s="6" t="str">
        <f aca="false">IF($K183=FALSE(),"",COUNTIF($K$6:$K183,TRUE()))</f>
        <v/>
      </c>
      <c r="M183" s="6" t="str">
        <f aca="false">IF($L183="","","R"&amp;$L183)</f>
        <v/>
      </c>
    </row>
    <row r="184" customFormat="false" ht="15" hidden="false" customHeight="false" outlineLevel="0" collapsed="false">
      <c r="K184" s="26" t="b">
        <f aca="false">IF(대여내역!$A181="",FALSE(),OR(대여내역!$L181="미반납",대여내역!$L181="부분반납"))</f>
        <v>0</v>
      </c>
      <c r="L184" s="6" t="str">
        <f aca="false">IF($K184=FALSE(),"",COUNTIF($K$6:$K184,TRUE()))</f>
        <v/>
      </c>
      <c r="M184" s="6" t="str">
        <f aca="false">IF($L184="","","R"&amp;$L184)</f>
        <v/>
      </c>
    </row>
    <row r="185" customFormat="false" ht="15" hidden="false" customHeight="false" outlineLevel="0" collapsed="false">
      <c r="K185" s="26" t="b">
        <f aca="false">IF(대여내역!$A182="",FALSE(),OR(대여내역!$L182="미반납",대여내역!$L182="부분반납"))</f>
        <v>0</v>
      </c>
      <c r="L185" s="6" t="str">
        <f aca="false">IF($K185=FALSE(),"",COUNTIF($K$6:$K185,TRUE()))</f>
        <v/>
      </c>
      <c r="M185" s="6" t="str">
        <f aca="false">IF($L185="","","R"&amp;$L185)</f>
        <v/>
      </c>
    </row>
    <row r="186" customFormat="false" ht="15" hidden="false" customHeight="false" outlineLevel="0" collapsed="false">
      <c r="K186" s="26" t="b">
        <f aca="false">IF(대여내역!$A183="",FALSE(),OR(대여내역!$L183="미반납",대여내역!$L183="부분반납"))</f>
        <v>0</v>
      </c>
      <c r="L186" s="6" t="str">
        <f aca="false">IF($K186=FALSE(),"",COUNTIF($K$6:$K186,TRUE()))</f>
        <v/>
      </c>
      <c r="M186" s="6" t="str">
        <f aca="false">IF($L186="","","R"&amp;$L186)</f>
        <v/>
      </c>
    </row>
    <row r="187" customFormat="false" ht="15" hidden="false" customHeight="false" outlineLevel="0" collapsed="false">
      <c r="K187" s="26" t="b">
        <f aca="false">IF(대여내역!$A184="",FALSE(),OR(대여내역!$L184="미반납",대여내역!$L184="부분반납"))</f>
        <v>0</v>
      </c>
      <c r="L187" s="6" t="str">
        <f aca="false">IF($K187=FALSE(),"",COUNTIF($K$6:$K187,TRUE()))</f>
        <v/>
      </c>
      <c r="M187" s="6" t="str">
        <f aca="false">IF($L187="","","R"&amp;$L187)</f>
        <v/>
      </c>
    </row>
    <row r="188" customFormat="false" ht="15" hidden="false" customHeight="false" outlineLevel="0" collapsed="false">
      <c r="K188" s="26" t="b">
        <f aca="false">IF(대여내역!$A185="",FALSE(),OR(대여내역!$L185="미반납",대여내역!$L185="부분반납"))</f>
        <v>0</v>
      </c>
      <c r="L188" s="6" t="str">
        <f aca="false">IF($K188=FALSE(),"",COUNTIF($K$6:$K188,TRUE()))</f>
        <v/>
      </c>
      <c r="M188" s="6" t="str">
        <f aca="false">IF($L188="","","R"&amp;$L188)</f>
        <v/>
      </c>
    </row>
    <row r="189" customFormat="false" ht="15" hidden="false" customHeight="false" outlineLevel="0" collapsed="false">
      <c r="K189" s="26" t="b">
        <f aca="false">IF(대여내역!$A186="",FALSE(),OR(대여내역!$L186="미반납",대여내역!$L186="부분반납"))</f>
        <v>0</v>
      </c>
      <c r="L189" s="6" t="str">
        <f aca="false">IF($K189=FALSE(),"",COUNTIF($K$6:$K189,TRUE()))</f>
        <v/>
      </c>
      <c r="M189" s="6" t="str">
        <f aca="false">IF($L189="","","R"&amp;$L189)</f>
        <v/>
      </c>
    </row>
    <row r="190" customFormat="false" ht="15" hidden="false" customHeight="false" outlineLevel="0" collapsed="false">
      <c r="K190" s="26" t="b">
        <f aca="false">IF(대여내역!$A187="",FALSE(),OR(대여내역!$L187="미반납",대여내역!$L187="부분반납"))</f>
        <v>0</v>
      </c>
      <c r="L190" s="6" t="str">
        <f aca="false">IF($K190=FALSE(),"",COUNTIF($K$6:$K190,TRUE()))</f>
        <v/>
      </c>
      <c r="M190" s="6" t="str">
        <f aca="false">IF($L190="","","R"&amp;$L190)</f>
        <v/>
      </c>
    </row>
    <row r="191" customFormat="false" ht="15" hidden="false" customHeight="false" outlineLevel="0" collapsed="false">
      <c r="K191" s="26" t="b">
        <f aca="false">IF(대여내역!$A188="",FALSE(),OR(대여내역!$L188="미반납",대여내역!$L188="부분반납"))</f>
        <v>0</v>
      </c>
      <c r="L191" s="6" t="str">
        <f aca="false">IF($K191=FALSE(),"",COUNTIF($K$6:$K191,TRUE()))</f>
        <v/>
      </c>
      <c r="M191" s="6" t="str">
        <f aca="false">IF($L191="","","R"&amp;$L191)</f>
        <v/>
      </c>
    </row>
    <row r="192" customFormat="false" ht="15" hidden="false" customHeight="false" outlineLevel="0" collapsed="false">
      <c r="K192" s="26" t="b">
        <f aca="false">IF(대여내역!$A189="",FALSE(),OR(대여내역!$L189="미반납",대여내역!$L189="부분반납"))</f>
        <v>0</v>
      </c>
      <c r="L192" s="6" t="str">
        <f aca="false">IF($K192=FALSE(),"",COUNTIF($K$6:$K192,TRUE()))</f>
        <v/>
      </c>
      <c r="M192" s="6" t="str">
        <f aca="false">IF($L192="","","R"&amp;$L192)</f>
        <v/>
      </c>
    </row>
    <row r="193" customFormat="false" ht="15" hidden="false" customHeight="false" outlineLevel="0" collapsed="false">
      <c r="K193" s="26" t="b">
        <f aca="false">IF(대여내역!$A190="",FALSE(),OR(대여내역!$L190="미반납",대여내역!$L190="부분반납"))</f>
        <v>0</v>
      </c>
      <c r="L193" s="6" t="str">
        <f aca="false">IF($K193=FALSE(),"",COUNTIF($K$6:$K193,TRUE()))</f>
        <v/>
      </c>
      <c r="M193" s="6" t="str">
        <f aca="false">IF($L193="","","R"&amp;$L193)</f>
        <v/>
      </c>
    </row>
    <row r="194" customFormat="false" ht="15" hidden="false" customHeight="false" outlineLevel="0" collapsed="false">
      <c r="K194" s="26" t="b">
        <f aca="false">IF(대여내역!$A191="",FALSE(),OR(대여내역!$L191="미반납",대여내역!$L191="부분반납"))</f>
        <v>0</v>
      </c>
      <c r="L194" s="6" t="str">
        <f aca="false">IF($K194=FALSE(),"",COUNTIF($K$6:$K194,TRUE()))</f>
        <v/>
      </c>
      <c r="M194" s="6" t="str">
        <f aca="false">IF($L194="","","R"&amp;$L194)</f>
        <v/>
      </c>
    </row>
    <row r="195" customFormat="false" ht="15" hidden="false" customHeight="false" outlineLevel="0" collapsed="false">
      <c r="K195" s="26" t="b">
        <f aca="false">IF(대여내역!$A192="",FALSE(),OR(대여내역!$L192="미반납",대여내역!$L192="부분반납"))</f>
        <v>0</v>
      </c>
      <c r="L195" s="6" t="str">
        <f aca="false">IF($K195=FALSE(),"",COUNTIF($K$6:$K195,TRUE()))</f>
        <v/>
      </c>
      <c r="M195" s="6" t="str">
        <f aca="false">IF($L195="","","R"&amp;$L195)</f>
        <v/>
      </c>
    </row>
    <row r="196" customFormat="false" ht="15" hidden="false" customHeight="false" outlineLevel="0" collapsed="false">
      <c r="K196" s="26" t="b">
        <f aca="false">IF(대여내역!$A193="",FALSE(),OR(대여내역!$L193="미반납",대여내역!$L193="부분반납"))</f>
        <v>0</v>
      </c>
      <c r="L196" s="6" t="str">
        <f aca="false">IF($K196=FALSE(),"",COUNTIF($K$6:$K196,TRUE()))</f>
        <v/>
      </c>
      <c r="M196" s="6" t="str">
        <f aca="false">IF($L196="","","R"&amp;$L196)</f>
        <v/>
      </c>
    </row>
    <row r="197" customFormat="false" ht="15" hidden="false" customHeight="false" outlineLevel="0" collapsed="false">
      <c r="K197" s="26" t="b">
        <f aca="false">IF(대여내역!$A194="",FALSE(),OR(대여내역!$L194="미반납",대여내역!$L194="부분반납"))</f>
        <v>0</v>
      </c>
      <c r="L197" s="6" t="str">
        <f aca="false">IF($K197=FALSE(),"",COUNTIF($K$6:$K197,TRUE()))</f>
        <v/>
      </c>
      <c r="M197" s="6" t="str">
        <f aca="false">IF($L197="","","R"&amp;$L197)</f>
        <v/>
      </c>
    </row>
    <row r="198" customFormat="false" ht="15" hidden="false" customHeight="false" outlineLevel="0" collapsed="false">
      <c r="K198" s="26" t="b">
        <f aca="false">IF(대여내역!$A195="",FALSE(),OR(대여내역!$L195="미반납",대여내역!$L195="부분반납"))</f>
        <v>0</v>
      </c>
      <c r="L198" s="6" t="str">
        <f aca="false">IF($K198=FALSE(),"",COUNTIF($K$6:$K198,TRUE()))</f>
        <v/>
      </c>
      <c r="M198" s="6" t="str">
        <f aca="false">IF($L198="","","R"&amp;$L198)</f>
        <v/>
      </c>
    </row>
    <row r="199" customFormat="false" ht="15" hidden="false" customHeight="false" outlineLevel="0" collapsed="false">
      <c r="K199" s="26" t="b">
        <f aca="false">IF(대여내역!$A196="",FALSE(),OR(대여내역!$L196="미반납",대여내역!$L196="부분반납"))</f>
        <v>0</v>
      </c>
      <c r="L199" s="6" t="str">
        <f aca="false">IF($K199=FALSE(),"",COUNTIF($K$6:$K199,TRUE()))</f>
        <v/>
      </c>
      <c r="M199" s="6" t="str">
        <f aca="false">IF($L199="","","R"&amp;$L199)</f>
        <v/>
      </c>
    </row>
    <row r="200" customFormat="false" ht="15" hidden="false" customHeight="false" outlineLevel="0" collapsed="false">
      <c r="K200" s="26" t="b">
        <f aca="false">IF(대여내역!$A197="",FALSE(),OR(대여내역!$L197="미반납",대여내역!$L197="부분반납"))</f>
        <v>0</v>
      </c>
      <c r="L200" s="6" t="str">
        <f aca="false">IF($K200=FALSE(),"",COUNTIF($K$6:$K200,TRUE()))</f>
        <v/>
      </c>
      <c r="M200" s="6" t="str">
        <f aca="false">IF($L200="","","R"&amp;$L200)</f>
        <v/>
      </c>
    </row>
    <row r="201" customFormat="false" ht="15" hidden="false" customHeight="false" outlineLevel="0" collapsed="false">
      <c r="K201" s="26" t="b">
        <f aca="false">IF(대여내역!$A198="",FALSE(),OR(대여내역!$L198="미반납",대여내역!$L198="부분반납"))</f>
        <v>0</v>
      </c>
      <c r="L201" s="6" t="str">
        <f aca="false">IF($K201=FALSE(),"",COUNTIF($K$6:$K201,TRUE()))</f>
        <v/>
      </c>
      <c r="M201" s="6" t="str">
        <f aca="false">IF($L201="","","R"&amp;$L201)</f>
        <v/>
      </c>
    </row>
    <row r="202" customFormat="false" ht="15" hidden="false" customHeight="false" outlineLevel="0" collapsed="false">
      <c r="K202" s="26" t="b">
        <f aca="false">IF(대여내역!$A199="",FALSE(),OR(대여내역!$L199="미반납",대여내역!$L199="부분반납"))</f>
        <v>0</v>
      </c>
      <c r="L202" s="6" t="str">
        <f aca="false">IF($K202=FALSE(),"",COUNTIF($K$6:$K202,TRUE()))</f>
        <v/>
      </c>
      <c r="M202" s="6" t="str">
        <f aca="false">IF($L202="","","R"&amp;$L202)</f>
        <v/>
      </c>
    </row>
    <row r="203" customFormat="false" ht="15" hidden="false" customHeight="false" outlineLevel="0" collapsed="false">
      <c r="K203" s="26" t="b">
        <f aca="false">IF(대여내역!$A200="",FALSE(),OR(대여내역!$L200="미반납",대여내역!$L200="부분반납"))</f>
        <v>0</v>
      </c>
      <c r="L203" s="6" t="str">
        <f aca="false">IF($K203=FALSE(),"",COUNTIF($K$6:$K203,TRUE()))</f>
        <v/>
      </c>
      <c r="M203" s="6" t="str">
        <f aca="false">IF($L203="","","R"&amp;$L203)</f>
        <v/>
      </c>
    </row>
    <row r="204" customFormat="false" ht="15" hidden="false" customHeight="false" outlineLevel="0" collapsed="false">
      <c r="K204" s="26" t="b">
        <f aca="false">IF(대여내역!$A201="",FALSE(),OR(대여내역!$L201="미반납",대여내역!$L201="부분반납"))</f>
        <v>0</v>
      </c>
      <c r="L204" s="6" t="str">
        <f aca="false">IF($K204=FALSE(),"",COUNTIF($K$6:$K204,TRUE()))</f>
        <v/>
      </c>
      <c r="M204" s="6" t="str">
        <f aca="false">IF($L204="","","R"&amp;$L204)</f>
        <v/>
      </c>
    </row>
    <row r="205" customFormat="false" ht="15" hidden="false" customHeight="false" outlineLevel="0" collapsed="false">
      <c r="K205" s="26" t="b">
        <f aca="false">IF(대여내역!$A202="",FALSE(),OR(대여내역!$L202="미반납",대여내역!$L202="부분반납"))</f>
        <v>0</v>
      </c>
      <c r="L205" s="6" t="str">
        <f aca="false">IF($K205=FALSE(),"",COUNTIF($K$6:$K205,TRUE()))</f>
        <v/>
      </c>
      <c r="M205" s="6" t="str">
        <f aca="false">IF($L205="","","R"&amp;$L205)</f>
        <v/>
      </c>
    </row>
    <row r="206" customFormat="false" ht="15" hidden="false" customHeight="false" outlineLevel="0" collapsed="false">
      <c r="K206" s="26" t="b">
        <f aca="false">IF(대여내역!$A203="",FALSE(),OR(대여내역!$L203="미반납",대여내역!$L203="부분반납"))</f>
        <v>0</v>
      </c>
      <c r="L206" s="6" t="str">
        <f aca="false">IF($K206=FALSE(),"",COUNTIF($K$6:$K206,TRUE()))</f>
        <v/>
      </c>
      <c r="M206" s="6" t="str">
        <f aca="false">IF($L206="","","R"&amp;$L206)</f>
        <v/>
      </c>
    </row>
    <row r="207" customFormat="false" ht="15" hidden="false" customHeight="false" outlineLevel="0" collapsed="false">
      <c r="K207" s="26" t="b">
        <f aca="false">IF(대여내역!$A204="",FALSE(),OR(대여내역!$L204="미반납",대여내역!$L204="부분반납"))</f>
        <v>0</v>
      </c>
      <c r="L207" s="6" t="str">
        <f aca="false">IF($K207=FALSE(),"",COUNTIF($K$6:$K207,TRUE()))</f>
        <v/>
      </c>
      <c r="M207" s="6" t="str">
        <f aca="false">IF($L207="","","R"&amp;$L207)</f>
        <v/>
      </c>
    </row>
    <row r="208" customFormat="false" ht="15" hidden="false" customHeight="false" outlineLevel="0" collapsed="false">
      <c r="K208" s="26" t="b">
        <f aca="false">IF(대여내역!$A205="",FALSE(),OR(대여내역!$L205="미반납",대여내역!$L205="부분반납"))</f>
        <v>0</v>
      </c>
      <c r="L208" s="6" t="str">
        <f aca="false">IF($K208=FALSE(),"",COUNTIF($K$6:$K208,TRUE()))</f>
        <v/>
      </c>
      <c r="M208" s="6" t="str">
        <f aca="false">IF($L208="","","R"&amp;$L208)</f>
        <v/>
      </c>
    </row>
    <row r="209" customFormat="false" ht="15" hidden="false" customHeight="false" outlineLevel="0" collapsed="false">
      <c r="K209" s="26" t="b">
        <f aca="false">IF(대여내역!$A206="",FALSE(),OR(대여내역!$L206="미반납",대여내역!$L206="부분반납"))</f>
        <v>0</v>
      </c>
      <c r="L209" s="6" t="str">
        <f aca="false">IF($K209=FALSE(),"",COUNTIF($K$6:$K209,TRUE()))</f>
        <v/>
      </c>
      <c r="M209" s="6" t="str">
        <f aca="false">IF($L209="","","R"&amp;$L209)</f>
        <v/>
      </c>
    </row>
    <row r="210" customFormat="false" ht="15" hidden="false" customHeight="false" outlineLevel="0" collapsed="false">
      <c r="K210" s="26" t="b">
        <f aca="false">IF(대여내역!$A207="",FALSE(),OR(대여내역!$L207="미반납",대여내역!$L207="부분반납"))</f>
        <v>0</v>
      </c>
      <c r="L210" s="6" t="str">
        <f aca="false">IF($K210=FALSE(),"",COUNTIF($K$6:$K210,TRUE()))</f>
        <v/>
      </c>
      <c r="M210" s="6" t="str">
        <f aca="false">IF($L210="","","R"&amp;$L210)</f>
        <v/>
      </c>
    </row>
    <row r="211" customFormat="false" ht="15" hidden="false" customHeight="false" outlineLevel="0" collapsed="false">
      <c r="K211" s="26" t="b">
        <f aca="false">IF(대여내역!$A208="",FALSE(),OR(대여내역!$L208="미반납",대여내역!$L208="부분반납"))</f>
        <v>0</v>
      </c>
      <c r="L211" s="6" t="str">
        <f aca="false">IF($K211=FALSE(),"",COUNTIF($K$6:$K211,TRUE()))</f>
        <v/>
      </c>
      <c r="M211" s="6" t="str">
        <f aca="false">IF($L211="","","R"&amp;$L211)</f>
        <v/>
      </c>
    </row>
    <row r="212" customFormat="false" ht="15" hidden="false" customHeight="false" outlineLevel="0" collapsed="false">
      <c r="K212" s="26" t="b">
        <f aca="false">IF(대여내역!$A209="",FALSE(),OR(대여내역!$L209="미반납",대여내역!$L209="부분반납"))</f>
        <v>0</v>
      </c>
      <c r="L212" s="6" t="str">
        <f aca="false">IF($K212=FALSE(),"",COUNTIF($K$6:$K212,TRUE()))</f>
        <v/>
      </c>
      <c r="M212" s="6" t="str">
        <f aca="false">IF($L212="","","R"&amp;$L212)</f>
        <v/>
      </c>
    </row>
    <row r="213" customFormat="false" ht="15" hidden="false" customHeight="false" outlineLevel="0" collapsed="false">
      <c r="K213" s="26" t="b">
        <f aca="false">IF(대여내역!$A210="",FALSE(),OR(대여내역!$L210="미반납",대여내역!$L210="부분반납"))</f>
        <v>0</v>
      </c>
      <c r="L213" s="6" t="str">
        <f aca="false">IF($K213=FALSE(),"",COUNTIF($K$6:$K213,TRUE()))</f>
        <v/>
      </c>
      <c r="M213" s="6" t="str">
        <f aca="false">IF($L213="","","R"&amp;$L213)</f>
        <v/>
      </c>
    </row>
    <row r="214" customFormat="false" ht="15" hidden="false" customHeight="false" outlineLevel="0" collapsed="false">
      <c r="K214" s="26" t="b">
        <f aca="false">IF(대여내역!$A211="",FALSE(),OR(대여내역!$L211="미반납",대여내역!$L211="부분반납"))</f>
        <v>0</v>
      </c>
      <c r="L214" s="6" t="str">
        <f aca="false">IF($K214=FALSE(),"",COUNTIF($K$6:$K214,TRUE()))</f>
        <v/>
      </c>
      <c r="M214" s="6" t="str">
        <f aca="false">IF($L214="","","R"&amp;$L214)</f>
        <v/>
      </c>
    </row>
    <row r="215" customFormat="false" ht="15" hidden="false" customHeight="false" outlineLevel="0" collapsed="false">
      <c r="K215" s="26" t="b">
        <f aca="false">IF(대여내역!$A212="",FALSE(),OR(대여내역!$L212="미반납",대여내역!$L212="부분반납"))</f>
        <v>0</v>
      </c>
      <c r="L215" s="6" t="str">
        <f aca="false">IF($K215=FALSE(),"",COUNTIF($K$6:$K215,TRUE()))</f>
        <v/>
      </c>
      <c r="M215" s="6" t="str">
        <f aca="false">IF($L215="","","R"&amp;$L215)</f>
        <v/>
      </c>
    </row>
    <row r="216" customFormat="false" ht="15" hidden="false" customHeight="false" outlineLevel="0" collapsed="false">
      <c r="K216" s="26" t="b">
        <f aca="false">IF(대여내역!$A213="",FALSE(),OR(대여내역!$L213="미반납",대여내역!$L213="부분반납"))</f>
        <v>0</v>
      </c>
      <c r="L216" s="6" t="str">
        <f aca="false">IF($K216=FALSE(),"",COUNTIF($K$6:$K216,TRUE()))</f>
        <v/>
      </c>
      <c r="M216" s="6" t="str">
        <f aca="false">IF($L216="","","R"&amp;$L216)</f>
        <v/>
      </c>
    </row>
    <row r="217" customFormat="false" ht="15" hidden="false" customHeight="false" outlineLevel="0" collapsed="false">
      <c r="K217" s="26" t="b">
        <f aca="false">IF(대여내역!$A214="",FALSE(),OR(대여내역!$L214="미반납",대여내역!$L214="부분반납"))</f>
        <v>0</v>
      </c>
      <c r="L217" s="6" t="str">
        <f aca="false">IF($K217=FALSE(),"",COUNTIF($K$6:$K217,TRUE()))</f>
        <v/>
      </c>
      <c r="M217" s="6" t="str">
        <f aca="false">IF($L217="","","R"&amp;$L217)</f>
        <v/>
      </c>
    </row>
    <row r="218" customFormat="false" ht="15" hidden="false" customHeight="false" outlineLevel="0" collapsed="false">
      <c r="K218" s="26" t="b">
        <f aca="false">IF(대여내역!$A215="",FALSE(),OR(대여내역!$L215="미반납",대여내역!$L215="부분반납"))</f>
        <v>0</v>
      </c>
      <c r="L218" s="6" t="str">
        <f aca="false">IF($K218=FALSE(),"",COUNTIF($K$6:$K218,TRUE()))</f>
        <v/>
      </c>
      <c r="M218" s="6" t="str">
        <f aca="false">IF($L218="","","R"&amp;$L218)</f>
        <v/>
      </c>
    </row>
    <row r="219" customFormat="false" ht="15" hidden="false" customHeight="false" outlineLevel="0" collapsed="false">
      <c r="K219" s="26" t="b">
        <f aca="false">IF(대여내역!$A216="",FALSE(),OR(대여내역!$L216="미반납",대여내역!$L216="부분반납"))</f>
        <v>0</v>
      </c>
      <c r="L219" s="6" t="str">
        <f aca="false">IF($K219=FALSE(),"",COUNTIF($K$6:$K219,TRUE()))</f>
        <v/>
      </c>
      <c r="M219" s="6" t="str">
        <f aca="false">IF($L219="","","R"&amp;$L219)</f>
        <v/>
      </c>
    </row>
    <row r="220" customFormat="false" ht="15" hidden="false" customHeight="false" outlineLevel="0" collapsed="false">
      <c r="K220" s="26" t="b">
        <f aca="false">IF(대여내역!$A217="",FALSE(),OR(대여내역!$L217="미반납",대여내역!$L217="부분반납"))</f>
        <v>0</v>
      </c>
      <c r="L220" s="6" t="str">
        <f aca="false">IF($K220=FALSE(),"",COUNTIF($K$6:$K220,TRUE()))</f>
        <v/>
      </c>
      <c r="M220" s="6" t="str">
        <f aca="false">IF($L220="","","R"&amp;$L220)</f>
        <v/>
      </c>
    </row>
    <row r="221" customFormat="false" ht="15" hidden="false" customHeight="false" outlineLevel="0" collapsed="false">
      <c r="K221" s="26" t="b">
        <f aca="false">IF(대여내역!$A218="",FALSE(),OR(대여내역!$L218="미반납",대여내역!$L218="부분반납"))</f>
        <v>0</v>
      </c>
      <c r="L221" s="6" t="str">
        <f aca="false">IF($K221=FALSE(),"",COUNTIF($K$6:$K221,TRUE()))</f>
        <v/>
      </c>
      <c r="M221" s="6" t="str">
        <f aca="false">IF($L221="","","R"&amp;$L221)</f>
        <v/>
      </c>
    </row>
    <row r="222" customFormat="false" ht="15" hidden="false" customHeight="false" outlineLevel="0" collapsed="false">
      <c r="K222" s="26" t="b">
        <f aca="false">IF(대여내역!$A219="",FALSE(),OR(대여내역!$L219="미반납",대여내역!$L219="부분반납"))</f>
        <v>0</v>
      </c>
      <c r="L222" s="6" t="str">
        <f aca="false">IF($K222=FALSE(),"",COUNTIF($K$6:$K222,TRUE()))</f>
        <v/>
      </c>
      <c r="M222" s="6" t="str">
        <f aca="false">IF($L222="","","R"&amp;$L222)</f>
        <v/>
      </c>
    </row>
    <row r="223" customFormat="false" ht="15" hidden="false" customHeight="false" outlineLevel="0" collapsed="false">
      <c r="K223" s="26" t="b">
        <f aca="false">IF(대여내역!$A220="",FALSE(),OR(대여내역!$L220="미반납",대여내역!$L220="부분반납"))</f>
        <v>0</v>
      </c>
      <c r="L223" s="6" t="str">
        <f aca="false">IF($K223=FALSE(),"",COUNTIF($K$6:$K223,TRUE()))</f>
        <v/>
      </c>
      <c r="M223" s="6" t="str">
        <f aca="false">IF($L223="","","R"&amp;$L223)</f>
        <v/>
      </c>
    </row>
    <row r="224" customFormat="false" ht="15" hidden="false" customHeight="false" outlineLevel="0" collapsed="false">
      <c r="K224" s="26" t="b">
        <f aca="false">IF(대여내역!$A221="",FALSE(),OR(대여내역!$L221="미반납",대여내역!$L221="부분반납"))</f>
        <v>0</v>
      </c>
      <c r="L224" s="6" t="str">
        <f aca="false">IF($K224=FALSE(),"",COUNTIF($K$6:$K224,TRUE()))</f>
        <v/>
      </c>
      <c r="M224" s="6" t="str">
        <f aca="false">IF($L224="","","R"&amp;$L224)</f>
        <v/>
      </c>
    </row>
    <row r="225" customFormat="false" ht="15" hidden="false" customHeight="false" outlineLevel="0" collapsed="false">
      <c r="K225" s="26" t="b">
        <f aca="false">IF(대여내역!$A222="",FALSE(),OR(대여내역!$L222="미반납",대여내역!$L222="부분반납"))</f>
        <v>0</v>
      </c>
      <c r="L225" s="6" t="str">
        <f aca="false">IF($K225=FALSE(),"",COUNTIF($K$6:$K225,TRUE()))</f>
        <v/>
      </c>
      <c r="M225" s="6" t="str">
        <f aca="false">IF($L225="","","R"&amp;$L225)</f>
        <v/>
      </c>
    </row>
    <row r="226" customFormat="false" ht="15" hidden="false" customHeight="false" outlineLevel="0" collapsed="false">
      <c r="K226" s="26" t="b">
        <f aca="false">IF(대여내역!$A223="",FALSE(),OR(대여내역!$L223="미반납",대여내역!$L223="부분반납"))</f>
        <v>0</v>
      </c>
      <c r="L226" s="6" t="str">
        <f aca="false">IF($K226=FALSE(),"",COUNTIF($K$6:$K226,TRUE()))</f>
        <v/>
      </c>
      <c r="M226" s="6" t="str">
        <f aca="false">IF($L226="","","R"&amp;$L226)</f>
        <v/>
      </c>
    </row>
    <row r="227" customFormat="false" ht="15" hidden="false" customHeight="false" outlineLevel="0" collapsed="false">
      <c r="K227" s="26" t="b">
        <f aca="false">IF(대여내역!$A224="",FALSE(),OR(대여내역!$L224="미반납",대여내역!$L224="부분반납"))</f>
        <v>0</v>
      </c>
      <c r="L227" s="6" t="str">
        <f aca="false">IF($K227=FALSE(),"",COUNTIF($K$6:$K227,TRUE()))</f>
        <v/>
      </c>
      <c r="M227" s="6" t="str">
        <f aca="false">IF($L227="","","R"&amp;$L227)</f>
        <v/>
      </c>
    </row>
    <row r="228" customFormat="false" ht="15" hidden="false" customHeight="false" outlineLevel="0" collapsed="false">
      <c r="K228" s="26" t="b">
        <f aca="false">IF(대여내역!$A225="",FALSE(),OR(대여내역!$L225="미반납",대여내역!$L225="부분반납"))</f>
        <v>0</v>
      </c>
      <c r="L228" s="6" t="str">
        <f aca="false">IF($K228=FALSE(),"",COUNTIF($K$6:$K228,TRUE()))</f>
        <v/>
      </c>
      <c r="M228" s="6" t="str">
        <f aca="false">IF($L228="","","R"&amp;$L228)</f>
        <v/>
      </c>
    </row>
    <row r="229" customFormat="false" ht="15" hidden="false" customHeight="false" outlineLevel="0" collapsed="false">
      <c r="K229" s="26" t="b">
        <f aca="false">IF(대여내역!$A226="",FALSE(),OR(대여내역!$L226="미반납",대여내역!$L226="부분반납"))</f>
        <v>0</v>
      </c>
      <c r="L229" s="6" t="str">
        <f aca="false">IF($K229=FALSE(),"",COUNTIF($K$6:$K229,TRUE()))</f>
        <v/>
      </c>
      <c r="M229" s="6" t="str">
        <f aca="false">IF($L229="","","R"&amp;$L229)</f>
        <v/>
      </c>
    </row>
    <row r="230" customFormat="false" ht="15" hidden="false" customHeight="false" outlineLevel="0" collapsed="false">
      <c r="K230" s="26" t="b">
        <f aca="false">IF(대여내역!$A227="",FALSE(),OR(대여내역!$L227="미반납",대여내역!$L227="부분반납"))</f>
        <v>0</v>
      </c>
      <c r="L230" s="6" t="str">
        <f aca="false">IF($K230=FALSE(),"",COUNTIF($K$6:$K230,TRUE()))</f>
        <v/>
      </c>
      <c r="M230" s="6" t="str">
        <f aca="false">IF($L230="","","R"&amp;$L230)</f>
        <v/>
      </c>
    </row>
    <row r="231" customFormat="false" ht="15" hidden="false" customHeight="false" outlineLevel="0" collapsed="false">
      <c r="K231" s="26" t="b">
        <f aca="false">IF(대여내역!$A228="",FALSE(),OR(대여내역!$L228="미반납",대여내역!$L228="부분반납"))</f>
        <v>0</v>
      </c>
      <c r="L231" s="6" t="str">
        <f aca="false">IF($K231=FALSE(),"",COUNTIF($K$6:$K231,TRUE()))</f>
        <v/>
      </c>
      <c r="M231" s="6" t="str">
        <f aca="false">IF($L231="","","R"&amp;$L231)</f>
        <v/>
      </c>
    </row>
    <row r="232" customFormat="false" ht="15" hidden="false" customHeight="false" outlineLevel="0" collapsed="false">
      <c r="K232" s="26" t="b">
        <f aca="false">IF(대여내역!$A229="",FALSE(),OR(대여내역!$L229="미반납",대여내역!$L229="부분반납"))</f>
        <v>0</v>
      </c>
      <c r="L232" s="6" t="str">
        <f aca="false">IF($K232=FALSE(),"",COUNTIF($K$6:$K232,TRUE()))</f>
        <v/>
      </c>
      <c r="M232" s="6" t="str">
        <f aca="false">IF($L232="","","R"&amp;$L232)</f>
        <v/>
      </c>
    </row>
    <row r="233" customFormat="false" ht="15" hidden="false" customHeight="false" outlineLevel="0" collapsed="false">
      <c r="K233" s="26" t="b">
        <f aca="false">IF(대여내역!$A230="",FALSE(),OR(대여내역!$L230="미반납",대여내역!$L230="부분반납"))</f>
        <v>0</v>
      </c>
      <c r="L233" s="6" t="str">
        <f aca="false">IF($K233=FALSE(),"",COUNTIF($K$6:$K233,TRUE()))</f>
        <v/>
      </c>
      <c r="M233" s="6" t="str">
        <f aca="false">IF($L233="","","R"&amp;$L233)</f>
        <v/>
      </c>
    </row>
    <row r="234" customFormat="false" ht="15" hidden="false" customHeight="false" outlineLevel="0" collapsed="false">
      <c r="K234" s="26" t="b">
        <f aca="false">IF(대여내역!$A231="",FALSE(),OR(대여내역!$L231="미반납",대여내역!$L231="부분반납"))</f>
        <v>0</v>
      </c>
      <c r="L234" s="6" t="str">
        <f aca="false">IF($K234=FALSE(),"",COUNTIF($K$6:$K234,TRUE()))</f>
        <v/>
      </c>
      <c r="M234" s="6" t="str">
        <f aca="false">IF($L234="","","R"&amp;$L234)</f>
        <v/>
      </c>
    </row>
    <row r="235" customFormat="false" ht="15" hidden="false" customHeight="false" outlineLevel="0" collapsed="false">
      <c r="K235" s="26" t="b">
        <f aca="false">IF(대여내역!$A232="",FALSE(),OR(대여내역!$L232="미반납",대여내역!$L232="부분반납"))</f>
        <v>0</v>
      </c>
      <c r="L235" s="6" t="str">
        <f aca="false">IF($K235=FALSE(),"",COUNTIF($K$6:$K235,TRUE()))</f>
        <v/>
      </c>
      <c r="M235" s="6" t="str">
        <f aca="false">IF($L235="","","R"&amp;$L235)</f>
        <v/>
      </c>
    </row>
    <row r="236" customFormat="false" ht="15" hidden="false" customHeight="false" outlineLevel="0" collapsed="false">
      <c r="K236" s="26" t="b">
        <f aca="false">IF(대여내역!$A233="",FALSE(),OR(대여내역!$L233="미반납",대여내역!$L233="부분반납"))</f>
        <v>0</v>
      </c>
      <c r="L236" s="6" t="str">
        <f aca="false">IF($K236=FALSE(),"",COUNTIF($K$6:$K236,TRUE()))</f>
        <v/>
      </c>
      <c r="M236" s="6" t="str">
        <f aca="false">IF($L236="","","R"&amp;$L236)</f>
        <v/>
      </c>
    </row>
    <row r="237" customFormat="false" ht="15" hidden="false" customHeight="false" outlineLevel="0" collapsed="false">
      <c r="K237" s="26" t="b">
        <f aca="false">IF(대여내역!$A234="",FALSE(),OR(대여내역!$L234="미반납",대여내역!$L234="부분반납"))</f>
        <v>0</v>
      </c>
      <c r="L237" s="6" t="str">
        <f aca="false">IF($K237=FALSE(),"",COUNTIF($K$6:$K237,TRUE()))</f>
        <v/>
      </c>
      <c r="M237" s="6" t="str">
        <f aca="false">IF($L237="","","R"&amp;$L237)</f>
        <v/>
      </c>
    </row>
    <row r="238" customFormat="false" ht="15" hidden="false" customHeight="false" outlineLevel="0" collapsed="false">
      <c r="K238" s="26" t="b">
        <f aca="false">IF(대여내역!$A235="",FALSE(),OR(대여내역!$L235="미반납",대여내역!$L235="부분반납"))</f>
        <v>0</v>
      </c>
      <c r="L238" s="6" t="str">
        <f aca="false">IF($K238=FALSE(),"",COUNTIF($K$6:$K238,TRUE()))</f>
        <v/>
      </c>
      <c r="M238" s="6" t="str">
        <f aca="false">IF($L238="","","R"&amp;$L238)</f>
        <v/>
      </c>
    </row>
    <row r="239" customFormat="false" ht="15" hidden="false" customHeight="false" outlineLevel="0" collapsed="false">
      <c r="K239" s="26" t="b">
        <f aca="false">IF(대여내역!$A236="",FALSE(),OR(대여내역!$L236="미반납",대여내역!$L236="부분반납"))</f>
        <v>0</v>
      </c>
      <c r="L239" s="6" t="str">
        <f aca="false">IF($K239=FALSE(),"",COUNTIF($K$6:$K239,TRUE()))</f>
        <v/>
      </c>
      <c r="M239" s="6" t="str">
        <f aca="false">IF($L239="","","R"&amp;$L239)</f>
        <v/>
      </c>
    </row>
    <row r="240" customFormat="false" ht="15" hidden="false" customHeight="false" outlineLevel="0" collapsed="false">
      <c r="K240" s="26" t="b">
        <f aca="false">IF(대여내역!$A237="",FALSE(),OR(대여내역!$L237="미반납",대여내역!$L237="부분반납"))</f>
        <v>0</v>
      </c>
      <c r="L240" s="6" t="str">
        <f aca="false">IF($K240=FALSE(),"",COUNTIF($K$6:$K240,TRUE()))</f>
        <v/>
      </c>
      <c r="M240" s="6" t="str">
        <f aca="false">IF($L240="","","R"&amp;$L240)</f>
        <v/>
      </c>
    </row>
    <row r="241" customFormat="false" ht="15" hidden="false" customHeight="false" outlineLevel="0" collapsed="false">
      <c r="K241" s="26" t="b">
        <f aca="false">IF(대여내역!$A238="",FALSE(),OR(대여내역!$L238="미반납",대여내역!$L238="부분반납"))</f>
        <v>0</v>
      </c>
      <c r="L241" s="6" t="str">
        <f aca="false">IF($K241=FALSE(),"",COUNTIF($K$6:$K241,TRUE()))</f>
        <v/>
      </c>
      <c r="M241" s="6" t="str">
        <f aca="false">IF($L241="","","R"&amp;$L241)</f>
        <v/>
      </c>
    </row>
    <row r="242" customFormat="false" ht="15" hidden="false" customHeight="false" outlineLevel="0" collapsed="false">
      <c r="K242" s="26" t="b">
        <f aca="false">IF(대여내역!$A239="",FALSE(),OR(대여내역!$L239="미반납",대여내역!$L239="부분반납"))</f>
        <v>0</v>
      </c>
      <c r="L242" s="6" t="str">
        <f aca="false">IF($K242=FALSE(),"",COUNTIF($K$6:$K242,TRUE()))</f>
        <v/>
      </c>
      <c r="M242" s="6" t="str">
        <f aca="false">IF($L242="","","R"&amp;$L242)</f>
        <v/>
      </c>
    </row>
    <row r="243" customFormat="false" ht="15" hidden="false" customHeight="false" outlineLevel="0" collapsed="false">
      <c r="K243" s="26" t="b">
        <f aca="false">IF(대여내역!$A240="",FALSE(),OR(대여내역!$L240="미반납",대여내역!$L240="부분반납"))</f>
        <v>0</v>
      </c>
      <c r="L243" s="6" t="str">
        <f aca="false">IF($K243=FALSE(),"",COUNTIF($K$6:$K243,TRUE()))</f>
        <v/>
      </c>
      <c r="M243" s="6" t="str">
        <f aca="false">IF($L243="","","R"&amp;$L243)</f>
        <v/>
      </c>
    </row>
    <row r="244" customFormat="false" ht="15" hidden="false" customHeight="false" outlineLevel="0" collapsed="false">
      <c r="K244" s="26" t="b">
        <f aca="false">IF(대여내역!$A241="",FALSE(),OR(대여내역!$L241="미반납",대여내역!$L241="부분반납"))</f>
        <v>0</v>
      </c>
      <c r="L244" s="6" t="str">
        <f aca="false">IF($K244=FALSE(),"",COUNTIF($K$6:$K244,TRUE()))</f>
        <v/>
      </c>
      <c r="M244" s="6" t="str">
        <f aca="false">IF($L244="","","R"&amp;$L244)</f>
        <v/>
      </c>
    </row>
    <row r="245" customFormat="false" ht="15" hidden="false" customHeight="false" outlineLevel="0" collapsed="false">
      <c r="K245" s="26" t="b">
        <f aca="false">IF(대여내역!$A242="",FALSE(),OR(대여내역!$L242="미반납",대여내역!$L242="부분반납"))</f>
        <v>0</v>
      </c>
      <c r="L245" s="6" t="str">
        <f aca="false">IF($K245=FALSE(),"",COUNTIF($K$6:$K245,TRUE()))</f>
        <v/>
      </c>
      <c r="M245" s="6" t="str">
        <f aca="false">IF($L245="","","R"&amp;$L245)</f>
        <v/>
      </c>
    </row>
    <row r="246" customFormat="false" ht="15" hidden="false" customHeight="false" outlineLevel="0" collapsed="false">
      <c r="K246" s="26" t="b">
        <f aca="false">IF(대여내역!$A243="",FALSE(),OR(대여내역!$L243="미반납",대여내역!$L243="부분반납"))</f>
        <v>0</v>
      </c>
      <c r="L246" s="6" t="str">
        <f aca="false">IF($K246=FALSE(),"",COUNTIF($K$6:$K246,TRUE()))</f>
        <v/>
      </c>
      <c r="M246" s="6" t="str">
        <f aca="false">IF($L246="","","R"&amp;$L246)</f>
        <v/>
      </c>
    </row>
    <row r="247" customFormat="false" ht="15" hidden="false" customHeight="false" outlineLevel="0" collapsed="false">
      <c r="K247" s="26" t="b">
        <f aca="false">IF(대여내역!$A244="",FALSE(),OR(대여내역!$L244="미반납",대여내역!$L244="부분반납"))</f>
        <v>0</v>
      </c>
      <c r="L247" s="6" t="str">
        <f aca="false">IF($K247=FALSE(),"",COUNTIF($K$6:$K247,TRUE()))</f>
        <v/>
      </c>
      <c r="M247" s="6" t="str">
        <f aca="false">IF($L247="","","R"&amp;$L247)</f>
        <v/>
      </c>
    </row>
    <row r="248" customFormat="false" ht="15" hidden="false" customHeight="false" outlineLevel="0" collapsed="false">
      <c r="K248" s="26" t="b">
        <f aca="false">IF(대여내역!$A245="",FALSE(),OR(대여내역!$L245="미반납",대여내역!$L245="부분반납"))</f>
        <v>0</v>
      </c>
      <c r="L248" s="6" t="str">
        <f aca="false">IF($K248=FALSE(),"",COUNTIF($K$6:$K248,TRUE()))</f>
        <v/>
      </c>
      <c r="M248" s="6" t="str">
        <f aca="false">IF($L248="","","R"&amp;$L248)</f>
        <v/>
      </c>
    </row>
    <row r="249" customFormat="false" ht="15" hidden="false" customHeight="false" outlineLevel="0" collapsed="false">
      <c r="K249" s="26" t="b">
        <f aca="false">IF(대여내역!$A246="",FALSE(),OR(대여내역!$L246="미반납",대여내역!$L246="부분반납"))</f>
        <v>0</v>
      </c>
      <c r="L249" s="6" t="str">
        <f aca="false">IF($K249=FALSE(),"",COUNTIF($K$6:$K249,TRUE()))</f>
        <v/>
      </c>
      <c r="M249" s="6" t="str">
        <f aca="false">IF($L249="","","R"&amp;$L249)</f>
        <v/>
      </c>
    </row>
    <row r="250" customFormat="false" ht="15" hidden="false" customHeight="false" outlineLevel="0" collapsed="false">
      <c r="K250" s="26" t="b">
        <f aca="false">IF(대여내역!$A247="",FALSE(),OR(대여내역!$L247="미반납",대여내역!$L247="부분반납"))</f>
        <v>0</v>
      </c>
      <c r="L250" s="6" t="str">
        <f aca="false">IF($K250=FALSE(),"",COUNTIF($K$6:$K250,TRUE()))</f>
        <v/>
      </c>
      <c r="M250" s="6" t="str">
        <f aca="false">IF($L250="","","R"&amp;$L250)</f>
        <v/>
      </c>
    </row>
    <row r="251" customFormat="false" ht="15" hidden="false" customHeight="false" outlineLevel="0" collapsed="false">
      <c r="K251" s="26" t="b">
        <f aca="false">IF(대여내역!$A248="",FALSE(),OR(대여내역!$L248="미반납",대여내역!$L248="부분반납"))</f>
        <v>0</v>
      </c>
      <c r="L251" s="6" t="str">
        <f aca="false">IF($K251=FALSE(),"",COUNTIF($K$6:$K251,TRUE()))</f>
        <v/>
      </c>
      <c r="M251" s="6" t="str">
        <f aca="false">IF($L251="","","R"&amp;$L251)</f>
        <v/>
      </c>
    </row>
    <row r="252" customFormat="false" ht="15" hidden="false" customHeight="false" outlineLevel="0" collapsed="false">
      <c r="K252" s="26" t="b">
        <f aca="false">IF(대여내역!$A249="",FALSE(),OR(대여내역!$L249="미반납",대여내역!$L249="부분반납"))</f>
        <v>0</v>
      </c>
      <c r="L252" s="6" t="str">
        <f aca="false">IF($K252=FALSE(),"",COUNTIF($K$6:$K252,TRUE()))</f>
        <v/>
      </c>
      <c r="M252" s="6" t="str">
        <f aca="false">IF($L252="","","R"&amp;$L252)</f>
        <v/>
      </c>
    </row>
    <row r="253" customFormat="false" ht="15" hidden="false" customHeight="false" outlineLevel="0" collapsed="false">
      <c r="K253" s="26" t="b">
        <f aca="false">IF(대여내역!$A250="",FALSE(),OR(대여내역!$L250="미반납",대여내역!$L250="부분반납"))</f>
        <v>0</v>
      </c>
      <c r="L253" s="6" t="str">
        <f aca="false">IF($K253=FALSE(),"",COUNTIF($K$6:$K253,TRUE()))</f>
        <v/>
      </c>
      <c r="M253" s="6" t="str">
        <f aca="false">IF($L253="","","R"&amp;$L253)</f>
        <v/>
      </c>
    </row>
    <row r="254" customFormat="false" ht="15" hidden="false" customHeight="false" outlineLevel="0" collapsed="false">
      <c r="K254" s="26" t="b">
        <f aca="false">IF(대여내역!$A251="",FALSE(),OR(대여내역!$L251="미반납",대여내역!$L251="부분반납"))</f>
        <v>0</v>
      </c>
      <c r="L254" s="6" t="str">
        <f aca="false">IF($K254=FALSE(),"",COUNTIF($K$6:$K254,TRUE()))</f>
        <v/>
      </c>
      <c r="M254" s="6" t="str">
        <f aca="false">IF($L254="","","R"&amp;$L254)</f>
        <v/>
      </c>
    </row>
    <row r="255" customFormat="false" ht="15" hidden="false" customHeight="false" outlineLevel="0" collapsed="false">
      <c r="K255" s="26" t="b">
        <f aca="false">IF(대여내역!$A252="",FALSE(),OR(대여내역!$L252="미반납",대여내역!$L252="부분반납"))</f>
        <v>0</v>
      </c>
      <c r="L255" s="6" t="str">
        <f aca="false">IF($K255=FALSE(),"",COUNTIF($K$6:$K255,TRUE()))</f>
        <v/>
      </c>
      <c r="M255" s="6" t="str">
        <f aca="false">IF($L255="","","R"&amp;$L255)</f>
        <v/>
      </c>
    </row>
    <row r="256" customFormat="false" ht="15" hidden="false" customHeight="false" outlineLevel="0" collapsed="false">
      <c r="K256" s="26" t="b">
        <f aca="false">IF(대여내역!$A253="",FALSE(),OR(대여내역!$L253="미반납",대여내역!$L253="부분반납"))</f>
        <v>0</v>
      </c>
      <c r="L256" s="6" t="str">
        <f aca="false">IF($K256=FALSE(),"",COUNTIF($K$6:$K256,TRUE()))</f>
        <v/>
      </c>
      <c r="M256" s="6" t="str">
        <f aca="false">IF($L256="","","R"&amp;$L256)</f>
        <v/>
      </c>
    </row>
    <row r="257" customFormat="false" ht="15" hidden="false" customHeight="false" outlineLevel="0" collapsed="false">
      <c r="K257" s="26" t="b">
        <f aca="false">IF(대여내역!$A254="",FALSE(),OR(대여내역!$L254="미반납",대여내역!$L254="부분반납"))</f>
        <v>0</v>
      </c>
      <c r="L257" s="6" t="str">
        <f aca="false">IF($K257=FALSE(),"",COUNTIF($K$6:$K257,TRUE()))</f>
        <v/>
      </c>
      <c r="M257" s="6" t="str">
        <f aca="false">IF($L257="","","R"&amp;$L257)</f>
        <v/>
      </c>
    </row>
    <row r="258" customFormat="false" ht="15" hidden="false" customHeight="false" outlineLevel="0" collapsed="false">
      <c r="K258" s="26" t="b">
        <f aca="false">IF(대여내역!$A255="",FALSE(),OR(대여내역!$L255="미반납",대여내역!$L255="부분반납"))</f>
        <v>0</v>
      </c>
      <c r="L258" s="6" t="str">
        <f aca="false">IF($K258=FALSE(),"",COUNTIF($K$6:$K258,TRUE()))</f>
        <v/>
      </c>
      <c r="M258" s="6" t="str">
        <f aca="false">IF($L258="","","R"&amp;$L258)</f>
        <v/>
      </c>
    </row>
    <row r="259" customFormat="false" ht="15" hidden="false" customHeight="false" outlineLevel="0" collapsed="false">
      <c r="K259" s="26" t="b">
        <f aca="false">IF(대여내역!$A256="",FALSE(),OR(대여내역!$L256="미반납",대여내역!$L256="부분반납"))</f>
        <v>0</v>
      </c>
      <c r="L259" s="6" t="str">
        <f aca="false">IF($K259=FALSE(),"",COUNTIF($K$6:$K259,TRUE()))</f>
        <v/>
      </c>
      <c r="M259" s="6" t="str">
        <f aca="false">IF($L259="","","R"&amp;$L259)</f>
        <v/>
      </c>
    </row>
    <row r="260" customFormat="false" ht="15" hidden="false" customHeight="false" outlineLevel="0" collapsed="false">
      <c r="K260" s="26" t="b">
        <f aca="false">IF(대여내역!$A257="",FALSE(),OR(대여내역!$L257="미반납",대여내역!$L257="부분반납"))</f>
        <v>0</v>
      </c>
      <c r="L260" s="6" t="str">
        <f aca="false">IF($K260=FALSE(),"",COUNTIF($K$6:$K260,TRUE()))</f>
        <v/>
      </c>
      <c r="M260" s="6" t="str">
        <f aca="false">IF($L260="","","R"&amp;$L260)</f>
        <v/>
      </c>
    </row>
    <row r="261" customFormat="false" ht="15" hidden="false" customHeight="false" outlineLevel="0" collapsed="false">
      <c r="K261" s="26" t="b">
        <f aca="false">IF(대여내역!$A258="",FALSE(),OR(대여내역!$L258="미반납",대여내역!$L258="부분반납"))</f>
        <v>0</v>
      </c>
      <c r="L261" s="6" t="str">
        <f aca="false">IF($K261=FALSE(),"",COUNTIF($K$6:$K261,TRUE()))</f>
        <v/>
      </c>
      <c r="M261" s="6" t="str">
        <f aca="false">IF($L261="","","R"&amp;$L261)</f>
        <v/>
      </c>
    </row>
    <row r="262" customFormat="false" ht="15" hidden="false" customHeight="false" outlineLevel="0" collapsed="false">
      <c r="K262" s="26" t="b">
        <f aca="false">IF(대여내역!$A259="",FALSE(),OR(대여내역!$L259="미반납",대여내역!$L259="부분반납"))</f>
        <v>0</v>
      </c>
      <c r="L262" s="6" t="str">
        <f aca="false">IF($K262=FALSE(),"",COUNTIF($K$6:$K262,TRUE()))</f>
        <v/>
      </c>
      <c r="M262" s="6" t="str">
        <f aca="false">IF($L262="","","R"&amp;$L262)</f>
        <v/>
      </c>
    </row>
    <row r="263" customFormat="false" ht="15" hidden="false" customHeight="false" outlineLevel="0" collapsed="false">
      <c r="K263" s="26" t="b">
        <f aca="false">IF(대여내역!$A260="",FALSE(),OR(대여내역!$L260="미반납",대여내역!$L260="부분반납"))</f>
        <v>0</v>
      </c>
      <c r="L263" s="6" t="str">
        <f aca="false">IF($K263=FALSE(),"",COUNTIF($K$6:$K263,TRUE()))</f>
        <v/>
      </c>
      <c r="M263" s="6" t="str">
        <f aca="false">IF($L263="","","R"&amp;$L263)</f>
        <v/>
      </c>
    </row>
    <row r="264" customFormat="false" ht="15" hidden="false" customHeight="false" outlineLevel="0" collapsed="false">
      <c r="K264" s="26" t="b">
        <f aca="false">IF(대여내역!$A261="",FALSE(),OR(대여내역!$L261="미반납",대여내역!$L261="부분반납"))</f>
        <v>0</v>
      </c>
      <c r="L264" s="6" t="str">
        <f aca="false">IF($K264=FALSE(),"",COUNTIF($K$6:$K264,TRUE()))</f>
        <v/>
      </c>
      <c r="M264" s="6" t="str">
        <f aca="false">IF($L264="","","R"&amp;$L264)</f>
        <v/>
      </c>
    </row>
    <row r="265" customFormat="false" ht="15" hidden="false" customHeight="false" outlineLevel="0" collapsed="false">
      <c r="K265" s="26" t="b">
        <f aca="false">IF(대여내역!$A262="",FALSE(),OR(대여내역!$L262="미반납",대여내역!$L262="부분반납"))</f>
        <v>0</v>
      </c>
      <c r="L265" s="6" t="str">
        <f aca="false">IF($K265=FALSE(),"",COUNTIF($K$6:$K265,TRUE()))</f>
        <v/>
      </c>
      <c r="M265" s="6" t="str">
        <f aca="false">IF($L265="","","R"&amp;$L265)</f>
        <v/>
      </c>
    </row>
    <row r="266" customFormat="false" ht="15" hidden="false" customHeight="false" outlineLevel="0" collapsed="false">
      <c r="K266" s="26" t="b">
        <f aca="false">IF(대여내역!$A263="",FALSE(),OR(대여내역!$L263="미반납",대여내역!$L263="부분반납"))</f>
        <v>0</v>
      </c>
      <c r="L266" s="6" t="str">
        <f aca="false">IF($K266=FALSE(),"",COUNTIF($K$6:$K266,TRUE()))</f>
        <v/>
      </c>
      <c r="M266" s="6" t="str">
        <f aca="false">IF($L266="","","R"&amp;$L266)</f>
        <v/>
      </c>
    </row>
    <row r="267" customFormat="false" ht="15" hidden="false" customHeight="false" outlineLevel="0" collapsed="false">
      <c r="K267" s="26" t="b">
        <f aca="false">IF(대여내역!$A264="",FALSE(),OR(대여내역!$L264="미반납",대여내역!$L264="부분반납"))</f>
        <v>0</v>
      </c>
      <c r="L267" s="6" t="str">
        <f aca="false">IF($K267=FALSE(),"",COUNTIF($K$6:$K267,TRUE()))</f>
        <v/>
      </c>
      <c r="M267" s="6" t="str">
        <f aca="false">IF($L267="","","R"&amp;$L267)</f>
        <v/>
      </c>
    </row>
    <row r="268" customFormat="false" ht="15" hidden="false" customHeight="false" outlineLevel="0" collapsed="false">
      <c r="K268" s="26" t="b">
        <f aca="false">IF(대여내역!$A265="",FALSE(),OR(대여내역!$L265="미반납",대여내역!$L265="부분반납"))</f>
        <v>0</v>
      </c>
      <c r="L268" s="6" t="str">
        <f aca="false">IF($K268=FALSE(),"",COUNTIF($K$6:$K268,TRUE()))</f>
        <v/>
      </c>
      <c r="M268" s="6" t="str">
        <f aca="false">IF($L268="","","R"&amp;$L268)</f>
        <v/>
      </c>
    </row>
    <row r="269" customFormat="false" ht="15" hidden="false" customHeight="false" outlineLevel="0" collapsed="false">
      <c r="K269" s="26" t="b">
        <f aca="false">IF(대여내역!$A266="",FALSE(),OR(대여내역!$L266="미반납",대여내역!$L266="부분반납"))</f>
        <v>0</v>
      </c>
      <c r="L269" s="6" t="str">
        <f aca="false">IF($K269=FALSE(),"",COUNTIF($K$6:$K269,TRUE()))</f>
        <v/>
      </c>
      <c r="M269" s="6" t="str">
        <f aca="false">IF($L269="","","R"&amp;$L269)</f>
        <v/>
      </c>
    </row>
    <row r="270" customFormat="false" ht="15" hidden="false" customHeight="false" outlineLevel="0" collapsed="false">
      <c r="K270" s="26" t="b">
        <f aca="false">IF(대여내역!$A267="",FALSE(),OR(대여내역!$L267="미반납",대여내역!$L267="부분반납"))</f>
        <v>0</v>
      </c>
      <c r="L270" s="6" t="str">
        <f aca="false">IF($K270=FALSE(),"",COUNTIF($K$6:$K270,TRUE()))</f>
        <v/>
      </c>
      <c r="M270" s="6" t="str">
        <f aca="false">IF($L270="","","R"&amp;$L270)</f>
        <v/>
      </c>
    </row>
    <row r="271" customFormat="false" ht="15" hidden="false" customHeight="false" outlineLevel="0" collapsed="false">
      <c r="K271" s="26" t="b">
        <f aca="false">IF(대여내역!$A268="",FALSE(),OR(대여내역!$L268="미반납",대여내역!$L268="부분반납"))</f>
        <v>0</v>
      </c>
      <c r="L271" s="6" t="str">
        <f aca="false">IF($K271=FALSE(),"",COUNTIF($K$6:$K271,TRUE()))</f>
        <v/>
      </c>
      <c r="M271" s="6" t="str">
        <f aca="false">IF($L271="","","R"&amp;$L271)</f>
        <v/>
      </c>
    </row>
    <row r="272" customFormat="false" ht="15" hidden="false" customHeight="false" outlineLevel="0" collapsed="false">
      <c r="K272" s="26" t="b">
        <f aca="false">IF(대여내역!$A269="",FALSE(),OR(대여내역!$L269="미반납",대여내역!$L269="부분반납"))</f>
        <v>0</v>
      </c>
      <c r="L272" s="6" t="str">
        <f aca="false">IF($K272=FALSE(),"",COUNTIF($K$6:$K272,TRUE()))</f>
        <v/>
      </c>
      <c r="M272" s="6" t="str">
        <f aca="false">IF($L272="","","R"&amp;$L272)</f>
        <v/>
      </c>
    </row>
    <row r="273" customFormat="false" ht="15" hidden="false" customHeight="false" outlineLevel="0" collapsed="false">
      <c r="K273" s="26" t="b">
        <f aca="false">IF(대여내역!$A270="",FALSE(),OR(대여내역!$L270="미반납",대여내역!$L270="부분반납"))</f>
        <v>0</v>
      </c>
      <c r="L273" s="6" t="str">
        <f aca="false">IF($K273=FALSE(),"",COUNTIF($K$6:$K273,TRUE()))</f>
        <v/>
      </c>
      <c r="M273" s="6" t="str">
        <f aca="false">IF($L273="","","R"&amp;$L273)</f>
        <v/>
      </c>
    </row>
    <row r="274" customFormat="false" ht="15" hidden="false" customHeight="false" outlineLevel="0" collapsed="false">
      <c r="K274" s="26" t="b">
        <f aca="false">IF(대여내역!$A271="",FALSE(),OR(대여내역!$L271="미반납",대여내역!$L271="부분반납"))</f>
        <v>0</v>
      </c>
      <c r="L274" s="6" t="str">
        <f aca="false">IF($K274=FALSE(),"",COUNTIF($K$6:$K274,TRUE()))</f>
        <v/>
      </c>
      <c r="M274" s="6" t="str">
        <f aca="false">IF($L274="","","R"&amp;$L274)</f>
        <v/>
      </c>
    </row>
    <row r="275" customFormat="false" ht="15" hidden="false" customHeight="false" outlineLevel="0" collapsed="false">
      <c r="K275" s="26" t="b">
        <f aca="false">IF(대여내역!$A272="",FALSE(),OR(대여내역!$L272="미반납",대여내역!$L272="부분반납"))</f>
        <v>0</v>
      </c>
      <c r="L275" s="6" t="str">
        <f aca="false">IF($K275=FALSE(),"",COUNTIF($K$6:$K275,TRUE()))</f>
        <v/>
      </c>
      <c r="M275" s="6" t="str">
        <f aca="false">IF($L275="","","R"&amp;$L275)</f>
        <v/>
      </c>
    </row>
    <row r="276" customFormat="false" ht="15" hidden="false" customHeight="false" outlineLevel="0" collapsed="false">
      <c r="K276" s="26" t="b">
        <f aca="false">IF(대여내역!$A273="",FALSE(),OR(대여내역!$L273="미반납",대여내역!$L273="부분반납"))</f>
        <v>0</v>
      </c>
      <c r="L276" s="6" t="str">
        <f aca="false">IF($K276=FALSE(),"",COUNTIF($K$6:$K276,TRUE()))</f>
        <v/>
      </c>
      <c r="M276" s="6" t="str">
        <f aca="false">IF($L276="","","R"&amp;$L276)</f>
        <v/>
      </c>
    </row>
    <row r="277" customFormat="false" ht="15" hidden="false" customHeight="false" outlineLevel="0" collapsed="false">
      <c r="K277" s="26" t="b">
        <f aca="false">IF(대여내역!$A274="",FALSE(),OR(대여내역!$L274="미반납",대여내역!$L274="부분반납"))</f>
        <v>0</v>
      </c>
      <c r="L277" s="6" t="str">
        <f aca="false">IF($K277=FALSE(),"",COUNTIF($K$6:$K277,TRUE()))</f>
        <v/>
      </c>
      <c r="M277" s="6" t="str">
        <f aca="false">IF($L277="","","R"&amp;$L277)</f>
        <v/>
      </c>
    </row>
    <row r="278" customFormat="false" ht="15" hidden="false" customHeight="false" outlineLevel="0" collapsed="false">
      <c r="K278" s="26" t="b">
        <f aca="false">IF(대여내역!$A275="",FALSE(),OR(대여내역!$L275="미반납",대여내역!$L275="부분반납"))</f>
        <v>0</v>
      </c>
      <c r="L278" s="6" t="str">
        <f aca="false">IF($K278=FALSE(),"",COUNTIF($K$6:$K278,TRUE()))</f>
        <v/>
      </c>
      <c r="M278" s="6" t="str">
        <f aca="false">IF($L278="","","R"&amp;$L278)</f>
        <v/>
      </c>
    </row>
    <row r="279" customFormat="false" ht="15" hidden="false" customHeight="false" outlineLevel="0" collapsed="false">
      <c r="K279" s="26" t="b">
        <f aca="false">IF(대여내역!$A276="",FALSE(),OR(대여내역!$L276="미반납",대여내역!$L276="부분반납"))</f>
        <v>0</v>
      </c>
      <c r="L279" s="6" t="str">
        <f aca="false">IF($K279=FALSE(),"",COUNTIF($K$6:$K279,TRUE()))</f>
        <v/>
      </c>
      <c r="M279" s="6" t="str">
        <f aca="false">IF($L279="","","R"&amp;$L279)</f>
        <v/>
      </c>
    </row>
    <row r="280" customFormat="false" ht="15" hidden="false" customHeight="false" outlineLevel="0" collapsed="false">
      <c r="K280" s="26" t="b">
        <f aca="false">IF(대여내역!$A277="",FALSE(),OR(대여내역!$L277="미반납",대여내역!$L277="부분반납"))</f>
        <v>0</v>
      </c>
      <c r="L280" s="6" t="str">
        <f aca="false">IF($K280=FALSE(),"",COUNTIF($K$6:$K280,TRUE()))</f>
        <v/>
      </c>
      <c r="M280" s="6" t="str">
        <f aca="false">IF($L280="","","R"&amp;$L280)</f>
        <v/>
      </c>
    </row>
    <row r="281" customFormat="false" ht="15" hidden="false" customHeight="false" outlineLevel="0" collapsed="false">
      <c r="K281" s="26" t="b">
        <f aca="false">IF(대여내역!$A278="",FALSE(),OR(대여내역!$L278="미반납",대여내역!$L278="부분반납"))</f>
        <v>0</v>
      </c>
      <c r="L281" s="6" t="str">
        <f aca="false">IF($K281=FALSE(),"",COUNTIF($K$6:$K281,TRUE()))</f>
        <v/>
      </c>
      <c r="M281" s="6" t="str">
        <f aca="false">IF($L281="","","R"&amp;$L281)</f>
        <v/>
      </c>
    </row>
    <row r="282" customFormat="false" ht="15" hidden="false" customHeight="false" outlineLevel="0" collapsed="false">
      <c r="K282" s="26" t="b">
        <f aca="false">IF(대여내역!$A279="",FALSE(),OR(대여내역!$L279="미반납",대여내역!$L279="부분반납"))</f>
        <v>0</v>
      </c>
      <c r="L282" s="6" t="str">
        <f aca="false">IF($K282=FALSE(),"",COUNTIF($K$6:$K282,TRUE()))</f>
        <v/>
      </c>
      <c r="M282" s="6" t="str">
        <f aca="false">IF($L282="","","R"&amp;$L282)</f>
        <v/>
      </c>
    </row>
    <row r="283" customFormat="false" ht="15" hidden="false" customHeight="false" outlineLevel="0" collapsed="false">
      <c r="K283" s="26" t="b">
        <f aca="false">IF(대여내역!$A280="",FALSE(),OR(대여내역!$L280="미반납",대여내역!$L280="부분반납"))</f>
        <v>0</v>
      </c>
      <c r="L283" s="6" t="str">
        <f aca="false">IF($K283=FALSE(),"",COUNTIF($K$6:$K283,TRUE()))</f>
        <v/>
      </c>
      <c r="M283" s="6" t="str">
        <f aca="false">IF($L283="","","R"&amp;$L283)</f>
        <v/>
      </c>
    </row>
    <row r="284" customFormat="false" ht="15" hidden="false" customHeight="false" outlineLevel="0" collapsed="false">
      <c r="K284" s="26" t="b">
        <f aca="false">IF(대여내역!$A281="",FALSE(),OR(대여내역!$L281="미반납",대여내역!$L281="부분반납"))</f>
        <v>0</v>
      </c>
      <c r="L284" s="6" t="str">
        <f aca="false">IF($K284=FALSE(),"",COUNTIF($K$6:$K284,TRUE()))</f>
        <v/>
      </c>
      <c r="M284" s="6" t="str">
        <f aca="false">IF($L284="","","R"&amp;$L284)</f>
        <v/>
      </c>
    </row>
    <row r="285" customFormat="false" ht="15" hidden="false" customHeight="false" outlineLevel="0" collapsed="false">
      <c r="K285" s="26" t="b">
        <f aca="false">IF(대여내역!$A282="",FALSE(),OR(대여내역!$L282="미반납",대여내역!$L282="부분반납"))</f>
        <v>0</v>
      </c>
      <c r="L285" s="6" t="str">
        <f aca="false">IF($K285=FALSE(),"",COUNTIF($K$6:$K285,TRUE()))</f>
        <v/>
      </c>
      <c r="M285" s="6" t="str">
        <f aca="false">IF($L285="","","R"&amp;$L285)</f>
        <v/>
      </c>
    </row>
    <row r="286" customFormat="false" ht="15" hidden="false" customHeight="false" outlineLevel="0" collapsed="false">
      <c r="K286" s="26" t="b">
        <f aca="false">IF(대여내역!$A283="",FALSE(),OR(대여내역!$L283="미반납",대여내역!$L283="부분반납"))</f>
        <v>0</v>
      </c>
      <c r="L286" s="6" t="str">
        <f aca="false">IF($K286=FALSE(),"",COUNTIF($K$6:$K286,TRUE()))</f>
        <v/>
      </c>
      <c r="M286" s="6" t="str">
        <f aca="false">IF($L286="","","R"&amp;$L286)</f>
        <v/>
      </c>
    </row>
    <row r="287" customFormat="false" ht="15" hidden="false" customHeight="false" outlineLevel="0" collapsed="false">
      <c r="K287" s="26" t="b">
        <f aca="false">IF(대여내역!$A284="",FALSE(),OR(대여내역!$L284="미반납",대여내역!$L284="부분반납"))</f>
        <v>0</v>
      </c>
      <c r="L287" s="6" t="str">
        <f aca="false">IF($K287=FALSE(),"",COUNTIF($K$6:$K287,TRUE()))</f>
        <v/>
      </c>
      <c r="M287" s="6" t="str">
        <f aca="false">IF($L287="","","R"&amp;$L287)</f>
        <v/>
      </c>
    </row>
    <row r="288" customFormat="false" ht="15" hidden="false" customHeight="false" outlineLevel="0" collapsed="false">
      <c r="K288" s="26" t="b">
        <f aca="false">IF(대여내역!$A285="",FALSE(),OR(대여내역!$L285="미반납",대여내역!$L285="부분반납"))</f>
        <v>0</v>
      </c>
      <c r="L288" s="6" t="str">
        <f aca="false">IF($K288=FALSE(),"",COUNTIF($K$6:$K288,TRUE()))</f>
        <v/>
      </c>
      <c r="M288" s="6" t="str">
        <f aca="false">IF($L288="","","R"&amp;$L288)</f>
        <v/>
      </c>
    </row>
    <row r="289" customFormat="false" ht="15" hidden="false" customHeight="false" outlineLevel="0" collapsed="false">
      <c r="K289" s="26" t="b">
        <f aca="false">IF(대여내역!$A286="",FALSE(),OR(대여내역!$L286="미반납",대여내역!$L286="부분반납"))</f>
        <v>0</v>
      </c>
      <c r="L289" s="6" t="str">
        <f aca="false">IF($K289=FALSE(),"",COUNTIF($K$6:$K289,TRUE()))</f>
        <v/>
      </c>
      <c r="M289" s="6" t="str">
        <f aca="false">IF($L289="","","R"&amp;$L289)</f>
        <v/>
      </c>
    </row>
    <row r="290" customFormat="false" ht="15" hidden="false" customHeight="false" outlineLevel="0" collapsed="false">
      <c r="K290" s="26" t="b">
        <f aca="false">IF(대여내역!$A287="",FALSE(),OR(대여내역!$L287="미반납",대여내역!$L287="부분반납"))</f>
        <v>0</v>
      </c>
      <c r="L290" s="6" t="str">
        <f aca="false">IF($K290=FALSE(),"",COUNTIF($K$6:$K290,TRUE()))</f>
        <v/>
      </c>
      <c r="M290" s="6" t="str">
        <f aca="false">IF($L290="","","R"&amp;$L290)</f>
        <v/>
      </c>
    </row>
    <row r="291" customFormat="false" ht="15" hidden="false" customHeight="false" outlineLevel="0" collapsed="false">
      <c r="K291" s="26" t="b">
        <f aca="false">IF(대여내역!$A288="",FALSE(),OR(대여내역!$L288="미반납",대여내역!$L288="부분반납"))</f>
        <v>0</v>
      </c>
      <c r="L291" s="6" t="str">
        <f aca="false">IF($K291=FALSE(),"",COUNTIF($K$6:$K291,TRUE()))</f>
        <v/>
      </c>
      <c r="M291" s="6" t="str">
        <f aca="false">IF($L291="","","R"&amp;$L291)</f>
        <v/>
      </c>
    </row>
    <row r="292" customFormat="false" ht="15" hidden="false" customHeight="false" outlineLevel="0" collapsed="false">
      <c r="K292" s="26" t="b">
        <f aca="false">IF(대여내역!$A289="",FALSE(),OR(대여내역!$L289="미반납",대여내역!$L289="부분반납"))</f>
        <v>0</v>
      </c>
      <c r="L292" s="6" t="str">
        <f aca="false">IF($K292=FALSE(),"",COUNTIF($K$6:$K292,TRUE()))</f>
        <v/>
      </c>
      <c r="M292" s="6" t="str">
        <f aca="false">IF($L292="","","R"&amp;$L292)</f>
        <v/>
      </c>
    </row>
    <row r="293" customFormat="false" ht="15" hidden="false" customHeight="false" outlineLevel="0" collapsed="false">
      <c r="K293" s="26" t="b">
        <f aca="false">IF(대여내역!$A290="",FALSE(),OR(대여내역!$L290="미반납",대여내역!$L290="부분반납"))</f>
        <v>0</v>
      </c>
      <c r="L293" s="6" t="str">
        <f aca="false">IF($K293=FALSE(),"",COUNTIF($K$6:$K293,TRUE()))</f>
        <v/>
      </c>
      <c r="M293" s="6" t="str">
        <f aca="false">IF($L293="","","R"&amp;$L293)</f>
        <v/>
      </c>
    </row>
    <row r="294" customFormat="false" ht="15" hidden="false" customHeight="false" outlineLevel="0" collapsed="false">
      <c r="K294" s="26" t="b">
        <f aca="false">IF(대여내역!$A291="",FALSE(),OR(대여내역!$L291="미반납",대여내역!$L291="부분반납"))</f>
        <v>0</v>
      </c>
      <c r="L294" s="6" t="str">
        <f aca="false">IF($K294=FALSE(),"",COUNTIF($K$6:$K294,TRUE()))</f>
        <v/>
      </c>
      <c r="M294" s="6" t="str">
        <f aca="false">IF($L294="","","R"&amp;$L294)</f>
        <v/>
      </c>
    </row>
    <row r="295" customFormat="false" ht="15" hidden="false" customHeight="false" outlineLevel="0" collapsed="false">
      <c r="K295" s="26" t="b">
        <f aca="false">IF(대여내역!$A292="",FALSE(),OR(대여내역!$L292="미반납",대여내역!$L292="부분반납"))</f>
        <v>0</v>
      </c>
      <c r="L295" s="6" t="str">
        <f aca="false">IF($K295=FALSE(),"",COUNTIF($K$6:$K295,TRUE()))</f>
        <v/>
      </c>
      <c r="M295" s="6" t="str">
        <f aca="false">IF($L295="","","R"&amp;$L295)</f>
        <v/>
      </c>
    </row>
    <row r="296" customFormat="false" ht="15" hidden="false" customHeight="false" outlineLevel="0" collapsed="false">
      <c r="K296" s="26" t="b">
        <f aca="false">IF(대여내역!$A293="",FALSE(),OR(대여내역!$L293="미반납",대여내역!$L293="부분반납"))</f>
        <v>0</v>
      </c>
      <c r="L296" s="6" t="str">
        <f aca="false">IF($K296=FALSE(),"",COUNTIF($K$6:$K296,TRUE()))</f>
        <v/>
      </c>
      <c r="M296" s="6" t="str">
        <f aca="false">IF($L296="","","R"&amp;$L296)</f>
        <v/>
      </c>
    </row>
    <row r="297" customFormat="false" ht="15" hidden="false" customHeight="false" outlineLevel="0" collapsed="false">
      <c r="K297" s="26" t="b">
        <f aca="false">IF(대여내역!$A294="",FALSE(),OR(대여내역!$L294="미반납",대여내역!$L294="부분반납"))</f>
        <v>0</v>
      </c>
      <c r="L297" s="6" t="str">
        <f aca="false">IF($K297=FALSE(),"",COUNTIF($K$6:$K297,TRUE()))</f>
        <v/>
      </c>
      <c r="M297" s="6" t="str">
        <f aca="false">IF($L297="","","R"&amp;$L297)</f>
        <v/>
      </c>
    </row>
    <row r="298" customFormat="false" ht="15" hidden="false" customHeight="false" outlineLevel="0" collapsed="false">
      <c r="K298" s="26" t="b">
        <f aca="false">IF(대여내역!$A295="",FALSE(),OR(대여내역!$L295="미반납",대여내역!$L295="부분반납"))</f>
        <v>0</v>
      </c>
      <c r="L298" s="6" t="str">
        <f aca="false">IF($K298=FALSE(),"",COUNTIF($K$6:$K298,TRUE()))</f>
        <v/>
      </c>
      <c r="M298" s="6" t="str">
        <f aca="false">IF($L298="","","R"&amp;$L298)</f>
        <v/>
      </c>
    </row>
    <row r="299" customFormat="false" ht="15" hidden="false" customHeight="false" outlineLevel="0" collapsed="false">
      <c r="K299" s="26" t="b">
        <f aca="false">IF(대여내역!$A296="",FALSE(),OR(대여내역!$L296="미반납",대여내역!$L296="부분반납"))</f>
        <v>0</v>
      </c>
      <c r="L299" s="6" t="str">
        <f aca="false">IF($K299=FALSE(),"",COUNTIF($K$6:$K299,TRUE()))</f>
        <v/>
      </c>
      <c r="M299" s="6" t="str">
        <f aca="false">IF($L299="","","R"&amp;$L299)</f>
        <v/>
      </c>
    </row>
    <row r="300" customFormat="false" ht="15" hidden="false" customHeight="false" outlineLevel="0" collapsed="false">
      <c r="K300" s="26" t="b">
        <f aca="false">IF(대여내역!$A297="",FALSE(),OR(대여내역!$L297="미반납",대여내역!$L297="부분반납"))</f>
        <v>0</v>
      </c>
      <c r="L300" s="6" t="str">
        <f aca="false">IF($K300=FALSE(),"",COUNTIF($K$6:$K300,TRUE()))</f>
        <v/>
      </c>
      <c r="M300" s="6" t="str">
        <f aca="false">IF($L300="","","R"&amp;$L300)</f>
        <v/>
      </c>
    </row>
    <row r="301" customFormat="false" ht="15" hidden="false" customHeight="false" outlineLevel="0" collapsed="false">
      <c r="K301" s="26" t="b">
        <f aca="false">IF(대여내역!$A298="",FALSE(),OR(대여내역!$L298="미반납",대여내역!$L298="부분반납"))</f>
        <v>0</v>
      </c>
      <c r="L301" s="6" t="str">
        <f aca="false">IF($K301=FALSE(),"",COUNTIF($K$6:$K301,TRUE()))</f>
        <v/>
      </c>
      <c r="M301" s="6" t="str">
        <f aca="false">IF($L301="","","R"&amp;$L301)</f>
        <v/>
      </c>
    </row>
    <row r="302" customFormat="false" ht="15" hidden="false" customHeight="false" outlineLevel="0" collapsed="false">
      <c r="K302" s="26" t="b">
        <f aca="false">IF(대여내역!$A299="",FALSE(),OR(대여내역!$L299="미반납",대여내역!$L299="부분반납"))</f>
        <v>0</v>
      </c>
      <c r="L302" s="6" t="str">
        <f aca="false">IF($K302=FALSE(),"",COUNTIF($K$6:$K302,TRUE()))</f>
        <v/>
      </c>
      <c r="M302" s="6" t="str">
        <f aca="false">IF($L302="","","R"&amp;$L302)</f>
        <v/>
      </c>
    </row>
    <row r="303" customFormat="false" ht="15" hidden="false" customHeight="false" outlineLevel="0" collapsed="false">
      <c r="K303" s="26" t="b">
        <f aca="false">IF(대여내역!$A300="",FALSE(),OR(대여내역!$L300="미반납",대여내역!$L300="부분반납"))</f>
        <v>0</v>
      </c>
      <c r="L303" s="6" t="str">
        <f aca="false">IF($K303=FALSE(),"",COUNTIF($K$6:$K303,TRUE()))</f>
        <v/>
      </c>
      <c r="M303" s="6" t="str">
        <f aca="false">IF($L303="","","R"&amp;$L303)</f>
        <v/>
      </c>
    </row>
    <row r="304" customFormat="false" ht="15" hidden="false" customHeight="false" outlineLevel="0" collapsed="false">
      <c r="K304" s="26" t="b">
        <f aca="false">IF(대여내역!$A301="",FALSE(),OR(대여내역!$L301="미반납",대여내역!$L301="부분반납"))</f>
        <v>0</v>
      </c>
      <c r="L304" s="6" t="str">
        <f aca="false">IF($K304=FALSE(),"",COUNTIF($K$6:$K304,TRUE()))</f>
        <v/>
      </c>
      <c r="M304" s="6" t="str">
        <f aca="false">IF($L304="","","R"&amp;$L304)</f>
        <v/>
      </c>
    </row>
    <row r="305" customFormat="false" ht="15" hidden="false" customHeight="false" outlineLevel="0" collapsed="false">
      <c r="K305" s="26" t="b">
        <f aca="false">IF(대여내역!$A302="",FALSE(),OR(대여내역!$L302="미반납",대여내역!$L302="부분반납"))</f>
        <v>0</v>
      </c>
      <c r="L305" s="6" t="str">
        <f aca="false">IF($K305=FALSE(),"",COUNTIF($K$6:$K305,TRUE()))</f>
        <v/>
      </c>
      <c r="M305" s="6" t="str">
        <f aca="false">IF($L305="","","R"&amp;$L305)</f>
        <v/>
      </c>
    </row>
    <row r="306" customFormat="false" ht="15" hidden="false" customHeight="false" outlineLevel="0" collapsed="false">
      <c r="K306" s="26" t="b">
        <f aca="false">IF(대여내역!$A303="",FALSE(),OR(대여내역!$L303="미반납",대여내역!$L303="부분반납"))</f>
        <v>0</v>
      </c>
      <c r="L306" s="6" t="str">
        <f aca="false">IF($K306=FALSE(),"",COUNTIF($K$6:$K306,TRUE()))</f>
        <v/>
      </c>
      <c r="M306" s="6" t="str">
        <f aca="false">IF($L306="","","R"&amp;$L306)</f>
        <v/>
      </c>
    </row>
    <row r="307" customFormat="false" ht="15" hidden="false" customHeight="false" outlineLevel="0" collapsed="false">
      <c r="K307" s="26" t="b">
        <f aca="false">IF(대여내역!$A304="",FALSE(),OR(대여내역!$L304="미반납",대여내역!$L304="부분반납"))</f>
        <v>0</v>
      </c>
      <c r="L307" s="6" t="str">
        <f aca="false">IF($K307=FALSE(),"",COUNTIF($K$6:$K307,TRUE()))</f>
        <v/>
      </c>
      <c r="M307" s="6" t="str">
        <f aca="false">IF($L307="","","R"&amp;$L307)</f>
        <v/>
      </c>
    </row>
    <row r="308" customFormat="false" ht="15" hidden="false" customHeight="false" outlineLevel="0" collapsed="false">
      <c r="K308" s="26" t="b">
        <f aca="false">IF(대여내역!$A305="",FALSE(),OR(대여내역!$L305="미반납",대여내역!$L305="부분반납"))</f>
        <v>0</v>
      </c>
      <c r="L308" s="6" t="str">
        <f aca="false">IF($K308=FALSE(),"",COUNTIF($K$6:$K308,TRUE()))</f>
        <v/>
      </c>
      <c r="M308" s="6" t="str">
        <f aca="false">IF($L308="","","R"&amp;$L308)</f>
        <v/>
      </c>
    </row>
    <row r="309" customFormat="false" ht="15" hidden="false" customHeight="false" outlineLevel="0" collapsed="false">
      <c r="K309" s="26" t="b">
        <f aca="false">IF(대여내역!$A306="",FALSE(),OR(대여내역!$L306="미반납",대여내역!$L306="부분반납"))</f>
        <v>0</v>
      </c>
      <c r="L309" s="6" t="str">
        <f aca="false">IF($K309=FALSE(),"",COUNTIF($K$6:$K309,TRUE()))</f>
        <v/>
      </c>
      <c r="M309" s="6" t="str">
        <f aca="false">IF($L309="","","R"&amp;$L309)</f>
        <v/>
      </c>
    </row>
    <row r="310" customFormat="false" ht="15" hidden="false" customHeight="false" outlineLevel="0" collapsed="false">
      <c r="K310" s="26" t="b">
        <f aca="false">IF(대여내역!$A307="",FALSE(),OR(대여내역!$L307="미반납",대여내역!$L307="부분반납"))</f>
        <v>0</v>
      </c>
      <c r="L310" s="6" t="str">
        <f aca="false">IF($K310=FALSE(),"",COUNTIF($K$6:$K310,TRUE()))</f>
        <v/>
      </c>
      <c r="M310" s="6" t="str">
        <f aca="false">IF($L310="","","R"&amp;$L310)</f>
        <v/>
      </c>
    </row>
    <row r="311" customFormat="false" ht="15" hidden="false" customHeight="false" outlineLevel="0" collapsed="false">
      <c r="K311" s="26" t="b">
        <f aca="false">IF(대여내역!$A308="",FALSE(),OR(대여내역!$L308="미반납",대여내역!$L308="부분반납"))</f>
        <v>0</v>
      </c>
      <c r="L311" s="6" t="str">
        <f aca="false">IF($K311=FALSE(),"",COUNTIF($K$6:$K311,TRUE()))</f>
        <v/>
      </c>
      <c r="M311" s="6" t="str">
        <f aca="false">IF($L311="","","R"&amp;$L311)</f>
        <v/>
      </c>
    </row>
    <row r="312" customFormat="false" ht="15" hidden="false" customHeight="false" outlineLevel="0" collapsed="false">
      <c r="K312" s="26" t="b">
        <f aca="false">IF(대여내역!$A309="",FALSE(),OR(대여내역!$L309="미반납",대여내역!$L309="부분반납"))</f>
        <v>0</v>
      </c>
      <c r="L312" s="6" t="str">
        <f aca="false">IF($K312=FALSE(),"",COUNTIF($K$6:$K312,TRUE()))</f>
        <v/>
      </c>
      <c r="M312" s="6" t="str">
        <f aca="false">IF($L312="","","R"&amp;$L312)</f>
        <v/>
      </c>
    </row>
    <row r="313" customFormat="false" ht="15" hidden="false" customHeight="false" outlineLevel="0" collapsed="false">
      <c r="K313" s="26" t="b">
        <f aca="false">IF(대여내역!$A310="",FALSE(),OR(대여내역!$L310="미반납",대여내역!$L310="부분반납"))</f>
        <v>0</v>
      </c>
      <c r="L313" s="6" t="str">
        <f aca="false">IF($K313=FALSE(),"",COUNTIF($K$6:$K313,TRUE()))</f>
        <v/>
      </c>
      <c r="M313" s="6" t="str">
        <f aca="false">IF($L313="","","R"&amp;$L313)</f>
        <v/>
      </c>
    </row>
    <row r="314" customFormat="false" ht="15" hidden="false" customHeight="false" outlineLevel="0" collapsed="false">
      <c r="K314" s="26" t="b">
        <f aca="false">IF(대여내역!$A311="",FALSE(),OR(대여내역!$L311="미반납",대여내역!$L311="부분반납"))</f>
        <v>0</v>
      </c>
      <c r="L314" s="6" t="str">
        <f aca="false">IF($K314=FALSE(),"",COUNTIF($K$6:$K314,TRUE()))</f>
        <v/>
      </c>
      <c r="M314" s="6" t="str">
        <f aca="false">IF($L314="","","R"&amp;$L314)</f>
        <v/>
      </c>
    </row>
    <row r="315" customFormat="false" ht="15" hidden="false" customHeight="false" outlineLevel="0" collapsed="false">
      <c r="K315" s="26" t="b">
        <f aca="false">IF(대여내역!$A312="",FALSE(),OR(대여내역!$L312="미반납",대여내역!$L312="부분반납"))</f>
        <v>0</v>
      </c>
      <c r="L315" s="6" t="str">
        <f aca="false">IF($K315=FALSE(),"",COUNTIF($K$6:$K315,TRUE()))</f>
        <v/>
      </c>
      <c r="M315" s="6" t="str">
        <f aca="false">IF($L315="","","R"&amp;$L315)</f>
        <v/>
      </c>
    </row>
    <row r="316" customFormat="false" ht="15" hidden="false" customHeight="false" outlineLevel="0" collapsed="false">
      <c r="K316" s="26" t="b">
        <f aca="false">IF(대여내역!$A313="",FALSE(),OR(대여내역!$L313="미반납",대여내역!$L313="부분반납"))</f>
        <v>0</v>
      </c>
      <c r="L316" s="6" t="str">
        <f aca="false">IF($K316=FALSE(),"",COUNTIF($K$6:$K316,TRUE()))</f>
        <v/>
      </c>
      <c r="M316" s="6" t="str">
        <f aca="false">IF($L316="","","R"&amp;$L316)</f>
        <v/>
      </c>
    </row>
    <row r="317" customFormat="false" ht="15" hidden="false" customHeight="false" outlineLevel="0" collapsed="false">
      <c r="K317" s="26" t="b">
        <f aca="false">IF(대여내역!$A314="",FALSE(),OR(대여내역!$L314="미반납",대여내역!$L314="부분반납"))</f>
        <v>0</v>
      </c>
      <c r="L317" s="6" t="str">
        <f aca="false">IF($K317=FALSE(),"",COUNTIF($K$6:$K317,TRUE()))</f>
        <v/>
      </c>
      <c r="M317" s="6" t="str">
        <f aca="false">IF($L317="","","R"&amp;$L317)</f>
        <v/>
      </c>
    </row>
    <row r="318" customFormat="false" ht="15" hidden="false" customHeight="false" outlineLevel="0" collapsed="false">
      <c r="K318" s="26" t="b">
        <f aca="false">IF(대여내역!$A315="",FALSE(),OR(대여내역!$L315="미반납",대여내역!$L315="부분반납"))</f>
        <v>0</v>
      </c>
      <c r="L318" s="6" t="str">
        <f aca="false">IF($K318=FALSE(),"",COUNTIF($K$6:$K318,TRUE()))</f>
        <v/>
      </c>
      <c r="M318" s="6" t="str">
        <f aca="false">IF($L318="","","R"&amp;$L318)</f>
        <v/>
      </c>
    </row>
    <row r="319" customFormat="false" ht="15" hidden="false" customHeight="false" outlineLevel="0" collapsed="false">
      <c r="K319" s="26" t="b">
        <f aca="false">IF(대여내역!$A316="",FALSE(),OR(대여내역!$L316="미반납",대여내역!$L316="부분반납"))</f>
        <v>0</v>
      </c>
      <c r="L319" s="6" t="str">
        <f aca="false">IF($K319=FALSE(),"",COUNTIF($K$6:$K319,TRUE()))</f>
        <v/>
      </c>
      <c r="M319" s="6" t="str">
        <f aca="false">IF($L319="","","R"&amp;$L319)</f>
        <v/>
      </c>
    </row>
    <row r="320" customFormat="false" ht="15" hidden="false" customHeight="false" outlineLevel="0" collapsed="false">
      <c r="K320" s="26" t="b">
        <f aca="false">IF(대여내역!$A317="",FALSE(),OR(대여내역!$L317="미반납",대여내역!$L317="부분반납"))</f>
        <v>0</v>
      </c>
      <c r="L320" s="6" t="str">
        <f aca="false">IF($K320=FALSE(),"",COUNTIF($K$6:$K320,TRUE()))</f>
        <v/>
      </c>
      <c r="M320" s="6" t="str">
        <f aca="false">IF($L320="","","R"&amp;$L320)</f>
        <v/>
      </c>
    </row>
    <row r="321" customFormat="false" ht="15" hidden="false" customHeight="false" outlineLevel="0" collapsed="false">
      <c r="K321" s="26" t="b">
        <f aca="false">IF(대여내역!$A318="",FALSE(),OR(대여내역!$L318="미반납",대여내역!$L318="부분반납"))</f>
        <v>0</v>
      </c>
      <c r="L321" s="6" t="str">
        <f aca="false">IF($K321=FALSE(),"",COUNTIF($K$6:$K321,TRUE()))</f>
        <v/>
      </c>
      <c r="M321" s="6" t="str">
        <f aca="false">IF($L321="","","R"&amp;$L321)</f>
        <v/>
      </c>
    </row>
    <row r="322" customFormat="false" ht="15" hidden="false" customHeight="false" outlineLevel="0" collapsed="false">
      <c r="K322" s="26" t="b">
        <f aca="false">IF(대여내역!$A319="",FALSE(),OR(대여내역!$L319="미반납",대여내역!$L319="부분반납"))</f>
        <v>0</v>
      </c>
      <c r="L322" s="6" t="str">
        <f aca="false">IF($K322=FALSE(),"",COUNTIF($K$6:$K322,TRUE()))</f>
        <v/>
      </c>
      <c r="M322" s="6" t="str">
        <f aca="false">IF($L322="","","R"&amp;$L322)</f>
        <v/>
      </c>
    </row>
    <row r="323" customFormat="false" ht="15" hidden="false" customHeight="false" outlineLevel="0" collapsed="false">
      <c r="K323" s="26" t="b">
        <f aca="false">IF(대여내역!$A320="",FALSE(),OR(대여내역!$L320="미반납",대여내역!$L320="부분반납"))</f>
        <v>0</v>
      </c>
      <c r="L323" s="6" t="str">
        <f aca="false">IF($K323=FALSE(),"",COUNTIF($K$6:$K323,TRUE()))</f>
        <v/>
      </c>
      <c r="M323" s="6" t="str">
        <f aca="false">IF($L323="","","R"&amp;$L323)</f>
        <v/>
      </c>
    </row>
    <row r="324" customFormat="false" ht="15" hidden="false" customHeight="false" outlineLevel="0" collapsed="false">
      <c r="K324" s="26" t="b">
        <f aca="false">IF(대여내역!$A321="",FALSE(),OR(대여내역!$L321="미반납",대여내역!$L321="부분반납"))</f>
        <v>0</v>
      </c>
      <c r="L324" s="6" t="str">
        <f aca="false">IF($K324=FALSE(),"",COUNTIF($K$6:$K324,TRUE()))</f>
        <v/>
      </c>
      <c r="M324" s="6" t="str">
        <f aca="false">IF($L324="","","R"&amp;$L324)</f>
        <v/>
      </c>
    </row>
    <row r="325" customFormat="false" ht="15" hidden="false" customHeight="false" outlineLevel="0" collapsed="false">
      <c r="K325" s="26" t="b">
        <f aca="false">IF(대여내역!$A322="",FALSE(),OR(대여내역!$L322="미반납",대여내역!$L322="부분반납"))</f>
        <v>0</v>
      </c>
      <c r="L325" s="6" t="str">
        <f aca="false">IF($K325=FALSE(),"",COUNTIF($K$6:$K325,TRUE()))</f>
        <v/>
      </c>
      <c r="M325" s="6" t="str">
        <f aca="false">IF($L325="","","R"&amp;$L325)</f>
        <v/>
      </c>
    </row>
    <row r="326" customFormat="false" ht="15" hidden="false" customHeight="false" outlineLevel="0" collapsed="false">
      <c r="K326" s="26" t="b">
        <f aca="false">IF(대여내역!$A323="",FALSE(),OR(대여내역!$L323="미반납",대여내역!$L323="부분반납"))</f>
        <v>0</v>
      </c>
      <c r="L326" s="6" t="str">
        <f aca="false">IF($K326=FALSE(),"",COUNTIF($K$6:$K326,TRUE()))</f>
        <v/>
      </c>
      <c r="M326" s="6" t="str">
        <f aca="false">IF($L326="","","R"&amp;$L326)</f>
        <v/>
      </c>
    </row>
    <row r="327" customFormat="false" ht="15" hidden="false" customHeight="false" outlineLevel="0" collapsed="false">
      <c r="K327" s="26" t="b">
        <f aca="false">IF(대여내역!$A324="",FALSE(),OR(대여내역!$L324="미반납",대여내역!$L324="부분반납"))</f>
        <v>0</v>
      </c>
      <c r="L327" s="6" t="str">
        <f aca="false">IF($K327=FALSE(),"",COUNTIF($K$6:$K327,TRUE()))</f>
        <v/>
      </c>
      <c r="M327" s="6" t="str">
        <f aca="false">IF($L327="","","R"&amp;$L327)</f>
        <v/>
      </c>
    </row>
    <row r="328" customFormat="false" ht="15" hidden="false" customHeight="false" outlineLevel="0" collapsed="false">
      <c r="K328" s="26" t="b">
        <f aca="false">IF(대여내역!$A325="",FALSE(),OR(대여내역!$L325="미반납",대여내역!$L325="부분반납"))</f>
        <v>0</v>
      </c>
      <c r="L328" s="6" t="str">
        <f aca="false">IF($K328=FALSE(),"",COUNTIF($K$6:$K328,TRUE()))</f>
        <v/>
      </c>
      <c r="M328" s="6" t="str">
        <f aca="false">IF($L328="","","R"&amp;$L328)</f>
        <v/>
      </c>
    </row>
    <row r="329" customFormat="false" ht="15" hidden="false" customHeight="false" outlineLevel="0" collapsed="false">
      <c r="K329" s="26" t="b">
        <f aca="false">IF(대여내역!$A326="",FALSE(),OR(대여내역!$L326="미반납",대여내역!$L326="부분반납"))</f>
        <v>0</v>
      </c>
      <c r="L329" s="6" t="str">
        <f aca="false">IF($K329=FALSE(),"",COUNTIF($K$6:$K329,TRUE()))</f>
        <v/>
      </c>
      <c r="M329" s="6" t="str">
        <f aca="false">IF($L329="","","R"&amp;$L329)</f>
        <v/>
      </c>
    </row>
    <row r="330" customFormat="false" ht="15" hidden="false" customHeight="false" outlineLevel="0" collapsed="false">
      <c r="K330" s="26" t="b">
        <f aca="false">IF(대여내역!$A327="",FALSE(),OR(대여내역!$L327="미반납",대여내역!$L327="부분반납"))</f>
        <v>0</v>
      </c>
      <c r="L330" s="6" t="str">
        <f aca="false">IF($K330=FALSE(),"",COUNTIF($K$6:$K330,TRUE()))</f>
        <v/>
      </c>
      <c r="M330" s="6" t="str">
        <f aca="false">IF($L330="","","R"&amp;$L330)</f>
        <v/>
      </c>
    </row>
    <row r="331" customFormat="false" ht="15" hidden="false" customHeight="false" outlineLevel="0" collapsed="false">
      <c r="K331" s="26" t="b">
        <f aca="false">IF(대여내역!$A328="",FALSE(),OR(대여내역!$L328="미반납",대여내역!$L328="부분반납"))</f>
        <v>0</v>
      </c>
      <c r="L331" s="6" t="str">
        <f aca="false">IF($K331=FALSE(),"",COUNTIF($K$6:$K331,TRUE()))</f>
        <v/>
      </c>
      <c r="M331" s="6" t="str">
        <f aca="false">IF($L331="","","R"&amp;$L331)</f>
        <v/>
      </c>
    </row>
    <row r="332" customFormat="false" ht="15" hidden="false" customHeight="false" outlineLevel="0" collapsed="false">
      <c r="K332" s="26" t="b">
        <f aca="false">IF(대여내역!$A329="",FALSE(),OR(대여내역!$L329="미반납",대여내역!$L329="부분반납"))</f>
        <v>0</v>
      </c>
      <c r="L332" s="6" t="str">
        <f aca="false">IF($K332=FALSE(),"",COUNTIF($K$6:$K332,TRUE()))</f>
        <v/>
      </c>
      <c r="M332" s="6" t="str">
        <f aca="false">IF($L332="","","R"&amp;$L332)</f>
        <v/>
      </c>
    </row>
    <row r="333" customFormat="false" ht="15" hidden="false" customHeight="false" outlineLevel="0" collapsed="false">
      <c r="K333" s="26" t="b">
        <f aca="false">IF(대여내역!$A330="",FALSE(),OR(대여내역!$L330="미반납",대여내역!$L330="부분반납"))</f>
        <v>0</v>
      </c>
      <c r="L333" s="6" t="str">
        <f aca="false">IF($K333=FALSE(),"",COUNTIF($K$6:$K333,TRUE()))</f>
        <v/>
      </c>
      <c r="M333" s="6" t="str">
        <f aca="false">IF($L333="","","R"&amp;$L333)</f>
        <v/>
      </c>
    </row>
    <row r="334" customFormat="false" ht="15" hidden="false" customHeight="false" outlineLevel="0" collapsed="false">
      <c r="K334" s="26" t="b">
        <f aca="false">IF(대여내역!$A331="",FALSE(),OR(대여내역!$L331="미반납",대여내역!$L331="부분반납"))</f>
        <v>0</v>
      </c>
      <c r="L334" s="6" t="str">
        <f aca="false">IF($K334=FALSE(),"",COUNTIF($K$6:$K334,TRUE()))</f>
        <v/>
      </c>
      <c r="M334" s="6" t="str">
        <f aca="false">IF($L334="","","R"&amp;$L334)</f>
        <v/>
      </c>
    </row>
    <row r="335" customFormat="false" ht="15" hidden="false" customHeight="false" outlineLevel="0" collapsed="false">
      <c r="K335" s="26" t="b">
        <f aca="false">IF(대여내역!$A332="",FALSE(),OR(대여내역!$L332="미반납",대여내역!$L332="부분반납"))</f>
        <v>0</v>
      </c>
      <c r="L335" s="6" t="str">
        <f aca="false">IF($K335=FALSE(),"",COUNTIF($K$6:$K335,TRUE()))</f>
        <v/>
      </c>
      <c r="M335" s="6" t="str">
        <f aca="false">IF($L335="","","R"&amp;$L335)</f>
        <v/>
      </c>
    </row>
    <row r="336" customFormat="false" ht="15" hidden="false" customHeight="false" outlineLevel="0" collapsed="false">
      <c r="K336" s="26" t="b">
        <f aca="false">IF(대여내역!$A333="",FALSE(),OR(대여내역!$L333="미반납",대여내역!$L333="부분반납"))</f>
        <v>0</v>
      </c>
      <c r="L336" s="6" t="str">
        <f aca="false">IF($K336=FALSE(),"",COUNTIF($K$6:$K336,TRUE()))</f>
        <v/>
      </c>
      <c r="M336" s="6" t="str">
        <f aca="false">IF($L336="","","R"&amp;$L336)</f>
        <v/>
      </c>
    </row>
    <row r="337" customFormat="false" ht="15" hidden="false" customHeight="false" outlineLevel="0" collapsed="false">
      <c r="K337" s="26" t="b">
        <f aca="false">IF(대여내역!$A334="",FALSE(),OR(대여내역!$L334="미반납",대여내역!$L334="부분반납"))</f>
        <v>0</v>
      </c>
      <c r="L337" s="6" t="str">
        <f aca="false">IF($K337=FALSE(),"",COUNTIF($K$6:$K337,TRUE()))</f>
        <v/>
      </c>
      <c r="M337" s="6" t="str">
        <f aca="false">IF($L337="","","R"&amp;$L337)</f>
        <v/>
      </c>
    </row>
    <row r="338" customFormat="false" ht="15" hidden="false" customHeight="false" outlineLevel="0" collapsed="false">
      <c r="K338" s="26" t="b">
        <f aca="false">IF(대여내역!$A335="",FALSE(),OR(대여내역!$L335="미반납",대여내역!$L335="부분반납"))</f>
        <v>0</v>
      </c>
      <c r="L338" s="6" t="str">
        <f aca="false">IF($K338=FALSE(),"",COUNTIF($K$6:$K338,TRUE()))</f>
        <v/>
      </c>
      <c r="M338" s="6" t="str">
        <f aca="false">IF($L338="","","R"&amp;$L338)</f>
        <v/>
      </c>
    </row>
    <row r="339" customFormat="false" ht="15" hidden="false" customHeight="false" outlineLevel="0" collapsed="false">
      <c r="K339" s="26" t="b">
        <f aca="false">IF(대여내역!$A336="",FALSE(),OR(대여내역!$L336="미반납",대여내역!$L336="부분반납"))</f>
        <v>0</v>
      </c>
      <c r="L339" s="6" t="str">
        <f aca="false">IF($K339=FALSE(),"",COUNTIF($K$6:$K339,TRUE()))</f>
        <v/>
      </c>
      <c r="M339" s="6" t="str">
        <f aca="false">IF($L339="","","R"&amp;$L339)</f>
        <v/>
      </c>
    </row>
    <row r="340" customFormat="false" ht="15" hidden="false" customHeight="false" outlineLevel="0" collapsed="false">
      <c r="K340" s="26" t="b">
        <f aca="false">IF(대여내역!$A337="",FALSE(),OR(대여내역!$L337="미반납",대여내역!$L337="부분반납"))</f>
        <v>0</v>
      </c>
      <c r="L340" s="6" t="str">
        <f aca="false">IF($K340=FALSE(),"",COUNTIF($K$6:$K340,TRUE()))</f>
        <v/>
      </c>
      <c r="M340" s="6" t="str">
        <f aca="false">IF($L340="","","R"&amp;$L340)</f>
        <v/>
      </c>
    </row>
    <row r="341" customFormat="false" ht="15" hidden="false" customHeight="false" outlineLevel="0" collapsed="false">
      <c r="K341" s="26" t="b">
        <f aca="false">IF(대여내역!$A338="",FALSE(),OR(대여내역!$L338="미반납",대여내역!$L338="부분반납"))</f>
        <v>0</v>
      </c>
      <c r="L341" s="6" t="str">
        <f aca="false">IF($K341=FALSE(),"",COUNTIF($K$6:$K341,TRUE()))</f>
        <v/>
      </c>
      <c r="M341" s="6" t="str">
        <f aca="false">IF($L341="","","R"&amp;$L341)</f>
        <v/>
      </c>
    </row>
    <row r="342" customFormat="false" ht="15" hidden="false" customHeight="false" outlineLevel="0" collapsed="false">
      <c r="K342" s="26" t="b">
        <f aca="false">IF(대여내역!$A339="",FALSE(),OR(대여내역!$L339="미반납",대여내역!$L339="부분반납"))</f>
        <v>0</v>
      </c>
      <c r="L342" s="6" t="str">
        <f aca="false">IF($K342=FALSE(),"",COUNTIF($K$6:$K342,TRUE()))</f>
        <v/>
      </c>
      <c r="M342" s="6" t="str">
        <f aca="false">IF($L342="","","R"&amp;$L342)</f>
        <v/>
      </c>
    </row>
    <row r="343" customFormat="false" ht="15" hidden="false" customHeight="false" outlineLevel="0" collapsed="false">
      <c r="K343" s="26" t="b">
        <f aca="false">IF(대여내역!$A340="",FALSE(),OR(대여내역!$L340="미반납",대여내역!$L340="부분반납"))</f>
        <v>0</v>
      </c>
      <c r="L343" s="6" t="str">
        <f aca="false">IF($K343=FALSE(),"",COUNTIF($K$6:$K343,TRUE()))</f>
        <v/>
      </c>
      <c r="M343" s="6" t="str">
        <f aca="false">IF($L343="","","R"&amp;$L343)</f>
        <v/>
      </c>
    </row>
    <row r="344" customFormat="false" ht="15" hidden="false" customHeight="false" outlineLevel="0" collapsed="false">
      <c r="K344" s="26" t="b">
        <f aca="false">IF(대여내역!$A341="",FALSE(),OR(대여내역!$L341="미반납",대여내역!$L341="부분반납"))</f>
        <v>0</v>
      </c>
      <c r="L344" s="6" t="str">
        <f aca="false">IF($K344=FALSE(),"",COUNTIF($K$6:$K344,TRUE()))</f>
        <v/>
      </c>
      <c r="M344" s="6" t="str">
        <f aca="false">IF($L344="","","R"&amp;$L344)</f>
        <v/>
      </c>
    </row>
    <row r="345" customFormat="false" ht="15" hidden="false" customHeight="false" outlineLevel="0" collapsed="false">
      <c r="K345" s="26" t="b">
        <f aca="false">IF(대여내역!$A342="",FALSE(),OR(대여내역!$L342="미반납",대여내역!$L342="부분반납"))</f>
        <v>0</v>
      </c>
      <c r="L345" s="6" t="str">
        <f aca="false">IF($K345=FALSE(),"",COUNTIF($K$6:$K345,TRUE()))</f>
        <v/>
      </c>
      <c r="M345" s="6" t="str">
        <f aca="false">IF($L345="","","R"&amp;$L345)</f>
        <v/>
      </c>
    </row>
    <row r="346" customFormat="false" ht="15" hidden="false" customHeight="false" outlineLevel="0" collapsed="false">
      <c r="K346" s="26" t="b">
        <f aca="false">IF(대여내역!$A343="",FALSE(),OR(대여내역!$L343="미반납",대여내역!$L343="부분반납"))</f>
        <v>0</v>
      </c>
      <c r="L346" s="6" t="str">
        <f aca="false">IF($K346=FALSE(),"",COUNTIF($K$6:$K346,TRUE()))</f>
        <v/>
      </c>
      <c r="M346" s="6" t="str">
        <f aca="false">IF($L346="","","R"&amp;$L346)</f>
        <v/>
      </c>
    </row>
    <row r="347" customFormat="false" ht="15" hidden="false" customHeight="false" outlineLevel="0" collapsed="false">
      <c r="K347" s="26" t="b">
        <f aca="false">IF(대여내역!$A344="",FALSE(),OR(대여내역!$L344="미반납",대여내역!$L344="부분반납"))</f>
        <v>0</v>
      </c>
      <c r="L347" s="6" t="str">
        <f aca="false">IF($K347=FALSE(),"",COUNTIF($K$6:$K347,TRUE()))</f>
        <v/>
      </c>
      <c r="M347" s="6" t="str">
        <f aca="false">IF($L347="","","R"&amp;$L347)</f>
        <v/>
      </c>
    </row>
    <row r="348" customFormat="false" ht="15" hidden="false" customHeight="false" outlineLevel="0" collapsed="false">
      <c r="K348" s="26" t="b">
        <f aca="false">IF(대여내역!$A345="",FALSE(),OR(대여내역!$L345="미반납",대여내역!$L345="부분반납"))</f>
        <v>0</v>
      </c>
      <c r="L348" s="6" t="str">
        <f aca="false">IF($K348=FALSE(),"",COUNTIF($K$6:$K348,TRUE()))</f>
        <v/>
      </c>
      <c r="M348" s="6" t="str">
        <f aca="false">IF($L348="","","R"&amp;$L348)</f>
        <v/>
      </c>
    </row>
    <row r="349" customFormat="false" ht="15" hidden="false" customHeight="false" outlineLevel="0" collapsed="false">
      <c r="K349" s="26" t="b">
        <f aca="false">IF(대여내역!$A346="",FALSE(),OR(대여내역!$L346="미반납",대여내역!$L346="부분반납"))</f>
        <v>0</v>
      </c>
      <c r="L349" s="6" t="str">
        <f aca="false">IF($K349=FALSE(),"",COUNTIF($K$6:$K349,TRUE()))</f>
        <v/>
      </c>
      <c r="M349" s="6" t="str">
        <f aca="false">IF($L349="","","R"&amp;$L349)</f>
        <v/>
      </c>
    </row>
    <row r="350" customFormat="false" ht="15" hidden="false" customHeight="false" outlineLevel="0" collapsed="false">
      <c r="K350" s="26" t="b">
        <f aca="false">IF(대여내역!$A347="",FALSE(),OR(대여내역!$L347="미반납",대여내역!$L347="부분반납"))</f>
        <v>0</v>
      </c>
      <c r="L350" s="6" t="str">
        <f aca="false">IF($K350=FALSE(),"",COUNTIF($K$6:$K350,TRUE()))</f>
        <v/>
      </c>
      <c r="M350" s="6" t="str">
        <f aca="false">IF($L350="","","R"&amp;$L350)</f>
        <v/>
      </c>
    </row>
    <row r="351" customFormat="false" ht="15" hidden="false" customHeight="false" outlineLevel="0" collapsed="false">
      <c r="K351" s="26" t="b">
        <f aca="false">IF(대여내역!$A348="",FALSE(),OR(대여내역!$L348="미반납",대여내역!$L348="부분반납"))</f>
        <v>0</v>
      </c>
      <c r="L351" s="6" t="str">
        <f aca="false">IF($K351=FALSE(),"",COUNTIF($K$6:$K351,TRUE()))</f>
        <v/>
      </c>
      <c r="M351" s="6" t="str">
        <f aca="false">IF($L351="","","R"&amp;$L351)</f>
        <v/>
      </c>
    </row>
    <row r="352" customFormat="false" ht="15" hidden="false" customHeight="false" outlineLevel="0" collapsed="false">
      <c r="K352" s="26" t="b">
        <f aca="false">IF(대여내역!$A349="",FALSE(),OR(대여내역!$L349="미반납",대여내역!$L349="부분반납"))</f>
        <v>0</v>
      </c>
      <c r="L352" s="6" t="str">
        <f aca="false">IF($K352=FALSE(),"",COUNTIF($K$6:$K352,TRUE()))</f>
        <v/>
      </c>
      <c r="M352" s="6" t="str">
        <f aca="false">IF($L352="","","R"&amp;$L352)</f>
        <v/>
      </c>
    </row>
    <row r="353" customFormat="false" ht="15" hidden="false" customHeight="false" outlineLevel="0" collapsed="false">
      <c r="K353" s="26" t="b">
        <f aca="false">IF(대여내역!$A350="",FALSE(),OR(대여내역!$L350="미반납",대여내역!$L350="부분반납"))</f>
        <v>0</v>
      </c>
      <c r="L353" s="6" t="str">
        <f aca="false">IF($K353=FALSE(),"",COUNTIF($K$6:$K353,TRUE()))</f>
        <v/>
      </c>
      <c r="M353" s="6" t="str">
        <f aca="false">IF($L353="","","R"&amp;$L353)</f>
        <v/>
      </c>
    </row>
    <row r="354" customFormat="false" ht="15" hidden="false" customHeight="false" outlineLevel="0" collapsed="false">
      <c r="K354" s="26" t="b">
        <f aca="false">IF(대여내역!$A351="",FALSE(),OR(대여내역!$L351="미반납",대여내역!$L351="부분반납"))</f>
        <v>0</v>
      </c>
      <c r="L354" s="6" t="str">
        <f aca="false">IF($K354=FALSE(),"",COUNTIF($K$6:$K354,TRUE()))</f>
        <v/>
      </c>
      <c r="M354" s="6" t="str">
        <f aca="false">IF($L354="","","R"&amp;$L354)</f>
        <v/>
      </c>
    </row>
    <row r="355" customFormat="false" ht="15" hidden="false" customHeight="false" outlineLevel="0" collapsed="false">
      <c r="K355" s="26" t="b">
        <f aca="false">IF(대여내역!$A352="",FALSE(),OR(대여내역!$L352="미반납",대여내역!$L352="부분반납"))</f>
        <v>0</v>
      </c>
      <c r="L355" s="6" t="str">
        <f aca="false">IF($K355=FALSE(),"",COUNTIF($K$6:$K355,TRUE()))</f>
        <v/>
      </c>
      <c r="M355" s="6" t="str">
        <f aca="false">IF($L355="","","R"&amp;$L355)</f>
        <v/>
      </c>
    </row>
    <row r="356" customFormat="false" ht="15" hidden="false" customHeight="false" outlineLevel="0" collapsed="false">
      <c r="K356" s="26" t="b">
        <f aca="false">IF(대여내역!$A353="",FALSE(),OR(대여내역!$L353="미반납",대여내역!$L353="부분반납"))</f>
        <v>0</v>
      </c>
      <c r="L356" s="6" t="str">
        <f aca="false">IF($K356=FALSE(),"",COUNTIF($K$6:$K356,TRUE()))</f>
        <v/>
      </c>
      <c r="M356" s="6" t="str">
        <f aca="false">IF($L356="","","R"&amp;$L356)</f>
        <v/>
      </c>
    </row>
    <row r="357" customFormat="false" ht="15" hidden="false" customHeight="false" outlineLevel="0" collapsed="false">
      <c r="K357" s="26" t="b">
        <f aca="false">IF(대여내역!$A354="",FALSE(),OR(대여내역!$L354="미반납",대여내역!$L354="부분반납"))</f>
        <v>0</v>
      </c>
      <c r="L357" s="6" t="str">
        <f aca="false">IF($K357=FALSE(),"",COUNTIF($K$6:$K357,TRUE()))</f>
        <v/>
      </c>
      <c r="M357" s="6" t="str">
        <f aca="false">IF($L357="","","R"&amp;$L357)</f>
        <v/>
      </c>
    </row>
    <row r="358" customFormat="false" ht="15" hidden="false" customHeight="false" outlineLevel="0" collapsed="false">
      <c r="K358" s="26" t="b">
        <f aca="false">IF(대여내역!$A355="",FALSE(),OR(대여내역!$L355="미반납",대여내역!$L355="부분반납"))</f>
        <v>0</v>
      </c>
      <c r="L358" s="6" t="str">
        <f aca="false">IF($K358=FALSE(),"",COUNTIF($K$6:$K358,TRUE()))</f>
        <v/>
      </c>
      <c r="M358" s="6" t="str">
        <f aca="false">IF($L358="","","R"&amp;$L358)</f>
        <v/>
      </c>
    </row>
    <row r="359" customFormat="false" ht="15" hidden="false" customHeight="false" outlineLevel="0" collapsed="false">
      <c r="K359" s="26" t="b">
        <f aca="false">IF(대여내역!$A356="",FALSE(),OR(대여내역!$L356="미반납",대여내역!$L356="부분반납"))</f>
        <v>0</v>
      </c>
      <c r="L359" s="6" t="str">
        <f aca="false">IF($K359=FALSE(),"",COUNTIF($K$6:$K359,TRUE()))</f>
        <v/>
      </c>
      <c r="M359" s="6" t="str">
        <f aca="false">IF($L359="","","R"&amp;$L359)</f>
        <v/>
      </c>
    </row>
    <row r="360" customFormat="false" ht="15" hidden="false" customHeight="false" outlineLevel="0" collapsed="false">
      <c r="K360" s="26" t="b">
        <f aca="false">IF(대여내역!$A357="",FALSE(),OR(대여내역!$L357="미반납",대여내역!$L357="부분반납"))</f>
        <v>0</v>
      </c>
      <c r="L360" s="6" t="str">
        <f aca="false">IF($K360=FALSE(),"",COUNTIF($K$6:$K360,TRUE()))</f>
        <v/>
      </c>
      <c r="M360" s="6" t="str">
        <f aca="false">IF($L360="","","R"&amp;$L360)</f>
        <v/>
      </c>
    </row>
    <row r="361" customFormat="false" ht="15" hidden="false" customHeight="false" outlineLevel="0" collapsed="false">
      <c r="K361" s="26" t="b">
        <f aca="false">IF(대여내역!$A358="",FALSE(),OR(대여내역!$L358="미반납",대여내역!$L358="부분반납"))</f>
        <v>0</v>
      </c>
      <c r="L361" s="6" t="str">
        <f aca="false">IF($K361=FALSE(),"",COUNTIF($K$6:$K361,TRUE()))</f>
        <v/>
      </c>
      <c r="M361" s="6" t="str">
        <f aca="false">IF($L361="","","R"&amp;$L361)</f>
        <v/>
      </c>
    </row>
    <row r="362" customFormat="false" ht="15" hidden="false" customHeight="false" outlineLevel="0" collapsed="false">
      <c r="K362" s="26" t="b">
        <f aca="false">IF(대여내역!$A359="",FALSE(),OR(대여내역!$L359="미반납",대여내역!$L359="부분반납"))</f>
        <v>0</v>
      </c>
      <c r="L362" s="6" t="str">
        <f aca="false">IF($K362=FALSE(),"",COUNTIF($K$6:$K362,TRUE()))</f>
        <v/>
      </c>
      <c r="M362" s="6" t="str">
        <f aca="false">IF($L362="","","R"&amp;$L362)</f>
        <v/>
      </c>
    </row>
    <row r="363" customFormat="false" ht="15" hidden="false" customHeight="false" outlineLevel="0" collapsed="false">
      <c r="K363" s="26" t="b">
        <f aca="false">IF(대여내역!$A360="",FALSE(),OR(대여내역!$L360="미반납",대여내역!$L360="부분반납"))</f>
        <v>0</v>
      </c>
      <c r="L363" s="6" t="str">
        <f aca="false">IF($K363=FALSE(),"",COUNTIF($K$6:$K363,TRUE()))</f>
        <v/>
      </c>
      <c r="M363" s="6" t="str">
        <f aca="false">IF($L363="","","R"&amp;$L363)</f>
        <v/>
      </c>
    </row>
    <row r="364" customFormat="false" ht="15" hidden="false" customHeight="false" outlineLevel="0" collapsed="false">
      <c r="K364" s="26" t="b">
        <f aca="false">IF(대여내역!$A361="",FALSE(),OR(대여내역!$L361="미반납",대여내역!$L361="부분반납"))</f>
        <v>0</v>
      </c>
      <c r="L364" s="6" t="str">
        <f aca="false">IF($K364=FALSE(),"",COUNTIF($K$6:$K364,TRUE()))</f>
        <v/>
      </c>
      <c r="M364" s="6" t="str">
        <f aca="false">IF($L364="","","R"&amp;$L364)</f>
        <v/>
      </c>
    </row>
    <row r="365" customFormat="false" ht="15" hidden="false" customHeight="false" outlineLevel="0" collapsed="false">
      <c r="K365" s="26" t="b">
        <f aca="false">IF(대여내역!$A362="",FALSE(),OR(대여내역!$L362="미반납",대여내역!$L362="부분반납"))</f>
        <v>0</v>
      </c>
      <c r="L365" s="6" t="str">
        <f aca="false">IF($K365=FALSE(),"",COUNTIF($K$6:$K365,TRUE()))</f>
        <v/>
      </c>
      <c r="M365" s="6" t="str">
        <f aca="false">IF($L365="","","R"&amp;$L365)</f>
        <v/>
      </c>
    </row>
    <row r="366" customFormat="false" ht="15" hidden="false" customHeight="false" outlineLevel="0" collapsed="false">
      <c r="K366" s="26" t="b">
        <f aca="false">IF(대여내역!$A363="",FALSE(),OR(대여내역!$L363="미반납",대여내역!$L363="부분반납"))</f>
        <v>0</v>
      </c>
      <c r="L366" s="6" t="str">
        <f aca="false">IF($K366=FALSE(),"",COUNTIF($K$6:$K366,TRUE()))</f>
        <v/>
      </c>
      <c r="M366" s="6" t="str">
        <f aca="false">IF($L366="","","R"&amp;$L366)</f>
        <v/>
      </c>
    </row>
    <row r="367" customFormat="false" ht="15" hidden="false" customHeight="false" outlineLevel="0" collapsed="false">
      <c r="K367" s="26" t="b">
        <f aca="false">IF(대여내역!$A364="",FALSE(),OR(대여내역!$L364="미반납",대여내역!$L364="부분반납"))</f>
        <v>0</v>
      </c>
      <c r="L367" s="6" t="str">
        <f aca="false">IF($K367=FALSE(),"",COUNTIF($K$6:$K367,TRUE()))</f>
        <v/>
      </c>
      <c r="M367" s="6" t="str">
        <f aca="false">IF($L367="","","R"&amp;$L367)</f>
        <v/>
      </c>
    </row>
    <row r="368" customFormat="false" ht="15" hidden="false" customHeight="false" outlineLevel="0" collapsed="false">
      <c r="K368" s="26" t="b">
        <f aca="false">IF(대여내역!$A365="",FALSE(),OR(대여내역!$L365="미반납",대여내역!$L365="부분반납"))</f>
        <v>0</v>
      </c>
      <c r="L368" s="6" t="str">
        <f aca="false">IF($K368=FALSE(),"",COUNTIF($K$6:$K368,TRUE()))</f>
        <v/>
      </c>
      <c r="M368" s="6" t="str">
        <f aca="false">IF($L368="","","R"&amp;$L368)</f>
        <v/>
      </c>
    </row>
    <row r="369" customFormat="false" ht="15" hidden="false" customHeight="false" outlineLevel="0" collapsed="false">
      <c r="K369" s="26" t="b">
        <f aca="false">IF(대여내역!$A366="",FALSE(),OR(대여내역!$L366="미반납",대여내역!$L366="부분반납"))</f>
        <v>0</v>
      </c>
      <c r="L369" s="6" t="str">
        <f aca="false">IF($K369=FALSE(),"",COUNTIF($K$6:$K369,TRUE()))</f>
        <v/>
      </c>
      <c r="M369" s="6" t="str">
        <f aca="false">IF($L369="","","R"&amp;$L369)</f>
        <v/>
      </c>
    </row>
    <row r="370" customFormat="false" ht="15" hidden="false" customHeight="false" outlineLevel="0" collapsed="false">
      <c r="K370" s="26" t="b">
        <f aca="false">IF(대여내역!$A367="",FALSE(),OR(대여내역!$L367="미반납",대여내역!$L367="부분반납"))</f>
        <v>0</v>
      </c>
      <c r="L370" s="6" t="str">
        <f aca="false">IF($K370=FALSE(),"",COUNTIF($K$6:$K370,TRUE()))</f>
        <v/>
      </c>
      <c r="M370" s="6" t="str">
        <f aca="false">IF($L370="","","R"&amp;$L370)</f>
        <v/>
      </c>
    </row>
    <row r="371" customFormat="false" ht="15" hidden="false" customHeight="false" outlineLevel="0" collapsed="false">
      <c r="K371" s="26" t="b">
        <f aca="false">IF(대여내역!$A368="",FALSE(),OR(대여내역!$L368="미반납",대여내역!$L368="부분반납"))</f>
        <v>0</v>
      </c>
      <c r="L371" s="6" t="str">
        <f aca="false">IF($K371=FALSE(),"",COUNTIF($K$6:$K371,TRUE()))</f>
        <v/>
      </c>
      <c r="M371" s="6" t="str">
        <f aca="false">IF($L371="","","R"&amp;$L371)</f>
        <v/>
      </c>
    </row>
    <row r="372" customFormat="false" ht="15" hidden="false" customHeight="false" outlineLevel="0" collapsed="false">
      <c r="K372" s="26" t="b">
        <f aca="false">IF(대여내역!$A369="",FALSE(),OR(대여내역!$L369="미반납",대여내역!$L369="부분반납"))</f>
        <v>0</v>
      </c>
      <c r="L372" s="6" t="str">
        <f aca="false">IF($K372=FALSE(),"",COUNTIF($K$6:$K372,TRUE()))</f>
        <v/>
      </c>
      <c r="M372" s="6" t="str">
        <f aca="false">IF($L372="","","R"&amp;$L372)</f>
        <v/>
      </c>
    </row>
    <row r="373" customFormat="false" ht="15" hidden="false" customHeight="false" outlineLevel="0" collapsed="false">
      <c r="K373" s="26" t="b">
        <f aca="false">IF(대여내역!$A370="",FALSE(),OR(대여내역!$L370="미반납",대여내역!$L370="부분반납"))</f>
        <v>0</v>
      </c>
      <c r="L373" s="6" t="str">
        <f aca="false">IF($K373=FALSE(),"",COUNTIF($K$6:$K373,TRUE()))</f>
        <v/>
      </c>
      <c r="M373" s="6" t="str">
        <f aca="false">IF($L373="","","R"&amp;$L373)</f>
        <v/>
      </c>
    </row>
    <row r="374" customFormat="false" ht="15" hidden="false" customHeight="false" outlineLevel="0" collapsed="false">
      <c r="K374" s="26" t="b">
        <f aca="false">IF(대여내역!$A371="",FALSE(),OR(대여내역!$L371="미반납",대여내역!$L371="부분반납"))</f>
        <v>0</v>
      </c>
      <c r="L374" s="6" t="str">
        <f aca="false">IF($K374=FALSE(),"",COUNTIF($K$6:$K374,TRUE()))</f>
        <v/>
      </c>
      <c r="M374" s="6" t="str">
        <f aca="false">IF($L374="","","R"&amp;$L374)</f>
        <v/>
      </c>
    </row>
    <row r="375" customFormat="false" ht="15" hidden="false" customHeight="false" outlineLevel="0" collapsed="false">
      <c r="K375" s="26" t="b">
        <f aca="false">IF(대여내역!$A372="",FALSE(),OR(대여내역!$L372="미반납",대여내역!$L372="부분반납"))</f>
        <v>0</v>
      </c>
      <c r="L375" s="6" t="str">
        <f aca="false">IF($K375=FALSE(),"",COUNTIF($K$6:$K375,TRUE()))</f>
        <v/>
      </c>
      <c r="M375" s="6" t="str">
        <f aca="false">IF($L375="","","R"&amp;$L375)</f>
        <v/>
      </c>
    </row>
    <row r="376" customFormat="false" ht="15" hidden="false" customHeight="false" outlineLevel="0" collapsed="false">
      <c r="K376" s="26" t="b">
        <f aca="false">IF(대여내역!$A373="",FALSE(),OR(대여내역!$L373="미반납",대여내역!$L373="부분반납"))</f>
        <v>0</v>
      </c>
      <c r="L376" s="6" t="str">
        <f aca="false">IF($K376=FALSE(),"",COUNTIF($K$6:$K376,TRUE()))</f>
        <v/>
      </c>
      <c r="M376" s="6" t="str">
        <f aca="false">IF($L376="","","R"&amp;$L376)</f>
        <v/>
      </c>
    </row>
    <row r="377" customFormat="false" ht="15" hidden="false" customHeight="false" outlineLevel="0" collapsed="false">
      <c r="K377" s="26" t="b">
        <f aca="false">IF(대여내역!$A374="",FALSE(),OR(대여내역!$L374="미반납",대여내역!$L374="부분반납"))</f>
        <v>0</v>
      </c>
      <c r="L377" s="6" t="str">
        <f aca="false">IF($K377=FALSE(),"",COUNTIF($K$6:$K377,TRUE()))</f>
        <v/>
      </c>
      <c r="M377" s="6" t="str">
        <f aca="false">IF($L377="","","R"&amp;$L377)</f>
        <v/>
      </c>
    </row>
    <row r="378" customFormat="false" ht="15" hidden="false" customHeight="false" outlineLevel="0" collapsed="false">
      <c r="K378" s="26" t="b">
        <f aca="false">IF(대여내역!$A375="",FALSE(),OR(대여내역!$L375="미반납",대여내역!$L375="부분반납"))</f>
        <v>0</v>
      </c>
      <c r="L378" s="6" t="str">
        <f aca="false">IF($K378=FALSE(),"",COUNTIF($K$6:$K378,TRUE()))</f>
        <v/>
      </c>
      <c r="M378" s="6" t="str">
        <f aca="false">IF($L378="","","R"&amp;$L378)</f>
        <v/>
      </c>
    </row>
    <row r="379" customFormat="false" ht="15" hidden="false" customHeight="false" outlineLevel="0" collapsed="false">
      <c r="K379" s="26" t="b">
        <f aca="false">IF(대여내역!$A376="",FALSE(),OR(대여내역!$L376="미반납",대여내역!$L376="부분반납"))</f>
        <v>0</v>
      </c>
      <c r="L379" s="6" t="str">
        <f aca="false">IF($K379=FALSE(),"",COUNTIF($K$6:$K379,TRUE()))</f>
        <v/>
      </c>
      <c r="M379" s="6" t="str">
        <f aca="false">IF($L379="","","R"&amp;$L379)</f>
        <v/>
      </c>
    </row>
    <row r="380" customFormat="false" ht="15" hidden="false" customHeight="false" outlineLevel="0" collapsed="false">
      <c r="K380" s="26" t="b">
        <f aca="false">IF(대여내역!$A377="",FALSE(),OR(대여내역!$L377="미반납",대여내역!$L377="부분반납"))</f>
        <v>0</v>
      </c>
      <c r="L380" s="6" t="str">
        <f aca="false">IF($K380=FALSE(),"",COUNTIF($K$6:$K380,TRUE()))</f>
        <v/>
      </c>
      <c r="M380" s="6" t="str">
        <f aca="false">IF($L380="","","R"&amp;$L380)</f>
        <v/>
      </c>
    </row>
    <row r="381" customFormat="false" ht="15" hidden="false" customHeight="false" outlineLevel="0" collapsed="false">
      <c r="K381" s="26" t="b">
        <f aca="false">IF(대여내역!$A378="",FALSE(),OR(대여내역!$L378="미반납",대여내역!$L378="부분반납"))</f>
        <v>0</v>
      </c>
      <c r="L381" s="6" t="str">
        <f aca="false">IF($K381=FALSE(),"",COUNTIF($K$6:$K381,TRUE()))</f>
        <v/>
      </c>
      <c r="M381" s="6" t="str">
        <f aca="false">IF($L381="","","R"&amp;$L381)</f>
        <v/>
      </c>
    </row>
    <row r="382" customFormat="false" ht="15" hidden="false" customHeight="false" outlineLevel="0" collapsed="false">
      <c r="K382" s="26" t="b">
        <f aca="false">IF(대여내역!$A379="",FALSE(),OR(대여내역!$L379="미반납",대여내역!$L379="부분반납"))</f>
        <v>0</v>
      </c>
      <c r="L382" s="6" t="str">
        <f aca="false">IF($K382=FALSE(),"",COUNTIF($K$6:$K382,TRUE()))</f>
        <v/>
      </c>
      <c r="M382" s="6" t="str">
        <f aca="false">IF($L382="","","R"&amp;$L382)</f>
        <v/>
      </c>
    </row>
    <row r="383" customFormat="false" ht="15" hidden="false" customHeight="false" outlineLevel="0" collapsed="false">
      <c r="K383" s="26" t="b">
        <f aca="false">IF(대여내역!$A380="",FALSE(),OR(대여내역!$L380="미반납",대여내역!$L380="부분반납"))</f>
        <v>0</v>
      </c>
      <c r="L383" s="6" t="str">
        <f aca="false">IF($K383=FALSE(),"",COUNTIF($K$6:$K383,TRUE()))</f>
        <v/>
      </c>
      <c r="M383" s="6" t="str">
        <f aca="false">IF($L383="","","R"&amp;$L383)</f>
        <v/>
      </c>
    </row>
    <row r="384" customFormat="false" ht="15" hidden="false" customHeight="false" outlineLevel="0" collapsed="false">
      <c r="K384" s="26" t="b">
        <f aca="false">IF(대여내역!$A381="",FALSE(),OR(대여내역!$L381="미반납",대여내역!$L381="부분반납"))</f>
        <v>0</v>
      </c>
      <c r="L384" s="6" t="str">
        <f aca="false">IF($K384=FALSE(),"",COUNTIF($K$6:$K384,TRUE()))</f>
        <v/>
      </c>
      <c r="M384" s="6" t="str">
        <f aca="false">IF($L384="","","R"&amp;$L384)</f>
        <v/>
      </c>
    </row>
    <row r="385" customFormat="false" ht="15" hidden="false" customHeight="false" outlineLevel="0" collapsed="false">
      <c r="K385" s="26" t="b">
        <f aca="false">IF(대여내역!$A382="",FALSE(),OR(대여내역!$L382="미반납",대여내역!$L382="부분반납"))</f>
        <v>0</v>
      </c>
      <c r="L385" s="6" t="str">
        <f aca="false">IF($K385=FALSE(),"",COUNTIF($K$6:$K385,TRUE()))</f>
        <v/>
      </c>
      <c r="M385" s="6" t="str">
        <f aca="false">IF($L385="","","R"&amp;$L385)</f>
        <v/>
      </c>
    </row>
    <row r="386" customFormat="false" ht="15" hidden="false" customHeight="false" outlineLevel="0" collapsed="false">
      <c r="K386" s="26" t="b">
        <f aca="false">IF(대여내역!$A383="",FALSE(),OR(대여내역!$L383="미반납",대여내역!$L383="부분반납"))</f>
        <v>0</v>
      </c>
      <c r="L386" s="6" t="str">
        <f aca="false">IF($K386=FALSE(),"",COUNTIF($K$6:$K386,TRUE()))</f>
        <v/>
      </c>
      <c r="M386" s="6" t="str">
        <f aca="false">IF($L386="","","R"&amp;$L386)</f>
        <v/>
      </c>
    </row>
    <row r="387" customFormat="false" ht="15" hidden="false" customHeight="false" outlineLevel="0" collapsed="false">
      <c r="K387" s="26" t="b">
        <f aca="false">IF(대여내역!$A384="",FALSE(),OR(대여내역!$L384="미반납",대여내역!$L384="부분반납"))</f>
        <v>0</v>
      </c>
      <c r="L387" s="6" t="str">
        <f aca="false">IF($K387=FALSE(),"",COUNTIF($K$6:$K387,TRUE()))</f>
        <v/>
      </c>
      <c r="M387" s="6" t="str">
        <f aca="false">IF($L387="","","R"&amp;$L387)</f>
        <v/>
      </c>
    </row>
    <row r="388" customFormat="false" ht="15" hidden="false" customHeight="false" outlineLevel="0" collapsed="false">
      <c r="K388" s="26" t="b">
        <f aca="false">IF(대여내역!$A385="",FALSE(),OR(대여내역!$L385="미반납",대여내역!$L385="부분반납"))</f>
        <v>0</v>
      </c>
      <c r="L388" s="6" t="str">
        <f aca="false">IF($K388=FALSE(),"",COUNTIF($K$6:$K388,TRUE()))</f>
        <v/>
      </c>
      <c r="M388" s="6" t="str">
        <f aca="false">IF($L388="","","R"&amp;$L388)</f>
        <v/>
      </c>
    </row>
    <row r="389" customFormat="false" ht="15" hidden="false" customHeight="false" outlineLevel="0" collapsed="false">
      <c r="K389" s="26" t="b">
        <f aca="false">IF(대여내역!$A386="",FALSE(),OR(대여내역!$L386="미반납",대여내역!$L386="부분반납"))</f>
        <v>0</v>
      </c>
      <c r="L389" s="6" t="str">
        <f aca="false">IF($K389=FALSE(),"",COUNTIF($K$6:$K389,TRUE()))</f>
        <v/>
      </c>
      <c r="M389" s="6" t="str">
        <f aca="false">IF($L389="","","R"&amp;$L389)</f>
        <v/>
      </c>
    </row>
    <row r="390" customFormat="false" ht="15" hidden="false" customHeight="false" outlineLevel="0" collapsed="false">
      <c r="K390" s="26" t="b">
        <f aca="false">IF(대여내역!$A387="",FALSE(),OR(대여내역!$L387="미반납",대여내역!$L387="부분반납"))</f>
        <v>0</v>
      </c>
      <c r="L390" s="6" t="str">
        <f aca="false">IF($K390=FALSE(),"",COUNTIF($K$6:$K390,TRUE()))</f>
        <v/>
      </c>
      <c r="M390" s="6" t="str">
        <f aca="false">IF($L390="","","R"&amp;$L390)</f>
        <v/>
      </c>
    </row>
    <row r="391" customFormat="false" ht="15" hidden="false" customHeight="false" outlineLevel="0" collapsed="false">
      <c r="K391" s="26" t="b">
        <f aca="false">IF(대여내역!$A388="",FALSE(),OR(대여내역!$L388="미반납",대여내역!$L388="부분반납"))</f>
        <v>0</v>
      </c>
      <c r="L391" s="6" t="str">
        <f aca="false">IF($K391=FALSE(),"",COUNTIF($K$6:$K391,TRUE()))</f>
        <v/>
      </c>
      <c r="M391" s="6" t="str">
        <f aca="false">IF($L391="","","R"&amp;$L391)</f>
        <v/>
      </c>
    </row>
    <row r="392" customFormat="false" ht="15" hidden="false" customHeight="false" outlineLevel="0" collapsed="false">
      <c r="K392" s="26" t="b">
        <f aca="false">IF(대여내역!$A389="",FALSE(),OR(대여내역!$L389="미반납",대여내역!$L389="부분반납"))</f>
        <v>0</v>
      </c>
      <c r="L392" s="6" t="str">
        <f aca="false">IF($K392=FALSE(),"",COUNTIF($K$6:$K392,TRUE()))</f>
        <v/>
      </c>
      <c r="M392" s="6" t="str">
        <f aca="false">IF($L392="","","R"&amp;$L392)</f>
        <v/>
      </c>
    </row>
    <row r="393" customFormat="false" ht="15" hidden="false" customHeight="false" outlineLevel="0" collapsed="false">
      <c r="K393" s="26" t="b">
        <f aca="false">IF(대여내역!$A390="",FALSE(),OR(대여내역!$L390="미반납",대여내역!$L390="부분반납"))</f>
        <v>0</v>
      </c>
      <c r="L393" s="6" t="str">
        <f aca="false">IF($K393=FALSE(),"",COUNTIF($K$6:$K393,TRUE()))</f>
        <v/>
      </c>
      <c r="M393" s="6" t="str">
        <f aca="false">IF($L393="","","R"&amp;$L393)</f>
        <v/>
      </c>
    </row>
    <row r="394" customFormat="false" ht="15" hidden="false" customHeight="false" outlineLevel="0" collapsed="false">
      <c r="K394" s="26" t="b">
        <f aca="false">IF(대여내역!$A391="",FALSE(),OR(대여내역!$L391="미반납",대여내역!$L391="부분반납"))</f>
        <v>0</v>
      </c>
      <c r="L394" s="6" t="str">
        <f aca="false">IF($K394=FALSE(),"",COUNTIF($K$6:$K394,TRUE()))</f>
        <v/>
      </c>
      <c r="M394" s="6" t="str">
        <f aca="false">IF($L394="","","R"&amp;$L394)</f>
        <v/>
      </c>
    </row>
    <row r="395" customFormat="false" ht="15" hidden="false" customHeight="false" outlineLevel="0" collapsed="false">
      <c r="K395" s="26" t="b">
        <f aca="false">IF(대여내역!$A392="",FALSE(),OR(대여내역!$L392="미반납",대여내역!$L392="부분반납"))</f>
        <v>0</v>
      </c>
      <c r="L395" s="6" t="str">
        <f aca="false">IF($K395=FALSE(),"",COUNTIF($K$6:$K395,TRUE()))</f>
        <v/>
      </c>
      <c r="M395" s="6" t="str">
        <f aca="false">IF($L395="","","R"&amp;$L395)</f>
        <v/>
      </c>
    </row>
    <row r="396" customFormat="false" ht="15" hidden="false" customHeight="false" outlineLevel="0" collapsed="false">
      <c r="K396" s="26" t="b">
        <f aca="false">IF(대여내역!$A393="",FALSE(),OR(대여내역!$L393="미반납",대여내역!$L393="부분반납"))</f>
        <v>0</v>
      </c>
      <c r="L396" s="6" t="str">
        <f aca="false">IF($K396=FALSE(),"",COUNTIF($K$6:$K396,TRUE()))</f>
        <v/>
      </c>
      <c r="M396" s="6" t="str">
        <f aca="false">IF($L396="","","R"&amp;$L396)</f>
        <v/>
      </c>
    </row>
    <row r="397" customFormat="false" ht="15" hidden="false" customHeight="false" outlineLevel="0" collapsed="false">
      <c r="K397" s="26" t="b">
        <f aca="false">IF(대여내역!$A394="",FALSE(),OR(대여내역!$L394="미반납",대여내역!$L394="부분반납"))</f>
        <v>0</v>
      </c>
      <c r="L397" s="6" t="str">
        <f aca="false">IF($K397=FALSE(),"",COUNTIF($K$6:$K397,TRUE()))</f>
        <v/>
      </c>
      <c r="M397" s="6" t="str">
        <f aca="false">IF($L397="","","R"&amp;$L397)</f>
        <v/>
      </c>
    </row>
    <row r="398" customFormat="false" ht="15" hidden="false" customHeight="false" outlineLevel="0" collapsed="false">
      <c r="K398" s="26" t="b">
        <f aca="false">IF(대여내역!$A395="",FALSE(),OR(대여내역!$L395="미반납",대여내역!$L395="부분반납"))</f>
        <v>0</v>
      </c>
      <c r="L398" s="6" t="str">
        <f aca="false">IF($K398=FALSE(),"",COUNTIF($K$6:$K398,TRUE()))</f>
        <v/>
      </c>
      <c r="M398" s="6" t="str">
        <f aca="false">IF($L398="","","R"&amp;$L398)</f>
        <v/>
      </c>
    </row>
    <row r="399" customFormat="false" ht="15" hidden="false" customHeight="false" outlineLevel="0" collapsed="false">
      <c r="K399" s="26" t="b">
        <f aca="false">IF(대여내역!$A396="",FALSE(),OR(대여내역!$L396="미반납",대여내역!$L396="부분반납"))</f>
        <v>0</v>
      </c>
      <c r="L399" s="6" t="str">
        <f aca="false">IF($K399=FALSE(),"",COUNTIF($K$6:$K399,TRUE()))</f>
        <v/>
      </c>
      <c r="M399" s="6" t="str">
        <f aca="false">IF($L399="","","R"&amp;$L399)</f>
        <v/>
      </c>
    </row>
    <row r="400" customFormat="false" ht="15" hidden="false" customHeight="false" outlineLevel="0" collapsed="false">
      <c r="K400" s="26" t="b">
        <f aca="false">IF(대여내역!$A397="",FALSE(),OR(대여내역!$L397="미반납",대여내역!$L397="부분반납"))</f>
        <v>0</v>
      </c>
      <c r="L400" s="6" t="str">
        <f aca="false">IF($K400=FALSE(),"",COUNTIF($K$6:$K400,TRUE()))</f>
        <v/>
      </c>
      <c r="M400" s="6" t="str">
        <f aca="false">IF($L400="","","R"&amp;$L400)</f>
        <v/>
      </c>
    </row>
    <row r="401" customFormat="false" ht="15" hidden="false" customHeight="false" outlineLevel="0" collapsed="false">
      <c r="K401" s="26" t="b">
        <f aca="false">IF(대여내역!$A398="",FALSE(),OR(대여내역!$L398="미반납",대여내역!$L398="부분반납"))</f>
        <v>0</v>
      </c>
      <c r="L401" s="6" t="str">
        <f aca="false">IF($K401=FALSE(),"",COUNTIF($K$6:$K401,TRUE()))</f>
        <v/>
      </c>
      <c r="M401" s="6" t="str">
        <f aca="false">IF($L401="","","R"&amp;$L401)</f>
        <v/>
      </c>
    </row>
    <row r="402" customFormat="false" ht="15" hidden="false" customHeight="false" outlineLevel="0" collapsed="false">
      <c r="K402" s="26" t="b">
        <f aca="false">IF(대여내역!$A399="",FALSE(),OR(대여내역!$L399="미반납",대여내역!$L399="부분반납"))</f>
        <v>0</v>
      </c>
      <c r="L402" s="6" t="str">
        <f aca="false">IF($K402=FALSE(),"",COUNTIF($K$6:$K402,TRUE()))</f>
        <v/>
      </c>
      <c r="M402" s="6" t="str">
        <f aca="false">IF($L402="","","R"&amp;$L402)</f>
        <v/>
      </c>
    </row>
    <row r="403" customFormat="false" ht="15" hidden="false" customHeight="false" outlineLevel="0" collapsed="false">
      <c r="K403" s="26" t="b">
        <f aca="false">IF(대여내역!$A400="",FALSE(),OR(대여내역!$L400="미반납",대여내역!$L400="부분반납"))</f>
        <v>0</v>
      </c>
      <c r="L403" s="6" t="str">
        <f aca="false">IF($K403=FALSE(),"",COUNTIF($K$6:$K403,TRUE()))</f>
        <v/>
      </c>
      <c r="M403" s="6" t="str">
        <f aca="false">IF($L403="","","R"&amp;$L403)</f>
        <v/>
      </c>
    </row>
    <row r="404" customFormat="false" ht="15" hidden="false" customHeight="false" outlineLevel="0" collapsed="false">
      <c r="K404" s="26" t="b">
        <f aca="false">IF(대여내역!$A401="",FALSE(),OR(대여내역!$L401="미반납",대여내역!$L401="부분반납"))</f>
        <v>0</v>
      </c>
      <c r="L404" s="6" t="str">
        <f aca="false">IF($K404=FALSE(),"",COUNTIF($K$6:$K404,TRUE()))</f>
        <v/>
      </c>
      <c r="M404" s="6" t="str">
        <f aca="false">IF($L404="","","R"&amp;$L404)</f>
        <v/>
      </c>
    </row>
    <row r="405" customFormat="false" ht="15" hidden="false" customHeight="false" outlineLevel="0" collapsed="false">
      <c r="K405" s="26" t="b">
        <f aca="false">IF(대여내역!$A402="",FALSE(),OR(대여내역!$L402="미반납",대여내역!$L402="부분반납"))</f>
        <v>0</v>
      </c>
      <c r="L405" s="6" t="str">
        <f aca="false">IF($K405=FALSE(),"",COUNTIF($K$6:$K405,TRUE()))</f>
        <v/>
      </c>
      <c r="M405" s="6" t="str">
        <f aca="false">IF($L405="","","R"&amp;$L405)</f>
        <v/>
      </c>
    </row>
    <row r="406" customFormat="false" ht="15" hidden="false" customHeight="false" outlineLevel="0" collapsed="false">
      <c r="K406" s="26" t="b">
        <f aca="false">IF(대여내역!$A403="",FALSE(),OR(대여내역!$L403="미반납",대여내역!$L403="부분반납"))</f>
        <v>0</v>
      </c>
      <c r="L406" s="6" t="str">
        <f aca="false">IF($K406=FALSE(),"",COUNTIF($K$6:$K406,TRUE()))</f>
        <v/>
      </c>
      <c r="M406" s="6" t="str">
        <f aca="false">IF($L406="","","R"&amp;$L406)</f>
        <v/>
      </c>
    </row>
    <row r="407" customFormat="false" ht="15" hidden="false" customHeight="false" outlineLevel="0" collapsed="false">
      <c r="K407" s="26" t="b">
        <f aca="false">IF(대여내역!$A404="",FALSE(),OR(대여내역!$L404="미반납",대여내역!$L404="부분반납"))</f>
        <v>0</v>
      </c>
      <c r="L407" s="6" t="str">
        <f aca="false">IF($K407=FALSE(),"",COUNTIF($K$6:$K407,TRUE()))</f>
        <v/>
      </c>
      <c r="M407" s="6" t="str">
        <f aca="false">IF($L407="","","R"&amp;$L407)</f>
        <v/>
      </c>
    </row>
    <row r="408" customFormat="false" ht="15" hidden="false" customHeight="false" outlineLevel="0" collapsed="false">
      <c r="K408" s="26" t="b">
        <f aca="false">IF(대여내역!$A405="",FALSE(),OR(대여내역!$L405="미반납",대여내역!$L405="부분반납"))</f>
        <v>0</v>
      </c>
      <c r="L408" s="6" t="str">
        <f aca="false">IF($K408=FALSE(),"",COUNTIF($K$6:$K408,TRUE()))</f>
        <v/>
      </c>
      <c r="M408" s="6" t="str">
        <f aca="false">IF($L408="","","R"&amp;$L408)</f>
        <v/>
      </c>
    </row>
    <row r="409" customFormat="false" ht="15" hidden="false" customHeight="false" outlineLevel="0" collapsed="false">
      <c r="K409" s="26" t="b">
        <f aca="false">IF(대여내역!$A406="",FALSE(),OR(대여내역!$L406="미반납",대여내역!$L406="부분반납"))</f>
        <v>0</v>
      </c>
      <c r="L409" s="6" t="str">
        <f aca="false">IF($K409=FALSE(),"",COUNTIF($K$6:$K409,TRUE()))</f>
        <v/>
      </c>
      <c r="M409" s="6" t="str">
        <f aca="false">IF($L409="","","R"&amp;$L409)</f>
        <v/>
      </c>
    </row>
    <row r="410" customFormat="false" ht="15" hidden="false" customHeight="false" outlineLevel="0" collapsed="false">
      <c r="K410" s="26" t="b">
        <f aca="false">IF(대여내역!$A407="",FALSE(),OR(대여내역!$L407="미반납",대여내역!$L407="부분반납"))</f>
        <v>0</v>
      </c>
      <c r="L410" s="6" t="str">
        <f aca="false">IF($K410=FALSE(),"",COUNTIF($K$6:$K410,TRUE()))</f>
        <v/>
      </c>
      <c r="M410" s="6" t="str">
        <f aca="false">IF($L410="","","R"&amp;$L410)</f>
        <v/>
      </c>
    </row>
    <row r="411" customFormat="false" ht="15" hidden="false" customHeight="false" outlineLevel="0" collapsed="false">
      <c r="K411" s="26" t="b">
        <f aca="false">IF(대여내역!$A408="",FALSE(),OR(대여내역!$L408="미반납",대여내역!$L408="부분반납"))</f>
        <v>0</v>
      </c>
      <c r="L411" s="6" t="str">
        <f aca="false">IF($K411=FALSE(),"",COUNTIF($K$6:$K411,TRUE()))</f>
        <v/>
      </c>
      <c r="M411" s="6" t="str">
        <f aca="false">IF($L411="","","R"&amp;$L411)</f>
        <v/>
      </c>
    </row>
    <row r="412" customFormat="false" ht="15" hidden="false" customHeight="false" outlineLevel="0" collapsed="false">
      <c r="K412" s="26" t="b">
        <f aca="false">IF(대여내역!$A409="",FALSE(),OR(대여내역!$L409="미반납",대여내역!$L409="부분반납"))</f>
        <v>0</v>
      </c>
      <c r="L412" s="6" t="str">
        <f aca="false">IF($K412=FALSE(),"",COUNTIF($K$6:$K412,TRUE()))</f>
        <v/>
      </c>
      <c r="M412" s="6" t="str">
        <f aca="false">IF($L412="","","R"&amp;$L412)</f>
        <v/>
      </c>
    </row>
    <row r="413" customFormat="false" ht="15" hidden="false" customHeight="false" outlineLevel="0" collapsed="false">
      <c r="K413" s="26" t="b">
        <f aca="false">IF(대여내역!$A410="",FALSE(),OR(대여내역!$L410="미반납",대여내역!$L410="부분반납"))</f>
        <v>0</v>
      </c>
      <c r="L413" s="6" t="str">
        <f aca="false">IF($K413=FALSE(),"",COUNTIF($K$6:$K413,TRUE()))</f>
        <v/>
      </c>
      <c r="M413" s="6" t="str">
        <f aca="false">IF($L413="","","R"&amp;$L413)</f>
        <v/>
      </c>
    </row>
    <row r="414" customFormat="false" ht="15" hidden="false" customHeight="false" outlineLevel="0" collapsed="false">
      <c r="K414" s="26" t="b">
        <f aca="false">IF(대여내역!$A411="",FALSE(),OR(대여내역!$L411="미반납",대여내역!$L411="부분반납"))</f>
        <v>0</v>
      </c>
      <c r="L414" s="6" t="str">
        <f aca="false">IF($K414=FALSE(),"",COUNTIF($K$6:$K414,TRUE()))</f>
        <v/>
      </c>
      <c r="M414" s="6" t="str">
        <f aca="false">IF($L414="","","R"&amp;$L414)</f>
        <v/>
      </c>
    </row>
    <row r="415" customFormat="false" ht="15" hidden="false" customHeight="false" outlineLevel="0" collapsed="false">
      <c r="K415" s="26" t="b">
        <f aca="false">IF(대여내역!$A412="",FALSE(),OR(대여내역!$L412="미반납",대여내역!$L412="부분반납"))</f>
        <v>0</v>
      </c>
      <c r="L415" s="6" t="str">
        <f aca="false">IF($K415=FALSE(),"",COUNTIF($K$6:$K415,TRUE()))</f>
        <v/>
      </c>
      <c r="M415" s="6" t="str">
        <f aca="false">IF($L415="","","R"&amp;$L415)</f>
        <v/>
      </c>
    </row>
    <row r="416" customFormat="false" ht="15" hidden="false" customHeight="false" outlineLevel="0" collapsed="false">
      <c r="K416" s="26" t="b">
        <f aca="false">IF(대여내역!$A413="",FALSE(),OR(대여내역!$L413="미반납",대여내역!$L413="부분반납"))</f>
        <v>0</v>
      </c>
      <c r="L416" s="6" t="str">
        <f aca="false">IF($K416=FALSE(),"",COUNTIF($K$6:$K416,TRUE()))</f>
        <v/>
      </c>
      <c r="M416" s="6" t="str">
        <f aca="false">IF($L416="","","R"&amp;$L416)</f>
        <v/>
      </c>
    </row>
    <row r="417" customFormat="false" ht="15" hidden="false" customHeight="false" outlineLevel="0" collapsed="false">
      <c r="K417" s="26" t="b">
        <f aca="false">IF(대여내역!$A414="",FALSE(),OR(대여내역!$L414="미반납",대여내역!$L414="부분반납"))</f>
        <v>0</v>
      </c>
      <c r="L417" s="6" t="str">
        <f aca="false">IF($K417=FALSE(),"",COUNTIF($K$6:$K417,TRUE()))</f>
        <v/>
      </c>
      <c r="M417" s="6" t="str">
        <f aca="false">IF($L417="","","R"&amp;$L417)</f>
        <v/>
      </c>
    </row>
    <row r="418" customFormat="false" ht="15" hidden="false" customHeight="false" outlineLevel="0" collapsed="false">
      <c r="K418" s="26" t="b">
        <f aca="false">IF(대여내역!$A415="",FALSE(),OR(대여내역!$L415="미반납",대여내역!$L415="부분반납"))</f>
        <v>0</v>
      </c>
      <c r="L418" s="6" t="str">
        <f aca="false">IF($K418=FALSE(),"",COUNTIF($K$6:$K418,TRUE()))</f>
        <v/>
      </c>
      <c r="M418" s="6" t="str">
        <f aca="false">IF($L418="","","R"&amp;$L418)</f>
        <v/>
      </c>
    </row>
    <row r="419" customFormat="false" ht="15" hidden="false" customHeight="false" outlineLevel="0" collapsed="false">
      <c r="K419" s="26" t="b">
        <f aca="false">IF(대여내역!$A416="",FALSE(),OR(대여내역!$L416="미반납",대여내역!$L416="부분반납"))</f>
        <v>0</v>
      </c>
      <c r="L419" s="6" t="str">
        <f aca="false">IF($K419=FALSE(),"",COUNTIF($K$6:$K419,TRUE()))</f>
        <v/>
      </c>
      <c r="M419" s="6" t="str">
        <f aca="false">IF($L419="","","R"&amp;$L419)</f>
        <v/>
      </c>
    </row>
    <row r="420" customFormat="false" ht="15" hidden="false" customHeight="false" outlineLevel="0" collapsed="false">
      <c r="K420" s="26" t="b">
        <f aca="false">IF(대여내역!$A417="",FALSE(),OR(대여내역!$L417="미반납",대여내역!$L417="부분반납"))</f>
        <v>0</v>
      </c>
      <c r="L420" s="6" t="str">
        <f aca="false">IF($K420=FALSE(),"",COUNTIF($K$6:$K420,TRUE()))</f>
        <v/>
      </c>
      <c r="M420" s="6" t="str">
        <f aca="false">IF($L420="","","R"&amp;$L420)</f>
        <v/>
      </c>
    </row>
    <row r="421" customFormat="false" ht="15" hidden="false" customHeight="false" outlineLevel="0" collapsed="false">
      <c r="K421" s="26" t="b">
        <f aca="false">IF(대여내역!$A418="",FALSE(),OR(대여내역!$L418="미반납",대여내역!$L418="부분반납"))</f>
        <v>0</v>
      </c>
      <c r="L421" s="6" t="str">
        <f aca="false">IF($K421=FALSE(),"",COUNTIF($K$6:$K421,TRUE()))</f>
        <v/>
      </c>
      <c r="M421" s="6" t="str">
        <f aca="false">IF($L421="","","R"&amp;$L421)</f>
        <v/>
      </c>
    </row>
    <row r="422" customFormat="false" ht="15" hidden="false" customHeight="false" outlineLevel="0" collapsed="false">
      <c r="K422" s="26" t="b">
        <f aca="false">IF(대여내역!$A419="",FALSE(),OR(대여내역!$L419="미반납",대여내역!$L419="부분반납"))</f>
        <v>0</v>
      </c>
      <c r="L422" s="6" t="str">
        <f aca="false">IF($K422=FALSE(),"",COUNTIF($K$6:$K422,TRUE()))</f>
        <v/>
      </c>
      <c r="M422" s="6" t="str">
        <f aca="false">IF($L422="","","R"&amp;$L422)</f>
        <v/>
      </c>
    </row>
    <row r="423" customFormat="false" ht="15" hidden="false" customHeight="false" outlineLevel="0" collapsed="false">
      <c r="K423" s="26" t="b">
        <f aca="false">IF(대여내역!$A420="",FALSE(),OR(대여내역!$L420="미반납",대여내역!$L420="부분반납"))</f>
        <v>0</v>
      </c>
      <c r="L423" s="6" t="str">
        <f aca="false">IF($K423=FALSE(),"",COUNTIF($K$6:$K423,TRUE()))</f>
        <v/>
      </c>
      <c r="M423" s="6" t="str">
        <f aca="false">IF($L423="","","R"&amp;$L423)</f>
        <v/>
      </c>
    </row>
    <row r="424" customFormat="false" ht="15" hidden="false" customHeight="false" outlineLevel="0" collapsed="false">
      <c r="K424" s="26" t="b">
        <f aca="false">IF(대여내역!$A421="",FALSE(),OR(대여내역!$L421="미반납",대여내역!$L421="부분반납"))</f>
        <v>0</v>
      </c>
      <c r="L424" s="6" t="str">
        <f aca="false">IF($K424=FALSE(),"",COUNTIF($K$6:$K424,TRUE()))</f>
        <v/>
      </c>
      <c r="M424" s="6" t="str">
        <f aca="false">IF($L424="","","R"&amp;$L424)</f>
        <v/>
      </c>
    </row>
    <row r="425" customFormat="false" ht="15" hidden="false" customHeight="false" outlineLevel="0" collapsed="false">
      <c r="K425" s="26" t="b">
        <f aca="false">IF(대여내역!$A422="",FALSE(),OR(대여내역!$L422="미반납",대여내역!$L422="부분반납"))</f>
        <v>0</v>
      </c>
      <c r="L425" s="6" t="str">
        <f aca="false">IF($K425=FALSE(),"",COUNTIF($K$6:$K425,TRUE()))</f>
        <v/>
      </c>
      <c r="M425" s="6" t="str">
        <f aca="false">IF($L425="","","R"&amp;$L425)</f>
        <v/>
      </c>
    </row>
    <row r="426" customFormat="false" ht="15" hidden="false" customHeight="false" outlineLevel="0" collapsed="false">
      <c r="K426" s="26" t="b">
        <f aca="false">IF(대여내역!$A423="",FALSE(),OR(대여내역!$L423="미반납",대여내역!$L423="부분반납"))</f>
        <v>0</v>
      </c>
      <c r="L426" s="6" t="str">
        <f aca="false">IF($K426=FALSE(),"",COUNTIF($K$6:$K426,TRUE()))</f>
        <v/>
      </c>
      <c r="M426" s="6" t="str">
        <f aca="false">IF($L426="","","R"&amp;$L426)</f>
        <v/>
      </c>
    </row>
    <row r="427" customFormat="false" ht="15" hidden="false" customHeight="false" outlineLevel="0" collapsed="false">
      <c r="K427" s="26" t="b">
        <f aca="false">IF(대여내역!$A424="",FALSE(),OR(대여내역!$L424="미반납",대여내역!$L424="부분반납"))</f>
        <v>0</v>
      </c>
      <c r="L427" s="6" t="str">
        <f aca="false">IF($K427=FALSE(),"",COUNTIF($K$6:$K427,TRUE()))</f>
        <v/>
      </c>
      <c r="M427" s="6" t="str">
        <f aca="false">IF($L427="","","R"&amp;$L427)</f>
        <v/>
      </c>
    </row>
    <row r="428" customFormat="false" ht="15" hidden="false" customHeight="false" outlineLevel="0" collapsed="false">
      <c r="K428" s="26" t="b">
        <f aca="false">IF(대여내역!$A425="",FALSE(),OR(대여내역!$L425="미반납",대여내역!$L425="부분반납"))</f>
        <v>0</v>
      </c>
      <c r="L428" s="6" t="str">
        <f aca="false">IF($K428=FALSE(),"",COUNTIF($K$6:$K428,TRUE()))</f>
        <v/>
      </c>
      <c r="M428" s="6" t="str">
        <f aca="false">IF($L428="","","R"&amp;$L428)</f>
        <v/>
      </c>
    </row>
    <row r="429" customFormat="false" ht="15" hidden="false" customHeight="false" outlineLevel="0" collapsed="false">
      <c r="K429" s="26" t="b">
        <f aca="false">IF(대여내역!$A426="",FALSE(),OR(대여내역!$L426="미반납",대여내역!$L426="부분반납"))</f>
        <v>0</v>
      </c>
      <c r="L429" s="6" t="str">
        <f aca="false">IF($K429=FALSE(),"",COUNTIF($K$6:$K429,TRUE()))</f>
        <v/>
      </c>
      <c r="M429" s="6" t="str">
        <f aca="false">IF($L429="","","R"&amp;$L429)</f>
        <v/>
      </c>
    </row>
    <row r="430" customFormat="false" ht="15" hidden="false" customHeight="false" outlineLevel="0" collapsed="false">
      <c r="K430" s="26" t="b">
        <f aca="false">IF(대여내역!$A427="",FALSE(),OR(대여내역!$L427="미반납",대여내역!$L427="부분반납"))</f>
        <v>0</v>
      </c>
      <c r="L430" s="6" t="str">
        <f aca="false">IF($K430=FALSE(),"",COUNTIF($K$6:$K430,TRUE()))</f>
        <v/>
      </c>
      <c r="M430" s="6" t="str">
        <f aca="false">IF($L430="","","R"&amp;$L430)</f>
        <v/>
      </c>
    </row>
    <row r="431" customFormat="false" ht="15" hidden="false" customHeight="false" outlineLevel="0" collapsed="false">
      <c r="K431" s="26" t="b">
        <f aca="false">IF(대여내역!$A428="",FALSE(),OR(대여내역!$L428="미반납",대여내역!$L428="부분반납"))</f>
        <v>0</v>
      </c>
      <c r="L431" s="6" t="str">
        <f aca="false">IF($K431=FALSE(),"",COUNTIF($K$6:$K431,TRUE()))</f>
        <v/>
      </c>
      <c r="M431" s="6" t="str">
        <f aca="false">IF($L431="","","R"&amp;$L431)</f>
        <v/>
      </c>
    </row>
    <row r="432" customFormat="false" ht="15" hidden="false" customHeight="false" outlineLevel="0" collapsed="false">
      <c r="K432" s="26" t="b">
        <f aca="false">IF(대여내역!$A429="",FALSE(),OR(대여내역!$L429="미반납",대여내역!$L429="부분반납"))</f>
        <v>0</v>
      </c>
      <c r="L432" s="6" t="str">
        <f aca="false">IF($K432=FALSE(),"",COUNTIF($K$6:$K432,TRUE()))</f>
        <v/>
      </c>
      <c r="M432" s="6" t="str">
        <f aca="false">IF($L432="","","R"&amp;$L432)</f>
        <v/>
      </c>
    </row>
    <row r="433" customFormat="false" ht="15" hidden="false" customHeight="false" outlineLevel="0" collapsed="false">
      <c r="K433" s="26" t="b">
        <f aca="false">IF(대여내역!$A430="",FALSE(),OR(대여내역!$L430="미반납",대여내역!$L430="부분반납"))</f>
        <v>0</v>
      </c>
      <c r="L433" s="6" t="str">
        <f aca="false">IF($K433=FALSE(),"",COUNTIF($K$6:$K433,TRUE()))</f>
        <v/>
      </c>
      <c r="M433" s="6" t="str">
        <f aca="false">IF($L433="","","R"&amp;$L433)</f>
        <v/>
      </c>
    </row>
    <row r="434" customFormat="false" ht="15" hidden="false" customHeight="false" outlineLevel="0" collapsed="false">
      <c r="K434" s="26" t="b">
        <f aca="false">IF(대여내역!$A431="",FALSE(),OR(대여내역!$L431="미반납",대여내역!$L431="부분반납"))</f>
        <v>0</v>
      </c>
      <c r="L434" s="6" t="str">
        <f aca="false">IF($K434=FALSE(),"",COUNTIF($K$6:$K434,TRUE()))</f>
        <v/>
      </c>
      <c r="M434" s="6" t="str">
        <f aca="false">IF($L434="","","R"&amp;$L434)</f>
        <v/>
      </c>
    </row>
    <row r="435" customFormat="false" ht="15" hidden="false" customHeight="false" outlineLevel="0" collapsed="false">
      <c r="K435" s="26" t="b">
        <f aca="false">IF(대여내역!$A432="",FALSE(),OR(대여내역!$L432="미반납",대여내역!$L432="부분반납"))</f>
        <v>0</v>
      </c>
      <c r="L435" s="6" t="str">
        <f aca="false">IF($K435=FALSE(),"",COUNTIF($K$6:$K435,TRUE()))</f>
        <v/>
      </c>
      <c r="M435" s="6" t="str">
        <f aca="false">IF($L435="","","R"&amp;$L435)</f>
        <v/>
      </c>
    </row>
    <row r="436" customFormat="false" ht="15" hidden="false" customHeight="false" outlineLevel="0" collapsed="false">
      <c r="K436" s="26" t="b">
        <f aca="false">IF(대여내역!$A433="",FALSE(),OR(대여내역!$L433="미반납",대여내역!$L433="부분반납"))</f>
        <v>0</v>
      </c>
      <c r="L436" s="6" t="str">
        <f aca="false">IF($K436=FALSE(),"",COUNTIF($K$6:$K436,TRUE()))</f>
        <v/>
      </c>
      <c r="M436" s="6" t="str">
        <f aca="false">IF($L436="","","R"&amp;$L436)</f>
        <v/>
      </c>
    </row>
    <row r="437" customFormat="false" ht="15" hidden="false" customHeight="false" outlineLevel="0" collapsed="false">
      <c r="K437" s="26" t="b">
        <f aca="false">IF(대여내역!$A434="",FALSE(),OR(대여내역!$L434="미반납",대여내역!$L434="부분반납"))</f>
        <v>0</v>
      </c>
      <c r="L437" s="6" t="str">
        <f aca="false">IF($K437=FALSE(),"",COUNTIF($K$6:$K437,TRUE()))</f>
        <v/>
      </c>
      <c r="M437" s="6" t="str">
        <f aca="false">IF($L437="","","R"&amp;$L437)</f>
        <v/>
      </c>
    </row>
    <row r="438" customFormat="false" ht="15" hidden="false" customHeight="false" outlineLevel="0" collapsed="false">
      <c r="K438" s="26" t="b">
        <f aca="false">IF(대여내역!$A435="",FALSE(),OR(대여내역!$L435="미반납",대여내역!$L435="부분반납"))</f>
        <v>0</v>
      </c>
      <c r="L438" s="6" t="str">
        <f aca="false">IF($K438=FALSE(),"",COUNTIF($K$6:$K438,TRUE()))</f>
        <v/>
      </c>
      <c r="M438" s="6" t="str">
        <f aca="false">IF($L438="","","R"&amp;$L438)</f>
        <v/>
      </c>
    </row>
    <row r="439" customFormat="false" ht="15" hidden="false" customHeight="false" outlineLevel="0" collapsed="false">
      <c r="K439" s="26" t="b">
        <f aca="false">IF(대여내역!$A436="",FALSE(),OR(대여내역!$L436="미반납",대여내역!$L436="부분반납"))</f>
        <v>0</v>
      </c>
      <c r="L439" s="6" t="str">
        <f aca="false">IF($K439=FALSE(),"",COUNTIF($K$6:$K439,TRUE()))</f>
        <v/>
      </c>
      <c r="M439" s="6" t="str">
        <f aca="false">IF($L439="","","R"&amp;$L439)</f>
        <v/>
      </c>
    </row>
    <row r="440" customFormat="false" ht="15" hidden="false" customHeight="false" outlineLevel="0" collapsed="false">
      <c r="K440" s="26" t="b">
        <f aca="false">IF(대여내역!$A437="",FALSE(),OR(대여내역!$L437="미반납",대여내역!$L437="부분반납"))</f>
        <v>0</v>
      </c>
      <c r="L440" s="6" t="str">
        <f aca="false">IF($K440=FALSE(),"",COUNTIF($K$6:$K440,TRUE()))</f>
        <v/>
      </c>
      <c r="M440" s="6" t="str">
        <f aca="false">IF($L440="","","R"&amp;$L440)</f>
        <v/>
      </c>
    </row>
    <row r="441" customFormat="false" ht="15" hidden="false" customHeight="false" outlineLevel="0" collapsed="false">
      <c r="K441" s="26" t="b">
        <f aca="false">IF(대여내역!$A438="",FALSE(),OR(대여내역!$L438="미반납",대여내역!$L438="부분반납"))</f>
        <v>0</v>
      </c>
      <c r="L441" s="6" t="str">
        <f aca="false">IF($K441=FALSE(),"",COUNTIF($K$6:$K441,TRUE()))</f>
        <v/>
      </c>
      <c r="M441" s="6" t="str">
        <f aca="false">IF($L441="","","R"&amp;$L441)</f>
        <v/>
      </c>
    </row>
    <row r="442" customFormat="false" ht="15" hidden="false" customHeight="false" outlineLevel="0" collapsed="false">
      <c r="K442" s="26" t="b">
        <f aca="false">IF(대여내역!$A439="",FALSE(),OR(대여내역!$L439="미반납",대여내역!$L439="부분반납"))</f>
        <v>0</v>
      </c>
      <c r="L442" s="6" t="str">
        <f aca="false">IF($K442=FALSE(),"",COUNTIF($K$6:$K442,TRUE()))</f>
        <v/>
      </c>
      <c r="M442" s="6" t="str">
        <f aca="false">IF($L442="","","R"&amp;$L442)</f>
        <v/>
      </c>
    </row>
    <row r="443" customFormat="false" ht="15" hidden="false" customHeight="false" outlineLevel="0" collapsed="false">
      <c r="K443" s="26" t="b">
        <f aca="false">IF(대여내역!$A440="",FALSE(),OR(대여내역!$L440="미반납",대여내역!$L440="부분반납"))</f>
        <v>0</v>
      </c>
      <c r="L443" s="6" t="str">
        <f aca="false">IF($K443=FALSE(),"",COUNTIF($K$6:$K443,TRUE()))</f>
        <v/>
      </c>
      <c r="M443" s="6" t="str">
        <f aca="false">IF($L443="","","R"&amp;$L443)</f>
        <v/>
      </c>
    </row>
    <row r="444" customFormat="false" ht="15" hidden="false" customHeight="false" outlineLevel="0" collapsed="false">
      <c r="K444" s="26" t="b">
        <f aca="false">IF(대여내역!$A441="",FALSE(),OR(대여내역!$L441="미반납",대여내역!$L441="부분반납"))</f>
        <v>0</v>
      </c>
      <c r="L444" s="6" t="str">
        <f aca="false">IF($K444=FALSE(),"",COUNTIF($K$6:$K444,TRUE()))</f>
        <v/>
      </c>
      <c r="M444" s="6" t="str">
        <f aca="false">IF($L444="","","R"&amp;$L444)</f>
        <v/>
      </c>
    </row>
    <row r="445" customFormat="false" ht="15" hidden="false" customHeight="false" outlineLevel="0" collapsed="false">
      <c r="K445" s="26" t="b">
        <f aca="false">IF(대여내역!$A442="",FALSE(),OR(대여내역!$L442="미반납",대여내역!$L442="부분반납"))</f>
        <v>0</v>
      </c>
      <c r="L445" s="6" t="str">
        <f aca="false">IF($K445=FALSE(),"",COUNTIF($K$6:$K445,TRUE()))</f>
        <v/>
      </c>
      <c r="M445" s="6" t="str">
        <f aca="false">IF($L445="","","R"&amp;$L445)</f>
        <v/>
      </c>
    </row>
    <row r="446" customFormat="false" ht="15" hidden="false" customHeight="false" outlineLevel="0" collapsed="false">
      <c r="K446" s="26" t="b">
        <f aca="false">IF(대여내역!$A443="",FALSE(),OR(대여내역!$L443="미반납",대여내역!$L443="부분반납"))</f>
        <v>0</v>
      </c>
      <c r="L446" s="6" t="str">
        <f aca="false">IF($K446=FALSE(),"",COUNTIF($K$6:$K446,TRUE()))</f>
        <v/>
      </c>
      <c r="M446" s="6" t="str">
        <f aca="false">IF($L446="","","R"&amp;$L446)</f>
        <v/>
      </c>
    </row>
    <row r="447" customFormat="false" ht="15" hidden="false" customHeight="false" outlineLevel="0" collapsed="false">
      <c r="K447" s="26" t="b">
        <f aca="false">IF(대여내역!$A444="",FALSE(),OR(대여내역!$L444="미반납",대여내역!$L444="부분반납"))</f>
        <v>0</v>
      </c>
      <c r="L447" s="6" t="str">
        <f aca="false">IF($K447=FALSE(),"",COUNTIF($K$6:$K447,TRUE()))</f>
        <v/>
      </c>
      <c r="M447" s="6" t="str">
        <f aca="false">IF($L447="","","R"&amp;$L447)</f>
        <v/>
      </c>
    </row>
    <row r="448" customFormat="false" ht="15" hidden="false" customHeight="false" outlineLevel="0" collapsed="false">
      <c r="K448" s="26" t="b">
        <f aca="false">IF(대여내역!$A445="",FALSE(),OR(대여내역!$L445="미반납",대여내역!$L445="부분반납"))</f>
        <v>0</v>
      </c>
      <c r="L448" s="6" t="str">
        <f aca="false">IF($K448=FALSE(),"",COUNTIF($K$6:$K448,TRUE()))</f>
        <v/>
      </c>
      <c r="M448" s="6" t="str">
        <f aca="false">IF($L448="","","R"&amp;$L448)</f>
        <v/>
      </c>
    </row>
    <row r="449" customFormat="false" ht="15" hidden="false" customHeight="false" outlineLevel="0" collapsed="false">
      <c r="K449" s="26" t="b">
        <f aca="false">IF(대여내역!$A446="",FALSE(),OR(대여내역!$L446="미반납",대여내역!$L446="부분반납"))</f>
        <v>0</v>
      </c>
      <c r="L449" s="6" t="str">
        <f aca="false">IF($K449=FALSE(),"",COUNTIF($K$6:$K449,TRUE()))</f>
        <v/>
      </c>
      <c r="M449" s="6" t="str">
        <f aca="false">IF($L449="","","R"&amp;$L449)</f>
        <v/>
      </c>
    </row>
    <row r="450" customFormat="false" ht="15" hidden="false" customHeight="false" outlineLevel="0" collapsed="false">
      <c r="K450" s="26" t="b">
        <f aca="false">IF(대여내역!$A447="",FALSE(),OR(대여내역!$L447="미반납",대여내역!$L447="부분반납"))</f>
        <v>0</v>
      </c>
      <c r="L450" s="6" t="str">
        <f aca="false">IF($K450=FALSE(),"",COUNTIF($K$6:$K450,TRUE()))</f>
        <v/>
      </c>
      <c r="M450" s="6" t="str">
        <f aca="false">IF($L450="","","R"&amp;$L450)</f>
        <v/>
      </c>
    </row>
    <row r="451" customFormat="false" ht="15" hidden="false" customHeight="false" outlineLevel="0" collapsed="false">
      <c r="K451" s="26" t="b">
        <f aca="false">IF(대여내역!$A448="",FALSE(),OR(대여내역!$L448="미반납",대여내역!$L448="부분반납"))</f>
        <v>0</v>
      </c>
      <c r="L451" s="6" t="str">
        <f aca="false">IF($K451=FALSE(),"",COUNTIF($K$6:$K451,TRUE()))</f>
        <v/>
      </c>
      <c r="M451" s="6" t="str">
        <f aca="false">IF($L451="","","R"&amp;$L451)</f>
        <v/>
      </c>
    </row>
    <row r="452" customFormat="false" ht="15" hidden="false" customHeight="false" outlineLevel="0" collapsed="false">
      <c r="K452" s="26" t="b">
        <f aca="false">IF(대여내역!$A449="",FALSE(),OR(대여내역!$L449="미반납",대여내역!$L449="부분반납"))</f>
        <v>0</v>
      </c>
      <c r="L452" s="6" t="str">
        <f aca="false">IF($K452=FALSE(),"",COUNTIF($K$6:$K452,TRUE()))</f>
        <v/>
      </c>
      <c r="M452" s="6" t="str">
        <f aca="false">IF($L452="","","R"&amp;$L452)</f>
        <v/>
      </c>
    </row>
    <row r="453" customFormat="false" ht="15" hidden="false" customHeight="false" outlineLevel="0" collapsed="false">
      <c r="K453" s="26" t="b">
        <f aca="false">IF(대여내역!$A450="",FALSE(),OR(대여내역!$L450="미반납",대여내역!$L450="부분반납"))</f>
        <v>0</v>
      </c>
      <c r="L453" s="6" t="str">
        <f aca="false">IF($K453=FALSE(),"",COUNTIF($K$6:$K453,TRUE()))</f>
        <v/>
      </c>
      <c r="M453" s="6" t="str">
        <f aca="false">IF($L453="","","R"&amp;$L453)</f>
        <v/>
      </c>
    </row>
    <row r="454" customFormat="false" ht="15" hidden="false" customHeight="false" outlineLevel="0" collapsed="false">
      <c r="K454" s="26" t="b">
        <f aca="false">IF(대여내역!$A451="",FALSE(),OR(대여내역!$L451="미반납",대여내역!$L451="부분반납"))</f>
        <v>0</v>
      </c>
      <c r="L454" s="6" t="str">
        <f aca="false">IF($K454=FALSE(),"",COUNTIF($K$6:$K454,TRUE()))</f>
        <v/>
      </c>
      <c r="M454" s="6" t="str">
        <f aca="false">IF($L454="","","R"&amp;$L454)</f>
        <v/>
      </c>
    </row>
    <row r="455" customFormat="false" ht="15" hidden="false" customHeight="false" outlineLevel="0" collapsed="false">
      <c r="K455" s="26" t="b">
        <f aca="false">IF(대여내역!$A452="",FALSE(),OR(대여내역!$L452="미반납",대여내역!$L452="부분반납"))</f>
        <v>0</v>
      </c>
      <c r="L455" s="6" t="str">
        <f aca="false">IF($K455=FALSE(),"",COUNTIF($K$6:$K455,TRUE()))</f>
        <v/>
      </c>
      <c r="M455" s="6" t="str">
        <f aca="false">IF($L455="","","R"&amp;$L455)</f>
        <v/>
      </c>
    </row>
    <row r="456" customFormat="false" ht="15" hidden="false" customHeight="false" outlineLevel="0" collapsed="false">
      <c r="K456" s="26" t="b">
        <f aca="false">IF(대여내역!$A453="",FALSE(),OR(대여내역!$L453="미반납",대여내역!$L453="부분반납"))</f>
        <v>0</v>
      </c>
      <c r="L456" s="6" t="str">
        <f aca="false">IF($K456=FALSE(),"",COUNTIF($K$6:$K456,TRUE()))</f>
        <v/>
      </c>
      <c r="M456" s="6" t="str">
        <f aca="false">IF($L456="","","R"&amp;$L456)</f>
        <v/>
      </c>
    </row>
    <row r="457" customFormat="false" ht="15" hidden="false" customHeight="false" outlineLevel="0" collapsed="false">
      <c r="K457" s="26" t="b">
        <f aca="false">IF(대여내역!$A454="",FALSE(),OR(대여내역!$L454="미반납",대여내역!$L454="부분반납"))</f>
        <v>0</v>
      </c>
      <c r="L457" s="6" t="str">
        <f aca="false">IF($K457=FALSE(),"",COUNTIF($K$6:$K457,TRUE()))</f>
        <v/>
      </c>
      <c r="M457" s="6" t="str">
        <f aca="false">IF($L457="","","R"&amp;$L457)</f>
        <v/>
      </c>
    </row>
    <row r="458" customFormat="false" ht="15" hidden="false" customHeight="false" outlineLevel="0" collapsed="false">
      <c r="K458" s="26" t="b">
        <f aca="false">IF(대여내역!$A455="",FALSE(),OR(대여내역!$L455="미반납",대여내역!$L455="부분반납"))</f>
        <v>0</v>
      </c>
      <c r="L458" s="6" t="str">
        <f aca="false">IF($K458=FALSE(),"",COUNTIF($K$6:$K458,TRUE()))</f>
        <v/>
      </c>
      <c r="M458" s="6" t="str">
        <f aca="false">IF($L458="","","R"&amp;$L458)</f>
        <v/>
      </c>
    </row>
    <row r="459" customFormat="false" ht="15" hidden="false" customHeight="false" outlineLevel="0" collapsed="false">
      <c r="K459" s="26" t="b">
        <f aca="false">IF(대여내역!$A456="",FALSE(),OR(대여내역!$L456="미반납",대여내역!$L456="부분반납"))</f>
        <v>0</v>
      </c>
      <c r="L459" s="6" t="str">
        <f aca="false">IF($K459=FALSE(),"",COUNTIF($K$6:$K459,TRUE()))</f>
        <v/>
      </c>
      <c r="M459" s="6" t="str">
        <f aca="false">IF($L459="","","R"&amp;$L459)</f>
        <v/>
      </c>
    </row>
    <row r="460" customFormat="false" ht="15" hidden="false" customHeight="false" outlineLevel="0" collapsed="false">
      <c r="K460" s="26" t="b">
        <f aca="false">IF(대여내역!$A457="",FALSE(),OR(대여내역!$L457="미반납",대여내역!$L457="부분반납"))</f>
        <v>0</v>
      </c>
      <c r="L460" s="6" t="str">
        <f aca="false">IF($K460=FALSE(),"",COUNTIF($K$6:$K460,TRUE()))</f>
        <v/>
      </c>
      <c r="M460" s="6" t="str">
        <f aca="false">IF($L460="","","R"&amp;$L460)</f>
        <v/>
      </c>
    </row>
    <row r="461" customFormat="false" ht="15" hidden="false" customHeight="false" outlineLevel="0" collapsed="false">
      <c r="K461" s="26" t="b">
        <f aca="false">IF(대여내역!$A458="",FALSE(),OR(대여내역!$L458="미반납",대여내역!$L458="부분반납"))</f>
        <v>0</v>
      </c>
      <c r="L461" s="6" t="str">
        <f aca="false">IF($K461=FALSE(),"",COUNTIF($K$6:$K461,TRUE()))</f>
        <v/>
      </c>
      <c r="M461" s="6" t="str">
        <f aca="false">IF($L461="","","R"&amp;$L461)</f>
        <v/>
      </c>
    </row>
    <row r="462" customFormat="false" ht="15" hidden="false" customHeight="false" outlineLevel="0" collapsed="false">
      <c r="K462" s="26" t="b">
        <f aca="false">IF(대여내역!$A459="",FALSE(),OR(대여내역!$L459="미반납",대여내역!$L459="부분반납"))</f>
        <v>0</v>
      </c>
      <c r="L462" s="6" t="str">
        <f aca="false">IF($K462=FALSE(),"",COUNTIF($K$6:$K462,TRUE()))</f>
        <v/>
      </c>
      <c r="M462" s="6" t="str">
        <f aca="false">IF($L462="","","R"&amp;$L462)</f>
        <v/>
      </c>
    </row>
    <row r="463" customFormat="false" ht="15" hidden="false" customHeight="false" outlineLevel="0" collapsed="false">
      <c r="K463" s="26" t="b">
        <f aca="false">IF(대여내역!$A460="",FALSE(),OR(대여내역!$L460="미반납",대여내역!$L460="부분반납"))</f>
        <v>0</v>
      </c>
      <c r="L463" s="6" t="str">
        <f aca="false">IF($K463=FALSE(),"",COUNTIF($K$6:$K463,TRUE()))</f>
        <v/>
      </c>
      <c r="M463" s="6" t="str">
        <f aca="false">IF($L463="","","R"&amp;$L463)</f>
        <v/>
      </c>
    </row>
    <row r="464" customFormat="false" ht="15" hidden="false" customHeight="false" outlineLevel="0" collapsed="false">
      <c r="K464" s="26" t="b">
        <f aca="false">IF(대여내역!$A461="",FALSE(),OR(대여내역!$L461="미반납",대여내역!$L461="부분반납"))</f>
        <v>0</v>
      </c>
      <c r="L464" s="6" t="str">
        <f aca="false">IF($K464=FALSE(),"",COUNTIF($K$6:$K464,TRUE()))</f>
        <v/>
      </c>
      <c r="M464" s="6" t="str">
        <f aca="false">IF($L464="","","R"&amp;$L464)</f>
        <v/>
      </c>
    </row>
    <row r="465" customFormat="false" ht="15" hidden="false" customHeight="false" outlineLevel="0" collapsed="false">
      <c r="K465" s="26" t="b">
        <f aca="false">IF(대여내역!$A462="",FALSE(),OR(대여내역!$L462="미반납",대여내역!$L462="부분반납"))</f>
        <v>0</v>
      </c>
      <c r="L465" s="6" t="str">
        <f aca="false">IF($K465=FALSE(),"",COUNTIF($K$6:$K465,TRUE()))</f>
        <v/>
      </c>
      <c r="M465" s="6" t="str">
        <f aca="false">IF($L465="","","R"&amp;$L465)</f>
        <v/>
      </c>
    </row>
    <row r="466" customFormat="false" ht="15" hidden="false" customHeight="false" outlineLevel="0" collapsed="false">
      <c r="K466" s="26" t="b">
        <f aca="false">IF(대여내역!$A463="",FALSE(),OR(대여내역!$L463="미반납",대여내역!$L463="부분반납"))</f>
        <v>0</v>
      </c>
      <c r="L466" s="6" t="str">
        <f aca="false">IF($K466=FALSE(),"",COUNTIF($K$6:$K466,TRUE()))</f>
        <v/>
      </c>
      <c r="M466" s="6" t="str">
        <f aca="false">IF($L466="","","R"&amp;$L466)</f>
        <v/>
      </c>
    </row>
    <row r="467" customFormat="false" ht="15" hidden="false" customHeight="false" outlineLevel="0" collapsed="false">
      <c r="K467" s="26" t="b">
        <f aca="false">IF(대여내역!$A464="",FALSE(),OR(대여내역!$L464="미반납",대여내역!$L464="부분반납"))</f>
        <v>0</v>
      </c>
      <c r="L467" s="6" t="str">
        <f aca="false">IF($K467=FALSE(),"",COUNTIF($K$6:$K467,TRUE()))</f>
        <v/>
      </c>
      <c r="M467" s="6" t="str">
        <f aca="false">IF($L467="","","R"&amp;$L467)</f>
        <v/>
      </c>
    </row>
    <row r="468" customFormat="false" ht="15" hidden="false" customHeight="false" outlineLevel="0" collapsed="false">
      <c r="K468" s="26" t="b">
        <f aca="false">IF(대여내역!$A465="",FALSE(),OR(대여내역!$L465="미반납",대여내역!$L465="부분반납"))</f>
        <v>0</v>
      </c>
      <c r="L468" s="6" t="str">
        <f aca="false">IF($K468=FALSE(),"",COUNTIF($K$6:$K468,TRUE()))</f>
        <v/>
      </c>
      <c r="M468" s="6" t="str">
        <f aca="false">IF($L468="","","R"&amp;$L468)</f>
        <v/>
      </c>
    </row>
    <row r="469" customFormat="false" ht="15" hidden="false" customHeight="false" outlineLevel="0" collapsed="false">
      <c r="K469" s="26" t="b">
        <f aca="false">IF(대여내역!$A466="",FALSE(),OR(대여내역!$L466="미반납",대여내역!$L466="부분반납"))</f>
        <v>0</v>
      </c>
      <c r="L469" s="6" t="str">
        <f aca="false">IF($K469=FALSE(),"",COUNTIF($K$6:$K469,TRUE()))</f>
        <v/>
      </c>
      <c r="M469" s="6" t="str">
        <f aca="false">IF($L469="","","R"&amp;$L469)</f>
        <v/>
      </c>
    </row>
    <row r="470" customFormat="false" ht="15" hidden="false" customHeight="false" outlineLevel="0" collapsed="false">
      <c r="K470" s="26" t="b">
        <f aca="false">IF(대여내역!$A467="",FALSE(),OR(대여내역!$L467="미반납",대여내역!$L467="부분반납"))</f>
        <v>0</v>
      </c>
      <c r="L470" s="6" t="str">
        <f aca="false">IF($K470=FALSE(),"",COUNTIF($K$6:$K470,TRUE()))</f>
        <v/>
      </c>
      <c r="M470" s="6" t="str">
        <f aca="false">IF($L470="","","R"&amp;$L470)</f>
        <v/>
      </c>
    </row>
    <row r="471" customFormat="false" ht="15" hidden="false" customHeight="false" outlineLevel="0" collapsed="false">
      <c r="K471" s="26" t="b">
        <f aca="false">IF(대여내역!$A468="",FALSE(),OR(대여내역!$L468="미반납",대여내역!$L468="부분반납"))</f>
        <v>0</v>
      </c>
      <c r="L471" s="6" t="str">
        <f aca="false">IF($K471=FALSE(),"",COUNTIF($K$6:$K471,TRUE()))</f>
        <v/>
      </c>
      <c r="M471" s="6" t="str">
        <f aca="false">IF($L471="","","R"&amp;$L471)</f>
        <v/>
      </c>
    </row>
    <row r="472" customFormat="false" ht="15" hidden="false" customHeight="false" outlineLevel="0" collapsed="false">
      <c r="K472" s="26" t="b">
        <f aca="false">IF(대여내역!$A469="",FALSE(),OR(대여내역!$L469="미반납",대여내역!$L469="부분반납"))</f>
        <v>0</v>
      </c>
      <c r="L472" s="6" t="str">
        <f aca="false">IF($K472=FALSE(),"",COUNTIF($K$6:$K472,TRUE()))</f>
        <v/>
      </c>
      <c r="M472" s="6" t="str">
        <f aca="false">IF($L472="","","R"&amp;$L472)</f>
        <v/>
      </c>
    </row>
    <row r="473" customFormat="false" ht="15" hidden="false" customHeight="false" outlineLevel="0" collapsed="false">
      <c r="K473" s="26" t="b">
        <f aca="false">IF(대여내역!$A470="",FALSE(),OR(대여내역!$L470="미반납",대여내역!$L470="부분반납"))</f>
        <v>0</v>
      </c>
      <c r="L473" s="6" t="str">
        <f aca="false">IF($K473=FALSE(),"",COUNTIF($K$6:$K473,TRUE()))</f>
        <v/>
      </c>
      <c r="M473" s="6" t="str">
        <f aca="false">IF($L473="","","R"&amp;$L473)</f>
        <v/>
      </c>
    </row>
    <row r="474" customFormat="false" ht="15" hidden="false" customHeight="false" outlineLevel="0" collapsed="false">
      <c r="K474" s="26" t="b">
        <f aca="false">IF(대여내역!$A471="",FALSE(),OR(대여내역!$L471="미반납",대여내역!$L471="부분반납"))</f>
        <v>0</v>
      </c>
      <c r="L474" s="6" t="str">
        <f aca="false">IF($K474=FALSE(),"",COUNTIF($K$6:$K474,TRUE()))</f>
        <v/>
      </c>
      <c r="M474" s="6" t="str">
        <f aca="false">IF($L474="","","R"&amp;$L474)</f>
        <v/>
      </c>
    </row>
    <row r="475" customFormat="false" ht="15" hidden="false" customHeight="false" outlineLevel="0" collapsed="false">
      <c r="K475" s="26" t="b">
        <f aca="false">IF(대여내역!$A472="",FALSE(),OR(대여내역!$L472="미반납",대여내역!$L472="부분반납"))</f>
        <v>0</v>
      </c>
      <c r="L475" s="6" t="str">
        <f aca="false">IF($K475=FALSE(),"",COUNTIF($K$6:$K475,TRUE()))</f>
        <v/>
      </c>
      <c r="M475" s="6" t="str">
        <f aca="false">IF($L475="","","R"&amp;$L475)</f>
        <v/>
      </c>
    </row>
    <row r="476" customFormat="false" ht="15" hidden="false" customHeight="false" outlineLevel="0" collapsed="false">
      <c r="K476" s="26" t="b">
        <f aca="false">IF(대여내역!$A473="",FALSE(),OR(대여내역!$L473="미반납",대여내역!$L473="부분반납"))</f>
        <v>0</v>
      </c>
      <c r="L476" s="6" t="str">
        <f aca="false">IF($K476=FALSE(),"",COUNTIF($K$6:$K476,TRUE()))</f>
        <v/>
      </c>
      <c r="M476" s="6" t="str">
        <f aca="false">IF($L476="","","R"&amp;$L476)</f>
        <v/>
      </c>
    </row>
    <row r="477" customFormat="false" ht="15" hidden="false" customHeight="false" outlineLevel="0" collapsed="false">
      <c r="K477" s="26" t="b">
        <f aca="false">IF(대여내역!$A474="",FALSE(),OR(대여내역!$L474="미반납",대여내역!$L474="부분반납"))</f>
        <v>0</v>
      </c>
      <c r="L477" s="6" t="str">
        <f aca="false">IF($K477=FALSE(),"",COUNTIF($K$6:$K477,TRUE()))</f>
        <v/>
      </c>
      <c r="M477" s="6" t="str">
        <f aca="false">IF($L477="","","R"&amp;$L477)</f>
        <v/>
      </c>
    </row>
    <row r="478" customFormat="false" ht="15" hidden="false" customHeight="false" outlineLevel="0" collapsed="false">
      <c r="K478" s="26" t="b">
        <f aca="false">IF(대여내역!$A475="",FALSE(),OR(대여내역!$L475="미반납",대여내역!$L475="부분반납"))</f>
        <v>0</v>
      </c>
      <c r="L478" s="6" t="str">
        <f aca="false">IF($K478=FALSE(),"",COUNTIF($K$6:$K478,TRUE()))</f>
        <v/>
      </c>
      <c r="M478" s="6" t="str">
        <f aca="false">IF($L478="","","R"&amp;$L478)</f>
        <v/>
      </c>
    </row>
    <row r="479" customFormat="false" ht="15" hidden="false" customHeight="false" outlineLevel="0" collapsed="false">
      <c r="K479" s="26" t="b">
        <f aca="false">IF(대여내역!$A476="",FALSE(),OR(대여내역!$L476="미반납",대여내역!$L476="부분반납"))</f>
        <v>0</v>
      </c>
      <c r="L479" s="6" t="str">
        <f aca="false">IF($K479=FALSE(),"",COUNTIF($K$6:$K479,TRUE()))</f>
        <v/>
      </c>
      <c r="M479" s="6" t="str">
        <f aca="false">IF($L479="","","R"&amp;$L479)</f>
        <v/>
      </c>
    </row>
    <row r="480" customFormat="false" ht="15" hidden="false" customHeight="false" outlineLevel="0" collapsed="false">
      <c r="K480" s="26" t="b">
        <f aca="false">IF(대여내역!$A477="",FALSE(),OR(대여내역!$L477="미반납",대여내역!$L477="부분반납"))</f>
        <v>0</v>
      </c>
      <c r="L480" s="6" t="str">
        <f aca="false">IF($K480=FALSE(),"",COUNTIF($K$6:$K480,TRUE()))</f>
        <v/>
      </c>
      <c r="M480" s="6" t="str">
        <f aca="false">IF($L480="","","R"&amp;$L480)</f>
        <v/>
      </c>
    </row>
    <row r="481" customFormat="false" ht="15" hidden="false" customHeight="false" outlineLevel="0" collapsed="false">
      <c r="K481" s="26" t="b">
        <f aca="false">IF(대여내역!$A478="",FALSE(),OR(대여내역!$L478="미반납",대여내역!$L478="부분반납"))</f>
        <v>0</v>
      </c>
      <c r="L481" s="6" t="str">
        <f aca="false">IF($K481=FALSE(),"",COUNTIF($K$6:$K481,TRUE()))</f>
        <v/>
      </c>
      <c r="M481" s="6" t="str">
        <f aca="false">IF($L481="","","R"&amp;$L481)</f>
        <v/>
      </c>
    </row>
    <row r="482" customFormat="false" ht="15" hidden="false" customHeight="false" outlineLevel="0" collapsed="false">
      <c r="K482" s="26" t="b">
        <f aca="false">IF(대여내역!$A479="",FALSE(),OR(대여내역!$L479="미반납",대여내역!$L479="부분반납"))</f>
        <v>0</v>
      </c>
      <c r="L482" s="6" t="str">
        <f aca="false">IF($K482=FALSE(),"",COUNTIF($K$6:$K482,TRUE()))</f>
        <v/>
      </c>
      <c r="M482" s="6" t="str">
        <f aca="false">IF($L482="","","R"&amp;$L482)</f>
        <v/>
      </c>
    </row>
    <row r="483" customFormat="false" ht="15" hidden="false" customHeight="false" outlineLevel="0" collapsed="false">
      <c r="K483" s="26" t="b">
        <f aca="false">IF(대여내역!$A480="",FALSE(),OR(대여내역!$L480="미반납",대여내역!$L480="부분반납"))</f>
        <v>0</v>
      </c>
      <c r="L483" s="6" t="str">
        <f aca="false">IF($K483=FALSE(),"",COUNTIF($K$6:$K483,TRUE()))</f>
        <v/>
      </c>
      <c r="M483" s="6" t="str">
        <f aca="false">IF($L483="","","R"&amp;$L483)</f>
        <v/>
      </c>
    </row>
    <row r="484" customFormat="false" ht="15" hidden="false" customHeight="false" outlineLevel="0" collapsed="false">
      <c r="K484" s="26" t="b">
        <f aca="false">IF(대여내역!$A481="",FALSE(),OR(대여내역!$L481="미반납",대여내역!$L481="부분반납"))</f>
        <v>0</v>
      </c>
      <c r="L484" s="6" t="str">
        <f aca="false">IF($K484=FALSE(),"",COUNTIF($K$6:$K484,TRUE()))</f>
        <v/>
      </c>
      <c r="M484" s="6" t="str">
        <f aca="false">IF($L484="","","R"&amp;$L484)</f>
        <v/>
      </c>
    </row>
    <row r="485" customFormat="false" ht="15" hidden="false" customHeight="false" outlineLevel="0" collapsed="false">
      <c r="K485" s="26" t="b">
        <f aca="false">IF(대여내역!$A482="",FALSE(),OR(대여내역!$L482="미반납",대여내역!$L482="부분반납"))</f>
        <v>0</v>
      </c>
      <c r="L485" s="6" t="str">
        <f aca="false">IF($K485=FALSE(),"",COUNTIF($K$6:$K485,TRUE()))</f>
        <v/>
      </c>
      <c r="M485" s="6" t="str">
        <f aca="false">IF($L485="","","R"&amp;$L485)</f>
        <v/>
      </c>
    </row>
    <row r="486" customFormat="false" ht="15" hidden="false" customHeight="false" outlineLevel="0" collapsed="false">
      <c r="K486" s="26" t="b">
        <f aca="false">IF(대여내역!$A483="",FALSE(),OR(대여내역!$L483="미반납",대여내역!$L483="부분반납"))</f>
        <v>0</v>
      </c>
      <c r="L486" s="6" t="str">
        <f aca="false">IF($K486=FALSE(),"",COUNTIF($K$6:$K486,TRUE()))</f>
        <v/>
      </c>
      <c r="M486" s="6" t="str">
        <f aca="false">IF($L486="","","R"&amp;$L486)</f>
        <v/>
      </c>
    </row>
    <row r="487" customFormat="false" ht="15" hidden="false" customHeight="false" outlineLevel="0" collapsed="false">
      <c r="K487" s="26" t="b">
        <f aca="false">IF(대여내역!$A484="",FALSE(),OR(대여내역!$L484="미반납",대여내역!$L484="부분반납"))</f>
        <v>0</v>
      </c>
      <c r="L487" s="6" t="str">
        <f aca="false">IF($K487=FALSE(),"",COUNTIF($K$6:$K487,TRUE()))</f>
        <v/>
      </c>
      <c r="M487" s="6" t="str">
        <f aca="false">IF($L487="","","R"&amp;$L487)</f>
        <v/>
      </c>
    </row>
    <row r="488" customFormat="false" ht="15" hidden="false" customHeight="false" outlineLevel="0" collapsed="false">
      <c r="K488" s="26" t="b">
        <f aca="false">IF(대여내역!$A485="",FALSE(),OR(대여내역!$L485="미반납",대여내역!$L485="부분반납"))</f>
        <v>0</v>
      </c>
      <c r="L488" s="6" t="str">
        <f aca="false">IF($K488=FALSE(),"",COUNTIF($K$6:$K488,TRUE()))</f>
        <v/>
      </c>
      <c r="M488" s="6" t="str">
        <f aca="false">IF($L488="","","R"&amp;$L488)</f>
        <v/>
      </c>
    </row>
    <row r="489" customFormat="false" ht="15" hidden="false" customHeight="false" outlineLevel="0" collapsed="false">
      <c r="K489" s="26" t="b">
        <f aca="false">IF(대여내역!$A486="",FALSE(),OR(대여내역!$L486="미반납",대여내역!$L486="부분반납"))</f>
        <v>0</v>
      </c>
      <c r="L489" s="6" t="str">
        <f aca="false">IF($K489=FALSE(),"",COUNTIF($K$6:$K489,TRUE()))</f>
        <v/>
      </c>
      <c r="M489" s="6" t="str">
        <f aca="false">IF($L489="","","R"&amp;$L489)</f>
        <v/>
      </c>
    </row>
    <row r="490" customFormat="false" ht="15" hidden="false" customHeight="false" outlineLevel="0" collapsed="false">
      <c r="K490" s="26" t="b">
        <f aca="false">IF(대여내역!$A487="",FALSE(),OR(대여내역!$L487="미반납",대여내역!$L487="부분반납"))</f>
        <v>0</v>
      </c>
      <c r="L490" s="6" t="str">
        <f aca="false">IF($K490=FALSE(),"",COUNTIF($K$6:$K490,TRUE()))</f>
        <v/>
      </c>
      <c r="M490" s="6" t="str">
        <f aca="false">IF($L490="","","R"&amp;$L490)</f>
        <v/>
      </c>
    </row>
    <row r="491" customFormat="false" ht="15" hidden="false" customHeight="false" outlineLevel="0" collapsed="false">
      <c r="K491" s="26" t="b">
        <f aca="false">IF(대여내역!$A488="",FALSE(),OR(대여내역!$L488="미반납",대여내역!$L488="부분반납"))</f>
        <v>0</v>
      </c>
      <c r="L491" s="6" t="str">
        <f aca="false">IF($K491=FALSE(),"",COUNTIF($K$6:$K491,TRUE()))</f>
        <v/>
      </c>
      <c r="M491" s="6" t="str">
        <f aca="false">IF($L491="","","R"&amp;$L491)</f>
        <v/>
      </c>
    </row>
    <row r="492" customFormat="false" ht="15" hidden="false" customHeight="false" outlineLevel="0" collapsed="false">
      <c r="K492" s="26" t="b">
        <f aca="false">IF(대여내역!$A489="",FALSE(),OR(대여내역!$L489="미반납",대여내역!$L489="부분반납"))</f>
        <v>0</v>
      </c>
      <c r="L492" s="6" t="str">
        <f aca="false">IF($K492=FALSE(),"",COUNTIF($K$6:$K492,TRUE()))</f>
        <v/>
      </c>
      <c r="M492" s="6" t="str">
        <f aca="false">IF($L492="","","R"&amp;$L492)</f>
        <v/>
      </c>
    </row>
    <row r="493" customFormat="false" ht="15" hidden="false" customHeight="false" outlineLevel="0" collapsed="false">
      <c r="K493" s="26" t="b">
        <f aca="false">IF(대여내역!$A490="",FALSE(),OR(대여내역!$L490="미반납",대여내역!$L490="부분반납"))</f>
        <v>0</v>
      </c>
      <c r="L493" s="6" t="str">
        <f aca="false">IF($K493=FALSE(),"",COUNTIF($K$6:$K493,TRUE()))</f>
        <v/>
      </c>
      <c r="M493" s="6" t="str">
        <f aca="false">IF($L493="","","R"&amp;$L493)</f>
        <v/>
      </c>
    </row>
    <row r="494" customFormat="false" ht="15" hidden="false" customHeight="false" outlineLevel="0" collapsed="false">
      <c r="K494" s="26" t="b">
        <f aca="false">IF(대여내역!$A491="",FALSE(),OR(대여내역!$L491="미반납",대여내역!$L491="부분반납"))</f>
        <v>0</v>
      </c>
      <c r="L494" s="6" t="str">
        <f aca="false">IF($K494=FALSE(),"",COUNTIF($K$6:$K494,TRUE()))</f>
        <v/>
      </c>
      <c r="M494" s="6" t="str">
        <f aca="false">IF($L494="","","R"&amp;$L494)</f>
        <v/>
      </c>
    </row>
    <row r="495" customFormat="false" ht="15" hidden="false" customHeight="false" outlineLevel="0" collapsed="false">
      <c r="K495" s="26" t="b">
        <f aca="false">IF(대여내역!$A492="",FALSE(),OR(대여내역!$L492="미반납",대여내역!$L492="부분반납"))</f>
        <v>0</v>
      </c>
      <c r="L495" s="6" t="str">
        <f aca="false">IF($K495=FALSE(),"",COUNTIF($K$6:$K495,TRUE()))</f>
        <v/>
      </c>
      <c r="M495" s="6" t="str">
        <f aca="false">IF($L495="","","R"&amp;$L495)</f>
        <v/>
      </c>
    </row>
    <row r="496" customFormat="false" ht="15" hidden="false" customHeight="false" outlineLevel="0" collapsed="false">
      <c r="K496" s="26" t="b">
        <f aca="false">IF(대여내역!$A493="",FALSE(),OR(대여내역!$L493="미반납",대여내역!$L493="부분반납"))</f>
        <v>0</v>
      </c>
      <c r="L496" s="6" t="str">
        <f aca="false">IF($K496=FALSE(),"",COUNTIF($K$6:$K496,TRUE()))</f>
        <v/>
      </c>
      <c r="M496" s="6" t="str">
        <f aca="false">IF($L496="","","R"&amp;$L496)</f>
        <v/>
      </c>
    </row>
    <row r="497" customFormat="false" ht="15" hidden="false" customHeight="false" outlineLevel="0" collapsed="false">
      <c r="K497" s="26" t="b">
        <f aca="false">IF(대여내역!$A494="",FALSE(),OR(대여내역!$L494="미반납",대여내역!$L494="부분반납"))</f>
        <v>0</v>
      </c>
      <c r="L497" s="6" t="str">
        <f aca="false">IF($K497=FALSE(),"",COUNTIF($K$6:$K497,TRUE()))</f>
        <v/>
      </c>
      <c r="M497" s="6" t="str">
        <f aca="false">IF($L497="","","R"&amp;$L497)</f>
        <v/>
      </c>
    </row>
    <row r="498" customFormat="false" ht="15" hidden="false" customHeight="false" outlineLevel="0" collapsed="false">
      <c r="K498" s="26" t="b">
        <f aca="false">IF(대여내역!$A495="",FALSE(),OR(대여내역!$L495="미반납",대여내역!$L495="부분반납"))</f>
        <v>0</v>
      </c>
      <c r="L498" s="6" t="str">
        <f aca="false">IF($K498=FALSE(),"",COUNTIF($K$6:$K498,TRUE()))</f>
        <v/>
      </c>
      <c r="M498" s="6" t="str">
        <f aca="false">IF($L498="","","R"&amp;$L498)</f>
        <v/>
      </c>
    </row>
    <row r="499" customFormat="false" ht="15" hidden="false" customHeight="false" outlineLevel="0" collapsed="false">
      <c r="K499" s="26" t="b">
        <f aca="false">IF(대여내역!$A496="",FALSE(),OR(대여내역!$L496="미반납",대여내역!$L496="부분반납"))</f>
        <v>0</v>
      </c>
      <c r="L499" s="6" t="str">
        <f aca="false">IF($K499=FALSE(),"",COUNTIF($K$6:$K499,TRUE()))</f>
        <v/>
      </c>
      <c r="M499" s="6" t="str">
        <f aca="false">IF($L499="","","R"&amp;$L499)</f>
        <v/>
      </c>
    </row>
    <row r="500" customFormat="false" ht="15" hidden="false" customHeight="false" outlineLevel="0" collapsed="false">
      <c r="K500" s="26" t="b">
        <f aca="false">IF(대여내역!$A497="",FALSE(),OR(대여내역!$L497="미반납",대여내역!$L497="부분반납"))</f>
        <v>0</v>
      </c>
      <c r="L500" s="6" t="str">
        <f aca="false">IF($K500=FALSE(),"",COUNTIF($K$6:$K500,TRUE()))</f>
        <v/>
      </c>
      <c r="M500" s="6" t="str">
        <f aca="false">IF($L500="","","R"&amp;$L500)</f>
        <v/>
      </c>
    </row>
    <row r="501" customFormat="false" ht="15" hidden="false" customHeight="false" outlineLevel="0" collapsed="false">
      <c r="K501" s="26" t="b">
        <f aca="false">IF(대여내역!$A498="",FALSE(),OR(대여내역!$L498="미반납",대여내역!$L498="부분반납"))</f>
        <v>0</v>
      </c>
      <c r="L501" s="6" t="str">
        <f aca="false">IF($K501=FALSE(),"",COUNTIF($K$6:$K501,TRUE()))</f>
        <v/>
      </c>
      <c r="M501" s="6" t="str">
        <f aca="false">IF($L501="","","R"&amp;$L501)</f>
        <v/>
      </c>
    </row>
    <row r="502" customFormat="false" ht="15" hidden="false" customHeight="false" outlineLevel="0" collapsed="false">
      <c r="K502" s="26" t="b">
        <f aca="false">IF(대여내역!$A499="",FALSE(),OR(대여내역!$L499="미반납",대여내역!$L499="부분반납"))</f>
        <v>0</v>
      </c>
      <c r="L502" s="6" t="str">
        <f aca="false">IF($K502=FALSE(),"",COUNTIF($K$6:$K502,TRUE()))</f>
        <v/>
      </c>
      <c r="M502" s="6" t="str">
        <f aca="false">IF($L502="","","R"&amp;$L502)</f>
        <v/>
      </c>
    </row>
    <row r="503" customFormat="false" ht="15" hidden="false" customHeight="false" outlineLevel="0" collapsed="false">
      <c r="K503" s="26" t="b">
        <f aca="false">IF(대여내역!$A500="",FALSE(),OR(대여내역!$L500="미반납",대여내역!$L500="부분반납"))</f>
        <v>0</v>
      </c>
      <c r="L503" s="6" t="str">
        <f aca="false">IF($K503=FALSE(),"",COUNTIF($K$6:$K503,TRUE()))</f>
        <v/>
      </c>
      <c r="M503" s="6" t="str">
        <f aca="false">IF($L503="","","R"&amp;$L503)</f>
        <v/>
      </c>
    </row>
    <row r="504" customFormat="false" ht="15" hidden="false" customHeight="false" outlineLevel="0" collapsed="false">
      <c r="K504" s="26" t="b">
        <f aca="false">IF(대여내역!$A501="",FALSE(),OR(대여내역!$L501="미반납",대여내역!$L501="부분반납"))</f>
        <v>0</v>
      </c>
      <c r="L504" s="6" t="str">
        <f aca="false">IF($K504=FALSE(),"",COUNTIF($K$6:$K504,TRUE()))</f>
        <v/>
      </c>
      <c r="M504" s="6" t="str">
        <f aca="false">IF($L504="","","R"&amp;$L504)</f>
        <v/>
      </c>
    </row>
    <row r="505" customFormat="false" ht="15" hidden="false" customHeight="false" outlineLevel="0" collapsed="false">
      <c r="K505" s="26" t="b">
        <f aca="false">IF(대여내역!$A502="",FALSE(),OR(대여내역!$L502="미반납",대여내역!$L502="부분반납"))</f>
        <v>0</v>
      </c>
      <c r="L505" s="6" t="str">
        <f aca="false">IF($K505=FALSE(),"",COUNTIF($K$6:$K505,TRUE()))</f>
        <v/>
      </c>
      <c r="M505" s="6" t="str">
        <f aca="false">IF($L505="","","R"&amp;$L505)</f>
        <v/>
      </c>
    </row>
    <row r="506" customFormat="false" ht="15" hidden="false" customHeight="false" outlineLevel="0" collapsed="false">
      <c r="K506" s="26" t="b">
        <f aca="false">IF(대여내역!$A503="",FALSE(),OR(대여내역!$L503="미반납",대여내역!$L503="부분반납"))</f>
        <v>0</v>
      </c>
      <c r="L506" s="6" t="str">
        <f aca="false">IF($K506=FALSE(),"",COUNTIF($K$6:$K506,TRUE()))</f>
        <v/>
      </c>
      <c r="M506" s="6" t="str">
        <f aca="false">IF($L506="","","R"&amp;$L506)</f>
        <v/>
      </c>
    </row>
    <row r="507" customFormat="false" ht="15" hidden="false" customHeight="false" outlineLevel="0" collapsed="false">
      <c r="K507" s="26" t="b">
        <f aca="false">IF(대여내역!$A504="",FALSE(),OR(대여내역!$L504="미반납",대여내역!$L504="부분반납"))</f>
        <v>0</v>
      </c>
      <c r="L507" s="6" t="str">
        <f aca="false">IF($K507=FALSE(),"",COUNTIF($K$6:$K507,TRUE()))</f>
        <v/>
      </c>
      <c r="M507" s="6" t="str">
        <f aca="false">IF($L507="","","R"&amp;$L507)</f>
        <v/>
      </c>
    </row>
    <row r="508" customFormat="false" ht="15" hidden="false" customHeight="false" outlineLevel="0" collapsed="false">
      <c r="K508" s="26" t="b">
        <f aca="false">IF(대여내역!$A505="",FALSE(),OR(대여내역!$L505="미반납",대여내역!$L505="부분반납"))</f>
        <v>0</v>
      </c>
      <c r="L508" s="6" t="str">
        <f aca="false">IF($K508=FALSE(),"",COUNTIF($K$6:$K508,TRUE()))</f>
        <v/>
      </c>
      <c r="M508" s="6" t="str">
        <f aca="false">IF($L508="","","R"&amp;$L508)</f>
        <v/>
      </c>
    </row>
    <row r="509" customFormat="false" ht="15" hidden="false" customHeight="false" outlineLevel="0" collapsed="false">
      <c r="K509" s="26" t="b">
        <f aca="false">IF(대여내역!$A506="",FALSE(),OR(대여내역!$L506="미반납",대여내역!$L506="부분반납"))</f>
        <v>0</v>
      </c>
      <c r="L509" s="6" t="str">
        <f aca="false">IF($K509=FALSE(),"",COUNTIF($K$6:$K509,TRUE()))</f>
        <v/>
      </c>
      <c r="M509" s="6" t="str">
        <f aca="false">IF($L509="","","R"&amp;$L509)</f>
        <v/>
      </c>
    </row>
    <row r="510" customFormat="false" ht="15" hidden="false" customHeight="false" outlineLevel="0" collapsed="false">
      <c r="K510" s="26" t="b">
        <f aca="false">IF(대여내역!$A507="",FALSE(),OR(대여내역!$L507="미반납",대여내역!$L507="부분반납"))</f>
        <v>0</v>
      </c>
      <c r="L510" s="6" t="str">
        <f aca="false">IF($K510=FALSE(),"",COUNTIF($K$6:$K510,TRUE()))</f>
        <v/>
      </c>
      <c r="M510" s="6" t="str">
        <f aca="false">IF($L510="","","R"&amp;$L510)</f>
        <v/>
      </c>
    </row>
    <row r="511" customFormat="false" ht="15" hidden="false" customHeight="false" outlineLevel="0" collapsed="false">
      <c r="K511" s="26" t="b">
        <f aca="false">IF(대여내역!$A508="",FALSE(),OR(대여내역!$L508="미반납",대여내역!$L508="부분반납"))</f>
        <v>0</v>
      </c>
      <c r="L511" s="6" t="str">
        <f aca="false">IF($K511=FALSE(),"",COUNTIF($K$6:$K511,TRUE()))</f>
        <v/>
      </c>
      <c r="M511" s="6" t="str">
        <f aca="false">IF($L511="","","R"&amp;$L511)</f>
        <v/>
      </c>
    </row>
    <row r="512" customFormat="false" ht="15" hidden="false" customHeight="false" outlineLevel="0" collapsed="false">
      <c r="K512" s="26" t="b">
        <f aca="false">IF(대여내역!$A509="",FALSE(),OR(대여내역!$L509="미반납",대여내역!$L509="부분반납"))</f>
        <v>0</v>
      </c>
      <c r="L512" s="6" t="str">
        <f aca="false">IF($K512=FALSE(),"",COUNTIF($K$6:$K512,TRUE()))</f>
        <v/>
      </c>
      <c r="M512" s="6" t="str">
        <f aca="false">IF($L512="","","R"&amp;$L512)</f>
        <v/>
      </c>
    </row>
    <row r="513" customFormat="false" ht="15" hidden="false" customHeight="false" outlineLevel="0" collapsed="false">
      <c r="K513" s="26" t="b">
        <f aca="false">IF(대여내역!$A510="",FALSE(),OR(대여내역!$L510="미반납",대여내역!$L510="부분반납"))</f>
        <v>0</v>
      </c>
      <c r="L513" s="6" t="str">
        <f aca="false">IF($K513=FALSE(),"",COUNTIF($K$6:$K513,TRUE()))</f>
        <v/>
      </c>
      <c r="M513" s="6" t="str">
        <f aca="false">IF($L513="","","R"&amp;$L513)</f>
        <v/>
      </c>
    </row>
    <row r="514" customFormat="false" ht="15" hidden="false" customHeight="false" outlineLevel="0" collapsed="false">
      <c r="K514" s="26" t="b">
        <f aca="false">IF(대여내역!$A511="",FALSE(),OR(대여내역!$L511="미반납",대여내역!$L511="부분반납"))</f>
        <v>0</v>
      </c>
      <c r="L514" s="6" t="str">
        <f aca="false">IF($K514=FALSE(),"",COUNTIF($K$6:$K514,TRUE()))</f>
        <v/>
      </c>
      <c r="M514" s="6" t="str">
        <f aca="false">IF($L514="","","R"&amp;$L514)</f>
        <v/>
      </c>
    </row>
    <row r="515" customFormat="false" ht="15" hidden="false" customHeight="false" outlineLevel="0" collapsed="false">
      <c r="K515" s="26" t="b">
        <f aca="false">IF(대여내역!$A512="",FALSE(),OR(대여내역!$L512="미반납",대여내역!$L512="부분반납"))</f>
        <v>0</v>
      </c>
      <c r="L515" s="6" t="str">
        <f aca="false">IF($K515=FALSE(),"",COUNTIF($K$6:$K515,TRUE()))</f>
        <v/>
      </c>
      <c r="M515" s="6" t="str">
        <f aca="false">IF($L515="","","R"&amp;$L515)</f>
        <v/>
      </c>
    </row>
    <row r="516" customFormat="false" ht="15" hidden="false" customHeight="false" outlineLevel="0" collapsed="false">
      <c r="K516" s="26" t="b">
        <f aca="false">IF(대여내역!$A513="",FALSE(),OR(대여내역!$L513="미반납",대여내역!$L513="부분반납"))</f>
        <v>0</v>
      </c>
      <c r="L516" s="6" t="str">
        <f aca="false">IF($K516=FALSE(),"",COUNTIF($K$6:$K516,TRUE()))</f>
        <v/>
      </c>
      <c r="M516" s="6" t="str">
        <f aca="false">IF($L516="","","R"&amp;$L516)</f>
        <v/>
      </c>
    </row>
    <row r="517" customFormat="false" ht="15" hidden="false" customHeight="false" outlineLevel="0" collapsed="false">
      <c r="K517" s="26" t="b">
        <f aca="false">IF(대여내역!$A514="",FALSE(),OR(대여내역!$L514="미반납",대여내역!$L514="부분반납"))</f>
        <v>0</v>
      </c>
      <c r="L517" s="6" t="str">
        <f aca="false">IF($K517=FALSE(),"",COUNTIF($K$6:$K517,TRUE()))</f>
        <v/>
      </c>
      <c r="M517" s="6" t="str">
        <f aca="false">IF($L517="","","R"&amp;$L517)</f>
        <v/>
      </c>
    </row>
    <row r="518" customFormat="false" ht="15" hidden="false" customHeight="false" outlineLevel="0" collapsed="false">
      <c r="K518" s="26" t="b">
        <f aca="false">IF(대여내역!$A515="",FALSE(),OR(대여내역!$L515="미반납",대여내역!$L515="부분반납"))</f>
        <v>0</v>
      </c>
      <c r="L518" s="6" t="str">
        <f aca="false">IF($K518=FALSE(),"",COUNTIF($K$6:$K518,TRUE()))</f>
        <v/>
      </c>
      <c r="M518" s="6" t="str">
        <f aca="false">IF($L518="","","R"&amp;$L518)</f>
        <v/>
      </c>
    </row>
    <row r="519" customFormat="false" ht="15" hidden="false" customHeight="false" outlineLevel="0" collapsed="false">
      <c r="K519" s="26" t="b">
        <f aca="false">IF(대여내역!$A516="",FALSE(),OR(대여내역!$L516="미반납",대여내역!$L516="부분반납"))</f>
        <v>0</v>
      </c>
      <c r="L519" s="6" t="str">
        <f aca="false">IF($K519=FALSE(),"",COUNTIF($K$6:$K519,TRUE()))</f>
        <v/>
      </c>
      <c r="M519" s="6" t="str">
        <f aca="false">IF($L519="","","R"&amp;$L519)</f>
        <v/>
      </c>
    </row>
    <row r="520" customFormat="false" ht="15" hidden="false" customHeight="false" outlineLevel="0" collapsed="false">
      <c r="K520" s="26" t="b">
        <f aca="false">IF(대여내역!$A517="",FALSE(),OR(대여내역!$L517="미반납",대여내역!$L517="부분반납"))</f>
        <v>0</v>
      </c>
      <c r="L520" s="6" t="str">
        <f aca="false">IF($K520=FALSE(),"",COUNTIF($K$6:$K520,TRUE()))</f>
        <v/>
      </c>
      <c r="M520" s="6" t="str">
        <f aca="false">IF($L520="","","R"&amp;$L520)</f>
        <v/>
      </c>
    </row>
    <row r="521" customFormat="false" ht="15" hidden="false" customHeight="false" outlineLevel="0" collapsed="false">
      <c r="K521" s="26" t="b">
        <f aca="false">IF(대여내역!$A518="",FALSE(),OR(대여내역!$L518="미반납",대여내역!$L518="부분반납"))</f>
        <v>0</v>
      </c>
      <c r="L521" s="6" t="str">
        <f aca="false">IF($K521=FALSE(),"",COUNTIF($K$6:$K521,TRUE()))</f>
        <v/>
      </c>
      <c r="M521" s="6" t="str">
        <f aca="false">IF($L521="","","R"&amp;$L521)</f>
        <v/>
      </c>
    </row>
    <row r="522" customFormat="false" ht="15" hidden="false" customHeight="false" outlineLevel="0" collapsed="false">
      <c r="K522" s="26" t="b">
        <f aca="false">IF(대여내역!$A519="",FALSE(),OR(대여내역!$L519="미반납",대여내역!$L519="부분반납"))</f>
        <v>0</v>
      </c>
      <c r="L522" s="6" t="str">
        <f aca="false">IF($K522=FALSE(),"",COUNTIF($K$6:$K522,TRUE()))</f>
        <v/>
      </c>
      <c r="M522" s="6" t="str">
        <f aca="false">IF($L522="","","R"&amp;$L522)</f>
        <v/>
      </c>
    </row>
    <row r="523" customFormat="false" ht="15" hidden="false" customHeight="false" outlineLevel="0" collapsed="false">
      <c r="K523" s="26" t="b">
        <f aca="false">IF(대여내역!$A520="",FALSE(),OR(대여내역!$L520="미반납",대여내역!$L520="부분반납"))</f>
        <v>0</v>
      </c>
      <c r="L523" s="6" t="str">
        <f aca="false">IF($K523=FALSE(),"",COUNTIF($K$6:$K523,TRUE()))</f>
        <v/>
      </c>
      <c r="M523" s="6" t="str">
        <f aca="false">IF($L523="","","R"&amp;$L523)</f>
        <v/>
      </c>
    </row>
    <row r="524" customFormat="false" ht="15" hidden="false" customHeight="false" outlineLevel="0" collapsed="false">
      <c r="K524" s="26" t="b">
        <f aca="false">IF(대여내역!$A521="",FALSE(),OR(대여내역!$L521="미반납",대여내역!$L521="부분반납"))</f>
        <v>0</v>
      </c>
      <c r="L524" s="6" t="str">
        <f aca="false">IF($K524=FALSE(),"",COUNTIF($K$6:$K524,TRUE()))</f>
        <v/>
      </c>
      <c r="M524" s="6" t="str">
        <f aca="false">IF($L524="","","R"&amp;$L524)</f>
        <v/>
      </c>
    </row>
    <row r="525" customFormat="false" ht="15" hidden="false" customHeight="false" outlineLevel="0" collapsed="false">
      <c r="K525" s="26" t="b">
        <f aca="false">IF(대여내역!$A522="",FALSE(),OR(대여내역!$L522="미반납",대여내역!$L522="부분반납"))</f>
        <v>0</v>
      </c>
      <c r="L525" s="6" t="str">
        <f aca="false">IF($K525=FALSE(),"",COUNTIF($K$6:$K525,TRUE()))</f>
        <v/>
      </c>
      <c r="M525" s="6" t="str">
        <f aca="false">IF($L525="","","R"&amp;$L525)</f>
        <v/>
      </c>
    </row>
    <row r="526" customFormat="false" ht="15" hidden="false" customHeight="false" outlineLevel="0" collapsed="false">
      <c r="K526" s="26" t="b">
        <f aca="false">IF(대여내역!$A523="",FALSE(),OR(대여내역!$L523="미반납",대여내역!$L523="부분반납"))</f>
        <v>0</v>
      </c>
      <c r="L526" s="6" t="str">
        <f aca="false">IF($K526=FALSE(),"",COUNTIF($K$6:$K526,TRUE()))</f>
        <v/>
      </c>
      <c r="M526" s="6" t="str">
        <f aca="false">IF($L526="","","R"&amp;$L526)</f>
        <v/>
      </c>
    </row>
    <row r="527" customFormat="false" ht="15" hidden="false" customHeight="false" outlineLevel="0" collapsed="false">
      <c r="K527" s="26" t="b">
        <f aca="false">IF(대여내역!$A524="",FALSE(),OR(대여내역!$L524="미반납",대여내역!$L524="부분반납"))</f>
        <v>0</v>
      </c>
      <c r="L527" s="6" t="str">
        <f aca="false">IF($K527=FALSE(),"",COUNTIF($K$6:$K527,TRUE()))</f>
        <v/>
      </c>
      <c r="M527" s="6" t="str">
        <f aca="false">IF($L527="","","R"&amp;$L527)</f>
        <v/>
      </c>
    </row>
    <row r="528" customFormat="false" ht="15" hidden="false" customHeight="false" outlineLevel="0" collapsed="false">
      <c r="K528" s="26" t="b">
        <f aca="false">IF(대여내역!$A525="",FALSE(),OR(대여내역!$L525="미반납",대여내역!$L525="부분반납"))</f>
        <v>0</v>
      </c>
      <c r="L528" s="6" t="str">
        <f aca="false">IF($K528=FALSE(),"",COUNTIF($K$6:$K528,TRUE()))</f>
        <v/>
      </c>
      <c r="M528" s="6" t="str">
        <f aca="false">IF($L528="","","R"&amp;$L528)</f>
        <v/>
      </c>
    </row>
    <row r="529" customFormat="false" ht="15" hidden="false" customHeight="false" outlineLevel="0" collapsed="false">
      <c r="K529" s="26" t="b">
        <f aca="false">IF(대여내역!$A526="",FALSE(),OR(대여내역!$L526="미반납",대여내역!$L526="부분반납"))</f>
        <v>0</v>
      </c>
      <c r="L529" s="6" t="str">
        <f aca="false">IF($K529=FALSE(),"",COUNTIF($K$6:$K529,TRUE()))</f>
        <v/>
      </c>
      <c r="M529" s="6" t="str">
        <f aca="false">IF($L529="","","R"&amp;$L529)</f>
        <v/>
      </c>
    </row>
    <row r="530" customFormat="false" ht="15" hidden="false" customHeight="false" outlineLevel="0" collapsed="false">
      <c r="K530" s="26" t="b">
        <f aca="false">IF(대여내역!$A527="",FALSE(),OR(대여내역!$L527="미반납",대여내역!$L527="부분반납"))</f>
        <v>0</v>
      </c>
      <c r="L530" s="6" t="str">
        <f aca="false">IF($K530=FALSE(),"",COUNTIF($K$6:$K530,TRUE()))</f>
        <v/>
      </c>
      <c r="M530" s="6" t="str">
        <f aca="false">IF($L530="","","R"&amp;$L530)</f>
        <v/>
      </c>
    </row>
    <row r="531" customFormat="false" ht="15" hidden="false" customHeight="false" outlineLevel="0" collapsed="false">
      <c r="K531" s="26" t="b">
        <f aca="false">IF(대여내역!$A528="",FALSE(),OR(대여내역!$L528="미반납",대여내역!$L528="부분반납"))</f>
        <v>0</v>
      </c>
      <c r="L531" s="6" t="str">
        <f aca="false">IF($K531=FALSE(),"",COUNTIF($K$6:$K531,TRUE()))</f>
        <v/>
      </c>
      <c r="M531" s="6" t="str">
        <f aca="false">IF($L531="","","R"&amp;$L531)</f>
        <v/>
      </c>
    </row>
    <row r="532" customFormat="false" ht="15" hidden="false" customHeight="false" outlineLevel="0" collapsed="false">
      <c r="K532" s="26" t="b">
        <f aca="false">IF(대여내역!$A529="",FALSE(),OR(대여내역!$L529="미반납",대여내역!$L529="부분반납"))</f>
        <v>0</v>
      </c>
      <c r="L532" s="6" t="str">
        <f aca="false">IF($K532=FALSE(),"",COUNTIF($K$6:$K532,TRUE()))</f>
        <v/>
      </c>
      <c r="M532" s="6" t="str">
        <f aca="false">IF($L532="","","R"&amp;$L532)</f>
        <v/>
      </c>
    </row>
    <row r="533" customFormat="false" ht="15" hidden="false" customHeight="false" outlineLevel="0" collapsed="false">
      <c r="K533" s="26" t="b">
        <f aca="false">IF(대여내역!$A530="",FALSE(),OR(대여내역!$L530="미반납",대여내역!$L530="부분반납"))</f>
        <v>0</v>
      </c>
      <c r="L533" s="6" t="str">
        <f aca="false">IF($K533=FALSE(),"",COUNTIF($K$6:$K533,TRUE()))</f>
        <v/>
      </c>
      <c r="M533" s="6" t="str">
        <f aca="false">IF($L533="","","R"&amp;$L533)</f>
        <v/>
      </c>
    </row>
    <row r="534" customFormat="false" ht="15" hidden="false" customHeight="false" outlineLevel="0" collapsed="false">
      <c r="K534" s="26" t="b">
        <f aca="false">IF(대여내역!$A531="",FALSE(),OR(대여내역!$L531="미반납",대여내역!$L531="부분반납"))</f>
        <v>0</v>
      </c>
      <c r="L534" s="6" t="str">
        <f aca="false">IF($K534=FALSE(),"",COUNTIF($K$6:$K534,TRUE()))</f>
        <v/>
      </c>
      <c r="M534" s="6" t="str">
        <f aca="false">IF($L534="","","R"&amp;$L534)</f>
        <v/>
      </c>
    </row>
    <row r="535" customFormat="false" ht="15" hidden="false" customHeight="false" outlineLevel="0" collapsed="false">
      <c r="K535" s="26" t="b">
        <f aca="false">IF(대여내역!$A532="",FALSE(),OR(대여내역!$L532="미반납",대여내역!$L532="부분반납"))</f>
        <v>0</v>
      </c>
      <c r="L535" s="6" t="str">
        <f aca="false">IF($K535=FALSE(),"",COUNTIF($K$6:$K535,TRUE()))</f>
        <v/>
      </c>
      <c r="M535" s="6" t="str">
        <f aca="false">IF($L535="","","R"&amp;$L535)</f>
        <v/>
      </c>
    </row>
    <row r="536" customFormat="false" ht="15" hidden="false" customHeight="false" outlineLevel="0" collapsed="false">
      <c r="K536" s="26" t="b">
        <f aca="false">IF(대여내역!$A533="",FALSE(),OR(대여내역!$L533="미반납",대여내역!$L533="부분반납"))</f>
        <v>0</v>
      </c>
      <c r="L536" s="6" t="str">
        <f aca="false">IF($K536=FALSE(),"",COUNTIF($K$6:$K536,TRUE()))</f>
        <v/>
      </c>
      <c r="M536" s="6" t="str">
        <f aca="false">IF($L536="","","R"&amp;$L536)</f>
        <v/>
      </c>
    </row>
    <row r="537" customFormat="false" ht="15" hidden="false" customHeight="false" outlineLevel="0" collapsed="false">
      <c r="K537" s="26" t="b">
        <f aca="false">IF(대여내역!$A534="",FALSE(),OR(대여내역!$L534="미반납",대여내역!$L534="부분반납"))</f>
        <v>0</v>
      </c>
      <c r="L537" s="6" t="str">
        <f aca="false">IF($K537=FALSE(),"",COUNTIF($K$6:$K537,TRUE()))</f>
        <v/>
      </c>
      <c r="M537" s="6" t="str">
        <f aca="false">IF($L537="","","R"&amp;$L537)</f>
        <v/>
      </c>
    </row>
    <row r="538" customFormat="false" ht="15" hidden="false" customHeight="false" outlineLevel="0" collapsed="false">
      <c r="K538" s="26" t="b">
        <f aca="false">IF(대여내역!$A535="",FALSE(),OR(대여내역!$L535="미반납",대여내역!$L535="부분반납"))</f>
        <v>0</v>
      </c>
      <c r="L538" s="6" t="str">
        <f aca="false">IF($K538=FALSE(),"",COUNTIF($K$6:$K538,TRUE()))</f>
        <v/>
      </c>
      <c r="M538" s="6" t="str">
        <f aca="false">IF($L538="","","R"&amp;$L538)</f>
        <v/>
      </c>
    </row>
    <row r="539" customFormat="false" ht="15" hidden="false" customHeight="false" outlineLevel="0" collapsed="false">
      <c r="K539" s="26" t="b">
        <f aca="false">IF(대여내역!$A536="",FALSE(),OR(대여내역!$L536="미반납",대여내역!$L536="부분반납"))</f>
        <v>0</v>
      </c>
      <c r="L539" s="6" t="str">
        <f aca="false">IF($K539=FALSE(),"",COUNTIF($K$6:$K539,TRUE()))</f>
        <v/>
      </c>
      <c r="M539" s="6" t="str">
        <f aca="false">IF($L539="","","R"&amp;$L539)</f>
        <v/>
      </c>
    </row>
    <row r="540" customFormat="false" ht="15" hidden="false" customHeight="false" outlineLevel="0" collapsed="false">
      <c r="K540" s="26" t="b">
        <f aca="false">IF(대여내역!$A537="",FALSE(),OR(대여내역!$L537="미반납",대여내역!$L537="부분반납"))</f>
        <v>0</v>
      </c>
      <c r="L540" s="6" t="str">
        <f aca="false">IF($K540=FALSE(),"",COUNTIF($K$6:$K540,TRUE()))</f>
        <v/>
      </c>
      <c r="M540" s="6" t="str">
        <f aca="false">IF($L540="","","R"&amp;$L540)</f>
        <v/>
      </c>
    </row>
    <row r="541" customFormat="false" ht="15" hidden="false" customHeight="false" outlineLevel="0" collapsed="false">
      <c r="K541" s="26" t="b">
        <f aca="false">IF(대여내역!$A538="",FALSE(),OR(대여내역!$L538="미반납",대여내역!$L538="부분반납"))</f>
        <v>0</v>
      </c>
      <c r="L541" s="6" t="str">
        <f aca="false">IF($K541=FALSE(),"",COUNTIF($K$6:$K541,TRUE()))</f>
        <v/>
      </c>
      <c r="M541" s="6" t="str">
        <f aca="false">IF($L541="","","R"&amp;$L541)</f>
        <v/>
      </c>
    </row>
    <row r="542" customFormat="false" ht="15" hidden="false" customHeight="false" outlineLevel="0" collapsed="false">
      <c r="K542" s="26" t="b">
        <f aca="false">IF(대여내역!$A539="",FALSE(),OR(대여내역!$L539="미반납",대여내역!$L539="부분반납"))</f>
        <v>0</v>
      </c>
      <c r="L542" s="6" t="str">
        <f aca="false">IF($K542=FALSE(),"",COUNTIF($K$6:$K542,TRUE()))</f>
        <v/>
      </c>
      <c r="M542" s="6" t="str">
        <f aca="false">IF($L542="","","R"&amp;$L542)</f>
        <v/>
      </c>
    </row>
    <row r="543" customFormat="false" ht="15" hidden="false" customHeight="false" outlineLevel="0" collapsed="false">
      <c r="K543" s="26" t="b">
        <f aca="false">IF(대여내역!$A540="",FALSE(),OR(대여내역!$L540="미반납",대여내역!$L540="부분반납"))</f>
        <v>0</v>
      </c>
      <c r="L543" s="6" t="str">
        <f aca="false">IF($K543=FALSE(),"",COUNTIF($K$6:$K543,TRUE()))</f>
        <v/>
      </c>
      <c r="M543" s="6" t="str">
        <f aca="false">IF($L543="","","R"&amp;$L543)</f>
        <v/>
      </c>
    </row>
    <row r="544" customFormat="false" ht="15" hidden="false" customHeight="false" outlineLevel="0" collapsed="false">
      <c r="K544" s="26" t="b">
        <f aca="false">IF(대여내역!$A541="",FALSE(),OR(대여내역!$L541="미반납",대여내역!$L541="부분반납"))</f>
        <v>0</v>
      </c>
      <c r="L544" s="6" t="str">
        <f aca="false">IF($K544=FALSE(),"",COUNTIF($K$6:$K544,TRUE()))</f>
        <v/>
      </c>
      <c r="M544" s="6" t="str">
        <f aca="false">IF($L544="","","R"&amp;$L544)</f>
        <v/>
      </c>
    </row>
    <row r="545" customFormat="false" ht="15" hidden="false" customHeight="false" outlineLevel="0" collapsed="false">
      <c r="K545" s="26" t="b">
        <f aca="false">IF(대여내역!$A542="",FALSE(),OR(대여내역!$L542="미반납",대여내역!$L542="부분반납"))</f>
        <v>0</v>
      </c>
      <c r="L545" s="6" t="str">
        <f aca="false">IF($K545=FALSE(),"",COUNTIF($K$6:$K545,TRUE()))</f>
        <v/>
      </c>
      <c r="M545" s="6" t="str">
        <f aca="false">IF($L545="","","R"&amp;$L545)</f>
        <v/>
      </c>
    </row>
    <row r="546" customFormat="false" ht="15" hidden="false" customHeight="false" outlineLevel="0" collapsed="false">
      <c r="K546" s="26" t="b">
        <f aca="false">IF(대여내역!$A543="",FALSE(),OR(대여내역!$L543="미반납",대여내역!$L543="부분반납"))</f>
        <v>0</v>
      </c>
      <c r="L546" s="6" t="str">
        <f aca="false">IF($K546=FALSE(),"",COUNTIF($K$6:$K546,TRUE()))</f>
        <v/>
      </c>
      <c r="M546" s="6" t="str">
        <f aca="false">IF($L546="","","R"&amp;$L546)</f>
        <v/>
      </c>
    </row>
    <row r="547" customFormat="false" ht="15" hidden="false" customHeight="false" outlineLevel="0" collapsed="false">
      <c r="K547" s="26" t="b">
        <f aca="false">IF(대여내역!$A544="",FALSE(),OR(대여내역!$L544="미반납",대여내역!$L544="부분반납"))</f>
        <v>0</v>
      </c>
      <c r="L547" s="6" t="str">
        <f aca="false">IF($K547=FALSE(),"",COUNTIF($K$6:$K547,TRUE()))</f>
        <v/>
      </c>
      <c r="M547" s="6" t="str">
        <f aca="false">IF($L547="","","R"&amp;$L547)</f>
        <v/>
      </c>
    </row>
    <row r="548" customFormat="false" ht="15" hidden="false" customHeight="false" outlineLevel="0" collapsed="false">
      <c r="K548" s="26" t="b">
        <f aca="false">IF(대여내역!$A545="",FALSE(),OR(대여내역!$L545="미반납",대여내역!$L545="부분반납"))</f>
        <v>0</v>
      </c>
      <c r="L548" s="6" t="str">
        <f aca="false">IF($K548=FALSE(),"",COUNTIF($K$6:$K548,TRUE()))</f>
        <v/>
      </c>
      <c r="M548" s="6" t="str">
        <f aca="false">IF($L548="","","R"&amp;$L548)</f>
        <v/>
      </c>
    </row>
    <row r="549" customFormat="false" ht="15" hidden="false" customHeight="false" outlineLevel="0" collapsed="false">
      <c r="K549" s="26" t="b">
        <f aca="false">IF(대여내역!$A546="",FALSE(),OR(대여내역!$L546="미반납",대여내역!$L546="부분반납"))</f>
        <v>0</v>
      </c>
      <c r="L549" s="6" t="str">
        <f aca="false">IF($K549=FALSE(),"",COUNTIF($K$6:$K549,TRUE()))</f>
        <v/>
      </c>
      <c r="M549" s="6" t="str">
        <f aca="false">IF($L549="","","R"&amp;$L549)</f>
        <v/>
      </c>
    </row>
    <row r="550" customFormat="false" ht="15" hidden="false" customHeight="false" outlineLevel="0" collapsed="false">
      <c r="K550" s="26" t="b">
        <f aca="false">IF(대여내역!$A547="",FALSE(),OR(대여내역!$L547="미반납",대여내역!$L547="부분반납"))</f>
        <v>0</v>
      </c>
      <c r="L550" s="6" t="str">
        <f aca="false">IF($K550=FALSE(),"",COUNTIF($K$6:$K550,TRUE()))</f>
        <v/>
      </c>
      <c r="M550" s="6" t="str">
        <f aca="false">IF($L550="","","R"&amp;$L550)</f>
        <v/>
      </c>
    </row>
    <row r="551" customFormat="false" ht="15" hidden="false" customHeight="false" outlineLevel="0" collapsed="false">
      <c r="K551" s="26" t="b">
        <f aca="false">IF(대여내역!$A548="",FALSE(),OR(대여내역!$L548="미반납",대여내역!$L548="부분반납"))</f>
        <v>0</v>
      </c>
      <c r="L551" s="6" t="str">
        <f aca="false">IF($K551=FALSE(),"",COUNTIF($K$6:$K551,TRUE()))</f>
        <v/>
      </c>
      <c r="M551" s="6" t="str">
        <f aca="false">IF($L551="","","R"&amp;$L551)</f>
        <v/>
      </c>
    </row>
    <row r="552" customFormat="false" ht="15" hidden="false" customHeight="false" outlineLevel="0" collapsed="false">
      <c r="K552" s="26" t="b">
        <f aca="false">IF(대여내역!$A549="",FALSE(),OR(대여내역!$L549="미반납",대여내역!$L549="부분반납"))</f>
        <v>0</v>
      </c>
      <c r="L552" s="6" t="str">
        <f aca="false">IF($K552=FALSE(),"",COUNTIF($K$6:$K552,TRUE()))</f>
        <v/>
      </c>
      <c r="M552" s="6" t="str">
        <f aca="false">IF($L552="","","R"&amp;$L552)</f>
        <v/>
      </c>
    </row>
    <row r="553" customFormat="false" ht="15" hidden="false" customHeight="false" outlineLevel="0" collapsed="false">
      <c r="K553" s="26" t="b">
        <f aca="false">IF(대여내역!$A550="",FALSE(),OR(대여내역!$L550="미반납",대여내역!$L550="부분반납"))</f>
        <v>0</v>
      </c>
      <c r="L553" s="6" t="str">
        <f aca="false">IF($K553=FALSE(),"",COUNTIF($K$6:$K553,TRUE()))</f>
        <v/>
      </c>
      <c r="M553" s="6" t="str">
        <f aca="false">IF($L553="","","R"&amp;$L553)</f>
        <v/>
      </c>
    </row>
    <row r="554" customFormat="false" ht="15" hidden="false" customHeight="false" outlineLevel="0" collapsed="false">
      <c r="K554" s="26" t="b">
        <f aca="false">IF(대여내역!$A551="",FALSE(),OR(대여내역!$L551="미반납",대여내역!$L551="부분반납"))</f>
        <v>0</v>
      </c>
      <c r="L554" s="6" t="str">
        <f aca="false">IF($K554=FALSE(),"",COUNTIF($K$6:$K554,TRUE()))</f>
        <v/>
      </c>
      <c r="M554" s="6" t="str">
        <f aca="false">IF($L554="","","R"&amp;$L554)</f>
        <v/>
      </c>
    </row>
    <row r="555" customFormat="false" ht="15" hidden="false" customHeight="false" outlineLevel="0" collapsed="false">
      <c r="K555" s="26" t="b">
        <f aca="false">IF(대여내역!$A552="",FALSE(),OR(대여내역!$L552="미반납",대여내역!$L552="부분반납"))</f>
        <v>0</v>
      </c>
      <c r="L555" s="6" t="str">
        <f aca="false">IF($K555=FALSE(),"",COUNTIF($K$6:$K555,TRUE()))</f>
        <v/>
      </c>
      <c r="M555" s="6" t="str">
        <f aca="false">IF($L555="","","R"&amp;$L555)</f>
        <v/>
      </c>
    </row>
    <row r="556" customFormat="false" ht="15" hidden="false" customHeight="false" outlineLevel="0" collapsed="false">
      <c r="K556" s="26" t="b">
        <f aca="false">IF(대여내역!$A553="",FALSE(),OR(대여내역!$L553="미반납",대여내역!$L553="부분반납"))</f>
        <v>0</v>
      </c>
      <c r="L556" s="6" t="str">
        <f aca="false">IF($K556=FALSE(),"",COUNTIF($K$6:$K556,TRUE()))</f>
        <v/>
      </c>
      <c r="M556" s="6" t="str">
        <f aca="false">IF($L556="","","R"&amp;$L556)</f>
        <v/>
      </c>
    </row>
    <row r="557" customFormat="false" ht="15" hidden="false" customHeight="false" outlineLevel="0" collapsed="false">
      <c r="K557" s="26" t="b">
        <f aca="false">IF(대여내역!$A554="",FALSE(),OR(대여내역!$L554="미반납",대여내역!$L554="부분반납"))</f>
        <v>0</v>
      </c>
      <c r="L557" s="6" t="str">
        <f aca="false">IF($K557=FALSE(),"",COUNTIF($K$6:$K557,TRUE()))</f>
        <v/>
      </c>
      <c r="M557" s="6" t="str">
        <f aca="false">IF($L557="","","R"&amp;$L557)</f>
        <v/>
      </c>
    </row>
    <row r="558" customFormat="false" ht="15" hidden="false" customHeight="false" outlineLevel="0" collapsed="false">
      <c r="K558" s="26" t="b">
        <f aca="false">IF(대여내역!$A555="",FALSE(),OR(대여내역!$L555="미반납",대여내역!$L555="부분반납"))</f>
        <v>0</v>
      </c>
      <c r="L558" s="6" t="str">
        <f aca="false">IF($K558=FALSE(),"",COUNTIF($K$6:$K558,TRUE()))</f>
        <v/>
      </c>
      <c r="M558" s="6" t="str">
        <f aca="false">IF($L558="","","R"&amp;$L558)</f>
        <v/>
      </c>
    </row>
    <row r="559" customFormat="false" ht="15" hidden="false" customHeight="false" outlineLevel="0" collapsed="false">
      <c r="K559" s="26" t="b">
        <f aca="false">IF(대여내역!$A556="",FALSE(),OR(대여내역!$L556="미반납",대여내역!$L556="부분반납"))</f>
        <v>0</v>
      </c>
      <c r="L559" s="6" t="str">
        <f aca="false">IF($K559=FALSE(),"",COUNTIF($K$6:$K559,TRUE()))</f>
        <v/>
      </c>
      <c r="M559" s="6" t="str">
        <f aca="false">IF($L559="","","R"&amp;$L559)</f>
        <v/>
      </c>
    </row>
    <row r="560" customFormat="false" ht="15" hidden="false" customHeight="false" outlineLevel="0" collapsed="false">
      <c r="K560" s="26" t="b">
        <f aca="false">IF(대여내역!$A557="",FALSE(),OR(대여내역!$L557="미반납",대여내역!$L557="부분반납"))</f>
        <v>0</v>
      </c>
      <c r="L560" s="6" t="str">
        <f aca="false">IF($K560=FALSE(),"",COUNTIF($K$6:$K560,TRUE()))</f>
        <v/>
      </c>
      <c r="M560" s="6" t="str">
        <f aca="false">IF($L560="","","R"&amp;$L560)</f>
        <v/>
      </c>
    </row>
    <row r="561" customFormat="false" ht="15" hidden="false" customHeight="false" outlineLevel="0" collapsed="false">
      <c r="K561" s="26" t="b">
        <f aca="false">IF(대여내역!$A558="",FALSE(),OR(대여내역!$L558="미반납",대여내역!$L558="부분반납"))</f>
        <v>0</v>
      </c>
      <c r="L561" s="6" t="str">
        <f aca="false">IF($K561=FALSE(),"",COUNTIF($K$6:$K561,TRUE()))</f>
        <v/>
      </c>
      <c r="M561" s="6" t="str">
        <f aca="false">IF($L561="","","R"&amp;$L561)</f>
        <v/>
      </c>
    </row>
    <row r="562" customFormat="false" ht="15" hidden="false" customHeight="false" outlineLevel="0" collapsed="false">
      <c r="K562" s="26" t="b">
        <f aca="false">IF(대여내역!$A559="",FALSE(),OR(대여내역!$L559="미반납",대여내역!$L559="부분반납"))</f>
        <v>0</v>
      </c>
      <c r="L562" s="6" t="str">
        <f aca="false">IF($K562=FALSE(),"",COUNTIF($K$6:$K562,TRUE()))</f>
        <v/>
      </c>
      <c r="M562" s="6" t="str">
        <f aca="false">IF($L562="","","R"&amp;$L562)</f>
        <v/>
      </c>
    </row>
    <row r="563" customFormat="false" ht="15" hidden="false" customHeight="false" outlineLevel="0" collapsed="false">
      <c r="K563" s="26" t="b">
        <f aca="false">IF(대여내역!$A560="",FALSE(),OR(대여내역!$L560="미반납",대여내역!$L560="부분반납"))</f>
        <v>0</v>
      </c>
      <c r="L563" s="6" t="str">
        <f aca="false">IF($K563=FALSE(),"",COUNTIF($K$6:$K563,TRUE()))</f>
        <v/>
      </c>
      <c r="M563" s="6" t="str">
        <f aca="false">IF($L563="","","R"&amp;$L563)</f>
        <v/>
      </c>
    </row>
    <row r="564" customFormat="false" ht="15" hidden="false" customHeight="false" outlineLevel="0" collapsed="false">
      <c r="K564" s="26" t="b">
        <f aca="false">IF(대여내역!$A561="",FALSE(),OR(대여내역!$L561="미반납",대여내역!$L561="부분반납"))</f>
        <v>0</v>
      </c>
      <c r="L564" s="6" t="str">
        <f aca="false">IF($K564=FALSE(),"",COUNTIF($K$6:$K564,TRUE()))</f>
        <v/>
      </c>
      <c r="M564" s="6" t="str">
        <f aca="false">IF($L564="","","R"&amp;$L564)</f>
        <v/>
      </c>
    </row>
    <row r="565" customFormat="false" ht="15" hidden="false" customHeight="false" outlineLevel="0" collapsed="false">
      <c r="K565" s="26" t="b">
        <f aca="false">IF(대여내역!$A562="",FALSE(),OR(대여내역!$L562="미반납",대여내역!$L562="부분반납"))</f>
        <v>0</v>
      </c>
      <c r="L565" s="6" t="str">
        <f aca="false">IF($K565=FALSE(),"",COUNTIF($K$6:$K565,TRUE()))</f>
        <v/>
      </c>
      <c r="M565" s="6" t="str">
        <f aca="false">IF($L565="","","R"&amp;$L565)</f>
        <v/>
      </c>
    </row>
    <row r="566" customFormat="false" ht="15" hidden="false" customHeight="false" outlineLevel="0" collapsed="false">
      <c r="K566" s="26" t="b">
        <f aca="false">IF(대여내역!$A563="",FALSE(),OR(대여내역!$L563="미반납",대여내역!$L563="부분반납"))</f>
        <v>0</v>
      </c>
      <c r="L566" s="6" t="str">
        <f aca="false">IF($K566=FALSE(),"",COUNTIF($K$6:$K566,TRUE()))</f>
        <v/>
      </c>
      <c r="M566" s="6" t="str">
        <f aca="false">IF($L566="","","R"&amp;$L566)</f>
        <v/>
      </c>
    </row>
    <row r="567" customFormat="false" ht="15" hidden="false" customHeight="false" outlineLevel="0" collapsed="false">
      <c r="K567" s="26" t="b">
        <f aca="false">IF(대여내역!$A564="",FALSE(),OR(대여내역!$L564="미반납",대여내역!$L564="부분반납"))</f>
        <v>0</v>
      </c>
      <c r="L567" s="6" t="str">
        <f aca="false">IF($K567=FALSE(),"",COUNTIF($K$6:$K567,TRUE()))</f>
        <v/>
      </c>
      <c r="M567" s="6" t="str">
        <f aca="false">IF($L567="","","R"&amp;$L567)</f>
        <v/>
      </c>
    </row>
    <row r="568" customFormat="false" ht="15" hidden="false" customHeight="false" outlineLevel="0" collapsed="false">
      <c r="K568" s="26" t="b">
        <f aca="false">IF(대여내역!$A565="",FALSE(),OR(대여내역!$L565="미반납",대여내역!$L565="부분반납"))</f>
        <v>0</v>
      </c>
      <c r="L568" s="6" t="str">
        <f aca="false">IF($K568=FALSE(),"",COUNTIF($K$6:$K568,TRUE()))</f>
        <v/>
      </c>
      <c r="M568" s="6" t="str">
        <f aca="false">IF($L568="","","R"&amp;$L568)</f>
        <v/>
      </c>
    </row>
    <row r="569" customFormat="false" ht="15" hidden="false" customHeight="false" outlineLevel="0" collapsed="false">
      <c r="K569" s="26" t="b">
        <f aca="false">IF(대여내역!$A566="",FALSE(),OR(대여내역!$L566="미반납",대여내역!$L566="부분반납"))</f>
        <v>0</v>
      </c>
      <c r="L569" s="6" t="str">
        <f aca="false">IF($K569=FALSE(),"",COUNTIF($K$6:$K569,TRUE()))</f>
        <v/>
      </c>
      <c r="M569" s="6" t="str">
        <f aca="false">IF($L569="","","R"&amp;$L569)</f>
        <v/>
      </c>
    </row>
    <row r="570" customFormat="false" ht="15" hidden="false" customHeight="false" outlineLevel="0" collapsed="false">
      <c r="K570" s="26" t="b">
        <f aca="false">IF(대여내역!$A567="",FALSE(),OR(대여내역!$L567="미반납",대여내역!$L567="부분반납"))</f>
        <v>0</v>
      </c>
      <c r="L570" s="6" t="str">
        <f aca="false">IF($K570=FALSE(),"",COUNTIF($K$6:$K570,TRUE()))</f>
        <v/>
      </c>
      <c r="M570" s="6" t="str">
        <f aca="false">IF($L570="","","R"&amp;$L570)</f>
        <v/>
      </c>
    </row>
    <row r="571" customFormat="false" ht="15" hidden="false" customHeight="false" outlineLevel="0" collapsed="false">
      <c r="K571" s="26" t="b">
        <f aca="false">IF(대여내역!$A568="",FALSE(),OR(대여내역!$L568="미반납",대여내역!$L568="부분반납"))</f>
        <v>0</v>
      </c>
      <c r="L571" s="6" t="str">
        <f aca="false">IF($K571=FALSE(),"",COUNTIF($K$6:$K571,TRUE()))</f>
        <v/>
      </c>
      <c r="M571" s="6" t="str">
        <f aca="false">IF($L571="","","R"&amp;$L571)</f>
        <v/>
      </c>
    </row>
    <row r="572" customFormat="false" ht="15" hidden="false" customHeight="false" outlineLevel="0" collapsed="false">
      <c r="K572" s="26" t="b">
        <f aca="false">IF(대여내역!$A569="",FALSE(),OR(대여내역!$L569="미반납",대여내역!$L569="부분반납"))</f>
        <v>0</v>
      </c>
      <c r="L572" s="6" t="str">
        <f aca="false">IF($K572=FALSE(),"",COUNTIF($K$6:$K572,TRUE()))</f>
        <v/>
      </c>
      <c r="M572" s="6" t="str">
        <f aca="false">IF($L572="","","R"&amp;$L572)</f>
        <v/>
      </c>
    </row>
    <row r="573" customFormat="false" ht="15" hidden="false" customHeight="false" outlineLevel="0" collapsed="false">
      <c r="K573" s="26" t="b">
        <f aca="false">IF(대여내역!$A570="",FALSE(),OR(대여내역!$L570="미반납",대여내역!$L570="부분반납"))</f>
        <v>0</v>
      </c>
      <c r="L573" s="6" t="str">
        <f aca="false">IF($K573=FALSE(),"",COUNTIF($K$6:$K573,TRUE()))</f>
        <v/>
      </c>
      <c r="M573" s="6" t="str">
        <f aca="false">IF($L573="","","R"&amp;$L573)</f>
        <v/>
      </c>
    </row>
    <row r="574" customFormat="false" ht="15" hidden="false" customHeight="false" outlineLevel="0" collapsed="false">
      <c r="K574" s="26" t="b">
        <f aca="false">IF(대여내역!$A571="",FALSE(),OR(대여내역!$L571="미반납",대여내역!$L571="부분반납"))</f>
        <v>0</v>
      </c>
      <c r="L574" s="6" t="str">
        <f aca="false">IF($K574=FALSE(),"",COUNTIF($K$6:$K574,TRUE()))</f>
        <v/>
      </c>
      <c r="M574" s="6" t="str">
        <f aca="false">IF($L574="","","R"&amp;$L574)</f>
        <v/>
      </c>
    </row>
    <row r="575" customFormat="false" ht="15" hidden="false" customHeight="false" outlineLevel="0" collapsed="false">
      <c r="K575" s="26" t="b">
        <f aca="false">IF(대여내역!$A572="",FALSE(),OR(대여내역!$L572="미반납",대여내역!$L572="부분반납"))</f>
        <v>0</v>
      </c>
      <c r="L575" s="6" t="str">
        <f aca="false">IF($K575=FALSE(),"",COUNTIF($K$6:$K575,TRUE()))</f>
        <v/>
      </c>
      <c r="M575" s="6" t="str">
        <f aca="false">IF($L575="","","R"&amp;$L575)</f>
        <v/>
      </c>
    </row>
    <row r="576" customFormat="false" ht="15" hidden="false" customHeight="false" outlineLevel="0" collapsed="false">
      <c r="K576" s="26" t="b">
        <f aca="false">IF(대여내역!$A573="",FALSE(),OR(대여내역!$L573="미반납",대여내역!$L573="부분반납"))</f>
        <v>0</v>
      </c>
      <c r="L576" s="6" t="str">
        <f aca="false">IF($K576=FALSE(),"",COUNTIF($K$6:$K576,TRUE()))</f>
        <v/>
      </c>
      <c r="M576" s="6" t="str">
        <f aca="false">IF($L576="","","R"&amp;$L576)</f>
        <v/>
      </c>
    </row>
    <row r="577" customFormat="false" ht="15" hidden="false" customHeight="false" outlineLevel="0" collapsed="false">
      <c r="K577" s="26" t="b">
        <f aca="false">IF(대여내역!$A574="",FALSE(),OR(대여내역!$L574="미반납",대여내역!$L574="부분반납"))</f>
        <v>0</v>
      </c>
      <c r="L577" s="6" t="str">
        <f aca="false">IF($K577=FALSE(),"",COUNTIF($K$6:$K577,TRUE()))</f>
        <v/>
      </c>
      <c r="M577" s="6" t="str">
        <f aca="false">IF($L577="","","R"&amp;$L577)</f>
        <v/>
      </c>
    </row>
    <row r="578" customFormat="false" ht="15" hidden="false" customHeight="false" outlineLevel="0" collapsed="false">
      <c r="K578" s="26" t="b">
        <f aca="false">IF(대여내역!$A575="",FALSE(),OR(대여내역!$L575="미반납",대여내역!$L575="부분반납"))</f>
        <v>0</v>
      </c>
      <c r="L578" s="6" t="str">
        <f aca="false">IF($K578=FALSE(),"",COUNTIF($K$6:$K578,TRUE()))</f>
        <v/>
      </c>
      <c r="M578" s="6" t="str">
        <f aca="false">IF($L578="","","R"&amp;$L578)</f>
        <v/>
      </c>
    </row>
    <row r="579" customFormat="false" ht="15" hidden="false" customHeight="false" outlineLevel="0" collapsed="false">
      <c r="K579" s="26" t="b">
        <f aca="false">IF(대여내역!$A576="",FALSE(),OR(대여내역!$L576="미반납",대여내역!$L576="부분반납"))</f>
        <v>0</v>
      </c>
      <c r="L579" s="6" t="str">
        <f aca="false">IF($K579=FALSE(),"",COUNTIF($K$6:$K579,TRUE()))</f>
        <v/>
      </c>
      <c r="M579" s="6" t="str">
        <f aca="false">IF($L579="","","R"&amp;$L579)</f>
        <v/>
      </c>
    </row>
    <row r="580" customFormat="false" ht="15" hidden="false" customHeight="false" outlineLevel="0" collapsed="false">
      <c r="K580" s="26" t="b">
        <f aca="false">IF(대여내역!$A577="",FALSE(),OR(대여내역!$L577="미반납",대여내역!$L577="부분반납"))</f>
        <v>0</v>
      </c>
      <c r="L580" s="6" t="str">
        <f aca="false">IF($K580=FALSE(),"",COUNTIF($K$6:$K580,TRUE()))</f>
        <v/>
      </c>
      <c r="M580" s="6" t="str">
        <f aca="false">IF($L580="","","R"&amp;$L580)</f>
        <v/>
      </c>
    </row>
    <row r="581" customFormat="false" ht="15" hidden="false" customHeight="false" outlineLevel="0" collapsed="false">
      <c r="K581" s="26" t="b">
        <f aca="false">IF(대여내역!$A578="",FALSE(),OR(대여내역!$L578="미반납",대여내역!$L578="부분반납"))</f>
        <v>0</v>
      </c>
      <c r="L581" s="6" t="str">
        <f aca="false">IF($K581=FALSE(),"",COUNTIF($K$6:$K581,TRUE()))</f>
        <v/>
      </c>
      <c r="M581" s="6" t="str">
        <f aca="false">IF($L581="","","R"&amp;$L581)</f>
        <v/>
      </c>
    </row>
    <row r="582" customFormat="false" ht="15" hidden="false" customHeight="false" outlineLevel="0" collapsed="false">
      <c r="K582" s="26" t="b">
        <f aca="false">IF(대여내역!$A579="",FALSE(),OR(대여내역!$L579="미반납",대여내역!$L579="부분반납"))</f>
        <v>0</v>
      </c>
      <c r="L582" s="6" t="str">
        <f aca="false">IF($K582=FALSE(),"",COUNTIF($K$6:$K582,TRUE()))</f>
        <v/>
      </c>
      <c r="M582" s="6" t="str">
        <f aca="false">IF($L582="","","R"&amp;$L582)</f>
        <v/>
      </c>
    </row>
    <row r="583" customFormat="false" ht="15" hidden="false" customHeight="false" outlineLevel="0" collapsed="false">
      <c r="K583" s="26" t="b">
        <f aca="false">IF(대여내역!$A580="",FALSE(),OR(대여내역!$L580="미반납",대여내역!$L580="부분반납"))</f>
        <v>0</v>
      </c>
      <c r="L583" s="6" t="str">
        <f aca="false">IF($K583=FALSE(),"",COUNTIF($K$6:$K583,TRUE()))</f>
        <v/>
      </c>
      <c r="M583" s="6" t="str">
        <f aca="false">IF($L583="","","R"&amp;$L583)</f>
        <v/>
      </c>
    </row>
    <row r="584" customFormat="false" ht="15" hidden="false" customHeight="false" outlineLevel="0" collapsed="false">
      <c r="K584" s="26" t="b">
        <f aca="false">IF(대여내역!$A581="",FALSE(),OR(대여내역!$L581="미반납",대여내역!$L581="부분반납"))</f>
        <v>0</v>
      </c>
      <c r="L584" s="6" t="str">
        <f aca="false">IF($K584=FALSE(),"",COUNTIF($K$6:$K584,TRUE()))</f>
        <v/>
      </c>
      <c r="M584" s="6" t="str">
        <f aca="false">IF($L584="","","R"&amp;$L584)</f>
        <v/>
      </c>
    </row>
    <row r="585" customFormat="false" ht="15" hidden="false" customHeight="false" outlineLevel="0" collapsed="false">
      <c r="K585" s="26" t="b">
        <f aca="false">IF(대여내역!$A582="",FALSE(),OR(대여내역!$L582="미반납",대여내역!$L582="부분반납"))</f>
        <v>0</v>
      </c>
      <c r="L585" s="6" t="str">
        <f aca="false">IF($K585=FALSE(),"",COUNTIF($K$6:$K585,TRUE()))</f>
        <v/>
      </c>
      <c r="M585" s="6" t="str">
        <f aca="false">IF($L585="","","R"&amp;$L585)</f>
        <v/>
      </c>
    </row>
    <row r="586" customFormat="false" ht="15" hidden="false" customHeight="false" outlineLevel="0" collapsed="false">
      <c r="K586" s="26" t="b">
        <f aca="false">IF(대여내역!$A583="",FALSE(),OR(대여내역!$L583="미반납",대여내역!$L583="부분반납"))</f>
        <v>0</v>
      </c>
      <c r="L586" s="6" t="str">
        <f aca="false">IF($K586=FALSE(),"",COUNTIF($K$6:$K586,TRUE()))</f>
        <v/>
      </c>
      <c r="M586" s="6" t="str">
        <f aca="false">IF($L586="","","R"&amp;$L586)</f>
        <v/>
      </c>
    </row>
    <row r="587" customFormat="false" ht="15" hidden="false" customHeight="false" outlineLevel="0" collapsed="false">
      <c r="K587" s="26" t="b">
        <f aca="false">IF(대여내역!$A584="",FALSE(),OR(대여내역!$L584="미반납",대여내역!$L584="부분반납"))</f>
        <v>0</v>
      </c>
      <c r="L587" s="6" t="str">
        <f aca="false">IF($K587=FALSE(),"",COUNTIF($K$6:$K587,TRUE()))</f>
        <v/>
      </c>
      <c r="M587" s="6" t="str">
        <f aca="false">IF($L587="","","R"&amp;$L587)</f>
        <v/>
      </c>
    </row>
    <row r="588" customFormat="false" ht="15" hidden="false" customHeight="false" outlineLevel="0" collapsed="false">
      <c r="K588" s="26" t="b">
        <f aca="false">IF(대여내역!$A585="",FALSE(),OR(대여내역!$L585="미반납",대여내역!$L585="부분반납"))</f>
        <v>0</v>
      </c>
      <c r="L588" s="6" t="str">
        <f aca="false">IF($K588=FALSE(),"",COUNTIF($K$6:$K588,TRUE()))</f>
        <v/>
      </c>
      <c r="M588" s="6" t="str">
        <f aca="false">IF($L588="","","R"&amp;$L588)</f>
        <v/>
      </c>
    </row>
    <row r="589" customFormat="false" ht="15" hidden="false" customHeight="false" outlineLevel="0" collapsed="false">
      <c r="K589" s="26" t="b">
        <f aca="false">IF(대여내역!$A586="",FALSE(),OR(대여내역!$L586="미반납",대여내역!$L586="부분반납"))</f>
        <v>0</v>
      </c>
      <c r="L589" s="6" t="str">
        <f aca="false">IF($K589=FALSE(),"",COUNTIF($K$6:$K589,TRUE()))</f>
        <v/>
      </c>
      <c r="M589" s="6" t="str">
        <f aca="false">IF($L589="","","R"&amp;$L589)</f>
        <v/>
      </c>
    </row>
    <row r="590" customFormat="false" ht="15" hidden="false" customHeight="false" outlineLevel="0" collapsed="false">
      <c r="K590" s="26" t="b">
        <f aca="false">IF(대여내역!$A587="",FALSE(),OR(대여내역!$L587="미반납",대여내역!$L587="부분반납"))</f>
        <v>0</v>
      </c>
      <c r="L590" s="6" t="str">
        <f aca="false">IF($K590=FALSE(),"",COUNTIF($K$6:$K590,TRUE()))</f>
        <v/>
      </c>
      <c r="M590" s="6" t="str">
        <f aca="false">IF($L590="","","R"&amp;$L590)</f>
        <v/>
      </c>
    </row>
    <row r="591" customFormat="false" ht="15" hidden="false" customHeight="false" outlineLevel="0" collapsed="false">
      <c r="K591" s="26" t="b">
        <f aca="false">IF(대여내역!$A588="",FALSE(),OR(대여내역!$L588="미반납",대여내역!$L588="부분반납"))</f>
        <v>0</v>
      </c>
      <c r="L591" s="6" t="str">
        <f aca="false">IF($K591=FALSE(),"",COUNTIF($K$6:$K591,TRUE()))</f>
        <v/>
      </c>
      <c r="M591" s="6" t="str">
        <f aca="false">IF($L591="","","R"&amp;$L591)</f>
        <v/>
      </c>
    </row>
    <row r="592" customFormat="false" ht="15" hidden="false" customHeight="false" outlineLevel="0" collapsed="false">
      <c r="K592" s="26" t="b">
        <f aca="false">IF(대여내역!$A589="",FALSE(),OR(대여내역!$L589="미반납",대여내역!$L589="부분반납"))</f>
        <v>0</v>
      </c>
      <c r="L592" s="6" t="str">
        <f aca="false">IF($K592=FALSE(),"",COUNTIF($K$6:$K592,TRUE()))</f>
        <v/>
      </c>
      <c r="M592" s="6" t="str">
        <f aca="false">IF($L592="","","R"&amp;$L592)</f>
        <v/>
      </c>
    </row>
    <row r="593" customFormat="false" ht="15" hidden="false" customHeight="false" outlineLevel="0" collapsed="false">
      <c r="K593" s="26" t="b">
        <f aca="false">IF(대여내역!$A590="",FALSE(),OR(대여내역!$L590="미반납",대여내역!$L590="부분반납"))</f>
        <v>0</v>
      </c>
      <c r="L593" s="6" t="str">
        <f aca="false">IF($K593=FALSE(),"",COUNTIF($K$6:$K593,TRUE()))</f>
        <v/>
      </c>
      <c r="M593" s="6" t="str">
        <f aca="false">IF($L593="","","R"&amp;$L593)</f>
        <v/>
      </c>
    </row>
    <row r="594" customFormat="false" ht="15" hidden="false" customHeight="false" outlineLevel="0" collapsed="false">
      <c r="K594" s="26" t="b">
        <f aca="false">IF(대여내역!$A591="",FALSE(),OR(대여내역!$L591="미반납",대여내역!$L591="부분반납"))</f>
        <v>0</v>
      </c>
      <c r="L594" s="6" t="str">
        <f aca="false">IF($K594=FALSE(),"",COUNTIF($K$6:$K594,TRUE()))</f>
        <v/>
      </c>
      <c r="M594" s="6" t="str">
        <f aca="false">IF($L594="","","R"&amp;$L594)</f>
        <v/>
      </c>
    </row>
    <row r="595" customFormat="false" ht="15" hidden="false" customHeight="false" outlineLevel="0" collapsed="false">
      <c r="K595" s="26" t="b">
        <f aca="false">IF(대여내역!$A592="",FALSE(),OR(대여내역!$L592="미반납",대여내역!$L592="부분반납"))</f>
        <v>0</v>
      </c>
      <c r="L595" s="6" t="str">
        <f aca="false">IF($K595=FALSE(),"",COUNTIF($K$6:$K595,TRUE()))</f>
        <v/>
      </c>
      <c r="M595" s="6" t="str">
        <f aca="false">IF($L595="","","R"&amp;$L595)</f>
        <v/>
      </c>
    </row>
    <row r="596" customFormat="false" ht="15" hidden="false" customHeight="false" outlineLevel="0" collapsed="false">
      <c r="K596" s="26" t="b">
        <f aca="false">IF(대여내역!$A593="",FALSE(),OR(대여내역!$L593="미반납",대여내역!$L593="부분반납"))</f>
        <v>0</v>
      </c>
      <c r="L596" s="6" t="str">
        <f aca="false">IF($K596=FALSE(),"",COUNTIF($K$6:$K596,TRUE()))</f>
        <v/>
      </c>
      <c r="M596" s="6" t="str">
        <f aca="false">IF($L596="","","R"&amp;$L596)</f>
        <v/>
      </c>
    </row>
    <row r="597" customFormat="false" ht="15" hidden="false" customHeight="false" outlineLevel="0" collapsed="false">
      <c r="K597" s="26" t="b">
        <f aca="false">IF(대여내역!$A594="",FALSE(),OR(대여내역!$L594="미반납",대여내역!$L594="부분반납"))</f>
        <v>0</v>
      </c>
      <c r="L597" s="6" t="str">
        <f aca="false">IF($K597=FALSE(),"",COUNTIF($K$6:$K597,TRUE()))</f>
        <v/>
      </c>
      <c r="M597" s="6" t="str">
        <f aca="false">IF($L597="","","R"&amp;$L597)</f>
        <v/>
      </c>
    </row>
    <row r="598" customFormat="false" ht="15" hidden="false" customHeight="false" outlineLevel="0" collapsed="false">
      <c r="K598" s="26" t="b">
        <f aca="false">IF(대여내역!$A595="",FALSE(),OR(대여내역!$L595="미반납",대여내역!$L595="부분반납"))</f>
        <v>0</v>
      </c>
      <c r="L598" s="6" t="str">
        <f aca="false">IF($K598=FALSE(),"",COUNTIF($K$6:$K598,TRUE()))</f>
        <v/>
      </c>
      <c r="M598" s="6" t="str">
        <f aca="false">IF($L598="","","R"&amp;$L598)</f>
        <v/>
      </c>
    </row>
    <row r="599" customFormat="false" ht="15" hidden="false" customHeight="false" outlineLevel="0" collapsed="false">
      <c r="K599" s="26" t="b">
        <f aca="false">IF(대여내역!$A596="",FALSE(),OR(대여내역!$L596="미반납",대여내역!$L596="부분반납"))</f>
        <v>0</v>
      </c>
      <c r="L599" s="6" t="str">
        <f aca="false">IF($K599=FALSE(),"",COUNTIF($K$6:$K599,TRUE()))</f>
        <v/>
      </c>
      <c r="M599" s="6" t="str">
        <f aca="false">IF($L599="","","R"&amp;$L599)</f>
        <v/>
      </c>
    </row>
    <row r="600" customFormat="false" ht="15" hidden="false" customHeight="false" outlineLevel="0" collapsed="false">
      <c r="K600" s="26" t="b">
        <f aca="false">IF(대여내역!$A597="",FALSE(),OR(대여내역!$L597="미반납",대여내역!$L597="부분반납"))</f>
        <v>0</v>
      </c>
      <c r="L600" s="6" t="str">
        <f aca="false">IF($K600=FALSE(),"",COUNTIF($K$6:$K600,TRUE()))</f>
        <v/>
      </c>
      <c r="M600" s="6" t="str">
        <f aca="false">IF($L600="","","R"&amp;$L600)</f>
        <v/>
      </c>
    </row>
    <row r="601" customFormat="false" ht="15" hidden="false" customHeight="false" outlineLevel="0" collapsed="false">
      <c r="K601" s="26" t="b">
        <f aca="false">IF(대여내역!$A598="",FALSE(),OR(대여내역!$L598="미반납",대여내역!$L598="부분반납"))</f>
        <v>0</v>
      </c>
      <c r="L601" s="6" t="str">
        <f aca="false">IF($K601=FALSE(),"",COUNTIF($K$6:$K601,TRUE()))</f>
        <v/>
      </c>
      <c r="M601" s="6" t="str">
        <f aca="false">IF($L601="","","R"&amp;$L601)</f>
        <v/>
      </c>
    </row>
    <row r="602" customFormat="false" ht="15" hidden="false" customHeight="false" outlineLevel="0" collapsed="false">
      <c r="K602" s="26" t="b">
        <f aca="false">IF(대여내역!$A599="",FALSE(),OR(대여내역!$L599="미반납",대여내역!$L599="부분반납"))</f>
        <v>0</v>
      </c>
      <c r="L602" s="6" t="str">
        <f aca="false">IF($K602=FALSE(),"",COUNTIF($K$6:$K602,TRUE()))</f>
        <v/>
      </c>
      <c r="M602" s="6" t="str">
        <f aca="false">IF($L602="","","R"&amp;$L602)</f>
        <v/>
      </c>
    </row>
    <row r="603" customFormat="false" ht="15" hidden="false" customHeight="false" outlineLevel="0" collapsed="false">
      <c r="K603" s="26" t="b">
        <f aca="false">IF(대여내역!$A600="",FALSE(),OR(대여내역!$L600="미반납",대여내역!$L600="부분반납"))</f>
        <v>0</v>
      </c>
      <c r="L603" s="6" t="str">
        <f aca="false">IF($K603=FALSE(),"",COUNTIF($K$6:$K603,TRUE()))</f>
        <v/>
      </c>
      <c r="M603" s="6" t="str">
        <f aca="false">IF($L603="","","R"&amp;$L603)</f>
        <v/>
      </c>
    </row>
    <row r="604" customFormat="false" ht="15" hidden="false" customHeight="false" outlineLevel="0" collapsed="false">
      <c r="K604" s="26" t="b">
        <f aca="false">IF(대여내역!$A601="",FALSE(),OR(대여내역!$L601="미반납",대여내역!$L601="부분반납"))</f>
        <v>0</v>
      </c>
      <c r="L604" s="6" t="str">
        <f aca="false">IF($K604=FALSE(),"",COUNTIF($K$6:$K604,TRUE()))</f>
        <v/>
      </c>
      <c r="M604" s="6" t="str">
        <f aca="false">IF($L604="","","R"&amp;$L604)</f>
        <v/>
      </c>
    </row>
    <row r="605" customFormat="false" ht="15" hidden="false" customHeight="false" outlineLevel="0" collapsed="false">
      <c r="K605" s="26" t="b">
        <f aca="false">IF(대여내역!$A602="",FALSE(),OR(대여내역!$L602="미반납",대여내역!$L602="부분반납"))</f>
        <v>0</v>
      </c>
      <c r="L605" s="6" t="str">
        <f aca="false">IF($K605=FALSE(),"",COUNTIF($K$6:$K605,TRUE()))</f>
        <v/>
      </c>
      <c r="M605" s="6" t="str">
        <f aca="false">IF($L605="","","R"&amp;$L605)</f>
        <v/>
      </c>
    </row>
    <row r="606" customFormat="false" ht="15" hidden="false" customHeight="false" outlineLevel="0" collapsed="false">
      <c r="K606" s="26" t="b">
        <f aca="false">IF(대여내역!$A603="",FALSE(),OR(대여내역!$L603="미반납",대여내역!$L603="부분반납"))</f>
        <v>0</v>
      </c>
      <c r="L606" s="6" t="str">
        <f aca="false">IF($K606=FALSE(),"",COUNTIF($K$6:$K606,TRUE()))</f>
        <v/>
      </c>
      <c r="M606" s="6" t="str">
        <f aca="false">IF($L606="","","R"&amp;$L606)</f>
        <v/>
      </c>
    </row>
    <row r="607" customFormat="false" ht="15" hidden="false" customHeight="false" outlineLevel="0" collapsed="false">
      <c r="K607" s="26" t="b">
        <f aca="false">IF(대여내역!$A604="",FALSE(),OR(대여내역!$L604="미반납",대여내역!$L604="부분반납"))</f>
        <v>0</v>
      </c>
      <c r="L607" s="6" t="str">
        <f aca="false">IF($K607=FALSE(),"",COUNTIF($K$6:$K607,TRUE()))</f>
        <v/>
      </c>
      <c r="M607" s="6" t="str">
        <f aca="false">IF($L607="","","R"&amp;$L607)</f>
        <v/>
      </c>
    </row>
    <row r="608" customFormat="false" ht="15" hidden="false" customHeight="false" outlineLevel="0" collapsed="false">
      <c r="K608" s="26" t="b">
        <f aca="false">IF(대여내역!$A605="",FALSE(),OR(대여내역!$L605="미반납",대여내역!$L605="부분반납"))</f>
        <v>0</v>
      </c>
      <c r="L608" s="6" t="str">
        <f aca="false">IF($K608=FALSE(),"",COUNTIF($K$6:$K608,TRUE()))</f>
        <v/>
      </c>
      <c r="M608" s="6" t="str">
        <f aca="false">IF($L608="","","R"&amp;$L608)</f>
        <v/>
      </c>
    </row>
    <row r="609" customFormat="false" ht="15" hidden="false" customHeight="false" outlineLevel="0" collapsed="false">
      <c r="K609" s="26" t="b">
        <f aca="false">IF(대여내역!$A606="",FALSE(),OR(대여내역!$L606="미반납",대여내역!$L606="부분반납"))</f>
        <v>0</v>
      </c>
      <c r="L609" s="6" t="str">
        <f aca="false">IF($K609=FALSE(),"",COUNTIF($K$6:$K609,TRUE()))</f>
        <v/>
      </c>
      <c r="M609" s="6" t="str">
        <f aca="false">IF($L609="","","R"&amp;$L609)</f>
        <v/>
      </c>
    </row>
    <row r="610" customFormat="false" ht="15" hidden="false" customHeight="false" outlineLevel="0" collapsed="false">
      <c r="K610" s="26" t="b">
        <f aca="false">IF(대여내역!$A607="",FALSE(),OR(대여내역!$L607="미반납",대여내역!$L607="부분반납"))</f>
        <v>0</v>
      </c>
      <c r="L610" s="6" t="str">
        <f aca="false">IF($K610=FALSE(),"",COUNTIF($K$6:$K610,TRUE()))</f>
        <v/>
      </c>
      <c r="M610" s="6" t="str">
        <f aca="false">IF($L610="","","R"&amp;$L610)</f>
        <v/>
      </c>
    </row>
    <row r="611" customFormat="false" ht="15" hidden="false" customHeight="false" outlineLevel="0" collapsed="false">
      <c r="K611" s="26" t="b">
        <f aca="false">IF(대여내역!$A608="",FALSE(),OR(대여내역!$L608="미반납",대여내역!$L608="부분반납"))</f>
        <v>0</v>
      </c>
      <c r="L611" s="6" t="str">
        <f aca="false">IF($K611=FALSE(),"",COUNTIF($K$6:$K611,TRUE()))</f>
        <v/>
      </c>
      <c r="M611" s="6" t="str">
        <f aca="false">IF($L611="","","R"&amp;$L611)</f>
        <v/>
      </c>
    </row>
    <row r="612" customFormat="false" ht="15" hidden="false" customHeight="false" outlineLevel="0" collapsed="false">
      <c r="K612" s="26" t="b">
        <f aca="false">IF(대여내역!$A609="",FALSE(),OR(대여내역!$L609="미반납",대여내역!$L609="부분반납"))</f>
        <v>0</v>
      </c>
      <c r="L612" s="6" t="str">
        <f aca="false">IF($K612=FALSE(),"",COUNTIF($K$6:$K612,TRUE()))</f>
        <v/>
      </c>
      <c r="M612" s="6" t="str">
        <f aca="false">IF($L612="","","R"&amp;$L612)</f>
        <v/>
      </c>
    </row>
    <row r="613" customFormat="false" ht="15" hidden="false" customHeight="false" outlineLevel="0" collapsed="false">
      <c r="K613" s="26" t="b">
        <f aca="false">IF(대여내역!$A610="",FALSE(),OR(대여내역!$L610="미반납",대여내역!$L610="부분반납"))</f>
        <v>0</v>
      </c>
      <c r="L613" s="6" t="str">
        <f aca="false">IF($K613=FALSE(),"",COUNTIF($K$6:$K613,TRUE()))</f>
        <v/>
      </c>
      <c r="M613" s="6" t="str">
        <f aca="false">IF($L613="","","R"&amp;$L613)</f>
        <v/>
      </c>
    </row>
    <row r="614" customFormat="false" ht="15" hidden="false" customHeight="false" outlineLevel="0" collapsed="false">
      <c r="K614" s="26" t="b">
        <f aca="false">IF(대여내역!$A611="",FALSE(),OR(대여내역!$L611="미반납",대여내역!$L611="부분반납"))</f>
        <v>0</v>
      </c>
      <c r="L614" s="6" t="str">
        <f aca="false">IF($K614=FALSE(),"",COUNTIF($K$6:$K614,TRUE()))</f>
        <v/>
      </c>
      <c r="M614" s="6" t="str">
        <f aca="false">IF($L614="","","R"&amp;$L614)</f>
        <v/>
      </c>
    </row>
    <row r="615" customFormat="false" ht="15" hidden="false" customHeight="false" outlineLevel="0" collapsed="false">
      <c r="K615" s="26" t="b">
        <f aca="false">IF(대여내역!$A612="",FALSE(),OR(대여내역!$L612="미반납",대여내역!$L612="부분반납"))</f>
        <v>0</v>
      </c>
      <c r="L615" s="6" t="str">
        <f aca="false">IF($K615=FALSE(),"",COUNTIF($K$6:$K615,TRUE()))</f>
        <v/>
      </c>
      <c r="M615" s="6" t="str">
        <f aca="false">IF($L615="","","R"&amp;$L615)</f>
        <v/>
      </c>
    </row>
    <row r="616" customFormat="false" ht="15" hidden="false" customHeight="false" outlineLevel="0" collapsed="false">
      <c r="K616" s="26" t="b">
        <f aca="false">IF(대여내역!$A613="",FALSE(),OR(대여내역!$L613="미반납",대여내역!$L613="부분반납"))</f>
        <v>0</v>
      </c>
      <c r="L616" s="6" t="str">
        <f aca="false">IF($K616=FALSE(),"",COUNTIF($K$6:$K616,TRUE()))</f>
        <v/>
      </c>
      <c r="M616" s="6" t="str">
        <f aca="false">IF($L616="","","R"&amp;$L616)</f>
        <v/>
      </c>
    </row>
    <row r="617" customFormat="false" ht="15" hidden="false" customHeight="false" outlineLevel="0" collapsed="false">
      <c r="K617" s="26" t="b">
        <f aca="false">IF(대여내역!$A614="",FALSE(),OR(대여내역!$L614="미반납",대여내역!$L614="부분반납"))</f>
        <v>0</v>
      </c>
      <c r="L617" s="6" t="str">
        <f aca="false">IF($K617=FALSE(),"",COUNTIF($K$6:$K617,TRUE()))</f>
        <v/>
      </c>
      <c r="M617" s="6" t="str">
        <f aca="false">IF($L617="","","R"&amp;$L617)</f>
        <v/>
      </c>
    </row>
    <row r="618" customFormat="false" ht="15" hidden="false" customHeight="false" outlineLevel="0" collapsed="false">
      <c r="K618" s="26" t="b">
        <f aca="false">IF(대여내역!$A615="",FALSE(),OR(대여내역!$L615="미반납",대여내역!$L615="부분반납"))</f>
        <v>0</v>
      </c>
      <c r="L618" s="6" t="str">
        <f aca="false">IF($K618=FALSE(),"",COUNTIF($K$6:$K618,TRUE()))</f>
        <v/>
      </c>
      <c r="M618" s="6" t="str">
        <f aca="false">IF($L618="","","R"&amp;$L618)</f>
        <v/>
      </c>
    </row>
    <row r="619" customFormat="false" ht="15" hidden="false" customHeight="false" outlineLevel="0" collapsed="false">
      <c r="K619" s="26" t="b">
        <f aca="false">IF(대여내역!$A616="",FALSE(),OR(대여내역!$L616="미반납",대여내역!$L616="부분반납"))</f>
        <v>0</v>
      </c>
      <c r="L619" s="6" t="str">
        <f aca="false">IF($K619=FALSE(),"",COUNTIF($K$6:$K619,TRUE()))</f>
        <v/>
      </c>
      <c r="M619" s="6" t="str">
        <f aca="false">IF($L619="","","R"&amp;$L619)</f>
        <v/>
      </c>
    </row>
    <row r="620" customFormat="false" ht="15" hidden="false" customHeight="false" outlineLevel="0" collapsed="false">
      <c r="K620" s="26" t="b">
        <f aca="false">IF(대여내역!$A617="",FALSE(),OR(대여내역!$L617="미반납",대여내역!$L617="부분반납"))</f>
        <v>0</v>
      </c>
      <c r="L620" s="6" t="str">
        <f aca="false">IF($K620=FALSE(),"",COUNTIF($K$6:$K620,TRUE()))</f>
        <v/>
      </c>
      <c r="M620" s="6" t="str">
        <f aca="false">IF($L620="","","R"&amp;$L620)</f>
        <v/>
      </c>
    </row>
    <row r="621" customFormat="false" ht="15" hidden="false" customHeight="false" outlineLevel="0" collapsed="false">
      <c r="K621" s="26" t="b">
        <f aca="false">IF(대여내역!$A618="",FALSE(),OR(대여내역!$L618="미반납",대여내역!$L618="부분반납"))</f>
        <v>0</v>
      </c>
      <c r="L621" s="6" t="str">
        <f aca="false">IF($K621=FALSE(),"",COUNTIF($K$6:$K621,TRUE()))</f>
        <v/>
      </c>
      <c r="M621" s="6" t="str">
        <f aca="false">IF($L621="","","R"&amp;$L621)</f>
        <v/>
      </c>
    </row>
    <row r="622" customFormat="false" ht="15" hidden="false" customHeight="false" outlineLevel="0" collapsed="false">
      <c r="K622" s="26" t="b">
        <f aca="false">IF(대여내역!$A619="",FALSE(),OR(대여내역!$L619="미반납",대여내역!$L619="부분반납"))</f>
        <v>0</v>
      </c>
      <c r="L622" s="6" t="str">
        <f aca="false">IF($K622=FALSE(),"",COUNTIF($K$6:$K622,TRUE()))</f>
        <v/>
      </c>
      <c r="M622" s="6" t="str">
        <f aca="false">IF($L622="","","R"&amp;$L622)</f>
        <v/>
      </c>
    </row>
    <row r="623" customFormat="false" ht="15" hidden="false" customHeight="false" outlineLevel="0" collapsed="false">
      <c r="K623" s="26" t="b">
        <f aca="false">IF(대여내역!$A620="",FALSE(),OR(대여내역!$L620="미반납",대여내역!$L620="부분반납"))</f>
        <v>0</v>
      </c>
      <c r="L623" s="6" t="str">
        <f aca="false">IF($K623=FALSE(),"",COUNTIF($K$6:$K623,TRUE()))</f>
        <v/>
      </c>
      <c r="M623" s="6" t="str">
        <f aca="false">IF($L623="","","R"&amp;$L623)</f>
        <v/>
      </c>
    </row>
    <row r="624" customFormat="false" ht="15" hidden="false" customHeight="false" outlineLevel="0" collapsed="false">
      <c r="K624" s="26" t="b">
        <f aca="false">IF(대여내역!$A621="",FALSE(),OR(대여내역!$L621="미반납",대여내역!$L621="부분반납"))</f>
        <v>0</v>
      </c>
      <c r="L624" s="6" t="str">
        <f aca="false">IF($K624=FALSE(),"",COUNTIF($K$6:$K624,TRUE()))</f>
        <v/>
      </c>
      <c r="M624" s="6" t="str">
        <f aca="false">IF($L624="","","R"&amp;$L624)</f>
        <v/>
      </c>
    </row>
    <row r="625" customFormat="false" ht="15" hidden="false" customHeight="false" outlineLevel="0" collapsed="false">
      <c r="K625" s="26" t="b">
        <f aca="false">IF(대여내역!$A622="",FALSE(),OR(대여내역!$L622="미반납",대여내역!$L622="부분반납"))</f>
        <v>0</v>
      </c>
      <c r="L625" s="6" t="str">
        <f aca="false">IF($K625=FALSE(),"",COUNTIF($K$6:$K625,TRUE()))</f>
        <v/>
      </c>
      <c r="M625" s="6" t="str">
        <f aca="false">IF($L625="","","R"&amp;$L625)</f>
        <v/>
      </c>
    </row>
    <row r="626" customFormat="false" ht="15" hidden="false" customHeight="false" outlineLevel="0" collapsed="false">
      <c r="K626" s="26" t="b">
        <f aca="false">IF(대여내역!$A623="",FALSE(),OR(대여내역!$L623="미반납",대여내역!$L623="부분반납"))</f>
        <v>0</v>
      </c>
      <c r="L626" s="6" t="str">
        <f aca="false">IF($K626=FALSE(),"",COUNTIF($K$6:$K626,TRUE()))</f>
        <v/>
      </c>
      <c r="M626" s="6" t="str">
        <f aca="false">IF($L626="","","R"&amp;$L626)</f>
        <v/>
      </c>
    </row>
    <row r="627" customFormat="false" ht="15" hidden="false" customHeight="false" outlineLevel="0" collapsed="false">
      <c r="K627" s="26" t="b">
        <f aca="false">IF(대여내역!$A624="",FALSE(),OR(대여내역!$L624="미반납",대여내역!$L624="부분반납"))</f>
        <v>0</v>
      </c>
      <c r="L627" s="6" t="str">
        <f aca="false">IF($K627=FALSE(),"",COUNTIF($K$6:$K627,TRUE()))</f>
        <v/>
      </c>
      <c r="M627" s="6" t="str">
        <f aca="false">IF($L627="","","R"&amp;$L627)</f>
        <v/>
      </c>
    </row>
    <row r="628" customFormat="false" ht="15" hidden="false" customHeight="false" outlineLevel="0" collapsed="false">
      <c r="K628" s="26" t="b">
        <f aca="false">IF(대여내역!$A625="",FALSE(),OR(대여내역!$L625="미반납",대여내역!$L625="부분반납"))</f>
        <v>0</v>
      </c>
      <c r="L628" s="6" t="str">
        <f aca="false">IF($K628=FALSE(),"",COUNTIF($K$6:$K628,TRUE()))</f>
        <v/>
      </c>
      <c r="M628" s="6" t="str">
        <f aca="false">IF($L628="","","R"&amp;$L628)</f>
        <v/>
      </c>
    </row>
    <row r="629" customFormat="false" ht="15" hidden="false" customHeight="false" outlineLevel="0" collapsed="false">
      <c r="K629" s="26" t="b">
        <f aca="false">IF(대여내역!$A626="",FALSE(),OR(대여내역!$L626="미반납",대여내역!$L626="부분반납"))</f>
        <v>0</v>
      </c>
      <c r="L629" s="6" t="str">
        <f aca="false">IF($K629=FALSE(),"",COUNTIF($K$6:$K629,TRUE()))</f>
        <v/>
      </c>
      <c r="M629" s="6" t="str">
        <f aca="false">IF($L629="","","R"&amp;$L629)</f>
        <v/>
      </c>
    </row>
    <row r="630" customFormat="false" ht="15" hidden="false" customHeight="false" outlineLevel="0" collapsed="false">
      <c r="K630" s="26" t="b">
        <f aca="false">IF(대여내역!$A627="",FALSE(),OR(대여내역!$L627="미반납",대여내역!$L627="부분반납"))</f>
        <v>0</v>
      </c>
      <c r="L630" s="6" t="str">
        <f aca="false">IF($K630=FALSE(),"",COUNTIF($K$6:$K630,TRUE()))</f>
        <v/>
      </c>
      <c r="M630" s="6" t="str">
        <f aca="false">IF($L630="","","R"&amp;$L630)</f>
        <v/>
      </c>
    </row>
    <row r="631" customFormat="false" ht="15" hidden="false" customHeight="false" outlineLevel="0" collapsed="false">
      <c r="K631" s="26" t="b">
        <f aca="false">IF(대여내역!$A628="",FALSE(),OR(대여내역!$L628="미반납",대여내역!$L628="부분반납"))</f>
        <v>0</v>
      </c>
      <c r="L631" s="6" t="str">
        <f aca="false">IF($K631=FALSE(),"",COUNTIF($K$6:$K631,TRUE()))</f>
        <v/>
      </c>
      <c r="M631" s="6" t="str">
        <f aca="false">IF($L631="","","R"&amp;$L631)</f>
        <v/>
      </c>
    </row>
    <row r="632" customFormat="false" ht="15" hidden="false" customHeight="false" outlineLevel="0" collapsed="false">
      <c r="K632" s="26" t="b">
        <f aca="false">IF(대여내역!$A629="",FALSE(),OR(대여내역!$L629="미반납",대여내역!$L629="부분반납"))</f>
        <v>0</v>
      </c>
      <c r="L632" s="6" t="str">
        <f aca="false">IF($K632=FALSE(),"",COUNTIF($K$6:$K632,TRUE()))</f>
        <v/>
      </c>
      <c r="M632" s="6" t="str">
        <f aca="false">IF($L632="","","R"&amp;$L632)</f>
        <v/>
      </c>
    </row>
    <row r="633" customFormat="false" ht="15" hidden="false" customHeight="false" outlineLevel="0" collapsed="false">
      <c r="K633" s="26" t="b">
        <f aca="false">IF(대여내역!$A630="",FALSE(),OR(대여내역!$L630="미반납",대여내역!$L630="부분반납"))</f>
        <v>0</v>
      </c>
      <c r="L633" s="6" t="str">
        <f aca="false">IF($K633=FALSE(),"",COUNTIF($K$6:$K633,TRUE()))</f>
        <v/>
      </c>
      <c r="M633" s="6" t="str">
        <f aca="false">IF($L633="","","R"&amp;$L633)</f>
        <v/>
      </c>
    </row>
    <row r="634" customFormat="false" ht="15" hidden="false" customHeight="false" outlineLevel="0" collapsed="false">
      <c r="K634" s="26" t="b">
        <f aca="false">IF(대여내역!$A631="",FALSE(),OR(대여내역!$L631="미반납",대여내역!$L631="부분반납"))</f>
        <v>0</v>
      </c>
      <c r="L634" s="6" t="str">
        <f aca="false">IF($K634=FALSE(),"",COUNTIF($K$6:$K634,TRUE()))</f>
        <v/>
      </c>
      <c r="M634" s="6" t="str">
        <f aca="false">IF($L634="","","R"&amp;$L634)</f>
        <v/>
      </c>
    </row>
    <row r="635" customFormat="false" ht="15" hidden="false" customHeight="false" outlineLevel="0" collapsed="false">
      <c r="K635" s="26" t="b">
        <f aca="false">IF(대여내역!$A632="",FALSE(),OR(대여내역!$L632="미반납",대여내역!$L632="부분반납"))</f>
        <v>0</v>
      </c>
      <c r="L635" s="6" t="str">
        <f aca="false">IF($K635=FALSE(),"",COUNTIF($K$6:$K635,TRUE()))</f>
        <v/>
      </c>
      <c r="M635" s="6" t="str">
        <f aca="false">IF($L635="","","R"&amp;$L635)</f>
        <v/>
      </c>
    </row>
    <row r="636" customFormat="false" ht="15" hidden="false" customHeight="false" outlineLevel="0" collapsed="false">
      <c r="K636" s="26" t="b">
        <f aca="false">IF(대여내역!$A633="",FALSE(),OR(대여내역!$L633="미반납",대여내역!$L633="부분반납"))</f>
        <v>0</v>
      </c>
      <c r="L636" s="6" t="str">
        <f aca="false">IF($K636=FALSE(),"",COUNTIF($K$6:$K636,TRUE()))</f>
        <v/>
      </c>
      <c r="M636" s="6" t="str">
        <f aca="false">IF($L636="","","R"&amp;$L636)</f>
        <v/>
      </c>
    </row>
    <row r="637" customFormat="false" ht="15" hidden="false" customHeight="false" outlineLevel="0" collapsed="false">
      <c r="K637" s="26" t="b">
        <f aca="false">IF(대여내역!$A634="",FALSE(),OR(대여내역!$L634="미반납",대여내역!$L634="부분반납"))</f>
        <v>0</v>
      </c>
      <c r="L637" s="6" t="str">
        <f aca="false">IF($K637=FALSE(),"",COUNTIF($K$6:$K637,TRUE()))</f>
        <v/>
      </c>
      <c r="M637" s="6" t="str">
        <f aca="false">IF($L637="","","R"&amp;$L637)</f>
        <v/>
      </c>
    </row>
    <row r="638" customFormat="false" ht="15" hidden="false" customHeight="false" outlineLevel="0" collapsed="false">
      <c r="K638" s="26" t="b">
        <f aca="false">IF(대여내역!$A635="",FALSE(),OR(대여내역!$L635="미반납",대여내역!$L635="부분반납"))</f>
        <v>0</v>
      </c>
      <c r="L638" s="6" t="str">
        <f aca="false">IF($K638=FALSE(),"",COUNTIF($K$6:$K638,TRUE()))</f>
        <v/>
      </c>
      <c r="M638" s="6" t="str">
        <f aca="false">IF($L638="","","R"&amp;$L638)</f>
        <v/>
      </c>
    </row>
    <row r="639" customFormat="false" ht="15" hidden="false" customHeight="false" outlineLevel="0" collapsed="false">
      <c r="K639" s="26" t="b">
        <f aca="false">IF(대여내역!$A636="",FALSE(),OR(대여내역!$L636="미반납",대여내역!$L636="부분반납"))</f>
        <v>0</v>
      </c>
      <c r="L639" s="6" t="str">
        <f aca="false">IF($K639=FALSE(),"",COUNTIF($K$6:$K639,TRUE()))</f>
        <v/>
      </c>
      <c r="M639" s="6" t="str">
        <f aca="false">IF($L639="","","R"&amp;$L639)</f>
        <v/>
      </c>
    </row>
    <row r="640" customFormat="false" ht="15" hidden="false" customHeight="false" outlineLevel="0" collapsed="false">
      <c r="K640" s="26" t="b">
        <f aca="false">IF(대여내역!$A637="",FALSE(),OR(대여내역!$L637="미반납",대여내역!$L637="부분반납"))</f>
        <v>0</v>
      </c>
      <c r="L640" s="6" t="str">
        <f aca="false">IF($K640=FALSE(),"",COUNTIF($K$6:$K640,TRUE()))</f>
        <v/>
      </c>
      <c r="M640" s="6" t="str">
        <f aca="false">IF($L640="","","R"&amp;$L640)</f>
        <v/>
      </c>
    </row>
    <row r="641" customFormat="false" ht="15" hidden="false" customHeight="false" outlineLevel="0" collapsed="false">
      <c r="K641" s="26" t="b">
        <f aca="false">IF(대여내역!$A638="",FALSE(),OR(대여내역!$L638="미반납",대여내역!$L638="부분반납"))</f>
        <v>0</v>
      </c>
      <c r="L641" s="6" t="str">
        <f aca="false">IF($K641=FALSE(),"",COUNTIF($K$6:$K641,TRUE()))</f>
        <v/>
      </c>
      <c r="M641" s="6" t="str">
        <f aca="false">IF($L641="","","R"&amp;$L641)</f>
        <v/>
      </c>
    </row>
    <row r="642" customFormat="false" ht="15" hidden="false" customHeight="false" outlineLevel="0" collapsed="false">
      <c r="K642" s="26" t="b">
        <f aca="false">IF(대여내역!$A639="",FALSE(),OR(대여내역!$L639="미반납",대여내역!$L639="부분반납"))</f>
        <v>0</v>
      </c>
      <c r="L642" s="6" t="str">
        <f aca="false">IF($K642=FALSE(),"",COUNTIF($K$6:$K642,TRUE()))</f>
        <v/>
      </c>
      <c r="M642" s="6" t="str">
        <f aca="false">IF($L642="","","R"&amp;$L642)</f>
        <v/>
      </c>
    </row>
    <row r="643" customFormat="false" ht="15" hidden="false" customHeight="false" outlineLevel="0" collapsed="false">
      <c r="K643" s="26" t="b">
        <f aca="false">IF(대여내역!$A640="",FALSE(),OR(대여내역!$L640="미반납",대여내역!$L640="부분반납"))</f>
        <v>0</v>
      </c>
      <c r="L643" s="6" t="str">
        <f aca="false">IF($K643=FALSE(),"",COUNTIF($K$6:$K643,TRUE()))</f>
        <v/>
      </c>
      <c r="M643" s="6" t="str">
        <f aca="false">IF($L643="","","R"&amp;$L643)</f>
        <v/>
      </c>
    </row>
    <row r="644" customFormat="false" ht="15" hidden="false" customHeight="false" outlineLevel="0" collapsed="false">
      <c r="K644" s="26" t="b">
        <f aca="false">IF(대여내역!$A641="",FALSE(),OR(대여내역!$L641="미반납",대여내역!$L641="부분반납"))</f>
        <v>0</v>
      </c>
      <c r="L644" s="6" t="str">
        <f aca="false">IF($K644=FALSE(),"",COUNTIF($K$6:$K644,TRUE()))</f>
        <v/>
      </c>
      <c r="M644" s="6" t="str">
        <f aca="false">IF($L644="","","R"&amp;$L644)</f>
        <v/>
      </c>
    </row>
    <row r="645" customFormat="false" ht="15" hidden="false" customHeight="false" outlineLevel="0" collapsed="false">
      <c r="K645" s="26" t="b">
        <f aca="false">IF(대여내역!$A642="",FALSE(),OR(대여내역!$L642="미반납",대여내역!$L642="부분반납"))</f>
        <v>0</v>
      </c>
      <c r="L645" s="6" t="str">
        <f aca="false">IF($K645=FALSE(),"",COUNTIF($K$6:$K645,TRUE()))</f>
        <v/>
      </c>
      <c r="M645" s="6" t="str">
        <f aca="false">IF($L645="","","R"&amp;$L645)</f>
        <v/>
      </c>
    </row>
    <row r="646" customFormat="false" ht="15" hidden="false" customHeight="false" outlineLevel="0" collapsed="false">
      <c r="K646" s="26" t="b">
        <f aca="false">IF(대여내역!$A643="",FALSE(),OR(대여내역!$L643="미반납",대여내역!$L643="부분반납"))</f>
        <v>0</v>
      </c>
      <c r="L646" s="6" t="str">
        <f aca="false">IF($K646=FALSE(),"",COUNTIF($K$6:$K646,TRUE()))</f>
        <v/>
      </c>
      <c r="M646" s="6" t="str">
        <f aca="false">IF($L646="","","R"&amp;$L646)</f>
        <v/>
      </c>
    </row>
    <row r="647" customFormat="false" ht="15" hidden="false" customHeight="false" outlineLevel="0" collapsed="false">
      <c r="K647" s="26" t="b">
        <f aca="false">IF(대여내역!$A644="",FALSE(),OR(대여내역!$L644="미반납",대여내역!$L644="부분반납"))</f>
        <v>0</v>
      </c>
      <c r="L647" s="6" t="str">
        <f aca="false">IF($K647=FALSE(),"",COUNTIF($K$6:$K647,TRUE()))</f>
        <v/>
      </c>
      <c r="M647" s="6" t="str">
        <f aca="false">IF($L647="","","R"&amp;$L647)</f>
        <v/>
      </c>
    </row>
    <row r="648" customFormat="false" ht="15" hidden="false" customHeight="false" outlineLevel="0" collapsed="false">
      <c r="K648" s="26" t="b">
        <f aca="false">IF(대여내역!$A645="",FALSE(),OR(대여내역!$L645="미반납",대여내역!$L645="부분반납"))</f>
        <v>0</v>
      </c>
      <c r="L648" s="6" t="str">
        <f aca="false">IF($K648=FALSE(),"",COUNTIF($K$6:$K648,TRUE()))</f>
        <v/>
      </c>
      <c r="M648" s="6" t="str">
        <f aca="false">IF($L648="","","R"&amp;$L648)</f>
        <v/>
      </c>
    </row>
    <row r="649" customFormat="false" ht="15" hidden="false" customHeight="false" outlineLevel="0" collapsed="false">
      <c r="K649" s="26" t="b">
        <f aca="false">IF(대여내역!$A646="",FALSE(),OR(대여내역!$L646="미반납",대여내역!$L646="부분반납"))</f>
        <v>0</v>
      </c>
      <c r="L649" s="6" t="str">
        <f aca="false">IF($K649=FALSE(),"",COUNTIF($K$6:$K649,TRUE()))</f>
        <v/>
      </c>
      <c r="M649" s="6" t="str">
        <f aca="false">IF($L649="","","R"&amp;$L649)</f>
        <v/>
      </c>
    </row>
    <row r="650" customFormat="false" ht="15" hidden="false" customHeight="false" outlineLevel="0" collapsed="false">
      <c r="K650" s="26" t="b">
        <f aca="false">IF(대여내역!$A647="",FALSE(),OR(대여내역!$L647="미반납",대여내역!$L647="부분반납"))</f>
        <v>0</v>
      </c>
      <c r="L650" s="6" t="str">
        <f aca="false">IF($K650=FALSE(),"",COUNTIF($K$6:$K650,TRUE()))</f>
        <v/>
      </c>
      <c r="M650" s="6" t="str">
        <f aca="false">IF($L650="","","R"&amp;$L650)</f>
        <v/>
      </c>
    </row>
    <row r="651" customFormat="false" ht="15" hidden="false" customHeight="false" outlineLevel="0" collapsed="false">
      <c r="K651" s="26" t="b">
        <f aca="false">IF(대여내역!$A648="",FALSE(),OR(대여내역!$L648="미반납",대여내역!$L648="부분반납"))</f>
        <v>0</v>
      </c>
      <c r="L651" s="6" t="str">
        <f aca="false">IF($K651=FALSE(),"",COUNTIF($K$6:$K651,TRUE()))</f>
        <v/>
      </c>
      <c r="M651" s="6" t="str">
        <f aca="false">IF($L651="","","R"&amp;$L651)</f>
        <v/>
      </c>
    </row>
    <row r="652" customFormat="false" ht="15" hidden="false" customHeight="false" outlineLevel="0" collapsed="false">
      <c r="K652" s="26" t="b">
        <f aca="false">IF(대여내역!$A649="",FALSE(),OR(대여내역!$L649="미반납",대여내역!$L649="부분반납"))</f>
        <v>0</v>
      </c>
      <c r="L652" s="6" t="str">
        <f aca="false">IF($K652=FALSE(),"",COUNTIF($K$6:$K652,TRUE()))</f>
        <v/>
      </c>
      <c r="M652" s="6" t="str">
        <f aca="false">IF($L652="","","R"&amp;$L652)</f>
        <v/>
      </c>
    </row>
    <row r="653" customFormat="false" ht="15" hidden="false" customHeight="false" outlineLevel="0" collapsed="false">
      <c r="K653" s="26" t="b">
        <f aca="false">IF(대여내역!$A650="",FALSE(),OR(대여내역!$L650="미반납",대여내역!$L650="부분반납"))</f>
        <v>0</v>
      </c>
      <c r="L653" s="6" t="str">
        <f aca="false">IF($K653=FALSE(),"",COUNTIF($K$6:$K653,TRUE()))</f>
        <v/>
      </c>
      <c r="M653" s="6" t="str">
        <f aca="false">IF($L653="","","R"&amp;$L653)</f>
        <v/>
      </c>
    </row>
    <row r="654" customFormat="false" ht="15" hidden="false" customHeight="false" outlineLevel="0" collapsed="false">
      <c r="K654" s="26" t="b">
        <f aca="false">IF(대여내역!$A651="",FALSE(),OR(대여내역!$L651="미반납",대여내역!$L651="부분반납"))</f>
        <v>0</v>
      </c>
      <c r="L654" s="6" t="str">
        <f aca="false">IF($K654=FALSE(),"",COUNTIF($K$6:$K654,TRUE()))</f>
        <v/>
      </c>
      <c r="M654" s="6" t="str">
        <f aca="false">IF($L654="","","R"&amp;$L654)</f>
        <v/>
      </c>
    </row>
    <row r="655" customFormat="false" ht="15" hidden="false" customHeight="false" outlineLevel="0" collapsed="false">
      <c r="K655" s="26" t="b">
        <f aca="false">IF(대여내역!$A652="",FALSE(),OR(대여내역!$L652="미반납",대여내역!$L652="부분반납"))</f>
        <v>0</v>
      </c>
      <c r="L655" s="6" t="str">
        <f aca="false">IF($K655=FALSE(),"",COUNTIF($K$6:$K655,TRUE()))</f>
        <v/>
      </c>
      <c r="M655" s="6" t="str">
        <f aca="false">IF($L655="","","R"&amp;$L655)</f>
        <v/>
      </c>
    </row>
    <row r="656" customFormat="false" ht="15" hidden="false" customHeight="false" outlineLevel="0" collapsed="false">
      <c r="K656" s="26" t="b">
        <f aca="false">IF(대여내역!$A653="",FALSE(),OR(대여내역!$L653="미반납",대여내역!$L653="부분반납"))</f>
        <v>0</v>
      </c>
      <c r="L656" s="6" t="str">
        <f aca="false">IF($K656=FALSE(),"",COUNTIF($K$6:$K656,TRUE()))</f>
        <v/>
      </c>
      <c r="M656" s="6" t="str">
        <f aca="false">IF($L656="","","R"&amp;$L656)</f>
        <v/>
      </c>
    </row>
    <row r="657" customFormat="false" ht="15" hidden="false" customHeight="false" outlineLevel="0" collapsed="false">
      <c r="K657" s="26" t="b">
        <f aca="false">IF(대여내역!$A654="",FALSE(),OR(대여내역!$L654="미반납",대여내역!$L654="부분반납"))</f>
        <v>0</v>
      </c>
      <c r="L657" s="6" t="str">
        <f aca="false">IF($K657=FALSE(),"",COUNTIF($K$6:$K657,TRUE()))</f>
        <v/>
      </c>
      <c r="M657" s="6" t="str">
        <f aca="false">IF($L657="","","R"&amp;$L657)</f>
        <v/>
      </c>
    </row>
    <row r="658" customFormat="false" ht="15" hidden="false" customHeight="false" outlineLevel="0" collapsed="false">
      <c r="K658" s="26" t="b">
        <f aca="false">IF(대여내역!$A655="",FALSE(),OR(대여내역!$L655="미반납",대여내역!$L655="부분반납"))</f>
        <v>0</v>
      </c>
      <c r="L658" s="6" t="str">
        <f aca="false">IF($K658=FALSE(),"",COUNTIF($K$6:$K658,TRUE()))</f>
        <v/>
      </c>
      <c r="M658" s="6" t="str">
        <f aca="false">IF($L658="","","R"&amp;$L658)</f>
        <v/>
      </c>
    </row>
    <row r="659" customFormat="false" ht="15" hidden="false" customHeight="false" outlineLevel="0" collapsed="false">
      <c r="K659" s="26" t="b">
        <f aca="false">IF(대여내역!$A656="",FALSE(),OR(대여내역!$L656="미반납",대여내역!$L656="부분반납"))</f>
        <v>0</v>
      </c>
      <c r="L659" s="6" t="str">
        <f aca="false">IF($K659=FALSE(),"",COUNTIF($K$6:$K659,TRUE()))</f>
        <v/>
      </c>
      <c r="M659" s="6" t="str">
        <f aca="false">IF($L659="","","R"&amp;$L659)</f>
        <v/>
      </c>
    </row>
    <row r="660" customFormat="false" ht="15" hidden="false" customHeight="false" outlineLevel="0" collapsed="false">
      <c r="K660" s="26" t="b">
        <f aca="false">IF(대여내역!$A657="",FALSE(),OR(대여내역!$L657="미반납",대여내역!$L657="부분반납"))</f>
        <v>0</v>
      </c>
      <c r="L660" s="6" t="str">
        <f aca="false">IF($K660=FALSE(),"",COUNTIF($K$6:$K660,TRUE()))</f>
        <v/>
      </c>
      <c r="M660" s="6" t="str">
        <f aca="false">IF($L660="","","R"&amp;$L660)</f>
        <v/>
      </c>
    </row>
    <row r="661" customFormat="false" ht="15" hidden="false" customHeight="false" outlineLevel="0" collapsed="false">
      <c r="K661" s="26" t="b">
        <f aca="false">IF(대여내역!$A658="",FALSE(),OR(대여내역!$L658="미반납",대여내역!$L658="부분반납"))</f>
        <v>0</v>
      </c>
      <c r="L661" s="6" t="str">
        <f aca="false">IF($K661=FALSE(),"",COUNTIF($K$6:$K661,TRUE()))</f>
        <v/>
      </c>
      <c r="M661" s="6" t="str">
        <f aca="false">IF($L661="","","R"&amp;$L661)</f>
        <v/>
      </c>
    </row>
    <row r="662" customFormat="false" ht="15" hidden="false" customHeight="false" outlineLevel="0" collapsed="false">
      <c r="K662" s="26" t="b">
        <f aca="false">IF(대여내역!$A659="",FALSE(),OR(대여내역!$L659="미반납",대여내역!$L659="부분반납"))</f>
        <v>0</v>
      </c>
      <c r="L662" s="6" t="str">
        <f aca="false">IF($K662=FALSE(),"",COUNTIF($K$6:$K662,TRUE()))</f>
        <v/>
      </c>
      <c r="M662" s="6" t="str">
        <f aca="false">IF($L662="","","R"&amp;$L662)</f>
        <v/>
      </c>
    </row>
    <row r="663" customFormat="false" ht="15" hidden="false" customHeight="false" outlineLevel="0" collapsed="false">
      <c r="K663" s="26" t="b">
        <f aca="false">IF(대여내역!$A660="",FALSE(),OR(대여내역!$L660="미반납",대여내역!$L660="부분반납"))</f>
        <v>0</v>
      </c>
      <c r="L663" s="6" t="str">
        <f aca="false">IF($K663=FALSE(),"",COUNTIF($K$6:$K663,TRUE()))</f>
        <v/>
      </c>
      <c r="M663" s="6" t="str">
        <f aca="false">IF($L663="","","R"&amp;$L663)</f>
        <v/>
      </c>
    </row>
    <row r="664" customFormat="false" ht="15" hidden="false" customHeight="false" outlineLevel="0" collapsed="false">
      <c r="K664" s="26" t="b">
        <f aca="false">IF(대여내역!$A661="",FALSE(),OR(대여내역!$L661="미반납",대여내역!$L661="부분반납"))</f>
        <v>0</v>
      </c>
      <c r="L664" s="6" t="str">
        <f aca="false">IF($K664=FALSE(),"",COUNTIF($K$6:$K664,TRUE()))</f>
        <v/>
      </c>
      <c r="M664" s="6" t="str">
        <f aca="false">IF($L664="","","R"&amp;$L664)</f>
        <v/>
      </c>
    </row>
    <row r="665" customFormat="false" ht="15" hidden="false" customHeight="false" outlineLevel="0" collapsed="false">
      <c r="K665" s="26" t="b">
        <f aca="false">IF(대여내역!$A662="",FALSE(),OR(대여내역!$L662="미반납",대여내역!$L662="부분반납"))</f>
        <v>0</v>
      </c>
      <c r="L665" s="6" t="str">
        <f aca="false">IF($K665=FALSE(),"",COUNTIF($K$6:$K665,TRUE()))</f>
        <v/>
      </c>
      <c r="M665" s="6" t="str">
        <f aca="false">IF($L665="","","R"&amp;$L665)</f>
        <v/>
      </c>
    </row>
    <row r="666" customFormat="false" ht="15" hidden="false" customHeight="false" outlineLevel="0" collapsed="false">
      <c r="K666" s="26" t="b">
        <f aca="false">IF(대여내역!$A663="",FALSE(),OR(대여내역!$L663="미반납",대여내역!$L663="부분반납"))</f>
        <v>0</v>
      </c>
      <c r="L666" s="6" t="str">
        <f aca="false">IF($K666=FALSE(),"",COUNTIF($K$6:$K666,TRUE()))</f>
        <v/>
      </c>
      <c r="M666" s="6" t="str">
        <f aca="false">IF($L666="","","R"&amp;$L666)</f>
        <v/>
      </c>
    </row>
    <row r="667" customFormat="false" ht="15" hidden="false" customHeight="false" outlineLevel="0" collapsed="false">
      <c r="K667" s="26" t="b">
        <f aca="false">IF(대여내역!$A664="",FALSE(),OR(대여내역!$L664="미반납",대여내역!$L664="부분반납"))</f>
        <v>0</v>
      </c>
      <c r="L667" s="6" t="str">
        <f aca="false">IF($K667=FALSE(),"",COUNTIF($K$6:$K667,TRUE()))</f>
        <v/>
      </c>
      <c r="M667" s="6" t="str">
        <f aca="false">IF($L667="","","R"&amp;$L667)</f>
        <v/>
      </c>
    </row>
    <row r="668" customFormat="false" ht="15" hidden="false" customHeight="false" outlineLevel="0" collapsed="false">
      <c r="K668" s="26" t="b">
        <f aca="false">IF(대여내역!$A665="",FALSE(),OR(대여내역!$L665="미반납",대여내역!$L665="부분반납"))</f>
        <v>0</v>
      </c>
      <c r="L668" s="6" t="str">
        <f aca="false">IF($K668=FALSE(),"",COUNTIF($K$6:$K668,TRUE()))</f>
        <v/>
      </c>
      <c r="M668" s="6" t="str">
        <f aca="false">IF($L668="","","R"&amp;$L668)</f>
        <v/>
      </c>
    </row>
    <row r="669" customFormat="false" ht="15" hidden="false" customHeight="false" outlineLevel="0" collapsed="false">
      <c r="K669" s="26" t="b">
        <f aca="false">IF(대여내역!$A666="",FALSE(),OR(대여내역!$L666="미반납",대여내역!$L666="부분반납"))</f>
        <v>0</v>
      </c>
      <c r="L669" s="6" t="str">
        <f aca="false">IF($K669=FALSE(),"",COUNTIF($K$6:$K669,TRUE()))</f>
        <v/>
      </c>
      <c r="M669" s="6" t="str">
        <f aca="false">IF($L669="","","R"&amp;$L669)</f>
        <v/>
      </c>
    </row>
    <row r="670" customFormat="false" ht="15" hidden="false" customHeight="false" outlineLevel="0" collapsed="false">
      <c r="K670" s="26" t="b">
        <f aca="false">IF(대여내역!$A667="",FALSE(),OR(대여내역!$L667="미반납",대여내역!$L667="부분반납"))</f>
        <v>0</v>
      </c>
      <c r="L670" s="6" t="str">
        <f aca="false">IF($K670=FALSE(),"",COUNTIF($K$6:$K670,TRUE()))</f>
        <v/>
      </c>
      <c r="M670" s="6" t="str">
        <f aca="false">IF($L670="","","R"&amp;$L670)</f>
        <v/>
      </c>
    </row>
    <row r="671" customFormat="false" ht="15" hidden="false" customHeight="false" outlineLevel="0" collapsed="false">
      <c r="K671" s="26" t="b">
        <f aca="false">IF(대여내역!$A668="",FALSE(),OR(대여내역!$L668="미반납",대여내역!$L668="부분반납"))</f>
        <v>0</v>
      </c>
      <c r="L671" s="6" t="str">
        <f aca="false">IF($K671=FALSE(),"",COUNTIF($K$6:$K671,TRUE()))</f>
        <v/>
      </c>
      <c r="M671" s="6" t="str">
        <f aca="false">IF($L671="","","R"&amp;$L671)</f>
        <v/>
      </c>
    </row>
    <row r="672" customFormat="false" ht="15" hidden="false" customHeight="false" outlineLevel="0" collapsed="false">
      <c r="K672" s="26" t="b">
        <f aca="false">IF(대여내역!$A669="",FALSE(),OR(대여내역!$L669="미반납",대여내역!$L669="부분반납"))</f>
        <v>0</v>
      </c>
      <c r="L672" s="6" t="str">
        <f aca="false">IF($K672=FALSE(),"",COUNTIF($K$6:$K672,TRUE()))</f>
        <v/>
      </c>
      <c r="M672" s="6" t="str">
        <f aca="false">IF($L672="","","R"&amp;$L672)</f>
        <v/>
      </c>
    </row>
    <row r="673" customFormat="false" ht="15" hidden="false" customHeight="false" outlineLevel="0" collapsed="false">
      <c r="K673" s="26" t="b">
        <f aca="false">IF(대여내역!$A670="",FALSE(),OR(대여내역!$L670="미반납",대여내역!$L670="부분반납"))</f>
        <v>0</v>
      </c>
      <c r="L673" s="6" t="str">
        <f aca="false">IF($K673=FALSE(),"",COUNTIF($K$6:$K673,TRUE()))</f>
        <v/>
      </c>
      <c r="M673" s="6" t="str">
        <f aca="false">IF($L673="","","R"&amp;$L673)</f>
        <v/>
      </c>
    </row>
    <row r="674" customFormat="false" ht="15" hidden="false" customHeight="false" outlineLevel="0" collapsed="false">
      <c r="K674" s="26" t="b">
        <f aca="false">IF(대여내역!$A671="",FALSE(),OR(대여내역!$L671="미반납",대여내역!$L671="부분반납"))</f>
        <v>0</v>
      </c>
      <c r="L674" s="6" t="str">
        <f aca="false">IF($K674=FALSE(),"",COUNTIF($K$6:$K674,TRUE()))</f>
        <v/>
      </c>
      <c r="M674" s="6" t="str">
        <f aca="false">IF($L674="","","R"&amp;$L674)</f>
        <v/>
      </c>
    </row>
    <row r="675" customFormat="false" ht="15" hidden="false" customHeight="false" outlineLevel="0" collapsed="false">
      <c r="K675" s="26" t="b">
        <f aca="false">IF(대여내역!$A672="",FALSE(),OR(대여내역!$L672="미반납",대여내역!$L672="부분반납"))</f>
        <v>0</v>
      </c>
      <c r="L675" s="6" t="str">
        <f aca="false">IF($K675=FALSE(),"",COUNTIF($K$6:$K675,TRUE()))</f>
        <v/>
      </c>
      <c r="M675" s="6" t="str">
        <f aca="false">IF($L675="","","R"&amp;$L675)</f>
        <v/>
      </c>
    </row>
    <row r="676" customFormat="false" ht="15" hidden="false" customHeight="false" outlineLevel="0" collapsed="false">
      <c r="K676" s="26" t="b">
        <f aca="false">IF(대여내역!$A673="",FALSE(),OR(대여내역!$L673="미반납",대여내역!$L673="부분반납"))</f>
        <v>0</v>
      </c>
      <c r="L676" s="6" t="str">
        <f aca="false">IF($K676=FALSE(),"",COUNTIF($K$6:$K676,TRUE()))</f>
        <v/>
      </c>
      <c r="M676" s="6" t="str">
        <f aca="false">IF($L676="","","R"&amp;$L676)</f>
        <v/>
      </c>
    </row>
    <row r="677" customFormat="false" ht="15" hidden="false" customHeight="false" outlineLevel="0" collapsed="false">
      <c r="K677" s="26" t="b">
        <f aca="false">IF(대여내역!$A674="",FALSE(),OR(대여내역!$L674="미반납",대여내역!$L674="부분반납"))</f>
        <v>0</v>
      </c>
      <c r="L677" s="6" t="str">
        <f aca="false">IF($K677=FALSE(),"",COUNTIF($K$6:$K677,TRUE()))</f>
        <v/>
      </c>
      <c r="M677" s="6" t="str">
        <f aca="false">IF($L677="","","R"&amp;$L677)</f>
        <v/>
      </c>
    </row>
    <row r="678" customFormat="false" ht="15" hidden="false" customHeight="false" outlineLevel="0" collapsed="false">
      <c r="K678" s="26" t="b">
        <f aca="false">IF(대여내역!$A675="",FALSE(),OR(대여내역!$L675="미반납",대여내역!$L675="부분반납"))</f>
        <v>0</v>
      </c>
      <c r="L678" s="6" t="str">
        <f aca="false">IF($K678=FALSE(),"",COUNTIF($K$6:$K678,TRUE()))</f>
        <v/>
      </c>
      <c r="M678" s="6" t="str">
        <f aca="false">IF($L678="","","R"&amp;$L678)</f>
        <v/>
      </c>
    </row>
    <row r="679" customFormat="false" ht="15" hidden="false" customHeight="false" outlineLevel="0" collapsed="false">
      <c r="K679" s="26" t="b">
        <f aca="false">IF(대여내역!$A676="",FALSE(),OR(대여내역!$L676="미반납",대여내역!$L676="부분반납"))</f>
        <v>0</v>
      </c>
      <c r="L679" s="6" t="str">
        <f aca="false">IF($K679=FALSE(),"",COUNTIF($K$6:$K679,TRUE()))</f>
        <v/>
      </c>
      <c r="M679" s="6" t="str">
        <f aca="false">IF($L679="","","R"&amp;$L679)</f>
        <v/>
      </c>
    </row>
    <row r="680" customFormat="false" ht="15" hidden="false" customHeight="false" outlineLevel="0" collapsed="false">
      <c r="K680" s="26" t="b">
        <f aca="false">IF(대여내역!$A677="",FALSE(),OR(대여내역!$L677="미반납",대여내역!$L677="부분반납"))</f>
        <v>0</v>
      </c>
      <c r="L680" s="6" t="str">
        <f aca="false">IF($K680=FALSE(),"",COUNTIF($K$6:$K680,TRUE()))</f>
        <v/>
      </c>
      <c r="M680" s="6" t="str">
        <f aca="false">IF($L680="","","R"&amp;$L680)</f>
        <v/>
      </c>
    </row>
    <row r="681" customFormat="false" ht="15" hidden="false" customHeight="false" outlineLevel="0" collapsed="false">
      <c r="K681" s="26" t="b">
        <f aca="false">IF(대여내역!$A678="",FALSE(),OR(대여내역!$L678="미반납",대여내역!$L678="부분반납"))</f>
        <v>0</v>
      </c>
      <c r="L681" s="6" t="str">
        <f aca="false">IF($K681=FALSE(),"",COUNTIF($K$6:$K681,TRUE()))</f>
        <v/>
      </c>
      <c r="M681" s="6" t="str">
        <f aca="false">IF($L681="","","R"&amp;$L681)</f>
        <v/>
      </c>
    </row>
    <row r="682" customFormat="false" ht="15" hidden="false" customHeight="false" outlineLevel="0" collapsed="false">
      <c r="K682" s="26" t="b">
        <f aca="false">IF(대여내역!$A679="",FALSE(),OR(대여내역!$L679="미반납",대여내역!$L679="부분반납"))</f>
        <v>0</v>
      </c>
      <c r="L682" s="6" t="str">
        <f aca="false">IF($K682=FALSE(),"",COUNTIF($K$6:$K682,TRUE()))</f>
        <v/>
      </c>
      <c r="M682" s="6" t="str">
        <f aca="false">IF($L682="","","R"&amp;$L682)</f>
        <v/>
      </c>
    </row>
    <row r="683" customFormat="false" ht="15" hidden="false" customHeight="false" outlineLevel="0" collapsed="false">
      <c r="K683" s="26" t="b">
        <f aca="false">IF(대여내역!$A680="",FALSE(),OR(대여내역!$L680="미반납",대여내역!$L680="부분반납"))</f>
        <v>0</v>
      </c>
      <c r="L683" s="6" t="str">
        <f aca="false">IF($K683=FALSE(),"",COUNTIF($K$6:$K683,TRUE()))</f>
        <v/>
      </c>
      <c r="M683" s="6" t="str">
        <f aca="false">IF($L683="","","R"&amp;$L683)</f>
        <v/>
      </c>
    </row>
    <row r="684" customFormat="false" ht="15" hidden="false" customHeight="false" outlineLevel="0" collapsed="false">
      <c r="K684" s="26" t="b">
        <f aca="false">IF(대여내역!$A681="",FALSE(),OR(대여내역!$L681="미반납",대여내역!$L681="부분반납"))</f>
        <v>0</v>
      </c>
      <c r="L684" s="6" t="str">
        <f aca="false">IF($K684=FALSE(),"",COUNTIF($K$6:$K684,TRUE()))</f>
        <v/>
      </c>
      <c r="M684" s="6" t="str">
        <f aca="false">IF($L684="","","R"&amp;$L684)</f>
        <v/>
      </c>
    </row>
    <row r="685" customFormat="false" ht="15" hidden="false" customHeight="false" outlineLevel="0" collapsed="false">
      <c r="K685" s="26" t="b">
        <f aca="false">IF(대여내역!$A682="",FALSE(),OR(대여내역!$L682="미반납",대여내역!$L682="부분반납"))</f>
        <v>0</v>
      </c>
      <c r="L685" s="6" t="str">
        <f aca="false">IF($K685=FALSE(),"",COUNTIF($K$6:$K685,TRUE()))</f>
        <v/>
      </c>
      <c r="M685" s="6" t="str">
        <f aca="false">IF($L685="","","R"&amp;$L685)</f>
        <v/>
      </c>
    </row>
    <row r="686" customFormat="false" ht="15" hidden="false" customHeight="false" outlineLevel="0" collapsed="false">
      <c r="K686" s="26" t="b">
        <f aca="false">IF(대여내역!$A683="",FALSE(),OR(대여내역!$L683="미반납",대여내역!$L683="부분반납"))</f>
        <v>0</v>
      </c>
      <c r="L686" s="6" t="str">
        <f aca="false">IF($K686=FALSE(),"",COUNTIF($K$6:$K686,TRUE()))</f>
        <v/>
      </c>
      <c r="M686" s="6" t="str">
        <f aca="false">IF($L686="","","R"&amp;$L686)</f>
        <v/>
      </c>
    </row>
    <row r="687" customFormat="false" ht="15" hidden="false" customHeight="false" outlineLevel="0" collapsed="false">
      <c r="K687" s="26" t="b">
        <f aca="false">IF(대여내역!$A684="",FALSE(),OR(대여내역!$L684="미반납",대여내역!$L684="부분반납"))</f>
        <v>0</v>
      </c>
      <c r="L687" s="6" t="str">
        <f aca="false">IF($K687=FALSE(),"",COUNTIF($K$6:$K687,TRUE()))</f>
        <v/>
      </c>
      <c r="M687" s="6" t="str">
        <f aca="false">IF($L687="","","R"&amp;$L687)</f>
        <v/>
      </c>
    </row>
    <row r="688" customFormat="false" ht="15" hidden="false" customHeight="false" outlineLevel="0" collapsed="false">
      <c r="K688" s="26" t="b">
        <f aca="false">IF(대여내역!$A685="",FALSE(),OR(대여내역!$L685="미반납",대여내역!$L685="부분반납"))</f>
        <v>0</v>
      </c>
      <c r="L688" s="6" t="str">
        <f aca="false">IF($K688=FALSE(),"",COUNTIF($K$6:$K688,TRUE()))</f>
        <v/>
      </c>
      <c r="M688" s="6" t="str">
        <f aca="false">IF($L688="","","R"&amp;$L688)</f>
        <v/>
      </c>
    </row>
    <row r="689" customFormat="false" ht="15" hidden="false" customHeight="false" outlineLevel="0" collapsed="false">
      <c r="K689" s="26" t="b">
        <f aca="false">IF(대여내역!$A686="",FALSE(),OR(대여내역!$L686="미반납",대여내역!$L686="부분반납"))</f>
        <v>0</v>
      </c>
      <c r="L689" s="6" t="str">
        <f aca="false">IF($K689=FALSE(),"",COUNTIF($K$6:$K689,TRUE()))</f>
        <v/>
      </c>
      <c r="M689" s="6" t="str">
        <f aca="false">IF($L689="","","R"&amp;$L689)</f>
        <v/>
      </c>
    </row>
    <row r="690" customFormat="false" ht="15" hidden="false" customHeight="false" outlineLevel="0" collapsed="false">
      <c r="K690" s="26" t="b">
        <f aca="false">IF(대여내역!$A687="",FALSE(),OR(대여내역!$L687="미반납",대여내역!$L687="부분반납"))</f>
        <v>0</v>
      </c>
      <c r="L690" s="6" t="str">
        <f aca="false">IF($K690=FALSE(),"",COUNTIF($K$6:$K690,TRUE()))</f>
        <v/>
      </c>
      <c r="M690" s="6" t="str">
        <f aca="false">IF($L690="","","R"&amp;$L690)</f>
        <v/>
      </c>
    </row>
    <row r="691" customFormat="false" ht="15" hidden="false" customHeight="false" outlineLevel="0" collapsed="false">
      <c r="K691" s="26" t="b">
        <f aca="false">IF(대여내역!$A688="",FALSE(),OR(대여내역!$L688="미반납",대여내역!$L688="부분반납"))</f>
        <v>0</v>
      </c>
      <c r="L691" s="6" t="str">
        <f aca="false">IF($K691=FALSE(),"",COUNTIF($K$6:$K691,TRUE()))</f>
        <v/>
      </c>
      <c r="M691" s="6" t="str">
        <f aca="false">IF($L691="","","R"&amp;$L691)</f>
        <v/>
      </c>
    </row>
    <row r="692" customFormat="false" ht="15" hidden="false" customHeight="false" outlineLevel="0" collapsed="false">
      <c r="K692" s="26" t="b">
        <f aca="false">IF(대여내역!$A689="",FALSE(),OR(대여내역!$L689="미반납",대여내역!$L689="부분반납"))</f>
        <v>0</v>
      </c>
      <c r="L692" s="6" t="str">
        <f aca="false">IF($K692=FALSE(),"",COUNTIF($K$6:$K692,TRUE()))</f>
        <v/>
      </c>
      <c r="M692" s="6" t="str">
        <f aca="false">IF($L692="","","R"&amp;$L692)</f>
        <v/>
      </c>
    </row>
    <row r="693" customFormat="false" ht="15" hidden="false" customHeight="false" outlineLevel="0" collapsed="false">
      <c r="K693" s="26" t="b">
        <f aca="false">IF(대여내역!$A690="",FALSE(),OR(대여내역!$L690="미반납",대여내역!$L690="부분반납"))</f>
        <v>0</v>
      </c>
      <c r="L693" s="6" t="str">
        <f aca="false">IF($K693=FALSE(),"",COUNTIF($K$6:$K693,TRUE()))</f>
        <v/>
      </c>
      <c r="M693" s="6" t="str">
        <f aca="false">IF($L693="","","R"&amp;$L693)</f>
        <v/>
      </c>
    </row>
    <row r="694" customFormat="false" ht="15" hidden="false" customHeight="false" outlineLevel="0" collapsed="false">
      <c r="K694" s="26" t="b">
        <f aca="false">IF(대여내역!$A691="",FALSE(),OR(대여내역!$L691="미반납",대여내역!$L691="부분반납"))</f>
        <v>0</v>
      </c>
      <c r="L694" s="6" t="str">
        <f aca="false">IF($K694=FALSE(),"",COUNTIF($K$6:$K694,TRUE()))</f>
        <v/>
      </c>
      <c r="M694" s="6" t="str">
        <f aca="false">IF($L694="","","R"&amp;$L694)</f>
        <v/>
      </c>
    </row>
    <row r="695" customFormat="false" ht="15" hidden="false" customHeight="false" outlineLevel="0" collapsed="false">
      <c r="K695" s="26" t="b">
        <f aca="false">IF(대여내역!$A692="",FALSE(),OR(대여내역!$L692="미반납",대여내역!$L692="부분반납"))</f>
        <v>0</v>
      </c>
      <c r="L695" s="6" t="str">
        <f aca="false">IF($K695=FALSE(),"",COUNTIF($K$6:$K695,TRUE()))</f>
        <v/>
      </c>
      <c r="M695" s="6" t="str">
        <f aca="false">IF($L695="","","R"&amp;$L695)</f>
        <v/>
      </c>
    </row>
    <row r="696" customFormat="false" ht="15" hidden="false" customHeight="false" outlineLevel="0" collapsed="false">
      <c r="K696" s="26" t="b">
        <f aca="false">IF(대여내역!$A693="",FALSE(),OR(대여내역!$L693="미반납",대여내역!$L693="부분반납"))</f>
        <v>0</v>
      </c>
      <c r="L696" s="6" t="str">
        <f aca="false">IF($K696=FALSE(),"",COUNTIF($K$6:$K696,TRUE()))</f>
        <v/>
      </c>
      <c r="M696" s="6" t="str">
        <f aca="false">IF($L696="","","R"&amp;$L696)</f>
        <v/>
      </c>
    </row>
    <row r="697" customFormat="false" ht="15" hidden="false" customHeight="false" outlineLevel="0" collapsed="false">
      <c r="K697" s="26" t="b">
        <f aca="false">IF(대여내역!$A694="",FALSE(),OR(대여내역!$L694="미반납",대여내역!$L694="부분반납"))</f>
        <v>0</v>
      </c>
      <c r="L697" s="6" t="str">
        <f aca="false">IF($K697=FALSE(),"",COUNTIF($K$6:$K697,TRUE()))</f>
        <v/>
      </c>
      <c r="M697" s="6" t="str">
        <f aca="false">IF($L697="","","R"&amp;$L697)</f>
        <v/>
      </c>
    </row>
    <row r="698" customFormat="false" ht="15" hidden="false" customHeight="false" outlineLevel="0" collapsed="false">
      <c r="K698" s="26" t="b">
        <f aca="false">IF(대여내역!$A695="",FALSE(),OR(대여내역!$L695="미반납",대여내역!$L695="부분반납"))</f>
        <v>0</v>
      </c>
      <c r="L698" s="6" t="str">
        <f aca="false">IF($K698=FALSE(),"",COUNTIF($K$6:$K698,TRUE()))</f>
        <v/>
      </c>
      <c r="M698" s="6" t="str">
        <f aca="false">IF($L698="","","R"&amp;$L698)</f>
        <v/>
      </c>
    </row>
    <row r="699" customFormat="false" ht="15" hidden="false" customHeight="false" outlineLevel="0" collapsed="false">
      <c r="K699" s="26" t="b">
        <f aca="false">IF(대여내역!$A696="",FALSE(),OR(대여내역!$L696="미반납",대여내역!$L696="부분반납"))</f>
        <v>0</v>
      </c>
      <c r="L699" s="6" t="str">
        <f aca="false">IF($K699=FALSE(),"",COUNTIF($K$6:$K699,TRUE()))</f>
        <v/>
      </c>
      <c r="M699" s="6" t="str">
        <f aca="false">IF($L699="","","R"&amp;$L699)</f>
        <v/>
      </c>
    </row>
    <row r="700" customFormat="false" ht="15" hidden="false" customHeight="false" outlineLevel="0" collapsed="false">
      <c r="K700" s="26" t="b">
        <f aca="false">IF(대여내역!$A697="",FALSE(),OR(대여내역!$L697="미반납",대여내역!$L697="부분반납"))</f>
        <v>0</v>
      </c>
      <c r="L700" s="6" t="str">
        <f aca="false">IF($K700=FALSE(),"",COUNTIF($K$6:$K700,TRUE()))</f>
        <v/>
      </c>
      <c r="M700" s="6" t="str">
        <f aca="false">IF($L700="","","R"&amp;$L700)</f>
        <v/>
      </c>
    </row>
    <row r="701" customFormat="false" ht="15" hidden="false" customHeight="false" outlineLevel="0" collapsed="false">
      <c r="K701" s="26" t="b">
        <f aca="false">IF(대여내역!$A698="",FALSE(),OR(대여내역!$L698="미반납",대여내역!$L698="부분반납"))</f>
        <v>0</v>
      </c>
      <c r="L701" s="6" t="str">
        <f aca="false">IF($K701=FALSE(),"",COUNTIF($K$6:$K701,TRUE()))</f>
        <v/>
      </c>
      <c r="M701" s="6" t="str">
        <f aca="false">IF($L701="","","R"&amp;$L701)</f>
        <v/>
      </c>
    </row>
    <row r="702" customFormat="false" ht="15" hidden="false" customHeight="false" outlineLevel="0" collapsed="false">
      <c r="K702" s="26" t="b">
        <f aca="false">IF(대여내역!$A699="",FALSE(),OR(대여내역!$L699="미반납",대여내역!$L699="부분반납"))</f>
        <v>0</v>
      </c>
      <c r="L702" s="6" t="str">
        <f aca="false">IF($K702=FALSE(),"",COUNTIF($K$6:$K702,TRUE()))</f>
        <v/>
      </c>
      <c r="M702" s="6" t="str">
        <f aca="false">IF($L702="","","R"&amp;$L702)</f>
        <v/>
      </c>
    </row>
    <row r="703" customFormat="false" ht="15" hidden="false" customHeight="false" outlineLevel="0" collapsed="false">
      <c r="K703" s="26" t="b">
        <f aca="false">IF(대여내역!$A700="",FALSE(),OR(대여내역!$L700="미반납",대여내역!$L700="부분반납"))</f>
        <v>0</v>
      </c>
      <c r="L703" s="6" t="str">
        <f aca="false">IF($K703=FALSE(),"",COUNTIF($K$6:$K703,TRUE()))</f>
        <v/>
      </c>
      <c r="M703" s="6" t="str">
        <f aca="false">IF($L703="","","R"&amp;$L703)</f>
        <v/>
      </c>
    </row>
    <row r="704" customFormat="false" ht="15" hidden="false" customHeight="false" outlineLevel="0" collapsed="false">
      <c r="K704" s="26" t="b">
        <f aca="false">IF(대여내역!$A701="",FALSE(),OR(대여내역!$L701="미반납",대여내역!$L701="부분반납"))</f>
        <v>0</v>
      </c>
      <c r="L704" s="6" t="str">
        <f aca="false">IF($K704=FALSE(),"",COUNTIF($K$6:$K704,TRUE()))</f>
        <v/>
      </c>
      <c r="M704" s="6" t="str">
        <f aca="false">IF($L704="","","R"&amp;$L704)</f>
        <v/>
      </c>
    </row>
    <row r="705" customFormat="false" ht="15" hidden="false" customHeight="false" outlineLevel="0" collapsed="false">
      <c r="K705" s="26" t="b">
        <f aca="false">IF(대여내역!$A702="",FALSE(),OR(대여내역!$L702="미반납",대여내역!$L702="부분반납"))</f>
        <v>0</v>
      </c>
      <c r="L705" s="6" t="str">
        <f aca="false">IF($K705=FALSE(),"",COUNTIF($K$6:$K705,TRUE()))</f>
        <v/>
      </c>
      <c r="M705" s="6" t="str">
        <f aca="false">IF($L705="","","R"&amp;$L705)</f>
        <v/>
      </c>
    </row>
    <row r="706" customFormat="false" ht="15" hidden="false" customHeight="false" outlineLevel="0" collapsed="false">
      <c r="K706" s="26" t="b">
        <f aca="false">IF(대여내역!$A703="",FALSE(),OR(대여내역!$L703="미반납",대여내역!$L703="부분반납"))</f>
        <v>0</v>
      </c>
      <c r="L706" s="6" t="str">
        <f aca="false">IF($K706=FALSE(),"",COUNTIF($K$6:$K706,TRUE()))</f>
        <v/>
      </c>
      <c r="M706" s="6" t="str">
        <f aca="false">IF($L706="","","R"&amp;$L706)</f>
        <v/>
      </c>
    </row>
    <row r="707" customFormat="false" ht="15" hidden="false" customHeight="false" outlineLevel="0" collapsed="false">
      <c r="K707" s="26" t="b">
        <f aca="false">IF(대여내역!$A704="",FALSE(),OR(대여내역!$L704="미반납",대여내역!$L704="부분반납"))</f>
        <v>0</v>
      </c>
      <c r="L707" s="6" t="str">
        <f aca="false">IF($K707=FALSE(),"",COUNTIF($K$6:$K707,TRUE()))</f>
        <v/>
      </c>
      <c r="M707" s="6" t="str">
        <f aca="false">IF($L707="","","R"&amp;$L707)</f>
        <v/>
      </c>
    </row>
    <row r="708" customFormat="false" ht="15" hidden="false" customHeight="false" outlineLevel="0" collapsed="false">
      <c r="K708" s="26" t="b">
        <f aca="false">IF(대여내역!$A705="",FALSE(),OR(대여내역!$L705="미반납",대여내역!$L705="부분반납"))</f>
        <v>0</v>
      </c>
      <c r="L708" s="6" t="str">
        <f aca="false">IF($K708=FALSE(),"",COUNTIF($K$6:$K708,TRUE()))</f>
        <v/>
      </c>
      <c r="M708" s="6" t="str">
        <f aca="false">IF($L708="","","R"&amp;$L708)</f>
        <v/>
      </c>
    </row>
    <row r="709" customFormat="false" ht="15" hidden="false" customHeight="false" outlineLevel="0" collapsed="false">
      <c r="K709" s="26" t="b">
        <f aca="false">IF(대여내역!$A706="",FALSE(),OR(대여내역!$L706="미반납",대여내역!$L706="부분반납"))</f>
        <v>0</v>
      </c>
      <c r="L709" s="6" t="str">
        <f aca="false">IF($K709=FALSE(),"",COUNTIF($K$6:$K709,TRUE()))</f>
        <v/>
      </c>
      <c r="M709" s="6" t="str">
        <f aca="false">IF($L709="","","R"&amp;$L709)</f>
        <v/>
      </c>
    </row>
    <row r="710" customFormat="false" ht="15" hidden="false" customHeight="false" outlineLevel="0" collapsed="false">
      <c r="K710" s="26" t="b">
        <f aca="false">IF(대여내역!$A707="",FALSE(),OR(대여내역!$L707="미반납",대여내역!$L707="부분반납"))</f>
        <v>0</v>
      </c>
      <c r="L710" s="6" t="str">
        <f aca="false">IF($K710=FALSE(),"",COUNTIF($K$6:$K710,TRUE()))</f>
        <v/>
      </c>
      <c r="M710" s="6" t="str">
        <f aca="false">IF($L710="","","R"&amp;$L710)</f>
        <v/>
      </c>
    </row>
    <row r="711" customFormat="false" ht="15" hidden="false" customHeight="false" outlineLevel="0" collapsed="false">
      <c r="K711" s="26" t="b">
        <f aca="false">IF(대여내역!$A708="",FALSE(),OR(대여내역!$L708="미반납",대여내역!$L708="부분반납"))</f>
        <v>0</v>
      </c>
      <c r="L711" s="6" t="str">
        <f aca="false">IF($K711=FALSE(),"",COUNTIF($K$6:$K711,TRUE()))</f>
        <v/>
      </c>
      <c r="M711" s="6" t="str">
        <f aca="false">IF($L711="","","R"&amp;$L711)</f>
        <v/>
      </c>
    </row>
    <row r="712" customFormat="false" ht="15" hidden="false" customHeight="false" outlineLevel="0" collapsed="false">
      <c r="K712" s="26" t="b">
        <f aca="false">IF(대여내역!$A709="",FALSE(),OR(대여내역!$L709="미반납",대여내역!$L709="부분반납"))</f>
        <v>0</v>
      </c>
      <c r="L712" s="6" t="str">
        <f aca="false">IF($K712=FALSE(),"",COUNTIF($K$6:$K712,TRUE()))</f>
        <v/>
      </c>
      <c r="M712" s="6" t="str">
        <f aca="false">IF($L712="","","R"&amp;$L712)</f>
        <v/>
      </c>
    </row>
    <row r="713" customFormat="false" ht="15" hidden="false" customHeight="false" outlineLevel="0" collapsed="false">
      <c r="K713" s="26" t="b">
        <f aca="false">IF(대여내역!$A710="",FALSE(),OR(대여내역!$L710="미반납",대여내역!$L710="부분반납"))</f>
        <v>0</v>
      </c>
      <c r="L713" s="6" t="str">
        <f aca="false">IF($K713=FALSE(),"",COUNTIF($K$6:$K713,TRUE()))</f>
        <v/>
      </c>
      <c r="M713" s="6" t="str">
        <f aca="false">IF($L713="","","R"&amp;$L713)</f>
        <v/>
      </c>
    </row>
    <row r="714" customFormat="false" ht="15" hidden="false" customHeight="false" outlineLevel="0" collapsed="false">
      <c r="K714" s="26" t="b">
        <f aca="false">IF(대여내역!$A711="",FALSE(),OR(대여내역!$L711="미반납",대여내역!$L711="부분반납"))</f>
        <v>0</v>
      </c>
      <c r="L714" s="6" t="str">
        <f aca="false">IF($K714=FALSE(),"",COUNTIF($K$6:$K714,TRUE()))</f>
        <v/>
      </c>
      <c r="M714" s="6" t="str">
        <f aca="false">IF($L714="","","R"&amp;$L714)</f>
        <v/>
      </c>
    </row>
    <row r="715" customFormat="false" ht="15" hidden="false" customHeight="false" outlineLevel="0" collapsed="false">
      <c r="K715" s="26" t="b">
        <f aca="false">IF(대여내역!$A712="",FALSE(),OR(대여내역!$L712="미반납",대여내역!$L712="부분반납"))</f>
        <v>0</v>
      </c>
      <c r="L715" s="6" t="str">
        <f aca="false">IF($K715=FALSE(),"",COUNTIF($K$6:$K715,TRUE()))</f>
        <v/>
      </c>
      <c r="M715" s="6" t="str">
        <f aca="false">IF($L715="","","R"&amp;$L715)</f>
        <v/>
      </c>
    </row>
    <row r="716" customFormat="false" ht="15" hidden="false" customHeight="false" outlineLevel="0" collapsed="false">
      <c r="K716" s="26" t="b">
        <f aca="false">IF(대여내역!$A713="",FALSE(),OR(대여내역!$L713="미반납",대여내역!$L713="부분반납"))</f>
        <v>0</v>
      </c>
      <c r="L716" s="6" t="str">
        <f aca="false">IF($K716=FALSE(),"",COUNTIF($K$6:$K716,TRUE()))</f>
        <v/>
      </c>
      <c r="M716" s="6" t="str">
        <f aca="false">IF($L716="","","R"&amp;$L716)</f>
        <v/>
      </c>
    </row>
    <row r="717" customFormat="false" ht="15" hidden="false" customHeight="false" outlineLevel="0" collapsed="false">
      <c r="K717" s="26" t="b">
        <f aca="false">IF(대여내역!$A714="",FALSE(),OR(대여내역!$L714="미반납",대여내역!$L714="부분반납"))</f>
        <v>0</v>
      </c>
      <c r="L717" s="6" t="str">
        <f aca="false">IF($K717=FALSE(),"",COUNTIF($K$6:$K717,TRUE()))</f>
        <v/>
      </c>
      <c r="M717" s="6" t="str">
        <f aca="false">IF($L717="","","R"&amp;$L717)</f>
        <v/>
      </c>
    </row>
    <row r="718" customFormat="false" ht="15" hidden="false" customHeight="false" outlineLevel="0" collapsed="false">
      <c r="K718" s="26" t="b">
        <f aca="false">IF(대여내역!$A715="",FALSE(),OR(대여내역!$L715="미반납",대여내역!$L715="부분반납"))</f>
        <v>0</v>
      </c>
      <c r="L718" s="6" t="str">
        <f aca="false">IF($K718=FALSE(),"",COUNTIF($K$6:$K718,TRUE()))</f>
        <v/>
      </c>
      <c r="M718" s="6" t="str">
        <f aca="false">IF($L718="","","R"&amp;$L718)</f>
        <v/>
      </c>
    </row>
    <row r="719" customFormat="false" ht="15" hidden="false" customHeight="false" outlineLevel="0" collapsed="false">
      <c r="K719" s="26" t="b">
        <f aca="false">IF(대여내역!$A716="",FALSE(),OR(대여내역!$L716="미반납",대여내역!$L716="부분반납"))</f>
        <v>0</v>
      </c>
      <c r="L719" s="6" t="str">
        <f aca="false">IF($K719=FALSE(),"",COUNTIF($K$6:$K719,TRUE()))</f>
        <v/>
      </c>
      <c r="M719" s="6" t="str">
        <f aca="false">IF($L719="","","R"&amp;$L719)</f>
        <v/>
      </c>
    </row>
    <row r="720" customFormat="false" ht="15" hidden="false" customHeight="false" outlineLevel="0" collapsed="false">
      <c r="K720" s="26" t="b">
        <f aca="false">IF(대여내역!$A717="",FALSE(),OR(대여내역!$L717="미반납",대여내역!$L717="부분반납"))</f>
        <v>0</v>
      </c>
      <c r="L720" s="6" t="str">
        <f aca="false">IF($K720=FALSE(),"",COUNTIF($K$6:$K720,TRUE()))</f>
        <v/>
      </c>
      <c r="M720" s="6" t="str">
        <f aca="false">IF($L720="","","R"&amp;$L720)</f>
        <v/>
      </c>
    </row>
    <row r="721" customFormat="false" ht="15" hidden="false" customHeight="false" outlineLevel="0" collapsed="false">
      <c r="K721" s="26" t="b">
        <f aca="false">IF(대여내역!$A718="",FALSE(),OR(대여내역!$L718="미반납",대여내역!$L718="부분반납"))</f>
        <v>0</v>
      </c>
      <c r="L721" s="6" t="str">
        <f aca="false">IF($K721=FALSE(),"",COUNTIF($K$6:$K721,TRUE()))</f>
        <v/>
      </c>
      <c r="M721" s="6" t="str">
        <f aca="false">IF($L721="","","R"&amp;$L721)</f>
        <v/>
      </c>
    </row>
    <row r="722" customFormat="false" ht="15" hidden="false" customHeight="false" outlineLevel="0" collapsed="false">
      <c r="K722" s="26" t="b">
        <f aca="false">IF(대여내역!$A719="",FALSE(),OR(대여내역!$L719="미반납",대여내역!$L719="부분반납"))</f>
        <v>0</v>
      </c>
      <c r="L722" s="6" t="str">
        <f aca="false">IF($K722=FALSE(),"",COUNTIF($K$6:$K722,TRUE()))</f>
        <v/>
      </c>
      <c r="M722" s="6" t="str">
        <f aca="false">IF($L722="","","R"&amp;$L722)</f>
        <v/>
      </c>
    </row>
    <row r="723" customFormat="false" ht="15" hidden="false" customHeight="false" outlineLevel="0" collapsed="false">
      <c r="K723" s="26" t="b">
        <f aca="false">IF(대여내역!$A720="",FALSE(),OR(대여내역!$L720="미반납",대여내역!$L720="부분반납"))</f>
        <v>0</v>
      </c>
      <c r="L723" s="6" t="str">
        <f aca="false">IF($K723=FALSE(),"",COUNTIF($K$6:$K723,TRUE()))</f>
        <v/>
      </c>
      <c r="M723" s="6" t="str">
        <f aca="false">IF($L723="","","R"&amp;$L723)</f>
        <v/>
      </c>
    </row>
    <row r="724" customFormat="false" ht="15" hidden="false" customHeight="false" outlineLevel="0" collapsed="false">
      <c r="K724" s="26" t="b">
        <f aca="false">IF(대여내역!$A721="",FALSE(),OR(대여내역!$L721="미반납",대여내역!$L721="부분반납"))</f>
        <v>0</v>
      </c>
      <c r="L724" s="6" t="str">
        <f aca="false">IF($K724=FALSE(),"",COUNTIF($K$6:$K724,TRUE()))</f>
        <v/>
      </c>
      <c r="M724" s="6" t="str">
        <f aca="false">IF($L724="","","R"&amp;$L724)</f>
        <v/>
      </c>
    </row>
    <row r="725" customFormat="false" ht="15" hidden="false" customHeight="false" outlineLevel="0" collapsed="false">
      <c r="K725" s="26" t="b">
        <f aca="false">IF(대여내역!$A722="",FALSE(),OR(대여내역!$L722="미반납",대여내역!$L722="부분반납"))</f>
        <v>0</v>
      </c>
      <c r="L725" s="6" t="str">
        <f aca="false">IF($K725=FALSE(),"",COUNTIF($K$6:$K725,TRUE()))</f>
        <v/>
      </c>
      <c r="M725" s="6" t="str">
        <f aca="false">IF($L725="","","R"&amp;$L725)</f>
        <v/>
      </c>
    </row>
    <row r="726" customFormat="false" ht="15" hidden="false" customHeight="false" outlineLevel="0" collapsed="false">
      <c r="K726" s="26" t="b">
        <f aca="false">IF(대여내역!$A723="",FALSE(),OR(대여내역!$L723="미반납",대여내역!$L723="부분반납"))</f>
        <v>0</v>
      </c>
      <c r="L726" s="6" t="str">
        <f aca="false">IF($K726=FALSE(),"",COUNTIF($K$6:$K726,TRUE()))</f>
        <v/>
      </c>
      <c r="M726" s="6" t="str">
        <f aca="false">IF($L726="","","R"&amp;$L726)</f>
        <v/>
      </c>
    </row>
    <row r="727" customFormat="false" ht="15" hidden="false" customHeight="false" outlineLevel="0" collapsed="false">
      <c r="K727" s="26" t="b">
        <f aca="false">IF(대여내역!$A724="",FALSE(),OR(대여내역!$L724="미반납",대여내역!$L724="부분반납"))</f>
        <v>0</v>
      </c>
      <c r="L727" s="6" t="str">
        <f aca="false">IF($K727=FALSE(),"",COUNTIF($K$6:$K727,TRUE()))</f>
        <v/>
      </c>
      <c r="M727" s="6" t="str">
        <f aca="false">IF($L727="","","R"&amp;$L727)</f>
        <v/>
      </c>
    </row>
    <row r="728" customFormat="false" ht="15" hidden="false" customHeight="false" outlineLevel="0" collapsed="false">
      <c r="K728" s="26" t="b">
        <f aca="false">IF(대여내역!$A725="",FALSE(),OR(대여내역!$L725="미반납",대여내역!$L725="부분반납"))</f>
        <v>0</v>
      </c>
      <c r="L728" s="6" t="str">
        <f aca="false">IF($K728=FALSE(),"",COUNTIF($K$6:$K728,TRUE()))</f>
        <v/>
      </c>
      <c r="M728" s="6" t="str">
        <f aca="false">IF($L728="","","R"&amp;$L728)</f>
        <v/>
      </c>
    </row>
    <row r="729" customFormat="false" ht="15" hidden="false" customHeight="false" outlineLevel="0" collapsed="false">
      <c r="K729" s="26" t="b">
        <f aca="false">IF(대여내역!$A726="",FALSE(),OR(대여내역!$L726="미반납",대여내역!$L726="부분반납"))</f>
        <v>0</v>
      </c>
      <c r="L729" s="6" t="str">
        <f aca="false">IF($K729=FALSE(),"",COUNTIF($K$6:$K729,TRUE()))</f>
        <v/>
      </c>
      <c r="M729" s="6" t="str">
        <f aca="false">IF($L729="","","R"&amp;$L729)</f>
        <v/>
      </c>
    </row>
    <row r="730" customFormat="false" ht="15" hidden="false" customHeight="false" outlineLevel="0" collapsed="false">
      <c r="K730" s="26" t="b">
        <f aca="false">IF(대여내역!$A727="",FALSE(),OR(대여내역!$L727="미반납",대여내역!$L727="부분반납"))</f>
        <v>0</v>
      </c>
      <c r="L730" s="6" t="str">
        <f aca="false">IF($K730=FALSE(),"",COUNTIF($K$6:$K730,TRUE()))</f>
        <v/>
      </c>
      <c r="M730" s="6" t="str">
        <f aca="false">IF($L730="","","R"&amp;$L730)</f>
        <v/>
      </c>
    </row>
    <row r="731" customFormat="false" ht="15" hidden="false" customHeight="false" outlineLevel="0" collapsed="false">
      <c r="K731" s="26" t="b">
        <f aca="false">IF(대여내역!$A728="",FALSE(),OR(대여내역!$L728="미반납",대여내역!$L728="부분반납"))</f>
        <v>0</v>
      </c>
      <c r="L731" s="6" t="str">
        <f aca="false">IF($K731=FALSE(),"",COUNTIF($K$6:$K731,TRUE()))</f>
        <v/>
      </c>
      <c r="M731" s="6" t="str">
        <f aca="false">IF($L731="","","R"&amp;$L731)</f>
        <v/>
      </c>
    </row>
    <row r="732" customFormat="false" ht="15" hidden="false" customHeight="false" outlineLevel="0" collapsed="false">
      <c r="K732" s="26" t="b">
        <f aca="false">IF(대여내역!$A729="",FALSE(),OR(대여내역!$L729="미반납",대여내역!$L729="부분반납"))</f>
        <v>0</v>
      </c>
      <c r="L732" s="6" t="str">
        <f aca="false">IF($K732=FALSE(),"",COUNTIF($K$6:$K732,TRUE()))</f>
        <v/>
      </c>
      <c r="M732" s="6" t="str">
        <f aca="false">IF($L732="","","R"&amp;$L732)</f>
        <v/>
      </c>
    </row>
    <row r="733" customFormat="false" ht="15" hidden="false" customHeight="false" outlineLevel="0" collapsed="false">
      <c r="K733" s="26" t="b">
        <f aca="false">IF(대여내역!$A730="",FALSE(),OR(대여내역!$L730="미반납",대여내역!$L730="부분반납"))</f>
        <v>0</v>
      </c>
      <c r="L733" s="6" t="str">
        <f aca="false">IF($K733=FALSE(),"",COUNTIF($K$6:$K733,TRUE()))</f>
        <v/>
      </c>
      <c r="M733" s="6" t="str">
        <f aca="false">IF($L733="","","R"&amp;$L733)</f>
        <v/>
      </c>
    </row>
    <row r="734" customFormat="false" ht="15" hidden="false" customHeight="false" outlineLevel="0" collapsed="false">
      <c r="K734" s="26" t="b">
        <f aca="false">IF(대여내역!$A731="",FALSE(),OR(대여내역!$L731="미반납",대여내역!$L731="부분반납"))</f>
        <v>0</v>
      </c>
      <c r="L734" s="6" t="str">
        <f aca="false">IF($K734=FALSE(),"",COUNTIF($K$6:$K734,TRUE()))</f>
        <v/>
      </c>
      <c r="M734" s="6" t="str">
        <f aca="false">IF($L734="","","R"&amp;$L734)</f>
        <v/>
      </c>
    </row>
    <row r="735" customFormat="false" ht="15" hidden="false" customHeight="false" outlineLevel="0" collapsed="false">
      <c r="K735" s="26" t="b">
        <f aca="false">IF(대여내역!$A732="",FALSE(),OR(대여내역!$L732="미반납",대여내역!$L732="부분반납"))</f>
        <v>0</v>
      </c>
      <c r="L735" s="6" t="str">
        <f aca="false">IF($K735=FALSE(),"",COUNTIF($K$6:$K735,TRUE()))</f>
        <v/>
      </c>
      <c r="M735" s="6" t="str">
        <f aca="false">IF($L735="","","R"&amp;$L735)</f>
        <v/>
      </c>
    </row>
    <row r="736" customFormat="false" ht="15" hidden="false" customHeight="false" outlineLevel="0" collapsed="false">
      <c r="K736" s="26" t="b">
        <f aca="false">IF(대여내역!$A733="",FALSE(),OR(대여내역!$L733="미반납",대여내역!$L733="부분반납"))</f>
        <v>0</v>
      </c>
      <c r="L736" s="6" t="str">
        <f aca="false">IF($K736=FALSE(),"",COUNTIF($K$6:$K736,TRUE()))</f>
        <v/>
      </c>
      <c r="M736" s="6" t="str">
        <f aca="false">IF($L736="","","R"&amp;$L736)</f>
        <v/>
      </c>
    </row>
    <row r="737" customFormat="false" ht="15" hidden="false" customHeight="false" outlineLevel="0" collapsed="false">
      <c r="K737" s="26" t="b">
        <f aca="false">IF(대여내역!$A734="",FALSE(),OR(대여내역!$L734="미반납",대여내역!$L734="부분반납"))</f>
        <v>0</v>
      </c>
      <c r="L737" s="6" t="str">
        <f aca="false">IF($K737=FALSE(),"",COUNTIF($K$6:$K737,TRUE()))</f>
        <v/>
      </c>
      <c r="M737" s="6" t="str">
        <f aca="false">IF($L737="","","R"&amp;$L737)</f>
        <v/>
      </c>
    </row>
    <row r="738" customFormat="false" ht="15" hidden="false" customHeight="false" outlineLevel="0" collapsed="false">
      <c r="K738" s="26" t="b">
        <f aca="false">IF(대여내역!$A735="",FALSE(),OR(대여내역!$L735="미반납",대여내역!$L735="부분반납"))</f>
        <v>0</v>
      </c>
      <c r="L738" s="6" t="str">
        <f aca="false">IF($K738=FALSE(),"",COUNTIF($K$6:$K738,TRUE()))</f>
        <v/>
      </c>
      <c r="M738" s="6" t="str">
        <f aca="false">IF($L738="","","R"&amp;$L738)</f>
        <v/>
      </c>
    </row>
    <row r="739" customFormat="false" ht="15" hidden="false" customHeight="false" outlineLevel="0" collapsed="false">
      <c r="K739" s="26" t="b">
        <f aca="false">IF(대여내역!$A736="",FALSE(),OR(대여내역!$L736="미반납",대여내역!$L736="부분반납"))</f>
        <v>0</v>
      </c>
      <c r="L739" s="6" t="str">
        <f aca="false">IF($K739=FALSE(),"",COUNTIF($K$6:$K739,TRUE()))</f>
        <v/>
      </c>
      <c r="M739" s="6" t="str">
        <f aca="false">IF($L739="","","R"&amp;$L739)</f>
        <v/>
      </c>
    </row>
    <row r="740" customFormat="false" ht="15" hidden="false" customHeight="false" outlineLevel="0" collapsed="false">
      <c r="K740" s="26" t="b">
        <f aca="false">IF(대여내역!$A737="",FALSE(),OR(대여내역!$L737="미반납",대여내역!$L737="부분반납"))</f>
        <v>0</v>
      </c>
      <c r="L740" s="6" t="str">
        <f aca="false">IF($K740=FALSE(),"",COUNTIF($K$6:$K740,TRUE()))</f>
        <v/>
      </c>
      <c r="M740" s="6" t="str">
        <f aca="false">IF($L740="","","R"&amp;$L740)</f>
        <v/>
      </c>
    </row>
    <row r="741" customFormat="false" ht="15" hidden="false" customHeight="false" outlineLevel="0" collapsed="false">
      <c r="K741" s="26" t="b">
        <f aca="false">IF(대여내역!$A738="",FALSE(),OR(대여내역!$L738="미반납",대여내역!$L738="부분반납"))</f>
        <v>0</v>
      </c>
      <c r="L741" s="6" t="str">
        <f aca="false">IF($K741=FALSE(),"",COUNTIF($K$6:$K741,TRUE()))</f>
        <v/>
      </c>
      <c r="M741" s="6" t="str">
        <f aca="false">IF($L741="","","R"&amp;$L741)</f>
        <v/>
      </c>
    </row>
    <row r="742" customFormat="false" ht="15" hidden="false" customHeight="false" outlineLevel="0" collapsed="false">
      <c r="K742" s="26" t="b">
        <f aca="false">IF(대여내역!$A739="",FALSE(),OR(대여내역!$L739="미반납",대여내역!$L739="부분반납"))</f>
        <v>0</v>
      </c>
      <c r="L742" s="6" t="str">
        <f aca="false">IF($K742=FALSE(),"",COUNTIF($K$6:$K742,TRUE()))</f>
        <v/>
      </c>
      <c r="M742" s="6" t="str">
        <f aca="false">IF($L742="","","R"&amp;$L742)</f>
        <v/>
      </c>
    </row>
    <row r="743" customFormat="false" ht="15" hidden="false" customHeight="false" outlineLevel="0" collapsed="false">
      <c r="K743" s="26" t="b">
        <f aca="false">IF(대여내역!$A740="",FALSE(),OR(대여내역!$L740="미반납",대여내역!$L740="부분반납"))</f>
        <v>0</v>
      </c>
      <c r="L743" s="6" t="str">
        <f aca="false">IF($K743=FALSE(),"",COUNTIF($K$6:$K743,TRUE()))</f>
        <v/>
      </c>
      <c r="M743" s="6" t="str">
        <f aca="false">IF($L743="","","R"&amp;$L743)</f>
        <v/>
      </c>
    </row>
    <row r="744" customFormat="false" ht="15" hidden="false" customHeight="false" outlineLevel="0" collapsed="false">
      <c r="K744" s="26" t="b">
        <f aca="false">IF(대여내역!$A741="",FALSE(),OR(대여내역!$L741="미반납",대여내역!$L741="부분반납"))</f>
        <v>0</v>
      </c>
      <c r="L744" s="6" t="str">
        <f aca="false">IF($K744=FALSE(),"",COUNTIF($K$6:$K744,TRUE()))</f>
        <v/>
      </c>
      <c r="M744" s="6" t="str">
        <f aca="false">IF($L744="","","R"&amp;$L744)</f>
        <v/>
      </c>
    </row>
    <row r="745" customFormat="false" ht="15" hidden="false" customHeight="false" outlineLevel="0" collapsed="false">
      <c r="K745" s="26" t="b">
        <f aca="false">IF(대여내역!$A742="",FALSE(),OR(대여내역!$L742="미반납",대여내역!$L742="부분반납"))</f>
        <v>0</v>
      </c>
      <c r="L745" s="6" t="str">
        <f aca="false">IF($K745=FALSE(),"",COUNTIF($K$6:$K745,TRUE()))</f>
        <v/>
      </c>
      <c r="M745" s="6" t="str">
        <f aca="false">IF($L745="","","R"&amp;$L745)</f>
        <v/>
      </c>
    </row>
    <row r="746" customFormat="false" ht="15" hidden="false" customHeight="false" outlineLevel="0" collapsed="false">
      <c r="K746" s="26" t="b">
        <f aca="false">IF(대여내역!$A743="",FALSE(),OR(대여내역!$L743="미반납",대여내역!$L743="부분반납"))</f>
        <v>0</v>
      </c>
      <c r="L746" s="6" t="str">
        <f aca="false">IF($K746=FALSE(),"",COUNTIF($K$6:$K746,TRUE()))</f>
        <v/>
      </c>
      <c r="M746" s="6" t="str">
        <f aca="false">IF($L746="","","R"&amp;$L746)</f>
        <v/>
      </c>
    </row>
    <row r="747" customFormat="false" ht="15" hidden="false" customHeight="false" outlineLevel="0" collapsed="false">
      <c r="K747" s="26" t="b">
        <f aca="false">IF(대여내역!$A744="",FALSE(),OR(대여내역!$L744="미반납",대여내역!$L744="부분반납"))</f>
        <v>0</v>
      </c>
      <c r="L747" s="6" t="str">
        <f aca="false">IF($K747=FALSE(),"",COUNTIF($K$6:$K747,TRUE()))</f>
        <v/>
      </c>
      <c r="M747" s="6" t="str">
        <f aca="false">IF($L747="","","R"&amp;$L747)</f>
        <v/>
      </c>
    </row>
    <row r="748" customFormat="false" ht="15" hidden="false" customHeight="false" outlineLevel="0" collapsed="false">
      <c r="K748" s="26" t="b">
        <f aca="false">IF(대여내역!$A745="",FALSE(),OR(대여내역!$L745="미반납",대여내역!$L745="부분반납"))</f>
        <v>0</v>
      </c>
      <c r="L748" s="6" t="str">
        <f aca="false">IF($K748=FALSE(),"",COUNTIF($K$6:$K748,TRUE()))</f>
        <v/>
      </c>
      <c r="M748" s="6" t="str">
        <f aca="false">IF($L748="","","R"&amp;$L748)</f>
        <v/>
      </c>
    </row>
    <row r="749" customFormat="false" ht="15" hidden="false" customHeight="false" outlineLevel="0" collapsed="false">
      <c r="K749" s="26" t="b">
        <f aca="false">IF(대여내역!$A746="",FALSE(),OR(대여내역!$L746="미반납",대여내역!$L746="부분반납"))</f>
        <v>0</v>
      </c>
      <c r="L749" s="6" t="str">
        <f aca="false">IF($K749=FALSE(),"",COUNTIF($K$6:$K749,TRUE()))</f>
        <v/>
      </c>
      <c r="M749" s="6" t="str">
        <f aca="false">IF($L749="","","R"&amp;$L749)</f>
        <v/>
      </c>
    </row>
    <row r="750" customFormat="false" ht="15" hidden="false" customHeight="false" outlineLevel="0" collapsed="false">
      <c r="K750" s="26" t="b">
        <f aca="false">IF(대여내역!$A747="",FALSE(),OR(대여내역!$L747="미반납",대여내역!$L747="부분반납"))</f>
        <v>0</v>
      </c>
      <c r="L750" s="6" t="str">
        <f aca="false">IF($K750=FALSE(),"",COUNTIF($K$6:$K750,TRUE()))</f>
        <v/>
      </c>
      <c r="M750" s="6" t="str">
        <f aca="false">IF($L750="","","R"&amp;$L750)</f>
        <v/>
      </c>
    </row>
    <row r="751" customFormat="false" ht="15" hidden="false" customHeight="false" outlineLevel="0" collapsed="false">
      <c r="K751" s="26" t="b">
        <f aca="false">IF(대여내역!$A748="",FALSE(),OR(대여내역!$L748="미반납",대여내역!$L748="부분반납"))</f>
        <v>0</v>
      </c>
      <c r="L751" s="6" t="str">
        <f aca="false">IF($K751=FALSE(),"",COUNTIF($K$6:$K751,TRUE()))</f>
        <v/>
      </c>
      <c r="M751" s="6" t="str">
        <f aca="false">IF($L751="","","R"&amp;$L751)</f>
        <v/>
      </c>
    </row>
    <row r="752" customFormat="false" ht="15" hidden="false" customHeight="false" outlineLevel="0" collapsed="false">
      <c r="K752" s="26" t="b">
        <f aca="false">IF(대여내역!$A749="",FALSE(),OR(대여내역!$L749="미반납",대여내역!$L749="부분반납"))</f>
        <v>0</v>
      </c>
      <c r="L752" s="6" t="str">
        <f aca="false">IF($K752=FALSE(),"",COUNTIF($K$6:$K752,TRUE()))</f>
        <v/>
      </c>
      <c r="M752" s="6" t="str">
        <f aca="false">IF($L752="","","R"&amp;$L752)</f>
        <v/>
      </c>
    </row>
    <row r="753" customFormat="false" ht="15" hidden="false" customHeight="false" outlineLevel="0" collapsed="false">
      <c r="K753" s="26" t="b">
        <f aca="false">IF(대여내역!$A750="",FALSE(),OR(대여내역!$L750="미반납",대여내역!$L750="부분반납"))</f>
        <v>0</v>
      </c>
      <c r="L753" s="6" t="str">
        <f aca="false">IF($K753=FALSE(),"",COUNTIF($K$6:$K753,TRUE()))</f>
        <v/>
      </c>
      <c r="M753" s="6" t="str">
        <f aca="false">IF($L753="","","R"&amp;$L753)</f>
        <v/>
      </c>
    </row>
    <row r="754" customFormat="false" ht="15" hidden="false" customHeight="false" outlineLevel="0" collapsed="false">
      <c r="K754" s="26" t="b">
        <f aca="false">IF(대여내역!$A751="",FALSE(),OR(대여내역!$L751="미반납",대여내역!$L751="부분반납"))</f>
        <v>0</v>
      </c>
      <c r="L754" s="6" t="str">
        <f aca="false">IF($K754=FALSE(),"",COUNTIF($K$6:$K754,TRUE()))</f>
        <v/>
      </c>
      <c r="M754" s="6" t="str">
        <f aca="false">IF($L754="","","R"&amp;$L754)</f>
        <v/>
      </c>
    </row>
    <row r="755" customFormat="false" ht="15" hidden="false" customHeight="false" outlineLevel="0" collapsed="false">
      <c r="K755" s="26" t="b">
        <f aca="false">IF(대여내역!$A752="",FALSE(),OR(대여내역!$L752="미반납",대여내역!$L752="부분반납"))</f>
        <v>0</v>
      </c>
      <c r="L755" s="6" t="str">
        <f aca="false">IF($K755=FALSE(),"",COUNTIF($K$6:$K755,TRUE()))</f>
        <v/>
      </c>
      <c r="M755" s="6" t="str">
        <f aca="false">IF($L755="","","R"&amp;$L755)</f>
        <v/>
      </c>
    </row>
    <row r="756" customFormat="false" ht="15" hidden="false" customHeight="false" outlineLevel="0" collapsed="false">
      <c r="K756" s="26" t="b">
        <f aca="false">IF(대여내역!$A753="",FALSE(),OR(대여내역!$L753="미반납",대여내역!$L753="부분반납"))</f>
        <v>0</v>
      </c>
      <c r="L756" s="6" t="str">
        <f aca="false">IF($K756=FALSE(),"",COUNTIF($K$6:$K756,TRUE()))</f>
        <v/>
      </c>
      <c r="M756" s="6" t="str">
        <f aca="false">IF($L756="","","R"&amp;$L756)</f>
        <v/>
      </c>
    </row>
    <row r="757" customFormat="false" ht="15" hidden="false" customHeight="false" outlineLevel="0" collapsed="false">
      <c r="K757" s="26" t="b">
        <f aca="false">IF(대여내역!$A754="",FALSE(),OR(대여내역!$L754="미반납",대여내역!$L754="부분반납"))</f>
        <v>0</v>
      </c>
      <c r="L757" s="6" t="str">
        <f aca="false">IF($K757=FALSE(),"",COUNTIF($K$6:$K757,TRUE()))</f>
        <v/>
      </c>
      <c r="M757" s="6" t="str">
        <f aca="false">IF($L757="","","R"&amp;$L757)</f>
        <v/>
      </c>
    </row>
    <row r="758" customFormat="false" ht="15" hidden="false" customHeight="false" outlineLevel="0" collapsed="false">
      <c r="K758" s="26" t="b">
        <f aca="false">IF(대여내역!$A755="",FALSE(),OR(대여내역!$L755="미반납",대여내역!$L755="부분반납"))</f>
        <v>0</v>
      </c>
      <c r="L758" s="6" t="str">
        <f aca="false">IF($K758=FALSE(),"",COUNTIF($K$6:$K758,TRUE()))</f>
        <v/>
      </c>
      <c r="M758" s="6" t="str">
        <f aca="false">IF($L758="","","R"&amp;$L758)</f>
        <v/>
      </c>
    </row>
    <row r="759" customFormat="false" ht="15" hidden="false" customHeight="false" outlineLevel="0" collapsed="false">
      <c r="K759" s="26" t="b">
        <f aca="false">IF(대여내역!$A756="",FALSE(),OR(대여내역!$L756="미반납",대여내역!$L756="부분반납"))</f>
        <v>0</v>
      </c>
      <c r="L759" s="6" t="str">
        <f aca="false">IF($K759=FALSE(),"",COUNTIF($K$6:$K759,TRUE()))</f>
        <v/>
      </c>
      <c r="M759" s="6" t="str">
        <f aca="false">IF($L759="","","R"&amp;$L759)</f>
        <v/>
      </c>
    </row>
    <row r="760" customFormat="false" ht="15" hidden="false" customHeight="false" outlineLevel="0" collapsed="false">
      <c r="K760" s="26" t="b">
        <f aca="false">IF(대여내역!$A757="",FALSE(),OR(대여내역!$L757="미반납",대여내역!$L757="부분반납"))</f>
        <v>0</v>
      </c>
      <c r="L760" s="6" t="str">
        <f aca="false">IF($K760=FALSE(),"",COUNTIF($K$6:$K760,TRUE()))</f>
        <v/>
      </c>
      <c r="M760" s="6" t="str">
        <f aca="false">IF($L760="","","R"&amp;$L760)</f>
        <v/>
      </c>
    </row>
    <row r="761" customFormat="false" ht="15" hidden="false" customHeight="false" outlineLevel="0" collapsed="false">
      <c r="K761" s="26" t="b">
        <f aca="false">IF(대여내역!$A758="",FALSE(),OR(대여내역!$L758="미반납",대여내역!$L758="부분반납"))</f>
        <v>0</v>
      </c>
      <c r="L761" s="6" t="str">
        <f aca="false">IF($K761=FALSE(),"",COUNTIF($K$6:$K761,TRUE()))</f>
        <v/>
      </c>
      <c r="M761" s="6" t="str">
        <f aca="false">IF($L761="","","R"&amp;$L761)</f>
        <v/>
      </c>
    </row>
    <row r="762" customFormat="false" ht="15" hidden="false" customHeight="false" outlineLevel="0" collapsed="false">
      <c r="K762" s="26" t="b">
        <f aca="false">IF(대여내역!$A759="",FALSE(),OR(대여내역!$L759="미반납",대여내역!$L759="부분반납"))</f>
        <v>0</v>
      </c>
      <c r="L762" s="6" t="str">
        <f aca="false">IF($K762=FALSE(),"",COUNTIF($K$6:$K762,TRUE()))</f>
        <v/>
      </c>
      <c r="M762" s="6" t="str">
        <f aca="false">IF($L762="","","R"&amp;$L762)</f>
        <v/>
      </c>
    </row>
    <row r="763" customFormat="false" ht="15" hidden="false" customHeight="false" outlineLevel="0" collapsed="false">
      <c r="K763" s="26" t="b">
        <f aca="false">IF(대여내역!$A760="",FALSE(),OR(대여내역!$L760="미반납",대여내역!$L760="부분반납"))</f>
        <v>0</v>
      </c>
      <c r="L763" s="6" t="str">
        <f aca="false">IF($K763=FALSE(),"",COUNTIF($K$6:$K763,TRUE()))</f>
        <v/>
      </c>
      <c r="M763" s="6" t="str">
        <f aca="false">IF($L763="","","R"&amp;$L763)</f>
        <v/>
      </c>
    </row>
    <row r="764" customFormat="false" ht="15" hidden="false" customHeight="false" outlineLevel="0" collapsed="false">
      <c r="K764" s="26" t="b">
        <f aca="false">IF(대여내역!$A761="",FALSE(),OR(대여내역!$L761="미반납",대여내역!$L761="부분반납"))</f>
        <v>0</v>
      </c>
      <c r="L764" s="6" t="str">
        <f aca="false">IF($K764=FALSE(),"",COUNTIF($K$6:$K764,TRUE()))</f>
        <v/>
      </c>
      <c r="M764" s="6" t="str">
        <f aca="false">IF($L764="","","R"&amp;$L764)</f>
        <v/>
      </c>
    </row>
    <row r="765" customFormat="false" ht="15" hidden="false" customHeight="false" outlineLevel="0" collapsed="false">
      <c r="K765" s="26" t="b">
        <f aca="false">IF(대여내역!$A762="",FALSE(),OR(대여내역!$L762="미반납",대여내역!$L762="부분반납"))</f>
        <v>0</v>
      </c>
      <c r="L765" s="6" t="str">
        <f aca="false">IF($K765=FALSE(),"",COUNTIF($K$6:$K765,TRUE()))</f>
        <v/>
      </c>
      <c r="M765" s="6" t="str">
        <f aca="false">IF($L765="","","R"&amp;$L765)</f>
        <v/>
      </c>
    </row>
    <row r="766" customFormat="false" ht="15" hidden="false" customHeight="false" outlineLevel="0" collapsed="false">
      <c r="K766" s="26" t="b">
        <f aca="false">IF(대여내역!$A763="",FALSE(),OR(대여내역!$L763="미반납",대여내역!$L763="부분반납"))</f>
        <v>0</v>
      </c>
      <c r="L766" s="6" t="str">
        <f aca="false">IF($K766=FALSE(),"",COUNTIF($K$6:$K766,TRUE()))</f>
        <v/>
      </c>
      <c r="M766" s="6" t="str">
        <f aca="false">IF($L766="","","R"&amp;$L766)</f>
        <v/>
      </c>
    </row>
    <row r="767" customFormat="false" ht="15" hidden="false" customHeight="false" outlineLevel="0" collapsed="false">
      <c r="K767" s="26" t="b">
        <f aca="false">IF(대여내역!$A764="",FALSE(),OR(대여내역!$L764="미반납",대여내역!$L764="부분반납"))</f>
        <v>0</v>
      </c>
      <c r="L767" s="6" t="str">
        <f aca="false">IF($K767=FALSE(),"",COUNTIF($K$6:$K767,TRUE()))</f>
        <v/>
      </c>
      <c r="M767" s="6" t="str">
        <f aca="false">IF($L767="","","R"&amp;$L767)</f>
        <v/>
      </c>
    </row>
    <row r="768" customFormat="false" ht="15" hidden="false" customHeight="false" outlineLevel="0" collapsed="false">
      <c r="K768" s="26" t="b">
        <f aca="false">IF(대여내역!$A765="",FALSE(),OR(대여내역!$L765="미반납",대여내역!$L765="부분반납"))</f>
        <v>0</v>
      </c>
      <c r="L768" s="6" t="str">
        <f aca="false">IF($K768=FALSE(),"",COUNTIF($K$6:$K768,TRUE()))</f>
        <v/>
      </c>
      <c r="M768" s="6" t="str">
        <f aca="false">IF($L768="","","R"&amp;$L768)</f>
        <v/>
      </c>
    </row>
    <row r="769" customFormat="false" ht="15" hidden="false" customHeight="false" outlineLevel="0" collapsed="false">
      <c r="K769" s="26" t="b">
        <f aca="false">IF(대여내역!$A766="",FALSE(),OR(대여내역!$L766="미반납",대여내역!$L766="부분반납"))</f>
        <v>0</v>
      </c>
      <c r="L769" s="6" t="str">
        <f aca="false">IF($K769=FALSE(),"",COUNTIF($K$6:$K769,TRUE()))</f>
        <v/>
      </c>
      <c r="M769" s="6" t="str">
        <f aca="false">IF($L769="","","R"&amp;$L769)</f>
        <v/>
      </c>
    </row>
    <row r="770" customFormat="false" ht="15" hidden="false" customHeight="false" outlineLevel="0" collapsed="false">
      <c r="K770" s="26" t="b">
        <f aca="false">IF(대여내역!$A767="",FALSE(),OR(대여내역!$L767="미반납",대여내역!$L767="부분반납"))</f>
        <v>0</v>
      </c>
      <c r="L770" s="6" t="str">
        <f aca="false">IF($K770=FALSE(),"",COUNTIF($K$6:$K770,TRUE()))</f>
        <v/>
      </c>
      <c r="M770" s="6" t="str">
        <f aca="false">IF($L770="","","R"&amp;$L770)</f>
        <v/>
      </c>
    </row>
    <row r="771" customFormat="false" ht="15" hidden="false" customHeight="false" outlineLevel="0" collapsed="false">
      <c r="K771" s="26" t="b">
        <f aca="false">IF(대여내역!$A768="",FALSE(),OR(대여내역!$L768="미반납",대여내역!$L768="부분반납"))</f>
        <v>0</v>
      </c>
      <c r="L771" s="6" t="str">
        <f aca="false">IF($K771=FALSE(),"",COUNTIF($K$6:$K771,TRUE()))</f>
        <v/>
      </c>
      <c r="M771" s="6" t="str">
        <f aca="false">IF($L771="","","R"&amp;$L771)</f>
        <v/>
      </c>
    </row>
    <row r="772" customFormat="false" ht="15" hidden="false" customHeight="false" outlineLevel="0" collapsed="false">
      <c r="K772" s="26" t="b">
        <f aca="false">IF(대여내역!$A769="",FALSE(),OR(대여내역!$L769="미반납",대여내역!$L769="부분반납"))</f>
        <v>0</v>
      </c>
      <c r="L772" s="6" t="str">
        <f aca="false">IF($K772=FALSE(),"",COUNTIF($K$6:$K772,TRUE()))</f>
        <v/>
      </c>
      <c r="M772" s="6" t="str">
        <f aca="false">IF($L772="","","R"&amp;$L772)</f>
        <v/>
      </c>
    </row>
    <row r="773" customFormat="false" ht="15" hidden="false" customHeight="false" outlineLevel="0" collapsed="false">
      <c r="K773" s="26" t="b">
        <f aca="false">IF(대여내역!$A770="",FALSE(),OR(대여내역!$L770="미반납",대여내역!$L770="부분반납"))</f>
        <v>0</v>
      </c>
      <c r="L773" s="6" t="str">
        <f aca="false">IF($K773=FALSE(),"",COUNTIF($K$6:$K773,TRUE()))</f>
        <v/>
      </c>
      <c r="M773" s="6" t="str">
        <f aca="false">IF($L773="","","R"&amp;$L773)</f>
        <v/>
      </c>
    </row>
    <row r="774" customFormat="false" ht="15" hidden="false" customHeight="false" outlineLevel="0" collapsed="false">
      <c r="K774" s="26" t="b">
        <f aca="false">IF(대여내역!$A771="",FALSE(),OR(대여내역!$L771="미반납",대여내역!$L771="부분반납"))</f>
        <v>0</v>
      </c>
      <c r="L774" s="6" t="str">
        <f aca="false">IF($K774=FALSE(),"",COUNTIF($K$6:$K774,TRUE()))</f>
        <v/>
      </c>
      <c r="M774" s="6" t="str">
        <f aca="false">IF($L774="","","R"&amp;$L774)</f>
        <v/>
      </c>
    </row>
    <row r="775" customFormat="false" ht="15" hidden="false" customHeight="false" outlineLevel="0" collapsed="false">
      <c r="K775" s="26" t="b">
        <f aca="false">IF(대여내역!$A772="",FALSE(),OR(대여내역!$L772="미반납",대여내역!$L772="부분반납"))</f>
        <v>0</v>
      </c>
      <c r="L775" s="6" t="str">
        <f aca="false">IF($K775=FALSE(),"",COUNTIF($K$6:$K775,TRUE()))</f>
        <v/>
      </c>
      <c r="M775" s="6" t="str">
        <f aca="false">IF($L775="","","R"&amp;$L775)</f>
        <v/>
      </c>
    </row>
    <row r="776" customFormat="false" ht="15" hidden="false" customHeight="false" outlineLevel="0" collapsed="false">
      <c r="K776" s="26" t="b">
        <f aca="false">IF(대여내역!$A773="",FALSE(),OR(대여내역!$L773="미반납",대여내역!$L773="부분반납"))</f>
        <v>0</v>
      </c>
      <c r="L776" s="6" t="str">
        <f aca="false">IF($K776=FALSE(),"",COUNTIF($K$6:$K776,TRUE()))</f>
        <v/>
      </c>
      <c r="M776" s="6" t="str">
        <f aca="false">IF($L776="","","R"&amp;$L776)</f>
        <v/>
      </c>
    </row>
    <row r="777" customFormat="false" ht="15" hidden="false" customHeight="false" outlineLevel="0" collapsed="false">
      <c r="K777" s="26" t="b">
        <f aca="false">IF(대여내역!$A774="",FALSE(),OR(대여내역!$L774="미반납",대여내역!$L774="부분반납"))</f>
        <v>0</v>
      </c>
      <c r="L777" s="6" t="str">
        <f aca="false">IF($K777=FALSE(),"",COUNTIF($K$6:$K777,TRUE()))</f>
        <v/>
      </c>
      <c r="M777" s="6" t="str">
        <f aca="false">IF($L777="","","R"&amp;$L777)</f>
        <v/>
      </c>
    </row>
    <row r="778" customFormat="false" ht="15" hidden="false" customHeight="false" outlineLevel="0" collapsed="false">
      <c r="K778" s="26" t="b">
        <f aca="false">IF(대여내역!$A775="",FALSE(),OR(대여내역!$L775="미반납",대여내역!$L775="부분반납"))</f>
        <v>0</v>
      </c>
      <c r="L778" s="6" t="str">
        <f aca="false">IF($K778=FALSE(),"",COUNTIF($K$6:$K778,TRUE()))</f>
        <v/>
      </c>
      <c r="M778" s="6" t="str">
        <f aca="false">IF($L778="","","R"&amp;$L778)</f>
        <v/>
      </c>
    </row>
    <row r="779" customFormat="false" ht="15" hidden="false" customHeight="false" outlineLevel="0" collapsed="false">
      <c r="K779" s="26" t="b">
        <f aca="false">IF(대여내역!$A776="",FALSE(),OR(대여내역!$L776="미반납",대여내역!$L776="부분반납"))</f>
        <v>0</v>
      </c>
      <c r="L779" s="6" t="str">
        <f aca="false">IF($K779=FALSE(),"",COUNTIF($K$6:$K779,TRUE()))</f>
        <v/>
      </c>
      <c r="M779" s="6" t="str">
        <f aca="false">IF($L779="","","R"&amp;$L779)</f>
        <v/>
      </c>
    </row>
    <row r="780" customFormat="false" ht="15" hidden="false" customHeight="false" outlineLevel="0" collapsed="false">
      <c r="K780" s="26" t="b">
        <f aca="false">IF(대여내역!$A777="",FALSE(),OR(대여내역!$L777="미반납",대여내역!$L777="부분반납"))</f>
        <v>0</v>
      </c>
      <c r="L780" s="6" t="str">
        <f aca="false">IF($K780=FALSE(),"",COUNTIF($K$6:$K780,TRUE()))</f>
        <v/>
      </c>
      <c r="M780" s="6" t="str">
        <f aca="false">IF($L780="","","R"&amp;$L780)</f>
        <v/>
      </c>
    </row>
    <row r="781" customFormat="false" ht="15" hidden="false" customHeight="false" outlineLevel="0" collapsed="false">
      <c r="K781" s="26" t="b">
        <f aca="false">IF(대여내역!$A778="",FALSE(),OR(대여내역!$L778="미반납",대여내역!$L778="부분반납"))</f>
        <v>0</v>
      </c>
      <c r="L781" s="6" t="str">
        <f aca="false">IF($K781=FALSE(),"",COUNTIF($K$6:$K781,TRUE()))</f>
        <v/>
      </c>
      <c r="M781" s="6" t="str">
        <f aca="false">IF($L781="","","R"&amp;$L781)</f>
        <v/>
      </c>
    </row>
    <row r="782" customFormat="false" ht="15" hidden="false" customHeight="false" outlineLevel="0" collapsed="false">
      <c r="K782" s="26" t="b">
        <f aca="false">IF(대여내역!$A779="",FALSE(),OR(대여내역!$L779="미반납",대여내역!$L779="부분반납"))</f>
        <v>0</v>
      </c>
      <c r="L782" s="6" t="str">
        <f aca="false">IF($K782=FALSE(),"",COUNTIF($K$6:$K782,TRUE()))</f>
        <v/>
      </c>
      <c r="M782" s="6" t="str">
        <f aca="false">IF($L782="","","R"&amp;$L782)</f>
        <v/>
      </c>
    </row>
    <row r="783" customFormat="false" ht="15" hidden="false" customHeight="false" outlineLevel="0" collapsed="false">
      <c r="K783" s="26" t="b">
        <f aca="false">IF(대여내역!$A780="",FALSE(),OR(대여내역!$L780="미반납",대여내역!$L780="부분반납"))</f>
        <v>0</v>
      </c>
      <c r="L783" s="6" t="str">
        <f aca="false">IF($K783=FALSE(),"",COUNTIF($K$6:$K783,TRUE()))</f>
        <v/>
      </c>
      <c r="M783" s="6" t="str">
        <f aca="false">IF($L783="","","R"&amp;$L783)</f>
        <v/>
      </c>
    </row>
    <row r="784" customFormat="false" ht="15" hidden="false" customHeight="false" outlineLevel="0" collapsed="false">
      <c r="K784" s="26" t="b">
        <f aca="false">IF(대여내역!$A781="",FALSE(),OR(대여내역!$L781="미반납",대여내역!$L781="부분반납"))</f>
        <v>0</v>
      </c>
      <c r="L784" s="6" t="str">
        <f aca="false">IF($K784=FALSE(),"",COUNTIF($K$6:$K784,TRUE()))</f>
        <v/>
      </c>
      <c r="M784" s="6" t="str">
        <f aca="false">IF($L784="","","R"&amp;$L784)</f>
        <v/>
      </c>
    </row>
    <row r="785" customFormat="false" ht="15" hidden="false" customHeight="false" outlineLevel="0" collapsed="false">
      <c r="K785" s="26" t="b">
        <f aca="false">IF(대여내역!$A782="",FALSE(),OR(대여내역!$L782="미반납",대여내역!$L782="부분반납"))</f>
        <v>0</v>
      </c>
      <c r="L785" s="6" t="str">
        <f aca="false">IF($K785=FALSE(),"",COUNTIF($K$6:$K785,TRUE()))</f>
        <v/>
      </c>
      <c r="M785" s="6" t="str">
        <f aca="false">IF($L785="","","R"&amp;$L785)</f>
        <v/>
      </c>
    </row>
    <row r="786" customFormat="false" ht="15" hidden="false" customHeight="false" outlineLevel="0" collapsed="false">
      <c r="K786" s="26" t="b">
        <f aca="false">IF(대여내역!$A783="",FALSE(),OR(대여내역!$L783="미반납",대여내역!$L783="부분반납"))</f>
        <v>0</v>
      </c>
      <c r="L786" s="6" t="str">
        <f aca="false">IF($K786=FALSE(),"",COUNTIF($K$6:$K786,TRUE()))</f>
        <v/>
      </c>
      <c r="M786" s="6" t="str">
        <f aca="false">IF($L786="","","R"&amp;$L786)</f>
        <v/>
      </c>
    </row>
    <row r="787" customFormat="false" ht="15" hidden="false" customHeight="false" outlineLevel="0" collapsed="false">
      <c r="K787" s="26" t="b">
        <f aca="false">IF(대여내역!$A784="",FALSE(),OR(대여내역!$L784="미반납",대여내역!$L784="부분반납"))</f>
        <v>0</v>
      </c>
      <c r="L787" s="6" t="str">
        <f aca="false">IF($K787=FALSE(),"",COUNTIF($K$6:$K787,TRUE()))</f>
        <v/>
      </c>
      <c r="M787" s="6" t="str">
        <f aca="false">IF($L787="","","R"&amp;$L787)</f>
        <v/>
      </c>
    </row>
    <row r="788" customFormat="false" ht="15" hidden="false" customHeight="false" outlineLevel="0" collapsed="false">
      <c r="K788" s="26" t="b">
        <f aca="false">IF(대여내역!$A785="",FALSE(),OR(대여내역!$L785="미반납",대여내역!$L785="부분반납"))</f>
        <v>0</v>
      </c>
      <c r="L788" s="6" t="str">
        <f aca="false">IF($K788=FALSE(),"",COUNTIF($K$6:$K788,TRUE()))</f>
        <v/>
      </c>
      <c r="M788" s="6" t="str">
        <f aca="false">IF($L788="","","R"&amp;$L788)</f>
        <v/>
      </c>
    </row>
    <row r="789" customFormat="false" ht="15" hidden="false" customHeight="false" outlineLevel="0" collapsed="false">
      <c r="K789" s="26" t="b">
        <f aca="false">IF(대여내역!$A786="",FALSE(),OR(대여내역!$L786="미반납",대여내역!$L786="부분반납"))</f>
        <v>0</v>
      </c>
      <c r="L789" s="6" t="str">
        <f aca="false">IF($K789=FALSE(),"",COUNTIF($K$6:$K789,TRUE()))</f>
        <v/>
      </c>
      <c r="M789" s="6" t="str">
        <f aca="false">IF($L789="","","R"&amp;$L789)</f>
        <v/>
      </c>
    </row>
    <row r="790" customFormat="false" ht="15" hidden="false" customHeight="false" outlineLevel="0" collapsed="false">
      <c r="K790" s="26" t="b">
        <f aca="false">IF(대여내역!$A787="",FALSE(),OR(대여내역!$L787="미반납",대여내역!$L787="부분반납"))</f>
        <v>0</v>
      </c>
      <c r="L790" s="6" t="str">
        <f aca="false">IF($K790=FALSE(),"",COUNTIF($K$6:$K790,TRUE()))</f>
        <v/>
      </c>
      <c r="M790" s="6" t="str">
        <f aca="false">IF($L790="","","R"&amp;$L790)</f>
        <v/>
      </c>
    </row>
    <row r="791" customFormat="false" ht="15" hidden="false" customHeight="false" outlineLevel="0" collapsed="false">
      <c r="K791" s="26" t="b">
        <f aca="false">IF(대여내역!$A788="",FALSE(),OR(대여내역!$L788="미반납",대여내역!$L788="부분반납"))</f>
        <v>0</v>
      </c>
      <c r="L791" s="6" t="str">
        <f aca="false">IF($K791=FALSE(),"",COUNTIF($K$6:$K791,TRUE()))</f>
        <v/>
      </c>
      <c r="M791" s="6" t="str">
        <f aca="false">IF($L791="","","R"&amp;$L791)</f>
        <v/>
      </c>
    </row>
    <row r="792" customFormat="false" ht="15" hidden="false" customHeight="false" outlineLevel="0" collapsed="false">
      <c r="K792" s="26" t="b">
        <f aca="false">IF(대여내역!$A789="",FALSE(),OR(대여내역!$L789="미반납",대여내역!$L789="부분반납"))</f>
        <v>0</v>
      </c>
      <c r="L792" s="6" t="str">
        <f aca="false">IF($K792=FALSE(),"",COUNTIF($K$6:$K792,TRUE()))</f>
        <v/>
      </c>
      <c r="M792" s="6" t="str">
        <f aca="false">IF($L792="","","R"&amp;$L792)</f>
        <v/>
      </c>
    </row>
    <row r="793" customFormat="false" ht="15" hidden="false" customHeight="false" outlineLevel="0" collapsed="false">
      <c r="K793" s="26" t="b">
        <f aca="false">IF(대여내역!$A790="",FALSE(),OR(대여내역!$L790="미반납",대여내역!$L790="부분반납"))</f>
        <v>0</v>
      </c>
      <c r="L793" s="6" t="str">
        <f aca="false">IF($K793=FALSE(),"",COUNTIF($K$6:$K793,TRUE()))</f>
        <v/>
      </c>
      <c r="M793" s="6" t="str">
        <f aca="false">IF($L793="","","R"&amp;$L793)</f>
        <v/>
      </c>
    </row>
    <row r="794" customFormat="false" ht="15" hidden="false" customHeight="false" outlineLevel="0" collapsed="false">
      <c r="K794" s="26" t="b">
        <f aca="false">IF(대여내역!$A791="",FALSE(),OR(대여내역!$L791="미반납",대여내역!$L791="부분반납"))</f>
        <v>0</v>
      </c>
      <c r="L794" s="6" t="str">
        <f aca="false">IF($K794=FALSE(),"",COUNTIF($K$6:$K794,TRUE()))</f>
        <v/>
      </c>
      <c r="M794" s="6" t="str">
        <f aca="false">IF($L794="","","R"&amp;$L794)</f>
        <v/>
      </c>
    </row>
    <row r="795" customFormat="false" ht="15" hidden="false" customHeight="false" outlineLevel="0" collapsed="false">
      <c r="K795" s="26" t="b">
        <f aca="false">IF(대여내역!$A792="",FALSE(),OR(대여내역!$L792="미반납",대여내역!$L792="부분반납"))</f>
        <v>0</v>
      </c>
      <c r="L795" s="6" t="str">
        <f aca="false">IF($K795=FALSE(),"",COUNTIF($K$6:$K795,TRUE()))</f>
        <v/>
      </c>
      <c r="M795" s="6" t="str">
        <f aca="false">IF($L795="","","R"&amp;$L795)</f>
        <v/>
      </c>
    </row>
    <row r="796" customFormat="false" ht="15" hidden="false" customHeight="false" outlineLevel="0" collapsed="false">
      <c r="K796" s="26" t="b">
        <f aca="false">IF(대여내역!$A793="",FALSE(),OR(대여내역!$L793="미반납",대여내역!$L793="부분반납"))</f>
        <v>0</v>
      </c>
      <c r="L796" s="6" t="str">
        <f aca="false">IF($K796=FALSE(),"",COUNTIF($K$6:$K796,TRUE()))</f>
        <v/>
      </c>
      <c r="M796" s="6" t="str">
        <f aca="false">IF($L796="","","R"&amp;$L796)</f>
        <v/>
      </c>
    </row>
    <row r="797" customFormat="false" ht="15" hidden="false" customHeight="false" outlineLevel="0" collapsed="false">
      <c r="K797" s="26" t="b">
        <f aca="false">IF(대여내역!$A794="",FALSE(),OR(대여내역!$L794="미반납",대여내역!$L794="부분반납"))</f>
        <v>0</v>
      </c>
      <c r="L797" s="6" t="str">
        <f aca="false">IF($K797=FALSE(),"",COUNTIF($K$6:$K797,TRUE()))</f>
        <v/>
      </c>
      <c r="M797" s="6" t="str">
        <f aca="false">IF($L797="","","R"&amp;$L797)</f>
        <v/>
      </c>
    </row>
    <row r="798" customFormat="false" ht="15" hidden="false" customHeight="false" outlineLevel="0" collapsed="false">
      <c r="K798" s="26" t="b">
        <f aca="false">IF(대여내역!$A795="",FALSE(),OR(대여내역!$L795="미반납",대여내역!$L795="부분반납"))</f>
        <v>0</v>
      </c>
      <c r="L798" s="6" t="str">
        <f aca="false">IF($K798=FALSE(),"",COUNTIF($K$6:$K798,TRUE()))</f>
        <v/>
      </c>
      <c r="M798" s="6" t="str">
        <f aca="false">IF($L798="","","R"&amp;$L798)</f>
        <v/>
      </c>
    </row>
    <row r="799" customFormat="false" ht="15" hidden="false" customHeight="false" outlineLevel="0" collapsed="false">
      <c r="K799" s="26" t="b">
        <f aca="false">IF(대여내역!$A796="",FALSE(),OR(대여내역!$L796="미반납",대여내역!$L796="부분반납"))</f>
        <v>0</v>
      </c>
      <c r="L799" s="6" t="str">
        <f aca="false">IF($K799=FALSE(),"",COUNTIF($K$6:$K799,TRUE()))</f>
        <v/>
      </c>
      <c r="M799" s="6" t="str">
        <f aca="false">IF($L799="","","R"&amp;$L799)</f>
        <v/>
      </c>
    </row>
    <row r="800" customFormat="false" ht="15" hidden="false" customHeight="false" outlineLevel="0" collapsed="false">
      <c r="K800" s="26" t="b">
        <f aca="false">IF(대여내역!$A797="",FALSE(),OR(대여내역!$L797="미반납",대여내역!$L797="부분반납"))</f>
        <v>0</v>
      </c>
      <c r="L800" s="6" t="str">
        <f aca="false">IF($K800=FALSE(),"",COUNTIF($K$6:$K800,TRUE()))</f>
        <v/>
      </c>
      <c r="M800" s="6" t="str">
        <f aca="false">IF($L800="","","R"&amp;$L800)</f>
        <v/>
      </c>
    </row>
    <row r="801" customFormat="false" ht="15" hidden="false" customHeight="false" outlineLevel="0" collapsed="false">
      <c r="K801" s="26" t="b">
        <f aca="false">IF(대여내역!$A798="",FALSE(),OR(대여내역!$L798="미반납",대여내역!$L798="부분반납"))</f>
        <v>0</v>
      </c>
      <c r="L801" s="6" t="str">
        <f aca="false">IF($K801=FALSE(),"",COUNTIF($K$6:$K801,TRUE()))</f>
        <v/>
      </c>
      <c r="M801" s="6" t="str">
        <f aca="false">IF($L801="","","R"&amp;$L801)</f>
        <v/>
      </c>
    </row>
    <row r="802" customFormat="false" ht="15" hidden="false" customHeight="false" outlineLevel="0" collapsed="false">
      <c r="K802" s="26" t="b">
        <f aca="false">IF(대여내역!$A799="",FALSE(),OR(대여내역!$L799="미반납",대여내역!$L799="부분반납"))</f>
        <v>0</v>
      </c>
      <c r="L802" s="6" t="str">
        <f aca="false">IF($K802=FALSE(),"",COUNTIF($K$6:$K802,TRUE()))</f>
        <v/>
      </c>
      <c r="M802" s="6" t="str">
        <f aca="false">IF($L802="","","R"&amp;$L802)</f>
        <v/>
      </c>
    </row>
    <row r="803" customFormat="false" ht="15" hidden="false" customHeight="false" outlineLevel="0" collapsed="false">
      <c r="K803" s="26" t="b">
        <f aca="false">IF(대여내역!$A800="",FALSE(),OR(대여내역!$L800="미반납",대여내역!$L800="부분반납"))</f>
        <v>0</v>
      </c>
      <c r="L803" s="6" t="str">
        <f aca="false">IF($K803=FALSE(),"",COUNTIF($K$6:$K803,TRUE()))</f>
        <v/>
      </c>
      <c r="M803" s="6" t="str">
        <f aca="false">IF($L803="","","R"&amp;$L803)</f>
        <v/>
      </c>
    </row>
    <row r="804" customFormat="false" ht="15" hidden="false" customHeight="false" outlineLevel="0" collapsed="false">
      <c r="K804" s="26" t="b">
        <f aca="false">IF(대여내역!$A801="",FALSE(),OR(대여내역!$L801="미반납",대여내역!$L801="부분반납"))</f>
        <v>0</v>
      </c>
      <c r="L804" s="6" t="str">
        <f aca="false">IF($K804=FALSE(),"",COUNTIF($K$6:$K804,TRUE()))</f>
        <v/>
      </c>
      <c r="M804" s="6" t="str">
        <f aca="false">IF($L804="","","R"&amp;$L804)</f>
        <v/>
      </c>
    </row>
    <row r="805" customFormat="false" ht="15" hidden="false" customHeight="false" outlineLevel="0" collapsed="false">
      <c r="K805" s="26" t="b">
        <f aca="false">IF(대여내역!$A802="",FALSE(),OR(대여내역!$L802="미반납",대여내역!$L802="부분반납"))</f>
        <v>0</v>
      </c>
      <c r="L805" s="6" t="str">
        <f aca="false">IF($K805=FALSE(),"",COUNTIF($K$6:$K805,TRUE()))</f>
        <v/>
      </c>
      <c r="M805" s="6" t="str">
        <f aca="false">IF($L805="","","R"&amp;$L805)</f>
        <v/>
      </c>
    </row>
    <row r="806" customFormat="false" ht="15" hidden="false" customHeight="false" outlineLevel="0" collapsed="false">
      <c r="K806" s="26" t="b">
        <f aca="false">IF(대여내역!$A803="",FALSE(),OR(대여내역!$L803="미반납",대여내역!$L803="부분반납"))</f>
        <v>0</v>
      </c>
      <c r="L806" s="6" t="str">
        <f aca="false">IF($K806=FALSE(),"",COUNTIF($K$6:$K806,TRUE()))</f>
        <v/>
      </c>
      <c r="M806" s="6" t="str">
        <f aca="false">IF($L806="","","R"&amp;$L806)</f>
        <v/>
      </c>
    </row>
    <row r="807" customFormat="false" ht="15" hidden="false" customHeight="false" outlineLevel="0" collapsed="false">
      <c r="K807" s="26" t="b">
        <f aca="false">IF(대여내역!$A804="",FALSE(),OR(대여내역!$L804="미반납",대여내역!$L804="부분반납"))</f>
        <v>0</v>
      </c>
      <c r="L807" s="6" t="str">
        <f aca="false">IF($K807=FALSE(),"",COUNTIF($K$6:$K807,TRUE()))</f>
        <v/>
      </c>
      <c r="M807" s="6" t="str">
        <f aca="false">IF($L807="","","R"&amp;$L807)</f>
        <v/>
      </c>
    </row>
    <row r="808" customFormat="false" ht="15" hidden="false" customHeight="false" outlineLevel="0" collapsed="false">
      <c r="K808" s="26" t="b">
        <f aca="false">IF(대여내역!$A805="",FALSE(),OR(대여내역!$L805="미반납",대여내역!$L805="부분반납"))</f>
        <v>0</v>
      </c>
      <c r="L808" s="6" t="str">
        <f aca="false">IF($K808=FALSE(),"",COUNTIF($K$6:$K808,TRUE()))</f>
        <v/>
      </c>
      <c r="M808" s="6" t="str">
        <f aca="false">IF($L808="","","R"&amp;$L808)</f>
        <v/>
      </c>
    </row>
    <row r="809" customFormat="false" ht="15" hidden="false" customHeight="false" outlineLevel="0" collapsed="false">
      <c r="K809" s="26" t="b">
        <f aca="false">IF(대여내역!$A806="",FALSE(),OR(대여내역!$L806="미반납",대여내역!$L806="부분반납"))</f>
        <v>0</v>
      </c>
      <c r="L809" s="6" t="str">
        <f aca="false">IF($K809=FALSE(),"",COUNTIF($K$6:$K809,TRUE()))</f>
        <v/>
      </c>
      <c r="M809" s="6" t="str">
        <f aca="false">IF($L809="","","R"&amp;$L809)</f>
        <v/>
      </c>
    </row>
    <row r="810" customFormat="false" ht="15" hidden="false" customHeight="false" outlineLevel="0" collapsed="false">
      <c r="K810" s="26" t="b">
        <f aca="false">IF(대여내역!$A807="",FALSE(),OR(대여내역!$L807="미반납",대여내역!$L807="부분반납"))</f>
        <v>0</v>
      </c>
      <c r="L810" s="6" t="str">
        <f aca="false">IF($K810=FALSE(),"",COUNTIF($K$6:$K810,TRUE()))</f>
        <v/>
      </c>
      <c r="M810" s="6" t="str">
        <f aca="false">IF($L810="","","R"&amp;$L810)</f>
        <v/>
      </c>
    </row>
    <row r="811" customFormat="false" ht="15" hidden="false" customHeight="false" outlineLevel="0" collapsed="false">
      <c r="K811" s="26" t="b">
        <f aca="false">IF(대여내역!$A808="",FALSE(),OR(대여내역!$L808="미반납",대여내역!$L808="부분반납"))</f>
        <v>0</v>
      </c>
      <c r="L811" s="6" t="str">
        <f aca="false">IF($K811=FALSE(),"",COUNTIF($K$6:$K811,TRUE()))</f>
        <v/>
      </c>
      <c r="M811" s="6" t="str">
        <f aca="false">IF($L811="","","R"&amp;$L811)</f>
        <v/>
      </c>
    </row>
    <row r="812" customFormat="false" ht="15" hidden="false" customHeight="false" outlineLevel="0" collapsed="false">
      <c r="K812" s="26" t="b">
        <f aca="false">IF(대여내역!$A809="",FALSE(),OR(대여내역!$L809="미반납",대여내역!$L809="부분반납"))</f>
        <v>0</v>
      </c>
      <c r="L812" s="6" t="str">
        <f aca="false">IF($K812=FALSE(),"",COUNTIF($K$6:$K812,TRUE()))</f>
        <v/>
      </c>
      <c r="M812" s="6" t="str">
        <f aca="false">IF($L812="","","R"&amp;$L812)</f>
        <v/>
      </c>
    </row>
    <row r="813" customFormat="false" ht="15" hidden="false" customHeight="false" outlineLevel="0" collapsed="false">
      <c r="K813" s="26" t="b">
        <f aca="false">IF(대여내역!$A810="",FALSE(),OR(대여내역!$L810="미반납",대여내역!$L810="부분반납"))</f>
        <v>0</v>
      </c>
      <c r="L813" s="6" t="str">
        <f aca="false">IF($K813=FALSE(),"",COUNTIF($K$6:$K813,TRUE()))</f>
        <v/>
      </c>
      <c r="M813" s="6" t="str">
        <f aca="false">IF($L813="","","R"&amp;$L813)</f>
        <v/>
      </c>
    </row>
    <row r="814" customFormat="false" ht="15" hidden="false" customHeight="false" outlineLevel="0" collapsed="false">
      <c r="K814" s="26" t="b">
        <f aca="false">IF(대여내역!$A811="",FALSE(),OR(대여내역!$L811="미반납",대여내역!$L811="부분반납"))</f>
        <v>0</v>
      </c>
      <c r="L814" s="6" t="str">
        <f aca="false">IF($K814=FALSE(),"",COUNTIF($K$6:$K814,TRUE()))</f>
        <v/>
      </c>
      <c r="M814" s="6" t="str">
        <f aca="false">IF($L814="","","R"&amp;$L814)</f>
        <v/>
      </c>
    </row>
    <row r="815" customFormat="false" ht="15" hidden="false" customHeight="false" outlineLevel="0" collapsed="false">
      <c r="K815" s="26" t="b">
        <f aca="false">IF(대여내역!$A812="",FALSE(),OR(대여내역!$L812="미반납",대여내역!$L812="부분반납"))</f>
        <v>0</v>
      </c>
      <c r="L815" s="6" t="str">
        <f aca="false">IF($K815=FALSE(),"",COUNTIF($K$6:$K815,TRUE()))</f>
        <v/>
      </c>
      <c r="M815" s="6" t="str">
        <f aca="false">IF($L815="","","R"&amp;$L815)</f>
        <v/>
      </c>
    </row>
    <row r="816" customFormat="false" ht="15" hidden="false" customHeight="false" outlineLevel="0" collapsed="false">
      <c r="K816" s="26" t="b">
        <f aca="false">IF(대여내역!$A813="",FALSE(),OR(대여내역!$L813="미반납",대여내역!$L813="부분반납"))</f>
        <v>0</v>
      </c>
      <c r="L816" s="6" t="str">
        <f aca="false">IF($K816=FALSE(),"",COUNTIF($K$6:$K816,TRUE()))</f>
        <v/>
      </c>
      <c r="M816" s="6" t="str">
        <f aca="false">IF($L816="","","R"&amp;$L816)</f>
        <v/>
      </c>
    </row>
    <row r="817" customFormat="false" ht="15" hidden="false" customHeight="false" outlineLevel="0" collapsed="false">
      <c r="K817" s="26" t="b">
        <f aca="false">IF(대여내역!$A814="",FALSE(),OR(대여내역!$L814="미반납",대여내역!$L814="부분반납"))</f>
        <v>0</v>
      </c>
      <c r="L817" s="6" t="str">
        <f aca="false">IF($K817=FALSE(),"",COUNTIF($K$6:$K817,TRUE()))</f>
        <v/>
      </c>
      <c r="M817" s="6" t="str">
        <f aca="false">IF($L817="","","R"&amp;$L817)</f>
        <v/>
      </c>
    </row>
    <row r="818" customFormat="false" ht="15" hidden="false" customHeight="false" outlineLevel="0" collapsed="false">
      <c r="K818" s="26" t="b">
        <f aca="false">IF(대여내역!$A815="",FALSE(),OR(대여내역!$L815="미반납",대여내역!$L815="부분반납"))</f>
        <v>0</v>
      </c>
      <c r="L818" s="6" t="str">
        <f aca="false">IF($K818=FALSE(),"",COUNTIF($K$6:$K818,TRUE()))</f>
        <v/>
      </c>
      <c r="M818" s="6" t="str">
        <f aca="false">IF($L818="","","R"&amp;$L818)</f>
        <v/>
      </c>
    </row>
    <row r="819" customFormat="false" ht="15" hidden="false" customHeight="false" outlineLevel="0" collapsed="false">
      <c r="K819" s="26" t="b">
        <f aca="false">IF(대여내역!$A816="",FALSE(),OR(대여내역!$L816="미반납",대여내역!$L816="부분반납"))</f>
        <v>0</v>
      </c>
      <c r="L819" s="6" t="str">
        <f aca="false">IF($K819=FALSE(),"",COUNTIF($K$6:$K819,TRUE()))</f>
        <v/>
      </c>
      <c r="M819" s="6" t="str">
        <f aca="false">IF($L819="","","R"&amp;$L819)</f>
        <v/>
      </c>
    </row>
    <row r="820" customFormat="false" ht="15" hidden="false" customHeight="false" outlineLevel="0" collapsed="false">
      <c r="K820" s="26" t="b">
        <f aca="false">IF(대여내역!$A817="",FALSE(),OR(대여내역!$L817="미반납",대여내역!$L817="부분반납"))</f>
        <v>0</v>
      </c>
      <c r="L820" s="6" t="str">
        <f aca="false">IF($K820=FALSE(),"",COUNTIF($K$6:$K820,TRUE()))</f>
        <v/>
      </c>
      <c r="M820" s="6" t="str">
        <f aca="false">IF($L820="","","R"&amp;$L820)</f>
        <v/>
      </c>
    </row>
    <row r="821" customFormat="false" ht="15" hidden="false" customHeight="false" outlineLevel="0" collapsed="false">
      <c r="K821" s="26" t="b">
        <f aca="false">IF(대여내역!$A818="",FALSE(),OR(대여내역!$L818="미반납",대여내역!$L818="부분반납"))</f>
        <v>0</v>
      </c>
      <c r="L821" s="6" t="str">
        <f aca="false">IF($K821=FALSE(),"",COUNTIF($K$6:$K821,TRUE()))</f>
        <v/>
      </c>
      <c r="M821" s="6" t="str">
        <f aca="false">IF($L821="","","R"&amp;$L821)</f>
        <v/>
      </c>
    </row>
    <row r="822" customFormat="false" ht="15" hidden="false" customHeight="false" outlineLevel="0" collapsed="false">
      <c r="K822" s="26" t="b">
        <f aca="false">IF(대여내역!$A819="",FALSE(),OR(대여내역!$L819="미반납",대여내역!$L819="부분반납"))</f>
        <v>0</v>
      </c>
      <c r="L822" s="6" t="str">
        <f aca="false">IF($K822=FALSE(),"",COUNTIF($K$6:$K822,TRUE()))</f>
        <v/>
      </c>
      <c r="M822" s="6" t="str">
        <f aca="false">IF($L822="","","R"&amp;$L822)</f>
        <v/>
      </c>
    </row>
    <row r="823" customFormat="false" ht="15" hidden="false" customHeight="false" outlineLevel="0" collapsed="false">
      <c r="K823" s="26" t="b">
        <f aca="false">IF(대여내역!$A820="",FALSE(),OR(대여내역!$L820="미반납",대여내역!$L820="부분반납"))</f>
        <v>0</v>
      </c>
      <c r="L823" s="6" t="str">
        <f aca="false">IF($K823=FALSE(),"",COUNTIF($K$6:$K823,TRUE()))</f>
        <v/>
      </c>
      <c r="M823" s="6" t="str">
        <f aca="false">IF($L823="","","R"&amp;$L823)</f>
        <v/>
      </c>
    </row>
    <row r="824" customFormat="false" ht="15" hidden="false" customHeight="false" outlineLevel="0" collapsed="false">
      <c r="K824" s="26" t="b">
        <f aca="false">IF(대여내역!$A821="",FALSE(),OR(대여내역!$L821="미반납",대여내역!$L821="부분반납"))</f>
        <v>0</v>
      </c>
      <c r="L824" s="6" t="str">
        <f aca="false">IF($K824=FALSE(),"",COUNTIF($K$6:$K824,TRUE()))</f>
        <v/>
      </c>
      <c r="M824" s="6" t="str">
        <f aca="false">IF($L824="","","R"&amp;$L824)</f>
        <v/>
      </c>
    </row>
    <row r="825" customFormat="false" ht="15" hidden="false" customHeight="false" outlineLevel="0" collapsed="false">
      <c r="K825" s="26" t="b">
        <f aca="false">IF(대여내역!$A822="",FALSE(),OR(대여내역!$L822="미반납",대여내역!$L822="부분반납"))</f>
        <v>0</v>
      </c>
      <c r="L825" s="6" t="str">
        <f aca="false">IF($K825=FALSE(),"",COUNTIF($K$6:$K825,TRUE()))</f>
        <v/>
      </c>
      <c r="M825" s="6" t="str">
        <f aca="false">IF($L825="","","R"&amp;$L825)</f>
        <v/>
      </c>
    </row>
    <row r="826" customFormat="false" ht="15" hidden="false" customHeight="false" outlineLevel="0" collapsed="false">
      <c r="K826" s="26" t="b">
        <f aca="false">IF(대여내역!$A823="",FALSE(),OR(대여내역!$L823="미반납",대여내역!$L823="부분반납"))</f>
        <v>0</v>
      </c>
      <c r="L826" s="6" t="str">
        <f aca="false">IF($K826=FALSE(),"",COUNTIF($K$6:$K826,TRUE()))</f>
        <v/>
      </c>
      <c r="M826" s="6" t="str">
        <f aca="false">IF($L826="","","R"&amp;$L826)</f>
        <v/>
      </c>
    </row>
    <row r="827" customFormat="false" ht="15" hidden="false" customHeight="false" outlineLevel="0" collapsed="false">
      <c r="K827" s="26" t="b">
        <f aca="false">IF(대여내역!$A824="",FALSE(),OR(대여내역!$L824="미반납",대여내역!$L824="부분반납"))</f>
        <v>0</v>
      </c>
      <c r="L827" s="6" t="str">
        <f aca="false">IF($K827=FALSE(),"",COUNTIF($K$6:$K827,TRUE()))</f>
        <v/>
      </c>
      <c r="M827" s="6" t="str">
        <f aca="false">IF($L827="","","R"&amp;$L827)</f>
        <v/>
      </c>
    </row>
    <row r="828" customFormat="false" ht="15" hidden="false" customHeight="false" outlineLevel="0" collapsed="false">
      <c r="K828" s="26" t="b">
        <f aca="false">IF(대여내역!$A825="",FALSE(),OR(대여내역!$L825="미반납",대여내역!$L825="부분반납"))</f>
        <v>0</v>
      </c>
      <c r="L828" s="6" t="str">
        <f aca="false">IF($K828=FALSE(),"",COUNTIF($K$6:$K828,TRUE()))</f>
        <v/>
      </c>
      <c r="M828" s="6" t="str">
        <f aca="false">IF($L828="","","R"&amp;$L828)</f>
        <v/>
      </c>
    </row>
    <row r="829" customFormat="false" ht="15" hidden="false" customHeight="false" outlineLevel="0" collapsed="false">
      <c r="K829" s="26" t="b">
        <f aca="false">IF(대여내역!$A826="",FALSE(),OR(대여내역!$L826="미반납",대여내역!$L826="부분반납"))</f>
        <v>0</v>
      </c>
      <c r="L829" s="6" t="str">
        <f aca="false">IF($K829=FALSE(),"",COUNTIF($K$6:$K829,TRUE()))</f>
        <v/>
      </c>
      <c r="M829" s="6" t="str">
        <f aca="false">IF($L829="","","R"&amp;$L829)</f>
        <v/>
      </c>
    </row>
    <row r="830" customFormat="false" ht="15" hidden="false" customHeight="false" outlineLevel="0" collapsed="false">
      <c r="K830" s="26" t="b">
        <f aca="false">IF(대여내역!$A827="",FALSE(),OR(대여내역!$L827="미반납",대여내역!$L827="부분반납"))</f>
        <v>0</v>
      </c>
      <c r="L830" s="6" t="str">
        <f aca="false">IF($K830=FALSE(),"",COUNTIF($K$6:$K830,TRUE()))</f>
        <v/>
      </c>
      <c r="M830" s="6" t="str">
        <f aca="false">IF($L830="","","R"&amp;$L830)</f>
        <v/>
      </c>
    </row>
    <row r="831" customFormat="false" ht="15" hidden="false" customHeight="false" outlineLevel="0" collapsed="false">
      <c r="K831" s="26" t="b">
        <f aca="false">IF(대여내역!$A828="",FALSE(),OR(대여내역!$L828="미반납",대여내역!$L828="부분반납"))</f>
        <v>0</v>
      </c>
      <c r="L831" s="6" t="str">
        <f aca="false">IF($K831=FALSE(),"",COUNTIF($K$6:$K831,TRUE()))</f>
        <v/>
      </c>
      <c r="M831" s="6" t="str">
        <f aca="false">IF($L831="","","R"&amp;$L831)</f>
        <v/>
      </c>
    </row>
    <row r="832" customFormat="false" ht="15" hidden="false" customHeight="false" outlineLevel="0" collapsed="false">
      <c r="K832" s="26" t="b">
        <f aca="false">IF(대여내역!$A829="",FALSE(),OR(대여내역!$L829="미반납",대여내역!$L829="부분반납"))</f>
        <v>0</v>
      </c>
      <c r="L832" s="6" t="str">
        <f aca="false">IF($K832=FALSE(),"",COUNTIF($K$6:$K832,TRUE()))</f>
        <v/>
      </c>
      <c r="M832" s="6" t="str">
        <f aca="false">IF($L832="","","R"&amp;$L832)</f>
        <v/>
      </c>
    </row>
    <row r="833" customFormat="false" ht="15" hidden="false" customHeight="false" outlineLevel="0" collapsed="false">
      <c r="K833" s="26" t="b">
        <f aca="false">IF(대여내역!$A830="",FALSE(),OR(대여내역!$L830="미반납",대여내역!$L830="부분반납"))</f>
        <v>0</v>
      </c>
      <c r="L833" s="6" t="str">
        <f aca="false">IF($K833=FALSE(),"",COUNTIF($K$6:$K833,TRUE()))</f>
        <v/>
      </c>
      <c r="M833" s="6" t="str">
        <f aca="false">IF($L833="","","R"&amp;$L833)</f>
        <v/>
      </c>
    </row>
    <row r="834" customFormat="false" ht="15" hidden="false" customHeight="false" outlineLevel="0" collapsed="false">
      <c r="K834" s="26" t="b">
        <f aca="false">IF(대여내역!$A831="",FALSE(),OR(대여내역!$L831="미반납",대여내역!$L831="부분반납"))</f>
        <v>0</v>
      </c>
      <c r="L834" s="6" t="str">
        <f aca="false">IF($K834=FALSE(),"",COUNTIF($K$6:$K834,TRUE()))</f>
        <v/>
      </c>
      <c r="M834" s="6" t="str">
        <f aca="false">IF($L834="","","R"&amp;$L834)</f>
        <v/>
      </c>
    </row>
    <row r="835" customFormat="false" ht="15" hidden="false" customHeight="false" outlineLevel="0" collapsed="false">
      <c r="K835" s="26" t="b">
        <f aca="false">IF(대여내역!$A832="",FALSE(),OR(대여내역!$L832="미반납",대여내역!$L832="부분반납"))</f>
        <v>0</v>
      </c>
      <c r="L835" s="6" t="str">
        <f aca="false">IF($K835=FALSE(),"",COUNTIF($K$6:$K835,TRUE()))</f>
        <v/>
      </c>
      <c r="M835" s="6" t="str">
        <f aca="false">IF($L835="","","R"&amp;$L835)</f>
        <v/>
      </c>
    </row>
    <row r="836" customFormat="false" ht="15" hidden="false" customHeight="false" outlineLevel="0" collapsed="false">
      <c r="K836" s="26" t="b">
        <f aca="false">IF(대여내역!$A833="",FALSE(),OR(대여내역!$L833="미반납",대여내역!$L833="부분반납"))</f>
        <v>0</v>
      </c>
      <c r="L836" s="6" t="str">
        <f aca="false">IF($K836=FALSE(),"",COUNTIF($K$6:$K836,TRUE()))</f>
        <v/>
      </c>
      <c r="M836" s="6" t="str">
        <f aca="false">IF($L836="","","R"&amp;$L836)</f>
        <v/>
      </c>
    </row>
    <row r="837" customFormat="false" ht="15" hidden="false" customHeight="false" outlineLevel="0" collapsed="false">
      <c r="K837" s="26" t="b">
        <f aca="false">IF(대여내역!$A834="",FALSE(),OR(대여내역!$L834="미반납",대여내역!$L834="부분반납"))</f>
        <v>0</v>
      </c>
      <c r="L837" s="6" t="str">
        <f aca="false">IF($K837=FALSE(),"",COUNTIF($K$6:$K837,TRUE()))</f>
        <v/>
      </c>
      <c r="M837" s="6" t="str">
        <f aca="false">IF($L837="","","R"&amp;$L837)</f>
        <v/>
      </c>
    </row>
    <row r="838" customFormat="false" ht="15" hidden="false" customHeight="false" outlineLevel="0" collapsed="false">
      <c r="K838" s="26" t="b">
        <f aca="false">IF(대여내역!$A835="",FALSE(),OR(대여내역!$L835="미반납",대여내역!$L835="부분반납"))</f>
        <v>0</v>
      </c>
      <c r="L838" s="6" t="str">
        <f aca="false">IF($K838=FALSE(),"",COUNTIF($K$6:$K838,TRUE()))</f>
        <v/>
      </c>
      <c r="M838" s="6" t="str">
        <f aca="false">IF($L838="","","R"&amp;$L838)</f>
        <v/>
      </c>
    </row>
    <row r="839" customFormat="false" ht="15" hidden="false" customHeight="false" outlineLevel="0" collapsed="false">
      <c r="K839" s="26" t="b">
        <f aca="false">IF(대여내역!$A836="",FALSE(),OR(대여내역!$L836="미반납",대여내역!$L836="부분반납"))</f>
        <v>0</v>
      </c>
      <c r="L839" s="6" t="str">
        <f aca="false">IF($K839=FALSE(),"",COUNTIF($K$6:$K839,TRUE()))</f>
        <v/>
      </c>
      <c r="M839" s="6" t="str">
        <f aca="false">IF($L839="","","R"&amp;$L839)</f>
        <v/>
      </c>
    </row>
    <row r="840" customFormat="false" ht="15" hidden="false" customHeight="false" outlineLevel="0" collapsed="false">
      <c r="K840" s="26" t="b">
        <f aca="false">IF(대여내역!$A837="",FALSE(),OR(대여내역!$L837="미반납",대여내역!$L837="부분반납"))</f>
        <v>0</v>
      </c>
      <c r="L840" s="6" t="str">
        <f aca="false">IF($K840=FALSE(),"",COUNTIF($K$6:$K840,TRUE()))</f>
        <v/>
      </c>
      <c r="M840" s="6" t="str">
        <f aca="false">IF($L840="","","R"&amp;$L840)</f>
        <v/>
      </c>
    </row>
    <row r="841" customFormat="false" ht="15" hidden="false" customHeight="false" outlineLevel="0" collapsed="false">
      <c r="K841" s="26" t="b">
        <f aca="false">IF(대여내역!$A838="",FALSE(),OR(대여내역!$L838="미반납",대여내역!$L838="부분반납"))</f>
        <v>0</v>
      </c>
      <c r="L841" s="6" t="str">
        <f aca="false">IF($K841=FALSE(),"",COUNTIF($K$6:$K841,TRUE()))</f>
        <v/>
      </c>
      <c r="M841" s="6" t="str">
        <f aca="false">IF($L841="","","R"&amp;$L841)</f>
        <v/>
      </c>
    </row>
    <row r="842" customFormat="false" ht="15" hidden="false" customHeight="false" outlineLevel="0" collapsed="false">
      <c r="K842" s="26" t="b">
        <f aca="false">IF(대여내역!$A839="",FALSE(),OR(대여내역!$L839="미반납",대여내역!$L839="부분반납"))</f>
        <v>0</v>
      </c>
      <c r="L842" s="6" t="str">
        <f aca="false">IF($K842=FALSE(),"",COUNTIF($K$6:$K842,TRUE()))</f>
        <v/>
      </c>
      <c r="M842" s="6" t="str">
        <f aca="false">IF($L842="","","R"&amp;$L842)</f>
        <v/>
      </c>
    </row>
    <row r="843" customFormat="false" ht="15" hidden="false" customHeight="false" outlineLevel="0" collapsed="false">
      <c r="K843" s="26" t="b">
        <f aca="false">IF(대여내역!$A840="",FALSE(),OR(대여내역!$L840="미반납",대여내역!$L840="부분반납"))</f>
        <v>0</v>
      </c>
      <c r="L843" s="6" t="str">
        <f aca="false">IF($K843=FALSE(),"",COUNTIF($K$6:$K843,TRUE()))</f>
        <v/>
      </c>
      <c r="M843" s="6" t="str">
        <f aca="false">IF($L843="","","R"&amp;$L843)</f>
        <v/>
      </c>
    </row>
    <row r="844" customFormat="false" ht="15" hidden="false" customHeight="false" outlineLevel="0" collapsed="false">
      <c r="K844" s="26" t="b">
        <f aca="false">IF(대여내역!$A841="",FALSE(),OR(대여내역!$L841="미반납",대여내역!$L841="부분반납"))</f>
        <v>0</v>
      </c>
      <c r="L844" s="6" t="str">
        <f aca="false">IF($K844=FALSE(),"",COUNTIF($K$6:$K844,TRUE()))</f>
        <v/>
      </c>
      <c r="M844" s="6" t="str">
        <f aca="false">IF($L844="","","R"&amp;$L844)</f>
        <v/>
      </c>
    </row>
    <row r="845" customFormat="false" ht="15" hidden="false" customHeight="false" outlineLevel="0" collapsed="false">
      <c r="K845" s="26" t="b">
        <f aca="false">IF(대여내역!$A842="",FALSE(),OR(대여내역!$L842="미반납",대여내역!$L842="부분반납"))</f>
        <v>0</v>
      </c>
      <c r="L845" s="6" t="str">
        <f aca="false">IF($K845=FALSE(),"",COUNTIF($K$6:$K845,TRUE()))</f>
        <v/>
      </c>
      <c r="M845" s="6" t="str">
        <f aca="false">IF($L845="","","R"&amp;$L845)</f>
        <v/>
      </c>
    </row>
    <row r="846" customFormat="false" ht="15" hidden="false" customHeight="false" outlineLevel="0" collapsed="false">
      <c r="K846" s="26" t="b">
        <f aca="false">IF(대여내역!$A843="",FALSE(),OR(대여내역!$L843="미반납",대여내역!$L843="부분반납"))</f>
        <v>0</v>
      </c>
      <c r="L846" s="6" t="str">
        <f aca="false">IF($K846=FALSE(),"",COUNTIF($K$6:$K846,TRUE()))</f>
        <v/>
      </c>
      <c r="M846" s="6" t="str">
        <f aca="false">IF($L846="","","R"&amp;$L846)</f>
        <v/>
      </c>
    </row>
    <row r="847" customFormat="false" ht="15" hidden="false" customHeight="false" outlineLevel="0" collapsed="false">
      <c r="K847" s="26" t="b">
        <f aca="false">IF(대여내역!$A844="",FALSE(),OR(대여내역!$L844="미반납",대여내역!$L844="부분반납"))</f>
        <v>0</v>
      </c>
      <c r="L847" s="6" t="str">
        <f aca="false">IF($K847=FALSE(),"",COUNTIF($K$6:$K847,TRUE()))</f>
        <v/>
      </c>
      <c r="M847" s="6" t="str">
        <f aca="false">IF($L847="","","R"&amp;$L847)</f>
        <v/>
      </c>
    </row>
    <row r="848" customFormat="false" ht="15" hidden="false" customHeight="false" outlineLevel="0" collapsed="false">
      <c r="K848" s="26" t="b">
        <f aca="false">IF(대여내역!$A845="",FALSE(),OR(대여내역!$L845="미반납",대여내역!$L845="부분반납"))</f>
        <v>0</v>
      </c>
      <c r="L848" s="6" t="str">
        <f aca="false">IF($K848=FALSE(),"",COUNTIF($K$6:$K848,TRUE()))</f>
        <v/>
      </c>
      <c r="M848" s="6" t="str">
        <f aca="false">IF($L848="","","R"&amp;$L848)</f>
        <v/>
      </c>
    </row>
    <row r="849" customFormat="false" ht="15" hidden="false" customHeight="false" outlineLevel="0" collapsed="false">
      <c r="K849" s="26" t="b">
        <f aca="false">IF(대여내역!$A846="",FALSE(),OR(대여내역!$L846="미반납",대여내역!$L846="부분반납"))</f>
        <v>0</v>
      </c>
      <c r="L849" s="6" t="str">
        <f aca="false">IF($K849=FALSE(),"",COUNTIF($K$6:$K849,TRUE()))</f>
        <v/>
      </c>
      <c r="M849" s="6" t="str">
        <f aca="false">IF($L849="","","R"&amp;$L849)</f>
        <v/>
      </c>
    </row>
    <row r="850" customFormat="false" ht="15" hidden="false" customHeight="false" outlineLevel="0" collapsed="false">
      <c r="K850" s="26" t="b">
        <f aca="false">IF(대여내역!$A847="",FALSE(),OR(대여내역!$L847="미반납",대여내역!$L847="부분반납"))</f>
        <v>0</v>
      </c>
      <c r="L850" s="6" t="str">
        <f aca="false">IF($K850=FALSE(),"",COUNTIF($K$6:$K850,TRUE()))</f>
        <v/>
      </c>
      <c r="M850" s="6" t="str">
        <f aca="false">IF($L850="","","R"&amp;$L850)</f>
        <v/>
      </c>
    </row>
    <row r="851" customFormat="false" ht="15" hidden="false" customHeight="false" outlineLevel="0" collapsed="false">
      <c r="K851" s="26" t="b">
        <f aca="false">IF(대여내역!$A848="",FALSE(),OR(대여내역!$L848="미반납",대여내역!$L848="부분반납"))</f>
        <v>0</v>
      </c>
      <c r="L851" s="6" t="str">
        <f aca="false">IF($K851=FALSE(),"",COUNTIF($K$6:$K851,TRUE()))</f>
        <v/>
      </c>
      <c r="M851" s="6" t="str">
        <f aca="false">IF($L851="","","R"&amp;$L851)</f>
        <v/>
      </c>
    </row>
    <row r="852" customFormat="false" ht="15" hidden="false" customHeight="false" outlineLevel="0" collapsed="false">
      <c r="K852" s="26" t="b">
        <f aca="false">IF(대여내역!$A849="",FALSE(),OR(대여내역!$L849="미반납",대여내역!$L849="부분반납"))</f>
        <v>0</v>
      </c>
      <c r="L852" s="6" t="str">
        <f aca="false">IF($K852=FALSE(),"",COUNTIF($K$6:$K852,TRUE()))</f>
        <v/>
      </c>
      <c r="M852" s="6" t="str">
        <f aca="false">IF($L852="","","R"&amp;$L852)</f>
        <v/>
      </c>
    </row>
    <row r="853" customFormat="false" ht="15" hidden="false" customHeight="false" outlineLevel="0" collapsed="false">
      <c r="K853" s="26" t="b">
        <f aca="false">IF(대여내역!$A850="",FALSE(),OR(대여내역!$L850="미반납",대여내역!$L850="부분반납"))</f>
        <v>0</v>
      </c>
      <c r="L853" s="6" t="str">
        <f aca="false">IF($K853=FALSE(),"",COUNTIF($K$6:$K853,TRUE()))</f>
        <v/>
      </c>
      <c r="M853" s="6" t="str">
        <f aca="false">IF($L853="","","R"&amp;$L853)</f>
        <v/>
      </c>
    </row>
    <row r="854" customFormat="false" ht="15" hidden="false" customHeight="false" outlineLevel="0" collapsed="false">
      <c r="K854" s="26" t="b">
        <f aca="false">IF(대여내역!$A851="",FALSE(),OR(대여내역!$L851="미반납",대여내역!$L851="부분반납"))</f>
        <v>0</v>
      </c>
      <c r="L854" s="6" t="str">
        <f aca="false">IF($K854=FALSE(),"",COUNTIF($K$6:$K854,TRUE()))</f>
        <v/>
      </c>
      <c r="M854" s="6" t="str">
        <f aca="false">IF($L854="","","R"&amp;$L854)</f>
        <v/>
      </c>
    </row>
    <row r="855" customFormat="false" ht="15" hidden="false" customHeight="false" outlineLevel="0" collapsed="false">
      <c r="K855" s="26" t="b">
        <f aca="false">IF(대여내역!$A852="",FALSE(),OR(대여내역!$L852="미반납",대여내역!$L852="부분반납"))</f>
        <v>0</v>
      </c>
      <c r="L855" s="6" t="str">
        <f aca="false">IF($K855=FALSE(),"",COUNTIF($K$6:$K855,TRUE()))</f>
        <v/>
      </c>
      <c r="M855" s="6" t="str">
        <f aca="false">IF($L855="","","R"&amp;$L855)</f>
        <v/>
      </c>
    </row>
    <row r="856" customFormat="false" ht="15" hidden="false" customHeight="false" outlineLevel="0" collapsed="false">
      <c r="K856" s="26" t="b">
        <f aca="false">IF(대여내역!$A853="",FALSE(),OR(대여내역!$L853="미반납",대여내역!$L853="부분반납"))</f>
        <v>0</v>
      </c>
      <c r="L856" s="6" t="str">
        <f aca="false">IF($K856=FALSE(),"",COUNTIF($K$6:$K856,TRUE()))</f>
        <v/>
      </c>
      <c r="M856" s="6" t="str">
        <f aca="false">IF($L856="","","R"&amp;$L856)</f>
        <v/>
      </c>
    </row>
    <row r="857" customFormat="false" ht="15" hidden="false" customHeight="false" outlineLevel="0" collapsed="false">
      <c r="K857" s="26" t="b">
        <f aca="false">IF(대여내역!$A854="",FALSE(),OR(대여내역!$L854="미반납",대여내역!$L854="부분반납"))</f>
        <v>0</v>
      </c>
      <c r="L857" s="6" t="str">
        <f aca="false">IF($K857=FALSE(),"",COUNTIF($K$6:$K857,TRUE()))</f>
        <v/>
      </c>
      <c r="M857" s="6" t="str">
        <f aca="false">IF($L857="","","R"&amp;$L857)</f>
        <v/>
      </c>
    </row>
    <row r="858" customFormat="false" ht="15" hidden="false" customHeight="false" outlineLevel="0" collapsed="false">
      <c r="K858" s="26" t="b">
        <f aca="false">IF(대여내역!$A855="",FALSE(),OR(대여내역!$L855="미반납",대여내역!$L855="부분반납"))</f>
        <v>0</v>
      </c>
      <c r="L858" s="6" t="str">
        <f aca="false">IF($K858=FALSE(),"",COUNTIF($K$6:$K858,TRUE()))</f>
        <v/>
      </c>
      <c r="M858" s="6" t="str">
        <f aca="false">IF($L858="","","R"&amp;$L858)</f>
        <v/>
      </c>
    </row>
    <row r="859" customFormat="false" ht="15" hidden="false" customHeight="false" outlineLevel="0" collapsed="false">
      <c r="K859" s="26" t="b">
        <f aca="false">IF(대여내역!$A856="",FALSE(),OR(대여내역!$L856="미반납",대여내역!$L856="부분반납"))</f>
        <v>0</v>
      </c>
      <c r="L859" s="6" t="str">
        <f aca="false">IF($K859=FALSE(),"",COUNTIF($K$6:$K859,TRUE()))</f>
        <v/>
      </c>
      <c r="M859" s="6" t="str">
        <f aca="false">IF($L859="","","R"&amp;$L859)</f>
        <v/>
      </c>
    </row>
    <row r="860" customFormat="false" ht="15" hidden="false" customHeight="false" outlineLevel="0" collapsed="false">
      <c r="K860" s="26" t="b">
        <f aca="false">IF(대여내역!$A857="",FALSE(),OR(대여내역!$L857="미반납",대여내역!$L857="부분반납"))</f>
        <v>0</v>
      </c>
      <c r="L860" s="6" t="str">
        <f aca="false">IF($K860=FALSE(),"",COUNTIF($K$6:$K860,TRUE()))</f>
        <v/>
      </c>
      <c r="M860" s="6" t="str">
        <f aca="false">IF($L860="","","R"&amp;$L860)</f>
        <v/>
      </c>
    </row>
    <row r="861" customFormat="false" ht="15" hidden="false" customHeight="false" outlineLevel="0" collapsed="false">
      <c r="K861" s="26" t="b">
        <f aca="false">IF(대여내역!$A858="",FALSE(),OR(대여내역!$L858="미반납",대여내역!$L858="부분반납"))</f>
        <v>0</v>
      </c>
      <c r="L861" s="6" t="str">
        <f aca="false">IF($K861=FALSE(),"",COUNTIF($K$6:$K861,TRUE()))</f>
        <v/>
      </c>
      <c r="M861" s="6" t="str">
        <f aca="false">IF($L861="","","R"&amp;$L861)</f>
        <v/>
      </c>
    </row>
    <row r="862" customFormat="false" ht="15" hidden="false" customHeight="false" outlineLevel="0" collapsed="false">
      <c r="K862" s="26" t="b">
        <f aca="false">IF(대여내역!$A859="",FALSE(),OR(대여내역!$L859="미반납",대여내역!$L859="부분반납"))</f>
        <v>0</v>
      </c>
      <c r="L862" s="6" t="str">
        <f aca="false">IF($K862=FALSE(),"",COUNTIF($K$6:$K862,TRUE()))</f>
        <v/>
      </c>
      <c r="M862" s="6" t="str">
        <f aca="false">IF($L862="","","R"&amp;$L862)</f>
        <v/>
      </c>
    </row>
    <row r="863" customFormat="false" ht="15" hidden="false" customHeight="false" outlineLevel="0" collapsed="false">
      <c r="K863" s="26" t="b">
        <f aca="false">IF(대여내역!$A860="",FALSE(),OR(대여내역!$L860="미반납",대여내역!$L860="부분반납"))</f>
        <v>0</v>
      </c>
      <c r="L863" s="6" t="str">
        <f aca="false">IF($K863=FALSE(),"",COUNTIF($K$6:$K863,TRUE()))</f>
        <v/>
      </c>
      <c r="M863" s="6" t="str">
        <f aca="false">IF($L863="","","R"&amp;$L863)</f>
        <v/>
      </c>
    </row>
    <row r="864" customFormat="false" ht="15" hidden="false" customHeight="false" outlineLevel="0" collapsed="false">
      <c r="K864" s="26" t="b">
        <f aca="false">IF(대여내역!$A861="",FALSE(),OR(대여내역!$L861="미반납",대여내역!$L861="부분반납"))</f>
        <v>0</v>
      </c>
      <c r="L864" s="6" t="str">
        <f aca="false">IF($K864=FALSE(),"",COUNTIF($K$6:$K864,TRUE()))</f>
        <v/>
      </c>
      <c r="M864" s="6" t="str">
        <f aca="false">IF($L864="","","R"&amp;$L864)</f>
        <v/>
      </c>
    </row>
    <row r="865" customFormat="false" ht="15" hidden="false" customHeight="false" outlineLevel="0" collapsed="false">
      <c r="K865" s="26" t="b">
        <f aca="false">IF(대여내역!$A862="",FALSE(),OR(대여내역!$L862="미반납",대여내역!$L862="부분반납"))</f>
        <v>0</v>
      </c>
      <c r="L865" s="6" t="str">
        <f aca="false">IF($K865=FALSE(),"",COUNTIF($K$6:$K865,TRUE()))</f>
        <v/>
      </c>
      <c r="M865" s="6" t="str">
        <f aca="false">IF($L865="","","R"&amp;$L865)</f>
        <v/>
      </c>
    </row>
    <row r="866" customFormat="false" ht="15" hidden="false" customHeight="false" outlineLevel="0" collapsed="false">
      <c r="K866" s="26" t="b">
        <f aca="false">IF(대여내역!$A863="",FALSE(),OR(대여내역!$L863="미반납",대여내역!$L863="부분반납"))</f>
        <v>0</v>
      </c>
      <c r="L866" s="6" t="str">
        <f aca="false">IF($K866=FALSE(),"",COUNTIF($K$6:$K866,TRUE()))</f>
        <v/>
      </c>
      <c r="M866" s="6" t="str">
        <f aca="false">IF($L866="","","R"&amp;$L866)</f>
        <v/>
      </c>
    </row>
    <row r="867" customFormat="false" ht="15" hidden="false" customHeight="false" outlineLevel="0" collapsed="false">
      <c r="K867" s="26" t="b">
        <f aca="false">IF(대여내역!$A864="",FALSE(),OR(대여내역!$L864="미반납",대여내역!$L864="부분반납"))</f>
        <v>0</v>
      </c>
      <c r="L867" s="6" t="str">
        <f aca="false">IF($K867=FALSE(),"",COUNTIF($K$6:$K867,TRUE()))</f>
        <v/>
      </c>
      <c r="M867" s="6" t="str">
        <f aca="false">IF($L867="","","R"&amp;$L867)</f>
        <v/>
      </c>
    </row>
    <row r="868" customFormat="false" ht="15" hidden="false" customHeight="false" outlineLevel="0" collapsed="false">
      <c r="K868" s="26" t="b">
        <f aca="false">IF(대여내역!$A865="",FALSE(),OR(대여내역!$L865="미반납",대여내역!$L865="부분반납"))</f>
        <v>0</v>
      </c>
      <c r="L868" s="6" t="str">
        <f aca="false">IF($K868=FALSE(),"",COUNTIF($K$6:$K868,TRUE()))</f>
        <v/>
      </c>
      <c r="M868" s="6" t="str">
        <f aca="false">IF($L868="","","R"&amp;$L868)</f>
        <v/>
      </c>
    </row>
    <row r="869" customFormat="false" ht="15" hidden="false" customHeight="false" outlineLevel="0" collapsed="false">
      <c r="K869" s="26" t="b">
        <f aca="false">IF(대여내역!$A866="",FALSE(),OR(대여내역!$L866="미반납",대여내역!$L866="부분반납"))</f>
        <v>0</v>
      </c>
      <c r="L869" s="6" t="str">
        <f aca="false">IF($K869=FALSE(),"",COUNTIF($K$6:$K869,TRUE()))</f>
        <v/>
      </c>
      <c r="M869" s="6" t="str">
        <f aca="false">IF($L869="","","R"&amp;$L869)</f>
        <v/>
      </c>
    </row>
    <row r="870" customFormat="false" ht="15" hidden="false" customHeight="false" outlineLevel="0" collapsed="false">
      <c r="K870" s="26" t="b">
        <f aca="false">IF(대여내역!$A867="",FALSE(),OR(대여내역!$L867="미반납",대여내역!$L867="부분반납"))</f>
        <v>0</v>
      </c>
      <c r="L870" s="6" t="str">
        <f aca="false">IF($K870=FALSE(),"",COUNTIF($K$6:$K870,TRUE()))</f>
        <v/>
      </c>
      <c r="M870" s="6" t="str">
        <f aca="false">IF($L870="","","R"&amp;$L870)</f>
        <v/>
      </c>
    </row>
    <row r="871" customFormat="false" ht="15" hidden="false" customHeight="false" outlineLevel="0" collapsed="false">
      <c r="K871" s="26" t="b">
        <f aca="false">IF(대여내역!$A868="",FALSE(),OR(대여내역!$L868="미반납",대여내역!$L868="부분반납"))</f>
        <v>0</v>
      </c>
      <c r="L871" s="6" t="str">
        <f aca="false">IF($K871=FALSE(),"",COUNTIF($K$6:$K871,TRUE()))</f>
        <v/>
      </c>
      <c r="M871" s="6" t="str">
        <f aca="false">IF($L871="","","R"&amp;$L871)</f>
        <v/>
      </c>
    </row>
    <row r="872" customFormat="false" ht="15" hidden="false" customHeight="false" outlineLevel="0" collapsed="false">
      <c r="K872" s="26" t="b">
        <f aca="false">IF(대여내역!$A869="",FALSE(),OR(대여내역!$L869="미반납",대여내역!$L869="부분반납"))</f>
        <v>0</v>
      </c>
      <c r="L872" s="6" t="str">
        <f aca="false">IF($K872=FALSE(),"",COUNTIF($K$6:$K872,TRUE()))</f>
        <v/>
      </c>
      <c r="M872" s="6" t="str">
        <f aca="false">IF($L872="","","R"&amp;$L872)</f>
        <v/>
      </c>
    </row>
    <row r="873" customFormat="false" ht="15" hidden="false" customHeight="false" outlineLevel="0" collapsed="false">
      <c r="K873" s="26" t="b">
        <f aca="false">IF(대여내역!$A870="",FALSE(),OR(대여내역!$L870="미반납",대여내역!$L870="부분반납"))</f>
        <v>0</v>
      </c>
      <c r="L873" s="6" t="str">
        <f aca="false">IF($K873=FALSE(),"",COUNTIF($K$6:$K873,TRUE()))</f>
        <v/>
      </c>
      <c r="M873" s="6" t="str">
        <f aca="false">IF($L873="","","R"&amp;$L873)</f>
        <v/>
      </c>
    </row>
    <row r="874" customFormat="false" ht="15" hidden="false" customHeight="false" outlineLevel="0" collapsed="false">
      <c r="K874" s="26" t="b">
        <f aca="false">IF(대여내역!$A871="",FALSE(),OR(대여내역!$L871="미반납",대여내역!$L871="부분반납"))</f>
        <v>0</v>
      </c>
      <c r="L874" s="6" t="str">
        <f aca="false">IF($K874=FALSE(),"",COUNTIF($K$6:$K874,TRUE()))</f>
        <v/>
      </c>
      <c r="M874" s="6" t="str">
        <f aca="false">IF($L874="","","R"&amp;$L874)</f>
        <v/>
      </c>
    </row>
    <row r="875" customFormat="false" ht="15" hidden="false" customHeight="false" outlineLevel="0" collapsed="false">
      <c r="K875" s="26" t="b">
        <f aca="false">IF(대여내역!$A872="",FALSE(),OR(대여내역!$L872="미반납",대여내역!$L872="부분반납"))</f>
        <v>0</v>
      </c>
      <c r="L875" s="6" t="str">
        <f aca="false">IF($K875=FALSE(),"",COUNTIF($K$6:$K875,TRUE()))</f>
        <v/>
      </c>
      <c r="M875" s="6" t="str">
        <f aca="false">IF($L875="","","R"&amp;$L875)</f>
        <v/>
      </c>
    </row>
    <row r="876" customFormat="false" ht="15" hidden="false" customHeight="false" outlineLevel="0" collapsed="false">
      <c r="K876" s="26" t="b">
        <f aca="false">IF(대여내역!$A873="",FALSE(),OR(대여내역!$L873="미반납",대여내역!$L873="부분반납"))</f>
        <v>0</v>
      </c>
      <c r="L876" s="6" t="str">
        <f aca="false">IF($K876=FALSE(),"",COUNTIF($K$6:$K876,TRUE()))</f>
        <v/>
      </c>
      <c r="M876" s="6" t="str">
        <f aca="false">IF($L876="","","R"&amp;$L876)</f>
        <v/>
      </c>
    </row>
    <row r="877" customFormat="false" ht="15" hidden="false" customHeight="false" outlineLevel="0" collapsed="false">
      <c r="K877" s="26" t="b">
        <f aca="false">IF(대여내역!$A874="",FALSE(),OR(대여내역!$L874="미반납",대여내역!$L874="부분반납"))</f>
        <v>0</v>
      </c>
      <c r="L877" s="6" t="str">
        <f aca="false">IF($K877=FALSE(),"",COUNTIF($K$6:$K877,TRUE()))</f>
        <v/>
      </c>
      <c r="M877" s="6" t="str">
        <f aca="false">IF($L877="","","R"&amp;$L877)</f>
        <v/>
      </c>
    </row>
    <row r="878" customFormat="false" ht="15" hidden="false" customHeight="false" outlineLevel="0" collapsed="false">
      <c r="K878" s="26" t="b">
        <f aca="false">IF(대여내역!$A875="",FALSE(),OR(대여내역!$L875="미반납",대여내역!$L875="부분반납"))</f>
        <v>0</v>
      </c>
      <c r="L878" s="6" t="str">
        <f aca="false">IF($K878=FALSE(),"",COUNTIF($K$6:$K878,TRUE()))</f>
        <v/>
      </c>
      <c r="M878" s="6" t="str">
        <f aca="false">IF($L878="","","R"&amp;$L878)</f>
        <v/>
      </c>
    </row>
    <row r="879" customFormat="false" ht="15" hidden="false" customHeight="false" outlineLevel="0" collapsed="false">
      <c r="K879" s="26" t="b">
        <f aca="false">IF(대여내역!$A876="",FALSE(),OR(대여내역!$L876="미반납",대여내역!$L876="부분반납"))</f>
        <v>0</v>
      </c>
      <c r="L879" s="6" t="str">
        <f aca="false">IF($K879=FALSE(),"",COUNTIF($K$6:$K879,TRUE()))</f>
        <v/>
      </c>
      <c r="M879" s="6" t="str">
        <f aca="false">IF($L879="","","R"&amp;$L879)</f>
        <v/>
      </c>
    </row>
    <row r="880" customFormat="false" ht="15" hidden="false" customHeight="false" outlineLevel="0" collapsed="false">
      <c r="K880" s="26" t="b">
        <f aca="false">IF(대여내역!$A877="",FALSE(),OR(대여내역!$L877="미반납",대여내역!$L877="부분반납"))</f>
        <v>0</v>
      </c>
      <c r="L880" s="6" t="str">
        <f aca="false">IF($K880=FALSE(),"",COUNTIF($K$6:$K880,TRUE()))</f>
        <v/>
      </c>
      <c r="M880" s="6" t="str">
        <f aca="false">IF($L880="","","R"&amp;$L880)</f>
        <v/>
      </c>
    </row>
    <row r="881" customFormat="false" ht="15" hidden="false" customHeight="false" outlineLevel="0" collapsed="false">
      <c r="K881" s="26" t="b">
        <f aca="false">IF(대여내역!$A878="",FALSE(),OR(대여내역!$L878="미반납",대여내역!$L878="부분반납"))</f>
        <v>0</v>
      </c>
      <c r="L881" s="6" t="str">
        <f aca="false">IF($K881=FALSE(),"",COUNTIF($K$6:$K881,TRUE()))</f>
        <v/>
      </c>
      <c r="M881" s="6" t="str">
        <f aca="false">IF($L881="","","R"&amp;$L881)</f>
        <v/>
      </c>
    </row>
    <row r="882" customFormat="false" ht="15" hidden="false" customHeight="false" outlineLevel="0" collapsed="false">
      <c r="K882" s="26" t="b">
        <f aca="false">IF(대여내역!$A879="",FALSE(),OR(대여내역!$L879="미반납",대여내역!$L879="부분반납"))</f>
        <v>0</v>
      </c>
      <c r="L882" s="6" t="str">
        <f aca="false">IF($K882=FALSE(),"",COUNTIF($K$6:$K882,TRUE()))</f>
        <v/>
      </c>
      <c r="M882" s="6" t="str">
        <f aca="false">IF($L882="","","R"&amp;$L882)</f>
        <v/>
      </c>
    </row>
    <row r="883" customFormat="false" ht="15" hidden="false" customHeight="false" outlineLevel="0" collapsed="false">
      <c r="K883" s="26" t="b">
        <f aca="false">IF(대여내역!$A880="",FALSE(),OR(대여내역!$L880="미반납",대여내역!$L880="부분반납"))</f>
        <v>0</v>
      </c>
      <c r="L883" s="6" t="str">
        <f aca="false">IF($K883=FALSE(),"",COUNTIF($K$6:$K883,TRUE()))</f>
        <v/>
      </c>
      <c r="M883" s="6" t="str">
        <f aca="false">IF($L883="","","R"&amp;$L883)</f>
        <v/>
      </c>
    </row>
    <row r="884" customFormat="false" ht="15" hidden="false" customHeight="false" outlineLevel="0" collapsed="false">
      <c r="K884" s="26" t="b">
        <f aca="false">IF(대여내역!$A881="",FALSE(),OR(대여내역!$L881="미반납",대여내역!$L881="부분반납"))</f>
        <v>0</v>
      </c>
      <c r="L884" s="6" t="str">
        <f aca="false">IF($K884=FALSE(),"",COUNTIF($K$6:$K884,TRUE()))</f>
        <v/>
      </c>
      <c r="M884" s="6" t="str">
        <f aca="false">IF($L884="","","R"&amp;$L884)</f>
        <v/>
      </c>
    </row>
    <row r="885" customFormat="false" ht="15" hidden="false" customHeight="false" outlineLevel="0" collapsed="false">
      <c r="K885" s="26" t="b">
        <f aca="false">IF(대여내역!$A882="",FALSE(),OR(대여내역!$L882="미반납",대여내역!$L882="부분반납"))</f>
        <v>0</v>
      </c>
      <c r="L885" s="6" t="str">
        <f aca="false">IF($K885=FALSE(),"",COUNTIF($K$6:$K885,TRUE()))</f>
        <v/>
      </c>
      <c r="M885" s="6" t="str">
        <f aca="false">IF($L885="","","R"&amp;$L885)</f>
        <v/>
      </c>
    </row>
    <row r="886" customFormat="false" ht="15" hidden="false" customHeight="false" outlineLevel="0" collapsed="false">
      <c r="K886" s="26" t="b">
        <f aca="false">IF(대여내역!$A883="",FALSE(),OR(대여내역!$L883="미반납",대여내역!$L883="부분반납"))</f>
        <v>0</v>
      </c>
      <c r="L886" s="6" t="str">
        <f aca="false">IF($K886=FALSE(),"",COUNTIF($K$6:$K886,TRUE()))</f>
        <v/>
      </c>
      <c r="M886" s="6" t="str">
        <f aca="false">IF($L886="","","R"&amp;$L886)</f>
        <v/>
      </c>
    </row>
    <row r="887" customFormat="false" ht="15" hidden="false" customHeight="false" outlineLevel="0" collapsed="false">
      <c r="K887" s="26" t="b">
        <f aca="false">IF(대여내역!$A884="",FALSE(),OR(대여내역!$L884="미반납",대여내역!$L884="부분반납"))</f>
        <v>0</v>
      </c>
      <c r="L887" s="6" t="str">
        <f aca="false">IF($K887=FALSE(),"",COUNTIF($K$6:$K887,TRUE()))</f>
        <v/>
      </c>
      <c r="M887" s="6" t="str">
        <f aca="false">IF($L887="","","R"&amp;$L887)</f>
        <v/>
      </c>
    </row>
    <row r="888" customFormat="false" ht="15" hidden="false" customHeight="false" outlineLevel="0" collapsed="false">
      <c r="K888" s="26" t="b">
        <f aca="false">IF(대여내역!$A885="",FALSE(),OR(대여내역!$L885="미반납",대여내역!$L885="부분반납"))</f>
        <v>0</v>
      </c>
      <c r="L888" s="6" t="str">
        <f aca="false">IF($K888=FALSE(),"",COUNTIF($K$6:$K888,TRUE()))</f>
        <v/>
      </c>
      <c r="M888" s="6" t="str">
        <f aca="false">IF($L888="","","R"&amp;$L888)</f>
        <v/>
      </c>
    </row>
    <row r="889" customFormat="false" ht="15" hidden="false" customHeight="false" outlineLevel="0" collapsed="false">
      <c r="K889" s="26" t="b">
        <f aca="false">IF(대여내역!$A886="",FALSE(),OR(대여내역!$L886="미반납",대여내역!$L886="부분반납"))</f>
        <v>0</v>
      </c>
      <c r="L889" s="6" t="str">
        <f aca="false">IF($K889=FALSE(),"",COUNTIF($K$6:$K889,TRUE()))</f>
        <v/>
      </c>
      <c r="M889" s="6" t="str">
        <f aca="false">IF($L889="","","R"&amp;$L889)</f>
        <v/>
      </c>
    </row>
    <row r="890" customFormat="false" ht="15" hidden="false" customHeight="false" outlineLevel="0" collapsed="false">
      <c r="K890" s="26" t="b">
        <f aca="false">IF(대여내역!$A887="",FALSE(),OR(대여내역!$L887="미반납",대여내역!$L887="부분반납"))</f>
        <v>0</v>
      </c>
      <c r="L890" s="6" t="str">
        <f aca="false">IF($K890=FALSE(),"",COUNTIF($K$6:$K890,TRUE()))</f>
        <v/>
      </c>
      <c r="M890" s="6" t="str">
        <f aca="false">IF($L890="","","R"&amp;$L890)</f>
        <v/>
      </c>
    </row>
    <row r="891" customFormat="false" ht="15" hidden="false" customHeight="false" outlineLevel="0" collapsed="false">
      <c r="K891" s="26" t="b">
        <f aca="false">IF(대여내역!$A888="",FALSE(),OR(대여내역!$L888="미반납",대여내역!$L888="부분반납"))</f>
        <v>0</v>
      </c>
      <c r="L891" s="6" t="str">
        <f aca="false">IF($K891=FALSE(),"",COUNTIF($K$6:$K891,TRUE()))</f>
        <v/>
      </c>
      <c r="M891" s="6" t="str">
        <f aca="false">IF($L891="","","R"&amp;$L891)</f>
        <v/>
      </c>
    </row>
    <row r="892" customFormat="false" ht="15" hidden="false" customHeight="false" outlineLevel="0" collapsed="false">
      <c r="K892" s="26" t="b">
        <f aca="false">IF(대여내역!$A889="",FALSE(),OR(대여내역!$L889="미반납",대여내역!$L889="부분반납"))</f>
        <v>0</v>
      </c>
      <c r="L892" s="6" t="str">
        <f aca="false">IF($K892=FALSE(),"",COUNTIF($K$6:$K892,TRUE()))</f>
        <v/>
      </c>
      <c r="M892" s="6" t="str">
        <f aca="false">IF($L892="","","R"&amp;$L892)</f>
        <v/>
      </c>
    </row>
    <row r="893" customFormat="false" ht="15" hidden="false" customHeight="false" outlineLevel="0" collapsed="false">
      <c r="K893" s="26" t="b">
        <f aca="false">IF(대여내역!$A890="",FALSE(),OR(대여내역!$L890="미반납",대여내역!$L890="부분반납"))</f>
        <v>0</v>
      </c>
      <c r="L893" s="6" t="str">
        <f aca="false">IF($K893=FALSE(),"",COUNTIF($K$6:$K893,TRUE()))</f>
        <v/>
      </c>
      <c r="M893" s="6" t="str">
        <f aca="false">IF($L893="","","R"&amp;$L893)</f>
        <v/>
      </c>
    </row>
    <row r="894" customFormat="false" ht="15" hidden="false" customHeight="false" outlineLevel="0" collapsed="false">
      <c r="K894" s="26" t="b">
        <f aca="false">IF(대여내역!$A891="",FALSE(),OR(대여내역!$L891="미반납",대여내역!$L891="부분반납"))</f>
        <v>0</v>
      </c>
      <c r="L894" s="6" t="str">
        <f aca="false">IF($K894=FALSE(),"",COUNTIF($K$6:$K894,TRUE()))</f>
        <v/>
      </c>
      <c r="M894" s="6" t="str">
        <f aca="false">IF($L894="","","R"&amp;$L894)</f>
        <v/>
      </c>
    </row>
    <row r="895" customFormat="false" ht="15" hidden="false" customHeight="false" outlineLevel="0" collapsed="false">
      <c r="K895" s="26" t="b">
        <f aca="false">IF(대여내역!$A892="",FALSE(),OR(대여내역!$L892="미반납",대여내역!$L892="부분반납"))</f>
        <v>0</v>
      </c>
      <c r="L895" s="6" t="str">
        <f aca="false">IF($K895=FALSE(),"",COUNTIF($K$6:$K895,TRUE()))</f>
        <v/>
      </c>
      <c r="M895" s="6" t="str">
        <f aca="false">IF($L895="","","R"&amp;$L895)</f>
        <v/>
      </c>
    </row>
    <row r="896" customFormat="false" ht="15" hidden="false" customHeight="false" outlineLevel="0" collapsed="false">
      <c r="K896" s="26" t="b">
        <f aca="false">IF(대여내역!$A893="",FALSE(),OR(대여내역!$L893="미반납",대여내역!$L893="부분반납"))</f>
        <v>0</v>
      </c>
      <c r="L896" s="6" t="str">
        <f aca="false">IF($K896=FALSE(),"",COUNTIF($K$6:$K896,TRUE()))</f>
        <v/>
      </c>
      <c r="M896" s="6" t="str">
        <f aca="false">IF($L896="","","R"&amp;$L896)</f>
        <v/>
      </c>
    </row>
    <row r="897" customFormat="false" ht="15" hidden="false" customHeight="false" outlineLevel="0" collapsed="false">
      <c r="K897" s="26" t="b">
        <f aca="false">IF(대여내역!$A894="",FALSE(),OR(대여내역!$L894="미반납",대여내역!$L894="부분반납"))</f>
        <v>0</v>
      </c>
      <c r="L897" s="6" t="str">
        <f aca="false">IF($K897=FALSE(),"",COUNTIF($K$6:$K897,TRUE()))</f>
        <v/>
      </c>
      <c r="M897" s="6" t="str">
        <f aca="false">IF($L897="","","R"&amp;$L897)</f>
        <v/>
      </c>
    </row>
    <row r="898" customFormat="false" ht="15" hidden="false" customHeight="false" outlineLevel="0" collapsed="false">
      <c r="K898" s="26" t="b">
        <f aca="false">IF(대여내역!$A895="",FALSE(),OR(대여내역!$L895="미반납",대여내역!$L895="부분반납"))</f>
        <v>0</v>
      </c>
      <c r="L898" s="6" t="str">
        <f aca="false">IF($K898=FALSE(),"",COUNTIF($K$6:$K898,TRUE()))</f>
        <v/>
      </c>
      <c r="M898" s="6" t="str">
        <f aca="false">IF($L898="","","R"&amp;$L898)</f>
        <v/>
      </c>
    </row>
    <row r="899" customFormat="false" ht="15" hidden="false" customHeight="false" outlineLevel="0" collapsed="false">
      <c r="K899" s="26" t="b">
        <f aca="false">IF(대여내역!$A896="",FALSE(),OR(대여내역!$L896="미반납",대여내역!$L896="부분반납"))</f>
        <v>0</v>
      </c>
      <c r="L899" s="6" t="str">
        <f aca="false">IF($K899=FALSE(),"",COUNTIF($K$6:$K899,TRUE()))</f>
        <v/>
      </c>
      <c r="M899" s="6" t="str">
        <f aca="false">IF($L899="","","R"&amp;$L899)</f>
        <v/>
      </c>
    </row>
    <row r="900" customFormat="false" ht="15" hidden="false" customHeight="false" outlineLevel="0" collapsed="false">
      <c r="K900" s="26" t="b">
        <f aca="false">IF(대여내역!$A897="",FALSE(),OR(대여내역!$L897="미반납",대여내역!$L897="부분반납"))</f>
        <v>0</v>
      </c>
      <c r="L900" s="6" t="str">
        <f aca="false">IF($K900=FALSE(),"",COUNTIF($K$6:$K900,TRUE()))</f>
        <v/>
      </c>
      <c r="M900" s="6" t="str">
        <f aca="false">IF($L900="","","R"&amp;$L900)</f>
        <v/>
      </c>
    </row>
    <row r="901" customFormat="false" ht="15" hidden="false" customHeight="false" outlineLevel="0" collapsed="false">
      <c r="K901" s="26" t="b">
        <f aca="false">IF(대여내역!$A898="",FALSE(),OR(대여내역!$L898="미반납",대여내역!$L898="부분반납"))</f>
        <v>0</v>
      </c>
      <c r="L901" s="6" t="str">
        <f aca="false">IF($K901=FALSE(),"",COUNTIF($K$6:$K901,TRUE()))</f>
        <v/>
      </c>
      <c r="M901" s="6" t="str">
        <f aca="false">IF($L901="","","R"&amp;$L901)</f>
        <v/>
      </c>
    </row>
    <row r="902" customFormat="false" ht="15" hidden="false" customHeight="false" outlineLevel="0" collapsed="false">
      <c r="K902" s="26" t="b">
        <f aca="false">IF(대여내역!$A899="",FALSE(),OR(대여내역!$L899="미반납",대여내역!$L899="부분반납"))</f>
        <v>0</v>
      </c>
      <c r="L902" s="6" t="str">
        <f aca="false">IF($K902=FALSE(),"",COUNTIF($K$6:$K902,TRUE()))</f>
        <v/>
      </c>
      <c r="M902" s="6" t="str">
        <f aca="false">IF($L902="","","R"&amp;$L902)</f>
        <v/>
      </c>
    </row>
    <row r="903" customFormat="false" ht="15" hidden="false" customHeight="false" outlineLevel="0" collapsed="false">
      <c r="K903" s="26" t="b">
        <f aca="false">IF(대여내역!$A900="",FALSE(),OR(대여내역!$L900="미반납",대여내역!$L900="부분반납"))</f>
        <v>0</v>
      </c>
      <c r="L903" s="6" t="str">
        <f aca="false">IF($K903=FALSE(),"",COUNTIF($K$6:$K903,TRUE()))</f>
        <v/>
      </c>
      <c r="M903" s="6" t="str">
        <f aca="false">IF($L903="","","R"&amp;$L903)</f>
        <v/>
      </c>
    </row>
    <row r="904" customFormat="false" ht="15" hidden="false" customHeight="false" outlineLevel="0" collapsed="false">
      <c r="K904" s="26" t="b">
        <f aca="false">IF(대여내역!$A901="",FALSE(),OR(대여내역!$L901="미반납",대여내역!$L901="부분반납"))</f>
        <v>0</v>
      </c>
      <c r="L904" s="6" t="str">
        <f aca="false">IF($K904=FALSE(),"",COUNTIF($K$6:$K904,TRUE()))</f>
        <v/>
      </c>
      <c r="M904" s="6" t="str">
        <f aca="false">IF($L904="","","R"&amp;$L904)</f>
        <v/>
      </c>
    </row>
    <row r="905" customFormat="false" ht="15" hidden="false" customHeight="false" outlineLevel="0" collapsed="false">
      <c r="K905" s="26" t="b">
        <f aca="false">IF(대여내역!$A902="",FALSE(),OR(대여내역!$L902="미반납",대여내역!$L902="부분반납"))</f>
        <v>0</v>
      </c>
      <c r="L905" s="6" t="str">
        <f aca="false">IF($K905=FALSE(),"",COUNTIF($K$6:$K905,TRUE()))</f>
        <v/>
      </c>
      <c r="M905" s="6" t="str">
        <f aca="false">IF($L905="","","R"&amp;$L905)</f>
        <v/>
      </c>
    </row>
    <row r="906" customFormat="false" ht="15" hidden="false" customHeight="false" outlineLevel="0" collapsed="false">
      <c r="K906" s="26" t="b">
        <f aca="false">IF(대여내역!$A903="",FALSE(),OR(대여내역!$L903="미반납",대여내역!$L903="부분반납"))</f>
        <v>0</v>
      </c>
      <c r="L906" s="6" t="str">
        <f aca="false">IF($K906=FALSE(),"",COUNTIF($K$6:$K906,TRUE()))</f>
        <v/>
      </c>
      <c r="M906" s="6" t="str">
        <f aca="false">IF($L906="","","R"&amp;$L906)</f>
        <v/>
      </c>
    </row>
    <row r="907" customFormat="false" ht="15" hidden="false" customHeight="false" outlineLevel="0" collapsed="false">
      <c r="K907" s="26" t="b">
        <f aca="false">IF(대여내역!$A904="",FALSE(),OR(대여내역!$L904="미반납",대여내역!$L904="부분반납"))</f>
        <v>0</v>
      </c>
      <c r="L907" s="6" t="str">
        <f aca="false">IF($K907=FALSE(),"",COUNTIF($K$6:$K907,TRUE()))</f>
        <v/>
      </c>
      <c r="M907" s="6" t="str">
        <f aca="false">IF($L907="","","R"&amp;$L907)</f>
        <v/>
      </c>
    </row>
    <row r="908" customFormat="false" ht="15" hidden="false" customHeight="false" outlineLevel="0" collapsed="false">
      <c r="K908" s="26" t="b">
        <f aca="false">IF(대여내역!$A905="",FALSE(),OR(대여내역!$L905="미반납",대여내역!$L905="부분반납"))</f>
        <v>0</v>
      </c>
      <c r="L908" s="6" t="str">
        <f aca="false">IF($K908=FALSE(),"",COUNTIF($K$6:$K908,TRUE()))</f>
        <v/>
      </c>
      <c r="M908" s="6" t="str">
        <f aca="false">IF($L908="","","R"&amp;$L908)</f>
        <v/>
      </c>
    </row>
    <row r="909" customFormat="false" ht="15" hidden="false" customHeight="false" outlineLevel="0" collapsed="false">
      <c r="K909" s="26" t="b">
        <f aca="false">IF(대여내역!$A906="",FALSE(),OR(대여내역!$L906="미반납",대여내역!$L906="부분반납"))</f>
        <v>0</v>
      </c>
      <c r="L909" s="6" t="str">
        <f aca="false">IF($K909=FALSE(),"",COUNTIF($K$6:$K909,TRUE()))</f>
        <v/>
      </c>
      <c r="M909" s="6" t="str">
        <f aca="false">IF($L909="","","R"&amp;$L909)</f>
        <v/>
      </c>
    </row>
    <row r="910" customFormat="false" ht="15" hidden="false" customHeight="false" outlineLevel="0" collapsed="false">
      <c r="K910" s="26" t="b">
        <f aca="false">IF(대여내역!$A907="",FALSE(),OR(대여내역!$L907="미반납",대여내역!$L907="부분반납"))</f>
        <v>0</v>
      </c>
      <c r="L910" s="6" t="str">
        <f aca="false">IF($K910=FALSE(),"",COUNTIF($K$6:$K910,TRUE()))</f>
        <v/>
      </c>
      <c r="M910" s="6" t="str">
        <f aca="false">IF($L910="","","R"&amp;$L910)</f>
        <v/>
      </c>
    </row>
    <row r="911" customFormat="false" ht="15" hidden="false" customHeight="false" outlineLevel="0" collapsed="false">
      <c r="K911" s="26" t="b">
        <f aca="false">IF(대여내역!$A908="",FALSE(),OR(대여내역!$L908="미반납",대여내역!$L908="부분반납"))</f>
        <v>0</v>
      </c>
      <c r="L911" s="6" t="str">
        <f aca="false">IF($K911=FALSE(),"",COUNTIF($K$6:$K911,TRUE()))</f>
        <v/>
      </c>
      <c r="M911" s="6" t="str">
        <f aca="false">IF($L911="","","R"&amp;$L911)</f>
        <v/>
      </c>
    </row>
    <row r="912" customFormat="false" ht="15" hidden="false" customHeight="false" outlineLevel="0" collapsed="false">
      <c r="K912" s="26" t="b">
        <f aca="false">IF(대여내역!$A909="",FALSE(),OR(대여내역!$L909="미반납",대여내역!$L909="부분반납"))</f>
        <v>0</v>
      </c>
      <c r="L912" s="6" t="str">
        <f aca="false">IF($K912=FALSE(),"",COUNTIF($K$6:$K912,TRUE()))</f>
        <v/>
      </c>
      <c r="M912" s="6" t="str">
        <f aca="false">IF($L912="","","R"&amp;$L912)</f>
        <v/>
      </c>
    </row>
    <row r="913" customFormat="false" ht="15" hidden="false" customHeight="false" outlineLevel="0" collapsed="false">
      <c r="K913" s="26" t="b">
        <f aca="false">IF(대여내역!$A910="",FALSE(),OR(대여내역!$L910="미반납",대여내역!$L910="부분반납"))</f>
        <v>0</v>
      </c>
      <c r="L913" s="6" t="str">
        <f aca="false">IF($K913=FALSE(),"",COUNTIF($K$6:$K913,TRUE()))</f>
        <v/>
      </c>
      <c r="M913" s="6" t="str">
        <f aca="false">IF($L913="","","R"&amp;$L913)</f>
        <v/>
      </c>
    </row>
    <row r="914" customFormat="false" ht="15" hidden="false" customHeight="false" outlineLevel="0" collapsed="false">
      <c r="K914" s="26" t="b">
        <f aca="false">IF(대여내역!$A911="",FALSE(),OR(대여내역!$L911="미반납",대여내역!$L911="부분반납"))</f>
        <v>0</v>
      </c>
      <c r="L914" s="6" t="str">
        <f aca="false">IF($K914=FALSE(),"",COUNTIF($K$6:$K914,TRUE()))</f>
        <v/>
      </c>
      <c r="M914" s="6" t="str">
        <f aca="false">IF($L914="","","R"&amp;$L914)</f>
        <v/>
      </c>
    </row>
    <row r="915" customFormat="false" ht="15" hidden="false" customHeight="false" outlineLevel="0" collapsed="false">
      <c r="K915" s="26" t="b">
        <f aca="false">IF(대여내역!$A912="",FALSE(),OR(대여내역!$L912="미반납",대여내역!$L912="부분반납"))</f>
        <v>0</v>
      </c>
      <c r="L915" s="6" t="str">
        <f aca="false">IF($K915=FALSE(),"",COUNTIF($K$6:$K915,TRUE()))</f>
        <v/>
      </c>
      <c r="M915" s="6" t="str">
        <f aca="false">IF($L915="","","R"&amp;$L915)</f>
        <v/>
      </c>
    </row>
    <row r="916" customFormat="false" ht="15" hidden="false" customHeight="false" outlineLevel="0" collapsed="false">
      <c r="K916" s="26" t="b">
        <f aca="false">IF(대여내역!$A913="",FALSE(),OR(대여내역!$L913="미반납",대여내역!$L913="부분반납"))</f>
        <v>0</v>
      </c>
      <c r="L916" s="6" t="str">
        <f aca="false">IF($K916=FALSE(),"",COUNTIF($K$6:$K916,TRUE()))</f>
        <v/>
      </c>
      <c r="M916" s="6" t="str">
        <f aca="false">IF($L916="","","R"&amp;$L916)</f>
        <v/>
      </c>
    </row>
    <row r="917" customFormat="false" ht="15" hidden="false" customHeight="false" outlineLevel="0" collapsed="false">
      <c r="K917" s="26" t="b">
        <f aca="false">IF(대여내역!$A914="",FALSE(),OR(대여내역!$L914="미반납",대여내역!$L914="부분반납"))</f>
        <v>0</v>
      </c>
      <c r="L917" s="6" t="str">
        <f aca="false">IF($K917=FALSE(),"",COUNTIF($K$6:$K917,TRUE()))</f>
        <v/>
      </c>
      <c r="M917" s="6" t="str">
        <f aca="false">IF($L917="","","R"&amp;$L917)</f>
        <v/>
      </c>
    </row>
    <row r="918" customFormat="false" ht="15" hidden="false" customHeight="false" outlineLevel="0" collapsed="false">
      <c r="K918" s="26" t="b">
        <f aca="false">IF(대여내역!$A915="",FALSE(),OR(대여내역!$L915="미반납",대여내역!$L915="부분반납"))</f>
        <v>0</v>
      </c>
      <c r="L918" s="6" t="str">
        <f aca="false">IF($K918=FALSE(),"",COUNTIF($K$6:$K918,TRUE()))</f>
        <v/>
      </c>
      <c r="M918" s="6" t="str">
        <f aca="false">IF($L918="","","R"&amp;$L918)</f>
        <v/>
      </c>
    </row>
    <row r="919" customFormat="false" ht="15" hidden="false" customHeight="false" outlineLevel="0" collapsed="false">
      <c r="K919" s="26" t="b">
        <f aca="false">IF(대여내역!$A916="",FALSE(),OR(대여내역!$L916="미반납",대여내역!$L916="부분반납"))</f>
        <v>0</v>
      </c>
      <c r="L919" s="6" t="str">
        <f aca="false">IF($K919=FALSE(),"",COUNTIF($K$6:$K919,TRUE()))</f>
        <v/>
      </c>
      <c r="M919" s="6" t="str">
        <f aca="false">IF($L919="","","R"&amp;$L919)</f>
        <v/>
      </c>
    </row>
    <row r="920" customFormat="false" ht="15" hidden="false" customHeight="false" outlineLevel="0" collapsed="false">
      <c r="K920" s="26" t="b">
        <f aca="false">IF(대여내역!$A917="",FALSE(),OR(대여내역!$L917="미반납",대여내역!$L917="부분반납"))</f>
        <v>0</v>
      </c>
      <c r="L920" s="6" t="str">
        <f aca="false">IF($K920=FALSE(),"",COUNTIF($K$6:$K920,TRUE()))</f>
        <v/>
      </c>
      <c r="M920" s="6" t="str">
        <f aca="false">IF($L920="","","R"&amp;$L920)</f>
        <v/>
      </c>
    </row>
    <row r="921" customFormat="false" ht="15" hidden="false" customHeight="false" outlineLevel="0" collapsed="false">
      <c r="K921" s="26" t="b">
        <f aca="false">IF(대여내역!$A918="",FALSE(),OR(대여내역!$L918="미반납",대여내역!$L918="부분반납"))</f>
        <v>0</v>
      </c>
      <c r="L921" s="6" t="str">
        <f aca="false">IF($K921=FALSE(),"",COUNTIF($K$6:$K921,TRUE()))</f>
        <v/>
      </c>
      <c r="M921" s="6" t="str">
        <f aca="false">IF($L921="","","R"&amp;$L921)</f>
        <v/>
      </c>
    </row>
    <row r="922" customFormat="false" ht="15" hidden="false" customHeight="false" outlineLevel="0" collapsed="false">
      <c r="K922" s="26" t="b">
        <f aca="false">IF(대여내역!$A919="",FALSE(),OR(대여내역!$L919="미반납",대여내역!$L919="부분반납"))</f>
        <v>0</v>
      </c>
      <c r="L922" s="6" t="str">
        <f aca="false">IF($K922=FALSE(),"",COUNTIF($K$6:$K922,TRUE()))</f>
        <v/>
      </c>
      <c r="M922" s="6" t="str">
        <f aca="false">IF($L922="","","R"&amp;$L922)</f>
        <v/>
      </c>
    </row>
    <row r="923" customFormat="false" ht="15" hidden="false" customHeight="false" outlineLevel="0" collapsed="false">
      <c r="K923" s="26" t="b">
        <f aca="false">IF(대여내역!$A920="",FALSE(),OR(대여내역!$L920="미반납",대여내역!$L920="부분반납"))</f>
        <v>0</v>
      </c>
      <c r="L923" s="6" t="str">
        <f aca="false">IF($K923=FALSE(),"",COUNTIF($K$6:$K923,TRUE()))</f>
        <v/>
      </c>
      <c r="M923" s="6" t="str">
        <f aca="false">IF($L923="","","R"&amp;$L923)</f>
        <v/>
      </c>
    </row>
    <row r="924" customFormat="false" ht="15" hidden="false" customHeight="false" outlineLevel="0" collapsed="false">
      <c r="K924" s="26" t="b">
        <f aca="false">IF(대여내역!$A921="",FALSE(),OR(대여내역!$L921="미반납",대여내역!$L921="부분반납"))</f>
        <v>0</v>
      </c>
      <c r="L924" s="6" t="str">
        <f aca="false">IF($K924=FALSE(),"",COUNTIF($K$6:$K924,TRUE()))</f>
        <v/>
      </c>
      <c r="M924" s="6" t="str">
        <f aca="false">IF($L924="","","R"&amp;$L924)</f>
        <v/>
      </c>
    </row>
    <row r="925" customFormat="false" ht="15" hidden="false" customHeight="false" outlineLevel="0" collapsed="false">
      <c r="K925" s="26" t="b">
        <f aca="false">IF(대여내역!$A922="",FALSE(),OR(대여내역!$L922="미반납",대여내역!$L922="부분반납"))</f>
        <v>0</v>
      </c>
      <c r="L925" s="6" t="str">
        <f aca="false">IF($K925=FALSE(),"",COUNTIF($K$6:$K925,TRUE()))</f>
        <v/>
      </c>
      <c r="M925" s="6" t="str">
        <f aca="false">IF($L925="","","R"&amp;$L925)</f>
        <v/>
      </c>
    </row>
    <row r="926" customFormat="false" ht="15" hidden="false" customHeight="false" outlineLevel="0" collapsed="false">
      <c r="K926" s="26" t="b">
        <f aca="false">IF(대여내역!$A923="",FALSE(),OR(대여내역!$L923="미반납",대여내역!$L923="부분반납"))</f>
        <v>0</v>
      </c>
      <c r="L926" s="6" t="str">
        <f aca="false">IF($K926=FALSE(),"",COUNTIF($K$6:$K926,TRUE()))</f>
        <v/>
      </c>
      <c r="M926" s="6" t="str">
        <f aca="false">IF($L926="","","R"&amp;$L926)</f>
        <v/>
      </c>
    </row>
    <row r="927" customFormat="false" ht="15" hidden="false" customHeight="false" outlineLevel="0" collapsed="false">
      <c r="K927" s="26" t="b">
        <f aca="false">IF(대여내역!$A924="",FALSE(),OR(대여내역!$L924="미반납",대여내역!$L924="부분반납"))</f>
        <v>0</v>
      </c>
      <c r="L927" s="6" t="str">
        <f aca="false">IF($K927=FALSE(),"",COUNTIF($K$6:$K927,TRUE()))</f>
        <v/>
      </c>
      <c r="M927" s="6" t="str">
        <f aca="false">IF($L927="","","R"&amp;$L927)</f>
        <v/>
      </c>
    </row>
    <row r="928" customFormat="false" ht="15" hidden="false" customHeight="false" outlineLevel="0" collapsed="false">
      <c r="K928" s="26" t="b">
        <f aca="false">IF(대여내역!$A925="",FALSE(),OR(대여내역!$L925="미반납",대여내역!$L925="부분반납"))</f>
        <v>0</v>
      </c>
      <c r="L928" s="6" t="str">
        <f aca="false">IF($K928=FALSE(),"",COUNTIF($K$6:$K928,TRUE()))</f>
        <v/>
      </c>
      <c r="M928" s="6" t="str">
        <f aca="false">IF($L928="","","R"&amp;$L928)</f>
        <v/>
      </c>
    </row>
    <row r="929" customFormat="false" ht="15" hidden="false" customHeight="false" outlineLevel="0" collapsed="false">
      <c r="K929" s="26" t="b">
        <f aca="false">IF(대여내역!$A926="",FALSE(),OR(대여내역!$L926="미반납",대여내역!$L926="부분반납"))</f>
        <v>0</v>
      </c>
      <c r="L929" s="6" t="str">
        <f aca="false">IF($K929=FALSE(),"",COUNTIF($K$6:$K929,TRUE()))</f>
        <v/>
      </c>
      <c r="M929" s="6" t="str">
        <f aca="false">IF($L929="","","R"&amp;$L929)</f>
        <v/>
      </c>
    </row>
    <row r="930" customFormat="false" ht="15" hidden="false" customHeight="false" outlineLevel="0" collapsed="false">
      <c r="K930" s="26" t="b">
        <f aca="false">IF(대여내역!$A927="",FALSE(),OR(대여내역!$L927="미반납",대여내역!$L927="부분반납"))</f>
        <v>0</v>
      </c>
      <c r="L930" s="6" t="str">
        <f aca="false">IF($K930=FALSE(),"",COUNTIF($K$6:$K930,TRUE()))</f>
        <v/>
      </c>
      <c r="M930" s="6" t="str">
        <f aca="false">IF($L930="","","R"&amp;$L930)</f>
        <v/>
      </c>
    </row>
    <row r="931" customFormat="false" ht="15" hidden="false" customHeight="false" outlineLevel="0" collapsed="false">
      <c r="K931" s="26" t="b">
        <f aca="false">IF(대여내역!$A928="",FALSE(),OR(대여내역!$L928="미반납",대여내역!$L928="부분반납"))</f>
        <v>0</v>
      </c>
      <c r="L931" s="6" t="str">
        <f aca="false">IF($K931=FALSE(),"",COUNTIF($K$6:$K931,TRUE()))</f>
        <v/>
      </c>
      <c r="M931" s="6" t="str">
        <f aca="false">IF($L931="","","R"&amp;$L931)</f>
        <v/>
      </c>
    </row>
    <row r="932" customFormat="false" ht="15" hidden="false" customHeight="false" outlineLevel="0" collapsed="false">
      <c r="K932" s="26" t="b">
        <f aca="false">IF(대여내역!$A929="",FALSE(),OR(대여내역!$L929="미반납",대여내역!$L929="부분반납"))</f>
        <v>0</v>
      </c>
      <c r="L932" s="6" t="str">
        <f aca="false">IF($K932=FALSE(),"",COUNTIF($K$6:$K932,TRUE()))</f>
        <v/>
      </c>
      <c r="M932" s="6" t="str">
        <f aca="false">IF($L932="","","R"&amp;$L932)</f>
        <v/>
      </c>
    </row>
    <row r="933" customFormat="false" ht="15" hidden="false" customHeight="false" outlineLevel="0" collapsed="false">
      <c r="K933" s="26" t="b">
        <f aca="false">IF(대여내역!$A930="",FALSE(),OR(대여내역!$L930="미반납",대여내역!$L930="부분반납"))</f>
        <v>0</v>
      </c>
      <c r="L933" s="6" t="str">
        <f aca="false">IF($K933=FALSE(),"",COUNTIF($K$6:$K933,TRUE()))</f>
        <v/>
      </c>
      <c r="M933" s="6" t="str">
        <f aca="false">IF($L933="","","R"&amp;$L933)</f>
        <v/>
      </c>
    </row>
    <row r="934" customFormat="false" ht="15" hidden="false" customHeight="false" outlineLevel="0" collapsed="false">
      <c r="K934" s="26" t="b">
        <f aca="false">IF(대여내역!$A931="",FALSE(),OR(대여내역!$L931="미반납",대여내역!$L931="부분반납"))</f>
        <v>0</v>
      </c>
      <c r="L934" s="6" t="str">
        <f aca="false">IF($K934=FALSE(),"",COUNTIF($K$6:$K934,TRUE()))</f>
        <v/>
      </c>
      <c r="M934" s="6" t="str">
        <f aca="false">IF($L934="","","R"&amp;$L934)</f>
        <v/>
      </c>
    </row>
    <row r="935" customFormat="false" ht="15" hidden="false" customHeight="false" outlineLevel="0" collapsed="false">
      <c r="K935" s="26" t="b">
        <f aca="false">IF(대여내역!$A932="",FALSE(),OR(대여내역!$L932="미반납",대여내역!$L932="부분반납"))</f>
        <v>0</v>
      </c>
      <c r="L935" s="6" t="str">
        <f aca="false">IF($K935=FALSE(),"",COUNTIF($K$6:$K935,TRUE()))</f>
        <v/>
      </c>
      <c r="M935" s="6" t="str">
        <f aca="false">IF($L935="","","R"&amp;$L935)</f>
        <v/>
      </c>
    </row>
    <row r="936" customFormat="false" ht="15" hidden="false" customHeight="false" outlineLevel="0" collapsed="false">
      <c r="K936" s="26" t="b">
        <f aca="false">IF(대여내역!$A933="",FALSE(),OR(대여내역!$L933="미반납",대여내역!$L933="부분반납"))</f>
        <v>0</v>
      </c>
      <c r="L936" s="6" t="str">
        <f aca="false">IF($K936=FALSE(),"",COUNTIF($K$6:$K936,TRUE()))</f>
        <v/>
      </c>
      <c r="M936" s="6" t="str">
        <f aca="false">IF($L936="","","R"&amp;$L936)</f>
        <v/>
      </c>
    </row>
    <row r="937" customFormat="false" ht="15" hidden="false" customHeight="false" outlineLevel="0" collapsed="false">
      <c r="K937" s="26" t="b">
        <f aca="false">IF(대여내역!$A934="",FALSE(),OR(대여내역!$L934="미반납",대여내역!$L934="부분반납"))</f>
        <v>0</v>
      </c>
      <c r="L937" s="6" t="str">
        <f aca="false">IF($K937=FALSE(),"",COUNTIF($K$6:$K937,TRUE()))</f>
        <v/>
      </c>
      <c r="M937" s="6" t="str">
        <f aca="false">IF($L937="","","R"&amp;$L937)</f>
        <v/>
      </c>
    </row>
    <row r="938" customFormat="false" ht="15" hidden="false" customHeight="false" outlineLevel="0" collapsed="false">
      <c r="K938" s="26" t="b">
        <f aca="false">IF(대여내역!$A935="",FALSE(),OR(대여내역!$L935="미반납",대여내역!$L935="부분반납"))</f>
        <v>0</v>
      </c>
      <c r="L938" s="6" t="str">
        <f aca="false">IF($K938=FALSE(),"",COUNTIF($K$6:$K938,TRUE()))</f>
        <v/>
      </c>
      <c r="M938" s="6" t="str">
        <f aca="false">IF($L938="","","R"&amp;$L938)</f>
        <v/>
      </c>
    </row>
    <row r="939" customFormat="false" ht="15" hidden="false" customHeight="false" outlineLevel="0" collapsed="false">
      <c r="K939" s="26" t="b">
        <f aca="false">IF(대여내역!$A936="",FALSE(),OR(대여내역!$L936="미반납",대여내역!$L936="부분반납"))</f>
        <v>0</v>
      </c>
      <c r="L939" s="6" t="str">
        <f aca="false">IF($K939=FALSE(),"",COUNTIF($K$6:$K939,TRUE()))</f>
        <v/>
      </c>
      <c r="M939" s="6" t="str">
        <f aca="false">IF($L939="","","R"&amp;$L939)</f>
        <v/>
      </c>
    </row>
    <row r="940" customFormat="false" ht="15" hidden="false" customHeight="false" outlineLevel="0" collapsed="false">
      <c r="K940" s="26" t="b">
        <f aca="false">IF(대여내역!$A937="",FALSE(),OR(대여내역!$L937="미반납",대여내역!$L937="부분반납"))</f>
        <v>0</v>
      </c>
      <c r="L940" s="6" t="str">
        <f aca="false">IF($K940=FALSE(),"",COUNTIF($K$6:$K940,TRUE()))</f>
        <v/>
      </c>
      <c r="M940" s="6" t="str">
        <f aca="false">IF($L940="","","R"&amp;$L940)</f>
        <v/>
      </c>
    </row>
    <row r="941" customFormat="false" ht="15" hidden="false" customHeight="false" outlineLevel="0" collapsed="false">
      <c r="K941" s="26" t="b">
        <f aca="false">IF(대여내역!$A938="",FALSE(),OR(대여내역!$L938="미반납",대여내역!$L938="부분반납"))</f>
        <v>0</v>
      </c>
      <c r="L941" s="6" t="str">
        <f aca="false">IF($K941=FALSE(),"",COUNTIF($K$6:$K941,TRUE()))</f>
        <v/>
      </c>
      <c r="M941" s="6" t="str">
        <f aca="false">IF($L941="","","R"&amp;$L941)</f>
        <v/>
      </c>
    </row>
    <row r="942" customFormat="false" ht="15" hidden="false" customHeight="false" outlineLevel="0" collapsed="false">
      <c r="K942" s="26" t="b">
        <f aca="false">IF(대여내역!$A939="",FALSE(),OR(대여내역!$L939="미반납",대여내역!$L939="부분반납"))</f>
        <v>0</v>
      </c>
      <c r="L942" s="6" t="str">
        <f aca="false">IF($K942=FALSE(),"",COUNTIF($K$6:$K942,TRUE()))</f>
        <v/>
      </c>
      <c r="M942" s="6" t="str">
        <f aca="false">IF($L942="","","R"&amp;$L942)</f>
        <v/>
      </c>
    </row>
    <row r="943" customFormat="false" ht="15" hidden="false" customHeight="false" outlineLevel="0" collapsed="false">
      <c r="K943" s="26" t="b">
        <f aca="false">IF(대여내역!$A940="",FALSE(),OR(대여내역!$L940="미반납",대여내역!$L940="부분반납"))</f>
        <v>0</v>
      </c>
      <c r="L943" s="6" t="str">
        <f aca="false">IF($K943=FALSE(),"",COUNTIF($K$6:$K943,TRUE()))</f>
        <v/>
      </c>
      <c r="M943" s="6" t="str">
        <f aca="false">IF($L943="","","R"&amp;$L943)</f>
        <v/>
      </c>
    </row>
    <row r="944" customFormat="false" ht="15" hidden="false" customHeight="false" outlineLevel="0" collapsed="false">
      <c r="K944" s="26" t="b">
        <f aca="false">IF(대여내역!$A941="",FALSE(),OR(대여내역!$L941="미반납",대여내역!$L941="부분반납"))</f>
        <v>0</v>
      </c>
      <c r="L944" s="6" t="str">
        <f aca="false">IF($K944=FALSE(),"",COUNTIF($K$6:$K944,TRUE()))</f>
        <v/>
      </c>
      <c r="M944" s="6" t="str">
        <f aca="false">IF($L944="","","R"&amp;$L944)</f>
        <v/>
      </c>
    </row>
    <row r="945" customFormat="false" ht="15" hidden="false" customHeight="false" outlineLevel="0" collapsed="false">
      <c r="K945" s="26" t="b">
        <f aca="false">IF(대여내역!$A942="",FALSE(),OR(대여내역!$L942="미반납",대여내역!$L942="부분반납"))</f>
        <v>0</v>
      </c>
      <c r="L945" s="6" t="str">
        <f aca="false">IF($K945=FALSE(),"",COUNTIF($K$6:$K945,TRUE()))</f>
        <v/>
      </c>
      <c r="M945" s="6" t="str">
        <f aca="false">IF($L945="","","R"&amp;$L945)</f>
        <v/>
      </c>
    </row>
    <row r="946" customFormat="false" ht="15" hidden="false" customHeight="false" outlineLevel="0" collapsed="false">
      <c r="K946" s="26" t="b">
        <f aca="false">IF(대여내역!$A943="",FALSE(),OR(대여내역!$L943="미반납",대여내역!$L943="부분반납"))</f>
        <v>0</v>
      </c>
      <c r="L946" s="6" t="str">
        <f aca="false">IF($K946=FALSE(),"",COUNTIF($K$6:$K946,TRUE()))</f>
        <v/>
      </c>
      <c r="M946" s="6" t="str">
        <f aca="false">IF($L946="","","R"&amp;$L946)</f>
        <v/>
      </c>
    </row>
    <row r="947" customFormat="false" ht="15" hidden="false" customHeight="false" outlineLevel="0" collapsed="false">
      <c r="K947" s="26" t="b">
        <f aca="false">IF(대여내역!$A944="",FALSE(),OR(대여내역!$L944="미반납",대여내역!$L944="부분반납"))</f>
        <v>0</v>
      </c>
      <c r="L947" s="6" t="str">
        <f aca="false">IF($K947=FALSE(),"",COUNTIF($K$6:$K947,TRUE()))</f>
        <v/>
      </c>
      <c r="M947" s="6" t="str">
        <f aca="false">IF($L947="","","R"&amp;$L947)</f>
        <v/>
      </c>
    </row>
    <row r="948" customFormat="false" ht="15" hidden="false" customHeight="false" outlineLevel="0" collapsed="false">
      <c r="K948" s="26" t="b">
        <f aca="false">IF(대여내역!$A945="",FALSE(),OR(대여내역!$L945="미반납",대여내역!$L945="부분반납"))</f>
        <v>0</v>
      </c>
      <c r="L948" s="6" t="str">
        <f aca="false">IF($K948=FALSE(),"",COUNTIF($K$6:$K948,TRUE()))</f>
        <v/>
      </c>
      <c r="M948" s="6" t="str">
        <f aca="false">IF($L948="","","R"&amp;$L948)</f>
        <v/>
      </c>
    </row>
    <row r="949" customFormat="false" ht="15" hidden="false" customHeight="false" outlineLevel="0" collapsed="false">
      <c r="K949" s="26" t="b">
        <f aca="false">IF(대여내역!$A946="",FALSE(),OR(대여내역!$L946="미반납",대여내역!$L946="부분반납"))</f>
        <v>0</v>
      </c>
      <c r="L949" s="6" t="str">
        <f aca="false">IF($K949=FALSE(),"",COUNTIF($K$6:$K949,TRUE()))</f>
        <v/>
      </c>
      <c r="M949" s="6" t="str">
        <f aca="false">IF($L949="","","R"&amp;$L949)</f>
        <v/>
      </c>
    </row>
    <row r="950" customFormat="false" ht="15" hidden="false" customHeight="false" outlineLevel="0" collapsed="false">
      <c r="K950" s="26" t="b">
        <f aca="false">IF(대여내역!$A947="",FALSE(),OR(대여내역!$L947="미반납",대여내역!$L947="부분반납"))</f>
        <v>0</v>
      </c>
      <c r="L950" s="6" t="str">
        <f aca="false">IF($K950=FALSE(),"",COUNTIF($K$6:$K950,TRUE()))</f>
        <v/>
      </c>
      <c r="M950" s="6" t="str">
        <f aca="false">IF($L950="","","R"&amp;$L950)</f>
        <v/>
      </c>
    </row>
    <row r="951" customFormat="false" ht="15" hidden="false" customHeight="false" outlineLevel="0" collapsed="false">
      <c r="K951" s="26" t="b">
        <f aca="false">IF(대여내역!$A948="",FALSE(),OR(대여내역!$L948="미반납",대여내역!$L948="부분반납"))</f>
        <v>0</v>
      </c>
      <c r="L951" s="6" t="str">
        <f aca="false">IF($K951=FALSE(),"",COUNTIF($K$6:$K951,TRUE()))</f>
        <v/>
      </c>
      <c r="M951" s="6" t="str">
        <f aca="false">IF($L951="","","R"&amp;$L951)</f>
        <v/>
      </c>
    </row>
    <row r="952" customFormat="false" ht="15" hidden="false" customHeight="false" outlineLevel="0" collapsed="false">
      <c r="K952" s="26" t="b">
        <f aca="false">IF(대여내역!$A949="",FALSE(),OR(대여내역!$L949="미반납",대여내역!$L949="부분반납"))</f>
        <v>0</v>
      </c>
      <c r="L952" s="6" t="str">
        <f aca="false">IF($K952=FALSE(),"",COUNTIF($K$6:$K952,TRUE()))</f>
        <v/>
      </c>
      <c r="M952" s="6" t="str">
        <f aca="false">IF($L952="","","R"&amp;$L952)</f>
        <v/>
      </c>
    </row>
    <row r="953" customFormat="false" ht="15" hidden="false" customHeight="false" outlineLevel="0" collapsed="false">
      <c r="K953" s="26" t="b">
        <f aca="false">IF(대여내역!$A950="",FALSE(),OR(대여내역!$L950="미반납",대여내역!$L950="부분반납"))</f>
        <v>0</v>
      </c>
      <c r="L953" s="6" t="str">
        <f aca="false">IF($K953=FALSE(),"",COUNTIF($K$6:$K953,TRUE()))</f>
        <v/>
      </c>
      <c r="M953" s="6" t="str">
        <f aca="false">IF($L953="","","R"&amp;$L953)</f>
        <v/>
      </c>
    </row>
    <row r="954" customFormat="false" ht="15" hidden="false" customHeight="false" outlineLevel="0" collapsed="false">
      <c r="K954" s="26" t="b">
        <f aca="false">IF(대여내역!$A951="",FALSE(),OR(대여내역!$L951="미반납",대여내역!$L951="부분반납"))</f>
        <v>0</v>
      </c>
      <c r="L954" s="6" t="str">
        <f aca="false">IF($K954=FALSE(),"",COUNTIF($K$6:$K954,TRUE()))</f>
        <v/>
      </c>
      <c r="M954" s="6" t="str">
        <f aca="false">IF($L954="","","R"&amp;$L954)</f>
        <v/>
      </c>
    </row>
    <row r="955" customFormat="false" ht="15" hidden="false" customHeight="false" outlineLevel="0" collapsed="false">
      <c r="K955" s="26" t="b">
        <f aca="false">IF(대여내역!$A952="",FALSE(),OR(대여내역!$L952="미반납",대여내역!$L952="부분반납"))</f>
        <v>0</v>
      </c>
      <c r="L955" s="6" t="str">
        <f aca="false">IF($K955=FALSE(),"",COUNTIF($K$6:$K955,TRUE()))</f>
        <v/>
      </c>
      <c r="M955" s="6" t="str">
        <f aca="false">IF($L955="","","R"&amp;$L955)</f>
        <v/>
      </c>
    </row>
    <row r="956" customFormat="false" ht="15" hidden="false" customHeight="false" outlineLevel="0" collapsed="false">
      <c r="K956" s="26" t="b">
        <f aca="false">IF(대여내역!$A953="",FALSE(),OR(대여내역!$L953="미반납",대여내역!$L953="부분반납"))</f>
        <v>0</v>
      </c>
      <c r="L956" s="6" t="str">
        <f aca="false">IF($K956=FALSE(),"",COUNTIF($K$6:$K956,TRUE()))</f>
        <v/>
      </c>
      <c r="M956" s="6" t="str">
        <f aca="false">IF($L956="","","R"&amp;$L956)</f>
        <v/>
      </c>
    </row>
    <row r="957" customFormat="false" ht="15" hidden="false" customHeight="false" outlineLevel="0" collapsed="false">
      <c r="K957" s="26" t="b">
        <f aca="false">IF(대여내역!$A954="",FALSE(),OR(대여내역!$L954="미반납",대여내역!$L954="부분반납"))</f>
        <v>0</v>
      </c>
      <c r="L957" s="6" t="str">
        <f aca="false">IF($K957=FALSE(),"",COUNTIF($K$6:$K957,TRUE()))</f>
        <v/>
      </c>
      <c r="M957" s="6" t="str">
        <f aca="false">IF($L957="","","R"&amp;$L957)</f>
        <v/>
      </c>
    </row>
    <row r="958" customFormat="false" ht="15" hidden="false" customHeight="false" outlineLevel="0" collapsed="false">
      <c r="K958" s="26" t="b">
        <f aca="false">IF(대여내역!$A955="",FALSE(),OR(대여내역!$L955="미반납",대여내역!$L955="부분반납"))</f>
        <v>0</v>
      </c>
      <c r="L958" s="6" t="str">
        <f aca="false">IF($K958=FALSE(),"",COUNTIF($K$6:$K958,TRUE()))</f>
        <v/>
      </c>
      <c r="M958" s="6" t="str">
        <f aca="false">IF($L958="","","R"&amp;$L958)</f>
        <v/>
      </c>
    </row>
    <row r="959" customFormat="false" ht="15" hidden="false" customHeight="false" outlineLevel="0" collapsed="false">
      <c r="K959" s="26" t="b">
        <f aca="false">IF(대여내역!$A956="",FALSE(),OR(대여내역!$L956="미반납",대여내역!$L956="부분반납"))</f>
        <v>0</v>
      </c>
      <c r="L959" s="6" t="str">
        <f aca="false">IF($K959=FALSE(),"",COUNTIF($K$6:$K959,TRUE()))</f>
        <v/>
      </c>
      <c r="M959" s="6" t="str">
        <f aca="false">IF($L959="","","R"&amp;$L959)</f>
        <v/>
      </c>
    </row>
    <row r="960" customFormat="false" ht="15" hidden="false" customHeight="false" outlineLevel="0" collapsed="false">
      <c r="K960" s="26" t="b">
        <f aca="false">IF(대여내역!$A957="",FALSE(),OR(대여내역!$L957="미반납",대여내역!$L957="부분반납"))</f>
        <v>0</v>
      </c>
      <c r="L960" s="6" t="str">
        <f aca="false">IF($K960=FALSE(),"",COUNTIF($K$6:$K960,TRUE()))</f>
        <v/>
      </c>
      <c r="M960" s="6" t="str">
        <f aca="false">IF($L960="","","R"&amp;$L960)</f>
        <v/>
      </c>
    </row>
    <row r="961" customFormat="false" ht="15" hidden="false" customHeight="false" outlineLevel="0" collapsed="false">
      <c r="K961" s="26" t="b">
        <f aca="false">IF(대여내역!$A958="",FALSE(),OR(대여내역!$L958="미반납",대여내역!$L958="부분반납"))</f>
        <v>0</v>
      </c>
      <c r="L961" s="6" t="str">
        <f aca="false">IF($K961=FALSE(),"",COUNTIF($K$6:$K961,TRUE()))</f>
        <v/>
      </c>
      <c r="M961" s="6" t="str">
        <f aca="false">IF($L961="","","R"&amp;$L961)</f>
        <v/>
      </c>
    </row>
    <row r="962" customFormat="false" ht="15" hidden="false" customHeight="false" outlineLevel="0" collapsed="false">
      <c r="K962" s="26" t="b">
        <f aca="false">IF(대여내역!$A959="",FALSE(),OR(대여내역!$L959="미반납",대여내역!$L959="부분반납"))</f>
        <v>0</v>
      </c>
      <c r="L962" s="6" t="str">
        <f aca="false">IF($K962=FALSE(),"",COUNTIF($K$6:$K962,TRUE()))</f>
        <v/>
      </c>
      <c r="M962" s="6" t="str">
        <f aca="false">IF($L962="","","R"&amp;$L962)</f>
        <v/>
      </c>
    </row>
    <row r="963" customFormat="false" ht="15" hidden="false" customHeight="false" outlineLevel="0" collapsed="false">
      <c r="K963" s="26" t="b">
        <f aca="false">IF(대여내역!$A960="",FALSE(),OR(대여내역!$L960="미반납",대여내역!$L960="부분반납"))</f>
        <v>0</v>
      </c>
      <c r="L963" s="6" t="str">
        <f aca="false">IF($K963=FALSE(),"",COUNTIF($K$6:$K963,TRUE()))</f>
        <v/>
      </c>
      <c r="M963" s="6" t="str">
        <f aca="false">IF($L963="","","R"&amp;$L963)</f>
        <v/>
      </c>
    </row>
    <row r="964" customFormat="false" ht="15" hidden="false" customHeight="false" outlineLevel="0" collapsed="false">
      <c r="K964" s="26" t="b">
        <f aca="false">IF(대여내역!$A961="",FALSE(),OR(대여내역!$L961="미반납",대여내역!$L961="부분반납"))</f>
        <v>0</v>
      </c>
      <c r="L964" s="6" t="str">
        <f aca="false">IF($K964=FALSE(),"",COUNTIF($K$6:$K964,TRUE()))</f>
        <v/>
      </c>
      <c r="M964" s="6" t="str">
        <f aca="false">IF($L964="","","R"&amp;$L964)</f>
        <v/>
      </c>
    </row>
    <row r="965" customFormat="false" ht="15" hidden="false" customHeight="false" outlineLevel="0" collapsed="false">
      <c r="K965" s="26" t="b">
        <f aca="false">IF(대여내역!$A962="",FALSE(),OR(대여내역!$L962="미반납",대여내역!$L962="부분반납"))</f>
        <v>0</v>
      </c>
      <c r="L965" s="6" t="str">
        <f aca="false">IF($K965=FALSE(),"",COUNTIF($K$6:$K965,TRUE()))</f>
        <v/>
      </c>
      <c r="M965" s="6" t="str">
        <f aca="false">IF($L965="","","R"&amp;$L965)</f>
        <v/>
      </c>
    </row>
    <row r="966" customFormat="false" ht="15" hidden="false" customHeight="false" outlineLevel="0" collapsed="false">
      <c r="K966" s="26" t="b">
        <f aca="false">IF(대여내역!$A963="",FALSE(),OR(대여내역!$L963="미반납",대여내역!$L963="부분반납"))</f>
        <v>0</v>
      </c>
      <c r="L966" s="6" t="str">
        <f aca="false">IF($K966=FALSE(),"",COUNTIF($K$6:$K966,TRUE()))</f>
        <v/>
      </c>
      <c r="M966" s="6" t="str">
        <f aca="false">IF($L966="","","R"&amp;$L966)</f>
        <v/>
      </c>
    </row>
    <row r="967" customFormat="false" ht="15" hidden="false" customHeight="false" outlineLevel="0" collapsed="false">
      <c r="K967" s="26" t="b">
        <f aca="false">IF(대여내역!$A964="",FALSE(),OR(대여내역!$L964="미반납",대여내역!$L964="부분반납"))</f>
        <v>0</v>
      </c>
      <c r="L967" s="6" t="str">
        <f aca="false">IF($K967=FALSE(),"",COUNTIF($K$6:$K967,TRUE()))</f>
        <v/>
      </c>
      <c r="M967" s="6" t="str">
        <f aca="false">IF($L967="","","R"&amp;$L967)</f>
        <v/>
      </c>
    </row>
    <row r="968" customFormat="false" ht="15" hidden="false" customHeight="false" outlineLevel="0" collapsed="false">
      <c r="K968" s="26" t="b">
        <f aca="false">IF(대여내역!$A965="",FALSE(),OR(대여내역!$L965="미반납",대여내역!$L965="부분반납"))</f>
        <v>0</v>
      </c>
      <c r="L968" s="6" t="str">
        <f aca="false">IF($K968=FALSE(),"",COUNTIF($K$6:$K968,TRUE()))</f>
        <v/>
      </c>
      <c r="M968" s="6" t="str">
        <f aca="false">IF($L968="","","R"&amp;$L968)</f>
        <v/>
      </c>
    </row>
    <row r="969" customFormat="false" ht="15" hidden="false" customHeight="false" outlineLevel="0" collapsed="false">
      <c r="K969" s="26" t="b">
        <f aca="false">IF(대여내역!$A966="",FALSE(),OR(대여내역!$L966="미반납",대여내역!$L966="부분반납"))</f>
        <v>0</v>
      </c>
      <c r="L969" s="6" t="str">
        <f aca="false">IF($K969=FALSE(),"",COUNTIF($K$6:$K969,TRUE()))</f>
        <v/>
      </c>
      <c r="M969" s="6" t="str">
        <f aca="false">IF($L969="","","R"&amp;$L969)</f>
        <v/>
      </c>
    </row>
    <row r="970" customFormat="false" ht="15" hidden="false" customHeight="false" outlineLevel="0" collapsed="false">
      <c r="K970" s="26" t="b">
        <f aca="false">IF(대여내역!$A967="",FALSE(),OR(대여내역!$L967="미반납",대여내역!$L967="부분반납"))</f>
        <v>0</v>
      </c>
      <c r="L970" s="6" t="str">
        <f aca="false">IF($K970=FALSE(),"",COUNTIF($K$6:$K970,TRUE()))</f>
        <v/>
      </c>
      <c r="M970" s="6" t="str">
        <f aca="false">IF($L970="","","R"&amp;$L970)</f>
        <v/>
      </c>
    </row>
    <row r="971" customFormat="false" ht="15" hidden="false" customHeight="false" outlineLevel="0" collapsed="false">
      <c r="K971" s="26" t="b">
        <f aca="false">IF(대여내역!$A968="",FALSE(),OR(대여내역!$L968="미반납",대여내역!$L968="부분반납"))</f>
        <v>0</v>
      </c>
      <c r="L971" s="6" t="str">
        <f aca="false">IF($K971=FALSE(),"",COUNTIF($K$6:$K971,TRUE()))</f>
        <v/>
      </c>
      <c r="M971" s="6" t="str">
        <f aca="false">IF($L971="","","R"&amp;$L971)</f>
        <v/>
      </c>
    </row>
    <row r="972" customFormat="false" ht="15" hidden="false" customHeight="false" outlineLevel="0" collapsed="false">
      <c r="K972" s="26" t="b">
        <f aca="false">IF(대여내역!$A969="",FALSE(),OR(대여내역!$L969="미반납",대여내역!$L969="부분반납"))</f>
        <v>0</v>
      </c>
      <c r="L972" s="6" t="str">
        <f aca="false">IF($K972=FALSE(),"",COUNTIF($K$6:$K972,TRUE()))</f>
        <v/>
      </c>
      <c r="M972" s="6" t="str">
        <f aca="false">IF($L972="","","R"&amp;$L972)</f>
        <v/>
      </c>
    </row>
    <row r="973" customFormat="false" ht="15" hidden="false" customHeight="false" outlineLevel="0" collapsed="false">
      <c r="K973" s="26" t="b">
        <f aca="false">IF(대여내역!$A970="",FALSE(),OR(대여내역!$L970="미반납",대여내역!$L970="부분반납"))</f>
        <v>0</v>
      </c>
      <c r="L973" s="6" t="str">
        <f aca="false">IF($K973=FALSE(),"",COUNTIF($K$6:$K973,TRUE()))</f>
        <v/>
      </c>
      <c r="M973" s="6" t="str">
        <f aca="false">IF($L973="","","R"&amp;$L973)</f>
        <v/>
      </c>
    </row>
    <row r="974" customFormat="false" ht="15" hidden="false" customHeight="false" outlineLevel="0" collapsed="false">
      <c r="K974" s="26" t="b">
        <f aca="false">IF(대여내역!$A971="",FALSE(),OR(대여내역!$L971="미반납",대여내역!$L971="부분반납"))</f>
        <v>0</v>
      </c>
      <c r="L974" s="6" t="str">
        <f aca="false">IF($K974=FALSE(),"",COUNTIF($K$6:$K974,TRUE()))</f>
        <v/>
      </c>
      <c r="M974" s="6" t="str">
        <f aca="false">IF($L974="","","R"&amp;$L974)</f>
        <v/>
      </c>
    </row>
    <row r="975" customFormat="false" ht="15" hidden="false" customHeight="false" outlineLevel="0" collapsed="false">
      <c r="K975" s="26" t="b">
        <f aca="false">IF(대여내역!$A972="",FALSE(),OR(대여내역!$L972="미반납",대여내역!$L972="부분반납"))</f>
        <v>0</v>
      </c>
      <c r="L975" s="6" t="str">
        <f aca="false">IF($K975=FALSE(),"",COUNTIF($K$6:$K975,TRUE()))</f>
        <v/>
      </c>
      <c r="M975" s="6" t="str">
        <f aca="false">IF($L975="","","R"&amp;$L975)</f>
        <v/>
      </c>
    </row>
    <row r="976" customFormat="false" ht="15" hidden="false" customHeight="false" outlineLevel="0" collapsed="false">
      <c r="K976" s="26" t="b">
        <f aca="false">IF(대여내역!$A973="",FALSE(),OR(대여내역!$L973="미반납",대여내역!$L973="부분반납"))</f>
        <v>0</v>
      </c>
      <c r="L976" s="6" t="str">
        <f aca="false">IF($K976=FALSE(),"",COUNTIF($K$6:$K976,TRUE()))</f>
        <v/>
      </c>
      <c r="M976" s="6" t="str">
        <f aca="false">IF($L976="","","R"&amp;$L976)</f>
        <v/>
      </c>
    </row>
    <row r="977" customFormat="false" ht="15" hidden="false" customHeight="false" outlineLevel="0" collapsed="false">
      <c r="K977" s="26" t="b">
        <f aca="false">IF(대여내역!$A974="",FALSE(),OR(대여내역!$L974="미반납",대여내역!$L974="부분반납"))</f>
        <v>0</v>
      </c>
      <c r="L977" s="6" t="str">
        <f aca="false">IF($K977=FALSE(),"",COUNTIF($K$6:$K977,TRUE()))</f>
        <v/>
      </c>
      <c r="M977" s="6" t="str">
        <f aca="false">IF($L977="","","R"&amp;$L977)</f>
        <v/>
      </c>
    </row>
    <row r="978" customFormat="false" ht="15" hidden="false" customHeight="false" outlineLevel="0" collapsed="false">
      <c r="K978" s="26" t="b">
        <f aca="false">IF(대여내역!$A975="",FALSE(),OR(대여내역!$L975="미반납",대여내역!$L975="부분반납"))</f>
        <v>0</v>
      </c>
      <c r="L978" s="6" t="str">
        <f aca="false">IF($K978=FALSE(),"",COUNTIF($K$6:$K978,TRUE()))</f>
        <v/>
      </c>
      <c r="M978" s="6" t="str">
        <f aca="false">IF($L978="","","R"&amp;$L978)</f>
        <v/>
      </c>
    </row>
    <row r="979" customFormat="false" ht="15" hidden="false" customHeight="false" outlineLevel="0" collapsed="false">
      <c r="K979" s="26" t="b">
        <f aca="false">IF(대여내역!$A976="",FALSE(),OR(대여내역!$L976="미반납",대여내역!$L976="부분반납"))</f>
        <v>0</v>
      </c>
      <c r="L979" s="6" t="str">
        <f aca="false">IF($K979=FALSE(),"",COUNTIF($K$6:$K979,TRUE()))</f>
        <v/>
      </c>
      <c r="M979" s="6" t="str">
        <f aca="false">IF($L979="","","R"&amp;$L979)</f>
        <v/>
      </c>
    </row>
    <row r="980" customFormat="false" ht="15" hidden="false" customHeight="false" outlineLevel="0" collapsed="false">
      <c r="K980" s="26" t="b">
        <f aca="false">IF(대여내역!$A977="",FALSE(),OR(대여내역!$L977="미반납",대여내역!$L977="부분반납"))</f>
        <v>0</v>
      </c>
      <c r="L980" s="6" t="str">
        <f aca="false">IF($K980=FALSE(),"",COUNTIF($K$6:$K980,TRUE()))</f>
        <v/>
      </c>
      <c r="M980" s="6" t="str">
        <f aca="false">IF($L980="","","R"&amp;$L980)</f>
        <v/>
      </c>
    </row>
    <row r="981" customFormat="false" ht="15" hidden="false" customHeight="false" outlineLevel="0" collapsed="false">
      <c r="K981" s="26" t="b">
        <f aca="false">IF(대여내역!$A978="",FALSE(),OR(대여내역!$L978="미반납",대여내역!$L978="부분반납"))</f>
        <v>0</v>
      </c>
      <c r="L981" s="6" t="str">
        <f aca="false">IF($K981=FALSE(),"",COUNTIF($K$6:$K981,TRUE()))</f>
        <v/>
      </c>
      <c r="M981" s="6" t="str">
        <f aca="false">IF($L981="","","R"&amp;$L981)</f>
        <v/>
      </c>
    </row>
    <row r="982" customFormat="false" ht="15" hidden="false" customHeight="false" outlineLevel="0" collapsed="false">
      <c r="K982" s="26" t="b">
        <f aca="false">IF(대여내역!$A979="",FALSE(),OR(대여내역!$L979="미반납",대여내역!$L979="부분반납"))</f>
        <v>0</v>
      </c>
      <c r="L982" s="6" t="str">
        <f aca="false">IF($K982=FALSE(),"",COUNTIF($K$6:$K982,TRUE()))</f>
        <v/>
      </c>
      <c r="M982" s="6" t="str">
        <f aca="false">IF($L982="","","R"&amp;$L982)</f>
        <v/>
      </c>
    </row>
    <row r="983" customFormat="false" ht="15" hidden="false" customHeight="false" outlineLevel="0" collapsed="false">
      <c r="K983" s="26" t="b">
        <f aca="false">IF(대여내역!$A980="",FALSE(),OR(대여내역!$L980="미반납",대여내역!$L980="부분반납"))</f>
        <v>0</v>
      </c>
      <c r="L983" s="6" t="str">
        <f aca="false">IF($K983=FALSE(),"",COUNTIF($K$6:$K983,TRUE()))</f>
        <v/>
      </c>
      <c r="M983" s="6" t="str">
        <f aca="false">IF($L983="","","R"&amp;$L983)</f>
        <v/>
      </c>
    </row>
    <row r="984" customFormat="false" ht="15" hidden="false" customHeight="false" outlineLevel="0" collapsed="false">
      <c r="K984" s="26" t="b">
        <f aca="false">IF(대여내역!$A981="",FALSE(),OR(대여내역!$L981="미반납",대여내역!$L981="부분반납"))</f>
        <v>0</v>
      </c>
      <c r="L984" s="6" t="str">
        <f aca="false">IF($K984=FALSE(),"",COUNTIF($K$6:$K984,TRUE()))</f>
        <v/>
      </c>
      <c r="M984" s="6" t="str">
        <f aca="false">IF($L984="","","R"&amp;$L984)</f>
        <v/>
      </c>
    </row>
    <row r="985" customFormat="false" ht="15" hidden="false" customHeight="false" outlineLevel="0" collapsed="false">
      <c r="K985" s="26" t="b">
        <f aca="false">IF(대여내역!$A982="",FALSE(),OR(대여내역!$L982="미반납",대여내역!$L982="부분반납"))</f>
        <v>0</v>
      </c>
      <c r="L985" s="6" t="str">
        <f aca="false">IF($K985=FALSE(),"",COUNTIF($K$6:$K985,TRUE()))</f>
        <v/>
      </c>
      <c r="M985" s="6" t="str">
        <f aca="false">IF($L985="","","R"&amp;$L985)</f>
        <v/>
      </c>
    </row>
    <row r="986" customFormat="false" ht="15" hidden="false" customHeight="false" outlineLevel="0" collapsed="false">
      <c r="K986" s="26" t="b">
        <f aca="false">IF(대여내역!$A983="",FALSE(),OR(대여내역!$L983="미반납",대여내역!$L983="부분반납"))</f>
        <v>0</v>
      </c>
      <c r="L986" s="6" t="str">
        <f aca="false">IF($K986=FALSE(),"",COUNTIF($K$6:$K986,TRUE()))</f>
        <v/>
      </c>
      <c r="M986" s="6" t="str">
        <f aca="false">IF($L986="","","R"&amp;$L986)</f>
        <v/>
      </c>
    </row>
    <row r="987" customFormat="false" ht="15" hidden="false" customHeight="false" outlineLevel="0" collapsed="false">
      <c r="K987" s="26" t="b">
        <f aca="false">IF(대여내역!$A984="",FALSE(),OR(대여내역!$L984="미반납",대여내역!$L984="부분반납"))</f>
        <v>0</v>
      </c>
      <c r="L987" s="6" t="str">
        <f aca="false">IF($K987=FALSE(),"",COUNTIF($K$6:$K987,TRUE()))</f>
        <v/>
      </c>
      <c r="M987" s="6" t="str">
        <f aca="false">IF($L987="","","R"&amp;$L987)</f>
        <v/>
      </c>
    </row>
    <row r="988" customFormat="false" ht="15" hidden="false" customHeight="false" outlineLevel="0" collapsed="false">
      <c r="K988" s="26" t="b">
        <f aca="false">IF(대여내역!$A985="",FALSE(),OR(대여내역!$L985="미반납",대여내역!$L985="부분반납"))</f>
        <v>0</v>
      </c>
      <c r="L988" s="6" t="str">
        <f aca="false">IF($K988=FALSE(),"",COUNTIF($K$6:$K988,TRUE()))</f>
        <v/>
      </c>
      <c r="M988" s="6" t="str">
        <f aca="false">IF($L988="","","R"&amp;$L988)</f>
        <v/>
      </c>
    </row>
    <row r="989" customFormat="false" ht="15" hidden="false" customHeight="false" outlineLevel="0" collapsed="false">
      <c r="K989" s="26" t="b">
        <f aca="false">IF(대여내역!$A986="",FALSE(),OR(대여내역!$L986="미반납",대여내역!$L986="부분반납"))</f>
        <v>0</v>
      </c>
      <c r="L989" s="6" t="str">
        <f aca="false">IF($K989=FALSE(),"",COUNTIF($K$6:$K989,TRUE()))</f>
        <v/>
      </c>
      <c r="M989" s="6" t="str">
        <f aca="false">IF($L989="","","R"&amp;$L989)</f>
        <v/>
      </c>
    </row>
    <row r="990" customFormat="false" ht="15" hidden="false" customHeight="false" outlineLevel="0" collapsed="false">
      <c r="K990" s="26" t="b">
        <f aca="false">IF(대여내역!$A987="",FALSE(),OR(대여내역!$L987="미반납",대여내역!$L987="부분반납"))</f>
        <v>0</v>
      </c>
      <c r="L990" s="6" t="str">
        <f aca="false">IF($K990=FALSE(),"",COUNTIF($K$6:$K990,TRUE()))</f>
        <v/>
      </c>
      <c r="M990" s="6" t="str">
        <f aca="false">IF($L990="","","R"&amp;$L990)</f>
        <v/>
      </c>
    </row>
    <row r="991" customFormat="false" ht="15" hidden="false" customHeight="false" outlineLevel="0" collapsed="false">
      <c r="K991" s="26" t="b">
        <f aca="false">IF(대여내역!$A988="",FALSE(),OR(대여내역!$L988="미반납",대여내역!$L988="부분반납"))</f>
        <v>0</v>
      </c>
      <c r="L991" s="6" t="str">
        <f aca="false">IF($K991=FALSE(),"",COUNTIF($K$6:$K991,TRUE()))</f>
        <v/>
      </c>
      <c r="M991" s="6" t="str">
        <f aca="false">IF($L991="","","R"&amp;$L991)</f>
        <v/>
      </c>
    </row>
    <row r="992" customFormat="false" ht="15" hidden="false" customHeight="false" outlineLevel="0" collapsed="false">
      <c r="K992" s="26" t="b">
        <f aca="false">IF(대여내역!$A989="",FALSE(),OR(대여내역!$L989="미반납",대여내역!$L989="부분반납"))</f>
        <v>0</v>
      </c>
      <c r="L992" s="6" t="str">
        <f aca="false">IF($K992=FALSE(),"",COUNTIF($K$6:$K992,TRUE()))</f>
        <v/>
      </c>
      <c r="M992" s="6" t="str">
        <f aca="false">IF($L992="","","R"&amp;$L992)</f>
        <v/>
      </c>
    </row>
    <row r="993" customFormat="false" ht="15" hidden="false" customHeight="false" outlineLevel="0" collapsed="false">
      <c r="K993" s="26" t="b">
        <f aca="false">IF(대여내역!$A990="",FALSE(),OR(대여내역!$L990="미반납",대여내역!$L990="부분반납"))</f>
        <v>0</v>
      </c>
      <c r="L993" s="6" t="str">
        <f aca="false">IF($K993=FALSE(),"",COUNTIF($K$6:$K993,TRUE()))</f>
        <v/>
      </c>
      <c r="M993" s="6" t="str">
        <f aca="false">IF($L993="","","R"&amp;$L993)</f>
        <v/>
      </c>
    </row>
    <row r="994" customFormat="false" ht="15" hidden="false" customHeight="false" outlineLevel="0" collapsed="false">
      <c r="K994" s="26" t="b">
        <f aca="false">IF(대여내역!$A991="",FALSE(),OR(대여내역!$L991="미반납",대여내역!$L991="부분반납"))</f>
        <v>0</v>
      </c>
      <c r="L994" s="6" t="str">
        <f aca="false">IF($K994=FALSE(),"",COUNTIF($K$6:$K994,TRUE()))</f>
        <v/>
      </c>
      <c r="M994" s="6" t="str">
        <f aca="false">IF($L994="","","R"&amp;$L994)</f>
        <v/>
      </c>
    </row>
    <row r="995" customFormat="false" ht="15" hidden="false" customHeight="false" outlineLevel="0" collapsed="false">
      <c r="K995" s="26" t="b">
        <f aca="false">IF(대여내역!$A992="",FALSE(),OR(대여내역!$L992="미반납",대여내역!$L992="부분반납"))</f>
        <v>0</v>
      </c>
      <c r="L995" s="6" t="str">
        <f aca="false">IF($K995=FALSE(),"",COUNTIF($K$6:$K995,TRUE()))</f>
        <v/>
      </c>
      <c r="M995" s="6" t="str">
        <f aca="false">IF($L995="","","R"&amp;$L995)</f>
        <v/>
      </c>
    </row>
    <row r="996" customFormat="false" ht="15" hidden="false" customHeight="false" outlineLevel="0" collapsed="false">
      <c r="K996" s="26" t="b">
        <f aca="false">IF(대여내역!$A993="",FALSE(),OR(대여내역!$L993="미반납",대여내역!$L993="부분반납"))</f>
        <v>0</v>
      </c>
      <c r="L996" s="6" t="str">
        <f aca="false">IF($K996=FALSE(),"",COUNTIF($K$6:$K996,TRUE()))</f>
        <v/>
      </c>
      <c r="M996" s="6" t="str">
        <f aca="false">IF($L996="","","R"&amp;$L996)</f>
        <v/>
      </c>
    </row>
    <row r="997" customFormat="false" ht="15" hidden="false" customHeight="false" outlineLevel="0" collapsed="false">
      <c r="K997" s="26" t="b">
        <f aca="false">IF(대여내역!$A994="",FALSE(),OR(대여내역!$L994="미반납",대여내역!$L994="부분반납"))</f>
        <v>0</v>
      </c>
      <c r="L997" s="6" t="str">
        <f aca="false">IF($K997=FALSE(),"",COUNTIF($K$6:$K997,TRUE()))</f>
        <v/>
      </c>
      <c r="M997" s="6" t="str">
        <f aca="false">IF($L997="","","R"&amp;$L997)</f>
        <v/>
      </c>
    </row>
    <row r="998" customFormat="false" ht="15" hidden="false" customHeight="false" outlineLevel="0" collapsed="false">
      <c r="K998" s="26" t="b">
        <f aca="false">IF(대여내역!$A995="",FALSE(),OR(대여내역!$L995="미반납",대여내역!$L995="부분반납"))</f>
        <v>0</v>
      </c>
      <c r="L998" s="6" t="str">
        <f aca="false">IF($K998=FALSE(),"",COUNTIF($K$6:$K998,TRUE()))</f>
        <v/>
      </c>
      <c r="M998" s="6" t="str">
        <f aca="false">IF($L998="","","R"&amp;$L998)</f>
        <v/>
      </c>
    </row>
    <row r="999" customFormat="false" ht="15" hidden="false" customHeight="false" outlineLevel="0" collapsed="false">
      <c r="K999" s="26" t="b">
        <f aca="false">IF(대여내역!$A996="",FALSE(),OR(대여내역!$L996="미반납",대여내역!$L996="부분반납"))</f>
        <v>0</v>
      </c>
      <c r="L999" s="6" t="str">
        <f aca="false">IF($K999=FALSE(),"",COUNTIF($K$6:$K999,TRUE()))</f>
        <v/>
      </c>
      <c r="M999" s="6" t="str">
        <f aca="false">IF($L999="","","R"&amp;$L999)</f>
        <v/>
      </c>
    </row>
    <row r="1000" customFormat="false" ht="15" hidden="false" customHeight="false" outlineLevel="0" collapsed="false">
      <c r="K1000" s="26" t="b">
        <f aca="false">IF(대여내역!$A997="",FALSE(),OR(대여내역!$L997="미반납",대여내역!$L997="부분반납"))</f>
        <v>0</v>
      </c>
      <c r="L1000" s="6" t="str">
        <f aca="false">IF($K1000=FALSE(),"",COUNTIF($K$6:$K1000,TRUE()))</f>
        <v/>
      </c>
      <c r="M1000" s="6" t="str">
        <f aca="false">IF($L1000="","","R"&amp;$L1000)</f>
        <v/>
      </c>
    </row>
    <row r="1001" customFormat="false" ht="15" hidden="false" customHeight="false" outlineLevel="0" collapsed="false">
      <c r="K1001" s="26" t="b">
        <f aca="false">IF(대여내역!$A998="",FALSE(),OR(대여내역!$L998="미반납",대여내역!$L998="부분반납"))</f>
        <v>0</v>
      </c>
      <c r="L1001" s="6" t="str">
        <f aca="false">IF($K1001=FALSE(),"",COUNTIF($K$6:$K1001,TRUE()))</f>
        <v/>
      </c>
      <c r="M1001" s="6" t="str">
        <f aca="false">IF($L1001="","","R"&amp;$L1001)</f>
        <v/>
      </c>
    </row>
    <row r="1002" customFormat="false" ht="15" hidden="false" customHeight="false" outlineLevel="0" collapsed="false">
      <c r="K1002" s="26" t="b">
        <f aca="false">IF(대여내역!$A999="",FALSE(),OR(대여내역!$L999="미반납",대여내역!$L999="부분반납"))</f>
        <v>0</v>
      </c>
      <c r="L1002" s="6" t="str">
        <f aca="false">IF($K1002=FALSE(),"",COUNTIF($K$6:$K1002,TRUE()))</f>
        <v/>
      </c>
      <c r="M1002" s="6" t="str">
        <f aca="false">IF($L1002="","","R"&amp;$L1002)</f>
        <v/>
      </c>
    </row>
    <row r="1003" customFormat="false" ht="15" hidden="false" customHeight="false" outlineLevel="0" collapsed="false">
      <c r="K1003" s="26" t="b">
        <f aca="false">IF(대여내역!$A1000="",FALSE(),OR(대여내역!$L1000="미반납",대여내역!$L1000="부분반납"))</f>
        <v>0</v>
      </c>
      <c r="L1003" s="6" t="str">
        <f aca="false">IF($K1003=FALSE(),"",COUNTIF($K$6:$K1003,TRUE()))</f>
        <v/>
      </c>
      <c r="M1003" s="6" t="str">
        <f aca="false">IF($L1003="","","R"&amp;$L1003)</f>
        <v/>
      </c>
    </row>
    <row r="1004" customFormat="false" ht="15" hidden="false" customHeight="false" outlineLevel="0" collapsed="false">
      <c r="K1004" s="26" t="b">
        <f aca="false">IF(대여내역!$A1001="",FALSE(),OR(대여내역!$L1001="미반납",대여내역!$L1001="부분반납"))</f>
        <v>0</v>
      </c>
      <c r="L1004" s="6" t="str">
        <f aca="false">IF($K1004=FALSE(),"",COUNTIF($K$6:$K1004,TRUE()))</f>
        <v/>
      </c>
      <c r="M1004" s="6" t="str">
        <f aca="false">IF($L1004="","","R"&amp;$L1004)</f>
        <v/>
      </c>
    </row>
    <row r="1005" customFormat="false" ht="15" hidden="false" customHeight="false" outlineLevel="0" collapsed="false">
      <c r="K1005" s="26" t="b">
        <f aca="false">IF(대여내역!$A1002="",FALSE(),OR(대여내역!$L1002="미반납",대여내역!$L1002="부분반납"))</f>
        <v>0</v>
      </c>
      <c r="L1005" s="6" t="str">
        <f aca="false">IF($K1005=FALSE(),"",COUNTIF($K$6:$K1005,TRUE()))</f>
        <v/>
      </c>
      <c r="M1005" s="6" t="str">
        <f aca="false">IF($L1005="","","R"&amp;$L1005)</f>
        <v/>
      </c>
    </row>
  </sheetData>
  <mergeCells count="1">
    <mergeCell ref="A1:I1"/>
  </mergeCells>
  <conditionalFormatting sqref="A6:I105">
    <cfRule type="expression" priority="2" aboveAverage="0" equalAverage="0" bottom="0" percent="0" rank="0" text="" dxfId="1">
      <formula>AND($I6&lt;&gt;"",$I6&gt;사용안내!$C$16)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8"/>
    <col collapsed="false" customWidth="true" hidden="false" outlineLevel="0" max="3" min="3" style="1" width="11"/>
    <col collapsed="false" customWidth="true" hidden="false" outlineLevel="0" max="7" min="4" style="1" width="13"/>
  </cols>
  <sheetData>
    <row r="1" customFormat="false" ht="25.5" hidden="false" customHeight="true" outlineLevel="0" collapsed="false">
      <c r="A1" s="2" t="s">
        <v>82</v>
      </c>
      <c r="B1" s="2"/>
      <c r="C1" s="2"/>
      <c r="D1" s="2"/>
      <c r="E1" s="2"/>
      <c r="F1" s="2"/>
      <c r="G1" s="2"/>
    </row>
    <row r="3" customFormat="false" ht="15" hidden="false" customHeight="false" outlineLevel="0" collapsed="false">
      <c r="A3" s="8" t="s">
        <v>39</v>
      </c>
      <c r="B3" s="8" t="s">
        <v>40</v>
      </c>
      <c r="C3" s="8" t="s">
        <v>42</v>
      </c>
      <c r="D3" s="8" t="s">
        <v>43</v>
      </c>
      <c r="E3" s="8" t="s">
        <v>83</v>
      </c>
      <c r="F3" s="8" t="s">
        <v>84</v>
      </c>
      <c r="G3" s="8" t="s">
        <v>85</v>
      </c>
    </row>
    <row r="4" customFormat="false" ht="15" hidden="false" customHeight="false" outlineLevel="0" collapsed="false">
      <c r="A4" s="18" t="str">
        <f aca="false">IF(품목목록!$A3="","",품목목록!$A3)</f>
        <v>S001</v>
      </c>
      <c r="B4" s="18" t="str">
        <f aca="false">IF($A4="","",품목목록!$B3)</f>
        <v>원단 샘플북 A</v>
      </c>
      <c r="C4" s="18" t="str">
        <f aca="false">IF($A4="","",품목목록!$D3)</f>
        <v>권</v>
      </c>
      <c r="D4" s="24" t="n">
        <f aca="false">IF($A4="","",IF(품목목록!$E3="",0,품목목록!$E3))</f>
        <v>10</v>
      </c>
      <c r="E4" s="24" t="n">
        <f aca="false">IF($A4="","",SUMIFS(대여내역!$J$3:$J$1002,대여내역!$D$3:$D$1002,$A4,대여내역!$J$3:$J$1002,"&gt;0"))</f>
        <v>2</v>
      </c>
      <c r="F4" s="24" t="n">
        <f aca="false">IF($A4="","",SUMIFS(대여내역!$G$3:$G$1002,대여내역!$D$3:$D$1002,$A4))</f>
        <v>5</v>
      </c>
      <c r="G4" s="24" t="n">
        <f aca="false">IF($A4="","",SUMIFS(대여내역!$I$3:$I$1002,대여내역!$D$3:$D$1002,$A4))</f>
        <v>3</v>
      </c>
    </row>
    <row r="5" customFormat="false" ht="15" hidden="false" customHeight="false" outlineLevel="0" collapsed="false">
      <c r="A5" s="18" t="str">
        <f aca="false">IF(품목목록!$A4="","",품목목록!$A4)</f>
        <v>S002</v>
      </c>
      <c r="B5" s="18" t="str">
        <f aca="false">IF($A5="","",품목목록!$B4)</f>
        <v>컬러칩 세트</v>
      </c>
      <c r="C5" s="18" t="str">
        <f aca="false">IF($A5="","",품목목록!$D4)</f>
        <v>세트</v>
      </c>
      <c r="D5" s="24" t="n">
        <f aca="false">IF($A5="","",IF(품목목록!$E4="",0,품목목록!$E4))</f>
        <v>5</v>
      </c>
      <c r="E5" s="24" t="n">
        <f aca="false">IF($A5="","",SUMIFS(대여내역!$J$3:$J$1002,대여내역!$D$3:$D$1002,$A5,대여내역!$J$3:$J$1002,"&gt;0"))</f>
        <v>2</v>
      </c>
      <c r="F5" s="24" t="n">
        <f aca="false">IF($A5="","",SUMIFS(대여내역!$G$3:$G$1002,대여내역!$D$3:$D$1002,$A5))</f>
        <v>2</v>
      </c>
      <c r="G5" s="24" t="n">
        <f aca="false">IF($A5="","",SUMIFS(대여내역!$I$3:$I$1002,대여내역!$D$3:$D$1002,$A5))</f>
        <v>0</v>
      </c>
    </row>
    <row r="6" customFormat="false" ht="15" hidden="false" customHeight="false" outlineLevel="0" collapsed="false">
      <c r="A6" s="18" t="str">
        <f aca="false">IF(품목목록!$A5="","",품목목록!$A5)</f>
        <v>S003</v>
      </c>
      <c r="B6" s="18" t="str">
        <f aca="false">IF($A6="","",품목목록!$B5)</f>
        <v>시연용 노트북</v>
      </c>
      <c r="C6" s="18" t="str">
        <f aca="false">IF($A6="","",품목목록!$D5)</f>
        <v>대</v>
      </c>
      <c r="D6" s="24" t="n">
        <f aca="false">IF($A6="","",IF(품목목록!$E5="",0,품목목록!$E5))</f>
        <v>3</v>
      </c>
      <c r="E6" s="24" t="n">
        <f aca="false">IF($A6="","",SUMIFS(대여내역!$J$3:$J$1002,대여내역!$D$3:$D$1002,$A6,대여내역!$J$3:$J$1002,"&gt;0"))</f>
        <v>0</v>
      </c>
      <c r="F6" s="24" t="n">
        <f aca="false">IF($A6="","",SUMIFS(대여내역!$G$3:$G$1002,대여내역!$D$3:$D$1002,$A6))</f>
        <v>1</v>
      </c>
      <c r="G6" s="24" t="n">
        <f aca="false">IF($A6="","",SUMIFS(대여내역!$I$3:$I$1002,대여내역!$D$3:$D$1002,$A6))</f>
        <v>1</v>
      </c>
    </row>
    <row r="7" customFormat="false" ht="15" hidden="false" customHeight="false" outlineLevel="0" collapsed="false">
      <c r="A7" s="18" t="str">
        <f aca="false">IF(품목목록!$A6="","",품목목록!$A6)</f>
        <v/>
      </c>
      <c r="B7" s="18" t="str">
        <f aca="false">IF($A7="","",품목목록!$B6)</f>
        <v/>
      </c>
      <c r="C7" s="18" t="str">
        <f aca="false">IF($A7="","",품목목록!$D6)</f>
        <v/>
      </c>
      <c r="D7" s="24" t="str">
        <f aca="false">IF($A7="","",IF(품목목록!$E6="",0,품목목록!$E6))</f>
        <v/>
      </c>
      <c r="E7" s="24" t="str">
        <f aca="false">IF($A7="","",SUMIFS(대여내역!$J$3:$J$1002,대여내역!$D$3:$D$1002,$A7,대여내역!$J$3:$J$1002,"&gt;0"))</f>
        <v/>
      </c>
      <c r="F7" s="24" t="str">
        <f aca="false">IF($A7="","",SUMIFS(대여내역!$G$3:$G$1002,대여내역!$D$3:$D$1002,$A7))</f>
        <v/>
      </c>
      <c r="G7" s="24" t="str">
        <f aca="false">IF($A7="","",SUMIFS(대여내역!$I$3:$I$1002,대여내역!$D$3:$D$1002,$A7))</f>
        <v/>
      </c>
    </row>
    <row r="8" customFormat="false" ht="15" hidden="false" customHeight="false" outlineLevel="0" collapsed="false">
      <c r="A8" s="18" t="str">
        <f aca="false">IF(품목목록!$A7="","",품목목록!$A7)</f>
        <v/>
      </c>
      <c r="B8" s="18" t="str">
        <f aca="false">IF($A8="","",품목목록!$B7)</f>
        <v/>
      </c>
      <c r="C8" s="18" t="str">
        <f aca="false">IF($A8="","",품목목록!$D7)</f>
        <v/>
      </c>
      <c r="D8" s="24" t="str">
        <f aca="false">IF($A8="","",IF(품목목록!$E7="",0,품목목록!$E7))</f>
        <v/>
      </c>
      <c r="E8" s="24" t="str">
        <f aca="false">IF($A8="","",SUMIFS(대여내역!$J$3:$J$1002,대여내역!$D$3:$D$1002,$A8,대여내역!$J$3:$J$1002,"&gt;0"))</f>
        <v/>
      </c>
      <c r="F8" s="24" t="str">
        <f aca="false">IF($A8="","",SUMIFS(대여내역!$G$3:$G$1002,대여내역!$D$3:$D$1002,$A8))</f>
        <v/>
      </c>
      <c r="G8" s="24" t="str">
        <f aca="false">IF($A8="","",SUMIFS(대여내역!$I$3:$I$1002,대여내역!$D$3:$D$1002,$A8))</f>
        <v/>
      </c>
    </row>
    <row r="9" customFormat="false" ht="15" hidden="false" customHeight="false" outlineLevel="0" collapsed="false">
      <c r="A9" s="18" t="str">
        <f aca="false">IF(품목목록!$A8="","",품목목록!$A8)</f>
        <v/>
      </c>
      <c r="B9" s="18" t="str">
        <f aca="false">IF($A9="","",품목목록!$B8)</f>
        <v/>
      </c>
      <c r="C9" s="18" t="str">
        <f aca="false">IF($A9="","",품목목록!$D8)</f>
        <v/>
      </c>
      <c r="D9" s="24" t="str">
        <f aca="false">IF($A9="","",IF(품목목록!$E8="",0,품목목록!$E8))</f>
        <v/>
      </c>
      <c r="E9" s="24" t="str">
        <f aca="false">IF($A9="","",SUMIFS(대여내역!$J$3:$J$1002,대여내역!$D$3:$D$1002,$A9,대여내역!$J$3:$J$1002,"&gt;0"))</f>
        <v/>
      </c>
      <c r="F9" s="24" t="str">
        <f aca="false">IF($A9="","",SUMIFS(대여내역!$G$3:$G$1002,대여내역!$D$3:$D$1002,$A9))</f>
        <v/>
      </c>
      <c r="G9" s="24" t="str">
        <f aca="false">IF($A9="","",SUMIFS(대여내역!$I$3:$I$1002,대여내역!$D$3:$D$1002,$A9))</f>
        <v/>
      </c>
    </row>
    <row r="10" customFormat="false" ht="15" hidden="false" customHeight="false" outlineLevel="0" collapsed="false">
      <c r="A10" s="18" t="str">
        <f aca="false">IF(품목목록!$A9="","",품목목록!$A9)</f>
        <v/>
      </c>
      <c r="B10" s="18" t="str">
        <f aca="false">IF($A10="","",품목목록!$B9)</f>
        <v/>
      </c>
      <c r="C10" s="18" t="str">
        <f aca="false">IF($A10="","",품목목록!$D9)</f>
        <v/>
      </c>
      <c r="D10" s="24" t="str">
        <f aca="false">IF($A10="","",IF(품목목록!$E9="",0,품목목록!$E9))</f>
        <v/>
      </c>
      <c r="E10" s="24" t="str">
        <f aca="false">IF($A10="","",SUMIFS(대여내역!$J$3:$J$1002,대여내역!$D$3:$D$1002,$A10,대여내역!$J$3:$J$1002,"&gt;0"))</f>
        <v/>
      </c>
      <c r="F10" s="24" t="str">
        <f aca="false">IF($A10="","",SUMIFS(대여내역!$G$3:$G$1002,대여내역!$D$3:$D$1002,$A10))</f>
        <v/>
      </c>
      <c r="G10" s="24" t="str">
        <f aca="false">IF($A10="","",SUMIFS(대여내역!$I$3:$I$1002,대여내역!$D$3:$D$1002,$A10))</f>
        <v/>
      </c>
    </row>
    <row r="11" customFormat="false" ht="15" hidden="false" customHeight="false" outlineLevel="0" collapsed="false">
      <c r="A11" s="18" t="str">
        <f aca="false">IF(품목목록!$A10="","",품목목록!$A10)</f>
        <v/>
      </c>
      <c r="B11" s="18" t="str">
        <f aca="false">IF($A11="","",품목목록!$B10)</f>
        <v/>
      </c>
      <c r="C11" s="18" t="str">
        <f aca="false">IF($A11="","",품목목록!$D10)</f>
        <v/>
      </c>
      <c r="D11" s="24" t="str">
        <f aca="false">IF($A11="","",IF(품목목록!$E10="",0,품목목록!$E10))</f>
        <v/>
      </c>
      <c r="E11" s="24" t="str">
        <f aca="false">IF($A11="","",SUMIFS(대여내역!$J$3:$J$1002,대여내역!$D$3:$D$1002,$A11,대여내역!$J$3:$J$1002,"&gt;0"))</f>
        <v/>
      </c>
      <c r="F11" s="24" t="str">
        <f aca="false">IF($A11="","",SUMIFS(대여내역!$G$3:$G$1002,대여내역!$D$3:$D$1002,$A11))</f>
        <v/>
      </c>
      <c r="G11" s="24" t="str">
        <f aca="false">IF($A11="","",SUMIFS(대여내역!$I$3:$I$1002,대여내역!$D$3:$D$1002,$A11))</f>
        <v/>
      </c>
    </row>
    <row r="12" customFormat="false" ht="15" hidden="false" customHeight="false" outlineLevel="0" collapsed="false">
      <c r="A12" s="18" t="str">
        <f aca="false">IF(품목목록!$A11="","",품목목록!$A11)</f>
        <v/>
      </c>
      <c r="B12" s="18" t="str">
        <f aca="false">IF($A12="","",품목목록!$B11)</f>
        <v/>
      </c>
      <c r="C12" s="18" t="str">
        <f aca="false">IF($A12="","",품목목록!$D11)</f>
        <v/>
      </c>
      <c r="D12" s="24" t="str">
        <f aca="false">IF($A12="","",IF(품목목록!$E11="",0,품목목록!$E11))</f>
        <v/>
      </c>
      <c r="E12" s="24" t="str">
        <f aca="false">IF($A12="","",SUMIFS(대여내역!$J$3:$J$1002,대여내역!$D$3:$D$1002,$A12,대여내역!$J$3:$J$1002,"&gt;0"))</f>
        <v/>
      </c>
      <c r="F12" s="24" t="str">
        <f aca="false">IF($A12="","",SUMIFS(대여내역!$G$3:$G$1002,대여내역!$D$3:$D$1002,$A12))</f>
        <v/>
      </c>
      <c r="G12" s="24" t="str">
        <f aca="false">IF($A12="","",SUMIFS(대여내역!$I$3:$I$1002,대여내역!$D$3:$D$1002,$A12))</f>
        <v/>
      </c>
    </row>
    <row r="13" customFormat="false" ht="15" hidden="false" customHeight="false" outlineLevel="0" collapsed="false">
      <c r="A13" s="18" t="str">
        <f aca="false">IF(품목목록!$A12="","",품목목록!$A12)</f>
        <v/>
      </c>
      <c r="B13" s="18" t="str">
        <f aca="false">IF($A13="","",품목목록!$B12)</f>
        <v/>
      </c>
      <c r="C13" s="18" t="str">
        <f aca="false">IF($A13="","",품목목록!$D12)</f>
        <v/>
      </c>
      <c r="D13" s="24" t="str">
        <f aca="false">IF($A13="","",IF(품목목록!$E12="",0,품목목록!$E12))</f>
        <v/>
      </c>
      <c r="E13" s="24" t="str">
        <f aca="false">IF($A13="","",SUMIFS(대여내역!$J$3:$J$1002,대여내역!$D$3:$D$1002,$A13,대여내역!$J$3:$J$1002,"&gt;0"))</f>
        <v/>
      </c>
      <c r="F13" s="24" t="str">
        <f aca="false">IF($A13="","",SUMIFS(대여내역!$G$3:$G$1002,대여내역!$D$3:$D$1002,$A13))</f>
        <v/>
      </c>
      <c r="G13" s="24" t="str">
        <f aca="false">IF($A13="","",SUMIFS(대여내역!$I$3:$I$1002,대여내역!$D$3:$D$1002,$A13))</f>
        <v/>
      </c>
    </row>
    <row r="14" customFormat="false" ht="15" hidden="false" customHeight="false" outlineLevel="0" collapsed="false">
      <c r="A14" s="18" t="str">
        <f aca="false">IF(품목목록!$A13="","",품목목록!$A13)</f>
        <v/>
      </c>
      <c r="B14" s="18" t="str">
        <f aca="false">IF($A14="","",품목목록!$B13)</f>
        <v/>
      </c>
      <c r="C14" s="18" t="str">
        <f aca="false">IF($A14="","",품목목록!$D13)</f>
        <v/>
      </c>
      <c r="D14" s="24" t="str">
        <f aca="false">IF($A14="","",IF(품목목록!$E13="",0,품목목록!$E13))</f>
        <v/>
      </c>
      <c r="E14" s="24" t="str">
        <f aca="false">IF($A14="","",SUMIFS(대여내역!$J$3:$J$1002,대여내역!$D$3:$D$1002,$A14,대여내역!$J$3:$J$1002,"&gt;0"))</f>
        <v/>
      </c>
      <c r="F14" s="24" t="str">
        <f aca="false">IF($A14="","",SUMIFS(대여내역!$G$3:$G$1002,대여내역!$D$3:$D$1002,$A14))</f>
        <v/>
      </c>
      <c r="G14" s="24" t="str">
        <f aca="false">IF($A14="","",SUMIFS(대여내역!$I$3:$I$1002,대여내역!$D$3:$D$1002,$A14))</f>
        <v/>
      </c>
    </row>
    <row r="15" customFormat="false" ht="15" hidden="false" customHeight="false" outlineLevel="0" collapsed="false">
      <c r="A15" s="18" t="str">
        <f aca="false">IF(품목목록!$A14="","",품목목록!$A14)</f>
        <v/>
      </c>
      <c r="B15" s="18" t="str">
        <f aca="false">IF($A15="","",품목목록!$B14)</f>
        <v/>
      </c>
      <c r="C15" s="18" t="str">
        <f aca="false">IF($A15="","",품목목록!$D14)</f>
        <v/>
      </c>
      <c r="D15" s="24" t="str">
        <f aca="false">IF($A15="","",IF(품목목록!$E14="",0,품목목록!$E14))</f>
        <v/>
      </c>
      <c r="E15" s="24" t="str">
        <f aca="false">IF($A15="","",SUMIFS(대여내역!$J$3:$J$1002,대여내역!$D$3:$D$1002,$A15,대여내역!$J$3:$J$1002,"&gt;0"))</f>
        <v/>
      </c>
      <c r="F15" s="24" t="str">
        <f aca="false">IF($A15="","",SUMIFS(대여내역!$G$3:$G$1002,대여내역!$D$3:$D$1002,$A15))</f>
        <v/>
      </c>
      <c r="G15" s="24" t="str">
        <f aca="false">IF($A15="","",SUMIFS(대여내역!$I$3:$I$1002,대여내역!$D$3:$D$1002,$A15))</f>
        <v/>
      </c>
    </row>
    <row r="16" customFormat="false" ht="15" hidden="false" customHeight="false" outlineLevel="0" collapsed="false">
      <c r="A16" s="18" t="str">
        <f aca="false">IF(품목목록!$A15="","",품목목록!$A15)</f>
        <v/>
      </c>
      <c r="B16" s="18" t="str">
        <f aca="false">IF($A16="","",품목목록!$B15)</f>
        <v/>
      </c>
      <c r="C16" s="18" t="str">
        <f aca="false">IF($A16="","",품목목록!$D15)</f>
        <v/>
      </c>
      <c r="D16" s="24" t="str">
        <f aca="false">IF($A16="","",IF(품목목록!$E15="",0,품목목록!$E15))</f>
        <v/>
      </c>
      <c r="E16" s="24" t="str">
        <f aca="false">IF($A16="","",SUMIFS(대여내역!$J$3:$J$1002,대여내역!$D$3:$D$1002,$A16,대여내역!$J$3:$J$1002,"&gt;0"))</f>
        <v/>
      </c>
      <c r="F16" s="24" t="str">
        <f aca="false">IF($A16="","",SUMIFS(대여내역!$G$3:$G$1002,대여내역!$D$3:$D$1002,$A16))</f>
        <v/>
      </c>
      <c r="G16" s="24" t="str">
        <f aca="false">IF($A16="","",SUMIFS(대여내역!$I$3:$I$1002,대여내역!$D$3:$D$1002,$A16))</f>
        <v/>
      </c>
    </row>
    <row r="17" customFormat="false" ht="15" hidden="false" customHeight="false" outlineLevel="0" collapsed="false">
      <c r="A17" s="18" t="str">
        <f aca="false">IF(품목목록!$A16="","",품목목록!$A16)</f>
        <v/>
      </c>
      <c r="B17" s="18" t="str">
        <f aca="false">IF($A17="","",품목목록!$B16)</f>
        <v/>
      </c>
      <c r="C17" s="18" t="str">
        <f aca="false">IF($A17="","",품목목록!$D16)</f>
        <v/>
      </c>
      <c r="D17" s="24" t="str">
        <f aca="false">IF($A17="","",IF(품목목록!$E16="",0,품목목록!$E16))</f>
        <v/>
      </c>
      <c r="E17" s="24" t="str">
        <f aca="false">IF($A17="","",SUMIFS(대여내역!$J$3:$J$1002,대여내역!$D$3:$D$1002,$A17,대여내역!$J$3:$J$1002,"&gt;0"))</f>
        <v/>
      </c>
      <c r="F17" s="24" t="str">
        <f aca="false">IF($A17="","",SUMIFS(대여내역!$G$3:$G$1002,대여내역!$D$3:$D$1002,$A17))</f>
        <v/>
      </c>
      <c r="G17" s="24" t="str">
        <f aca="false">IF($A17="","",SUMIFS(대여내역!$I$3:$I$1002,대여내역!$D$3:$D$1002,$A17))</f>
        <v/>
      </c>
    </row>
    <row r="18" customFormat="false" ht="15" hidden="false" customHeight="false" outlineLevel="0" collapsed="false">
      <c r="A18" s="18" t="str">
        <f aca="false">IF(품목목록!$A17="","",품목목록!$A17)</f>
        <v/>
      </c>
      <c r="B18" s="18" t="str">
        <f aca="false">IF($A18="","",품목목록!$B17)</f>
        <v/>
      </c>
      <c r="C18" s="18" t="str">
        <f aca="false">IF($A18="","",품목목록!$D17)</f>
        <v/>
      </c>
      <c r="D18" s="24" t="str">
        <f aca="false">IF($A18="","",IF(품목목록!$E17="",0,품목목록!$E17))</f>
        <v/>
      </c>
      <c r="E18" s="24" t="str">
        <f aca="false">IF($A18="","",SUMIFS(대여내역!$J$3:$J$1002,대여내역!$D$3:$D$1002,$A18,대여내역!$J$3:$J$1002,"&gt;0"))</f>
        <v/>
      </c>
      <c r="F18" s="24" t="str">
        <f aca="false">IF($A18="","",SUMIFS(대여내역!$G$3:$G$1002,대여내역!$D$3:$D$1002,$A18))</f>
        <v/>
      </c>
      <c r="G18" s="24" t="str">
        <f aca="false">IF($A18="","",SUMIFS(대여내역!$I$3:$I$1002,대여내역!$D$3:$D$1002,$A18))</f>
        <v/>
      </c>
    </row>
    <row r="19" customFormat="false" ht="15" hidden="false" customHeight="false" outlineLevel="0" collapsed="false">
      <c r="A19" s="18" t="str">
        <f aca="false">IF(품목목록!$A18="","",품목목록!$A18)</f>
        <v/>
      </c>
      <c r="B19" s="18" t="str">
        <f aca="false">IF($A19="","",품목목록!$B18)</f>
        <v/>
      </c>
      <c r="C19" s="18" t="str">
        <f aca="false">IF($A19="","",품목목록!$D18)</f>
        <v/>
      </c>
      <c r="D19" s="24" t="str">
        <f aca="false">IF($A19="","",IF(품목목록!$E18="",0,품목목록!$E18))</f>
        <v/>
      </c>
      <c r="E19" s="24" t="str">
        <f aca="false">IF($A19="","",SUMIFS(대여내역!$J$3:$J$1002,대여내역!$D$3:$D$1002,$A19,대여내역!$J$3:$J$1002,"&gt;0"))</f>
        <v/>
      </c>
      <c r="F19" s="24" t="str">
        <f aca="false">IF($A19="","",SUMIFS(대여내역!$G$3:$G$1002,대여내역!$D$3:$D$1002,$A19))</f>
        <v/>
      </c>
      <c r="G19" s="24" t="str">
        <f aca="false">IF($A19="","",SUMIFS(대여내역!$I$3:$I$1002,대여내역!$D$3:$D$1002,$A19))</f>
        <v/>
      </c>
    </row>
    <row r="20" customFormat="false" ht="15" hidden="false" customHeight="false" outlineLevel="0" collapsed="false">
      <c r="A20" s="18" t="str">
        <f aca="false">IF(품목목록!$A19="","",품목목록!$A19)</f>
        <v/>
      </c>
      <c r="B20" s="18" t="str">
        <f aca="false">IF($A20="","",품목목록!$B19)</f>
        <v/>
      </c>
      <c r="C20" s="18" t="str">
        <f aca="false">IF($A20="","",품목목록!$D19)</f>
        <v/>
      </c>
      <c r="D20" s="24" t="str">
        <f aca="false">IF($A20="","",IF(품목목록!$E19="",0,품목목록!$E19))</f>
        <v/>
      </c>
      <c r="E20" s="24" t="str">
        <f aca="false">IF($A20="","",SUMIFS(대여내역!$J$3:$J$1002,대여내역!$D$3:$D$1002,$A20,대여내역!$J$3:$J$1002,"&gt;0"))</f>
        <v/>
      </c>
      <c r="F20" s="24" t="str">
        <f aca="false">IF($A20="","",SUMIFS(대여내역!$G$3:$G$1002,대여내역!$D$3:$D$1002,$A20))</f>
        <v/>
      </c>
      <c r="G20" s="24" t="str">
        <f aca="false">IF($A20="","",SUMIFS(대여내역!$I$3:$I$1002,대여내역!$D$3:$D$1002,$A20))</f>
        <v/>
      </c>
    </row>
    <row r="21" customFormat="false" ht="15" hidden="false" customHeight="false" outlineLevel="0" collapsed="false">
      <c r="A21" s="18" t="str">
        <f aca="false">IF(품목목록!$A20="","",품목목록!$A20)</f>
        <v/>
      </c>
      <c r="B21" s="18" t="str">
        <f aca="false">IF($A21="","",품목목록!$B20)</f>
        <v/>
      </c>
      <c r="C21" s="18" t="str">
        <f aca="false">IF($A21="","",품목목록!$D20)</f>
        <v/>
      </c>
      <c r="D21" s="24" t="str">
        <f aca="false">IF($A21="","",IF(품목목록!$E20="",0,품목목록!$E20))</f>
        <v/>
      </c>
      <c r="E21" s="24" t="str">
        <f aca="false">IF($A21="","",SUMIFS(대여내역!$J$3:$J$1002,대여내역!$D$3:$D$1002,$A21,대여내역!$J$3:$J$1002,"&gt;0"))</f>
        <v/>
      </c>
      <c r="F21" s="24" t="str">
        <f aca="false">IF($A21="","",SUMIFS(대여내역!$G$3:$G$1002,대여내역!$D$3:$D$1002,$A21))</f>
        <v/>
      </c>
      <c r="G21" s="24" t="str">
        <f aca="false">IF($A21="","",SUMIFS(대여내역!$I$3:$I$1002,대여내역!$D$3:$D$1002,$A21))</f>
        <v/>
      </c>
    </row>
    <row r="22" customFormat="false" ht="15" hidden="false" customHeight="false" outlineLevel="0" collapsed="false">
      <c r="A22" s="18" t="str">
        <f aca="false">IF(품목목록!$A21="","",품목목록!$A21)</f>
        <v/>
      </c>
      <c r="B22" s="18" t="str">
        <f aca="false">IF($A22="","",품목목록!$B21)</f>
        <v/>
      </c>
      <c r="C22" s="18" t="str">
        <f aca="false">IF($A22="","",품목목록!$D21)</f>
        <v/>
      </c>
      <c r="D22" s="24" t="str">
        <f aca="false">IF($A22="","",IF(품목목록!$E21="",0,품목목록!$E21))</f>
        <v/>
      </c>
      <c r="E22" s="24" t="str">
        <f aca="false">IF($A22="","",SUMIFS(대여내역!$J$3:$J$1002,대여내역!$D$3:$D$1002,$A22,대여내역!$J$3:$J$1002,"&gt;0"))</f>
        <v/>
      </c>
      <c r="F22" s="24" t="str">
        <f aca="false">IF($A22="","",SUMIFS(대여내역!$G$3:$G$1002,대여내역!$D$3:$D$1002,$A22))</f>
        <v/>
      </c>
      <c r="G22" s="24" t="str">
        <f aca="false">IF($A22="","",SUMIFS(대여내역!$I$3:$I$1002,대여내역!$D$3:$D$1002,$A22))</f>
        <v/>
      </c>
    </row>
    <row r="23" customFormat="false" ht="15" hidden="false" customHeight="false" outlineLevel="0" collapsed="false">
      <c r="A23" s="18" t="str">
        <f aca="false">IF(품목목록!$A22="","",품목목록!$A22)</f>
        <v/>
      </c>
      <c r="B23" s="18" t="str">
        <f aca="false">IF($A23="","",품목목록!$B22)</f>
        <v/>
      </c>
      <c r="C23" s="18" t="str">
        <f aca="false">IF($A23="","",품목목록!$D22)</f>
        <v/>
      </c>
      <c r="D23" s="24" t="str">
        <f aca="false">IF($A23="","",IF(품목목록!$E22="",0,품목목록!$E22))</f>
        <v/>
      </c>
      <c r="E23" s="24" t="str">
        <f aca="false">IF($A23="","",SUMIFS(대여내역!$J$3:$J$1002,대여내역!$D$3:$D$1002,$A23,대여내역!$J$3:$J$1002,"&gt;0"))</f>
        <v/>
      </c>
      <c r="F23" s="24" t="str">
        <f aca="false">IF($A23="","",SUMIFS(대여내역!$G$3:$G$1002,대여내역!$D$3:$D$1002,$A23))</f>
        <v/>
      </c>
      <c r="G23" s="24" t="str">
        <f aca="false">IF($A23="","",SUMIFS(대여내역!$I$3:$I$1002,대여내역!$D$3:$D$1002,$A23))</f>
        <v/>
      </c>
    </row>
    <row r="24" customFormat="false" ht="15" hidden="false" customHeight="false" outlineLevel="0" collapsed="false">
      <c r="A24" s="18" t="str">
        <f aca="false">IF(품목목록!$A23="","",품목목록!$A23)</f>
        <v/>
      </c>
      <c r="B24" s="18" t="str">
        <f aca="false">IF($A24="","",품목목록!$B23)</f>
        <v/>
      </c>
      <c r="C24" s="18" t="str">
        <f aca="false">IF($A24="","",품목목록!$D23)</f>
        <v/>
      </c>
      <c r="D24" s="24" t="str">
        <f aca="false">IF($A24="","",IF(품목목록!$E23="",0,품목목록!$E23))</f>
        <v/>
      </c>
      <c r="E24" s="24" t="str">
        <f aca="false">IF($A24="","",SUMIFS(대여내역!$J$3:$J$1002,대여내역!$D$3:$D$1002,$A24,대여내역!$J$3:$J$1002,"&gt;0"))</f>
        <v/>
      </c>
      <c r="F24" s="24" t="str">
        <f aca="false">IF($A24="","",SUMIFS(대여내역!$G$3:$G$1002,대여내역!$D$3:$D$1002,$A24))</f>
        <v/>
      </c>
      <c r="G24" s="24" t="str">
        <f aca="false">IF($A24="","",SUMIFS(대여내역!$I$3:$I$1002,대여내역!$D$3:$D$1002,$A24))</f>
        <v/>
      </c>
    </row>
    <row r="25" customFormat="false" ht="15" hidden="false" customHeight="false" outlineLevel="0" collapsed="false">
      <c r="A25" s="18" t="str">
        <f aca="false">IF(품목목록!$A24="","",품목목록!$A24)</f>
        <v/>
      </c>
      <c r="B25" s="18" t="str">
        <f aca="false">IF($A25="","",품목목록!$B24)</f>
        <v/>
      </c>
      <c r="C25" s="18" t="str">
        <f aca="false">IF($A25="","",품목목록!$D24)</f>
        <v/>
      </c>
      <c r="D25" s="24" t="str">
        <f aca="false">IF($A25="","",IF(품목목록!$E24="",0,품목목록!$E24))</f>
        <v/>
      </c>
      <c r="E25" s="24" t="str">
        <f aca="false">IF($A25="","",SUMIFS(대여내역!$J$3:$J$1002,대여내역!$D$3:$D$1002,$A25,대여내역!$J$3:$J$1002,"&gt;0"))</f>
        <v/>
      </c>
      <c r="F25" s="24" t="str">
        <f aca="false">IF($A25="","",SUMIFS(대여내역!$G$3:$G$1002,대여내역!$D$3:$D$1002,$A25))</f>
        <v/>
      </c>
      <c r="G25" s="24" t="str">
        <f aca="false">IF($A25="","",SUMIFS(대여내역!$I$3:$I$1002,대여내역!$D$3:$D$1002,$A25))</f>
        <v/>
      </c>
    </row>
    <row r="26" customFormat="false" ht="15" hidden="false" customHeight="false" outlineLevel="0" collapsed="false">
      <c r="A26" s="18" t="str">
        <f aca="false">IF(품목목록!$A25="","",품목목록!$A25)</f>
        <v/>
      </c>
      <c r="B26" s="18" t="str">
        <f aca="false">IF($A26="","",품목목록!$B25)</f>
        <v/>
      </c>
      <c r="C26" s="18" t="str">
        <f aca="false">IF($A26="","",품목목록!$D25)</f>
        <v/>
      </c>
      <c r="D26" s="24" t="str">
        <f aca="false">IF($A26="","",IF(품목목록!$E25="",0,품목목록!$E25))</f>
        <v/>
      </c>
      <c r="E26" s="24" t="str">
        <f aca="false">IF($A26="","",SUMIFS(대여내역!$J$3:$J$1002,대여내역!$D$3:$D$1002,$A26,대여내역!$J$3:$J$1002,"&gt;0"))</f>
        <v/>
      </c>
      <c r="F26" s="24" t="str">
        <f aca="false">IF($A26="","",SUMIFS(대여내역!$G$3:$G$1002,대여내역!$D$3:$D$1002,$A26))</f>
        <v/>
      </c>
      <c r="G26" s="24" t="str">
        <f aca="false">IF($A26="","",SUMIFS(대여내역!$I$3:$I$1002,대여내역!$D$3:$D$1002,$A26))</f>
        <v/>
      </c>
    </row>
    <row r="27" customFormat="false" ht="15" hidden="false" customHeight="false" outlineLevel="0" collapsed="false">
      <c r="A27" s="18" t="str">
        <f aca="false">IF(품목목록!$A26="","",품목목록!$A26)</f>
        <v/>
      </c>
      <c r="B27" s="18" t="str">
        <f aca="false">IF($A27="","",품목목록!$B26)</f>
        <v/>
      </c>
      <c r="C27" s="18" t="str">
        <f aca="false">IF($A27="","",품목목록!$D26)</f>
        <v/>
      </c>
      <c r="D27" s="24" t="str">
        <f aca="false">IF($A27="","",IF(품목목록!$E26="",0,품목목록!$E26))</f>
        <v/>
      </c>
      <c r="E27" s="24" t="str">
        <f aca="false">IF($A27="","",SUMIFS(대여내역!$J$3:$J$1002,대여내역!$D$3:$D$1002,$A27,대여내역!$J$3:$J$1002,"&gt;0"))</f>
        <v/>
      </c>
      <c r="F27" s="24" t="str">
        <f aca="false">IF($A27="","",SUMIFS(대여내역!$G$3:$G$1002,대여내역!$D$3:$D$1002,$A27))</f>
        <v/>
      </c>
      <c r="G27" s="24" t="str">
        <f aca="false">IF($A27="","",SUMIFS(대여내역!$I$3:$I$1002,대여내역!$D$3:$D$1002,$A27))</f>
        <v/>
      </c>
    </row>
    <row r="28" customFormat="false" ht="15" hidden="false" customHeight="false" outlineLevel="0" collapsed="false">
      <c r="A28" s="18" t="str">
        <f aca="false">IF(품목목록!$A27="","",품목목록!$A27)</f>
        <v/>
      </c>
      <c r="B28" s="18" t="str">
        <f aca="false">IF($A28="","",품목목록!$B27)</f>
        <v/>
      </c>
      <c r="C28" s="18" t="str">
        <f aca="false">IF($A28="","",품목목록!$D27)</f>
        <v/>
      </c>
      <c r="D28" s="24" t="str">
        <f aca="false">IF($A28="","",IF(품목목록!$E27="",0,품목목록!$E27))</f>
        <v/>
      </c>
      <c r="E28" s="24" t="str">
        <f aca="false">IF($A28="","",SUMIFS(대여내역!$J$3:$J$1002,대여내역!$D$3:$D$1002,$A28,대여내역!$J$3:$J$1002,"&gt;0"))</f>
        <v/>
      </c>
      <c r="F28" s="24" t="str">
        <f aca="false">IF($A28="","",SUMIFS(대여내역!$G$3:$G$1002,대여내역!$D$3:$D$1002,$A28))</f>
        <v/>
      </c>
      <c r="G28" s="24" t="str">
        <f aca="false">IF($A28="","",SUMIFS(대여내역!$I$3:$I$1002,대여내역!$D$3:$D$1002,$A28))</f>
        <v/>
      </c>
    </row>
    <row r="29" customFormat="false" ht="15" hidden="false" customHeight="false" outlineLevel="0" collapsed="false">
      <c r="A29" s="18" t="str">
        <f aca="false">IF(품목목록!$A28="","",품목목록!$A28)</f>
        <v/>
      </c>
      <c r="B29" s="18" t="str">
        <f aca="false">IF($A29="","",품목목록!$B28)</f>
        <v/>
      </c>
      <c r="C29" s="18" t="str">
        <f aca="false">IF($A29="","",품목목록!$D28)</f>
        <v/>
      </c>
      <c r="D29" s="24" t="str">
        <f aca="false">IF($A29="","",IF(품목목록!$E28="",0,품목목록!$E28))</f>
        <v/>
      </c>
      <c r="E29" s="24" t="str">
        <f aca="false">IF($A29="","",SUMIFS(대여내역!$J$3:$J$1002,대여내역!$D$3:$D$1002,$A29,대여내역!$J$3:$J$1002,"&gt;0"))</f>
        <v/>
      </c>
      <c r="F29" s="24" t="str">
        <f aca="false">IF($A29="","",SUMIFS(대여내역!$G$3:$G$1002,대여내역!$D$3:$D$1002,$A29))</f>
        <v/>
      </c>
      <c r="G29" s="24" t="str">
        <f aca="false">IF($A29="","",SUMIFS(대여내역!$I$3:$I$1002,대여내역!$D$3:$D$1002,$A29))</f>
        <v/>
      </c>
    </row>
    <row r="30" customFormat="false" ht="15" hidden="false" customHeight="false" outlineLevel="0" collapsed="false">
      <c r="A30" s="18" t="str">
        <f aca="false">IF(품목목록!$A29="","",품목목록!$A29)</f>
        <v/>
      </c>
      <c r="B30" s="18" t="str">
        <f aca="false">IF($A30="","",품목목록!$B29)</f>
        <v/>
      </c>
      <c r="C30" s="18" t="str">
        <f aca="false">IF($A30="","",품목목록!$D29)</f>
        <v/>
      </c>
      <c r="D30" s="24" t="str">
        <f aca="false">IF($A30="","",IF(품목목록!$E29="",0,품목목록!$E29))</f>
        <v/>
      </c>
      <c r="E30" s="24" t="str">
        <f aca="false">IF($A30="","",SUMIFS(대여내역!$J$3:$J$1002,대여내역!$D$3:$D$1002,$A30,대여내역!$J$3:$J$1002,"&gt;0"))</f>
        <v/>
      </c>
      <c r="F30" s="24" t="str">
        <f aca="false">IF($A30="","",SUMIFS(대여내역!$G$3:$G$1002,대여내역!$D$3:$D$1002,$A30))</f>
        <v/>
      </c>
      <c r="G30" s="24" t="str">
        <f aca="false">IF($A30="","",SUMIFS(대여내역!$I$3:$I$1002,대여내역!$D$3:$D$1002,$A30))</f>
        <v/>
      </c>
    </row>
    <row r="31" customFormat="false" ht="15" hidden="false" customHeight="false" outlineLevel="0" collapsed="false">
      <c r="A31" s="18" t="str">
        <f aca="false">IF(품목목록!$A30="","",품목목록!$A30)</f>
        <v/>
      </c>
      <c r="B31" s="18" t="str">
        <f aca="false">IF($A31="","",품목목록!$B30)</f>
        <v/>
      </c>
      <c r="C31" s="18" t="str">
        <f aca="false">IF($A31="","",품목목록!$D30)</f>
        <v/>
      </c>
      <c r="D31" s="24" t="str">
        <f aca="false">IF($A31="","",IF(품목목록!$E30="",0,품목목록!$E30))</f>
        <v/>
      </c>
      <c r="E31" s="24" t="str">
        <f aca="false">IF($A31="","",SUMIFS(대여내역!$J$3:$J$1002,대여내역!$D$3:$D$1002,$A31,대여내역!$J$3:$J$1002,"&gt;0"))</f>
        <v/>
      </c>
      <c r="F31" s="24" t="str">
        <f aca="false">IF($A31="","",SUMIFS(대여내역!$G$3:$G$1002,대여내역!$D$3:$D$1002,$A31))</f>
        <v/>
      </c>
      <c r="G31" s="24" t="str">
        <f aca="false">IF($A31="","",SUMIFS(대여내역!$I$3:$I$1002,대여내역!$D$3:$D$1002,$A31))</f>
        <v/>
      </c>
    </row>
    <row r="32" customFormat="false" ht="15" hidden="false" customHeight="false" outlineLevel="0" collapsed="false">
      <c r="A32" s="18" t="str">
        <f aca="false">IF(품목목록!$A31="","",품목목록!$A31)</f>
        <v/>
      </c>
      <c r="B32" s="18" t="str">
        <f aca="false">IF($A32="","",품목목록!$B31)</f>
        <v/>
      </c>
      <c r="C32" s="18" t="str">
        <f aca="false">IF($A32="","",품목목록!$D31)</f>
        <v/>
      </c>
      <c r="D32" s="24" t="str">
        <f aca="false">IF($A32="","",IF(품목목록!$E31="",0,품목목록!$E31))</f>
        <v/>
      </c>
      <c r="E32" s="24" t="str">
        <f aca="false">IF($A32="","",SUMIFS(대여내역!$J$3:$J$1002,대여내역!$D$3:$D$1002,$A32,대여내역!$J$3:$J$1002,"&gt;0"))</f>
        <v/>
      </c>
      <c r="F32" s="24" t="str">
        <f aca="false">IF($A32="","",SUMIFS(대여내역!$G$3:$G$1002,대여내역!$D$3:$D$1002,$A32))</f>
        <v/>
      </c>
      <c r="G32" s="24" t="str">
        <f aca="false">IF($A32="","",SUMIFS(대여내역!$I$3:$I$1002,대여내역!$D$3:$D$1002,$A32))</f>
        <v/>
      </c>
    </row>
    <row r="33" customFormat="false" ht="15" hidden="false" customHeight="false" outlineLevel="0" collapsed="false">
      <c r="A33" s="18" t="str">
        <f aca="false">IF(품목목록!$A32="","",품목목록!$A32)</f>
        <v/>
      </c>
      <c r="B33" s="18" t="str">
        <f aca="false">IF($A33="","",품목목록!$B32)</f>
        <v/>
      </c>
      <c r="C33" s="18" t="str">
        <f aca="false">IF($A33="","",품목목록!$D32)</f>
        <v/>
      </c>
      <c r="D33" s="24" t="str">
        <f aca="false">IF($A33="","",IF(품목목록!$E32="",0,품목목록!$E32))</f>
        <v/>
      </c>
      <c r="E33" s="24" t="str">
        <f aca="false">IF($A33="","",SUMIFS(대여내역!$J$3:$J$1002,대여내역!$D$3:$D$1002,$A33,대여내역!$J$3:$J$1002,"&gt;0"))</f>
        <v/>
      </c>
      <c r="F33" s="24" t="str">
        <f aca="false">IF($A33="","",SUMIFS(대여내역!$G$3:$G$1002,대여내역!$D$3:$D$1002,$A33))</f>
        <v/>
      </c>
      <c r="G33" s="24" t="str">
        <f aca="false">IF($A33="","",SUMIFS(대여내역!$I$3:$I$1002,대여내역!$D$3:$D$1002,$A33))</f>
        <v/>
      </c>
    </row>
    <row r="34" customFormat="false" ht="15" hidden="false" customHeight="false" outlineLevel="0" collapsed="false">
      <c r="A34" s="18" t="str">
        <f aca="false">IF(품목목록!$A33="","",품목목록!$A33)</f>
        <v/>
      </c>
      <c r="B34" s="18" t="str">
        <f aca="false">IF($A34="","",품목목록!$B33)</f>
        <v/>
      </c>
      <c r="C34" s="18" t="str">
        <f aca="false">IF($A34="","",품목목록!$D33)</f>
        <v/>
      </c>
      <c r="D34" s="24" t="str">
        <f aca="false">IF($A34="","",IF(품목목록!$E33="",0,품목목록!$E33))</f>
        <v/>
      </c>
      <c r="E34" s="24" t="str">
        <f aca="false">IF($A34="","",SUMIFS(대여내역!$J$3:$J$1002,대여내역!$D$3:$D$1002,$A34,대여내역!$J$3:$J$1002,"&gt;0"))</f>
        <v/>
      </c>
      <c r="F34" s="24" t="str">
        <f aca="false">IF($A34="","",SUMIFS(대여내역!$G$3:$G$1002,대여내역!$D$3:$D$1002,$A34))</f>
        <v/>
      </c>
      <c r="G34" s="24" t="str">
        <f aca="false">IF($A34="","",SUMIFS(대여내역!$I$3:$I$1002,대여내역!$D$3:$D$1002,$A34))</f>
        <v/>
      </c>
    </row>
    <row r="35" customFormat="false" ht="15" hidden="false" customHeight="false" outlineLevel="0" collapsed="false">
      <c r="A35" s="18" t="str">
        <f aca="false">IF(품목목록!$A34="","",품목목록!$A34)</f>
        <v/>
      </c>
      <c r="B35" s="18" t="str">
        <f aca="false">IF($A35="","",품목목록!$B34)</f>
        <v/>
      </c>
      <c r="C35" s="18" t="str">
        <f aca="false">IF($A35="","",품목목록!$D34)</f>
        <v/>
      </c>
      <c r="D35" s="24" t="str">
        <f aca="false">IF($A35="","",IF(품목목록!$E34="",0,품목목록!$E34))</f>
        <v/>
      </c>
      <c r="E35" s="24" t="str">
        <f aca="false">IF($A35="","",SUMIFS(대여내역!$J$3:$J$1002,대여내역!$D$3:$D$1002,$A35,대여내역!$J$3:$J$1002,"&gt;0"))</f>
        <v/>
      </c>
      <c r="F35" s="24" t="str">
        <f aca="false">IF($A35="","",SUMIFS(대여내역!$G$3:$G$1002,대여내역!$D$3:$D$1002,$A35))</f>
        <v/>
      </c>
      <c r="G35" s="24" t="str">
        <f aca="false">IF($A35="","",SUMIFS(대여내역!$I$3:$I$1002,대여내역!$D$3:$D$1002,$A35))</f>
        <v/>
      </c>
    </row>
    <row r="36" customFormat="false" ht="15" hidden="false" customHeight="false" outlineLevel="0" collapsed="false">
      <c r="A36" s="18" t="str">
        <f aca="false">IF(품목목록!$A35="","",품목목록!$A35)</f>
        <v/>
      </c>
      <c r="B36" s="18" t="str">
        <f aca="false">IF($A36="","",품목목록!$B35)</f>
        <v/>
      </c>
      <c r="C36" s="18" t="str">
        <f aca="false">IF($A36="","",품목목록!$D35)</f>
        <v/>
      </c>
      <c r="D36" s="24" t="str">
        <f aca="false">IF($A36="","",IF(품목목록!$E35="",0,품목목록!$E35))</f>
        <v/>
      </c>
      <c r="E36" s="24" t="str">
        <f aca="false">IF($A36="","",SUMIFS(대여내역!$J$3:$J$1002,대여내역!$D$3:$D$1002,$A36,대여내역!$J$3:$J$1002,"&gt;0"))</f>
        <v/>
      </c>
      <c r="F36" s="24" t="str">
        <f aca="false">IF($A36="","",SUMIFS(대여내역!$G$3:$G$1002,대여내역!$D$3:$D$1002,$A36))</f>
        <v/>
      </c>
      <c r="G36" s="24" t="str">
        <f aca="false">IF($A36="","",SUMIFS(대여내역!$I$3:$I$1002,대여내역!$D$3:$D$1002,$A36))</f>
        <v/>
      </c>
    </row>
    <row r="37" customFormat="false" ht="15" hidden="false" customHeight="false" outlineLevel="0" collapsed="false">
      <c r="A37" s="18" t="str">
        <f aca="false">IF(품목목록!$A36="","",품목목록!$A36)</f>
        <v/>
      </c>
      <c r="B37" s="18" t="str">
        <f aca="false">IF($A37="","",품목목록!$B36)</f>
        <v/>
      </c>
      <c r="C37" s="18" t="str">
        <f aca="false">IF($A37="","",품목목록!$D36)</f>
        <v/>
      </c>
      <c r="D37" s="24" t="str">
        <f aca="false">IF($A37="","",IF(품목목록!$E36="",0,품목목록!$E36))</f>
        <v/>
      </c>
      <c r="E37" s="24" t="str">
        <f aca="false">IF($A37="","",SUMIFS(대여내역!$J$3:$J$1002,대여내역!$D$3:$D$1002,$A37,대여내역!$J$3:$J$1002,"&gt;0"))</f>
        <v/>
      </c>
      <c r="F37" s="24" t="str">
        <f aca="false">IF($A37="","",SUMIFS(대여내역!$G$3:$G$1002,대여내역!$D$3:$D$1002,$A37))</f>
        <v/>
      </c>
      <c r="G37" s="24" t="str">
        <f aca="false">IF($A37="","",SUMIFS(대여내역!$I$3:$I$1002,대여내역!$D$3:$D$1002,$A37))</f>
        <v/>
      </c>
    </row>
    <row r="38" customFormat="false" ht="15" hidden="false" customHeight="false" outlineLevel="0" collapsed="false">
      <c r="A38" s="18" t="str">
        <f aca="false">IF(품목목록!$A37="","",품목목록!$A37)</f>
        <v/>
      </c>
      <c r="B38" s="18" t="str">
        <f aca="false">IF($A38="","",품목목록!$B37)</f>
        <v/>
      </c>
      <c r="C38" s="18" t="str">
        <f aca="false">IF($A38="","",품목목록!$D37)</f>
        <v/>
      </c>
      <c r="D38" s="24" t="str">
        <f aca="false">IF($A38="","",IF(품목목록!$E37="",0,품목목록!$E37))</f>
        <v/>
      </c>
      <c r="E38" s="24" t="str">
        <f aca="false">IF($A38="","",SUMIFS(대여내역!$J$3:$J$1002,대여내역!$D$3:$D$1002,$A38,대여내역!$J$3:$J$1002,"&gt;0"))</f>
        <v/>
      </c>
      <c r="F38" s="24" t="str">
        <f aca="false">IF($A38="","",SUMIFS(대여내역!$G$3:$G$1002,대여내역!$D$3:$D$1002,$A38))</f>
        <v/>
      </c>
      <c r="G38" s="24" t="str">
        <f aca="false">IF($A38="","",SUMIFS(대여내역!$I$3:$I$1002,대여내역!$D$3:$D$1002,$A38))</f>
        <v/>
      </c>
    </row>
    <row r="39" customFormat="false" ht="15" hidden="false" customHeight="false" outlineLevel="0" collapsed="false">
      <c r="A39" s="18" t="str">
        <f aca="false">IF(품목목록!$A38="","",품목목록!$A38)</f>
        <v/>
      </c>
      <c r="B39" s="18" t="str">
        <f aca="false">IF($A39="","",품목목록!$B38)</f>
        <v/>
      </c>
      <c r="C39" s="18" t="str">
        <f aca="false">IF($A39="","",품목목록!$D38)</f>
        <v/>
      </c>
      <c r="D39" s="24" t="str">
        <f aca="false">IF($A39="","",IF(품목목록!$E38="",0,품목목록!$E38))</f>
        <v/>
      </c>
      <c r="E39" s="24" t="str">
        <f aca="false">IF($A39="","",SUMIFS(대여내역!$J$3:$J$1002,대여내역!$D$3:$D$1002,$A39,대여내역!$J$3:$J$1002,"&gt;0"))</f>
        <v/>
      </c>
      <c r="F39" s="24" t="str">
        <f aca="false">IF($A39="","",SUMIFS(대여내역!$G$3:$G$1002,대여내역!$D$3:$D$1002,$A39))</f>
        <v/>
      </c>
      <c r="G39" s="24" t="str">
        <f aca="false">IF($A39="","",SUMIFS(대여내역!$I$3:$I$1002,대여내역!$D$3:$D$1002,$A39))</f>
        <v/>
      </c>
    </row>
    <row r="40" customFormat="false" ht="15" hidden="false" customHeight="false" outlineLevel="0" collapsed="false">
      <c r="A40" s="18" t="str">
        <f aca="false">IF(품목목록!$A39="","",품목목록!$A39)</f>
        <v/>
      </c>
      <c r="B40" s="18" t="str">
        <f aca="false">IF($A40="","",품목목록!$B39)</f>
        <v/>
      </c>
      <c r="C40" s="18" t="str">
        <f aca="false">IF($A40="","",품목목록!$D39)</f>
        <v/>
      </c>
      <c r="D40" s="24" t="str">
        <f aca="false">IF($A40="","",IF(품목목록!$E39="",0,품목목록!$E39))</f>
        <v/>
      </c>
      <c r="E40" s="24" t="str">
        <f aca="false">IF($A40="","",SUMIFS(대여내역!$J$3:$J$1002,대여내역!$D$3:$D$1002,$A40,대여내역!$J$3:$J$1002,"&gt;0"))</f>
        <v/>
      </c>
      <c r="F40" s="24" t="str">
        <f aca="false">IF($A40="","",SUMIFS(대여내역!$G$3:$G$1002,대여내역!$D$3:$D$1002,$A40))</f>
        <v/>
      </c>
      <c r="G40" s="24" t="str">
        <f aca="false">IF($A40="","",SUMIFS(대여내역!$I$3:$I$1002,대여내역!$D$3:$D$1002,$A40))</f>
        <v/>
      </c>
    </row>
    <row r="41" customFormat="false" ht="15" hidden="false" customHeight="false" outlineLevel="0" collapsed="false">
      <c r="A41" s="18" t="str">
        <f aca="false">IF(품목목록!$A40="","",품목목록!$A40)</f>
        <v/>
      </c>
      <c r="B41" s="18" t="str">
        <f aca="false">IF($A41="","",품목목록!$B40)</f>
        <v/>
      </c>
      <c r="C41" s="18" t="str">
        <f aca="false">IF($A41="","",품목목록!$D40)</f>
        <v/>
      </c>
      <c r="D41" s="24" t="str">
        <f aca="false">IF($A41="","",IF(품목목록!$E40="",0,품목목록!$E40))</f>
        <v/>
      </c>
      <c r="E41" s="24" t="str">
        <f aca="false">IF($A41="","",SUMIFS(대여내역!$J$3:$J$1002,대여내역!$D$3:$D$1002,$A41,대여내역!$J$3:$J$1002,"&gt;0"))</f>
        <v/>
      </c>
      <c r="F41" s="24" t="str">
        <f aca="false">IF($A41="","",SUMIFS(대여내역!$G$3:$G$1002,대여내역!$D$3:$D$1002,$A41))</f>
        <v/>
      </c>
      <c r="G41" s="24" t="str">
        <f aca="false">IF($A41="","",SUMIFS(대여내역!$I$3:$I$1002,대여내역!$D$3:$D$1002,$A41))</f>
        <v/>
      </c>
    </row>
    <row r="42" customFormat="false" ht="15" hidden="false" customHeight="false" outlineLevel="0" collapsed="false">
      <c r="A42" s="18" t="str">
        <f aca="false">IF(품목목록!$A41="","",품목목록!$A41)</f>
        <v/>
      </c>
      <c r="B42" s="18" t="str">
        <f aca="false">IF($A42="","",품목목록!$B41)</f>
        <v/>
      </c>
      <c r="C42" s="18" t="str">
        <f aca="false">IF($A42="","",품목목록!$D41)</f>
        <v/>
      </c>
      <c r="D42" s="24" t="str">
        <f aca="false">IF($A42="","",IF(품목목록!$E41="",0,품목목록!$E41))</f>
        <v/>
      </c>
      <c r="E42" s="24" t="str">
        <f aca="false">IF($A42="","",SUMIFS(대여내역!$J$3:$J$1002,대여내역!$D$3:$D$1002,$A42,대여내역!$J$3:$J$1002,"&gt;0"))</f>
        <v/>
      </c>
      <c r="F42" s="24" t="str">
        <f aca="false">IF($A42="","",SUMIFS(대여내역!$G$3:$G$1002,대여내역!$D$3:$D$1002,$A42))</f>
        <v/>
      </c>
      <c r="G42" s="24" t="str">
        <f aca="false">IF($A42="","",SUMIFS(대여내역!$I$3:$I$1002,대여내역!$D$3:$D$1002,$A42))</f>
        <v/>
      </c>
    </row>
    <row r="43" customFormat="false" ht="15" hidden="false" customHeight="false" outlineLevel="0" collapsed="false">
      <c r="A43" s="18" t="str">
        <f aca="false">IF(품목목록!$A42="","",품목목록!$A42)</f>
        <v/>
      </c>
      <c r="B43" s="18" t="str">
        <f aca="false">IF($A43="","",품목목록!$B42)</f>
        <v/>
      </c>
      <c r="C43" s="18" t="str">
        <f aca="false">IF($A43="","",품목목록!$D42)</f>
        <v/>
      </c>
      <c r="D43" s="24" t="str">
        <f aca="false">IF($A43="","",IF(품목목록!$E42="",0,품목목록!$E42))</f>
        <v/>
      </c>
      <c r="E43" s="24" t="str">
        <f aca="false">IF($A43="","",SUMIFS(대여내역!$J$3:$J$1002,대여내역!$D$3:$D$1002,$A43,대여내역!$J$3:$J$1002,"&gt;0"))</f>
        <v/>
      </c>
      <c r="F43" s="24" t="str">
        <f aca="false">IF($A43="","",SUMIFS(대여내역!$G$3:$G$1002,대여내역!$D$3:$D$1002,$A43))</f>
        <v/>
      </c>
      <c r="G43" s="24" t="str">
        <f aca="false">IF($A43="","",SUMIFS(대여내역!$I$3:$I$1002,대여내역!$D$3:$D$1002,$A43))</f>
        <v/>
      </c>
    </row>
    <row r="44" customFormat="false" ht="15" hidden="false" customHeight="false" outlineLevel="0" collapsed="false">
      <c r="A44" s="18" t="str">
        <f aca="false">IF(품목목록!$A43="","",품목목록!$A43)</f>
        <v/>
      </c>
      <c r="B44" s="18" t="str">
        <f aca="false">IF($A44="","",품목목록!$B43)</f>
        <v/>
      </c>
      <c r="C44" s="18" t="str">
        <f aca="false">IF($A44="","",품목목록!$D43)</f>
        <v/>
      </c>
      <c r="D44" s="24" t="str">
        <f aca="false">IF($A44="","",IF(품목목록!$E43="",0,품목목록!$E43))</f>
        <v/>
      </c>
      <c r="E44" s="24" t="str">
        <f aca="false">IF($A44="","",SUMIFS(대여내역!$J$3:$J$1002,대여내역!$D$3:$D$1002,$A44,대여내역!$J$3:$J$1002,"&gt;0"))</f>
        <v/>
      </c>
      <c r="F44" s="24" t="str">
        <f aca="false">IF($A44="","",SUMIFS(대여내역!$G$3:$G$1002,대여내역!$D$3:$D$1002,$A44))</f>
        <v/>
      </c>
      <c r="G44" s="24" t="str">
        <f aca="false">IF($A44="","",SUMIFS(대여내역!$I$3:$I$1002,대여내역!$D$3:$D$1002,$A44))</f>
        <v/>
      </c>
    </row>
    <row r="45" customFormat="false" ht="15" hidden="false" customHeight="false" outlineLevel="0" collapsed="false">
      <c r="A45" s="18" t="str">
        <f aca="false">IF(품목목록!$A44="","",품목목록!$A44)</f>
        <v/>
      </c>
      <c r="B45" s="18" t="str">
        <f aca="false">IF($A45="","",품목목록!$B44)</f>
        <v/>
      </c>
      <c r="C45" s="18" t="str">
        <f aca="false">IF($A45="","",품목목록!$D44)</f>
        <v/>
      </c>
      <c r="D45" s="24" t="str">
        <f aca="false">IF($A45="","",IF(품목목록!$E44="",0,품목목록!$E44))</f>
        <v/>
      </c>
      <c r="E45" s="24" t="str">
        <f aca="false">IF($A45="","",SUMIFS(대여내역!$J$3:$J$1002,대여내역!$D$3:$D$1002,$A45,대여내역!$J$3:$J$1002,"&gt;0"))</f>
        <v/>
      </c>
      <c r="F45" s="24" t="str">
        <f aca="false">IF($A45="","",SUMIFS(대여내역!$G$3:$G$1002,대여내역!$D$3:$D$1002,$A45))</f>
        <v/>
      </c>
      <c r="G45" s="24" t="str">
        <f aca="false">IF($A45="","",SUMIFS(대여내역!$I$3:$I$1002,대여내역!$D$3:$D$1002,$A45))</f>
        <v/>
      </c>
    </row>
    <row r="46" customFormat="false" ht="15" hidden="false" customHeight="false" outlineLevel="0" collapsed="false">
      <c r="A46" s="18" t="str">
        <f aca="false">IF(품목목록!$A45="","",품목목록!$A45)</f>
        <v/>
      </c>
      <c r="B46" s="18" t="str">
        <f aca="false">IF($A46="","",품목목록!$B45)</f>
        <v/>
      </c>
      <c r="C46" s="18" t="str">
        <f aca="false">IF($A46="","",품목목록!$D45)</f>
        <v/>
      </c>
      <c r="D46" s="24" t="str">
        <f aca="false">IF($A46="","",IF(품목목록!$E45="",0,품목목록!$E45))</f>
        <v/>
      </c>
      <c r="E46" s="24" t="str">
        <f aca="false">IF($A46="","",SUMIFS(대여내역!$J$3:$J$1002,대여내역!$D$3:$D$1002,$A46,대여내역!$J$3:$J$1002,"&gt;0"))</f>
        <v/>
      </c>
      <c r="F46" s="24" t="str">
        <f aca="false">IF($A46="","",SUMIFS(대여내역!$G$3:$G$1002,대여내역!$D$3:$D$1002,$A46))</f>
        <v/>
      </c>
      <c r="G46" s="24" t="str">
        <f aca="false">IF($A46="","",SUMIFS(대여내역!$I$3:$I$1002,대여내역!$D$3:$D$1002,$A46))</f>
        <v/>
      </c>
    </row>
    <row r="47" customFormat="false" ht="15" hidden="false" customHeight="false" outlineLevel="0" collapsed="false">
      <c r="A47" s="18" t="str">
        <f aca="false">IF(품목목록!$A46="","",품목목록!$A46)</f>
        <v/>
      </c>
      <c r="B47" s="18" t="str">
        <f aca="false">IF($A47="","",품목목록!$B46)</f>
        <v/>
      </c>
      <c r="C47" s="18" t="str">
        <f aca="false">IF($A47="","",품목목록!$D46)</f>
        <v/>
      </c>
      <c r="D47" s="24" t="str">
        <f aca="false">IF($A47="","",IF(품목목록!$E46="",0,품목목록!$E46))</f>
        <v/>
      </c>
      <c r="E47" s="24" t="str">
        <f aca="false">IF($A47="","",SUMIFS(대여내역!$J$3:$J$1002,대여내역!$D$3:$D$1002,$A47,대여내역!$J$3:$J$1002,"&gt;0"))</f>
        <v/>
      </c>
      <c r="F47" s="24" t="str">
        <f aca="false">IF($A47="","",SUMIFS(대여내역!$G$3:$G$1002,대여내역!$D$3:$D$1002,$A47))</f>
        <v/>
      </c>
      <c r="G47" s="24" t="str">
        <f aca="false">IF($A47="","",SUMIFS(대여내역!$I$3:$I$1002,대여내역!$D$3:$D$1002,$A47))</f>
        <v/>
      </c>
    </row>
    <row r="48" customFormat="false" ht="15" hidden="false" customHeight="false" outlineLevel="0" collapsed="false">
      <c r="A48" s="18" t="str">
        <f aca="false">IF(품목목록!$A47="","",품목목록!$A47)</f>
        <v/>
      </c>
      <c r="B48" s="18" t="str">
        <f aca="false">IF($A48="","",품목목록!$B47)</f>
        <v/>
      </c>
      <c r="C48" s="18" t="str">
        <f aca="false">IF($A48="","",품목목록!$D47)</f>
        <v/>
      </c>
      <c r="D48" s="24" t="str">
        <f aca="false">IF($A48="","",IF(품목목록!$E47="",0,품목목록!$E47))</f>
        <v/>
      </c>
      <c r="E48" s="24" t="str">
        <f aca="false">IF($A48="","",SUMIFS(대여내역!$J$3:$J$1002,대여내역!$D$3:$D$1002,$A48,대여내역!$J$3:$J$1002,"&gt;0"))</f>
        <v/>
      </c>
      <c r="F48" s="24" t="str">
        <f aca="false">IF($A48="","",SUMIFS(대여내역!$G$3:$G$1002,대여내역!$D$3:$D$1002,$A48))</f>
        <v/>
      </c>
      <c r="G48" s="24" t="str">
        <f aca="false">IF($A48="","",SUMIFS(대여내역!$I$3:$I$1002,대여내역!$D$3:$D$1002,$A48))</f>
        <v/>
      </c>
    </row>
    <row r="49" customFormat="false" ht="15" hidden="false" customHeight="false" outlineLevel="0" collapsed="false">
      <c r="A49" s="18" t="str">
        <f aca="false">IF(품목목록!$A48="","",품목목록!$A48)</f>
        <v/>
      </c>
      <c r="B49" s="18" t="str">
        <f aca="false">IF($A49="","",품목목록!$B48)</f>
        <v/>
      </c>
      <c r="C49" s="18" t="str">
        <f aca="false">IF($A49="","",품목목록!$D48)</f>
        <v/>
      </c>
      <c r="D49" s="24" t="str">
        <f aca="false">IF($A49="","",IF(품목목록!$E48="",0,품목목록!$E48))</f>
        <v/>
      </c>
      <c r="E49" s="24" t="str">
        <f aca="false">IF($A49="","",SUMIFS(대여내역!$J$3:$J$1002,대여내역!$D$3:$D$1002,$A49,대여내역!$J$3:$J$1002,"&gt;0"))</f>
        <v/>
      </c>
      <c r="F49" s="24" t="str">
        <f aca="false">IF($A49="","",SUMIFS(대여내역!$G$3:$G$1002,대여내역!$D$3:$D$1002,$A49))</f>
        <v/>
      </c>
      <c r="G49" s="24" t="str">
        <f aca="false">IF($A49="","",SUMIFS(대여내역!$I$3:$I$1002,대여내역!$D$3:$D$1002,$A49))</f>
        <v/>
      </c>
    </row>
    <row r="50" customFormat="false" ht="15" hidden="false" customHeight="false" outlineLevel="0" collapsed="false">
      <c r="A50" s="18" t="str">
        <f aca="false">IF(품목목록!$A49="","",품목목록!$A49)</f>
        <v/>
      </c>
      <c r="B50" s="18" t="str">
        <f aca="false">IF($A50="","",품목목록!$B49)</f>
        <v/>
      </c>
      <c r="C50" s="18" t="str">
        <f aca="false">IF($A50="","",품목목록!$D49)</f>
        <v/>
      </c>
      <c r="D50" s="24" t="str">
        <f aca="false">IF($A50="","",IF(품목목록!$E49="",0,품목목록!$E49))</f>
        <v/>
      </c>
      <c r="E50" s="24" t="str">
        <f aca="false">IF($A50="","",SUMIFS(대여내역!$J$3:$J$1002,대여내역!$D$3:$D$1002,$A50,대여내역!$J$3:$J$1002,"&gt;0"))</f>
        <v/>
      </c>
      <c r="F50" s="24" t="str">
        <f aca="false">IF($A50="","",SUMIFS(대여내역!$G$3:$G$1002,대여내역!$D$3:$D$1002,$A50))</f>
        <v/>
      </c>
      <c r="G50" s="24" t="str">
        <f aca="false">IF($A50="","",SUMIFS(대여내역!$I$3:$I$1002,대여내역!$D$3:$D$1002,$A50))</f>
        <v/>
      </c>
    </row>
    <row r="51" customFormat="false" ht="15" hidden="false" customHeight="false" outlineLevel="0" collapsed="false">
      <c r="A51" s="18" t="str">
        <f aca="false">IF(품목목록!$A50="","",품목목록!$A50)</f>
        <v/>
      </c>
      <c r="B51" s="18" t="str">
        <f aca="false">IF($A51="","",품목목록!$B50)</f>
        <v/>
      </c>
      <c r="C51" s="18" t="str">
        <f aca="false">IF($A51="","",품목목록!$D50)</f>
        <v/>
      </c>
      <c r="D51" s="24" t="str">
        <f aca="false">IF($A51="","",IF(품목목록!$E50="",0,품목목록!$E50))</f>
        <v/>
      </c>
      <c r="E51" s="24" t="str">
        <f aca="false">IF($A51="","",SUMIFS(대여내역!$J$3:$J$1002,대여내역!$D$3:$D$1002,$A51,대여내역!$J$3:$J$1002,"&gt;0"))</f>
        <v/>
      </c>
      <c r="F51" s="24" t="str">
        <f aca="false">IF($A51="","",SUMIFS(대여내역!$G$3:$G$1002,대여내역!$D$3:$D$1002,$A51))</f>
        <v/>
      </c>
      <c r="G51" s="24" t="str">
        <f aca="false">IF($A51="","",SUMIFS(대여내역!$I$3:$I$1002,대여내역!$D$3:$D$1002,$A51))</f>
        <v/>
      </c>
    </row>
    <row r="52" customFormat="false" ht="15" hidden="false" customHeight="false" outlineLevel="0" collapsed="false">
      <c r="A52" s="18" t="str">
        <f aca="false">IF(품목목록!$A51="","",품목목록!$A51)</f>
        <v/>
      </c>
      <c r="B52" s="18" t="str">
        <f aca="false">IF($A52="","",품목목록!$B51)</f>
        <v/>
      </c>
      <c r="C52" s="18" t="str">
        <f aca="false">IF($A52="","",품목목록!$D51)</f>
        <v/>
      </c>
      <c r="D52" s="24" t="str">
        <f aca="false">IF($A52="","",IF(품목목록!$E51="",0,품목목록!$E51))</f>
        <v/>
      </c>
      <c r="E52" s="24" t="str">
        <f aca="false">IF($A52="","",SUMIFS(대여내역!$J$3:$J$1002,대여내역!$D$3:$D$1002,$A52,대여내역!$J$3:$J$1002,"&gt;0"))</f>
        <v/>
      </c>
      <c r="F52" s="24" t="str">
        <f aca="false">IF($A52="","",SUMIFS(대여내역!$G$3:$G$1002,대여내역!$D$3:$D$1002,$A52))</f>
        <v/>
      </c>
      <c r="G52" s="24" t="str">
        <f aca="false">IF($A52="","",SUMIFS(대여내역!$I$3:$I$1002,대여내역!$D$3:$D$1002,$A52))</f>
        <v/>
      </c>
    </row>
    <row r="53" customFormat="false" ht="15" hidden="false" customHeight="false" outlineLevel="0" collapsed="false">
      <c r="A53" s="18" t="str">
        <f aca="false">IF(품목목록!$A52="","",품목목록!$A52)</f>
        <v/>
      </c>
      <c r="B53" s="18" t="str">
        <f aca="false">IF($A53="","",품목목록!$B52)</f>
        <v/>
      </c>
      <c r="C53" s="18" t="str">
        <f aca="false">IF($A53="","",품목목록!$D52)</f>
        <v/>
      </c>
      <c r="D53" s="24" t="str">
        <f aca="false">IF($A53="","",IF(품목목록!$E52="",0,품목목록!$E52))</f>
        <v/>
      </c>
      <c r="E53" s="24" t="str">
        <f aca="false">IF($A53="","",SUMIFS(대여내역!$J$3:$J$1002,대여내역!$D$3:$D$1002,$A53,대여내역!$J$3:$J$1002,"&gt;0"))</f>
        <v/>
      </c>
      <c r="F53" s="24" t="str">
        <f aca="false">IF($A53="","",SUMIFS(대여내역!$G$3:$G$1002,대여내역!$D$3:$D$1002,$A53))</f>
        <v/>
      </c>
      <c r="G53" s="24" t="str">
        <f aca="false">IF($A53="","",SUMIFS(대여내역!$I$3:$I$1002,대여내역!$D$3:$D$1002,$A53))</f>
        <v/>
      </c>
    </row>
    <row r="54" customFormat="false" ht="15" hidden="false" customHeight="false" outlineLevel="0" collapsed="false">
      <c r="A54" s="18" t="str">
        <f aca="false">IF(품목목록!$A53="","",품목목록!$A53)</f>
        <v/>
      </c>
      <c r="B54" s="18" t="str">
        <f aca="false">IF($A54="","",품목목록!$B53)</f>
        <v/>
      </c>
      <c r="C54" s="18" t="str">
        <f aca="false">IF($A54="","",품목목록!$D53)</f>
        <v/>
      </c>
      <c r="D54" s="24" t="str">
        <f aca="false">IF($A54="","",IF(품목목록!$E53="",0,품목목록!$E53))</f>
        <v/>
      </c>
      <c r="E54" s="24" t="str">
        <f aca="false">IF($A54="","",SUMIFS(대여내역!$J$3:$J$1002,대여내역!$D$3:$D$1002,$A54,대여내역!$J$3:$J$1002,"&gt;0"))</f>
        <v/>
      </c>
      <c r="F54" s="24" t="str">
        <f aca="false">IF($A54="","",SUMIFS(대여내역!$G$3:$G$1002,대여내역!$D$3:$D$1002,$A54))</f>
        <v/>
      </c>
      <c r="G54" s="24" t="str">
        <f aca="false">IF($A54="","",SUMIFS(대여내역!$I$3:$I$1002,대여내역!$D$3:$D$1002,$A54))</f>
        <v/>
      </c>
    </row>
    <row r="55" customFormat="false" ht="15" hidden="false" customHeight="false" outlineLevel="0" collapsed="false">
      <c r="A55" s="18" t="str">
        <f aca="false">IF(품목목록!$A54="","",품목목록!$A54)</f>
        <v/>
      </c>
      <c r="B55" s="18" t="str">
        <f aca="false">IF($A55="","",품목목록!$B54)</f>
        <v/>
      </c>
      <c r="C55" s="18" t="str">
        <f aca="false">IF($A55="","",품목목록!$D54)</f>
        <v/>
      </c>
      <c r="D55" s="24" t="str">
        <f aca="false">IF($A55="","",IF(품목목록!$E54="",0,품목목록!$E54))</f>
        <v/>
      </c>
      <c r="E55" s="24" t="str">
        <f aca="false">IF($A55="","",SUMIFS(대여내역!$J$3:$J$1002,대여내역!$D$3:$D$1002,$A55,대여내역!$J$3:$J$1002,"&gt;0"))</f>
        <v/>
      </c>
      <c r="F55" s="24" t="str">
        <f aca="false">IF($A55="","",SUMIFS(대여내역!$G$3:$G$1002,대여내역!$D$3:$D$1002,$A55))</f>
        <v/>
      </c>
      <c r="G55" s="24" t="str">
        <f aca="false">IF($A55="","",SUMIFS(대여내역!$I$3:$I$1002,대여내역!$D$3:$D$1002,$A55))</f>
        <v/>
      </c>
    </row>
    <row r="56" customFormat="false" ht="15" hidden="false" customHeight="false" outlineLevel="0" collapsed="false">
      <c r="A56" s="18" t="str">
        <f aca="false">IF(품목목록!$A55="","",품목목록!$A55)</f>
        <v/>
      </c>
      <c r="B56" s="18" t="str">
        <f aca="false">IF($A56="","",품목목록!$B55)</f>
        <v/>
      </c>
      <c r="C56" s="18" t="str">
        <f aca="false">IF($A56="","",품목목록!$D55)</f>
        <v/>
      </c>
      <c r="D56" s="24" t="str">
        <f aca="false">IF($A56="","",IF(품목목록!$E55="",0,품목목록!$E55))</f>
        <v/>
      </c>
      <c r="E56" s="24" t="str">
        <f aca="false">IF($A56="","",SUMIFS(대여내역!$J$3:$J$1002,대여내역!$D$3:$D$1002,$A56,대여내역!$J$3:$J$1002,"&gt;0"))</f>
        <v/>
      </c>
      <c r="F56" s="24" t="str">
        <f aca="false">IF($A56="","",SUMIFS(대여내역!$G$3:$G$1002,대여내역!$D$3:$D$1002,$A56))</f>
        <v/>
      </c>
      <c r="G56" s="24" t="str">
        <f aca="false">IF($A56="","",SUMIFS(대여내역!$I$3:$I$1002,대여내역!$D$3:$D$1002,$A56))</f>
        <v/>
      </c>
    </row>
    <row r="57" customFormat="false" ht="15" hidden="false" customHeight="false" outlineLevel="0" collapsed="false">
      <c r="A57" s="18" t="str">
        <f aca="false">IF(품목목록!$A56="","",품목목록!$A56)</f>
        <v/>
      </c>
      <c r="B57" s="18" t="str">
        <f aca="false">IF($A57="","",품목목록!$B56)</f>
        <v/>
      </c>
      <c r="C57" s="18" t="str">
        <f aca="false">IF($A57="","",품목목록!$D56)</f>
        <v/>
      </c>
      <c r="D57" s="24" t="str">
        <f aca="false">IF($A57="","",IF(품목목록!$E56="",0,품목목록!$E56))</f>
        <v/>
      </c>
      <c r="E57" s="24" t="str">
        <f aca="false">IF($A57="","",SUMIFS(대여내역!$J$3:$J$1002,대여내역!$D$3:$D$1002,$A57,대여내역!$J$3:$J$1002,"&gt;0"))</f>
        <v/>
      </c>
      <c r="F57" s="24" t="str">
        <f aca="false">IF($A57="","",SUMIFS(대여내역!$G$3:$G$1002,대여내역!$D$3:$D$1002,$A57))</f>
        <v/>
      </c>
      <c r="G57" s="24" t="str">
        <f aca="false">IF($A57="","",SUMIFS(대여내역!$I$3:$I$1002,대여내역!$D$3:$D$1002,$A57))</f>
        <v/>
      </c>
    </row>
    <row r="58" customFormat="false" ht="15" hidden="false" customHeight="false" outlineLevel="0" collapsed="false">
      <c r="A58" s="18" t="str">
        <f aca="false">IF(품목목록!$A57="","",품목목록!$A57)</f>
        <v/>
      </c>
      <c r="B58" s="18" t="str">
        <f aca="false">IF($A58="","",품목목록!$B57)</f>
        <v/>
      </c>
      <c r="C58" s="18" t="str">
        <f aca="false">IF($A58="","",품목목록!$D57)</f>
        <v/>
      </c>
      <c r="D58" s="24" t="str">
        <f aca="false">IF($A58="","",IF(품목목록!$E57="",0,품목목록!$E57))</f>
        <v/>
      </c>
      <c r="E58" s="24" t="str">
        <f aca="false">IF($A58="","",SUMIFS(대여내역!$J$3:$J$1002,대여내역!$D$3:$D$1002,$A58,대여내역!$J$3:$J$1002,"&gt;0"))</f>
        <v/>
      </c>
      <c r="F58" s="24" t="str">
        <f aca="false">IF($A58="","",SUMIFS(대여내역!$G$3:$G$1002,대여내역!$D$3:$D$1002,$A58))</f>
        <v/>
      </c>
      <c r="G58" s="24" t="str">
        <f aca="false">IF($A58="","",SUMIFS(대여내역!$I$3:$I$1002,대여내역!$D$3:$D$1002,$A58))</f>
        <v/>
      </c>
    </row>
    <row r="59" customFormat="false" ht="15" hidden="false" customHeight="false" outlineLevel="0" collapsed="false">
      <c r="A59" s="18" t="str">
        <f aca="false">IF(품목목록!$A58="","",품목목록!$A58)</f>
        <v/>
      </c>
      <c r="B59" s="18" t="str">
        <f aca="false">IF($A59="","",품목목록!$B58)</f>
        <v/>
      </c>
      <c r="C59" s="18" t="str">
        <f aca="false">IF($A59="","",품목목록!$D58)</f>
        <v/>
      </c>
      <c r="D59" s="24" t="str">
        <f aca="false">IF($A59="","",IF(품목목록!$E58="",0,품목목록!$E58))</f>
        <v/>
      </c>
      <c r="E59" s="24" t="str">
        <f aca="false">IF($A59="","",SUMIFS(대여내역!$J$3:$J$1002,대여내역!$D$3:$D$1002,$A59,대여내역!$J$3:$J$1002,"&gt;0"))</f>
        <v/>
      </c>
      <c r="F59" s="24" t="str">
        <f aca="false">IF($A59="","",SUMIFS(대여내역!$G$3:$G$1002,대여내역!$D$3:$D$1002,$A59))</f>
        <v/>
      </c>
      <c r="G59" s="24" t="str">
        <f aca="false">IF($A59="","",SUMIFS(대여내역!$I$3:$I$1002,대여내역!$D$3:$D$1002,$A59))</f>
        <v/>
      </c>
    </row>
    <row r="60" customFormat="false" ht="15" hidden="false" customHeight="false" outlineLevel="0" collapsed="false">
      <c r="A60" s="18" t="str">
        <f aca="false">IF(품목목록!$A59="","",품목목록!$A59)</f>
        <v/>
      </c>
      <c r="B60" s="18" t="str">
        <f aca="false">IF($A60="","",품목목록!$B59)</f>
        <v/>
      </c>
      <c r="C60" s="18" t="str">
        <f aca="false">IF($A60="","",품목목록!$D59)</f>
        <v/>
      </c>
      <c r="D60" s="24" t="str">
        <f aca="false">IF($A60="","",IF(품목목록!$E59="",0,품목목록!$E59))</f>
        <v/>
      </c>
      <c r="E60" s="24" t="str">
        <f aca="false">IF($A60="","",SUMIFS(대여내역!$J$3:$J$1002,대여내역!$D$3:$D$1002,$A60,대여내역!$J$3:$J$1002,"&gt;0"))</f>
        <v/>
      </c>
      <c r="F60" s="24" t="str">
        <f aca="false">IF($A60="","",SUMIFS(대여내역!$G$3:$G$1002,대여내역!$D$3:$D$1002,$A60))</f>
        <v/>
      </c>
      <c r="G60" s="24" t="str">
        <f aca="false">IF($A60="","",SUMIFS(대여내역!$I$3:$I$1002,대여내역!$D$3:$D$1002,$A60))</f>
        <v/>
      </c>
    </row>
    <row r="61" customFormat="false" ht="15" hidden="false" customHeight="false" outlineLevel="0" collapsed="false">
      <c r="A61" s="18" t="str">
        <f aca="false">IF(품목목록!$A60="","",품목목록!$A60)</f>
        <v/>
      </c>
      <c r="B61" s="18" t="str">
        <f aca="false">IF($A61="","",품목목록!$B60)</f>
        <v/>
      </c>
      <c r="C61" s="18" t="str">
        <f aca="false">IF($A61="","",품목목록!$D60)</f>
        <v/>
      </c>
      <c r="D61" s="24" t="str">
        <f aca="false">IF($A61="","",IF(품목목록!$E60="",0,품목목록!$E60))</f>
        <v/>
      </c>
      <c r="E61" s="24" t="str">
        <f aca="false">IF($A61="","",SUMIFS(대여내역!$J$3:$J$1002,대여내역!$D$3:$D$1002,$A61,대여내역!$J$3:$J$1002,"&gt;0"))</f>
        <v/>
      </c>
      <c r="F61" s="24" t="str">
        <f aca="false">IF($A61="","",SUMIFS(대여내역!$G$3:$G$1002,대여내역!$D$3:$D$1002,$A61))</f>
        <v/>
      </c>
      <c r="G61" s="24" t="str">
        <f aca="false">IF($A61="","",SUMIFS(대여내역!$I$3:$I$1002,대여내역!$D$3:$D$1002,$A61))</f>
        <v/>
      </c>
    </row>
    <row r="62" customFormat="false" ht="15" hidden="false" customHeight="false" outlineLevel="0" collapsed="false">
      <c r="A62" s="18" t="str">
        <f aca="false">IF(품목목록!$A61="","",품목목록!$A61)</f>
        <v/>
      </c>
      <c r="B62" s="18" t="str">
        <f aca="false">IF($A62="","",품목목록!$B61)</f>
        <v/>
      </c>
      <c r="C62" s="18" t="str">
        <f aca="false">IF($A62="","",품목목록!$D61)</f>
        <v/>
      </c>
      <c r="D62" s="24" t="str">
        <f aca="false">IF($A62="","",IF(품목목록!$E61="",0,품목목록!$E61))</f>
        <v/>
      </c>
      <c r="E62" s="24" t="str">
        <f aca="false">IF($A62="","",SUMIFS(대여내역!$J$3:$J$1002,대여내역!$D$3:$D$1002,$A62,대여내역!$J$3:$J$1002,"&gt;0"))</f>
        <v/>
      </c>
      <c r="F62" s="24" t="str">
        <f aca="false">IF($A62="","",SUMIFS(대여내역!$G$3:$G$1002,대여내역!$D$3:$D$1002,$A62))</f>
        <v/>
      </c>
      <c r="G62" s="24" t="str">
        <f aca="false">IF($A62="","",SUMIFS(대여내역!$I$3:$I$1002,대여내역!$D$3:$D$1002,$A62))</f>
        <v/>
      </c>
    </row>
    <row r="63" customFormat="false" ht="15" hidden="false" customHeight="false" outlineLevel="0" collapsed="false">
      <c r="A63" s="18" t="str">
        <f aca="false">IF(품목목록!$A62="","",품목목록!$A62)</f>
        <v/>
      </c>
      <c r="B63" s="18" t="str">
        <f aca="false">IF($A63="","",품목목록!$B62)</f>
        <v/>
      </c>
      <c r="C63" s="18" t="str">
        <f aca="false">IF($A63="","",품목목록!$D62)</f>
        <v/>
      </c>
      <c r="D63" s="24" t="str">
        <f aca="false">IF($A63="","",IF(품목목록!$E62="",0,품목목록!$E62))</f>
        <v/>
      </c>
      <c r="E63" s="24" t="str">
        <f aca="false">IF($A63="","",SUMIFS(대여내역!$J$3:$J$1002,대여내역!$D$3:$D$1002,$A63,대여내역!$J$3:$J$1002,"&gt;0"))</f>
        <v/>
      </c>
      <c r="F63" s="24" t="str">
        <f aca="false">IF($A63="","",SUMIFS(대여내역!$G$3:$G$1002,대여내역!$D$3:$D$1002,$A63))</f>
        <v/>
      </c>
      <c r="G63" s="24" t="str">
        <f aca="false">IF($A63="","",SUMIFS(대여내역!$I$3:$I$1002,대여내역!$D$3:$D$1002,$A63))</f>
        <v/>
      </c>
    </row>
    <row r="64" customFormat="false" ht="15" hidden="false" customHeight="false" outlineLevel="0" collapsed="false">
      <c r="A64" s="18" t="str">
        <f aca="false">IF(품목목록!$A63="","",품목목록!$A63)</f>
        <v/>
      </c>
      <c r="B64" s="18" t="str">
        <f aca="false">IF($A64="","",품목목록!$B63)</f>
        <v/>
      </c>
      <c r="C64" s="18" t="str">
        <f aca="false">IF($A64="","",품목목록!$D63)</f>
        <v/>
      </c>
      <c r="D64" s="24" t="str">
        <f aca="false">IF($A64="","",IF(품목목록!$E63="",0,품목목록!$E63))</f>
        <v/>
      </c>
      <c r="E64" s="24" t="str">
        <f aca="false">IF($A64="","",SUMIFS(대여내역!$J$3:$J$1002,대여내역!$D$3:$D$1002,$A64,대여내역!$J$3:$J$1002,"&gt;0"))</f>
        <v/>
      </c>
      <c r="F64" s="24" t="str">
        <f aca="false">IF($A64="","",SUMIFS(대여내역!$G$3:$G$1002,대여내역!$D$3:$D$1002,$A64))</f>
        <v/>
      </c>
      <c r="G64" s="24" t="str">
        <f aca="false">IF($A64="","",SUMIFS(대여내역!$I$3:$I$1002,대여내역!$D$3:$D$1002,$A64))</f>
        <v/>
      </c>
    </row>
    <row r="65" customFormat="false" ht="15" hidden="false" customHeight="false" outlineLevel="0" collapsed="false">
      <c r="A65" s="18" t="str">
        <f aca="false">IF(품목목록!$A64="","",품목목록!$A64)</f>
        <v/>
      </c>
      <c r="B65" s="18" t="str">
        <f aca="false">IF($A65="","",품목목록!$B64)</f>
        <v/>
      </c>
      <c r="C65" s="18" t="str">
        <f aca="false">IF($A65="","",품목목록!$D64)</f>
        <v/>
      </c>
      <c r="D65" s="24" t="str">
        <f aca="false">IF($A65="","",IF(품목목록!$E64="",0,품목목록!$E64))</f>
        <v/>
      </c>
      <c r="E65" s="24" t="str">
        <f aca="false">IF($A65="","",SUMIFS(대여내역!$J$3:$J$1002,대여내역!$D$3:$D$1002,$A65,대여내역!$J$3:$J$1002,"&gt;0"))</f>
        <v/>
      </c>
      <c r="F65" s="24" t="str">
        <f aca="false">IF($A65="","",SUMIFS(대여내역!$G$3:$G$1002,대여내역!$D$3:$D$1002,$A65))</f>
        <v/>
      </c>
      <c r="G65" s="24" t="str">
        <f aca="false">IF($A65="","",SUMIFS(대여내역!$I$3:$I$1002,대여내역!$D$3:$D$1002,$A65))</f>
        <v/>
      </c>
    </row>
    <row r="66" customFormat="false" ht="15" hidden="false" customHeight="false" outlineLevel="0" collapsed="false">
      <c r="A66" s="18" t="str">
        <f aca="false">IF(품목목록!$A65="","",품목목록!$A65)</f>
        <v/>
      </c>
      <c r="B66" s="18" t="str">
        <f aca="false">IF($A66="","",품목목록!$B65)</f>
        <v/>
      </c>
      <c r="C66" s="18" t="str">
        <f aca="false">IF($A66="","",품목목록!$D65)</f>
        <v/>
      </c>
      <c r="D66" s="24" t="str">
        <f aca="false">IF($A66="","",IF(품목목록!$E65="",0,품목목록!$E65))</f>
        <v/>
      </c>
      <c r="E66" s="24" t="str">
        <f aca="false">IF($A66="","",SUMIFS(대여내역!$J$3:$J$1002,대여내역!$D$3:$D$1002,$A66,대여내역!$J$3:$J$1002,"&gt;0"))</f>
        <v/>
      </c>
      <c r="F66" s="24" t="str">
        <f aca="false">IF($A66="","",SUMIFS(대여내역!$G$3:$G$1002,대여내역!$D$3:$D$1002,$A66))</f>
        <v/>
      </c>
      <c r="G66" s="24" t="str">
        <f aca="false">IF($A66="","",SUMIFS(대여내역!$I$3:$I$1002,대여내역!$D$3:$D$1002,$A66))</f>
        <v/>
      </c>
    </row>
    <row r="67" customFormat="false" ht="15" hidden="false" customHeight="false" outlineLevel="0" collapsed="false">
      <c r="A67" s="18" t="str">
        <f aca="false">IF(품목목록!$A66="","",품목목록!$A66)</f>
        <v/>
      </c>
      <c r="B67" s="18" t="str">
        <f aca="false">IF($A67="","",품목목록!$B66)</f>
        <v/>
      </c>
      <c r="C67" s="18" t="str">
        <f aca="false">IF($A67="","",품목목록!$D66)</f>
        <v/>
      </c>
      <c r="D67" s="24" t="str">
        <f aca="false">IF($A67="","",IF(품목목록!$E66="",0,품목목록!$E66))</f>
        <v/>
      </c>
      <c r="E67" s="24" t="str">
        <f aca="false">IF($A67="","",SUMIFS(대여내역!$J$3:$J$1002,대여내역!$D$3:$D$1002,$A67,대여내역!$J$3:$J$1002,"&gt;0"))</f>
        <v/>
      </c>
      <c r="F67" s="24" t="str">
        <f aca="false">IF($A67="","",SUMIFS(대여내역!$G$3:$G$1002,대여내역!$D$3:$D$1002,$A67))</f>
        <v/>
      </c>
      <c r="G67" s="24" t="str">
        <f aca="false">IF($A67="","",SUMIFS(대여내역!$I$3:$I$1002,대여내역!$D$3:$D$1002,$A67))</f>
        <v/>
      </c>
    </row>
    <row r="68" customFormat="false" ht="15" hidden="false" customHeight="false" outlineLevel="0" collapsed="false">
      <c r="A68" s="18" t="str">
        <f aca="false">IF(품목목록!$A67="","",품목목록!$A67)</f>
        <v/>
      </c>
      <c r="B68" s="18" t="str">
        <f aca="false">IF($A68="","",품목목록!$B67)</f>
        <v/>
      </c>
      <c r="C68" s="18" t="str">
        <f aca="false">IF($A68="","",품목목록!$D67)</f>
        <v/>
      </c>
      <c r="D68" s="24" t="str">
        <f aca="false">IF($A68="","",IF(품목목록!$E67="",0,품목목록!$E67))</f>
        <v/>
      </c>
      <c r="E68" s="24" t="str">
        <f aca="false">IF($A68="","",SUMIFS(대여내역!$J$3:$J$1002,대여내역!$D$3:$D$1002,$A68,대여내역!$J$3:$J$1002,"&gt;0"))</f>
        <v/>
      </c>
      <c r="F68" s="24" t="str">
        <f aca="false">IF($A68="","",SUMIFS(대여내역!$G$3:$G$1002,대여내역!$D$3:$D$1002,$A68))</f>
        <v/>
      </c>
      <c r="G68" s="24" t="str">
        <f aca="false">IF($A68="","",SUMIFS(대여내역!$I$3:$I$1002,대여내역!$D$3:$D$1002,$A68))</f>
        <v/>
      </c>
    </row>
    <row r="69" customFormat="false" ht="15" hidden="false" customHeight="false" outlineLevel="0" collapsed="false">
      <c r="A69" s="18" t="str">
        <f aca="false">IF(품목목록!$A68="","",품목목록!$A68)</f>
        <v/>
      </c>
      <c r="B69" s="18" t="str">
        <f aca="false">IF($A69="","",품목목록!$B68)</f>
        <v/>
      </c>
      <c r="C69" s="18" t="str">
        <f aca="false">IF($A69="","",품목목록!$D68)</f>
        <v/>
      </c>
      <c r="D69" s="24" t="str">
        <f aca="false">IF($A69="","",IF(품목목록!$E68="",0,품목목록!$E68))</f>
        <v/>
      </c>
      <c r="E69" s="24" t="str">
        <f aca="false">IF($A69="","",SUMIFS(대여내역!$J$3:$J$1002,대여내역!$D$3:$D$1002,$A69,대여내역!$J$3:$J$1002,"&gt;0"))</f>
        <v/>
      </c>
      <c r="F69" s="24" t="str">
        <f aca="false">IF($A69="","",SUMIFS(대여내역!$G$3:$G$1002,대여내역!$D$3:$D$1002,$A69))</f>
        <v/>
      </c>
      <c r="G69" s="24" t="str">
        <f aca="false">IF($A69="","",SUMIFS(대여내역!$I$3:$I$1002,대여내역!$D$3:$D$1002,$A69))</f>
        <v/>
      </c>
    </row>
    <row r="70" customFormat="false" ht="15" hidden="false" customHeight="false" outlineLevel="0" collapsed="false">
      <c r="A70" s="18" t="str">
        <f aca="false">IF(품목목록!$A69="","",품목목록!$A69)</f>
        <v/>
      </c>
      <c r="B70" s="18" t="str">
        <f aca="false">IF($A70="","",품목목록!$B69)</f>
        <v/>
      </c>
      <c r="C70" s="18" t="str">
        <f aca="false">IF($A70="","",품목목록!$D69)</f>
        <v/>
      </c>
      <c r="D70" s="24" t="str">
        <f aca="false">IF($A70="","",IF(품목목록!$E69="",0,품목목록!$E69))</f>
        <v/>
      </c>
      <c r="E70" s="24" t="str">
        <f aca="false">IF($A70="","",SUMIFS(대여내역!$J$3:$J$1002,대여내역!$D$3:$D$1002,$A70,대여내역!$J$3:$J$1002,"&gt;0"))</f>
        <v/>
      </c>
      <c r="F70" s="24" t="str">
        <f aca="false">IF($A70="","",SUMIFS(대여내역!$G$3:$G$1002,대여내역!$D$3:$D$1002,$A70))</f>
        <v/>
      </c>
      <c r="G70" s="24" t="str">
        <f aca="false">IF($A70="","",SUMIFS(대여내역!$I$3:$I$1002,대여내역!$D$3:$D$1002,$A70))</f>
        <v/>
      </c>
    </row>
    <row r="71" customFormat="false" ht="15" hidden="false" customHeight="false" outlineLevel="0" collapsed="false">
      <c r="A71" s="18" t="str">
        <f aca="false">IF(품목목록!$A70="","",품목목록!$A70)</f>
        <v/>
      </c>
      <c r="B71" s="18" t="str">
        <f aca="false">IF($A71="","",품목목록!$B70)</f>
        <v/>
      </c>
      <c r="C71" s="18" t="str">
        <f aca="false">IF($A71="","",품목목록!$D70)</f>
        <v/>
      </c>
      <c r="D71" s="24" t="str">
        <f aca="false">IF($A71="","",IF(품목목록!$E70="",0,품목목록!$E70))</f>
        <v/>
      </c>
      <c r="E71" s="24" t="str">
        <f aca="false">IF($A71="","",SUMIFS(대여내역!$J$3:$J$1002,대여내역!$D$3:$D$1002,$A71,대여내역!$J$3:$J$1002,"&gt;0"))</f>
        <v/>
      </c>
      <c r="F71" s="24" t="str">
        <f aca="false">IF($A71="","",SUMIFS(대여내역!$G$3:$G$1002,대여내역!$D$3:$D$1002,$A71))</f>
        <v/>
      </c>
      <c r="G71" s="24" t="str">
        <f aca="false">IF($A71="","",SUMIFS(대여내역!$I$3:$I$1002,대여내역!$D$3:$D$1002,$A71))</f>
        <v/>
      </c>
    </row>
    <row r="72" customFormat="false" ht="15" hidden="false" customHeight="false" outlineLevel="0" collapsed="false">
      <c r="A72" s="18" t="str">
        <f aca="false">IF(품목목록!$A71="","",품목목록!$A71)</f>
        <v/>
      </c>
      <c r="B72" s="18" t="str">
        <f aca="false">IF($A72="","",품목목록!$B71)</f>
        <v/>
      </c>
      <c r="C72" s="18" t="str">
        <f aca="false">IF($A72="","",품목목록!$D71)</f>
        <v/>
      </c>
      <c r="D72" s="24" t="str">
        <f aca="false">IF($A72="","",IF(품목목록!$E71="",0,품목목록!$E71))</f>
        <v/>
      </c>
      <c r="E72" s="24" t="str">
        <f aca="false">IF($A72="","",SUMIFS(대여내역!$J$3:$J$1002,대여내역!$D$3:$D$1002,$A72,대여내역!$J$3:$J$1002,"&gt;0"))</f>
        <v/>
      </c>
      <c r="F72" s="24" t="str">
        <f aca="false">IF($A72="","",SUMIFS(대여내역!$G$3:$G$1002,대여내역!$D$3:$D$1002,$A72))</f>
        <v/>
      </c>
      <c r="G72" s="24" t="str">
        <f aca="false">IF($A72="","",SUMIFS(대여내역!$I$3:$I$1002,대여내역!$D$3:$D$1002,$A72))</f>
        <v/>
      </c>
    </row>
    <row r="73" customFormat="false" ht="15" hidden="false" customHeight="false" outlineLevel="0" collapsed="false">
      <c r="A73" s="18" t="str">
        <f aca="false">IF(품목목록!$A72="","",품목목록!$A72)</f>
        <v/>
      </c>
      <c r="B73" s="18" t="str">
        <f aca="false">IF($A73="","",품목목록!$B72)</f>
        <v/>
      </c>
      <c r="C73" s="18" t="str">
        <f aca="false">IF($A73="","",품목목록!$D72)</f>
        <v/>
      </c>
      <c r="D73" s="24" t="str">
        <f aca="false">IF($A73="","",IF(품목목록!$E72="",0,품목목록!$E72))</f>
        <v/>
      </c>
      <c r="E73" s="24" t="str">
        <f aca="false">IF($A73="","",SUMIFS(대여내역!$J$3:$J$1002,대여내역!$D$3:$D$1002,$A73,대여내역!$J$3:$J$1002,"&gt;0"))</f>
        <v/>
      </c>
      <c r="F73" s="24" t="str">
        <f aca="false">IF($A73="","",SUMIFS(대여내역!$G$3:$G$1002,대여내역!$D$3:$D$1002,$A73))</f>
        <v/>
      </c>
      <c r="G73" s="24" t="str">
        <f aca="false">IF($A73="","",SUMIFS(대여내역!$I$3:$I$1002,대여내역!$D$3:$D$1002,$A73))</f>
        <v/>
      </c>
    </row>
    <row r="74" customFormat="false" ht="15" hidden="false" customHeight="false" outlineLevel="0" collapsed="false">
      <c r="A74" s="18" t="str">
        <f aca="false">IF(품목목록!$A73="","",품목목록!$A73)</f>
        <v/>
      </c>
      <c r="B74" s="18" t="str">
        <f aca="false">IF($A74="","",품목목록!$B73)</f>
        <v/>
      </c>
      <c r="C74" s="18" t="str">
        <f aca="false">IF($A74="","",품목목록!$D73)</f>
        <v/>
      </c>
      <c r="D74" s="24" t="str">
        <f aca="false">IF($A74="","",IF(품목목록!$E73="",0,품목목록!$E73))</f>
        <v/>
      </c>
      <c r="E74" s="24" t="str">
        <f aca="false">IF($A74="","",SUMIFS(대여내역!$J$3:$J$1002,대여내역!$D$3:$D$1002,$A74,대여내역!$J$3:$J$1002,"&gt;0"))</f>
        <v/>
      </c>
      <c r="F74" s="24" t="str">
        <f aca="false">IF($A74="","",SUMIFS(대여내역!$G$3:$G$1002,대여내역!$D$3:$D$1002,$A74))</f>
        <v/>
      </c>
      <c r="G74" s="24" t="str">
        <f aca="false">IF($A74="","",SUMIFS(대여내역!$I$3:$I$1002,대여내역!$D$3:$D$1002,$A74))</f>
        <v/>
      </c>
    </row>
    <row r="75" customFormat="false" ht="15" hidden="false" customHeight="false" outlineLevel="0" collapsed="false">
      <c r="A75" s="18" t="str">
        <f aca="false">IF(품목목록!$A74="","",품목목록!$A74)</f>
        <v/>
      </c>
      <c r="B75" s="18" t="str">
        <f aca="false">IF($A75="","",품목목록!$B74)</f>
        <v/>
      </c>
      <c r="C75" s="18" t="str">
        <f aca="false">IF($A75="","",품목목록!$D74)</f>
        <v/>
      </c>
      <c r="D75" s="24" t="str">
        <f aca="false">IF($A75="","",IF(품목목록!$E74="",0,품목목록!$E74))</f>
        <v/>
      </c>
      <c r="E75" s="24" t="str">
        <f aca="false">IF($A75="","",SUMIFS(대여내역!$J$3:$J$1002,대여내역!$D$3:$D$1002,$A75,대여내역!$J$3:$J$1002,"&gt;0"))</f>
        <v/>
      </c>
      <c r="F75" s="24" t="str">
        <f aca="false">IF($A75="","",SUMIFS(대여내역!$G$3:$G$1002,대여내역!$D$3:$D$1002,$A75))</f>
        <v/>
      </c>
      <c r="G75" s="24" t="str">
        <f aca="false">IF($A75="","",SUMIFS(대여내역!$I$3:$I$1002,대여내역!$D$3:$D$1002,$A75))</f>
        <v/>
      </c>
    </row>
    <row r="76" customFormat="false" ht="15" hidden="false" customHeight="false" outlineLevel="0" collapsed="false">
      <c r="A76" s="18" t="str">
        <f aca="false">IF(품목목록!$A75="","",품목목록!$A75)</f>
        <v/>
      </c>
      <c r="B76" s="18" t="str">
        <f aca="false">IF($A76="","",품목목록!$B75)</f>
        <v/>
      </c>
      <c r="C76" s="18" t="str">
        <f aca="false">IF($A76="","",품목목록!$D75)</f>
        <v/>
      </c>
      <c r="D76" s="24" t="str">
        <f aca="false">IF($A76="","",IF(품목목록!$E75="",0,품목목록!$E75))</f>
        <v/>
      </c>
      <c r="E76" s="24" t="str">
        <f aca="false">IF($A76="","",SUMIFS(대여내역!$J$3:$J$1002,대여내역!$D$3:$D$1002,$A76,대여내역!$J$3:$J$1002,"&gt;0"))</f>
        <v/>
      </c>
      <c r="F76" s="24" t="str">
        <f aca="false">IF($A76="","",SUMIFS(대여내역!$G$3:$G$1002,대여내역!$D$3:$D$1002,$A76))</f>
        <v/>
      </c>
      <c r="G76" s="24" t="str">
        <f aca="false">IF($A76="","",SUMIFS(대여내역!$I$3:$I$1002,대여내역!$D$3:$D$1002,$A76))</f>
        <v/>
      </c>
    </row>
    <row r="77" customFormat="false" ht="15" hidden="false" customHeight="false" outlineLevel="0" collapsed="false">
      <c r="A77" s="18" t="str">
        <f aca="false">IF(품목목록!$A76="","",품목목록!$A76)</f>
        <v/>
      </c>
      <c r="B77" s="18" t="str">
        <f aca="false">IF($A77="","",품목목록!$B76)</f>
        <v/>
      </c>
      <c r="C77" s="18" t="str">
        <f aca="false">IF($A77="","",품목목록!$D76)</f>
        <v/>
      </c>
      <c r="D77" s="24" t="str">
        <f aca="false">IF($A77="","",IF(품목목록!$E76="",0,품목목록!$E76))</f>
        <v/>
      </c>
      <c r="E77" s="24" t="str">
        <f aca="false">IF($A77="","",SUMIFS(대여내역!$J$3:$J$1002,대여내역!$D$3:$D$1002,$A77,대여내역!$J$3:$J$1002,"&gt;0"))</f>
        <v/>
      </c>
      <c r="F77" s="24" t="str">
        <f aca="false">IF($A77="","",SUMIFS(대여내역!$G$3:$G$1002,대여내역!$D$3:$D$1002,$A77))</f>
        <v/>
      </c>
      <c r="G77" s="24" t="str">
        <f aca="false">IF($A77="","",SUMIFS(대여내역!$I$3:$I$1002,대여내역!$D$3:$D$1002,$A77))</f>
        <v/>
      </c>
    </row>
    <row r="78" customFormat="false" ht="15" hidden="false" customHeight="false" outlineLevel="0" collapsed="false">
      <c r="A78" s="18" t="str">
        <f aca="false">IF(품목목록!$A77="","",품목목록!$A77)</f>
        <v/>
      </c>
      <c r="B78" s="18" t="str">
        <f aca="false">IF($A78="","",품목목록!$B77)</f>
        <v/>
      </c>
      <c r="C78" s="18" t="str">
        <f aca="false">IF($A78="","",품목목록!$D77)</f>
        <v/>
      </c>
      <c r="D78" s="24" t="str">
        <f aca="false">IF($A78="","",IF(품목목록!$E77="",0,품목목록!$E77))</f>
        <v/>
      </c>
      <c r="E78" s="24" t="str">
        <f aca="false">IF($A78="","",SUMIFS(대여내역!$J$3:$J$1002,대여내역!$D$3:$D$1002,$A78,대여내역!$J$3:$J$1002,"&gt;0"))</f>
        <v/>
      </c>
      <c r="F78" s="24" t="str">
        <f aca="false">IF($A78="","",SUMIFS(대여내역!$G$3:$G$1002,대여내역!$D$3:$D$1002,$A78))</f>
        <v/>
      </c>
      <c r="G78" s="24" t="str">
        <f aca="false">IF($A78="","",SUMIFS(대여내역!$I$3:$I$1002,대여내역!$D$3:$D$1002,$A78))</f>
        <v/>
      </c>
    </row>
    <row r="79" customFormat="false" ht="15" hidden="false" customHeight="false" outlineLevel="0" collapsed="false">
      <c r="A79" s="18" t="str">
        <f aca="false">IF(품목목록!$A78="","",품목목록!$A78)</f>
        <v/>
      </c>
      <c r="B79" s="18" t="str">
        <f aca="false">IF($A79="","",품목목록!$B78)</f>
        <v/>
      </c>
      <c r="C79" s="18" t="str">
        <f aca="false">IF($A79="","",품목목록!$D78)</f>
        <v/>
      </c>
      <c r="D79" s="24" t="str">
        <f aca="false">IF($A79="","",IF(품목목록!$E78="",0,품목목록!$E78))</f>
        <v/>
      </c>
      <c r="E79" s="24" t="str">
        <f aca="false">IF($A79="","",SUMIFS(대여내역!$J$3:$J$1002,대여내역!$D$3:$D$1002,$A79,대여내역!$J$3:$J$1002,"&gt;0"))</f>
        <v/>
      </c>
      <c r="F79" s="24" t="str">
        <f aca="false">IF($A79="","",SUMIFS(대여내역!$G$3:$G$1002,대여내역!$D$3:$D$1002,$A79))</f>
        <v/>
      </c>
      <c r="G79" s="24" t="str">
        <f aca="false">IF($A79="","",SUMIFS(대여내역!$I$3:$I$1002,대여내역!$D$3:$D$1002,$A79))</f>
        <v/>
      </c>
    </row>
    <row r="80" customFormat="false" ht="15" hidden="false" customHeight="false" outlineLevel="0" collapsed="false">
      <c r="A80" s="18" t="str">
        <f aca="false">IF(품목목록!$A79="","",품목목록!$A79)</f>
        <v/>
      </c>
      <c r="B80" s="18" t="str">
        <f aca="false">IF($A80="","",품목목록!$B79)</f>
        <v/>
      </c>
      <c r="C80" s="18" t="str">
        <f aca="false">IF($A80="","",품목목록!$D79)</f>
        <v/>
      </c>
      <c r="D80" s="24" t="str">
        <f aca="false">IF($A80="","",IF(품목목록!$E79="",0,품목목록!$E79))</f>
        <v/>
      </c>
      <c r="E80" s="24" t="str">
        <f aca="false">IF($A80="","",SUMIFS(대여내역!$J$3:$J$1002,대여내역!$D$3:$D$1002,$A80,대여내역!$J$3:$J$1002,"&gt;0"))</f>
        <v/>
      </c>
      <c r="F80" s="24" t="str">
        <f aca="false">IF($A80="","",SUMIFS(대여내역!$G$3:$G$1002,대여내역!$D$3:$D$1002,$A80))</f>
        <v/>
      </c>
      <c r="G80" s="24" t="str">
        <f aca="false">IF($A80="","",SUMIFS(대여내역!$I$3:$I$1002,대여내역!$D$3:$D$1002,$A80))</f>
        <v/>
      </c>
    </row>
    <row r="81" customFormat="false" ht="15" hidden="false" customHeight="false" outlineLevel="0" collapsed="false">
      <c r="A81" s="18" t="str">
        <f aca="false">IF(품목목록!$A80="","",품목목록!$A80)</f>
        <v/>
      </c>
      <c r="B81" s="18" t="str">
        <f aca="false">IF($A81="","",품목목록!$B80)</f>
        <v/>
      </c>
      <c r="C81" s="18" t="str">
        <f aca="false">IF($A81="","",품목목록!$D80)</f>
        <v/>
      </c>
      <c r="D81" s="24" t="str">
        <f aca="false">IF($A81="","",IF(품목목록!$E80="",0,품목목록!$E80))</f>
        <v/>
      </c>
      <c r="E81" s="24" t="str">
        <f aca="false">IF($A81="","",SUMIFS(대여내역!$J$3:$J$1002,대여내역!$D$3:$D$1002,$A81,대여내역!$J$3:$J$1002,"&gt;0"))</f>
        <v/>
      </c>
      <c r="F81" s="24" t="str">
        <f aca="false">IF($A81="","",SUMIFS(대여내역!$G$3:$G$1002,대여내역!$D$3:$D$1002,$A81))</f>
        <v/>
      </c>
      <c r="G81" s="24" t="str">
        <f aca="false">IF($A81="","",SUMIFS(대여내역!$I$3:$I$1002,대여내역!$D$3:$D$1002,$A81))</f>
        <v/>
      </c>
    </row>
    <row r="82" customFormat="false" ht="15" hidden="false" customHeight="false" outlineLevel="0" collapsed="false">
      <c r="A82" s="18" t="str">
        <f aca="false">IF(품목목록!$A81="","",품목목록!$A81)</f>
        <v/>
      </c>
      <c r="B82" s="18" t="str">
        <f aca="false">IF($A82="","",품목목록!$B81)</f>
        <v/>
      </c>
      <c r="C82" s="18" t="str">
        <f aca="false">IF($A82="","",품목목록!$D81)</f>
        <v/>
      </c>
      <c r="D82" s="24" t="str">
        <f aca="false">IF($A82="","",IF(품목목록!$E81="",0,품목목록!$E81))</f>
        <v/>
      </c>
      <c r="E82" s="24" t="str">
        <f aca="false">IF($A82="","",SUMIFS(대여내역!$J$3:$J$1002,대여내역!$D$3:$D$1002,$A82,대여내역!$J$3:$J$1002,"&gt;0"))</f>
        <v/>
      </c>
      <c r="F82" s="24" t="str">
        <f aca="false">IF($A82="","",SUMIFS(대여내역!$G$3:$G$1002,대여내역!$D$3:$D$1002,$A82))</f>
        <v/>
      </c>
      <c r="G82" s="24" t="str">
        <f aca="false">IF($A82="","",SUMIFS(대여내역!$I$3:$I$1002,대여내역!$D$3:$D$1002,$A82))</f>
        <v/>
      </c>
    </row>
    <row r="83" customFormat="false" ht="15" hidden="false" customHeight="false" outlineLevel="0" collapsed="false">
      <c r="A83" s="18" t="str">
        <f aca="false">IF(품목목록!$A82="","",품목목록!$A82)</f>
        <v/>
      </c>
      <c r="B83" s="18" t="str">
        <f aca="false">IF($A83="","",품목목록!$B82)</f>
        <v/>
      </c>
      <c r="C83" s="18" t="str">
        <f aca="false">IF($A83="","",품목목록!$D82)</f>
        <v/>
      </c>
      <c r="D83" s="24" t="str">
        <f aca="false">IF($A83="","",IF(품목목록!$E82="",0,품목목록!$E82))</f>
        <v/>
      </c>
      <c r="E83" s="24" t="str">
        <f aca="false">IF($A83="","",SUMIFS(대여내역!$J$3:$J$1002,대여내역!$D$3:$D$1002,$A83,대여내역!$J$3:$J$1002,"&gt;0"))</f>
        <v/>
      </c>
      <c r="F83" s="24" t="str">
        <f aca="false">IF($A83="","",SUMIFS(대여내역!$G$3:$G$1002,대여내역!$D$3:$D$1002,$A83))</f>
        <v/>
      </c>
      <c r="G83" s="24" t="str">
        <f aca="false">IF($A83="","",SUMIFS(대여내역!$I$3:$I$1002,대여내역!$D$3:$D$1002,$A83))</f>
        <v/>
      </c>
    </row>
    <row r="84" customFormat="false" ht="15" hidden="false" customHeight="false" outlineLevel="0" collapsed="false">
      <c r="A84" s="18" t="str">
        <f aca="false">IF(품목목록!$A83="","",품목목록!$A83)</f>
        <v/>
      </c>
      <c r="B84" s="18" t="str">
        <f aca="false">IF($A84="","",품목목록!$B83)</f>
        <v/>
      </c>
      <c r="C84" s="18" t="str">
        <f aca="false">IF($A84="","",품목목록!$D83)</f>
        <v/>
      </c>
      <c r="D84" s="24" t="str">
        <f aca="false">IF($A84="","",IF(품목목록!$E83="",0,품목목록!$E83))</f>
        <v/>
      </c>
      <c r="E84" s="24" t="str">
        <f aca="false">IF($A84="","",SUMIFS(대여내역!$J$3:$J$1002,대여내역!$D$3:$D$1002,$A84,대여내역!$J$3:$J$1002,"&gt;0"))</f>
        <v/>
      </c>
      <c r="F84" s="24" t="str">
        <f aca="false">IF($A84="","",SUMIFS(대여내역!$G$3:$G$1002,대여내역!$D$3:$D$1002,$A84))</f>
        <v/>
      </c>
      <c r="G84" s="24" t="str">
        <f aca="false">IF($A84="","",SUMIFS(대여내역!$I$3:$I$1002,대여내역!$D$3:$D$1002,$A84))</f>
        <v/>
      </c>
    </row>
    <row r="85" customFormat="false" ht="15" hidden="false" customHeight="false" outlineLevel="0" collapsed="false">
      <c r="A85" s="18" t="str">
        <f aca="false">IF(품목목록!$A84="","",품목목록!$A84)</f>
        <v/>
      </c>
      <c r="B85" s="18" t="str">
        <f aca="false">IF($A85="","",품목목록!$B84)</f>
        <v/>
      </c>
      <c r="C85" s="18" t="str">
        <f aca="false">IF($A85="","",품목목록!$D84)</f>
        <v/>
      </c>
      <c r="D85" s="24" t="str">
        <f aca="false">IF($A85="","",IF(품목목록!$E84="",0,품목목록!$E84))</f>
        <v/>
      </c>
      <c r="E85" s="24" t="str">
        <f aca="false">IF($A85="","",SUMIFS(대여내역!$J$3:$J$1002,대여내역!$D$3:$D$1002,$A85,대여내역!$J$3:$J$1002,"&gt;0"))</f>
        <v/>
      </c>
      <c r="F85" s="24" t="str">
        <f aca="false">IF($A85="","",SUMIFS(대여내역!$G$3:$G$1002,대여내역!$D$3:$D$1002,$A85))</f>
        <v/>
      </c>
      <c r="G85" s="24" t="str">
        <f aca="false">IF($A85="","",SUMIFS(대여내역!$I$3:$I$1002,대여내역!$D$3:$D$1002,$A85))</f>
        <v/>
      </c>
    </row>
    <row r="86" customFormat="false" ht="15" hidden="false" customHeight="false" outlineLevel="0" collapsed="false">
      <c r="A86" s="18" t="str">
        <f aca="false">IF(품목목록!$A85="","",품목목록!$A85)</f>
        <v/>
      </c>
      <c r="B86" s="18" t="str">
        <f aca="false">IF($A86="","",품목목록!$B85)</f>
        <v/>
      </c>
      <c r="C86" s="18" t="str">
        <f aca="false">IF($A86="","",품목목록!$D85)</f>
        <v/>
      </c>
      <c r="D86" s="24" t="str">
        <f aca="false">IF($A86="","",IF(품목목록!$E85="",0,품목목록!$E85))</f>
        <v/>
      </c>
      <c r="E86" s="24" t="str">
        <f aca="false">IF($A86="","",SUMIFS(대여내역!$J$3:$J$1002,대여내역!$D$3:$D$1002,$A86,대여내역!$J$3:$J$1002,"&gt;0"))</f>
        <v/>
      </c>
      <c r="F86" s="24" t="str">
        <f aca="false">IF($A86="","",SUMIFS(대여내역!$G$3:$G$1002,대여내역!$D$3:$D$1002,$A86))</f>
        <v/>
      </c>
      <c r="G86" s="24" t="str">
        <f aca="false">IF($A86="","",SUMIFS(대여내역!$I$3:$I$1002,대여내역!$D$3:$D$1002,$A86))</f>
        <v/>
      </c>
    </row>
    <row r="87" customFormat="false" ht="15" hidden="false" customHeight="false" outlineLevel="0" collapsed="false">
      <c r="A87" s="18" t="str">
        <f aca="false">IF(품목목록!$A86="","",품목목록!$A86)</f>
        <v/>
      </c>
      <c r="B87" s="18" t="str">
        <f aca="false">IF($A87="","",품목목록!$B86)</f>
        <v/>
      </c>
      <c r="C87" s="18" t="str">
        <f aca="false">IF($A87="","",품목목록!$D86)</f>
        <v/>
      </c>
      <c r="D87" s="24" t="str">
        <f aca="false">IF($A87="","",IF(품목목록!$E86="",0,품목목록!$E86))</f>
        <v/>
      </c>
      <c r="E87" s="24" t="str">
        <f aca="false">IF($A87="","",SUMIFS(대여내역!$J$3:$J$1002,대여내역!$D$3:$D$1002,$A87,대여내역!$J$3:$J$1002,"&gt;0"))</f>
        <v/>
      </c>
      <c r="F87" s="24" t="str">
        <f aca="false">IF($A87="","",SUMIFS(대여내역!$G$3:$G$1002,대여내역!$D$3:$D$1002,$A87))</f>
        <v/>
      </c>
      <c r="G87" s="24" t="str">
        <f aca="false">IF($A87="","",SUMIFS(대여내역!$I$3:$I$1002,대여내역!$D$3:$D$1002,$A87))</f>
        <v/>
      </c>
    </row>
    <row r="88" customFormat="false" ht="15" hidden="false" customHeight="false" outlineLevel="0" collapsed="false">
      <c r="A88" s="18" t="str">
        <f aca="false">IF(품목목록!$A87="","",품목목록!$A87)</f>
        <v/>
      </c>
      <c r="B88" s="18" t="str">
        <f aca="false">IF($A88="","",품목목록!$B87)</f>
        <v/>
      </c>
      <c r="C88" s="18" t="str">
        <f aca="false">IF($A88="","",품목목록!$D87)</f>
        <v/>
      </c>
      <c r="D88" s="24" t="str">
        <f aca="false">IF($A88="","",IF(품목목록!$E87="",0,품목목록!$E87))</f>
        <v/>
      </c>
      <c r="E88" s="24" t="str">
        <f aca="false">IF($A88="","",SUMIFS(대여내역!$J$3:$J$1002,대여내역!$D$3:$D$1002,$A88,대여내역!$J$3:$J$1002,"&gt;0"))</f>
        <v/>
      </c>
      <c r="F88" s="24" t="str">
        <f aca="false">IF($A88="","",SUMIFS(대여내역!$G$3:$G$1002,대여내역!$D$3:$D$1002,$A88))</f>
        <v/>
      </c>
      <c r="G88" s="24" t="str">
        <f aca="false">IF($A88="","",SUMIFS(대여내역!$I$3:$I$1002,대여내역!$D$3:$D$1002,$A88))</f>
        <v/>
      </c>
    </row>
    <row r="89" customFormat="false" ht="15" hidden="false" customHeight="false" outlineLevel="0" collapsed="false">
      <c r="A89" s="18" t="str">
        <f aca="false">IF(품목목록!$A88="","",품목목록!$A88)</f>
        <v/>
      </c>
      <c r="B89" s="18" t="str">
        <f aca="false">IF($A89="","",품목목록!$B88)</f>
        <v/>
      </c>
      <c r="C89" s="18" t="str">
        <f aca="false">IF($A89="","",품목목록!$D88)</f>
        <v/>
      </c>
      <c r="D89" s="24" t="str">
        <f aca="false">IF($A89="","",IF(품목목록!$E88="",0,품목목록!$E88))</f>
        <v/>
      </c>
      <c r="E89" s="24" t="str">
        <f aca="false">IF($A89="","",SUMIFS(대여내역!$J$3:$J$1002,대여내역!$D$3:$D$1002,$A89,대여내역!$J$3:$J$1002,"&gt;0"))</f>
        <v/>
      </c>
      <c r="F89" s="24" t="str">
        <f aca="false">IF($A89="","",SUMIFS(대여내역!$G$3:$G$1002,대여내역!$D$3:$D$1002,$A89))</f>
        <v/>
      </c>
      <c r="G89" s="24" t="str">
        <f aca="false">IF($A89="","",SUMIFS(대여내역!$I$3:$I$1002,대여내역!$D$3:$D$1002,$A89))</f>
        <v/>
      </c>
    </row>
    <row r="90" customFormat="false" ht="15" hidden="false" customHeight="false" outlineLevel="0" collapsed="false">
      <c r="A90" s="18" t="str">
        <f aca="false">IF(품목목록!$A89="","",품목목록!$A89)</f>
        <v/>
      </c>
      <c r="B90" s="18" t="str">
        <f aca="false">IF($A90="","",품목목록!$B89)</f>
        <v/>
      </c>
      <c r="C90" s="18" t="str">
        <f aca="false">IF($A90="","",품목목록!$D89)</f>
        <v/>
      </c>
      <c r="D90" s="24" t="str">
        <f aca="false">IF($A90="","",IF(품목목록!$E89="",0,품목목록!$E89))</f>
        <v/>
      </c>
      <c r="E90" s="24" t="str">
        <f aca="false">IF($A90="","",SUMIFS(대여내역!$J$3:$J$1002,대여내역!$D$3:$D$1002,$A90,대여내역!$J$3:$J$1002,"&gt;0"))</f>
        <v/>
      </c>
      <c r="F90" s="24" t="str">
        <f aca="false">IF($A90="","",SUMIFS(대여내역!$G$3:$G$1002,대여내역!$D$3:$D$1002,$A90))</f>
        <v/>
      </c>
      <c r="G90" s="24" t="str">
        <f aca="false">IF($A90="","",SUMIFS(대여내역!$I$3:$I$1002,대여내역!$D$3:$D$1002,$A90))</f>
        <v/>
      </c>
    </row>
    <row r="91" customFormat="false" ht="15" hidden="false" customHeight="false" outlineLevel="0" collapsed="false">
      <c r="A91" s="18" t="str">
        <f aca="false">IF(품목목록!$A90="","",품목목록!$A90)</f>
        <v/>
      </c>
      <c r="B91" s="18" t="str">
        <f aca="false">IF($A91="","",품목목록!$B90)</f>
        <v/>
      </c>
      <c r="C91" s="18" t="str">
        <f aca="false">IF($A91="","",품목목록!$D90)</f>
        <v/>
      </c>
      <c r="D91" s="24" t="str">
        <f aca="false">IF($A91="","",IF(품목목록!$E90="",0,품목목록!$E90))</f>
        <v/>
      </c>
      <c r="E91" s="24" t="str">
        <f aca="false">IF($A91="","",SUMIFS(대여내역!$J$3:$J$1002,대여내역!$D$3:$D$1002,$A91,대여내역!$J$3:$J$1002,"&gt;0"))</f>
        <v/>
      </c>
      <c r="F91" s="24" t="str">
        <f aca="false">IF($A91="","",SUMIFS(대여내역!$G$3:$G$1002,대여내역!$D$3:$D$1002,$A91))</f>
        <v/>
      </c>
      <c r="G91" s="24" t="str">
        <f aca="false">IF($A91="","",SUMIFS(대여내역!$I$3:$I$1002,대여내역!$D$3:$D$1002,$A91))</f>
        <v/>
      </c>
    </row>
    <row r="92" customFormat="false" ht="15" hidden="false" customHeight="false" outlineLevel="0" collapsed="false">
      <c r="A92" s="18" t="str">
        <f aca="false">IF(품목목록!$A91="","",품목목록!$A91)</f>
        <v/>
      </c>
      <c r="B92" s="18" t="str">
        <f aca="false">IF($A92="","",품목목록!$B91)</f>
        <v/>
      </c>
      <c r="C92" s="18" t="str">
        <f aca="false">IF($A92="","",품목목록!$D91)</f>
        <v/>
      </c>
      <c r="D92" s="24" t="str">
        <f aca="false">IF($A92="","",IF(품목목록!$E91="",0,품목목록!$E91))</f>
        <v/>
      </c>
      <c r="E92" s="24" t="str">
        <f aca="false">IF($A92="","",SUMIFS(대여내역!$J$3:$J$1002,대여내역!$D$3:$D$1002,$A92,대여내역!$J$3:$J$1002,"&gt;0"))</f>
        <v/>
      </c>
      <c r="F92" s="24" t="str">
        <f aca="false">IF($A92="","",SUMIFS(대여내역!$G$3:$G$1002,대여내역!$D$3:$D$1002,$A92))</f>
        <v/>
      </c>
      <c r="G92" s="24" t="str">
        <f aca="false">IF($A92="","",SUMIFS(대여내역!$I$3:$I$1002,대여내역!$D$3:$D$1002,$A92))</f>
        <v/>
      </c>
    </row>
    <row r="93" customFormat="false" ht="15" hidden="false" customHeight="false" outlineLevel="0" collapsed="false">
      <c r="A93" s="18" t="str">
        <f aca="false">IF(품목목록!$A92="","",품목목록!$A92)</f>
        <v/>
      </c>
      <c r="B93" s="18" t="str">
        <f aca="false">IF($A93="","",품목목록!$B92)</f>
        <v/>
      </c>
      <c r="C93" s="18" t="str">
        <f aca="false">IF($A93="","",품목목록!$D92)</f>
        <v/>
      </c>
      <c r="D93" s="24" t="str">
        <f aca="false">IF($A93="","",IF(품목목록!$E92="",0,품목목록!$E92))</f>
        <v/>
      </c>
      <c r="E93" s="24" t="str">
        <f aca="false">IF($A93="","",SUMIFS(대여내역!$J$3:$J$1002,대여내역!$D$3:$D$1002,$A93,대여내역!$J$3:$J$1002,"&gt;0"))</f>
        <v/>
      </c>
      <c r="F93" s="24" t="str">
        <f aca="false">IF($A93="","",SUMIFS(대여내역!$G$3:$G$1002,대여내역!$D$3:$D$1002,$A93))</f>
        <v/>
      </c>
      <c r="G93" s="24" t="str">
        <f aca="false">IF($A93="","",SUMIFS(대여내역!$I$3:$I$1002,대여내역!$D$3:$D$1002,$A93))</f>
        <v/>
      </c>
    </row>
    <row r="94" customFormat="false" ht="15" hidden="false" customHeight="false" outlineLevel="0" collapsed="false">
      <c r="A94" s="18" t="str">
        <f aca="false">IF(품목목록!$A93="","",품목목록!$A93)</f>
        <v/>
      </c>
      <c r="B94" s="18" t="str">
        <f aca="false">IF($A94="","",품목목록!$B93)</f>
        <v/>
      </c>
      <c r="C94" s="18" t="str">
        <f aca="false">IF($A94="","",품목목록!$D93)</f>
        <v/>
      </c>
      <c r="D94" s="24" t="str">
        <f aca="false">IF($A94="","",IF(품목목록!$E93="",0,품목목록!$E93))</f>
        <v/>
      </c>
      <c r="E94" s="24" t="str">
        <f aca="false">IF($A94="","",SUMIFS(대여내역!$J$3:$J$1002,대여내역!$D$3:$D$1002,$A94,대여내역!$J$3:$J$1002,"&gt;0"))</f>
        <v/>
      </c>
      <c r="F94" s="24" t="str">
        <f aca="false">IF($A94="","",SUMIFS(대여내역!$G$3:$G$1002,대여내역!$D$3:$D$1002,$A94))</f>
        <v/>
      </c>
      <c r="G94" s="24" t="str">
        <f aca="false">IF($A94="","",SUMIFS(대여내역!$I$3:$I$1002,대여내역!$D$3:$D$1002,$A94))</f>
        <v/>
      </c>
    </row>
    <row r="95" customFormat="false" ht="15" hidden="false" customHeight="false" outlineLevel="0" collapsed="false">
      <c r="A95" s="18" t="str">
        <f aca="false">IF(품목목록!$A94="","",품목목록!$A94)</f>
        <v/>
      </c>
      <c r="B95" s="18" t="str">
        <f aca="false">IF($A95="","",품목목록!$B94)</f>
        <v/>
      </c>
      <c r="C95" s="18" t="str">
        <f aca="false">IF($A95="","",품목목록!$D94)</f>
        <v/>
      </c>
      <c r="D95" s="24" t="str">
        <f aca="false">IF($A95="","",IF(품목목록!$E94="",0,품목목록!$E94))</f>
        <v/>
      </c>
      <c r="E95" s="24" t="str">
        <f aca="false">IF($A95="","",SUMIFS(대여내역!$J$3:$J$1002,대여내역!$D$3:$D$1002,$A95,대여내역!$J$3:$J$1002,"&gt;0"))</f>
        <v/>
      </c>
      <c r="F95" s="24" t="str">
        <f aca="false">IF($A95="","",SUMIFS(대여내역!$G$3:$G$1002,대여내역!$D$3:$D$1002,$A95))</f>
        <v/>
      </c>
      <c r="G95" s="24" t="str">
        <f aca="false">IF($A95="","",SUMIFS(대여내역!$I$3:$I$1002,대여내역!$D$3:$D$1002,$A95))</f>
        <v/>
      </c>
    </row>
    <row r="96" customFormat="false" ht="15" hidden="false" customHeight="false" outlineLevel="0" collapsed="false">
      <c r="A96" s="18" t="str">
        <f aca="false">IF(품목목록!$A95="","",품목목록!$A95)</f>
        <v/>
      </c>
      <c r="B96" s="18" t="str">
        <f aca="false">IF($A96="","",품목목록!$B95)</f>
        <v/>
      </c>
      <c r="C96" s="18" t="str">
        <f aca="false">IF($A96="","",품목목록!$D95)</f>
        <v/>
      </c>
      <c r="D96" s="24" t="str">
        <f aca="false">IF($A96="","",IF(품목목록!$E95="",0,품목목록!$E95))</f>
        <v/>
      </c>
      <c r="E96" s="24" t="str">
        <f aca="false">IF($A96="","",SUMIFS(대여내역!$J$3:$J$1002,대여내역!$D$3:$D$1002,$A96,대여내역!$J$3:$J$1002,"&gt;0"))</f>
        <v/>
      </c>
      <c r="F96" s="24" t="str">
        <f aca="false">IF($A96="","",SUMIFS(대여내역!$G$3:$G$1002,대여내역!$D$3:$D$1002,$A96))</f>
        <v/>
      </c>
      <c r="G96" s="24" t="str">
        <f aca="false">IF($A96="","",SUMIFS(대여내역!$I$3:$I$1002,대여내역!$D$3:$D$1002,$A96))</f>
        <v/>
      </c>
    </row>
    <row r="97" customFormat="false" ht="15" hidden="false" customHeight="false" outlineLevel="0" collapsed="false">
      <c r="A97" s="18" t="str">
        <f aca="false">IF(품목목록!$A96="","",품목목록!$A96)</f>
        <v/>
      </c>
      <c r="B97" s="18" t="str">
        <f aca="false">IF($A97="","",품목목록!$B96)</f>
        <v/>
      </c>
      <c r="C97" s="18" t="str">
        <f aca="false">IF($A97="","",품목목록!$D96)</f>
        <v/>
      </c>
      <c r="D97" s="24" t="str">
        <f aca="false">IF($A97="","",IF(품목목록!$E96="",0,품목목록!$E96))</f>
        <v/>
      </c>
      <c r="E97" s="24" t="str">
        <f aca="false">IF($A97="","",SUMIFS(대여내역!$J$3:$J$1002,대여내역!$D$3:$D$1002,$A97,대여내역!$J$3:$J$1002,"&gt;0"))</f>
        <v/>
      </c>
      <c r="F97" s="24" t="str">
        <f aca="false">IF($A97="","",SUMIFS(대여내역!$G$3:$G$1002,대여내역!$D$3:$D$1002,$A97))</f>
        <v/>
      </c>
      <c r="G97" s="24" t="str">
        <f aca="false">IF($A97="","",SUMIFS(대여내역!$I$3:$I$1002,대여내역!$D$3:$D$1002,$A97))</f>
        <v/>
      </c>
    </row>
    <row r="98" customFormat="false" ht="15" hidden="false" customHeight="false" outlineLevel="0" collapsed="false">
      <c r="A98" s="18" t="str">
        <f aca="false">IF(품목목록!$A97="","",품목목록!$A97)</f>
        <v/>
      </c>
      <c r="B98" s="18" t="str">
        <f aca="false">IF($A98="","",품목목록!$B97)</f>
        <v/>
      </c>
      <c r="C98" s="18" t="str">
        <f aca="false">IF($A98="","",품목목록!$D97)</f>
        <v/>
      </c>
      <c r="D98" s="24" t="str">
        <f aca="false">IF($A98="","",IF(품목목록!$E97="",0,품목목록!$E97))</f>
        <v/>
      </c>
      <c r="E98" s="24" t="str">
        <f aca="false">IF($A98="","",SUMIFS(대여내역!$J$3:$J$1002,대여내역!$D$3:$D$1002,$A98,대여내역!$J$3:$J$1002,"&gt;0"))</f>
        <v/>
      </c>
      <c r="F98" s="24" t="str">
        <f aca="false">IF($A98="","",SUMIFS(대여내역!$G$3:$G$1002,대여내역!$D$3:$D$1002,$A98))</f>
        <v/>
      </c>
      <c r="G98" s="24" t="str">
        <f aca="false">IF($A98="","",SUMIFS(대여내역!$I$3:$I$1002,대여내역!$D$3:$D$1002,$A98))</f>
        <v/>
      </c>
    </row>
    <row r="99" customFormat="false" ht="15" hidden="false" customHeight="false" outlineLevel="0" collapsed="false">
      <c r="A99" s="18" t="str">
        <f aca="false">IF(품목목록!$A98="","",품목목록!$A98)</f>
        <v/>
      </c>
      <c r="B99" s="18" t="str">
        <f aca="false">IF($A99="","",품목목록!$B98)</f>
        <v/>
      </c>
      <c r="C99" s="18" t="str">
        <f aca="false">IF($A99="","",품목목록!$D98)</f>
        <v/>
      </c>
      <c r="D99" s="24" t="str">
        <f aca="false">IF($A99="","",IF(품목목록!$E98="",0,품목목록!$E98))</f>
        <v/>
      </c>
      <c r="E99" s="24" t="str">
        <f aca="false">IF($A99="","",SUMIFS(대여내역!$J$3:$J$1002,대여내역!$D$3:$D$1002,$A99,대여내역!$J$3:$J$1002,"&gt;0"))</f>
        <v/>
      </c>
      <c r="F99" s="24" t="str">
        <f aca="false">IF($A99="","",SUMIFS(대여내역!$G$3:$G$1002,대여내역!$D$3:$D$1002,$A99))</f>
        <v/>
      </c>
      <c r="G99" s="24" t="str">
        <f aca="false">IF($A99="","",SUMIFS(대여내역!$I$3:$I$1002,대여내역!$D$3:$D$1002,$A99))</f>
        <v/>
      </c>
    </row>
    <row r="100" customFormat="false" ht="15" hidden="false" customHeight="false" outlineLevel="0" collapsed="false">
      <c r="A100" s="18" t="str">
        <f aca="false">IF(품목목록!$A99="","",품목목록!$A99)</f>
        <v/>
      </c>
      <c r="B100" s="18" t="str">
        <f aca="false">IF($A100="","",품목목록!$B99)</f>
        <v/>
      </c>
      <c r="C100" s="18" t="str">
        <f aca="false">IF($A100="","",품목목록!$D99)</f>
        <v/>
      </c>
      <c r="D100" s="24" t="str">
        <f aca="false">IF($A100="","",IF(품목목록!$E99="",0,품목목록!$E99))</f>
        <v/>
      </c>
      <c r="E100" s="24" t="str">
        <f aca="false">IF($A100="","",SUMIFS(대여내역!$J$3:$J$1002,대여내역!$D$3:$D$1002,$A100,대여내역!$J$3:$J$1002,"&gt;0"))</f>
        <v/>
      </c>
      <c r="F100" s="24" t="str">
        <f aca="false">IF($A100="","",SUMIFS(대여내역!$G$3:$G$1002,대여내역!$D$3:$D$1002,$A100))</f>
        <v/>
      </c>
      <c r="G100" s="24" t="str">
        <f aca="false">IF($A100="","",SUMIFS(대여내역!$I$3:$I$1002,대여내역!$D$3:$D$1002,$A100))</f>
        <v/>
      </c>
    </row>
    <row r="101" customFormat="false" ht="15" hidden="false" customHeight="false" outlineLevel="0" collapsed="false">
      <c r="A101" s="18" t="str">
        <f aca="false">IF(품목목록!$A100="","",품목목록!$A100)</f>
        <v/>
      </c>
      <c r="B101" s="18" t="str">
        <f aca="false">IF($A101="","",품목목록!$B100)</f>
        <v/>
      </c>
      <c r="C101" s="18" t="str">
        <f aca="false">IF($A101="","",품목목록!$D100)</f>
        <v/>
      </c>
      <c r="D101" s="24" t="str">
        <f aca="false">IF($A101="","",IF(품목목록!$E100="",0,품목목록!$E100))</f>
        <v/>
      </c>
      <c r="E101" s="24" t="str">
        <f aca="false">IF($A101="","",SUMIFS(대여내역!$J$3:$J$1002,대여내역!$D$3:$D$1002,$A101,대여내역!$J$3:$J$1002,"&gt;0"))</f>
        <v/>
      </c>
      <c r="F101" s="24" t="str">
        <f aca="false">IF($A101="","",SUMIFS(대여내역!$G$3:$G$1002,대여내역!$D$3:$D$1002,$A101))</f>
        <v/>
      </c>
      <c r="G101" s="24" t="str">
        <f aca="false">IF($A101="","",SUMIFS(대여내역!$I$3:$I$1002,대여내역!$D$3:$D$1002,$A101))</f>
        <v/>
      </c>
    </row>
    <row r="102" customFormat="false" ht="15" hidden="false" customHeight="false" outlineLevel="0" collapsed="false">
      <c r="A102" s="18" t="str">
        <f aca="false">IF(품목목록!$A101="","",품목목록!$A101)</f>
        <v/>
      </c>
      <c r="B102" s="18" t="str">
        <f aca="false">IF($A102="","",품목목록!$B101)</f>
        <v/>
      </c>
      <c r="C102" s="18" t="str">
        <f aca="false">IF($A102="","",품목목록!$D101)</f>
        <v/>
      </c>
      <c r="D102" s="24" t="str">
        <f aca="false">IF($A102="","",IF(품목목록!$E101="",0,품목목록!$E101))</f>
        <v/>
      </c>
      <c r="E102" s="24" t="str">
        <f aca="false">IF($A102="","",SUMIFS(대여내역!$J$3:$J$1002,대여내역!$D$3:$D$1002,$A102,대여내역!$J$3:$J$1002,"&gt;0"))</f>
        <v/>
      </c>
      <c r="F102" s="24" t="str">
        <f aca="false">IF($A102="","",SUMIFS(대여내역!$G$3:$G$1002,대여내역!$D$3:$D$1002,$A102))</f>
        <v/>
      </c>
      <c r="G102" s="24" t="str">
        <f aca="false">IF($A102="","",SUMIFS(대여내역!$I$3:$I$1002,대여내역!$D$3:$D$1002,$A102))</f>
        <v/>
      </c>
    </row>
    <row r="103" customFormat="false" ht="15" hidden="false" customHeight="false" outlineLevel="0" collapsed="false">
      <c r="A103" s="18" t="str">
        <f aca="false">IF(품목목록!$A102="","",품목목록!$A102)</f>
        <v/>
      </c>
      <c r="B103" s="18" t="str">
        <f aca="false">IF($A103="","",품목목록!$B102)</f>
        <v/>
      </c>
      <c r="C103" s="18" t="str">
        <f aca="false">IF($A103="","",품목목록!$D102)</f>
        <v/>
      </c>
      <c r="D103" s="24" t="str">
        <f aca="false">IF($A103="","",IF(품목목록!$E102="",0,품목목록!$E102))</f>
        <v/>
      </c>
      <c r="E103" s="24" t="str">
        <f aca="false">IF($A103="","",SUMIFS(대여내역!$J$3:$J$1002,대여내역!$D$3:$D$1002,$A103,대여내역!$J$3:$J$1002,"&gt;0"))</f>
        <v/>
      </c>
      <c r="F103" s="24" t="str">
        <f aca="false">IF($A103="","",SUMIFS(대여내역!$G$3:$G$1002,대여내역!$D$3:$D$1002,$A103))</f>
        <v/>
      </c>
      <c r="G103" s="24" t="str">
        <f aca="false">IF($A103="","",SUMIFS(대여내역!$I$3:$I$1002,대여내역!$D$3:$D$1002,$A103))</f>
        <v/>
      </c>
    </row>
    <row r="104" customFormat="false" ht="15" hidden="false" customHeight="false" outlineLevel="0" collapsed="false">
      <c r="A104" s="18" t="str">
        <f aca="false">IF(품목목록!$A103="","",품목목록!$A103)</f>
        <v/>
      </c>
      <c r="B104" s="18" t="str">
        <f aca="false">IF($A104="","",품목목록!$B103)</f>
        <v/>
      </c>
      <c r="C104" s="18" t="str">
        <f aca="false">IF($A104="","",품목목록!$D103)</f>
        <v/>
      </c>
      <c r="D104" s="24" t="str">
        <f aca="false">IF($A104="","",IF(품목목록!$E103="",0,품목목록!$E103))</f>
        <v/>
      </c>
      <c r="E104" s="24" t="str">
        <f aca="false">IF($A104="","",SUMIFS(대여내역!$J$3:$J$1002,대여내역!$D$3:$D$1002,$A104,대여내역!$J$3:$J$1002,"&gt;0"))</f>
        <v/>
      </c>
      <c r="F104" s="24" t="str">
        <f aca="false">IF($A104="","",SUMIFS(대여내역!$G$3:$G$1002,대여내역!$D$3:$D$1002,$A104))</f>
        <v/>
      </c>
      <c r="G104" s="24" t="str">
        <f aca="false">IF($A104="","",SUMIFS(대여내역!$I$3:$I$1002,대여내역!$D$3:$D$1002,$A104))</f>
        <v/>
      </c>
    </row>
    <row r="105" customFormat="false" ht="15" hidden="false" customHeight="false" outlineLevel="0" collapsed="false">
      <c r="A105" s="18" t="str">
        <f aca="false">IF(품목목록!$A104="","",품목목록!$A104)</f>
        <v/>
      </c>
      <c r="B105" s="18" t="str">
        <f aca="false">IF($A105="","",품목목록!$B104)</f>
        <v/>
      </c>
      <c r="C105" s="18" t="str">
        <f aca="false">IF($A105="","",품목목록!$D104)</f>
        <v/>
      </c>
      <c r="D105" s="24" t="str">
        <f aca="false">IF($A105="","",IF(품목목록!$E104="",0,품목목록!$E104))</f>
        <v/>
      </c>
      <c r="E105" s="24" t="str">
        <f aca="false">IF($A105="","",SUMIFS(대여내역!$J$3:$J$1002,대여내역!$D$3:$D$1002,$A105,대여내역!$J$3:$J$1002,"&gt;0"))</f>
        <v/>
      </c>
      <c r="F105" s="24" t="str">
        <f aca="false">IF($A105="","",SUMIFS(대여내역!$G$3:$G$1002,대여내역!$D$3:$D$1002,$A105))</f>
        <v/>
      </c>
      <c r="G105" s="24" t="str">
        <f aca="false">IF($A105="","",SUMIFS(대여내역!$I$3:$I$1002,대여내역!$D$3:$D$1002,$A105))</f>
        <v/>
      </c>
    </row>
    <row r="106" customFormat="false" ht="15" hidden="false" customHeight="false" outlineLevel="0" collapsed="false">
      <c r="A106" s="18" t="str">
        <f aca="false">IF(품목목록!$A105="","",품목목록!$A105)</f>
        <v/>
      </c>
      <c r="B106" s="18" t="str">
        <f aca="false">IF($A106="","",품목목록!$B105)</f>
        <v/>
      </c>
      <c r="C106" s="18" t="str">
        <f aca="false">IF($A106="","",품목목록!$D105)</f>
        <v/>
      </c>
      <c r="D106" s="24" t="str">
        <f aca="false">IF($A106="","",IF(품목목록!$E105="",0,품목목록!$E105))</f>
        <v/>
      </c>
      <c r="E106" s="24" t="str">
        <f aca="false">IF($A106="","",SUMIFS(대여내역!$J$3:$J$1002,대여내역!$D$3:$D$1002,$A106,대여내역!$J$3:$J$1002,"&gt;0"))</f>
        <v/>
      </c>
      <c r="F106" s="24" t="str">
        <f aca="false">IF($A106="","",SUMIFS(대여내역!$G$3:$G$1002,대여내역!$D$3:$D$1002,$A106))</f>
        <v/>
      </c>
      <c r="G106" s="24" t="str">
        <f aca="false">IF($A106="","",SUMIFS(대여내역!$I$3:$I$1002,대여내역!$D$3:$D$1002,$A106))</f>
        <v/>
      </c>
    </row>
    <row r="107" customFormat="false" ht="15" hidden="false" customHeight="false" outlineLevel="0" collapsed="false">
      <c r="A107" s="18" t="str">
        <f aca="false">IF(품목목록!$A106="","",품목목록!$A106)</f>
        <v/>
      </c>
      <c r="B107" s="18" t="str">
        <f aca="false">IF($A107="","",품목목록!$B106)</f>
        <v/>
      </c>
      <c r="C107" s="18" t="str">
        <f aca="false">IF($A107="","",품목목록!$D106)</f>
        <v/>
      </c>
      <c r="D107" s="24" t="str">
        <f aca="false">IF($A107="","",IF(품목목록!$E106="",0,품목목록!$E106))</f>
        <v/>
      </c>
      <c r="E107" s="24" t="str">
        <f aca="false">IF($A107="","",SUMIFS(대여내역!$J$3:$J$1002,대여내역!$D$3:$D$1002,$A107,대여내역!$J$3:$J$1002,"&gt;0"))</f>
        <v/>
      </c>
      <c r="F107" s="24" t="str">
        <f aca="false">IF($A107="","",SUMIFS(대여내역!$G$3:$G$1002,대여내역!$D$3:$D$1002,$A107))</f>
        <v/>
      </c>
      <c r="G107" s="24" t="str">
        <f aca="false">IF($A107="","",SUMIFS(대여내역!$I$3:$I$1002,대여내역!$D$3:$D$1002,$A107))</f>
        <v/>
      </c>
    </row>
    <row r="108" customFormat="false" ht="15" hidden="false" customHeight="false" outlineLevel="0" collapsed="false">
      <c r="A108" s="18" t="str">
        <f aca="false">IF(품목목록!$A107="","",품목목록!$A107)</f>
        <v/>
      </c>
      <c r="B108" s="18" t="str">
        <f aca="false">IF($A108="","",품목목록!$B107)</f>
        <v/>
      </c>
      <c r="C108" s="18" t="str">
        <f aca="false">IF($A108="","",품목목록!$D107)</f>
        <v/>
      </c>
      <c r="D108" s="24" t="str">
        <f aca="false">IF($A108="","",IF(품목목록!$E107="",0,품목목록!$E107))</f>
        <v/>
      </c>
      <c r="E108" s="24" t="str">
        <f aca="false">IF($A108="","",SUMIFS(대여내역!$J$3:$J$1002,대여내역!$D$3:$D$1002,$A108,대여내역!$J$3:$J$1002,"&gt;0"))</f>
        <v/>
      </c>
      <c r="F108" s="24" t="str">
        <f aca="false">IF($A108="","",SUMIFS(대여내역!$G$3:$G$1002,대여내역!$D$3:$D$1002,$A108))</f>
        <v/>
      </c>
      <c r="G108" s="24" t="str">
        <f aca="false">IF($A108="","",SUMIFS(대여내역!$I$3:$I$1002,대여내역!$D$3:$D$1002,$A108))</f>
        <v/>
      </c>
    </row>
    <row r="109" customFormat="false" ht="15" hidden="false" customHeight="false" outlineLevel="0" collapsed="false">
      <c r="A109" s="18" t="str">
        <f aca="false">IF(품목목록!$A108="","",품목목록!$A108)</f>
        <v/>
      </c>
      <c r="B109" s="18" t="str">
        <f aca="false">IF($A109="","",품목목록!$B108)</f>
        <v/>
      </c>
      <c r="C109" s="18" t="str">
        <f aca="false">IF($A109="","",품목목록!$D108)</f>
        <v/>
      </c>
      <c r="D109" s="24" t="str">
        <f aca="false">IF($A109="","",IF(품목목록!$E108="",0,품목목록!$E108))</f>
        <v/>
      </c>
      <c r="E109" s="24" t="str">
        <f aca="false">IF($A109="","",SUMIFS(대여내역!$J$3:$J$1002,대여내역!$D$3:$D$1002,$A109,대여내역!$J$3:$J$1002,"&gt;0"))</f>
        <v/>
      </c>
      <c r="F109" s="24" t="str">
        <f aca="false">IF($A109="","",SUMIFS(대여내역!$G$3:$G$1002,대여내역!$D$3:$D$1002,$A109))</f>
        <v/>
      </c>
      <c r="G109" s="24" t="str">
        <f aca="false">IF($A109="","",SUMIFS(대여내역!$I$3:$I$1002,대여내역!$D$3:$D$1002,$A109))</f>
        <v/>
      </c>
    </row>
    <row r="110" customFormat="false" ht="15" hidden="false" customHeight="false" outlineLevel="0" collapsed="false">
      <c r="A110" s="18" t="str">
        <f aca="false">IF(품목목록!$A109="","",품목목록!$A109)</f>
        <v/>
      </c>
      <c r="B110" s="18" t="str">
        <f aca="false">IF($A110="","",품목목록!$B109)</f>
        <v/>
      </c>
      <c r="C110" s="18" t="str">
        <f aca="false">IF($A110="","",품목목록!$D109)</f>
        <v/>
      </c>
      <c r="D110" s="24" t="str">
        <f aca="false">IF($A110="","",IF(품목목록!$E109="",0,품목목록!$E109))</f>
        <v/>
      </c>
      <c r="E110" s="24" t="str">
        <f aca="false">IF($A110="","",SUMIFS(대여내역!$J$3:$J$1002,대여내역!$D$3:$D$1002,$A110,대여내역!$J$3:$J$1002,"&gt;0"))</f>
        <v/>
      </c>
      <c r="F110" s="24" t="str">
        <f aca="false">IF($A110="","",SUMIFS(대여내역!$G$3:$G$1002,대여내역!$D$3:$D$1002,$A110))</f>
        <v/>
      </c>
      <c r="G110" s="24" t="str">
        <f aca="false">IF($A110="","",SUMIFS(대여내역!$I$3:$I$1002,대여내역!$D$3:$D$1002,$A110))</f>
        <v/>
      </c>
    </row>
    <row r="111" customFormat="false" ht="15" hidden="false" customHeight="false" outlineLevel="0" collapsed="false">
      <c r="A111" s="18" t="str">
        <f aca="false">IF(품목목록!$A110="","",품목목록!$A110)</f>
        <v/>
      </c>
      <c r="B111" s="18" t="str">
        <f aca="false">IF($A111="","",품목목록!$B110)</f>
        <v/>
      </c>
      <c r="C111" s="18" t="str">
        <f aca="false">IF($A111="","",품목목록!$D110)</f>
        <v/>
      </c>
      <c r="D111" s="24" t="str">
        <f aca="false">IF($A111="","",IF(품목목록!$E110="",0,품목목록!$E110))</f>
        <v/>
      </c>
      <c r="E111" s="24" t="str">
        <f aca="false">IF($A111="","",SUMIFS(대여내역!$J$3:$J$1002,대여내역!$D$3:$D$1002,$A111,대여내역!$J$3:$J$1002,"&gt;0"))</f>
        <v/>
      </c>
      <c r="F111" s="24" t="str">
        <f aca="false">IF($A111="","",SUMIFS(대여내역!$G$3:$G$1002,대여내역!$D$3:$D$1002,$A111))</f>
        <v/>
      </c>
      <c r="G111" s="24" t="str">
        <f aca="false">IF($A111="","",SUMIFS(대여내역!$I$3:$I$1002,대여내역!$D$3:$D$1002,$A111))</f>
        <v/>
      </c>
    </row>
    <row r="112" customFormat="false" ht="15" hidden="false" customHeight="false" outlineLevel="0" collapsed="false">
      <c r="A112" s="18" t="str">
        <f aca="false">IF(품목목록!$A111="","",품목목록!$A111)</f>
        <v/>
      </c>
      <c r="B112" s="18" t="str">
        <f aca="false">IF($A112="","",품목목록!$B111)</f>
        <v/>
      </c>
      <c r="C112" s="18" t="str">
        <f aca="false">IF($A112="","",품목목록!$D111)</f>
        <v/>
      </c>
      <c r="D112" s="24" t="str">
        <f aca="false">IF($A112="","",IF(품목목록!$E111="",0,품목목록!$E111))</f>
        <v/>
      </c>
      <c r="E112" s="24" t="str">
        <f aca="false">IF($A112="","",SUMIFS(대여내역!$J$3:$J$1002,대여내역!$D$3:$D$1002,$A112,대여내역!$J$3:$J$1002,"&gt;0"))</f>
        <v/>
      </c>
      <c r="F112" s="24" t="str">
        <f aca="false">IF($A112="","",SUMIFS(대여내역!$G$3:$G$1002,대여내역!$D$3:$D$1002,$A112))</f>
        <v/>
      </c>
      <c r="G112" s="24" t="str">
        <f aca="false">IF($A112="","",SUMIFS(대여내역!$I$3:$I$1002,대여내역!$D$3:$D$1002,$A112))</f>
        <v/>
      </c>
    </row>
    <row r="113" customFormat="false" ht="15" hidden="false" customHeight="false" outlineLevel="0" collapsed="false">
      <c r="A113" s="18" t="str">
        <f aca="false">IF(품목목록!$A112="","",품목목록!$A112)</f>
        <v/>
      </c>
      <c r="B113" s="18" t="str">
        <f aca="false">IF($A113="","",품목목록!$B112)</f>
        <v/>
      </c>
      <c r="C113" s="18" t="str">
        <f aca="false">IF($A113="","",품목목록!$D112)</f>
        <v/>
      </c>
      <c r="D113" s="24" t="str">
        <f aca="false">IF($A113="","",IF(품목목록!$E112="",0,품목목록!$E112))</f>
        <v/>
      </c>
      <c r="E113" s="24" t="str">
        <f aca="false">IF($A113="","",SUMIFS(대여내역!$J$3:$J$1002,대여내역!$D$3:$D$1002,$A113,대여내역!$J$3:$J$1002,"&gt;0"))</f>
        <v/>
      </c>
      <c r="F113" s="24" t="str">
        <f aca="false">IF($A113="","",SUMIFS(대여내역!$G$3:$G$1002,대여내역!$D$3:$D$1002,$A113))</f>
        <v/>
      </c>
      <c r="G113" s="24" t="str">
        <f aca="false">IF($A113="","",SUMIFS(대여내역!$I$3:$I$1002,대여내역!$D$3:$D$1002,$A113))</f>
        <v/>
      </c>
    </row>
    <row r="114" customFormat="false" ht="15" hidden="false" customHeight="false" outlineLevel="0" collapsed="false">
      <c r="A114" s="18" t="str">
        <f aca="false">IF(품목목록!$A113="","",품목목록!$A113)</f>
        <v/>
      </c>
      <c r="B114" s="18" t="str">
        <f aca="false">IF($A114="","",품목목록!$B113)</f>
        <v/>
      </c>
      <c r="C114" s="18" t="str">
        <f aca="false">IF($A114="","",품목목록!$D113)</f>
        <v/>
      </c>
      <c r="D114" s="24" t="str">
        <f aca="false">IF($A114="","",IF(품목목록!$E113="",0,품목목록!$E113))</f>
        <v/>
      </c>
      <c r="E114" s="24" t="str">
        <f aca="false">IF($A114="","",SUMIFS(대여내역!$J$3:$J$1002,대여내역!$D$3:$D$1002,$A114,대여내역!$J$3:$J$1002,"&gt;0"))</f>
        <v/>
      </c>
      <c r="F114" s="24" t="str">
        <f aca="false">IF($A114="","",SUMIFS(대여내역!$G$3:$G$1002,대여내역!$D$3:$D$1002,$A114))</f>
        <v/>
      </c>
      <c r="G114" s="24" t="str">
        <f aca="false">IF($A114="","",SUMIFS(대여내역!$I$3:$I$1002,대여내역!$D$3:$D$1002,$A114))</f>
        <v/>
      </c>
    </row>
    <row r="115" customFormat="false" ht="15" hidden="false" customHeight="false" outlineLevel="0" collapsed="false">
      <c r="A115" s="18" t="str">
        <f aca="false">IF(품목목록!$A114="","",품목목록!$A114)</f>
        <v/>
      </c>
      <c r="B115" s="18" t="str">
        <f aca="false">IF($A115="","",품목목록!$B114)</f>
        <v/>
      </c>
      <c r="C115" s="18" t="str">
        <f aca="false">IF($A115="","",품목목록!$D114)</f>
        <v/>
      </c>
      <c r="D115" s="24" t="str">
        <f aca="false">IF($A115="","",IF(품목목록!$E114="",0,품목목록!$E114))</f>
        <v/>
      </c>
      <c r="E115" s="24" t="str">
        <f aca="false">IF($A115="","",SUMIFS(대여내역!$J$3:$J$1002,대여내역!$D$3:$D$1002,$A115,대여내역!$J$3:$J$1002,"&gt;0"))</f>
        <v/>
      </c>
      <c r="F115" s="24" t="str">
        <f aca="false">IF($A115="","",SUMIFS(대여내역!$G$3:$G$1002,대여내역!$D$3:$D$1002,$A115))</f>
        <v/>
      </c>
      <c r="G115" s="24" t="str">
        <f aca="false">IF($A115="","",SUMIFS(대여내역!$I$3:$I$1002,대여내역!$D$3:$D$1002,$A115))</f>
        <v/>
      </c>
    </row>
    <row r="116" customFormat="false" ht="15" hidden="false" customHeight="false" outlineLevel="0" collapsed="false">
      <c r="A116" s="18" t="str">
        <f aca="false">IF(품목목록!$A115="","",품목목록!$A115)</f>
        <v/>
      </c>
      <c r="B116" s="18" t="str">
        <f aca="false">IF($A116="","",품목목록!$B115)</f>
        <v/>
      </c>
      <c r="C116" s="18" t="str">
        <f aca="false">IF($A116="","",품목목록!$D115)</f>
        <v/>
      </c>
      <c r="D116" s="24" t="str">
        <f aca="false">IF($A116="","",IF(품목목록!$E115="",0,품목목록!$E115))</f>
        <v/>
      </c>
      <c r="E116" s="24" t="str">
        <f aca="false">IF($A116="","",SUMIFS(대여내역!$J$3:$J$1002,대여내역!$D$3:$D$1002,$A116,대여내역!$J$3:$J$1002,"&gt;0"))</f>
        <v/>
      </c>
      <c r="F116" s="24" t="str">
        <f aca="false">IF($A116="","",SUMIFS(대여내역!$G$3:$G$1002,대여내역!$D$3:$D$1002,$A116))</f>
        <v/>
      </c>
      <c r="G116" s="24" t="str">
        <f aca="false">IF($A116="","",SUMIFS(대여내역!$I$3:$I$1002,대여내역!$D$3:$D$1002,$A116))</f>
        <v/>
      </c>
    </row>
    <row r="117" customFormat="false" ht="15" hidden="false" customHeight="false" outlineLevel="0" collapsed="false">
      <c r="A117" s="18" t="str">
        <f aca="false">IF(품목목록!$A116="","",품목목록!$A116)</f>
        <v/>
      </c>
      <c r="B117" s="18" t="str">
        <f aca="false">IF($A117="","",품목목록!$B116)</f>
        <v/>
      </c>
      <c r="C117" s="18" t="str">
        <f aca="false">IF($A117="","",품목목록!$D116)</f>
        <v/>
      </c>
      <c r="D117" s="24" t="str">
        <f aca="false">IF($A117="","",IF(품목목록!$E116="",0,품목목록!$E116))</f>
        <v/>
      </c>
      <c r="E117" s="24" t="str">
        <f aca="false">IF($A117="","",SUMIFS(대여내역!$J$3:$J$1002,대여내역!$D$3:$D$1002,$A117,대여내역!$J$3:$J$1002,"&gt;0"))</f>
        <v/>
      </c>
      <c r="F117" s="24" t="str">
        <f aca="false">IF($A117="","",SUMIFS(대여내역!$G$3:$G$1002,대여내역!$D$3:$D$1002,$A117))</f>
        <v/>
      </c>
      <c r="G117" s="24" t="str">
        <f aca="false">IF($A117="","",SUMIFS(대여내역!$I$3:$I$1002,대여내역!$D$3:$D$1002,$A117))</f>
        <v/>
      </c>
    </row>
    <row r="118" customFormat="false" ht="15" hidden="false" customHeight="false" outlineLevel="0" collapsed="false">
      <c r="A118" s="18" t="str">
        <f aca="false">IF(품목목록!$A117="","",품목목록!$A117)</f>
        <v/>
      </c>
      <c r="B118" s="18" t="str">
        <f aca="false">IF($A118="","",품목목록!$B117)</f>
        <v/>
      </c>
      <c r="C118" s="18" t="str">
        <f aca="false">IF($A118="","",품목목록!$D117)</f>
        <v/>
      </c>
      <c r="D118" s="24" t="str">
        <f aca="false">IF($A118="","",IF(품목목록!$E117="",0,품목목록!$E117))</f>
        <v/>
      </c>
      <c r="E118" s="24" t="str">
        <f aca="false">IF($A118="","",SUMIFS(대여내역!$J$3:$J$1002,대여내역!$D$3:$D$1002,$A118,대여내역!$J$3:$J$1002,"&gt;0"))</f>
        <v/>
      </c>
      <c r="F118" s="24" t="str">
        <f aca="false">IF($A118="","",SUMIFS(대여내역!$G$3:$G$1002,대여내역!$D$3:$D$1002,$A118))</f>
        <v/>
      </c>
      <c r="G118" s="24" t="str">
        <f aca="false">IF($A118="","",SUMIFS(대여내역!$I$3:$I$1002,대여내역!$D$3:$D$1002,$A118))</f>
        <v/>
      </c>
    </row>
    <row r="119" customFormat="false" ht="15" hidden="false" customHeight="false" outlineLevel="0" collapsed="false">
      <c r="A119" s="18" t="str">
        <f aca="false">IF(품목목록!$A118="","",품목목록!$A118)</f>
        <v/>
      </c>
      <c r="B119" s="18" t="str">
        <f aca="false">IF($A119="","",품목목록!$B118)</f>
        <v/>
      </c>
      <c r="C119" s="18" t="str">
        <f aca="false">IF($A119="","",품목목록!$D118)</f>
        <v/>
      </c>
      <c r="D119" s="24" t="str">
        <f aca="false">IF($A119="","",IF(품목목록!$E118="",0,품목목록!$E118))</f>
        <v/>
      </c>
      <c r="E119" s="24" t="str">
        <f aca="false">IF($A119="","",SUMIFS(대여내역!$J$3:$J$1002,대여내역!$D$3:$D$1002,$A119,대여내역!$J$3:$J$1002,"&gt;0"))</f>
        <v/>
      </c>
      <c r="F119" s="24" t="str">
        <f aca="false">IF($A119="","",SUMIFS(대여내역!$G$3:$G$1002,대여내역!$D$3:$D$1002,$A119))</f>
        <v/>
      </c>
      <c r="G119" s="24" t="str">
        <f aca="false">IF($A119="","",SUMIFS(대여내역!$I$3:$I$1002,대여내역!$D$3:$D$1002,$A119))</f>
        <v/>
      </c>
    </row>
    <row r="120" customFormat="false" ht="15" hidden="false" customHeight="false" outlineLevel="0" collapsed="false">
      <c r="A120" s="18" t="str">
        <f aca="false">IF(품목목록!$A119="","",품목목록!$A119)</f>
        <v/>
      </c>
      <c r="B120" s="18" t="str">
        <f aca="false">IF($A120="","",품목목록!$B119)</f>
        <v/>
      </c>
      <c r="C120" s="18" t="str">
        <f aca="false">IF($A120="","",품목목록!$D119)</f>
        <v/>
      </c>
      <c r="D120" s="24" t="str">
        <f aca="false">IF($A120="","",IF(품목목록!$E119="",0,품목목록!$E119))</f>
        <v/>
      </c>
      <c r="E120" s="24" t="str">
        <f aca="false">IF($A120="","",SUMIFS(대여내역!$J$3:$J$1002,대여내역!$D$3:$D$1002,$A120,대여내역!$J$3:$J$1002,"&gt;0"))</f>
        <v/>
      </c>
      <c r="F120" s="24" t="str">
        <f aca="false">IF($A120="","",SUMIFS(대여내역!$G$3:$G$1002,대여내역!$D$3:$D$1002,$A120))</f>
        <v/>
      </c>
      <c r="G120" s="24" t="str">
        <f aca="false">IF($A120="","",SUMIFS(대여내역!$I$3:$I$1002,대여내역!$D$3:$D$1002,$A120))</f>
        <v/>
      </c>
    </row>
    <row r="121" customFormat="false" ht="15" hidden="false" customHeight="false" outlineLevel="0" collapsed="false">
      <c r="A121" s="18" t="str">
        <f aca="false">IF(품목목록!$A120="","",품목목록!$A120)</f>
        <v/>
      </c>
      <c r="B121" s="18" t="str">
        <f aca="false">IF($A121="","",품목목록!$B120)</f>
        <v/>
      </c>
      <c r="C121" s="18" t="str">
        <f aca="false">IF($A121="","",품목목록!$D120)</f>
        <v/>
      </c>
      <c r="D121" s="24" t="str">
        <f aca="false">IF($A121="","",IF(품목목록!$E120="",0,품목목록!$E120))</f>
        <v/>
      </c>
      <c r="E121" s="24" t="str">
        <f aca="false">IF($A121="","",SUMIFS(대여내역!$J$3:$J$1002,대여내역!$D$3:$D$1002,$A121,대여내역!$J$3:$J$1002,"&gt;0"))</f>
        <v/>
      </c>
      <c r="F121" s="24" t="str">
        <f aca="false">IF($A121="","",SUMIFS(대여내역!$G$3:$G$1002,대여내역!$D$3:$D$1002,$A121))</f>
        <v/>
      </c>
      <c r="G121" s="24" t="str">
        <f aca="false">IF($A121="","",SUMIFS(대여내역!$I$3:$I$1002,대여내역!$D$3:$D$1002,$A121))</f>
        <v/>
      </c>
    </row>
    <row r="122" customFormat="false" ht="15" hidden="false" customHeight="false" outlineLevel="0" collapsed="false">
      <c r="A122" s="18" t="str">
        <f aca="false">IF(품목목록!$A121="","",품목목록!$A121)</f>
        <v/>
      </c>
      <c r="B122" s="18" t="str">
        <f aca="false">IF($A122="","",품목목록!$B121)</f>
        <v/>
      </c>
      <c r="C122" s="18" t="str">
        <f aca="false">IF($A122="","",품목목록!$D121)</f>
        <v/>
      </c>
      <c r="D122" s="24" t="str">
        <f aca="false">IF($A122="","",IF(품목목록!$E121="",0,품목목록!$E121))</f>
        <v/>
      </c>
      <c r="E122" s="24" t="str">
        <f aca="false">IF($A122="","",SUMIFS(대여내역!$J$3:$J$1002,대여내역!$D$3:$D$1002,$A122,대여내역!$J$3:$J$1002,"&gt;0"))</f>
        <v/>
      </c>
      <c r="F122" s="24" t="str">
        <f aca="false">IF($A122="","",SUMIFS(대여내역!$G$3:$G$1002,대여내역!$D$3:$D$1002,$A122))</f>
        <v/>
      </c>
      <c r="G122" s="24" t="str">
        <f aca="false">IF($A122="","",SUMIFS(대여내역!$I$3:$I$1002,대여내역!$D$3:$D$1002,$A122))</f>
        <v/>
      </c>
    </row>
    <row r="123" customFormat="false" ht="15" hidden="false" customHeight="false" outlineLevel="0" collapsed="false">
      <c r="A123" s="18" t="str">
        <f aca="false">IF(품목목록!$A122="","",품목목록!$A122)</f>
        <v/>
      </c>
      <c r="B123" s="18" t="str">
        <f aca="false">IF($A123="","",품목목록!$B122)</f>
        <v/>
      </c>
      <c r="C123" s="18" t="str">
        <f aca="false">IF($A123="","",품목목록!$D122)</f>
        <v/>
      </c>
      <c r="D123" s="24" t="str">
        <f aca="false">IF($A123="","",IF(품목목록!$E122="",0,품목목록!$E122))</f>
        <v/>
      </c>
      <c r="E123" s="24" t="str">
        <f aca="false">IF($A123="","",SUMIFS(대여내역!$J$3:$J$1002,대여내역!$D$3:$D$1002,$A123,대여내역!$J$3:$J$1002,"&gt;0"))</f>
        <v/>
      </c>
      <c r="F123" s="24" t="str">
        <f aca="false">IF($A123="","",SUMIFS(대여내역!$G$3:$G$1002,대여내역!$D$3:$D$1002,$A123))</f>
        <v/>
      </c>
      <c r="G123" s="24" t="str">
        <f aca="false">IF($A123="","",SUMIFS(대여내역!$I$3:$I$1002,대여내역!$D$3:$D$1002,$A123))</f>
        <v/>
      </c>
    </row>
    <row r="124" customFormat="false" ht="15" hidden="false" customHeight="false" outlineLevel="0" collapsed="false">
      <c r="A124" s="18" t="str">
        <f aca="false">IF(품목목록!$A123="","",품목목록!$A123)</f>
        <v/>
      </c>
      <c r="B124" s="18" t="str">
        <f aca="false">IF($A124="","",품목목록!$B123)</f>
        <v/>
      </c>
      <c r="C124" s="18" t="str">
        <f aca="false">IF($A124="","",품목목록!$D123)</f>
        <v/>
      </c>
      <c r="D124" s="24" t="str">
        <f aca="false">IF($A124="","",IF(품목목록!$E123="",0,품목목록!$E123))</f>
        <v/>
      </c>
      <c r="E124" s="24" t="str">
        <f aca="false">IF($A124="","",SUMIFS(대여내역!$J$3:$J$1002,대여내역!$D$3:$D$1002,$A124,대여내역!$J$3:$J$1002,"&gt;0"))</f>
        <v/>
      </c>
      <c r="F124" s="24" t="str">
        <f aca="false">IF($A124="","",SUMIFS(대여내역!$G$3:$G$1002,대여내역!$D$3:$D$1002,$A124))</f>
        <v/>
      </c>
      <c r="G124" s="24" t="str">
        <f aca="false">IF($A124="","",SUMIFS(대여내역!$I$3:$I$1002,대여내역!$D$3:$D$1002,$A124))</f>
        <v/>
      </c>
    </row>
    <row r="125" customFormat="false" ht="15" hidden="false" customHeight="false" outlineLevel="0" collapsed="false">
      <c r="A125" s="18" t="str">
        <f aca="false">IF(품목목록!$A124="","",품목목록!$A124)</f>
        <v/>
      </c>
      <c r="B125" s="18" t="str">
        <f aca="false">IF($A125="","",품목목록!$B124)</f>
        <v/>
      </c>
      <c r="C125" s="18" t="str">
        <f aca="false">IF($A125="","",품목목록!$D124)</f>
        <v/>
      </c>
      <c r="D125" s="24" t="str">
        <f aca="false">IF($A125="","",IF(품목목록!$E124="",0,품목목록!$E124))</f>
        <v/>
      </c>
      <c r="E125" s="24" t="str">
        <f aca="false">IF($A125="","",SUMIFS(대여내역!$J$3:$J$1002,대여내역!$D$3:$D$1002,$A125,대여내역!$J$3:$J$1002,"&gt;0"))</f>
        <v/>
      </c>
      <c r="F125" s="24" t="str">
        <f aca="false">IF($A125="","",SUMIFS(대여내역!$G$3:$G$1002,대여내역!$D$3:$D$1002,$A125))</f>
        <v/>
      </c>
      <c r="G125" s="24" t="str">
        <f aca="false">IF($A125="","",SUMIFS(대여내역!$I$3:$I$1002,대여내역!$D$3:$D$1002,$A125))</f>
        <v/>
      </c>
    </row>
    <row r="126" customFormat="false" ht="15" hidden="false" customHeight="false" outlineLevel="0" collapsed="false">
      <c r="A126" s="18" t="str">
        <f aca="false">IF(품목목록!$A125="","",품목목록!$A125)</f>
        <v/>
      </c>
      <c r="B126" s="18" t="str">
        <f aca="false">IF($A126="","",품목목록!$B125)</f>
        <v/>
      </c>
      <c r="C126" s="18" t="str">
        <f aca="false">IF($A126="","",품목목록!$D125)</f>
        <v/>
      </c>
      <c r="D126" s="24" t="str">
        <f aca="false">IF($A126="","",IF(품목목록!$E125="",0,품목목록!$E125))</f>
        <v/>
      </c>
      <c r="E126" s="24" t="str">
        <f aca="false">IF($A126="","",SUMIFS(대여내역!$J$3:$J$1002,대여내역!$D$3:$D$1002,$A126,대여내역!$J$3:$J$1002,"&gt;0"))</f>
        <v/>
      </c>
      <c r="F126" s="24" t="str">
        <f aca="false">IF($A126="","",SUMIFS(대여내역!$G$3:$G$1002,대여내역!$D$3:$D$1002,$A126))</f>
        <v/>
      </c>
      <c r="G126" s="24" t="str">
        <f aca="false">IF($A126="","",SUMIFS(대여내역!$I$3:$I$1002,대여내역!$D$3:$D$1002,$A126))</f>
        <v/>
      </c>
    </row>
    <row r="127" customFormat="false" ht="15" hidden="false" customHeight="false" outlineLevel="0" collapsed="false">
      <c r="A127" s="18" t="str">
        <f aca="false">IF(품목목록!$A126="","",품목목록!$A126)</f>
        <v/>
      </c>
      <c r="B127" s="18" t="str">
        <f aca="false">IF($A127="","",품목목록!$B126)</f>
        <v/>
      </c>
      <c r="C127" s="18" t="str">
        <f aca="false">IF($A127="","",품목목록!$D126)</f>
        <v/>
      </c>
      <c r="D127" s="24" t="str">
        <f aca="false">IF($A127="","",IF(품목목록!$E126="",0,품목목록!$E126))</f>
        <v/>
      </c>
      <c r="E127" s="24" t="str">
        <f aca="false">IF($A127="","",SUMIFS(대여내역!$J$3:$J$1002,대여내역!$D$3:$D$1002,$A127,대여내역!$J$3:$J$1002,"&gt;0"))</f>
        <v/>
      </c>
      <c r="F127" s="24" t="str">
        <f aca="false">IF($A127="","",SUMIFS(대여내역!$G$3:$G$1002,대여내역!$D$3:$D$1002,$A127))</f>
        <v/>
      </c>
      <c r="G127" s="24" t="str">
        <f aca="false">IF($A127="","",SUMIFS(대여내역!$I$3:$I$1002,대여내역!$D$3:$D$1002,$A127))</f>
        <v/>
      </c>
    </row>
    <row r="128" customFormat="false" ht="15" hidden="false" customHeight="false" outlineLevel="0" collapsed="false">
      <c r="A128" s="18" t="str">
        <f aca="false">IF(품목목록!$A127="","",품목목록!$A127)</f>
        <v/>
      </c>
      <c r="B128" s="18" t="str">
        <f aca="false">IF($A128="","",품목목록!$B127)</f>
        <v/>
      </c>
      <c r="C128" s="18" t="str">
        <f aca="false">IF($A128="","",품목목록!$D127)</f>
        <v/>
      </c>
      <c r="D128" s="24" t="str">
        <f aca="false">IF($A128="","",IF(품목목록!$E127="",0,품목목록!$E127))</f>
        <v/>
      </c>
      <c r="E128" s="24" t="str">
        <f aca="false">IF($A128="","",SUMIFS(대여내역!$J$3:$J$1002,대여내역!$D$3:$D$1002,$A128,대여내역!$J$3:$J$1002,"&gt;0"))</f>
        <v/>
      </c>
      <c r="F128" s="24" t="str">
        <f aca="false">IF($A128="","",SUMIFS(대여내역!$G$3:$G$1002,대여내역!$D$3:$D$1002,$A128))</f>
        <v/>
      </c>
      <c r="G128" s="24" t="str">
        <f aca="false">IF($A128="","",SUMIFS(대여내역!$I$3:$I$1002,대여내역!$D$3:$D$1002,$A128))</f>
        <v/>
      </c>
    </row>
    <row r="129" customFormat="false" ht="15" hidden="false" customHeight="false" outlineLevel="0" collapsed="false">
      <c r="A129" s="18" t="str">
        <f aca="false">IF(품목목록!$A128="","",품목목록!$A128)</f>
        <v/>
      </c>
      <c r="B129" s="18" t="str">
        <f aca="false">IF($A129="","",품목목록!$B128)</f>
        <v/>
      </c>
      <c r="C129" s="18" t="str">
        <f aca="false">IF($A129="","",품목목록!$D128)</f>
        <v/>
      </c>
      <c r="D129" s="24" t="str">
        <f aca="false">IF($A129="","",IF(품목목록!$E128="",0,품목목록!$E128))</f>
        <v/>
      </c>
      <c r="E129" s="24" t="str">
        <f aca="false">IF($A129="","",SUMIFS(대여내역!$J$3:$J$1002,대여내역!$D$3:$D$1002,$A129,대여내역!$J$3:$J$1002,"&gt;0"))</f>
        <v/>
      </c>
      <c r="F129" s="24" t="str">
        <f aca="false">IF($A129="","",SUMIFS(대여내역!$G$3:$G$1002,대여내역!$D$3:$D$1002,$A129))</f>
        <v/>
      </c>
      <c r="G129" s="24" t="str">
        <f aca="false">IF($A129="","",SUMIFS(대여내역!$I$3:$I$1002,대여내역!$D$3:$D$1002,$A129))</f>
        <v/>
      </c>
    </row>
    <row r="130" customFormat="false" ht="15" hidden="false" customHeight="false" outlineLevel="0" collapsed="false">
      <c r="A130" s="18" t="str">
        <f aca="false">IF(품목목록!$A129="","",품목목록!$A129)</f>
        <v/>
      </c>
      <c r="B130" s="18" t="str">
        <f aca="false">IF($A130="","",품목목록!$B129)</f>
        <v/>
      </c>
      <c r="C130" s="18" t="str">
        <f aca="false">IF($A130="","",품목목록!$D129)</f>
        <v/>
      </c>
      <c r="D130" s="24" t="str">
        <f aca="false">IF($A130="","",IF(품목목록!$E129="",0,품목목록!$E129))</f>
        <v/>
      </c>
      <c r="E130" s="24" t="str">
        <f aca="false">IF($A130="","",SUMIFS(대여내역!$J$3:$J$1002,대여내역!$D$3:$D$1002,$A130,대여내역!$J$3:$J$1002,"&gt;0"))</f>
        <v/>
      </c>
      <c r="F130" s="24" t="str">
        <f aca="false">IF($A130="","",SUMIFS(대여내역!$G$3:$G$1002,대여내역!$D$3:$D$1002,$A130))</f>
        <v/>
      </c>
      <c r="G130" s="24" t="str">
        <f aca="false">IF($A130="","",SUMIFS(대여내역!$I$3:$I$1002,대여내역!$D$3:$D$1002,$A130))</f>
        <v/>
      </c>
    </row>
    <row r="131" customFormat="false" ht="15" hidden="false" customHeight="false" outlineLevel="0" collapsed="false">
      <c r="A131" s="18" t="str">
        <f aca="false">IF(품목목록!$A130="","",품목목록!$A130)</f>
        <v/>
      </c>
      <c r="B131" s="18" t="str">
        <f aca="false">IF($A131="","",품목목록!$B130)</f>
        <v/>
      </c>
      <c r="C131" s="18" t="str">
        <f aca="false">IF($A131="","",품목목록!$D130)</f>
        <v/>
      </c>
      <c r="D131" s="24" t="str">
        <f aca="false">IF($A131="","",IF(품목목록!$E130="",0,품목목록!$E130))</f>
        <v/>
      </c>
      <c r="E131" s="24" t="str">
        <f aca="false">IF($A131="","",SUMIFS(대여내역!$J$3:$J$1002,대여내역!$D$3:$D$1002,$A131,대여내역!$J$3:$J$1002,"&gt;0"))</f>
        <v/>
      </c>
      <c r="F131" s="24" t="str">
        <f aca="false">IF($A131="","",SUMIFS(대여내역!$G$3:$G$1002,대여내역!$D$3:$D$1002,$A131))</f>
        <v/>
      </c>
      <c r="G131" s="24" t="str">
        <f aca="false">IF($A131="","",SUMIFS(대여내역!$I$3:$I$1002,대여내역!$D$3:$D$1002,$A131))</f>
        <v/>
      </c>
    </row>
    <row r="132" customFormat="false" ht="15" hidden="false" customHeight="false" outlineLevel="0" collapsed="false">
      <c r="A132" s="18" t="str">
        <f aca="false">IF(품목목록!$A131="","",품목목록!$A131)</f>
        <v/>
      </c>
      <c r="B132" s="18" t="str">
        <f aca="false">IF($A132="","",품목목록!$B131)</f>
        <v/>
      </c>
      <c r="C132" s="18" t="str">
        <f aca="false">IF($A132="","",품목목록!$D131)</f>
        <v/>
      </c>
      <c r="D132" s="24" t="str">
        <f aca="false">IF($A132="","",IF(품목목록!$E131="",0,품목목록!$E131))</f>
        <v/>
      </c>
      <c r="E132" s="24" t="str">
        <f aca="false">IF($A132="","",SUMIFS(대여내역!$J$3:$J$1002,대여내역!$D$3:$D$1002,$A132,대여내역!$J$3:$J$1002,"&gt;0"))</f>
        <v/>
      </c>
      <c r="F132" s="24" t="str">
        <f aca="false">IF($A132="","",SUMIFS(대여내역!$G$3:$G$1002,대여내역!$D$3:$D$1002,$A132))</f>
        <v/>
      </c>
      <c r="G132" s="24" t="str">
        <f aca="false">IF($A132="","",SUMIFS(대여내역!$I$3:$I$1002,대여내역!$D$3:$D$1002,$A132))</f>
        <v/>
      </c>
    </row>
    <row r="133" customFormat="false" ht="15" hidden="false" customHeight="false" outlineLevel="0" collapsed="false">
      <c r="A133" s="18" t="str">
        <f aca="false">IF(품목목록!$A132="","",품목목록!$A132)</f>
        <v/>
      </c>
      <c r="B133" s="18" t="str">
        <f aca="false">IF($A133="","",품목목록!$B132)</f>
        <v/>
      </c>
      <c r="C133" s="18" t="str">
        <f aca="false">IF($A133="","",품목목록!$D132)</f>
        <v/>
      </c>
      <c r="D133" s="24" t="str">
        <f aca="false">IF($A133="","",IF(품목목록!$E132="",0,품목목록!$E132))</f>
        <v/>
      </c>
      <c r="E133" s="24" t="str">
        <f aca="false">IF($A133="","",SUMIFS(대여내역!$J$3:$J$1002,대여내역!$D$3:$D$1002,$A133,대여내역!$J$3:$J$1002,"&gt;0"))</f>
        <v/>
      </c>
      <c r="F133" s="24" t="str">
        <f aca="false">IF($A133="","",SUMIFS(대여내역!$G$3:$G$1002,대여내역!$D$3:$D$1002,$A133))</f>
        <v/>
      </c>
      <c r="G133" s="24" t="str">
        <f aca="false">IF($A133="","",SUMIFS(대여내역!$I$3:$I$1002,대여내역!$D$3:$D$1002,$A133))</f>
        <v/>
      </c>
    </row>
    <row r="134" customFormat="false" ht="15" hidden="false" customHeight="false" outlineLevel="0" collapsed="false">
      <c r="A134" s="18" t="str">
        <f aca="false">IF(품목목록!$A133="","",품목목록!$A133)</f>
        <v/>
      </c>
      <c r="B134" s="18" t="str">
        <f aca="false">IF($A134="","",품목목록!$B133)</f>
        <v/>
      </c>
      <c r="C134" s="18" t="str">
        <f aca="false">IF($A134="","",품목목록!$D133)</f>
        <v/>
      </c>
      <c r="D134" s="24" t="str">
        <f aca="false">IF($A134="","",IF(품목목록!$E133="",0,품목목록!$E133))</f>
        <v/>
      </c>
      <c r="E134" s="24" t="str">
        <f aca="false">IF($A134="","",SUMIFS(대여내역!$J$3:$J$1002,대여내역!$D$3:$D$1002,$A134,대여내역!$J$3:$J$1002,"&gt;0"))</f>
        <v/>
      </c>
      <c r="F134" s="24" t="str">
        <f aca="false">IF($A134="","",SUMIFS(대여내역!$G$3:$G$1002,대여내역!$D$3:$D$1002,$A134))</f>
        <v/>
      </c>
      <c r="G134" s="24" t="str">
        <f aca="false">IF($A134="","",SUMIFS(대여내역!$I$3:$I$1002,대여내역!$D$3:$D$1002,$A134))</f>
        <v/>
      </c>
    </row>
    <row r="135" customFormat="false" ht="15" hidden="false" customHeight="false" outlineLevel="0" collapsed="false">
      <c r="A135" s="18" t="str">
        <f aca="false">IF(품목목록!$A134="","",품목목록!$A134)</f>
        <v/>
      </c>
      <c r="B135" s="18" t="str">
        <f aca="false">IF($A135="","",품목목록!$B134)</f>
        <v/>
      </c>
      <c r="C135" s="18" t="str">
        <f aca="false">IF($A135="","",품목목록!$D134)</f>
        <v/>
      </c>
      <c r="D135" s="24" t="str">
        <f aca="false">IF($A135="","",IF(품목목록!$E134="",0,품목목록!$E134))</f>
        <v/>
      </c>
      <c r="E135" s="24" t="str">
        <f aca="false">IF($A135="","",SUMIFS(대여내역!$J$3:$J$1002,대여내역!$D$3:$D$1002,$A135,대여내역!$J$3:$J$1002,"&gt;0"))</f>
        <v/>
      </c>
      <c r="F135" s="24" t="str">
        <f aca="false">IF($A135="","",SUMIFS(대여내역!$G$3:$G$1002,대여내역!$D$3:$D$1002,$A135))</f>
        <v/>
      </c>
      <c r="G135" s="24" t="str">
        <f aca="false">IF($A135="","",SUMIFS(대여내역!$I$3:$I$1002,대여내역!$D$3:$D$1002,$A135))</f>
        <v/>
      </c>
    </row>
    <row r="136" customFormat="false" ht="15" hidden="false" customHeight="false" outlineLevel="0" collapsed="false">
      <c r="A136" s="18" t="str">
        <f aca="false">IF(품목목록!$A135="","",품목목록!$A135)</f>
        <v/>
      </c>
      <c r="B136" s="18" t="str">
        <f aca="false">IF($A136="","",품목목록!$B135)</f>
        <v/>
      </c>
      <c r="C136" s="18" t="str">
        <f aca="false">IF($A136="","",품목목록!$D135)</f>
        <v/>
      </c>
      <c r="D136" s="24" t="str">
        <f aca="false">IF($A136="","",IF(품목목록!$E135="",0,품목목록!$E135))</f>
        <v/>
      </c>
      <c r="E136" s="24" t="str">
        <f aca="false">IF($A136="","",SUMIFS(대여내역!$J$3:$J$1002,대여내역!$D$3:$D$1002,$A136,대여내역!$J$3:$J$1002,"&gt;0"))</f>
        <v/>
      </c>
      <c r="F136" s="24" t="str">
        <f aca="false">IF($A136="","",SUMIFS(대여내역!$G$3:$G$1002,대여내역!$D$3:$D$1002,$A136))</f>
        <v/>
      </c>
      <c r="G136" s="24" t="str">
        <f aca="false">IF($A136="","",SUMIFS(대여내역!$I$3:$I$1002,대여내역!$D$3:$D$1002,$A136))</f>
        <v/>
      </c>
    </row>
    <row r="137" customFormat="false" ht="15" hidden="false" customHeight="false" outlineLevel="0" collapsed="false">
      <c r="A137" s="18" t="str">
        <f aca="false">IF(품목목록!$A136="","",품목목록!$A136)</f>
        <v/>
      </c>
      <c r="B137" s="18" t="str">
        <f aca="false">IF($A137="","",품목목록!$B136)</f>
        <v/>
      </c>
      <c r="C137" s="18" t="str">
        <f aca="false">IF($A137="","",품목목록!$D136)</f>
        <v/>
      </c>
      <c r="D137" s="24" t="str">
        <f aca="false">IF($A137="","",IF(품목목록!$E136="",0,품목목록!$E136))</f>
        <v/>
      </c>
      <c r="E137" s="24" t="str">
        <f aca="false">IF($A137="","",SUMIFS(대여내역!$J$3:$J$1002,대여내역!$D$3:$D$1002,$A137,대여내역!$J$3:$J$1002,"&gt;0"))</f>
        <v/>
      </c>
      <c r="F137" s="24" t="str">
        <f aca="false">IF($A137="","",SUMIFS(대여내역!$G$3:$G$1002,대여내역!$D$3:$D$1002,$A137))</f>
        <v/>
      </c>
      <c r="G137" s="24" t="str">
        <f aca="false">IF($A137="","",SUMIFS(대여내역!$I$3:$I$1002,대여내역!$D$3:$D$1002,$A137))</f>
        <v/>
      </c>
    </row>
    <row r="138" customFormat="false" ht="15" hidden="false" customHeight="false" outlineLevel="0" collapsed="false">
      <c r="A138" s="18" t="str">
        <f aca="false">IF(품목목록!$A137="","",품목목록!$A137)</f>
        <v/>
      </c>
      <c r="B138" s="18" t="str">
        <f aca="false">IF($A138="","",품목목록!$B137)</f>
        <v/>
      </c>
      <c r="C138" s="18" t="str">
        <f aca="false">IF($A138="","",품목목록!$D137)</f>
        <v/>
      </c>
      <c r="D138" s="24" t="str">
        <f aca="false">IF($A138="","",IF(품목목록!$E137="",0,품목목록!$E137))</f>
        <v/>
      </c>
      <c r="E138" s="24" t="str">
        <f aca="false">IF($A138="","",SUMIFS(대여내역!$J$3:$J$1002,대여내역!$D$3:$D$1002,$A138,대여내역!$J$3:$J$1002,"&gt;0"))</f>
        <v/>
      </c>
      <c r="F138" s="24" t="str">
        <f aca="false">IF($A138="","",SUMIFS(대여내역!$G$3:$G$1002,대여내역!$D$3:$D$1002,$A138))</f>
        <v/>
      </c>
      <c r="G138" s="24" t="str">
        <f aca="false">IF($A138="","",SUMIFS(대여내역!$I$3:$I$1002,대여내역!$D$3:$D$1002,$A138))</f>
        <v/>
      </c>
    </row>
    <row r="139" customFormat="false" ht="15" hidden="false" customHeight="false" outlineLevel="0" collapsed="false">
      <c r="A139" s="18" t="str">
        <f aca="false">IF(품목목록!$A138="","",품목목록!$A138)</f>
        <v/>
      </c>
      <c r="B139" s="18" t="str">
        <f aca="false">IF($A139="","",품목목록!$B138)</f>
        <v/>
      </c>
      <c r="C139" s="18" t="str">
        <f aca="false">IF($A139="","",품목목록!$D138)</f>
        <v/>
      </c>
      <c r="D139" s="24" t="str">
        <f aca="false">IF($A139="","",IF(품목목록!$E138="",0,품목목록!$E138))</f>
        <v/>
      </c>
      <c r="E139" s="24" t="str">
        <f aca="false">IF($A139="","",SUMIFS(대여내역!$J$3:$J$1002,대여내역!$D$3:$D$1002,$A139,대여내역!$J$3:$J$1002,"&gt;0"))</f>
        <v/>
      </c>
      <c r="F139" s="24" t="str">
        <f aca="false">IF($A139="","",SUMIFS(대여내역!$G$3:$G$1002,대여내역!$D$3:$D$1002,$A139))</f>
        <v/>
      </c>
      <c r="G139" s="24" t="str">
        <f aca="false">IF($A139="","",SUMIFS(대여내역!$I$3:$I$1002,대여내역!$D$3:$D$1002,$A139))</f>
        <v/>
      </c>
    </row>
    <row r="140" customFormat="false" ht="15" hidden="false" customHeight="false" outlineLevel="0" collapsed="false">
      <c r="A140" s="18" t="str">
        <f aca="false">IF(품목목록!$A139="","",품목목록!$A139)</f>
        <v/>
      </c>
      <c r="B140" s="18" t="str">
        <f aca="false">IF($A140="","",품목목록!$B139)</f>
        <v/>
      </c>
      <c r="C140" s="18" t="str">
        <f aca="false">IF($A140="","",품목목록!$D139)</f>
        <v/>
      </c>
      <c r="D140" s="24" t="str">
        <f aca="false">IF($A140="","",IF(품목목록!$E139="",0,품목목록!$E139))</f>
        <v/>
      </c>
      <c r="E140" s="24" t="str">
        <f aca="false">IF($A140="","",SUMIFS(대여내역!$J$3:$J$1002,대여내역!$D$3:$D$1002,$A140,대여내역!$J$3:$J$1002,"&gt;0"))</f>
        <v/>
      </c>
      <c r="F140" s="24" t="str">
        <f aca="false">IF($A140="","",SUMIFS(대여내역!$G$3:$G$1002,대여내역!$D$3:$D$1002,$A140))</f>
        <v/>
      </c>
      <c r="G140" s="24" t="str">
        <f aca="false">IF($A140="","",SUMIFS(대여내역!$I$3:$I$1002,대여내역!$D$3:$D$1002,$A140))</f>
        <v/>
      </c>
    </row>
    <row r="141" customFormat="false" ht="15" hidden="false" customHeight="false" outlineLevel="0" collapsed="false">
      <c r="A141" s="18" t="str">
        <f aca="false">IF(품목목록!$A140="","",품목목록!$A140)</f>
        <v/>
      </c>
      <c r="B141" s="18" t="str">
        <f aca="false">IF($A141="","",품목목록!$B140)</f>
        <v/>
      </c>
      <c r="C141" s="18" t="str">
        <f aca="false">IF($A141="","",품목목록!$D140)</f>
        <v/>
      </c>
      <c r="D141" s="24" t="str">
        <f aca="false">IF($A141="","",IF(품목목록!$E140="",0,품목목록!$E140))</f>
        <v/>
      </c>
      <c r="E141" s="24" t="str">
        <f aca="false">IF($A141="","",SUMIFS(대여내역!$J$3:$J$1002,대여내역!$D$3:$D$1002,$A141,대여내역!$J$3:$J$1002,"&gt;0"))</f>
        <v/>
      </c>
      <c r="F141" s="24" t="str">
        <f aca="false">IF($A141="","",SUMIFS(대여내역!$G$3:$G$1002,대여내역!$D$3:$D$1002,$A141))</f>
        <v/>
      </c>
      <c r="G141" s="24" t="str">
        <f aca="false">IF($A141="","",SUMIFS(대여내역!$I$3:$I$1002,대여내역!$D$3:$D$1002,$A141))</f>
        <v/>
      </c>
    </row>
    <row r="142" customFormat="false" ht="15" hidden="false" customHeight="false" outlineLevel="0" collapsed="false">
      <c r="A142" s="18" t="str">
        <f aca="false">IF(품목목록!$A141="","",품목목록!$A141)</f>
        <v/>
      </c>
      <c r="B142" s="18" t="str">
        <f aca="false">IF($A142="","",품목목록!$B141)</f>
        <v/>
      </c>
      <c r="C142" s="18" t="str">
        <f aca="false">IF($A142="","",품목목록!$D141)</f>
        <v/>
      </c>
      <c r="D142" s="24" t="str">
        <f aca="false">IF($A142="","",IF(품목목록!$E141="",0,품목목록!$E141))</f>
        <v/>
      </c>
      <c r="E142" s="24" t="str">
        <f aca="false">IF($A142="","",SUMIFS(대여내역!$J$3:$J$1002,대여내역!$D$3:$D$1002,$A142,대여내역!$J$3:$J$1002,"&gt;0"))</f>
        <v/>
      </c>
      <c r="F142" s="24" t="str">
        <f aca="false">IF($A142="","",SUMIFS(대여내역!$G$3:$G$1002,대여내역!$D$3:$D$1002,$A142))</f>
        <v/>
      </c>
      <c r="G142" s="24" t="str">
        <f aca="false">IF($A142="","",SUMIFS(대여내역!$I$3:$I$1002,대여내역!$D$3:$D$1002,$A142))</f>
        <v/>
      </c>
    </row>
    <row r="143" customFormat="false" ht="15" hidden="false" customHeight="false" outlineLevel="0" collapsed="false">
      <c r="A143" s="18" t="str">
        <f aca="false">IF(품목목록!$A142="","",품목목록!$A142)</f>
        <v/>
      </c>
      <c r="B143" s="18" t="str">
        <f aca="false">IF($A143="","",품목목록!$B142)</f>
        <v/>
      </c>
      <c r="C143" s="18" t="str">
        <f aca="false">IF($A143="","",품목목록!$D142)</f>
        <v/>
      </c>
      <c r="D143" s="24" t="str">
        <f aca="false">IF($A143="","",IF(품목목록!$E142="",0,품목목록!$E142))</f>
        <v/>
      </c>
      <c r="E143" s="24" t="str">
        <f aca="false">IF($A143="","",SUMIFS(대여내역!$J$3:$J$1002,대여내역!$D$3:$D$1002,$A143,대여내역!$J$3:$J$1002,"&gt;0"))</f>
        <v/>
      </c>
      <c r="F143" s="24" t="str">
        <f aca="false">IF($A143="","",SUMIFS(대여내역!$G$3:$G$1002,대여내역!$D$3:$D$1002,$A143))</f>
        <v/>
      </c>
      <c r="G143" s="24" t="str">
        <f aca="false">IF($A143="","",SUMIFS(대여내역!$I$3:$I$1002,대여내역!$D$3:$D$1002,$A143))</f>
        <v/>
      </c>
    </row>
    <row r="144" customFormat="false" ht="15" hidden="false" customHeight="false" outlineLevel="0" collapsed="false">
      <c r="A144" s="18" t="str">
        <f aca="false">IF(품목목록!$A143="","",품목목록!$A143)</f>
        <v/>
      </c>
      <c r="B144" s="18" t="str">
        <f aca="false">IF($A144="","",품목목록!$B143)</f>
        <v/>
      </c>
      <c r="C144" s="18" t="str">
        <f aca="false">IF($A144="","",품목목록!$D143)</f>
        <v/>
      </c>
      <c r="D144" s="24" t="str">
        <f aca="false">IF($A144="","",IF(품목목록!$E143="",0,품목목록!$E143))</f>
        <v/>
      </c>
      <c r="E144" s="24" t="str">
        <f aca="false">IF($A144="","",SUMIFS(대여내역!$J$3:$J$1002,대여내역!$D$3:$D$1002,$A144,대여내역!$J$3:$J$1002,"&gt;0"))</f>
        <v/>
      </c>
      <c r="F144" s="24" t="str">
        <f aca="false">IF($A144="","",SUMIFS(대여내역!$G$3:$G$1002,대여내역!$D$3:$D$1002,$A144))</f>
        <v/>
      </c>
      <c r="G144" s="24" t="str">
        <f aca="false">IF($A144="","",SUMIFS(대여내역!$I$3:$I$1002,대여내역!$D$3:$D$1002,$A144))</f>
        <v/>
      </c>
    </row>
    <row r="145" customFormat="false" ht="15" hidden="false" customHeight="false" outlineLevel="0" collapsed="false">
      <c r="A145" s="18" t="str">
        <f aca="false">IF(품목목록!$A144="","",품목목록!$A144)</f>
        <v/>
      </c>
      <c r="B145" s="18" t="str">
        <f aca="false">IF($A145="","",품목목록!$B144)</f>
        <v/>
      </c>
      <c r="C145" s="18" t="str">
        <f aca="false">IF($A145="","",품목목록!$D144)</f>
        <v/>
      </c>
      <c r="D145" s="24" t="str">
        <f aca="false">IF($A145="","",IF(품목목록!$E144="",0,품목목록!$E144))</f>
        <v/>
      </c>
      <c r="E145" s="24" t="str">
        <f aca="false">IF($A145="","",SUMIFS(대여내역!$J$3:$J$1002,대여내역!$D$3:$D$1002,$A145,대여내역!$J$3:$J$1002,"&gt;0"))</f>
        <v/>
      </c>
      <c r="F145" s="24" t="str">
        <f aca="false">IF($A145="","",SUMIFS(대여내역!$G$3:$G$1002,대여내역!$D$3:$D$1002,$A145))</f>
        <v/>
      </c>
      <c r="G145" s="24" t="str">
        <f aca="false">IF($A145="","",SUMIFS(대여내역!$I$3:$I$1002,대여내역!$D$3:$D$1002,$A145))</f>
        <v/>
      </c>
    </row>
    <row r="146" customFormat="false" ht="15" hidden="false" customHeight="false" outlineLevel="0" collapsed="false">
      <c r="A146" s="18" t="str">
        <f aca="false">IF(품목목록!$A145="","",품목목록!$A145)</f>
        <v/>
      </c>
      <c r="B146" s="18" t="str">
        <f aca="false">IF($A146="","",품목목록!$B145)</f>
        <v/>
      </c>
      <c r="C146" s="18" t="str">
        <f aca="false">IF($A146="","",품목목록!$D145)</f>
        <v/>
      </c>
      <c r="D146" s="24" t="str">
        <f aca="false">IF($A146="","",IF(품목목록!$E145="",0,품목목록!$E145))</f>
        <v/>
      </c>
      <c r="E146" s="24" t="str">
        <f aca="false">IF($A146="","",SUMIFS(대여내역!$J$3:$J$1002,대여내역!$D$3:$D$1002,$A146,대여내역!$J$3:$J$1002,"&gt;0"))</f>
        <v/>
      </c>
      <c r="F146" s="24" t="str">
        <f aca="false">IF($A146="","",SUMIFS(대여내역!$G$3:$G$1002,대여내역!$D$3:$D$1002,$A146))</f>
        <v/>
      </c>
      <c r="G146" s="24" t="str">
        <f aca="false">IF($A146="","",SUMIFS(대여내역!$I$3:$I$1002,대여내역!$D$3:$D$1002,$A146))</f>
        <v/>
      </c>
    </row>
    <row r="147" customFormat="false" ht="15" hidden="false" customHeight="false" outlineLevel="0" collapsed="false">
      <c r="A147" s="18" t="str">
        <f aca="false">IF(품목목록!$A146="","",품목목록!$A146)</f>
        <v/>
      </c>
      <c r="B147" s="18" t="str">
        <f aca="false">IF($A147="","",품목목록!$B146)</f>
        <v/>
      </c>
      <c r="C147" s="18" t="str">
        <f aca="false">IF($A147="","",품목목록!$D146)</f>
        <v/>
      </c>
      <c r="D147" s="24" t="str">
        <f aca="false">IF($A147="","",IF(품목목록!$E146="",0,품목목록!$E146))</f>
        <v/>
      </c>
      <c r="E147" s="24" t="str">
        <f aca="false">IF($A147="","",SUMIFS(대여내역!$J$3:$J$1002,대여내역!$D$3:$D$1002,$A147,대여내역!$J$3:$J$1002,"&gt;0"))</f>
        <v/>
      </c>
      <c r="F147" s="24" t="str">
        <f aca="false">IF($A147="","",SUMIFS(대여내역!$G$3:$G$1002,대여내역!$D$3:$D$1002,$A147))</f>
        <v/>
      </c>
      <c r="G147" s="24" t="str">
        <f aca="false">IF($A147="","",SUMIFS(대여내역!$I$3:$I$1002,대여내역!$D$3:$D$1002,$A147))</f>
        <v/>
      </c>
    </row>
    <row r="148" customFormat="false" ht="15" hidden="false" customHeight="false" outlineLevel="0" collapsed="false">
      <c r="A148" s="18" t="str">
        <f aca="false">IF(품목목록!$A147="","",품목목록!$A147)</f>
        <v/>
      </c>
      <c r="B148" s="18" t="str">
        <f aca="false">IF($A148="","",품목목록!$B147)</f>
        <v/>
      </c>
      <c r="C148" s="18" t="str">
        <f aca="false">IF($A148="","",품목목록!$D147)</f>
        <v/>
      </c>
      <c r="D148" s="24" t="str">
        <f aca="false">IF($A148="","",IF(품목목록!$E147="",0,품목목록!$E147))</f>
        <v/>
      </c>
      <c r="E148" s="24" t="str">
        <f aca="false">IF($A148="","",SUMIFS(대여내역!$J$3:$J$1002,대여내역!$D$3:$D$1002,$A148,대여내역!$J$3:$J$1002,"&gt;0"))</f>
        <v/>
      </c>
      <c r="F148" s="24" t="str">
        <f aca="false">IF($A148="","",SUMIFS(대여내역!$G$3:$G$1002,대여내역!$D$3:$D$1002,$A148))</f>
        <v/>
      </c>
      <c r="G148" s="24" t="str">
        <f aca="false">IF($A148="","",SUMIFS(대여내역!$I$3:$I$1002,대여내역!$D$3:$D$1002,$A148))</f>
        <v/>
      </c>
    </row>
    <row r="149" customFormat="false" ht="15" hidden="false" customHeight="false" outlineLevel="0" collapsed="false">
      <c r="A149" s="18" t="str">
        <f aca="false">IF(품목목록!$A148="","",품목목록!$A148)</f>
        <v/>
      </c>
      <c r="B149" s="18" t="str">
        <f aca="false">IF($A149="","",품목목록!$B148)</f>
        <v/>
      </c>
      <c r="C149" s="18" t="str">
        <f aca="false">IF($A149="","",품목목록!$D148)</f>
        <v/>
      </c>
      <c r="D149" s="24" t="str">
        <f aca="false">IF($A149="","",IF(품목목록!$E148="",0,품목목록!$E148))</f>
        <v/>
      </c>
      <c r="E149" s="24" t="str">
        <f aca="false">IF($A149="","",SUMIFS(대여내역!$J$3:$J$1002,대여내역!$D$3:$D$1002,$A149,대여내역!$J$3:$J$1002,"&gt;0"))</f>
        <v/>
      </c>
      <c r="F149" s="24" t="str">
        <f aca="false">IF($A149="","",SUMIFS(대여내역!$G$3:$G$1002,대여내역!$D$3:$D$1002,$A149))</f>
        <v/>
      </c>
      <c r="G149" s="24" t="str">
        <f aca="false">IF($A149="","",SUMIFS(대여내역!$I$3:$I$1002,대여내역!$D$3:$D$1002,$A149))</f>
        <v/>
      </c>
    </row>
    <row r="150" customFormat="false" ht="15" hidden="false" customHeight="false" outlineLevel="0" collapsed="false">
      <c r="A150" s="18" t="str">
        <f aca="false">IF(품목목록!$A149="","",품목목록!$A149)</f>
        <v/>
      </c>
      <c r="B150" s="18" t="str">
        <f aca="false">IF($A150="","",품목목록!$B149)</f>
        <v/>
      </c>
      <c r="C150" s="18" t="str">
        <f aca="false">IF($A150="","",품목목록!$D149)</f>
        <v/>
      </c>
      <c r="D150" s="24" t="str">
        <f aca="false">IF($A150="","",IF(품목목록!$E149="",0,품목목록!$E149))</f>
        <v/>
      </c>
      <c r="E150" s="24" t="str">
        <f aca="false">IF($A150="","",SUMIFS(대여내역!$J$3:$J$1002,대여내역!$D$3:$D$1002,$A150,대여내역!$J$3:$J$1002,"&gt;0"))</f>
        <v/>
      </c>
      <c r="F150" s="24" t="str">
        <f aca="false">IF($A150="","",SUMIFS(대여내역!$G$3:$G$1002,대여내역!$D$3:$D$1002,$A150))</f>
        <v/>
      </c>
      <c r="G150" s="24" t="str">
        <f aca="false">IF($A150="","",SUMIFS(대여내역!$I$3:$I$1002,대여내역!$D$3:$D$1002,$A150))</f>
        <v/>
      </c>
    </row>
    <row r="151" customFormat="false" ht="15" hidden="false" customHeight="false" outlineLevel="0" collapsed="false">
      <c r="A151" s="18" t="str">
        <f aca="false">IF(품목목록!$A150="","",품목목록!$A150)</f>
        <v/>
      </c>
      <c r="B151" s="18" t="str">
        <f aca="false">IF($A151="","",품목목록!$B150)</f>
        <v/>
      </c>
      <c r="C151" s="18" t="str">
        <f aca="false">IF($A151="","",품목목록!$D150)</f>
        <v/>
      </c>
      <c r="D151" s="24" t="str">
        <f aca="false">IF($A151="","",IF(품목목록!$E150="",0,품목목록!$E150))</f>
        <v/>
      </c>
      <c r="E151" s="24" t="str">
        <f aca="false">IF($A151="","",SUMIFS(대여내역!$J$3:$J$1002,대여내역!$D$3:$D$1002,$A151,대여내역!$J$3:$J$1002,"&gt;0"))</f>
        <v/>
      </c>
      <c r="F151" s="24" t="str">
        <f aca="false">IF($A151="","",SUMIFS(대여내역!$G$3:$G$1002,대여내역!$D$3:$D$1002,$A151))</f>
        <v/>
      </c>
      <c r="G151" s="24" t="str">
        <f aca="false">IF($A151="","",SUMIFS(대여내역!$I$3:$I$1002,대여내역!$D$3:$D$1002,$A151))</f>
        <v/>
      </c>
    </row>
    <row r="152" customFormat="false" ht="15" hidden="false" customHeight="false" outlineLevel="0" collapsed="false">
      <c r="A152" s="18" t="str">
        <f aca="false">IF(품목목록!$A151="","",품목목록!$A151)</f>
        <v/>
      </c>
      <c r="B152" s="18" t="str">
        <f aca="false">IF($A152="","",품목목록!$B151)</f>
        <v/>
      </c>
      <c r="C152" s="18" t="str">
        <f aca="false">IF($A152="","",품목목록!$D151)</f>
        <v/>
      </c>
      <c r="D152" s="24" t="str">
        <f aca="false">IF($A152="","",IF(품목목록!$E151="",0,품목목록!$E151))</f>
        <v/>
      </c>
      <c r="E152" s="24" t="str">
        <f aca="false">IF($A152="","",SUMIFS(대여내역!$J$3:$J$1002,대여내역!$D$3:$D$1002,$A152,대여내역!$J$3:$J$1002,"&gt;0"))</f>
        <v/>
      </c>
      <c r="F152" s="24" t="str">
        <f aca="false">IF($A152="","",SUMIFS(대여내역!$G$3:$G$1002,대여내역!$D$3:$D$1002,$A152))</f>
        <v/>
      </c>
      <c r="G152" s="24" t="str">
        <f aca="false">IF($A152="","",SUMIFS(대여내역!$I$3:$I$1002,대여내역!$D$3:$D$1002,$A152))</f>
        <v/>
      </c>
    </row>
    <row r="153" customFormat="false" ht="15" hidden="false" customHeight="false" outlineLevel="0" collapsed="false">
      <c r="A153" s="18" t="str">
        <f aca="false">IF(품목목록!$A152="","",품목목록!$A152)</f>
        <v/>
      </c>
      <c r="B153" s="18" t="str">
        <f aca="false">IF($A153="","",품목목록!$B152)</f>
        <v/>
      </c>
      <c r="C153" s="18" t="str">
        <f aca="false">IF($A153="","",품목목록!$D152)</f>
        <v/>
      </c>
      <c r="D153" s="24" t="str">
        <f aca="false">IF($A153="","",IF(품목목록!$E152="",0,품목목록!$E152))</f>
        <v/>
      </c>
      <c r="E153" s="24" t="str">
        <f aca="false">IF($A153="","",SUMIFS(대여내역!$J$3:$J$1002,대여내역!$D$3:$D$1002,$A153,대여내역!$J$3:$J$1002,"&gt;0"))</f>
        <v/>
      </c>
      <c r="F153" s="24" t="str">
        <f aca="false">IF($A153="","",SUMIFS(대여내역!$G$3:$G$1002,대여내역!$D$3:$D$1002,$A153))</f>
        <v/>
      </c>
      <c r="G153" s="24" t="str">
        <f aca="false">IF($A153="","",SUMIFS(대여내역!$I$3:$I$1002,대여내역!$D$3:$D$1002,$A153))</f>
        <v/>
      </c>
    </row>
    <row r="154" customFormat="false" ht="15" hidden="false" customHeight="false" outlineLevel="0" collapsed="false">
      <c r="A154" s="18" t="str">
        <f aca="false">IF(품목목록!$A153="","",품목목록!$A153)</f>
        <v/>
      </c>
      <c r="B154" s="18" t="str">
        <f aca="false">IF($A154="","",품목목록!$B153)</f>
        <v/>
      </c>
      <c r="C154" s="18" t="str">
        <f aca="false">IF($A154="","",품목목록!$D153)</f>
        <v/>
      </c>
      <c r="D154" s="24" t="str">
        <f aca="false">IF($A154="","",IF(품목목록!$E153="",0,품목목록!$E153))</f>
        <v/>
      </c>
      <c r="E154" s="24" t="str">
        <f aca="false">IF($A154="","",SUMIFS(대여내역!$J$3:$J$1002,대여내역!$D$3:$D$1002,$A154,대여내역!$J$3:$J$1002,"&gt;0"))</f>
        <v/>
      </c>
      <c r="F154" s="24" t="str">
        <f aca="false">IF($A154="","",SUMIFS(대여내역!$G$3:$G$1002,대여내역!$D$3:$D$1002,$A154))</f>
        <v/>
      </c>
      <c r="G154" s="24" t="str">
        <f aca="false">IF($A154="","",SUMIFS(대여내역!$I$3:$I$1002,대여내역!$D$3:$D$1002,$A154))</f>
        <v/>
      </c>
    </row>
    <row r="155" customFormat="false" ht="15" hidden="false" customHeight="false" outlineLevel="0" collapsed="false">
      <c r="A155" s="18" t="str">
        <f aca="false">IF(품목목록!$A154="","",품목목록!$A154)</f>
        <v/>
      </c>
      <c r="B155" s="18" t="str">
        <f aca="false">IF($A155="","",품목목록!$B154)</f>
        <v/>
      </c>
      <c r="C155" s="18" t="str">
        <f aca="false">IF($A155="","",품목목록!$D154)</f>
        <v/>
      </c>
      <c r="D155" s="24" t="str">
        <f aca="false">IF($A155="","",IF(품목목록!$E154="",0,품목목록!$E154))</f>
        <v/>
      </c>
      <c r="E155" s="24" t="str">
        <f aca="false">IF($A155="","",SUMIFS(대여내역!$J$3:$J$1002,대여내역!$D$3:$D$1002,$A155,대여내역!$J$3:$J$1002,"&gt;0"))</f>
        <v/>
      </c>
      <c r="F155" s="24" t="str">
        <f aca="false">IF($A155="","",SUMIFS(대여내역!$G$3:$G$1002,대여내역!$D$3:$D$1002,$A155))</f>
        <v/>
      </c>
      <c r="G155" s="24" t="str">
        <f aca="false">IF($A155="","",SUMIFS(대여내역!$I$3:$I$1002,대여내역!$D$3:$D$1002,$A155))</f>
        <v/>
      </c>
    </row>
    <row r="156" customFormat="false" ht="15" hidden="false" customHeight="false" outlineLevel="0" collapsed="false">
      <c r="A156" s="18" t="str">
        <f aca="false">IF(품목목록!$A155="","",품목목록!$A155)</f>
        <v/>
      </c>
      <c r="B156" s="18" t="str">
        <f aca="false">IF($A156="","",품목목록!$B155)</f>
        <v/>
      </c>
      <c r="C156" s="18" t="str">
        <f aca="false">IF($A156="","",품목목록!$D155)</f>
        <v/>
      </c>
      <c r="D156" s="24" t="str">
        <f aca="false">IF($A156="","",IF(품목목록!$E155="",0,품목목록!$E155))</f>
        <v/>
      </c>
      <c r="E156" s="24" t="str">
        <f aca="false">IF($A156="","",SUMIFS(대여내역!$J$3:$J$1002,대여내역!$D$3:$D$1002,$A156,대여내역!$J$3:$J$1002,"&gt;0"))</f>
        <v/>
      </c>
      <c r="F156" s="24" t="str">
        <f aca="false">IF($A156="","",SUMIFS(대여내역!$G$3:$G$1002,대여내역!$D$3:$D$1002,$A156))</f>
        <v/>
      </c>
      <c r="G156" s="24" t="str">
        <f aca="false">IF($A156="","",SUMIFS(대여내역!$I$3:$I$1002,대여내역!$D$3:$D$1002,$A156))</f>
        <v/>
      </c>
    </row>
    <row r="157" customFormat="false" ht="15" hidden="false" customHeight="false" outlineLevel="0" collapsed="false">
      <c r="A157" s="18" t="str">
        <f aca="false">IF(품목목록!$A156="","",품목목록!$A156)</f>
        <v/>
      </c>
      <c r="B157" s="18" t="str">
        <f aca="false">IF($A157="","",품목목록!$B156)</f>
        <v/>
      </c>
      <c r="C157" s="18" t="str">
        <f aca="false">IF($A157="","",품목목록!$D156)</f>
        <v/>
      </c>
      <c r="D157" s="24" t="str">
        <f aca="false">IF($A157="","",IF(품목목록!$E156="",0,품목목록!$E156))</f>
        <v/>
      </c>
      <c r="E157" s="24" t="str">
        <f aca="false">IF($A157="","",SUMIFS(대여내역!$J$3:$J$1002,대여내역!$D$3:$D$1002,$A157,대여내역!$J$3:$J$1002,"&gt;0"))</f>
        <v/>
      </c>
      <c r="F157" s="24" t="str">
        <f aca="false">IF($A157="","",SUMIFS(대여내역!$G$3:$G$1002,대여내역!$D$3:$D$1002,$A157))</f>
        <v/>
      </c>
      <c r="G157" s="24" t="str">
        <f aca="false">IF($A157="","",SUMIFS(대여내역!$I$3:$I$1002,대여내역!$D$3:$D$1002,$A157))</f>
        <v/>
      </c>
    </row>
    <row r="158" customFormat="false" ht="15" hidden="false" customHeight="false" outlineLevel="0" collapsed="false">
      <c r="A158" s="18" t="str">
        <f aca="false">IF(품목목록!$A157="","",품목목록!$A157)</f>
        <v/>
      </c>
      <c r="B158" s="18" t="str">
        <f aca="false">IF($A158="","",품목목록!$B157)</f>
        <v/>
      </c>
      <c r="C158" s="18" t="str">
        <f aca="false">IF($A158="","",품목목록!$D157)</f>
        <v/>
      </c>
      <c r="D158" s="24" t="str">
        <f aca="false">IF($A158="","",IF(품목목록!$E157="",0,품목목록!$E157))</f>
        <v/>
      </c>
      <c r="E158" s="24" t="str">
        <f aca="false">IF($A158="","",SUMIFS(대여내역!$J$3:$J$1002,대여내역!$D$3:$D$1002,$A158,대여내역!$J$3:$J$1002,"&gt;0"))</f>
        <v/>
      </c>
      <c r="F158" s="24" t="str">
        <f aca="false">IF($A158="","",SUMIFS(대여내역!$G$3:$G$1002,대여내역!$D$3:$D$1002,$A158))</f>
        <v/>
      </c>
      <c r="G158" s="24" t="str">
        <f aca="false">IF($A158="","",SUMIFS(대여내역!$I$3:$I$1002,대여내역!$D$3:$D$1002,$A158))</f>
        <v/>
      </c>
    </row>
    <row r="159" customFormat="false" ht="15" hidden="false" customHeight="false" outlineLevel="0" collapsed="false">
      <c r="A159" s="18" t="str">
        <f aca="false">IF(품목목록!$A158="","",품목목록!$A158)</f>
        <v/>
      </c>
      <c r="B159" s="18" t="str">
        <f aca="false">IF($A159="","",품목목록!$B158)</f>
        <v/>
      </c>
      <c r="C159" s="18" t="str">
        <f aca="false">IF($A159="","",품목목록!$D158)</f>
        <v/>
      </c>
      <c r="D159" s="24" t="str">
        <f aca="false">IF($A159="","",IF(품목목록!$E158="",0,품목목록!$E158))</f>
        <v/>
      </c>
      <c r="E159" s="24" t="str">
        <f aca="false">IF($A159="","",SUMIFS(대여내역!$J$3:$J$1002,대여내역!$D$3:$D$1002,$A159,대여내역!$J$3:$J$1002,"&gt;0"))</f>
        <v/>
      </c>
      <c r="F159" s="24" t="str">
        <f aca="false">IF($A159="","",SUMIFS(대여내역!$G$3:$G$1002,대여내역!$D$3:$D$1002,$A159))</f>
        <v/>
      </c>
      <c r="G159" s="24" t="str">
        <f aca="false">IF($A159="","",SUMIFS(대여내역!$I$3:$I$1002,대여내역!$D$3:$D$1002,$A159))</f>
        <v/>
      </c>
    </row>
    <row r="160" customFormat="false" ht="15" hidden="false" customHeight="false" outlineLevel="0" collapsed="false">
      <c r="A160" s="18" t="str">
        <f aca="false">IF(품목목록!$A159="","",품목목록!$A159)</f>
        <v/>
      </c>
      <c r="B160" s="18" t="str">
        <f aca="false">IF($A160="","",품목목록!$B159)</f>
        <v/>
      </c>
      <c r="C160" s="18" t="str">
        <f aca="false">IF($A160="","",품목목록!$D159)</f>
        <v/>
      </c>
      <c r="D160" s="24" t="str">
        <f aca="false">IF($A160="","",IF(품목목록!$E159="",0,품목목록!$E159))</f>
        <v/>
      </c>
      <c r="E160" s="24" t="str">
        <f aca="false">IF($A160="","",SUMIFS(대여내역!$J$3:$J$1002,대여내역!$D$3:$D$1002,$A160,대여내역!$J$3:$J$1002,"&gt;0"))</f>
        <v/>
      </c>
      <c r="F160" s="24" t="str">
        <f aca="false">IF($A160="","",SUMIFS(대여내역!$G$3:$G$1002,대여내역!$D$3:$D$1002,$A160))</f>
        <v/>
      </c>
      <c r="G160" s="24" t="str">
        <f aca="false">IF($A160="","",SUMIFS(대여내역!$I$3:$I$1002,대여내역!$D$3:$D$1002,$A160))</f>
        <v/>
      </c>
    </row>
    <row r="161" customFormat="false" ht="15" hidden="false" customHeight="false" outlineLevel="0" collapsed="false">
      <c r="A161" s="18" t="str">
        <f aca="false">IF(품목목록!$A160="","",품목목록!$A160)</f>
        <v/>
      </c>
      <c r="B161" s="18" t="str">
        <f aca="false">IF($A161="","",품목목록!$B160)</f>
        <v/>
      </c>
      <c r="C161" s="18" t="str">
        <f aca="false">IF($A161="","",품목목록!$D160)</f>
        <v/>
      </c>
      <c r="D161" s="24" t="str">
        <f aca="false">IF($A161="","",IF(품목목록!$E160="",0,품목목록!$E160))</f>
        <v/>
      </c>
      <c r="E161" s="24" t="str">
        <f aca="false">IF($A161="","",SUMIFS(대여내역!$J$3:$J$1002,대여내역!$D$3:$D$1002,$A161,대여내역!$J$3:$J$1002,"&gt;0"))</f>
        <v/>
      </c>
      <c r="F161" s="24" t="str">
        <f aca="false">IF($A161="","",SUMIFS(대여내역!$G$3:$G$1002,대여내역!$D$3:$D$1002,$A161))</f>
        <v/>
      </c>
      <c r="G161" s="24" t="str">
        <f aca="false">IF($A161="","",SUMIFS(대여내역!$I$3:$I$1002,대여내역!$D$3:$D$1002,$A161))</f>
        <v/>
      </c>
    </row>
    <row r="162" customFormat="false" ht="15" hidden="false" customHeight="false" outlineLevel="0" collapsed="false">
      <c r="A162" s="18" t="str">
        <f aca="false">IF(품목목록!$A161="","",품목목록!$A161)</f>
        <v/>
      </c>
      <c r="B162" s="18" t="str">
        <f aca="false">IF($A162="","",품목목록!$B161)</f>
        <v/>
      </c>
      <c r="C162" s="18" t="str">
        <f aca="false">IF($A162="","",품목목록!$D161)</f>
        <v/>
      </c>
      <c r="D162" s="24" t="str">
        <f aca="false">IF($A162="","",IF(품목목록!$E161="",0,품목목록!$E161))</f>
        <v/>
      </c>
      <c r="E162" s="24" t="str">
        <f aca="false">IF($A162="","",SUMIFS(대여내역!$J$3:$J$1002,대여내역!$D$3:$D$1002,$A162,대여내역!$J$3:$J$1002,"&gt;0"))</f>
        <v/>
      </c>
      <c r="F162" s="24" t="str">
        <f aca="false">IF($A162="","",SUMIFS(대여내역!$G$3:$G$1002,대여내역!$D$3:$D$1002,$A162))</f>
        <v/>
      </c>
      <c r="G162" s="24" t="str">
        <f aca="false">IF($A162="","",SUMIFS(대여내역!$I$3:$I$1002,대여내역!$D$3:$D$1002,$A162))</f>
        <v/>
      </c>
    </row>
    <row r="163" customFormat="false" ht="15" hidden="false" customHeight="false" outlineLevel="0" collapsed="false">
      <c r="A163" s="18" t="str">
        <f aca="false">IF(품목목록!$A162="","",품목목록!$A162)</f>
        <v/>
      </c>
      <c r="B163" s="18" t="str">
        <f aca="false">IF($A163="","",품목목록!$B162)</f>
        <v/>
      </c>
      <c r="C163" s="18" t="str">
        <f aca="false">IF($A163="","",품목목록!$D162)</f>
        <v/>
      </c>
      <c r="D163" s="24" t="str">
        <f aca="false">IF($A163="","",IF(품목목록!$E162="",0,품목목록!$E162))</f>
        <v/>
      </c>
      <c r="E163" s="24" t="str">
        <f aca="false">IF($A163="","",SUMIFS(대여내역!$J$3:$J$1002,대여내역!$D$3:$D$1002,$A163,대여내역!$J$3:$J$1002,"&gt;0"))</f>
        <v/>
      </c>
      <c r="F163" s="24" t="str">
        <f aca="false">IF($A163="","",SUMIFS(대여내역!$G$3:$G$1002,대여내역!$D$3:$D$1002,$A163))</f>
        <v/>
      </c>
      <c r="G163" s="24" t="str">
        <f aca="false">IF($A163="","",SUMIFS(대여내역!$I$3:$I$1002,대여내역!$D$3:$D$1002,$A163))</f>
        <v/>
      </c>
    </row>
    <row r="164" customFormat="false" ht="15" hidden="false" customHeight="false" outlineLevel="0" collapsed="false">
      <c r="A164" s="18" t="str">
        <f aca="false">IF(품목목록!$A163="","",품목목록!$A163)</f>
        <v/>
      </c>
      <c r="B164" s="18" t="str">
        <f aca="false">IF($A164="","",품목목록!$B163)</f>
        <v/>
      </c>
      <c r="C164" s="18" t="str">
        <f aca="false">IF($A164="","",품목목록!$D163)</f>
        <v/>
      </c>
      <c r="D164" s="24" t="str">
        <f aca="false">IF($A164="","",IF(품목목록!$E163="",0,품목목록!$E163))</f>
        <v/>
      </c>
      <c r="E164" s="24" t="str">
        <f aca="false">IF($A164="","",SUMIFS(대여내역!$J$3:$J$1002,대여내역!$D$3:$D$1002,$A164,대여내역!$J$3:$J$1002,"&gt;0"))</f>
        <v/>
      </c>
      <c r="F164" s="24" t="str">
        <f aca="false">IF($A164="","",SUMIFS(대여내역!$G$3:$G$1002,대여내역!$D$3:$D$1002,$A164))</f>
        <v/>
      </c>
      <c r="G164" s="24" t="str">
        <f aca="false">IF($A164="","",SUMIFS(대여내역!$I$3:$I$1002,대여내역!$D$3:$D$1002,$A164))</f>
        <v/>
      </c>
    </row>
    <row r="165" customFormat="false" ht="15" hidden="false" customHeight="false" outlineLevel="0" collapsed="false">
      <c r="A165" s="18" t="str">
        <f aca="false">IF(품목목록!$A164="","",품목목록!$A164)</f>
        <v/>
      </c>
      <c r="B165" s="18" t="str">
        <f aca="false">IF($A165="","",품목목록!$B164)</f>
        <v/>
      </c>
      <c r="C165" s="18" t="str">
        <f aca="false">IF($A165="","",품목목록!$D164)</f>
        <v/>
      </c>
      <c r="D165" s="24" t="str">
        <f aca="false">IF($A165="","",IF(품목목록!$E164="",0,품목목록!$E164))</f>
        <v/>
      </c>
      <c r="E165" s="24" t="str">
        <f aca="false">IF($A165="","",SUMIFS(대여내역!$J$3:$J$1002,대여내역!$D$3:$D$1002,$A165,대여내역!$J$3:$J$1002,"&gt;0"))</f>
        <v/>
      </c>
      <c r="F165" s="24" t="str">
        <f aca="false">IF($A165="","",SUMIFS(대여내역!$G$3:$G$1002,대여내역!$D$3:$D$1002,$A165))</f>
        <v/>
      </c>
      <c r="G165" s="24" t="str">
        <f aca="false">IF($A165="","",SUMIFS(대여내역!$I$3:$I$1002,대여내역!$D$3:$D$1002,$A165))</f>
        <v/>
      </c>
    </row>
    <row r="166" customFormat="false" ht="15" hidden="false" customHeight="false" outlineLevel="0" collapsed="false">
      <c r="A166" s="18" t="str">
        <f aca="false">IF(품목목록!$A165="","",품목목록!$A165)</f>
        <v/>
      </c>
      <c r="B166" s="18" t="str">
        <f aca="false">IF($A166="","",품목목록!$B165)</f>
        <v/>
      </c>
      <c r="C166" s="18" t="str">
        <f aca="false">IF($A166="","",품목목록!$D165)</f>
        <v/>
      </c>
      <c r="D166" s="24" t="str">
        <f aca="false">IF($A166="","",IF(품목목록!$E165="",0,품목목록!$E165))</f>
        <v/>
      </c>
      <c r="E166" s="24" t="str">
        <f aca="false">IF($A166="","",SUMIFS(대여내역!$J$3:$J$1002,대여내역!$D$3:$D$1002,$A166,대여내역!$J$3:$J$1002,"&gt;0"))</f>
        <v/>
      </c>
      <c r="F166" s="24" t="str">
        <f aca="false">IF($A166="","",SUMIFS(대여내역!$G$3:$G$1002,대여내역!$D$3:$D$1002,$A166))</f>
        <v/>
      </c>
      <c r="G166" s="24" t="str">
        <f aca="false">IF($A166="","",SUMIFS(대여내역!$I$3:$I$1002,대여내역!$D$3:$D$1002,$A166))</f>
        <v/>
      </c>
    </row>
    <row r="167" customFormat="false" ht="15" hidden="false" customHeight="false" outlineLevel="0" collapsed="false">
      <c r="A167" s="18" t="str">
        <f aca="false">IF(품목목록!$A166="","",품목목록!$A166)</f>
        <v/>
      </c>
      <c r="B167" s="18" t="str">
        <f aca="false">IF($A167="","",품목목록!$B166)</f>
        <v/>
      </c>
      <c r="C167" s="18" t="str">
        <f aca="false">IF($A167="","",품목목록!$D166)</f>
        <v/>
      </c>
      <c r="D167" s="24" t="str">
        <f aca="false">IF($A167="","",IF(품목목록!$E166="",0,품목목록!$E166))</f>
        <v/>
      </c>
      <c r="E167" s="24" t="str">
        <f aca="false">IF($A167="","",SUMIFS(대여내역!$J$3:$J$1002,대여내역!$D$3:$D$1002,$A167,대여내역!$J$3:$J$1002,"&gt;0"))</f>
        <v/>
      </c>
      <c r="F167" s="24" t="str">
        <f aca="false">IF($A167="","",SUMIFS(대여내역!$G$3:$G$1002,대여내역!$D$3:$D$1002,$A167))</f>
        <v/>
      </c>
      <c r="G167" s="24" t="str">
        <f aca="false">IF($A167="","",SUMIFS(대여내역!$I$3:$I$1002,대여내역!$D$3:$D$1002,$A167))</f>
        <v/>
      </c>
    </row>
    <row r="168" customFormat="false" ht="15" hidden="false" customHeight="false" outlineLevel="0" collapsed="false">
      <c r="A168" s="18" t="str">
        <f aca="false">IF(품목목록!$A167="","",품목목록!$A167)</f>
        <v/>
      </c>
      <c r="B168" s="18" t="str">
        <f aca="false">IF($A168="","",품목목록!$B167)</f>
        <v/>
      </c>
      <c r="C168" s="18" t="str">
        <f aca="false">IF($A168="","",품목목록!$D167)</f>
        <v/>
      </c>
      <c r="D168" s="24" t="str">
        <f aca="false">IF($A168="","",IF(품목목록!$E167="",0,품목목록!$E167))</f>
        <v/>
      </c>
      <c r="E168" s="24" t="str">
        <f aca="false">IF($A168="","",SUMIFS(대여내역!$J$3:$J$1002,대여내역!$D$3:$D$1002,$A168,대여내역!$J$3:$J$1002,"&gt;0"))</f>
        <v/>
      </c>
      <c r="F168" s="24" t="str">
        <f aca="false">IF($A168="","",SUMIFS(대여내역!$G$3:$G$1002,대여내역!$D$3:$D$1002,$A168))</f>
        <v/>
      </c>
      <c r="G168" s="24" t="str">
        <f aca="false">IF($A168="","",SUMIFS(대여내역!$I$3:$I$1002,대여내역!$D$3:$D$1002,$A168))</f>
        <v/>
      </c>
    </row>
    <row r="169" customFormat="false" ht="15" hidden="false" customHeight="false" outlineLevel="0" collapsed="false">
      <c r="A169" s="18" t="str">
        <f aca="false">IF(품목목록!$A168="","",품목목록!$A168)</f>
        <v/>
      </c>
      <c r="B169" s="18" t="str">
        <f aca="false">IF($A169="","",품목목록!$B168)</f>
        <v/>
      </c>
      <c r="C169" s="18" t="str">
        <f aca="false">IF($A169="","",품목목록!$D168)</f>
        <v/>
      </c>
      <c r="D169" s="24" t="str">
        <f aca="false">IF($A169="","",IF(품목목록!$E168="",0,품목목록!$E168))</f>
        <v/>
      </c>
      <c r="E169" s="24" t="str">
        <f aca="false">IF($A169="","",SUMIFS(대여내역!$J$3:$J$1002,대여내역!$D$3:$D$1002,$A169,대여내역!$J$3:$J$1002,"&gt;0"))</f>
        <v/>
      </c>
      <c r="F169" s="24" t="str">
        <f aca="false">IF($A169="","",SUMIFS(대여내역!$G$3:$G$1002,대여내역!$D$3:$D$1002,$A169))</f>
        <v/>
      </c>
      <c r="G169" s="24" t="str">
        <f aca="false">IF($A169="","",SUMIFS(대여내역!$I$3:$I$1002,대여내역!$D$3:$D$1002,$A169))</f>
        <v/>
      </c>
    </row>
    <row r="170" customFormat="false" ht="15" hidden="false" customHeight="false" outlineLevel="0" collapsed="false">
      <c r="A170" s="18" t="str">
        <f aca="false">IF(품목목록!$A169="","",품목목록!$A169)</f>
        <v/>
      </c>
      <c r="B170" s="18" t="str">
        <f aca="false">IF($A170="","",품목목록!$B169)</f>
        <v/>
      </c>
      <c r="C170" s="18" t="str">
        <f aca="false">IF($A170="","",품목목록!$D169)</f>
        <v/>
      </c>
      <c r="D170" s="24" t="str">
        <f aca="false">IF($A170="","",IF(품목목록!$E169="",0,품목목록!$E169))</f>
        <v/>
      </c>
      <c r="E170" s="24" t="str">
        <f aca="false">IF($A170="","",SUMIFS(대여내역!$J$3:$J$1002,대여내역!$D$3:$D$1002,$A170,대여내역!$J$3:$J$1002,"&gt;0"))</f>
        <v/>
      </c>
      <c r="F170" s="24" t="str">
        <f aca="false">IF($A170="","",SUMIFS(대여내역!$G$3:$G$1002,대여내역!$D$3:$D$1002,$A170))</f>
        <v/>
      </c>
      <c r="G170" s="24" t="str">
        <f aca="false">IF($A170="","",SUMIFS(대여내역!$I$3:$I$1002,대여내역!$D$3:$D$1002,$A170))</f>
        <v/>
      </c>
    </row>
    <row r="171" customFormat="false" ht="15" hidden="false" customHeight="false" outlineLevel="0" collapsed="false">
      <c r="A171" s="18" t="str">
        <f aca="false">IF(품목목록!$A170="","",품목목록!$A170)</f>
        <v/>
      </c>
      <c r="B171" s="18" t="str">
        <f aca="false">IF($A171="","",품목목록!$B170)</f>
        <v/>
      </c>
      <c r="C171" s="18" t="str">
        <f aca="false">IF($A171="","",품목목록!$D170)</f>
        <v/>
      </c>
      <c r="D171" s="24" t="str">
        <f aca="false">IF($A171="","",IF(품목목록!$E170="",0,품목목록!$E170))</f>
        <v/>
      </c>
      <c r="E171" s="24" t="str">
        <f aca="false">IF($A171="","",SUMIFS(대여내역!$J$3:$J$1002,대여내역!$D$3:$D$1002,$A171,대여내역!$J$3:$J$1002,"&gt;0"))</f>
        <v/>
      </c>
      <c r="F171" s="24" t="str">
        <f aca="false">IF($A171="","",SUMIFS(대여내역!$G$3:$G$1002,대여내역!$D$3:$D$1002,$A171))</f>
        <v/>
      </c>
      <c r="G171" s="24" t="str">
        <f aca="false">IF($A171="","",SUMIFS(대여내역!$I$3:$I$1002,대여내역!$D$3:$D$1002,$A171))</f>
        <v/>
      </c>
    </row>
    <row r="172" customFormat="false" ht="15" hidden="false" customHeight="false" outlineLevel="0" collapsed="false">
      <c r="A172" s="18" t="str">
        <f aca="false">IF(품목목록!$A171="","",품목목록!$A171)</f>
        <v/>
      </c>
      <c r="B172" s="18" t="str">
        <f aca="false">IF($A172="","",품목목록!$B171)</f>
        <v/>
      </c>
      <c r="C172" s="18" t="str">
        <f aca="false">IF($A172="","",품목목록!$D171)</f>
        <v/>
      </c>
      <c r="D172" s="24" t="str">
        <f aca="false">IF($A172="","",IF(품목목록!$E171="",0,품목목록!$E171))</f>
        <v/>
      </c>
      <c r="E172" s="24" t="str">
        <f aca="false">IF($A172="","",SUMIFS(대여내역!$J$3:$J$1002,대여내역!$D$3:$D$1002,$A172,대여내역!$J$3:$J$1002,"&gt;0"))</f>
        <v/>
      </c>
      <c r="F172" s="24" t="str">
        <f aca="false">IF($A172="","",SUMIFS(대여내역!$G$3:$G$1002,대여내역!$D$3:$D$1002,$A172))</f>
        <v/>
      </c>
      <c r="G172" s="24" t="str">
        <f aca="false">IF($A172="","",SUMIFS(대여내역!$I$3:$I$1002,대여내역!$D$3:$D$1002,$A172))</f>
        <v/>
      </c>
    </row>
    <row r="173" customFormat="false" ht="15" hidden="false" customHeight="false" outlineLevel="0" collapsed="false">
      <c r="A173" s="18" t="str">
        <f aca="false">IF(품목목록!$A172="","",품목목록!$A172)</f>
        <v/>
      </c>
      <c r="B173" s="18" t="str">
        <f aca="false">IF($A173="","",품목목록!$B172)</f>
        <v/>
      </c>
      <c r="C173" s="18" t="str">
        <f aca="false">IF($A173="","",품목목록!$D172)</f>
        <v/>
      </c>
      <c r="D173" s="24" t="str">
        <f aca="false">IF($A173="","",IF(품목목록!$E172="",0,품목목록!$E172))</f>
        <v/>
      </c>
      <c r="E173" s="24" t="str">
        <f aca="false">IF($A173="","",SUMIFS(대여내역!$J$3:$J$1002,대여내역!$D$3:$D$1002,$A173,대여내역!$J$3:$J$1002,"&gt;0"))</f>
        <v/>
      </c>
      <c r="F173" s="24" t="str">
        <f aca="false">IF($A173="","",SUMIFS(대여내역!$G$3:$G$1002,대여내역!$D$3:$D$1002,$A173))</f>
        <v/>
      </c>
      <c r="G173" s="24" t="str">
        <f aca="false">IF($A173="","",SUMIFS(대여내역!$I$3:$I$1002,대여내역!$D$3:$D$1002,$A173))</f>
        <v/>
      </c>
    </row>
    <row r="174" customFormat="false" ht="15" hidden="false" customHeight="false" outlineLevel="0" collapsed="false">
      <c r="A174" s="18" t="str">
        <f aca="false">IF(품목목록!$A173="","",품목목록!$A173)</f>
        <v/>
      </c>
      <c r="B174" s="18" t="str">
        <f aca="false">IF($A174="","",품목목록!$B173)</f>
        <v/>
      </c>
      <c r="C174" s="18" t="str">
        <f aca="false">IF($A174="","",품목목록!$D173)</f>
        <v/>
      </c>
      <c r="D174" s="24" t="str">
        <f aca="false">IF($A174="","",IF(품목목록!$E173="",0,품목목록!$E173))</f>
        <v/>
      </c>
      <c r="E174" s="24" t="str">
        <f aca="false">IF($A174="","",SUMIFS(대여내역!$J$3:$J$1002,대여내역!$D$3:$D$1002,$A174,대여내역!$J$3:$J$1002,"&gt;0"))</f>
        <v/>
      </c>
      <c r="F174" s="24" t="str">
        <f aca="false">IF($A174="","",SUMIFS(대여내역!$G$3:$G$1002,대여내역!$D$3:$D$1002,$A174))</f>
        <v/>
      </c>
      <c r="G174" s="24" t="str">
        <f aca="false">IF($A174="","",SUMIFS(대여내역!$I$3:$I$1002,대여내역!$D$3:$D$1002,$A174))</f>
        <v/>
      </c>
    </row>
    <row r="175" customFormat="false" ht="15" hidden="false" customHeight="false" outlineLevel="0" collapsed="false">
      <c r="A175" s="18" t="str">
        <f aca="false">IF(품목목록!$A174="","",품목목록!$A174)</f>
        <v/>
      </c>
      <c r="B175" s="18" t="str">
        <f aca="false">IF($A175="","",품목목록!$B174)</f>
        <v/>
      </c>
      <c r="C175" s="18" t="str">
        <f aca="false">IF($A175="","",품목목록!$D174)</f>
        <v/>
      </c>
      <c r="D175" s="24" t="str">
        <f aca="false">IF($A175="","",IF(품목목록!$E174="",0,품목목록!$E174))</f>
        <v/>
      </c>
      <c r="E175" s="24" t="str">
        <f aca="false">IF($A175="","",SUMIFS(대여내역!$J$3:$J$1002,대여내역!$D$3:$D$1002,$A175,대여내역!$J$3:$J$1002,"&gt;0"))</f>
        <v/>
      </c>
      <c r="F175" s="24" t="str">
        <f aca="false">IF($A175="","",SUMIFS(대여내역!$G$3:$G$1002,대여내역!$D$3:$D$1002,$A175))</f>
        <v/>
      </c>
      <c r="G175" s="24" t="str">
        <f aca="false">IF($A175="","",SUMIFS(대여내역!$I$3:$I$1002,대여내역!$D$3:$D$1002,$A175))</f>
        <v/>
      </c>
    </row>
    <row r="176" customFormat="false" ht="15" hidden="false" customHeight="false" outlineLevel="0" collapsed="false">
      <c r="A176" s="18" t="str">
        <f aca="false">IF(품목목록!$A175="","",품목목록!$A175)</f>
        <v/>
      </c>
      <c r="B176" s="18" t="str">
        <f aca="false">IF($A176="","",품목목록!$B175)</f>
        <v/>
      </c>
      <c r="C176" s="18" t="str">
        <f aca="false">IF($A176="","",품목목록!$D175)</f>
        <v/>
      </c>
      <c r="D176" s="24" t="str">
        <f aca="false">IF($A176="","",IF(품목목록!$E175="",0,품목목록!$E175))</f>
        <v/>
      </c>
      <c r="E176" s="24" t="str">
        <f aca="false">IF($A176="","",SUMIFS(대여내역!$J$3:$J$1002,대여내역!$D$3:$D$1002,$A176,대여내역!$J$3:$J$1002,"&gt;0"))</f>
        <v/>
      </c>
      <c r="F176" s="24" t="str">
        <f aca="false">IF($A176="","",SUMIFS(대여내역!$G$3:$G$1002,대여내역!$D$3:$D$1002,$A176))</f>
        <v/>
      </c>
      <c r="G176" s="24" t="str">
        <f aca="false">IF($A176="","",SUMIFS(대여내역!$I$3:$I$1002,대여내역!$D$3:$D$1002,$A176))</f>
        <v/>
      </c>
    </row>
    <row r="177" customFormat="false" ht="15" hidden="false" customHeight="false" outlineLevel="0" collapsed="false">
      <c r="A177" s="18" t="str">
        <f aca="false">IF(품목목록!$A176="","",품목목록!$A176)</f>
        <v/>
      </c>
      <c r="B177" s="18" t="str">
        <f aca="false">IF($A177="","",품목목록!$B176)</f>
        <v/>
      </c>
      <c r="C177" s="18" t="str">
        <f aca="false">IF($A177="","",품목목록!$D176)</f>
        <v/>
      </c>
      <c r="D177" s="24" t="str">
        <f aca="false">IF($A177="","",IF(품목목록!$E176="",0,품목목록!$E176))</f>
        <v/>
      </c>
      <c r="E177" s="24" t="str">
        <f aca="false">IF($A177="","",SUMIFS(대여내역!$J$3:$J$1002,대여내역!$D$3:$D$1002,$A177,대여내역!$J$3:$J$1002,"&gt;0"))</f>
        <v/>
      </c>
      <c r="F177" s="24" t="str">
        <f aca="false">IF($A177="","",SUMIFS(대여내역!$G$3:$G$1002,대여내역!$D$3:$D$1002,$A177))</f>
        <v/>
      </c>
      <c r="G177" s="24" t="str">
        <f aca="false">IF($A177="","",SUMIFS(대여내역!$I$3:$I$1002,대여내역!$D$3:$D$1002,$A177))</f>
        <v/>
      </c>
    </row>
    <row r="178" customFormat="false" ht="15" hidden="false" customHeight="false" outlineLevel="0" collapsed="false">
      <c r="A178" s="18" t="str">
        <f aca="false">IF(품목목록!$A177="","",품목목록!$A177)</f>
        <v/>
      </c>
      <c r="B178" s="18" t="str">
        <f aca="false">IF($A178="","",품목목록!$B177)</f>
        <v/>
      </c>
      <c r="C178" s="18" t="str">
        <f aca="false">IF($A178="","",품목목록!$D177)</f>
        <v/>
      </c>
      <c r="D178" s="24" t="str">
        <f aca="false">IF($A178="","",IF(품목목록!$E177="",0,품목목록!$E177))</f>
        <v/>
      </c>
      <c r="E178" s="24" t="str">
        <f aca="false">IF($A178="","",SUMIFS(대여내역!$J$3:$J$1002,대여내역!$D$3:$D$1002,$A178,대여내역!$J$3:$J$1002,"&gt;0"))</f>
        <v/>
      </c>
      <c r="F178" s="24" t="str">
        <f aca="false">IF($A178="","",SUMIFS(대여내역!$G$3:$G$1002,대여내역!$D$3:$D$1002,$A178))</f>
        <v/>
      </c>
      <c r="G178" s="24" t="str">
        <f aca="false">IF($A178="","",SUMIFS(대여내역!$I$3:$I$1002,대여내역!$D$3:$D$1002,$A178))</f>
        <v/>
      </c>
    </row>
    <row r="179" customFormat="false" ht="15" hidden="false" customHeight="false" outlineLevel="0" collapsed="false">
      <c r="A179" s="18" t="str">
        <f aca="false">IF(품목목록!$A178="","",품목목록!$A178)</f>
        <v/>
      </c>
      <c r="B179" s="18" t="str">
        <f aca="false">IF($A179="","",품목목록!$B178)</f>
        <v/>
      </c>
      <c r="C179" s="18" t="str">
        <f aca="false">IF($A179="","",품목목록!$D178)</f>
        <v/>
      </c>
      <c r="D179" s="24" t="str">
        <f aca="false">IF($A179="","",IF(품목목록!$E178="",0,품목목록!$E178))</f>
        <v/>
      </c>
      <c r="E179" s="24" t="str">
        <f aca="false">IF($A179="","",SUMIFS(대여내역!$J$3:$J$1002,대여내역!$D$3:$D$1002,$A179,대여내역!$J$3:$J$1002,"&gt;0"))</f>
        <v/>
      </c>
      <c r="F179" s="24" t="str">
        <f aca="false">IF($A179="","",SUMIFS(대여내역!$G$3:$G$1002,대여내역!$D$3:$D$1002,$A179))</f>
        <v/>
      </c>
      <c r="G179" s="24" t="str">
        <f aca="false">IF($A179="","",SUMIFS(대여내역!$I$3:$I$1002,대여내역!$D$3:$D$1002,$A179))</f>
        <v/>
      </c>
    </row>
    <row r="180" customFormat="false" ht="15" hidden="false" customHeight="false" outlineLevel="0" collapsed="false">
      <c r="A180" s="18" t="str">
        <f aca="false">IF(품목목록!$A179="","",품목목록!$A179)</f>
        <v/>
      </c>
      <c r="B180" s="18" t="str">
        <f aca="false">IF($A180="","",품목목록!$B179)</f>
        <v/>
      </c>
      <c r="C180" s="18" t="str">
        <f aca="false">IF($A180="","",품목목록!$D179)</f>
        <v/>
      </c>
      <c r="D180" s="24" t="str">
        <f aca="false">IF($A180="","",IF(품목목록!$E179="",0,품목목록!$E179))</f>
        <v/>
      </c>
      <c r="E180" s="24" t="str">
        <f aca="false">IF($A180="","",SUMIFS(대여내역!$J$3:$J$1002,대여내역!$D$3:$D$1002,$A180,대여내역!$J$3:$J$1002,"&gt;0"))</f>
        <v/>
      </c>
      <c r="F180" s="24" t="str">
        <f aca="false">IF($A180="","",SUMIFS(대여내역!$G$3:$G$1002,대여내역!$D$3:$D$1002,$A180))</f>
        <v/>
      </c>
      <c r="G180" s="24" t="str">
        <f aca="false">IF($A180="","",SUMIFS(대여내역!$I$3:$I$1002,대여내역!$D$3:$D$1002,$A180))</f>
        <v/>
      </c>
    </row>
    <row r="181" customFormat="false" ht="15" hidden="false" customHeight="false" outlineLevel="0" collapsed="false">
      <c r="A181" s="18" t="str">
        <f aca="false">IF(품목목록!$A180="","",품목목록!$A180)</f>
        <v/>
      </c>
      <c r="B181" s="18" t="str">
        <f aca="false">IF($A181="","",품목목록!$B180)</f>
        <v/>
      </c>
      <c r="C181" s="18" t="str">
        <f aca="false">IF($A181="","",품목목록!$D180)</f>
        <v/>
      </c>
      <c r="D181" s="24" t="str">
        <f aca="false">IF($A181="","",IF(품목목록!$E180="",0,품목목록!$E180))</f>
        <v/>
      </c>
      <c r="E181" s="24" t="str">
        <f aca="false">IF($A181="","",SUMIFS(대여내역!$J$3:$J$1002,대여내역!$D$3:$D$1002,$A181,대여내역!$J$3:$J$1002,"&gt;0"))</f>
        <v/>
      </c>
      <c r="F181" s="24" t="str">
        <f aca="false">IF($A181="","",SUMIFS(대여내역!$G$3:$G$1002,대여내역!$D$3:$D$1002,$A181))</f>
        <v/>
      </c>
      <c r="G181" s="24" t="str">
        <f aca="false">IF($A181="","",SUMIFS(대여내역!$I$3:$I$1002,대여내역!$D$3:$D$1002,$A181))</f>
        <v/>
      </c>
    </row>
    <row r="182" customFormat="false" ht="15" hidden="false" customHeight="false" outlineLevel="0" collapsed="false">
      <c r="A182" s="18" t="str">
        <f aca="false">IF(품목목록!$A181="","",품목목록!$A181)</f>
        <v/>
      </c>
      <c r="B182" s="18" t="str">
        <f aca="false">IF($A182="","",품목목록!$B181)</f>
        <v/>
      </c>
      <c r="C182" s="18" t="str">
        <f aca="false">IF($A182="","",품목목록!$D181)</f>
        <v/>
      </c>
      <c r="D182" s="24" t="str">
        <f aca="false">IF($A182="","",IF(품목목록!$E181="",0,품목목록!$E181))</f>
        <v/>
      </c>
      <c r="E182" s="24" t="str">
        <f aca="false">IF($A182="","",SUMIFS(대여내역!$J$3:$J$1002,대여내역!$D$3:$D$1002,$A182,대여내역!$J$3:$J$1002,"&gt;0"))</f>
        <v/>
      </c>
      <c r="F182" s="24" t="str">
        <f aca="false">IF($A182="","",SUMIFS(대여내역!$G$3:$G$1002,대여내역!$D$3:$D$1002,$A182))</f>
        <v/>
      </c>
      <c r="G182" s="24" t="str">
        <f aca="false">IF($A182="","",SUMIFS(대여내역!$I$3:$I$1002,대여내역!$D$3:$D$1002,$A182))</f>
        <v/>
      </c>
    </row>
    <row r="183" customFormat="false" ht="15" hidden="false" customHeight="false" outlineLevel="0" collapsed="false">
      <c r="A183" s="18" t="str">
        <f aca="false">IF(품목목록!$A182="","",품목목록!$A182)</f>
        <v/>
      </c>
      <c r="B183" s="18" t="str">
        <f aca="false">IF($A183="","",품목목록!$B182)</f>
        <v/>
      </c>
      <c r="C183" s="18" t="str">
        <f aca="false">IF($A183="","",품목목록!$D182)</f>
        <v/>
      </c>
      <c r="D183" s="24" t="str">
        <f aca="false">IF($A183="","",IF(품목목록!$E182="",0,품목목록!$E182))</f>
        <v/>
      </c>
      <c r="E183" s="24" t="str">
        <f aca="false">IF($A183="","",SUMIFS(대여내역!$J$3:$J$1002,대여내역!$D$3:$D$1002,$A183,대여내역!$J$3:$J$1002,"&gt;0"))</f>
        <v/>
      </c>
      <c r="F183" s="24" t="str">
        <f aca="false">IF($A183="","",SUMIFS(대여내역!$G$3:$G$1002,대여내역!$D$3:$D$1002,$A183))</f>
        <v/>
      </c>
      <c r="G183" s="24" t="str">
        <f aca="false">IF($A183="","",SUMIFS(대여내역!$I$3:$I$1002,대여내역!$D$3:$D$1002,$A183))</f>
        <v/>
      </c>
    </row>
    <row r="184" customFormat="false" ht="15" hidden="false" customHeight="false" outlineLevel="0" collapsed="false">
      <c r="A184" s="18" t="str">
        <f aca="false">IF(품목목록!$A183="","",품목목록!$A183)</f>
        <v/>
      </c>
      <c r="B184" s="18" t="str">
        <f aca="false">IF($A184="","",품목목록!$B183)</f>
        <v/>
      </c>
      <c r="C184" s="18" t="str">
        <f aca="false">IF($A184="","",품목목록!$D183)</f>
        <v/>
      </c>
      <c r="D184" s="24" t="str">
        <f aca="false">IF($A184="","",IF(품목목록!$E183="",0,품목목록!$E183))</f>
        <v/>
      </c>
      <c r="E184" s="24" t="str">
        <f aca="false">IF($A184="","",SUMIFS(대여내역!$J$3:$J$1002,대여내역!$D$3:$D$1002,$A184,대여내역!$J$3:$J$1002,"&gt;0"))</f>
        <v/>
      </c>
      <c r="F184" s="24" t="str">
        <f aca="false">IF($A184="","",SUMIFS(대여내역!$G$3:$G$1002,대여내역!$D$3:$D$1002,$A184))</f>
        <v/>
      </c>
      <c r="G184" s="24" t="str">
        <f aca="false">IF($A184="","",SUMIFS(대여내역!$I$3:$I$1002,대여내역!$D$3:$D$1002,$A184))</f>
        <v/>
      </c>
    </row>
    <row r="185" customFormat="false" ht="15" hidden="false" customHeight="false" outlineLevel="0" collapsed="false">
      <c r="A185" s="18" t="str">
        <f aca="false">IF(품목목록!$A184="","",품목목록!$A184)</f>
        <v/>
      </c>
      <c r="B185" s="18" t="str">
        <f aca="false">IF($A185="","",품목목록!$B184)</f>
        <v/>
      </c>
      <c r="C185" s="18" t="str">
        <f aca="false">IF($A185="","",품목목록!$D184)</f>
        <v/>
      </c>
      <c r="D185" s="24" t="str">
        <f aca="false">IF($A185="","",IF(품목목록!$E184="",0,품목목록!$E184))</f>
        <v/>
      </c>
      <c r="E185" s="24" t="str">
        <f aca="false">IF($A185="","",SUMIFS(대여내역!$J$3:$J$1002,대여내역!$D$3:$D$1002,$A185,대여내역!$J$3:$J$1002,"&gt;0"))</f>
        <v/>
      </c>
      <c r="F185" s="24" t="str">
        <f aca="false">IF($A185="","",SUMIFS(대여내역!$G$3:$G$1002,대여내역!$D$3:$D$1002,$A185))</f>
        <v/>
      </c>
      <c r="G185" s="24" t="str">
        <f aca="false">IF($A185="","",SUMIFS(대여내역!$I$3:$I$1002,대여내역!$D$3:$D$1002,$A185))</f>
        <v/>
      </c>
    </row>
    <row r="186" customFormat="false" ht="15" hidden="false" customHeight="false" outlineLevel="0" collapsed="false">
      <c r="A186" s="18" t="str">
        <f aca="false">IF(품목목록!$A185="","",품목목록!$A185)</f>
        <v/>
      </c>
      <c r="B186" s="18" t="str">
        <f aca="false">IF($A186="","",품목목록!$B185)</f>
        <v/>
      </c>
      <c r="C186" s="18" t="str">
        <f aca="false">IF($A186="","",품목목록!$D185)</f>
        <v/>
      </c>
      <c r="D186" s="24" t="str">
        <f aca="false">IF($A186="","",IF(품목목록!$E185="",0,품목목록!$E185))</f>
        <v/>
      </c>
      <c r="E186" s="24" t="str">
        <f aca="false">IF($A186="","",SUMIFS(대여내역!$J$3:$J$1002,대여내역!$D$3:$D$1002,$A186,대여내역!$J$3:$J$1002,"&gt;0"))</f>
        <v/>
      </c>
      <c r="F186" s="24" t="str">
        <f aca="false">IF($A186="","",SUMIFS(대여내역!$G$3:$G$1002,대여내역!$D$3:$D$1002,$A186))</f>
        <v/>
      </c>
      <c r="G186" s="24" t="str">
        <f aca="false">IF($A186="","",SUMIFS(대여내역!$I$3:$I$1002,대여내역!$D$3:$D$1002,$A186))</f>
        <v/>
      </c>
    </row>
    <row r="187" customFormat="false" ht="15" hidden="false" customHeight="false" outlineLevel="0" collapsed="false">
      <c r="A187" s="18" t="str">
        <f aca="false">IF(품목목록!$A186="","",품목목록!$A186)</f>
        <v/>
      </c>
      <c r="B187" s="18" t="str">
        <f aca="false">IF($A187="","",품목목록!$B186)</f>
        <v/>
      </c>
      <c r="C187" s="18" t="str">
        <f aca="false">IF($A187="","",품목목록!$D186)</f>
        <v/>
      </c>
      <c r="D187" s="24" t="str">
        <f aca="false">IF($A187="","",IF(품목목록!$E186="",0,품목목록!$E186))</f>
        <v/>
      </c>
      <c r="E187" s="24" t="str">
        <f aca="false">IF($A187="","",SUMIFS(대여내역!$J$3:$J$1002,대여내역!$D$3:$D$1002,$A187,대여내역!$J$3:$J$1002,"&gt;0"))</f>
        <v/>
      </c>
      <c r="F187" s="24" t="str">
        <f aca="false">IF($A187="","",SUMIFS(대여내역!$G$3:$G$1002,대여내역!$D$3:$D$1002,$A187))</f>
        <v/>
      </c>
      <c r="G187" s="24" t="str">
        <f aca="false">IF($A187="","",SUMIFS(대여내역!$I$3:$I$1002,대여내역!$D$3:$D$1002,$A187))</f>
        <v/>
      </c>
    </row>
    <row r="188" customFormat="false" ht="15" hidden="false" customHeight="false" outlineLevel="0" collapsed="false">
      <c r="A188" s="18" t="str">
        <f aca="false">IF(품목목록!$A187="","",품목목록!$A187)</f>
        <v/>
      </c>
      <c r="B188" s="18" t="str">
        <f aca="false">IF($A188="","",품목목록!$B187)</f>
        <v/>
      </c>
      <c r="C188" s="18" t="str">
        <f aca="false">IF($A188="","",품목목록!$D187)</f>
        <v/>
      </c>
      <c r="D188" s="24" t="str">
        <f aca="false">IF($A188="","",IF(품목목록!$E187="",0,품목목록!$E187))</f>
        <v/>
      </c>
      <c r="E188" s="24" t="str">
        <f aca="false">IF($A188="","",SUMIFS(대여내역!$J$3:$J$1002,대여내역!$D$3:$D$1002,$A188,대여내역!$J$3:$J$1002,"&gt;0"))</f>
        <v/>
      </c>
      <c r="F188" s="24" t="str">
        <f aca="false">IF($A188="","",SUMIFS(대여내역!$G$3:$G$1002,대여내역!$D$3:$D$1002,$A188))</f>
        <v/>
      </c>
      <c r="G188" s="24" t="str">
        <f aca="false">IF($A188="","",SUMIFS(대여내역!$I$3:$I$1002,대여내역!$D$3:$D$1002,$A188))</f>
        <v/>
      </c>
    </row>
    <row r="189" customFormat="false" ht="15" hidden="false" customHeight="false" outlineLevel="0" collapsed="false">
      <c r="A189" s="18" t="str">
        <f aca="false">IF(품목목록!$A188="","",품목목록!$A188)</f>
        <v/>
      </c>
      <c r="B189" s="18" t="str">
        <f aca="false">IF($A189="","",품목목록!$B188)</f>
        <v/>
      </c>
      <c r="C189" s="18" t="str">
        <f aca="false">IF($A189="","",품목목록!$D188)</f>
        <v/>
      </c>
      <c r="D189" s="24" t="str">
        <f aca="false">IF($A189="","",IF(품목목록!$E188="",0,품목목록!$E188))</f>
        <v/>
      </c>
      <c r="E189" s="24" t="str">
        <f aca="false">IF($A189="","",SUMIFS(대여내역!$J$3:$J$1002,대여내역!$D$3:$D$1002,$A189,대여내역!$J$3:$J$1002,"&gt;0"))</f>
        <v/>
      </c>
      <c r="F189" s="24" t="str">
        <f aca="false">IF($A189="","",SUMIFS(대여내역!$G$3:$G$1002,대여내역!$D$3:$D$1002,$A189))</f>
        <v/>
      </c>
      <c r="G189" s="24" t="str">
        <f aca="false">IF($A189="","",SUMIFS(대여내역!$I$3:$I$1002,대여내역!$D$3:$D$1002,$A189))</f>
        <v/>
      </c>
    </row>
    <row r="190" customFormat="false" ht="15" hidden="false" customHeight="false" outlineLevel="0" collapsed="false">
      <c r="A190" s="18" t="str">
        <f aca="false">IF(품목목록!$A189="","",품목목록!$A189)</f>
        <v/>
      </c>
      <c r="B190" s="18" t="str">
        <f aca="false">IF($A190="","",품목목록!$B189)</f>
        <v/>
      </c>
      <c r="C190" s="18" t="str">
        <f aca="false">IF($A190="","",품목목록!$D189)</f>
        <v/>
      </c>
      <c r="D190" s="24" t="str">
        <f aca="false">IF($A190="","",IF(품목목록!$E189="",0,품목목록!$E189))</f>
        <v/>
      </c>
      <c r="E190" s="24" t="str">
        <f aca="false">IF($A190="","",SUMIFS(대여내역!$J$3:$J$1002,대여내역!$D$3:$D$1002,$A190,대여내역!$J$3:$J$1002,"&gt;0"))</f>
        <v/>
      </c>
      <c r="F190" s="24" t="str">
        <f aca="false">IF($A190="","",SUMIFS(대여내역!$G$3:$G$1002,대여내역!$D$3:$D$1002,$A190))</f>
        <v/>
      </c>
      <c r="G190" s="24" t="str">
        <f aca="false">IF($A190="","",SUMIFS(대여내역!$I$3:$I$1002,대여내역!$D$3:$D$1002,$A190))</f>
        <v/>
      </c>
    </row>
    <row r="191" customFormat="false" ht="15" hidden="false" customHeight="false" outlineLevel="0" collapsed="false">
      <c r="A191" s="18" t="str">
        <f aca="false">IF(품목목록!$A190="","",품목목록!$A190)</f>
        <v/>
      </c>
      <c r="B191" s="18" t="str">
        <f aca="false">IF($A191="","",품목목록!$B190)</f>
        <v/>
      </c>
      <c r="C191" s="18" t="str">
        <f aca="false">IF($A191="","",품목목록!$D190)</f>
        <v/>
      </c>
      <c r="D191" s="24" t="str">
        <f aca="false">IF($A191="","",IF(품목목록!$E190="",0,품목목록!$E190))</f>
        <v/>
      </c>
      <c r="E191" s="24" t="str">
        <f aca="false">IF($A191="","",SUMIFS(대여내역!$J$3:$J$1002,대여내역!$D$3:$D$1002,$A191,대여내역!$J$3:$J$1002,"&gt;0"))</f>
        <v/>
      </c>
      <c r="F191" s="24" t="str">
        <f aca="false">IF($A191="","",SUMIFS(대여내역!$G$3:$G$1002,대여내역!$D$3:$D$1002,$A191))</f>
        <v/>
      </c>
      <c r="G191" s="24" t="str">
        <f aca="false">IF($A191="","",SUMIFS(대여내역!$I$3:$I$1002,대여내역!$D$3:$D$1002,$A191))</f>
        <v/>
      </c>
    </row>
    <row r="192" customFormat="false" ht="15" hidden="false" customHeight="false" outlineLevel="0" collapsed="false">
      <c r="A192" s="18" t="str">
        <f aca="false">IF(품목목록!$A191="","",품목목록!$A191)</f>
        <v/>
      </c>
      <c r="B192" s="18" t="str">
        <f aca="false">IF($A192="","",품목목록!$B191)</f>
        <v/>
      </c>
      <c r="C192" s="18" t="str">
        <f aca="false">IF($A192="","",품목목록!$D191)</f>
        <v/>
      </c>
      <c r="D192" s="24" t="str">
        <f aca="false">IF($A192="","",IF(품목목록!$E191="",0,품목목록!$E191))</f>
        <v/>
      </c>
      <c r="E192" s="24" t="str">
        <f aca="false">IF($A192="","",SUMIFS(대여내역!$J$3:$J$1002,대여내역!$D$3:$D$1002,$A192,대여내역!$J$3:$J$1002,"&gt;0"))</f>
        <v/>
      </c>
      <c r="F192" s="24" t="str">
        <f aca="false">IF($A192="","",SUMIFS(대여내역!$G$3:$G$1002,대여내역!$D$3:$D$1002,$A192))</f>
        <v/>
      </c>
      <c r="G192" s="24" t="str">
        <f aca="false">IF($A192="","",SUMIFS(대여내역!$I$3:$I$1002,대여내역!$D$3:$D$1002,$A192))</f>
        <v/>
      </c>
    </row>
    <row r="193" customFormat="false" ht="15" hidden="false" customHeight="false" outlineLevel="0" collapsed="false">
      <c r="A193" s="18" t="str">
        <f aca="false">IF(품목목록!$A192="","",품목목록!$A192)</f>
        <v/>
      </c>
      <c r="B193" s="18" t="str">
        <f aca="false">IF($A193="","",품목목록!$B192)</f>
        <v/>
      </c>
      <c r="C193" s="18" t="str">
        <f aca="false">IF($A193="","",품목목록!$D192)</f>
        <v/>
      </c>
      <c r="D193" s="24" t="str">
        <f aca="false">IF($A193="","",IF(품목목록!$E192="",0,품목목록!$E192))</f>
        <v/>
      </c>
      <c r="E193" s="24" t="str">
        <f aca="false">IF($A193="","",SUMIFS(대여내역!$J$3:$J$1002,대여내역!$D$3:$D$1002,$A193,대여내역!$J$3:$J$1002,"&gt;0"))</f>
        <v/>
      </c>
      <c r="F193" s="24" t="str">
        <f aca="false">IF($A193="","",SUMIFS(대여내역!$G$3:$G$1002,대여내역!$D$3:$D$1002,$A193))</f>
        <v/>
      </c>
      <c r="G193" s="24" t="str">
        <f aca="false">IF($A193="","",SUMIFS(대여내역!$I$3:$I$1002,대여내역!$D$3:$D$1002,$A193))</f>
        <v/>
      </c>
    </row>
    <row r="194" customFormat="false" ht="15" hidden="false" customHeight="false" outlineLevel="0" collapsed="false">
      <c r="A194" s="18" t="str">
        <f aca="false">IF(품목목록!$A193="","",품목목록!$A193)</f>
        <v/>
      </c>
      <c r="B194" s="18" t="str">
        <f aca="false">IF($A194="","",품목목록!$B193)</f>
        <v/>
      </c>
      <c r="C194" s="18" t="str">
        <f aca="false">IF($A194="","",품목목록!$D193)</f>
        <v/>
      </c>
      <c r="D194" s="24" t="str">
        <f aca="false">IF($A194="","",IF(품목목록!$E193="",0,품목목록!$E193))</f>
        <v/>
      </c>
      <c r="E194" s="24" t="str">
        <f aca="false">IF($A194="","",SUMIFS(대여내역!$J$3:$J$1002,대여내역!$D$3:$D$1002,$A194,대여내역!$J$3:$J$1002,"&gt;0"))</f>
        <v/>
      </c>
      <c r="F194" s="24" t="str">
        <f aca="false">IF($A194="","",SUMIFS(대여내역!$G$3:$G$1002,대여내역!$D$3:$D$1002,$A194))</f>
        <v/>
      </c>
      <c r="G194" s="24" t="str">
        <f aca="false">IF($A194="","",SUMIFS(대여내역!$I$3:$I$1002,대여내역!$D$3:$D$1002,$A194))</f>
        <v/>
      </c>
    </row>
    <row r="195" customFormat="false" ht="15" hidden="false" customHeight="false" outlineLevel="0" collapsed="false">
      <c r="A195" s="18" t="str">
        <f aca="false">IF(품목목록!$A194="","",품목목록!$A194)</f>
        <v/>
      </c>
      <c r="B195" s="18" t="str">
        <f aca="false">IF($A195="","",품목목록!$B194)</f>
        <v/>
      </c>
      <c r="C195" s="18" t="str">
        <f aca="false">IF($A195="","",품목목록!$D194)</f>
        <v/>
      </c>
      <c r="D195" s="24" t="str">
        <f aca="false">IF($A195="","",IF(품목목록!$E194="",0,품목목록!$E194))</f>
        <v/>
      </c>
      <c r="E195" s="24" t="str">
        <f aca="false">IF($A195="","",SUMIFS(대여내역!$J$3:$J$1002,대여내역!$D$3:$D$1002,$A195,대여내역!$J$3:$J$1002,"&gt;0"))</f>
        <v/>
      </c>
      <c r="F195" s="24" t="str">
        <f aca="false">IF($A195="","",SUMIFS(대여내역!$G$3:$G$1002,대여내역!$D$3:$D$1002,$A195))</f>
        <v/>
      </c>
      <c r="G195" s="24" t="str">
        <f aca="false">IF($A195="","",SUMIFS(대여내역!$I$3:$I$1002,대여내역!$D$3:$D$1002,$A195))</f>
        <v/>
      </c>
    </row>
    <row r="196" customFormat="false" ht="15" hidden="false" customHeight="false" outlineLevel="0" collapsed="false">
      <c r="A196" s="18" t="str">
        <f aca="false">IF(품목목록!$A195="","",품목목록!$A195)</f>
        <v/>
      </c>
      <c r="B196" s="18" t="str">
        <f aca="false">IF($A196="","",품목목록!$B195)</f>
        <v/>
      </c>
      <c r="C196" s="18" t="str">
        <f aca="false">IF($A196="","",품목목록!$D195)</f>
        <v/>
      </c>
      <c r="D196" s="24" t="str">
        <f aca="false">IF($A196="","",IF(품목목록!$E195="",0,품목목록!$E195))</f>
        <v/>
      </c>
      <c r="E196" s="24" t="str">
        <f aca="false">IF($A196="","",SUMIFS(대여내역!$J$3:$J$1002,대여내역!$D$3:$D$1002,$A196,대여내역!$J$3:$J$1002,"&gt;0"))</f>
        <v/>
      </c>
      <c r="F196" s="24" t="str">
        <f aca="false">IF($A196="","",SUMIFS(대여내역!$G$3:$G$1002,대여내역!$D$3:$D$1002,$A196))</f>
        <v/>
      </c>
      <c r="G196" s="24" t="str">
        <f aca="false">IF($A196="","",SUMIFS(대여내역!$I$3:$I$1002,대여내역!$D$3:$D$1002,$A196))</f>
        <v/>
      </c>
    </row>
    <row r="197" customFormat="false" ht="15" hidden="false" customHeight="false" outlineLevel="0" collapsed="false">
      <c r="A197" s="18" t="str">
        <f aca="false">IF(품목목록!$A196="","",품목목록!$A196)</f>
        <v/>
      </c>
      <c r="B197" s="18" t="str">
        <f aca="false">IF($A197="","",품목목록!$B196)</f>
        <v/>
      </c>
      <c r="C197" s="18" t="str">
        <f aca="false">IF($A197="","",품목목록!$D196)</f>
        <v/>
      </c>
      <c r="D197" s="24" t="str">
        <f aca="false">IF($A197="","",IF(품목목록!$E196="",0,품목목록!$E196))</f>
        <v/>
      </c>
      <c r="E197" s="24" t="str">
        <f aca="false">IF($A197="","",SUMIFS(대여내역!$J$3:$J$1002,대여내역!$D$3:$D$1002,$A197,대여내역!$J$3:$J$1002,"&gt;0"))</f>
        <v/>
      </c>
      <c r="F197" s="24" t="str">
        <f aca="false">IF($A197="","",SUMIFS(대여내역!$G$3:$G$1002,대여내역!$D$3:$D$1002,$A197))</f>
        <v/>
      </c>
      <c r="G197" s="24" t="str">
        <f aca="false">IF($A197="","",SUMIFS(대여내역!$I$3:$I$1002,대여내역!$D$3:$D$1002,$A197))</f>
        <v/>
      </c>
    </row>
    <row r="198" customFormat="false" ht="15" hidden="false" customHeight="false" outlineLevel="0" collapsed="false">
      <c r="A198" s="18" t="str">
        <f aca="false">IF(품목목록!$A197="","",품목목록!$A197)</f>
        <v/>
      </c>
      <c r="B198" s="18" t="str">
        <f aca="false">IF($A198="","",품목목록!$B197)</f>
        <v/>
      </c>
      <c r="C198" s="18" t="str">
        <f aca="false">IF($A198="","",품목목록!$D197)</f>
        <v/>
      </c>
      <c r="D198" s="24" t="str">
        <f aca="false">IF($A198="","",IF(품목목록!$E197="",0,품목목록!$E197))</f>
        <v/>
      </c>
      <c r="E198" s="24" t="str">
        <f aca="false">IF($A198="","",SUMIFS(대여내역!$J$3:$J$1002,대여내역!$D$3:$D$1002,$A198,대여내역!$J$3:$J$1002,"&gt;0"))</f>
        <v/>
      </c>
      <c r="F198" s="24" t="str">
        <f aca="false">IF($A198="","",SUMIFS(대여내역!$G$3:$G$1002,대여내역!$D$3:$D$1002,$A198))</f>
        <v/>
      </c>
      <c r="G198" s="24" t="str">
        <f aca="false">IF($A198="","",SUMIFS(대여내역!$I$3:$I$1002,대여내역!$D$3:$D$1002,$A198))</f>
        <v/>
      </c>
    </row>
    <row r="199" customFormat="false" ht="15" hidden="false" customHeight="false" outlineLevel="0" collapsed="false">
      <c r="A199" s="18" t="str">
        <f aca="false">IF(품목목록!$A198="","",품목목록!$A198)</f>
        <v/>
      </c>
      <c r="B199" s="18" t="str">
        <f aca="false">IF($A199="","",품목목록!$B198)</f>
        <v/>
      </c>
      <c r="C199" s="18" t="str">
        <f aca="false">IF($A199="","",품목목록!$D198)</f>
        <v/>
      </c>
      <c r="D199" s="24" t="str">
        <f aca="false">IF($A199="","",IF(품목목록!$E198="",0,품목목록!$E198))</f>
        <v/>
      </c>
      <c r="E199" s="24" t="str">
        <f aca="false">IF($A199="","",SUMIFS(대여내역!$J$3:$J$1002,대여내역!$D$3:$D$1002,$A199,대여내역!$J$3:$J$1002,"&gt;0"))</f>
        <v/>
      </c>
      <c r="F199" s="24" t="str">
        <f aca="false">IF($A199="","",SUMIFS(대여내역!$G$3:$G$1002,대여내역!$D$3:$D$1002,$A199))</f>
        <v/>
      </c>
      <c r="G199" s="24" t="str">
        <f aca="false">IF($A199="","",SUMIFS(대여내역!$I$3:$I$1002,대여내역!$D$3:$D$1002,$A199))</f>
        <v/>
      </c>
    </row>
    <row r="200" customFormat="false" ht="15" hidden="false" customHeight="false" outlineLevel="0" collapsed="false">
      <c r="A200" s="18" t="str">
        <f aca="false">IF(품목목록!$A199="","",품목목록!$A199)</f>
        <v/>
      </c>
      <c r="B200" s="18" t="str">
        <f aca="false">IF($A200="","",품목목록!$B199)</f>
        <v/>
      </c>
      <c r="C200" s="18" t="str">
        <f aca="false">IF($A200="","",품목목록!$D199)</f>
        <v/>
      </c>
      <c r="D200" s="24" t="str">
        <f aca="false">IF($A200="","",IF(품목목록!$E199="",0,품목목록!$E199))</f>
        <v/>
      </c>
      <c r="E200" s="24" t="str">
        <f aca="false">IF($A200="","",SUMIFS(대여내역!$J$3:$J$1002,대여내역!$D$3:$D$1002,$A200,대여내역!$J$3:$J$1002,"&gt;0"))</f>
        <v/>
      </c>
      <c r="F200" s="24" t="str">
        <f aca="false">IF($A200="","",SUMIFS(대여내역!$G$3:$G$1002,대여내역!$D$3:$D$1002,$A200))</f>
        <v/>
      </c>
      <c r="G200" s="24" t="str">
        <f aca="false">IF($A200="","",SUMIFS(대여내역!$I$3:$I$1002,대여내역!$D$3:$D$1002,$A200))</f>
        <v/>
      </c>
    </row>
    <row r="201" customFormat="false" ht="15" hidden="false" customHeight="false" outlineLevel="0" collapsed="false">
      <c r="A201" s="18" t="str">
        <f aca="false">IF(품목목록!$A200="","",품목목록!$A200)</f>
        <v/>
      </c>
      <c r="B201" s="18" t="str">
        <f aca="false">IF($A201="","",품목목록!$B200)</f>
        <v/>
      </c>
      <c r="C201" s="18" t="str">
        <f aca="false">IF($A201="","",품목목록!$D200)</f>
        <v/>
      </c>
      <c r="D201" s="24" t="str">
        <f aca="false">IF($A201="","",IF(품목목록!$E200="",0,품목목록!$E200))</f>
        <v/>
      </c>
      <c r="E201" s="24" t="str">
        <f aca="false">IF($A201="","",SUMIFS(대여내역!$J$3:$J$1002,대여내역!$D$3:$D$1002,$A201,대여내역!$J$3:$J$1002,"&gt;0"))</f>
        <v/>
      </c>
      <c r="F201" s="24" t="str">
        <f aca="false">IF($A201="","",SUMIFS(대여내역!$G$3:$G$1002,대여내역!$D$3:$D$1002,$A201))</f>
        <v/>
      </c>
      <c r="G201" s="24" t="str">
        <f aca="false">IF($A201="","",SUMIFS(대여내역!$I$3:$I$1002,대여내역!$D$3:$D$1002,$A201))</f>
        <v/>
      </c>
    </row>
    <row r="202" customFormat="false" ht="15" hidden="false" customHeight="false" outlineLevel="0" collapsed="false">
      <c r="A202" s="18" t="str">
        <f aca="false">IF(품목목록!$A201="","",품목목록!$A201)</f>
        <v/>
      </c>
      <c r="B202" s="18" t="str">
        <f aca="false">IF($A202="","",품목목록!$B201)</f>
        <v/>
      </c>
      <c r="C202" s="18" t="str">
        <f aca="false">IF($A202="","",품목목록!$D201)</f>
        <v/>
      </c>
      <c r="D202" s="24" t="str">
        <f aca="false">IF($A202="","",IF(품목목록!$E201="",0,품목목록!$E201))</f>
        <v/>
      </c>
      <c r="E202" s="24" t="str">
        <f aca="false">IF($A202="","",SUMIFS(대여내역!$J$3:$J$1002,대여내역!$D$3:$D$1002,$A202,대여내역!$J$3:$J$1002,"&gt;0"))</f>
        <v/>
      </c>
      <c r="F202" s="24" t="str">
        <f aca="false">IF($A202="","",SUMIFS(대여내역!$G$3:$G$1002,대여내역!$D$3:$D$1002,$A202))</f>
        <v/>
      </c>
      <c r="G202" s="24" t="str">
        <f aca="false">IF($A202="","",SUMIFS(대여내역!$I$3:$I$1002,대여내역!$D$3:$D$1002,$A202))</f>
        <v/>
      </c>
    </row>
    <row r="203" customFormat="false" ht="15" hidden="false" customHeight="false" outlineLevel="0" collapsed="false">
      <c r="A203" s="18" t="str">
        <f aca="false">IF(품목목록!$A202="","",품목목록!$A202)</f>
        <v/>
      </c>
      <c r="B203" s="18" t="str">
        <f aca="false">IF($A203="","",품목목록!$B202)</f>
        <v/>
      </c>
      <c r="C203" s="18" t="str">
        <f aca="false">IF($A203="","",품목목록!$D202)</f>
        <v/>
      </c>
      <c r="D203" s="24" t="str">
        <f aca="false">IF($A203="","",IF(품목목록!$E202="",0,품목목록!$E202))</f>
        <v/>
      </c>
      <c r="E203" s="24" t="str">
        <f aca="false">IF($A203="","",SUMIFS(대여내역!$J$3:$J$1002,대여내역!$D$3:$D$1002,$A203,대여내역!$J$3:$J$1002,"&gt;0"))</f>
        <v/>
      </c>
      <c r="F203" s="24" t="str">
        <f aca="false">IF($A203="","",SUMIFS(대여내역!$G$3:$G$1002,대여내역!$D$3:$D$1002,$A203))</f>
        <v/>
      </c>
      <c r="G203" s="24" t="str">
        <f aca="false">IF($A203="","",SUMIFS(대여내역!$I$3:$I$1002,대여내역!$D$3:$D$1002,$A203))</f>
        <v/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13"/>
    <col collapsed="false" customWidth="true" hidden="false" outlineLevel="0" max="5" min="4" style="1" width="14"/>
    <col collapsed="false" customWidth="true" hidden="false" outlineLevel="0" max="6" min="6" style="1" width="12"/>
  </cols>
  <sheetData>
    <row r="1" customFormat="false" ht="25.5" hidden="false" customHeight="true" outlineLevel="0" collapsed="false">
      <c r="A1" s="2" t="s">
        <v>86</v>
      </c>
      <c r="B1" s="2"/>
      <c r="C1" s="2"/>
      <c r="D1" s="2"/>
      <c r="E1" s="2"/>
      <c r="F1" s="2"/>
    </row>
    <row r="3" customFormat="false" ht="15" hidden="false" customHeight="false" outlineLevel="0" collapsed="false">
      <c r="A3" s="8" t="s">
        <v>25</v>
      </c>
      <c r="B3" s="8" t="s">
        <v>26</v>
      </c>
      <c r="C3" s="8" t="s">
        <v>87</v>
      </c>
      <c r="D3" s="8" t="s">
        <v>76</v>
      </c>
      <c r="E3" s="8" t="s">
        <v>78</v>
      </c>
      <c r="F3" s="8" t="s">
        <v>88</v>
      </c>
    </row>
    <row r="4" customFormat="false" ht="15" hidden="false" customHeight="false" outlineLevel="0" collapsed="false">
      <c r="A4" s="14" t="str">
        <f aca="false">IF(대여처목록!$A3="","",대여처목록!$A3)</f>
        <v>○○상사</v>
      </c>
      <c r="B4" s="14" t="str">
        <f aca="false">IF($A4="","",대여처목록!$B3)</f>
        <v>김과장</v>
      </c>
      <c r="C4" s="22" t="n">
        <f aca="false">IF($A4="","",COUNTIFS(대여내역!$C$3:$C$1002,$A4))</f>
        <v>2</v>
      </c>
      <c r="D4" s="22" t="n">
        <f aca="false">IF($A4="","",COUNTIFS(대여내역!$C$3:$C$1002,$A4,대여내역!$J$3:$J$1002,"&gt;0"))</f>
        <v>1</v>
      </c>
      <c r="E4" s="22" t="n">
        <f aca="false">IF($A4="","",SUMIFS(대여내역!$J$3:$J$1002,대여내역!$C$3:$C$1002,$A4,대여내역!$J$3:$J$1002,"&gt;0"))</f>
        <v>2</v>
      </c>
      <c r="F4" s="27" t="n">
        <f aca="false">IF($A4="","",IF(SUMIFS(대여내역!$G$3:$G$1002,대여내역!$C$3:$C$1002,$A4)=0,"",SUMIFS(대여내역!$I$3:$I$1002,대여내역!$C$3:$C$1002,$A4)/SUMIFS(대여내역!$G$3:$G$1002,대여내역!$C$3:$C$1002,$A4)))</f>
        <v>0.6</v>
      </c>
    </row>
    <row r="5" customFormat="false" ht="15" hidden="false" customHeight="false" outlineLevel="0" collapsed="false">
      <c r="A5" s="14" t="str">
        <f aca="false">IF(대여처목록!$A4="","",대여처목록!$A4)</f>
        <v>△△디자인</v>
      </c>
      <c r="B5" s="14" t="str">
        <f aca="false">IF($A5="","",대여처목록!$B4)</f>
        <v>이대리</v>
      </c>
      <c r="C5" s="22" t="n">
        <f aca="false">IF($A5="","",COUNTIFS(대여내역!$C$3:$C$1002,$A5))</f>
        <v>1</v>
      </c>
      <c r="D5" s="22" t="n">
        <f aca="false">IF($A5="","",COUNTIFS(대여내역!$C$3:$C$1002,$A5,대여내역!$J$3:$J$1002,"&gt;0"))</f>
        <v>1</v>
      </c>
      <c r="E5" s="22" t="n">
        <f aca="false">IF($A5="","",SUMIFS(대여내역!$J$3:$J$1002,대여내역!$C$3:$C$1002,$A5,대여내역!$J$3:$J$1002,"&gt;0"))</f>
        <v>2</v>
      </c>
      <c r="F5" s="27" t="n">
        <f aca="false">IF($A5="","",IF(SUMIFS(대여내역!$G$3:$G$1002,대여내역!$C$3:$C$1002,$A5)=0,"",SUMIFS(대여내역!$I$3:$I$1002,대여내역!$C$3:$C$1002,$A5)/SUMIFS(대여내역!$G$3:$G$1002,대여내역!$C$3:$C$1002,$A5)))</f>
        <v>0</v>
      </c>
    </row>
    <row r="6" customFormat="false" ht="15" hidden="false" customHeight="false" outlineLevel="0" collapsed="false">
      <c r="A6" s="14" t="str">
        <f aca="false">IF(대여처목록!$A5="","",대여처목록!$A5)</f>
        <v>영업2팀</v>
      </c>
      <c r="B6" s="14" t="str">
        <f aca="false">IF($A6="","",대여처목록!$B5)</f>
        <v>박주임</v>
      </c>
      <c r="C6" s="22" t="n">
        <f aca="false">IF($A6="","",COUNTIFS(대여내역!$C$3:$C$1002,$A6))</f>
        <v>1</v>
      </c>
      <c r="D6" s="22" t="n">
        <f aca="false">IF($A6="","",COUNTIFS(대여내역!$C$3:$C$1002,$A6,대여내역!$J$3:$J$1002,"&gt;0"))</f>
        <v>0</v>
      </c>
      <c r="E6" s="22" t="n">
        <f aca="false">IF($A6="","",SUMIFS(대여내역!$J$3:$J$1002,대여내역!$C$3:$C$1002,$A6,대여내역!$J$3:$J$1002,"&gt;0"))</f>
        <v>0</v>
      </c>
      <c r="F6" s="27" t="n">
        <f aca="false">IF($A6="","",IF(SUMIFS(대여내역!$G$3:$G$1002,대여내역!$C$3:$C$1002,$A6)=0,"",SUMIFS(대여내역!$I$3:$I$1002,대여내역!$C$3:$C$1002,$A6)/SUMIFS(대여내역!$G$3:$G$1002,대여내역!$C$3:$C$1002,$A6)))</f>
        <v>1</v>
      </c>
    </row>
    <row r="7" customFormat="false" ht="15" hidden="false" customHeight="false" outlineLevel="0" collapsed="false">
      <c r="A7" s="14" t="str">
        <f aca="false">IF(대여처목록!$A6="","",대여처목록!$A6)</f>
        <v/>
      </c>
      <c r="B7" s="14" t="str">
        <f aca="false">IF($A7="","",대여처목록!$B6)</f>
        <v/>
      </c>
      <c r="C7" s="22" t="str">
        <f aca="false">IF($A7="","",COUNTIFS(대여내역!$C$3:$C$1002,$A7))</f>
        <v/>
      </c>
      <c r="D7" s="22" t="str">
        <f aca="false">IF($A7="","",COUNTIFS(대여내역!$C$3:$C$1002,$A7,대여내역!$J$3:$J$1002,"&gt;0"))</f>
        <v/>
      </c>
      <c r="E7" s="22" t="str">
        <f aca="false">IF($A7="","",SUMIFS(대여내역!$J$3:$J$1002,대여내역!$C$3:$C$1002,$A7,대여내역!$J$3:$J$1002,"&gt;0"))</f>
        <v/>
      </c>
      <c r="F7" s="27" t="str">
        <f aca="false">IF($A7="","",IF(SUMIFS(대여내역!$G$3:$G$1002,대여내역!$C$3:$C$1002,$A7)=0,"",SUMIFS(대여내역!$I$3:$I$1002,대여내역!$C$3:$C$1002,$A7)/SUMIFS(대여내역!$G$3:$G$1002,대여내역!$C$3:$C$1002,$A7)))</f>
        <v/>
      </c>
    </row>
    <row r="8" customFormat="false" ht="15" hidden="false" customHeight="false" outlineLevel="0" collapsed="false">
      <c r="A8" s="14" t="str">
        <f aca="false">IF(대여처목록!$A7="","",대여처목록!$A7)</f>
        <v/>
      </c>
      <c r="B8" s="14" t="str">
        <f aca="false">IF($A8="","",대여처목록!$B7)</f>
        <v/>
      </c>
      <c r="C8" s="22" t="str">
        <f aca="false">IF($A8="","",COUNTIFS(대여내역!$C$3:$C$1002,$A8))</f>
        <v/>
      </c>
      <c r="D8" s="22" t="str">
        <f aca="false">IF($A8="","",COUNTIFS(대여내역!$C$3:$C$1002,$A8,대여내역!$J$3:$J$1002,"&gt;0"))</f>
        <v/>
      </c>
      <c r="E8" s="22" t="str">
        <f aca="false">IF($A8="","",SUMIFS(대여내역!$J$3:$J$1002,대여내역!$C$3:$C$1002,$A8,대여내역!$J$3:$J$1002,"&gt;0"))</f>
        <v/>
      </c>
      <c r="F8" s="27" t="str">
        <f aca="false">IF($A8="","",IF(SUMIFS(대여내역!$G$3:$G$1002,대여내역!$C$3:$C$1002,$A8)=0,"",SUMIFS(대여내역!$I$3:$I$1002,대여내역!$C$3:$C$1002,$A8)/SUMIFS(대여내역!$G$3:$G$1002,대여내역!$C$3:$C$1002,$A8)))</f>
        <v/>
      </c>
    </row>
    <row r="9" customFormat="false" ht="15" hidden="false" customHeight="false" outlineLevel="0" collapsed="false">
      <c r="A9" s="14" t="str">
        <f aca="false">IF(대여처목록!$A8="","",대여처목록!$A8)</f>
        <v/>
      </c>
      <c r="B9" s="14" t="str">
        <f aca="false">IF($A9="","",대여처목록!$B8)</f>
        <v/>
      </c>
      <c r="C9" s="22" t="str">
        <f aca="false">IF($A9="","",COUNTIFS(대여내역!$C$3:$C$1002,$A9))</f>
        <v/>
      </c>
      <c r="D9" s="22" t="str">
        <f aca="false">IF($A9="","",COUNTIFS(대여내역!$C$3:$C$1002,$A9,대여내역!$J$3:$J$1002,"&gt;0"))</f>
        <v/>
      </c>
      <c r="E9" s="22" t="str">
        <f aca="false">IF($A9="","",SUMIFS(대여내역!$J$3:$J$1002,대여내역!$C$3:$C$1002,$A9,대여내역!$J$3:$J$1002,"&gt;0"))</f>
        <v/>
      </c>
      <c r="F9" s="27" t="str">
        <f aca="false">IF($A9="","",IF(SUMIFS(대여내역!$G$3:$G$1002,대여내역!$C$3:$C$1002,$A9)=0,"",SUMIFS(대여내역!$I$3:$I$1002,대여내역!$C$3:$C$1002,$A9)/SUMIFS(대여내역!$G$3:$G$1002,대여내역!$C$3:$C$1002,$A9)))</f>
        <v/>
      </c>
    </row>
    <row r="10" customFormat="false" ht="15" hidden="false" customHeight="false" outlineLevel="0" collapsed="false">
      <c r="A10" s="14" t="str">
        <f aca="false">IF(대여처목록!$A9="","",대여처목록!$A9)</f>
        <v/>
      </c>
      <c r="B10" s="14" t="str">
        <f aca="false">IF($A10="","",대여처목록!$B9)</f>
        <v/>
      </c>
      <c r="C10" s="22" t="str">
        <f aca="false">IF($A10="","",COUNTIFS(대여내역!$C$3:$C$1002,$A10))</f>
        <v/>
      </c>
      <c r="D10" s="22" t="str">
        <f aca="false">IF($A10="","",COUNTIFS(대여내역!$C$3:$C$1002,$A10,대여내역!$J$3:$J$1002,"&gt;0"))</f>
        <v/>
      </c>
      <c r="E10" s="22" t="str">
        <f aca="false">IF($A10="","",SUMIFS(대여내역!$J$3:$J$1002,대여내역!$C$3:$C$1002,$A10,대여내역!$J$3:$J$1002,"&gt;0"))</f>
        <v/>
      </c>
      <c r="F10" s="27" t="str">
        <f aca="false">IF($A10="","",IF(SUMIFS(대여내역!$G$3:$G$1002,대여내역!$C$3:$C$1002,$A10)=0,"",SUMIFS(대여내역!$I$3:$I$1002,대여내역!$C$3:$C$1002,$A10)/SUMIFS(대여내역!$G$3:$G$1002,대여내역!$C$3:$C$1002,$A10)))</f>
        <v/>
      </c>
    </row>
    <row r="11" customFormat="false" ht="15" hidden="false" customHeight="false" outlineLevel="0" collapsed="false">
      <c r="A11" s="14" t="str">
        <f aca="false">IF(대여처목록!$A10="","",대여처목록!$A10)</f>
        <v/>
      </c>
      <c r="B11" s="14" t="str">
        <f aca="false">IF($A11="","",대여처목록!$B10)</f>
        <v/>
      </c>
      <c r="C11" s="22" t="str">
        <f aca="false">IF($A11="","",COUNTIFS(대여내역!$C$3:$C$1002,$A11))</f>
        <v/>
      </c>
      <c r="D11" s="22" t="str">
        <f aca="false">IF($A11="","",COUNTIFS(대여내역!$C$3:$C$1002,$A11,대여내역!$J$3:$J$1002,"&gt;0"))</f>
        <v/>
      </c>
      <c r="E11" s="22" t="str">
        <f aca="false">IF($A11="","",SUMIFS(대여내역!$J$3:$J$1002,대여내역!$C$3:$C$1002,$A11,대여내역!$J$3:$J$1002,"&gt;0"))</f>
        <v/>
      </c>
      <c r="F11" s="27" t="str">
        <f aca="false">IF($A11="","",IF(SUMIFS(대여내역!$G$3:$G$1002,대여내역!$C$3:$C$1002,$A11)=0,"",SUMIFS(대여내역!$I$3:$I$1002,대여내역!$C$3:$C$1002,$A11)/SUMIFS(대여내역!$G$3:$G$1002,대여내역!$C$3:$C$1002,$A11)))</f>
        <v/>
      </c>
    </row>
    <row r="12" customFormat="false" ht="15" hidden="false" customHeight="false" outlineLevel="0" collapsed="false">
      <c r="A12" s="14" t="str">
        <f aca="false">IF(대여처목록!$A11="","",대여처목록!$A11)</f>
        <v/>
      </c>
      <c r="B12" s="14" t="str">
        <f aca="false">IF($A12="","",대여처목록!$B11)</f>
        <v/>
      </c>
      <c r="C12" s="22" t="str">
        <f aca="false">IF($A12="","",COUNTIFS(대여내역!$C$3:$C$1002,$A12))</f>
        <v/>
      </c>
      <c r="D12" s="22" t="str">
        <f aca="false">IF($A12="","",COUNTIFS(대여내역!$C$3:$C$1002,$A12,대여내역!$J$3:$J$1002,"&gt;0"))</f>
        <v/>
      </c>
      <c r="E12" s="22" t="str">
        <f aca="false">IF($A12="","",SUMIFS(대여내역!$J$3:$J$1002,대여내역!$C$3:$C$1002,$A12,대여내역!$J$3:$J$1002,"&gt;0"))</f>
        <v/>
      </c>
      <c r="F12" s="27" t="str">
        <f aca="false">IF($A12="","",IF(SUMIFS(대여내역!$G$3:$G$1002,대여내역!$C$3:$C$1002,$A12)=0,"",SUMIFS(대여내역!$I$3:$I$1002,대여내역!$C$3:$C$1002,$A12)/SUMIFS(대여내역!$G$3:$G$1002,대여내역!$C$3:$C$1002,$A12)))</f>
        <v/>
      </c>
    </row>
    <row r="13" customFormat="false" ht="15" hidden="false" customHeight="false" outlineLevel="0" collapsed="false">
      <c r="A13" s="14" t="str">
        <f aca="false">IF(대여처목록!$A12="","",대여처목록!$A12)</f>
        <v/>
      </c>
      <c r="B13" s="14" t="str">
        <f aca="false">IF($A13="","",대여처목록!$B12)</f>
        <v/>
      </c>
      <c r="C13" s="22" t="str">
        <f aca="false">IF($A13="","",COUNTIFS(대여내역!$C$3:$C$1002,$A13))</f>
        <v/>
      </c>
      <c r="D13" s="22" t="str">
        <f aca="false">IF($A13="","",COUNTIFS(대여내역!$C$3:$C$1002,$A13,대여내역!$J$3:$J$1002,"&gt;0"))</f>
        <v/>
      </c>
      <c r="E13" s="22" t="str">
        <f aca="false">IF($A13="","",SUMIFS(대여내역!$J$3:$J$1002,대여내역!$C$3:$C$1002,$A13,대여내역!$J$3:$J$1002,"&gt;0"))</f>
        <v/>
      </c>
      <c r="F13" s="27" t="str">
        <f aca="false">IF($A13="","",IF(SUMIFS(대여내역!$G$3:$G$1002,대여내역!$C$3:$C$1002,$A13)=0,"",SUMIFS(대여내역!$I$3:$I$1002,대여내역!$C$3:$C$1002,$A13)/SUMIFS(대여내역!$G$3:$G$1002,대여내역!$C$3:$C$1002,$A13)))</f>
        <v/>
      </c>
    </row>
    <row r="14" customFormat="false" ht="15" hidden="false" customHeight="false" outlineLevel="0" collapsed="false">
      <c r="A14" s="14" t="str">
        <f aca="false">IF(대여처목록!$A13="","",대여처목록!$A13)</f>
        <v/>
      </c>
      <c r="B14" s="14" t="str">
        <f aca="false">IF($A14="","",대여처목록!$B13)</f>
        <v/>
      </c>
      <c r="C14" s="22" t="str">
        <f aca="false">IF($A14="","",COUNTIFS(대여내역!$C$3:$C$1002,$A14))</f>
        <v/>
      </c>
      <c r="D14" s="22" t="str">
        <f aca="false">IF($A14="","",COUNTIFS(대여내역!$C$3:$C$1002,$A14,대여내역!$J$3:$J$1002,"&gt;0"))</f>
        <v/>
      </c>
      <c r="E14" s="22" t="str">
        <f aca="false">IF($A14="","",SUMIFS(대여내역!$J$3:$J$1002,대여내역!$C$3:$C$1002,$A14,대여내역!$J$3:$J$1002,"&gt;0"))</f>
        <v/>
      </c>
      <c r="F14" s="27" t="str">
        <f aca="false">IF($A14="","",IF(SUMIFS(대여내역!$G$3:$G$1002,대여내역!$C$3:$C$1002,$A14)=0,"",SUMIFS(대여내역!$I$3:$I$1002,대여내역!$C$3:$C$1002,$A14)/SUMIFS(대여내역!$G$3:$G$1002,대여내역!$C$3:$C$1002,$A14)))</f>
        <v/>
      </c>
    </row>
    <row r="15" customFormat="false" ht="15" hidden="false" customHeight="false" outlineLevel="0" collapsed="false">
      <c r="A15" s="14" t="str">
        <f aca="false">IF(대여처목록!$A14="","",대여처목록!$A14)</f>
        <v/>
      </c>
      <c r="B15" s="14" t="str">
        <f aca="false">IF($A15="","",대여처목록!$B14)</f>
        <v/>
      </c>
      <c r="C15" s="22" t="str">
        <f aca="false">IF($A15="","",COUNTIFS(대여내역!$C$3:$C$1002,$A15))</f>
        <v/>
      </c>
      <c r="D15" s="22" t="str">
        <f aca="false">IF($A15="","",COUNTIFS(대여내역!$C$3:$C$1002,$A15,대여내역!$J$3:$J$1002,"&gt;0"))</f>
        <v/>
      </c>
      <c r="E15" s="22" t="str">
        <f aca="false">IF($A15="","",SUMIFS(대여내역!$J$3:$J$1002,대여내역!$C$3:$C$1002,$A15,대여내역!$J$3:$J$1002,"&gt;0"))</f>
        <v/>
      </c>
      <c r="F15" s="27" t="str">
        <f aca="false">IF($A15="","",IF(SUMIFS(대여내역!$G$3:$G$1002,대여내역!$C$3:$C$1002,$A15)=0,"",SUMIFS(대여내역!$I$3:$I$1002,대여내역!$C$3:$C$1002,$A15)/SUMIFS(대여내역!$G$3:$G$1002,대여내역!$C$3:$C$1002,$A15)))</f>
        <v/>
      </c>
    </row>
    <row r="16" customFormat="false" ht="15" hidden="false" customHeight="false" outlineLevel="0" collapsed="false">
      <c r="A16" s="14" t="str">
        <f aca="false">IF(대여처목록!$A15="","",대여처목록!$A15)</f>
        <v/>
      </c>
      <c r="B16" s="14" t="str">
        <f aca="false">IF($A16="","",대여처목록!$B15)</f>
        <v/>
      </c>
      <c r="C16" s="22" t="str">
        <f aca="false">IF($A16="","",COUNTIFS(대여내역!$C$3:$C$1002,$A16))</f>
        <v/>
      </c>
      <c r="D16" s="22" t="str">
        <f aca="false">IF($A16="","",COUNTIFS(대여내역!$C$3:$C$1002,$A16,대여내역!$J$3:$J$1002,"&gt;0"))</f>
        <v/>
      </c>
      <c r="E16" s="22" t="str">
        <f aca="false">IF($A16="","",SUMIFS(대여내역!$J$3:$J$1002,대여내역!$C$3:$C$1002,$A16,대여내역!$J$3:$J$1002,"&gt;0"))</f>
        <v/>
      </c>
      <c r="F16" s="27" t="str">
        <f aca="false">IF($A16="","",IF(SUMIFS(대여내역!$G$3:$G$1002,대여내역!$C$3:$C$1002,$A16)=0,"",SUMIFS(대여내역!$I$3:$I$1002,대여내역!$C$3:$C$1002,$A16)/SUMIFS(대여내역!$G$3:$G$1002,대여내역!$C$3:$C$1002,$A16)))</f>
        <v/>
      </c>
    </row>
    <row r="17" customFormat="false" ht="15" hidden="false" customHeight="false" outlineLevel="0" collapsed="false">
      <c r="A17" s="14" t="str">
        <f aca="false">IF(대여처목록!$A16="","",대여처목록!$A16)</f>
        <v/>
      </c>
      <c r="B17" s="14" t="str">
        <f aca="false">IF($A17="","",대여처목록!$B16)</f>
        <v/>
      </c>
      <c r="C17" s="22" t="str">
        <f aca="false">IF($A17="","",COUNTIFS(대여내역!$C$3:$C$1002,$A17))</f>
        <v/>
      </c>
      <c r="D17" s="22" t="str">
        <f aca="false">IF($A17="","",COUNTIFS(대여내역!$C$3:$C$1002,$A17,대여내역!$J$3:$J$1002,"&gt;0"))</f>
        <v/>
      </c>
      <c r="E17" s="22" t="str">
        <f aca="false">IF($A17="","",SUMIFS(대여내역!$J$3:$J$1002,대여내역!$C$3:$C$1002,$A17,대여내역!$J$3:$J$1002,"&gt;0"))</f>
        <v/>
      </c>
      <c r="F17" s="27" t="str">
        <f aca="false">IF($A17="","",IF(SUMIFS(대여내역!$G$3:$G$1002,대여내역!$C$3:$C$1002,$A17)=0,"",SUMIFS(대여내역!$I$3:$I$1002,대여내역!$C$3:$C$1002,$A17)/SUMIFS(대여내역!$G$3:$G$1002,대여내역!$C$3:$C$1002,$A17)))</f>
        <v/>
      </c>
    </row>
    <row r="18" customFormat="false" ht="15" hidden="false" customHeight="false" outlineLevel="0" collapsed="false">
      <c r="A18" s="14" t="str">
        <f aca="false">IF(대여처목록!$A17="","",대여처목록!$A17)</f>
        <v/>
      </c>
      <c r="B18" s="14" t="str">
        <f aca="false">IF($A18="","",대여처목록!$B17)</f>
        <v/>
      </c>
      <c r="C18" s="22" t="str">
        <f aca="false">IF($A18="","",COUNTIFS(대여내역!$C$3:$C$1002,$A18))</f>
        <v/>
      </c>
      <c r="D18" s="22" t="str">
        <f aca="false">IF($A18="","",COUNTIFS(대여내역!$C$3:$C$1002,$A18,대여내역!$J$3:$J$1002,"&gt;0"))</f>
        <v/>
      </c>
      <c r="E18" s="22" t="str">
        <f aca="false">IF($A18="","",SUMIFS(대여내역!$J$3:$J$1002,대여내역!$C$3:$C$1002,$A18,대여내역!$J$3:$J$1002,"&gt;0"))</f>
        <v/>
      </c>
      <c r="F18" s="27" t="str">
        <f aca="false">IF($A18="","",IF(SUMIFS(대여내역!$G$3:$G$1002,대여내역!$C$3:$C$1002,$A18)=0,"",SUMIFS(대여내역!$I$3:$I$1002,대여내역!$C$3:$C$1002,$A18)/SUMIFS(대여내역!$G$3:$G$1002,대여내역!$C$3:$C$1002,$A18)))</f>
        <v/>
      </c>
    </row>
    <row r="19" customFormat="false" ht="15" hidden="false" customHeight="false" outlineLevel="0" collapsed="false">
      <c r="A19" s="14" t="str">
        <f aca="false">IF(대여처목록!$A18="","",대여처목록!$A18)</f>
        <v/>
      </c>
      <c r="B19" s="14" t="str">
        <f aca="false">IF($A19="","",대여처목록!$B18)</f>
        <v/>
      </c>
      <c r="C19" s="22" t="str">
        <f aca="false">IF($A19="","",COUNTIFS(대여내역!$C$3:$C$1002,$A19))</f>
        <v/>
      </c>
      <c r="D19" s="22" t="str">
        <f aca="false">IF($A19="","",COUNTIFS(대여내역!$C$3:$C$1002,$A19,대여내역!$J$3:$J$1002,"&gt;0"))</f>
        <v/>
      </c>
      <c r="E19" s="22" t="str">
        <f aca="false">IF($A19="","",SUMIFS(대여내역!$J$3:$J$1002,대여내역!$C$3:$C$1002,$A19,대여내역!$J$3:$J$1002,"&gt;0"))</f>
        <v/>
      </c>
      <c r="F19" s="27" t="str">
        <f aca="false">IF($A19="","",IF(SUMIFS(대여내역!$G$3:$G$1002,대여내역!$C$3:$C$1002,$A19)=0,"",SUMIFS(대여내역!$I$3:$I$1002,대여내역!$C$3:$C$1002,$A19)/SUMIFS(대여내역!$G$3:$G$1002,대여내역!$C$3:$C$1002,$A19)))</f>
        <v/>
      </c>
    </row>
    <row r="20" customFormat="false" ht="15" hidden="false" customHeight="false" outlineLevel="0" collapsed="false">
      <c r="A20" s="14" t="str">
        <f aca="false">IF(대여처목록!$A19="","",대여처목록!$A19)</f>
        <v/>
      </c>
      <c r="B20" s="14" t="str">
        <f aca="false">IF($A20="","",대여처목록!$B19)</f>
        <v/>
      </c>
      <c r="C20" s="22" t="str">
        <f aca="false">IF($A20="","",COUNTIFS(대여내역!$C$3:$C$1002,$A20))</f>
        <v/>
      </c>
      <c r="D20" s="22" t="str">
        <f aca="false">IF($A20="","",COUNTIFS(대여내역!$C$3:$C$1002,$A20,대여내역!$J$3:$J$1002,"&gt;0"))</f>
        <v/>
      </c>
      <c r="E20" s="22" t="str">
        <f aca="false">IF($A20="","",SUMIFS(대여내역!$J$3:$J$1002,대여내역!$C$3:$C$1002,$A20,대여내역!$J$3:$J$1002,"&gt;0"))</f>
        <v/>
      </c>
      <c r="F20" s="27" t="str">
        <f aca="false">IF($A20="","",IF(SUMIFS(대여내역!$G$3:$G$1002,대여내역!$C$3:$C$1002,$A20)=0,"",SUMIFS(대여내역!$I$3:$I$1002,대여내역!$C$3:$C$1002,$A20)/SUMIFS(대여내역!$G$3:$G$1002,대여내역!$C$3:$C$1002,$A20)))</f>
        <v/>
      </c>
    </row>
    <row r="21" customFormat="false" ht="15" hidden="false" customHeight="false" outlineLevel="0" collapsed="false">
      <c r="A21" s="14" t="str">
        <f aca="false">IF(대여처목록!$A20="","",대여처목록!$A20)</f>
        <v/>
      </c>
      <c r="B21" s="14" t="str">
        <f aca="false">IF($A21="","",대여처목록!$B20)</f>
        <v/>
      </c>
      <c r="C21" s="22" t="str">
        <f aca="false">IF($A21="","",COUNTIFS(대여내역!$C$3:$C$1002,$A21))</f>
        <v/>
      </c>
      <c r="D21" s="22" t="str">
        <f aca="false">IF($A21="","",COUNTIFS(대여내역!$C$3:$C$1002,$A21,대여내역!$J$3:$J$1002,"&gt;0"))</f>
        <v/>
      </c>
      <c r="E21" s="22" t="str">
        <f aca="false">IF($A21="","",SUMIFS(대여내역!$J$3:$J$1002,대여내역!$C$3:$C$1002,$A21,대여내역!$J$3:$J$1002,"&gt;0"))</f>
        <v/>
      </c>
      <c r="F21" s="27" t="str">
        <f aca="false">IF($A21="","",IF(SUMIFS(대여내역!$G$3:$G$1002,대여내역!$C$3:$C$1002,$A21)=0,"",SUMIFS(대여내역!$I$3:$I$1002,대여내역!$C$3:$C$1002,$A21)/SUMIFS(대여내역!$G$3:$G$1002,대여내역!$C$3:$C$1002,$A21)))</f>
        <v/>
      </c>
    </row>
    <row r="22" customFormat="false" ht="15" hidden="false" customHeight="false" outlineLevel="0" collapsed="false">
      <c r="A22" s="14" t="str">
        <f aca="false">IF(대여처목록!$A21="","",대여처목록!$A21)</f>
        <v/>
      </c>
      <c r="B22" s="14" t="str">
        <f aca="false">IF($A22="","",대여처목록!$B21)</f>
        <v/>
      </c>
      <c r="C22" s="22" t="str">
        <f aca="false">IF($A22="","",COUNTIFS(대여내역!$C$3:$C$1002,$A22))</f>
        <v/>
      </c>
      <c r="D22" s="22" t="str">
        <f aca="false">IF($A22="","",COUNTIFS(대여내역!$C$3:$C$1002,$A22,대여내역!$J$3:$J$1002,"&gt;0"))</f>
        <v/>
      </c>
      <c r="E22" s="22" t="str">
        <f aca="false">IF($A22="","",SUMIFS(대여내역!$J$3:$J$1002,대여내역!$C$3:$C$1002,$A22,대여내역!$J$3:$J$1002,"&gt;0"))</f>
        <v/>
      </c>
      <c r="F22" s="27" t="str">
        <f aca="false">IF($A22="","",IF(SUMIFS(대여내역!$G$3:$G$1002,대여내역!$C$3:$C$1002,$A22)=0,"",SUMIFS(대여내역!$I$3:$I$1002,대여내역!$C$3:$C$1002,$A22)/SUMIFS(대여내역!$G$3:$G$1002,대여내역!$C$3:$C$1002,$A22)))</f>
        <v/>
      </c>
    </row>
    <row r="23" customFormat="false" ht="15" hidden="false" customHeight="false" outlineLevel="0" collapsed="false">
      <c r="A23" s="14" t="str">
        <f aca="false">IF(대여처목록!$A22="","",대여처목록!$A22)</f>
        <v/>
      </c>
      <c r="B23" s="14" t="str">
        <f aca="false">IF($A23="","",대여처목록!$B22)</f>
        <v/>
      </c>
      <c r="C23" s="22" t="str">
        <f aca="false">IF($A23="","",COUNTIFS(대여내역!$C$3:$C$1002,$A23))</f>
        <v/>
      </c>
      <c r="D23" s="22" t="str">
        <f aca="false">IF($A23="","",COUNTIFS(대여내역!$C$3:$C$1002,$A23,대여내역!$J$3:$J$1002,"&gt;0"))</f>
        <v/>
      </c>
      <c r="E23" s="22" t="str">
        <f aca="false">IF($A23="","",SUMIFS(대여내역!$J$3:$J$1002,대여내역!$C$3:$C$1002,$A23,대여내역!$J$3:$J$1002,"&gt;0"))</f>
        <v/>
      </c>
      <c r="F23" s="27" t="str">
        <f aca="false">IF($A23="","",IF(SUMIFS(대여내역!$G$3:$G$1002,대여내역!$C$3:$C$1002,$A23)=0,"",SUMIFS(대여내역!$I$3:$I$1002,대여내역!$C$3:$C$1002,$A23)/SUMIFS(대여내역!$G$3:$G$1002,대여내역!$C$3:$C$1002,$A23)))</f>
        <v/>
      </c>
    </row>
    <row r="24" customFormat="false" ht="15" hidden="false" customHeight="false" outlineLevel="0" collapsed="false">
      <c r="A24" s="14" t="str">
        <f aca="false">IF(대여처목록!$A23="","",대여처목록!$A23)</f>
        <v/>
      </c>
      <c r="B24" s="14" t="str">
        <f aca="false">IF($A24="","",대여처목록!$B23)</f>
        <v/>
      </c>
      <c r="C24" s="22" t="str">
        <f aca="false">IF($A24="","",COUNTIFS(대여내역!$C$3:$C$1002,$A24))</f>
        <v/>
      </c>
      <c r="D24" s="22" t="str">
        <f aca="false">IF($A24="","",COUNTIFS(대여내역!$C$3:$C$1002,$A24,대여내역!$J$3:$J$1002,"&gt;0"))</f>
        <v/>
      </c>
      <c r="E24" s="22" t="str">
        <f aca="false">IF($A24="","",SUMIFS(대여내역!$J$3:$J$1002,대여내역!$C$3:$C$1002,$A24,대여내역!$J$3:$J$1002,"&gt;0"))</f>
        <v/>
      </c>
      <c r="F24" s="27" t="str">
        <f aca="false">IF($A24="","",IF(SUMIFS(대여내역!$G$3:$G$1002,대여내역!$C$3:$C$1002,$A24)=0,"",SUMIFS(대여내역!$I$3:$I$1002,대여내역!$C$3:$C$1002,$A24)/SUMIFS(대여내역!$G$3:$G$1002,대여내역!$C$3:$C$1002,$A24)))</f>
        <v/>
      </c>
    </row>
    <row r="25" customFormat="false" ht="15" hidden="false" customHeight="false" outlineLevel="0" collapsed="false">
      <c r="A25" s="14" t="str">
        <f aca="false">IF(대여처목록!$A24="","",대여처목록!$A24)</f>
        <v/>
      </c>
      <c r="B25" s="14" t="str">
        <f aca="false">IF($A25="","",대여처목록!$B24)</f>
        <v/>
      </c>
      <c r="C25" s="22" t="str">
        <f aca="false">IF($A25="","",COUNTIFS(대여내역!$C$3:$C$1002,$A25))</f>
        <v/>
      </c>
      <c r="D25" s="22" t="str">
        <f aca="false">IF($A25="","",COUNTIFS(대여내역!$C$3:$C$1002,$A25,대여내역!$J$3:$J$1002,"&gt;0"))</f>
        <v/>
      </c>
      <c r="E25" s="22" t="str">
        <f aca="false">IF($A25="","",SUMIFS(대여내역!$J$3:$J$1002,대여내역!$C$3:$C$1002,$A25,대여내역!$J$3:$J$1002,"&gt;0"))</f>
        <v/>
      </c>
      <c r="F25" s="27" t="str">
        <f aca="false">IF($A25="","",IF(SUMIFS(대여내역!$G$3:$G$1002,대여내역!$C$3:$C$1002,$A25)=0,"",SUMIFS(대여내역!$I$3:$I$1002,대여내역!$C$3:$C$1002,$A25)/SUMIFS(대여내역!$G$3:$G$1002,대여내역!$C$3:$C$1002,$A25)))</f>
        <v/>
      </c>
    </row>
    <row r="26" customFormat="false" ht="15" hidden="false" customHeight="false" outlineLevel="0" collapsed="false">
      <c r="A26" s="14" t="str">
        <f aca="false">IF(대여처목록!$A25="","",대여처목록!$A25)</f>
        <v/>
      </c>
      <c r="B26" s="14" t="str">
        <f aca="false">IF($A26="","",대여처목록!$B25)</f>
        <v/>
      </c>
      <c r="C26" s="22" t="str">
        <f aca="false">IF($A26="","",COUNTIFS(대여내역!$C$3:$C$1002,$A26))</f>
        <v/>
      </c>
      <c r="D26" s="22" t="str">
        <f aca="false">IF($A26="","",COUNTIFS(대여내역!$C$3:$C$1002,$A26,대여내역!$J$3:$J$1002,"&gt;0"))</f>
        <v/>
      </c>
      <c r="E26" s="22" t="str">
        <f aca="false">IF($A26="","",SUMIFS(대여내역!$J$3:$J$1002,대여내역!$C$3:$C$1002,$A26,대여내역!$J$3:$J$1002,"&gt;0"))</f>
        <v/>
      </c>
      <c r="F26" s="27" t="str">
        <f aca="false">IF($A26="","",IF(SUMIFS(대여내역!$G$3:$G$1002,대여내역!$C$3:$C$1002,$A26)=0,"",SUMIFS(대여내역!$I$3:$I$1002,대여내역!$C$3:$C$1002,$A26)/SUMIFS(대여내역!$G$3:$G$1002,대여내역!$C$3:$C$1002,$A26)))</f>
        <v/>
      </c>
    </row>
    <row r="27" customFormat="false" ht="15" hidden="false" customHeight="false" outlineLevel="0" collapsed="false">
      <c r="A27" s="14" t="str">
        <f aca="false">IF(대여처목록!$A26="","",대여처목록!$A26)</f>
        <v/>
      </c>
      <c r="B27" s="14" t="str">
        <f aca="false">IF($A27="","",대여처목록!$B26)</f>
        <v/>
      </c>
      <c r="C27" s="22" t="str">
        <f aca="false">IF($A27="","",COUNTIFS(대여내역!$C$3:$C$1002,$A27))</f>
        <v/>
      </c>
      <c r="D27" s="22" t="str">
        <f aca="false">IF($A27="","",COUNTIFS(대여내역!$C$3:$C$1002,$A27,대여내역!$J$3:$J$1002,"&gt;0"))</f>
        <v/>
      </c>
      <c r="E27" s="22" t="str">
        <f aca="false">IF($A27="","",SUMIFS(대여내역!$J$3:$J$1002,대여내역!$C$3:$C$1002,$A27,대여내역!$J$3:$J$1002,"&gt;0"))</f>
        <v/>
      </c>
      <c r="F27" s="27" t="str">
        <f aca="false">IF($A27="","",IF(SUMIFS(대여내역!$G$3:$G$1002,대여내역!$C$3:$C$1002,$A27)=0,"",SUMIFS(대여내역!$I$3:$I$1002,대여내역!$C$3:$C$1002,$A27)/SUMIFS(대여내역!$G$3:$G$1002,대여내역!$C$3:$C$1002,$A27)))</f>
        <v/>
      </c>
    </row>
    <row r="28" customFormat="false" ht="15" hidden="false" customHeight="false" outlineLevel="0" collapsed="false">
      <c r="A28" s="14" t="str">
        <f aca="false">IF(대여처목록!$A27="","",대여처목록!$A27)</f>
        <v/>
      </c>
      <c r="B28" s="14" t="str">
        <f aca="false">IF($A28="","",대여처목록!$B27)</f>
        <v/>
      </c>
      <c r="C28" s="22" t="str">
        <f aca="false">IF($A28="","",COUNTIFS(대여내역!$C$3:$C$1002,$A28))</f>
        <v/>
      </c>
      <c r="D28" s="22" t="str">
        <f aca="false">IF($A28="","",COUNTIFS(대여내역!$C$3:$C$1002,$A28,대여내역!$J$3:$J$1002,"&gt;0"))</f>
        <v/>
      </c>
      <c r="E28" s="22" t="str">
        <f aca="false">IF($A28="","",SUMIFS(대여내역!$J$3:$J$1002,대여내역!$C$3:$C$1002,$A28,대여내역!$J$3:$J$1002,"&gt;0"))</f>
        <v/>
      </c>
      <c r="F28" s="27" t="str">
        <f aca="false">IF($A28="","",IF(SUMIFS(대여내역!$G$3:$G$1002,대여내역!$C$3:$C$1002,$A28)=0,"",SUMIFS(대여내역!$I$3:$I$1002,대여내역!$C$3:$C$1002,$A28)/SUMIFS(대여내역!$G$3:$G$1002,대여내역!$C$3:$C$1002,$A28)))</f>
        <v/>
      </c>
    </row>
    <row r="29" customFormat="false" ht="15" hidden="false" customHeight="false" outlineLevel="0" collapsed="false">
      <c r="A29" s="14" t="str">
        <f aca="false">IF(대여처목록!$A28="","",대여처목록!$A28)</f>
        <v/>
      </c>
      <c r="B29" s="14" t="str">
        <f aca="false">IF($A29="","",대여처목록!$B28)</f>
        <v/>
      </c>
      <c r="C29" s="22" t="str">
        <f aca="false">IF($A29="","",COUNTIFS(대여내역!$C$3:$C$1002,$A29))</f>
        <v/>
      </c>
      <c r="D29" s="22" t="str">
        <f aca="false">IF($A29="","",COUNTIFS(대여내역!$C$3:$C$1002,$A29,대여내역!$J$3:$J$1002,"&gt;0"))</f>
        <v/>
      </c>
      <c r="E29" s="22" t="str">
        <f aca="false">IF($A29="","",SUMIFS(대여내역!$J$3:$J$1002,대여내역!$C$3:$C$1002,$A29,대여내역!$J$3:$J$1002,"&gt;0"))</f>
        <v/>
      </c>
      <c r="F29" s="27" t="str">
        <f aca="false">IF($A29="","",IF(SUMIFS(대여내역!$G$3:$G$1002,대여내역!$C$3:$C$1002,$A29)=0,"",SUMIFS(대여내역!$I$3:$I$1002,대여내역!$C$3:$C$1002,$A29)/SUMIFS(대여내역!$G$3:$G$1002,대여내역!$C$3:$C$1002,$A29)))</f>
        <v/>
      </c>
    </row>
    <row r="30" customFormat="false" ht="15" hidden="false" customHeight="false" outlineLevel="0" collapsed="false">
      <c r="A30" s="14" t="str">
        <f aca="false">IF(대여처목록!$A29="","",대여처목록!$A29)</f>
        <v/>
      </c>
      <c r="B30" s="14" t="str">
        <f aca="false">IF($A30="","",대여처목록!$B29)</f>
        <v/>
      </c>
      <c r="C30" s="22" t="str">
        <f aca="false">IF($A30="","",COUNTIFS(대여내역!$C$3:$C$1002,$A30))</f>
        <v/>
      </c>
      <c r="D30" s="22" t="str">
        <f aca="false">IF($A30="","",COUNTIFS(대여내역!$C$3:$C$1002,$A30,대여내역!$J$3:$J$1002,"&gt;0"))</f>
        <v/>
      </c>
      <c r="E30" s="22" t="str">
        <f aca="false">IF($A30="","",SUMIFS(대여내역!$J$3:$J$1002,대여내역!$C$3:$C$1002,$A30,대여내역!$J$3:$J$1002,"&gt;0"))</f>
        <v/>
      </c>
      <c r="F30" s="27" t="str">
        <f aca="false">IF($A30="","",IF(SUMIFS(대여내역!$G$3:$G$1002,대여내역!$C$3:$C$1002,$A30)=0,"",SUMIFS(대여내역!$I$3:$I$1002,대여내역!$C$3:$C$1002,$A30)/SUMIFS(대여내역!$G$3:$G$1002,대여내역!$C$3:$C$1002,$A30)))</f>
        <v/>
      </c>
    </row>
    <row r="31" customFormat="false" ht="15" hidden="false" customHeight="false" outlineLevel="0" collapsed="false">
      <c r="A31" s="14" t="str">
        <f aca="false">IF(대여처목록!$A30="","",대여처목록!$A30)</f>
        <v/>
      </c>
      <c r="B31" s="14" t="str">
        <f aca="false">IF($A31="","",대여처목록!$B30)</f>
        <v/>
      </c>
      <c r="C31" s="22" t="str">
        <f aca="false">IF($A31="","",COUNTIFS(대여내역!$C$3:$C$1002,$A31))</f>
        <v/>
      </c>
      <c r="D31" s="22" t="str">
        <f aca="false">IF($A31="","",COUNTIFS(대여내역!$C$3:$C$1002,$A31,대여내역!$J$3:$J$1002,"&gt;0"))</f>
        <v/>
      </c>
      <c r="E31" s="22" t="str">
        <f aca="false">IF($A31="","",SUMIFS(대여내역!$J$3:$J$1002,대여내역!$C$3:$C$1002,$A31,대여내역!$J$3:$J$1002,"&gt;0"))</f>
        <v/>
      </c>
      <c r="F31" s="27" t="str">
        <f aca="false">IF($A31="","",IF(SUMIFS(대여내역!$G$3:$G$1002,대여내역!$C$3:$C$1002,$A31)=0,"",SUMIFS(대여내역!$I$3:$I$1002,대여내역!$C$3:$C$1002,$A31)/SUMIFS(대여내역!$G$3:$G$1002,대여내역!$C$3:$C$1002,$A31)))</f>
        <v/>
      </c>
    </row>
    <row r="32" customFormat="false" ht="15" hidden="false" customHeight="false" outlineLevel="0" collapsed="false">
      <c r="A32" s="14" t="str">
        <f aca="false">IF(대여처목록!$A31="","",대여처목록!$A31)</f>
        <v/>
      </c>
      <c r="B32" s="14" t="str">
        <f aca="false">IF($A32="","",대여처목록!$B31)</f>
        <v/>
      </c>
      <c r="C32" s="22" t="str">
        <f aca="false">IF($A32="","",COUNTIFS(대여내역!$C$3:$C$1002,$A32))</f>
        <v/>
      </c>
      <c r="D32" s="22" t="str">
        <f aca="false">IF($A32="","",COUNTIFS(대여내역!$C$3:$C$1002,$A32,대여내역!$J$3:$J$1002,"&gt;0"))</f>
        <v/>
      </c>
      <c r="E32" s="22" t="str">
        <f aca="false">IF($A32="","",SUMIFS(대여내역!$J$3:$J$1002,대여내역!$C$3:$C$1002,$A32,대여내역!$J$3:$J$1002,"&gt;0"))</f>
        <v/>
      </c>
      <c r="F32" s="27" t="str">
        <f aca="false">IF($A32="","",IF(SUMIFS(대여내역!$G$3:$G$1002,대여내역!$C$3:$C$1002,$A32)=0,"",SUMIFS(대여내역!$I$3:$I$1002,대여내역!$C$3:$C$1002,$A32)/SUMIFS(대여내역!$G$3:$G$1002,대여내역!$C$3:$C$1002,$A32)))</f>
        <v/>
      </c>
    </row>
    <row r="33" customFormat="false" ht="15" hidden="false" customHeight="false" outlineLevel="0" collapsed="false">
      <c r="A33" s="14" t="str">
        <f aca="false">IF(대여처목록!$A32="","",대여처목록!$A32)</f>
        <v/>
      </c>
      <c r="B33" s="14" t="str">
        <f aca="false">IF($A33="","",대여처목록!$B32)</f>
        <v/>
      </c>
      <c r="C33" s="22" t="str">
        <f aca="false">IF($A33="","",COUNTIFS(대여내역!$C$3:$C$1002,$A33))</f>
        <v/>
      </c>
      <c r="D33" s="22" t="str">
        <f aca="false">IF($A33="","",COUNTIFS(대여내역!$C$3:$C$1002,$A33,대여내역!$J$3:$J$1002,"&gt;0"))</f>
        <v/>
      </c>
      <c r="E33" s="22" t="str">
        <f aca="false">IF($A33="","",SUMIFS(대여내역!$J$3:$J$1002,대여내역!$C$3:$C$1002,$A33,대여내역!$J$3:$J$1002,"&gt;0"))</f>
        <v/>
      </c>
      <c r="F33" s="27" t="str">
        <f aca="false">IF($A33="","",IF(SUMIFS(대여내역!$G$3:$G$1002,대여내역!$C$3:$C$1002,$A33)=0,"",SUMIFS(대여내역!$I$3:$I$1002,대여내역!$C$3:$C$1002,$A33)/SUMIFS(대여내역!$G$3:$G$1002,대여내역!$C$3:$C$1002,$A33)))</f>
        <v/>
      </c>
    </row>
    <row r="34" customFormat="false" ht="15" hidden="false" customHeight="false" outlineLevel="0" collapsed="false">
      <c r="A34" s="14" t="str">
        <f aca="false">IF(대여처목록!$A33="","",대여처목록!$A33)</f>
        <v/>
      </c>
      <c r="B34" s="14" t="str">
        <f aca="false">IF($A34="","",대여처목록!$B33)</f>
        <v/>
      </c>
      <c r="C34" s="22" t="str">
        <f aca="false">IF($A34="","",COUNTIFS(대여내역!$C$3:$C$1002,$A34))</f>
        <v/>
      </c>
      <c r="D34" s="22" t="str">
        <f aca="false">IF($A34="","",COUNTIFS(대여내역!$C$3:$C$1002,$A34,대여내역!$J$3:$J$1002,"&gt;0"))</f>
        <v/>
      </c>
      <c r="E34" s="22" t="str">
        <f aca="false">IF($A34="","",SUMIFS(대여내역!$J$3:$J$1002,대여내역!$C$3:$C$1002,$A34,대여내역!$J$3:$J$1002,"&gt;0"))</f>
        <v/>
      </c>
      <c r="F34" s="27" t="str">
        <f aca="false">IF($A34="","",IF(SUMIFS(대여내역!$G$3:$G$1002,대여내역!$C$3:$C$1002,$A34)=0,"",SUMIFS(대여내역!$I$3:$I$1002,대여내역!$C$3:$C$1002,$A34)/SUMIFS(대여내역!$G$3:$G$1002,대여내역!$C$3:$C$1002,$A34)))</f>
        <v/>
      </c>
    </row>
    <row r="35" customFormat="false" ht="15" hidden="false" customHeight="false" outlineLevel="0" collapsed="false">
      <c r="A35" s="14" t="str">
        <f aca="false">IF(대여처목록!$A34="","",대여처목록!$A34)</f>
        <v/>
      </c>
      <c r="B35" s="14" t="str">
        <f aca="false">IF($A35="","",대여처목록!$B34)</f>
        <v/>
      </c>
      <c r="C35" s="22" t="str">
        <f aca="false">IF($A35="","",COUNTIFS(대여내역!$C$3:$C$1002,$A35))</f>
        <v/>
      </c>
      <c r="D35" s="22" t="str">
        <f aca="false">IF($A35="","",COUNTIFS(대여내역!$C$3:$C$1002,$A35,대여내역!$J$3:$J$1002,"&gt;0"))</f>
        <v/>
      </c>
      <c r="E35" s="22" t="str">
        <f aca="false">IF($A35="","",SUMIFS(대여내역!$J$3:$J$1002,대여내역!$C$3:$C$1002,$A35,대여내역!$J$3:$J$1002,"&gt;0"))</f>
        <v/>
      </c>
      <c r="F35" s="27" t="str">
        <f aca="false">IF($A35="","",IF(SUMIFS(대여내역!$G$3:$G$1002,대여내역!$C$3:$C$1002,$A35)=0,"",SUMIFS(대여내역!$I$3:$I$1002,대여내역!$C$3:$C$1002,$A35)/SUMIFS(대여내역!$G$3:$G$1002,대여내역!$C$3:$C$1002,$A35)))</f>
        <v/>
      </c>
    </row>
    <row r="36" customFormat="false" ht="15" hidden="false" customHeight="false" outlineLevel="0" collapsed="false">
      <c r="A36" s="14" t="str">
        <f aca="false">IF(대여처목록!$A35="","",대여처목록!$A35)</f>
        <v/>
      </c>
      <c r="B36" s="14" t="str">
        <f aca="false">IF($A36="","",대여처목록!$B35)</f>
        <v/>
      </c>
      <c r="C36" s="22" t="str">
        <f aca="false">IF($A36="","",COUNTIFS(대여내역!$C$3:$C$1002,$A36))</f>
        <v/>
      </c>
      <c r="D36" s="22" t="str">
        <f aca="false">IF($A36="","",COUNTIFS(대여내역!$C$3:$C$1002,$A36,대여내역!$J$3:$J$1002,"&gt;0"))</f>
        <v/>
      </c>
      <c r="E36" s="22" t="str">
        <f aca="false">IF($A36="","",SUMIFS(대여내역!$J$3:$J$1002,대여내역!$C$3:$C$1002,$A36,대여내역!$J$3:$J$1002,"&gt;0"))</f>
        <v/>
      </c>
      <c r="F36" s="27" t="str">
        <f aca="false">IF($A36="","",IF(SUMIFS(대여내역!$G$3:$G$1002,대여내역!$C$3:$C$1002,$A36)=0,"",SUMIFS(대여내역!$I$3:$I$1002,대여내역!$C$3:$C$1002,$A36)/SUMIFS(대여내역!$G$3:$G$1002,대여내역!$C$3:$C$1002,$A36)))</f>
        <v/>
      </c>
    </row>
    <row r="37" customFormat="false" ht="15" hidden="false" customHeight="false" outlineLevel="0" collapsed="false">
      <c r="A37" s="14" t="str">
        <f aca="false">IF(대여처목록!$A36="","",대여처목록!$A36)</f>
        <v/>
      </c>
      <c r="B37" s="14" t="str">
        <f aca="false">IF($A37="","",대여처목록!$B36)</f>
        <v/>
      </c>
      <c r="C37" s="22" t="str">
        <f aca="false">IF($A37="","",COUNTIFS(대여내역!$C$3:$C$1002,$A37))</f>
        <v/>
      </c>
      <c r="D37" s="22" t="str">
        <f aca="false">IF($A37="","",COUNTIFS(대여내역!$C$3:$C$1002,$A37,대여내역!$J$3:$J$1002,"&gt;0"))</f>
        <v/>
      </c>
      <c r="E37" s="22" t="str">
        <f aca="false">IF($A37="","",SUMIFS(대여내역!$J$3:$J$1002,대여내역!$C$3:$C$1002,$A37,대여내역!$J$3:$J$1002,"&gt;0"))</f>
        <v/>
      </c>
      <c r="F37" s="27" t="str">
        <f aca="false">IF($A37="","",IF(SUMIFS(대여내역!$G$3:$G$1002,대여내역!$C$3:$C$1002,$A37)=0,"",SUMIFS(대여내역!$I$3:$I$1002,대여내역!$C$3:$C$1002,$A37)/SUMIFS(대여내역!$G$3:$G$1002,대여내역!$C$3:$C$1002,$A37)))</f>
        <v/>
      </c>
    </row>
    <row r="38" customFormat="false" ht="15" hidden="false" customHeight="false" outlineLevel="0" collapsed="false">
      <c r="A38" s="14" t="str">
        <f aca="false">IF(대여처목록!$A37="","",대여처목록!$A37)</f>
        <v/>
      </c>
      <c r="B38" s="14" t="str">
        <f aca="false">IF($A38="","",대여처목록!$B37)</f>
        <v/>
      </c>
      <c r="C38" s="22" t="str">
        <f aca="false">IF($A38="","",COUNTIFS(대여내역!$C$3:$C$1002,$A38))</f>
        <v/>
      </c>
      <c r="D38" s="22" t="str">
        <f aca="false">IF($A38="","",COUNTIFS(대여내역!$C$3:$C$1002,$A38,대여내역!$J$3:$J$1002,"&gt;0"))</f>
        <v/>
      </c>
      <c r="E38" s="22" t="str">
        <f aca="false">IF($A38="","",SUMIFS(대여내역!$J$3:$J$1002,대여내역!$C$3:$C$1002,$A38,대여내역!$J$3:$J$1002,"&gt;0"))</f>
        <v/>
      </c>
      <c r="F38" s="27" t="str">
        <f aca="false">IF($A38="","",IF(SUMIFS(대여내역!$G$3:$G$1002,대여내역!$C$3:$C$1002,$A38)=0,"",SUMIFS(대여내역!$I$3:$I$1002,대여내역!$C$3:$C$1002,$A38)/SUMIFS(대여내역!$G$3:$G$1002,대여내역!$C$3:$C$1002,$A38)))</f>
        <v/>
      </c>
    </row>
    <row r="39" customFormat="false" ht="15" hidden="false" customHeight="false" outlineLevel="0" collapsed="false">
      <c r="A39" s="14" t="str">
        <f aca="false">IF(대여처목록!$A38="","",대여처목록!$A38)</f>
        <v/>
      </c>
      <c r="B39" s="14" t="str">
        <f aca="false">IF($A39="","",대여처목록!$B38)</f>
        <v/>
      </c>
      <c r="C39" s="22" t="str">
        <f aca="false">IF($A39="","",COUNTIFS(대여내역!$C$3:$C$1002,$A39))</f>
        <v/>
      </c>
      <c r="D39" s="22" t="str">
        <f aca="false">IF($A39="","",COUNTIFS(대여내역!$C$3:$C$1002,$A39,대여내역!$J$3:$J$1002,"&gt;0"))</f>
        <v/>
      </c>
      <c r="E39" s="22" t="str">
        <f aca="false">IF($A39="","",SUMIFS(대여내역!$J$3:$J$1002,대여내역!$C$3:$C$1002,$A39,대여내역!$J$3:$J$1002,"&gt;0"))</f>
        <v/>
      </c>
      <c r="F39" s="27" t="str">
        <f aca="false">IF($A39="","",IF(SUMIFS(대여내역!$G$3:$G$1002,대여내역!$C$3:$C$1002,$A39)=0,"",SUMIFS(대여내역!$I$3:$I$1002,대여내역!$C$3:$C$1002,$A39)/SUMIFS(대여내역!$G$3:$G$1002,대여내역!$C$3:$C$1002,$A39)))</f>
        <v/>
      </c>
    </row>
    <row r="40" customFormat="false" ht="15" hidden="false" customHeight="false" outlineLevel="0" collapsed="false">
      <c r="A40" s="14" t="str">
        <f aca="false">IF(대여처목록!$A39="","",대여처목록!$A39)</f>
        <v/>
      </c>
      <c r="B40" s="14" t="str">
        <f aca="false">IF($A40="","",대여처목록!$B39)</f>
        <v/>
      </c>
      <c r="C40" s="22" t="str">
        <f aca="false">IF($A40="","",COUNTIFS(대여내역!$C$3:$C$1002,$A40))</f>
        <v/>
      </c>
      <c r="D40" s="22" t="str">
        <f aca="false">IF($A40="","",COUNTIFS(대여내역!$C$3:$C$1002,$A40,대여내역!$J$3:$J$1002,"&gt;0"))</f>
        <v/>
      </c>
      <c r="E40" s="22" t="str">
        <f aca="false">IF($A40="","",SUMIFS(대여내역!$J$3:$J$1002,대여내역!$C$3:$C$1002,$A40,대여내역!$J$3:$J$1002,"&gt;0"))</f>
        <v/>
      </c>
      <c r="F40" s="27" t="str">
        <f aca="false">IF($A40="","",IF(SUMIFS(대여내역!$G$3:$G$1002,대여내역!$C$3:$C$1002,$A40)=0,"",SUMIFS(대여내역!$I$3:$I$1002,대여내역!$C$3:$C$1002,$A40)/SUMIFS(대여내역!$G$3:$G$1002,대여내역!$C$3:$C$1002,$A40)))</f>
        <v/>
      </c>
    </row>
    <row r="41" customFormat="false" ht="15" hidden="false" customHeight="false" outlineLevel="0" collapsed="false">
      <c r="A41" s="14" t="str">
        <f aca="false">IF(대여처목록!$A40="","",대여처목록!$A40)</f>
        <v/>
      </c>
      <c r="B41" s="14" t="str">
        <f aca="false">IF($A41="","",대여처목록!$B40)</f>
        <v/>
      </c>
      <c r="C41" s="22" t="str">
        <f aca="false">IF($A41="","",COUNTIFS(대여내역!$C$3:$C$1002,$A41))</f>
        <v/>
      </c>
      <c r="D41" s="22" t="str">
        <f aca="false">IF($A41="","",COUNTIFS(대여내역!$C$3:$C$1002,$A41,대여내역!$J$3:$J$1002,"&gt;0"))</f>
        <v/>
      </c>
      <c r="E41" s="22" t="str">
        <f aca="false">IF($A41="","",SUMIFS(대여내역!$J$3:$J$1002,대여내역!$C$3:$C$1002,$A41,대여내역!$J$3:$J$1002,"&gt;0"))</f>
        <v/>
      </c>
      <c r="F41" s="27" t="str">
        <f aca="false">IF($A41="","",IF(SUMIFS(대여내역!$G$3:$G$1002,대여내역!$C$3:$C$1002,$A41)=0,"",SUMIFS(대여내역!$I$3:$I$1002,대여내역!$C$3:$C$1002,$A41)/SUMIFS(대여내역!$G$3:$G$1002,대여내역!$C$3:$C$1002,$A41)))</f>
        <v/>
      </c>
    </row>
    <row r="42" customFormat="false" ht="15" hidden="false" customHeight="false" outlineLevel="0" collapsed="false">
      <c r="A42" s="14" t="str">
        <f aca="false">IF(대여처목록!$A41="","",대여처목록!$A41)</f>
        <v/>
      </c>
      <c r="B42" s="14" t="str">
        <f aca="false">IF($A42="","",대여처목록!$B41)</f>
        <v/>
      </c>
      <c r="C42" s="22" t="str">
        <f aca="false">IF($A42="","",COUNTIFS(대여내역!$C$3:$C$1002,$A42))</f>
        <v/>
      </c>
      <c r="D42" s="22" t="str">
        <f aca="false">IF($A42="","",COUNTIFS(대여내역!$C$3:$C$1002,$A42,대여내역!$J$3:$J$1002,"&gt;0"))</f>
        <v/>
      </c>
      <c r="E42" s="22" t="str">
        <f aca="false">IF($A42="","",SUMIFS(대여내역!$J$3:$J$1002,대여내역!$C$3:$C$1002,$A42,대여내역!$J$3:$J$1002,"&gt;0"))</f>
        <v/>
      </c>
      <c r="F42" s="27" t="str">
        <f aca="false">IF($A42="","",IF(SUMIFS(대여내역!$G$3:$G$1002,대여내역!$C$3:$C$1002,$A42)=0,"",SUMIFS(대여내역!$I$3:$I$1002,대여내역!$C$3:$C$1002,$A42)/SUMIFS(대여내역!$G$3:$G$1002,대여내역!$C$3:$C$1002,$A42)))</f>
        <v/>
      </c>
    </row>
    <row r="43" customFormat="false" ht="15" hidden="false" customHeight="false" outlineLevel="0" collapsed="false">
      <c r="A43" s="14" t="str">
        <f aca="false">IF(대여처목록!$A42="","",대여처목록!$A42)</f>
        <v/>
      </c>
      <c r="B43" s="14" t="str">
        <f aca="false">IF($A43="","",대여처목록!$B42)</f>
        <v/>
      </c>
      <c r="C43" s="22" t="str">
        <f aca="false">IF($A43="","",COUNTIFS(대여내역!$C$3:$C$1002,$A43))</f>
        <v/>
      </c>
      <c r="D43" s="22" t="str">
        <f aca="false">IF($A43="","",COUNTIFS(대여내역!$C$3:$C$1002,$A43,대여내역!$J$3:$J$1002,"&gt;0"))</f>
        <v/>
      </c>
      <c r="E43" s="22" t="str">
        <f aca="false">IF($A43="","",SUMIFS(대여내역!$J$3:$J$1002,대여내역!$C$3:$C$1002,$A43,대여내역!$J$3:$J$1002,"&gt;0"))</f>
        <v/>
      </c>
      <c r="F43" s="27" t="str">
        <f aca="false">IF($A43="","",IF(SUMIFS(대여내역!$G$3:$G$1002,대여내역!$C$3:$C$1002,$A43)=0,"",SUMIFS(대여내역!$I$3:$I$1002,대여내역!$C$3:$C$1002,$A43)/SUMIFS(대여내역!$G$3:$G$1002,대여내역!$C$3:$C$1002,$A43)))</f>
        <v/>
      </c>
    </row>
    <row r="44" customFormat="false" ht="15" hidden="false" customHeight="false" outlineLevel="0" collapsed="false">
      <c r="A44" s="14" t="str">
        <f aca="false">IF(대여처목록!$A43="","",대여처목록!$A43)</f>
        <v/>
      </c>
      <c r="B44" s="14" t="str">
        <f aca="false">IF($A44="","",대여처목록!$B43)</f>
        <v/>
      </c>
      <c r="C44" s="22" t="str">
        <f aca="false">IF($A44="","",COUNTIFS(대여내역!$C$3:$C$1002,$A44))</f>
        <v/>
      </c>
      <c r="D44" s="22" t="str">
        <f aca="false">IF($A44="","",COUNTIFS(대여내역!$C$3:$C$1002,$A44,대여내역!$J$3:$J$1002,"&gt;0"))</f>
        <v/>
      </c>
      <c r="E44" s="22" t="str">
        <f aca="false">IF($A44="","",SUMIFS(대여내역!$J$3:$J$1002,대여내역!$C$3:$C$1002,$A44,대여내역!$J$3:$J$1002,"&gt;0"))</f>
        <v/>
      </c>
      <c r="F44" s="27" t="str">
        <f aca="false">IF($A44="","",IF(SUMIFS(대여내역!$G$3:$G$1002,대여내역!$C$3:$C$1002,$A44)=0,"",SUMIFS(대여내역!$I$3:$I$1002,대여내역!$C$3:$C$1002,$A44)/SUMIFS(대여내역!$G$3:$G$1002,대여내역!$C$3:$C$1002,$A44)))</f>
        <v/>
      </c>
    </row>
    <row r="45" customFormat="false" ht="15" hidden="false" customHeight="false" outlineLevel="0" collapsed="false">
      <c r="A45" s="14" t="str">
        <f aca="false">IF(대여처목록!$A44="","",대여처목록!$A44)</f>
        <v/>
      </c>
      <c r="B45" s="14" t="str">
        <f aca="false">IF($A45="","",대여처목록!$B44)</f>
        <v/>
      </c>
      <c r="C45" s="22" t="str">
        <f aca="false">IF($A45="","",COUNTIFS(대여내역!$C$3:$C$1002,$A45))</f>
        <v/>
      </c>
      <c r="D45" s="22" t="str">
        <f aca="false">IF($A45="","",COUNTIFS(대여내역!$C$3:$C$1002,$A45,대여내역!$J$3:$J$1002,"&gt;0"))</f>
        <v/>
      </c>
      <c r="E45" s="22" t="str">
        <f aca="false">IF($A45="","",SUMIFS(대여내역!$J$3:$J$1002,대여내역!$C$3:$C$1002,$A45,대여내역!$J$3:$J$1002,"&gt;0"))</f>
        <v/>
      </c>
      <c r="F45" s="27" t="str">
        <f aca="false">IF($A45="","",IF(SUMIFS(대여내역!$G$3:$G$1002,대여내역!$C$3:$C$1002,$A45)=0,"",SUMIFS(대여내역!$I$3:$I$1002,대여내역!$C$3:$C$1002,$A45)/SUMIFS(대여내역!$G$3:$G$1002,대여내역!$C$3:$C$1002,$A45)))</f>
        <v/>
      </c>
    </row>
    <row r="46" customFormat="false" ht="15" hidden="false" customHeight="false" outlineLevel="0" collapsed="false">
      <c r="A46" s="14" t="str">
        <f aca="false">IF(대여처목록!$A45="","",대여처목록!$A45)</f>
        <v/>
      </c>
      <c r="B46" s="14" t="str">
        <f aca="false">IF($A46="","",대여처목록!$B45)</f>
        <v/>
      </c>
      <c r="C46" s="22" t="str">
        <f aca="false">IF($A46="","",COUNTIFS(대여내역!$C$3:$C$1002,$A46))</f>
        <v/>
      </c>
      <c r="D46" s="22" t="str">
        <f aca="false">IF($A46="","",COUNTIFS(대여내역!$C$3:$C$1002,$A46,대여내역!$J$3:$J$1002,"&gt;0"))</f>
        <v/>
      </c>
      <c r="E46" s="22" t="str">
        <f aca="false">IF($A46="","",SUMIFS(대여내역!$J$3:$J$1002,대여내역!$C$3:$C$1002,$A46,대여내역!$J$3:$J$1002,"&gt;0"))</f>
        <v/>
      </c>
      <c r="F46" s="27" t="str">
        <f aca="false">IF($A46="","",IF(SUMIFS(대여내역!$G$3:$G$1002,대여내역!$C$3:$C$1002,$A46)=0,"",SUMIFS(대여내역!$I$3:$I$1002,대여내역!$C$3:$C$1002,$A46)/SUMIFS(대여내역!$G$3:$G$1002,대여내역!$C$3:$C$1002,$A46)))</f>
        <v/>
      </c>
    </row>
    <row r="47" customFormat="false" ht="15" hidden="false" customHeight="false" outlineLevel="0" collapsed="false">
      <c r="A47" s="14" t="str">
        <f aca="false">IF(대여처목록!$A46="","",대여처목록!$A46)</f>
        <v/>
      </c>
      <c r="B47" s="14" t="str">
        <f aca="false">IF($A47="","",대여처목록!$B46)</f>
        <v/>
      </c>
      <c r="C47" s="22" t="str">
        <f aca="false">IF($A47="","",COUNTIFS(대여내역!$C$3:$C$1002,$A47))</f>
        <v/>
      </c>
      <c r="D47" s="22" t="str">
        <f aca="false">IF($A47="","",COUNTIFS(대여내역!$C$3:$C$1002,$A47,대여내역!$J$3:$J$1002,"&gt;0"))</f>
        <v/>
      </c>
      <c r="E47" s="22" t="str">
        <f aca="false">IF($A47="","",SUMIFS(대여내역!$J$3:$J$1002,대여내역!$C$3:$C$1002,$A47,대여내역!$J$3:$J$1002,"&gt;0"))</f>
        <v/>
      </c>
      <c r="F47" s="27" t="str">
        <f aca="false">IF($A47="","",IF(SUMIFS(대여내역!$G$3:$G$1002,대여내역!$C$3:$C$1002,$A47)=0,"",SUMIFS(대여내역!$I$3:$I$1002,대여내역!$C$3:$C$1002,$A47)/SUMIFS(대여내역!$G$3:$G$1002,대여내역!$C$3:$C$1002,$A47)))</f>
        <v/>
      </c>
    </row>
    <row r="48" customFormat="false" ht="15" hidden="false" customHeight="false" outlineLevel="0" collapsed="false">
      <c r="A48" s="14" t="str">
        <f aca="false">IF(대여처목록!$A47="","",대여처목록!$A47)</f>
        <v/>
      </c>
      <c r="B48" s="14" t="str">
        <f aca="false">IF($A48="","",대여처목록!$B47)</f>
        <v/>
      </c>
      <c r="C48" s="22" t="str">
        <f aca="false">IF($A48="","",COUNTIFS(대여내역!$C$3:$C$1002,$A48))</f>
        <v/>
      </c>
      <c r="D48" s="22" t="str">
        <f aca="false">IF($A48="","",COUNTIFS(대여내역!$C$3:$C$1002,$A48,대여내역!$J$3:$J$1002,"&gt;0"))</f>
        <v/>
      </c>
      <c r="E48" s="22" t="str">
        <f aca="false">IF($A48="","",SUMIFS(대여내역!$J$3:$J$1002,대여내역!$C$3:$C$1002,$A48,대여내역!$J$3:$J$1002,"&gt;0"))</f>
        <v/>
      </c>
      <c r="F48" s="27" t="str">
        <f aca="false">IF($A48="","",IF(SUMIFS(대여내역!$G$3:$G$1002,대여내역!$C$3:$C$1002,$A48)=0,"",SUMIFS(대여내역!$I$3:$I$1002,대여내역!$C$3:$C$1002,$A48)/SUMIFS(대여내역!$G$3:$G$1002,대여내역!$C$3:$C$1002,$A48)))</f>
        <v/>
      </c>
    </row>
    <row r="49" customFormat="false" ht="15" hidden="false" customHeight="false" outlineLevel="0" collapsed="false">
      <c r="A49" s="14" t="str">
        <f aca="false">IF(대여처목록!$A48="","",대여처목록!$A48)</f>
        <v/>
      </c>
      <c r="B49" s="14" t="str">
        <f aca="false">IF($A49="","",대여처목록!$B48)</f>
        <v/>
      </c>
      <c r="C49" s="22" t="str">
        <f aca="false">IF($A49="","",COUNTIFS(대여내역!$C$3:$C$1002,$A49))</f>
        <v/>
      </c>
      <c r="D49" s="22" t="str">
        <f aca="false">IF($A49="","",COUNTIFS(대여내역!$C$3:$C$1002,$A49,대여내역!$J$3:$J$1002,"&gt;0"))</f>
        <v/>
      </c>
      <c r="E49" s="22" t="str">
        <f aca="false">IF($A49="","",SUMIFS(대여내역!$J$3:$J$1002,대여내역!$C$3:$C$1002,$A49,대여내역!$J$3:$J$1002,"&gt;0"))</f>
        <v/>
      </c>
      <c r="F49" s="27" t="str">
        <f aca="false">IF($A49="","",IF(SUMIFS(대여내역!$G$3:$G$1002,대여내역!$C$3:$C$1002,$A49)=0,"",SUMIFS(대여내역!$I$3:$I$1002,대여내역!$C$3:$C$1002,$A49)/SUMIFS(대여내역!$G$3:$G$1002,대여내역!$C$3:$C$1002,$A49)))</f>
        <v/>
      </c>
    </row>
    <row r="50" customFormat="false" ht="15" hidden="false" customHeight="false" outlineLevel="0" collapsed="false">
      <c r="A50" s="14" t="str">
        <f aca="false">IF(대여처목록!$A49="","",대여처목록!$A49)</f>
        <v/>
      </c>
      <c r="B50" s="14" t="str">
        <f aca="false">IF($A50="","",대여처목록!$B49)</f>
        <v/>
      </c>
      <c r="C50" s="22" t="str">
        <f aca="false">IF($A50="","",COUNTIFS(대여내역!$C$3:$C$1002,$A50))</f>
        <v/>
      </c>
      <c r="D50" s="22" t="str">
        <f aca="false">IF($A50="","",COUNTIFS(대여내역!$C$3:$C$1002,$A50,대여내역!$J$3:$J$1002,"&gt;0"))</f>
        <v/>
      </c>
      <c r="E50" s="22" t="str">
        <f aca="false">IF($A50="","",SUMIFS(대여내역!$J$3:$J$1002,대여내역!$C$3:$C$1002,$A50,대여내역!$J$3:$J$1002,"&gt;0"))</f>
        <v/>
      </c>
      <c r="F50" s="27" t="str">
        <f aca="false">IF($A50="","",IF(SUMIFS(대여내역!$G$3:$G$1002,대여내역!$C$3:$C$1002,$A50)=0,"",SUMIFS(대여내역!$I$3:$I$1002,대여내역!$C$3:$C$1002,$A50)/SUMIFS(대여내역!$G$3:$G$1002,대여내역!$C$3:$C$1002,$A50)))</f>
        <v/>
      </c>
    </row>
    <row r="51" customFormat="false" ht="15" hidden="false" customHeight="false" outlineLevel="0" collapsed="false">
      <c r="A51" s="14" t="str">
        <f aca="false">IF(대여처목록!$A50="","",대여처목록!$A50)</f>
        <v/>
      </c>
      <c r="B51" s="14" t="str">
        <f aca="false">IF($A51="","",대여처목록!$B50)</f>
        <v/>
      </c>
      <c r="C51" s="22" t="str">
        <f aca="false">IF($A51="","",COUNTIFS(대여내역!$C$3:$C$1002,$A51))</f>
        <v/>
      </c>
      <c r="D51" s="22" t="str">
        <f aca="false">IF($A51="","",COUNTIFS(대여내역!$C$3:$C$1002,$A51,대여내역!$J$3:$J$1002,"&gt;0"))</f>
        <v/>
      </c>
      <c r="E51" s="22" t="str">
        <f aca="false">IF($A51="","",SUMIFS(대여내역!$J$3:$J$1002,대여내역!$C$3:$C$1002,$A51,대여내역!$J$3:$J$1002,"&gt;0"))</f>
        <v/>
      </c>
      <c r="F51" s="27" t="str">
        <f aca="false">IF($A51="","",IF(SUMIFS(대여내역!$G$3:$G$1002,대여내역!$C$3:$C$1002,$A51)=0,"",SUMIFS(대여내역!$I$3:$I$1002,대여내역!$C$3:$C$1002,$A51)/SUMIFS(대여내역!$G$3:$G$1002,대여내역!$C$3:$C$1002,$A51)))</f>
        <v/>
      </c>
    </row>
    <row r="52" customFormat="false" ht="15" hidden="false" customHeight="false" outlineLevel="0" collapsed="false">
      <c r="A52" s="14" t="str">
        <f aca="false">IF(대여처목록!$A51="","",대여처목록!$A51)</f>
        <v/>
      </c>
      <c r="B52" s="14" t="str">
        <f aca="false">IF($A52="","",대여처목록!$B51)</f>
        <v/>
      </c>
      <c r="C52" s="22" t="str">
        <f aca="false">IF($A52="","",COUNTIFS(대여내역!$C$3:$C$1002,$A52))</f>
        <v/>
      </c>
      <c r="D52" s="22" t="str">
        <f aca="false">IF($A52="","",COUNTIFS(대여내역!$C$3:$C$1002,$A52,대여내역!$J$3:$J$1002,"&gt;0"))</f>
        <v/>
      </c>
      <c r="E52" s="22" t="str">
        <f aca="false">IF($A52="","",SUMIFS(대여내역!$J$3:$J$1002,대여내역!$C$3:$C$1002,$A52,대여내역!$J$3:$J$1002,"&gt;0"))</f>
        <v/>
      </c>
      <c r="F52" s="27" t="str">
        <f aca="false">IF($A52="","",IF(SUMIFS(대여내역!$G$3:$G$1002,대여내역!$C$3:$C$1002,$A52)=0,"",SUMIFS(대여내역!$I$3:$I$1002,대여내역!$C$3:$C$1002,$A52)/SUMIFS(대여내역!$G$3:$G$1002,대여내역!$C$3:$C$1002,$A52)))</f>
        <v/>
      </c>
    </row>
    <row r="53" customFormat="false" ht="15" hidden="false" customHeight="false" outlineLevel="0" collapsed="false">
      <c r="A53" s="14" t="str">
        <f aca="false">IF(대여처목록!$A52="","",대여처목록!$A52)</f>
        <v/>
      </c>
      <c r="B53" s="14" t="str">
        <f aca="false">IF($A53="","",대여처목록!$B52)</f>
        <v/>
      </c>
      <c r="C53" s="22" t="str">
        <f aca="false">IF($A53="","",COUNTIFS(대여내역!$C$3:$C$1002,$A53))</f>
        <v/>
      </c>
      <c r="D53" s="22" t="str">
        <f aca="false">IF($A53="","",COUNTIFS(대여내역!$C$3:$C$1002,$A53,대여내역!$J$3:$J$1002,"&gt;0"))</f>
        <v/>
      </c>
      <c r="E53" s="22" t="str">
        <f aca="false">IF($A53="","",SUMIFS(대여내역!$J$3:$J$1002,대여내역!$C$3:$C$1002,$A53,대여내역!$J$3:$J$1002,"&gt;0"))</f>
        <v/>
      </c>
      <c r="F53" s="27" t="str">
        <f aca="false">IF($A53="","",IF(SUMIFS(대여내역!$G$3:$G$1002,대여내역!$C$3:$C$1002,$A53)=0,"",SUMIFS(대여내역!$I$3:$I$1002,대여내역!$C$3:$C$1002,$A53)/SUMIFS(대여내역!$G$3:$G$1002,대여내역!$C$3:$C$1002,$A53)))</f>
        <v/>
      </c>
    </row>
    <row r="54" customFormat="false" ht="15" hidden="false" customHeight="false" outlineLevel="0" collapsed="false">
      <c r="A54" s="14" t="str">
        <f aca="false">IF(대여처목록!$A53="","",대여처목록!$A53)</f>
        <v/>
      </c>
      <c r="B54" s="14" t="str">
        <f aca="false">IF($A54="","",대여처목록!$B53)</f>
        <v/>
      </c>
      <c r="C54" s="22" t="str">
        <f aca="false">IF($A54="","",COUNTIFS(대여내역!$C$3:$C$1002,$A54))</f>
        <v/>
      </c>
      <c r="D54" s="22" t="str">
        <f aca="false">IF($A54="","",COUNTIFS(대여내역!$C$3:$C$1002,$A54,대여내역!$J$3:$J$1002,"&gt;0"))</f>
        <v/>
      </c>
      <c r="E54" s="22" t="str">
        <f aca="false">IF($A54="","",SUMIFS(대여내역!$J$3:$J$1002,대여내역!$C$3:$C$1002,$A54,대여내역!$J$3:$J$1002,"&gt;0"))</f>
        <v/>
      </c>
      <c r="F54" s="27" t="str">
        <f aca="false">IF($A54="","",IF(SUMIFS(대여내역!$G$3:$G$1002,대여내역!$C$3:$C$1002,$A54)=0,"",SUMIFS(대여내역!$I$3:$I$1002,대여내역!$C$3:$C$1002,$A54)/SUMIFS(대여내역!$G$3:$G$1002,대여내역!$C$3:$C$1002,$A54)))</f>
        <v/>
      </c>
    </row>
    <row r="55" customFormat="false" ht="15" hidden="false" customHeight="false" outlineLevel="0" collapsed="false">
      <c r="A55" s="14" t="str">
        <f aca="false">IF(대여처목록!$A54="","",대여처목록!$A54)</f>
        <v/>
      </c>
      <c r="B55" s="14" t="str">
        <f aca="false">IF($A55="","",대여처목록!$B54)</f>
        <v/>
      </c>
      <c r="C55" s="22" t="str">
        <f aca="false">IF($A55="","",COUNTIFS(대여내역!$C$3:$C$1002,$A55))</f>
        <v/>
      </c>
      <c r="D55" s="22" t="str">
        <f aca="false">IF($A55="","",COUNTIFS(대여내역!$C$3:$C$1002,$A55,대여내역!$J$3:$J$1002,"&gt;0"))</f>
        <v/>
      </c>
      <c r="E55" s="22" t="str">
        <f aca="false">IF($A55="","",SUMIFS(대여내역!$J$3:$J$1002,대여내역!$C$3:$C$1002,$A55,대여내역!$J$3:$J$1002,"&gt;0"))</f>
        <v/>
      </c>
      <c r="F55" s="27" t="str">
        <f aca="false">IF($A55="","",IF(SUMIFS(대여내역!$G$3:$G$1002,대여내역!$C$3:$C$1002,$A55)=0,"",SUMIFS(대여내역!$I$3:$I$1002,대여내역!$C$3:$C$1002,$A55)/SUMIFS(대여내역!$G$3:$G$1002,대여내역!$C$3:$C$1002,$A55)))</f>
        <v/>
      </c>
    </row>
    <row r="56" customFormat="false" ht="15" hidden="false" customHeight="false" outlineLevel="0" collapsed="false">
      <c r="A56" s="14" t="str">
        <f aca="false">IF(대여처목록!$A55="","",대여처목록!$A55)</f>
        <v/>
      </c>
      <c r="B56" s="14" t="str">
        <f aca="false">IF($A56="","",대여처목록!$B55)</f>
        <v/>
      </c>
      <c r="C56" s="22" t="str">
        <f aca="false">IF($A56="","",COUNTIFS(대여내역!$C$3:$C$1002,$A56))</f>
        <v/>
      </c>
      <c r="D56" s="22" t="str">
        <f aca="false">IF($A56="","",COUNTIFS(대여내역!$C$3:$C$1002,$A56,대여내역!$J$3:$J$1002,"&gt;0"))</f>
        <v/>
      </c>
      <c r="E56" s="22" t="str">
        <f aca="false">IF($A56="","",SUMIFS(대여내역!$J$3:$J$1002,대여내역!$C$3:$C$1002,$A56,대여내역!$J$3:$J$1002,"&gt;0"))</f>
        <v/>
      </c>
      <c r="F56" s="27" t="str">
        <f aca="false">IF($A56="","",IF(SUMIFS(대여내역!$G$3:$G$1002,대여내역!$C$3:$C$1002,$A56)=0,"",SUMIFS(대여내역!$I$3:$I$1002,대여내역!$C$3:$C$1002,$A56)/SUMIFS(대여내역!$G$3:$G$1002,대여내역!$C$3:$C$1002,$A56)))</f>
        <v/>
      </c>
    </row>
    <row r="57" customFormat="false" ht="15" hidden="false" customHeight="false" outlineLevel="0" collapsed="false">
      <c r="A57" s="14" t="str">
        <f aca="false">IF(대여처목록!$A56="","",대여처목록!$A56)</f>
        <v/>
      </c>
      <c r="B57" s="14" t="str">
        <f aca="false">IF($A57="","",대여처목록!$B56)</f>
        <v/>
      </c>
      <c r="C57" s="22" t="str">
        <f aca="false">IF($A57="","",COUNTIFS(대여내역!$C$3:$C$1002,$A57))</f>
        <v/>
      </c>
      <c r="D57" s="22" t="str">
        <f aca="false">IF($A57="","",COUNTIFS(대여내역!$C$3:$C$1002,$A57,대여내역!$J$3:$J$1002,"&gt;0"))</f>
        <v/>
      </c>
      <c r="E57" s="22" t="str">
        <f aca="false">IF($A57="","",SUMIFS(대여내역!$J$3:$J$1002,대여내역!$C$3:$C$1002,$A57,대여내역!$J$3:$J$1002,"&gt;0"))</f>
        <v/>
      </c>
      <c r="F57" s="27" t="str">
        <f aca="false">IF($A57="","",IF(SUMIFS(대여내역!$G$3:$G$1002,대여내역!$C$3:$C$1002,$A57)=0,"",SUMIFS(대여내역!$I$3:$I$1002,대여내역!$C$3:$C$1002,$A57)/SUMIFS(대여내역!$G$3:$G$1002,대여내역!$C$3:$C$1002,$A57)))</f>
        <v/>
      </c>
    </row>
    <row r="58" customFormat="false" ht="15" hidden="false" customHeight="false" outlineLevel="0" collapsed="false">
      <c r="A58" s="14" t="str">
        <f aca="false">IF(대여처목록!$A57="","",대여처목록!$A57)</f>
        <v/>
      </c>
      <c r="B58" s="14" t="str">
        <f aca="false">IF($A58="","",대여처목록!$B57)</f>
        <v/>
      </c>
      <c r="C58" s="22" t="str">
        <f aca="false">IF($A58="","",COUNTIFS(대여내역!$C$3:$C$1002,$A58))</f>
        <v/>
      </c>
      <c r="D58" s="22" t="str">
        <f aca="false">IF($A58="","",COUNTIFS(대여내역!$C$3:$C$1002,$A58,대여내역!$J$3:$J$1002,"&gt;0"))</f>
        <v/>
      </c>
      <c r="E58" s="22" t="str">
        <f aca="false">IF($A58="","",SUMIFS(대여내역!$J$3:$J$1002,대여내역!$C$3:$C$1002,$A58,대여내역!$J$3:$J$1002,"&gt;0"))</f>
        <v/>
      </c>
      <c r="F58" s="27" t="str">
        <f aca="false">IF($A58="","",IF(SUMIFS(대여내역!$G$3:$G$1002,대여내역!$C$3:$C$1002,$A58)=0,"",SUMIFS(대여내역!$I$3:$I$1002,대여내역!$C$3:$C$1002,$A58)/SUMIFS(대여내역!$G$3:$G$1002,대여내역!$C$3:$C$1002,$A58)))</f>
        <v/>
      </c>
    </row>
    <row r="59" customFormat="false" ht="15" hidden="false" customHeight="false" outlineLevel="0" collapsed="false">
      <c r="A59" s="14" t="str">
        <f aca="false">IF(대여처목록!$A58="","",대여처목록!$A58)</f>
        <v/>
      </c>
      <c r="B59" s="14" t="str">
        <f aca="false">IF($A59="","",대여처목록!$B58)</f>
        <v/>
      </c>
      <c r="C59" s="22" t="str">
        <f aca="false">IF($A59="","",COUNTIFS(대여내역!$C$3:$C$1002,$A59))</f>
        <v/>
      </c>
      <c r="D59" s="22" t="str">
        <f aca="false">IF($A59="","",COUNTIFS(대여내역!$C$3:$C$1002,$A59,대여내역!$J$3:$J$1002,"&gt;0"))</f>
        <v/>
      </c>
      <c r="E59" s="22" t="str">
        <f aca="false">IF($A59="","",SUMIFS(대여내역!$J$3:$J$1002,대여내역!$C$3:$C$1002,$A59,대여내역!$J$3:$J$1002,"&gt;0"))</f>
        <v/>
      </c>
      <c r="F59" s="27" t="str">
        <f aca="false">IF($A59="","",IF(SUMIFS(대여내역!$G$3:$G$1002,대여내역!$C$3:$C$1002,$A59)=0,"",SUMIFS(대여내역!$I$3:$I$1002,대여내역!$C$3:$C$1002,$A59)/SUMIFS(대여내역!$G$3:$G$1002,대여내역!$C$3:$C$1002,$A59)))</f>
        <v/>
      </c>
    </row>
    <row r="60" customFormat="false" ht="15" hidden="false" customHeight="false" outlineLevel="0" collapsed="false">
      <c r="A60" s="14" t="str">
        <f aca="false">IF(대여처목록!$A59="","",대여처목록!$A59)</f>
        <v/>
      </c>
      <c r="B60" s="14" t="str">
        <f aca="false">IF($A60="","",대여처목록!$B59)</f>
        <v/>
      </c>
      <c r="C60" s="22" t="str">
        <f aca="false">IF($A60="","",COUNTIFS(대여내역!$C$3:$C$1002,$A60))</f>
        <v/>
      </c>
      <c r="D60" s="22" t="str">
        <f aca="false">IF($A60="","",COUNTIFS(대여내역!$C$3:$C$1002,$A60,대여내역!$J$3:$J$1002,"&gt;0"))</f>
        <v/>
      </c>
      <c r="E60" s="22" t="str">
        <f aca="false">IF($A60="","",SUMIFS(대여내역!$J$3:$J$1002,대여내역!$C$3:$C$1002,$A60,대여내역!$J$3:$J$1002,"&gt;0"))</f>
        <v/>
      </c>
      <c r="F60" s="27" t="str">
        <f aca="false">IF($A60="","",IF(SUMIFS(대여내역!$G$3:$G$1002,대여내역!$C$3:$C$1002,$A60)=0,"",SUMIFS(대여내역!$I$3:$I$1002,대여내역!$C$3:$C$1002,$A60)/SUMIFS(대여내역!$G$3:$G$1002,대여내역!$C$3:$C$1002,$A60)))</f>
        <v/>
      </c>
    </row>
    <row r="61" customFormat="false" ht="15" hidden="false" customHeight="false" outlineLevel="0" collapsed="false">
      <c r="A61" s="14" t="str">
        <f aca="false">IF(대여처목록!$A60="","",대여처목록!$A60)</f>
        <v/>
      </c>
      <c r="B61" s="14" t="str">
        <f aca="false">IF($A61="","",대여처목록!$B60)</f>
        <v/>
      </c>
      <c r="C61" s="22" t="str">
        <f aca="false">IF($A61="","",COUNTIFS(대여내역!$C$3:$C$1002,$A61))</f>
        <v/>
      </c>
      <c r="D61" s="22" t="str">
        <f aca="false">IF($A61="","",COUNTIFS(대여내역!$C$3:$C$1002,$A61,대여내역!$J$3:$J$1002,"&gt;0"))</f>
        <v/>
      </c>
      <c r="E61" s="22" t="str">
        <f aca="false">IF($A61="","",SUMIFS(대여내역!$J$3:$J$1002,대여내역!$C$3:$C$1002,$A61,대여내역!$J$3:$J$1002,"&gt;0"))</f>
        <v/>
      </c>
      <c r="F61" s="27" t="str">
        <f aca="false">IF($A61="","",IF(SUMIFS(대여내역!$G$3:$G$1002,대여내역!$C$3:$C$1002,$A61)=0,"",SUMIFS(대여내역!$I$3:$I$1002,대여내역!$C$3:$C$1002,$A61)/SUMIFS(대여내역!$G$3:$G$1002,대여내역!$C$3:$C$1002,$A61)))</f>
        <v/>
      </c>
    </row>
    <row r="62" customFormat="false" ht="15" hidden="false" customHeight="false" outlineLevel="0" collapsed="false">
      <c r="A62" s="14" t="str">
        <f aca="false">IF(대여처목록!$A61="","",대여처목록!$A61)</f>
        <v/>
      </c>
      <c r="B62" s="14" t="str">
        <f aca="false">IF($A62="","",대여처목록!$B61)</f>
        <v/>
      </c>
      <c r="C62" s="22" t="str">
        <f aca="false">IF($A62="","",COUNTIFS(대여내역!$C$3:$C$1002,$A62))</f>
        <v/>
      </c>
      <c r="D62" s="22" t="str">
        <f aca="false">IF($A62="","",COUNTIFS(대여내역!$C$3:$C$1002,$A62,대여내역!$J$3:$J$1002,"&gt;0"))</f>
        <v/>
      </c>
      <c r="E62" s="22" t="str">
        <f aca="false">IF($A62="","",SUMIFS(대여내역!$J$3:$J$1002,대여내역!$C$3:$C$1002,$A62,대여내역!$J$3:$J$1002,"&gt;0"))</f>
        <v/>
      </c>
      <c r="F62" s="27" t="str">
        <f aca="false">IF($A62="","",IF(SUMIFS(대여내역!$G$3:$G$1002,대여내역!$C$3:$C$1002,$A62)=0,"",SUMIFS(대여내역!$I$3:$I$1002,대여내역!$C$3:$C$1002,$A62)/SUMIFS(대여내역!$G$3:$G$1002,대여내역!$C$3:$C$1002,$A62)))</f>
        <v/>
      </c>
    </row>
    <row r="63" customFormat="false" ht="15" hidden="false" customHeight="false" outlineLevel="0" collapsed="false">
      <c r="A63" s="14" t="str">
        <f aca="false">IF(대여처목록!$A62="","",대여처목록!$A62)</f>
        <v/>
      </c>
      <c r="B63" s="14" t="str">
        <f aca="false">IF($A63="","",대여처목록!$B62)</f>
        <v/>
      </c>
      <c r="C63" s="22" t="str">
        <f aca="false">IF($A63="","",COUNTIFS(대여내역!$C$3:$C$1002,$A63))</f>
        <v/>
      </c>
      <c r="D63" s="22" t="str">
        <f aca="false">IF($A63="","",COUNTIFS(대여내역!$C$3:$C$1002,$A63,대여내역!$J$3:$J$1002,"&gt;0"))</f>
        <v/>
      </c>
      <c r="E63" s="22" t="str">
        <f aca="false">IF($A63="","",SUMIFS(대여내역!$J$3:$J$1002,대여내역!$C$3:$C$1002,$A63,대여내역!$J$3:$J$1002,"&gt;0"))</f>
        <v/>
      </c>
      <c r="F63" s="27" t="str">
        <f aca="false">IF($A63="","",IF(SUMIFS(대여내역!$G$3:$G$1002,대여내역!$C$3:$C$1002,$A63)=0,"",SUMIFS(대여내역!$I$3:$I$1002,대여내역!$C$3:$C$1002,$A63)/SUMIFS(대여내역!$G$3:$G$1002,대여내역!$C$3:$C$1002,$A63)))</f>
        <v/>
      </c>
    </row>
    <row r="64" customFormat="false" ht="15" hidden="false" customHeight="false" outlineLevel="0" collapsed="false">
      <c r="A64" s="14" t="str">
        <f aca="false">IF(대여처목록!$A63="","",대여처목록!$A63)</f>
        <v/>
      </c>
      <c r="B64" s="14" t="str">
        <f aca="false">IF($A64="","",대여처목록!$B63)</f>
        <v/>
      </c>
      <c r="C64" s="22" t="str">
        <f aca="false">IF($A64="","",COUNTIFS(대여내역!$C$3:$C$1002,$A64))</f>
        <v/>
      </c>
      <c r="D64" s="22" t="str">
        <f aca="false">IF($A64="","",COUNTIFS(대여내역!$C$3:$C$1002,$A64,대여내역!$J$3:$J$1002,"&gt;0"))</f>
        <v/>
      </c>
      <c r="E64" s="22" t="str">
        <f aca="false">IF($A64="","",SUMIFS(대여내역!$J$3:$J$1002,대여내역!$C$3:$C$1002,$A64,대여내역!$J$3:$J$1002,"&gt;0"))</f>
        <v/>
      </c>
      <c r="F64" s="27" t="str">
        <f aca="false">IF($A64="","",IF(SUMIFS(대여내역!$G$3:$G$1002,대여내역!$C$3:$C$1002,$A64)=0,"",SUMIFS(대여내역!$I$3:$I$1002,대여내역!$C$3:$C$1002,$A64)/SUMIFS(대여내역!$G$3:$G$1002,대여내역!$C$3:$C$1002,$A64)))</f>
        <v/>
      </c>
    </row>
    <row r="65" customFormat="false" ht="15" hidden="false" customHeight="false" outlineLevel="0" collapsed="false">
      <c r="A65" s="14" t="str">
        <f aca="false">IF(대여처목록!$A64="","",대여처목록!$A64)</f>
        <v/>
      </c>
      <c r="B65" s="14" t="str">
        <f aca="false">IF($A65="","",대여처목록!$B64)</f>
        <v/>
      </c>
      <c r="C65" s="22" t="str">
        <f aca="false">IF($A65="","",COUNTIFS(대여내역!$C$3:$C$1002,$A65))</f>
        <v/>
      </c>
      <c r="D65" s="22" t="str">
        <f aca="false">IF($A65="","",COUNTIFS(대여내역!$C$3:$C$1002,$A65,대여내역!$J$3:$J$1002,"&gt;0"))</f>
        <v/>
      </c>
      <c r="E65" s="22" t="str">
        <f aca="false">IF($A65="","",SUMIFS(대여내역!$J$3:$J$1002,대여내역!$C$3:$C$1002,$A65,대여내역!$J$3:$J$1002,"&gt;0"))</f>
        <v/>
      </c>
      <c r="F65" s="27" t="str">
        <f aca="false">IF($A65="","",IF(SUMIFS(대여내역!$G$3:$G$1002,대여내역!$C$3:$C$1002,$A65)=0,"",SUMIFS(대여내역!$I$3:$I$1002,대여내역!$C$3:$C$1002,$A65)/SUMIFS(대여내역!$G$3:$G$1002,대여내역!$C$3:$C$1002,$A65)))</f>
        <v/>
      </c>
    </row>
    <row r="66" customFormat="false" ht="15" hidden="false" customHeight="false" outlineLevel="0" collapsed="false">
      <c r="A66" s="14" t="str">
        <f aca="false">IF(대여처목록!$A65="","",대여처목록!$A65)</f>
        <v/>
      </c>
      <c r="B66" s="14" t="str">
        <f aca="false">IF($A66="","",대여처목록!$B65)</f>
        <v/>
      </c>
      <c r="C66" s="22" t="str">
        <f aca="false">IF($A66="","",COUNTIFS(대여내역!$C$3:$C$1002,$A66))</f>
        <v/>
      </c>
      <c r="D66" s="22" t="str">
        <f aca="false">IF($A66="","",COUNTIFS(대여내역!$C$3:$C$1002,$A66,대여내역!$J$3:$J$1002,"&gt;0"))</f>
        <v/>
      </c>
      <c r="E66" s="22" t="str">
        <f aca="false">IF($A66="","",SUMIFS(대여내역!$J$3:$J$1002,대여내역!$C$3:$C$1002,$A66,대여내역!$J$3:$J$1002,"&gt;0"))</f>
        <v/>
      </c>
      <c r="F66" s="27" t="str">
        <f aca="false">IF($A66="","",IF(SUMIFS(대여내역!$G$3:$G$1002,대여내역!$C$3:$C$1002,$A66)=0,"",SUMIFS(대여내역!$I$3:$I$1002,대여내역!$C$3:$C$1002,$A66)/SUMIFS(대여내역!$G$3:$G$1002,대여내역!$C$3:$C$1002,$A66)))</f>
        <v/>
      </c>
    </row>
    <row r="67" customFormat="false" ht="15" hidden="false" customHeight="false" outlineLevel="0" collapsed="false">
      <c r="A67" s="14" t="str">
        <f aca="false">IF(대여처목록!$A66="","",대여처목록!$A66)</f>
        <v/>
      </c>
      <c r="B67" s="14" t="str">
        <f aca="false">IF($A67="","",대여처목록!$B66)</f>
        <v/>
      </c>
      <c r="C67" s="22" t="str">
        <f aca="false">IF($A67="","",COUNTIFS(대여내역!$C$3:$C$1002,$A67))</f>
        <v/>
      </c>
      <c r="D67" s="22" t="str">
        <f aca="false">IF($A67="","",COUNTIFS(대여내역!$C$3:$C$1002,$A67,대여내역!$J$3:$J$1002,"&gt;0"))</f>
        <v/>
      </c>
      <c r="E67" s="22" t="str">
        <f aca="false">IF($A67="","",SUMIFS(대여내역!$J$3:$J$1002,대여내역!$C$3:$C$1002,$A67,대여내역!$J$3:$J$1002,"&gt;0"))</f>
        <v/>
      </c>
      <c r="F67" s="27" t="str">
        <f aca="false">IF($A67="","",IF(SUMIFS(대여내역!$G$3:$G$1002,대여내역!$C$3:$C$1002,$A67)=0,"",SUMIFS(대여내역!$I$3:$I$1002,대여내역!$C$3:$C$1002,$A67)/SUMIFS(대여내역!$G$3:$G$1002,대여내역!$C$3:$C$1002,$A67)))</f>
        <v/>
      </c>
    </row>
    <row r="68" customFormat="false" ht="15" hidden="false" customHeight="false" outlineLevel="0" collapsed="false">
      <c r="A68" s="14" t="str">
        <f aca="false">IF(대여처목록!$A67="","",대여처목록!$A67)</f>
        <v/>
      </c>
      <c r="B68" s="14" t="str">
        <f aca="false">IF($A68="","",대여처목록!$B67)</f>
        <v/>
      </c>
      <c r="C68" s="22" t="str">
        <f aca="false">IF($A68="","",COUNTIFS(대여내역!$C$3:$C$1002,$A68))</f>
        <v/>
      </c>
      <c r="D68" s="22" t="str">
        <f aca="false">IF($A68="","",COUNTIFS(대여내역!$C$3:$C$1002,$A68,대여내역!$J$3:$J$1002,"&gt;0"))</f>
        <v/>
      </c>
      <c r="E68" s="22" t="str">
        <f aca="false">IF($A68="","",SUMIFS(대여내역!$J$3:$J$1002,대여내역!$C$3:$C$1002,$A68,대여내역!$J$3:$J$1002,"&gt;0"))</f>
        <v/>
      </c>
      <c r="F68" s="27" t="str">
        <f aca="false">IF($A68="","",IF(SUMIFS(대여내역!$G$3:$G$1002,대여내역!$C$3:$C$1002,$A68)=0,"",SUMIFS(대여내역!$I$3:$I$1002,대여내역!$C$3:$C$1002,$A68)/SUMIFS(대여내역!$G$3:$G$1002,대여내역!$C$3:$C$1002,$A68)))</f>
        <v/>
      </c>
    </row>
    <row r="69" customFormat="false" ht="15" hidden="false" customHeight="false" outlineLevel="0" collapsed="false">
      <c r="A69" s="14" t="str">
        <f aca="false">IF(대여처목록!$A68="","",대여처목록!$A68)</f>
        <v/>
      </c>
      <c r="B69" s="14" t="str">
        <f aca="false">IF($A69="","",대여처목록!$B68)</f>
        <v/>
      </c>
      <c r="C69" s="22" t="str">
        <f aca="false">IF($A69="","",COUNTIFS(대여내역!$C$3:$C$1002,$A69))</f>
        <v/>
      </c>
      <c r="D69" s="22" t="str">
        <f aca="false">IF($A69="","",COUNTIFS(대여내역!$C$3:$C$1002,$A69,대여내역!$J$3:$J$1002,"&gt;0"))</f>
        <v/>
      </c>
      <c r="E69" s="22" t="str">
        <f aca="false">IF($A69="","",SUMIFS(대여내역!$J$3:$J$1002,대여내역!$C$3:$C$1002,$A69,대여내역!$J$3:$J$1002,"&gt;0"))</f>
        <v/>
      </c>
      <c r="F69" s="27" t="str">
        <f aca="false">IF($A69="","",IF(SUMIFS(대여내역!$G$3:$G$1002,대여내역!$C$3:$C$1002,$A69)=0,"",SUMIFS(대여내역!$I$3:$I$1002,대여내역!$C$3:$C$1002,$A69)/SUMIFS(대여내역!$G$3:$G$1002,대여내역!$C$3:$C$1002,$A69)))</f>
        <v/>
      </c>
    </row>
    <row r="70" customFormat="false" ht="15" hidden="false" customHeight="false" outlineLevel="0" collapsed="false">
      <c r="A70" s="14" t="str">
        <f aca="false">IF(대여처목록!$A69="","",대여처목록!$A69)</f>
        <v/>
      </c>
      <c r="B70" s="14" t="str">
        <f aca="false">IF($A70="","",대여처목록!$B69)</f>
        <v/>
      </c>
      <c r="C70" s="22" t="str">
        <f aca="false">IF($A70="","",COUNTIFS(대여내역!$C$3:$C$1002,$A70))</f>
        <v/>
      </c>
      <c r="D70" s="22" t="str">
        <f aca="false">IF($A70="","",COUNTIFS(대여내역!$C$3:$C$1002,$A70,대여내역!$J$3:$J$1002,"&gt;0"))</f>
        <v/>
      </c>
      <c r="E70" s="22" t="str">
        <f aca="false">IF($A70="","",SUMIFS(대여내역!$J$3:$J$1002,대여내역!$C$3:$C$1002,$A70,대여내역!$J$3:$J$1002,"&gt;0"))</f>
        <v/>
      </c>
      <c r="F70" s="27" t="str">
        <f aca="false">IF($A70="","",IF(SUMIFS(대여내역!$G$3:$G$1002,대여내역!$C$3:$C$1002,$A70)=0,"",SUMIFS(대여내역!$I$3:$I$1002,대여내역!$C$3:$C$1002,$A70)/SUMIFS(대여내역!$G$3:$G$1002,대여내역!$C$3:$C$1002,$A70)))</f>
        <v/>
      </c>
    </row>
    <row r="71" customFormat="false" ht="15" hidden="false" customHeight="false" outlineLevel="0" collapsed="false">
      <c r="A71" s="14" t="str">
        <f aca="false">IF(대여처목록!$A70="","",대여처목록!$A70)</f>
        <v/>
      </c>
      <c r="B71" s="14" t="str">
        <f aca="false">IF($A71="","",대여처목록!$B70)</f>
        <v/>
      </c>
      <c r="C71" s="22" t="str">
        <f aca="false">IF($A71="","",COUNTIFS(대여내역!$C$3:$C$1002,$A71))</f>
        <v/>
      </c>
      <c r="D71" s="22" t="str">
        <f aca="false">IF($A71="","",COUNTIFS(대여내역!$C$3:$C$1002,$A71,대여내역!$J$3:$J$1002,"&gt;0"))</f>
        <v/>
      </c>
      <c r="E71" s="22" t="str">
        <f aca="false">IF($A71="","",SUMIFS(대여내역!$J$3:$J$1002,대여내역!$C$3:$C$1002,$A71,대여내역!$J$3:$J$1002,"&gt;0"))</f>
        <v/>
      </c>
      <c r="F71" s="27" t="str">
        <f aca="false">IF($A71="","",IF(SUMIFS(대여내역!$G$3:$G$1002,대여내역!$C$3:$C$1002,$A71)=0,"",SUMIFS(대여내역!$I$3:$I$1002,대여내역!$C$3:$C$1002,$A71)/SUMIFS(대여내역!$G$3:$G$1002,대여내역!$C$3:$C$1002,$A71)))</f>
        <v/>
      </c>
    </row>
    <row r="72" customFormat="false" ht="15" hidden="false" customHeight="false" outlineLevel="0" collapsed="false">
      <c r="A72" s="14" t="str">
        <f aca="false">IF(대여처목록!$A71="","",대여처목록!$A71)</f>
        <v/>
      </c>
      <c r="B72" s="14" t="str">
        <f aca="false">IF($A72="","",대여처목록!$B71)</f>
        <v/>
      </c>
      <c r="C72" s="22" t="str">
        <f aca="false">IF($A72="","",COUNTIFS(대여내역!$C$3:$C$1002,$A72))</f>
        <v/>
      </c>
      <c r="D72" s="22" t="str">
        <f aca="false">IF($A72="","",COUNTIFS(대여내역!$C$3:$C$1002,$A72,대여내역!$J$3:$J$1002,"&gt;0"))</f>
        <v/>
      </c>
      <c r="E72" s="22" t="str">
        <f aca="false">IF($A72="","",SUMIFS(대여내역!$J$3:$J$1002,대여내역!$C$3:$C$1002,$A72,대여내역!$J$3:$J$1002,"&gt;0"))</f>
        <v/>
      </c>
      <c r="F72" s="27" t="str">
        <f aca="false">IF($A72="","",IF(SUMIFS(대여내역!$G$3:$G$1002,대여내역!$C$3:$C$1002,$A72)=0,"",SUMIFS(대여내역!$I$3:$I$1002,대여내역!$C$3:$C$1002,$A72)/SUMIFS(대여내역!$G$3:$G$1002,대여내역!$C$3:$C$1002,$A72)))</f>
        <v/>
      </c>
    </row>
    <row r="73" customFormat="false" ht="15" hidden="false" customHeight="false" outlineLevel="0" collapsed="false">
      <c r="A73" s="14" t="str">
        <f aca="false">IF(대여처목록!$A72="","",대여처목록!$A72)</f>
        <v/>
      </c>
      <c r="B73" s="14" t="str">
        <f aca="false">IF($A73="","",대여처목록!$B72)</f>
        <v/>
      </c>
      <c r="C73" s="22" t="str">
        <f aca="false">IF($A73="","",COUNTIFS(대여내역!$C$3:$C$1002,$A73))</f>
        <v/>
      </c>
      <c r="D73" s="22" t="str">
        <f aca="false">IF($A73="","",COUNTIFS(대여내역!$C$3:$C$1002,$A73,대여내역!$J$3:$J$1002,"&gt;0"))</f>
        <v/>
      </c>
      <c r="E73" s="22" t="str">
        <f aca="false">IF($A73="","",SUMIFS(대여내역!$J$3:$J$1002,대여내역!$C$3:$C$1002,$A73,대여내역!$J$3:$J$1002,"&gt;0"))</f>
        <v/>
      </c>
      <c r="F73" s="27" t="str">
        <f aca="false">IF($A73="","",IF(SUMIFS(대여내역!$G$3:$G$1002,대여내역!$C$3:$C$1002,$A73)=0,"",SUMIFS(대여내역!$I$3:$I$1002,대여내역!$C$3:$C$1002,$A73)/SUMIFS(대여내역!$G$3:$G$1002,대여내역!$C$3:$C$1002,$A73)))</f>
        <v/>
      </c>
    </row>
    <row r="74" customFormat="false" ht="15" hidden="false" customHeight="false" outlineLevel="0" collapsed="false">
      <c r="A74" s="14" t="str">
        <f aca="false">IF(대여처목록!$A73="","",대여처목록!$A73)</f>
        <v/>
      </c>
      <c r="B74" s="14" t="str">
        <f aca="false">IF($A74="","",대여처목록!$B73)</f>
        <v/>
      </c>
      <c r="C74" s="22" t="str">
        <f aca="false">IF($A74="","",COUNTIFS(대여내역!$C$3:$C$1002,$A74))</f>
        <v/>
      </c>
      <c r="D74" s="22" t="str">
        <f aca="false">IF($A74="","",COUNTIFS(대여내역!$C$3:$C$1002,$A74,대여내역!$J$3:$J$1002,"&gt;0"))</f>
        <v/>
      </c>
      <c r="E74" s="22" t="str">
        <f aca="false">IF($A74="","",SUMIFS(대여내역!$J$3:$J$1002,대여내역!$C$3:$C$1002,$A74,대여내역!$J$3:$J$1002,"&gt;0"))</f>
        <v/>
      </c>
      <c r="F74" s="27" t="str">
        <f aca="false">IF($A74="","",IF(SUMIFS(대여내역!$G$3:$G$1002,대여내역!$C$3:$C$1002,$A74)=0,"",SUMIFS(대여내역!$I$3:$I$1002,대여내역!$C$3:$C$1002,$A74)/SUMIFS(대여내역!$G$3:$G$1002,대여내역!$C$3:$C$1002,$A74)))</f>
        <v/>
      </c>
    </row>
    <row r="75" customFormat="false" ht="15" hidden="false" customHeight="false" outlineLevel="0" collapsed="false">
      <c r="A75" s="14" t="str">
        <f aca="false">IF(대여처목록!$A74="","",대여처목록!$A74)</f>
        <v/>
      </c>
      <c r="B75" s="14" t="str">
        <f aca="false">IF($A75="","",대여처목록!$B74)</f>
        <v/>
      </c>
      <c r="C75" s="22" t="str">
        <f aca="false">IF($A75="","",COUNTIFS(대여내역!$C$3:$C$1002,$A75))</f>
        <v/>
      </c>
      <c r="D75" s="22" t="str">
        <f aca="false">IF($A75="","",COUNTIFS(대여내역!$C$3:$C$1002,$A75,대여내역!$J$3:$J$1002,"&gt;0"))</f>
        <v/>
      </c>
      <c r="E75" s="22" t="str">
        <f aca="false">IF($A75="","",SUMIFS(대여내역!$J$3:$J$1002,대여내역!$C$3:$C$1002,$A75,대여내역!$J$3:$J$1002,"&gt;0"))</f>
        <v/>
      </c>
      <c r="F75" s="27" t="str">
        <f aca="false">IF($A75="","",IF(SUMIFS(대여내역!$G$3:$G$1002,대여내역!$C$3:$C$1002,$A75)=0,"",SUMIFS(대여내역!$I$3:$I$1002,대여내역!$C$3:$C$1002,$A75)/SUMIFS(대여내역!$G$3:$G$1002,대여내역!$C$3:$C$1002,$A75)))</f>
        <v/>
      </c>
    </row>
    <row r="76" customFormat="false" ht="15" hidden="false" customHeight="false" outlineLevel="0" collapsed="false">
      <c r="A76" s="14" t="str">
        <f aca="false">IF(대여처목록!$A75="","",대여처목록!$A75)</f>
        <v/>
      </c>
      <c r="B76" s="14" t="str">
        <f aca="false">IF($A76="","",대여처목록!$B75)</f>
        <v/>
      </c>
      <c r="C76" s="22" t="str">
        <f aca="false">IF($A76="","",COUNTIFS(대여내역!$C$3:$C$1002,$A76))</f>
        <v/>
      </c>
      <c r="D76" s="22" t="str">
        <f aca="false">IF($A76="","",COUNTIFS(대여내역!$C$3:$C$1002,$A76,대여내역!$J$3:$J$1002,"&gt;0"))</f>
        <v/>
      </c>
      <c r="E76" s="22" t="str">
        <f aca="false">IF($A76="","",SUMIFS(대여내역!$J$3:$J$1002,대여내역!$C$3:$C$1002,$A76,대여내역!$J$3:$J$1002,"&gt;0"))</f>
        <v/>
      </c>
      <c r="F76" s="27" t="str">
        <f aca="false">IF($A76="","",IF(SUMIFS(대여내역!$G$3:$G$1002,대여내역!$C$3:$C$1002,$A76)=0,"",SUMIFS(대여내역!$I$3:$I$1002,대여내역!$C$3:$C$1002,$A76)/SUMIFS(대여내역!$G$3:$G$1002,대여내역!$C$3:$C$1002,$A76)))</f>
        <v/>
      </c>
    </row>
    <row r="77" customFormat="false" ht="15" hidden="false" customHeight="false" outlineLevel="0" collapsed="false">
      <c r="A77" s="14" t="str">
        <f aca="false">IF(대여처목록!$A76="","",대여처목록!$A76)</f>
        <v/>
      </c>
      <c r="B77" s="14" t="str">
        <f aca="false">IF($A77="","",대여처목록!$B76)</f>
        <v/>
      </c>
      <c r="C77" s="22" t="str">
        <f aca="false">IF($A77="","",COUNTIFS(대여내역!$C$3:$C$1002,$A77))</f>
        <v/>
      </c>
      <c r="D77" s="22" t="str">
        <f aca="false">IF($A77="","",COUNTIFS(대여내역!$C$3:$C$1002,$A77,대여내역!$J$3:$J$1002,"&gt;0"))</f>
        <v/>
      </c>
      <c r="E77" s="22" t="str">
        <f aca="false">IF($A77="","",SUMIFS(대여내역!$J$3:$J$1002,대여내역!$C$3:$C$1002,$A77,대여내역!$J$3:$J$1002,"&gt;0"))</f>
        <v/>
      </c>
      <c r="F77" s="27" t="str">
        <f aca="false">IF($A77="","",IF(SUMIFS(대여내역!$G$3:$G$1002,대여내역!$C$3:$C$1002,$A77)=0,"",SUMIFS(대여내역!$I$3:$I$1002,대여내역!$C$3:$C$1002,$A77)/SUMIFS(대여내역!$G$3:$G$1002,대여내역!$C$3:$C$1002,$A77)))</f>
        <v/>
      </c>
    </row>
    <row r="78" customFormat="false" ht="15" hidden="false" customHeight="false" outlineLevel="0" collapsed="false">
      <c r="A78" s="14" t="str">
        <f aca="false">IF(대여처목록!$A77="","",대여처목록!$A77)</f>
        <v/>
      </c>
      <c r="B78" s="14" t="str">
        <f aca="false">IF($A78="","",대여처목록!$B77)</f>
        <v/>
      </c>
      <c r="C78" s="22" t="str">
        <f aca="false">IF($A78="","",COUNTIFS(대여내역!$C$3:$C$1002,$A78))</f>
        <v/>
      </c>
      <c r="D78" s="22" t="str">
        <f aca="false">IF($A78="","",COUNTIFS(대여내역!$C$3:$C$1002,$A78,대여내역!$J$3:$J$1002,"&gt;0"))</f>
        <v/>
      </c>
      <c r="E78" s="22" t="str">
        <f aca="false">IF($A78="","",SUMIFS(대여내역!$J$3:$J$1002,대여내역!$C$3:$C$1002,$A78,대여내역!$J$3:$J$1002,"&gt;0"))</f>
        <v/>
      </c>
      <c r="F78" s="27" t="str">
        <f aca="false">IF($A78="","",IF(SUMIFS(대여내역!$G$3:$G$1002,대여내역!$C$3:$C$1002,$A78)=0,"",SUMIFS(대여내역!$I$3:$I$1002,대여내역!$C$3:$C$1002,$A78)/SUMIFS(대여내역!$G$3:$G$1002,대여내역!$C$3:$C$1002,$A78)))</f>
        <v/>
      </c>
    </row>
    <row r="79" customFormat="false" ht="15" hidden="false" customHeight="false" outlineLevel="0" collapsed="false">
      <c r="A79" s="14" t="str">
        <f aca="false">IF(대여처목록!$A78="","",대여처목록!$A78)</f>
        <v/>
      </c>
      <c r="B79" s="14" t="str">
        <f aca="false">IF($A79="","",대여처목록!$B78)</f>
        <v/>
      </c>
      <c r="C79" s="22" t="str">
        <f aca="false">IF($A79="","",COUNTIFS(대여내역!$C$3:$C$1002,$A79))</f>
        <v/>
      </c>
      <c r="D79" s="22" t="str">
        <f aca="false">IF($A79="","",COUNTIFS(대여내역!$C$3:$C$1002,$A79,대여내역!$J$3:$J$1002,"&gt;0"))</f>
        <v/>
      </c>
      <c r="E79" s="22" t="str">
        <f aca="false">IF($A79="","",SUMIFS(대여내역!$J$3:$J$1002,대여내역!$C$3:$C$1002,$A79,대여내역!$J$3:$J$1002,"&gt;0"))</f>
        <v/>
      </c>
      <c r="F79" s="27" t="str">
        <f aca="false">IF($A79="","",IF(SUMIFS(대여내역!$G$3:$G$1002,대여내역!$C$3:$C$1002,$A79)=0,"",SUMIFS(대여내역!$I$3:$I$1002,대여내역!$C$3:$C$1002,$A79)/SUMIFS(대여내역!$G$3:$G$1002,대여내역!$C$3:$C$1002,$A79)))</f>
        <v/>
      </c>
    </row>
    <row r="80" customFormat="false" ht="15" hidden="false" customHeight="false" outlineLevel="0" collapsed="false">
      <c r="A80" s="14" t="str">
        <f aca="false">IF(대여처목록!$A79="","",대여처목록!$A79)</f>
        <v/>
      </c>
      <c r="B80" s="14" t="str">
        <f aca="false">IF($A80="","",대여처목록!$B79)</f>
        <v/>
      </c>
      <c r="C80" s="22" t="str">
        <f aca="false">IF($A80="","",COUNTIFS(대여내역!$C$3:$C$1002,$A80))</f>
        <v/>
      </c>
      <c r="D80" s="22" t="str">
        <f aca="false">IF($A80="","",COUNTIFS(대여내역!$C$3:$C$1002,$A80,대여내역!$J$3:$J$1002,"&gt;0"))</f>
        <v/>
      </c>
      <c r="E80" s="22" t="str">
        <f aca="false">IF($A80="","",SUMIFS(대여내역!$J$3:$J$1002,대여내역!$C$3:$C$1002,$A80,대여내역!$J$3:$J$1002,"&gt;0"))</f>
        <v/>
      </c>
      <c r="F80" s="27" t="str">
        <f aca="false">IF($A80="","",IF(SUMIFS(대여내역!$G$3:$G$1002,대여내역!$C$3:$C$1002,$A80)=0,"",SUMIFS(대여내역!$I$3:$I$1002,대여내역!$C$3:$C$1002,$A80)/SUMIFS(대여내역!$G$3:$G$1002,대여내역!$C$3:$C$1002,$A80)))</f>
        <v/>
      </c>
    </row>
    <row r="81" customFormat="false" ht="15" hidden="false" customHeight="false" outlineLevel="0" collapsed="false">
      <c r="A81" s="14" t="str">
        <f aca="false">IF(대여처목록!$A80="","",대여처목록!$A80)</f>
        <v/>
      </c>
      <c r="B81" s="14" t="str">
        <f aca="false">IF($A81="","",대여처목록!$B80)</f>
        <v/>
      </c>
      <c r="C81" s="22" t="str">
        <f aca="false">IF($A81="","",COUNTIFS(대여내역!$C$3:$C$1002,$A81))</f>
        <v/>
      </c>
      <c r="D81" s="22" t="str">
        <f aca="false">IF($A81="","",COUNTIFS(대여내역!$C$3:$C$1002,$A81,대여내역!$J$3:$J$1002,"&gt;0"))</f>
        <v/>
      </c>
      <c r="E81" s="22" t="str">
        <f aca="false">IF($A81="","",SUMIFS(대여내역!$J$3:$J$1002,대여내역!$C$3:$C$1002,$A81,대여내역!$J$3:$J$1002,"&gt;0"))</f>
        <v/>
      </c>
      <c r="F81" s="27" t="str">
        <f aca="false">IF($A81="","",IF(SUMIFS(대여내역!$G$3:$G$1002,대여내역!$C$3:$C$1002,$A81)=0,"",SUMIFS(대여내역!$I$3:$I$1002,대여내역!$C$3:$C$1002,$A81)/SUMIFS(대여내역!$G$3:$G$1002,대여내역!$C$3:$C$1002,$A81)))</f>
        <v/>
      </c>
    </row>
    <row r="82" customFormat="false" ht="15" hidden="false" customHeight="false" outlineLevel="0" collapsed="false">
      <c r="A82" s="14" t="str">
        <f aca="false">IF(대여처목록!$A81="","",대여처목록!$A81)</f>
        <v/>
      </c>
      <c r="B82" s="14" t="str">
        <f aca="false">IF($A82="","",대여처목록!$B81)</f>
        <v/>
      </c>
      <c r="C82" s="22" t="str">
        <f aca="false">IF($A82="","",COUNTIFS(대여내역!$C$3:$C$1002,$A82))</f>
        <v/>
      </c>
      <c r="D82" s="22" t="str">
        <f aca="false">IF($A82="","",COUNTIFS(대여내역!$C$3:$C$1002,$A82,대여내역!$J$3:$J$1002,"&gt;0"))</f>
        <v/>
      </c>
      <c r="E82" s="22" t="str">
        <f aca="false">IF($A82="","",SUMIFS(대여내역!$J$3:$J$1002,대여내역!$C$3:$C$1002,$A82,대여내역!$J$3:$J$1002,"&gt;0"))</f>
        <v/>
      </c>
      <c r="F82" s="27" t="str">
        <f aca="false">IF($A82="","",IF(SUMIFS(대여내역!$G$3:$G$1002,대여내역!$C$3:$C$1002,$A82)=0,"",SUMIFS(대여내역!$I$3:$I$1002,대여내역!$C$3:$C$1002,$A82)/SUMIFS(대여내역!$G$3:$G$1002,대여내역!$C$3:$C$1002,$A82)))</f>
        <v/>
      </c>
    </row>
    <row r="83" customFormat="false" ht="15" hidden="false" customHeight="false" outlineLevel="0" collapsed="false">
      <c r="A83" s="14" t="str">
        <f aca="false">IF(대여처목록!$A82="","",대여처목록!$A82)</f>
        <v/>
      </c>
      <c r="B83" s="14" t="str">
        <f aca="false">IF($A83="","",대여처목록!$B82)</f>
        <v/>
      </c>
      <c r="C83" s="22" t="str">
        <f aca="false">IF($A83="","",COUNTIFS(대여내역!$C$3:$C$1002,$A83))</f>
        <v/>
      </c>
      <c r="D83" s="22" t="str">
        <f aca="false">IF($A83="","",COUNTIFS(대여내역!$C$3:$C$1002,$A83,대여내역!$J$3:$J$1002,"&gt;0"))</f>
        <v/>
      </c>
      <c r="E83" s="22" t="str">
        <f aca="false">IF($A83="","",SUMIFS(대여내역!$J$3:$J$1002,대여내역!$C$3:$C$1002,$A83,대여내역!$J$3:$J$1002,"&gt;0"))</f>
        <v/>
      </c>
      <c r="F83" s="27" t="str">
        <f aca="false">IF($A83="","",IF(SUMIFS(대여내역!$G$3:$G$1002,대여내역!$C$3:$C$1002,$A83)=0,"",SUMIFS(대여내역!$I$3:$I$1002,대여내역!$C$3:$C$1002,$A83)/SUMIFS(대여내역!$G$3:$G$1002,대여내역!$C$3:$C$1002,$A83)))</f>
        <v/>
      </c>
    </row>
    <row r="84" customFormat="false" ht="15" hidden="false" customHeight="false" outlineLevel="0" collapsed="false">
      <c r="A84" s="14" t="str">
        <f aca="false">IF(대여처목록!$A83="","",대여처목록!$A83)</f>
        <v/>
      </c>
      <c r="B84" s="14" t="str">
        <f aca="false">IF($A84="","",대여처목록!$B83)</f>
        <v/>
      </c>
      <c r="C84" s="22" t="str">
        <f aca="false">IF($A84="","",COUNTIFS(대여내역!$C$3:$C$1002,$A84))</f>
        <v/>
      </c>
      <c r="D84" s="22" t="str">
        <f aca="false">IF($A84="","",COUNTIFS(대여내역!$C$3:$C$1002,$A84,대여내역!$J$3:$J$1002,"&gt;0"))</f>
        <v/>
      </c>
      <c r="E84" s="22" t="str">
        <f aca="false">IF($A84="","",SUMIFS(대여내역!$J$3:$J$1002,대여내역!$C$3:$C$1002,$A84,대여내역!$J$3:$J$1002,"&gt;0"))</f>
        <v/>
      </c>
      <c r="F84" s="27" t="str">
        <f aca="false">IF($A84="","",IF(SUMIFS(대여내역!$G$3:$G$1002,대여내역!$C$3:$C$1002,$A84)=0,"",SUMIFS(대여내역!$I$3:$I$1002,대여내역!$C$3:$C$1002,$A84)/SUMIFS(대여내역!$G$3:$G$1002,대여내역!$C$3:$C$1002,$A84)))</f>
        <v/>
      </c>
    </row>
    <row r="85" customFormat="false" ht="15" hidden="false" customHeight="false" outlineLevel="0" collapsed="false">
      <c r="A85" s="14" t="str">
        <f aca="false">IF(대여처목록!$A84="","",대여처목록!$A84)</f>
        <v/>
      </c>
      <c r="B85" s="14" t="str">
        <f aca="false">IF($A85="","",대여처목록!$B84)</f>
        <v/>
      </c>
      <c r="C85" s="22" t="str">
        <f aca="false">IF($A85="","",COUNTIFS(대여내역!$C$3:$C$1002,$A85))</f>
        <v/>
      </c>
      <c r="D85" s="22" t="str">
        <f aca="false">IF($A85="","",COUNTIFS(대여내역!$C$3:$C$1002,$A85,대여내역!$J$3:$J$1002,"&gt;0"))</f>
        <v/>
      </c>
      <c r="E85" s="22" t="str">
        <f aca="false">IF($A85="","",SUMIFS(대여내역!$J$3:$J$1002,대여내역!$C$3:$C$1002,$A85,대여내역!$J$3:$J$1002,"&gt;0"))</f>
        <v/>
      </c>
      <c r="F85" s="27" t="str">
        <f aca="false">IF($A85="","",IF(SUMIFS(대여내역!$G$3:$G$1002,대여내역!$C$3:$C$1002,$A85)=0,"",SUMIFS(대여내역!$I$3:$I$1002,대여내역!$C$3:$C$1002,$A85)/SUMIFS(대여내역!$G$3:$G$1002,대여내역!$C$3:$C$1002,$A85)))</f>
        <v/>
      </c>
    </row>
    <row r="86" customFormat="false" ht="15" hidden="false" customHeight="false" outlineLevel="0" collapsed="false">
      <c r="A86" s="14" t="str">
        <f aca="false">IF(대여처목록!$A85="","",대여처목록!$A85)</f>
        <v/>
      </c>
      <c r="B86" s="14" t="str">
        <f aca="false">IF($A86="","",대여처목록!$B85)</f>
        <v/>
      </c>
      <c r="C86" s="22" t="str">
        <f aca="false">IF($A86="","",COUNTIFS(대여내역!$C$3:$C$1002,$A86))</f>
        <v/>
      </c>
      <c r="D86" s="22" t="str">
        <f aca="false">IF($A86="","",COUNTIFS(대여내역!$C$3:$C$1002,$A86,대여내역!$J$3:$J$1002,"&gt;0"))</f>
        <v/>
      </c>
      <c r="E86" s="22" t="str">
        <f aca="false">IF($A86="","",SUMIFS(대여내역!$J$3:$J$1002,대여내역!$C$3:$C$1002,$A86,대여내역!$J$3:$J$1002,"&gt;0"))</f>
        <v/>
      </c>
      <c r="F86" s="27" t="str">
        <f aca="false">IF($A86="","",IF(SUMIFS(대여내역!$G$3:$G$1002,대여내역!$C$3:$C$1002,$A86)=0,"",SUMIFS(대여내역!$I$3:$I$1002,대여내역!$C$3:$C$1002,$A86)/SUMIFS(대여내역!$G$3:$G$1002,대여내역!$C$3:$C$1002,$A86)))</f>
        <v/>
      </c>
    </row>
    <row r="87" customFormat="false" ht="15" hidden="false" customHeight="false" outlineLevel="0" collapsed="false">
      <c r="A87" s="14" t="str">
        <f aca="false">IF(대여처목록!$A86="","",대여처목록!$A86)</f>
        <v/>
      </c>
      <c r="B87" s="14" t="str">
        <f aca="false">IF($A87="","",대여처목록!$B86)</f>
        <v/>
      </c>
      <c r="C87" s="22" t="str">
        <f aca="false">IF($A87="","",COUNTIFS(대여내역!$C$3:$C$1002,$A87))</f>
        <v/>
      </c>
      <c r="D87" s="22" t="str">
        <f aca="false">IF($A87="","",COUNTIFS(대여내역!$C$3:$C$1002,$A87,대여내역!$J$3:$J$1002,"&gt;0"))</f>
        <v/>
      </c>
      <c r="E87" s="22" t="str">
        <f aca="false">IF($A87="","",SUMIFS(대여내역!$J$3:$J$1002,대여내역!$C$3:$C$1002,$A87,대여내역!$J$3:$J$1002,"&gt;0"))</f>
        <v/>
      </c>
      <c r="F87" s="27" t="str">
        <f aca="false">IF($A87="","",IF(SUMIFS(대여내역!$G$3:$G$1002,대여내역!$C$3:$C$1002,$A87)=0,"",SUMIFS(대여내역!$I$3:$I$1002,대여내역!$C$3:$C$1002,$A87)/SUMIFS(대여내역!$G$3:$G$1002,대여내역!$C$3:$C$1002,$A87)))</f>
        <v/>
      </c>
    </row>
    <row r="88" customFormat="false" ht="15" hidden="false" customHeight="false" outlineLevel="0" collapsed="false">
      <c r="A88" s="14" t="str">
        <f aca="false">IF(대여처목록!$A87="","",대여처목록!$A87)</f>
        <v/>
      </c>
      <c r="B88" s="14" t="str">
        <f aca="false">IF($A88="","",대여처목록!$B87)</f>
        <v/>
      </c>
      <c r="C88" s="22" t="str">
        <f aca="false">IF($A88="","",COUNTIFS(대여내역!$C$3:$C$1002,$A88))</f>
        <v/>
      </c>
      <c r="D88" s="22" t="str">
        <f aca="false">IF($A88="","",COUNTIFS(대여내역!$C$3:$C$1002,$A88,대여내역!$J$3:$J$1002,"&gt;0"))</f>
        <v/>
      </c>
      <c r="E88" s="22" t="str">
        <f aca="false">IF($A88="","",SUMIFS(대여내역!$J$3:$J$1002,대여내역!$C$3:$C$1002,$A88,대여내역!$J$3:$J$1002,"&gt;0"))</f>
        <v/>
      </c>
      <c r="F88" s="27" t="str">
        <f aca="false">IF($A88="","",IF(SUMIFS(대여내역!$G$3:$G$1002,대여내역!$C$3:$C$1002,$A88)=0,"",SUMIFS(대여내역!$I$3:$I$1002,대여내역!$C$3:$C$1002,$A88)/SUMIFS(대여내역!$G$3:$G$1002,대여내역!$C$3:$C$1002,$A88)))</f>
        <v/>
      </c>
    </row>
    <row r="89" customFormat="false" ht="15" hidden="false" customHeight="false" outlineLevel="0" collapsed="false">
      <c r="A89" s="14" t="str">
        <f aca="false">IF(대여처목록!$A88="","",대여처목록!$A88)</f>
        <v/>
      </c>
      <c r="B89" s="14" t="str">
        <f aca="false">IF($A89="","",대여처목록!$B88)</f>
        <v/>
      </c>
      <c r="C89" s="22" t="str">
        <f aca="false">IF($A89="","",COUNTIFS(대여내역!$C$3:$C$1002,$A89))</f>
        <v/>
      </c>
      <c r="D89" s="22" t="str">
        <f aca="false">IF($A89="","",COUNTIFS(대여내역!$C$3:$C$1002,$A89,대여내역!$J$3:$J$1002,"&gt;0"))</f>
        <v/>
      </c>
      <c r="E89" s="22" t="str">
        <f aca="false">IF($A89="","",SUMIFS(대여내역!$J$3:$J$1002,대여내역!$C$3:$C$1002,$A89,대여내역!$J$3:$J$1002,"&gt;0"))</f>
        <v/>
      </c>
      <c r="F89" s="27" t="str">
        <f aca="false">IF($A89="","",IF(SUMIFS(대여내역!$G$3:$G$1002,대여내역!$C$3:$C$1002,$A89)=0,"",SUMIFS(대여내역!$I$3:$I$1002,대여내역!$C$3:$C$1002,$A89)/SUMIFS(대여내역!$G$3:$G$1002,대여내역!$C$3:$C$1002,$A89)))</f>
        <v/>
      </c>
    </row>
    <row r="90" customFormat="false" ht="15" hidden="false" customHeight="false" outlineLevel="0" collapsed="false">
      <c r="A90" s="14" t="str">
        <f aca="false">IF(대여처목록!$A89="","",대여처목록!$A89)</f>
        <v/>
      </c>
      <c r="B90" s="14" t="str">
        <f aca="false">IF($A90="","",대여처목록!$B89)</f>
        <v/>
      </c>
      <c r="C90" s="22" t="str">
        <f aca="false">IF($A90="","",COUNTIFS(대여내역!$C$3:$C$1002,$A90))</f>
        <v/>
      </c>
      <c r="D90" s="22" t="str">
        <f aca="false">IF($A90="","",COUNTIFS(대여내역!$C$3:$C$1002,$A90,대여내역!$J$3:$J$1002,"&gt;0"))</f>
        <v/>
      </c>
      <c r="E90" s="22" t="str">
        <f aca="false">IF($A90="","",SUMIFS(대여내역!$J$3:$J$1002,대여내역!$C$3:$C$1002,$A90,대여내역!$J$3:$J$1002,"&gt;0"))</f>
        <v/>
      </c>
      <c r="F90" s="27" t="str">
        <f aca="false">IF($A90="","",IF(SUMIFS(대여내역!$G$3:$G$1002,대여내역!$C$3:$C$1002,$A90)=0,"",SUMIFS(대여내역!$I$3:$I$1002,대여내역!$C$3:$C$1002,$A90)/SUMIFS(대여내역!$G$3:$G$1002,대여내역!$C$3:$C$1002,$A90)))</f>
        <v/>
      </c>
    </row>
    <row r="91" customFormat="false" ht="15" hidden="false" customHeight="false" outlineLevel="0" collapsed="false">
      <c r="A91" s="14" t="str">
        <f aca="false">IF(대여처목록!$A90="","",대여처목록!$A90)</f>
        <v/>
      </c>
      <c r="B91" s="14" t="str">
        <f aca="false">IF($A91="","",대여처목록!$B90)</f>
        <v/>
      </c>
      <c r="C91" s="22" t="str">
        <f aca="false">IF($A91="","",COUNTIFS(대여내역!$C$3:$C$1002,$A91))</f>
        <v/>
      </c>
      <c r="D91" s="22" t="str">
        <f aca="false">IF($A91="","",COUNTIFS(대여내역!$C$3:$C$1002,$A91,대여내역!$J$3:$J$1002,"&gt;0"))</f>
        <v/>
      </c>
      <c r="E91" s="22" t="str">
        <f aca="false">IF($A91="","",SUMIFS(대여내역!$J$3:$J$1002,대여내역!$C$3:$C$1002,$A91,대여내역!$J$3:$J$1002,"&gt;0"))</f>
        <v/>
      </c>
      <c r="F91" s="27" t="str">
        <f aca="false">IF($A91="","",IF(SUMIFS(대여내역!$G$3:$G$1002,대여내역!$C$3:$C$1002,$A91)=0,"",SUMIFS(대여내역!$I$3:$I$1002,대여내역!$C$3:$C$1002,$A91)/SUMIFS(대여내역!$G$3:$G$1002,대여내역!$C$3:$C$1002,$A91)))</f>
        <v/>
      </c>
    </row>
    <row r="92" customFormat="false" ht="15" hidden="false" customHeight="false" outlineLevel="0" collapsed="false">
      <c r="A92" s="14" t="str">
        <f aca="false">IF(대여처목록!$A91="","",대여처목록!$A91)</f>
        <v/>
      </c>
      <c r="B92" s="14" t="str">
        <f aca="false">IF($A92="","",대여처목록!$B91)</f>
        <v/>
      </c>
      <c r="C92" s="22" t="str">
        <f aca="false">IF($A92="","",COUNTIFS(대여내역!$C$3:$C$1002,$A92))</f>
        <v/>
      </c>
      <c r="D92" s="22" t="str">
        <f aca="false">IF($A92="","",COUNTIFS(대여내역!$C$3:$C$1002,$A92,대여내역!$J$3:$J$1002,"&gt;0"))</f>
        <v/>
      </c>
      <c r="E92" s="22" t="str">
        <f aca="false">IF($A92="","",SUMIFS(대여내역!$J$3:$J$1002,대여내역!$C$3:$C$1002,$A92,대여내역!$J$3:$J$1002,"&gt;0"))</f>
        <v/>
      </c>
      <c r="F92" s="27" t="str">
        <f aca="false">IF($A92="","",IF(SUMIFS(대여내역!$G$3:$G$1002,대여내역!$C$3:$C$1002,$A92)=0,"",SUMIFS(대여내역!$I$3:$I$1002,대여내역!$C$3:$C$1002,$A92)/SUMIFS(대여내역!$G$3:$G$1002,대여내역!$C$3:$C$1002,$A92)))</f>
        <v/>
      </c>
    </row>
    <row r="93" customFormat="false" ht="15" hidden="false" customHeight="false" outlineLevel="0" collapsed="false">
      <c r="A93" s="14" t="str">
        <f aca="false">IF(대여처목록!$A92="","",대여처목록!$A92)</f>
        <v/>
      </c>
      <c r="B93" s="14" t="str">
        <f aca="false">IF($A93="","",대여처목록!$B92)</f>
        <v/>
      </c>
      <c r="C93" s="22" t="str">
        <f aca="false">IF($A93="","",COUNTIFS(대여내역!$C$3:$C$1002,$A93))</f>
        <v/>
      </c>
      <c r="D93" s="22" t="str">
        <f aca="false">IF($A93="","",COUNTIFS(대여내역!$C$3:$C$1002,$A93,대여내역!$J$3:$J$1002,"&gt;0"))</f>
        <v/>
      </c>
      <c r="E93" s="22" t="str">
        <f aca="false">IF($A93="","",SUMIFS(대여내역!$J$3:$J$1002,대여내역!$C$3:$C$1002,$A93,대여내역!$J$3:$J$1002,"&gt;0"))</f>
        <v/>
      </c>
      <c r="F93" s="27" t="str">
        <f aca="false">IF($A93="","",IF(SUMIFS(대여내역!$G$3:$G$1002,대여내역!$C$3:$C$1002,$A93)=0,"",SUMIFS(대여내역!$I$3:$I$1002,대여내역!$C$3:$C$1002,$A93)/SUMIFS(대여내역!$G$3:$G$1002,대여내역!$C$3:$C$1002,$A93)))</f>
        <v/>
      </c>
    </row>
    <row r="94" customFormat="false" ht="15" hidden="false" customHeight="false" outlineLevel="0" collapsed="false">
      <c r="A94" s="14" t="str">
        <f aca="false">IF(대여처목록!$A93="","",대여처목록!$A93)</f>
        <v/>
      </c>
      <c r="B94" s="14" t="str">
        <f aca="false">IF($A94="","",대여처목록!$B93)</f>
        <v/>
      </c>
      <c r="C94" s="22" t="str">
        <f aca="false">IF($A94="","",COUNTIFS(대여내역!$C$3:$C$1002,$A94))</f>
        <v/>
      </c>
      <c r="D94" s="22" t="str">
        <f aca="false">IF($A94="","",COUNTIFS(대여내역!$C$3:$C$1002,$A94,대여내역!$J$3:$J$1002,"&gt;0"))</f>
        <v/>
      </c>
      <c r="E94" s="22" t="str">
        <f aca="false">IF($A94="","",SUMIFS(대여내역!$J$3:$J$1002,대여내역!$C$3:$C$1002,$A94,대여내역!$J$3:$J$1002,"&gt;0"))</f>
        <v/>
      </c>
      <c r="F94" s="27" t="str">
        <f aca="false">IF($A94="","",IF(SUMIFS(대여내역!$G$3:$G$1002,대여내역!$C$3:$C$1002,$A94)=0,"",SUMIFS(대여내역!$I$3:$I$1002,대여내역!$C$3:$C$1002,$A94)/SUMIFS(대여내역!$G$3:$G$1002,대여내역!$C$3:$C$1002,$A94)))</f>
        <v/>
      </c>
    </row>
    <row r="95" customFormat="false" ht="15" hidden="false" customHeight="false" outlineLevel="0" collapsed="false">
      <c r="A95" s="14" t="str">
        <f aca="false">IF(대여처목록!$A94="","",대여처목록!$A94)</f>
        <v/>
      </c>
      <c r="B95" s="14" t="str">
        <f aca="false">IF($A95="","",대여처목록!$B94)</f>
        <v/>
      </c>
      <c r="C95" s="22" t="str">
        <f aca="false">IF($A95="","",COUNTIFS(대여내역!$C$3:$C$1002,$A95))</f>
        <v/>
      </c>
      <c r="D95" s="22" t="str">
        <f aca="false">IF($A95="","",COUNTIFS(대여내역!$C$3:$C$1002,$A95,대여내역!$J$3:$J$1002,"&gt;0"))</f>
        <v/>
      </c>
      <c r="E95" s="22" t="str">
        <f aca="false">IF($A95="","",SUMIFS(대여내역!$J$3:$J$1002,대여내역!$C$3:$C$1002,$A95,대여내역!$J$3:$J$1002,"&gt;0"))</f>
        <v/>
      </c>
      <c r="F95" s="27" t="str">
        <f aca="false">IF($A95="","",IF(SUMIFS(대여내역!$G$3:$G$1002,대여내역!$C$3:$C$1002,$A95)=0,"",SUMIFS(대여내역!$I$3:$I$1002,대여내역!$C$3:$C$1002,$A95)/SUMIFS(대여내역!$G$3:$G$1002,대여내역!$C$3:$C$1002,$A95)))</f>
        <v/>
      </c>
    </row>
    <row r="96" customFormat="false" ht="15" hidden="false" customHeight="false" outlineLevel="0" collapsed="false">
      <c r="A96" s="14" t="str">
        <f aca="false">IF(대여처목록!$A95="","",대여처목록!$A95)</f>
        <v/>
      </c>
      <c r="B96" s="14" t="str">
        <f aca="false">IF($A96="","",대여처목록!$B95)</f>
        <v/>
      </c>
      <c r="C96" s="22" t="str">
        <f aca="false">IF($A96="","",COUNTIFS(대여내역!$C$3:$C$1002,$A96))</f>
        <v/>
      </c>
      <c r="D96" s="22" t="str">
        <f aca="false">IF($A96="","",COUNTIFS(대여내역!$C$3:$C$1002,$A96,대여내역!$J$3:$J$1002,"&gt;0"))</f>
        <v/>
      </c>
      <c r="E96" s="22" t="str">
        <f aca="false">IF($A96="","",SUMIFS(대여내역!$J$3:$J$1002,대여내역!$C$3:$C$1002,$A96,대여내역!$J$3:$J$1002,"&gt;0"))</f>
        <v/>
      </c>
      <c r="F96" s="27" t="str">
        <f aca="false">IF($A96="","",IF(SUMIFS(대여내역!$G$3:$G$1002,대여내역!$C$3:$C$1002,$A96)=0,"",SUMIFS(대여내역!$I$3:$I$1002,대여내역!$C$3:$C$1002,$A96)/SUMIFS(대여내역!$G$3:$G$1002,대여내역!$C$3:$C$1002,$A96)))</f>
        <v/>
      </c>
    </row>
    <row r="97" customFormat="false" ht="15" hidden="false" customHeight="false" outlineLevel="0" collapsed="false">
      <c r="A97" s="14" t="str">
        <f aca="false">IF(대여처목록!$A96="","",대여처목록!$A96)</f>
        <v/>
      </c>
      <c r="B97" s="14" t="str">
        <f aca="false">IF($A97="","",대여처목록!$B96)</f>
        <v/>
      </c>
      <c r="C97" s="22" t="str">
        <f aca="false">IF($A97="","",COUNTIFS(대여내역!$C$3:$C$1002,$A97))</f>
        <v/>
      </c>
      <c r="D97" s="22" t="str">
        <f aca="false">IF($A97="","",COUNTIFS(대여내역!$C$3:$C$1002,$A97,대여내역!$J$3:$J$1002,"&gt;0"))</f>
        <v/>
      </c>
      <c r="E97" s="22" t="str">
        <f aca="false">IF($A97="","",SUMIFS(대여내역!$J$3:$J$1002,대여내역!$C$3:$C$1002,$A97,대여내역!$J$3:$J$1002,"&gt;0"))</f>
        <v/>
      </c>
      <c r="F97" s="27" t="str">
        <f aca="false">IF($A97="","",IF(SUMIFS(대여내역!$G$3:$G$1002,대여내역!$C$3:$C$1002,$A97)=0,"",SUMIFS(대여내역!$I$3:$I$1002,대여내역!$C$3:$C$1002,$A97)/SUMIFS(대여내역!$G$3:$G$1002,대여내역!$C$3:$C$1002,$A97)))</f>
        <v/>
      </c>
    </row>
    <row r="98" customFormat="false" ht="15" hidden="false" customHeight="false" outlineLevel="0" collapsed="false">
      <c r="A98" s="14" t="str">
        <f aca="false">IF(대여처목록!$A97="","",대여처목록!$A97)</f>
        <v/>
      </c>
      <c r="B98" s="14" t="str">
        <f aca="false">IF($A98="","",대여처목록!$B97)</f>
        <v/>
      </c>
      <c r="C98" s="22" t="str">
        <f aca="false">IF($A98="","",COUNTIFS(대여내역!$C$3:$C$1002,$A98))</f>
        <v/>
      </c>
      <c r="D98" s="22" t="str">
        <f aca="false">IF($A98="","",COUNTIFS(대여내역!$C$3:$C$1002,$A98,대여내역!$J$3:$J$1002,"&gt;0"))</f>
        <v/>
      </c>
      <c r="E98" s="22" t="str">
        <f aca="false">IF($A98="","",SUMIFS(대여내역!$J$3:$J$1002,대여내역!$C$3:$C$1002,$A98,대여내역!$J$3:$J$1002,"&gt;0"))</f>
        <v/>
      </c>
      <c r="F98" s="27" t="str">
        <f aca="false">IF($A98="","",IF(SUMIFS(대여내역!$G$3:$G$1002,대여내역!$C$3:$C$1002,$A98)=0,"",SUMIFS(대여내역!$I$3:$I$1002,대여내역!$C$3:$C$1002,$A98)/SUMIFS(대여내역!$G$3:$G$1002,대여내역!$C$3:$C$1002,$A98)))</f>
        <v/>
      </c>
    </row>
    <row r="99" customFormat="false" ht="15" hidden="false" customHeight="false" outlineLevel="0" collapsed="false">
      <c r="A99" s="14" t="str">
        <f aca="false">IF(대여처목록!$A98="","",대여처목록!$A98)</f>
        <v/>
      </c>
      <c r="B99" s="14" t="str">
        <f aca="false">IF($A99="","",대여처목록!$B98)</f>
        <v/>
      </c>
      <c r="C99" s="22" t="str">
        <f aca="false">IF($A99="","",COUNTIFS(대여내역!$C$3:$C$1002,$A99))</f>
        <v/>
      </c>
      <c r="D99" s="22" t="str">
        <f aca="false">IF($A99="","",COUNTIFS(대여내역!$C$3:$C$1002,$A99,대여내역!$J$3:$J$1002,"&gt;0"))</f>
        <v/>
      </c>
      <c r="E99" s="22" t="str">
        <f aca="false">IF($A99="","",SUMIFS(대여내역!$J$3:$J$1002,대여내역!$C$3:$C$1002,$A99,대여내역!$J$3:$J$1002,"&gt;0"))</f>
        <v/>
      </c>
      <c r="F99" s="27" t="str">
        <f aca="false">IF($A99="","",IF(SUMIFS(대여내역!$G$3:$G$1002,대여내역!$C$3:$C$1002,$A99)=0,"",SUMIFS(대여내역!$I$3:$I$1002,대여내역!$C$3:$C$1002,$A99)/SUMIFS(대여내역!$G$3:$G$1002,대여내역!$C$3:$C$1002,$A99)))</f>
        <v/>
      </c>
    </row>
    <row r="100" customFormat="false" ht="15" hidden="false" customHeight="false" outlineLevel="0" collapsed="false">
      <c r="A100" s="14" t="str">
        <f aca="false">IF(대여처목록!$A99="","",대여처목록!$A99)</f>
        <v/>
      </c>
      <c r="B100" s="14" t="str">
        <f aca="false">IF($A100="","",대여처목록!$B99)</f>
        <v/>
      </c>
      <c r="C100" s="22" t="str">
        <f aca="false">IF($A100="","",COUNTIFS(대여내역!$C$3:$C$1002,$A100))</f>
        <v/>
      </c>
      <c r="D100" s="22" t="str">
        <f aca="false">IF($A100="","",COUNTIFS(대여내역!$C$3:$C$1002,$A100,대여내역!$J$3:$J$1002,"&gt;0"))</f>
        <v/>
      </c>
      <c r="E100" s="22" t="str">
        <f aca="false">IF($A100="","",SUMIFS(대여내역!$J$3:$J$1002,대여내역!$C$3:$C$1002,$A100,대여내역!$J$3:$J$1002,"&gt;0"))</f>
        <v/>
      </c>
      <c r="F100" s="27" t="str">
        <f aca="false">IF($A100="","",IF(SUMIFS(대여내역!$G$3:$G$1002,대여내역!$C$3:$C$1002,$A100)=0,"",SUMIFS(대여내역!$I$3:$I$1002,대여내역!$C$3:$C$1002,$A100)/SUMIFS(대여내역!$G$3:$G$1002,대여내역!$C$3:$C$1002,$A100)))</f>
        <v/>
      </c>
    </row>
    <row r="101" customFormat="false" ht="15" hidden="false" customHeight="false" outlineLevel="0" collapsed="false">
      <c r="A101" s="14" t="str">
        <f aca="false">IF(대여처목록!$A100="","",대여처목록!$A100)</f>
        <v/>
      </c>
      <c r="B101" s="14" t="str">
        <f aca="false">IF($A101="","",대여처목록!$B100)</f>
        <v/>
      </c>
      <c r="C101" s="22" t="str">
        <f aca="false">IF($A101="","",COUNTIFS(대여내역!$C$3:$C$1002,$A101))</f>
        <v/>
      </c>
      <c r="D101" s="22" t="str">
        <f aca="false">IF($A101="","",COUNTIFS(대여내역!$C$3:$C$1002,$A101,대여내역!$J$3:$J$1002,"&gt;0"))</f>
        <v/>
      </c>
      <c r="E101" s="22" t="str">
        <f aca="false">IF($A101="","",SUMIFS(대여내역!$J$3:$J$1002,대여내역!$C$3:$C$1002,$A101,대여내역!$J$3:$J$1002,"&gt;0"))</f>
        <v/>
      </c>
      <c r="F101" s="27" t="str">
        <f aca="false">IF($A101="","",IF(SUMIFS(대여내역!$G$3:$G$1002,대여내역!$C$3:$C$1002,$A101)=0,"",SUMIFS(대여내역!$I$3:$I$1002,대여내역!$C$3:$C$1002,$A101)/SUMIFS(대여내역!$G$3:$G$1002,대여내역!$C$3:$C$1002,$A101)))</f>
        <v/>
      </c>
    </row>
    <row r="102" customFormat="false" ht="15" hidden="false" customHeight="false" outlineLevel="0" collapsed="false">
      <c r="A102" s="14" t="str">
        <f aca="false">IF(대여처목록!$A101="","",대여처목록!$A101)</f>
        <v/>
      </c>
      <c r="B102" s="14" t="str">
        <f aca="false">IF($A102="","",대여처목록!$B101)</f>
        <v/>
      </c>
      <c r="C102" s="22" t="str">
        <f aca="false">IF($A102="","",COUNTIFS(대여내역!$C$3:$C$1002,$A102))</f>
        <v/>
      </c>
      <c r="D102" s="22" t="str">
        <f aca="false">IF($A102="","",COUNTIFS(대여내역!$C$3:$C$1002,$A102,대여내역!$J$3:$J$1002,"&gt;0"))</f>
        <v/>
      </c>
      <c r="E102" s="22" t="str">
        <f aca="false">IF($A102="","",SUMIFS(대여내역!$J$3:$J$1002,대여내역!$C$3:$C$1002,$A102,대여내역!$J$3:$J$1002,"&gt;0"))</f>
        <v/>
      </c>
      <c r="F102" s="27" t="str">
        <f aca="false">IF($A102="","",IF(SUMIFS(대여내역!$G$3:$G$1002,대여내역!$C$3:$C$1002,$A102)=0,"",SUMIFS(대여내역!$I$3:$I$1002,대여내역!$C$3:$C$1002,$A102)/SUMIFS(대여내역!$G$3:$G$1002,대여내역!$C$3:$C$1002,$A102)))</f>
        <v/>
      </c>
    </row>
    <row r="103" customFormat="false" ht="15" hidden="false" customHeight="false" outlineLevel="0" collapsed="false">
      <c r="A103" s="14" t="str">
        <f aca="false">IF(대여처목록!$A102="","",대여처목록!$A102)</f>
        <v/>
      </c>
      <c r="B103" s="14" t="str">
        <f aca="false">IF($A103="","",대여처목록!$B102)</f>
        <v/>
      </c>
      <c r="C103" s="22" t="str">
        <f aca="false">IF($A103="","",COUNTIFS(대여내역!$C$3:$C$1002,$A103))</f>
        <v/>
      </c>
      <c r="D103" s="22" t="str">
        <f aca="false">IF($A103="","",COUNTIFS(대여내역!$C$3:$C$1002,$A103,대여내역!$J$3:$J$1002,"&gt;0"))</f>
        <v/>
      </c>
      <c r="E103" s="22" t="str">
        <f aca="false">IF($A103="","",SUMIFS(대여내역!$J$3:$J$1002,대여내역!$C$3:$C$1002,$A103,대여내역!$J$3:$J$1002,"&gt;0"))</f>
        <v/>
      </c>
      <c r="F103" s="27" t="str">
        <f aca="false">IF($A103="","",IF(SUMIFS(대여내역!$G$3:$G$1002,대여내역!$C$3:$C$1002,$A103)=0,"",SUMIFS(대여내역!$I$3:$I$1002,대여내역!$C$3:$C$1002,$A103)/SUMIFS(대여내역!$G$3:$G$1002,대여내역!$C$3:$C$1002,$A103)))</f>
        <v/>
      </c>
    </row>
    <row r="104" customFormat="false" ht="15" hidden="false" customHeight="false" outlineLevel="0" collapsed="false">
      <c r="A104" s="14" t="str">
        <f aca="false">IF(대여처목록!$A103="","",대여처목록!$A103)</f>
        <v/>
      </c>
      <c r="B104" s="14" t="str">
        <f aca="false">IF($A104="","",대여처목록!$B103)</f>
        <v/>
      </c>
      <c r="C104" s="22" t="str">
        <f aca="false">IF($A104="","",COUNTIFS(대여내역!$C$3:$C$1002,$A104))</f>
        <v/>
      </c>
      <c r="D104" s="22" t="str">
        <f aca="false">IF($A104="","",COUNTIFS(대여내역!$C$3:$C$1002,$A104,대여내역!$J$3:$J$1002,"&gt;0"))</f>
        <v/>
      </c>
      <c r="E104" s="22" t="str">
        <f aca="false">IF($A104="","",SUMIFS(대여내역!$J$3:$J$1002,대여내역!$C$3:$C$1002,$A104,대여내역!$J$3:$J$1002,"&gt;0"))</f>
        <v/>
      </c>
      <c r="F104" s="27" t="str">
        <f aca="false">IF($A104="","",IF(SUMIFS(대여내역!$G$3:$G$1002,대여내역!$C$3:$C$1002,$A104)=0,"",SUMIFS(대여내역!$I$3:$I$1002,대여내역!$C$3:$C$1002,$A104)/SUMIFS(대여내역!$G$3:$G$1002,대여내역!$C$3:$C$1002,$A104)))</f>
        <v/>
      </c>
    </row>
    <row r="105" customFormat="false" ht="15" hidden="false" customHeight="false" outlineLevel="0" collapsed="false">
      <c r="A105" s="14" t="str">
        <f aca="false">IF(대여처목록!$A104="","",대여처목록!$A104)</f>
        <v/>
      </c>
      <c r="B105" s="14" t="str">
        <f aca="false">IF($A105="","",대여처목록!$B104)</f>
        <v/>
      </c>
      <c r="C105" s="22" t="str">
        <f aca="false">IF($A105="","",COUNTIFS(대여내역!$C$3:$C$1002,$A105))</f>
        <v/>
      </c>
      <c r="D105" s="22" t="str">
        <f aca="false">IF($A105="","",COUNTIFS(대여내역!$C$3:$C$1002,$A105,대여내역!$J$3:$J$1002,"&gt;0"))</f>
        <v/>
      </c>
      <c r="E105" s="22" t="str">
        <f aca="false">IF($A105="","",SUMIFS(대여내역!$J$3:$J$1002,대여내역!$C$3:$C$1002,$A105,대여내역!$J$3:$J$1002,"&gt;0"))</f>
        <v/>
      </c>
      <c r="F105" s="27" t="str">
        <f aca="false">IF($A105="","",IF(SUMIFS(대여내역!$G$3:$G$1002,대여내역!$C$3:$C$1002,$A105)=0,"",SUMIFS(대여내역!$I$3:$I$1002,대여내역!$C$3:$C$1002,$A105)/SUMIFS(대여내역!$G$3:$G$1002,대여내역!$C$3:$C$1002,$A105)))</f>
        <v/>
      </c>
    </row>
    <row r="106" customFormat="false" ht="15" hidden="false" customHeight="false" outlineLevel="0" collapsed="false">
      <c r="A106" s="14" t="str">
        <f aca="false">IF(대여처목록!$A105="","",대여처목록!$A105)</f>
        <v/>
      </c>
      <c r="B106" s="14" t="str">
        <f aca="false">IF($A106="","",대여처목록!$B105)</f>
        <v/>
      </c>
      <c r="C106" s="22" t="str">
        <f aca="false">IF($A106="","",COUNTIFS(대여내역!$C$3:$C$1002,$A106))</f>
        <v/>
      </c>
      <c r="D106" s="22" t="str">
        <f aca="false">IF($A106="","",COUNTIFS(대여내역!$C$3:$C$1002,$A106,대여내역!$J$3:$J$1002,"&gt;0"))</f>
        <v/>
      </c>
      <c r="E106" s="22" t="str">
        <f aca="false">IF($A106="","",SUMIFS(대여내역!$J$3:$J$1002,대여내역!$C$3:$C$1002,$A106,대여내역!$J$3:$J$1002,"&gt;0"))</f>
        <v/>
      </c>
      <c r="F106" s="27" t="str">
        <f aca="false">IF($A106="","",IF(SUMIFS(대여내역!$G$3:$G$1002,대여내역!$C$3:$C$1002,$A106)=0,"",SUMIFS(대여내역!$I$3:$I$1002,대여내역!$C$3:$C$1002,$A106)/SUMIFS(대여내역!$G$3:$G$1002,대여내역!$C$3:$C$1002,$A106)))</f>
        <v/>
      </c>
    </row>
    <row r="107" customFormat="false" ht="15" hidden="false" customHeight="false" outlineLevel="0" collapsed="false">
      <c r="A107" s="14" t="str">
        <f aca="false">IF(대여처목록!$A106="","",대여처목록!$A106)</f>
        <v/>
      </c>
      <c r="B107" s="14" t="str">
        <f aca="false">IF($A107="","",대여처목록!$B106)</f>
        <v/>
      </c>
      <c r="C107" s="22" t="str">
        <f aca="false">IF($A107="","",COUNTIFS(대여내역!$C$3:$C$1002,$A107))</f>
        <v/>
      </c>
      <c r="D107" s="22" t="str">
        <f aca="false">IF($A107="","",COUNTIFS(대여내역!$C$3:$C$1002,$A107,대여내역!$J$3:$J$1002,"&gt;0"))</f>
        <v/>
      </c>
      <c r="E107" s="22" t="str">
        <f aca="false">IF($A107="","",SUMIFS(대여내역!$J$3:$J$1002,대여내역!$C$3:$C$1002,$A107,대여내역!$J$3:$J$1002,"&gt;0"))</f>
        <v/>
      </c>
      <c r="F107" s="27" t="str">
        <f aca="false">IF($A107="","",IF(SUMIFS(대여내역!$G$3:$G$1002,대여내역!$C$3:$C$1002,$A107)=0,"",SUMIFS(대여내역!$I$3:$I$1002,대여내역!$C$3:$C$1002,$A107)/SUMIFS(대여내역!$G$3:$G$1002,대여내역!$C$3:$C$1002,$A107)))</f>
        <v/>
      </c>
    </row>
    <row r="108" customFormat="false" ht="15" hidden="false" customHeight="false" outlineLevel="0" collapsed="false">
      <c r="A108" s="14" t="str">
        <f aca="false">IF(대여처목록!$A107="","",대여처목록!$A107)</f>
        <v/>
      </c>
      <c r="B108" s="14" t="str">
        <f aca="false">IF($A108="","",대여처목록!$B107)</f>
        <v/>
      </c>
      <c r="C108" s="22" t="str">
        <f aca="false">IF($A108="","",COUNTIFS(대여내역!$C$3:$C$1002,$A108))</f>
        <v/>
      </c>
      <c r="D108" s="22" t="str">
        <f aca="false">IF($A108="","",COUNTIFS(대여내역!$C$3:$C$1002,$A108,대여내역!$J$3:$J$1002,"&gt;0"))</f>
        <v/>
      </c>
      <c r="E108" s="22" t="str">
        <f aca="false">IF($A108="","",SUMIFS(대여내역!$J$3:$J$1002,대여내역!$C$3:$C$1002,$A108,대여내역!$J$3:$J$1002,"&gt;0"))</f>
        <v/>
      </c>
      <c r="F108" s="27" t="str">
        <f aca="false">IF($A108="","",IF(SUMIFS(대여내역!$G$3:$G$1002,대여내역!$C$3:$C$1002,$A108)=0,"",SUMIFS(대여내역!$I$3:$I$1002,대여내역!$C$3:$C$1002,$A108)/SUMIFS(대여내역!$G$3:$G$1002,대여내역!$C$3:$C$1002,$A108)))</f>
        <v/>
      </c>
    </row>
    <row r="109" customFormat="false" ht="15" hidden="false" customHeight="false" outlineLevel="0" collapsed="false">
      <c r="A109" s="14" t="str">
        <f aca="false">IF(대여처목록!$A108="","",대여처목록!$A108)</f>
        <v/>
      </c>
      <c r="B109" s="14" t="str">
        <f aca="false">IF($A109="","",대여처목록!$B108)</f>
        <v/>
      </c>
      <c r="C109" s="22" t="str">
        <f aca="false">IF($A109="","",COUNTIFS(대여내역!$C$3:$C$1002,$A109))</f>
        <v/>
      </c>
      <c r="D109" s="22" t="str">
        <f aca="false">IF($A109="","",COUNTIFS(대여내역!$C$3:$C$1002,$A109,대여내역!$J$3:$J$1002,"&gt;0"))</f>
        <v/>
      </c>
      <c r="E109" s="22" t="str">
        <f aca="false">IF($A109="","",SUMIFS(대여내역!$J$3:$J$1002,대여내역!$C$3:$C$1002,$A109,대여내역!$J$3:$J$1002,"&gt;0"))</f>
        <v/>
      </c>
      <c r="F109" s="27" t="str">
        <f aca="false">IF($A109="","",IF(SUMIFS(대여내역!$G$3:$G$1002,대여내역!$C$3:$C$1002,$A109)=0,"",SUMIFS(대여내역!$I$3:$I$1002,대여내역!$C$3:$C$1002,$A109)/SUMIFS(대여내역!$G$3:$G$1002,대여내역!$C$3:$C$1002,$A109)))</f>
        <v/>
      </c>
    </row>
    <row r="110" customFormat="false" ht="15" hidden="false" customHeight="false" outlineLevel="0" collapsed="false">
      <c r="A110" s="14" t="str">
        <f aca="false">IF(대여처목록!$A109="","",대여처목록!$A109)</f>
        <v/>
      </c>
      <c r="B110" s="14" t="str">
        <f aca="false">IF($A110="","",대여처목록!$B109)</f>
        <v/>
      </c>
      <c r="C110" s="22" t="str">
        <f aca="false">IF($A110="","",COUNTIFS(대여내역!$C$3:$C$1002,$A110))</f>
        <v/>
      </c>
      <c r="D110" s="22" t="str">
        <f aca="false">IF($A110="","",COUNTIFS(대여내역!$C$3:$C$1002,$A110,대여내역!$J$3:$J$1002,"&gt;0"))</f>
        <v/>
      </c>
      <c r="E110" s="22" t="str">
        <f aca="false">IF($A110="","",SUMIFS(대여내역!$J$3:$J$1002,대여내역!$C$3:$C$1002,$A110,대여내역!$J$3:$J$1002,"&gt;0"))</f>
        <v/>
      </c>
      <c r="F110" s="27" t="str">
        <f aca="false">IF($A110="","",IF(SUMIFS(대여내역!$G$3:$G$1002,대여내역!$C$3:$C$1002,$A110)=0,"",SUMIFS(대여내역!$I$3:$I$1002,대여내역!$C$3:$C$1002,$A110)/SUMIFS(대여내역!$G$3:$G$1002,대여내역!$C$3:$C$1002,$A110)))</f>
        <v/>
      </c>
    </row>
    <row r="111" customFormat="false" ht="15" hidden="false" customHeight="false" outlineLevel="0" collapsed="false">
      <c r="A111" s="14" t="str">
        <f aca="false">IF(대여처목록!$A110="","",대여처목록!$A110)</f>
        <v/>
      </c>
      <c r="B111" s="14" t="str">
        <f aca="false">IF($A111="","",대여처목록!$B110)</f>
        <v/>
      </c>
      <c r="C111" s="22" t="str">
        <f aca="false">IF($A111="","",COUNTIFS(대여내역!$C$3:$C$1002,$A111))</f>
        <v/>
      </c>
      <c r="D111" s="22" t="str">
        <f aca="false">IF($A111="","",COUNTIFS(대여내역!$C$3:$C$1002,$A111,대여내역!$J$3:$J$1002,"&gt;0"))</f>
        <v/>
      </c>
      <c r="E111" s="22" t="str">
        <f aca="false">IF($A111="","",SUMIFS(대여내역!$J$3:$J$1002,대여내역!$C$3:$C$1002,$A111,대여내역!$J$3:$J$1002,"&gt;0"))</f>
        <v/>
      </c>
      <c r="F111" s="27" t="str">
        <f aca="false">IF($A111="","",IF(SUMIFS(대여내역!$G$3:$G$1002,대여내역!$C$3:$C$1002,$A111)=0,"",SUMIFS(대여내역!$I$3:$I$1002,대여내역!$C$3:$C$1002,$A111)/SUMIFS(대여내역!$G$3:$G$1002,대여내역!$C$3:$C$1002,$A111)))</f>
        <v/>
      </c>
    </row>
    <row r="112" customFormat="false" ht="15" hidden="false" customHeight="false" outlineLevel="0" collapsed="false">
      <c r="A112" s="14" t="str">
        <f aca="false">IF(대여처목록!$A111="","",대여처목록!$A111)</f>
        <v/>
      </c>
      <c r="B112" s="14" t="str">
        <f aca="false">IF($A112="","",대여처목록!$B111)</f>
        <v/>
      </c>
      <c r="C112" s="22" t="str">
        <f aca="false">IF($A112="","",COUNTIFS(대여내역!$C$3:$C$1002,$A112))</f>
        <v/>
      </c>
      <c r="D112" s="22" t="str">
        <f aca="false">IF($A112="","",COUNTIFS(대여내역!$C$3:$C$1002,$A112,대여내역!$J$3:$J$1002,"&gt;0"))</f>
        <v/>
      </c>
      <c r="E112" s="22" t="str">
        <f aca="false">IF($A112="","",SUMIFS(대여내역!$J$3:$J$1002,대여내역!$C$3:$C$1002,$A112,대여내역!$J$3:$J$1002,"&gt;0"))</f>
        <v/>
      </c>
      <c r="F112" s="27" t="str">
        <f aca="false">IF($A112="","",IF(SUMIFS(대여내역!$G$3:$G$1002,대여내역!$C$3:$C$1002,$A112)=0,"",SUMIFS(대여내역!$I$3:$I$1002,대여내역!$C$3:$C$1002,$A112)/SUMIFS(대여내역!$G$3:$G$1002,대여내역!$C$3:$C$1002,$A112)))</f>
        <v/>
      </c>
    </row>
    <row r="113" customFormat="false" ht="15" hidden="false" customHeight="false" outlineLevel="0" collapsed="false">
      <c r="A113" s="14" t="str">
        <f aca="false">IF(대여처목록!$A112="","",대여처목록!$A112)</f>
        <v/>
      </c>
      <c r="B113" s="14" t="str">
        <f aca="false">IF($A113="","",대여처목록!$B112)</f>
        <v/>
      </c>
      <c r="C113" s="22" t="str">
        <f aca="false">IF($A113="","",COUNTIFS(대여내역!$C$3:$C$1002,$A113))</f>
        <v/>
      </c>
      <c r="D113" s="22" t="str">
        <f aca="false">IF($A113="","",COUNTIFS(대여내역!$C$3:$C$1002,$A113,대여내역!$J$3:$J$1002,"&gt;0"))</f>
        <v/>
      </c>
      <c r="E113" s="22" t="str">
        <f aca="false">IF($A113="","",SUMIFS(대여내역!$J$3:$J$1002,대여내역!$C$3:$C$1002,$A113,대여내역!$J$3:$J$1002,"&gt;0"))</f>
        <v/>
      </c>
      <c r="F113" s="27" t="str">
        <f aca="false">IF($A113="","",IF(SUMIFS(대여내역!$G$3:$G$1002,대여내역!$C$3:$C$1002,$A113)=0,"",SUMIFS(대여내역!$I$3:$I$1002,대여내역!$C$3:$C$1002,$A113)/SUMIFS(대여내역!$G$3:$G$1002,대여내역!$C$3:$C$1002,$A113)))</f>
        <v/>
      </c>
    </row>
    <row r="114" customFormat="false" ht="15" hidden="false" customHeight="false" outlineLevel="0" collapsed="false">
      <c r="A114" s="14" t="str">
        <f aca="false">IF(대여처목록!$A113="","",대여처목록!$A113)</f>
        <v/>
      </c>
      <c r="B114" s="14" t="str">
        <f aca="false">IF($A114="","",대여처목록!$B113)</f>
        <v/>
      </c>
      <c r="C114" s="22" t="str">
        <f aca="false">IF($A114="","",COUNTIFS(대여내역!$C$3:$C$1002,$A114))</f>
        <v/>
      </c>
      <c r="D114" s="22" t="str">
        <f aca="false">IF($A114="","",COUNTIFS(대여내역!$C$3:$C$1002,$A114,대여내역!$J$3:$J$1002,"&gt;0"))</f>
        <v/>
      </c>
      <c r="E114" s="22" t="str">
        <f aca="false">IF($A114="","",SUMIFS(대여내역!$J$3:$J$1002,대여내역!$C$3:$C$1002,$A114,대여내역!$J$3:$J$1002,"&gt;0"))</f>
        <v/>
      </c>
      <c r="F114" s="27" t="str">
        <f aca="false">IF($A114="","",IF(SUMIFS(대여내역!$G$3:$G$1002,대여내역!$C$3:$C$1002,$A114)=0,"",SUMIFS(대여내역!$I$3:$I$1002,대여내역!$C$3:$C$1002,$A114)/SUMIFS(대여내역!$G$3:$G$1002,대여내역!$C$3:$C$1002,$A114)))</f>
        <v/>
      </c>
    </row>
    <row r="115" customFormat="false" ht="15" hidden="false" customHeight="false" outlineLevel="0" collapsed="false">
      <c r="A115" s="14" t="str">
        <f aca="false">IF(대여처목록!$A114="","",대여처목록!$A114)</f>
        <v/>
      </c>
      <c r="B115" s="14" t="str">
        <f aca="false">IF($A115="","",대여처목록!$B114)</f>
        <v/>
      </c>
      <c r="C115" s="22" t="str">
        <f aca="false">IF($A115="","",COUNTIFS(대여내역!$C$3:$C$1002,$A115))</f>
        <v/>
      </c>
      <c r="D115" s="22" t="str">
        <f aca="false">IF($A115="","",COUNTIFS(대여내역!$C$3:$C$1002,$A115,대여내역!$J$3:$J$1002,"&gt;0"))</f>
        <v/>
      </c>
      <c r="E115" s="22" t="str">
        <f aca="false">IF($A115="","",SUMIFS(대여내역!$J$3:$J$1002,대여내역!$C$3:$C$1002,$A115,대여내역!$J$3:$J$1002,"&gt;0"))</f>
        <v/>
      </c>
      <c r="F115" s="27" t="str">
        <f aca="false">IF($A115="","",IF(SUMIFS(대여내역!$G$3:$G$1002,대여내역!$C$3:$C$1002,$A115)=0,"",SUMIFS(대여내역!$I$3:$I$1002,대여내역!$C$3:$C$1002,$A115)/SUMIFS(대여내역!$G$3:$G$1002,대여내역!$C$3:$C$1002,$A115)))</f>
        <v/>
      </c>
    </row>
    <row r="116" customFormat="false" ht="15" hidden="false" customHeight="false" outlineLevel="0" collapsed="false">
      <c r="A116" s="14" t="str">
        <f aca="false">IF(대여처목록!$A115="","",대여처목록!$A115)</f>
        <v/>
      </c>
      <c r="B116" s="14" t="str">
        <f aca="false">IF($A116="","",대여처목록!$B115)</f>
        <v/>
      </c>
      <c r="C116" s="22" t="str">
        <f aca="false">IF($A116="","",COUNTIFS(대여내역!$C$3:$C$1002,$A116))</f>
        <v/>
      </c>
      <c r="D116" s="22" t="str">
        <f aca="false">IF($A116="","",COUNTIFS(대여내역!$C$3:$C$1002,$A116,대여내역!$J$3:$J$1002,"&gt;0"))</f>
        <v/>
      </c>
      <c r="E116" s="22" t="str">
        <f aca="false">IF($A116="","",SUMIFS(대여내역!$J$3:$J$1002,대여내역!$C$3:$C$1002,$A116,대여내역!$J$3:$J$1002,"&gt;0"))</f>
        <v/>
      </c>
      <c r="F116" s="27" t="str">
        <f aca="false">IF($A116="","",IF(SUMIFS(대여내역!$G$3:$G$1002,대여내역!$C$3:$C$1002,$A116)=0,"",SUMIFS(대여내역!$I$3:$I$1002,대여내역!$C$3:$C$1002,$A116)/SUMIFS(대여내역!$G$3:$G$1002,대여내역!$C$3:$C$1002,$A116)))</f>
        <v/>
      </c>
    </row>
    <row r="117" customFormat="false" ht="15" hidden="false" customHeight="false" outlineLevel="0" collapsed="false">
      <c r="A117" s="14" t="str">
        <f aca="false">IF(대여처목록!$A116="","",대여처목록!$A116)</f>
        <v/>
      </c>
      <c r="B117" s="14" t="str">
        <f aca="false">IF($A117="","",대여처목록!$B116)</f>
        <v/>
      </c>
      <c r="C117" s="22" t="str">
        <f aca="false">IF($A117="","",COUNTIFS(대여내역!$C$3:$C$1002,$A117))</f>
        <v/>
      </c>
      <c r="D117" s="22" t="str">
        <f aca="false">IF($A117="","",COUNTIFS(대여내역!$C$3:$C$1002,$A117,대여내역!$J$3:$J$1002,"&gt;0"))</f>
        <v/>
      </c>
      <c r="E117" s="22" t="str">
        <f aca="false">IF($A117="","",SUMIFS(대여내역!$J$3:$J$1002,대여내역!$C$3:$C$1002,$A117,대여내역!$J$3:$J$1002,"&gt;0"))</f>
        <v/>
      </c>
      <c r="F117" s="27" t="str">
        <f aca="false">IF($A117="","",IF(SUMIFS(대여내역!$G$3:$G$1002,대여내역!$C$3:$C$1002,$A117)=0,"",SUMIFS(대여내역!$I$3:$I$1002,대여내역!$C$3:$C$1002,$A117)/SUMIFS(대여내역!$G$3:$G$1002,대여내역!$C$3:$C$1002,$A117)))</f>
        <v/>
      </c>
    </row>
    <row r="118" customFormat="false" ht="15" hidden="false" customHeight="false" outlineLevel="0" collapsed="false">
      <c r="A118" s="14" t="str">
        <f aca="false">IF(대여처목록!$A117="","",대여처목록!$A117)</f>
        <v/>
      </c>
      <c r="B118" s="14" t="str">
        <f aca="false">IF($A118="","",대여처목록!$B117)</f>
        <v/>
      </c>
      <c r="C118" s="22" t="str">
        <f aca="false">IF($A118="","",COUNTIFS(대여내역!$C$3:$C$1002,$A118))</f>
        <v/>
      </c>
      <c r="D118" s="22" t="str">
        <f aca="false">IF($A118="","",COUNTIFS(대여내역!$C$3:$C$1002,$A118,대여내역!$J$3:$J$1002,"&gt;0"))</f>
        <v/>
      </c>
      <c r="E118" s="22" t="str">
        <f aca="false">IF($A118="","",SUMIFS(대여내역!$J$3:$J$1002,대여내역!$C$3:$C$1002,$A118,대여내역!$J$3:$J$1002,"&gt;0"))</f>
        <v/>
      </c>
      <c r="F118" s="27" t="str">
        <f aca="false">IF($A118="","",IF(SUMIFS(대여내역!$G$3:$G$1002,대여내역!$C$3:$C$1002,$A118)=0,"",SUMIFS(대여내역!$I$3:$I$1002,대여내역!$C$3:$C$1002,$A118)/SUMIFS(대여내역!$G$3:$G$1002,대여내역!$C$3:$C$1002,$A118)))</f>
        <v/>
      </c>
    </row>
    <row r="119" customFormat="false" ht="15" hidden="false" customHeight="false" outlineLevel="0" collapsed="false">
      <c r="A119" s="14" t="str">
        <f aca="false">IF(대여처목록!$A118="","",대여처목록!$A118)</f>
        <v/>
      </c>
      <c r="B119" s="14" t="str">
        <f aca="false">IF($A119="","",대여처목록!$B118)</f>
        <v/>
      </c>
      <c r="C119" s="22" t="str">
        <f aca="false">IF($A119="","",COUNTIFS(대여내역!$C$3:$C$1002,$A119))</f>
        <v/>
      </c>
      <c r="D119" s="22" t="str">
        <f aca="false">IF($A119="","",COUNTIFS(대여내역!$C$3:$C$1002,$A119,대여내역!$J$3:$J$1002,"&gt;0"))</f>
        <v/>
      </c>
      <c r="E119" s="22" t="str">
        <f aca="false">IF($A119="","",SUMIFS(대여내역!$J$3:$J$1002,대여내역!$C$3:$C$1002,$A119,대여내역!$J$3:$J$1002,"&gt;0"))</f>
        <v/>
      </c>
      <c r="F119" s="27" t="str">
        <f aca="false">IF($A119="","",IF(SUMIFS(대여내역!$G$3:$G$1002,대여내역!$C$3:$C$1002,$A119)=0,"",SUMIFS(대여내역!$I$3:$I$1002,대여내역!$C$3:$C$1002,$A119)/SUMIFS(대여내역!$G$3:$G$1002,대여내역!$C$3:$C$1002,$A119)))</f>
        <v/>
      </c>
    </row>
    <row r="120" customFormat="false" ht="15" hidden="false" customHeight="false" outlineLevel="0" collapsed="false">
      <c r="A120" s="14" t="str">
        <f aca="false">IF(대여처목록!$A119="","",대여처목록!$A119)</f>
        <v/>
      </c>
      <c r="B120" s="14" t="str">
        <f aca="false">IF($A120="","",대여처목록!$B119)</f>
        <v/>
      </c>
      <c r="C120" s="22" t="str">
        <f aca="false">IF($A120="","",COUNTIFS(대여내역!$C$3:$C$1002,$A120))</f>
        <v/>
      </c>
      <c r="D120" s="22" t="str">
        <f aca="false">IF($A120="","",COUNTIFS(대여내역!$C$3:$C$1002,$A120,대여내역!$J$3:$J$1002,"&gt;0"))</f>
        <v/>
      </c>
      <c r="E120" s="22" t="str">
        <f aca="false">IF($A120="","",SUMIFS(대여내역!$J$3:$J$1002,대여내역!$C$3:$C$1002,$A120,대여내역!$J$3:$J$1002,"&gt;0"))</f>
        <v/>
      </c>
      <c r="F120" s="27" t="str">
        <f aca="false">IF($A120="","",IF(SUMIFS(대여내역!$G$3:$G$1002,대여내역!$C$3:$C$1002,$A120)=0,"",SUMIFS(대여내역!$I$3:$I$1002,대여내역!$C$3:$C$1002,$A120)/SUMIFS(대여내역!$G$3:$G$1002,대여내역!$C$3:$C$1002,$A120)))</f>
        <v/>
      </c>
    </row>
    <row r="121" customFormat="false" ht="15" hidden="false" customHeight="false" outlineLevel="0" collapsed="false">
      <c r="A121" s="14" t="str">
        <f aca="false">IF(대여처목록!$A120="","",대여처목록!$A120)</f>
        <v/>
      </c>
      <c r="B121" s="14" t="str">
        <f aca="false">IF($A121="","",대여처목록!$B120)</f>
        <v/>
      </c>
      <c r="C121" s="22" t="str">
        <f aca="false">IF($A121="","",COUNTIFS(대여내역!$C$3:$C$1002,$A121))</f>
        <v/>
      </c>
      <c r="D121" s="22" t="str">
        <f aca="false">IF($A121="","",COUNTIFS(대여내역!$C$3:$C$1002,$A121,대여내역!$J$3:$J$1002,"&gt;0"))</f>
        <v/>
      </c>
      <c r="E121" s="22" t="str">
        <f aca="false">IF($A121="","",SUMIFS(대여내역!$J$3:$J$1002,대여내역!$C$3:$C$1002,$A121,대여내역!$J$3:$J$1002,"&gt;0"))</f>
        <v/>
      </c>
      <c r="F121" s="27" t="str">
        <f aca="false">IF($A121="","",IF(SUMIFS(대여내역!$G$3:$G$1002,대여내역!$C$3:$C$1002,$A121)=0,"",SUMIFS(대여내역!$I$3:$I$1002,대여내역!$C$3:$C$1002,$A121)/SUMIFS(대여내역!$G$3:$G$1002,대여내역!$C$3:$C$1002,$A121)))</f>
        <v/>
      </c>
    </row>
    <row r="122" customFormat="false" ht="15" hidden="false" customHeight="false" outlineLevel="0" collapsed="false">
      <c r="A122" s="14" t="str">
        <f aca="false">IF(대여처목록!$A121="","",대여처목록!$A121)</f>
        <v/>
      </c>
      <c r="B122" s="14" t="str">
        <f aca="false">IF($A122="","",대여처목록!$B121)</f>
        <v/>
      </c>
      <c r="C122" s="22" t="str">
        <f aca="false">IF($A122="","",COUNTIFS(대여내역!$C$3:$C$1002,$A122))</f>
        <v/>
      </c>
      <c r="D122" s="22" t="str">
        <f aca="false">IF($A122="","",COUNTIFS(대여내역!$C$3:$C$1002,$A122,대여내역!$J$3:$J$1002,"&gt;0"))</f>
        <v/>
      </c>
      <c r="E122" s="22" t="str">
        <f aca="false">IF($A122="","",SUMIFS(대여내역!$J$3:$J$1002,대여내역!$C$3:$C$1002,$A122,대여내역!$J$3:$J$1002,"&gt;0"))</f>
        <v/>
      </c>
      <c r="F122" s="27" t="str">
        <f aca="false">IF($A122="","",IF(SUMIFS(대여내역!$G$3:$G$1002,대여내역!$C$3:$C$1002,$A122)=0,"",SUMIFS(대여내역!$I$3:$I$1002,대여내역!$C$3:$C$1002,$A122)/SUMIFS(대여내역!$G$3:$G$1002,대여내역!$C$3:$C$1002,$A122)))</f>
        <v/>
      </c>
    </row>
    <row r="123" customFormat="false" ht="15" hidden="false" customHeight="false" outlineLevel="0" collapsed="false">
      <c r="A123" s="14" t="str">
        <f aca="false">IF(대여처목록!$A122="","",대여처목록!$A122)</f>
        <v/>
      </c>
      <c r="B123" s="14" t="str">
        <f aca="false">IF($A123="","",대여처목록!$B122)</f>
        <v/>
      </c>
      <c r="C123" s="22" t="str">
        <f aca="false">IF($A123="","",COUNTIFS(대여내역!$C$3:$C$1002,$A123))</f>
        <v/>
      </c>
      <c r="D123" s="22" t="str">
        <f aca="false">IF($A123="","",COUNTIFS(대여내역!$C$3:$C$1002,$A123,대여내역!$J$3:$J$1002,"&gt;0"))</f>
        <v/>
      </c>
      <c r="E123" s="22" t="str">
        <f aca="false">IF($A123="","",SUMIFS(대여내역!$J$3:$J$1002,대여내역!$C$3:$C$1002,$A123,대여내역!$J$3:$J$1002,"&gt;0"))</f>
        <v/>
      </c>
      <c r="F123" s="27" t="str">
        <f aca="false">IF($A123="","",IF(SUMIFS(대여내역!$G$3:$G$1002,대여내역!$C$3:$C$1002,$A123)=0,"",SUMIFS(대여내역!$I$3:$I$1002,대여내역!$C$3:$C$1002,$A123)/SUMIFS(대여내역!$G$3:$G$1002,대여내역!$C$3:$C$1002,$A123)))</f>
        <v/>
      </c>
    </row>
    <row r="124" customFormat="false" ht="15" hidden="false" customHeight="false" outlineLevel="0" collapsed="false">
      <c r="A124" s="14" t="str">
        <f aca="false">IF(대여처목록!$A123="","",대여처목록!$A123)</f>
        <v/>
      </c>
      <c r="B124" s="14" t="str">
        <f aca="false">IF($A124="","",대여처목록!$B123)</f>
        <v/>
      </c>
      <c r="C124" s="22" t="str">
        <f aca="false">IF($A124="","",COUNTIFS(대여내역!$C$3:$C$1002,$A124))</f>
        <v/>
      </c>
      <c r="D124" s="22" t="str">
        <f aca="false">IF($A124="","",COUNTIFS(대여내역!$C$3:$C$1002,$A124,대여내역!$J$3:$J$1002,"&gt;0"))</f>
        <v/>
      </c>
      <c r="E124" s="22" t="str">
        <f aca="false">IF($A124="","",SUMIFS(대여내역!$J$3:$J$1002,대여내역!$C$3:$C$1002,$A124,대여내역!$J$3:$J$1002,"&gt;0"))</f>
        <v/>
      </c>
      <c r="F124" s="27" t="str">
        <f aca="false">IF($A124="","",IF(SUMIFS(대여내역!$G$3:$G$1002,대여내역!$C$3:$C$1002,$A124)=0,"",SUMIFS(대여내역!$I$3:$I$1002,대여내역!$C$3:$C$1002,$A124)/SUMIFS(대여내역!$G$3:$G$1002,대여내역!$C$3:$C$1002,$A124)))</f>
        <v/>
      </c>
    </row>
    <row r="125" customFormat="false" ht="15" hidden="false" customHeight="false" outlineLevel="0" collapsed="false">
      <c r="A125" s="14" t="str">
        <f aca="false">IF(대여처목록!$A124="","",대여처목록!$A124)</f>
        <v/>
      </c>
      <c r="B125" s="14" t="str">
        <f aca="false">IF($A125="","",대여처목록!$B124)</f>
        <v/>
      </c>
      <c r="C125" s="22" t="str">
        <f aca="false">IF($A125="","",COUNTIFS(대여내역!$C$3:$C$1002,$A125))</f>
        <v/>
      </c>
      <c r="D125" s="22" t="str">
        <f aca="false">IF($A125="","",COUNTIFS(대여내역!$C$3:$C$1002,$A125,대여내역!$J$3:$J$1002,"&gt;0"))</f>
        <v/>
      </c>
      <c r="E125" s="22" t="str">
        <f aca="false">IF($A125="","",SUMIFS(대여내역!$J$3:$J$1002,대여내역!$C$3:$C$1002,$A125,대여내역!$J$3:$J$1002,"&gt;0"))</f>
        <v/>
      </c>
      <c r="F125" s="27" t="str">
        <f aca="false">IF($A125="","",IF(SUMIFS(대여내역!$G$3:$G$1002,대여내역!$C$3:$C$1002,$A125)=0,"",SUMIFS(대여내역!$I$3:$I$1002,대여내역!$C$3:$C$1002,$A125)/SUMIFS(대여내역!$G$3:$G$1002,대여내역!$C$3:$C$1002,$A125)))</f>
        <v/>
      </c>
    </row>
    <row r="126" customFormat="false" ht="15" hidden="false" customHeight="false" outlineLevel="0" collapsed="false">
      <c r="A126" s="14" t="str">
        <f aca="false">IF(대여처목록!$A125="","",대여처목록!$A125)</f>
        <v/>
      </c>
      <c r="B126" s="14" t="str">
        <f aca="false">IF($A126="","",대여처목록!$B125)</f>
        <v/>
      </c>
      <c r="C126" s="22" t="str">
        <f aca="false">IF($A126="","",COUNTIFS(대여내역!$C$3:$C$1002,$A126))</f>
        <v/>
      </c>
      <c r="D126" s="22" t="str">
        <f aca="false">IF($A126="","",COUNTIFS(대여내역!$C$3:$C$1002,$A126,대여내역!$J$3:$J$1002,"&gt;0"))</f>
        <v/>
      </c>
      <c r="E126" s="22" t="str">
        <f aca="false">IF($A126="","",SUMIFS(대여내역!$J$3:$J$1002,대여내역!$C$3:$C$1002,$A126,대여내역!$J$3:$J$1002,"&gt;0"))</f>
        <v/>
      </c>
      <c r="F126" s="27" t="str">
        <f aca="false">IF($A126="","",IF(SUMIFS(대여내역!$G$3:$G$1002,대여내역!$C$3:$C$1002,$A126)=0,"",SUMIFS(대여내역!$I$3:$I$1002,대여내역!$C$3:$C$1002,$A126)/SUMIFS(대여내역!$G$3:$G$1002,대여내역!$C$3:$C$1002,$A126)))</f>
        <v/>
      </c>
    </row>
    <row r="127" customFormat="false" ht="15" hidden="false" customHeight="false" outlineLevel="0" collapsed="false">
      <c r="A127" s="14" t="str">
        <f aca="false">IF(대여처목록!$A126="","",대여처목록!$A126)</f>
        <v/>
      </c>
      <c r="B127" s="14" t="str">
        <f aca="false">IF($A127="","",대여처목록!$B126)</f>
        <v/>
      </c>
      <c r="C127" s="22" t="str">
        <f aca="false">IF($A127="","",COUNTIFS(대여내역!$C$3:$C$1002,$A127))</f>
        <v/>
      </c>
      <c r="D127" s="22" t="str">
        <f aca="false">IF($A127="","",COUNTIFS(대여내역!$C$3:$C$1002,$A127,대여내역!$J$3:$J$1002,"&gt;0"))</f>
        <v/>
      </c>
      <c r="E127" s="22" t="str">
        <f aca="false">IF($A127="","",SUMIFS(대여내역!$J$3:$J$1002,대여내역!$C$3:$C$1002,$A127,대여내역!$J$3:$J$1002,"&gt;0"))</f>
        <v/>
      </c>
      <c r="F127" s="27" t="str">
        <f aca="false">IF($A127="","",IF(SUMIFS(대여내역!$G$3:$G$1002,대여내역!$C$3:$C$1002,$A127)=0,"",SUMIFS(대여내역!$I$3:$I$1002,대여내역!$C$3:$C$1002,$A127)/SUMIFS(대여내역!$G$3:$G$1002,대여내역!$C$3:$C$1002,$A127)))</f>
        <v/>
      </c>
    </row>
    <row r="128" customFormat="false" ht="15" hidden="false" customHeight="false" outlineLevel="0" collapsed="false">
      <c r="A128" s="14" t="str">
        <f aca="false">IF(대여처목록!$A127="","",대여처목록!$A127)</f>
        <v/>
      </c>
      <c r="B128" s="14" t="str">
        <f aca="false">IF($A128="","",대여처목록!$B127)</f>
        <v/>
      </c>
      <c r="C128" s="22" t="str">
        <f aca="false">IF($A128="","",COUNTIFS(대여내역!$C$3:$C$1002,$A128))</f>
        <v/>
      </c>
      <c r="D128" s="22" t="str">
        <f aca="false">IF($A128="","",COUNTIFS(대여내역!$C$3:$C$1002,$A128,대여내역!$J$3:$J$1002,"&gt;0"))</f>
        <v/>
      </c>
      <c r="E128" s="22" t="str">
        <f aca="false">IF($A128="","",SUMIFS(대여내역!$J$3:$J$1002,대여내역!$C$3:$C$1002,$A128,대여내역!$J$3:$J$1002,"&gt;0"))</f>
        <v/>
      </c>
      <c r="F128" s="27" t="str">
        <f aca="false">IF($A128="","",IF(SUMIFS(대여내역!$G$3:$G$1002,대여내역!$C$3:$C$1002,$A128)=0,"",SUMIFS(대여내역!$I$3:$I$1002,대여내역!$C$3:$C$1002,$A128)/SUMIFS(대여내역!$G$3:$G$1002,대여내역!$C$3:$C$1002,$A128)))</f>
        <v/>
      </c>
    </row>
    <row r="129" customFormat="false" ht="15" hidden="false" customHeight="false" outlineLevel="0" collapsed="false">
      <c r="A129" s="14" t="str">
        <f aca="false">IF(대여처목록!$A128="","",대여처목록!$A128)</f>
        <v/>
      </c>
      <c r="B129" s="14" t="str">
        <f aca="false">IF($A129="","",대여처목록!$B128)</f>
        <v/>
      </c>
      <c r="C129" s="22" t="str">
        <f aca="false">IF($A129="","",COUNTIFS(대여내역!$C$3:$C$1002,$A129))</f>
        <v/>
      </c>
      <c r="D129" s="22" t="str">
        <f aca="false">IF($A129="","",COUNTIFS(대여내역!$C$3:$C$1002,$A129,대여내역!$J$3:$J$1002,"&gt;0"))</f>
        <v/>
      </c>
      <c r="E129" s="22" t="str">
        <f aca="false">IF($A129="","",SUMIFS(대여내역!$J$3:$J$1002,대여내역!$C$3:$C$1002,$A129,대여내역!$J$3:$J$1002,"&gt;0"))</f>
        <v/>
      </c>
      <c r="F129" s="27" t="str">
        <f aca="false">IF($A129="","",IF(SUMIFS(대여내역!$G$3:$G$1002,대여내역!$C$3:$C$1002,$A129)=0,"",SUMIFS(대여내역!$I$3:$I$1002,대여내역!$C$3:$C$1002,$A129)/SUMIFS(대여내역!$G$3:$G$1002,대여내역!$C$3:$C$1002,$A129)))</f>
        <v/>
      </c>
    </row>
    <row r="130" customFormat="false" ht="15" hidden="false" customHeight="false" outlineLevel="0" collapsed="false">
      <c r="A130" s="14" t="str">
        <f aca="false">IF(대여처목록!$A129="","",대여처목록!$A129)</f>
        <v/>
      </c>
      <c r="B130" s="14" t="str">
        <f aca="false">IF($A130="","",대여처목록!$B129)</f>
        <v/>
      </c>
      <c r="C130" s="22" t="str">
        <f aca="false">IF($A130="","",COUNTIFS(대여내역!$C$3:$C$1002,$A130))</f>
        <v/>
      </c>
      <c r="D130" s="22" t="str">
        <f aca="false">IF($A130="","",COUNTIFS(대여내역!$C$3:$C$1002,$A130,대여내역!$J$3:$J$1002,"&gt;0"))</f>
        <v/>
      </c>
      <c r="E130" s="22" t="str">
        <f aca="false">IF($A130="","",SUMIFS(대여내역!$J$3:$J$1002,대여내역!$C$3:$C$1002,$A130,대여내역!$J$3:$J$1002,"&gt;0"))</f>
        <v/>
      </c>
      <c r="F130" s="27" t="str">
        <f aca="false">IF($A130="","",IF(SUMIFS(대여내역!$G$3:$G$1002,대여내역!$C$3:$C$1002,$A130)=0,"",SUMIFS(대여내역!$I$3:$I$1002,대여내역!$C$3:$C$1002,$A130)/SUMIFS(대여내역!$G$3:$G$1002,대여내역!$C$3:$C$1002,$A130)))</f>
        <v/>
      </c>
    </row>
    <row r="131" customFormat="false" ht="15" hidden="false" customHeight="false" outlineLevel="0" collapsed="false">
      <c r="A131" s="14" t="str">
        <f aca="false">IF(대여처목록!$A130="","",대여처목록!$A130)</f>
        <v/>
      </c>
      <c r="B131" s="14" t="str">
        <f aca="false">IF($A131="","",대여처목록!$B130)</f>
        <v/>
      </c>
      <c r="C131" s="22" t="str">
        <f aca="false">IF($A131="","",COUNTIFS(대여내역!$C$3:$C$1002,$A131))</f>
        <v/>
      </c>
      <c r="D131" s="22" t="str">
        <f aca="false">IF($A131="","",COUNTIFS(대여내역!$C$3:$C$1002,$A131,대여내역!$J$3:$J$1002,"&gt;0"))</f>
        <v/>
      </c>
      <c r="E131" s="22" t="str">
        <f aca="false">IF($A131="","",SUMIFS(대여내역!$J$3:$J$1002,대여내역!$C$3:$C$1002,$A131,대여내역!$J$3:$J$1002,"&gt;0"))</f>
        <v/>
      </c>
      <c r="F131" s="27" t="str">
        <f aca="false">IF($A131="","",IF(SUMIFS(대여내역!$G$3:$G$1002,대여내역!$C$3:$C$1002,$A131)=0,"",SUMIFS(대여내역!$I$3:$I$1002,대여내역!$C$3:$C$1002,$A131)/SUMIFS(대여내역!$G$3:$G$1002,대여내역!$C$3:$C$1002,$A131)))</f>
        <v/>
      </c>
    </row>
    <row r="132" customFormat="false" ht="15" hidden="false" customHeight="false" outlineLevel="0" collapsed="false">
      <c r="A132" s="14" t="str">
        <f aca="false">IF(대여처목록!$A131="","",대여처목록!$A131)</f>
        <v/>
      </c>
      <c r="B132" s="14" t="str">
        <f aca="false">IF($A132="","",대여처목록!$B131)</f>
        <v/>
      </c>
      <c r="C132" s="22" t="str">
        <f aca="false">IF($A132="","",COUNTIFS(대여내역!$C$3:$C$1002,$A132))</f>
        <v/>
      </c>
      <c r="D132" s="22" t="str">
        <f aca="false">IF($A132="","",COUNTIFS(대여내역!$C$3:$C$1002,$A132,대여내역!$J$3:$J$1002,"&gt;0"))</f>
        <v/>
      </c>
      <c r="E132" s="22" t="str">
        <f aca="false">IF($A132="","",SUMIFS(대여내역!$J$3:$J$1002,대여내역!$C$3:$C$1002,$A132,대여내역!$J$3:$J$1002,"&gt;0"))</f>
        <v/>
      </c>
      <c r="F132" s="27" t="str">
        <f aca="false">IF($A132="","",IF(SUMIFS(대여내역!$G$3:$G$1002,대여내역!$C$3:$C$1002,$A132)=0,"",SUMIFS(대여내역!$I$3:$I$1002,대여내역!$C$3:$C$1002,$A132)/SUMIFS(대여내역!$G$3:$G$1002,대여내역!$C$3:$C$1002,$A132)))</f>
        <v/>
      </c>
    </row>
    <row r="133" customFormat="false" ht="15" hidden="false" customHeight="false" outlineLevel="0" collapsed="false">
      <c r="A133" s="14" t="str">
        <f aca="false">IF(대여처목록!$A132="","",대여처목록!$A132)</f>
        <v/>
      </c>
      <c r="B133" s="14" t="str">
        <f aca="false">IF($A133="","",대여처목록!$B132)</f>
        <v/>
      </c>
      <c r="C133" s="22" t="str">
        <f aca="false">IF($A133="","",COUNTIFS(대여내역!$C$3:$C$1002,$A133))</f>
        <v/>
      </c>
      <c r="D133" s="22" t="str">
        <f aca="false">IF($A133="","",COUNTIFS(대여내역!$C$3:$C$1002,$A133,대여내역!$J$3:$J$1002,"&gt;0"))</f>
        <v/>
      </c>
      <c r="E133" s="22" t="str">
        <f aca="false">IF($A133="","",SUMIFS(대여내역!$J$3:$J$1002,대여내역!$C$3:$C$1002,$A133,대여내역!$J$3:$J$1002,"&gt;0"))</f>
        <v/>
      </c>
      <c r="F133" s="27" t="str">
        <f aca="false">IF($A133="","",IF(SUMIFS(대여내역!$G$3:$G$1002,대여내역!$C$3:$C$1002,$A133)=0,"",SUMIFS(대여내역!$I$3:$I$1002,대여내역!$C$3:$C$1002,$A133)/SUMIFS(대여내역!$G$3:$G$1002,대여내역!$C$3:$C$1002,$A133)))</f>
        <v/>
      </c>
    </row>
    <row r="134" customFormat="false" ht="15" hidden="false" customHeight="false" outlineLevel="0" collapsed="false">
      <c r="A134" s="14" t="str">
        <f aca="false">IF(대여처목록!$A133="","",대여처목록!$A133)</f>
        <v/>
      </c>
      <c r="B134" s="14" t="str">
        <f aca="false">IF($A134="","",대여처목록!$B133)</f>
        <v/>
      </c>
      <c r="C134" s="22" t="str">
        <f aca="false">IF($A134="","",COUNTIFS(대여내역!$C$3:$C$1002,$A134))</f>
        <v/>
      </c>
      <c r="D134" s="22" t="str">
        <f aca="false">IF($A134="","",COUNTIFS(대여내역!$C$3:$C$1002,$A134,대여내역!$J$3:$J$1002,"&gt;0"))</f>
        <v/>
      </c>
      <c r="E134" s="22" t="str">
        <f aca="false">IF($A134="","",SUMIFS(대여내역!$J$3:$J$1002,대여내역!$C$3:$C$1002,$A134,대여내역!$J$3:$J$1002,"&gt;0"))</f>
        <v/>
      </c>
      <c r="F134" s="27" t="str">
        <f aca="false">IF($A134="","",IF(SUMIFS(대여내역!$G$3:$G$1002,대여내역!$C$3:$C$1002,$A134)=0,"",SUMIFS(대여내역!$I$3:$I$1002,대여내역!$C$3:$C$1002,$A134)/SUMIFS(대여내역!$G$3:$G$1002,대여내역!$C$3:$C$1002,$A134)))</f>
        <v/>
      </c>
    </row>
    <row r="135" customFormat="false" ht="15" hidden="false" customHeight="false" outlineLevel="0" collapsed="false">
      <c r="A135" s="14" t="str">
        <f aca="false">IF(대여처목록!$A134="","",대여처목록!$A134)</f>
        <v/>
      </c>
      <c r="B135" s="14" t="str">
        <f aca="false">IF($A135="","",대여처목록!$B134)</f>
        <v/>
      </c>
      <c r="C135" s="22" t="str">
        <f aca="false">IF($A135="","",COUNTIFS(대여내역!$C$3:$C$1002,$A135))</f>
        <v/>
      </c>
      <c r="D135" s="22" t="str">
        <f aca="false">IF($A135="","",COUNTIFS(대여내역!$C$3:$C$1002,$A135,대여내역!$J$3:$J$1002,"&gt;0"))</f>
        <v/>
      </c>
      <c r="E135" s="22" t="str">
        <f aca="false">IF($A135="","",SUMIFS(대여내역!$J$3:$J$1002,대여내역!$C$3:$C$1002,$A135,대여내역!$J$3:$J$1002,"&gt;0"))</f>
        <v/>
      </c>
      <c r="F135" s="27" t="str">
        <f aca="false">IF($A135="","",IF(SUMIFS(대여내역!$G$3:$G$1002,대여내역!$C$3:$C$1002,$A135)=0,"",SUMIFS(대여내역!$I$3:$I$1002,대여내역!$C$3:$C$1002,$A135)/SUMIFS(대여내역!$G$3:$G$1002,대여내역!$C$3:$C$1002,$A135)))</f>
        <v/>
      </c>
    </row>
    <row r="136" customFormat="false" ht="15" hidden="false" customHeight="false" outlineLevel="0" collapsed="false">
      <c r="A136" s="14" t="str">
        <f aca="false">IF(대여처목록!$A135="","",대여처목록!$A135)</f>
        <v/>
      </c>
      <c r="B136" s="14" t="str">
        <f aca="false">IF($A136="","",대여처목록!$B135)</f>
        <v/>
      </c>
      <c r="C136" s="22" t="str">
        <f aca="false">IF($A136="","",COUNTIFS(대여내역!$C$3:$C$1002,$A136))</f>
        <v/>
      </c>
      <c r="D136" s="22" t="str">
        <f aca="false">IF($A136="","",COUNTIFS(대여내역!$C$3:$C$1002,$A136,대여내역!$J$3:$J$1002,"&gt;0"))</f>
        <v/>
      </c>
      <c r="E136" s="22" t="str">
        <f aca="false">IF($A136="","",SUMIFS(대여내역!$J$3:$J$1002,대여내역!$C$3:$C$1002,$A136,대여내역!$J$3:$J$1002,"&gt;0"))</f>
        <v/>
      </c>
      <c r="F136" s="27" t="str">
        <f aca="false">IF($A136="","",IF(SUMIFS(대여내역!$G$3:$G$1002,대여내역!$C$3:$C$1002,$A136)=0,"",SUMIFS(대여내역!$I$3:$I$1002,대여내역!$C$3:$C$1002,$A136)/SUMIFS(대여내역!$G$3:$G$1002,대여내역!$C$3:$C$1002,$A136)))</f>
        <v/>
      </c>
    </row>
    <row r="137" customFormat="false" ht="15" hidden="false" customHeight="false" outlineLevel="0" collapsed="false">
      <c r="A137" s="14" t="str">
        <f aca="false">IF(대여처목록!$A136="","",대여처목록!$A136)</f>
        <v/>
      </c>
      <c r="B137" s="14" t="str">
        <f aca="false">IF($A137="","",대여처목록!$B136)</f>
        <v/>
      </c>
      <c r="C137" s="22" t="str">
        <f aca="false">IF($A137="","",COUNTIFS(대여내역!$C$3:$C$1002,$A137))</f>
        <v/>
      </c>
      <c r="D137" s="22" t="str">
        <f aca="false">IF($A137="","",COUNTIFS(대여내역!$C$3:$C$1002,$A137,대여내역!$J$3:$J$1002,"&gt;0"))</f>
        <v/>
      </c>
      <c r="E137" s="22" t="str">
        <f aca="false">IF($A137="","",SUMIFS(대여내역!$J$3:$J$1002,대여내역!$C$3:$C$1002,$A137,대여내역!$J$3:$J$1002,"&gt;0"))</f>
        <v/>
      </c>
      <c r="F137" s="27" t="str">
        <f aca="false">IF($A137="","",IF(SUMIFS(대여내역!$G$3:$G$1002,대여내역!$C$3:$C$1002,$A137)=0,"",SUMIFS(대여내역!$I$3:$I$1002,대여내역!$C$3:$C$1002,$A137)/SUMIFS(대여내역!$G$3:$G$1002,대여내역!$C$3:$C$1002,$A137)))</f>
        <v/>
      </c>
    </row>
    <row r="138" customFormat="false" ht="15" hidden="false" customHeight="false" outlineLevel="0" collapsed="false">
      <c r="A138" s="14" t="str">
        <f aca="false">IF(대여처목록!$A137="","",대여처목록!$A137)</f>
        <v/>
      </c>
      <c r="B138" s="14" t="str">
        <f aca="false">IF($A138="","",대여처목록!$B137)</f>
        <v/>
      </c>
      <c r="C138" s="22" t="str">
        <f aca="false">IF($A138="","",COUNTIFS(대여내역!$C$3:$C$1002,$A138))</f>
        <v/>
      </c>
      <c r="D138" s="22" t="str">
        <f aca="false">IF($A138="","",COUNTIFS(대여내역!$C$3:$C$1002,$A138,대여내역!$J$3:$J$1002,"&gt;0"))</f>
        <v/>
      </c>
      <c r="E138" s="22" t="str">
        <f aca="false">IF($A138="","",SUMIFS(대여내역!$J$3:$J$1002,대여내역!$C$3:$C$1002,$A138,대여내역!$J$3:$J$1002,"&gt;0"))</f>
        <v/>
      </c>
      <c r="F138" s="27" t="str">
        <f aca="false">IF($A138="","",IF(SUMIFS(대여내역!$G$3:$G$1002,대여내역!$C$3:$C$1002,$A138)=0,"",SUMIFS(대여내역!$I$3:$I$1002,대여내역!$C$3:$C$1002,$A138)/SUMIFS(대여내역!$G$3:$G$1002,대여내역!$C$3:$C$1002,$A138)))</f>
        <v/>
      </c>
    </row>
    <row r="139" customFormat="false" ht="15" hidden="false" customHeight="false" outlineLevel="0" collapsed="false">
      <c r="A139" s="14" t="str">
        <f aca="false">IF(대여처목록!$A138="","",대여처목록!$A138)</f>
        <v/>
      </c>
      <c r="B139" s="14" t="str">
        <f aca="false">IF($A139="","",대여처목록!$B138)</f>
        <v/>
      </c>
      <c r="C139" s="22" t="str">
        <f aca="false">IF($A139="","",COUNTIFS(대여내역!$C$3:$C$1002,$A139))</f>
        <v/>
      </c>
      <c r="D139" s="22" t="str">
        <f aca="false">IF($A139="","",COUNTIFS(대여내역!$C$3:$C$1002,$A139,대여내역!$J$3:$J$1002,"&gt;0"))</f>
        <v/>
      </c>
      <c r="E139" s="22" t="str">
        <f aca="false">IF($A139="","",SUMIFS(대여내역!$J$3:$J$1002,대여내역!$C$3:$C$1002,$A139,대여내역!$J$3:$J$1002,"&gt;0"))</f>
        <v/>
      </c>
      <c r="F139" s="27" t="str">
        <f aca="false">IF($A139="","",IF(SUMIFS(대여내역!$G$3:$G$1002,대여내역!$C$3:$C$1002,$A139)=0,"",SUMIFS(대여내역!$I$3:$I$1002,대여내역!$C$3:$C$1002,$A139)/SUMIFS(대여내역!$G$3:$G$1002,대여내역!$C$3:$C$1002,$A139)))</f>
        <v/>
      </c>
    </row>
    <row r="140" customFormat="false" ht="15" hidden="false" customHeight="false" outlineLevel="0" collapsed="false">
      <c r="A140" s="14" t="str">
        <f aca="false">IF(대여처목록!$A139="","",대여처목록!$A139)</f>
        <v/>
      </c>
      <c r="B140" s="14" t="str">
        <f aca="false">IF($A140="","",대여처목록!$B139)</f>
        <v/>
      </c>
      <c r="C140" s="22" t="str">
        <f aca="false">IF($A140="","",COUNTIFS(대여내역!$C$3:$C$1002,$A140))</f>
        <v/>
      </c>
      <c r="D140" s="22" t="str">
        <f aca="false">IF($A140="","",COUNTIFS(대여내역!$C$3:$C$1002,$A140,대여내역!$J$3:$J$1002,"&gt;0"))</f>
        <v/>
      </c>
      <c r="E140" s="22" t="str">
        <f aca="false">IF($A140="","",SUMIFS(대여내역!$J$3:$J$1002,대여내역!$C$3:$C$1002,$A140,대여내역!$J$3:$J$1002,"&gt;0"))</f>
        <v/>
      </c>
      <c r="F140" s="27" t="str">
        <f aca="false">IF($A140="","",IF(SUMIFS(대여내역!$G$3:$G$1002,대여내역!$C$3:$C$1002,$A140)=0,"",SUMIFS(대여내역!$I$3:$I$1002,대여내역!$C$3:$C$1002,$A140)/SUMIFS(대여내역!$G$3:$G$1002,대여내역!$C$3:$C$1002,$A140)))</f>
        <v/>
      </c>
    </row>
    <row r="141" customFormat="false" ht="15" hidden="false" customHeight="false" outlineLevel="0" collapsed="false">
      <c r="A141" s="14" t="str">
        <f aca="false">IF(대여처목록!$A140="","",대여처목록!$A140)</f>
        <v/>
      </c>
      <c r="B141" s="14" t="str">
        <f aca="false">IF($A141="","",대여처목록!$B140)</f>
        <v/>
      </c>
      <c r="C141" s="22" t="str">
        <f aca="false">IF($A141="","",COUNTIFS(대여내역!$C$3:$C$1002,$A141))</f>
        <v/>
      </c>
      <c r="D141" s="22" t="str">
        <f aca="false">IF($A141="","",COUNTIFS(대여내역!$C$3:$C$1002,$A141,대여내역!$J$3:$J$1002,"&gt;0"))</f>
        <v/>
      </c>
      <c r="E141" s="22" t="str">
        <f aca="false">IF($A141="","",SUMIFS(대여내역!$J$3:$J$1002,대여내역!$C$3:$C$1002,$A141,대여내역!$J$3:$J$1002,"&gt;0"))</f>
        <v/>
      </c>
      <c r="F141" s="27" t="str">
        <f aca="false">IF($A141="","",IF(SUMIFS(대여내역!$G$3:$G$1002,대여내역!$C$3:$C$1002,$A141)=0,"",SUMIFS(대여내역!$I$3:$I$1002,대여내역!$C$3:$C$1002,$A141)/SUMIFS(대여내역!$G$3:$G$1002,대여내역!$C$3:$C$1002,$A141)))</f>
        <v/>
      </c>
    </row>
    <row r="142" customFormat="false" ht="15" hidden="false" customHeight="false" outlineLevel="0" collapsed="false">
      <c r="A142" s="14" t="str">
        <f aca="false">IF(대여처목록!$A141="","",대여처목록!$A141)</f>
        <v/>
      </c>
      <c r="B142" s="14" t="str">
        <f aca="false">IF($A142="","",대여처목록!$B141)</f>
        <v/>
      </c>
      <c r="C142" s="22" t="str">
        <f aca="false">IF($A142="","",COUNTIFS(대여내역!$C$3:$C$1002,$A142))</f>
        <v/>
      </c>
      <c r="D142" s="22" t="str">
        <f aca="false">IF($A142="","",COUNTIFS(대여내역!$C$3:$C$1002,$A142,대여내역!$J$3:$J$1002,"&gt;0"))</f>
        <v/>
      </c>
      <c r="E142" s="22" t="str">
        <f aca="false">IF($A142="","",SUMIFS(대여내역!$J$3:$J$1002,대여내역!$C$3:$C$1002,$A142,대여내역!$J$3:$J$1002,"&gt;0"))</f>
        <v/>
      </c>
      <c r="F142" s="27" t="str">
        <f aca="false">IF($A142="","",IF(SUMIFS(대여내역!$G$3:$G$1002,대여내역!$C$3:$C$1002,$A142)=0,"",SUMIFS(대여내역!$I$3:$I$1002,대여내역!$C$3:$C$1002,$A142)/SUMIFS(대여내역!$G$3:$G$1002,대여내역!$C$3:$C$1002,$A142)))</f>
        <v/>
      </c>
    </row>
    <row r="143" customFormat="false" ht="15" hidden="false" customHeight="false" outlineLevel="0" collapsed="false">
      <c r="A143" s="14" t="str">
        <f aca="false">IF(대여처목록!$A142="","",대여처목록!$A142)</f>
        <v/>
      </c>
      <c r="B143" s="14" t="str">
        <f aca="false">IF($A143="","",대여처목록!$B142)</f>
        <v/>
      </c>
      <c r="C143" s="22" t="str">
        <f aca="false">IF($A143="","",COUNTIFS(대여내역!$C$3:$C$1002,$A143))</f>
        <v/>
      </c>
      <c r="D143" s="22" t="str">
        <f aca="false">IF($A143="","",COUNTIFS(대여내역!$C$3:$C$1002,$A143,대여내역!$J$3:$J$1002,"&gt;0"))</f>
        <v/>
      </c>
      <c r="E143" s="22" t="str">
        <f aca="false">IF($A143="","",SUMIFS(대여내역!$J$3:$J$1002,대여내역!$C$3:$C$1002,$A143,대여내역!$J$3:$J$1002,"&gt;0"))</f>
        <v/>
      </c>
      <c r="F143" s="27" t="str">
        <f aca="false">IF($A143="","",IF(SUMIFS(대여내역!$G$3:$G$1002,대여내역!$C$3:$C$1002,$A143)=0,"",SUMIFS(대여내역!$I$3:$I$1002,대여내역!$C$3:$C$1002,$A143)/SUMIFS(대여내역!$G$3:$G$1002,대여내역!$C$3:$C$1002,$A143)))</f>
        <v/>
      </c>
    </row>
    <row r="144" customFormat="false" ht="15" hidden="false" customHeight="false" outlineLevel="0" collapsed="false">
      <c r="A144" s="14" t="str">
        <f aca="false">IF(대여처목록!$A143="","",대여처목록!$A143)</f>
        <v/>
      </c>
      <c r="B144" s="14" t="str">
        <f aca="false">IF($A144="","",대여처목록!$B143)</f>
        <v/>
      </c>
      <c r="C144" s="22" t="str">
        <f aca="false">IF($A144="","",COUNTIFS(대여내역!$C$3:$C$1002,$A144))</f>
        <v/>
      </c>
      <c r="D144" s="22" t="str">
        <f aca="false">IF($A144="","",COUNTIFS(대여내역!$C$3:$C$1002,$A144,대여내역!$J$3:$J$1002,"&gt;0"))</f>
        <v/>
      </c>
      <c r="E144" s="22" t="str">
        <f aca="false">IF($A144="","",SUMIFS(대여내역!$J$3:$J$1002,대여내역!$C$3:$C$1002,$A144,대여내역!$J$3:$J$1002,"&gt;0"))</f>
        <v/>
      </c>
      <c r="F144" s="27" t="str">
        <f aca="false">IF($A144="","",IF(SUMIFS(대여내역!$G$3:$G$1002,대여내역!$C$3:$C$1002,$A144)=0,"",SUMIFS(대여내역!$I$3:$I$1002,대여내역!$C$3:$C$1002,$A144)/SUMIFS(대여내역!$G$3:$G$1002,대여내역!$C$3:$C$1002,$A144)))</f>
        <v/>
      </c>
    </row>
    <row r="145" customFormat="false" ht="15" hidden="false" customHeight="false" outlineLevel="0" collapsed="false">
      <c r="A145" s="14" t="str">
        <f aca="false">IF(대여처목록!$A144="","",대여처목록!$A144)</f>
        <v/>
      </c>
      <c r="B145" s="14" t="str">
        <f aca="false">IF($A145="","",대여처목록!$B144)</f>
        <v/>
      </c>
      <c r="C145" s="22" t="str">
        <f aca="false">IF($A145="","",COUNTIFS(대여내역!$C$3:$C$1002,$A145))</f>
        <v/>
      </c>
      <c r="D145" s="22" t="str">
        <f aca="false">IF($A145="","",COUNTIFS(대여내역!$C$3:$C$1002,$A145,대여내역!$J$3:$J$1002,"&gt;0"))</f>
        <v/>
      </c>
      <c r="E145" s="22" t="str">
        <f aca="false">IF($A145="","",SUMIFS(대여내역!$J$3:$J$1002,대여내역!$C$3:$C$1002,$A145,대여내역!$J$3:$J$1002,"&gt;0"))</f>
        <v/>
      </c>
      <c r="F145" s="27" t="str">
        <f aca="false">IF($A145="","",IF(SUMIFS(대여내역!$G$3:$G$1002,대여내역!$C$3:$C$1002,$A145)=0,"",SUMIFS(대여내역!$I$3:$I$1002,대여내역!$C$3:$C$1002,$A145)/SUMIFS(대여내역!$G$3:$G$1002,대여내역!$C$3:$C$1002,$A145)))</f>
        <v/>
      </c>
    </row>
    <row r="146" customFormat="false" ht="15" hidden="false" customHeight="false" outlineLevel="0" collapsed="false">
      <c r="A146" s="14" t="str">
        <f aca="false">IF(대여처목록!$A145="","",대여처목록!$A145)</f>
        <v/>
      </c>
      <c r="B146" s="14" t="str">
        <f aca="false">IF($A146="","",대여처목록!$B145)</f>
        <v/>
      </c>
      <c r="C146" s="22" t="str">
        <f aca="false">IF($A146="","",COUNTIFS(대여내역!$C$3:$C$1002,$A146))</f>
        <v/>
      </c>
      <c r="D146" s="22" t="str">
        <f aca="false">IF($A146="","",COUNTIFS(대여내역!$C$3:$C$1002,$A146,대여내역!$J$3:$J$1002,"&gt;0"))</f>
        <v/>
      </c>
      <c r="E146" s="22" t="str">
        <f aca="false">IF($A146="","",SUMIFS(대여내역!$J$3:$J$1002,대여내역!$C$3:$C$1002,$A146,대여내역!$J$3:$J$1002,"&gt;0"))</f>
        <v/>
      </c>
      <c r="F146" s="27" t="str">
        <f aca="false">IF($A146="","",IF(SUMIFS(대여내역!$G$3:$G$1002,대여내역!$C$3:$C$1002,$A146)=0,"",SUMIFS(대여내역!$I$3:$I$1002,대여내역!$C$3:$C$1002,$A146)/SUMIFS(대여내역!$G$3:$G$1002,대여내역!$C$3:$C$1002,$A146)))</f>
        <v/>
      </c>
    </row>
    <row r="147" customFormat="false" ht="15" hidden="false" customHeight="false" outlineLevel="0" collapsed="false">
      <c r="A147" s="14" t="str">
        <f aca="false">IF(대여처목록!$A146="","",대여처목록!$A146)</f>
        <v/>
      </c>
      <c r="B147" s="14" t="str">
        <f aca="false">IF($A147="","",대여처목록!$B146)</f>
        <v/>
      </c>
      <c r="C147" s="22" t="str">
        <f aca="false">IF($A147="","",COUNTIFS(대여내역!$C$3:$C$1002,$A147))</f>
        <v/>
      </c>
      <c r="D147" s="22" t="str">
        <f aca="false">IF($A147="","",COUNTIFS(대여내역!$C$3:$C$1002,$A147,대여내역!$J$3:$J$1002,"&gt;0"))</f>
        <v/>
      </c>
      <c r="E147" s="22" t="str">
        <f aca="false">IF($A147="","",SUMIFS(대여내역!$J$3:$J$1002,대여내역!$C$3:$C$1002,$A147,대여내역!$J$3:$J$1002,"&gt;0"))</f>
        <v/>
      </c>
      <c r="F147" s="27" t="str">
        <f aca="false">IF($A147="","",IF(SUMIFS(대여내역!$G$3:$G$1002,대여내역!$C$3:$C$1002,$A147)=0,"",SUMIFS(대여내역!$I$3:$I$1002,대여내역!$C$3:$C$1002,$A147)/SUMIFS(대여내역!$G$3:$G$1002,대여내역!$C$3:$C$1002,$A147)))</f>
        <v/>
      </c>
    </row>
    <row r="148" customFormat="false" ht="15" hidden="false" customHeight="false" outlineLevel="0" collapsed="false">
      <c r="A148" s="14" t="str">
        <f aca="false">IF(대여처목록!$A147="","",대여처목록!$A147)</f>
        <v/>
      </c>
      <c r="B148" s="14" t="str">
        <f aca="false">IF($A148="","",대여처목록!$B147)</f>
        <v/>
      </c>
      <c r="C148" s="22" t="str">
        <f aca="false">IF($A148="","",COUNTIFS(대여내역!$C$3:$C$1002,$A148))</f>
        <v/>
      </c>
      <c r="D148" s="22" t="str">
        <f aca="false">IF($A148="","",COUNTIFS(대여내역!$C$3:$C$1002,$A148,대여내역!$J$3:$J$1002,"&gt;0"))</f>
        <v/>
      </c>
      <c r="E148" s="22" t="str">
        <f aca="false">IF($A148="","",SUMIFS(대여내역!$J$3:$J$1002,대여내역!$C$3:$C$1002,$A148,대여내역!$J$3:$J$1002,"&gt;0"))</f>
        <v/>
      </c>
      <c r="F148" s="27" t="str">
        <f aca="false">IF($A148="","",IF(SUMIFS(대여내역!$G$3:$G$1002,대여내역!$C$3:$C$1002,$A148)=0,"",SUMIFS(대여내역!$I$3:$I$1002,대여내역!$C$3:$C$1002,$A148)/SUMIFS(대여내역!$G$3:$G$1002,대여내역!$C$3:$C$1002,$A148)))</f>
        <v/>
      </c>
    </row>
    <row r="149" customFormat="false" ht="15" hidden="false" customHeight="false" outlineLevel="0" collapsed="false">
      <c r="A149" s="14" t="str">
        <f aca="false">IF(대여처목록!$A148="","",대여처목록!$A148)</f>
        <v/>
      </c>
      <c r="B149" s="14" t="str">
        <f aca="false">IF($A149="","",대여처목록!$B148)</f>
        <v/>
      </c>
      <c r="C149" s="22" t="str">
        <f aca="false">IF($A149="","",COUNTIFS(대여내역!$C$3:$C$1002,$A149))</f>
        <v/>
      </c>
      <c r="D149" s="22" t="str">
        <f aca="false">IF($A149="","",COUNTIFS(대여내역!$C$3:$C$1002,$A149,대여내역!$J$3:$J$1002,"&gt;0"))</f>
        <v/>
      </c>
      <c r="E149" s="22" t="str">
        <f aca="false">IF($A149="","",SUMIFS(대여내역!$J$3:$J$1002,대여내역!$C$3:$C$1002,$A149,대여내역!$J$3:$J$1002,"&gt;0"))</f>
        <v/>
      </c>
      <c r="F149" s="27" t="str">
        <f aca="false">IF($A149="","",IF(SUMIFS(대여내역!$G$3:$G$1002,대여내역!$C$3:$C$1002,$A149)=0,"",SUMIFS(대여내역!$I$3:$I$1002,대여내역!$C$3:$C$1002,$A149)/SUMIFS(대여내역!$G$3:$G$1002,대여내역!$C$3:$C$1002,$A149)))</f>
        <v/>
      </c>
    </row>
    <row r="150" customFormat="false" ht="15" hidden="false" customHeight="false" outlineLevel="0" collapsed="false">
      <c r="A150" s="14" t="str">
        <f aca="false">IF(대여처목록!$A149="","",대여처목록!$A149)</f>
        <v/>
      </c>
      <c r="B150" s="14" t="str">
        <f aca="false">IF($A150="","",대여처목록!$B149)</f>
        <v/>
      </c>
      <c r="C150" s="22" t="str">
        <f aca="false">IF($A150="","",COUNTIFS(대여내역!$C$3:$C$1002,$A150))</f>
        <v/>
      </c>
      <c r="D150" s="22" t="str">
        <f aca="false">IF($A150="","",COUNTIFS(대여내역!$C$3:$C$1002,$A150,대여내역!$J$3:$J$1002,"&gt;0"))</f>
        <v/>
      </c>
      <c r="E150" s="22" t="str">
        <f aca="false">IF($A150="","",SUMIFS(대여내역!$J$3:$J$1002,대여내역!$C$3:$C$1002,$A150,대여내역!$J$3:$J$1002,"&gt;0"))</f>
        <v/>
      </c>
      <c r="F150" s="27" t="str">
        <f aca="false">IF($A150="","",IF(SUMIFS(대여내역!$G$3:$G$1002,대여내역!$C$3:$C$1002,$A150)=0,"",SUMIFS(대여내역!$I$3:$I$1002,대여내역!$C$3:$C$1002,$A150)/SUMIFS(대여내역!$G$3:$G$1002,대여내역!$C$3:$C$1002,$A150)))</f>
        <v/>
      </c>
    </row>
    <row r="151" customFormat="false" ht="15" hidden="false" customHeight="false" outlineLevel="0" collapsed="false">
      <c r="A151" s="14" t="str">
        <f aca="false">IF(대여처목록!$A150="","",대여처목록!$A150)</f>
        <v/>
      </c>
      <c r="B151" s="14" t="str">
        <f aca="false">IF($A151="","",대여처목록!$B150)</f>
        <v/>
      </c>
      <c r="C151" s="22" t="str">
        <f aca="false">IF($A151="","",COUNTIFS(대여내역!$C$3:$C$1002,$A151))</f>
        <v/>
      </c>
      <c r="D151" s="22" t="str">
        <f aca="false">IF($A151="","",COUNTIFS(대여내역!$C$3:$C$1002,$A151,대여내역!$J$3:$J$1002,"&gt;0"))</f>
        <v/>
      </c>
      <c r="E151" s="22" t="str">
        <f aca="false">IF($A151="","",SUMIFS(대여내역!$J$3:$J$1002,대여내역!$C$3:$C$1002,$A151,대여내역!$J$3:$J$1002,"&gt;0"))</f>
        <v/>
      </c>
      <c r="F151" s="27" t="str">
        <f aca="false">IF($A151="","",IF(SUMIFS(대여내역!$G$3:$G$1002,대여내역!$C$3:$C$1002,$A151)=0,"",SUMIFS(대여내역!$I$3:$I$1002,대여내역!$C$3:$C$1002,$A151)/SUMIFS(대여내역!$G$3:$G$1002,대여내역!$C$3:$C$1002,$A151)))</f>
        <v/>
      </c>
    </row>
    <row r="152" customFormat="false" ht="15" hidden="false" customHeight="false" outlineLevel="0" collapsed="false">
      <c r="A152" s="14" t="str">
        <f aca="false">IF(대여처목록!$A151="","",대여처목록!$A151)</f>
        <v/>
      </c>
      <c r="B152" s="14" t="str">
        <f aca="false">IF($A152="","",대여처목록!$B151)</f>
        <v/>
      </c>
      <c r="C152" s="22" t="str">
        <f aca="false">IF($A152="","",COUNTIFS(대여내역!$C$3:$C$1002,$A152))</f>
        <v/>
      </c>
      <c r="D152" s="22" t="str">
        <f aca="false">IF($A152="","",COUNTIFS(대여내역!$C$3:$C$1002,$A152,대여내역!$J$3:$J$1002,"&gt;0"))</f>
        <v/>
      </c>
      <c r="E152" s="22" t="str">
        <f aca="false">IF($A152="","",SUMIFS(대여내역!$J$3:$J$1002,대여내역!$C$3:$C$1002,$A152,대여내역!$J$3:$J$1002,"&gt;0"))</f>
        <v/>
      </c>
      <c r="F152" s="27" t="str">
        <f aca="false">IF($A152="","",IF(SUMIFS(대여내역!$G$3:$G$1002,대여내역!$C$3:$C$1002,$A152)=0,"",SUMIFS(대여내역!$I$3:$I$1002,대여내역!$C$3:$C$1002,$A152)/SUMIFS(대여내역!$G$3:$G$1002,대여내역!$C$3:$C$1002,$A152)))</f>
        <v/>
      </c>
    </row>
    <row r="153" customFormat="false" ht="15" hidden="false" customHeight="false" outlineLevel="0" collapsed="false">
      <c r="A153" s="14" t="str">
        <f aca="false">IF(대여처목록!$A152="","",대여처목록!$A152)</f>
        <v/>
      </c>
      <c r="B153" s="14" t="str">
        <f aca="false">IF($A153="","",대여처목록!$B152)</f>
        <v/>
      </c>
      <c r="C153" s="22" t="str">
        <f aca="false">IF($A153="","",COUNTIFS(대여내역!$C$3:$C$1002,$A153))</f>
        <v/>
      </c>
      <c r="D153" s="22" t="str">
        <f aca="false">IF($A153="","",COUNTIFS(대여내역!$C$3:$C$1002,$A153,대여내역!$J$3:$J$1002,"&gt;0"))</f>
        <v/>
      </c>
      <c r="E153" s="22" t="str">
        <f aca="false">IF($A153="","",SUMIFS(대여내역!$J$3:$J$1002,대여내역!$C$3:$C$1002,$A153,대여내역!$J$3:$J$1002,"&gt;0"))</f>
        <v/>
      </c>
      <c r="F153" s="27" t="str">
        <f aca="false">IF($A153="","",IF(SUMIFS(대여내역!$G$3:$G$1002,대여내역!$C$3:$C$1002,$A153)=0,"",SUMIFS(대여내역!$I$3:$I$1002,대여내역!$C$3:$C$1002,$A153)/SUMIFS(대여내역!$G$3:$G$1002,대여내역!$C$3:$C$1002,$A153)))</f>
        <v/>
      </c>
    </row>
    <row r="154" customFormat="false" ht="15" hidden="false" customHeight="false" outlineLevel="0" collapsed="false">
      <c r="A154" s="14" t="str">
        <f aca="false">IF(대여처목록!$A153="","",대여처목록!$A153)</f>
        <v/>
      </c>
      <c r="B154" s="14" t="str">
        <f aca="false">IF($A154="","",대여처목록!$B153)</f>
        <v/>
      </c>
      <c r="C154" s="22" t="str">
        <f aca="false">IF($A154="","",COUNTIFS(대여내역!$C$3:$C$1002,$A154))</f>
        <v/>
      </c>
      <c r="D154" s="22" t="str">
        <f aca="false">IF($A154="","",COUNTIFS(대여내역!$C$3:$C$1002,$A154,대여내역!$J$3:$J$1002,"&gt;0"))</f>
        <v/>
      </c>
      <c r="E154" s="22" t="str">
        <f aca="false">IF($A154="","",SUMIFS(대여내역!$J$3:$J$1002,대여내역!$C$3:$C$1002,$A154,대여내역!$J$3:$J$1002,"&gt;0"))</f>
        <v/>
      </c>
      <c r="F154" s="27" t="str">
        <f aca="false">IF($A154="","",IF(SUMIFS(대여내역!$G$3:$G$1002,대여내역!$C$3:$C$1002,$A154)=0,"",SUMIFS(대여내역!$I$3:$I$1002,대여내역!$C$3:$C$1002,$A154)/SUMIFS(대여내역!$G$3:$G$1002,대여내역!$C$3:$C$1002,$A154)))</f>
        <v/>
      </c>
    </row>
    <row r="155" customFormat="false" ht="15" hidden="false" customHeight="false" outlineLevel="0" collapsed="false">
      <c r="A155" s="14" t="str">
        <f aca="false">IF(대여처목록!$A154="","",대여처목록!$A154)</f>
        <v/>
      </c>
      <c r="B155" s="14" t="str">
        <f aca="false">IF($A155="","",대여처목록!$B154)</f>
        <v/>
      </c>
      <c r="C155" s="22" t="str">
        <f aca="false">IF($A155="","",COUNTIFS(대여내역!$C$3:$C$1002,$A155))</f>
        <v/>
      </c>
      <c r="D155" s="22" t="str">
        <f aca="false">IF($A155="","",COUNTIFS(대여내역!$C$3:$C$1002,$A155,대여내역!$J$3:$J$1002,"&gt;0"))</f>
        <v/>
      </c>
      <c r="E155" s="22" t="str">
        <f aca="false">IF($A155="","",SUMIFS(대여내역!$J$3:$J$1002,대여내역!$C$3:$C$1002,$A155,대여내역!$J$3:$J$1002,"&gt;0"))</f>
        <v/>
      </c>
      <c r="F155" s="27" t="str">
        <f aca="false">IF($A155="","",IF(SUMIFS(대여내역!$G$3:$G$1002,대여내역!$C$3:$C$1002,$A155)=0,"",SUMIFS(대여내역!$I$3:$I$1002,대여내역!$C$3:$C$1002,$A155)/SUMIFS(대여내역!$G$3:$G$1002,대여내역!$C$3:$C$1002,$A155)))</f>
        <v/>
      </c>
    </row>
    <row r="156" customFormat="false" ht="15" hidden="false" customHeight="false" outlineLevel="0" collapsed="false">
      <c r="A156" s="14" t="str">
        <f aca="false">IF(대여처목록!$A155="","",대여처목록!$A155)</f>
        <v/>
      </c>
      <c r="B156" s="14" t="str">
        <f aca="false">IF($A156="","",대여처목록!$B155)</f>
        <v/>
      </c>
      <c r="C156" s="22" t="str">
        <f aca="false">IF($A156="","",COUNTIFS(대여내역!$C$3:$C$1002,$A156))</f>
        <v/>
      </c>
      <c r="D156" s="22" t="str">
        <f aca="false">IF($A156="","",COUNTIFS(대여내역!$C$3:$C$1002,$A156,대여내역!$J$3:$J$1002,"&gt;0"))</f>
        <v/>
      </c>
      <c r="E156" s="22" t="str">
        <f aca="false">IF($A156="","",SUMIFS(대여내역!$J$3:$J$1002,대여내역!$C$3:$C$1002,$A156,대여내역!$J$3:$J$1002,"&gt;0"))</f>
        <v/>
      </c>
      <c r="F156" s="27" t="str">
        <f aca="false">IF($A156="","",IF(SUMIFS(대여내역!$G$3:$G$1002,대여내역!$C$3:$C$1002,$A156)=0,"",SUMIFS(대여내역!$I$3:$I$1002,대여내역!$C$3:$C$1002,$A156)/SUMIFS(대여내역!$G$3:$G$1002,대여내역!$C$3:$C$1002,$A156)))</f>
        <v/>
      </c>
    </row>
    <row r="157" customFormat="false" ht="15" hidden="false" customHeight="false" outlineLevel="0" collapsed="false">
      <c r="A157" s="14" t="str">
        <f aca="false">IF(대여처목록!$A156="","",대여처목록!$A156)</f>
        <v/>
      </c>
      <c r="B157" s="14" t="str">
        <f aca="false">IF($A157="","",대여처목록!$B156)</f>
        <v/>
      </c>
      <c r="C157" s="22" t="str">
        <f aca="false">IF($A157="","",COUNTIFS(대여내역!$C$3:$C$1002,$A157))</f>
        <v/>
      </c>
      <c r="D157" s="22" t="str">
        <f aca="false">IF($A157="","",COUNTIFS(대여내역!$C$3:$C$1002,$A157,대여내역!$J$3:$J$1002,"&gt;0"))</f>
        <v/>
      </c>
      <c r="E157" s="22" t="str">
        <f aca="false">IF($A157="","",SUMIFS(대여내역!$J$3:$J$1002,대여내역!$C$3:$C$1002,$A157,대여내역!$J$3:$J$1002,"&gt;0"))</f>
        <v/>
      </c>
      <c r="F157" s="27" t="str">
        <f aca="false">IF($A157="","",IF(SUMIFS(대여내역!$G$3:$G$1002,대여내역!$C$3:$C$1002,$A157)=0,"",SUMIFS(대여내역!$I$3:$I$1002,대여내역!$C$3:$C$1002,$A157)/SUMIFS(대여내역!$G$3:$G$1002,대여내역!$C$3:$C$1002,$A157)))</f>
        <v/>
      </c>
    </row>
    <row r="158" customFormat="false" ht="15" hidden="false" customHeight="false" outlineLevel="0" collapsed="false">
      <c r="A158" s="14" t="str">
        <f aca="false">IF(대여처목록!$A157="","",대여처목록!$A157)</f>
        <v/>
      </c>
      <c r="B158" s="14" t="str">
        <f aca="false">IF($A158="","",대여처목록!$B157)</f>
        <v/>
      </c>
      <c r="C158" s="22" t="str">
        <f aca="false">IF($A158="","",COUNTIFS(대여내역!$C$3:$C$1002,$A158))</f>
        <v/>
      </c>
      <c r="D158" s="22" t="str">
        <f aca="false">IF($A158="","",COUNTIFS(대여내역!$C$3:$C$1002,$A158,대여내역!$J$3:$J$1002,"&gt;0"))</f>
        <v/>
      </c>
      <c r="E158" s="22" t="str">
        <f aca="false">IF($A158="","",SUMIFS(대여내역!$J$3:$J$1002,대여내역!$C$3:$C$1002,$A158,대여내역!$J$3:$J$1002,"&gt;0"))</f>
        <v/>
      </c>
      <c r="F158" s="27" t="str">
        <f aca="false">IF($A158="","",IF(SUMIFS(대여내역!$G$3:$G$1002,대여내역!$C$3:$C$1002,$A158)=0,"",SUMIFS(대여내역!$I$3:$I$1002,대여내역!$C$3:$C$1002,$A158)/SUMIFS(대여내역!$G$3:$G$1002,대여내역!$C$3:$C$1002,$A158)))</f>
        <v/>
      </c>
    </row>
    <row r="159" customFormat="false" ht="15" hidden="false" customHeight="false" outlineLevel="0" collapsed="false">
      <c r="A159" s="14" t="str">
        <f aca="false">IF(대여처목록!$A158="","",대여처목록!$A158)</f>
        <v/>
      </c>
      <c r="B159" s="14" t="str">
        <f aca="false">IF($A159="","",대여처목록!$B158)</f>
        <v/>
      </c>
      <c r="C159" s="22" t="str">
        <f aca="false">IF($A159="","",COUNTIFS(대여내역!$C$3:$C$1002,$A159))</f>
        <v/>
      </c>
      <c r="D159" s="22" t="str">
        <f aca="false">IF($A159="","",COUNTIFS(대여내역!$C$3:$C$1002,$A159,대여내역!$J$3:$J$1002,"&gt;0"))</f>
        <v/>
      </c>
      <c r="E159" s="22" t="str">
        <f aca="false">IF($A159="","",SUMIFS(대여내역!$J$3:$J$1002,대여내역!$C$3:$C$1002,$A159,대여내역!$J$3:$J$1002,"&gt;0"))</f>
        <v/>
      </c>
      <c r="F159" s="27" t="str">
        <f aca="false">IF($A159="","",IF(SUMIFS(대여내역!$G$3:$G$1002,대여내역!$C$3:$C$1002,$A159)=0,"",SUMIFS(대여내역!$I$3:$I$1002,대여내역!$C$3:$C$1002,$A159)/SUMIFS(대여내역!$G$3:$G$1002,대여내역!$C$3:$C$1002,$A159)))</f>
        <v/>
      </c>
    </row>
    <row r="160" customFormat="false" ht="15" hidden="false" customHeight="false" outlineLevel="0" collapsed="false">
      <c r="A160" s="14" t="str">
        <f aca="false">IF(대여처목록!$A159="","",대여처목록!$A159)</f>
        <v/>
      </c>
      <c r="B160" s="14" t="str">
        <f aca="false">IF($A160="","",대여처목록!$B159)</f>
        <v/>
      </c>
      <c r="C160" s="22" t="str">
        <f aca="false">IF($A160="","",COUNTIFS(대여내역!$C$3:$C$1002,$A160))</f>
        <v/>
      </c>
      <c r="D160" s="22" t="str">
        <f aca="false">IF($A160="","",COUNTIFS(대여내역!$C$3:$C$1002,$A160,대여내역!$J$3:$J$1002,"&gt;0"))</f>
        <v/>
      </c>
      <c r="E160" s="22" t="str">
        <f aca="false">IF($A160="","",SUMIFS(대여내역!$J$3:$J$1002,대여내역!$C$3:$C$1002,$A160,대여내역!$J$3:$J$1002,"&gt;0"))</f>
        <v/>
      </c>
      <c r="F160" s="27" t="str">
        <f aca="false">IF($A160="","",IF(SUMIFS(대여내역!$G$3:$G$1002,대여내역!$C$3:$C$1002,$A160)=0,"",SUMIFS(대여내역!$I$3:$I$1002,대여내역!$C$3:$C$1002,$A160)/SUMIFS(대여내역!$G$3:$G$1002,대여내역!$C$3:$C$1002,$A160)))</f>
        <v/>
      </c>
    </row>
    <row r="161" customFormat="false" ht="15" hidden="false" customHeight="false" outlineLevel="0" collapsed="false">
      <c r="A161" s="14" t="str">
        <f aca="false">IF(대여처목록!$A160="","",대여처목록!$A160)</f>
        <v/>
      </c>
      <c r="B161" s="14" t="str">
        <f aca="false">IF($A161="","",대여처목록!$B160)</f>
        <v/>
      </c>
      <c r="C161" s="22" t="str">
        <f aca="false">IF($A161="","",COUNTIFS(대여내역!$C$3:$C$1002,$A161))</f>
        <v/>
      </c>
      <c r="D161" s="22" t="str">
        <f aca="false">IF($A161="","",COUNTIFS(대여내역!$C$3:$C$1002,$A161,대여내역!$J$3:$J$1002,"&gt;0"))</f>
        <v/>
      </c>
      <c r="E161" s="22" t="str">
        <f aca="false">IF($A161="","",SUMIFS(대여내역!$J$3:$J$1002,대여내역!$C$3:$C$1002,$A161,대여내역!$J$3:$J$1002,"&gt;0"))</f>
        <v/>
      </c>
      <c r="F161" s="27" t="str">
        <f aca="false">IF($A161="","",IF(SUMIFS(대여내역!$G$3:$G$1002,대여내역!$C$3:$C$1002,$A161)=0,"",SUMIFS(대여내역!$I$3:$I$1002,대여내역!$C$3:$C$1002,$A161)/SUMIFS(대여내역!$G$3:$G$1002,대여내역!$C$3:$C$1002,$A161)))</f>
        <v/>
      </c>
    </row>
    <row r="162" customFormat="false" ht="15" hidden="false" customHeight="false" outlineLevel="0" collapsed="false">
      <c r="A162" s="14" t="str">
        <f aca="false">IF(대여처목록!$A161="","",대여처목록!$A161)</f>
        <v/>
      </c>
      <c r="B162" s="14" t="str">
        <f aca="false">IF($A162="","",대여처목록!$B161)</f>
        <v/>
      </c>
      <c r="C162" s="22" t="str">
        <f aca="false">IF($A162="","",COUNTIFS(대여내역!$C$3:$C$1002,$A162))</f>
        <v/>
      </c>
      <c r="D162" s="22" t="str">
        <f aca="false">IF($A162="","",COUNTIFS(대여내역!$C$3:$C$1002,$A162,대여내역!$J$3:$J$1002,"&gt;0"))</f>
        <v/>
      </c>
      <c r="E162" s="22" t="str">
        <f aca="false">IF($A162="","",SUMIFS(대여내역!$J$3:$J$1002,대여내역!$C$3:$C$1002,$A162,대여내역!$J$3:$J$1002,"&gt;0"))</f>
        <v/>
      </c>
      <c r="F162" s="27" t="str">
        <f aca="false">IF($A162="","",IF(SUMIFS(대여내역!$G$3:$G$1002,대여내역!$C$3:$C$1002,$A162)=0,"",SUMIFS(대여내역!$I$3:$I$1002,대여내역!$C$3:$C$1002,$A162)/SUMIFS(대여내역!$G$3:$G$1002,대여내역!$C$3:$C$1002,$A162)))</f>
        <v/>
      </c>
    </row>
    <row r="163" customFormat="false" ht="15" hidden="false" customHeight="false" outlineLevel="0" collapsed="false">
      <c r="A163" s="14" t="str">
        <f aca="false">IF(대여처목록!$A162="","",대여처목록!$A162)</f>
        <v/>
      </c>
      <c r="B163" s="14" t="str">
        <f aca="false">IF($A163="","",대여처목록!$B162)</f>
        <v/>
      </c>
      <c r="C163" s="22" t="str">
        <f aca="false">IF($A163="","",COUNTIFS(대여내역!$C$3:$C$1002,$A163))</f>
        <v/>
      </c>
      <c r="D163" s="22" t="str">
        <f aca="false">IF($A163="","",COUNTIFS(대여내역!$C$3:$C$1002,$A163,대여내역!$J$3:$J$1002,"&gt;0"))</f>
        <v/>
      </c>
      <c r="E163" s="22" t="str">
        <f aca="false">IF($A163="","",SUMIFS(대여내역!$J$3:$J$1002,대여내역!$C$3:$C$1002,$A163,대여내역!$J$3:$J$1002,"&gt;0"))</f>
        <v/>
      </c>
      <c r="F163" s="27" t="str">
        <f aca="false">IF($A163="","",IF(SUMIFS(대여내역!$G$3:$G$1002,대여내역!$C$3:$C$1002,$A163)=0,"",SUMIFS(대여내역!$I$3:$I$1002,대여내역!$C$3:$C$1002,$A163)/SUMIFS(대여내역!$G$3:$G$1002,대여내역!$C$3:$C$1002,$A163)))</f>
        <v/>
      </c>
    </row>
    <row r="164" customFormat="false" ht="15" hidden="false" customHeight="false" outlineLevel="0" collapsed="false">
      <c r="A164" s="14" t="str">
        <f aca="false">IF(대여처목록!$A163="","",대여처목록!$A163)</f>
        <v/>
      </c>
      <c r="B164" s="14" t="str">
        <f aca="false">IF($A164="","",대여처목록!$B163)</f>
        <v/>
      </c>
      <c r="C164" s="22" t="str">
        <f aca="false">IF($A164="","",COUNTIFS(대여내역!$C$3:$C$1002,$A164))</f>
        <v/>
      </c>
      <c r="D164" s="22" t="str">
        <f aca="false">IF($A164="","",COUNTIFS(대여내역!$C$3:$C$1002,$A164,대여내역!$J$3:$J$1002,"&gt;0"))</f>
        <v/>
      </c>
      <c r="E164" s="22" t="str">
        <f aca="false">IF($A164="","",SUMIFS(대여내역!$J$3:$J$1002,대여내역!$C$3:$C$1002,$A164,대여내역!$J$3:$J$1002,"&gt;0"))</f>
        <v/>
      </c>
      <c r="F164" s="27" t="str">
        <f aca="false">IF($A164="","",IF(SUMIFS(대여내역!$G$3:$G$1002,대여내역!$C$3:$C$1002,$A164)=0,"",SUMIFS(대여내역!$I$3:$I$1002,대여내역!$C$3:$C$1002,$A164)/SUMIFS(대여내역!$G$3:$G$1002,대여내역!$C$3:$C$1002,$A164)))</f>
        <v/>
      </c>
    </row>
    <row r="165" customFormat="false" ht="15" hidden="false" customHeight="false" outlineLevel="0" collapsed="false">
      <c r="A165" s="14" t="str">
        <f aca="false">IF(대여처목록!$A164="","",대여처목록!$A164)</f>
        <v/>
      </c>
      <c r="B165" s="14" t="str">
        <f aca="false">IF($A165="","",대여처목록!$B164)</f>
        <v/>
      </c>
      <c r="C165" s="22" t="str">
        <f aca="false">IF($A165="","",COUNTIFS(대여내역!$C$3:$C$1002,$A165))</f>
        <v/>
      </c>
      <c r="D165" s="22" t="str">
        <f aca="false">IF($A165="","",COUNTIFS(대여내역!$C$3:$C$1002,$A165,대여내역!$J$3:$J$1002,"&gt;0"))</f>
        <v/>
      </c>
      <c r="E165" s="22" t="str">
        <f aca="false">IF($A165="","",SUMIFS(대여내역!$J$3:$J$1002,대여내역!$C$3:$C$1002,$A165,대여내역!$J$3:$J$1002,"&gt;0"))</f>
        <v/>
      </c>
      <c r="F165" s="27" t="str">
        <f aca="false">IF($A165="","",IF(SUMIFS(대여내역!$G$3:$G$1002,대여내역!$C$3:$C$1002,$A165)=0,"",SUMIFS(대여내역!$I$3:$I$1002,대여내역!$C$3:$C$1002,$A165)/SUMIFS(대여내역!$G$3:$G$1002,대여내역!$C$3:$C$1002,$A165)))</f>
        <v/>
      </c>
    </row>
    <row r="166" customFormat="false" ht="15" hidden="false" customHeight="false" outlineLevel="0" collapsed="false">
      <c r="A166" s="14" t="str">
        <f aca="false">IF(대여처목록!$A165="","",대여처목록!$A165)</f>
        <v/>
      </c>
      <c r="B166" s="14" t="str">
        <f aca="false">IF($A166="","",대여처목록!$B165)</f>
        <v/>
      </c>
      <c r="C166" s="22" t="str">
        <f aca="false">IF($A166="","",COUNTIFS(대여내역!$C$3:$C$1002,$A166))</f>
        <v/>
      </c>
      <c r="D166" s="22" t="str">
        <f aca="false">IF($A166="","",COUNTIFS(대여내역!$C$3:$C$1002,$A166,대여내역!$J$3:$J$1002,"&gt;0"))</f>
        <v/>
      </c>
      <c r="E166" s="22" t="str">
        <f aca="false">IF($A166="","",SUMIFS(대여내역!$J$3:$J$1002,대여내역!$C$3:$C$1002,$A166,대여내역!$J$3:$J$1002,"&gt;0"))</f>
        <v/>
      </c>
      <c r="F166" s="27" t="str">
        <f aca="false">IF($A166="","",IF(SUMIFS(대여내역!$G$3:$G$1002,대여내역!$C$3:$C$1002,$A166)=0,"",SUMIFS(대여내역!$I$3:$I$1002,대여내역!$C$3:$C$1002,$A166)/SUMIFS(대여내역!$G$3:$G$1002,대여내역!$C$3:$C$1002,$A166)))</f>
        <v/>
      </c>
    </row>
    <row r="167" customFormat="false" ht="15" hidden="false" customHeight="false" outlineLevel="0" collapsed="false">
      <c r="A167" s="14" t="str">
        <f aca="false">IF(대여처목록!$A166="","",대여처목록!$A166)</f>
        <v/>
      </c>
      <c r="B167" s="14" t="str">
        <f aca="false">IF($A167="","",대여처목록!$B166)</f>
        <v/>
      </c>
      <c r="C167" s="22" t="str">
        <f aca="false">IF($A167="","",COUNTIFS(대여내역!$C$3:$C$1002,$A167))</f>
        <v/>
      </c>
      <c r="D167" s="22" t="str">
        <f aca="false">IF($A167="","",COUNTIFS(대여내역!$C$3:$C$1002,$A167,대여내역!$J$3:$J$1002,"&gt;0"))</f>
        <v/>
      </c>
      <c r="E167" s="22" t="str">
        <f aca="false">IF($A167="","",SUMIFS(대여내역!$J$3:$J$1002,대여내역!$C$3:$C$1002,$A167,대여내역!$J$3:$J$1002,"&gt;0"))</f>
        <v/>
      </c>
      <c r="F167" s="27" t="str">
        <f aca="false">IF($A167="","",IF(SUMIFS(대여내역!$G$3:$G$1002,대여내역!$C$3:$C$1002,$A167)=0,"",SUMIFS(대여내역!$I$3:$I$1002,대여내역!$C$3:$C$1002,$A167)/SUMIFS(대여내역!$G$3:$G$1002,대여내역!$C$3:$C$1002,$A167)))</f>
        <v/>
      </c>
    </row>
    <row r="168" customFormat="false" ht="15" hidden="false" customHeight="false" outlineLevel="0" collapsed="false">
      <c r="A168" s="14" t="str">
        <f aca="false">IF(대여처목록!$A167="","",대여처목록!$A167)</f>
        <v/>
      </c>
      <c r="B168" s="14" t="str">
        <f aca="false">IF($A168="","",대여처목록!$B167)</f>
        <v/>
      </c>
      <c r="C168" s="22" t="str">
        <f aca="false">IF($A168="","",COUNTIFS(대여내역!$C$3:$C$1002,$A168))</f>
        <v/>
      </c>
      <c r="D168" s="22" t="str">
        <f aca="false">IF($A168="","",COUNTIFS(대여내역!$C$3:$C$1002,$A168,대여내역!$J$3:$J$1002,"&gt;0"))</f>
        <v/>
      </c>
      <c r="E168" s="22" t="str">
        <f aca="false">IF($A168="","",SUMIFS(대여내역!$J$3:$J$1002,대여내역!$C$3:$C$1002,$A168,대여내역!$J$3:$J$1002,"&gt;0"))</f>
        <v/>
      </c>
      <c r="F168" s="27" t="str">
        <f aca="false">IF($A168="","",IF(SUMIFS(대여내역!$G$3:$G$1002,대여내역!$C$3:$C$1002,$A168)=0,"",SUMIFS(대여내역!$I$3:$I$1002,대여내역!$C$3:$C$1002,$A168)/SUMIFS(대여내역!$G$3:$G$1002,대여내역!$C$3:$C$1002,$A168)))</f>
        <v/>
      </c>
    </row>
    <row r="169" customFormat="false" ht="15" hidden="false" customHeight="false" outlineLevel="0" collapsed="false">
      <c r="A169" s="14" t="str">
        <f aca="false">IF(대여처목록!$A168="","",대여처목록!$A168)</f>
        <v/>
      </c>
      <c r="B169" s="14" t="str">
        <f aca="false">IF($A169="","",대여처목록!$B168)</f>
        <v/>
      </c>
      <c r="C169" s="22" t="str">
        <f aca="false">IF($A169="","",COUNTIFS(대여내역!$C$3:$C$1002,$A169))</f>
        <v/>
      </c>
      <c r="D169" s="22" t="str">
        <f aca="false">IF($A169="","",COUNTIFS(대여내역!$C$3:$C$1002,$A169,대여내역!$J$3:$J$1002,"&gt;0"))</f>
        <v/>
      </c>
      <c r="E169" s="22" t="str">
        <f aca="false">IF($A169="","",SUMIFS(대여내역!$J$3:$J$1002,대여내역!$C$3:$C$1002,$A169,대여내역!$J$3:$J$1002,"&gt;0"))</f>
        <v/>
      </c>
      <c r="F169" s="27" t="str">
        <f aca="false">IF($A169="","",IF(SUMIFS(대여내역!$G$3:$G$1002,대여내역!$C$3:$C$1002,$A169)=0,"",SUMIFS(대여내역!$I$3:$I$1002,대여내역!$C$3:$C$1002,$A169)/SUMIFS(대여내역!$G$3:$G$1002,대여내역!$C$3:$C$1002,$A169)))</f>
        <v/>
      </c>
    </row>
    <row r="170" customFormat="false" ht="15" hidden="false" customHeight="false" outlineLevel="0" collapsed="false">
      <c r="A170" s="14" t="str">
        <f aca="false">IF(대여처목록!$A169="","",대여처목록!$A169)</f>
        <v/>
      </c>
      <c r="B170" s="14" t="str">
        <f aca="false">IF($A170="","",대여처목록!$B169)</f>
        <v/>
      </c>
      <c r="C170" s="22" t="str">
        <f aca="false">IF($A170="","",COUNTIFS(대여내역!$C$3:$C$1002,$A170))</f>
        <v/>
      </c>
      <c r="D170" s="22" t="str">
        <f aca="false">IF($A170="","",COUNTIFS(대여내역!$C$3:$C$1002,$A170,대여내역!$J$3:$J$1002,"&gt;0"))</f>
        <v/>
      </c>
      <c r="E170" s="22" t="str">
        <f aca="false">IF($A170="","",SUMIFS(대여내역!$J$3:$J$1002,대여내역!$C$3:$C$1002,$A170,대여내역!$J$3:$J$1002,"&gt;0"))</f>
        <v/>
      </c>
      <c r="F170" s="27" t="str">
        <f aca="false">IF($A170="","",IF(SUMIFS(대여내역!$G$3:$G$1002,대여내역!$C$3:$C$1002,$A170)=0,"",SUMIFS(대여내역!$I$3:$I$1002,대여내역!$C$3:$C$1002,$A170)/SUMIFS(대여내역!$G$3:$G$1002,대여내역!$C$3:$C$1002,$A170)))</f>
        <v/>
      </c>
    </row>
    <row r="171" customFormat="false" ht="15" hidden="false" customHeight="false" outlineLevel="0" collapsed="false">
      <c r="A171" s="14" t="str">
        <f aca="false">IF(대여처목록!$A170="","",대여처목록!$A170)</f>
        <v/>
      </c>
      <c r="B171" s="14" t="str">
        <f aca="false">IF($A171="","",대여처목록!$B170)</f>
        <v/>
      </c>
      <c r="C171" s="22" t="str">
        <f aca="false">IF($A171="","",COUNTIFS(대여내역!$C$3:$C$1002,$A171))</f>
        <v/>
      </c>
      <c r="D171" s="22" t="str">
        <f aca="false">IF($A171="","",COUNTIFS(대여내역!$C$3:$C$1002,$A171,대여내역!$J$3:$J$1002,"&gt;0"))</f>
        <v/>
      </c>
      <c r="E171" s="22" t="str">
        <f aca="false">IF($A171="","",SUMIFS(대여내역!$J$3:$J$1002,대여내역!$C$3:$C$1002,$A171,대여내역!$J$3:$J$1002,"&gt;0"))</f>
        <v/>
      </c>
      <c r="F171" s="27" t="str">
        <f aca="false">IF($A171="","",IF(SUMIFS(대여내역!$G$3:$G$1002,대여내역!$C$3:$C$1002,$A171)=0,"",SUMIFS(대여내역!$I$3:$I$1002,대여내역!$C$3:$C$1002,$A171)/SUMIFS(대여내역!$G$3:$G$1002,대여내역!$C$3:$C$1002,$A171)))</f>
        <v/>
      </c>
    </row>
    <row r="172" customFormat="false" ht="15" hidden="false" customHeight="false" outlineLevel="0" collapsed="false">
      <c r="A172" s="14" t="str">
        <f aca="false">IF(대여처목록!$A171="","",대여처목록!$A171)</f>
        <v/>
      </c>
      <c r="B172" s="14" t="str">
        <f aca="false">IF($A172="","",대여처목록!$B171)</f>
        <v/>
      </c>
      <c r="C172" s="22" t="str">
        <f aca="false">IF($A172="","",COUNTIFS(대여내역!$C$3:$C$1002,$A172))</f>
        <v/>
      </c>
      <c r="D172" s="22" t="str">
        <f aca="false">IF($A172="","",COUNTIFS(대여내역!$C$3:$C$1002,$A172,대여내역!$J$3:$J$1002,"&gt;0"))</f>
        <v/>
      </c>
      <c r="E172" s="22" t="str">
        <f aca="false">IF($A172="","",SUMIFS(대여내역!$J$3:$J$1002,대여내역!$C$3:$C$1002,$A172,대여내역!$J$3:$J$1002,"&gt;0"))</f>
        <v/>
      </c>
      <c r="F172" s="27" t="str">
        <f aca="false">IF($A172="","",IF(SUMIFS(대여내역!$G$3:$G$1002,대여내역!$C$3:$C$1002,$A172)=0,"",SUMIFS(대여내역!$I$3:$I$1002,대여내역!$C$3:$C$1002,$A172)/SUMIFS(대여내역!$G$3:$G$1002,대여내역!$C$3:$C$1002,$A172)))</f>
        <v/>
      </c>
    </row>
    <row r="173" customFormat="false" ht="15" hidden="false" customHeight="false" outlineLevel="0" collapsed="false">
      <c r="A173" s="14" t="str">
        <f aca="false">IF(대여처목록!$A172="","",대여처목록!$A172)</f>
        <v/>
      </c>
      <c r="B173" s="14" t="str">
        <f aca="false">IF($A173="","",대여처목록!$B172)</f>
        <v/>
      </c>
      <c r="C173" s="22" t="str">
        <f aca="false">IF($A173="","",COUNTIFS(대여내역!$C$3:$C$1002,$A173))</f>
        <v/>
      </c>
      <c r="D173" s="22" t="str">
        <f aca="false">IF($A173="","",COUNTIFS(대여내역!$C$3:$C$1002,$A173,대여내역!$J$3:$J$1002,"&gt;0"))</f>
        <v/>
      </c>
      <c r="E173" s="22" t="str">
        <f aca="false">IF($A173="","",SUMIFS(대여내역!$J$3:$J$1002,대여내역!$C$3:$C$1002,$A173,대여내역!$J$3:$J$1002,"&gt;0"))</f>
        <v/>
      </c>
      <c r="F173" s="27" t="str">
        <f aca="false">IF($A173="","",IF(SUMIFS(대여내역!$G$3:$G$1002,대여내역!$C$3:$C$1002,$A173)=0,"",SUMIFS(대여내역!$I$3:$I$1002,대여내역!$C$3:$C$1002,$A173)/SUMIFS(대여내역!$G$3:$G$1002,대여내역!$C$3:$C$1002,$A173)))</f>
        <v/>
      </c>
    </row>
    <row r="174" customFormat="false" ht="15" hidden="false" customHeight="false" outlineLevel="0" collapsed="false">
      <c r="A174" s="14" t="str">
        <f aca="false">IF(대여처목록!$A173="","",대여처목록!$A173)</f>
        <v/>
      </c>
      <c r="B174" s="14" t="str">
        <f aca="false">IF($A174="","",대여처목록!$B173)</f>
        <v/>
      </c>
      <c r="C174" s="22" t="str">
        <f aca="false">IF($A174="","",COUNTIFS(대여내역!$C$3:$C$1002,$A174))</f>
        <v/>
      </c>
      <c r="D174" s="22" t="str">
        <f aca="false">IF($A174="","",COUNTIFS(대여내역!$C$3:$C$1002,$A174,대여내역!$J$3:$J$1002,"&gt;0"))</f>
        <v/>
      </c>
      <c r="E174" s="22" t="str">
        <f aca="false">IF($A174="","",SUMIFS(대여내역!$J$3:$J$1002,대여내역!$C$3:$C$1002,$A174,대여내역!$J$3:$J$1002,"&gt;0"))</f>
        <v/>
      </c>
      <c r="F174" s="27" t="str">
        <f aca="false">IF($A174="","",IF(SUMIFS(대여내역!$G$3:$G$1002,대여내역!$C$3:$C$1002,$A174)=0,"",SUMIFS(대여내역!$I$3:$I$1002,대여내역!$C$3:$C$1002,$A174)/SUMIFS(대여내역!$G$3:$G$1002,대여내역!$C$3:$C$1002,$A174)))</f>
        <v/>
      </c>
    </row>
    <row r="175" customFormat="false" ht="15" hidden="false" customHeight="false" outlineLevel="0" collapsed="false">
      <c r="A175" s="14" t="str">
        <f aca="false">IF(대여처목록!$A174="","",대여처목록!$A174)</f>
        <v/>
      </c>
      <c r="B175" s="14" t="str">
        <f aca="false">IF($A175="","",대여처목록!$B174)</f>
        <v/>
      </c>
      <c r="C175" s="22" t="str">
        <f aca="false">IF($A175="","",COUNTIFS(대여내역!$C$3:$C$1002,$A175))</f>
        <v/>
      </c>
      <c r="D175" s="22" t="str">
        <f aca="false">IF($A175="","",COUNTIFS(대여내역!$C$3:$C$1002,$A175,대여내역!$J$3:$J$1002,"&gt;0"))</f>
        <v/>
      </c>
      <c r="E175" s="22" t="str">
        <f aca="false">IF($A175="","",SUMIFS(대여내역!$J$3:$J$1002,대여내역!$C$3:$C$1002,$A175,대여내역!$J$3:$J$1002,"&gt;0"))</f>
        <v/>
      </c>
      <c r="F175" s="27" t="str">
        <f aca="false">IF($A175="","",IF(SUMIFS(대여내역!$G$3:$G$1002,대여내역!$C$3:$C$1002,$A175)=0,"",SUMIFS(대여내역!$I$3:$I$1002,대여내역!$C$3:$C$1002,$A175)/SUMIFS(대여내역!$G$3:$G$1002,대여내역!$C$3:$C$1002,$A175)))</f>
        <v/>
      </c>
    </row>
    <row r="176" customFormat="false" ht="15" hidden="false" customHeight="false" outlineLevel="0" collapsed="false">
      <c r="A176" s="14" t="str">
        <f aca="false">IF(대여처목록!$A175="","",대여처목록!$A175)</f>
        <v/>
      </c>
      <c r="B176" s="14" t="str">
        <f aca="false">IF($A176="","",대여처목록!$B175)</f>
        <v/>
      </c>
      <c r="C176" s="22" t="str">
        <f aca="false">IF($A176="","",COUNTIFS(대여내역!$C$3:$C$1002,$A176))</f>
        <v/>
      </c>
      <c r="D176" s="22" t="str">
        <f aca="false">IF($A176="","",COUNTIFS(대여내역!$C$3:$C$1002,$A176,대여내역!$J$3:$J$1002,"&gt;0"))</f>
        <v/>
      </c>
      <c r="E176" s="22" t="str">
        <f aca="false">IF($A176="","",SUMIFS(대여내역!$J$3:$J$1002,대여내역!$C$3:$C$1002,$A176,대여내역!$J$3:$J$1002,"&gt;0"))</f>
        <v/>
      </c>
      <c r="F176" s="27" t="str">
        <f aca="false">IF($A176="","",IF(SUMIFS(대여내역!$G$3:$G$1002,대여내역!$C$3:$C$1002,$A176)=0,"",SUMIFS(대여내역!$I$3:$I$1002,대여내역!$C$3:$C$1002,$A176)/SUMIFS(대여내역!$G$3:$G$1002,대여내역!$C$3:$C$1002,$A176)))</f>
        <v/>
      </c>
    </row>
    <row r="177" customFormat="false" ht="15" hidden="false" customHeight="false" outlineLevel="0" collapsed="false">
      <c r="A177" s="14" t="str">
        <f aca="false">IF(대여처목록!$A176="","",대여처목록!$A176)</f>
        <v/>
      </c>
      <c r="B177" s="14" t="str">
        <f aca="false">IF($A177="","",대여처목록!$B176)</f>
        <v/>
      </c>
      <c r="C177" s="22" t="str">
        <f aca="false">IF($A177="","",COUNTIFS(대여내역!$C$3:$C$1002,$A177))</f>
        <v/>
      </c>
      <c r="D177" s="22" t="str">
        <f aca="false">IF($A177="","",COUNTIFS(대여내역!$C$3:$C$1002,$A177,대여내역!$J$3:$J$1002,"&gt;0"))</f>
        <v/>
      </c>
      <c r="E177" s="22" t="str">
        <f aca="false">IF($A177="","",SUMIFS(대여내역!$J$3:$J$1002,대여내역!$C$3:$C$1002,$A177,대여내역!$J$3:$J$1002,"&gt;0"))</f>
        <v/>
      </c>
      <c r="F177" s="27" t="str">
        <f aca="false">IF($A177="","",IF(SUMIFS(대여내역!$G$3:$G$1002,대여내역!$C$3:$C$1002,$A177)=0,"",SUMIFS(대여내역!$I$3:$I$1002,대여내역!$C$3:$C$1002,$A177)/SUMIFS(대여내역!$G$3:$G$1002,대여내역!$C$3:$C$1002,$A177)))</f>
        <v/>
      </c>
    </row>
    <row r="178" customFormat="false" ht="15" hidden="false" customHeight="false" outlineLevel="0" collapsed="false">
      <c r="A178" s="14" t="str">
        <f aca="false">IF(대여처목록!$A177="","",대여처목록!$A177)</f>
        <v/>
      </c>
      <c r="B178" s="14" t="str">
        <f aca="false">IF($A178="","",대여처목록!$B177)</f>
        <v/>
      </c>
      <c r="C178" s="22" t="str">
        <f aca="false">IF($A178="","",COUNTIFS(대여내역!$C$3:$C$1002,$A178))</f>
        <v/>
      </c>
      <c r="D178" s="22" t="str">
        <f aca="false">IF($A178="","",COUNTIFS(대여내역!$C$3:$C$1002,$A178,대여내역!$J$3:$J$1002,"&gt;0"))</f>
        <v/>
      </c>
      <c r="E178" s="22" t="str">
        <f aca="false">IF($A178="","",SUMIFS(대여내역!$J$3:$J$1002,대여내역!$C$3:$C$1002,$A178,대여내역!$J$3:$J$1002,"&gt;0"))</f>
        <v/>
      </c>
      <c r="F178" s="27" t="str">
        <f aca="false">IF($A178="","",IF(SUMIFS(대여내역!$G$3:$G$1002,대여내역!$C$3:$C$1002,$A178)=0,"",SUMIFS(대여내역!$I$3:$I$1002,대여내역!$C$3:$C$1002,$A178)/SUMIFS(대여내역!$G$3:$G$1002,대여내역!$C$3:$C$1002,$A178)))</f>
        <v/>
      </c>
    </row>
    <row r="179" customFormat="false" ht="15" hidden="false" customHeight="false" outlineLevel="0" collapsed="false">
      <c r="A179" s="14" t="str">
        <f aca="false">IF(대여처목록!$A178="","",대여처목록!$A178)</f>
        <v/>
      </c>
      <c r="B179" s="14" t="str">
        <f aca="false">IF($A179="","",대여처목록!$B178)</f>
        <v/>
      </c>
      <c r="C179" s="22" t="str">
        <f aca="false">IF($A179="","",COUNTIFS(대여내역!$C$3:$C$1002,$A179))</f>
        <v/>
      </c>
      <c r="D179" s="22" t="str">
        <f aca="false">IF($A179="","",COUNTIFS(대여내역!$C$3:$C$1002,$A179,대여내역!$J$3:$J$1002,"&gt;0"))</f>
        <v/>
      </c>
      <c r="E179" s="22" t="str">
        <f aca="false">IF($A179="","",SUMIFS(대여내역!$J$3:$J$1002,대여내역!$C$3:$C$1002,$A179,대여내역!$J$3:$J$1002,"&gt;0"))</f>
        <v/>
      </c>
      <c r="F179" s="27" t="str">
        <f aca="false">IF($A179="","",IF(SUMIFS(대여내역!$G$3:$G$1002,대여내역!$C$3:$C$1002,$A179)=0,"",SUMIFS(대여내역!$I$3:$I$1002,대여내역!$C$3:$C$1002,$A179)/SUMIFS(대여내역!$G$3:$G$1002,대여내역!$C$3:$C$1002,$A179)))</f>
        <v/>
      </c>
    </row>
    <row r="180" customFormat="false" ht="15" hidden="false" customHeight="false" outlineLevel="0" collapsed="false">
      <c r="A180" s="14" t="str">
        <f aca="false">IF(대여처목록!$A179="","",대여처목록!$A179)</f>
        <v/>
      </c>
      <c r="B180" s="14" t="str">
        <f aca="false">IF($A180="","",대여처목록!$B179)</f>
        <v/>
      </c>
      <c r="C180" s="22" t="str">
        <f aca="false">IF($A180="","",COUNTIFS(대여내역!$C$3:$C$1002,$A180))</f>
        <v/>
      </c>
      <c r="D180" s="22" t="str">
        <f aca="false">IF($A180="","",COUNTIFS(대여내역!$C$3:$C$1002,$A180,대여내역!$J$3:$J$1002,"&gt;0"))</f>
        <v/>
      </c>
      <c r="E180" s="22" t="str">
        <f aca="false">IF($A180="","",SUMIFS(대여내역!$J$3:$J$1002,대여내역!$C$3:$C$1002,$A180,대여내역!$J$3:$J$1002,"&gt;0"))</f>
        <v/>
      </c>
      <c r="F180" s="27" t="str">
        <f aca="false">IF($A180="","",IF(SUMIFS(대여내역!$G$3:$G$1002,대여내역!$C$3:$C$1002,$A180)=0,"",SUMIFS(대여내역!$I$3:$I$1002,대여내역!$C$3:$C$1002,$A180)/SUMIFS(대여내역!$G$3:$G$1002,대여내역!$C$3:$C$1002,$A180)))</f>
        <v/>
      </c>
    </row>
    <row r="181" customFormat="false" ht="15" hidden="false" customHeight="false" outlineLevel="0" collapsed="false">
      <c r="A181" s="14" t="str">
        <f aca="false">IF(대여처목록!$A180="","",대여처목록!$A180)</f>
        <v/>
      </c>
      <c r="B181" s="14" t="str">
        <f aca="false">IF($A181="","",대여처목록!$B180)</f>
        <v/>
      </c>
      <c r="C181" s="22" t="str">
        <f aca="false">IF($A181="","",COUNTIFS(대여내역!$C$3:$C$1002,$A181))</f>
        <v/>
      </c>
      <c r="D181" s="22" t="str">
        <f aca="false">IF($A181="","",COUNTIFS(대여내역!$C$3:$C$1002,$A181,대여내역!$J$3:$J$1002,"&gt;0"))</f>
        <v/>
      </c>
      <c r="E181" s="22" t="str">
        <f aca="false">IF($A181="","",SUMIFS(대여내역!$J$3:$J$1002,대여내역!$C$3:$C$1002,$A181,대여내역!$J$3:$J$1002,"&gt;0"))</f>
        <v/>
      </c>
      <c r="F181" s="27" t="str">
        <f aca="false">IF($A181="","",IF(SUMIFS(대여내역!$G$3:$G$1002,대여내역!$C$3:$C$1002,$A181)=0,"",SUMIFS(대여내역!$I$3:$I$1002,대여내역!$C$3:$C$1002,$A181)/SUMIFS(대여내역!$G$3:$G$1002,대여내역!$C$3:$C$1002,$A181)))</f>
        <v/>
      </c>
    </row>
    <row r="182" customFormat="false" ht="15" hidden="false" customHeight="false" outlineLevel="0" collapsed="false">
      <c r="A182" s="14" t="str">
        <f aca="false">IF(대여처목록!$A181="","",대여처목록!$A181)</f>
        <v/>
      </c>
      <c r="B182" s="14" t="str">
        <f aca="false">IF($A182="","",대여처목록!$B181)</f>
        <v/>
      </c>
      <c r="C182" s="22" t="str">
        <f aca="false">IF($A182="","",COUNTIFS(대여내역!$C$3:$C$1002,$A182))</f>
        <v/>
      </c>
      <c r="D182" s="22" t="str">
        <f aca="false">IF($A182="","",COUNTIFS(대여내역!$C$3:$C$1002,$A182,대여내역!$J$3:$J$1002,"&gt;0"))</f>
        <v/>
      </c>
      <c r="E182" s="22" t="str">
        <f aca="false">IF($A182="","",SUMIFS(대여내역!$J$3:$J$1002,대여내역!$C$3:$C$1002,$A182,대여내역!$J$3:$J$1002,"&gt;0"))</f>
        <v/>
      </c>
      <c r="F182" s="27" t="str">
        <f aca="false">IF($A182="","",IF(SUMIFS(대여내역!$G$3:$G$1002,대여내역!$C$3:$C$1002,$A182)=0,"",SUMIFS(대여내역!$I$3:$I$1002,대여내역!$C$3:$C$1002,$A182)/SUMIFS(대여내역!$G$3:$G$1002,대여내역!$C$3:$C$1002,$A182)))</f>
        <v/>
      </c>
    </row>
    <row r="183" customFormat="false" ht="15" hidden="false" customHeight="false" outlineLevel="0" collapsed="false">
      <c r="A183" s="14" t="str">
        <f aca="false">IF(대여처목록!$A182="","",대여처목록!$A182)</f>
        <v/>
      </c>
      <c r="B183" s="14" t="str">
        <f aca="false">IF($A183="","",대여처목록!$B182)</f>
        <v/>
      </c>
      <c r="C183" s="22" t="str">
        <f aca="false">IF($A183="","",COUNTIFS(대여내역!$C$3:$C$1002,$A183))</f>
        <v/>
      </c>
      <c r="D183" s="22" t="str">
        <f aca="false">IF($A183="","",COUNTIFS(대여내역!$C$3:$C$1002,$A183,대여내역!$J$3:$J$1002,"&gt;0"))</f>
        <v/>
      </c>
      <c r="E183" s="22" t="str">
        <f aca="false">IF($A183="","",SUMIFS(대여내역!$J$3:$J$1002,대여내역!$C$3:$C$1002,$A183,대여내역!$J$3:$J$1002,"&gt;0"))</f>
        <v/>
      </c>
      <c r="F183" s="27" t="str">
        <f aca="false">IF($A183="","",IF(SUMIFS(대여내역!$G$3:$G$1002,대여내역!$C$3:$C$1002,$A183)=0,"",SUMIFS(대여내역!$I$3:$I$1002,대여내역!$C$3:$C$1002,$A183)/SUMIFS(대여내역!$G$3:$G$1002,대여내역!$C$3:$C$1002,$A183)))</f>
        <v/>
      </c>
    </row>
    <row r="184" customFormat="false" ht="15" hidden="false" customHeight="false" outlineLevel="0" collapsed="false">
      <c r="A184" s="14" t="str">
        <f aca="false">IF(대여처목록!$A183="","",대여처목록!$A183)</f>
        <v/>
      </c>
      <c r="B184" s="14" t="str">
        <f aca="false">IF($A184="","",대여처목록!$B183)</f>
        <v/>
      </c>
      <c r="C184" s="22" t="str">
        <f aca="false">IF($A184="","",COUNTIFS(대여내역!$C$3:$C$1002,$A184))</f>
        <v/>
      </c>
      <c r="D184" s="22" t="str">
        <f aca="false">IF($A184="","",COUNTIFS(대여내역!$C$3:$C$1002,$A184,대여내역!$J$3:$J$1002,"&gt;0"))</f>
        <v/>
      </c>
      <c r="E184" s="22" t="str">
        <f aca="false">IF($A184="","",SUMIFS(대여내역!$J$3:$J$1002,대여내역!$C$3:$C$1002,$A184,대여내역!$J$3:$J$1002,"&gt;0"))</f>
        <v/>
      </c>
      <c r="F184" s="27" t="str">
        <f aca="false">IF($A184="","",IF(SUMIFS(대여내역!$G$3:$G$1002,대여내역!$C$3:$C$1002,$A184)=0,"",SUMIFS(대여내역!$I$3:$I$1002,대여내역!$C$3:$C$1002,$A184)/SUMIFS(대여내역!$G$3:$G$1002,대여내역!$C$3:$C$1002,$A184)))</f>
        <v/>
      </c>
    </row>
    <row r="185" customFormat="false" ht="15" hidden="false" customHeight="false" outlineLevel="0" collapsed="false">
      <c r="A185" s="14" t="str">
        <f aca="false">IF(대여처목록!$A184="","",대여처목록!$A184)</f>
        <v/>
      </c>
      <c r="B185" s="14" t="str">
        <f aca="false">IF($A185="","",대여처목록!$B184)</f>
        <v/>
      </c>
      <c r="C185" s="22" t="str">
        <f aca="false">IF($A185="","",COUNTIFS(대여내역!$C$3:$C$1002,$A185))</f>
        <v/>
      </c>
      <c r="D185" s="22" t="str">
        <f aca="false">IF($A185="","",COUNTIFS(대여내역!$C$3:$C$1002,$A185,대여내역!$J$3:$J$1002,"&gt;0"))</f>
        <v/>
      </c>
      <c r="E185" s="22" t="str">
        <f aca="false">IF($A185="","",SUMIFS(대여내역!$J$3:$J$1002,대여내역!$C$3:$C$1002,$A185,대여내역!$J$3:$J$1002,"&gt;0"))</f>
        <v/>
      </c>
      <c r="F185" s="27" t="str">
        <f aca="false">IF($A185="","",IF(SUMIFS(대여내역!$G$3:$G$1002,대여내역!$C$3:$C$1002,$A185)=0,"",SUMIFS(대여내역!$I$3:$I$1002,대여내역!$C$3:$C$1002,$A185)/SUMIFS(대여내역!$G$3:$G$1002,대여내역!$C$3:$C$1002,$A185)))</f>
        <v/>
      </c>
    </row>
    <row r="186" customFormat="false" ht="15" hidden="false" customHeight="false" outlineLevel="0" collapsed="false">
      <c r="A186" s="14" t="str">
        <f aca="false">IF(대여처목록!$A185="","",대여처목록!$A185)</f>
        <v/>
      </c>
      <c r="B186" s="14" t="str">
        <f aca="false">IF($A186="","",대여처목록!$B185)</f>
        <v/>
      </c>
      <c r="C186" s="22" t="str">
        <f aca="false">IF($A186="","",COUNTIFS(대여내역!$C$3:$C$1002,$A186))</f>
        <v/>
      </c>
      <c r="D186" s="22" t="str">
        <f aca="false">IF($A186="","",COUNTIFS(대여내역!$C$3:$C$1002,$A186,대여내역!$J$3:$J$1002,"&gt;0"))</f>
        <v/>
      </c>
      <c r="E186" s="22" t="str">
        <f aca="false">IF($A186="","",SUMIFS(대여내역!$J$3:$J$1002,대여내역!$C$3:$C$1002,$A186,대여내역!$J$3:$J$1002,"&gt;0"))</f>
        <v/>
      </c>
      <c r="F186" s="27" t="str">
        <f aca="false">IF($A186="","",IF(SUMIFS(대여내역!$G$3:$G$1002,대여내역!$C$3:$C$1002,$A186)=0,"",SUMIFS(대여내역!$I$3:$I$1002,대여내역!$C$3:$C$1002,$A186)/SUMIFS(대여내역!$G$3:$G$1002,대여내역!$C$3:$C$1002,$A186)))</f>
        <v/>
      </c>
    </row>
    <row r="187" customFormat="false" ht="15" hidden="false" customHeight="false" outlineLevel="0" collapsed="false">
      <c r="A187" s="14" t="str">
        <f aca="false">IF(대여처목록!$A186="","",대여처목록!$A186)</f>
        <v/>
      </c>
      <c r="B187" s="14" t="str">
        <f aca="false">IF($A187="","",대여처목록!$B186)</f>
        <v/>
      </c>
      <c r="C187" s="22" t="str">
        <f aca="false">IF($A187="","",COUNTIFS(대여내역!$C$3:$C$1002,$A187))</f>
        <v/>
      </c>
      <c r="D187" s="22" t="str">
        <f aca="false">IF($A187="","",COUNTIFS(대여내역!$C$3:$C$1002,$A187,대여내역!$J$3:$J$1002,"&gt;0"))</f>
        <v/>
      </c>
      <c r="E187" s="22" t="str">
        <f aca="false">IF($A187="","",SUMIFS(대여내역!$J$3:$J$1002,대여내역!$C$3:$C$1002,$A187,대여내역!$J$3:$J$1002,"&gt;0"))</f>
        <v/>
      </c>
      <c r="F187" s="27" t="str">
        <f aca="false">IF($A187="","",IF(SUMIFS(대여내역!$G$3:$G$1002,대여내역!$C$3:$C$1002,$A187)=0,"",SUMIFS(대여내역!$I$3:$I$1002,대여내역!$C$3:$C$1002,$A187)/SUMIFS(대여내역!$G$3:$G$1002,대여내역!$C$3:$C$1002,$A187)))</f>
        <v/>
      </c>
    </row>
    <row r="188" customFormat="false" ht="15" hidden="false" customHeight="false" outlineLevel="0" collapsed="false">
      <c r="A188" s="14" t="str">
        <f aca="false">IF(대여처목록!$A187="","",대여처목록!$A187)</f>
        <v/>
      </c>
      <c r="B188" s="14" t="str">
        <f aca="false">IF($A188="","",대여처목록!$B187)</f>
        <v/>
      </c>
      <c r="C188" s="22" t="str">
        <f aca="false">IF($A188="","",COUNTIFS(대여내역!$C$3:$C$1002,$A188))</f>
        <v/>
      </c>
      <c r="D188" s="22" t="str">
        <f aca="false">IF($A188="","",COUNTIFS(대여내역!$C$3:$C$1002,$A188,대여내역!$J$3:$J$1002,"&gt;0"))</f>
        <v/>
      </c>
      <c r="E188" s="22" t="str">
        <f aca="false">IF($A188="","",SUMIFS(대여내역!$J$3:$J$1002,대여내역!$C$3:$C$1002,$A188,대여내역!$J$3:$J$1002,"&gt;0"))</f>
        <v/>
      </c>
      <c r="F188" s="27" t="str">
        <f aca="false">IF($A188="","",IF(SUMIFS(대여내역!$G$3:$G$1002,대여내역!$C$3:$C$1002,$A188)=0,"",SUMIFS(대여내역!$I$3:$I$1002,대여내역!$C$3:$C$1002,$A188)/SUMIFS(대여내역!$G$3:$G$1002,대여내역!$C$3:$C$1002,$A188)))</f>
        <v/>
      </c>
    </row>
    <row r="189" customFormat="false" ht="15" hidden="false" customHeight="false" outlineLevel="0" collapsed="false">
      <c r="A189" s="14" t="str">
        <f aca="false">IF(대여처목록!$A188="","",대여처목록!$A188)</f>
        <v/>
      </c>
      <c r="B189" s="14" t="str">
        <f aca="false">IF($A189="","",대여처목록!$B188)</f>
        <v/>
      </c>
      <c r="C189" s="22" t="str">
        <f aca="false">IF($A189="","",COUNTIFS(대여내역!$C$3:$C$1002,$A189))</f>
        <v/>
      </c>
      <c r="D189" s="22" t="str">
        <f aca="false">IF($A189="","",COUNTIFS(대여내역!$C$3:$C$1002,$A189,대여내역!$J$3:$J$1002,"&gt;0"))</f>
        <v/>
      </c>
      <c r="E189" s="22" t="str">
        <f aca="false">IF($A189="","",SUMIFS(대여내역!$J$3:$J$1002,대여내역!$C$3:$C$1002,$A189,대여내역!$J$3:$J$1002,"&gt;0"))</f>
        <v/>
      </c>
      <c r="F189" s="27" t="str">
        <f aca="false">IF($A189="","",IF(SUMIFS(대여내역!$G$3:$G$1002,대여내역!$C$3:$C$1002,$A189)=0,"",SUMIFS(대여내역!$I$3:$I$1002,대여내역!$C$3:$C$1002,$A189)/SUMIFS(대여내역!$G$3:$G$1002,대여내역!$C$3:$C$1002,$A189)))</f>
        <v/>
      </c>
    </row>
    <row r="190" customFormat="false" ht="15" hidden="false" customHeight="false" outlineLevel="0" collapsed="false">
      <c r="A190" s="14" t="str">
        <f aca="false">IF(대여처목록!$A189="","",대여처목록!$A189)</f>
        <v/>
      </c>
      <c r="B190" s="14" t="str">
        <f aca="false">IF($A190="","",대여처목록!$B189)</f>
        <v/>
      </c>
      <c r="C190" s="22" t="str">
        <f aca="false">IF($A190="","",COUNTIFS(대여내역!$C$3:$C$1002,$A190))</f>
        <v/>
      </c>
      <c r="D190" s="22" t="str">
        <f aca="false">IF($A190="","",COUNTIFS(대여내역!$C$3:$C$1002,$A190,대여내역!$J$3:$J$1002,"&gt;0"))</f>
        <v/>
      </c>
      <c r="E190" s="22" t="str">
        <f aca="false">IF($A190="","",SUMIFS(대여내역!$J$3:$J$1002,대여내역!$C$3:$C$1002,$A190,대여내역!$J$3:$J$1002,"&gt;0"))</f>
        <v/>
      </c>
      <c r="F190" s="27" t="str">
        <f aca="false">IF($A190="","",IF(SUMIFS(대여내역!$G$3:$G$1002,대여내역!$C$3:$C$1002,$A190)=0,"",SUMIFS(대여내역!$I$3:$I$1002,대여내역!$C$3:$C$1002,$A190)/SUMIFS(대여내역!$G$3:$G$1002,대여내역!$C$3:$C$1002,$A190)))</f>
        <v/>
      </c>
    </row>
    <row r="191" customFormat="false" ht="15" hidden="false" customHeight="false" outlineLevel="0" collapsed="false">
      <c r="A191" s="14" t="str">
        <f aca="false">IF(대여처목록!$A190="","",대여처목록!$A190)</f>
        <v/>
      </c>
      <c r="B191" s="14" t="str">
        <f aca="false">IF($A191="","",대여처목록!$B190)</f>
        <v/>
      </c>
      <c r="C191" s="22" t="str">
        <f aca="false">IF($A191="","",COUNTIFS(대여내역!$C$3:$C$1002,$A191))</f>
        <v/>
      </c>
      <c r="D191" s="22" t="str">
        <f aca="false">IF($A191="","",COUNTIFS(대여내역!$C$3:$C$1002,$A191,대여내역!$J$3:$J$1002,"&gt;0"))</f>
        <v/>
      </c>
      <c r="E191" s="22" t="str">
        <f aca="false">IF($A191="","",SUMIFS(대여내역!$J$3:$J$1002,대여내역!$C$3:$C$1002,$A191,대여내역!$J$3:$J$1002,"&gt;0"))</f>
        <v/>
      </c>
      <c r="F191" s="27" t="str">
        <f aca="false">IF($A191="","",IF(SUMIFS(대여내역!$G$3:$G$1002,대여내역!$C$3:$C$1002,$A191)=0,"",SUMIFS(대여내역!$I$3:$I$1002,대여내역!$C$3:$C$1002,$A191)/SUMIFS(대여내역!$G$3:$G$1002,대여내역!$C$3:$C$1002,$A191)))</f>
        <v/>
      </c>
    </row>
    <row r="192" customFormat="false" ht="15" hidden="false" customHeight="false" outlineLevel="0" collapsed="false">
      <c r="A192" s="14" t="str">
        <f aca="false">IF(대여처목록!$A191="","",대여처목록!$A191)</f>
        <v/>
      </c>
      <c r="B192" s="14" t="str">
        <f aca="false">IF($A192="","",대여처목록!$B191)</f>
        <v/>
      </c>
      <c r="C192" s="22" t="str">
        <f aca="false">IF($A192="","",COUNTIFS(대여내역!$C$3:$C$1002,$A192))</f>
        <v/>
      </c>
      <c r="D192" s="22" t="str">
        <f aca="false">IF($A192="","",COUNTIFS(대여내역!$C$3:$C$1002,$A192,대여내역!$J$3:$J$1002,"&gt;0"))</f>
        <v/>
      </c>
      <c r="E192" s="22" t="str">
        <f aca="false">IF($A192="","",SUMIFS(대여내역!$J$3:$J$1002,대여내역!$C$3:$C$1002,$A192,대여내역!$J$3:$J$1002,"&gt;0"))</f>
        <v/>
      </c>
      <c r="F192" s="27" t="str">
        <f aca="false">IF($A192="","",IF(SUMIFS(대여내역!$G$3:$G$1002,대여내역!$C$3:$C$1002,$A192)=0,"",SUMIFS(대여내역!$I$3:$I$1002,대여내역!$C$3:$C$1002,$A192)/SUMIFS(대여내역!$G$3:$G$1002,대여내역!$C$3:$C$1002,$A192)))</f>
        <v/>
      </c>
    </row>
    <row r="193" customFormat="false" ht="15" hidden="false" customHeight="false" outlineLevel="0" collapsed="false">
      <c r="A193" s="14" t="str">
        <f aca="false">IF(대여처목록!$A192="","",대여처목록!$A192)</f>
        <v/>
      </c>
      <c r="B193" s="14" t="str">
        <f aca="false">IF($A193="","",대여처목록!$B192)</f>
        <v/>
      </c>
      <c r="C193" s="22" t="str">
        <f aca="false">IF($A193="","",COUNTIFS(대여내역!$C$3:$C$1002,$A193))</f>
        <v/>
      </c>
      <c r="D193" s="22" t="str">
        <f aca="false">IF($A193="","",COUNTIFS(대여내역!$C$3:$C$1002,$A193,대여내역!$J$3:$J$1002,"&gt;0"))</f>
        <v/>
      </c>
      <c r="E193" s="22" t="str">
        <f aca="false">IF($A193="","",SUMIFS(대여내역!$J$3:$J$1002,대여내역!$C$3:$C$1002,$A193,대여내역!$J$3:$J$1002,"&gt;0"))</f>
        <v/>
      </c>
      <c r="F193" s="27" t="str">
        <f aca="false">IF($A193="","",IF(SUMIFS(대여내역!$G$3:$G$1002,대여내역!$C$3:$C$1002,$A193)=0,"",SUMIFS(대여내역!$I$3:$I$1002,대여내역!$C$3:$C$1002,$A193)/SUMIFS(대여내역!$G$3:$G$1002,대여내역!$C$3:$C$1002,$A193)))</f>
        <v/>
      </c>
    </row>
    <row r="194" customFormat="false" ht="15" hidden="false" customHeight="false" outlineLevel="0" collapsed="false">
      <c r="A194" s="14" t="str">
        <f aca="false">IF(대여처목록!$A193="","",대여처목록!$A193)</f>
        <v/>
      </c>
      <c r="B194" s="14" t="str">
        <f aca="false">IF($A194="","",대여처목록!$B193)</f>
        <v/>
      </c>
      <c r="C194" s="22" t="str">
        <f aca="false">IF($A194="","",COUNTIFS(대여내역!$C$3:$C$1002,$A194))</f>
        <v/>
      </c>
      <c r="D194" s="22" t="str">
        <f aca="false">IF($A194="","",COUNTIFS(대여내역!$C$3:$C$1002,$A194,대여내역!$J$3:$J$1002,"&gt;0"))</f>
        <v/>
      </c>
      <c r="E194" s="22" t="str">
        <f aca="false">IF($A194="","",SUMIFS(대여내역!$J$3:$J$1002,대여내역!$C$3:$C$1002,$A194,대여내역!$J$3:$J$1002,"&gt;0"))</f>
        <v/>
      </c>
      <c r="F194" s="27" t="str">
        <f aca="false">IF($A194="","",IF(SUMIFS(대여내역!$G$3:$G$1002,대여내역!$C$3:$C$1002,$A194)=0,"",SUMIFS(대여내역!$I$3:$I$1002,대여내역!$C$3:$C$1002,$A194)/SUMIFS(대여내역!$G$3:$G$1002,대여내역!$C$3:$C$1002,$A194)))</f>
        <v/>
      </c>
    </row>
    <row r="195" customFormat="false" ht="15" hidden="false" customHeight="false" outlineLevel="0" collapsed="false">
      <c r="A195" s="14" t="str">
        <f aca="false">IF(대여처목록!$A194="","",대여처목록!$A194)</f>
        <v/>
      </c>
      <c r="B195" s="14" t="str">
        <f aca="false">IF($A195="","",대여처목록!$B194)</f>
        <v/>
      </c>
      <c r="C195" s="22" t="str">
        <f aca="false">IF($A195="","",COUNTIFS(대여내역!$C$3:$C$1002,$A195))</f>
        <v/>
      </c>
      <c r="D195" s="22" t="str">
        <f aca="false">IF($A195="","",COUNTIFS(대여내역!$C$3:$C$1002,$A195,대여내역!$J$3:$J$1002,"&gt;0"))</f>
        <v/>
      </c>
      <c r="E195" s="22" t="str">
        <f aca="false">IF($A195="","",SUMIFS(대여내역!$J$3:$J$1002,대여내역!$C$3:$C$1002,$A195,대여내역!$J$3:$J$1002,"&gt;0"))</f>
        <v/>
      </c>
      <c r="F195" s="27" t="str">
        <f aca="false">IF($A195="","",IF(SUMIFS(대여내역!$G$3:$G$1002,대여내역!$C$3:$C$1002,$A195)=0,"",SUMIFS(대여내역!$I$3:$I$1002,대여내역!$C$3:$C$1002,$A195)/SUMIFS(대여내역!$G$3:$G$1002,대여내역!$C$3:$C$1002,$A195)))</f>
        <v/>
      </c>
    </row>
    <row r="196" customFormat="false" ht="15" hidden="false" customHeight="false" outlineLevel="0" collapsed="false">
      <c r="A196" s="14" t="str">
        <f aca="false">IF(대여처목록!$A195="","",대여처목록!$A195)</f>
        <v/>
      </c>
      <c r="B196" s="14" t="str">
        <f aca="false">IF($A196="","",대여처목록!$B195)</f>
        <v/>
      </c>
      <c r="C196" s="22" t="str">
        <f aca="false">IF($A196="","",COUNTIFS(대여내역!$C$3:$C$1002,$A196))</f>
        <v/>
      </c>
      <c r="D196" s="22" t="str">
        <f aca="false">IF($A196="","",COUNTIFS(대여내역!$C$3:$C$1002,$A196,대여내역!$J$3:$J$1002,"&gt;0"))</f>
        <v/>
      </c>
      <c r="E196" s="22" t="str">
        <f aca="false">IF($A196="","",SUMIFS(대여내역!$J$3:$J$1002,대여내역!$C$3:$C$1002,$A196,대여내역!$J$3:$J$1002,"&gt;0"))</f>
        <v/>
      </c>
      <c r="F196" s="27" t="str">
        <f aca="false">IF($A196="","",IF(SUMIFS(대여내역!$G$3:$G$1002,대여내역!$C$3:$C$1002,$A196)=0,"",SUMIFS(대여내역!$I$3:$I$1002,대여내역!$C$3:$C$1002,$A196)/SUMIFS(대여내역!$G$3:$G$1002,대여내역!$C$3:$C$1002,$A196)))</f>
        <v/>
      </c>
    </row>
    <row r="197" customFormat="false" ht="15" hidden="false" customHeight="false" outlineLevel="0" collapsed="false">
      <c r="A197" s="14" t="str">
        <f aca="false">IF(대여처목록!$A196="","",대여처목록!$A196)</f>
        <v/>
      </c>
      <c r="B197" s="14" t="str">
        <f aca="false">IF($A197="","",대여처목록!$B196)</f>
        <v/>
      </c>
      <c r="C197" s="22" t="str">
        <f aca="false">IF($A197="","",COUNTIFS(대여내역!$C$3:$C$1002,$A197))</f>
        <v/>
      </c>
      <c r="D197" s="22" t="str">
        <f aca="false">IF($A197="","",COUNTIFS(대여내역!$C$3:$C$1002,$A197,대여내역!$J$3:$J$1002,"&gt;0"))</f>
        <v/>
      </c>
      <c r="E197" s="22" t="str">
        <f aca="false">IF($A197="","",SUMIFS(대여내역!$J$3:$J$1002,대여내역!$C$3:$C$1002,$A197,대여내역!$J$3:$J$1002,"&gt;0"))</f>
        <v/>
      </c>
      <c r="F197" s="27" t="str">
        <f aca="false">IF($A197="","",IF(SUMIFS(대여내역!$G$3:$G$1002,대여내역!$C$3:$C$1002,$A197)=0,"",SUMIFS(대여내역!$I$3:$I$1002,대여내역!$C$3:$C$1002,$A197)/SUMIFS(대여내역!$G$3:$G$1002,대여내역!$C$3:$C$1002,$A197)))</f>
        <v/>
      </c>
    </row>
    <row r="198" customFormat="false" ht="15" hidden="false" customHeight="false" outlineLevel="0" collapsed="false">
      <c r="A198" s="14" t="str">
        <f aca="false">IF(대여처목록!$A197="","",대여처목록!$A197)</f>
        <v/>
      </c>
      <c r="B198" s="14" t="str">
        <f aca="false">IF($A198="","",대여처목록!$B197)</f>
        <v/>
      </c>
      <c r="C198" s="22" t="str">
        <f aca="false">IF($A198="","",COUNTIFS(대여내역!$C$3:$C$1002,$A198))</f>
        <v/>
      </c>
      <c r="D198" s="22" t="str">
        <f aca="false">IF($A198="","",COUNTIFS(대여내역!$C$3:$C$1002,$A198,대여내역!$J$3:$J$1002,"&gt;0"))</f>
        <v/>
      </c>
      <c r="E198" s="22" t="str">
        <f aca="false">IF($A198="","",SUMIFS(대여내역!$J$3:$J$1002,대여내역!$C$3:$C$1002,$A198,대여내역!$J$3:$J$1002,"&gt;0"))</f>
        <v/>
      </c>
      <c r="F198" s="27" t="str">
        <f aca="false">IF($A198="","",IF(SUMIFS(대여내역!$G$3:$G$1002,대여내역!$C$3:$C$1002,$A198)=0,"",SUMIFS(대여내역!$I$3:$I$1002,대여내역!$C$3:$C$1002,$A198)/SUMIFS(대여내역!$G$3:$G$1002,대여내역!$C$3:$C$1002,$A198)))</f>
        <v/>
      </c>
    </row>
    <row r="199" customFormat="false" ht="15" hidden="false" customHeight="false" outlineLevel="0" collapsed="false">
      <c r="A199" s="14" t="str">
        <f aca="false">IF(대여처목록!$A198="","",대여처목록!$A198)</f>
        <v/>
      </c>
      <c r="B199" s="14" t="str">
        <f aca="false">IF($A199="","",대여처목록!$B198)</f>
        <v/>
      </c>
      <c r="C199" s="22" t="str">
        <f aca="false">IF($A199="","",COUNTIFS(대여내역!$C$3:$C$1002,$A199))</f>
        <v/>
      </c>
      <c r="D199" s="22" t="str">
        <f aca="false">IF($A199="","",COUNTIFS(대여내역!$C$3:$C$1002,$A199,대여내역!$J$3:$J$1002,"&gt;0"))</f>
        <v/>
      </c>
      <c r="E199" s="22" t="str">
        <f aca="false">IF($A199="","",SUMIFS(대여내역!$J$3:$J$1002,대여내역!$C$3:$C$1002,$A199,대여내역!$J$3:$J$1002,"&gt;0"))</f>
        <v/>
      </c>
      <c r="F199" s="27" t="str">
        <f aca="false">IF($A199="","",IF(SUMIFS(대여내역!$G$3:$G$1002,대여내역!$C$3:$C$1002,$A199)=0,"",SUMIFS(대여내역!$I$3:$I$1002,대여내역!$C$3:$C$1002,$A199)/SUMIFS(대여내역!$G$3:$G$1002,대여내역!$C$3:$C$1002,$A199)))</f>
        <v/>
      </c>
    </row>
    <row r="200" customFormat="false" ht="15" hidden="false" customHeight="false" outlineLevel="0" collapsed="false">
      <c r="A200" s="14" t="str">
        <f aca="false">IF(대여처목록!$A199="","",대여처목록!$A199)</f>
        <v/>
      </c>
      <c r="B200" s="14" t="str">
        <f aca="false">IF($A200="","",대여처목록!$B199)</f>
        <v/>
      </c>
      <c r="C200" s="22" t="str">
        <f aca="false">IF($A200="","",COUNTIFS(대여내역!$C$3:$C$1002,$A200))</f>
        <v/>
      </c>
      <c r="D200" s="22" t="str">
        <f aca="false">IF($A200="","",COUNTIFS(대여내역!$C$3:$C$1002,$A200,대여내역!$J$3:$J$1002,"&gt;0"))</f>
        <v/>
      </c>
      <c r="E200" s="22" t="str">
        <f aca="false">IF($A200="","",SUMIFS(대여내역!$J$3:$J$1002,대여내역!$C$3:$C$1002,$A200,대여내역!$J$3:$J$1002,"&gt;0"))</f>
        <v/>
      </c>
      <c r="F200" s="27" t="str">
        <f aca="false">IF($A200="","",IF(SUMIFS(대여내역!$G$3:$G$1002,대여내역!$C$3:$C$1002,$A200)=0,"",SUMIFS(대여내역!$I$3:$I$1002,대여내역!$C$3:$C$1002,$A200)/SUMIFS(대여내역!$G$3:$G$1002,대여내역!$C$3:$C$1002,$A200)))</f>
        <v/>
      </c>
    </row>
    <row r="201" customFormat="false" ht="15" hidden="false" customHeight="false" outlineLevel="0" collapsed="false">
      <c r="A201" s="14" t="str">
        <f aca="false">IF(대여처목록!$A200="","",대여처목록!$A200)</f>
        <v/>
      </c>
      <c r="B201" s="14" t="str">
        <f aca="false">IF($A201="","",대여처목록!$B200)</f>
        <v/>
      </c>
      <c r="C201" s="22" t="str">
        <f aca="false">IF($A201="","",COUNTIFS(대여내역!$C$3:$C$1002,$A201))</f>
        <v/>
      </c>
      <c r="D201" s="22" t="str">
        <f aca="false">IF($A201="","",COUNTIFS(대여내역!$C$3:$C$1002,$A201,대여내역!$J$3:$J$1002,"&gt;0"))</f>
        <v/>
      </c>
      <c r="E201" s="22" t="str">
        <f aca="false">IF($A201="","",SUMIFS(대여내역!$J$3:$J$1002,대여내역!$C$3:$C$1002,$A201,대여내역!$J$3:$J$1002,"&gt;0"))</f>
        <v/>
      </c>
      <c r="F201" s="27" t="str">
        <f aca="false">IF($A201="","",IF(SUMIFS(대여내역!$G$3:$G$1002,대여내역!$C$3:$C$1002,$A201)=0,"",SUMIFS(대여내역!$I$3:$I$1002,대여내역!$C$3:$C$1002,$A201)/SUMIFS(대여내역!$G$3:$G$1002,대여내역!$C$3:$C$1002,$A201)))</f>
        <v/>
      </c>
    </row>
    <row r="202" customFormat="false" ht="15" hidden="false" customHeight="false" outlineLevel="0" collapsed="false">
      <c r="A202" s="14" t="str">
        <f aca="false">IF(대여처목록!$A201="","",대여처목록!$A201)</f>
        <v/>
      </c>
      <c r="B202" s="14" t="str">
        <f aca="false">IF($A202="","",대여처목록!$B201)</f>
        <v/>
      </c>
      <c r="C202" s="22" t="str">
        <f aca="false">IF($A202="","",COUNTIFS(대여내역!$C$3:$C$1002,$A202))</f>
        <v/>
      </c>
      <c r="D202" s="22" t="str">
        <f aca="false">IF($A202="","",COUNTIFS(대여내역!$C$3:$C$1002,$A202,대여내역!$J$3:$J$1002,"&gt;0"))</f>
        <v/>
      </c>
      <c r="E202" s="22" t="str">
        <f aca="false">IF($A202="","",SUMIFS(대여내역!$J$3:$J$1002,대여내역!$C$3:$C$1002,$A202,대여내역!$J$3:$J$1002,"&gt;0"))</f>
        <v/>
      </c>
      <c r="F202" s="27" t="str">
        <f aca="false">IF($A202="","",IF(SUMIFS(대여내역!$G$3:$G$1002,대여내역!$C$3:$C$1002,$A202)=0,"",SUMIFS(대여내역!$I$3:$I$1002,대여내역!$C$3:$C$1002,$A202)/SUMIFS(대여내역!$G$3:$G$1002,대여내역!$C$3:$C$1002,$A202)))</f>
        <v/>
      </c>
    </row>
    <row r="203" customFormat="false" ht="15" hidden="false" customHeight="false" outlineLevel="0" collapsed="false">
      <c r="A203" s="14" t="str">
        <f aca="false">IF(대여처목록!$A202="","",대여처목록!$A202)</f>
        <v/>
      </c>
      <c r="B203" s="14" t="str">
        <f aca="false">IF($A203="","",대여처목록!$B202)</f>
        <v/>
      </c>
      <c r="C203" s="22" t="str">
        <f aca="false">IF($A203="","",COUNTIFS(대여내역!$C$3:$C$1002,$A203))</f>
        <v/>
      </c>
      <c r="D203" s="22" t="str">
        <f aca="false">IF($A203="","",COUNTIFS(대여내역!$C$3:$C$1002,$A203,대여내역!$J$3:$J$1002,"&gt;0"))</f>
        <v/>
      </c>
      <c r="E203" s="22" t="str">
        <f aca="false">IF($A203="","",SUMIFS(대여내역!$J$3:$J$1002,대여내역!$C$3:$C$1002,$A203,대여내역!$J$3:$J$1002,"&gt;0"))</f>
        <v/>
      </c>
      <c r="F203" s="27" t="str">
        <f aca="false">IF($A203="","",IF(SUMIFS(대여내역!$G$3:$G$1002,대여내역!$C$3:$C$1002,$A203)=0,"",SUMIFS(대여내역!$I$3:$I$1002,대여내역!$C$3:$C$1002,$A203)/SUMIFS(대여내역!$G$3:$G$1002,대여내역!$C$3:$C$1002,$A203)))</f>
        <v/>
      </c>
    </row>
  </sheetData>
  <mergeCells count="1">
    <mergeCell ref="A1:F1"/>
  </mergeCells>
  <conditionalFormatting sqref="A4:F203">
    <cfRule type="expression" priority="2" aboveAverage="0" equalAverage="0" bottom="0" percent="0" rank="0" text="" dxfId="2">
      <formula>AND($A4&lt;&gt;"",$D4&gt;0)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2026-09-14T10:17:44Z</dcterms:created>
  <dc:creator>openpyxl</dc:creator>
  <dc:description/>
  <dc:language>en-US</dc:language>
  <cp:lastModifiedBy/>
  <dcterms:modified xsi:type="dcterms:W3CDTF">2026-09-14T10:21:05Z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