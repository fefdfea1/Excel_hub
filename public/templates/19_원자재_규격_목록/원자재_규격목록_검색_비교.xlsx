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원자재마스터" sheetId="2" state="visible" r:id="rId4"/>
    <sheet name="규격검색" sheetId="3" state="visible" r:id="rId5"/>
    <sheet name="규격비교" sheetId="4" state="visible" r:id="rId6"/>
    <sheet name="거래처별목록" sheetId="5" state="visible" r:id="rId7"/>
    <sheet name="규격라벨" sheetId="6" state="visible" r:id="rId8"/>
  </sheets>
  <definedNames>
    <definedName function="false" hidden="false" localSheetId="5" name="_xlnm.Print_Area" vbProcedure="false">규격라벨!$A$1:$E$21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<sst xmlns="http://schemas.openxmlformats.org/spreadsheetml/2006/main" count="110" uniqueCount="76">
  <si>
    <t xml:space="preserve">원자재 규격 목록 · 검색 · 비교</t>
  </si>
  <si>
    <t xml:space="preserve">핵심</t>
  </si>
  <si>
    <t xml:space="preserve">원자재명 옆에 규격을 따로 두어, 이름이 같아도 규격이 다르면 구분해서 찾을 수 있습니다.</t>
  </si>
  <si>
    <t xml:space="preserve">입력 규칙</t>
  </si>
  <si>
    <t xml:space="preserve">파란색 글씨 칸만 입력하세요. 검은색은 자동 계산입니다.</t>
  </si>
  <si>
    <t xml:space="preserve">① 원자재마스터</t>
  </si>
  <si>
    <t xml:space="preserve">품번·품명·규격·재질과 치수를 등록합니다. 품번은 중복되면 안 됩니다.</t>
  </si>
  <si>
    <t xml:space="preserve">치수를 넣으면 규격 표기가 자동으로 만들어집니다. 예: 1000×500×3.2</t>
  </si>
  <si>
    <t xml:space="preserve">② 규격검색</t>
  </si>
  <si>
    <t xml:space="preserve">품명 일부나 규격 일부만 넣어도 찾아냅니다. 재질로도 걸러집니다.</t>
  </si>
  <si>
    <t xml:space="preserve">③ 규격비교</t>
  </si>
  <si>
    <t xml:space="preserve">비슷한 자재 최대 6개를 나란히 놓고 치수를 비교합니다.</t>
  </si>
  <si>
    <t xml:space="preserve">④ 거래처별목록</t>
  </si>
  <si>
    <t xml:space="preserve">거래처를 고르면 그 거래처에서 사는 자재만 나옵니다.</t>
  </si>
  <si>
    <t xml:space="preserve">⑤ 규격라벨</t>
  </si>
  <si>
    <t xml:space="preserve">선반이나 자재함에 붙일 라벨을 한 장에 12개 인쇄합니다.</t>
  </si>
  <si>
    <t xml:space="preserve">중복 품번 확인</t>
  </si>
  <si>
    <t xml:space="preserve">마스터에 같은 품번이 두 번 들어가면 빨간색으로 표시됩니다.</t>
  </si>
  <si>
    <t xml:space="preserve">단위중량</t>
  </si>
  <si>
    <t xml:space="preserve">길이·폭·두께와 비중을 넣으면 장당 중량이 자동 계산됩니다.</t>
  </si>
  <si>
    <t xml:space="preserve">※ 중량은 (길이×폭×두께×비중)으로 계산한 이론값입니다. 실측값과 다를 수 있습니다.</t>
  </si>
  <si>
    <t xml:space="preserve">※ 재고 수량은 관리하지 않습니다. 재고는 별도 파일(재고관리)에서 관리하세요.</t>
  </si>
  <si>
    <t xml:space="preserve">원자재마스터  (품번은 중복되면 안 됩니다)</t>
  </si>
  <si>
    <t xml:space="preserve">품번</t>
  </si>
  <si>
    <t xml:space="preserve">품명</t>
  </si>
  <si>
    <t xml:space="preserve">재질</t>
  </si>
  <si>
    <t xml:space="preserve">길이(mm)</t>
  </si>
  <si>
    <t xml:space="preserve">폭(mm)</t>
  </si>
  <si>
    <t xml:space="preserve">두께(mm)</t>
  </si>
  <si>
    <t xml:space="preserve">규격표기(자동)</t>
  </si>
  <si>
    <t xml:space="preserve">비중</t>
  </si>
  <si>
    <t xml:space="preserve">장당중량kg(자동)</t>
  </si>
  <si>
    <t xml:space="preserve">단위</t>
  </si>
  <si>
    <t xml:space="preserve">표준단가</t>
  </si>
  <si>
    <t xml:space="preserve">주거래처</t>
  </si>
  <si>
    <t xml:space="preserve">중복(자동)</t>
  </si>
  <si>
    <t xml:space="preserve">비고</t>
  </si>
  <si>
    <t xml:space="preserve">R001</t>
  </si>
  <si>
    <t xml:space="preserve">열연강판</t>
  </si>
  <si>
    <t xml:space="preserve">SS400</t>
  </si>
  <si>
    <t xml:space="preserve">EA</t>
  </si>
  <si>
    <t xml:space="preserve">○○철강</t>
  </si>
  <si>
    <t xml:space="preserve">R002</t>
  </si>
  <si>
    <t xml:space="preserve">R003</t>
  </si>
  <si>
    <t xml:space="preserve">알루미늄판</t>
  </si>
  <si>
    <t xml:space="preserve">A5052</t>
  </si>
  <si>
    <t xml:space="preserve">△△금속</t>
  </si>
  <si>
    <t xml:space="preserve">R004</t>
  </si>
  <si>
    <t xml:space="preserve">스테인리스판</t>
  </si>
  <si>
    <t xml:space="preserve">STS304</t>
  </si>
  <si>
    <t xml:space="preserve">※ 규격표기는 길이·폭·두께로 자동 조합됩니다. 직접 다르게 쓰고 싶으면 덮어쓰세요.</t>
  </si>
  <si>
    <t xml:space="preserve">규격검색  (품명·규격·재질 중 아무거나 일부만 넣으세요)</t>
  </si>
  <si>
    <t xml:space="preserve">검색어</t>
  </si>
  <si>
    <t xml:space="preserve">강판</t>
  </si>
  <si>
    <t xml:space="preserve">재질 필터</t>
  </si>
  <si>
    <t xml:space="preserve">← 비우면 전체</t>
  </si>
  <si>
    <t xml:space="preserve">검색 결과</t>
  </si>
  <si>
    <t xml:space="preserve">순번</t>
  </si>
  <si>
    <t xml:space="preserve">규격</t>
  </si>
  <si>
    <t xml:space="preserve">장당중량kg</t>
  </si>
  <si>
    <t xml:space="preserve">대상(자동)</t>
  </si>
  <si>
    <t xml:space="preserve">순번(자동)</t>
  </si>
  <si>
    <t xml:space="preserve">키(자동)</t>
  </si>
  <si>
    <r>
      <rPr>
        <sz val="9"/>
        <color rgb="FF808080"/>
        <rFont val="맑은 고딕"/>
        <family val="0"/>
        <charset val="1"/>
      </rPr>
      <t xml:space="preserve">※ 60</t>
    </r>
    <r>
      <rPr>
        <sz val="9"/>
        <color rgb="FF808080"/>
        <rFont val="Noto Sans CJK SC"/>
        <family val="2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검색어를 더 구체적으로 넣으세요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</si>
  <si>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규격비교  (최대 6개를 나란히 비교)</t>
  </si>
  <si>
    <t xml:space="preserve">품번 선택 →</t>
  </si>
  <si>
    <r>
      <rPr>
        <b val="true"/>
        <sz val="10"/>
        <rFont val="맑은 고딕"/>
        <family val="0"/>
        <charset val="1"/>
      </rPr>
      <t xml:space="preserve">kg</t>
    </r>
    <r>
      <rPr>
        <b val="true"/>
        <sz val="10"/>
        <rFont val="Noto Sans CJK SC"/>
        <family val="2"/>
      </rPr>
      <t xml:space="preserve">당 단가</t>
    </r>
  </si>
  <si>
    <r>
      <rPr>
        <sz val="9"/>
        <color rgb="FF808080"/>
        <rFont val="맑은 고딕"/>
        <family val="0"/>
        <charset val="1"/>
      </rPr>
      <t xml:space="preserve">※ kg</t>
    </r>
    <r>
      <rPr>
        <sz val="9"/>
        <color rgb="FF808080"/>
        <rFont val="Noto Sans CJK SC"/>
        <family val="2"/>
      </rPr>
      <t xml:space="preserve">당 단가 </t>
    </r>
    <r>
      <rPr>
        <sz val="9"/>
        <color rgb="FF808080"/>
        <rFont val="맑은 고딕"/>
        <family val="0"/>
        <charset val="1"/>
      </rPr>
      <t xml:space="preserve">= </t>
    </r>
    <r>
      <rPr>
        <sz val="9"/>
        <color rgb="FF808080"/>
        <rFont val="Noto Sans CJK SC"/>
        <family val="2"/>
      </rPr>
      <t xml:space="preserve">표준단가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Noto Sans CJK SC"/>
        <family val="2"/>
      </rPr>
      <t xml:space="preserve">장당중량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어느 쪽이 싼지 비교할 때 씁니다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</si>
  <si>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거래처별목록</t>
  </si>
  <si>
    <t xml:space="preserve">거래처</t>
  </si>
  <si>
    <t xml:space="preserve">품목 수</t>
  </si>
  <si>
    <t xml:space="preserve">← 거래처명을 정확히 넣으세요</t>
  </si>
  <si>
    <t xml:space="preserve">규격라벨  (A4 한 장에 12개 · 자재함 부착용)</t>
  </si>
  <si>
    <t xml:space="preserve">시작 순번</t>
  </si>
  <si>
    <t xml:space="preserve">← 원자재마스터의 몇 번째 줄부터 12개를 뽑을지</t>
  </si>
  <si>
    <t xml:space="preserve">※ 원자재마스터의 행 순서대로 12개가 뽑힙니다. 중간에 빈 줄이 있으면 비어 보입니다.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</si>
</sst>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##"/>
    <numFmt numFmtId="166" formatCode="0.00"/>
    <numFmt numFmtId="167" formatCode="#,##0.00"/>
    <numFmt numFmtId="168" formatCode="#,##0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3"/>
      <name val="Noto Sans CJK SC"/>
      <family val="2"/>
      <charset val="1"/>
    </font>
    <font>
      <sz val="11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 diagonalUp="false" diagonalDown="false">
      <left style="dashed">
        <color rgb="FF808080"/>
      </left>
      <right style="dashed">
        <color rgb="FF808080"/>
      </right>
      <top style="dashed">
        <color rgb="FF808080"/>
      </top>
      <bottom/>
      <diagonal/>
    </border>
    <border diagonalUp="false" diagonalDown="false">
      <left style="dashed">
        <color rgb="FF808080"/>
      </left>
      <right style="dashed">
        <color rgb="FF808080"/>
      </right>
      <top/>
      <bottom/>
      <diagonal/>
    </border>
    <border diagonalUp="false" diagonalDown="false">
      <left style="dashed">
        <color rgb="FF808080"/>
      </left>
      <right style="dashed">
        <color rgb="FF808080"/>
      </right>
      <top/>
      <bottom style="dashed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/>
      <c r="C7" s="4" t="s">
        <v>7</v>
      </c>
    </row>
    <row r="8" customFormat="false" ht="15" hidden="false" customHeight="true" outlineLevel="0" collapsed="false">
      <c r="B8" s="3" t="s">
        <v>8</v>
      </c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</row>
    <row r="16" customFormat="false" ht="15" hidden="false" customHeight="true" outlineLevel="0" collapsed="false">
      <c r="B16" s="5" t="s">
        <v>21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6" min="4" style="1" width="13"/>
    <col collapsed="false" customWidth="true" hidden="false" outlineLevel="0" max="7" min="7" style="1" width="22"/>
    <col collapsed="false" customWidth="true" hidden="false" outlineLevel="0" max="8" min="8" style="1" width="11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20"/>
    <col collapsed="false" customWidth="true" hidden="false" outlineLevel="0" max="13" min="13" style="1" width="12"/>
    <col collapsed="false" customWidth="true" hidden="false" outlineLevel="0" max="14" min="14" style="1" width="20"/>
  </cols>
  <sheetData>
    <row r="1" customFormat="false" ht="25.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7" t="s">
        <v>29</v>
      </c>
      <c r="H2" s="6" t="s">
        <v>30</v>
      </c>
      <c r="I2" s="7" t="s">
        <v>31</v>
      </c>
      <c r="J2" s="6" t="s">
        <v>32</v>
      </c>
      <c r="K2" s="6" t="s">
        <v>33</v>
      </c>
      <c r="L2" s="6" t="s">
        <v>34</v>
      </c>
      <c r="M2" s="7" t="s">
        <v>35</v>
      </c>
      <c r="N2" s="6" t="s">
        <v>36</v>
      </c>
    </row>
    <row r="3" customFormat="false" ht="15" hidden="false" customHeight="true" outlineLevel="0" collapsed="false">
      <c r="A3" s="8" t="s">
        <v>37</v>
      </c>
      <c r="B3" s="9" t="s">
        <v>38</v>
      </c>
      <c r="C3" s="8" t="s">
        <v>39</v>
      </c>
      <c r="D3" s="10" t="n">
        <v>1000</v>
      </c>
      <c r="E3" s="10" t="n">
        <v>500</v>
      </c>
      <c r="F3" s="10" t="n">
        <v>3.2</v>
      </c>
      <c r="G3" s="11" t="str">
        <f aca="false">IF($A3="","",IF(AND($D3="",$E3="",$F3=""),"",IF($D3="","",$D3)&amp;IF($E3="",""," × "&amp;$E3)&amp;IF($F3=""," "," × ")&amp;IF($F3="","",$F3)&amp;"t"))</f>
        <v>1000 × 500 × 3.2t</v>
      </c>
      <c r="H3" s="12" t="n">
        <v>7.85</v>
      </c>
      <c r="I3" s="13" t="n">
        <f aca="false">IF($A3="","",IF(OR($D3="",$E3="",$F3="",$H3=""),"",ROUND($D3*$E3*$F3*$H3/1000000,2)))</f>
        <v>12.56</v>
      </c>
      <c r="J3" s="8" t="s">
        <v>40</v>
      </c>
      <c r="K3" s="14" t="n">
        <v>18500</v>
      </c>
      <c r="L3" s="9" t="s">
        <v>41</v>
      </c>
      <c r="M3" s="15" t="str">
        <f aca="false">IF($A3="","",IF(COUNTIF($A$3:$A$502,$A3)&gt;1,"중복","-"))</f>
        <v>-</v>
      </c>
      <c r="N3" s="8"/>
    </row>
    <row r="4" customFormat="false" ht="15" hidden="false" customHeight="true" outlineLevel="0" collapsed="false">
      <c r="A4" s="8" t="s">
        <v>42</v>
      </c>
      <c r="B4" s="9" t="s">
        <v>38</v>
      </c>
      <c r="C4" s="8" t="s">
        <v>39</v>
      </c>
      <c r="D4" s="10" t="n">
        <v>1200</v>
      </c>
      <c r="E4" s="10" t="n">
        <v>600</v>
      </c>
      <c r="F4" s="10" t="n">
        <v>4.5</v>
      </c>
      <c r="G4" s="11" t="str">
        <f aca="false">IF($A4="","",IF(AND($D4="",$E4="",$F4=""),"",IF($D4="","",$D4)&amp;IF($E4="",""," × "&amp;$E4)&amp;IF($F4=""," "," × ")&amp;IF($F4="","",$F4)&amp;"t"))</f>
        <v>1200 × 600 × 4.5t</v>
      </c>
      <c r="H4" s="12" t="n">
        <v>7.85</v>
      </c>
      <c r="I4" s="13" t="n">
        <f aca="false">IF($A4="","",IF(OR($D4="",$E4="",$F4="",$H4=""),"",ROUND($D4*$E4*$F4*$H4/1000000,2)))</f>
        <v>25.43</v>
      </c>
      <c r="J4" s="8" t="s">
        <v>40</v>
      </c>
      <c r="K4" s="14" t="n">
        <v>34200</v>
      </c>
      <c r="L4" s="9" t="s">
        <v>41</v>
      </c>
      <c r="M4" s="15" t="str">
        <f aca="false">IF($A4="","",IF(COUNTIF($A$3:$A$502,$A4)&gt;1,"중복","-"))</f>
        <v>-</v>
      </c>
      <c r="N4" s="8"/>
    </row>
    <row r="5" customFormat="false" ht="15" hidden="false" customHeight="true" outlineLevel="0" collapsed="false">
      <c r="A5" s="8" t="s">
        <v>43</v>
      </c>
      <c r="B5" s="9" t="s">
        <v>44</v>
      </c>
      <c r="C5" s="8" t="s">
        <v>45</v>
      </c>
      <c r="D5" s="10" t="n">
        <v>1000</v>
      </c>
      <c r="E5" s="10" t="n">
        <v>500</v>
      </c>
      <c r="F5" s="10" t="n">
        <v>2</v>
      </c>
      <c r="G5" s="11" t="str">
        <f aca="false">IF($A5="","",IF(AND($D5="",$E5="",$F5=""),"",IF($D5="","",$D5)&amp;IF($E5="",""," × "&amp;$E5)&amp;IF($F5=""," "," × ")&amp;IF($F5="","",$F5)&amp;"t"))</f>
        <v>1000 × 500 × 2t</v>
      </c>
      <c r="H5" s="12" t="n">
        <v>2.7</v>
      </c>
      <c r="I5" s="13" t="n">
        <f aca="false">IF($A5="","",IF(OR($D5="",$E5="",$F5="",$H5=""),"",ROUND($D5*$E5*$F5*$H5/1000000,2)))</f>
        <v>2.7</v>
      </c>
      <c r="J5" s="8" t="s">
        <v>40</v>
      </c>
      <c r="K5" s="14" t="n">
        <v>26000</v>
      </c>
      <c r="L5" s="9" t="s">
        <v>46</v>
      </c>
      <c r="M5" s="15" t="str">
        <f aca="false">IF($A5="","",IF(COUNTIF($A$3:$A$502,$A5)&gt;1,"중복","-"))</f>
        <v>-</v>
      </c>
      <c r="N5" s="8"/>
    </row>
    <row r="6" customFormat="false" ht="15" hidden="false" customHeight="true" outlineLevel="0" collapsed="false">
      <c r="A6" s="8" t="s">
        <v>47</v>
      </c>
      <c r="B6" s="9" t="s">
        <v>48</v>
      </c>
      <c r="C6" s="8" t="s">
        <v>49</v>
      </c>
      <c r="D6" s="10" t="n">
        <v>1000</v>
      </c>
      <c r="E6" s="10" t="n">
        <v>500</v>
      </c>
      <c r="F6" s="10" t="n">
        <v>1.5</v>
      </c>
      <c r="G6" s="11" t="str">
        <f aca="false">IF($A6="","",IF(AND($D6="",$E6="",$F6=""),"",IF($D6="","",$D6)&amp;IF($E6="",""," × "&amp;$E6)&amp;IF($F6=""," "," × ")&amp;IF($F6="","",$F6)&amp;"t"))</f>
        <v>1000 × 500 × 1.5t</v>
      </c>
      <c r="H6" s="12" t="n">
        <v>7.93</v>
      </c>
      <c r="I6" s="13" t="n">
        <f aca="false">IF($A6="","",IF(OR($D6="",$E6="",$F6="",$H6=""),"",ROUND($D6*$E6*$F6*$H6/1000000,2)))</f>
        <v>5.95</v>
      </c>
      <c r="J6" s="8" t="s">
        <v>40</v>
      </c>
      <c r="K6" s="14" t="n">
        <v>41000</v>
      </c>
      <c r="L6" s="9" t="s">
        <v>46</v>
      </c>
      <c r="M6" s="15" t="str">
        <f aca="false">IF($A6="","",IF(COUNTIF($A$3:$A$502,$A6)&gt;1,"중복","-"))</f>
        <v>-</v>
      </c>
      <c r="N6" s="8"/>
    </row>
    <row r="7" customFormat="false" ht="15" hidden="false" customHeight="true" outlineLevel="0" collapsed="false">
      <c r="A7" s="8"/>
      <c r="B7" s="8"/>
      <c r="C7" s="8"/>
      <c r="D7" s="10"/>
      <c r="E7" s="10"/>
      <c r="F7" s="10"/>
      <c r="G7" s="11" t="str">
        <f aca="false">IF($A7="","",IF(AND($D7="",$E7="",$F7=""),"",IF($D7="","",$D7)&amp;IF($E7="",""," × "&amp;$E7)&amp;IF($F7=""," "," × ")&amp;IF($F7="","",$F7)&amp;"t"))</f>
        <v/>
      </c>
      <c r="H7" s="12"/>
      <c r="I7" s="13" t="str">
        <f aca="false">IF($A7="","",IF(OR($D7="",$E7="",$F7="",$H7=""),"",ROUND($D7*$E7*$F7*$H7/1000000,2)))</f>
        <v/>
      </c>
      <c r="J7" s="8"/>
      <c r="K7" s="14"/>
      <c r="L7" s="8"/>
      <c r="M7" s="15" t="str">
        <f aca="false">IF($A7="","",IF(COUNTIF($A$3:$A$502,$A7)&gt;1,"중복","-"))</f>
        <v/>
      </c>
      <c r="N7" s="8"/>
    </row>
    <row r="8" customFormat="false" ht="15" hidden="false" customHeight="true" outlineLevel="0" collapsed="false">
      <c r="A8" s="8"/>
      <c r="B8" s="8"/>
      <c r="C8" s="8"/>
      <c r="D8" s="10"/>
      <c r="E8" s="10"/>
      <c r="F8" s="10"/>
      <c r="G8" s="11" t="str">
        <f aca="false">IF($A8="","",IF(AND($D8="",$E8="",$F8=""),"",IF($D8="","",$D8)&amp;IF($E8="",""," × "&amp;$E8)&amp;IF($F8=""," "," × ")&amp;IF($F8="","",$F8)&amp;"t"))</f>
        <v/>
      </c>
      <c r="H8" s="12"/>
      <c r="I8" s="13" t="str">
        <f aca="false">IF($A8="","",IF(OR($D8="",$E8="",$F8="",$H8=""),"",ROUND($D8*$E8*$F8*$H8/1000000,2)))</f>
        <v/>
      </c>
      <c r="J8" s="8"/>
      <c r="K8" s="14"/>
      <c r="L8" s="8"/>
      <c r="M8" s="15" t="str">
        <f aca="false">IF($A8="","",IF(COUNTIF($A$3:$A$502,$A8)&gt;1,"중복","-"))</f>
        <v/>
      </c>
      <c r="N8" s="8"/>
    </row>
    <row r="9" customFormat="false" ht="15" hidden="false" customHeight="true" outlineLevel="0" collapsed="false">
      <c r="A9" s="8"/>
      <c r="B9" s="8"/>
      <c r="C9" s="8"/>
      <c r="D9" s="10"/>
      <c r="E9" s="10"/>
      <c r="F9" s="10"/>
      <c r="G9" s="11" t="str">
        <f aca="false">IF($A9="","",IF(AND($D9="",$E9="",$F9=""),"",IF($D9="","",$D9)&amp;IF($E9="",""," × "&amp;$E9)&amp;IF($F9=""," "," × ")&amp;IF($F9="","",$F9)&amp;"t"))</f>
        <v/>
      </c>
      <c r="H9" s="12"/>
      <c r="I9" s="13" t="str">
        <f aca="false">IF($A9="","",IF(OR($D9="",$E9="",$F9="",$H9=""),"",ROUND($D9*$E9*$F9*$H9/1000000,2)))</f>
        <v/>
      </c>
      <c r="J9" s="8"/>
      <c r="K9" s="14"/>
      <c r="L9" s="8"/>
      <c r="M9" s="15" t="str">
        <f aca="false">IF($A9="","",IF(COUNTIF($A$3:$A$502,$A9)&gt;1,"중복","-"))</f>
        <v/>
      </c>
      <c r="N9" s="8"/>
    </row>
    <row r="10" customFormat="false" ht="15" hidden="false" customHeight="true" outlineLevel="0" collapsed="false">
      <c r="A10" s="8"/>
      <c r="B10" s="8"/>
      <c r="C10" s="8"/>
      <c r="D10" s="10"/>
      <c r="E10" s="10"/>
      <c r="F10" s="10"/>
      <c r="G10" s="11" t="str">
        <f aca="false">IF($A10="","",IF(AND($D10="",$E10="",$F10=""),"",IF($D10="","",$D10)&amp;IF($E10="",""," × "&amp;$E10)&amp;IF($F10=""," "," × ")&amp;IF($F10="","",$F10)&amp;"t"))</f>
        <v/>
      </c>
      <c r="H10" s="12"/>
      <c r="I10" s="13" t="str">
        <f aca="false">IF($A10="","",IF(OR($D10="",$E10="",$F10="",$H10=""),"",ROUND($D10*$E10*$F10*$H10/1000000,2)))</f>
        <v/>
      </c>
      <c r="J10" s="8"/>
      <c r="K10" s="14"/>
      <c r="L10" s="8"/>
      <c r="M10" s="15" t="str">
        <f aca="false">IF($A10="","",IF(COUNTIF($A$3:$A$502,$A10)&gt;1,"중복","-"))</f>
        <v/>
      </c>
      <c r="N10" s="8"/>
    </row>
    <row r="11" customFormat="false" ht="15" hidden="false" customHeight="true" outlineLevel="0" collapsed="false">
      <c r="A11" s="8"/>
      <c r="B11" s="8"/>
      <c r="C11" s="8"/>
      <c r="D11" s="10"/>
      <c r="E11" s="10"/>
      <c r="F11" s="10"/>
      <c r="G11" s="11" t="str">
        <f aca="false">IF($A11="","",IF(AND($D11="",$E11="",$F11=""),"",IF($D11="","",$D11)&amp;IF($E11="",""," × "&amp;$E11)&amp;IF($F11=""," "," × ")&amp;IF($F11="","",$F11)&amp;"t"))</f>
        <v/>
      </c>
      <c r="H11" s="12"/>
      <c r="I11" s="13" t="str">
        <f aca="false">IF($A11="","",IF(OR($D11="",$E11="",$F11="",$H11=""),"",ROUND($D11*$E11*$F11*$H11/1000000,2)))</f>
        <v/>
      </c>
      <c r="J11" s="8"/>
      <c r="K11" s="14"/>
      <c r="L11" s="8"/>
      <c r="M11" s="15" t="str">
        <f aca="false">IF($A11="","",IF(COUNTIF($A$3:$A$502,$A11)&gt;1,"중복","-"))</f>
        <v/>
      </c>
      <c r="N11" s="8"/>
    </row>
    <row r="12" customFormat="false" ht="15" hidden="false" customHeight="true" outlineLevel="0" collapsed="false">
      <c r="A12" s="8"/>
      <c r="B12" s="8"/>
      <c r="C12" s="8"/>
      <c r="D12" s="10"/>
      <c r="E12" s="10"/>
      <c r="F12" s="10"/>
      <c r="G12" s="11" t="str">
        <f aca="false">IF($A12="","",IF(AND($D12="",$E12="",$F12=""),"",IF($D12="","",$D12)&amp;IF($E12="",""," × "&amp;$E12)&amp;IF($F12=""," "," × ")&amp;IF($F12="","",$F12)&amp;"t"))</f>
        <v/>
      </c>
      <c r="H12" s="12"/>
      <c r="I12" s="13" t="str">
        <f aca="false">IF($A12="","",IF(OR($D12="",$E12="",$F12="",$H12=""),"",ROUND($D12*$E12*$F12*$H12/1000000,2)))</f>
        <v/>
      </c>
      <c r="J12" s="8"/>
      <c r="K12" s="14"/>
      <c r="L12" s="8"/>
      <c r="M12" s="15" t="str">
        <f aca="false">IF($A12="","",IF(COUNTIF($A$3:$A$502,$A12)&gt;1,"중복","-"))</f>
        <v/>
      </c>
      <c r="N12" s="8"/>
    </row>
    <row r="13" customFormat="false" ht="15" hidden="false" customHeight="true" outlineLevel="0" collapsed="false">
      <c r="A13" s="8"/>
      <c r="B13" s="8"/>
      <c r="C13" s="8"/>
      <c r="D13" s="10"/>
      <c r="E13" s="10"/>
      <c r="F13" s="10"/>
      <c r="G13" s="11" t="str">
        <f aca="false">IF($A13="","",IF(AND($D13="",$E13="",$F13=""),"",IF($D13="","",$D13)&amp;IF($E13="",""," × "&amp;$E13)&amp;IF($F13=""," "," × ")&amp;IF($F13="","",$F13)&amp;"t"))</f>
        <v/>
      </c>
      <c r="H13" s="12"/>
      <c r="I13" s="13" t="str">
        <f aca="false">IF($A13="","",IF(OR($D13="",$E13="",$F13="",$H13=""),"",ROUND($D13*$E13*$F13*$H13/1000000,2)))</f>
        <v/>
      </c>
      <c r="J13" s="8"/>
      <c r="K13" s="14"/>
      <c r="L13" s="8"/>
      <c r="M13" s="15" t="str">
        <f aca="false">IF($A13="","",IF(COUNTIF($A$3:$A$502,$A13)&gt;1,"중복","-"))</f>
        <v/>
      </c>
      <c r="N13" s="8"/>
    </row>
    <row r="14" customFormat="false" ht="15" hidden="false" customHeight="true" outlineLevel="0" collapsed="false">
      <c r="A14" s="8"/>
      <c r="B14" s="8"/>
      <c r="C14" s="8"/>
      <c r="D14" s="10"/>
      <c r="E14" s="10"/>
      <c r="F14" s="10"/>
      <c r="G14" s="11" t="str">
        <f aca="false">IF($A14="","",IF(AND($D14="",$E14="",$F14=""),"",IF($D14="","",$D14)&amp;IF($E14="",""," × "&amp;$E14)&amp;IF($F14=""," "," × ")&amp;IF($F14="","",$F14)&amp;"t"))</f>
        <v/>
      </c>
      <c r="H14" s="12"/>
      <c r="I14" s="13" t="str">
        <f aca="false">IF($A14="","",IF(OR($D14="",$E14="",$F14="",$H14=""),"",ROUND($D14*$E14*$F14*$H14/1000000,2)))</f>
        <v/>
      </c>
      <c r="J14" s="8"/>
      <c r="K14" s="14"/>
      <c r="L14" s="8"/>
      <c r="M14" s="15" t="str">
        <f aca="false">IF($A14="","",IF(COUNTIF($A$3:$A$502,$A14)&gt;1,"중복","-"))</f>
        <v/>
      </c>
      <c r="N14" s="8"/>
    </row>
    <row r="15" customFormat="false" ht="15" hidden="false" customHeight="true" outlineLevel="0" collapsed="false">
      <c r="A15" s="8"/>
      <c r="B15" s="8"/>
      <c r="C15" s="8"/>
      <c r="D15" s="10"/>
      <c r="E15" s="10"/>
      <c r="F15" s="10"/>
      <c r="G15" s="11" t="str">
        <f aca="false">IF($A15="","",IF(AND($D15="",$E15="",$F15=""),"",IF($D15="","",$D15)&amp;IF($E15="",""," × "&amp;$E15)&amp;IF($F15=""," "," × ")&amp;IF($F15="","",$F15)&amp;"t"))</f>
        <v/>
      </c>
      <c r="H15" s="12"/>
      <c r="I15" s="13" t="str">
        <f aca="false">IF($A15="","",IF(OR($D15="",$E15="",$F15="",$H15=""),"",ROUND($D15*$E15*$F15*$H15/1000000,2)))</f>
        <v/>
      </c>
      <c r="J15" s="8"/>
      <c r="K15" s="14"/>
      <c r="L15" s="8"/>
      <c r="M15" s="15" t="str">
        <f aca="false">IF($A15="","",IF(COUNTIF($A$3:$A$502,$A15)&gt;1,"중복","-"))</f>
        <v/>
      </c>
      <c r="N15" s="8"/>
    </row>
    <row r="16" customFormat="false" ht="15" hidden="false" customHeight="true" outlineLevel="0" collapsed="false">
      <c r="A16" s="8"/>
      <c r="B16" s="8"/>
      <c r="C16" s="8"/>
      <c r="D16" s="10"/>
      <c r="E16" s="10"/>
      <c r="F16" s="10"/>
      <c r="G16" s="11" t="str">
        <f aca="false">IF($A16="","",IF(AND($D16="",$E16="",$F16=""),"",IF($D16="","",$D16)&amp;IF($E16="",""," × "&amp;$E16)&amp;IF($F16=""," "," × ")&amp;IF($F16="","",$F16)&amp;"t"))</f>
        <v/>
      </c>
      <c r="H16" s="12"/>
      <c r="I16" s="13" t="str">
        <f aca="false">IF($A16="","",IF(OR($D16="",$E16="",$F16="",$H16=""),"",ROUND($D16*$E16*$F16*$H16/1000000,2)))</f>
        <v/>
      </c>
      <c r="J16" s="8"/>
      <c r="K16" s="14"/>
      <c r="L16" s="8"/>
      <c r="M16" s="15" t="str">
        <f aca="false">IF($A16="","",IF(COUNTIF($A$3:$A$502,$A16)&gt;1,"중복","-"))</f>
        <v/>
      </c>
      <c r="N16" s="8"/>
    </row>
    <row r="17" customFormat="false" ht="15" hidden="false" customHeight="true" outlineLevel="0" collapsed="false">
      <c r="A17" s="8"/>
      <c r="B17" s="8"/>
      <c r="C17" s="8"/>
      <c r="D17" s="10"/>
      <c r="E17" s="10"/>
      <c r="F17" s="10"/>
      <c r="G17" s="11" t="str">
        <f aca="false">IF($A17="","",IF(AND($D17="",$E17="",$F17=""),"",IF($D17="","",$D17)&amp;IF($E17="",""," × "&amp;$E17)&amp;IF($F17=""," "," × ")&amp;IF($F17="","",$F17)&amp;"t"))</f>
        <v/>
      </c>
      <c r="H17" s="12"/>
      <c r="I17" s="13" t="str">
        <f aca="false">IF($A17="","",IF(OR($D17="",$E17="",$F17="",$H17=""),"",ROUND($D17*$E17*$F17*$H17/1000000,2)))</f>
        <v/>
      </c>
      <c r="J17" s="8"/>
      <c r="K17" s="14"/>
      <c r="L17" s="8"/>
      <c r="M17" s="15" t="str">
        <f aca="false">IF($A17="","",IF(COUNTIF($A$3:$A$502,$A17)&gt;1,"중복","-"))</f>
        <v/>
      </c>
      <c r="N17" s="8"/>
    </row>
    <row r="18" customFormat="false" ht="15" hidden="false" customHeight="true" outlineLevel="0" collapsed="false">
      <c r="A18" s="8"/>
      <c r="B18" s="8"/>
      <c r="C18" s="8"/>
      <c r="D18" s="10"/>
      <c r="E18" s="10"/>
      <c r="F18" s="10"/>
      <c r="G18" s="11" t="str">
        <f aca="false">IF($A18="","",IF(AND($D18="",$E18="",$F18=""),"",IF($D18="","",$D18)&amp;IF($E18="",""," × "&amp;$E18)&amp;IF($F18=""," "," × ")&amp;IF($F18="","",$F18)&amp;"t"))</f>
        <v/>
      </c>
      <c r="H18" s="12"/>
      <c r="I18" s="13" t="str">
        <f aca="false">IF($A18="","",IF(OR($D18="",$E18="",$F18="",$H18=""),"",ROUND($D18*$E18*$F18*$H18/1000000,2)))</f>
        <v/>
      </c>
      <c r="J18" s="8"/>
      <c r="K18" s="14"/>
      <c r="L18" s="8"/>
      <c r="M18" s="15" t="str">
        <f aca="false">IF($A18="","",IF(COUNTIF($A$3:$A$502,$A18)&gt;1,"중복","-"))</f>
        <v/>
      </c>
      <c r="N18" s="8"/>
    </row>
    <row r="19" customFormat="false" ht="15" hidden="false" customHeight="true" outlineLevel="0" collapsed="false">
      <c r="A19" s="8"/>
      <c r="B19" s="8"/>
      <c r="C19" s="8"/>
      <c r="D19" s="10"/>
      <c r="E19" s="10"/>
      <c r="F19" s="10"/>
      <c r="G19" s="11" t="str">
        <f aca="false">IF($A19="","",IF(AND($D19="",$E19="",$F19=""),"",IF($D19="","",$D19)&amp;IF($E19="",""," × "&amp;$E19)&amp;IF($F19=""," "," × ")&amp;IF($F19="","",$F19)&amp;"t"))</f>
        <v/>
      </c>
      <c r="H19" s="12"/>
      <c r="I19" s="13" t="str">
        <f aca="false">IF($A19="","",IF(OR($D19="",$E19="",$F19="",$H19=""),"",ROUND($D19*$E19*$F19*$H19/1000000,2)))</f>
        <v/>
      </c>
      <c r="J19" s="8"/>
      <c r="K19" s="14"/>
      <c r="L19" s="8"/>
      <c r="M19" s="15" t="str">
        <f aca="false">IF($A19="","",IF(COUNTIF($A$3:$A$502,$A19)&gt;1,"중복","-"))</f>
        <v/>
      </c>
      <c r="N19" s="8"/>
    </row>
    <row r="20" customFormat="false" ht="15" hidden="false" customHeight="true" outlineLevel="0" collapsed="false">
      <c r="A20" s="8"/>
      <c r="B20" s="8"/>
      <c r="C20" s="8"/>
      <c r="D20" s="10"/>
      <c r="E20" s="10"/>
      <c r="F20" s="10"/>
      <c r="G20" s="11" t="str">
        <f aca="false">IF($A20="","",IF(AND($D20="",$E20="",$F20=""),"",IF($D20="","",$D20)&amp;IF($E20="",""," × "&amp;$E20)&amp;IF($F20=""," "," × ")&amp;IF($F20="","",$F20)&amp;"t"))</f>
        <v/>
      </c>
      <c r="H20" s="12"/>
      <c r="I20" s="13" t="str">
        <f aca="false">IF($A20="","",IF(OR($D20="",$E20="",$F20="",$H20=""),"",ROUND($D20*$E20*$F20*$H20/1000000,2)))</f>
        <v/>
      </c>
      <c r="J20" s="8"/>
      <c r="K20" s="14"/>
      <c r="L20" s="8"/>
      <c r="M20" s="15" t="str">
        <f aca="false">IF($A20="","",IF(COUNTIF($A$3:$A$502,$A20)&gt;1,"중복","-"))</f>
        <v/>
      </c>
      <c r="N20" s="8"/>
    </row>
    <row r="21" customFormat="false" ht="15" hidden="false" customHeight="true" outlineLevel="0" collapsed="false">
      <c r="A21" s="8"/>
      <c r="B21" s="8"/>
      <c r="C21" s="8"/>
      <c r="D21" s="10"/>
      <c r="E21" s="10"/>
      <c r="F21" s="10"/>
      <c r="G21" s="11" t="str">
        <f aca="false">IF($A21="","",IF(AND($D21="",$E21="",$F21=""),"",IF($D21="","",$D21)&amp;IF($E21="",""," × "&amp;$E21)&amp;IF($F21=""," "," × ")&amp;IF($F21="","",$F21)&amp;"t"))</f>
        <v/>
      </c>
      <c r="H21" s="12"/>
      <c r="I21" s="13" t="str">
        <f aca="false">IF($A21="","",IF(OR($D21="",$E21="",$F21="",$H21=""),"",ROUND($D21*$E21*$F21*$H21/1000000,2)))</f>
        <v/>
      </c>
      <c r="J21" s="8"/>
      <c r="K21" s="14"/>
      <c r="L21" s="8"/>
      <c r="M21" s="15" t="str">
        <f aca="false">IF($A21="","",IF(COUNTIF($A$3:$A$502,$A21)&gt;1,"중복","-"))</f>
        <v/>
      </c>
      <c r="N21" s="8"/>
    </row>
    <row r="22" customFormat="false" ht="15" hidden="false" customHeight="true" outlineLevel="0" collapsed="false">
      <c r="A22" s="8"/>
      <c r="B22" s="8"/>
      <c r="C22" s="8"/>
      <c r="D22" s="10"/>
      <c r="E22" s="10"/>
      <c r="F22" s="10"/>
      <c r="G22" s="11" t="str">
        <f aca="false">IF($A22="","",IF(AND($D22="",$E22="",$F22=""),"",IF($D22="","",$D22)&amp;IF($E22="",""," × "&amp;$E22)&amp;IF($F22=""," "," × ")&amp;IF($F22="","",$F22)&amp;"t"))</f>
        <v/>
      </c>
      <c r="H22" s="12"/>
      <c r="I22" s="13" t="str">
        <f aca="false">IF($A22="","",IF(OR($D22="",$E22="",$F22="",$H22=""),"",ROUND($D22*$E22*$F22*$H22/1000000,2)))</f>
        <v/>
      </c>
      <c r="J22" s="8"/>
      <c r="K22" s="14"/>
      <c r="L22" s="8"/>
      <c r="M22" s="15" t="str">
        <f aca="false">IF($A22="","",IF(COUNTIF($A$3:$A$502,$A22)&gt;1,"중복","-"))</f>
        <v/>
      </c>
      <c r="N22" s="8"/>
    </row>
    <row r="23" customFormat="false" ht="15" hidden="false" customHeight="true" outlineLevel="0" collapsed="false">
      <c r="A23" s="8"/>
      <c r="B23" s="8"/>
      <c r="C23" s="8"/>
      <c r="D23" s="10"/>
      <c r="E23" s="10"/>
      <c r="F23" s="10"/>
      <c r="G23" s="11" t="str">
        <f aca="false">IF($A23="","",IF(AND($D23="",$E23="",$F23=""),"",IF($D23="","",$D23)&amp;IF($E23="",""," × "&amp;$E23)&amp;IF($F23=""," "," × ")&amp;IF($F23="","",$F23)&amp;"t"))</f>
        <v/>
      </c>
      <c r="H23" s="12"/>
      <c r="I23" s="13" t="str">
        <f aca="false">IF($A23="","",IF(OR($D23="",$E23="",$F23="",$H23=""),"",ROUND($D23*$E23*$F23*$H23/1000000,2)))</f>
        <v/>
      </c>
      <c r="J23" s="8"/>
      <c r="K23" s="14"/>
      <c r="L23" s="8"/>
      <c r="M23" s="15" t="str">
        <f aca="false">IF($A23="","",IF(COUNTIF($A$3:$A$502,$A23)&gt;1,"중복","-"))</f>
        <v/>
      </c>
      <c r="N23" s="8"/>
    </row>
    <row r="24" customFormat="false" ht="15" hidden="false" customHeight="true" outlineLevel="0" collapsed="false">
      <c r="A24" s="8"/>
      <c r="B24" s="8"/>
      <c r="C24" s="8"/>
      <c r="D24" s="10"/>
      <c r="E24" s="10"/>
      <c r="F24" s="10"/>
      <c r="G24" s="11" t="str">
        <f aca="false">IF($A24="","",IF(AND($D24="",$E24="",$F24=""),"",IF($D24="","",$D24)&amp;IF($E24="",""," × "&amp;$E24)&amp;IF($F24=""," "," × ")&amp;IF($F24="","",$F24)&amp;"t"))</f>
        <v/>
      </c>
      <c r="H24" s="12"/>
      <c r="I24" s="13" t="str">
        <f aca="false">IF($A24="","",IF(OR($D24="",$E24="",$F24="",$H24=""),"",ROUND($D24*$E24*$F24*$H24/1000000,2)))</f>
        <v/>
      </c>
      <c r="J24" s="8"/>
      <c r="K24" s="14"/>
      <c r="L24" s="8"/>
      <c r="M24" s="15" t="str">
        <f aca="false">IF($A24="","",IF(COUNTIF($A$3:$A$502,$A24)&gt;1,"중복","-"))</f>
        <v/>
      </c>
      <c r="N24" s="8"/>
    </row>
    <row r="25" customFormat="false" ht="15" hidden="false" customHeight="true" outlineLevel="0" collapsed="false">
      <c r="A25" s="8"/>
      <c r="B25" s="8"/>
      <c r="C25" s="8"/>
      <c r="D25" s="10"/>
      <c r="E25" s="10"/>
      <c r="F25" s="10"/>
      <c r="G25" s="11" t="str">
        <f aca="false">IF($A25="","",IF(AND($D25="",$E25="",$F25=""),"",IF($D25="","",$D25)&amp;IF($E25="",""," × "&amp;$E25)&amp;IF($F25=""," "," × ")&amp;IF($F25="","",$F25)&amp;"t"))</f>
        <v/>
      </c>
      <c r="H25" s="12"/>
      <c r="I25" s="13" t="str">
        <f aca="false">IF($A25="","",IF(OR($D25="",$E25="",$F25="",$H25=""),"",ROUND($D25*$E25*$F25*$H25/1000000,2)))</f>
        <v/>
      </c>
      <c r="J25" s="8"/>
      <c r="K25" s="14"/>
      <c r="L25" s="8"/>
      <c r="M25" s="15" t="str">
        <f aca="false">IF($A25="","",IF(COUNTIF($A$3:$A$502,$A25)&gt;1,"중복","-"))</f>
        <v/>
      </c>
      <c r="N25" s="8"/>
    </row>
    <row r="26" customFormat="false" ht="15" hidden="false" customHeight="true" outlineLevel="0" collapsed="false">
      <c r="A26" s="8"/>
      <c r="B26" s="8"/>
      <c r="C26" s="8"/>
      <c r="D26" s="10"/>
      <c r="E26" s="10"/>
      <c r="F26" s="10"/>
      <c r="G26" s="11" t="str">
        <f aca="false">IF($A26="","",IF(AND($D26="",$E26="",$F26=""),"",IF($D26="","",$D26)&amp;IF($E26="",""," × "&amp;$E26)&amp;IF($F26=""," "," × ")&amp;IF($F26="","",$F26)&amp;"t"))</f>
        <v/>
      </c>
      <c r="H26" s="12"/>
      <c r="I26" s="13" t="str">
        <f aca="false">IF($A26="","",IF(OR($D26="",$E26="",$F26="",$H26=""),"",ROUND($D26*$E26*$F26*$H26/1000000,2)))</f>
        <v/>
      </c>
      <c r="J26" s="8"/>
      <c r="K26" s="14"/>
      <c r="L26" s="8"/>
      <c r="M26" s="15" t="str">
        <f aca="false">IF($A26="","",IF(COUNTIF($A$3:$A$502,$A26)&gt;1,"중복","-"))</f>
        <v/>
      </c>
      <c r="N26" s="8"/>
    </row>
    <row r="27" customFormat="false" ht="15" hidden="false" customHeight="true" outlineLevel="0" collapsed="false">
      <c r="A27" s="8"/>
      <c r="B27" s="8"/>
      <c r="C27" s="8"/>
      <c r="D27" s="10"/>
      <c r="E27" s="10"/>
      <c r="F27" s="10"/>
      <c r="G27" s="11" t="str">
        <f aca="false">IF($A27="","",IF(AND($D27="",$E27="",$F27=""),"",IF($D27="","",$D27)&amp;IF($E27="",""," × "&amp;$E27)&amp;IF($F27=""," "," × ")&amp;IF($F27="","",$F27)&amp;"t"))</f>
        <v/>
      </c>
      <c r="H27" s="12"/>
      <c r="I27" s="13" t="str">
        <f aca="false">IF($A27="","",IF(OR($D27="",$E27="",$F27="",$H27=""),"",ROUND($D27*$E27*$F27*$H27/1000000,2)))</f>
        <v/>
      </c>
      <c r="J27" s="8"/>
      <c r="K27" s="14"/>
      <c r="L27" s="8"/>
      <c r="M27" s="15" t="str">
        <f aca="false">IF($A27="","",IF(COUNTIF($A$3:$A$502,$A27)&gt;1,"중복","-"))</f>
        <v/>
      </c>
      <c r="N27" s="8"/>
    </row>
    <row r="28" customFormat="false" ht="15" hidden="false" customHeight="true" outlineLevel="0" collapsed="false">
      <c r="A28" s="8"/>
      <c r="B28" s="8"/>
      <c r="C28" s="8"/>
      <c r="D28" s="10"/>
      <c r="E28" s="10"/>
      <c r="F28" s="10"/>
      <c r="G28" s="11" t="str">
        <f aca="false">IF($A28="","",IF(AND($D28="",$E28="",$F28=""),"",IF($D28="","",$D28)&amp;IF($E28="",""," × "&amp;$E28)&amp;IF($F28=""," "," × ")&amp;IF($F28="","",$F28)&amp;"t"))</f>
        <v/>
      </c>
      <c r="H28" s="12"/>
      <c r="I28" s="13" t="str">
        <f aca="false">IF($A28="","",IF(OR($D28="",$E28="",$F28="",$H28=""),"",ROUND($D28*$E28*$F28*$H28/1000000,2)))</f>
        <v/>
      </c>
      <c r="J28" s="8"/>
      <c r="K28" s="14"/>
      <c r="L28" s="8"/>
      <c r="M28" s="15" t="str">
        <f aca="false">IF($A28="","",IF(COUNTIF($A$3:$A$502,$A28)&gt;1,"중복","-"))</f>
        <v/>
      </c>
      <c r="N28" s="8"/>
    </row>
    <row r="29" customFormat="false" ht="15" hidden="false" customHeight="true" outlineLevel="0" collapsed="false">
      <c r="A29" s="8"/>
      <c r="B29" s="8"/>
      <c r="C29" s="8"/>
      <c r="D29" s="10"/>
      <c r="E29" s="10"/>
      <c r="F29" s="10"/>
      <c r="G29" s="11" t="str">
        <f aca="false">IF($A29="","",IF(AND($D29="",$E29="",$F29=""),"",IF($D29="","",$D29)&amp;IF($E29="",""," × "&amp;$E29)&amp;IF($F29=""," "," × ")&amp;IF($F29="","",$F29)&amp;"t"))</f>
        <v/>
      </c>
      <c r="H29" s="12"/>
      <c r="I29" s="13" t="str">
        <f aca="false">IF($A29="","",IF(OR($D29="",$E29="",$F29="",$H29=""),"",ROUND($D29*$E29*$F29*$H29/1000000,2)))</f>
        <v/>
      </c>
      <c r="J29" s="8"/>
      <c r="K29" s="14"/>
      <c r="L29" s="8"/>
      <c r="M29" s="15" t="str">
        <f aca="false">IF($A29="","",IF(COUNTIF($A$3:$A$502,$A29)&gt;1,"중복","-"))</f>
        <v/>
      </c>
      <c r="N29" s="8"/>
    </row>
    <row r="30" customFormat="false" ht="15" hidden="false" customHeight="true" outlineLevel="0" collapsed="false">
      <c r="A30" s="8"/>
      <c r="B30" s="8"/>
      <c r="C30" s="8"/>
      <c r="D30" s="10"/>
      <c r="E30" s="10"/>
      <c r="F30" s="10"/>
      <c r="G30" s="11" t="str">
        <f aca="false">IF($A30="","",IF(AND($D30="",$E30="",$F30=""),"",IF($D30="","",$D30)&amp;IF($E30="",""," × "&amp;$E30)&amp;IF($F30=""," "," × ")&amp;IF($F30="","",$F30)&amp;"t"))</f>
        <v/>
      </c>
      <c r="H30" s="12"/>
      <c r="I30" s="13" t="str">
        <f aca="false">IF($A30="","",IF(OR($D30="",$E30="",$F30="",$H30=""),"",ROUND($D30*$E30*$F30*$H30/1000000,2)))</f>
        <v/>
      </c>
      <c r="J30" s="8"/>
      <c r="K30" s="14"/>
      <c r="L30" s="8"/>
      <c r="M30" s="15" t="str">
        <f aca="false">IF($A30="","",IF(COUNTIF($A$3:$A$502,$A30)&gt;1,"중복","-"))</f>
        <v/>
      </c>
      <c r="N30" s="8"/>
    </row>
    <row r="31" customFormat="false" ht="15" hidden="false" customHeight="true" outlineLevel="0" collapsed="false">
      <c r="A31" s="8"/>
      <c r="B31" s="8"/>
      <c r="C31" s="8"/>
      <c r="D31" s="10"/>
      <c r="E31" s="10"/>
      <c r="F31" s="10"/>
      <c r="G31" s="11" t="str">
        <f aca="false">IF($A31="","",IF(AND($D31="",$E31="",$F31=""),"",IF($D31="","",$D31)&amp;IF($E31="",""," × "&amp;$E31)&amp;IF($F31=""," "," × ")&amp;IF($F31="","",$F31)&amp;"t"))</f>
        <v/>
      </c>
      <c r="H31" s="12"/>
      <c r="I31" s="13" t="str">
        <f aca="false">IF($A31="","",IF(OR($D31="",$E31="",$F31="",$H31=""),"",ROUND($D31*$E31*$F31*$H31/1000000,2)))</f>
        <v/>
      </c>
      <c r="J31" s="8"/>
      <c r="K31" s="14"/>
      <c r="L31" s="8"/>
      <c r="M31" s="15" t="str">
        <f aca="false">IF($A31="","",IF(COUNTIF($A$3:$A$502,$A31)&gt;1,"중복","-"))</f>
        <v/>
      </c>
      <c r="N31" s="8"/>
    </row>
    <row r="32" customFormat="false" ht="15" hidden="false" customHeight="true" outlineLevel="0" collapsed="false">
      <c r="A32" s="8"/>
      <c r="B32" s="8"/>
      <c r="C32" s="8"/>
      <c r="D32" s="10"/>
      <c r="E32" s="10"/>
      <c r="F32" s="10"/>
      <c r="G32" s="11" t="str">
        <f aca="false">IF($A32="","",IF(AND($D32="",$E32="",$F32=""),"",IF($D32="","",$D32)&amp;IF($E32="",""," × "&amp;$E32)&amp;IF($F32=""," "," × ")&amp;IF($F32="","",$F32)&amp;"t"))</f>
        <v/>
      </c>
      <c r="H32" s="12"/>
      <c r="I32" s="13" t="str">
        <f aca="false">IF($A32="","",IF(OR($D32="",$E32="",$F32="",$H32=""),"",ROUND($D32*$E32*$F32*$H32/1000000,2)))</f>
        <v/>
      </c>
      <c r="J32" s="8"/>
      <c r="K32" s="14"/>
      <c r="L32" s="8"/>
      <c r="M32" s="15" t="str">
        <f aca="false">IF($A32="","",IF(COUNTIF($A$3:$A$502,$A32)&gt;1,"중복","-"))</f>
        <v/>
      </c>
      <c r="N32" s="8"/>
    </row>
    <row r="33" customFormat="false" ht="15" hidden="false" customHeight="true" outlineLevel="0" collapsed="false">
      <c r="A33" s="8"/>
      <c r="B33" s="8"/>
      <c r="C33" s="8"/>
      <c r="D33" s="10"/>
      <c r="E33" s="10"/>
      <c r="F33" s="10"/>
      <c r="G33" s="11" t="str">
        <f aca="false">IF($A33="","",IF(AND($D33="",$E33="",$F33=""),"",IF($D33="","",$D33)&amp;IF($E33="",""," × "&amp;$E33)&amp;IF($F33=""," "," × ")&amp;IF($F33="","",$F33)&amp;"t"))</f>
        <v/>
      </c>
      <c r="H33" s="12"/>
      <c r="I33" s="13" t="str">
        <f aca="false">IF($A33="","",IF(OR($D33="",$E33="",$F33="",$H33=""),"",ROUND($D33*$E33*$F33*$H33/1000000,2)))</f>
        <v/>
      </c>
      <c r="J33" s="8"/>
      <c r="K33" s="14"/>
      <c r="L33" s="8"/>
      <c r="M33" s="15" t="str">
        <f aca="false">IF($A33="","",IF(COUNTIF($A$3:$A$502,$A33)&gt;1,"중복","-"))</f>
        <v/>
      </c>
      <c r="N33" s="8"/>
    </row>
    <row r="34" customFormat="false" ht="15" hidden="false" customHeight="true" outlineLevel="0" collapsed="false">
      <c r="A34" s="8"/>
      <c r="B34" s="8"/>
      <c r="C34" s="8"/>
      <c r="D34" s="10"/>
      <c r="E34" s="10"/>
      <c r="F34" s="10"/>
      <c r="G34" s="11" t="str">
        <f aca="false">IF($A34="","",IF(AND($D34="",$E34="",$F34=""),"",IF($D34="","",$D34)&amp;IF($E34="",""," × "&amp;$E34)&amp;IF($F34=""," "," × ")&amp;IF($F34="","",$F34)&amp;"t"))</f>
        <v/>
      </c>
      <c r="H34" s="12"/>
      <c r="I34" s="13" t="str">
        <f aca="false">IF($A34="","",IF(OR($D34="",$E34="",$F34="",$H34=""),"",ROUND($D34*$E34*$F34*$H34/1000000,2)))</f>
        <v/>
      </c>
      <c r="J34" s="8"/>
      <c r="K34" s="14"/>
      <c r="L34" s="8"/>
      <c r="M34" s="15" t="str">
        <f aca="false">IF($A34="","",IF(COUNTIF($A$3:$A$502,$A34)&gt;1,"중복","-"))</f>
        <v/>
      </c>
      <c r="N34" s="8"/>
    </row>
    <row r="35" customFormat="false" ht="15" hidden="false" customHeight="true" outlineLevel="0" collapsed="false">
      <c r="A35" s="8"/>
      <c r="B35" s="8"/>
      <c r="C35" s="8"/>
      <c r="D35" s="10"/>
      <c r="E35" s="10"/>
      <c r="F35" s="10"/>
      <c r="G35" s="11" t="str">
        <f aca="false">IF($A35="","",IF(AND($D35="",$E35="",$F35=""),"",IF($D35="","",$D35)&amp;IF($E35="",""," × "&amp;$E35)&amp;IF($F35=""," "," × ")&amp;IF($F35="","",$F35)&amp;"t"))</f>
        <v/>
      </c>
      <c r="H35" s="12"/>
      <c r="I35" s="13" t="str">
        <f aca="false">IF($A35="","",IF(OR($D35="",$E35="",$F35="",$H35=""),"",ROUND($D35*$E35*$F35*$H35/1000000,2)))</f>
        <v/>
      </c>
      <c r="J35" s="8"/>
      <c r="K35" s="14"/>
      <c r="L35" s="8"/>
      <c r="M35" s="15" t="str">
        <f aca="false">IF($A35="","",IF(COUNTIF($A$3:$A$502,$A35)&gt;1,"중복","-"))</f>
        <v/>
      </c>
      <c r="N35" s="8"/>
    </row>
    <row r="36" customFormat="false" ht="15" hidden="false" customHeight="true" outlineLevel="0" collapsed="false">
      <c r="A36" s="8"/>
      <c r="B36" s="8"/>
      <c r="C36" s="8"/>
      <c r="D36" s="10"/>
      <c r="E36" s="10"/>
      <c r="F36" s="10"/>
      <c r="G36" s="11" t="str">
        <f aca="false">IF($A36="","",IF(AND($D36="",$E36="",$F36=""),"",IF($D36="","",$D36)&amp;IF($E36="",""," × "&amp;$E36)&amp;IF($F36=""," "," × ")&amp;IF($F36="","",$F36)&amp;"t"))</f>
        <v/>
      </c>
      <c r="H36" s="12"/>
      <c r="I36" s="13" t="str">
        <f aca="false">IF($A36="","",IF(OR($D36="",$E36="",$F36="",$H36=""),"",ROUND($D36*$E36*$F36*$H36/1000000,2)))</f>
        <v/>
      </c>
      <c r="J36" s="8"/>
      <c r="K36" s="14"/>
      <c r="L36" s="8"/>
      <c r="M36" s="15" t="str">
        <f aca="false">IF($A36="","",IF(COUNTIF($A$3:$A$502,$A36)&gt;1,"중복","-"))</f>
        <v/>
      </c>
      <c r="N36" s="8"/>
    </row>
    <row r="37" customFormat="false" ht="15" hidden="false" customHeight="true" outlineLevel="0" collapsed="false">
      <c r="A37" s="8"/>
      <c r="B37" s="8"/>
      <c r="C37" s="8"/>
      <c r="D37" s="10"/>
      <c r="E37" s="10"/>
      <c r="F37" s="10"/>
      <c r="G37" s="11" t="str">
        <f aca="false">IF($A37="","",IF(AND($D37="",$E37="",$F37=""),"",IF($D37="","",$D37)&amp;IF($E37="",""," × "&amp;$E37)&amp;IF($F37=""," "," × ")&amp;IF($F37="","",$F37)&amp;"t"))</f>
        <v/>
      </c>
      <c r="H37" s="12"/>
      <c r="I37" s="13" t="str">
        <f aca="false">IF($A37="","",IF(OR($D37="",$E37="",$F37="",$H37=""),"",ROUND($D37*$E37*$F37*$H37/1000000,2)))</f>
        <v/>
      </c>
      <c r="J37" s="8"/>
      <c r="K37" s="14"/>
      <c r="L37" s="8"/>
      <c r="M37" s="15" t="str">
        <f aca="false">IF($A37="","",IF(COUNTIF($A$3:$A$502,$A37)&gt;1,"중복","-"))</f>
        <v/>
      </c>
      <c r="N37" s="8"/>
    </row>
    <row r="38" customFormat="false" ht="15" hidden="false" customHeight="true" outlineLevel="0" collapsed="false">
      <c r="A38" s="8"/>
      <c r="B38" s="8"/>
      <c r="C38" s="8"/>
      <c r="D38" s="10"/>
      <c r="E38" s="10"/>
      <c r="F38" s="10"/>
      <c r="G38" s="11" t="str">
        <f aca="false">IF($A38="","",IF(AND($D38="",$E38="",$F38=""),"",IF($D38="","",$D38)&amp;IF($E38="",""," × "&amp;$E38)&amp;IF($F38=""," "," × ")&amp;IF($F38="","",$F38)&amp;"t"))</f>
        <v/>
      </c>
      <c r="H38" s="12"/>
      <c r="I38" s="13" t="str">
        <f aca="false">IF($A38="","",IF(OR($D38="",$E38="",$F38="",$H38=""),"",ROUND($D38*$E38*$F38*$H38/1000000,2)))</f>
        <v/>
      </c>
      <c r="J38" s="8"/>
      <c r="K38" s="14"/>
      <c r="L38" s="8"/>
      <c r="M38" s="15" t="str">
        <f aca="false">IF($A38="","",IF(COUNTIF($A$3:$A$502,$A38)&gt;1,"중복","-"))</f>
        <v/>
      </c>
      <c r="N38" s="8"/>
    </row>
    <row r="39" customFormat="false" ht="15" hidden="false" customHeight="true" outlineLevel="0" collapsed="false">
      <c r="A39" s="8"/>
      <c r="B39" s="8"/>
      <c r="C39" s="8"/>
      <c r="D39" s="10"/>
      <c r="E39" s="10"/>
      <c r="F39" s="10"/>
      <c r="G39" s="11" t="str">
        <f aca="false">IF($A39="","",IF(AND($D39="",$E39="",$F39=""),"",IF($D39="","",$D39)&amp;IF($E39="",""," × "&amp;$E39)&amp;IF($F39=""," "," × ")&amp;IF($F39="","",$F39)&amp;"t"))</f>
        <v/>
      </c>
      <c r="H39" s="12"/>
      <c r="I39" s="13" t="str">
        <f aca="false">IF($A39="","",IF(OR($D39="",$E39="",$F39="",$H39=""),"",ROUND($D39*$E39*$F39*$H39/1000000,2)))</f>
        <v/>
      </c>
      <c r="J39" s="8"/>
      <c r="K39" s="14"/>
      <c r="L39" s="8"/>
      <c r="M39" s="15" t="str">
        <f aca="false">IF($A39="","",IF(COUNTIF($A$3:$A$502,$A39)&gt;1,"중복","-"))</f>
        <v/>
      </c>
      <c r="N39" s="8"/>
    </row>
    <row r="40" customFormat="false" ht="15" hidden="false" customHeight="true" outlineLevel="0" collapsed="false">
      <c r="A40" s="8"/>
      <c r="B40" s="8"/>
      <c r="C40" s="8"/>
      <c r="D40" s="10"/>
      <c r="E40" s="10"/>
      <c r="F40" s="10"/>
      <c r="G40" s="11" t="str">
        <f aca="false">IF($A40="","",IF(AND($D40="",$E40="",$F40=""),"",IF($D40="","",$D40)&amp;IF($E40="",""," × "&amp;$E40)&amp;IF($F40=""," "," × ")&amp;IF($F40="","",$F40)&amp;"t"))</f>
        <v/>
      </c>
      <c r="H40" s="12"/>
      <c r="I40" s="13" t="str">
        <f aca="false">IF($A40="","",IF(OR($D40="",$E40="",$F40="",$H40=""),"",ROUND($D40*$E40*$F40*$H40/1000000,2)))</f>
        <v/>
      </c>
      <c r="J40" s="8"/>
      <c r="K40" s="14"/>
      <c r="L40" s="8"/>
      <c r="M40" s="15" t="str">
        <f aca="false">IF($A40="","",IF(COUNTIF($A$3:$A$502,$A40)&gt;1,"중복","-"))</f>
        <v/>
      </c>
      <c r="N40" s="8"/>
    </row>
    <row r="41" customFormat="false" ht="15" hidden="false" customHeight="true" outlineLevel="0" collapsed="false">
      <c r="A41" s="8"/>
      <c r="B41" s="8"/>
      <c r="C41" s="8"/>
      <c r="D41" s="10"/>
      <c r="E41" s="10"/>
      <c r="F41" s="10"/>
      <c r="G41" s="11" t="str">
        <f aca="false">IF($A41="","",IF(AND($D41="",$E41="",$F41=""),"",IF($D41="","",$D41)&amp;IF($E41="",""," × "&amp;$E41)&amp;IF($F41=""," "," × ")&amp;IF($F41="","",$F41)&amp;"t"))</f>
        <v/>
      </c>
      <c r="H41" s="12"/>
      <c r="I41" s="13" t="str">
        <f aca="false">IF($A41="","",IF(OR($D41="",$E41="",$F41="",$H41=""),"",ROUND($D41*$E41*$F41*$H41/1000000,2)))</f>
        <v/>
      </c>
      <c r="J41" s="8"/>
      <c r="K41" s="14"/>
      <c r="L41" s="8"/>
      <c r="M41" s="15" t="str">
        <f aca="false">IF($A41="","",IF(COUNTIF($A$3:$A$502,$A41)&gt;1,"중복","-"))</f>
        <v/>
      </c>
      <c r="N41" s="8"/>
    </row>
    <row r="42" customFormat="false" ht="15" hidden="false" customHeight="true" outlineLevel="0" collapsed="false">
      <c r="A42" s="8"/>
      <c r="B42" s="8"/>
      <c r="C42" s="8"/>
      <c r="D42" s="10"/>
      <c r="E42" s="10"/>
      <c r="F42" s="10"/>
      <c r="G42" s="11" t="str">
        <f aca="false">IF($A42="","",IF(AND($D42="",$E42="",$F42=""),"",IF($D42="","",$D42)&amp;IF($E42="",""," × "&amp;$E42)&amp;IF($F42=""," "," × ")&amp;IF($F42="","",$F42)&amp;"t"))</f>
        <v/>
      </c>
      <c r="H42" s="12"/>
      <c r="I42" s="13" t="str">
        <f aca="false">IF($A42="","",IF(OR($D42="",$E42="",$F42="",$H42=""),"",ROUND($D42*$E42*$F42*$H42/1000000,2)))</f>
        <v/>
      </c>
      <c r="J42" s="8"/>
      <c r="K42" s="14"/>
      <c r="L42" s="8"/>
      <c r="M42" s="15" t="str">
        <f aca="false">IF($A42="","",IF(COUNTIF($A$3:$A$502,$A42)&gt;1,"중복","-"))</f>
        <v/>
      </c>
      <c r="N42" s="8"/>
    </row>
    <row r="43" customFormat="false" ht="15" hidden="false" customHeight="true" outlineLevel="0" collapsed="false">
      <c r="A43" s="8"/>
      <c r="B43" s="8"/>
      <c r="C43" s="8"/>
      <c r="D43" s="10"/>
      <c r="E43" s="10"/>
      <c r="F43" s="10"/>
      <c r="G43" s="11" t="str">
        <f aca="false">IF($A43="","",IF(AND($D43="",$E43="",$F43=""),"",IF($D43="","",$D43)&amp;IF($E43="",""," × "&amp;$E43)&amp;IF($F43=""," "," × ")&amp;IF($F43="","",$F43)&amp;"t"))</f>
        <v/>
      </c>
      <c r="H43" s="12"/>
      <c r="I43" s="13" t="str">
        <f aca="false">IF($A43="","",IF(OR($D43="",$E43="",$F43="",$H43=""),"",ROUND($D43*$E43*$F43*$H43/1000000,2)))</f>
        <v/>
      </c>
      <c r="J43" s="8"/>
      <c r="K43" s="14"/>
      <c r="L43" s="8"/>
      <c r="M43" s="15" t="str">
        <f aca="false">IF($A43="","",IF(COUNTIF($A$3:$A$502,$A43)&gt;1,"중복","-"))</f>
        <v/>
      </c>
      <c r="N43" s="8"/>
    </row>
    <row r="44" customFormat="false" ht="15" hidden="false" customHeight="true" outlineLevel="0" collapsed="false">
      <c r="A44" s="8"/>
      <c r="B44" s="8"/>
      <c r="C44" s="8"/>
      <c r="D44" s="10"/>
      <c r="E44" s="10"/>
      <c r="F44" s="10"/>
      <c r="G44" s="11" t="str">
        <f aca="false">IF($A44="","",IF(AND($D44="",$E44="",$F44=""),"",IF($D44="","",$D44)&amp;IF($E44="",""," × "&amp;$E44)&amp;IF($F44=""," "," × ")&amp;IF($F44="","",$F44)&amp;"t"))</f>
        <v/>
      </c>
      <c r="H44" s="12"/>
      <c r="I44" s="13" t="str">
        <f aca="false">IF($A44="","",IF(OR($D44="",$E44="",$F44="",$H44=""),"",ROUND($D44*$E44*$F44*$H44/1000000,2)))</f>
        <v/>
      </c>
      <c r="J44" s="8"/>
      <c r="K44" s="14"/>
      <c r="L44" s="8"/>
      <c r="M44" s="15" t="str">
        <f aca="false">IF($A44="","",IF(COUNTIF($A$3:$A$502,$A44)&gt;1,"중복","-"))</f>
        <v/>
      </c>
      <c r="N44" s="8"/>
    </row>
    <row r="45" customFormat="false" ht="15" hidden="false" customHeight="true" outlineLevel="0" collapsed="false">
      <c r="A45" s="8"/>
      <c r="B45" s="8"/>
      <c r="C45" s="8"/>
      <c r="D45" s="10"/>
      <c r="E45" s="10"/>
      <c r="F45" s="10"/>
      <c r="G45" s="11" t="str">
        <f aca="false">IF($A45="","",IF(AND($D45="",$E45="",$F45=""),"",IF($D45="","",$D45)&amp;IF($E45="",""," × "&amp;$E45)&amp;IF($F45=""," "," × ")&amp;IF($F45="","",$F45)&amp;"t"))</f>
        <v/>
      </c>
      <c r="H45" s="12"/>
      <c r="I45" s="13" t="str">
        <f aca="false">IF($A45="","",IF(OR($D45="",$E45="",$F45="",$H45=""),"",ROUND($D45*$E45*$F45*$H45/1000000,2)))</f>
        <v/>
      </c>
      <c r="J45" s="8"/>
      <c r="K45" s="14"/>
      <c r="L45" s="8"/>
      <c r="M45" s="15" t="str">
        <f aca="false">IF($A45="","",IF(COUNTIF($A$3:$A$502,$A45)&gt;1,"중복","-"))</f>
        <v/>
      </c>
      <c r="N45" s="8"/>
    </row>
    <row r="46" customFormat="false" ht="15" hidden="false" customHeight="true" outlineLevel="0" collapsed="false">
      <c r="A46" s="8"/>
      <c r="B46" s="8"/>
      <c r="C46" s="8"/>
      <c r="D46" s="10"/>
      <c r="E46" s="10"/>
      <c r="F46" s="10"/>
      <c r="G46" s="11" t="str">
        <f aca="false">IF($A46="","",IF(AND($D46="",$E46="",$F46=""),"",IF($D46="","",$D46)&amp;IF($E46="",""," × "&amp;$E46)&amp;IF($F46=""," "," × ")&amp;IF($F46="","",$F46)&amp;"t"))</f>
        <v/>
      </c>
      <c r="H46" s="12"/>
      <c r="I46" s="13" t="str">
        <f aca="false">IF($A46="","",IF(OR($D46="",$E46="",$F46="",$H46=""),"",ROUND($D46*$E46*$F46*$H46/1000000,2)))</f>
        <v/>
      </c>
      <c r="J46" s="8"/>
      <c r="K46" s="14"/>
      <c r="L46" s="8"/>
      <c r="M46" s="15" t="str">
        <f aca="false">IF($A46="","",IF(COUNTIF($A$3:$A$502,$A46)&gt;1,"중복","-"))</f>
        <v/>
      </c>
      <c r="N46" s="8"/>
    </row>
    <row r="47" customFormat="false" ht="15" hidden="false" customHeight="true" outlineLevel="0" collapsed="false">
      <c r="A47" s="8"/>
      <c r="B47" s="8"/>
      <c r="C47" s="8"/>
      <c r="D47" s="10"/>
      <c r="E47" s="10"/>
      <c r="F47" s="10"/>
      <c r="G47" s="11" t="str">
        <f aca="false">IF($A47="","",IF(AND($D47="",$E47="",$F47=""),"",IF($D47="","",$D47)&amp;IF($E47="",""," × "&amp;$E47)&amp;IF($F47=""," "," × ")&amp;IF($F47="","",$F47)&amp;"t"))</f>
        <v/>
      </c>
      <c r="H47" s="12"/>
      <c r="I47" s="13" t="str">
        <f aca="false">IF($A47="","",IF(OR($D47="",$E47="",$F47="",$H47=""),"",ROUND($D47*$E47*$F47*$H47/1000000,2)))</f>
        <v/>
      </c>
      <c r="J47" s="8"/>
      <c r="K47" s="14"/>
      <c r="L47" s="8"/>
      <c r="M47" s="15" t="str">
        <f aca="false">IF($A47="","",IF(COUNTIF($A$3:$A$502,$A47)&gt;1,"중복","-"))</f>
        <v/>
      </c>
      <c r="N47" s="8"/>
    </row>
    <row r="48" customFormat="false" ht="15" hidden="false" customHeight="true" outlineLevel="0" collapsed="false">
      <c r="A48" s="8"/>
      <c r="B48" s="8"/>
      <c r="C48" s="8"/>
      <c r="D48" s="10"/>
      <c r="E48" s="10"/>
      <c r="F48" s="10"/>
      <c r="G48" s="11" t="str">
        <f aca="false">IF($A48="","",IF(AND($D48="",$E48="",$F48=""),"",IF($D48="","",$D48)&amp;IF($E48="",""," × "&amp;$E48)&amp;IF($F48=""," "," × ")&amp;IF($F48="","",$F48)&amp;"t"))</f>
        <v/>
      </c>
      <c r="H48" s="12"/>
      <c r="I48" s="13" t="str">
        <f aca="false">IF($A48="","",IF(OR($D48="",$E48="",$F48="",$H48=""),"",ROUND($D48*$E48*$F48*$H48/1000000,2)))</f>
        <v/>
      </c>
      <c r="J48" s="8"/>
      <c r="K48" s="14"/>
      <c r="L48" s="8"/>
      <c r="M48" s="15" t="str">
        <f aca="false">IF($A48="","",IF(COUNTIF($A$3:$A$502,$A48)&gt;1,"중복","-"))</f>
        <v/>
      </c>
      <c r="N48" s="8"/>
    </row>
    <row r="49" customFormat="false" ht="15" hidden="false" customHeight="true" outlineLevel="0" collapsed="false">
      <c r="A49" s="8"/>
      <c r="B49" s="8"/>
      <c r="C49" s="8"/>
      <c r="D49" s="10"/>
      <c r="E49" s="10"/>
      <c r="F49" s="10"/>
      <c r="G49" s="11" t="str">
        <f aca="false">IF($A49="","",IF(AND($D49="",$E49="",$F49=""),"",IF($D49="","",$D49)&amp;IF($E49="",""," × "&amp;$E49)&amp;IF($F49=""," "," × ")&amp;IF($F49="","",$F49)&amp;"t"))</f>
        <v/>
      </c>
      <c r="H49" s="12"/>
      <c r="I49" s="13" t="str">
        <f aca="false">IF($A49="","",IF(OR($D49="",$E49="",$F49="",$H49=""),"",ROUND($D49*$E49*$F49*$H49/1000000,2)))</f>
        <v/>
      </c>
      <c r="J49" s="8"/>
      <c r="K49" s="14"/>
      <c r="L49" s="8"/>
      <c r="M49" s="15" t="str">
        <f aca="false">IF($A49="","",IF(COUNTIF($A$3:$A$502,$A49)&gt;1,"중복","-"))</f>
        <v/>
      </c>
      <c r="N49" s="8"/>
    </row>
    <row r="50" customFormat="false" ht="15" hidden="false" customHeight="true" outlineLevel="0" collapsed="false">
      <c r="A50" s="8"/>
      <c r="B50" s="8"/>
      <c r="C50" s="8"/>
      <c r="D50" s="10"/>
      <c r="E50" s="10"/>
      <c r="F50" s="10"/>
      <c r="G50" s="11" t="str">
        <f aca="false">IF($A50="","",IF(AND($D50="",$E50="",$F50=""),"",IF($D50="","",$D50)&amp;IF($E50="",""," × "&amp;$E50)&amp;IF($F50=""," "," × ")&amp;IF($F50="","",$F50)&amp;"t"))</f>
        <v/>
      </c>
      <c r="H50" s="12"/>
      <c r="I50" s="13" t="str">
        <f aca="false">IF($A50="","",IF(OR($D50="",$E50="",$F50="",$H50=""),"",ROUND($D50*$E50*$F50*$H50/1000000,2)))</f>
        <v/>
      </c>
      <c r="J50" s="8"/>
      <c r="K50" s="14"/>
      <c r="L50" s="8"/>
      <c r="M50" s="15" t="str">
        <f aca="false">IF($A50="","",IF(COUNTIF($A$3:$A$502,$A50)&gt;1,"중복","-"))</f>
        <v/>
      </c>
      <c r="N50" s="8"/>
    </row>
    <row r="51" customFormat="false" ht="15" hidden="false" customHeight="true" outlineLevel="0" collapsed="false">
      <c r="A51" s="8"/>
      <c r="B51" s="8"/>
      <c r="C51" s="8"/>
      <c r="D51" s="10"/>
      <c r="E51" s="10"/>
      <c r="F51" s="10"/>
      <c r="G51" s="11" t="str">
        <f aca="false">IF($A51="","",IF(AND($D51="",$E51="",$F51=""),"",IF($D51="","",$D51)&amp;IF($E51="",""," × "&amp;$E51)&amp;IF($F51=""," "," × ")&amp;IF($F51="","",$F51)&amp;"t"))</f>
        <v/>
      </c>
      <c r="H51" s="12"/>
      <c r="I51" s="13" t="str">
        <f aca="false">IF($A51="","",IF(OR($D51="",$E51="",$F51="",$H51=""),"",ROUND($D51*$E51*$F51*$H51/1000000,2)))</f>
        <v/>
      </c>
      <c r="J51" s="8"/>
      <c r="K51" s="14"/>
      <c r="L51" s="8"/>
      <c r="M51" s="15" t="str">
        <f aca="false">IF($A51="","",IF(COUNTIF($A$3:$A$502,$A51)&gt;1,"중복","-"))</f>
        <v/>
      </c>
      <c r="N51" s="8"/>
    </row>
    <row r="52" customFormat="false" ht="15" hidden="false" customHeight="true" outlineLevel="0" collapsed="false">
      <c r="A52" s="8"/>
      <c r="B52" s="8"/>
      <c r="C52" s="8"/>
      <c r="D52" s="10"/>
      <c r="E52" s="10"/>
      <c r="F52" s="10"/>
      <c r="G52" s="11" t="str">
        <f aca="false">IF($A52="","",IF(AND($D52="",$E52="",$F52=""),"",IF($D52="","",$D52)&amp;IF($E52="",""," × "&amp;$E52)&amp;IF($F52=""," "," × ")&amp;IF($F52="","",$F52)&amp;"t"))</f>
        <v/>
      </c>
      <c r="H52" s="12"/>
      <c r="I52" s="13" t="str">
        <f aca="false">IF($A52="","",IF(OR($D52="",$E52="",$F52="",$H52=""),"",ROUND($D52*$E52*$F52*$H52/1000000,2)))</f>
        <v/>
      </c>
      <c r="J52" s="8"/>
      <c r="K52" s="14"/>
      <c r="L52" s="8"/>
      <c r="M52" s="15" t="str">
        <f aca="false">IF($A52="","",IF(COUNTIF($A$3:$A$502,$A52)&gt;1,"중복","-"))</f>
        <v/>
      </c>
      <c r="N52" s="8"/>
    </row>
    <row r="53" customFormat="false" ht="15" hidden="false" customHeight="true" outlineLevel="0" collapsed="false">
      <c r="A53" s="8"/>
      <c r="B53" s="8"/>
      <c r="C53" s="8"/>
      <c r="D53" s="10"/>
      <c r="E53" s="10"/>
      <c r="F53" s="10"/>
      <c r="G53" s="11" t="str">
        <f aca="false">IF($A53="","",IF(AND($D53="",$E53="",$F53=""),"",IF($D53="","",$D53)&amp;IF($E53="",""," × "&amp;$E53)&amp;IF($F53=""," "," × ")&amp;IF($F53="","",$F53)&amp;"t"))</f>
        <v/>
      </c>
      <c r="H53" s="12"/>
      <c r="I53" s="13" t="str">
        <f aca="false">IF($A53="","",IF(OR($D53="",$E53="",$F53="",$H53=""),"",ROUND($D53*$E53*$F53*$H53/1000000,2)))</f>
        <v/>
      </c>
      <c r="J53" s="8"/>
      <c r="K53" s="14"/>
      <c r="L53" s="8"/>
      <c r="M53" s="15" t="str">
        <f aca="false">IF($A53="","",IF(COUNTIF($A$3:$A$502,$A53)&gt;1,"중복","-"))</f>
        <v/>
      </c>
      <c r="N53" s="8"/>
    </row>
    <row r="54" customFormat="false" ht="15" hidden="false" customHeight="true" outlineLevel="0" collapsed="false">
      <c r="A54" s="8"/>
      <c r="B54" s="8"/>
      <c r="C54" s="8"/>
      <c r="D54" s="10"/>
      <c r="E54" s="10"/>
      <c r="F54" s="10"/>
      <c r="G54" s="11" t="str">
        <f aca="false">IF($A54="","",IF(AND($D54="",$E54="",$F54=""),"",IF($D54="","",$D54)&amp;IF($E54="",""," × "&amp;$E54)&amp;IF($F54=""," "," × ")&amp;IF($F54="","",$F54)&amp;"t"))</f>
        <v/>
      </c>
      <c r="H54" s="12"/>
      <c r="I54" s="13" t="str">
        <f aca="false">IF($A54="","",IF(OR($D54="",$E54="",$F54="",$H54=""),"",ROUND($D54*$E54*$F54*$H54/1000000,2)))</f>
        <v/>
      </c>
      <c r="J54" s="8"/>
      <c r="K54" s="14"/>
      <c r="L54" s="8"/>
      <c r="M54" s="15" t="str">
        <f aca="false">IF($A54="","",IF(COUNTIF($A$3:$A$502,$A54)&gt;1,"중복","-"))</f>
        <v/>
      </c>
      <c r="N54" s="8"/>
    </row>
    <row r="55" customFormat="false" ht="15" hidden="false" customHeight="true" outlineLevel="0" collapsed="false">
      <c r="A55" s="8"/>
      <c r="B55" s="8"/>
      <c r="C55" s="8"/>
      <c r="D55" s="10"/>
      <c r="E55" s="10"/>
      <c r="F55" s="10"/>
      <c r="G55" s="11" t="str">
        <f aca="false">IF($A55="","",IF(AND($D55="",$E55="",$F55=""),"",IF($D55="","",$D55)&amp;IF($E55="",""," × "&amp;$E55)&amp;IF($F55=""," "," × ")&amp;IF($F55="","",$F55)&amp;"t"))</f>
        <v/>
      </c>
      <c r="H55" s="12"/>
      <c r="I55" s="13" t="str">
        <f aca="false">IF($A55="","",IF(OR($D55="",$E55="",$F55="",$H55=""),"",ROUND($D55*$E55*$F55*$H55/1000000,2)))</f>
        <v/>
      </c>
      <c r="J55" s="8"/>
      <c r="K55" s="14"/>
      <c r="L55" s="8"/>
      <c r="M55" s="15" t="str">
        <f aca="false">IF($A55="","",IF(COUNTIF($A$3:$A$502,$A55)&gt;1,"중복","-"))</f>
        <v/>
      </c>
      <c r="N55" s="8"/>
    </row>
    <row r="56" customFormat="false" ht="15" hidden="false" customHeight="true" outlineLevel="0" collapsed="false">
      <c r="A56" s="8"/>
      <c r="B56" s="8"/>
      <c r="C56" s="8"/>
      <c r="D56" s="10"/>
      <c r="E56" s="10"/>
      <c r="F56" s="10"/>
      <c r="G56" s="11" t="str">
        <f aca="false">IF($A56="","",IF(AND($D56="",$E56="",$F56=""),"",IF($D56="","",$D56)&amp;IF($E56="",""," × "&amp;$E56)&amp;IF($F56=""," "," × ")&amp;IF($F56="","",$F56)&amp;"t"))</f>
        <v/>
      </c>
      <c r="H56" s="12"/>
      <c r="I56" s="13" t="str">
        <f aca="false">IF($A56="","",IF(OR($D56="",$E56="",$F56="",$H56=""),"",ROUND($D56*$E56*$F56*$H56/1000000,2)))</f>
        <v/>
      </c>
      <c r="J56" s="8"/>
      <c r="K56" s="14"/>
      <c r="L56" s="8"/>
      <c r="M56" s="15" t="str">
        <f aca="false">IF($A56="","",IF(COUNTIF($A$3:$A$502,$A56)&gt;1,"중복","-"))</f>
        <v/>
      </c>
      <c r="N56" s="8"/>
    </row>
    <row r="57" customFormat="false" ht="15" hidden="false" customHeight="true" outlineLevel="0" collapsed="false">
      <c r="A57" s="8"/>
      <c r="B57" s="8"/>
      <c r="C57" s="8"/>
      <c r="D57" s="10"/>
      <c r="E57" s="10"/>
      <c r="F57" s="10"/>
      <c r="G57" s="11" t="str">
        <f aca="false">IF($A57="","",IF(AND($D57="",$E57="",$F57=""),"",IF($D57="","",$D57)&amp;IF($E57="",""," × "&amp;$E57)&amp;IF($F57=""," "," × ")&amp;IF($F57="","",$F57)&amp;"t"))</f>
        <v/>
      </c>
      <c r="H57" s="12"/>
      <c r="I57" s="13" t="str">
        <f aca="false">IF($A57="","",IF(OR($D57="",$E57="",$F57="",$H57=""),"",ROUND($D57*$E57*$F57*$H57/1000000,2)))</f>
        <v/>
      </c>
      <c r="J57" s="8"/>
      <c r="K57" s="14"/>
      <c r="L57" s="8"/>
      <c r="M57" s="15" t="str">
        <f aca="false">IF($A57="","",IF(COUNTIF($A$3:$A$502,$A57)&gt;1,"중복","-"))</f>
        <v/>
      </c>
      <c r="N57" s="8"/>
    </row>
    <row r="58" customFormat="false" ht="15" hidden="false" customHeight="true" outlineLevel="0" collapsed="false">
      <c r="A58" s="8"/>
      <c r="B58" s="8"/>
      <c r="C58" s="8"/>
      <c r="D58" s="10"/>
      <c r="E58" s="10"/>
      <c r="F58" s="10"/>
      <c r="G58" s="11" t="str">
        <f aca="false">IF($A58="","",IF(AND($D58="",$E58="",$F58=""),"",IF($D58="","",$D58)&amp;IF($E58="",""," × "&amp;$E58)&amp;IF($F58=""," "," × ")&amp;IF($F58="","",$F58)&amp;"t"))</f>
        <v/>
      </c>
      <c r="H58" s="12"/>
      <c r="I58" s="13" t="str">
        <f aca="false">IF($A58="","",IF(OR($D58="",$E58="",$F58="",$H58=""),"",ROUND($D58*$E58*$F58*$H58/1000000,2)))</f>
        <v/>
      </c>
      <c r="J58" s="8"/>
      <c r="K58" s="14"/>
      <c r="L58" s="8"/>
      <c r="M58" s="15" t="str">
        <f aca="false">IF($A58="","",IF(COUNTIF($A$3:$A$502,$A58)&gt;1,"중복","-"))</f>
        <v/>
      </c>
      <c r="N58" s="8"/>
    </row>
    <row r="59" customFormat="false" ht="15" hidden="false" customHeight="true" outlineLevel="0" collapsed="false">
      <c r="A59" s="8"/>
      <c r="B59" s="8"/>
      <c r="C59" s="8"/>
      <c r="D59" s="10"/>
      <c r="E59" s="10"/>
      <c r="F59" s="10"/>
      <c r="G59" s="11" t="str">
        <f aca="false">IF($A59="","",IF(AND($D59="",$E59="",$F59=""),"",IF($D59="","",$D59)&amp;IF($E59="",""," × "&amp;$E59)&amp;IF($F59=""," "," × ")&amp;IF($F59="","",$F59)&amp;"t"))</f>
        <v/>
      </c>
      <c r="H59" s="12"/>
      <c r="I59" s="13" t="str">
        <f aca="false">IF($A59="","",IF(OR($D59="",$E59="",$F59="",$H59=""),"",ROUND($D59*$E59*$F59*$H59/1000000,2)))</f>
        <v/>
      </c>
      <c r="J59" s="8"/>
      <c r="K59" s="14"/>
      <c r="L59" s="8"/>
      <c r="M59" s="15" t="str">
        <f aca="false">IF($A59="","",IF(COUNTIF($A$3:$A$502,$A59)&gt;1,"중복","-"))</f>
        <v/>
      </c>
      <c r="N59" s="8"/>
    </row>
    <row r="60" customFormat="false" ht="15" hidden="false" customHeight="true" outlineLevel="0" collapsed="false">
      <c r="A60" s="8"/>
      <c r="B60" s="8"/>
      <c r="C60" s="8"/>
      <c r="D60" s="10"/>
      <c r="E60" s="10"/>
      <c r="F60" s="10"/>
      <c r="G60" s="11" t="str">
        <f aca="false">IF($A60="","",IF(AND($D60="",$E60="",$F60=""),"",IF($D60="","",$D60)&amp;IF($E60="",""," × "&amp;$E60)&amp;IF($F60=""," "," × ")&amp;IF($F60="","",$F60)&amp;"t"))</f>
        <v/>
      </c>
      <c r="H60" s="12"/>
      <c r="I60" s="13" t="str">
        <f aca="false">IF($A60="","",IF(OR($D60="",$E60="",$F60="",$H60=""),"",ROUND($D60*$E60*$F60*$H60/1000000,2)))</f>
        <v/>
      </c>
      <c r="J60" s="8"/>
      <c r="K60" s="14"/>
      <c r="L60" s="8"/>
      <c r="M60" s="15" t="str">
        <f aca="false">IF($A60="","",IF(COUNTIF($A$3:$A$502,$A60)&gt;1,"중복","-"))</f>
        <v/>
      </c>
      <c r="N60" s="8"/>
    </row>
    <row r="61" customFormat="false" ht="15" hidden="false" customHeight="true" outlineLevel="0" collapsed="false">
      <c r="A61" s="8"/>
      <c r="B61" s="8"/>
      <c r="C61" s="8"/>
      <c r="D61" s="10"/>
      <c r="E61" s="10"/>
      <c r="F61" s="10"/>
      <c r="G61" s="11" t="str">
        <f aca="false">IF($A61="","",IF(AND($D61="",$E61="",$F61=""),"",IF($D61="","",$D61)&amp;IF($E61="",""," × "&amp;$E61)&amp;IF($F61=""," "," × ")&amp;IF($F61="","",$F61)&amp;"t"))</f>
        <v/>
      </c>
      <c r="H61" s="12"/>
      <c r="I61" s="13" t="str">
        <f aca="false">IF($A61="","",IF(OR($D61="",$E61="",$F61="",$H61=""),"",ROUND($D61*$E61*$F61*$H61/1000000,2)))</f>
        <v/>
      </c>
      <c r="J61" s="8"/>
      <c r="K61" s="14"/>
      <c r="L61" s="8"/>
      <c r="M61" s="15" t="str">
        <f aca="false">IF($A61="","",IF(COUNTIF($A$3:$A$502,$A61)&gt;1,"중복","-"))</f>
        <v/>
      </c>
      <c r="N61" s="8"/>
    </row>
    <row r="62" customFormat="false" ht="15" hidden="false" customHeight="true" outlineLevel="0" collapsed="false">
      <c r="A62" s="8"/>
      <c r="B62" s="8"/>
      <c r="C62" s="8"/>
      <c r="D62" s="10"/>
      <c r="E62" s="10"/>
      <c r="F62" s="10"/>
      <c r="G62" s="11" t="str">
        <f aca="false">IF($A62="","",IF(AND($D62="",$E62="",$F62=""),"",IF($D62="","",$D62)&amp;IF($E62="",""," × "&amp;$E62)&amp;IF($F62=""," "," × ")&amp;IF($F62="","",$F62)&amp;"t"))</f>
        <v/>
      </c>
      <c r="H62" s="12"/>
      <c r="I62" s="13" t="str">
        <f aca="false">IF($A62="","",IF(OR($D62="",$E62="",$F62="",$H62=""),"",ROUND($D62*$E62*$F62*$H62/1000000,2)))</f>
        <v/>
      </c>
      <c r="J62" s="8"/>
      <c r="K62" s="14"/>
      <c r="L62" s="8"/>
      <c r="M62" s="15" t="str">
        <f aca="false">IF($A62="","",IF(COUNTIF($A$3:$A$502,$A62)&gt;1,"중복","-"))</f>
        <v/>
      </c>
      <c r="N62" s="8"/>
    </row>
    <row r="63" customFormat="false" ht="15" hidden="false" customHeight="true" outlineLevel="0" collapsed="false">
      <c r="A63" s="8"/>
      <c r="B63" s="8"/>
      <c r="C63" s="8"/>
      <c r="D63" s="10"/>
      <c r="E63" s="10"/>
      <c r="F63" s="10"/>
      <c r="G63" s="11" t="str">
        <f aca="false">IF($A63="","",IF(AND($D63="",$E63="",$F63=""),"",IF($D63="","",$D63)&amp;IF($E63="",""," × "&amp;$E63)&amp;IF($F63=""," "," × ")&amp;IF($F63="","",$F63)&amp;"t"))</f>
        <v/>
      </c>
      <c r="H63" s="12"/>
      <c r="I63" s="13" t="str">
        <f aca="false">IF($A63="","",IF(OR($D63="",$E63="",$F63="",$H63=""),"",ROUND($D63*$E63*$F63*$H63/1000000,2)))</f>
        <v/>
      </c>
      <c r="J63" s="8"/>
      <c r="K63" s="14"/>
      <c r="L63" s="8"/>
      <c r="M63" s="15" t="str">
        <f aca="false">IF($A63="","",IF(COUNTIF($A$3:$A$502,$A63)&gt;1,"중복","-"))</f>
        <v/>
      </c>
      <c r="N63" s="8"/>
    </row>
    <row r="64" customFormat="false" ht="15" hidden="false" customHeight="true" outlineLevel="0" collapsed="false">
      <c r="A64" s="8"/>
      <c r="B64" s="8"/>
      <c r="C64" s="8"/>
      <c r="D64" s="10"/>
      <c r="E64" s="10"/>
      <c r="F64" s="10"/>
      <c r="G64" s="11" t="str">
        <f aca="false">IF($A64="","",IF(AND($D64="",$E64="",$F64=""),"",IF($D64="","",$D64)&amp;IF($E64="",""," × "&amp;$E64)&amp;IF($F64=""," "," × ")&amp;IF($F64="","",$F64)&amp;"t"))</f>
        <v/>
      </c>
      <c r="H64" s="12"/>
      <c r="I64" s="13" t="str">
        <f aca="false">IF($A64="","",IF(OR($D64="",$E64="",$F64="",$H64=""),"",ROUND($D64*$E64*$F64*$H64/1000000,2)))</f>
        <v/>
      </c>
      <c r="J64" s="8"/>
      <c r="K64" s="14"/>
      <c r="L64" s="8"/>
      <c r="M64" s="15" t="str">
        <f aca="false">IF($A64="","",IF(COUNTIF($A$3:$A$502,$A64)&gt;1,"중복","-"))</f>
        <v/>
      </c>
      <c r="N64" s="8"/>
    </row>
    <row r="65" customFormat="false" ht="15" hidden="false" customHeight="true" outlineLevel="0" collapsed="false">
      <c r="A65" s="8"/>
      <c r="B65" s="8"/>
      <c r="C65" s="8"/>
      <c r="D65" s="10"/>
      <c r="E65" s="10"/>
      <c r="F65" s="10"/>
      <c r="G65" s="11" t="str">
        <f aca="false">IF($A65="","",IF(AND($D65="",$E65="",$F65=""),"",IF($D65="","",$D65)&amp;IF($E65="",""," × "&amp;$E65)&amp;IF($F65=""," "," × ")&amp;IF($F65="","",$F65)&amp;"t"))</f>
        <v/>
      </c>
      <c r="H65" s="12"/>
      <c r="I65" s="13" t="str">
        <f aca="false">IF($A65="","",IF(OR($D65="",$E65="",$F65="",$H65=""),"",ROUND($D65*$E65*$F65*$H65/1000000,2)))</f>
        <v/>
      </c>
      <c r="J65" s="8"/>
      <c r="K65" s="14"/>
      <c r="L65" s="8"/>
      <c r="M65" s="15" t="str">
        <f aca="false">IF($A65="","",IF(COUNTIF($A$3:$A$502,$A65)&gt;1,"중복","-"))</f>
        <v/>
      </c>
      <c r="N65" s="8"/>
    </row>
    <row r="66" customFormat="false" ht="15" hidden="false" customHeight="true" outlineLevel="0" collapsed="false">
      <c r="A66" s="8"/>
      <c r="B66" s="8"/>
      <c r="C66" s="8"/>
      <c r="D66" s="10"/>
      <c r="E66" s="10"/>
      <c r="F66" s="10"/>
      <c r="G66" s="11" t="str">
        <f aca="false">IF($A66="","",IF(AND($D66="",$E66="",$F66=""),"",IF($D66="","",$D66)&amp;IF($E66="",""," × "&amp;$E66)&amp;IF($F66=""," "," × ")&amp;IF($F66="","",$F66)&amp;"t"))</f>
        <v/>
      </c>
      <c r="H66" s="12"/>
      <c r="I66" s="13" t="str">
        <f aca="false">IF($A66="","",IF(OR($D66="",$E66="",$F66="",$H66=""),"",ROUND($D66*$E66*$F66*$H66/1000000,2)))</f>
        <v/>
      </c>
      <c r="J66" s="8"/>
      <c r="K66" s="14"/>
      <c r="L66" s="8"/>
      <c r="M66" s="15" t="str">
        <f aca="false">IF($A66="","",IF(COUNTIF($A$3:$A$502,$A66)&gt;1,"중복","-"))</f>
        <v/>
      </c>
      <c r="N66" s="8"/>
    </row>
    <row r="67" customFormat="false" ht="15" hidden="false" customHeight="true" outlineLevel="0" collapsed="false">
      <c r="A67" s="8"/>
      <c r="B67" s="8"/>
      <c r="C67" s="8"/>
      <c r="D67" s="10"/>
      <c r="E67" s="10"/>
      <c r="F67" s="10"/>
      <c r="G67" s="11" t="str">
        <f aca="false">IF($A67="","",IF(AND($D67="",$E67="",$F67=""),"",IF($D67="","",$D67)&amp;IF($E67="",""," × "&amp;$E67)&amp;IF($F67=""," "," × ")&amp;IF($F67="","",$F67)&amp;"t"))</f>
        <v/>
      </c>
      <c r="H67" s="12"/>
      <c r="I67" s="13" t="str">
        <f aca="false">IF($A67="","",IF(OR($D67="",$E67="",$F67="",$H67=""),"",ROUND($D67*$E67*$F67*$H67/1000000,2)))</f>
        <v/>
      </c>
      <c r="J67" s="8"/>
      <c r="K67" s="14"/>
      <c r="L67" s="8"/>
      <c r="M67" s="15" t="str">
        <f aca="false">IF($A67="","",IF(COUNTIF($A$3:$A$502,$A67)&gt;1,"중복","-"))</f>
        <v/>
      </c>
      <c r="N67" s="8"/>
    </row>
    <row r="68" customFormat="false" ht="15" hidden="false" customHeight="true" outlineLevel="0" collapsed="false">
      <c r="A68" s="8"/>
      <c r="B68" s="8"/>
      <c r="C68" s="8"/>
      <c r="D68" s="10"/>
      <c r="E68" s="10"/>
      <c r="F68" s="10"/>
      <c r="G68" s="11" t="str">
        <f aca="false">IF($A68="","",IF(AND($D68="",$E68="",$F68=""),"",IF($D68="","",$D68)&amp;IF($E68="",""," × "&amp;$E68)&amp;IF($F68=""," "," × ")&amp;IF($F68="","",$F68)&amp;"t"))</f>
        <v/>
      </c>
      <c r="H68" s="12"/>
      <c r="I68" s="13" t="str">
        <f aca="false">IF($A68="","",IF(OR($D68="",$E68="",$F68="",$H68=""),"",ROUND($D68*$E68*$F68*$H68/1000000,2)))</f>
        <v/>
      </c>
      <c r="J68" s="8"/>
      <c r="K68" s="14"/>
      <c r="L68" s="8"/>
      <c r="M68" s="15" t="str">
        <f aca="false">IF($A68="","",IF(COUNTIF($A$3:$A$502,$A68)&gt;1,"중복","-"))</f>
        <v/>
      </c>
      <c r="N68" s="8"/>
    </row>
    <row r="69" customFormat="false" ht="15" hidden="false" customHeight="true" outlineLevel="0" collapsed="false">
      <c r="A69" s="8"/>
      <c r="B69" s="8"/>
      <c r="C69" s="8"/>
      <c r="D69" s="10"/>
      <c r="E69" s="10"/>
      <c r="F69" s="10"/>
      <c r="G69" s="11" t="str">
        <f aca="false">IF($A69="","",IF(AND($D69="",$E69="",$F69=""),"",IF($D69="","",$D69)&amp;IF($E69="",""," × "&amp;$E69)&amp;IF($F69=""," "," × ")&amp;IF($F69="","",$F69)&amp;"t"))</f>
        <v/>
      </c>
      <c r="H69" s="12"/>
      <c r="I69" s="13" t="str">
        <f aca="false">IF($A69="","",IF(OR($D69="",$E69="",$F69="",$H69=""),"",ROUND($D69*$E69*$F69*$H69/1000000,2)))</f>
        <v/>
      </c>
      <c r="J69" s="8"/>
      <c r="K69" s="14"/>
      <c r="L69" s="8"/>
      <c r="M69" s="15" t="str">
        <f aca="false">IF($A69="","",IF(COUNTIF($A$3:$A$502,$A69)&gt;1,"중복","-"))</f>
        <v/>
      </c>
      <c r="N69" s="8"/>
    </row>
    <row r="70" customFormat="false" ht="15" hidden="false" customHeight="true" outlineLevel="0" collapsed="false">
      <c r="A70" s="8"/>
      <c r="B70" s="8"/>
      <c r="C70" s="8"/>
      <c r="D70" s="10"/>
      <c r="E70" s="10"/>
      <c r="F70" s="10"/>
      <c r="G70" s="11" t="str">
        <f aca="false">IF($A70="","",IF(AND($D70="",$E70="",$F70=""),"",IF($D70="","",$D70)&amp;IF($E70="",""," × "&amp;$E70)&amp;IF($F70=""," "," × ")&amp;IF($F70="","",$F70)&amp;"t"))</f>
        <v/>
      </c>
      <c r="H70" s="12"/>
      <c r="I70" s="13" t="str">
        <f aca="false">IF($A70="","",IF(OR($D70="",$E70="",$F70="",$H70=""),"",ROUND($D70*$E70*$F70*$H70/1000000,2)))</f>
        <v/>
      </c>
      <c r="J70" s="8"/>
      <c r="K70" s="14"/>
      <c r="L70" s="8"/>
      <c r="M70" s="15" t="str">
        <f aca="false">IF($A70="","",IF(COUNTIF($A$3:$A$502,$A70)&gt;1,"중복","-"))</f>
        <v/>
      </c>
      <c r="N70" s="8"/>
    </row>
    <row r="71" customFormat="false" ht="15" hidden="false" customHeight="true" outlineLevel="0" collapsed="false">
      <c r="A71" s="8"/>
      <c r="B71" s="8"/>
      <c r="C71" s="8"/>
      <c r="D71" s="10"/>
      <c r="E71" s="10"/>
      <c r="F71" s="10"/>
      <c r="G71" s="11" t="str">
        <f aca="false">IF($A71="","",IF(AND($D71="",$E71="",$F71=""),"",IF($D71="","",$D71)&amp;IF($E71="",""," × "&amp;$E71)&amp;IF($F71=""," "," × ")&amp;IF($F71="","",$F71)&amp;"t"))</f>
        <v/>
      </c>
      <c r="H71" s="12"/>
      <c r="I71" s="13" t="str">
        <f aca="false">IF($A71="","",IF(OR($D71="",$E71="",$F71="",$H71=""),"",ROUND($D71*$E71*$F71*$H71/1000000,2)))</f>
        <v/>
      </c>
      <c r="J71" s="8"/>
      <c r="K71" s="14"/>
      <c r="L71" s="8"/>
      <c r="M71" s="15" t="str">
        <f aca="false">IF($A71="","",IF(COUNTIF($A$3:$A$502,$A71)&gt;1,"중복","-"))</f>
        <v/>
      </c>
      <c r="N71" s="8"/>
    </row>
    <row r="72" customFormat="false" ht="15" hidden="false" customHeight="true" outlineLevel="0" collapsed="false">
      <c r="A72" s="8"/>
      <c r="B72" s="8"/>
      <c r="C72" s="8"/>
      <c r="D72" s="10"/>
      <c r="E72" s="10"/>
      <c r="F72" s="10"/>
      <c r="G72" s="11" t="str">
        <f aca="false">IF($A72="","",IF(AND($D72="",$E72="",$F72=""),"",IF($D72="","",$D72)&amp;IF($E72="",""," × "&amp;$E72)&amp;IF($F72=""," "," × ")&amp;IF($F72="","",$F72)&amp;"t"))</f>
        <v/>
      </c>
      <c r="H72" s="12"/>
      <c r="I72" s="13" t="str">
        <f aca="false">IF($A72="","",IF(OR($D72="",$E72="",$F72="",$H72=""),"",ROUND($D72*$E72*$F72*$H72/1000000,2)))</f>
        <v/>
      </c>
      <c r="J72" s="8"/>
      <c r="K72" s="14"/>
      <c r="L72" s="8"/>
      <c r="M72" s="15" t="str">
        <f aca="false">IF($A72="","",IF(COUNTIF($A$3:$A$502,$A72)&gt;1,"중복","-"))</f>
        <v/>
      </c>
      <c r="N72" s="8"/>
    </row>
    <row r="73" customFormat="false" ht="15" hidden="false" customHeight="true" outlineLevel="0" collapsed="false">
      <c r="A73" s="8"/>
      <c r="B73" s="8"/>
      <c r="C73" s="8"/>
      <c r="D73" s="10"/>
      <c r="E73" s="10"/>
      <c r="F73" s="10"/>
      <c r="G73" s="11" t="str">
        <f aca="false">IF($A73="","",IF(AND($D73="",$E73="",$F73=""),"",IF($D73="","",$D73)&amp;IF($E73="",""," × "&amp;$E73)&amp;IF($F73=""," "," × ")&amp;IF($F73="","",$F73)&amp;"t"))</f>
        <v/>
      </c>
      <c r="H73" s="12"/>
      <c r="I73" s="13" t="str">
        <f aca="false">IF($A73="","",IF(OR($D73="",$E73="",$F73="",$H73=""),"",ROUND($D73*$E73*$F73*$H73/1000000,2)))</f>
        <v/>
      </c>
      <c r="J73" s="8"/>
      <c r="K73" s="14"/>
      <c r="L73" s="8"/>
      <c r="M73" s="15" t="str">
        <f aca="false">IF($A73="","",IF(COUNTIF($A$3:$A$502,$A73)&gt;1,"중복","-"))</f>
        <v/>
      </c>
      <c r="N73" s="8"/>
    </row>
    <row r="74" customFormat="false" ht="15" hidden="false" customHeight="true" outlineLevel="0" collapsed="false">
      <c r="A74" s="8"/>
      <c r="B74" s="8"/>
      <c r="C74" s="8"/>
      <c r="D74" s="10"/>
      <c r="E74" s="10"/>
      <c r="F74" s="10"/>
      <c r="G74" s="11" t="str">
        <f aca="false">IF($A74="","",IF(AND($D74="",$E74="",$F74=""),"",IF($D74="","",$D74)&amp;IF($E74="",""," × "&amp;$E74)&amp;IF($F74=""," "," × ")&amp;IF($F74="","",$F74)&amp;"t"))</f>
        <v/>
      </c>
      <c r="H74" s="12"/>
      <c r="I74" s="13" t="str">
        <f aca="false">IF($A74="","",IF(OR($D74="",$E74="",$F74="",$H74=""),"",ROUND($D74*$E74*$F74*$H74/1000000,2)))</f>
        <v/>
      </c>
      <c r="J74" s="8"/>
      <c r="K74" s="14"/>
      <c r="L74" s="8"/>
      <c r="M74" s="15" t="str">
        <f aca="false">IF($A74="","",IF(COUNTIF($A$3:$A$502,$A74)&gt;1,"중복","-"))</f>
        <v/>
      </c>
      <c r="N74" s="8"/>
    </row>
    <row r="75" customFormat="false" ht="15" hidden="false" customHeight="true" outlineLevel="0" collapsed="false">
      <c r="A75" s="8"/>
      <c r="B75" s="8"/>
      <c r="C75" s="8"/>
      <c r="D75" s="10"/>
      <c r="E75" s="10"/>
      <c r="F75" s="10"/>
      <c r="G75" s="11" t="str">
        <f aca="false">IF($A75="","",IF(AND($D75="",$E75="",$F75=""),"",IF($D75="","",$D75)&amp;IF($E75="",""," × "&amp;$E75)&amp;IF($F75=""," "," × ")&amp;IF($F75="","",$F75)&amp;"t"))</f>
        <v/>
      </c>
      <c r="H75" s="12"/>
      <c r="I75" s="13" t="str">
        <f aca="false">IF($A75="","",IF(OR($D75="",$E75="",$F75="",$H75=""),"",ROUND($D75*$E75*$F75*$H75/1000000,2)))</f>
        <v/>
      </c>
      <c r="J75" s="8"/>
      <c r="K75" s="14"/>
      <c r="L75" s="8"/>
      <c r="M75" s="15" t="str">
        <f aca="false">IF($A75="","",IF(COUNTIF($A$3:$A$502,$A75)&gt;1,"중복","-"))</f>
        <v/>
      </c>
      <c r="N75" s="8"/>
    </row>
    <row r="76" customFormat="false" ht="15" hidden="false" customHeight="true" outlineLevel="0" collapsed="false">
      <c r="A76" s="8"/>
      <c r="B76" s="8"/>
      <c r="C76" s="8"/>
      <c r="D76" s="10"/>
      <c r="E76" s="10"/>
      <c r="F76" s="10"/>
      <c r="G76" s="11" t="str">
        <f aca="false">IF($A76="","",IF(AND($D76="",$E76="",$F76=""),"",IF($D76="","",$D76)&amp;IF($E76="",""," × "&amp;$E76)&amp;IF($F76=""," "," × ")&amp;IF($F76="","",$F76)&amp;"t"))</f>
        <v/>
      </c>
      <c r="H76" s="12"/>
      <c r="I76" s="13" t="str">
        <f aca="false">IF($A76="","",IF(OR($D76="",$E76="",$F76="",$H76=""),"",ROUND($D76*$E76*$F76*$H76/1000000,2)))</f>
        <v/>
      </c>
      <c r="J76" s="8"/>
      <c r="K76" s="14"/>
      <c r="L76" s="8"/>
      <c r="M76" s="15" t="str">
        <f aca="false">IF($A76="","",IF(COUNTIF($A$3:$A$502,$A76)&gt;1,"중복","-"))</f>
        <v/>
      </c>
      <c r="N76" s="8"/>
    </row>
    <row r="77" customFormat="false" ht="15" hidden="false" customHeight="true" outlineLevel="0" collapsed="false">
      <c r="A77" s="8"/>
      <c r="B77" s="8"/>
      <c r="C77" s="8"/>
      <c r="D77" s="10"/>
      <c r="E77" s="10"/>
      <c r="F77" s="10"/>
      <c r="G77" s="11" t="str">
        <f aca="false">IF($A77="","",IF(AND($D77="",$E77="",$F77=""),"",IF($D77="","",$D77)&amp;IF($E77="",""," × "&amp;$E77)&amp;IF($F77=""," "," × ")&amp;IF($F77="","",$F77)&amp;"t"))</f>
        <v/>
      </c>
      <c r="H77" s="12"/>
      <c r="I77" s="13" t="str">
        <f aca="false">IF($A77="","",IF(OR($D77="",$E77="",$F77="",$H77=""),"",ROUND($D77*$E77*$F77*$H77/1000000,2)))</f>
        <v/>
      </c>
      <c r="J77" s="8"/>
      <c r="K77" s="14"/>
      <c r="L77" s="8"/>
      <c r="M77" s="15" t="str">
        <f aca="false">IF($A77="","",IF(COUNTIF($A$3:$A$502,$A77)&gt;1,"중복","-"))</f>
        <v/>
      </c>
      <c r="N77" s="8"/>
    </row>
    <row r="78" customFormat="false" ht="15" hidden="false" customHeight="true" outlineLevel="0" collapsed="false">
      <c r="A78" s="8"/>
      <c r="B78" s="8"/>
      <c r="C78" s="8"/>
      <c r="D78" s="10"/>
      <c r="E78" s="10"/>
      <c r="F78" s="10"/>
      <c r="G78" s="11" t="str">
        <f aca="false">IF($A78="","",IF(AND($D78="",$E78="",$F78=""),"",IF($D78="","",$D78)&amp;IF($E78="",""," × "&amp;$E78)&amp;IF($F78=""," "," × ")&amp;IF($F78="","",$F78)&amp;"t"))</f>
        <v/>
      </c>
      <c r="H78" s="12"/>
      <c r="I78" s="13" t="str">
        <f aca="false">IF($A78="","",IF(OR($D78="",$E78="",$F78="",$H78=""),"",ROUND($D78*$E78*$F78*$H78/1000000,2)))</f>
        <v/>
      </c>
      <c r="J78" s="8"/>
      <c r="K78" s="14"/>
      <c r="L78" s="8"/>
      <c r="M78" s="15" t="str">
        <f aca="false">IF($A78="","",IF(COUNTIF($A$3:$A$502,$A78)&gt;1,"중복","-"))</f>
        <v/>
      </c>
      <c r="N78" s="8"/>
    </row>
    <row r="79" customFormat="false" ht="15" hidden="false" customHeight="true" outlineLevel="0" collapsed="false">
      <c r="A79" s="8"/>
      <c r="B79" s="8"/>
      <c r="C79" s="8"/>
      <c r="D79" s="10"/>
      <c r="E79" s="10"/>
      <c r="F79" s="10"/>
      <c r="G79" s="11" t="str">
        <f aca="false">IF($A79="","",IF(AND($D79="",$E79="",$F79=""),"",IF($D79="","",$D79)&amp;IF($E79="",""," × "&amp;$E79)&amp;IF($F79=""," "," × ")&amp;IF($F79="","",$F79)&amp;"t"))</f>
        <v/>
      </c>
      <c r="H79" s="12"/>
      <c r="I79" s="13" t="str">
        <f aca="false">IF($A79="","",IF(OR($D79="",$E79="",$F79="",$H79=""),"",ROUND($D79*$E79*$F79*$H79/1000000,2)))</f>
        <v/>
      </c>
      <c r="J79" s="8"/>
      <c r="K79" s="14"/>
      <c r="L79" s="8"/>
      <c r="M79" s="15" t="str">
        <f aca="false">IF($A79="","",IF(COUNTIF($A$3:$A$502,$A79)&gt;1,"중복","-"))</f>
        <v/>
      </c>
      <c r="N79" s="8"/>
    </row>
    <row r="80" customFormat="false" ht="15" hidden="false" customHeight="true" outlineLevel="0" collapsed="false">
      <c r="A80" s="8"/>
      <c r="B80" s="8"/>
      <c r="C80" s="8"/>
      <c r="D80" s="10"/>
      <c r="E80" s="10"/>
      <c r="F80" s="10"/>
      <c r="G80" s="11" t="str">
        <f aca="false">IF($A80="","",IF(AND($D80="",$E80="",$F80=""),"",IF($D80="","",$D80)&amp;IF($E80="",""," × "&amp;$E80)&amp;IF($F80=""," "," × ")&amp;IF($F80="","",$F80)&amp;"t"))</f>
        <v/>
      </c>
      <c r="H80" s="12"/>
      <c r="I80" s="13" t="str">
        <f aca="false">IF($A80="","",IF(OR($D80="",$E80="",$F80="",$H80=""),"",ROUND($D80*$E80*$F80*$H80/1000000,2)))</f>
        <v/>
      </c>
      <c r="J80" s="8"/>
      <c r="K80" s="14"/>
      <c r="L80" s="8"/>
      <c r="M80" s="15" t="str">
        <f aca="false">IF($A80="","",IF(COUNTIF($A$3:$A$502,$A80)&gt;1,"중복","-"))</f>
        <v/>
      </c>
      <c r="N80" s="8"/>
    </row>
    <row r="81" customFormat="false" ht="15" hidden="false" customHeight="true" outlineLevel="0" collapsed="false">
      <c r="A81" s="8"/>
      <c r="B81" s="8"/>
      <c r="C81" s="8"/>
      <c r="D81" s="10"/>
      <c r="E81" s="10"/>
      <c r="F81" s="10"/>
      <c r="G81" s="11" t="str">
        <f aca="false">IF($A81="","",IF(AND($D81="",$E81="",$F81=""),"",IF($D81="","",$D81)&amp;IF($E81="",""," × "&amp;$E81)&amp;IF($F81=""," "," × ")&amp;IF($F81="","",$F81)&amp;"t"))</f>
        <v/>
      </c>
      <c r="H81" s="12"/>
      <c r="I81" s="13" t="str">
        <f aca="false">IF($A81="","",IF(OR($D81="",$E81="",$F81="",$H81=""),"",ROUND($D81*$E81*$F81*$H81/1000000,2)))</f>
        <v/>
      </c>
      <c r="J81" s="8"/>
      <c r="K81" s="14"/>
      <c r="L81" s="8"/>
      <c r="M81" s="15" t="str">
        <f aca="false">IF($A81="","",IF(COUNTIF($A$3:$A$502,$A81)&gt;1,"중복","-"))</f>
        <v/>
      </c>
      <c r="N81" s="8"/>
    </row>
    <row r="82" customFormat="false" ht="15" hidden="false" customHeight="true" outlineLevel="0" collapsed="false">
      <c r="A82" s="8"/>
      <c r="B82" s="8"/>
      <c r="C82" s="8"/>
      <c r="D82" s="10"/>
      <c r="E82" s="10"/>
      <c r="F82" s="10"/>
      <c r="G82" s="11" t="str">
        <f aca="false">IF($A82="","",IF(AND($D82="",$E82="",$F82=""),"",IF($D82="","",$D82)&amp;IF($E82="",""," × "&amp;$E82)&amp;IF($F82=""," "," × ")&amp;IF($F82="","",$F82)&amp;"t"))</f>
        <v/>
      </c>
      <c r="H82" s="12"/>
      <c r="I82" s="13" t="str">
        <f aca="false">IF($A82="","",IF(OR($D82="",$E82="",$F82="",$H82=""),"",ROUND($D82*$E82*$F82*$H82/1000000,2)))</f>
        <v/>
      </c>
      <c r="J82" s="8"/>
      <c r="K82" s="14"/>
      <c r="L82" s="8"/>
      <c r="M82" s="15" t="str">
        <f aca="false">IF($A82="","",IF(COUNTIF($A$3:$A$502,$A82)&gt;1,"중복","-"))</f>
        <v/>
      </c>
      <c r="N82" s="8"/>
    </row>
    <row r="83" customFormat="false" ht="15" hidden="false" customHeight="true" outlineLevel="0" collapsed="false">
      <c r="A83" s="8"/>
      <c r="B83" s="8"/>
      <c r="C83" s="8"/>
      <c r="D83" s="10"/>
      <c r="E83" s="10"/>
      <c r="F83" s="10"/>
      <c r="G83" s="11" t="str">
        <f aca="false">IF($A83="","",IF(AND($D83="",$E83="",$F83=""),"",IF($D83="","",$D83)&amp;IF($E83="",""," × "&amp;$E83)&amp;IF($F83=""," "," × ")&amp;IF($F83="","",$F83)&amp;"t"))</f>
        <v/>
      </c>
      <c r="H83" s="12"/>
      <c r="I83" s="13" t="str">
        <f aca="false">IF($A83="","",IF(OR($D83="",$E83="",$F83="",$H83=""),"",ROUND($D83*$E83*$F83*$H83/1000000,2)))</f>
        <v/>
      </c>
      <c r="J83" s="8"/>
      <c r="K83" s="14"/>
      <c r="L83" s="8"/>
      <c r="M83" s="15" t="str">
        <f aca="false">IF($A83="","",IF(COUNTIF($A$3:$A$502,$A83)&gt;1,"중복","-"))</f>
        <v/>
      </c>
      <c r="N83" s="8"/>
    </row>
    <row r="84" customFormat="false" ht="15" hidden="false" customHeight="true" outlineLevel="0" collapsed="false">
      <c r="A84" s="8"/>
      <c r="B84" s="8"/>
      <c r="C84" s="8"/>
      <c r="D84" s="10"/>
      <c r="E84" s="10"/>
      <c r="F84" s="10"/>
      <c r="G84" s="11" t="str">
        <f aca="false">IF($A84="","",IF(AND($D84="",$E84="",$F84=""),"",IF($D84="","",$D84)&amp;IF($E84="",""," × "&amp;$E84)&amp;IF($F84=""," "," × ")&amp;IF($F84="","",$F84)&amp;"t"))</f>
        <v/>
      </c>
      <c r="H84" s="12"/>
      <c r="I84" s="13" t="str">
        <f aca="false">IF($A84="","",IF(OR($D84="",$E84="",$F84="",$H84=""),"",ROUND($D84*$E84*$F84*$H84/1000000,2)))</f>
        <v/>
      </c>
      <c r="J84" s="8"/>
      <c r="K84" s="14"/>
      <c r="L84" s="8"/>
      <c r="M84" s="15" t="str">
        <f aca="false">IF($A84="","",IF(COUNTIF($A$3:$A$502,$A84)&gt;1,"중복","-"))</f>
        <v/>
      </c>
      <c r="N84" s="8"/>
    </row>
    <row r="85" customFormat="false" ht="15" hidden="false" customHeight="true" outlineLevel="0" collapsed="false">
      <c r="A85" s="8"/>
      <c r="B85" s="8"/>
      <c r="C85" s="8"/>
      <c r="D85" s="10"/>
      <c r="E85" s="10"/>
      <c r="F85" s="10"/>
      <c r="G85" s="11" t="str">
        <f aca="false">IF($A85="","",IF(AND($D85="",$E85="",$F85=""),"",IF($D85="","",$D85)&amp;IF($E85="",""," × "&amp;$E85)&amp;IF($F85=""," "," × ")&amp;IF($F85="","",$F85)&amp;"t"))</f>
        <v/>
      </c>
      <c r="H85" s="12"/>
      <c r="I85" s="13" t="str">
        <f aca="false">IF($A85="","",IF(OR($D85="",$E85="",$F85="",$H85=""),"",ROUND($D85*$E85*$F85*$H85/1000000,2)))</f>
        <v/>
      </c>
      <c r="J85" s="8"/>
      <c r="K85" s="14"/>
      <c r="L85" s="8"/>
      <c r="M85" s="15" t="str">
        <f aca="false">IF($A85="","",IF(COUNTIF($A$3:$A$502,$A85)&gt;1,"중복","-"))</f>
        <v/>
      </c>
      <c r="N85" s="8"/>
    </row>
    <row r="86" customFormat="false" ht="15" hidden="false" customHeight="true" outlineLevel="0" collapsed="false">
      <c r="A86" s="8"/>
      <c r="B86" s="8"/>
      <c r="C86" s="8"/>
      <c r="D86" s="10"/>
      <c r="E86" s="10"/>
      <c r="F86" s="10"/>
      <c r="G86" s="11" t="str">
        <f aca="false">IF($A86="","",IF(AND($D86="",$E86="",$F86=""),"",IF($D86="","",$D86)&amp;IF($E86="",""," × "&amp;$E86)&amp;IF($F86=""," "," × ")&amp;IF($F86="","",$F86)&amp;"t"))</f>
        <v/>
      </c>
      <c r="H86" s="12"/>
      <c r="I86" s="13" t="str">
        <f aca="false">IF($A86="","",IF(OR($D86="",$E86="",$F86="",$H86=""),"",ROUND($D86*$E86*$F86*$H86/1000000,2)))</f>
        <v/>
      </c>
      <c r="J86" s="8"/>
      <c r="K86" s="14"/>
      <c r="L86" s="8"/>
      <c r="M86" s="15" t="str">
        <f aca="false">IF($A86="","",IF(COUNTIF($A$3:$A$502,$A86)&gt;1,"중복","-"))</f>
        <v/>
      </c>
      <c r="N86" s="8"/>
    </row>
    <row r="87" customFormat="false" ht="15" hidden="false" customHeight="true" outlineLevel="0" collapsed="false">
      <c r="A87" s="8"/>
      <c r="B87" s="8"/>
      <c r="C87" s="8"/>
      <c r="D87" s="10"/>
      <c r="E87" s="10"/>
      <c r="F87" s="10"/>
      <c r="G87" s="11" t="str">
        <f aca="false">IF($A87="","",IF(AND($D87="",$E87="",$F87=""),"",IF($D87="","",$D87)&amp;IF($E87="",""," × "&amp;$E87)&amp;IF($F87=""," "," × ")&amp;IF($F87="","",$F87)&amp;"t"))</f>
        <v/>
      </c>
      <c r="H87" s="12"/>
      <c r="I87" s="13" t="str">
        <f aca="false">IF($A87="","",IF(OR($D87="",$E87="",$F87="",$H87=""),"",ROUND($D87*$E87*$F87*$H87/1000000,2)))</f>
        <v/>
      </c>
      <c r="J87" s="8"/>
      <c r="K87" s="14"/>
      <c r="L87" s="8"/>
      <c r="M87" s="15" t="str">
        <f aca="false">IF($A87="","",IF(COUNTIF($A$3:$A$502,$A87)&gt;1,"중복","-"))</f>
        <v/>
      </c>
      <c r="N87" s="8"/>
    </row>
    <row r="88" customFormat="false" ht="15" hidden="false" customHeight="true" outlineLevel="0" collapsed="false">
      <c r="A88" s="8"/>
      <c r="B88" s="8"/>
      <c r="C88" s="8"/>
      <c r="D88" s="10"/>
      <c r="E88" s="10"/>
      <c r="F88" s="10"/>
      <c r="G88" s="11" t="str">
        <f aca="false">IF($A88="","",IF(AND($D88="",$E88="",$F88=""),"",IF($D88="","",$D88)&amp;IF($E88="",""," × "&amp;$E88)&amp;IF($F88=""," "," × ")&amp;IF($F88="","",$F88)&amp;"t"))</f>
        <v/>
      </c>
      <c r="H88" s="12"/>
      <c r="I88" s="13" t="str">
        <f aca="false">IF($A88="","",IF(OR($D88="",$E88="",$F88="",$H88=""),"",ROUND($D88*$E88*$F88*$H88/1000000,2)))</f>
        <v/>
      </c>
      <c r="J88" s="8"/>
      <c r="K88" s="14"/>
      <c r="L88" s="8"/>
      <c r="M88" s="15" t="str">
        <f aca="false">IF($A88="","",IF(COUNTIF($A$3:$A$502,$A88)&gt;1,"중복","-"))</f>
        <v/>
      </c>
      <c r="N88" s="8"/>
    </row>
    <row r="89" customFormat="false" ht="15" hidden="false" customHeight="true" outlineLevel="0" collapsed="false">
      <c r="A89" s="8"/>
      <c r="B89" s="8"/>
      <c r="C89" s="8"/>
      <c r="D89" s="10"/>
      <c r="E89" s="10"/>
      <c r="F89" s="10"/>
      <c r="G89" s="11" t="str">
        <f aca="false">IF($A89="","",IF(AND($D89="",$E89="",$F89=""),"",IF($D89="","",$D89)&amp;IF($E89="",""," × "&amp;$E89)&amp;IF($F89=""," "," × ")&amp;IF($F89="","",$F89)&amp;"t"))</f>
        <v/>
      </c>
      <c r="H89" s="12"/>
      <c r="I89" s="13" t="str">
        <f aca="false">IF($A89="","",IF(OR($D89="",$E89="",$F89="",$H89=""),"",ROUND($D89*$E89*$F89*$H89/1000000,2)))</f>
        <v/>
      </c>
      <c r="J89" s="8"/>
      <c r="K89" s="14"/>
      <c r="L89" s="8"/>
      <c r="M89" s="15" t="str">
        <f aca="false">IF($A89="","",IF(COUNTIF($A$3:$A$502,$A89)&gt;1,"중복","-"))</f>
        <v/>
      </c>
      <c r="N89" s="8"/>
    </row>
    <row r="90" customFormat="false" ht="15" hidden="false" customHeight="true" outlineLevel="0" collapsed="false">
      <c r="A90" s="8"/>
      <c r="B90" s="8"/>
      <c r="C90" s="8"/>
      <c r="D90" s="10"/>
      <c r="E90" s="10"/>
      <c r="F90" s="10"/>
      <c r="G90" s="11" t="str">
        <f aca="false">IF($A90="","",IF(AND($D90="",$E90="",$F90=""),"",IF($D90="","",$D90)&amp;IF($E90="",""," × "&amp;$E90)&amp;IF($F90=""," "," × ")&amp;IF($F90="","",$F90)&amp;"t"))</f>
        <v/>
      </c>
      <c r="H90" s="12"/>
      <c r="I90" s="13" t="str">
        <f aca="false">IF($A90="","",IF(OR($D90="",$E90="",$F90="",$H90=""),"",ROUND($D90*$E90*$F90*$H90/1000000,2)))</f>
        <v/>
      </c>
      <c r="J90" s="8"/>
      <c r="K90" s="14"/>
      <c r="L90" s="8"/>
      <c r="M90" s="15" t="str">
        <f aca="false">IF($A90="","",IF(COUNTIF($A$3:$A$502,$A90)&gt;1,"중복","-"))</f>
        <v/>
      </c>
      <c r="N90" s="8"/>
    </row>
    <row r="91" customFormat="false" ht="15" hidden="false" customHeight="true" outlineLevel="0" collapsed="false">
      <c r="A91" s="8"/>
      <c r="B91" s="8"/>
      <c r="C91" s="8"/>
      <c r="D91" s="10"/>
      <c r="E91" s="10"/>
      <c r="F91" s="10"/>
      <c r="G91" s="11" t="str">
        <f aca="false">IF($A91="","",IF(AND($D91="",$E91="",$F91=""),"",IF($D91="","",$D91)&amp;IF($E91="",""," × "&amp;$E91)&amp;IF($F91=""," "," × ")&amp;IF($F91="","",$F91)&amp;"t"))</f>
        <v/>
      </c>
      <c r="H91" s="12"/>
      <c r="I91" s="13" t="str">
        <f aca="false">IF($A91="","",IF(OR($D91="",$E91="",$F91="",$H91=""),"",ROUND($D91*$E91*$F91*$H91/1000000,2)))</f>
        <v/>
      </c>
      <c r="J91" s="8"/>
      <c r="K91" s="14"/>
      <c r="L91" s="8"/>
      <c r="M91" s="15" t="str">
        <f aca="false">IF($A91="","",IF(COUNTIF($A$3:$A$502,$A91)&gt;1,"중복","-"))</f>
        <v/>
      </c>
      <c r="N91" s="8"/>
    </row>
    <row r="92" customFormat="false" ht="15" hidden="false" customHeight="true" outlineLevel="0" collapsed="false">
      <c r="A92" s="8"/>
      <c r="B92" s="8"/>
      <c r="C92" s="8"/>
      <c r="D92" s="10"/>
      <c r="E92" s="10"/>
      <c r="F92" s="10"/>
      <c r="G92" s="11" t="str">
        <f aca="false">IF($A92="","",IF(AND($D92="",$E92="",$F92=""),"",IF($D92="","",$D92)&amp;IF($E92="",""," × "&amp;$E92)&amp;IF($F92=""," "," × ")&amp;IF($F92="","",$F92)&amp;"t"))</f>
        <v/>
      </c>
      <c r="H92" s="12"/>
      <c r="I92" s="13" t="str">
        <f aca="false">IF($A92="","",IF(OR($D92="",$E92="",$F92="",$H92=""),"",ROUND($D92*$E92*$F92*$H92/1000000,2)))</f>
        <v/>
      </c>
      <c r="J92" s="8"/>
      <c r="K92" s="14"/>
      <c r="L92" s="8"/>
      <c r="M92" s="15" t="str">
        <f aca="false">IF($A92="","",IF(COUNTIF($A$3:$A$502,$A92)&gt;1,"중복","-"))</f>
        <v/>
      </c>
      <c r="N92" s="8"/>
    </row>
    <row r="93" customFormat="false" ht="15" hidden="false" customHeight="true" outlineLevel="0" collapsed="false">
      <c r="A93" s="8"/>
      <c r="B93" s="8"/>
      <c r="C93" s="8"/>
      <c r="D93" s="10"/>
      <c r="E93" s="10"/>
      <c r="F93" s="10"/>
      <c r="G93" s="11" t="str">
        <f aca="false">IF($A93="","",IF(AND($D93="",$E93="",$F93=""),"",IF($D93="","",$D93)&amp;IF($E93="",""," × "&amp;$E93)&amp;IF($F93=""," "," × ")&amp;IF($F93="","",$F93)&amp;"t"))</f>
        <v/>
      </c>
      <c r="H93" s="12"/>
      <c r="I93" s="13" t="str">
        <f aca="false">IF($A93="","",IF(OR($D93="",$E93="",$F93="",$H93=""),"",ROUND($D93*$E93*$F93*$H93/1000000,2)))</f>
        <v/>
      </c>
      <c r="J93" s="8"/>
      <c r="K93" s="14"/>
      <c r="L93" s="8"/>
      <c r="M93" s="15" t="str">
        <f aca="false">IF($A93="","",IF(COUNTIF($A$3:$A$502,$A93)&gt;1,"중복","-"))</f>
        <v/>
      </c>
      <c r="N93" s="8"/>
    </row>
    <row r="94" customFormat="false" ht="15" hidden="false" customHeight="true" outlineLevel="0" collapsed="false">
      <c r="A94" s="8"/>
      <c r="B94" s="8"/>
      <c r="C94" s="8"/>
      <c r="D94" s="10"/>
      <c r="E94" s="10"/>
      <c r="F94" s="10"/>
      <c r="G94" s="11" t="str">
        <f aca="false">IF($A94="","",IF(AND($D94="",$E94="",$F94=""),"",IF($D94="","",$D94)&amp;IF($E94="",""," × "&amp;$E94)&amp;IF($F94=""," "," × ")&amp;IF($F94="","",$F94)&amp;"t"))</f>
        <v/>
      </c>
      <c r="H94" s="12"/>
      <c r="I94" s="13" t="str">
        <f aca="false">IF($A94="","",IF(OR($D94="",$E94="",$F94="",$H94=""),"",ROUND($D94*$E94*$F94*$H94/1000000,2)))</f>
        <v/>
      </c>
      <c r="J94" s="8"/>
      <c r="K94" s="14"/>
      <c r="L94" s="8"/>
      <c r="M94" s="15" t="str">
        <f aca="false">IF($A94="","",IF(COUNTIF($A$3:$A$502,$A94)&gt;1,"중복","-"))</f>
        <v/>
      </c>
      <c r="N94" s="8"/>
    </row>
    <row r="95" customFormat="false" ht="15" hidden="false" customHeight="true" outlineLevel="0" collapsed="false">
      <c r="A95" s="8"/>
      <c r="B95" s="8"/>
      <c r="C95" s="8"/>
      <c r="D95" s="10"/>
      <c r="E95" s="10"/>
      <c r="F95" s="10"/>
      <c r="G95" s="11" t="str">
        <f aca="false">IF($A95="","",IF(AND($D95="",$E95="",$F95=""),"",IF($D95="","",$D95)&amp;IF($E95="",""," × "&amp;$E95)&amp;IF($F95=""," "," × ")&amp;IF($F95="","",$F95)&amp;"t"))</f>
        <v/>
      </c>
      <c r="H95" s="12"/>
      <c r="I95" s="13" t="str">
        <f aca="false">IF($A95="","",IF(OR($D95="",$E95="",$F95="",$H95=""),"",ROUND($D95*$E95*$F95*$H95/1000000,2)))</f>
        <v/>
      </c>
      <c r="J95" s="8"/>
      <c r="K95" s="14"/>
      <c r="L95" s="8"/>
      <c r="M95" s="15" t="str">
        <f aca="false">IF($A95="","",IF(COUNTIF($A$3:$A$502,$A95)&gt;1,"중복","-"))</f>
        <v/>
      </c>
      <c r="N95" s="8"/>
    </row>
    <row r="96" customFormat="false" ht="15" hidden="false" customHeight="true" outlineLevel="0" collapsed="false">
      <c r="A96" s="8"/>
      <c r="B96" s="8"/>
      <c r="C96" s="8"/>
      <c r="D96" s="10"/>
      <c r="E96" s="10"/>
      <c r="F96" s="10"/>
      <c r="G96" s="11" t="str">
        <f aca="false">IF($A96="","",IF(AND($D96="",$E96="",$F96=""),"",IF($D96="","",$D96)&amp;IF($E96="",""," × "&amp;$E96)&amp;IF($F96=""," "," × ")&amp;IF($F96="","",$F96)&amp;"t"))</f>
        <v/>
      </c>
      <c r="H96" s="12"/>
      <c r="I96" s="13" t="str">
        <f aca="false">IF($A96="","",IF(OR($D96="",$E96="",$F96="",$H96=""),"",ROUND($D96*$E96*$F96*$H96/1000000,2)))</f>
        <v/>
      </c>
      <c r="J96" s="8"/>
      <c r="K96" s="14"/>
      <c r="L96" s="8"/>
      <c r="M96" s="15" t="str">
        <f aca="false">IF($A96="","",IF(COUNTIF($A$3:$A$502,$A96)&gt;1,"중복","-"))</f>
        <v/>
      </c>
      <c r="N96" s="8"/>
    </row>
    <row r="97" customFormat="false" ht="15" hidden="false" customHeight="true" outlineLevel="0" collapsed="false">
      <c r="A97" s="8"/>
      <c r="B97" s="8"/>
      <c r="C97" s="8"/>
      <c r="D97" s="10"/>
      <c r="E97" s="10"/>
      <c r="F97" s="10"/>
      <c r="G97" s="11" t="str">
        <f aca="false">IF($A97="","",IF(AND($D97="",$E97="",$F97=""),"",IF($D97="","",$D97)&amp;IF($E97="",""," × "&amp;$E97)&amp;IF($F97=""," "," × ")&amp;IF($F97="","",$F97)&amp;"t"))</f>
        <v/>
      </c>
      <c r="H97" s="12"/>
      <c r="I97" s="13" t="str">
        <f aca="false">IF($A97="","",IF(OR($D97="",$E97="",$F97="",$H97=""),"",ROUND($D97*$E97*$F97*$H97/1000000,2)))</f>
        <v/>
      </c>
      <c r="J97" s="8"/>
      <c r="K97" s="14"/>
      <c r="L97" s="8"/>
      <c r="M97" s="15" t="str">
        <f aca="false">IF($A97="","",IF(COUNTIF($A$3:$A$502,$A97)&gt;1,"중복","-"))</f>
        <v/>
      </c>
      <c r="N97" s="8"/>
    </row>
    <row r="98" customFormat="false" ht="15" hidden="false" customHeight="true" outlineLevel="0" collapsed="false">
      <c r="A98" s="8"/>
      <c r="B98" s="8"/>
      <c r="C98" s="8"/>
      <c r="D98" s="10"/>
      <c r="E98" s="10"/>
      <c r="F98" s="10"/>
      <c r="G98" s="11" t="str">
        <f aca="false">IF($A98="","",IF(AND($D98="",$E98="",$F98=""),"",IF($D98="","",$D98)&amp;IF($E98="",""," × "&amp;$E98)&amp;IF($F98=""," "," × ")&amp;IF($F98="","",$F98)&amp;"t"))</f>
        <v/>
      </c>
      <c r="H98" s="12"/>
      <c r="I98" s="13" t="str">
        <f aca="false">IF($A98="","",IF(OR($D98="",$E98="",$F98="",$H98=""),"",ROUND($D98*$E98*$F98*$H98/1000000,2)))</f>
        <v/>
      </c>
      <c r="J98" s="8"/>
      <c r="K98" s="14"/>
      <c r="L98" s="8"/>
      <c r="M98" s="15" t="str">
        <f aca="false">IF($A98="","",IF(COUNTIF($A$3:$A$502,$A98)&gt;1,"중복","-"))</f>
        <v/>
      </c>
      <c r="N98" s="8"/>
    </row>
    <row r="99" customFormat="false" ht="15" hidden="false" customHeight="true" outlineLevel="0" collapsed="false">
      <c r="A99" s="8"/>
      <c r="B99" s="8"/>
      <c r="C99" s="8"/>
      <c r="D99" s="10"/>
      <c r="E99" s="10"/>
      <c r="F99" s="10"/>
      <c r="G99" s="11" t="str">
        <f aca="false">IF($A99="","",IF(AND($D99="",$E99="",$F99=""),"",IF($D99="","",$D99)&amp;IF($E99="",""," × "&amp;$E99)&amp;IF($F99=""," "," × ")&amp;IF($F99="","",$F99)&amp;"t"))</f>
        <v/>
      </c>
      <c r="H99" s="12"/>
      <c r="I99" s="13" t="str">
        <f aca="false">IF($A99="","",IF(OR($D99="",$E99="",$F99="",$H99=""),"",ROUND($D99*$E99*$F99*$H99/1000000,2)))</f>
        <v/>
      </c>
      <c r="J99" s="8"/>
      <c r="K99" s="14"/>
      <c r="L99" s="8"/>
      <c r="M99" s="15" t="str">
        <f aca="false">IF($A99="","",IF(COUNTIF($A$3:$A$502,$A99)&gt;1,"중복","-"))</f>
        <v/>
      </c>
      <c r="N99" s="8"/>
    </row>
    <row r="100" customFormat="false" ht="15" hidden="false" customHeight="true" outlineLevel="0" collapsed="false">
      <c r="A100" s="8"/>
      <c r="B100" s="8"/>
      <c r="C100" s="8"/>
      <c r="D100" s="10"/>
      <c r="E100" s="10"/>
      <c r="F100" s="10"/>
      <c r="G100" s="11" t="str">
        <f aca="false">IF($A100="","",IF(AND($D100="",$E100="",$F100=""),"",IF($D100="","",$D100)&amp;IF($E100="",""," × "&amp;$E100)&amp;IF($F100=""," "," × ")&amp;IF($F100="","",$F100)&amp;"t"))</f>
        <v/>
      </c>
      <c r="H100" s="12"/>
      <c r="I100" s="13" t="str">
        <f aca="false">IF($A100="","",IF(OR($D100="",$E100="",$F100="",$H100=""),"",ROUND($D100*$E100*$F100*$H100/1000000,2)))</f>
        <v/>
      </c>
      <c r="J100" s="8"/>
      <c r="K100" s="14"/>
      <c r="L100" s="8"/>
      <c r="M100" s="15" t="str">
        <f aca="false">IF($A100="","",IF(COUNTIF($A$3:$A$502,$A100)&gt;1,"중복","-"))</f>
        <v/>
      </c>
      <c r="N100" s="8"/>
    </row>
    <row r="101" customFormat="false" ht="15" hidden="false" customHeight="true" outlineLevel="0" collapsed="false">
      <c r="A101" s="8"/>
      <c r="B101" s="8"/>
      <c r="C101" s="8"/>
      <c r="D101" s="10"/>
      <c r="E101" s="10"/>
      <c r="F101" s="10"/>
      <c r="G101" s="11" t="str">
        <f aca="false">IF($A101="","",IF(AND($D101="",$E101="",$F101=""),"",IF($D101="","",$D101)&amp;IF($E101="",""," × "&amp;$E101)&amp;IF($F101=""," "," × ")&amp;IF($F101="","",$F101)&amp;"t"))</f>
        <v/>
      </c>
      <c r="H101" s="12"/>
      <c r="I101" s="13" t="str">
        <f aca="false">IF($A101="","",IF(OR($D101="",$E101="",$F101="",$H101=""),"",ROUND($D101*$E101*$F101*$H101/1000000,2)))</f>
        <v/>
      </c>
      <c r="J101" s="8"/>
      <c r="K101" s="14"/>
      <c r="L101" s="8"/>
      <c r="M101" s="15" t="str">
        <f aca="false">IF($A101="","",IF(COUNTIF($A$3:$A$502,$A101)&gt;1,"중복","-"))</f>
        <v/>
      </c>
      <c r="N101" s="8"/>
    </row>
    <row r="102" customFormat="false" ht="15" hidden="false" customHeight="true" outlineLevel="0" collapsed="false">
      <c r="A102" s="8"/>
      <c r="B102" s="8"/>
      <c r="C102" s="8"/>
      <c r="D102" s="10"/>
      <c r="E102" s="10"/>
      <c r="F102" s="10"/>
      <c r="G102" s="11" t="str">
        <f aca="false">IF($A102="","",IF(AND($D102="",$E102="",$F102=""),"",IF($D102="","",$D102)&amp;IF($E102="",""," × "&amp;$E102)&amp;IF($F102=""," "," × ")&amp;IF($F102="","",$F102)&amp;"t"))</f>
        <v/>
      </c>
      <c r="H102" s="12"/>
      <c r="I102" s="13" t="str">
        <f aca="false">IF($A102="","",IF(OR($D102="",$E102="",$F102="",$H102=""),"",ROUND($D102*$E102*$F102*$H102/1000000,2)))</f>
        <v/>
      </c>
      <c r="J102" s="8"/>
      <c r="K102" s="14"/>
      <c r="L102" s="8"/>
      <c r="M102" s="15" t="str">
        <f aca="false">IF($A102="","",IF(COUNTIF($A$3:$A$502,$A102)&gt;1,"중복","-"))</f>
        <v/>
      </c>
      <c r="N102" s="8"/>
    </row>
    <row r="103" customFormat="false" ht="15" hidden="false" customHeight="true" outlineLevel="0" collapsed="false">
      <c r="A103" s="8"/>
      <c r="B103" s="8"/>
      <c r="C103" s="8"/>
      <c r="D103" s="10"/>
      <c r="E103" s="10"/>
      <c r="F103" s="10"/>
      <c r="G103" s="11" t="str">
        <f aca="false">IF($A103="","",IF(AND($D103="",$E103="",$F103=""),"",IF($D103="","",$D103)&amp;IF($E103="",""," × "&amp;$E103)&amp;IF($F103=""," "," × ")&amp;IF($F103="","",$F103)&amp;"t"))</f>
        <v/>
      </c>
      <c r="H103" s="12"/>
      <c r="I103" s="13" t="str">
        <f aca="false">IF($A103="","",IF(OR($D103="",$E103="",$F103="",$H103=""),"",ROUND($D103*$E103*$F103*$H103/1000000,2)))</f>
        <v/>
      </c>
      <c r="J103" s="8"/>
      <c r="K103" s="14"/>
      <c r="L103" s="8"/>
      <c r="M103" s="15" t="str">
        <f aca="false">IF($A103="","",IF(COUNTIF($A$3:$A$502,$A103)&gt;1,"중복","-"))</f>
        <v/>
      </c>
      <c r="N103" s="8"/>
    </row>
    <row r="104" customFormat="false" ht="15" hidden="false" customHeight="true" outlineLevel="0" collapsed="false">
      <c r="A104" s="8"/>
      <c r="B104" s="8"/>
      <c r="C104" s="8"/>
      <c r="D104" s="10"/>
      <c r="E104" s="10"/>
      <c r="F104" s="10"/>
      <c r="G104" s="11" t="str">
        <f aca="false">IF($A104="","",IF(AND($D104="",$E104="",$F104=""),"",IF($D104="","",$D104)&amp;IF($E104="",""," × "&amp;$E104)&amp;IF($F104=""," "," × ")&amp;IF($F104="","",$F104)&amp;"t"))</f>
        <v/>
      </c>
      <c r="H104" s="12"/>
      <c r="I104" s="13" t="str">
        <f aca="false">IF($A104="","",IF(OR($D104="",$E104="",$F104="",$H104=""),"",ROUND($D104*$E104*$F104*$H104/1000000,2)))</f>
        <v/>
      </c>
      <c r="J104" s="8"/>
      <c r="K104" s="14"/>
      <c r="L104" s="8"/>
      <c r="M104" s="15" t="str">
        <f aca="false">IF($A104="","",IF(COUNTIF($A$3:$A$502,$A104)&gt;1,"중복","-"))</f>
        <v/>
      </c>
      <c r="N104" s="8"/>
    </row>
    <row r="105" customFormat="false" ht="15" hidden="false" customHeight="true" outlineLevel="0" collapsed="false">
      <c r="A105" s="8"/>
      <c r="B105" s="8"/>
      <c r="C105" s="8"/>
      <c r="D105" s="10"/>
      <c r="E105" s="10"/>
      <c r="F105" s="10"/>
      <c r="G105" s="11" t="str">
        <f aca="false">IF($A105="","",IF(AND($D105="",$E105="",$F105=""),"",IF($D105="","",$D105)&amp;IF($E105="",""," × "&amp;$E105)&amp;IF($F105=""," "," × ")&amp;IF($F105="","",$F105)&amp;"t"))</f>
        <v/>
      </c>
      <c r="H105" s="12"/>
      <c r="I105" s="13" t="str">
        <f aca="false">IF($A105="","",IF(OR($D105="",$E105="",$F105="",$H105=""),"",ROUND($D105*$E105*$F105*$H105/1000000,2)))</f>
        <v/>
      </c>
      <c r="J105" s="8"/>
      <c r="K105" s="14"/>
      <c r="L105" s="8"/>
      <c r="M105" s="15" t="str">
        <f aca="false">IF($A105="","",IF(COUNTIF($A$3:$A$502,$A105)&gt;1,"중복","-"))</f>
        <v/>
      </c>
      <c r="N105" s="8"/>
    </row>
    <row r="106" customFormat="false" ht="15" hidden="false" customHeight="true" outlineLevel="0" collapsed="false">
      <c r="A106" s="8"/>
      <c r="B106" s="8"/>
      <c r="C106" s="8"/>
      <c r="D106" s="10"/>
      <c r="E106" s="10"/>
      <c r="F106" s="10"/>
      <c r="G106" s="11" t="str">
        <f aca="false">IF($A106="","",IF(AND($D106="",$E106="",$F106=""),"",IF($D106="","",$D106)&amp;IF($E106="",""," × "&amp;$E106)&amp;IF($F106=""," "," × ")&amp;IF($F106="","",$F106)&amp;"t"))</f>
        <v/>
      </c>
      <c r="H106" s="12"/>
      <c r="I106" s="13" t="str">
        <f aca="false">IF($A106="","",IF(OR($D106="",$E106="",$F106="",$H106=""),"",ROUND($D106*$E106*$F106*$H106/1000000,2)))</f>
        <v/>
      </c>
      <c r="J106" s="8"/>
      <c r="K106" s="14"/>
      <c r="L106" s="8"/>
      <c r="M106" s="15" t="str">
        <f aca="false">IF($A106="","",IF(COUNTIF($A$3:$A$502,$A106)&gt;1,"중복","-"))</f>
        <v/>
      </c>
      <c r="N106" s="8"/>
    </row>
    <row r="107" customFormat="false" ht="15" hidden="false" customHeight="true" outlineLevel="0" collapsed="false">
      <c r="A107" s="8"/>
      <c r="B107" s="8"/>
      <c r="C107" s="8"/>
      <c r="D107" s="10"/>
      <c r="E107" s="10"/>
      <c r="F107" s="10"/>
      <c r="G107" s="11" t="str">
        <f aca="false">IF($A107="","",IF(AND($D107="",$E107="",$F107=""),"",IF($D107="","",$D107)&amp;IF($E107="",""," × "&amp;$E107)&amp;IF($F107=""," "," × ")&amp;IF($F107="","",$F107)&amp;"t"))</f>
        <v/>
      </c>
      <c r="H107" s="12"/>
      <c r="I107" s="13" t="str">
        <f aca="false">IF($A107="","",IF(OR($D107="",$E107="",$F107="",$H107=""),"",ROUND($D107*$E107*$F107*$H107/1000000,2)))</f>
        <v/>
      </c>
      <c r="J107" s="8"/>
      <c r="K107" s="14"/>
      <c r="L107" s="8"/>
      <c r="M107" s="15" t="str">
        <f aca="false">IF($A107="","",IF(COUNTIF($A$3:$A$502,$A107)&gt;1,"중복","-"))</f>
        <v/>
      </c>
      <c r="N107" s="8"/>
    </row>
    <row r="108" customFormat="false" ht="15" hidden="false" customHeight="true" outlineLevel="0" collapsed="false">
      <c r="A108" s="8"/>
      <c r="B108" s="8"/>
      <c r="C108" s="8"/>
      <c r="D108" s="10"/>
      <c r="E108" s="10"/>
      <c r="F108" s="10"/>
      <c r="G108" s="11" t="str">
        <f aca="false">IF($A108="","",IF(AND($D108="",$E108="",$F108=""),"",IF($D108="","",$D108)&amp;IF($E108="",""," × "&amp;$E108)&amp;IF($F108=""," "," × ")&amp;IF($F108="","",$F108)&amp;"t"))</f>
        <v/>
      </c>
      <c r="H108" s="12"/>
      <c r="I108" s="13" t="str">
        <f aca="false">IF($A108="","",IF(OR($D108="",$E108="",$F108="",$H108=""),"",ROUND($D108*$E108*$F108*$H108/1000000,2)))</f>
        <v/>
      </c>
      <c r="J108" s="8"/>
      <c r="K108" s="14"/>
      <c r="L108" s="8"/>
      <c r="M108" s="15" t="str">
        <f aca="false">IF($A108="","",IF(COUNTIF($A$3:$A$502,$A108)&gt;1,"중복","-"))</f>
        <v/>
      </c>
      <c r="N108" s="8"/>
    </row>
    <row r="109" customFormat="false" ht="15" hidden="false" customHeight="true" outlineLevel="0" collapsed="false">
      <c r="A109" s="8"/>
      <c r="B109" s="8"/>
      <c r="C109" s="8"/>
      <c r="D109" s="10"/>
      <c r="E109" s="10"/>
      <c r="F109" s="10"/>
      <c r="G109" s="11" t="str">
        <f aca="false">IF($A109="","",IF(AND($D109="",$E109="",$F109=""),"",IF($D109="","",$D109)&amp;IF($E109="",""," × "&amp;$E109)&amp;IF($F109=""," "," × ")&amp;IF($F109="","",$F109)&amp;"t"))</f>
        <v/>
      </c>
      <c r="H109" s="12"/>
      <c r="I109" s="13" t="str">
        <f aca="false">IF($A109="","",IF(OR($D109="",$E109="",$F109="",$H109=""),"",ROUND($D109*$E109*$F109*$H109/1000000,2)))</f>
        <v/>
      </c>
      <c r="J109" s="8"/>
      <c r="K109" s="14"/>
      <c r="L109" s="8"/>
      <c r="M109" s="15" t="str">
        <f aca="false">IF($A109="","",IF(COUNTIF($A$3:$A$502,$A109)&gt;1,"중복","-"))</f>
        <v/>
      </c>
      <c r="N109" s="8"/>
    </row>
    <row r="110" customFormat="false" ht="15" hidden="false" customHeight="true" outlineLevel="0" collapsed="false">
      <c r="A110" s="8"/>
      <c r="B110" s="8"/>
      <c r="C110" s="8"/>
      <c r="D110" s="10"/>
      <c r="E110" s="10"/>
      <c r="F110" s="10"/>
      <c r="G110" s="11" t="str">
        <f aca="false">IF($A110="","",IF(AND($D110="",$E110="",$F110=""),"",IF($D110="","",$D110)&amp;IF($E110="",""," × "&amp;$E110)&amp;IF($F110=""," "," × ")&amp;IF($F110="","",$F110)&amp;"t"))</f>
        <v/>
      </c>
      <c r="H110" s="12"/>
      <c r="I110" s="13" t="str">
        <f aca="false">IF($A110="","",IF(OR($D110="",$E110="",$F110="",$H110=""),"",ROUND($D110*$E110*$F110*$H110/1000000,2)))</f>
        <v/>
      </c>
      <c r="J110" s="8"/>
      <c r="K110" s="14"/>
      <c r="L110" s="8"/>
      <c r="M110" s="15" t="str">
        <f aca="false">IF($A110="","",IF(COUNTIF($A$3:$A$502,$A110)&gt;1,"중복","-"))</f>
        <v/>
      </c>
      <c r="N110" s="8"/>
    </row>
    <row r="111" customFormat="false" ht="15" hidden="false" customHeight="true" outlineLevel="0" collapsed="false">
      <c r="A111" s="8"/>
      <c r="B111" s="8"/>
      <c r="C111" s="8"/>
      <c r="D111" s="10"/>
      <c r="E111" s="10"/>
      <c r="F111" s="10"/>
      <c r="G111" s="11" t="str">
        <f aca="false">IF($A111="","",IF(AND($D111="",$E111="",$F111=""),"",IF($D111="","",$D111)&amp;IF($E111="",""," × "&amp;$E111)&amp;IF($F111=""," "," × ")&amp;IF($F111="","",$F111)&amp;"t"))</f>
        <v/>
      </c>
      <c r="H111" s="12"/>
      <c r="I111" s="13" t="str">
        <f aca="false">IF($A111="","",IF(OR($D111="",$E111="",$F111="",$H111=""),"",ROUND($D111*$E111*$F111*$H111/1000000,2)))</f>
        <v/>
      </c>
      <c r="J111" s="8"/>
      <c r="K111" s="14"/>
      <c r="L111" s="8"/>
      <c r="M111" s="15" t="str">
        <f aca="false">IF($A111="","",IF(COUNTIF($A$3:$A$502,$A111)&gt;1,"중복","-"))</f>
        <v/>
      </c>
      <c r="N111" s="8"/>
    </row>
    <row r="112" customFormat="false" ht="15" hidden="false" customHeight="true" outlineLevel="0" collapsed="false">
      <c r="A112" s="8"/>
      <c r="B112" s="8"/>
      <c r="C112" s="8"/>
      <c r="D112" s="10"/>
      <c r="E112" s="10"/>
      <c r="F112" s="10"/>
      <c r="G112" s="11" t="str">
        <f aca="false">IF($A112="","",IF(AND($D112="",$E112="",$F112=""),"",IF($D112="","",$D112)&amp;IF($E112="",""," × "&amp;$E112)&amp;IF($F112=""," "," × ")&amp;IF($F112="","",$F112)&amp;"t"))</f>
        <v/>
      </c>
      <c r="H112" s="12"/>
      <c r="I112" s="13" t="str">
        <f aca="false">IF($A112="","",IF(OR($D112="",$E112="",$F112="",$H112=""),"",ROUND($D112*$E112*$F112*$H112/1000000,2)))</f>
        <v/>
      </c>
      <c r="J112" s="8"/>
      <c r="K112" s="14"/>
      <c r="L112" s="8"/>
      <c r="M112" s="15" t="str">
        <f aca="false">IF($A112="","",IF(COUNTIF($A$3:$A$502,$A112)&gt;1,"중복","-"))</f>
        <v/>
      </c>
      <c r="N112" s="8"/>
    </row>
    <row r="113" customFormat="false" ht="15" hidden="false" customHeight="true" outlineLevel="0" collapsed="false">
      <c r="A113" s="8"/>
      <c r="B113" s="8"/>
      <c r="C113" s="8"/>
      <c r="D113" s="10"/>
      <c r="E113" s="10"/>
      <c r="F113" s="10"/>
      <c r="G113" s="11" t="str">
        <f aca="false">IF($A113="","",IF(AND($D113="",$E113="",$F113=""),"",IF($D113="","",$D113)&amp;IF($E113="",""," × "&amp;$E113)&amp;IF($F113=""," "," × ")&amp;IF($F113="","",$F113)&amp;"t"))</f>
        <v/>
      </c>
      <c r="H113" s="12"/>
      <c r="I113" s="13" t="str">
        <f aca="false">IF($A113="","",IF(OR($D113="",$E113="",$F113="",$H113=""),"",ROUND($D113*$E113*$F113*$H113/1000000,2)))</f>
        <v/>
      </c>
      <c r="J113" s="8"/>
      <c r="K113" s="14"/>
      <c r="L113" s="8"/>
      <c r="M113" s="15" t="str">
        <f aca="false">IF($A113="","",IF(COUNTIF($A$3:$A$502,$A113)&gt;1,"중복","-"))</f>
        <v/>
      </c>
      <c r="N113" s="8"/>
    </row>
    <row r="114" customFormat="false" ht="15" hidden="false" customHeight="true" outlineLevel="0" collapsed="false">
      <c r="A114" s="8"/>
      <c r="B114" s="8"/>
      <c r="C114" s="8"/>
      <c r="D114" s="10"/>
      <c r="E114" s="10"/>
      <c r="F114" s="10"/>
      <c r="G114" s="11" t="str">
        <f aca="false">IF($A114="","",IF(AND($D114="",$E114="",$F114=""),"",IF($D114="","",$D114)&amp;IF($E114="",""," × "&amp;$E114)&amp;IF($F114=""," "," × ")&amp;IF($F114="","",$F114)&amp;"t"))</f>
        <v/>
      </c>
      <c r="H114" s="12"/>
      <c r="I114" s="13" t="str">
        <f aca="false">IF($A114="","",IF(OR($D114="",$E114="",$F114="",$H114=""),"",ROUND($D114*$E114*$F114*$H114/1000000,2)))</f>
        <v/>
      </c>
      <c r="J114" s="8"/>
      <c r="K114" s="14"/>
      <c r="L114" s="8"/>
      <c r="M114" s="15" t="str">
        <f aca="false">IF($A114="","",IF(COUNTIF($A$3:$A$502,$A114)&gt;1,"중복","-"))</f>
        <v/>
      </c>
      <c r="N114" s="8"/>
    </row>
    <row r="115" customFormat="false" ht="15" hidden="false" customHeight="true" outlineLevel="0" collapsed="false">
      <c r="A115" s="8"/>
      <c r="B115" s="8"/>
      <c r="C115" s="8"/>
      <c r="D115" s="10"/>
      <c r="E115" s="10"/>
      <c r="F115" s="10"/>
      <c r="G115" s="11" t="str">
        <f aca="false">IF($A115="","",IF(AND($D115="",$E115="",$F115=""),"",IF($D115="","",$D115)&amp;IF($E115="",""," × "&amp;$E115)&amp;IF($F115=""," "," × ")&amp;IF($F115="","",$F115)&amp;"t"))</f>
        <v/>
      </c>
      <c r="H115" s="12"/>
      <c r="I115" s="13" t="str">
        <f aca="false">IF($A115="","",IF(OR($D115="",$E115="",$F115="",$H115=""),"",ROUND($D115*$E115*$F115*$H115/1000000,2)))</f>
        <v/>
      </c>
      <c r="J115" s="8"/>
      <c r="K115" s="14"/>
      <c r="L115" s="8"/>
      <c r="M115" s="15" t="str">
        <f aca="false">IF($A115="","",IF(COUNTIF($A$3:$A$502,$A115)&gt;1,"중복","-"))</f>
        <v/>
      </c>
      <c r="N115" s="8"/>
    </row>
    <row r="116" customFormat="false" ht="15" hidden="false" customHeight="true" outlineLevel="0" collapsed="false">
      <c r="A116" s="8"/>
      <c r="B116" s="8"/>
      <c r="C116" s="8"/>
      <c r="D116" s="10"/>
      <c r="E116" s="10"/>
      <c r="F116" s="10"/>
      <c r="G116" s="11" t="str">
        <f aca="false">IF($A116="","",IF(AND($D116="",$E116="",$F116=""),"",IF($D116="","",$D116)&amp;IF($E116="",""," × "&amp;$E116)&amp;IF($F116=""," "," × ")&amp;IF($F116="","",$F116)&amp;"t"))</f>
        <v/>
      </c>
      <c r="H116" s="12"/>
      <c r="I116" s="13" t="str">
        <f aca="false">IF($A116="","",IF(OR($D116="",$E116="",$F116="",$H116=""),"",ROUND($D116*$E116*$F116*$H116/1000000,2)))</f>
        <v/>
      </c>
      <c r="J116" s="8"/>
      <c r="K116" s="14"/>
      <c r="L116" s="8"/>
      <c r="M116" s="15" t="str">
        <f aca="false">IF($A116="","",IF(COUNTIF($A$3:$A$502,$A116)&gt;1,"중복","-"))</f>
        <v/>
      </c>
      <c r="N116" s="8"/>
    </row>
    <row r="117" customFormat="false" ht="15" hidden="false" customHeight="true" outlineLevel="0" collapsed="false">
      <c r="A117" s="8"/>
      <c r="B117" s="8"/>
      <c r="C117" s="8"/>
      <c r="D117" s="10"/>
      <c r="E117" s="10"/>
      <c r="F117" s="10"/>
      <c r="G117" s="11" t="str">
        <f aca="false">IF($A117="","",IF(AND($D117="",$E117="",$F117=""),"",IF($D117="","",$D117)&amp;IF($E117="",""," × "&amp;$E117)&amp;IF($F117=""," "," × ")&amp;IF($F117="","",$F117)&amp;"t"))</f>
        <v/>
      </c>
      <c r="H117" s="12"/>
      <c r="I117" s="13" t="str">
        <f aca="false">IF($A117="","",IF(OR($D117="",$E117="",$F117="",$H117=""),"",ROUND($D117*$E117*$F117*$H117/1000000,2)))</f>
        <v/>
      </c>
      <c r="J117" s="8"/>
      <c r="K117" s="14"/>
      <c r="L117" s="8"/>
      <c r="M117" s="15" t="str">
        <f aca="false">IF($A117="","",IF(COUNTIF($A$3:$A$502,$A117)&gt;1,"중복","-"))</f>
        <v/>
      </c>
      <c r="N117" s="8"/>
    </row>
    <row r="118" customFormat="false" ht="15" hidden="false" customHeight="true" outlineLevel="0" collapsed="false">
      <c r="A118" s="8"/>
      <c r="B118" s="8"/>
      <c r="C118" s="8"/>
      <c r="D118" s="10"/>
      <c r="E118" s="10"/>
      <c r="F118" s="10"/>
      <c r="G118" s="11" t="str">
        <f aca="false">IF($A118="","",IF(AND($D118="",$E118="",$F118=""),"",IF($D118="","",$D118)&amp;IF($E118="",""," × "&amp;$E118)&amp;IF($F118=""," "," × ")&amp;IF($F118="","",$F118)&amp;"t"))</f>
        <v/>
      </c>
      <c r="H118" s="12"/>
      <c r="I118" s="13" t="str">
        <f aca="false">IF($A118="","",IF(OR($D118="",$E118="",$F118="",$H118=""),"",ROUND($D118*$E118*$F118*$H118/1000000,2)))</f>
        <v/>
      </c>
      <c r="J118" s="8"/>
      <c r="K118" s="14"/>
      <c r="L118" s="8"/>
      <c r="M118" s="15" t="str">
        <f aca="false">IF($A118="","",IF(COUNTIF($A$3:$A$502,$A118)&gt;1,"중복","-"))</f>
        <v/>
      </c>
      <c r="N118" s="8"/>
    </row>
    <row r="119" customFormat="false" ht="15" hidden="false" customHeight="true" outlineLevel="0" collapsed="false">
      <c r="A119" s="8"/>
      <c r="B119" s="8"/>
      <c r="C119" s="8"/>
      <c r="D119" s="10"/>
      <c r="E119" s="10"/>
      <c r="F119" s="10"/>
      <c r="G119" s="11" t="str">
        <f aca="false">IF($A119="","",IF(AND($D119="",$E119="",$F119=""),"",IF($D119="","",$D119)&amp;IF($E119="",""," × "&amp;$E119)&amp;IF($F119=""," "," × ")&amp;IF($F119="","",$F119)&amp;"t"))</f>
        <v/>
      </c>
      <c r="H119" s="12"/>
      <c r="I119" s="13" t="str">
        <f aca="false">IF($A119="","",IF(OR($D119="",$E119="",$F119="",$H119=""),"",ROUND($D119*$E119*$F119*$H119/1000000,2)))</f>
        <v/>
      </c>
      <c r="J119" s="8"/>
      <c r="K119" s="14"/>
      <c r="L119" s="8"/>
      <c r="M119" s="15" t="str">
        <f aca="false">IF($A119="","",IF(COUNTIF($A$3:$A$502,$A119)&gt;1,"중복","-"))</f>
        <v/>
      </c>
      <c r="N119" s="8"/>
    </row>
    <row r="120" customFormat="false" ht="15" hidden="false" customHeight="true" outlineLevel="0" collapsed="false">
      <c r="A120" s="8"/>
      <c r="B120" s="8"/>
      <c r="C120" s="8"/>
      <c r="D120" s="10"/>
      <c r="E120" s="10"/>
      <c r="F120" s="10"/>
      <c r="G120" s="11" t="str">
        <f aca="false">IF($A120="","",IF(AND($D120="",$E120="",$F120=""),"",IF($D120="","",$D120)&amp;IF($E120="",""," × "&amp;$E120)&amp;IF($F120=""," "," × ")&amp;IF($F120="","",$F120)&amp;"t"))</f>
        <v/>
      </c>
      <c r="H120" s="12"/>
      <c r="I120" s="13" t="str">
        <f aca="false">IF($A120="","",IF(OR($D120="",$E120="",$F120="",$H120=""),"",ROUND($D120*$E120*$F120*$H120/1000000,2)))</f>
        <v/>
      </c>
      <c r="J120" s="8"/>
      <c r="K120" s="14"/>
      <c r="L120" s="8"/>
      <c r="M120" s="15" t="str">
        <f aca="false">IF($A120="","",IF(COUNTIF($A$3:$A$502,$A120)&gt;1,"중복","-"))</f>
        <v/>
      </c>
      <c r="N120" s="8"/>
    </row>
    <row r="121" customFormat="false" ht="15" hidden="false" customHeight="true" outlineLevel="0" collapsed="false">
      <c r="A121" s="8"/>
      <c r="B121" s="8"/>
      <c r="C121" s="8"/>
      <c r="D121" s="10"/>
      <c r="E121" s="10"/>
      <c r="F121" s="10"/>
      <c r="G121" s="11" t="str">
        <f aca="false">IF($A121="","",IF(AND($D121="",$E121="",$F121=""),"",IF($D121="","",$D121)&amp;IF($E121="",""," × "&amp;$E121)&amp;IF($F121=""," "," × ")&amp;IF($F121="","",$F121)&amp;"t"))</f>
        <v/>
      </c>
      <c r="H121" s="12"/>
      <c r="I121" s="13" t="str">
        <f aca="false">IF($A121="","",IF(OR($D121="",$E121="",$F121="",$H121=""),"",ROUND($D121*$E121*$F121*$H121/1000000,2)))</f>
        <v/>
      </c>
      <c r="J121" s="8"/>
      <c r="K121" s="14"/>
      <c r="L121" s="8"/>
      <c r="M121" s="15" t="str">
        <f aca="false">IF($A121="","",IF(COUNTIF($A$3:$A$502,$A121)&gt;1,"중복","-"))</f>
        <v/>
      </c>
      <c r="N121" s="8"/>
    </row>
    <row r="122" customFormat="false" ht="15" hidden="false" customHeight="true" outlineLevel="0" collapsed="false">
      <c r="A122" s="8"/>
      <c r="B122" s="8"/>
      <c r="C122" s="8"/>
      <c r="D122" s="10"/>
      <c r="E122" s="10"/>
      <c r="F122" s="10"/>
      <c r="G122" s="11" t="str">
        <f aca="false">IF($A122="","",IF(AND($D122="",$E122="",$F122=""),"",IF($D122="","",$D122)&amp;IF($E122="",""," × "&amp;$E122)&amp;IF($F122=""," "," × ")&amp;IF($F122="","",$F122)&amp;"t"))</f>
        <v/>
      </c>
      <c r="H122" s="12"/>
      <c r="I122" s="13" t="str">
        <f aca="false">IF($A122="","",IF(OR($D122="",$E122="",$F122="",$H122=""),"",ROUND($D122*$E122*$F122*$H122/1000000,2)))</f>
        <v/>
      </c>
      <c r="J122" s="8"/>
      <c r="K122" s="14"/>
      <c r="L122" s="8"/>
      <c r="M122" s="15" t="str">
        <f aca="false">IF($A122="","",IF(COUNTIF($A$3:$A$502,$A122)&gt;1,"중복","-"))</f>
        <v/>
      </c>
      <c r="N122" s="8"/>
    </row>
    <row r="123" customFormat="false" ht="15" hidden="false" customHeight="true" outlineLevel="0" collapsed="false">
      <c r="A123" s="8"/>
      <c r="B123" s="8"/>
      <c r="C123" s="8"/>
      <c r="D123" s="10"/>
      <c r="E123" s="10"/>
      <c r="F123" s="10"/>
      <c r="G123" s="11" t="str">
        <f aca="false">IF($A123="","",IF(AND($D123="",$E123="",$F123=""),"",IF($D123="","",$D123)&amp;IF($E123="",""," × "&amp;$E123)&amp;IF($F123=""," "," × ")&amp;IF($F123="","",$F123)&amp;"t"))</f>
        <v/>
      </c>
      <c r="H123" s="12"/>
      <c r="I123" s="13" t="str">
        <f aca="false">IF($A123="","",IF(OR($D123="",$E123="",$F123="",$H123=""),"",ROUND($D123*$E123*$F123*$H123/1000000,2)))</f>
        <v/>
      </c>
      <c r="J123" s="8"/>
      <c r="K123" s="14"/>
      <c r="L123" s="8"/>
      <c r="M123" s="15" t="str">
        <f aca="false">IF($A123="","",IF(COUNTIF($A$3:$A$502,$A123)&gt;1,"중복","-"))</f>
        <v/>
      </c>
      <c r="N123" s="8"/>
    </row>
    <row r="124" customFormat="false" ht="15" hidden="false" customHeight="true" outlineLevel="0" collapsed="false">
      <c r="A124" s="8"/>
      <c r="B124" s="8"/>
      <c r="C124" s="8"/>
      <c r="D124" s="10"/>
      <c r="E124" s="10"/>
      <c r="F124" s="10"/>
      <c r="G124" s="11" t="str">
        <f aca="false">IF($A124="","",IF(AND($D124="",$E124="",$F124=""),"",IF($D124="","",$D124)&amp;IF($E124="",""," × "&amp;$E124)&amp;IF($F124=""," "," × ")&amp;IF($F124="","",$F124)&amp;"t"))</f>
        <v/>
      </c>
      <c r="H124" s="12"/>
      <c r="I124" s="13" t="str">
        <f aca="false">IF($A124="","",IF(OR($D124="",$E124="",$F124="",$H124=""),"",ROUND($D124*$E124*$F124*$H124/1000000,2)))</f>
        <v/>
      </c>
      <c r="J124" s="8"/>
      <c r="K124" s="14"/>
      <c r="L124" s="8"/>
      <c r="M124" s="15" t="str">
        <f aca="false">IF($A124="","",IF(COUNTIF($A$3:$A$502,$A124)&gt;1,"중복","-"))</f>
        <v/>
      </c>
      <c r="N124" s="8"/>
    </row>
    <row r="125" customFormat="false" ht="15" hidden="false" customHeight="true" outlineLevel="0" collapsed="false">
      <c r="A125" s="8"/>
      <c r="B125" s="8"/>
      <c r="C125" s="8"/>
      <c r="D125" s="10"/>
      <c r="E125" s="10"/>
      <c r="F125" s="10"/>
      <c r="G125" s="11" t="str">
        <f aca="false">IF($A125="","",IF(AND($D125="",$E125="",$F125=""),"",IF($D125="","",$D125)&amp;IF($E125="",""," × "&amp;$E125)&amp;IF($F125=""," "," × ")&amp;IF($F125="","",$F125)&amp;"t"))</f>
        <v/>
      </c>
      <c r="H125" s="12"/>
      <c r="I125" s="13" t="str">
        <f aca="false">IF($A125="","",IF(OR($D125="",$E125="",$F125="",$H125=""),"",ROUND($D125*$E125*$F125*$H125/1000000,2)))</f>
        <v/>
      </c>
      <c r="J125" s="8"/>
      <c r="K125" s="14"/>
      <c r="L125" s="8"/>
      <c r="M125" s="15" t="str">
        <f aca="false">IF($A125="","",IF(COUNTIF($A$3:$A$502,$A125)&gt;1,"중복","-"))</f>
        <v/>
      </c>
      <c r="N125" s="8"/>
    </row>
    <row r="126" customFormat="false" ht="15" hidden="false" customHeight="true" outlineLevel="0" collapsed="false">
      <c r="A126" s="8"/>
      <c r="B126" s="8"/>
      <c r="C126" s="8"/>
      <c r="D126" s="10"/>
      <c r="E126" s="10"/>
      <c r="F126" s="10"/>
      <c r="G126" s="11" t="str">
        <f aca="false">IF($A126="","",IF(AND($D126="",$E126="",$F126=""),"",IF($D126="","",$D126)&amp;IF($E126="",""," × "&amp;$E126)&amp;IF($F126=""," "," × ")&amp;IF($F126="","",$F126)&amp;"t"))</f>
        <v/>
      </c>
      <c r="H126" s="12"/>
      <c r="I126" s="13" t="str">
        <f aca="false">IF($A126="","",IF(OR($D126="",$E126="",$F126="",$H126=""),"",ROUND($D126*$E126*$F126*$H126/1000000,2)))</f>
        <v/>
      </c>
      <c r="J126" s="8"/>
      <c r="K126" s="14"/>
      <c r="L126" s="8"/>
      <c r="M126" s="15" t="str">
        <f aca="false">IF($A126="","",IF(COUNTIF($A$3:$A$502,$A126)&gt;1,"중복","-"))</f>
        <v/>
      </c>
      <c r="N126" s="8"/>
    </row>
    <row r="127" customFormat="false" ht="15" hidden="false" customHeight="true" outlineLevel="0" collapsed="false">
      <c r="A127" s="8"/>
      <c r="B127" s="8"/>
      <c r="C127" s="8"/>
      <c r="D127" s="10"/>
      <c r="E127" s="10"/>
      <c r="F127" s="10"/>
      <c r="G127" s="11" t="str">
        <f aca="false">IF($A127="","",IF(AND($D127="",$E127="",$F127=""),"",IF($D127="","",$D127)&amp;IF($E127="",""," × "&amp;$E127)&amp;IF($F127=""," "," × ")&amp;IF($F127="","",$F127)&amp;"t"))</f>
        <v/>
      </c>
      <c r="H127" s="12"/>
      <c r="I127" s="13" t="str">
        <f aca="false">IF($A127="","",IF(OR($D127="",$E127="",$F127="",$H127=""),"",ROUND($D127*$E127*$F127*$H127/1000000,2)))</f>
        <v/>
      </c>
      <c r="J127" s="8"/>
      <c r="K127" s="14"/>
      <c r="L127" s="8"/>
      <c r="M127" s="15" t="str">
        <f aca="false">IF($A127="","",IF(COUNTIF($A$3:$A$502,$A127)&gt;1,"중복","-"))</f>
        <v/>
      </c>
      <c r="N127" s="8"/>
    </row>
    <row r="128" customFormat="false" ht="15" hidden="false" customHeight="true" outlineLevel="0" collapsed="false">
      <c r="A128" s="8"/>
      <c r="B128" s="8"/>
      <c r="C128" s="8"/>
      <c r="D128" s="10"/>
      <c r="E128" s="10"/>
      <c r="F128" s="10"/>
      <c r="G128" s="11" t="str">
        <f aca="false">IF($A128="","",IF(AND($D128="",$E128="",$F128=""),"",IF($D128="","",$D128)&amp;IF($E128="",""," × "&amp;$E128)&amp;IF($F128=""," "," × ")&amp;IF($F128="","",$F128)&amp;"t"))</f>
        <v/>
      </c>
      <c r="H128" s="12"/>
      <c r="I128" s="13" t="str">
        <f aca="false">IF($A128="","",IF(OR($D128="",$E128="",$F128="",$H128=""),"",ROUND($D128*$E128*$F128*$H128/1000000,2)))</f>
        <v/>
      </c>
      <c r="J128" s="8"/>
      <c r="K128" s="14"/>
      <c r="L128" s="8"/>
      <c r="M128" s="15" t="str">
        <f aca="false">IF($A128="","",IF(COUNTIF($A$3:$A$502,$A128)&gt;1,"중복","-"))</f>
        <v/>
      </c>
      <c r="N128" s="8"/>
    </row>
    <row r="129" customFormat="false" ht="15" hidden="false" customHeight="true" outlineLevel="0" collapsed="false">
      <c r="A129" s="8"/>
      <c r="B129" s="8"/>
      <c r="C129" s="8"/>
      <c r="D129" s="10"/>
      <c r="E129" s="10"/>
      <c r="F129" s="10"/>
      <c r="G129" s="11" t="str">
        <f aca="false">IF($A129="","",IF(AND($D129="",$E129="",$F129=""),"",IF($D129="","",$D129)&amp;IF($E129="",""," × "&amp;$E129)&amp;IF($F129=""," "," × ")&amp;IF($F129="","",$F129)&amp;"t"))</f>
        <v/>
      </c>
      <c r="H129" s="12"/>
      <c r="I129" s="13" t="str">
        <f aca="false">IF($A129="","",IF(OR($D129="",$E129="",$F129="",$H129=""),"",ROUND($D129*$E129*$F129*$H129/1000000,2)))</f>
        <v/>
      </c>
      <c r="J129" s="8"/>
      <c r="K129" s="14"/>
      <c r="L129" s="8"/>
      <c r="M129" s="15" t="str">
        <f aca="false">IF($A129="","",IF(COUNTIF($A$3:$A$502,$A129)&gt;1,"중복","-"))</f>
        <v/>
      </c>
      <c r="N129" s="8"/>
    </row>
    <row r="130" customFormat="false" ht="15" hidden="false" customHeight="true" outlineLevel="0" collapsed="false">
      <c r="A130" s="8"/>
      <c r="B130" s="8"/>
      <c r="C130" s="8"/>
      <c r="D130" s="10"/>
      <c r="E130" s="10"/>
      <c r="F130" s="10"/>
      <c r="G130" s="11" t="str">
        <f aca="false">IF($A130="","",IF(AND($D130="",$E130="",$F130=""),"",IF($D130="","",$D130)&amp;IF($E130="",""," × "&amp;$E130)&amp;IF($F130=""," "," × ")&amp;IF($F130="","",$F130)&amp;"t"))</f>
        <v/>
      </c>
      <c r="H130" s="12"/>
      <c r="I130" s="13" t="str">
        <f aca="false">IF($A130="","",IF(OR($D130="",$E130="",$F130="",$H130=""),"",ROUND($D130*$E130*$F130*$H130/1000000,2)))</f>
        <v/>
      </c>
      <c r="J130" s="8"/>
      <c r="K130" s="14"/>
      <c r="L130" s="8"/>
      <c r="M130" s="15" t="str">
        <f aca="false">IF($A130="","",IF(COUNTIF($A$3:$A$502,$A130)&gt;1,"중복","-"))</f>
        <v/>
      </c>
      <c r="N130" s="8"/>
    </row>
    <row r="131" customFormat="false" ht="15" hidden="false" customHeight="true" outlineLevel="0" collapsed="false">
      <c r="A131" s="8"/>
      <c r="B131" s="8"/>
      <c r="C131" s="8"/>
      <c r="D131" s="10"/>
      <c r="E131" s="10"/>
      <c r="F131" s="10"/>
      <c r="G131" s="11" t="str">
        <f aca="false">IF($A131="","",IF(AND($D131="",$E131="",$F131=""),"",IF($D131="","",$D131)&amp;IF($E131="",""," × "&amp;$E131)&amp;IF($F131=""," "," × ")&amp;IF($F131="","",$F131)&amp;"t"))</f>
        <v/>
      </c>
      <c r="H131" s="12"/>
      <c r="I131" s="13" t="str">
        <f aca="false">IF($A131="","",IF(OR($D131="",$E131="",$F131="",$H131=""),"",ROUND($D131*$E131*$F131*$H131/1000000,2)))</f>
        <v/>
      </c>
      <c r="J131" s="8"/>
      <c r="K131" s="14"/>
      <c r="L131" s="8"/>
      <c r="M131" s="15" t="str">
        <f aca="false">IF($A131="","",IF(COUNTIF($A$3:$A$502,$A131)&gt;1,"중복","-"))</f>
        <v/>
      </c>
      <c r="N131" s="8"/>
    </row>
    <row r="132" customFormat="false" ht="15" hidden="false" customHeight="true" outlineLevel="0" collapsed="false">
      <c r="A132" s="8"/>
      <c r="B132" s="8"/>
      <c r="C132" s="8"/>
      <c r="D132" s="10"/>
      <c r="E132" s="10"/>
      <c r="F132" s="10"/>
      <c r="G132" s="11" t="str">
        <f aca="false">IF($A132="","",IF(AND($D132="",$E132="",$F132=""),"",IF($D132="","",$D132)&amp;IF($E132="",""," × "&amp;$E132)&amp;IF($F132=""," "," × ")&amp;IF($F132="","",$F132)&amp;"t"))</f>
        <v/>
      </c>
      <c r="H132" s="12"/>
      <c r="I132" s="13" t="str">
        <f aca="false">IF($A132="","",IF(OR($D132="",$E132="",$F132="",$H132=""),"",ROUND($D132*$E132*$F132*$H132/1000000,2)))</f>
        <v/>
      </c>
      <c r="J132" s="8"/>
      <c r="K132" s="14"/>
      <c r="L132" s="8"/>
      <c r="M132" s="15" t="str">
        <f aca="false">IF($A132="","",IF(COUNTIF($A$3:$A$502,$A132)&gt;1,"중복","-"))</f>
        <v/>
      </c>
      <c r="N132" s="8"/>
    </row>
    <row r="133" customFormat="false" ht="15" hidden="false" customHeight="true" outlineLevel="0" collapsed="false">
      <c r="A133" s="8"/>
      <c r="B133" s="8"/>
      <c r="C133" s="8"/>
      <c r="D133" s="10"/>
      <c r="E133" s="10"/>
      <c r="F133" s="10"/>
      <c r="G133" s="11" t="str">
        <f aca="false">IF($A133="","",IF(AND($D133="",$E133="",$F133=""),"",IF($D133="","",$D133)&amp;IF($E133="",""," × "&amp;$E133)&amp;IF($F133=""," "," × ")&amp;IF($F133="","",$F133)&amp;"t"))</f>
        <v/>
      </c>
      <c r="H133" s="12"/>
      <c r="I133" s="13" t="str">
        <f aca="false">IF($A133="","",IF(OR($D133="",$E133="",$F133="",$H133=""),"",ROUND($D133*$E133*$F133*$H133/1000000,2)))</f>
        <v/>
      </c>
      <c r="J133" s="8"/>
      <c r="K133" s="14"/>
      <c r="L133" s="8"/>
      <c r="M133" s="15" t="str">
        <f aca="false">IF($A133="","",IF(COUNTIF($A$3:$A$502,$A133)&gt;1,"중복","-"))</f>
        <v/>
      </c>
      <c r="N133" s="8"/>
    </row>
    <row r="134" customFormat="false" ht="15" hidden="false" customHeight="true" outlineLevel="0" collapsed="false">
      <c r="A134" s="8"/>
      <c r="B134" s="8"/>
      <c r="C134" s="8"/>
      <c r="D134" s="10"/>
      <c r="E134" s="10"/>
      <c r="F134" s="10"/>
      <c r="G134" s="11" t="str">
        <f aca="false">IF($A134="","",IF(AND($D134="",$E134="",$F134=""),"",IF($D134="","",$D134)&amp;IF($E134="",""," × "&amp;$E134)&amp;IF($F134=""," "," × ")&amp;IF($F134="","",$F134)&amp;"t"))</f>
        <v/>
      </c>
      <c r="H134" s="12"/>
      <c r="I134" s="13" t="str">
        <f aca="false">IF($A134="","",IF(OR($D134="",$E134="",$F134="",$H134=""),"",ROUND($D134*$E134*$F134*$H134/1000000,2)))</f>
        <v/>
      </c>
      <c r="J134" s="8"/>
      <c r="K134" s="14"/>
      <c r="L134" s="8"/>
      <c r="M134" s="15" t="str">
        <f aca="false">IF($A134="","",IF(COUNTIF($A$3:$A$502,$A134)&gt;1,"중복","-"))</f>
        <v/>
      </c>
      <c r="N134" s="8"/>
    </row>
    <row r="135" customFormat="false" ht="15" hidden="false" customHeight="true" outlineLevel="0" collapsed="false">
      <c r="A135" s="8"/>
      <c r="B135" s="8"/>
      <c r="C135" s="8"/>
      <c r="D135" s="10"/>
      <c r="E135" s="10"/>
      <c r="F135" s="10"/>
      <c r="G135" s="11" t="str">
        <f aca="false">IF($A135="","",IF(AND($D135="",$E135="",$F135=""),"",IF($D135="","",$D135)&amp;IF($E135="",""," × "&amp;$E135)&amp;IF($F135=""," "," × ")&amp;IF($F135="","",$F135)&amp;"t"))</f>
        <v/>
      </c>
      <c r="H135" s="12"/>
      <c r="I135" s="13" t="str">
        <f aca="false">IF($A135="","",IF(OR($D135="",$E135="",$F135="",$H135=""),"",ROUND($D135*$E135*$F135*$H135/1000000,2)))</f>
        <v/>
      </c>
      <c r="J135" s="8"/>
      <c r="K135" s="14"/>
      <c r="L135" s="8"/>
      <c r="M135" s="15" t="str">
        <f aca="false">IF($A135="","",IF(COUNTIF($A$3:$A$502,$A135)&gt;1,"중복","-"))</f>
        <v/>
      </c>
      <c r="N135" s="8"/>
    </row>
    <row r="136" customFormat="false" ht="15" hidden="false" customHeight="true" outlineLevel="0" collapsed="false">
      <c r="A136" s="8"/>
      <c r="B136" s="8"/>
      <c r="C136" s="8"/>
      <c r="D136" s="10"/>
      <c r="E136" s="10"/>
      <c r="F136" s="10"/>
      <c r="G136" s="11" t="str">
        <f aca="false">IF($A136="","",IF(AND($D136="",$E136="",$F136=""),"",IF($D136="","",$D136)&amp;IF($E136="",""," × "&amp;$E136)&amp;IF($F136=""," "," × ")&amp;IF($F136="","",$F136)&amp;"t"))</f>
        <v/>
      </c>
      <c r="H136" s="12"/>
      <c r="I136" s="13" t="str">
        <f aca="false">IF($A136="","",IF(OR($D136="",$E136="",$F136="",$H136=""),"",ROUND($D136*$E136*$F136*$H136/1000000,2)))</f>
        <v/>
      </c>
      <c r="J136" s="8"/>
      <c r="K136" s="14"/>
      <c r="L136" s="8"/>
      <c r="M136" s="15" t="str">
        <f aca="false">IF($A136="","",IF(COUNTIF($A$3:$A$502,$A136)&gt;1,"중복","-"))</f>
        <v/>
      </c>
      <c r="N136" s="8"/>
    </row>
    <row r="137" customFormat="false" ht="15" hidden="false" customHeight="true" outlineLevel="0" collapsed="false">
      <c r="A137" s="8"/>
      <c r="B137" s="8"/>
      <c r="C137" s="8"/>
      <c r="D137" s="10"/>
      <c r="E137" s="10"/>
      <c r="F137" s="10"/>
      <c r="G137" s="11" t="str">
        <f aca="false">IF($A137="","",IF(AND($D137="",$E137="",$F137=""),"",IF($D137="","",$D137)&amp;IF($E137="",""," × "&amp;$E137)&amp;IF($F137=""," "," × ")&amp;IF($F137="","",$F137)&amp;"t"))</f>
        <v/>
      </c>
      <c r="H137" s="12"/>
      <c r="I137" s="13" t="str">
        <f aca="false">IF($A137="","",IF(OR($D137="",$E137="",$F137="",$H137=""),"",ROUND($D137*$E137*$F137*$H137/1000000,2)))</f>
        <v/>
      </c>
      <c r="J137" s="8"/>
      <c r="K137" s="14"/>
      <c r="L137" s="8"/>
      <c r="M137" s="15" t="str">
        <f aca="false">IF($A137="","",IF(COUNTIF($A$3:$A$502,$A137)&gt;1,"중복","-"))</f>
        <v/>
      </c>
      <c r="N137" s="8"/>
    </row>
    <row r="138" customFormat="false" ht="15" hidden="false" customHeight="true" outlineLevel="0" collapsed="false">
      <c r="A138" s="8"/>
      <c r="B138" s="8"/>
      <c r="C138" s="8"/>
      <c r="D138" s="10"/>
      <c r="E138" s="10"/>
      <c r="F138" s="10"/>
      <c r="G138" s="11" t="str">
        <f aca="false">IF($A138="","",IF(AND($D138="",$E138="",$F138=""),"",IF($D138="","",$D138)&amp;IF($E138="",""," × "&amp;$E138)&amp;IF($F138=""," "," × ")&amp;IF($F138="","",$F138)&amp;"t"))</f>
        <v/>
      </c>
      <c r="H138" s="12"/>
      <c r="I138" s="13" t="str">
        <f aca="false">IF($A138="","",IF(OR($D138="",$E138="",$F138="",$H138=""),"",ROUND($D138*$E138*$F138*$H138/1000000,2)))</f>
        <v/>
      </c>
      <c r="J138" s="8"/>
      <c r="K138" s="14"/>
      <c r="L138" s="8"/>
      <c r="M138" s="15" t="str">
        <f aca="false">IF($A138="","",IF(COUNTIF($A$3:$A$502,$A138)&gt;1,"중복","-"))</f>
        <v/>
      </c>
      <c r="N138" s="8"/>
    </row>
    <row r="139" customFormat="false" ht="15" hidden="false" customHeight="true" outlineLevel="0" collapsed="false">
      <c r="A139" s="8"/>
      <c r="B139" s="8"/>
      <c r="C139" s="8"/>
      <c r="D139" s="10"/>
      <c r="E139" s="10"/>
      <c r="F139" s="10"/>
      <c r="G139" s="11" t="str">
        <f aca="false">IF($A139="","",IF(AND($D139="",$E139="",$F139=""),"",IF($D139="","",$D139)&amp;IF($E139="",""," × "&amp;$E139)&amp;IF($F139=""," "," × ")&amp;IF($F139="","",$F139)&amp;"t"))</f>
        <v/>
      </c>
      <c r="H139" s="12"/>
      <c r="I139" s="13" t="str">
        <f aca="false">IF($A139="","",IF(OR($D139="",$E139="",$F139="",$H139=""),"",ROUND($D139*$E139*$F139*$H139/1000000,2)))</f>
        <v/>
      </c>
      <c r="J139" s="8"/>
      <c r="K139" s="14"/>
      <c r="L139" s="8"/>
      <c r="M139" s="15" t="str">
        <f aca="false">IF($A139="","",IF(COUNTIF($A$3:$A$502,$A139)&gt;1,"중복","-"))</f>
        <v/>
      </c>
      <c r="N139" s="8"/>
    </row>
    <row r="140" customFormat="false" ht="15" hidden="false" customHeight="true" outlineLevel="0" collapsed="false">
      <c r="A140" s="8"/>
      <c r="B140" s="8"/>
      <c r="C140" s="8"/>
      <c r="D140" s="10"/>
      <c r="E140" s="10"/>
      <c r="F140" s="10"/>
      <c r="G140" s="11" t="str">
        <f aca="false">IF($A140="","",IF(AND($D140="",$E140="",$F140=""),"",IF($D140="","",$D140)&amp;IF($E140="",""," × "&amp;$E140)&amp;IF($F140=""," "," × ")&amp;IF($F140="","",$F140)&amp;"t"))</f>
        <v/>
      </c>
      <c r="H140" s="12"/>
      <c r="I140" s="13" t="str">
        <f aca="false">IF($A140="","",IF(OR($D140="",$E140="",$F140="",$H140=""),"",ROUND($D140*$E140*$F140*$H140/1000000,2)))</f>
        <v/>
      </c>
      <c r="J140" s="8"/>
      <c r="K140" s="14"/>
      <c r="L140" s="8"/>
      <c r="M140" s="15" t="str">
        <f aca="false">IF($A140="","",IF(COUNTIF($A$3:$A$502,$A140)&gt;1,"중복","-"))</f>
        <v/>
      </c>
      <c r="N140" s="8"/>
    </row>
    <row r="141" customFormat="false" ht="15" hidden="false" customHeight="true" outlineLevel="0" collapsed="false">
      <c r="A141" s="8"/>
      <c r="B141" s="8"/>
      <c r="C141" s="8"/>
      <c r="D141" s="10"/>
      <c r="E141" s="10"/>
      <c r="F141" s="10"/>
      <c r="G141" s="11" t="str">
        <f aca="false">IF($A141="","",IF(AND($D141="",$E141="",$F141=""),"",IF($D141="","",$D141)&amp;IF($E141="",""," × "&amp;$E141)&amp;IF($F141=""," "," × ")&amp;IF($F141="","",$F141)&amp;"t"))</f>
        <v/>
      </c>
      <c r="H141" s="12"/>
      <c r="I141" s="13" t="str">
        <f aca="false">IF($A141="","",IF(OR($D141="",$E141="",$F141="",$H141=""),"",ROUND($D141*$E141*$F141*$H141/1000000,2)))</f>
        <v/>
      </c>
      <c r="J141" s="8"/>
      <c r="K141" s="14"/>
      <c r="L141" s="8"/>
      <c r="M141" s="15" t="str">
        <f aca="false">IF($A141="","",IF(COUNTIF($A$3:$A$502,$A141)&gt;1,"중복","-"))</f>
        <v/>
      </c>
      <c r="N141" s="8"/>
    </row>
    <row r="142" customFormat="false" ht="15" hidden="false" customHeight="true" outlineLevel="0" collapsed="false">
      <c r="A142" s="8"/>
      <c r="B142" s="8"/>
      <c r="C142" s="8"/>
      <c r="D142" s="10"/>
      <c r="E142" s="10"/>
      <c r="F142" s="10"/>
      <c r="G142" s="11" t="str">
        <f aca="false">IF($A142="","",IF(AND($D142="",$E142="",$F142=""),"",IF($D142="","",$D142)&amp;IF($E142="",""," × "&amp;$E142)&amp;IF($F142=""," "," × ")&amp;IF($F142="","",$F142)&amp;"t"))</f>
        <v/>
      </c>
      <c r="H142" s="12"/>
      <c r="I142" s="13" t="str">
        <f aca="false">IF($A142="","",IF(OR($D142="",$E142="",$F142="",$H142=""),"",ROUND($D142*$E142*$F142*$H142/1000000,2)))</f>
        <v/>
      </c>
      <c r="J142" s="8"/>
      <c r="K142" s="14"/>
      <c r="L142" s="8"/>
      <c r="M142" s="15" t="str">
        <f aca="false">IF($A142="","",IF(COUNTIF($A$3:$A$502,$A142)&gt;1,"중복","-"))</f>
        <v/>
      </c>
      <c r="N142" s="8"/>
    </row>
    <row r="143" customFormat="false" ht="15" hidden="false" customHeight="true" outlineLevel="0" collapsed="false">
      <c r="A143" s="8"/>
      <c r="B143" s="8"/>
      <c r="C143" s="8"/>
      <c r="D143" s="10"/>
      <c r="E143" s="10"/>
      <c r="F143" s="10"/>
      <c r="G143" s="11" t="str">
        <f aca="false">IF($A143="","",IF(AND($D143="",$E143="",$F143=""),"",IF($D143="","",$D143)&amp;IF($E143="",""," × "&amp;$E143)&amp;IF($F143=""," "," × ")&amp;IF($F143="","",$F143)&amp;"t"))</f>
        <v/>
      </c>
      <c r="H143" s="12"/>
      <c r="I143" s="13" t="str">
        <f aca="false">IF($A143="","",IF(OR($D143="",$E143="",$F143="",$H143=""),"",ROUND($D143*$E143*$F143*$H143/1000000,2)))</f>
        <v/>
      </c>
      <c r="J143" s="8"/>
      <c r="K143" s="14"/>
      <c r="L143" s="8"/>
      <c r="M143" s="15" t="str">
        <f aca="false">IF($A143="","",IF(COUNTIF($A$3:$A$502,$A143)&gt;1,"중복","-"))</f>
        <v/>
      </c>
      <c r="N143" s="8"/>
    </row>
    <row r="144" customFormat="false" ht="15" hidden="false" customHeight="true" outlineLevel="0" collapsed="false">
      <c r="A144" s="8"/>
      <c r="B144" s="8"/>
      <c r="C144" s="8"/>
      <c r="D144" s="10"/>
      <c r="E144" s="10"/>
      <c r="F144" s="10"/>
      <c r="G144" s="11" t="str">
        <f aca="false">IF($A144="","",IF(AND($D144="",$E144="",$F144=""),"",IF($D144="","",$D144)&amp;IF($E144="",""," × "&amp;$E144)&amp;IF($F144=""," "," × ")&amp;IF($F144="","",$F144)&amp;"t"))</f>
        <v/>
      </c>
      <c r="H144" s="12"/>
      <c r="I144" s="13" t="str">
        <f aca="false">IF($A144="","",IF(OR($D144="",$E144="",$F144="",$H144=""),"",ROUND($D144*$E144*$F144*$H144/1000000,2)))</f>
        <v/>
      </c>
      <c r="J144" s="8"/>
      <c r="K144" s="14"/>
      <c r="L144" s="8"/>
      <c r="M144" s="15" t="str">
        <f aca="false">IF($A144="","",IF(COUNTIF($A$3:$A$502,$A144)&gt;1,"중복","-"))</f>
        <v/>
      </c>
      <c r="N144" s="8"/>
    </row>
    <row r="145" customFormat="false" ht="15" hidden="false" customHeight="true" outlineLevel="0" collapsed="false">
      <c r="A145" s="8"/>
      <c r="B145" s="8"/>
      <c r="C145" s="8"/>
      <c r="D145" s="10"/>
      <c r="E145" s="10"/>
      <c r="F145" s="10"/>
      <c r="G145" s="11" t="str">
        <f aca="false">IF($A145="","",IF(AND($D145="",$E145="",$F145=""),"",IF($D145="","",$D145)&amp;IF($E145="",""," × "&amp;$E145)&amp;IF($F145=""," "," × ")&amp;IF($F145="","",$F145)&amp;"t"))</f>
        <v/>
      </c>
      <c r="H145" s="12"/>
      <c r="I145" s="13" t="str">
        <f aca="false">IF($A145="","",IF(OR($D145="",$E145="",$F145="",$H145=""),"",ROUND($D145*$E145*$F145*$H145/1000000,2)))</f>
        <v/>
      </c>
      <c r="J145" s="8"/>
      <c r="K145" s="14"/>
      <c r="L145" s="8"/>
      <c r="M145" s="15" t="str">
        <f aca="false">IF($A145="","",IF(COUNTIF($A$3:$A$502,$A145)&gt;1,"중복","-"))</f>
        <v/>
      </c>
      <c r="N145" s="8"/>
    </row>
    <row r="146" customFormat="false" ht="15" hidden="false" customHeight="true" outlineLevel="0" collapsed="false">
      <c r="A146" s="8"/>
      <c r="B146" s="8"/>
      <c r="C146" s="8"/>
      <c r="D146" s="10"/>
      <c r="E146" s="10"/>
      <c r="F146" s="10"/>
      <c r="G146" s="11" t="str">
        <f aca="false">IF($A146="","",IF(AND($D146="",$E146="",$F146=""),"",IF($D146="","",$D146)&amp;IF($E146="",""," × "&amp;$E146)&amp;IF($F146=""," "," × ")&amp;IF($F146="","",$F146)&amp;"t"))</f>
        <v/>
      </c>
      <c r="H146" s="12"/>
      <c r="I146" s="13" t="str">
        <f aca="false">IF($A146="","",IF(OR($D146="",$E146="",$F146="",$H146=""),"",ROUND($D146*$E146*$F146*$H146/1000000,2)))</f>
        <v/>
      </c>
      <c r="J146" s="8"/>
      <c r="K146" s="14"/>
      <c r="L146" s="8"/>
      <c r="M146" s="15" t="str">
        <f aca="false">IF($A146="","",IF(COUNTIF($A$3:$A$502,$A146)&gt;1,"중복","-"))</f>
        <v/>
      </c>
      <c r="N146" s="8"/>
    </row>
    <row r="147" customFormat="false" ht="15" hidden="false" customHeight="true" outlineLevel="0" collapsed="false">
      <c r="A147" s="8"/>
      <c r="B147" s="8"/>
      <c r="C147" s="8"/>
      <c r="D147" s="10"/>
      <c r="E147" s="10"/>
      <c r="F147" s="10"/>
      <c r="G147" s="11" t="str">
        <f aca="false">IF($A147="","",IF(AND($D147="",$E147="",$F147=""),"",IF($D147="","",$D147)&amp;IF($E147="",""," × "&amp;$E147)&amp;IF($F147=""," "," × ")&amp;IF($F147="","",$F147)&amp;"t"))</f>
        <v/>
      </c>
      <c r="H147" s="12"/>
      <c r="I147" s="13" t="str">
        <f aca="false">IF($A147="","",IF(OR($D147="",$E147="",$F147="",$H147=""),"",ROUND($D147*$E147*$F147*$H147/1000000,2)))</f>
        <v/>
      </c>
      <c r="J147" s="8"/>
      <c r="K147" s="14"/>
      <c r="L147" s="8"/>
      <c r="M147" s="15" t="str">
        <f aca="false">IF($A147="","",IF(COUNTIF($A$3:$A$502,$A147)&gt;1,"중복","-"))</f>
        <v/>
      </c>
      <c r="N147" s="8"/>
    </row>
    <row r="148" customFormat="false" ht="15" hidden="false" customHeight="true" outlineLevel="0" collapsed="false">
      <c r="A148" s="8"/>
      <c r="B148" s="8"/>
      <c r="C148" s="8"/>
      <c r="D148" s="10"/>
      <c r="E148" s="10"/>
      <c r="F148" s="10"/>
      <c r="G148" s="11" t="str">
        <f aca="false">IF($A148="","",IF(AND($D148="",$E148="",$F148=""),"",IF($D148="","",$D148)&amp;IF($E148="",""," × "&amp;$E148)&amp;IF($F148=""," "," × ")&amp;IF($F148="","",$F148)&amp;"t"))</f>
        <v/>
      </c>
      <c r="H148" s="12"/>
      <c r="I148" s="13" t="str">
        <f aca="false">IF($A148="","",IF(OR($D148="",$E148="",$F148="",$H148=""),"",ROUND($D148*$E148*$F148*$H148/1000000,2)))</f>
        <v/>
      </c>
      <c r="J148" s="8"/>
      <c r="K148" s="14"/>
      <c r="L148" s="8"/>
      <c r="M148" s="15" t="str">
        <f aca="false">IF($A148="","",IF(COUNTIF($A$3:$A$502,$A148)&gt;1,"중복","-"))</f>
        <v/>
      </c>
      <c r="N148" s="8"/>
    </row>
    <row r="149" customFormat="false" ht="15" hidden="false" customHeight="true" outlineLevel="0" collapsed="false">
      <c r="A149" s="8"/>
      <c r="B149" s="8"/>
      <c r="C149" s="8"/>
      <c r="D149" s="10"/>
      <c r="E149" s="10"/>
      <c r="F149" s="10"/>
      <c r="G149" s="11" t="str">
        <f aca="false">IF($A149="","",IF(AND($D149="",$E149="",$F149=""),"",IF($D149="","",$D149)&amp;IF($E149="",""," × "&amp;$E149)&amp;IF($F149=""," "," × ")&amp;IF($F149="","",$F149)&amp;"t"))</f>
        <v/>
      </c>
      <c r="H149" s="12"/>
      <c r="I149" s="13" t="str">
        <f aca="false">IF($A149="","",IF(OR($D149="",$E149="",$F149="",$H149=""),"",ROUND($D149*$E149*$F149*$H149/1000000,2)))</f>
        <v/>
      </c>
      <c r="J149" s="8"/>
      <c r="K149" s="14"/>
      <c r="L149" s="8"/>
      <c r="M149" s="15" t="str">
        <f aca="false">IF($A149="","",IF(COUNTIF($A$3:$A$502,$A149)&gt;1,"중복","-"))</f>
        <v/>
      </c>
      <c r="N149" s="8"/>
    </row>
    <row r="150" customFormat="false" ht="15" hidden="false" customHeight="true" outlineLevel="0" collapsed="false">
      <c r="A150" s="8"/>
      <c r="B150" s="8"/>
      <c r="C150" s="8"/>
      <c r="D150" s="10"/>
      <c r="E150" s="10"/>
      <c r="F150" s="10"/>
      <c r="G150" s="11" t="str">
        <f aca="false">IF($A150="","",IF(AND($D150="",$E150="",$F150=""),"",IF($D150="","",$D150)&amp;IF($E150="",""," × "&amp;$E150)&amp;IF($F150=""," "," × ")&amp;IF($F150="","",$F150)&amp;"t"))</f>
        <v/>
      </c>
      <c r="H150" s="12"/>
      <c r="I150" s="13" t="str">
        <f aca="false">IF($A150="","",IF(OR($D150="",$E150="",$F150="",$H150=""),"",ROUND($D150*$E150*$F150*$H150/1000000,2)))</f>
        <v/>
      </c>
      <c r="J150" s="8"/>
      <c r="K150" s="14"/>
      <c r="L150" s="8"/>
      <c r="M150" s="15" t="str">
        <f aca="false">IF($A150="","",IF(COUNTIF($A$3:$A$502,$A150)&gt;1,"중복","-"))</f>
        <v/>
      </c>
      <c r="N150" s="8"/>
    </row>
    <row r="151" customFormat="false" ht="15" hidden="false" customHeight="true" outlineLevel="0" collapsed="false">
      <c r="A151" s="8"/>
      <c r="B151" s="8"/>
      <c r="C151" s="8"/>
      <c r="D151" s="10"/>
      <c r="E151" s="10"/>
      <c r="F151" s="10"/>
      <c r="G151" s="11" t="str">
        <f aca="false">IF($A151="","",IF(AND($D151="",$E151="",$F151=""),"",IF($D151="","",$D151)&amp;IF($E151="",""," × "&amp;$E151)&amp;IF($F151=""," "," × ")&amp;IF($F151="","",$F151)&amp;"t"))</f>
        <v/>
      </c>
      <c r="H151" s="12"/>
      <c r="I151" s="13" t="str">
        <f aca="false">IF($A151="","",IF(OR($D151="",$E151="",$F151="",$H151=""),"",ROUND($D151*$E151*$F151*$H151/1000000,2)))</f>
        <v/>
      </c>
      <c r="J151" s="8"/>
      <c r="K151" s="14"/>
      <c r="L151" s="8"/>
      <c r="M151" s="15" t="str">
        <f aca="false">IF($A151="","",IF(COUNTIF($A$3:$A$502,$A151)&gt;1,"중복","-"))</f>
        <v/>
      </c>
      <c r="N151" s="8"/>
    </row>
    <row r="152" customFormat="false" ht="15" hidden="false" customHeight="true" outlineLevel="0" collapsed="false">
      <c r="A152" s="8"/>
      <c r="B152" s="8"/>
      <c r="C152" s="8"/>
      <c r="D152" s="10"/>
      <c r="E152" s="10"/>
      <c r="F152" s="10"/>
      <c r="G152" s="11" t="str">
        <f aca="false">IF($A152="","",IF(AND($D152="",$E152="",$F152=""),"",IF($D152="","",$D152)&amp;IF($E152="",""," × "&amp;$E152)&amp;IF($F152=""," "," × ")&amp;IF($F152="","",$F152)&amp;"t"))</f>
        <v/>
      </c>
      <c r="H152" s="12"/>
      <c r="I152" s="13" t="str">
        <f aca="false">IF($A152="","",IF(OR($D152="",$E152="",$F152="",$H152=""),"",ROUND($D152*$E152*$F152*$H152/1000000,2)))</f>
        <v/>
      </c>
      <c r="J152" s="8"/>
      <c r="K152" s="14"/>
      <c r="L152" s="8"/>
      <c r="M152" s="15" t="str">
        <f aca="false">IF($A152="","",IF(COUNTIF($A$3:$A$502,$A152)&gt;1,"중복","-"))</f>
        <v/>
      </c>
      <c r="N152" s="8"/>
    </row>
    <row r="153" customFormat="false" ht="15" hidden="false" customHeight="true" outlineLevel="0" collapsed="false">
      <c r="A153" s="8"/>
      <c r="B153" s="8"/>
      <c r="C153" s="8"/>
      <c r="D153" s="10"/>
      <c r="E153" s="10"/>
      <c r="F153" s="10"/>
      <c r="G153" s="11" t="str">
        <f aca="false">IF($A153="","",IF(AND($D153="",$E153="",$F153=""),"",IF($D153="","",$D153)&amp;IF($E153="",""," × "&amp;$E153)&amp;IF($F153=""," "," × ")&amp;IF($F153="","",$F153)&amp;"t"))</f>
        <v/>
      </c>
      <c r="H153" s="12"/>
      <c r="I153" s="13" t="str">
        <f aca="false">IF($A153="","",IF(OR($D153="",$E153="",$F153="",$H153=""),"",ROUND($D153*$E153*$F153*$H153/1000000,2)))</f>
        <v/>
      </c>
      <c r="J153" s="8"/>
      <c r="K153" s="14"/>
      <c r="L153" s="8"/>
      <c r="M153" s="15" t="str">
        <f aca="false">IF($A153="","",IF(COUNTIF($A$3:$A$502,$A153)&gt;1,"중복","-"))</f>
        <v/>
      </c>
      <c r="N153" s="8"/>
    </row>
    <row r="154" customFormat="false" ht="15" hidden="false" customHeight="true" outlineLevel="0" collapsed="false">
      <c r="A154" s="8"/>
      <c r="B154" s="8"/>
      <c r="C154" s="8"/>
      <c r="D154" s="10"/>
      <c r="E154" s="10"/>
      <c r="F154" s="10"/>
      <c r="G154" s="11" t="str">
        <f aca="false">IF($A154="","",IF(AND($D154="",$E154="",$F154=""),"",IF($D154="","",$D154)&amp;IF($E154="",""," × "&amp;$E154)&amp;IF($F154=""," "," × ")&amp;IF($F154="","",$F154)&amp;"t"))</f>
        <v/>
      </c>
      <c r="H154" s="12"/>
      <c r="I154" s="13" t="str">
        <f aca="false">IF($A154="","",IF(OR($D154="",$E154="",$F154="",$H154=""),"",ROUND($D154*$E154*$F154*$H154/1000000,2)))</f>
        <v/>
      </c>
      <c r="J154" s="8"/>
      <c r="K154" s="14"/>
      <c r="L154" s="8"/>
      <c r="M154" s="15" t="str">
        <f aca="false">IF($A154="","",IF(COUNTIF($A$3:$A$502,$A154)&gt;1,"중복","-"))</f>
        <v/>
      </c>
      <c r="N154" s="8"/>
    </row>
    <row r="155" customFormat="false" ht="15" hidden="false" customHeight="true" outlineLevel="0" collapsed="false">
      <c r="A155" s="8"/>
      <c r="B155" s="8"/>
      <c r="C155" s="8"/>
      <c r="D155" s="10"/>
      <c r="E155" s="10"/>
      <c r="F155" s="10"/>
      <c r="G155" s="11" t="str">
        <f aca="false">IF($A155="","",IF(AND($D155="",$E155="",$F155=""),"",IF($D155="","",$D155)&amp;IF($E155="",""," × "&amp;$E155)&amp;IF($F155=""," "," × ")&amp;IF($F155="","",$F155)&amp;"t"))</f>
        <v/>
      </c>
      <c r="H155" s="12"/>
      <c r="I155" s="13" t="str">
        <f aca="false">IF($A155="","",IF(OR($D155="",$E155="",$F155="",$H155=""),"",ROUND($D155*$E155*$F155*$H155/1000000,2)))</f>
        <v/>
      </c>
      <c r="J155" s="8"/>
      <c r="K155" s="14"/>
      <c r="L155" s="8"/>
      <c r="M155" s="15" t="str">
        <f aca="false">IF($A155="","",IF(COUNTIF($A$3:$A$502,$A155)&gt;1,"중복","-"))</f>
        <v/>
      </c>
      <c r="N155" s="8"/>
    </row>
    <row r="156" customFormat="false" ht="15" hidden="false" customHeight="true" outlineLevel="0" collapsed="false">
      <c r="A156" s="8"/>
      <c r="B156" s="8"/>
      <c r="C156" s="8"/>
      <c r="D156" s="10"/>
      <c r="E156" s="10"/>
      <c r="F156" s="10"/>
      <c r="G156" s="11" t="str">
        <f aca="false">IF($A156="","",IF(AND($D156="",$E156="",$F156=""),"",IF($D156="","",$D156)&amp;IF($E156="",""," × "&amp;$E156)&amp;IF($F156=""," "," × ")&amp;IF($F156="","",$F156)&amp;"t"))</f>
        <v/>
      </c>
      <c r="H156" s="12"/>
      <c r="I156" s="13" t="str">
        <f aca="false">IF($A156="","",IF(OR($D156="",$E156="",$F156="",$H156=""),"",ROUND($D156*$E156*$F156*$H156/1000000,2)))</f>
        <v/>
      </c>
      <c r="J156" s="8"/>
      <c r="K156" s="14"/>
      <c r="L156" s="8"/>
      <c r="M156" s="15" t="str">
        <f aca="false">IF($A156="","",IF(COUNTIF($A$3:$A$502,$A156)&gt;1,"중복","-"))</f>
        <v/>
      </c>
      <c r="N156" s="8"/>
    </row>
    <row r="157" customFormat="false" ht="15" hidden="false" customHeight="true" outlineLevel="0" collapsed="false">
      <c r="A157" s="8"/>
      <c r="B157" s="8"/>
      <c r="C157" s="8"/>
      <c r="D157" s="10"/>
      <c r="E157" s="10"/>
      <c r="F157" s="10"/>
      <c r="G157" s="11" t="str">
        <f aca="false">IF($A157="","",IF(AND($D157="",$E157="",$F157=""),"",IF($D157="","",$D157)&amp;IF($E157="",""," × "&amp;$E157)&amp;IF($F157=""," "," × ")&amp;IF($F157="","",$F157)&amp;"t"))</f>
        <v/>
      </c>
      <c r="H157" s="12"/>
      <c r="I157" s="13" t="str">
        <f aca="false">IF($A157="","",IF(OR($D157="",$E157="",$F157="",$H157=""),"",ROUND($D157*$E157*$F157*$H157/1000000,2)))</f>
        <v/>
      </c>
      <c r="J157" s="8"/>
      <c r="K157" s="14"/>
      <c r="L157" s="8"/>
      <c r="M157" s="15" t="str">
        <f aca="false">IF($A157="","",IF(COUNTIF($A$3:$A$502,$A157)&gt;1,"중복","-"))</f>
        <v/>
      </c>
      <c r="N157" s="8"/>
    </row>
    <row r="158" customFormat="false" ht="15" hidden="false" customHeight="true" outlineLevel="0" collapsed="false">
      <c r="A158" s="8"/>
      <c r="B158" s="8"/>
      <c r="C158" s="8"/>
      <c r="D158" s="10"/>
      <c r="E158" s="10"/>
      <c r="F158" s="10"/>
      <c r="G158" s="11" t="str">
        <f aca="false">IF($A158="","",IF(AND($D158="",$E158="",$F158=""),"",IF($D158="","",$D158)&amp;IF($E158="",""," × "&amp;$E158)&amp;IF($F158=""," "," × ")&amp;IF($F158="","",$F158)&amp;"t"))</f>
        <v/>
      </c>
      <c r="H158" s="12"/>
      <c r="I158" s="13" t="str">
        <f aca="false">IF($A158="","",IF(OR($D158="",$E158="",$F158="",$H158=""),"",ROUND($D158*$E158*$F158*$H158/1000000,2)))</f>
        <v/>
      </c>
      <c r="J158" s="8"/>
      <c r="K158" s="14"/>
      <c r="L158" s="8"/>
      <c r="M158" s="15" t="str">
        <f aca="false">IF($A158="","",IF(COUNTIF($A$3:$A$502,$A158)&gt;1,"중복","-"))</f>
        <v/>
      </c>
      <c r="N158" s="8"/>
    </row>
    <row r="159" customFormat="false" ht="15" hidden="false" customHeight="true" outlineLevel="0" collapsed="false">
      <c r="A159" s="8"/>
      <c r="B159" s="8"/>
      <c r="C159" s="8"/>
      <c r="D159" s="10"/>
      <c r="E159" s="10"/>
      <c r="F159" s="10"/>
      <c r="G159" s="11" t="str">
        <f aca="false">IF($A159="","",IF(AND($D159="",$E159="",$F159=""),"",IF($D159="","",$D159)&amp;IF($E159="",""," × "&amp;$E159)&amp;IF($F159=""," "," × ")&amp;IF($F159="","",$F159)&amp;"t"))</f>
        <v/>
      </c>
      <c r="H159" s="12"/>
      <c r="I159" s="13" t="str">
        <f aca="false">IF($A159="","",IF(OR($D159="",$E159="",$F159="",$H159=""),"",ROUND($D159*$E159*$F159*$H159/1000000,2)))</f>
        <v/>
      </c>
      <c r="J159" s="8"/>
      <c r="K159" s="14"/>
      <c r="L159" s="8"/>
      <c r="M159" s="15" t="str">
        <f aca="false">IF($A159="","",IF(COUNTIF($A$3:$A$502,$A159)&gt;1,"중복","-"))</f>
        <v/>
      </c>
      <c r="N159" s="8"/>
    </row>
    <row r="160" customFormat="false" ht="15" hidden="false" customHeight="true" outlineLevel="0" collapsed="false">
      <c r="A160" s="8"/>
      <c r="B160" s="8"/>
      <c r="C160" s="8"/>
      <c r="D160" s="10"/>
      <c r="E160" s="10"/>
      <c r="F160" s="10"/>
      <c r="G160" s="11" t="str">
        <f aca="false">IF($A160="","",IF(AND($D160="",$E160="",$F160=""),"",IF($D160="","",$D160)&amp;IF($E160="",""," × "&amp;$E160)&amp;IF($F160=""," "," × ")&amp;IF($F160="","",$F160)&amp;"t"))</f>
        <v/>
      </c>
      <c r="H160" s="12"/>
      <c r="I160" s="13" t="str">
        <f aca="false">IF($A160="","",IF(OR($D160="",$E160="",$F160="",$H160=""),"",ROUND($D160*$E160*$F160*$H160/1000000,2)))</f>
        <v/>
      </c>
      <c r="J160" s="8"/>
      <c r="K160" s="14"/>
      <c r="L160" s="8"/>
      <c r="M160" s="15" t="str">
        <f aca="false">IF($A160="","",IF(COUNTIF($A$3:$A$502,$A160)&gt;1,"중복","-"))</f>
        <v/>
      </c>
      <c r="N160" s="8"/>
    </row>
    <row r="161" customFormat="false" ht="15" hidden="false" customHeight="true" outlineLevel="0" collapsed="false">
      <c r="A161" s="8"/>
      <c r="B161" s="8"/>
      <c r="C161" s="8"/>
      <c r="D161" s="10"/>
      <c r="E161" s="10"/>
      <c r="F161" s="10"/>
      <c r="G161" s="11" t="str">
        <f aca="false">IF($A161="","",IF(AND($D161="",$E161="",$F161=""),"",IF($D161="","",$D161)&amp;IF($E161="",""," × "&amp;$E161)&amp;IF($F161=""," "," × ")&amp;IF($F161="","",$F161)&amp;"t"))</f>
        <v/>
      </c>
      <c r="H161" s="12"/>
      <c r="I161" s="13" t="str">
        <f aca="false">IF($A161="","",IF(OR($D161="",$E161="",$F161="",$H161=""),"",ROUND($D161*$E161*$F161*$H161/1000000,2)))</f>
        <v/>
      </c>
      <c r="J161" s="8"/>
      <c r="K161" s="14"/>
      <c r="L161" s="8"/>
      <c r="M161" s="15" t="str">
        <f aca="false">IF($A161="","",IF(COUNTIF($A$3:$A$502,$A161)&gt;1,"중복","-"))</f>
        <v/>
      </c>
      <c r="N161" s="8"/>
    </row>
    <row r="162" customFormat="false" ht="15" hidden="false" customHeight="true" outlineLevel="0" collapsed="false">
      <c r="A162" s="8"/>
      <c r="B162" s="8"/>
      <c r="C162" s="8"/>
      <c r="D162" s="10"/>
      <c r="E162" s="10"/>
      <c r="F162" s="10"/>
      <c r="G162" s="11" t="str">
        <f aca="false">IF($A162="","",IF(AND($D162="",$E162="",$F162=""),"",IF($D162="","",$D162)&amp;IF($E162="",""," × "&amp;$E162)&amp;IF($F162=""," "," × ")&amp;IF($F162="","",$F162)&amp;"t"))</f>
        <v/>
      </c>
      <c r="H162" s="12"/>
      <c r="I162" s="13" t="str">
        <f aca="false">IF($A162="","",IF(OR($D162="",$E162="",$F162="",$H162=""),"",ROUND($D162*$E162*$F162*$H162/1000000,2)))</f>
        <v/>
      </c>
      <c r="J162" s="8"/>
      <c r="K162" s="14"/>
      <c r="L162" s="8"/>
      <c r="M162" s="15" t="str">
        <f aca="false">IF($A162="","",IF(COUNTIF($A$3:$A$502,$A162)&gt;1,"중복","-"))</f>
        <v/>
      </c>
      <c r="N162" s="8"/>
    </row>
    <row r="163" customFormat="false" ht="15" hidden="false" customHeight="true" outlineLevel="0" collapsed="false">
      <c r="A163" s="8"/>
      <c r="B163" s="8"/>
      <c r="C163" s="8"/>
      <c r="D163" s="10"/>
      <c r="E163" s="10"/>
      <c r="F163" s="10"/>
      <c r="G163" s="11" t="str">
        <f aca="false">IF($A163="","",IF(AND($D163="",$E163="",$F163=""),"",IF($D163="","",$D163)&amp;IF($E163="",""," × "&amp;$E163)&amp;IF($F163=""," "," × ")&amp;IF($F163="","",$F163)&amp;"t"))</f>
        <v/>
      </c>
      <c r="H163" s="12"/>
      <c r="I163" s="13" t="str">
        <f aca="false">IF($A163="","",IF(OR($D163="",$E163="",$F163="",$H163=""),"",ROUND($D163*$E163*$F163*$H163/1000000,2)))</f>
        <v/>
      </c>
      <c r="J163" s="8"/>
      <c r="K163" s="14"/>
      <c r="L163" s="8"/>
      <c r="M163" s="15" t="str">
        <f aca="false">IF($A163="","",IF(COUNTIF($A$3:$A$502,$A163)&gt;1,"중복","-"))</f>
        <v/>
      </c>
      <c r="N163" s="8"/>
    </row>
    <row r="164" customFormat="false" ht="15" hidden="false" customHeight="true" outlineLevel="0" collapsed="false">
      <c r="A164" s="8"/>
      <c r="B164" s="8"/>
      <c r="C164" s="8"/>
      <c r="D164" s="10"/>
      <c r="E164" s="10"/>
      <c r="F164" s="10"/>
      <c r="G164" s="11" t="str">
        <f aca="false">IF($A164="","",IF(AND($D164="",$E164="",$F164=""),"",IF($D164="","",$D164)&amp;IF($E164="",""," × "&amp;$E164)&amp;IF($F164=""," "," × ")&amp;IF($F164="","",$F164)&amp;"t"))</f>
        <v/>
      </c>
      <c r="H164" s="12"/>
      <c r="I164" s="13" t="str">
        <f aca="false">IF($A164="","",IF(OR($D164="",$E164="",$F164="",$H164=""),"",ROUND($D164*$E164*$F164*$H164/1000000,2)))</f>
        <v/>
      </c>
      <c r="J164" s="8"/>
      <c r="K164" s="14"/>
      <c r="L164" s="8"/>
      <c r="M164" s="15" t="str">
        <f aca="false">IF($A164="","",IF(COUNTIF($A$3:$A$502,$A164)&gt;1,"중복","-"))</f>
        <v/>
      </c>
      <c r="N164" s="8"/>
    </row>
    <row r="165" customFormat="false" ht="15" hidden="false" customHeight="true" outlineLevel="0" collapsed="false">
      <c r="A165" s="8"/>
      <c r="B165" s="8"/>
      <c r="C165" s="8"/>
      <c r="D165" s="10"/>
      <c r="E165" s="10"/>
      <c r="F165" s="10"/>
      <c r="G165" s="11" t="str">
        <f aca="false">IF($A165="","",IF(AND($D165="",$E165="",$F165=""),"",IF($D165="","",$D165)&amp;IF($E165="",""," × "&amp;$E165)&amp;IF($F165=""," "," × ")&amp;IF($F165="","",$F165)&amp;"t"))</f>
        <v/>
      </c>
      <c r="H165" s="12"/>
      <c r="I165" s="13" t="str">
        <f aca="false">IF($A165="","",IF(OR($D165="",$E165="",$F165="",$H165=""),"",ROUND($D165*$E165*$F165*$H165/1000000,2)))</f>
        <v/>
      </c>
      <c r="J165" s="8"/>
      <c r="K165" s="14"/>
      <c r="L165" s="8"/>
      <c r="M165" s="15" t="str">
        <f aca="false">IF($A165="","",IF(COUNTIF($A$3:$A$502,$A165)&gt;1,"중복","-"))</f>
        <v/>
      </c>
      <c r="N165" s="8"/>
    </row>
    <row r="166" customFormat="false" ht="15" hidden="false" customHeight="true" outlineLevel="0" collapsed="false">
      <c r="A166" s="8"/>
      <c r="B166" s="8"/>
      <c r="C166" s="8"/>
      <c r="D166" s="10"/>
      <c r="E166" s="10"/>
      <c r="F166" s="10"/>
      <c r="G166" s="11" t="str">
        <f aca="false">IF($A166="","",IF(AND($D166="",$E166="",$F166=""),"",IF($D166="","",$D166)&amp;IF($E166="",""," × "&amp;$E166)&amp;IF($F166=""," "," × ")&amp;IF($F166="","",$F166)&amp;"t"))</f>
        <v/>
      </c>
      <c r="H166" s="12"/>
      <c r="I166" s="13" t="str">
        <f aca="false">IF($A166="","",IF(OR($D166="",$E166="",$F166="",$H166=""),"",ROUND($D166*$E166*$F166*$H166/1000000,2)))</f>
        <v/>
      </c>
      <c r="J166" s="8"/>
      <c r="K166" s="14"/>
      <c r="L166" s="8"/>
      <c r="M166" s="15" t="str">
        <f aca="false">IF($A166="","",IF(COUNTIF($A$3:$A$502,$A166)&gt;1,"중복","-"))</f>
        <v/>
      </c>
      <c r="N166" s="8"/>
    </row>
    <row r="167" customFormat="false" ht="15" hidden="false" customHeight="true" outlineLevel="0" collapsed="false">
      <c r="A167" s="8"/>
      <c r="B167" s="8"/>
      <c r="C167" s="8"/>
      <c r="D167" s="10"/>
      <c r="E167" s="10"/>
      <c r="F167" s="10"/>
      <c r="G167" s="11" t="str">
        <f aca="false">IF($A167="","",IF(AND($D167="",$E167="",$F167=""),"",IF($D167="","",$D167)&amp;IF($E167="",""," × "&amp;$E167)&amp;IF($F167=""," "," × ")&amp;IF($F167="","",$F167)&amp;"t"))</f>
        <v/>
      </c>
      <c r="H167" s="12"/>
      <c r="I167" s="13" t="str">
        <f aca="false">IF($A167="","",IF(OR($D167="",$E167="",$F167="",$H167=""),"",ROUND($D167*$E167*$F167*$H167/1000000,2)))</f>
        <v/>
      </c>
      <c r="J167" s="8"/>
      <c r="K167" s="14"/>
      <c r="L167" s="8"/>
      <c r="M167" s="15" t="str">
        <f aca="false">IF($A167="","",IF(COUNTIF($A$3:$A$502,$A167)&gt;1,"중복","-"))</f>
        <v/>
      </c>
      <c r="N167" s="8"/>
    </row>
    <row r="168" customFormat="false" ht="15" hidden="false" customHeight="true" outlineLevel="0" collapsed="false">
      <c r="A168" s="8"/>
      <c r="B168" s="8"/>
      <c r="C168" s="8"/>
      <c r="D168" s="10"/>
      <c r="E168" s="10"/>
      <c r="F168" s="10"/>
      <c r="G168" s="11" t="str">
        <f aca="false">IF($A168="","",IF(AND($D168="",$E168="",$F168=""),"",IF($D168="","",$D168)&amp;IF($E168="",""," × "&amp;$E168)&amp;IF($F168=""," "," × ")&amp;IF($F168="","",$F168)&amp;"t"))</f>
        <v/>
      </c>
      <c r="H168" s="12"/>
      <c r="I168" s="13" t="str">
        <f aca="false">IF($A168="","",IF(OR($D168="",$E168="",$F168="",$H168=""),"",ROUND($D168*$E168*$F168*$H168/1000000,2)))</f>
        <v/>
      </c>
      <c r="J168" s="8"/>
      <c r="K168" s="14"/>
      <c r="L168" s="8"/>
      <c r="M168" s="15" t="str">
        <f aca="false">IF($A168="","",IF(COUNTIF($A$3:$A$502,$A168)&gt;1,"중복","-"))</f>
        <v/>
      </c>
      <c r="N168" s="8"/>
    </row>
    <row r="169" customFormat="false" ht="15" hidden="false" customHeight="true" outlineLevel="0" collapsed="false">
      <c r="A169" s="8"/>
      <c r="B169" s="8"/>
      <c r="C169" s="8"/>
      <c r="D169" s="10"/>
      <c r="E169" s="10"/>
      <c r="F169" s="10"/>
      <c r="G169" s="11" t="str">
        <f aca="false">IF($A169="","",IF(AND($D169="",$E169="",$F169=""),"",IF($D169="","",$D169)&amp;IF($E169="",""," × "&amp;$E169)&amp;IF($F169=""," "," × ")&amp;IF($F169="","",$F169)&amp;"t"))</f>
        <v/>
      </c>
      <c r="H169" s="12"/>
      <c r="I169" s="13" t="str">
        <f aca="false">IF($A169="","",IF(OR($D169="",$E169="",$F169="",$H169=""),"",ROUND($D169*$E169*$F169*$H169/1000000,2)))</f>
        <v/>
      </c>
      <c r="J169" s="8"/>
      <c r="K169" s="14"/>
      <c r="L169" s="8"/>
      <c r="M169" s="15" t="str">
        <f aca="false">IF($A169="","",IF(COUNTIF($A$3:$A$502,$A169)&gt;1,"중복","-"))</f>
        <v/>
      </c>
      <c r="N169" s="8"/>
    </row>
    <row r="170" customFormat="false" ht="15" hidden="false" customHeight="true" outlineLevel="0" collapsed="false">
      <c r="A170" s="8"/>
      <c r="B170" s="8"/>
      <c r="C170" s="8"/>
      <c r="D170" s="10"/>
      <c r="E170" s="10"/>
      <c r="F170" s="10"/>
      <c r="G170" s="11" t="str">
        <f aca="false">IF($A170="","",IF(AND($D170="",$E170="",$F170=""),"",IF($D170="","",$D170)&amp;IF($E170="",""," × "&amp;$E170)&amp;IF($F170=""," "," × ")&amp;IF($F170="","",$F170)&amp;"t"))</f>
        <v/>
      </c>
      <c r="H170" s="12"/>
      <c r="I170" s="13" t="str">
        <f aca="false">IF($A170="","",IF(OR($D170="",$E170="",$F170="",$H170=""),"",ROUND($D170*$E170*$F170*$H170/1000000,2)))</f>
        <v/>
      </c>
      <c r="J170" s="8"/>
      <c r="K170" s="14"/>
      <c r="L170" s="8"/>
      <c r="M170" s="15" t="str">
        <f aca="false">IF($A170="","",IF(COUNTIF($A$3:$A$502,$A170)&gt;1,"중복","-"))</f>
        <v/>
      </c>
      <c r="N170" s="8"/>
    </row>
    <row r="171" customFormat="false" ht="15" hidden="false" customHeight="true" outlineLevel="0" collapsed="false">
      <c r="A171" s="8"/>
      <c r="B171" s="8"/>
      <c r="C171" s="8"/>
      <c r="D171" s="10"/>
      <c r="E171" s="10"/>
      <c r="F171" s="10"/>
      <c r="G171" s="11" t="str">
        <f aca="false">IF($A171="","",IF(AND($D171="",$E171="",$F171=""),"",IF($D171="","",$D171)&amp;IF($E171="",""," × "&amp;$E171)&amp;IF($F171=""," "," × ")&amp;IF($F171="","",$F171)&amp;"t"))</f>
        <v/>
      </c>
      <c r="H171" s="12"/>
      <c r="I171" s="13" t="str">
        <f aca="false">IF($A171="","",IF(OR($D171="",$E171="",$F171="",$H171=""),"",ROUND($D171*$E171*$F171*$H171/1000000,2)))</f>
        <v/>
      </c>
      <c r="J171" s="8"/>
      <c r="K171" s="14"/>
      <c r="L171" s="8"/>
      <c r="M171" s="15" t="str">
        <f aca="false">IF($A171="","",IF(COUNTIF($A$3:$A$502,$A171)&gt;1,"중복","-"))</f>
        <v/>
      </c>
      <c r="N171" s="8"/>
    </row>
    <row r="172" customFormat="false" ht="15" hidden="false" customHeight="true" outlineLevel="0" collapsed="false">
      <c r="A172" s="8"/>
      <c r="B172" s="8"/>
      <c r="C172" s="8"/>
      <c r="D172" s="10"/>
      <c r="E172" s="10"/>
      <c r="F172" s="10"/>
      <c r="G172" s="11" t="str">
        <f aca="false">IF($A172="","",IF(AND($D172="",$E172="",$F172=""),"",IF($D172="","",$D172)&amp;IF($E172="",""," × "&amp;$E172)&amp;IF($F172=""," "," × ")&amp;IF($F172="","",$F172)&amp;"t"))</f>
        <v/>
      </c>
      <c r="H172" s="12"/>
      <c r="I172" s="13" t="str">
        <f aca="false">IF($A172="","",IF(OR($D172="",$E172="",$F172="",$H172=""),"",ROUND($D172*$E172*$F172*$H172/1000000,2)))</f>
        <v/>
      </c>
      <c r="J172" s="8"/>
      <c r="K172" s="14"/>
      <c r="L172" s="8"/>
      <c r="M172" s="15" t="str">
        <f aca="false">IF($A172="","",IF(COUNTIF($A$3:$A$502,$A172)&gt;1,"중복","-"))</f>
        <v/>
      </c>
      <c r="N172" s="8"/>
    </row>
    <row r="173" customFormat="false" ht="15" hidden="false" customHeight="true" outlineLevel="0" collapsed="false">
      <c r="A173" s="8"/>
      <c r="B173" s="8"/>
      <c r="C173" s="8"/>
      <c r="D173" s="10"/>
      <c r="E173" s="10"/>
      <c r="F173" s="10"/>
      <c r="G173" s="11" t="str">
        <f aca="false">IF($A173="","",IF(AND($D173="",$E173="",$F173=""),"",IF($D173="","",$D173)&amp;IF($E173="",""," × "&amp;$E173)&amp;IF($F173=""," "," × ")&amp;IF($F173="","",$F173)&amp;"t"))</f>
        <v/>
      </c>
      <c r="H173" s="12"/>
      <c r="I173" s="13" t="str">
        <f aca="false">IF($A173="","",IF(OR($D173="",$E173="",$F173="",$H173=""),"",ROUND($D173*$E173*$F173*$H173/1000000,2)))</f>
        <v/>
      </c>
      <c r="J173" s="8"/>
      <c r="K173" s="14"/>
      <c r="L173" s="8"/>
      <c r="M173" s="15" t="str">
        <f aca="false">IF($A173="","",IF(COUNTIF($A$3:$A$502,$A173)&gt;1,"중복","-"))</f>
        <v/>
      </c>
      <c r="N173" s="8"/>
    </row>
    <row r="174" customFormat="false" ht="15" hidden="false" customHeight="true" outlineLevel="0" collapsed="false">
      <c r="A174" s="8"/>
      <c r="B174" s="8"/>
      <c r="C174" s="8"/>
      <c r="D174" s="10"/>
      <c r="E174" s="10"/>
      <c r="F174" s="10"/>
      <c r="G174" s="11" t="str">
        <f aca="false">IF($A174="","",IF(AND($D174="",$E174="",$F174=""),"",IF($D174="","",$D174)&amp;IF($E174="",""," × "&amp;$E174)&amp;IF($F174=""," "," × ")&amp;IF($F174="","",$F174)&amp;"t"))</f>
        <v/>
      </c>
      <c r="H174" s="12"/>
      <c r="I174" s="13" t="str">
        <f aca="false">IF($A174="","",IF(OR($D174="",$E174="",$F174="",$H174=""),"",ROUND($D174*$E174*$F174*$H174/1000000,2)))</f>
        <v/>
      </c>
      <c r="J174" s="8"/>
      <c r="K174" s="14"/>
      <c r="L174" s="8"/>
      <c r="M174" s="15" t="str">
        <f aca="false">IF($A174="","",IF(COUNTIF($A$3:$A$502,$A174)&gt;1,"중복","-"))</f>
        <v/>
      </c>
      <c r="N174" s="8"/>
    </row>
    <row r="175" customFormat="false" ht="15" hidden="false" customHeight="true" outlineLevel="0" collapsed="false">
      <c r="A175" s="8"/>
      <c r="B175" s="8"/>
      <c r="C175" s="8"/>
      <c r="D175" s="10"/>
      <c r="E175" s="10"/>
      <c r="F175" s="10"/>
      <c r="G175" s="11" t="str">
        <f aca="false">IF($A175="","",IF(AND($D175="",$E175="",$F175=""),"",IF($D175="","",$D175)&amp;IF($E175="",""," × "&amp;$E175)&amp;IF($F175=""," "," × ")&amp;IF($F175="","",$F175)&amp;"t"))</f>
        <v/>
      </c>
      <c r="H175" s="12"/>
      <c r="I175" s="13" t="str">
        <f aca="false">IF($A175="","",IF(OR($D175="",$E175="",$F175="",$H175=""),"",ROUND($D175*$E175*$F175*$H175/1000000,2)))</f>
        <v/>
      </c>
      <c r="J175" s="8"/>
      <c r="K175" s="14"/>
      <c r="L175" s="8"/>
      <c r="M175" s="15" t="str">
        <f aca="false">IF($A175="","",IF(COUNTIF($A$3:$A$502,$A175)&gt;1,"중복","-"))</f>
        <v/>
      </c>
      <c r="N175" s="8"/>
    </row>
    <row r="176" customFormat="false" ht="15" hidden="false" customHeight="true" outlineLevel="0" collapsed="false">
      <c r="A176" s="8"/>
      <c r="B176" s="8"/>
      <c r="C176" s="8"/>
      <c r="D176" s="10"/>
      <c r="E176" s="10"/>
      <c r="F176" s="10"/>
      <c r="G176" s="11" t="str">
        <f aca="false">IF($A176="","",IF(AND($D176="",$E176="",$F176=""),"",IF($D176="","",$D176)&amp;IF($E176="",""," × "&amp;$E176)&amp;IF($F176=""," "," × ")&amp;IF($F176="","",$F176)&amp;"t"))</f>
        <v/>
      </c>
      <c r="H176" s="12"/>
      <c r="I176" s="13" t="str">
        <f aca="false">IF($A176="","",IF(OR($D176="",$E176="",$F176="",$H176=""),"",ROUND($D176*$E176*$F176*$H176/1000000,2)))</f>
        <v/>
      </c>
      <c r="J176" s="8"/>
      <c r="K176" s="14"/>
      <c r="L176" s="8"/>
      <c r="M176" s="15" t="str">
        <f aca="false">IF($A176="","",IF(COUNTIF($A$3:$A$502,$A176)&gt;1,"중복","-"))</f>
        <v/>
      </c>
      <c r="N176" s="8"/>
    </row>
    <row r="177" customFormat="false" ht="15" hidden="false" customHeight="true" outlineLevel="0" collapsed="false">
      <c r="A177" s="8"/>
      <c r="B177" s="8"/>
      <c r="C177" s="8"/>
      <c r="D177" s="10"/>
      <c r="E177" s="10"/>
      <c r="F177" s="10"/>
      <c r="G177" s="11" t="str">
        <f aca="false">IF($A177="","",IF(AND($D177="",$E177="",$F177=""),"",IF($D177="","",$D177)&amp;IF($E177="",""," × "&amp;$E177)&amp;IF($F177=""," "," × ")&amp;IF($F177="","",$F177)&amp;"t"))</f>
        <v/>
      </c>
      <c r="H177" s="12"/>
      <c r="I177" s="13" t="str">
        <f aca="false">IF($A177="","",IF(OR($D177="",$E177="",$F177="",$H177=""),"",ROUND($D177*$E177*$F177*$H177/1000000,2)))</f>
        <v/>
      </c>
      <c r="J177" s="8"/>
      <c r="K177" s="14"/>
      <c r="L177" s="8"/>
      <c r="M177" s="15" t="str">
        <f aca="false">IF($A177="","",IF(COUNTIF($A$3:$A$502,$A177)&gt;1,"중복","-"))</f>
        <v/>
      </c>
      <c r="N177" s="8"/>
    </row>
    <row r="178" customFormat="false" ht="15" hidden="false" customHeight="true" outlineLevel="0" collapsed="false">
      <c r="A178" s="8"/>
      <c r="B178" s="8"/>
      <c r="C178" s="8"/>
      <c r="D178" s="10"/>
      <c r="E178" s="10"/>
      <c r="F178" s="10"/>
      <c r="G178" s="11" t="str">
        <f aca="false">IF($A178="","",IF(AND($D178="",$E178="",$F178=""),"",IF($D178="","",$D178)&amp;IF($E178="",""," × "&amp;$E178)&amp;IF($F178=""," "," × ")&amp;IF($F178="","",$F178)&amp;"t"))</f>
        <v/>
      </c>
      <c r="H178" s="12"/>
      <c r="I178" s="13" t="str">
        <f aca="false">IF($A178="","",IF(OR($D178="",$E178="",$F178="",$H178=""),"",ROUND($D178*$E178*$F178*$H178/1000000,2)))</f>
        <v/>
      </c>
      <c r="J178" s="8"/>
      <c r="K178" s="14"/>
      <c r="L178" s="8"/>
      <c r="M178" s="15" t="str">
        <f aca="false">IF($A178="","",IF(COUNTIF($A$3:$A$502,$A178)&gt;1,"중복","-"))</f>
        <v/>
      </c>
      <c r="N178" s="8"/>
    </row>
    <row r="179" customFormat="false" ht="15" hidden="false" customHeight="true" outlineLevel="0" collapsed="false">
      <c r="A179" s="8"/>
      <c r="B179" s="8"/>
      <c r="C179" s="8"/>
      <c r="D179" s="10"/>
      <c r="E179" s="10"/>
      <c r="F179" s="10"/>
      <c r="G179" s="11" t="str">
        <f aca="false">IF($A179="","",IF(AND($D179="",$E179="",$F179=""),"",IF($D179="","",$D179)&amp;IF($E179="",""," × "&amp;$E179)&amp;IF($F179=""," "," × ")&amp;IF($F179="","",$F179)&amp;"t"))</f>
        <v/>
      </c>
      <c r="H179" s="12"/>
      <c r="I179" s="13" t="str">
        <f aca="false">IF($A179="","",IF(OR($D179="",$E179="",$F179="",$H179=""),"",ROUND($D179*$E179*$F179*$H179/1000000,2)))</f>
        <v/>
      </c>
      <c r="J179" s="8"/>
      <c r="K179" s="14"/>
      <c r="L179" s="8"/>
      <c r="M179" s="15" t="str">
        <f aca="false">IF($A179="","",IF(COUNTIF($A$3:$A$502,$A179)&gt;1,"중복","-"))</f>
        <v/>
      </c>
      <c r="N179" s="8"/>
    </row>
    <row r="180" customFormat="false" ht="15" hidden="false" customHeight="true" outlineLevel="0" collapsed="false">
      <c r="A180" s="8"/>
      <c r="B180" s="8"/>
      <c r="C180" s="8"/>
      <c r="D180" s="10"/>
      <c r="E180" s="10"/>
      <c r="F180" s="10"/>
      <c r="G180" s="11" t="str">
        <f aca="false">IF($A180="","",IF(AND($D180="",$E180="",$F180=""),"",IF($D180="","",$D180)&amp;IF($E180="",""," × "&amp;$E180)&amp;IF($F180=""," "," × ")&amp;IF($F180="","",$F180)&amp;"t"))</f>
        <v/>
      </c>
      <c r="H180" s="12"/>
      <c r="I180" s="13" t="str">
        <f aca="false">IF($A180="","",IF(OR($D180="",$E180="",$F180="",$H180=""),"",ROUND($D180*$E180*$F180*$H180/1000000,2)))</f>
        <v/>
      </c>
      <c r="J180" s="8"/>
      <c r="K180" s="14"/>
      <c r="L180" s="8"/>
      <c r="M180" s="15" t="str">
        <f aca="false">IF($A180="","",IF(COUNTIF($A$3:$A$502,$A180)&gt;1,"중복","-"))</f>
        <v/>
      </c>
      <c r="N180" s="8"/>
    </row>
    <row r="181" customFormat="false" ht="15" hidden="false" customHeight="true" outlineLevel="0" collapsed="false">
      <c r="A181" s="8"/>
      <c r="B181" s="8"/>
      <c r="C181" s="8"/>
      <c r="D181" s="10"/>
      <c r="E181" s="10"/>
      <c r="F181" s="10"/>
      <c r="G181" s="11" t="str">
        <f aca="false">IF($A181="","",IF(AND($D181="",$E181="",$F181=""),"",IF($D181="","",$D181)&amp;IF($E181="",""," × "&amp;$E181)&amp;IF($F181=""," "," × ")&amp;IF($F181="","",$F181)&amp;"t"))</f>
        <v/>
      </c>
      <c r="H181" s="12"/>
      <c r="I181" s="13" t="str">
        <f aca="false">IF($A181="","",IF(OR($D181="",$E181="",$F181="",$H181=""),"",ROUND($D181*$E181*$F181*$H181/1000000,2)))</f>
        <v/>
      </c>
      <c r="J181" s="8"/>
      <c r="K181" s="14"/>
      <c r="L181" s="8"/>
      <c r="M181" s="15" t="str">
        <f aca="false">IF($A181="","",IF(COUNTIF($A$3:$A$502,$A181)&gt;1,"중복","-"))</f>
        <v/>
      </c>
      <c r="N181" s="8"/>
    </row>
    <row r="182" customFormat="false" ht="15" hidden="false" customHeight="true" outlineLevel="0" collapsed="false">
      <c r="A182" s="8"/>
      <c r="B182" s="8"/>
      <c r="C182" s="8"/>
      <c r="D182" s="10"/>
      <c r="E182" s="10"/>
      <c r="F182" s="10"/>
      <c r="G182" s="11" t="str">
        <f aca="false">IF($A182="","",IF(AND($D182="",$E182="",$F182=""),"",IF($D182="","",$D182)&amp;IF($E182="",""," × "&amp;$E182)&amp;IF($F182=""," "," × ")&amp;IF($F182="","",$F182)&amp;"t"))</f>
        <v/>
      </c>
      <c r="H182" s="12"/>
      <c r="I182" s="13" t="str">
        <f aca="false">IF($A182="","",IF(OR($D182="",$E182="",$F182="",$H182=""),"",ROUND($D182*$E182*$F182*$H182/1000000,2)))</f>
        <v/>
      </c>
      <c r="J182" s="8"/>
      <c r="K182" s="14"/>
      <c r="L182" s="8"/>
      <c r="M182" s="15" t="str">
        <f aca="false">IF($A182="","",IF(COUNTIF($A$3:$A$502,$A182)&gt;1,"중복","-"))</f>
        <v/>
      </c>
      <c r="N182" s="8"/>
    </row>
    <row r="183" customFormat="false" ht="15" hidden="false" customHeight="true" outlineLevel="0" collapsed="false">
      <c r="A183" s="8"/>
      <c r="B183" s="8"/>
      <c r="C183" s="8"/>
      <c r="D183" s="10"/>
      <c r="E183" s="10"/>
      <c r="F183" s="10"/>
      <c r="G183" s="11" t="str">
        <f aca="false">IF($A183="","",IF(AND($D183="",$E183="",$F183=""),"",IF($D183="","",$D183)&amp;IF($E183="",""," × "&amp;$E183)&amp;IF($F183=""," "," × ")&amp;IF($F183="","",$F183)&amp;"t"))</f>
        <v/>
      </c>
      <c r="H183" s="12"/>
      <c r="I183" s="13" t="str">
        <f aca="false">IF($A183="","",IF(OR($D183="",$E183="",$F183="",$H183=""),"",ROUND($D183*$E183*$F183*$H183/1000000,2)))</f>
        <v/>
      </c>
      <c r="J183" s="8"/>
      <c r="K183" s="14"/>
      <c r="L183" s="8"/>
      <c r="M183" s="15" t="str">
        <f aca="false">IF($A183="","",IF(COUNTIF($A$3:$A$502,$A183)&gt;1,"중복","-"))</f>
        <v/>
      </c>
      <c r="N183" s="8"/>
    </row>
    <row r="184" customFormat="false" ht="15" hidden="false" customHeight="true" outlineLevel="0" collapsed="false">
      <c r="A184" s="8"/>
      <c r="B184" s="8"/>
      <c r="C184" s="8"/>
      <c r="D184" s="10"/>
      <c r="E184" s="10"/>
      <c r="F184" s="10"/>
      <c r="G184" s="11" t="str">
        <f aca="false">IF($A184="","",IF(AND($D184="",$E184="",$F184=""),"",IF($D184="","",$D184)&amp;IF($E184="",""," × "&amp;$E184)&amp;IF($F184=""," "," × ")&amp;IF($F184="","",$F184)&amp;"t"))</f>
        <v/>
      </c>
      <c r="H184" s="12"/>
      <c r="I184" s="13" t="str">
        <f aca="false">IF($A184="","",IF(OR($D184="",$E184="",$F184="",$H184=""),"",ROUND($D184*$E184*$F184*$H184/1000000,2)))</f>
        <v/>
      </c>
      <c r="J184" s="8"/>
      <c r="K184" s="14"/>
      <c r="L184" s="8"/>
      <c r="M184" s="15" t="str">
        <f aca="false">IF($A184="","",IF(COUNTIF($A$3:$A$502,$A184)&gt;1,"중복","-"))</f>
        <v/>
      </c>
      <c r="N184" s="8"/>
    </row>
    <row r="185" customFormat="false" ht="15" hidden="false" customHeight="true" outlineLevel="0" collapsed="false">
      <c r="A185" s="8"/>
      <c r="B185" s="8"/>
      <c r="C185" s="8"/>
      <c r="D185" s="10"/>
      <c r="E185" s="10"/>
      <c r="F185" s="10"/>
      <c r="G185" s="11" t="str">
        <f aca="false">IF($A185="","",IF(AND($D185="",$E185="",$F185=""),"",IF($D185="","",$D185)&amp;IF($E185="",""," × "&amp;$E185)&amp;IF($F185=""," "," × ")&amp;IF($F185="","",$F185)&amp;"t"))</f>
        <v/>
      </c>
      <c r="H185" s="12"/>
      <c r="I185" s="13" t="str">
        <f aca="false">IF($A185="","",IF(OR($D185="",$E185="",$F185="",$H185=""),"",ROUND($D185*$E185*$F185*$H185/1000000,2)))</f>
        <v/>
      </c>
      <c r="J185" s="8"/>
      <c r="K185" s="14"/>
      <c r="L185" s="8"/>
      <c r="M185" s="15" t="str">
        <f aca="false">IF($A185="","",IF(COUNTIF($A$3:$A$502,$A185)&gt;1,"중복","-"))</f>
        <v/>
      </c>
      <c r="N185" s="8"/>
    </row>
    <row r="186" customFormat="false" ht="15" hidden="false" customHeight="true" outlineLevel="0" collapsed="false">
      <c r="A186" s="8"/>
      <c r="B186" s="8"/>
      <c r="C186" s="8"/>
      <c r="D186" s="10"/>
      <c r="E186" s="10"/>
      <c r="F186" s="10"/>
      <c r="G186" s="11" t="str">
        <f aca="false">IF($A186="","",IF(AND($D186="",$E186="",$F186=""),"",IF($D186="","",$D186)&amp;IF($E186="",""," × "&amp;$E186)&amp;IF($F186=""," "," × ")&amp;IF($F186="","",$F186)&amp;"t"))</f>
        <v/>
      </c>
      <c r="H186" s="12"/>
      <c r="I186" s="13" t="str">
        <f aca="false">IF($A186="","",IF(OR($D186="",$E186="",$F186="",$H186=""),"",ROUND($D186*$E186*$F186*$H186/1000000,2)))</f>
        <v/>
      </c>
      <c r="J186" s="8"/>
      <c r="K186" s="14"/>
      <c r="L186" s="8"/>
      <c r="M186" s="15" t="str">
        <f aca="false">IF($A186="","",IF(COUNTIF($A$3:$A$502,$A186)&gt;1,"중복","-"))</f>
        <v/>
      </c>
      <c r="N186" s="8"/>
    </row>
    <row r="187" customFormat="false" ht="15" hidden="false" customHeight="true" outlineLevel="0" collapsed="false">
      <c r="A187" s="8"/>
      <c r="B187" s="8"/>
      <c r="C187" s="8"/>
      <c r="D187" s="10"/>
      <c r="E187" s="10"/>
      <c r="F187" s="10"/>
      <c r="G187" s="11" t="str">
        <f aca="false">IF($A187="","",IF(AND($D187="",$E187="",$F187=""),"",IF($D187="","",$D187)&amp;IF($E187="",""," × "&amp;$E187)&amp;IF($F187=""," "," × ")&amp;IF($F187="","",$F187)&amp;"t"))</f>
        <v/>
      </c>
      <c r="H187" s="12"/>
      <c r="I187" s="13" t="str">
        <f aca="false">IF($A187="","",IF(OR($D187="",$E187="",$F187="",$H187=""),"",ROUND($D187*$E187*$F187*$H187/1000000,2)))</f>
        <v/>
      </c>
      <c r="J187" s="8"/>
      <c r="K187" s="14"/>
      <c r="L187" s="8"/>
      <c r="M187" s="15" t="str">
        <f aca="false">IF($A187="","",IF(COUNTIF($A$3:$A$502,$A187)&gt;1,"중복","-"))</f>
        <v/>
      </c>
      <c r="N187" s="8"/>
    </row>
    <row r="188" customFormat="false" ht="15" hidden="false" customHeight="true" outlineLevel="0" collapsed="false">
      <c r="A188" s="8"/>
      <c r="B188" s="8"/>
      <c r="C188" s="8"/>
      <c r="D188" s="10"/>
      <c r="E188" s="10"/>
      <c r="F188" s="10"/>
      <c r="G188" s="11" t="str">
        <f aca="false">IF($A188="","",IF(AND($D188="",$E188="",$F188=""),"",IF($D188="","",$D188)&amp;IF($E188="",""," × "&amp;$E188)&amp;IF($F188=""," "," × ")&amp;IF($F188="","",$F188)&amp;"t"))</f>
        <v/>
      </c>
      <c r="H188" s="12"/>
      <c r="I188" s="13" t="str">
        <f aca="false">IF($A188="","",IF(OR($D188="",$E188="",$F188="",$H188=""),"",ROUND($D188*$E188*$F188*$H188/1000000,2)))</f>
        <v/>
      </c>
      <c r="J188" s="8"/>
      <c r="K188" s="14"/>
      <c r="L188" s="8"/>
      <c r="M188" s="15" t="str">
        <f aca="false">IF($A188="","",IF(COUNTIF($A$3:$A$502,$A188)&gt;1,"중복","-"))</f>
        <v/>
      </c>
      <c r="N188" s="8"/>
    </row>
    <row r="189" customFormat="false" ht="15" hidden="false" customHeight="true" outlineLevel="0" collapsed="false">
      <c r="A189" s="8"/>
      <c r="B189" s="8"/>
      <c r="C189" s="8"/>
      <c r="D189" s="10"/>
      <c r="E189" s="10"/>
      <c r="F189" s="10"/>
      <c r="G189" s="11" t="str">
        <f aca="false">IF($A189="","",IF(AND($D189="",$E189="",$F189=""),"",IF($D189="","",$D189)&amp;IF($E189="",""," × "&amp;$E189)&amp;IF($F189=""," "," × ")&amp;IF($F189="","",$F189)&amp;"t"))</f>
        <v/>
      </c>
      <c r="H189" s="12"/>
      <c r="I189" s="13" t="str">
        <f aca="false">IF($A189="","",IF(OR($D189="",$E189="",$F189="",$H189=""),"",ROUND($D189*$E189*$F189*$H189/1000000,2)))</f>
        <v/>
      </c>
      <c r="J189" s="8"/>
      <c r="K189" s="14"/>
      <c r="L189" s="8"/>
      <c r="M189" s="15" t="str">
        <f aca="false">IF($A189="","",IF(COUNTIF($A$3:$A$502,$A189)&gt;1,"중복","-"))</f>
        <v/>
      </c>
      <c r="N189" s="8"/>
    </row>
    <row r="190" customFormat="false" ht="15" hidden="false" customHeight="true" outlineLevel="0" collapsed="false">
      <c r="A190" s="8"/>
      <c r="B190" s="8"/>
      <c r="C190" s="8"/>
      <c r="D190" s="10"/>
      <c r="E190" s="10"/>
      <c r="F190" s="10"/>
      <c r="G190" s="11" t="str">
        <f aca="false">IF($A190="","",IF(AND($D190="",$E190="",$F190=""),"",IF($D190="","",$D190)&amp;IF($E190="",""," × "&amp;$E190)&amp;IF($F190=""," "," × ")&amp;IF($F190="","",$F190)&amp;"t"))</f>
        <v/>
      </c>
      <c r="H190" s="12"/>
      <c r="I190" s="13" t="str">
        <f aca="false">IF($A190="","",IF(OR($D190="",$E190="",$F190="",$H190=""),"",ROUND($D190*$E190*$F190*$H190/1000000,2)))</f>
        <v/>
      </c>
      <c r="J190" s="8"/>
      <c r="K190" s="14"/>
      <c r="L190" s="8"/>
      <c r="M190" s="15" t="str">
        <f aca="false">IF($A190="","",IF(COUNTIF($A$3:$A$502,$A190)&gt;1,"중복","-"))</f>
        <v/>
      </c>
      <c r="N190" s="8"/>
    </row>
    <row r="191" customFormat="false" ht="15" hidden="false" customHeight="true" outlineLevel="0" collapsed="false">
      <c r="A191" s="8"/>
      <c r="B191" s="8"/>
      <c r="C191" s="8"/>
      <c r="D191" s="10"/>
      <c r="E191" s="10"/>
      <c r="F191" s="10"/>
      <c r="G191" s="11" t="str">
        <f aca="false">IF($A191="","",IF(AND($D191="",$E191="",$F191=""),"",IF($D191="","",$D191)&amp;IF($E191="",""," × "&amp;$E191)&amp;IF($F191=""," "," × ")&amp;IF($F191="","",$F191)&amp;"t"))</f>
        <v/>
      </c>
      <c r="H191" s="12"/>
      <c r="I191" s="13" t="str">
        <f aca="false">IF($A191="","",IF(OR($D191="",$E191="",$F191="",$H191=""),"",ROUND($D191*$E191*$F191*$H191/1000000,2)))</f>
        <v/>
      </c>
      <c r="J191" s="8"/>
      <c r="K191" s="14"/>
      <c r="L191" s="8"/>
      <c r="M191" s="15" t="str">
        <f aca="false">IF($A191="","",IF(COUNTIF($A$3:$A$502,$A191)&gt;1,"중복","-"))</f>
        <v/>
      </c>
      <c r="N191" s="8"/>
    </row>
    <row r="192" customFormat="false" ht="15" hidden="false" customHeight="true" outlineLevel="0" collapsed="false">
      <c r="A192" s="8"/>
      <c r="B192" s="8"/>
      <c r="C192" s="8"/>
      <c r="D192" s="10"/>
      <c r="E192" s="10"/>
      <c r="F192" s="10"/>
      <c r="G192" s="11" t="str">
        <f aca="false">IF($A192="","",IF(AND($D192="",$E192="",$F192=""),"",IF($D192="","",$D192)&amp;IF($E192="",""," × "&amp;$E192)&amp;IF($F192=""," "," × ")&amp;IF($F192="","",$F192)&amp;"t"))</f>
        <v/>
      </c>
      <c r="H192" s="12"/>
      <c r="I192" s="13" t="str">
        <f aca="false">IF($A192="","",IF(OR($D192="",$E192="",$F192="",$H192=""),"",ROUND($D192*$E192*$F192*$H192/1000000,2)))</f>
        <v/>
      </c>
      <c r="J192" s="8"/>
      <c r="K192" s="14"/>
      <c r="L192" s="8"/>
      <c r="M192" s="15" t="str">
        <f aca="false">IF($A192="","",IF(COUNTIF($A$3:$A$502,$A192)&gt;1,"중복","-"))</f>
        <v/>
      </c>
      <c r="N192" s="8"/>
    </row>
    <row r="193" customFormat="false" ht="15" hidden="false" customHeight="true" outlineLevel="0" collapsed="false">
      <c r="A193" s="8"/>
      <c r="B193" s="8"/>
      <c r="C193" s="8"/>
      <c r="D193" s="10"/>
      <c r="E193" s="10"/>
      <c r="F193" s="10"/>
      <c r="G193" s="11" t="str">
        <f aca="false">IF($A193="","",IF(AND($D193="",$E193="",$F193=""),"",IF($D193="","",$D193)&amp;IF($E193="",""," × "&amp;$E193)&amp;IF($F193=""," "," × ")&amp;IF($F193="","",$F193)&amp;"t"))</f>
        <v/>
      </c>
      <c r="H193" s="12"/>
      <c r="I193" s="13" t="str">
        <f aca="false">IF($A193="","",IF(OR($D193="",$E193="",$F193="",$H193=""),"",ROUND($D193*$E193*$F193*$H193/1000000,2)))</f>
        <v/>
      </c>
      <c r="J193" s="8"/>
      <c r="K193" s="14"/>
      <c r="L193" s="8"/>
      <c r="M193" s="15" t="str">
        <f aca="false">IF($A193="","",IF(COUNTIF($A$3:$A$502,$A193)&gt;1,"중복","-"))</f>
        <v/>
      </c>
      <c r="N193" s="8"/>
    </row>
    <row r="194" customFormat="false" ht="15" hidden="false" customHeight="true" outlineLevel="0" collapsed="false">
      <c r="A194" s="8"/>
      <c r="B194" s="8"/>
      <c r="C194" s="8"/>
      <c r="D194" s="10"/>
      <c r="E194" s="10"/>
      <c r="F194" s="10"/>
      <c r="G194" s="11" t="str">
        <f aca="false">IF($A194="","",IF(AND($D194="",$E194="",$F194=""),"",IF($D194="","",$D194)&amp;IF($E194="",""," × "&amp;$E194)&amp;IF($F194=""," "," × ")&amp;IF($F194="","",$F194)&amp;"t"))</f>
        <v/>
      </c>
      <c r="H194" s="12"/>
      <c r="I194" s="13" t="str">
        <f aca="false">IF($A194="","",IF(OR($D194="",$E194="",$F194="",$H194=""),"",ROUND($D194*$E194*$F194*$H194/1000000,2)))</f>
        <v/>
      </c>
      <c r="J194" s="8"/>
      <c r="K194" s="14"/>
      <c r="L194" s="8"/>
      <c r="M194" s="15" t="str">
        <f aca="false">IF($A194="","",IF(COUNTIF($A$3:$A$502,$A194)&gt;1,"중복","-"))</f>
        <v/>
      </c>
      <c r="N194" s="8"/>
    </row>
    <row r="195" customFormat="false" ht="15" hidden="false" customHeight="true" outlineLevel="0" collapsed="false">
      <c r="A195" s="8"/>
      <c r="B195" s="8"/>
      <c r="C195" s="8"/>
      <c r="D195" s="10"/>
      <c r="E195" s="10"/>
      <c r="F195" s="10"/>
      <c r="G195" s="11" t="str">
        <f aca="false">IF($A195="","",IF(AND($D195="",$E195="",$F195=""),"",IF($D195="","",$D195)&amp;IF($E195="",""," × "&amp;$E195)&amp;IF($F195=""," "," × ")&amp;IF($F195="","",$F195)&amp;"t"))</f>
        <v/>
      </c>
      <c r="H195" s="12"/>
      <c r="I195" s="13" t="str">
        <f aca="false">IF($A195="","",IF(OR($D195="",$E195="",$F195="",$H195=""),"",ROUND($D195*$E195*$F195*$H195/1000000,2)))</f>
        <v/>
      </c>
      <c r="J195" s="8"/>
      <c r="K195" s="14"/>
      <c r="L195" s="8"/>
      <c r="M195" s="15" t="str">
        <f aca="false">IF($A195="","",IF(COUNTIF($A$3:$A$502,$A195)&gt;1,"중복","-"))</f>
        <v/>
      </c>
      <c r="N195" s="8"/>
    </row>
    <row r="196" customFormat="false" ht="15" hidden="false" customHeight="true" outlineLevel="0" collapsed="false">
      <c r="A196" s="8"/>
      <c r="B196" s="8"/>
      <c r="C196" s="8"/>
      <c r="D196" s="10"/>
      <c r="E196" s="10"/>
      <c r="F196" s="10"/>
      <c r="G196" s="11" t="str">
        <f aca="false">IF($A196="","",IF(AND($D196="",$E196="",$F196=""),"",IF($D196="","",$D196)&amp;IF($E196="",""," × "&amp;$E196)&amp;IF($F196=""," "," × ")&amp;IF($F196="","",$F196)&amp;"t"))</f>
        <v/>
      </c>
      <c r="H196" s="12"/>
      <c r="I196" s="13" t="str">
        <f aca="false">IF($A196="","",IF(OR($D196="",$E196="",$F196="",$H196=""),"",ROUND($D196*$E196*$F196*$H196/1000000,2)))</f>
        <v/>
      </c>
      <c r="J196" s="8"/>
      <c r="K196" s="14"/>
      <c r="L196" s="8"/>
      <c r="M196" s="15" t="str">
        <f aca="false">IF($A196="","",IF(COUNTIF($A$3:$A$502,$A196)&gt;1,"중복","-"))</f>
        <v/>
      </c>
      <c r="N196" s="8"/>
    </row>
    <row r="197" customFormat="false" ht="15" hidden="false" customHeight="true" outlineLevel="0" collapsed="false">
      <c r="A197" s="8"/>
      <c r="B197" s="8"/>
      <c r="C197" s="8"/>
      <c r="D197" s="10"/>
      <c r="E197" s="10"/>
      <c r="F197" s="10"/>
      <c r="G197" s="11" t="str">
        <f aca="false">IF($A197="","",IF(AND($D197="",$E197="",$F197=""),"",IF($D197="","",$D197)&amp;IF($E197="",""," × "&amp;$E197)&amp;IF($F197=""," "," × ")&amp;IF($F197="","",$F197)&amp;"t"))</f>
        <v/>
      </c>
      <c r="H197" s="12"/>
      <c r="I197" s="13" t="str">
        <f aca="false">IF($A197="","",IF(OR($D197="",$E197="",$F197="",$H197=""),"",ROUND($D197*$E197*$F197*$H197/1000000,2)))</f>
        <v/>
      </c>
      <c r="J197" s="8"/>
      <c r="K197" s="14"/>
      <c r="L197" s="8"/>
      <c r="M197" s="15" t="str">
        <f aca="false">IF($A197="","",IF(COUNTIF($A$3:$A$502,$A197)&gt;1,"중복","-"))</f>
        <v/>
      </c>
      <c r="N197" s="8"/>
    </row>
    <row r="198" customFormat="false" ht="15" hidden="false" customHeight="true" outlineLevel="0" collapsed="false">
      <c r="A198" s="8"/>
      <c r="B198" s="8"/>
      <c r="C198" s="8"/>
      <c r="D198" s="10"/>
      <c r="E198" s="10"/>
      <c r="F198" s="10"/>
      <c r="G198" s="11" t="str">
        <f aca="false">IF($A198="","",IF(AND($D198="",$E198="",$F198=""),"",IF($D198="","",$D198)&amp;IF($E198="",""," × "&amp;$E198)&amp;IF($F198=""," "," × ")&amp;IF($F198="","",$F198)&amp;"t"))</f>
        <v/>
      </c>
      <c r="H198" s="12"/>
      <c r="I198" s="13" t="str">
        <f aca="false">IF($A198="","",IF(OR($D198="",$E198="",$F198="",$H198=""),"",ROUND($D198*$E198*$F198*$H198/1000000,2)))</f>
        <v/>
      </c>
      <c r="J198" s="8"/>
      <c r="K198" s="14"/>
      <c r="L198" s="8"/>
      <c r="M198" s="15" t="str">
        <f aca="false">IF($A198="","",IF(COUNTIF($A$3:$A$502,$A198)&gt;1,"중복","-"))</f>
        <v/>
      </c>
      <c r="N198" s="8"/>
    </row>
    <row r="199" customFormat="false" ht="15" hidden="false" customHeight="true" outlineLevel="0" collapsed="false">
      <c r="A199" s="8"/>
      <c r="B199" s="8"/>
      <c r="C199" s="8"/>
      <c r="D199" s="10"/>
      <c r="E199" s="10"/>
      <c r="F199" s="10"/>
      <c r="G199" s="11" t="str">
        <f aca="false">IF($A199="","",IF(AND($D199="",$E199="",$F199=""),"",IF($D199="","",$D199)&amp;IF($E199="",""," × "&amp;$E199)&amp;IF($F199=""," "," × ")&amp;IF($F199="","",$F199)&amp;"t"))</f>
        <v/>
      </c>
      <c r="H199" s="12"/>
      <c r="I199" s="13" t="str">
        <f aca="false">IF($A199="","",IF(OR($D199="",$E199="",$F199="",$H199=""),"",ROUND($D199*$E199*$F199*$H199/1000000,2)))</f>
        <v/>
      </c>
      <c r="J199" s="8"/>
      <c r="K199" s="14"/>
      <c r="L199" s="8"/>
      <c r="M199" s="15" t="str">
        <f aca="false">IF($A199="","",IF(COUNTIF($A$3:$A$502,$A199)&gt;1,"중복","-"))</f>
        <v/>
      </c>
      <c r="N199" s="8"/>
    </row>
    <row r="200" customFormat="false" ht="15" hidden="false" customHeight="true" outlineLevel="0" collapsed="false">
      <c r="A200" s="8"/>
      <c r="B200" s="8"/>
      <c r="C200" s="8"/>
      <c r="D200" s="10"/>
      <c r="E200" s="10"/>
      <c r="F200" s="10"/>
      <c r="G200" s="11" t="str">
        <f aca="false">IF($A200="","",IF(AND($D200="",$E200="",$F200=""),"",IF($D200="","",$D200)&amp;IF($E200="",""," × "&amp;$E200)&amp;IF($F200=""," "," × ")&amp;IF($F200="","",$F200)&amp;"t"))</f>
        <v/>
      </c>
      <c r="H200" s="12"/>
      <c r="I200" s="13" t="str">
        <f aca="false">IF($A200="","",IF(OR($D200="",$E200="",$F200="",$H200=""),"",ROUND($D200*$E200*$F200*$H200/1000000,2)))</f>
        <v/>
      </c>
      <c r="J200" s="8"/>
      <c r="K200" s="14"/>
      <c r="L200" s="8"/>
      <c r="M200" s="15" t="str">
        <f aca="false">IF($A200="","",IF(COUNTIF($A$3:$A$502,$A200)&gt;1,"중복","-"))</f>
        <v/>
      </c>
      <c r="N200" s="8"/>
    </row>
    <row r="201" customFormat="false" ht="15" hidden="false" customHeight="true" outlineLevel="0" collapsed="false">
      <c r="A201" s="8"/>
      <c r="B201" s="8"/>
      <c r="C201" s="8"/>
      <c r="D201" s="10"/>
      <c r="E201" s="10"/>
      <c r="F201" s="10"/>
      <c r="G201" s="11" t="str">
        <f aca="false">IF($A201="","",IF(AND($D201="",$E201="",$F201=""),"",IF($D201="","",$D201)&amp;IF($E201="",""," × "&amp;$E201)&amp;IF($F201=""," "," × ")&amp;IF($F201="","",$F201)&amp;"t"))</f>
        <v/>
      </c>
      <c r="H201" s="12"/>
      <c r="I201" s="13" t="str">
        <f aca="false">IF($A201="","",IF(OR($D201="",$E201="",$F201="",$H201=""),"",ROUND($D201*$E201*$F201*$H201/1000000,2)))</f>
        <v/>
      </c>
      <c r="J201" s="8"/>
      <c r="K201" s="14"/>
      <c r="L201" s="8"/>
      <c r="M201" s="15" t="str">
        <f aca="false">IF($A201="","",IF(COUNTIF($A$3:$A$502,$A201)&gt;1,"중복","-"))</f>
        <v/>
      </c>
      <c r="N201" s="8"/>
    </row>
    <row r="202" customFormat="false" ht="15" hidden="false" customHeight="true" outlineLevel="0" collapsed="false">
      <c r="A202" s="8"/>
      <c r="B202" s="8"/>
      <c r="C202" s="8"/>
      <c r="D202" s="10"/>
      <c r="E202" s="10"/>
      <c r="F202" s="10"/>
      <c r="G202" s="11" t="str">
        <f aca="false">IF($A202="","",IF(AND($D202="",$E202="",$F202=""),"",IF($D202="","",$D202)&amp;IF($E202="",""," × "&amp;$E202)&amp;IF($F202=""," "," × ")&amp;IF($F202="","",$F202)&amp;"t"))</f>
        <v/>
      </c>
      <c r="H202" s="12"/>
      <c r="I202" s="13" t="str">
        <f aca="false">IF($A202="","",IF(OR($D202="",$E202="",$F202="",$H202=""),"",ROUND($D202*$E202*$F202*$H202/1000000,2)))</f>
        <v/>
      </c>
      <c r="J202" s="8"/>
      <c r="K202" s="14"/>
      <c r="L202" s="8"/>
      <c r="M202" s="15" t="str">
        <f aca="false">IF($A202="","",IF(COUNTIF($A$3:$A$502,$A202)&gt;1,"중복","-"))</f>
        <v/>
      </c>
      <c r="N202" s="8"/>
    </row>
    <row r="203" customFormat="false" ht="15" hidden="false" customHeight="true" outlineLevel="0" collapsed="false">
      <c r="A203" s="8"/>
      <c r="B203" s="8"/>
      <c r="C203" s="8"/>
      <c r="D203" s="10"/>
      <c r="E203" s="10"/>
      <c r="F203" s="10"/>
      <c r="G203" s="11" t="str">
        <f aca="false">IF($A203="","",IF(AND($D203="",$E203="",$F203=""),"",IF($D203="","",$D203)&amp;IF($E203="",""," × "&amp;$E203)&amp;IF($F203=""," "," × ")&amp;IF($F203="","",$F203)&amp;"t"))</f>
        <v/>
      </c>
      <c r="H203" s="12"/>
      <c r="I203" s="13" t="str">
        <f aca="false">IF($A203="","",IF(OR($D203="",$E203="",$F203="",$H203=""),"",ROUND($D203*$E203*$F203*$H203/1000000,2)))</f>
        <v/>
      </c>
      <c r="J203" s="8"/>
      <c r="K203" s="14"/>
      <c r="L203" s="8"/>
      <c r="M203" s="15" t="str">
        <f aca="false">IF($A203="","",IF(COUNTIF($A$3:$A$502,$A203)&gt;1,"중복","-"))</f>
        <v/>
      </c>
      <c r="N203" s="8"/>
    </row>
    <row r="204" customFormat="false" ht="15" hidden="false" customHeight="true" outlineLevel="0" collapsed="false">
      <c r="A204" s="8"/>
      <c r="B204" s="8"/>
      <c r="C204" s="8"/>
      <c r="D204" s="10"/>
      <c r="E204" s="10"/>
      <c r="F204" s="10"/>
      <c r="G204" s="11" t="str">
        <f aca="false">IF($A204="","",IF(AND($D204="",$E204="",$F204=""),"",IF($D204="","",$D204)&amp;IF($E204="",""," × "&amp;$E204)&amp;IF($F204=""," "," × ")&amp;IF($F204="","",$F204)&amp;"t"))</f>
        <v/>
      </c>
      <c r="H204" s="12"/>
      <c r="I204" s="13" t="str">
        <f aca="false">IF($A204="","",IF(OR($D204="",$E204="",$F204="",$H204=""),"",ROUND($D204*$E204*$F204*$H204/1000000,2)))</f>
        <v/>
      </c>
      <c r="J204" s="8"/>
      <c r="K204" s="14"/>
      <c r="L204" s="8"/>
      <c r="M204" s="15" t="str">
        <f aca="false">IF($A204="","",IF(COUNTIF($A$3:$A$502,$A204)&gt;1,"중복","-"))</f>
        <v/>
      </c>
      <c r="N204" s="8"/>
    </row>
    <row r="205" customFormat="false" ht="15" hidden="false" customHeight="true" outlineLevel="0" collapsed="false">
      <c r="A205" s="8"/>
      <c r="B205" s="8"/>
      <c r="C205" s="8"/>
      <c r="D205" s="10"/>
      <c r="E205" s="10"/>
      <c r="F205" s="10"/>
      <c r="G205" s="11" t="str">
        <f aca="false">IF($A205="","",IF(AND($D205="",$E205="",$F205=""),"",IF($D205="","",$D205)&amp;IF($E205="",""," × "&amp;$E205)&amp;IF($F205=""," "," × ")&amp;IF($F205="","",$F205)&amp;"t"))</f>
        <v/>
      </c>
      <c r="H205" s="12"/>
      <c r="I205" s="13" t="str">
        <f aca="false">IF($A205="","",IF(OR($D205="",$E205="",$F205="",$H205=""),"",ROUND($D205*$E205*$F205*$H205/1000000,2)))</f>
        <v/>
      </c>
      <c r="J205" s="8"/>
      <c r="K205" s="14"/>
      <c r="L205" s="8"/>
      <c r="M205" s="15" t="str">
        <f aca="false">IF($A205="","",IF(COUNTIF($A$3:$A$502,$A205)&gt;1,"중복","-"))</f>
        <v/>
      </c>
      <c r="N205" s="8"/>
    </row>
    <row r="206" customFormat="false" ht="15" hidden="false" customHeight="true" outlineLevel="0" collapsed="false">
      <c r="A206" s="8"/>
      <c r="B206" s="8"/>
      <c r="C206" s="8"/>
      <c r="D206" s="10"/>
      <c r="E206" s="10"/>
      <c r="F206" s="10"/>
      <c r="G206" s="11" t="str">
        <f aca="false">IF($A206="","",IF(AND($D206="",$E206="",$F206=""),"",IF($D206="","",$D206)&amp;IF($E206="",""," × "&amp;$E206)&amp;IF($F206=""," "," × ")&amp;IF($F206="","",$F206)&amp;"t"))</f>
        <v/>
      </c>
      <c r="H206" s="12"/>
      <c r="I206" s="13" t="str">
        <f aca="false">IF($A206="","",IF(OR($D206="",$E206="",$F206="",$H206=""),"",ROUND($D206*$E206*$F206*$H206/1000000,2)))</f>
        <v/>
      </c>
      <c r="J206" s="8"/>
      <c r="K206" s="14"/>
      <c r="L206" s="8"/>
      <c r="M206" s="15" t="str">
        <f aca="false">IF($A206="","",IF(COUNTIF($A$3:$A$502,$A206)&gt;1,"중복","-"))</f>
        <v/>
      </c>
      <c r="N206" s="8"/>
    </row>
    <row r="207" customFormat="false" ht="15" hidden="false" customHeight="true" outlineLevel="0" collapsed="false">
      <c r="A207" s="8"/>
      <c r="B207" s="8"/>
      <c r="C207" s="8"/>
      <c r="D207" s="10"/>
      <c r="E207" s="10"/>
      <c r="F207" s="10"/>
      <c r="G207" s="11" t="str">
        <f aca="false">IF($A207="","",IF(AND($D207="",$E207="",$F207=""),"",IF($D207="","",$D207)&amp;IF($E207="",""," × "&amp;$E207)&amp;IF($F207=""," "," × ")&amp;IF($F207="","",$F207)&amp;"t"))</f>
        <v/>
      </c>
      <c r="H207" s="12"/>
      <c r="I207" s="13" t="str">
        <f aca="false">IF($A207="","",IF(OR($D207="",$E207="",$F207="",$H207=""),"",ROUND($D207*$E207*$F207*$H207/1000000,2)))</f>
        <v/>
      </c>
      <c r="J207" s="8"/>
      <c r="K207" s="14"/>
      <c r="L207" s="8"/>
      <c r="M207" s="15" t="str">
        <f aca="false">IF($A207="","",IF(COUNTIF($A$3:$A$502,$A207)&gt;1,"중복","-"))</f>
        <v/>
      </c>
      <c r="N207" s="8"/>
    </row>
    <row r="208" customFormat="false" ht="15" hidden="false" customHeight="true" outlineLevel="0" collapsed="false">
      <c r="A208" s="8"/>
      <c r="B208" s="8"/>
      <c r="C208" s="8"/>
      <c r="D208" s="10"/>
      <c r="E208" s="10"/>
      <c r="F208" s="10"/>
      <c r="G208" s="11" t="str">
        <f aca="false">IF($A208="","",IF(AND($D208="",$E208="",$F208=""),"",IF($D208="","",$D208)&amp;IF($E208="",""," × "&amp;$E208)&amp;IF($F208=""," "," × ")&amp;IF($F208="","",$F208)&amp;"t"))</f>
        <v/>
      </c>
      <c r="H208" s="12"/>
      <c r="I208" s="13" t="str">
        <f aca="false">IF($A208="","",IF(OR($D208="",$E208="",$F208="",$H208=""),"",ROUND($D208*$E208*$F208*$H208/1000000,2)))</f>
        <v/>
      </c>
      <c r="J208" s="8"/>
      <c r="K208" s="14"/>
      <c r="L208" s="8"/>
      <c r="M208" s="15" t="str">
        <f aca="false">IF($A208="","",IF(COUNTIF($A$3:$A$502,$A208)&gt;1,"중복","-"))</f>
        <v/>
      </c>
      <c r="N208" s="8"/>
    </row>
    <row r="209" customFormat="false" ht="15" hidden="false" customHeight="true" outlineLevel="0" collapsed="false">
      <c r="A209" s="8"/>
      <c r="B209" s="8"/>
      <c r="C209" s="8"/>
      <c r="D209" s="10"/>
      <c r="E209" s="10"/>
      <c r="F209" s="10"/>
      <c r="G209" s="11" t="str">
        <f aca="false">IF($A209="","",IF(AND($D209="",$E209="",$F209=""),"",IF($D209="","",$D209)&amp;IF($E209="",""," × "&amp;$E209)&amp;IF($F209=""," "," × ")&amp;IF($F209="","",$F209)&amp;"t"))</f>
        <v/>
      </c>
      <c r="H209" s="12"/>
      <c r="I209" s="13" t="str">
        <f aca="false">IF($A209="","",IF(OR($D209="",$E209="",$F209="",$H209=""),"",ROUND($D209*$E209*$F209*$H209/1000000,2)))</f>
        <v/>
      </c>
      <c r="J209" s="8"/>
      <c r="K209" s="14"/>
      <c r="L209" s="8"/>
      <c r="M209" s="15" t="str">
        <f aca="false">IF($A209="","",IF(COUNTIF($A$3:$A$502,$A209)&gt;1,"중복","-"))</f>
        <v/>
      </c>
      <c r="N209" s="8"/>
    </row>
    <row r="210" customFormat="false" ht="15" hidden="false" customHeight="true" outlineLevel="0" collapsed="false">
      <c r="A210" s="8"/>
      <c r="B210" s="8"/>
      <c r="C210" s="8"/>
      <c r="D210" s="10"/>
      <c r="E210" s="10"/>
      <c r="F210" s="10"/>
      <c r="G210" s="11" t="str">
        <f aca="false">IF($A210="","",IF(AND($D210="",$E210="",$F210=""),"",IF($D210="","",$D210)&amp;IF($E210="",""," × "&amp;$E210)&amp;IF($F210=""," "," × ")&amp;IF($F210="","",$F210)&amp;"t"))</f>
        <v/>
      </c>
      <c r="H210" s="12"/>
      <c r="I210" s="13" t="str">
        <f aca="false">IF($A210="","",IF(OR($D210="",$E210="",$F210="",$H210=""),"",ROUND($D210*$E210*$F210*$H210/1000000,2)))</f>
        <v/>
      </c>
      <c r="J210" s="8"/>
      <c r="K210" s="14"/>
      <c r="L210" s="8"/>
      <c r="M210" s="15" t="str">
        <f aca="false">IF($A210="","",IF(COUNTIF($A$3:$A$502,$A210)&gt;1,"중복","-"))</f>
        <v/>
      </c>
      <c r="N210" s="8"/>
    </row>
    <row r="211" customFormat="false" ht="15" hidden="false" customHeight="true" outlineLevel="0" collapsed="false">
      <c r="A211" s="8"/>
      <c r="B211" s="8"/>
      <c r="C211" s="8"/>
      <c r="D211" s="10"/>
      <c r="E211" s="10"/>
      <c r="F211" s="10"/>
      <c r="G211" s="11" t="str">
        <f aca="false">IF($A211="","",IF(AND($D211="",$E211="",$F211=""),"",IF($D211="","",$D211)&amp;IF($E211="",""," × "&amp;$E211)&amp;IF($F211=""," "," × ")&amp;IF($F211="","",$F211)&amp;"t"))</f>
        <v/>
      </c>
      <c r="H211" s="12"/>
      <c r="I211" s="13" t="str">
        <f aca="false">IF($A211="","",IF(OR($D211="",$E211="",$F211="",$H211=""),"",ROUND($D211*$E211*$F211*$H211/1000000,2)))</f>
        <v/>
      </c>
      <c r="J211" s="8"/>
      <c r="K211" s="14"/>
      <c r="L211" s="8"/>
      <c r="M211" s="15" t="str">
        <f aca="false">IF($A211="","",IF(COUNTIF($A$3:$A$502,$A211)&gt;1,"중복","-"))</f>
        <v/>
      </c>
      <c r="N211" s="8"/>
    </row>
    <row r="212" customFormat="false" ht="15" hidden="false" customHeight="true" outlineLevel="0" collapsed="false">
      <c r="A212" s="8"/>
      <c r="B212" s="8"/>
      <c r="C212" s="8"/>
      <c r="D212" s="10"/>
      <c r="E212" s="10"/>
      <c r="F212" s="10"/>
      <c r="G212" s="11" t="str">
        <f aca="false">IF($A212="","",IF(AND($D212="",$E212="",$F212=""),"",IF($D212="","",$D212)&amp;IF($E212="",""," × "&amp;$E212)&amp;IF($F212=""," "," × ")&amp;IF($F212="","",$F212)&amp;"t"))</f>
        <v/>
      </c>
      <c r="H212" s="12"/>
      <c r="I212" s="13" t="str">
        <f aca="false">IF($A212="","",IF(OR($D212="",$E212="",$F212="",$H212=""),"",ROUND($D212*$E212*$F212*$H212/1000000,2)))</f>
        <v/>
      </c>
      <c r="J212" s="8"/>
      <c r="K212" s="14"/>
      <c r="L212" s="8"/>
      <c r="M212" s="15" t="str">
        <f aca="false">IF($A212="","",IF(COUNTIF($A$3:$A$502,$A212)&gt;1,"중복","-"))</f>
        <v/>
      </c>
      <c r="N212" s="8"/>
    </row>
    <row r="213" customFormat="false" ht="15" hidden="false" customHeight="true" outlineLevel="0" collapsed="false">
      <c r="A213" s="8"/>
      <c r="B213" s="8"/>
      <c r="C213" s="8"/>
      <c r="D213" s="10"/>
      <c r="E213" s="10"/>
      <c r="F213" s="10"/>
      <c r="G213" s="11" t="str">
        <f aca="false">IF($A213="","",IF(AND($D213="",$E213="",$F213=""),"",IF($D213="","",$D213)&amp;IF($E213="",""," × "&amp;$E213)&amp;IF($F213=""," "," × ")&amp;IF($F213="","",$F213)&amp;"t"))</f>
        <v/>
      </c>
      <c r="H213" s="12"/>
      <c r="I213" s="13" t="str">
        <f aca="false">IF($A213="","",IF(OR($D213="",$E213="",$F213="",$H213=""),"",ROUND($D213*$E213*$F213*$H213/1000000,2)))</f>
        <v/>
      </c>
      <c r="J213" s="8"/>
      <c r="K213" s="14"/>
      <c r="L213" s="8"/>
      <c r="M213" s="15" t="str">
        <f aca="false">IF($A213="","",IF(COUNTIF($A$3:$A$502,$A213)&gt;1,"중복","-"))</f>
        <v/>
      </c>
      <c r="N213" s="8"/>
    </row>
    <row r="214" customFormat="false" ht="15" hidden="false" customHeight="true" outlineLevel="0" collapsed="false">
      <c r="A214" s="8"/>
      <c r="B214" s="8"/>
      <c r="C214" s="8"/>
      <c r="D214" s="10"/>
      <c r="E214" s="10"/>
      <c r="F214" s="10"/>
      <c r="G214" s="11" t="str">
        <f aca="false">IF($A214="","",IF(AND($D214="",$E214="",$F214=""),"",IF($D214="","",$D214)&amp;IF($E214="",""," × "&amp;$E214)&amp;IF($F214=""," "," × ")&amp;IF($F214="","",$F214)&amp;"t"))</f>
        <v/>
      </c>
      <c r="H214" s="12"/>
      <c r="I214" s="13" t="str">
        <f aca="false">IF($A214="","",IF(OR($D214="",$E214="",$F214="",$H214=""),"",ROUND($D214*$E214*$F214*$H214/1000000,2)))</f>
        <v/>
      </c>
      <c r="J214" s="8"/>
      <c r="K214" s="14"/>
      <c r="L214" s="8"/>
      <c r="M214" s="15" t="str">
        <f aca="false">IF($A214="","",IF(COUNTIF($A$3:$A$502,$A214)&gt;1,"중복","-"))</f>
        <v/>
      </c>
      <c r="N214" s="8"/>
    </row>
    <row r="215" customFormat="false" ht="15" hidden="false" customHeight="true" outlineLevel="0" collapsed="false">
      <c r="A215" s="8"/>
      <c r="B215" s="8"/>
      <c r="C215" s="8"/>
      <c r="D215" s="10"/>
      <c r="E215" s="10"/>
      <c r="F215" s="10"/>
      <c r="G215" s="11" t="str">
        <f aca="false">IF($A215="","",IF(AND($D215="",$E215="",$F215=""),"",IF($D215="","",$D215)&amp;IF($E215="",""," × "&amp;$E215)&amp;IF($F215=""," "," × ")&amp;IF($F215="","",$F215)&amp;"t"))</f>
        <v/>
      </c>
      <c r="H215" s="12"/>
      <c r="I215" s="13" t="str">
        <f aca="false">IF($A215="","",IF(OR($D215="",$E215="",$F215="",$H215=""),"",ROUND($D215*$E215*$F215*$H215/1000000,2)))</f>
        <v/>
      </c>
      <c r="J215" s="8"/>
      <c r="K215" s="14"/>
      <c r="L215" s="8"/>
      <c r="M215" s="15" t="str">
        <f aca="false">IF($A215="","",IF(COUNTIF($A$3:$A$502,$A215)&gt;1,"중복","-"))</f>
        <v/>
      </c>
      <c r="N215" s="8"/>
    </row>
    <row r="216" customFormat="false" ht="15" hidden="false" customHeight="true" outlineLevel="0" collapsed="false">
      <c r="A216" s="8"/>
      <c r="B216" s="8"/>
      <c r="C216" s="8"/>
      <c r="D216" s="10"/>
      <c r="E216" s="10"/>
      <c r="F216" s="10"/>
      <c r="G216" s="11" t="str">
        <f aca="false">IF($A216="","",IF(AND($D216="",$E216="",$F216=""),"",IF($D216="","",$D216)&amp;IF($E216="",""," × "&amp;$E216)&amp;IF($F216=""," "," × ")&amp;IF($F216="","",$F216)&amp;"t"))</f>
        <v/>
      </c>
      <c r="H216" s="12"/>
      <c r="I216" s="13" t="str">
        <f aca="false">IF($A216="","",IF(OR($D216="",$E216="",$F216="",$H216=""),"",ROUND($D216*$E216*$F216*$H216/1000000,2)))</f>
        <v/>
      </c>
      <c r="J216" s="8"/>
      <c r="K216" s="14"/>
      <c r="L216" s="8"/>
      <c r="M216" s="15" t="str">
        <f aca="false">IF($A216="","",IF(COUNTIF($A$3:$A$502,$A216)&gt;1,"중복","-"))</f>
        <v/>
      </c>
      <c r="N216" s="8"/>
    </row>
    <row r="217" customFormat="false" ht="15" hidden="false" customHeight="true" outlineLevel="0" collapsed="false">
      <c r="A217" s="8"/>
      <c r="B217" s="8"/>
      <c r="C217" s="8"/>
      <c r="D217" s="10"/>
      <c r="E217" s="10"/>
      <c r="F217" s="10"/>
      <c r="G217" s="11" t="str">
        <f aca="false">IF($A217="","",IF(AND($D217="",$E217="",$F217=""),"",IF($D217="","",$D217)&amp;IF($E217="",""," × "&amp;$E217)&amp;IF($F217=""," "," × ")&amp;IF($F217="","",$F217)&amp;"t"))</f>
        <v/>
      </c>
      <c r="H217" s="12"/>
      <c r="I217" s="13" t="str">
        <f aca="false">IF($A217="","",IF(OR($D217="",$E217="",$F217="",$H217=""),"",ROUND($D217*$E217*$F217*$H217/1000000,2)))</f>
        <v/>
      </c>
      <c r="J217" s="8"/>
      <c r="K217" s="14"/>
      <c r="L217" s="8"/>
      <c r="M217" s="15" t="str">
        <f aca="false">IF($A217="","",IF(COUNTIF($A$3:$A$502,$A217)&gt;1,"중복","-"))</f>
        <v/>
      </c>
      <c r="N217" s="8"/>
    </row>
    <row r="218" customFormat="false" ht="15" hidden="false" customHeight="true" outlineLevel="0" collapsed="false">
      <c r="A218" s="8"/>
      <c r="B218" s="8"/>
      <c r="C218" s="8"/>
      <c r="D218" s="10"/>
      <c r="E218" s="10"/>
      <c r="F218" s="10"/>
      <c r="G218" s="11" t="str">
        <f aca="false">IF($A218="","",IF(AND($D218="",$E218="",$F218=""),"",IF($D218="","",$D218)&amp;IF($E218="",""," × "&amp;$E218)&amp;IF($F218=""," "," × ")&amp;IF($F218="","",$F218)&amp;"t"))</f>
        <v/>
      </c>
      <c r="H218" s="12"/>
      <c r="I218" s="13" t="str">
        <f aca="false">IF($A218="","",IF(OR($D218="",$E218="",$F218="",$H218=""),"",ROUND($D218*$E218*$F218*$H218/1000000,2)))</f>
        <v/>
      </c>
      <c r="J218" s="8"/>
      <c r="K218" s="14"/>
      <c r="L218" s="8"/>
      <c r="M218" s="15" t="str">
        <f aca="false">IF($A218="","",IF(COUNTIF($A$3:$A$502,$A218)&gt;1,"중복","-"))</f>
        <v/>
      </c>
      <c r="N218" s="8"/>
    </row>
    <row r="219" customFormat="false" ht="15" hidden="false" customHeight="true" outlineLevel="0" collapsed="false">
      <c r="A219" s="8"/>
      <c r="B219" s="8"/>
      <c r="C219" s="8"/>
      <c r="D219" s="10"/>
      <c r="E219" s="10"/>
      <c r="F219" s="10"/>
      <c r="G219" s="11" t="str">
        <f aca="false">IF($A219="","",IF(AND($D219="",$E219="",$F219=""),"",IF($D219="","",$D219)&amp;IF($E219="",""," × "&amp;$E219)&amp;IF($F219=""," "," × ")&amp;IF($F219="","",$F219)&amp;"t"))</f>
        <v/>
      </c>
      <c r="H219" s="12"/>
      <c r="I219" s="13" t="str">
        <f aca="false">IF($A219="","",IF(OR($D219="",$E219="",$F219="",$H219=""),"",ROUND($D219*$E219*$F219*$H219/1000000,2)))</f>
        <v/>
      </c>
      <c r="J219" s="8"/>
      <c r="K219" s="14"/>
      <c r="L219" s="8"/>
      <c r="M219" s="15" t="str">
        <f aca="false">IF($A219="","",IF(COUNTIF($A$3:$A$502,$A219)&gt;1,"중복","-"))</f>
        <v/>
      </c>
      <c r="N219" s="8"/>
    </row>
    <row r="220" customFormat="false" ht="15" hidden="false" customHeight="true" outlineLevel="0" collapsed="false">
      <c r="A220" s="8"/>
      <c r="B220" s="8"/>
      <c r="C220" s="8"/>
      <c r="D220" s="10"/>
      <c r="E220" s="10"/>
      <c r="F220" s="10"/>
      <c r="G220" s="11" t="str">
        <f aca="false">IF($A220="","",IF(AND($D220="",$E220="",$F220=""),"",IF($D220="","",$D220)&amp;IF($E220="",""," × "&amp;$E220)&amp;IF($F220=""," "," × ")&amp;IF($F220="","",$F220)&amp;"t"))</f>
        <v/>
      </c>
      <c r="H220" s="12"/>
      <c r="I220" s="13" t="str">
        <f aca="false">IF($A220="","",IF(OR($D220="",$E220="",$F220="",$H220=""),"",ROUND($D220*$E220*$F220*$H220/1000000,2)))</f>
        <v/>
      </c>
      <c r="J220" s="8"/>
      <c r="K220" s="14"/>
      <c r="L220" s="8"/>
      <c r="M220" s="15" t="str">
        <f aca="false">IF($A220="","",IF(COUNTIF($A$3:$A$502,$A220)&gt;1,"중복","-"))</f>
        <v/>
      </c>
      <c r="N220" s="8"/>
    </row>
    <row r="221" customFormat="false" ht="15" hidden="false" customHeight="true" outlineLevel="0" collapsed="false">
      <c r="A221" s="8"/>
      <c r="B221" s="8"/>
      <c r="C221" s="8"/>
      <c r="D221" s="10"/>
      <c r="E221" s="10"/>
      <c r="F221" s="10"/>
      <c r="G221" s="11" t="str">
        <f aca="false">IF($A221="","",IF(AND($D221="",$E221="",$F221=""),"",IF($D221="","",$D221)&amp;IF($E221="",""," × "&amp;$E221)&amp;IF($F221=""," "," × ")&amp;IF($F221="","",$F221)&amp;"t"))</f>
        <v/>
      </c>
      <c r="H221" s="12"/>
      <c r="I221" s="13" t="str">
        <f aca="false">IF($A221="","",IF(OR($D221="",$E221="",$F221="",$H221=""),"",ROUND($D221*$E221*$F221*$H221/1000000,2)))</f>
        <v/>
      </c>
      <c r="J221" s="8"/>
      <c r="K221" s="14"/>
      <c r="L221" s="8"/>
      <c r="M221" s="15" t="str">
        <f aca="false">IF($A221="","",IF(COUNTIF($A$3:$A$502,$A221)&gt;1,"중복","-"))</f>
        <v/>
      </c>
      <c r="N221" s="8"/>
    </row>
    <row r="222" customFormat="false" ht="15" hidden="false" customHeight="true" outlineLevel="0" collapsed="false">
      <c r="A222" s="8"/>
      <c r="B222" s="8"/>
      <c r="C222" s="8"/>
      <c r="D222" s="10"/>
      <c r="E222" s="10"/>
      <c r="F222" s="10"/>
      <c r="G222" s="11" t="str">
        <f aca="false">IF($A222="","",IF(AND($D222="",$E222="",$F222=""),"",IF($D222="","",$D222)&amp;IF($E222="",""," × "&amp;$E222)&amp;IF($F222=""," "," × ")&amp;IF($F222="","",$F222)&amp;"t"))</f>
        <v/>
      </c>
      <c r="H222" s="12"/>
      <c r="I222" s="13" t="str">
        <f aca="false">IF($A222="","",IF(OR($D222="",$E222="",$F222="",$H222=""),"",ROUND($D222*$E222*$F222*$H222/1000000,2)))</f>
        <v/>
      </c>
      <c r="J222" s="8"/>
      <c r="K222" s="14"/>
      <c r="L222" s="8"/>
      <c r="M222" s="15" t="str">
        <f aca="false">IF($A222="","",IF(COUNTIF($A$3:$A$502,$A222)&gt;1,"중복","-"))</f>
        <v/>
      </c>
      <c r="N222" s="8"/>
    </row>
    <row r="223" customFormat="false" ht="15" hidden="false" customHeight="true" outlineLevel="0" collapsed="false">
      <c r="A223" s="8"/>
      <c r="B223" s="8"/>
      <c r="C223" s="8"/>
      <c r="D223" s="10"/>
      <c r="E223" s="10"/>
      <c r="F223" s="10"/>
      <c r="G223" s="11" t="str">
        <f aca="false">IF($A223="","",IF(AND($D223="",$E223="",$F223=""),"",IF($D223="","",$D223)&amp;IF($E223="",""," × "&amp;$E223)&amp;IF($F223=""," "," × ")&amp;IF($F223="","",$F223)&amp;"t"))</f>
        <v/>
      </c>
      <c r="H223" s="12"/>
      <c r="I223" s="13" t="str">
        <f aca="false">IF($A223="","",IF(OR($D223="",$E223="",$F223="",$H223=""),"",ROUND($D223*$E223*$F223*$H223/1000000,2)))</f>
        <v/>
      </c>
      <c r="J223" s="8"/>
      <c r="K223" s="14"/>
      <c r="L223" s="8"/>
      <c r="M223" s="15" t="str">
        <f aca="false">IF($A223="","",IF(COUNTIF($A$3:$A$502,$A223)&gt;1,"중복","-"))</f>
        <v/>
      </c>
      <c r="N223" s="8"/>
    </row>
    <row r="224" customFormat="false" ht="15" hidden="false" customHeight="true" outlineLevel="0" collapsed="false">
      <c r="A224" s="8"/>
      <c r="B224" s="8"/>
      <c r="C224" s="8"/>
      <c r="D224" s="10"/>
      <c r="E224" s="10"/>
      <c r="F224" s="10"/>
      <c r="G224" s="11" t="str">
        <f aca="false">IF($A224="","",IF(AND($D224="",$E224="",$F224=""),"",IF($D224="","",$D224)&amp;IF($E224="",""," × "&amp;$E224)&amp;IF($F224=""," "," × ")&amp;IF($F224="","",$F224)&amp;"t"))</f>
        <v/>
      </c>
      <c r="H224" s="12"/>
      <c r="I224" s="13" t="str">
        <f aca="false">IF($A224="","",IF(OR($D224="",$E224="",$F224="",$H224=""),"",ROUND($D224*$E224*$F224*$H224/1000000,2)))</f>
        <v/>
      </c>
      <c r="J224" s="8"/>
      <c r="K224" s="14"/>
      <c r="L224" s="8"/>
      <c r="M224" s="15" t="str">
        <f aca="false">IF($A224="","",IF(COUNTIF($A$3:$A$502,$A224)&gt;1,"중복","-"))</f>
        <v/>
      </c>
      <c r="N224" s="8"/>
    </row>
    <row r="225" customFormat="false" ht="15" hidden="false" customHeight="true" outlineLevel="0" collapsed="false">
      <c r="A225" s="8"/>
      <c r="B225" s="8"/>
      <c r="C225" s="8"/>
      <c r="D225" s="10"/>
      <c r="E225" s="10"/>
      <c r="F225" s="10"/>
      <c r="G225" s="11" t="str">
        <f aca="false">IF($A225="","",IF(AND($D225="",$E225="",$F225=""),"",IF($D225="","",$D225)&amp;IF($E225="",""," × "&amp;$E225)&amp;IF($F225=""," "," × ")&amp;IF($F225="","",$F225)&amp;"t"))</f>
        <v/>
      </c>
      <c r="H225" s="12"/>
      <c r="I225" s="13" t="str">
        <f aca="false">IF($A225="","",IF(OR($D225="",$E225="",$F225="",$H225=""),"",ROUND($D225*$E225*$F225*$H225/1000000,2)))</f>
        <v/>
      </c>
      <c r="J225" s="8"/>
      <c r="K225" s="14"/>
      <c r="L225" s="8"/>
      <c r="M225" s="15" t="str">
        <f aca="false">IF($A225="","",IF(COUNTIF($A$3:$A$502,$A225)&gt;1,"중복","-"))</f>
        <v/>
      </c>
      <c r="N225" s="8"/>
    </row>
    <row r="226" customFormat="false" ht="15" hidden="false" customHeight="true" outlineLevel="0" collapsed="false">
      <c r="A226" s="8"/>
      <c r="B226" s="8"/>
      <c r="C226" s="8"/>
      <c r="D226" s="10"/>
      <c r="E226" s="10"/>
      <c r="F226" s="10"/>
      <c r="G226" s="11" t="str">
        <f aca="false">IF($A226="","",IF(AND($D226="",$E226="",$F226=""),"",IF($D226="","",$D226)&amp;IF($E226="",""," × "&amp;$E226)&amp;IF($F226=""," "," × ")&amp;IF($F226="","",$F226)&amp;"t"))</f>
        <v/>
      </c>
      <c r="H226" s="12"/>
      <c r="I226" s="13" t="str">
        <f aca="false">IF($A226="","",IF(OR($D226="",$E226="",$F226="",$H226=""),"",ROUND($D226*$E226*$F226*$H226/1000000,2)))</f>
        <v/>
      </c>
      <c r="J226" s="8"/>
      <c r="K226" s="14"/>
      <c r="L226" s="8"/>
      <c r="M226" s="15" t="str">
        <f aca="false">IF($A226="","",IF(COUNTIF($A$3:$A$502,$A226)&gt;1,"중복","-"))</f>
        <v/>
      </c>
      <c r="N226" s="8"/>
    </row>
    <row r="227" customFormat="false" ht="15" hidden="false" customHeight="true" outlineLevel="0" collapsed="false">
      <c r="A227" s="8"/>
      <c r="B227" s="8"/>
      <c r="C227" s="8"/>
      <c r="D227" s="10"/>
      <c r="E227" s="10"/>
      <c r="F227" s="10"/>
      <c r="G227" s="11" t="str">
        <f aca="false">IF($A227="","",IF(AND($D227="",$E227="",$F227=""),"",IF($D227="","",$D227)&amp;IF($E227="",""," × "&amp;$E227)&amp;IF($F227=""," "," × ")&amp;IF($F227="","",$F227)&amp;"t"))</f>
        <v/>
      </c>
      <c r="H227" s="12"/>
      <c r="I227" s="13" t="str">
        <f aca="false">IF($A227="","",IF(OR($D227="",$E227="",$F227="",$H227=""),"",ROUND($D227*$E227*$F227*$H227/1000000,2)))</f>
        <v/>
      </c>
      <c r="J227" s="8"/>
      <c r="K227" s="14"/>
      <c r="L227" s="8"/>
      <c r="M227" s="15" t="str">
        <f aca="false">IF($A227="","",IF(COUNTIF($A$3:$A$502,$A227)&gt;1,"중복","-"))</f>
        <v/>
      </c>
      <c r="N227" s="8"/>
    </row>
    <row r="228" customFormat="false" ht="15" hidden="false" customHeight="true" outlineLevel="0" collapsed="false">
      <c r="A228" s="8"/>
      <c r="B228" s="8"/>
      <c r="C228" s="8"/>
      <c r="D228" s="10"/>
      <c r="E228" s="10"/>
      <c r="F228" s="10"/>
      <c r="G228" s="11" t="str">
        <f aca="false">IF($A228="","",IF(AND($D228="",$E228="",$F228=""),"",IF($D228="","",$D228)&amp;IF($E228="",""," × "&amp;$E228)&amp;IF($F228=""," "," × ")&amp;IF($F228="","",$F228)&amp;"t"))</f>
        <v/>
      </c>
      <c r="H228" s="12"/>
      <c r="I228" s="13" t="str">
        <f aca="false">IF($A228="","",IF(OR($D228="",$E228="",$F228="",$H228=""),"",ROUND($D228*$E228*$F228*$H228/1000000,2)))</f>
        <v/>
      </c>
      <c r="J228" s="8"/>
      <c r="K228" s="14"/>
      <c r="L228" s="8"/>
      <c r="M228" s="15" t="str">
        <f aca="false">IF($A228="","",IF(COUNTIF($A$3:$A$502,$A228)&gt;1,"중복","-"))</f>
        <v/>
      </c>
      <c r="N228" s="8"/>
    </row>
    <row r="229" customFormat="false" ht="15" hidden="false" customHeight="true" outlineLevel="0" collapsed="false">
      <c r="A229" s="8"/>
      <c r="B229" s="8"/>
      <c r="C229" s="8"/>
      <c r="D229" s="10"/>
      <c r="E229" s="10"/>
      <c r="F229" s="10"/>
      <c r="G229" s="11" t="str">
        <f aca="false">IF($A229="","",IF(AND($D229="",$E229="",$F229=""),"",IF($D229="","",$D229)&amp;IF($E229="",""," × "&amp;$E229)&amp;IF($F229=""," "," × ")&amp;IF($F229="","",$F229)&amp;"t"))</f>
        <v/>
      </c>
      <c r="H229" s="12"/>
      <c r="I229" s="13" t="str">
        <f aca="false">IF($A229="","",IF(OR($D229="",$E229="",$F229="",$H229=""),"",ROUND($D229*$E229*$F229*$H229/1000000,2)))</f>
        <v/>
      </c>
      <c r="J229" s="8"/>
      <c r="K229" s="14"/>
      <c r="L229" s="8"/>
      <c r="M229" s="15" t="str">
        <f aca="false">IF($A229="","",IF(COUNTIF($A$3:$A$502,$A229)&gt;1,"중복","-"))</f>
        <v/>
      </c>
      <c r="N229" s="8"/>
    </row>
    <row r="230" customFormat="false" ht="15" hidden="false" customHeight="true" outlineLevel="0" collapsed="false">
      <c r="A230" s="8"/>
      <c r="B230" s="8"/>
      <c r="C230" s="8"/>
      <c r="D230" s="10"/>
      <c r="E230" s="10"/>
      <c r="F230" s="10"/>
      <c r="G230" s="11" t="str">
        <f aca="false">IF($A230="","",IF(AND($D230="",$E230="",$F230=""),"",IF($D230="","",$D230)&amp;IF($E230="",""," × "&amp;$E230)&amp;IF($F230=""," "," × ")&amp;IF($F230="","",$F230)&amp;"t"))</f>
        <v/>
      </c>
      <c r="H230" s="12"/>
      <c r="I230" s="13" t="str">
        <f aca="false">IF($A230="","",IF(OR($D230="",$E230="",$F230="",$H230=""),"",ROUND($D230*$E230*$F230*$H230/1000000,2)))</f>
        <v/>
      </c>
      <c r="J230" s="8"/>
      <c r="K230" s="14"/>
      <c r="L230" s="8"/>
      <c r="M230" s="15" t="str">
        <f aca="false">IF($A230="","",IF(COUNTIF($A$3:$A$502,$A230)&gt;1,"중복","-"))</f>
        <v/>
      </c>
      <c r="N230" s="8"/>
    </row>
    <row r="231" customFormat="false" ht="15" hidden="false" customHeight="true" outlineLevel="0" collapsed="false">
      <c r="A231" s="8"/>
      <c r="B231" s="8"/>
      <c r="C231" s="8"/>
      <c r="D231" s="10"/>
      <c r="E231" s="10"/>
      <c r="F231" s="10"/>
      <c r="G231" s="11" t="str">
        <f aca="false">IF($A231="","",IF(AND($D231="",$E231="",$F231=""),"",IF($D231="","",$D231)&amp;IF($E231="",""," × "&amp;$E231)&amp;IF($F231=""," "," × ")&amp;IF($F231="","",$F231)&amp;"t"))</f>
        <v/>
      </c>
      <c r="H231" s="12"/>
      <c r="I231" s="13" t="str">
        <f aca="false">IF($A231="","",IF(OR($D231="",$E231="",$F231="",$H231=""),"",ROUND($D231*$E231*$F231*$H231/1000000,2)))</f>
        <v/>
      </c>
      <c r="J231" s="8"/>
      <c r="K231" s="14"/>
      <c r="L231" s="8"/>
      <c r="M231" s="15" t="str">
        <f aca="false">IF($A231="","",IF(COUNTIF($A$3:$A$502,$A231)&gt;1,"중복","-"))</f>
        <v/>
      </c>
      <c r="N231" s="8"/>
    </row>
    <row r="232" customFormat="false" ht="15" hidden="false" customHeight="true" outlineLevel="0" collapsed="false">
      <c r="A232" s="8"/>
      <c r="B232" s="8"/>
      <c r="C232" s="8"/>
      <c r="D232" s="10"/>
      <c r="E232" s="10"/>
      <c r="F232" s="10"/>
      <c r="G232" s="11" t="str">
        <f aca="false">IF($A232="","",IF(AND($D232="",$E232="",$F232=""),"",IF($D232="","",$D232)&amp;IF($E232="",""," × "&amp;$E232)&amp;IF($F232=""," "," × ")&amp;IF($F232="","",$F232)&amp;"t"))</f>
        <v/>
      </c>
      <c r="H232" s="12"/>
      <c r="I232" s="13" t="str">
        <f aca="false">IF($A232="","",IF(OR($D232="",$E232="",$F232="",$H232=""),"",ROUND($D232*$E232*$F232*$H232/1000000,2)))</f>
        <v/>
      </c>
      <c r="J232" s="8"/>
      <c r="K232" s="14"/>
      <c r="L232" s="8"/>
      <c r="M232" s="15" t="str">
        <f aca="false">IF($A232="","",IF(COUNTIF($A$3:$A$502,$A232)&gt;1,"중복","-"))</f>
        <v/>
      </c>
      <c r="N232" s="8"/>
    </row>
    <row r="233" customFormat="false" ht="15" hidden="false" customHeight="true" outlineLevel="0" collapsed="false">
      <c r="A233" s="8"/>
      <c r="B233" s="8"/>
      <c r="C233" s="8"/>
      <c r="D233" s="10"/>
      <c r="E233" s="10"/>
      <c r="F233" s="10"/>
      <c r="G233" s="11" t="str">
        <f aca="false">IF($A233="","",IF(AND($D233="",$E233="",$F233=""),"",IF($D233="","",$D233)&amp;IF($E233="",""," × "&amp;$E233)&amp;IF($F233=""," "," × ")&amp;IF($F233="","",$F233)&amp;"t"))</f>
        <v/>
      </c>
      <c r="H233" s="12"/>
      <c r="I233" s="13" t="str">
        <f aca="false">IF($A233="","",IF(OR($D233="",$E233="",$F233="",$H233=""),"",ROUND($D233*$E233*$F233*$H233/1000000,2)))</f>
        <v/>
      </c>
      <c r="J233" s="8"/>
      <c r="K233" s="14"/>
      <c r="L233" s="8"/>
      <c r="M233" s="15" t="str">
        <f aca="false">IF($A233="","",IF(COUNTIF($A$3:$A$502,$A233)&gt;1,"중복","-"))</f>
        <v/>
      </c>
      <c r="N233" s="8"/>
    </row>
    <row r="234" customFormat="false" ht="15" hidden="false" customHeight="true" outlineLevel="0" collapsed="false">
      <c r="A234" s="8"/>
      <c r="B234" s="8"/>
      <c r="C234" s="8"/>
      <c r="D234" s="10"/>
      <c r="E234" s="10"/>
      <c r="F234" s="10"/>
      <c r="G234" s="11" t="str">
        <f aca="false">IF($A234="","",IF(AND($D234="",$E234="",$F234=""),"",IF($D234="","",$D234)&amp;IF($E234="",""," × "&amp;$E234)&amp;IF($F234=""," "," × ")&amp;IF($F234="","",$F234)&amp;"t"))</f>
        <v/>
      </c>
      <c r="H234" s="12"/>
      <c r="I234" s="13" t="str">
        <f aca="false">IF($A234="","",IF(OR($D234="",$E234="",$F234="",$H234=""),"",ROUND($D234*$E234*$F234*$H234/1000000,2)))</f>
        <v/>
      </c>
      <c r="J234" s="8"/>
      <c r="K234" s="14"/>
      <c r="L234" s="8"/>
      <c r="M234" s="15" t="str">
        <f aca="false">IF($A234="","",IF(COUNTIF($A$3:$A$502,$A234)&gt;1,"중복","-"))</f>
        <v/>
      </c>
      <c r="N234" s="8"/>
    </row>
    <row r="235" customFormat="false" ht="15" hidden="false" customHeight="true" outlineLevel="0" collapsed="false">
      <c r="A235" s="8"/>
      <c r="B235" s="8"/>
      <c r="C235" s="8"/>
      <c r="D235" s="10"/>
      <c r="E235" s="10"/>
      <c r="F235" s="10"/>
      <c r="G235" s="11" t="str">
        <f aca="false">IF($A235="","",IF(AND($D235="",$E235="",$F235=""),"",IF($D235="","",$D235)&amp;IF($E235="",""," × "&amp;$E235)&amp;IF($F235=""," "," × ")&amp;IF($F235="","",$F235)&amp;"t"))</f>
        <v/>
      </c>
      <c r="H235" s="12"/>
      <c r="I235" s="13" t="str">
        <f aca="false">IF($A235="","",IF(OR($D235="",$E235="",$F235="",$H235=""),"",ROUND($D235*$E235*$F235*$H235/1000000,2)))</f>
        <v/>
      </c>
      <c r="J235" s="8"/>
      <c r="K235" s="14"/>
      <c r="L235" s="8"/>
      <c r="M235" s="15" t="str">
        <f aca="false">IF($A235="","",IF(COUNTIF($A$3:$A$502,$A235)&gt;1,"중복","-"))</f>
        <v/>
      </c>
      <c r="N235" s="8"/>
    </row>
    <row r="236" customFormat="false" ht="15" hidden="false" customHeight="true" outlineLevel="0" collapsed="false">
      <c r="A236" s="8"/>
      <c r="B236" s="8"/>
      <c r="C236" s="8"/>
      <c r="D236" s="10"/>
      <c r="E236" s="10"/>
      <c r="F236" s="10"/>
      <c r="G236" s="11" t="str">
        <f aca="false">IF($A236="","",IF(AND($D236="",$E236="",$F236=""),"",IF($D236="","",$D236)&amp;IF($E236="",""," × "&amp;$E236)&amp;IF($F236=""," "," × ")&amp;IF($F236="","",$F236)&amp;"t"))</f>
        <v/>
      </c>
      <c r="H236" s="12"/>
      <c r="I236" s="13" t="str">
        <f aca="false">IF($A236="","",IF(OR($D236="",$E236="",$F236="",$H236=""),"",ROUND($D236*$E236*$F236*$H236/1000000,2)))</f>
        <v/>
      </c>
      <c r="J236" s="8"/>
      <c r="K236" s="14"/>
      <c r="L236" s="8"/>
      <c r="M236" s="15" t="str">
        <f aca="false">IF($A236="","",IF(COUNTIF($A$3:$A$502,$A236)&gt;1,"중복","-"))</f>
        <v/>
      </c>
      <c r="N236" s="8"/>
    </row>
    <row r="237" customFormat="false" ht="15" hidden="false" customHeight="true" outlineLevel="0" collapsed="false">
      <c r="A237" s="8"/>
      <c r="B237" s="8"/>
      <c r="C237" s="8"/>
      <c r="D237" s="10"/>
      <c r="E237" s="10"/>
      <c r="F237" s="10"/>
      <c r="G237" s="11" t="str">
        <f aca="false">IF($A237="","",IF(AND($D237="",$E237="",$F237=""),"",IF($D237="","",$D237)&amp;IF($E237="",""," × "&amp;$E237)&amp;IF($F237=""," "," × ")&amp;IF($F237="","",$F237)&amp;"t"))</f>
        <v/>
      </c>
      <c r="H237" s="12"/>
      <c r="I237" s="13" t="str">
        <f aca="false">IF($A237="","",IF(OR($D237="",$E237="",$F237="",$H237=""),"",ROUND($D237*$E237*$F237*$H237/1000000,2)))</f>
        <v/>
      </c>
      <c r="J237" s="8"/>
      <c r="K237" s="14"/>
      <c r="L237" s="8"/>
      <c r="M237" s="15" t="str">
        <f aca="false">IF($A237="","",IF(COUNTIF($A$3:$A$502,$A237)&gt;1,"중복","-"))</f>
        <v/>
      </c>
      <c r="N237" s="8"/>
    </row>
    <row r="238" customFormat="false" ht="15" hidden="false" customHeight="true" outlineLevel="0" collapsed="false">
      <c r="A238" s="8"/>
      <c r="B238" s="8"/>
      <c r="C238" s="8"/>
      <c r="D238" s="10"/>
      <c r="E238" s="10"/>
      <c r="F238" s="10"/>
      <c r="G238" s="11" t="str">
        <f aca="false">IF($A238="","",IF(AND($D238="",$E238="",$F238=""),"",IF($D238="","",$D238)&amp;IF($E238="",""," × "&amp;$E238)&amp;IF($F238=""," "," × ")&amp;IF($F238="","",$F238)&amp;"t"))</f>
        <v/>
      </c>
      <c r="H238" s="12"/>
      <c r="I238" s="13" t="str">
        <f aca="false">IF($A238="","",IF(OR($D238="",$E238="",$F238="",$H238=""),"",ROUND($D238*$E238*$F238*$H238/1000000,2)))</f>
        <v/>
      </c>
      <c r="J238" s="8"/>
      <c r="K238" s="14"/>
      <c r="L238" s="8"/>
      <c r="M238" s="15" t="str">
        <f aca="false">IF($A238="","",IF(COUNTIF($A$3:$A$502,$A238)&gt;1,"중복","-"))</f>
        <v/>
      </c>
      <c r="N238" s="8"/>
    </row>
    <row r="239" customFormat="false" ht="15" hidden="false" customHeight="true" outlineLevel="0" collapsed="false">
      <c r="A239" s="8"/>
      <c r="B239" s="8"/>
      <c r="C239" s="8"/>
      <c r="D239" s="10"/>
      <c r="E239" s="10"/>
      <c r="F239" s="10"/>
      <c r="G239" s="11" t="str">
        <f aca="false">IF($A239="","",IF(AND($D239="",$E239="",$F239=""),"",IF($D239="","",$D239)&amp;IF($E239="",""," × "&amp;$E239)&amp;IF($F239=""," "," × ")&amp;IF($F239="","",$F239)&amp;"t"))</f>
        <v/>
      </c>
      <c r="H239" s="12"/>
      <c r="I239" s="13" t="str">
        <f aca="false">IF($A239="","",IF(OR($D239="",$E239="",$F239="",$H239=""),"",ROUND($D239*$E239*$F239*$H239/1000000,2)))</f>
        <v/>
      </c>
      <c r="J239" s="8"/>
      <c r="K239" s="14"/>
      <c r="L239" s="8"/>
      <c r="M239" s="15" t="str">
        <f aca="false">IF($A239="","",IF(COUNTIF($A$3:$A$502,$A239)&gt;1,"중복","-"))</f>
        <v/>
      </c>
      <c r="N239" s="8"/>
    </row>
    <row r="240" customFormat="false" ht="15" hidden="false" customHeight="true" outlineLevel="0" collapsed="false">
      <c r="A240" s="8"/>
      <c r="B240" s="8"/>
      <c r="C240" s="8"/>
      <c r="D240" s="10"/>
      <c r="E240" s="10"/>
      <c r="F240" s="10"/>
      <c r="G240" s="11" t="str">
        <f aca="false">IF($A240="","",IF(AND($D240="",$E240="",$F240=""),"",IF($D240="","",$D240)&amp;IF($E240="",""," × "&amp;$E240)&amp;IF($F240=""," "," × ")&amp;IF($F240="","",$F240)&amp;"t"))</f>
        <v/>
      </c>
      <c r="H240" s="12"/>
      <c r="I240" s="13" t="str">
        <f aca="false">IF($A240="","",IF(OR($D240="",$E240="",$F240="",$H240=""),"",ROUND($D240*$E240*$F240*$H240/1000000,2)))</f>
        <v/>
      </c>
      <c r="J240" s="8"/>
      <c r="K240" s="14"/>
      <c r="L240" s="8"/>
      <c r="M240" s="15" t="str">
        <f aca="false">IF($A240="","",IF(COUNTIF($A$3:$A$502,$A240)&gt;1,"중복","-"))</f>
        <v/>
      </c>
      <c r="N240" s="8"/>
    </row>
    <row r="241" customFormat="false" ht="15" hidden="false" customHeight="true" outlineLevel="0" collapsed="false">
      <c r="A241" s="8"/>
      <c r="B241" s="8"/>
      <c r="C241" s="8"/>
      <c r="D241" s="10"/>
      <c r="E241" s="10"/>
      <c r="F241" s="10"/>
      <c r="G241" s="11" t="str">
        <f aca="false">IF($A241="","",IF(AND($D241="",$E241="",$F241=""),"",IF($D241="","",$D241)&amp;IF($E241="",""," × "&amp;$E241)&amp;IF($F241=""," "," × ")&amp;IF($F241="","",$F241)&amp;"t"))</f>
        <v/>
      </c>
      <c r="H241" s="12"/>
      <c r="I241" s="13" t="str">
        <f aca="false">IF($A241="","",IF(OR($D241="",$E241="",$F241="",$H241=""),"",ROUND($D241*$E241*$F241*$H241/1000000,2)))</f>
        <v/>
      </c>
      <c r="J241" s="8"/>
      <c r="K241" s="14"/>
      <c r="L241" s="8"/>
      <c r="M241" s="15" t="str">
        <f aca="false">IF($A241="","",IF(COUNTIF($A$3:$A$502,$A241)&gt;1,"중복","-"))</f>
        <v/>
      </c>
      <c r="N241" s="8"/>
    </row>
    <row r="242" customFormat="false" ht="15" hidden="false" customHeight="true" outlineLevel="0" collapsed="false">
      <c r="A242" s="8"/>
      <c r="B242" s="8"/>
      <c r="C242" s="8"/>
      <c r="D242" s="10"/>
      <c r="E242" s="10"/>
      <c r="F242" s="10"/>
      <c r="G242" s="11" t="str">
        <f aca="false">IF($A242="","",IF(AND($D242="",$E242="",$F242=""),"",IF($D242="","",$D242)&amp;IF($E242="",""," × "&amp;$E242)&amp;IF($F242=""," "," × ")&amp;IF($F242="","",$F242)&amp;"t"))</f>
        <v/>
      </c>
      <c r="H242" s="12"/>
      <c r="I242" s="13" t="str">
        <f aca="false">IF($A242="","",IF(OR($D242="",$E242="",$F242="",$H242=""),"",ROUND($D242*$E242*$F242*$H242/1000000,2)))</f>
        <v/>
      </c>
      <c r="J242" s="8"/>
      <c r="K242" s="14"/>
      <c r="L242" s="8"/>
      <c r="M242" s="15" t="str">
        <f aca="false">IF($A242="","",IF(COUNTIF($A$3:$A$502,$A242)&gt;1,"중복","-"))</f>
        <v/>
      </c>
      <c r="N242" s="8"/>
    </row>
    <row r="243" customFormat="false" ht="15" hidden="false" customHeight="true" outlineLevel="0" collapsed="false">
      <c r="A243" s="8"/>
      <c r="B243" s="8"/>
      <c r="C243" s="8"/>
      <c r="D243" s="10"/>
      <c r="E243" s="10"/>
      <c r="F243" s="10"/>
      <c r="G243" s="11" t="str">
        <f aca="false">IF($A243="","",IF(AND($D243="",$E243="",$F243=""),"",IF($D243="","",$D243)&amp;IF($E243="",""," × "&amp;$E243)&amp;IF($F243=""," "," × ")&amp;IF($F243="","",$F243)&amp;"t"))</f>
        <v/>
      </c>
      <c r="H243" s="12"/>
      <c r="I243" s="13" t="str">
        <f aca="false">IF($A243="","",IF(OR($D243="",$E243="",$F243="",$H243=""),"",ROUND($D243*$E243*$F243*$H243/1000000,2)))</f>
        <v/>
      </c>
      <c r="J243" s="8"/>
      <c r="K243" s="14"/>
      <c r="L243" s="8"/>
      <c r="M243" s="15" t="str">
        <f aca="false">IF($A243="","",IF(COUNTIF($A$3:$A$502,$A243)&gt;1,"중복","-"))</f>
        <v/>
      </c>
      <c r="N243" s="8"/>
    </row>
    <row r="244" customFormat="false" ht="15" hidden="false" customHeight="true" outlineLevel="0" collapsed="false">
      <c r="A244" s="8"/>
      <c r="B244" s="8"/>
      <c r="C244" s="8"/>
      <c r="D244" s="10"/>
      <c r="E244" s="10"/>
      <c r="F244" s="10"/>
      <c r="G244" s="11" t="str">
        <f aca="false">IF($A244="","",IF(AND($D244="",$E244="",$F244=""),"",IF($D244="","",$D244)&amp;IF($E244="",""," × "&amp;$E244)&amp;IF($F244=""," "," × ")&amp;IF($F244="","",$F244)&amp;"t"))</f>
        <v/>
      </c>
      <c r="H244" s="12"/>
      <c r="I244" s="13" t="str">
        <f aca="false">IF($A244="","",IF(OR($D244="",$E244="",$F244="",$H244=""),"",ROUND($D244*$E244*$F244*$H244/1000000,2)))</f>
        <v/>
      </c>
      <c r="J244" s="8"/>
      <c r="K244" s="14"/>
      <c r="L244" s="8"/>
      <c r="M244" s="15" t="str">
        <f aca="false">IF($A244="","",IF(COUNTIF($A$3:$A$502,$A244)&gt;1,"중복","-"))</f>
        <v/>
      </c>
      <c r="N244" s="8"/>
    </row>
    <row r="245" customFormat="false" ht="15" hidden="false" customHeight="true" outlineLevel="0" collapsed="false">
      <c r="A245" s="8"/>
      <c r="B245" s="8"/>
      <c r="C245" s="8"/>
      <c r="D245" s="10"/>
      <c r="E245" s="10"/>
      <c r="F245" s="10"/>
      <c r="G245" s="11" t="str">
        <f aca="false">IF($A245="","",IF(AND($D245="",$E245="",$F245=""),"",IF($D245="","",$D245)&amp;IF($E245="",""," × "&amp;$E245)&amp;IF($F245=""," "," × ")&amp;IF($F245="","",$F245)&amp;"t"))</f>
        <v/>
      </c>
      <c r="H245" s="12"/>
      <c r="I245" s="13" t="str">
        <f aca="false">IF($A245="","",IF(OR($D245="",$E245="",$F245="",$H245=""),"",ROUND($D245*$E245*$F245*$H245/1000000,2)))</f>
        <v/>
      </c>
      <c r="J245" s="8"/>
      <c r="K245" s="14"/>
      <c r="L245" s="8"/>
      <c r="M245" s="15" t="str">
        <f aca="false">IF($A245="","",IF(COUNTIF($A$3:$A$502,$A245)&gt;1,"중복","-"))</f>
        <v/>
      </c>
      <c r="N245" s="8"/>
    </row>
    <row r="246" customFormat="false" ht="15" hidden="false" customHeight="true" outlineLevel="0" collapsed="false">
      <c r="A246" s="8"/>
      <c r="B246" s="8"/>
      <c r="C246" s="8"/>
      <c r="D246" s="10"/>
      <c r="E246" s="10"/>
      <c r="F246" s="10"/>
      <c r="G246" s="11" t="str">
        <f aca="false">IF($A246="","",IF(AND($D246="",$E246="",$F246=""),"",IF($D246="","",$D246)&amp;IF($E246="",""," × "&amp;$E246)&amp;IF($F246=""," "," × ")&amp;IF($F246="","",$F246)&amp;"t"))</f>
        <v/>
      </c>
      <c r="H246" s="12"/>
      <c r="I246" s="13" t="str">
        <f aca="false">IF($A246="","",IF(OR($D246="",$E246="",$F246="",$H246=""),"",ROUND($D246*$E246*$F246*$H246/1000000,2)))</f>
        <v/>
      </c>
      <c r="J246" s="8"/>
      <c r="K246" s="14"/>
      <c r="L246" s="8"/>
      <c r="M246" s="15" t="str">
        <f aca="false">IF($A246="","",IF(COUNTIF($A$3:$A$502,$A246)&gt;1,"중복","-"))</f>
        <v/>
      </c>
      <c r="N246" s="8"/>
    </row>
    <row r="247" customFormat="false" ht="15" hidden="false" customHeight="true" outlineLevel="0" collapsed="false">
      <c r="A247" s="8"/>
      <c r="B247" s="8"/>
      <c r="C247" s="8"/>
      <c r="D247" s="10"/>
      <c r="E247" s="10"/>
      <c r="F247" s="10"/>
      <c r="G247" s="11" t="str">
        <f aca="false">IF($A247="","",IF(AND($D247="",$E247="",$F247=""),"",IF($D247="","",$D247)&amp;IF($E247="",""," × "&amp;$E247)&amp;IF($F247=""," "," × ")&amp;IF($F247="","",$F247)&amp;"t"))</f>
        <v/>
      </c>
      <c r="H247" s="12"/>
      <c r="I247" s="13" t="str">
        <f aca="false">IF($A247="","",IF(OR($D247="",$E247="",$F247="",$H247=""),"",ROUND($D247*$E247*$F247*$H247/1000000,2)))</f>
        <v/>
      </c>
      <c r="J247" s="8"/>
      <c r="K247" s="14"/>
      <c r="L247" s="8"/>
      <c r="M247" s="15" t="str">
        <f aca="false">IF($A247="","",IF(COUNTIF($A$3:$A$502,$A247)&gt;1,"중복","-"))</f>
        <v/>
      </c>
      <c r="N247" s="8"/>
    </row>
    <row r="248" customFormat="false" ht="15" hidden="false" customHeight="true" outlineLevel="0" collapsed="false">
      <c r="A248" s="8"/>
      <c r="B248" s="8"/>
      <c r="C248" s="8"/>
      <c r="D248" s="10"/>
      <c r="E248" s="10"/>
      <c r="F248" s="10"/>
      <c r="G248" s="11" t="str">
        <f aca="false">IF($A248="","",IF(AND($D248="",$E248="",$F248=""),"",IF($D248="","",$D248)&amp;IF($E248="",""," × "&amp;$E248)&amp;IF($F248=""," "," × ")&amp;IF($F248="","",$F248)&amp;"t"))</f>
        <v/>
      </c>
      <c r="H248" s="12"/>
      <c r="I248" s="13" t="str">
        <f aca="false">IF($A248="","",IF(OR($D248="",$E248="",$F248="",$H248=""),"",ROUND($D248*$E248*$F248*$H248/1000000,2)))</f>
        <v/>
      </c>
      <c r="J248" s="8"/>
      <c r="K248" s="14"/>
      <c r="L248" s="8"/>
      <c r="M248" s="15" t="str">
        <f aca="false">IF($A248="","",IF(COUNTIF($A$3:$A$502,$A248)&gt;1,"중복","-"))</f>
        <v/>
      </c>
      <c r="N248" s="8"/>
    </row>
    <row r="249" customFormat="false" ht="15" hidden="false" customHeight="true" outlineLevel="0" collapsed="false">
      <c r="A249" s="8"/>
      <c r="B249" s="8"/>
      <c r="C249" s="8"/>
      <c r="D249" s="10"/>
      <c r="E249" s="10"/>
      <c r="F249" s="10"/>
      <c r="G249" s="11" t="str">
        <f aca="false">IF($A249="","",IF(AND($D249="",$E249="",$F249=""),"",IF($D249="","",$D249)&amp;IF($E249="",""," × "&amp;$E249)&amp;IF($F249=""," "," × ")&amp;IF($F249="","",$F249)&amp;"t"))</f>
        <v/>
      </c>
      <c r="H249" s="12"/>
      <c r="I249" s="13" t="str">
        <f aca="false">IF($A249="","",IF(OR($D249="",$E249="",$F249="",$H249=""),"",ROUND($D249*$E249*$F249*$H249/1000000,2)))</f>
        <v/>
      </c>
      <c r="J249" s="8"/>
      <c r="K249" s="14"/>
      <c r="L249" s="8"/>
      <c r="M249" s="15" t="str">
        <f aca="false">IF($A249="","",IF(COUNTIF($A$3:$A$502,$A249)&gt;1,"중복","-"))</f>
        <v/>
      </c>
      <c r="N249" s="8"/>
    </row>
    <row r="250" customFormat="false" ht="15" hidden="false" customHeight="true" outlineLevel="0" collapsed="false">
      <c r="A250" s="8"/>
      <c r="B250" s="8"/>
      <c r="C250" s="8"/>
      <c r="D250" s="10"/>
      <c r="E250" s="10"/>
      <c r="F250" s="10"/>
      <c r="G250" s="11" t="str">
        <f aca="false">IF($A250="","",IF(AND($D250="",$E250="",$F250=""),"",IF($D250="","",$D250)&amp;IF($E250="",""," × "&amp;$E250)&amp;IF($F250=""," "," × ")&amp;IF($F250="","",$F250)&amp;"t"))</f>
        <v/>
      </c>
      <c r="H250" s="12"/>
      <c r="I250" s="13" t="str">
        <f aca="false">IF($A250="","",IF(OR($D250="",$E250="",$F250="",$H250=""),"",ROUND($D250*$E250*$F250*$H250/1000000,2)))</f>
        <v/>
      </c>
      <c r="J250" s="8"/>
      <c r="K250" s="14"/>
      <c r="L250" s="8"/>
      <c r="M250" s="15" t="str">
        <f aca="false">IF($A250="","",IF(COUNTIF($A$3:$A$502,$A250)&gt;1,"중복","-"))</f>
        <v/>
      </c>
      <c r="N250" s="8"/>
    </row>
    <row r="251" customFormat="false" ht="15" hidden="false" customHeight="true" outlineLevel="0" collapsed="false">
      <c r="A251" s="8"/>
      <c r="B251" s="8"/>
      <c r="C251" s="8"/>
      <c r="D251" s="10"/>
      <c r="E251" s="10"/>
      <c r="F251" s="10"/>
      <c r="G251" s="11" t="str">
        <f aca="false">IF($A251="","",IF(AND($D251="",$E251="",$F251=""),"",IF($D251="","",$D251)&amp;IF($E251="",""," × "&amp;$E251)&amp;IF($F251=""," "," × ")&amp;IF($F251="","",$F251)&amp;"t"))</f>
        <v/>
      </c>
      <c r="H251" s="12"/>
      <c r="I251" s="13" t="str">
        <f aca="false">IF($A251="","",IF(OR($D251="",$E251="",$F251="",$H251=""),"",ROUND($D251*$E251*$F251*$H251/1000000,2)))</f>
        <v/>
      </c>
      <c r="J251" s="8"/>
      <c r="K251" s="14"/>
      <c r="L251" s="8"/>
      <c r="M251" s="15" t="str">
        <f aca="false">IF($A251="","",IF(COUNTIF($A$3:$A$502,$A251)&gt;1,"중복","-"))</f>
        <v/>
      </c>
      <c r="N251" s="8"/>
    </row>
    <row r="252" customFormat="false" ht="15" hidden="false" customHeight="true" outlineLevel="0" collapsed="false">
      <c r="A252" s="8"/>
      <c r="B252" s="8"/>
      <c r="C252" s="8"/>
      <c r="D252" s="10"/>
      <c r="E252" s="10"/>
      <c r="F252" s="10"/>
      <c r="G252" s="11" t="str">
        <f aca="false">IF($A252="","",IF(AND($D252="",$E252="",$F252=""),"",IF($D252="","",$D252)&amp;IF($E252="",""," × "&amp;$E252)&amp;IF($F252=""," "," × ")&amp;IF($F252="","",$F252)&amp;"t"))</f>
        <v/>
      </c>
      <c r="H252" s="12"/>
      <c r="I252" s="13" t="str">
        <f aca="false">IF($A252="","",IF(OR($D252="",$E252="",$F252="",$H252=""),"",ROUND($D252*$E252*$F252*$H252/1000000,2)))</f>
        <v/>
      </c>
      <c r="J252" s="8"/>
      <c r="K252" s="14"/>
      <c r="L252" s="8"/>
      <c r="M252" s="15" t="str">
        <f aca="false">IF($A252="","",IF(COUNTIF($A$3:$A$502,$A252)&gt;1,"중복","-"))</f>
        <v/>
      </c>
      <c r="N252" s="8"/>
    </row>
    <row r="253" customFormat="false" ht="15" hidden="false" customHeight="true" outlineLevel="0" collapsed="false">
      <c r="A253" s="8"/>
      <c r="B253" s="8"/>
      <c r="C253" s="8"/>
      <c r="D253" s="10"/>
      <c r="E253" s="10"/>
      <c r="F253" s="10"/>
      <c r="G253" s="11" t="str">
        <f aca="false">IF($A253="","",IF(AND($D253="",$E253="",$F253=""),"",IF($D253="","",$D253)&amp;IF($E253="",""," × "&amp;$E253)&amp;IF($F253=""," "," × ")&amp;IF($F253="","",$F253)&amp;"t"))</f>
        <v/>
      </c>
      <c r="H253" s="12"/>
      <c r="I253" s="13" t="str">
        <f aca="false">IF($A253="","",IF(OR($D253="",$E253="",$F253="",$H253=""),"",ROUND($D253*$E253*$F253*$H253/1000000,2)))</f>
        <v/>
      </c>
      <c r="J253" s="8"/>
      <c r="K253" s="14"/>
      <c r="L253" s="8"/>
      <c r="M253" s="15" t="str">
        <f aca="false">IF($A253="","",IF(COUNTIF($A$3:$A$502,$A253)&gt;1,"중복","-"))</f>
        <v/>
      </c>
      <c r="N253" s="8"/>
    </row>
    <row r="254" customFormat="false" ht="15" hidden="false" customHeight="true" outlineLevel="0" collapsed="false">
      <c r="A254" s="8"/>
      <c r="B254" s="8"/>
      <c r="C254" s="8"/>
      <c r="D254" s="10"/>
      <c r="E254" s="10"/>
      <c r="F254" s="10"/>
      <c r="G254" s="11" t="str">
        <f aca="false">IF($A254="","",IF(AND($D254="",$E254="",$F254=""),"",IF($D254="","",$D254)&amp;IF($E254="",""," × "&amp;$E254)&amp;IF($F254=""," "," × ")&amp;IF($F254="","",$F254)&amp;"t"))</f>
        <v/>
      </c>
      <c r="H254" s="12"/>
      <c r="I254" s="13" t="str">
        <f aca="false">IF($A254="","",IF(OR($D254="",$E254="",$F254="",$H254=""),"",ROUND($D254*$E254*$F254*$H254/1000000,2)))</f>
        <v/>
      </c>
      <c r="J254" s="8"/>
      <c r="K254" s="14"/>
      <c r="L254" s="8"/>
      <c r="M254" s="15" t="str">
        <f aca="false">IF($A254="","",IF(COUNTIF($A$3:$A$502,$A254)&gt;1,"중복","-"))</f>
        <v/>
      </c>
      <c r="N254" s="8"/>
    </row>
    <row r="255" customFormat="false" ht="15" hidden="false" customHeight="true" outlineLevel="0" collapsed="false">
      <c r="A255" s="8"/>
      <c r="B255" s="8"/>
      <c r="C255" s="8"/>
      <c r="D255" s="10"/>
      <c r="E255" s="10"/>
      <c r="F255" s="10"/>
      <c r="G255" s="11" t="str">
        <f aca="false">IF($A255="","",IF(AND($D255="",$E255="",$F255=""),"",IF($D255="","",$D255)&amp;IF($E255="",""," × "&amp;$E255)&amp;IF($F255=""," "," × ")&amp;IF($F255="","",$F255)&amp;"t"))</f>
        <v/>
      </c>
      <c r="H255" s="12"/>
      <c r="I255" s="13" t="str">
        <f aca="false">IF($A255="","",IF(OR($D255="",$E255="",$F255="",$H255=""),"",ROUND($D255*$E255*$F255*$H255/1000000,2)))</f>
        <v/>
      </c>
      <c r="J255" s="8"/>
      <c r="K255" s="14"/>
      <c r="L255" s="8"/>
      <c r="M255" s="15" t="str">
        <f aca="false">IF($A255="","",IF(COUNTIF($A$3:$A$502,$A255)&gt;1,"중복","-"))</f>
        <v/>
      </c>
      <c r="N255" s="8"/>
    </row>
    <row r="256" customFormat="false" ht="15" hidden="false" customHeight="true" outlineLevel="0" collapsed="false">
      <c r="A256" s="8"/>
      <c r="B256" s="8"/>
      <c r="C256" s="8"/>
      <c r="D256" s="10"/>
      <c r="E256" s="10"/>
      <c r="F256" s="10"/>
      <c r="G256" s="11" t="str">
        <f aca="false">IF($A256="","",IF(AND($D256="",$E256="",$F256=""),"",IF($D256="","",$D256)&amp;IF($E256="",""," × "&amp;$E256)&amp;IF($F256=""," "," × ")&amp;IF($F256="","",$F256)&amp;"t"))</f>
        <v/>
      </c>
      <c r="H256" s="12"/>
      <c r="I256" s="13" t="str">
        <f aca="false">IF($A256="","",IF(OR($D256="",$E256="",$F256="",$H256=""),"",ROUND($D256*$E256*$F256*$H256/1000000,2)))</f>
        <v/>
      </c>
      <c r="J256" s="8"/>
      <c r="K256" s="14"/>
      <c r="L256" s="8"/>
      <c r="M256" s="15" t="str">
        <f aca="false">IF($A256="","",IF(COUNTIF($A$3:$A$502,$A256)&gt;1,"중복","-"))</f>
        <v/>
      </c>
      <c r="N256" s="8"/>
    </row>
    <row r="257" customFormat="false" ht="15" hidden="false" customHeight="true" outlineLevel="0" collapsed="false">
      <c r="A257" s="8"/>
      <c r="B257" s="8"/>
      <c r="C257" s="8"/>
      <c r="D257" s="10"/>
      <c r="E257" s="10"/>
      <c r="F257" s="10"/>
      <c r="G257" s="11" t="str">
        <f aca="false">IF($A257="","",IF(AND($D257="",$E257="",$F257=""),"",IF($D257="","",$D257)&amp;IF($E257="",""," × "&amp;$E257)&amp;IF($F257=""," "," × ")&amp;IF($F257="","",$F257)&amp;"t"))</f>
        <v/>
      </c>
      <c r="H257" s="12"/>
      <c r="I257" s="13" t="str">
        <f aca="false">IF($A257="","",IF(OR($D257="",$E257="",$F257="",$H257=""),"",ROUND($D257*$E257*$F257*$H257/1000000,2)))</f>
        <v/>
      </c>
      <c r="J257" s="8"/>
      <c r="K257" s="14"/>
      <c r="L257" s="8"/>
      <c r="M257" s="15" t="str">
        <f aca="false">IF($A257="","",IF(COUNTIF($A$3:$A$502,$A257)&gt;1,"중복","-"))</f>
        <v/>
      </c>
      <c r="N257" s="8"/>
    </row>
    <row r="258" customFormat="false" ht="15" hidden="false" customHeight="true" outlineLevel="0" collapsed="false">
      <c r="A258" s="8"/>
      <c r="B258" s="8"/>
      <c r="C258" s="8"/>
      <c r="D258" s="10"/>
      <c r="E258" s="10"/>
      <c r="F258" s="10"/>
      <c r="G258" s="11" t="str">
        <f aca="false">IF($A258="","",IF(AND($D258="",$E258="",$F258=""),"",IF($D258="","",$D258)&amp;IF($E258="",""," × "&amp;$E258)&amp;IF($F258=""," "," × ")&amp;IF($F258="","",$F258)&amp;"t"))</f>
        <v/>
      </c>
      <c r="H258" s="12"/>
      <c r="I258" s="13" t="str">
        <f aca="false">IF($A258="","",IF(OR($D258="",$E258="",$F258="",$H258=""),"",ROUND($D258*$E258*$F258*$H258/1000000,2)))</f>
        <v/>
      </c>
      <c r="J258" s="8"/>
      <c r="K258" s="14"/>
      <c r="L258" s="8"/>
      <c r="M258" s="15" t="str">
        <f aca="false">IF($A258="","",IF(COUNTIF($A$3:$A$502,$A258)&gt;1,"중복","-"))</f>
        <v/>
      </c>
      <c r="N258" s="8"/>
    </row>
    <row r="259" customFormat="false" ht="15" hidden="false" customHeight="true" outlineLevel="0" collapsed="false">
      <c r="A259" s="8"/>
      <c r="B259" s="8"/>
      <c r="C259" s="8"/>
      <c r="D259" s="10"/>
      <c r="E259" s="10"/>
      <c r="F259" s="10"/>
      <c r="G259" s="11" t="str">
        <f aca="false">IF($A259="","",IF(AND($D259="",$E259="",$F259=""),"",IF($D259="","",$D259)&amp;IF($E259="",""," × "&amp;$E259)&amp;IF($F259=""," "," × ")&amp;IF($F259="","",$F259)&amp;"t"))</f>
        <v/>
      </c>
      <c r="H259" s="12"/>
      <c r="I259" s="13" t="str">
        <f aca="false">IF($A259="","",IF(OR($D259="",$E259="",$F259="",$H259=""),"",ROUND($D259*$E259*$F259*$H259/1000000,2)))</f>
        <v/>
      </c>
      <c r="J259" s="8"/>
      <c r="K259" s="14"/>
      <c r="L259" s="8"/>
      <c r="M259" s="15" t="str">
        <f aca="false">IF($A259="","",IF(COUNTIF($A$3:$A$502,$A259)&gt;1,"중복","-"))</f>
        <v/>
      </c>
      <c r="N259" s="8"/>
    </row>
    <row r="260" customFormat="false" ht="15" hidden="false" customHeight="true" outlineLevel="0" collapsed="false">
      <c r="A260" s="8"/>
      <c r="B260" s="8"/>
      <c r="C260" s="8"/>
      <c r="D260" s="10"/>
      <c r="E260" s="10"/>
      <c r="F260" s="10"/>
      <c r="G260" s="11" t="str">
        <f aca="false">IF($A260="","",IF(AND($D260="",$E260="",$F260=""),"",IF($D260="","",$D260)&amp;IF($E260="",""," × "&amp;$E260)&amp;IF($F260=""," "," × ")&amp;IF($F260="","",$F260)&amp;"t"))</f>
        <v/>
      </c>
      <c r="H260" s="12"/>
      <c r="I260" s="13" t="str">
        <f aca="false">IF($A260="","",IF(OR($D260="",$E260="",$F260="",$H260=""),"",ROUND($D260*$E260*$F260*$H260/1000000,2)))</f>
        <v/>
      </c>
      <c r="J260" s="8"/>
      <c r="K260" s="14"/>
      <c r="L260" s="8"/>
      <c r="M260" s="15" t="str">
        <f aca="false">IF($A260="","",IF(COUNTIF($A$3:$A$502,$A260)&gt;1,"중복","-"))</f>
        <v/>
      </c>
      <c r="N260" s="8"/>
    </row>
    <row r="261" customFormat="false" ht="15" hidden="false" customHeight="true" outlineLevel="0" collapsed="false">
      <c r="A261" s="8"/>
      <c r="B261" s="8"/>
      <c r="C261" s="8"/>
      <c r="D261" s="10"/>
      <c r="E261" s="10"/>
      <c r="F261" s="10"/>
      <c r="G261" s="11" t="str">
        <f aca="false">IF($A261="","",IF(AND($D261="",$E261="",$F261=""),"",IF($D261="","",$D261)&amp;IF($E261="",""," × "&amp;$E261)&amp;IF($F261=""," "," × ")&amp;IF($F261="","",$F261)&amp;"t"))</f>
        <v/>
      </c>
      <c r="H261" s="12"/>
      <c r="I261" s="13" t="str">
        <f aca="false">IF($A261="","",IF(OR($D261="",$E261="",$F261="",$H261=""),"",ROUND($D261*$E261*$F261*$H261/1000000,2)))</f>
        <v/>
      </c>
      <c r="J261" s="8"/>
      <c r="K261" s="14"/>
      <c r="L261" s="8"/>
      <c r="M261" s="15" t="str">
        <f aca="false">IF($A261="","",IF(COUNTIF($A$3:$A$502,$A261)&gt;1,"중복","-"))</f>
        <v/>
      </c>
      <c r="N261" s="8"/>
    </row>
    <row r="262" customFormat="false" ht="15" hidden="false" customHeight="true" outlineLevel="0" collapsed="false">
      <c r="A262" s="8"/>
      <c r="B262" s="8"/>
      <c r="C262" s="8"/>
      <c r="D262" s="10"/>
      <c r="E262" s="10"/>
      <c r="F262" s="10"/>
      <c r="G262" s="11" t="str">
        <f aca="false">IF($A262="","",IF(AND($D262="",$E262="",$F262=""),"",IF($D262="","",$D262)&amp;IF($E262="",""," × "&amp;$E262)&amp;IF($F262=""," "," × ")&amp;IF($F262="","",$F262)&amp;"t"))</f>
        <v/>
      </c>
      <c r="H262" s="12"/>
      <c r="I262" s="13" t="str">
        <f aca="false">IF($A262="","",IF(OR($D262="",$E262="",$F262="",$H262=""),"",ROUND($D262*$E262*$F262*$H262/1000000,2)))</f>
        <v/>
      </c>
      <c r="J262" s="8"/>
      <c r="K262" s="14"/>
      <c r="L262" s="8"/>
      <c r="M262" s="15" t="str">
        <f aca="false">IF($A262="","",IF(COUNTIF($A$3:$A$502,$A262)&gt;1,"중복","-"))</f>
        <v/>
      </c>
      <c r="N262" s="8"/>
    </row>
    <row r="263" customFormat="false" ht="15" hidden="false" customHeight="true" outlineLevel="0" collapsed="false">
      <c r="A263" s="8"/>
      <c r="B263" s="8"/>
      <c r="C263" s="8"/>
      <c r="D263" s="10"/>
      <c r="E263" s="10"/>
      <c r="F263" s="10"/>
      <c r="G263" s="11" t="str">
        <f aca="false">IF($A263="","",IF(AND($D263="",$E263="",$F263=""),"",IF($D263="","",$D263)&amp;IF($E263="",""," × "&amp;$E263)&amp;IF($F263=""," "," × ")&amp;IF($F263="","",$F263)&amp;"t"))</f>
        <v/>
      </c>
      <c r="H263" s="12"/>
      <c r="I263" s="13" t="str">
        <f aca="false">IF($A263="","",IF(OR($D263="",$E263="",$F263="",$H263=""),"",ROUND($D263*$E263*$F263*$H263/1000000,2)))</f>
        <v/>
      </c>
      <c r="J263" s="8"/>
      <c r="K263" s="14"/>
      <c r="L263" s="8"/>
      <c r="M263" s="15" t="str">
        <f aca="false">IF($A263="","",IF(COUNTIF($A$3:$A$502,$A263)&gt;1,"중복","-"))</f>
        <v/>
      </c>
      <c r="N263" s="8"/>
    </row>
    <row r="264" customFormat="false" ht="15" hidden="false" customHeight="true" outlineLevel="0" collapsed="false">
      <c r="A264" s="8"/>
      <c r="B264" s="8"/>
      <c r="C264" s="8"/>
      <c r="D264" s="10"/>
      <c r="E264" s="10"/>
      <c r="F264" s="10"/>
      <c r="G264" s="11" t="str">
        <f aca="false">IF($A264="","",IF(AND($D264="",$E264="",$F264=""),"",IF($D264="","",$D264)&amp;IF($E264="",""," × "&amp;$E264)&amp;IF($F264=""," "," × ")&amp;IF($F264="","",$F264)&amp;"t"))</f>
        <v/>
      </c>
      <c r="H264" s="12"/>
      <c r="I264" s="13" t="str">
        <f aca="false">IF($A264="","",IF(OR($D264="",$E264="",$F264="",$H264=""),"",ROUND($D264*$E264*$F264*$H264/1000000,2)))</f>
        <v/>
      </c>
      <c r="J264" s="8"/>
      <c r="K264" s="14"/>
      <c r="L264" s="8"/>
      <c r="M264" s="15" t="str">
        <f aca="false">IF($A264="","",IF(COUNTIF($A$3:$A$502,$A264)&gt;1,"중복","-"))</f>
        <v/>
      </c>
      <c r="N264" s="8"/>
    </row>
    <row r="265" customFormat="false" ht="15" hidden="false" customHeight="true" outlineLevel="0" collapsed="false">
      <c r="A265" s="8"/>
      <c r="B265" s="8"/>
      <c r="C265" s="8"/>
      <c r="D265" s="10"/>
      <c r="E265" s="10"/>
      <c r="F265" s="10"/>
      <c r="G265" s="11" t="str">
        <f aca="false">IF($A265="","",IF(AND($D265="",$E265="",$F265=""),"",IF($D265="","",$D265)&amp;IF($E265="",""," × "&amp;$E265)&amp;IF($F265=""," "," × ")&amp;IF($F265="","",$F265)&amp;"t"))</f>
        <v/>
      </c>
      <c r="H265" s="12"/>
      <c r="I265" s="13" t="str">
        <f aca="false">IF($A265="","",IF(OR($D265="",$E265="",$F265="",$H265=""),"",ROUND($D265*$E265*$F265*$H265/1000000,2)))</f>
        <v/>
      </c>
      <c r="J265" s="8"/>
      <c r="K265" s="14"/>
      <c r="L265" s="8"/>
      <c r="M265" s="15" t="str">
        <f aca="false">IF($A265="","",IF(COUNTIF($A$3:$A$502,$A265)&gt;1,"중복","-"))</f>
        <v/>
      </c>
      <c r="N265" s="8"/>
    </row>
    <row r="266" customFormat="false" ht="15" hidden="false" customHeight="true" outlineLevel="0" collapsed="false">
      <c r="A266" s="8"/>
      <c r="B266" s="8"/>
      <c r="C266" s="8"/>
      <c r="D266" s="10"/>
      <c r="E266" s="10"/>
      <c r="F266" s="10"/>
      <c r="G266" s="11" t="str">
        <f aca="false">IF($A266="","",IF(AND($D266="",$E266="",$F266=""),"",IF($D266="","",$D266)&amp;IF($E266="",""," × "&amp;$E266)&amp;IF($F266=""," "," × ")&amp;IF($F266="","",$F266)&amp;"t"))</f>
        <v/>
      </c>
      <c r="H266" s="12"/>
      <c r="I266" s="13" t="str">
        <f aca="false">IF($A266="","",IF(OR($D266="",$E266="",$F266="",$H266=""),"",ROUND($D266*$E266*$F266*$H266/1000000,2)))</f>
        <v/>
      </c>
      <c r="J266" s="8"/>
      <c r="K266" s="14"/>
      <c r="L266" s="8"/>
      <c r="M266" s="15" t="str">
        <f aca="false">IF($A266="","",IF(COUNTIF($A$3:$A$502,$A266)&gt;1,"중복","-"))</f>
        <v/>
      </c>
      <c r="N266" s="8"/>
    </row>
    <row r="267" customFormat="false" ht="15" hidden="false" customHeight="true" outlineLevel="0" collapsed="false">
      <c r="A267" s="8"/>
      <c r="B267" s="8"/>
      <c r="C267" s="8"/>
      <c r="D267" s="10"/>
      <c r="E267" s="10"/>
      <c r="F267" s="10"/>
      <c r="G267" s="11" t="str">
        <f aca="false">IF($A267="","",IF(AND($D267="",$E267="",$F267=""),"",IF($D267="","",$D267)&amp;IF($E267="",""," × "&amp;$E267)&amp;IF($F267=""," "," × ")&amp;IF($F267="","",$F267)&amp;"t"))</f>
        <v/>
      </c>
      <c r="H267" s="12"/>
      <c r="I267" s="13" t="str">
        <f aca="false">IF($A267="","",IF(OR($D267="",$E267="",$F267="",$H267=""),"",ROUND($D267*$E267*$F267*$H267/1000000,2)))</f>
        <v/>
      </c>
      <c r="J267" s="8"/>
      <c r="K267" s="14"/>
      <c r="L267" s="8"/>
      <c r="M267" s="15" t="str">
        <f aca="false">IF($A267="","",IF(COUNTIF($A$3:$A$502,$A267)&gt;1,"중복","-"))</f>
        <v/>
      </c>
      <c r="N267" s="8"/>
    </row>
    <row r="268" customFormat="false" ht="15" hidden="false" customHeight="true" outlineLevel="0" collapsed="false">
      <c r="A268" s="8"/>
      <c r="B268" s="8"/>
      <c r="C268" s="8"/>
      <c r="D268" s="10"/>
      <c r="E268" s="10"/>
      <c r="F268" s="10"/>
      <c r="G268" s="11" t="str">
        <f aca="false">IF($A268="","",IF(AND($D268="",$E268="",$F268=""),"",IF($D268="","",$D268)&amp;IF($E268="",""," × "&amp;$E268)&amp;IF($F268=""," "," × ")&amp;IF($F268="","",$F268)&amp;"t"))</f>
        <v/>
      </c>
      <c r="H268" s="12"/>
      <c r="I268" s="13" t="str">
        <f aca="false">IF($A268="","",IF(OR($D268="",$E268="",$F268="",$H268=""),"",ROUND($D268*$E268*$F268*$H268/1000000,2)))</f>
        <v/>
      </c>
      <c r="J268" s="8"/>
      <c r="K268" s="14"/>
      <c r="L268" s="8"/>
      <c r="M268" s="15" t="str">
        <f aca="false">IF($A268="","",IF(COUNTIF($A$3:$A$502,$A268)&gt;1,"중복","-"))</f>
        <v/>
      </c>
      <c r="N268" s="8"/>
    </row>
    <row r="269" customFormat="false" ht="15" hidden="false" customHeight="true" outlineLevel="0" collapsed="false">
      <c r="A269" s="8"/>
      <c r="B269" s="8"/>
      <c r="C269" s="8"/>
      <c r="D269" s="10"/>
      <c r="E269" s="10"/>
      <c r="F269" s="10"/>
      <c r="G269" s="11" t="str">
        <f aca="false">IF($A269="","",IF(AND($D269="",$E269="",$F269=""),"",IF($D269="","",$D269)&amp;IF($E269="",""," × "&amp;$E269)&amp;IF($F269=""," "," × ")&amp;IF($F269="","",$F269)&amp;"t"))</f>
        <v/>
      </c>
      <c r="H269" s="12"/>
      <c r="I269" s="13" t="str">
        <f aca="false">IF($A269="","",IF(OR($D269="",$E269="",$F269="",$H269=""),"",ROUND($D269*$E269*$F269*$H269/1000000,2)))</f>
        <v/>
      </c>
      <c r="J269" s="8"/>
      <c r="K269" s="14"/>
      <c r="L269" s="8"/>
      <c r="M269" s="15" t="str">
        <f aca="false">IF($A269="","",IF(COUNTIF($A$3:$A$502,$A269)&gt;1,"중복","-"))</f>
        <v/>
      </c>
      <c r="N269" s="8"/>
    </row>
    <row r="270" customFormat="false" ht="15" hidden="false" customHeight="true" outlineLevel="0" collapsed="false">
      <c r="A270" s="8"/>
      <c r="B270" s="8"/>
      <c r="C270" s="8"/>
      <c r="D270" s="10"/>
      <c r="E270" s="10"/>
      <c r="F270" s="10"/>
      <c r="G270" s="11" t="str">
        <f aca="false">IF($A270="","",IF(AND($D270="",$E270="",$F270=""),"",IF($D270="","",$D270)&amp;IF($E270="",""," × "&amp;$E270)&amp;IF($F270=""," "," × ")&amp;IF($F270="","",$F270)&amp;"t"))</f>
        <v/>
      </c>
      <c r="H270" s="12"/>
      <c r="I270" s="13" t="str">
        <f aca="false">IF($A270="","",IF(OR($D270="",$E270="",$F270="",$H270=""),"",ROUND($D270*$E270*$F270*$H270/1000000,2)))</f>
        <v/>
      </c>
      <c r="J270" s="8"/>
      <c r="K270" s="14"/>
      <c r="L270" s="8"/>
      <c r="M270" s="15" t="str">
        <f aca="false">IF($A270="","",IF(COUNTIF($A$3:$A$502,$A270)&gt;1,"중복","-"))</f>
        <v/>
      </c>
      <c r="N270" s="8"/>
    </row>
    <row r="271" customFormat="false" ht="15" hidden="false" customHeight="true" outlineLevel="0" collapsed="false">
      <c r="A271" s="8"/>
      <c r="B271" s="8"/>
      <c r="C271" s="8"/>
      <c r="D271" s="10"/>
      <c r="E271" s="10"/>
      <c r="F271" s="10"/>
      <c r="G271" s="11" t="str">
        <f aca="false">IF($A271="","",IF(AND($D271="",$E271="",$F271=""),"",IF($D271="","",$D271)&amp;IF($E271="",""," × "&amp;$E271)&amp;IF($F271=""," "," × ")&amp;IF($F271="","",$F271)&amp;"t"))</f>
        <v/>
      </c>
      <c r="H271" s="12"/>
      <c r="I271" s="13" t="str">
        <f aca="false">IF($A271="","",IF(OR($D271="",$E271="",$F271="",$H271=""),"",ROUND($D271*$E271*$F271*$H271/1000000,2)))</f>
        <v/>
      </c>
      <c r="J271" s="8"/>
      <c r="K271" s="14"/>
      <c r="L271" s="8"/>
      <c r="M271" s="15" t="str">
        <f aca="false">IF($A271="","",IF(COUNTIF($A$3:$A$502,$A271)&gt;1,"중복","-"))</f>
        <v/>
      </c>
      <c r="N271" s="8"/>
    </row>
    <row r="272" customFormat="false" ht="15" hidden="false" customHeight="true" outlineLevel="0" collapsed="false">
      <c r="A272" s="8"/>
      <c r="B272" s="8"/>
      <c r="C272" s="8"/>
      <c r="D272" s="10"/>
      <c r="E272" s="10"/>
      <c r="F272" s="10"/>
      <c r="G272" s="11" t="str">
        <f aca="false">IF($A272="","",IF(AND($D272="",$E272="",$F272=""),"",IF($D272="","",$D272)&amp;IF($E272="",""," × "&amp;$E272)&amp;IF($F272=""," "," × ")&amp;IF($F272="","",$F272)&amp;"t"))</f>
        <v/>
      </c>
      <c r="H272" s="12"/>
      <c r="I272" s="13" t="str">
        <f aca="false">IF($A272="","",IF(OR($D272="",$E272="",$F272="",$H272=""),"",ROUND($D272*$E272*$F272*$H272/1000000,2)))</f>
        <v/>
      </c>
      <c r="J272" s="8"/>
      <c r="K272" s="14"/>
      <c r="L272" s="8"/>
      <c r="M272" s="15" t="str">
        <f aca="false">IF($A272="","",IF(COUNTIF($A$3:$A$502,$A272)&gt;1,"중복","-"))</f>
        <v/>
      </c>
      <c r="N272" s="8"/>
    </row>
    <row r="273" customFormat="false" ht="15" hidden="false" customHeight="true" outlineLevel="0" collapsed="false">
      <c r="A273" s="8"/>
      <c r="B273" s="8"/>
      <c r="C273" s="8"/>
      <c r="D273" s="10"/>
      <c r="E273" s="10"/>
      <c r="F273" s="10"/>
      <c r="G273" s="11" t="str">
        <f aca="false">IF($A273="","",IF(AND($D273="",$E273="",$F273=""),"",IF($D273="","",$D273)&amp;IF($E273="",""," × "&amp;$E273)&amp;IF($F273=""," "," × ")&amp;IF($F273="","",$F273)&amp;"t"))</f>
        <v/>
      </c>
      <c r="H273" s="12"/>
      <c r="I273" s="13" t="str">
        <f aca="false">IF($A273="","",IF(OR($D273="",$E273="",$F273="",$H273=""),"",ROUND($D273*$E273*$F273*$H273/1000000,2)))</f>
        <v/>
      </c>
      <c r="J273" s="8"/>
      <c r="K273" s="14"/>
      <c r="L273" s="8"/>
      <c r="M273" s="15" t="str">
        <f aca="false">IF($A273="","",IF(COUNTIF($A$3:$A$502,$A273)&gt;1,"중복","-"))</f>
        <v/>
      </c>
      <c r="N273" s="8"/>
    </row>
    <row r="274" customFormat="false" ht="15" hidden="false" customHeight="true" outlineLevel="0" collapsed="false">
      <c r="A274" s="8"/>
      <c r="B274" s="8"/>
      <c r="C274" s="8"/>
      <c r="D274" s="10"/>
      <c r="E274" s="10"/>
      <c r="F274" s="10"/>
      <c r="G274" s="11" t="str">
        <f aca="false">IF($A274="","",IF(AND($D274="",$E274="",$F274=""),"",IF($D274="","",$D274)&amp;IF($E274="",""," × "&amp;$E274)&amp;IF($F274=""," "," × ")&amp;IF($F274="","",$F274)&amp;"t"))</f>
        <v/>
      </c>
      <c r="H274" s="12"/>
      <c r="I274" s="13" t="str">
        <f aca="false">IF($A274="","",IF(OR($D274="",$E274="",$F274="",$H274=""),"",ROUND($D274*$E274*$F274*$H274/1000000,2)))</f>
        <v/>
      </c>
      <c r="J274" s="8"/>
      <c r="K274" s="14"/>
      <c r="L274" s="8"/>
      <c r="M274" s="15" t="str">
        <f aca="false">IF($A274="","",IF(COUNTIF($A$3:$A$502,$A274)&gt;1,"중복","-"))</f>
        <v/>
      </c>
      <c r="N274" s="8"/>
    </row>
    <row r="275" customFormat="false" ht="15" hidden="false" customHeight="true" outlineLevel="0" collapsed="false">
      <c r="A275" s="8"/>
      <c r="B275" s="8"/>
      <c r="C275" s="8"/>
      <c r="D275" s="10"/>
      <c r="E275" s="10"/>
      <c r="F275" s="10"/>
      <c r="G275" s="11" t="str">
        <f aca="false">IF($A275="","",IF(AND($D275="",$E275="",$F275=""),"",IF($D275="","",$D275)&amp;IF($E275="",""," × "&amp;$E275)&amp;IF($F275=""," "," × ")&amp;IF($F275="","",$F275)&amp;"t"))</f>
        <v/>
      </c>
      <c r="H275" s="12"/>
      <c r="I275" s="13" t="str">
        <f aca="false">IF($A275="","",IF(OR($D275="",$E275="",$F275="",$H275=""),"",ROUND($D275*$E275*$F275*$H275/1000000,2)))</f>
        <v/>
      </c>
      <c r="J275" s="8"/>
      <c r="K275" s="14"/>
      <c r="L275" s="8"/>
      <c r="M275" s="15" t="str">
        <f aca="false">IF($A275="","",IF(COUNTIF($A$3:$A$502,$A275)&gt;1,"중복","-"))</f>
        <v/>
      </c>
      <c r="N275" s="8"/>
    </row>
    <row r="276" customFormat="false" ht="15" hidden="false" customHeight="true" outlineLevel="0" collapsed="false">
      <c r="A276" s="8"/>
      <c r="B276" s="8"/>
      <c r="C276" s="8"/>
      <c r="D276" s="10"/>
      <c r="E276" s="10"/>
      <c r="F276" s="10"/>
      <c r="G276" s="11" t="str">
        <f aca="false">IF($A276="","",IF(AND($D276="",$E276="",$F276=""),"",IF($D276="","",$D276)&amp;IF($E276="",""," × "&amp;$E276)&amp;IF($F276=""," "," × ")&amp;IF($F276="","",$F276)&amp;"t"))</f>
        <v/>
      </c>
      <c r="H276" s="12"/>
      <c r="I276" s="13" t="str">
        <f aca="false">IF($A276="","",IF(OR($D276="",$E276="",$F276="",$H276=""),"",ROUND($D276*$E276*$F276*$H276/1000000,2)))</f>
        <v/>
      </c>
      <c r="J276" s="8"/>
      <c r="K276" s="14"/>
      <c r="L276" s="8"/>
      <c r="M276" s="15" t="str">
        <f aca="false">IF($A276="","",IF(COUNTIF($A$3:$A$502,$A276)&gt;1,"중복","-"))</f>
        <v/>
      </c>
      <c r="N276" s="8"/>
    </row>
    <row r="277" customFormat="false" ht="15" hidden="false" customHeight="true" outlineLevel="0" collapsed="false">
      <c r="A277" s="8"/>
      <c r="B277" s="8"/>
      <c r="C277" s="8"/>
      <c r="D277" s="10"/>
      <c r="E277" s="10"/>
      <c r="F277" s="10"/>
      <c r="G277" s="11" t="str">
        <f aca="false">IF($A277="","",IF(AND($D277="",$E277="",$F277=""),"",IF($D277="","",$D277)&amp;IF($E277="",""," × "&amp;$E277)&amp;IF($F277=""," "," × ")&amp;IF($F277="","",$F277)&amp;"t"))</f>
        <v/>
      </c>
      <c r="H277" s="12"/>
      <c r="I277" s="13" t="str">
        <f aca="false">IF($A277="","",IF(OR($D277="",$E277="",$F277="",$H277=""),"",ROUND($D277*$E277*$F277*$H277/1000000,2)))</f>
        <v/>
      </c>
      <c r="J277" s="8"/>
      <c r="K277" s="14"/>
      <c r="L277" s="8"/>
      <c r="M277" s="15" t="str">
        <f aca="false">IF($A277="","",IF(COUNTIF($A$3:$A$502,$A277)&gt;1,"중복","-"))</f>
        <v/>
      </c>
      <c r="N277" s="8"/>
    </row>
    <row r="278" customFormat="false" ht="15" hidden="false" customHeight="true" outlineLevel="0" collapsed="false">
      <c r="A278" s="8"/>
      <c r="B278" s="8"/>
      <c r="C278" s="8"/>
      <c r="D278" s="10"/>
      <c r="E278" s="10"/>
      <c r="F278" s="10"/>
      <c r="G278" s="11" t="str">
        <f aca="false">IF($A278="","",IF(AND($D278="",$E278="",$F278=""),"",IF($D278="","",$D278)&amp;IF($E278="",""," × "&amp;$E278)&amp;IF($F278=""," "," × ")&amp;IF($F278="","",$F278)&amp;"t"))</f>
        <v/>
      </c>
      <c r="H278" s="12"/>
      <c r="I278" s="13" t="str">
        <f aca="false">IF($A278="","",IF(OR($D278="",$E278="",$F278="",$H278=""),"",ROUND($D278*$E278*$F278*$H278/1000000,2)))</f>
        <v/>
      </c>
      <c r="J278" s="8"/>
      <c r="K278" s="14"/>
      <c r="L278" s="8"/>
      <c r="M278" s="15" t="str">
        <f aca="false">IF($A278="","",IF(COUNTIF($A$3:$A$502,$A278)&gt;1,"중복","-"))</f>
        <v/>
      </c>
      <c r="N278" s="8"/>
    </row>
    <row r="279" customFormat="false" ht="15" hidden="false" customHeight="true" outlineLevel="0" collapsed="false">
      <c r="A279" s="8"/>
      <c r="B279" s="8"/>
      <c r="C279" s="8"/>
      <c r="D279" s="10"/>
      <c r="E279" s="10"/>
      <c r="F279" s="10"/>
      <c r="G279" s="11" t="str">
        <f aca="false">IF($A279="","",IF(AND($D279="",$E279="",$F279=""),"",IF($D279="","",$D279)&amp;IF($E279="",""," × "&amp;$E279)&amp;IF($F279=""," "," × ")&amp;IF($F279="","",$F279)&amp;"t"))</f>
        <v/>
      </c>
      <c r="H279" s="12"/>
      <c r="I279" s="13" t="str">
        <f aca="false">IF($A279="","",IF(OR($D279="",$E279="",$F279="",$H279=""),"",ROUND($D279*$E279*$F279*$H279/1000000,2)))</f>
        <v/>
      </c>
      <c r="J279" s="8"/>
      <c r="K279" s="14"/>
      <c r="L279" s="8"/>
      <c r="M279" s="15" t="str">
        <f aca="false">IF($A279="","",IF(COUNTIF($A$3:$A$502,$A279)&gt;1,"중복","-"))</f>
        <v/>
      </c>
      <c r="N279" s="8"/>
    </row>
    <row r="280" customFormat="false" ht="15" hidden="false" customHeight="true" outlineLevel="0" collapsed="false">
      <c r="A280" s="8"/>
      <c r="B280" s="8"/>
      <c r="C280" s="8"/>
      <c r="D280" s="10"/>
      <c r="E280" s="10"/>
      <c r="F280" s="10"/>
      <c r="G280" s="11" t="str">
        <f aca="false">IF($A280="","",IF(AND($D280="",$E280="",$F280=""),"",IF($D280="","",$D280)&amp;IF($E280="",""," × "&amp;$E280)&amp;IF($F280=""," "," × ")&amp;IF($F280="","",$F280)&amp;"t"))</f>
        <v/>
      </c>
      <c r="H280" s="12"/>
      <c r="I280" s="13" t="str">
        <f aca="false">IF($A280="","",IF(OR($D280="",$E280="",$F280="",$H280=""),"",ROUND($D280*$E280*$F280*$H280/1000000,2)))</f>
        <v/>
      </c>
      <c r="J280" s="8"/>
      <c r="K280" s="14"/>
      <c r="L280" s="8"/>
      <c r="M280" s="15" t="str">
        <f aca="false">IF($A280="","",IF(COUNTIF($A$3:$A$502,$A280)&gt;1,"중복","-"))</f>
        <v/>
      </c>
      <c r="N280" s="8"/>
    </row>
    <row r="281" customFormat="false" ht="15" hidden="false" customHeight="true" outlineLevel="0" collapsed="false">
      <c r="A281" s="8"/>
      <c r="B281" s="8"/>
      <c r="C281" s="8"/>
      <c r="D281" s="10"/>
      <c r="E281" s="10"/>
      <c r="F281" s="10"/>
      <c r="G281" s="11" t="str">
        <f aca="false">IF($A281="","",IF(AND($D281="",$E281="",$F281=""),"",IF($D281="","",$D281)&amp;IF($E281="",""," × "&amp;$E281)&amp;IF($F281=""," "," × ")&amp;IF($F281="","",$F281)&amp;"t"))</f>
        <v/>
      </c>
      <c r="H281" s="12"/>
      <c r="I281" s="13" t="str">
        <f aca="false">IF($A281="","",IF(OR($D281="",$E281="",$F281="",$H281=""),"",ROUND($D281*$E281*$F281*$H281/1000000,2)))</f>
        <v/>
      </c>
      <c r="J281" s="8"/>
      <c r="K281" s="14"/>
      <c r="L281" s="8"/>
      <c r="M281" s="15" t="str">
        <f aca="false">IF($A281="","",IF(COUNTIF($A$3:$A$502,$A281)&gt;1,"중복","-"))</f>
        <v/>
      </c>
      <c r="N281" s="8"/>
    </row>
    <row r="282" customFormat="false" ht="15" hidden="false" customHeight="true" outlineLevel="0" collapsed="false">
      <c r="A282" s="8"/>
      <c r="B282" s="8"/>
      <c r="C282" s="8"/>
      <c r="D282" s="10"/>
      <c r="E282" s="10"/>
      <c r="F282" s="10"/>
      <c r="G282" s="11" t="str">
        <f aca="false">IF($A282="","",IF(AND($D282="",$E282="",$F282=""),"",IF($D282="","",$D282)&amp;IF($E282="",""," × "&amp;$E282)&amp;IF($F282=""," "," × ")&amp;IF($F282="","",$F282)&amp;"t"))</f>
        <v/>
      </c>
      <c r="H282" s="12"/>
      <c r="I282" s="13" t="str">
        <f aca="false">IF($A282="","",IF(OR($D282="",$E282="",$F282="",$H282=""),"",ROUND($D282*$E282*$F282*$H282/1000000,2)))</f>
        <v/>
      </c>
      <c r="J282" s="8"/>
      <c r="K282" s="14"/>
      <c r="L282" s="8"/>
      <c r="M282" s="15" t="str">
        <f aca="false">IF($A282="","",IF(COUNTIF($A$3:$A$502,$A282)&gt;1,"중복","-"))</f>
        <v/>
      </c>
      <c r="N282" s="8"/>
    </row>
    <row r="283" customFormat="false" ht="15" hidden="false" customHeight="true" outlineLevel="0" collapsed="false">
      <c r="A283" s="8"/>
      <c r="B283" s="8"/>
      <c r="C283" s="8"/>
      <c r="D283" s="10"/>
      <c r="E283" s="10"/>
      <c r="F283" s="10"/>
      <c r="G283" s="11" t="str">
        <f aca="false">IF($A283="","",IF(AND($D283="",$E283="",$F283=""),"",IF($D283="","",$D283)&amp;IF($E283="",""," × "&amp;$E283)&amp;IF($F283=""," "," × ")&amp;IF($F283="","",$F283)&amp;"t"))</f>
        <v/>
      </c>
      <c r="H283" s="12"/>
      <c r="I283" s="13" t="str">
        <f aca="false">IF($A283="","",IF(OR($D283="",$E283="",$F283="",$H283=""),"",ROUND($D283*$E283*$F283*$H283/1000000,2)))</f>
        <v/>
      </c>
      <c r="J283" s="8"/>
      <c r="K283" s="14"/>
      <c r="L283" s="8"/>
      <c r="M283" s="15" t="str">
        <f aca="false">IF($A283="","",IF(COUNTIF($A$3:$A$502,$A283)&gt;1,"중복","-"))</f>
        <v/>
      </c>
      <c r="N283" s="8"/>
    </row>
    <row r="284" customFormat="false" ht="15" hidden="false" customHeight="true" outlineLevel="0" collapsed="false">
      <c r="A284" s="8"/>
      <c r="B284" s="8"/>
      <c r="C284" s="8"/>
      <c r="D284" s="10"/>
      <c r="E284" s="10"/>
      <c r="F284" s="10"/>
      <c r="G284" s="11" t="str">
        <f aca="false">IF($A284="","",IF(AND($D284="",$E284="",$F284=""),"",IF($D284="","",$D284)&amp;IF($E284="",""," × "&amp;$E284)&amp;IF($F284=""," "," × ")&amp;IF($F284="","",$F284)&amp;"t"))</f>
        <v/>
      </c>
      <c r="H284" s="12"/>
      <c r="I284" s="13" t="str">
        <f aca="false">IF($A284="","",IF(OR($D284="",$E284="",$F284="",$H284=""),"",ROUND($D284*$E284*$F284*$H284/1000000,2)))</f>
        <v/>
      </c>
      <c r="J284" s="8"/>
      <c r="K284" s="14"/>
      <c r="L284" s="8"/>
      <c r="M284" s="15" t="str">
        <f aca="false">IF($A284="","",IF(COUNTIF($A$3:$A$502,$A284)&gt;1,"중복","-"))</f>
        <v/>
      </c>
      <c r="N284" s="8"/>
    </row>
    <row r="285" customFormat="false" ht="15" hidden="false" customHeight="true" outlineLevel="0" collapsed="false">
      <c r="A285" s="8"/>
      <c r="B285" s="8"/>
      <c r="C285" s="8"/>
      <c r="D285" s="10"/>
      <c r="E285" s="10"/>
      <c r="F285" s="10"/>
      <c r="G285" s="11" t="str">
        <f aca="false">IF($A285="","",IF(AND($D285="",$E285="",$F285=""),"",IF($D285="","",$D285)&amp;IF($E285="",""," × "&amp;$E285)&amp;IF($F285=""," "," × ")&amp;IF($F285="","",$F285)&amp;"t"))</f>
        <v/>
      </c>
      <c r="H285" s="12"/>
      <c r="I285" s="13" t="str">
        <f aca="false">IF($A285="","",IF(OR($D285="",$E285="",$F285="",$H285=""),"",ROUND($D285*$E285*$F285*$H285/1000000,2)))</f>
        <v/>
      </c>
      <c r="J285" s="8"/>
      <c r="K285" s="14"/>
      <c r="L285" s="8"/>
      <c r="M285" s="15" t="str">
        <f aca="false">IF($A285="","",IF(COUNTIF($A$3:$A$502,$A285)&gt;1,"중복","-"))</f>
        <v/>
      </c>
      <c r="N285" s="8"/>
    </row>
    <row r="286" customFormat="false" ht="15" hidden="false" customHeight="true" outlineLevel="0" collapsed="false">
      <c r="A286" s="8"/>
      <c r="B286" s="8"/>
      <c r="C286" s="8"/>
      <c r="D286" s="10"/>
      <c r="E286" s="10"/>
      <c r="F286" s="10"/>
      <c r="G286" s="11" t="str">
        <f aca="false">IF($A286="","",IF(AND($D286="",$E286="",$F286=""),"",IF($D286="","",$D286)&amp;IF($E286="",""," × "&amp;$E286)&amp;IF($F286=""," "," × ")&amp;IF($F286="","",$F286)&amp;"t"))</f>
        <v/>
      </c>
      <c r="H286" s="12"/>
      <c r="I286" s="13" t="str">
        <f aca="false">IF($A286="","",IF(OR($D286="",$E286="",$F286="",$H286=""),"",ROUND($D286*$E286*$F286*$H286/1000000,2)))</f>
        <v/>
      </c>
      <c r="J286" s="8"/>
      <c r="K286" s="14"/>
      <c r="L286" s="8"/>
      <c r="M286" s="15" t="str">
        <f aca="false">IF($A286="","",IF(COUNTIF($A$3:$A$502,$A286)&gt;1,"중복","-"))</f>
        <v/>
      </c>
      <c r="N286" s="8"/>
    </row>
    <row r="287" customFormat="false" ht="15" hidden="false" customHeight="true" outlineLevel="0" collapsed="false">
      <c r="A287" s="8"/>
      <c r="B287" s="8"/>
      <c r="C287" s="8"/>
      <c r="D287" s="10"/>
      <c r="E287" s="10"/>
      <c r="F287" s="10"/>
      <c r="G287" s="11" t="str">
        <f aca="false">IF($A287="","",IF(AND($D287="",$E287="",$F287=""),"",IF($D287="","",$D287)&amp;IF($E287="",""," × "&amp;$E287)&amp;IF($F287=""," "," × ")&amp;IF($F287="","",$F287)&amp;"t"))</f>
        <v/>
      </c>
      <c r="H287" s="12"/>
      <c r="I287" s="13" t="str">
        <f aca="false">IF($A287="","",IF(OR($D287="",$E287="",$F287="",$H287=""),"",ROUND($D287*$E287*$F287*$H287/1000000,2)))</f>
        <v/>
      </c>
      <c r="J287" s="8"/>
      <c r="K287" s="14"/>
      <c r="L287" s="8"/>
      <c r="M287" s="15" t="str">
        <f aca="false">IF($A287="","",IF(COUNTIF($A$3:$A$502,$A287)&gt;1,"중복","-"))</f>
        <v/>
      </c>
      <c r="N287" s="8"/>
    </row>
    <row r="288" customFormat="false" ht="15" hidden="false" customHeight="true" outlineLevel="0" collapsed="false">
      <c r="A288" s="8"/>
      <c r="B288" s="8"/>
      <c r="C288" s="8"/>
      <c r="D288" s="10"/>
      <c r="E288" s="10"/>
      <c r="F288" s="10"/>
      <c r="G288" s="11" t="str">
        <f aca="false">IF($A288="","",IF(AND($D288="",$E288="",$F288=""),"",IF($D288="","",$D288)&amp;IF($E288="",""," × "&amp;$E288)&amp;IF($F288=""," "," × ")&amp;IF($F288="","",$F288)&amp;"t"))</f>
        <v/>
      </c>
      <c r="H288" s="12"/>
      <c r="I288" s="13" t="str">
        <f aca="false">IF($A288="","",IF(OR($D288="",$E288="",$F288="",$H288=""),"",ROUND($D288*$E288*$F288*$H288/1000000,2)))</f>
        <v/>
      </c>
      <c r="J288" s="8"/>
      <c r="K288" s="14"/>
      <c r="L288" s="8"/>
      <c r="M288" s="15" t="str">
        <f aca="false">IF($A288="","",IF(COUNTIF($A$3:$A$502,$A288)&gt;1,"중복","-"))</f>
        <v/>
      </c>
      <c r="N288" s="8"/>
    </row>
    <row r="289" customFormat="false" ht="15" hidden="false" customHeight="true" outlineLevel="0" collapsed="false">
      <c r="A289" s="8"/>
      <c r="B289" s="8"/>
      <c r="C289" s="8"/>
      <c r="D289" s="10"/>
      <c r="E289" s="10"/>
      <c r="F289" s="10"/>
      <c r="G289" s="11" t="str">
        <f aca="false">IF($A289="","",IF(AND($D289="",$E289="",$F289=""),"",IF($D289="","",$D289)&amp;IF($E289="",""," × "&amp;$E289)&amp;IF($F289=""," "," × ")&amp;IF($F289="","",$F289)&amp;"t"))</f>
        <v/>
      </c>
      <c r="H289" s="12"/>
      <c r="I289" s="13" t="str">
        <f aca="false">IF($A289="","",IF(OR($D289="",$E289="",$F289="",$H289=""),"",ROUND($D289*$E289*$F289*$H289/1000000,2)))</f>
        <v/>
      </c>
      <c r="J289" s="8"/>
      <c r="K289" s="14"/>
      <c r="L289" s="8"/>
      <c r="M289" s="15" t="str">
        <f aca="false">IF($A289="","",IF(COUNTIF($A$3:$A$502,$A289)&gt;1,"중복","-"))</f>
        <v/>
      </c>
      <c r="N289" s="8"/>
    </row>
    <row r="290" customFormat="false" ht="15" hidden="false" customHeight="true" outlineLevel="0" collapsed="false">
      <c r="A290" s="8"/>
      <c r="B290" s="8"/>
      <c r="C290" s="8"/>
      <c r="D290" s="10"/>
      <c r="E290" s="10"/>
      <c r="F290" s="10"/>
      <c r="G290" s="11" t="str">
        <f aca="false">IF($A290="","",IF(AND($D290="",$E290="",$F290=""),"",IF($D290="","",$D290)&amp;IF($E290="",""," × "&amp;$E290)&amp;IF($F290=""," "," × ")&amp;IF($F290="","",$F290)&amp;"t"))</f>
        <v/>
      </c>
      <c r="H290" s="12"/>
      <c r="I290" s="13" t="str">
        <f aca="false">IF($A290="","",IF(OR($D290="",$E290="",$F290="",$H290=""),"",ROUND($D290*$E290*$F290*$H290/1000000,2)))</f>
        <v/>
      </c>
      <c r="J290" s="8"/>
      <c r="K290" s="14"/>
      <c r="L290" s="8"/>
      <c r="M290" s="15" t="str">
        <f aca="false">IF($A290="","",IF(COUNTIF($A$3:$A$502,$A290)&gt;1,"중복","-"))</f>
        <v/>
      </c>
      <c r="N290" s="8"/>
    </row>
    <row r="291" customFormat="false" ht="15" hidden="false" customHeight="true" outlineLevel="0" collapsed="false">
      <c r="A291" s="8"/>
      <c r="B291" s="8"/>
      <c r="C291" s="8"/>
      <c r="D291" s="10"/>
      <c r="E291" s="10"/>
      <c r="F291" s="10"/>
      <c r="G291" s="11" t="str">
        <f aca="false">IF($A291="","",IF(AND($D291="",$E291="",$F291=""),"",IF($D291="","",$D291)&amp;IF($E291="",""," × "&amp;$E291)&amp;IF($F291=""," "," × ")&amp;IF($F291="","",$F291)&amp;"t"))</f>
        <v/>
      </c>
      <c r="H291" s="12"/>
      <c r="I291" s="13" t="str">
        <f aca="false">IF($A291="","",IF(OR($D291="",$E291="",$F291="",$H291=""),"",ROUND($D291*$E291*$F291*$H291/1000000,2)))</f>
        <v/>
      </c>
      <c r="J291" s="8"/>
      <c r="K291" s="14"/>
      <c r="L291" s="8"/>
      <c r="M291" s="15" t="str">
        <f aca="false">IF($A291="","",IF(COUNTIF($A$3:$A$502,$A291)&gt;1,"중복","-"))</f>
        <v/>
      </c>
      <c r="N291" s="8"/>
    </row>
    <row r="292" customFormat="false" ht="15" hidden="false" customHeight="true" outlineLevel="0" collapsed="false">
      <c r="A292" s="8"/>
      <c r="B292" s="8"/>
      <c r="C292" s="8"/>
      <c r="D292" s="10"/>
      <c r="E292" s="10"/>
      <c r="F292" s="10"/>
      <c r="G292" s="11" t="str">
        <f aca="false">IF($A292="","",IF(AND($D292="",$E292="",$F292=""),"",IF($D292="","",$D292)&amp;IF($E292="",""," × "&amp;$E292)&amp;IF($F292=""," "," × ")&amp;IF($F292="","",$F292)&amp;"t"))</f>
        <v/>
      </c>
      <c r="H292" s="12"/>
      <c r="I292" s="13" t="str">
        <f aca="false">IF($A292="","",IF(OR($D292="",$E292="",$F292="",$H292=""),"",ROUND($D292*$E292*$F292*$H292/1000000,2)))</f>
        <v/>
      </c>
      <c r="J292" s="8"/>
      <c r="K292" s="14"/>
      <c r="L292" s="8"/>
      <c r="M292" s="15" t="str">
        <f aca="false">IF($A292="","",IF(COUNTIF($A$3:$A$502,$A292)&gt;1,"중복","-"))</f>
        <v/>
      </c>
      <c r="N292" s="8"/>
    </row>
    <row r="293" customFormat="false" ht="15" hidden="false" customHeight="true" outlineLevel="0" collapsed="false">
      <c r="A293" s="8"/>
      <c r="B293" s="8"/>
      <c r="C293" s="8"/>
      <c r="D293" s="10"/>
      <c r="E293" s="10"/>
      <c r="F293" s="10"/>
      <c r="G293" s="11" t="str">
        <f aca="false">IF($A293="","",IF(AND($D293="",$E293="",$F293=""),"",IF($D293="","",$D293)&amp;IF($E293="",""," × "&amp;$E293)&amp;IF($F293=""," "," × ")&amp;IF($F293="","",$F293)&amp;"t"))</f>
        <v/>
      </c>
      <c r="H293" s="12"/>
      <c r="I293" s="13" t="str">
        <f aca="false">IF($A293="","",IF(OR($D293="",$E293="",$F293="",$H293=""),"",ROUND($D293*$E293*$F293*$H293/1000000,2)))</f>
        <v/>
      </c>
      <c r="J293" s="8"/>
      <c r="K293" s="14"/>
      <c r="L293" s="8"/>
      <c r="M293" s="15" t="str">
        <f aca="false">IF($A293="","",IF(COUNTIF($A$3:$A$502,$A293)&gt;1,"중복","-"))</f>
        <v/>
      </c>
      <c r="N293" s="8"/>
    </row>
    <row r="294" customFormat="false" ht="15" hidden="false" customHeight="true" outlineLevel="0" collapsed="false">
      <c r="A294" s="8"/>
      <c r="B294" s="8"/>
      <c r="C294" s="8"/>
      <c r="D294" s="10"/>
      <c r="E294" s="10"/>
      <c r="F294" s="10"/>
      <c r="G294" s="11" t="str">
        <f aca="false">IF($A294="","",IF(AND($D294="",$E294="",$F294=""),"",IF($D294="","",$D294)&amp;IF($E294="",""," × "&amp;$E294)&amp;IF($F294=""," "," × ")&amp;IF($F294="","",$F294)&amp;"t"))</f>
        <v/>
      </c>
      <c r="H294" s="12"/>
      <c r="I294" s="13" t="str">
        <f aca="false">IF($A294="","",IF(OR($D294="",$E294="",$F294="",$H294=""),"",ROUND($D294*$E294*$F294*$H294/1000000,2)))</f>
        <v/>
      </c>
      <c r="J294" s="8"/>
      <c r="K294" s="14"/>
      <c r="L294" s="8"/>
      <c r="M294" s="15" t="str">
        <f aca="false">IF($A294="","",IF(COUNTIF($A$3:$A$502,$A294)&gt;1,"중복","-"))</f>
        <v/>
      </c>
      <c r="N294" s="8"/>
    </row>
    <row r="295" customFormat="false" ht="15" hidden="false" customHeight="true" outlineLevel="0" collapsed="false">
      <c r="A295" s="8"/>
      <c r="B295" s="8"/>
      <c r="C295" s="8"/>
      <c r="D295" s="10"/>
      <c r="E295" s="10"/>
      <c r="F295" s="10"/>
      <c r="G295" s="11" t="str">
        <f aca="false">IF($A295="","",IF(AND($D295="",$E295="",$F295=""),"",IF($D295="","",$D295)&amp;IF($E295="",""," × "&amp;$E295)&amp;IF($F295=""," "," × ")&amp;IF($F295="","",$F295)&amp;"t"))</f>
        <v/>
      </c>
      <c r="H295" s="12"/>
      <c r="I295" s="13" t="str">
        <f aca="false">IF($A295="","",IF(OR($D295="",$E295="",$F295="",$H295=""),"",ROUND($D295*$E295*$F295*$H295/1000000,2)))</f>
        <v/>
      </c>
      <c r="J295" s="8"/>
      <c r="K295" s="14"/>
      <c r="L295" s="8"/>
      <c r="M295" s="15" t="str">
        <f aca="false">IF($A295="","",IF(COUNTIF($A$3:$A$502,$A295)&gt;1,"중복","-"))</f>
        <v/>
      </c>
      <c r="N295" s="8"/>
    </row>
    <row r="296" customFormat="false" ht="15" hidden="false" customHeight="true" outlineLevel="0" collapsed="false">
      <c r="A296" s="8"/>
      <c r="B296" s="8"/>
      <c r="C296" s="8"/>
      <c r="D296" s="10"/>
      <c r="E296" s="10"/>
      <c r="F296" s="10"/>
      <c r="G296" s="11" t="str">
        <f aca="false">IF($A296="","",IF(AND($D296="",$E296="",$F296=""),"",IF($D296="","",$D296)&amp;IF($E296="",""," × "&amp;$E296)&amp;IF($F296=""," "," × ")&amp;IF($F296="","",$F296)&amp;"t"))</f>
        <v/>
      </c>
      <c r="H296" s="12"/>
      <c r="I296" s="13" t="str">
        <f aca="false">IF($A296="","",IF(OR($D296="",$E296="",$F296="",$H296=""),"",ROUND($D296*$E296*$F296*$H296/1000000,2)))</f>
        <v/>
      </c>
      <c r="J296" s="8"/>
      <c r="K296" s="14"/>
      <c r="L296" s="8"/>
      <c r="M296" s="15" t="str">
        <f aca="false">IF($A296="","",IF(COUNTIF($A$3:$A$502,$A296)&gt;1,"중복","-"))</f>
        <v/>
      </c>
      <c r="N296" s="8"/>
    </row>
    <row r="297" customFormat="false" ht="15" hidden="false" customHeight="true" outlineLevel="0" collapsed="false">
      <c r="A297" s="8"/>
      <c r="B297" s="8"/>
      <c r="C297" s="8"/>
      <c r="D297" s="10"/>
      <c r="E297" s="10"/>
      <c r="F297" s="10"/>
      <c r="G297" s="11" t="str">
        <f aca="false">IF($A297="","",IF(AND($D297="",$E297="",$F297=""),"",IF($D297="","",$D297)&amp;IF($E297="",""," × "&amp;$E297)&amp;IF($F297=""," "," × ")&amp;IF($F297="","",$F297)&amp;"t"))</f>
        <v/>
      </c>
      <c r="H297" s="12"/>
      <c r="I297" s="13" t="str">
        <f aca="false">IF($A297="","",IF(OR($D297="",$E297="",$F297="",$H297=""),"",ROUND($D297*$E297*$F297*$H297/1000000,2)))</f>
        <v/>
      </c>
      <c r="J297" s="8"/>
      <c r="K297" s="14"/>
      <c r="L297" s="8"/>
      <c r="M297" s="15" t="str">
        <f aca="false">IF($A297="","",IF(COUNTIF($A$3:$A$502,$A297)&gt;1,"중복","-"))</f>
        <v/>
      </c>
      <c r="N297" s="8"/>
    </row>
    <row r="298" customFormat="false" ht="15" hidden="false" customHeight="true" outlineLevel="0" collapsed="false">
      <c r="A298" s="8"/>
      <c r="B298" s="8"/>
      <c r="C298" s="8"/>
      <c r="D298" s="10"/>
      <c r="E298" s="10"/>
      <c r="F298" s="10"/>
      <c r="G298" s="11" t="str">
        <f aca="false">IF($A298="","",IF(AND($D298="",$E298="",$F298=""),"",IF($D298="","",$D298)&amp;IF($E298="",""," × "&amp;$E298)&amp;IF($F298=""," "," × ")&amp;IF($F298="","",$F298)&amp;"t"))</f>
        <v/>
      </c>
      <c r="H298" s="12"/>
      <c r="I298" s="13" t="str">
        <f aca="false">IF($A298="","",IF(OR($D298="",$E298="",$F298="",$H298=""),"",ROUND($D298*$E298*$F298*$H298/1000000,2)))</f>
        <v/>
      </c>
      <c r="J298" s="8"/>
      <c r="K298" s="14"/>
      <c r="L298" s="8"/>
      <c r="M298" s="15" t="str">
        <f aca="false">IF($A298="","",IF(COUNTIF($A$3:$A$502,$A298)&gt;1,"중복","-"))</f>
        <v/>
      </c>
      <c r="N298" s="8"/>
    </row>
    <row r="299" customFormat="false" ht="15" hidden="false" customHeight="true" outlineLevel="0" collapsed="false">
      <c r="A299" s="8"/>
      <c r="B299" s="8"/>
      <c r="C299" s="8"/>
      <c r="D299" s="10"/>
      <c r="E299" s="10"/>
      <c r="F299" s="10"/>
      <c r="G299" s="11" t="str">
        <f aca="false">IF($A299="","",IF(AND($D299="",$E299="",$F299=""),"",IF($D299="","",$D299)&amp;IF($E299="",""," × "&amp;$E299)&amp;IF($F299=""," "," × ")&amp;IF($F299="","",$F299)&amp;"t"))</f>
        <v/>
      </c>
      <c r="H299" s="12"/>
      <c r="I299" s="13" t="str">
        <f aca="false">IF($A299="","",IF(OR($D299="",$E299="",$F299="",$H299=""),"",ROUND($D299*$E299*$F299*$H299/1000000,2)))</f>
        <v/>
      </c>
      <c r="J299" s="8"/>
      <c r="K299" s="14"/>
      <c r="L299" s="8"/>
      <c r="M299" s="15" t="str">
        <f aca="false">IF($A299="","",IF(COUNTIF($A$3:$A$502,$A299)&gt;1,"중복","-"))</f>
        <v/>
      </c>
      <c r="N299" s="8"/>
    </row>
    <row r="300" customFormat="false" ht="15" hidden="false" customHeight="true" outlineLevel="0" collapsed="false">
      <c r="A300" s="8"/>
      <c r="B300" s="8"/>
      <c r="C300" s="8"/>
      <c r="D300" s="10"/>
      <c r="E300" s="10"/>
      <c r="F300" s="10"/>
      <c r="G300" s="11" t="str">
        <f aca="false">IF($A300="","",IF(AND($D300="",$E300="",$F300=""),"",IF($D300="","",$D300)&amp;IF($E300="",""," × "&amp;$E300)&amp;IF($F300=""," "," × ")&amp;IF($F300="","",$F300)&amp;"t"))</f>
        <v/>
      </c>
      <c r="H300" s="12"/>
      <c r="I300" s="13" t="str">
        <f aca="false">IF($A300="","",IF(OR($D300="",$E300="",$F300="",$H300=""),"",ROUND($D300*$E300*$F300*$H300/1000000,2)))</f>
        <v/>
      </c>
      <c r="J300" s="8"/>
      <c r="K300" s="14"/>
      <c r="L300" s="8"/>
      <c r="M300" s="15" t="str">
        <f aca="false">IF($A300="","",IF(COUNTIF($A$3:$A$502,$A300)&gt;1,"중복","-"))</f>
        <v/>
      </c>
      <c r="N300" s="8"/>
    </row>
    <row r="301" customFormat="false" ht="15" hidden="false" customHeight="true" outlineLevel="0" collapsed="false">
      <c r="A301" s="8"/>
      <c r="B301" s="8"/>
      <c r="C301" s="8"/>
      <c r="D301" s="10"/>
      <c r="E301" s="10"/>
      <c r="F301" s="10"/>
      <c r="G301" s="11" t="str">
        <f aca="false">IF($A301="","",IF(AND($D301="",$E301="",$F301=""),"",IF($D301="","",$D301)&amp;IF($E301="",""," × "&amp;$E301)&amp;IF($F301=""," "," × ")&amp;IF($F301="","",$F301)&amp;"t"))</f>
        <v/>
      </c>
      <c r="H301" s="12"/>
      <c r="I301" s="13" t="str">
        <f aca="false">IF($A301="","",IF(OR($D301="",$E301="",$F301="",$H301=""),"",ROUND($D301*$E301*$F301*$H301/1000000,2)))</f>
        <v/>
      </c>
      <c r="J301" s="8"/>
      <c r="K301" s="14"/>
      <c r="L301" s="8"/>
      <c r="M301" s="15" t="str">
        <f aca="false">IF($A301="","",IF(COUNTIF($A$3:$A$502,$A301)&gt;1,"중복","-"))</f>
        <v/>
      </c>
      <c r="N301" s="8"/>
    </row>
    <row r="302" customFormat="false" ht="15" hidden="false" customHeight="true" outlineLevel="0" collapsed="false">
      <c r="A302" s="8"/>
      <c r="B302" s="8"/>
      <c r="C302" s="8"/>
      <c r="D302" s="10"/>
      <c r="E302" s="10"/>
      <c r="F302" s="10"/>
      <c r="G302" s="11" t="str">
        <f aca="false">IF($A302="","",IF(AND($D302="",$E302="",$F302=""),"",IF($D302="","",$D302)&amp;IF($E302="",""," × "&amp;$E302)&amp;IF($F302=""," "," × ")&amp;IF($F302="","",$F302)&amp;"t"))</f>
        <v/>
      </c>
      <c r="H302" s="12"/>
      <c r="I302" s="13" t="str">
        <f aca="false">IF($A302="","",IF(OR($D302="",$E302="",$F302="",$H302=""),"",ROUND($D302*$E302*$F302*$H302/1000000,2)))</f>
        <v/>
      </c>
      <c r="J302" s="8"/>
      <c r="K302" s="14"/>
      <c r="L302" s="8"/>
      <c r="M302" s="15" t="str">
        <f aca="false">IF($A302="","",IF(COUNTIF($A$3:$A$502,$A302)&gt;1,"중복","-"))</f>
        <v/>
      </c>
      <c r="N302" s="8"/>
    </row>
    <row r="303" customFormat="false" ht="15" hidden="false" customHeight="true" outlineLevel="0" collapsed="false">
      <c r="A303" s="8"/>
      <c r="B303" s="8"/>
      <c r="C303" s="8"/>
      <c r="D303" s="10"/>
      <c r="E303" s="10"/>
      <c r="F303" s="10"/>
      <c r="G303" s="11" t="str">
        <f aca="false">IF($A303="","",IF(AND($D303="",$E303="",$F303=""),"",IF($D303="","",$D303)&amp;IF($E303="",""," × "&amp;$E303)&amp;IF($F303=""," "," × ")&amp;IF($F303="","",$F303)&amp;"t"))</f>
        <v/>
      </c>
      <c r="H303" s="12"/>
      <c r="I303" s="13" t="str">
        <f aca="false">IF($A303="","",IF(OR($D303="",$E303="",$F303="",$H303=""),"",ROUND($D303*$E303*$F303*$H303/1000000,2)))</f>
        <v/>
      </c>
      <c r="J303" s="8"/>
      <c r="K303" s="14"/>
      <c r="L303" s="8"/>
      <c r="M303" s="15" t="str">
        <f aca="false">IF($A303="","",IF(COUNTIF($A$3:$A$502,$A303)&gt;1,"중복","-"))</f>
        <v/>
      </c>
      <c r="N303" s="8"/>
    </row>
    <row r="304" customFormat="false" ht="15" hidden="false" customHeight="true" outlineLevel="0" collapsed="false">
      <c r="A304" s="8"/>
      <c r="B304" s="8"/>
      <c r="C304" s="8"/>
      <c r="D304" s="10"/>
      <c r="E304" s="10"/>
      <c r="F304" s="10"/>
      <c r="G304" s="11" t="str">
        <f aca="false">IF($A304="","",IF(AND($D304="",$E304="",$F304=""),"",IF($D304="","",$D304)&amp;IF($E304="",""," × "&amp;$E304)&amp;IF($F304=""," "," × ")&amp;IF($F304="","",$F304)&amp;"t"))</f>
        <v/>
      </c>
      <c r="H304" s="12"/>
      <c r="I304" s="13" t="str">
        <f aca="false">IF($A304="","",IF(OR($D304="",$E304="",$F304="",$H304=""),"",ROUND($D304*$E304*$F304*$H304/1000000,2)))</f>
        <v/>
      </c>
      <c r="J304" s="8"/>
      <c r="K304" s="14"/>
      <c r="L304" s="8"/>
      <c r="M304" s="15" t="str">
        <f aca="false">IF($A304="","",IF(COUNTIF($A$3:$A$502,$A304)&gt;1,"중복","-"))</f>
        <v/>
      </c>
      <c r="N304" s="8"/>
    </row>
    <row r="305" customFormat="false" ht="15" hidden="false" customHeight="true" outlineLevel="0" collapsed="false">
      <c r="A305" s="8"/>
      <c r="B305" s="8"/>
      <c r="C305" s="8"/>
      <c r="D305" s="10"/>
      <c r="E305" s="10"/>
      <c r="F305" s="10"/>
      <c r="G305" s="11" t="str">
        <f aca="false">IF($A305="","",IF(AND($D305="",$E305="",$F305=""),"",IF($D305="","",$D305)&amp;IF($E305="",""," × "&amp;$E305)&amp;IF($F305=""," "," × ")&amp;IF($F305="","",$F305)&amp;"t"))</f>
        <v/>
      </c>
      <c r="H305" s="12"/>
      <c r="I305" s="13" t="str">
        <f aca="false">IF($A305="","",IF(OR($D305="",$E305="",$F305="",$H305=""),"",ROUND($D305*$E305*$F305*$H305/1000000,2)))</f>
        <v/>
      </c>
      <c r="J305" s="8"/>
      <c r="K305" s="14"/>
      <c r="L305" s="8"/>
      <c r="M305" s="15" t="str">
        <f aca="false">IF($A305="","",IF(COUNTIF($A$3:$A$502,$A305)&gt;1,"중복","-"))</f>
        <v/>
      </c>
      <c r="N305" s="8"/>
    </row>
    <row r="306" customFormat="false" ht="15" hidden="false" customHeight="true" outlineLevel="0" collapsed="false">
      <c r="A306" s="8"/>
      <c r="B306" s="8"/>
      <c r="C306" s="8"/>
      <c r="D306" s="10"/>
      <c r="E306" s="10"/>
      <c r="F306" s="10"/>
      <c r="G306" s="11" t="str">
        <f aca="false">IF($A306="","",IF(AND($D306="",$E306="",$F306=""),"",IF($D306="","",$D306)&amp;IF($E306="",""," × "&amp;$E306)&amp;IF($F306=""," "," × ")&amp;IF($F306="","",$F306)&amp;"t"))</f>
        <v/>
      </c>
      <c r="H306" s="12"/>
      <c r="I306" s="13" t="str">
        <f aca="false">IF($A306="","",IF(OR($D306="",$E306="",$F306="",$H306=""),"",ROUND($D306*$E306*$F306*$H306/1000000,2)))</f>
        <v/>
      </c>
      <c r="J306" s="8"/>
      <c r="K306" s="14"/>
      <c r="L306" s="8"/>
      <c r="M306" s="15" t="str">
        <f aca="false">IF($A306="","",IF(COUNTIF($A$3:$A$502,$A306)&gt;1,"중복","-"))</f>
        <v/>
      </c>
      <c r="N306" s="8"/>
    </row>
    <row r="307" customFormat="false" ht="15" hidden="false" customHeight="true" outlineLevel="0" collapsed="false">
      <c r="A307" s="8"/>
      <c r="B307" s="8"/>
      <c r="C307" s="8"/>
      <c r="D307" s="10"/>
      <c r="E307" s="10"/>
      <c r="F307" s="10"/>
      <c r="G307" s="11" t="str">
        <f aca="false">IF($A307="","",IF(AND($D307="",$E307="",$F307=""),"",IF($D307="","",$D307)&amp;IF($E307="",""," × "&amp;$E307)&amp;IF($F307=""," "," × ")&amp;IF($F307="","",$F307)&amp;"t"))</f>
        <v/>
      </c>
      <c r="H307" s="12"/>
      <c r="I307" s="13" t="str">
        <f aca="false">IF($A307="","",IF(OR($D307="",$E307="",$F307="",$H307=""),"",ROUND($D307*$E307*$F307*$H307/1000000,2)))</f>
        <v/>
      </c>
      <c r="J307" s="8"/>
      <c r="K307" s="14"/>
      <c r="L307" s="8"/>
      <c r="M307" s="15" t="str">
        <f aca="false">IF($A307="","",IF(COUNTIF($A$3:$A$502,$A307)&gt;1,"중복","-"))</f>
        <v/>
      </c>
      <c r="N307" s="8"/>
    </row>
    <row r="308" customFormat="false" ht="15" hidden="false" customHeight="true" outlineLevel="0" collapsed="false">
      <c r="A308" s="8"/>
      <c r="B308" s="8"/>
      <c r="C308" s="8"/>
      <c r="D308" s="10"/>
      <c r="E308" s="10"/>
      <c r="F308" s="10"/>
      <c r="G308" s="11" t="str">
        <f aca="false">IF($A308="","",IF(AND($D308="",$E308="",$F308=""),"",IF($D308="","",$D308)&amp;IF($E308="",""," × "&amp;$E308)&amp;IF($F308=""," "," × ")&amp;IF($F308="","",$F308)&amp;"t"))</f>
        <v/>
      </c>
      <c r="H308" s="12"/>
      <c r="I308" s="13" t="str">
        <f aca="false">IF($A308="","",IF(OR($D308="",$E308="",$F308="",$H308=""),"",ROUND($D308*$E308*$F308*$H308/1000000,2)))</f>
        <v/>
      </c>
      <c r="J308" s="8"/>
      <c r="K308" s="14"/>
      <c r="L308" s="8"/>
      <c r="M308" s="15" t="str">
        <f aca="false">IF($A308="","",IF(COUNTIF($A$3:$A$502,$A308)&gt;1,"중복","-"))</f>
        <v/>
      </c>
      <c r="N308" s="8"/>
    </row>
    <row r="309" customFormat="false" ht="15" hidden="false" customHeight="true" outlineLevel="0" collapsed="false">
      <c r="A309" s="8"/>
      <c r="B309" s="8"/>
      <c r="C309" s="8"/>
      <c r="D309" s="10"/>
      <c r="E309" s="10"/>
      <c r="F309" s="10"/>
      <c r="G309" s="11" t="str">
        <f aca="false">IF($A309="","",IF(AND($D309="",$E309="",$F309=""),"",IF($D309="","",$D309)&amp;IF($E309="",""," × "&amp;$E309)&amp;IF($F309=""," "," × ")&amp;IF($F309="","",$F309)&amp;"t"))</f>
        <v/>
      </c>
      <c r="H309" s="12"/>
      <c r="I309" s="13" t="str">
        <f aca="false">IF($A309="","",IF(OR($D309="",$E309="",$F309="",$H309=""),"",ROUND($D309*$E309*$F309*$H309/1000000,2)))</f>
        <v/>
      </c>
      <c r="J309" s="8"/>
      <c r="K309" s="14"/>
      <c r="L309" s="8"/>
      <c r="M309" s="15" t="str">
        <f aca="false">IF($A309="","",IF(COUNTIF($A$3:$A$502,$A309)&gt;1,"중복","-"))</f>
        <v/>
      </c>
      <c r="N309" s="8"/>
    </row>
    <row r="310" customFormat="false" ht="15" hidden="false" customHeight="true" outlineLevel="0" collapsed="false">
      <c r="A310" s="8"/>
      <c r="B310" s="8"/>
      <c r="C310" s="8"/>
      <c r="D310" s="10"/>
      <c r="E310" s="10"/>
      <c r="F310" s="10"/>
      <c r="G310" s="11" t="str">
        <f aca="false">IF($A310="","",IF(AND($D310="",$E310="",$F310=""),"",IF($D310="","",$D310)&amp;IF($E310="",""," × "&amp;$E310)&amp;IF($F310=""," "," × ")&amp;IF($F310="","",$F310)&amp;"t"))</f>
        <v/>
      </c>
      <c r="H310" s="12"/>
      <c r="I310" s="13" t="str">
        <f aca="false">IF($A310="","",IF(OR($D310="",$E310="",$F310="",$H310=""),"",ROUND($D310*$E310*$F310*$H310/1000000,2)))</f>
        <v/>
      </c>
      <c r="J310" s="8"/>
      <c r="K310" s="14"/>
      <c r="L310" s="8"/>
      <c r="M310" s="15" t="str">
        <f aca="false">IF($A310="","",IF(COUNTIF($A$3:$A$502,$A310)&gt;1,"중복","-"))</f>
        <v/>
      </c>
      <c r="N310" s="8"/>
    </row>
    <row r="311" customFormat="false" ht="15" hidden="false" customHeight="true" outlineLevel="0" collapsed="false">
      <c r="A311" s="8"/>
      <c r="B311" s="8"/>
      <c r="C311" s="8"/>
      <c r="D311" s="10"/>
      <c r="E311" s="10"/>
      <c r="F311" s="10"/>
      <c r="G311" s="11" t="str">
        <f aca="false">IF($A311="","",IF(AND($D311="",$E311="",$F311=""),"",IF($D311="","",$D311)&amp;IF($E311="",""," × "&amp;$E311)&amp;IF($F311=""," "," × ")&amp;IF($F311="","",$F311)&amp;"t"))</f>
        <v/>
      </c>
      <c r="H311" s="12"/>
      <c r="I311" s="13" t="str">
        <f aca="false">IF($A311="","",IF(OR($D311="",$E311="",$F311="",$H311=""),"",ROUND($D311*$E311*$F311*$H311/1000000,2)))</f>
        <v/>
      </c>
      <c r="J311" s="8"/>
      <c r="K311" s="14"/>
      <c r="L311" s="8"/>
      <c r="M311" s="15" t="str">
        <f aca="false">IF($A311="","",IF(COUNTIF($A$3:$A$502,$A311)&gt;1,"중복","-"))</f>
        <v/>
      </c>
      <c r="N311" s="8"/>
    </row>
    <row r="312" customFormat="false" ht="15" hidden="false" customHeight="true" outlineLevel="0" collapsed="false">
      <c r="A312" s="8"/>
      <c r="B312" s="8"/>
      <c r="C312" s="8"/>
      <c r="D312" s="10"/>
      <c r="E312" s="10"/>
      <c r="F312" s="10"/>
      <c r="G312" s="11" t="str">
        <f aca="false">IF($A312="","",IF(AND($D312="",$E312="",$F312=""),"",IF($D312="","",$D312)&amp;IF($E312="",""," × "&amp;$E312)&amp;IF($F312=""," "," × ")&amp;IF($F312="","",$F312)&amp;"t"))</f>
        <v/>
      </c>
      <c r="H312" s="12"/>
      <c r="I312" s="13" t="str">
        <f aca="false">IF($A312="","",IF(OR($D312="",$E312="",$F312="",$H312=""),"",ROUND($D312*$E312*$F312*$H312/1000000,2)))</f>
        <v/>
      </c>
      <c r="J312" s="8"/>
      <c r="K312" s="14"/>
      <c r="L312" s="8"/>
      <c r="M312" s="15" t="str">
        <f aca="false">IF($A312="","",IF(COUNTIF($A$3:$A$502,$A312)&gt;1,"중복","-"))</f>
        <v/>
      </c>
      <c r="N312" s="8"/>
    </row>
    <row r="313" customFormat="false" ht="15" hidden="false" customHeight="true" outlineLevel="0" collapsed="false">
      <c r="A313" s="8"/>
      <c r="B313" s="8"/>
      <c r="C313" s="8"/>
      <c r="D313" s="10"/>
      <c r="E313" s="10"/>
      <c r="F313" s="10"/>
      <c r="G313" s="11" t="str">
        <f aca="false">IF($A313="","",IF(AND($D313="",$E313="",$F313=""),"",IF($D313="","",$D313)&amp;IF($E313="",""," × "&amp;$E313)&amp;IF($F313=""," "," × ")&amp;IF($F313="","",$F313)&amp;"t"))</f>
        <v/>
      </c>
      <c r="H313" s="12"/>
      <c r="I313" s="13" t="str">
        <f aca="false">IF($A313="","",IF(OR($D313="",$E313="",$F313="",$H313=""),"",ROUND($D313*$E313*$F313*$H313/1000000,2)))</f>
        <v/>
      </c>
      <c r="J313" s="8"/>
      <c r="K313" s="14"/>
      <c r="L313" s="8"/>
      <c r="M313" s="15" t="str">
        <f aca="false">IF($A313="","",IF(COUNTIF($A$3:$A$502,$A313)&gt;1,"중복","-"))</f>
        <v/>
      </c>
      <c r="N313" s="8"/>
    </row>
    <row r="314" customFormat="false" ht="15" hidden="false" customHeight="true" outlineLevel="0" collapsed="false">
      <c r="A314" s="8"/>
      <c r="B314" s="8"/>
      <c r="C314" s="8"/>
      <c r="D314" s="10"/>
      <c r="E314" s="10"/>
      <c r="F314" s="10"/>
      <c r="G314" s="11" t="str">
        <f aca="false">IF($A314="","",IF(AND($D314="",$E314="",$F314=""),"",IF($D314="","",$D314)&amp;IF($E314="",""," × "&amp;$E314)&amp;IF($F314=""," "," × ")&amp;IF($F314="","",$F314)&amp;"t"))</f>
        <v/>
      </c>
      <c r="H314" s="12"/>
      <c r="I314" s="13" t="str">
        <f aca="false">IF($A314="","",IF(OR($D314="",$E314="",$F314="",$H314=""),"",ROUND($D314*$E314*$F314*$H314/1000000,2)))</f>
        <v/>
      </c>
      <c r="J314" s="8"/>
      <c r="K314" s="14"/>
      <c r="L314" s="8"/>
      <c r="M314" s="15" t="str">
        <f aca="false">IF($A314="","",IF(COUNTIF($A$3:$A$502,$A314)&gt;1,"중복","-"))</f>
        <v/>
      </c>
      <c r="N314" s="8"/>
    </row>
    <row r="315" customFormat="false" ht="15" hidden="false" customHeight="true" outlineLevel="0" collapsed="false">
      <c r="A315" s="8"/>
      <c r="B315" s="8"/>
      <c r="C315" s="8"/>
      <c r="D315" s="10"/>
      <c r="E315" s="10"/>
      <c r="F315" s="10"/>
      <c r="G315" s="11" t="str">
        <f aca="false">IF($A315="","",IF(AND($D315="",$E315="",$F315=""),"",IF($D315="","",$D315)&amp;IF($E315="",""," × "&amp;$E315)&amp;IF($F315=""," "," × ")&amp;IF($F315="","",$F315)&amp;"t"))</f>
        <v/>
      </c>
      <c r="H315" s="12"/>
      <c r="I315" s="13" t="str">
        <f aca="false">IF($A315="","",IF(OR($D315="",$E315="",$F315="",$H315=""),"",ROUND($D315*$E315*$F315*$H315/1000000,2)))</f>
        <v/>
      </c>
      <c r="J315" s="8"/>
      <c r="K315" s="14"/>
      <c r="L315" s="8"/>
      <c r="M315" s="15" t="str">
        <f aca="false">IF($A315="","",IF(COUNTIF($A$3:$A$502,$A315)&gt;1,"중복","-"))</f>
        <v/>
      </c>
      <c r="N315" s="8"/>
    </row>
    <row r="316" customFormat="false" ht="15" hidden="false" customHeight="true" outlineLevel="0" collapsed="false">
      <c r="A316" s="8"/>
      <c r="B316" s="8"/>
      <c r="C316" s="8"/>
      <c r="D316" s="10"/>
      <c r="E316" s="10"/>
      <c r="F316" s="10"/>
      <c r="G316" s="11" t="str">
        <f aca="false">IF($A316="","",IF(AND($D316="",$E316="",$F316=""),"",IF($D316="","",$D316)&amp;IF($E316="",""," × "&amp;$E316)&amp;IF($F316=""," "," × ")&amp;IF($F316="","",$F316)&amp;"t"))</f>
        <v/>
      </c>
      <c r="H316" s="12"/>
      <c r="I316" s="13" t="str">
        <f aca="false">IF($A316="","",IF(OR($D316="",$E316="",$F316="",$H316=""),"",ROUND($D316*$E316*$F316*$H316/1000000,2)))</f>
        <v/>
      </c>
      <c r="J316" s="8"/>
      <c r="K316" s="14"/>
      <c r="L316" s="8"/>
      <c r="M316" s="15" t="str">
        <f aca="false">IF($A316="","",IF(COUNTIF($A$3:$A$502,$A316)&gt;1,"중복","-"))</f>
        <v/>
      </c>
      <c r="N316" s="8"/>
    </row>
    <row r="317" customFormat="false" ht="15" hidden="false" customHeight="true" outlineLevel="0" collapsed="false">
      <c r="A317" s="8"/>
      <c r="B317" s="8"/>
      <c r="C317" s="8"/>
      <c r="D317" s="10"/>
      <c r="E317" s="10"/>
      <c r="F317" s="10"/>
      <c r="G317" s="11" t="str">
        <f aca="false">IF($A317="","",IF(AND($D317="",$E317="",$F317=""),"",IF($D317="","",$D317)&amp;IF($E317="",""," × "&amp;$E317)&amp;IF($F317=""," "," × ")&amp;IF($F317="","",$F317)&amp;"t"))</f>
        <v/>
      </c>
      <c r="H317" s="12"/>
      <c r="I317" s="13" t="str">
        <f aca="false">IF($A317="","",IF(OR($D317="",$E317="",$F317="",$H317=""),"",ROUND($D317*$E317*$F317*$H317/1000000,2)))</f>
        <v/>
      </c>
      <c r="J317" s="8"/>
      <c r="K317" s="14"/>
      <c r="L317" s="8"/>
      <c r="M317" s="15" t="str">
        <f aca="false">IF($A317="","",IF(COUNTIF($A$3:$A$502,$A317)&gt;1,"중복","-"))</f>
        <v/>
      </c>
      <c r="N317" s="8"/>
    </row>
    <row r="318" customFormat="false" ht="15" hidden="false" customHeight="true" outlineLevel="0" collapsed="false">
      <c r="A318" s="8"/>
      <c r="B318" s="8"/>
      <c r="C318" s="8"/>
      <c r="D318" s="10"/>
      <c r="E318" s="10"/>
      <c r="F318" s="10"/>
      <c r="G318" s="11" t="str">
        <f aca="false">IF($A318="","",IF(AND($D318="",$E318="",$F318=""),"",IF($D318="","",$D318)&amp;IF($E318="",""," × "&amp;$E318)&amp;IF($F318=""," "," × ")&amp;IF($F318="","",$F318)&amp;"t"))</f>
        <v/>
      </c>
      <c r="H318" s="12"/>
      <c r="I318" s="13" t="str">
        <f aca="false">IF($A318="","",IF(OR($D318="",$E318="",$F318="",$H318=""),"",ROUND($D318*$E318*$F318*$H318/1000000,2)))</f>
        <v/>
      </c>
      <c r="J318" s="8"/>
      <c r="K318" s="14"/>
      <c r="L318" s="8"/>
      <c r="M318" s="15" t="str">
        <f aca="false">IF($A318="","",IF(COUNTIF($A$3:$A$502,$A318)&gt;1,"중복","-"))</f>
        <v/>
      </c>
      <c r="N318" s="8"/>
    </row>
    <row r="319" customFormat="false" ht="15" hidden="false" customHeight="true" outlineLevel="0" collapsed="false">
      <c r="A319" s="8"/>
      <c r="B319" s="8"/>
      <c r="C319" s="8"/>
      <c r="D319" s="10"/>
      <c r="E319" s="10"/>
      <c r="F319" s="10"/>
      <c r="G319" s="11" t="str">
        <f aca="false">IF($A319="","",IF(AND($D319="",$E319="",$F319=""),"",IF($D319="","",$D319)&amp;IF($E319="",""," × "&amp;$E319)&amp;IF($F319=""," "," × ")&amp;IF($F319="","",$F319)&amp;"t"))</f>
        <v/>
      </c>
      <c r="H319" s="12"/>
      <c r="I319" s="13" t="str">
        <f aca="false">IF($A319="","",IF(OR($D319="",$E319="",$F319="",$H319=""),"",ROUND($D319*$E319*$F319*$H319/1000000,2)))</f>
        <v/>
      </c>
      <c r="J319" s="8"/>
      <c r="K319" s="14"/>
      <c r="L319" s="8"/>
      <c r="M319" s="15" t="str">
        <f aca="false">IF($A319="","",IF(COUNTIF($A$3:$A$502,$A319)&gt;1,"중복","-"))</f>
        <v/>
      </c>
      <c r="N319" s="8"/>
    </row>
    <row r="320" customFormat="false" ht="15" hidden="false" customHeight="true" outlineLevel="0" collapsed="false">
      <c r="A320" s="8"/>
      <c r="B320" s="8"/>
      <c r="C320" s="8"/>
      <c r="D320" s="10"/>
      <c r="E320" s="10"/>
      <c r="F320" s="10"/>
      <c r="G320" s="11" t="str">
        <f aca="false">IF($A320="","",IF(AND($D320="",$E320="",$F320=""),"",IF($D320="","",$D320)&amp;IF($E320="",""," × "&amp;$E320)&amp;IF($F320=""," "," × ")&amp;IF($F320="","",$F320)&amp;"t"))</f>
        <v/>
      </c>
      <c r="H320" s="12"/>
      <c r="I320" s="13" t="str">
        <f aca="false">IF($A320="","",IF(OR($D320="",$E320="",$F320="",$H320=""),"",ROUND($D320*$E320*$F320*$H320/1000000,2)))</f>
        <v/>
      </c>
      <c r="J320" s="8"/>
      <c r="K320" s="14"/>
      <c r="L320" s="8"/>
      <c r="M320" s="15" t="str">
        <f aca="false">IF($A320="","",IF(COUNTIF($A$3:$A$502,$A320)&gt;1,"중복","-"))</f>
        <v/>
      </c>
      <c r="N320" s="8"/>
    </row>
    <row r="321" customFormat="false" ht="15" hidden="false" customHeight="true" outlineLevel="0" collapsed="false">
      <c r="A321" s="8"/>
      <c r="B321" s="8"/>
      <c r="C321" s="8"/>
      <c r="D321" s="10"/>
      <c r="E321" s="10"/>
      <c r="F321" s="10"/>
      <c r="G321" s="11" t="str">
        <f aca="false">IF($A321="","",IF(AND($D321="",$E321="",$F321=""),"",IF($D321="","",$D321)&amp;IF($E321="",""," × "&amp;$E321)&amp;IF($F321=""," "," × ")&amp;IF($F321="","",$F321)&amp;"t"))</f>
        <v/>
      </c>
      <c r="H321" s="12"/>
      <c r="I321" s="13" t="str">
        <f aca="false">IF($A321="","",IF(OR($D321="",$E321="",$F321="",$H321=""),"",ROUND($D321*$E321*$F321*$H321/1000000,2)))</f>
        <v/>
      </c>
      <c r="J321" s="8"/>
      <c r="K321" s="14"/>
      <c r="L321" s="8"/>
      <c r="M321" s="15" t="str">
        <f aca="false">IF($A321="","",IF(COUNTIF($A$3:$A$502,$A321)&gt;1,"중복","-"))</f>
        <v/>
      </c>
      <c r="N321" s="8"/>
    </row>
    <row r="322" customFormat="false" ht="15" hidden="false" customHeight="true" outlineLevel="0" collapsed="false">
      <c r="A322" s="8"/>
      <c r="B322" s="8"/>
      <c r="C322" s="8"/>
      <c r="D322" s="10"/>
      <c r="E322" s="10"/>
      <c r="F322" s="10"/>
      <c r="G322" s="11" t="str">
        <f aca="false">IF($A322="","",IF(AND($D322="",$E322="",$F322=""),"",IF($D322="","",$D322)&amp;IF($E322="",""," × "&amp;$E322)&amp;IF($F322=""," "," × ")&amp;IF($F322="","",$F322)&amp;"t"))</f>
        <v/>
      </c>
      <c r="H322" s="12"/>
      <c r="I322" s="13" t="str">
        <f aca="false">IF($A322="","",IF(OR($D322="",$E322="",$F322="",$H322=""),"",ROUND($D322*$E322*$F322*$H322/1000000,2)))</f>
        <v/>
      </c>
      <c r="J322" s="8"/>
      <c r="K322" s="14"/>
      <c r="L322" s="8"/>
      <c r="M322" s="15" t="str">
        <f aca="false">IF($A322="","",IF(COUNTIF($A$3:$A$502,$A322)&gt;1,"중복","-"))</f>
        <v/>
      </c>
      <c r="N322" s="8"/>
    </row>
    <row r="323" customFormat="false" ht="15" hidden="false" customHeight="true" outlineLevel="0" collapsed="false">
      <c r="A323" s="8"/>
      <c r="B323" s="8"/>
      <c r="C323" s="8"/>
      <c r="D323" s="10"/>
      <c r="E323" s="10"/>
      <c r="F323" s="10"/>
      <c r="G323" s="11" t="str">
        <f aca="false">IF($A323="","",IF(AND($D323="",$E323="",$F323=""),"",IF($D323="","",$D323)&amp;IF($E323="",""," × "&amp;$E323)&amp;IF($F323=""," "," × ")&amp;IF($F323="","",$F323)&amp;"t"))</f>
        <v/>
      </c>
      <c r="H323" s="12"/>
      <c r="I323" s="13" t="str">
        <f aca="false">IF($A323="","",IF(OR($D323="",$E323="",$F323="",$H323=""),"",ROUND($D323*$E323*$F323*$H323/1000000,2)))</f>
        <v/>
      </c>
      <c r="J323" s="8"/>
      <c r="K323" s="14"/>
      <c r="L323" s="8"/>
      <c r="M323" s="15" t="str">
        <f aca="false">IF($A323="","",IF(COUNTIF($A$3:$A$502,$A323)&gt;1,"중복","-"))</f>
        <v/>
      </c>
      <c r="N323" s="8"/>
    </row>
    <row r="324" customFormat="false" ht="15" hidden="false" customHeight="true" outlineLevel="0" collapsed="false">
      <c r="A324" s="8"/>
      <c r="B324" s="8"/>
      <c r="C324" s="8"/>
      <c r="D324" s="10"/>
      <c r="E324" s="10"/>
      <c r="F324" s="10"/>
      <c r="G324" s="11" t="str">
        <f aca="false">IF($A324="","",IF(AND($D324="",$E324="",$F324=""),"",IF($D324="","",$D324)&amp;IF($E324="",""," × "&amp;$E324)&amp;IF($F324=""," "," × ")&amp;IF($F324="","",$F324)&amp;"t"))</f>
        <v/>
      </c>
      <c r="H324" s="12"/>
      <c r="I324" s="13" t="str">
        <f aca="false">IF($A324="","",IF(OR($D324="",$E324="",$F324="",$H324=""),"",ROUND($D324*$E324*$F324*$H324/1000000,2)))</f>
        <v/>
      </c>
      <c r="J324" s="8"/>
      <c r="K324" s="14"/>
      <c r="L324" s="8"/>
      <c r="M324" s="15" t="str">
        <f aca="false">IF($A324="","",IF(COUNTIF($A$3:$A$502,$A324)&gt;1,"중복","-"))</f>
        <v/>
      </c>
      <c r="N324" s="8"/>
    </row>
    <row r="325" customFormat="false" ht="15" hidden="false" customHeight="true" outlineLevel="0" collapsed="false">
      <c r="A325" s="8"/>
      <c r="B325" s="8"/>
      <c r="C325" s="8"/>
      <c r="D325" s="10"/>
      <c r="E325" s="10"/>
      <c r="F325" s="10"/>
      <c r="G325" s="11" t="str">
        <f aca="false">IF($A325="","",IF(AND($D325="",$E325="",$F325=""),"",IF($D325="","",$D325)&amp;IF($E325="",""," × "&amp;$E325)&amp;IF($F325=""," "," × ")&amp;IF($F325="","",$F325)&amp;"t"))</f>
        <v/>
      </c>
      <c r="H325" s="12"/>
      <c r="I325" s="13" t="str">
        <f aca="false">IF($A325="","",IF(OR($D325="",$E325="",$F325="",$H325=""),"",ROUND($D325*$E325*$F325*$H325/1000000,2)))</f>
        <v/>
      </c>
      <c r="J325" s="8"/>
      <c r="K325" s="14"/>
      <c r="L325" s="8"/>
      <c r="M325" s="15" t="str">
        <f aca="false">IF($A325="","",IF(COUNTIF($A$3:$A$502,$A325)&gt;1,"중복","-"))</f>
        <v/>
      </c>
      <c r="N325" s="8"/>
    </row>
    <row r="326" customFormat="false" ht="15" hidden="false" customHeight="true" outlineLevel="0" collapsed="false">
      <c r="A326" s="8"/>
      <c r="B326" s="8"/>
      <c r="C326" s="8"/>
      <c r="D326" s="10"/>
      <c r="E326" s="10"/>
      <c r="F326" s="10"/>
      <c r="G326" s="11" t="str">
        <f aca="false">IF($A326="","",IF(AND($D326="",$E326="",$F326=""),"",IF($D326="","",$D326)&amp;IF($E326="",""," × "&amp;$E326)&amp;IF($F326=""," "," × ")&amp;IF($F326="","",$F326)&amp;"t"))</f>
        <v/>
      </c>
      <c r="H326" s="12"/>
      <c r="I326" s="13" t="str">
        <f aca="false">IF($A326="","",IF(OR($D326="",$E326="",$F326="",$H326=""),"",ROUND($D326*$E326*$F326*$H326/1000000,2)))</f>
        <v/>
      </c>
      <c r="J326" s="8"/>
      <c r="K326" s="14"/>
      <c r="L326" s="8"/>
      <c r="M326" s="15" t="str">
        <f aca="false">IF($A326="","",IF(COUNTIF($A$3:$A$502,$A326)&gt;1,"중복","-"))</f>
        <v/>
      </c>
      <c r="N326" s="8"/>
    </row>
    <row r="327" customFormat="false" ht="15" hidden="false" customHeight="true" outlineLevel="0" collapsed="false">
      <c r="A327" s="8"/>
      <c r="B327" s="8"/>
      <c r="C327" s="8"/>
      <c r="D327" s="10"/>
      <c r="E327" s="10"/>
      <c r="F327" s="10"/>
      <c r="G327" s="11" t="str">
        <f aca="false">IF($A327="","",IF(AND($D327="",$E327="",$F327=""),"",IF($D327="","",$D327)&amp;IF($E327="",""," × "&amp;$E327)&amp;IF($F327=""," "," × ")&amp;IF($F327="","",$F327)&amp;"t"))</f>
        <v/>
      </c>
      <c r="H327" s="12"/>
      <c r="I327" s="13" t="str">
        <f aca="false">IF($A327="","",IF(OR($D327="",$E327="",$F327="",$H327=""),"",ROUND($D327*$E327*$F327*$H327/1000000,2)))</f>
        <v/>
      </c>
      <c r="J327" s="8"/>
      <c r="K327" s="14"/>
      <c r="L327" s="8"/>
      <c r="M327" s="15" t="str">
        <f aca="false">IF($A327="","",IF(COUNTIF($A$3:$A$502,$A327)&gt;1,"중복","-"))</f>
        <v/>
      </c>
      <c r="N327" s="8"/>
    </row>
    <row r="328" customFormat="false" ht="15" hidden="false" customHeight="true" outlineLevel="0" collapsed="false">
      <c r="A328" s="8"/>
      <c r="B328" s="8"/>
      <c r="C328" s="8"/>
      <c r="D328" s="10"/>
      <c r="E328" s="10"/>
      <c r="F328" s="10"/>
      <c r="G328" s="11" t="str">
        <f aca="false">IF($A328="","",IF(AND($D328="",$E328="",$F328=""),"",IF($D328="","",$D328)&amp;IF($E328="",""," × "&amp;$E328)&amp;IF($F328=""," "," × ")&amp;IF($F328="","",$F328)&amp;"t"))</f>
        <v/>
      </c>
      <c r="H328" s="12"/>
      <c r="I328" s="13" t="str">
        <f aca="false">IF($A328="","",IF(OR($D328="",$E328="",$F328="",$H328=""),"",ROUND($D328*$E328*$F328*$H328/1000000,2)))</f>
        <v/>
      </c>
      <c r="J328" s="8"/>
      <c r="K328" s="14"/>
      <c r="L328" s="8"/>
      <c r="M328" s="15" t="str">
        <f aca="false">IF($A328="","",IF(COUNTIF($A$3:$A$502,$A328)&gt;1,"중복","-"))</f>
        <v/>
      </c>
      <c r="N328" s="8"/>
    </row>
    <row r="329" customFormat="false" ht="15" hidden="false" customHeight="true" outlineLevel="0" collapsed="false">
      <c r="A329" s="8"/>
      <c r="B329" s="8"/>
      <c r="C329" s="8"/>
      <c r="D329" s="10"/>
      <c r="E329" s="10"/>
      <c r="F329" s="10"/>
      <c r="G329" s="11" t="str">
        <f aca="false">IF($A329="","",IF(AND($D329="",$E329="",$F329=""),"",IF($D329="","",$D329)&amp;IF($E329="",""," × "&amp;$E329)&amp;IF($F329=""," "," × ")&amp;IF($F329="","",$F329)&amp;"t"))</f>
        <v/>
      </c>
      <c r="H329" s="12"/>
      <c r="I329" s="13" t="str">
        <f aca="false">IF($A329="","",IF(OR($D329="",$E329="",$F329="",$H329=""),"",ROUND($D329*$E329*$F329*$H329/1000000,2)))</f>
        <v/>
      </c>
      <c r="J329" s="8"/>
      <c r="K329" s="14"/>
      <c r="L329" s="8"/>
      <c r="M329" s="15" t="str">
        <f aca="false">IF($A329="","",IF(COUNTIF($A$3:$A$502,$A329)&gt;1,"중복","-"))</f>
        <v/>
      </c>
      <c r="N329" s="8"/>
    </row>
    <row r="330" customFormat="false" ht="15" hidden="false" customHeight="true" outlineLevel="0" collapsed="false">
      <c r="A330" s="8"/>
      <c r="B330" s="8"/>
      <c r="C330" s="8"/>
      <c r="D330" s="10"/>
      <c r="E330" s="10"/>
      <c r="F330" s="10"/>
      <c r="G330" s="11" t="str">
        <f aca="false">IF($A330="","",IF(AND($D330="",$E330="",$F330=""),"",IF($D330="","",$D330)&amp;IF($E330="",""," × "&amp;$E330)&amp;IF($F330=""," "," × ")&amp;IF($F330="","",$F330)&amp;"t"))</f>
        <v/>
      </c>
      <c r="H330" s="12"/>
      <c r="I330" s="13" t="str">
        <f aca="false">IF($A330="","",IF(OR($D330="",$E330="",$F330="",$H330=""),"",ROUND($D330*$E330*$F330*$H330/1000000,2)))</f>
        <v/>
      </c>
      <c r="J330" s="8"/>
      <c r="K330" s="14"/>
      <c r="L330" s="8"/>
      <c r="M330" s="15" t="str">
        <f aca="false">IF($A330="","",IF(COUNTIF($A$3:$A$502,$A330)&gt;1,"중복","-"))</f>
        <v/>
      </c>
      <c r="N330" s="8"/>
    </row>
    <row r="331" customFormat="false" ht="15" hidden="false" customHeight="true" outlineLevel="0" collapsed="false">
      <c r="A331" s="8"/>
      <c r="B331" s="8"/>
      <c r="C331" s="8"/>
      <c r="D331" s="10"/>
      <c r="E331" s="10"/>
      <c r="F331" s="10"/>
      <c r="G331" s="11" t="str">
        <f aca="false">IF($A331="","",IF(AND($D331="",$E331="",$F331=""),"",IF($D331="","",$D331)&amp;IF($E331="",""," × "&amp;$E331)&amp;IF($F331=""," "," × ")&amp;IF($F331="","",$F331)&amp;"t"))</f>
        <v/>
      </c>
      <c r="H331" s="12"/>
      <c r="I331" s="13" t="str">
        <f aca="false">IF($A331="","",IF(OR($D331="",$E331="",$F331="",$H331=""),"",ROUND($D331*$E331*$F331*$H331/1000000,2)))</f>
        <v/>
      </c>
      <c r="J331" s="8"/>
      <c r="K331" s="14"/>
      <c r="L331" s="8"/>
      <c r="M331" s="15" t="str">
        <f aca="false">IF($A331="","",IF(COUNTIF($A$3:$A$502,$A331)&gt;1,"중복","-"))</f>
        <v/>
      </c>
      <c r="N331" s="8"/>
    </row>
    <row r="332" customFormat="false" ht="15" hidden="false" customHeight="true" outlineLevel="0" collapsed="false">
      <c r="A332" s="8"/>
      <c r="B332" s="8"/>
      <c r="C332" s="8"/>
      <c r="D332" s="10"/>
      <c r="E332" s="10"/>
      <c r="F332" s="10"/>
      <c r="G332" s="11" t="str">
        <f aca="false">IF($A332="","",IF(AND($D332="",$E332="",$F332=""),"",IF($D332="","",$D332)&amp;IF($E332="",""," × "&amp;$E332)&amp;IF($F332=""," "," × ")&amp;IF($F332="","",$F332)&amp;"t"))</f>
        <v/>
      </c>
      <c r="H332" s="12"/>
      <c r="I332" s="13" t="str">
        <f aca="false">IF($A332="","",IF(OR($D332="",$E332="",$F332="",$H332=""),"",ROUND($D332*$E332*$F332*$H332/1000000,2)))</f>
        <v/>
      </c>
      <c r="J332" s="8"/>
      <c r="K332" s="14"/>
      <c r="L332" s="8"/>
      <c r="M332" s="15" t="str">
        <f aca="false">IF($A332="","",IF(COUNTIF($A$3:$A$502,$A332)&gt;1,"중복","-"))</f>
        <v/>
      </c>
      <c r="N332" s="8"/>
    </row>
    <row r="333" customFormat="false" ht="15" hidden="false" customHeight="true" outlineLevel="0" collapsed="false">
      <c r="A333" s="8"/>
      <c r="B333" s="8"/>
      <c r="C333" s="8"/>
      <c r="D333" s="10"/>
      <c r="E333" s="10"/>
      <c r="F333" s="10"/>
      <c r="G333" s="11" t="str">
        <f aca="false">IF($A333="","",IF(AND($D333="",$E333="",$F333=""),"",IF($D333="","",$D333)&amp;IF($E333="",""," × "&amp;$E333)&amp;IF($F333=""," "," × ")&amp;IF($F333="","",$F333)&amp;"t"))</f>
        <v/>
      </c>
      <c r="H333" s="12"/>
      <c r="I333" s="13" t="str">
        <f aca="false">IF($A333="","",IF(OR($D333="",$E333="",$F333="",$H333=""),"",ROUND($D333*$E333*$F333*$H333/1000000,2)))</f>
        <v/>
      </c>
      <c r="J333" s="8"/>
      <c r="K333" s="14"/>
      <c r="L333" s="8"/>
      <c r="M333" s="15" t="str">
        <f aca="false">IF($A333="","",IF(COUNTIF($A$3:$A$502,$A333)&gt;1,"중복","-"))</f>
        <v/>
      </c>
      <c r="N333" s="8"/>
    </row>
    <row r="334" customFormat="false" ht="15" hidden="false" customHeight="true" outlineLevel="0" collapsed="false">
      <c r="A334" s="8"/>
      <c r="B334" s="8"/>
      <c r="C334" s="8"/>
      <c r="D334" s="10"/>
      <c r="E334" s="10"/>
      <c r="F334" s="10"/>
      <c r="G334" s="11" t="str">
        <f aca="false">IF($A334="","",IF(AND($D334="",$E334="",$F334=""),"",IF($D334="","",$D334)&amp;IF($E334="",""," × "&amp;$E334)&amp;IF($F334=""," "," × ")&amp;IF($F334="","",$F334)&amp;"t"))</f>
        <v/>
      </c>
      <c r="H334" s="12"/>
      <c r="I334" s="13" t="str">
        <f aca="false">IF($A334="","",IF(OR($D334="",$E334="",$F334="",$H334=""),"",ROUND($D334*$E334*$F334*$H334/1000000,2)))</f>
        <v/>
      </c>
      <c r="J334" s="8"/>
      <c r="K334" s="14"/>
      <c r="L334" s="8"/>
      <c r="M334" s="15" t="str">
        <f aca="false">IF($A334="","",IF(COUNTIF($A$3:$A$502,$A334)&gt;1,"중복","-"))</f>
        <v/>
      </c>
      <c r="N334" s="8"/>
    </row>
    <row r="335" customFormat="false" ht="15" hidden="false" customHeight="true" outlineLevel="0" collapsed="false">
      <c r="A335" s="8"/>
      <c r="B335" s="8"/>
      <c r="C335" s="8"/>
      <c r="D335" s="10"/>
      <c r="E335" s="10"/>
      <c r="F335" s="10"/>
      <c r="G335" s="11" t="str">
        <f aca="false">IF($A335="","",IF(AND($D335="",$E335="",$F335=""),"",IF($D335="","",$D335)&amp;IF($E335="",""," × "&amp;$E335)&amp;IF($F335=""," "," × ")&amp;IF($F335="","",$F335)&amp;"t"))</f>
        <v/>
      </c>
      <c r="H335" s="12"/>
      <c r="I335" s="13" t="str">
        <f aca="false">IF($A335="","",IF(OR($D335="",$E335="",$F335="",$H335=""),"",ROUND($D335*$E335*$F335*$H335/1000000,2)))</f>
        <v/>
      </c>
      <c r="J335" s="8"/>
      <c r="K335" s="14"/>
      <c r="L335" s="8"/>
      <c r="M335" s="15" t="str">
        <f aca="false">IF($A335="","",IF(COUNTIF($A$3:$A$502,$A335)&gt;1,"중복","-"))</f>
        <v/>
      </c>
      <c r="N335" s="8"/>
    </row>
    <row r="336" customFormat="false" ht="15" hidden="false" customHeight="true" outlineLevel="0" collapsed="false">
      <c r="A336" s="8"/>
      <c r="B336" s="8"/>
      <c r="C336" s="8"/>
      <c r="D336" s="10"/>
      <c r="E336" s="10"/>
      <c r="F336" s="10"/>
      <c r="G336" s="11" t="str">
        <f aca="false">IF($A336="","",IF(AND($D336="",$E336="",$F336=""),"",IF($D336="","",$D336)&amp;IF($E336="",""," × "&amp;$E336)&amp;IF($F336=""," "," × ")&amp;IF($F336="","",$F336)&amp;"t"))</f>
        <v/>
      </c>
      <c r="H336" s="12"/>
      <c r="I336" s="13" t="str">
        <f aca="false">IF($A336="","",IF(OR($D336="",$E336="",$F336="",$H336=""),"",ROUND($D336*$E336*$F336*$H336/1000000,2)))</f>
        <v/>
      </c>
      <c r="J336" s="8"/>
      <c r="K336" s="14"/>
      <c r="L336" s="8"/>
      <c r="M336" s="15" t="str">
        <f aca="false">IF($A336="","",IF(COUNTIF($A$3:$A$502,$A336)&gt;1,"중복","-"))</f>
        <v/>
      </c>
      <c r="N336" s="8"/>
    </row>
    <row r="337" customFormat="false" ht="15" hidden="false" customHeight="true" outlineLevel="0" collapsed="false">
      <c r="A337" s="8"/>
      <c r="B337" s="8"/>
      <c r="C337" s="8"/>
      <c r="D337" s="10"/>
      <c r="E337" s="10"/>
      <c r="F337" s="10"/>
      <c r="G337" s="11" t="str">
        <f aca="false">IF($A337="","",IF(AND($D337="",$E337="",$F337=""),"",IF($D337="","",$D337)&amp;IF($E337="",""," × "&amp;$E337)&amp;IF($F337=""," "," × ")&amp;IF($F337="","",$F337)&amp;"t"))</f>
        <v/>
      </c>
      <c r="H337" s="12"/>
      <c r="I337" s="13" t="str">
        <f aca="false">IF($A337="","",IF(OR($D337="",$E337="",$F337="",$H337=""),"",ROUND($D337*$E337*$F337*$H337/1000000,2)))</f>
        <v/>
      </c>
      <c r="J337" s="8"/>
      <c r="K337" s="14"/>
      <c r="L337" s="8"/>
      <c r="M337" s="15" t="str">
        <f aca="false">IF($A337="","",IF(COUNTIF($A$3:$A$502,$A337)&gt;1,"중복","-"))</f>
        <v/>
      </c>
      <c r="N337" s="8"/>
    </row>
    <row r="338" customFormat="false" ht="15" hidden="false" customHeight="true" outlineLevel="0" collapsed="false">
      <c r="A338" s="8"/>
      <c r="B338" s="8"/>
      <c r="C338" s="8"/>
      <c r="D338" s="10"/>
      <c r="E338" s="10"/>
      <c r="F338" s="10"/>
      <c r="G338" s="11" t="str">
        <f aca="false">IF($A338="","",IF(AND($D338="",$E338="",$F338=""),"",IF($D338="","",$D338)&amp;IF($E338="",""," × "&amp;$E338)&amp;IF($F338=""," "," × ")&amp;IF($F338="","",$F338)&amp;"t"))</f>
        <v/>
      </c>
      <c r="H338" s="12"/>
      <c r="I338" s="13" t="str">
        <f aca="false">IF($A338="","",IF(OR($D338="",$E338="",$F338="",$H338=""),"",ROUND($D338*$E338*$F338*$H338/1000000,2)))</f>
        <v/>
      </c>
      <c r="J338" s="8"/>
      <c r="K338" s="14"/>
      <c r="L338" s="8"/>
      <c r="M338" s="15" t="str">
        <f aca="false">IF($A338="","",IF(COUNTIF($A$3:$A$502,$A338)&gt;1,"중복","-"))</f>
        <v/>
      </c>
      <c r="N338" s="8"/>
    </row>
    <row r="339" customFormat="false" ht="15" hidden="false" customHeight="true" outlineLevel="0" collapsed="false">
      <c r="A339" s="8"/>
      <c r="B339" s="8"/>
      <c r="C339" s="8"/>
      <c r="D339" s="10"/>
      <c r="E339" s="10"/>
      <c r="F339" s="10"/>
      <c r="G339" s="11" t="str">
        <f aca="false">IF($A339="","",IF(AND($D339="",$E339="",$F339=""),"",IF($D339="","",$D339)&amp;IF($E339="",""," × "&amp;$E339)&amp;IF($F339=""," "," × ")&amp;IF($F339="","",$F339)&amp;"t"))</f>
        <v/>
      </c>
      <c r="H339" s="12"/>
      <c r="I339" s="13" t="str">
        <f aca="false">IF($A339="","",IF(OR($D339="",$E339="",$F339="",$H339=""),"",ROUND($D339*$E339*$F339*$H339/1000000,2)))</f>
        <v/>
      </c>
      <c r="J339" s="8"/>
      <c r="K339" s="14"/>
      <c r="L339" s="8"/>
      <c r="M339" s="15" t="str">
        <f aca="false">IF($A339="","",IF(COUNTIF($A$3:$A$502,$A339)&gt;1,"중복","-"))</f>
        <v/>
      </c>
      <c r="N339" s="8"/>
    </row>
    <row r="340" customFormat="false" ht="15" hidden="false" customHeight="true" outlineLevel="0" collapsed="false">
      <c r="A340" s="8"/>
      <c r="B340" s="8"/>
      <c r="C340" s="8"/>
      <c r="D340" s="10"/>
      <c r="E340" s="10"/>
      <c r="F340" s="10"/>
      <c r="G340" s="11" t="str">
        <f aca="false">IF($A340="","",IF(AND($D340="",$E340="",$F340=""),"",IF($D340="","",$D340)&amp;IF($E340="",""," × "&amp;$E340)&amp;IF($F340=""," "," × ")&amp;IF($F340="","",$F340)&amp;"t"))</f>
        <v/>
      </c>
      <c r="H340" s="12"/>
      <c r="I340" s="13" t="str">
        <f aca="false">IF($A340="","",IF(OR($D340="",$E340="",$F340="",$H340=""),"",ROUND($D340*$E340*$F340*$H340/1000000,2)))</f>
        <v/>
      </c>
      <c r="J340" s="8"/>
      <c r="K340" s="14"/>
      <c r="L340" s="8"/>
      <c r="M340" s="15" t="str">
        <f aca="false">IF($A340="","",IF(COUNTIF($A$3:$A$502,$A340)&gt;1,"중복","-"))</f>
        <v/>
      </c>
      <c r="N340" s="8"/>
    </row>
    <row r="341" customFormat="false" ht="15" hidden="false" customHeight="true" outlineLevel="0" collapsed="false">
      <c r="A341" s="8"/>
      <c r="B341" s="8"/>
      <c r="C341" s="8"/>
      <c r="D341" s="10"/>
      <c r="E341" s="10"/>
      <c r="F341" s="10"/>
      <c r="G341" s="11" t="str">
        <f aca="false">IF($A341="","",IF(AND($D341="",$E341="",$F341=""),"",IF($D341="","",$D341)&amp;IF($E341="",""," × "&amp;$E341)&amp;IF($F341=""," "," × ")&amp;IF($F341="","",$F341)&amp;"t"))</f>
        <v/>
      </c>
      <c r="H341" s="12"/>
      <c r="I341" s="13" t="str">
        <f aca="false">IF($A341="","",IF(OR($D341="",$E341="",$F341="",$H341=""),"",ROUND($D341*$E341*$F341*$H341/1000000,2)))</f>
        <v/>
      </c>
      <c r="J341" s="8"/>
      <c r="K341" s="14"/>
      <c r="L341" s="8"/>
      <c r="M341" s="15" t="str">
        <f aca="false">IF($A341="","",IF(COUNTIF($A$3:$A$502,$A341)&gt;1,"중복","-"))</f>
        <v/>
      </c>
      <c r="N341" s="8"/>
    </row>
    <row r="342" customFormat="false" ht="15" hidden="false" customHeight="true" outlineLevel="0" collapsed="false">
      <c r="A342" s="8"/>
      <c r="B342" s="8"/>
      <c r="C342" s="8"/>
      <c r="D342" s="10"/>
      <c r="E342" s="10"/>
      <c r="F342" s="10"/>
      <c r="G342" s="11" t="str">
        <f aca="false">IF($A342="","",IF(AND($D342="",$E342="",$F342=""),"",IF($D342="","",$D342)&amp;IF($E342="",""," × "&amp;$E342)&amp;IF($F342=""," "," × ")&amp;IF($F342="","",$F342)&amp;"t"))</f>
        <v/>
      </c>
      <c r="H342" s="12"/>
      <c r="I342" s="13" t="str">
        <f aca="false">IF($A342="","",IF(OR($D342="",$E342="",$F342="",$H342=""),"",ROUND($D342*$E342*$F342*$H342/1000000,2)))</f>
        <v/>
      </c>
      <c r="J342" s="8"/>
      <c r="K342" s="14"/>
      <c r="L342" s="8"/>
      <c r="M342" s="15" t="str">
        <f aca="false">IF($A342="","",IF(COUNTIF($A$3:$A$502,$A342)&gt;1,"중복","-"))</f>
        <v/>
      </c>
      <c r="N342" s="8"/>
    </row>
    <row r="343" customFormat="false" ht="15" hidden="false" customHeight="true" outlineLevel="0" collapsed="false">
      <c r="A343" s="8"/>
      <c r="B343" s="8"/>
      <c r="C343" s="8"/>
      <c r="D343" s="10"/>
      <c r="E343" s="10"/>
      <c r="F343" s="10"/>
      <c r="G343" s="11" t="str">
        <f aca="false">IF($A343="","",IF(AND($D343="",$E343="",$F343=""),"",IF($D343="","",$D343)&amp;IF($E343="",""," × "&amp;$E343)&amp;IF($F343=""," "," × ")&amp;IF($F343="","",$F343)&amp;"t"))</f>
        <v/>
      </c>
      <c r="H343" s="12"/>
      <c r="I343" s="13" t="str">
        <f aca="false">IF($A343="","",IF(OR($D343="",$E343="",$F343="",$H343=""),"",ROUND($D343*$E343*$F343*$H343/1000000,2)))</f>
        <v/>
      </c>
      <c r="J343" s="8"/>
      <c r="K343" s="14"/>
      <c r="L343" s="8"/>
      <c r="M343" s="15" t="str">
        <f aca="false">IF($A343="","",IF(COUNTIF($A$3:$A$502,$A343)&gt;1,"중복","-"))</f>
        <v/>
      </c>
      <c r="N343" s="8"/>
    </row>
    <row r="344" customFormat="false" ht="15" hidden="false" customHeight="true" outlineLevel="0" collapsed="false">
      <c r="A344" s="8"/>
      <c r="B344" s="8"/>
      <c r="C344" s="8"/>
      <c r="D344" s="10"/>
      <c r="E344" s="10"/>
      <c r="F344" s="10"/>
      <c r="G344" s="11" t="str">
        <f aca="false">IF($A344="","",IF(AND($D344="",$E344="",$F344=""),"",IF($D344="","",$D344)&amp;IF($E344="",""," × "&amp;$E344)&amp;IF($F344=""," "," × ")&amp;IF($F344="","",$F344)&amp;"t"))</f>
        <v/>
      </c>
      <c r="H344" s="12"/>
      <c r="I344" s="13" t="str">
        <f aca="false">IF($A344="","",IF(OR($D344="",$E344="",$F344="",$H344=""),"",ROUND($D344*$E344*$F344*$H344/1000000,2)))</f>
        <v/>
      </c>
      <c r="J344" s="8"/>
      <c r="K344" s="14"/>
      <c r="L344" s="8"/>
      <c r="M344" s="15" t="str">
        <f aca="false">IF($A344="","",IF(COUNTIF($A$3:$A$502,$A344)&gt;1,"중복","-"))</f>
        <v/>
      </c>
      <c r="N344" s="8"/>
    </row>
    <row r="345" customFormat="false" ht="15" hidden="false" customHeight="true" outlineLevel="0" collapsed="false">
      <c r="A345" s="8"/>
      <c r="B345" s="8"/>
      <c r="C345" s="8"/>
      <c r="D345" s="10"/>
      <c r="E345" s="10"/>
      <c r="F345" s="10"/>
      <c r="G345" s="11" t="str">
        <f aca="false">IF($A345="","",IF(AND($D345="",$E345="",$F345=""),"",IF($D345="","",$D345)&amp;IF($E345="",""," × "&amp;$E345)&amp;IF($F345=""," "," × ")&amp;IF($F345="","",$F345)&amp;"t"))</f>
        <v/>
      </c>
      <c r="H345" s="12"/>
      <c r="I345" s="13" t="str">
        <f aca="false">IF($A345="","",IF(OR($D345="",$E345="",$F345="",$H345=""),"",ROUND($D345*$E345*$F345*$H345/1000000,2)))</f>
        <v/>
      </c>
      <c r="J345" s="8"/>
      <c r="K345" s="14"/>
      <c r="L345" s="8"/>
      <c r="M345" s="15" t="str">
        <f aca="false">IF($A345="","",IF(COUNTIF($A$3:$A$502,$A345)&gt;1,"중복","-"))</f>
        <v/>
      </c>
      <c r="N345" s="8"/>
    </row>
    <row r="346" customFormat="false" ht="15" hidden="false" customHeight="true" outlineLevel="0" collapsed="false">
      <c r="A346" s="8"/>
      <c r="B346" s="8"/>
      <c r="C346" s="8"/>
      <c r="D346" s="10"/>
      <c r="E346" s="10"/>
      <c r="F346" s="10"/>
      <c r="G346" s="11" t="str">
        <f aca="false">IF($A346="","",IF(AND($D346="",$E346="",$F346=""),"",IF($D346="","",$D346)&amp;IF($E346="",""," × "&amp;$E346)&amp;IF($F346=""," "," × ")&amp;IF($F346="","",$F346)&amp;"t"))</f>
        <v/>
      </c>
      <c r="H346" s="12"/>
      <c r="I346" s="13" t="str">
        <f aca="false">IF($A346="","",IF(OR($D346="",$E346="",$F346="",$H346=""),"",ROUND($D346*$E346*$F346*$H346/1000000,2)))</f>
        <v/>
      </c>
      <c r="J346" s="8"/>
      <c r="K346" s="14"/>
      <c r="L346" s="8"/>
      <c r="M346" s="15" t="str">
        <f aca="false">IF($A346="","",IF(COUNTIF($A$3:$A$502,$A346)&gt;1,"중복","-"))</f>
        <v/>
      </c>
      <c r="N346" s="8"/>
    </row>
    <row r="347" customFormat="false" ht="15" hidden="false" customHeight="true" outlineLevel="0" collapsed="false">
      <c r="A347" s="8"/>
      <c r="B347" s="8"/>
      <c r="C347" s="8"/>
      <c r="D347" s="10"/>
      <c r="E347" s="10"/>
      <c r="F347" s="10"/>
      <c r="G347" s="11" t="str">
        <f aca="false">IF($A347="","",IF(AND($D347="",$E347="",$F347=""),"",IF($D347="","",$D347)&amp;IF($E347="",""," × "&amp;$E347)&amp;IF($F347=""," "," × ")&amp;IF($F347="","",$F347)&amp;"t"))</f>
        <v/>
      </c>
      <c r="H347" s="12"/>
      <c r="I347" s="13" t="str">
        <f aca="false">IF($A347="","",IF(OR($D347="",$E347="",$F347="",$H347=""),"",ROUND($D347*$E347*$F347*$H347/1000000,2)))</f>
        <v/>
      </c>
      <c r="J347" s="8"/>
      <c r="K347" s="14"/>
      <c r="L347" s="8"/>
      <c r="M347" s="15" t="str">
        <f aca="false">IF($A347="","",IF(COUNTIF($A$3:$A$502,$A347)&gt;1,"중복","-"))</f>
        <v/>
      </c>
      <c r="N347" s="8"/>
    </row>
    <row r="348" customFormat="false" ht="15" hidden="false" customHeight="true" outlineLevel="0" collapsed="false">
      <c r="A348" s="8"/>
      <c r="B348" s="8"/>
      <c r="C348" s="8"/>
      <c r="D348" s="10"/>
      <c r="E348" s="10"/>
      <c r="F348" s="10"/>
      <c r="G348" s="11" t="str">
        <f aca="false">IF($A348="","",IF(AND($D348="",$E348="",$F348=""),"",IF($D348="","",$D348)&amp;IF($E348="",""," × "&amp;$E348)&amp;IF($F348=""," "," × ")&amp;IF($F348="","",$F348)&amp;"t"))</f>
        <v/>
      </c>
      <c r="H348" s="12"/>
      <c r="I348" s="13" t="str">
        <f aca="false">IF($A348="","",IF(OR($D348="",$E348="",$F348="",$H348=""),"",ROUND($D348*$E348*$F348*$H348/1000000,2)))</f>
        <v/>
      </c>
      <c r="J348" s="8"/>
      <c r="K348" s="14"/>
      <c r="L348" s="8"/>
      <c r="M348" s="15" t="str">
        <f aca="false">IF($A348="","",IF(COUNTIF($A$3:$A$502,$A348)&gt;1,"중복","-"))</f>
        <v/>
      </c>
      <c r="N348" s="8"/>
    </row>
    <row r="349" customFormat="false" ht="15" hidden="false" customHeight="true" outlineLevel="0" collapsed="false">
      <c r="A349" s="8"/>
      <c r="B349" s="8"/>
      <c r="C349" s="8"/>
      <c r="D349" s="10"/>
      <c r="E349" s="10"/>
      <c r="F349" s="10"/>
      <c r="G349" s="11" t="str">
        <f aca="false">IF($A349="","",IF(AND($D349="",$E349="",$F349=""),"",IF($D349="","",$D349)&amp;IF($E349="",""," × "&amp;$E349)&amp;IF($F349=""," "," × ")&amp;IF($F349="","",$F349)&amp;"t"))</f>
        <v/>
      </c>
      <c r="H349" s="12"/>
      <c r="I349" s="13" t="str">
        <f aca="false">IF($A349="","",IF(OR($D349="",$E349="",$F349="",$H349=""),"",ROUND($D349*$E349*$F349*$H349/1000000,2)))</f>
        <v/>
      </c>
      <c r="J349" s="8"/>
      <c r="K349" s="14"/>
      <c r="L349" s="8"/>
      <c r="M349" s="15" t="str">
        <f aca="false">IF($A349="","",IF(COUNTIF($A$3:$A$502,$A349)&gt;1,"중복","-"))</f>
        <v/>
      </c>
      <c r="N349" s="8"/>
    </row>
    <row r="350" customFormat="false" ht="15" hidden="false" customHeight="true" outlineLevel="0" collapsed="false">
      <c r="A350" s="8"/>
      <c r="B350" s="8"/>
      <c r="C350" s="8"/>
      <c r="D350" s="10"/>
      <c r="E350" s="10"/>
      <c r="F350" s="10"/>
      <c r="G350" s="11" t="str">
        <f aca="false">IF($A350="","",IF(AND($D350="",$E350="",$F350=""),"",IF($D350="","",$D350)&amp;IF($E350="",""," × "&amp;$E350)&amp;IF($F350=""," "," × ")&amp;IF($F350="","",$F350)&amp;"t"))</f>
        <v/>
      </c>
      <c r="H350" s="12"/>
      <c r="I350" s="13" t="str">
        <f aca="false">IF($A350="","",IF(OR($D350="",$E350="",$F350="",$H350=""),"",ROUND($D350*$E350*$F350*$H350/1000000,2)))</f>
        <v/>
      </c>
      <c r="J350" s="8"/>
      <c r="K350" s="14"/>
      <c r="L350" s="8"/>
      <c r="M350" s="15" t="str">
        <f aca="false">IF($A350="","",IF(COUNTIF($A$3:$A$502,$A350)&gt;1,"중복","-"))</f>
        <v/>
      </c>
      <c r="N350" s="8"/>
    </row>
    <row r="351" customFormat="false" ht="15" hidden="false" customHeight="true" outlineLevel="0" collapsed="false">
      <c r="A351" s="8"/>
      <c r="B351" s="8"/>
      <c r="C351" s="8"/>
      <c r="D351" s="10"/>
      <c r="E351" s="10"/>
      <c r="F351" s="10"/>
      <c r="G351" s="11" t="str">
        <f aca="false">IF($A351="","",IF(AND($D351="",$E351="",$F351=""),"",IF($D351="","",$D351)&amp;IF($E351="",""," × "&amp;$E351)&amp;IF($F351=""," "," × ")&amp;IF($F351="","",$F351)&amp;"t"))</f>
        <v/>
      </c>
      <c r="H351" s="12"/>
      <c r="I351" s="13" t="str">
        <f aca="false">IF($A351="","",IF(OR($D351="",$E351="",$F351="",$H351=""),"",ROUND($D351*$E351*$F351*$H351/1000000,2)))</f>
        <v/>
      </c>
      <c r="J351" s="8"/>
      <c r="K351" s="14"/>
      <c r="L351" s="8"/>
      <c r="M351" s="15" t="str">
        <f aca="false">IF($A351="","",IF(COUNTIF($A$3:$A$502,$A351)&gt;1,"중복","-"))</f>
        <v/>
      </c>
      <c r="N351" s="8"/>
    </row>
    <row r="352" customFormat="false" ht="15" hidden="false" customHeight="true" outlineLevel="0" collapsed="false">
      <c r="A352" s="8"/>
      <c r="B352" s="8"/>
      <c r="C352" s="8"/>
      <c r="D352" s="10"/>
      <c r="E352" s="10"/>
      <c r="F352" s="10"/>
      <c r="G352" s="11" t="str">
        <f aca="false">IF($A352="","",IF(AND($D352="",$E352="",$F352=""),"",IF($D352="","",$D352)&amp;IF($E352="",""," × "&amp;$E352)&amp;IF($F352=""," "," × ")&amp;IF($F352="","",$F352)&amp;"t"))</f>
        <v/>
      </c>
      <c r="H352" s="12"/>
      <c r="I352" s="13" t="str">
        <f aca="false">IF($A352="","",IF(OR($D352="",$E352="",$F352="",$H352=""),"",ROUND($D352*$E352*$F352*$H352/1000000,2)))</f>
        <v/>
      </c>
      <c r="J352" s="8"/>
      <c r="K352" s="14"/>
      <c r="L352" s="8"/>
      <c r="M352" s="15" t="str">
        <f aca="false">IF($A352="","",IF(COUNTIF($A$3:$A$502,$A352)&gt;1,"중복","-"))</f>
        <v/>
      </c>
      <c r="N352" s="8"/>
    </row>
    <row r="353" customFormat="false" ht="15" hidden="false" customHeight="true" outlineLevel="0" collapsed="false">
      <c r="A353" s="8"/>
      <c r="B353" s="8"/>
      <c r="C353" s="8"/>
      <c r="D353" s="10"/>
      <c r="E353" s="10"/>
      <c r="F353" s="10"/>
      <c r="G353" s="11" t="str">
        <f aca="false">IF($A353="","",IF(AND($D353="",$E353="",$F353=""),"",IF($D353="","",$D353)&amp;IF($E353="",""," × "&amp;$E353)&amp;IF($F353=""," "," × ")&amp;IF($F353="","",$F353)&amp;"t"))</f>
        <v/>
      </c>
      <c r="H353" s="12"/>
      <c r="I353" s="13" t="str">
        <f aca="false">IF($A353="","",IF(OR($D353="",$E353="",$F353="",$H353=""),"",ROUND($D353*$E353*$F353*$H353/1000000,2)))</f>
        <v/>
      </c>
      <c r="J353" s="8"/>
      <c r="K353" s="14"/>
      <c r="L353" s="8"/>
      <c r="M353" s="15" t="str">
        <f aca="false">IF($A353="","",IF(COUNTIF($A$3:$A$502,$A353)&gt;1,"중복","-"))</f>
        <v/>
      </c>
      <c r="N353" s="8"/>
    </row>
    <row r="354" customFormat="false" ht="15" hidden="false" customHeight="true" outlineLevel="0" collapsed="false">
      <c r="A354" s="8"/>
      <c r="B354" s="8"/>
      <c r="C354" s="8"/>
      <c r="D354" s="10"/>
      <c r="E354" s="10"/>
      <c r="F354" s="10"/>
      <c r="G354" s="11" t="str">
        <f aca="false">IF($A354="","",IF(AND($D354="",$E354="",$F354=""),"",IF($D354="","",$D354)&amp;IF($E354="",""," × "&amp;$E354)&amp;IF($F354=""," "," × ")&amp;IF($F354="","",$F354)&amp;"t"))</f>
        <v/>
      </c>
      <c r="H354" s="12"/>
      <c r="I354" s="13" t="str">
        <f aca="false">IF($A354="","",IF(OR($D354="",$E354="",$F354="",$H354=""),"",ROUND($D354*$E354*$F354*$H354/1000000,2)))</f>
        <v/>
      </c>
      <c r="J354" s="8"/>
      <c r="K354" s="14"/>
      <c r="L354" s="8"/>
      <c r="M354" s="15" t="str">
        <f aca="false">IF($A354="","",IF(COUNTIF($A$3:$A$502,$A354)&gt;1,"중복","-"))</f>
        <v/>
      </c>
      <c r="N354" s="8"/>
    </row>
    <row r="355" customFormat="false" ht="15" hidden="false" customHeight="true" outlineLevel="0" collapsed="false">
      <c r="A355" s="8"/>
      <c r="B355" s="8"/>
      <c r="C355" s="8"/>
      <c r="D355" s="10"/>
      <c r="E355" s="10"/>
      <c r="F355" s="10"/>
      <c r="G355" s="11" t="str">
        <f aca="false">IF($A355="","",IF(AND($D355="",$E355="",$F355=""),"",IF($D355="","",$D355)&amp;IF($E355="",""," × "&amp;$E355)&amp;IF($F355=""," "," × ")&amp;IF($F355="","",$F355)&amp;"t"))</f>
        <v/>
      </c>
      <c r="H355" s="12"/>
      <c r="I355" s="13" t="str">
        <f aca="false">IF($A355="","",IF(OR($D355="",$E355="",$F355="",$H355=""),"",ROUND($D355*$E355*$F355*$H355/1000000,2)))</f>
        <v/>
      </c>
      <c r="J355" s="8"/>
      <c r="K355" s="14"/>
      <c r="L355" s="8"/>
      <c r="M355" s="15" t="str">
        <f aca="false">IF($A355="","",IF(COUNTIF($A$3:$A$502,$A355)&gt;1,"중복","-"))</f>
        <v/>
      </c>
      <c r="N355" s="8"/>
    </row>
    <row r="356" customFormat="false" ht="15" hidden="false" customHeight="true" outlineLevel="0" collapsed="false">
      <c r="A356" s="8"/>
      <c r="B356" s="8"/>
      <c r="C356" s="8"/>
      <c r="D356" s="10"/>
      <c r="E356" s="10"/>
      <c r="F356" s="10"/>
      <c r="G356" s="11" t="str">
        <f aca="false">IF($A356="","",IF(AND($D356="",$E356="",$F356=""),"",IF($D356="","",$D356)&amp;IF($E356="",""," × "&amp;$E356)&amp;IF($F356=""," "," × ")&amp;IF($F356="","",$F356)&amp;"t"))</f>
        <v/>
      </c>
      <c r="H356" s="12"/>
      <c r="I356" s="13" t="str">
        <f aca="false">IF($A356="","",IF(OR($D356="",$E356="",$F356="",$H356=""),"",ROUND($D356*$E356*$F356*$H356/1000000,2)))</f>
        <v/>
      </c>
      <c r="J356" s="8"/>
      <c r="K356" s="14"/>
      <c r="L356" s="8"/>
      <c r="M356" s="15" t="str">
        <f aca="false">IF($A356="","",IF(COUNTIF($A$3:$A$502,$A356)&gt;1,"중복","-"))</f>
        <v/>
      </c>
      <c r="N356" s="8"/>
    </row>
    <row r="357" customFormat="false" ht="15" hidden="false" customHeight="true" outlineLevel="0" collapsed="false">
      <c r="A357" s="8"/>
      <c r="B357" s="8"/>
      <c r="C357" s="8"/>
      <c r="D357" s="10"/>
      <c r="E357" s="10"/>
      <c r="F357" s="10"/>
      <c r="G357" s="11" t="str">
        <f aca="false">IF($A357="","",IF(AND($D357="",$E357="",$F357=""),"",IF($D357="","",$D357)&amp;IF($E357="",""," × "&amp;$E357)&amp;IF($F357=""," "," × ")&amp;IF($F357="","",$F357)&amp;"t"))</f>
        <v/>
      </c>
      <c r="H357" s="12"/>
      <c r="I357" s="13" t="str">
        <f aca="false">IF($A357="","",IF(OR($D357="",$E357="",$F357="",$H357=""),"",ROUND($D357*$E357*$F357*$H357/1000000,2)))</f>
        <v/>
      </c>
      <c r="J357" s="8"/>
      <c r="K357" s="14"/>
      <c r="L357" s="8"/>
      <c r="M357" s="15" t="str">
        <f aca="false">IF($A357="","",IF(COUNTIF($A$3:$A$502,$A357)&gt;1,"중복","-"))</f>
        <v/>
      </c>
      <c r="N357" s="8"/>
    </row>
    <row r="358" customFormat="false" ht="15" hidden="false" customHeight="true" outlineLevel="0" collapsed="false">
      <c r="A358" s="8"/>
      <c r="B358" s="8"/>
      <c r="C358" s="8"/>
      <c r="D358" s="10"/>
      <c r="E358" s="10"/>
      <c r="F358" s="10"/>
      <c r="G358" s="11" t="str">
        <f aca="false">IF($A358="","",IF(AND($D358="",$E358="",$F358=""),"",IF($D358="","",$D358)&amp;IF($E358="",""," × "&amp;$E358)&amp;IF($F358=""," "," × ")&amp;IF($F358="","",$F358)&amp;"t"))</f>
        <v/>
      </c>
      <c r="H358" s="12"/>
      <c r="I358" s="13" t="str">
        <f aca="false">IF($A358="","",IF(OR($D358="",$E358="",$F358="",$H358=""),"",ROUND($D358*$E358*$F358*$H358/1000000,2)))</f>
        <v/>
      </c>
      <c r="J358" s="8"/>
      <c r="K358" s="14"/>
      <c r="L358" s="8"/>
      <c r="M358" s="15" t="str">
        <f aca="false">IF($A358="","",IF(COUNTIF($A$3:$A$502,$A358)&gt;1,"중복","-"))</f>
        <v/>
      </c>
      <c r="N358" s="8"/>
    </row>
    <row r="359" customFormat="false" ht="15" hidden="false" customHeight="true" outlineLevel="0" collapsed="false">
      <c r="A359" s="8"/>
      <c r="B359" s="8"/>
      <c r="C359" s="8"/>
      <c r="D359" s="10"/>
      <c r="E359" s="10"/>
      <c r="F359" s="10"/>
      <c r="G359" s="11" t="str">
        <f aca="false">IF($A359="","",IF(AND($D359="",$E359="",$F359=""),"",IF($D359="","",$D359)&amp;IF($E359="",""," × "&amp;$E359)&amp;IF($F359=""," "," × ")&amp;IF($F359="","",$F359)&amp;"t"))</f>
        <v/>
      </c>
      <c r="H359" s="12"/>
      <c r="I359" s="13" t="str">
        <f aca="false">IF($A359="","",IF(OR($D359="",$E359="",$F359="",$H359=""),"",ROUND($D359*$E359*$F359*$H359/1000000,2)))</f>
        <v/>
      </c>
      <c r="J359" s="8"/>
      <c r="K359" s="14"/>
      <c r="L359" s="8"/>
      <c r="M359" s="15" t="str">
        <f aca="false">IF($A359="","",IF(COUNTIF($A$3:$A$502,$A359)&gt;1,"중복","-"))</f>
        <v/>
      </c>
      <c r="N359" s="8"/>
    </row>
    <row r="360" customFormat="false" ht="15" hidden="false" customHeight="true" outlineLevel="0" collapsed="false">
      <c r="A360" s="8"/>
      <c r="B360" s="8"/>
      <c r="C360" s="8"/>
      <c r="D360" s="10"/>
      <c r="E360" s="10"/>
      <c r="F360" s="10"/>
      <c r="G360" s="11" t="str">
        <f aca="false">IF($A360="","",IF(AND($D360="",$E360="",$F360=""),"",IF($D360="","",$D360)&amp;IF($E360="",""," × "&amp;$E360)&amp;IF($F360=""," "," × ")&amp;IF($F360="","",$F360)&amp;"t"))</f>
        <v/>
      </c>
      <c r="H360" s="12"/>
      <c r="I360" s="13" t="str">
        <f aca="false">IF($A360="","",IF(OR($D360="",$E360="",$F360="",$H360=""),"",ROUND($D360*$E360*$F360*$H360/1000000,2)))</f>
        <v/>
      </c>
      <c r="J360" s="8"/>
      <c r="K360" s="14"/>
      <c r="L360" s="8"/>
      <c r="M360" s="15" t="str">
        <f aca="false">IF($A360="","",IF(COUNTIF($A$3:$A$502,$A360)&gt;1,"중복","-"))</f>
        <v/>
      </c>
      <c r="N360" s="8"/>
    </row>
    <row r="361" customFormat="false" ht="15" hidden="false" customHeight="true" outlineLevel="0" collapsed="false">
      <c r="A361" s="8"/>
      <c r="B361" s="8"/>
      <c r="C361" s="8"/>
      <c r="D361" s="10"/>
      <c r="E361" s="10"/>
      <c r="F361" s="10"/>
      <c r="G361" s="11" t="str">
        <f aca="false">IF($A361="","",IF(AND($D361="",$E361="",$F361=""),"",IF($D361="","",$D361)&amp;IF($E361="",""," × "&amp;$E361)&amp;IF($F361=""," "," × ")&amp;IF($F361="","",$F361)&amp;"t"))</f>
        <v/>
      </c>
      <c r="H361" s="12"/>
      <c r="I361" s="13" t="str">
        <f aca="false">IF($A361="","",IF(OR($D361="",$E361="",$F361="",$H361=""),"",ROUND($D361*$E361*$F361*$H361/1000000,2)))</f>
        <v/>
      </c>
      <c r="J361" s="8"/>
      <c r="K361" s="14"/>
      <c r="L361" s="8"/>
      <c r="M361" s="15" t="str">
        <f aca="false">IF($A361="","",IF(COUNTIF($A$3:$A$502,$A361)&gt;1,"중복","-"))</f>
        <v/>
      </c>
      <c r="N361" s="8"/>
    </row>
    <row r="362" customFormat="false" ht="15" hidden="false" customHeight="true" outlineLevel="0" collapsed="false">
      <c r="A362" s="8"/>
      <c r="B362" s="8"/>
      <c r="C362" s="8"/>
      <c r="D362" s="10"/>
      <c r="E362" s="10"/>
      <c r="F362" s="10"/>
      <c r="G362" s="11" t="str">
        <f aca="false">IF($A362="","",IF(AND($D362="",$E362="",$F362=""),"",IF($D362="","",$D362)&amp;IF($E362="",""," × "&amp;$E362)&amp;IF($F362=""," "," × ")&amp;IF($F362="","",$F362)&amp;"t"))</f>
        <v/>
      </c>
      <c r="H362" s="12"/>
      <c r="I362" s="13" t="str">
        <f aca="false">IF($A362="","",IF(OR($D362="",$E362="",$F362="",$H362=""),"",ROUND($D362*$E362*$F362*$H362/1000000,2)))</f>
        <v/>
      </c>
      <c r="J362" s="8"/>
      <c r="K362" s="14"/>
      <c r="L362" s="8"/>
      <c r="M362" s="15" t="str">
        <f aca="false">IF($A362="","",IF(COUNTIF($A$3:$A$502,$A362)&gt;1,"중복","-"))</f>
        <v/>
      </c>
      <c r="N362" s="8"/>
    </row>
    <row r="363" customFormat="false" ht="15" hidden="false" customHeight="true" outlineLevel="0" collapsed="false">
      <c r="A363" s="8"/>
      <c r="B363" s="8"/>
      <c r="C363" s="8"/>
      <c r="D363" s="10"/>
      <c r="E363" s="10"/>
      <c r="F363" s="10"/>
      <c r="G363" s="11" t="str">
        <f aca="false">IF($A363="","",IF(AND($D363="",$E363="",$F363=""),"",IF($D363="","",$D363)&amp;IF($E363="",""," × "&amp;$E363)&amp;IF($F363=""," "," × ")&amp;IF($F363="","",$F363)&amp;"t"))</f>
        <v/>
      </c>
      <c r="H363" s="12"/>
      <c r="I363" s="13" t="str">
        <f aca="false">IF($A363="","",IF(OR($D363="",$E363="",$F363="",$H363=""),"",ROUND($D363*$E363*$F363*$H363/1000000,2)))</f>
        <v/>
      </c>
      <c r="J363" s="8"/>
      <c r="K363" s="14"/>
      <c r="L363" s="8"/>
      <c r="M363" s="15" t="str">
        <f aca="false">IF($A363="","",IF(COUNTIF($A$3:$A$502,$A363)&gt;1,"중복","-"))</f>
        <v/>
      </c>
      <c r="N363" s="8"/>
    </row>
    <row r="364" customFormat="false" ht="15" hidden="false" customHeight="true" outlineLevel="0" collapsed="false">
      <c r="A364" s="8"/>
      <c r="B364" s="8"/>
      <c r="C364" s="8"/>
      <c r="D364" s="10"/>
      <c r="E364" s="10"/>
      <c r="F364" s="10"/>
      <c r="G364" s="11" t="str">
        <f aca="false">IF($A364="","",IF(AND($D364="",$E364="",$F364=""),"",IF($D364="","",$D364)&amp;IF($E364="",""," × "&amp;$E364)&amp;IF($F364=""," "," × ")&amp;IF($F364="","",$F364)&amp;"t"))</f>
        <v/>
      </c>
      <c r="H364" s="12"/>
      <c r="I364" s="13" t="str">
        <f aca="false">IF($A364="","",IF(OR($D364="",$E364="",$F364="",$H364=""),"",ROUND($D364*$E364*$F364*$H364/1000000,2)))</f>
        <v/>
      </c>
      <c r="J364" s="8"/>
      <c r="K364" s="14"/>
      <c r="L364" s="8"/>
      <c r="M364" s="15" t="str">
        <f aca="false">IF($A364="","",IF(COUNTIF($A$3:$A$502,$A364)&gt;1,"중복","-"))</f>
        <v/>
      </c>
      <c r="N364" s="8"/>
    </row>
    <row r="365" customFormat="false" ht="15" hidden="false" customHeight="true" outlineLevel="0" collapsed="false">
      <c r="A365" s="8"/>
      <c r="B365" s="8"/>
      <c r="C365" s="8"/>
      <c r="D365" s="10"/>
      <c r="E365" s="10"/>
      <c r="F365" s="10"/>
      <c r="G365" s="11" t="str">
        <f aca="false">IF($A365="","",IF(AND($D365="",$E365="",$F365=""),"",IF($D365="","",$D365)&amp;IF($E365="",""," × "&amp;$E365)&amp;IF($F365=""," "," × ")&amp;IF($F365="","",$F365)&amp;"t"))</f>
        <v/>
      </c>
      <c r="H365" s="12"/>
      <c r="I365" s="13" t="str">
        <f aca="false">IF($A365="","",IF(OR($D365="",$E365="",$F365="",$H365=""),"",ROUND($D365*$E365*$F365*$H365/1000000,2)))</f>
        <v/>
      </c>
      <c r="J365" s="8"/>
      <c r="K365" s="14"/>
      <c r="L365" s="8"/>
      <c r="M365" s="15" t="str">
        <f aca="false">IF($A365="","",IF(COUNTIF($A$3:$A$502,$A365)&gt;1,"중복","-"))</f>
        <v/>
      </c>
      <c r="N365" s="8"/>
    </row>
    <row r="366" customFormat="false" ht="15" hidden="false" customHeight="true" outlineLevel="0" collapsed="false">
      <c r="A366" s="8"/>
      <c r="B366" s="8"/>
      <c r="C366" s="8"/>
      <c r="D366" s="10"/>
      <c r="E366" s="10"/>
      <c r="F366" s="10"/>
      <c r="G366" s="11" t="str">
        <f aca="false">IF($A366="","",IF(AND($D366="",$E366="",$F366=""),"",IF($D366="","",$D366)&amp;IF($E366="",""," × "&amp;$E366)&amp;IF($F366=""," "," × ")&amp;IF($F366="","",$F366)&amp;"t"))</f>
        <v/>
      </c>
      <c r="H366" s="12"/>
      <c r="I366" s="13" t="str">
        <f aca="false">IF($A366="","",IF(OR($D366="",$E366="",$F366="",$H366=""),"",ROUND($D366*$E366*$F366*$H366/1000000,2)))</f>
        <v/>
      </c>
      <c r="J366" s="8"/>
      <c r="K366" s="14"/>
      <c r="L366" s="8"/>
      <c r="M366" s="15" t="str">
        <f aca="false">IF($A366="","",IF(COUNTIF($A$3:$A$502,$A366)&gt;1,"중복","-"))</f>
        <v/>
      </c>
      <c r="N366" s="8"/>
    </row>
    <row r="367" customFormat="false" ht="15" hidden="false" customHeight="true" outlineLevel="0" collapsed="false">
      <c r="A367" s="8"/>
      <c r="B367" s="8"/>
      <c r="C367" s="8"/>
      <c r="D367" s="10"/>
      <c r="E367" s="10"/>
      <c r="F367" s="10"/>
      <c r="G367" s="11" t="str">
        <f aca="false">IF($A367="","",IF(AND($D367="",$E367="",$F367=""),"",IF($D367="","",$D367)&amp;IF($E367="",""," × "&amp;$E367)&amp;IF($F367=""," "," × ")&amp;IF($F367="","",$F367)&amp;"t"))</f>
        <v/>
      </c>
      <c r="H367" s="12"/>
      <c r="I367" s="13" t="str">
        <f aca="false">IF($A367="","",IF(OR($D367="",$E367="",$F367="",$H367=""),"",ROUND($D367*$E367*$F367*$H367/1000000,2)))</f>
        <v/>
      </c>
      <c r="J367" s="8"/>
      <c r="K367" s="14"/>
      <c r="L367" s="8"/>
      <c r="M367" s="15" t="str">
        <f aca="false">IF($A367="","",IF(COUNTIF($A$3:$A$502,$A367)&gt;1,"중복","-"))</f>
        <v/>
      </c>
      <c r="N367" s="8"/>
    </row>
    <row r="368" customFormat="false" ht="15" hidden="false" customHeight="true" outlineLevel="0" collapsed="false">
      <c r="A368" s="8"/>
      <c r="B368" s="8"/>
      <c r="C368" s="8"/>
      <c r="D368" s="10"/>
      <c r="E368" s="10"/>
      <c r="F368" s="10"/>
      <c r="G368" s="11" t="str">
        <f aca="false">IF($A368="","",IF(AND($D368="",$E368="",$F368=""),"",IF($D368="","",$D368)&amp;IF($E368="",""," × "&amp;$E368)&amp;IF($F368=""," "," × ")&amp;IF($F368="","",$F368)&amp;"t"))</f>
        <v/>
      </c>
      <c r="H368" s="12"/>
      <c r="I368" s="13" t="str">
        <f aca="false">IF($A368="","",IF(OR($D368="",$E368="",$F368="",$H368=""),"",ROUND($D368*$E368*$F368*$H368/1000000,2)))</f>
        <v/>
      </c>
      <c r="J368" s="8"/>
      <c r="K368" s="14"/>
      <c r="L368" s="8"/>
      <c r="M368" s="15" t="str">
        <f aca="false">IF($A368="","",IF(COUNTIF($A$3:$A$502,$A368)&gt;1,"중복","-"))</f>
        <v/>
      </c>
      <c r="N368" s="8"/>
    </row>
    <row r="369" customFormat="false" ht="15" hidden="false" customHeight="true" outlineLevel="0" collapsed="false">
      <c r="A369" s="8"/>
      <c r="B369" s="8"/>
      <c r="C369" s="8"/>
      <c r="D369" s="10"/>
      <c r="E369" s="10"/>
      <c r="F369" s="10"/>
      <c r="G369" s="11" t="str">
        <f aca="false">IF($A369="","",IF(AND($D369="",$E369="",$F369=""),"",IF($D369="","",$D369)&amp;IF($E369="",""," × "&amp;$E369)&amp;IF($F369=""," "," × ")&amp;IF($F369="","",$F369)&amp;"t"))</f>
        <v/>
      </c>
      <c r="H369" s="12"/>
      <c r="I369" s="13" t="str">
        <f aca="false">IF($A369="","",IF(OR($D369="",$E369="",$F369="",$H369=""),"",ROUND($D369*$E369*$F369*$H369/1000000,2)))</f>
        <v/>
      </c>
      <c r="J369" s="8"/>
      <c r="K369" s="14"/>
      <c r="L369" s="8"/>
      <c r="M369" s="15" t="str">
        <f aca="false">IF($A369="","",IF(COUNTIF($A$3:$A$502,$A369)&gt;1,"중복","-"))</f>
        <v/>
      </c>
      <c r="N369" s="8"/>
    </row>
    <row r="370" customFormat="false" ht="15" hidden="false" customHeight="true" outlineLevel="0" collapsed="false">
      <c r="A370" s="8"/>
      <c r="B370" s="8"/>
      <c r="C370" s="8"/>
      <c r="D370" s="10"/>
      <c r="E370" s="10"/>
      <c r="F370" s="10"/>
      <c r="G370" s="11" t="str">
        <f aca="false">IF($A370="","",IF(AND($D370="",$E370="",$F370=""),"",IF($D370="","",$D370)&amp;IF($E370="",""," × "&amp;$E370)&amp;IF($F370=""," "," × ")&amp;IF($F370="","",$F370)&amp;"t"))</f>
        <v/>
      </c>
      <c r="H370" s="12"/>
      <c r="I370" s="13" t="str">
        <f aca="false">IF($A370="","",IF(OR($D370="",$E370="",$F370="",$H370=""),"",ROUND($D370*$E370*$F370*$H370/1000000,2)))</f>
        <v/>
      </c>
      <c r="J370" s="8"/>
      <c r="K370" s="14"/>
      <c r="L370" s="8"/>
      <c r="M370" s="15" t="str">
        <f aca="false">IF($A370="","",IF(COUNTIF($A$3:$A$502,$A370)&gt;1,"중복","-"))</f>
        <v/>
      </c>
      <c r="N370" s="8"/>
    </row>
    <row r="371" customFormat="false" ht="15" hidden="false" customHeight="true" outlineLevel="0" collapsed="false">
      <c r="A371" s="8"/>
      <c r="B371" s="8"/>
      <c r="C371" s="8"/>
      <c r="D371" s="10"/>
      <c r="E371" s="10"/>
      <c r="F371" s="10"/>
      <c r="G371" s="11" t="str">
        <f aca="false">IF($A371="","",IF(AND($D371="",$E371="",$F371=""),"",IF($D371="","",$D371)&amp;IF($E371="",""," × "&amp;$E371)&amp;IF($F371=""," "," × ")&amp;IF($F371="","",$F371)&amp;"t"))</f>
        <v/>
      </c>
      <c r="H371" s="12"/>
      <c r="I371" s="13" t="str">
        <f aca="false">IF($A371="","",IF(OR($D371="",$E371="",$F371="",$H371=""),"",ROUND($D371*$E371*$F371*$H371/1000000,2)))</f>
        <v/>
      </c>
      <c r="J371" s="8"/>
      <c r="K371" s="14"/>
      <c r="L371" s="8"/>
      <c r="M371" s="15" t="str">
        <f aca="false">IF($A371="","",IF(COUNTIF($A$3:$A$502,$A371)&gt;1,"중복","-"))</f>
        <v/>
      </c>
      <c r="N371" s="8"/>
    </row>
    <row r="372" customFormat="false" ht="15" hidden="false" customHeight="true" outlineLevel="0" collapsed="false">
      <c r="A372" s="8"/>
      <c r="B372" s="8"/>
      <c r="C372" s="8"/>
      <c r="D372" s="10"/>
      <c r="E372" s="10"/>
      <c r="F372" s="10"/>
      <c r="G372" s="11" t="str">
        <f aca="false">IF($A372="","",IF(AND($D372="",$E372="",$F372=""),"",IF($D372="","",$D372)&amp;IF($E372="",""," × "&amp;$E372)&amp;IF($F372=""," "," × ")&amp;IF($F372="","",$F372)&amp;"t"))</f>
        <v/>
      </c>
      <c r="H372" s="12"/>
      <c r="I372" s="13" t="str">
        <f aca="false">IF($A372="","",IF(OR($D372="",$E372="",$F372="",$H372=""),"",ROUND($D372*$E372*$F372*$H372/1000000,2)))</f>
        <v/>
      </c>
      <c r="J372" s="8"/>
      <c r="K372" s="14"/>
      <c r="L372" s="8"/>
      <c r="M372" s="15" t="str">
        <f aca="false">IF($A372="","",IF(COUNTIF($A$3:$A$502,$A372)&gt;1,"중복","-"))</f>
        <v/>
      </c>
      <c r="N372" s="8"/>
    </row>
    <row r="373" customFormat="false" ht="15" hidden="false" customHeight="true" outlineLevel="0" collapsed="false">
      <c r="A373" s="8"/>
      <c r="B373" s="8"/>
      <c r="C373" s="8"/>
      <c r="D373" s="10"/>
      <c r="E373" s="10"/>
      <c r="F373" s="10"/>
      <c r="G373" s="11" t="str">
        <f aca="false">IF($A373="","",IF(AND($D373="",$E373="",$F373=""),"",IF($D373="","",$D373)&amp;IF($E373="",""," × "&amp;$E373)&amp;IF($F373=""," "," × ")&amp;IF($F373="","",$F373)&amp;"t"))</f>
        <v/>
      </c>
      <c r="H373" s="12"/>
      <c r="I373" s="13" t="str">
        <f aca="false">IF($A373="","",IF(OR($D373="",$E373="",$F373="",$H373=""),"",ROUND($D373*$E373*$F373*$H373/1000000,2)))</f>
        <v/>
      </c>
      <c r="J373" s="8"/>
      <c r="K373" s="14"/>
      <c r="L373" s="8"/>
      <c r="M373" s="15" t="str">
        <f aca="false">IF($A373="","",IF(COUNTIF($A$3:$A$502,$A373)&gt;1,"중복","-"))</f>
        <v/>
      </c>
      <c r="N373" s="8"/>
    </row>
    <row r="374" customFormat="false" ht="15" hidden="false" customHeight="true" outlineLevel="0" collapsed="false">
      <c r="A374" s="8"/>
      <c r="B374" s="8"/>
      <c r="C374" s="8"/>
      <c r="D374" s="10"/>
      <c r="E374" s="10"/>
      <c r="F374" s="10"/>
      <c r="G374" s="11" t="str">
        <f aca="false">IF($A374="","",IF(AND($D374="",$E374="",$F374=""),"",IF($D374="","",$D374)&amp;IF($E374="",""," × "&amp;$E374)&amp;IF($F374=""," "," × ")&amp;IF($F374="","",$F374)&amp;"t"))</f>
        <v/>
      </c>
      <c r="H374" s="12"/>
      <c r="I374" s="13" t="str">
        <f aca="false">IF($A374="","",IF(OR($D374="",$E374="",$F374="",$H374=""),"",ROUND($D374*$E374*$F374*$H374/1000000,2)))</f>
        <v/>
      </c>
      <c r="J374" s="8"/>
      <c r="K374" s="14"/>
      <c r="L374" s="8"/>
      <c r="M374" s="15" t="str">
        <f aca="false">IF($A374="","",IF(COUNTIF($A$3:$A$502,$A374)&gt;1,"중복","-"))</f>
        <v/>
      </c>
      <c r="N374" s="8"/>
    </row>
    <row r="375" customFormat="false" ht="15" hidden="false" customHeight="true" outlineLevel="0" collapsed="false">
      <c r="A375" s="8"/>
      <c r="B375" s="8"/>
      <c r="C375" s="8"/>
      <c r="D375" s="10"/>
      <c r="E375" s="10"/>
      <c r="F375" s="10"/>
      <c r="G375" s="11" t="str">
        <f aca="false">IF($A375="","",IF(AND($D375="",$E375="",$F375=""),"",IF($D375="","",$D375)&amp;IF($E375="",""," × "&amp;$E375)&amp;IF($F375=""," "," × ")&amp;IF($F375="","",$F375)&amp;"t"))</f>
        <v/>
      </c>
      <c r="H375" s="12"/>
      <c r="I375" s="13" t="str">
        <f aca="false">IF($A375="","",IF(OR($D375="",$E375="",$F375="",$H375=""),"",ROUND($D375*$E375*$F375*$H375/1000000,2)))</f>
        <v/>
      </c>
      <c r="J375" s="8"/>
      <c r="K375" s="14"/>
      <c r="L375" s="8"/>
      <c r="M375" s="15" t="str">
        <f aca="false">IF($A375="","",IF(COUNTIF($A$3:$A$502,$A375)&gt;1,"중복","-"))</f>
        <v/>
      </c>
      <c r="N375" s="8"/>
    </row>
    <row r="376" customFormat="false" ht="15" hidden="false" customHeight="true" outlineLevel="0" collapsed="false">
      <c r="A376" s="8"/>
      <c r="B376" s="8"/>
      <c r="C376" s="8"/>
      <c r="D376" s="10"/>
      <c r="E376" s="10"/>
      <c r="F376" s="10"/>
      <c r="G376" s="11" t="str">
        <f aca="false">IF($A376="","",IF(AND($D376="",$E376="",$F376=""),"",IF($D376="","",$D376)&amp;IF($E376="",""," × "&amp;$E376)&amp;IF($F376=""," "," × ")&amp;IF($F376="","",$F376)&amp;"t"))</f>
        <v/>
      </c>
      <c r="H376" s="12"/>
      <c r="I376" s="13" t="str">
        <f aca="false">IF($A376="","",IF(OR($D376="",$E376="",$F376="",$H376=""),"",ROUND($D376*$E376*$F376*$H376/1000000,2)))</f>
        <v/>
      </c>
      <c r="J376" s="8"/>
      <c r="K376" s="14"/>
      <c r="L376" s="8"/>
      <c r="M376" s="15" t="str">
        <f aca="false">IF($A376="","",IF(COUNTIF($A$3:$A$502,$A376)&gt;1,"중복","-"))</f>
        <v/>
      </c>
      <c r="N376" s="8"/>
    </row>
    <row r="377" customFormat="false" ht="15" hidden="false" customHeight="true" outlineLevel="0" collapsed="false">
      <c r="A377" s="8"/>
      <c r="B377" s="8"/>
      <c r="C377" s="8"/>
      <c r="D377" s="10"/>
      <c r="E377" s="10"/>
      <c r="F377" s="10"/>
      <c r="G377" s="11" t="str">
        <f aca="false">IF($A377="","",IF(AND($D377="",$E377="",$F377=""),"",IF($D377="","",$D377)&amp;IF($E377="",""," × "&amp;$E377)&amp;IF($F377=""," "," × ")&amp;IF($F377="","",$F377)&amp;"t"))</f>
        <v/>
      </c>
      <c r="H377" s="12"/>
      <c r="I377" s="13" t="str">
        <f aca="false">IF($A377="","",IF(OR($D377="",$E377="",$F377="",$H377=""),"",ROUND($D377*$E377*$F377*$H377/1000000,2)))</f>
        <v/>
      </c>
      <c r="J377" s="8"/>
      <c r="K377" s="14"/>
      <c r="L377" s="8"/>
      <c r="M377" s="15" t="str">
        <f aca="false">IF($A377="","",IF(COUNTIF($A$3:$A$502,$A377)&gt;1,"중복","-"))</f>
        <v/>
      </c>
      <c r="N377" s="8"/>
    </row>
    <row r="378" customFormat="false" ht="15" hidden="false" customHeight="true" outlineLevel="0" collapsed="false">
      <c r="A378" s="8"/>
      <c r="B378" s="8"/>
      <c r="C378" s="8"/>
      <c r="D378" s="10"/>
      <c r="E378" s="10"/>
      <c r="F378" s="10"/>
      <c r="G378" s="11" t="str">
        <f aca="false">IF($A378="","",IF(AND($D378="",$E378="",$F378=""),"",IF($D378="","",$D378)&amp;IF($E378="",""," × "&amp;$E378)&amp;IF($F378=""," "," × ")&amp;IF($F378="","",$F378)&amp;"t"))</f>
        <v/>
      </c>
      <c r="H378" s="12"/>
      <c r="I378" s="13" t="str">
        <f aca="false">IF($A378="","",IF(OR($D378="",$E378="",$F378="",$H378=""),"",ROUND($D378*$E378*$F378*$H378/1000000,2)))</f>
        <v/>
      </c>
      <c r="J378" s="8"/>
      <c r="K378" s="14"/>
      <c r="L378" s="8"/>
      <c r="M378" s="15" t="str">
        <f aca="false">IF($A378="","",IF(COUNTIF($A$3:$A$502,$A378)&gt;1,"중복","-"))</f>
        <v/>
      </c>
      <c r="N378" s="8"/>
    </row>
    <row r="379" customFormat="false" ht="15" hidden="false" customHeight="true" outlineLevel="0" collapsed="false">
      <c r="A379" s="8"/>
      <c r="B379" s="8"/>
      <c r="C379" s="8"/>
      <c r="D379" s="10"/>
      <c r="E379" s="10"/>
      <c r="F379" s="10"/>
      <c r="G379" s="11" t="str">
        <f aca="false">IF($A379="","",IF(AND($D379="",$E379="",$F379=""),"",IF($D379="","",$D379)&amp;IF($E379="",""," × "&amp;$E379)&amp;IF($F379=""," "," × ")&amp;IF($F379="","",$F379)&amp;"t"))</f>
        <v/>
      </c>
      <c r="H379" s="12"/>
      <c r="I379" s="13" t="str">
        <f aca="false">IF($A379="","",IF(OR($D379="",$E379="",$F379="",$H379=""),"",ROUND($D379*$E379*$F379*$H379/1000000,2)))</f>
        <v/>
      </c>
      <c r="J379" s="8"/>
      <c r="K379" s="14"/>
      <c r="L379" s="8"/>
      <c r="M379" s="15" t="str">
        <f aca="false">IF($A379="","",IF(COUNTIF($A$3:$A$502,$A379)&gt;1,"중복","-"))</f>
        <v/>
      </c>
      <c r="N379" s="8"/>
    </row>
    <row r="380" customFormat="false" ht="15" hidden="false" customHeight="true" outlineLevel="0" collapsed="false">
      <c r="A380" s="8"/>
      <c r="B380" s="8"/>
      <c r="C380" s="8"/>
      <c r="D380" s="10"/>
      <c r="E380" s="10"/>
      <c r="F380" s="10"/>
      <c r="G380" s="11" t="str">
        <f aca="false">IF($A380="","",IF(AND($D380="",$E380="",$F380=""),"",IF($D380="","",$D380)&amp;IF($E380="",""," × "&amp;$E380)&amp;IF($F380=""," "," × ")&amp;IF($F380="","",$F380)&amp;"t"))</f>
        <v/>
      </c>
      <c r="H380" s="12"/>
      <c r="I380" s="13" t="str">
        <f aca="false">IF($A380="","",IF(OR($D380="",$E380="",$F380="",$H380=""),"",ROUND($D380*$E380*$F380*$H380/1000000,2)))</f>
        <v/>
      </c>
      <c r="J380" s="8"/>
      <c r="K380" s="14"/>
      <c r="L380" s="8"/>
      <c r="M380" s="15" t="str">
        <f aca="false">IF($A380="","",IF(COUNTIF($A$3:$A$502,$A380)&gt;1,"중복","-"))</f>
        <v/>
      </c>
      <c r="N380" s="8"/>
    </row>
    <row r="381" customFormat="false" ht="15" hidden="false" customHeight="true" outlineLevel="0" collapsed="false">
      <c r="A381" s="8"/>
      <c r="B381" s="8"/>
      <c r="C381" s="8"/>
      <c r="D381" s="10"/>
      <c r="E381" s="10"/>
      <c r="F381" s="10"/>
      <c r="G381" s="11" t="str">
        <f aca="false">IF($A381="","",IF(AND($D381="",$E381="",$F381=""),"",IF($D381="","",$D381)&amp;IF($E381="",""," × "&amp;$E381)&amp;IF($F381=""," "," × ")&amp;IF($F381="","",$F381)&amp;"t"))</f>
        <v/>
      </c>
      <c r="H381" s="12"/>
      <c r="I381" s="13" t="str">
        <f aca="false">IF($A381="","",IF(OR($D381="",$E381="",$F381="",$H381=""),"",ROUND($D381*$E381*$F381*$H381/1000000,2)))</f>
        <v/>
      </c>
      <c r="J381" s="8"/>
      <c r="K381" s="14"/>
      <c r="L381" s="8"/>
      <c r="M381" s="15" t="str">
        <f aca="false">IF($A381="","",IF(COUNTIF($A$3:$A$502,$A381)&gt;1,"중복","-"))</f>
        <v/>
      </c>
      <c r="N381" s="8"/>
    </row>
    <row r="382" customFormat="false" ht="15" hidden="false" customHeight="true" outlineLevel="0" collapsed="false">
      <c r="A382" s="8"/>
      <c r="B382" s="8"/>
      <c r="C382" s="8"/>
      <c r="D382" s="10"/>
      <c r="E382" s="10"/>
      <c r="F382" s="10"/>
      <c r="G382" s="11" t="str">
        <f aca="false">IF($A382="","",IF(AND($D382="",$E382="",$F382=""),"",IF($D382="","",$D382)&amp;IF($E382="",""," × "&amp;$E382)&amp;IF($F382=""," "," × ")&amp;IF($F382="","",$F382)&amp;"t"))</f>
        <v/>
      </c>
      <c r="H382" s="12"/>
      <c r="I382" s="13" t="str">
        <f aca="false">IF($A382="","",IF(OR($D382="",$E382="",$F382="",$H382=""),"",ROUND($D382*$E382*$F382*$H382/1000000,2)))</f>
        <v/>
      </c>
      <c r="J382" s="8"/>
      <c r="K382" s="14"/>
      <c r="L382" s="8"/>
      <c r="M382" s="15" t="str">
        <f aca="false">IF($A382="","",IF(COUNTIF($A$3:$A$502,$A382)&gt;1,"중복","-"))</f>
        <v/>
      </c>
      <c r="N382" s="8"/>
    </row>
    <row r="383" customFormat="false" ht="15" hidden="false" customHeight="true" outlineLevel="0" collapsed="false">
      <c r="A383" s="8"/>
      <c r="B383" s="8"/>
      <c r="C383" s="8"/>
      <c r="D383" s="10"/>
      <c r="E383" s="10"/>
      <c r="F383" s="10"/>
      <c r="G383" s="11" t="str">
        <f aca="false">IF($A383="","",IF(AND($D383="",$E383="",$F383=""),"",IF($D383="","",$D383)&amp;IF($E383="",""," × "&amp;$E383)&amp;IF($F383=""," "," × ")&amp;IF($F383="","",$F383)&amp;"t"))</f>
        <v/>
      </c>
      <c r="H383" s="12"/>
      <c r="I383" s="13" t="str">
        <f aca="false">IF($A383="","",IF(OR($D383="",$E383="",$F383="",$H383=""),"",ROUND($D383*$E383*$F383*$H383/1000000,2)))</f>
        <v/>
      </c>
      <c r="J383" s="8"/>
      <c r="K383" s="14"/>
      <c r="L383" s="8"/>
      <c r="M383" s="15" t="str">
        <f aca="false">IF($A383="","",IF(COUNTIF($A$3:$A$502,$A383)&gt;1,"중복","-"))</f>
        <v/>
      </c>
      <c r="N383" s="8"/>
    </row>
    <row r="384" customFormat="false" ht="15" hidden="false" customHeight="true" outlineLevel="0" collapsed="false">
      <c r="A384" s="8"/>
      <c r="B384" s="8"/>
      <c r="C384" s="8"/>
      <c r="D384" s="10"/>
      <c r="E384" s="10"/>
      <c r="F384" s="10"/>
      <c r="G384" s="11" t="str">
        <f aca="false">IF($A384="","",IF(AND($D384="",$E384="",$F384=""),"",IF($D384="","",$D384)&amp;IF($E384="",""," × "&amp;$E384)&amp;IF($F384=""," "," × ")&amp;IF($F384="","",$F384)&amp;"t"))</f>
        <v/>
      </c>
      <c r="H384" s="12"/>
      <c r="I384" s="13" t="str">
        <f aca="false">IF($A384="","",IF(OR($D384="",$E384="",$F384="",$H384=""),"",ROUND($D384*$E384*$F384*$H384/1000000,2)))</f>
        <v/>
      </c>
      <c r="J384" s="8"/>
      <c r="K384" s="14"/>
      <c r="L384" s="8"/>
      <c r="M384" s="15" t="str">
        <f aca="false">IF($A384="","",IF(COUNTIF($A$3:$A$502,$A384)&gt;1,"중복","-"))</f>
        <v/>
      </c>
      <c r="N384" s="8"/>
    </row>
    <row r="385" customFormat="false" ht="15" hidden="false" customHeight="true" outlineLevel="0" collapsed="false">
      <c r="A385" s="8"/>
      <c r="B385" s="8"/>
      <c r="C385" s="8"/>
      <c r="D385" s="10"/>
      <c r="E385" s="10"/>
      <c r="F385" s="10"/>
      <c r="G385" s="11" t="str">
        <f aca="false">IF($A385="","",IF(AND($D385="",$E385="",$F385=""),"",IF($D385="","",$D385)&amp;IF($E385="",""," × "&amp;$E385)&amp;IF($F385=""," "," × ")&amp;IF($F385="","",$F385)&amp;"t"))</f>
        <v/>
      </c>
      <c r="H385" s="12"/>
      <c r="I385" s="13" t="str">
        <f aca="false">IF($A385="","",IF(OR($D385="",$E385="",$F385="",$H385=""),"",ROUND($D385*$E385*$F385*$H385/1000000,2)))</f>
        <v/>
      </c>
      <c r="J385" s="8"/>
      <c r="K385" s="14"/>
      <c r="L385" s="8"/>
      <c r="M385" s="15" t="str">
        <f aca="false">IF($A385="","",IF(COUNTIF($A$3:$A$502,$A385)&gt;1,"중복","-"))</f>
        <v/>
      </c>
      <c r="N385" s="8"/>
    </row>
    <row r="386" customFormat="false" ht="15" hidden="false" customHeight="true" outlineLevel="0" collapsed="false">
      <c r="A386" s="8"/>
      <c r="B386" s="8"/>
      <c r="C386" s="8"/>
      <c r="D386" s="10"/>
      <c r="E386" s="10"/>
      <c r="F386" s="10"/>
      <c r="G386" s="11" t="str">
        <f aca="false">IF($A386="","",IF(AND($D386="",$E386="",$F386=""),"",IF($D386="","",$D386)&amp;IF($E386="",""," × "&amp;$E386)&amp;IF($F386=""," "," × ")&amp;IF($F386="","",$F386)&amp;"t"))</f>
        <v/>
      </c>
      <c r="H386" s="12"/>
      <c r="I386" s="13" t="str">
        <f aca="false">IF($A386="","",IF(OR($D386="",$E386="",$F386="",$H386=""),"",ROUND($D386*$E386*$F386*$H386/1000000,2)))</f>
        <v/>
      </c>
      <c r="J386" s="8"/>
      <c r="K386" s="14"/>
      <c r="L386" s="8"/>
      <c r="M386" s="15" t="str">
        <f aca="false">IF($A386="","",IF(COUNTIF($A$3:$A$502,$A386)&gt;1,"중복","-"))</f>
        <v/>
      </c>
      <c r="N386" s="8"/>
    </row>
    <row r="387" customFormat="false" ht="15" hidden="false" customHeight="true" outlineLevel="0" collapsed="false">
      <c r="A387" s="8"/>
      <c r="B387" s="8"/>
      <c r="C387" s="8"/>
      <c r="D387" s="10"/>
      <c r="E387" s="10"/>
      <c r="F387" s="10"/>
      <c r="G387" s="11" t="str">
        <f aca="false">IF($A387="","",IF(AND($D387="",$E387="",$F387=""),"",IF($D387="","",$D387)&amp;IF($E387="",""," × "&amp;$E387)&amp;IF($F387=""," "," × ")&amp;IF($F387="","",$F387)&amp;"t"))</f>
        <v/>
      </c>
      <c r="H387" s="12"/>
      <c r="I387" s="13" t="str">
        <f aca="false">IF($A387="","",IF(OR($D387="",$E387="",$F387="",$H387=""),"",ROUND($D387*$E387*$F387*$H387/1000000,2)))</f>
        <v/>
      </c>
      <c r="J387" s="8"/>
      <c r="K387" s="14"/>
      <c r="L387" s="8"/>
      <c r="M387" s="15" t="str">
        <f aca="false">IF($A387="","",IF(COUNTIF($A$3:$A$502,$A387)&gt;1,"중복","-"))</f>
        <v/>
      </c>
      <c r="N387" s="8"/>
    </row>
    <row r="388" customFormat="false" ht="15" hidden="false" customHeight="true" outlineLevel="0" collapsed="false">
      <c r="A388" s="8"/>
      <c r="B388" s="8"/>
      <c r="C388" s="8"/>
      <c r="D388" s="10"/>
      <c r="E388" s="10"/>
      <c r="F388" s="10"/>
      <c r="G388" s="11" t="str">
        <f aca="false">IF($A388="","",IF(AND($D388="",$E388="",$F388=""),"",IF($D388="","",$D388)&amp;IF($E388="",""," × "&amp;$E388)&amp;IF($F388=""," "," × ")&amp;IF($F388="","",$F388)&amp;"t"))</f>
        <v/>
      </c>
      <c r="H388" s="12"/>
      <c r="I388" s="13" t="str">
        <f aca="false">IF($A388="","",IF(OR($D388="",$E388="",$F388="",$H388=""),"",ROUND($D388*$E388*$F388*$H388/1000000,2)))</f>
        <v/>
      </c>
      <c r="J388" s="8"/>
      <c r="K388" s="14"/>
      <c r="L388" s="8"/>
      <c r="M388" s="15" t="str">
        <f aca="false">IF($A388="","",IF(COUNTIF($A$3:$A$502,$A388)&gt;1,"중복","-"))</f>
        <v/>
      </c>
      <c r="N388" s="8"/>
    </row>
    <row r="389" customFormat="false" ht="15" hidden="false" customHeight="true" outlineLevel="0" collapsed="false">
      <c r="A389" s="8"/>
      <c r="B389" s="8"/>
      <c r="C389" s="8"/>
      <c r="D389" s="10"/>
      <c r="E389" s="10"/>
      <c r="F389" s="10"/>
      <c r="G389" s="11" t="str">
        <f aca="false">IF($A389="","",IF(AND($D389="",$E389="",$F389=""),"",IF($D389="","",$D389)&amp;IF($E389="",""," × "&amp;$E389)&amp;IF($F389=""," "," × ")&amp;IF($F389="","",$F389)&amp;"t"))</f>
        <v/>
      </c>
      <c r="H389" s="12"/>
      <c r="I389" s="13" t="str">
        <f aca="false">IF($A389="","",IF(OR($D389="",$E389="",$F389="",$H389=""),"",ROUND($D389*$E389*$F389*$H389/1000000,2)))</f>
        <v/>
      </c>
      <c r="J389" s="8"/>
      <c r="K389" s="14"/>
      <c r="L389" s="8"/>
      <c r="M389" s="15" t="str">
        <f aca="false">IF($A389="","",IF(COUNTIF($A$3:$A$502,$A389)&gt;1,"중복","-"))</f>
        <v/>
      </c>
      <c r="N389" s="8"/>
    </row>
    <row r="390" customFormat="false" ht="15" hidden="false" customHeight="true" outlineLevel="0" collapsed="false">
      <c r="A390" s="8"/>
      <c r="B390" s="8"/>
      <c r="C390" s="8"/>
      <c r="D390" s="10"/>
      <c r="E390" s="10"/>
      <c r="F390" s="10"/>
      <c r="G390" s="11" t="str">
        <f aca="false">IF($A390="","",IF(AND($D390="",$E390="",$F390=""),"",IF($D390="","",$D390)&amp;IF($E390="",""," × "&amp;$E390)&amp;IF($F390=""," "," × ")&amp;IF($F390="","",$F390)&amp;"t"))</f>
        <v/>
      </c>
      <c r="H390" s="12"/>
      <c r="I390" s="13" t="str">
        <f aca="false">IF($A390="","",IF(OR($D390="",$E390="",$F390="",$H390=""),"",ROUND($D390*$E390*$F390*$H390/1000000,2)))</f>
        <v/>
      </c>
      <c r="J390" s="8"/>
      <c r="K390" s="14"/>
      <c r="L390" s="8"/>
      <c r="M390" s="15" t="str">
        <f aca="false">IF($A390="","",IF(COUNTIF($A$3:$A$502,$A390)&gt;1,"중복","-"))</f>
        <v/>
      </c>
      <c r="N390" s="8"/>
    </row>
    <row r="391" customFormat="false" ht="15" hidden="false" customHeight="true" outlineLevel="0" collapsed="false">
      <c r="A391" s="8"/>
      <c r="B391" s="8"/>
      <c r="C391" s="8"/>
      <c r="D391" s="10"/>
      <c r="E391" s="10"/>
      <c r="F391" s="10"/>
      <c r="G391" s="11" t="str">
        <f aca="false">IF($A391="","",IF(AND($D391="",$E391="",$F391=""),"",IF($D391="","",$D391)&amp;IF($E391="",""," × "&amp;$E391)&amp;IF($F391=""," "," × ")&amp;IF($F391="","",$F391)&amp;"t"))</f>
        <v/>
      </c>
      <c r="H391" s="12"/>
      <c r="I391" s="13" t="str">
        <f aca="false">IF($A391="","",IF(OR($D391="",$E391="",$F391="",$H391=""),"",ROUND($D391*$E391*$F391*$H391/1000000,2)))</f>
        <v/>
      </c>
      <c r="J391" s="8"/>
      <c r="K391" s="14"/>
      <c r="L391" s="8"/>
      <c r="M391" s="15" t="str">
        <f aca="false">IF($A391="","",IF(COUNTIF($A$3:$A$502,$A391)&gt;1,"중복","-"))</f>
        <v/>
      </c>
      <c r="N391" s="8"/>
    </row>
    <row r="392" customFormat="false" ht="15" hidden="false" customHeight="true" outlineLevel="0" collapsed="false">
      <c r="A392" s="8"/>
      <c r="B392" s="8"/>
      <c r="C392" s="8"/>
      <c r="D392" s="10"/>
      <c r="E392" s="10"/>
      <c r="F392" s="10"/>
      <c r="G392" s="11" t="str">
        <f aca="false">IF($A392="","",IF(AND($D392="",$E392="",$F392=""),"",IF($D392="","",$D392)&amp;IF($E392="",""," × "&amp;$E392)&amp;IF($F392=""," "," × ")&amp;IF($F392="","",$F392)&amp;"t"))</f>
        <v/>
      </c>
      <c r="H392" s="12"/>
      <c r="I392" s="13" t="str">
        <f aca="false">IF($A392="","",IF(OR($D392="",$E392="",$F392="",$H392=""),"",ROUND($D392*$E392*$F392*$H392/1000000,2)))</f>
        <v/>
      </c>
      <c r="J392" s="8"/>
      <c r="K392" s="14"/>
      <c r="L392" s="8"/>
      <c r="M392" s="15" t="str">
        <f aca="false">IF($A392="","",IF(COUNTIF($A$3:$A$502,$A392)&gt;1,"중복","-"))</f>
        <v/>
      </c>
      <c r="N392" s="8"/>
    </row>
    <row r="393" customFormat="false" ht="15" hidden="false" customHeight="true" outlineLevel="0" collapsed="false">
      <c r="A393" s="8"/>
      <c r="B393" s="8"/>
      <c r="C393" s="8"/>
      <c r="D393" s="10"/>
      <c r="E393" s="10"/>
      <c r="F393" s="10"/>
      <c r="G393" s="11" t="str">
        <f aca="false">IF($A393="","",IF(AND($D393="",$E393="",$F393=""),"",IF($D393="","",$D393)&amp;IF($E393="",""," × "&amp;$E393)&amp;IF($F393=""," "," × ")&amp;IF($F393="","",$F393)&amp;"t"))</f>
        <v/>
      </c>
      <c r="H393" s="12"/>
      <c r="I393" s="13" t="str">
        <f aca="false">IF($A393="","",IF(OR($D393="",$E393="",$F393="",$H393=""),"",ROUND($D393*$E393*$F393*$H393/1000000,2)))</f>
        <v/>
      </c>
      <c r="J393" s="8"/>
      <c r="K393" s="14"/>
      <c r="L393" s="8"/>
      <c r="M393" s="15" t="str">
        <f aca="false">IF($A393="","",IF(COUNTIF($A$3:$A$502,$A393)&gt;1,"중복","-"))</f>
        <v/>
      </c>
      <c r="N393" s="8"/>
    </row>
    <row r="394" customFormat="false" ht="15" hidden="false" customHeight="true" outlineLevel="0" collapsed="false">
      <c r="A394" s="8"/>
      <c r="B394" s="8"/>
      <c r="C394" s="8"/>
      <c r="D394" s="10"/>
      <c r="E394" s="10"/>
      <c r="F394" s="10"/>
      <c r="G394" s="11" t="str">
        <f aca="false">IF($A394="","",IF(AND($D394="",$E394="",$F394=""),"",IF($D394="","",$D394)&amp;IF($E394="",""," × "&amp;$E394)&amp;IF($F394=""," "," × ")&amp;IF($F394="","",$F394)&amp;"t"))</f>
        <v/>
      </c>
      <c r="H394" s="12"/>
      <c r="I394" s="13" t="str">
        <f aca="false">IF($A394="","",IF(OR($D394="",$E394="",$F394="",$H394=""),"",ROUND($D394*$E394*$F394*$H394/1000000,2)))</f>
        <v/>
      </c>
      <c r="J394" s="8"/>
      <c r="K394" s="14"/>
      <c r="L394" s="8"/>
      <c r="M394" s="15" t="str">
        <f aca="false">IF($A394="","",IF(COUNTIF($A$3:$A$502,$A394)&gt;1,"중복","-"))</f>
        <v/>
      </c>
      <c r="N394" s="8"/>
    </row>
    <row r="395" customFormat="false" ht="15" hidden="false" customHeight="true" outlineLevel="0" collapsed="false">
      <c r="A395" s="8"/>
      <c r="B395" s="8"/>
      <c r="C395" s="8"/>
      <c r="D395" s="10"/>
      <c r="E395" s="10"/>
      <c r="F395" s="10"/>
      <c r="G395" s="11" t="str">
        <f aca="false">IF($A395="","",IF(AND($D395="",$E395="",$F395=""),"",IF($D395="","",$D395)&amp;IF($E395="",""," × "&amp;$E395)&amp;IF($F395=""," "," × ")&amp;IF($F395="","",$F395)&amp;"t"))</f>
        <v/>
      </c>
      <c r="H395" s="12"/>
      <c r="I395" s="13" t="str">
        <f aca="false">IF($A395="","",IF(OR($D395="",$E395="",$F395="",$H395=""),"",ROUND($D395*$E395*$F395*$H395/1000000,2)))</f>
        <v/>
      </c>
      <c r="J395" s="8"/>
      <c r="K395" s="14"/>
      <c r="L395" s="8"/>
      <c r="M395" s="15" t="str">
        <f aca="false">IF($A395="","",IF(COUNTIF($A$3:$A$502,$A395)&gt;1,"중복","-"))</f>
        <v/>
      </c>
      <c r="N395" s="8"/>
    </row>
    <row r="396" customFormat="false" ht="15" hidden="false" customHeight="true" outlineLevel="0" collapsed="false">
      <c r="A396" s="8"/>
      <c r="B396" s="8"/>
      <c r="C396" s="8"/>
      <c r="D396" s="10"/>
      <c r="E396" s="10"/>
      <c r="F396" s="10"/>
      <c r="G396" s="11" t="str">
        <f aca="false">IF($A396="","",IF(AND($D396="",$E396="",$F396=""),"",IF($D396="","",$D396)&amp;IF($E396="",""," × "&amp;$E396)&amp;IF($F396=""," "," × ")&amp;IF($F396="","",$F396)&amp;"t"))</f>
        <v/>
      </c>
      <c r="H396" s="12"/>
      <c r="I396" s="13" t="str">
        <f aca="false">IF($A396="","",IF(OR($D396="",$E396="",$F396="",$H396=""),"",ROUND($D396*$E396*$F396*$H396/1000000,2)))</f>
        <v/>
      </c>
      <c r="J396" s="8"/>
      <c r="K396" s="14"/>
      <c r="L396" s="8"/>
      <c r="M396" s="15" t="str">
        <f aca="false">IF($A396="","",IF(COUNTIF($A$3:$A$502,$A396)&gt;1,"중복","-"))</f>
        <v/>
      </c>
      <c r="N396" s="8"/>
    </row>
    <row r="397" customFormat="false" ht="15" hidden="false" customHeight="true" outlineLevel="0" collapsed="false">
      <c r="A397" s="8"/>
      <c r="B397" s="8"/>
      <c r="C397" s="8"/>
      <c r="D397" s="10"/>
      <c r="E397" s="10"/>
      <c r="F397" s="10"/>
      <c r="G397" s="11" t="str">
        <f aca="false">IF($A397="","",IF(AND($D397="",$E397="",$F397=""),"",IF($D397="","",$D397)&amp;IF($E397="",""," × "&amp;$E397)&amp;IF($F397=""," "," × ")&amp;IF($F397="","",$F397)&amp;"t"))</f>
        <v/>
      </c>
      <c r="H397" s="12"/>
      <c r="I397" s="13" t="str">
        <f aca="false">IF($A397="","",IF(OR($D397="",$E397="",$F397="",$H397=""),"",ROUND($D397*$E397*$F397*$H397/1000000,2)))</f>
        <v/>
      </c>
      <c r="J397" s="8"/>
      <c r="K397" s="14"/>
      <c r="L397" s="8"/>
      <c r="M397" s="15" t="str">
        <f aca="false">IF($A397="","",IF(COUNTIF($A$3:$A$502,$A397)&gt;1,"중복","-"))</f>
        <v/>
      </c>
      <c r="N397" s="8"/>
    </row>
    <row r="398" customFormat="false" ht="15" hidden="false" customHeight="true" outlineLevel="0" collapsed="false">
      <c r="A398" s="8"/>
      <c r="B398" s="8"/>
      <c r="C398" s="8"/>
      <c r="D398" s="10"/>
      <c r="E398" s="10"/>
      <c r="F398" s="10"/>
      <c r="G398" s="11" t="str">
        <f aca="false">IF($A398="","",IF(AND($D398="",$E398="",$F398=""),"",IF($D398="","",$D398)&amp;IF($E398="",""," × "&amp;$E398)&amp;IF($F398=""," "," × ")&amp;IF($F398="","",$F398)&amp;"t"))</f>
        <v/>
      </c>
      <c r="H398" s="12"/>
      <c r="I398" s="13" t="str">
        <f aca="false">IF($A398="","",IF(OR($D398="",$E398="",$F398="",$H398=""),"",ROUND($D398*$E398*$F398*$H398/1000000,2)))</f>
        <v/>
      </c>
      <c r="J398" s="8"/>
      <c r="K398" s="14"/>
      <c r="L398" s="8"/>
      <c r="M398" s="15" t="str">
        <f aca="false">IF($A398="","",IF(COUNTIF($A$3:$A$502,$A398)&gt;1,"중복","-"))</f>
        <v/>
      </c>
      <c r="N398" s="8"/>
    </row>
    <row r="399" customFormat="false" ht="15" hidden="false" customHeight="true" outlineLevel="0" collapsed="false">
      <c r="A399" s="8"/>
      <c r="B399" s="8"/>
      <c r="C399" s="8"/>
      <c r="D399" s="10"/>
      <c r="E399" s="10"/>
      <c r="F399" s="10"/>
      <c r="G399" s="11" t="str">
        <f aca="false">IF($A399="","",IF(AND($D399="",$E399="",$F399=""),"",IF($D399="","",$D399)&amp;IF($E399="",""," × "&amp;$E399)&amp;IF($F399=""," "," × ")&amp;IF($F399="","",$F399)&amp;"t"))</f>
        <v/>
      </c>
      <c r="H399" s="12"/>
      <c r="I399" s="13" t="str">
        <f aca="false">IF($A399="","",IF(OR($D399="",$E399="",$F399="",$H399=""),"",ROUND($D399*$E399*$F399*$H399/1000000,2)))</f>
        <v/>
      </c>
      <c r="J399" s="8"/>
      <c r="K399" s="14"/>
      <c r="L399" s="8"/>
      <c r="M399" s="15" t="str">
        <f aca="false">IF($A399="","",IF(COUNTIF($A$3:$A$502,$A399)&gt;1,"중복","-"))</f>
        <v/>
      </c>
      <c r="N399" s="8"/>
    </row>
    <row r="400" customFormat="false" ht="15" hidden="false" customHeight="true" outlineLevel="0" collapsed="false">
      <c r="A400" s="8"/>
      <c r="B400" s="8"/>
      <c r="C400" s="8"/>
      <c r="D400" s="10"/>
      <c r="E400" s="10"/>
      <c r="F400" s="10"/>
      <c r="G400" s="11" t="str">
        <f aca="false">IF($A400="","",IF(AND($D400="",$E400="",$F400=""),"",IF($D400="","",$D400)&amp;IF($E400="",""," × "&amp;$E400)&amp;IF($F400=""," "," × ")&amp;IF($F400="","",$F400)&amp;"t"))</f>
        <v/>
      </c>
      <c r="H400" s="12"/>
      <c r="I400" s="13" t="str">
        <f aca="false">IF($A400="","",IF(OR($D400="",$E400="",$F400="",$H400=""),"",ROUND($D400*$E400*$F400*$H400/1000000,2)))</f>
        <v/>
      </c>
      <c r="J400" s="8"/>
      <c r="K400" s="14"/>
      <c r="L400" s="8"/>
      <c r="M400" s="15" t="str">
        <f aca="false">IF($A400="","",IF(COUNTIF($A$3:$A$502,$A400)&gt;1,"중복","-"))</f>
        <v/>
      </c>
      <c r="N400" s="8"/>
    </row>
    <row r="401" customFormat="false" ht="15" hidden="false" customHeight="true" outlineLevel="0" collapsed="false">
      <c r="A401" s="8"/>
      <c r="B401" s="8"/>
      <c r="C401" s="8"/>
      <c r="D401" s="10"/>
      <c r="E401" s="10"/>
      <c r="F401" s="10"/>
      <c r="G401" s="11" t="str">
        <f aca="false">IF($A401="","",IF(AND($D401="",$E401="",$F401=""),"",IF($D401="","",$D401)&amp;IF($E401="",""," × "&amp;$E401)&amp;IF($F401=""," "," × ")&amp;IF($F401="","",$F401)&amp;"t"))</f>
        <v/>
      </c>
      <c r="H401" s="12"/>
      <c r="I401" s="13" t="str">
        <f aca="false">IF($A401="","",IF(OR($D401="",$E401="",$F401="",$H401=""),"",ROUND($D401*$E401*$F401*$H401/1000000,2)))</f>
        <v/>
      </c>
      <c r="J401" s="8"/>
      <c r="K401" s="14"/>
      <c r="L401" s="8"/>
      <c r="M401" s="15" t="str">
        <f aca="false">IF($A401="","",IF(COUNTIF($A$3:$A$502,$A401)&gt;1,"중복","-"))</f>
        <v/>
      </c>
      <c r="N401" s="8"/>
    </row>
    <row r="402" customFormat="false" ht="15" hidden="false" customHeight="true" outlineLevel="0" collapsed="false">
      <c r="A402" s="8"/>
      <c r="B402" s="8"/>
      <c r="C402" s="8"/>
      <c r="D402" s="10"/>
      <c r="E402" s="10"/>
      <c r="F402" s="10"/>
      <c r="G402" s="11" t="str">
        <f aca="false">IF($A402="","",IF(AND($D402="",$E402="",$F402=""),"",IF($D402="","",$D402)&amp;IF($E402="",""," × "&amp;$E402)&amp;IF($F402=""," "," × ")&amp;IF($F402="","",$F402)&amp;"t"))</f>
        <v/>
      </c>
      <c r="H402" s="12"/>
      <c r="I402" s="13" t="str">
        <f aca="false">IF($A402="","",IF(OR($D402="",$E402="",$F402="",$H402=""),"",ROUND($D402*$E402*$F402*$H402/1000000,2)))</f>
        <v/>
      </c>
      <c r="J402" s="8"/>
      <c r="K402" s="14"/>
      <c r="L402" s="8"/>
      <c r="M402" s="15" t="str">
        <f aca="false">IF($A402="","",IF(COUNTIF($A$3:$A$502,$A402)&gt;1,"중복","-"))</f>
        <v/>
      </c>
      <c r="N402" s="8"/>
    </row>
    <row r="403" customFormat="false" ht="15" hidden="false" customHeight="true" outlineLevel="0" collapsed="false">
      <c r="A403" s="8"/>
      <c r="B403" s="8"/>
      <c r="C403" s="8"/>
      <c r="D403" s="10"/>
      <c r="E403" s="10"/>
      <c r="F403" s="10"/>
      <c r="G403" s="11" t="str">
        <f aca="false">IF($A403="","",IF(AND($D403="",$E403="",$F403=""),"",IF($D403="","",$D403)&amp;IF($E403="",""," × "&amp;$E403)&amp;IF($F403=""," "," × ")&amp;IF($F403="","",$F403)&amp;"t"))</f>
        <v/>
      </c>
      <c r="H403" s="12"/>
      <c r="I403" s="13" t="str">
        <f aca="false">IF($A403="","",IF(OR($D403="",$E403="",$F403="",$H403=""),"",ROUND($D403*$E403*$F403*$H403/1000000,2)))</f>
        <v/>
      </c>
      <c r="J403" s="8"/>
      <c r="K403" s="14"/>
      <c r="L403" s="8"/>
      <c r="M403" s="15" t="str">
        <f aca="false">IF($A403="","",IF(COUNTIF($A$3:$A$502,$A403)&gt;1,"중복","-"))</f>
        <v/>
      </c>
      <c r="N403" s="8"/>
    </row>
    <row r="404" customFormat="false" ht="15" hidden="false" customHeight="true" outlineLevel="0" collapsed="false">
      <c r="A404" s="8"/>
      <c r="B404" s="8"/>
      <c r="C404" s="8"/>
      <c r="D404" s="10"/>
      <c r="E404" s="10"/>
      <c r="F404" s="10"/>
      <c r="G404" s="11" t="str">
        <f aca="false">IF($A404="","",IF(AND($D404="",$E404="",$F404=""),"",IF($D404="","",$D404)&amp;IF($E404="",""," × "&amp;$E404)&amp;IF($F404=""," "," × ")&amp;IF($F404="","",$F404)&amp;"t"))</f>
        <v/>
      </c>
      <c r="H404" s="12"/>
      <c r="I404" s="13" t="str">
        <f aca="false">IF($A404="","",IF(OR($D404="",$E404="",$F404="",$H404=""),"",ROUND($D404*$E404*$F404*$H404/1000000,2)))</f>
        <v/>
      </c>
      <c r="J404" s="8"/>
      <c r="K404" s="14"/>
      <c r="L404" s="8"/>
      <c r="M404" s="15" t="str">
        <f aca="false">IF($A404="","",IF(COUNTIF($A$3:$A$502,$A404)&gt;1,"중복","-"))</f>
        <v/>
      </c>
      <c r="N404" s="8"/>
    </row>
    <row r="405" customFormat="false" ht="15" hidden="false" customHeight="true" outlineLevel="0" collapsed="false">
      <c r="A405" s="8"/>
      <c r="B405" s="8"/>
      <c r="C405" s="8"/>
      <c r="D405" s="10"/>
      <c r="E405" s="10"/>
      <c r="F405" s="10"/>
      <c r="G405" s="11" t="str">
        <f aca="false">IF($A405="","",IF(AND($D405="",$E405="",$F405=""),"",IF($D405="","",$D405)&amp;IF($E405="",""," × "&amp;$E405)&amp;IF($F405=""," "," × ")&amp;IF($F405="","",$F405)&amp;"t"))</f>
        <v/>
      </c>
      <c r="H405" s="12"/>
      <c r="I405" s="13" t="str">
        <f aca="false">IF($A405="","",IF(OR($D405="",$E405="",$F405="",$H405=""),"",ROUND($D405*$E405*$F405*$H405/1000000,2)))</f>
        <v/>
      </c>
      <c r="J405" s="8"/>
      <c r="K405" s="14"/>
      <c r="L405" s="8"/>
      <c r="M405" s="15" t="str">
        <f aca="false">IF($A405="","",IF(COUNTIF($A$3:$A$502,$A405)&gt;1,"중복","-"))</f>
        <v/>
      </c>
      <c r="N405" s="8"/>
    </row>
    <row r="406" customFormat="false" ht="15" hidden="false" customHeight="true" outlineLevel="0" collapsed="false">
      <c r="A406" s="8"/>
      <c r="B406" s="8"/>
      <c r="C406" s="8"/>
      <c r="D406" s="10"/>
      <c r="E406" s="10"/>
      <c r="F406" s="10"/>
      <c r="G406" s="11" t="str">
        <f aca="false">IF($A406="","",IF(AND($D406="",$E406="",$F406=""),"",IF($D406="","",$D406)&amp;IF($E406="",""," × "&amp;$E406)&amp;IF($F406=""," "," × ")&amp;IF($F406="","",$F406)&amp;"t"))</f>
        <v/>
      </c>
      <c r="H406" s="12"/>
      <c r="I406" s="13" t="str">
        <f aca="false">IF($A406="","",IF(OR($D406="",$E406="",$F406="",$H406=""),"",ROUND($D406*$E406*$F406*$H406/1000000,2)))</f>
        <v/>
      </c>
      <c r="J406" s="8"/>
      <c r="K406" s="14"/>
      <c r="L406" s="8"/>
      <c r="M406" s="15" t="str">
        <f aca="false">IF($A406="","",IF(COUNTIF($A$3:$A$502,$A406)&gt;1,"중복","-"))</f>
        <v/>
      </c>
      <c r="N406" s="8"/>
    </row>
    <row r="407" customFormat="false" ht="15" hidden="false" customHeight="true" outlineLevel="0" collapsed="false">
      <c r="A407" s="8"/>
      <c r="B407" s="8"/>
      <c r="C407" s="8"/>
      <c r="D407" s="10"/>
      <c r="E407" s="10"/>
      <c r="F407" s="10"/>
      <c r="G407" s="11" t="str">
        <f aca="false">IF($A407="","",IF(AND($D407="",$E407="",$F407=""),"",IF($D407="","",$D407)&amp;IF($E407="",""," × "&amp;$E407)&amp;IF($F407=""," "," × ")&amp;IF($F407="","",$F407)&amp;"t"))</f>
        <v/>
      </c>
      <c r="H407" s="12"/>
      <c r="I407" s="13" t="str">
        <f aca="false">IF($A407="","",IF(OR($D407="",$E407="",$F407="",$H407=""),"",ROUND($D407*$E407*$F407*$H407/1000000,2)))</f>
        <v/>
      </c>
      <c r="J407" s="8"/>
      <c r="K407" s="14"/>
      <c r="L407" s="8"/>
      <c r="M407" s="15" t="str">
        <f aca="false">IF($A407="","",IF(COUNTIF($A$3:$A$502,$A407)&gt;1,"중복","-"))</f>
        <v/>
      </c>
      <c r="N407" s="8"/>
    </row>
    <row r="408" customFormat="false" ht="15" hidden="false" customHeight="true" outlineLevel="0" collapsed="false">
      <c r="A408" s="8"/>
      <c r="B408" s="8"/>
      <c r="C408" s="8"/>
      <c r="D408" s="10"/>
      <c r="E408" s="10"/>
      <c r="F408" s="10"/>
      <c r="G408" s="11" t="str">
        <f aca="false">IF($A408="","",IF(AND($D408="",$E408="",$F408=""),"",IF($D408="","",$D408)&amp;IF($E408="",""," × "&amp;$E408)&amp;IF($F408=""," "," × ")&amp;IF($F408="","",$F408)&amp;"t"))</f>
        <v/>
      </c>
      <c r="H408" s="12"/>
      <c r="I408" s="13" t="str">
        <f aca="false">IF($A408="","",IF(OR($D408="",$E408="",$F408="",$H408=""),"",ROUND($D408*$E408*$F408*$H408/1000000,2)))</f>
        <v/>
      </c>
      <c r="J408" s="8"/>
      <c r="K408" s="14"/>
      <c r="L408" s="8"/>
      <c r="M408" s="15" t="str">
        <f aca="false">IF($A408="","",IF(COUNTIF($A$3:$A$502,$A408)&gt;1,"중복","-"))</f>
        <v/>
      </c>
      <c r="N408" s="8"/>
    </row>
    <row r="409" customFormat="false" ht="15" hidden="false" customHeight="true" outlineLevel="0" collapsed="false">
      <c r="A409" s="8"/>
      <c r="B409" s="8"/>
      <c r="C409" s="8"/>
      <c r="D409" s="10"/>
      <c r="E409" s="10"/>
      <c r="F409" s="10"/>
      <c r="G409" s="11" t="str">
        <f aca="false">IF($A409="","",IF(AND($D409="",$E409="",$F409=""),"",IF($D409="","",$D409)&amp;IF($E409="",""," × "&amp;$E409)&amp;IF($F409=""," "," × ")&amp;IF($F409="","",$F409)&amp;"t"))</f>
        <v/>
      </c>
      <c r="H409" s="12"/>
      <c r="I409" s="13" t="str">
        <f aca="false">IF($A409="","",IF(OR($D409="",$E409="",$F409="",$H409=""),"",ROUND($D409*$E409*$F409*$H409/1000000,2)))</f>
        <v/>
      </c>
      <c r="J409" s="8"/>
      <c r="K409" s="14"/>
      <c r="L409" s="8"/>
      <c r="M409" s="15" t="str">
        <f aca="false">IF($A409="","",IF(COUNTIF($A$3:$A$502,$A409)&gt;1,"중복","-"))</f>
        <v/>
      </c>
      <c r="N409" s="8"/>
    </row>
    <row r="410" customFormat="false" ht="15" hidden="false" customHeight="true" outlineLevel="0" collapsed="false">
      <c r="A410" s="8"/>
      <c r="B410" s="8"/>
      <c r="C410" s="8"/>
      <c r="D410" s="10"/>
      <c r="E410" s="10"/>
      <c r="F410" s="10"/>
      <c r="G410" s="11" t="str">
        <f aca="false">IF($A410="","",IF(AND($D410="",$E410="",$F410=""),"",IF($D410="","",$D410)&amp;IF($E410="",""," × "&amp;$E410)&amp;IF($F410=""," "," × ")&amp;IF($F410="","",$F410)&amp;"t"))</f>
        <v/>
      </c>
      <c r="H410" s="12"/>
      <c r="I410" s="13" t="str">
        <f aca="false">IF($A410="","",IF(OR($D410="",$E410="",$F410="",$H410=""),"",ROUND($D410*$E410*$F410*$H410/1000000,2)))</f>
        <v/>
      </c>
      <c r="J410" s="8"/>
      <c r="K410" s="14"/>
      <c r="L410" s="8"/>
      <c r="M410" s="15" t="str">
        <f aca="false">IF($A410="","",IF(COUNTIF($A$3:$A$502,$A410)&gt;1,"중복","-"))</f>
        <v/>
      </c>
      <c r="N410" s="8"/>
    </row>
    <row r="411" customFormat="false" ht="15" hidden="false" customHeight="true" outlineLevel="0" collapsed="false">
      <c r="A411" s="8"/>
      <c r="B411" s="8"/>
      <c r="C411" s="8"/>
      <c r="D411" s="10"/>
      <c r="E411" s="10"/>
      <c r="F411" s="10"/>
      <c r="G411" s="11" t="str">
        <f aca="false">IF($A411="","",IF(AND($D411="",$E411="",$F411=""),"",IF($D411="","",$D411)&amp;IF($E411="",""," × "&amp;$E411)&amp;IF($F411=""," "," × ")&amp;IF($F411="","",$F411)&amp;"t"))</f>
        <v/>
      </c>
      <c r="H411" s="12"/>
      <c r="I411" s="13" t="str">
        <f aca="false">IF($A411="","",IF(OR($D411="",$E411="",$F411="",$H411=""),"",ROUND($D411*$E411*$F411*$H411/1000000,2)))</f>
        <v/>
      </c>
      <c r="J411" s="8"/>
      <c r="K411" s="14"/>
      <c r="L411" s="8"/>
      <c r="M411" s="15" t="str">
        <f aca="false">IF($A411="","",IF(COUNTIF($A$3:$A$502,$A411)&gt;1,"중복","-"))</f>
        <v/>
      </c>
      <c r="N411" s="8"/>
    </row>
    <row r="412" customFormat="false" ht="15" hidden="false" customHeight="true" outlineLevel="0" collapsed="false">
      <c r="A412" s="8"/>
      <c r="B412" s="8"/>
      <c r="C412" s="8"/>
      <c r="D412" s="10"/>
      <c r="E412" s="10"/>
      <c r="F412" s="10"/>
      <c r="G412" s="11" t="str">
        <f aca="false">IF($A412="","",IF(AND($D412="",$E412="",$F412=""),"",IF($D412="","",$D412)&amp;IF($E412="",""," × "&amp;$E412)&amp;IF($F412=""," "," × ")&amp;IF($F412="","",$F412)&amp;"t"))</f>
        <v/>
      </c>
      <c r="H412" s="12"/>
      <c r="I412" s="13" t="str">
        <f aca="false">IF($A412="","",IF(OR($D412="",$E412="",$F412="",$H412=""),"",ROUND($D412*$E412*$F412*$H412/1000000,2)))</f>
        <v/>
      </c>
      <c r="J412" s="8"/>
      <c r="K412" s="14"/>
      <c r="L412" s="8"/>
      <c r="M412" s="15" t="str">
        <f aca="false">IF($A412="","",IF(COUNTIF($A$3:$A$502,$A412)&gt;1,"중복","-"))</f>
        <v/>
      </c>
      <c r="N412" s="8"/>
    </row>
    <row r="413" customFormat="false" ht="15" hidden="false" customHeight="true" outlineLevel="0" collapsed="false">
      <c r="A413" s="8"/>
      <c r="B413" s="8"/>
      <c r="C413" s="8"/>
      <c r="D413" s="10"/>
      <c r="E413" s="10"/>
      <c r="F413" s="10"/>
      <c r="G413" s="11" t="str">
        <f aca="false">IF($A413="","",IF(AND($D413="",$E413="",$F413=""),"",IF($D413="","",$D413)&amp;IF($E413="",""," × "&amp;$E413)&amp;IF($F413=""," "," × ")&amp;IF($F413="","",$F413)&amp;"t"))</f>
        <v/>
      </c>
      <c r="H413" s="12"/>
      <c r="I413" s="13" t="str">
        <f aca="false">IF($A413="","",IF(OR($D413="",$E413="",$F413="",$H413=""),"",ROUND($D413*$E413*$F413*$H413/1000000,2)))</f>
        <v/>
      </c>
      <c r="J413" s="8"/>
      <c r="K413" s="14"/>
      <c r="L413" s="8"/>
      <c r="M413" s="15" t="str">
        <f aca="false">IF($A413="","",IF(COUNTIF($A$3:$A$502,$A413)&gt;1,"중복","-"))</f>
        <v/>
      </c>
      <c r="N413" s="8"/>
    </row>
    <row r="414" customFormat="false" ht="15" hidden="false" customHeight="true" outlineLevel="0" collapsed="false">
      <c r="A414" s="8"/>
      <c r="B414" s="8"/>
      <c r="C414" s="8"/>
      <c r="D414" s="10"/>
      <c r="E414" s="10"/>
      <c r="F414" s="10"/>
      <c r="G414" s="11" t="str">
        <f aca="false">IF($A414="","",IF(AND($D414="",$E414="",$F414=""),"",IF($D414="","",$D414)&amp;IF($E414="",""," × "&amp;$E414)&amp;IF($F414=""," "," × ")&amp;IF($F414="","",$F414)&amp;"t"))</f>
        <v/>
      </c>
      <c r="H414" s="12"/>
      <c r="I414" s="13" t="str">
        <f aca="false">IF($A414="","",IF(OR($D414="",$E414="",$F414="",$H414=""),"",ROUND($D414*$E414*$F414*$H414/1000000,2)))</f>
        <v/>
      </c>
      <c r="J414" s="8"/>
      <c r="K414" s="14"/>
      <c r="L414" s="8"/>
      <c r="M414" s="15" t="str">
        <f aca="false">IF($A414="","",IF(COUNTIF($A$3:$A$502,$A414)&gt;1,"중복","-"))</f>
        <v/>
      </c>
      <c r="N414" s="8"/>
    </row>
    <row r="415" customFormat="false" ht="15" hidden="false" customHeight="true" outlineLevel="0" collapsed="false">
      <c r="A415" s="8"/>
      <c r="B415" s="8"/>
      <c r="C415" s="8"/>
      <c r="D415" s="10"/>
      <c r="E415" s="10"/>
      <c r="F415" s="10"/>
      <c r="G415" s="11" t="str">
        <f aca="false">IF($A415="","",IF(AND($D415="",$E415="",$F415=""),"",IF($D415="","",$D415)&amp;IF($E415="",""," × "&amp;$E415)&amp;IF($F415=""," "," × ")&amp;IF($F415="","",$F415)&amp;"t"))</f>
        <v/>
      </c>
      <c r="H415" s="12"/>
      <c r="I415" s="13" t="str">
        <f aca="false">IF($A415="","",IF(OR($D415="",$E415="",$F415="",$H415=""),"",ROUND($D415*$E415*$F415*$H415/1000000,2)))</f>
        <v/>
      </c>
      <c r="J415" s="8"/>
      <c r="K415" s="14"/>
      <c r="L415" s="8"/>
      <c r="M415" s="15" t="str">
        <f aca="false">IF($A415="","",IF(COUNTIF($A$3:$A$502,$A415)&gt;1,"중복","-"))</f>
        <v/>
      </c>
      <c r="N415" s="8"/>
    </row>
    <row r="416" customFormat="false" ht="15" hidden="false" customHeight="true" outlineLevel="0" collapsed="false">
      <c r="A416" s="8"/>
      <c r="B416" s="8"/>
      <c r="C416" s="8"/>
      <c r="D416" s="10"/>
      <c r="E416" s="10"/>
      <c r="F416" s="10"/>
      <c r="G416" s="11" t="str">
        <f aca="false">IF($A416="","",IF(AND($D416="",$E416="",$F416=""),"",IF($D416="","",$D416)&amp;IF($E416="",""," × "&amp;$E416)&amp;IF($F416=""," "," × ")&amp;IF($F416="","",$F416)&amp;"t"))</f>
        <v/>
      </c>
      <c r="H416" s="12"/>
      <c r="I416" s="13" t="str">
        <f aca="false">IF($A416="","",IF(OR($D416="",$E416="",$F416="",$H416=""),"",ROUND($D416*$E416*$F416*$H416/1000000,2)))</f>
        <v/>
      </c>
      <c r="J416" s="8"/>
      <c r="K416" s="14"/>
      <c r="L416" s="8"/>
      <c r="M416" s="15" t="str">
        <f aca="false">IF($A416="","",IF(COUNTIF($A$3:$A$502,$A416)&gt;1,"중복","-"))</f>
        <v/>
      </c>
      <c r="N416" s="8"/>
    </row>
    <row r="417" customFormat="false" ht="15" hidden="false" customHeight="true" outlineLevel="0" collapsed="false">
      <c r="A417" s="8"/>
      <c r="B417" s="8"/>
      <c r="C417" s="8"/>
      <c r="D417" s="10"/>
      <c r="E417" s="10"/>
      <c r="F417" s="10"/>
      <c r="G417" s="11" t="str">
        <f aca="false">IF($A417="","",IF(AND($D417="",$E417="",$F417=""),"",IF($D417="","",$D417)&amp;IF($E417="",""," × "&amp;$E417)&amp;IF($F417=""," "," × ")&amp;IF($F417="","",$F417)&amp;"t"))</f>
        <v/>
      </c>
      <c r="H417" s="12"/>
      <c r="I417" s="13" t="str">
        <f aca="false">IF($A417="","",IF(OR($D417="",$E417="",$F417="",$H417=""),"",ROUND($D417*$E417*$F417*$H417/1000000,2)))</f>
        <v/>
      </c>
      <c r="J417" s="8"/>
      <c r="K417" s="14"/>
      <c r="L417" s="8"/>
      <c r="M417" s="15" t="str">
        <f aca="false">IF($A417="","",IF(COUNTIF($A$3:$A$502,$A417)&gt;1,"중복","-"))</f>
        <v/>
      </c>
      <c r="N417" s="8"/>
    </row>
    <row r="418" customFormat="false" ht="15" hidden="false" customHeight="true" outlineLevel="0" collapsed="false">
      <c r="A418" s="8"/>
      <c r="B418" s="8"/>
      <c r="C418" s="8"/>
      <c r="D418" s="10"/>
      <c r="E418" s="10"/>
      <c r="F418" s="10"/>
      <c r="G418" s="11" t="str">
        <f aca="false">IF($A418="","",IF(AND($D418="",$E418="",$F418=""),"",IF($D418="","",$D418)&amp;IF($E418="",""," × "&amp;$E418)&amp;IF($F418=""," "," × ")&amp;IF($F418="","",$F418)&amp;"t"))</f>
        <v/>
      </c>
      <c r="H418" s="12"/>
      <c r="I418" s="13" t="str">
        <f aca="false">IF($A418="","",IF(OR($D418="",$E418="",$F418="",$H418=""),"",ROUND($D418*$E418*$F418*$H418/1000000,2)))</f>
        <v/>
      </c>
      <c r="J418" s="8"/>
      <c r="K418" s="14"/>
      <c r="L418" s="8"/>
      <c r="M418" s="15" t="str">
        <f aca="false">IF($A418="","",IF(COUNTIF($A$3:$A$502,$A418)&gt;1,"중복","-"))</f>
        <v/>
      </c>
      <c r="N418" s="8"/>
    </row>
    <row r="419" customFormat="false" ht="15" hidden="false" customHeight="true" outlineLevel="0" collapsed="false">
      <c r="A419" s="8"/>
      <c r="B419" s="8"/>
      <c r="C419" s="8"/>
      <c r="D419" s="10"/>
      <c r="E419" s="10"/>
      <c r="F419" s="10"/>
      <c r="G419" s="11" t="str">
        <f aca="false">IF($A419="","",IF(AND($D419="",$E419="",$F419=""),"",IF($D419="","",$D419)&amp;IF($E419="",""," × "&amp;$E419)&amp;IF($F419=""," "," × ")&amp;IF($F419="","",$F419)&amp;"t"))</f>
        <v/>
      </c>
      <c r="H419" s="12"/>
      <c r="I419" s="13" t="str">
        <f aca="false">IF($A419="","",IF(OR($D419="",$E419="",$F419="",$H419=""),"",ROUND($D419*$E419*$F419*$H419/1000000,2)))</f>
        <v/>
      </c>
      <c r="J419" s="8"/>
      <c r="K419" s="14"/>
      <c r="L419" s="8"/>
      <c r="M419" s="15" t="str">
        <f aca="false">IF($A419="","",IF(COUNTIF($A$3:$A$502,$A419)&gt;1,"중복","-"))</f>
        <v/>
      </c>
      <c r="N419" s="8"/>
    </row>
    <row r="420" customFormat="false" ht="15" hidden="false" customHeight="true" outlineLevel="0" collapsed="false">
      <c r="A420" s="8"/>
      <c r="B420" s="8"/>
      <c r="C420" s="8"/>
      <c r="D420" s="10"/>
      <c r="E420" s="10"/>
      <c r="F420" s="10"/>
      <c r="G420" s="11" t="str">
        <f aca="false">IF($A420="","",IF(AND($D420="",$E420="",$F420=""),"",IF($D420="","",$D420)&amp;IF($E420="",""," × "&amp;$E420)&amp;IF($F420=""," "," × ")&amp;IF($F420="","",$F420)&amp;"t"))</f>
        <v/>
      </c>
      <c r="H420" s="12"/>
      <c r="I420" s="13" t="str">
        <f aca="false">IF($A420="","",IF(OR($D420="",$E420="",$F420="",$H420=""),"",ROUND($D420*$E420*$F420*$H420/1000000,2)))</f>
        <v/>
      </c>
      <c r="J420" s="8"/>
      <c r="K420" s="14"/>
      <c r="L420" s="8"/>
      <c r="M420" s="15" t="str">
        <f aca="false">IF($A420="","",IF(COUNTIF($A$3:$A$502,$A420)&gt;1,"중복","-"))</f>
        <v/>
      </c>
      <c r="N420" s="8"/>
    </row>
    <row r="421" customFormat="false" ht="15" hidden="false" customHeight="true" outlineLevel="0" collapsed="false">
      <c r="A421" s="8"/>
      <c r="B421" s="8"/>
      <c r="C421" s="8"/>
      <c r="D421" s="10"/>
      <c r="E421" s="10"/>
      <c r="F421" s="10"/>
      <c r="G421" s="11" t="str">
        <f aca="false">IF($A421="","",IF(AND($D421="",$E421="",$F421=""),"",IF($D421="","",$D421)&amp;IF($E421="",""," × "&amp;$E421)&amp;IF($F421=""," "," × ")&amp;IF($F421="","",$F421)&amp;"t"))</f>
        <v/>
      </c>
      <c r="H421" s="12"/>
      <c r="I421" s="13" t="str">
        <f aca="false">IF($A421="","",IF(OR($D421="",$E421="",$F421="",$H421=""),"",ROUND($D421*$E421*$F421*$H421/1000000,2)))</f>
        <v/>
      </c>
      <c r="J421" s="8"/>
      <c r="K421" s="14"/>
      <c r="L421" s="8"/>
      <c r="M421" s="15" t="str">
        <f aca="false">IF($A421="","",IF(COUNTIF($A$3:$A$502,$A421)&gt;1,"중복","-"))</f>
        <v/>
      </c>
      <c r="N421" s="8"/>
    </row>
    <row r="422" customFormat="false" ht="15" hidden="false" customHeight="true" outlineLevel="0" collapsed="false">
      <c r="A422" s="8"/>
      <c r="B422" s="8"/>
      <c r="C422" s="8"/>
      <c r="D422" s="10"/>
      <c r="E422" s="10"/>
      <c r="F422" s="10"/>
      <c r="G422" s="11" t="str">
        <f aca="false">IF($A422="","",IF(AND($D422="",$E422="",$F422=""),"",IF($D422="","",$D422)&amp;IF($E422="",""," × "&amp;$E422)&amp;IF($F422=""," "," × ")&amp;IF($F422="","",$F422)&amp;"t"))</f>
        <v/>
      </c>
      <c r="H422" s="12"/>
      <c r="I422" s="13" t="str">
        <f aca="false">IF($A422="","",IF(OR($D422="",$E422="",$F422="",$H422=""),"",ROUND($D422*$E422*$F422*$H422/1000000,2)))</f>
        <v/>
      </c>
      <c r="J422" s="8"/>
      <c r="K422" s="14"/>
      <c r="L422" s="8"/>
      <c r="M422" s="15" t="str">
        <f aca="false">IF($A422="","",IF(COUNTIF($A$3:$A$502,$A422)&gt;1,"중복","-"))</f>
        <v/>
      </c>
      <c r="N422" s="8"/>
    </row>
    <row r="423" customFormat="false" ht="15" hidden="false" customHeight="true" outlineLevel="0" collapsed="false">
      <c r="A423" s="8"/>
      <c r="B423" s="8"/>
      <c r="C423" s="8"/>
      <c r="D423" s="10"/>
      <c r="E423" s="10"/>
      <c r="F423" s="10"/>
      <c r="G423" s="11" t="str">
        <f aca="false">IF($A423="","",IF(AND($D423="",$E423="",$F423=""),"",IF($D423="","",$D423)&amp;IF($E423="",""," × "&amp;$E423)&amp;IF($F423=""," "," × ")&amp;IF($F423="","",$F423)&amp;"t"))</f>
        <v/>
      </c>
      <c r="H423" s="12"/>
      <c r="I423" s="13" t="str">
        <f aca="false">IF($A423="","",IF(OR($D423="",$E423="",$F423="",$H423=""),"",ROUND($D423*$E423*$F423*$H423/1000000,2)))</f>
        <v/>
      </c>
      <c r="J423" s="8"/>
      <c r="K423" s="14"/>
      <c r="L423" s="8"/>
      <c r="M423" s="15" t="str">
        <f aca="false">IF($A423="","",IF(COUNTIF($A$3:$A$502,$A423)&gt;1,"중복","-"))</f>
        <v/>
      </c>
      <c r="N423" s="8"/>
    </row>
    <row r="424" customFormat="false" ht="15" hidden="false" customHeight="true" outlineLevel="0" collapsed="false">
      <c r="A424" s="8"/>
      <c r="B424" s="8"/>
      <c r="C424" s="8"/>
      <c r="D424" s="10"/>
      <c r="E424" s="10"/>
      <c r="F424" s="10"/>
      <c r="G424" s="11" t="str">
        <f aca="false">IF($A424="","",IF(AND($D424="",$E424="",$F424=""),"",IF($D424="","",$D424)&amp;IF($E424="",""," × "&amp;$E424)&amp;IF($F424=""," "," × ")&amp;IF($F424="","",$F424)&amp;"t"))</f>
        <v/>
      </c>
      <c r="H424" s="12"/>
      <c r="I424" s="13" t="str">
        <f aca="false">IF($A424="","",IF(OR($D424="",$E424="",$F424="",$H424=""),"",ROUND($D424*$E424*$F424*$H424/1000000,2)))</f>
        <v/>
      </c>
      <c r="J424" s="8"/>
      <c r="K424" s="14"/>
      <c r="L424" s="8"/>
      <c r="M424" s="15" t="str">
        <f aca="false">IF($A424="","",IF(COUNTIF($A$3:$A$502,$A424)&gt;1,"중복","-"))</f>
        <v/>
      </c>
      <c r="N424" s="8"/>
    </row>
    <row r="425" customFormat="false" ht="15" hidden="false" customHeight="true" outlineLevel="0" collapsed="false">
      <c r="A425" s="8"/>
      <c r="B425" s="8"/>
      <c r="C425" s="8"/>
      <c r="D425" s="10"/>
      <c r="E425" s="10"/>
      <c r="F425" s="10"/>
      <c r="G425" s="11" t="str">
        <f aca="false">IF($A425="","",IF(AND($D425="",$E425="",$F425=""),"",IF($D425="","",$D425)&amp;IF($E425="",""," × "&amp;$E425)&amp;IF($F425=""," "," × ")&amp;IF($F425="","",$F425)&amp;"t"))</f>
        <v/>
      </c>
      <c r="H425" s="12"/>
      <c r="I425" s="13" t="str">
        <f aca="false">IF($A425="","",IF(OR($D425="",$E425="",$F425="",$H425=""),"",ROUND($D425*$E425*$F425*$H425/1000000,2)))</f>
        <v/>
      </c>
      <c r="J425" s="8"/>
      <c r="K425" s="14"/>
      <c r="L425" s="8"/>
      <c r="M425" s="15" t="str">
        <f aca="false">IF($A425="","",IF(COUNTIF($A$3:$A$502,$A425)&gt;1,"중복","-"))</f>
        <v/>
      </c>
      <c r="N425" s="8"/>
    </row>
    <row r="426" customFormat="false" ht="15" hidden="false" customHeight="true" outlineLevel="0" collapsed="false">
      <c r="A426" s="8"/>
      <c r="B426" s="8"/>
      <c r="C426" s="8"/>
      <c r="D426" s="10"/>
      <c r="E426" s="10"/>
      <c r="F426" s="10"/>
      <c r="G426" s="11" t="str">
        <f aca="false">IF($A426="","",IF(AND($D426="",$E426="",$F426=""),"",IF($D426="","",$D426)&amp;IF($E426="",""," × "&amp;$E426)&amp;IF($F426=""," "," × ")&amp;IF($F426="","",$F426)&amp;"t"))</f>
        <v/>
      </c>
      <c r="H426" s="12"/>
      <c r="I426" s="13" t="str">
        <f aca="false">IF($A426="","",IF(OR($D426="",$E426="",$F426="",$H426=""),"",ROUND($D426*$E426*$F426*$H426/1000000,2)))</f>
        <v/>
      </c>
      <c r="J426" s="8"/>
      <c r="K426" s="14"/>
      <c r="L426" s="8"/>
      <c r="M426" s="15" t="str">
        <f aca="false">IF($A426="","",IF(COUNTIF($A$3:$A$502,$A426)&gt;1,"중복","-"))</f>
        <v/>
      </c>
      <c r="N426" s="8"/>
    </row>
    <row r="427" customFormat="false" ht="15" hidden="false" customHeight="true" outlineLevel="0" collapsed="false">
      <c r="A427" s="8"/>
      <c r="B427" s="8"/>
      <c r="C427" s="8"/>
      <c r="D427" s="10"/>
      <c r="E427" s="10"/>
      <c r="F427" s="10"/>
      <c r="G427" s="11" t="str">
        <f aca="false">IF($A427="","",IF(AND($D427="",$E427="",$F427=""),"",IF($D427="","",$D427)&amp;IF($E427="",""," × "&amp;$E427)&amp;IF($F427=""," "," × ")&amp;IF($F427="","",$F427)&amp;"t"))</f>
        <v/>
      </c>
      <c r="H427" s="12"/>
      <c r="I427" s="13" t="str">
        <f aca="false">IF($A427="","",IF(OR($D427="",$E427="",$F427="",$H427=""),"",ROUND($D427*$E427*$F427*$H427/1000000,2)))</f>
        <v/>
      </c>
      <c r="J427" s="8"/>
      <c r="K427" s="14"/>
      <c r="L427" s="8"/>
      <c r="M427" s="15" t="str">
        <f aca="false">IF($A427="","",IF(COUNTIF($A$3:$A$502,$A427)&gt;1,"중복","-"))</f>
        <v/>
      </c>
      <c r="N427" s="8"/>
    </row>
    <row r="428" customFormat="false" ht="15" hidden="false" customHeight="true" outlineLevel="0" collapsed="false">
      <c r="A428" s="8"/>
      <c r="B428" s="8"/>
      <c r="C428" s="8"/>
      <c r="D428" s="10"/>
      <c r="E428" s="10"/>
      <c r="F428" s="10"/>
      <c r="G428" s="11" t="str">
        <f aca="false">IF($A428="","",IF(AND($D428="",$E428="",$F428=""),"",IF($D428="","",$D428)&amp;IF($E428="",""," × "&amp;$E428)&amp;IF($F428=""," "," × ")&amp;IF($F428="","",$F428)&amp;"t"))</f>
        <v/>
      </c>
      <c r="H428" s="12"/>
      <c r="I428" s="13" t="str">
        <f aca="false">IF($A428="","",IF(OR($D428="",$E428="",$F428="",$H428=""),"",ROUND($D428*$E428*$F428*$H428/1000000,2)))</f>
        <v/>
      </c>
      <c r="J428" s="8"/>
      <c r="K428" s="14"/>
      <c r="L428" s="8"/>
      <c r="M428" s="15" t="str">
        <f aca="false">IF($A428="","",IF(COUNTIF($A$3:$A$502,$A428)&gt;1,"중복","-"))</f>
        <v/>
      </c>
      <c r="N428" s="8"/>
    </row>
    <row r="429" customFormat="false" ht="15" hidden="false" customHeight="true" outlineLevel="0" collapsed="false">
      <c r="A429" s="8"/>
      <c r="B429" s="8"/>
      <c r="C429" s="8"/>
      <c r="D429" s="10"/>
      <c r="E429" s="10"/>
      <c r="F429" s="10"/>
      <c r="G429" s="11" t="str">
        <f aca="false">IF($A429="","",IF(AND($D429="",$E429="",$F429=""),"",IF($D429="","",$D429)&amp;IF($E429="",""," × "&amp;$E429)&amp;IF($F429=""," "," × ")&amp;IF($F429="","",$F429)&amp;"t"))</f>
        <v/>
      </c>
      <c r="H429" s="12"/>
      <c r="I429" s="13" t="str">
        <f aca="false">IF($A429="","",IF(OR($D429="",$E429="",$F429="",$H429=""),"",ROUND($D429*$E429*$F429*$H429/1000000,2)))</f>
        <v/>
      </c>
      <c r="J429" s="8"/>
      <c r="K429" s="14"/>
      <c r="L429" s="8"/>
      <c r="M429" s="15" t="str">
        <f aca="false">IF($A429="","",IF(COUNTIF($A$3:$A$502,$A429)&gt;1,"중복","-"))</f>
        <v/>
      </c>
      <c r="N429" s="8"/>
    </row>
    <row r="430" customFormat="false" ht="15" hidden="false" customHeight="true" outlineLevel="0" collapsed="false">
      <c r="A430" s="8"/>
      <c r="B430" s="8"/>
      <c r="C430" s="8"/>
      <c r="D430" s="10"/>
      <c r="E430" s="10"/>
      <c r="F430" s="10"/>
      <c r="G430" s="11" t="str">
        <f aca="false">IF($A430="","",IF(AND($D430="",$E430="",$F430=""),"",IF($D430="","",$D430)&amp;IF($E430="",""," × "&amp;$E430)&amp;IF($F430=""," "," × ")&amp;IF($F430="","",$F430)&amp;"t"))</f>
        <v/>
      </c>
      <c r="H430" s="12"/>
      <c r="I430" s="13" t="str">
        <f aca="false">IF($A430="","",IF(OR($D430="",$E430="",$F430="",$H430=""),"",ROUND($D430*$E430*$F430*$H430/1000000,2)))</f>
        <v/>
      </c>
      <c r="J430" s="8"/>
      <c r="K430" s="14"/>
      <c r="L430" s="8"/>
      <c r="M430" s="15" t="str">
        <f aca="false">IF($A430="","",IF(COUNTIF($A$3:$A$502,$A430)&gt;1,"중복","-"))</f>
        <v/>
      </c>
      <c r="N430" s="8"/>
    </row>
    <row r="431" customFormat="false" ht="15" hidden="false" customHeight="true" outlineLevel="0" collapsed="false">
      <c r="A431" s="8"/>
      <c r="B431" s="8"/>
      <c r="C431" s="8"/>
      <c r="D431" s="10"/>
      <c r="E431" s="10"/>
      <c r="F431" s="10"/>
      <c r="G431" s="11" t="str">
        <f aca="false">IF($A431="","",IF(AND($D431="",$E431="",$F431=""),"",IF($D431="","",$D431)&amp;IF($E431="",""," × "&amp;$E431)&amp;IF($F431=""," "," × ")&amp;IF($F431="","",$F431)&amp;"t"))</f>
        <v/>
      </c>
      <c r="H431" s="12"/>
      <c r="I431" s="13" t="str">
        <f aca="false">IF($A431="","",IF(OR($D431="",$E431="",$F431="",$H431=""),"",ROUND($D431*$E431*$F431*$H431/1000000,2)))</f>
        <v/>
      </c>
      <c r="J431" s="8"/>
      <c r="K431" s="14"/>
      <c r="L431" s="8"/>
      <c r="M431" s="15" t="str">
        <f aca="false">IF($A431="","",IF(COUNTIF($A$3:$A$502,$A431)&gt;1,"중복","-"))</f>
        <v/>
      </c>
      <c r="N431" s="8"/>
    </row>
    <row r="432" customFormat="false" ht="15" hidden="false" customHeight="true" outlineLevel="0" collapsed="false">
      <c r="A432" s="8"/>
      <c r="B432" s="8"/>
      <c r="C432" s="8"/>
      <c r="D432" s="10"/>
      <c r="E432" s="10"/>
      <c r="F432" s="10"/>
      <c r="G432" s="11" t="str">
        <f aca="false">IF($A432="","",IF(AND($D432="",$E432="",$F432=""),"",IF($D432="","",$D432)&amp;IF($E432="",""," × "&amp;$E432)&amp;IF($F432=""," "," × ")&amp;IF($F432="","",$F432)&amp;"t"))</f>
        <v/>
      </c>
      <c r="H432" s="12"/>
      <c r="I432" s="13" t="str">
        <f aca="false">IF($A432="","",IF(OR($D432="",$E432="",$F432="",$H432=""),"",ROUND($D432*$E432*$F432*$H432/1000000,2)))</f>
        <v/>
      </c>
      <c r="J432" s="8"/>
      <c r="K432" s="14"/>
      <c r="L432" s="8"/>
      <c r="M432" s="15" t="str">
        <f aca="false">IF($A432="","",IF(COUNTIF($A$3:$A$502,$A432)&gt;1,"중복","-"))</f>
        <v/>
      </c>
      <c r="N432" s="8"/>
    </row>
    <row r="433" customFormat="false" ht="15" hidden="false" customHeight="true" outlineLevel="0" collapsed="false">
      <c r="A433" s="8"/>
      <c r="B433" s="8"/>
      <c r="C433" s="8"/>
      <c r="D433" s="10"/>
      <c r="E433" s="10"/>
      <c r="F433" s="10"/>
      <c r="G433" s="11" t="str">
        <f aca="false">IF($A433="","",IF(AND($D433="",$E433="",$F433=""),"",IF($D433="","",$D433)&amp;IF($E433="",""," × "&amp;$E433)&amp;IF($F433=""," "," × ")&amp;IF($F433="","",$F433)&amp;"t"))</f>
        <v/>
      </c>
      <c r="H433" s="12"/>
      <c r="I433" s="13" t="str">
        <f aca="false">IF($A433="","",IF(OR($D433="",$E433="",$F433="",$H433=""),"",ROUND($D433*$E433*$F433*$H433/1000000,2)))</f>
        <v/>
      </c>
      <c r="J433" s="8"/>
      <c r="K433" s="14"/>
      <c r="L433" s="8"/>
      <c r="M433" s="15" t="str">
        <f aca="false">IF($A433="","",IF(COUNTIF($A$3:$A$502,$A433)&gt;1,"중복","-"))</f>
        <v/>
      </c>
      <c r="N433" s="8"/>
    </row>
    <row r="434" customFormat="false" ht="15" hidden="false" customHeight="true" outlineLevel="0" collapsed="false">
      <c r="A434" s="8"/>
      <c r="B434" s="8"/>
      <c r="C434" s="8"/>
      <c r="D434" s="10"/>
      <c r="E434" s="10"/>
      <c r="F434" s="10"/>
      <c r="G434" s="11" t="str">
        <f aca="false">IF($A434="","",IF(AND($D434="",$E434="",$F434=""),"",IF($D434="","",$D434)&amp;IF($E434="",""," × "&amp;$E434)&amp;IF($F434=""," "," × ")&amp;IF($F434="","",$F434)&amp;"t"))</f>
        <v/>
      </c>
      <c r="H434" s="12"/>
      <c r="I434" s="13" t="str">
        <f aca="false">IF($A434="","",IF(OR($D434="",$E434="",$F434="",$H434=""),"",ROUND($D434*$E434*$F434*$H434/1000000,2)))</f>
        <v/>
      </c>
      <c r="J434" s="8"/>
      <c r="K434" s="14"/>
      <c r="L434" s="8"/>
      <c r="M434" s="15" t="str">
        <f aca="false">IF($A434="","",IF(COUNTIF($A$3:$A$502,$A434)&gt;1,"중복","-"))</f>
        <v/>
      </c>
      <c r="N434" s="8"/>
    </row>
    <row r="435" customFormat="false" ht="15" hidden="false" customHeight="true" outlineLevel="0" collapsed="false">
      <c r="A435" s="8"/>
      <c r="B435" s="8"/>
      <c r="C435" s="8"/>
      <c r="D435" s="10"/>
      <c r="E435" s="10"/>
      <c r="F435" s="10"/>
      <c r="G435" s="11" t="str">
        <f aca="false">IF($A435="","",IF(AND($D435="",$E435="",$F435=""),"",IF($D435="","",$D435)&amp;IF($E435="",""," × "&amp;$E435)&amp;IF($F435=""," "," × ")&amp;IF($F435="","",$F435)&amp;"t"))</f>
        <v/>
      </c>
      <c r="H435" s="12"/>
      <c r="I435" s="13" t="str">
        <f aca="false">IF($A435="","",IF(OR($D435="",$E435="",$F435="",$H435=""),"",ROUND($D435*$E435*$F435*$H435/1000000,2)))</f>
        <v/>
      </c>
      <c r="J435" s="8"/>
      <c r="K435" s="14"/>
      <c r="L435" s="8"/>
      <c r="M435" s="15" t="str">
        <f aca="false">IF($A435="","",IF(COUNTIF($A$3:$A$502,$A435)&gt;1,"중복","-"))</f>
        <v/>
      </c>
      <c r="N435" s="8"/>
    </row>
    <row r="436" customFormat="false" ht="15" hidden="false" customHeight="true" outlineLevel="0" collapsed="false">
      <c r="A436" s="8"/>
      <c r="B436" s="8"/>
      <c r="C436" s="8"/>
      <c r="D436" s="10"/>
      <c r="E436" s="10"/>
      <c r="F436" s="10"/>
      <c r="G436" s="11" t="str">
        <f aca="false">IF($A436="","",IF(AND($D436="",$E436="",$F436=""),"",IF($D436="","",$D436)&amp;IF($E436="",""," × "&amp;$E436)&amp;IF($F436=""," "," × ")&amp;IF($F436="","",$F436)&amp;"t"))</f>
        <v/>
      </c>
      <c r="H436" s="12"/>
      <c r="I436" s="13" t="str">
        <f aca="false">IF($A436="","",IF(OR($D436="",$E436="",$F436="",$H436=""),"",ROUND($D436*$E436*$F436*$H436/1000000,2)))</f>
        <v/>
      </c>
      <c r="J436" s="8"/>
      <c r="K436" s="14"/>
      <c r="L436" s="8"/>
      <c r="M436" s="15" t="str">
        <f aca="false">IF($A436="","",IF(COUNTIF($A$3:$A$502,$A436)&gt;1,"중복","-"))</f>
        <v/>
      </c>
      <c r="N436" s="8"/>
    </row>
    <row r="437" customFormat="false" ht="15" hidden="false" customHeight="true" outlineLevel="0" collapsed="false">
      <c r="A437" s="8"/>
      <c r="B437" s="8"/>
      <c r="C437" s="8"/>
      <c r="D437" s="10"/>
      <c r="E437" s="10"/>
      <c r="F437" s="10"/>
      <c r="G437" s="11" t="str">
        <f aca="false">IF($A437="","",IF(AND($D437="",$E437="",$F437=""),"",IF($D437="","",$D437)&amp;IF($E437="",""," × "&amp;$E437)&amp;IF($F437=""," "," × ")&amp;IF($F437="","",$F437)&amp;"t"))</f>
        <v/>
      </c>
      <c r="H437" s="12"/>
      <c r="I437" s="13" t="str">
        <f aca="false">IF($A437="","",IF(OR($D437="",$E437="",$F437="",$H437=""),"",ROUND($D437*$E437*$F437*$H437/1000000,2)))</f>
        <v/>
      </c>
      <c r="J437" s="8"/>
      <c r="K437" s="14"/>
      <c r="L437" s="8"/>
      <c r="M437" s="15" t="str">
        <f aca="false">IF($A437="","",IF(COUNTIF($A$3:$A$502,$A437)&gt;1,"중복","-"))</f>
        <v/>
      </c>
      <c r="N437" s="8"/>
    </row>
    <row r="438" customFormat="false" ht="15" hidden="false" customHeight="true" outlineLevel="0" collapsed="false">
      <c r="A438" s="8"/>
      <c r="B438" s="8"/>
      <c r="C438" s="8"/>
      <c r="D438" s="10"/>
      <c r="E438" s="10"/>
      <c r="F438" s="10"/>
      <c r="G438" s="11" t="str">
        <f aca="false">IF($A438="","",IF(AND($D438="",$E438="",$F438=""),"",IF($D438="","",$D438)&amp;IF($E438="",""," × "&amp;$E438)&amp;IF($F438=""," "," × ")&amp;IF($F438="","",$F438)&amp;"t"))</f>
        <v/>
      </c>
      <c r="H438" s="12"/>
      <c r="I438" s="13" t="str">
        <f aca="false">IF($A438="","",IF(OR($D438="",$E438="",$F438="",$H438=""),"",ROUND($D438*$E438*$F438*$H438/1000000,2)))</f>
        <v/>
      </c>
      <c r="J438" s="8"/>
      <c r="K438" s="14"/>
      <c r="L438" s="8"/>
      <c r="M438" s="15" t="str">
        <f aca="false">IF($A438="","",IF(COUNTIF($A$3:$A$502,$A438)&gt;1,"중복","-"))</f>
        <v/>
      </c>
      <c r="N438" s="8"/>
    </row>
    <row r="439" customFormat="false" ht="15" hidden="false" customHeight="true" outlineLevel="0" collapsed="false">
      <c r="A439" s="8"/>
      <c r="B439" s="8"/>
      <c r="C439" s="8"/>
      <c r="D439" s="10"/>
      <c r="E439" s="10"/>
      <c r="F439" s="10"/>
      <c r="G439" s="11" t="str">
        <f aca="false">IF($A439="","",IF(AND($D439="",$E439="",$F439=""),"",IF($D439="","",$D439)&amp;IF($E439="",""," × "&amp;$E439)&amp;IF($F439=""," "," × ")&amp;IF($F439="","",$F439)&amp;"t"))</f>
        <v/>
      </c>
      <c r="H439" s="12"/>
      <c r="I439" s="13" t="str">
        <f aca="false">IF($A439="","",IF(OR($D439="",$E439="",$F439="",$H439=""),"",ROUND($D439*$E439*$F439*$H439/1000000,2)))</f>
        <v/>
      </c>
      <c r="J439" s="8"/>
      <c r="K439" s="14"/>
      <c r="L439" s="8"/>
      <c r="M439" s="15" t="str">
        <f aca="false">IF($A439="","",IF(COUNTIF($A$3:$A$502,$A439)&gt;1,"중복","-"))</f>
        <v/>
      </c>
      <c r="N439" s="8"/>
    </row>
    <row r="440" customFormat="false" ht="15" hidden="false" customHeight="true" outlineLevel="0" collapsed="false">
      <c r="A440" s="8"/>
      <c r="B440" s="8"/>
      <c r="C440" s="8"/>
      <c r="D440" s="10"/>
      <c r="E440" s="10"/>
      <c r="F440" s="10"/>
      <c r="G440" s="11" t="str">
        <f aca="false">IF($A440="","",IF(AND($D440="",$E440="",$F440=""),"",IF($D440="","",$D440)&amp;IF($E440="",""," × "&amp;$E440)&amp;IF($F440=""," "," × ")&amp;IF($F440="","",$F440)&amp;"t"))</f>
        <v/>
      </c>
      <c r="H440" s="12"/>
      <c r="I440" s="13" t="str">
        <f aca="false">IF($A440="","",IF(OR($D440="",$E440="",$F440="",$H440=""),"",ROUND($D440*$E440*$F440*$H440/1000000,2)))</f>
        <v/>
      </c>
      <c r="J440" s="8"/>
      <c r="K440" s="14"/>
      <c r="L440" s="8"/>
      <c r="M440" s="15" t="str">
        <f aca="false">IF($A440="","",IF(COUNTIF($A$3:$A$502,$A440)&gt;1,"중복","-"))</f>
        <v/>
      </c>
      <c r="N440" s="8"/>
    </row>
    <row r="441" customFormat="false" ht="15" hidden="false" customHeight="true" outlineLevel="0" collapsed="false">
      <c r="A441" s="8"/>
      <c r="B441" s="8"/>
      <c r="C441" s="8"/>
      <c r="D441" s="10"/>
      <c r="E441" s="10"/>
      <c r="F441" s="10"/>
      <c r="G441" s="11" t="str">
        <f aca="false">IF($A441="","",IF(AND($D441="",$E441="",$F441=""),"",IF($D441="","",$D441)&amp;IF($E441="",""," × "&amp;$E441)&amp;IF($F441=""," "," × ")&amp;IF($F441="","",$F441)&amp;"t"))</f>
        <v/>
      </c>
      <c r="H441" s="12"/>
      <c r="I441" s="13" t="str">
        <f aca="false">IF($A441="","",IF(OR($D441="",$E441="",$F441="",$H441=""),"",ROUND($D441*$E441*$F441*$H441/1000000,2)))</f>
        <v/>
      </c>
      <c r="J441" s="8"/>
      <c r="K441" s="14"/>
      <c r="L441" s="8"/>
      <c r="M441" s="15" t="str">
        <f aca="false">IF($A441="","",IF(COUNTIF($A$3:$A$502,$A441)&gt;1,"중복","-"))</f>
        <v/>
      </c>
      <c r="N441" s="8"/>
    </row>
    <row r="442" customFormat="false" ht="15" hidden="false" customHeight="true" outlineLevel="0" collapsed="false">
      <c r="A442" s="8"/>
      <c r="B442" s="8"/>
      <c r="C442" s="8"/>
      <c r="D442" s="10"/>
      <c r="E442" s="10"/>
      <c r="F442" s="10"/>
      <c r="G442" s="11" t="str">
        <f aca="false">IF($A442="","",IF(AND($D442="",$E442="",$F442=""),"",IF($D442="","",$D442)&amp;IF($E442="",""," × "&amp;$E442)&amp;IF($F442=""," "," × ")&amp;IF($F442="","",$F442)&amp;"t"))</f>
        <v/>
      </c>
      <c r="H442" s="12"/>
      <c r="I442" s="13" t="str">
        <f aca="false">IF($A442="","",IF(OR($D442="",$E442="",$F442="",$H442=""),"",ROUND($D442*$E442*$F442*$H442/1000000,2)))</f>
        <v/>
      </c>
      <c r="J442" s="8"/>
      <c r="K442" s="14"/>
      <c r="L442" s="8"/>
      <c r="M442" s="15" t="str">
        <f aca="false">IF($A442="","",IF(COUNTIF($A$3:$A$502,$A442)&gt;1,"중복","-"))</f>
        <v/>
      </c>
      <c r="N442" s="8"/>
    </row>
    <row r="443" customFormat="false" ht="15" hidden="false" customHeight="true" outlineLevel="0" collapsed="false">
      <c r="A443" s="8"/>
      <c r="B443" s="8"/>
      <c r="C443" s="8"/>
      <c r="D443" s="10"/>
      <c r="E443" s="10"/>
      <c r="F443" s="10"/>
      <c r="G443" s="11" t="str">
        <f aca="false">IF($A443="","",IF(AND($D443="",$E443="",$F443=""),"",IF($D443="","",$D443)&amp;IF($E443="",""," × "&amp;$E443)&amp;IF($F443=""," "," × ")&amp;IF($F443="","",$F443)&amp;"t"))</f>
        <v/>
      </c>
      <c r="H443" s="12"/>
      <c r="I443" s="13" t="str">
        <f aca="false">IF($A443="","",IF(OR($D443="",$E443="",$F443="",$H443=""),"",ROUND($D443*$E443*$F443*$H443/1000000,2)))</f>
        <v/>
      </c>
      <c r="J443" s="8"/>
      <c r="K443" s="14"/>
      <c r="L443" s="8"/>
      <c r="M443" s="15" t="str">
        <f aca="false">IF($A443="","",IF(COUNTIF($A$3:$A$502,$A443)&gt;1,"중복","-"))</f>
        <v/>
      </c>
      <c r="N443" s="8"/>
    </row>
    <row r="444" customFormat="false" ht="15" hidden="false" customHeight="true" outlineLevel="0" collapsed="false">
      <c r="A444" s="8"/>
      <c r="B444" s="8"/>
      <c r="C444" s="8"/>
      <c r="D444" s="10"/>
      <c r="E444" s="10"/>
      <c r="F444" s="10"/>
      <c r="G444" s="11" t="str">
        <f aca="false">IF($A444="","",IF(AND($D444="",$E444="",$F444=""),"",IF($D444="","",$D444)&amp;IF($E444="",""," × "&amp;$E444)&amp;IF($F444=""," "," × ")&amp;IF($F444="","",$F444)&amp;"t"))</f>
        <v/>
      </c>
      <c r="H444" s="12"/>
      <c r="I444" s="13" t="str">
        <f aca="false">IF($A444="","",IF(OR($D444="",$E444="",$F444="",$H444=""),"",ROUND($D444*$E444*$F444*$H444/1000000,2)))</f>
        <v/>
      </c>
      <c r="J444" s="8"/>
      <c r="K444" s="14"/>
      <c r="L444" s="8"/>
      <c r="M444" s="15" t="str">
        <f aca="false">IF($A444="","",IF(COUNTIF($A$3:$A$502,$A444)&gt;1,"중복","-"))</f>
        <v/>
      </c>
      <c r="N444" s="8"/>
    </row>
    <row r="445" customFormat="false" ht="15" hidden="false" customHeight="true" outlineLevel="0" collapsed="false">
      <c r="A445" s="8"/>
      <c r="B445" s="8"/>
      <c r="C445" s="8"/>
      <c r="D445" s="10"/>
      <c r="E445" s="10"/>
      <c r="F445" s="10"/>
      <c r="G445" s="11" t="str">
        <f aca="false">IF($A445="","",IF(AND($D445="",$E445="",$F445=""),"",IF($D445="","",$D445)&amp;IF($E445="",""," × "&amp;$E445)&amp;IF($F445=""," "," × ")&amp;IF($F445="","",$F445)&amp;"t"))</f>
        <v/>
      </c>
      <c r="H445" s="12"/>
      <c r="I445" s="13" t="str">
        <f aca="false">IF($A445="","",IF(OR($D445="",$E445="",$F445="",$H445=""),"",ROUND($D445*$E445*$F445*$H445/1000000,2)))</f>
        <v/>
      </c>
      <c r="J445" s="8"/>
      <c r="K445" s="14"/>
      <c r="L445" s="8"/>
      <c r="M445" s="15" t="str">
        <f aca="false">IF($A445="","",IF(COUNTIF($A$3:$A$502,$A445)&gt;1,"중복","-"))</f>
        <v/>
      </c>
      <c r="N445" s="8"/>
    </row>
    <row r="446" customFormat="false" ht="15" hidden="false" customHeight="true" outlineLevel="0" collapsed="false">
      <c r="A446" s="8"/>
      <c r="B446" s="8"/>
      <c r="C446" s="8"/>
      <c r="D446" s="10"/>
      <c r="E446" s="10"/>
      <c r="F446" s="10"/>
      <c r="G446" s="11" t="str">
        <f aca="false">IF($A446="","",IF(AND($D446="",$E446="",$F446=""),"",IF($D446="","",$D446)&amp;IF($E446="",""," × "&amp;$E446)&amp;IF($F446=""," "," × ")&amp;IF($F446="","",$F446)&amp;"t"))</f>
        <v/>
      </c>
      <c r="H446" s="12"/>
      <c r="I446" s="13" t="str">
        <f aca="false">IF($A446="","",IF(OR($D446="",$E446="",$F446="",$H446=""),"",ROUND($D446*$E446*$F446*$H446/1000000,2)))</f>
        <v/>
      </c>
      <c r="J446" s="8"/>
      <c r="K446" s="14"/>
      <c r="L446" s="8"/>
      <c r="M446" s="15" t="str">
        <f aca="false">IF($A446="","",IF(COUNTIF($A$3:$A$502,$A446)&gt;1,"중복","-"))</f>
        <v/>
      </c>
      <c r="N446" s="8"/>
    </row>
    <row r="447" customFormat="false" ht="15" hidden="false" customHeight="true" outlineLevel="0" collapsed="false">
      <c r="A447" s="8"/>
      <c r="B447" s="8"/>
      <c r="C447" s="8"/>
      <c r="D447" s="10"/>
      <c r="E447" s="10"/>
      <c r="F447" s="10"/>
      <c r="G447" s="11" t="str">
        <f aca="false">IF($A447="","",IF(AND($D447="",$E447="",$F447=""),"",IF($D447="","",$D447)&amp;IF($E447="",""," × "&amp;$E447)&amp;IF($F447=""," "," × ")&amp;IF($F447="","",$F447)&amp;"t"))</f>
        <v/>
      </c>
      <c r="H447" s="12"/>
      <c r="I447" s="13" t="str">
        <f aca="false">IF($A447="","",IF(OR($D447="",$E447="",$F447="",$H447=""),"",ROUND($D447*$E447*$F447*$H447/1000000,2)))</f>
        <v/>
      </c>
      <c r="J447" s="8"/>
      <c r="K447" s="14"/>
      <c r="L447" s="8"/>
      <c r="M447" s="15" t="str">
        <f aca="false">IF($A447="","",IF(COUNTIF($A$3:$A$502,$A447)&gt;1,"중복","-"))</f>
        <v/>
      </c>
      <c r="N447" s="8"/>
    </row>
    <row r="448" customFormat="false" ht="15" hidden="false" customHeight="true" outlineLevel="0" collapsed="false">
      <c r="A448" s="8"/>
      <c r="B448" s="8"/>
      <c r="C448" s="8"/>
      <c r="D448" s="10"/>
      <c r="E448" s="10"/>
      <c r="F448" s="10"/>
      <c r="G448" s="11" t="str">
        <f aca="false">IF($A448="","",IF(AND($D448="",$E448="",$F448=""),"",IF($D448="","",$D448)&amp;IF($E448="",""," × "&amp;$E448)&amp;IF($F448=""," "," × ")&amp;IF($F448="","",$F448)&amp;"t"))</f>
        <v/>
      </c>
      <c r="H448" s="12"/>
      <c r="I448" s="13" t="str">
        <f aca="false">IF($A448="","",IF(OR($D448="",$E448="",$F448="",$H448=""),"",ROUND($D448*$E448*$F448*$H448/1000000,2)))</f>
        <v/>
      </c>
      <c r="J448" s="8"/>
      <c r="K448" s="14"/>
      <c r="L448" s="8"/>
      <c r="M448" s="15" t="str">
        <f aca="false">IF($A448="","",IF(COUNTIF($A$3:$A$502,$A448)&gt;1,"중복","-"))</f>
        <v/>
      </c>
      <c r="N448" s="8"/>
    </row>
    <row r="449" customFormat="false" ht="15" hidden="false" customHeight="true" outlineLevel="0" collapsed="false">
      <c r="A449" s="8"/>
      <c r="B449" s="8"/>
      <c r="C449" s="8"/>
      <c r="D449" s="10"/>
      <c r="E449" s="10"/>
      <c r="F449" s="10"/>
      <c r="G449" s="11" t="str">
        <f aca="false">IF($A449="","",IF(AND($D449="",$E449="",$F449=""),"",IF($D449="","",$D449)&amp;IF($E449="",""," × "&amp;$E449)&amp;IF($F449=""," "," × ")&amp;IF($F449="","",$F449)&amp;"t"))</f>
        <v/>
      </c>
      <c r="H449" s="12"/>
      <c r="I449" s="13" t="str">
        <f aca="false">IF($A449="","",IF(OR($D449="",$E449="",$F449="",$H449=""),"",ROUND($D449*$E449*$F449*$H449/1000000,2)))</f>
        <v/>
      </c>
      <c r="J449" s="8"/>
      <c r="K449" s="14"/>
      <c r="L449" s="8"/>
      <c r="M449" s="15" t="str">
        <f aca="false">IF($A449="","",IF(COUNTIF($A$3:$A$502,$A449)&gt;1,"중복","-"))</f>
        <v/>
      </c>
      <c r="N449" s="8"/>
    </row>
    <row r="450" customFormat="false" ht="15" hidden="false" customHeight="true" outlineLevel="0" collapsed="false">
      <c r="A450" s="8"/>
      <c r="B450" s="8"/>
      <c r="C450" s="8"/>
      <c r="D450" s="10"/>
      <c r="E450" s="10"/>
      <c r="F450" s="10"/>
      <c r="G450" s="11" t="str">
        <f aca="false">IF($A450="","",IF(AND($D450="",$E450="",$F450=""),"",IF($D450="","",$D450)&amp;IF($E450="",""," × "&amp;$E450)&amp;IF($F450=""," "," × ")&amp;IF($F450="","",$F450)&amp;"t"))</f>
        <v/>
      </c>
      <c r="H450" s="12"/>
      <c r="I450" s="13" t="str">
        <f aca="false">IF($A450="","",IF(OR($D450="",$E450="",$F450="",$H450=""),"",ROUND($D450*$E450*$F450*$H450/1000000,2)))</f>
        <v/>
      </c>
      <c r="J450" s="8"/>
      <c r="K450" s="14"/>
      <c r="L450" s="8"/>
      <c r="M450" s="15" t="str">
        <f aca="false">IF($A450="","",IF(COUNTIF($A$3:$A$502,$A450)&gt;1,"중복","-"))</f>
        <v/>
      </c>
      <c r="N450" s="8"/>
    </row>
    <row r="451" customFormat="false" ht="15" hidden="false" customHeight="true" outlineLevel="0" collapsed="false">
      <c r="A451" s="8"/>
      <c r="B451" s="8"/>
      <c r="C451" s="8"/>
      <c r="D451" s="10"/>
      <c r="E451" s="10"/>
      <c r="F451" s="10"/>
      <c r="G451" s="11" t="str">
        <f aca="false">IF($A451="","",IF(AND($D451="",$E451="",$F451=""),"",IF($D451="","",$D451)&amp;IF($E451="",""," × "&amp;$E451)&amp;IF($F451=""," "," × ")&amp;IF($F451="","",$F451)&amp;"t"))</f>
        <v/>
      </c>
      <c r="H451" s="12"/>
      <c r="I451" s="13" t="str">
        <f aca="false">IF($A451="","",IF(OR($D451="",$E451="",$F451="",$H451=""),"",ROUND($D451*$E451*$F451*$H451/1000000,2)))</f>
        <v/>
      </c>
      <c r="J451" s="8"/>
      <c r="K451" s="14"/>
      <c r="L451" s="8"/>
      <c r="M451" s="15" t="str">
        <f aca="false">IF($A451="","",IF(COUNTIF($A$3:$A$502,$A451)&gt;1,"중복","-"))</f>
        <v/>
      </c>
      <c r="N451" s="8"/>
    </row>
    <row r="452" customFormat="false" ht="15" hidden="false" customHeight="true" outlineLevel="0" collapsed="false">
      <c r="A452" s="8"/>
      <c r="B452" s="8"/>
      <c r="C452" s="8"/>
      <c r="D452" s="10"/>
      <c r="E452" s="10"/>
      <c r="F452" s="10"/>
      <c r="G452" s="11" t="str">
        <f aca="false">IF($A452="","",IF(AND($D452="",$E452="",$F452=""),"",IF($D452="","",$D452)&amp;IF($E452="",""," × "&amp;$E452)&amp;IF($F452=""," "," × ")&amp;IF($F452="","",$F452)&amp;"t"))</f>
        <v/>
      </c>
      <c r="H452" s="12"/>
      <c r="I452" s="13" t="str">
        <f aca="false">IF($A452="","",IF(OR($D452="",$E452="",$F452="",$H452=""),"",ROUND($D452*$E452*$F452*$H452/1000000,2)))</f>
        <v/>
      </c>
      <c r="J452" s="8"/>
      <c r="K452" s="14"/>
      <c r="L452" s="8"/>
      <c r="M452" s="15" t="str">
        <f aca="false">IF($A452="","",IF(COUNTIF($A$3:$A$502,$A452)&gt;1,"중복","-"))</f>
        <v/>
      </c>
      <c r="N452" s="8"/>
    </row>
    <row r="453" customFormat="false" ht="15" hidden="false" customHeight="true" outlineLevel="0" collapsed="false">
      <c r="A453" s="8"/>
      <c r="B453" s="8"/>
      <c r="C453" s="8"/>
      <c r="D453" s="10"/>
      <c r="E453" s="10"/>
      <c r="F453" s="10"/>
      <c r="G453" s="11" t="str">
        <f aca="false">IF($A453="","",IF(AND($D453="",$E453="",$F453=""),"",IF($D453="","",$D453)&amp;IF($E453="",""," × "&amp;$E453)&amp;IF($F453=""," "," × ")&amp;IF($F453="","",$F453)&amp;"t"))</f>
        <v/>
      </c>
      <c r="H453" s="12"/>
      <c r="I453" s="13" t="str">
        <f aca="false">IF($A453="","",IF(OR($D453="",$E453="",$F453="",$H453=""),"",ROUND($D453*$E453*$F453*$H453/1000000,2)))</f>
        <v/>
      </c>
      <c r="J453" s="8"/>
      <c r="K453" s="14"/>
      <c r="L453" s="8"/>
      <c r="M453" s="15" t="str">
        <f aca="false">IF($A453="","",IF(COUNTIF($A$3:$A$502,$A453)&gt;1,"중복","-"))</f>
        <v/>
      </c>
      <c r="N453" s="8"/>
    </row>
    <row r="454" customFormat="false" ht="15" hidden="false" customHeight="true" outlineLevel="0" collapsed="false">
      <c r="A454" s="8"/>
      <c r="B454" s="8"/>
      <c r="C454" s="8"/>
      <c r="D454" s="10"/>
      <c r="E454" s="10"/>
      <c r="F454" s="10"/>
      <c r="G454" s="11" t="str">
        <f aca="false">IF($A454="","",IF(AND($D454="",$E454="",$F454=""),"",IF($D454="","",$D454)&amp;IF($E454="",""," × "&amp;$E454)&amp;IF($F454=""," "," × ")&amp;IF($F454="","",$F454)&amp;"t"))</f>
        <v/>
      </c>
      <c r="H454" s="12"/>
      <c r="I454" s="13" t="str">
        <f aca="false">IF($A454="","",IF(OR($D454="",$E454="",$F454="",$H454=""),"",ROUND($D454*$E454*$F454*$H454/1000000,2)))</f>
        <v/>
      </c>
      <c r="J454" s="8"/>
      <c r="K454" s="14"/>
      <c r="L454" s="8"/>
      <c r="M454" s="15" t="str">
        <f aca="false">IF($A454="","",IF(COUNTIF($A$3:$A$502,$A454)&gt;1,"중복","-"))</f>
        <v/>
      </c>
      <c r="N454" s="8"/>
    </row>
    <row r="455" customFormat="false" ht="15" hidden="false" customHeight="true" outlineLevel="0" collapsed="false">
      <c r="A455" s="8"/>
      <c r="B455" s="8"/>
      <c r="C455" s="8"/>
      <c r="D455" s="10"/>
      <c r="E455" s="10"/>
      <c r="F455" s="10"/>
      <c r="G455" s="11" t="str">
        <f aca="false">IF($A455="","",IF(AND($D455="",$E455="",$F455=""),"",IF($D455="","",$D455)&amp;IF($E455="",""," × "&amp;$E455)&amp;IF($F455=""," "," × ")&amp;IF($F455="","",$F455)&amp;"t"))</f>
        <v/>
      </c>
      <c r="H455" s="12"/>
      <c r="I455" s="13" t="str">
        <f aca="false">IF($A455="","",IF(OR($D455="",$E455="",$F455="",$H455=""),"",ROUND($D455*$E455*$F455*$H455/1000000,2)))</f>
        <v/>
      </c>
      <c r="J455" s="8"/>
      <c r="K455" s="14"/>
      <c r="L455" s="8"/>
      <c r="M455" s="15" t="str">
        <f aca="false">IF($A455="","",IF(COUNTIF($A$3:$A$502,$A455)&gt;1,"중복","-"))</f>
        <v/>
      </c>
      <c r="N455" s="8"/>
    </row>
    <row r="456" customFormat="false" ht="15" hidden="false" customHeight="true" outlineLevel="0" collapsed="false">
      <c r="A456" s="8"/>
      <c r="B456" s="8"/>
      <c r="C456" s="8"/>
      <c r="D456" s="10"/>
      <c r="E456" s="10"/>
      <c r="F456" s="10"/>
      <c r="G456" s="11" t="str">
        <f aca="false">IF($A456="","",IF(AND($D456="",$E456="",$F456=""),"",IF($D456="","",$D456)&amp;IF($E456="",""," × "&amp;$E456)&amp;IF($F456=""," "," × ")&amp;IF($F456="","",$F456)&amp;"t"))</f>
        <v/>
      </c>
      <c r="H456" s="12"/>
      <c r="I456" s="13" t="str">
        <f aca="false">IF($A456="","",IF(OR($D456="",$E456="",$F456="",$H456=""),"",ROUND($D456*$E456*$F456*$H456/1000000,2)))</f>
        <v/>
      </c>
      <c r="J456" s="8"/>
      <c r="K456" s="14"/>
      <c r="L456" s="8"/>
      <c r="M456" s="15" t="str">
        <f aca="false">IF($A456="","",IF(COUNTIF($A$3:$A$502,$A456)&gt;1,"중복","-"))</f>
        <v/>
      </c>
      <c r="N456" s="8"/>
    </row>
    <row r="457" customFormat="false" ht="15" hidden="false" customHeight="true" outlineLevel="0" collapsed="false">
      <c r="A457" s="8"/>
      <c r="B457" s="8"/>
      <c r="C457" s="8"/>
      <c r="D457" s="10"/>
      <c r="E457" s="10"/>
      <c r="F457" s="10"/>
      <c r="G457" s="11" t="str">
        <f aca="false">IF($A457="","",IF(AND($D457="",$E457="",$F457=""),"",IF($D457="","",$D457)&amp;IF($E457="",""," × "&amp;$E457)&amp;IF($F457=""," "," × ")&amp;IF($F457="","",$F457)&amp;"t"))</f>
        <v/>
      </c>
      <c r="H457" s="12"/>
      <c r="I457" s="13" t="str">
        <f aca="false">IF($A457="","",IF(OR($D457="",$E457="",$F457="",$H457=""),"",ROUND($D457*$E457*$F457*$H457/1000000,2)))</f>
        <v/>
      </c>
      <c r="J457" s="8"/>
      <c r="K457" s="14"/>
      <c r="L457" s="8"/>
      <c r="M457" s="15" t="str">
        <f aca="false">IF($A457="","",IF(COUNTIF($A$3:$A$502,$A457)&gt;1,"중복","-"))</f>
        <v/>
      </c>
      <c r="N457" s="8"/>
    </row>
    <row r="458" customFormat="false" ht="15" hidden="false" customHeight="true" outlineLevel="0" collapsed="false">
      <c r="A458" s="8"/>
      <c r="B458" s="8"/>
      <c r="C458" s="8"/>
      <c r="D458" s="10"/>
      <c r="E458" s="10"/>
      <c r="F458" s="10"/>
      <c r="G458" s="11" t="str">
        <f aca="false">IF($A458="","",IF(AND($D458="",$E458="",$F458=""),"",IF($D458="","",$D458)&amp;IF($E458="",""," × "&amp;$E458)&amp;IF($F458=""," "," × ")&amp;IF($F458="","",$F458)&amp;"t"))</f>
        <v/>
      </c>
      <c r="H458" s="12"/>
      <c r="I458" s="13" t="str">
        <f aca="false">IF($A458="","",IF(OR($D458="",$E458="",$F458="",$H458=""),"",ROUND($D458*$E458*$F458*$H458/1000000,2)))</f>
        <v/>
      </c>
      <c r="J458" s="8"/>
      <c r="K458" s="14"/>
      <c r="L458" s="8"/>
      <c r="M458" s="15" t="str">
        <f aca="false">IF($A458="","",IF(COUNTIF($A$3:$A$502,$A458)&gt;1,"중복","-"))</f>
        <v/>
      </c>
      <c r="N458" s="8"/>
    </row>
    <row r="459" customFormat="false" ht="15" hidden="false" customHeight="true" outlineLevel="0" collapsed="false">
      <c r="A459" s="8"/>
      <c r="B459" s="8"/>
      <c r="C459" s="8"/>
      <c r="D459" s="10"/>
      <c r="E459" s="10"/>
      <c r="F459" s="10"/>
      <c r="G459" s="11" t="str">
        <f aca="false">IF($A459="","",IF(AND($D459="",$E459="",$F459=""),"",IF($D459="","",$D459)&amp;IF($E459="",""," × "&amp;$E459)&amp;IF($F459=""," "," × ")&amp;IF($F459="","",$F459)&amp;"t"))</f>
        <v/>
      </c>
      <c r="H459" s="12"/>
      <c r="I459" s="13" t="str">
        <f aca="false">IF($A459="","",IF(OR($D459="",$E459="",$F459="",$H459=""),"",ROUND($D459*$E459*$F459*$H459/1000000,2)))</f>
        <v/>
      </c>
      <c r="J459" s="8"/>
      <c r="K459" s="14"/>
      <c r="L459" s="8"/>
      <c r="M459" s="15" t="str">
        <f aca="false">IF($A459="","",IF(COUNTIF($A$3:$A$502,$A459)&gt;1,"중복","-"))</f>
        <v/>
      </c>
      <c r="N459" s="8"/>
    </row>
    <row r="460" customFormat="false" ht="15" hidden="false" customHeight="true" outlineLevel="0" collapsed="false">
      <c r="A460" s="8"/>
      <c r="B460" s="8"/>
      <c r="C460" s="8"/>
      <c r="D460" s="10"/>
      <c r="E460" s="10"/>
      <c r="F460" s="10"/>
      <c r="G460" s="11" t="str">
        <f aca="false">IF($A460="","",IF(AND($D460="",$E460="",$F460=""),"",IF($D460="","",$D460)&amp;IF($E460="",""," × "&amp;$E460)&amp;IF($F460=""," "," × ")&amp;IF($F460="","",$F460)&amp;"t"))</f>
        <v/>
      </c>
      <c r="H460" s="12"/>
      <c r="I460" s="13" t="str">
        <f aca="false">IF($A460="","",IF(OR($D460="",$E460="",$F460="",$H460=""),"",ROUND($D460*$E460*$F460*$H460/1000000,2)))</f>
        <v/>
      </c>
      <c r="J460" s="8"/>
      <c r="K460" s="14"/>
      <c r="L460" s="8"/>
      <c r="M460" s="15" t="str">
        <f aca="false">IF($A460="","",IF(COUNTIF($A$3:$A$502,$A460)&gt;1,"중복","-"))</f>
        <v/>
      </c>
      <c r="N460" s="8"/>
    </row>
    <row r="461" customFormat="false" ht="15" hidden="false" customHeight="true" outlineLevel="0" collapsed="false">
      <c r="A461" s="8"/>
      <c r="B461" s="8"/>
      <c r="C461" s="8"/>
      <c r="D461" s="10"/>
      <c r="E461" s="10"/>
      <c r="F461" s="10"/>
      <c r="G461" s="11" t="str">
        <f aca="false">IF($A461="","",IF(AND($D461="",$E461="",$F461=""),"",IF($D461="","",$D461)&amp;IF($E461="",""," × "&amp;$E461)&amp;IF($F461=""," "," × ")&amp;IF($F461="","",$F461)&amp;"t"))</f>
        <v/>
      </c>
      <c r="H461" s="12"/>
      <c r="I461" s="13" t="str">
        <f aca="false">IF($A461="","",IF(OR($D461="",$E461="",$F461="",$H461=""),"",ROUND($D461*$E461*$F461*$H461/1000000,2)))</f>
        <v/>
      </c>
      <c r="J461" s="8"/>
      <c r="K461" s="14"/>
      <c r="L461" s="8"/>
      <c r="M461" s="15" t="str">
        <f aca="false">IF($A461="","",IF(COUNTIF($A$3:$A$502,$A461)&gt;1,"중복","-"))</f>
        <v/>
      </c>
      <c r="N461" s="8"/>
    </row>
    <row r="462" customFormat="false" ht="15" hidden="false" customHeight="true" outlineLevel="0" collapsed="false">
      <c r="A462" s="8"/>
      <c r="B462" s="8"/>
      <c r="C462" s="8"/>
      <c r="D462" s="10"/>
      <c r="E462" s="10"/>
      <c r="F462" s="10"/>
      <c r="G462" s="11" t="str">
        <f aca="false">IF($A462="","",IF(AND($D462="",$E462="",$F462=""),"",IF($D462="","",$D462)&amp;IF($E462="",""," × "&amp;$E462)&amp;IF($F462=""," "," × ")&amp;IF($F462="","",$F462)&amp;"t"))</f>
        <v/>
      </c>
      <c r="H462" s="12"/>
      <c r="I462" s="13" t="str">
        <f aca="false">IF($A462="","",IF(OR($D462="",$E462="",$F462="",$H462=""),"",ROUND($D462*$E462*$F462*$H462/1000000,2)))</f>
        <v/>
      </c>
      <c r="J462" s="8"/>
      <c r="K462" s="14"/>
      <c r="L462" s="8"/>
      <c r="M462" s="15" t="str">
        <f aca="false">IF($A462="","",IF(COUNTIF($A$3:$A$502,$A462)&gt;1,"중복","-"))</f>
        <v/>
      </c>
      <c r="N462" s="8"/>
    </row>
    <row r="463" customFormat="false" ht="15" hidden="false" customHeight="true" outlineLevel="0" collapsed="false">
      <c r="A463" s="8"/>
      <c r="B463" s="8"/>
      <c r="C463" s="8"/>
      <c r="D463" s="10"/>
      <c r="E463" s="10"/>
      <c r="F463" s="10"/>
      <c r="G463" s="11" t="str">
        <f aca="false">IF($A463="","",IF(AND($D463="",$E463="",$F463=""),"",IF($D463="","",$D463)&amp;IF($E463="",""," × "&amp;$E463)&amp;IF($F463=""," "," × ")&amp;IF($F463="","",$F463)&amp;"t"))</f>
        <v/>
      </c>
      <c r="H463" s="12"/>
      <c r="I463" s="13" t="str">
        <f aca="false">IF($A463="","",IF(OR($D463="",$E463="",$F463="",$H463=""),"",ROUND($D463*$E463*$F463*$H463/1000000,2)))</f>
        <v/>
      </c>
      <c r="J463" s="8"/>
      <c r="K463" s="14"/>
      <c r="L463" s="8"/>
      <c r="M463" s="15" t="str">
        <f aca="false">IF($A463="","",IF(COUNTIF($A$3:$A$502,$A463)&gt;1,"중복","-"))</f>
        <v/>
      </c>
      <c r="N463" s="8"/>
    </row>
    <row r="464" customFormat="false" ht="15" hidden="false" customHeight="true" outlineLevel="0" collapsed="false">
      <c r="A464" s="8"/>
      <c r="B464" s="8"/>
      <c r="C464" s="8"/>
      <c r="D464" s="10"/>
      <c r="E464" s="10"/>
      <c r="F464" s="10"/>
      <c r="G464" s="11" t="str">
        <f aca="false">IF($A464="","",IF(AND($D464="",$E464="",$F464=""),"",IF($D464="","",$D464)&amp;IF($E464="",""," × "&amp;$E464)&amp;IF($F464=""," "," × ")&amp;IF($F464="","",$F464)&amp;"t"))</f>
        <v/>
      </c>
      <c r="H464" s="12"/>
      <c r="I464" s="13" t="str">
        <f aca="false">IF($A464="","",IF(OR($D464="",$E464="",$F464="",$H464=""),"",ROUND($D464*$E464*$F464*$H464/1000000,2)))</f>
        <v/>
      </c>
      <c r="J464" s="8"/>
      <c r="K464" s="14"/>
      <c r="L464" s="8"/>
      <c r="M464" s="15" t="str">
        <f aca="false">IF($A464="","",IF(COUNTIF($A$3:$A$502,$A464)&gt;1,"중복","-"))</f>
        <v/>
      </c>
      <c r="N464" s="8"/>
    </row>
    <row r="465" customFormat="false" ht="15" hidden="false" customHeight="true" outlineLevel="0" collapsed="false">
      <c r="A465" s="8"/>
      <c r="B465" s="8"/>
      <c r="C465" s="8"/>
      <c r="D465" s="10"/>
      <c r="E465" s="10"/>
      <c r="F465" s="10"/>
      <c r="G465" s="11" t="str">
        <f aca="false">IF($A465="","",IF(AND($D465="",$E465="",$F465=""),"",IF($D465="","",$D465)&amp;IF($E465="",""," × "&amp;$E465)&amp;IF($F465=""," "," × ")&amp;IF($F465="","",$F465)&amp;"t"))</f>
        <v/>
      </c>
      <c r="H465" s="12"/>
      <c r="I465" s="13" t="str">
        <f aca="false">IF($A465="","",IF(OR($D465="",$E465="",$F465="",$H465=""),"",ROUND($D465*$E465*$F465*$H465/1000000,2)))</f>
        <v/>
      </c>
      <c r="J465" s="8"/>
      <c r="K465" s="14"/>
      <c r="L465" s="8"/>
      <c r="M465" s="15" t="str">
        <f aca="false">IF($A465="","",IF(COUNTIF($A$3:$A$502,$A465)&gt;1,"중복","-"))</f>
        <v/>
      </c>
      <c r="N465" s="8"/>
    </row>
    <row r="466" customFormat="false" ht="15" hidden="false" customHeight="true" outlineLevel="0" collapsed="false">
      <c r="A466" s="8"/>
      <c r="B466" s="8"/>
      <c r="C466" s="8"/>
      <c r="D466" s="10"/>
      <c r="E466" s="10"/>
      <c r="F466" s="10"/>
      <c r="G466" s="11" t="str">
        <f aca="false">IF($A466="","",IF(AND($D466="",$E466="",$F466=""),"",IF($D466="","",$D466)&amp;IF($E466="",""," × "&amp;$E466)&amp;IF($F466=""," "," × ")&amp;IF($F466="","",$F466)&amp;"t"))</f>
        <v/>
      </c>
      <c r="H466" s="12"/>
      <c r="I466" s="13" t="str">
        <f aca="false">IF($A466="","",IF(OR($D466="",$E466="",$F466="",$H466=""),"",ROUND($D466*$E466*$F466*$H466/1000000,2)))</f>
        <v/>
      </c>
      <c r="J466" s="8"/>
      <c r="K466" s="14"/>
      <c r="L466" s="8"/>
      <c r="M466" s="15" t="str">
        <f aca="false">IF($A466="","",IF(COUNTIF($A$3:$A$502,$A466)&gt;1,"중복","-"))</f>
        <v/>
      </c>
      <c r="N466" s="8"/>
    </row>
    <row r="467" customFormat="false" ht="15" hidden="false" customHeight="true" outlineLevel="0" collapsed="false">
      <c r="A467" s="8"/>
      <c r="B467" s="8"/>
      <c r="C467" s="8"/>
      <c r="D467" s="10"/>
      <c r="E467" s="10"/>
      <c r="F467" s="10"/>
      <c r="G467" s="11" t="str">
        <f aca="false">IF($A467="","",IF(AND($D467="",$E467="",$F467=""),"",IF($D467="","",$D467)&amp;IF($E467="",""," × "&amp;$E467)&amp;IF($F467=""," "," × ")&amp;IF($F467="","",$F467)&amp;"t"))</f>
        <v/>
      </c>
      <c r="H467" s="12"/>
      <c r="I467" s="13" t="str">
        <f aca="false">IF($A467="","",IF(OR($D467="",$E467="",$F467="",$H467=""),"",ROUND($D467*$E467*$F467*$H467/1000000,2)))</f>
        <v/>
      </c>
      <c r="J467" s="8"/>
      <c r="K467" s="14"/>
      <c r="L467" s="8"/>
      <c r="M467" s="15" t="str">
        <f aca="false">IF($A467="","",IF(COUNTIF($A$3:$A$502,$A467)&gt;1,"중복","-"))</f>
        <v/>
      </c>
      <c r="N467" s="8"/>
    </row>
    <row r="468" customFormat="false" ht="15" hidden="false" customHeight="true" outlineLevel="0" collapsed="false">
      <c r="A468" s="8"/>
      <c r="B468" s="8"/>
      <c r="C468" s="8"/>
      <c r="D468" s="10"/>
      <c r="E468" s="10"/>
      <c r="F468" s="10"/>
      <c r="G468" s="11" t="str">
        <f aca="false">IF($A468="","",IF(AND($D468="",$E468="",$F468=""),"",IF($D468="","",$D468)&amp;IF($E468="",""," × "&amp;$E468)&amp;IF($F468=""," "," × ")&amp;IF($F468="","",$F468)&amp;"t"))</f>
        <v/>
      </c>
      <c r="H468" s="12"/>
      <c r="I468" s="13" t="str">
        <f aca="false">IF($A468="","",IF(OR($D468="",$E468="",$F468="",$H468=""),"",ROUND($D468*$E468*$F468*$H468/1000000,2)))</f>
        <v/>
      </c>
      <c r="J468" s="8"/>
      <c r="K468" s="14"/>
      <c r="L468" s="8"/>
      <c r="M468" s="15" t="str">
        <f aca="false">IF($A468="","",IF(COUNTIF($A$3:$A$502,$A468)&gt;1,"중복","-"))</f>
        <v/>
      </c>
      <c r="N468" s="8"/>
    </row>
    <row r="469" customFormat="false" ht="15" hidden="false" customHeight="true" outlineLevel="0" collapsed="false">
      <c r="A469" s="8"/>
      <c r="B469" s="8"/>
      <c r="C469" s="8"/>
      <c r="D469" s="10"/>
      <c r="E469" s="10"/>
      <c r="F469" s="10"/>
      <c r="G469" s="11" t="str">
        <f aca="false">IF($A469="","",IF(AND($D469="",$E469="",$F469=""),"",IF($D469="","",$D469)&amp;IF($E469="",""," × "&amp;$E469)&amp;IF($F469=""," "," × ")&amp;IF($F469="","",$F469)&amp;"t"))</f>
        <v/>
      </c>
      <c r="H469" s="12"/>
      <c r="I469" s="13" t="str">
        <f aca="false">IF($A469="","",IF(OR($D469="",$E469="",$F469="",$H469=""),"",ROUND($D469*$E469*$F469*$H469/1000000,2)))</f>
        <v/>
      </c>
      <c r="J469" s="8"/>
      <c r="K469" s="14"/>
      <c r="L469" s="8"/>
      <c r="M469" s="15" t="str">
        <f aca="false">IF($A469="","",IF(COUNTIF($A$3:$A$502,$A469)&gt;1,"중복","-"))</f>
        <v/>
      </c>
      <c r="N469" s="8"/>
    </row>
    <row r="470" customFormat="false" ht="15" hidden="false" customHeight="true" outlineLevel="0" collapsed="false">
      <c r="A470" s="8"/>
      <c r="B470" s="8"/>
      <c r="C470" s="8"/>
      <c r="D470" s="10"/>
      <c r="E470" s="10"/>
      <c r="F470" s="10"/>
      <c r="G470" s="11" t="str">
        <f aca="false">IF($A470="","",IF(AND($D470="",$E470="",$F470=""),"",IF($D470="","",$D470)&amp;IF($E470="",""," × "&amp;$E470)&amp;IF($F470=""," "," × ")&amp;IF($F470="","",$F470)&amp;"t"))</f>
        <v/>
      </c>
      <c r="H470" s="12"/>
      <c r="I470" s="13" t="str">
        <f aca="false">IF($A470="","",IF(OR($D470="",$E470="",$F470="",$H470=""),"",ROUND($D470*$E470*$F470*$H470/1000000,2)))</f>
        <v/>
      </c>
      <c r="J470" s="8"/>
      <c r="K470" s="14"/>
      <c r="L470" s="8"/>
      <c r="M470" s="15" t="str">
        <f aca="false">IF($A470="","",IF(COUNTIF($A$3:$A$502,$A470)&gt;1,"중복","-"))</f>
        <v/>
      </c>
      <c r="N470" s="8"/>
    </row>
    <row r="471" customFormat="false" ht="15" hidden="false" customHeight="true" outlineLevel="0" collapsed="false">
      <c r="A471" s="8"/>
      <c r="B471" s="8"/>
      <c r="C471" s="8"/>
      <c r="D471" s="10"/>
      <c r="E471" s="10"/>
      <c r="F471" s="10"/>
      <c r="G471" s="11" t="str">
        <f aca="false">IF($A471="","",IF(AND($D471="",$E471="",$F471=""),"",IF($D471="","",$D471)&amp;IF($E471="",""," × "&amp;$E471)&amp;IF($F471=""," "," × ")&amp;IF($F471="","",$F471)&amp;"t"))</f>
        <v/>
      </c>
      <c r="H471" s="12"/>
      <c r="I471" s="13" t="str">
        <f aca="false">IF($A471="","",IF(OR($D471="",$E471="",$F471="",$H471=""),"",ROUND($D471*$E471*$F471*$H471/1000000,2)))</f>
        <v/>
      </c>
      <c r="J471" s="8"/>
      <c r="K471" s="14"/>
      <c r="L471" s="8"/>
      <c r="M471" s="15" t="str">
        <f aca="false">IF($A471="","",IF(COUNTIF($A$3:$A$502,$A471)&gt;1,"중복","-"))</f>
        <v/>
      </c>
      <c r="N471" s="8"/>
    </row>
    <row r="472" customFormat="false" ht="15" hidden="false" customHeight="true" outlineLevel="0" collapsed="false">
      <c r="A472" s="8"/>
      <c r="B472" s="8"/>
      <c r="C472" s="8"/>
      <c r="D472" s="10"/>
      <c r="E472" s="10"/>
      <c r="F472" s="10"/>
      <c r="G472" s="11" t="str">
        <f aca="false">IF($A472="","",IF(AND($D472="",$E472="",$F472=""),"",IF($D472="","",$D472)&amp;IF($E472="",""," × "&amp;$E472)&amp;IF($F472=""," "," × ")&amp;IF($F472="","",$F472)&amp;"t"))</f>
        <v/>
      </c>
      <c r="H472" s="12"/>
      <c r="I472" s="13" t="str">
        <f aca="false">IF($A472="","",IF(OR($D472="",$E472="",$F472="",$H472=""),"",ROUND($D472*$E472*$F472*$H472/1000000,2)))</f>
        <v/>
      </c>
      <c r="J472" s="8"/>
      <c r="K472" s="14"/>
      <c r="L472" s="8"/>
      <c r="M472" s="15" t="str">
        <f aca="false">IF($A472="","",IF(COUNTIF($A$3:$A$502,$A472)&gt;1,"중복","-"))</f>
        <v/>
      </c>
      <c r="N472" s="8"/>
    </row>
    <row r="473" customFormat="false" ht="15" hidden="false" customHeight="true" outlineLevel="0" collapsed="false">
      <c r="A473" s="8"/>
      <c r="B473" s="8"/>
      <c r="C473" s="8"/>
      <c r="D473" s="10"/>
      <c r="E473" s="10"/>
      <c r="F473" s="10"/>
      <c r="G473" s="11" t="str">
        <f aca="false">IF($A473="","",IF(AND($D473="",$E473="",$F473=""),"",IF($D473="","",$D473)&amp;IF($E473="",""," × "&amp;$E473)&amp;IF($F473=""," "," × ")&amp;IF($F473="","",$F473)&amp;"t"))</f>
        <v/>
      </c>
      <c r="H473" s="12"/>
      <c r="I473" s="13" t="str">
        <f aca="false">IF($A473="","",IF(OR($D473="",$E473="",$F473="",$H473=""),"",ROUND($D473*$E473*$F473*$H473/1000000,2)))</f>
        <v/>
      </c>
      <c r="J473" s="8"/>
      <c r="K473" s="14"/>
      <c r="L473" s="8"/>
      <c r="M473" s="15" t="str">
        <f aca="false">IF($A473="","",IF(COUNTIF($A$3:$A$502,$A473)&gt;1,"중복","-"))</f>
        <v/>
      </c>
      <c r="N473" s="8"/>
    </row>
    <row r="474" customFormat="false" ht="15" hidden="false" customHeight="true" outlineLevel="0" collapsed="false">
      <c r="A474" s="8"/>
      <c r="B474" s="8"/>
      <c r="C474" s="8"/>
      <c r="D474" s="10"/>
      <c r="E474" s="10"/>
      <c r="F474" s="10"/>
      <c r="G474" s="11" t="str">
        <f aca="false">IF($A474="","",IF(AND($D474="",$E474="",$F474=""),"",IF($D474="","",$D474)&amp;IF($E474="",""," × "&amp;$E474)&amp;IF($F474=""," "," × ")&amp;IF($F474="","",$F474)&amp;"t"))</f>
        <v/>
      </c>
      <c r="H474" s="12"/>
      <c r="I474" s="13" t="str">
        <f aca="false">IF($A474="","",IF(OR($D474="",$E474="",$F474="",$H474=""),"",ROUND($D474*$E474*$F474*$H474/1000000,2)))</f>
        <v/>
      </c>
      <c r="J474" s="8"/>
      <c r="K474" s="14"/>
      <c r="L474" s="8"/>
      <c r="M474" s="15" t="str">
        <f aca="false">IF($A474="","",IF(COUNTIF($A$3:$A$502,$A474)&gt;1,"중복","-"))</f>
        <v/>
      </c>
      <c r="N474" s="8"/>
    </row>
    <row r="475" customFormat="false" ht="15" hidden="false" customHeight="true" outlineLevel="0" collapsed="false">
      <c r="A475" s="8"/>
      <c r="B475" s="8"/>
      <c r="C475" s="8"/>
      <c r="D475" s="10"/>
      <c r="E475" s="10"/>
      <c r="F475" s="10"/>
      <c r="G475" s="11" t="str">
        <f aca="false">IF($A475="","",IF(AND($D475="",$E475="",$F475=""),"",IF($D475="","",$D475)&amp;IF($E475="",""," × "&amp;$E475)&amp;IF($F475=""," "," × ")&amp;IF($F475="","",$F475)&amp;"t"))</f>
        <v/>
      </c>
      <c r="H475" s="12"/>
      <c r="I475" s="13" t="str">
        <f aca="false">IF($A475="","",IF(OR($D475="",$E475="",$F475="",$H475=""),"",ROUND($D475*$E475*$F475*$H475/1000000,2)))</f>
        <v/>
      </c>
      <c r="J475" s="8"/>
      <c r="K475" s="14"/>
      <c r="L475" s="8"/>
      <c r="M475" s="15" t="str">
        <f aca="false">IF($A475="","",IF(COUNTIF($A$3:$A$502,$A475)&gt;1,"중복","-"))</f>
        <v/>
      </c>
      <c r="N475" s="8"/>
    </row>
    <row r="476" customFormat="false" ht="15" hidden="false" customHeight="true" outlineLevel="0" collapsed="false">
      <c r="A476" s="8"/>
      <c r="B476" s="8"/>
      <c r="C476" s="8"/>
      <c r="D476" s="10"/>
      <c r="E476" s="10"/>
      <c r="F476" s="10"/>
      <c r="G476" s="11" t="str">
        <f aca="false">IF($A476="","",IF(AND($D476="",$E476="",$F476=""),"",IF($D476="","",$D476)&amp;IF($E476="",""," × "&amp;$E476)&amp;IF($F476=""," "," × ")&amp;IF($F476="","",$F476)&amp;"t"))</f>
        <v/>
      </c>
      <c r="H476" s="12"/>
      <c r="I476" s="13" t="str">
        <f aca="false">IF($A476="","",IF(OR($D476="",$E476="",$F476="",$H476=""),"",ROUND($D476*$E476*$F476*$H476/1000000,2)))</f>
        <v/>
      </c>
      <c r="J476" s="8"/>
      <c r="K476" s="14"/>
      <c r="L476" s="8"/>
      <c r="M476" s="15" t="str">
        <f aca="false">IF($A476="","",IF(COUNTIF($A$3:$A$502,$A476)&gt;1,"중복","-"))</f>
        <v/>
      </c>
      <c r="N476" s="8"/>
    </row>
    <row r="477" customFormat="false" ht="15" hidden="false" customHeight="true" outlineLevel="0" collapsed="false">
      <c r="A477" s="8"/>
      <c r="B477" s="8"/>
      <c r="C477" s="8"/>
      <c r="D477" s="10"/>
      <c r="E477" s="10"/>
      <c r="F477" s="10"/>
      <c r="G477" s="11" t="str">
        <f aca="false">IF($A477="","",IF(AND($D477="",$E477="",$F477=""),"",IF($D477="","",$D477)&amp;IF($E477="",""," × "&amp;$E477)&amp;IF($F477=""," "," × ")&amp;IF($F477="","",$F477)&amp;"t"))</f>
        <v/>
      </c>
      <c r="H477" s="12"/>
      <c r="I477" s="13" t="str">
        <f aca="false">IF($A477="","",IF(OR($D477="",$E477="",$F477="",$H477=""),"",ROUND($D477*$E477*$F477*$H477/1000000,2)))</f>
        <v/>
      </c>
      <c r="J477" s="8"/>
      <c r="K477" s="14"/>
      <c r="L477" s="8"/>
      <c r="M477" s="15" t="str">
        <f aca="false">IF($A477="","",IF(COUNTIF($A$3:$A$502,$A477)&gt;1,"중복","-"))</f>
        <v/>
      </c>
      <c r="N477" s="8"/>
    </row>
    <row r="478" customFormat="false" ht="15" hidden="false" customHeight="true" outlineLevel="0" collapsed="false">
      <c r="A478" s="8"/>
      <c r="B478" s="8"/>
      <c r="C478" s="8"/>
      <c r="D478" s="10"/>
      <c r="E478" s="10"/>
      <c r="F478" s="10"/>
      <c r="G478" s="11" t="str">
        <f aca="false">IF($A478="","",IF(AND($D478="",$E478="",$F478=""),"",IF($D478="","",$D478)&amp;IF($E478="",""," × "&amp;$E478)&amp;IF($F478=""," "," × ")&amp;IF($F478="","",$F478)&amp;"t"))</f>
        <v/>
      </c>
      <c r="H478" s="12"/>
      <c r="I478" s="13" t="str">
        <f aca="false">IF($A478="","",IF(OR($D478="",$E478="",$F478="",$H478=""),"",ROUND($D478*$E478*$F478*$H478/1000000,2)))</f>
        <v/>
      </c>
      <c r="J478" s="8"/>
      <c r="K478" s="14"/>
      <c r="L478" s="8"/>
      <c r="M478" s="15" t="str">
        <f aca="false">IF($A478="","",IF(COUNTIF($A$3:$A$502,$A478)&gt;1,"중복","-"))</f>
        <v/>
      </c>
      <c r="N478" s="8"/>
    </row>
    <row r="479" customFormat="false" ht="15" hidden="false" customHeight="true" outlineLevel="0" collapsed="false">
      <c r="A479" s="8"/>
      <c r="B479" s="8"/>
      <c r="C479" s="8"/>
      <c r="D479" s="10"/>
      <c r="E479" s="10"/>
      <c r="F479" s="10"/>
      <c r="G479" s="11" t="str">
        <f aca="false">IF($A479="","",IF(AND($D479="",$E479="",$F479=""),"",IF($D479="","",$D479)&amp;IF($E479="",""," × "&amp;$E479)&amp;IF($F479=""," "," × ")&amp;IF($F479="","",$F479)&amp;"t"))</f>
        <v/>
      </c>
      <c r="H479" s="12"/>
      <c r="I479" s="13" t="str">
        <f aca="false">IF($A479="","",IF(OR($D479="",$E479="",$F479="",$H479=""),"",ROUND($D479*$E479*$F479*$H479/1000000,2)))</f>
        <v/>
      </c>
      <c r="J479" s="8"/>
      <c r="K479" s="14"/>
      <c r="L479" s="8"/>
      <c r="M479" s="15" t="str">
        <f aca="false">IF($A479="","",IF(COUNTIF($A$3:$A$502,$A479)&gt;1,"중복","-"))</f>
        <v/>
      </c>
      <c r="N479" s="8"/>
    </row>
    <row r="480" customFormat="false" ht="15" hidden="false" customHeight="true" outlineLevel="0" collapsed="false">
      <c r="A480" s="8"/>
      <c r="B480" s="8"/>
      <c r="C480" s="8"/>
      <c r="D480" s="10"/>
      <c r="E480" s="10"/>
      <c r="F480" s="10"/>
      <c r="G480" s="11" t="str">
        <f aca="false">IF($A480="","",IF(AND($D480="",$E480="",$F480=""),"",IF($D480="","",$D480)&amp;IF($E480="",""," × "&amp;$E480)&amp;IF($F480=""," "," × ")&amp;IF($F480="","",$F480)&amp;"t"))</f>
        <v/>
      </c>
      <c r="H480" s="12"/>
      <c r="I480" s="13" t="str">
        <f aca="false">IF($A480="","",IF(OR($D480="",$E480="",$F480="",$H480=""),"",ROUND($D480*$E480*$F480*$H480/1000000,2)))</f>
        <v/>
      </c>
      <c r="J480" s="8"/>
      <c r="K480" s="14"/>
      <c r="L480" s="8"/>
      <c r="M480" s="15" t="str">
        <f aca="false">IF($A480="","",IF(COUNTIF($A$3:$A$502,$A480)&gt;1,"중복","-"))</f>
        <v/>
      </c>
      <c r="N480" s="8"/>
    </row>
    <row r="481" customFormat="false" ht="15" hidden="false" customHeight="true" outlineLevel="0" collapsed="false">
      <c r="A481" s="8"/>
      <c r="B481" s="8"/>
      <c r="C481" s="8"/>
      <c r="D481" s="10"/>
      <c r="E481" s="10"/>
      <c r="F481" s="10"/>
      <c r="G481" s="11" t="str">
        <f aca="false">IF($A481="","",IF(AND($D481="",$E481="",$F481=""),"",IF($D481="","",$D481)&amp;IF($E481="",""," × "&amp;$E481)&amp;IF($F481=""," "," × ")&amp;IF($F481="","",$F481)&amp;"t"))</f>
        <v/>
      </c>
      <c r="H481" s="12"/>
      <c r="I481" s="13" t="str">
        <f aca="false">IF($A481="","",IF(OR($D481="",$E481="",$F481="",$H481=""),"",ROUND($D481*$E481*$F481*$H481/1000000,2)))</f>
        <v/>
      </c>
      <c r="J481" s="8"/>
      <c r="K481" s="14"/>
      <c r="L481" s="8"/>
      <c r="M481" s="15" t="str">
        <f aca="false">IF($A481="","",IF(COUNTIF($A$3:$A$502,$A481)&gt;1,"중복","-"))</f>
        <v/>
      </c>
      <c r="N481" s="8"/>
    </row>
    <row r="482" customFormat="false" ht="15" hidden="false" customHeight="true" outlineLevel="0" collapsed="false">
      <c r="A482" s="8"/>
      <c r="B482" s="8"/>
      <c r="C482" s="8"/>
      <c r="D482" s="10"/>
      <c r="E482" s="10"/>
      <c r="F482" s="10"/>
      <c r="G482" s="11" t="str">
        <f aca="false">IF($A482="","",IF(AND($D482="",$E482="",$F482=""),"",IF($D482="","",$D482)&amp;IF($E482="",""," × "&amp;$E482)&amp;IF($F482=""," "," × ")&amp;IF($F482="","",$F482)&amp;"t"))</f>
        <v/>
      </c>
      <c r="H482" s="12"/>
      <c r="I482" s="13" t="str">
        <f aca="false">IF($A482="","",IF(OR($D482="",$E482="",$F482="",$H482=""),"",ROUND($D482*$E482*$F482*$H482/1000000,2)))</f>
        <v/>
      </c>
      <c r="J482" s="8"/>
      <c r="K482" s="14"/>
      <c r="L482" s="8"/>
      <c r="M482" s="15" t="str">
        <f aca="false">IF($A482="","",IF(COUNTIF($A$3:$A$502,$A482)&gt;1,"중복","-"))</f>
        <v/>
      </c>
      <c r="N482" s="8"/>
    </row>
    <row r="483" customFormat="false" ht="15" hidden="false" customHeight="true" outlineLevel="0" collapsed="false">
      <c r="A483" s="8"/>
      <c r="B483" s="8"/>
      <c r="C483" s="8"/>
      <c r="D483" s="10"/>
      <c r="E483" s="10"/>
      <c r="F483" s="10"/>
      <c r="G483" s="11" t="str">
        <f aca="false">IF($A483="","",IF(AND($D483="",$E483="",$F483=""),"",IF($D483="","",$D483)&amp;IF($E483="",""," × "&amp;$E483)&amp;IF($F483=""," "," × ")&amp;IF($F483="","",$F483)&amp;"t"))</f>
        <v/>
      </c>
      <c r="H483" s="12"/>
      <c r="I483" s="13" t="str">
        <f aca="false">IF($A483="","",IF(OR($D483="",$E483="",$F483="",$H483=""),"",ROUND($D483*$E483*$F483*$H483/1000000,2)))</f>
        <v/>
      </c>
      <c r="J483" s="8"/>
      <c r="K483" s="14"/>
      <c r="L483" s="8"/>
      <c r="M483" s="15" t="str">
        <f aca="false">IF($A483="","",IF(COUNTIF($A$3:$A$502,$A483)&gt;1,"중복","-"))</f>
        <v/>
      </c>
      <c r="N483" s="8"/>
    </row>
    <row r="484" customFormat="false" ht="15" hidden="false" customHeight="true" outlineLevel="0" collapsed="false">
      <c r="A484" s="8"/>
      <c r="B484" s="8"/>
      <c r="C484" s="8"/>
      <c r="D484" s="10"/>
      <c r="E484" s="10"/>
      <c r="F484" s="10"/>
      <c r="G484" s="11" t="str">
        <f aca="false">IF($A484="","",IF(AND($D484="",$E484="",$F484=""),"",IF($D484="","",$D484)&amp;IF($E484="",""," × "&amp;$E484)&amp;IF($F484=""," "," × ")&amp;IF($F484="","",$F484)&amp;"t"))</f>
        <v/>
      </c>
      <c r="H484" s="12"/>
      <c r="I484" s="13" t="str">
        <f aca="false">IF($A484="","",IF(OR($D484="",$E484="",$F484="",$H484=""),"",ROUND($D484*$E484*$F484*$H484/1000000,2)))</f>
        <v/>
      </c>
      <c r="J484" s="8"/>
      <c r="K484" s="14"/>
      <c r="L484" s="8"/>
      <c r="M484" s="15" t="str">
        <f aca="false">IF($A484="","",IF(COUNTIF($A$3:$A$502,$A484)&gt;1,"중복","-"))</f>
        <v/>
      </c>
      <c r="N484" s="8"/>
    </row>
    <row r="485" customFormat="false" ht="15" hidden="false" customHeight="true" outlineLevel="0" collapsed="false">
      <c r="A485" s="8"/>
      <c r="B485" s="8"/>
      <c r="C485" s="8"/>
      <c r="D485" s="10"/>
      <c r="E485" s="10"/>
      <c r="F485" s="10"/>
      <c r="G485" s="11" t="str">
        <f aca="false">IF($A485="","",IF(AND($D485="",$E485="",$F485=""),"",IF($D485="","",$D485)&amp;IF($E485="",""," × "&amp;$E485)&amp;IF($F485=""," "," × ")&amp;IF($F485="","",$F485)&amp;"t"))</f>
        <v/>
      </c>
      <c r="H485" s="12"/>
      <c r="I485" s="13" t="str">
        <f aca="false">IF($A485="","",IF(OR($D485="",$E485="",$F485="",$H485=""),"",ROUND($D485*$E485*$F485*$H485/1000000,2)))</f>
        <v/>
      </c>
      <c r="J485" s="8"/>
      <c r="K485" s="14"/>
      <c r="L485" s="8"/>
      <c r="M485" s="15" t="str">
        <f aca="false">IF($A485="","",IF(COUNTIF($A$3:$A$502,$A485)&gt;1,"중복","-"))</f>
        <v/>
      </c>
      <c r="N485" s="8"/>
    </row>
    <row r="486" customFormat="false" ht="15" hidden="false" customHeight="true" outlineLevel="0" collapsed="false">
      <c r="A486" s="8"/>
      <c r="B486" s="8"/>
      <c r="C486" s="8"/>
      <c r="D486" s="10"/>
      <c r="E486" s="10"/>
      <c r="F486" s="10"/>
      <c r="G486" s="11" t="str">
        <f aca="false">IF($A486="","",IF(AND($D486="",$E486="",$F486=""),"",IF($D486="","",$D486)&amp;IF($E486="",""," × "&amp;$E486)&amp;IF($F486=""," "," × ")&amp;IF($F486="","",$F486)&amp;"t"))</f>
        <v/>
      </c>
      <c r="H486" s="12"/>
      <c r="I486" s="13" t="str">
        <f aca="false">IF($A486="","",IF(OR($D486="",$E486="",$F486="",$H486=""),"",ROUND($D486*$E486*$F486*$H486/1000000,2)))</f>
        <v/>
      </c>
      <c r="J486" s="8"/>
      <c r="K486" s="14"/>
      <c r="L486" s="8"/>
      <c r="M486" s="15" t="str">
        <f aca="false">IF($A486="","",IF(COUNTIF($A$3:$A$502,$A486)&gt;1,"중복","-"))</f>
        <v/>
      </c>
      <c r="N486" s="8"/>
    </row>
    <row r="487" customFormat="false" ht="15" hidden="false" customHeight="true" outlineLevel="0" collapsed="false">
      <c r="A487" s="8"/>
      <c r="B487" s="8"/>
      <c r="C487" s="8"/>
      <c r="D487" s="10"/>
      <c r="E487" s="10"/>
      <c r="F487" s="10"/>
      <c r="G487" s="11" t="str">
        <f aca="false">IF($A487="","",IF(AND($D487="",$E487="",$F487=""),"",IF($D487="","",$D487)&amp;IF($E487="",""," × "&amp;$E487)&amp;IF($F487=""," "," × ")&amp;IF($F487="","",$F487)&amp;"t"))</f>
        <v/>
      </c>
      <c r="H487" s="12"/>
      <c r="I487" s="13" t="str">
        <f aca="false">IF($A487="","",IF(OR($D487="",$E487="",$F487="",$H487=""),"",ROUND($D487*$E487*$F487*$H487/1000000,2)))</f>
        <v/>
      </c>
      <c r="J487" s="8"/>
      <c r="K487" s="14"/>
      <c r="L487" s="8"/>
      <c r="M487" s="15" t="str">
        <f aca="false">IF($A487="","",IF(COUNTIF($A$3:$A$502,$A487)&gt;1,"중복","-"))</f>
        <v/>
      </c>
      <c r="N487" s="8"/>
    </row>
    <row r="488" customFormat="false" ht="15" hidden="false" customHeight="true" outlineLevel="0" collapsed="false">
      <c r="A488" s="8"/>
      <c r="B488" s="8"/>
      <c r="C488" s="8"/>
      <c r="D488" s="10"/>
      <c r="E488" s="10"/>
      <c r="F488" s="10"/>
      <c r="G488" s="11" t="str">
        <f aca="false">IF($A488="","",IF(AND($D488="",$E488="",$F488=""),"",IF($D488="","",$D488)&amp;IF($E488="",""," × "&amp;$E488)&amp;IF($F488=""," "," × ")&amp;IF($F488="","",$F488)&amp;"t"))</f>
        <v/>
      </c>
      <c r="H488" s="12"/>
      <c r="I488" s="13" t="str">
        <f aca="false">IF($A488="","",IF(OR($D488="",$E488="",$F488="",$H488=""),"",ROUND($D488*$E488*$F488*$H488/1000000,2)))</f>
        <v/>
      </c>
      <c r="J488" s="8"/>
      <c r="K488" s="14"/>
      <c r="L488" s="8"/>
      <c r="M488" s="15" t="str">
        <f aca="false">IF($A488="","",IF(COUNTIF($A$3:$A$502,$A488)&gt;1,"중복","-"))</f>
        <v/>
      </c>
      <c r="N488" s="8"/>
    </row>
    <row r="489" customFormat="false" ht="15" hidden="false" customHeight="true" outlineLevel="0" collapsed="false">
      <c r="A489" s="8"/>
      <c r="B489" s="8"/>
      <c r="C489" s="8"/>
      <c r="D489" s="10"/>
      <c r="E489" s="10"/>
      <c r="F489" s="10"/>
      <c r="G489" s="11" t="str">
        <f aca="false">IF($A489="","",IF(AND($D489="",$E489="",$F489=""),"",IF($D489="","",$D489)&amp;IF($E489="",""," × "&amp;$E489)&amp;IF($F489=""," "," × ")&amp;IF($F489="","",$F489)&amp;"t"))</f>
        <v/>
      </c>
      <c r="H489" s="12"/>
      <c r="I489" s="13" t="str">
        <f aca="false">IF($A489="","",IF(OR($D489="",$E489="",$F489="",$H489=""),"",ROUND($D489*$E489*$F489*$H489/1000000,2)))</f>
        <v/>
      </c>
      <c r="J489" s="8"/>
      <c r="K489" s="14"/>
      <c r="L489" s="8"/>
      <c r="M489" s="15" t="str">
        <f aca="false">IF($A489="","",IF(COUNTIF($A$3:$A$502,$A489)&gt;1,"중복","-"))</f>
        <v/>
      </c>
      <c r="N489" s="8"/>
    </row>
    <row r="490" customFormat="false" ht="15" hidden="false" customHeight="true" outlineLevel="0" collapsed="false">
      <c r="A490" s="8"/>
      <c r="B490" s="8"/>
      <c r="C490" s="8"/>
      <c r="D490" s="10"/>
      <c r="E490" s="10"/>
      <c r="F490" s="10"/>
      <c r="G490" s="11" t="str">
        <f aca="false">IF($A490="","",IF(AND($D490="",$E490="",$F490=""),"",IF($D490="","",$D490)&amp;IF($E490="",""," × "&amp;$E490)&amp;IF($F490=""," "," × ")&amp;IF($F490="","",$F490)&amp;"t"))</f>
        <v/>
      </c>
      <c r="H490" s="12"/>
      <c r="I490" s="13" t="str">
        <f aca="false">IF($A490="","",IF(OR($D490="",$E490="",$F490="",$H490=""),"",ROUND($D490*$E490*$F490*$H490/1000000,2)))</f>
        <v/>
      </c>
      <c r="J490" s="8"/>
      <c r="K490" s="14"/>
      <c r="L490" s="8"/>
      <c r="M490" s="15" t="str">
        <f aca="false">IF($A490="","",IF(COUNTIF($A$3:$A$502,$A490)&gt;1,"중복","-"))</f>
        <v/>
      </c>
      <c r="N490" s="8"/>
    </row>
    <row r="491" customFormat="false" ht="15" hidden="false" customHeight="true" outlineLevel="0" collapsed="false">
      <c r="A491" s="8"/>
      <c r="B491" s="8"/>
      <c r="C491" s="8"/>
      <c r="D491" s="10"/>
      <c r="E491" s="10"/>
      <c r="F491" s="10"/>
      <c r="G491" s="11" t="str">
        <f aca="false">IF($A491="","",IF(AND($D491="",$E491="",$F491=""),"",IF($D491="","",$D491)&amp;IF($E491="",""," × "&amp;$E491)&amp;IF($F491=""," "," × ")&amp;IF($F491="","",$F491)&amp;"t"))</f>
        <v/>
      </c>
      <c r="H491" s="12"/>
      <c r="I491" s="13" t="str">
        <f aca="false">IF($A491="","",IF(OR($D491="",$E491="",$F491="",$H491=""),"",ROUND($D491*$E491*$F491*$H491/1000000,2)))</f>
        <v/>
      </c>
      <c r="J491" s="8"/>
      <c r="K491" s="14"/>
      <c r="L491" s="8"/>
      <c r="M491" s="15" t="str">
        <f aca="false">IF($A491="","",IF(COUNTIF($A$3:$A$502,$A491)&gt;1,"중복","-"))</f>
        <v/>
      </c>
      <c r="N491" s="8"/>
    </row>
    <row r="492" customFormat="false" ht="15" hidden="false" customHeight="true" outlineLevel="0" collapsed="false">
      <c r="A492" s="8"/>
      <c r="B492" s="8"/>
      <c r="C492" s="8"/>
      <c r="D492" s="10"/>
      <c r="E492" s="10"/>
      <c r="F492" s="10"/>
      <c r="G492" s="11" t="str">
        <f aca="false">IF($A492="","",IF(AND($D492="",$E492="",$F492=""),"",IF($D492="","",$D492)&amp;IF($E492="",""," × "&amp;$E492)&amp;IF($F492=""," "," × ")&amp;IF($F492="","",$F492)&amp;"t"))</f>
        <v/>
      </c>
      <c r="H492" s="12"/>
      <c r="I492" s="13" t="str">
        <f aca="false">IF($A492="","",IF(OR($D492="",$E492="",$F492="",$H492=""),"",ROUND($D492*$E492*$F492*$H492/1000000,2)))</f>
        <v/>
      </c>
      <c r="J492" s="8"/>
      <c r="K492" s="14"/>
      <c r="L492" s="8"/>
      <c r="M492" s="15" t="str">
        <f aca="false">IF($A492="","",IF(COUNTIF($A$3:$A$502,$A492)&gt;1,"중복","-"))</f>
        <v/>
      </c>
      <c r="N492" s="8"/>
    </row>
    <row r="493" customFormat="false" ht="15" hidden="false" customHeight="true" outlineLevel="0" collapsed="false">
      <c r="A493" s="8"/>
      <c r="B493" s="8"/>
      <c r="C493" s="8"/>
      <c r="D493" s="10"/>
      <c r="E493" s="10"/>
      <c r="F493" s="10"/>
      <c r="G493" s="11" t="str">
        <f aca="false">IF($A493="","",IF(AND($D493="",$E493="",$F493=""),"",IF($D493="","",$D493)&amp;IF($E493="",""," × "&amp;$E493)&amp;IF($F493=""," "," × ")&amp;IF($F493="","",$F493)&amp;"t"))</f>
        <v/>
      </c>
      <c r="H493" s="12"/>
      <c r="I493" s="13" t="str">
        <f aca="false">IF($A493="","",IF(OR($D493="",$E493="",$F493="",$H493=""),"",ROUND($D493*$E493*$F493*$H493/1000000,2)))</f>
        <v/>
      </c>
      <c r="J493" s="8"/>
      <c r="K493" s="14"/>
      <c r="L493" s="8"/>
      <c r="M493" s="15" t="str">
        <f aca="false">IF($A493="","",IF(COUNTIF($A$3:$A$502,$A493)&gt;1,"중복","-"))</f>
        <v/>
      </c>
      <c r="N493" s="8"/>
    </row>
    <row r="494" customFormat="false" ht="15" hidden="false" customHeight="true" outlineLevel="0" collapsed="false">
      <c r="A494" s="8"/>
      <c r="B494" s="8"/>
      <c r="C494" s="8"/>
      <c r="D494" s="10"/>
      <c r="E494" s="10"/>
      <c r="F494" s="10"/>
      <c r="G494" s="11" t="str">
        <f aca="false">IF($A494="","",IF(AND($D494="",$E494="",$F494=""),"",IF($D494="","",$D494)&amp;IF($E494="",""," × "&amp;$E494)&amp;IF($F494=""," "," × ")&amp;IF($F494="","",$F494)&amp;"t"))</f>
        <v/>
      </c>
      <c r="H494" s="12"/>
      <c r="I494" s="13" t="str">
        <f aca="false">IF($A494="","",IF(OR($D494="",$E494="",$F494="",$H494=""),"",ROUND($D494*$E494*$F494*$H494/1000000,2)))</f>
        <v/>
      </c>
      <c r="J494" s="8"/>
      <c r="K494" s="14"/>
      <c r="L494" s="8"/>
      <c r="M494" s="15" t="str">
        <f aca="false">IF($A494="","",IF(COUNTIF($A$3:$A$502,$A494)&gt;1,"중복","-"))</f>
        <v/>
      </c>
      <c r="N494" s="8"/>
    </row>
    <row r="495" customFormat="false" ht="15" hidden="false" customHeight="true" outlineLevel="0" collapsed="false">
      <c r="A495" s="8"/>
      <c r="B495" s="8"/>
      <c r="C495" s="8"/>
      <c r="D495" s="10"/>
      <c r="E495" s="10"/>
      <c r="F495" s="10"/>
      <c r="G495" s="11" t="str">
        <f aca="false">IF($A495="","",IF(AND($D495="",$E495="",$F495=""),"",IF($D495="","",$D495)&amp;IF($E495="",""," × "&amp;$E495)&amp;IF($F495=""," "," × ")&amp;IF($F495="","",$F495)&amp;"t"))</f>
        <v/>
      </c>
      <c r="H495" s="12"/>
      <c r="I495" s="13" t="str">
        <f aca="false">IF($A495="","",IF(OR($D495="",$E495="",$F495="",$H495=""),"",ROUND($D495*$E495*$F495*$H495/1000000,2)))</f>
        <v/>
      </c>
      <c r="J495" s="8"/>
      <c r="K495" s="14"/>
      <c r="L495" s="8"/>
      <c r="M495" s="15" t="str">
        <f aca="false">IF($A495="","",IF(COUNTIF($A$3:$A$502,$A495)&gt;1,"중복","-"))</f>
        <v/>
      </c>
      <c r="N495" s="8"/>
    </row>
    <row r="496" customFormat="false" ht="15" hidden="false" customHeight="true" outlineLevel="0" collapsed="false">
      <c r="A496" s="8"/>
      <c r="B496" s="8"/>
      <c r="C496" s="8"/>
      <c r="D496" s="10"/>
      <c r="E496" s="10"/>
      <c r="F496" s="10"/>
      <c r="G496" s="11" t="str">
        <f aca="false">IF($A496="","",IF(AND($D496="",$E496="",$F496=""),"",IF($D496="","",$D496)&amp;IF($E496="",""," × "&amp;$E496)&amp;IF($F496=""," "," × ")&amp;IF($F496="","",$F496)&amp;"t"))</f>
        <v/>
      </c>
      <c r="H496" s="12"/>
      <c r="I496" s="13" t="str">
        <f aca="false">IF($A496="","",IF(OR($D496="",$E496="",$F496="",$H496=""),"",ROUND($D496*$E496*$F496*$H496/1000000,2)))</f>
        <v/>
      </c>
      <c r="J496" s="8"/>
      <c r="K496" s="14"/>
      <c r="L496" s="8"/>
      <c r="M496" s="15" t="str">
        <f aca="false">IF($A496="","",IF(COUNTIF($A$3:$A$502,$A496)&gt;1,"중복","-"))</f>
        <v/>
      </c>
      <c r="N496" s="8"/>
    </row>
    <row r="497" customFormat="false" ht="15" hidden="false" customHeight="true" outlineLevel="0" collapsed="false">
      <c r="A497" s="8"/>
      <c r="B497" s="8"/>
      <c r="C497" s="8"/>
      <c r="D497" s="10"/>
      <c r="E497" s="10"/>
      <c r="F497" s="10"/>
      <c r="G497" s="11" t="str">
        <f aca="false">IF($A497="","",IF(AND($D497="",$E497="",$F497=""),"",IF($D497="","",$D497)&amp;IF($E497="",""," × "&amp;$E497)&amp;IF($F497=""," "," × ")&amp;IF($F497="","",$F497)&amp;"t"))</f>
        <v/>
      </c>
      <c r="H497" s="12"/>
      <c r="I497" s="13" t="str">
        <f aca="false">IF($A497="","",IF(OR($D497="",$E497="",$F497="",$H497=""),"",ROUND($D497*$E497*$F497*$H497/1000000,2)))</f>
        <v/>
      </c>
      <c r="J497" s="8"/>
      <c r="K497" s="14"/>
      <c r="L497" s="8"/>
      <c r="M497" s="15" t="str">
        <f aca="false">IF($A497="","",IF(COUNTIF($A$3:$A$502,$A497)&gt;1,"중복","-"))</f>
        <v/>
      </c>
      <c r="N497" s="8"/>
    </row>
    <row r="498" customFormat="false" ht="15" hidden="false" customHeight="true" outlineLevel="0" collapsed="false">
      <c r="A498" s="8"/>
      <c r="B498" s="8"/>
      <c r="C498" s="8"/>
      <c r="D498" s="10"/>
      <c r="E498" s="10"/>
      <c r="F498" s="10"/>
      <c r="G498" s="11" t="str">
        <f aca="false">IF($A498="","",IF(AND($D498="",$E498="",$F498=""),"",IF($D498="","",$D498)&amp;IF($E498="",""," × "&amp;$E498)&amp;IF($F498=""," "," × ")&amp;IF($F498="","",$F498)&amp;"t"))</f>
        <v/>
      </c>
      <c r="H498" s="12"/>
      <c r="I498" s="13" t="str">
        <f aca="false">IF($A498="","",IF(OR($D498="",$E498="",$F498="",$H498=""),"",ROUND($D498*$E498*$F498*$H498/1000000,2)))</f>
        <v/>
      </c>
      <c r="J498" s="8"/>
      <c r="K498" s="14"/>
      <c r="L498" s="8"/>
      <c r="M498" s="15" t="str">
        <f aca="false">IF($A498="","",IF(COUNTIF($A$3:$A$502,$A498)&gt;1,"중복","-"))</f>
        <v/>
      </c>
      <c r="N498" s="8"/>
    </row>
    <row r="499" customFormat="false" ht="15" hidden="false" customHeight="true" outlineLevel="0" collapsed="false">
      <c r="A499" s="8"/>
      <c r="B499" s="8"/>
      <c r="C499" s="8"/>
      <c r="D499" s="10"/>
      <c r="E499" s="10"/>
      <c r="F499" s="10"/>
      <c r="G499" s="11" t="str">
        <f aca="false">IF($A499="","",IF(AND($D499="",$E499="",$F499=""),"",IF($D499="","",$D499)&amp;IF($E499="",""," × "&amp;$E499)&amp;IF($F499=""," "," × ")&amp;IF($F499="","",$F499)&amp;"t"))</f>
        <v/>
      </c>
      <c r="H499" s="12"/>
      <c r="I499" s="13" t="str">
        <f aca="false">IF($A499="","",IF(OR($D499="",$E499="",$F499="",$H499=""),"",ROUND($D499*$E499*$F499*$H499/1000000,2)))</f>
        <v/>
      </c>
      <c r="J499" s="8"/>
      <c r="K499" s="14"/>
      <c r="L499" s="8"/>
      <c r="M499" s="15" t="str">
        <f aca="false">IF($A499="","",IF(COUNTIF($A$3:$A$502,$A499)&gt;1,"중복","-"))</f>
        <v/>
      </c>
      <c r="N499" s="8"/>
    </row>
    <row r="500" customFormat="false" ht="15" hidden="false" customHeight="true" outlineLevel="0" collapsed="false">
      <c r="A500" s="8"/>
      <c r="B500" s="8"/>
      <c r="C500" s="8"/>
      <c r="D500" s="10"/>
      <c r="E500" s="10"/>
      <c r="F500" s="10"/>
      <c r="G500" s="11" t="str">
        <f aca="false">IF($A500="","",IF(AND($D500="",$E500="",$F500=""),"",IF($D500="","",$D500)&amp;IF($E500="",""," × "&amp;$E500)&amp;IF($F500=""," "," × ")&amp;IF($F500="","",$F500)&amp;"t"))</f>
        <v/>
      </c>
      <c r="H500" s="12"/>
      <c r="I500" s="13" t="str">
        <f aca="false">IF($A500="","",IF(OR($D500="",$E500="",$F500="",$H500=""),"",ROUND($D500*$E500*$F500*$H500/1000000,2)))</f>
        <v/>
      </c>
      <c r="J500" s="8"/>
      <c r="K500" s="14"/>
      <c r="L500" s="8"/>
      <c r="M500" s="15" t="str">
        <f aca="false">IF($A500="","",IF(COUNTIF($A$3:$A$502,$A500)&gt;1,"중복","-"))</f>
        <v/>
      </c>
      <c r="N500" s="8"/>
    </row>
    <row r="501" customFormat="false" ht="15" hidden="false" customHeight="true" outlineLevel="0" collapsed="false">
      <c r="A501" s="8"/>
      <c r="B501" s="8"/>
      <c r="C501" s="8"/>
      <c r="D501" s="10"/>
      <c r="E501" s="10"/>
      <c r="F501" s="10"/>
      <c r="G501" s="11" t="str">
        <f aca="false">IF($A501="","",IF(AND($D501="",$E501="",$F501=""),"",IF($D501="","",$D501)&amp;IF($E501="",""," × "&amp;$E501)&amp;IF($F501=""," "," × ")&amp;IF($F501="","",$F501)&amp;"t"))</f>
        <v/>
      </c>
      <c r="H501" s="12"/>
      <c r="I501" s="13" t="str">
        <f aca="false">IF($A501="","",IF(OR($D501="",$E501="",$F501="",$H501=""),"",ROUND($D501*$E501*$F501*$H501/1000000,2)))</f>
        <v/>
      </c>
      <c r="J501" s="8"/>
      <c r="K501" s="14"/>
      <c r="L501" s="8"/>
      <c r="M501" s="15" t="str">
        <f aca="false">IF($A501="","",IF(COUNTIF($A$3:$A$502,$A501)&gt;1,"중복","-"))</f>
        <v/>
      </c>
      <c r="N501" s="8"/>
    </row>
    <row r="502" customFormat="false" ht="15" hidden="false" customHeight="true" outlineLevel="0" collapsed="false">
      <c r="A502" s="8"/>
      <c r="B502" s="8"/>
      <c r="C502" s="8"/>
      <c r="D502" s="10"/>
      <c r="E502" s="10"/>
      <c r="F502" s="10"/>
      <c r="G502" s="11" t="str">
        <f aca="false">IF($A502="","",IF(AND($D502="",$E502="",$F502=""),"",IF($D502="","",$D502)&amp;IF($E502="",""," × "&amp;$E502)&amp;IF($F502=""," "," × ")&amp;IF($F502="","",$F502)&amp;"t"))</f>
        <v/>
      </c>
      <c r="H502" s="12"/>
      <c r="I502" s="13" t="str">
        <f aca="false">IF($A502="","",IF(OR($D502="",$E502="",$F502="",$H502=""),"",ROUND($D502*$E502*$F502*$H502/1000000,2)))</f>
        <v/>
      </c>
      <c r="J502" s="8"/>
      <c r="K502" s="14"/>
      <c r="L502" s="8"/>
      <c r="M502" s="15" t="str">
        <f aca="false">IF($A502="","",IF(COUNTIF($A$3:$A$502,$A502)&gt;1,"중복","-"))</f>
        <v/>
      </c>
      <c r="N502" s="8"/>
    </row>
    <row r="504" customFormat="false" ht="15" hidden="false" customHeight="true" outlineLevel="0" collapsed="false">
      <c r="A504" s="5" t="s">
        <v>50</v>
      </c>
    </row>
  </sheetData>
  <mergeCells count="1">
    <mergeCell ref="A1:N1"/>
  </mergeCells>
  <conditionalFormatting sqref="A3:N502">
    <cfRule type="expression" priority="2" aboveAverage="0" equalAverage="0" bottom="0" percent="0" rank="0" text="" dxfId="0">
      <formula>$M3="중복"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3" min="12" style="1" width="12"/>
    <col collapsed="false" customWidth="true" hidden="false" outlineLevel="0" max="14" min="14" style="1" width="13"/>
  </cols>
  <sheetData>
    <row r="1" customFormat="false" ht="25.5" hidden="false" customHeight="true" outlineLevel="0" collapsed="false">
      <c r="A1" s="2" t="s">
        <v>51</v>
      </c>
      <c r="B1" s="2"/>
      <c r="C1" s="2"/>
      <c r="D1" s="2"/>
      <c r="E1" s="2"/>
      <c r="F1" s="2"/>
      <c r="G1" s="2"/>
      <c r="H1" s="2"/>
      <c r="I1" s="2"/>
    </row>
    <row r="3" customFormat="false" ht="16.5" hidden="false" customHeight="true" outlineLevel="0" collapsed="false">
      <c r="A3" s="3" t="s">
        <v>52</v>
      </c>
      <c r="B3" s="16" t="s">
        <v>53</v>
      </c>
      <c r="C3" s="16"/>
      <c r="D3" s="3" t="s">
        <v>54</v>
      </c>
      <c r="E3" s="17"/>
      <c r="F3" s="5" t="s">
        <v>55</v>
      </c>
      <c r="G3" s="3" t="s">
        <v>56</v>
      </c>
      <c r="H3" s="18" t="str">
        <f aca="false">COUNTIF($L$6:$L$505,TRUE())&amp;" 건"</f>
        <v>2 건</v>
      </c>
    </row>
    <row r="5" customFormat="false" ht="15" hidden="false" customHeight="true" outlineLevel="0" collapsed="false">
      <c r="A5" s="6" t="s">
        <v>57</v>
      </c>
      <c r="B5" s="6" t="s">
        <v>23</v>
      </c>
      <c r="C5" s="6" t="s">
        <v>24</v>
      </c>
      <c r="D5" s="6" t="s">
        <v>25</v>
      </c>
      <c r="E5" s="6" t="s">
        <v>58</v>
      </c>
      <c r="F5" s="6" t="s">
        <v>59</v>
      </c>
      <c r="G5" s="6" t="s">
        <v>32</v>
      </c>
      <c r="H5" s="6" t="s">
        <v>33</v>
      </c>
      <c r="I5" s="6" t="s">
        <v>34</v>
      </c>
      <c r="L5" s="5" t="s">
        <v>60</v>
      </c>
      <c r="M5" s="5" t="s">
        <v>61</v>
      </c>
      <c r="N5" s="5" t="s">
        <v>62</v>
      </c>
    </row>
    <row r="6" customFormat="false" ht="15" hidden="false" customHeight="true" outlineLevel="0" collapsed="false">
      <c r="A6" s="19" t="n">
        <f aca="false">IF($B6="","",1)</f>
        <v>1</v>
      </c>
      <c r="B6" s="11" t="str">
        <f aca="false">IFERROR(INDEX(원자재마스터!$A$3:$A$502,MATCH("R"&amp;1,규격검색!$N$6:$N$505,0)),"")</f>
        <v>R001</v>
      </c>
      <c r="C6" s="11" t="str">
        <f aca="false">IF($B6="","",IFERROR(INDEX(원자재마스터!$B$3:$B$502,MATCH("R"&amp;1,규격검색!$N$6:$N$505,0)),""))</f>
        <v>열연강판</v>
      </c>
      <c r="D6" s="19" t="str">
        <f aca="false">IF($B6="","",IFERROR(INDEX(원자재마스터!$C$3:$C$502,MATCH("R"&amp;1,규격검색!$N$6:$N$505,0)),""))</f>
        <v>SS400</v>
      </c>
      <c r="E6" s="11" t="str">
        <f aca="false">IF($B6="","",IFERROR(INDEX(원자재마스터!$G$3:$G$502,MATCH("R"&amp;1,규격검색!$N$6:$N$505,0)),""))</f>
        <v>1000 × 500 × 3.2t</v>
      </c>
      <c r="F6" s="13" t="n">
        <f aca="false">IF($B6="","",IFERROR(INDEX(원자재마스터!$I$3:$I$502,MATCH("R"&amp;1,규격검색!$N$6:$N$505,0)),""))</f>
        <v>12.56</v>
      </c>
      <c r="G6" s="19" t="str">
        <f aca="false">IF($B6="","",IFERROR(INDEX(원자재마스터!$J$3:$J$502,MATCH("R"&amp;1,규격검색!$N$6:$N$505,0)),""))</f>
        <v>EA</v>
      </c>
      <c r="H6" s="20" t="n">
        <f aca="false">IF($B6="","",IFERROR(INDEX(원자재마스터!$K$3:$K$502,MATCH("R"&amp;1,규격검색!$N$6:$N$505,0)),""))</f>
        <v>18500</v>
      </c>
      <c r="I6" s="11" t="str">
        <f aca="false">IF($B6="","",IFERROR(INDEX(원자재마스터!$L$3:$L$502,MATCH("R"&amp;1,규격검색!$N$6:$N$505,0)),""))</f>
        <v>○○철강</v>
      </c>
      <c r="L6" s="21" t="b">
        <f aca="false">IF(원자재마스터!$A3="",FALSE(),AND(IF($B$3="",TRUE(),ISNUMBER(SEARCH($B$3,원자재마스터!$B3&amp;" "&amp;원자재마스터!$C3&amp;" "&amp;원자재마스터!$G3&amp;" "&amp;원자재마스터!$A3))),IF($E$3="",TRUE(),ISNUMBER(SEARCH($E$3,원자재마스터!$C3)))))</f>
        <v>1</v>
      </c>
      <c r="M6" s="5" t="n">
        <f aca="false">IF($L6=FALSE(),"",COUNTIF($L$6:$L6,TRUE()))</f>
        <v>1</v>
      </c>
      <c r="N6" s="5" t="str">
        <f aca="false">IF($M6="","","R"&amp;$M6)</f>
        <v>R1</v>
      </c>
    </row>
    <row r="7" customFormat="false" ht="15" hidden="false" customHeight="true" outlineLevel="0" collapsed="false">
      <c r="A7" s="19" t="n">
        <f aca="false">IF($B7="","",2)</f>
        <v>2</v>
      </c>
      <c r="B7" s="11" t="str">
        <f aca="false">IFERROR(INDEX(원자재마스터!$A$3:$A$502,MATCH("R"&amp;2,규격검색!$N$6:$N$505,0)),"")</f>
        <v>R002</v>
      </c>
      <c r="C7" s="11" t="str">
        <f aca="false">IF($B7="","",IFERROR(INDEX(원자재마스터!$B$3:$B$502,MATCH("R"&amp;2,규격검색!$N$6:$N$505,0)),""))</f>
        <v>열연강판</v>
      </c>
      <c r="D7" s="19" t="str">
        <f aca="false">IF($B7="","",IFERROR(INDEX(원자재마스터!$C$3:$C$502,MATCH("R"&amp;2,규격검색!$N$6:$N$505,0)),""))</f>
        <v>SS400</v>
      </c>
      <c r="E7" s="11" t="str">
        <f aca="false">IF($B7="","",IFERROR(INDEX(원자재마스터!$G$3:$G$502,MATCH("R"&amp;2,규격검색!$N$6:$N$505,0)),""))</f>
        <v>1200 × 600 × 4.5t</v>
      </c>
      <c r="F7" s="13" t="n">
        <f aca="false">IF($B7="","",IFERROR(INDEX(원자재마스터!$I$3:$I$502,MATCH("R"&amp;2,규격검색!$N$6:$N$505,0)),""))</f>
        <v>25.43</v>
      </c>
      <c r="G7" s="19" t="str">
        <f aca="false">IF($B7="","",IFERROR(INDEX(원자재마스터!$J$3:$J$502,MATCH("R"&amp;2,규격검색!$N$6:$N$505,0)),""))</f>
        <v>EA</v>
      </c>
      <c r="H7" s="20" t="n">
        <f aca="false">IF($B7="","",IFERROR(INDEX(원자재마스터!$K$3:$K$502,MATCH("R"&amp;2,규격검색!$N$6:$N$505,0)),""))</f>
        <v>34200</v>
      </c>
      <c r="I7" s="11" t="str">
        <f aca="false">IF($B7="","",IFERROR(INDEX(원자재마스터!$L$3:$L$502,MATCH("R"&amp;2,규격검색!$N$6:$N$505,0)),""))</f>
        <v>○○철강</v>
      </c>
      <c r="L7" s="21" t="b">
        <f aca="false">IF(원자재마스터!$A4="",FALSE(),AND(IF($B$3="",TRUE(),ISNUMBER(SEARCH($B$3,원자재마스터!$B4&amp;" "&amp;원자재마스터!$C4&amp;" "&amp;원자재마스터!$G4&amp;" "&amp;원자재마스터!$A4))),IF($E$3="",TRUE(),ISNUMBER(SEARCH($E$3,원자재마스터!$C4)))))</f>
        <v>1</v>
      </c>
      <c r="M7" s="5" t="n">
        <f aca="false">IF($L7=FALSE(),"",COUNTIF($L$6:$L7,TRUE()))</f>
        <v>2</v>
      </c>
      <c r="N7" s="5" t="str">
        <f aca="false">IF($M7="","","R"&amp;$M7)</f>
        <v>R2</v>
      </c>
    </row>
    <row r="8" customFormat="false" ht="15" hidden="false" customHeight="true" outlineLevel="0" collapsed="false">
      <c r="A8" s="19" t="str">
        <f aca="false">IF($B8="","",3)</f>
        <v/>
      </c>
      <c r="B8" s="11" t="str">
        <f aca="false">IFERROR(INDEX(원자재마스터!$A$3:$A$502,MATCH("R"&amp;3,규격검색!$N$6:$N$505,0)),"")</f>
        <v/>
      </c>
      <c r="C8" s="11" t="str">
        <f aca="false">IF($B8="","",IFERROR(INDEX(원자재마스터!$B$3:$B$502,MATCH("R"&amp;3,규격검색!$N$6:$N$505,0)),""))</f>
        <v/>
      </c>
      <c r="D8" s="19" t="str">
        <f aca="false">IF($B8="","",IFERROR(INDEX(원자재마스터!$C$3:$C$502,MATCH("R"&amp;3,규격검색!$N$6:$N$505,0)),""))</f>
        <v/>
      </c>
      <c r="E8" s="11" t="str">
        <f aca="false">IF($B8="","",IFERROR(INDEX(원자재마스터!$G$3:$G$502,MATCH("R"&amp;3,규격검색!$N$6:$N$505,0)),""))</f>
        <v/>
      </c>
      <c r="F8" s="13" t="str">
        <f aca="false">IF($B8="","",IFERROR(INDEX(원자재마스터!$I$3:$I$502,MATCH("R"&amp;3,규격검색!$N$6:$N$505,0)),""))</f>
        <v/>
      </c>
      <c r="G8" s="19" t="str">
        <f aca="false">IF($B8="","",IFERROR(INDEX(원자재마스터!$J$3:$J$502,MATCH("R"&amp;3,규격검색!$N$6:$N$505,0)),""))</f>
        <v/>
      </c>
      <c r="H8" s="20" t="str">
        <f aca="false">IF($B8="","",IFERROR(INDEX(원자재마스터!$K$3:$K$502,MATCH("R"&amp;3,규격검색!$N$6:$N$505,0)),""))</f>
        <v/>
      </c>
      <c r="I8" s="11" t="str">
        <f aca="false">IF($B8="","",IFERROR(INDEX(원자재마스터!$L$3:$L$502,MATCH("R"&amp;3,규격검색!$N$6:$N$505,0)),""))</f>
        <v/>
      </c>
      <c r="L8" s="21" t="b">
        <f aca="false">IF(원자재마스터!$A5="",FALSE(),AND(IF($B$3="",TRUE(),ISNUMBER(SEARCH($B$3,원자재마스터!$B5&amp;" "&amp;원자재마스터!$C5&amp;" "&amp;원자재마스터!$G5&amp;" "&amp;원자재마스터!$A5))),IF($E$3="",TRUE(),ISNUMBER(SEARCH($E$3,원자재마스터!$C5)))))</f>
        <v>0</v>
      </c>
      <c r="M8" s="5" t="str">
        <f aca="false">IF($L8=FALSE(),"",COUNTIF($L$6:$L8,TRUE()))</f>
        <v/>
      </c>
      <c r="N8" s="5" t="str">
        <f aca="false">IF($M8="","","R"&amp;$M8)</f>
        <v/>
      </c>
    </row>
    <row r="9" customFormat="false" ht="15" hidden="false" customHeight="true" outlineLevel="0" collapsed="false">
      <c r="A9" s="19" t="str">
        <f aca="false">IF($B9="","",4)</f>
        <v/>
      </c>
      <c r="B9" s="11" t="str">
        <f aca="false">IFERROR(INDEX(원자재마스터!$A$3:$A$502,MATCH("R"&amp;4,규격검색!$N$6:$N$505,0)),"")</f>
        <v/>
      </c>
      <c r="C9" s="11" t="str">
        <f aca="false">IF($B9="","",IFERROR(INDEX(원자재마스터!$B$3:$B$502,MATCH("R"&amp;4,규격검색!$N$6:$N$505,0)),""))</f>
        <v/>
      </c>
      <c r="D9" s="19" t="str">
        <f aca="false">IF($B9="","",IFERROR(INDEX(원자재마스터!$C$3:$C$502,MATCH("R"&amp;4,규격검색!$N$6:$N$505,0)),""))</f>
        <v/>
      </c>
      <c r="E9" s="11" t="str">
        <f aca="false">IF($B9="","",IFERROR(INDEX(원자재마스터!$G$3:$G$502,MATCH("R"&amp;4,규격검색!$N$6:$N$505,0)),""))</f>
        <v/>
      </c>
      <c r="F9" s="13" t="str">
        <f aca="false">IF($B9="","",IFERROR(INDEX(원자재마스터!$I$3:$I$502,MATCH("R"&amp;4,규격검색!$N$6:$N$505,0)),""))</f>
        <v/>
      </c>
      <c r="G9" s="19" t="str">
        <f aca="false">IF($B9="","",IFERROR(INDEX(원자재마스터!$J$3:$J$502,MATCH("R"&amp;4,규격검색!$N$6:$N$505,0)),""))</f>
        <v/>
      </c>
      <c r="H9" s="20" t="str">
        <f aca="false">IF($B9="","",IFERROR(INDEX(원자재마스터!$K$3:$K$502,MATCH("R"&amp;4,규격검색!$N$6:$N$505,0)),""))</f>
        <v/>
      </c>
      <c r="I9" s="11" t="str">
        <f aca="false">IF($B9="","",IFERROR(INDEX(원자재마스터!$L$3:$L$502,MATCH("R"&amp;4,규격검색!$N$6:$N$505,0)),""))</f>
        <v/>
      </c>
      <c r="L9" s="21" t="b">
        <f aca="false">IF(원자재마스터!$A6="",FALSE(),AND(IF($B$3="",TRUE(),ISNUMBER(SEARCH($B$3,원자재마스터!$B6&amp;" "&amp;원자재마스터!$C6&amp;" "&amp;원자재마스터!$G6&amp;" "&amp;원자재마스터!$A6))),IF($E$3="",TRUE(),ISNUMBER(SEARCH($E$3,원자재마스터!$C6)))))</f>
        <v>0</v>
      </c>
      <c r="M9" s="5" t="str">
        <f aca="false">IF($L9=FALSE(),"",COUNTIF($L$6:$L9,TRUE()))</f>
        <v/>
      </c>
      <c r="N9" s="5" t="str">
        <f aca="false">IF($M9="","","R"&amp;$M9)</f>
        <v/>
      </c>
    </row>
    <row r="10" customFormat="false" ht="15" hidden="false" customHeight="true" outlineLevel="0" collapsed="false">
      <c r="A10" s="19" t="str">
        <f aca="false">IF($B10="","",5)</f>
        <v/>
      </c>
      <c r="B10" s="11" t="str">
        <f aca="false">IFERROR(INDEX(원자재마스터!$A$3:$A$502,MATCH("R"&amp;5,규격검색!$N$6:$N$505,0)),"")</f>
        <v/>
      </c>
      <c r="C10" s="11" t="str">
        <f aca="false">IF($B10="","",IFERROR(INDEX(원자재마스터!$B$3:$B$502,MATCH("R"&amp;5,규격검색!$N$6:$N$505,0)),""))</f>
        <v/>
      </c>
      <c r="D10" s="19" t="str">
        <f aca="false">IF($B10="","",IFERROR(INDEX(원자재마스터!$C$3:$C$502,MATCH("R"&amp;5,규격검색!$N$6:$N$505,0)),""))</f>
        <v/>
      </c>
      <c r="E10" s="11" t="str">
        <f aca="false">IF($B10="","",IFERROR(INDEX(원자재마스터!$G$3:$G$502,MATCH("R"&amp;5,규격검색!$N$6:$N$505,0)),""))</f>
        <v/>
      </c>
      <c r="F10" s="13" t="str">
        <f aca="false">IF($B10="","",IFERROR(INDEX(원자재마스터!$I$3:$I$502,MATCH("R"&amp;5,규격검색!$N$6:$N$505,0)),""))</f>
        <v/>
      </c>
      <c r="G10" s="19" t="str">
        <f aca="false">IF($B10="","",IFERROR(INDEX(원자재마스터!$J$3:$J$502,MATCH("R"&amp;5,규격검색!$N$6:$N$505,0)),""))</f>
        <v/>
      </c>
      <c r="H10" s="20" t="str">
        <f aca="false">IF($B10="","",IFERROR(INDEX(원자재마스터!$K$3:$K$502,MATCH("R"&amp;5,규격검색!$N$6:$N$505,0)),""))</f>
        <v/>
      </c>
      <c r="I10" s="11" t="str">
        <f aca="false">IF($B10="","",IFERROR(INDEX(원자재마스터!$L$3:$L$502,MATCH("R"&amp;5,규격검색!$N$6:$N$505,0)),""))</f>
        <v/>
      </c>
      <c r="L10" s="21" t="b">
        <f aca="false">IF(원자재마스터!$A7="",FALSE(),AND(IF($B$3="",TRUE(),ISNUMBER(SEARCH($B$3,원자재마스터!$B7&amp;" "&amp;원자재마스터!$C7&amp;" "&amp;원자재마스터!$G7&amp;" "&amp;원자재마스터!$A7))),IF($E$3="",TRUE(),ISNUMBER(SEARCH($E$3,원자재마스터!$C7)))))</f>
        <v>0</v>
      </c>
      <c r="M10" s="5" t="str">
        <f aca="false">IF($L10=FALSE(),"",COUNTIF($L$6:$L10,TRUE()))</f>
        <v/>
      </c>
      <c r="N10" s="5" t="str">
        <f aca="false">IF($M10="","","R"&amp;$M10)</f>
        <v/>
      </c>
    </row>
    <row r="11" customFormat="false" ht="15" hidden="false" customHeight="true" outlineLevel="0" collapsed="false">
      <c r="A11" s="19" t="str">
        <f aca="false">IF($B11="","",6)</f>
        <v/>
      </c>
      <c r="B11" s="11" t="str">
        <f aca="false">IFERROR(INDEX(원자재마스터!$A$3:$A$502,MATCH("R"&amp;6,규격검색!$N$6:$N$505,0)),"")</f>
        <v/>
      </c>
      <c r="C11" s="11" t="str">
        <f aca="false">IF($B11="","",IFERROR(INDEX(원자재마스터!$B$3:$B$502,MATCH("R"&amp;6,규격검색!$N$6:$N$505,0)),""))</f>
        <v/>
      </c>
      <c r="D11" s="19" t="str">
        <f aca="false">IF($B11="","",IFERROR(INDEX(원자재마스터!$C$3:$C$502,MATCH("R"&amp;6,규격검색!$N$6:$N$505,0)),""))</f>
        <v/>
      </c>
      <c r="E11" s="11" t="str">
        <f aca="false">IF($B11="","",IFERROR(INDEX(원자재마스터!$G$3:$G$502,MATCH("R"&amp;6,규격검색!$N$6:$N$505,0)),""))</f>
        <v/>
      </c>
      <c r="F11" s="13" t="str">
        <f aca="false">IF($B11="","",IFERROR(INDEX(원자재마스터!$I$3:$I$502,MATCH("R"&amp;6,규격검색!$N$6:$N$505,0)),""))</f>
        <v/>
      </c>
      <c r="G11" s="19" t="str">
        <f aca="false">IF($B11="","",IFERROR(INDEX(원자재마스터!$J$3:$J$502,MATCH("R"&amp;6,규격검색!$N$6:$N$505,0)),""))</f>
        <v/>
      </c>
      <c r="H11" s="20" t="str">
        <f aca="false">IF($B11="","",IFERROR(INDEX(원자재마스터!$K$3:$K$502,MATCH("R"&amp;6,규격검색!$N$6:$N$505,0)),""))</f>
        <v/>
      </c>
      <c r="I11" s="11" t="str">
        <f aca="false">IF($B11="","",IFERROR(INDEX(원자재마스터!$L$3:$L$502,MATCH("R"&amp;6,규격검색!$N$6:$N$505,0)),""))</f>
        <v/>
      </c>
      <c r="L11" s="21" t="b">
        <f aca="false">IF(원자재마스터!$A8="",FALSE(),AND(IF($B$3="",TRUE(),ISNUMBER(SEARCH($B$3,원자재마스터!$B8&amp;" "&amp;원자재마스터!$C8&amp;" "&amp;원자재마스터!$G8&amp;" "&amp;원자재마스터!$A8))),IF($E$3="",TRUE(),ISNUMBER(SEARCH($E$3,원자재마스터!$C8)))))</f>
        <v>0</v>
      </c>
      <c r="M11" s="5" t="str">
        <f aca="false">IF($L11=FALSE(),"",COUNTIF($L$6:$L11,TRUE()))</f>
        <v/>
      </c>
      <c r="N11" s="5" t="str">
        <f aca="false">IF($M11="","","R"&amp;$M11)</f>
        <v/>
      </c>
    </row>
    <row r="12" customFormat="false" ht="15" hidden="false" customHeight="true" outlineLevel="0" collapsed="false">
      <c r="A12" s="19" t="str">
        <f aca="false">IF($B12="","",7)</f>
        <v/>
      </c>
      <c r="B12" s="11" t="str">
        <f aca="false">IFERROR(INDEX(원자재마스터!$A$3:$A$502,MATCH("R"&amp;7,규격검색!$N$6:$N$505,0)),"")</f>
        <v/>
      </c>
      <c r="C12" s="11" t="str">
        <f aca="false">IF($B12="","",IFERROR(INDEX(원자재마스터!$B$3:$B$502,MATCH("R"&amp;7,규격검색!$N$6:$N$505,0)),""))</f>
        <v/>
      </c>
      <c r="D12" s="19" t="str">
        <f aca="false">IF($B12="","",IFERROR(INDEX(원자재마스터!$C$3:$C$502,MATCH("R"&amp;7,규격검색!$N$6:$N$505,0)),""))</f>
        <v/>
      </c>
      <c r="E12" s="11" t="str">
        <f aca="false">IF($B12="","",IFERROR(INDEX(원자재마스터!$G$3:$G$502,MATCH("R"&amp;7,규격검색!$N$6:$N$505,0)),""))</f>
        <v/>
      </c>
      <c r="F12" s="13" t="str">
        <f aca="false">IF($B12="","",IFERROR(INDEX(원자재마스터!$I$3:$I$502,MATCH("R"&amp;7,규격검색!$N$6:$N$505,0)),""))</f>
        <v/>
      </c>
      <c r="G12" s="19" t="str">
        <f aca="false">IF($B12="","",IFERROR(INDEX(원자재마스터!$J$3:$J$502,MATCH("R"&amp;7,규격검색!$N$6:$N$505,0)),""))</f>
        <v/>
      </c>
      <c r="H12" s="20" t="str">
        <f aca="false">IF($B12="","",IFERROR(INDEX(원자재마스터!$K$3:$K$502,MATCH("R"&amp;7,규격검색!$N$6:$N$505,0)),""))</f>
        <v/>
      </c>
      <c r="I12" s="11" t="str">
        <f aca="false">IF($B12="","",IFERROR(INDEX(원자재마스터!$L$3:$L$502,MATCH("R"&amp;7,규격검색!$N$6:$N$505,0)),""))</f>
        <v/>
      </c>
      <c r="L12" s="21" t="b">
        <f aca="false">IF(원자재마스터!$A9="",FALSE(),AND(IF($B$3="",TRUE(),ISNUMBER(SEARCH($B$3,원자재마스터!$B9&amp;" "&amp;원자재마스터!$C9&amp;" "&amp;원자재마스터!$G9&amp;" "&amp;원자재마스터!$A9))),IF($E$3="",TRUE(),ISNUMBER(SEARCH($E$3,원자재마스터!$C9)))))</f>
        <v>0</v>
      </c>
      <c r="M12" s="5" t="str">
        <f aca="false">IF($L12=FALSE(),"",COUNTIF($L$6:$L12,TRUE()))</f>
        <v/>
      </c>
      <c r="N12" s="5" t="str">
        <f aca="false">IF($M12="","","R"&amp;$M12)</f>
        <v/>
      </c>
    </row>
    <row r="13" customFormat="false" ht="15" hidden="false" customHeight="true" outlineLevel="0" collapsed="false">
      <c r="A13" s="19" t="str">
        <f aca="false">IF($B13="","",8)</f>
        <v/>
      </c>
      <c r="B13" s="11" t="str">
        <f aca="false">IFERROR(INDEX(원자재마스터!$A$3:$A$502,MATCH("R"&amp;8,규격검색!$N$6:$N$505,0)),"")</f>
        <v/>
      </c>
      <c r="C13" s="11" t="str">
        <f aca="false">IF($B13="","",IFERROR(INDEX(원자재마스터!$B$3:$B$502,MATCH("R"&amp;8,규격검색!$N$6:$N$505,0)),""))</f>
        <v/>
      </c>
      <c r="D13" s="19" t="str">
        <f aca="false">IF($B13="","",IFERROR(INDEX(원자재마스터!$C$3:$C$502,MATCH("R"&amp;8,규격검색!$N$6:$N$505,0)),""))</f>
        <v/>
      </c>
      <c r="E13" s="11" t="str">
        <f aca="false">IF($B13="","",IFERROR(INDEX(원자재마스터!$G$3:$G$502,MATCH("R"&amp;8,규격검색!$N$6:$N$505,0)),""))</f>
        <v/>
      </c>
      <c r="F13" s="13" t="str">
        <f aca="false">IF($B13="","",IFERROR(INDEX(원자재마스터!$I$3:$I$502,MATCH("R"&amp;8,규격검색!$N$6:$N$505,0)),""))</f>
        <v/>
      </c>
      <c r="G13" s="19" t="str">
        <f aca="false">IF($B13="","",IFERROR(INDEX(원자재마스터!$J$3:$J$502,MATCH("R"&amp;8,규격검색!$N$6:$N$505,0)),""))</f>
        <v/>
      </c>
      <c r="H13" s="20" t="str">
        <f aca="false">IF($B13="","",IFERROR(INDEX(원자재마스터!$K$3:$K$502,MATCH("R"&amp;8,규격검색!$N$6:$N$505,0)),""))</f>
        <v/>
      </c>
      <c r="I13" s="11" t="str">
        <f aca="false">IF($B13="","",IFERROR(INDEX(원자재마스터!$L$3:$L$502,MATCH("R"&amp;8,규격검색!$N$6:$N$505,0)),""))</f>
        <v/>
      </c>
      <c r="L13" s="21" t="b">
        <f aca="false">IF(원자재마스터!$A10="",FALSE(),AND(IF($B$3="",TRUE(),ISNUMBER(SEARCH($B$3,원자재마스터!$B10&amp;" "&amp;원자재마스터!$C10&amp;" "&amp;원자재마스터!$G10&amp;" "&amp;원자재마스터!$A10))),IF($E$3="",TRUE(),ISNUMBER(SEARCH($E$3,원자재마스터!$C10)))))</f>
        <v>0</v>
      </c>
      <c r="M13" s="5" t="str">
        <f aca="false">IF($L13=FALSE(),"",COUNTIF($L$6:$L13,TRUE()))</f>
        <v/>
      </c>
      <c r="N13" s="5" t="str">
        <f aca="false">IF($M13="","","R"&amp;$M13)</f>
        <v/>
      </c>
    </row>
    <row r="14" customFormat="false" ht="15" hidden="false" customHeight="true" outlineLevel="0" collapsed="false">
      <c r="A14" s="19" t="str">
        <f aca="false">IF($B14="","",9)</f>
        <v/>
      </c>
      <c r="B14" s="11" t="str">
        <f aca="false">IFERROR(INDEX(원자재마스터!$A$3:$A$502,MATCH("R"&amp;9,규격검색!$N$6:$N$505,0)),"")</f>
        <v/>
      </c>
      <c r="C14" s="11" t="str">
        <f aca="false">IF($B14="","",IFERROR(INDEX(원자재마스터!$B$3:$B$502,MATCH("R"&amp;9,규격검색!$N$6:$N$505,0)),""))</f>
        <v/>
      </c>
      <c r="D14" s="19" t="str">
        <f aca="false">IF($B14="","",IFERROR(INDEX(원자재마스터!$C$3:$C$502,MATCH("R"&amp;9,규격검색!$N$6:$N$505,0)),""))</f>
        <v/>
      </c>
      <c r="E14" s="11" t="str">
        <f aca="false">IF($B14="","",IFERROR(INDEX(원자재마스터!$G$3:$G$502,MATCH("R"&amp;9,규격검색!$N$6:$N$505,0)),""))</f>
        <v/>
      </c>
      <c r="F14" s="13" t="str">
        <f aca="false">IF($B14="","",IFERROR(INDEX(원자재마스터!$I$3:$I$502,MATCH("R"&amp;9,규격검색!$N$6:$N$505,0)),""))</f>
        <v/>
      </c>
      <c r="G14" s="19" t="str">
        <f aca="false">IF($B14="","",IFERROR(INDEX(원자재마스터!$J$3:$J$502,MATCH("R"&amp;9,규격검색!$N$6:$N$505,0)),""))</f>
        <v/>
      </c>
      <c r="H14" s="20" t="str">
        <f aca="false">IF($B14="","",IFERROR(INDEX(원자재마스터!$K$3:$K$502,MATCH("R"&amp;9,규격검색!$N$6:$N$505,0)),""))</f>
        <v/>
      </c>
      <c r="I14" s="11" t="str">
        <f aca="false">IF($B14="","",IFERROR(INDEX(원자재마스터!$L$3:$L$502,MATCH("R"&amp;9,규격검색!$N$6:$N$505,0)),""))</f>
        <v/>
      </c>
      <c r="L14" s="21" t="b">
        <f aca="false">IF(원자재마스터!$A11="",FALSE(),AND(IF($B$3="",TRUE(),ISNUMBER(SEARCH($B$3,원자재마스터!$B11&amp;" "&amp;원자재마스터!$C11&amp;" "&amp;원자재마스터!$G11&amp;" "&amp;원자재마스터!$A11))),IF($E$3="",TRUE(),ISNUMBER(SEARCH($E$3,원자재마스터!$C11)))))</f>
        <v>0</v>
      </c>
      <c r="M14" s="5" t="str">
        <f aca="false">IF($L14=FALSE(),"",COUNTIF($L$6:$L14,TRUE()))</f>
        <v/>
      </c>
      <c r="N14" s="5" t="str">
        <f aca="false">IF($M14="","","R"&amp;$M14)</f>
        <v/>
      </c>
    </row>
    <row r="15" customFormat="false" ht="15" hidden="false" customHeight="true" outlineLevel="0" collapsed="false">
      <c r="A15" s="19" t="str">
        <f aca="false">IF($B15="","",10)</f>
        <v/>
      </c>
      <c r="B15" s="11" t="str">
        <f aca="false">IFERROR(INDEX(원자재마스터!$A$3:$A$502,MATCH("R"&amp;10,규격검색!$N$6:$N$505,0)),"")</f>
        <v/>
      </c>
      <c r="C15" s="11" t="str">
        <f aca="false">IF($B15="","",IFERROR(INDEX(원자재마스터!$B$3:$B$502,MATCH("R"&amp;10,규격검색!$N$6:$N$505,0)),""))</f>
        <v/>
      </c>
      <c r="D15" s="19" t="str">
        <f aca="false">IF($B15="","",IFERROR(INDEX(원자재마스터!$C$3:$C$502,MATCH("R"&amp;10,규격검색!$N$6:$N$505,0)),""))</f>
        <v/>
      </c>
      <c r="E15" s="11" t="str">
        <f aca="false">IF($B15="","",IFERROR(INDEX(원자재마스터!$G$3:$G$502,MATCH("R"&amp;10,규격검색!$N$6:$N$505,0)),""))</f>
        <v/>
      </c>
      <c r="F15" s="13" t="str">
        <f aca="false">IF($B15="","",IFERROR(INDEX(원자재마스터!$I$3:$I$502,MATCH("R"&amp;10,규격검색!$N$6:$N$505,0)),""))</f>
        <v/>
      </c>
      <c r="G15" s="19" t="str">
        <f aca="false">IF($B15="","",IFERROR(INDEX(원자재마스터!$J$3:$J$502,MATCH("R"&amp;10,규격검색!$N$6:$N$505,0)),""))</f>
        <v/>
      </c>
      <c r="H15" s="20" t="str">
        <f aca="false">IF($B15="","",IFERROR(INDEX(원자재마스터!$K$3:$K$502,MATCH("R"&amp;10,규격검색!$N$6:$N$505,0)),""))</f>
        <v/>
      </c>
      <c r="I15" s="11" t="str">
        <f aca="false">IF($B15="","",IFERROR(INDEX(원자재마스터!$L$3:$L$502,MATCH("R"&amp;10,규격검색!$N$6:$N$505,0)),""))</f>
        <v/>
      </c>
      <c r="L15" s="21" t="b">
        <f aca="false">IF(원자재마스터!$A12="",FALSE(),AND(IF($B$3="",TRUE(),ISNUMBER(SEARCH($B$3,원자재마스터!$B12&amp;" "&amp;원자재마스터!$C12&amp;" "&amp;원자재마스터!$G12&amp;" "&amp;원자재마스터!$A12))),IF($E$3="",TRUE(),ISNUMBER(SEARCH($E$3,원자재마스터!$C12)))))</f>
        <v>0</v>
      </c>
      <c r="M15" s="5" t="str">
        <f aca="false">IF($L15=FALSE(),"",COUNTIF($L$6:$L15,TRUE()))</f>
        <v/>
      </c>
      <c r="N15" s="5" t="str">
        <f aca="false">IF($M15="","","R"&amp;$M15)</f>
        <v/>
      </c>
    </row>
    <row r="16" customFormat="false" ht="15" hidden="false" customHeight="true" outlineLevel="0" collapsed="false">
      <c r="A16" s="19" t="str">
        <f aca="false">IF($B16="","",11)</f>
        <v/>
      </c>
      <c r="B16" s="11" t="str">
        <f aca="false">IFERROR(INDEX(원자재마스터!$A$3:$A$502,MATCH("R"&amp;11,규격검색!$N$6:$N$505,0)),"")</f>
        <v/>
      </c>
      <c r="C16" s="11" t="str">
        <f aca="false">IF($B16="","",IFERROR(INDEX(원자재마스터!$B$3:$B$502,MATCH("R"&amp;11,규격검색!$N$6:$N$505,0)),""))</f>
        <v/>
      </c>
      <c r="D16" s="19" t="str">
        <f aca="false">IF($B16="","",IFERROR(INDEX(원자재마스터!$C$3:$C$502,MATCH("R"&amp;11,규격검색!$N$6:$N$505,0)),""))</f>
        <v/>
      </c>
      <c r="E16" s="11" t="str">
        <f aca="false">IF($B16="","",IFERROR(INDEX(원자재마스터!$G$3:$G$502,MATCH("R"&amp;11,규격검색!$N$6:$N$505,0)),""))</f>
        <v/>
      </c>
      <c r="F16" s="13" t="str">
        <f aca="false">IF($B16="","",IFERROR(INDEX(원자재마스터!$I$3:$I$502,MATCH("R"&amp;11,규격검색!$N$6:$N$505,0)),""))</f>
        <v/>
      </c>
      <c r="G16" s="19" t="str">
        <f aca="false">IF($B16="","",IFERROR(INDEX(원자재마스터!$J$3:$J$502,MATCH("R"&amp;11,규격검색!$N$6:$N$505,0)),""))</f>
        <v/>
      </c>
      <c r="H16" s="20" t="str">
        <f aca="false">IF($B16="","",IFERROR(INDEX(원자재마스터!$K$3:$K$502,MATCH("R"&amp;11,규격검색!$N$6:$N$505,0)),""))</f>
        <v/>
      </c>
      <c r="I16" s="11" t="str">
        <f aca="false">IF($B16="","",IFERROR(INDEX(원자재마스터!$L$3:$L$502,MATCH("R"&amp;11,규격검색!$N$6:$N$505,0)),""))</f>
        <v/>
      </c>
      <c r="L16" s="21" t="b">
        <f aca="false">IF(원자재마스터!$A13="",FALSE(),AND(IF($B$3="",TRUE(),ISNUMBER(SEARCH($B$3,원자재마스터!$B13&amp;" "&amp;원자재마스터!$C13&amp;" "&amp;원자재마스터!$G13&amp;" "&amp;원자재마스터!$A13))),IF($E$3="",TRUE(),ISNUMBER(SEARCH($E$3,원자재마스터!$C13)))))</f>
        <v>0</v>
      </c>
      <c r="M16" s="5" t="str">
        <f aca="false">IF($L16=FALSE(),"",COUNTIF($L$6:$L16,TRUE()))</f>
        <v/>
      </c>
      <c r="N16" s="5" t="str">
        <f aca="false">IF($M16="","","R"&amp;$M16)</f>
        <v/>
      </c>
    </row>
    <row r="17" customFormat="false" ht="15" hidden="false" customHeight="true" outlineLevel="0" collapsed="false">
      <c r="A17" s="19" t="str">
        <f aca="false">IF($B17="","",12)</f>
        <v/>
      </c>
      <c r="B17" s="11" t="str">
        <f aca="false">IFERROR(INDEX(원자재마스터!$A$3:$A$502,MATCH("R"&amp;12,규격검색!$N$6:$N$505,0)),"")</f>
        <v/>
      </c>
      <c r="C17" s="11" t="str">
        <f aca="false">IF($B17="","",IFERROR(INDEX(원자재마스터!$B$3:$B$502,MATCH("R"&amp;12,규격검색!$N$6:$N$505,0)),""))</f>
        <v/>
      </c>
      <c r="D17" s="19" t="str">
        <f aca="false">IF($B17="","",IFERROR(INDEX(원자재마스터!$C$3:$C$502,MATCH("R"&amp;12,규격검색!$N$6:$N$505,0)),""))</f>
        <v/>
      </c>
      <c r="E17" s="11" t="str">
        <f aca="false">IF($B17="","",IFERROR(INDEX(원자재마스터!$G$3:$G$502,MATCH("R"&amp;12,규격검색!$N$6:$N$505,0)),""))</f>
        <v/>
      </c>
      <c r="F17" s="13" t="str">
        <f aca="false">IF($B17="","",IFERROR(INDEX(원자재마스터!$I$3:$I$502,MATCH("R"&amp;12,규격검색!$N$6:$N$505,0)),""))</f>
        <v/>
      </c>
      <c r="G17" s="19" t="str">
        <f aca="false">IF($B17="","",IFERROR(INDEX(원자재마스터!$J$3:$J$502,MATCH("R"&amp;12,규격검색!$N$6:$N$505,0)),""))</f>
        <v/>
      </c>
      <c r="H17" s="20" t="str">
        <f aca="false">IF($B17="","",IFERROR(INDEX(원자재마스터!$K$3:$K$502,MATCH("R"&amp;12,규격검색!$N$6:$N$505,0)),""))</f>
        <v/>
      </c>
      <c r="I17" s="11" t="str">
        <f aca="false">IF($B17="","",IFERROR(INDEX(원자재마스터!$L$3:$L$502,MATCH("R"&amp;12,규격검색!$N$6:$N$505,0)),""))</f>
        <v/>
      </c>
      <c r="L17" s="21" t="b">
        <f aca="false">IF(원자재마스터!$A14="",FALSE(),AND(IF($B$3="",TRUE(),ISNUMBER(SEARCH($B$3,원자재마스터!$B14&amp;" "&amp;원자재마스터!$C14&amp;" "&amp;원자재마스터!$G14&amp;" "&amp;원자재마스터!$A14))),IF($E$3="",TRUE(),ISNUMBER(SEARCH($E$3,원자재마스터!$C14)))))</f>
        <v>0</v>
      </c>
      <c r="M17" s="5" t="str">
        <f aca="false">IF($L17=FALSE(),"",COUNTIF($L$6:$L17,TRUE()))</f>
        <v/>
      </c>
      <c r="N17" s="5" t="str">
        <f aca="false">IF($M17="","","R"&amp;$M17)</f>
        <v/>
      </c>
    </row>
    <row r="18" customFormat="false" ht="15" hidden="false" customHeight="true" outlineLevel="0" collapsed="false">
      <c r="A18" s="19" t="str">
        <f aca="false">IF($B18="","",13)</f>
        <v/>
      </c>
      <c r="B18" s="11" t="str">
        <f aca="false">IFERROR(INDEX(원자재마스터!$A$3:$A$502,MATCH("R"&amp;13,규격검색!$N$6:$N$505,0)),"")</f>
        <v/>
      </c>
      <c r="C18" s="11" t="str">
        <f aca="false">IF($B18="","",IFERROR(INDEX(원자재마스터!$B$3:$B$502,MATCH("R"&amp;13,규격검색!$N$6:$N$505,0)),""))</f>
        <v/>
      </c>
      <c r="D18" s="19" t="str">
        <f aca="false">IF($B18="","",IFERROR(INDEX(원자재마스터!$C$3:$C$502,MATCH("R"&amp;13,규격검색!$N$6:$N$505,0)),""))</f>
        <v/>
      </c>
      <c r="E18" s="11" t="str">
        <f aca="false">IF($B18="","",IFERROR(INDEX(원자재마스터!$G$3:$G$502,MATCH("R"&amp;13,규격검색!$N$6:$N$505,0)),""))</f>
        <v/>
      </c>
      <c r="F18" s="13" t="str">
        <f aca="false">IF($B18="","",IFERROR(INDEX(원자재마스터!$I$3:$I$502,MATCH("R"&amp;13,규격검색!$N$6:$N$505,0)),""))</f>
        <v/>
      </c>
      <c r="G18" s="19" t="str">
        <f aca="false">IF($B18="","",IFERROR(INDEX(원자재마스터!$J$3:$J$502,MATCH("R"&amp;13,규격검색!$N$6:$N$505,0)),""))</f>
        <v/>
      </c>
      <c r="H18" s="20" t="str">
        <f aca="false">IF($B18="","",IFERROR(INDEX(원자재마스터!$K$3:$K$502,MATCH("R"&amp;13,규격검색!$N$6:$N$505,0)),""))</f>
        <v/>
      </c>
      <c r="I18" s="11" t="str">
        <f aca="false">IF($B18="","",IFERROR(INDEX(원자재마스터!$L$3:$L$502,MATCH("R"&amp;13,규격검색!$N$6:$N$505,0)),""))</f>
        <v/>
      </c>
      <c r="L18" s="21" t="b">
        <f aca="false">IF(원자재마스터!$A15="",FALSE(),AND(IF($B$3="",TRUE(),ISNUMBER(SEARCH($B$3,원자재마스터!$B15&amp;" "&amp;원자재마스터!$C15&amp;" "&amp;원자재마스터!$G15&amp;" "&amp;원자재마스터!$A15))),IF($E$3="",TRUE(),ISNUMBER(SEARCH($E$3,원자재마스터!$C15)))))</f>
        <v>0</v>
      </c>
      <c r="M18" s="5" t="str">
        <f aca="false">IF($L18=FALSE(),"",COUNTIF($L$6:$L18,TRUE()))</f>
        <v/>
      </c>
      <c r="N18" s="5" t="str">
        <f aca="false">IF($M18="","","R"&amp;$M18)</f>
        <v/>
      </c>
    </row>
    <row r="19" customFormat="false" ht="15" hidden="false" customHeight="true" outlineLevel="0" collapsed="false">
      <c r="A19" s="19" t="str">
        <f aca="false">IF($B19="","",14)</f>
        <v/>
      </c>
      <c r="B19" s="11" t="str">
        <f aca="false">IFERROR(INDEX(원자재마스터!$A$3:$A$502,MATCH("R"&amp;14,규격검색!$N$6:$N$505,0)),"")</f>
        <v/>
      </c>
      <c r="C19" s="11" t="str">
        <f aca="false">IF($B19="","",IFERROR(INDEX(원자재마스터!$B$3:$B$502,MATCH("R"&amp;14,규격검색!$N$6:$N$505,0)),""))</f>
        <v/>
      </c>
      <c r="D19" s="19" t="str">
        <f aca="false">IF($B19="","",IFERROR(INDEX(원자재마스터!$C$3:$C$502,MATCH("R"&amp;14,규격검색!$N$6:$N$505,0)),""))</f>
        <v/>
      </c>
      <c r="E19" s="11" t="str">
        <f aca="false">IF($B19="","",IFERROR(INDEX(원자재마스터!$G$3:$G$502,MATCH("R"&amp;14,규격검색!$N$6:$N$505,0)),""))</f>
        <v/>
      </c>
      <c r="F19" s="13" t="str">
        <f aca="false">IF($B19="","",IFERROR(INDEX(원자재마스터!$I$3:$I$502,MATCH("R"&amp;14,규격검색!$N$6:$N$505,0)),""))</f>
        <v/>
      </c>
      <c r="G19" s="19" t="str">
        <f aca="false">IF($B19="","",IFERROR(INDEX(원자재마스터!$J$3:$J$502,MATCH("R"&amp;14,규격검색!$N$6:$N$505,0)),""))</f>
        <v/>
      </c>
      <c r="H19" s="20" t="str">
        <f aca="false">IF($B19="","",IFERROR(INDEX(원자재마스터!$K$3:$K$502,MATCH("R"&amp;14,규격검색!$N$6:$N$505,0)),""))</f>
        <v/>
      </c>
      <c r="I19" s="11" t="str">
        <f aca="false">IF($B19="","",IFERROR(INDEX(원자재마스터!$L$3:$L$502,MATCH("R"&amp;14,규격검색!$N$6:$N$505,0)),""))</f>
        <v/>
      </c>
      <c r="L19" s="21" t="b">
        <f aca="false">IF(원자재마스터!$A16="",FALSE(),AND(IF($B$3="",TRUE(),ISNUMBER(SEARCH($B$3,원자재마스터!$B16&amp;" "&amp;원자재마스터!$C16&amp;" "&amp;원자재마스터!$G16&amp;" "&amp;원자재마스터!$A16))),IF($E$3="",TRUE(),ISNUMBER(SEARCH($E$3,원자재마스터!$C16)))))</f>
        <v>0</v>
      </c>
      <c r="M19" s="5" t="str">
        <f aca="false">IF($L19=FALSE(),"",COUNTIF($L$6:$L19,TRUE()))</f>
        <v/>
      </c>
      <c r="N19" s="5" t="str">
        <f aca="false">IF($M19="","","R"&amp;$M19)</f>
        <v/>
      </c>
    </row>
    <row r="20" customFormat="false" ht="15" hidden="false" customHeight="true" outlineLevel="0" collapsed="false">
      <c r="A20" s="19" t="str">
        <f aca="false">IF($B20="","",15)</f>
        <v/>
      </c>
      <c r="B20" s="11" t="str">
        <f aca="false">IFERROR(INDEX(원자재마스터!$A$3:$A$502,MATCH("R"&amp;15,규격검색!$N$6:$N$505,0)),"")</f>
        <v/>
      </c>
      <c r="C20" s="11" t="str">
        <f aca="false">IF($B20="","",IFERROR(INDEX(원자재마스터!$B$3:$B$502,MATCH("R"&amp;15,규격검색!$N$6:$N$505,0)),""))</f>
        <v/>
      </c>
      <c r="D20" s="19" t="str">
        <f aca="false">IF($B20="","",IFERROR(INDEX(원자재마스터!$C$3:$C$502,MATCH("R"&amp;15,규격검색!$N$6:$N$505,0)),""))</f>
        <v/>
      </c>
      <c r="E20" s="11" t="str">
        <f aca="false">IF($B20="","",IFERROR(INDEX(원자재마스터!$G$3:$G$502,MATCH("R"&amp;15,규격검색!$N$6:$N$505,0)),""))</f>
        <v/>
      </c>
      <c r="F20" s="13" t="str">
        <f aca="false">IF($B20="","",IFERROR(INDEX(원자재마스터!$I$3:$I$502,MATCH("R"&amp;15,규격검색!$N$6:$N$505,0)),""))</f>
        <v/>
      </c>
      <c r="G20" s="19" t="str">
        <f aca="false">IF($B20="","",IFERROR(INDEX(원자재마스터!$J$3:$J$502,MATCH("R"&amp;15,규격검색!$N$6:$N$505,0)),""))</f>
        <v/>
      </c>
      <c r="H20" s="20" t="str">
        <f aca="false">IF($B20="","",IFERROR(INDEX(원자재마스터!$K$3:$K$502,MATCH("R"&amp;15,규격검색!$N$6:$N$505,0)),""))</f>
        <v/>
      </c>
      <c r="I20" s="11" t="str">
        <f aca="false">IF($B20="","",IFERROR(INDEX(원자재마스터!$L$3:$L$502,MATCH("R"&amp;15,규격검색!$N$6:$N$505,0)),""))</f>
        <v/>
      </c>
      <c r="L20" s="21" t="b">
        <f aca="false">IF(원자재마스터!$A17="",FALSE(),AND(IF($B$3="",TRUE(),ISNUMBER(SEARCH($B$3,원자재마스터!$B17&amp;" "&amp;원자재마스터!$C17&amp;" "&amp;원자재마스터!$G17&amp;" "&amp;원자재마스터!$A17))),IF($E$3="",TRUE(),ISNUMBER(SEARCH($E$3,원자재마스터!$C17)))))</f>
        <v>0</v>
      </c>
      <c r="M20" s="5" t="str">
        <f aca="false">IF($L20=FALSE(),"",COUNTIF($L$6:$L20,TRUE()))</f>
        <v/>
      </c>
      <c r="N20" s="5" t="str">
        <f aca="false">IF($M20="","","R"&amp;$M20)</f>
        <v/>
      </c>
    </row>
    <row r="21" customFormat="false" ht="15" hidden="false" customHeight="true" outlineLevel="0" collapsed="false">
      <c r="A21" s="19" t="str">
        <f aca="false">IF($B21="","",16)</f>
        <v/>
      </c>
      <c r="B21" s="11" t="str">
        <f aca="false">IFERROR(INDEX(원자재마스터!$A$3:$A$502,MATCH("R"&amp;16,규격검색!$N$6:$N$505,0)),"")</f>
        <v/>
      </c>
      <c r="C21" s="11" t="str">
        <f aca="false">IF($B21="","",IFERROR(INDEX(원자재마스터!$B$3:$B$502,MATCH("R"&amp;16,규격검색!$N$6:$N$505,0)),""))</f>
        <v/>
      </c>
      <c r="D21" s="19" t="str">
        <f aca="false">IF($B21="","",IFERROR(INDEX(원자재마스터!$C$3:$C$502,MATCH("R"&amp;16,규격검색!$N$6:$N$505,0)),""))</f>
        <v/>
      </c>
      <c r="E21" s="11" t="str">
        <f aca="false">IF($B21="","",IFERROR(INDEX(원자재마스터!$G$3:$G$502,MATCH("R"&amp;16,규격검색!$N$6:$N$505,0)),""))</f>
        <v/>
      </c>
      <c r="F21" s="13" t="str">
        <f aca="false">IF($B21="","",IFERROR(INDEX(원자재마스터!$I$3:$I$502,MATCH("R"&amp;16,규격검색!$N$6:$N$505,0)),""))</f>
        <v/>
      </c>
      <c r="G21" s="19" t="str">
        <f aca="false">IF($B21="","",IFERROR(INDEX(원자재마스터!$J$3:$J$502,MATCH("R"&amp;16,규격검색!$N$6:$N$505,0)),""))</f>
        <v/>
      </c>
      <c r="H21" s="20" t="str">
        <f aca="false">IF($B21="","",IFERROR(INDEX(원자재마스터!$K$3:$K$502,MATCH("R"&amp;16,규격검색!$N$6:$N$505,0)),""))</f>
        <v/>
      </c>
      <c r="I21" s="11" t="str">
        <f aca="false">IF($B21="","",IFERROR(INDEX(원자재마스터!$L$3:$L$502,MATCH("R"&amp;16,규격검색!$N$6:$N$505,0)),""))</f>
        <v/>
      </c>
      <c r="L21" s="21" t="b">
        <f aca="false">IF(원자재마스터!$A18="",FALSE(),AND(IF($B$3="",TRUE(),ISNUMBER(SEARCH($B$3,원자재마스터!$B18&amp;" "&amp;원자재마스터!$C18&amp;" "&amp;원자재마스터!$G18&amp;" "&amp;원자재마스터!$A18))),IF($E$3="",TRUE(),ISNUMBER(SEARCH($E$3,원자재마스터!$C18)))))</f>
        <v>0</v>
      </c>
      <c r="M21" s="5" t="str">
        <f aca="false">IF($L21=FALSE(),"",COUNTIF($L$6:$L21,TRUE()))</f>
        <v/>
      </c>
      <c r="N21" s="5" t="str">
        <f aca="false">IF($M21="","","R"&amp;$M21)</f>
        <v/>
      </c>
    </row>
    <row r="22" customFormat="false" ht="15" hidden="false" customHeight="true" outlineLevel="0" collapsed="false">
      <c r="A22" s="19" t="str">
        <f aca="false">IF($B22="","",17)</f>
        <v/>
      </c>
      <c r="B22" s="11" t="str">
        <f aca="false">IFERROR(INDEX(원자재마스터!$A$3:$A$502,MATCH("R"&amp;17,규격검색!$N$6:$N$505,0)),"")</f>
        <v/>
      </c>
      <c r="C22" s="11" t="str">
        <f aca="false">IF($B22="","",IFERROR(INDEX(원자재마스터!$B$3:$B$502,MATCH("R"&amp;17,규격검색!$N$6:$N$505,0)),""))</f>
        <v/>
      </c>
      <c r="D22" s="19" t="str">
        <f aca="false">IF($B22="","",IFERROR(INDEX(원자재마스터!$C$3:$C$502,MATCH("R"&amp;17,규격검색!$N$6:$N$505,0)),""))</f>
        <v/>
      </c>
      <c r="E22" s="11" t="str">
        <f aca="false">IF($B22="","",IFERROR(INDEX(원자재마스터!$G$3:$G$502,MATCH("R"&amp;17,규격검색!$N$6:$N$505,0)),""))</f>
        <v/>
      </c>
      <c r="F22" s="13" t="str">
        <f aca="false">IF($B22="","",IFERROR(INDEX(원자재마스터!$I$3:$I$502,MATCH("R"&amp;17,규격검색!$N$6:$N$505,0)),""))</f>
        <v/>
      </c>
      <c r="G22" s="19" t="str">
        <f aca="false">IF($B22="","",IFERROR(INDEX(원자재마스터!$J$3:$J$502,MATCH("R"&amp;17,규격검색!$N$6:$N$505,0)),""))</f>
        <v/>
      </c>
      <c r="H22" s="20" t="str">
        <f aca="false">IF($B22="","",IFERROR(INDEX(원자재마스터!$K$3:$K$502,MATCH("R"&amp;17,규격검색!$N$6:$N$505,0)),""))</f>
        <v/>
      </c>
      <c r="I22" s="11" t="str">
        <f aca="false">IF($B22="","",IFERROR(INDEX(원자재마스터!$L$3:$L$502,MATCH("R"&amp;17,규격검색!$N$6:$N$505,0)),""))</f>
        <v/>
      </c>
      <c r="L22" s="21" t="b">
        <f aca="false">IF(원자재마스터!$A19="",FALSE(),AND(IF($B$3="",TRUE(),ISNUMBER(SEARCH($B$3,원자재마스터!$B19&amp;" "&amp;원자재마스터!$C19&amp;" "&amp;원자재마스터!$G19&amp;" "&amp;원자재마스터!$A19))),IF($E$3="",TRUE(),ISNUMBER(SEARCH($E$3,원자재마스터!$C19)))))</f>
        <v>0</v>
      </c>
      <c r="M22" s="5" t="str">
        <f aca="false">IF($L22=FALSE(),"",COUNTIF($L$6:$L22,TRUE()))</f>
        <v/>
      </c>
      <c r="N22" s="5" t="str">
        <f aca="false">IF($M22="","","R"&amp;$M22)</f>
        <v/>
      </c>
    </row>
    <row r="23" customFormat="false" ht="15" hidden="false" customHeight="true" outlineLevel="0" collapsed="false">
      <c r="A23" s="19" t="str">
        <f aca="false">IF($B23="","",18)</f>
        <v/>
      </c>
      <c r="B23" s="11" t="str">
        <f aca="false">IFERROR(INDEX(원자재마스터!$A$3:$A$502,MATCH("R"&amp;18,규격검색!$N$6:$N$505,0)),"")</f>
        <v/>
      </c>
      <c r="C23" s="11" t="str">
        <f aca="false">IF($B23="","",IFERROR(INDEX(원자재마스터!$B$3:$B$502,MATCH("R"&amp;18,규격검색!$N$6:$N$505,0)),""))</f>
        <v/>
      </c>
      <c r="D23" s="19" t="str">
        <f aca="false">IF($B23="","",IFERROR(INDEX(원자재마스터!$C$3:$C$502,MATCH("R"&amp;18,규격검색!$N$6:$N$505,0)),""))</f>
        <v/>
      </c>
      <c r="E23" s="11" t="str">
        <f aca="false">IF($B23="","",IFERROR(INDEX(원자재마스터!$G$3:$G$502,MATCH("R"&amp;18,규격검색!$N$6:$N$505,0)),""))</f>
        <v/>
      </c>
      <c r="F23" s="13" t="str">
        <f aca="false">IF($B23="","",IFERROR(INDEX(원자재마스터!$I$3:$I$502,MATCH("R"&amp;18,규격검색!$N$6:$N$505,0)),""))</f>
        <v/>
      </c>
      <c r="G23" s="19" t="str">
        <f aca="false">IF($B23="","",IFERROR(INDEX(원자재마스터!$J$3:$J$502,MATCH("R"&amp;18,규격검색!$N$6:$N$505,0)),""))</f>
        <v/>
      </c>
      <c r="H23" s="20" t="str">
        <f aca="false">IF($B23="","",IFERROR(INDEX(원자재마스터!$K$3:$K$502,MATCH("R"&amp;18,규격검색!$N$6:$N$505,0)),""))</f>
        <v/>
      </c>
      <c r="I23" s="11" t="str">
        <f aca="false">IF($B23="","",IFERROR(INDEX(원자재마스터!$L$3:$L$502,MATCH("R"&amp;18,규격검색!$N$6:$N$505,0)),""))</f>
        <v/>
      </c>
      <c r="L23" s="21" t="b">
        <f aca="false">IF(원자재마스터!$A20="",FALSE(),AND(IF($B$3="",TRUE(),ISNUMBER(SEARCH($B$3,원자재마스터!$B20&amp;" "&amp;원자재마스터!$C20&amp;" "&amp;원자재마스터!$G20&amp;" "&amp;원자재마스터!$A20))),IF($E$3="",TRUE(),ISNUMBER(SEARCH($E$3,원자재마스터!$C20)))))</f>
        <v>0</v>
      </c>
      <c r="M23" s="5" t="str">
        <f aca="false">IF($L23=FALSE(),"",COUNTIF($L$6:$L23,TRUE()))</f>
        <v/>
      </c>
      <c r="N23" s="5" t="str">
        <f aca="false">IF($M23="","","R"&amp;$M23)</f>
        <v/>
      </c>
    </row>
    <row r="24" customFormat="false" ht="15" hidden="false" customHeight="true" outlineLevel="0" collapsed="false">
      <c r="A24" s="19" t="str">
        <f aca="false">IF($B24="","",19)</f>
        <v/>
      </c>
      <c r="B24" s="11" t="str">
        <f aca="false">IFERROR(INDEX(원자재마스터!$A$3:$A$502,MATCH("R"&amp;19,규격검색!$N$6:$N$505,0)),"")</f>
        <v/>
      </c>
      <c r="C24" s="11" t="str">
        <f aca="false">IF($B24="","",IFERROR(INDEX(원자재마스터!$B$3:$B$502,MATCH("R"&amp;19,규격검색!$N$6:$N$505,0)),""))</f>
        <v/>
      </c>
      <c r="D24" s="19" t="str">
        <f aca="false">IF($B24="","",IFERROR(INDEX(원자재마스터!$C$3:$C$502,MATCH("R"&amp;19,규격검색!$N$6:$N$505,0)),""))</f>
        <v/>
      </c>
      <c r="E24" s="11" t="str">
        <f aca="false">IF($B24="","",IFERROR(INDEX(원자재마스터!$G$3:$G$502,MATCH("R"&amp;19,규격검색!$N$6:$N$505,0)),""))</f>
        <v/>
      </c>
      <c r="F24" s="13" t="str">
        <f aca="false">IF($B24="","",IFERROR(INDEX(원자재마스터!$I$3:$I$502,MATCH("R"&amp;19,규격검색!$N$6:$N$505,0)),""))</f>
        <v/>
      </c>
      <c r="G24" s="19" t="str">
        <f aca="false">IF($B24="","",IFERROR(INDEX(원자재마스터!$J$3:$J$502,MATCH("R"&amp;19,규격검색!$N$6:$N$505,0)),""))</f>
        <v/>
      </c>
      <c r="H24" s="20" t="str">
        <f aca="false">IF($B24="","",IFERROR(INDEX(원자재마스터!$K$3:$K$502,MATCH("R"&amp;19,규격검색!$N$6:$N$505,0)),""))</f>
        <v/>
      </c>
      <c r="I24" s="11" t="str">
        <f aca="false">IF($B24="","",IFERROR(INDEX(원자재마스터!$L$3:$L$502,MATCH("R"&amp;19,규격검색!$N$6:$N$505,0)),""))</f>
        <v/>
      </c>
      <c r="L24" s="21" t="b">
        <f aca="false">IF(원자재마스터!$A21="",FALSE(),AND(IF($B$3="",TRUE(),ISNUMBER(SEARCH($B$3,원자재마스터!$B21&amp;" "&amp;원자재마스터!$C21&amp;" "&amp;원자재마스터!$G21&amp;" "&amp;원자재마스터!$A21))),IF($E$3="",TRUE(),ISNUMBER(SEARCH($E$3,원자재마스터!$C21)))))</f>
        <v>0</v>
      </c>
      <c r="M24" s="5" t="str">
        <f aca="false">IF($L24=FALSE(),"",COUNTIF($L$6:$L24,TRUE()))</f>
        <v/>
      </c>
      <c r="N24" s="5" t="str">
        <f aca="false">IF($M24="","","R"&amp;$M24)</f>
        <v/>
      </c>
    </row>
    <row r="25" customFormat="false" ht="15" hidden="false" customHeight="true" outlineLevel="0" collapsed="false">
      <c r="A25" s="19" t="str">
        <f aca="false">IF($B25="","",20)</f>
        <v/>
      </c>
      <c r="B25" s="11" t="str">
        <f aca="false">IFERROR(INDEX(원자재마스터!$A$3:$A$502,MATCH("R"&amp;20,규격검색!$N$6:$N$505,0)),"")</f>
        <v/>
      </c>
      <c r="C25" s="11" t="str">
        <f aca="false">IF($B25="","",IFERROR(INDEX(원자재마스터!$B$3:$B$502,MATCH("R"&amp;20,규격검색!$N$6:$N$505,0)),""))</f>
        <v/>
      </c>
      <c r="D25" s="19" t="str">
        <f aca="false">IF($B25="","",IFERROR(INDEX(원자재마스터!$C$3:$C$502,MATCH("R"&amp;20,규격검색!$N$6:$N$505,0)),""))</f>
        <v/>
      </c>
      <c r="E25" s="11" t="str">
        <f aca="false">IF($B25="","",IFERROR(INDEX(원자재마스터!$G$3:$G$502,MATCH("R"&amp;20,규격검색!$N$6:$N$505,0)),""))</f>
        <v/>
      </c>
      <c r="F25" s="13" t="str">
        <f aca="false">IF($B25="","",IFERROR(INDEX(원자재마스터!$I$3:$I$502,MATCH("R"&amp;20,규격검색!$N$6:$N$505,0)),""))</f>
        <v/>
      </c>
      <c r="G25" s="19" t="str">
        <f aca="false">IF($B25="","",IFERROR(INDEX(원자재마스터!$J$3:$J$502,MATCH("R"&amp;20,규격검색!$N$6:$N$505,0)),""))</f>
        <v/>
      </c>
      <c r="H25" s="20" t="str">
        <f aca="false">IF($B25="","",IFERROR(INDEX(원자재마스터!$K$3:$K$502,MATCH("R"&amp;20,규격검색!$N$6:$N$505,0)),""))</f>
        <v/>
      </c>
      <c r="I25" s="11" t="str">
        <f aca="false">IF($B25="","",IFERROR(INDEX(원자재마스터!$L$3:$L$502,MATCH("R"&amp;20,규격검색!$N$6:$N$505,0)),""))</f>
        <v/>
      </c>
      <c r="L25" s="21" t="b">
        <f aca="false">IF(원자재마스터!$A22="",FALSE(),AND(IF($B$3="",TRUE(),ISNUMBER(SEARCH($B$3,원자재마스터!$B22&amp;" "&amp;원자재마스터!$C22&amp;" "&amp;원자재마스터!$G22&amp;" "&amp;원자재마스터!$A22))),IF($E$3="",TRUE(),ISNUMBER(SEARCH($E$3,원자재마스터!$C22)))))</f>
        <v>0</v>
      </c>
      <c r="M25" s="5" t="str">
        <f aca="false">IF($L25=FALSE(),"",COUNTIF($L$6:$L25,TRUE()))</f>
        <v/>
      </c>
      <c r="N25" s="5" t="str">
        <f aca="false">IF($M25="","","R"&amp;$M25)</f>
        <v/>
      </c>
    </row>
    <row r="26" customFormat="false" ht="15" hidden="false" customHeight="true" outlineLevel="0" collapsed="false">
      <c r="A26" s="19" t="str">
        <f aca="false">IF($B26="","",21)</f>
        <v/>
      </c>
      <c r="B26" s="11" t="str">
        <f aca="false">IFERROR(INDEX(원자재마스터!$A$3:$A$502,MATCH("R"&amp;21,규격검색!$N$6:$N$505,0)),"")</f>
        <v/>
      </c>
      <c r="C26" s="11" t="str">
        <f aca="false">IF($B26="","",IFERROR(INDEX(원자재마스터!$B$3:$B$502,MATCH("R"&amp;21,규격검색!$N$6:$N$505,0)),""))</f>
        <v/>
      </c>
      <c r="D26" s="19" t="str">
        <f aca="false">IF($B26="","",IFERROR(INDEX(원자재마스터!$C$3:$C$502,MATCH("R"&amp;21,규격검색!$N$6:$N$505,0)),""))</f>
        <v/>
      </c>
      <c r="E26" s="11" t="str">
        <f aca="false">IF($B26="","",IFERROR(INDEX(원자재마스터!$G$3:$G$502,MATCH("R"&amp;21,규격검색!$N$6:$N$505,0)),""))</f>
        <v/>
      </c>
      <c r="F26" s="13" t="str">
        <f aca="false">IF($B26="","",IFERROR(INDEX(원자재마스터!$I$3:$I$502,MATCH("R"&amp;21,규격검색!$N$6:$N$505,0)),""))</f>
        <v/>
      </c>
      <c r="G26" s="19" t="str">
        <f aca="false">IF($B26="","",IFERROR(INDEX(원자재마스터!$J$3:$J$502,MATCH("R"&amp;21,규격검색!$N$6:$N$505,0)),""))</f>
        <v/>
      </c>
      <c r="H26" s="20" t="str">
        <f aca="false">IF($B26="","",IFERROR(INDEX(원자재마스터!$K$3:$K$502,MATCH("R"&amp;21,규격검색!$N$6:$N$505,0)),""))</f>
        <v/>
      </c>
      <c r="I26" s="11" t="str">
        <f aca="false">IF($B26="","",IFERROR(INDEX(원자재마스터!$L$3:$L$502,MATCH("R"&amp;21,규격검색!$N$6:$N$505,0)),""))</f>
        <v/>
      </c>
      <c r="L26" s="21" t="b">
        <f aca="false">IF(원자재마스터!$A23="",FALSE(),AND(IF($B$3="",TRUE(),ISNUMBER(SEARCH($B$3,원자재마스터!$B23&amp;" "&amp;원자재마스터!$C23&amp;" "&amp;원자재마스터!$G23&amp;" "&amp;원자재마스터!$A23))),IF($E$3="",TRUE(),ISNUMBER(SEARCH($E$3,원자재마스터!$C23)))))</f>
        <v>0</v>
      </c>
      <c r="M26" s="5" t="str">
        <f aca="false">IF($L26=FALSE(),"",COUNTIF($L$6:$L26,TRUE()))</f>
        <v/>
      </c>
      <c r="N26" s="5" t="str">
        <f aca="false">IF($M26="","","R"&amp;$M26)</f>
        <v/>
      </c>
    </row>
    <row r="27" customFormat="false" ht="15" hidden="false" customHeight="true" outlineLevel="0" collapsed="false">
      <c r="A27" s="19" t="str">
        <f aca="false">IF($B27="","",22)</f>
        <v/>
      </c>
      <c r="B27" s="11" t="str">
        <f aca="false">IFERROR(INDEX(원자재마스터!$A$3:$A$502,MATCH("R"&amp;22,규격검색!$N$6:$N$505,0)),"")</f>
        <v/>
      </c>
      <c r="C27" s="11" t="str">
        <f aca="false">IF($B27="","",IFERROR(INDEX(원자재마스터!$B$3:$B$502,MATCH("R"&amp;22,규격검색!$N$6:$N$505,0)),""))</f>
        <v/>
      </c>
      <c r="D27" s="19" t="str">
        <f aca="false">IF($B27="","",IFERROR(INDEX(원자재마스터!$C$3:$C$502,MATCH("R"&amp;22,규격검색!$N$6:$N$505,0)),""))</f>
        <v/>
      </c>
      <c r="E27" s="11" t="str">
        <f aca="false">IF($B27="","",IFERROR(INDEX(원자재마스터!$G$3:$G$502,MATCH("R"&amp;22,규격검색!$N$6:$N$505,0)),""))</f>
        <v/>
      </c>
      <c r="F27" s="13" t="str">
        <f aca="false">IF($B27="","",IFERROR(INDEX(원자재마스터!$I$3:$I$502,MATCH("R"&amp;22,규격검색!$N$6:$N$505,0)),""))</f>
        <v/>
      </c>
      <c r="G27" s="19" t="str">
        <f aca="false">IF($B27="","",IFERROR(INDEX(원자재마스터!$J$3:$J$502,MATCH("R"&amp;22,규격검색!$N$6:$N$505,0)),""))</f>
        <v/>
      </c>
      <c r="H27" s="20" t="str">
        <f aca="false">IF($B27="","",IFERROR(INDEX(원자재마스터!$K$3:$K$502,MATCH("R"&amp;22,규격검색!$N$6:$N$505,0)),""))</f>
        <v/>
      </c>
      <c r="I27" s="11" t="str">
        <f aca="false">IF($B27="","",IFERROR(INDEX(원자재마스터!$L$3:$L$502,MATCH("R"&amp;22,규격검색!$N$6:$N$505,0)),""))</f>
        <v/>
      </c>
      <c r="L27" s="21" t="b">
        <f aca="false">IF(원자재마스터!$A24="",FALSE(),AND(IF($B$3="",TRUE(),ISNUMBER(SEARCH($B$3,원자재마스터!$B24&amp;" "&amp;원자재마스터!$C24&amp;" "&amp;원자재마스터!$G24&amp;" "&amp;원자재마스터!$A24))),IF($E$3="",TRUE(),ISNUMBER(SEARCH($E$3,원자재마스터!$C24)))))</f>
        <v>0</v>
      </c>
      <c r="M27" s="5" t="str">
        <f aca="false">IF($L27=FALSE(),"",COUNTIF($L$6:$L27,TRUE()))</f>
        <v/>
      </c>
      <c r="N27" s="5" t="str">
        <f aca="false">IF($M27="","","R"&amp;$M27)</f>
        <v/>
      </c>
    </row>
    <row r="28" customFormat="false" ht="15" hidden="false" customHeight="true" outlineLevel="0" collapsed="false">
      <c r="A28" s="19" t="str">
        <f aca="false">IF($B28="","",23)</f>
        <v/>
      </c>
      <c r="B28" s="11" t="str">
        <f aca="false">IFERROR(INDEX(원자재마스터!$A$3:$A$502,MATCH("R"&amp;23,규격검색!$N$6:$N$505,0)),"")</f>
        <v/>
      </c>
      <c r="C28" s="11" t="str">
        <f aca="false">IF($B28="","",IFERROR(INDEX(원자재마스터!$B$3:$B$502,MATCH("R"&amp;23,규격검색!$N$6:$N$505,0)),""))</f>
        <v/>
      </c>
      <c r="D28" s="19" t="str">
        <f aca="false">IF($B28="","",IFERROR(INDEX(원자재마스터!$C$3:$C$502,MATCH("R"&amp;23,규격검색!$N$6:$N$505,0)),""))</f>
        <v/>
      </c>
      <c r="E28" s="11" t="str">
        <f aca="false">IF($B28="","",IFERROR(INDEX(원자재마스터!$G$3:$G$502,MATCH("R"&amp;23,규격검색!$N$6:$N$505,0)),""))</f>
        <v/>
      </c>
      <c r="F28" s="13" t="str">
        <f aca="false">IF($B28="","",IFERROR(INDEX(원자재마스터!$I$3:$I$502,MATCH("R"&amp;23,규격검색!$N$6:$N$505,0)),""))</f>
        <v/>
      </c>
      <c r="G28" s="19" t="str">
        <f aca="false">IF($B28="","",IFERROR(INDEX(원자재마스터!$J$3:$J$502,MATCH("R"&amp;23,규격검색!$N$6:$N$505,0)),""))</f>
        <v/>
      </c>
      <c r="H28" s="20" t="str">
        <f aca="false">IF($B28="","",IFERROR(INDEX(원자재마스터!$K$3:$K$502,MATCH("R"&amp;23,규격검색!$N$6:$N$505,0)),""))</f>
        <v/>
      </c>
      <c r="I28" s="11" t="str">
        <f aca="false">IF($B28="","",IFERROR(INDEX(원자재마스터!$L$3:$L$502,MATCH("R"&amp;23,규격검색!$N$6:$N$505,0)),""))</f>
        <v/>
      </c>
      <c r="L28" s="21" t="b">
        <f aca="false">IF(원자재마스터!$A25="",FALSE(),AND(IF($B$3="",TRUE(),ISNUMBER(SEARCH($B$3,원자재마스터!$B25&amp;" "&amp;원자재마스터!$C25&amp;" "&amp;원자재마스터!$G25&amp;" "&amp;원자재마스터!$A25))),IF($E$3="",TRUE(),ISNUMBER(SEARCH($E$3,원자재마스터!$C25)))))</f>
        <v>0</v>
      </c>
      <c r="M28" s="5" t="str">
        <f aca="false">IF($L28=FALSE(),"",COUNTIF($L$6:$L28,TRUE()))</f>
        <v/>
      </c>
      <c r="N28" s="5" t="str">
        <f aca="false">IF($M28="","","R"&amp;$M28)</f>
        <v/>
      </c>
    </row>
    <row r="29" customFormat="false" ht="15" hidden="false" customHeight="true" outlineLevel="0" collapsed="false">
      <c r="A29" s="19" t="str">
        <f aca="false">IF($B29="","",24)</f>
        <v/>
      </c>
      <c r="B29" s="11" t="str">
        <f aca="false">IFERROR(INDEX(원자재마스터!$A$3:$A$502,MATCH("R"&amp;24,규격검색!$N$6:$N$505,0)),"")</f>
        <v/>
      </c>
      <c r="C29" s="11" t="str">
        <f aca="false">IF($B29="","",IFERROR(INDEX(원자재마스터!$B$3:$B$502,MATCH("R"&amp;24,규격검색!$N$6:$N$505,0)),""))</f>
        <v/>
      </c>
      <c r="D29" s="19" t="str">
        <f aca="false">IF($B29="","",IFERROR(INDEX(원자재마스터!$C$3:$C$502,MATCH("R"&amp;24,규격검색!$N$6:$N$505,0)),""))</f>
        <v/>
      </c>
      <c r="E29" s="11" t="str">
        <f aca="false">IF($B29="","",IFERROR(INDEX(원자재마스터!$G$3:$G$502,MATCH("R"&amp;24,규격검색!$N$6:$N$505,0)),""))</f>
        <v/>
      </c>
      <c r="F29" s="13" t="str">
        <f aca="false">IF($B29="","",IFERROR(INDEX(원자재마스터!$I$3:$I$502,MATCH("R"&amp;24,규격검색!$N$6:$N$505,0)),""))</f>
        <v/>
      </c>
      <c r="G29" s="19" t="str">
        <f aca="false">IF($B29="","",IFERROR(INDEX(원자재마스터!$J$3:$J$502,MATCH("R"&amp;24,규격검색!$N$6:$N$505,0)),""))</f>
        <v/>
      </c>
      <c r="H29" s="20" t="str">
        <f aca="false">IF($B29="","",IFERROR(INDEX(원자재마스터!$K$3:$K$502,MATCH("R"&amp;24,규격검색!$N$6:$N$505,0)),""))</f>
        <v/>
      </c>
      <c r="I29" s="11" t="str">
        <f aca="false">IF($B29="","",IFERROR(INDEX(원자재마스터!$L$3:$L$502,MATCH("R"&amp;24,규격검색!$N$6:$N$505,0)),""))</f>
        <v/>
      </c>
      <c r="L29" s="21" t="b">
        <f aca="false">IF(원자재마스터!$A26="",FALSE(),AND(IF($B$3="",TRUE(),ISNUMBER(SEARCH($B$3,원자재마스터!$B26&amp;" "&amp;원자재마스터!$C26&amp;" "&amp;원자재마스터!$G26&amp;" "&amp;원자재마스터!$A26))),IF($E$3="",TRUE(),ISNUMBER(SEARCH($E$3,원자재마스터!$C26)))))</f>
        <v>0</v>
      </c>
      <c r="M29" s="5" t="str">
        <f aca="false">IF($L29=FALSE(),"",COUNTIF($L$6:$L29,TRUE()))</f>
        <v/>
      </c>
      <c r="N29" s="5" t="str">
        <f aca="false">IF($M29="","","R"&amp;$M29)</f>
        <v/>
      </c>
    </row>
    <row r="30" customFormat="false" ht="15" hidden="false" customHeight="true" outlineLevel="0" collapsed="false">
      <c r="A30" s="19" t="str">
        <f aca="false">IF($B30="","",25)</f>
        <v/>
      </c>
      <c r="B30" s="11" t="str">
        <f aca="false">IFERROR(INDEX(원자재마스터!$A$3:$A$502,MATCH("R"&amp;25,규격검색!$N$6:$N$505,0)),"")</f>
        <v/>
      </c>
      <c r="C30" s="11" t="str">
        <f aca="false">IF($B30="","",IFERROR(INDEX(원자재마스터!$B$3:$B$502,MATCH("R"&amp;25,규격검색!$N$6:$N$505,0)),""))</f>
        <v/>
      </c>
      <c r="D30" s="19" t="str">
        <f aca="false">IF($B30="","",IFERROR(INDEX(원자재마스터!$C$3:$C$502,MATCH("R"&amp;25,규격검색!$N$6:$N$505,0)),""))</f>
        <v/>
      </c>
      <c r="E30" s="11" t="str">
        <f aca="false">IF($B30="","",IFERROR(INDEX(원자재마스터!$G$3:$G$502,MATCH("R"&amp;25,규격검색!$N$6:$N$505,0)),""))</f>
        <v/>
      </c>
      <c r="F30" s="13" t="str">
        <f aca="false">IF($B30="","",IFERROR(INDEX(원자재마스터!$I$3:$I$502,MATCH("R"&amp;25,규격검색!$N$6:$N$505,0)),""))</f>
        <v/>
      </c>
      <c r="G30" s="19" t="str">
        <f aca="false">IF($B30="","",IFERROR(INDEX(원자재마스터!$J$3:$J$502,MATCH("R"&amp;25,규격검색!$N$6:$N$505,0)),""))</f>
        <v/>
      </c>
      <c r="H30" s="20" t="str">
        <f aca="false">IF($B30="","",IFERROR(INDEX(원자재마스터!$K$3:$K$502,MATCH("R"&amp;25,규격검색!$N$6:$N$505,0)),""))</f>
        <v/>
      </c>
      <c r="I30" s="11" t="str">
        <f aca="false">IF($B30="","",IFERROR(INDEX(원자재마스터!$L$3:$L$502,MATCH("R"&amp;25,규격검색!$N$6:$N$505,0)),""))</f>
        <v/>
      </c>
      <c r="L30" s="21" t="b">
        <f aca="false">IF(원자재마스터!$A27="",FALSE(),AND(IF($B$3="",TRUE(),ISNUMBER(SEARCH($B$3,원자재마스터!$B27&amp;" "&amp;원자재마스터!$C27&amp;" "&amp;원자재마스터!$G27&amp;" "&amp;원자재마스터!$A27))),IF($E$3="",TRUE(),ISNUMBER(SEARCH($E$3,원자재마스터!$C27)))))</f>
        <v>0</v>
      </c>
      <c r="M30" s="5" t="str">
        <f aca="false">IF($L30=FALSE(),"",COUNTIF($L$6:$L30,TRUE()))</f>
        <v/>
      </c>
      <c r="N30" s="5" t="str">
        <f aca="false">IF($M30="","","R"&amp;$M30)</f>
        <v/>
      </c>
    </row>
    <row r="31" customFormat="false" ht="15" hidden="false" customHeight="true" outlineLevel="0" collapsed="false">
      <c r="A31" s="19" t="str">
        <f aca="false">IF($B31="","",26)</f>
        <v/>
      </c>
      <c r="B31" s="11" t="str">
        <f aca="false">IFERROR(INDEX(원자재마스터!$A$3:$A$502,MATCH("R"&amp;26,규격검색!$N$6:$N$505,0)),"")</f>
        <v/>
      </c>
      <c r="C31" s="11" t="str">
        <f aca="false">IF($B31="","",IFERROR(INDEX(원자재마스터!$B$3:$B$502,MATCH("R"&amp;26,규격검색!$N$6:$N$505,0)),""))</f>
        <v/>
      </c>
      <c r="D31" s="19" t="str">
        <f aca="false">IF($B31="","",IFERROR(INDEX(원자재마스터!$C$3:$C$502,MATCH("R"&amp;26,규격검색!$N$6:$N$505,0)),""))</f>
        <v/>
      </c>
      <c r="E31" s="11" t="str">
        <f aca="false">IF($B31="","",IFERROR(INDEX(원자재마스터!$G$3:$G$502,MATCH("R"&amp;26,규격검색!$N$6:$N$505,0)),""))</f>
        <v/>
      </c>
      <c r="F31" s="13" t="str">
        <f aca="false">IF($B31="","",IFERROR(INDEX(원자재마스터!$I$3:$I$502,MATCH("R"&amp;26,규격검색!$N$6:$N$505,0)),""))</f>
        <v/>
      </c>
      <c r="G31" s="19" t="str">
        <f aca="false">IF($B31="","",IFERROR(INDEX(원자재마스터!$J$3:$J$502,MATCH("R"&amp;26,규격검색!$N$6:$N$505,0)),""))</f>
        <v/>
      </c>
      <c r="H31" s="20" t="str">
        <f aca="false">IF($B31="","",IFERROR(INDEX(원자재마스터!$K$3:$K$502,MATCH("R"&amp;26,규격검색!$N$6:$N$505,0)),""))</f>
        <v/>
      </c>
      <c r="I31" s="11" t="str">
        <f aca="false">IF($B31="","",IFERROR(INDEX(원자재마스터!$L$3:$L$502,MATCH("R"&amp;26,규격검색!$N$6:$N$505,0)),""))</f>
        <v/>
      </c>
      <c r="L31" s="21" t="b">
        <f aca="false">IF(원자재마스터!$A28="",FALSE(),AND(IF($B$3="",TRUE(),ISNUMBER(SEARCH($B$3,원자재마스터!$B28&amp;" "&amp;원자재마스터!$C28&amp;" "&amp;원자재마스터!$G28&amp;" "&amp;원자재마스터!$A28))),IF($E$3="",TRUE(),ISNUMBER(SEARCH($E$3,원자재마스터!$C28)))))</f>
        <v>0</v>
      </c>
      <c r="M31" s="5" t="str">
        <f aca="false">IF($L31=FALSE(),"",COUNTIF($L$6:$L31,TRUE()))</f>
        <v/>
      </c>
      <c r="N31" s="5" t="str">
        <f aca="false">IF($M31="","","R"&amp;$M31)</f>
        <v/>
      </c>
    </row>
    <row r="32" customFormat="false" ht="15" hidden="false" customHeight="true" outlineLevel="0" collapsed="false">
      <c r="A32" s="19" t="str">
        <f aca="false">IF($B32="","",27)</f>
        <v/>
      </c>
      <c r="B32" s="11" t="str">
        <f aca="false">IFERROR(INDEX(원자재마스터!$A$3:$A$502,MATCH("R"&amp;27,규격검색!$N$6:$N$505,0)),"")</f>
        <v/>
      </c>
      <c r="C32" s="11" t="str">
        <f aca="false">IF($B32="","",IFERROR(INDEX(원자재마스터!$B$3:$B$502,MATCH("R"&amp;27,규격검색!$N$6:$N$505,0)),""))</f>
        <v/>
      </c>
      <c r="D32" s="19" t="str">
        <f aca="false">IF($B32="","",IFERROR(INDEX(원자재마스터!$C$3:$C$502,MATCH("R"&amp;27,규격검색!$N$6:$N$505,0)),""))</f>
        <v/>
      </c>
      <c r="E32" s="11" t="str">
        <f aca="false">IF($B32="","",IFERROR(INDEX(원자재마스터!$G$3:$G$502,MATCH("R"&amp;27,규격검색!$N$6:$N$505,0)),""))</f>
        <v/>
      </c>
      <c r="F32" s="13" t="str">
        <f aca="false">IF($B32="","",IFERROR(INDEX(원자재마스터!$I$3:$I$502,MATCH("R"&amp;27,규격검색!$N$6:$N$505,0)),""))</f>
        <v/>
      </c>
      <c r="G32" s="19" t="str">
        <f aca="false">IF($B32="","",IFERROR(INDEX(원자재마스터!$J$3:$J$502,MATCH("R"&amp;27,규격검색!$N$6:$N$505,0)),""))</f>
        <v/>
      </c>
      <c r="H32" s="20" t="str">
        <f aca="false">IF($B32="","",IFERROR(INDEX(원자재마스터!$K$3:$K$502,MATCH("R"&amp;27,규격검색!$N$6:$N$505,0)),""))</f>
        <v/>
      </c>
      <c r="I32" s="11" t="str">
        <f aca="false">IF($B32="","",IFERROR(INDEX(원자재마스터!$L$3:$L$502,MATCH("R"&amp;27,규격검색!$N$6:$N$505,0)),""))</f>
        <v/>
      </c>
      <c r="L32" s="21" t="b">
        <f aca="false">IF(원자재마스터!$A29="",FALSE(),AND(IF($B$3="",TRUE(),ISNUMBER(SEARCH($B$3,원자재마스터!$B29&amp;" "&amp;원자재마스터!$C29&amp;" "&amp;원자재마스터!$G29&amp;" "&amp;원자재마스터!$A29))),IF($E$3="",TRUE(),ISNUMBER(SEARCH($E$3,원자재마스터!$C29)))))</f>
        <v>0</v>
      </c>
      <c r="M32" s="5" t="str">
        <f aca="false">IF($L32=FALSE(),"",COUNTIF($L$6:$L32,TRUE()))</f>
        <v/>
      </c>
      <c r="N32" s="5" t="str">
        <f aca="false">IF($M32="","","R"&amp;$M32)</f>
        <v/>
      </c>
    </row>
    <row r="33" customFormat="false" ht="15" hidden="false" customHeight="true" outlineLevel="0" collapsed="false">
      <c r="A33" s="19" t="str">
        <f aca="false">IF($B33="","",28)</f>
        <v/>
      </c>
      <c r="B33" s="11" t="str">
        <f aca="false">IFERROR(INDEX(원자재마스터!$A$3:$A$502,MATCH("R"&amp;28,규격검색!$N$6:$N$505,0)),"")</f>
        <v/>
      </c>
      <c r="C33" s="11" t="str">
        <f aca="false">IF($B33="","",IFERROR(INDEX(원자재마스터!$B$3:$B$502,MATCH("R"&amp;28,규격검색!$N$6:$N$505,0)),""))</f>
        <v/>
      </c>
      <c r="D33" s="19" t="str">
        <f aca="false">IF($B33="","",IFERROR(INDEX(원자재마스터!$C$3:$C$502,MATCH("R"&amp;28,규격검색!$N$6:$N$505,0)),""))</f>
        <v/>
      </c>
      <c r="E33" s="11" t="str">
        <f aca="false">IF($B33="","",IFERROR(INDEX(원자재마스터!$G$3:$G$502,MATCH("R"&amp;28,규격검색!$N$6:$N$505,0)),""))</f>
        <v/>
      </c>
      <c r="F33" s="13" t="str">
        <f aca="false">IF($B33="","",IFERROR(INDEX(원자재마스터!$I$3:$I$502,MATCH("R"&amp;28,규격검색!$N$6:$N$505,0)),""))</f>
        <v/>
      </c>
      <c r="G33" s="19" t="str">
        <f aca="false">IF($B33="","",IFERROR(INDEX(원자재마스터!$J$3:$J$502,MATCH("R"&amp;28,규격검색!$N$6:$N$505,0)),""))</f>
        <v/>
      </c>
      <c r="H33" s="20" t="str">
        <f aca="false">IF($B33="","",IFERROR(INDEX(원자재마스터!$K$3:$K$502,MATCH("R"&amp;28,규격검색!$N$6:$N$505,0)),""))</f>
        <v/>
      </c>
      <c r="I33" s="11" t="str">
        <f aca="false">IF($B33="","",IFERROR(INDEX(원자재마스터!$L$3:$L$502,MATCH("R"&amp;28,규격검색!$N$6:$N$505,0)),""))</f>
        <v/>
      </c>
      <c r="L33" s="21" t="b">
        <f aca="false">IF(원자재마스터!$A30="",FALSE(),AND(IF($B$3="",TRUE(),ISNUMBER(SEARCH($B$3,원자재마스터!$B30&amp;" "&amp;원자재마스터!$C30&amp;" "&amp;원자재마스터!$G30&amp;" "&amp;원자재마스터!$A30))),IF($E$3="",TRUE(),ISNUMBER(SEARCH($E$3,원자재마스터!$C30)))))</f>
        <v>0</v>
      </c>
      <c r="M33" s="5" t="str">
        <f aca="false">IF($L33=FALSE(),"",COUNTIF($L$6:$L33,TRUE()))</f>
        <v/>
      </c>
      <c r="N33" s="5" t="str">
        <f aca="false">IF($M33="","","R"&amp;$M33)</f>
        <v/>
      </c>
    </row>
    <row r="34" customFormat="false" ht="15" hidden="false" customHeight="true" outlineLevel="0" collapsed="false">
      <c r="A34" s="19" t="str">
        <f aca="false">IF($B34="","",29)</f>
        <v/>
      </c>
      <c r="B34" s="11" t="str">
        <f aca="false">IFERROR(INDEX(원자재마스터!$A$3:$A$502,MATCH("R"&amp;29,규격검색!$N$6:$N$505,0)),"")</f>
        <v/>
      </c>
      <c r="C34" s="11" t="str">
        <f aca="false">IF($B34="","",IFERROR(INDEX(원자재마스터!$B$3:$B$502,MATCH("R"&amp;29,규격검색!$N$6:$N$505,0)),""))</f>
        <v/>
      </c>
      <c r="D34" s="19" t="str">
        <f aca="false">IF($B34="","",IFERROR(INDEX(원자재마스터!$C$3:$C$502,MATCH("R"&amp;29,규격검색!$N$6:$N$505,0)),""))</f>
        <v/>
      </c>
      <c r="E34" s="11" t="str">
        <f aca="false">IF($B34="","",IFERROR(INDEX(원자재마스터!$G$3:$G$502,MATCH("R"&amp;29,규격검색!$N$6:$N$505,0)),""))</f>
        <v/>
      </c>
      <c r="F34" s="13" t="str">
        <f aca="false">IF($B34="","",IFERROR(INDEX(원자재마스터!$I$3:$I$502,MATCH("R"&amp;29,규격검색!$N$6:$N$505,0)),""))</f>
        <v/>
      </c>
      <c r="G34" s="19" t="str">
        <f aca="false">IF($B34="","",IFERROR(INDEX(원자재마스터!$J$3:$J$502,MATCH("R"&amp;29,규격검색!$N$6:$N$505,0)),""))</f>
        <v/>
      </c>
      <c r="H34" s="20" t="str">
        <f aca="false">IF($B34="","",IFERROR(INDEX(원자재마스터!$K$3:$K$502,MATCH("R"&amp;29,규격검색!$N$6:$N$505,0)),""))</f>
        <v/>
      </c>
      <c r="I34" s="11" t="str">
        <f aca="false">IF($B34="","",IFERROR(INDEX(원자재마스터!$L$3:$L$502,MATCH("R"&amp;29,규격검색!$N$6:$N$505,0)),""))</f>
        <v/>
      </c>
      <c r="L34" s="21" t="b">
        <f aca="false">IF(원자재마스터!$A31="",FALSE(),AND(IF($B$3="",TRUE(),ISNUMBER(SEARCH($B$3,원자재마스터!$B31&amp;" "&amp;원자재마스터!$C31&amp;" "&amp;원자재마스터!$G31&amp;" "&amp;원자재마스터!$A31))),IF($E$3="",TRUE(),ISNUMBER(SEARCH($E$3,원자재마스터!$C31)))))</f>
        <v>0</v>
      </c>
      <c r="M34" s="5" t="str">
        <f aca="false">IF($L34=FALSE(),"",COUNTIF($L$6:$L34,TRUE()))</f>
        <v/>
      </c>
      <c r="N34" s="5" t="str">
        <f aca="false">IF($M34="","","R"&amp;$M34)</f>
        <v/>
      </c>
    </row>
    <row r="35" customFormat="false" ht="15" hidden="false" customHeight="true" outlineLevel="0" collapsed="false">
      <c r="A35" s="19" t="str">
        <f aca="false">IF($B35="","",30)</f>
        <v/>
      </c>
      <c r="B35" s="11" t="str">
        <f aca="false">IFERROR(INDEX(원자재마스터!$A$3:$A$502,MATCH("R"&amp;30,규격검색!$N$6:$N$505,0)),"")</f>
        <v/>
      </c>
      <c r="C35" s="11" t="str">
        <f aca="false">IF($B35="","",IFERROR(INDEX(원자재마스터!$B$3:$B$502,MATCH("R"&amp;30,규격검색!$N$6:$N$505,0)),""))</f>
        <v/>
      </c>
      <c r="D35" s="19" t="str">
        <f aca="false">IF($B35="","",IFERROR(INDEX(원자재마스터!$C$3:$C$502,MATCH("R"&amp;30,규격검색!$N$6:$N$505,0)),""))</f>
        <v/>
      </c>
      <c r="E35" s="11" t="str">
        <f aca="false">IF($B35="","",IFERROR(INDEX(원자재마스터!$G$3:$G$502,MATCH("R"&amp;30,규격검색!$N$6:$N$505,0)),""))</f>
        <v/>
      </c>
      <c r="F35" s="13" t="str">
        <f aca="false">IF($B35="","",IFERROR(INDEX(원자재마스터!$I$3:$I$502,MATCH("R"&amp;30,규격검색!$N$6:$N$505,0)),""))</f>
        <v/>
      </c>
      <c r="G35" s="19" t="str">
        <f aca="false">IF($B35="","",IFERROR(INDEX(원자재마스터!$J$3:$J$502,MATCH("R"&amp;30,규격검색!$N$6:$N$505,0)),""))</f>
        <v/>
      </c>
      <c r="H35" s="20" t="str">
        <f aca="false">IF($B35="","",IFERROR(INDEX(원자재마스터!$K$3:$K$502,MATCH("R"&amp;30,규격검색!$N$6:$N$505,0)),""))</f>
        <v/>
      </c>
      <c r="I35" s="11" t="str">
        <f aca="false">IF($B35="","",IFERROR(INDEX(원자재마스터!$L$3:$L$502,MATCH("R"&amp;30,규격검색!$N$6:$N$505,0)),""))</f>
        <v/>
      </c>
      <c r="L35" s="21" t="b">
        <f aca="false">IF(원자재마스터!$A32="",FALSE(),AND(IF($B$3="",TRUE(),ISNUMBER(SEARCH($B$3,원자재마스터!$B32&amp;" "&amp;원자재마스터!$C32&amp;" "&amp;원자재마스터!$G32&amp;" "&amp;원자재마스터!$A32))),IF($E$3="",TRUE(),ISNUMBER(SEARCH($E$3,원자재마스터!$C32)))))</f>
        <v>0</v>
      </c>
      <c r="M35" s="5" t="str">
        <f aca="false">IF($L35=FALSE(),"",COUNTIF($L$6:$L35,TRUE()))</f>
        <v/>
      </c>
      <c r="N35" s="5" t="str">
        <f aca="false">IF($M35="","","R"&amp;$M35)</f>
        <v/>
      </c>
    </row>
    <row r="36" customFormat="false" ht="15" hidden="false" customHeight="true" outlineLevel="0" collapsed="false">
      <c r="A36" s="19" t="str">
        <f aca="false">IF($B36="","",31)</f>
        <v/>
      </c>
      <c r="B36" s="11" t="str">
        <f aca="false">IFERROR(INDEX(원자재마스터!$A$3:$A$502,MATCH("R"&amp;31,규격검색!$N$6:$N$505,0)),"")</f>
        <v/>
      </c>
      <c r="C36" s="11" t="str">
        <f aca="false">IF($B36="","",IFERROR(INDEX(원자재마스터!$B$3:$B$502,MATCH("R"&amp;31,규격검색!$N$6:$N$505,0)),""))</f>
        <v/>
      </c>
      <c r="D36" s="19" t="str">
        <f aca="false">IF($B36="","",IFERROR(INDEX(원자재마스터!$C$3:$C$502,MATCH("R"&amp;31,규격검색!$N$6:$N$505,0)),""))</f>
        <v/>
      </c>
      <c r="E36" s="11" t="str">
        <f aca="false">IF($B36="","",IFERROR(INDEX(원자재마스터!$G$3:$G$502,MATCH("R"&amp;31,규격검색!$N$6:$N$505,0)),""))</f>
        <v/>
      </c>
      <c r="F36" s="13" t="str">
        <f aca="false">IF($B36="","",IFERROR(INDEX(원자재마스터!$I$3:$I$502,MATCH("R"&amp;31,규격검색!$N$6:$N$505,0)),""))</f>
        <v/>
      </c>
      <c r="G36" s="19" t="str">
        <f aca="false">IF($B36="","",IFERROR(INDEX(원자재마스터!$J$3:$J$502,MATCH("R"&amp;31,규격검색!$N$6:$N$505,0)),""))</f>
        <v/>
      </c>
      <c r="H36" s="20" t="str">
        <f aca="false">IF($B36="","",IFERROR(INDEX(원자재마스터!$K$3:$K$502,MATCH("R"&amp;31,규격검색!$N$6:$N$505,0)),""))</f>
        <v/>
      </c>
      <c r="I36" s="11" t="str">
        <f aca="false">IF($B36="","",IFERROR(INDEX(원자재마스터!$L$3:$L$502,MATCH("R"&amp;31,규격검색!$N$6:$N$505,0)),""))</f>
        <v/>
      </c>
      <c r="L36" s="21" t="b">
        <f aca="false">IF(원자재마스터!$A33="",FALSE(),AND(IF($B$3="",TRUE(),ISNUMBER(SEARCH($B$3,원자재마스터!$B33&amp;" "&amp;원자재마스터!$C33&amp;" "&amp;원자재마스터!$G33&amp;" "&amp;원자재마스터!$A33))),IF($E$3="",TRUE(),ISNUMBER(SEARCH($E$3,원자재마스터!$C33)))))</f>
        <v>0</v>
      </c>
      <c r="M36" s="5" t="str">
        <f aca="false">IF($L36=FALSE(),"",COUNTIF($L$6:$L36,TRUE()))</f>
        <v/>
      </c>
      <c r="N36" s="5" t="str">
        <f aca="false">IF($M36="","","R"&amp;$M36)</f>
        <v/>
      </c>
    </row>
    <row r="37" customFormat="false" ht="15" hidden="false" customHeight="true" outlineLevel="0" collapsed="false">
      <c r="A37" s="19" t="str">
        <f aca="false">IF($B37="","",32)</f>
        <v/>
      </c>
      <c r="B37" s="11" t="str">
        <f aca="false">IFERROR(INDEX(원자재마스터!$A$3:$A$502,MATCH("R"&amp;32,규격검색!$N$6:$N$505,0)),"")</f>
        <v/>
      </c>
      <c r="C37" s="11" t="str">
        <f aca="false">IF($B37="","",IFERROR(INDEX(원자재마스터!$B$3:$B$502,MATCH("R"&amp;32,규격검색!$N$6:$N$505,0)),""))</f>
        <v/>
      </c>
      <c r="D37" s="19" t="str">
        <f aca="false">IF($B37="","",IFERROR(INDEX(원자재마스터!$C$3:$C$502,MATCH("R"&amp;32,규격검색!$N$6:$N$505,0)),""))</f>
        <v/>
      </c>
      <c r="E37" s="11" t="str">
        <f aca="false">IF($B37="","",IFERROR(INDEX(원자재마스터!$G$3:$G$502,MATCH("R"&amp;32,규격검색!$N$6:$N$505,0)),""))</f>
        <v/>
      </c>
      <c r="F37" s="13" t="str">
        <f aca="false">IF($B37="","",IFERROR(INDEX(원자재마스터!$I$3:$I$502,MATCH("R"&amp;32,규격검색!$N$6:$N$505,0)),""))</f>
        <v/>
      </c>
      <c r="G37" s="19" t="str">
        <f aca="false">IF($B37="","",IFERROR(INDEX(원자재마스터!$J$3:$J$502,MATCH("R"&amp;32,규격검색!$N$6:$N$505,0)),""))</f>
        <v/>
      </c>
      <c r="H37" s="20" t="str">
        <f aca="false">IF($B37="","",IFERROR(INDEX(원자재마스터!$K$3:$K$502,MATCH("R"&amp;32,규격검색!$N$6:$N$505,0)),""))</f>
        <v/>
      </c>
      <c r="I37" s="11" t="str">
        <f aca="false">IF($B37="","",IFERROR(INDEX(원자재마스터!$L$3:$L$502,MATCH("R"&amp;32,규격검색!$N$6:$N$505,0)),""))</f>
        <v/>
      </c>
      <c r="L37" s="21" t="b">
        <f aca="false">IF(원자재마스터!$A34="",FALSE(),AND(IF($B$3="",TRUE(),ISNUMBER(SEARCH($B$3,원자재마스터!$B34&amp;" "&amp;원자재마스터!$C34&amp;" "&amp;원자재마스터!$G34&amp;" "&amp;원자재마스터!$A34))),IF($E$3="",TRUE(),ISNUMBER(SEARCH($E$3,원자재마스터!$C34)))))</f>
        <v>0</v>
      </c>
      <c r="M37" s="5" t="str">
        <f aca="false">IF($L37=FALSE(),"",COUNTIF($L$6:$L37,TRUE()))</f>
        <v/>
      </c>
      <c r="N37" s="5" t="str">
        <f aca="false">IF($M37="","","R"&amp;$M37)</f>
        <v/>
      </c>
    </row>
    <row r="38" customFormat="false" ht="15" hidden="false" customHeight="true" outlineLevel="0" collapsed="false">
      <c r="A38" s="19" t="str">
        <f aca="false">IF($B38="","",33)</f>
        <v/>
      </c>
      <c r="B38" s="11" t="str">
        <f aca="false">IFERROR(INDEX(원자재마스터!$A$3:$A$502,MATCH("R"&amp;33,규격검색!$N$6:$N$505,0)),"")</f>
        <v/>
      </c>
      <c r="C38" s="11" t="str">
        <f aca="false">IF($B38="","",IFERROR(INDEX(원자재마스터!$B$3:$B$502,MATCH("R"&amp;33,규격검색!$N$6:$N$505,0)),""))</f>
        <v/>
      </c>
      <c r="D38" s="19" t="str">
        <f aca="false">IF($B38="","",IFERROR(INDEX(원자재마스터!$C$3:$C$502,MATCH("R"&amp;33,규격검색!$N$6:$N$505,0)),""))</f>
        <v/>
      </c>
      <c r="E38" s="11" t="str">
        <f aca="false">IF($B38="","",IFERROR(INDEX(원자재마스터!$G$3:$G$502,MATCH("R"&amp;33,규격검색!$N$6:$N$505,0)),""))</f>
        <v/>
      </c>
      <c r="F38" s="13" t="str">
        <f aca="false">IF($B38="","",IFERROR(INDEX(원자재마스터!$I$3:$I$502,MATCH("R"&amp;33,규격검색!$N$6:$N$505,0)),""))</f>
        <v/>
      </c>
      <c r="G38" s="19" t="str">
        <f aca="false">IF($B38="","",IFERROR(INDEX(원자재마스터!$J$3:$J$502,MATCH("R"&amp;33,규격검색!$N$6:$N$505,0)),""))</f>
        <v/>
      </c>
      <c r="H38" s="20" t="str">
        <f aca="false">IF($B38="","",IFERROR(INDEX(원자재마스터!$K$3:$K$502,MATCH("R"&amp;33,규격검색!$N$6:$N$505,0)),""))</f>
        <v/>
      </c>
      <c r="I38" s="11" t="str">
        <f aca="false">IF($B38="","",IFERROR(INDEX(원자재마스터!$L$3:$L$502,MATCH("R"&amp;33,규격검색!$N$6:$N$505,0)),""))</f>
        <v/>
      </c>
      <c r="L38" s="21" t="b">
        <f aca="false">IF(원자재마스터!$A35="",FALSE(),AND(IF($B$3="",TRUE(),ISNUMBER(SEARCH($B$3,원자재마스터!$B35&amp;" "&amp;원자재마스터!$C35&amp;" "&amp;원자재마스터!$G35&amp;" "&amp;원자재마스터!$A35))),IF($E$3="",TRUE(),ISNUMBER(SEARCH($E$3,원자재마스터!$C35)))))</f>
        <v>0</v>
      </c>
      <c r="M38" s="5" t="str">
        <f aca="false">IF($L38=FALSE(),"",COUNTIF($L$6:$L38,TRUE()))</f>
        <v/>
      </c>
      <c r="N38" s="5" t="str">
        <f aca="false">IF($M38="","","R"&amp;$M38)</f>
        <v/>
      </c>
    </row>
    <row r="39" customFormat="false" ht="15" hidden="false" customHeight="true" outlineLevel="0" collapsed="false">
      <c r="A39" s="19" t="str">
        <f aca="false">IF($B39="","",34)</f>
        <v/>
      </c>
      <c r="B39" s="11" t="str">
        <f aca="false">IFERROR(INDEX(원자재마스터!$A$3:$A$502,MATCH("R"&amp;34,규격검색!$N$6:$N$505,0)),"")</f>
        <v/>
      </c>
      <c r="C39" s="11" t="str">
        <f aca="false">IF($B39="","",IFERROR(INDEX(원자재마스터!$B$3:$B$502,MATCH("R"&amp;34,규격검색!$N$6:$N$505,0)),""))</f>
        <v/>
      </c>
      <c r="D39" s="19" t="str">
        <f aca="false">IF($B39="","",IFERROR(INDEX(원자재마스터!$C$3:$C$502,MATCH("R"&amp;34,규격검색!$N$6:$N$505,0)),""))</f>
        <v/>
      </c>
      <c r="E39" s="11" t="str">
        <f aca="false">IF($B39="","",IFERROR(INDEX(원자재마스터!$G$3:$G$502,MATCH("R"&amp;34,규격검색!$N$6:$N$505,0)),""))</f>
        <v/>
      </c>
      <c r="F39" s="13" t="str">
        <f aca="false">IF($B39="","",IFERROR(INDEX(원자재마스터!$I$3:$I$502,MATCH("R"&amp;34,규격검색!$N$6:$N$505,0)),""))</f>
        <v/>
      </c>
      <c r="G39" s="19" t="str">
        <f aca="false">IF($B39="","",IFERROR(INDEX(원자재마스터!$J$3:$J$502,MATCH("R"&amp;34,규격검색!$N$6:$N$505,0)),""))</f>
        <v/>
      </c>
      <c r="H39" s="20" t="str">
        <f aca="false">IF($B39="","",IFERROR(INDEX(원자재마스터!$K$3:$K$502,MATCH("R"&amp;34,규격검색!$N$6:$N$505,0)),""))</f>
        <v/>
      </c>
      <c r="I39" s="11" t="str">
        <f aca="false">IF($B39="","",IFERROR(INDEX(원자재마스터!$L$3:$L$502,MATCH("R"&amp;34,규격검색!$N$6:$N$505,0)),""))</f>
        <v/>
      </c>
      <c r="L39" s="21" t="b">
        <f aca="false">IF(원자재마스터!$A36="",FALSE(),AND(IF($B$3="",TRUE(),ISNUMBER(SEARCH($B$3,원자재마스터!$B36&amp;" "&amp;원자재마스터!$C36&amp;" "&amp;원자재마스터!$G36&amp;" "&amp;원자재마스터!$A36))),IF($E$3="",TRUE(),ISNUMBER(SEARCH($E$3,원자재마스터!$C36)))))</f>
        <v>0</v>
      </c>
      <c r="M39" s="5" t="str">
        <f aca="false">IF($L39=FALSE(),"",COUNTIF($L$6:$L39,TRUE()))</f>
        <v/>
      </c>
      <c r="N39" s="5" t="str">
        <f aca="false">IF($M39="","","R"&amp;$M39)</f>
        <v/>
      </c>
    </row>
    <row r="40" customFormat="false" ht="15" hidden="false" customHeight="true" outlineLevel="0" collapsed="false">
      <c r="A40" s="19" t="str">
        <f aca="false">IF($B40="","",35)</f>
        <v/>
      </c>
      <c r="B40" s="11" t="str">
        <f aca="false">IFERROR(INDEX(원자재마스터!$A$3:$A$502,MATCH("R"&amp;35,규격검색!$N$6:$N$505,0)),"")</f>
        <v/>
      </c>
      <c r="C40" s="11" t="str">
        <f aca="false">IF($B40="","",IFERROR(INDEX(원자재마스터!$B$3:$B$502,MATCH("R"&amp;35,규격검색!$N$6:$N$505,0)),""))</f>
        <v/>
      </c>
      <c r="D40" s="19" t="str">
        <f aca="false">IF($B40="","",IFERROR(INDEX(원자재마스터!$C$3:$C$502,MATCH("R"&amp;35,규격검색!$N$6:$N$505,0)),""))</f>
        <v/>
      </c>
      <c r="E40" s="11" t="str">
        <f aca="false">IF($B40="","",IFERROR(INDEX(원자재마스터!$G$3:$G$502,MATCH("R"&amp;35,규격검색!$N$6:$N$505,0)),""))</f>
        <v/>
      </c>
      <c r="F40" s="13" t="str">
        <f aca="false">IF($B40="","",IFERROR(INDEX(원자재마스터!$I$3:$I$502,MATCH("R"&amp;35,규격검색!$N$6:$N$505,0)),""))</f>
        <v/>
      </c>
      <c r="G40" s="19" t="str">
        <f aca="false">IF($B40="","",IFERROR(INDEX(원자재마스터!$J$3:$J$502,MATCH("R"&amp;35,규격검색!$N$6:$N$505,0)),""))</f>
        <v/>
      </c>
      <c r="H40" s="20" t="str">
        <f aca="false">IF($B40="","",IFERROR(INDEX(원자재마스터!$K$3:$K$502,MATCH("R"&amp;35,규격검색!$N$6:$N$505,0)),""))</f>
        <v/>
      </c>
      <c r="I40" s="11" t="str">
        <f aca="false">IF($B40="","",IFERROR(INDEX(원자재마스터!$L$3:$L$502,MATCH("R"&amp;35,규격검색!$N$6:$N$505,0)),""))</f>
        <v/>
      </c>
      <c r="L40" s="21" t="b">
        <f aca="false">IF(원자재마스터!$A37="",FALSE(),AND(IF($B$3="",TRUE(),ISNUMBER(SEARCH($B$3,원자재마스터!$B37&amp;" "&amp;원자재마스터!$C37&amp;" "&amp;원자재마스터!$G37&amp;" "&amp;원자재마스터!$A37))),IF($E$3="",TRUE(),ISNUMBER(SEARCH($E$3,원자재마스터!$C37)))))</f>
        <v>0</v>
      </c>
      <c r="M40" s="5" t="str">
        <f aca="false">IF($L40=FALSE(),"",COUNTIF($L$6:$L40,TRUE()))</f>
        <v/>
      </c>
      <c r="N40" s="5" t="str">
        <f aca="false">IF($M40="","","R"&amp;$M40)</f>
        <v/>
      </c>
    </row>
    <row r="41" customFormat="false" ht="15" hidden="false" customHeight="true" outlineLevel="0" collapsed="false">
      <c r="A41" s="19" t="str">
        <f aca="false">IF($B41="","",36)</f>
        <v/>
      </c>
      <c r="B41" s="11" t="str">
        <f aca="false">IFERROR(INDEX(원자재마스터!$A$3:$A$502,MATCH("R"&amp;36,규격검색!$N$6:$N$505,0)),"")</f>
        <v/>
      </c>
      <c r="C41" s="11" t="str">
        <f aca="false">IF($B41="","",IFERROR(INDEX(원자재마스터!$B$3:$B$502,MATCH("R"&amp;36,규격검색!$N$6:$N$505,0)),""))</f>
        <v/>
      </c>
      <c r="D41" s="19" t="str">
        <f aca="false">IF($B41="","",IFERROR(INDEX(원자재마스터!$C$3:$C$502,MATCH("R"&amp;36,규격검색!$N$6:$N$505,0)),""))</f>
        <v/>
      </c>
      <c r="E41" s="11" t="str">
        <f aca="false">IF($B41="","",IFERROR(INDEX(원자재마스터!$G$3:$G$502,MATCH("R"&amp;36,규격검색!$N$6:$N$505,0)),""))</f>
        <v/>
      </c>
      <c r="F41" s="13" t="str">
        <f aca="false">IF($B41="","",IFERROR(INDEX(원자재마스터!$I$3:$I$502,MATCH("R"&amp;36,규격검색!$N$6:$N$505,0)),""))</f>
        <v/>
      </c>
      <c r="G41" s="19" t="str">
        <f aca="false">IF($B41="","",IFERROR(INDEX(원자재마스터!$J$3:$J$502,MATCH("R"&amp;36,규격검색!$N$6:$N$505,0)),""))</f>
        <v/>
      </c>
      <c r="H41" s="20" t="str">
        <f aca="false">IF($B41="","",IFERROR(INDEX(원자재마스터!$K$3:$K$502,MATCH("R"&amp;36,규격검색!$N$6:$N$505,0)),""))</f>
        <v/>
      </c>
      <c r="I41" s="11" t="str">
        <f aca="false">IF($B41="","",IFERROR(INDEX(원자재마스터!$L$3:$L$502,MATCH("R"&amp;36,규격검색!$N$6:$N$505,0)),""))</f>
        <v/>
      </c>
      <c r="L41" s="21" t="b">
        <f aca="false">IF(원자재마스터!$A38="",FALSE(),AND(IF($B$3="",TRUE(),ISNUMBER(SEARCH($B$3,원자재마스터!$B38&amp;" "&amp;원자재마스터!$C38&amp;" "&amp;원자재마스터!$G38&amp;" "&amp;원자재마스터!$A38))),IF($E$3="",TRUE(),ISNUMBER(SEARCH($E$3,원자재마스터!$C38)))))</f>
        <v>0</v>
      </c>
      <c r="M41" s="5" t="str">
        <f aca="false">IF($L41=FALSE(),"",COUNTIF($L$6:$L41,TRUE()))</f>
        <v/>
      </c>
      <c r="N41" s="5" t="str">
        <f aca="false">IF($M41="","","R"&amp;$M41)</f>
        <v/>
      </c>
    </row>
    <row r="42" customFormat="false" ht="15" hidden="false" customHeight="true" outlineLevel="0" collapsed="false">
      <c r="A42" s="19" t="str">
        <f aca="false">IF($B42="","",37)</f>
        <v/>
      </c>
      <c r="B42" s="11" t="str">
        <f aca="false">IFERROR(INDEX(원자재마스터!$A$3:$A$502,MATCH("R"&amp;37,규격검색!$N$6:$N$505,0)),"")</f>
        <v/>
      </c>
      <c r="C42" s="11" t="str">
        <f aca="false">IF($B42="","",IFERROR(INDEX(원자재마스터!$B$3:$B$502,MATCH("R"&amp;37,규격검색!$N$6:$N$505,0)),""))</f>
        <v/>
      </c>
      <c r="D42" s="19" t="str">
        <f aca="false">IF($B42="","",IFERROR(INDEX(원자재마스터!$C$3:$C$502,MATCH("R"&amp;37,규격검색!$N$6:$N$505,0)),""))</f>
        <v/>
      </c>
      <c r="E42" s="11" t="str">
        <f aca="false">IF($B42="","",IFERROR(INDEX(원자재마스터!$G$3:$G$502,MATCH("R"&amp;37,규격검색!$N$6:$N$505,0)),""))</f>
        <v/>
      </c>
      <c r="F42" s="13" t="str">
        <f aca="false">IF($B42="","",IFERROR(INDEX(원자재마스터!$I$3:$I$502,MATCH("R"&amp;37,규격검색!$N$6:$N$505,0)),""))</f>
        <v/>
      </c>
      <c r="G42" s="19" t="str">
        <f aca="false">IF($B42="","",IFERROR(INDEX(원자재마스터!$J$3:$J$502,MATCH("R"&amp;37,규격검색!$N$6:$N$505,0)),""))</f>
        <v/>
      </c>
      <c r="H42" s="20" t="str">
        <f aca="false">IF($B42="","",IFERROR(INDEX(원자재마스터!$K$3:$K$502,MATCH("R"&amp;37,규격검색!$N$6:$N$505,0)),""))</f>
        <v/>
      </c>
      <c r="I42" s="11" t="str">
        <f aca="false">IF($B42="","",IFERROR(INDEX(원자재마스터!$L$3:$L$502,MATCH("R"&amp;37,규격검색!$N$6:$N$505,0)),""))</f>
        <v/>
      </c>
      <c r="L42" s="21" t="b">
        <f aca="false">IF(원자재마스터!$A39="",FALSE(),AND(IF($B$3="",TRUE(),ISNUMBER(SEARCH($B$3,원자재마스터!$B39&amp;" "&amp;원자재마스터!$C39&amp;" "&amp;원자재마스터!$G39&amp;" "&amp;원자재마스터!$A39))),IF($E$3="",TRUE(),ISNUMBER(SEARCH($E$3,원자재마스터!$C39)))))</f>
        <v>0</v>
      </c>
      <c r="M42" s="5" t="str">
        <f aca="false">IF($L42=FALSE(),"",COUNTIF($L$6:$L42,TRUE()))</f>
        <v/>
      </c>
      <c r="N42" s="5" t="str">
        <f aca="false">IF($M42="","","R"&amp;$M42)</f>
        <v/>
      </c>
    </row>
    <row r="43" customFormat="false" ht="15" hidden="false" customHeight="true" outlineLevel="0" collapsed="false">
      <c r="A43" s="19" t="str">
        <f aca="false">IF($B43="","",38)</f>
        <v/>
      </c>
      <c r="B43" s="11" t="str">
        <f aca="false">IFERROR(INDEX(원자재마스터!$A$3:$A$502,MATCH("R"&amp;38,규격검색!$N$6:$N$505,0)),"")</f>
        <v/>
      </c>
      <c r="C43" s="11" t="str">
        <f aca="false">IF($B43="","",IFERROR(INDEX(원자재마스터!$B$3:$B$502,MATCH("R"&amp;38,규격검색!$N$6:$N$505,0)),""))</f>
        <v/>
      </c>
      <c r="D43" s="19" t="str">
        <f aca="false">IF($B43="","",IFERROR(INDEX(원자재마스터!$C$3:$C$502,MATCH("R"&amp;38,규격검색!$N$6:$N$505,0)),""))</f>
        <v/>
      </c>
      <c r="E43" s="11" t="str">
        <f aca="false">IF($B43="","",IFERROR(INDEX(원자재마스터!$G$3:$G$502,MATCH("R"&amp;38,규격검색!$N$6:$N$505,0)),""))</f>
        <v/>
      </c>
      <c r="F43" s="13" t="str">
        <f aca="false">IF($B43="","",IFERROR(INDEX(원자재마스터!$I$3:$I$502,MATCH("R"&amp;38,규격검색!$N$6:$N$505,0)),""))</f>
        <v/>
      </c>
      <c r="G43" s="19" t="str">
        <f aca="false">IF($B43="","",IFERROR(INDEX(원자재마스터!$J$3:$J$502,MATCH("R"&amp;38,규격검색!$N$6:$N$505,0)),""))</f>
        <v/>
      </c>
      <c r="H43" s="20" t="str">
        <f aca="false">IF($B43="","",IFERROR(INDEX(원자재마스터!$K$3:$K$502,MATCH("R"&amp;38,규격검색!$N$6:$N$505,0)),""))</f>
        <v/>
      </c>
      <c r="I43" s="11" t="str">
        <f aca="false">IF($B43="","",IFERROR(INDEX(원자재마스터!$L$3:$L$502,MATCH("R"&amp;38,규격검색!$N$6:$N$505,0)),""))</f>
        <v/>
      </c>
      <c r="L43" s="21" t="b">
        <f aca="false">IF(원자재마스터!$A40="",FALSE(),AND(IF($B$3="",TRUE(),ISNUMBER(SEARCH($B$3,원자재마스터!$B40&amp;" "&amp;원자재마스터!$C40&amp;" "&amp;원자재마스터!$G40&amp;" "&amp;원자재마스터!$A40))),IF($E$3="",TRUE(),ISNUMBER(SEARCH($E$3,원자재마스터!$C40)))))</f>
        <v>0</v>
      </c>
      <c r="M43" s="5" t="str">
        <f aca="false">IF($L43=FALSE(),"",COUNTIF($L$6:$L43,TRUE()))</f>
        <v/>
      </c>
      <c r="N43" s="5" t="str">
        <f aca="false">IF($M43="","","R"&amp;$M43)</f>
        <v/>
      </c>
    </row>
    <row r="44" customFormat="false" ht="15" hidden="false" customHeight="true" outlineLevel="0" collapsed="false">
      <c r="A44" s="19" t="str">
        <f aca="false">IF($B44="","",39)</f>
        <v/>
      </c>
      <c r="B44" s="11" t="str">
        <f aca="false">IFERROR(INDEX(원자재마스터!$A$3:$A$502,MATCH("R"&amp;39,규격검색!$N$6:$N$505,0)),"")</f>
        <v/>
      </c>
      <c r="C44" s="11" t="str">
        <f aca="false">IF($B44="","",IFERROR(INDEX(원자재마스터!$B$3:$B$502,MATCH("R"&amp;39,규격검색!$N$6:$N$505,0)),""))</f>
        <v/>
      </c>
      <c r="D44" s="19" t="str">
        <f aca="false">IF($B44="","",IFERROR(INDEX(원자재마스터!$C$3:$C$502,MATCH("R"&amp;39,규격검색!$N$6:$N$505,0)),""))</f>
        <v/>
      </c>
      <c r="E44" s="11" t="str">
        <f aca="false">IF($B44="","",IFERROR(INDEX(원자재마스터!$G$3:$G$502,MATCH("R"&amp;39,규격검색!$N$6:$N$505,0)),""))</f>
        <v/>
      </c>
      <c r="F44" s="13" t="str">
        <f aca="false">IF($B44="","",IFERROR(INDEX(원자재마스터!$I$3:$I$502,MATCH("R"&amp;39,규격검색!$N$6:$N$505,0)),""))</f>
        <v/>
      </c>
      <c r="G44" s="19" t="str">
        <f aca="false">IF($B44="","",IFERROR(INDEX(원자재마스터!$J$3:$J$502,MATCH("R"&amp;39,규격검색!$N$6:$N$505,0)),""))</f>
        <v/>
      </c>
      <c r="H44" s="20" t="str">
        <f aca="false">IF($B44="","",IFERROR(INDEX(원자재마스터!$K$3:$K$502,MATCH("R"&amp;39,규격검색!$N$6:$N$505,0)),""))</f>
        <v/>
      </c>
      <c r="I44" s="11" t="str">
        <f aca="false">IF($B44="","",IFERROR(INDEX(원자재마스터!$L$3:$L$502,MATCH("R"&amp;39,규격검색!$N$6:$N$505,0)),""))</f>
        <v/>
      </c>
      <c r="L44" s="21" t="b">
        <f aca="false">IF(원자재마스터!$A41="",FALSE(),AND(IF($B$3="",TRUE(),ISNUMBER(SEARCH($B$3,원자재마스터!$B41&amp;" "&amp;원자재마스터!$C41&amp;" "&amp;원자재마스터!$G41&amp;" "&amp;원자재마스터!$A41))),IF($E$3="",TRUE(),ISNUMBER(SEARCH($E$3,원자재마스터!$C41)))))</f>
        <v>0</v>
      </c>
      <c r="M44" s="5" t="str">
        <f aca="false">IF($L44=FALSE(),"",COUNTIF($L$6:$L44,TRUE()))</f>
        <v/>
      </c>
      <c r="N44" s="5" t="str">
        <f aca="false">IF($M44="","","R"&amp;$M44)</f>
        <v/>
      </c>
    </row>
    <row r="45" customFormat="false" ht="15" hidden="false" customHeight="true" outlineLevel="0" collapsed="false">
      <c r="A45" s="19" t="str">
        <f aca="false">IF($B45="","",40)</f>
        <v/>
      </c>
      <c r="B45" s="11" t="str">
        <f aca="false">IFERROR(INDEX(원자재마스터!$A$3:$A$502,MATCH("R"&amp;40,규격검색!$N$6:$N$505,0)),"")</f>
        <v/>
      </c>
      <c r="C45" s="11" t="str">
        <f aca="false">IF($B45="","",IFERROR(INDEX(원자재마스터!$B$3:$B$502,MATCH("R"&amp;40,규격검색!$N$6:$N$505,0)),""))</f>
        <v/>
      </c>
      <c r="D45" s="19" t="str">
        <f aca="false">IF($B45="","",IFERROR(INDEX(원자재마스터!$C$3:$C$502,MATCH("R"&amp;40,규격검색!$N$6:$N$505,0)),""))</f>
        <v/>
      </c>
      <c r="E45" s="11" t="str">
        <f aca="false">IF($B45="","",IFERROR(INDEX(원자재마스터!$G$3:$G$502,MATCH("R"&amp;40,규격검색!$N$6:$N$505,0)),""))</f>
        <v/>
      </c>
      <c r="F45" s="13" t="str">
        <f aca="false">IF($B45="","",IFERROR(INDEX(원자재마스터!$I$3:$I$502,MATCH("R"&amp;40,규격검색!$N$6:$N$505,0)),""))</f>
        <v/>
      </c>
      <c r="G45" s="19" t="str">
        <f aca="false">IF($B45="","",IFERROR(INDEX(원자재마스터!$J$3:$J$502,MATCH("R"&amp;40,규격검색!$N$6:$N$505,0)),""))</f>
        <v/>
      </c>
      <c r="H45" s="20" t="str">
        <f aca="false">IF($B45="","",IFERROR(INDEX(원자재마스터!$K$3:$K$502,MATCH("R"&amp;40,규격검색!$N$6:$N$505,0)),""))</f>
        <v/>
      </c>
      <c r="I45" s="11" t="str">
        <f aca="false">IF($B45="","",IFERROR(INDEX(원자재마스터!$L$3:$L$502,MATCH("R"&amp;40,규격검색!$N$6:$N$505,0)),""))</f>
        <v/>
      </c>
      <c r="L45" s="21" t="b">
        <f aca="false">IF(원자재마스터!$A42="",FALSE(),AND(IF($B$3="",TRUE(),ISNUMBER(SEARCH($B$3,원자재마스터!$B42&amp;" "&amp;원자재마스터!$C42&amp;" "&amp;원자재마스터!$G42&amp;" "&amp;원자재마스터!$A42))),IF($E$3="",TRUE(),ISNUMBER(SEARCH($E$3,원자재마스터!$C42)))))</f>
        <v>0</v>
      </c>
      <c r="M45" s="5" t="str">
        <f aca="false">IF($L45=FALSE(),"",COUNTIF($L$6:$L45,TRUE()))</f>
        <v/>
      </c>
      <c r="N45" s="5" t="str">
        <f aca="false">IF($M45="","","R"&amp;$M45)</f>
        <v/>
      </c>
    </row>
    <row r="46" customFormat="false" ht="15" hidden="false" customHeight="true" outlineLevel="0" collapsed="false">
      <c r="A46" s="19" t="str">
        <f aca="false">IF($B46="","",41)</f>
        <v/>
      </c>
      <c r="B46" s="11" t="str">
        <f aca="false">IFERROR(INDEX(원자재마스터!$A$3:$A$502,MATCH("R"&amp;41,규격검색!$N$6:$N$505,0)),"")</f>
        <v/>
      </c>
      <c r="C46" s="11" t="str">
        <f aca="false">IF($B46="","",IFERROR(INDEX(원자재마스터!$B$3:$B$502,MATCH("R"&amp;41,규격검색!$N$6:$N$505,0)),""))</f>
        <v/>
      </c>
      <c r="D46" s="19" t="str">
        <f aca="false">IF($B46="","",IFERROR(INDEX(원자재마스터!$C$3:$C$502,MATCH("R"&amp;41,규격검색!$N$6:$N$505,0)),""))</f>
        <v/>
      </c>
      <c r="E46" s="11" t="str">
        <f aca="false">IF($B46="","",IFERROR(INDEX(원자재마스터!$G$3:$G$502,MATCH("R"&amp;41,규격검색!$N$6:$N$505,0)),""))</f>
        <v/>
      </c>
      <c r="F46" s="13" t="str">
        <f aca="false">IF($B46="","",IFERROR(INDEX(원자재마스터!$I$3:$I$502,MATCH("R"&amp;41,규격검색!$N$6:$N$505,0)),""))</f>
        <v/>
      </c>
      <c r="G46" s="19" t="str">
        <f aca="false">IF($B46="","",IFERROR(INDEX(원자재마스터!$J$3:$J$502,MATCH("R"&amp;41,규격검색!$N$6:$N$505,0)),""))</f>
        <v/>
      </c>
      <c r="H46" s="20" t="str">
        <f aca="false">IF($B46="","",IFERROR(INDEX(원자재마스터!$K$3:$K$502,MATCH("R"&amp;41,규격검색!$N$6:$N$505,0)),""))</f>
        <v/>
      </c>
      <c r="I46" s="11" t="str">
        <f aca="false">IF($B46="","",IFERROR(INDEX(원자재마스터!$L$3:$L$502,MATCH("R"&amp;41,규격검색!$N$6:$N$505,0)),""))</f>
        <v/>
      </c>
      <c r="L46" s="21" t="b">
        <f aca="false">IF(원자재마스터!$A43="",FALSE(),AND(IF($B$3="",TRUE(),ISNUMBER(SEARCH($B$3,원자재마스터!$B43&amp;" "&amp;원자재마스터!$C43&amp;" "&amp;원자재마스터!$G43&amp;" "&amp;원자재마스터!$A43))),IF($E$3="",TRUE(),ISNUMBER(SEARCH($E$3,원자재마스터!$C43)))))</f>
        <v>0</v>
      </c>
      <c r="M46" s="5" t="str">
        <f aca="false">IF($L46=FALSE(),"",COUNTIF($L$6:$L46,TRUE()))</f>
        <v/>
      </c>
      <c r="N46" s="5" t="str">
        <f aca="false">IF($M46="","","R"&amp;$M46)</f>
        <v/>
      </c>
    </row>
    <row r="47" customFormat="false" ht="15" hidden="false" customHeight="true" outlineLevel="0" collapsed="false">
      <c r="A47" s="19" t="str">
        <f aca="false">IF($B47="","",42)</f>
        <v/>
      </c>
      <c r="B47" s="11" t="str">
        <f aca="false">IFERROR(INDEX(원자재마스터!$A$3:$A$502,MATCH("R"&amp;42,규격검색!$N$6:$N$505,0)),"")</f>
        <v/>
      </c>
      <c r="C47" s="11" t="str">
        <f aca="false">IF($B47="","",IFERROR(INDEX(원자재마스터!$B$3:$B$502,MATCH("R"&amp;42,규격검색!$N$6:$N$505,0)),""))</f>
        <v/>
      </c>
      <c r="D47" s="19" t="str">
        <f aca="false">IF($B47="","",IFERROR(INDEX(원자재마스터!$C$3:$C$502,MATCH("R"&amp;42,규격검색!$N$6:$N$505,0)),""))</f>
        <v/>
      </c>
      <c r="E47" s="11" t="str">
        <f aca="false">IF($B47="","",IFERROR(INDEX(원자재마스터!$G$3:$G$502,MATCH("R"&amp;42,규격검색!$N$6:$N$505,0)),""))</f>
        <v/>
      </c>
      <c r="F47" s="13" t="str">
        <f aca="false">IF($B47="","",IFERROR(INDEX(원자재마스터!$I$3:$I$502,MATCH("R"&amp;42,규격검색!$N$6:$N$505,0)),""))</f>
        <v/>
      </c>
      <c r="G47" s="19" t="str">
        <f aca="false">IF($B47="","",IFERROR(INDEX(원자재마스터!$J$3:$J$502,MATCH("R"&amp;42,규격검색!$N$6:$N$505,0)),""))</f>
        <v/>
      </c>
      <c r="H47" s="20" t="str">
        <f aca="false">IF($B47="","",IFERROR(INDEX(원자재마스터!$K$3:$K$502,MATCH("R"&amp;42,규격검색!$N$6:$N$505,0)),""))</f>
        <v/>
      </c>
      <c r="I47" s="11" t="str">
        <f aca="false">IF($B47="","",IFERROR(INDEX(원자재마스터!$L$3:$L$502,MATCH("R"&amp;42,규격검색!$N$6:$N$505,0)),""))</f>
        <v/>
      </c>
      <c r="L47" s="21" t="b">
        <f aca="false">IF(원자재마스터!$A44="",FALSE(),AND(IF($B$3="",TRUE(),ISNUMBER(SEARCH($B$3,원자재마스터!$B44&amp;" "&amp;원자재마스터!$C44&amp;" "&amp;원자재마스터!$G44&amp;" "&amp;원자재마스터!$A44))),IF($E$3="",TRUE(),ISNUMBER(SEARCH($E$3,원자재마스터!$C44)))))</f>
        <v>0</v>
      </c>
      <c r="M47" s="5" t="str">
        <f aca="false">IF($L47=FALSE(),"",COUNTIF($L$6:$L47,TRUE()))</f>
        <v/>
      </c>
      <c r="N47" s="5" t="str">
        <f aca="false">IF($M47="","","R"&amp;$M47)</f>
        <v/>
      </c>
    </row>
    <row r="48" customFormat="false" ht="15" hidden="false" customHeight="true" outlineLevel="0" collapsed="false">
      <c r="A48" s="19" t="str">
        <f aca="false">IF($B48="","",43)</f>
        <v/>
      </c>
      <c r="B48" s="11" t="str">
        <f aca="false">IFERROR(INDEX(원자재마스터!$A$3:$A$502,MATCH("R"&amp;43,규격검색!$N$6:$N$505,0)),"")</f>
        <v/>
      </c>
      <c r="C48" s="11" t="str">
        <f aca="false">IF($B48="","",IFERROR(INDEX(원자재마스터!$B$3:$B$502,MATCH("R"&amp;43,규격검색!$N$6:$N$505,0)),""))</f>
        <v/>
      </c>
      <c r="D48" s="19" t="str">
        <f aca="false">IF($B48="","",IFERROR(INDEX(원자재마스터!$C$3:$C$502,MATCH("R"&amp;43,규격검색!$N$6:$N$505,0)),""))</f>
        <v/>
      </c>
      <c r="E48" s="11" t="str">
        <f aca="false">IF($B48="","",IFERROR(INDEX(원자재마스터!$G$3:$G$502,MATCH("R"&amp;43,규격검색!$N$6:$N$505,0)),""))</f>
        <v/>
      </c>
      <c r="F48" s="13" t="str">
        <f aca="false">IF($B48="","",IFERROR(INDEX(원자재마스터!$I$3:$I$502,MATCH("R"&amp;43,규격검색!$N$6:$N$505,0)),""))</f>
        <v/>
      </c>
      <c r="G48" s="19" t="str">
        <f aca="false">IF($B48="","",IFERROR(INDEX(원자재마스터!$J$3:$J$502,MATCH("R"&amp;43,규격검색!$N$6:$N$505,0)),""))</f>
        <v/>
      </c>
      <c r="H48" s="20" t="str">
        <f aca="false">IF($B48="","",IFERROR(INDEX(원자재마스터!$K$3:$K$502,MATCH("R"&amp;43,규격검색!$N$6:$N$505,0)),""))</f>
        <v/>
      </c>
      <c r="I48" s="11" t="str">
        <f aca="false">IF($B48="","",IFERROR(INDEX(원자재마스터!$L$3:$L$502,MATCH("R"&amp;43,규격검색!$N$6:$N$505,0)),""))</f>
        <v/>
      </c>
      <c r="L48" s="21" t="b">
        <f aca="false">IF(원자재마스터!$A45="",FALSE(),AND(IF($B$3="",TRUE(),ISNUMBER(SEARCH($B$3,원자재마스터!$B45&amp;" "&amp;원자재마스터!$C45&amp;" "&amp;원자재마스터!$G45&amp;" "&amp;원자재마스터!$A45))),IF($E$3="",TRUE(),ISNUMBER(SEARCH($E$3,원자재마스터!$C45)))))</f>
        <v>0</v>
      </c>
      <c r="M48" s="5" t="str">
        <f aca="false">IF($L48=FALSE(),"",COUNTIF($L$6:$L48,TRUE()))</f>
        <v/>
      </c>
      <c r="N48" s="5" t="str">
        <f aca="false">IF($M48="","","R"&amp;$M48)</f>
        <v/>
      </c>
    </row>
    <row r="49" customFormat="false" ht="15" hidden="false" customHeight="true" outlineLevel="0" collapsed="false">
      <c r="A49" s="19" t="str">
        <f aca="false">IF($B49="","",44)</f>
        <v/>
      </c>
      <c r="B49" s="11" t="str">
        <f aca="false">IFERROR(INDEX(원자재마스터!$A$3:$A$502,MATCH("R"&amp;44,규격검색!$N$6:$N$505,0)),"")</f>
        <v/>
      </c>
      <c r="C49" s="11" t="str">
        <f aca="false">IF($B49="","",IFERROR(INDEX(원자재마스터!$B$3:$B$502,MATCH("R"&amp;44,규격검색!$N$6:$N$505,0)),""))</f>
        <v/>
      </c>
      <c r="D49" s="19" t="str">
        <f aca="false">IF($B49="","",IFERROR(INDEX(원자재마스터!$C$3:$C$502,MATCH("R"&amp;44,규격검색!$N$6:$N$505,0)),""))</f>
        <v/>
      </c>
      <c r="E49" s="11" t="str">
        <f aca="false">IF($B49="","",IFERROR(INDEX(원자재마스터!$G$3:$G$502,MATCH("R"&amp;44,규격검색!$N$6:$N$505,0)),""))</f>
        <v/>
      </c>
      <c r="F49" s="13" t="str">
        <f aca="false">IF($B49="","",IFERROR(INDEX(원자재마스터!$I$3:$I$502,MATCH("R"&amp;44,규격검색!$N$6:$N$505,0)),""))</f>
        <v/>
      </c>
      <c r="G49" s="19" t="str">
        <f aca="false">IF($B49="","",IFERROR(INDEX(원자재마스터!$J$3:$J$502,MATCH("R"&amp;44,규격검색!$N$6:$N$505,0)),""))</f>
        <v/>
      </c>
      <c r="H49" s="20" t="str">
        <f aca="false">IF($B49="","",IFERROR(INDEX(원자재마스터!$K$3:$K$502,MATCH("R"&amp;44,규격검색!$N$6:$N$505,0)),""))</f>
        <v/>
      </c>
      <c r="I49" s="11" t="str">
        <f aca="false">IF($B49="","",IFERROR(INDEX(원자재마스터!$L$3:$L$502,MATCH("R"&amp;44,규격검색!$N$6:$N$505,0)),""))</f>
        <v/>
      </c>
      <c r="L49" s="21" t="b">
        <f aca="false">IF(원자재마스터!$A46="",FALSE(),AND(IF($B$3="",TRUE(),ISNUMBER(SEARCH($B$3,원자재마스터!$B46&amp;" "&amp;원자재마스터!$C46&amp;" "&amp;원자재마스터!$G46&amp;" "&amp;원자재마스터!$A46))),IF($E$3="",TRUE(),ISNUMBER(SEARCH($E$3,원자재마스터!$C46)))))</f>
        <v>0</v>
      </c>
      <c r="M49" s="5" t="str">
        <f aca="false">IF($L49=FALSE(),"",COUNTIF($L$6:$L49,TRUE()))</f>
        <v/>
      </c>
      <c r="N49" s="5" t="str">
        <f aca="false">IF($M49="","","R"&amp;$M49)</f>
        <v/>
      </c>
    </row>
    <row r="50" customFormat="false" ht="15" hidden="false" customHeight="true" outlineLevel="0" collapsed="false">
      <c r="A50" s="19" t="str">
        <f aca="false">IF($B50="","",45)</f>
        <v/>
      </c>
      <c r="B50" s="11" t="str">
        <f aca="false">IFERROR(INDEX(원자재마스터!$A$3:$A$502,MATCH("R"&amp;45,규격검색!$N$6:$N$505,0)),"")</f>
        <v/>
      </c>
      <c r="C50" s="11" t="str">
        <f aca="false">IF($B50="","",IFERROR(INDEX(원자재마스터!$B$3:$B$502,MATCH("R"&amp;45,규격검색!$N$6:$N$505,0)),""))</f>
        <v/>
      </c>
      <c r="D50" s="19" t="str">
        <f aca="false">IF($B50="","",IFERROR(INDEX(원자재마스터!$C$3:$C$502,MATCH("R"&amp;45,규격검색!$N$6:$N$505,0)),""))</f>
        <v/>
      </c>
      <c r="E50" s="11" t="str">
        <f aca="false">IF($B50="","",IFERROR(INDEX(원자재마스터!$G$3:$G$502,MATCH("R"&amp;45,규격검색!$N$6:$N$505,0)),""))</f>
        <v/>
      </c>
      <c r="F50" s="13" t="str">
        <f aca="false">IF($B50="","",IFERROR(INDEX(원자재마스터!$I$3:$I$502,MATCH("R"&amp;45,규격검색!$N$6:$N$505,0)),""))</f>
        <v/>
      </c>
      <c r="G50" s="19" t="str">
        <f aca="false">IF($B50="","",IFERROR(INDEX(원자재마스터!$J$3:$J$502,MATCH("R"&amp;45,규격검색!$N$6:$N$505,0)),""))</f>
        <v/>
      </c>
      <c r="H50" s="20" t="str">
        <f aca="false">IF($B50="","",IFERROR(INDEX(원자재마스터!$K$3:$K$502,MATCH("R"&amp;45,규격검색!$N$6:$N$505,0)),""))</f>
        <v/>
      </c>
      <c r="I50" s="11" t="str">
        <f aca="false">IF($B50="","",IFERROR(INDEX(원자재마스터!$L$3:$L$502,MATCH("R"&amp;45,규격검색!$N$6:$N$505,0)),""))</f>
        <v/>
      </c>
      <c r="L50" s="21" t="b">
        <f aca="false">IF(원자재마스터!$A47="",FALSE(),AND(IF($B$3="",TRUE(),ISNUMBER(SEARCH($B$3,원자재마스터!$B47&amp;" "&amp;원자재마스터!$C47&amp;" "&amp;원자재마스터!$G47&amp;" "&amp;원자재마스터!$A47))),IF($E$3="",TRUE(),ISNUMBER(SEARCH($E$3,원자재마스터!$C47)))))</f>
        <v>0</v>
      </c>
      <c r="M50" s="5" t="str">
        <f aca="false">IF($L50=FALSE(),"",COUNTIF($L$6:$L50,TRUE()))</f>
        <v/>
      </c>
      <c r="N50" s="5" t="str">
        <f aca="false">IF($M50="","","R"&amp;$M50)</f>
        <v/>
      </c>
    </row>
    <row r="51" customFormat="false" ht="15" hidden="false" customHeight="true" outlineLevel="0" collapsed="false">
      <c r="A51" s="19" t="str">
        <f aca="false">IF($B51="","",46)</f>
        <v/>
      </c>
      <c r="B51" s="11" t="str">
        <f aca="false">IFERROR(INDEX(원자재마스터!$A$3:$A$502,MATCH("R"&amp;46,규격검색!$N$6:$N$505,0)),"")</f>
        <v/>
      </c>
      <c r="C51" s="11" t="str">
        <f aca="false">IF($B51="","",IFERROR(INDEX(원자재마스터!$B$3:$B$502,MATCH("R"&amp;46,규격검색!$N$6:$N$505,0)),""))</f>
        <v/>
      </c>
      <c r="D51" s="19" t="str">
        <f aca="false">IF($B51="","",IFERROR(INDEX(원자재마스터!$C$3:$C$502,MATCH("R"&amp;46,규격검색!$N$6:$N$505,0)),""))</f>
        <v/>
      </c>
      <c r="E51" s="11" t="str">
        <f aca="false">IF($B51="","",IFERROR(INDEX(원자재마스터!$G$3:$G$502,MATCH("R"&amp;46,규격검색!$N$6:$N$505,0)),""))</f>
        <v/>
      </c>
      <c r="F51" s="13" t="str">
        <f aca="false">IF($B51="","",IFERROR(INDEX(원자재마스터!$I$3:$I$502,MATCH("R"&amp;46,규격검색!$N$6:$N$505,0)),""))</f>
        <v/>
      </c>
      <c r="G51" s="19" t="str">
        <f aca="false">IF($B51="","",IFERROR(INDEX(원자재마스터!$J$3:$J$502,MATCH("R"&amp;46,규격검색!$N$6:$N$505,0)),""))</f>
        <v/>
      </c>
      <c r="H51" s="20" t="str">
        <f aca="false">IF($B51="","",IFERROR(INDEX(원자재마스터!$K$3:$K$502,MATCH("R"&amp;46,규격검색!$N$6:$N$505,0)),""))</f>
        <v/>
      </c>
      <c r="I51" s="11" t="str">
        <f aca="false">IF($B51="","",IFERROR(INDEX(원자재마스터!$L$3:$L$502,MATCH("R"&amp;46,규격검색!$N$6:$N$505,0)),""))</f>
        <v/>
      </c>
      <c r="L51" s="21" t="b">
        <f aca="false">IF(원자재마스터!$A48="",FALSE(),AND(IF($B$3="",TRUE(),ISNUMBER(SEARCH($B$3,원자재마스터!$B48&amp;" "&amp;원자재마스터!$C48&amp;" "&amp;원자재마스터!$G48&amp;" "&amp;원자재마스터!$A48))),IF($E$3="",TRUE(),ISNUMBER(SEARCH($E$3,원자재마스터!$C48)))))</f>
        <v>0</v>
      </c>
      <c r="M51" s="5" t="str">
        <f aca="false">IF($L51=FALSE(),"",COUNTIF($L$6:$L51,TRUE()))</f>
        <v/>
      </c>
      <c r="N51" s="5" t="str">
        <f aca="false">IF($M51="","","R"&amp;$M51)</f>
        <v/>
      </c>
    </row>
    <row r="52" customFormat="false" ht="15" hidden="false" customHeight="true" outlineLevel="0" collapsed="false">
      <c r="A52" s="19" t="str">
        <f aca="false">IF($B52="","",47)</f>
        <v/>
      </c>
      <c r="B52" s="11" t="str">
        <f aca="false">IFERROR(INDEX(원자재마스터!$A$3:$A$502,MATCH("R"&amp;47,규격검색!$N$6:$N$505,0)),"")</f>
        <v/>
      </c>
      <c r="C52" s="11" t="str">
        <f aca="false">IF($B52="","",IFERROR(INDEX(원자재마스터!$B$3:$B$502,MATCH("R"&amp;47,규격검색!$N$6:$N$505,0)),""))</f>
        <v/>
      </c>
      <c r="D52" s="19" t="str">
        <f aca="false">IF($B52="","",IFERROR(INDEX(원자재마스터!$C$3:$C$502,MATCH("R"&amp;47,규격검색!$N$6:$N$505,0)),""))</f>
        <v/>
      </c>
      <c r="E52" s="11" t="str">
        <f aca="false">IF($B52="","",IFERROR(INDEX(원자재마스터!$G$3:$G$502,MATCH("R"&amp;47,규격검색!$N$6:$N$505,0)),""))</f>
        <v/>
      </c>
      <c r="F52" s="13" t="str">
        <f aca="false">IF($B52="","",IFERROR(INDEX(원자재마스터!$I$3:$I$502,MATCH("R"&amp;47,규격검색!$N$6:$N$505,0)),""))</f>
        <v/>
      </c>
      <c r="G52" s="19" t="str">
        <f aca="false">IF($B52="","",IFERROR(INDEX(원자재마스터!$J$3:$J$502,MATCH("R"&amp;47,규격검색!$N$6:$N$505,0)),""))</f>
        <v/>
      </c>
      <c r="H52" s="20" t="str">
        <f aca="false">IF($B52="","",IFERROR(INDEX(원자재마스터!$K$3:$K$502,MATCH("R"&amp;47,규격검색!$N$6:$N$505,0)),""))</f>
        <v/>
      </c>
      <c r="I52" s="11" t="str">
        <f aca="false">IF($B52="","",IFERROR(INDEX(원자재마스터!$L$3:$L$502,MATCH("R"&amp;47,규격검색!$N$6:$N$505,0)),""))</f>
        <v/>
      </c>
      <c r="L52" s="21" t="b">
        <f aca="false">IF(원자재마스터!$A49="",FALSE(),AND(IF($B$3="",TRUE(),ISNUMBER(SEARCH($B$3,원자재마스터!$B49&amp;" "&amp;원자재마스터!$C49&amp;" "&amp;원자재마스터!$G49&amp;" "&amp;원자재마스터!$A49))),IF($E$3="",TRUE(),ISNUMBER(SEARCH($E$3,원자재마스터!$C49)))))</f>
        <v>0</v>
      </c>
      <c r="M52" s="5" t="str">
        <f aca="false">IF($L52=FALSE(),"",COUNTIF($L$6:$L52,TRUE()))</f>
        <v/>
      </c>
      <c r="N52" s="5" t="str">
        <f aca="false">IF($M52="","","R"&amp;$M52)</f>
        <v/>
      </c>
    </row>
    <row r="53" customFormat="false" ht="15" hidden="false" customHeight="true" outlineLevel="0" collapsed="false">
      <c r="A53" s="19" t="str">
        <f aca="false">IF($B53="","",48)</f>
        <v/>
      </c>
      <c r="B53" s="11" t="str">
        <f aca="false">IFERROR(INDEX(원자재마스터!$A$3:$A$502,MATCH("R"&amp;48,규격검색!$N$6:$N$505,0)),"")</f>
        <v/>
      </c>
      <c r="C53" s="11" t="str">
        <f aca="false">IF($B53="","",IFERROR(INDEX(원자재마스터!$B$3:$B$502,MATCH("R"&amp;48,규격검색!$N$6:$N$505,0)),""))</f>
        <v/>
      </c>
      <c r="D53" s="19" t="str">
        <f aca="false">IF($B53="","",IFERROR(INDEX(원자재마스터!$C$3:$C$502,MATCH("R"&amp;48,규격검색!$N$6:$N$505,0)),""))</f>
        <v/>
      </c>
      <c r="E53" s="11" t="str">
        <f aca="false">IF($B53="","",IFERROR(INDEX(원자재마스터!$G$3:$G$502,MATCH("R"&amp;48,규격검색!$N$6:$N$505,0)),""))</f>
        <v/>
      </c>
      <c r="F53" s="13" t="str">
        <f aca="false">IF($B53="","",IFERROR(INDEX(원자재마스터!$I$3:$I$502,MATCH("R"&amp;48,규격검색!$N$6:$N$505,0)),""))</f>
        <v/>
      </c>
      <c r="G53" s="19" t="str">
        <f aca="false">IF($B53="","",IFERROR(INDEX(원자재마스터!$J$3:$J$502,MATCH("R"&amp;48,규격검색!$N$6:$N$505,0)),""))</f>
        <v/>
      </c>
      <c r="H53" s="20" t="str">
        <f aca="false">IF($B53="","",IFERROR(INDEX(원자재마스터!$K$3:$K$502,MATCH("R"&amp;48,규격검색!$N$6:$N$505,0)),""))</f>
        <v/>
      </c>
      <c r="I53" s="11" t="str">
        <f aca="false">IF($B53="","",IFERROR(INDEX(원자재마스터!$L$3:$L$502,MATCH("R"&amp;48,규격검색!$N$6:$N$505,0)),""))</f>
        <v/>
      </c>
      <c r="L53" s="21" t="b">
        <f aca="false">IF(원자재마스터!$A50="",FALSE(),AND(IF($B$3="",TRUE(),ISNUMBER(SEARCH($B$3,원자재마스터!$B50&amp;" "&amp;원자재마스터!$C50&amp;" "&amp;원자재마스터!$G50&amp;" "&amp;원자재마스터!$A50))),IF($E$3="",TRUE(),ISNUMBER(SEARCH($E$3,원자재마스터!$C50)))))</f>
        <v>0</v>
      </c>
      <c r="M53" s="5" t="str">
        <f aca="false">IF($L53=FALSE(),"",COUNTIF($L$6:$L53,TRUE()))</f>
        <v/>
      </c>
      <c r="N53" s="5" t="str">
        <f aca="false">IF($M53="","","R"&amp;$M53)</f>
        <v/>
      </c>
    </row>
    <row r="54" customFormat="false" ht="15" hidden="false" customHeight="true" outlineLevel="0" collapsed="false">
      <c r="A54" s="19" t="str">
        <f aca="false">IF($B54="","",49)</f>
        <v/>
      </c>
      <c r="B54" s="11" t="str">
        <f aca="false">IFERROR(INDEX(원자재마스터!$A$3:$A$502,MATCH("R"&amp;49,규격검색!$N$6:$N$505,0)),"")</f>
        <v/>
      </c>
      <c r="C54" s="11" t="str">
        <f aca="false">IF($B54="","",IFERROR(INDEX(원자재마스터!$B$3:$B$502,MATCH("R"&amp;49,규격검색!$N$6:$N$505,0)),""))</f>
        <v/>
      </c>
      <c r="D54" s="19" t="str">
        <f aca="false">IF($B54="","",IFERROR(INDEX(원자재마스터!$C$3:$C$502,MATCH("R"&amp;49,규격검색!$N$6:$N$505,0)),""))</f>
        <v/>
      </c>
      <c r="E54" s="11" t="str">
        <f aca="false">IF($B54="","",IFERROR(INDEX(원자재마스터!$G$3:$G$502,MATCH("R"&amp;49,규격검색!$N$6:$N$505,0)),""))</f>
        <v/>
      </c>
      <c r="F54" s="13" t="str">
        <f aca="false">IF($B54="","",IFERROR(INDEX(원자재마스터!$I$3:$I$502,MATCH("R"&amp;49,규격검색!$N$6:$N$505,0)),""))</f>
        <v/>
      </c>
      <c r="G54" s="19" t="str">
        <f aca="false">IF($B54="","",IFERROR(INDEX(원자재마스터!$J$3:$J$502,MATCH("R"&amp;49,규격검색!$N$6:$N$505,0)),""))</f>
        <v/>
      </c>
      <c r="H54" s="20" t="str">
        <f aca="false">IF($B54="","",IFERROR(INDEX(원자재마스터!$K$3:$K$502,MATCH("R"&amp;49,규격검색!$N$6:$N$505,0)),""))</f>
        <v/>
      </c>
      <c r="I54" s="11" t="str">
        <f aca="false">IF($B54="","",IFERROR(INDEX(원자재마스터!$L$3:$L$502,MATCH("R"&amp;49,규격검색!$N$6:$N$505,0)),""))</f>
        <v/>
      </c>
      <c r="L54" s="21" t="b">
        <f aca="false">IF(원자재마스터!$A51="",FALSE(),AND(IF($B$3="",TRUE(),ISNUMBER(SEARCH($B$3,원자재마스터!$B51&amp;" "&amp;원자재마스터!$C51&amp;" "&amp;원자재마스터!$G51&amp;" "&amp;원자재마스터!$A51))),IF($E$3="",TRUE(),ISNUMBER(SEARCH($E$3,원자재마스터!$C51)))))</f>
        <v>0</v>
      </c>
      <c r="M54" s="5" t="str">
        <f aca="false">IF($L54=FALSE(),"",COUNTIF($L$6:$L54,TRUE()))</f>
        <v/>
      </c>
      <c r="N54" s="5" t="str">
        <f aca="false">IF($M54="","","R"&amp;$M54)</f>
        <v/>
      </c>
    </row>
    <row r="55" customFormat="false" ht="15" hidden="false" customHeight="true" outlineLevel="0" collapsed="false">
      <c r="A55" s="19" t="str">
        <f aca="false">IF($B55="","",50)</f>
        <v/>
      </c>
      <c r="B55" s="11" t="str">
        <f aca="false">IFERROR(INDEX(원자재마스터!$A$3:$A$502,MATCH("R"&amp;50,규격검색!$N$6:$N$505,0)),"")</f>
        <v/>
      </c>
      <c r="C55" s="11" t="str">
        <f aca="false">IF($B55="","",IFERROR(INDEX(원자재마스터!$B$3:$B$502,MATCH("R"&amp;50,규격검색!$N$6:$N$505,0)),""))</f>
        <v/>
      </c>
      <c r="D55" s="19" t="str">
        <f aca="false">IF($B55="","",IFERROR(INDEX(원자재마스터!$C$3:$C$502,MATCH("R"&amp;50,규격검색!$N$6:$N$505,0)),""))</f>
        <v/>
      </c>
      <c r="E55" s="11" t="str">
        <f aca="false">IF($B55="","",IFERROR(INDEX(원자재마스터!$G$3:$G$502,MATCH("R"&amp;50,규격검색!$N$6:$N$505,0)),""))</f>
        <v/>
      </c>
      <c r="F55" s="13" t="str">
        <f aca="false">IF($B55="","",IFERROR(INDEX(원자재마스터!$I$3:$I$502,MATCH("R"&amp;50,규격검색!$N$6:$N$505,0)),""))</f>
        <v/>
      </c>
      <c r="G55" s="19" t="str">
        <f aca="false">IF($B55="","",IFERROR(INDEX(원자재마스터!$J$3:$J$502,MATCH("R"&amp;50,규격검색!$N$6:$N$505,0)),""))</f>
        <v/>
      </c>
      <c r="H55" s="20" t="str">
        <f aca="false">IF($B55="","",IFERROR(INDEX(원자재마스터!$K$3:$K$502,MATCH("R"&amp;50,규격검색!$N$6:$N$505,0)),""))</f>
        <v/>
      </c>
      <c r="I55" s="11" t="str">
        <f aca="false">IF($B55="","",IFERROR(INDEX(원자재마스터!$L$3:$L$502,MATCH("R"&amp;50,규격검색!$N$6:$N$505,0)),""))</f>
        <v/>
      </c>
      <c r="L55" s="21" t="b">
        <f aca="false">IF(원자재마스터!$A52="",FALSE(),AND(IF($B$3="",TRUE(),ISNUMBER(SEARCH($B$3,원자재마스터!$B52&amp;" "&amp;원자재마스터!$C52&amp;" "&amp;원자재마스터!$G52&amp;" "&amp;원자재마스터!$A52))),IF($E$3="",TRUE(),ISNUMBER(SEARCH($E$3,원자재마스터!$C52)))))</f>
        <v>0</v>
      </c>
      <c r="M55" s="5" t="str">
        <f aca="false">IF($L55=FALSE(),"",COUNTIF($L$6:$L55,TRUE()))</f>
        <v/>
      </c>
      <c r="N55" s="5" t="str">
        <f aca="false">IF($M55="","","R"&amp;$M55)</f>
        <v/>
      </c>
    </row>
    <row r="56" customFormat="false" ht="15" hidden="false" customHeight="true" outlineLevel="0" collapsed="false">
      <c r="A56" s="19" t="str">
        <f aca="false">IF($B56="","",51)</f>
        <v/>
      </c>
      <c r="B56" s="11" t="str">
        <f aca="false">IFERROR(INDEX(원자재마스터!$A$3:$A$502,MATCH("R"&amp;51,규격검색!$N$6:$N$505,0)),"")</f>
        <v/>
      </c>
      <c r="C56" s="11" t="str">
        <f aca="false">IF($B56="","",IFERROR(INDEX(원자재마스터!$B$3:$B$502,MATCH("R"&amp;51,규격검색!$N$6:$N$505,0)),""))</f>
        <v/>
      </c>
      <c r="D56" s="19" t="str">
        <f aca="false">IF($B56="","",IFERROR(INDEX(원자재마스터!$C$3:$C$502,MATCH("R"&amp;51,규격검색!$N$6:$N$505,0)),""))</f>
        <v/>
      </c>
      <c r="E56" s="11" t="str">
        <f aca="false">IF($B56="","",IFERROR(INDEX(원자재마스터!$G$3:$G$502,MATCH("R"&amp;51,규격검색!$N$6:$N$505,0)),""))</f>
        <v/>
      </c>
      <c r="F56" s="13" t="str">
        <f aca="false">IF($B56="","",IFERROR(INDEX(원자재마스터!$I$3:$I$502,MATCH("R"&amp;51,규격검색!$N$6:$N$505,0)),""))</f>
        <v/>
      </c>
      <c r="G56" s="19" t="str">
        <f aca="false">IF($B56="","",IFERROR(INDEX(원자재마스터!$J$3:$J$502,MATCH("R"&amp;51,규격검색!$N$6:$N$505,0)),""))</f>
        <v/>
      </c>
      <c r="H56" s="20" t="str">
        <f aca="false">IF($B56="","",IFERROR(INDEX(원자재마스터!$K$3:$K$502,MATCH("R"&amp;51,규격검색!$N$6:$N$505,0)),""))</f>
        <v/>
      </c>
      <c r="I56" s="11" t="str">
        <f aca="false">IF($B56="","",IFERROR(INDEX(원자재마스터!$L$3:$L$502,MATCH("R"&amp;51,규격검색!$N$6:$N$505,0)),""))</f>
        <v/>
      </c>
      <c r="L56" s="21" t="b">
        <f aca="false">IF(원자재마스터!$A53="",FALSE(),AND(IF($B$3="",TRUE(),ISNUMBER(SEARCH($B$3,원자재마스터!$B53&amp;" "&amp;원자재마스터!$C53&amp;" "&amp;원자재마스터!$G53&amp;" "&amp;원자재마스터!$A53))),IF($E$3="",TRUE(),ISNUMBER(SEARCH($E$3,원자재마스터!$C53)))))</f>
        <v>0</v>
      </c>
      <c r="M56" s="5" t="str">
        <f aca="false">IF($L56=FALSE(),"",COUNTIF($L$6:$L56,TRUE()))</f>
        <v/>
      </c>
      <c r="N56" s="5" t="str">
        <f aca="false">IF($M56="","","R"&amp;$M56)</f>
        <v/>
      </c>
    </row>
    <row r="57" customFormat="false" ht="15" hidden="false" customHeight="true" outlineLevel="0" collapsed="false">
      <c r="A57" s="19" t="str">
        <f aca="false">IF($B57="","",52)</f>
        <v/>
      </c>
      <c r="B57" s="11" t="str">
        <f aca="false">IFERROR(INDEX(원자재마스터!$A$3:$A$502,MATCH("R"&amp;52,규격검색!$N$6:$N$505,0)),"")</f>
        <v/>
      </c>
      <c r="C57" s="11" t="str">
        <f aca="false">IF($B57="","",IFERROR(INDEX(원자재마스터!$B$3:$B$502,MATCH("R"&amp;52,규격검색!$N$6:$N$505,0)),""))</f>
        <v/>
      </c>
      <c r="D57" s="19" t="str">
        <f aca="false">IF($B57="","",IFERROR(INDEX(원자재마스터!$C$3:$C$502,MATCH("R"&amp;52,규격검색!$N$6:$N$505,0)),""))</f>
        <v/>
      </c>
      <c r="E57" s="11" t="str">
        <f aca="false">IF($B57="","",IFERROR(INDEX(원자재마스터!$G$3:$G$502,MATCH("R"&amp;52,규격검색!$N$6:$N$505,0)),""))</f>
        <v/>
      </c>
      <c r="F57" s="13" t="str">
        <f aca="false">IF($B57="","",IFERROR(INDEX(원자재마스터!$I$3:$I$502,MATCH("R"&amp;52,규격검색!$N$6:$N$505,0)),""))</f>
        <v/>
      </c>
      <c r="G57" s="19" t="str">
        <f aca="false">IF($B57="","",IFERROR(INDEX(원자재마스터!$J$3:$J$502,MATCH("R"&amp;52,규격검색!$N$6:$N$505,0)),""))</f>
        <v/>
      </c>
      <c r="H57" s="20" t="str">
        <f aca="false">IF($B57="","",IFERROR(INDEX(원자재마스터!$K$3:$K$502,MATCH("R"&amp;52,규격검색!$N$6:$N$505,0)),""))</f>
        <v/>
      </c>
      <c r="I57" s="11" t="str">
        <f aca="false">IF($B57="","",IFERROR(INDEX(원자재마스터!$L$3:$L$502,MATCH("R"&amp;52,규격검색!$N$6:$N$505,0)),""))</f>
        <v/>
      </c>
      <c r="L57" s="21" t="b">
        <f aca="false">IF(원자재마스터!$A54="",FALSE(),AND(IF($B$3="",TRUE(),ISNUMBER(SEARCH($B$3,원자재마스터!$B54&amp;" "&amp;원자재마스터!$C54&amp;" "&amp;원자재마스터!$G54&amp;" "&amp;원자재마스터!$A54))),IF($E$3="",TRUE(),ISNUMBER(SEARCH($E$3,원자재마스터!$C54)))))</f>
        <v>0</v>
      </c>
      <c r="M57" s="5" t="str">
        <f aca="false">IF($L57=FALSE(),"",COUNTIF($L$6:$L57,TRUE()))</f>
        <v/>
      </c>
      <c r="N57" s="5" t="str">
        <f aca="false">IF($M57="","","R"&amp;$M57)</f>
        <v/>
      </c>
    </row>
    <row r="58" customFormat="false" ht="15" hidden="false" customHeight="true" outlineLevel="0" collapsed="false">
      <c r="A58" s="19" t="str">
        <f aca="false">IF($B58="","",53)</f>
        <v/>
      </c>
      <c r="B58" s="11" t="str">
        <f aca="false">IFERROR(INDEX(원자재마스터!$A$3:$A$502,MATCH("R"&amp;53,규격검색!$N$6:$N$505,0)),"")</f>
        <v/>
      </c>
      <c r="C58" s="11" t="str">
        <f aca="false">IF($B58="","",IFERROR(INDEX(원자재마스터!$B$3:$B$502,MATCH("R"&amp;53,규격검색!$N$6:$N$505,0)),""))</f>
        <v/>
      </c>
      <c r="D58" s="19" t="str">
        <f aca="false">IF($B58="","",IFERROR(INDEX(원자재마스터!$C$3:$C$502,MATCH("R"&amp;53,규격검색!$N$6:$N$505,0)),""))</f>
        <v/>
      </c>
      <c r="E58" s="11" t="str">
        <f aca="false">IF($B58="","",IFERROR(INDEX(원자재마스터!$G$3:$G$502,MATCH("R"&amp;53,규격검색!$N$6:$N$505,0)),""))</f>
        <v/>
      </c>
      <c r="F58" s="13" t="str">
        <f aca="false">IF($B58="","",IFERROR(INDEX(원자재마스터!$I$3:$I$502,MATCH("R"&amp;53,규격검색!$N$6:$N$505,0)),""))</f>
        <v/>
      </c>
      <c r="G58" s="19" t="str">
        <f aca="false">IF($B58="","",IFERROR(INDEX(원자재마스터!$J$3:$J$502,MATCH("R"&amp;53,규격검색!$N$6:$N$505,0)),""))</f>
        <v/>
      </c>
      <c r="H58" s="20" t="str">
        <f aca="false">IF($B58="","",IFERROR(INDEX(원자재마스터!$K$3:$K$502,MATCH("R"&amp;53,규격검색!$N$6:$N$505,0)),""))</f>
        <v/>
      </c>
      <c r="I58" s="11" t="str">
        <f aca="false">IF($B58="","",IFERROR(INDEX(원자재마스터!$L$3:$L$502,MATCH("R"&amp;53,규격검색!$N$6:$N$505,0)),""))</f>
        <v/>
      </c>
      <c r="L58" s="21" t="b">
        <f aca="false">IF(원자재마스터!$A55="",FALSE(),AND(IF($B$3="",TRUE(),ISNUMBER(SEARCH($B$3,원자재마스터!$B55&amp;" "&amp;원자재마스터!$C55&amp;" "&amp;원자재마스터!$G55&amp;" "&amp;원자재마스터!$A55))),IF($E$3="",TRUE(),ISNUMBER(SEARCH($E$3,원자재마스터!$C55)))))</f>
        <v>0</v>
      </c>
      <c r="M58" s="5" t="str">
        <f aca="false">IF($L58=FALSE(),"",COUNTIF($L$6:$L58,TRUE()))</f>
        <v/>
      </c>
      <c r="N58" s="5" t="str">
        <f aca="false">IF($M58="","","R"&amp;$M58)</f>
        <v/>
      </c>
    </row>
    <row r="59" customFormat="false" ht="15" hidden="false" customHeight="true" outlineLevel="0" collapsed="false">
      <c r="A59" s="19" t="str">
        <f aca="false">IF($B59="","",54)</f>
        <v/>
      </c>
      <c r="B59" s="11" t="str">
        <f aca="false">IFERROR(INDEX(원자재마스터!$A$3:$A$502,MATCH("R"&amp;54,규격검색!$N$6:$N$505,0)),"")</f>
        <v/>
      </c>
      <c r="C59" s="11" t="str">
        <f aca="false">IF($B59="","",IFERROR(INDEX(원자재마스터!$B$3:$B$502,MATCH("R"&amp;54,규격검색!$N$6:$N$505,0)),""))</f>
        <v/>
      </c>
      <c r="D59" s="19" t="str">
        <f aca="false">IF($B59="","",IFERROR(INDEX(원자재마스터!$C$3:$C$502,MATCH("R"&amp;54,규격검색!$N$6:$N$505,0)),""))</f>
        <v/>
      </c>
      <c r="E59" s="11" t="str">
        <f aca="false">IF($B59="","",IFERROR(INDEX(원자재마스터!$G$3:$G$502,MATCH("R"&amp;54,규격검색!$N$6:$N$505,0)),""))</f>
        <v/>
      </c>
      <c r="F59" s="13" t="str">
        <f aca="false">IF($B59="","",IFERROR(INDEX(원자재마스터!$I$3:$I$502,MATCH("R"&amp;54,규격검색!$N$6:$N$505,0)),""))</f>
        <v/>
      </c>
      <c r="G59" s="19" t="str">
        <f aca="false">IF($B59="","",IFERROR(INDEX(원자재마스터!$J$3:$J$502,MATCH("R"&amp;54,규격검색!$N$6:$N$505,0)),""))</f>
        <v/>
      </c>
      <c r="H59" s="20" t="str">
        <f aca="false">IF($B59="","",IFERROR(INDEX(원자재마스터!$K$3:$K$502,MATCH("R"&amp;54,규격검색!$N$6:$N$505,0)),""))</f>
        <v/>
      </c>
      <c r="I59" s="11" t="str">
        <f aca="false">IF($B59="","",IFERROR(INDEX(원자재마스터!$L$3:$L$502,MATCH("R"&amp;54,규격검색!$N$6:$N$505,0)),""))</f>
        <v/>
      </c>
      <c r="L59" s="21" t="b">
        <f aca="false">IF(원자재마스터!$A56="",FALSE(),AND(IF($B$3="",TRUE(),ISNUMBER(SEARCH($B$3,원자재마스터!$B56&amp;" "&amp;원자재마스터!$C56&amp;" "&amp;원자재마스터!$G56&amp;" "&amp;원자재마스터!$A56))),IF($E$3="",TRUE(),ISNUMBER(SEARCH($E$3,원자재마스터!$C56)))))</f>
        <v>0</v>
      </c>
      <c r="M59" s="5" t="str">
        <f aca="false">IF($L59=FALSE(),"",COUNTIF($L$6:$L59,TRUE()))</f>
        <v/>
      </c>
      <c r="N59" s="5" t="str">
        <f aca="false">IF($M59="","","R"&amp;$M59)</f>
        <v/>
      </c>
    </row>
    <row r="60" customFormat="false" ht="15" hidden="false" customHeight="true" outlineLevel="0" collapsed="false">
      <c r="A60" s="19" t="str">
        <f aca="false">IF($B60="","",55)</f>
        <v/>
      </c>
      <c r="B60" s="11" t="str">
        <f aca="false">IFERROR(INDEX(원자재마스터!$A$3:$A$502,MATCH("R"&amp;55,규격검색!$N$6:$N$505,0)),"")</f>
        <v/>
      </c>
      <c r="C60" s="11" t="str">
        <f aca="false">IF($B60="","",IFERROR(INDEX(원자재마스터!$B$3:$B$502,MATCH("R"&amp;55,규격검색!$N$6:$N$505,0)),""))</f>
        <v/>
      </c>
      <c r="D60" s="19" t="str">
        <f aca="false">IF($B60="","",IFERROR(INDEX(원자재마스터!$C$3:$C$502,MATCH("R"&amp;55,규격검색!$N$6:$N$505,0)),""))</f>
        <v/>
      </c>
      <c r="E60" s="11" t="str">
        <f aca="false">IF($B60="","",IFERROR(INDEX(원자재마스터!$G$3:$G$502,MATCH("R"&amp;55,규격검색!$N$6:$N$505,0)),""))</f>
        <v/>
      </c>
      <c r="F60" s="13" t="str">
        <f aca="false">IF($B60="","",IFERROR(INDEX(원자재마스터!$I$3:$I$502,MATCH("R"&amp;55,규격검색!$N$6:$N$505,0)),""))</f>
        <v/>
      </c>
      <c r="G60" s="19" t="str">
        <f aca="false">IF($B60="","",IFERROR(INDEX(원자재마스터!$J$3:$J$502,MATCH("R"&amp;55,규격검색!$N$6:$N$505,0)),""))</f>
        <v/>
      </c>
      <c r="H60" s="20" t="str">
        <f aca="false">IF($B60="","",IFERROR(INDEX(원자재마스터!$K$3:$K$502,MATCH("R"&amp;55,규격검색!$N$6:$N$505,0)),""))</f>
        <v/>
      </c>
      <c r="I60" s="11" t="str">
        <f aca="false">IF($B60="","",IFERROR(INDEX(원자재마스터!$L$3:$L$502,MATCH("R"&amp;55,규격검색!$N$6:$N$505,0)),""))</f>
        <v/>
      </c>
      <c r="L60" s="21" t="b">
        <f aca="false">IF(원자재마스터!$A57="",FALSE(),AND(IF($B$3="",TRUE(),ISNUMBER(SEARCH($B$3,원자재마스터!$B57&amp;" "&amp;원자재마스터!$C57&amp;" "&amp;원자재마스터!$G57&amp;" "&amp;원자재마스터!$A57))),IF($E$3="",TRUE(),ISNUMBER(SEARCH($E$3,원자재마스터!$C57)))))</f>
        <v>0</v>
      </c>
      <c r="M60" s="5" t="str">
        <f aca="false">IF($L60=FALSE(),"",COUNTIF($L$6:$L60,TRUE()))</f>
        <v/>
      </c>
      <c r="N60" s="5" t="str">
        <f aca="false">IF($M60="","","R"&amp;$M60)</f>
        <v/>
      </c>
    </row>
    <row r="61" customFormat="false" ht="15" hidden="false" customHeight="true" outlineLevel="0" collapsed="false">
      <c r="A61" s="19" t="str">
        <f aca="false">IF($B61="","",56)</f>
        <v/>
      </c>
      <c r="B61" s="11" t="str">
        <f aca="false">IFERROR(INDEX(원자재마스터!$A$3:$A$502,MATCH("R"&amp;56,규격검색!$N$6:$N$505,0)),"")</f>
        <v/>
      </c>
      <c r="C61" s="11" t="str">
        <f aca="false">IF($B61="","",IFERROR(INDEX(원자재마스터!$B$3:$B$502,MATCH("R"&amp;56,규격검색!$N$6:$N$505,0)),""))</f>
        <v/>
      </c>
      <c r="D61" s="19" t="str">
        <f aca="false">IF($B61="","",IFERROR(INDEX(원자재마스터!$C$3:$C$502,MATCH("R"&amp;56,규격검색!$N$6:$N$505,0)),""))</f>
        <v/>
      </c>
      <c r="E61" s="11" t="str">
        <f aca="false">IF($B61="","",IFERROR(INDEX(원자재마스터!$G$3:$G$502,MATCH("R"&amp;56,규격검색!$N$6:$N$505,0)),""))</f>
        <v/>
      </c>
      <c r="F61" s="13" t="str">
        <f aca="false">IF($B61="","",IFERROR(INDEX(원자재마스터!$I$3:$I$502,MATCH("R"&amp;56,규격검색!$N$6:$N$505,0)),""))</f>
        <v/>
      </c>
      <c r="G61" s="19" t="str">
        <f aca="false">IF($B61="","",IFERROR(INDEX(원자재마스터!$J$3:$J$502,MATCH("R"&amp;56,규격검색!$N$6:$N$505,0)),""))</f>
        <v/>
      </c>
      <c r="H61" s="20" t="str">
        <f aca="false">IF($B61="","",IFERROR(INDEX(원자재마스터!$K$3:$K$502,MATCH("R"&amp;56,규격검색!$N$6:$N$505,0)),""))</f>
        <v/>
      </c>
      <c r="I61" s="11" t="str">
        <f aca="false">IF($B61="","",IFERROR(INDEX(원자재마스터!$L$3:$L$502,MATCH("R"&amp;56,규격검색!$N$6:$N$505,0)),""))</f>
        <v/>
      </c>
      <c r="L61" s="21" t="b">
        <f aca="false">IF(원자재마스터!$A58="",FALSE(),AND(IF($B$3="",TRUE(),ISNUMBER(SEARCH($B$3,원자재마스터!$B58&amp;" "&amp;원자재마스터!$C58&amp;" "&amp;원자재마스터!$G58&amp;" "&amp;원자재마스터!$A58))),IF($E$3="",TRUE(),ISNUMBER(SEARCH($E$3,원자재마스터!$C58)))))</f>
        <v>0</v>
      </c>
      <c r="M61" s="5" t="str">
        <f aca="false">IF($L61=FALSE(),"",COUNTIF($L$6:$L61,TRUE()))</f>
        <v/>
      </c>
      <c r="N61" s="5" t="str">
        <f aca="false">IF($M61="","","R"&amp;$M61)</f>
        <v/>
      </c>
    </row>
    <row r="62" customFormat="false" ht="15" hidden="false" customHeight="true" outlineLevel="0" collapsed="false">
      <c r="A62" s="19" t="str">
        <f aca="false">IF($B62="","",57)</f>
        <v/>
      </c>
      <c r="B62" s="11" t="str">
        <f aca="false">IFERROR(INDEX(원자재마스터!$A$3:$A$502,MATCH("R"&amp;57,규격검색!$N$6:$N$505,0)),"")</f>
        <v/>
      </c>
      <c r="C62" s="11" t="str">
        <f aca="false">IF($B62="","",IFERROR(INDEX(원자재마스터!$B$3:$B$502,MATCH("R"&amp;57,규격검색!$N$6:$N$505,0)),""))</f>
        <v/>
      </c>
      <c r="D62" s="19" t="str">
        <f aca="false">IF($B62="","",IFERROR(INDEX(원자재마스터!$C$3:$C$502,MATCH("R"&amp;57,규격검색!$N$6:$N$505,0)),""))</f>
        <v/>
      </c>
      <c r="E62" s="11" t="str">
        <f aca="false">IF($B62="","",IFERROR(INDEX(원자재마스터!$G$3:$G$502,MATCH("R"&amp;57,규격검색!$N$6:$N$505,0)),""))</f>
        <v/>
      </c>
      <c r="F62" s="13" t="str">
        <f aca="false">IF($B62="","",IFERROR(INDEX(원자재마스터!$I$3:$I$502,MATCH("R"&amp;57,규격검색!$N$6:$N$505,0)),""))</f>
        <v/>
      </c>
      <c r="G62" s="19" t="str">
        <f aca="false">IF($B62="","",IFERROR(INDEX(원자재마스터!$J$3:$J$502,MATCH("R"&amp;57,규격검색!$N$6:$N$505,0)),""))</f>
        <v/>
      </c>
      <c r="H62" s="20" t="str">
        <f aca="false">IF($B62="","",IFERROR(INDEX(원자재마스터!$K$3:$K$502,MATCH("R"&amp;57,규격검색!$N$6:$N$505,0)),""))</f>
        <v/>
      </c>
      <c r="I62" s="11" t="str">
        <f aca="false">IF($B62="","",IFERROR(INDEX(원자재마스터!$L$3:$L$502,MATCH("R"&amp;57,규격검색!$N$6:$N$505,0)),""))</f>
        <v/>
      </c>
      <c r="L62" s="21" t="b">
        <f aca="false">IF(원자재마스터!$A59="",FALSE(),AND(IF($B$3="",TRUE(),ISNUMBER(SEARCH($B$3,원자재마스터!$B59&amp;" "&amp;원자재마스터!$C59&amp;" "&amp;원자재마스터!$G59&amp;" "&amp;원자재마스터!$A59))),IF($E$3="",TRUE(),ISNUMBER(SEARCH($E$3,원자재마스터!$C59)))))</f>
        <v>0</v>
      </c>
      <c r="M62" s="5" t="str">
        <f aca="false">IF($L62=FALSE(),"",COUNTIF($L$6:$L62,TRUE()))</f>
        <v/>
      </c>
      <c r="N62" s="5" t="str">
        <f aca="false">IF($M62="","","R"&amp;$M62)</f>
        <v/>
      </c>
    </row>
    <row r="63" customFormat="false" ht="15" hidden="false" customHeight="true" outlineLevel="0" collapsed="false">
      <c r="A63" s="19" t="str">
        <f aca="false">IF($B63="","",58)</f>
        <v/>
      </c>
      <c r="B63" s="11" t="str">
        <f aca="false">IFERROR(INDEX(원자재마스터!$A$3:$A$502,MATCH("R"&amp;58,규격검색!$N$6:$N$505,0)),"")</f>
        <v/>
      </c>
      <c r="C63" s="11" t="str">
        <f aca="false">IF($B63="","",IFERROR(INDEX(원자재마스터!$B$3:$B$502,MATCH("R"&amp;58,규격검색!$N$6:$N$505,0)),""))</f>
        <v/>
      </c>
      <c r="D63" s="19" t="str">
        <f aca="false">IF($B63="","",IFERROR(INDEX(원자재마스터!$C$3:$C$502,MATCH("R"&amp;58,규격검색!$N$6:$N$505,0)),""))</f>
        <v/>
      </c>
      <c r="E63" s="11" t="str">
        <f aca="false">IF($B63="","",IFERROR(INDEX(원자재마스터!$G$3:$G$502,MATCH("R"&amp;58,규격검색!$N$6:$N$505,0)),""))</f>
        <v/>
      </c>
      <c r="F63" s="13" t="str">
        <f aca="false">IF($B63="","",IFERROR(INDEX(원자재마스터!$I$3:$I$502,MATCH("R"&amp;58,규격검색!$N$6:$N$505,0)),""))</f>
        <v/>
      </c>
      <c r="G63" s="19" t="str">
        <f aca="false">IF($B63="","",IFERROR(INDEX(원자재마스터!$J$3:$J$502,MATCH("R"&amp;58,규격검색!$N$6:$N$505,0)),""))</f>
        <v/>
      </c>
      <c r="H63" s="20" t="str">
        <f aca="false">IF($B63="","",IFERROR(INDEX(원자재마스터!$K$3:$K$502,MATCH("R"&amp;58,규격검색!$N$6:$N$505,0)),""))</f>
        <v/>
      </c>
      <c r="I63" s="11" t="str">
        <f aca="false">IF($B63="","",IFERROR(INDEX(원자재마스터!$L$3:$L$502,MATCH("R"&amp;58,규격검색!$N$6:$N$505,0)),""))</f>
        <v/>
      </c>
      <c r="L63" s="21" t="b">
        <f aca="false">IF(원자재마스터!$A60="",FALSE(),AND(IF($B$3="",TRUE(),ISNUMBER(SEARCH($B$3,원자재마스터!$B60&amp;" "&amp;원자재마스터!$C60&amp;" "&amp;원자재마스터!$G60&amp;" "&amp;원자재마스터!$A60))),IF($E$3="",TRUE(),ISNUMBER(SEARCH($E$3,원자재마스터!$C60)))))</f>
        <v>0</v>
      </c>
      <c r="M63" s="5" t="str">
        <f aca="false">IF($L63=FALSE(),"",COUNTIF($L$6:$L63,TRUE()))</f>
        <v/>
      </c>
      <c r="N63" s="5" t="str">
        <f aca="false">IF($M63="","","R"&amp;$M63)</f>
        <v/>
      </c>
    </row>
    <row r="64" customFormat="false" ht="15" hidden="false" customHeight="true" outlineLevel="0" collapsed="false">
      <c r="A64" s="19" t="str">
        <f aca="false">IF($B64="","",59)</f>
        <v/>
      </c>
      <c r="B64" s="11" t="str">
        <f aca="false">IFERROR(INDEX(원자재마스터!$A$3:$A$502,MATCH("R"&amp;59,규격검색!$N$6:$N$505,0)),"")</f>
        <v/>
      </c>
      <c r="C64" s="11" t="str">
        <f aca="false">IF($B64="","",IFERROR(INDEX(원자재마스터!$B$3:$B$502,MATCH("R"&amp;59,규격검색!$N$6:$N$505,0)),""))</f>
        <v/>
      </c>
      <c r="D64" s="19" t="str">
        <f aca="false">IF($B64="","",IFERROR(INDEX(원자재마스터!$C$3:$C$502,MATCH("R"&amp;59,규격검색!$N$6:$N$505,0)),""))</f>
        <v/>
      </c>
      <c r="E64" s="11" t="str">
        <f aca="false">IF($B64="","",IFERROR(INDEX(원자재마스터!$G$3:$G$502,MATCH("R"&amp;59,규격검색!$N$6:$N$505,0)),""))</f>
        <v/>
      </c>
      <c r="F64" s="13" t="str">
        <f aca="false">IF($B64="","",IFERROR(INDEX(원자재마스터!$I$3:$I$502,MATCH("R"&amp;59,규격검색!$N$6:$N$505,0)),""))</f>
        <v/>
      </c>
      <c r="G64" s="19" t="str">
        <f aca="false">IF($B64="","",IFERROR(INDEX(원자재마스터!$J$3:$J$502,MATCH("R"&amp;59,규격검색!$N$6:$N$505,0)),""))</f>
        <v/>
      </c>
      <c r="H64" s="20" t="str">
        <f aca="false">IF($B64="","",IFERROR(INDEX(원자재마스터!$K$3:$K$502,MATCH("R"&amp;59,규격검색!$N$6:$N$505,0)),""))</f>
        <v/>
      </c>
      <c r="I64" s="11" t="str">
        <f aca="false">IF($B64="","",IFERROR(INDEX(원자재마스터!$L$3:$L$502,MATCH("R"&amp;59,규격검색!$N$6:$N$505,0)),""))</f>
        <v/>
      </c>
      <c r="L64" s="21" t="b">
        <f aca="false">IF(원자재마스터!$A61="",FALSE(),AND(IF($B$3="",TRUE(),ISNUMBER(SEARCH($B$3,원자재마스터!$B61&amp;" "&amp;원자재마스터!$C61&amp;" "&amp;원자재마스터!$G61&amp;" "&amp;원자재마스터!$A61))),IF($E$3="",TRUE(),ISNUMBER(SEARCH($E$3,원자재마스터!$C61)))))</f>
        <v>0</v>
      </c>
      <c r="M64" s="5" t="str">
        <f aca="false">IF($L64=FALSE(),"",COUNTIF($L$6:$L64,TRUE()))</f>
        <v/>
      </c>
      <c r="N64" s="5" t="str">
        <f aca="false">IF($M64="","","R"&amp;$M64)</f>
        <v/>
      </c>
    </row>
    <row r="65" customFormat="false" ht="15" hidden="false" customHeight="true" outlineLevel="0" collapsed="false">
      <c r="A65" s="19" t="str">
        <f aca="false">IF($B65="","",60)</f>
        <v/>
      </c>
      <c r="B65" s="11" t="str">
        <f aca="false">IFERROR(INDEX(원자재마스터!$A$3:$A$502,MATCH("R"&amp;60,규격검색!$N$6:$N$505,0)),"")</f>
        <v/>
      </c>
      <c r="C65" s="11" t="str">
        <f aca="false">IF($B65="","",IFERROR(INDEX(원자재마스터!$B$3:$B$502,MATCH("R"&amp;60,규격검색!$N$6:$N$505,0)),""))</f>
        <v/>
      </c>
      <c r="D65" s="19" t="str">
        <f aca="false">IF($B65="","",IFERROR(INDEX(원자재마스터!$C$3:$C$502,MATCH("R"&amp;60,규격검색!$N$6:$N$505,0)),""))</f>
        <v/>
      </c>
      <c r="E65" s="11" t="str">
        <f aca="false">IF($B65="","",IFERROR(INDEX(원자재마스터!$G$3:$G$502,MATCH("R"&amp;60,규격검색!$N$6:$N$505,0)),""))</f>
        <v/>
      </c>
      <c r="F65" s="13" t="str">
        <f aca="false">IF($B65="","",IFERROR(INDEX(원자재마스터!$I$3:$I$502,MATCH("R"&amp;60,규격검색!$N$6:$N$505,0)),""))</f>
        <v/>
      </c>
      <c r="G65" s="19" t="str">
        <f aca="false">IF($B65="","",IFERROR(INDEX(원자재마스터!$J$3:$J$502,MATCH("R"&amp;60,규격검색!$N$6:$N$505,0)),""))</f>
        <v/>
      </c>
      <c r="H65" s="20" t="str">
        <f aca="false">IF($B65="","",IFERROR(INDEX(원자재마스터!$K$3:$K$502,MATCH("R"&amp;60,규격검색!$N$6:$N$505,0)),""))</f>
        <v/>
      </c>
      <c r="I65" s="11" t="str">
        <f aca="false">IF($B65="","",IFERROR(INDEX(원자재마스터!$L$3:$L$502,MATCH("R"&amp;60,규격검색!$N$6:$N$505,0)),""))</f>
        <v/>
      </c>
      <c r="L65" s="21" t="b">
        <f aca="false">IF(원자재마스터!$A62="",FALSE(),AND(IF($B$3="",TRUE(),ISNUMBER(SEARCH($B$3,원자재마스터!$B62&amp;" "&amp;원자재마스터!$C62&amp;" "&amp;원자재마스터!$G62&amp;" "&amp;원자재마스터!$A62))),IF($E$3="",TRUE(),ISNUMBER(SEARCH($E$3,원자재마스터!$C62)))))</f>
        <v>0</v>
      </c>
      <c r="M65" s="5" t="str">
        <f aca="false">IF($L65=FALSE(),"",COUNTIF($L$6:$L65,TRUE()))</f>
        <v/>
      </c>
      <c r="N65" s="5" t="str">
        <f aca="false">IF($M65="","","R"&amp;$M65)</f>
        <v/>
      </c>
    </row>
    <row r="66" customFormat="false" ht="15" hidden="false" customHeight="true" outlineLevel="0" collapsed="false">
      <c r="L66" s="21" t="b">
        <f aca="false">IF(원자재마스터!$A63="",FALSE(),AND(IF($B$3="",TRUE(),ISNUMBER(SEARCH($B$3,원자재마스터!$B63&amp;" "&amp;원자재마스터!$C63&amp;" "&amp;원자재마스터!$G63&amp;" "&amp;원자재마스터!$A63))),IF($E$3="",TRUE(),ISNUMBER(SEARCH($E$3,원자재마스터!$C63)))))</f>
        <v>0</v>
      </c>
      <c r="M66" s="5" t="str">
        <f aca="false">IF($L66=FALSE(),"",COUNTIF($L$6:$L66,TRUE()))</f>
        <v/>
      </c>
      <c r="N66" s="5" t="str">
        <f aca="false">IF($M66="","","R"&amp;$M66)</f>
        <v/>
      </c>
    </row>
    <row r="67" customFormat="false" ht="15" hidden="false" customHeight="true" outlineLevel="0" collapsed="false">
      <c r="L67" s="21" t="b">
        <f aca="false">IF(원자재마스터!$A64="",FALSE(),AND(IF($B$3="",TRUE(),ISNUMBER(SEARCH($B$3,원자재마스터!$B64&amp;" "&amp;원자재마스터!$C64&amp;" "&amp;원자재마스터!$G64&amp;" "&amp;원자재마스터!$A64))),IF($E$3="",TRUE(),ISNUMBER(SEARCH($E$3,원자재마스터!$C64)))))</f>
        <v>0</v>
      </c>
      <c r="M67" s="5" t="str">
        <f aca="false">IF($L67=FALSE(),"",COUNTIF($L$6:$L67,TRUE()))</f>
        <v/>
      </c>
      <c r="N67" s="5" t="str">
        <f aca="false">IF($M67="","","R"&amp;$M67)</f>
        <v/>
      </c>
    </row>
    <row r="68" customFormat="false" ht="15" hidden="false" customHeight="true" outlineLevel="0" collapsed="false">
      <c r="A68" s="22" t="s">
        <v>63</v>
      </c>
      <c r="L68" s="21" t="b">
        <f aca="false">IF(원자재마스터!$A65="",FALSE(),AND(IF($B$3="",TRUE(),ISNUMBER(SEARCH($B$3,원자재마스터!$B65&amp;" "&amp;원자재마스터!$C65&amp;" "&amp;원자재마스터!$G65&amp;" "&amp;원자재마스터!$A65))),IF($E$3="",TRUE(),ISNUMBER(SEARCH($E$3,원자재마스터!$C65)))))</f>
        <v>0</v>
      </c>
      <c r="M68" s="5" t="str">
        <f aca="false">IF($L68=FALSE(),"",COUNTIF($L$6:$L68,TRUE()))</f>
        <v/>
      </c>
      <c r="N68" s="5" t="str">
        <f aca="false">IF($M68="","","R"&amp;$M68)</f>
        <v/>
      </c>
    </row>
    <row r="69" customFormat="false" ht="15" hidden="false" customHeight="true" outlineLevel="0" collapsed="false">
      <c r="L69" s="21" t="b">
        <f aca="false">IF(원자재마스터!$A66="",FALSE(),AND(IF($B$3="",TRUE(),ISNUMBER(SEARCH($B$3,원자재마스터!$B66&amp;" "&amp;원자재마스터!$C66&amp;" "&amp;원자재마스터!$G66&amp;" "&amp;원자재마스터!$A66))),IF($E$3="",TRUE(),ISNUMBER(SEARCH($E$3,원자재마스터!$C66)))))</f>
        <v>0</v>
      </c>
      <c r="M69" s="5" t="str">
        <f aca="false">IF($L69=FALSE(),"",COUNTIF($L$6:$L69,TRUE()))</f>
        <v/>
      </c>
      <c r="N69" s="5" t="str">
        <f aca="false">IF($M69="","","R"&amp;$M69)</f>
        <v/>
      </c>
    </row>
    <row r="70" customFormat="false" ht="15" hidden="false" customHeight="true" outlineLevel="0" collapsed="false">
      <c r="L70" s="21" t="b">
        <f aca="false">IF(원자재마스터!$A67="",FALSE(),AND(IF($B$3="",TRUE(),ISNUMBER(SEARCH($B$3,원자재마스터!$B67&amp;" "&amp;원자재마스터!$C67&amp;" "&amp;원자재마스터!$G67&amp;" "&amp;원자재마스터!$A67))),IF($E$3="",TRUE(),ISNUMBER(SEARCH($E$3,원자재마스터!$C67)))))</f>
        <v>0</v>
      </c>
      <c r="M70" s="5" t="str">
        <f aca="false">IF($L70=FALSE(),"",COUNTIF($L$6:$L70,TRUE()))</f>
        <v/>
      </c>
      <c r="N70" s="5" t="str">
        <f aca="false">IF($M70="","","R"&amp;$M70)</f>
        <v/>
      </c>
    </row>
    <row r="71" customFormat="false" ht="15" hidden="false" customHeight="true" outlineLevel="0" collapsed="false">
      <c r="L71" s="21" t="b">
        <f aca="false">IF(원자재마스터!$A68="",FALSE(),AND(IF($B$3="",TRUE(),ISNUMBER(SEARCH($B$3,원자재마스터!$B68&amp;" "&amp;원자재마스터!$C68&amp;" "&amp;원자재마스터!$G68&amp;" "&amp;원자재마스터!$A68))),IF($E$3="",TRUE(),ISNUMBER(SEARCH($E$3,원자재마스터!$C68)))))</f>
        <v>0</v>
      </c>
      <c r="M71" s="5" t="str">
        <f aca="false">IF($L71=FALSE(),"",COUNTIF($L$6:$L71,TRUE()))</f>
        <v/>
      </c>
      <c r="N71" s="5" t="str">
        <f aca="false">IF($M71="","","R"&amp;$M71)</f>
        <v/>
      </c>
    </row>
    <row r="72" customFormat="false" ht="15" hidden="false" customHeight="true" outlineLevel="0" collapsed="false">
      <c r="L72" s="21" t="b">
        <f aca="false">IF(원자재마스터!$A69="",FALSE(),AND(IF($B$3="",TRUE(),ISNUMBER(SEARCH($B$3,원자재마스터!$B69&amp;" "&amp;원자재마스터!$C69&amp;" "&amp;원자재마스터!$G69&amp;" "&amp;원자재마스터!$A69))),IF($E$3="",TRUE(),ISNUMBER(SEARCH($E$3,원자재마스터!$C69)))))</f>
        <v>0</v>
      </c>
      <c r="M72" s="5" t="str">
        <f aca="false">IF($L72=FALSE(),"",COUNTIF($L$6:$L72,TRUE()))</f>
        <v/>
      </c>
      <c r="N72" s="5" t="str">
        <f aca="false">IF($M72="","","R"&amp;$M72)</f>
        <v/>
      </c>
    </row>
    <row r="73" customFormat="false" ht="15" hidden="false" customHeight="true" outlineLevel="0" collapsed="false">
      <c r="L73" s="21" t="b">
        <f aca="false">IF(원자재마스터!$A70="",FALSE(),AND(IF($B$3="",TRUE(),ISNUMBER(SEARCH($B$3,원자재마스터!$B70&amp;" "&amp;원자재마스터!$C70&amp;" "&amp;원자재마스터!$G70&amp;" "&amp;원자재마스터!$A70))),IF($E$3="",TRUE(),ISNUMBER(SEARCH($E$3,원자재마스터!$C70)))))</f>
        <v>0</v>
      </c>
      <c r="M73" s="5" t="str">
        <f aca="false">IF($L73=FALSE(),"",COUNTIF($L$6:$L73,TRUE()))</f>
        <v/>
      </c>
      <c r="N73" s="5" t="str">
        <f aca="false">IF($M73="","","R"&amp;$M73)</f>
        <v/>
      </c>
    </row>
    <row r="74" customFormat="false" ht="15" hidden="false" customHeight="true" outlineLevel="0" collapsed="false">
      <c r="L74" s="21" t="b">
        <f aca="false">IF(원자재마스터!$A71="",FALSE(),AND(IF($B$3="",TRUE(),ISNUMBER(SEARCH($B$3,원자재마스터!$B71&amp;" "&amp;원자재마스터!$C71&amp;" "&amp;원자재마스터!$G71&amp;" "&amp;원자재마스터!$A71))),IF($E$3="",TRUE(),ISNUMBER(SEARCH($E$3,원자재마스터!$C71)))))</f>
        <v>0</v>
      </c>
      <c r="M74" s="5" t="str">
        <f aca="false">IF($L74=FALSE(),"",COUNTIF($L$6:$L74,TRUE()))</f>
        <v/>
      </c>
      <c r="N74" s="5" t="str">
        <f aca="false">IF($M74="","","R"&amp;$M74)</f>
        <v/>
      </c>
    </row>
    <row r="75" customFormat="false" ht="15" hidden="false" customHeight="true" outlineLevel="0" collapsed="false">
      <c r="L75" s="21" t="b">
        <f aca="false">IF(원자재마스터!$A72="",FALSE(),AND(IF($B$3="",TRUE(),ISNUMBER(SEARCH($B$3,원자재마스터!$B72&amp;" "&amp;원자재마스터!$C72&amp;" "&amp;원자재마스터!$G72&amp;" "&amp;원자재마스터!$A72))),IF($E$3="",TRUE(),ISNUMBER(SEARCH($E$3,원자재마스터!$C72)))))</f>
        <v>0</v>
      </c>
      <c r="M75" s="5" t="str">
        <f aca="false">IF($L75=FALSE(),"",COUNTIF($L$6:$L75,TRUE()))</f>
        <v/>
      </c>
      <c r="N75" s="5" t="str">
        <f aca="false">IF($M75="","","R"&amp;$M75)</f>
        <v/>
      </c>
    </row>
    <row r="76" customFormat="false" ht="15" hidden="false" customHeight="true" outlineLevel="0" collapsed="false">
      <c r="L76" s="21" t="b">
        <f aca="false">IF(원자재마스터!$A73="",FALSE(),AND(IF($B$3="",TRUE(),ISNUMBER(SEARCH($B$3,원자재마스터!$B73&amp;" "&amp;원자재마스터!$C73&amp;" "&amp;원자재마스터!$G73&amp;" "&amp;원자재마스터!$A73))),IF($E$3="",TRUE(),ISNUMBER(SEARCH($E$3,원자재마스터!$C73)))))</f>
        <v>0</v>
      </c>
      <c r="M76" s="5" t="str">
        <f aca="false">IF($L76=FALSE(),"",COUNTIF($L$6:$L76,TRUE()))</f>
        <v/>
      </c>
      <c r="N76" s="5" t="str">
        <f aca="false">IF($M76="","","R"&amp;$M76)</f>
        <v/>
      </c>
    </row>
    <row r="77" customFormat="false" ht="15" hidden="false" customHeight="true" outlineLevel="0" collapsed="false">
      <c r="L77" s="21" t="b">
        <f aca="false">IF(원자재마스터!$A74="",FALSE(),AND(IF($B$3="",TRUE(),ISNUMBER(SEARCH($B$3,원자재마스터!$B74&amp;" "&amp;원자재마스터!$C74&amp;" "&amp;원자재마스터!$G74&amp;" "&amp;원자재마스터!$A74))),IF($E$3="",TRUE(),ISNUMBER(SEARCH($E$3,원자재마스터!$C74)))))</f>
        <v>0</v>
      </c>
      <c r="M77" s="5" t="str">
        <f aca="false">IF($L77=FALSE(),"",COUNTIF($L$6:$L77,TRUE()))</f>
        <v/>
      </c>
      <c r="N77" s="5" t="str">
        <f aca="false">IF($M77="","","R"&amp;$M77)</f>
        <v/>
      </c>
    </row>
    <row r="78" customFormat="false" ht="15" hidden="false" customHeight="true" outlineLevel="0" collapsed="false">
      <c r="L78" s="21" t="b">
        <f aca="false">IF(원자재마스터!$A75="",FALSE(),AND(IF($B$3="",TRUE(),ISNUMBER(SEARCH($B$3,원자재마스터!$B75&amp;" "&amp;원자재마스터!$C75&amp;" "&amp;원자재마스터!$G75&amp;" "&amp;원자재마스터!$A75))),IF($E$3="",TRUE(),ISNUMBER(SEARCH($E$3,원자재마스터!$C75)))))</f>
        <v>0</v>
      </c>
      <c r="M78" s="5" t="str">
        <f aca="false">IF($L78=FALSE(),"",COUNTIF($L$6:$L78,TRUE()))</f>
        <v/>
      </c>
      <c r="N78" s="5" t="str">
        <f aca="false">IF($M78="","","R"&amp;$M78)</f>
        <v/>
      </c>
    </row>
    <row r="79" customFormat="false" ht="15" hidden="false" customHeight="true" outlineLevel="0" collapsed="false">
      <c r="L79" s="21" t="b">
        <f aca="false">IF(원자재마스터!$A76="",FALSE(),AND(IF($B$3="",TRUE(),ISNUMBER(SEARCH($B$3,원자재마스터!$B76&amp;" "&amp;원자재마스터!$C76&amp;" "&amp;원자재마스터!$G76&amp;" "&amp;원자재마스터!$A76))),IF($E$3="",TRUE(),ISNUMBER(SEARCH($E$3,원자재마스터!$C76)))))</f>
        <v>0</v>
      </c>
      <c r="M79" s="5" t="str">
        <f aca="false">IF($L79=FALSE(),"",COUNTIF($L$6:$L79,TRUE()))</f>
        <v/>
      </c>
      <c r="N79" s="5" t="str">
        <f aca="false">IF($M79="","","R"&amp;$M79)</f>
        <v/>
      </c>
    </row>
    <row r="80" customFormat="false" ht="15" hidden="false" customHeight="true" outlineLevel="0" collapsed="false">
      <c r="L80" s="21" t="b">
        <f aca="false">IF(원자재마스터!$A77="",FALSE(),AND(IF($B$3="",TRUE(),ISNUMBER(SEARCH($B$3,원자재마스터!$B77&amp;" "&amp;원자재마스터!$C77&amp;" "&amp;원자재마스터!$G77&amp;" "&amp;원자재마스터!$A77))),IF($E$3="",TRUE(),ISNUMBER(SEARCH($E$3,원자재마스터!$C77)))))</f>
        <v>0</v>
      </c>
      <c r="M80" s="5" t="str">
        <f aca="false">IF($L80=FALSE(),"",COUNTIF($L$6:$L80,TRUE()))</f>
        <v/>
      </c>
      <c r="N80" s="5" t="str">
        <f aca="false">IF($M80="","","R"&amp;$M80)</f>
        <v/>
      </c>
    </row>
    <row r="81" customFormat="false" ht="15" hidden="false" customHeight="true" outlineLevel="0" collapsed="false">
      <c r="L81" s="21" t="b">
        <f aca="false">IF(원자재마스터!$A78="",FALSE(),AND(IF($B$3="",TRUE(),ISNUMBER(SEARCH($B$3,원자재마스터!$B78&amp;" "&amp;원자재마스터!$C78&amp;" "&amp;원자재마스터!$G78&amp;" "&amp;원자재마스터!$A78))),IF($E$3="",TRUE(),ISNUMBER(SEARCH($E$3,원자재마스터!$C78)))))</f>
        <v>0</v>
      </c>
      <c r="M81" s="5" t="str">
        <f aca="false">IF($L81=FALSE(),"",COUNTIF($L$6:$L81,TRUE()))</f>
        <v/>
      </c>
      <c r="N81" s="5" t="str">
        <f aca="false">IF($M81="","","R"&amp;$M81)</f>
        <v/>
      </c>
    </row>
    <row r="82" customFormat="false" ht="15" hidden="false" customHeight="true" outlineLevel="0" collapsed="false">
      <c r="L82" s="21" t="b">
        <f aca="false">IF(원자재마스터!$A79="",FALSE(),AND(IF($B$3="",TRUE(),ISNUMBER(SEARCH($B$3,원자재마스터!$B79&amp;" "&amp;원자재마스터!$C79&amp;" "&amp;원자재마스터!$G79&amp;" "&amp;원자재마스터!$A79))),IF($E$3="",TRUE(),ISNUMBER(SEARCH($E$3,원자재마스터!$C79)))))</f>
        <v>0</v>
      </c>
      <c r="M82" s="5" t="str">
        <f aca="false">IF($L82=FALSE(),"",COUNTIF($L$6:$L82,TRUE()))</f>
        <v/>
      </c>
      <c r="N82" s="5" t="str">
        <f aca="false">IF($M82="","","R"&amp;$M82)</f>
        <v/>
      </c>
    </row>
    <row r="83" customFormat="false" ht="15" hidden="false" customHeight="true" outlineLevel="0" collapsed="false">
      <c r="L83" s="21" t="b">
        <f aca="false">IF(원자재마스터!$A80="",FALSE(),AND(IF($B$3="",TRUE(),ISNUMBER(SEARCH($B$3,원자재마스터!$B80&amp;" "&amp;원자재마스터!$C80&amp;" "&amp;원자재마스터!$G80&amp;" "&amp;원자재마스터!$A80))),IF($E$3="",TRUE(),ISNUMBER(SEARCH($E$3,원자재마스터!$C80)))))</f>
        <v>0</v>
      </c>
      <c r="M83" s="5" t="str">
        <f aca="false">IF($L83=FALSE(),"",COUNTIF($L$6:$L83,TRUE()))</f>
        <v/>
      </c>
      <c r="N83" s="5" t="str">
        <f aca="false">IF($M83="","","R"&amp;$M83)</f>
        <v/>
      </c>
    </row>
    <row r="84" customFormat="false" ht="15" hidden="false" customHeight="true" outlineLevel="0" collapsed="false">
      <c r="L84" s="21" t="b">
        <f aca="false">IF(원자재마스터!$A81="",FALSE(),AND(IF($B$3="",TRUE(),ISNUMBER(SEARCH($B$3,원자재마스터!$B81&amp;" "&amp;원자재마스터!$C81&amp;" "&amp;원자재마스터!$G81&amp;" "&amp;원자재마스터!$A81))),IF($E$3="",TRUE(),ISNUMBER(SEARCH($E$3,원자재마스터!$C81)))))</f>
        <v>0</v>
      </c>
      <c r="M84" s="5" t="str">
        <f aca="false">IF($L84=FALSE(),"",COUNTIF($L$6:$L84,TRUE()))</f>
        <v/>
      </c>
      <c r="N84" s="5" t="str">
        <f aca="false">IF($M84="","","R"&amp;$M84)</f>
        <v/>
      </c>
    </row>
    <row r="85" customFormat="false" ht="15" hidden="false" customHeight="true" outlineLevel="0" collapsed="false">
      <c r="L85" s="21" t="b">
        <f aca="false">IF(원자재마스터!$A82="",FALSE(),AND(IF($B$3="",TRUE(),ISNUMBER(SEARCH($B$3,원자재마스터!$B82&amp;" "&amp;원자재마스터!$C82&amp;" "&amp;원자재마스터!$G82&amp;" "&amp;원자재마스터!$A82))),IF($E$3="",TRUE(),ISNUMBER(SEARCH($E$3,원자재마스터!$C82)))))</f>
        <v>0</v>
      </c>
      <c r="M85" s="5" t="str">
        <f aca="false">IF($L85=FALSE(),"",COUNTIF($L$6:$L85,TRUE()))</f>
        <v/>
      </c>
      <c r="N85" s="5" t="str">
        <f aca="false">IF($M85="","","R"&amp;$M85)</f>
        <v/>
      </c>
    </row>
    <row r="86" customFormat="false" ht="15" hidden="false" customHeight="true" outlineLevel="0" collapsed="false">
      <c r="L86" s="21" t="b">
        <f aca="false">IF(원자재마스터!$A83="",FALSE(),AND(IF($B$3="",TRUE(),ISNUMBER(SEARCH($B$3,원자재마스터!$B83&amp;" "&amp;원자재마스터!$C83&amp;" "&amp;원자재마스터!$G83&amp;" "&amp;원자재마스터!$A83))),IF($E$3="",TRUE(),ISNUMBER(SEARCH($E$3,원자재마스터!$C83)))))</f>
        <v>0</v>
      </c>
      <c r="M86" s="5" t="str">
        <f aca="false">IF($L86=FALSE(),"",COUNTIF($L$6:$L86,TRUE()))</f>
        <v/>
      </c>
      <c r="N86" s="5" t="str">
        <f aca="false">IF($M86="","","R"&amp;$M86)</f>
        <v/>
      </c>
    </row>
    <row r="87" customFormat="false" ht="15" hidden="false" customHeight="true" outlineLevel="0" collapsed="false">
      <c r="L87" s="21" t="b">
        <f aca="false">IF(원자재마스터!$A84="",FALSE(),AND(IF($B$3="",TRUE(),ISNUMBER(SEARCH($B$3,원자재마스터!$B84&amp;" "&amp;원자재마스터!$C84&amp;" "&amp;원자재마스터!$G84&amp;" "&amp;원자재마스터!$A84))),IF($E$3="",TRUE(),ISNUMBER(SEARCH($E$3,원자재마스터!$C84)))))</f>
        <v>0</v>
      </c>
      <c r="M87" s="5" t="str">
        <f aca="false">IF($L87=FALSE(),"",COUNTIF($L$6:$L87,TRUE()))</f>
        <v/>
      </c>
      <c r="N87" s="5" t="str">
        <f aca="false">IF($M87="","","R"&amp;$M87)</f>
        <v/>
      </c>
    </row>
    <row r="88" customFormat="false" ht="15" hidden="false" customHeight="true" outlineLevel="0" collapsed="false">
      <c r="L88" s="21" t="b">
        <f aca="false">IF(원자재마스터!$A85="",FALSE(),AND(IF($B$3="",TRUE(),ISNUMBER(SEARCH($B$3,원자재마스터!$B85&amp;" "&amp;원자재마스터!$C85&amp;" "&amp;원자재마스터!$G85&amp;" "&amp;원자재마스터!$A85))),IF($E$3="",TRUE(),ISNUMBER(SEARCH($E$3,원자재마스터!$C85)))))</f>
        <v>0</v>
      </c>
      <c r="M88" s="5" t="str">
        <f aca="false">IF($L88=FALSE(),"",COUNTIF($L$6:$L88,TRUE()))</f>
        <v/>
      </c>
      <c r="N88" s="5" t="str">
        <f aca="false">IF($M88="","","R"&amp;$M88)</f>
        <v/>
      </c>
    </row>
    <row r="89" customFormat="false" ht="15" hidden="false" customHeight="true" outlineLevel="0" collapsed="false">
      <c r="L89" s="21" t="b">
        <f aca="false">IF(원자재마스터!$A86="",FALSE(),AND(IF($B$3="",TRUE(),ISNUMBER(SEARCH($B$3,원자재마스터!$B86&amp;" "&amp;원자재마스터!$C86&amp;" "&amp;원자재마스터!$G86&amp;" "&amp;원자재마스터!$A86))),IF($E$3="",TRUE(),ISNUMBER(SEARCH($E$3,원자재마스터!$C86)))))</f>
        <v>0</v>
      </c>
      <c r="M89" s="5" t="str">
        <f aca="false">IF($L89=FALSE(),"",COUNTIF($L$6:$L89,TRUE()))</f>
        <v/>
      </c>
      <c r="N89" s="5" t="str">
        <f aca="false">IF($M89="","","R"&amp;$M89)</f>
        <v/>
      </c>
    </row>
    <row r="90" customFormat="false" ht="15" hidden="false" customHeight="true" outlineLevel="0" collapsed="false">
      <c r="L90" s="21" t="b">
        <f aca="false">IF(원자재마스터!$A87="",FALSE(),AND(IF($B$3="",TRUE(),ISNUMBER(SEARCH($B$3,원자재마스터!$B87&amp;" "&amp;원자재마스터!$C87&amp;" "&amp;원자재마스터!$G87&amp;" "&amp;원자재마스터!$A87))),IF($E$3="",TRUE(),ISNUMBER(SEARCH($E$3,원자재마스터!$C87)))))</f>
        <v>0</v>
      </c>
      <c r="M90" s="5" t="str">
        <f aca="false">IF($L90=FALSE(),"",COUNTIF($L$6:$L90,TRUE()))</f>
        <v/>
      </c>
      <c r="N90" s="5" t="str">
        <f aca="false">IF($M90="","","R"&amp;$M90)</f>
        <v/>
      </c>
    </row>
    <row r="91" customFormat="false" ht="15" hidden="false" customHeight="true" outlineLevel="0" collapsed="false">
      <c r="L91" s="21" t="b">
        <f aca="false">IF(원자재마스터!$A88="",FALSE(),AND(IF($B$3="",TRUE(),ISNUMBER(SEARCH($B$3,원자재마스터!$B88&amp;" "&amp;원자재마스터!$C88&amp;" "&amp;원자재마스터!$G88&amp;" "&amp;원자재마스터!$A88))),IF($E$3="",TRUE(),ISNUMBER(SEARCH($E$3,원자재마스터!$C88)))))</f>
        <v>0</v>
      </c>
      <c r="M91" s="5" t="str">
        <f aca="false">IF($L91=FALSE(),"",COUNTIF($L$6:$L91,TRUE()))</f>
        <v/>
      </c>
      <c r="N91" s="5" t="str">
        <f aca="false">IF($M91="","","R"&amp;$M91)</f>
        <v/>
      </c>
    </row>
    <row r="92" customFormat="false" ht="15" hidden="false" customHeight="true" outlineLevel="0" collapsed="false">
      <c r="L92" s="21" t="b">
        <f aca="false">IF(원자재마스터!$A89="",FALSE(),AND(IF($B$3="",TRUE(),ISNUMBER(SEARCH($B$3,원자재마스터!$B89&amp;" "&amp;원자재마스터!$C89&amp;" "&amp;원자재마스터!$G89&amp;" "&amp;원자재마스터!$A89))),IF($E$3="",TRUE(),ISNUMBER(SEARCH($E$3,원자재마스터!$C89)))))</f>
        <v>0</v>
      </c>
      <c r="M92" s="5" t="str">
        <f aca="false">IF($L92=FALSE(),"",COUNTIF($L$6:$L92,TRUE()))</f>
        <v/>
      </c>
      <c r="N92" s="5" t="str">
        <f aca="false">IF($M92="","","R"&amp;$M92)</f>
        <v/>
      </c>
    </row>
    <row r="93" customFormat="false" ht="15" hidden="false" customHeight="true" outlineLevel="0" collapsed="false">
      <c r="L93" s="21" t="b">
        <f aca="false">IF(원자재마스터!$A90="",FALSE(),AND(IF($B$3="",TRUE(),ISNUMBER(SEARCH($B$3,원자재마스터!$B90&amp;" "&amp;원자재마스터!$C90&amp;" "&amp;원자재마스터!$G90&amp;" "&amp;원자재마스터!$A90))),IF($E$3="",TRUE(),ISNUMBER(SEARCH($E$3,원자재마스터!$C90)))))</f>
        <v>0</v>
      </c>
      <c r="M93" s="5" t="str">
        <f aca="false">IF($L93=FALSE(),"",COUNTIF($L$6:$L93,TRUE()))</f>
        <v/>
      </c>
      <c r="N93" s="5" t="str">
        <f aca="false">IF($M93="","","R"&amp;$M93)</f>
        <v/>
      </c>
    </row>
    <row r="94" customFormat="false" ht="15" hidden="false" customHeight="true" outlineLevel="0" collapsed="false">
      <c r="L94" s="21" t="b">
        <f aca="false">IF(원자재마스터!$A91="",FALSE(),AND(IF($B$3="",TRUE(),ISNUMBER(SEARCH($B$3,원자재마스터!$B91&amp;" "&amp;원자재마스터!$C91&amp;" "&amp;원자재마스터!$G91&amp;" "&amp;원자재마스터!$A91))),IF($E$3="",TRUE(),ISNUMBER(SEARCH($E$3,원자재마스터!$C91)))))</f>
        <v>0</v>
      </c>
      <c r="M94" s="5" t="str">
        <f aca="false">IF($L94=FALSE(),"",COUNTIF($L$6:$L94,TRUE()))</f>
        <v/>
      </c>
      <c r="N94" s="5" t="str">
        <f aca="false">IF($M94="","","R"&amp;$M94)</f>
        <v/>
      </c>
    </row>
    <row r="95" customFormat="false" ht="15" hidden="false" customHeight="true" outlineLevel="0" collapsed="false">
      <c r="L95" s="21" t="b">
        <f aca="false">IF(원자재마스터!$A92="",FALSE(),AND(IF($B$3="",TRUE(),ISNUMBER(SEARCH($B$3,원자재마스터!$B92&amp;" "&amp;원자재마스터!$C92&amp;" "&amp;원자재마스터!$G92&amp;" "&amp;원자재마스터!$A92))),IF($E$3="",TRUE(),ISNUMBER(SEARCH($E$3,원자재마스터!$C92)))))</f>
        <v>0</v>
      </c>
      <c r="M95" s="5" t="str">
        <f aca="false">IF($L95=FALSE(),"",COUNTIF($L$6:$L95,TRUE()))</f>
        <v/>
      </c>
      <c r="N95" s="5" t="str">
        <f aca="false">IF($M95="","","R"&amp;$M95)</f>
        <v/>
      </c>
    </row>
    <row r="96" customFormat="false" ht="15" hidden="false" customHeight="true" outlineLevel="0" collapsed="false">
      <c r="L96" s="21" t="b">
        <f aca="false">IF(원자재마스터!$A93="",FALSE(),AND(IF($B$3="",TRUE(),ISNUMBER(SEARCH($B$3,원자재마스터!$B93&amp;" "&amp;원자재마스터!$C93&amp;" "&amp;원자재마스터!$G93&amp;" "&amp;원자재마스터!$A93))),IF($E$3="",TRUE(),ISNUMBER(SEARCH($E$3,원자재마스터!$C93)))))</f>
        <v>0</v>
      </c>
      <c r="M96" s="5" t="str">
        <f aca="false">IF($L96=FALSE(),"",COUNTIF($L$6:$L96,TRUE()))</f>
        <v/>
      </c>
      <c r="N96" s="5" t="str">
        <f aca="false">IF($M96="","","R"&amp;$M96)</f>
        <v/>
      </c>
    </row>
    <row r="97" customFormat="false" ht="15" hidden="false" customHeight="true" outlineLevel="0" collapsed="false">
      <c r="L97" s="21" t="b">
        <f aca="false">IF(원자재마스터!$A94="",FALSE(),AND(IF($B$3="",TRUE(),ISNUMBER(SEARCH($B$3,원자재마스터!$B94&amp;" "&amp;원자재마스터!$C94&amp;" "&amp;원자재마스터!$G94&amp;" "&amp;원자재마스터!$A94))),IF($E$3="",TRUE(),ISNUMBER(SEARCH($E$3,원자재마스터!$C94)))))</f>
        <v>0</v>
      </c>
      <c r="M97" s="5" t="str">
        <f aca="false">IF($L97=FALSE(),"",COUNTIF($L$6:$L97,TRUE()))</f>
        <v/>
      </c>
      <c r="N97" s="5" t="str">
        <f aca="false">IF($M97="","","R"&amp;$M97)</f>
        <v/>
      </c>
    </row>
    <row r="98" customFormat="false" ht="15" hidden="false" customHeight="true" outlineLevel="0" collapsed="false">
      <c r="L98" s="21" t="b">
        <f aca="false">IF(원자재마스터!$A95="",FALSE(),AND(IF($B$3="",TRUE(),ISNUMBER(SEARCH($B$3,원자재마스터!$B95&amp;" "&amp;원자재마스터!$C95&amp;" "&amp;원자재마스터!$G95&amp;" "&amp;원자재마스터!$A95))),IF($E$3="",TRUE(),ISNUMBER(SEARCH($E$3,원자재마스터!$C95)))))</f>
        <v>0</v>
      </c>
      <c r="M98" s="5" t="str">
        <f aca="false">IF($L98=FALSE(),"",COUNTIF($L$6:$L98,TRUE()))</f>
        <v/>
      </c>
      <c r="N98" s="5" t="str">
        <f aca="false">IF($M98="","","R"&amp;$M98)</f>
        <v/>
      </c>
    </row>
    <row r="99" customFormat="false" ht="15" hidden="false" customHeight="true" outlineLevel="0" collapsed="false">
      <c r="L99" s="21" t="b">
        <f aca="false">IF(원자재마스터!$A96="",FALSE(),AND(IF($B$3="",TRUE(),ISNUMBER(SEARCH($B$3,원자재마스터!$B96&amp;" "&amp;원자재마스터!$C96&amp;" "&amp;원자재마스터!$G96&amp;" "&amp;원자재마스터!$A96))),IF($E$3="",TRUE(),ISNUMBER(SEARCH($E$3,원자재마스터!$C96)))))</f>
        <v>0</v>
      </c>
      <c r="M99" s="5" t="str">
        <f aca="false">IF($L99=FALSE(),"",COUNTIF($L$6:$L99,TRUE()))</f>
        <v/>
      </c>
      <c r="N99" s="5" t="str">
        <f aca="false">IF($M99="","","R"&amp;$M99)</f>
        <v/>
      </c>
    </row>
    <row r="100" customFormat="false" ht="15" hidden="false" customHeight="true" outlineLevel="0" collapsed="false">
      <c r="L100" s="21" t="b">
        <f aca="false">IF(원자재마스터!$A97="",FALSE(),AND(IF($B$3="",TRUE(),ISNUMBER(SEARCH($B$3,원자재마스터!$B97&amp;" "&amp;원자재마스터!$C97&amp;" "&amp;원자재마스터!$G97&amp;" "&amp;원자재마스터!$A97))),IF($E$3="",TRUE(),ISNUMBER(SEARCH($E$3,원자재마스터!$C97)))))</f>
        <v>0</v>
      </c>
      <c r="M100" s="5" t="str">
        <f aca="false">IF($L100=FALSE(),"",COUNTIF($L$6:$L100,TRUE()))</f>
        <v/>
      </c>
      <c r="N100" s="5" t="str">
        <f aca="false">IF($M100="","","R"&amp;$M100)</f>
        <v/>
      </c>
    </row>
    <row r="101" customFormat="false" ht="15" hidden="false" customHeight="true" outlineLevel="0" collapsed="false">
      <c r="L101" s="21" t="b">
        <f aca="false">IF(원자재마스터!$A98="",FALSE(),AND(IF($B$3="",TRUE(),ISNUMBER(SEARCH($B$3,원자재마스터!$B98&amp;" "&amp;원자재마스터!$C98&amp;" "&amp;원자재마스터!$G98&amp;" "&amp;원자재마스터!$A98))),IF($E$3="",TRUE(),ISNUMBER(SEARCH($E$3,원자재마스터!$C98)))))</f>
        <v>0</v>
      </c>
      <c r="M101" s="5" t="str">
        <f aca="false">IF($L101=FALSE(),"",COUNTIF($L$6:$L101,TRUE()))</f>
        <v/>
      </c>
      <c r="N101" s="5" t="str">
        <f aca="false">IF($M101="","","R"&amp;$M101)</f>
        <v/>
      </c>
    </row>
    <row r="102" customFormat="false" ht="15" hidden="false" customHeight="true" outlineLevel="0" collapsed="false">
      <c r="L102" s="21" t="b">
        <f aca="false">IF(원자재마스터!$A99="",FALSE(),AND(IF($B$3="",TRUE(),ISNUMBER(SEARCH($B$3,원자재마스터!$B99&amp;" "&amp;원자재마스터!$C99&amp;" "&amp;원자재마스터!$G99&amp;" "&amp;원자재마스터!$A99))),IF($E$3="",TRUE(),ISNUMBER(SEARCH($E$3,원자재마스터!$C99)))))</f>
        <v>0</v>
      </c>
      <c r="M102" s="5" t="str">
        <f aca="false">IF($L102=FALSE(),"",COUNTIF($L$6:$L102,TRUE()))</f>
        <v/>
      </c>
      <c r="N102" s="5" t="str">
        <f aca="false">IF($M102="","","R"&amp;$M102)</f>
        <v/>
      </c>
    </row>
    <row r="103" customFormat="false" ht="15" hidden="false" customHeight="true" outlineLevel="0" collapsed="false">
      <c r="L103" s="21" t="b">
        <f aca="false">IF(원자재마스터!$A100="",FALSE(),AND(IF($B$3="",TRUE(),ISNUMBER(SEARCH($B$3,원자재마스터!$B100&amp;" "&amp;원자재마스터!$C100&amp;" "&amp;원자재마스터!$G100&amp;" "&amp;원자재마스터!$A100))),IF($E$3="",TRUE(),ISNUMBER(SEARCH($E$3,원자재마스터!$C100)))))</f>
        <v>0</v>
      </c>
      <c r="M103" s="5" t="str">
        <f aca="false">IF($L103=FALSE(),"",COUNTIF($L$6:$L103,TRUE()))</f>
        <v/>
      </c>
      <c r="N103" s="5" t="str">
        <f aca="false">IF($M103="","","R"&amp;$M103)</f>
        <v/>
      </c>
    </row>
    <row r="104" customFormat="false" ht="15" hidden="false" customHeight="true" outlineLevel="0" collapsed="false">
      <c r="L104" s="21" t="b">
        <f aca="false">IF(원자재마스터!$A101="",FALSE(),AND(IF($B$3="",TRUE(),ISNUMBER(SEARCH($B$3,원자재마스터!$B101&amp;" "&amp;원자재마스터!$C101&amp;" "&amp;원자재마스터!$G101&amp;" "&amp;원자재마스터!$A101))),IF($E$3="",TRUE(),ISNUMBER(SEARCH($E$3,원자재마스터!$C101)))))</f>
        <v>0</v>
      </c>
      <c r="M104" s="5" t="str">
        <f aca="false">IF($L104=FALSE(),"",COUNTIF($L$6:$L104,TRUE()))</f>
        <v/>
      </c>
      <c r="N104" s="5" t="str">
        <f aca="false">IF($M104="","","R"&amp;$M104)</f>
        <v/>
      </c>
    </row>
    <row r="105" customFormat="false" ht="15" hidden="false" customHeight="true" outlineLevel="0" collapsed="false">
      <c r="L105" s="21" t="b">
        <f aca="false">IF(원자재마스터!$A102="",FALSE(),AND(IF($B$3="",TRUE(),ISNUMBER(SEARCH($B$3,원자재마스터!$B102&amp;" "&amp;원자재마스터!$C102&amp;" "&amp;원자재마스터!$G102&amp;" "&amp;원자재마스터!$A102))),IF($E$3="",TRUE(),ISNUMBER(SEARCH($E$3,원자재마스터!$C102)))))</f>
        <v>0</v>
      </c>
      <c r="M105" s="5" t="str">
        <f aca="false">IF($L105=FALSE(),"",COUNTIF($L$6:$L105,TRUE()))</f>
        <v/>
      </c>
      <c r="N105" s="5" t="str">
        <f aca="false">IF($M105="","","R"&amp;$M105)</f>
        <v/>
      </c>
    </row>
    <row r="106" customFormat="false" ht="15" hidden="false" customHeight="true" outlineLevel="0" collapsed="false">
      <c r="L106" s="21" t="b">
        <f aca="false">IF(원자재마스터!$A103="",FALSE(),AND(IF($B$3="",TRUE(),ISNUMBER(SEARCH($B$3,원자재마스터!$B103&amp;" "&amp;원자재마스터!$C103&amp;" "&amp;원자재마스터!$G103&amp;" "&amp;원자재마스터!$A103))),IF($E$3="",TRUE(),ISNUMBER(SEARCH($E$3,원자재마스터!$C103)))))</f>
        <v>0</v>
      </c>
      <c r="M106" s="5" t="str">
        <f aca="false">IF($L106=FALSE(),"",COUNTIF($L$6:$L106,TRUE()))</f>
        <v/>
      </c>
      <c r="N106" s="5" t="str">
        <f aca="false">IF($M106="","","R"&amp;$M106)</f>
        <v/>
      </c>
    </row>
    <row r="107" customFormat="false" ht="15" hidden="false" customHeight="true" outlineLevel="0" collapsed="false">
      <c r="L107" s="21" t="b">
        <f aca="false">IF(원자재마스터!$A104="",FALSE(),AND(IF($B$3="",TRUE(),ISNUMBER(SEARCH($B$3,원자재마스터!$B104&amp;" "&amp;원자재마스터!$C104&amp;" "&amp;원자재마스터!$G104&amp;" "&amp;원자재마스터!$A104))),IF($E$3="",TRUE(),ISNUMBER(SEARCH($E$3,원자재마스터!$C104)))))</f>
        <v>0</v>
      </c>
      <c r="M107" s="5" t="str">
        <f aca="false">IF($L107=FALSE(),"",COUNTIF($L$6:$L107,TRUE()))</f>
        <v/>
      </c>
      <c r="N107" s="5" t="str">
        <f aca="false">IF($M107="","","R"&amp;$M107)</f>
        <v/>
      </c>
    </row>
    <row r="108" customFormat="false" ht="15" hidden="false" customHeight="true" outlineLevel="0" collapsed="false">
      <c r="L108" s="21" t="b">
        <f aca="false">IF(원자재마스터!$A105="",FALSE(),AND(IF($B$3="",TRUE(),ISNUMBER(SEARCH($B$3,원자재마스터!$B105&amp;" "&amp;원자재마스터!$C105&amp;" "&amp;원자재마스터!$G105&amp;" "&amp;원자재마스터!$A105))),IF($E$3="",TRUE(),ISNUMBER(SEARCH($E$3,원자재마스터!$C105)))))</f>
        <v>0</v>
      </c>
      <c r="M108" s="5" t="str">
        <f aca="false">IF($L108=FALSE(),"",COUNTIF($L$6:$L108,TRUE()))</f>
        <v/>
      </c>
      <c r="N108" s="5" t="str">
        <f aca="false">IF($M108="","","R"&amp;$M108)</f>
        <v/>
      </c>
    </row>
    <row r="109" customFormat="false" ht="15" hidden="false" customHeight="true" outlineLevel="0" collapsed="false">
      <c r="L109" s="21" t="b">
        <f aca="false">IF(원자재마스터!$A106="",FALSE(),AND(IF($B$3="",TRUE(),ISNUMBER(SEARCH($B$3,원자재마스터!$B106&amp;" "&amp;원자재마스터!$C106&amp;" "&amp;원자재마스터!$G106&amp;" "&amp;원자재마스터!$A106))),IF($E$3="",TRUE(),ISNUMBER(SEARCH($E$3,원자재마스터!$C106)))))</f>
        <v>0</v>
      </c>
      <c r="M109" s="5" t="str">
        <f aca="false">IF($L109=FALSE(),"",COUNTIF($L$6:$L109,TRUE()))</f>
        <v/>
      </c>
      <c r="N109" s="5" t="str">
        <f aca="false">IF($M109="","","R"&amp;$M109)</f>
        <v/>
      </c>
    </row>
    <row r="110" customFormat="false" ht="15" hidden="false" customHeight="true" outlineLevel="0" collapsed="false">
      <c r="L110" s="21" t="b">
        <f aca="false">IF(원자재마스터!$A107="",FALSE(),AND(IF($B$3="",TRUE(),ISNUMBER(SEARCH($B$3,원자재마스터!$B107&amp;" "&amp;원자재마스터!$C107&amp;" "&amp;원자재마스터!$G107&amp;" "&amp;원자재마스터!$A107))),IF($E$3="",TRUE(),ISNUMBER(SEARCH($E$3,원자재마스터!$C107)))))</f>
        <v>0</v>
      </c>
      <c r="M110" s="5" t="str">
        <f aca="false">IF($L110=FALSE(),"",COUNTIF($L$6:$L110,TRUE()))</f>
        <v/>
      </c>
      <c r="N110" s="5" t="str">
        <f aca="false">IF($M110="","","R"&amp;$M110)</f>
        <v/>
      </c>
    </row>
    <row r="111" customFormat="false" ht="15" hidden="false" customHeight="true" outlineLevel="0" collapsed="false">
      <c r="L111" s="21" t="b">
        <f aca="false">IF(원자재마스터!$A108="",FALSE(),AND(IF($B$3="",TRUE(),ISNUMBER(SEARCH($B$3,원자재마스터!$B108&amp;" "&amp;원자재마스터!$C108&amp;" "&amp;원자재마스터!$G108&amp;" "&amp;원자재마스터!$A108))),IF($E$3="",TRUE(),ISNUMBER(SEARCH($E$3,원자재마스터!$C108)))))</f>
        <v>0</v>
      </c>
      <c r="M111" s="5" t="str">
        <f aca="false">IF($L111=FALSE(),"",COUNTIF($L$6:$L111,TRUE()))</f>
        <v/>
      </c>
      <c r="N111" s="5" t="str">
        <f aca="false">IF($M111="","","R"&amp;$M111)</f>
        <v/>
      </c>
    </row>
    <row r="112" customFormat="false" ht="15" hidden="false" customHeight="true" outlineLevel="0" collapsed="false">
      <c r="L112" s="21" t="b">
        <f aca="false">IF(원자재마스터!$A109="",FALSE(),AND(IF($B$3="",TRUE(),ISNUMBER(SEARCH($B$3,원자재마스터!$B109&amp;" "&amp;원자재마스터!$C109&amp;" "&amp;원자재마스터!$G109&amp;" "&amp;원자재마스터!$A109))),IF($E$3="",TRUE(),ISNUMBER(SEARCH($E$3,원자재마스터!$C109)))))</f>
        <v>0</v>
      </c>
      <c r="M112" s="5" t="str">
        <f aca="false">IF($L112=FALSE(),"",COUNTIF($L$6:$L112,TRUE()))</f>
        <v/>
      </c>
      <c r="N112" s="5" t="str">
        <f aca="false">IF($M112="","","R"&amp;$M112)</f>
        <v/>
      </c>
    </row>
    <row r="113" customFormat="false" ht="15" hidden="false" customHeight="true" outlineLevel="0" collapsed="false">
      <c r="L113" s="21" t="b">
        <f aca="false">IF(원자재마스터!$A110="",FALSE(),AND(IF($B$3="",TRUE(),ISNUMBER(SEARCH($B$3,원자재마스터!$B110&amp;" "&amp;원자재마스터!$C110&amp;" "&amp;원자재마스터!$G110&amp;" "&amp;원자재마스터!$A110))),IF($E$3="",TRUE(),ISNUMBER(SEARCH($E$3,원자재마스터!$C110)))))</f>
        <v>0</v>
      </c>
      <c r="M113" s="5" t="str">
        <f aca="false">IF($L113=FALSE(),"",COUNTIF($L$6:$L113,TRUE()))</f>
        <v/>
      </c>
      <c r="N113" s="5" t="str">
        <f aca="false">IF($M113="","","R"&amp;$M113)</f>
        <v/>
      </c>
    </row>
    <row r="114" customFormat="false" ht="15" hidden="false" customHeight="true" outlineLevel="0" collapsed="false">
      <c r="L114" s="21" t="b">
        <f aca="false">IF(원자재마스터!$A111="",FALSE(),AND(IF($B$3="",TRUE(),ISNUMBER(SEARCH($B$3,원자재마스터!$B111&amp;" "&amp;원자재마스터!$C111&amp;" "&amp;원자재마스터!$G111&amp;" "&amp;원자재마스터!$A111))),IF($E$3="",TRUE(),ISNUMBER(SEARCH($E$3,원자재마스터!$C111)))))</f>
        <v>0</v>
      </c>
      <c r="M114" s="5" t="str">
        <f aca="false">IF($L114=FALSE(),"",COUNTIF($L$6:$L114,TRUE()))</f>
        <v/>
      </c>
      <c r="N114" s="5" t="str">
        <f aca="false">IF($M114="","","R"&amp;$M114)</f>
        <v/>
      </c>
    </row>
    <row r="115" customFormat="false" ht="15" hidden="false" customHeight="true" outlineLevel="0" collapsed="false">
      <c r="L115" s="21" t="b">
        <f aca="false">IF(원자재마스터!$A112="",FALSE(),AND(IF($B$3="",TRUE(),ISNUMBER(SEARCH($B$3,원자재마스터!$B112&amp;" "&amp;원자재마스터!$C112&amp;" "&amp;원자재마스터!$G112&amp;" "&amp;원자재마스터!$A112))),IF($E$3="",TRUE(),ISNUMBER(SEARCH($E$3,원자재마스터!$C112)))))</f>
        <v>0</v>
      </c>
      <c r="M115" s="5" t="str">
        <f aca="false">IF($L115=FALSE(),"",COUNTIF($L$6:$L115,TRUE()))</f>
        <v/>
      </c>
      <c r="N115" s="5" t="str">
        <f aca="false">IF($M115="","","R"&amp;$M115)</f>
        <v/>
      </c>
    </row>
    <row r="116" customFormat="false" ht="15" hidden="false" customHeight="true" outlineLevel="0" collapsed="false">
      <c r="L116" s="21" t="b">
        <f aca="false">IF(원자재마스터!$A113="",FALSE(),AND(IF($B$3="",TRUE(),ISNUMBER(SEARCH($B$3,원자재마스터!$B113&amp;" "&amp;원자재마스터!$C113&amp;" "&amp;원자재마스터!$G113&amp;" "&amp;원자재마스터!$A113))),IF($E$3="",TRUE(),ISNUMBER(SEARCH($E$3,원자재마스터!$C113)))))</f>
        <v>0</v>
      </c>
      <c r="M116" s="5" t="str">
        <f aca="false">IF($L116=FALSE(),"",COUNTIF($L$6:$L116,TRUE()))</f>
        <v/>
      </c>
      <c r="N116" s="5" t="str">
        <f aca="false">IF($M116="","","R"&amp;$M116)</f>
        <v/>
      </c>
    </row>
    <row r="117" customFormat="false" ht="15" hidden="false" customHeight="true" outlineLevel="0" collapsed="false">
      <c r="L117" s="21" t="b">
        <f aca="false">IF(원자재마스터!$A114="",FALSE(),AND(IF($B$3="",TRUE(),ISNUMBER(SEARCH($B$3,원자재마스터!$B114&amp;" "&amp;원자재마스터!$C114&amp;" "&amp;원자재마스터!$G114&amp;" "&amp;원자재마스터!$A114))),IF($E$3="",TRUE(),ISNUMBER(SEARCH($E$3,원자재마스터!$C114)))))</f>
        <v>0</v>
      </c>
      <c r="M117" s="5" t="str">
        <f aca="false">IF($L117=FALSE(),"",COUNTIF($L$6:$L117,TRUE()))</f>
        <v/>
      </c>
      <c r="N117" s="5" t="str">
        <f aca="false">IF($M117="","","R"&amp;$M117)</f>
        <v/>
      </c>
    </row>
    <row r="118" customFormat="false" ht="15" hidden="false" customHeight="true" outlineLevel="0" collapsed="false">
      <c r="L118" s="21" t="b">
        <f aca="false">IF(원자재마스터!$A115="",FALSE(),AND(IF($B$3="",TRUE(),ISNUMBER(SEARCH($B$3,원자재마스터!$B115&amp;" "&amp;원자재마스터!$C115&amp;" "&amp;원자재마스터!$G115&amp;" "&amp;원자재마스터!$A115))),IF($E$3="",TRUE(),ISNUMBER(SEARCH($E$3,원자재마스터!$C115)))))</f>
        <v>0</v>
      </c>
      <c r="M118" s="5" t="str">
        <f aca="false">IF($L118=FALSE(),"",COUNTIF($L$6:$L118,TRUE()))</f>
        <v/>
      </c>
      <c r="N118" s="5" t="str">
        <f aca="false">IF($M118="","","R"&amp;$M118)</f>
        <v/>
      </c>
    </row>
    <row r="119" customFormat="false" ht="15" hidden="false" customHeight="true" outlineLevel="0" collapsed="false">
      <c r="L119" s="21" t="b">
        <f aca="false">IF(원자재마스터!$A116="",FALSE(),AND(IF($B$3="",TRUE(),ISNUMBER(SEARCH($B$3,원자재마스터!$B116&amp;" "&amp;원자재마스터!$C116&amp;" "&amp;원자재마스터!$G116&amp;" "&amp;원자재마스터!$A116))),IF($E$3="",TRUE(),ISNUMBER(SEARCH($E$3,원자재마스터!$C116)))))</f>
        <v>0</v>
      </c>
      <c r="M119" s="5" t="str">
        <f aca="false">IF($L119=FALSE(),"",COUNTIF($L$6:$L119,TRUE()))</f>
        <v/>
      </c>
      <c r="N119" s="5" t="str">
        <f aca="false">IF($M119="","","R"&amp;$M119)</f>
        <v/>
      </c>
    </row>
    <row r="120" customFormat="false" ht="15" hidden="false" customHeight="true" outlineLevel="0" collapsed="false">
      <c r="L120" s="21" t="b">
        <f aca="false">IF(원자재마스터!$A117="",FALSE(),AND(IF($B$3="",TRUE(),ISNUMBER(SEARCH($B$3,원자재마스터!$B117&amp;" "&amp;원자재마스터!$C117&amp;" "&amp;원자재마스터!$G117&amp;" "&amp;원자재마스터!$A117))),IF($E$3="",TRUE(),ISNUMBER(SEARCH($E$3,원자재마스터!$C117)))))</f>
        <v>0</v>
      </c>
      <c r="M120" s="5" t="str">
        <f aca="false">IF($L120=FALSE(),"",COUNTIF($L$6:$L120,TRUE()))</f>
        <v/>
      </c>
      <c r="N120" s="5" t="str">
        <f aca="false">IF($M120="","","R"&amp;$M120)</f>
        <v/>
      </c>
    </row>
    <row r="121" customFormat="false" ht="15" hidden="false" customHeight="true" outlineLevel="0" collapsed="false">
      <c r="L121" s="21" t="b">
        <f aca="false">IF(원자재마스터!$A118="",FALSE(),AND(IF($B$3="",TRUE(),ISNUMBER(SEARCH($B$3,원자재마스터!$B118&amp;" "&amp;원자재마스터!$C118&amp;" "&amp;원자재마스터!$G118&amp;" "&amp;원자재마스터!$A118))),IF($E$3="",TRUE(),ISNUMBER(SEARCH($E$3,원자재마스터!$C118)))))</f>
        <v>0</v>
      </c>
      <c r="M121" s="5" t="str">
        <f aca="false">IF($L121=FALSE(),"",COUNTIF($L$6:$L121,TRUE()))</f>
        <v/>
      </c>
      <c r="N121" s="5" t="str">
        <f aca="false">IF($M121="","","R"&amp;$M121)</f>
        <v/>
      </c>
    </row>
    <row r="122" customFormat="false" ht="15" hidden="false" customHeight="true" outlineLevel="0" collapsed="false">
      <c r="L122" s="21" t="b">
        <f aca="false">IF(원자재마스터!$A119="",FALSE(),AND(IF($B$3="",TRUE(),ISNUMBER(SEARCH($B$3,원자재마스터!$B119&amp;" "&amp;원자재마스터!$C119&amp;" "&amp;원자재마스터!$G119&amp;" "&amp;원자재마스터!$A119))),IF($E$3="",TRUE(),ISNUMBER(SEARCH($E$3,원자재마스터!$C119)))))</f>
        <v>0</v>
      </c>
      <c r="M122" s="5" t="str">
        <f aca="false">IF($L122=FALSE(),"",COUNTIF($L$6:$L122,TRUE()))</f>
        <v/>
      </c>
      <c r="N122" s="5" t="str">
        <f aca="false">IF($M122="","","R"&amp;$M122)</f>
        <v/>
      </c>
    </row>
    <row r="123" customFormat="false" ht="15" hidden="false" customHeight="true" outlineLevel="0" collapsed="false">
      <c r="L123" s="21" t="b">
        <f aca="false">IF(원자재마스터!$A120="",FALSE(),AND(IF($B$3="",TRUE(),ISNUMBER(SEARCH($B$3,원자재마스터!$B120&amp;" "&amp;원자재마스터!$C120&amp;" "&amp;원자재마스터!$G120&amp;" "&amp;원자재마스터!$A120))),IF($E$3="",TRUE(),ISNUMBER(SEARCH($E$3,원자재마스터!$C120)))))</f>
        <v>0</v>
      </c>
      <c r="M123" s="5" t="str">
        <f aca="false">IF($L123=FALSE(),"",COUNTIF($L$6:$L123,TRUE()))</f>
        <v/>
      </c>
      <c r="N123" s="5" t="str">
        <f aca="false">IF($M123="","","R"&amp;$M123)</f>
        <v/>
      </c>
    </row>
    <row r="124" customFormat="false" ht="15" hidden="false" customHeight="true" outlineLevel="0" collapsed="false">
      <c r="L124" s="21" t="b">
        <f aca="false">IF(원자재마스터!$A121="",FALSE(),AND(IF($B$3="",TRUE(),ISNUMBER(SEARCH($B$3,원자재마스터!$B121&amp;" "&amp;원자재마스터!$C121&amp;" "&amp;원자재마스터!$G121&amp;" "&amp;원자재마스터!$A121))),IF($E$3="",TRUE(),ISNUMBER(SEARCH($E$3,원자재마스터!$C121)))))</f>
        <v>0</v>
      </c>
      <c r="M124" s="5" t="str">
        <f aca="false">IF($L124=FALSE(),"",COUNTIF($L$6:$L124,TRUE()))</f>
        <v/>
      </c>
      <c r="N124" s="5" t="str">
        <f aca="false">IF($M124="","","R"&amp;$M124)</f>
        <v/>
      </c>
    </row>
    <row r="125" customFormat="false" ht="15" hidden="false" customHeight="true" outlineLevel="0" collapsed="false">
      <c r="L125" s="21" t="b">
        <f aca="false">IF(원자재마스터!$A122="",FALSE(),AND(IF($B$3="",TRUE(),ISNUMBER(SEARCH($B$3,원자재마스터!$B122&amp;" "&amp;원자재마스터!$C122&amp;" "&amp;원자재마스터!$G122&amp;" "&amp;원자재마스터!$A122))),IF($E$3="",TRUE(),ISNUMBER(SEARCH($E$3,원자재마스터!$C122)))))</f>
        <v>0</v>
      </c>
      <c r="M125" s="5" t="str">
        <f aca="false">IF($L125=FALSE(),"",COUNTIF($L$6:$L125,TRUE()))</f>
        <v/>
      </c>
      <c r="N125" s="5" t="str">
        <f aca="false">IF($M125="","","R"&amp;$M125)</f>
        <v/>
      </c>
    </row>
    <row r="126" customFormat="false" ht="15" hidden="false" customHeight="true" outlineLevel="0" collapsed="false">
      <c r="L126" s="21" t="b">
        <f aca="false">IF(원자재마스터!$A123="",FALSE(),AND(IF($B$3="",TRUE(),ISNUMBER(SEARCH($B$3,원자재마스터!$B123&amp;" "&amp;원자재마스터!$C123&amp;" "&amp;원자재마스터!$G123&amp;" "&amp;원자재마스터!$A123))),IF($E$3="",TRUE(),ISNUMBER(SEARCH($E$3,원자재마스터!$C123)))))</f>
        <v>0</v>
      </c>
      <c r="M126" s="5" t="str">
        <f aca="false">IF($L126=FALSE(),"",COUNTIF($L$6:$L126,TRUE()))</f>
        <v/>
      </c>
      <c r="N126" s="5" t="str">
        <f aca="false">IF($M126="","","R"&amp;$M126)</f>
        <v/>
      </c>
    </row>
    <row r="127" customFormat="false" ht="15" hidden="false" customHeight="true" outlineLevel="0" collapsed="false">
      <c r="L127" s="21" t="b">
        <f aca="false">IF(원자재마스터!$A124="",FALSE(),AND(IF($B$3="",TRUE(),ISNUMBER(SEARCH($B$3,원자재마스터!$B124&amp;" "&amp;원자재마스터!$C124&amp;" "&amp;원자재마스터!$G124&amp;" "&amp;원자재마스터!$A124))),IF($E$3="",TRUE(),ISNUMBER(SEARCH($E$3,원자재마스터!$C124)))))</f>
        <v>0</v>
      </c>
      <c r="M127" s="5" t="str">
        <f aca="false">IF($L127=FALSE(),"",COUNTIF($L$6:$L127,TRUE()))</f>
        <v/>
      </c>
      <c r="N127" s="5" t="str">
        <f aca="false">IF($M127="","","R"&amp;$M127)</f>
        <v/>
      </c>
    </row>
    <row r="128" customFormat="false" ht="15" hidden="false" customHeight="true" outlineLevel="0" collapsed="false">
      <c r="L128" s="21" t="b">
        <f aca="false">IF(원자재마스터!$A125="",FALSE(),AND(IF($B$3="",TRUE(),ISNUMBER(SEARCH($B$3,원자재마스터!$B125&amp;" "&amp;원자재마스터!$C125&amp;" "&amp;원자재마스터!$G125&amp;" "&amp;원자재마스터!$A125))),IF($E$3="",TRUE(),ISNUMBER(SEARCH($E$3,원자재마스터!$C125)))))</f>
        <v>0</v>
      </c>
      <c r="M128" s="5" t="str">
        <f aca="false">IF($L128=FALSE(),"",COUNTIF($L$6:$L128,TRUE()))</f>
        <v/>
      </c>
      <c r="N128" s="5" t="str">
        <f aca="false">IF($M128="","","R"&amp;$M128)</f>
        <v/>
      </c>
    </row>
    <row r="129" customFormat="false" ht="15" hidden="false" customHeight="true" outlineLevel="0" collapsed="false">
      <c r="L129" s="21" t="b">
        <f aca="false">IF(원자재마스터!$A126="",FALSE(),AND(IF($B$3="",TRUE(),ISNUMBER(SEARCH($B$3,원자재마스터!$B126&amp;" "&amp;원자재마스터!$C126&amp;" "&amp;원자재마스터!$G126&amp;" "&amp;원자재마스터!$A126))),IF($E$3="",TRUE(),ISNUMBER(SEARCH($E$3,원자재마스터!$C126)))))</f>
        <v>0</v>
      </c>
      <c r="M129" s="5" t="str">
        <f aca="false">IF($L129=FALSE(),"",COUNTIF($L$6:$L129,TRUE()))</f>
        <v/>
      </c>
      <c r="N129" s="5" t="str">
        <f aca="false">IF($M129="","","R"&amp;$M129)</f>
        <v/>
      </c>
    </row>
    <row r="130" customFormat="false" ht="15" hidden="false" customHeight="true" outlineLevel="0" collapsed="false">
      <c r="L130" s="21" t="b">
        <f aca="false">IF(원자재마스터!$A127="",FALSE(),AND(IF($B$3="",TRUE(),ISNUMBER(SEARCH($B$3,원자재마스터!$B127&amp;" "&amp;원자재마스터!$C127&amp;" "&amp;원자재마스터!$G127&amp;" "&amp;원자재마스터!$A127))),IF($E$3="",TRUE(),ISNUMBER(SEARCH($E$3,원자재마스터!$C127)))))</f>
        <v>0</v>
      </c>
      <c r="M130" s="5" t="str">
        <f aca="false">IF($L130=FALSE(),"",COUNTIF($L$6:$L130,TRUE()))</f>
        <v/>
      </c>
      <c r="N130" s="5" t="str">
        <f aca="false">IF($M130="","","R"&amp;$M130)</f>
        <v/>
      </c>
    </row>
    <row r="131" customFormat="false" ht="15" hidden="false" customHeight="true" outlineLevel="0" collapsed="false">
      <c r="L131" s="21" t="b">
        <f aca="false">IF(원자재마스터!$A128="",FALSE(),AND(IF($B$3="",TRUE(),ISNUMBER(SEARCH($B$3,원자재마스터!$B128&amp;" "&amp;원자재마스터!$C128&amp;" "&amp;원자재마스터!$G128&amp;" "&amp;원자재마스터!$A128))),IF($E$3="",TRUE(),ISNUMBER(SEARCH($E$3,원자재마스터!$C128)))))</f>
        <v>0</v>
      </c>
      <c r="M131" s="5" t="str">
        <f aca="false">IF($L131=FALSE(),"",COUNTIF($L$6:$L131,TRUE()))</f>
        <v/>
      </c>
      <c r="N131" s="5" t="str">
        <f aca="false">IF($M131="","","R"&amp;$M131)</f>
        <v/>
      </c>
    </row>
    <row r="132" customFormat="false" ht="15" hidden="false" customHeight="true" outlineLevel="0" collapsed="false">
      <c r="L132" s="21" t="b">
        <f aca="false">IF(원자재마스터!$A129="",FALSE(),AND(IF($B$3="",TRUE(),ISNUMBER(SEARCH($B$3,원자재마스터!$B129&amp;" "&amp;원자재마스터!$C129&amp;" "&amp;원자재마스터!$G129&amp;" "&amp;원자재마스터!$A129))),IF($E$3="",TRUE(),ISNUMBER(SEARCH($E$3,원자재마스터!$C129)))))</f>
        <v>0</v>
      </c>
      <c r="M132" s="5" t="str">
        <f aca="false">IF($L132=FALSE(),"",COUNTIF($L$6:$L132,TRUE()))</f>
        <v/>
      </c>
      <c r="N132" s="5" t="str">
        <f aca="false">IF($M132="","","R"&amp;$M132)</f>
        <v/>
      </c>
    </row>
    <row r="133" customFormat="false" ht="15" hidden="false" customHeight="true" outlineLevel="0" collapsed="false">
      <c r="L133" s="21" t="b">
        <f aca="false">IF(원자재마스터!$A130="",FALSE(),AND(IF($B$3="",TRUE(),ISNUMBER(SEARCH($B$3,원자재마스터!$B130&amp;" "&amp;원자재마스터!$C130&amp;" "&amp;원자재마스터!$G130&amp;" "&amp;원자재마스터!$A130))),IF($E$3="",TRUE(),ISNUMBER(SEARCH($E$3,원자재마스터!$C130)))))</f>
        <v>0</v>
      </c>
      <c r="M133" s="5" t="str">
        <f aca="false">IF($L133=FALSE(),"",COUNTIF($L$6:$L133,TRUE()))</f>
        <v/>
      </c>
      <c r="N133" s="5" t="str">
        <f aca="false">IF($M133="","","R"&amp;$M133)</f>
        <v/>
      </c>
    </row>
    <row r="134" customFormat="false" ht="15" hidden="false" customHeight="true" outlineLevel="0" collapsed="false">
      <c r="L134" s="21" t="b">
        <f aca="false">IF(원자재마스터!$A131="",FALSE(),AND(IF($B$3="",TRUE(),ISNUMBER(SEARCH($B$3,원자재마스터!$B131&amp;" "&amp;원자재마스터!$C131&amp;" "&amp;원자재마스터!$G131&amp;" "&amp;원자재마스터!$A131))),IF($E$3="",TRUE(),ISNUMBER(SEARCH($E$3,원자재마스터!$C131)))))</f>
        <v>0</v>
      </c>
      <c r="M134" s="5" t="str">
        <f aca="false">IF($L134=FALSE(),"",COUNTIF($L$6:$L134,TRUE()))</f>
        <v/>
      </c>
      <c r="N134" s="5" t="str">
        <f aca="false">IF($M134="","","R"&amp;$M134)</f>
        <v/>
      </c>
    </row>
    <row r="135" customFormat="false" ht="15" hidden="false" customHeight="true" outlineLevel="0" collapsed="false">
      <c r="L135" s="21" t="b">
        <f aca="false">IF(원자재마스터!$A132="",FALSE(),AND(IF($B$3="",TRUE(),ISNUMBER(SEARCH($B$3,원자재마스터!$B132&amp;" "&amp;원자재마스터!$C132&amp;" "&amp;원자재마스터!$G132&amp;" "&amp;원자재마스터!$A132))),IF($E$3="",TRUE(),ISNUMBER(SEARCH($E$3,원자재마스터!$C132)))))</f>
        <v>0</v>
      </c>
      <c r="M135" s="5" t="str">
        <f aca="false">IF($L135=FALSE(),"",COUNTIF($L$6:$L135,TRUE()))</f>
        <v/>
      </c>
      <c r="N135" s="5" t="str">
        <f aca="false">IF($M135="","","R"&amp;$M135)</f>
        <v/>
      </c>
    </row>
    <row r="136" customFormat="false" ht="15" hidden="false" customHeight="true" outlineLevel="0" collapsed="false">
      <c r="L136" s="21" t="b">
        <f aca="false">IF(원자재마스터!$A133="",FALSE(),AND(IF($B$3="",TRUE(),ISNUMBER(SEARCH($B$3,원자재마스터!$B133&amp;" "&amp;원자재마스터!$C133&amp;" "&amp;원자재마스터!$G133&amp;" "&amp;원자재마스터!$A133))),IF($E$3="",TRUE(),ISNUMBER(SEARCH($E$3,원자재마스터!$C133)))))</f>
        <v>0</v>
      </c>
      <c r="M136" s="5" t="str">
        <f aca="false">IF($L136=FALSE(),"",COUNTIF($L$6:$L136,TRUE()))</f>
        <v/>
      </c>
      <c r="N136" s="5" t="str">
        <f aca="false">IF($M136="","","R"&amp;$M136)</f>
        <v/>
      </c>
    </row>
    <row r="137" customFormat="false" ht="15" hidden="false" customHeight="true" outlineLevel="0" collapsed="false">
      <c r="L137" s="21" t="b">
        <f aca="false">IF(원자재마스터!$A134="",FALSE(),AND(IF($B$3="",TRUE(),ISNUMBER(SEARCH($B$3,원자재마스터!$B134&amp;" "&amp;원자재마스터!$C134&amp;" "&amp;원자재마스터!$G134&amp;" "&amp;원자재마스터!$A134))),IF($E$3="",TRUE(),ISNUMBER(SEARCH($E$3,원자재마스터!$C134)))))</f>
        <v>0</v>
      </c>
      <c r="M137" s="5" t="str">
        <f aca="false">IF($L137=FALSE(),"",COUNTIF($L$6:$L137,TRUE()))</f>
        <v/>
      </c>
      <c r="N137" s="5" t="str">
        <f aca="false">IF($M137="","","R"&amp;$M137)</f>
        <v/>
      </c>
    </row>
    <row r="138" customFormat="false" ht="15" hidden="false" customHeight="true" outlineLevel="0" collapsed="false">
      <c r="L138" s="21" t="b">
        <f aca="false">IF(원자재마스터!$A135="",FALSE(),AND(IF($B$3="",TRUE(),ISNUMBER(SEARCH($B$3,원자재마스터!$B135&amp;" "&amp;원자재마스터!$C135&amp;" "&amp;원자재마스터!$G135&amp;" "&amp;원자재마스터!$A135))),IF($E$3="",TRUE(),ISNUMBER(SEARCH($E$3,원자재마스터!$C135)))))</f>
        <v>0</v>
      </c>
      <c r="M138" s="5" t="str">
        <f aca="false">IF($L138=FALSE(),"",COUNTIF($L$6:$L138,TRUE()))</f>
        <v/>
      </c>
      <c r="N138" s="5" t="str">
        <f aca="false">IF($M138="","","R"&amp;$M138)</f>
        <v/>
      </c>
    </row>
    <row r="139" customFormat="false" ht="15" hidden="false" customHeight="true" outlineLevel="0" collapsed="false">
      <c r="L139" s="21" t="b">
        <f aca="false">IF(원자재마스터!$A136="",FALSE(),AND(IF($B$3="",TRUE(),ISNUMBER(SEARCH($B$3,원자재마스터!$B136&amp;" "&amp;원자재마스터!$C136&amp;" "&amp;원자재마스터!$G136&amp;" "&amp;원자재마스터!$A136))),IF($E$3="",TRUE(),ISNUMBER(SEARCH($E$3,원자재마스터!$C136)))))</f>
        <v>0</v>
      </c>
      <c r="M139" s="5" t="str">
        <f aca="false">IF($L139=FALSE(),"",COUNTIF($L$6:$L139,TRUE()))</f>
        <v/>
      </c>
      <c r="N139" s="5" t="str">
        <f aca="false">IF($M139="","","R"&amp;$M139)</f>
        <v/>
      </c>
    </row>
    <row r="140" customFormat="false" ht="15" hidden="false" customHeight="true" outlineLevel="0" collapsed="false">
      <c r="L140" s="21" t="b">
        <f aca="false">IF(원자재마스터!$A137="",FALSE(),AND(IF($B$3="",TRUE(),ISNUMBER(SEARCH($B$3,원자재마스터!$B137&amp;" "&amp;원자재마스터!$C137&amp;" "&amp;원자재마스터!$G137&amp;" "&amp;원자재마스터!$A137))),IF($E$3="",TRUE(),ISNUMBER(SEARCH($E$3,원자재마스터!$C137)))))</f>
        <v>0</v>
      </c>
      <c r="M140" s="5" t="str">
        <f aca="false">IF($L140=FALSE(),"",COUNTIF($L$6:$L140,TRUE()))</f>
        <v/>
      </c>
      <c r="N140" s="5" t="str">
        <f aca="false">IF($M140="","","R"&amp;$M140)</f>
        <v/>
      </c>
    </row>
    <row r="141" customFormat="false" ht="15" hidden="false" customHeight="true" outlineLevel="0" collapsed="false">
      <c r="L141" s="21" t="b">
        <f aca="false">IF(원자재마스터!$A138="",FALSE(),AND(IF($B$3="",TRUE(),ISNUMBER(SEARCH($B$3,원자재마스터!$B138&amp;" "&amp;원자재마스터!$C138&amp;" "&amp;원자재마스터!$G138&amp;" "&amp;원자재마스터!$A138))),IF($E$3="",TRUE(),ISNUMBER(SEARCH($E$3,원자재마스터!$C138)))))</f>
        <v>0</v>
      </c>
      <c r="M141" s="5" t="str">
        <f aca="false">IF($L141=FALSE(),"",COUNTIF($L$6:$L141,TRUE()))</f>
        <v/>
      </c>
      <c r="N141" s="5" t="str">
        <f aca="false">IF($M141="","","R"&amp;$M141)</f>
        <v/>
      </c>
    </row>
    <row r="142" customFormat="false" ht="15" hidden="false" customHeight="true" outlineLevel="0" collapsed="false">
      <c r="L142" s="21" t="b">
        <f aca="false">IF(원자재마스터!$A139="",FALSE(),AND(IF($B$3="",TRUE(),ISNUMBER(SEARCH($B$3,원자재마스터!$B139&amp;" "&amp;원자재마스터!$C139&amp;" "&amp;원자재마스터!$G139&amp;" "&amp;원자재마스터!$A139))),IF($E$3="",TRUE(),ISNUMBER(SEARCH($E$3,원자재마스터!$C139)))))</f>
        <v>0</v>
      </c>
      <c r="M142" s="5" t="str">
        <f aca="false">IF($L142=FALSE(),"",COUNTIF($L$6:$L142,TRUE()))</f>
        <v/>
      </c>
      <c r="N142" s="5" t="str">
        <f aca="false">IF($M142="","","R"&amp;$M142)</f>
        <v/>
      </c>
    </row>
    <row r="143" customFormat="false" ht="15" hidden="false" customHeight="true" outlineLevel="0" collapsed="false">
      <c r="L143" s="21" t="b">
        <f aca="false">IF(원자재마스터!$A140="",FALSE(),AND(IF($B$3="",TRUE(),ISNUMBER(SEARCH($B$3,원자재마스터!$B140&amp;" "&amp;원자재마스터!$C140&amp;" "&amp;원자재마스터!$G140&amp;" "&amp;원자재마스터!$A140))),IF($E$3="",TRUE(),ISNUMBER(SEARCH($E$3,원자재마스터!$C140)))))</f>
        <v>0</v>
      </c>
      <c r="M143" s="5" t="str">
        <f aca="false">IF($L143=FALSE(),"",COUNTIF($L$6:$L143,TRUE()))</f>
        <v/>
      </c>
      <c r="N143" s="5" t="str">
        <f aca="false">IF($M143="","","R"&amp;$M143)</f>
        <v/>
      </c>
    </row>
    <row r="144" customFormat="false" ht="15" hidden="false" customHeight="true" outlineLevel="0" collapsed="false">
      <c r="L144" s="21" t="b">
        <f aca="false">IF(원자재마스터!$A141="",FALSE(),AND(IF($B$3="",TRUE(),ISNUMBER(SEARCH($B$3,원자재마스터!$B141&amp;" "&amp;원자재마스터!$C141&amp;" "&amp;원자재마스터!$G141&amp;" "&amp;원자재마스터!$A141))),IF($E$3="",TRUE(),ISNUMBER(SEARCH($E$3,원자재마스터!$C141)))))</f>
        <v>0</v>
      </c>
      <c r="M144" s="5" t="str">
        <f aca="false">IF($L144=FALSE(),"",COUNTIF($L$6:$L144,TRUE()))</f>
        <v/>
      </c>
      <c r="N144" s="5" t="str">
        <f aca="false">IF($M144="","","R"&amp;$M144)</f>
        <v/>
      </c>
    </row>
    <row r="145" customFormat="false" ht="15" hidden="false" customHeight="true" outlineLevel="0" collapsed="false">
      <c r="L145" s="21" t="b">
        <f aca="false">IF(원자재마스터!$A142="",FALSE(),AND(IF($B$3="",TRUE(),ISNUMBER(SEARCH($B$3,원자재마스터!$B142&amp;" "&amp;원자재마스터!$C142&amp;" "&amp;원자재마스터!$G142&amp;" "&amp;원자재마스터!$A142))),IF($E$3="",TRUE(),ISNUMBER(SEARCH($E$3,원자재마스터!$C142)))))</f>
        <v>0</v>
      </c>
      <c r="M145" s="5" t="str">
        <f aca="false">IF($L145=FALSE(),"",COUNTIF($L$6:$L145,TRUE()))</f>
        <v/>
      </c>
      <c r="N145" s="5" t="str">
        <f aca="false">IF($M145="","","R"&amp;$M145)</f>
        <v/>
      </c>
    </row>
    <row r="146" customFormat="false" ht="15" hidden="false" customHeight="true" outlineLevel="0" collapsed="false">
      <c r="L146" s="21" t="b">
        <f aca="false">IF(원자재마스터!$A143="",FALSE(),AND(IF($B$3="",TRUE(),ISNUMBER(SEARCH($B$3,원자재마스터!$B143&amp;" "&amp;원자재마스터!$C143&amp;" "&amp;원자재마스터!$G143&amp;" "&amp;원자재마스터!$A143))),IF($E$3="",TRUE(),ISNUMBER(SEARCH($E$3,원자재마스터!$C143)))))</f>
        <v>0</v>
      </c>
      <c r="M146" s="5" t="str">
        <f aca="false">IF($L146=FALSE(),"",COUNTIF($L$6:$L146,TRUE()))</f>
        <v/>
      </c>
      <c r="N146" s="5" t="str">
        <f aca="false">IF($M146="","","R"&amp;$M146)</f>
        <v/>
      </c>
    </row>
    <row r="147" customFormat="false" ht="15" hidden="false" customHeight="true" outlineLevel="0" collapsed="false">
      <c r="L147" s="21" t="b">
        <f aca="false">IF(원자재마스터!$A144="",FALSE(),AND(IF($B$3="",TRUE(),ISNUMBER(SEARCH($B$3,원자재마스터!$B144&amp;" "&amp;원자재마스터!$C144&amp;" "&amp;원자재마스터!$G144&amp;" "&amp;원자재마스터!$A144))),IF($E$3="",TRUE(),ISNUMBER(SEARCH($E$3,원자재마스터!$C144)))))</f>
        <v>0</v>
      </c>
      <c r="M147" s="5" t="str">
        <f aca="false">IF($L147=FALSE(),"",COUNTIF($L$6:$L147,TRUE()))</f>
        <v/>
      </c>
      <c r="N147" s="5" t="str">
        <f aca="false">IF($M147="","","R"&amp;$M147)</f>
        <v/>
      </c>
    </row>
    <row r="148" customFormat="false" ht="15" hidden="false" customHeight="true" outlineLevel="0" collapsed="false">
      <c r="L148" s="21" t="b">
        <f aca="false">IF(원자재마스터!$A145="",FALSE(),AND(IF($B$3="",TRUE(),ISNUMBER(SEARCH($B$3,원자재마스터!$B145&amp;" "&amp;원자재마스터!$C145&amp;" "&amp;원자재마스터!$G145&amp;" "&amp;원자재마스터!$A145))),IF($E$3="",TRUE(),ISNUMBER(SEARCH($E$3,원자재마스터!$C145)))))</f>
        <v>0</v>
      </c>
      <c r="M148" s="5" t="str">
        <f aca="false">IF($L148=FALSE(),"",COUNTIF($L$6:$L148,TRUE()))</f>
        <v/>
      </c>
      <c r="N148" s="5" t="str">
        <f aca="false">IF($M148="","","R"&amp;$M148)</f>
        <v/>
      </c>
    </row>
    <row r="149" customFormat="false" ht="15" hidden="false" customHeight="true" outlineLevel="0" collapsed="false">
      <c r="L149" s="21" t="b">
        <f aca="false">IF(원자재마스터!$A146="",FALSE(),AND(IF($B$3="",TRUE(),ISNUMBER(SEARCH($B$3,원자재마스터!$B146&amp;" "&amp;원자재마스터!$C146&amp;" "&amp;원자재마스터!$G146&amp;" "&amp;원자재마스터!$A146))),IF($E$3="",TRUE(),ISNUMBER(SEARCH($E$3,원자재마스터!$C146)))))</f>
        <v>0</v>
      </c>
      <c r="M149" s="5" t="str">
        <f aca="false">IF($L149=FALSE(),"",COUNTIF($L$6:$L149,TRUE()))</f>
        <v/>
      </c>
      <c r="N149" s="5" t="str">
        <f aca="false">IF($M149="","","R"&amp;$M149)</f>
        <v/>
      </c>
    </row>
    <row r="150" customFormat="false" ht="15" hidden="false" customHeight="true" outlineLevel="0" collapsed="false">
      <c r="L150" s="21" t="b">
        <f aca="false">IF(원자재마스터!$A147="",FALSE(),AND(IF($B$3="",TRUE(),ISNUMBER(SEARCH($B$3,원자재마스터!$B147&amp;" "&amp;원자재마스터!$C147&amp;" "&amp;원자재마스터!$G147&amp;" "&amp;원자재마스터!$A147))),IF($E$3="",TRUE(),ISNUMBER(SEARCH($E$3,원자재마스터!$C147)))))</f>
        <v>0</v>
      </c>
      <c r="M150" s="5" t="str">
        <f aca="false">IF($L150=FALSE(),"",COUNTIF($L$6:$L150,TRUE()))</f>
        <v/>
      </c>
      <c r="N150" s="5" t="str">
        <f aca="false">IF($M150="","","R"&amp;$M150)</f>
        <v/>
      </c>
    </row>
    <row r="151" customFormat="false" ht="15" hidden="false" customHeight="true" outlineLevel="0" collapsed="false">
      <c r="L151" s="21" t="b">
        <f aca="false">IF(원자재마스터!$A148="",FALSE(),AND(IF($B$3="",TRUE(),ISNUMBER(SEARCH($B$3,원자재마스터!$B148&amp;" "&amp;원자재마스터!$C148&amp;" "&amp;원자재마스터!$G148&amp;" "&amp;원자재마스터!$A148))),IF($E$3="",TRUE(),ISNUMBER(SEARCH($E$3,원자재마스터!$C148)))))</f>
        <v>0</v>
      </c>
      <c r="M151" s="5" t="str">
        <f aca="false">IF($L151=FALSE(),"",COUNTIF($L$6:$L151,TRUE()))</f>
        <v/>
      </c>
      <c r="N151" s="5" t="str">
        <f aca="false">IF($M151="","","R"&amp;$M151)</f>
        <v/>
      </c>
    </row>
    <row r="152" customFormat="false" ht="15" hidden="false" customHeight="true" outlineLevel="0" collapsed="false">
      <c r="L152" s="21" t="b">
        <f aca="false">IF(원자재마스터!$A149="",FALSE(),AND(IF($B$3="",TRUE(),ISNUMBER(SEARCH($B$3,원자재마스터!$B149&amp;" "&amp;원자재마스터!$C149&amp;" "&amp;원자재마스터!$G149&amp;" "&amp;원자재마스터!$A149))),IF($E$3="",TRUE(),ISNUMBER(SEARCH($E$3,원자재마스터!$C149)))))</f>
        <v>0</v>
      </c>
      <c r="M152" s="5" t="str">
        <f aca="false">IF($L152=FALSE(),"",COUNTIF($L$6:$L152,TRUE()))</f>
        <v/>
      </c>
      <c r="N152" s="5" t="str">
        <f aca="false">IF($M152="","","R"&amp;$M152)</f>
        <v/>
      </c>
    </row>
    <row r="153" customFormat="false" ht="15" hidden="false" customHeight="true" outlineLevel="0" collapsed="false">
      <c r="L153" s="21" t="b">
        <f aca="false">IF(원자재마스터!$A150="",FALSE(),AND(IF($B$3="",TRUE(),ISNUMBER(SEARCH($B$3,원자재마스터!$B150&amp;" "&amp;원자재마스터!$C150&amp;" "&amp;원자재마스터!$G150&amp;" "&amp;원자재마스터!$A150))),IF($E$3="",TRUE(),ISNUMBER(SEARCH($E$3,원자재마스터!$C150)))))</f>
        <v>0</v>
      </c>
      <c r="M153" s="5" t="str">
        <f aca="false">IF($L153=FALSE(),"",COUNTIF($L$6:$L153,TRUE()))</f>
        <v/>
      </c>
      <c r="N153" s="5" t="str">
        <f aca="false">IF($M153="","","R"&amp;$M153)</f>
        <v/>
      </c>
    </row>
    <row r="154" customFormat="false" ht="15" hidden="false" customHeight="true" outlineLevel="0" collapsed="false">
      <c r="L154" s="21" t="b">
        <f aca="false">IF(원자재마스터!$A151="",FALSE(),AND(IF($B$3="",TRUE(),ISNUMBER(SEARCH($B$3,원자재마스터!$B151&amp;" "&amp;원자재마스터!$C151&amp;" "&amp;원자재마스터!$G151&amp;" "&amp;원자재마스터!$A151))),IF($E$3="",TRUE(),ISNUMBER(SEARCH($E$3,원자재마스터!$C151)))))</f>
        <v>0</v>
      </c>
      <c r="M154" s="5" t="str">
        <f aca="false">IF($L154=FALSE(),"",COUNTIF($L$6:$L154,TRUE()))</f>
        <v/>
      </c>
      <c r="N154" s="5" t="str">
        <f aca="false">IF($M154="","","R"&amp;$M154)</f>
        <v/>
      </c>
    </row>
    <row r="155" customFormat="false" ht="15" hidden="false" customHeight="true" outlineLevel="0" collapsed="false">
      <c r="L155" s="21" t="b">
        <f aca="false">IF(원자재마스터!$A152="",FALSE(),AND(IF($B$3="",TRUE(),ISNUMBER(SEARCH($B$3,원자재마스터!$B152&amp;" "&amp;원자재마스터!$C152&amp;" "&amp;원자재마스터!$G152&amp;" "&amp;원자재마스터!$A152))),IF($E$3="",TRUE(),ISNUMBER(SEARCH($E$3,원자재마스터!$C152)))))</f>
        <v>0</v>
      </c>
      <c r="M155" s="5" t="str">
        <f aca="false">IF($L155=FALSE(),"",COUNTIF($L$6:$L155,TRUE()))</f>
        <v/>
      </c>
      <c r="N155" s="5" t="str">
        <f aca="false">IF($M155="","","R"&amp;$M155)</f>
        <v/>
      </c>
    </row>
    <row r="156" customFormat="false" ht="15" hidden="false" customHeight="true" outlineLevel="0" collapsed="false">
      <c r="L156" s="21" t="b">
        <f aca="false">IF(원자재마스터!$A153="",FALSE(),AND(IF($B$3="",TRUE(),ISNUMBER(SEARCH($B$3,원자재마스터!$B153&amp;" "&amp;원자재마스터!$C153&amp;" "&amp;원자재마스터!$G153&amp;" "&amp;원자재마스터!$A153))),IF($E$3="",TRUE(),ISNUMBER(SEARCH($E$3,원자재마스터!$C153)))))</f>
        <v>0</v>
      </c>
      <c r="M156" s="5" t="str">
        <f aca="false">IF($L156=FALSE(),"",COUNTIF($L$6:$L156,TRUE()))</f>
        <v/>
      </c>
      <c r="N156" s="5" t="str">
        <f aca="false">IF($M156="","","R"&amp;$M156)</f>
        <v/>
      </c>
    </row>
    <row r="157" customFormat="false" ht="15" hidden="false" customHeight="true" outlineLevel="0" collapsed="false">
      <c r="L157" s="21" t="b">
        <f aca="false">IF(원자재마스터!$A154="",FALSE(),AND(IF($B$3="",TRUE(),ISNUMBER(SEARCH($B$3,원자재마스터!$B154&amp;" "&amp;원자재마스터!$C154&amp;" "&amp;원자재마스터!$G154&amp;" "&amp;원자재마스터!$A154))),IF($E$3="",TRUE(),ISNUMBER(SEARCH($E$3,원자재마스터!$C154)))))</f>
        <v>0</v>
      </c>
      <c r="M157" s="5" t="str">
        <f aca="false">IF($L157=FALSE(),"",COUNTIF($L$6:$L157,TRUE()))</f>
        <v/>
      </c>
      <c r="N157" s="5" t="str">
        <f aca="false">IF($M157="","","R"&amp;$M157)</f>
        <v/>
      </c>
    </row>
    <row r="158" customFormat="false" ht="15" hidden="false" customHeight="true" outlineLevel="0" collapsed="false">
      <c r="L158" s="21" t="b">
        <f aca="false">IF(원자재마스터!$A155="",FALSE(),AND(IF($B$3="",TRUE(),ISNUMBER(SEARCH($B$3,원자재마스터!$B155&amp;" "&amp;원자재마스터!$C155&amp;" "&amp;원자재마스터!$G155&amp;" "&amp;원자재마스터!$A155))),IF($E$3="",TRUE(),ISNUMBER(SEARCH($E$3,원자재마스터!$C155)))))</f>
        <v>0</v>
      </c>
      <c r="M158" s="5" t="str">
        <f aca="false">IF($L158=FALSE(),"",COUNTIF($L$6:$L158,TRUE()))</f>
        <v/>
      </c>
      <c r="N158" s="5" t="str">
        <f aca="false">IF($M158="","","R"&amp;$M158)</f>
        <v/>
      </c>
    </row>
    <row r="159" customFormat="false" ht="15" hidden="false" customHeight="true" outlineLevel="0" collapsed="false">
      <c r="L159" s="21" t="b">
        <f aca="false">IF(원자재마스터!$A156="",FALSE(),AND(IF($B$3="",TRUE(),ISNUMBER(SEARCH($B$3,원자재마스터!$B156&amp;" "&amp;원자재마스터!$C156&amp;" "&amp;원자재마스터!$G156&amp;" "&amp;원자재마스터!$A156))),IF($E$3="",TRUE(),ISNUMBER(SEARCH($E$3,원자재마스터!$C156)))))</f>
        <v>0</v>
      </c>
      <c r="M159" s="5" t="str">
        <f aca="false">IF($L159=FALSE(),"",COUNTIF($L$6:$L159,TRUE()))</f>
        <v/>
      </c>
      <c r="N159" s="5" t="str">
        <f aca="false">IF($M159="","","R"&amp;$M159)</f>
        <v/>
      </c>
    </row>
    <row r="160" customFormat="false" ht="15" hidden="false" customHeight="true" outlineLevel="0" collapsed="false">
      <c r="L160" s="21" t="b">
        <f aca="false">IF(원자재마스터!$A157="",FALSE(),AND(IF($B$3="",TRUE(),ISNUMBER(SEARCH($B$3,원자재마스터!$B157&amp;" "&amp;원자재마스터!$C157&amp;" "&amp;원자재마스터!$G157&amp;" "&amp;원자재마스터!$A157))),IF($E$3="",TRUE(),ISNUMBER(SEARCH($E$3,원자재마스터!$C157)))))</f>
        <v>0</v>
      </c>
      <c r="M160" s="5" t="str">
        <f aca="false">IF($L160=FALSE(),"",COUNTIF($L$6:$L160,TRUE()))</f>
        <v/>
      </c>
      <c r="N160" s="5" t="str">
        <f aca="false">IF($M160="","","R"&amp;$M160)</f>
        <v/>
      </c>
    </row>
    <row r="161" customFormat="false" ht="15" hidden="false" customHeight="true" outlineLevel="0" collapsed="false">
      <c r="L161" s="21" t="b">
        <f aca="false">IF(원자재마스터!$A158="",FALSE(),AND(IF($B$3="",TRUE(),ISNUMBER(SEARCH($B$3,원자재마스터!$B158&amp;" "&amp;원자재마스터!$C158&amp;" "&amp;원자재마스터!$G158&amp;" "&amp;원자재마스터!$A158))),IF($E$3="",TRUE(),ISNUMBER(SEARCH($E$3,원자재마스터!$C158)))))</f>
        <v>0</v>
      </c>
      <c r="M161" s="5" t="str">
        <f aca="false">IF($L161=FALSE(),"",COUNTIF($L$6:$L161,TRUE()))</f>
        <v/>
      </c>
      <c r="N161" s="5" t="str">
        <f aca="false">IF($M161="","","R"&amp;$M161)</f>
        <v/>
      </c>
    </row>
    <row r="162" customFormat="false" ht="15" hidden="false" customHeight="true" outlineLevel="0" collapsed="false">
      <c r="L162" s="21" t="b">
        <f aca="false">IF(원자재마스터!$A159="",FALSE(),AND(IF($B$3="",TRUE(),ISNUMBER(SEARCH($B$3,원자재마스터!$B159&amp;" "&amp;원자재마스터!$C159&amp;" "&amp;원자재마스터!$G159&amp;" "&amp;원자재마스터!$A159))),IF($E$3="",TRUE(),ISNUMBER(SEARCH($E$3,원자재마스터!$C159)))))</f>
        <v>0</v>
      </c>
      <c r="M162" s="5" t="str">
        <f aca="false">IF($L162=FALSE(),"",COUNTIF($L$6:$L162,TRUE()))</f>
        <v/>
      </c>
      <c r="N162" s="5" t="str">
        <f aca="false">IF($M162="","","R"&amp;$M162)</f>
        <v/>
      </c>
    </row>
    <row r="163" customFormat="false" ht="15" hidden="false" customHeight="true" outlineLevel="0" collapsed="false">
      <c r="L163" s="21" t="b">
        <f aca="false">IF(원자재마스터!$A160="",FALSE(),AND(IF($B$3="",TRUE(),ISNUMBER(SEARCH($B$3,원자재마스터!$B160&amp;" "&amp;원자재마스터!$C160&amp;" "&amp;원자재마스터!$G160&amp;" "&amp;원자재마스터!$A160))),IF($E$3="",TRUE(),ISNUMBER(SEARCH($E$3,원자재마스터!$C160)))))</f>
        <v>0</v>
      </c>
      <c r="M163" s="5" t="str">
        <f aca="false">IF($L163=FALSE(),"",COUNTIF($L$6:$L163,TRUE()))</f>
        <v/>
      </c>
      <c r="N163" s="5" t="str">
        <f aca="false">IF($M163="","","R"&amp;$M163)</f>
        <v/>
      </c>
    </row>
    <row r="164" customFormat="false" ht="15" hidden="false" customHeight="true" outlineLevel="0" collapsed="false">
      <c r="L164" s="21" t="b">
        <f aca="false">IF(원자재마스터!$A161="",FALSE(),AND(IF($B$3="",TRUE(),ISNUMBER(SEARCH($B$3,원자재마스터!$B161&amp;" "&amp;원자재마스터!$C161&amp;" "&amp;원자재마스터!$G161&amp;" "&amp;원자재마스터!$A161))),IF($E$3="",TRUE(),ISNUMBER(SEARCH($E$3,원자재마스터!$C161)))))</f>
        <v>0</v>
      </c>
      <c r="M164" s="5" t="str">
        <f aca="false">IF($L164=FALSE(),"",COUNTIF($L$6:$L164,TRUE()))</f>
        <v/>
      </c>
      <c r="N164" s="5" t="str">
        <f aca="false">IF($M164="","","R"&amp;$M164)</f>
        <v/>
      </c>
    </row>
    <row r="165" customFormat="false" ht="15" hidden="false" customHeight="true" outlineLevel="0" collapsed="false">
      <c r="L165" s="21" t="b">
        <f aca="false">IF(원자재마스터!$A162="",FALSE(),AND(IF($B$3="",TRUE(),ISNUMBER(SEARCH($B$3,원자재마스터!$B162&amp;" "&amp;원자재마스터!$C162&amp;" "&amp;원자재마스터!$G162&amp;" "&amp;원자재마스터!$A162))),IF($E$3="",TRUE(),ISNUMBER(SEARCH($E$3,원자재마스터!$C162)))))</f>
        <v>0</v>
      </c>
      <c r="M165" s="5" t="str">
        <f aca="false">IF($L165=FALSE(),"",COUNTIF($L$6:$L165,TRUE()))</f>
        <v/>
      </c>
      <c r="N165" s="5" t="str">
        <f aca="false">IF($M165="","","R"&amp;$M165)</f>
        <v/>
      </c>
    </row>
    <row r="166" customFormat="false" ht="15" hidden="false" customHeight="true" outlineLevel="0" collapsed="false">
      <c r="L166" s="21" t="b">
        <f aca="false">IF(원자재마스터!$A163="",FALSE(),AND(IF($B$3="",TRUE(),ISNUMBER(SEARCH($B$3,원자재마스터!$B163&amp;" "&amp;원자재마스터!$C163&amp;" "&amp;원자재마스터!$G163&amp;" "&amp;원자재마스터!$A163))),IF($E$3="",TRUE(),ISNUMBER(SEARCH($E$3,원자재마스터!$C163)))))</f>
        <v>0</v>
      </c>
      <c r="M166" s="5" t="str">
        <f aca="false">IF($L166=FALSE(),"",COUNTIF($L$6:$L166,TRUE()))</f>
        <v/>
      </c>
      <c r="N166" s="5" t="str">
        <f aca="false">IF($M166="","","R"&amp;$M166)</f>
        <v/>
      </c>
    </row>
    <row r="167" customFormat="false" ht="15" hidden="false" customHeight="true" outlineLevel="0" collapsed="false">
      <c r="L167" s="21" t="b">
        <f aca="false">IF(원자재마스터!$A164="",FALSE(),AND(IF($B$3="",TRUE(),ISNUMBER(SEARCH($B$3,원자재마스터!$B164&amp;" "&amp;원자재마스터!$C164&amp;" "&amp;원자재마스터!$G164&amp;" "&amp;원자재마스터!$A164))),IF($E$3="",TRUE(),ISNUMBER(SEARCH($E$3,원자재마스터!$C164)))))</f>
        <v>0</v>
      </c>
      <c r="M167" s="5" t="str">
        <f aca="false">IF($L167=FALSE(),"",COUNTIF($L$6:$L167,TRUE()))</f>
        <v/>
      </c>
      <c r="N167" s="5" t="str">
        <f aca="false">IF($M167="","","R"&amp;$M167)</f>
        <v/>
      </c>
    </row>
    <row r="168" customFormat="false" ht="15" hidden="false" customHeight="true" outlineLevel="0" collapsed="false">
      <c r="L168" s="21" t="b">
        <f aca="false">IF(원자재마스터!$A165="",FALSE(),AND(IF($B$3="",TRUE(),ISNUMBER(SEARCH($B$3,원자재마스터!$B165&amp;" "&amp;원자재마스터!$C165&amp;" "&amp;원자재마스터!$G165&amp;" "&amp;원자재마스터!$A165))),IF($E$3="",TRUE(),ISNUMBER(SEARCH($E$3,원자재마스터!$C165)))))</f>
        <v>0</v>
      </c>
      <c r="M168" s="5" t="str">
        <f aca="false">IF($L168=FALSE(),"",COUNTIF($L$6:$L168,TRUE()))</f>
        <v/>
      </c>
      <c r="N168" s="5" t="str">
        <f aca="false">IF($M168="","","R"&amp;$M168)</f>
        <v/>
      </c>
    </row>
    <row r="169" customFormat="false" ht="15" hidden="false" customHeight="true" outlineLevel="0" collapsed="false">
      <c r="L169" s="21" t="b">
        <f aca="false">IF(원자재마스터!$A166="",FALSE(),AND(IF($B$3="",TRUE(),ISNUMBER(SEARCH($B$3,원자재마스터!$B166&amp;" "&amp;원자재마스터!$C166&amp;" "&amp;원자재마스터!$G166&amp;" "&amp;원자재마스터!$A166))),IF($E$3="",TRUE(),ISNUMBER(SEARCH($E$3,원자재마스터!$C166)))))</f>
        <v>0</v>
      </c>
      <c r="M169" s="5" t="str">
        <f aca="false">IF($L169=FALSE(),"",COUNTIF($L$6:$L169,TRUE()))</f>
        <v/>
      </c>
      <c r="N169" s="5" t="str">
        <f aca="false">IF($M169="","","R"&amp;$M169)</f>
        <v/>
      </c>
    </row>
    <row r="170" customFormat="false" ht="15" hidden="false" customHeight="true" outlineLevel="0" collapsed="false">
      <c r="L170" s="21" t="b">
        <f aca="false">IF(원자재마스터!$A167="",FALSE(),AND(IF($B$3="",TRUE(),ISNUMBER(SEARCH($B$3,원자재마스터!$B167&amp;" "&amp;원자재마스터!$C167&amp;" "&amp;원자재마스터!$G167&amp;" "&amp;원자재마스터!$A167))),IF($E$3="",TRUE(),ISNUMBER(SEARCH($E$3,원자재마스터!$C167)))))</f>
        <v>0</v>
      </c>
      <c r="M170" s="5" t="str">
        <f aca="false">IF($L170=FALSE(),"",COUNTIF($L$6:$L170,TRUE()))</f>
        <v/>
      </c>
      <c r="N170" s="5" t="str">
        <f aca="false">IF($M170="","","R"&amp;$M170)</f>
        <v/>
      </c>
    </row>
    <row r="171" customFormat="false" ht="15" hidden="false" customHeight="true" outlineLevel="0" collapsed="false">
      <c r="L171" s="21" t="b">
        <f aca="false">IF(원자재마스터!$A168="",FALSE(),AND(IF($B$3="",TRUE(),ISNUMBER(SEARCH($B$3,원자재마스터!$B168&amp;" "&amp;원자재마스터!$C168&amp;" "&amp;원자재마스터!$G168&amp;" "&amp;원자재마스터!$A168))),IF($E$3="",TRUE(),ISNUMBER(SEARCH($E$3,원자재마스터!$C168)))))</f>
        <v>0</v>
      </c>
      <c r="M171" s="5" t="str">
        <f aca="false">IF($L171=FALSE(),"",COUNTIF($L$6:$L171,TRUE()))</f>
        <v/>
      </c>
      <c r="N171" s="5" t="str">
        <f aca="false">IF($M171="","","R"&amp;$M171)</f>
        <v/>
      </c>
    </row>
    <row r="172" customFormat="false" ht="15" hidden="false" customHeight="true" outlineLevel="0" collapsed="false">
      <c r="L172" s="21" t="b">
        <f aca="false">IF(원자재마스터!$A169="",FALSE(),AND(IF($B$3="",TRUE(),ISNUMBER(SEARCH($B$3,원자재마스터!$B169&amp;" "&amp;원자재마스터!$C169&amp;" "&amp;원자재마스터!$G169&amp;" "&amp;원자재마스터!$A169))),IF($E$3="",TRUE(),ISNUMBER(SEARCH($E$3,원자재마스터!$C169)))))</f>
        <v>0</v>
      </c>
      <c r="M172" s="5" t="str">
        <f aca="false">IF($L172=FALSE(),"",COUNTIF($L$6:$L172,TRUE()))</f>
        <v/>
      </c>
      <c r="N172" s="5" t="str">
        <f aca="false">IF($M172="","","R"&amp;$M172)</f>
        <v/>
      </c>
    </row>
    <row r="173" customFormat="false" ht="15" hidden="false" customHeight="true" outlineLevel="0" collapsed="false">
      <c r="L173" s="21" t="b">
        <f aca="false">IF(원자재마스터!$A170="",FALSE(),AND(IF($B$3="",TRUE(),ISNUMBER(SEARCH($B$3,원자재마스터!$B170&amp;" "&amp;원자재마스터!$C170&amp;" "&amp;원자재마스터!$G170&amp;" "&amp;원자재마스터!$A170))),IF($E$3="",TRUE(),ISNUMBER(SEARCH($E$3,원자재마스터!$C170)))))</f>
        <v>0</v>
      </c>
      <c r="M173" s="5" t="str">
        <f aca="false">IF($L173=FALSE(),"",COUNTIF($L$6:$L173,TRUE()))</f>
        <v/>
      </c>
      <c r="N173" s="5" t="str">
        <f aca="false">IF($M173="","","R"&amp;$M173)</f>
        <v/>
      </c>
    </row>
    <row r="174" customFormat="false" ht="15" hidden="false" customHeight="true" outlineLevel="0" collapsed="false">
      <c r="L174" s="21" t="b">
        <f aca="false">IF(원자재마스터!$A171="",FALSE(),AND(IF($B$3="",TRUE(),ISNUMBER(SEARCH($B$3,원자재마스터!$B171&amp;" "&amp;원자재마스터!$C171&amp;" "&amp;원자재마스터!$G171&amp;" "&amp;원자재마스터!$A171))),IF($E$3="",TRUE(),ISNUMBER(SEARCH($E$3,원자재마스터!$C171)))))</f>
        <v>0</v>
      </c>
      <c r="M174" s="5" t="str">
        <f aca="false">IF($L174=FALSE(),"",COUNTIF($L$6:$L174,TRUE()))</f>
        <v/>
      </c>
      <c r="N174" s="5" t="str">
        <f aca="false">IF($M174="","","R"&amp;$M174)</f>
        <v/>
      </c>
    </row>
    <row r="175" customFormat="false" ht="15" hidden="false" customHeight="true" outlineLevel="0" collapsed="false">
      <c r="L175" s="21" t="b">
        <f aca="false">IF(원자재마스터!$A172="",FALSE(),AND(IF($B$3="",TRUE(),ISNUMBER(SEARCH($B$3,원자재마스터!$B172&amp;" "&amp;원자재마스터!$C172&amp;" "&amp;원자재마스터!$G172&amp;" "&amp;원자재마스터!$A172))),IF($E$3="",TRUE(),ISNUMBER(SEARCH($E$3,원자재마스터!$C172)))))</f>
        <v>0</v>
      </c>
      <c r="M175" s="5" t="str">
        <f aca="false">IF($L175=FALSE(),"",COUNTIF($L$6:$L175,TRUE()))</f>
        <v/>
      </c>
      <c r="N175" s="5" t="str">
        <f aca="false">IF($M175="","","R"&amp;$M175)</f>
        <v/>
      </c>
    </row>
    <row r="176" customFormat="false" ht="15" hidden="false" customHeight="true" outlineLevel="0" collapsed="false">
      <c r="L176" s="21" t="b">
        <f aca="false">IF(원자재마스터!$A173="",FALSE(),AND(IF($B$3="",TRUE(),ISNUMBER(SEARCH($B$3,원자재마스터!$B173&amp;" "&amp;원자재마스터!$C173&amp;" "&amp;원자재마스터!$G173&amp;" "&amp;원자재마스터!$A173))),IF($E$3="",TRUE(),ISNUMBER(SEARCH($E$3,원자재마스터!$C173)))))</f>
        <v>0</v>
      </c>
      <c r="M176" s="5" t="str">
        <f aca="false">IF($L176=FALSE(),"",COUNTIF($L$6:$L176,TRUE()))</f>
        <v/>
      </c>
      <c r="N176" s="5" t="str">
        <f aca="false">IF($M176="","","R"&amp;$M176)</f>
        <v/>
      </c>
    </row>
    <row r="177" customFormat="false" ht="15" hidden="false" customHeight="true" outlineLevel="0" collapsed="false">
      <c r="L177" s="21" t="b">
        <f aca="false">IF(원자재마스터!$A174="",FALSE(),AND(IF($B$3="",TRUE(),ISNUMBER(SEARCH($B$3,원자재마스터!$B174&amp;" "&amp;원자재마스터!$C174&amp;" "&amp;원자재마스터!$G174&amp;" "&amp;원자재마스터!$A174))),IF($E$3="",TRUE(),ISNUMBER(SEARCH($E$3,원자재마스터!$C174)))))</f>
        <v>0</v>
      </c>
      <c r="M177" s="5" t="str">
        <f aca="false">IF($L177=FALSE(),"",COUNTIF($L$6:$L177,TRUE()))</f>
        <v/>
      </c>
      <c r="N177" s="5" t="str">
        <f aca="false">IF($M177="","","R"&amp;$M177)</f>
        <v/>
      </c>
    </row>
    <row r="178" customFormat="false" ht="15" hidden="false" customHeight="true" outlineLevel="0" collapsed="false">
      <c r="L178" s="21" t="b">
        <f aca="false">IF(원자재마스터!$A175="",FALSE(),AND(IF($B$3="",TRUE(),ISNUMBER(SEARCH($B$3,원자재마스터!$B175&amp;" "&amp;원자재마스터!$C175&amp;" "&amp;원자재마스터!$G175&amp;" "&amp;원자재마스터!$A175))),IF($E$3="",TRUE(),ISNUMBER(SEARCH($E$3,원자재마스터!$C175)))))</f>
        <v>0</v>
      </c>
      <c r="M178" s="5" t="str">
        <f aca="false">IF($L178=FALSE(),"",COUNTIF($L$6:$L178,TRUE()))</f>
        <v/>
      </c>
      <c r="N178" s="5" t="str">
        <f aca="false">IF($M178="","","R"&amp;$M178)</f>
        <v/>
      </c>
    </row>
    <row r="179" customFormat="false" ht="15" hidden="false" customHeight="true" outlineLevel="0" collapsed="false">
      <c r="L179" s="21" t="b">
        <f aca="false">IF(원자재마스터!$A176="",FALSE(),AND(IF($B$3="",TRUE(),ISNUMBER(SEARCH($B$3,원자재마스터!$B176&amp;" "&amp;원자재마스터!$C176&amp;" "&amp;원자재마스터!$G176&amp;" "&amp;원자재마스터!$A176))),IF($E$3="",TRUE(),ISNUMBER(SEARCH($E$3,원자재마스터!$C176)))))</f>
        <v>0</v>
      </c>
      <c r="M179" s="5" t="str">
        <f aca="false">IF($L179=FALSE(),"",COUNTIF($L$6:$L179,TRUE()))</f>
        <v/>
      </c>
      <c r="N179" s="5" t="str">
        <f aca="false">IF($M179="","","R"&amp;$M179)</f>
        <v/>
      </c>
    </row>
    <row r="180" customFormat="false" ht="15" hidden="false" customHeight="true" outlineLevel="0" collapsed="false">
      <c r="L180" s="21" t="b">
        <f aca="false">IF(원자재마스터!$A177="",FALSE(),AND(IF($B$3="",TRUE(),ISNUMBER(SEARCH($B$3,원자재마스터!$B177&amp;" "&amp;원자재마스터!$C177&amp;" "&amp;원자재마스터!$G177&amp;" "&amp;원자재마스터!$A177))),IF($E$3="",TRUE(),ISNUMBER(SEARCH($E$3,원자재마스터!$C177)))))</f>
        <v>0</v>
      </c>
      <c r="M180" s="5" t="str">
        <f aca="false">IF($L180=FALSE(),"",COUNTIF($L$6:$L180,TRUE()))</f>
        <v/>
      </c>
      <c r="N180" s="5" t="str">
        <f aca="false">IF($M180="","","R"&amp;$M180)</f>
        <v/>
      </c>
    </row>
    <row r="181" customFormat="false" ht="15" hidden="false" customHeight="true" outlineLevel="0" collapsed="false">
      <c r="L181" s="21" t="b">
        <f aca="false">IF(원자재마스터!$A178="",FALSE(),AND(IF($B$3="",TRUE(),ISNUMBER(SEARCH($B$3,원자재마스터!$B178&amp;" "&amp;원자재마스터!$C178&amp;" "&amp;원자재마스터!$G178&amp;" "&amp;원자재마스터!$A178))),IF($E$3="",TRUE(),ISNUMBER(SEARCH($E$3,원자재마스터!$C178)))))</f>
        <v>0</v>
      </c>
      <c r="M181" s="5" t="str">
        <f aca="false">IF($L181=FALSE(),"",COUNTIF($L$6:$L181,TRUE()))</f>
        <v/>
      </c>
      <c r="N181" s="5" t="str">
        <f aca="false">IF($M181="","","R"&amp;$M181)</f>
        <v/>
      </c>
    </row>
    <row r="182" customFormat="false" ht="15" hidden="false" customHeight="true" outlineLevel="0" collapsed="false">
      <c r="L182" s="21" t="b">
        <f aca="false">IF(원자재마스터!$A179="",FALSE(),AND(IF($B$3="",TRUE(),ISNUMBER(SEARCH($B$3,원자재마스터!$B179&amp;" "&amp;원자재마스터!$C179&amp;" "&amp;원자재마스터!$G179&amp;" "&amp;원자재마스터!$A179))),IF($E$3="",TRUE(),ISNUMBER(SEARCH($E$3,원자재마스터!$C179)))))</f>
        <v>0</v>
      </c>
      <c r="M182" s="5" t="str">
        <f aca="false">IF($L182=FALSE(),"",COUNTIF($L$6:$L182,TRUE()))</f>
        <v/>
      </c>
      <c r="N182" s="5" t="str">
        <f aca="false">IF($M182="","","R"&amp;$M182)</f>
        <v/>
      </c>
    </row>
    <row r="183" customFormat="false" ht="15" hidden="false" customHeight="true" outlineLevel="0" collapsed="false">
      <c r="L183" s="21" t="b">
        <f aca="false">IF(원자재마스터!$A180="",FALSE(),AND(IF($B$3="",TRUE(),ISNUMBER(SEARCH($B$3,원자재마스터!$B180&amp;" "&amp;원자재마스터!$C180&amp;" "&amp;원자재마스터!$G180&amp;" "&amp;원자재마스터!$A180))),IF($E$3="",TRUE(),ISNUMBER(SEARCH($E$3,원자재마스터!$C180)))))</f>
        <v>0</v>
      </c>
      <c r="M183" s="5" t="str">
        <f aca="false">IF($L183=FALSE(),"",COUNTIF($L$6:$L183,TRUE()))</f>
        <v/>
      </c>
      <c r="N183" s="5" t="str">
        <f aca="false">IF($M183="","","R"&amp;$M183)</f>
        <v/>
      </c>
    </row>
    <row r="184" customFormat="false" ht="15" hidden="false" customHeight="true" outlineLevel="0" collapsed="false">
      <c r="L184" s="21" t="b">
        <f aca="false">IF(원자재마스터!$A181="",FALSE(),AND(IF($B$3="",TRUE(),ISNUMBER(SEARCH($B$3,원자재마스터!$B181&amp;" "&amp;원자재마스터!$C181&amp;" "&amp;원자재마스터!$G181&amp;" "&amp;원자재마스터!$A181))),IF($E$3="",TRUE(),ISNUMBER(SEARCH($E$3,원자재마스터!$C181)))))</f>
        <v>0</v>
      </c>
      <c r="M184" s="5" t="str">
        <f aca="false">IF($L184=FALSE(),"",COUNTIF($L$6:$L184,TRUE()))</f>
        <v/>
      </c>
      <c r="N184" s="5" t="str">
        <f aca="false">IF($M184="","","R"&amp;$M184)</f>
        <v/>
      </c>
    </row>
    <row r="185" customFormat="false" ht="15" hidden="false" customHeight="true" outlineLevel="0" collapsed="false">
      <c r="L185" s="21" t="b">
        <f aca="false">IF(원자재마스터!$A182="",FALSE(),AND(IF($B$3="",TRUE(),ISNUMBER(SEARCH($B$3,원자재마스터!$B182&amp;" "&amp;원자재마스터!$C182&amp;" "&amp;원자재마스터!$G182&amp;" "&amp;원자재마스터!$A182))),IF($E$3="",TRUE(),ISNUMBER(SEARCH($E$3,원자재마스터!$C182)))))</f>
        <v>0</v>
      </c>
      <c r="M185" s="5" t="str">
        <f aca="false">IF($L185=FALSE(),"",COUNTIF($L$6:$L185,TRUE()))</f>
        <v/>
      </c>
      <c r="N185" s="5" t="str">
        <f aca="false">IF($M185="","","R"&amp;$M185)</f>
        <v/>
      </c>
    </row>
    <row r="186" customFormat="false" ht="15" hidden="false" customHeight="true" outlineLevel="0" collapsed="false">
      <c r="L186" s="21" t="b">
        <f aca="false">IF(원자재마스터!$A183="",FALSE(),AND(IF($B$3="",TRUE(),ISNUMBER(SEARCH($B$3,원자재마스터!$B183&amp;" "&amp;원자재마스터!$C183&amp;" "&amp;원자재마스터!$G183&amp;" "&amp;원자재마스터!$A183))),IF($E$3="",TRUE(),ISNUMBER(SEARCH($E$3,원자재마스터!$C183)))))</f>
        <v>0</v>
      </c>
      <c r="M186" s="5" t="str">
        <f aca="false">IF($L186=FALSE(),"",COUNTIF($L$6:$L186,TRUE()))</f>
        <v/>
      </c>
      <c r="N186" s="5" t="str">
        <f aca="false">IF($M186="","","R"&amp;$M186)</f>
        <v/>
      </c>
    </row>
    <row r="187" customFormat="false" ht="15" hidden="false" customHeight="true" outlineLevel="0" collapsed="false">
      <c r="L187" s="21" t="b">
        <f aca="false">IF(원자재마스터!$A184="",FALSE(),AND(IF($B$3="",TRUE(),ISNUMBER(SEARCH($B$3,원자재마스터!$B184&amp;" "&amp;원자재마스터!$C184&amp;" "&amp;원자재마스터!$G184&amp;" "&amp;원자재마스터!$A184))),IF($E$3="",TRUE(),ISNUMBER(SEARCH($E$3,원자재마스터!$C184)))))</f>
        <v>0</v>
      </c>
      <c r="M187" s="5" t="str">
        <f aca="false">IF($L187=FALSE(),"",COUNTIF($L$6:$L187,TRUE()))</f>
        <v/>
      </c>
      <c r="N187" s="5" t="str">
        <f aca="false">IF($M187="","","R"&amp;$M187)</f>
        <v/>
      </c>
    </row>
    <row r="188" customFormat="false" ht="15" hidden="false" customHeight="true" outlineLevel="0" collapsed="false">
      <c r="L188" s="21" t="b">
        <f aca="false">IF(원자재마스터!$A185="",FALSE(),AND(IF($B$3="",TRUE(),ISNUMBER(SEARCH($B$3,원자재마스터!$B185&amp;" "&amp;원자재마스터!$C185&amp;" "&amp;원자재마스터!$G185&amp;" "&amp;원자재마스터!$A185))),IF($E$3="",TRUE(),ISNUMBER(SEARCH($E$3,원자재마스터!$C185)))))</f>
        <v>0</v>
      </c>
      <c r="M188" s="5" t="str">
        <f aca="false">IF($L188=FALSE(),"",COUNTIF($L$6:$L188,TRUE()))</f>
        <v/>
      </c>
      <c r="N188" s="5" t="str">
        <f aca="false">IF($M188="","","R"&amp;$M188)</f>
        <v/>
      </c>
    </row>
    <row r="189" customFormat="false" ht="15" hidden="false" customHeight="true" outlineLevel="0" collapsed="false">
      <c r="L189" s="21" t="b">
        <f aca="false">IF(원자재마스터!$A186="",FALSE(),AND(IF($B$3="",TRUE(),ISNUMBER(SEARCH($B$3,원자재마스터!$B186&amp;" "&amp;원자재마스터!$C186&amp;" "&amp;원자재마스터!$G186&amp;" "&amp;원자재마스터!$A186))),IF($E$3="",TRUE(),ISNUMBER(SEARCH($E$3,원자재마스터!$C186)))))</f>
        <v>0</v>
      </c>
      <c r="M189" s="5" t="str">
        <f aca="false">IF($L189=FALSE(),"",COUNTIF($L$6:$L189,TRUE()))</f>
        <v/>
      </c>
      <c r="N189" s="5" t="str">
        <f aca="false">IF($M189="","","R"&amp;$M189)</f>
        <v/>
      </c>
    </row>
    <row r="190" customFormat="false" ht="15" hidden="false" customHeight="true" outlineLevel="0" collapsed="false">
      <c r="L190" s="21" t="b">
        <f aca="false">IF(원자재마스터!$A187="",FALSE(),AND(IF($B$3="",TRUE(),ISNUMBER(SEARCH($B$3,원자재마스터!$B187&amp;" "&amp;원자재마스터!$C187&amp;" "&amp;원자재마스터!$G187&amp;" "&amp;원자재마스터!$A187))),IF($E$3="",TRUE(),ISNUMBER(SEARCH($E$3,원자재마스터!$C187)))))</f>
        <v>0</v>
      </c>
      <c r="M190" s="5" t="str">
        <f aca="false">IF($L190=FALSE(),"",COUNTIF($L$6:$L190,TRUE()))</f>
        <v/>
      </c>
      <c r="N190" s="5" t="str">
        <f aca="false">IF($M190="","","R"&amp;$M190)</f>
        <v/>
      </c>
    </row>
    <row r="191" customFormat="false" ht="15" hidden="false" customHeight="true" outlineLevel="0" collapsed="false">
      <c r="L191" s="21" t="b">
        <f aca="false">IF(원자재마스터!$A188="",FALSE(),AND(IF($B$3="",TRUE(),ISNUMBER(SEARCH($B$3,원자재마스터!$B188&amp;" "&amp;원자재마스터!$C188&amp;" "&amp;원자재마스터!$G188&amp;" "&amp;원자재마스터!$A188))),IF($E$3="",TRUE(),ISNUMBER(SEARCH($E$3,원자재마스터!$C188)))))</f>
        <v>0</v>
      </c>
      <c r="M191" s="5" t="str">
        <f aca="false">IF($L191=FALSE(),"",COUNTIF($L$6:$L191,TRUE()))</f>
        <v/>
      </c>
      <c r="N191" s="5" t="str">
        <f aca="false">IF($M191="","","R"&amp;$M191)</f>
        <v/>
      </c>
    </row>
    <row r="192" customFormat="false" ht="15" hidden="false" customHeight="true" outlineLevel="0" collapsed="false">
      <c r="L192" s="21" t="b">
        <f aca="false">IF(원자재마스터!$A189="",FALSE(),AND(IF($B$3="",TRUE(),ISNUMBER(SEARCH($B$3,원자재마스터!$B189&amp;" "&amp;원자재마스터!$C189&amp;" "&amp;원자재마스터!$G189&amp;" "&amp;원자재마스터!$A189))),IF($E$3="",TRUE(),ISNUMBER(SEARCH($E$3,원자재마스터!$C189)))))</f>
        <v>0</v>
      </c>
      <c r="M192" s="5" t="str">
        <f aca="false">IF($L192=FALSE(),"",COUNTIF($L$6:$L192,TRUE()))</f>
        <v/>
      </c>
      <c r="N192" s="5" t="str">
        <f aca="false">IF($M192="","","R"&amp;$M192)</f>
        <v/>
      </c>
    </row>
    <row r="193" customFormat="false" ht="15" hidden="false" customHeight="true" outlineLevel="0" collapsed="false">
      <c r="L193" s="21" t="b">
        <f aca="false">IF(원자재마스터!$A190="",FALSE(),AND(IF($B$3="",TRUE(),ISNUMBER(SEARCH($B$3,원자재마스터!$B190&amp;" "&amp;원자재마스터!$C190&amp;" "&amp;원자재마스터!$G190&amp;" "&amp;원자재마스터!$A190))),IF($E$3="",TRUE(),ISNUMBER(SEARCH($E$3,원자재마스터!$C190)))))</f>
        <v>0</v>
      </c>
      <c r="M193" s="5" t="str">
        <f aca="false">IF($L193=FALSE(),"",COUNTIF($L$6:$L193,TRUE()))</f>
        <v/>
      </c>
      <c r="N193" s="5" t="str">
        <f aca="false">IF($M193="","","R"&amp;$M193)</f>
        <v/>
      </c>
    </row>
    <row r="194" customFormat="false" ht="15" hidden="false" customHeight="true" outlineLevel="0" collapsed="false">
      <c r="L194" s="21" t="b">
        <f aca="false">IF(원자재마스터!$A191="",FALSE(),AND(IF($B$3="",TRUE(),ISNUMBER(SEARCH($B$3,원자재마스터!$B191&amp;" "&amp;원자재마스터!$C191&amp;" "&amp;원자재마스터!$G191&amp;" "&amp;원자재마스터!$A191))),IF($E$3="",TRUE(),ISNUMBER(SEARCH($E$3,원자재마스터!$C191)))))</f>
        <v>0</v>
      </c>
      <c r="M194" s="5" t="str">
        <f aca="false">IF($L194=FALSE(),"",COUNTIF($L$6:$L194,TRUE()))</f>
        <v/>
      </c>
      <c r="N194" s="5" t="str">
        <f aca="false">IF($M194="","","R"&amp;$M194)</f>
        <v/>
      </c>
    </row>
    <row r="195" customFormat="false" ht="15" hidden="false" customHeight="true" outlineLevel="0" collapsed="false">
      <c r="L195" s="21" t="b">
        <f aca="false">IF(원자재마스터!$A192="",FALSE(),AND(IF($B$3="",TRUE(),ISNUMBER(SEARCH($B$3,원자재마스터!$B192&amp;" "&amp;원자재마스터!$C192&amp;" "&amp;원자재마스터!$G192&amp;" "&amp;원자재마스터!$A192))),IF($E$3="",TRUE(),ISNUMBER(SEARCH($E$3,원자재마스터!$C192)))))</f>
        <v>0</v>
      </c>
      <c r="M195" s="5" t="str">
        <f aca="false">IF($L195=FALSE(),"",COUNTIF($L$6:$L195,TRUE()))</f>
        <v/>
      </c>
      <c r="N195" s="5" t="str">
        <f aca="false">IF($M195="","","R"&amp;$M195)</f>
        <v/>
      </c>
    </row>
    <row r="196" customFormat="false" ht="15" hidden="false" customHeight="true" outlineLevel="0" collapsed="false">
      <c r="L196" s="21" t="b">
        <f aca="false">IF(원자재마스터!$A193="",FALSE(),AND(IF($B$3="",TRUE(),ISNUMBER(SEARCH($B$3,원자재마스터!$B193&amp;" "&amp;원자재마스터!$C193&amp;" "&amp;원자재마스터!$G193&amp;" "&amp;원자재마스터!$A193))),IF($E$3="",TRUE(),ISNUMBER(SEARCH($E$3,원자재마스터!$C193)))))</f>
        <v>0</v>
      </c>
      <c r="M196" s="5" t="str">
        <f aca="false">IF($L196=FALSE(),"",COUNTIF($L$6:$L196,TRUE()))</f>
        <v/>
      </c>
      <c r="N196" s="5" t="str">
        <f aca="false">IF($M196="","","R"&amp;$M196)</f>
        <v/>
      </c>
    </row>
    <row r="197" customFormat="false" ht="15" hidden="false" customHeight="true" outlineLevel="0" collapsed="false">
      <c r="L197" s="21" t="b">
        <f aca="false">IF(원자재마스터!$A194="",FALSE(),AND(IF($B$3="",TRUE(),ISNUMBER(SEARCH($B$3,원자재마스터!$B194&amp;" "&amp;원자재마스터!$C194&amp;" "&amp;원자재마스터!$G194&amp;" "&amp;원자재마스터!$A194))),IF($E$3="",TRUE(),ISNUMBER(SEARCH($E$3,원자재마스터!$C194)))))</f>
        <v>0</v>
      </c>
      <c r="M197" s="5" t="str">
        <f aca="false">IF($L197=FALSE(),"",COUNTIF($L$6:$L197,TRUE()))</f>
        <v/>
      </c>
      <c r="N197" s="5" t="str">
        <f aca="false">IF($M197="","","R"&amp;$M197)</f>
        <v/>
      </c>
    </row>
    <row r="198" customFormat="false" ht="15" hidden="false" customHeight="true" outlineLevel="0" collapsed="false">
      <c r="L198" s="21" t="b">
        <f aca="false">IF(원자재마스터!$A195="",FALSE(),AND(IF($B$3="",TRUE(),ISNUMBER(SEARCH($B$3,원자재마스터!$B195&amp;" "&amp;원자재마스터!$C195&amp;" "&amp;원자재마스터!$G195&amp;" "&amp;원자재마스터!$A195))),IF($E$3="",TRUE(),ISNUMBER(SEARCH($E$3,원자재마스터!$C195)))))</f>
        <v>0</v>
      </c>
      <c r="M198" s="5" t="str">
        <f aca="false">IF($L198=FALSE(),"",COUNTIF($L$6:$L198,TRUE()))</f>
        <v/>
      </c>
      <c r="N198" s="5" t="str">
        <f aca="false">IF($M198="","","R"&amp;$M198)</f>
        <v/>
      </c>
    </row>
    <row r="199" customFormat="false" ht="15" hidden="false" customHeight="true" outlineLevel="0" collapsed="false">
      <c r="L199" s="21" t="b">
        <f aca="false">IF(원자재마스터!$A196="",FALSE(),AND(IF($B$3="",TRUE(),ISNUMBER(SEARCH($B$3,원자재마스터!$B196&amp;" "&amp;원자재마스터!$C196&amp;" "&amp;원자재마스터!$G196&amp;" "&amp;원자재마스터!$A196))),IF($E$3="",TRUE(),ISNUMBER(SEARCH($E$3,원자재마스터!$C196)))))</f>
        <v>0</v>
      </c>
      <c r="M199" s="5" t="str">
        <f aca="false">IF($L199=FALSE(),"",COUNTIF($L$6:$L199,TRUE()))</f>
        <v/>
      </c>
      <c r="N199" s="5" t="str">
        <f aca="false">IF($M199="","","R"&amp;$M199)</f>
        <v/>
      </c>
    </row>
    <row r="200" customFormat="false" ht="15" hidden="false" customHeight="true" outlineLevel="0" collapsed="false">
      <c r="L200" s="21" t="b">
        <f aca="false">IF(원자재마스터!$A197="",FALSE(),AND(IF($B$3="",TRUE(),ISNUMBER(SEARCH($B$3,원자재마스터!$B197&amp;" "&amp;원자재마스터!$C197&amp;" "&amp;원자재마스터!$G197&amp;" "&amp;원자재마스터!$A197))),IF($E$3="",TRUE(),ISNUMBER(SEARCH($E$3,원자재마스터!$C197)))))</f>
        <v>0</v>
      </c>
      <c r="M200" s="5" t="str">
        <f aca="false">IF($L200=FALSE(),"",COUNTIF($L$6:$L200,TRUE()))</f>
        <v/>
      </c>
      <c r="N200" s="5" t="str">
        <f aca="false">IF($M200="","","R"&amp;$M200)</f>
        <v/>
      </c>
    </row>
    <row r="201" customFormat="false" ht="15" hidden="false" customHeight="true" outlineLevel="0" collapsed="false">
      <c r="L201" s="21" t="b">
        <f aca="false">IF(원자재마스터!$A198="",FALSE(),AND(IF($B$3="",TRUE(),ISNUMBER(SEARCH($B$3,원자재마스터!$B198&amp;" "&amp;원자재마스터!$C198&amp;" "&amp;원자재마스터!$G198&amp;" "&amp;원자재마스터!$A198))),IF($E$3="",TRUE(),ISNUMBER(SEARCH($E$3,원자재마스터!$C198)))))</f>
        <v>0</v>
      </c>
      <c r="M201" s="5" t="str">
        <f aca="false">IF($L201=FALSE(),"",COUNTIF($L$6:$L201,TRUE()))</f>
        <v/>
      </c>
      <c r="N201" s="5" t="str">
        <f aca="false">IF($M201="","","R"&amp;$M201)</f>
        <v/>
      </c>
    </row>
    <row r="202" customFormat="false" ht="15" hidden="false" customHeight="true" outlineLevel="0" collapsed="false">
      <c r="L202" s="21" t="b">
        <f aca="false">IF(원자재마스터!$A199="",FALSE(),AND(IF($B$3="",TRUE(),ISNUMBER(SEARCH($B$3,원자재마스터!$B199&amp;" "&amp;원자재마스터!$C199&amp;" "&amp;원자재마스터!$G199&amp;" "&amp;원자재마스터!$A199))),IF($E$3="",TRUE(),ISNUMBER(SEARCH($E$3,원자재마스터!$C199)))))</f>
        <v>0</v>
      </c>
      <c r="M202" s="5" t="str">
        <f aca="false">IF($L202=FALSE(),"",COUNTIF($L$6:$L202,TRUE()))</f>
        <v/>
      </c>
      <c r="N202" s="5" t="str">
        <f aca="false">IF($M202="","","R"&amp;$M202)</f>
        <v/>
      </c>
    </row>
    <row r="203" customFormat="false" ht="15" hidden="false" customHeight="true" outlineLevel="0" collapsed="false">
      <c r="L203" s="21" t="b">
        <f aca="false">IF(원자재마스터!$A200="",FALSE(),AND(IF($B$3="",TRUE(),ISNUMBER(SEARCH($B$3,원자재마스터!$B200&amp;" "&amp;원자재마스터!$C200&amp;" "&amp;원자재마스터!$G200&amp;" "&amp;원자재마스터!$A200))),IF($E$3="",TRUE(),ISNUMBER(SEARCH($E$3,원자재마스터!$C200)))))</f>
        <v>0</v>
      </c>
      <c r="M203" s="5" t="str">
        <f aca="false">IF($L203=FALSE(),"",COUNTIF($L$6:$L203,TRUE()))</f>
        <v/>
      </c>
      <c r="N203" s="5" t="str">
        <f aca="false">IF($M203="","","R"&amp;$M203)</f>
        <v/>
      </c>
    </row>
    <row r="204" customFormat="false" ht="15" hidden="false" customHeight="true" outlineLevel="0" collapsed="false">
      <c r="L204" s="21" t="b">
        <f aca="false">IF(원자재마스터!$A201="",FALSE(),AND(IF($B$3="",TRUE(),ISNUMBER(SEARCH($B$3,원자재마스터!$B201&amp;" "&amp;원자재마스터!$C201&amp;" "&amp;원자재마스터!$G201&amp;" "&amp;원자재마스터!$A201))),IF($E$3="",TRUE(),ISNUMBER(SEARCH($E$3,원자재마스터!$C201)))))</f>
        <v>0</v>
      </c>
      <c r="M204" s="5" t="str">
        <f aca="false">IF($L204=FALSE(),"",COUNTIF($L$6:$L204,TRUE()))</f>
        <v/>
      </c>
      <c r="N204" s="5" t="str">
        <f aca="false">IF($M204="","","R"&amp;$M204)</f>
        <v/>
      </c>
    </row>
    <row r="205" customFormat="false" ht="15" hidden="false" customHeight="true" outlineLevel="0" collapsed="false">
      <c r="L205" s="21" t="b">
        <f aca="false">IF(원자재마스터!$A202="",FALSE(),AND(IF($B$3="",TRUE(),ISNUMBER(SEARCH($B$3,원자재마스터!$B202&amp;" "&amp;원자재마스터!$C202&amp;" "&amp;원자재마스터!$G202&amp;" "&amp;원자재마스터!$A202))),IF($E$3="",TRUE(),ISNUMBER(SEARCH($E$3,원자재마스터!$C202)))))</f>
        <v>0</v>
      </c>
      <c r="M205" s="5" t="str">
        <f aca="false">IF($L205=FALSE(),"",COUNTIF($L$6:$L205,TRUE()))</f>
        <v/>
      </c>
      <c r="N205" s="5" t="str">
        <f aca="false">IF($M205="","","R"&amp;$M205)</f>
        <v/>
      </c>
    </row>
    <row r="206" customFormat="false" ht="15" hidden="false" customHeight="true" outlineLevel="0" collapsed="false">
      <c r="L206" s="21" t="b">
        <f aca="false">IF(원자재마스터!$A203="",FALSE(),AND(IF($B$3="",TRUE(),ISNUMBER(SEARCH($B$3,원자재마스터!$B203&amp;" "&amp;원자재마스터!$C203&amp;" "&amp;원자재마스터!$G203&amp;" "&amp;원자재마스터!$A203))),IF($E$3="",TRUE(),ISNUMBER(SEARCH($E$3,원자재마스터!$C203)))))</f>
        <v>0</v>
      </c>
      <c r="M206" s="5" t="str">
        <f aca="false">IF($L206=FALSE(),"",COUNTIF($L$6:$L206,TRUE()))</f>
        <v/>
      </c>
      <c r="N206" s="5" t="str">
        <f aca="false">IF($M206="","","R"&amp;$M206)</f>
        <v/>
      </c>
    </row>
    <row r="207" customFormat="false" ht="15" hidden="false" customHeight="true" outlineLevel="0" collapsed="false">
      <c r="L207" s="21" t="b">
        <f aca="false">IF(원자재마스터!$A204="",FALSE(),AND(IF($B$3="",TRUE(),ISNUMBER(SEARCH($B$3,원자재마스터!$B204&amp;" "&amp;원자재마스터!$C204&amp;" "&amp;원자재마스터!$G204&amp;" "&amp;원자재마스터!$A204))),IF($E$3="",TRUE(),ISNUMBER(SEARCH($E$3,원자재마스터!$C204)))))</f>
        <v>0</v>
      </c>
      <c r="M207" s="5" t="str">
        <f aca="false">IF($L207=FALSE(),"",COUNTIF($L$6:$L207,TRUE()))</f>
        <v/>
      </c>
      <c r="N207" s="5" t="str">
        <f aca="false">IF($M207="","","R"&amp;$M207)</f>
        <v/>
      </c>
    </row>
    <row r="208" customFormat="false" ht="15" hidden="false" customHeight="true" outlineLevel="0" collapsed="false">
      <c r="L208" s="21" t="b">
        <f aca="false">IF(원자재마스터!$A205="",FALSE(),AND(IF($B$3="",TRUE(),ISNUMBER(SEARCH($B$3,원자재마스터!$B205&amp;" "&amp;원자재마스터!$C205&amp;" "&amp;원자재마스터!$G205&amp;" "&amp;원자재마스터!$A205))),IF($E$3="",TRUE(),ISNUMBER(SEARCH($E$3,원자재마스터!$C205)))))</f>
        <v>0</v>
      </c>
      <c r="M208" s="5" t="str">
        <f aca="false">IF($L208=FALSE(),"",COUNTIF($L$6:$L208,TRUE()))</f>
        <v/>
      </c>
      <c r="N208" s="5" t="str">
        <f aca="false">IF($M208="","","R"&amp;$M208)</f>
        <v/>
      </c>
    </row>
    <row r="209" customFormat="false" ht="15" hidden="false" customHeight="true" outlineLevel="0" collapsed="false">
      <c r="L209" s="21" t="b">
        <f aca="false">IF(원자재마스터!$A206="",FALSE(),AND(IF($B$3="",TRUE(),ISNUMBER(SEARCH($B$3,원자재마스터!$B206&amp;" "&amp;원자재마스터!$C206&amp;" "&amp;원자재마스터!$G206&amp;" "&amp;원자재마스터!$A206))),IF($E$3="",TRUE(),ISNUMBER(SEARCH($E$3,원자재마스터!$C206)))))</f>
        <v>0</v>
      </c>
      <c r="M209" s="5" t="str">
        <f aca="false">IF($L209=FALSE(),"",COUNTIF($L$6:$L209,TRUE()))</f>
        <v/>
      </c>
      <c r="N209" s="5" t="str">
        <f aca="false">IF($M209="","","R"&amp;$M209)</f>
        <v/>
      </c>
    </row>
    <row r="210" customFormat="false" ht="15" hidden="false" customHeight="true" outlineLevel="0" collapsed="false">
      <c r="L210" s="21" t="b">
        <f aca="false">IF(원자재마스터!$A207="",FALSE(),AND(IF($B$3="",TRUE(),ISNUMBER(SEARCH($B$3,원자재마스터!$B207&amp;" "&amp;원자재마스터!$C207&amp;" "&amp;원자재마스터!$G207&amp;" "&amp;원자재마스터!$A207))),IF($E$3="",TRUE(),ISNUMBER(SEARCH($E$3,원자재마스터!$C207)))))</f>
        <v>0</v>
      </c>
      <c r="M210" s="5" t="str">
        <f aca="false">IF($L210=FALSE(),"",COUNTIF($L$6:$L210,TRUE()))</f>
        <v/>
      </c>
      <c r="N210" s="5" t="str">
        <f aca="false">IF($M210="","","R"&amp;$M210)</f>
        <v/>
      </c>
    </row>
    <row r="211" customFormat="false" ht="15" hidden="false" customHeight="true" outlineLevel="0" collapsed="false">
      <c r="L211" s="21" t="b">
        <f aca="false">IF(원자재마스터!$A208="",FALSE(),AND(IF($B$3="",TRUE(),ISNUMBER(SEARCH($B$3,원자재마스터!$B208&amp;" "&amp;원자재마스터!$C208&amp;" "&amp;원자재마스터!$G208&amp;" "&amp;원자재마스터!$A208))),IF($E$3="",TRUE(),ISNUMBER(SEARCH($E$3,원자재마스터!$C208)))))</f>
        <v>0</v>
      </c>
      <c r="M211" s="5" t="str">
        <f aca="false">IF($L211=FALSE(),"",COUNTIF($L$6:$L211,TRUE()))</f>
        <v/>
      </c>
      <c r="N211" s="5" t="str">
        <f aca="false">IF($M211="","","R"&amp;$M211)</f>
        <v/>
      </c>
    </row>
    <row r="212" customFormat="false" ht="15" hidden="false" customHeight="true" outlineLevel="0" collapsed="false">
      <c r="L212" s="21" t="b">
        <f aca="false">IF(원자재마스터!$A209="",FALSE(),AND(IF($B$3="",TRUE(),ISNUMBER(SEARCH($B$3,원자재마스터!$B209&amp;" "&amp;원자재마스터!$C209&amp;" "&amp;원자재마스터!$G209&amp;" "&amp;원자재마스터!$A209))),IF($E$3="",TRUE(),ISNUMBER(SEARCH($E$3,원자재마스터!$C209)))))</f>
        <v>0</v>
      </c>
      <c r="M212" s="5" t="str">
        <f aca="false">IF($L212=FALSE(),"",COUNTIF($L$6:$L212,TRUE()))</f>
        <v/>
      </c>
      <c r="N212" s="5" t="str">
        <f aca="false">IF($M212="","","R"&amp;$M212)</f>
        <v/>
      </c>
    </row>
    <row r="213" customFormat="false" ht="15" hidden="false" customHeight="true" outlineLevel="0" collapsed="false">
      <c r="L213" s="21" t="b">
        <f aca="false">IF(원자재마스터!$A210="",FALSE(),AND(IF($B$3="",TRUE(),ISNUMBER(SEARCH($B$3,원자재마스터!$B210&amp;" "&amp;원자재마스터!$C210&amp;" "&amp;원자재마스터!$G210&amp;" "&amp;원자재마스터!$A210))),IF($E$3="",TRUE(),ISNUMBER(SEARCH($E$3,원자재마스터!$C210)))))</f>
        <v>0</v>
      </c>
      <c r="M213" s="5" t="str">
        <f aca="false">IF($L213=FALSE(),"",COUNTIF($L$6:$L213,TRUE()))</f>
        <v/>
      </c>
      <c r="N213" s="5" t="str">
        <f aca="false">IF($M213="","","R"&amp;$M213)</f>
        <v/>
      </c>
    </row>
    <row r="214" customFormat="false" ht="15" hidden="false" customHeight="true" outlineLevel="0" collapsed="false">
      <c r="L214" s="21" t="b">
        <f aca="false">IF(원자재마스터!$A211="",FALSE(),AND(IF($B$3="",TRUE(),ISNUMBER(SEARCH($B$3,원자재마스터!$B211&amp;" "&amp;원자재마스터!$C211&amp;" "&amp;원자재마스터!$G211&amp;" "&amp;원자재마스터!$A211))),IF($E$3="",TRUE(),ISNUMBER(SEARCH($E$3,원자재마스터!$C211)))))</f>
        <v>0</v>
      </c>
      <c r="M214" s="5" t="str">
        <f aca="false">IF($L214=FALSE(),"",COUNTIF($L$6:$L214,TRUE()))</f>
        <v/>
      </c>
      <c r="N214" s="5" t="str">
        <f aca="false">IF($M214="","","R"&amp;$M214)</f>
        <v/>
      </c>
    </row>
    <row r="215" customFormat="false" ht="15" hidden="false" customHeight="true" outlineLevel="0" collapsed="false">
      <c r="L215" s="21" t="b">
        <f aca="false">IF(원자재마스터!$A212="",FALSE(),AND(IF($B$3="",TRUE(),ISNUMBER(SEARCH($B$3,원자재마스터!$B212&amp;" "&amp;원자재마스터!$C212&amp;" "&amp;원자재마스터!$G212&amp;" "&amp;원자재마스터!$A212))),IF($E$3="",TRUE(),ISNUMBER(SEARCH($E$3,원자재마스터!$C212)))))</f>
        <v>0</v>
      </c>
      <c r="M215" s="5" t="str">
        <f aca="false">IF($L215=FALSE(),"",COUNTIF($L$6:$L215,TRUE()))</f>
        <v/>
      </c>
      <c r="N215" s="5" t="str">
        <f aca="false">IF($M215="","","R"&amp;$M215)</f>
        <v/>
      </c>
    </row>
    <row r="216" customFormat="false" ht="15" hidden="false" customHeight="true" outlineLevel="0" collapsed="false">
      <c r="L216" s="21" t="b">
        <f aca="false">IF(원자재마스터!$A213="",FALSE(),AND(IF($B$3="",TRUE(),ISNUMBER(SEARCH($B$3,원자재마스터!$B213&amp;" "&amp;원자재마스터!$C213&amp;" "&amp;원자재마스터!$G213&amp;" "&amp;원자재마스터!$A213))),IF($E$3="",TRUE(),ISNUMBER(SEARCH($E$3,원자재마스터!$C213)))))</f>
        <v>0</v>
      </c>
      <c r="M216" s="5" t="str">
        <f aca="false">IF($L216=FALSE(),"",COUNTIF($L$6:$L216,TRUE()))</f>
        <v/>
      </c>
      <c r="N216" s="5" t="str">
        <f aca="false">IF($M216="","","R"&amp;$M216)</f>
        <v/>
      </c>
    </row>
    <row r="217" customFormat="false" ht="15" hidden="false" customHeight="true" outlineLevel="0" collapsed="false">
      <c r="L217" s="21" t="b">
        <f aca="false">IF(원자재마스터!$A214="",FALSE(),AND(IF($B$3="",TRUE(),ISNUMBER(SEARCH($B$3,원자재마스터!$B214&amp;" "&amp;원자재마스터!$C214&amp;" "&amp;원자재마스터!$G214&amp;" "&amp;원자재마스터!$A214))),IF($E$3="",TRUE(),ISNUMBER(SEARCH($E$3,원자재마스터!$C214)))))</f>
        <v>0</v>
      </c>
      <c r="M217" s="5" t="str">
        <f aca="false">IF($L217=FALSE(),"",COUNTIF($L$6:$L217,TRUE()))</f>
        <v/>
      </c>
      <c r="N217" s="5" t="str">
        <f aca="false">IF($M217="","","R"&amp;$M217)</f>
        <v/>
      </c>
    </row>
    <row r="218" customFormat="false" ht="15" hidden="false" customHeight="true" outlineLevel="0" collapsed="false">
      <c r="L218" s="21" t="b">
        <f aca="false">IF(원자재마스터!$A215="",FALSE(),AND(IF($B$3="",TRUE(),ISNUMBER(SEARCH($B$3,원자재마스터!$B215&amp;" "&amp;원자재마스터!$C215&amp;" "&amp;원자재마스터!$G215&amp;" "&amp;원자재마스터!$A215))),IF($E$3="",TRUE(),ISNUMBER(SEARCH($E$3,원자재마스터!$C215)))))</f>
        <v>0</v>
      </c>
      <c r="M218" s="5" t="str">
        <f aca="false">IF($L218=FALSE(),"",COUNTIF($L$6:$L218,TRUE()))</f>
        <v/>
      </c>
      <c r="N218" s="5" t="str">
        <f aca="false">IF($M218="","","R"&amp;$M218)</f>
        <v/>
      </c>
    </row>
    <row r="219" customFormat="false" ht="15" hidden="false" customHeight="true" outlineLevel="0" collapsed="false">
      <c r="L219" s="21" t="b">
        <f aca="false">IF(원자재마스터!$A216="",FALSE(),AND(IF($B$3="",TRUE(),ISNUMBER(SEARCH($B$3,원자재마스터!$B216&amp;" "&amp;원자재마스터!$C216&amp;" "&amp;원자재마스터!$G216&amp;" "&amp;원자재마스터!$A216))),IF($E$3="",TRUE(),ISNUMBER(SEARCH($E$3,원자재마스터!$C216)))))</f>
        <v>0</v>
      </c>
      <c r="M219" s="5" t="str">
        <f aca="false">IF($L219=FALSE(),"",COUNTIF($L$6:$L219,TRUE()))</f>
        <v/>
      </c>
      <c r="N219" s="5" t="str">
        <f aca="false">IF($M219="","","R"&amp;$M219)</f>
        <v/>
      </c>
    </row>
    <row r="220" customFormat="false" ht="15" hidden="false" customHeight="true" outlineLevel="0" collapsed="false">
      <c r="L220" s="21" t="b">
        <f aca="false">IF(원자재마스터!$A217="",FALSE(),AND(IF($B$3="",TRUE(),ISNUMBER(SEARCH($B$3,원자재마스터!$B217&amp;" "&amp;원자재마스터!$C217&amp;" "&amp;원자재마스터!$G217&amp;" "&amp;원자재마스터!$A217))),IF($E$3="",TRUE(),ISNUMBER(SEARCH($E$3,원자재마스터!$C217)))))</f>
        <v>0</v>
      </c>
      <c r="M220" s="5" t="str">
        <f aca="false">IF($L220=FALSE(),"",COUNTIF($L$6:$L220,TRUE()))</f>
        <v/>
      </c>
      <c r="N220" s="5" t="str">
        <f aca="false">IF($M220="","","R"&amp;$M220)</f>
        <v/>
      </c>
    </row>
    <row r="221" customFormat="false" ht="15" hidden="false" customHeight="true" outlineLevel="0" collapsed="false">
      <c r="L221" s="21" t="b">
        <f aca="false">IF(원자재마스터!$A218="",FALSE(),AND(IF($B$3="",TRUE(),ISNUMBER(SEARCH($B$3,원자재마스터!$B218&amp;" "&amp;원자재마스터!$C218&amp;" "&amp;원자재마스터!$G218&amp;" "&amp;원자재마스터!$A218))),IF($E$3="",TRUE(),ISNUMBER(SEARCH($E$3,원자재마스터!$C218)))))</f>
        <v>0</v>
      </c>
      <c r="M221" s="5" t="str">
        <f aca="false">IF($L221=FALSE(),"",COUNTIF($L$6:$L221,TRUE()))</f>
        <v/>
      </c>
      <c r="N221" s="5" t="str">
        <f aca="false">IF($M221="","","R"&amp;$M221)</f>
        <v/>
      </c>
    </row>
    <row r="222" customFormat="false" ht="15" hidden="false" customHeight="true" outlineLevel="0" collapsed="false">
      <c r="L222" s="21" t="b">
        <f aca="false">IF(원자재마스터!$A219="",FALSE(),AND(IF($B$3="",TRUE(),ISNUMBER(SEARCH($B$3,원자재마스터!$B219&amp;" "&amp;원자재마스터!$C219&amp;" "&amp;원자재마스터!$G219&amp;" "&amp;원자재마스터!$A219))),IF($E$3="",TRUE(),ISNUMBER(SEARCH($E$3,원자재마스터!$C219)))))</f>
        <v>0</v>
      </c>
      <c r="M222" s="5" t="str">
        <f aca="false">IF($L222=FALSE(),"",COUNTIF($L$6:$L222,TRUE()))</f>
        <v/>
      </c>
      <c r="N222" s="5" t="str">
        <f aca="false">IF($M222="","","R"&amp;$M222)</f>
        <v/>
      </c>
    </row>
    <row r="223" customFormat="false" ht="15" hidden="false" customHeight="true" outlineLevel="0" collapsed="false">
      <c r="L223" s="21" t="b">
        <f aca="false">IF(원자재마스터!$A220="",FALSE(),AND(IF($B$3="",TRUE(),ISNUMBER(SEARCH($B$3,원자재마스터!$B220&amp;" "&amp;원자재마스터!$C220&amp;" "&amp;원자재마스터!$G220&amp;" "&amp;원자재마스터!$A220))),IF($E$3="",TRUE(),ISNUMBER(SEARCH($E$3,원자재마스터!$C220)))))</f>
        <v>0</v>
      </c>
      <c r="M223" s="5" t="str">
        <f aca="false">IF($L223=FALSE(),"",COUNTIF($L$6:$L223,TRUE()))</f>
        <v/>
      </c>
      <c r="N223" s="5" t="str">
        <f aca="false">IF($M223="","","R"&amp;$M223)</f>
        <v/>
      </c>
    </row>
    <row r="224" customFormat="false" ht="15" hidden="false" customHeight="true" outlineLevel="0" collapsed="false">
      <c r="L224" s="21" t="b">
        <f aca="false">IF(원자재마스터!$A221="",FALSE(),AND(IF($B$3="",TRUE(),ISNUMBER(SEARCH($B$3,원자재마스터!$B221&amp;" "&amp;원자재마스터!$C221&amp;" "&amp;원자재마스터!$G221&amp;" "&amp;원자재마스터!$A221))),IF($E$3="",TRUE(),ISNUMBER(SEARCH($E$3,원자재마스터!$C221)))))</f>
        <v>0</v>
      </c>
      <c r="M224" s="5" t="str">
        <f aca="false">IF($L224=FALSE(),"",COUNTIF($L$6:$L224,TRUE()))</f>
        <v/>
      </c>
      <c r="N224" s="5" t="str">
        <f aca="false">IF($M224="","","R"&amp;$M224)</f>
        <v/>
      </c>
    </row>
    <row r="225" customFormat="false" ht="15" hidden="false" customHeight="true" outlineLevel="0" collapsed="false">
      <c r="L225" s="21" t="b">
        <f aca="false">IF(원자재마스터!$A222="",FALSE(),AND(IF($B$3="",TRUE(),ISNUMBER(SEARCH($B$3,원자재마스터!$B222&amp;" "&amp;원자재마스터!$C222&amp;" "&amp;원자재마스터!$G222&amp;" "&amp;원자재마스터!$A222))),IF($E$3="",TRUE(),ISNUMBER(SEARCH($E$3,원자재마스터!$C222)))))</f>
        <v>0</v>
      </c>
      <c r="M225" s="5" t="str">
        <f aca="false">IF($L225=FALSE(),"",COUNTIF($L$6:$L225,TRUE()))</f>
        <v/>
      </c>
      <c r="N225" s="5" t="str">
        <f aca="false">IF($M225="","","R"&amp;$M225)</f>
        <v/>
      </c>
    </row>
    <row r="226" customFormat="false" ht="15" hidden="false" customHeight="true" outlineLevel="0" collapsed="false">
      <c r="L226" s="21" t="b">
        <f aca="false">IF(원자재마스터!$A223="",FALSE(),AND(IF($B$3="",TRUE(),ISNUMBER(SEARCH($B$3,원자재마스터!$B223&amp;" "&amp;원자재마스터!$C223&amp;" "&amp;원자재마스터!$G223&amp;" "&amp;원자재마스터!$A223))),IF($E$3="",TRUE(),ISNUMBER(SEARCH($E$3,원자재마스터!$C223)))))</f>
        <v>0</v>
      </c>
      <c r="M226" s="5" t="str">
        <f aca="false">IF($L226=FALSE(),"",COUNTIF($L$6:$L226,TRUE()))</f>
        <v/>
      </c>
      <c r="N226" s="5" t="str">
        <f aca="false">IF($M226="","","R"&amp;$M226)</f>
        <v/>
      </c>
    </row>
    <row r="227" customFormat="false" ht="15" hidden="false" customHeight="true" outlineLevel="0" collapsed="false">
      <c r="L227" s="21" t="b">
        <f aca="false">IF(원자재마스터!$A224="",FALSE(),AND(IF($B$3="",TRUE(),ISNUMBER(SEARCH($B$3,원자재마스터!$B224&amp;" "&amp;원자재마스터!$C224&amp;" "&amp;원자재마스터!$G224&amp;" "&amp;원자재마스터!$A224))),IF($E$3="",TRUE(),ISNUMBER(SEARCH($E$3,원자재마스터!$C224)))))</f>
        <v>0</v>
      </c>
      <c r="M227" s="5" t="str">
        <f aca="false">IF($L227=FALSE(),"",COUNTIF($L$6:$L227,TRUE()))</f>
        <v/>
      </c>
      <c r="N227" s="5" t="str">
        <f aca="false">IF($M227="","","R"&amp;$M227)</f>
        <v/>
      </c>
    </row>
    <row r="228" customFormat="false" ht="15" hidden="false" customHeight="true" outlineLevel="0" collapsed="false">
      <c r="L228" s="21" t="b">
        <f aca="false">IF(원자재마스터!$A225="",FALSE(),AND(IF($B$3="",TRUE(),ISNUMBER(SEARCH($B$3,원자재마스터!$B225&amp;" "&amp;원자재마스터!$C225&amp;" "&amp;원자재마스터!$G225&amp;" "&amp;원자재마스터!$A225))),IF($E$3="",TRUE(),ISNUMBER(SEARCH($E$3,원자재마스터!$C225)))))</f>
        <v>0</v>
      </c>
      <c r="M228" s="5" t="str">
        <f aca="false">IF($L228=FALSE(),"",COUNTIF($L$6:$L228,TRUE()))</f>
        <v/>
      </c>
      <c r="N228" s="5" t="str">
        <f aca="false">IF($M228="","","R"&amp;$M228)</f>
        <v/>
      </c>
    </row>
    <row r="229" customFormat="false" ht="15" hidden="false" customHeight="true" outlineLevel="0" collapsed="false">
      <c r="L229" s="21" t="b">
        <f aca="false">IF(원자재마스터!$A226="",FALSE(),AND(IF($B$3="",TRUE(),ISNUMBER(SEARCH($B$3,원자재마스터!$B226&amp;" "&amp;원자재마스터!$C226&amp;" "&amp;원자재마스터!$G226&amp;" "&amp;원자재마스터!$A226))),IF($E$3="",TRUE(),ISNUMBER(SEARCH($E$3,원자재마스터!$C226)))))</f>
        <v>0</v>
      </c>
      <c r="M229" s="5" t="str">
        <f aca="false">IF($L229=FALSE(),"",COUNTIF($L$6:$L229,TRUE()))</f>
        <v/>
      </c>
      <c r="N229" s="5" t="str">
        <f aca="false">IF($M229="","","R"&amp;$M229)</f>
        <v/>
      </c>
    </row>
    <row r="230" customFormat="false" ht="15" hidden="false" customHeight="true" outlineLevel="0" collapsed="false">
      <c r="L230" s="21" t="b">
        <f aca="false">IF(원자재마스터!$A227="",FALSE(),AND(IF($B$3="",TRUE(),ISNUMBER(SEARCH($B$3,원자재마스터!$B227&amp;" "&amp;원자재마스터!$C227&amp;" "&amp;원자재마스터!$G227&amp;" "&amp;원자재마스터!$A227))),IF($E$3="",TRUE(),ISNUMBER(SEARCH($E$3,원자재마스터!$C227)))))</f>
        <v>0</v>
      </c>
      <c r="M230" s="5" t="str">
        <f aca="false">IF($L230=FALSE(),"",COUNTIF($L$6:$L230,TRUE()))</f>
        <v/>
      </c>
      <c r="N230" s="5" t="str">
        <f aca="false">IF($M230="","","R"&amp;$M230)</f>
        <v/>
      </c>
    </row>
    <row r="231" customFormat="false" ht="15" hidden="false" customHeight="true" outlineLevel="0" collapsed="false">
      <c r="L231" s="21" t="b">
        <f aca="false">IF(원자재마스터!$A228="",FALSE(),AND(IF($B$3="",TRUE(),ISNUMBER(SEARCH($B$3,원자재마스터!$B228&amp;" "&amp;원자재마스터!$C228&amp;" "&amp;원자재마스터!$G228&amp;" "&amp;원자재마스터!$A228))),IF($E$3="",TRUE(),ISNUMBER(SEARCH($E$3,원자재마스터!$C228)))))</f>
        <v>0</v>
      </c>
      <c r="M231" s="5" t="str">
        <f aca="false">IF($L231=FALSE(),"",COUNTIF($L$6:$L231,TRUE()))</f>
        <v/>
      </c>
      <c r="N231" s="5" t="str">
        <f aca="false">IF($M231="","","R"&amp;$M231)</f>
        <v/>
      </c>
    </row>
    <row r="232" customFormat="false" ht="15" hidden="false" customHeight="true" outlineLevel="0" collapsed="false">
      <c r="L232" s="21" t="b">
        <f aca="false">IF(원자재마스터!$A229="",FALSE(),AND(IF($B$3="",TRUE(),ISNUMBER(SEARCH($B$3,원자재마스터!$B229&amp;" "&amp;원자재마스터!$C229&amp;" "&amp;원자재마스터!$G229&amp;" "&amp;원자재마스터!$A229))),IF($E$3="",TRUE(),ISNUMBER(SEARCH($E$3,원자재마스터!$C229)))))</f>
        <v>0</v>
      </c>
      <c r="M232" s="5" t="str">
        <f aca="false">IF($L232=FALSE(),"",COUNTIF($L$6:$L232,TRUE()))</f>
        <v/>
      </c>
      <c r="N232" s="5" t="str">
        <f aca="false">IF($M232="","","R"&amp;$M232)</f>
        <v/>
      </c>
    </row>
    <row r="233" customFormat="false" ht="15" hidden="false" customHeight="true" outlineLevel="0" collapsed="false">
      <c r="L233" s="21" t="b">
        <f aca="false">IF(원자재마스터!$A230="",FALSE(),AND(IF($B$3="",TRUE(),ISNUMBER(SEARCH($B$3,원자재마스터!$B230&amp;" "&amp;원자재마스터!$C230&amp;" "&amp;원자재마스터!$G230&amp;" "&amp;원자재마스터!$A230))),IF($E$3="",TRUE(),ISNUMBER(SEARCH($E$3,원자재마스터!$C230)))))</f>
        <v>0</v>
      </c>
      <c r="M233" s="5" t="str">
        <f aca="false">IF($L233=FALSE(),"",COUNTIF($L$6:$L233,TRUE()))</f>
        <v/>
      </c>
      <c r="N233" s="5" t="str">
        <f aca="false">IF($M233="","","R"&amp;$M233)</f>
        <v/>
      </c>
    </row>
    <row r="234" customFormat="false" ht="15" hidden="false" customHeight="true" outlineLevel="0" collapsed="false">
      <c r="L234" s="21" t="b">
        <f aca="false">IF(원자재마스터!$A231="",FALSE(),AND(IF($B$3="",TRUE(),ISNUMBER(SEARCH($B$3,원자재마스터!$B231&amp;" "&amp;원자재마스터!$C231&amp;" "&amp;원자재마스터!$G231&amp;" "&amp;원자재마스터!$A231))),IF($E$3="",TRUE(),ISNUMBER(SEARCH($E$3,원자재마스터!$C231)))))</f>
        <v>0</v>
      </c>
      <c r="M234" s="5" t="str">
        <f aca="false">IF($L234=FALSE(),"",COUNTIF($L$6:$L234,TRUE()))</f>
        <v/>
      </c>
      <c r="N234" s="5" t="str">
        <f aca="false">IF($M234="","","R"&amp;$M234)</f>
        <v/>
      </c>
    </row>
    <row r="235" customFormat="false" ht="15" hidden="false" customHeight="true" outlineLevel="0" collapsed="false">
      <c r="L235" s="21" t="b">
        <f aca="false">IF(원자재마스터!$A232="",FALSE(),AND(IF($B$3="",TRUE(),ISNUMBER(SEARCH($B$3,원자재마스터!$B232&amp;" "&amp;원자재마스터!$C232&amp;" "&amp;원자재마스터!$G232&amp;" "&amp;원자재마스터!$A232))),IF($E$3="",TRUE(),ISNUMBER(SEARCH($E$3,원자재마스터!$C232)))))</f>
        <v>0</v>
      </c>
      <c r="M235" s="5" t="str">
        <f aca="false">IF($L235=FALSE(),"",COUNTIF($L$6:$L235,TRUE()))</f>
        <v/>
      </c>
      <c r="N235" s="5" t="str">
        <f aca="false">IF($M235="","","R"&amp;$M235)</f>
        <v/>
      </c>
    </row>
    <row r="236" customFormat="false" ht="15" hidden="false" customHeight="true" outlineLevel="0" collapsed="false">
      <c r="L236" s="21" t="b">
        <f aca="false">IF(원자재마스터!$A233="",FALSE(),AND(IF($B$3="",TRUE(),ISNUMBER(SEARCH($B$3,원자재마스터!$B233&amp;" "&amp;원자재마스터!$C233&amp;" "&amp;원자재마스터!$G233&amp;" "&amp;원자재마스터!$A233))),IF($E$3="",TRUE(),ISNUMBER(SEARCH($E$3,원자재마스터!$C233)))))</f>
        <v>0</v>
      </c>
      <c r="M236" s="5" t="str">
        <f aca="false">IF($L236=FALSE(),"",COUNTIF($L$6:$L236,TRUE()))</f>
        <v/>
      </c>
      <c r="N236" s="5" t="str">
        <f aca="false">IF($M236="","","R"&amp;$M236)</f>
        <v/>
      </c>
    </row>
    <row r="237" customFormat="false" ht="15" hidden="false" customHeight="true" outlineLevel="0" collapsed="false">
      <c r="L237" s="21" t="b">
        <f aca="false">IF(원자재마스터!$A234="",FALSE(),AND(IF($B$3="",TRUE(),ISNUMBER(SEARCH($B$3,원자재마스터!$B234&amp;" "&amp;원자재마스터!$C234&amp;" "&amp;원자재마스터!$G234&amp;" "&amp;원자재마스터!$A234))),IF($E$3="",TRUE(),ISNUMBER(SEARCH($E$3,원자재마스터!$C234)))))</f>
        <v>0</v>
      </c>
      <c r="M237" s="5" t="str">
        <f aca="false">IF($L237=FALSE(),"",COUNTIF($L$6:$L237,TRUE()))</f>
        <v/>
      </c>
      <c r="N237" s="5" t="str">
        <f aca="false">IF($M237="","","R"&amp;$M237)</f>
        <v/>
      </c>
    </row>
    <row r="238" customFormat="false" ht="15" hidden="false" customHeight="true" outlineLevel="0" collapsed="false">
      <c r="L238" s="21" t="b">
        <f aca="false">IF(원자재마스터!$A235="",FALSE(),AND(IF($B$3="",TRUE(),ISNUMBER(SEARCH($B$3,원자재마스터!$B235&amp;" "&amp;원자재마스터!$C235&amp;" "&amp;원자재마스터!$G235&amp;" "&amp;원자재마스터!$A235))),IF($E$3="",TRUE(),ISNUMBER(SEARCH($E$3,원자재마스터!$C235)))))</f>
        <v>0</v>
      </c>
      <c r="M238" s="5" t="str">
        <f aca="false">IF($L238=FALSE(),"",COUNTIF($L$6:$L238,TRUE()))</f>
        <v/>
      </c>
      <c r="N238" s="5" t="str">
        <f aca="false">IF($M238="","","R"&amp;$M238)</f>
        <v/>
      </c>
    </row>
    <row r="239" customFormat="false" ht="15" hidden="false" customHeight="true" outlineLevel="0" collapsed="false">
      <c r="L239" s="21" t="b">
        <f aca="false">IF(원자재마스터!$A236="",FALSE(),AND(IF($B$3="",TRUE(),ISNUMBER(SEARCH($B$3,원자재마스터!$B236&amp;" "&amp;원자재마스터!$C236&amp;" "&amp;원자재마스터!$G236&amp;" "&amp;원자재마스터!$A236))),IF($E$3="",TRUE(),ISNUMBER(SEARCH($E$3,원자재마스터!$C236)))))</f>
        <v>0</v>
      </c>
      <c r="M239" s="5" t="str">
        <f aca="false">IF($L239=FALSE(),"",COUNTIF($L$6:$L239,TRUE()))</f>
        <v/>
      </c>
      <c r="N239" s="5" t="str">
        <f aca="false">IF($M239="","","R"&amp;$M239)</f>
        <v/>
      </c>
    </row>
    <row r="240" customFormat="false" ht="15" hidden="false" customHeight="true" outlineLevel="0" collapsed="false">
      <c r="L240" s="21" t="b">
        <f aca="false">IF(원자재마스터!$A237="",FALSE(),AND(IF($B$3="",TRUE(),ISNUMBER(SEARCH($B$3,원자재마스터!$B237&amp;" "&amp;원자재마스터!$C237&amp;" "&amp;원자재마스터!$G237&amp;" "&amp;원자재마스터!$A237))),IF($E$3="",TRUE(),ISNUMBER(SEARCH($E$3,원자재마스터!$C237)))))</f>
        <v>0</v>
      </c>
      <c r="M240" s="5" t="str">
        <f aca="false">IF($L240=FALSE(),"",COUNTIF($L$6:$L240,TRUE()))</f>
        <v/>
      </c>
      <c r="N240" s="5" t="str">
        <f aca="false">IF($M240="","","R"&amp;$M240)</f>
        <v/>
      </c>
    </row>
    <row r="241" customFormat="false" ht="15" hidden="false" customHeight="true" outlineLevel="0" collapsed="false">
      <c r="L241" s="21" t="b">
        <f aca="false">IF(원자재마스터!$A238="",FALSE(),AND(IF($B$3="",TRUE(),ISNUMBER(SEARCH($B$3,원자재마스터!$B238&amp;" "&amp;원자재마스터!$C238&amp;" "&amp;원자재마스터!$G238&amp;" "&amp;원자재마스터!$A238))),IF($E$3="",TRUE(),ISNUMBER(SEARCH($E$3,원자재마스터!$C238)))))</f>
        <v>0</v>
      </c>
      <c r="M241" s="5" t="str">
        <f aca="false">IF($L241=FALSE(),"",COUNTIF($L$6:$L241,TRUE()))</f>
        <v/>
      </c>
      <c r="N241" s="5" t="str">
        <f aca="false">IF($M241="","","R"&amp;$M241)</f>
        <v/>
      </c>
    </row>
    <row r="242" customFormat="false" ht="15" hidden="false" customHeight="true" outlineLevel="0" collapsed="false">
      <c r="L242" s="21" t="b">
        <f aca="false">IF(원자재마스터!$A239="",FALSE(),AND(IF($B$3="",TRUE(),ISNUMBER(SEARCH($B$3,원자재마스터!$B239&amp;" "&amp;원자재마스터!$C239&amp;" "&amp;원자재마스터!$G239&amp;" "&amp;원자재마스터!$A239))),IF($E$3="",TRUE(),ISNUMBER(SEARCH($E$3,원자재마스터!$C239)))))</f>
        <v>0</v>
      </c>
      <c r="M242" s="5" t="str">
        <f aca="false">IF($L242=FALSE(),"",COUNTIF($L$6:$L242,TRUE()))</f>
        <v/>
      </c>
      <c r="N242" s="5" t="str">
        <f aca="false">IF($M242="","","R"&amp;$M242)</f>
        <v/>
      </c>
    </row>
    <row r="243" customFormat="false" ht="15" hidden="false" customHeight="true" outlineLevel="0" collapsed="false">
      <c r="L243" s="21" t="b">
        <f aca="false">IF(원자재마스터!$A240="",FALSE(),AND(IF($B$3="",TRUE(),ISNUMBER(SEARCH($B$3,원자재마스터!$B240&amp;" "&amp;원자재마스터!$C240&amp;" "&amp;원자재마스터!$G240&amp;" "&amp;원자재마스터!$A240))),IF($E$3="",TRUE(),ISNUMBER(SEARCH($E$3,원자재마스터!$C240)))))</f>
        <v>0</v>
      </c>
      <c r="M243" s="5" t="str">
        <f aca="false">IF($L243=FALSE(),"",COUNTIF($L$6:$L243,TRUE()))</f>
        <v/>
      </c>
      <c r="N243" s="5" t="str">
        <f aca="false">IF($M243="","","R"&amp;$M243)</f>
        <v/>
      </c>
    </row>
    <row r="244" customFormat="false" ht="15" hidden="false" customHeight="true" outlineLevel="0" collapsed="false">
      <c r="L244" s="21" t="b">
        <f aca="false">IF(원자재마스터!$A241="",FALSE(),AND(IF($B$3="",TRUE(),ISNUMBER(SEARCH($B$3,원자재마스터!$B241&amp;" "&amp;원자재마스터!$C241&amp;" "&amp;원자재마스터!$G241&amp;" "&amp;원자재마스터!$A241))),IF($E$3="",TRUE(),ISNUMBER(SEARCH($E$3,원자재마스터!$C241)))))</f>
        <v>0</v>
      </c>
      <c r="M244" s="5" t="str">
        <f aca="false">IF($L244=FALSE(),"",COUNTIF($L$6:$L244,TRUE()))</f>
        <v/>
      </c>
      <c r="N244" s="5" t="str">
        <f aca="false">IF($M244="","","R"&amp;$M244)</f>
        <v/>
      </c>
    </row>
    <row r="245" customFormat="false" ht="15" hidden="false" customHeight="true" outlineLevel="0" collapsed="false">
      <c r="L245" s="21" t="b">
        <f aca="false">IF(원자재마스터!$A242="",FALSE(),AND(IF($B$3="",TRUE(),ISNUMBER(SEARCH($B$3,원자재마스터!$B242&amp;" "&amp;원자재마스터!$C242&amp;" "&amp;원자재마스터!$G242&amp;" "&amp;원자재마스터!$A242))),IF($E$3="",TRUE(),ISNUMBER(SEARCH($E$3,원자재마스터!$C242)))))</f>
        <v>0</v>
      </c>
      <c r="M245" s="5" t="str">
        <f aca="false">IF($L245=FALSE(),"",COUNTIF($L$6:$L245,TRUE()))</f>
        <v/>
      </c>
      <c r="N245" s="5" t="str">
        <f aca="false">IF($M245="","","R"&amp;$M245)</f>
        <v/>
      </c>
    </row>
    <row r="246" customFormat="false" ht="15" hidden="false" customHeight="true" outlineLevel="0" collapsed="false">
      <c r="L246" s="21" t="b">
        <f aca="false">IF(원자재마스터!$A243="",FALSE(),AND(IF($B$3="",TRUE(),ISNUMBER(SEARCH($B$3,원자재마스터!$B243&amp;" "&amp;원자재마스터!$C243&amp;" "&amp;원자재마스터!$G243&amp;" "&amp;원자재마스터!$A243))),IF($E$3="",TRUE(),ISNUMBER(SEARCH($E$3,원자재마스터!$C243)))))</f>
        <v>0</v>
      </c>
      <c r="M246" s="5" t="str">
        <f aca="false">IF($L246=FALSE(),"",COUNTIF($L$6:$L246,TRUE()))</f>
        <v/>
      </c>
      <c r="N246" s="5" t="str">
        <f aca="false">IF($M246="","","R"&amp;$M246)</f>
        <v/>
      </c>
    </row>
    <row r="247" customFormat="false" ht="15" hidden="false" customHeight="true" outlineLevel="0" collapsed="false">
      <c r="L247" s="21" t="b">
        <f aca="false">IF(원자재마스터!$A244="",FALSE(),AND(IF($B$3="",TRUE(),ISNUMBER(SEARCH($B$3,원자재마스터!$B244&amp;" "&amp;원자재마스터!$C244&amp;" "&amp;원자재마스터!$G244&amp;" "&amp;원자재마스터!$A244))),IF($E$3="",TRUE(),ISNUMBER(SEARCH($E$3,원자재마스터!$C244)))))</f>
        <v>0</v>
      </c>
      <c r="M247" s="5" t="str">
        <f aca="false">IF($L247=FALSE(),"",COUNTIF($L$6:$L247,TRUE()))</f>
        <v/>
      </c>
      <c r="N247" s="5" t="str">
        <f aca="false">IF($M247="","","R"&amp;$M247)</f>
        <v/>
      </c>
    </row>
    <row r="248" customFormat="false" ht="15" hidden="false" customHeight="true" outlineLevel="0" collapsed="false">
      <c r="L248" s="21" t="b">
        <f aca="false">IF(원자재마스터!$A245="",FALSE(),AND(IF($B$3="",TRUE(),ISNUMBER(SEARCH($B$3,원자재마스터!$B245&amp;" "&amp;원자재마스터!$C245&amp;" "&amp;원자재마스터!$G245&amp;" "&amp;원자재마스터!$A245))),IF($E$3="",TRUE(),ISNUMBER(SEARCH($E$3,원자재마스터!$C245)))))</f>
        <v>0</v>
      </c>
      <c r="M248" s="5" t="str">
        <f aca="false">IF($L248=FALSE(),"",COUNTIF($L$6:$L248,TRUE()))</f>
        <v/>
      </c>
      <c r="N248" s="5" t="str">
        <f aca="false">IF($M248="","","R"&amp;$M248)</f>
        <v/>
      </c>
    </row>
    <row r="249" customFormat="false" ht="15" hidden="false" customHeight="true" outlineLevel="0" collapsed="false">
      <c r="L249" s="21" t="b">
        <f aca="false">IF(원자재마스터!$A246="",FALSE(),AND(IF($B$3="",TRUE(),ISNUMBER(SEARCH($B$3,원자재마스터!$B246&amp;" "&amp;원자재마스터!$C246&amp;" "&amp;원자재마스터!$G246&amp;" "&amp;원자재마스터!$A246))),IF($E$3="",TRUE(),ISNUMBER(SEARCH($E$3,원자재마스터!$C246)))))</f>
        <v>0</v>
      </c>
      <c r="M249" s="5" t="str">
        <f aca="false">IF($L249=FALSE(),"",COUNTIF($L$6:$L249,TRUE()))</f>
        <v/>
      </c>
      <c r="N249" s="5" t="str">
        <f aca="false">IF($M249="","","R"&amp;$M249)</f>
        <v/>
      </c>
    </row>
    <row r="250" customFormat="false" ht="15" hidden="false" customHeight="true" outlineLevel="0" collapsed="false">
      <c r="L250" s="21" t="b">
        <f aca="false">IF(원자재마스터!$A247="",FALSE(),AND(IF($B$3="",TRUE(),ISNUMBER(SEARCH($B$3,원자재마스터!$B247&amp;" "&amp;원자재마스터!$C247&amp;" "&amp;원자재마스터!$G247&amp;" "&amp;원자재마스터!$A247))),IF($E$3="",TRUE(),ISNUMBER(SEARCH($E$3,원자재마스터!$C247)))))</f>
        <v>0</v>
      </c>
      <c r="M250" s="5" t="str">
        <f aca="false">IF($L250=FALSE(),"",COUNTIF($L$6:$L250,TRUE()))</f>
        <v/>
      </c>
      <c r="N250" s="5" t="str">
        <f aca="false">IF($M250="","","R"&amp;$M250)</f>
        <v/>
      </c>
    </row>
    <row r="251" customFormat="false" ht="15" hidden="false" customHeight="true" outlineLevel="0" collapsed="false">
      <c r="L251" s="21" t="b">
        <f aca="false">IF(원자재마스터!$A248="",FALSE(),AND(IF($B$3="",TRUE(),ISNUMBER(SEARCH($B$3,원자재마스터!$B248&amp;" "&amp;원자재마스터!$C248&amp;" "&amp;원자재마스터!$G248&amp;" "&amp;원자재마스터!$A248))),IF($E$3="",TRUE(),ISNUMBER(SEARCH($E$3,원자재마스터!$C248)))))</f>
        <v>0</v>
      </c>
      <c r="M251" s="5" t="str">
        <f aca="false">IF($L251=FALSE(),"",COUNTIF($L$6:$L251,TRUE()))</f>
        <v/>
      </c>
      <c r="N251" s="5" t="str">
        <f aca="false">IF($M251="","","R"&amp;$M251)</f>
        <v/>
      </c>
    </row>
    <row r="252" customFormat="false" ht="15" hidden="false" customHeight="true" outlineLevel="0" collapsed="false">
      <c r="L252" s="21" t="b">
        <f aca="false">IF(원자재마스터!$A249="",FALSE(),AND(IF($B$3="",TRUE(),ISNUMBER(SEARCH($B$3,원자재마스터!$B249&amp;" "&amp;원자재마스터!$C249&amp;" "&amp;원자재마스터!$G249&amp;" "&amp;원자재마스터!$A249))),IF($E$3="",TRUE(),ISNUMBER(SEARCH($E$3,원자재마스터!$C249)))))</f>
        <v>0</v>
      </c>
      <c r="M252" s="5" t="str">
        <f aca="false">IF($L252=FALSE(),"",COUNTIF($L$6:$L252,TRUE()))</f>
        <v/>
      </c>
      <c r="N252" s="5" t="str">
        <f aca="false">IF($M252="","","R"&amp;$M252)</f>
        <v/>
      </c>
    </row>
    <row r="253" customFormat="false" ht="15" hidden="false" customHeight="true" outlineLevel="0" collapsed="false">
      <c r="L253" s="21" t="b">
        <f aca="false">IF(원자재마스터!$A250="",FALSE(),AND(IF($B$3="",TRUE(),ISNUMBER(SEARCH($B$3,원자재마스터!$B250&amp;" "&amp;원자재마스터!$C250&amp;" "&amp;원자재마스터!$G250&amp;" "&amp;원자재마스터!$A250))),IF($E$3="",TRUE(),ISNUMBER(SEARCH($E$3,원자재마스터!$C250)))))</f>
        <v>0</v>
      </c>
      <c r="M253" s="5" t="str">
        <f aca="false">IF($L253=FALSE(),"",COUNTIF($L$6:$L253,TRUE()))</f>
        <v/>
      </c>
      <c r="N253" s="5" t="str">
        <f aca="false">IF($M253="","","R"&amp;$M253)</f>
        <v/>
      </c>
    </row>
    <row r="254" customFormat="false" ht="15" hidden="false" customHeight="true" outlineLevel="0" collapsed="false">
      <c r="L254" s="21" t="b">
        <f aca="false">IF(원자재마스터!$A251="",FALSE(),AND(IF($B$3="",TRUE(),ISNUMBER(SEARCH($B$3,원자재마스터!$B251&amp;" "&amp;원자재마스터!$C251&amp;" "&amp;원자재마스터!$G251&amp;" "&amp;원자재마스터!$A251))),IF($E$3="",TRUE(),ISNUMBER(SEARCH($E$3,원자재마스터!$C251)))))</f>
        <v>0</v>
      </c>
      <c r="M254" s="5" t="str">
        <f aca="false">IF($L254=FALSE(),"",COUNTIF($L$6:$L254,TRUE()))</f>
        <v/>
      </c>
      <c r="N254" s="5" t="str">
        <f aca="false">IF($M254="","","R"&amp;$M254)</f>
        <v/>
      </c>
    </row>
    <row r="255" customFormat="false" ht="15" hidden="false" customHeight="true" outlineLevel="0" collapsed="false">
      <c r="L255" s="21" t="b">
        <f aca="false">IF(원자재마스터!$A252="",FALSE(),AND(IF($B$3="",TRUE(),ISNUMBER(SEARCH($B$3,원자재마스터!$B252&amp;" "&amp;원자재마스터!$C252&amp;" "&amp;원자재마스터!$G252&amp;" "&amp;원자재마스터!$A252))),IF($E$3="",TRUE(),ISNUMBER(SEARCH($E$3,원자재마스터!$C252)))))</f>
        <v>0</v>
      </c>
      <c r="M255" s="5" t="str">
        <f aca="false">IF($L255=FALSE(),"",COUNTIF($L$6:$L255,TRUE()))</f>
        <v/>
      </c>
      <c r="N255" s="5" t="str">
        <f aca="false">IF($M255="","","R"&amp;$M255)</f>
        <v/>
      </c>
    </row>
    <row r="256" customFormat="false" ht="15" hidden="false" customHeight="true" outlineLevel="0" collapsed="false">
      <c r="L256" s="21" t="b">
        <f aca="false">IF(원자재마스터!$A253="",FALSE(),AND(IF($B$3="",TRUE(),ISNUMBER(SEARCH($B$3,원자재마스터!$B253&amp;" "&amp;원자재마스터!$C253&amp;" "&amp;원자재마스터!$G253&amp;" "&amp;원자재마스터!$A253))),IF($E$3="",TRUE(),ISNUMBER(SEARCH($E$3,원자재마스터!$C253)))))</f>
        <v>0</v>
      </c>
      <c r="M256" s="5" t="str">
        <f aca="false">IF($L256=FALSE(),"",COUNTIF($L$6:$L256,TRUE()))</f>
        <v/>
      </c>
      <c r="N256" s="5" t="str">
        <f aca="false">IF($M256="","","R"&amp;$M256)</f>
        <v/>
      </c>
    </row>
    <row r="257" customFormat="false" ht="15" hidden="false" customHeight="true" outlineLevel="0" collapsed="false">
      <c r="L257" s="21" t="b">
        <f aca="false">IF(원자재마스터!$A254="",FALSE(),AND(IF($B$3="",TRUE(),ISNUMBER(SEARCH($B$3,원자재마스터!$B254&amp;" "&amp;원자재마스터!$C254&amp;" "&amp;원자재마스터!$G254&amp;" "&amp;원자재마스터!$A254))),IF($E$3="",TRUE(),ISNUMBER(SEARCH($E$3,원자재마스터!$C254)))))</f>
        <v>0</v>
      </c>
      <c r="M257" s="5" t="str">
        <f aca="false">IF($L257=FALSE(),"",COUNTIF($L$6:$L257,TRUE()))</f>
        <v/>
      </c>
      <c r="N257" s="5" t="str">
        <f aca="false">IF($M257="","","R"&amp;$M257)</f>
        <v/>
      </c>
    </row>
    <row r="258" customFormat="false" ht="15" hidden="false" customHeight="true" outlineLevel="0" collapsed="false">
      <c r="L258" s="21" t="b">
        <f aca="false">IF(원자재마스터!$A255="",FALSE(),AND(IF($B$3="",TRUE(),ISNUMBER(SEARCH($B$3,원자재마스터!$B255&amp;" "&amp;원자재마스터!$C255&amp;" "&amp;원자재마스터!$G255&amp;" "&amp;원자재마스터!$A255))),IF($E$3="",TRUE(),ISNUMBER(SEARCH($E$3,원자재마스터!$C255)))))</f>
        <v>0</v>
      </c>
      <c r="M258" s="5" t="str">
        <f aca="false">IF($L258=FALSE(),"",COUNTIF($L$6:$L258,TRUE()))</f>
        <v/>
      </c>
      <c r="N258" s="5" t="str">
        <f aca="false">IF($M258="","","R"&amp;$M258)</f>
        <v/>
      </c>
    </row>
    <row r="259" customFormat="false" ht="15" hidden="false" customHeight="true" outlineLevel="0" collapsed="false">
      <c r="L259" s="21" t="b">
        <f aca="false">IF(원자재마스터!$A256="",FALSE(),AND(IF($B$3="",TRUE(),ISNUMBER(SEARCH($B$3,원자재마스터!$B256&amp;" "&amp;원자재마스터!$C256&amp;" "&amp;원자재마스터!$G256&amp;" "&amp;원자재마스터!$A256))),IF($E$3="",TRUE(),ISNUMBER(SEARCH($E$3,원자재마스터!$C256)))))</f>
        <v>0</v>
      </c>
      <c r="M259" s="5" t="str">
        <f aca="false">IF($L259=FALSE(),"",COUNTIF($L$6:$L259,TRUE()))</f>
        <v/>
      </c>
      <c r="N259" s="5" t="str">
        <f aca="false">IF($M259="","","R"&amp;$M259)</f>
        <v/>
      </c>
    </row>
    <row r="260" customFormat="false" ht="15" hidden="false" customHeight="true" outlineLevel="0" collapsed="false">
      <c r="L260" s="21" t="b">
        <f aca="false">IF(원자재마스터!$A257="",FALSE(),AND(IF($B$3="",TRUE(),ISNUMBER(SEARCH($B$3,원자재마스터!$B257&amp;" "&amp;원자재마스터!$C257&amp;" "&amp;원자재마스터!$G257&amp;" "&amp;원자재마스터!$A257))),IF($E$3="",TRUE(),ISNUMBER(SEARCH($E$3,원자재마스터!$C257)))))</f>
        <v>0</v>
      </c>
      <c r="M260" s="5" t="str">
        <f aca="false">IF($L260=FALSE(),"",COUNTIF($L$6:$L260,TRUE()))</f>
        <v/>
      </c>
      <c r="N260" s="5" t="str">
        <f aca="false">IF($M260="","","R"&amp;$M260)</f>
        <v/>
      </c>
    </row>
    <row r="261" customFormat="false" ht="15" hidden="false" customHeight="true" outlineLevel="0" collapsed="false">
      <c r="L261" s="21" t="b">
        <f aca="false">IF(원자재마스터!$A258="",FALSE(),AND(IF($B$3="",TRUE(),ISNUMBER(SEARCH($B$3,원자재마스터!$B258&amp;" "&amp;원자재마스터!$C258&amp;" "&amp;원자재마스터!$G258&amp;" "&amp;원자재마스터!$A258))),IF($E$3="",TRUE(),ISNUMBER(SEARCH($E$3,원자재마스터!$C258)))))</f>
        <v>0</v>
      </c>
      <c r="M261" s="5" t="str">
        <f aca="false">IF($L261=FALSE(),"",COUNTIF($L$6:$L261,TRUE()))</f>
        <v/>
      </c>
      <c r="N261" s="5" t="str">
        <f aca="false">IF($M261="","","R"&amp;$M261)</f>
        <v/>
      </c>
    </row>
    <row r="262" customFormat="false" ht="15" hidden="false" customHeight="true" outlineLevel="0" collapsed="false">
      <c r="L262" s="21" t="b">
        <f aca="false">IF(원자재마스터!$A259="",FALSE(),AND(IF($B$3="",TRUE(),ISNUMBER(SEARCH($B$3,원자재마스터!$B259&amp;" "&amp;원자재마스터!$C259&amp;" "&amp;원자재마스터!$G259&amp;" "&amp;원자재마스터!$A259))),IF($E$3="",TRUE(),ISNUMBER(SEARCH($E$3,원자재마스터!$C259)))))</f>
        <v>0</v>
      </c>
      <c r="M262" s="5" t="str">
        <f aca="false">IF($L262=FALSE(),"",COUNTIF($L$6:$L262,TRUE()))</f>
        <v/>
      </c>
      <c r="N262" s="5" t="str">
        <f aca="false">IF($M262="","","R"&amp;$M262)</f>
        <v/>
      </c>
    </row>
    <row r="263" customFormat="false" ht="15" hidden="false" customHeight="true" outlineLevel="0" collapsed="false">
      <c r="L263" s="21" t="b">
        <f aca="false">IF(원자재마스터!$A260="",FALSE(),AND(IF($B$3="",TRUE(),ISNUMBER(SEARCH($B$3,원자재마스터!$B260&amp;" "&amp;원자재마스터!$C260&amp;" "&amp;원자재마스터!$G260&amp;" "&amp;원자재마스터!$A260))),IF($E$3="",TRUE(),ISNUMBER(SEARCH($E$3,원자재마스터!$C260)))))</f>
        <v>0</v>
      </c>
      <c r="M263" s="5" t="str">
        <f aca="false">IF($L263=FALSE(),"",COUNTIF($L$6:$L263,TRUE()))</f>
        <v/>
      </c>
      <c r="N263" s="5" t="str">
        <f aca="false">IF($M263="","","R"&amp;$M263)</f>
        <v/>
      </c>
    </row>
    <row r="264" customFormat="false" ht="15" hidden="false" customHeight="true" outlineLevel="0" collapsed="false">
      <c r="L264" s="21" t="b">
        <f aca="false">IF(원자재마스터!$A261="",FALSE(),AND(IF($B$3="",TRUE(),ISNUMBER(SEARCH($B$3,원자재마스터!$B261&amp;" "&amp;원자재마스터!$C261&amp;" "&amp;원자재마스터!$G261&amp;" "&amp;원자재마스터!$A261))),IF($E$3="",TRUE(),ISNUMBER(SEARCH($E$3,원자재마스터!$C261)))))</f>
        <v>0</v>
      </c>
      <c r="M264" s="5" t="str">
        <f aca="false">IF($L264=FALSE(),"",COUNTIF($L$6:$L264,TRUE()))</f>
        <v/>
      </c>
      <c r="N264" s="5" t="str">
        <f aca="false">IF($M264="","","R"&amp;$M264)</f>
        <v/>
      </c>
    </row>
    <row r="265" customFormat="false" ht="15" hidden="false" customHeight="true" outlineLevel="0" collapsed="false">
      <c r="L265" s="21" t="b">
        <f aca="false">IF(원자재마스터!$A262="",FALSE(),AND(IF($B$3="",TRUE(),ISNUMBER(SEARCH($B$3,원자재마스터!$B262&amp;" "&amp;원자재마스터!$C262&amp;" "&amp;원자재마스터!$G262&amp;" "&amp;원자재마스터!$A262))),IF($E$3="",TRUE(),ISNUMBER(SEARCH($E$3,원자재마스터!$C262)))))</f>
        <v>0</v>
      </c>
      <c r="M265" s="5" t="str">
        <f aca="false">IF($L265=FALSE(),"",COUNTIF($L$6:$L265,TRUE()))</f>
        <v/>
      </c>
      <c r="N265" s="5" t="str">
        <f aca="false">IF($M265="","","R"&amp;$M265)</f>
        <v/>
      </c>
    </row>
    <row r="266" customFormat="false" ht="15" hidden="false" customHeight="true" outlineLevel="0" collapsed="false">
      <c r="L266" s="21" t="b">
        <f aca="false">IF(원자재마스터!$A263="",FALSE(),AND(IF($B$3="",TRUE(),ISNUMBER(SEARCH($B$3,원자재마스터!$B263&amp;" "&amp;원자재마스터!$C263&amp;" "&amp;원자재마스터!$G263&amp;" "&amp;원자재마스터!$A263))),IF($E$3="",TRUE(),ISNUMBER(SEARCH($E$3,원자재마스터!$C263)))))</f>
        <v>0</v>
      </c>
      <c r="M266" s="5" t="str">
        <f aca="false">IF($L266=FALSE(),"",COUNTIF($L$6:$L266,TRUE()))</f>
        <v/>
      </c>
      <c r="N266" s="5" t="str">
        <f aca="false">IF($M266="","","R"&amp;$M266)</f>
        <v/>
      </c>
    </row>
    <row r="267" customFormat="false" ht="15" hidden="false" customHeight="true" outlineLevel="0" collapsed="false">
      <c r="L267" s="21" t="b">
        <f aca="false">IF(원자재마스터!$A264="",FALSE(),AND(IF($B$3="",TRUE(),ISNUMBER(SEARCH($B$3,원자재마스터!$B264&amp;" "&amp;원자재마스터!$C264&amp;" "&amp;원자재마스터!$G264&amp;" "&amp;원자재마스터!$A264))),IF($E$3="",TRUE(),ISNUMBER(SEARCH($E$3,원자재마스터!$C264)))))</f>
        <v>0</v>
      </c>
      <c r="M267" s="5" t="str">
        <f aca="false">IF($L267=FALSE(),"",COUNTIF($L$6:$L267,TRUE()))</f>
        <v/>
      </c>
      <c r="N267" s="5" t="str">
        <f aca="false">IF($M267="","","R"&amp;$M267)</f>
        <v/>
      </c>
    </row>
    <row r="268" customFormat="false" ht="15" hidden="false" customHeight="true" outlineLevel="0" collapsed="false">
      <c r="L268" s="21" t="b">
        <f aca="false">IF(원자재마스터!$A265="",FALSE(),AND(IF($B$3="",TRUE(),ISNUMBER(SEARCH($B$3,원자재마스터!$B265&amp;" "&amp;원자재마스터!$C265&amp;" "&amp;원자재마스터!$G265&amp;" "&amp;원자재마스터!$A265))),IF($E$3="",TRUE(),ISNUMBER(SEARCH($E$3,원자재마스터!$C265)))))</f>
        <v>0</v>
      </c>
      <c r="M268" s="5" t="str">
        <f aca="false">IF($L268=FALSE(),"",COUNTIF($L$6:$L268,TRUE()))</f>
        <v/>
      </c>
      <c r="N268" s="5" t="str">
        <f aca="false">IF($M268="","","R"&amp;$M268)</f>
        <v/>
      </c>
    </row>
    <row r="269" customFormat="false" ht="15" hidden="false" customHeight="true" outlineLevel="0" collapsed="false">
      <c r="L269" s="21" t="b">
        <f aca="false">IF(원자재마스터!$A266="",FALSE(),AND(IF($B$3="",TRUE(),ISNUMBER(SEARCH($B$3,원자재마스터!$B266&amp;" "&amp;원자재마스터!$C266&amp;" "&amp;원자재마스터!$G266&amp;" "&amp;원자재마스터!$A266))),IF($E$3="",TRUE(),ISNUMBER(SEARCH($E$3,원자재마스터!$C266)))))</f>
        <v>0</v>
      </c>
      <c r="M269" s="5" t="str">
        <f aca="false">IF($L269=FALSE(),"",COUNTIF($L$6:$L269,TRUE()))</f>
        <v/>
      </c>
      <c r="N269" s="5" t="str">
        <f aca="false">IF($M269="","","R"&amp;$M269)</f>
        <v/>
      </c>
    </row>
    <row r="270" customFormat="false" ht="15" hidden="false" customHeight="true" outlineLevel="0" collapsed="false">
      <c r="L270" s="21" t="b">
        <f aca="false">IF(원자재마스터!$A267="",FALSE(),AND(IF($B$3="",TRUE(),ISNUMBER(SEARCH($B$3,원자재마스터!$B267&amp;" "&amp;원자재마스터!$C267&amp;" "&amp;원자재마스터!$G267&amp;" "&amp;원자재마스터!$A267))),IF($E$3="",TRUE(),ISNUMBER(SEARCH($E$3,원자재마스터!$C267)))))</f>
        <v>0</v>
      </c>
      <c r="M270" s="5" t="str">
        <f aca="false">IF($L270=FALSE(),"",COUNTIF($L$6:$L270,TRUE()))</f>
        <v/>
      </c>
      <c r="N270" s="5" t="str">
        <f aca="false">IF($M270="","","R"&amp;$M270)</f>
        <v/>
      </c>
    </row>
    <row r="271" customFormat="false" ht="15" hidden="false" customHeight="true" outlineLevel="0" collapsed="false">
      <c r="L271" s="21" t="b">
        <f aca="false">IF(원자재마스터!$A268="",FALSE(),AND(IF($B$3="",TRUE(),ISNUMBER(SEARCH($B$3,원자재마스터!$B268&amp;" "&amp;원자재마스터!$C268&amp;" "&amp;원자재마스터!$G268&amp;" "&amp;원자재마스터!$A268))),IF($E$3="",TRUE(),ISNUMBER(SEARCH($E$3,원자재마스터!$C268)))))</f>
        <v>0</v>
      </c>
      <c r="M271" s="5" t="str">
        <f aca="false">IF($L271=FALSE(),"",COUNTIF($L$6:$L271,TRUE()))</f>
        <v/>
      </c>
      <c r="N271" s="5" t="str">
        <f aca="false">IF($M271="","","R"&amp;$M271)</f>
        <v/>
      </c>
    </row>
    <row r="272" customFormat="false" ht="15" hidden="false" customHeight="true" outlineLevel="0" collapsed="false">
      <c r="L272" s="21" t="b">
        <f aca="false">IF(원자재마스터!$A269="",FALSE(),AND(IF($B$3="",TRUE(),ISNUMBER(SEARCH($B$3,원자재마스터!$B269&amp;" "&amp;원자재마스터!$C269&amp;" "&amp;원자재마스터!$G269&amp;" "&amp;원자재마스터!$A269))),IF($E$3="",TRUE(),ISNUMBER(SEARCH($E$3,원자재마스터!$C269)))))</f>
        <v>0</v>
      </c>
      <c r="M272" s="5" t="str">
        <f aca="false">IF($L272=FALSE(),"",COUNTIF($L$6:$L272,TRUE()))</f>
        <v/>
      </c>
      <c r="N272" s="5" t="str">
        <f aca="false">IF($M272="","","R"&amp;$M272)</f>
        <v/>
      </c>
    </row>
    <row r="273" customFormat="false" ht="15" hidden="false" customHeight="true" outlineLevel="0" collapsed="false">
      <c r="L273" s="21" t="b">
        <f aca="false">IF(원자재마스터!$A270="",FALSE(),AND(IF($B$3="",TRUE(),ISNUMBER(SEARCH($B$3,원자재마스터!$B270&amp;" "&amp;원자재마스터!$C270&amp;" "&amp;원자재마스터!$G270&amp;" "&amp;원자재마스터!$A270))),IF($E$3="",TRUE(),ISNUMBER(SEARCH($E$3,원자재마스터!$C270)))))</f>
        <v>0</v>
      </c>
      <c r="M273" s="5" t="str">
        <f aca="false">IF($L273=FALSE(),"",COUNTIF($L$6:$L273,TRUE()))</f>
        <v/>
      </c>
      <c r="N273" s="5" t="str">
        <f aca="false">IF($M273="","","R"&amp;$M273)</f>
        <v/>
      </c>
    </row>
    <row r="274" customFormat="false" ht="15" hidden="false" customHeight="true" outlineLevel="0" collapsed="false">
      <c r="L274" s="21" t="b">
        <f aca="false">IF(원자재마스터!$A271="",FALSE(),AND(IF($B$3="",TRUE(),ISNUMBER(SEARCH($B$3,원자재마스터!$B271&amp;" "&amp;원자재마스터!$C271&amp;" "&amp;원자재마스터!$G271&amp;" "&amp;원자재마스터!$A271))),IF($E$3="",TRUE(),ISNUMBER(SEARCH($E$3,원자재마스터!$C271)))))</f>
        <v>0</v>
      </c>
      <c r="M274" s="5" t="str">
        <f aca="false">IF($L274=FALSE(),"",COUNTIF($L$6:$L274,TRUE()))</f>
        <v/>
      </c>
      <c r="N274" s="5" t="str">
        <f aca="false">IF($M274="","","R"&amp;$M274)</f>
        <v/>
      </c>
    </row>
    <row r="275" customFormat="false" ht="15" hidden="false" customHeight="true" outlineLevel="0" collapsed="false">
      <c r="L275" s="21" t="b">
        <f aca="false">IF(원자재마스터!$A272="",FALSE(),AND(IF($B$3="",TRUE(),ISNUMBER(SEARCH($B$3,원자재마스터!$B272&amp;" "&amp;원자재마스터!$C272&amp;" "&amp;원자재마스터!$G272&amp;" "&amp;원자재마스터!$A272))),IF($E$3="",TRUE(),ISNUMBER(SEARCH($E$3,원자재마스터!$C272)))))</f>
        <v>0</v>
      </c>
      <c r="M275" s="5" t="str">
        <f aca="false">IF($L275=FALSE(),"",COUNTIF($L$6:$L275,TRUE()))</f>
        <v/>
      </c>
      <c r="N275" s="5" t="str">
        <f aca="false">IF($M275="","","R"&amp;$M275)</f>
        <v/>
      </c>
    </row>
    <row r="276" customFormat="false" ht="15" hidden="false" customHeight="true" outlineLevel="0" collapsed="false">
      <c r="L276" s="21" t="b">
        <f aca="false">IF(원자재마스터!$A273="",FALSE(),AND(IF($B$3="",TRUE(),ISNUMBER(SEARCH($B$3,원자재마스터!$B273&amp;" "&amp;원자재마스터!$C273&amp;" "&amp;원자재마스터!$G273&amp;" "&amp;원자재마스터!$A273))),IF($E$3="",TRUE(),ISNUMBER(SEARCH($E$3,원자재마스터!$C273)))))</f>
        <v>0</v>
      </c>
      <c r="M276" s="5" t="str">
        <f aca="false">IF($L276=FALSE(),"",COUNTIF($L$6:$L276,TRUE()))</f>
        <v/>
      </c>
      <c r="N276" s="5" t="str">
        <f aca="false">IF($M276="","","R"&amp;$M276)</f>
        <v/>
      </c>
    </row>
    <row r="277" customFormat="false" ht="15" hidden="false" customHeight="true" outlineLevel="0" collapsed="false">
      <c r="L277" s="21" t="b">
        <f aca="false">IF(원자재마스터!$A274="",FALSE(),AND(IF($B$3="",TRUE(),ISNUMBER(SEARCH($B$3,원자재마스터!$B274&amp;" "&amp;원자재마스터!$C274&amp;" "&amp;원자재마스터!$G274&amp;" "&amp;원자재마스터!$A274))),IF($E$3="",TRUE(),ISNUMBER(SEARCH($E$3,원자재마스터!$C274)))))</f>
        <v>0</v>
      </c>
      <c r="M277" s="5" t="str">
        <f aca="false">IF($L277=FALSE(),"",COUNTIF($L$6:$L277,TRUE()))</f>
        <v/>
      </c>
      <c r="N277" s="5" t="str">
        <f aca="false">IF($M277="","","R"&amp;$M277)</f>
        <v/>
      </c>
    </row>
    <row r="278" customFormat="false" ht="15" hidden="false" customHeight="true" outlineLevel="0" collapsed="false">
      <c r="L278" s="21" t="b">
        <f aca="false">IF(원자재마스터!$A275="",FALSE(),AND(IF($B$3="",TRUE(),ISNUMBER(SEARCH($B$3,원자재마스터!$B275&amp;" "&amp;원자재마스터!$C275&amp;" "&amp;원자재마스터!$G275&amp;" "&amp;원자재마스터!$A275))),IF($E$3="",TRUE(),ISNUMBER(SEARCH($E$3,원자재마스터!$C275)))))</f>
        <v>0</v>
      </c>
      <c r="M278" s="5" t="str">
        <f aca="false">IF($L278=FALSE(),"",COUNTIF($L$6:$L278,TRUE()))</f>
        <v/>
      </c>
      <c r="N278" s="5" t="str">
        <f aca="false">IF($M278="","","R"&amp;$M278)</f>
        <v/>
      </c>
    </row>
    <row r="279" customFormat="false" ht="15" hidden="false" customHeight="true" outlineLevel="0" collapsed="false">
      <c r="L279" s="21" t="b">
        <f aca="false">IF(원자재마스터!$A276="",FALSE(),AND(IF($B$3="",TRUE(),ISNUMBER(SEARCH($B$3,원자재마스터!$B276&amp;" "&amp;원자재마스터!$C276&amp;" "&amp;원자재마스터!$G276&amp;" "&amp;원자재마스터!$A276))),IF($E$3="",TRUE(),ISNUMBER(SEARCH($E$3,원자재마스터!$C276)))))</f>
        <v>0</v>
      </c>
      <c r="M279" s="5" t="str">
        <f aca="false">IF($L279=FALSE(),"",COUNTIF($L$6:$L279,TRUE()))</f>
        <v/>
      </c>
      <c r="N279" s="5" t="str">
        <f aca="false">IF($M279="","","R"&amp;$M279)</f>
        <v/>
      </c>
    </row>
    <row r="280" customFormat="false" ht="15" hidden="false" customHeight="true" outlineLevel="0" collapsed="false">
      <c r="L280" s="21" t="b">
        <f aca="false">IF(원자재마스터!$A277="",FALSE(),AND(IF($B$3="",TRUE(),ISNUMBER(SEARCH($B$3,원자재마스터!$B277&amp;" "&amp;원자재마스터!$C277&amp;" "&amp;원자재마스터!$G277&amp;" "&amp;원자재마스터!$A277))),IF($E$3="",TRUE(),ISNUMBER(SEARCH($E$3,원자재마스터!$C277)))))</f>
        <v>0</v>
      </c>
      <c r="M280" s="5" t="str">
        <f aca="false">IF($L280=FALSE(),"",COUNTIF($L$6:$L280,TRUE()))</f>
        <v/>
      </c>
      <c r="N280" s="5" t="str">
        <f aca="false">IF($M280="","","R"&amp;$M280)</f>
        <v/>
      </c>
    </row>
    <row r="281" customFormat="false" ht="15" hidden="false" customHeight="true" outlineLevel="0" collapsed="false">
      <c r="L281" s="21" t="b">
        <f aca="false">IF(원자재마스터!$A278="",FALSE(),AND(IF($B$3="",TRUE(),ISNUMBER(SEARCH($B$3,원자재마스터!$B278&amp;" "&amp;원자재마스터!$C278&amp;" "&amp;원자재마스터!$G278&amp;" "&amp;원자재마스터!$A278))),IF($E$3="",TRUE(),ISNUMBER(SEARCH($E$3,원자재마스터!$C278)))))</f>
        <v>0</v>
      </c>
      <c r="M281" s="5" t="str">
        <f aca="false">IF($L281=FALSE(),"",COUNTIF($L$6:$L281,TRUE()))</f>
        <v/>
      </c>
      <c r="N281" s="5" t="str">
        <f aca="false">IF($M281="","","R"&amp;$M281)</f>
        <v/>
      </c>
    </row>
    <row r="282" customFormat="false" ht="15" hidden="false" customHeight="true" outlineLevel="0" collapsed="false">
      <c r="L282" s="21" t="b">
        <f aca="false">IF(원자재마스터!$A279="",FALSE(),AND(IF($B$3="",TRUE(),ISNUMBER(SEARCH($B$3,원자재마스터!$B279&amp;" "&amp;원자재마스터!$C279&amp;" "&amp;원자재마스터!$G279&amp;" "&amp;원자재마스터!$A279))),IF($E$3="",TRUE(),ISNUMBER(SEARCH($E$3,원자재마스터!$C279)))))</f>
        <v>0</v>
      </c>
      <c r="M282" s="5" t="str">
        <f aca="false">IF($L282=FALSE(),"",COUNTIF($L$6:$L282,TRUE()))</f>
        <v/>
      </c>
      <c r="N282" s="5" t="str">
        <f aca="false">IF($M282="","","R"&amp;$M282)</f>
        <v/>
      </c>
    </row>
    <row r="283" customFormat="false" ht="15" hidden="false" customHeight="true" outlineLevel="0" collapsed="false">
      <c r="L283" s="21" t="b">
        <f aca="false">IF(원자재마스터!$A280="",FALSE(),AND(IF($B$3="",TRUE(),ISNUMBER(SEARCH($B$3,원자재마스터!$B280&amp;" "&amp;원자재마스터!$C280&amp;" "&amp;원자재마스터!$G280&amp;" "&amp;원자재마스터!$A280))),IF($E$3="",TRUE(),ISNUMBER(SEARCH($E$3,원자재마스터!$C280)))))</f>
        <v>0</v>
      </c>
      <c r="M283" s="5" t="str">
        <f aca="false">IF($L283=FALSE(),"",COUNTIF($L$6:$L283,TRUE()))</f>
        <v/>
      </c>
      <c r="N283" s="5" t="str">
        <f aca="false">IF($M283="","","R"&amp;$M283)</f>
        <v/>
      </c>
    </row>
    <row r="284" customFormat="false" ht="15" hidden="false" customHeight="true" outlineLevel="0" collapsed="false">
      <c r="L284" s="21" t="b">
        <f aca="false">IF(원자재마스터!$A281="",FALSE(),AND(IF($B$3="",TRUE(),ISNUMBER(SEARCH($B$3,원자재마스터!$B281&amp;" "&amp;원자재마스터!$C281&amp;" "&amp;원자재마스터!$G281&amp;" "&amp;원자재마스터!$A281))),IF($E$3="",TRUE(),ISNUMBER(SEARCH($E$3,원자재마스터!$C281)))))</f>
        <v>0</v>
      </c>
      <c r="M284" s="5" t="str">
        <f aca="false">IF($L284=FALSE(),"",COUNTIF($L$6:$L284,TRUE()))</f>
        <v/>
      </c>
      <c r="N284" s="5" t="str">
        <f aca="false">IF($M284="","","R"&amp;$M284)</f>
        <v/>
      </c>
    </row>
    <row r="285" customFormat="false" ht="15" hidden="false" customHeight="true" outlineLevel="0" collapsed="false">
      <c r="L285" s="21" t="b">
        <f aca="false">IF(원자재마스터!$A282="",FALSE(),AND(IF($B$3="",TRUE(),ISNUMBER(SEARCH($B$3,원자재마스터!$B282&amp;" "&amp;원자재마스터!$C282&amp;" "&amp;원자재마스터!$G282&amp;" "&amp;원자재마스터!$A282))),IF($E$3="",TRUE(),ISNUMBER(SEARCH($E$3,원자재마스터!$C282)))))</f>
        <v>0</v>
      </c>
      <c r="M285" s="5" t="str">
        <f aca="false">IF($L285=FALSE(),"",COUNTIF($L$6:$L285,TRUE()))</f>
        <v/>
      </c>
      <c r="N285" s="5" t="str">
        <f aca="false">IF($M285="","","R"&amp;$M285)</f>
        <v/>
      </c>
    </row>
    <row r="286" customFormat="false" ht="15" hidden="false" customHeight="true" outlineLevel="0" collapsed="false">
      <c r="L286" s="21" t="b">
        <f aca="false">IF(원자재마스터!$A283="",FALSE(),AND(IF($B$3="",TRUE(),ISNUMBER(SEARCH($B$3,원자재마스터!$B283&amp;" "&amp;원자재마스터!$C283&amp;" "&amp;원자재마스터!$G283&amp;" "&amp;원자재마스터!$A283))),IF($E$3="",TRUE(),ISNUMBER(SEARCH($E$3,원자재마스터!$C283)))))</f>
        <v>0</v>
      </c>
      <c r="M286" s="5" t="str">
        <f aca="false">IF($L286=FALSE(),"",COUNTIF($L$6:$L286,TRUE()))</f>
        <v/>
      </c>
      <c r="N286" s="5" t="str">
        <f aca="false">IF($M286="","","R"&amp;$M286)</f>
        <v/>
      </c>
    </row>
    <row r="287" customFormat="false" ht="15" hidden="false" customHeight="true" outlineLevel="0" collapsed="false">
      <c r="L287" s="21" t="b">
        <f aca="false">IF(원자재마스터!$A284="",FALSE(),AND(IF($B$3="",TRUE(),ISNUMBER(SEARCH($B$3,원자재마스터!$B284&amp;" "&amp;원자재마스터!$C284&amp;" "&amp;원자재마스터!$G284&amp;" "&amp;원자재마스터!$A284))),IF($E$3="",TRUE(),ISNUMBER(SEARCH($E$3,원자재마스터!$C284)))))</f>
        <v>0</v>
      </c>
      <c r="M287" s="5" t="str">
        <f aca="false">IF($L287=FALSE(),"",COUNTIF($L$6:$L287,TRUE()))</f>
        <v/>
      </c>
      <c r="N287" s="5" t="str">
        <f aca="false">IF($M287="","","R"&amp;$M287)</f>
        <v/>
      </c>
    </row>
    <row r="288" customFormat="false" ht="15" hidden="false" customHeight="true" outlineLevel="0" collapsed="false">
      <c r="L288" s="21" t="b">
        <f aca="false">IF(원자재마스터!$A285="",FALSE(),AND(IF($B$3="",TRUE(),ISNUMBER(SEARCH($B$3,원자재마스터!$B285&amp;" "&amp;원자재마스터!$C285&amp;" "&amp;원자재마스터!$G285&amp;" "&amp;원자재마스터!$A285))),IF($E$3="",TRUE(),ISNUMBER(SEARCH($E$3,원자재마스터!$C285)))))</f>
        <v>0</v>
      </c>
      <c r="M288" s="5" t="str">
        <f aca="false">IF($L288=FALSE(),"",COUNTIF($L$6:$L288,TRUE()))</f>
        <v/>
      </c>
      <c r="N288" s="5" t="str">
        <f aca="false">IF($M288="","","R"&amp;$M288)</f>
        <v/>
      </c>
    </row>
    <row r="289" customFormat="false" ht="15" hidden="false" customHeight="true" outlineLevel="0" collapsed="false">
      <c r="L289" s="21" t="b">
        <f aca="false">IF(원자재마스터!$A286="",FALSE(),AND(IF($B$3="",TRUE(),ISNUMBER(SEARCH($B$3,원자재마스터!$B286&amp;" "&amp;원자재마스터!$C286&amp;" "&amp;원자재마스터!$G286&amp;" "&amp;원자재마스터!$A286))),IF($E$3="",TRUE(),ISNUMBER(SEARCH($E$3,원자재마스터!$C286)))))</f>
        <v>0</v>
      </c>
      <c r="M289" s="5" t="str">
        <f aca="false">IF($L289=FALSE(),"",COUNTIF($L$6:$L289,TRUE()))</f>
        <v/>
      </c>
      <c r="N289" s="5" t="str">
        <f aca="false">IF($M289="","","R"&amp;$M289)</f>
        <v/>
      </c>
    </row>
    <row r="290" customFormat="false" ht="15" hidden="false" customHeight="true" outlineLevel="0" collapsed="false">
      <c r="L290" s="21" t="b">
        <f aca="false">IF(원자재마스터!$A287="",FALSE(),AND(IF($B$3="",TRUE(),ISNUMBER(SEARCH($B$3,원자재마스터!$B287&amp;" "&amp;원자재마스터!$C287&amp;" "&amp;원자재마스터!$G287&amp;" "&amp;원자재마스터!$A287))),IF($E$3="",TRUE(),ISNUMBER(SEARCH($E$3,원자재마스터!$C287)))))</f>
        <v>0</v>
      </c>
      <c r="M290" s="5" t="str">
        <f aca="false">IF($L290=FALSE(),"",COUNTIF($L$6:$L290,TRUE()))</f>
        <v/>
      </c>
      <c r="N290" s="5" t="str">
        <f aca="false">IF($M290="","","R"&amp;$M290)</f>
        <v/>
      </c>
    </row>
    <row r="291" customFormat="false" ht="15" hidden="false" customHeight="true" outlineLevel="0" collapsed="false">
      <c r="L291" s="21" t="b">
        <f aca="false">IF(원자재마스터!$A288="",FALSE(),AND(IF($B$3="",TRUE(),ISNUMBER(SEARCH($B$3,원자재마스터!$B288&amp;" "&amp;원자재마스터!$C288&amp;" "&amp;원자재마스터!$G288&amp;" "&amp;원자재마스터!$A288))),IF($E$3="",TRUE(),ISNUMBER(SEARCH($E$3,원자재마스터!$C288)))))</f>
        <v>0</v>
      </c>
      <c r="M291" s="5" t="str">
        <f aca="false">IF($L291=FALSE(),"",COUNTIF($L$6:$L291,TRUE()))</f>
        <v/>
      </c>
      <c r="N291" s="5" t="str">
        <f aca="false">IF($M291="","","R"&amp;$M291)</f>
        <v/>
      </c>
    </row>
    <row r="292" customFormat="false" ht="15" hidden="false" customHeight="true" outlineLevel="0" collapsed="false">
      <c r="L292" s="21" t="b">
        <f aca="false">IF(원자재마스터!$A289="",FALSE(),AND(IF($B$3="",TRUE(),ISNUMBER(SEARCH($B$3,원자재마스터!$B289&amp;" "&amp;원자재마스터!$C289&amp;" "&amp;원자재마스터!$G289&amp;" "&amp;원자재마스터!$A289))),IF($E$3="",TRUE(),ISNUMBER(SEARCH($E$3,원자재마스터!$C289)))))</f>
        <v>0</v>
      </c>
      <c r="M292" s="5" t="str">
        <f aca="false">IF($L292=FALSE(),"",COUNTIF($L$6:$L292,TRUE()))</f>
        <v/>
      </c>
      <c r="N292" s="5" t="str">
        <f aca="false">IF($M292="","","R"&amp;$M292)</f>
        <v/>
      </c>
    </row>
    <row r="293" customFormat="false" ht="15" hidden="false" customHeight="true" outlineLevel="0" collapsed="false">
      <c r="L293" s="21" t="b">
        <f aca="false">IF(원자재마스터!$A290="",FALSE(),AND(IF($B$3="",TRUE(),ISNUMBER(SEARCH($B$3,원자재마스터!$B290&amp;" "&amp;원자재마스터!$C290&amp;" "&amp;원자재마스터!$G290&amp;" "&amp;원자재마스터!$A290))),IF($E$3="",TRUE(),ISNUMBER(SEARCH($E$3,원자재마스터!$C290)))))</f>
        <v>0</v>
      </c>
      <c r="M293" s="5" t="str">
        <f aca="false">IF($L293=FALSE(),"",COUNTIF($L$6:$L293,TRUE()))</f>
        <v/>
      </c>
      <c r="N293" s="5" t="str">
        <f aca="false">IF($M293="","","R"&amp;$M293)</f>
        <v/>
      </c>
    </row>
    <row r="294" customFormat="false" ht="15" hidden="false" customHeight="true" outlineLevel="0" collapsed="false">
      <c r="L294" s="21" t="b">
        <f aca="false">IF(원자재마스터!$A291="",FALSE(),AND(IF($B$3="",TRUE(),ISNUMBER(SEARCH($B$3,원자재마스터!$B291&amp;" "&amp;원자재마스터!$C291&amp;" "&amp;원자재마스터!$G291&amp;" "&amp;원자재마스터!$A291))),IF($E$3="",TRUE(),ISNUMBER(SEARCH($E$3,원자재마스터!$C291)))))</f>
        <v>0</v>
      </c>
      <c r="M294" s="5" t="str">
        <f aca="false">IF($L294=FALSE(),"",COUNTIF($L$6:$L294,TRUE()))</f>
        <v/>
      </c>
      <c r="N294" s="5" t="str">
        <f aca="false">IF($M294="","","R"&amp;$M294)</f>
        <v/>
      </c>
    </row>
    <row r="295" customFormat="false" ht="15" hidden="false" customHeight="true" outlineLevel="0" collapsed="false">
      <c r="L295" s="21" t="b">
        <f aca="false">IF(원자재마스터!$A292="",FALSE(),AND(IF($B$3="",TRUE(),ISNUMBER(SEARCH($B$3,원자재마스터!$B292&amp;" "&amp;원자재마스터!$C292&amp;" "&amp;원자재마스터!$G292&amp;" "&amp;원자재마스터!$A292))),IF($E$3="",TRUE(),ISNUMBER(SEARCH($E$3,원자재마스터!$C292)))))</f>
        <v>0</v>
      </c>
      <c r="M295" s="5" t="str">
        <f aca="false">IF($L295=FALSE(),"",COUNTIF($L$6:$L295,TRUE()))</f>
        <v/>
      </c>
      <c r="N295" s="5" t="str">
        <f aca="false">IF($M295="","","R"&amp;$M295)</f>
        <v/>
      </c>
    </row>
    <row r="296" customFormat="false" ht="15" hidden="false" customHeight="true" outlineLevel="0" collapsed="false">
      <c r="L296" s="21" t="b">
        <f aca="false">IF(원자재마스터!$A293="",FALSE(),AND(IF($B$3="",TRUE(),ISNUMBER(SEARCH($B$3,원자재마스터!$B293&amp;" "&amp;원자재마스터!$C293&amp;" "&amp;원자재마스터!$G293&amp;" "&amp;원자재마스터!$A293))),IF($E$3="",TRUE(),ISNUMBER(SEARCH($E$3,원자재마스터!$C293)))))</f>
        <v>0</v>
      </c>
      <c r="M296" s="5" t="str">
        <f aca="false">IF($L296=FALSE(),"",COUNTIF($L$6:$L296,TRUE()))</f>
        <v/>
      </c>
      <c r="N296" s="5" t="str">
        <f aca="false">IF($M296="","","R"&amp;$M296)</f>
        <v/>
      </c>
    </row>
    <row r="297" customFormat="false" ht="15" hidden="false" customHeight="true" outlineLevel="0" collapsed="false">
      <c r="L297" s="21" t="b">
        <f aca="false">IF(원자재마스터!$A294="",FALSE(),AND(IF($B$3="",TRUE(),ISNUMBER(SEARCH($B$3,원자재마스터!$B294&amp;" "&amp;원자재마스터!$C294&amp;" "&amp;원자재마스터!$G294&amp;" "&amp;원자재마스터!$A294))),IF($E$3="",TRUE(),ISNUMBER(SEARCH($E$3,원자재마스터!$C294)))))</f>
        <v>0</v>
      </c>
      <c r="M297" s="5" t="str">
        <f aca="false">IF($L297=FALSE(),"",COUNTIF($L$6:$L297,TRUE()))</f>
        <v/>
      </c>
      <c r="N297" s="5" t="str">
        <f aca="false">IF($M297="","","R"&amp;$M297)</f>
        <v/>
      </c>
    </row>
    <row r="298" customFormat="false" ht="15" hidden="false" customHeight="true" outlineLevel="0" collapsed="false">
      <c r="L298" s="21" t="b">
        <f aca="false">IF(원자재마스터!$A295="",FALSE(),AND(IF($B$3="",TRUE(),ISNUMBER(SEARCH($B$3,원자재마스터!$B295&amp;" "&amp;원자재마스터!$C295&amp;" "&amp;원자재마스터!$G295&amp;" "&amp;원자재마스터!$A295))),IF($E$3="",TRUE(),ISNUMBER(SEARCH($E$3,원자재마스터!$C295)))))</f>
        <v>0</v>
      </c>
      <c r="M298" s="5" t="str">
        <f aca="false">IF($L298=FALSE(),"",COUNTIF($L$6:$L298,TRUE()))</f>
        <v/>
      </c>
      <c r="N298" s="5" t="str">
        <f aca="false">IF($M298="","","R"&amp;$M298)</f>
        <v/>
      </c>
    </row>
    <row r="299" customFormat="false" ht="15" hidden="false" customHeight="true" outlineLevel="0" collapsed="false">
      <c r="L299" s="21" t="b">
        <f aca="false">IF(원자재마스터!$A296="",FALSE(),AND(IF($B$3="",TRUE(),ISNUMBER(SEARCH($B$3,원자재마스터!$B296&amp;" "&amp;원자재마스터!$C296&amp;" "&amp;원자재마스터!$G296&amp;" "&amp;원자재마스터!$A296))),IF($E$3="",TRUE(),ISNUMBER(SEARCH($E$3,원자재마스터!$C296)))))</f>
        <v>0</v>
      </c>
      <c r="M299" s="5" t="str">
        <f aca="false">IF($L299=FALSE(),"",COUNTIF($L$6:$L299,TRUE()))</f>
        <v/>
      </c>
      <c r="N299" s="5" t="str">
        <f aca="false">IF($M299="","","R"&amp;$M299)</f>
        <v/>
      </c>
    </row>
    <row r="300" customFormat="false" ht="15" hidden="false" customHeight="true" outlineLevel="0" collapsed="false">
      <c r="L300" s="21" t="b">
        <f aca="false">IF(원자재마스터!$A297="",FALSE(),AND(IF($B$3="",TRUE(),ISNUMBER(SEARCH($B$3,원자재마스터!$B297&amp;" "&amp;원자재마스터!$C297&amp;" "&amp;원자재마스터!$G297&amp;" "&amp;원자재마스터!$A297))),IF($E$3="",TRUE(),ISNUMBER(SEARCH($E$3,원자재마스터!$C297)))))</f>
        <v>0</v>
      </c>
      <c r="M300" s="5" t="str">
        <f aca="false">IF($L300=FALSE(),"",COUNTIF($L$6:$L300,TRUE()))</f>
        <v/>
      </c>
      <c r="N300" s="5" t="str">
        <f aca="false">IF($M300="","","R"&amp;$M300)</f>
        <v/>
      </c>
    </row>
    <row r="301" customFormat="false" ht="15" hidden="false" customHeight="true" outlineLevel="0" collapsed="false">
      <c r="L301" s="21" t="b">
        <f aca="false">IF(원자재마스터!$A298="",FALSE(),AND(IF($B$3="",TRUE(),ISNUMBER(SEARCH($B$3,원자재마스터!$B298&amp;" "&amp;원자재마스터!$C298&amp;" "&amp;원자재마스터!$G298&amp;" "&amp;원자재마스터!$A298))),IF($E$3="",TRUE(),ISNUMBER(SEARCH($E$3,원자재마스터!$C298)))))</f>
        <v>0</v>
      </c>
      <c r="M301" s="5" t="str">
        <f aca="false">IF($L301=FALSE(),"",COUNTIF($L$6:$L301,TRUE()))</f>
        <v/>
      </c>
      <c r="N301" s="5" t="str">
        <f aca="false">IF($M301="","","R"&amp;$M301)</f>
        <v/>
      </c>
    </row>
    <row r="302" customFormat="false" ht="15" hidden="false" customHeight="true" outlineLevel="0" collapsed="false">
      <c r="L302" s="21" t="b">
        <f aca="false">IF(원자재마스터!$A299="",FALSE(),AND(IF($B$3="",TRUE(),ISNUMBER(SEARCH($B$3,원자재마스터!$B299&amp;" "&amp;원자재마스터!$C299&amp;" "&amp;원자재마스터!$G299&amp;" "&amp;원자재마스터!$A299))),IF($E$3="",TRUE(),ISNUMBER(SEARCH($E$3,원자재마스터!$C299)))))</f>
        <v>0</v>
      </c>
      <c r="M302" s="5" t="str">
        <f aca="false">IF($L302=FALSE(),"",COUNTIF($L$6:$L302,TRUE()))</f>
        <v/>
      </c>
      <c r="N302" s="5" t="str">
        <f aca="false">IF($M302="","","R"&amp;$M302)</f>
        <v/>
      </c>
    </row>
    <row r="303" customFormat="false" ht="15" hidden="false" customHeight="true" outlineLevel="0" collapsed="false">
      <c r="L303" s="21" t="b">
        <f aca="false">IF(원자재마스터!$A300="",FALSE(),AND(IF($B$3="",TRUE(),ISNUMBER(SEARCH($B$3,원자재마스터!$B300&amp;" "&amp;원자재마스터!$C300&amp;" "&amp;원자재마스터!$G300&amp;" "&amp;원자재마스터!$A300))),IF($E$3="",TRUE(),ISNUMBER(SEARCH($E$3,원자재마스터!$C300)))))</f>
        <v>0</v>
      </c>
      <c r="M303" s="5" t="str">
        <f aca="false">IF($L303=FALSE(),"",COUNTIF($L$6:$L303,TRUE()))</f>
        <v/>
      </c>
      <c r="N303" s="5" t="str">
        <f aca="false">IF($M303="","","R"&amp;$M303)</f>
        <v/>
      </c>
    </row>
    <row r="304" customFormat="false" ht="15" hidden="false" customHeight="true" outlineLevel="0" collapsed="false">
      <c r="L304" s="21" t="b">
        <f aca="false">IF(원자재마스터!$A301="",FALSE(),AND(IF($B$3="",TRUE(),ISNUMBER(SEARCH($B$3,원자재마스터!$B301&amp;" "&amp;원자재마스터!$C301&amp;" "&amp;원자재마스터!$G301&amp;" "&amp;원자재마스터!$A301))),IF($E$3="",TRUE(),ISNUMBER(SEARCH($E$3,원자재마스터!$C301)))))</f>
        <v>0</v>
      </c>
      <c r="M304" s="5" t="str">
        <f aca="false">IF($L304=FALSE(),"",COUNTIF($L$6:$L304,TRUE()))</f>
        <v/>
      </c>
      <c r="N304" s="5" t="str">
        <f aca="false">IF($M304="","","R"&amp;$M304)</f>
        <v/>
      </c>
    </row>
    <row r="305" customFormat="false" ht="15" hidden="false" customHeight="true" outlineLevel="0" collapsed="false">
      <c r="L305" s="21" t="b">
        <f aca="false">IF(원자재마스터!$A302="",FALSE(),AND(IF($B$3="",TRUE(),ISNUMBER(SEARCH($B$3,원자재마스터!$B302&amp;" "&amp;원자재마스터!$C302&amp;" "&amp;원자재마스터!$G302&amp;" "&amp;원자재마스터!$A302))),IF($E$3="",TRUE(),ISNUMBER(SEARCH($E$3,원자재마스터!$C302)))))</f>
        <v>0</v>
      </c>
      <c r="M305" s="5" t="str">
        <f aca="false">IF($L305=FALSE(),"",COUNTIF($L$6:$L305,TRUE()))</f>
        <v/>
      </c>
      <c r="N305" s="5" t="str">
        <f aca="false">IF($M305="","","R"&amp;$M305)</f>
        <v/>
      </c>
    </row>
    <row r="306" customFormat="false" ht="15" hidden="false" customHeight="true" outlineLevel="0" collapsed="false">
      <c r="L306" s="21" t="b">
        <f aca="false">IF(원자재마스터!$A303="",FALSE(),AND(IF($B$3="",TRUE(),ISNUMBER(SEARCH($B$3,원자재마스터!$B303&amp;" "&amp;원자재마스터!$C303&amp;" "&amp;원자재마스터!$G303&amp;" "&amp;원자재마스터!$A303))),IF($E$3="",TRUE(),ISNUMBER(SEARCH($E$3,원자재마스터!$C303)))))</f>
        <v>0</v>
      </c>
      <c r="M306" s="5" t="str">
        <f aca="false">IF($L306=FALSE(),"",COUNTIF($L$6:$L306,TRUE()))</f>
        <v/>
      </c>
      <c r="N306" s="5" t="str">
        <f aca="false">IF($M306="","","R"&amp;$M306)</f>
        <v/>
      </c>
    </row>
    <row r="307" customFormat="false" ht="15" hidden="false" customHeight="true" outlineLevel="0" collapsed="false">
      <c r="L307" s="21" t="b">
        <f aca="false">IF(원자재마스터!$A304="",FALSE(),AND(IF($B$3="",TRUE(),ISNUMBER(SEARCH($B$3,원자재마스터!$B304&amp;" "&amp;원자재마스터!$C304&amp;" "&amp;원자재마스터!$G304&amp;" "&amp;원자재마스터!$A304))),IF($E$3="",TRUE(),ISNUMBER(SEARCH($E$3,원자재마스터!$C304)))))</f>
        <v>0</v>
      </c>
      <c r="M307" s="5" t="str">
        <f aca="false">IF($L307=FALSE(),"",COUNTIF($L$6:$L307,TRUE()))</f>
        <v/>
      </c>
      <c r="N307" s="5" t="str">
        <f aca="false">IF($M307="","","R"&amp;$M307)</f>
        <v/>
      </c>
    </row>
    <row r="308" customFormat="false" ht="15" hidden="false" customHeight="true" outlineLevel="0" collapsed="false">
      <c r="L308" s="21" t="b">
        <f aca="false">IF(원자재마스터!$A305="",FALSE(),AND(IF($B$3="",TRUE(),ISNUMBER(SEARCH($B$3,원자재마스터!$B305&amp;" "&amp;원자재마스터!$C305&amp;" "&amp;원자재마스터!$G305&amp;" "&amp;원자재마스터!$A305))),IF($E$3="",TRUE(),ISNUMBER(SEARCH($E$3,원자재마스터!$C305)))))</f>
        <v>0</v>
      </c>
      <c r="M308" s="5" t="str">
        <f aca="false">IF($L308=FALSE(),"",COUNTIF($L$6:$L308,TRUE()))</f>
        <v/>
      </c>
      <c r="N308" s="5" t="str">
        <f aca="false">IF($M308="","","R"&amp;$M308)</f>
        <v/>
      </c>
    </row>
    <row r="309" customFormat="false" ht="15" hidden="false" customHeight="true" outlineLevel="0" collapsed="false">
      <c r="L309" s="21" t="b">
        <f aca="false">IF(원자재마스터!$A306="",FALSE(),AND(IF($B$3="",TRUE(),ISNUMBER(SEARCH($B$3,원자재마스터!$B306&amp;" "&amp;원자재마스터!$C306&amp;" "&amp;원자재마스터!$G306&amp;" "&amp;원자재마스터!$A306))),IF($E$3="",TRUE(),ISNUMBER(SEARCH($E$3,원자재마스터!$C306)))))</f>
        <v>0</v>
      </c>
      <c r="M309" s="5" t="str">
        <f aca="false">IF($L309=FALSE(),"",COUNTIF($L$6:$L309,TRUE()))</f>
        <v/>
      </c>
      <c r="N309" s="5" t="str">
        <f aca="false">IF($M309="","","R"&amp;$M309)</f>
        <v/>
      </c>
    </row>
    <row r="310" customFormat="false" ht="15" hidden="false" customHeight="true" outlineLevel="0" collapsed="false">
      <c r="L310" s="21" t="b">
        <f aca="false">IF(원자재마스터!$A307="",FALSE(),AND(IF($B$3="",TRUE(),ISNUMBER(SEARCH($B$3,원자재마스터!$B307&amp;" "&amp;원자재마스터!$C307&amp;" "&amp;원자재마스터!$G307&amp;" "&amp;원자재마스터!$A307))),IF($E$3="",TRUE(),ISNUMBER(SEARCH($E$3,원자재마스터!$C307)))))</f>
        <v>0</v>
      </c>
      <c r="M310" s="5" t="str">
        <f aca="false">IF($L310=FALSE(),"",COUNTIF($L$6:$L310,TRUE()))</f>
        <v/>
      </c>
      <c r="N310" s="5" t="str">
        <f aca="false">IF($M310="","","R"&amp;$M310)</f>
        <v/>
      </c>
    </row>
    <row r="311" customFormat="false" ht="15" hidden="false" customHeight="true" outlineLevel="0" collapsed="false">
      <c r="L311" s="21" t="b">
        <f aca="false">IF(원자재마스터!$A308="",FALSE(),AND(IF($B$3="",TRUE(),ISNUMBER(SEARCH($B$3,원자재마스터!$B308&amp;" "&amp;원자재마스터!$C308&amp;" "&amp;원자재마스터!$G308&amp;" "&amp;원자재마스터!$A308))),IF($E$3="",TRUE(),ISNUMBER(SEARCH($E$3,원자재마스터!$C308)))))</f>
        <v>0</v>
      </c>
      <c r="M311" s="5" t="str">
        <f aca="false">IF($L311=FALSE(),"",COUNTIF($L$6:$L311,TRUE()))</f>
        <v/>
      </c>
      <c r="N311" s="5" t="str">
        <f aca="false">IF($M311="","","R"&amp;$M311)</f>
        <v/>
      </c>
    </row>
    <row r="312" customFormat="false" ht="15" hidden="false" customHeight="true" outlineLevel="0" collapsed="false">
      <c r="L312" s="21" t="b">
        <f aca="false">IF(원자재마스터!$A309="",FALSE(),AND(IF($B$3="",TRUE(),ISNUMBER(SEARCH($B$3,원자재마스터!$B309&amp;" "&amp;원자재마스터!$C309&amp;" "&amp;원자재마스터!$G309&amp;" "&amp;원자재마스터!$A309))),IF($E$3="",TRUE(),ISNUMBER(SEARCH($E$3,원자재마스터!$C309)))))</f>
        <v>0</v>
      </c>
      <c r="M312" s="5" t="str">
        <f aca="false">IF($L312=FALSE(),"",COUNTIF($L$6:$L312,TRUE()))</f>
        <v/>
      </c>
      <c r="N312" s="5" t="str">
        <f aca="false">IF($M312="","","R"&amp;$M312)</f>
        <v/>
      </c>
    </row>
    <row r="313" customFormat="false" ht="15" hidden="false" customHeight="true" outlineLevel="0" collapsed="false">
      <c r="L313" s="21" t="b">
        <f aca="false">IF(원자재마스터!$A310="",FALSE(),AND(IF($B$3="",TRUE(),ISNUMBER(SEARCH($B$3,원자재마스터!$B310&amp;" "&amp;원자재마스터!$C310&amp;" "&amp;원자재마스터!$G310&amp;" "&amp;원자재마스터!$A310))),IF($E$3="",TRUE(),ISNUMBER(SEARCH($E$3,원자재마스터!$C310)))))</f>
        <v>0</v>
      </c>
      <c r="M313" s="5" t="str">
        <f aca="false">IF($L313=FALSE(),"",COUNTIF($L$6:$L313,TRUE()))</f>
        <v/>
      </c>
      <c r="N313" s="5" t="str">
        <f aca="false">IF($M313="","","R"&amp;$M313)</f>
        <v/>
      </c>
    </row>
    <row r="314" customFormat="false" ht="15" hidden="false" customHeight="true" outlineLevel="0" collapsed="false">
      <c r="L314" s="21" t="b">
        <f aca="false">IF(원자재마스터!$A311="",FALSE(),AND(IF($B$3="",TRUE(),ISNUMBER(SEARCH($B$3,원자재마스터!$B311&amp;" "&amp;원자재마스터!$C311&amp;" "&amp;원자재마스터!$G311&amp;" "&amp;원자재마스터!$A311))),IF($E$3="",TRUE(),ISNUMBER(SEARCH($E$3,원자재마스터!$C311)))))</f>
        <v>0</v>
      </c>
      <c r="M314" s="5" t="str">
        <f aca="false">IF($L314=FALSE(),"",COUNTIF($L$6:$L314,TRUE()))</f>
        <v/>
      </c>
      <c r="N314" s="5" t="str">
        <f aca="false">IF($M314="","","R"&amp;$M314)</f>
        <v/>
      </c>
    </row>
    <row r="315" customFormat="false" ht="15" hidden="false" customHeight="true" outlineLevel="0" collapsed="false">
      <c r="L315" s="21" t="b">
        <f aca="false">IF(원자재마스터!$A312="",FALSE(),AND(IF($B$3="",TRUE(),ISNUMBER(SEARCH($B$3,원자재마스터!$B312&amp;" "&amp;원자재마스터!$C312&amp;" "&amp;원자재마스터!$G312&amp;" "&amp;원자재마스터!$A312))),IF($E$3="",TRUE(),ISNUMBER(SEARCH($E$3,원자재마스터!$C312)))))</f>
        <v>0</v>
      </c>
      <c r="M315" s="5" t="str">
        <f aca="false">IF($L315=FALSE(),"",COUNTIF($L$6:$L315,TRUE()))</f>
        <v/>
      </c>
      <c r="N315" s="5" t="str">
        <f aca="false">IF($M315="","","R"&amp;$M315)</f>
        <v/>
      </c>
    </row>
    <row r="316" customFormat="false" ht="15" hidden="false" customHeight="true" outlineLevel="0" collapsed="false">
      <c r="L316" s="21" t="b">
        <f aca="false">IF(원자재마스터!$A313="",FALSE(),AND(IF($B$3="",TRUE(),ISNUMBER(SEARCH($B$3,원자재마스터!$B313&amp;" "&amp;원자재마스터!$C313&amp;" "&amp;원자재마스터!$G313&amp;" "&amp;원자재마스터!$A313))),IF($E$3="",TRUE(),ISNUMBER(SEARCH($E$3,원자재마스터!$C313)))))</f>
        <v>0</v>
      </c>
      <c r="M316" s="5" t="str">
        <f aca="false">IF($L316=FALSE(),"",COUNTIF($L$6:$L316,TRUE()))</f>
        <v/>
      </c>
      <c r="N316" s="5" t="str">
        <f aca="false">IF($M316="","","R"&amp;$M316)</f>
        <v/>
      </c>
    </row>
    <row r="317" customFormat="false" ht="15" hidden="false" customHeight="true" outlineLevel="0" collapsed="false">
      <c r="L317" s="21" t="b">
        <f aca="false">IF(원자재마스터!$A314="",FALSE(),AND(IF($B$3="",TRUE(),ISNUMBER(SEARCH($B$3,원자재마스터!$B314&amp;" "&amp;원자재마스터!$C314&amp;" "&amp;원자재마스터!$G314&amp;" "&amp;원자재마스터!$A314))),IF($E$3="",TRUE(),ISNUMBER(SEARCH($E$3,원자재마스터!$C314)))))</f>
        <v>0</v>
      </c>
      <c r="M317" s="5" t="str">
        <f aca="false">IF($L317=FALSE(),"",COUNTIF($L$6:$L317,TRUE()))</f>
        <v/>
      </c>
      <c r="N317" s="5" t="str">
        <f aca="false">IF($M317="","","R"&amp;$M317)</f>
        <v/>
      </c>
    </row>
    <row r="318" customFormat="false" ht="15" hidden="false" customHeight="true" outlineLevel="0" collapsed="false">
      <c r="L318" s="21" t="b">
        <f aca="false">IF(원자재마스터!$A315="",FALSE(),AND(IF($B$3="",TRUE(),ISNUMBER(SEARCH($B$3,원자재마스터!$B315&amp;" "&amp;원자재마스터!$C315&amp;" "&amp;원자재마스터!$G315&amp;" "&amp;원자재마스터!$A315))),IF($E$3="",TRUE(),ISNUMBER(SEARCH($E$3,원자재마스터!$C315)))))</f>
        <v>0</v>
      </c>
      <c r="M318" s="5" t="str">
        <f aca="false">IF($L318=FALSE(),"",COUNTIF($L$6:$L318,TRUE()))</f>
        <v/>
      </c>
      <c r="N318" s="5" t="str">
        <f aca="false">IF($M318="","","R"&amp;$M318)</f>
        <v/>
      </c>
    </row>
    <row r="319" customFormat="false" ht="15" hidden="false" customHeight="true" outlineLevel="0" collapsed="false">
      <c r="L319" s="21" t="b">
        <f aca="false">IF(원자재마스터!$A316="",FALSE(),AND(IF($B$3="",TRUE(),ISNUMBER(SEARCH($B$3,원자재마스터!$B316&amp;" "&amp;원자재마스터!$C316&amp;" "&amp;원자재마스터!$G316&amp;" "&amp;원자재마스터!$A316))),IF($E$3="",TRUE(),ISNUMBER(SEARCH($E$3,원자재마스터!$C316)))))</f>
        <v>0</v>
      </c>
      <c r="M319" s="5" t="str">
        <f aca="false">IF($L319=FALSE(),"",COUNTIF($L$6:$L319,TRUE()))</f>
        <v/>
      </c>
      <c r="N319" s="5" t="str">
        <f aca="false">IF($M319="","","R"&amp;$M319)</f>
        <v/>
      </c>
    </row>
    <row r="320" customFormat="false" ht="15" hidden="false" customHeight="true" outlineLevel="0" collapsed="false">
      <c r="L320" s="21" t="b">
        <f aca="false">IF(원자재마스터!$A317="",FALSE(),AND(IF($B$3="",TRUE(),ISNUMBER(SEARCH($B$3,원자재마스터!$B317&amp;" "&amp;원자재마스터!$C317&amp;" "&amp;원자재마스터!$G317&amp;" "&amp;원자재마스터!$A317))),IF($E$3="",TRUE(),ISNUMBER(SEARCH($E$3,원자재마스터!$C317)))))</f>
        <v>0</v>
      </c>
      <c r="M320" s="5" t="str">
        <f aca="false">IF($L320=FALSE(),"",COUNTIF($L$6:$L320,TRUE()))</f>
        <v/>
      </c>
      <c r="N320" s="5" t="str">
        <f aca="false">IF($M320="","","R"&amp;$M320)</f>
        <v/>
      </c>
    </row>
    <row r="321" customFormat="false" ht="15" hidden="false" customHeight="true" outlineLevel="0" collapsed="false">
      <c r="L321" s="21" t="b">
        <f aca="false">IF(원자재마스터!$A318="",FALSE(),AND(IF($B$3="",TRUE(),ISNUMBER(SEARCH($B$3,원자재마스터!$B318&amp;" "&amp;원자재마스터!$C318&amp;" "&amp;원자재마스터!$G318&amp;" "&amp;원자재마스터!$A318))),IF($E$3="",TRUE(),ISNUMBER(SEARCH($E$3,원자재마스터!$C318)))))</f>
        <v>0</v>
      </c>
      <c r="M321" s="5" t="str">
        <f aca="false">IF($L321=FALSE(),"",COUNTIF($L$6:$L321,TRUE()))</f>
        <v/>
      </c>
      <c r="N321" s="5" t="str">
        <f aca="false">IF($M321="","","R"&amp;$M321)</f>
        <v/>
      </c>
    </row>
    <row r="322" customFormat="false" ht="15" hidden="false" customHeight="true" outlineLevel="0" collapsed="false">
      <c r="L322" s="21" t="b">
        <f aca="false">IF(원자재마스터!$A319="",FALSE(),AND(IF($B$3="",TRUE(),ISNUMBER(SEARCH($B$3,원자재마스터!$B319&amp;" "&amp;원자재마스터!$C319&amp;" "&amp;원자재마스터!$G319&amp;" "&amp;원자재마스터!$A319))),IF($E$3="",TRUE(),ISNUMBER(SEARCH($E$3,원자재마스터!$C319)))))</f>
        <v>0</v>
      </c>
      <c r="M322" s="5" t="str">
        <f aca="false">IF($L322=FALSE(),"",COUNTIF($L$6:$L322,TRUE()))</f>
        <v/>
      </c>
      <c r="N322" s="5" t="str">
        <f aca="false">IF($M322="","","R"&amp;$M322)</f>
        <v/>
      </c>
    </row>
    <row r="323" customFormat="false" ht="15" hidden="false" customHeight="true" outlineLevel="0" collapsed="false">
      <c r="L323" s="21" t="b">
        <f aca="false">IF(원자재마스터!$A320="",FALSE(),AND(IF($B$3="",TRUE(),ISNUMBER(SEARCH($B$3,원자재마스터!$B320&amp;" "&amp;원자재마스터!$C320&amp;" "&amp;원자재마스터!$G320&amp;" "&amp;원자재마스터!$A320))),IF($E$3="",TRUE(),ISNUMBER(SEARCH($E$3,원자재마스터!$C320)))))</f>
        <v>0</v>
      </c>
      <c r="M323" s="5" t="str">
        <f aca="false">IF($L323=FALSE(),"",COUNTIF($L$6:$L323,TRUE()))</f>
        <v/>
      </c>
      <c r="N323" s="5" t="str">
        <f aca="false">IF($M323="","","R"&amp;$M323)</f>
        <v/>
      </c>
    </row>
    <row r="324" customFormat="false" ht="15" hidden="false" customHeight="true" outlineLevel="0" collapsed="false">
      <c r="L324" s="21" t="b">
        <f aca="false">IF(원자재마스터!$A321="",FALSE(),AND(IF($B$3="",TRUE(),ISNUMBER(SEARCH($B$3,원자재마스터!$B321&amp;" "&amp;원자재마스터!$C321&amp;" "&amp;원자재마스터!$G321&amp;" "&amp;원자재마스터!$A321))),IF($E$3="",TRUE(),ISNUMBER(SEARCH($E$3,원자재마스터!$C321)))))</f>
        <v>0</v>
      </c>
      <c r="M324" s="5" t="str">
        <f aca="false">IF($L324=FALSE(),"",COUNTIF($L$6:$L324,TRUE()))</f>
        <v/>
      </c>
      <c r="N324" s="5" t="str">
        <f aca="false">IF($M324="","","R"&amp;$M324)</f>
        <v/>
      </c>
    </row>
    <row r="325" customFormat="false" ht="15" hidden="false" customHeight="true" outlineLevel="0" collapsed="false">
      <c r="L325" s="21" t="b">
        <f aca="false">IF(원자재마스터!$A322="",FALSE(),AND(IF($B$3="",TRUE(),ISNUMBER(SEARCH($B$3,원자재마스터!$B322&amp;" "&amp;원자재마스터!$C322&amp;" "&amp;원자재마스터!$G322&amp;" "&amp;원자재마스터!$A322))),IF($E$3="",TRUE(),ISNUMBER(SEARCH($E$3,원자재마스터!$C322)))))</f>
        <v>0</v>
      </c>
      <c r="M325" s="5" t="str">
        <f aca="false">IF($L325=FALSE(),"",COUNTIF($L$6:$L325,TRUE()))</f>
        <v/>
      </c>
      <c r="N325" s="5" t="str">
        <f aca="false">IF($M325="","","R"&amp;$M325)</f>
        <v/>
      </c>
    </row>
    <row r="326" customFormat="false" ht="15" hidden="false" customHeight="true" outlineLevel="0" collapsed="false">
      <c r="L326" s="21" t="b">
        <f aca="false">IF(원자재마스터!$A323="",FALSE(),AND(IF($B$3="",TRUE(),ISNUMBER(SEARCH($B$3,원자재마스터!$B323&amp;" "&amp;원자재마스터!$C323&amp;" "&amp;원자재마스터!$G323&amp;" "&amp;원자재마스터!$A323))),IF($E$3="",TRUE(),ISNUMBER(SEARCH($E$3,원자재마스터!$C323)))))</f>
        <v>0</v>
      </c>
      <c r="M326" s="5" t="str">
        <f aca="false">IF($L326=FALSE(),"",COUNTIF($L$6:$L326,TRUE()))</f>
        <v/>
      </c>
      <c r="N326" s="5" t="str">
        <f aca="false">IF($M326="","","R"&amp;$M326)</f>
        <v/>
      </c>
    </row>
    <row r="327" customFormat="false" ht="15" hidden="false" customHeight="true" outlineLevel="0" collapsed="false">
      <c r="L327" s="21" t="b">
        <f aca="false">IF(원자재마스터!$A324="",FALSE(),AND(IF($B$3="",TRUE(),ISNUMBER(SEARCH($B$3,원자재마스터!$B324&amp;" "&amp;원자재마스터!$C324&amp;" "&amp;원자재마스터!$G324&amp;" "&amp;원자재마스터!$A324))),IF($E$3="",TRUE(),ISNUMBER(SEARCH($E$3,원자재마스터!$C324)))))</f>
        <v>0</v>
      </c>
      <c r="M327" s="5" t="str">
        <f aca="false">IF($L327=FALSE(),"",COUNTIF($L$6:$L327,TRUE()))</f>
        <v/>
      </c>
      <c r="N327" s="5" t="str">
        <f aca="false">IF($M327="","","R"&amp;$M327)</f>
        <v/>
      </c>
    </row>
    <row r="328" customFormat="false" ht="15" hidden="false" customHeight="true" outlineLevel="0" collapsed="false">
      <c r="L328" s="21" t="b">
        <f aca="false">IF(원자재마스터!$A325="",FALSE(),AND(IF($B$3="",TRUE(),ISNUMBER(SEARCH($B$3,원자재마스터!$B325&amp;" "&amp;원자재마스터!$C325&amp;" "&amp;원자재마스터!$G325&amp;" "&amp;원자재마스터!$A325))),IF($E$3="",TRUE(),ISNUMBER(SEARCH($E$3,원자재마스터!$C325)))))</f>
        <v>0</v>
      </c>
      <c r="M328" s="5" t="str">
        <f aca="false">IF($L328=FALSE(),"",COUNTIF($L$6:$L328,TRUE()))</f>
        <v/>
      </c>
      <c r="N328" s="5" t="str">
        <f aca="false">IF($M328="","","R"&amp;$M328)</f>
        <v/>
      </c>
    </row>
    <row r="329" customFormat="false" ht="15" hidden="false" customHeight="true" outlineLevel="0" collapsed="false">
      <c r="L329" s="21" t="b">
        <f aca="false">IF(원자재마스터!$A326="",FALSE(),AND(IF($B$3="",TRUE(),ISNUMBER(SEARCH($B$3,원자재마스터!$B326&amp;" "&amp;원자재마스터!$C326&amp;" "&amp;원자재마스터!$G326&amp;" "&amp;원자재마스터!$A326))),IF($E$3="",TRUE(),ISNUMBER(SEARCH($E$3,원자재마스터!$C326)))))</f>
        <v>0</v>
      </c>
      <c r="M329" s="5" t="str">
        <f aca="false">IF($L329=FALSE(),"",COUNTIF($L$6:$L329,TRUE()))</f>
        <v/>
      </c>
      <c r="N329" s="5" t="str">
        <f aca="false">IF($M329="","","R"&amp;$M329)</f>
        <v/>
      </c>
    </row>
    <row r="330" customFormat="false" ht="15" hidden="false" customHeight="true" outlineLevel="0" collapsed="false">
      <c r="L330" s="21" t="b">
        <f aca="false">IF(원자재마스터!$A327="",FALSE(),AND(IF($B$3="",TRUE(),ISNUMBER(SEARCH($B$3,원자재마스터!$B327&amp;" "&amp;원자재마스터!$C327&amp;" "&amp;원자재마스터!$G327&amp;" "&amp;원자재마스터!$A327))),IF($E$3="",TRUE(),ISNUMBER(SEARCH($E$3,원자재마스터!$C327)))))</f>
        <v>0</v>
      </c>
      <c r="M330" s="5" t="str">
        <f aca="false">IF($L330=FALSE(),"",COUNTIF($L$6:$L330,TRUE()))</f>
        <v/>
      </c>
      <c r="N330" s="5" t="str">
        <f aca="false">IF($M330="","","R"&amp;$M330)</f>
        <v/>
      </c>
    </row>
    <row r="331" customFormat="false" ht="15" hidden="false" customHeight="true" outlineLevel="0" collapsed="false">
      <c r="L331" s="21" t="b">
        <f aca="false">IF(원자재마스터!$A328="",FALSE(),AND(IF($B$3="",TRUE(),ISNUMBER(SEARCH($B$3,원자재마스터!$B328&amp;" "&amp;원자재마스터!$C328&amp;" "&amp;원자재마스터!$G328&amp;" "&amp;원자재마스터!$A328))),IF($E$3="",TRUE(),ISNUMBER(SEARCH($E$3,원자재마스터!$C328)))))</f>
        <v>0</v>
      </c>
      <c r="M331" s="5" t="str">
        <f aca="false">IF($L331=FALSE(),"",COUNTIF($L$6:$L331,TRUE()))</f>
        <v/>
      </c>
      <c r="N331" s="5" t="str">
        <f aca="false">IF($M331="","","R"&amp;$M331)</f>
        <v/>
      </c>
    </row>
    <row r="332" customFormat="false" ht="15" hidden="false" customHeight="true" outlineLevel="0" collapsed="false">
      <c r="L332" s="21" t="b">
        <f aca="false">IF(원자재마스터!$A329="",FALSE(),AND(IF($B$3="",TRUE(),ISNUMBER(SEARCH($B$3,원자재마스터!$B329&amp;" "&amp;원자재마스터!$C329&amp;" "&amp;원자재마스터!$G329&amp;" "&amp;원자재마스터!$A329))),IF($E$3="",TRUE(),ISNUMBER(SEARCH($E$3,원자재마스터!$C329)))))</f>
        <v>0</v>
      </c>
      <c r="M332" s="5" t="str">
        <f aca="false">IF($L332=FALSE(),"",COUNTIF($L$6:$L332,TRUE()))</f>
        <v/>
      </c>
      <c r="N332" s="5" t="str">
        <f aca="false">IF($M332="","","R"&amp;$M332)</f>
        <v/>
      </c>
    </row>
    <row r="333" customFormat="false" ht="15" hidden="false" customHeight="true" outlineLevel="0" collapsed="false">
      <c r="L333" s="21" t="b">
        <f aca="false">IF(원자재마스터!$A330="",FALSE(),AND(IF($B$3="",TRUE(),ISNUMBER(SEARCH($B$3,원자재마스터!$B330&amp;" "&amp;원자재마스터!$C330&amp;" "&amp;원자재마스터!$G330&amp;" "&amp;원자재마스터!$A330))),IF($E$3="",TRUE(),ISNUMBER(SEARCH($E$3,원자재마스터!$C330)))))</f>
        <v>0</v>
      </c>
      <c r="M333" s="5" t="str">
        <f aca="false">IF($L333=FALSE(),"",COUNTIF($L$6:$L333,TRUE()))</f>
        <v/>
      </c>
      <c r="N333" s="5" t="str">
        <f aca="false">IF($M333="","","R"&amp;$M333)</f>
        <v/>
      </c>
    </row>
    <row r="334" customFormat="false" ht="15" hidden="false" customHeight="true" outlineLevel="0" collapsed="false">
      <c r="L334" s="21" t="b">
        <f aca="false">IF(원자재마스터!$A331="",FALSE(),AND(IF($B$3="",TRUE(),ISNUMBER(SEARCH($B$3,원자재마스터!$B331&amp;" "&amp;원자재마스터!$C331&amp;" "&amp;원자재마스터!$G331&amp;" "&amp;원자재마스터!$A331))),IF($E$3="",TRUE(),ISNUMBER(SEARCH($E$3,원자재마스터!$C331)))))</f>
        <v>0</v>
      </c>
      <c r="M334" s="5" t="str">
        <f aca="false">IF($L334=FALSE(),"",COUNTIF($L$6:$L334,TRUE()))</f>
        <v/>
      </c>
      <c r="N334" s="5" t="str">
        <f aca="false">IF($M334="","","R"&amp;$M334)</f>
        <v/>
      </c>
    </row>
    <row r="335" customFormat="false" ht="15" hidden="false" customHeight="true" outlineLevel="0" collapsed="false">
      <c r="L335" s="21" t="b">
        <f aca="false">IF(원자재마스터!$A332="",FALSE(),AND(IF($B$3="",TRUE(),ISNUMBER(SEARCH($B$3,원자재마스터!$B332&amp;" "&amp;원자재마스터!$C332&amp;" "&amp;원자재마스터!$G332&amp;" "&amp;원자재마스터!$A332))),IF($E$3="",TRUE(),ISNUMBER(SEARCH($E$3,원자재마스터!$C332)))))</f>
        <v>0</v>
      </c>
      <c r="M335" s="5" t="str">
        <f aca="false">IF($L335=FALSE(),"",COUNTIF($L$6:$L335,TRUE()))</f>
        <v/>
      </c>
      <c r="N335" s="5" t="str">
        <f aca="false">IF($M335="","","R"&amp;$M335)</f>
        <v/>
      </c>
    </row>
    <row r="336" customFormat="false" ht="15" hidden="false" customHeight="true" outlineLevel="0" collapsed="false">
      <c r="L336" s="21" t="b">
        <f aca="false">IF(원자재마스터!$A333="",FALSE(),AND(IF($B$3="",TRUE(),ISNUMBER(SEARCH($B$3,원자재마스터!$B333&amp;" "&amp;원자재마스터!$C333&amp;" "&amp;원자재마스터!$G333&amp;" "&amp;원자재마스터!$A333))),IF($E$3="",TRUE(),ISNUMBER(SEARCH($E$3,원자재마스터!$C333)))))</f>
        <v>0</v>
      </c>
      <c r="M336" s="5" t="str">
        <f aca="false">IF($L336=FALSE(),"",COUNTIF($L$6:$L336,TRUE()))</f>
        <v/>
      </c>
      <c r="N336" s="5" t="str">
        <f aca="false">IF($M336="","","R"&amp;$M336)</f>
        <v/>
      </c>
    </row>
    <row r="337" customFormat="false" ht="15" hidden="false" customHeight="true" outlineLevel="0" collapsed="false">
      <c r="L337" s="21" t="b">
        <f aca="false">IF(원자재마스터!$A334="",FALSE(),AND(IF($B$3="",TRUE(),ISNUMBER(SEARCH($B$3,원자재마스터!$B334&amp;" "&amp;원자재마스터!$C334&amp;" "&amp;원자재마스터!$G334&amp;" "&amp;원자재마스터!$A334))),IF($E$3="",TRUE(),ISNUMBER(SEARCH($E$3,원자재마스터!$C334)))))</f>
        <v>0</v>
      </c>
      <c r="M337" s="5" t="str">
        <f aca="false">IF($L337=FALSE(),"",COUNTIF($L$6:$L337,TRUE()))</f>
        <v/>
      </c>
      <c r="N337" s="5" t="str">
        <f aca="false">IF($M337="","","R"&amp;$M337)</f>
        <v/>
      </c>
    </row>
    <row r="338" customFormat="false" ht="15" hidden="false" customHeight="true" outlineLevel="0" collapsed="false">
      <c r="L338" s="21" t="b">
        <f aca="false">IF(원자재마스터!$A335="",FALSE(),AND(IF($B$3="",TRUE(),ISNUMBER(SEARCH($B$3,원자재마스터!$B335&amp;" "&amp;원자재마스터!$C335&amp;" "&amp;원자재마스터!$G335&amp;" "&amp;원자재마스터!$A335))),IF($E$3="",TRUE(),ISNUMBER(SEARCH($E$3,원자재마스터!$C335)))))</f>
        <v>0</v>
      </c>
      <c r="M338" s="5" t="str">
        <f aca="false">IF($L338=FALSE(),"",COUNTIF($L$6:$L338,TRUE()))</f>
        <v/>
      </c>
      <c r="N338" s="5" t="str">
        <f aca="false">IF($M338="","","R"&amp;$M338)</f>
        <v/>
      </c>
    </row>
    <row r="339" customFormat="false" ht="15" hidden="false" customHeight="true" outlineLevel="0" collapsed="false">
      <c r="L339" s="21" t="b">
        <f aca="false">IF(원자재마스터!$A336="",FALSE(),AND(IF($B$3="",TRUE(),ISNUMBER(SEARCH($B$3,원자재마스터!$B336&amp;" "&amp;원자재마스터!$C336&amp;" "&amp;원자재마스터!$G336&amp;" "&amp;원자재마스터!$A336))),IF($E$3="",TRUE(),ISNUMBER(SEARCH($E$3,원자재마스터!$C336)))))</f>
        <v>0</v>
      </c>
      <c r="M339" s="5" t="str">
        <f aca="false">IF($L339=FALSE(),"",COUNTIF($L$6:$L339,TRUE()))</f>
        <v/>
      </c>
      <c r="N339" s="5" t="str">
        <f aca="false">IF($M339="","","R"&amp;$M339)</f>
        <v/>
      </c>
    </row>
    <row r="340" customFormat="false" ht="15" hidden="false" customHeight="true" outlineLevel="0" collapsed="false">
      <c r="L340" s="21" t="b">
        <f aca="false">IF(원자재마스터!$A337="",FALSE(),AND(IF($B$3="",TRUE(),ISNUMBER(SEARCH($B$3,원자재마스터!$B337&amp;" "&amp;원자재마스터!$C337&amp;" "&amp;원자재마스터!$G337&amp;" "&amp;원자재마스터!$A337))),IF($E$3="",TRUE(),ISNUMBER(SEARCH($E$3,원자재마스터!$C337)))))</f>
        <v>0</v>
      </c>
      <c r="M340" s="5" t="str">
        <f aca="false">IF($L340=FALSE(),"",COUNTIF($L$6:$L340,TRUE()))</f>
        <v/>
      </c>
      <c r="N340" s="5" t="str">
        <f aca="false">IF($M340="","","R"&amp;$M340)</f>
        <v/>
      </c>
    </row>
    <row r="341" customFormat="false" ht="15" hidden="false" customHeight="true" outlineLevel="0" collapsed="false">
      <c r="L341" s="21" t="b">
        <f aca="false">IF(원자재마스터!$A338="",FALSE(),AND(IF($B$3="",TRUE(),ISNUMBER(SEARCH($B$3,원자재마스터!$B338&amp;" "&amp;원자재마스터!$C338&amp;" "&amp;원자재마스터!$G338&amp;" "&amp;원자재마스터!$A338))),IF($E$3="",TRUE(),ISNUMBER(SEARCH($E$3,원자재마스터!$C338)))))</f>
        <v>0</v>
      </c>
      <c r="M341" s="5" t="str">
        <f aca="false">IF($L341=FALSE(),"",COUNTIF($L$6:$L341,TRUE()))</f>
        <v/>
      </c>
      <c r="N341" s="5" t="str">
        <f aca="false">IF($M341="","","R"&amp;$M341)</f>
        <v/>
      </c>
    </row>
    <row r="342" customFormat="false" ht="15" hidden="false" customHeight="true" outlineLevel="0" collapsed="false">
      <c r="L342" s="21" t="b">
        <f aca="false">IF(원자재마스터!$A339="",FALSE(),AND(IF($B$3="",TRUE(),ISNUMBER(SEARCH($B$3,원자재마스터!$B339&amp;" "&amp;원자재마스터!$C339&amp;" "&amp;원자재마스터!$G339&amp;" "&amp;원자재마스터!$A339))),IF($E$3="",TRUE(),ISNUMBER(SEARCH($E$3,원자재마스터!$C339)))))</f>
        <v>0</v>
      </c>
      <c r="M342" s="5" t="str">
        <f aca="false">IF($L342=FALSE(),"",COUNTIF($L$6:$L342,TRUE()))</f>
        <v/>
      </c>
      <c r="N342" s="5" t="str">
        <f aca="false">IF($M342="","","R"&amp;$M342)</f>
        <v/>
      </c>
    </row>
    <row r="343" customFormat="false" ht="15" hidden="false" customHeight="true" outlineLevel="0" collapsed="false">
      <c r="L343" s="21" t="b">
        <f aca="false">IF(원자재마스터!$A340="",FALSE(),AND(IF($B$3="",TRUE(),ISNUMBER(SEARCH($B$3,원자재마스터!$B340&amp;" "&amp;원자재마스터!$C340&amp;" "&amp;원자재마스터!$G340&amp;" "&amp;원자재마스터!$A340))),IF($E$3="",TRUE(),ISNUMBER(SEARCH($E$3,원자재마스터!$C340)))))</f>
        <v>0</v>
      </c>
      <c r="M343" s="5" t="str">
        <f aca="false">IF($L343=FALSE(),"",COUNTIF($L$6:$L343,TRUE()))</f>
        <v/>
      </c>
      <c r="N343" s="5" t="str">
        <f aca="false">IF($M343="","","R"&amp;$M343)</f>
        <v/>
      </c>
    </row>
    <row r="344" customFormat="false" ht="15" hidden="false" customHeight="true" outlineLevel="0" collapsed="false">
      <c r="L344" s="21" t="b">
        <f aca="false">IF(원자재마스터!$A341="",FALSE(),AND(IF($B$3="",TRUE(),ISNUMBER(SEARCH($B$3,원자재마스터!$B341&amp;" "&amp;원자재마스터!$C341&amp;" "&amp;원자재마스터!$G341&amp;" "&amp;원자재마스터!$A341))),IF($E$3="",TRUE(),ISNUMBER(SEARCH($E$3,원자재마스터!$C341)))))</f>
        <v>0</v>
      </c>
      <c r="M344" s="5" t="str">
        <f aca="false">IF($L344=FALSE(),"",COUNTIF($L$6:$L344,TRUE()))</f>
        <v/>
      </c>
      <c r="N344" s="5" t="str">
        <f aca="false">IF($M344="","","R"&amp;$M344)</f>
        <v/>
      </c>
    </row>
    <row r="345" customFormat="false" ht="15" hidden="false" customHeight="true" outlineLevel="0" collapsed="false">
      <c r="L345" s="21" t="b">
        <f aca="false">IF(원자재마스터!$A342="",FALSE(),AND(IF($B$3="",TRUE(),ISNUMBER(SEARCH($B$3,원자재마스터!$B342&amp;" "&amp;원자재마스터!$C342&amp;" "&amp;원자재마스터!$G342&amp;" "&amp;원자재마스터!$A342))),IF($E$3="",TRUE(),ISNUMBER(SEARCH($E$3,원자재마스터!$C342)))))</f>
        <v>0</v>
      </c>
      <c r="M345" s="5" t="str">
        <f aca="false">IF($L345=FALSE(),"",COUNTIF($L$6:$L345,TRUE()))</f>
        <v/>
      </c>
      <c r="N345" s="5" t="str">
        <f aca="false">IF($M345="","","R"&amp;$M345)</f>
        <v/>
      </c>
    </row>
    <row r="346" customFormat="false" ht="15" hidden="false" customHeight="true" outlineLevel="0" collapsed="false">
      <c r="L346" s="21" t="b">
        <f aca="false">IF(원자재마스터!$A343="",FALSE(),AND(IF($B$3="",TRUE(),ISNUMBER(SEARCH($B$3,원자재마스터!$B343&amp;" "&amp;원자재마스터!$C343&amp;" "&amp;원자재마스터!$G343&amp;" "&amp;원자재마스터!$A343))),IF($E$3="",TRUE(),ISNUMBER(SEARCH($E$3,원자재마스터!$C343)))))</f>
        <v>0</v>
      </c>
      <c r="M346" s="5" t="str">
        <f aca="false">IF($L346=FALSE(),"",COUNTIF($L$6:$L346,TRUE()))</f>
        <v/>
      </c>
      <c r="N346" s="5" t="str">
        <f aca="false">IF($M346="","","R"&amp;$M346)</f>
        <v/>
      </c>
    </row>
    <row r="347" customFormat="false" ht="15" hidden="false" customHeight="true" outlineLevel="0" collapsed="false">
      <c r="L347" s="21" t="b">
        <f aca="false">IF(원자재마스터!$A344="",FALSE(),AND(IF($B$3="",TRUE(),ISNUMBER(SEARCH($B$3,원자재마스터!$B344&amp;" "&amp;원자재마스터!$C344&amp;" "&amp;원자재마스터!$G344&amp;" "&amp;원자재마스터!$A344))),IF($E$3="",TRUE(),ISNUMBER(SEARCH($E$3,원자재마스터!$C344)))))</f>
        <v>0</v>
      </c>
      <c r="M347" s="5" t="str">
        <f aca="false">IF($L347=FALSE(),"",COUNTIF($L$6:$L347,TRUE()))</f>
        <v/>
      </c>
      <c r="N347" s="5" t="str">
        <f aca="false">IF($M347="","","R"&amp;$M347)</f>
        <v/>
      </c>
    </row>
    <row r="348" customFormat="false" ht="15" hidden="false" customHeight="true" outlineLevel="0" collapsed="false">
      <c r="L348" s="21" t="b">
        <f aca="false">IF(원자재마스터!$A345="",FALSE(),AND(IF($B$3="",TRUE(),ISNUMBER(SEARCH($B$3,원자재마스터!$B345&amp;" "&amp;원자재마스터!$C345&amp;" "&amp;원자재마스터!$G345&amp;" "&amp;원자재마스터!$A345))),IF($E$3="",TRUE(),ISNUMBER(SEARCH($E$3,원자재마스터!$C345)))))</f>
        <v>0</v>
      </c>
      <c r="M348" s="5" t="str">
        <f aca="false">IF($L348=FALSE(),"",COUNTIF($L$6:$L348,TRUE()))</f>
        <v/>
      </c>
      <c r="N348" s="5" t="str">
        <f aca="false">IF($M348="","","R"&amp;$M348)</f>
        <v/>
      </c>
    </row>
    <row r="349" customFormat="false" ht="15" hidden="false" customHeight="true" outlineLevel="0" collapsed="false">
      <c r="L349" s="21" t="b">
        <f aca="false">IF(원자재마스터!$A346="",FALSE(),AND(IF($B$3="",TRUE(),ISNUMBER(SEARCH($B$3,원자재마스터!$B346&amp;" "&amp;원자재마스터!$C346&amp;" "&amp;원자재마스터!$G346&amp;" "&amp;원자재마스터!$A346))),IF($E$3="",TRUE(),ISNUMBER(SEARCH($E$3,원자재마스터!$C346)))))</f>
        <v>0</v>
      </c>
      <c r="M349" s="5" t="str">
        <f aca="false">IF($L349=FALSE(),"",COUNTIF($L$6:$L349,TRUE()))</f>
        <v/>
      </c>
      <c r="N349" s="5" t="str">
        <f aca="false">IF($M349="","","R"&amp;$M349)</f>
        <v/>
      </c>
    </row>
    <row r="350" customFormat="false" ht="15" hidden="false" customHeight="true" outlineLevel="0" collapsed="false">
      <c r="L350" s="21" t="b">
        <f aca="false">IF(원자재마스터!$A347="",FALSE(),AND(IF($B$3="",TRUE(),ISNUMBER(SEARCH($B$3,원자재마스터!$B347&amp;" "&amp;원자재마스터!$C347&amp;" "&amp;원자재마스터!$G347&amp;" "&amp;원자재마스터!$A347))),IF($E$3="",TRUE(),ISNUMBER(SEARCH($E$3,원자재마스터!$C347)))))</f>
        <v>0</v>
      </c>
      <c r="M350" s="5" t="str">
        <f aca="false">IF($L350=FALSE(),"",COUNTIF($L$6:$L350,TRUE()))</f>
        <v/>
      </c>
      <c r="N350" s="5" t="str">
        <f aca="false">IF($M350="","","R"&amp;$M350)</f>
        <v/>
      </c>
    </row>
    <row r="351" customFormat="false" ht="15" hidden="false" customHeight="true" outlineLevel="0" collapsed="false">
      <c r="L351" s="21" t="b">
        <f aca="false">IF(원자재마스터!$A348="",FALSE(),AND(IF($B$3="",TRUE(),ISNUMBER(SEARCH($B$3,원자재마스터!$B348&amp;" "&amp;원자재마스터!$C348&amp;" "&amp;원자재마스터!$G348&amp;" "&amp;원자재마스터!$A348))),IF($E$3="",TRUE(),ISNUMBER(SEARCH($E$3,원자재마스터!$C348)))))</f>
        <v>0</v>
      </c>
      <c r="M351" s="5" t="str">
        <f aca="false">IF($L351=FALSE(),"",COUNTIF($L$6:$L351,TRUE()))</f>
        <v/>
      </c>
      <c r="N351" s="5" t="str">
        <f aca="false">IF($M351="","","R"&amp;$M351)</f>
        <v/>
      </c>
    </row>
    <row r="352" customFormat="false" ht="15" hidden="false" customHeight="true" outlineLevel="0" collapsed="false">
      <c r="L352" s="21" t="b">
        <f aca="false">IF(원자재마스터!$A349="",FALSE(),AND(IF($B$3="",TRUE(),ISNUMBER(SEARCH($B$3,원자재마스터!$B349&amp;" "&amp;원자재마스터!$C349&amp;" "&amp;원자재마스터!$G349&amp;" "&amp;원자재마스터!$A349))),IF($E$3="",TRUE(),ISNUMBER(SEARCH($E$3,원자재마스터!$C349)))))</f>
        <v>0</v>
      </c>
      <c r="M352" s="5" t="str">
        <f aca="false">IF($L352=FALSE(),"",COUNTIF($L$6:$L352,TRUE()))</f>
        <v/>
      </c>
      <c r="N352" s="5" t="str">
        <f aca="false">IF($M352="","","R"&amp;$M352)</f>
        <v/>
      </c>
    </row>
    <row r="353" customFormat="false" ht="15" hidden="false" customHeight="true" outlineLevel="0" collapsed="false">
      <c r="L353" s="21" t="b">
        <f aca="false">IF(원자재마스터!$A350="",FALSE(),AND(IF($B$3="",TRUE(),ISNUMBER(SEARCH($B$3,원자재마스터!$B350&amp;" "&amp;원자재마스터!$C350&amp;" "&amp;원자재마스터!$G350&amp;" "&amp;원자재마스터!$A350))),IF($E$3="",TRUE(),ISNUMBER(SEARCH($E$3,원자재마스터!$C350)))))</f>
        <v>0</v>
      </c>
      <c r="M353" s="5" t="str">
        <f aca="false">IF($L353=FALSE(),"",COUNTIF($L$6:$L353,TRUE()))</f>
        <v/>
      </c>
      <c r="N353" s="5" t="str">
        <f aca="false">IF($M353="","","R"&amp;$M353)</f>
        <v/>
      </c>
    </row>
    <row r="354" customFormat="false" ht="15" hidden="false" customHeight="true" outlineLevel="0" collapsed="false">
      <c r="L354" s="21" t="b">
        <f aca="false">IF(원자재마스터!$A351="",FALSE(),AND(IF($B$3="",TRUE(),ISNUMBER(SEARCH($B$3,원자재마스터!$B351&amp;" "&amp;원자재마스터!$C351&amp;" "&amp;원자재마스터!$G351&amp;" "&amp;원자재마스터!$A351))),IF($E$3="",TRUE(),ISNUMBER(SEARCH($E$3,원자재마스터!$C351)))))</f>
        <v>0</v>
      </c>
      <c r="M354" s="5" t="str">
        <f aca="false">IF($L354=FALSE(),"",COUNTIF($L$6:$L354,TRUE()))</f>
        <v/>
      </c>
      <c r="N354" s="5" t="str">
        <f aca="false">IF($M354="","","R"&amp;$M354)</f>
        <v/>
      </c>
    </row>
    <row r="355" customFormat="false" ht="15" hidden="false" customHeight="true" outlineLevel="0" collapsed="false">
      <c r="L355" s="21" t="b">
        <f aca="false">IF(원자재마스터!$A352="",FALSE(),AND(IF($B$3="",TRUE(),ISNUMBER(SEARCH($B$3,원자재마스터!$B352&amp;" "&amp;원자재마스터!$C352&amp;" "&amp;원자재마스터!$G352&amp;" "&amp;원자재마스터!$A352))),IF($E$3="",TRUE(),ISNUMBER(SEARCH($E$3,원자재마스터!$C352)))))</f>
        <v>0</v>
      </c>
      <c r="M355" s="5" t="str">
        <f aca="false">IF($L355=FALSE(),"",COUNTIF($L$6:$L355,TRUE()))</f>
        <v/>
      </c>
      <c r="N355" s="5" t="str">
        <f aca="false">IF($M355="","","R"&amp;$M355)</f>
        <v/>
      </c>
    </row>
    <row r="356" customFormat="false" ht="15" hidden="false" customHeight="true" outlineLevel="0" collapsed="false">
      <c r="L356" s="21" t="b">
        <f aca="false">IF(원자재마스터!$A353="",FALSE(),AND(IF($B$3="",TRUE(),ISNUMBER(SEARCH($B$3,원자재마스터!$B353&amp;" "&amp;원자재마스터!$C353&amp;" "&amp;원자재마스터!$G353&amp;" "&amp;원자재마스터!$A353))),IF($E$3="",TRUE(),ISNUMBER(SEARCH($E$3,원자재마스터!$C353)))))</f>
        <v>0</v>
      </c>
      <c r="M356" s="5" t="str">
        <f aca="false">IF($L356=FALSE(),"",COUNTIF($L$6:$L356,TRUE()))</f>
        <v/>
      </c>
      <c r="N356" s="5" t="str">
        <f aca="false">IF($M356="","","R"&amp;$M356)</f>
        <v/>
      </c>
    </row>
    <row r="357" customFormat="false" ht="15" hidden="false" customHeight="true" outlineLevel="0" collapsed="false">
      <c r="L357" s="21" t="b">
        <f aca="false">IF(원자재마스터!$A354="",FALSE(),AND(IF($B$3="",TRUE(),ISNUMBER(SEARCH($B$3,원자재마스터!$B354&amp;" "&amp;원자재마스터!$C354&amp;" "&amp;원자재마스터!$G354&amp;" "&amp;원자재마스터!$A354))),IF($E$3="",TRUE(),ISNUMBER(SEARCH($E$3,원자재마스터!$C354)))))</f>
        <v>0</v>
      </c>
      <c r="M357" s="5" t="str">
        <f aca="false">IF($L357=FALSE(),"",COUNTIF($L$6:$L357,TRUE()))</f>
        <v/>
      </c>
      <c r="N357" s="5" t="str">
        <f aca="false">IF($M357="","","R"&amp;$M357)</f>
        <v/>
      </c>
    </row>
    <row r="358" customFormat="false" ht="15" hidden="false" customHeight="true" outlineLevel="0" collapsed="false">
      <c r="L358" s="21" t="b">
        <f aca="false">IF(원자재마스터!$A355="",FALSE(),AND(IF($B$3="",TRUE(),ISNUMBER(SEARCH($B$3,원자재마스터!$B355&amp;" "&amp;원자재마스터!$C355&amp;" "&amp;원자재마스터!$G355&amp;" "&amp;원자재마스터!$A355))),IF($E$3="",TRUE(),ISNUMBER(SEARCH($E$3,원자재마스터!$C355)))))</f>
        <v>0</v>
      </c>
      <c r="M358" s="5" t="str">
        <f aca="false">IF($L358=FALSE(),"",COUNTIF($L$6:$L358,TRUE()))</f>
        <v/>
      </c>
      <c r="N358" s="5" t="str">
        <f aca="false">IF($M358="","","R"&amp;$M358)</f>
        <v/>
      </c>
    </row>
    <row r="359" customFormat="false" ht="15" hidden="false" customHeight="true" outlineLevel="0" collapsed="false">
      <c r="L359" s="21" t="b">
        <f aca="false">IF(원자재마스터!$A356="",FALSE(),AND(IF($B$3="",TRUE(),ISNUMBER(SEARCH($B$3,원자재마스터!$B356&amp;" "&amp;원자재마스터!$C356&amp;" "&amp;원자재마스터!$G356&amp;" "&amp;원자재마스터!$A356))),IF($E$3="",TRUE(),ISNUMBER(SEARCH($E$3,원자재마스터!$C356)))))</f>
        <v>0</v>
      </c>
      <c r="M359" s="5" t="str">
        <f aca="false">IF($L359=FALSE(),"",COUNTIF($L$6:$L359,TRUE()))</f>
        <v/>
      </c>
      <c r="N359" s="5" t="str">
        <f aca="false">IF($M359="","","R"&amp;$M359)</f>
        <v/>
      </c>
    </row>
    <row r="360" customFormat="false" ht="15" hidden="false" customHeight="true" outlineLevel="0" collapsed="false">
      <c r="L360" s="21" t="b">
        <f aca="false">IF(원자재마스터!$A357="",FALSE(),AND(IF($B$3="",TRUE(),ISNUMBER(SEARCH($B$3,원자재마스터!$B357&amp;" "&amp;원자재마스터!$C357&amp;" "&amp;원자재마스터!$G357&amp;" "&amp;원자재마스터!$A357))),IF($E$3="",TRUE(),ISNUMBER(SEARCH($E$3,원자재마스터!$C357)))))</f>
        <v>0</v>
      </c>
      <c r="M360" s="5" t="str">
        <f aca="false">IF($L360=FALSE(),"",COUNTIF($L$6:$L360,TRUE()))</f>
        <v/>
      </c>
      <c r="N360" s="5" t="str">
        <f aca="false">IF($M360="","","R"&amp;$M360)</f>
        <v/>
      </c>
    </row>
    <row r="361" customFormat="false" ht="15" hidden="false" customHeight="true" outlineLevel="0" collapsed="false">
      <c r="L361" s="21" t="b">
        <f aca="false">IF(원자재마스터!$A358="",FALSE(),AND(IF($B$3="",TRUE(),ISNUMBER(SEARCH($B$3,원자재마스터!$B358&amp;" "&amp;원자재마스터!$C358&amp;" "&amp;원자재마스터!$G358&amp;" "&amp;원자재마스터!$A358))),IF($E$3="",TRUE(),ISNUMBER(SEARCH($E$3,원자재마스터!$C358)))))</f>
        <v>0</v>
      </c>
      <c r="M361" s="5" t="str">
        <f aca="false">IF($L361=FALSE(),"",COUNTIF($L$6:$L361,TRUE()))</f>
        <v/>
      </c>
      <c r="N361" s="5" t="str">
        <f aca="false">IF($M361="","","R"&amp;$M361)</f>
        <v/>
      </c>
    </row>
    <row r="362" customFormat="false" ht="15" hidden="false" customHeight="true" outlineLevel="0" collapsed="false">
      <c r="L362" s="21" t="b">
        <f aca="false">IF(원자재마스터!$A359="",FALSE(),AND(IF($B$3="",TRUE(),ISNUMBER(SEARCH($B$3,원자재마스터!$B359&amp;" "&amp;원자재마스터!$C359&amp;" "&amp;원자재마스터!$G359&amp;" "&amp;원자재마스터!$A359))),IF($E$3="",TRUE(),ISNUMBER(SEARCH($E$3,원자재마스터!$C359)))))</f>
        <v>0</v>
      </c>
      <c r="M362" s="5" t="str">
        <f aca="false">IF($L362=FALSE(),"",COUNTIF($L$6:$L362,TRUE()))</f>
        <v/>
      </c>
      <c r="N362" s="5" t="str">
        <f aca="false">IF($M362="","","R"&amp;$M362)</f>
        <v/>
      </c>
    </row>
    <row r="363" customFormat="false" ht="15" hidden="false" customHeight="true" outlineLevel="0" collapsed="false">
      <c r="L363" s="21" t="b">
        <f aca="false">IF(원자재마스터!$A360="",FALSE(),AND(IF($B$3="",TRUE(),ISNUMBER(SEARCH($B$3,원자재마스터!$B360&amp;" "&amp;원자재마스터!$C360&amp;" "&amp;원자재마스터!$G360&amp;" "&amp;원자재마스터!$A360))),IF($E$3="",TRUE(),ISNUMBER(SEARCH($E$3,원자재마스터!$C360)))))</f>
        <v>0</v>
      </c>
      <c r="M363" s="5" t="str">
        <f aca="false">IF($L363=FALSE(),"",COUNTIF($L$6:$L363,TRUE()))</f>
        <v/>
      </c>
      <c r="N363" s="5" t="str">
        <f aca="false">IF($M363="","","R"&amp;$M363)</f>
        <v/>
      </c>
    </row>
    <row r="364" customFormat="false" ht="15" hidden="false" customHeight="true" outlineLevel="0" collapsed="false">
      <c r="L364" s="21" t="b">
        <f aca="false">IF(원자재마스터!$A361="",FALSE(),AND(IF($B$3="",TRUE(),ISNUMBER(SEARCH($B$3,원자재마스터!$B361&amp;" "&amp;원자재마스터!$C361&amp;" "&amp;원자재마스터!$G361&amp;" "&amp;원자재마스터!$A361))),IF($E$3="",TRUE(),ISNUMBER(SEARCH($E$3,원자재마스터!$C361)))))</f>
        <v>0</v>
      </c>
      <c r="M364" s="5" t="str">
        <f aca="false">IF($L364=FALSE(),"",COUNTIF($L$6:$L364,TRUE()))</f>
        <v/>
      </c>
      <c r="N364" s="5" t="str">
        <f aca="false">IF($M364="","","R"&amp;$M364)</f>
        <v/>
      </c>
    </row>
    <row r="365" customFormat="false" ht="15" hidden="false" customHeight="true" outlineLevel="0" collapsed="false">
      <c r="L365" s="21" t="b">
        <f aca="false">IF(원자재마스터!$A362="",FALSE(),AND(IF($B$3="",TRUE(),ISNUMBER(SEARCH($B$3,원자재마스터!$B362&amp;" "&amp;원자재마스터!$C362&amp;" "&amp;원자재마스터!$G362&amp;" "&amp;원자재마스터!$A362))),IF($E$3="",TRUE(),ISNUMBER(SEARCH($E$3,원자재마스터!$C362)))))</f>
        <v>0</v>
      </c>
      <c r="M365" s="5" t="str">
        <f aca="false">IF($L365=FALSE(),"",COUNTIF($L$6:$L365,TRUE()))</f>
        <v/>
      </c>
      <c r="N365" s="5" t="str">
        <f aca="false">IF($M365="","","R"&amp;$M365)</f>
        <v/>
      </c>
    </row>
    <row r="366" customFormat="false" ht="15" hidden="false" customHeight="true" outlineLevel="0" collapsed="false">
      <c r="L366" s="21" t="b">
        <f aca="false">IF(원자재마스터!$A363="",FALSE(),AND(IF($B$3="",TRUE(),ISNUMBER(SEARCH($B$3,원자재마스터!$B363&amp;" "&amp;원자재마스터!$C363&amp;" "&amp;원자재마스터!$G363&amp;" "&amp;원자재마스터!$A363))),IF($E$3="",TRUE(),ISNUMBER(SEARCH($E$3,원자재마스터!$C363)))))</f>
        <v>0</v>
      </c>
      <c r="M366" s="5" t="str">
        <f aca="false">IF($L366=FALSE(),"",COUNTIF($L$6:$L366,TRUE()))</f>
        <v/>
      </c>
      <c r="N366" s="5" t="str">
        <f aca="false">IF($M366="","","R"&amp;$M366)</f>
        <v/>
      </c>
    </row>
    <row r="367" customFormat="false" ht="15" hidden="false" customHeight="true" outlineLevel="0" collapsed="false">
      <c r="L367" s="21" t="b">
        <f aca="false">IF(원자재마스터!$A364="",FALSE(),AND(IF($B$3="",TRUE(),ISNUMBER(SEARCH($B$3,원자재마스터!$B364&amp;" "&amp;원자재마스터!$C364&amp;" "&amp;원자재마스터!$G364&amp;" "&amp;원자재마스터!$A364))),IF($E$3="",TRUE(),ISNUMBER(SEARCH($E$3,원자재마스터!$C364)))))</f>
        <v>0</v>
      </c>
      <c r="M367" s="5" t="str">
        <f aca="false">IF($L367=FALSE(),"",COUNTIF($L$6:$L367,TRUE()))</f>
        <v/>
      </c>
      <c r="N367" s="5" t="str">
        <f aca="false">IF($M367="","","R"&amp;$M367)</f>
        <v/>
      </c>
    </row>
    <row r="368" customFormat="false" ht="15" hidden="false" customHeight="true" outlineLevel="0" collapsed="false">
      <c r="L368" s="21" t="b">
        <f aca="false">IF(원자재마스터!$A365="",FALSE(),AND(IF($B$3="",TRUE(),ISNUMBER(SEARCH($B$3,원자재마스터!$B365&amp;" "&amp;원자재마스터!$C365&amp;" "&amp;원자재마스터!$G365&amp;" "&amp;원자재마스터!$A365))),IF($E$3="",TRUE(),ISNUMBER(SEARCH($E$3,원자재마스터!$C365)))))</f>
        <v>0</v>
      </c>
      <c r="M368" s="5" t="str">
        <f aca="false">IF($L368=FALSE(),"",COUNTIF($L$6:$L368,TRUE()))</f>
        <v/>
      </c>
      <c r="N368" s="5" t="str">
        <f aca="false">IF($M368="","","R"&amp;$M368)</f>
        <v/>
      </c>
    </row>
    <row r="369" customFormat="false" ht="15" hidden="false" customHeight="true" outlineLevel="0" collapsed="false">
      <c r="L369" s="21" t="b">
        <f aca="false">IF(원자재마스터!$A366="",FALSE(),AND(IF($B$3="",TRUE(),ISNUMBER(SEARCH($B$3,원자재마스터!$B366&amp;" "&amp;원자재마스터!$C366&amp;" "&amp;원자재마스터!$G366&amp;" "&amp;원자재마스터!$A366))),IF($E$3="",TRUE(),ISNUMBER(SEARCH($E$3,원자재마스터!$C366)))))</f>
        <v>0</v>
      </c>
      <c r="M369" s="5" t="str">
        <f aca="false">IF($L369=FALSE(),"",COUNTIF($L$6:$L369,TRUE()))</f>
        <v/>
      </c>
      <c r="N369" s="5" t="str">
        <f aca="false">IF($M369="","","R"&amp;$M369)</f>
        <v/>
      </c>
    </row>
    <row r="370" customFormat="false" ht="15" hidden="false" customHeight="true" outlineLevel="0" collapsed="false">
      <c r="L370" s="21" t="b">
        <f aca="false">IF(원자재마스터!$A367="",FALSE(),AND(IF($B$3="",TRUE(),ISNUMBER(SEARCH($B$3,원자재마스터!$B367&amp;" "&amp;원자재마스터!$C367&amp;" "&amp;원자재마스터!$G367&amp;" "&amp;원자재마스터!$A367))),IF($E$3="",TRUE(),ISNUMBER(SEARCH($E$3,원자재마스터!$C367)))))</f>
        <v>0</v>
      </c>
      <c r="M370" s="5" t="str">
        <f aca="false">IF($L370=FALSE(),"",COUNTIF($L$6:$L370,TRUE()))</f>
        <v/>
      </c>
      <c r="N370" s="5" t="str">
        <f aca="false">IF($M370="","","R"&amp;$M370)</f>
        <v/>
      </c>
    </row>
    <row r="371" customFormat="false" ht="15" hidden="false" customHeight="true" outlineLevel="0" collapsed="false">
      <c r="L371" s="21" t="b">
        <f aca="false">IF(원자재마스터!$A368="",FALSE(),AND(IF($B$3="",TRUE(),ISNUMBER(SEARCH($B$3,원자재마스터!$B368&amp;" "&amp;원자재마스터!$C368&amp;" "&amp;원자재마스터!$G368&amp;" "&amp;원자재마스터!$A368))),IF($E$3="",TRUE(),ISNUMBER(SEARCH($E$3,원자재마스터!$C368)))))</f>
        <v>0</v>
      </c>
      <c r="M371" s="5" t="str">
        <f aca="false">IF($L371=FALSE(),"",COUNTIF($L$6:$L371,TRUE()))</f>
        <v/>
      </c>
      <c r="N371" s="5" t="str">
        <f aca="false">IF($M371="","","R"&amp;$M371)</f>
        <v/>
      </c>
    </row>
    <row r="372" customFormat="false" ht="15" hidden="false" customHeight="true" outlineLevel="0" collapsed="false">
      <c r="L372" s="21" t="b">
        <f aca="false">IF(원자재마스터!$A369="",FALSE(),AND(IF($B$3="",TRUE(),ISNUMBER(SEARCH($B$3,원자재마스터!$B369&amp;" "&amp;원자재마스터!$C369&amp;" "&amp;원자재마스터!$G369&amp;" "&amp;원자재마스터!$A369))),IF($E$3="",TRUE(),ISNUMBER(SEARCH($E$3,원자재마스터!$C369)))))</f>
        <v>0</v>
      </c>
      <c r="M372" s="5" t="str">
        <f aca="false">IF($L372=FALSE(),"",COUNTIF($L$6:$L372,TRUE()))</f>
        <v/>
      </c>
      <c r="N372" s="5" t="str">
        <f aca="false">IF($M372="","","R"&amp;$M372)</f>
        <v/>
      </c>
    </row>
    <row r="373" customFormat="false" ht="15" hidden="false" customHeight="true" outlineLevel="0" collapsed="false">
      <c r="L373" s="21" t="b">
        <f aca="false">IF(원자재마스터!$A370="",FALSE(),AND(IF($B$3="",TRUE(),ISNUMBER(SEARCH($B$3,원자재마스터!$B370&amp;" "&amp;원자재마스터!$C370&amp;" "&amp;원자재마스터!$G370&amp;" "&amp;원자재마스터!$A370))),IF($E$3="",TRUE(),ISNUMBER(SEARCH($E$3,원자재마스터!$C370)))))</f>
        <v>0</v>
      </c>
      <c r="M373" s="5" t="str">
        <f aca="false">IF($L373=FALSE(),"",COUNTIF($L$6:$L373,TRUE()))</f>
        <v/>
      </c>
      <c r="N373" s="5" t="str">
        <f aca="false">IF($M373="","","R"&amp;$M373)</f>
        <v/>
      </c>
    </row>
    <row r="374" customFormat="false" ht="15" hidden="false" customHeight="true" outlineLevel="0" collapsed="false">
      <c r="L374" s="21" t="b">
        <f aca="false">IF(원자재마스터!$A371="",FALSE(),AND(IF($B$3="",TRUE(),ISNUMBER(SEARCH($B$3,원자재마스터!$B371&amp;" "&amp;원자재마스터!$C371&amp;" "&amp;원자재마스터!$G371&amp;" "&amp;원자재마스터!$A371))),IF($E$3="",TRUE(),ISNUMBER(SEARCH($E$3,원자재마스터!$C371)))))</f>
        <v>0</v>
      </c>
      <c r="M374" s="5" t="str">
        <f aca="false">IF($L374=FALSE(),"",COUNTIF($L$6:$L374,TRUE()))</f>
        <v/>
      </c>
      <c r="N374" s="5" t="str">
        <f aca="false">IF($M374="","","R"&amp;$M374)</f>
        <v/>
      </c>
    </row>
    <row r="375" customFormat="false" ht="15" hidden="false" customHeight="true" outlineLevel="0" collapsed="false">
      <c r="L375" s="21" t="b">
        <f aca="false">IF(원자재마스터!$A372="",FALSE(),AND(IF($B$3="",TRUE(),ISNUMBER(SEARCH($B$3,원자재마스터!$B372&amp;" "&amp;원자재마스터!$C372&amp;" "&amp;원자재마스터!$G372&amp;" "&amp;원자재마스터!$A372))),IF($E$3="",TRUE(),ISNUMBER(SEARCH($E$3,원자재마스터!$C372)))))</f>
        <v>0</v>
      </c>
      <c r="M375" s="5" t="str">
        <f aca="false">IF($L375=FALSE(),"",COUNTIF($L$6:$L375,TRUE()))</f>
        <v/>
      </c>
      <c r="N375" s="5" t="str">
        <f aca="false">IF($M375="","","R"&amp;$M375)</f>
        <v/>
      </c>
    </row>
    <row r="376" customFormat="false" ht="15" hidden="false" customHeight="true" outlineLevel="0" collapsed="false">
      <c r="L376" s="21" t="b">
        <f aca="false">IF(원자재마스터!$A373="",FALSE(),AND(IF($B$3="",TRUE(),ISNUMBER(SEARCH($B$3,원자재마스터!$B373&amp;" "&amp;원자재마스터!$C373&amp;" "&amp;원자재마스터!$G373&amp;" "&amp;원자재마스터!$A373))),IF($E$3="",TRUE(),ISNUMBER(SEARCH($E$3,원자재마스터!$C373)))))</f>
        <v>0</v>
      </c>
      <c r="M376" s="5" t="str">
        <f aca="false">IF($L376=FALSE(),"",COUNTIF($L$6:$L376,TRUE()))</f>
        <v/>
      </c>
      <c r="N376" s="5" t="str">
        <f aca="false">IF($M376="","","R"&amp;$M376)</f>
        <v/>
      </c>
    </row>
    <row r="377" customFormat="false" ht="15" hidden="false" customHeight="true" outlineLevel="0" collapsed="false">
      <c r="L377" s="21" t="b">
        <f aca="false">IF(원자재마스터!$A374="",FALSE(),AND(IF($B$3="",TRUE(),ISNUMBER(SEARCH($B$3,원자재마스터!$B374&amp;" "&amp;원자재마스터!$C374&amp;" "&amp;원자재마스터!$G374&amp;" "&amp;원자재마스터!$A374))),IF($E$3="",TRUE(),ISNUMBER(SEARCH($E$3,원자재마스터!$C374)))))</f>
        <v>0</v>
      </c>
      <c r="M377" s="5" t="str">
        <f aca="false">IF($L377=FALSE(),"",COUNTIF($L$6:$L377,TRUE()))</f>
        <v/>
      </c>
      <c r="N377" s="5" t="str">
        <f aca="false">IF($M377="","","R"&amp;$M377)</f>
        <v/>
      </c>
    </row>
    <row r="378" customFormat="false" ht="15" hidden="false" customHeight="true" outlineLevel="0" collapsed="false">
      <c r="L378" s="21" t="b">
        <f aca="false">IF(원자재마스터!$A375="",FALSE(),AND(IF($B$3="",TRUE(),ISNUMBER(SEARCH($B$3,원자재마스터!$B375&amp;" "&amp;원자재마스터!$C375&amp;" "&amp;원자재마스터!$G375&amp;" "&amp;원자재마스터!$A375))),IF($E$3="",TRUE(),ISNUMBER(SEARCH($E$3,원자재마스터!$C375)))))</f>
        <v>0</v>
      </c>
      <c r="M378" s="5" t="str">
        <f aca="false">IF($L378=FALSE(),"",COUNTIF($L$6:$L378,TRUE()))</f>
        <v/>
      </c>
      <c r="N378" s="5" t="str">
        <f aca="false">IF($M378="","","R"&amp;$M378)</f>
        <v/>
      </c>
    </row>
    <row r="379" customFormat="false" ht="15" hidden="false" customHeight="true" outlineLevel="0" collapsed="false">
      <c r="L379" s="21" t="b">
        <f aca="false">IF(원자재마스터!$A376="",FALSE(),AND(IF($B$3="",TRUE(),ISNUMBER(SEARCH($B$3,원자재마스터!$B376&amp;" "&amp;원자재마스터!$C376&amp;" "&amp;원자재마스터!$G376&amp;" "&amp;원자재마스터!$A376))),IF($E$3="",TRUE(),ISNUMBER(SEARCH($E$3,원자재마스터!$C376)))))</f>
        <v>0</v>
      </c>
      <c r="M379" s="5" t="str">
        <f aca="false">IF($L379=FALSE(),"",COUNTIF($L$6:$L379,TRUE()))</f>
        <v/>
      </c>
      <c r="N379" s="5" t="str">
        <f aca="false">IF($M379="","","R"&amp;$M379)</f>
        <v/>
      </c>
    </row>
    <row r="380" customFormat="false" ht="15" hidden="false" customHeight="true" outlineLevel="0" collapsed="false">
      <c r="L380" s="21" t="b">
        <f aca="false">IF(원자재마스터!$A377="",FALSE(),AND(IF($B$3="",TRUE(),ISNUMBER(SEARCH($B$3,원자재마스터!$B377&amp;" "&amp;원자재마스터!$C377&amp;" "&amp;원자재마스터!$G377&amp;" "&amp;원자재마스터!$A377))),IF($E$3="",TRUE(),ISNUMBER(SEARCH($E$3,원자재마스터!$C377)))))</f>
        <v>0</v>
      </c>
      <c r="M380" s="5" t="str">
        <f aca="false">IF($L380=FALSE(),"",COUNTIF($L$6:$L380,TRUE()))</f>
        <v/>
      </c>
      <c r="N380" s="5" t="str">
        <f aca="false">IF($M380="","","R"&amp;$M380)</f>
        <v/>
      </c>
    </row>
    <row r="381" customFormat="false" ht="15" hidden="false" customHeight="true" outlineLevel="0" collapsed="false">
      <c r="L381" s="21" t="b">
        <f aca="false">IF(원자재마스터!$A378="",FALSE(),AND(IF($B$3="",TRUE(),ISNUMBER(SEARCH($B$3,원자재마스터!$B378&amp;" "&amp;원자재마스터!$C378&amp;" "&amp;원자재마스터!$G378&amp;" "&amp;원자재마스터!$A378))),IF($E$3="",TRUE(),ISNUMBER(SEARCH($E$3,원자재마스터!$C378)))))</f>
        <v>0</v>
      </c>
      <c r="M381" s="5" t="str">
        <f aca="false">IF($L381=FALSE(),"",COUNTIF($L$6:$L381,TRUE()))</f>
        <v/>
      </c>
      <c r="N381" s="5" t="str">
        <f aca="false">IF($M381="","","R"&amp;$M381)</f>
        <v/>
      </c>
    </row>
    <row r="382" customFormat="false" ht="15" hidden="false" customHeight="true" outlineLevel="0" collapsed="false">
      <c r="L382" s="21" t="b">
        <f aca="false">IF(원자재마스터!$A379="",FALSE(),AND(IF($B$3="",TRUE(),ISNUMBER(SEARCH($B$3,원자재마스터!$B379&amp;" "&amp;원자재마스터!$C379&amp;" "&amp;원자재마스터!$G379&amp;" "&amp;원자재마스터!$A379))),IF($E$3="",TRUE(),ISNUMBER(SEARCH($E$3,원자재마스터!$C379)))))</f>
        <v>0</v>
      </c>
      <c r="M382" s="5" t="str">
        <f aca="false">IF($L382=FALSE(),"",COUNTIF($L$6:$L382,TRUE()))</f>
        <v/>
      </c>
      <c r="N382" s="5" t="str">
        <f aca="false">IF($M382="","","R"&amp;$M382)</f>
        <v/>
      </c>
    </row>
    <row r="383" customFormat="false" ht="15" hidden="false" customHeight="true" outlineLevel="0" collapsed="false">
      <c r="L383" s="21" t="b">
        <f aca="false">IF(원자재마스터!$A380="",FALSE(),AND(IF($B$3="",TRUE(),ISNUMBER(SEARCH($B$3,원자재마스터!$B380&amp;" "&amp;원자재마스터!$C380&amp;" "&amp;원자재마스터!$G380&amp;" "&amp;원자재마스터!$A380))),IF($E$3="",TRUE(),ISNUMBER(SEARCH($E$3,원자재마스터!$C380)))))</f>
        <v>0</v>
      </c>
      <c r="M383" s="5" t="str">
        <f aca="false">IF($L383=FALSE(),"",COUNTIF($L$6:$L383,TRUE()))</f>
        <v/>
      </c>
      <c r="N383" s="5" t="str">
        <f aca="false">IF($M383="","","R"&amp;$M383)</f>
        <v/>
      </c>
    </row>
    <row r="384" customFormat="false" ht="15" hidden="false" customHeight="true" outlineLevel="0" collapsed="false">
      <c r="L384" s="21" t="b">
        <f aca="false">IF(원자재마스터!$A381="",FALSE(),AND(IF($B$3="",TRUE(),ISNUMBER(SEARCH($B$3,원자재마스터!$B381&amp;" "&amp;원자재마스터!$C381&amp;" "&amp;원자재마스터!$G381&amp;" "&amp;원자재마스터!$A381))),IF($E$3="",TRUE(),ISNUMBER(SEARCH($E$3,원자재마스터!$C381)))))</f>
        <v>0</v>
      </c>
      <c r="M384" s="5" t="str">
        <f aca="false">IF($L384=FALSE(),"",COUNTIF($L$6:$L384,TRUE()))</f>
        <v/>
      </c>
      <c r="N384" s="5" t="str">
        <f aca="false">IF($M384="","","R"&amp;$M384)</f>
        <v/>
      </c>
    </row>
    <row r="385" customFormat="false" ht="15" hidden="false" customHeight="true" outlineLevel="0" collapsed="false">
      <c r="L385" s="21" t="b">
        <f aca="false">IF(원자재마스터!$A382="",FALSE(),AND(IF($B$3="",TRUE(),ISNUMBER(SEARCH($B$3,원자재마스터!$B382&amp;" "&amp;원자재마스터!$C382&amp;" "&amp;원자재마스터!$G382&amp;" "&amp;원자재마스터!$A382))),IF($E$3="",TRUE(),ISNUMBER(SEARCH($E$3,원자재마스터!$C382)))))</f>
        <v>0</v>
      </c>
      <c r="M385" s="5" t="str">
        <f aca="false">IF($L385=FALSE(),"",COUNTIF($L$6:$L385,TRUE()))</f>
        <v/>
      </c>
      <c r="N385" s="5" t="str">
        <f aca="false">IF($M385="","","R"&amp;$M385)</f>
        <v/>
      </c>
    </row>
    <row r="386" customFormat="false" ht="15" hidden="false" customHeight="true" outlineLevel="0" collapsed="false">
      <c r="L386" s="21" t="b">
        <f aca="false">IF(원자재마스터!$A383="",FALSE(),AND(IF($B$3="",TRUE(),ISNUMBER(SEARCH($B$3,원자재마스터!$B383&amp;" "&amp;원자재마스터!$C383&amp;" "&amp;원자재마스터!$G383&amp;" "&amp;원자재마스터!$A383))),IF($E$3="",TRUE(),ISNUMBER(SEARCH($E$3,원자재마스터!$C383)))))</f>
        <v>0</v>
      </c>
      <c r="M386" s="5" t="str">
        <f aca="false">IF($L386=FALSE(),"",COUNTIF($L$6:$L386,TRUE()))</f>
        <v/>
      </c>
      <c r="N386" s="5" t="str">
        <f aca="false">IF($M386="","","R"&amp;$M386)</f>
        <v/>
      </c>
    </row>
    <row r="387" customFormat="false" ht="15" hidden="false" customHeight="true" outlineLevel="0" collapsed="false">
      <c r="L387" s="21" t="b">
        <f aca="false">IF(원자재마스터!$A384="",FALSE(),AND(IF($B$3="",TRUE(),ISNUMBER(SEARCH($B$3,원자재마스터!$B384&amp;" "&amp;원자재마스터!$C384&amp;" "&amp;원자재마스터!$G384&amp;" "&amp;원자재마스터!$A384))),IF($E$3="",TRUE(),ISNUMBER(SEARCH($E$3,원자재마스터!$C384)))))</f>
        <v>0</v>
      </c>
      <c r="M387" s="5" t="str">
        <f aca="false">IF($L387=FALSE(),"",COUNTIF($L$6:$L387,TRUE()))</f>
        <v/>
      </c>
      <c r="N387" s="5" t="str">
        <f aca="false">IF($M387="","","R"&amp;$M387)</f>
        <v/>
      </c>
    </row>
    <row r="388" customFormat="false" ht="15" hidden="false" customHeight="true" outlineLevel="0" collapsed="false">
      <c r="L388" s="21" t="b">
        <f aca="false">IF(원자재마스터!$A385="",FALSE(),AND(IF($B$3="",TRUE(),ISNUMBER(SEARCH($B$3,원자재마스터!$B385&amp;" "&amp;원자재마스터!$C385&amp;" "&amp;원자재마스터!$G385&amp;" "&amp;원자재마스터!$A385))),IF($E$3="",TRUE(),ISNUMBER(SEARCH($E$3,원자재마스터!$C385)))))</f>
        <v>0</v>
      </c>
      <c r="M388" s="5" t="str">
        <f aca="false">IF($L388=FALSE(),"",COUNTIF($L$6:$L388,TRUE()))</f>
        <v/>
      </c>
      <c r="N388" s="5" t="str">
        <f aca="false">IF($M388="","","R"&amp;$M388)</f>
        <v/>
      </c>
    </row>
    <row r="389" customFormat="false" ht="15" hidden="false" customHeight="true" outlineLevel="0" collapsed="false">
      <c r="L389" s="21" t="b">
        <f aca="false">IF(원자재마스터!$A386="",FALSE(),AND(IF($B$3="",TRUE(),ISNUMBER(SEARCH($B$3,원자재마스터!$B386&amp;" "&amp;원자재마스터!$C386&amp;" "&amp;원자재마스터!$G386&amp;" "&amp;원자재마스터!$A386))),IF($E$3="",TRUE(),ISNUMBER(SEARCH($E$3,원자재마스터!$C386)))))</f>
        <v>0</v>
      </c>
      <c r="M389" s="5" t="str">
        <f aca="false">IF($L389=FALSE(),"",COUNTIF($L$6:$L389,TRUE()))</f>
        <v/>
      </c>
      <c r="N389" s="5" t="str">
        <f aca="false">IF($M389="","","R"&amp;$M389)</f>
        <v/>
      </c>
    </row>
    <row r="390" customFormat="false" ht="15" hidden="false" customHeight="true" outlineLevel="0" collapsed="false">
      <c r="L390" s="21" t="b">
        <f aca="false">IF(원자재마스터!$A387="",FALSE(),AND(IF($B$3="",TRUE(),ISNUMBER(SEARCH($B$3,원자재마스터!$B387&amp;" "&amp;원자재마스터!$C387&amp;" "&amp;원자재마스터!$G387&amp;" "&amp;원자재마스터!$A387))),IF($E$3="",TRUE(),ISNUMBER(SEARCH($E$3,원자재마스터!$C387)))))</f>
        <v>0</v>
      </c>
      <c r="M390" s="5" t="str">
        <f aca="false">IF($L390=FALSE(),"",COUNTIF($L$6:$L390,TRUE()))</f>
        <v/>
      </c>
      <c r="N390" s="5" t="str">
        <f aca="false">IF($M390="","","R"&amp;$M390)</f>
        <v/>
      </c>
    </row>
    <row r="391" customFormat="false" ht="15" hidden="false" customHeight="true" outlineLevel="0" collapsed="false">
      <c r="L391" s="21" t="b">
        <f aca="false">IF(원자재마스터!$A388="",FALSE(),AND(IF($B$3="",TRUE(),ISNUMBER(SEARCH($B$3,원자재마스터!$B388&amp;" "&amp;원자재마스터!$C388&amp;" "&amp;원자재마스터!$G388&amp;" "&amp;원자재마스터!$A388))),IF($E$3="",TRUE(),ISNUMBER(SEARCH($E$3,원자재마스터!$C388)))))</f>
        <v>0</v>
      </c>
      <c r="M391" s="5" t="str">
        <f aca="false">IF($L391=FALSE(),"",COUNTIF($L$6:$L391,TRUE()))</f>
        <v/>
      </c>
      <c r="N391" s="5" t="str">
        <f aca="false">IF($M391="","","R"&amp;$M391)</f>
        <v/>
      </c>
    </row>
    <row r="392" customFormat="false" ht="15" hidden="false" customHeight="true" outlineLevel="0" collapsed="false">
      <c r="L392" s="21" t="b">
        <f aca="false">IF(원자재마스터!$A389="",FALSE(),AND(IF($B$3="",TRUE(),ISNUMBER(SEARCH($B$3,원자재마스터!$B389&amp;" "&amp;원자재마스터!$C389&amp;" "&amp;원자재마스터!$G389&amp;" "&amp;원자재마스터!$A389))),IF($E$3="",TRUE(),ISNUMBER(SEARCH($E$3,원자재마스터!$C389)))))</f>
        <v>0</v>
      </c>
      <c r="M392" s="5" t="str">
        <f aca="false">IF($L392=FALSE(),"",COUNTIF($L$6:$L392,TRUE()))</f>
        <v/>
      </c>
      <c r="N392" s="5" t="str">
        <f aca="false">IF($M392="","","R"&amp;$M392)</f>
        <v/>
      </c>
    </row>
    <row r="393" customFormat="false" ht="15" hidden="false" customHeight="true" outlineLevel="0" collapsed="false">
      <c r="L393" s="21" t="b">
        <f aca="false">IF(원자재마스터!$A390="",FALSE(),AND(IF($B$3="",TRUE(),ISNUMBER(SEARCH($B$3,원자재마스터!$B390&amp;" "&amp;원자재마스터!$C390&amp;" "&amp;원자재마스터!$G390&amp;" "&amp;원자재마스터!$A390))),IF($E$3="",TRUE(),ISNUMBER(SEARCH($E$3,원자재마스터!$C390)))))</f>
        <v>0</v>
      </c>
      <c r="M393" s="5" t="str">
        <f aca="false">IF($L393=FALSE(),"",COUNTIF($L$6:$L393,TRUE()))</f>
        <v/>
      </c>
      <c r="N393" s="5" t="str">
        <f aca="false">IF($M393="","","R"&amp;$M393)</f>
        <v/>
      </c>
    </row>
    <row r="394" customFormat="false" ht="15" hidden="false" customHeight="true" outlineLevel="0" collapsed="false">
      <c r="L394" s="21" t="b">
        <f aca="false">IF(원자재마스터!$A391="",FALSE(),AND(IF($B$3="",TRUE(),ISNUMBER(SEARCH($B$3,원자재마스터!$B391&amp;" "&amp;원자재마스터!$C391&amp;" "&amp;원자재마스터!$G391&amp;" "&amp;원자재마스터!$A391))),IF($E$3="",TRUE(),ISNUMBER(SEARCH($E$3,원자재마스터!$C391)))))</f>
        <v>0</v>
      </c>
      <c r="M394" s="5" t="str">
        <f aca="false">IF($L394=FALSE(),"",COUNTIF($L$6:$L394,TRUE()))</f>
        <v/>
      </c>
      <c r="N394" s="5" t="str">
        <f aca="false">IF($M394="","","R"&amp;$M394)</f>
        <v/>
      </c>
    </row>
    <row r="395" customFormat="false" ht="15" hidden="false" customHeight="true" outlineLevel="0" collapsed="false">
      <c r="L395" s="21" t="b">
        <f aca="false">IF(원자재마스터!$A392="",FALSE(),AND(IF($B$3="",TRUE(),ISNUMBER(SEARCH($B$3,원자재마스터!$B392&amp;" "&amp;원자재마스터!$C392&amp;" "&amp;원자재마스터!$G392&amp;" "&amp;원자재마스터!$A392))),IF($E$3="",TRUE(),ISNUMBER(SEARCH($E$3,원자재마스터!$C392)))))</f>
        <v>0</v>
      </c>
      <c r="M395" s="5" t="str">
        <f aca="false">IF($L395=FALSE(),"",COUNTIF($L$6:$L395,TRUE()))</f>
        <v/>
      </c>
      <c r="N395" s="5" t="str">
        <f aca="false">IF($M395="","","R"&amp;$M395)</f>
        <v/>
      </c>
    </row>
    <row r="396" customFormat="false" ht="15" hidden="false" customHeight="true" outlineLevel="0" collapsed="false">
      <c r="L396" s="21" t="b">
        <f aca="false">IF(원자재마스터!$A393="",FALSE(),AND(IF($B$3="",TRUE(),ISNUMBER(SEARCH($B$3,원자재마스터!$B393&amp;" "&amp;원자재마스터!$C393&amp;" "&amp;원자재마스터!$G393&amp;" "&amp;원자재마스터!$A393))),IF($E$3="",TRUE(),ISNUMBER(SEARCH($E$3,원자재마스터!$C393)))))</f>
        <v>0</v>
      </c>
      <c r="M396" s="5" t="str">
        <f aca="false">IF($L396=FALSE(),"",COUNTIF($L$6:$L396,TRUE()))</f>
        <v/>
      </c>
      <c r="N396" s="5" t="str">
        <f aca="false">IF($M396="","","R"&amp;$M396)</f>
        <v/>
      </c>
    </row>
    <row r="397" customFormat="false" ht="15" hidden="false" customHeight="true" outlineLevel="0" collapsed="false">
      <c r="L397" s="21" t="b">
        <f aca="false">IF(원자재마스터!$A394="",FALSE(),AND(IF($B$3="",TRUE(),ISNUMBER(SEARCH($B$3,원자재마스터!$B394&amp;" "&amp;원자재마스터!$C394&amp;" "&amp;원자재마스터!$G394&amp;" "&amp;원자재마스터!$A394))),IF($E$3="",TRUE(),ISNUMBER(SEARCH($E$3,원자재마스터!$C394)))))</f>
        <v>0</v>
      </c>
      <c r="M397" s="5" t="str">
        <f aca="false">IF($L397=FALSE(),"",COUNTIF($L$6:$L397,TRUE()))</f>
        <v/>
      </c>
      <c r="N397" s="5" t="str">
        <f aca="false">IF($M397="","","R"&amp;$M397)</f>
        <v/>
      </c>
    </row>
    <row r="398" customFormat="false" ht="15" hidden="false" customHeight="true" outlineLevel="0" collapsed="false">
      <c r="L398" s="21" t="b">
        <f aca="false">IF(원자재마스터!$A395="",FALSE(),AND(IF($B$3="",TRUE(),ISNUMBER(SEARCH($B$3,원자재마스터!$B395&amp;" "&amp;원자재마스터!$C395&amp;" "&amp;원자재마스터!$G395&amp;" "&amp;원자재마스터!$A395))),IF($E$3="",TRUE(),ISNUMBER(SEARCH($E$3,원자재마스터!$C395)))))</f>
        <v>0</v>
      </c>
      <c r="M398" s="5" t="str">
        <f aca="false">IF($L398=FALSE(),"",COUNTIF($L$6:$L398,TRUE()))</f>
        <v/>
      </c>
      <c r="N398" s="5" t="str">
        <f aca="false">IF($M398="","","R"&amp;$M398)</f>
        <v/>
      </c>
    </row>
    <row r="399" customFormat="false" ht="15" hidden="false" customHeight="true" outlineLevel="0" collapsed="false">
      <c r="L399" s="21" t="b">
        <f aca="false">IF(원자재마스터!$A396="",FALSE(),AND(IF($B$3="",TRUE(),ISNUMBER(SEARCH($B$3,원자재마스터!$B396&amp;" "&amp;원자재마스터!$C396&amp;" "&amp;원자재마스터!$G396&amp;" "&amp;원자재마스터!$A396))),IF($E$3="",TRUE(),ISNUMBER(SEARCH($E$3,원자재마스터!$C396)))))</f>
        <v>0</v>
      </c>
      <c r="M399" s="5" t="str">
        <f aca="false">IF($L399=FALSE(),"",COUNTIF($L$6:$L399,TRUE()))</f>
        <v/>
      </c>
      <c r="N399" s="5" t="str">
        <f aca="false">IF($M399="","","R"&amp;$M399)</f>
        <v/>
      </c>
    </row>
    <row r="400" customFormat="false" ht="15" hidden="false" customHeight="true" outlineLevel="0" collapsed="false">
      <c r="L400" s="21" t="b">
        <f aca="false">IF(원자재마스터!$A397="",FALSE(),AND(IF($B$3="",TRUE(),ISNUMBER(SEARCH($B$3,원자재마스터!$B397&amp;" "&amp;원자재마스터!$C397&amp;" "&amp;원자재마스터!$G397&amp;" "&amp;원자재마스터!$A397))),IF($E$3="",TRUE(),ISNUMBER(SEARCH($E$3,원자재마스터!$C397)))))</f>
        <v>0</v>
      </c>
      <c r="M400" s="5" t="str">
        <f aca="false">IF($L400=FALSE(),"",COUNTIF($L$6:$L400,TRUE()))</f>
        <v/>
      </c>
      <c r="N400" s="5" t="str">
        <f aca="false">IF($M400="","","R"&amp;$M400)</f>
        <v/>
      </c>
    </row>
    <row r="401" customFormat="false" ht="15" hidden="false" customHeight="true" outlineLevel="0" collapsed="false">
      <c r="L401" s="21" t="b">
        <f aca="false">IF(원자재마스터!$A398="",FALSE(),AND(IF($B$3="",TRUE(),ISNUMBER(SEARCH($B$3,원자재마스터!$B398&amp;" "&amp;원자재마스터!$C398&amp;" "&amp;원자재마스터!$G398&amp;" "&amp;원자재마스터!$A398))),IF($E$3="",TRUE(),ISNUMBER(SEARCH($E$3,원자재마스터!$C398)))))</f>
        <v>0</v>
      </c>
      <c r="M401" s="5" t="str">
        <f aca="false">IF($L401=FALSE(),"",COUNTIF($L$6:$L401,TRUE()))</f>
        <v/>
      </c>
      <c r="N401" s="5" t="str">
        <f aca="false">IF($M401="","","R"&amp;$M401)</f>
        <v/>
      </c>
    </row>
    <row r="402" customFormat="false" ht="15" hidden="false" customHeight="true" outlineLevel="0" collapsed="false">
      <c r="L402" s="21" t="b">
        <f aca="false">IF(원자재마스터!$A399="",FALSE(),AND(IF($B$3="",TRUE(),ISNUMBER(SEARCH($B$3,원자재마스터!$B399&amp;" "&amp;원자재마스터!$C399&amp;" "&amp;원자재마스터!$G399&amp;" "&amp;원자재마스터!$A399))),IF($E$3="",TRUE(),ISNUMBER(SEARCH($E$3,원자재마스터!$C399)))))</f>
        <v>0</v>
      </c>
      <c r="M402" s="5" t="str">
        <f aca="false">IF($L402=FALSE(),"",COUNTIF($L$6:$L402,TRUE()))</f>
        <v/>
      </c>
      <c r="N402" s="5" t="str">
        <f aca="false">IF($M402="","","R"&amp;$M402)</f>
        <v/>
      </c>
    </row>
    <row r="403" customFormat="false" ht="15" hidden="false" customHeight="true" outlineLevel="0" collapsed="false">
      <c r="L403" s="21" t="b">
        <f aca="false">IF(원자재마스터!$A400="",FALSE(),AND(IF($B$3="",TRUE(),ISNUMBER(SEARCH($B$3,원자재마스터!$B400&amp;" "&amp;원자재마스터!$C400&amp;" "&amp;원자재마스터!$G400&amp;" "&amp;원자재마스터!$A400))),IF($E$3="",TRUE(),ISNUMBER(SEARCH($E$3,원자재마스터!$C400)))))</f>
        <v>0</v>
      </c>
      <c r="M403" s="5" t="str">
        <f aca="false">IF($L403=FALSE(),"",COUNTIF($L$6:$L403,TRUE()))</f>
        <v/>
      </c>
      <c r="N403" s="5" t="str">
        <f aca="false">IF($M403="","","R"&amp;$M403)</f>
        <v/>
      </c>
    </row>
    <row r="404" customFormat="false" ht="15" hidden="false" customHeight="true" outlineLevel="0" collapsed="false">
      <c r="L404" s="21" t="b">
        <f aca="false">IF(원자재마스터!$A401="",FALSE(),AND(IF($B$3="",TRUE(),ISNUMBER(SEARCH($B$3,원자재마스터!$B401&amp;" "&amp;원자재마스터!$C401&amp;" "&amp;원자재마스터!$G401&amp;" "&amp;원자재마스터!$A401))),IF($E$3="",TRUE(),ISNUMBER(SEARCH($E$3,원자재마스터!$C401)))))</f>
        <v>0</v>
      </c>
      <c r="M404" s="5" t="str">
        <f aca="false">IF($L404=FALSE(),"",COUNTIF($L$6:$L404,TRUE()))</f>
        <v/>
      </c>
      <c r="N404" s="5" t="str">
        <f aca="false">IF($M404="","","R"&amp;$M404)</f>
        <v/>
      </c>
    </row>
    <row r="405" customFormat="false" ht="15" hidden="false" customHeight="true" outlineLevel="0" collapsed="false">
      <c r="L405" s="21" t="b">
        <f aca="false">IF(원자재마스터!$A402="",FALSE(),AND(IF($B$3="",TRUE(),ISNUMBER(SEARCH($B$3,원자재마스터!$B402&amp;" "&amp;원자재마스터!$C402&amp;" "&amp;원자재마스터!$G402&amp;" "&amp;원자재마스터!$A402))),IF($E$3="",TRUE(),ISNUMBER(SEARCH($E$3,원자재마스터!$C402)))))</f>
        <v>0</v>
      </c>
      <c r="M405" s="5" t="str">
        <f aca="false">IF($L405=FALSE(),"",COUNTIF($L$6:$L405,TRUE()))</f>
        <v/>
      </c>
      <c r="N405" s="5" t="str">
        <f aca="false">IF($M405="","","R"&amp;$M405)</f>
        <v/>
      </c>
    </row>
    <row r="406" customFormat="false" ht="15" hidden="false" customHeight="true" outlineLevel="0" collapsed="false">
      <c r="L406" s="21" t="b">
        <f aca="false">IF(원자재마스터!$A403="",FALSE(),AND(IF($B$3="",TRUE(),ISNUMBER(SEARCH($B$3,원자재마스터!$B403&amp;" "&amp;원자재마스터!$C403&amp;" "&amp;원자재마스터!$G403&amp;" "&amp;원자재마스터!$A403))),IF($E$3="",TRUE(),ISNUMBER(SEARCH($E$3,원자재마스터!$C403)))))</f>
        <v>0</v>
      </c>
      <c r="M406" s="5" t="str">
        <f aca="false">IF($L406=FALSE(),"",COUNTIF($L$6:$L406,TRUE()))</f>
        <v/>
      </c>
      <c r="N406" s="5" t="str">
        <f aca="false">IF($M406="","","R"&amp;$M406)</f>
        <v/>
      </c>
    </row>
    <row r="407" customFormat="false" ht="15" hidden="false" customHeight="true" outlineLevel="0" collapsed="false">
      <c r="L407" s="21" t="b">
        <f aca="false">IF(원자재마스터!$A404="",FALSE(),AND(IF($B$3="",TRUE(),ISNUMBER(SEARCH($B$3,원자재마스터!$B404&amp;" "&amp;원자재마스터!$C404&amp;" "&amp;원자재마스터!$G404&amp;" "&amp;원자재마스터!$A404))),IF($E$3="",TRUE(),ISNUMBER(SEARCH($E$3,원자재마스터!$C404)))))</f>
        <v>0</v>
      </c>
      <c r="M407" s="5" t="str">
        <f aca="false">IF($L407=FALSE(),"",COUNTIF($L$6:$L407,TRUE()))</f>
        <v/>
      </c>
      <c r="N407" s="5" t="str">
        <f aca="false">IF($M407="","","R"&amp;$M407)</f>
        <v/>
      </c>
    </row>
    <row r="408" customFormat="false" ht="15" hidden="false" customHeight="true" outlineLevel="0" collapsed="false">
      <c r="L408" s="21" t="b">
        <f aca="false">IF(원자재마스터!$A405="",FALSE(),AND(IF($B$3="",TRUE(),ISNUMBER(SEARCH($B$3,원자재마스터!$B405&amp;" "&amp;원자재마스터!$C405&amp;" "&amp;원자재마스터!$G405&amp;" "&amp;원자재마스터!$A405))),IF($E$3="",TRUE(),ISNUMBER(SEARCH($E$3,원자재마스터!$C405)))))</f>
        <v>0</v>
      </c>
      <c r="M408" s="5" t="str">
        <f aca="false">IF($L408=FALSE(),"",COUNTIF($L$6:$L408,TRUE()))</f>
        <v/>
      </c>
      <c r="N408" s="5" t="str">
        <f aca="false">IF($M408="","","R"&amp;$M408)</f>
        <v/>
      </c>
    </row>
    <row r="409" customFormat="false" ht="15" hidden="false" customHeight="true" outlineLevel="0" collapsed="false">
      <c r="L409" s="21" t="b">
        <f aca="false">IF(원자재마스터!$A406="",FALSE(),AND(IF($B$3="",TRUE(),ISNUMBER(SEARCH($B$3,원자재마스터!$B406&amp;" "&amp;원자재마스터!$C406&amp;" "&amp;원자재마스터!$G406&amp;" "&amp;원자재마스터!$A406))),IF($E$3="",TRUE(),ISNUMBER(SEARCH($E$3,원자재마스터!$C406)))))</f>
        <v>0</v>
      </c>
      <c r="M409" s="5" t="str">
        <f aca="false">IF($L409=FALSE(),"",COUNTIF($L$6:$L409,TRUE()))</f>
        <v/>
      </c>
      <c r="N409" s="5" t="str">
        <f aca="false">IF($M409="","","R"&amp;$M409)</f>
        <v/>
      </c>
    </row>
    <row r="410" customFormat="false" ht="15" hidden="false" customHeight="true" outlineLevel="0" collapsed="false">
      <c r="L410" s="21" t="b">
        <f aca="false">IF(원자재마스터!$A407="",FALSE(),AND(IF($B$3="",TRUE(),ISNUMBER(SEARCH($B$3,원자재마스터!$B407&amp;" "&amp;원자재마스터!$C407&amp;" "&amp;원자재마스터!$G407&amp;" "&amp;원자재마스터!$A407))),IF($E$3="",TRUE(),ISNUMBER(SEARCH($E$3,원자재마스터!$C407)))))</f>
        <v>0</v>
      </c>
      <c r="M410" s="5" t="str">
        <f aca="false">IF($L410=FALSE(),"",COUNTIF($L$6:$L410,TRUE()))</f>
        <v/>
      </c>
      <c r="N410" s="5" t="str">
        <f aca="false">IF($M410="","","R"&amp;$M410)</f>
        <v/>
      </c>
    </row>
    <row r="411" customFormat="false" ht="15" hidden="false" customHeight="true" outlineLevel="0" collapsed="false">
      <c r="L411" s="21" t="b">
        <f aca="false">IF(원자재마스터!$A408="",FALSE(),AND(IF($B$3="",TRUE(),ISNUMBER(SEARCH($B$3,원자재마스터!$B408&amp;" "&amp;원자재마스터!$C408&amp;" "&amp;원자재마스터!$G408&amp;" "&amp;원자재마스터!$A408))),IF($E$3="",TRUE(),ISNUMBER(SEARCH($E$3,원자재마스터!$C408)))))</f>
        <v>0</v>
      </c>
      <c r="M411" s="5" t="str">
        <f aca="false">IF($L411=FALSE(),"",COUNTIF($L$6:$L411,TRUE()))</f>
        <v/>
      </c>
      <c r="N411" s="5" t="str">
        <f aca="false">IF($M411="","","R"&amp;$M411)</f>
        <v/>
      </c>
    </row>
    <row r="412" customFormat="false" ht="15" hidden="false" customHeight="true" outlineLevel="0" collapsed="false">
      <c r="L412" s="21" t="b">
        <f aca="false">IF(원자재마스터!$A409="",FALSE(),AND(IF($B$3="",TRUE(),ISNUMBER(SEARCH($B$3,원자재마스터!$B409&amp;" "&amp;원자재마스터!$C409&amp;" "&amp;원자재마스터!$G409&amp;" "&amp;원자재마스터!$A409))),IF($E$3="",TRUE(),ISNUMBER(SEARCH($E$3,원자재마스터!$C409)))))</f>
        <v>0</v>
      </c>
      <c r="M412" s="5" t="str">
        <f aca="false">IF($L412=FALSE(),"",COUNTIF($L$6:$L412,TRUE()))</f>
        <v/>
      </c>
      <c r="N412" s="5" t="str">
        <f aca="false">IF($M412="","","R"&amp;$M412)</f>
        <v/>
      </c>
    </row>
    <row r="413" customFormat="false" ht="15" hidden="false" customHeight="true" outlineLevel="0" collapsed="false">
      <c r="L413" s="21" t="b">
        <f aca="false">IF(원자재마스터!$A410="",FALSE(),AND(IF($B$3="",TRUE(),ISNUMBER(SEARCH($B$3,원자재마스터!$B410&amp;" "&amp;원자재마스터!$C410&amp;" "&amp;원자재마스터!$G410&amp;" "&amp;원자재마스터!$A410))),IF($E$3="",TRUE(),ISNUMBER(SEARCH($E$3,원자재마스터!$C410)))))</f>
        <v>0</v>
      </c>
      <c r="M413" s="5" t="str">
        <f aca="false">IF($L413=FALSE(),"",COUNTIF($L$6:$L413,TRUE()))</f>
        <v/>
      </c>
      <c r="N413" s="5" t="str">
        <f aca="false">IF($M413="","","R"&amp;$M413)</f>
        <v/>
      </c>
    </row>
    <row r="414" customFormat="false" ht="15" hidden="false" customHeight="true" outlineLevel="0" collapsed="false">
      <c r="L414" s="21" t="b">
        <f aca="false">IF(원자재마스터!$A411="",FALSE(),AND(IF($B$3="",TRUE(),ISNUMBER(SEARCH($B$3,원자재마스터!$B411&amp;" "&amp;원자재마스터!$C411&amp;" "&amp;원자재마스터!$G411&amp;" "&amp;원자재마스터!$A411))),IF($E$3="",TRUE(),ISNUMBER(SEARCH($E$3,원자재마스터!$C411)))))</f>
        <v>0</v>
      </c>
      <c r="M414" s="5" t="str">
        <f aca="false">IF($L414=FALSE(),"",COUNTIF($L$6:$L414,TRUE()))</f>
        <v/>
      </c>
      <c r="N414" s="5" t="str">
        <f aca="false">IF($M414="","","R"&amp;$M414)</f>
        <v/>
      </c>
    </row>
    <row r="415" customFormat="false" ht="15" hidden="false" customHeight="true" outlineLevel="0" collapsed="false">
      <c r="L415" s="21" t="b">
        <f aca="false">IF(원자재마스터!$A412="",FALSE(),AND(IF($B$3="",TRUE(),ISNUMBER(SEARCH($B$3,원자재마스터!$B412&amp;" "&amp;원자재마스터!$C412&amp;" "&amp;원자재마스터!$G412&amp;" "&amp;원자재마스터!$A412))),IF($E$3="",TRUE(),ISNUMBER(SEARCH($E$3,원자재마스터!$C412)))))</f>
        <v>0</v>
      </c>
      <c r="M415" s="5" t="str">
        <f aca="false">IF($L415=FALSE(),"",COUNTIF($L$6:$L415,TRUE()))</f>
        <v/>
      </c>
      <c r="N415" s="5" t="str">
        <f aca="false">IF($M415="","","R"&amp;$M415)</f>
        <v/>
      </c>
    </row>
    <row r="416" customFormat="false" ht="15" hidden="false" customHeight="true" outlineLevel="0" collapsed="false">
      <c r="L416" s="21" t="b">
        <f aca="false">IF(원자재마스터!$A413="",FALSE(),AND(IF($B$3="",TRUE(),ISNUMBER(SEARCH($B$3,원자재마스터!$B413&amp;" "&amp;원자재마스터!$C413&amp;" "&amp;원자재마스터!$G413&amp;" "&amp;원자재마스터!$A413))),IF($E$3="",TRUE(),ISNUMBER(SEARCH($E$3,원자재마스터!$C413)))))</f>
        <v>0</v>
      </c>
      <c r="M416" s="5" t="str">
        <f aca="false">IF($L416=FALSE(),"",COUNTIF($L$6:$L416,TRUE()))</f>
        <v/>
      </c>
      <c r="N416" s="5" t="str">
        <f aca="false">IF($M416="","","R"&amp;$M416)</f>
        <v/>
      </c>
    </row>
    <row r="417" customFormat="false" ht="15" hidden="false" customHeight="true" outlineLevel="0" collapsed="false">
      <c r="L417" s="21" t="b">
        <f aca="false">IF(원자재마스터!$A414="",FALSE(),AND(IF($B$3="",TRUE(),ISNUMBER(SEARCH($B$3,원자재마스터!$B414&amp;" "&amp;원자재마스터!$C414&amp;" "&amp;원자재마스터!$G414&amp;" "&amp;원자재마스터!$A414))),IF($E$3="",TRUE(),ISNUMBER(SEARCH($E$3,원자재마스터!$C414)))))</f>
        <v>0</v>
      </c>
      <c r="M417" s="5" t="str">
        <f aca="false">IF($L417=FALSE(),"",COUNTIF($L$6:$L417,TRUE()))</f>
        <v/>
      </c>
      <c r="N417" s="5" t="str">
        <f aca="false">IF($M417="","","R"&amp;$M417)</f>
        <v/>
      </c>
    </row>
    <row r="418" customFormat="false" ht="15" hidden="false" customHeight="true" outlineLevel="0" collapsed="false">
      <c r="L418" s="21" t="b">
        <f aca="false">IF(원자재마스터!$A415="",FALSE(),AND(IF($B$3="",TRUE(),ISNUMBER(SEARCH($B$3,원자재마스터!$B415&amp;" "&amp;원자재마스터!$C415&amp;" "&amp;원자재마스터!$G415&amp;" "&amp;원자재마스터!$A415))),IF($E$3="",TRUE(),ISNUMBER(SEARCH($E$3,원자재마스터!$C415)))))</f>
        <v>0</v>
      </c>
      <c r="M418" s="5" t="str">
        <f aca="false">IF($L418=FALSE(),"",COUNTIF($L$6:$L418,TRUE()))</f>
        <v/>
      </c>
      <c r="N418" s="5" t="str">
        <f aca="false">IF($M418="","","R"&amp;$M418)</f>
        <v/>
      </c>
    </row>
    <row r="419" customFormat="false" ht="15" hidden="false" customHeight="true" outlineLevel="0" collapsed="false">
      <c r="L419" s="21" t="b">
        <f aca="false">IF(원자재마스터!$A416="",FALSE(),AND(IF($B$3="",TRUE(),ISNUMBER(SEARCH($B$3,원자재마스터!$B416&amp;" "&amp;원자재마스터!$C416&amp;" "&amp;원자재마스터!$G416&amp;" "&amp;원자재마스터!$A416))),IF($E$3="",TRUE(),ISNUMBER(SEARCH($E$3,원자재마스터!$C416)))))</f>
        <v>0</v>
      </c>
      <c r="M419" s="5" t="str">
        <f aca="false">IF($L419=FALSE(),"",COUNTIF($L$6:$L419,TRUE()))</f>
        <v/>
      </c>
      <c r="N419" s="5" t="str">
        <f aca="false">IF($M419="","","R"&amp;$M419)</f>
        <v/>
      </c>
    </row>
    <row r="420" customFormat="false" ht="15" hidden="false" customHeight="true" outlineLevel="0" collapsed="false">
      <c r="L420" s="21" t="b">
        <f aca="false">IF(원자재마스터!$A417="",FALSE(),AND(IF($B$3="",TRUE(),ISNUMBER(SEARCH($B$3,원자재마스터!$B417&amp;" "&amp;원자재마스터!$C417&amp;" "&amp;원자재마스터!$G417&amp;" "&amp;원자재마스터!$A417))),IF($E$3="",TRUE(),ISNUMBER(SEARCH($E$3,원자재마스터!$C417)))))</f>
        <v>0</v>
      </c>
      <c r="M420" s="5" t="str">
        <f aca="false">IF($L420=FALSE(),"",COUNTIF($L$6:$L420,TRUE()))</f>
        <v/>
      </c>
      <c r="N420" s="5" t="str">
        <f aca="false">IF($M420="","","R"&amp;$M420)</f>
        <v/>
      </c>
    </row>
    <row r="421" customFormat="false" ht="15" hidden="false" customHeight="true" outlineLevel="0" collapsed="false">
      <c r="L421" s="21" t="b">
        <f aca="false">IF(원자재마스터!$A418="",FALSE(),AND(IF($B$3="",TRUE(),ISNUMBER(SEARCH($B$3,원자재마스터!$B418&amp;" "&amp;원자재마스터!$C418&amp;" "&amp;원자재마스터!$G418&amp;" "&amp;원자재마스터!$A418))),IF($E$3="",TRUE(),ISNUMBER(SEARCH($E$3,원자재마스터!$C418)))))</f>
        <v>0</v>
      </c>
      <c r="M421" s="5" t="str">
        <f aca="false">IF($L421=FALSE(),"",COUNTIF($L$6:$L421,TRUE()))</f>
        <v/>
      </c>
      <c r="N421" s="5" t="str">
        <f aca="false">IF($M421="","","R"&amp;$M421)</f>
        <v/>
      </c>
    </row>
    <row r="422" customFormat="false" ht="15" hidden="false" customHeight="true" outlineLevel="0" collapsed="false">
      <c r="L422" s="21" t="b">
        <f aca="false">IF(원자재마스터!$A419="",FALSE(),AND(IF($B$3="",TRUE(),ISNUMBER(SEARCH($B$3,원자재마스터!$B419&amp;" "&amp;원자재마스터!$C419&amp;" "&amp;원자재마스터!$G419&amp;" "&amp;원자재마스터!$A419))),IF($E$3="",TRUE(),ISNUMBER(SEARCH($E$3,원자재마스터!$C419)))))</f>
        <v>0</v>
      </c>
      <c r="M422" s="5" t="str">
        <f aca="false">IF($L422=FALSE(),"",COUNTIF($L$6:$L422,TRUE()))</f>
        <v/>
      </c>
      <c r="N422" s="5" t="str">
        <f aca="false">IF($M422="","","R"&amp;$M422)</f>
        <v/>
      </c>
    </row>
    <row r="423" customFormat="false" ht="15" hidden="false" customHeight="true" outlineLevel="0" collapsed="false">
      <c r="L423" s="21" t="b">
        <f aca="false">IF(원자재마스터!$A420="",FALSE(),AND(IF($B$3="",TRUE(),ISNUMBER(SEARCH($B$3,원자재마스터!$B420&amp;" "&amp;원자재마스터!$C420&amp;" "&amp;원자재마스터!$G420&amp;" "&amp;원자재마스터!$A420))),IF($E$3="",TRUE(),ISNUMBER(SEARCH($E$3,원자재마스터!$C420)))))</f>
        <v>0</v>
      </c>
      <c r="M423" s="5" t="str">
        <f aca="false">IF($L423=FALSE(),"",COUNTIF($L$6:$L423,TRUE()))</f>
        <v/>
      </c>
      <c r="N423" s="5" t="str">
        <f aca="false">IF($M423="","","R"&amp;$M423)</f>
        <v/>
      </c>
    </row>
    <row r="424" customFormat="false" ht="15" hidden="false" customHeight="true" outlineLevel="0" collapsed="false">
      <c r="L424" s="21" t="b">
        <f aca="false">IF(원자재마스터!$A421="",FALSE(),AND(IF($B$3="",TRUE(),ISNUMBER(SEARCH($B$3,원자재마스터!$B421&amp;" "&amp;원자재마스터!$C421&amp;" "&amp;원자재마스터!$G421&amp;" "&amp;원자재마스터!$A421))),IF($E$3="",TRUE(),ISNUMBER(SEARCH($E$3,원자재마스터!$C421)))))</f>
        <v>0</v>
      </c>
      <c r="M424" s="5" t="str">
        <f aca="false">IF($L424=FALSE(),"",COUNTIF($L$6:$L424,TRUE()))</f>
        <v/>
      </c>
      <c r="N424" s="5" t="str">
        <f aca="false">IF($M424="","","R"&amp;$M424)</f>
        <v/>
      </c>
    </row>
    <row r="425" customFormat="false" ht="15" hidden="false" customHeight="true" outlineLevel="0" collapsed="false">
      <c r="L425" s="21" t="b">
        <f aca="false">IF(원자재마스터!$A422="",FALSE(),AND(IF($B$3="",TRUE(),ISNUMBER(SEARCH($B$3,원자재마스터!$B422&amp;" "&amp;원자재마스터!$C422&amp;" "&amp;원자재마스터!$G422&amp;" "&amp;원자재마스터!$A422))),IF($E$3="",TRUE(),ISNUMBER(SEARCH($E$3,원자재마스터!$C422)))))</f>
        <v>0</v>
      </c>
      <c r="M425" s="5" t="str">
        <f aca="false">IF($L425=FALSE(),"",COUNTIF($L$6:$L425,TRUE()))</f>
        <v/>
      </c>
      <c r="N425" s="5" t="str">
        <f aca="false">IF($M425="","","R"&amp;$M425)</f>
        <v/>
      </c>
    </row>
    <row r="426" customFormat="false" ht="15" hidden="false" customHeight="true" outlineLevel="0" collapsed="false">
      <c r="L426" s="21" t="b">
        <f aca="false">IF(원자재마스터!$A423="",FALSE(),AND(IF($B$3="",TRUE(),ISNUMBER(SEARCH($B$3,원자재마스터!$B423&amp;" "&amp;원자재마스터!$C423&amp;" "&amp;원자재마스터!$G423&amp;" "&amp;원자재마스터!$A423))),IF($E$3="",TRUE(),ISNUMBER(SEARCH($E$3,원자재마스터!$C423)))))</f>
        <v>0</v>
      </c>
      <c r="M426" s="5" t="str">
        <f aca="false">IF($L426=FALSE(),"",COUNTIF($L$6:$L426,TRUE()))</f>
        <v/>
      </c>
      <c r="N426" s="5" t="str">
        <f aca="false">IF($M426="","","R"&amp;$M426)</f>
        <v/>
      </c>
    </row>
    <row r="427" customFormat="false" ht="15" hidden="false" customHeight="true" outlineLevel="0" collapsed="false">
      <c r="L427" s="21" t="b">
        <f aca="false">IF(원자재마스터!$A424="",FALSE(),AND(IF($B$3="",TRUE(),ISNUMBER(SEARCH($B$3,원자재마스터!$B424&amp;" "&amp;원자재마스터!$C424&amp;" "&amp;원자재마스터!$G424&amp;" "&amp;원자재마스터!$A424))),IF($E$3="",TRUE(),ISNUMBER(SEARCH($E$3,원자재마스터!$C424)))))</f>
        <v>0</v>
      </c>
      <c r="M427" s="5" t="str">
        <f aca="false">IF($L427=FALSE(),"",COUNTIF($L$6:$L427,TRUE()))</f>
        <v/>
      </c>
      <c r="N427" s="5" t="str">
        <f aca="false">IF($M427="","","R"&amp;$M427)</f>
        <v/>
      </c>
    </row>
    <row r="428" customFormat="false" ht="15" hidden="false" customHeight="true" outlineLevel="0" collapsed="false">
      <c r="L428" s="21" t="b">
        <f aca="false">IF(원자재마스터!$A425="",FALSE(),AND(IF($B$3="",TRUE(),ISNUMBER(SEARCH($B$3,원자재마스터!$B425&amp;" "&amp;원자재마스터!$C425&amp;" "&amp;원자재마스터!$G425&amp;" "&amp;원자재마스터!$A425))),IF($E$3="",TRUE(),ISNUMBER(SEARCH($E$3,원자재마스터!$C425)))))</f>
        <v>0</v>
      </c>
      <c r="M428" s="5" t="str">
        <f aca="false">IF($L428=FALSE(),"",COUNTIF($L$6:$L428,TRUE()))</f>
        <v/>
      </c>
      <c r="N428" s="5" t="str">
        <f aca="false">IF($M428="","","R"&amp;$M428)</f>
        <v/>
      </c>
    </row>
    <row r="429" customFormat="false" ht="15" hidden="false" customHeight="true" outlineLevel="0" collapsed="false">
      <c r="L429" s="21" t="b">
        <f aca="false">IF(원자재마스터!$A426="",FALSE(),AND(IF($B$3="",TRUE(),ISNUMBER(SEARCH($B$3,원자재마스터!$B426&amp;" "&amp;원자재마스터!$C426&amp;" "&amp;원자재마스터!$G426&amp;" "&amp;원자재마스터!$A426))),IF($E$3="",TRUE(),ISNUMBER(SEARCH($E$3,원자재마스터!$C426)))))</f>
        <v>0</v>
      </c>
      <c r="M429" s="5" t="str">
        <f aca="false">IF($L429=FALSE(),"",COUNTIF($L$6:$L429,TRUE()))</f>
        <v/>
      </c>
      <c r="N429" s="5" t="str">
        <f aca="false">IF($M429="","","R"&amp;$M429)</f>
        <v/>
      </c>
    </row>
    <row r="430" customFormat="false" ht="15" hidden="false" customHeight="true" outlineLevel="0" collapsed="false">
      <c r="L430" s="21" t="b">
        <f aca="false">IF(원자재마스터!$A427="",FALSE(),AND(IF($B$3="",TRUE(),ISNUMBER(SEARCH($B$3,원자재마스터!$B427&amp;" "&amp;원자재마스터!$C427&amp;" "&amp;원자재마스터!$G427&amp;" "&amp;원자재마스터!$A427))),IF($E$3="",TRUE(),ISNUMBER(SEARCH($E$3,원자재마스터!$C427)))))</f>
        <v>0</v>
      </c>
      <c r="M430" s="5" t="str">
        <f aca="false">IF($L430=FALSE(),"",COUNTIF($L$6:$L430,TRUE()))</f>
        <v/>
      </c>
      <c r="N430" s="5" t="str">
        <f aca="false">IF($M430="","","R"&amp;$M430)</f>
        <v/>
      </c>
    </row>
    <row r="431" customFormat="false" ht="15" hidden="false" customHeight="true" outlineLevel="0" collapsed="false">
      <c r="L431" s="21" t="b">
        <f aca="false">IF(원자재마스터!$A428="",FALSE(),AND(IF($B$3="",TRUE(),ISNUMBER(SEARCH($B$3,원자재마스터!$B428&amp;" "&amp;원자재마스터!$C428&amp;" "&amp;원자재마스터!$G428&amp;" "&amp;원자재마스터!$A428))),IF($E$3="",TRUE(),ISNUMBER(SEARCH($E$3,원자재마스터!$C428)))))</f>
        <v>0</v>
      </c>
      <c r="M431" s="5" t="str">
        <f aca="false">IF($L431=FALSE(),"",COUNTIF($L$6:$L431,TRUE()))</f>
        <v/>
      </c>
      <c r="N431" s="5" t="str">
        <f aca="false">IF($M431="","","R"&amp;$M431)</f>
        <v/>
      </c>
    </row>
    <row r="432" customFormat="false" ht="15" hidden="false" customHeight="true" outlineLevel="0" collapsed="false">
      <c r="L432" s="21" t="b">
        <f aca="false">IF(원자재마스터!$A429="",FALSE(),AND(IF($B$3="",TRUE(),ISNUMBER(SEARCH($B$3,원자재마스터!$B429&amp;" "&amp;원자재마스터!$C429&amp;" "&amp;원자재마스터!$G429&amp;" "&amp;원자재마스터!$A429))),IF($E$3="",TRUE(),ISNUMBER(SEARCH($E$3,원자재마스터!$C429)))))</f>
        <v>0</v>
      </c>
      <c r="M432" s="5" t="str">
        <f aca="false">IF($L432=FALSE(),"",COUNTIF($L$6:$L432,TRUE()))</f>
        <v/>
      </c>
      <c r="N432" s="5" t="str">
        <f aca="false">IF($M432="","","R"&amp;$M432)</f>
        <v/>
      </c>
    </row>
    <row r="433" customFormat="false" ht="15" hidden="false" customHeight="true" outlineLevel="0" collapsed="false">
      <c r="L433" s="21" t="b">
        <f aca="false">IF(원자재마스터!$A430="",FALSE(),AND(IF($B$3="",TRUE(),ISNUMBER(SEARCH($B$3,원자재마스터!$B430&amp;" "&amp;원자재마스터!$C430&amp;" "&amp;원자재마스터!$G430&amp;" "&amp;원자재마스터!$A430))),IF($E$3="",TRUE(),ISNUMBER(SEARCH($E$3,원자재마스터!$C430)))))</f>
        <v>0</v>
      </c>
      <c r="M433" s="5" t="str">
        <f aca="false">IF($L433=FALSE(),"",COUNTIF($L$6:$L433,TRUE()))</f>
        <v/>
      </c>
      <c r="N433" s="5" t="str">
        <f aca="false">IF($M433="","","R"&amp;$M433)</f>
        <v/>
      </c>
    </row>
    <row r="434" customFormat="false" ht="15" hidden="false" customHeight="true" outlineLevel="0" collapsed="false">
      <c r="L434" s="21" t="b">
        <f aca="false">IF(원자재마스터!$A431="",FALSE(),AND(IF($B$3="",TRUE(),ISNUMBER(SEARCH($B$3,원자재마스터!$B431&amp;" "&amp;원자재마스터!$C431&amp;" "&amp;원자재마스터!$G431&amp;" "&amp;원자재마스터!$A431))),IF($E$3="",TRUE(),ISNUMBER(SEARCH($E$3,원자재마스터!$C431)))))</f>
        <v>0</v>
      </c>
      <c r="M434" s="5" t="str">
        <f aca="false">IF($L434=FALSE(),"",COUNTIF($L$6:$L434,TRUE()))</f>
        <v/>
      </c>
      <c r="N434" s="5" t="str">
        <f aca="false">IF($M434="","","R"&amp;$M434)</f>
        <v/>
      </c>
    </row>
    <row r="435" customFormat="false" ht="15" hidden="false" customHeight="true" outlineLevel="0" collapsed="false">
      <c r="L435" s="21" t="b">
        <f aca="false">IF(원자재마스터!$A432="",FALSE(),AND(IF($B$3="",TRUE(),ISNUMBER(SEARCH($B$3,원자재마스터!$B432&amp;" "&amp;원자재마스터!$C432&amp;" "&amp;원자재마스터!$G432&amp;" "&amp;원자재마스터!$A432))),IF($E$3="",TRUE(),ISNUMBER(SEARCH($E$3,원자재마스터!$C432)))))</f>
        <v>0</v>
      </c>
      <c r="M435" s="5" t="str">
        <f aca="false">IF($L435=FALSE(),"",COUNTIF($L$6:$L435,TRUE()))</f>
        <v/>
      </c>
      <c r="N435" s="5" t="str">
        <f aca="false">IF($M435="","","R"&amp;$M435)</f>
        <v/>
      </c>
    </row>
    <row r="436" customFormat="false" ht="15" hidden="false" customHeight="true" outlineLevel="0" collapsed="false">
      <c r="L436" s="21" t="b">
        <f aca="false">IF(원자재마스터!$A433="",FALSE(),AND(IF($B$3="",TRUE(),ISNUMBER(SEARCH($B$3,원자재마스터!$B433&amp;" "&amp;원자재마스터!$C433&amp;" "&amp;원자재마스터!$G433&amp;" "&amp;원자재마스터!$A433))),IF($E$3="",TRUE(),ISNUMBER(SEARCH($E$3,원자재마스터!$C433)))))</f>
        <v>0</v>
      </c>
      <c r="M436" s="5" t="str">
        <f aca="false">IF($L436=FALSE(),"",COUNTIF($L$6:$L436,TRUE()))</f>
        <v/>
      </c>
      <c r="N436" s="5" t="str">
        <f aca="false">IF($M436="","","R"&amp;$M436)</f>
        <v/>
      </c>
    </row>
    <row r="437" customFormat="false" ht="15" hidden="false" customHeight="true" outlineLevel="0" collapsed="false">
      <c r="L437" s="21" t="b">
        <f aca="false">IF(원자재마스터!$A434="",FALSE(),AND(IF($B$3="",TRUE(),ISNUMBER(SEARCH($B$3,원자재마스터!$B434&amp;" "&amp;원자재마스터!$C434&amp;" "&amp;원자재마스터!$G434&amp;" "&amp;원자재마스터!$A434))),IF($E$3="",TRUE(),ISNUMBER(SEARCH($E$3,원자재마스터!$C434)))))</f>
        <v>0</v>
      </c>
      <c r="M437" s="5" t="str">
        <f aca="false">IF($L437=FALSE(),"",COUNTIF($L$6:$L437,TRUE()))</f>
        <v/>
      </c>
      <c r="N437" s="5" t="str">
        <f aca="false">IF($M437="","","R"&amp;$M437)</f>
        <v/>
      </c>
    </row>
    <row r="438" customFormat="false" ht="15" hidden="false" customHeight="true" outlineLevel="0" collapsed="false">
      <c r="L438" s="21" t="b">
        <f aca="false">IF(원자재마스터!$A435="",FALSE(),AND(IF($B$3="",TRUE(),ISNUMBER(SEARCH($B$3,원자재마스터!$B435&amp;" "&amp;원자재마스터!$C435&amp;" "&amp;원자재마스터!$G435&amp;" "&amp;원자재마스터!$A435))),IF($E$3="",TRUE(),ISNUMBER(SEARCH($E$3,원자재마스터!$C435)))))</f>
        <v>0</v>
      </c>
      <c r="M438" s="5" t="str">
        <f aca="false">IF($L438=FALSE(),"",COUNTIF($L$6:$L438,TRUE()))</f>
        <v/>
      </c>
      <c r="N438" s="5" t="str">
        <f aca="false">IF($M438="","","R"&amp;$M438)</f>
        <v/>
      </c>
    </row>
    <row r="439" customFormat="false" ht="15" hidden="false" customHeight="true" outlineLevel="0" collapsed="false">
      <c r="L439" s="21" t="b">
        <f aca="false">IF(원자재마스터!$A436="",FALSE(),AND(IF($B$3="",TRUE(),ISNUMBER(SEARCH($B$3,원자재마스터!$B436&amp;" "&amp;원자재마스터!$C436&amp;" "&amp;원자재마스터!$G436&amp;" "&amp;원자재마스터!$A436))),IF($E$3="",TRUE(),ISNUMBER(SEARCH($E$3,원자재마스터!$C436)))))</f>
        <v>0</v>
      </c>
      <c r="M439" s="5" t="str">
        <f aca="false">IF($L439=FALSE(),"",COUNTIF($L$6:$L439,TRUE()))</f>
        <v/>
      </c>
      <c r="N439" s="5" t="str">
        <f aca="false">IF($M439="","","R"&amp;$M439)</f>
        <v/>
      </c>
    </row>
    <row r="440" customFormat="false" ht="15" hidden="false" customHeight="true" outlineLevel="0" collapsed="false">
      <c r="L440" s="21" t="b">
        <f aca="false">IF(원자재마스터!$A437="",FALSE(),AND(IF($B$3="",TRUE(),ISNUMBER(SEARCH($B$3,원자재마스터!$B437&amp;" "&amp;원자재마스터!$C437&amp;" "&amp;원자재마스터!$G437&amp;" "&amp;원자재마스터!$A437))),IF($E$3="",TRUE(),ISNUMBER(SEARCH($E$3,원자재마스터!$C437)))))</f>
        <v>0</v>
      </c>
      <c r="M440" s="5" t="str">
        <f aca="false">IF($L440=FALSE(),"",COUNTIF($L$6:$L440,TRUE()))</f>
        <v/>
      </c>
      <c r="N440" s="5" t="str">
        <f aca="false">IF($M440="","","R"&amp;$M440)</f>
        <v/>
      </c>
    </row>
    <row r="441" customFormat="false" ht="15" hidden="false" customHeight="true" outlineLevel="0" collapsed="false">
      <c r="L441" s="21" t="b">
        <f aca="false">IF(원자재마스터!$A438="",FALSE(),AND(IF($B$3="",TRUE(),ISNUMBER(SEARCH($B$3,원자재마스터!$B438&amp;" "&amp;원자재마스터!$C438&amp;" "&amp;원자재마스터!$G438&amp;" "&amp;원자재마스터!$A438))),IF($E$3="",TRUE(),ISNUMBER(SEARCH($E$3,원자재마스터!$C438)))))</f>
        <v>0</v>
      </c>
      <c r="M441" s="5" t="str">
        <f aca="false">IF($L441=FALSE(),"",COUNTIF($L$6:$L441,TRUE()))</f>
        <v/>
      </c>
      <c r="N441" s="5" t="str">
        <f aca="false">IF($M441="","","R"&amp;$M441)</f>
        <v/>
      </c>
    </row>
    <row r="442" customFormat="false" ht="15" hidden="false" customHeight="true" outlineLevel="0" collapsed="false">
      <c r="L442" s="21" t="b">
        <f aca="false">IF(원자재마스터!$A439="",FALSE(),AND(IF($B$3="",TRUE(),ISNUMBER(SEARCH($B$3,원자재마스터!$B439&amp;" "&amp;원자재마스터!$C439&amp;" "&amp;원자재마스터!$G439&amp;" "&amp;원자재마스터!$A439))),IF($E$3="",TRUE(),ISNUMBER(SEARCH($E$3,원자재마스터!$C439)))))</f>
        <v>0</v>
      </c>
      <c r="M442" s="5" t="str">
        <f aca="false">IF($L442=FALSE(),"",COUNTIF($L$6:$L442,TRUE()))</f>
        <v/>
      </c>
      <c r="N442" s="5" t="str">
        <f aca="false">IF($M442="","","R"&amp;$M442)</f>
        <v/>
      </c>
    </row>
    <row r="443" customFormat="false" ht="15" hidden="false" customHeight="true" outlineLevel="0" collapsed="false">
      <c r="L443" s="21" t="b">
        <f aca="false">IF(원자재마스터!$A440="",FALSE(),AND(IF($B$3="",TRUE(),ISNUMBER(SEARCH($B$3,원자재마스터!$B440&amp;" "&amp;원자재마스터!$C440&amp;" "&amp;원자재마스터!$G440&amp;" "&amp;원자재마스터!$A440))),IF($E$3="",TRUE(),ISNUMBER(SEARCH($E$3,원자재마스터!$C440)))))</f>
        <v>0</v>
      </c>
      <c r="M443" s="5" t="str">
        <f aca="false">IF($L443=FALSE(),"",COUNTIF($L$6:$L443,TRUE()))</f>
        <v/>
      </c>
      <c r="N443" s="5" t="str">
        <f aca="false">IF($M443="","","R"&amp;$M443)</f>
        <v/>
      </c>
    </row>
    <row r="444" customFormat="false" ht="15" hidden="false" customHeight="true" outlineLevel="0" collapsed="false">
      <c r="L444" s="21" t="b">
        <f aca="false">IF(원자재마스터!$A441="",FALSE(),AND(IF($B$3="",TRUE(),ISNUMBER(SEARCH($B$3,원자재마스터!$B441&amp;" "&amp;원자재마스터!$C441&amp;" "&amp;원자재마스터!$G441&amp;" "&amp;원자재마스터!$A441))),IF($E$3="",TRUE(),ISNUMBER(SEARCH($E$3,원자재마스터!$C441)))))</f>
        <v>0</v>
      </c>
      <c r="M444" s="5" t="str">
        <f aca="false">IF($L444=FALSE(),"",COUNTIF($L$6:$L444,TRUE()))</f>
        <v/>
      </c>
      <c r="N444" s="5" t="str">
        <f aca="false">IF($M444="","","R"&amp;$M444)</f>
        <v/>
      </c>
    </row>
    <row r="445" customFormat="false" ht="15" hidden="false" customHeight="true" outlineLevel="0" collapsed="false">
      <c r="L445" s="21" t="b">
        <f aca="false">IF(원자재마스터!$A442="",FALSE(),AND(IF($B$3="",TRUE(),ISNUMBER(SEARCH($B$3,원자재마스터!$B442&amp;" "&amp;원자재마스터!$C442&amp;" "&amp;원자재마스터!$G442&amp;" "&amp;원자재마스터!$A442))),IF($E$3="",TRUE(),ISNUMBER(SEARCH($E$3,원자재마스터!$C442)))))</f>
        <v>0</v>
      </c>
      <c r="M445" s="5" t="str">
        <f aca="false">IF($L445=FALSE(),"",COUNTIF($L$6:$L445,TRUE()))</f>
        <v/>
      </c>
      <c r="N445" s="5" t="str">
        <f aca="false">IF($M445="","","R"&amp;$M445)</f>
        <v/>
      </c>
    </row>
    <row r="446" customFormat="false" ht="15" hidden="false" customHeight="true" outlineLevel="0" collapsed="false">
      <c r="L446" s="21" t="b">
        <f aca="false">IF(원자재마스터!$A443="",FALSE(),AND(IF($B$3="",TRUE(),ISNUMBER(SEARCH($B$3,원자재마스터!$B443&amp;" "&amp;원자재마스터!$C443&amp;" "&amp;원자재마스터!$G443&amp;" "&amp;원자재마스터!$A443))),IF($E$3="",TRUE(),ISNUMBER(SEARCH($E$3,원자재마스터!$C443)))))</f>
        <v>0</v>
      </c>
      <c r="M446" s="5" t="str">
        <f aca="false">IF($L446=FALSE(),"",COUNTIF($L$6:$L446,TRUE()))</f>
        <v/>
      </c>
      <c r="N446" s="5" t="str">
        <f aca="false">IF($M446="","","R"&amp;$M446)</f>
        <v/>
      </c>
    </row>
    <row r="447" customFormat="false" ht="15" hidden="false" customHeight="true" outlineLevel="0" collapsed="false">
      <c r="L447" s="21" t="b">
        <f aca="false">IF(원자재마스터!$A444="",FALSE(),AND(IF($B$3="",TRUE(),ISNUMBER(SEARCH($B$3,원자재마스터!$B444&amp;" "&amp;원자재마스터!$C444&amp;" "&amp;원자재마스터!$G444&amp;" "&amp;원자재마스터!$A444))),IF($E$3="",TRUE(),ISNUMBER(SEARCH($E$3,원자재마스터!$C444)))))</f>
        <v>0</v>
      </c>
      <c r="M447" s="5" t="str">
        <f aca="false">IF($L447=FALSE(),"",COUNTIF($L$6:$L447,TRUE()))</f>
        <v/>
      </c>
      <c r="N447" s="5" t="str">
        <f aca="false">IF($M447="","","R"&amp;$M447)</f>
        <v/>
      </c>
    </row>
    <row r="448" customFormat="false" ht="15" hidden="false" customHeight="true" outlineLevel="0" collapsed="false">
      <c r="L448" s="21" t="b">
        <f aca="false">IF(원자재마스터!$A445="",FALSE(),AND(IF($B$3="",TRUE(),ISNUMBER(SEARCH($B$3,원자재마스터!$B445&amp;" "&amp;원자재마스터!$C445&amp;" "&amp;원자재마스터!$G445&amp;" "&amp;원자재마스터!$A445))),IF($E$3="",TRUE(),ISNUMBER(SEARCH($E$3,원자재마스터!$C445)))))</f>
        <v>0</v>
      </c>
      <c r="M448" s="5" t="str">
        <f aca="false">IF($L448=FALSE(),"",COUNTIF($L$6:$L448,TRUE()))</f>
        <v/>
      </c>
      <c r="N448" s="5" t="str">
        <f aca="false">IF($M448="","","R"&amp;$M448)</f>
        <v/>
      </c>
    </row>
    <row r="449" customFormat="false" ht="15" hidden="false" customHeight="true" outlineLevel="0" collapsed="false">
      <c r="L449" s="21" t="b">
        <f aca="false">IF(원자재마스터!$A446="",FALSE(),AND(IF($B$3="",TRUE(),ISNUMBER(SEARCH($B$3,원자재마스터!$B446&amp;" "&amp;원자재마스터!$C446&amp;" "&amp;원자재마스터!$G446&amp;" "&amp;원자재마스터!$A446))),IF($E$3="",TRUE(),ISNUMBER(SEARCH($E$3,원자재마스터!$C446)))))</f>
        <v>0</v>
      </c>
      <c r="M449" s="5" t="str">
        <f aca="false">IF($L449=FALSE(),"",COUNTIF($L$6:$L449,TRUE()))</f>
        <v/>
      </c>
      <c r="N449" s="5" t="str">
        <f aca="false">IF($M449="","","R"&amp;$M449)</f>
        <v/>
      </c>
    </row>
    <row r="450" customFormat="false" ht="15" hidden="false" customHeight="true" outlineLevel="0" collapsed="false">
      <c r="L450" s="21" t="b">
        <f aca="false">IF(원자재마스터!$A447="",FALSE(),AND(IF($B$3="",TRUE(),ISNUMBER(SEARCH($B$3,원자재마스터!$B447&amp;" "&amp;원자재마스터!$C447&amp;" "&amp;원자재마스터!$G447&amp;" "&amp;원자재마스터!$A447))),IF($E$3="",TRUE(),ISNUMBER(SEARCH($E$3,원자재마스터!$C447)))))</f>
        <v>0</v>
      </c>
      <c r="M450" s="5" t="str">
        <f aca="false">IF($L450=FALSE(),"",COUNTIF($L$6:$L450,TRUE()))</f>
        <v/>
      </c>
      <c r="N450" s="5" t="str">
        <f aca="false">IF($M450="","","R"&amp;$M450)</f>
        <v/>
      </c>
    </row>
    <row r="451" customFormat="false" ht="15" hidden="false" customHeight="true" outlineLevel="0" collapsed="false">
      <c r="L451" s="21" t="b">
        <f aca="false">IF(원자재마스터!$A448="",FALSE(),AND(IF($B$3="",TRUE(),ISNUMBER(SEARCH($B$3,원자재마스터!$B448&amp;" "&amp;원자재마스터!$C448&amp;" "&amp;원자재마스터!$G448&amp;" "&amp;원자재마스터!$A448))),IF($E$3="",TRUE(),ISNUMBER(SEARCH($E$3,원자재마스터!$C448)))))</f>
        <v>0</v>
      </c>
      <c r="M451" s="5" t="str">
        <f aca="false">IF($L451=FALSE(),"",COUNTIF($L$6:$L451,TRUE()))</f>
        <v/>
      </c>
      <c r="N451" s="5" t="str">
        <f aca="false">IF($M451="","","R"&amp;$M451)</f>
        <v/>
      </c>
    </row>
    <row r="452" customFormat="false" ht="15" hidden="false" customHeight="true" outlineLevel="0" collapsed="false">
      <c r="L452" s="21" t="b">
        <f aca="false">IF(원자재마스터!$A449="",FALSE(),AND(IF($B$3="",TRUE(),ISNUMBER(SEARCH($B$3,원자재마스터!$B449&amp;" "&amp;원자재마스터!$C449&amp;" "&amp;원자재마스터!$G449&amp;" "&amp;원자재마스터!$A449))),IF($E$3="",TRUE(),ISNUMBER(SEARCH($E$3,원자재마스터!$C449)))))</f>
        <v>0</v>
      </c>
      <c r="M452" s="5" t="str">
        <f aca="false">IF($L452=FALSE(),"",COUNTIF($L$6:$L452,TRUE()))</f>
        <v/>
      </c>
      <c r="N452" s="5" t="str">
        <f aca="false">IF($M452="","","R"&amp;$M452)</f>
        <v/>
      </c>
    </row>
    <row r="453" customFormat="false" ht="15" hidden="false" customHeight="true" outlineLevel="0" collapsed="false">
      <c r="L453" s="21" t="b">
        <f aca="false">IF(원자재마스터!$A450="",FALSE(),AND(IF($B$3="",TRUE(),ISNUMBER(SEARCH($B$3,원자재마스터!$B450&amp;" "&amp;원자재마스터!$C450&amp;" "&amp;원자재마스터!$G450&amp;" "&amp;원자재마스터!$A450))),IF($E$3="",TRUE(),ISNUMBER(SEARCH($E$3,원자재마스터!$C450)))))</f>
        <v>0</v>
      </c>
      <c r="M453" s="5" t="str">
        <f aca="false">IF($L453=FALSE(),"",COUNTIF($L$6:$L453,TRUE()))</f>
        <v/>
      </c>
      <c r="N453" s="5" t="str">
        <f aca="false">IF($M453="","","R"&amp;$M453)</f>
        <v/>
      </c>
    </row>
    <row r="454" customFormat="false" ht="15" hidden="false" customHeight="true" outlineLevel="0" collapsed="false">
      <c r="L454" s="21" t="b">
        <f aca="false">IF(원자재마스터!$A451="",FALSE(),AND(IF($B$3="",TRUE(),ISNUMBER(SEARCH($B$3,원자재마스터!$B451&amp;" "&amp;원자재마스터!$C451&amp;" "&amp;원자재마스터!$G451&amp;" "&amp;원자재마스터!$A451))),IF($E$3="",TRUE(),ISNUMBER(SEARCH($E$3,원자재마스터!$C451)))))</f>
        <v>0</v>
      </c>
      <c r="M454" s="5" t="str">
        <f aca="false">IF($L454=FALSE(),"",COUNTIF($L$6:$L454,TRUE()))</f>
        <v/>
      </c>
      <c r="N454" s="5" t="str">
        <f aca="false">IF($M454="","","R"&amp;$M454)</f>
        <v/>
      </c>
    </row>
    <row r="455" customFormat="false" ht="15" hidden="false" customHeight="true" outlineLevel="0" collapsed="false">
      <c r="L455" s="21" t="b">
        <f aca="false">IF(원자재마스터!$A452="",FALSE(),AND(IF($B$3="",TRUE(),ISNUMBER(SEARCH($B$3,원자재마스터!$B452&amp;" "&amp;원자재마스터!$C452&amp;" "&amp;원자재마스터!$G452&amp;" "&amp;원자재마스터!$A452))),IF($E$3="",TRUE(),ISNUMBER(SEARCH($E$3,원자재마스터!$C452)))))</f>
        <v>0</v>
      </c>
      <c r="M455" s="5" t="str">
        <f aca="false">IF($L455=FALSE(),"",COUNTIF($L$6:$L455,TRUE()))</f>
        <v/>
      </c>
      <c r="N455" s="5" t="str">
        <f aca="false">IF($M455="","","R"&amp;$M455)</f>
        <v/>
      </c>
    </row>
    <row r="456" customFormat="false" ht="15" hidden="false" customHeight="true" outlineLevel="0" collapsed="false">
      <c r="L456" s="21" t="b">
        <f aca="false">IF(원자재마스터!$A453="",FALSE(),AND(IF($B$3="",TRUE(),ISNUMBER(SEARCH($B$3,원자재마스터!$B453&amp;" "&amp;원자재마스터!$C453&amp;" "&amp;원자재마스터!$G453&amp;" "&amp;원자재마스터!$A453))),IF($E$3="",TRUE(),ISNUMBER(SEARCH($E$3,원자재마스터!$C453)))))</f>
        <v>0</v>
      </c>
      <c r="M456" s="5" t="str">
        <f aca="false">IF($L456=FALSE(),"",COUNTIF($L$6:$L456,TRUE()))</f>
        <v/>
      </c>
      <c r="N456" s="5" t="str">
        <f aca="false">IF($M456="","","R"&amp;$M456)</f>
        <v/>
      </c>
    </row>
    <row r="457" customFormat="false" ht="15" hidden="false" customHeight="true" outlineLevel="0" collapsed="false">
      <c r="L457" s="21" t="b">
        <f aca="false">IF(원자재마스터!$A454="",FALSE(),AND(IF($B$3="",TRUE(),ISNUMBER(SEARCH($B$3,원자재마스터!$B454&amp;" "&amp;원자재마스터!$C454&amp;" "&amp;원자재마스터!$G454&amp;" "&amp;원자재마스터!$A454))),IF($E$3="",TRUE(),ISNUMBER(SEARCH($E$3,원자재마스터!$C454)))))</f>
        <v>0</v>
      </c>
      <c r="M457" s="5" t="str">
        <f aca="false">IF($L457=FALSE(),"",COUNTIF($L$6:$L457,TRUE()))</f>
        <v/>
      </c>
      <c r="N457" s="5" t="str">
        <f aca="false">IF($M457="","","R"&amp;$M457)</f>
        <v/>
      </c>
    </row>
    <row r="458" customFormat="false" ht="15" hidden="false" customHeight="true" outlineLevel="0" collapsed="false">
      <c r="L458" s="21" t="b">
        <f aca="false">IF(원자재마스터!$A455="",FALSE(),AND(IF($B$3="",TRUE(),ISNUMBER(SEARCH($B$3,원자재마스터!$B455&amp;" "&amp;원자재마스터!$C455&amp;" "&amp;원자재마스터!$G455&amp;" "&amp;원자재마스터!$A455))),IF($E$3="",TRUE(),ISNUMBER(SEARCH($E$3,원자재마스터!$C455)))))</f>
        <v>0</v>
      </c>
      <c r="M458" s="5" t="str">
        <f aca="false">IF($L458=FALSE(),"",COUNTIF($L$6:$L458,TRUE()))</f>
        <v/>
      </c>
      <c r="N458" s="5" t="str">
        <f aca="false">IF($M458="","","R"&amp;$M458)</f>
        <v/>
      </c>
    </row>
    <row r="459" customFormat="false" ht="15" hidden="false" customHeight="true" outlineLevel="0" collapsed="false">
      <c r="L459" s="21" t="b">
        <f aca="false">IF(원자재마스터!$A456="",FALSE(),AND(IF($B$3="",TRUE(),ISNUMBER(SEARCH($B$3,원자재마스터!$B456&amp;" "&amp;원자재마스터!$C456&amp;" "&amp;원자재마스터!$G456&amp;" "&amp;원자재마스터!$A456))),IF($E$3="",TRUE(),ISNUMBER(SEARCH($E$3,원자재마스터!$C456)))))</f>
        <v>0</v>
      </c>
      <c r="M459" s="5" t="str">
        <f aca="false">IF($L459=FALSE(),"",COUNTIF($L$6:$L459,TRUE()))</f>
        <v/>
      </c>
      <c r="N459" s="5" t="str">
        <f aca="false">IF($M459="","","R"&amp;$M459)</f>
        <v/>
      </c>
    </row>
    <row r="460" customFormat="false" ht="15" hidden="false" customHeight="true" outlineLevel="0" collapsed="false">
      <c r="L460" s="21" t="b">
        <f aca="false">IF(원자재마스터!$A457="",FALSE(),AND(IF($B$3="",TRUE(),ISNUMBER(SEARCH($B$3,원자재마스터!$B457&amp;" "&amp;원자재마스터!$C457&amp;" "&amp;원자재마스터!$G457&amp;" "&amp;원자재마스터!$A457))),IF($E$3="",TRUE(),ISNUMBER(SEARCH($E$3,원자재마스터!$C457)))))</f>
        <v>0</v>
      </c>
      <c r="M460" s="5" t="str">
        <f aca="false">IF($L460=FALSE(),"",COUNTIF($L$6:$L460,TRUE()))</f>
        <v/>
      </c>
      <c r="N460" s="5" t="str">
        <f aca="false">IF($M460="","","R"&amp;$M460)</f>
        <v/>
      </c>
    </row>
    <row r="461" customFormat="false" ht="15" hidden="false" customHeight="true" outlineLevel="0" collapsed="false">
      <c r="L461" s="21" t="b">
        <f aca="false">IF(원자재마스터!$A458="",FALSE(),AND(IF($B$3="",TRUE(),ISNUMBER(SEARCH($B$3,원자재마스터!$B458&amp;" "&amp;원자재마스터!$C458&amp;" "&amp;원자재마스터!$G458&amp;" "&amp;원자재마스터!$A458))),IF($E$3="",TRUE(),ISNUMBER(SEARCH($E$3,원자재마스터!$C458)))))</f>
        <v>0</v>
      </c>
      <c r="M461" s="5" t="str">
        <f aca="false">IF($L461=FALSE(),"",COUNTIF($L$6:$L461,TRUE()))</f>
        <v/>
      </c>
      <c r="N461" s="5" t="str">
        <f aca="false">IF($M461="","","R"&amp;$M461)</f>
        <v/>
      </c>
    </row>
    <row r="462" customFormat="false" ht="15" hidden="false" customHeight="true" outlineLevel="0" collapsed="false">
      <c r="L462" s="21" t="b">
        <f aca="false">IF(원자재마스터!$A459="",FALSE(),AND(IF($B$3="",TRUE(),ISNUMBER(SEARCH($B$3,원자재마스터!$B459&amp;" "&amp;원자재마스터!$C459&amp;" "&amp;원자재마스터!$G459&amp;" "&amp;원자재마스터!$A459))),IF($E$3="",TRUE(),ISNUMBER(SEARCH($E$3,원자재마스터!$C459)))))</f>
        <v>0</v>
      </c>
      <c r="M462" s="5" t="str">
        <f aca="false">IF($L462=FALSE(),"",COUNTIF($L$6:$L462,TRUE()))</f>
        <v/>
      </c>
      <c r="N462" s="5" t="str">
        <f aca="false">IF($M462="","","R"&amp;$M462)</f>
        <v/>
      </c>
    </row>
    <row r="463" customFormat="false" ht="15" hidden="false" customHeight="true" outlineLevel="0" collapsed="false">
      <c r="L463" s="21" t="b">
        <f aca="false">IF(원자재마스터!$A460="",FALSE(),AND(IF($B$3="",TRUE(),ISNUMBER(SEARCH($B$3,원자재마스터!$B460&amp;" "&amp;원자재마스터!$C460&amp;" "&amp;원자재마스터!$G460&amp;" "&amp;원자재마스터!$A460))),IF($E$3="",TRUE(),ISNUMBER(SEARCH($E$3,원자재마스터!$C460)))))</f>
        <v>0</v>
      </c>
      <c r="M463" s="5" t="str">
        <f aca="false">IF($L463=FALSE(),"",COUNTIF($L$6:$L463,TRUE()))</f>
        <v/>
      </c>
      <c r="N463" s="5" t="str">
        <f aca="false">IF($M463="","","R"&amp;$M463)</f>
        <v/>
      </c>
    </row>
    <row r="464" customFormat="false" ht="15" hidden="false" customHeight="true" outlineLevel="0" collapsed="false">
      <c r="L464" s="21" t="b">
        <f aca="false">IF(원자재마스터!$A461="",FALSE(),AND(IF($B$3="",TRUE(),ISNUMBER(SEARCH($B$3,원자재마스터!$B461&amp;" "&amp;원자재마스터!$C461&amp;" "&amp;원자재마스터!$G461&amp;" "&amp;원자재마스터!$A461))),IF($E$3="",TRUE(),ISNUMBER(SEARCH($E$3,원자재마스터!$C461)))))</f>
        <v>0</v>
      </c>
      <c r="M464" s="5" t="str">
        <f aca="false">IF($L464=FALSE(),"",COUNTIF($L$6:$L464,TRUE()))</f>
        <v/>
      </c>
      <c r="N464" s="5" t="str">
        <f aca="false">IF($M464="","","R"&amp;$M464)</f>
        <v/>
      </c>
    </row>
    <row r="465" customFormat="false" ht="15" hidden="false" customHeight="true" outlineLevel="0" collapsed="false">
      <c r="L465" s="21" t="b">
        <f aca="false">IF(원자재마스터!$A462="",FALSE(),AND(IF($B$3="",TRUE(),ISNUMBER(SEARCH($B$3,원자재마스터!$B462&amp;" "&amp;원자재마스터!$C462&amp;" "&amp;원자재마스터!$G462&amp;" "&amp;원자재마스터!$A462))),IF($E$3="",TRUE(),ISNUMBER(SEARCH($E$3,원자재마스터!$C462)))))</f>
        <v>0</v>
      </c>
      <c r="M465" s="5" t="str">
        <f aca="false">IF($L465=FALSE(),"",COUNTIF($L$6:$L465,TRUE()))</f>
        <v/>
      </c>
      <c r="N465" s="5" t="str">
        <f aca="false">IF($M465="","","R"&amp;$M465)</f>
        <v/>
      </c>
    </row>
    <row r="466" customFormat="false" ht="15" hidden="false" customHeight="true" outlineLevel="0" collapsed="false">
      <c r="L466" s="21" t="b">
        <f aca="false">IF(원자재마스터!$A463="",FALSE(),AND(IF($B$3="",TRUE(),ISNUMBER(SEARCH($B$3,원자재마스터!$B463&amp;" "&amp;원자재마스터!$C463&amp;" "&amp;원자재마스터!$G463&amp;" "&amp;원자재마스터!$A463))),IF($E$3="",TRUE(),ISNUMBER(SEARCH($E$3,원자재마스터!$C463)))))</f>
        <v>0</v>
      </c>
      <c r="M466" s="5" t="str">
        <f aca="false">IF($L466=FALSE(),"",COUNTIF($L$6:$L466,TRUE()))</f>
        <v/>
      </c>
      <c r="N466" s="5" t="str">
        <f aca="false">IF($M466="","","R"&amp;$M466)</f>
        <v/>
      </c>
    </row>
    <row r="467" customFormat="false" ht="15" hidden="false" customHeight="true" outlineLevel="0" collapsed="false">
      <c r="L467" s="21" t="b">
        <f aca="false">IF(원자재마스터!$A464="",FALSE(),AND(IF($B$3="",TRUE(),ISNUMBER(SEARCH($B$3,원자재마스터!$B464&amp;" "&amp;원자재마스터!$C464&amp;" "&amp;원자재마스터!$G464&amp;" "&amp;원자재마스터!$A464))),IF($E$3="",TRUE(),ISNUMBER(SEARCH($E$3,원자재마스터!$C464)))))</f>
        <v>0</v>
      </c>
      <c r="M467" s="5" t="str">
        <f aca="false">IF($L467=FALSE(),"",COUNTIF($L$6:$L467,TRUE()))</f>
        <v/>
      </c>
      <c r="N467" s="5" t="str">
        <f aca="false">IF($M467="","","R"&amp;$M467)</f>
        <v/>
      </c>
    </row>
    <row r="468" customFormat="false" ht="15" hidden="false" customHeight="true" outlineLevel="0" collapsed="false">
      <c r="L468" s="21" t="b">
        <f aca="false">IF(원자재마스터!$A465="",FALSE(),AND(IF($B$3="",TRUE(),ISNUMBER(SEARCH($B$3,원자재마스터!$B465&amp;" "&amp;원자재마스터!$C465&amp;" "&amp;원자재마스터!$G465&amp;" "&amp;원자재마스터!$A465))),IF($E$3="",TRUE(),ISNUMBER(SEARCH($E$3,원자재마스터!$C465)))))</f>
        <v>0</v>
      </c>
      <c r="M468" s="5" t="str">
        <f aca="false">IF($L468=FALSE(),"",COUNTIF($L$6:$L468,TRUE()))</f>
        <v/>
      </c>
      <c r="N468" s="5" t="str">
        <f aca="false">IF($M468="","","R"&amp;$M468)</f>
        <v/>
      </c>
    </row>
    <row r="469" customFormat="false" ht="15" hidden="false" customHeight="true" outlineLevel="0" collapsed="false">
      <c r="L469" s="21" t="b">
        <f aca="false">IF(원자재마스터!$A466="",FALSE(),AND(IF($B$3="",TRUE(),ISNUMBER(SEARCH($B$3,원자재마스터!$B466&amp;" "&amp;원자재마스터!$C466&amp;" "&amp;원자재마스터!$G466&amp;" "&amp;원자재마스터!$A466))),IF($E$3="",TRUE(),ISNUMBER(SEARCH($E$3,원자재마스터!$C466)))))</f>
        <v>0</v>
      </c>
      <c r="M469" s="5" t="str">
        <f aca="false">IF($L469=FALSE(),"",COUNTIF($L$6:$L469,TRUE()))</f>
        <v/>
      </c>
      <c r="N469" s="5" t="str">
        <f aca="false">IF($M469="","","R"&amp;$M469)</f>
        <v/>
      </c>
    </row>
    <row r="470" customFormat="false" ht="15" hidden="false" customHeight="true" outlineLevel="0" collapsed="false">
      <c r="L470" s="21" t="b">
        <f aca="false">IF(원자재마스터!$A467="",FALSE(),AND(IF($B$3="",TRUE(),ISNUMBER(SEARCH($B$3,원자재마스터!$B467&amp;" "&amp;원자재마스터!$C467&amp;" "&amp;원자재마스터!$G467&amp;" "&amp;원자재마스터!$A467))),IF($E$3="",TRUE(),ISNUMBER(SEARCH($E$3,원자재마스터!$C467)))))</f>
        <v>0</v>
      </c>
      <c r="M470" s="5" t="str">
        <f aca="false">IF($L470=FALSE(),"",COUNTIF($L$6:$L470,TRUE()))</f>
        <v/>
      </c>
      <c r="N470" s="5" t="str">
        <f aca="false">IF($M470="","","R"&amp;$M470)</f>
        <v/>
      </c>
    </row>
    <row r="471" customFormat="false" ht="15" hidden="false" customHeight="true" outlineLevel="0" collapsed="false">
      <c r="L471" s="21" t="b">
        <f aca="false">IF(원자재마스터!$A468="",FALSE(),AND(IF($B$3="",TRUE(),ISNUMBER(SEARCH($B$3,원자재마스터!$B468&amp;" "&amp;원자재마스터!$C468&amp;" "&amp;원자재마스터!$G468&amp;" "&amp;원자재마스터!$A468))),IF($E$3="",TRUE(),ISNUMBER(SEARCH($E$3,원자재마스터!$C468)))))</f>
        <v>0</v>
      </c>
      <c r="M471" s="5" t="str">
        <f aca="false">IF($L471=FALSE(),"",COUNTIF($L$6:$L471,TRUE()))</f>
        <v/>
      </c>
      <c r="N471" s="5" t="str">
        <f aca="false">IF($M471="","","R"&amp;$M471)</f>
        <v/>
      </c>
    </row>
    <row r="472" customFormat="false" ht="15" hidden="false" customHeight="true" outlineLevel="0" collapsed="false">
      <c r="L472" s="21" t="b">
        <f aca="false">IF(원자재마스터!$A469="",FALSE(),AND(IF($B$3="",TRUE(),ISNUMBER(SEARCH($B$3,원자재마스터!$B469&amp;" "&amp;원자재마스터!$C469&amp;" "&amp;원자재마스터!$G469&amp;" "&amp;원자재마스터!$A469))),IF($E$3="",TRUE(),ISNUMBER(SEARCH($E$3,원자재마스터!$C469)))))</f>
        <v>0</v>
      </c>
      <c r="M472" s="5" t="str">
        <f aca="false">IF($L472=FALSE(),"",COUNTIF($L$6:$L472,TRUE()))</f>
        <v/>
      </c>
      <c r="N472" s="5" t="str">
        <f aca="false">IF($M472="","","R"&amp;$M472)</f>
        <v/>
      </c>
    </row>
    <row r="473" customFormat="false" ht="15" hidden="false" customHeight="true" outlineLevel="0" collapsed="false">
      <c r="L473" s="21" t="b">
        <f aca="false">IF(원자재마스터!$A470="",FALSE(),AND(IF($B$3="",TRUE(),ISNUMBER(SEARCH($B$3,원자재마스터!$B470&amp;" "&amp;원자재마스터!$C470&amp;" "&amp;원자재마스터!$G470&amp;" "&amp;원자재마스터!$A470))),IF($E$3="",TRUE(),ISNUMBER(SEARCH($E$3,원자재마스터!$C470)))))</f>
        <v>0</v>
      </c>
      <c r="M473" s="5" t="str">
        <f aca="false">IF($L473=FALSE(),"",COUNTIF($L$6:$L473,TRUE()))</f>
        <v/>
      </c>
      <c r="N473" s="5" t="str">
        <f aca="false">IF($M473="","","R"&amp;$M473)</f>
        <v/>
      </c>
    </row>
    <row r="474" customFormat="false" ht="15" hidden="false" customHeight="true" outlineLevel="0" collapsed="false">
      <c r="L474" s="21" t="b">
        <f aca="false">IF(원자재마스터!$A471="",FALSE(),AND(IF($B$3="",TRUE(),ISNUMBER(SEARCH($B$3,원자재마스터!$B471&amp;" "&amp;원자재마스터!$C471&amp;" "&amp;원자재마스터!$G471&amp;" "&amp;원자재마스터!$A471))),IF($E$3="",TRUE(),ISNUMBER(SEARCH($E$3,원자재마스터!$C471)))))</f>
        <v>0</v>
      </c>
      <c r="M474" s="5" t="str">
        <f aca="false">IF($L474=FALSE(),"",COUNTIF($L$6:$L474,TRUE()))</f>
        <v/>
      </c>
      <c r="N474" s="5" t="str">
        <f aca="false">IF($M474="","","R"&amp;$M474)</f>
        <v/>
      </c>
    </row>
    <row r="475" customFormat="false" ht="15" hidden="false" customHeight="true" outlineLevel="0" collapsed="false">
      <c r="L475" s="21" t="b">
        <f aca="false">IF(원자재마스터!$A472="",FALSE(),AND(IF($B$3="",TRUE(),ISNUMBER(SEARCH($B$3,원자재마스터!$B472&amp;" "&amp;원자재마스터!$C472&amp;" "&amp;원자재마스터!$G472&amp;" "&amp;원자재마스터!$A472))),IF($E$3="",TRUE(),ISNUMBER(SEARCH($E$3,원자재마스터!$C472)))))</f>
        <v>0</v>
      </c>
      <c r="M475" s="5" t="str">
        <f aca="false">IF($L475=FALSE(),"",COUNTIF($L$6:$L475,TRUE()))</f>
        <v/>
      </c>
      <c r="N475" s="5" t="str">
        <f aca="false">IF($M475="","","R"&amp;$M475)</f>
        <v/>
      </c>
    </row>
    <row r="476" customFormat="false" ht="15" hidden="false" customHeight="true" outlineLevel="0" collapsed="false">
      <c r="L476" s="21" t="b">
        <f aca="false">IF(원자재마스터!$A473="",FALSE(),AND(IF($B$3="",TRUE(),ISNUMBER(SEARCH($B$3,원자재마스터!$B473&amp;" "&amp;원자재마스터!$C473&amp;" "&amp;원자재마스터!$G473&amp;" "&amp;원자재마스터!$A473))),IF($E$3="",TRUE(),ISNUMBER(SEARCH($E$3,원자재마스터!$C473)))))</f>
        <v>0</v>
      </c>
      <c r="M476" s="5" t="str">
        <f aca="false">IF($L476=FALSE(),"",COUNTIF($L$6:$L476,TRUE()))</f>
        <v/>
      </c>
      <c r="N476" s="5" t="str">
        <f aca="false">IF($M476="","","R"&amp;$M476)</f>
        <v/>
      </c>
    </row>
    <row r="477" customFormat="false" ht="15" hidden="false" customHeight="true" outlineLevel="0" collapsed="false">
      <c r="L477" s="21" t="b">
        <f aca="false">IF(원자재마스터!$A474="",FALSE(),AND(IF($B$3="",TRUE(),ISNUMBER(SEARCH($B$3,원자재마스터!$B474&amp;" "&amp;원자재마스터!$C474&amp;" "&amp;원자재마스터!$G474&amp;" "&amp;원자재마스터!$A474))),IF($E$3="",TRUE(),ISNUMBER(SEARCH($E$3,원자재마스터!$C474)))))</f>
        <v>0</v>
      </c>
      <c r="M477" s="5" t="str">
        <f aca="false">IF($L477=FALSE(),"",COUNTIF($L$6:$L477,TRUE()))</f>
        <v/>
      </c>
      <c r="N477" s="5" t="str">
        <f aca="false">IF($M477="","","R"&amp;$M477)</f>
        <v/>
      </c>
    </row>
    <row r="478" customFormat="false" ht="15" hidden="false" customHeight="true" outlineLevel="0" collapsed="false">
      <c r="L478" s="21" t="b">
        <f aca="false">IF(원자재마스터!$A475="",FALSE(),AND(IF($B$3="",TRUE(),ISNUMBER(SEARCH($B$3,원자재마스터!$B475&amp;" "&amp;원자재마스터!$C475&amp;" "&amp;원자재마스터!$G475&amp;" "&amp;원자재마스터!$A475))),IF($E$3="",TRUE(),ISNUMBER(SEARCH($E$3,원자재마스터!$C475)))))</f>
        <v>0</v>
      </c>
      <c r="M478" s="5" t="str">
        <f aca="false">IF($L478=FALSE(),"",COUNTIF($L$6:$L478,TRUE()))</f>
        <v/>
      </c>
      <c r="N478" s="5" t="str">
        <f aca="false">IF($M478="","","R"&amp;$M478)</f>
        <v/>
      </c>
    </row>
    <row r="479" customFormat="false" ht="15" hidden="false" customHeight="true" outlineLevel="0" collapsed="false">
      <c r="L479" s="21" t="b">
        <f aca="false">IF(원자재마스터!$A476="",FALSE(),AND(IF($B$3="",TRUE(),ISNUMBER(SEARCH($B$3,원자재마스터!$B476&amp;" "&amp;원자재마스터!$C476&amp;" "&amp;원자재마스터!$G476&amp;" "&amp;원자재마스터!$A476))),IF($E$3="",TRUE(),ISNUMBER(SEARCH($E$3,원자재마스터!$C476)))))</f>
        <v>0</v>
      </c>
      <c r="M479" s="5" t="str">
        <f aca="false">IF($L479=FALSE(),"",COUNTIF($L$6:$L479,TRUE()))</f>
        <v/>
      </c>
      <c r="N479" s="5" t="str">
        <f aca="false">IF($M479="","","R"&amp;$M479)</f>
        <v/>
      </c>
    </row>
    <row r="480" customFormat="false" ht="15" hidden="false" customHeight="true" outlineLevel="0" collapsed="false">
      <c r="L480" s="21" t="b">
        <f aca="false">IF(원자재마스터!$A477="",FALSE(),AND(IF($B$3="",TRUE(),ISNUMBER(SEARCH($B$3,원자재마스터!$B477&amp;" "&amp;원자재마스터!$C477&amp;" "&amp;원자재마스터!$G477&amp;" "&amp;원자재마스터!$A477))),IF($E$3="",TRUE(),ISNUMBER(SEARCH($E$3,원자재마스터!$C477)))))</f>
        <v>0</v>
      </c>
      <c r="M480" s="5" t="str">
        <f aca="false">IF($L480=FALSE(),"",COUNTIF($L$6:$L480,TRUE()))</f>
        <v/>
      </c>
      <c r="N480" s="5" t="str">
        <f aca="false">IF($M480="","","R"&amp;$M480)</f>
        <v/>
      </c>
    </row>
    <row r="481" customFormat="false" ht="15" hidden="false" customHeight="true" outlineLevel="0" collapsed="false">
      <c r="L481" s="21" t="b">
        <f aca="false">IF(원자재마스터!$A478="",FALSE(),AND(IF($B$3="",TRUE(),ISNUMBER(SEARCH($B$3,원자재마스터!$B478&amp;" "&amp;원자재마스터!$C478&amp;" "&amp;원자재마스터!$G478&amp;" "&amp;원자재마스터!$A478))),IF($E$3="",TRUE(),ISNUMBER(SEARCH($E$3,원자재마스터!$C478)))))</f>
        <v>0</v>
      </c>
      <c r="M481" s="5" t="str">
        <f aca="false">IF($L481=FALSE(),"",COUNTIF($L$6:$L481,TRUE()))</f>
        <v/>
      </c>
      <c r="N481" s="5" t="str">
        <f aca="false">IF($M481="","","R"&amp;$M481)</f>
        <v/>
      </c>
    </row>
    <row r="482" customFormat="false" ht="15" hidden="false" customHeight="true" outlineLevel="0" collapsed="false">
      <c r="L482" s="21" t="b">
        <f aca="false">IF(원자재마스터!$A479="",FALSE(),AND(IF($B$3="",TRUE(),ISNUMBER(SEARCH($B$3,원자재마스터!$B479&amp;" "&amp;원자재마스터!$C479&amp;" "&amp;원자재마스터!$G479&amp;" "&amp;원자재마스터!$A479))),IF($E$3="",TRUE(),ISNUMBER(SEARCH($E$3,원자재마스터!$C479)))))</f>
        <v>0</v>
      </c>
      <c r="M482" s="5" t="str">
        <f aca="false">IF($L482=FALSE(),"",COUNTIF($L$6:$L482,TRUE()))</f>
        <v/>
      </c>
      <c r="N482" s="5" t="str">
        <f aca="false">IF($M482="","","R"&amp;$M482)</f>
        <v/>
      </c>
    </row>
    <row r="483" customFormat="false" ht="15" hidden="false" customHeight="true" outlineLevel="0" collapsed="false">
      <c r="L483" s="21" t="b">
        <f aca="false">IF(원자재마스터!$A480="",FALSE(),AND(IF($B$3="",TRUE(),ISNUMBER(SEARCH($B$3,원자재마스터!$B480&amp;" "&amp;원자재마스터!$C480&amp;" "&amp;원자재마스터!$G480&amp;" "&amp;원자재마스터!$A480))),IF($E$3="",TRUE(),ISNUMBER(SEARCH($E$3,원자재마스터!$C480)))))</f>
        <v>0</v>
      </c>
      <c r="M483" s="5" t="str">
        <f aca="false">IF($L483=FALSE(),"",COUNTIF($L$6:$L483,TRUE()))</f>
        <v/>
      </c>
      <c r="N483" s="5" t="str">
        <f aca="false">IF($M483="","","R"&amp;$M483)</f>
        <v/>
      </c>
    </row>
    <row r="484" customFormat="false" ht="15" hidden="false" customHeight="true" outlineLevel="0" collapsed="false">
      <c r="L484" s="21" t="b">
        <f aca="false">IF(원자재마스터!$A481="",FALSE(),AND(IF($B$3="",TRUE(),ISNUMBER(SEARCH($B$3,원자재마스터!$B481&amp;" "&amp;원자재마스터!$C481&amp;" "&amp;원자재마스터!$G481&amp;" "&amp;원자재마스터!$A481))),IF($E$3="",TRUE(),ISNUMBER(SEARCH($E$3,원자재마스터!$C481)))))</f>
        <v>0</v>
      </c>
      <c r="M484" s="5" t="str">
        <f aca="false">IF($L484=FALSE(),"",COUNTIF($L$6:$L484,TRUE()))</f>
        <v/>
      </c>
      <c r="N484" s="5" t="str">
        <f aca="false">IF($M484="","","R"&amp;$M484)</f>
        <v/>
      </c>
    </row>
    <row r="485" customFormat="false" ht="15" hidden="false" customHeight="true" outlineLevel="0" collapsed="false">
      <c r="L485" s="21" t="b">
        <f aca="false">IF(원자재마스터!$A482="",FALSE(),AND(IF($B$3="",TRUE(),ISNUMBER(SEARCH($B$3,원자재마스터!$B482&amp;" "&amp;원자재마스터!$C482&amp;" "&amp;원자재마스터!$G482&amp;" "&amp;원자재마스터!$A482))),IF($E$3="",TRUE(),ISNUMBER(SEARCH($E$3,원자재마스터!$C482)))))</f>
        <v>0</v>
      </c>
      <c r="M485" s="5" t="str">
        <f aca="false">IF($L485=FALSE(),"",COUNTIF($L$6:$L485,TRUE()))</f>
        <v/>
      </c>
      <c r="N485" s="5" t="str">
        <f aca="false">IF($M485="","","R"&amp;$M485)</f>
        <v/>
      </c>
    </row>
    <row r="486" customFormat="false" ht="15" hidden="false" customHeight="true" outlineLevel="0" collapsed="false">
      <c r="L486" s="21" t="b">
        <f aca="false">IF(원자재마스터!$A483="",FALSE(),AND(IF($B$3="",TRUE(),ISNUMBER(SEARCH($B$3,원자재마스터!$B483&amp;" "&amp;원자재마스터!$C483&amp;" "&amp;원자재마스터!$G483&amp;" "&amp;원자재마스터!$A483))),IF($E$3="",TRUE(),ISNUMBER(SEARCH($E$3,원자재마스터!$C483)))))</f>
        <v>0</v>
      </c>
      <c r="M486" s="5" t="str">
        <f aca="false">IF($L486=FALSE(),"",COUNTIF($L$6:$L486,TRUE()))</f>
        <v/>
      </c>
      <c r="N486" s="5" t="str">
        <f aca="false">IF($M486="","","R"&amp;$M486)</f>
        <v/>
      </c>
    </row>
    <row r="487" customFormat="false" ht="15" hidden="false" customHeight="true" outlineLevel="0" collapsed="false">
      <c r="L487" s="21" t="b">
        <f aca="false">IF(원자재마스터!$A484="",FALSE(),AND(IF($B$3="",TRUE(),ISNUMBER(SEARCH($B$3,원자재마스터!$B484&amp;" "&amp;원자재마스터!$C484&amp;" "&amp;원자재마스터!$G484&amp;" "&amp;원자재마스터!$A484))),IF($E$3="",TRUE(),ISNUMBER(SEARCH($E$3,원자재마스터!$C484)))))</f>
        <v>0</v>
      </c>
      <c r="M487" s="5" t="str">
        <f aca="false">IF($L487=FALSE(),"",COUNTIF($L$6:$L487,TRUE()))</f>
        <v/>
      </c>
      <c r="N487" s="5" t="str">
        <f aca="false">IF($M487="","","R"&amp;$M487)</f>
        <v/>
      </c>
    </row>
    <row r="488" customFormat="false" ht="15" hidden="false" customHeight="true" outlineLevel="0" collapsed="false">
      <c r="L488" s="21" t="b">
        <f aca="false">IF(원자재마스터!$A485="",FALSE(),AND(IF($B$3="",TRUE(),ISNUMBER(SEARCH($B$3,원자재마스터!$B485&amp;" "&amp;원자재마스터!$C485&amp;" "&amp;원자재마스터!$G485&amp;" "&amp;원자재마스터!$A485))),IF($E$3="",TRUE(),ISNUMBER(SEARCH($E$3,원자재마스터!$C485)))))</f>
        <v>0</v>
      </c>
      <c r="M488" s="5" t="str">
        <f aca="false">IF($L488=FALSE(),"",COUNTIF($L$6:$L488,TRUE()))</f>
        <v/>
      </c>
      <c r="N488" s="5" t="str">
        <f aca="false">IF($M488="","","R"&amp;$M488)</f>
        <v/>
      </c>
    </row>
    <row r="489" customFormat="false" ht="15" hidden="false" customHeight="true" outlineLevel="0" collapsed="false">
      <c r="L489" s="21" t="b">
        <f aca="false">IF(원자재마스터!$A486="",FALSE(),AND(IF($B$3="",TRUE(),ISNUMBER(SEARCH($B$3,원자재마스터!$B486&amp;" "&amp;원자재마스터!$C486&amp;" "&amp;원자재마스터!$G486&amp;" "&amp;원자재마스터!$A486))),IF($E$3="",TRUE(),ISNUMBER(SEARCH($E$3,원자재마스터!$C486)))))</f>
        <v>0</v>
      </c>
      <c r="M489" s="5" t="str">
        <f aca="false">IF($L489=FALSE(),"",COUNTIF($L$6:$L489,TRUE()))</f>
        <v/>
      </c>
      <c r="N489" s="5" t="str">
        <f aca="false">IF($M489="","","R"&amp;$M489)</f>
        <v/>
      </c>
    </row>
    <row r="490" customFormat="false" ht="15" hidden="false" customHeight="true" outlineLevel="0" collapsed="false">
      <c r="L490" s="21" t="b">
        <f aca="false">IF(원자재마스터!$A487="",FALSE(),AND(IF($B$3="",TRUE(),ISNUMBER(SEARCH($B$3,원자재마스터!$B487&amp;" "&amp;원자재마스터!$C487&amp;" "&amp;원자재마스터!$G487&amp;" "&amp;원자재마스터!$A487))),IF($E$3="",TRUE(),ISNUMBER(SEARCH($E$3,원자재마스터!$C487)))))</f>
        <v>0</v>
      </c>
      <c r="M490" s="5" t="str">
        <f aca="false">IF($L490=FALSE(),"",COUNTIF($L$6:$L490,TRUE()))</f>
        <v/>
      </c>
      <c r="N490" s="5" t="str">
        <f aca="false">IF($M490="","","R"&amp;$M490)</f>
        <v/>
      </c>
    </row>
    <row r="491" customFormat="false" ht="15" hidden="false" customHeight="true" outlineLevel="0" collapsed="false">
      <c r="L491" s="21" t="b">
        <f aca="false">IF(원자재마스터!$A488="",FALSE(),AND(IF($B$3="",TRUE(),ISNUMBER(SEARCH($B$3,원자재마스터!$B488&amp;" "&amp;원자재마스터!$C488&amp;" "&amp;원자재마스터!$G488&amp;" "&amp;원자재마스터!$A488))),IF($E$3="",TRUE(),ISNUMBER(SEARCH($E$3,원자재마스터!$C488)))))</f>
        <v>0</v>
      </c>
      <c r="M491" s="5" t="str">
        <f aca="false">IF($L491=FALSE(),"",COUNTIF($L$6:$L491,TRUE()))</f>
        <v/>
      </c>
      <c r="N491" s="5" t="str">
        <f aca="false">IF($M491="","","R"&amp;$M491)</f>
        <v/>
      </c>
    </row>
    <row r="492" customFormat="false" ht="15" hidden="false" customHeight="true" outlineLevel="0" collapsed="false">
      <c r="L492" s="21" t="b">
        <f aca="false">IF(원자재마스터!$A489="",FALSE(),AND(IF($B$3="",TRUE(),ISNUMBER(SEARCH($B$3,원자재마스터!$B489&amp;" "&amp;원자재마스터!$C489&amp;" "&amp;원자재마스터!$G489&amp;" "&amp;원자재마스터!$A489))),IF($E$3="",TRUE(),ISNUMBER(SEARCH($E$3,원자재마스터!$C489)))))</f>
        <v>0</v>
      </c>
      <c r="M492" s="5" t="str">
        <f aca="false">IF($L492=FALSE(),"",COUNTIF($L$6:$L492,TRUE()))</f>
        <v/>
      </c>
      <c r="N492" s="5" t="str">
        <f aca="false">IF($M492="","","R"&amp;$M492)</f>
        <v/>
      </c>
    </row>
    <row r="493" customFormat="false" ht="15" hidden="false" customHeight="true" outlineLevel="0" collapsed="false">
      <c r="L493" s="21" t="b">
        <f aca="false">IF(원자재마스터!$A490="",FALSE(),AND(IF($B$3="",TRUE(),ISNUMBER(SEARCH($B$3,원자재마스터!$B490&amp;" "&amp;원자재마스터!$C490&amp;" "&amp;원자재마스터!$G490&amp;" "&amp;원자재마스터!$A490))),IF($E$3="",TRUE(),ISNUMBER(SEARCH($E$3,원자재마스터!$C490)))))</f>
        <v>0</v>
      </c>
      <c r="M493" s="5" t="str">
        <f aca="false">IF($L493=FALSE(),"",COUNTIF($L$6:$L493,TRUE()))</f>
        <v/>
      </c>
      <c r="N493" s="5" t="str">
        <f aca="false">IF($M493="","","R"&amp;$M493)</f>
        <v/>
      </c>
    </row>
    <row r="494" customFormat="false" ht="15" hidden="false" customHeight="true" outlineLevel="0" collapsed="false">
      <c r="L494" s="21" t="b">
        <f aca="false">IF(원자재마스터!$A491="",FALSE(),AND(IF($B$3="",TRUE(),ISNUMBER(SEARCH($B$3,원자재마스터!$B491&amp;" "&amp;원자재마스터!$C491&amp;" "&amp;원자재마스터!$G491&amp;" "&amp;원자재마스터!$A491))),IF($E$3="",TRUE(),ISNUMBER(SEARCH($E$3,원자재마스터!$C491)))))</f>
        <v>0</v>
      </c>
      <c r="M494" s="5" t="str">
        <f aca="false">IF($L494=FALSE(),"",COUNTIF($L$6:$L494,TRUE()))</f>
        <v/>
      </c>
      <c r="N494" s="5" t="str">
        <f aca="false">IF($M494="","","R"&amp;$M494)</f>
        <v/>
      </c>
    </row>
    <row r="495" customFormat="false" ht="15" hidden="false" customHeight="true" outlineLevel="0" collapsed="false">
      <c r="L495" s="21" t="b">
        <f aca="false">IF(원자재마스터!$A492="",FALSE(),AND(IF($B$3="",TRUE(),ISNUMBER(SEARCH($B$3,원자재마스터!$B492&amp;" "&amp;원자재마스터!$C492&amp;" "&amp;원자재마스터!$G492&amp;" "&amp;원자재마스터!$A492))),IF($E$3="",TRUE(),ISNUMBER(SEARCH($E$3,원자재마스터!$C492)))))</f>
        <v>0</v>
      </c>
      <c r="M495" s="5" t="str">
        <f aca="false">IF($L495=FALSE(),"",COUNTIF($L$6:$L495,TRUE()))</f>
        <v/>
      </c>
      <c r="N495" s="5" t="str">
        <f aca="false">IF($M495="","","R"&amp;$M495)</f>
        <v/>
      </c>
    </row>
    <row r="496" customFormat="false" ht="15" hidden="false" customHeight="true" outlineLevel="0" collapsed="false">
      <c r="L496" s="21" t="b">
        <f aca="false">IF(원자재마스터!$A493="",FALSE(),AND(IF($B$3="",TRUE(),ISNUMBER(SEARCH($B$3,원자재마스터!$B493&amp;" "&amp;원자재마스터!$C493&amp;" "&amp;원자재마스터!$G493&amp;" "&amp;원자재마스터!$A493))),IF($E$3="",TRUE(),ISNUMBER(SEARCH($E$3,원자재마스터!$C493)))))</f>
        <v>0</v>
      </c>
      <c r="M496" s="5" t="str">
        <f aca="false">IF($L496=FALSE(),"",COUNTIF($L$6:$L496,TRUE()))</f>
        <v/>
      </c>
      <c r="N496" s="5" t="str">
        <f aca="false">IF($M496="","","R"&amp;$M496)</f>
        <v/>
      </c>
    </row>
    <row r="497" customFormat="false" ht="15" hidden="false" customHeight="true" outlineLevel="0" collapsed="false">
      <c r="L497" s="21" t="b">
        <f aca="false">IF(원자재마스터!$A494="",FALSE(),AND(IF($B$3="",TRUE(),ISNUMBER(SEARCH($B$3,원자재마스터!$B494&amp;" "&amp;원자재마스터!$C494&amp;" "&amp;원자재마스터!$G494&amp;" "&amp;원자재마스터!$A494))),IF($E$3="",TRUE(),ISNUMBER(SEARCH($E$3,원자재마스터!$C494)))))</f>
        <v>0</v>
      </c>
      <c r="M497" s="5" t="str">
        <f aca="false">IF($L497=FALSE(),"",COUNTIF($L$6:$L497,TRUE()))</f>
        <v/>
      </c>
      <c r="N497" s="5" t="str">
        <f aca="false">IF($M497="","","R"&amp;$M497)</f>
        <v/>
      </c>
    </row>
    <row r="498" customFormat="false" ht="15" hidden="false" customHeight="true" outlineLevel="0" collapsed="false">
      <c r="L498" s="21" t="b">
        <f aca="false">IF(원자재마스터!$A495="",FALSE(),AND(IF($B$3="",TRUE(),ISNUMBER(SEARCH($B$3,원자재마스터!$B495&amp;" "&amp;원자재마스터!$C495&amp;" "&amp;원자재마스터!$G495&amp;" "&amp;원자재마스터!$A495))),IF($E$3="",TRUE(),ISNUMBER(SEARCH($E$3,원자재마스터!$C495)))))</f>
        <v>0</v>
      </c>
      <c r="M498" s="5" t="str">
        <f aca="false">IF($L498=FALSE(),"",COUNTIF($L$6:$L498,TRUE()))</f>
        <v/>
      </c>
      <c r="N498" s="5" t="str">
        <f aca="false">IF($M498="","","R"&amp;$M498)</f>
        <v/>
      </c>
    </row>
    <row r="499" customFormat="false" ht="15" hidden="false" customHeight="true" outlineLevel="0" collapsed="false">
      <c r="L499" s="21" t="b">
        <f aca="false">IF(원자재마스터!$A496="",FALSE(),AND(IF($B$3="",TRUE(),ISNUMBER(SEARCH($B$3,원자재마스터!$B496&amp;" "&amp;원자재마스터!$C496&amp;" "&amp;원자재마스터!$G496&amp;" "&amp;원자재마스터!$A496))),IF($E$3="",TRUE(),ISNUMBER(SEARCH($E$3,원자재마스터!$C496)))))</f>
        <v>0</v>
      </c>
      <c r="M499" s="5" t="str">
        <f aca="false">IF($L499=FALSE(),"",COUNTIF($L$6:$L499,TRUE()))</f>
        <v/>
      </c>
      <c r="N499" s="5" t="str">
        <f aca="false">IF($M499="","","R"&amp;$M499)</f>
        <v/>
      </c>
    </row>
    <row r="500" customFormat="false" ht="15" hidden="false" customHeight="true" outlineLevel="0" collapsed="false">
      <c r="L500" s="21" t="b">
        <f aca="false">IF(원자재마스터!$A497="",FALSE(),AND(IF($B$3="",TRUE(),ISNUMBER(SEARCH($B$3,원자재마스터!$B497&amp;" "&amp;원자재마스터!$C497&amp;" "&amp;원자재마스터!$G497&amp;" "&amp;원자재마스터!$A497))),IF($E$3="",TRUE(),ISNUMBER(SEARCH($E$3,원자재마스터!$C497)))))</f>
        <v>0</v>
      </c>
      <c r="M500" s="5" t="str">
        <f aca="false">IF($L500=FALSE(),"",COUNTIF($L$6:$L500,TRUE()))</f>
        <v/>
      </c>
      <c r="N500" s="5" t="str">
        <f aca="false">IF($M500="","","R"&amp;$M500)</f>
        <v/>
      </c>
    </row>
    <row r="501" customFormat="false" ht="15" hidden="false" customHeight="true" outlineLevel="0" collapsed="false">
      <c r="L501" s="21" t="b">
        <f aca="false">IF(원자재마스터!$A498="",FALSE(),AND(IF($B$3="",TRUE(),ISNUMBER(SEARCH($B$3,원자재마스터!$B498&amp;" "&amp;원자재마스터!$C498&amp;" "&amp;원자재마스터!$G498&amp;" "&amp;원자재마스터!$A498))),IF($E$3="",TRUE(),ISNUMBER(SEARCH($E$3,원자재마스터!$C498)))))</f>
        <v>0</v>
      </c>
      <c r="M501" s="5" t="str">
        <f aca="false">IF($L501=FALSE(),"",COUNTIF($L$6:$L501,TRUE()))</f>
        <v/>
      </c>
      <c r="N501" s="5" t="str">
        <f aca="false">IF($M501="","","R"&amp;$M501)</f>
        <v/>
      </c>
    </row>
    <row r="502" customFormat="false" ht="15" hidden="false" customHeight="true" outlineLevel="0" collapsed="false">
      <c r="L502" s="21" t="b">
        <f aca="false">IF(원자재마스터!$A499="",FALSE(),AND(IF($B$3="",TRUE(),ISNUMBER(SEARCH($B$3,원자재마스터!$B499&amp;" "&amp;원자재마스터!$C499&amp;" "&amp;원자재마스터!$G499&amp;" "&amp;원자재마스터!$A499))),IF($E$3="",TRUE(),ISNUMBER(SEARCH($E$3,원자재마스터!$C499)))))</f>
        <v>0</v>
      </c>
      <c r="M502" s="5" t="str">
        <f aca="false">IF($L502=FALSE(),"",COUNTIF($L$6:$L502,TRUE()))</f>
        <v/>
      </c>
      <c r="N502" s="5" t="str">
        <f aca="false">IF($M502="","","R"&amp;$M502)</f>
        <v/>
      </c>
    </row>
    <row r="503" customFormat="false" ht="15" hidden="false" customHeight="true" outlineLevel="0" collapsed="false">
      <c r="L503" s="21" t="b">
        <f aca="false">IF(원자재마스터!$A500="",FALSE(),AND(IF($B$3="",TRUE(),ISNUMBER(SEARCH($B$3,원자재마스터!$B500&amp;" "&amp;원자재마스터!$C500&amp;" "&amp;원자재마스터!$G500&amp;" "&amp;원자재마스터!$A500))),IF($E$3="",TRUE(),ISNUMBER(SEARCH($E$3,원자재마스터!$C500)))))</f>
        <v>0</v>
      </c>
      <c r="M503" s="5" t="str">
        <f aca="false">IF($L503=FALSE(),"",COUNTIF($L$6:$L503,TRUE()))</f>
        <v/>
      </c>
      <c r="N503" s="5" t="str">
        <f aca="false">IF($M503="","","R"&amp;$M503)</f>
        <v/>
      </c>
    </row>
    <row r="504" customFormat="false" ht="15" hidden="false" customHeight="true" outlineLevel="0" collapsed="false">
      <c r="L504" s="21" t="b">
        <f aca="false">IF(원자재마스터!$A501="",FALSE(),AND(IF($B$3="",TRUE(),ISNUMBER(SEARCH($B$3,원자재마스터!$B501&amp;" "&amp;원자재마스터!$C501&amp;" "&amp;원자재마스터!$G501&amp;" "&amp;원자재마스터!$A501))),IF($E$3="",TRUE(),ISNUMBER(SEARCH($E$3,원자재마스터!$C501)))))</f>
        <v>0</v>
      </c>
      <c r="M504" s="5" t="str">
        <f aca="false">IF($L504=FALSE(),"",COUNTIF($L$6:$L504,TRUE()))</f>
        <v/>
      </c>
      <c r="N504" s="5" t="str">
        <f aca="false">IF($M504="","","R"&amp;$M504)</f>
        <v/>
      </c>
    </row>
    <row r="505" customFormat="false" ht="15" hidden="false" customHeight="true" outlineLevel="0" collapsed="false">
      <c r="L505" s="21" t="b">
        <f aca="false">IF(원자재마스터!$A502="",FALSE(),AND(IF($B$3="",TRUE(),ISNUMBER(SEARCH($B$3,원자재마스터!$B502&amp;" "&amp;원자재마스터!$C502&amp;" "&amp;원자재마스터!$G502&amp;" "&amp;원자재마스터!$A502))),IF($E$3="",TRUE(),ISNUMBER(SEARCH($E$3,원자재마스터!$C502)))))</f>
        <v>0</v>
      </c>
      <c r="M505" s="5" t="str">
        <f aca="false">IF($L505=FALSE(),"",COUNTIF($L$6:$L505,TRUE()))</f>
        <v/>
      </c>
      <c r="N505" s="5" t="str">
        <f aca="false">IF($M505="","","R"&amp;$M505)</f>
        <v/>
      </c>
    </row>
  </sheetData>
  <mergeCells count="2">
    <mergeCell ref="A1:I1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0"/>
  </cols>
  <sheetData>
    <row r="1" customFormat="false" ht="25.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65</v>
      </c>
      <c r="B3" s="23" t="s">
        <v>37</v>
      </c>
      <c r="C3" s="23" t="s">
        <v>42</v>
      </c>
      <c r="D3" s="23" t="s">
        <v>43</v>
      </c>
      <c r="E3" s="23"/>
      <c r="F3" s="23"/>
      <c r="G3" s="23"/>
    </row>
    <row r="5" customFormat="false" ht="21.75" hidden="false" customHeight="true" outlineLevel="0" collapsed="false">
      <c r="A5" s="24" t="s">
        <v>24</v>
      </c>
      <c r="B5" s="19" t="str">
        <f aca="false">IF($B$3="","",IFERROR(INDEX(원자재마스터!$B$3:$B$502,MATCH($B$3,원자재마스터!$A$3:$A$502,0)),""))</f>
        <v>열연강판</v>
      </c>
      <c r="C5" s="19" t="str">
        <f aca="false">IF($C$3="","",IFERROR(INDEX(원자재마스터!$B$3:$B$502,MATCH($C$3,원자재마스터!$A$3:$A$502,0)),""))</f>
        <v>열연강판</v>
      </c>
      <c r="D5" s="19" t="str">
        <f aca="false">IF($D$3="","",IFERROR(INDEX(원자재마스터!$B$3:$B$502,MATCH($D$3,원자재마스터!$A$3:$A$502,0)),""))</f>
        <v>알루미늄판</v>
      </c>
      <c r="E5" s="19" t="str">
        <f aca="false">IF($E$3="","",IFERROR(INDEX(원자재마스터!$B$3:$B$502,MATCH($E$3,원자재마스터!$A$3:$A$502,0)),""))</f>
        <v/>
      </c>
      <c r="F5" s="19" t="str">
        <f aca="false">IF($F$3="","",IFERROR(INDEX(원자재마스터!$B$3:$B$502,MATCH($F$3,원자재마스터!$A$3:$A$502,0)),""))</f>
        <v/>
      </c>
      <c r="G5" s="19" t="str">
        <f aca="false">IF($G$3="","",IFERROR(INDEX(원자재마스터!$B$3:$B$502,MATCH($G$3,원자재마스터!$A$3:$A$502,0)),""))</f>
        <v/>
      </c>
    </row>
    <row r="6" customFormat="false" ht="21.75" hidden="false" customHeight="true" outlineLevel="0" collapsed="false">
      <c r="A6" s="24" t="s">
        <v>25</v>
      </c>
      <c r="B6" s="19" t="str">
        <f aca="false">IF($B$3="","",IFERROR(INDEX(원자재마스터!$C$3:$C$502,MATCH($B$3,원자재마스터!$A$3:$A$502,0)),""))</f>
        <v>SS400</v>
      </c>
      <c r="C6" s="19" t="str">
        <f aca="false">IF($C$3="","",IFERROR(INDEX(원자재마스터!$C$3:$C$502,MATCH($C$3,원자재마스터!$A$3:$A$502,0)),""))</f>
        <v>SS400</v>
      </c>
      <c r="D6" s="19" t="str">
        <f aca="false">IF($D$3="","",IFERROR(INDEX(원자재마스터!$C$3:$C$502,MATCH($D$3,원자재마스터!$A$3:$A$502,0)),""))</f>
        <v>A5052</v>
      </c>
      <c r="E6" s="19" t="str">
        <f aca="false">IF($E$3="","",IFERROR(INDEX(원자재마스터!$C$3:$C$502,MATCH($E$3,원자재마스터!$A$3:$A$502,0)),""))</f>
        <v/>
      </c>
      <c r="F6" s="19" t="str">
        <f aca="false">IF($F$3="","",IFERROR(INDEX(원자재마스터!$C$3:$C$502,MATCH($F$3,원자재마스터!$A$3:$A$502,0)),""))</f>
        <v/>
      </c>
      <c r="G6" s="19" t="str">
        <f aca="false">IF($G$3="","",IFERROR(INDEX(원자재마스터!$C$3:$C$502,MATCH($G$3,원자재마스터!$A$3:$A$502,0)),""))</f>
        <v/>
      </c>
    </row>
    <row r="7" customFormat="false" ht="21.75" hidden="false" customHeight="true" outlineLevel="0" collapsed="false">
      <c r="A7" s="24" t="s">
        <v>58</v>
      </c>
      <c r="B7" s="19" t="str">
        <f aca="false">IF($B$3="","",IFERROR(INDEX(원자재마스터!$G$3:$G$502,MATCH($B$3,원자재마스터!$A$3:$A$502,0)),""))</f>
        <v>1000 × 500 × 3.2t</v>
      </c>
      <c r="C7" s="19" t="str">
        <f aca="false">IF($C$3="","",IFERROR(INDEX(원자재마스터!$G$3:$G$502,MATCH($C$3,원자재마스터!$A$3:$A$502,0)),""))</f>
        <v>1200 × 600 × 4.5t</v>
      </c>
      <c r="D7" s="19" t="str">
        <f aca="false">IF($D$3="","",IFERROR(INDEX(원자재마스터!$G$3:$G$502,MATCH($D$3,원자재마스터!$A$3:$A$502,0)),""))</f>
        <v>1000 × 500 × 2t</v>
      </c>
      <c r="E7" s="19" t="str">
        <f aca="false">IF($E$3="","",IFERROR(INDEX(원자재마스터!$G$3:$G$502,MATCH($E$3,원자재마스터!$A$3:$A$502,0)),""))</f>
        <v/>
      </c>
      <c r="F7" s="19" t="str">
        <f aca="false">IF($F$3="","",IFERROR(INDEX(원자재마스터!$G$3:$G$502,MATCH($F$3,원자재마스터!$A$3:$A$502,0)),""))</f>
        <v/>
      </c>
      <c r="G7" s="19" t="str">
        <f aca="false">IF($G$3="","",IFERROR(INDEX(원자재마스터!$G$3:$G$502,MATCH($G$3,원자재마스터!$A$3:$A$502,0)),""))</f>
        <v/>
      </c>
    </row>
    <row r="8" customFormat="false" ht="21.75" hidden="false" customHeight="true" outlineLevel="0" collapsed="false">
      <c r="A8" s="24" t="s">
        <v>26</v>
      </c>
      <c r="B8" s="25" t="n">
        <f aca="false">IF($B$3="","",IFERROR(INDEX(원자재마스터!$D$3:$D$502,MATCH($B$3,원자재마스터!$A$3:$A$502,0)),""))</f>
        <v>1000</v>
      </c>
      <c r="C8" s="25" t="n">
        <f aca="false">IF($C$3="","",IFERROR(INDEX(원자재마스터!$D$3:$D$502,MATCH($C$3,원자재마스터!$A$3:$A$502,0)),""))</f>
        <v>1200</v>
      </c>
      <c r="D8" s="25" t="n">
        <f aca="false">IF($D$3="","",IFERROR(INDEX(원자재마스터!$D$3:$D$502,MATCH($D$3,원자재마스터!$A$3:$A$502,0)),""))</f>
        <v>1000</v>
      </c>
      <c r="E8" s="19" t="str">
        <f aca="false">IF($E$3="","",IFERROR(INDEX(원자재마스터!$D$3:$D$502,MATCH($E$3,원자재마스터!$A$3:$A$502,0)),""))</f>
        <v/>
      </c>
      <c r="F8" s="19" t="str">
        <f aca="false">IF($F$3="","",IFERROR(INDEX(원자재마스터!$D$3:$D$502,MATCH($F$3,원자재마스터!$A$3:$A$502,0)),""))</f>
        <v/>
      </c>
      <c r="G8" s="19" t="str">
        <f aca="false">IF($G$3="","",IFERROR(INDEX(원자재마스터!$D$3:$D$502,MATCH($G$3,원자재마스터!$A$3:$A$502,0)),""))</f>
        <v/>
      </c>
    </row>
    <row r="9" customFormat="false" ht="21.75" hidden="false" customHeight="true" outlineLevel="0" collapsed="false">
      <c r="A9" s="24" t="s">
        <v>27</v>
      </c>
      <c r="B9" s="25" t="n">
        <f aca="false">IF($B$3="","",IFERROR(INDEX(원자재마스터!$E$3:$E$502,MATCH($B$3,원자재마스터!$A$3:$A$502,0)),""))</f>
        <v>500</v>
      </c>
      <c r="C9" s="25" t="n">
        <f aca="false">IF($C$3="","",IFERROR(INDEX(원자재마스터!$E$3:$E$502,MATCH($C$3,원자재마스터!$A$3:$A$502,0)),""))</f>
        <v>600</v>
      </c>
      <c r="D9" s="25" t="n">
        <f aca="false">IF($D$3="","",IFERROR(INDEX(원자재마스터!$E$3:$E$502,MATCH($D$3,원자재마스터!$A$3:$A$502,0)),""))</f>
        <v>500</v>
      </c>
      <c r="E9" s="19" t="str">
        <f aca="false">IF($E$3="","",IFERROR(INDEX(원자재마스터!$E$3:$E$502,MATCH($E$3,원자재마스터!$A$3:$A$502,0)),""))</f>
        <v/>
      </c>
      <c r="F9" s="19" t="str">
        <f aca="false">IF($F$3="","",IFERROR(INDEX(원자재마스터!$E$3:$E$502,MATCH($F$3,원자재마스터!$A$3:$A$502,0)),""))</f>
        <v/>
      </c>
      <c r="G9" s="19" t="str">
        <f aca="false">IF($G$3="","",IFERROR(INDEX(원자재마스터!$E$3:$E$502,MATCH($G$3,원자재마스터!$A$3:$A$502,0)),""))</f>
        <v/>
      </c>
    </row>
    <row r="10" customFormat="false" ht="21.75" hidden="false" customHeight="true" outlineLevel="0" collapsed="false">
      <c r="A10" s="24" t="s">
        <v>28</v>
      </c>
      <c r="B10" s="25" t="n">
        <f aca="false">IF($B$3="","",IFERROR(INDEX(원자재마스터!$F$3:$F$502,MATCH($B$3,원자재마스터!$A$3:$A$502,0)),""))</f>
        <v>3.2</v>
      </c>
      <c r="C10" s="25" t="n">
        <f aca="false">IF($C$3="","",IFERROR(INDEX(원자재마스터!$F$3:$F$502,MATCH($C$3,원자재마스터!$A$3:$A$502,0)),""))</f>
        <v>4.5</v>
      </c>
      <c r="D10" s="25" t="n">
        <f aca="false">IF($D$3="","",IFERROR(INDEX(원자재마스터!$F$3:$F$502,MATCH($D$3,원자재마스터!$A$3:$A$502,0)),""))</f>
        <v>2</v>
      </c>
      <c r="E10" s="19" t="str">
        <f aca="false">IF($E$3="","",IFERROR(INDEX(원자재마스터!$F$3:$F$502,MATCH($E$3,원자재마스터!$A$3:$A$502,0)),""))</f>
        <v/>
      </c>
      <c r="F10" s="19" t="str">
        <f aca="false">IF($F$3="","",IFERROR(INDEX(원자재마스터!$F$3:$F$502,MATCH($F$3,원자재마스터!$A$3:$A$502,0)),""))</f>
        <v/>
      </c>
      <c r="G10" s="19" t="str">
        <f aca="false">IF($G$3="","",IFERROR(INDEX(원자재마스터!$F$3:$F$502,MATCH($G$3,원자재마스터!$A$3:$A$502,0)),""))</f>
        <v/>
      </c>
    </row>
    <row r="11" customFormat="false" ht="21.75" hidden="false" customHeight="true" outlineLevel="0" collapsed="false">
      <c r="A11" s="24" t="s">
        <v>59</v>
      </c>
      <c r="B11" s="13" t="n">
        <f aca="false">IF($B$3="","",IFERROR(INDEX(원자재마스터!$I$3:$I$502,MATCH($B$3,원자재마스터!$A$3:$A$502,0)),""))</f>
        <v>12.56</v>
      </c>
      <c r="C11" s="13" t="n">
        <f aca="false">IF($C$3="","",IFERROR(INDEX(원자재마스터!$I$3:$I$502,MATCH($C$3,원자재마스터!$A$3:$A$502,0)),""))</f>
        <v>25.43</v>
      </c>
      <c r="D11" s="13" t="n">
        <f aca="false">IF($D$3="","",IFERROR(INDEX(원자재마스터!$I$3:$I$502,MATCH($D$3,원자재마스터!$A$3:$A$502,0)),""))</f>
        <v>2.7</v>
      </c>
      <c r="E11" s="13" t="str">
        <f aca="false">IF($E$3="","",IFERROR(INDEX(원자재마스터!$I$3:$I$502,MATCH($E$3,원자재마스터!$A$3:$A$502,0)),""))</f>
        <v/>
      </c>
      <c r="F11" s="13" t="str">
        <f aca="false">IF($F$3="","",IFERROR(INDEX(원자재마스터!$I$3:$I$502,MATCH($F$3,원자재마스터!$A$3:$A$502,0)),""))</f>
        <v/>
      </c>
      <c r="G11" s="13" t="str">
        <f aca="false">IF($G$3="","",IFERROR(INDEX(원자재마스터!$I$3:$I$502,MATCH($G$3,원자재마스터!$A$3:$A$502,0)),""))</f>
        <v/>
      </c>
    </row>
    <row r="12" customFormat="false" ht="21.75" hidden="false" customHeight="true" outlineLevel="0" collapsed="false">
      <c r="A12" s="24" t="s">
        <v>32</v>
      </c>
      <c r="B12" s="19" t="str">
        <f aca="false">IF($B$3="","",IFERROR(INDEX(원자재마스터!$J$3:$J$502,MATCH($B$3,원자재마스터!$A$3:$A$502,0)),""))</f>
        <v>EA</v>
      </c>
      <c r="C12" s="19" t="str">
        <f aca="false">IF($C$3="","",IFERROR(INDEX(원자재마스터!$J$3:$J$502,MATCH($C$3,원자재마스터!$A$3:$A$502,0)),""))</f>
        <v>EA</v>
      </c>
      <c r="D12" s="19" t="str">
        <f aca="false">IF($D$3="","",IFERROR(INDEX(원자재마스터!$J$3:$J$502,MATCH($D$3,원자재마스터!$A$3:$A$502,0)),""))</f>
        <v>EA</v>
      </c>
      <c r="E12" s="19" t="str">
        <f aca="false">IF($E$3="","",IFERROR(INDEX(원자재마스터!$J$3:$J$502,MATCH($E$3,원자재마스터!$A$3:$A$502,0)),""))</f>
        <v/>
      </c>
      <c r="F12" s="19" t="str">
        <f aca="false">IF($F$3="","",IFERROR(INDEX(원자재마스터!$J$3:$J$502,MATCH($F$3,원자재마스터!$A$3:$A$502,0)),""))</f>
        <v/>
      </c>
      <c r="G12" s="19" t="str">
        <f aca="false">IF($G$3="","",IFERROR(INDEX(원자재마스터!$J$3:$J$502,MATCH($G$3,원자재마스터!$A$3:$A$502,0)),""))</f>
        <v/>
      </c>
    </row>
    <row r="13" customFormat="false" ht="21.75" hidden="false" customHeight="true" outlineLevel="0" collapsed="false">
      <c r="A13" s="24" t="s">
        <v>33</v>
      </c>
      <c r="B13" s="26" t="n">
        <f aca="false">IF($B$3="","",IFERROR(INDEX(원자재마스터!$K$3:$K$502,MATCH($B$3,원자재마스터!$A$3:$A$502,0)),""))</f>
        <v>18500</v>
      </c>
      <c r="C13" s="26" t="n">
        <f aca="false">IF($C$3="","",IFERROR(INDEX(원자재마스터!$K$3:$K$502,MATCH($C$3,원자재마스터!$A$3:$A$502,0)),""))</f>
        <v>34200</v>
      </c>
      <c r="D13" s="26" t="n">
        <f aca="false">IF($D$3="","",IFERROR(INDEX(원자재마스터!$K$3:$K$502,MATCH($D$3,원자재마스터!$A$3:$A$502,0)),""))</f>
        <v>26000</v>
      </c>
      <c r="E13" s="26" t="str">
        <f aca="false">IF($E$3="","",IFERROR(INDEX(원자재마스터!$K$3:$K$502,MATCH($E$3,원자재마스터!$A$3:$A$502,0)),""))</f>
        <v/>
      </c>
      <c r="F13" s="26" t="str">
        <f aca="false">IF($F$3="","",IFERROR(INDEX(원자재마스터!$K$3:$K$502,MATCH($F$3,원자재마스터!$A$3:$A$502,0)),""))</f>
        <v/>
      </c>
      <c r="G13" s="26" t="str">
        <f aca="false">IF($G$3="","",IFERROR(INDEX(원자재마스터!$K$3:$K$502,MATCH($G$3,원자재마스터!$A$3:$A$502,0)),""))</f>
        <v/>
      </c>
    </row>
    <row r="14" customFormat="false" ht="21.75" hidden="false" customHeight="true" outlineLevel="0" collapsed="false">
      <c r="A14" s="24" t="s">
        <v>34</v>
      </c>
      <c r="B14" s="19" t="str">
        <f aca="false">IF($B$3="","",IFERROR(INDEX(원자재마스터!$L$3:$L$502,MATCH($B$3,원자재마스터!$A$3:$A$502,0)),""))</f>
        <v>○○철강</v>
      </c>
      <c r="C14" s="19" t="str">
        <f aca="false">IF($C$3="","",IFERROR(INDEX(원자재마스터!$L$3:$L$502,MATCH($C$3,원자재마스터!$A$3:$A$502,0)),""))</f>
        <v>○○철강</v>
      </c>
      <c r="D14" s="19" t="str">
        <f aca="false">IF($D$3="","",IFERROR(INDEX(원자재마스터!$L$3:$L$502,MATCH($D$3,원자재마스터!$A$3:$A$502,0)),""))</f>
        <v>△△금속</v>
      </c>
      <c r="E14" s="19" t="str">
        <f aca="false">IF($E$3="","",IFERROR(INDEX(원자재마스터!$L$3:$L$502,MATCH($E$3,원자재마스터!$A$3:$A$502,0)),""))</f>
        <v/>
      </c>
      <c r="F14" s="19" t="str">
        <f aca="false">IF($F$3="","",IFERROR(INDEX(원자재마스터!$L$3:$L$502,MATCH($F$3,원자재마스터!$A$3:$A$502,0)),""))</f>
        <v/>
      </c>
      <c r="G14" s="19" t="str">
        <f aca="false">IF($G$3="","",IFERROR(INDEX(원자재마스터!$L$3:$L$502,MATCH($G$3,원자재마스터!$A$3:$A$502,0)),""))</f>
        <v/>
      </c>
    </row>
    <row r="16" customFormat="false" ht="15" hidden="false" customHeight="true" outlineLevel="0" collapsed="false">
      <c r="A16" s="27" t="s">
        <v>66</v>
      </c>
      <c r="B16" s="28" t="n">
        <f aca="false">IF(OR($B$3="",B11="",B11=0),"",ROUND(B13/B11,0))</f>
        <v>1473</v>
      </c>
      <c r="C16" s="28" t="n">
        <f aca="false">IF(OR($C$3="",C11="",C11=0),"",ROUND(C13/C11,0))</f>
        <v>1345</v>
      </c>
      <c r="D16" s="28" t="n">
        <f aca="false">IF(OR($D$3="",D11="",D11=0),"",ROUND(D13/D11,0))</f>
        <v>9630</v>
      </c>
      <c r="E16" s="28" t="str">
        <f aca="false">IF(OR($E$3="",E11="",E11=0),"",ROUND(E13/E11,0))</f>
        <v/>
      </c>
      <c r="F16" s="28" t="str">
        <f aca="false">IF(OR($F$3="",F11="",F11=0),"",ROUND(F13/F11,0))</f>
        <v/>
      </c>
      <c r="G16" s="28" t="str">
        <f aca="false">IF(OR($G$3="",G11="",G11=0),"",ROUND(G13/G11,0))</f>
        <v/>
      </c>
    </row>
    <row r="18" customFormat="false" ht="15" hidden="false" customHeight="true" outlineLevel="0" collapsed="false">
      <c r="A18" s="22" t="s">
        <v>67</v>
      </c>
    </row>
  </sheetData>
  <mergeCells count="1">
    <mergeCell ref="A1:G1"/>
  </mergeCells>
  <dataValidations count="6">
    <dataValidation allowBlank="true" errorStyle="stop" operator="between" showDropDown="false" showErrorMessage="false" showInputMessage="false" sqref="B3" type="list">
      <formula1>원자재마스터!$A$3:$A$502</formula1>
      <formula2>0</formula2>
    </dataValidation>
    <dataValidation allowBlank="true" errorStyle="stop" operator="between" showDropDown="false" showErrorMessage="false" showInputMessage="false" sqref="C3" type="list">
      <formula1>원자재마스터!$A$3:$A$502</formula1>
      <formula2>0</formula2>
    </dataValidation>
    <dataValidation allowBlank="true" errorStyle="stop" operator="between" showDropDown="false" showErrorMessage="false" showInputMessage="false" sqref="D3" type="list">
      <formula1>원자재마스터!$A$3:$A$502</formula1>
      <formula2>0</formula2>
    </dataValidation>
    <dataValidation allowBlank="true" errorStyle="stop" operator="between" showDropDown="false" showErrorMessage="false" showInputMessage="false" sqref="E3" type="list">
      <formula1>원자재마스터!$A$3:$A$502</formula1>
      <formula2>0</formula2>
    </dataValidation>
    <dataValidation allowBlank="true" errorStyle="stop" operator="between" showDropDown="false" showErrorMessage="false" showInputMessage="false" sqref="F3" type="list">
      <formula1>원자재마스터!$A$3:$A$502</formula1>
      <formula2>0</formula2>
    </dataValidation>
    <dataValidation allowBlank="true" errorStyle="stop" operator="between" showDropDown="false" showErrorMessage="false" showInputMessage="false" sqref="G3" type="list">
      <formula1>원자재마스터!$A$3:$A$502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11" min="10" style="1" width="11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68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69</v>
      </c>
      <c r="B3" s="16" t="s">
        <v>41</v>
      </c>
      <c r="C3" s="16"/>
      <c r="D3" s="3" t="s">
        <v>70</v>
      </c>
      <c r="E3" s="29" t="n">
        <f aca="false">COUNTIF($J$6:$J$505,TRUE())</f>
        <v>2</v>
      </c>
      <c r="F3" s="5" t="s">
        <v>71</v>
      </c>
    </row>
    <row r="5" customFormat="false" ht="15" hidden="false" customHeight="true" outlineLevel="0" collapsed="false">
      <c r="A5" s="6" t="s">
        <v>57</v>
      </c>
      <c r="B5" s="6" t="s">
        <v>23</v>
      </c>
      <c r="C5" s="6" t="s">
        <v>24</v>
      </c>
      <c r="D5" s="6" t="s">
        <v>25</v>
      </c>
      <c r="E5" s="6" t="s">
        <v>58</v>
      </c>
      <c r="F5" s="6" t="s">
        <v>32</v>
      </c>
      <c r="G5" s="6" t="s">
        <v>33</v>
      </c>
    </row>
    <row r="6" customFormat="false" ht="15" hidden="false" customHeight="true" outlineLevel="0" collapsed="false">
      <c r="A6" s="19" t="n">
        <f aca="false">IF($B6="","",1)</f>
        <v>1</v>
      </c>
      <c r="B6" s="11" t="str">
        <f aca="false">IFERROR(INDEX(원자재마스터!$A$3:$A$502,MATCH("R"&amp;1,거래처별목록!$L$6:$L$505,0)),"")</f>
        <v>R001</v>
      </c>
      <c r="C6" s="11" t="str">
        <f aca="false">IF($B6="","",IFERROR(INDEX(원자재마스터!$B$3:$B$502,MATCH("R"&amp;1,거래처별목록!$L$6:$L$505,0)),""))</f>
        <v>열연강판</v>
      </c>
      <c r="D6" s="19" t="str">
        <f aca="false">IF($B6="","",IFERROR(INDEX(원자재마스터!$C$3:$C$502,MATCH("R"&amp;1,거래처별목록!$L$6:$L$505,0)),""))</f>
        <v>SS400</v>
      </c>
      <c r="E6" s="11" t="str">
        <f aca="false">IF($B6="","",IFERROR(INDEX(원자재마스터!$G$3:$G$502,MATCH("R"&amp;1,거래처별목록!$L$6:$L$505,0)),""))</f>
        <v>1000 × 500 × 3.2t</v>
      </c>
      <c r="F6" s="19" t="str">
        <f aca="false">IF($B6="","",IFERROR(INDEX(원자재마스터!$J$3:$J$502,MATCH("R"&amp;1,거래처별목록!$L$6:$L$505,0)),""))</f>
        <v>EA</v>
      </c>
      <c r="G6" s="20" t="n">
        <f aca="false">IF($B6="","",IFERROR(INDEX(원자재마스터!$K$3:$K$502,MATCH("R"&amp;1,거래처별목록!$L$6:$L$505,0)),""))</f>
        <v>18500</v>
      </c>
      <c r="J6" s="21" t="b">
        <f aca="false">IF(원자재마스터!$A3="",FALSE(),원자재마스터!$L3=$B$3)</f>
        <v>1</v>
      </c>
      <c r="K6" s="5" t="n">
        <f aca="false">IF($J6=FALSE(),"",COUNTIF($J$6:$J6,TRUE()))</f>
        <v>1</v>
      </c>
      <c r="L6" s="5" t="str">
        <f aca="false">IF($K6="","","R"&amp;$K6)</f>
        <v>R1</v>
      </c>
    </row>
    <row r="7" customFormat="false" ht="15" hidden="false" customHeight="true" outlineLevel="0" collapsed="false">
      <c r="A7" s="19" t="n">
        <f aca="false">IF($B7="","",2)</f>
        <v>2</v>
      </c>
      <c r="B7" s="11" t="str">
        <f aca="false">IFERROR(INDEX(원자재마스터!$A$3:$A$502,MATCH("R"&amp;2,거래처별목록!$L$6:$L$505,0)),"")</f>
        <v>R002</v>
      </c>
      <c r="C7" s="11" t="str">
        <f aca="false">IF($B7="","",IFERROR(INDEX(원자재마스터!$B$3:$B$502,MATCH("R"&amp;2,거래처별목록!$L$6:$L$505,0)),""))</f>
        <v>열연강판</v>
      </c>
      <c r="D7" s="19" t="str">
        <f aca="false">IF($B7="","",IFERROR(INDEX(원자재마스터!$C$3:$C$502,MATCH("R"&amp;2,거래처별목록!$L$6:$L$505,0)),""))</f>
        <v>SS400</v>
      </c>
      <c r="E7" s="11" t="str">
        <f aca="false">IF($B7="","",IFERROR(INDEX(원자재마스터!$G$3:$G$502,MATCH("R"&amp;2,거래처별목록!$L$6:$L$505,0)),""))</f>
        <v>1200 × 600 × 4.5t</v>
      </c>
      <c r="F7" s="19" t="str">
        <f aca="false">IF($B7="","",IFERROR(INDEX(원자재마스터!$J$3:$J$502,MATCH("R"&amp;2,거래처별목록!$L$6:$L$505,0)),""))</f>
        <v>EA</v>
      </c>
      <c r="G7" s="20" t="n">
        <f aca="false">IF($B7="","",IFERROR(INDEX(원자재마스터!$K$3:$K$502,MATCH("R"&amp;2,거래처별목록!$L$6:$L$505,0)),""))</f>
        <v>34200</v>
      </c>
      <c r="J7" s="21" t="b">
        <f aca="false">IF(원자재마스터!$A4="",FALSE(),원자재마스터!$L4=$B$3)</f>
        <v>1</v>
      </c>
      <c r="K7" s="5" t="n">
        <f aca="false">IF($J7=FALSE(),"",COUNTIF($J$6:$J7,TRUE()))</f>
        <v>2</v>
      </c>
      <c r="L7" s="5" t="str">
        <f aca="false">IF($K7="","","R"&amp;$K7)</f>
        <v>R2</v>
      </c>
    </row>
    <row r="8" customFormat="false" ht="15" hidden="false" customHeight="true" outlineLevel="0" collapsed="false">
      <c r="A8" s="19" t="str">
        <f aca="false">IF($B8="","",3)</f>
        <v/>
      </c>
      <c r="B8" s="11" t="str">
        <f aca="false">IFERROR(INDEX(원자재마스터!$A$3:$A$502,MATCH("R"&amp;3,거래처별목록!$L$6:$L$505,0)),"")</f>
        <v/>
      </c>
      <c r="C8" s="11" t="str">
        <f aca="false">IF($B8="","",IFERROR(INDEX(원자재마스터!$B$3:$B$502,MATCH("R"&amp;3,거래처별목록!$L$6:$L$505,0)),""))</f>
        <v/>
      </c>
      <c r="D8" s="19" t="str">
        <f aca="false">IF($B8="","",IFERROR(INDEX(원자재마스터!$C$3:$C$502,MATCH("R"&amp;3,거래처별목록!$L$6:$L$505,0)),""))</f>
        <v/>
      </c>
      <c r="E8" s="11" t="str">
        <f aca="false">IF($B8="","",IFERROR(INDEX(원자재마스터!$G$3:$G$502,MATCH("R"&amp;3,거래처별목록!$L$6:$L$505,0)),""))</f>
        <v/>
      </c>
      <c r="F8" s="19" t="str">
        <f aca="false">IF($B8="","",IFERROR(INDEX(원자재마스터!$J$3:$J$502,MATCH("R"&amp;3,거래처별목록!$L$6:$L$505,0)),""))</f>
        <v/>
      </c>
      <c r="G8" s="20" t="str">
        <f aca="false">IF($B8="","",IFERROR(INDEX(원자재마스터!$K$3:$K$502,MATCH("R"&amp;3,거래처별목록!$L$6:$L$505,0)),""))</f>
        <v/>
      </c>
      <c r="J8" s="21" t="b">
        <f aca="false">IF(원자재마스터!$A5="",FALSE(),원자재마스터!$L5=$B$3)</f>
        <v>0</v>
      </c>
      <c r="K8" s="5" t="str">
        <f aca="false">IF($J8=FALSE(),"",COUNTIF($J$6:$J8,TRUE()))</f>
        <v/>
      </c>
      <c r="L8" s="5" t="str">
        <f aca="false">IF($K8="","","R"&amp;$K8)</f>
        <v/>
      </c>
    </row>
    <row r="9" customFormat="false" ht="15" hidden="false" customHeight="true" outlineLevel="0" collapsed="false">
      <c r="A9" s="19" t="str">
        <f aca="false">IF($B9="","",4)</f>
        <v/>
      </c>
      <c r="B9" s="11" t="str">
        <f aca="false">IFERROR(INDEX(원자재마스터!$A$3:$A$502,MATCH("R"&amp;4,거래처별목록!$L$6:$L$505,0)),"")</f>
        <v/>
      </c>
      <c r="C9" s="11" t="str">
        <f aca="false">IF($B9="","",IFERROR(INDEX(원자재마스터!$B$3:$B$502,MATCH("R"&amp;4,거래처별목록!$L$6:$L$505,0)),""))</f>
        <v/>
      </c>
      <c r="D9" s="19" t="str">
        <f aca="false">IF($B9="","",IFERROR(INDEX(원자재마스터!$C$3:$C$502,MATCH("R"&amp;4,거래처별목록!$L$6:$L$505,0)),""))</f>
        <v/>
      </c>
      <c r="E9" s="11" t="str">
        <f aca="false">IF($B9="","",IFERROR(INDEX(원자재마스터!$G$3:$G$502,MATCH("R"&amp;4,거래처별목록!$L$6:$L$505,0)),""))</f>
        <v/>
      </c>
      <c r="F9" s="19" t="str">
        <f aca="false">IF($B9="","",IFERROR(INDEX(원자재마스터!$J$3:$J$502,MATCH("R"&amp;4,거래처별목록!$L$6:$L$505,0)),""))</f>
        <v/>
      </c>
      <c r="G9" s="20" t="str">
        <f aca="false">IF($B9="","",IFERROR(INDEX(원자재마스터!$K$3:$K$502,MATCH("R"&amp;4,거래처별목록!$L$6:$L$505,0)),""))</f>
        <v/>
      </c>
      <c r="J9" s="21" t="b">
        <f aca="false">IF(원자재마스터!$A6="",FALSE(),원자재마스터!$L6=$B$3)</f>
        <v>0</v>
      </c>
      <c r="K9" s="5" t="str">
        <f aca="false">IF($J9=FALSE(),"",COUNTIF($J$6:$J9,TRUE()))</f>
        <v/>
      </c>
      <c r="L9" s="5" t="str">
        <f aca="false">IF($K9="","","R"&amp;$K9)</f>
        <v/>
      </c>
    </row>
    <row r="10" customFormat="false" ht="15" hidden="false" customHeight="true" outlineLevel="0" collapsed="false">
      <c r="A10" s="19" t="str">
        <f aca="false">IF($B10="","",5)</f>
        <v/>
      </c>
      <c r="B10" s="11" t="str">
        <f aca="false">IFERROR(INDEX(원자재마스터!$A$3:$A$502,MATCH("R"&amp;5,거래처별목록!$L$6:$L$505,0)),"")</f>
        <v/>
      </c>
      <c r="C10" s="11" t="str">
        <f aca="false">IF($B10="","",IFERROR(INDEX(원자재마스터!$B$3:$B$502,MATCH("R"&amp;5,거래처별목록!$L$6:$L$505,0)),""))</f>
        <v/>
      </c>
      <c r="D10" s="19" t="str">
        <f aca="false">IF($B10="","",IFERROR(INDEX(원자재마스터!$C$3:$C$502,MATCH("R"&amp;5,거래처별목록!$L$6:$L$505,0)),""))</f>
        <v/>
      </c>
      <c r="E10" s="11" t="str">
        <f aca="false">IF($B10="","",IFERROR(INDEX(원자재마스터!$G$3:$G$502,MATCH("R"&amp;5,거래처별목록!$L$6:$L$505,0)),""))</f>
        <v/>
      </c>
      <c r="F10" s="19" t="str">
        <f aca="false">IF($B10="","",IFERROR(INDEX(원자재마스터!$J$3:$J$502,MATCH("R"&amp;5,거래처별목록!$L$6:$L$505,0)),""))</f>
        <v/>
      </c>
      <c r="G10" s="20" t="str">
        <f aca="false">IF($B10="","",IFERROR(INDEX(원자재마스터!$K$3:$K$502,MATCH("R"&amp;5,거래처별목록!$L$6:$L$505,0)),""))</f>
        <v/>
      </c>
      <c r="J10" s="21" t="b">
        <f aca="false">IF(원자재마스터!$A7="",FALSE(),원자재마스터!$L7=$B$3)</f>
        <v>0</v>
      </c>
      <c r="K10" s="5" t="str">
        <f aca="false">IF($J10=FALSE(),"",COUNTIF($J$6:$J10,TRUE()))</f>
        <v/>
      </c>
      <c r="L10" s="5" t="str">
        <f aca="false">IF($K10="","","R"&amp;$K10)</f>
        <v/>
      </c>
    </row>
    <row r="11" customFormat="false" ht="15" hidden="false" customHeight="true" outlineLevel="0" collapsed="false">
      <c r="A11" s="19" t="str">
        <f aca="false">IF($B11="","",6)</f>
        <v/>
      </c>
      <c r="B11" s="11" t="str">
        <f aca="false">IFERROR(INDEX(원자재마스터!$A$3:$A$502,MATCH("R"&amp;6,거래처별목록!$L$6:$L$505,0)),"")</f>
        <v/>
      </c>
      <c r="C11" s="11" t="str">
        <f aca="false">IF($B11="","",IFERROR(INDEX(원자재마스터!$B$3:$B$502,MATCH("R"&amp;6,거래처별목록!$L$6:$L$505,0)),""))</f>
        <v/>
      </c>
      <c r="D11" s="19" t="str">
        <f aca="false">IF($B11="","",IFERROR(INDEX(원자재마스터!$C$3:$C$502,MATCH("R"&amp;6,거래처별목록!$L$6:$L$505,0)),""))</f>
        <v/>
      </c>
      <c r="E11" s="11" t="str">
        <f aca="false">IF($B11="","",IFERROR(INDEX(원자재마스터!$G$3:$G$502,MATCH("R"&amp;6,거래처별목록!$L$6:$L$505,0)),""))</f>
        <v/>
      </c>
      <c r="F11" s="19" t="str">
        <f aca="false">IF($B11="","",IFERROR(INDEX(원자재마스터!$J$3:$J$502,MATCH("R"&amp;6,거래처별목록!$L$6:$L$505,0)),""))</f>
        <v/>
      </c>
      <c r="G11" s="20" t="str">
        <f aca="false">IF($B11="","",IFERROR(INDEX(원자재마스터!$K$3:$K$502,MATCH("R"&amp;6,거래처별목록!$L$6:$L$505,0)),""))</f>
        <v/>
      </c>
      <c r="J11" s="21" t="b">
        <f aca="false">IF(원자재마스터!$A8="",FALSE(),원자재마스터!$L8=$B$3)</f>
        <v>0</v>
      </c>
      <c r="K11" s="5" t="str">
        <f aca="false">IF($J11=FALSE(),"",COUNTIF($J$6:$J11,TRUE()))</f>
        <v/>
      </c>
      <c r="L11" s="5" t="str">
        <f aca="false">IF($K11="","","R"&amp;$K11)</f>
        <v/>
      </c>
    </row>
    <row r="12" customFormat="false" ht="15" hidden="false" customHeight="true" outlineLevel="0" collapsed="false">
      <c r="A12" s="19" t="str">
        <f aca="false">IF($B12="","",7)</f>
        <v/>
      </c>
      <c r="B12" s="11" t="str">
        <f aca="false">IFERROR(INDEX(원자재마스터!$A$3:$A$502,MATCH("R"&amp;7,거래처별목록!$L$6:$L$505,0)),"")</f>
        <v/>
      </c>
      <c r="C12" s="11" t="str">
        <f aca="false">IF($B12="","",IFERROR(INDEX(원자재마스터!$B$3:$B$502,MATCH("R"&amp;7,거래처별목록!$L$6:$L$505,0)),""))</f>
        <v/>
      </c>
      <c r="D12" s="19" t="str">
        <f aca="false">IF($B12="","",IFERROR(INDEX(원자재마스터!$C$3:$C$502,MATCH("R"&amp;7,거래처별목록!$L$6:$L$505,0)),""))</f>
        <v/>
      </c>
      <c r="E12" s="11" t="str">
        <f aca="false">IF($B12="","",IFERROR(INDEX(원자재마스터!$G$3:$G$502,MATCH("R"&amp;7,거래처별목록!$L$6:$L$505,0)),""))</f>
        <v/>
      </c>
      <c r="F12" s="19" t="str">
        <f aca="false">IF($B12="","",IFERROR(INDEX(원자재마스터!$J$3:$J$502,MATCH("R"&amp;7,거래처별목록!$L$6:$L$505,0)),""))</f>
        <v/>
      </c>
      <c r="G12" s="20" t="str">
        <f aca="false">IF($B12="","",IFERROR(INDEX(원자재마스터!$K$3:$K$502,MATCH("R"&amp;7,거래처별목록!$L$6:$L$505,0)),""))</f>
        <v/>
      </c>
      <c r="J12" s="21" t="b">
        <f aca="false">IF(원자재마스터!$A9="",FALSE(),원자재마스터!$L9=$B$3)</f>
        <v>0</v>
      </c>
      <c r="K12" s="5" t="str">
        <f aca="false">IF($J12=FALSE(),"",COUNTIF($J$6:$J12,TRUE()))</f>
        <v/>
      </c>
      <c r="L12" s="5" t="str">
        <f aca="false">IF($K12="","","R"&amp;$K12)</f>
        <v/>
      </c>
    </row>
    <row r="13" customFormat="false" ht="15" hidden="false" customHeight="true" outlineLevel="0" collapsed="false">
      <c r="A13" s="19" t="str">
        <f aca="false">IF($B13="","",8)</f>
        <v/>
      </c>
      <c r="B13" s="11" t="str">
        <f aca="false">IFERROR(INDEX(원자재마스터!$A$3:$A$502,MATCH("R"&amp;8,거래처별목록!$L$6:$L$505,0)),"")</f>
        <v/>
      </c>
      <c r="C13" s="11" t="str">
        <f aca="false">IF($B13="","",IFERROR(INDEX(원자재마스터!$B$3:$B$502,MATCH("R"&amp;8,거래처별목록!$L$6:$L$505,0)),""))</f>
        <v/>
      </c>
      <c r="D13" s="19" t="str">
        <f aca="false">IF($B13="","",IFERROR(INDEX(원자재마스터!$C$3:$C$502,MATCH("R"&amp;8,거래처별목록!$L$6:$L$505,0)),""))</f>
        <v/>
      </c>
      <c r="E13" s="11" t="str">
        <f aca="false">IF($B13="","",IFERROR(INDEX(원자재마스터!$G$3:$G$502,MATCH("R"&amp;8,거래처별목록!$L$6:$L$505,0)),""))</f>
        <v/>
      </c>
      <c r="F13" s="19" t="str">
        <f aca="false">IF($B13="","",IFERROR(INDEX(원자재마스터!$J$3:$J$502,MATCH("R"&amp;8,거래처별목록!$L$6:$L$505,0)),""))</f>
        <v/>
      </c>
      <c r="G13" s="20" t="str">
        <f aca="false">IF($B13="","",IFERROR(INDEX(원자재마스터!$K$3:$K$502,MATCH("R"&amp;8,거래처별목록!$L$6:$L$505,0)),""))</f>
        <v/>
      </c>
      <c r="J13" s="21" t="b">
        <f aca="false">IF(원자재마스터!$A10="",FALSE(),원자재마스터!$L10=$B$3)</f>
        <v>0</v>
      </c>
      <c r="K13" s="5" t="str">
        <f aca="false">IF($J13=FALSE(),"",COUNTIF($J$6:$J13,TRUE()))</f>
        <v/>
      </c>
      <c r="L13" s="5" t="str">
        <f aca="false">IF($K13="","","R"&amp;$K13)</f>
        <v/>
      </c>
    </row>
    <row r="14" customFormat="false" ht="15" hidden="false" customHeight="true" outlineLevel="0" collapsed="false">
      <c r="A14" s="19" t="str">
        <f aca="false">IF($B14="","",9)</f>
        <v/>
      </c>
      <c r="B14" s="11" t="str">
        <f aca="false">IFERROR(INDEX(원자재마스터!$A$3:$A$502,MATCH("R"&amp;9,거래처별목록!$L$6:$L$505,0)),"")</f>
        <v/>
      </c>
      <c r="C14" s="11" t="str">
        <f aca="false">IF($B14="","",IFERROR(INDEX(원자재마스터!$B$3:$B$502,MATCH("R"&amp;9,거래처별목록!$L$6:$L$505,0)),""))</f>
        <v/>
      </c>
      <c r="D14" s="19" t="str">
        <f aca="false">IF($B14="","",IFERROR(INDEX(원자재마스터!$C$3:$C$502,MATCH("R"&amp;9,거래처별목록!$L$6:$L$505,0)),""))</f>
        <v/>
      </c>
      <c r="E14" s="11" t="str">
        <f aca="false">IF($B14="","",IFERROR(INDEX(원자재마스터!$G$3:$G$502,MATCH("R"&amp;9,거래처별목록!$L$6:$L$505,0)),""))</f>
        <v/>
      </c>
      <c r="F14" s="19" t="str">
        <f aca="false">IF($B14="","",IFERROR(INDEX(원자재마스터!$J$3:$J$502,MATCH("R"&amp;9,거래처별목록!$L$6:$L$505,0)),""))</f>
        <v/>
      </c>
      <c r="G14" s="20" t="str">
        <f aca="false">IF($B14="","",IFERROR(INDEX(원자재마스터!$K$3:$K$502,MATCH("R"&amp;9,거래처별목록!$L$6:$L$505,0)),""))</f>
        <v/>
      </c>
      <c r="J14" s="21" t="b">
        <f aca="false">IF(원자재마스터!$A11="",FALSE(),원자재마스터!$L11=$B$3)</f>
        <v>0</v>
      </c>
      <c r="K14" s="5" t="str">
        <f aca="false">IF($J14=FALSE(),"",COUNTIF($J$6:$J14,TRUE()))</f>
        <v/>
      </c>
      <c r="L14" s="5" t="str">
        <f aca="false">IF($K14="","","R"&amp;$K14)</f>
        <v/>
      </c>
    </row>
    <row r="15" customFormat="false" ht="15" hidden="false" customHeight="true" outlineLevel="0" collapsed="false">
      <c r="A15" s="19" t="str">
        <f aca="false">IF($B15="","",10)</f>
        <v/>
      </c>
      <c r="B15" s="11" t="str">
        <f aca="false">IFERROR(INDEX(원자재마스터!$A$3:$A$502,MATCH("R"&amp;10,거래처별목록!$L$6:$L$505,0)),"")</f>
        <v/>
      </c>
      <c r="C15" s="11" t="str">
        <f aca="false">IF($B15="","",IFERROR(INDEX(원자재마스터!$B$3:$B$502,MATCH("R"&amp;10,거래처별목록!$L$6:$L$505,0)),""))</f>
        <v/>
      </c>
      <c r="D15" s="19" t="str">
        <f aca="false">IF($B15="","",IFERROR(INDEX(원자재마스터!$C$3:$C$502,MATCH("R"&amp;10,거래처별목록!$L$6:$L$505,0)),""))</f>
        <v/>
      </c>
      <c r="E15" s="11" t="str">
        <f aca="false">IF($B15="","",IFERROR(INDEX(원자재마스터!$G$3:$G$502,MATCH("R"&amp;10,거래처별목록!$L$6:$L$505,0)),""))</f>
        <v/>
      </c>
      <c r="F15" s="19" t="str">
        <f aca="false">IF($B15="","",IFERROR(INDEX(원자재마스터!$J$3:$J$502,MATCH("R"&amp;10,거래처별목록!$L$6:$L$505,0)),""))</f>
        <v/>
      </c>
      <c r="G15" s="20" t="str">
        <f aca="false">IF($B15="","",IFERROR(INDEX(원자재마스터!$K$3:$K$502,MATCH("R"&amp;10,거래처별목록!$L$6:$L$505,0)),""))</f>
        <v/>
      </c>
      <c r="J15" s="21" t="b">
        <f aca="false">IF(원자재마스터!$A12="",FALSE(),원자재마스터!$L12=$B$3)</f>
        <v>0</v>
      </c>
      <c r="K15" s="5" t="str">
        <f aca="false">IF($J15=FALSE(),"",COUNTIF($J$6:$J15,TRUE()))</f>
        <v/>
      </c>
      <c r="L15" s="5" t="str">
        <f aca="false">IF($K15="","","R"&amp;$K15)</f>
        <v/>
      </c>
    </row>
    <row r="16" customFormat="false" ht="15" hidden="false" customHeight="true" outlineLevel="0" collapsed="false">
      <c r="A16" s="19" t="str">
        <f aca="false">IF($B16="","",11)</f>
        <v/>
      </c>
      <c r="B16" s="11" t="str">
        <f aca="false">IFERROR(INDEX(원자재마스터!$A$3:$A$502,MATCH("R"&amp;11,거래처별목록!$L$6:$L$505,0)),"")</f>
        <v/>
      </c>
      <c r="C16" s="11" t="str">
        <f aca="false">IF($B16="","",IFERROR(INDEX(원자재마스터!$B$3:$B$502,MATCH("R"&amp;11,거래처별목록!$L$6:$L$505,0)),""))</f>
        <v/>
      </c>
      <c r="D16" s="19" t="str">
        <f aca="false">IF($B16="","",IFERROR(INDEX(원자재마스터!$C$3:$C$502,MATCH("R"&amp;11,거래처별목록!$L$6:$L$505,0)),""))</f>
        <v/>
      </c>
      <c r="E16" s="11" t="str">
        <f aca="false">IF($B16="","",IFERROR(INDEX(원자재마스터!$G$3:$G$502,MATCH("R"&amp;11,거래처별목록!$L$6:$L$505,0)),""))</f>
        <v/>
      </c>
      <c r="F16" s="19" t="str">
        <f aca="false">IF($B16="","",IFERROR(INDEX(원자재마스터!$J$3:$J$502,MATCH("R"&amp;11,거래처별목록!$L$6:$L$505,0)),""))</f>
        <v/>
      </c>
      <c r="G16" s="20" t="str">
        <f aca="false">IF($B16="","",IFERROR(INDEX(원자재마스터!$K$3:$K$502,MATCH("R"&amp;11,거래처별목록!$L$6:$L$505,0)),""))</f>
        <v/>
      </c>
      <c r="J16" s="21" t="b">
        <f aca="false">IF(원자재마스터!$A13="",FALSE(),원자재마스터!$L13=$B$3)</f>
        <v>0</v>
      </c>
      <c r="K16" s="5" t="str">
        <f aca="false">IF($J16=FALSE(),"",COUNTIF($J$6:$J16,TRUE()))</f>
        <v/>
      </c>
      <c r="L16" s="5" t="str">
        <f aca="false">IF($K16="","","R"&amp;$K16)</f>
        <v/>
      </c>
    </row>
    <row r="17" customFormat="false" ht="15" hidden="false" customHeight="true" outlineLevel="0" collapsed="false">
      <c r="A17" s="19" t="str">
        <f aca="false">IF($B17="","",12)</f>
        <v/>
      </c>
      <c r="B17" s="11" t="str">
        <f aca="false">IFERROR(INDEX(원자재마스터!$A$3:$A$502,MATCH("R"&amp;12,거래처별목록!$L$6:$L$505,0)),"")</f>
        <v/>
      </c>
      <c r="C17" s="11" t="str">
        <f aca="false">IF($B17="","",IFERROR(INDEX(원자재마스터!$B$3:$B$502,MATCH("R"&amp;12,거래처별목록!$L$6:$L$505,0)),""))</f>
        <v/>
      </c>
      <c r="D17" s="19" t="str">
        <f aca="false">IF($B17="","",IFERROR(INDEX(원자재마스터!$C$3:$C$502,MATCH("R"&amp;12,거래처별목록!$L$6:$L$505,0)),""))</f>
        <v/>
      </c>
      <c r="E17" s="11" t="str">
        <f aca="false">IF($B17="","",IFERROR(INDEX(원자재마스터!$G$3:$G$502,MATCH("R"&amp;12,거래처별목록!$L$6:$L$505,0)),""))</f>
        <v/>
      </c>
      <c r="F17" s="19" t="str">
        <f aca="false">IF($B17="","",IFERROR(INDEX(원자재마스터!$J$3:$J$502,MATCH("R"&amp;12,거래처별목록!$L$6:$L$505,0)),""))</f>
        <v/>
      </c>
      <c r="G17" s="20" t="str">
        <f aca="false">IF($B17="","",IFERROR(INDEX(원자재마스터!$K$3:$K$502,MATCH("R"&amp;12,거래처별목록!$L$6:$L$505,0)),""))</f>
        <v/>
      </c>
      <c r="J17" s="21" t="b">
        <f aca="false">IF(원자재마스터!$A14="",FALSE(),원자재마스터!$L14=$B$3)</f>
        <v>0</v>
      </c>
      <c r="K17" s="5" t="str">
        <f aca="false">IF($J17=FALSE(),"",COUNTIF($J$6:$J17,TRUE()))</f>
        <v/>
      </c>
      <c r="L17" s="5" t="str">
        <f aca="false">IF($K17="","","R"&amp;$K17)</f>
        <v/>
      </c>
    </row>
    <row r="18" customFormat="false" ht="15" hidden="false" customHeight="true" outlineLevel="0" collapsed="false">
      <c r="A18" s="19" t="str">
        <f aca="false">IF($B18="","",13)</f>
        <v/>
      </c>
      <c r="B18" s="11" t="str">
        <f aca="false">IFERROR(INDEX(원자재마스터!$A$3:$A$502,MATCH("R"&amp;13,거래처별목록!$L$6:$L$505,0)),"")</f>
        <v/>
      </c>
      <c r="C18" s="11" t="str">
        <f aca="false">IF($B18="","",IFERROR(INDEX(원자재마스터!$B$3:$B$502,MATCH("R"&amp;13,거래처별목록!$L$6:$L$505,0)),""))</f>
        <v/>
      </c>
      <c r="D18" s="19" t="str">
        <f aca="false">IF($B18="","",IFERROR(INDEX(원자재마스터!$C$3:$C$502,MATCH("R"&amp;13,거래처별목록!$L$6:$L$505,0)),""))</f>
        <v/>
      </c>
      <c r="E18" s="11" t="str">
        <f aca="false">IF($B18="","",IFERROR(INDEX(원자재마스터!$G$3:$G$502,MATCH("R"&amp;13,거래처별목록!$L$6:$L$505,0)),""))</f>
        <v/>
      </c>
      <c r="F18" s="19" t="str">
        <f aca="false">IF($B18="","",IFERROR(INDEX(원자재마스터!$J$3:$J$502,MATCH("R"&amp;13,거래처별목록!$L$6:$L$505,0)),""))</f>
        <v/>
      </c>
      <c r="G18" s="20" t="str">
        <f aca="false">IF($B18="","",IFERROR(INDEX(원자재마스터!$K$3:$K$502,MATCH("R"&amp;13,거래처별목록!$L$6:$L$505,0)),""))</f>
        <v/>
      </c>
      <c r="J18" s="21" t="b">
        <f aca="false">IF(원자재마스터!$A15="",FALSE(),원자재마스터!$L15=$B$3)</f>
        <v>0</v>
      </c>
      <c r="K18" s="5" t="str">
        <f aca="false">IF($J18=FALSE(),"",COUNTIF($J$6:$J18,TRUE()))</f>
        <v/>
      </c>
      <c r="L18" s="5" t="str">
        <f aca="false">IF($K18="","","R"&amp;$K18)</f>
        <v/>
      </c>
    </row>
    <row r="19" customFormat="false" ht="15" hidden="false" customHeight="true" outlineLevel="0" collapsed="false">
      <c r="A19" s="19" t="str">
        <f aca="false">IF($B19="","",14)</f>
        <v/>
      </c>
      <c r="B19" s="11" t="str">
        <f aca="false">IFERROR(INDEX(원자재마스터!$A$3:$A$502,MATCH("R"&amp;14,거래처별목록!$L$6:$L$505,0)),"")</f>
        <v/>
      </c>
      <c r="C19" s="11" t="str">
        <f aca="false">IF($B19="","",IFERROR(INDEX(원자재마스터!$B$3:$B$502,MATCH("R"&amp;14,거래처별목록!$L$6:$L$505,0)),""))</f>
        <v/>
      </c>
      <c r="D19" s="19" t="str">
        <f aca="false">IF($B19="","",IFERROR(INDEX(원자재마스터!$C$3:$C$502,MATCH("R"&amp;14,거래처별목록!$L$6:$L$505,0)),""))</f>
        <v/>
      </c>
      <c r="E19" s="11" t="str">
        <f aca="false">IF($B19="","",IFERROR(INDEX(원자재마스터!$G$3:$G$502,MATCH("R"&amp;14,거래처별목록!$L$6:$L$505,0)),""))</f>
        <v/>
      </c>
      <c r="F19" s="19" t="str">
        <f aca="false">IF($B19="","",IFERROR(INDEX(원자재마스터!$J$3:$J$502,MATCH("R"&amp;14,거래처별목록!$L$6:$L$505,0)),""))</f>
        <v/>
      </c>
      <c r="G19" s="20" t="str">
        <f aca="false">IF($B19="","",IFERROR(INDEX(원자재마스터!$K$3:$K$502,MATCH("R"&amp;14,거래처별목록!$L$6:$L$505,0)),""))</f>
        <v/>
      </c>
      <c r="J19" s="21" t="b">
        <f aca="false">IF(원자재마스터!$A16="",FALSE(),원자재마스터!$L16=$B$3)</f>
        <v>0</v>
      </c>
      <c r="K19" s="5" t="str">
        <f aca="false">IF($J19=FALSE(),"",COUNTIF($J$6:$J19,TRUE()))</f>
        <v/>
      </c>
      <c r="L19" s="5" t="str">
        <f aca="false">IF($K19="","","R"&amp;$K19)</f>
        <v/>
      </c>
    </row>
    <row r="20" customFormat="false" ht="15" hidden="false" customHeight="true" outlineLevel="0" collapsed="false">
      <c r="A20" s="19" t="str">
        <f aca="false">IF($B20="","",15)</f>
        <v/>
      </c>
      <c r="B20" s="11" t="str">
        <f aca="false">IFERROR(INDEX(원자재마스터!$A$3:$A$502,MATCH("R"&amp;15,거래처별목록!$L$6:$L$505,0)),"")</f>
        <v/>
      </c>
      <c r="C20" s="11" t="str">
        <f aca="false">IF($B20="","",IFERROR(INDEX(원자재마스터!$B$3:$B$502,MATCH("R"&amp;15,거래처별목록!$L$6:$L$505,0)),""))</f>
        <v/>
      </c>
      <c r="D20" s="19" t="str">
        <f aca="false">IF($B20="","",IFERROR(INDEX(원자재마스터!$C$3:$C$502,MATCH("R"&amp;15,거래처별목록!$L$6:$L$505,0)),""))</f>
        <v/>
      </c>
      <c r="E20" s="11" t="str">
        <f aca="false">IF($B20="","",IFERROR(INDEX(원자재마스터!$G$3:$G$502,MATCH("R"&amp;15,거래처별목록!$L$6:$L$505,0)),""))</f>
        <v/>
      </c>
      <c r="F20" s="19" t="str">
        <f aca="false">IF($B20="","",IFERROR(INDEX(원자재마스터!$J$3:$J$502,MATCH("R"&amp;15,거래처별목록!$L$6:$L$505,0)),""))</f>
        <v/>
      </c>
      <c r="G20" s="20" t="str">
        <f aca="false">IF($B20="","",IFERROR(INDEX(원자재마스터!$K$3:$K$502,MATCH("R"&amp;15,거래처별목록!$L$6:$L$505,0)),""))</f>
        <v/>
      </c>
      <c r="J20" s="21" t="b">
        <f aca="false">IF(원자재마스터!$A17="",FALSE(),원자재마스터!$L17=$B$3)</f>
        <v>0</v>
      </c>
      <c r="K20" s="5" t="str">
        <f aca="false">IF($J20=FALSE(),"",COUNTIF($J$6:$J20,TRUE()))</f>
        <v/>
      </c>
      <c r="L20" s="5" t="str">
        <f aca="false">IF($K20="","","R"&amp;$K20)</f>
        <v/>
      </c>
    </row>
    <row r="21" customFormat="false" ht="15" hidden="false" customHeight="true" outlineLevel="0" collapsed="false">
      <c r="A21" s="19" t="str">
        <f aca="false">IF($B21="","",16)</f>
        <v/>
      </c>
      <c r="B21" s="11" t="str">
        <f aca="false">IFERROR(INDEX(원자재마스터!$A$3:$A$502,MATCH("R"&amp;16,거래처별목록!$L$6:$L$505,0)),"")</f>
        <v/>
      </c>
      <c r="C21" s="11" t="str">
        <f aca="false">IF($B21="","",IFERROR(INDEX(원자재마스터!$B$3:$B$502,MATCH("R"&amp;16,거래처별목록!$L$6:$L$505,0)),""))</f>
        <v/>
      </c>
      <c r="D21" s="19" t="str">
        <f aca="false">IF($B21="","",IFERROR(INDEX(원자재마스터!$C$3:$C$502,MATCH("R"&amp;16,거래처별목록!$L$6:$L$505,0)),""))</f>
        <v/>
      </c>
      <c r="E21" s="11" t="str">
        <f aca="false">IF($B21="","",IFERROR(INDEX(원자재마스터!$G$3:$G$502,MATCH("R"&amp;16,거래처별목록!$L$6:$L$505,0)),""))</f>
        <v/>
      </c>
      <c r="F21" s="19" t="str">
        <f aca="false">IF($B21="","",IFERROR(INDEX(원자재마스터!$J$3:$J$502,MATCH("R"&amp;16,거래처별목록!$L$6:$L$505,0)),""))</f>
        <v/>
      </c>
      <c r="G21" s="20" t="str">
        <f aca="false">IF($B21="","",IFERROR(INDEX(원자재마스터!$K$3:$K$502,MATCH("R"&amp;16,거래처별목록!$L$6:$L$505,0)),""))</f>
        <v/>
      </c>
      <c r="J21" s="21" t="b">
        <f aca="false">IF(원자재마스터!$A18="",FALSE(),원자재마스터!$L18=$B$3)</f>
        <v>0</v>
      </c>
      <c r="K21" s="5" t="str">
        <f aca="false">IF($J21=FALSE(),"",COUNTIF($J$6:$J21,TRUE()))</f>
        <v/>
      </c>
      <c r="L21" s="5" t="str">
        <f aca="false">IF($K21="","","R"&amp;$K21)</f>
        <v/>
      </c>
    </row>
    <row r="22" customFormat="false" ht="15" hidden="false" customHeight="true" outlineLevel="0" collapsed="false">
      <c r="A22" s="19" t="str">
        <f aca="false">IF($B22="","",17)</f>
        <v/>
      </c>
      <c r="B22" s="11" t="str">
        <f aca="false">IFERROR(INDEX(원자재마스터!$A$3:$A$502,MATCH("R"&amp;17,거래처별목록!$L$6:$L$505,0)),"")</f>
        <v/>
      </c>
      <c r="C22" s="11" t="str">
        <f aca="false">IF($B22="","",IFERROR(INDEX(원자재마스터!$B$3:$B$502,MATCH("R"&amp;17,거래처별목록!$L$6:$L$505,0)),""))</f>
        <v/>
      </c>
      <c r="D22" s="19" t="str">
        <f aca="false">IF($B22="","",IFERROR(INDEX(원자재마스터!$C$3:$C$502,MATCH("R"&amp;17,거래처별목록!$L$6:$L$505,0)),""))</f>
        <v/>
      </c>
      <c r="E22" s="11" t="str">
        <f aca="false">IF($B22="","",IFERROR(INDEX(원자재마스터!$G$3:$G$502,MATCH("R"&amp;17,거래처별목록!$L$6:$L$505,0)),""))</f>
        <v/>
      </c>
      <c r="F22" s="19" t="str">
        <f aca="false">IF($B22="","",IFERROR(INDEX(원자재마스터!$J$3:$J$502,MATCH("R"&amp;17,거래처별목록!$L$6:$L$505,0)),""))</f>
        <v/>
      </c>
      <c r="G22" s="20" t="str">
        <f aca="false">IF($B22="","",IFERROR(INDEX(원자재마스터!$K$3:$K$502,MATCH("R"&amp;17,거래처별목록!$L$6:$L$505,0)),""))</f>
        <v/>
      </c>
      <c r="J22" s="21" t="b">
        <f aca="false">IF(원자재마스터!$A19="",FALSE(),원자재마스터!$L19=$B$3)</f>
        <v>0</v>
      </c>
      <c r="K22" s="5" t="str">
        <f aca="false">IF($J22=FALSE(),"",COUNTIF($J$6:$J22,TRUE()))</f>
        <v/>
      </c>
      <c r="L22" s="5" t="str">
        <f aca="false">IF($K22="","","R"&amp;$K22)</f>
        <v/>
      </c>
    </row>
    <row r="23" customFormat="false" ht="15" hidden="false" customHeight="true" outlineLevel="0" collapsed="false">
      <c r="A23" s="19" t="str">
        <f aca="false">IF($B23="","",18)</f>
        <v/>
      </c>
      <c r="B23" s="11" t="str">
        <f aca="false">IFERROR(INDEX(원자재마스터!$A$3:$A$502,MATCH("R"&amp;18,거래처별목록!$L$6:$L$505,0)),"")</f>
        <v/>
      </c>
      <c r="C23" s="11" t="str">
        <f aca="false">IF($B23="","",IFERROR(INDEX(원자재마스터!$B$3:$B$502,MATCH("R"&amp;18,거래처별목록!$L$6:$L$505,0)),""))</f>
        <v/>
      </c>
      <c r="D23" s="19" t="str">
        <f aca="false">IF($B23="","",IFERROR(INDEX(원자재마스터!$C$3:$C$502,MATCH("R"&amp;18,거래처별목록!$L$6:$L$505,0)),""))</f>
        <v/>
      </c>
      <c r="E23" s="11" t="str">
        <f aca="false">IF($B23="","",IFERROR(INDEX(원자재마스터!$G$3:$G$502,MATCH("R"&amp;18,거래처별목록!$L$6:$L$505,0)),""))</f>
        <v/>
      </c>
      <c r="F23" s="19" t="str">
        <f aca="false">IF($B23="","",IFERROR(INDEX(원자재마스터!$J$3:$J$502,MATCH("R"&amp;18,거래처별목록!$L$6:$L$505,0)),""))</f>
        <v/>
      </c>
      <c r="G23" s="20" t="str">
        <f aca="false">IF($B23="","",IFERROR(INDEX(원자재마스터!$K$3:$K$502,MATCH("R"&amp;18,거래처별목록!$L$6:$L$505,0)),""))</f>
        <v/>
      </c>
      <c r="J23" s="21" t="b">
        <f aca="false">IF(원자재마스터!$A20="",FALSE(),원자재마스터!$L20=$B$3)</f>
        <v>0</v>
      </c>
      <c r="K23" s="5" t="str">
        <f aca="false">IF($J23=FALSE(),"",COUNTIF($J$6:$J23,TRUE()))</f>
        <v/>
      </c>
      <c r="L23" s="5" t="str">
        <f aca="false">IF($K23="","","R"&amp;$K23)</f>
        <v/>
      </c>
    </row>
    <row r="24" customFormat="false" ht="15" hidden="false" customHeight="true" outlineLevel="0" collapsed="false">
      <c r="A24" s="19" t="str">
        <f aca="false">IF($B24="","",19)</f>
        <v/>
      </c>
      <c r="B24" s="11" t="str">
        <f aca="false">IFERROR(INDEX(원자재마스터!$A$3:$A$502,MATCH("R"&amp;19,거래처별목록!$L$6:$L$505,0)),"")</f>
        <v/>
      </c>
      <c r="C24" s="11" t="str">
        <f aca="false">IF($B24="","",IFERROR(INDEX(원자재마스터!$B$3:$B$502,MATCH("R"&amp;19,거래처별목록!$L$6:$L$505,0)),""))</f>
        <v/>
      </c>
      <c r="D24" s="19" t="str">
        <f aca="false">IF($B24="","",IFERROR(INDEX(원자재마스터!$C$3:$C$502,MATCH("R"&amp;19,거래처별목록!$L$6:$L$505,0)),""))</f>
        <v/>
      </c>
      <c r="E24" s="11" t="str">
        <f aca="false">IF($B24="","",IFERROR(INDEX(원자재마스터!$G$3:$G$502,MATCH("R"&amp;19,거래처별목록!$L$6:$L$505,0)),""))</f>
        <v/>
      </c>
      <c r="F24" s="19" t="str">
        <f aca="false">IF($B24="","",IFERROR(INDEX(원자재마스터!$J$3:$J$502,MATCH("R"&amp;19,거래처별목록!$L$6:$L$505,0)),""))</f>
        <v/>
      </c>
      <c r="G24" s="20" t="str">
        <f aca="false">IF($B24="","",IFERROR(INDEX(원자재마스터!$K$3:$K$502,MATCH("R"&amp;19,거래처별목록!$L$6:$L$505,0)),""))</f>
        <v/>
      </c>
      <c r="J24" s="21" t="b">
        <f aca="false">IF(원자재마스터!$A21="",FALSE(),원자재마스터!$L21=$B$3)</f>
        <v>0</v>
      </c>
      <c r="K24" s="5" t="str">
        <f aca="false">IF($J24=FALSE(),"",COUNTIF($J$6:$J24,TRUE()))</f>
        <v/>
      </c>
      <c r="L24" s="5" t="str">
        <f aca="false">IF($K24="","","R"&amp;$K24)</f>
        <v/>
      </c>
    </row>
    <row r="25" customFormat="false" ht="15" hidden="false" customHeight="true" outlineLevel="0" collapsed="false">
      <c r="A25" s="19" t="str">
        <f aca="false">IF($B25="","",20)</f>
        <v/>
      </c>
      <c r="B25" s="11" t="str">
        <f aca="false">IFERROR(INDEX(원자재마스터!$A$3:$A$502,MATCH("R"&amp;20,거래처별목록!$L$6:$L$505,0)),"")</f>
        <v/>
      </c>
      <c r="C25" s="11" t="str">
        <f aca="false">IF($B25="","",IFERROR(INDEX(원자재마스터!$B$3:$B$502,MATCH("R"&amp;20,거래처별목록!$L$6:$L$505,0)),""))</f>
        <v/>
      </c>
      <c r="D25" s="19" t="str">
        <f aca="false">IF($B25="","",IFERROR(INDEX(원자재마스터!$C$3:$C$502,MATCH("R"&amp;20,거래처별목록!$L$6:$L$505,0)),""))</f>
        <v/>
      </c>
      <c r="E25" s="11" t="str">
        <f aca="false">IF($B25="","",IFERROR(INDEX(원자재마스터!$G$3:$G$502,MATCH("R"&amp;20,거래처별목록!$L$6:$L$505,0)),""))</f>
        <v/>
      </c>
      <c r="F25" s="19" t="str">
        <f aca="false">IF($B25="","",IFERROR(INDEX(원자재마스터!$J$3:$J$502,MATCH("R"&amp;20,거래처별목록!$L$6:$L$505,0)),""))</f>
        <v/>
      </c>
      <c r="G25" s="20" t="str">
        <f aca="false">IF($B25="","",IFERROR(INDEX(원자재마스터!$K$3:$K$502,MATCH("R"&amp;20,거래처별목록!$L$6:$L$505,0)),""))</f>
        <v/>
      </c>
      <c r="J25" s="21" t="b">
        <f aca="false">IF(원자재마스터!$A22="",FALSE(),원자재마스터!$L22=$B$3)</f>
        <v>0</v>
      </c>
      <c r="K25" s="5" t="str">
        <f aca="false">IF($J25=FALSE(),"",COUNTIF($J$6:$J25,TRUE()))</f>
        <v/>
      </c>
      <c r="L25" s="5" t="str">
        <f aca="false">IF($K25="","","R"&amp;$K25)</f>
        <v/>
      </c>
    </row>
    <row r="26" customFormat="false" ht="15" hidden="false" customHeight="true" outlineLevel="0" collapsed="false">
      <c r="A26" s="19" t="str">
        <f aca="false">IF($B26="","",21)</f>
        <v/>
      </c>
      <c r="B26" s="11" t="str">
        <f aca="false">IFERROR(INDEX(원자재마스터!$A$3:$A$502,MATCH("R"&amp;21,거래처별목록!$L$6:$L$505,0)),"")</f>
        <v/>
      </c>
      <c r="C26" s="11" t="str">
        <f aca="false">IF($B26="","",IFERROR(INDEX(원자재마스터!$B$3:$B$502,MATCH("R"&amp;21,거래처별목록!$L$6:$L$505,0)),""))</f>
        <v/>
      </c>
      <c r="D26" s="19" t="str">
        <f aca="false">IF($B26="","",IFERROR(INDEX(원자재마스터!$C$3:$C$502,MATCH("R"&amp;21,거래처별목록!$L$6:$L$505,0)),""))</f>
        <v/>
      </c>
      <c r="E26" s="11" t="str">
        <f aca="false">IF($B26="","",IFERROR(INDEX(원자재마스터!$G$3:$G$502,MATCH("R"&amp;21,거래처별목록!$L$6:$L$505,0)),""))</f>
        <v/>
      </c>
      <c r="F26" s="19" t="str">
        <f aca="false">IF($B26="","",IFERROR(INDEX(원자재마스터!$J$3:$J$502,MATCH("R"&amp;21,거래처별목록!$L$6:$L$505,0)),""))</f>
        <v/>
      </c>
      <c r="G26" s="20" t="str">
        <f aca="false">IF($B26="","",IFERROR(INDEX(원자재마스터!$K$3:$K$502,MATCH("R"&amp;21,거래처별목록!$L$6:$L$505,0)),""))</f>
        <v/>
      </c>
      <c r="J26" s="21" t="b">
        <f aca="false">IF(원자재마스터!$A23="",FALSE(),원자재마스터!$L23=$B$3)</f>
        <v>0</v>
      </c>
      <c r="K26" s="5" t="str">
        <f aca="false">IF($J26=FALSE(),"",COUNTIF($J$6:$J26,TRUE()))</f>
        <v/>
      </c>
      <c r="L26" s="5" t="str">
        <f aca="false">IF($K26="","","R"&amp;$K26)</f>
        <v/>
      </c>
    </row>
    <row r="27" customFormat="false" ht="15" hidden="false" customHeight="true" outlineLevel="0" collapsed="false">
      <c r="A27" s="19" t="str">
        <f aca="false">IF($B27="","",22)</f>
        <v/>
      </c>
      <c r="B27" s="11" t="str">
        <f aca="false">IFERROR(INDEX(원자재마스터!$A$3:$A$502,MATCH("R"&amp;22,거래처별목록!$L$6:$L$505,0)),"")</f>
        <v/>
      </c>
      <c r="C27" s="11" t="str">
        <f aca="false">IF($B27="","",IFERROR(INDEX(원자재마스터!$B$3:$B$502,MATCH("R"&amp;22,거래처별목록!$L$6:$L$505,0)),""))</f>
        <v/>
      </c>
      <c r="D27" s="19" t="str">
        <f aca="false">IF($B27="","",IFERROR(INDEX(원자재마스터!$C$3:$C$502,MATCH("R"&amp;22,거래처별목록!$L$6:$L$505,0)),""))</f>
        <v/>
      </c>
      <c r="E27" s="11" t="str">
        <f aca="false">IF($B27="","",IFERROR(INDEX(원자재마스터!$G$3:$G$502,MATCH("R"&amp;22,거래처별목록!$L$6:$L$505,0)),""))</f>
        <v/>
      </c>
      <c r="F27" s="19" t="str">
        <f aca="false">IF($B27="","",IFERROR(INDEX(원자재마스터!$J$3:$J$502,MATCH("R"&amp;22,거래처별목록!$L$6:$L$505,0)),""))</f>
        <v/>
      </c>
      <c r="G27" s="20" t="str">
        <f aca="false">IF($B27="","",IFERROR(INDEX(원자재마스터!$K$3:$K$502,MATCH("R"&amp;22,거래처별목록!$L$6:$L$505,0)),""))</f>
        <v/>
      </c>
      <c r="J27" s="21" t="b">
        <f aca="false">IF(원자재마스터!$A24="",FALSE(),원자재마스터!$L24=$B$3)</f>
        <v>0</v>
      </c>
      <c r="K27" s="5" t="str">
        <f aca="false">IF($J27=FALSE(),"",COUNTIF($J$6:$J27,TRUE()))</f>
        <v/>
      </c>
      <c r="L27" s="5" t="str">
        <f aca="false">IF($K27="","","R"&amp;$K27)</f>
        <v/>
      </c>
    </row>
    <row r="28" customFormat="false" ht="15" hidden="false" customHeight="true" outlineLevel="0" collapsed="false">
      <c r="A28" s="19" t="str">
        <f aca="false">IF($B28="","",23)</f>
        <v/>
      </c>
      <c r="B28" s="11" t="str">
        <f aca="false">IFERROR(INDEX(원자재마스터!$A$3:$A$502,MATCH("R"&amp;23,거래처별목록!$L$6:$L$505,0)),"")</f>
        <v/>
      </c>
      <c r="C28" s="11" t="str">
        <f aca="false">IF($B28="","",IFERROR(INDEX(원자재마스터!$B$3:$B$502,MATCH("R"&amp;23,거래처별목록!$L$6:$L$505,0)),""))</f>
        <v/>
      </c>
      <c r="D28" s="19" t="str">
        <f aca="false">IF($B28="","",IFERROR(INDEX(원자재마스터!$C$3:$C$502,MATCH("R"&amp;23,거래처별목록!$L$6:$L$505,0)),""))</f>
        <v/>
      </c>
      <c r="E28" s="11" t="str">
        <f aca="false">IF($B28="","",IFERROR(INDEX(원자재마스터!$G$3:$G$502,MATCH("R"&amp;23,거래처별목록!$L$6:$L$505,0)),""))</f>
        <v/>
      </c>
      <c r="F28" s="19" t="str">
        <f aca="false">IF($B28="","",IFERROR(INDEX(원자재마스터!$J$3:$J$502,MATCH("R"&amp;23,거래처별목록!$L$6:$L$505,0)),""))</f>
        <v/>
      </c>
      <c r="G28" s="20" t="str">
        <f aca="false">IF($B28="","",IFERROR(INDEX(원자재마스터!$K$3:$K$502,MATCH("R"&amp;23,거래처별목록!$L$6:$L$505,0)),""))</f>
        <v/>
      </c>
      <c r="J28" s="21" t="b">
        <f aca="false">IF(원자재마스터!$A25="",FALSE(),원자재마스터!$L25=$B$3)</f>
        <v>0</v>
      </c>
      <c r="K28" s="5" t="str">
        <f aca="false">IF($J28=FALSE(),"",COUNTIF($J$6:$J28,TRUE()))</f>
        <v/>
      </c>
      <c r="L28" s="5" t="str">
        <f aca="false">IF($K28="","","R"&amp;$K28)</f>
        <v/>
      </c>
    </row>
    <row r="29" customFormat="false" ht="15" hidden="false" customHeight="true" outlineLevel="0" collapsed="false">
      <c r="A29" s="19" t="str">
        <f aca="false">IF($B29="","",24)</f>
        <v/>
      </c>
      <c r="B29" s="11" t="str">
        <f aca="false">IFERROR(INDEX(원자재마스터!$A$3:$A$502,MATCH("R"&amp;24,거래처별목록!$L$6:$L$505,0)),"")</f>
        <v/>
      </c>
      <c r="C29" s="11" t="str">
        <f aca="false">IF($B29="","",IFERROR(INDEX(원자재마스터!$B$3:$B$502,MATCH("R"&amp;24,거래처별목록!$L$6:$L$505,0)),""))</f>
        <v/>
      </c>
      <c r="D29" s="19" t="str">
        <f aca="false">IF($B29="","",IFERROR(INDEX(원자재마스터!$C$3:$C$502,MATCH("R"&amp;24,거래처별목록!$L$6:$L$505,0)),""))</f>
        <v/>
      </c>
      <c r="E29" s="11" t="str">
        <f aca="false">IF($B29="","",IFERROR(INDEX(원자재마스터!$G$3:$G$502,MATCH("R"&amp;24,거래처별목록!$L$6:$L$505,0)),""))</f>
        <v/>
      </c>
      <c r="F29" s="19" t="str">
        <f aca="false">IF($B29="","",IFERROR(INDEX(원자재마스터!$J$3:$J$502,MATCH("R"&amp;24,거래처별목록!$L$6:$L$505,0)),""))</f>
        <v/>
      </c>
      <c r="G29" s="20" t="str">
        <f aca="false">IF($B29="","",IFERROR(INDEX(원자재마스터!$K$3:$K$502,MATCH("R"&amp;24,거래처별목록!$L$6:$L$505,0)),""))</f>
        <v/>
      </c>
      <c r="J29" s="21" t="b">
        <f aca="false">IF(원자재마스터!$A26="",FALSE(),원자재마스터!$L26=$B$3)</f>
        <v>0</v>
      </c>
      <c r="K29" s="5" t="str">
        <f aca="false">IF($J29=FALSE(),"",COUNTIF($J$6:$J29,TRUE()))</f>
        <v/>
      </c>
      <c r="L29" s="5" t="str">
        <f aca="false">IF($K29="","","R"&amp;$K29)</f>
        <v/>
      </c>
    </row>
    <row r="30" customFormat="false" ht="15" hidden="false" customHeight="true" outlineLevel="0" collapsed="false">
      <c r="A30" s="19" t="str">
        <f aca="false">IF($B30="","",25)</f>
        <v/>
      </c>
      <c r="B30" s="11" t="str">
        <f aca="false">IFERROR(INDEX(원자재마스터!$A$3:$A$502,MATCH("R"&amp;25,거래처별목록!$L$6:$L$505,0)),"")</f>
        <v/>
      </c>
      <c r="C30" s="11" t="str">
        <f aca="false">IF($B30="","",IFERROR(INDEX(원자재마스터!$B$3:$B$502,MATCH("R"&amp;25,거래처별목록!$L$6:$L$505,0)),""))</f>
        <v/>
      </c>
      <c r="D30" s="19" t="str">
        <f aca="false">IF($B30="","",IFERROR(INDEX(원자재마스터!$C$3:$C$502,MATCH("R"&amp;25,거래처별목록!$L$6:$L$505,0)),""))</f>
        <v/>
      </c>
      <c r="E30" s="11" t="str">
        <f aca="false">IF($B30="","",IFERROR(INDEX(원자재마스터!$G$3:$G$502,MATCH("R"&amp;25,거래처별목록!$L$6:$L$505,0)),""))</f>
        <v/>
      </c>
      <c r="F30" s="19" t="str">
        <f aca="false">IF($B30="","",IFERROR(INDEX(원자재마스터!$J$3:$J$502,MATCH("R"&amp;25,거래처별목록!$L$6:$L$505,0)),""))</f>
        <v/>
      </c>
      <c r="G30" s="20" t="str">
        <f aca="false">IF($B30="","",IFERROR(INDEX(원자재마스터!$K$3:$K$502,MATCH("R"&amp;25,거래처별목록!$L$6:$L$505,0)),""))</f>
        <v/>
      </c>
      <c r="J30" s="21" t="b">
        <f aca="false">IF(원자재마스터!$A27="",FALSE(),원자재마스터!$L27=$B$3)</f>
        <v>0</v>
      </c>
      <c r="K30" s="5" t="str">
        <f aca="false">IF($J30=FALSE(),"",COUNTIF($J$6:$J30,TRUE()))</f>
        <v/>
      </c>
      <c r="L30" s="5" t="str">
        <f aca="false">IF($K30="","","R"&amp;$K30)</f>
        <v/>
      </c>
    </row>
    <row r="31" customFormat="false" ht="15" hidden="false" customHeight="true" outlineLevel="0" collapsed="false">
      <c r="A31" s="19" t="str">
        <f aca="false">IF($B31="","",26)</f>
        <v/>
      </c>
      <c r="B31" s="11" t="str">
        <f aca="false">IFERROR(INDEX(원자재마스터!$A$3:$A$502,MATCH("R"&amp;26,거래처별목록!$L$6:$L$505,0)),"")</f>
        <v/>
      </c>
      <c r="C31" s="11" t="str">
        <f aca="false">IF($B31="","",IFERROR(INDEX(원자재마스터!$B$3:$B$502,MATCH("R"&amp;26,거래처별목록!$L$6:$L$505,0)),""))</f>
        <v/>
      </c>
      <c r="D31" s="19" t="str">
        <f aca="false">IF($B31="","",IFERROR(INDEX(원자재마스터!$C$3:$C$502,MATCH("R"&amp;26,거래처별목록!$L$6:$L$505,0)),""))</f>
        <v/>
      </c>
      <c r="E31" s="11" t="str">
        <f aca="false">IF($B31="","",IFERROR(INDEX(원자재마스터!$G$3:$G$502,MATCH("R"&amp;26,거래처별목록!$L$6:$L$505,0)),""))</f>
        <v/>
      </c>
      <c r="F31" s="19" t="str">
        <f aca="false">IF($B31="","",IFERROR(INDEX(원자재마스터!$J$3:$J$502,MATCH("R"&amp;26,거래처별목록!$L$6:$L$505,0)),""))</f>
        <v/>
      </c>
      <c r="G31" s="20" t="str">
        <f aca="false">IF($B31="","",IFERROR(INDEX(원자재마스터!$K$3:$K$502,MATCH("R"&amp;26,거래처별목록!$L$6:$L$505,0)),""))</f>
        <v/>
      </c>
      <c r="J31" s="21" t="b">
        <f aca="false">IF(원자재마스터!$A28="",FALSE(),원자재마스터!$L28=$B$3)</f>
        <v>0</v>
      </c>
      <c r="K31" s="5" t="str">
        <f aca="false">IF($J31=FALSE(),"",COUNTIF($J$6:$J31,TRUE()))</f>
        <v/>
      </c>
      <c r="L31" s="5" t="str">
        <f aca="false">IF($K31="","","R"&amp;$K31)</f>
        <v/>
      </c>
    </row>
    <row r="32" customFormat="false" ht="15" hidden="false" customHeight="true" outlineLevel="0" collapsed="false">
      <c r="A32" s="19" t="str">
        <f aca="false">IF($B32="","",27)</f>
        <v/>
      </c>
      <c r="B32" s="11" t="str">
        <f aca="false">IFERROR(INDEX(원자재마스터!$A$3:$A$502,MATCH("R"&amp;27,거래처별목록!$L$6:$L$505,0)),"")</f>
        <v/>
      </c>
      <c r="C32" s="11" t="str">
        <f aca="false">IF($B32="","",IFERROR(INDEX(원자재마스터!$B$3:$B$502,MATCH("R"&amp;27,거래처별목록!$L$6:$L$505,0)),""))</f>
        <v/>
      </c>
      <c r="D32" s="19" t="str">
        <f aca="false">IF($B32="","",IFERROR(INDEX(원자재마스터!$C$3:$C$502,MATCH("R"&amp;27,거래처별목록!$L$6:$L$505,0)),""))</f>
        <v/>
      </c>
      <c r="E32" s="11" t="str">
        <f aca="false">IF($B32="","",IFERROR(INDEX(원자재마스터!$G$3:$G$502,MATCH("R"&amp;27,거래처별목록!$L$6:$L$505,0)),""))</f>
        <v/>
      </c>
      <c r="F32" s="19" t="str">
        <f aca="false">IF($B32="","",IFERROR(INDEX(원자재마스터!$J$3:$J$502,MATCH("R"&amp;27,거래처별목록!$L$6:$L$505,0)),""))</f>
        <v/>
      </c>
      <c r="G32" s="20" t="str">
        <f aca="false">IF($B32="","",IFERROR(INDEX(원자재마스터!$K$3:$K$502,MATCH("R"&amp;27,거래처별목록!$L$6:$L$505,0)),""))</f>
        <v/>
      </c>
      <c r="J32" s="21" t="b">
        <f aca="false">IF(원자재마스터!$A29="",FALSE(),원자재마스터!$L29=$B$3)</f>
        <v>0</v>
      </c>
      <c r="K32" s="5" t="str">
        <f aca="false">IF($J32=FALSE(),"",COUNTIF($J$6:$J32,TRUE()))</f>
        <v/>
      </c>
      <c r="L32" s="5" t="str">
        <f aca="false">IF($K32="","","R"&amp;$K32)</f>
        <v/>
      </c>
    </row>
    <row r="33" customFormat="false" ht="15" hidden="false" customHeight="true" outlineLevel="0" collapsed="false">
      <c r="A33" s="19" t="str">
        <f aca="false">IF($B33="","",28)</f>
        <v/>
      </c>
      <c r="B33" s="11" t="str">
        <f aca="false">IFERROR(INDEX(원자재마스터!$A$3:$A$502,MATCH("R"&amp;28,거래처별목록!$L$6:$L$505,0)),"")</f>
        <v/>
      </c>
      <c r="C33" s="11" t="str">
        <f aca="false">IF($B33="","",IFERROR(INDEX(원자재마스터!$B$3:$B$502,MATCH("R"&amp;28,거래처별목록!$L$6:$L$505,0)),""))</f>
        <v/>
      </c>
      <c r="D33" s="19" t="str">
        <f aca="false">IF($B33="","",IFERROR(INDEX(원자재마스터!$C$3:$C$502,MATCH("R"&amp;28,거래처별목록!$L$6:$L$505,0)),""))</f>
        <v/>
      </c>
      <c r="E33" s="11" t="str">
        <f aca="false">IF($B33="","",IFERROR(INDEX(원자재마스터!$G$3:$G$502,MATCH("R"&amp;28,거래처별목록!$L$6:$L$505,0)),""))</f>
        <v/>
      </c>
      <c r="F33" s="19" t="str">
        <f aca="false">IF($B33="","",IFERROR(INDEX(원자재마스터!$J$3:$J$502,MATCH("R"&amp;28,거래처별목록!$L$6:$L$505,0)),""))</f>
        <v/>
      </c>
      <c r="G33" s="20" t="str">
        <f aca="false">IF($B33="","",IFERROR(INDEX(원자재마스터!$K$3:$K$502,MATCH("R"&amp;28,거래처별목록!$L$6:$L$505,0)),""))</f>
        <v/>
      </c>
      <c r="J33" s="21" t="b">
        <f aca="false">IF(원자재마스터!$A30="",FALSE(),원자재마스터!$L30=$B$3)</f>
        <v>0</v>
      </c>
      <c r="K33" s="5" t="str">
        <f aca="false">IF($J33=FALSE(),"",COUNTIF($J$6:$J33,TRUE()))</f>
        <v/>
      </c>
      <c r="L33" s="5" t="str">
        <f aca="false">IF($K33="","","R"&amp;$K33)</f>
        <v/>
      </c>
    </row>
    <row r="34" customFormat="false" ht="15" hidden="false" customHeight="true" outlineLevel="0" collapsed="false">
      <c r="A34" s="19" t="str">
        <f aca="false">IF($B34="","",29)</f>
        <v/>
      </c>
      <c r="B34" s="11" t="str">
        <f aca="false">IFERROR(INDEX(원자재마스터!$A$3:$A$502,MATCH("R"&amp;29,거래처별목록!$L$6:$L$505,0)),"")</f>
        <v/>
      </c>
      <c r="C34" s="11" t="str">
        <f aca="false">IF($B34="","",IFERROR(INDEX(원자재마스터!$B$3:$B$502,MATCH("R"&amp;29,거래처별목록!$L$6:$L$505,0)),""))</f>
        <v/>
      </c>
      <c r="D34" s="19" t="str">
        <f aca="false">IF($B34="","",IFERROR(INDEX(원자재마스터!$C$3:$C$502,MATCH("R"&amp;29,거래처별목록!$L$6:$L$505,0)),""))</f>
        <v/>
      </c>
      <c r="E34" s="11" t="str">
        <f aca="false">IF($B34="","",IFERROR(INDEX(원자재마스터!$G$3:$G$502,MATCH("R"&amp;29,거래처별목록!$L$6:$L$505,0)),""))</f>
        <v/>
      </c>
      <c r="F34" s="19" t="str">
        <f aca="false">IF($B34="","",IFERROR(INDEX(원자재마스터!$J$3:$J$502,MATCH("R"&amp;29,거래처별목록!$L$6:$L$505,0)),""))</f>
        <v/>
      </c>
      <c r="G34" s="20" t="str">
        <f aca="false">IF($B34="","",IFERROR(INDEX(원자재마스터!$K$3:$K$502,MATCH("R"&amp;29,거래처별목록!$L$6:$L$505,0)),""))</f>
        <v/>
      </c>
      <c r="J34" s="21" t="b">
        <f aca="false">IF(원자재마스터!$A31="",FALSE(),원자재마스터!$L31=$B$3)</f>
        <v>0</v>
      </c>
      <c r="K34" s="5" t="str">
        <f aca="false">IF($J34=FALSE(),"",COUNTIF($J$6:$J34,TRUE()))</f>
        <v/>
      </c>
      <c r="L34" s="5" t="str">
        <f aca="false">IF($K34="","","R"&amp;$K34)</f>
        <v/>
      </c>
    </row>
    <row r="35" customFormat="false" ht="15" hidden="false" customHeight="true" outlineLevel="0" collapsed="false">
      <c r="A35" s="19" t="str">
        <f aca="false">IF($B35="","",30)</f>
        <v/>
      </c>
      <c r="B35" s="11" t="str">
        <f aca="false">IFERROR(INDEX(원자재마스터!$A$3:$A$502,MATCH("R"&amp;30,거래처별목록!$L$6:$L$505,0)),"")</f>
        <v/>
      </c>
      <c r="C35" s="11" t="str">
        <f aca="false">IF($B35="","",IFERROR(INDEX(원자재마스터!$B$3:$B$502,MATCH("R"&amp;30,거래처별목록!$L$6:$L$505,0)),""))</f>
        <v/>
      </c>
      <c r="D35" s="19" t="str">
        <f aca="false">IF($B35="","",IFERROR(INDEX(원자재마스터!$C$3:$C$502,MATCH("R"&amp;30,거래처별목록!$L$6:$L$505,0)),""))</f>
        <v/>
      </c>
      <c r="E35" s="11" t="str">
        <f aca="false">IF($B35="","",IFERROR(INDEX(원자재마스터!$G$3:$G$502,MATCH("R"&amp;30,거래처별목록!$L$6:$L$505,0)),""))</f>
        <v/>
      </c>
      <c r="F35" s="19" t="str">
        <f aca="false">IF($B35="","",IFERROR(INDEX(원자재마스터!$J$3:$J$502,MATCH("R"&amp;30,거래처별목록!$L$6:$L$505,0)),""))</f>
        <v/>
      </c>
      <c r="G35" s="20" t="str">
        <f aca="false">IF($B35="","",IFERROR(INDEX(원자재마스터!$K$3:$K$502,MATCH("R"&amp;30,거래처별목록!$L$6:$L$505,0)),""))</f>
        <v/>
      </c>
      <c r="J35" s="21" t="b">
        <f aca="false">IF(원자재마스터!$A32="",FALSE(),원자재마스터!$L32=$B$3)</f>
        <v>0</v>
      </c>
      <c r="K35" s="5" t="str">
        <f aca="false">IF($J35=FALSE(),"",COUNTIF($J$6:$J35,TRUE()))</f>
        <v/>
      </c>
      <c r="L35" s="5" t="str">
        <f aca="false">IF($K35="","","R"&amp;$K35)</f>
        <v/>
      </c>
    </row>
    <row r="36" customFormat="false" ht="15" hidden="false" customHeight="true" outlineLevel="0" collapsed="false">
      <c r="A36" s="19" t="str">
        <f aca="false">IF($B36="","",31)</f>
        <v/>
      </c>
      <c r="B36" s="11" t="str">
        <f aca="false">IFERROR(INDEX(원자재마스터!$A$3:$A$502,MATCH("R"&amp;31,거래처별목록!$L$6:$L$505,0)),"")</f>
        <v/>
      </c>
      <c r="C36" s="11" t="str">
        <f aca="false">IF($B36="","",IFERROR(INDEX(원자재마스터!$B$3:$B$502,MATCH("R"&amp;31,거래처별목록!$L$6:$L$505,0)),""))</f>
        <v/>
      </c>
      <c r="D36" s="19" t="str">
        <f aca="false">IF($B36="","",IFERROR(INDEX(원자재마스터!$C$3:$C$502,MATCH("R"&amp;31,거래처별목록!$L$6:$L$505,0)),""))</f>
        <v/>
      </c>
      <c r="E36" s="11" t="str">
        <f aca="false">IF($B36="","",IFERROR(INDEX(원자재마스터!$G$3:$G$502,MATCH("R"&amp;31,거래처별목록!$L$6:$L$505,0)),""))</f>
        <v/>
      </c>
      <c r="F36" s="19" t="str">
        <f aca="false">IF($B36="","",IFERROR(INDEX(원자재마스터!$J$3:$J$502,MATCH("R"&amp;31,거래처별목록!$L$6:$L$505,0)),""))</f>
        <v/>
      </c>
      <c r="G36" s="20" t="str">
        <f aca="false">IF($B36="","",IFERROR(INDEX(원자재마스터!$K$3:$K$502,MATCH("R"&amp;31,거래처별목록!$L$6:$L$505,0)),""))</f>
        <v/>
      </c>
      <c r="J36" s="21" t="b">
        <f aca="false">IF(원자재마스터!$A33="",FALSE(),원자재마스터!$L33=$B$3)</f>
        <v>0</v>
      </c>
      <c r="K36" s="5" t="str">
        <f aca="false">IF($J36=FALSE(),"",COUNTIF($J$6:$J36,TRUE()))</f>
        <v/>
      </c>
      <c r="L36" s="5" t="str">
        <f aca="false">IF($K36="","","R"&amp;$K36)</f>
        <v/>
      </c>
    </row>
    <row r="37" customFormat="false" ht="15" hidden="false" customHeight="true" outlineLevel="0" collapsed="false">
      <c r="A37" s="19" t="str">
        <f aca="false">IF($B37="","",32)</f>
        <v/>
      </c>
      <c r="B37" s="11" t="str">
        <f aca="false">IFERROR(INDEX(원자재마스터!$A$3:$A$502,MATCH("R"&amp;32,거래처별목록!$L$6:$L$505,0)),"")</f>
        <v/>
      </c>
      <c r="C37" s="11" t="str">
        <f aca="false">IF($B37="","",IFERROR(INDEX(원자재마스터!$B$3:$B$502,MATCH("R"&amp;32,거래처별목록!$L$6:$L$505,0)),""))</f>
        <v/>
      </c>
      <c r="D37" s="19" t="str">
        <f aca="false">IF($B37="","",IFERROR(INDEX(원자재마스터!$C$3:$C$502,MATCH("R"&amp;32,거래처별목록!$L$6:$L$505,0)),""))</f>
        <v/>
      </c>
      <c r="E37" s="11" t="str">
        <f aca="false">IF($B37="","",IFERROR(INDEX(원자재마스터!$G$3:$G$502,MATCH("R"&amp;32,거래처별목록!$L$6:$L$505,0)),""))</f>
        <v/>
      </c>
      <c r="F37" s="19" t="str">
        <f aca="false">IF($B37="","",IFERROR(INDEX(원자재마스터!$J$3:$J$502,MATCH("R"&amp;32,거래처별목록!$L$6:$L$505,0)),""))</f>
        <v/>
      </c>
      <c r="G37" s="20" t="str">
        <f aca="false">IF($B37="","",IFERROR(INDEX(원자재마스터!$K$3:$K$502,MATCH("R"&amp;32,거래처별목록!$L$6:$L$505,0)),""))</f>
        <v/>
      </c>
      <c r="J37" s="21" t="b">
        <f aca="false">IF(원자재마스터!$A34="",FALSE(),원자재마스터!$L34=$B$3)</f>
        <v>0</v>
      </c>
      <c r="K37" s="5" t="str">
        <f aca="false">IF($J37=FALSE(),"",COUNTIF($J$6:$J37,TRUE()))</f>
        <v/>
      </c>
      <c r="L37" s="5" t="str">
        <f aca="false">IF($K37="","","R"&amp;$K37)</f>
        <v/>
      </c>
    </row>
    <row r="38" customFormat="false" ht="15" hidden="false" customHeight="true" outlineLevel="0" collapsed="false">
      <c r="A38" s="19" t="str">
        <f aca="false">IF($B38="","",33)</f>
        <v/>
      </c>
      <c r="B38" s="11" t="str">
        <f aca="false">IFERROR(INDEX(원자재마스터!$A$3:$A$502,MATCH("R"&amp;33,거래처별목록!$L$6:$L$505,0)),"")</f>
        <v/>
      </c>
      <c r="C38" s="11" t="str">
        <f aca="false">IF($B38="","",IFERROR(INDEX(원자재마스터!$B$3:$B$502,MATCH("R"&amp;33,거래처별목록!$L$6:$L$505,0)),""))</f>
        <v/>
      </c>
      <c r="D38" s="19" t="str">
        <f aca="false">IF($B38="","",IFERROR(INDEX(원자재마스터!$C$3:$C$502,MATCH("R"&amp;33,거래처별목록!$L$6:$L$505,0)),""))</f>
        <v/>
      </c>
      <c r="E38" s="11" t="str">
        <f aca="false">IF($B38="","",IFERROR(INDEX(원자재마스터!$G$3:$G$502,MATCH("R"&amp;33,거래처별목록!$L$6:$L$505,0)),""))</f>
        <v/>
      </c>
      <c r="F38" s="19" t="str">
        <f aca="false">IF($B38="","",IFERROR(INDEX(원자재마스터!$J$3:$J$502,MATCH("R"&amp;33,거래처별목록!$L$6:$L$505,0)),""))</f>
        <v/>
      </c>
      <c r="G38" s="20" t="str">
        <f aca="false">IF($B38="","",IFERROR(INDEX(원자재마스터!$K$3:$K$502,MATCH("R"&amp;33,거래처별목록!$L$6:$L$505,0)),""))</f>
        <v/>
      </c>
      <c r="J38" s="21" t="b">
        <f aca="false">IF(원자재마스터!$A35="",FALSE(),원자재마스터!$L35=$B$3)</f>
        <v>0</v>
      </c>
      <c r="K38" s="5" t="str">
        <f aca="false">IF($J38=FALSE(),"",COUNTIF($J$6:$J38,TRUE()))</f>
        <v/>
      </c>
      <c r="L38" s="5" t="str">
        <f aca="false">IF($K38="","","R"&amp;$K38)</f>
        <v/>
      </c>
    </row>
    <row r="39" customFormat="false" ht="15" hidden="false" customHeight="true" outlineLevel="0" collapsed="false">
      <c r="A39" s="19" t="str">
        <f aca="false">IF($B39="","",34)</f>
        <v/>
      </c>
      <c r="B39" s="11" t="str">
        <f aca="false">IFERROR(INDEX(원자재마스터!$A$3:$A$502,MATCH("R"&amp;34,거래처별목록!$L$6:$L$505,0)),"")</f>
        <v/>
      </c>
      <c r="C39" s="11" t="str">
        <f aca="false">IF($B39="","",IFERROR(INDEX(원자재마스터!$B$3:$B$502,MATCH("R"&amp;34,거래처별목록!$L$6:$L$505,0)),""))</f>
        <v/>
      </c>
      <c r="D39" s="19" t="str">
        <f aca="false">IF($B39="","",IFERROR(INDEX(원자재마스터!$C$3:$C$502,MATCH("R"&amp;34,거래처별목록!$L$6:$L$505,0)),""))</f>
        <v/>
      </c>
      <c r="E39" s="11" t="str">
        <f aca="false">IF($B39="","",IFERROR(INDEX(원자재마스터!$G$3:$G$502,MATCH("R"&amp;34,거래처별목록!$L$6:$L$505,0)),""))</f>
        <v/>
      </c>
      <c r="F39" s="19" t="str">
        <f aca="false">IF($B39="","",IFERROR(INDEX(원자재마스터!$J$3:$J$502,MATCH("R"&amp;34,거래처별목록!$L$6:$L$505,0)),""))</f>
        <v/>
      </c>
      <c r="G39" s="20" t="str">
        <f aca="false">IF($B39="","",IFERROR(INDEX(원자재마스터!$K$3:$K$502,MATCH("R"&amp;34,거래처별목록!$L$6:$L$505,0)),""))</f>
        <v/>
      </c>
      <c r="J39" s="21" t="b">
        <f aca="false">IF(원자재마스터!$A36="",FALSE(),원자재마스터!$L36=$B$3)</f>
        <v>0</v>
      </c>
      <c r="K39" s="5" t="str">
        <f aca="false">IF($J39=FALSE(),"",COUNTIF($J$6:$J39,TRUE()))</f>
        <v/>
      </c>
      <c r="L39" s="5" t="str">
        <f aca="false">IF($K39="","","R"&amp;$K39)</f>
        <v/>
      </c>
    </row>
    <row r="40" customFormat="false" ht="15" hidden="false" customHeight="true" outlineLevel="0" collapsed="false">
      <c r="A40" s="19" t="str">
        <f aca="false">IF($B40="","",35)</f>
        <v/>
      </c>
      <c r="B40" s="11" t="str">
        <f aca="false">IFERROR(INDEX(원자재마스터!$A$3:$A$502,MATCH("R"&amp;35,거래처별목록!$L$6:$L$505,0)),"")</f>
        <v/>
      </c>
      <c r="C40" s="11" t="str">
        <f aca="false">IF($B40="","",IFERROR(INDEX(원자재마스터!$B$3:$B$502,MATCH("R"&amp;35,거래처별목록!$L$6:$L$505,0)),""))</f>
        <v/>
      </c>
      <c r="D40" s="19" t="str">
        <f aca="false">IF($B40="","",IFERROR(INDEX(원자재마스터!$C$3:$C$502,MATCH("R"&amp;35,거래처별목록!$L$6:$L$505,0)),""))</f>
        <v/>
      </c>
      <c r="E40" s="11" t="str">
        <f aca="false">IF($B40="","",IFERROR(INDEX(원자재마스터!$G$3:$G$502,MATCH("R"&amp;35,거래처별목록!$L$6:$L$505,0)),""))</f>
        <v/>
      </c>
      <c r="F40" s="19" t="str">
        <f aca="false">IF($B40="","",IFERROR(INDEX(원자재마스터!$J$3:$J$502,MATCH("R"&amp;35,거래처별목록!$L$6:$L$505,0)),""))</f>
        <v/>
      </c>
      <c r="G40" s="20" t="str">
        <f aca="false">IF($B40="","",IFERROR(INDEX(원자재마스터!$K$3:$K$502,MATCH("R"&amp;35,거래처별목록!$L$6:$L$505,0)),""))</f>
        <v/>
      </c>
      <c r="J40" s="21" t="b">
        <f aca="false">IF(원자재마스터!$A37="",FALSE(),원자재마스터!$L37=$B$3)</f>
        <v>0</v>
      </c>
      <c r="K40" s="5" t="str">
        <f aca="false">IF($J40=FALSE(),"",COUNTIF($J$6:$J40,TRUE()))</f>
        <v/>
      </c>
      <c r="L40" s="5" t="str">
        <f aca="false">IF($K40="","","R"&amp;$K40)</f>
        <v/>
      </c>
    </row>
    <row r="41" customFormat="false" ht="15" hidden="false" customHeight="true" outlineLevel="0" collapsed="false">
      <c r="A41" s="19" t="str">
        <f aca="false">IF($B41="","",36)</f>
        <v/>
      </c>
      <c r="B41" s="11" t="str">
        <f aca="false">IFERROR(INDEX(원자재마스터!$A$3:$A$502,MATCH("R"&amp;36,거래처별목록!$L$6:$L$505,0)),"")</f>
        <v/>
      </c>
      <c r="C41" s="11" t="str">
        <f aca="false">IF($B41="","",IFERROR(INDEX(원자재마스터!$B$3:$B$502,MATCH("R"&amp;36,거래처별목록!$L$6:$L$505,0)),""))</f>
        <v/>
      </c>
      <c r="D41" s="19" t="str">
        <f aca="false">IF($B41="","",IFERROR(INDEX(원자재마스터!$C$3:$C$502,MATCH("R"&amp;36,거래처별목록!$L$6:$L$505,0)),""))</f>
        <v/>
      </c>
      <c r="E41" s="11" t="str">
        <f aca="false">IF($B41="","",IFERROR(INDEX(원자재마스터!$G$3:$G$502,MATCH("R"&amp;36,거래처별목록!$L$6:$L$505,0)),""))</f>
        <v/>
      </c>
      <c r="F41" s="19" t="str">
        <f aca="false">IF($B41="","",IFERROR(INDEX(원자재마스터!$J$3:$J$502,MATCH("R"&amp;36,거래처별목록!$L$6:$L$505,0)),""))</f>
        <v/>
      </c>
      <c r="G41" s="20" t="str">
        <f aca="false">IF($B41="","",IFERROR(INDEX(원자재마스터!$K$3:$K$502,MATCH("R"&amp;36,거래처별목록!$L$6:$L$505,0)),""))</f>
        <v/>
      </c>
      <c r="J41" s="21" t="b">
        <f aca="false">IF(원자재마스터!$A38="",FALSE(),원자재마스터!$L38=$B$3)</f>
        <v>0</v>
      </c>
      <c r="K41" s="5" t="str">
        <f aca="false">IF($J41=FALSE(),"",COUNTIF($J$6:$J41,TRUE()))</f>
        <v/>
      </c>
      <c r="L41" s="5" t="str">
        <f aca="false">IF($K41="","","R"&amp;$K41)</f>
        <v/>
      </c>
    </row>
    <row r="42" customFormat="false" ht="15" hidden="false" customHeight="true" outlineLevel="0" collapsed="false">
      <c r="A42" s="19" t="str">
        <f aca="false">IF($B42="","",37)</f>
        <v/>
      </c>
      <c r="B42" s="11" t="str">
        <f aca="false">IFERROR(INDEX(원자재마스터!$A$3:$A$502,MATCH("R"&amp;37,거래처별목록!$L$6:$L$505,0)),"")</f>
        <v/>
      </c>
      <c r="C42" s="11" t="str">
        <f aca="false">IF($B42="","",IFERROR(INDEX(원자재마스터!$B$3:$B$502,MATCH("R"&amp;37,거래처별목록!$L$6:$L$505,0)),""))</f>
        <v/>
      </c>
      <c r="D42" s="19" t="str">
        <f aca="false">IF($B42="","",IFERROR(INDEX(원자재마스터!$C$3:$C$502,MATCH("R"&amp;37,거래처별목록!$L$6:$L$505,0)),""))</f>
        <v/>
      </c>
      <c r="E42" s="11" t="str">
        <f aca="false">IF($B42="","",IFERROR(INDEX(원자재마스터!$G$3:$G$502,MATCH("R"&amp;37,거래처별목록!$L$6:$L$505,0)),""))</f>
        <v/>
      </c>
      <c r="F42" s="19" t="str">
        <f aca="false">IF($B42="","",IFERROR(INDEX(원자재마스터!$J$3:$J$502,MATCH("R"&amp;37,거래처별목록!$L$6:$L$505,0)),""))</f>
        <v/>
      </c>
      <c r="G42" s="20" t="str">
        <f aca="false">IF($B42="","",IFERROR(INDEX(원자재마스터!$K$3:$K$502,MATCH("R"&amp;37,거래처별목록!$L$6:$L$505,0)),""))</f>
        <v/>
      </c>
      <c r="J42" s="21" t="b">
        <f aca="false">IF(원자재마스터!$A39="",FALSE(),원자재마스터!$L39=$B$3)</f>
        <v>0</v>
      </c>
      <c r="K42" s="5" t="str">
        <f aca="false">IF($J42=FALSE(),"",COUNTIF($J$6:$J42,TRUE()))</f>
        <v/>
      </c>
      <c r="L42" s="5" t="str">
        <f aca="false">IF($K42="","","R"&amp;$K42)</f>
        <v/>
      </c>
    </row>
    <row r="43" customFormat="false" ht="15" hidden="false" customHeight="true" outlineLevel="0" collapsed="false">
      <c r="A43" s="19" t="str">
        <f aca="false">IF($B43="","",38)</f>
        <v/>
      </c>
      <c r="B43" s="11" t="str">
        <f aca="false">IFERROR(INDEX(원자재마스터!$A$3:$A$502,MATCH("R"&amp;38,거래처별목록!$L$6:$L$505,0)),"")</f>
        <v/>
      </c>
      <c r="C43" s="11" t="str">
        <f aca="false">IF($B43="","",IFERROR(INDEX(원자재마스터!$B$3:$B$502,MATCH("R"&amp;38,거래처별목록!$L$6:$L$505,0)),""))</f>
        <v/>
      </c>
      <c r="D43" s="19" t="str">
        <f aca="false">IF($B43="","",IFERROR(INDEX(원자재마스터!$C$3:$C$502,MATCH("R"&amp;38,거래처별목록!$L$6:$L$505,0)),""))</f>
        <v/>
      </c>
      <c r="E43" s="11" t="str">
        <f aca="false">IF($B43="","",IFERROR(INDEX(원자재마스터!$G$3:$G$502,MATCH("R"&amp;38,거래처별목록!$L$6:$L$505,0)),""))</f>
        <v/>
      </c>
      <c r="F43" s="19" t="str">
        <f aca="false">IF($B43="","",IFERROR(INDEX(원자재마스터!$J$3:$J$502,MATCH("R"&amp;38,거래처별목록!$L$6:$L$505,0)),""))</f>
        <v/>
      </c>
      <c r="G43" s="20" t="str">
        <f aca="false">IF($B43="","",IFERROR(INDEX(원자재마스터!$K$3:$K$502,MATCH("R"&amp;38,거래처별목록!$L$6:$L$505,0)),""))</f>
        <v/>
      </c>
      <c r="J43" s="21" t="b">
        <f aca="false">IF(원자재마스터!$A40="",FALSE(),원자재마스터!$L40=$B$3)</f>
        <v>0</v>
      </c>
      <c r="K43" s="5" t="str">
        <f aca="false">IF($J43=FALSE(),"",COUNTIF($J$6:$J43,TRUE()))</f>
        <v/>
      </c>
      <c r="L43" s="5" t="str">
        <f aca="false">IF($K43="","","R"&amp;$K43)</f>
        <v/>
      </c>
    </row>
    <row r="44" customFormat="false" ht="15" hidden="false" customHeight="true" outlineLevel="0" collapsed="false">
      <c r="A44" s="19" t="str">
        <f aca="false">IF($B44="","",39)</f>
        <v/>
      </c>
      <c r="B44" s="11" t="str">
        <f aca="false">IFERROR(INDEX(원자재마스터!$A$3:$A$502,MATCH("R"&amp;39,거래처별목록!$L$6:$L$505,0)),"")</f>
        <v/>
      </c>
      <c r="C44" s="11" t="str">
        <f aca="false">IF($B44="","",IFERROR(INDEX(원자재마스터!$B$3:$B$502,MATCH("R"&amp;39,거래처별목록!$L$6:$L$505,0)),""))</f>
        <v/>
      </c>
      <c r="D44" s="19" t="str">
        <f aca="false">IF($B44="","",IFERROR(INDEX(원자재마스터!$C$3:$C$502,MATCH("R"&amp;39,거래처별목록!$L$6:$L$505,0)),""))</f>
        <v/>
      </c>
      <c r="E44" s="11" t="str">
        <f aca="false">IF($B44="","",IFERROR(INDEX(원자재마스터!$G$3:$G$502,MATCH("R"&amp;39,거래처별목록!$L$6:$L$505,0)),""))</f>
        <v/>
      </c>
      <c r="F44" s="19" t="str">
        <f aca="false">IF($B44="","",IFERROR(INDEX(원자재마스터!$J$3:$J$502,MATCH("R"&amp;39,거래처별목록!$L$6:$L$505,0)),""))</f>
        <v/>
      </c>
      <c r="G44" s="20" t="str">
        <f aca="false">IF($B44="","",IFERROR(INDEX(원자재마스터!$K$3:$K$502,MATCH("R"&amp;39,거래처별목록!$L$6:$L$505,0)),""))</f>
        <v/>
      </c>
      <c r="J44" s="21" t="b">
        <f aca="false">IF(원자재마스터!$A41="",FALSE(),원자재마스터!$L41=$B$3)</f>
        <v>0</v>
      </c>
      <c r="K44" s="5" t="str">
        <f aca="false">IF($J44=FALSE(),"",COUNTIF($J$6:$J44,TRUE()))</f>
        <v/>
      </c>
      <c r="L44" s="5" t="str">
        <f aca="false">IF($K44="","","R"&amp;$K44)</f>
        <v/>
      </c>
    </row>
    <row r="45" customFormat="false" ht="15" hidden="false" customHeight="true" outlineLevel="0" collapsed="false">
      <c r="A45" s="19" t="str">
        <f aca="false">IF($B45="","",40)</f>
        <v/>
      </c>
      <c r="B45" s="11" t="str">
        <f aca="false">IFERROR(INDEX(원자재마스터!$A$3:$A$502,MATCH("R"&amp;40,거래처별목록!$L$6:$L$505,0)),"")</f>
        <v/>
      </c>
      <c r="C45" s="11" t="str">
        <f aca="false">IF($B45="","",IFERROR(INDEX(원자재마스터!$B$3:$B$502,MATCH("R"&amp;40,거래처별목록!$L$6:$L$505,0)),""))</f>
        <v/>
      </c>
      <c r="D45" s="19" t="str">
        <f aca="false">IF($B45="","",IFERROR(INDEX(원자재마스터!$C$3:$C$502,MATCH("R"&amp;40,거래처별목록!$L$6:$L$505,0)),""))</f>
        <v/>
      </c>
      <c r="E45" s="11" t="str">
        <f aca="false">IF($B45="","",IFERROR(INDEX(원자재마스터!$G$3:$G$502,MATCH("R"&amp;40,거래처별목록!$L$6:$L$505,0)),""))</f>
        <v/>
      </c>
      <c r="F45" s="19" t="str">
        <f aca="false">IF($B45="","",IFERROR(INDEX(원자재마스터!$J$3:$J$502,MATCH("R"&amp;40,거래처별목록!$L$6:$L$505,0)),""))</f>
        <v/>
      </c>
      <c r="G45" s="20" t="str">
        <f aca="false">IF($B45="","",IFERROR(INDEX(원자재마스터!$K$3:$K$502,MATCH("R"&amp;40,거래처별목록!$L$6:$L$505,0)),""))</f>
        <v/>
      </c>
      <c r="J45" s="21" t="b">
        <f aca="false">IF(원자재마스터!$A42="",FALSE(),원자재마스터!$L42=$B$3)</f>
        <v>0</v>
      </c>
      <c r="K45" s="5" t="str">
        <f aca="false">IF($J45=FALSE(),"",COUNTIF($J$6:$J45,TRUE()))</f>
        <v/>
      </c>
      <c r="L45" s="5" t="str">
        <f aca="false">IF($K45="","","R"&amp;$K45)</f>
        <v/>
      </c>
    </row>
    <row r="46" customFormat="false" ht="15" hidden="false" customHeight="true" outlineLevel="0" collapsed="false">
      <c r="A46" s="19" t="str">
        <f aca="false">IF($B46="","",41)</f>
        <v/>
      </c>
      <c r="B46" s="11" t="str">
        <f aca="false">IFERROR(INDEX(원자재마스터!$A$3:$A$502,MATCH("R"&amp;41,거래처별목록!$L$6:$L$505,0)),"")</f>
        <v/>
      </c>
      <c r="C46" s="11" t="str">
        <f aca="false">IF($B46="","",IFERROR(INDEX(원자재마스터!$B$3:$B$502,MATCH("R"&amp;41,거래처별목록!$L$6:$L$505,0)),""))</f>
        <v/>
      </c>
      <c r="D46" s="19" t="str">
        <f aca="false">IF($B46="","",IFERROR(INDEX(원자재마스터!$C$3:$C$502,MATCH("R"&amp;41,거래처별목록!$L$6:$L$505,0)),""))</f>
        <v/>
      </c>
      <c r="E46" s="11" t="str">
        <f aca="false">IF($B46="","",IFERROR(INDEX(원자재마스터!$G$3:$G$502,MATCH("R"&amp;41,거래처별목록!$L$6:$L$505,0)),""))</f>
        <v/>
      </c>
      <c r="F46" s="19" t="str">
        <f aca="false">IF($B46="","",IFERROR(INDEX(원자재마스터!$J$3:$J$502,MATCH("R"&amp;41,거래처별목록!$L$6:$L$505,0)),""))</f>
        <v/>
      </c>
      <c r="G46" s="20" t="str">
        <f aca="false">IF($B46="","",IFERROR(INDEX(원자재마스터!$K$3:$K$502,MATCH("R"&amp;41,거래처별목록!$L$6:$L$505,0)),""))</f>
        <v/>
      </c>
      <c r="J46" s="21" t="b">
        <f aca="false">IF(원자재마스터!$A43="",FALSE(),원자재마스터!$L43=$B$3)</f>
        <v>0</v>
      </c>
      <c r="K46" s="5" t="str">
        <f aca="false">IF($J46=FALSE(),"",COUNTIF($J$6:$J46,TRUE()))</f>
        <v/>
      </c>
      <c r="L46" s="5" t="str">
        <f aca="false">IF($K46="","","R"&amp;$K46)</f>
        <v/>
      </c>
    </row>
    <row r="47" customFormat="false" ht="15" hidden="false" customHeight="true" outlineLevel="0" collapsed="false">
      <c r="A47" s="19" t="str">
        <f aca="false">IF($B47="","",42)</f>
        <v/>
      </c>
      <c r="B47" s="11" t="str">
        <f aca="false">IFERROR(INDEX(원자재마스터!$A$3:$A$502,MATCH("R"&amp;42,거래처별목록!$L$6:$L$505,0)),"")</f>
        <v/>
      </c>
      <c r="C47" s="11" t="str">
        <f aca="false">IF($B47="","",IFERROR(INDEX(원자재마스터!$B$3:$B$502,MATCH("R"&amp;42,거래처별목록!$L$6:$L$505,0)),""))</f>
        <v/>
      </c>
      <c r="D47" s="19" t="str">
        <f aca="false">IF($B47="","",IFERROR(INDEX(원자재마스터!$C$3:$C$502,MATCH("R"&amp;42,거래처별목록!$L$6:$L$505,0)),""))</f>
        <v/>
      </c>
      <c r="E47" s="11" t="str">
        <f aca="false">IF($B47="","",IFERROR(INDEX(원자재마스터!$G$3:$G$502,MATCH("R"&amp;42,거래처별목록!$L$6:$L$505,0)),""))</f>
        <v/>
      </c>
      <c r="F47" s="19" t="str">
        <f aca="false">IF($B47="","",IFERROR(INDEX(원자재마스터!$J$3:$J$502,MATCH("R"&amp;42,거래처별목록!$L$6:$L$505,0)),""))</f>
        <v/>
      </c>
      <c r="G47" s="20" t="str">
        <f aca="false">IF($B47="","",IFERROR(INDEX(원자재마스터!$K$3:$K$502,MATCH("R"&amp;42,거래처별목록!$L$6:$L$505,0)),""))</f>
        <v/>
      </c>
      <c r="J47" s="21" t="b">
        <f aca="false">IF(원자재마스터!$A44="",FALSE(),원자재마스터!$L44=$B$3)</f>
        <v>0</v>
      </c>
      <c r="K47" s="5" t="str">
        <f aca="false">IF($J47=FALSE(),"",COUNTIF($J$6:$J47,TRUE()))</f>
        <v/>
      </c>
      <c r="L47" s="5" t="str">
        <f aca="false">IF($K47="","","R"&amp;$K47)</f>
        <v/>
      </c>
    </row>
    <row r="48" customFormat="false" ht="15" hidden="false" customHeight="true" outlineLevel="0" collapsed="false">
      <c r="A48" s="19" t="str">
        <f aca="false">IF($B48="","",43)</f>
        <v/>
      </c>
      <c r="B48" s="11" t="str">
        <f aca="false">IFERROR(INDEX(원자재마스터!$A$3:$A$502,MATCH("R"&amp;43,거래처별목록!$L$6:$L$505,0)),"")</f>
        <v/>
      </c>
      <c r="C48" s="11" t="str">
        <f aca="false">IF($B48="","",IFERROR(INDEX(원자재마스터!$B$3:$B$502,MATCH("R"&amp;43,거래처별목록!$L$6:$L$505,0)),""))</f>
        <v/>
      </c>
      <c r="D48" s="19" t="str">
        <f aca="false">IF($B48="","",IFERROR(INDEX(원자재마스터!$C$3:$C$502,MATCH("R"&amp;43,거래처별목록!$L$6:$L$505,0)),""))</f>
        <v/>
      </c>
      <c r="E48" s="11" t="str">
        <f aca="false">IF($B48="","",IFERROR(INDEX(원자재마스터!$G$3:$G$502,MATCH("R"&amp;43,거래처별목록!$L$6:$L$505,0)),""))</f>
        <v/>
      </c>
      <c r="F48" s="19" t="str">
        <f aca="false">IF($B48="","",IFERROR(INDEX(원자재마스터!$J$3:$J$502,MATCH("R"&amp;43,거래처별목록!$L$6:$L$505,0)),""))</f>
        <v/>
      </c>
      <c r="G48" s="20" t="str">
        <f aca="false">IF($B48="","",IFERROR(INDEX(원자재마스터!$K$3:$K$502,MATCH("R"&amp;43,거래처별목록!$L$6:$L$505,0)),""))</f>
        <v/>
      </c>
      <c r="J48" s="21" t="b">
        <f aca="false">IF(원자재마스터!$A45="",FALSE(),원자재마스터!$L45=$B$3)</f>
        <v>0</v>
      </c>
      <c r="K48" s="5" t="str">
        <f aca="false">IF($J48=FALSE(),"",COUNTIF($J$6:$J48,TRUE()))</f>
        <v/>
      </c>
      <c r="L48" s="5" t="str">
        <f aca="false">IF($K48="","","R"&amp;$K48)</f>
        <v/>
      </c>
    </row>
    <row r="49" customFormat="false" ht="15" hidden="false" customHeight="true" outlineLevel="0" collapsed="false">
      <c r="A49" s="19" t="str">
        <f aca="false">IF($B49="","",44)</f>
        <v/>
      </c>
      <c r="B49" s="11" t="str">
        <f aca="false">IFERROR(INDEX(원자재마스터!$A$3:$A$502,MATCH("R"&amp;44,거래처별목록!$L$6:$L$505,0)),"")</f>
        <v/>
      </c>
      <c r="C49" s="11" t="str">
        <f aca="false">IF($B49="","",IFERROR(INDEX(원자재마스터!$B$3:$B$502,MATCH("R"&amp;44,거래처별목록!$L$6:$L$505,0)),""))</f>
        <v/>
      </c>
      <c r="D49" s="19" t="str">
        <f aca="false">IF($B49="","",IFERROR(INDEX(원자재마스터!$C$3:$C$502,MATCH("R"&amp;44,거래처별목록!$L$6:$L$505,0)),""))</f>
        <v/>
      </c>
      <c r="E49" s="11" t="str">
        <f aca="false">IF($B49="","",IFERROR(INDEX(원자재마스터!$G$3:$G$502,MATCH("R"&amp;44,거래처별목록!$L$6:$L$505,0)),""))</f>
        <v/>
      </c>
      <c r="F49" s="19" t="str">
        <f aca="false">IF($B49="","",IFERROR(INDEX(원자재마스터!$J$3:$J$502,MATCH("R"&amp;44,거래처별목록!$L$6:$L$505,0)),""))</f>
        <v/>
      </c>
      <c r="G49" s="20" t="str">
        <f aca="false">IF($B49="","",IFERROR(INDEX(원자재마스터!$K$3:$K$502,MATCH("R"&amp;44,거래처별목록!$L$6:$L$505,0)),""))</f>
        <v/>
      </c>
      <c r="J49" s="21" t="b">
        <f aca="false">IF(원자재마스터!$A46="",FALSE(),원자재마스터!$L46=$B$3)</f>
        <v>0</v>
      </c>
      <c r="K49" s="5" t="str">
        <f aca="false">IF($J49=FALSE(),"",COUNTIF($J$6:$J49,TRUE()))</f>
        <v/>
      </c>
      <c r="L49" s="5" t="str">
        <f aca="false">IF($K49="","","R"&amp;$K49)</f>
        <v/>
      </c>
    </row>
    <row r="50" customFormat="false" ht="15" hidden="false" customHeight="true" outlineLevel="0" collapsed="false">
      <c r="A50" s="19" t="str">
        <f aca="false">IF($B50="","",45)</f>
        <v/>
      </c>
      <c r="B50" s="11" t="str">
        <f aca="false">IFERROR(INDEX(원자재마스터!$A$3:$A$502,MATCH("R"&amp;45,거래처별목록!$L$6:$L$505,0)),"")</f>
        <v/>
      </c>
      <c r="C50" s="11" t="str">
        <f aca="false">IF($B50="","",IFERROR(INDEX(원자재마스터!$B$3:$B$502,MATCH("R"&amp;45,거래처별목록!$L$6:$L$505,0)),""))</f>
        <v/>
      </c>
      <c r="D50" s="19" t="str">
        <f aca="false">IF($B50="","",IFERROR(INDEX(원자재마스터!$C$3:$C$502,MATCH("R"&amp;45,거래처별목록!$L$6:$L$505,0)),""))</f>
        <v/>
      </c>
      <c r="E50" s="11" t="str">
        <f aca="false">IF($B50="","",IFERROR(INDEX(원자재마스터!$G$3:$G$502,MATCH("R"&amp;45,거래처별목록!$L$6:$L$505,0)),""))</f>
        <v/>
      </c>
      <c r="F50" s="19" t="str">
        <f aca="false">IF($B50="","",IFERROR(INDEX(원자재마스터!$J$3:$J$502,MATCH("R"&amp;45,거래처별목록!$L$6:$L$505,0)),""))</f>
        <v/>
      </c>
      <c r="G50" s="20" t="str">
        <f aca="false">IF($B50="","",IFERROR(INDEX(원자재마스터!$K$3:$K$502,MATCH("R"&amp;45,거래처별목록!$L$6:$L$505,0)),""))</f>
        <v/>
      </c>
      <c r="J50" s="21" t="b">
        <f aca="false">IF(원자재마스터!$A47="",FALSE(),원자재마스터!$L47=$B$3)</f>
        <v>0</v>
      </c>
      <c r="K50" s="5" t="str">
        <f aca="false">IF($J50=FALSE(),"",COUNTIF($J$6:$J50,TRUE()))</f>
        <v/>
      </c>
      <c r="L50" s="5" t="str">
        <f aca="false">IF($K50="","","R"&amp;$K50)</f>
        <v/>
      </c>
    </row>
    <row r="51" customFormat="false" ht="15" hidden="false" customHeight="true" outlineLevel="0" collapsed="false">
      <c r="A51" s="19" t="str">
        <f aca="false">IF($B51="","",46)</f>
        <v/>
      </c>
      <c r="B51" s="11" t="str">
        <f aca="false">IFERROR(INDEX(원자재마스터!$A$3:$A$502,MATCH("R"&amp;46,거래처별목록!$L$6:$L$505,0)),"")</f>
        <v/>
      </c>
      <c r="C51" s="11" t="str">
        <f aca="false">IF($B51="","",IFERROR(INDEX(원자재마스터!$B$3:$B$502,MATCH("R"&amp;46,거래처별목록!$L$6:$L$505,0)),""))</f>
        <v/>
      </c>
      <c r="D51" s="19" t="str">
        <f aca="false">IF($B51="","",IFERROR(INDEX(원자재마스터!$C$3:$C$502,MATCH("R"&amp;46,거래처별목록!$L$6:$L$505,0)),""))</f>
        <v/>
      </c>
      <c r="E51" s="11" t="str">
        <f aca="false">IF($B51="","",IFERROR(INDEX(원자재마스터!$G$3:$G$502,MATCH("R"&amp;46,거래처별목록!$L$6:$L$505,0)),""))</f>
        <v/>
      </c>
      <c r="F51" s="19" t="str">
        <f aca="false">IF($B51="","",IFERROR(INDEX(원자재마스터!$J$3:$J$502,MATCH("R"&amp;46,거래처별목록!$L$6:$L$505,0)),""))</f>
        <v/>
      </c>
      <c r="G51" s="20" t="str">
        <f aca="false">IF($B51="","",IFERROR(INDEX(원자재마스터!$K$3:$K$502,MATCH("R"&amp;46,거래처별목록!$L$6:$L$505,0)),""))</f>
        <v/>
      </c>
      <c r="J51" s="21" t="b">
        <f aca="false">IF(원자재마스터!$A48="",FALSE(),원자재마스터!$L48=$B$3)</f>
        <v>0</v>
      </c>
      <c r="K51" s="5" t="str">
        <f aca="false">IF($J51=FALSE(),"",COUNTIF($J$6:$J51,TRUE()))</f>
        <v/>
      </c>
      <c r="L51" s="5" t="str">
        <f aca="false">IF($K51="","","R"&amp;$K51)</f>
        <v/>
      </c>
    </row>
    <row r="52" customFormat="false" ht="15" hidden="false" customHeight="true" outlineLevel="0" collapsed="false">
      <c r="A52" s="19" t="str">
        <f aca="false">IF($B52="","",47)</f>
        <v/>
      </c>
      <c r="B52" s="11" t="str">
        <f aca="false">IFERROR(INDEX(원자재마스터!$A$3:$A$502,MATCH("R"&amp;47,거래처별목록!$L$6:$L$505,0)),"")</f>
        <v/>
      </c>
      <c r="C52" s="11" t="str">
        <f aca="false">IF($B52="","",IFERROR(INDEX(원자재마스터!$B$3:$B$502,MATCH("R"&amp;47,거래처별목록!$L$6:$L$505,0)),""))</f>
        <v/>
      </c>
      <c r="D52" s="19" t="str">
        <f aca="false">IF($B52="","",IFERROR(INDEX(원자재마스터!$C$3:$C$502,MATCH("R"&amp;47,거래처별목록!$L$6:$L$505,0)),""))</f>
        <v/>
      </c>
      <c r="E52" s="11" t="str">
        <f aca="false">IF($B52="","",IFERROR(INDEX(원자재마스터!$G$3:$G$502,MATCH("R"&amp;47,거래처별목록!$L$6:$L$505,0)),""))</f>
        <v/>
      </c>
      <c r="F52" s="19" t="str">
        <f aca="false">IF($B52="","",IFERROR(INDEX(원자재마스터!$J$3:$J$502,MATCH("R"&amp;47,거래처별목록!$L$6:$L$505,0)),""))</f>
        <v/>
      </c>
      <c r="G52" s="20" t="str">
        <f aca="false">IF($B52="","",IFERROR(INDEX(원자재마스터!$K$3:$K$502,MATCH("R"&amp;47,거래처별목록!$L$6:$L$505,0)),""))</f>
        <v/>
      </c>
      <c r="J52" s="21" t="b">
        <f aca="false">IF(원자재마스터!$A49="",FALSE(),원자재마스터!$L49=$B$3)</f>
        <v>0</v>
      </c>
      <c r="K52" s="5" t="str">
        <f aca="false">IF($J52=FALSE(),"",COUNTIF($J$6:$J52,TRUE()))</f>
        <v/>
      </c>
      <c r="L52" s="5" t="str">
        <f aca="false">IF($K52="","","R"&amp;$K52)</f>
        <v/>
      </c>
    </row>
    <row r="53" customFormat="false" ht="15" hidden="false" customHeight="true" outlineLevel="0" collapsed="false">
      <c r="A53" s="19" t="str">
        <f aca="false">IF($B53="","",48)</f>
        <v/>
      </c>
      <c r="B53" s="11" t="str">
        <f aca="false">IFERROR(INDEX(원자재마스터!$A$3:$A$502,MATCH("R"&amp;48,거래처별목록!$L$6:$L$505,0)),"")</f>
        <v/>
      </c>
      <c r="C53" s="11" t="str">
        <f aca="false">IF($B53="","",IFERROR(INDEX(원자재마스터!$B$3:$B$502,MATCH("R"&amp;48,거래처별목록!$L$6:$L$505,0)),""))</f>
        <v/>
      </c>
      <c r="D53" s="19" t="str">
        <f aca="false">IF($B53="","",IFERROR(INDEX(원자재마스터!$C$3:$C$502,MATCH("R"&amp;48,거래처별목록!$L$6:$L$505,0)),""))</f>
        <v/>
      </c>
      <c r="E53" s="11" t="str">
        <f aca="false">IF($B53="","",IFERROR(INDEX(원자재마스터!$G$3:$G$502,MATCH("R"&amp;48,거래처별목록!$L$6:$L$505,0)),""))</f>
        <v/>
      </c>
      <c r="F53" s="19" t="str">
        <f aca="false">IF($B53="","",IFERROR(INDEX(원자재마스터!$J$3:$J$502,MATCH("R"&amp;48,거래처별목록!$L$6:$L$505,0)),""))</f>
        <v/>
      </c>
      <c r="G53" s="20" t="str">
        <f aca="false">IF($B53="","",IFERROR(INDEX(원자재마스터!$K$3:$K$502,MATCH("R"&amp;48,거래처별목록!$L$6:$L$505,0)),""))</f>
        <v/>
      </c>
      <c r="J53" s="21" t="b">
        <f aca="false">IF(원자재마스터!$A50="",FALSE(),원자재마스터!$L50=$B$3)</f>
        <v>0</v>
      </c>
      <c r="K53" s="5" t="str">
        <f aca="false">IF($J53=FALSE(),"",COUNTIF($J$6:$J53,TRUE()))</f>
        <v/>
      </c>
      <c r="L53" s="5" t="str">
        <f aca="false">IF($K53="","","R"&amp;$K53)</f>
        <v/>
      </c>
    </row>
    <row r="54" customFormat="false" ht="15" hidden="false" customHeight="true" outlineLevel="0" collapsed="false">
      <c r="A54" s="19" t="str">
        <f aca="false">IF($B54="","",49)</f>
        <v/>
      </c>
      <c r="B54" s="11" t="str">
        <f aca="false">IFERROR(INDEX(원자재마스터!$A$3:$A$502,MATCH("R"&amp;49,거래처별목록!$L$6:$L$505,0)),"")</f>
        <v/>
      </c>
      <c r="C54" s="11" t="str">
        <f aca="false">IF($B54="","",IFERROR(INDEX(원자재마스터!$B$3:$B$502,MATCH("R"&amp;49,거래처별목록!$L$6:$L$505,0)),""))</f>
        <v/>
      </c>
      <c r="D54" s="19" t="str">
        <f aca="false">IF($B54="","",IFERROR(INDEX(원자재마스터!$C$3:$C$502,MATCH("R"&amp;49,거래처별목록!$L$6:$L$505,0)),""))</f>
        <v/>
      </c>
      <c r="E54" s="11" t="str">
        <f aca="false">IF($B54="","",IFERROR(INDEX(원자재마스터!$G$3:$G$502,MATCH("R"&amp;49,거래처별목록!$L$6:$L$505,0)),""))</f>
        <v/>
      </c>
      <c r="F54" s="19" t="str">
        <f aca="false">IF($B54="","",IFERROR(INDEX(원자재마스터!$J$3:$J$502,MATCH("R"&amp;49,거래처별목록!$L$6:$L$505,0)),""))</f>
        <v/>
      </c>
      <c r="G54" s="20" t="str">
        <f aca="false">IF($B54="","",IFERROR(INDEX(원자재마스터!$K$3:$K$502,MATCH("R"&amp;49,거래처별목록!$L$6:$L$505,0)),""))</f>
        <v/>
      </c>
      <c r="J54" s="21" t="b">
        <f aca="false">IF(원자재마스터!$A51="",FALSE(),원자재마스터!$L51=$B$3)</f>
        <v>0</v>
      </c>
      <c r="K54" s="5" t="str">
        <f aca="false">IF($J54=FALSE(),"",COUNTIF($J$6:$J54,TRUE()))</f>
        <v/>
      </c>
      <c r="L54" s="5" t="str">
        <f aca="false">IF($K54="","","R"&amp;$K54)</f>
        <v/>
      </c>
    </row>
    <row r="55" customFormat="false" ht="15" hidden="false" customHeight="true" outlineLevel="0" collapsed="false">
      <c r="A55" s="19" t="str">
        <f aca="false">IF($B55="","",50)</f>
        <v/>
      </c>
      <c r="B55" s="11" t="str">
        <f aca="false">IFERROR(INDEX(원자재마스터!$A$3:$A$502,MATCH("R"&amp;50,거래처별목록!$L$6:$L$505,0)),"")</f>
        <v/>
      </c>
      <c r="C55" s="11" t="str">
        <f aca="false">IF($B55="","",IFERROR(INDEX(원자재마스터!$B$3:$B$502,MATCH("R"&amp;50,거래처별목록!$L$6:$L$505,0)),""))</f>
        <v/>
      </c>
      <c r="D55" s="19" t="str">
        <f aca="false">IF($B55="","",IFERROR(INDEX(원자재마스터!$C$3:$C$502,MATCH("R"&amp;50,거래처별목록!$L$6:$L$505,0)),""))</f>
        <v/>
      </c>
      <c r="E55" s="11" t="str">
        <f aca="false">IF($B55="","",IFERROR(INDEX(원자재마스터!$G$3:$G$502,MATCH("R"&amp;50,거래처별목록!$L$6:$L$505,0)),""))</f>
        <v/>
      </c>
      <c r="F55" s="19" t="str">
        <f aca="false">IF($B55="","",IFERROR(INDEX(원자재마스터!$J$3:$J$502,MATCH("R"&amp;50,거래처별목록!$L$6:$L$505,0)),""))</f>
        <v/>
      </c>
      <c r="G55" s="20" t="str">
        <f aca="false">IF($B55="","",IFERROR(INDEX(원자재마스터!$K$3:$K$502,MATCH("R"&amp;50,거래처별목록!$L$6:$L$505,0)),""))</f>
        <v/>
      </c>
      <c r="J55" s="21" t="b">
        <f aca="false">IF(원자재마스터!$A52="",FALSE(),원자재마스터!$L52=$B$3)</f>
        <v>0</v>
      </c>
      <c r="K55" s="5" t="str">
        <f aca="false">IF($J55=FALSE(),"",COUNTIF($J$6:$J55,TRUE()))</f>
        <v/>
      </c>
      <c r="L55" s="5" t="str">
        <f aca="false">IF($K55="","","R"&amp;$K55)</f>
        <v/>
      </c>
    </row>
    <row r="56" customFormat="false" ht="15" hidden="false" customHeight="true" outlineLevel="0" collapsed="false">
      <c r="A56" s="19" t="str">
        <f aca="false">IF($B56="","",51)</f>
        <v/>
      </c>
      <c r="B56" s="11" t="str">
        <f aca="false">IFERROR(INDEX(원자재마스터!$A$3:$A$502,MATCH("R"&amp;51,거래처별목록!$L$6:$L$505,0)),"")</f>
        <v/>
      </c>
      <c r="C56" s="11" t="str">
        <f aca="false">IF($B56="","",IFERROR(INDEX(원자재마스터!$B$3:$B$502,MATCH("R"&amp;51,거래처별목록!$L$6:$L$505,0)),""))</f>
        <v/>
      </c>
      <c r="D56" s="19" t="str">
        <f aca="false">IF($B56="","",IFERROR(INDEX(원자재마스터!$C$3:$C$502,MATCH("R"&amp;51,거래처별목록!$L$6:$L$505,0)),""))</f>
        <v/>
      </c>
      <c r="E56" s="11" t="str">
        <f aca="false">IF($B56="","",IFERROR(INDEX(원자재마스터!$G$3:$G$502,MATCH("R"&amp;51,거래처별목록!$L$6:$L$505,0)),""))</f>
        <v/>
      </c>
      <c r="F56" s="19" t="str">
        <f aca="false">IF($B56="","",IFERROR(INDEX(원자재마스터!$J$3:$J$502,MATCH("R"&amp;51,거래처별목록!$L$6:$L$505,0)),""))</f>
        <v/>
      </c>
      <c r="G56" s="20" t="str">
        <f aca="false">IF($B56="","",IFERROR(INDEX(원자재마스터!$K$3:$K$502,MATCH("R"&amp;51,거래처별목록!$L$6:$L$505,0)),""))</f>
        <v/>
      </c>
      <c r="J56" s="21" t="b">
        <f aca="false">IF(원자재마스터!$A53="",FALSE(),원자재마스터!$L53=$B$3)</f>
        <v>0</v>
      </c>
      <c r="K56" s="5" t="str">
        <f aca="false">IF($J56=FALSE(),"",COUNTIF($J$6:$J56,TRUE()))</f>
        <v/>
      </c>
      <c r="L56" s="5" t="str">
        <f aca="false">IF($K56="","","R"&amp;$K56)</f>
        <v/>
      </c>
    </row>
    <row r="57" customFormat="false" ht="15" hidden="false" customHeight="true" outlineLevel="0" collapsed="false">
      <c r="A57" s="19" t="str">
        <f aca="false">IF($B57="","",52)</f>
        <v/>
      </c>
      <c r="B57" s="11" t="str">
        <f aca="false">IFERROR(INDEX(원자재마스터!$A$3:$A$502,MATCH("R"&amp;52,거래처별목록!$L$6:$L$505,0)),"")</f>
        <v/>
      </c>
      <c r="C57" s="11" t="str">
        <f aca="false">IF($B57="","",IFERROR(INDEX(원자재마스터!$B$3:$B$502,MATCH("R"&amp;52,거래처별목록!$L$6:$L$505,0)),""))</f>
        <v/>
      </c>
      <c r="D57" s="19" t="str">
        <f aca="false">IF($B57="","",IFERROR(INDEX(원자재마스터!$C$3:$C$502,MATCH("R"&amp;52,거래처별목록!$L$6:$L$505,0)),""))</f>
        <v/>
      </c>
      <c r="E57" s="11" t="str">
        <f aca="false">IF($B57="","",IFERROR(INDEX(원자재마스터!$G$3:$G$502,MATCH("R"&amp;52,거래처별목록!$L$6:$L$505,0)),""))</f>
        <v/>
      </c>
      <c r="F57" s="19" t="str">
        <f aca="false">IF($B57="","",IFERROR(INDEX(원자재마스터!$J$3:$J$502,MATCH("R"&amp;52,거래처별목록!$L$6:$L$505,0)),""))</f>
        <v/>
      </c>
      <c r="G57" s="20" t="str">
        <f aca="false">IF($B57="","",IFERROR(INDEX(원자재마스터!$K$3:$K$502,MATCH("R"&amp;52,거래처별목록!$L$6:$L$505,0)),""))</f>
        <v/>
      </c>
      <c r="J57" s="21" t="b">
        <f aca="false">IF(원자재마스터!$A54="",FALSE(),원자재마스터!$L54=$B$3)</f>
        <v>0</v>
      </c>
      <c r="K57" s="5" t="str">
        <f aca="false">IF($J57=FALSE(),"",COUNTIF($J$6:$J57,TRUE()))</f>
        <v/>
      </c>
      <c r="L57" s="5" t="str">
        <f aca="false">IF($K57="","","R"&amp;$K57)</f>
        <v/>
      </c>
    </row>
    <row r="58" customFormat="false" ht="15" hidden="false" customHeight="true" outlineLevel="0" collapsed="false">
      <c r="A58" s="19" t="str">
        <f aca="false">IF($B58="","",53)</f>
        <v/>
      </c>
      <c r="B58" s="11" t="str">
        <f aca="false">IFERROR(INDEX(원자재마스터!$A$3:$A$502,MATCH("R"&amp;53,거래처별목록!$L$6:$L$505,0)),"")</f>
        <v/>
      </c>
      <c r="C58" s="11" t="str">
        <f aca="false">IF($B58="","",IFERROR(INDEX(원자재마스터!$B$3:$B$502,MATCH("R"&amp;53,거래처별목록!$L$6:$L$505,0)),""))</f>
        <v/>
      </c>
      <c r="D58" s="19" t="str">
        <f aca="false">IF($B58="","",IFERROR(INDEX(원자재마스터!$C$3:$C$502,MATCH("R"&amp;53,거래처별목록!$L$6:$L$505,0)),""))</f>
        <v/>
      </c>
      <c r="E58" s="11" t="str">
        <f aca="false">IF($B58="","",IFERROR(INDEX(원자재마스터!$G$3:$G$502,MATCH("R"&amp;53,거래처별목록!$L$6:$L$505,0)),""))</f>
        <v/>
      </c>
      <c r="F58" s="19" t="str">
        <f aca="false">IF($B58="","",IFERROR(INDEX(원자재마스터!$J$3:$J$502,MATCH("R"&amp;53,거래처별목록!$L$6:$L$505,0)),""))</f>
        <v/>
      </c>
      <c r="G58" s="20" t="str">
        <f aca="false">IF($B58="","",IFERROR(INDEX(원자재마스터!$K$3:$K$502,MATCH("R"&amp;53,거래처별목록!$L$6:$L$505,0)),""))</f>
        <v/>
      </c>
      <c r="J58" s="21" t="b">
        <f aca="false">IF(원자재마스터!$A55="",FALSE(),원자재마스터!$L55=$B$3)</f>
        <v>0</v>
      </c>
      <c r="K58" s="5" t="str">
        <f aca="false">IF($J58=FALSE(),"",COUNTIF($J$6:$J58,TRUE()))</f>
        <v/>
      </c>
      <c r="L58" s="5" t="str">
        <f aca="false">IF($K58="","","R"&amp;$K58)</f>
        <v/>
      </c>
    </row>
    <row r="59" customFormat="false" ht="15" hidden="false" customHeight="true" outlineLevel="0" collapsed="false">
      <c r="A59" s="19" t="str">
        <f aca="false">IF($B59="","",54)</f>
        <v/>
      </c>
      <c r="B59" s="11" t="str">
        <f aca="false">IFERROR(INDEX(원자재마스터!$A$3:$A$502,MATCH("R"&amp;54,거래처별목록!$L$6:$L$505,0)),"")</f>
        <v/>
      </c>
      <c r="C59" s="11" t="str">
        <f aca="false">IF($B59="","",IFERROR(INDEX(원자재마스터!$B$3:$B$502,MATCH("R"&amp;54,거래처별목록!$L$6:$L$505,0)),""))</f>
        <v/>
      </c>
      <c r="D59" s="19" t="str">
        <f aca="false">IF($B59="","",IFERROR(INDEX(원자재마스터!$C$3:$C$502,MATCH("R"&amp;54,거래처별목록!$L$6:$L$505,0)),""))</f>
        <v/>
      </c>
      <c r="E59" s="11" t="str">
        <f aca="false">IF($B59="","",IFERROR(INDEX(원자재마스터!$G$3:$G$502,MATCH("R"&amp;54,거래처별목록!$L$6:$L$505,0)),""))</f>
        <v/>
      </c>
      <c r="F59" s="19" t="str">
        <f aca="false">IF($B59="","",IFERROR(INDEX(원자재마스터!$J$3:$J$502,MATCH("R"&amp;54,거래처별목록!$L$6:$L$505,0)),""))</f>
        <v/>
      </c>
      <c r="G59" s="20" t="str">
        <f aca="false">IF($B59="","",IFERROR(INDEX(원자재마스터!$K$3:$K$502,MATCH("R"&amp;54,거래처별목록!$L$6:$L$505,0)),""))</f>
        <v/>
      </c>
      <c r="J59" s="21" t="b">
        <f aca="false">IF(원자재마스터!$A56="",FALSE(),원자재마스터!$L56=$B$3)</f>
        <v>0</v>
      </c>
      <c r="K59" s="5" t="str">
        <f aca="false">IF($J59=FALSE(),"",COUNTIF($J$6:$J59,TRUE()))</f>
        <v/>
      </c>
      <c r="L59" s="5" t="str">
        <f aca="false">IF($K59="","","R"&amp;$K59)</f>
        <v/>
      </c>
    </row>
    <row r="60" customFormat="false" ht="15" hidden="false" customHeight="true" outlineLevel="0" collapsed="false">
      <c r="A60" s="19" t="str">
        <f aca="false">IF($B60="","",55)</f>
        <v/>
      </c>
      <c r="B60" s="11" t="str">
        <f aca="false">IFERROR(INDEX(원자재마스터!$A$3:$A$502,MATCH("R"&amp;55,거래처별목록!$L$6:$L$505,0)),"")</f>
        <v/>
      </c>
      <c r="C60" s="11" t="str">
        <f aca="false">IF($B60="","",IFERROR(INDEX(원자재마스터!$B$3:$B$502,MATCH("R"&amp;55,거래처별목록!$L$6:$L$505,0)),""))</f>
        <v/>
      </c>
      <c r="D60" s="19" t="str">
        <f aca="false">IF($B60="","",IFERROR(INDEX(원자재마스터!$C$3:$C$502,MATCH("R"&amp;55,거래처별목록!$L$6:$L$505,0)),""))</f>
        <v/>
      </c>
      <c r="E60" s="11" t="str">
        <f aca="false">IF($B60="","",IFERROR(INDEX(원자재마스터!$G$3:$G$502,MATCH("R"&amp;55,거래처별목록!$L$6:$L$505,0)),""))</f>
        <v/>
      </c>
      <c r="F60" s="19" t="str">
        <f aca="false">IF($B60="","",IFERROR(INDEX(원자재마스터!$J$3:$J$502,MATCH("R"&amp;55,거래처별목록!$L$6:$L$505,0)),""))</f>
        <v/>
      </c>
      <c r="G60" s="20" t="str">
        <f aca="false">IF($B60="","",IFERROR(INDEX(원자재마스터!$K$3:$K$502,MATCH("R"&amp;55,거래처별목록!$L$6:$L$505,0)),""))</f>
        <v/>
      </c>
      <c r="J60" s="21" t="b">
        <f aca="false">IF(원자재마스터!$A57="",FALSE(),원자재마스터!$L57=$B$3)</f>
        <v>0</v>
      </c>
      <c r="K60" s="5" t="str">
        <f aca="false">IF($J60=FALSE(),"",COUNTIF($J$6:$J60,TRUE()))</f>
        <v/>
      </c>
      <c r="L60" s="5" t="str">
        <f aca="false">IF($K60="","","R"&amp;$K60)</f>
        <v/>
      </c>
    </row>
    <row r="61" customFormat="false" ht="15" hidden="false" customHeight="true" outlineLevel="0" collapsed="false">
      <c r="A61" s="19" t="str">
        <f aca="false">IF($B61="","",56)</f>
        <v/>
      </c>
      <c r="B61" s="11" t="str">
        <f aca="false">IFERROR(INDEX(원자재마스터!$A$3:$A$502,MATCH("R"&amp;56,거래처별목록!$L$6:$L$505,0)),"")</f>
        <v/>
      </c>
      <c r="C61" s="11" t="str">
        <f aca="false">IF($B61="","",IFERROR(INDEX(원자재마스터!$B$3:$B$502,MATCH("R"&amp;56,거래처별목록!$L$6:$L$505,0)),""))</f>
        <v/>
      </c>
      <c r="D61" s="19" t="str">
        <f aca="false">IF($B61="","",IFERROR(INDEX(원자재마스터!$C$3:$C$502,MATCH("R"&amp;56,거래처별목록!$L$6:$L$505,0)),""))</f>
        <v/>
      </c>
      <c r="E61" s="11" t="str">
        <f aca="false">IF($B61="","",IFERROR(INDEX(원자재마스터!$G$3:$G$502,MATCH("R"&amp;56,거래처별목록!$L$6:$L$505,0)),""))</f>
        <v/>
      </c>
      <c r="F61" s="19" t="str">
        <f aca="false">IF($B61="","",IFERROR(INDEX(원자재마스터!$J$3:$J$502,MATCH("R"&amp;56,거래처별목록!$L$6:$L$505,0)),""))</f>
        <v/>
      </c>
      <c r="G61" s="20" t="str">
        <f aca="false">IF($B61="","",IFERROR(INDEX(원자재마스터!$K$3:$K$502,MATCH("R"&amp;56,거래처별목록!$L$6:$L$505,0)),""))</f>
        <v/>
      </c>
      <c r="J61" s="21" t="b">
        <f aca="false">IF(원자재마스터!$A58="",FALSE(),원자재마스터!$L58=$B$3)</f>
        <v>0</v>
      </c>
      <c r="K61" s="5" t="str">
        <f aca="false">IF($J61=FALSE(),"",COUNTIF($J$6:$J61,TRUE()))</f>
        <v/>
      </c>
      <c r="L61" s="5" t="str">
        <f aca="false">IF($K61="","","R"&amp;$K61)</f>
        <v/>
      </c>
    </row>
    <row r="62" customFormat="false" ht="15" hidden="false" customHeight="true" outlineLevel="0" collapsed="false">
      <c r="A62" s="19" t="str">
        <f aca="false">IF($B62="","",57)</f>
        <v/>
      </c>
      <c r="B62" s="11" t="str">
        <f aca="false">IFERROR(INDEX(원자재마스터!$A$3:$A$502,MATCH("R"&amp;57,거래처별목록!$L$6:$L$505,0)),"")</f>
        <v/>
      </c>
      <c r="C62" s="11" t="str">
        <f aca="false">IF($B62="","",IFERROR(INDEX(원자재마스터!$B$3:$B$502,MATCH("R"&amp;57,거래처별목록!$L$6:$L$505,0)),""))</f>
        <v/>
      </c>
      <c r="D62" s="19" t="str">
        <f aca="false">IF($B62="","",IFERROR(INDEX(원자재마스터!$C$3:$C$502,MATCH("R"&amp;57,거래처별목록!$L$6:$L$505,0)),""))</f>
        <v/>
      </c>
      <c r="E62" s="11" t="str">
        <f aca="false">IF($B62="","",IFERROR(INDEX(원자재마스터!$G$3:$G$502,MATCH("R"&amp;57,거래처별목록!$L$6:$L$505,0)),""))</f>
        <v/>
      </c>
      <c r="F62" s="19" t="str">
        <f aca="false">IF($B62="","",IFERROR(INDEX(원자재마스터!$J$3:$J$502,MATCH("R"&amp;57,거래처별목록!$L$6:$L$505,0)),""))</f>
        <v/>
      </c>
      <c r="G62" s="20" t="str">
        <f aca="false">IF($B62="","",IFERROR(INDEX(원자재마스터!$K$3:$K$502,MATCH("R"&amp;57,거래처별목록!$L$6:$L$505,0)),""))</f>
        <v/>
      </c>
      <c r="J62" s="21" t="b">
        <f aca="false">IF(원자재마스터!$A59="",FALSE(),원자재마스터!$L59=$B$3)</f>
        <v>0</v>
      </c>
      <c r="K62" s="5" t="str">
        <f aca="false">IF($J62=FALSE(),"",COUNTIF($J$6:$J62,TRUE()))</f>
        <v/>
      </c>
      <c r="L62" s="5" t="str">
        <f aca="false">IF($K62="","","R"&amp;$K62)</f>
        <v/>
      </c>
    </row>
    <row r="63" customFormat="false" ht="15" hidden="false" customHeight="true" outlineLevel="0" collapsed="false">
      <c r="A63" s="19" t="str">
        <f aca="false">IF($B63="","",58)</f>
        <v/>
      </c>
      <c r="B63" s="11" t="str">
        <f aca="false">IFERROR(INDEX(원자재마스터!$A$3:$A$502,MATCH("R"&amp;58,거래처별목록!$L$6:$L$505,0)),"")</f>
        <v/>
      </c>
      <c r="C63" s="11" t="str">
        <f aca="false">IF($B63="","",IFERROR(INDEX(원자재마스터!$B$3:$B$502,MATCH("R"&amp;58,거래처별목록!$L$6:$L$505,0)),""))</f>
        <v/>
      </c>
      <c r="D63" s="19" t="str">
        <f aca="false">IF($B63="","",IFERROR(INDEX(원자재마스터!$C$3:$C$502,MATCH("R"&amp;58,거래처별목록!$L$6:$L$505,0)),""))</f>
        <v/>
      </c>
      <c r="E63" s="11" t="str">
        <f aca="false">IF($B63="","",IFERROR(INDEX(원자재마스터!$G$3:$G$502,MATCH("R"&amp;58,거래처별목록!$L$6:$L$505,0)),""))</f>
        <v/>
      </c>
      <c r="F63" s="19" t="str">
        <f aca="false">IF($B63="","",IFERROR(INDEX(원자재마스터!$J$3:$J$502,MATCH("R"&amp;58,거래처별목록!$L$6:$L$505,0)),""))</f>
        <v/>
      </c>
      <c r="G63" s="20" t="str">
        <f aca="false">IF($B63="","",IFERROR(INDEX(원자재마스터!$K$3:$K$502,MATCH("R"&amp;58,거래처별목록!$L$6:$L$505,0)),""))</f>
        <v/>
      </c>
      <c r="J63" s="21" t="b">
        <f aca="false">IF(원자재마스터!$A60="",FALSE(),원자재마스터!$L60=$B$3)</f>
        <v>0</v>
      </c>
      <c r="K63" s="5" t="str">
        <f aca="false">IF($J63=FALSE(),"",COUNTIF($J$6:$J63,TRUE()))</f>
        <v/>
      </c>
      <c r="L63" s="5" t="str">
        <f aca="false">IF($K63="","","R"&amp;$K63)</f>
        <v/>
      </c>
    </row>
    <row r="64" customFormat="false" ht="15" hidden="false" customHeight="true" outlineLevel="0" collapsed="false">
      <c r="A64" s="19" t="str">
        <f aca="false">IF($B64="","",59)</f>
        <v/>
      </c>
      <c r="B64" s="11" t="str">
        <f aca="false">IFERROR(INDEX(원자재마스터!$A$3:$A$502,MATCH("R"&amp;59,거래처별목록!$L$6:$L$505,0)),"")</f>
        <v/>
      </c>
      <c r="C64" s="11" t="str">
        <f aca="false">IF($B64="","",IFERROR(INDEX(원자재마스터!$B$3:$B$502,MATCH("R"&amp;59,거래처별목록!$L$6:$L$505,0)),""))</f>
        <v/>
      </c>
      <c r="D64" s="19" t="str">
        <f aca="false">IF($B64="","",IFERROR(INDEX(원자재마스터!$C$3:$C$502,MATCH("R"&amp;59,거래처별목록!$L$6:$L$505,0)),""))</f>
        <v/>
      </c>
      <c r="E64" s="11" t="str">
        <f aca="false">IF($B64="","",IFERROR(INDEX(원자재마스터!$G$3:$G$502,MATCH("R"&amp;59,거래처별목록!$L$6:$L$505,0)),""))</f>
        <v/>
      </c>
      <c r="F64" s="19" t="str">
        <f aca="false">IF($B64="","",IFERROR(INDEX(원자재마스터!$J$3:$J$502,MATCH("R"&amp;59,거래처별목록!$L$6:$L$505,0)),""))</f>
        <v/>
      </c>
      <c r="G64" s="20" t="str">
        <f aca="false">IF($B64="","",IFERROR(INDEX(원자재마스터!$K$3:$K$502,MATCH("R"&amp;59,거래처별목록!$L$6:$L$505,0)),""))</f>
        <v/>
      </c>
      <c r="J64" s="21" t="b">
        <f aca="false">IF(원자재마스터!$A61="",FALSE(),원자재마스터!$L61=$B$3)</f>
        <v>0</v>
      </c>
      <c r="K64" s="5" t="str">
        <f aca="false">IF($J64=FALSE(),"",COUNTIF($J$6:$J64,TRUE()))</f>
        <v/>
      </c>
      <c r="L64" s="5" t="str">
        <f aca="false">IF($K64="","","R"&amp;$K64)</f>
        <v/>
      </c>
    </row>
    <row r="65" customFormat="false" ht="15" hidden="false" customHeight="true" outlineLevel="0" collapsed="false">
      <c r="A65" s="19" t="str">
        <f aca="false">IF($B65="","",60)</f>
        <v/>
      </c>
      <c r="B65" s="11" t="str">
        <f aca="false">IFERROR(INDEX(원자재마스터!$A$3:$A$502,MATCH("R"&amp;60,거래처별목록!$L$6:$L$505,0)),"")</f>
        <v/>
      </c>
      <c r="C65" s="11" t="str">
        <f aca="false">IF($B65="","",IFERROR(INDEX(원자재마스터!$B$3:$B$502,MATCH("R"&amp;60,거래처별목록!$L$6:$L$505,0)),""))</f>
        <v/>
      </c>
      <c r="D65" s="19" t="str">
        <f aca="false">IF($B65="","",IFERROR(INDEX(원자재마스터!$C$3:$C$502,MATCH("R"&amp;60,거래처별목록!$L$6:$L$505,0)),""))</f>
        <v/>
      </c>
      <c r="E65" s="11" t="str">
        <f aca="false">IF($B65="","",IFERROR(INDEX(원자재마스터!$G$3:$G$502,MATCH("R"&amp;60,거래처별목록!$L$6:$L$505,0)),""))</f>
        <v/>
      </c>
      <c r="F65" s="19" t="str">
        <f aca="false">IF($B65="","",IFERROR(INDEX(원자재마스터!$J$3:$J$502,MATCH("R"&amp;60,거래처별목록!$L$6:$L$505,0)),""))</f>
        <v/>
      </c>
      <c r="G65" s="20" t="str">
        <f aca="false">IF($B65="","",IFERROR(INDEX(원자재마스터!$K$3:$K$502,MATCH("R"&amp;60,거래처별목록!$L$6:$L$505,0)),""))</f>
        <v/>
      </c>
      <c r="J65" s="21" t="b">
        <f aca="false">IF(원자재마스터!$A62="",FALSE(),원자재마스터!$L62=$B$3)</f>
        <v>0</v>
      </c>
      <c r="K65" s="5" t="str">
        <f aca="false">IF($J65=FALSE(),"",COUNTIF($J$6:$J65,TRUE()))</f>
        <v/>
      </c>
      <c r="L65" s="5" t="str">
        <f aca="false">IF($K65="","","R"&amp;$K65)</f>
        <v/>
      </c>
    </row>
    <row r="66" customFormat="false" ht="15" hidden="false" customHeight="true" outlineLevel="0" collapsed="false">
      <c r="A66" s="19" t="str">
        <f aca="false">IF($B66="","",61)</f>
        <v/>
      </c>
      <c r="B66" s="11" t="str">
        <f aca="false">IFERROR(INDEX(원자재마스터!$A$3:$A$502,MATCH("R"&amp;61,거래처별목록!$L$6:$L$505,0)),"")</f>
        <v/>
      </c>
      <c r="C66" s="11" t="str">
        <f aca="false">IF($B66="","",IFERROR(INDEX(원자재마스터!$B$3:$B$502,MATCH("R"&amp;61,거래처별목록!$L$6:$L$505,0)),""))</f>
        <v/>
      </c>
      <c r="D66" s="19" t="str">
        <f aca="false">IF($B66="","",IFERROR(INDEX(원자재마스터!$C$3:$C$502,MATCH("R"&amp;61,거래처별목록!$L$6:$L$505,0)),""))</f>
        <v/>
      </c>
      <c r="E66" s="11" t="str">
        <f aca="false">IF($B66="","",IFERROR(INDEX(원자재마스터!$G$3:$G$502,MATCH("R"&amp;61,거래처별목록!$L$6:$L$505,0)),""))</f>
        <v/>
      </c>
      <c r="F66" s="19" t="str">
        <f aca="false">IF($B66="","",IFERROR(INDEX(원자재마스터!$J$3:$J$502,MATCH("R"&amp;61,거래처별목록!$L$6:$L$505,0)),""))</f>
        <v/>
      </c>
      <c r="G66" s="20" t="str">
        <f aca="false">IF($B66="","",IFERROR(INDEX(원자재마스터!$K$3:$K$502,MATCH("R"&amp;61,거래처별목록!$L$6:$L$505,0)),""))</f>
        <v/>
      </c>
      <c r="J66" s="21" t="b">
        <f aca="false">IF(원자재마스터!$A63="",FALSE(),원자재마스터!$L63=$B$3)</f>
        <v>0</v>
      </c>
      <c r="K66" s="5" t="str">
        <f aca="false">IF($J66=FALSE(),"",COUNTIF($J$6:$J66,TRUE()))</f>
        <v/>
      </c>
      <c r="L66" s="5" t="str">
        <f aca="false">IF($K66="","","R"&amp;$K66)</f>
        <v/>
      </c>
    </row>
    <row r="67" customFormat="false" ht="15" hidden="false" customHeight="true" outlineLevel="0" collapsed="false">
      <c r="A67" s="19" t="str">
        <f aca="false">IF($B67="","",62)</f>
        <v/>
      </c>
      <c r="B67" s="11" t="str">
        <f aca="false">IFERROR(INDEX(원자재마스터!$A$3:$A$502,MATCH("R"&amp;62,거래처별목록!$L$6:$L$505,0)),"")</f>
        <v/>
      </c>
      <c r="C67" s="11" t="str">
        <f aca="false">IF($B67="","",IFERROR(INDEX(원자재마스터!$B$3:$B$502,MATCH("R"&amp;62,거래처별목록!$L$6:$L$505,0)),""))</f>
        <v/>
      </c>
      <c r="D67" s="19" t="str">
        <f aca="false">IF($B67="","",IFERROR(INDEX(원자재마스터!$C$3:$C$502,MATCH("R"&amp;62,거래처별목록!$L$6:$L$505,0)),""))</f>
        <v/>
      </c>
      <c r="E67" s="11" t="str">
        <f aca="false">IF($B67="","",IFERROR(INDEX(원자재마스터!$G$3:$G$502,MATCH("R"&amp;62,거래처별목록!$L$6:$L$505,0)),""))</f>
        <v/>
      </c>
      <c r="F67" s="19" t="str">
        <f aca="false">IF($B67="","",IFERROR(INDEX(원자재마스터!$J$3:$J$502,MATCH("R"&amp;62,거래처별목록!$L$6:$L$505,0)),""))</f>
        <v/>
      </c>
      <c r="G67" s="20" t="str">
        <f aca="false">IF($B67="","",IFERROR(INDEX(원자재마스터!$K$3:$K$502,MATCH("R"&amp;62,거래처별목록!$L$6:$L$505,0)),""))</f>
        <v/>
      </c>
      <c r="J67" s="21" t="b">
        <f aca="false">IF(원자재마스터!$A64="",FALSE(),원자재마스터!$L64=$B$3)</f>
        <v>0</v>
      </c>
      <c r="K67" s="5" t="str">
        <f aca="false">IF($J67=FALSE(),"",COUNTIF($J$6:$J67,TRUE()))</f>
        <v/>
      </c>
      <c r="L67" s="5" t="str">
        <f aca="false">IF($K67="","","R"&amp;$K67)</f>
        <v/>
      </c>
    </row>
    <row r="68" customFormat="false" ht="15" hidden="false" customHeight="true" outlineLevel="0" collapsed="false">
      <c r="A68" s="19" t="str">
        <f aca="false">IF($B68="","",63)</f>
        <v/>
      </c>
      <c r="B68" s="11" t="str">
        <f aca="false">IFERROR(INDEX(원자재마스터!$A$3:$A$502,MATCH("R"&amp;63,거래처별목록!$L$6:$L$505,0)),"")</f>
        <v/>
      </c>
      <c r="C68" s="11" t="str">
        <f aca="false">IF($B68="","",IFERROR(INDEX(원자재마스터!$B$3:$B$502,MATCH("R"&amp;63,거래처별목록!$L$6:$L$505,0)),""))</f>
        <v/>
      </c>
      <c r="D68" s="19" t="str">
        <f aca="false">IF($B68="","",IFERROR(INDEX(원자재마스터!$C$3:$C$502,MATCH("R"&amp;63,거래처별목록!$L$6:$L$505,0)),""))</f>
        <v/>
      </c>
      <c r="E68" s="11" t="str">
        <f aca="false">IF($B68="","",IFERROR(INDEX(원자재마스터!$G$3:$G$502,MATCH("R"&amp;63,거래처별목록!$L$6:$L$505,0)),""))</f>
        <v/>
      </c>
      <c r="F68" s="19" t="str">
        <f aca="false">IF($B68="","",IFERROR(INDEX(원자재마스터!$J$3:$J$502,MATCH("R"&amp;63,거래처별목록!$L$6:$L$505,0)),""))</f>
        <v/>
      </c>
      <c r="G68" s="20" t="str">
        <f aca="false">IF($B68="","",IFERROR(INDEX(원자재마스터!$K$3:$K$502,MATCH("R"&amp;63,거래처별목록!$L$6:$L$505,0)),""))</f>
        <v/>
      </c>
      <c r="J68" s="21" t="b">
        <f aca="false">IF(원자재마스터!$A65="",FALSE(),원자재마스터!$L65=$B$3)</f>
        <v>0</v>
      </c>
      <c r="K68" s="5" t="str">
        <f aca="false">IF($J68=FALSE(),"",COUNTIF($J$6:$J68,TRUE()))</f>
        <v/>
      </c>
      <c r="L68" s="5" t="str">
        <f aca="false">IF($K68="","","R"&amp;$K68)</f>
        <v/>
      </c>
    </row>
    <row r="69" customFormat="false" ht="15" hidden="false" customHeight="true" outlineLevel="0" collapsed="false">
      <c r="A69" s="19" t="str">
        <f aca="false">IF($B69="","",64)</f>
        <v/>
      </c>
      <c r="B69" s="11" t="str">
        <f aca="false">IFERROR(INDEX(원자재마스터!$A$3:$A$502,MATCH("R"&amp;64,거래처별목록!$L$6:$L$505,0)),"")</f>
        <v/>
      </c>
      <c r="C69" s="11" t="str">
        <f aca="false">IF($B69="","",IFERROR(INDEX(원자재마스터!$B$3:$B$502,MATCH("R"&amp;64,거래처별목록!$L$6:$L$505,0)),""))</f>
        <v/>
      </c>
      <c r="D69" s="19" t="str">
        <f aca="false">IF($B69="","",IFERROR(INDEX(원자재마스터!$C$3:$C$502,MATCH("R"&amp;64,거래처별목록!$L$6:$L$505,0)),""))</f>
        <v/>
      </c>
      <c r="E69" s="11" t="str">
        <f aca="false">IF($B69="","",IFERROR(INDEX(원자재마스터!$G$3:$G$502,MATCH("R"&amp;64,거래처별목록!$L$6:$L$505,0)),""))</f>
        <v/>
      </c>
      <c r="F69" s="19" t="str">
        <f aca="false">IF($B69="","",IFERROR(INDEX(원자재마스터!$J$3:$J$502,MATCH("R"&amp;64,거래처별목록!$L$6:$L$505,0)),""))</f>
        <v/>
      </c>
      <c r="G69" s="20" t="str">
        <f aca="false">IF($B69="","",IFERROR(INDEX(원자재마스터!$K$3:$K$502,MATCH("R"&amp;64,거래처별목록!$L$6:$L$505,0)),""))</f>
        <v/>
      </c>
      <c r="J69" s="21" t="b">
        <f aca="false">IF(원자재마스터!$A66="",FALSE(),원자재마스터!$L66=$B$3)</f>
        <v>0</v>
      </c>
      <c r="K69" s="5" t="str">
        <f aca="false">IF($J69=FALSE(),"",COUNTIF($J$6:$J69,TRUE()))</f>
        <v/>
      </c>
      <c r="L69" s="5" t="str">
        <f aca="false">IF($K69="","","R"&amp;$K69)</f>
        <v/>
      </c>
    </row>
    <row r="70" customFormat="false" ht="15" hidden="false" customHeight="true" outlineLevel="0" collapsed="false">
      <c r="A70" s="19" t="str">
        <f aca="false">IF($B70="","",65)</f>
        <v/>
      </c>
      <c r="B70" s="11" t="str">
        <f aca="false">IFERROR(INDEX(원자재마스터!$A$3:$A$502,MATCH("R"&amp;65,거래처별목록!$L$6:$L$505,0)),"")</f>
        <v/>
      </c>
      <c r="C70" s="11" t="str">
        <f aca="false">IF($B70="","",IFERROR(INDEX(원자재마스터!$B$3:$B$502,MATCH("R"&amp;65,거래처별목록!$L$6:$L$505,0)),""))</f>
        <v/>
      </c>
      <c r="D70" s="19" t="str">
        <f aca="false">IF($B70="","",IFERROR(INDEX(원자재마스터!$C$3:$C$502,MATCH("R"&amp;65,거래처별목록!$L$6:$L$505,0)),""))</f>
        <v/>
      </c>
      <c r="E70" s="11" t="str">
        <f aca="false">IF($B70="","",IFERROR(INDEX(원자재마스터!$G$3:$G$502,MATCH("R"&amp;65,거래처별목록!$L$6:$L$505,0)),""))</f>
        <v/>
      </c>
      <c r="F70" s="19" t="str">
        <f aca="false">IF($B70="","",IFERROR(INDEX(원자재마스터!$J$3:$J$502,MATCH("R"&amp;65,거래처별목록!$L$6:$L$505,0)),""))</f>
        <v/>
      </c>
      <c r="G70" s="20" t="str">
        <f aca="false">IF($B70="","",IFERROR(INDEX(원자재마스터!$K$3:$K$502,MATCH("R"&amp;65,거래처별목록!$L$6:$L$505,0)),""))</f>
        <v/>
      </c>
      <c r="J70" s="21" t="b">
        <f aca="false">IF(원자재마스터!$A67="",FALSE(),원자재마스터!$L67=$B$3)</f>
        <v>0</v>
      </c>
      <c r="K70" s="5" t="str">
        <f aca="false">IF($J70=FALSE(),"",COUNTIF($J$6:$J70,TRUE()))</f>
        <v/>
      </c>
      <c r="L70" s="5" t="str">
        <f aca="false">IF($K70="","","R"&amp;$K70)</f>
        <v/>
      </c>
    </row>
    <row r="71" customFormat="false" ht="15" hidden="false" customHeight="true" outlineLevel="0" collapsed="false">
      <c r="A71" s="19" t="str">
        <f aca="false">IF($B71="","",66)</f>
        <v/>
      </c>
      <c r="B71" s="11" t="str">
        <f aca="false">IFERROR(INDEX(원자재마스터!$A$3:$A$502,MATCH("R"&amp;66,거래처별목록!$L$6:$L$505,0)),"")</f>
        <v/>
      </c>
      <c r="C71" s="11" t="str">
        <f aca="false">IF($B71="","",IFERROR(INDEX(원자재마스터!$B$3:$B$502,MATCH("R"&amp;66,거래처별목록!$L$6:$L$505,0)),""))</f>
        <v/>
      </c>
      <c r="D71" s="19" t="str">
        <f aca="false">IF($B71="","",IFERROR(INDEX(원자재마스터!$C$3:$C$502,MATCH("R"&amp;66,거래처별목록!$L$6:$L$505,0)),""))</f>
        <v/>
      </c>
      <c r="E71" s="11" t="str">
        <f aca="false">IF($B71="","",IFERROR(INDEX(원자재마스터!$G$3:$G$502,MATCH("R"&amp;66,거래처별목록!$L$6:$L$505,0)),""))</f>
        <v/>
      </c>
      <c r="F71" s="19" t="str">
        <f aca="false">IF($B71="","",IFERROR(INDEX(원자재마스터!$J$3:$J$502,MATCH("R"&amp;66,거래처별목록!$L$6:$L$505,0)),""))</f>
        <v/>
      </c>
      <c r="G71" s="20" t="str">
        <f aca="false">IF($B71="","",IFERROR(INDEX(원자재마스터!$K$3:$K$502,MATCH("R"&amp;66,거래처별목록!$L$6:$L$505,0)),""))</f>
        <v/>
      </c>
      <c r="J71" s="21" t="b">
        <f aca="false">IF(원자재마스터!$A68="",FALSE(),원자재마스터!$L68=$B$3)</f>
        <v>0</v>
      </c>
      <c r="K71" s="5" t="str">
        <f aca="false">IF($J71=FALSE(),"",COUNTIF($J$6:$J71,TRUE()))</f>
        <v/>
      </c>
      <c r="L71" s="5" t="str">
        <f aca="false">IF($K71="","","R"&amp;$K71)</f>
        <v/>
      </c>
    </row>
    <row r="72" customFormat="false" ht="15" hidden="false" customHeight="true" outlineLevel="0" collapsed="false">
      <c r="A72" s="19" t="str">
        <f aca="false">IF($B72="","",67)</f>
        <v/>
      </c>
      <c r="B72" s="11" t="str">
        <f aca="false">IFERROR(INDEX(원자재마스터!$A$3:$A$502,MATCH("R"&amp;67,거래처별목록!$L$6:$L$505,0)),"")</f>
        <v/>
      </c>
      <c r="C72" s="11" t="str">
        <f aca="false">IF($B72="","",IFERROR(INDEX(원자재마스터!$B$3:$B$502,MATCH("R"&amp;67,거래처별목록!$L$6:$L$505,0)),""))</f>
        <v/>
      </c>
      <c r="D72" s="19" t="str">
        <f aca="false">IF($B72="","",IFERROR(INDEX(원자재마스터!$C$3:$C$502,MATCH("R"&amp;67,거래처별목록!$L$6:$L$505,0)),""))</f>
        <v/>
      </c>
      <c r="E72" s="11" t="str">
        <f aca="false">IF($B72="","",IFERROR(INDEX(원자재마스터!$G$3:$G$502,MATCH("R"&amp;67,거래처별목록!$L$6:$L$505,0)),""))</f>
        <v/>
      </c>
      <c r="F72" s="19" t="str">
        <f aca="false">IF($B72="","",IFERROR(INDEX(원자재마스터!$J$3:$J$502,MATCH("R"&amp;67,거래처별목록!$L$6:$L$505,0)),""))</f>
        <v/>
      </c>
      <c r="G72" s="20" t="str">
        <f aca="false">IF($B72="","",IFERROR(INDEX(원자재마스터!$K$3:$K$502,MATCH("R"&amp;67,거래처별목록!$L$6:$L$505,0)),""))</f>
        <v/>
      </c>
      <c r="J72" s="21" t="b">
        <f aca="false">IF(원자재마스터!$A69="",FALSE(),원자재마스터!$L69=$B$3)</f>
        <v>0</v>
      </c>
      <c r="K72" s="5" t="str">
        <f aca="false">IF($J72=FALSE(),"",COUNTIF($J$6:$J72,TRUE()))</f>
        <v/>
      </c>
      <c r="L72" s="5" t="str">
        <f aca="false">IF($K72="","","R"&amp;$K72)</f>
        <v/>
      </c>
    </row>
    <row r="73" customFormat="false" ht="15" hidden="false" customHeight="true" outlineLevel="0" collapsed="false">
      <c r="A73" s="19" t="str">
        <f aca="false">IF($B73="","",68)</f>
        <v/>
      </c>
      <c r="B73" s="11" t="str">
        <f aca="false">IFERROR(INDEX(원자재마스터!$A$3:$A$502,MATCH("R"&amp;68,거래처별목록!$L$6:$L$505,0)),"")</f>
        <v/>
      </c>
      <c r="C73" s="11" t="str">
        <f aca="false">IF($B73="","",IFERROR(INDEX(원자재마스터!$B$3:$B$502,MATCH("R"&amp;68,거래처별목록!$L$6:$L$505,0)),""))</f>
        <v/>
      </c>
      <c r="D73" s="19" t="str">
        <f aca="false">IF($B73="","",IFERROR(INDEX(원자재마스터!$C$3:$C$502,MATCH("R"&amp;68,거래처별목록!$L$6:$L$505,0)),""))</f>
        <v/>
      </c>
      <c r="E73" s="11" t="str">
        <f aca="false">IF($B73="","",IFERROR(INDEX(원자재마스터!$G$3:$G$502,MATCH("R"&amp;68,거래처별목록!$L$6:$L$505,0)),""))</f>
        <v/>
      </c>
      <c r="F73" s="19" t="str">
        <f aca="false">IF($B73="","",IFERROR(INDEX(원자재마스터!$J$3:$J$502,MATCH("R"&amp;68,거래처별목록!$L$6:$L$505,0)),""))</f>
        <v/>
      </c>
      <c r="G73" s="20" t="str">
        <f aca="false">IF($B73="","",IFERROR(INDEX(원자재마스터!$K$3:$K$502,MATCH("R"&amp;68,거래처별목록!$L$6:$L$505,0)),""))</f>
        <v/>
      </c>
      <c r="J73" s="21" t="b">
        <f aca="false">IF(원자재마스터!$A70="",FALSE(),원자재마스터!$L70=$B$3)</f>
        <v>0</v>
      </c>
      <c r="K73" s="5" t="str">
        <f aca="false">IF($J73=FALSE(),"",COUNTIF($J$6:$J73,TRUE()))</f>
        <v/>
      </c>
      <c r="L73" s="5" t="str">
        <f aca="false">IF($K73="","","R"&amp;$K73)</f>
        <v/>
      </c>
    </row>
    <row r="74" customFormat="false" ht="15" hidden="false" customHeight="true" outlineLevel="0" collapsed="false">
      <c r="A74" s="19" t="str">
        <f aca="false">IF($B74="","",69)</f>
        <v/>
      </c>
      <c r="B74" s="11" t="str">
        <f aca="false">IFERROR(INDEX(원자재마스터!$A$3:$A$502,MATCH("R"&amp;69,거래처별목록!$L$6:$L$505,0)),"")</f>
        <v/>
      </c>
      <c r="C74" s="11" t="str">
        <f aca="false">IF($B74="","",IFERROR(INDEX(원자재마스터!$B$3:$B$502,MATCH("R"&amp;69,거래처별목록!$L$6:$L$505,0)),""))</f>
        <v/>
      </c>
      <c r="D74" s="19" t="str">
        <f aca="false">IF($B74="","",IFERROR(INDEX(원자재마스터!$C$3:$C$502,MATCH("R"&amp;69,거래처별목록!$L$6:$L$505,0)),""))</f>
        <v/>
      </c>
      <c r="E74" s="11" t="str">
        <f aca="false">IF($B74="","",IFERROR(INDEX(원자재마스터!$G$3:$G$502,MATCH("R"&amp;69,거래처별목록!$L$6:$L$505,0)),""))</f>
        <v/>
      </c>
      <c r="F74" s="19" t="str">
        <f aca="false">IF($B74="","",IFERROR(INDEX(원자재마스터!$J$3:$J$502,MATCH("R"&amp;69,거래처별목록!$L$6:$L$505,0)),""))</f>
        <v/>
      </c>
      <c r="G74" s="20" t="str">
        <f aca="false">IF($B74="","",IFERROR(INDEX(원자재마스터!$K$3:$K$502,MATCH("R"&amp;69,거래처별목록!$L$6:$L$505,0)),""))</f>
        <v/>
      </c>
      <c r="J74" s="21" t="b">
        <f aca="false">IF(원자재마스터!$A71="",FALSE(),원자재마스터!$L71=$B$3)</f>
        <v>0</v>
      </c>
      <c r="K74" s="5" t="str">
        <f aca="false">IF($J74=FALSE(),"",COUNTIF($J$6:$J74,TRUE()))</f>
        <v/>
      </c>
      <c r="L74" s="5" t="str">
        <f aca="false">IF($K74="","","R"&amp;$K74)</f>
        <v/>
      </c>
    </row>
    <row r="75" customFormat="false" ht="15" hidden="false" customHeight="true" outlineLevel="0" collapsed="false">
      <c r="A75" s="19" t="str">
        <f aca="false">IF($B75="","",70)</f>
        <v/>
      </c>
      <c r="B75" s="11" t="str">
        <f aca="false">IFERROR(INDEX(원자재마스터!$A$3:$A$502,MATCH("R"&amp;70,거래처별목록!$L$6:$L$505,0)),"")</f>
        <v/>
      </c>
      <c r="C75" s="11" t="str">
        <f aca="false">IF($B75="","",IFERROR(INDEX(원자재마스터!$B$3:$B$502,MATCH("R"&amp;70,거래처별목록!$L$6:$L$505,0)),""))</f>
        <v/>
      </c>
      <c r="D75" s="19" t="str">
        <f aca="false">IF($B75="","",IFERROR(INDEX(원자재마스터!$C$3:$C$502,MATCH("R"&amp;70,거래처별목록!$L$6:$L$505,0)),""))</f>
        <v/>
      </c>
      <c r="E75" s="11" t="str">
        <f aca="false">IF($B75="","",IFERROR(INDEX(원자재마스터!$G$3:$G$502,MATCH("R"&amp;70,거래처별목록!$L$6:$L$505,0)),""))</f>
        <v/>
      </c>
      <c r="F75" s="19" t="str">
        <f aca="false">IF($B75="","",IFERROR(INDEX(원자재마스터!$J$3:$J$502,MATCH("R"&amp;70,거래처별목록!$L$6:$L$505,0)),""))</f>
        <v/>
      </c>
      <c r="G75" s="20" t="str">
        <f aca="false">IF($B75="","",IFERROR(INDEX(원자재마스터!$K$3:$K$502,MATCH("R"&amp;70,거래처별목록!$L$6:$L$505,0)),""))</f>
        <v/>
      </c>
      <c r="J75" s="21" t="b">
        <f aca="false">IF(원자재마스터!$A72="",FALSE(),원자재마스터!$L72=$B$3)</f>
        <v>0</v>
      </c>
      <c r="K75" s="5" t="str">
        <f aca="false">IF($J75=FALSE(),"",COUNTIF($J$6:$J75,TRUE()))</f>
        <v/>
      </c>
      <c r="L75" s="5" t="str">
        <f aca="false">IF($K75="","","R"&amp;$K75)</f>
        <v/>
      </c>
    </row>
    <row r="76" customFormat="false" ht="15" hidden="false" customHeight="true" outlineLevel="0" collapsed="false">
      <c r="A76" s="19" t="str">
        <f aca="false">IF($B76="","",71)</f>
        <v/>
      </c>
      <c r="B76" s="11" t="str">
        <f aca="false">IFERROR(INDEX(원자재마스터!$A$3:$A$502,MATCH("R"&amp;71,거래처별목록!$L$6:$L$505,0)),"")</f>
        <v/>
      </c>
      <c r="C76" s="11" t="str">
        <f aca="false">IF($B76="","",IFERROR(INDEX(원자재마스터!$B$3:$B$502,MATCH("R"&amp;71,거래처별목록!$L$6:$L$505,0)),""))</f>
        <v/>
      </c>
      <c r="D76" s="19" t="str">
        <f aca="false">IF($B76="","",IFERROR(INDEX(원자재마스터!$C$3:$C$502,MATCH("R"&amp;71,거래처별목록!$L$6:$L$505,0)),""))</f>
        <v/>
      </c>
      <c r="E76" s="11" t="str">
        <f aca="false">IF($B76="","",IFERROR(INDEX(원자재마스터!$G$3:$G$502,MATCH("R"&amp;71,거래처별목록!$L$6:$L$505,0)),""))</f>
        <v/>
      </c>
      <c r="F76" s="19" t="str">
        <f aca="false">IF($B76="","",IFERROR(INDEX(원자재마스터!$J$3:$J$502,MATCH("R"&amp;71,거래처별목록!$L$6:$L$505,0)),""))</f>
        <v/>
      </c>
      <c r="G76" s="20" t="str">
        <f aca="false">IF($B76="","",IFERROR(INDEX(원자재마스터!$K$3:$K$502,MATCH("R"&amp;71,거래처별목록!$L$6:$L$505,0)),""))</f>
        <v/>
      </c>
      <c r="J76" s="21" t="b">
        <f aca="false">IF(원자재마스터!$A73="",FALSE(),원자재마스터!$L73=$B$3)</f>
        <v>0</v>
      </c>
      <c r="K76" s="5" t="str">
        <f aca="false">IF($J76=FALSE(),"",COUNTIF($J$6:$J76,TRUE()))</f>
        <v/>
      </c>
      <c r="L76" s="5" t="str">
        <f aca="false">IF($K76="","","R"&amp;$K76)</f>
        <v/>
      </c>
    </row>
    <row r="77" customFormat="false" ht="15" hidden="false" customHeight="true" outlineLevel="0" collapsed="false">
      <c r="A77" s="19" t="str">
        <f aca="false">IF($B77="","",72)</f>
        <v/>
      </c>
      <c r="B77" s="11" t="str">
        <f aca="false">IFERROR(INDEX(원자재마스터!$A$3:$A$502,MATCH("R"&amp;72,거래처별목록!$L$6:$L$505,0)),"")</f>
        <v/>
      </c>
      <c r="C77" s="11" t="str">
        <f aca="false">IF($B77="","",IFERROR(INDEX(원자재마스터!$B$3:$B$502,MATCH("R"&amp;72,거래처별목록!$L$6:$L$505,0)),""))</f>
        <v/>
      </c>
      <c r="D77" s="19" t="str">
        <f aca="false">IF($B77="","",IFERROR(INDEX(원자재마스터!$C$3:$C$502,MATCH("R"&amp;72,거래처별목록!$L$6:$L$505,0)),""))</f>
        <v/>
      </c>
      <c r="E77" s="11" t="str">
        <f aca="false">IF($B77="","",IFERROR(INDEX(원자재마스터!$G$3:$G$502,MATCH("R"&amp;72,거래처별목록!$L$6:$L$505,0)),""))</f>
        <v/>
      </c>
      <c r="F77" s="19" t="str">
        <f aca="false">IF($B77="","",IFERROR(INDEX(원자재마스터!$J$3:$J$502,MATCH("R"&amp;72,거래처별목록!$L$6:$L$505,0)),""))</f>
        <v/>
      </c>
      <c r="G77" s="20" t="str">
        <f aca="false">IF($B77="","",IFERROR(INDEX(원자재마스터!$K$3:$K$502,MATCH("R"&amp;72,거래처별목록!$L$6:$L$505,0)),""))</f>
        <v/>
      </c>
      <c r="J77" s="21" t="b">
        <f aca="false">IF(원자재마스터!$A74="",FALSE(),원자재마스터!$L74=$B$3)</f>
        <v>0</v>
      </c>
      <c r="K77" s="5" t="str">
        <f aca="false">IF($J77=FALSE(),"",COUNTIF($J$6:$J77,TRUE()))</f>
        <v/>
      </c>
      <c r="L77" s="5" t="str">
        <f aca="false">IF($K77="","","R"&amp;$K77)</f>
        <v/>
      </c>
    </row>
    <row r="78" customFormat="false" ht="15" hidden="false" customHeight="true" outlineLevel="0" collapsed="false">
      <c r="A78" s="19" t="str">
        <f aca="false">IF($B78="","",73)</f>
        <v/>
      </c>
      <c r="B78" s="11" t="str">
        <f aca="false">IFERROR(INDEX(원자재마스터!$A$3:$A$502,MATCH("R"&amp;73,거래처별목록!$L$6:$L$505,0)),"")</f>
        <v/>
      </c>
      <c r="C78" s="11" t="str">
        <f aca="false">IF($B78="","",IFERROR(INDEX(원자재마스터!$B$3:$B$502,MATCH("R"&amp;73,거래처별목록!$L$6:$L$505,0)),""))</f>
        <v/>
      </c>
      <c r="D78" s="19" t="str">
        <f aca="false">IF($B78="","",IFERROR(INDEX(원자재마스터!$C$3:$C$502,MATCH("R"&amp;73,거래처별목록!$L$6:$L$505,0)),""))</f>
        <v/>
      </c>
      <c r="E78" s="11" t="str">
        <f aca="false">IF($B78="","",IFERROR(INDEX(원자재마스터!$G$3:$G$502,MATCH("R"&amp;73,거래처별목록!$L$6:$L$505,0)),""))</f>
        <v/>
      </c>
      <c r="F78" s="19" t="str">
        <f aca="false">IF($B78="","",IFERROR(INDEX(원자재마스터!$J$3:$J$502,MATCH("R"&amp;73,거래처별목록!$L$6:$L$505,0)),""))</f>
        <v/>
      </c>
      <c r="G78" s="20" t="str">
        <f aca="false">IF($B78="","",IFERROR(INDEX(원자재마스터!$K$3:$K$502,MATCH("R"&amp;73,거래처별목록!$L$6:$L$505,0)),""))</f>
        <v/>
      </c>
      <c r="J78" s="21" t="b">
        <f aca="false">IF(원자재마스터!$A75="",FALSE(),원자재마스터!$L75=$B$3)</f>
        <v>0</v>
      </c>
      <c r="K78" s="5" t="str">
        <f aca="false">IF($J78=FALSE(),"",COUNTIF($J$6:$J78,TRUE()))</f>
        <v/>
      </c>
      <c r="L78" s="5" t="str">
        <f aca="false">IF($K78="","","R"&amp;$K78)</f>
        <v/>
      </c>
    </row>
    <row r="79" customFormat="false" ht="15" hidden="false" customHeight="true" outlineLevel="0" collapsed="false">
      <c r="A79" s="19" t="str">
        <f aca="false">IF($B79="","",74)</f>
        <v/>
      </c>
      <c r="B79" s="11" t="str">
        <f aca="false">IFERROR(INDEX(원자재마스터!$A$3:$A$502,MATCH("R"&amp;74,거래처별목록!$L$6:$L$505,0)),"")</f>
        <v/>
      </c>
      <c r="C79" s="11" t="str">
        <f aca="false">IF($B79="","",IFERROR(INDEX(원자재마스터!$B$3:$B$502,MATCH("R"&amp;74,거래처별목록!$L$6:$L$505,0)),""))</f>
        <v/>
      </c>
      <c r="D79" s="19" t="str">
        <f aca="false">IF($B79="","",IFERROR(INDEX(원자재마스터!$C$3:$C$502,MATCH("R"&amp;74,거래처별목록!$L$6:$L$505,0)),""))</f>
        <v/>
      </c>
      <c r="E79" s="11" t="str">
        <f aca="false">IF($B79="","",IFERROR(INDEX(원자재마스터!$G$3:$G$502,MATCH("R"&amp;74,거래처별목록!$L$6:$L$505,0)),""))</f>
        <v/>
      </c>
      <c r="F79" s="19" t="str">
        <f aca="false">IF($B79="","",IFERROR(INDEX(원자재마스터!$J$3:$J$502,MATCH("R"&amp;74,거래처별목록!$L$6:$L$505,0)),""))</f>
        <v/>
      </c>
      <c r="G79" s="20" t="str">
        <f aca="false">IF($B79="","",IFERROR(INDEX(원자재마스터!$K$3:$K$502,MATCH("R"&amp;74,거래처별목록!$L$6:$L$505,0)),""))</f>
        <v/>
      </c>
      <c r="J79" s="21" t="b">
        <f aca="false">IF(원자재마스터!$A76="",FALSE(),원자재마스터!$L76=$B$3)</f>
        <v>0</v>
      </c>
      <c r="K79" s="5" t="str">
        <f aca="false">IF($J79=FALSE(),"",COUNTIF($J$6:$J79,TRUE()))</f>
        <v/>
      </c>
      <c r="L79" s="5" t="str">
        <f aca="false">IF($K79="","","R"&amp;$K79)</f>
        <v/>
      </c>
    </row>
    <row r="80" customFormat="false" ht="15" hidden="false" customHeight="true" outlineLevel="0" collapsed="false">
      <c r="A80" s="19" t="str">
        <f aca="false">IF($B80="","",75)</f>
        <v/>
      </c>
      <c r="B80" s="11" t="str">
        <f aca="false">IFERROR(INDEX(원자재마스터!$A$3:$A$502,MATCH("R"&amp;75,거래처별목록!$L$6:$L$505,0)),"")</f>
        <v/>
      </c>
      <c r="C80" s="11" t="str">
        <f aca="false">IF($B80="","",IFERROR(INDEX(원자재마스터!$B$3:$B$502,MATCH("R"&amp;75,거래처별목록!$L$6:$L$505,0)),""))</f>
        <v/>
      </c>
      <c r="D80" s="19" t="str">
        <f aca="false">IF($B80="","",IFERROR(INDEX(원자재마스터!$C$3:$C$502,MATCH("R"&amp;75,거래처별목록!$L$6:$L$505,0)),""))</f>
        <v/>
      </c>
      <c r="E80" s="11" t="str">
        <f aca="false">IF($B80="","",IFERROR(INDEX(원자재마스터!$G$3:$G$502,MATCH("R"&amp;75,거래처별목록!$L$6:$L$505,0)),""))</f>
        <v/>
      </c>
      <c r="F80" s="19" t="str">
        <f aca="false">IF($B80="","",IFERROR(INDEX(원자재마스터!$J$3:$J$502,MATCH("R"&amp;75,거래처별목록!$L$6:$L$505,0)),""))</f>
        <v/>
      </c>
      <c r="G80" s="20" t="str">
        <f aca="false">IF($B80="","",IFERROR(INDEX(원자재마스터!$K$3:$K$502,MATCH("R"&amp;75,거래처별목록!$L$6:$L$505,0)),""))</f>
        <v/>
      </c>
      <c r="J80" s="21" t="b">
        <f aca="false">IF(원자재마스터!$A77="",FALSE(),원자재마스터!$L77=$B$3)</f>
        <v>0</v>
      </c>
      <c r="K80" s="5" t="str">
        <f aca="false">IF($J80=FALSE(),"",COUNTIF($J$6:$J80,TRUE()))</f>
        <v/>
      </c>
      <c r="L80" s="5" t="str">
        <f aca="false">IF($K80="","","R"&amp;$K80)</f>
        <v/>
      </c>
    </row>
    <row r="81" customFormat="false" ht="15" hidden="false" customHeight="true" outlineLevel="0" collapsed="false">
      <c r="A81" s="19" t="str">
        <f aca="false">IF($B81="","",76)</f>
        <v/>
      </c>
      <c r="B81" s="11" t="str">
        <f aca="false">IFERROR(INDEX(원자재마스터!$A$3:$A$502,MATCH("R"&amp;76,거래처별목록!$L$6:$L$505,0)),"")</f>
        <v/>
      </c>
      <c r="C81" s="11" t="str">
        <f aca="false">IF($B81="","",IFERROR(INDEX(원자재마스터!$B$3:$B$502,MATCH("R"&amp;76,거래처별목록!$L$6:$L$505,0)),""))</f>
        <v/>
      </c>
      <c r="D81" s="19" t="str">
        <f aca="false">IF($B81="","",IFERROR(INDEX(원자재마스터!$C$3:$C$502,MATCH("R"&amp;76,거래처별목록!$L$6:$L$505,0)),""))</f>
        <v/>
      </c>
      <c r="E81" s="11" t="str">
        <f aca="false">IF($B81="","",IFERROR(INDEX(원자재마스터!$G$3:$G$502,MATCH("R"&amp;76,거래처별목록!$L$6:$L$505,0)),""))</f>
        <v/>
      </c>
      <c r="F81" s="19" t="str">
        <f aca="false">IF($B81="","",IFERROR(INDEX(원자재마스터!$J$3:$J$502,MATCH("R"&amp;76,거래처별목록!$L$6:$L$505,0)),""))</f>
        <v/>
      </c>
      <c r="G81" s="20" t="str">
        <f aca="false">IF($B81="","",IFERROR(INDEX(원자재마스터!$K$3:$K$502,MATCH("R"&amp;76,거래처별목록!$L$6:$L$505,0)),""))</f>
        <v/>
      </c>
      <c r="J81" s="21" t="b">
        <f aca="false">IF(원자재마스터!$A78="",FALSE(),원자재마스터!$L78=$B$3)</f>
        <v>0</v>
      </c>
      <c r="K81" s="5" t="str">
        <f aca="false">IF($J81=FALSE(),"",COUNTIF($J$6:$J81,TRUE()))</f>
        <v/>
      </c>
      <c r="L81" s="5" t="str">
        <f aca="false">IF($K81="","","R"&amp;$K81)</f>
        <v/>
      </c>
    </row>
    <row r="82" customFormat="false" ht="15" hidden="false" customHeight="true" outlineLevel="0" collapsed="false">
      <c r="A82" s="19" t="str">
        <f aca="false">IF($B82="","",77)</f>
        <v/>
      </c>
      <c r="B82" s="11" t="str">
        <f aca="false">IFERROR(INDEX(원자재마스터!$A$3:$A$502,MATCH("R"&amp;77,거래처별목록!$L$6:$L$505,0)),"")</f>
        <v/>
      </c>
      <c r="C82" s="11" t="str">
        <f aca="false">IF($B82="","",IFERROR(INDEX(원자재마스터!$B$3:$B$502,MATCH("R"&amp;77,거래처별목록!$L$6:$L$505,0)),""))</f>
        <v/>
      </c>
      <c r="D82" s="19" t="str">
        <f aca="false">IF($B82="","",IFERROR(INDEX(원자재마스터!$C$3:$C$502,MATCH("R"&amp;77,거래처별목록!$L$6:$L$505,0)),""))</f>
        <v/>
      </c>
      <c r="E82" s="11" t="str">
        <f aca="false">IF($B82="","",IFERROR(INDEX(원자재마스터!$G$3:$G$502,MATCH("R"&amp;77,거래처별목록!$L$6:$L$505,0)),""))</f>
        <v/>
      </c>
      <c r="F82" s="19" t="str">
        <f aca="false">IF($B82="","",IFERROR(INDEX(원자재마스터!$J$3:$J$502,MATCH("R"&amp;77,거래처별목록!$L$6:$L$505,0)),""))</f>
        <v/>
      </c>
      <c r="G82" s="20" t="str">
        <f aca="false">IF($B82="","",IFERROR(INDEX(원자재마스터!$K$3:$K$502,MATCH("R"&amp;77,거래처별목록!$L$6:$L$505,0)),""))</f>
        <v/>
      </c>
      <c r="J82" s="21" t="b">
        <f aca="false">IF(원자재마스터!$A79="",FALSE(),원자재마스터!$L79=$B$3)</f>
        <v>0</v>
      </c>
      <c r="K82" s="5" t="str">
        <f aca="false">IF($J82=FALSE(),"",COUNTIF($J$6:$J82,TRUE()))</f>
        <v/>
      </c>
      <c r="L82" s="5" t="str">
        <f aca="false">IF($K82="","","R"&amp;$K82)</f>
        <v/>
      </c>
    </row>
    <row r="83" customFormat="false" ht="15" hidden="false" customHeight="true" outlineLevel="0" collapsed="false">
      <c r="A83" s="19" t="str">
        <f aca="false">IF($B83="","",78)</f>
        <v/>
      </c>
      <c r="B83" s="11" t="str">
        <f aca="false">IFERROR(INDEX(원자재마스터!$A$3:$A$502,MATCH("R"&amp;78,거래처별목록!$L$6:$L$505,0)),"")</f>
        <v/>
      </c>
      <c r="C83" s="11" t="str">
        <f aca="false">IF($B83="","",IFERROR(INDEX(원자재마스터!$B$3:$B$502,MATCH("R"&amp;78,거래처별목록!$L$6:$L$505,0)),""))</f>
        <v/>
      </c>
      <c r="D83" s="19" t="str">
        <f aca="false">IF($B83="","",IFERROR(INDEX(원자재마스터!$C$3:$C$502,MATCH("R"&amp;78,거래처별목록!$L$6:$L$505,0)),""))</f>
        <v/>
      </c>
      <c r="E83" s="11" t="str">
        <f aca="false">IF($B83="","",IFERROR(INDEX(원자재마스터!$G$3:$G$502,MATCH("R"&amp;78,거래처별목록!$L$6:$L$505,0)),""))</f>
        <v/>
      </c>
      <c r="F83" s="19" t="str">
        <f aca="false">IF($B83="","",IFERROR(INDEX(원자재마스터!$J$3:$J$502,MATCH("R"&amp;78,거래처별목록!$L$6:$L$505,0)),""))</f>
        <v/>
      </c>
      <c r="G83" s="20" t="str">
        <f aca="false">IF($B83="","",IFERROR(INDEX(원자재마스터!$K$3:$K$502,MATCH("R"&amp;78,거래처별목록!$L$6:$L$505,0)),""))</f>
        <v/>
      </c>
      <c r="J83" s="21" t="b">
        <f aca="false">IF(원자재마스터!$A80="",FALSE(),원자재마스터!$L80=$B$3)</f>
        <v>0</v>
      </c>
      <c r="K83" s="5" t="str">
        <f aca="false">IF($J83=FALSE(),"",COUNTIF($J$6:$J83,TRUE()))</f>
        <v/>
      </c>
      <c r="L83" s="5" t="str">
        <f aca="false">IF($K83="","","R"&amp;$K83)</f>
        <v/>
      </c>
    </row>
    <row r="84" customFormat="false" ht="15" hidden="false" customHeight="true" outlineLevel="0" collapsed="false">
      <c r="A84" s="19" t="str">
        <f aca="false">IF($B84="","",79)</f>
        <v/>
      </c>
      <c r="B84" s="11" t="str">
        <f aca="false">IFERROR(INDEX(원자재마스터!$A$3:$A$502,MATCH("R"&amp;79,거래처별목록!$L$6:$L$505,0)),"")</f>
        <v/>
      </c>
      <c r="C84" s="11" t="str">
        <f aca="false">IF($B84="","",IFERROR(INDEX(원자재마스터!$B$3:$B$502,MATCH("R"&amp;79,거래처별목록!$L$6:$L$505,0)),""))</f>
        <v/>
      </c>
      <c r="D84" s="19" t="str">
        <f aca="false">IF($B84="","",IFERROR(INDEX(원자재마스터!$C$3:$C$502,MATCH("R"&amp;79,거래처별목록!$L$6:$L$505,0)),""))</f>
        <v/>
      </c>
      <c r="E84" s="11" t="str">
        <f aca="false">IF($B84="","",IFERROR(INDEX(원자재마스터!$G$3:$G$502,MATCH("R"&amp;79,거래처별목록!$L$6:$L$505,0)),""))</f>
        <v/>
      </c>
      <c r="F84" s="19" t="str">
        <f aca="false">IF($B84="","",IFERROR(INDEX(원자재마스터!$J$3:$J$502,MATCH("R"&amp;79,거래처별목록!$L$6:$L$505,0)),""))</f>
        <v/>
      </c>
      <c r="G84" s="20" t="str">
        <f aca="false">IF($B84="","",IFERROR(INDEX(원자재마스터!$K$3:$K$502,MATCH("R"&amp;79,거래처별목록!$L$6:$L$505,0)),""))</f>
        <v/>
      </c>
      <c r="J84" s="21" t="b">
        <f aca="false">IF(원자재마스터!$A81="",FALSE(),원자재마스터!$L81=$B$3)</f>
        <v>0</v>
      </c>
      <c r="K84" s="5" t="str">
        <f aca="false">IF($J84=FALSE(),"",COUNTIF($J$6:$J84,TRUE()))</f>
        <v/>
      </c>
      <c r="L84" s="5" t="str">
        <f aca="false">IF($K84="","","R"&amp;$K84)</f>
        <v/>
      </c>
    </row>
    <row r="85" customFormat="false" ht="15" hidden="false" customHeight="true" outlineLevel="0" collapsed="false">
      <c r="A85" s="19" t="str">
        <f aca="false">IF($B85="","",80)</f>
        <v/>
      </c>
      <c r="B85" s="11" t="str">
        <f aca="false">IFERROR(INDEX(원자재마스터!$A$3:$A$502,MATCH("R"&amp;80,거래처별목록!$L$6:$L$505,0)),"")</f>
        <v/>
      </c>
      <c r="C85" s="11" t="str">
        <f aca="false">IF($B85="","",IFERROR(INDEX(원자재마스터!$B$3:$B$502,MATCH("R"&amp;80,거래처별목록!$L$6:$L$505,0)),""))</f>
        <v/>
      </c>
      <c r="D85" s="19" t="str">
        <f aca="false">IF($B85="","",IFERROR(INDEX(원자재마스터!$C$3:$C$502,MATCH("R"&amp;80,거래처별목록!$L$6:$L$505,0)),""))</f>
        <v/>
      </c>
      <c r="E85" s="11" t="str">
        <f aca="false">IF($B85="","",IFERROR(INDEX(원자재마스터!$G$3:$G$502,MATCH("R"&amp;80,거래처별목록!$L$6:$L$505,0)),""))</f>
        <v/>
      </c>
      <c r="F85" s="19" t="str">
        <f aca="false">IF($B85="","",IFERROR(INDEX(원자재마스터!$J$3:$J$502,MATCH("R"&amp;80,거래처별목록!$L$6:$L$505,0)),""))</f>
        <v/>
      </c>
      <c r="G85" s="20" t="str">
        <f aca="false">IF($B85="","",IFERROR(INDEX(원자재마스터!$K$3:$K$502,MATCH("R"&amp;80,거래처별목록!$L$6:$L$505,0)),""))</f>
        <v/>
      </c>
      <c r="J85" s="21" t="b">
        <f aca="false">IF(원자재마스터!$A82="",FALSE(),원자재마스터!$L82=$B$3)</f>
        <v>0</v>
      </c>
      <c r="K85" s="5" t="str">
        <f aca="false">IF($J85=FALSE(),"",COUNTIF($J$6:$J85,TRUE()))</f>
        <v/>
      </c>
      <c r="L85" s="5" t="str">
        <f aca="false">IF($K85="","","R"&amp;$K85)</f>
        <v/>
      </c>
    </row>
    <row r="86" customFormat="false" ht="15" hidden="false" customHeight="true" outlineLevel="0" collapsed="false">
      <c r="J86" s="21" t="b">
        <f aca="false">IF(원자재마스터!$A83="",FALSE(),원자재마스터!$L83=$B$3)</f>
        <v>0</v>
      </c>
      <c r="K86" s="5" t="str">
        <f aca="false">IF($J86=FALSE(),"",COUNTIF($J$6:$J86,TRUE()))</f>
        <v/>
      </c>
      <c r="L86" s="5" t="str">
        <f aca="false">IF($K86="","","R"&amp;$K86)</f>
        <v/>
      </c>
    </row>
    <row r="87" customFormat="false" ht="15" hidden="false" customHeight="true" outlineLevel="0" collapsed="false">
      <c r="J87" s="21" t="b">
        <f aca="false">IF(원자재마스터!$A84="",FALSE(),원자재마스터!$L84=$B$3)</f>
        <v>0</v>
      </c>
      <c r="K87" s="5" t="str">
        <f aca="false">IF($J87=FALSE(),"",COUNTIF($J$6:$J87,TRUE()))</f>
        <v/>
      </c>
      <c r="L87" s="5" t="str">
        <f aca="false">IF($K87="","","R"&amp;$K87)</f>
        <v/>
      </c>
    </row>
    <row r="88" customFormat="false" ht="15" hidden="false" customHeight="true" outlineLevel="0" collapsed="false">
      <c r="J88" s="21" t="b">
        <f aca="false">IF(원자재마스터!$A85="",FALSE(),원자재마스터!$L85=$B$3)</f>
        <v>0</v>
      </c>
      <c r="K88" s="5" t="str">
        <f aca="false">IF($J88=FALSE(),"",COUNTIF($J$6:$J88,TRUE()))</f>
        <v/>
      </c>
      <c r="L88" s="5" t="str">
        <f aca="false">IF($K88="","","R"&amp;$K88)</f>
        <v/>
      </c>
    </row>
    <row r="89" customFormat="false" ht="15" hidden="false" customHeight="true" outlineLevel="0" collapsed="false">
      <c r="J89" s="21" t="b">
        <f aca="false">IF(원자재마스터!$A86="",FALSE(),원자재마스터!$L86=$B$3)</f>
        <v>0</v>
      </c>
      <c r="K89" s="5" t="str">
        <f aca="false">IF($J89=FALSE(),"",COUNTIF($J$6:$J89,TRUE()))</f>
        <v/>
      </c>
      <c r="L89" s="5" t="str">
        <f aca="false">IF($K89="","","R"&amp;$K89)</f>
        <v/>
      </c>
    </row>
    <row r="90" customFormat="false" ht="15" hidden="false" customHeight="true" outlineLevel="0" collapsed="false">
      <c r="J90" s="21" t="b">
        <f aca="false">IF(원자재마스터!$A87="",FALSE(),원자재마스터!$L87=$B$3)</f>
        <v>0</v>
      </c>
      <c r="K90" s="5" t="str">
        <f aca="false">IF($J90=FALSE(),"",COUNTIF($J$6:$J90,TRUE()))</f>
        <v/>
      </c>
      <c r="L90" s="5" t="str">
        <f aca="false">IF($K90="","","R"&amp;$K90)</f>
        <v/>
      </c>
    </row>
    <row r="91" customFormat="false" ht="15" hidden="false" customHeight="true" outlineLevel="0" collapsed="false">
      <c r="J91" s="21" t="b">
        <f aca="false">IF(원자재마스터!$A88="",FALSE(),원자재마스터!$L88=$B$3)</f>
        <v>0</v>
      </c>
      <c r="K91" s="5" t="str">
        <f aca="false">IF($J91=FALSE(),"",COUNTIF($J$6:$J91,TRUE()))</f>
        <v/>
      </c>
      <c r="L91" s="5" t="str">
        <f aca="false">IF($K91="","","R"&amp;$K91)</f>
        <v/>
      </c>
    </row>
    <row r="92" customFormat="false" ht="15" hidden="false" customHeight="true" outlineLevel="0" collapsed="false">
      <c r="J92" s="21" t="b">
        <f aca="false">IF(원자재마스터!$A89="",FALSE(),원자재마스터!$L89=$B$3)</f>
        <v>0</v>
      </c>
      <c r="K92" s="5" t="str">
        <f aca="false">IF($J92=FALSE(),"",COUNTIF($J$6:$J92,TRUE()))</f>
        <v/>
      </c>
      <c r="L92" s="5" t="str">
        <f aca="false">IF($K92="","","R"&amp;$K92)</f>
        <v/>
      </c>
    </row>
    <row r="93" customFormat="false" ht="15" hidden="false" customHeight="true" outlineLevel="0" collapsed="false">
      <c r="J93" s="21" t="b">
        <f aca="false">IF(원자재마스터!$A90="",FALSE(),원자재마스터!$L90=$B$3)</f>
        <v>0</v>
      </c>
      <c r="K93" s="5" t="str">
        <f aca="false">IF($J93=FALSE(),"",COUNTIF($J$6:$J93,TRUE()))</f>
        <v/>
      </c>
      <c r="L93" s="5" t="str">
        <f aca="false">IF($K93="","","R"&amp;$K93)</f>
        <v/>
      </c>
    </row>
    <row r="94" customFormat="false" ht="15" hidden="false" customHeight="true" outlineLevel="0" collapsed="false">
      <c r="J94" s="21" t="b">
        <f aca="false">IF(원자재마스터!$A91="",FALSE(),원자재마스터!$L91=$B$3)</f>
        <v>0</v>
      </c>
      <c r="K94" s="5" t="str">
        <f aca="false">IF($J94=FALSE(),"",COUNTIF($J$6:$J94,TRUE()))</f>
        <v/>
      </c>
      <c r="L94" s="5" t="str">
        <f aca="false">IF($K94="","","R"&amp;$K94)</f>
        <v/>
      </c>
    </row>
    <row r="95" customFormat="false" ht="15" hidden="false" customHeight="true" outlineLevel="0" collapsed="false">
      <c r="J95" s="21" t="b">
        <f aca="false">IF(원자재마스터!$A92="",FALSE(),원자재마스터!$L92=$B$3)</f>
        <v>0</v>
      </c>
      <c r="K95" s="5" t="str">
        <f aca="false">IF($J95=FALSE(),"",COUNTIF($J$6:$J95,TRUE()))</f>
        <v/>
      </c>
      <c r="L95" s="5" t="str">
        <f aca="false">IF($K95="","","R"&amp;$K95)</f>
        <v/>
      </c>
    </row>
    <row r="96" customFormat="false" ht="15" hidden="false" customHeight="true" outlineLevel="0" collapsed="false">
      <c r="J96" s="21" t="b">
        <f aca="false">IF(원자재마스터!$A93="",FALSE(),원자재마스터!$L93=$B$3)</f>
        <v>0</v>
      </c>
      <c r="K96" s="5" t="str">
        <f aca="false">IF($J96=FALSE(),"",COUNTIF($J$6:$J96,TRUE()))</f>
        <v/>
      </c>
      <c r="L96" s="5" t="str">
        <f aca="false">IF($K96="","","R"&amp;$K96)</f>
        <v/>
      </c>
    </row>
    <row r="97" customFormat="false" ht="15" hidden="false" customHeight="true" outlineLevel="0" collapsed="false">
      <c r="J97" s="21" t="b">
        <f aca="false">IF(원자재마스터!$A94="",FALSE(),원자재마스터!$L94=$B$3)</f>
        <v>0</v>
      </c>
      <c r="K97" s="5" t="str">
        <f aca="false">IF($J97=FALSE(),"",COUNTIF($J$6:$J97,TRUE()))</f>
        <v/>
      </c>
      <c r="L97" s="5" t="str">
        <f aca="false">IF($K97="","","R"&amp;$K97)</f>
        <v/>
      </c>
    </row>
    <row r="98" customFormat="false" ht="15" hidden="false" customHeight="true" outlineLevel="0" collapsed="false">
      <c r="J98" s="21" t="b">
        <f aca="false">IF(원자재마스터!$A95="",FALSE(),원자재마스터!$L95=$B$3)</f>
        <v>0</v>
      </c>
      <c r="K98" s="5" t="str">
        <f aca="false">IF($J98=FALSE(),"",COUNTIF($J$6:$J98,TRUE()))</f>
        <v/>
      </c>
      <c r="L98" s="5" t="str">
        <f aca="false">IF($K98="","","R"&amp;$K98)</f>
        <v/>
      </c>
    </row>
    <row r="99" customFormat="false" ht="15" hidden="false" customHeight="true" outlineLevel="0" collapsed="false">
      <c r="J99" s="21" t="b">
        <f aca="false">IF(원자재마스터!$A96="",FALSE(),원자재마스터!$L96=$B$3)</f>
        <v>0</v>
      </c>
      <c r="K99" s="5" t="str">
        <f aca="false">IF($J99=FALSE(),"",COUNTIF($J$6:$J99,TRUE()))</f>
        <v/>
      </c>
      <c r="L99" s="5" t="str">
        <f aca="false">IF($K99="","","R"&amp;$K99)</f>
        <v/>
      </c>
    </row>
    <row r="100" customFormat="false" ht="15" hidden="false" customHeight="true" outlineLevel="0" collapsed="false">
      <c r="J100" s="21" t="b">
        <f aca="false">IF(원자재마스터!$A97="",FALSE(),원자재마스터!$L97=$B$3)</f>
        <v>0</v>
      </c>
      <c r="K100" s="5" t="str">
        <f aca="false">IF($J100=FALSE(),"",COUNTIF($J$6:$J100,TRUE()))</f>
        <v/>
      </c>
      <c r="L100" s="5" t="str">
        <f aca="false">IF($K100="","","R"&amp;$K100)</f>
        <v/>
      </c>
    </row>
    <row r="101" customFormat="false" ht="15" hidden="false" customHeight="true" outlineLevel="0" collapsed="false">
      <c r="J101" s="21" t="b">
        <f aca="false">IF(원자재마스터!$A98="",FALSE(),원자재마스터!$L98=$B$3)</f>
        <v>0</v>
      </c>
      <c r="K101" s="5" t="str">
        <f aca="false">IF($J101=FALSE(),"",COUNTIF($J$6:$J101,TRUE()))</f>
        <v/>
      </c>
      <c r="L101" s="5" t="str">
        <f aca="false">IF($K101="","","R"&amp;$K101)</f>
        <v/>
      </c>
    </row>
    <row r="102" customFormat="false" ht="15" hidden="false" customHeight="true" outlineLevel="0" collapsed="false">
      <c r="J102" s="21" t="b">
        <f aca="false">IF(원자재마스터!$A99="",FALSE(),원자재마스터!$L99=$B$3)</f>
        <v>0</v>
      </c>
      <c r="K102" s="5" t="str">
        <f aca="false">IF($J102=FALSE(),"",COUNTIF($J$6:$J102,TRUE()))</f>
        <v/>
      </c>
      <c r="L102" s="5" t="str">
        <f aca="false">IF($K102="","","R"&amp;$K102)</f>
        <v/>
      </c>
    </row>
    <row r="103" customFormat="false" ht="15" hidden="false" customHeight="true" outlineLevel="0" collapsed="false">
      <c r="J103" s="21" t="b">
        <f aca="false">IF(원자재마스터!$A100="",FALSE(),원자재마스터!$L100=$B$3)</f>
        <v>0</v>
      </c>
      <c r="K103" s="5" t="str">
        <f aca="false">IF($J103=FALSE(),"",COUNTIF($J$6:$J103,TRUE()))</f>
        <v/>
      </c>
      <c r="L103" s="5" t="str">
        <f aca="false">IF($K103="","","R"&amp;$K103)</f>
        <v/>
      </c>
    </row>
    <row r="104" customFormat="false" ht="15" hidden="false" customHeight="true" outlineLevel="0" collapsed="false">
      <c r="J104" s="21" t="b">
        <f aca="false">IF(원자재마스터!$A101="",FALSE(),원자재마스터!$L101=$B$3)</f>
        <v>0</v>
      </c>
      <c r="K104" s="5" t="str">
        <f aca="false">IF($J104=FALSE(),"",COUNTIF($J$6:$J104,TRUE()))</f>
        <v/>
      </c>
      <c r="L104" s="5" t="str">
        <f aca="false">IF($K104="","","R"&amp;$K104)</f>
        <v/>
      </c>
    </row>
    <row r="105" customFormat="false" ht="15" hidden="false" customHeight="true" outlineLevel="0" collapsed="false">
      <c r="J105" s="21" t="b">
        <f aca="false">IF(원자재마스터!$A102="",FALSE(),원자재마스터!$L102=$B$3)</f>
        <v>0</v>
      </c>
      <c r="K105" s="5" t="str">
        <f aca="false">IF($J105=FALSE(),"",COUNTIF($J$6:$J105,TRUE()))</f>
        <v/>
      </c>
      <c r="L105" s="5" t="str">
        <f aca="false">IF($K105="","","R"&amp;$K105)</f>
        <v/>
      </c>
    </row>
    <row r="106" customFormat="false" ht="15" hidden="false" customHeight="true" outlineLevel="0" collapsed="false">
      <c r="J106" s="21" t="b">
        <f aca="false">IF(원자재마스터!$A103="",FALSE(),원자재마스터!$L103=$B$3)</f>
        <v>0</v>
      </c>
      <c r="K106" s="5" t="str">
        <f aca="false">IF($J106=FALSE(),"",COUNTIF($J$6:$J106,TRUE()))</f>
        <v/>
      </c>
      <c r="L106" s="5" t="str">
        <f aca="false">IF($K106="","","R"&amp;$K106)</f>
        <v/>
      </c>
    </row>
    <row r="107" customFormat="false" ht="15" hidden="false" customHeight="true" outlineLevel="0" collapsed="false">
      <c r="J107" s="21" t="b">
        <f aca="false">IF(원자재마스터!$A104="",FALSE(),원자재마스터!$L104=$B$3)</f>
        <v>0</v>
      </c>
      <c r="K107" s="5" t="str">
        <f aca="false">IF($J107=FALSE(),"",COUNTIF($J$6:$J107,TRUE()))</f>
        <v/>
      </c>
      <c r="L107" s="5" t="str">
        <f aca="false">IF($K107="","","R"&amp;$K107)</f>
        <v/>
      </c>
    </row>
    <row r="108" customFormat="false" ht="15" hidden="false" customHeight="true" outlineLevel="0" collapsed="false">
      <c r="J108" s="21" t="b">
        <f aca="false">IF(원자재마스터!$A105="",FALSE(),원자재마스터!$L105=$B$3)</f>
        <v>0</v>
      </c>
      <c r="K108" s="5" t="str">
        <f aca="false">IF($J108=FALSE(),"",COUNTIF($J$6:$J108,TRUE()))</f>
        <v/>
      </c>
      <c r="L108" s="5" t="str">
        <f aca="false">IF($K108="","","R"&amp;$K108)</f>
        <v/>
      </c>
    </row>
    <row r="109" customFormat="false" ht="15" hidden="false" customHeight="true" outlineLevel="0" collapsed="false">
      <c r="J109" s="21" t="b">
        <f aca="false">IF(원자재마스터!$A106="",FALSE(),원자재마스터!$L106=$B$3)</f>
        <v>0</v>
      </c>
      <c r="K109" s="5" t="str">
        <f aca="false">IF($J109=FALSE(),"",COUNTIF($J$6:$J109,TRUE()))</f>
        <v/>
      </c>
      <c r="L109" s="5" t="str">
        <f aca="false">IF($K109="","","R"&amp;$K109)</f>
        <v/>
      </c>
    </row>
    <row r="110" customFormat="false" ht="15" hidden="false" customHeight="true" outlineLevel="0" collapsed="false">
      <c r="J110" s="21" t="b">
        <f aca="false">IF(원자재마스터!$A107="",FALSE(),원자재마스터!$L107=$B$3)</f>
        <v>0</v>
      </c>
      <c r="K110" s="5" t="str">
        <f aca="false">IF($J110=FALSE(),"",COUNTIF($J$6:$J110,TRUE()))</f>
        <v/>
      </c>
      <c r="L110" s="5" t="str">
        <f aca="false">IF($K110="","","R"&amp;$K110)</f>
        <v/>
      </c>
    </row>
    <row r="111" customFormat="false" ht="15" hidden="false" customHeight="true" outlineLevel="0" collapsed="false">
      <c r="J111" s="21" t="b">
        <f aca="false">IF(원자재마스터!$A108="",FALSE(),원자재마스터!$L108=$B$3)</f>
        <v>0</v>
      </c>
      <c r="K111" s="5" t="str">
        <f aca="false">IF($J111=FALSE(),"",COUNTIF($J$6:$J111,TRUE()))</f>
        <v/>
      </c>
      <c r="L111" s="5" t="str">
        <f aca="false">IF($K111="","","R"&amp;$K111)</f>
        <v/>
      </c>
    </row>
    <row r="112" customFormat="false" ht="15" hidden="false" customHeight="true" outlineLevel="0" collapsed="false">
      <c r="J112" s="21" t="b">
        <f aca="false">IF(원자재마스터!$A109="",FALSE(),원자재마스터!$L109=$B$3)</f>
        <v>0</v>
      </c>
      <c r="K112" s="5" t="str">
        <f aca="false">IF($J112=FALSE(),"",COUNTIF($J$6:$J112,TRUE()))</f>
        <v/>
      </c>
      <c r="L112" s="5" t="str">
        <f aca="false">IF($K112="","","R"&amp;$K112)</f>
        <v/>
      </c>
    </row>
    <row r="113" customFormat="false" ht="15" hidden="false" customHeight="true" outlineLevel="0" collapsed="false">
      <c r="J113" s="21" t="b">
        <f aca="false">IF(원자재마스터!$A110="",FALSE(),원자재마스터!$L110=$B$3)</f>
        <v>0</v>
      </c>
      <c r="K113" s="5" t="str">
        <f aca="false">IF($J113=FALSE(),"",COUNTIF($J$6:$J113,TRUE()))</f>
        <v/>
      </c>
      <c r="L113" s="5" t="str">
        <f aca="false">IF($K113="","","R"&amp;$K113)</f>
        <v/>
      </c>
    </row>
    <row r="114" customFormat="false" ht="15" hidden="false" customHeight="true" outlineLevel="0" collapsed="false">
      <c r="J114" s="21" t="b">
        <f aca="false">IF(원자재마스터!$A111="",FALSE(),원자재마스터!$L111=$B$3)</f>
        <v>0</v>
      </c>
      <c r="K114" s="5" t="str">
        <f aca="false">IF($J114=FALSE(),"",COUNTIF($J$6:$J114,TRUE()))</f>
        <v/>
      </c>
      <c r="L114" s="5" t="str">
        <f aca="false">IF($K114="","","R"&amp;$K114)</f>
        <v/>
      </c>
    </row>
    <row r="115" customFormat="false" ht="15" hidden="false" customHeight="true" outlineLevel="0" collapsed="false">
      <c r="J115" s="21" t="b">
        <f aca="false">IF(원자재마스터!$A112="",FALSE(),원자재마스터!$L112=$B$3)</f>
        <v>0</v>
      </c>
      <c r="K115" s="5" t="str">
        <f aca="false">IF($J115=FALSE(),"",COUNTIF($J$6:$J115,TRUE()))</f>
        <v/>
      </c>
      <c r="L115" s="5" t="str">
        <f aca="false">IF($K115="","","R"&amp;$K115)</f>
        <v/>
      </c>
    </row>
    <row r="116" customFormat="false" ht="15" hidden="false" customHeight="true" outlineLevel="0" collapsed="false">
      <c r="J116" s="21" t="b">
        <f aca="false">IF(원자재마스터!$A113="",FALSE(),원자재마스터!$L113=$B$3)</f>
        <v>0</v>
      </c>
      <c r="K116" s="5" t="str">
        <f aca="false">IF($J116=FALSE(),"",COUNTIF($J$6:$J116,TRUE()))</f>
        <v/>
      </c>
      <c r="L116" s="5" t="str">
        <f aca="false">IF($K116="","","R"&amp;$K116)</f>
        <v/>
      </c>
    </row>
    <row r="117" customFormat="false" ht="15" hidden="false" customHeight="true" outlineLevel="0" collapsed="false">
      <c r="J117" s="21" t="b">
        <f aca="false">IF(원자재마스터!$A114="",FALSE(),원자재마스터!$L114=$B$3)</f>
        <v>0</v>
      </c>
      <c r="K117" s="5" t="str">
        <f aca="false">IF($J117=FALSE(),"",COUNTIF($J$6:$J117,TRUE()))</f>
        <v/>
      </c>
      <c r="L117" s="5" t="str">
        <f aca="false">IF($K117="","","R"&amp;$K117)</f>
        <v/>
      </c>
    </row>
    <row r="118" customFormat="false" ht="15" hidden="false" customHeight="true" outlineLevel="0" collapsed="false">
      <c r="J118" s="21" t="b">
        <f aca="false">IF(원자재마스터!$A115="",FALSE(),원자재마스터!$L115=$B$3)</f>
        <v>0</v>
      </c>
      <c r="K118" s="5" t="str">
        <f aca="false">IF($J118=FALSE(),"",COUNTIF($J$6:$J118,TRUE()))</f>
        <v/>
      </c>
      <c r="L118" s="5" t="str">
        <f aca="false">IF($K118="","","R"&amp;$K118)</f>
        <v/>
      </c>
    </row>
    <row r="119" customFormat="false" ht="15" hidden="false" customHeight="true" outlineLevel="0" collapsed="false">
      <c r="J119" s="21" t="b">
        <f aca="false">IF(원자재마스터!$A116="",FALSE(),원자재마스터!$L116=$B$3)</f>
        <v>0</v>
      </c>
      <c r="K119" s="5" t="str">
        <f aca="false">IF($J119=FALSE(),"",COUNTIF($J$6:$J119,TRUE()))</f>
        <v/>
      </c>
      <c r="L119" s="5" t="str">
        <f aca="false">IF($K119="","","R"&amp;$K119)</f>
        <v/>
      </c>
    </row>
    <row r="120" customFormat="false" ht="15" hidden="false" customHeight="true" outlineLevel="0" collapsed="false">
      <c r="J120" s="21" t="b">
        <f aca="false">IF(원자재마스터!$A117="",FALSE(),원자재마스터!$L117=$B$3)</f>
        <v>0</v>
      </c>
      <c r="K120" s="5" t="str">
        <f aca="false">IF($J120=FALSE(),"",COUNTIF($J$6:$J120,TRUE()))</f>
        <v/>
      </c>
      <c r="L120" s="5" t="str">
        <f aca="false">IF($K120="","","R"&amp;$K120)</f>
        <v/>
      </c>
    </row>
    <row r="121" customFormat="false" ht="15" hidden="false" customHeight="true" outlineLevel="0" collapsed="false">
      <c r="J121" s="21" t="b">
        <f aca="false">IF(원자재마스터!$A118="",FALSE(),원자재마스터!$L118=$B$3)</f>
        <v>0</v>
      </c>
      <c r="K121" s="5" t="str">
        <f aca="false">IF($J121=FALSE(),"",COUNTIF($J$6:$J121,TRUE()))</f>
        <v/>
      </c>
      <c r="L121" s="5" t="str">
        <f aca="false">IF($K121="","","R"&amp;$K121)</f>
        <v/>
      </c>
    </row>
    <row r="122" customFormat="false" ht="15" hidden="false" customHeight="true" outlineLevel="0" collapsed="false">
      <c r="J122" s="21" t="b">
        <f aca="false">IF(원자재마스터!$A119="",FALSE(),원자재마스터!$L119=$B$3)</f>
        <v>0</v>
      </c>
      <c r="K122" s="5" t="str">
        <f aca="false">IF($J122=FALSE(),"",COUNTIF($J$6:$J122,TRUE()))</f>
        <v/>
      </c>
      <c r="L122" s="5" t="str">
        <f aca="false">IF($K122="","","R"&amp;$K122)</f>
        <v/>
      </c>
    </row>
    <row r="123" customFormat="false" ht="15" hidden="false" customHeight="true" outlineLevel="0" collapsed="false">
      <c r="J123" s="21" t="b">
        <f aca="false">IF(원자재마스터!$A120="",FALSE(),원자재마스터!$L120=$B$3)</f>
        <v>0</v>
      </c>
      <c r="K123" s="5" t="str">
        <f aca="false">IF($J123=FALSE(),"",COUNTIF($J$6:$J123,TRUE()))</f>
        <v/>
      </c>
      <c r="L123" s="5" t="str">
        <f aca="false">IF($K123="","","R"&amp;$K123)</f>
        <v/>
      </c>
    </row>
    <row r="124" customFormat="false" ht="15" hidden="false" customHeight="true" outlineLevel="0" collapsed="false">
      <c r="J124" s="21" t="b">
        <f aca="false">IF(원자재마스터!$A121="",FALSE(),원자재마스터!$L121=$B$3)</f>
        <v>0</v>
      </c>
      <c r="K124" s="5" t="str">
        <f aca="false">IF($J124=FALSE(),"",COUNTIF($J$6:$J124,TRUE()))</f>
        <v/>
      </c>
      <c r="L124" s="5" t="str">
        <f aca="false">IF($K124="","","R"&amp;$K124)</f>
        <v/>
      </c>
    </row>
    <row r="125" customFormat="false" ht="15" hidden="false" customHeight="true" outlineLevel="0" collapsed="false">
      <c r="J125" s="21" t="b">
        <f aca="false">IF(원자재마스터!$A122="",FALSE(),원자재마스터!$L122=$B$3)</f>
        <v>0</v>
      </c>
      <c r="K125" s="5" t="str">
        <f aca="false">IF($J125=FALSE(),"",COUNTIF($J$6:$J125,TRUE()))</f>
        <v/>
      </c>
      <c r="L125" s="5" t="str">
        <f aca="false">IF($K125="","","R"&amp;$K125)</f>
        <v/>
      </c>
    </row>
    <row r="126" customFormat="false" ht="15" hidden="false" customHeight="true" outlineLevel="0" collapsed="false">
      <c r="J126" s="21" t="b">
        <f aca="false">IF(원자재마스터!$A123="",FALSE(),원자재마스터!$L123=$B$3)</f>
        <v>0</v>
      </c>
      <c r="K126" s="5" t="str">
        <f aca="false">IF($J126=FALSE(),"",COUNTIF($J$6:$J126,TRUE()))</f>
        <v/>
      </c>
      <c r="L126" s="5" t="str">
        <f aca="false">IF($K126="","","R"&amp;$K126)</f>
        <v/>
      </c>
    </row>
    <row r="127" customFormat="false" ht="15" hidden="false" customHeight="true" outlineLevel="0" collapsed="false">
      <c r="J127" s="21" t="b">
        <f aca="false">IF(원자재마스터!$A124="",FALSE(),원자재마스터!$L124=$B$3)</f>
        <v>0</v>
      </c>
      <c r="K127" s="5" t="str">
        <f aca="false">IF($J127=FALSE(),"",COUNTIF($J$6:$J127,TRUE()))</f>
        <v/>
      </c>
      <c r="L127" s="5" t="str">
        <f aca="false">IF($K127="","","R"&amp;$K127)</f>
        <v/>
      </c>
    </row>
    <row r="128" customFormat="false" ht="15" hidden="false" customHeight="true" outlineLevel="0" collapsed="false">
      <c r="J128" s="21" t="b">
        <f aca="false">IF(원자재마스터!$A125="",FALSE(),원자재마스터!$L125=$B$3)</f>
        <v>0</v>
      </c>
      <c r="K128" s="5" t="str">
        <f aca="false">IF($J128=FALSE(),"",COUNTIF($J$6:$J128,TRUE()))</f>
        <v/>
      </c>
      <c r="L128" s="5" t="str">
        <f aca="false">IF($K128="","","R"&amp;$K128)</f>
        <v/>
      </c>
    </row>
    <row r="129" customFormat="false" ht="15" hidden="false" customHeight="true" outlineLevel="0" collapsed="false">
      <c r="J129" s="21" t="b">
        <f aca="false">IF(원자재마스터!$A126="",FALSE(),원자재마스터!$L126=$B$3)</f>
        <v>0</v>
      </c>
      <c r="K129" s="5" t="str">
        <f aca="false">IF($J129=FALSE(),"",COUNTIF($J$6:$J129,TRUE()))</f>
        <v/>
      </c>
      <c r="L129" s="5" t="str">
        <f aca="false">IF($K129="","","R"&amp;$K129)</f>
        <v/>
      </c>
    </row>
    <row r="130" customFormat="false" ht="15" hidden="false" customHeight="true" outlineLevel="0" collapsed="false">
      <c r="J130" s="21" t="b">
        <f aca="false">IF(원자재마스터!$A127="",FALSE(),원자재마스터!$L127=$B$3)</f>
        <v>0</v>
      </c>
      <c r="K130" s="5" t="str">
        <f aca="false">IF($J130=FALSE(),"",COUNTIF($J$6:$J130,TRUE()))</f>
        <v/>
      </c>
      <c r="L130" s="5" t="str">
        <f aca="false">IF($K130="","","R"&amp;$K130)</f>
        <v/>
      </c>
    </row>
    <row r="131" customFormat="false" ht="15" hidden="false" customHeight="true" outlineLevel="0" collapsed="false">
      <c r="J131" s="21" t="b">
        <f aca="false">IF(원자재마스터!$A128="",FALSE(),원자재마스터!$L128=$B$3)</f>
        <v>0</v>
      </c>
      <c r="K131" s="5" t="str">
        <f aca="false">IF($J131=FALSE(),"",COUNTIF($J$6:$J131,TRUE()))</f>
        <v/>
      </c>
      <c r="L131" s="5" t="str">
        <f aca="false">IF($K131="","","R"&amp;$K131)</f>
        <v/>
      </c>
    </row>
    <row r="132" customFormat="false" ht="15" hidden="false" customHeight="true" outlineLevel="0" collapsed="false">
      <c r="J132" s="21" t="b">
        <f aca="false">IF(원자재마스터!$A129="",FALSE(),원자재마스터!$L129=$B$3)</f>
        <v>0</v>
      </c>
      <c r="K132" s="5" t="str">
        <f aca="false">IF($J132=FALSE(),"",COUNTIF($J$6:$J132,TRUE()))</f>
        <v/>
      </c>
      <c r="L132" s="5" t="str">
        <f aca="false">IF($K132="","","R"&amp;$K132)</f>
        <v/>
      </c>
    </row>
    <row r="133" customFormat="false" ht="15" hidden="false" customHeight="true" outlineLevel="0" collapsed="false">
      <c r="J133" s="21" t="b">
        <f aca="false">IF(원자재마스터!$A130="",FALSE(),원자재마스터!$L130=$B$3)</f>
        <v>0</v>
      </c>
      <c r="K133" s="5" t="str">
        <f aca="false">IF($J133=FALSE(),"",COUNTIF($J$6:$J133,TRUE()))</f>
        <v/>
      </c>
      <c r="L133" s="5" t="str">
        <f aca="false">IF($K133="","","R"&amp;$K133)</f>
        <v/>
      </c>
    </row>
    <row r="134" customFormat="false" ht="15" hidden="false" customHeight="true" outlineLevel="0" collapsed="false">
      <c r="J134" s="21" t="b">
        <f aca="false">IF(원자재마스터!$A131="",FALSE(),원자재마스터!$L131=$B$3)</f>
        <v>0</v>
      </c>
      <c r="K134" s="5" t="str">
        <f aca="false">IF($J134=FALSE(),"",COUNTIF($J$6:$J134,TRUE()))</f>
        <v/>
      </c>
      <c r="L134" s="5" t="str">
        <f aca="false">IF($K134="","","R"&amp;$K134)</f>
        <v/>
      </c>
    </row>
    <row r="135" customFormat="false" ht="15" hidden="false" customHeight="true" outlineLevel="0" collapsed="false">
      <c r="J135" s="21" t="b">
        <f aca="false">IF(원자재마스터!$A132="",FALSE(),원자재마스터!$L132=$B$3)</f>
        <v>0</v>
      </c>
      <c r="K135" s="5" t="str">
        <f aca="false">IF($J135=FALSE(),"",COUNTIF($J$6:$J135,TRUE()))</f>
        <v/>
      </c>
      <c r="L135" s="5" t="str">
        <f aca="false">IF($K135="","","R"&amp;$K135)</f>
        <v/>
      </c>
    </row>
    <row r="136" customFormat="false" ht="15" hidden="false" customHeight="true" outlineLevel="0" collapsed="false">
      <c r="J136" s="21" t="b">
        <f aca="false">IF(원자재마스터!$A133="",FALSE(),원자재마스터!$L133=$B$3)</f>
        <v>0</v>
      </c>
      <c r="K136" s="5" t="str">
        <f aca="false">IF($J136=FALSE(),"",COUNTIF($J$6:$J136,TRUE()))</f>
        <v/>
      </c>
      <c r="L136" s="5" t="str">
        <f aca="false">IF($K136="","","R"&amp;$K136)</f>
        <v/>
      </c>
    </row>
    <row r="137" customFormat="false" ht="15" hidden="false" customHeight="true" outlineLevel="0" collapsed="false">
      <c r="J137" s="21" t="b">
        <f aca="false">IF(원자재마스터!$A134="",FALSE(),원자재마스터!$L134=$B$3)</f>
        <v>0</v>
      </c>
      <c r="K137" s="5" t="str">
        <f aca="false">IF($J137=FALSE(),"",COUNTIF($J$6:$J137,TRUE()))</f>
        <v/>
      </c>
      <c r="L137" s="5" t="str">
        <f aca="false">IF($K137="","","R"&amp;$K137)</f>
        <v/>
      </c>
    </row>
    <row r="138" customFormat="false" ht="15" hidden="false" customHeight="true" outlineLevel="0" collapsed="false">
      <c r="J138" s="21" t="b">
        <f aca="false">IF(원자재마스터!$A135="",FALSE(),원자재마스터!$L135=$B$3)</f>
        <v>0</v>
      </c>
      <c r="K138" s="5" t="str">
        <f aca="false">IF($J138=FALSE(),"",COUNTIF($J$6:$J138,TRUE()))</f>
        <v/>
      </c>
      <c r="L138" s="5" t="str">
        <f aca="false">IF($K138="","","R"&amp;$K138)</f>
        <v/>
      </c>
    </row>
    <row r="139" customFormat="false" ht="15" hidden="false" customHeight="true" outlineLevel="0" collapsed="false">
      <c r="J139" s="21" t="b">
        <f aca="false">IF(원자재마스터!$A136="",FALSE(),원자재마스터!$L136=$B$3)</f>
        <v>0</v>
      </c>
      <c r="K139" s="5" t="str">
        <f aca="false">IF($J139=FALSE(),"",COUNTIF($J$6:$J139,TRUE()))</f>
        <v/>
      </c>
      <c r="L139" s="5" t="str">
        <f aca="false">IF($K139="","","R"&amp;$K139)</f>
        <v/>
      </c>
    </row>
    <row r="140" customFormat="false" ht="15" hidden="false" customHeight="true" outlineLevel="0" collapsed="false">
      <c r="J140" s="21" t="b">
        <f aca="false">IF(원자재마스터!$A137="",FALSE(),원자재마스터!$L137=$B$3)</f>
        <v>0</v>
      </c>
      <c r="K140" s="5" t="str">
        <f aca="false">IF($J140=FALSE(),"",COUNTIF($J$6:$J140,TRUE()))</f>
        <v/>
      </c>
      <c r="L140" s="5" t="str">
        <f aca="false">IF($K140="","","R"&amp;$K140)</f>
        <v/>
      </c>
    </row>
    <row r="141" customFormat="false" ht="15" hidden="false" customHeight="true" outlineLevel="0" collapsed="false">
      <c r="J141" s="21" t="b">
        <f aca="false">IF(원자재마스터!$A138="",FALSE(),원자재마스터!$L138=$B$3)</f>
        <v>0</v>
      </c>
      <c r="K141" s="5" t="str">
        <f aca="false">IF($J141=FALSE(),"",COUNTIF($J$6:$J141,TRUE()))</f>
        <v/>
      </c>
      <c r="L141" s="5" t="str">
        <f aca="false">IF($K141="","","R"&amp;$K141)</f>
        <v/>
      </c>
    </row>
    <row r="142" customFormat="false" ht="15" hidden="false" customHeight="true" outlineLevel="0" collapsed="false">
      <c r="J142" s="21" t="b">
        <f aca="false">IF(원자재마스터!$A139="",FALSE(),원자재마스터!$L139=$B$3)</f>
        <v>0</v>
      </c>
      <c r="K142" s="5" t="str">
        <f aca="false">IF($J142=FALSE(),"",COUNTIF($J$6:$J142,TRUE()))</f>
        <v/>
      </c>
      <c r="L142" s="5" t="str">
        <f aca="false">IF($K142="","","R"&amp;$K142)</f>
        <v/>
      </c>
    </row>
    <row r="143" customFormat="false" ht="15" hidden="false" customHeight="true" outlineLevel="0" collapsed="false">
      <c r="J143" s="21" t="b">
        <f aca="false">IF(원자재마스터!$A140="",FALSE(),원자재마스터!$L140=$B$3)</f>
        <v>0</v>
      </c>
      <c r="K143" s="5" t="str">
        <f aca="false">IF($J143=FALSE(),"",COUNTIF($J$6:$J143,TRUE()))</f>
        <v/>
      </c>
      <c r="L143" s="5" t="str">
        <f aca="false">IF($K143="","","R"&amp;$K143)</f>
        <v/>
      </c>
    </row>
    <row r="144" customFormat="false" ht="15" hidden="false" customHeight="true" outlineLevel="0" collapsed="false">
      <c r="J144" s="21" t="b">
        <f aca="false">IF(원자재마스터!$A141="",FALSE(),원자재마스터!$L141=$B$3)</f>
        <v>0</v>
      </c>
      <c r="K144" s="5" t="str">
        <f aca="false">IF($J144=FALSE(),"",COUNTIF($J$6:$J144,TRUE()))</f>
        <v/>
      </c>
      <c r="L144" s="5" t="str">
        <f aca="false">IF($K144="","","R"&amp;$K144)</f>
        <v/>
      </c>
    </row>
    <row r="145" customFormat="false" ht="15" hidden="false" customHeight="true" outlineLevel="0" collapsed="false">
      <c r="J145" s="21" t="b">
        <f aca="false">IF(원자재마스터!$A142="",FALSE(),원자재마스터!$L142=$B$3)</f>
        <v>0</v>
      </c>
      <c r="K145" s="5" t="str">
        <f aca="false">IF($J145=FALSE(),"",COUNTIF($J$6:$J145,TRUE()))</f>
        <v/>
      </c>
      <c r="L145" s="5" t="str">
        <f aca="false">IF($K145="","","R"&amp;$K145)</f>
        <v/>
      </c>
    </row>
    <row r="146" customFormat="false" ht="15" hidden="false" customHeight="true" outlineLevel="0" collapsed="false">
      <c r="J146" s="21" t="b">
        <f aca="false">IF(원자재마스터!$A143="",FALSE(),원자재마스터!$L143=$B$3)</f>
        <v>0</v>
      </c>
      <c r="K146" s="5" t="str">
        <f aca="false">IF($J146=FALSE(),"",COUNTIF($J$6:$J146,TRUE()))</f>
        <v/>
      </c>
      <c r="L146" s="5" t="str">
        <f aca="false">IF($K146="","","R"&amp;$K146)</f>
        <v/>
      </c>
    </row>
    <row r="147" customFormat="false" ht="15" hidden="false" customHeight="true" outlineLevel="0" collapsed="false">
      <c r="J147" s="21" t="b">
        <f aca="false">IF(원자재마스터!$A144="",FALSE(),원자재마스터!$L144=$B$3)</f>
        <v>0</v>
      </c>
      <c r="K147" s="5" t="str">
        <f aca="false">IF($J147=FALSE(),"",COUNTIF($J$6:$J147,TRUE()))</f>
        <v/>
      </c>
      <c r="L147" s="5" t="str">
        <f aca="false">IF($K147="","","R"&amp;$K147)</f>
        <v/>
      </c>
    </row>
    <row r="148" customFormat="false" ht="15" hidden="false" customHeight="true" outlineLevel="0" collapsed="false">
      <c r="J148" s="21" t="b">
        <f aca="false">IF(원자재마스터!$A145="",FALSE(),원자재마스터!$L145=$B$3)</f>
        <v>0</v>
      </c>
      <c r="K148" s="5" t="str">
        <f aca="false">IF($J148=FALSE(),"",COUNTIF($J$6:$J148,TRUE()))</f>
        <v/>
      </c>
      <c r="L148" s="5" t="str">
        <f aca="false">IF($K148="","","R"&amp;$K148)</f>
        <v/>
      </c>
    </row>
    <row r="149" customFormat="false" ht="15" hidden="false" customHeight="true" outlineLevel="0" collapsed="false">
      <c r="J149" s="21" t="b">
        <f aca="false">IF(원자재마스터!$A146="",FALSE(),원자재마스터!$L146=$B$3)</f>
        <v>0</v>
      </c>
      <c r="K149" s="5" t="str">
        <f aca="false">IF($J149=FALSE(),"",COUNTIF($J$6:$J149,TRUE()))</f>
        <v/>
      </c>
      <c r="L149" s="5" t="str">
        <f aca="false">IF($K149="","","R"&amp;$K149)</f>
        <v/>
      </c>
    </row>
    <row r="150" customFormat="false" ht="15" hidden="false" customHeight="true" outlineLevel="0" collapsed="false">
      <c r="J150" s="21" t="b">
        <f aca="false">IF(원자재마스터!$A147="",FALSE(),원자재마스터!$L147=$B$3)</f>
        <v>0</v>
      </c>
      <c r="K150" s="5" t="str">
        <f aca="false">IF($J150=FALSE(),"",COUNTIF($J$6:$J150,TRUE()))</f>
        <v/>
      </c>
      <c r="L150" s="5" t="str">
        <f aca="false">IF($K150="","","R"&amp;$K150)</f>
        <v/>
      </c>
    </row>
    <row r="151" customFormat="false" ht="15" hidden="false" customHeight="true" outlineLevel="0" collapsed="false">
      <c r="J151" s="21" t="b">
        <f aca="false">IF(원자재마스터!$A148="",FALSE(),원자재마스터!$L148=$B$3)</f>
        <v>0</v>
      </c>
      <c r="K151" s="5" t="str">
        <f aca="false">IF($J151=FALSE(),"",COUNTIF($J$6:$J151,TRUE()))</f>
        <v/>
      </c>
      <c r="L151" s="5" t="str">
        <f aca="false">IF($K151="","","R"&amp;$K151)</f>
        <v/>
      </c>
    </row>
    <row r="152" customFormat="false" ht="15" hidden="false" customHeight="true" outlineLevel="0" collapsed="false">
      <c r="J152" s="21" t="b">
        <f aca="false">IF(원자재마스터!$A149="",FALSE(),원자재마스터!$L149=$B$3)</f>
        <v>0</v>
      </c>
      <c r="K152" s="5" t="str">
        <f aca="false">IF($J152=FALSE(),"",COUNTIF($J$6:$J152,TRUE()))</f>
        <v/>
      </c>
      <c r="L152" s="5" t="str">
        <f aca="false">IF($K152="","","R"&amp;$K152)</f>
        <v/>
      </c>
    </row>
    <row r="153" customFormat="false" ht="15" hidden="false" customHeight="true" outlineLevel="0" collapsed="false">
      <c r="J153" s="21" t="b">
        <f aca="false">IF(원자재마스터!$A150="",FALSE(),원자재마스터!$L150=$B$3)</f>
        <v>0</v>
      </c>
      <c r="K153" s="5" t="str">
        <f aca="false">IF($J153=FALSE(),"",COUNTIF($J$6:$J153,TRUE()))</f>
        <v/>
      </c>
      <c r="L153" s="5" t="str">
        <f aca="false">IF($K153="","","R"&amp;$K153)</f>
        <v/>
      </c>
    </row>
    <row r="154" customFormat="false" ht="15" hidden="false" customHeight="true" outlineLevel="0" collapsed="false">
      <c r="J154" s="21" t="b">
        <f aca="false">IF(원자재마스터!$A151="",FALSE(),원자재마스터!$L151=$B$3)</f>
        <v>0</v>
      </c>
      <c r="K154" s="5" t="str">
        <f aca="false">IF($J154=FALSE(),"",COUNTIF($J$6:$J154,TRUE()))</f>
        <v/>
      </c>
      <c r="L154" s="5" t="str">
        <f aca="false">IF($K154="","","R"&amp;$K154)</f>
        <v/>
      </c>
    </row>
    <row r="155" customFormat="false" ht="15" hidden="false" customHeight="true" outlineLevel="0" collapsed="false">
      <c r="J155" s="21" t="b">
        <f aca="false">IF(원자재마스터!$A152="",FALSE(),원자재마스터!$L152=$B$3)</f>
        <v>0</v>
      </c>
      <c r="K155" s="5" t="str">
        <f aca="false">IF($J155=FALSE(),"",COUNTIF($J$6:$J155,TRUE()))</f>
        <v/>
      </c>
      <c r="L155" s="5" t="str">
        <f aca="false">IF($K155="","","R"&amp;$K155)</f>
        <v/>
      </c>
    </row>
    <row r="156" customFormat="false" ht="15" hidden="false" customHeight="true" outlineLevel="0" collapsed="false">
      <c r="J156" s="21" t="b">
        <f aca="false">IF(원자재마스터!$A153="",FALSE(),원자재마스터!$L153=$B$3)</f>
        <v>0</v>
      </c>
      <c r="K156" s="5" t="str">
        <f aca="false">IF($J156=FALSE(),"",COUNTIF($J$6:$J156,TRUE()))</f>
        <v/>
      </c>
      <c r="L156" s="5" t="str">
        <f aca="false">IF($K156="","","R"&amp;$K156)</f>
        <v/>
      </c>
    </row>
    <row r="157" customFormat="false" ht="15" hidden="false" customHeight="true" outlineLevel="0" collapsed="false">
      <c r="J157" s="21" t="b">
        <f aca="false">IF(원자재마스터!$A154="",FALSE(),원자재마스터!$L154=$B$3)</f>
        <v>0</v>
      </c>
      <c r="K157" s="5" t="str">
        <f aca="false">IF($J157=FALSE(),"",COUNTIF($J$6:$J157,TRUE()))</f>
        <v/>
      </c>
      <c r="L157" s="5" t="str">
        <f aca="false">IF($K157="","","R"&amp;$K157)</f>
        <v/>
      </c>
    </row>
    <row r="158" customFormat="false" ht="15" hidden="false" customHeight="true" outlineLevel="0" collapsed="false">
      <c r="J158" s="21" t="b">
        <f aca="false">IF(원자재마스터!$A155="",FALSE(),원자재마스터!$L155=$B$3)</f>
        <v>0</v>
      </c>
      <c r="K158" s="5" t="str">
        <f aca="false">IF($J158=FALSE(),"",COUNTIF($J$6:$J158,TRUE()))</f>
        <v/>
      </c>
      <c r="L158" s="5" t="str">
        <f aca="false">IF($K158="","","R"&amp;$K158)</f>
        <v/>
      </c>
    </row>
    <row r="159" customFormat="false" ht="15" hidden="false" customHeight="true" outlineLevel="0" collapsed="false">
      <c r="J159" s="21" t="b">
        <f aca="false">IF(원자재마스터!$A156="",FALSE(),원자재마스터!$L156=$B$3)</f>
        <v>0</v>
      </c>
      <c r="K159" s="5" t="str">
        <f aca="false">IF($J159=FALSE(),"",COUNTIF($J$6:$J159,TRUE()))</f>
        <v/>
      </c>
      <c r="L159" s="5" t="str">
        <f aca="false">IF($K159="","","R"&amp;$K159)</f>
        <v/>
      </c>
    </row>
    <row r="160" customFormat="false" ht="15" hidden="false" customHeight="true" outlineLevel="0" collapsed="false">
      <c r="J160" s="21" t="b">
        <f aca="false">IF(원자재마스터!$A157="",FALSE(),원자재마스터!$L157=$B$3)</f>
        <v>0</v>
      </c>
      <c r="K160" s="5" t="str">
        <f aca="false">IF($J160=FALSE(),"",COUNTIF($J$6:$J160,TRUE()))</f>
        <v/>
      </c>
      <c r="L160" s="5" t="str">
        <f aca="false">IF($K160="","","R"&amp;$K160)</f>
        <v/>
      </c>
    </row>
    <row r="161" customFormat="false" ht="15" hidden="false" customHeight="true" outlineLevel="0" collapsed="false">
      <c r="J161" s="21" t="b">
        <f aca="false">IF(원자재마스터!$A158="",FALSE(),원자재마스터!$L158=$B$3)</f>
        <v>0</v>
      </c>
      <c r="K161" s="5" t="str">
        <f aca="false">IF($J161=FALSE(),"",COUNTIF($J$6:$J161,TRUE()))</f>
        <v/>
      </c>
      <c r="L161" s="5" t="str">
        <f aca="false">IF($K161="","","R"&amp;$K161)</f>
        <v/>
      </c>
    </row>
    <row r="162" customFormat="false" ht="15" hidden="false" customHeight="true" outlineLevel="0" collapsed="false">
      <c r="J162" s="21" t="b">
        <f aca="false">IF(원자재마스터!$A159="",FALSE(),원자재마스터!$L159=$B$3)</f>
        <v>0</v>
      </c>
      <c r="K162" s="5" t="str">
        <f aca="false">IF($J162=FALSE(),"",COUNTIF($J$6:$J162,TRUE()))</f>
        <v/>
      </c>
      <c r="L162" s="5" t="str">
        <f aca="false">IF($K162="","","R"&amp;$K162)</f>
        <v/>
      </c>
    </row>
    <row r="163" customFormat="false" ht="15" hidden="false" customHeight="true" outlineLevel="0" collapsed="false">
      <c r="J163" s="21" t="b">
        <f aca="false">IF(원자재마스터!$A160="",FALSE(),원자재마스터!$L160=$B$3)</f>
        <v>0</v>
      </c>
      <c r="K163" s="5" t="str">
        <f aca="false">IF($J163=FALSE(),"",COUNTIF($J$6:$J163,TRUE()))</f>
        <v/>
      </c>
      <c r="L163" s="5" t="str">
        <f aca="false">IF($K163="","","R"&amp;$K163)</f>
        <v/>
      </c>
    </row>
    <row r="164" customFormat="false" ht="15" hidden="false" customHeight="true" outlineLevel="0" collapsed="false">
      <c r="J164" s="21" t="b">
        <f aca="false">IF(원자재마스터!$A161="",FALSE(),원자재마스터!$L161=$B$3)</f>
        <v>0</v>
      </c>
      <c r="K164" s="5" t="str">
        <f aca="false">IF($J164=FALSE(),"",COUNTIF($J$6:$J164,TRUE()))</f>
        <v/>
      </c>
      <c r="L164" s="5" t="str">
        <f aca="false">IF($K164="","","R"&amp;$K164)</f>
        <v/>
      </c>
    </row>
    <row r="165" customFormat="false" ht="15" hidden="false" customHeight="true" outlineLevel="0" collapsed="false">
      <c r="J165" s="21" t="b">
        <f aca="false">IF(원자재마스터!$A162="",FALSE(),원자재마스터!$L162=$B$3)</f>
        <v>0</v>
      </c>
      <c r="K165" s="5" t="str">
        <f aca="false">IF($J165=FALSE(),"",COUNTIF($J$6:$J165,TRUE()))</f>
        <v/>
      </c>
      <c r="L165" s="5" t="str">
        <f aca="false">IF($K165="","","R"&amp;$K165)</f>
        <v/>
      </c>
    </row>
    <row r="166" customFormat="false" ht="15" hidden="false" customHeight="true" outlineLevel="0" collapsed="false">
      <c r="J166" s="21" t="b">
        <f aca="false">IF(원자재마스터!$A163="",FALSE(),원자재마스터!$L163=$B$3)</f>
        <v>0</v>
      </c>
      <c r="K166" s="5" t="str">
        <f aca="false">IF($J166=FALSE(),"",COUNTIF($J$6:$J166,TRUE()))</f>
        <v/>
      </c>
      <c r="L166" s="5" t="str">
        <f aca="false">IF($K166="","","R"&amp;$K166)</f>
        <v/>
      </c>
    </row>
    <row r="167" customFormat="false" ht="15" hidden="false" customHeight="true" outlineLevel="0" collapsed="false">
      <c r="J167" s="21" t="b">
        <f aca="false">IF(원자재마스터!$A164="",FALSE(),원자재마스터!$L164=$B$3)</f>
        <v>0</v>
      </c>
      <c r="K167" s="5" t="str">
        <f aca="false">IF($J167=FALSE(),"",COUNTIF($J$6:$J167,TRUE()))</f>
        <v/>
      </c>
      <c r="L167" s="5" t="str">
        <f aca="false">IF($K167="","","R"&amp;$K167)</f>
        <v/>
      </c>
    </row>
    <row r="168" customFormat="false" ht="15" hidden="false" customHeight="true" outlineLevel="0" collapsed="false">
      <c r="J168" s="21" t="b">
        <f aca="false">IF(원자재마스터!$A165="",FALSE(),원자재마스터!$L165=$B$3)</f>
        <v>0</v>
      </c>
      <c r="K168" s="5" t="str">
        <f aca="false">IF($J168=FALSE(),"",COUNTIF($J$6:$J168,TRUE()))</f>
        <v/>
      </c>
      <c r="L168" s="5" t="str">
        <f aca="false">IF($K168="","","R"&amp;$K168)</f>
        <v/>
      </c>
    </row>
    <row r="169" customFormat="false" ht="15" hidden="false" customHeight="true" outlineLevel="0" collapsed="false">
      <c r="J169" s="21" t="b">
        <f aca="false">IF(원자재마스터!$A166="",FALSE(),원자재마스터!$L166=$B$3)</f>
        <v>0</v>
      </c>
      <c r="K169" s="5" t="str">
        <f aca="false">IF($J169=FALSE(),"",COUNTIF($J$6:$J169,TRUE()))</f>
        <v/>
      </c>
      <c r="L169" s="5" t="str">
        <f aca="false">IF($K169="","","R"&amp;$K169)</f>
        <v/>
      </c>
    </row>
    <row r="170" customFormat="false" ht="15" hidden="false" customHeight="true" outlineLevel="0" collapsed="false">
      <c r="J170" s="21" t="b">
        <f aca="false">IF(원자재마스터!$A167="",FALSE(),원자재마스터!$L167=$B$3)</f>
        <v>0</v>
      </c>
      <c r="K170" s="5" t="str">
        <f aca="false">IF($J170=FALSE(),"",COUNTIF($J$6:$J170,TRUE()))</f>
        <v/>
      </c>
      <c r="L170" s="5" t="str">
        <f aca="false">IF($K170="","","R"&amp;$K170)</f>
        <v/>
      </c>
    </row>
    <row r="171" customFormat="false" ht="15" hidden="false" customHeight="true" outlineLevel="0" collapsed="false">
      <c r="J171" s="21" t="b">
        <f aca="false">IF(원자재마스터!$A168="",FALSE(),원자재마스터!$L168=$B$3)</f>
        <v>0</v>
      </c>
      <c r="K171" s="5" t="str">
        <f aca="false">IF($J171=FALSE(),"",COUNTIF($J$6:$J171,TRUE()))</f>
        <v/>
      </c>
      <c r="L171" s="5" t="str">
        <f aca="false">IF($K171="","","R"&amp;$K171)</f>
        <v/>
      </c>
    </row>
    <row r="172" customFormat="false" ht="15" hidden="false" customHeight="true" outlineLevel="0" collapsed="false">
      <c r="J172" s="21" t="b">
        <f aca="false">IF(원자재마스터!$A169="",FALSE(),원자재마스터!$L169=$B$3)</f>
        <v>0</v>
      </c>
      <c r="K172" s="5" t="str">
        <f aca="false">IF($J172=FALSE(),"",COUNTIF($J$6:$J172,TRUE()))</f>
        <v/>
      </c>
      <c r="L172" s="5" t="str">
        <f aca="false">IF($K172="","","R"&amp;$K172)</f>
        <v/>
      </c>
    </row>
    <row r="173" customFormat="false" ht="15" hidden="false" customHeight="true" outlineLevel="0" collapsed="false">
      <c r="J173" s="21" t="b">
        <f aca="false">IF(원자재마스터!$A170="",FALSE(),원자재마스터!$L170=$B$3)</f>
        <v>0</v>
      </c>
      <c r="K173" s="5" t="str">
        <f aca="false">IF($J173=FALSE(),"",COUNTIF($J$6:$J173,TRUE()))</f>
        <v/>
      </c>
      <c r="L173" s="5" t="str">
        <f aca="false">IF($K173="","","R"&amp;$K173)</f>
        <v/>
      </c>
    </row>
    <row r="174" customFormat="false" ht="15" hidden="false" customHeight="true" outlineLevel="0" collapsed="false">
      <c r="J174" s="21" t="b">
        <f aca="false">IF(원자재마스터!$A171="",FALSE(),원자재마스터!$L171=$B$3)</f>
        <v>0</v>
      </c>
      <c r="K174" s="5" t="str">
        <f aca="false">IF($J174=FALSE(),"",COUNTIF($J$6:$J174,TRUE()))</f>
        <v/>
      </c>
      <c r="L174" s="5" t="str">
        <f aca="false">IF($K174="","","R"&amp;$K174)</f>
        <v/>
      </c>
    </row>
    <row r="175" customFormat="false" ht="15" hidden="false" customHeight="true" outlineLevel="0" collapsed="false">
      <c r="J175" s="21" t="b">
        <f aca="false">IF(원자재마스터!$A172="",FALSE(),원자재마스터!$L172=$B$3)</f>
        <v>0</v>
      </c>
      <c r="K175" s="5" t="str">
        <f aca="false">IF($J175=FALSE(),"",COUNTIF($J$6:$J175,TRUE()))</f>
        <v/>
      </c>
      <c r="L175" s="5" t="str">
        <f aca="false">IF($K175="","","R"&amp;$K175)</f>
        <v/>
      </c>
    </row>
    <row r="176" customFormat="false" ht="15" hidden="false" customHeight="true" outlineLevel="0" collapsed="false">
      <c r="J176" s="21" t="b">
        <f aca="false">IF(원자재마스터!$A173="",FALSE(),원자재마스터!$L173=$B$3)</f>
        <v>0</v>
      </c>
      <c r="K176" s="5" t="str">
        <f aca="false">IF($J176=FALSE(),"",COUNTIF($J$6:$J176,TRUE()))</f>
        <v/>
      </c>
      <c r="L176" s="5" t="str">
        <f aca="false">IF($K176="","","R"&amp;$K176)</f>
        <v/>
      </c>
    </row>
    <row r="177" customFormat="false" ht="15" hidden="false" customHeight="true" outlineLevel="0" collapsed="false">
      <c r="J177" s="21" t="b">
        <f aca="false">IF(원자재마스터!$A174="",FALSE(),원자재마스터!$L174=$B$3)</f>
        <v>0</v>
      </c>
      <c r="K177" s="5" t="str">
        <f aca="false">IF($J177=FALSE(),"",COUNTIF($J$6:$J177,TRUE()))</f>
        <v/>
      </c>
      <c r="L177" s="5" t="str">
        <f aca="false">IF($K177="","","R"&amp;$K177)</f>
        <v/>
      </c>
    </row>
    <row r="178" customFormat="false" ht="15" hidden="false" customHeight="true" outlineLevel="0" collapsed="false">
      <c r="J178" s="21" t="b">
        <f aca="false">IF(원자재마스터!$A175="",FALSE(),원자재마스터!$L175=$B$3)</f>
        <v>0</v>
      </c>
      <c r="K178" s="5" t="str">
        <f aca="false">IF($J178=FALSE(),"",COUNTIF($J$6:$J178,TRUE()))</f>
        <v/>
      </c>
      <c r="L178" s="5" t="str">
        <f aca="false">IF($K178="","","R"&amp;$K178)</f>
        <v/>
      </c>
    </row>
    <row r="179" customFormat="false" ht="15" hidden="false" customHeight="true" outlineLevel="0" collapsed="false">
      <c r="J179" s="21" t="b">
        <f aca="false">IF(원자재마스터!$A176="",FALSE(),원자재마스터!$L176=$B$3)</f>
        <v>0</v>
      </c>
      <c r="K179" s="5" t="str">
        <f aca="false">IF($J179=FALSE(),"",COUNTIF($J$6:$J179,TRUE()))</f>
        <v/>
      </c>
      <c r="L179" s="5" t="str">
        <f aca="false">IF($K179="","","R"&amp;$K179)</f>
        <v/>
      </c>
    </row>
    <row r="180" customFormat="false" ht="15" hidden="false" customHeight="true" outlineLevel="0" collapsed="false">
      <c r="J180" s="21" t="b">
        <f aca="false">IF(원자재마스터!$A177="",FALSE(),원자재마스터!$L177=$B$3)</f>
        <v>0</v>
      </c>
      <c r="K180" s="5" t="str">
        <f aca="false">IF($J180=FALSE(),"",COUNTIF($J$6:$J180,TRUE()))</f>
        <v/>
      </c>
      <c r="L180" s="5" t="str">
        <f aca="false">IF($K180="","","R"&amp;$K180)</f>
        <v/>
      </c>
    </row>
    <row r="181" customFormat="false" ht="15" hidden="false" customHeight="true" outlineLevel="0" collapsed="false">
      <c r="J181" s="21" t="b">
        <f aca="false">IF(원자재마스터!$A178="",FALSE(),원자재마스터!$L178=$B$3)</f>
        <v>0</v>
      </c>
      <c r="K181" s="5" t="str">
        <f aca="false">IF($J181=FALSE(),"",COUNTIF($J$6:$J181,TRUE()))</f>
        <v/>
      </c>
      <c r="L181" s="5" t="str">
        <f aca="false">IF($K181="","","R"&amp;$K181)</f>
        <v/>
      </c>
    </row>
    <row r="182" customFormat="false" ht="15" hidden="false" customHeight="true" outlineLevel="0" collapsed="false">
      <c r="J182" s="21" t="b">
        <f aca="false">IF(원자재마스터!$A179="",FALSE(),원자재마스터!$L179=$B$3)</f>
        <v>0</v>
      </c>
      <c r="K182" s="5" t="str">
        <f aca="false">IF($J182=FALSE(),"",COUNTIF($J$6:$J182,TRUE()))</f>
        <v/>
      </c>
      <c r="L182" s="5" t="str">
        <f aca="false">IF($K182="","","R"&amp;$K182)</f>
        <v/>
      </c>
    </row>
    <row r="183" customFormat="false" ht="15" hidden="false" customHeight="true" outlineLevel="0" collapsed="false">
      <c r="J183" s="21" t="b">
        <f aca="false">IF(원자재마스터!$A180="",FALSE(),원자재마스터!$L180=$B$3)</f>
        <v>0</v>
      </c>
      <c r="K183" s="5" t="str">
        <f aca="false">IF($J183=FALSE(),"",COUNTIF($J$6:$J183,TRUE()))</f>
        <v/>
      </c>
      <c r="L183" s="5" t="str">
        <f aca="false">IF($K183="","","R"&amp;$K183)</f>
        <v/>
      </c>
    </row>
    <row r="184" customFormat="false" ht="15" hidden="false" customHeight="true" outlineLevel="0" collapsed="false">
      <c r="J184" s="21" t="b">
        <f aca="false">IF(원자재마스터!$A181="",FALSE(),원자재마스터!$L181=$B$3)</f>
        <v>0</v>
      </c>
      <c r="K184" s="5" t="str">
        <f aca="false">IF($J184=FALSE(),"",COUNTIF($J$6:$J184,TRUE()))</f>
        <v/>
      </c>
      <c r="L184" s="5" t="str">
        <f aca="false">IF($K184="","","R"&amp;$K184)</f>
        <v/>
      </c>
    </row>
    <row r="185" customFormat="false" ht="15" hidden="false" customHeight="true" outlineLevel="0" collapsed="false">
      <c r="J185" s="21" t="b">
        <f aca="false">IF(원자재마스터!$A182="",FALSE(),원자재마스터!$L182=$B$3)</f>
        <v>0</v>
      </c>
      <c r="K185" s="5" t="str">
        <f aca="false">IF($J185=FALSE(),"",COUNTIF($J$6:$J185,TRUE()))</f>
        <v/>
      </c>
      <c r="L185" s="5" t="str">
        <f aca="false">IF($K185="","","R"&amp;$K185)</f>
        <v/>
      </c>
    </row>
    <row r="186" customFormat="false" ht="15" hidden="false" customHeight="true" outlineLevel="0" collapsed="false">
      <c r="J186" s="21" t="b">
        <f aca="false">IF(원자재마스터!$A183="",FALSE(),원자재마스터!$L183=$B$3)</f>
        <v>0</v>
      </c>
      <c r="K186" s="5" t="str">
        <f aca="false">IF($J186=FALSE(),"",COUNTIF($J$6:$J186,TRUE()))</f>
        <v/>
      </c>
      <c r="L186" s="5" t="str">
        <f aca="false">IF($K186="","","R"&amp;$K186)</f>
        <v/>
      </c>
    </row>
    <row r="187" customFormat="false" ht="15" hidden="false" customHeight="true" outlineLevel="0" collapsed="false">
      <c r="J187" s="21" t="b">
        <f aca="false">IF(원자재마스터!$A184="",FALSE(),원자재마스터!$L184=$B$3)</f>
        <v>0</v>
      </c>
      <c r="K187" s="5" t="str">
        <f aca="false">IF($J187=FALSE(),"",COUNTIF($J$6:$J187,TRUE()))</f>
        <v/>
      </c>
      <c r="L187" s="5" t="str">
        <f aca="false">IF($K187="","","R"&amp;$K187)</f>
        <v/>
      </c>
    </row>
    <row r="188" customFormat="false" ht="15" hidden="false" customHeight="true" outlineLevel="0" collapsed="false">
      <c r="J188" s="21" t="b">
        <f aca="false">IF(원자재마스터!$A185="",FALSE(),원자재마스터!$L185=$B$3)</f>
        <v>0</v>
      </c>
      <c r="K188" s="5" t="str">
        <f aca="false">IF($J188=FALSE(),"",COUNTIF($J$6:$J188,TRUE()))</f>
        <v/>
      </c>
      <c r="L188" s="5" t="str">
        <f aca="false">IF($K188="","","R"&amp;$K188)</f>
        <v/>
      </c>
    </row>
    <row r="189" customFormat="false" ht="15" hidden="false" customHeight="true" outlineLevel="0" collapsed="false">
      <c r="J189" s="21" t="b">
        <f aca="false">IF(원자재마스터!$A186="",FALSE(),원자재마스터!$L186=$B$3)</f>
        <v>0</v>
      </c>
      <c r="K189" s="5" t="str">
        <f aca="false">IF($J189=FALSE(),"",COUNTIF($J$6:$J189,TRUE()))</f>
        <v/>
      </c>
      <c r="L189" s="5" t="str">
        <f aca="false">IF($K189="","","R"&amp;$K189)</f>
        <v/>
      </c>
    </row>
    <row r="190" customFormat="false" ht="15" hidden="false" customHeight="true" outlineLevel="0" collapsed="false">
      <c r="J190" s="21" t="b">
        <f aca="false">IF(원자재마스터!$A187="",FALSE(),원자재마스터!$L187=$B$3)</f>
        <v>0</v>
      </c>
      <c r="K190" s="5" t="str">
        <f aca="false">IF($J190=FALSE(),"",COUNTIF($J$6:$J190,TRUE()))</f>
        <v/>
      </c>
      <c r="L190" s="5" t="str">
        <f aca="false">IF($K190="","","R"&amp;$K190)</f>
        <v/>
      </c>
    </row>
    <row r="191" customFormat="false" ht="15" hidden="false" customHeight="true" outlineLevel="0" collapsed="false">
      <c r="J191" s="21" t="b">
        <f aca="false">IF(원자재마스터!$A188="",FALSE(),원자재마스터!$L188=$B$3)</f>
        <v>0</v>
      </c>
      <c r="K191" s="5" t="str">
        <f aca="false">IF($J191=FALSE(),"",COUNTIF($J$6:$J191,TRUE()))</f>
        <v/>
      </c>
      <c r="L191" s="5" t="str">
        <f aca="false">IF($K191="","","R"&amp;$K191)</f>
        <v/>
      </c>
    </row>
    <row r="192" customFormat="false" ht="15" hidden="false" customHeight="true" outlineLevel="0" collapsed="false">
      <c r="J192" s="21" t="b">
        <f aca="false">IF(원자재마스터!$A189="",FALSE(),원자재마스터!$L189=$B$3)</f>
        <v>0</v>
      </c>
      <c r="K192" s="5" t="str">
        <f aca="false">IF($J192=FALSE(),"",COUNTIF($J$6:$J192,TRUE()))</f>
        <v/>
      </c>
      <c r="L192" s="5" t="str">
        <f aca="false">IF($K192="","","R"&amp;$K192)</f>
        <v/>
      </c>
    </row>
    <row r="193" customFormat="false" ht="15" hidden="false" customHeight="true" outlineLevel="0" collapsed="false">
      <c r="J193" s="21" t="b">
        <f aca="false">IF(원자재마스터!$A190="",FALSE(),원자재마스터!$L190=$B$3)</f>
        <v>0</v>
      </c>
      <c r="K193" s="5" t="str">
        <f aca="false">IF($J193=FALSE(),"",COUNTIF($J$6:$J193,TRUE()))</f>
        <v/>
      </c>
      <c r="L193" s="5" t="str">
        <f aca="false">IF($K193="","","R"&amp;$K193)</f>
        <v/>
      </c>
    </row>
    <row r="194" customFormat="false" ht="15" hidden="false" customHeight="true" outlineLevel="0" collapsed="false">
      <c r="J194" s="21" t="b">
        <f aca="false">IF(원자재마스터!$A191="",FALSE(),원자재마스터!$L191=$B$3)</f>
        <v>0</v>
      </c>
      <c r="K194" s="5" t="str">
        <f aca="false">IF($J194=FALSE(),"",COUNTIF($J$6:$J194,TRUE()))</f>
        <v/>
      </c>
      <c r="L194" s="5" t="str">
        <f aca="false">IF($K194="","","R"&amp;$K194)</f>
        <v/>
      </c>
    </row>
    <row r="195" customFormat="false" ht="15" hidden="false" customHeight="true" outlineLevel="0" collapsed="false">
      <c r="J195" s="21" t="b">
        <f aca="false">IF(원자재마스터!$A192="",FALSE(),원자재마스터!$L192=$B$3)</f>
        <v>0</v>
      </c>
      <c r="K195" s="5" t="str">
        <f aca="false">IF($J195=FALSE(),"",COUNTIF($J$6:$J195,TRUE()))</f>
        <v/>
      </c>
      <c r="L195" s="5" t="str">
        <f aca="false">IF($K195="","","R"&amp;$K195)</f>
        <v/>
      </c>
    </row>
    <row r="196" customFormat="false" ht="15" hidden="false" customHeight="true" outlineLevel="0" collapsed="false">
      <c r="J196" s="21" t="b">
        <f aca="false">IF(원자재마스터!$A193="",FALSE(),원자재마스터!$L193=$B$3)</f>
        <v>0</v>
      </c>
      <c r="K196" s="5" t="str">
        <f aca="false">IF($J196=FALSE(),"",COUNTIF($J$6:$J196,TRUE()))</f>
        <v/>
      </c>
      <c r="L196" s="5" t="str">
        <f aca="false">IF($K196="","","R"&amp;$K196)</f>
        <v/>
      </c>
    </row>
    <row r="197" customFormat="false" ht="15" hidden="false" customHeight="true" outlineLevel="0" collapsed="false">
      <c r="J197" s="21" t="b">
        <f aca="false">IF(원자재마스터!$A194="",FALSE(),원자재마스터!$L194=$B$3)</f>
        <v>0</v>
      </c>
      <c r="K197" s="5" t="str">
        <f aca="false">IF($J197=FALSE(),"",COUNTIF($J$6:$J197,TRUE()))</f>
        <v/>
      </c>
      <c r="L197" s="5" t="str">
        <f aca="false">IF($K197="","","R"&amp;$K197)</f>
        <v/>
      </c>
    </row>
    <row r="198" customFormat="false" ht="15" hidden="false" customHeight="true" outlineLevel="0" collapsed="false">
      <c r="J198" s="21" t="b">
        <f aca="false">IF(원자재마스터!$A195="",FALSE(),원자재마스터!$L195=$B$3)</f>
        <v>0</v>
      </c>
      <c r="K198" s="5" t="str">
        <f aca="false">IF($J198=FALSE(),"",COUNTIF($J$6:$J198,TRUE()))</f>
        <v/>
      </c>
      <c r="L198" s="5" t="str">
        <f aca="false">IF($K198="","","R"&amp;$K198)</f>
        <v/>
      </c>
    </row>
    <row r="199" customFormat="false" ht="15" hidden="false" customHeight="true" outlineLevel="0" collapsed="false">
      <c r="J199" s="21" t="b">
        <f aca="false">IF(원자재마스터!$A196="",FALSE(),원자재마스터!$L196=$B$3)</f>
        <v>0</v>
      </c>
      <c r="K199" s="5" t="str">
        <f aca="false">IF($J199=FALSE(),"",COUNTIF($J$6:$J199,TRUE()))</f>
        <v/>
      </c>
      <c r="L199" s="5" t="str">
        <f aca="false">IF($K199="","","R"&amp;$K199)</f>
        <v/>
      </c>
    </row>
    <row r="200" customFormat="false" ht="15" hidden="false" customHeight="true" outlineLevel="0" collapsed="false">
      <c r="J200" s="21" t="b">
        <f aca="false">IF(원자재마스터!$A197="",FALSE(),원자재마스터!$L197=$B$3)</f>
        <v>0</v>
      </c>
      <c r="K200" s="5" t="str">
        <f aca="false">IF($J200=FALSE(),"",COUNTIF($J$6:$J200,TRUE()))</f>
        <v/>
      </c>
      <c r="L200" s="5" t="str">
        <f aca="false">IF($K200="","","R"&amp;$K200)</f>
        <v/>
      </c>
    </row>
    <row r="201" customFormat="false" ht="15" hidden="false" customHeight="true" outlineLevel="0" collapsed="false">
      <c r="J201" s="21" t="b">
        <f aca="false">IF(원자재마스터!$A198="",FALSE(),원자재마스터!$L198=$B$3)</f>
        <v>0</v>
      </c>
      <c r="K201" s="5" t="str">
        <f aca="false">IF($J201=FALSE(),"",COUNTIF($J$6:$J201,TRUE()))</f>
        <v/>
      </c>
      <c r="L201" s="5" t="str">
        <f aca="false">IF($K201="","","R"&amp;$K201)</f>
        <v/>
      </c>
    </row>
    <row r="202" customFormat="false" ht="15" hidden="false" customHeight="true" outlineLevel="0" collapsed="false">
      <c r="J202" s="21" t="b">
        <f aca="false">IF(원자재마스터!$A199="",FALSE(),원자재마스터!$L199=$B$3)</f>
        <v>0</v>
      </c>
      <c r="K202" s="5" t="str">
        <f aca="false">IF($J202=FALSE(),"",COUNTIF($J$6:$J202,TRUE()))</f>
        <v/>
      </c>
      <c r="L202" s="5" t="str">
        <f aca="false">IF($K202="","","R"&amp;$K202)</f>
        <v/>
      </c>
    </row>
    <row r="203" customFormat="false" ht="15" hidden="false" customHeight="true" outlineLevel="0" collapsed="false">
      <c r="J203" s="21" t="b">
        <f aca="false">IF(원자재마스터!$A200="",FALSE(),원자재마스터!$L200=$B$3)</f>
        <v>0</v>
      </c>
      <c r="K203" s="5" t="str">
        <f aca="false">IF($J203=FALSE(),"",COUNTIF($J$6:$J203,TRUE()))</f>
        <v/>
      </c>
      <c r="L203" s="5" t="str">
        <f aca="false">IF($K203="","","R"&amp;$K203)</f>
        <v/>
      </c>
    </row>
    <row r="204" customFormat="false" ht="15" hidden="false" customHeight="true" outlineLevel="0" collapsed="false">
      <c r="J204" s="21" t="b">
        <f aca="false">IF(원자재마스터!$A201="",FALSE(),원자재마스터!$L201=$B$3)</f>
        <v>0</v>
      </c>
      <c r="K204" s="5" t="str">
        <f aca="false">IF($J204=FALSE(),"",COUNTIF($J$6:$J204,TRUE()))</f>
        <v/>
      </c>
      <c r="L204" s="5" t="str">
        <f aca="false">IF($K204="","","R"&amp;$K204)</f>
        <v/>
      </c>
    </row>
    <row r="205" customFormat="false" ht="15" hidden="false" customHeight="true" outlineLevel="0" collapsed="false">
      <c r="J205" s="21" t="b">
        <f aca="false">IF(원자재마스터!$A202="",FALSE(),원자재마스터!$L202=$B$3)</f>
        <v>0</v>
      </c>
      <c r="K205" s="5" t="str">
        <f aca="false">IF($J205=FALSE(),"",COUNTIF($J$6:$J205,TRUE()))</f>
        <v/>
      </c>
      <c r="L205" s="5" t="str">
        <f aca="false">IF($K205="","","R"&amp;$K205)</f>
        <v/>
      </c>
    </row>
    <row r="206" customFormat="false" ht="15" hidden="false" customHeight="true" outlineLevel="0" collapsed="false">
      <c r="J206" s="21" t="b">
        <f aca="false">IF(원자재마스터!$A203="",FALSE(),원자재마스터!$L203=$B$3)</f>
        <v>0</v>
      </c>
      <c r="K206" s="5" t="str">
        <f aca="false">IF($J206=FALSE(),"",COUNTIF($J$6:$J206,TRUE()))</f>
        <v/>
      </c>
      <c r="L206" s="5" t="str">
        <f aca="false">IF($K206="","","R"&amp;$K206)</f>
        <v/>
      </c>
    </row>
    <row r="207" customFormat="false" ht="15" hidden="false" customHeight="true" outlineLevel="0" collapsed="false">
      <c r="J207" s="21" t="b">
        <f aca="false">IF(원자재마스터!$A204="",FALSE(),원자재마스터!$L204=$B$3)</f>
        <v>0</v>
      </c>
      <c r="K207" s="5" t="str">
        <f aca="false">IF($J207=FALSE(),"",COUNTIF($J$6:$J207,TRUE()))</f>
        <v/>
      </c>
      <c r="L207" s="5" t="str">
        <f aca="false">IF($K207="","","R"&amp;$K207)</f>
        <v/>
      </c>
    </row>
    <row r="208" customFormat="false" ht="15" hidden="false" customHeight="true" outlineLevel="0" collapsed="false">
      <c r="J208" s="21" t="b">
        <f aca="false">IF(원자재마스터!$A205="",FALSE(),원자재마스터!$L205=$B$3)</f>
        <v>0</v>
      </c>
      <c r="K208" s="5" t="str">
        <f aca="false">IF($J208=FALSE(),"",COUNTIF($J$6:$J208,TRUE()))</f>
        <v/>
      </c>
      <c r="L208" s="5" t="str">
        <f aca="false">IF($K208="","","R"&amp;$K208)</f>
        <v/>
      </c>
    </row>
    <row r="209" customFormat="false" ht="15" hidden="false" customHeight="true" outlineLevel="0" collapsed="false">
      <c r="J209" s="21" t="b">
        <f aca="false">IF(원자재마스터!$A206="",FALSE(),원자재마스터!$L206=$B$3)</f>
        <v>0</v>
      </c>
      <c r="K209" s="5" t="str">
        <f aca="false">IF($J209=FALSE(),"",COUNTIF($J$6:$J209,TRUE()))</f>
        <v/>
      </c>
      <c r="L209" s="5" t="str">
        <f aca="false">IF($K209="","","R"&amp;$K209)</f>
        <v/>
      </c>
    </row>
    <row r="210" customFormat="false" ht="15" hidden="false" customHeight="true" outlineLevel="0" collapsed="false">
      <c r="J210" s="21" t="b">
        <f aca="false">IF(원자재마스터!$A207="",FALSE(),원자재마스터!$L207=$B$3)</f>
        <v>0</v>
      </c>
      <c r="K210" s="5" t="str">
        <f aca="false">IF($J210=FALSE(),"",COUNTIF($J$6:$J210,TRUE()))</f>
        <v/>
      </c>
      <c r="L210" s="5" t="str">
        <f aca="false">IF($K210="","","R"&amp;$K210)</f>
        <v/>
      </c>
    </row>
    <row r="211" customFormat="false" ht="15" hidden="false" customHeight="true" outlineLevel="0" collapsed="false">
      <c r="J211" s="21" t="b">
        <f aca="false">IF(원자재마스터!$A208="",FALSE(),원자재마스터!$L208=$B$3)</f>
        <v>0</v>
      </c>
      <c r="K211" s="5" t="str">
        <f aca="false">IF($J211=FALSE(),"",COUNTIF($J$6:$J211,TRUE()))</f>
        <v/>
      </c>
      <c r="L211" s="5" t="str">
        <f aca="false">IF($K211="","","R"&amp;$K211)</f>
        <v/>
      </c>
    </row>
    <row r="212" customFormat="false" ht="15" hidden="false" customHeight="true" outlineLevel="0" collapsed="false">
      <c r="J212" s="21" t="b">
        <f aca="false">IF(원자재마스터!$A209="",FALSE(),원자재마스터!$L209=$B$3)</f>
        <v>0</v>
      </c>
      <c r="K212" s="5" t="str">
        <f aca="false">IF($J212=FALSE(),"",COUNTIF($J$6:$J212,TRUE()))</f>
        <v/>
      </c>
      <c r="L212" s="5" t="str">
        <f aca="false">IF($K212="","","R"&amp;$K212)</f>
        <v/>
      </c>
    </row>
    <row r="213" customFormat="false" ht="15" hidden="false" customHeight="true" outlineLevel="0" collapsed="false">
      <c r="J213" s="21" t="b">
        <f aca="false">IF(원자재마스터!$A210="",FALSE(),원자재마스터!$L210=$B$3)</f>
        <v>0</v>
      </c>
      <c r="K213" s="5" t="str">
        <f aca="false">IF($J213=FALSE(),"",COUNTIF($J$6:$J213,TRUE()))</f>
        <v/>
      </c>
      <c r="L213" s="5" t="str">
        <f aca="false">IF($K213="","","R"&amp;$K213)</f>
        <v/>
      </c>
    </row>
    <row r="214" customFormat="false" ht="15" hidden="false" customHeight="true" outlineLevel="0" collapsed="false">
      <c r="J214" s="21" t="b">
        <f aca="false">IF(원자재마스터!$A211="",FALSE(),원자재마스터!$L211=$B$3)</f>
        <v>0</v>
      </c>
      <c r="K214" s="5" t="str">
        <f aca="false">IF($J214=FALSE(),"",COUNTIF($J$6:$J214,TRUE()))</f>
        <v/>
      </c>
      <c r="L214" s="5" t="str">
        <f aca="false">IF($K214="","","R"&amp;$K214)</f>
        <v/>
      </c>
    </row>
    <row r="215" customFormat="false" ht="15" hidden="false" customHeight="true" outlineLevel="0" collapsed="false">
      <c r="J215" s="21" t="b">
        <f aca="false">IF(원자재마스터!$A212="",FALSE(),원자재마스터!$L212=$B$3)</f>
        <v>0</v>
      </c>
      <c r="K215" s="5" t="str">
        <f aca="false">IF($J215=FALSE(),"",COUNTIF($J$6:$J215,TRUE()))</f>
        <v/>
      </c>
      <c r="L215" s="5" t="str">
        <f aca="false">IF($K215="","","R"&amp;$K215)</f>
        <v/>
      </c>
    </row>
    <row r="216" customFormat="false" ht="15" hidden="false" customHeight="true" outlineLevel="0" collapsed="false">
      <c r="J216" s="21" t="b">
        <f aca="false">IF(원자재마스터!$A213="",FALSE(),원자재마스터!$L213=$B$3)</f>
        <v>0</v>
      </c>
      <c r="K216" s="5" t="str">
        <f aca="false">IF($J216=FALSE(),"",COUNTIF($J$6:$J216,TRUE()))</f>
        <v/>
      </c>
      <c r="L216" s="5" t="str">
        <f aca="false">IF($K216="","","R"&amp;$K216)</f>
        <v/>
      </c>
    </row>
    <row r="217" customFormat="false" ht="15" hidden="false" customHeight="true" outlineLevel="0" collapsed="false">
      <c r="J217" s="21" t="b">
        <f aca="false">IF(원자재마스터!$A214="",FALSE(),원자재마스터!$L214=$B$3)</f>
        <v>0</v>
      </c>
      <c r="K217" s="5" t="str">
        <f aca="false">IF($J217=FALSE(),"",COUNTIF($J$6:$J217,TRUE()))</f>
        <v/>
      </c>
      <c r="L217" s="5" t="str">
        <f aca="false">IF($K217="","","R"&amp;$K217)</f>
        <v/>
      </c>
    </row>
    <row r="218" customFormat="false" ht="15" hidden="false" customHeight="true" outlineLevel="0" collapsed="false">
      <c r="J218" s="21" t="b">
        <f aca="false">IF(원자재마스터!$A215="",FALSE(),원자재마스터!$L215=$B$3)</f>
        <v>0</v>
      </c>
      <c r="K218" s="5" t="str">
        <f aca="false">IF($J218=FALSE(),"",COUNTIF($J$6:$J218,TRUE()))</f>
        <v/>
      </c>
      <c r="L218" s="5" t="str">
        <f aca="false">IF($K218="","","R"&amp;$K218)</f>
        <v/>
      </c>
    </row>
    <row r="219" customFormat="false" ht="15" hidden="false" customHeight="true" outlineLevel="0" collapsed="false">
      <c r="J219" s="21" t="b">
        <f aca="false">IF(원자재마스터!$A216="",FALSE(),원자재마스터!$L216=$B$3)</f>
        <v>0</v>
      </c>
      <c r="K219" s="5" t="str">
        <f aca="false">IF($J219=FALSE(),"",COUNTIF($J$6:$J219,TRUE()))</f>
        <v/>
      </c>
      <c r="L219" s="5" t="str">
        <f aca="false">IF($K219="","","R"&amp;$K219)</f>
        <v/>
      </c>
    </row>
    <row r="220" customFormat="false" ht="15" hidden="false" customHeight="true" outlineLevel="0" collapsed="false">
      <c r="J220" s="21" t="b">
        <f aca="false">IF(원자재마스터!$A217="",FALSE(),원자재마스터!$L217=$B$3)</f>
        <v>0</v>
      </c>
      <c r="K220" s="5" t="str">
        <f aca="false">IF($J220=FALSE(),"",COUNTIF($J$6:$J220,TRUE()))</f>
        <v/>
      </c>
      <c r="L220" s="5" t="str">
        <f aca="false">IF($K220="","","R"&amp;$K220)</f>
        <v/>
      </c>
    </row>
    <row r="221" customFormat="false" ht="15" hidden="false" customHeight="true" outlineLevel="0" collapsed="false">
      <c r="J221" s="21" t="b">
        <f aca="false">IF(원자재마스터!$A218="",FALSE(),원자재마스터!$L218=$B$3)</f>
        <v>0</v>
      </c>
      <c r="K221" s="5" t="str">
        <f aca="false">IF($J221=FALSE(),"",COUNTIF($J$6:$J221,TRUE()))</f>
        <v/>
      </c>
      <c r="L221" s="5" t="str">
        <f aca="false">IF($K221="","","R"&amp;$K221)</f>
        <v/>
      </c>
    </row>
    <row r="222" customFormat="false" ht="15" hidden="false" customHeight="true" outlineLevel="0" collapsed="false">
      <c r="J222" s="21" t="b">
        <f aca="false">IF(원자재마스터!$A219="",FALSE(),원자재마스터!$L219=$B$3)</f>
        <v>0</v>
      </c>
      <c r="K222" s="5" t="str">
        <f aca="false">IF($J222=FALSE(),"",COUNTIF($J$6:$J222,TRUE()))</f>
        <v/>
      </c>
      <c r="L222" s="5" t="str">
        <f aca="false">IF($K222="","","R"&amp;$K222)</f>
        <v/>
      </c>
    </row>
    <row r="223" customFormat="false" ht="15" hidden="false" customHeight="true" outlineLevel="0" collapsed="false">
      <c r="J223" s="21" t="b">
        <f aca="false">IF(원자재마스터!$A220="",FALSE(),원자재마스터!$L220=$B$3)</f>
        <v>0</v>
      </c>
      <c r="K223" s="5" t="str">
        <f aca="false">IF($J223=FALSE(),"",COUNTIF($J$6:$J223,TRUE()))</f>
        <v/>
      </c>
      <c r="L223" s="5" t="str">
        <f aca="false">IF($K223="","","R"&amp;$K223)</f>
        <v/>
      </c>
    </row>
    <row r="224" customFormat="false" ht="15" hidden="false" customHeight="true" outlineLevel="0" collapsed="false">
      <c r="J224" s="21" t="b">
        <f aca="false">IF(원자재마스터!$A221="",FALSE(),원자재마스터!$L221=$B$3)</f>
        <v>0</v>
      </c>
      <c r="K224" s="5" t="str">
        <f aca="false">IF($J224=FALSE(),"",COUNTIF($J$6:$J224,TRUE()))</f>
        <v/>
      </c>
      <c r="L224" s="5" t="str">
        <f aca="false">IF($K224="","","R"&amp;$K224)</f>
        <v/>
      </c>
    </row>
    <row r="225" customFormat="false" ht="15" hidden="false" customHeight="true" outlineLevel="0" collapsed="false">
      <c r="J225" s="21" t="b">
        <f aca="false">IF(원자재마스터!$A222="",FALSE(),원자재마스터!$L222=$B$3)</f>
        <v>0</v>
      </c>
      <c r="K225" s="5" t="str">
        <f aca="false">IF($J225=FALSE(),"",COUNTIF($J$6:$J225,TRUE()))</f>
        <v/>
      </c>
      <c r="L225" s="5" t="str">
        <f aca="false">IF($K225="","","R"&amp;$K225)</f>
        <v/>
      </c>
    </row>
    <row r="226" customFormat="false" ht="15" hidden="false" customHeight="true" outlineLevel="0" collapsed="false">
      <c r="J226" s="21" t="b">
        <f aca="false">IF(원자재마스터!$A223="",FALSE(),원자재마스터!$L223=$B$3)</f>
        <v>0</v>
      </c>
      <c r="K226" s="5" t="str">
        <f aca="false">IF($J226=FALSE(),"",COUNTIF($J$6:$J226,TRUE()))</f>
        <v/>
      </c>
      <c r="L226" s="5" t="str">
        <f aca="false">IF($K226="","","R"&amp;$K226)</f>
        <v/>
      </c>
    </row>
    <row r="227" customFormat="false" ht="15" hidden="false" customHeight="true" outlineLevel="0" collapsed="false">
      <c r="J227" s="21" t="b">
        <f aca="false">IF(원자재마스터!$A224="",FALSE(),원자재마스터!$L224=$B$3)</f>
        <v>0</v>
      </c>
      <c r="K227" s="5" t="str">
        <f aca="false">IF($J227=FALSE(),"",COUNTIF($J$6:$J227,TRUE()))</f>
        <v/>
      </c>
      <c r="L227" s="5" t="str">
        <f aca="false">IF($K227="","","R"&amp;$K227)</f>
        <v/>
      </c>
    </row>
    <row r="228" customFormat="false" ht="15" hidden="false" customHeight="true" outlineLevel="0" collapsed="false">
      <c r="J228" s="21" t="b">
        <f aca="false">IF(원자재마스터!$A225="",FALSE(),원자재마스터!$L225=$B$3)</f>
        <v>0</v>
      </c>
      <c r="K228" s="5" t="str">
        <f aca="false">IF($J228=FALSE(),"",COUNTIF($J$6:$J228,TRUE()))</f>
        <v/>
      </c>
      <c r="L228" s="5" t="str">
        <f aca="false">IF($K228="","","R"&amp;$K228)</f>
        <v/>
      </c>
    </row>
    <row r="229" customFormat="false" ht="15" hidden="false" customHeight="true" outlineLevel="0" collapsed="false">
      <c r="J229" s="21" t="b">
        <f aca="false">IF(원자재마스터!$A226="",FALSE(),원자재마스터!$L226=$B$3)</f>
        <v>0</v>
      </c>
      <c r="K229" s="5" t="str">
        <f aca="false">IF($J229=FALSE(),"",COUNTIF($J$6:$J229,TRUE()))</f>
        <v/>
      </c>
      <c r="L229" s="5" t="str">
        <f aca="false">IF($K229="","","R"&amp;$K229)</f>
        <v/>
      </c>
    </row>
    <row r="230" customFormat="false" ht="15" hidden="false" customHeight="true" outlineLevel="0" collapsed="false">
      <c r="J230" s="21" t="b">
        <f aca="false">IF(원자재마스터!$A227="",FALSE(),원자재마스터!$L227=$B$3)</f>
        <v>0</v>
      </c>
      <c r="K230" s="5" t="str">
        <f aca="false">IF($J230=FALSE(),"",COUNTIF($J$6:$J230,TRUE()))</f>
        <v/>
      </c>
      <c r="L230" s="5" t="str">
        <f aca="false">IF($K230="","","R"&amp;$K230)</f>
        <v/>
      </c>
    </row>
    <row r="231" customFormat="false" ht="15" hidden="false" customHeight="true" outlineLevel="0" collapsed="false">
      <c r="J231" s="21" t="b">
        <f aca="false">IF(원자재마스터!$A228="",FALSE(),원자재마스터!$L228=$B$3)</f>
        <v>0</v>
      </c>
      <c r="K231" s="5" t="str">
        <f aca="false">IF($J231=FALSE(),"",COUNTIF($J$6:$J231,TRUE()))</f>
        <v/>
      </c>
      <c r="L231" s="5" t="str">
        <f aca="false">IF($K231="","","R"&amp;$K231)</f>
        <v/>
      </c>
    </row>
    <row r="232" customFormat="false" ht="15" hidden="false" customHeight="true" outlineLevel="0" collapsed="false">
      <c r="J232" s="21" t="b">
        <f aca="false">IF(원자재마스터!$A229="",FALSE(),원자재마스터!$L229=$B$3)</f>
        <v>0</v>
      </c>
      <c r="K232" s="5" t="str">
        <f aca="false">IF($J232=FALSE(),"",COUNTIF($J$6:$J232,TRUE()))</f>
        <v/>
      </c>
      <c r="L232" s="5" t="str">
        <f aca="false">IF($K232="","","R"&amp;$K232)</f>
        <v/>
      </c>
    </row>
    <row r="233" customFormat="false" ht="15" hidden="false" customHeight="true" outlineLevel="0" collapsed="false">
      <c r="J233" s="21" t="b">
        <f aca="false">IF(원자재마스터!$A230="",FALSE(),원자재마스터!$L230=$B$3)</f>
        <v>0</v>
      </c>
      <c r="K233" s="5" t="str">
        <f aca="false">IF($J233=FALSE(),"",COUNTIF($J$6:$J233,TRUE()))</f>
        <v/>
      </c>
      <c r="L233" s="5" t="str">
        <f aca="false">IF($K233="","","R"&amp;$K233)</f>
        <v/>
      </c>
    </row>
    <row r="234" customFormat="false" ht="15" hidden="false" customHeight="true" outlineLevel="0" collapsed="false">
      <c r="J234" s="21" t="b">
        <f aca="false">IF(원자재마스터!$A231="",FALSE(),원자재마스터!$L231=$B$3)</f>
        <v>0</v>
      </c>
      <c r="K234" s="5" t="str">
        <f aca="false">IF($J234=FALSE(),"",COUNTIF($J$6:$J234,TRUE()))</f>
        <v/>
      </c>
      <c r="L234" s="5" t="str">
        <f aca="false">IF($K234="","","R"&amp;$K234)</f>
        <v/>
      </c>
    </row>
    <row r="235" customFormat="false" ht="15" hidden="false" customHeight="true" outlineLevel="0" collapsed="false">
      <c r="J235" s="21" t="b">
        <f aca="false">IF(원자재마스터!$A232="",FALSE(),원자재마스터!$L232=$B$3)</f>
        <v>0</v>
      </c>
      <c r="K235" s="5" t="str">
        <f aca="false">IF($J235=FALSE(),"",COUNTIF($J$6:$J235,TRUE()))</f>
        <v/>
      </c>
      <c r="L235" s="5" t="str">
        <f aca="false">IF($K235="","","R"&amp;$K235)</f>
        <v/>
      </c>
    </row>
    <row r="236" customFormat="false" ht="15" hidden="false" customHeight="true" outlineLevel="0" collapsed="false">
      <c r="J236" s="21" t="b">
        <f aca="false">IF(원자재마스터!$A233="",FALSE(),원자재마스터!$L233=$B$3)</f>
        <v>0</v>
      </c>
      <c r="K236" s="5" t="str">
        <f aca="false">IF($J236=FALSE(),"",COUNTIF($J$6:$J236,TRUE()))</f>
        <v/>
      </c>
      <c r="L236" s="5" t="str">
        <f aca="false">IF($K236="","","R"&amp;$K236)</f>
        <v/>
      </c>
    </row>
    <row r="237" customFormat="false" ht="15" hidden="false" customHeight="true" outlineLevel="0" collapsed="false">
      <c r="J237" s="21" t="b">
        <f aca="false">IF(원자재마스터!$A234="",FALSE(),원자재마스터!$L234=$B$3)</f>
        <v>0</v>
      </c>
      <c r="K237" s="5" t="str">
        <f aca="false">IF($J237=FALSE(),"",COUNTIF($J$6:$J237,TRUE()))</f>
        <v/>
      </c>
      <c r="L237" s="5" t="str">
        <f aca="false">IF($K237="","","R"&amp;$K237)</f>
        <v/>
      </c>
    </row>
    <row r="238" customFormat="false" ht="15" hidden="false" customHeight="true" outlineLevel="0" collapsed="false">
      <c r="J238" s="21" t="b">
        <f aca="false">IF(원자재마스터!$A235="",FALSE(),원자재마스터!$L235=$B$3)</f>
        <v>0</v>
      </c>
      <c r="K238" s="5" t="str">
        <f aca="false">IF($J238=FALSE(),"",COUNTIF($J$6:$J238,TRUE()))</f>
        <v/>
      </c>
      <c r="L238" s="5" t="str">
        <f aca="false">IF($K238="","","R"&amp;$K238)</f>
        <v/>
      </c>
    </row>
    <row r="239" customFormat="false" ht="15" hidden="false" customHeight="true" outlineLevel="0" collapsed="false">
      <c r="J239" s="21" t="b">
        <f aca="false">IF(원자재마스터!$A236="",FALSE(),원자재마스터!$L236=$B$3)</f>
        <v>0</v>
      </c>
      <c r="K239" s="5" t="str">
        <f aca="false">IF($J239=FALSE(),"",COUNTIF($J$6:$J239,TRUE()))</f>
        <v/>
      </c>
      <c r="L239" s="5" t="str">
        <f aca="false">IF($K239="","","R"&amp;$K239)</f>
        <v/>
      </c>
    </row>
    <row r="240" customFormat="false" ht="15" hidden="false" customHeight="true" outlineLevel="0" collapsed="false">
      <c r="J240" s="21" t="b">
        <f aca="false">IF(원자재마스터!$A237="",FALSE(),원자재마스터!$L237=$B$3)</f>
        <v>0</v>
      </c>
      <c r="K240" s="5" t="str">
        <f aca="false">IF($J240=FALSE(),"",COUNTIF($J$6:$J240,TRUE()))</f>
        <v/>
      </c>
      <c r="L240" s="5" t="str">
        <f aca="false">IF($K240="","","R"&amp;$K240)</f>
        <v/>
      </c>
    </row>
    <row r="241" customFormat="false" ht="15" hidden="false" customHeight="true" outlineLevel="0" collapsed="false">
      <c r="J241" s="21" t="b">
        <f aca="false">IF(원자재마스터!$A238="",FALSE(),원자재마스터!$L238=$B$3)</f>
        <v>0</v>
      </c>
      <c r="K241" s="5" t="str">
        <f aca="false">IF($J241=FALSE(),"",COUNTIF($J$6:$J241,TRUE()))</f>
        <v/>
      </c>
      <c r="L241" s="5" t="str">
        <f aca="false">IF($K241="","","R"&amp;$K241)</f>
        <v/>
      </c>
    </row>
    <row r="242" customFormat="false" ht="15" hidden="false" customHeight="true" outlineLevel="0" collapsed="false">
      <c r="J242" s="21" t="b">
        <f aca="false">IF(원자재마스터!$A239="",FALSE(),원자재마스터!$L239=$B$3)</f>
        <v>0</v>
      </c>
      <c r="K242" s="5" t="str">
        <f aca="false">IF($J242=FALSE(),"",COUNTIF($J$6:$J242,TRUE()))</f>
        <v/>
      </c>
      <c r="L242" s="5" t="str">
        <f aca="false">IF($K242="","","R"&amp;$K242)</f>
        <v/>
      </c>
    </row>
    <row r="243" customFormat="false" ht="15" hidden="false" customHeight="true" outlineLevel="0" collapsed="false">
      <c r="J243" s="21" t="b">
        <f aca="false">IF(원자재마스터!$A240="",FALSE(),원자재마스터!$L240=$B$3)</f>
        <v>0</v>
      </c>
      <c r="K243" s="5" t="str">
        <f aca="false">IF($J243=FALSE(),"",COUNTIF($J$6:$J243,TRUE()))</f>
        <v/>
      </c>
      <c r="L243" s="5" t="str">
        <f aca="false">IF($K243="","","R"&amp;$K243)</f>
        <v/>
      </c>
    </row>
    <row r="244" customFormat="false" ht="15" hidden="false" customHeight="true" outlineLevel="0" collapsed="false">
      <c r="J244" s="21" t="b">
        <f aca="false">IF(원자재마스터!$A241="",FALSE(),원자재마스터!$L241=$B$3)</f>
        <v>0</v>
      </c>
      <c r="K244" s="5" t="str">
        <f aca="false">IF($J244=FALSE(),"",COUNTIF($J$6:$J244,TRUE()))</f>
        <v/>
      </c>
      <c r="L244" s="5" t="str">
        <f aca="false">IF($K244="","","R"&amp;$K244)</f>
        <v/>
      </c>
    </row>
    <row r="245" customFormat="false" ht="15" hidden="false" customHeight="true" outlineLevel="0" collapsed="false">
      <c r="J245" s="21" t="b">
        <f aca="false">IF(원자재마스터!$A242="",FALSE(),원자재마스터!$L242=$B$3)</f>
        <v>0</v>
      </c>
      <c r="K245" s="5" t="str">
        <f aca="false">IF($J245=FALSE(),"",COUNTIF($J$6:$J245,TRUE()))</f>
        <v/>
      </c>
      <c r="L245" s="5" t="str">
        <f aca="false">IF($K245="","","R"&amp;$K245)</f>
        <v/>
      </c>
    </row>
    <row r="246" customFormat="false" ht="15" hidden="false" customHeight="true" outlineLevel="0" collapsed="false">
      <c r="J246" s="21" t="b">
        <f aca="false">IF(원자재마스터!$A243="",FALSE(),원자재마스터!$L243=$B$3)</f>
        <v>0</v>
      </c>
      <c r="K246" s="5" t="str">
        <f aca="false">IF($J246=FALSE(),"",COUNTIF($J$6:$J246,TRUE()))</f>
        <v/>
      </c>
      <c r="L246" s="5" t="str">
        <f aca="false">IF($K246="","","R"&amp;$K246)</f>
        <v/>
      </c>
    </row>
    <row r="247" customFormat="false" ht="15" hidden="false" customHeight="true" outlineLevel="0" collapsed="false">
      <c r="J247" s="21" t="b">
        <f aca="false">IF(원자재마스터!$A244="",FALSE(),원자재마스터!$L244=$B$3)</f>
        <v>0</v>
      </c>
      <c r="K247" s="5" t="str">
        <f aca="false">IF($J247=FALSE(),"",COUNTIF($J$6:$J247,TRUE()))</f>
        <v/>
      </c>
      <c r="L247" s="5" t="str">
        <f aca="false">IF($K247="","","R"&amp;$K247)</f>
        <v/>
      </c>
    </row>
    <row r="248" customFormat="false" ht="15" hidden="false" customHeight="true" outlineLevel="0" collapsed="false">
      <c r="J248" s="21" t="b">
        <f aca="false">IF(원자재마스터!$A245="",FALSE(),원자재마스터!$L245=$B$3)</f>
        <v>0</v>
      </c>
      <c r="K248" s="5" t="str">
        <f aca="false">IF($J248=FALSE(),"",COUNTIF($J$6:$J248,TRUE()))</f>
        <v/>
      </c>
      <c r="L248" s="5" t="str">
        <f aca="false">IF($K248="","","R"&amp;$K248)</f>
        <v/>
      </c>
    </row>
    <row r="249" customFormat="false" ht="15" hidden="false" customHeight="true" outlineLevel="0" collapsed="false">
      <c r="J249" s="21" t="b">
        <f aca="false">IF(원자재마스터!$A246="",FALSE(),원자재마스터!$L246=$B$3)</f>
        <v>0</v>
      </c>
      <c r="K249" s="5" t="str">
        <f aca="false">IF($J249=FALSE(),"",COUNTIF($J$6:$J249,TRUE()))</f>
        <v/>
      </c>
      <c r="L249" s="5" t="str">
        <f aca="false">IF($K249="","","R"&amp;$K249)</f>
        <v/>
      </c>
    </row>
    <row r="250" customFormat="false" ht="15" hidden="false" customHeight="true" outlineLevel="0" collapsed="false">
      <c r="J250" s="21" t="b">
        <f aca="false">IF(원자재마스터!$A247="",FALSE(),원자재마스터!$L247=$B$3)</f>
        <v>0</v>
      </c>
      <c r="K250" s="5" t="str">
        <f aca="false">IF($J250=FALSE(),"",COUNTIF($J$6:$J250,TRUE()))</f>
        <v/>
      </c>
      <c r="L250" s="5" t="str">
        <f aca="false">IF($K250="","","R"&amp;$K250)</f>
        <v/>
      </c>
    </row>
    <row r="251" customFormat="false" ht="15" hidden="false" customHeight="true" outlineLevel="0" collapsed="false">
      <c r="J251" s="21" t="b">
        <f aca="false">IF(원자재마스터!$A248="",FALSE(),원자재마스터!$L248=$B$3)</f>
        <v>0</v>
      </c>
      <c r="K251" s="5" t="str">
        <f aca="false">IF($J251=FALSE(),"",COUNTIF($J$6:$J251,TRUE()))</f>
        <v/>
      </c>
      <c r="L251" s="5" t="str">
        <f aca="false">IF($K251="","","R"&amp;$K251)</f>
        <v/>
      </c>
    </row>
    <row r="252" customFormat="false" ht="15" hidden="false" customHeight="true" outlineLevel="0" collapsed="false">
      <c r="J252" s="21" t="b">
        <f aca="false">IF(원자재마스터!$A249="",FALSE(),원자재마스터!$L249=$B$3)</f>
        <v>0</v>
      </c>
      <c r="K252" s="5" t="str">
        <f aca="false">IF($J252=FALSE(),"",COUNTIF($J$6:$J252,TRUE()))</f>
        <v/>
      </c>
      <c r="L252" s="5" t="str">
        <f aca="false">IF($K252="","","R"&amp;$K252)</f>
        <v/>
      </c>
    </row>
    <row r="253" customFormat="false" ht="15" hidden="false" customHeight="true" outlineLevel="0" collapsed="false">
      <c r="J253" s="21" t="b">
        <f aca="false">IF(원자재마스터!$A250="",FALSE(),원자재마스터!$L250=$B$3)</f>
        <v>0</v>
      </c>
      <c r="K253" s="5" t="str">
        <f aca="false">IF($J253=FALSE(),"",COUNTIF($J$6:$J253,TRUE()))</f>
        <v/>
      </c>
      <c r="L253" s="5" t="str">
        <f aca="false">IF($K253="","","R"&amp;$K253)</f>
        <v/>
      </c>
    </row>
    <row r="254" customFormat="false" ht="15" hidden="false" customHeight="true" outlineLevel="0" collapsed="false">
      <c r="J254" s="21" t="b">
        <f aca="false">IF(원자재마스터!$A251="",FALSE(),원자재마스터!$L251=$B$3)</f>
        <v>0</v>
      </c>
      <c r="K254" s="5" t="str">
        <f aca="false">IF($J254=FALSE(),"",COUNTIF($J$6:$J254,TRUE()))</f>
        <v/>
      </c>
      <c r="L254" s="5" t="str">
        <f aca="false">IF($K254="","","R"&amp;$K254)</f>
        <v/>
      </c>
    </row>
    <row r="255" customFormat="false" ht="15" hidden="false" customHeight="true" outlineLevel="0" collapsed="false">
      <c r="J255" s="21" t="b">
        <f aca="false">IF(원자재마스터!$A252="",FALSE(),원자재마스터!$L252=$B$3)</f>
        <v>0</v>
      </c>
      <c r="K255" s="5" t="str">
        <f aca="false">IF($J255=FALSE(),"",COUNTIF($J$6:$J255,TRUE()))</f>
        <v/>
      </c>
      <c r="L255" s="5" t="str">
        <f aca="false">IF($K255="","","R"&amp;$K255)</f>
        <v/>
      </c>
    </row>
    <row r="256" customFormat="false" ht="15" hidden="false" customHeight="true" outlineLevel="0" collapsed="false">
      <c r="J256" s="21" t="b">
        <f aca="false">IF(원자재마스터!$A253="",FALSE(),원자재마스터!$L253=$B$3)</f>
        <v>0</v>
      </c>
      <c r="K256" s="5" t="str">
        <f aca="false">IF($J256=FALSE(),"",COUNTIF($J$6:$J256,TRUE()))</f>
        <v/>
      </c>
      <c r="L256" s="5" t="str">
        <f aca="false">IF($K256="","","R"&amp;$K256)</f>
        <v/>
      </c>
    </row>
    <row r="257" customFormat="false" ht="15" hidden="false" customHeight="true" outlineLevel="0" collapsed="false">
      <c r="J257" s="21" t="b">
        <f aca="false">IF(원자재마스터!$A254="",FALSE(),원자재마스터!$L254=$B$3)</f>
        <v>0</v>
      </c>
      <c r="K257" s="5" t="str">
        <f aca="false">IF($J257=FALSE(),"",COUNTIF($J$6:$J257,TRUE()))</f>
        <v/>
      </c>
      <c r="L257" s="5" t="str">
        <f aca="false">IF($K257="","","R"&amp;$K257)</f>
        <v/>
      </c>
    </row>
    <row r="258" customFormat="false" ht="15" hidden="false" customHeight="true" outlineLevel="0" collapsed="false">
      <c r="J258" s="21" t="b">
        <f aca="false">IF(원자재마스터!$A255="",FALSE(),원자재마스터!$L255=$B$3)</f>
        <v>0</v>
      </c>
      <c r="K258" s="5" t="str">
        <f aca="false">IF($J258=FALSE(),"",COUNTIF($J$6:$J258,TRUE()))</f>
        <v/>
      </c>
      <c r="L258" s="5" t="str">
        <f aca="false">IF($K258="","","R"&amp;$K258)</f>
        <v/>
      </c>
    </row>
    <row r="259" customFormat="false" ht="15" hidden="false" customHeight="true" outlineLevel="0" collapsed="false">
      <c r="J259" s="21" t="b">
        <f aca="false">IF(원자재마스터!$A256="",FALSE(),원자재마스터!$L256=$B$3)</f>
        <v>0</v>
      </c>
      <c r="K259" s="5" t="str">
        <f aca="false">IF($J259=FALSE(),"",COUNTIF($J$6:$J259,TRUE()))</f>
        <v/>
      </c>
      <c r="L259" s="5" t="str">
        <f aca="false">IF($K259="","","R"&amp;$K259)</f>
        <v/>
      </c>
    </row>
    <row r="260" customFormat="false" ht="15" hidden="false" customHeight="true" outlineLevel="0" collapsed="false">
      <c r="J260" s="21" t="b">
        <f aca="false">IF(원자재마스터!$A257="",FALSE(),원자재마스터!$L257=$B$3)</f>
        <v>0</v>
      </c>
      <c r="K260" s="5" t="str">
        <f aca="false">IF($J260=FALSE(),"",COUNTIF($J$6:$J260,TRUE()))</f>
        <v/>
      </c>
      <c r="L260" s="5" t="str">
        <f aca="false">IF($K260="","","R"&amp;$K260)</f>
        <v/>
      </c>
    </row>
    <row r="261" customFormat="false" ht="15" hidden="false" customHeight="true" outlineLevel="0" collapsed="false">
      <c r="J261" s="21" t="b">
        <f aca="false">IF(원자재마스터!$A258="",FALSE(),원자재마스터!$L258=$B$3)</f>
        <v>0</v>
      </c>
      <c r="K261" s="5" t="str">
        <f aca="false">IF($J261=FALSE(),"",COUNTIF($J$6:$J261,TRUE()))</f>
        <v/>
      </c>
      <c r="L261" s="5" t="str">
        <f aca="false">IF($K261="","","R"&amp;$K261)</f>
        <v/>
      </c>
    </row>
    <row r="262" customFormat="false" ht="15" hidden="false" customHeight="true" outlineLevel="0" collapsed="false">
      <c r="J262" s="21" t="b">
        <f aca="false">IF(원자재마스터!$A259="",FALSE(),원자재마스터!$L259=$B$3)</f>
        <v>0</v>
      </c>
      <c r="K262" s="5" t="str">
        <f aca="false">IF($J262=FALSE(),"",COUNTIF($J$6:$J262,TRUE()))</f>
        <v/>
      </c>
      <c r="L262" s="5" t="str">
        <f aca="false">IF($K262="","","R"&amp;$K262)</f>
        <v/>
      </c>
    </row>
    <row r="263" customFormat="false" ht="15" hidden="false" customHeight="true" outlineLevel="0" collapsed="false">
      <c r="J263" s="21" t="b">
        <f aca="false">IF(원자재마스터!$A260="",FALSE(),원자재마스터!$L260=$B$3)</f>
        <v>0</v>
      </c>
      <c r="K263" s="5" t="str">
        <f aca="false">IF($J263=FALSE(),"",COUNTIF($J$6:$J263,TRUE()))</f>
        <v/>
      </c>
      <c r="L263" s="5" t="str">
        <f aca="false">IF($K263="","","R"&amp;$K263)</f>
        <v/>
      </c>
    </row>
    <row r="264" customFormat="false" ht="15" hidden="false" customHeight="true" outlineLevel="0" collapsed="false">
      <c r="J264" s="21" t="b">
        <f aca="false">IF(원자재마스터!$A261="",FALSE(),원자재마스터!$L261=$B$3)</f>
        <v>0</v>
      </c>
      <c r="K264" s="5" t="str">
        <f aca="false">IF($J264=FALSE(),"",COUNTIF($J$6:$J264,TRUE()))</f>
        <v/>
      </c>
      <c r="L264" s="5" t="str">
        <f aca="false">IF($K264="","","R"&amp;$K264)</f>
        <v/>
      </c>
    </row>
    <row r="265" customFormat="false" ht="15" hidden="false" customHeight="true" outlineLevel="0" collapsed="false">
      <c r="J265" s="21" t="b">
        <f aca="false">IF(원자재마스터!$A262="",FALSE(),원자재마스터!$L262=$B$3)</f>
        <v>0</v>
      </c>
      <c r="K265" s="5" t="str">
        <f aca="false">IF($J265=FALSE(),"",COUNTIF($J$6:$J265,TRUE()))</f>
        <v/>
      </c>
      <c r="L265" s="5" t="str">
        <f aca="false">IF($K265="","","R"&amp;$K265)</f>
        <v/>
      </c>
    </row>
    <row r="266" customFormat="false" ht="15" hidden="false" customHeight="true" outlineLevel="0" collapsed="false">
      <c r="J266" s="21" t="b">
        <f aca="false">IF(원자재마스터!$A263="",FALSE(),원자재마스터!$L263=$B$3)</f>
        <v>0</v>
      </c>
      <c r="K266" s="5" t="str">
        <f aca="false">IF($J266=FALSE(),"",COUNTIF($J$6:$J266,TRUE()))</f>
        <v/>
      </c>
      <c r="L266" s="5" t="str">
        <f aca="false">IF($K266="","","R"&amp;$K266)</f>
        <v/>
      </c>
    </row>
    <row r="267" customFormat="false" ht="15" hidden="false" customHeight="true" outlineLevel="0" collapsed="false">
      <c r="J267" s="21" t="b">
        <f aca="false">IF(원자재마스터!$A264="",FALSE(),원자재마스터!$L264=$B$3)</f>
        <v>0</v>
      </c>
      <c r="K267" s="5" t="str">
        <f aca="false">IF($J267=FALSE(),"",COUNTIF($J$6:$J267,TRUE()))</f>
        <v/>
      </c>
      <c r="L267" s="5" t="str">
        <f aca="false">IF($K267="","","R"&amp;$K267)</f>
        <v/>
      </c>
    </row>
    <row r="268" customFormat="false" ht="15" hidden="false" customHeight="true" outlineLevel="0" collapsed="false">
      <c r="J268" s="21" t="b">
        <f aca="false">IF(원자재마스터!$A265="",FALSE(),원자재마스터!$L265=$B$3)</f>
        <v>0</v>
      </c>
      <c r="K268" s="5" t="str">
        <f aca="false">IF($J268=FALSE(),"",COUNTIF($J$6:$J268,TRUE()))</f>
        <v/>
      </c>
      <c r="L268" s="5" t="str">
        <f aca="false">IF($K268="","","R"&amp;$K268)</f>
        <v/>
      </c>
    </row>
    <row r="269" customFormat="false" ht="15" hidden="false" customHeight="true" outlineLevel="0" collapsed="false">
      <c r="J269" s="21" t="b">
        <f aca="false">IF(원자재마스터!$A266="",FALSE(),원자재마스터!$L266=$B$3)</f>
        <v>0</v>
      </c>
      <c r="K269" s="5" t="str">
        <f aca="false">IF($J269=FALSE(),"",COUNTIF($J$6:$J269,TRUE()))</f>
        <v/>
      </c>
      <c r="L269" s="5" t="str">
        <f aca="false">IF($K269="","","R"&amp;$K269)</f>
        <v/>
      </c>
    </row>
    <row r="270" customFormat="false" ht="15" hidden="false" customHeight="true" outlineLevel="0" collapsed="false">
      <c r="J270" s="21" t="b">
        <f aca="false">IF(원자재마스터!$A267="",FALSE(),원자재마스터!$L267=$B$3)</f>
        <v>0</v>
      </c>
      <c r="K270" s="5" t="str">
        <f aca="false">IF($J270=FALSE(),"",COUNTIF($J$6:$J270,TRUE()))</f>
        <v/>
      </c>
      <c r="L270" s="5" t="str">
        <f aca="false">IF($K270="","","R"&amp;$K270)</f>
        <v/>
      </c>
    </row>
    <row r="271" customFormat="false" ht="15" hidden="false" customHeight="true" outlineLevel="0" collapsed="false">
      <c r="J271" s="21" t="b">
        <f aca="false">IF(원자재마스터!$A268="",FALSE(),원자재마스터!$L268=$B$3)</f>
        <v>0</v>
      </c>
      <c r="K271" s="5" t="str">
        <f aca="false">IF($J271=FALSE(),"",COUNTIF($J$6:$J271,TRUE()))</f>
        <v/>
      </c>
      <c r="L271" s="5" t="str">
        <f aca="false">IF($K271="","","R"&amp;$K271)</f>
        <v/>
      </c>
    </row>
    <row r="272" customFormat="false" ht="15" hidden="false" customHeight="true" outlineLevel="0" collapsed="false">
      <c r="J272" s="21" t="b">
        <f aca="false">IF(원자재마스터!$A269="",FALSE(),원자재마스터!$L269=$B$3)</f>
        <v>0</v>
      </c>
      <c r="K272" s="5" t="str">
        <f aca="false">IF($J272=FALSE(),"",COUNTIF($J$6:$J272,TRUE()))</f>
        <v/>
      </c>
      <c r="L272" s="5" t="str">
        <f aca="false">IF($K272="","","R"&amp;$K272)</f>
        <v/>
      </c>
    </row>
    <row r="273" customFormat="false" ht="15" hidden="false" customHeight="true" outlineLevel="0" collapsed="false">
      <c r="J273" s="21" t="b">
        <f aca="false">IF(원자재마스터!$A270="",FALSE(),원자재마스터!$L270=$B$3)</f>
        <v>0</v>
      </c>
      <c r="K273" s="5" t="str">
        <f aca="false">IF($J273=FALSE(),"",COUNTIF($J$6:$J273,TRUE()))</f>
        <v/>
      </c>
      <c r="L273" s="5" t="str">
        <f aca="false">IF($K273="","","R"&amp;$K273)</f>
        <v/>
      </c>
    </row>
    <row r="274" customFormat="false" ht="15" hidden="false" customHeight="true" outlineLevel="0" collapsed="false">
      <c r="J274" s="21" t="b">
        <f aca="false">IF(원자재마스터!$A271="",FALSE(),원자재마스터!$L271=$B$3)</f>
        <v>0</v>
      </c>
      <c r="K274" s="5" t="str">
        <f aca="false">IF($J274=FALSE(),"",COUNTIF($J$6:$J274,TRUE()))</f>
        <v/>
      </c>
      <c r="L274" s="5" t="str">
        <f aca="false">IF($K274="","","R"&amp;$K274)</f>
        <v/>
      </c>
    </row>
    <row r="275" customFormat="false" ht="15" hidden="false" customHeight="true" outlineLevel="0" collapsed="false">
      <c r="J275" s="21" t="b">
        <f aca="false">IF(원자재마스터!$A272="",FALSE(),원자재마스터!$L272=$B$3)</f>
        <v>0</v>
      </c>
      <c r="K275" s="5" t="str">
        <f aca="false">IF($J275=FALSE(),"",COUNTIF($J$6:$J275,TRUE()))</f>
        <v/>
      </c>
      <c r="L275" s="5" t="str">
        <f aca="false">IF($K275="","","R"&amp;$K275)</f>
        <v/>
      </c>
    </row>
    <row r="276" customFormat="false" ht="15" hidden="false" customHeight="true" outlineLevel="0" collapsed="false">
      <c r="J276" s="21" t="b">
        <f aca="false">IF(원자재마스터!$A273="",FALSE(),원자재마스터!$L273=$B$3)</f>
        <v>0</v>
      </c>
      <c r="K276" s="5" t="str">
        <f aca="false">IF($J276=FALSE(),"",COUNTIF($J$6:$J276,TRUE()))</f>
        <v/>
      </c>
      <c r="L276" s="5" t="str">
        <f aca="false">IF($K276="","","R"&amp;$K276)</f>
        <v/>
      </c>
    </row>
    <row r="277" customFormat="false" ht="15" hidden="false" customHeight="true" outlineLevel="0" collapsed="false">
      <c r="J277" s="21" t="b">
        <f aca="false">IF(원자재마스터!$A274="",FALSE(),원자재마스터!$L274=$B$3)</f>
        <v>0</v>
      </c>
      <c r="K277" s="5" t="str">
        <f aca="false">IF($J277=FALSE(),"",COUNTIF($J$6:$J277,TRUE()))</f>
        <v/>
      </c>
      <c r="L277" s="5" t="str">
        <f aca="false">IF($K277="","","R"&amp;$K277)</f>
        <v/>
      </c>
    </row>
    <row r="278" customFormat="false" ht="15" hidden="false" customHeight="true" outlineLevel="0" collapsed="false">
      <c r="J278" s="21" t="b">
        <f aca="false">IF(원자재마스터!$A275="",FALSE(),원자재마스터!$L275=$B$3)</f>
        <v>0</v>
      </c>
      <c r="K278" s="5" t="str">
        <f aca="false">IF($J278=FALSE(),"",COUNTIF($J$6:$J278,TRUE()))</f>
        <v/>
      </c>
      <c r="L278" s="5" t="str">
        <f aca="false">IF($K278="","","R"&amp;$K278)</f>
        <v/>
      </c>
    </row>
    <row r="279" customFormat="false" ht="15" hidden="false" customHeight="true" outlineLevel="0" collapsed="false">
      <c r="J279" s="21" t="b">
        <f aca="false">IF(원자재마스터!$A276="",FALSE(),원자재마스터!$L276=$B$3)</f>
        <v>0</v>
      </c>
      <c r="K279" s="5" t="str">
        <f aca="false">IF($J279=FALSE(),"",COUNTIF($J$6:$J279,TRUE()))</f>
        <v/>
      </c>
      <c r="L279" s="5" t="str">
        <f aca="false">IF($K279="","","R"&amp;$K279)</f>
        <v/>
      </c>
    </row>
    <row r="280" customFormat="false" ht="15" hidden="false" customHeight="true" outlineLevel="0" collapsed="false">
      <c r="J280" s="21" t="b">
        <f aca="false">IF(원자재마스터!$A277="",FALSE(),원자재마스터!$L277=$B$3)</f>
        <v>0</v>
      </c>
      <c r="K280" s="5" t="str">
        <f aca="false">IF($J280=FALSE(),"",COUNTIF($J$6:$J280,TRUE()))</f>
        <v/>
      </c>
      <c r="L280" s="5" t="str">
        <f aca="false">IF($K280="","","R"&amp;$K280)</f>
        <v/>
      </c>
    </row>
    <row r="281" customFormat="false" ht="15" hidden="false" customHeight="true" outlineLevel="0" collapsed="false">
      <c r="J281" s="21" t="b">
        <f aca="false">IF(원자재마스터!$A278="",FALSE(),원자재마스터!$L278=$B$3)</f>
        <v>0</v>
      </c>
      <c r="K281" s="5" t="str">
        <f aca="false">IF($J281=FALSE(),"",COUNTIF($J$6:$J281,TRUE()))</f>
        <v/>
      </c>
      <c r="L281" s="5" t="str">
        <f aca="false">IF($K281="","","R"&amp;$K281)</f>
        <v/>
      </c>
    </row>
    <row r="282" customFormat="false" ht="15" hidden="false" customHeight="true" outlineLevel="0" collapsed="false">
      <c r="J282" s="21" t="b">
        <f aca="false">IF(원자재마스터!$A279="",FALSE(),원자재마스터!$L279=$B$3)</f>
        <v>0</v>
      </c>
      <c r="K282" s="5" t="str">
        <f aca="false">IF($J282=FALSE(),"",COUNTIF($J$6:$J282,TRUE()))</f>
        <v/>
      </c>
      <c r="L282" s="5" t="str">
        <f aca="false">IF($K282="","","R"&amp;$K282)</f>
        <v/>
      </c>
    </row>
    <row r="283" customFormat="false" ht="15" hidden="false" customHeight="true" outlineLevel="0" collapsed="false">
      <c r="J283" s="21" t="b">
        <f aca="false">IF(원자재마스터!$A280="",FALSE(),원자재마스터!$L280=$B$3)</f>
        <v>0</v>
      </c>
      <c r="K283" s="5" t="str">
        <f aca="false">IF($J283=FALSE(),"",COUNTIF($J$6:$J283,TRUE()))</f>
        <v/>
      </c>
      <c r="L283" s="5" t="str">
        <f aca="false">IF($K283="","","R"&amp;$K283)</f>
        <v/>
      </c>
    </row>
    <row r="284" customFormat="false" ht="15" hidden="false" customHeight="true" outlineLevel="0" collapsed="false">
      <c r="J284" s="21" t="b">
        <f aca="false">IF(원자재마스터!$A281="",FALSE(),원자재마스터!$L281=$B$3)</f>
        <v>0</v>
      </c>
      <c r="K284" s="5" t="str">
        <f aca="false">IF($J284=FALSE(),"",COUNTIF($J$6:$J284,TRUE()))</f>
        <v/>
      </c>
      <c r="L284" s="5" t="str">
        <f aca="false">IF($K284="","","R"&amp;$K284)</f>
        <v/>
      </c>
    </row>
    <row r="285" customFormat="false" ht="15" hidden="false" customHeight="true" outlineLevel="0" collapsed="false">
      <c r="J285" s="21" t="b">
        <f aca="false">IF(원자재마스터!$A282="",FALSE(),원자재마스터!$L282=$B$3)</f>
        <v>0</v>
      </c>
      <c r="K285" s="5" t="str">
        <f aca="false">IF($J285=FALSE(),"",COUNTIF($J$6:$J285,TRUE()))</f>
        <v/>
      </c>
      <c r="L285" s="5" t="str">
        <f aca="false">IF($K285="","","R"&amp;$K285)</f>
        <v/>
      </c>
    </row>
    <row r="286" customFormat="false" ht="15" hidden="false" customHeight="true" outlineLevel="0" collapsed="false">
      <c r="J286" s="21" t="b">
        <f aca="false">IF(원자재마스터!$A283="",FALSE(),원자재마스터!$L283=$B$3)</f>
        <v>0</v>
      </c>
      <c r="K286" s="5" t="str">
        <f aca="false">IF($J286=FALSE(),"",COUNTIF($J$6:$J286,TRUE()))</f>
        <v/>
      </c>
      <c r="L286" s="5" t="str">
        <f aca="false">IF($K286="","","R"&amp;$K286)</f>
        <v/>
      </c>
    </row>
    <row r="287" customFormat="false" ht="15" hidden="false" customHeight="true" outlineLevel="0" collapsed="false">
      <c r="J287" s="21" t="b">
        <f aca="false">IF(원자재마스터!$A284="",FALSE(),원자재마스터!$L284=$B$3)</f>
        <v>0</v>
      </c>
      <c r="K287" s="5" t="str">
        <f aca="false">IF($J287=FALSE(),"",COUNTIF($J$6:$J287,TRUE()))</f>
        <v/>
      </c>
      <c r="L287" s="5" t="str">
        <f aca="false">IF($K287="","","R"&amp;$K287)</f>
        <v/>
      </c>
    </row>
    <row r="288" customFormat="false" ht="15" hidden="false" customHeight="true" outlineLevel="0" collapsed="false">
      <c r="J288" s="21" t="b">
        <f aca="false">IF(원자재마스터!$A285="",FALSE(),원자재마스터!$L285=$B$3)</f>
        <v>0</v>
      </c>
      <c r="K288" s="5" t="str">
        <f aca="false">IF($J288=FALSE(),"",COUNTIF($J$6:$J288,TRUE()))</f>
        <v/>
      </c>
      <c r="L288" s="5" t="str">
        <f aca="false">IF($K288="","","R"&amp;$K288)</f>
        <v/>
      </c>
    </row>
    <row r="289" customFormat="false" ht="15" hidden="false" customHeight="true" outlineLevel="0" collapsed="false">
      <c r="J289" s="21" t="b">
        <f aca="false">IF(원자재마스터!$A286="",FALSE(),원자재마스터!$L286=$B$3)</f>
        <v>0</v>
      </c>
      <c r="K289" s="5" t="str">
        <f aca="false">IF($J289=FALSE(),"",COUNTIF($J$6:$J289,TRUE()))</f>
        <v/>
      </c>
      <c r="L289" s="5" t="str">
        <f aca="false">IF($K289="","","R"&amp;$K289)</f>
        <v/>
      </c>
    </row>
    <row r="290" customFormat="false" ht="15" hidden="false" customHeight="true" outlineLevel="0" collapsed="false">
      <c r="J290" s="21" t="b">
        <f aca="false">IF(원자재마스터!$A287="",FALSE(),원자재마스터!$L287=$B$3)</f>
        <v>0</v>
      </c>
      <c r="K290" s="5" t="str">
        <f aca="false">IF($J290=FALSE(),"",COUNTIF($J$6:$J290,TRUE()))</f>
        <v/>
      </c>
      <c r="L290" s="5" t="str">
        <f aca="false">IF($K290="","","R"&amp;$K290)</f>
        <v/>
      </c>
    </row>
    <row r="291" customFormat="false" ht="15" hidden="false" customHeight="true" outlineLevel="0" collapsed="false">
      <c r="J291" s="21" t="b">
        <f aca="false">IF(원자재마스터!$A288="",FALSE(),원자재마스터!$L288=$B$3)</f>
        <v>0</v>
      </c>
      <c r="K291" s="5" t="str">
        <f aca="false">IF($J291=FALSE(),"",COUNTIF($J$6:$J291,TRUE()))</f>
        <v/>
      </c>
      <c r="L291" s="5" t="str">
        <f aca="false">IF($K291="","","R"&amp;$K291)</f>
        <v/>
      </c>
    </row>
    <row r="292" customFormat="false" ht="15" hidden="false" customHeight="true" outlineLevel="0" collapsed="false">
      <c r="J292" s="21" t="b">
        <f aca="false">IF(원자재마스터!$A289="",FALSE(),원자재마스터!$L289=$B$3)</f>
        <v>0</v>
      </c>
      <c r="K292" s="5" t="str">
        <f aca="false">IF($J292=FALSE(),"",COUNTIF($J$6:$J292,TRUE()))</f>
        <v/>
      </c>
      <c r="L292" s="5" t="str">
        <f aca="false">IF($K292="","","R"&amp;$K292)</f>
        <v/>
      </c>
    </row>
    <row r="293" customFormat="false" ht="15" hidden="false" customHeight="true" outlineLevel="0" collapsed="false">
      <c r="J293" s="21" t="b">
        <f aca="false">IF(원자재마스터!$A290="",FALSE(),원자재마스터!$L290=$B$3)</f>
        <v>0</v>
      </c>
      <c r="K293" s="5" t="str">
        <f aca="false">IF($J293=FALSE(),"",COUNTIF($J$6:$J293,TRUE()))</f>
        <v/>
      </c>
      <c r="L293" s="5" t="str">
        <f aca="false">IF($K293="","","R"&amp;$K293)</f>
        <v/>
      </c>
    </row>
    <row r="294" customFormat="false" ht="15" hidden="false" customHeight="true" outlineLevel="0" collapsed="false">
      <c r="J294" s="21" t="b">
        <f aca="false">IF(원자재마스터!$A291="",FALSE(),원자재마스터!$L291=$B$3)</f>
        <v>0</v>
      </c>
      <c r="K294" s="5" t="str">
        <f aca="false">IF($J294=FALSE(),"",COUNTIF($J$6:$J294,TRUE()))</f>
        <v/>
      </c>
      <c r="L294" s="5" t="str">
        <f aca="false">IF($K294="","","R"&amp;$K294)</f>
        <v/>
      </c>
    </row>
    <row r="295" customFormat="false" ht="15" hidden="false" customHeight="true" outlineLevel="0" collapsed="false">
      <c r="J295" s="21" t="b">
        <f aca="false">IF(원자재마스터!$A292="",FALSE(),원자재마스터!$L292=$B$3)</f>
        <v>0</v>
      </c>
      <c r="K295" s="5" t="str">
        <f aca="false">IF($J295=FALSE(),"",COUNTIF($J$6:$J295,TRUE()))</f>
        <v/>
      </c>
      <c r="L295" s="5" t="str">
        <f aca="false">IF($K295="","","R"&amp;$K295)</f>
        <v/>
      </c>
    </row>
    <row r="296" customFormat="false" ht="15" hidden="false" customHeight="true" outlineLevel="0" collapsed="false">
      <c r="J296" s="21" t="b">
        <f aca="false">IF(원자재마스터!$A293="",FALSE(),원자재마스터!$L293=$B$3)</f>
        <v>0</v>
      </c>
      <c r="K296" s="5" t="str">
        <f aca="false">IF($J296=FALSE(),"",COUNTIF($J$6:$J296,TRUE()))</f>
        <v/>
      </c>
      <c r="L296" s="5" t="str">
        <f aca="false">IF($K296="","","R"&amp;$K296)</f>
        <v/>
      </c>
    </row>
    <row r="297" customFormat="false" ht="15" hidden="false" customHeight="true" outlineLevel="0" collapsed="false">
      <c r="J297" s="21" t="b">
        <f aca="false">IF(원자재마스터!$A294="",FALSE(),원자재마스터!$L294=$B$3)</f>
        <v>0</v>
      </c>
      <c r="K297" s="5" t="str">
        <f aca="false">IF($J297=FALSE(),"",COUNTIF($J$6:$J297,TRUE()))</f>
        <v/>
      </c>
      <c r="L297" s="5" t="str">
        <f aca="false">IF($K297="","","R"&amp;$K297)</f>
        <v/>
      </c>
    </row>
    <row r="298" customFormat="false" ht="15" hidden="false" customHeight="true" outlineLevel="0" collapsed="false">
      <c r="J298" s="21" t="b">
        <f aca="false">IF(원자재마스터!$A295="",FALSE(),원자재마스터!$L295=$B$3)</f>
        <v>0</v>
      </c>
      <c r="K298" s="5" t="str">
        <f aca="false">IF($J298=FALSE(),"",COUNTIF($J$6:$J298,TRUE()))</f>
        <v/>
      </c>
      <c r="L298" s="5" t="str">
        <f aca="false">IF($K298="","","R"&amp;$K298)</f>
        <v/>
      </c>
    </row>
    <row r="299" customFormat="false" ht="15" hidden="false" customHeight="true" outlineLevel="0" collapsed="false">
      <c r="J299" s="21" t="b">
        <f aca="false">IF(원자재마스터!$A296="",FALSE(),원자재마스터!$L296=$B$3)</f>
        <v>0</v>
      </c>
      <c r="K299" s="5" t="str">
        <f aca="false">IF($J299=FALSE(),"",COUNTIF($J$6:$J299,TRUE()))</f>
        <v/>
      </c>
      <c r="L299" s="5" t="str">
        <f aca="false">IF($K299="","","R"&amp;$K299)</f>
        <v/>
      </c>
    </row>
    <row r="300" customFormat="false" ht="15" hidden="false" customHeight="true" outlineLevel="0" collapsed="false">
      <c r="J300" s="21" t="b">
        <f aca="false">IF(원자재마스터!$A297="",FALSE(),원자재마스터!$L297=$B$3)</f>
        <v>0</v>
      </c>
      <c r="K300" s="5" t="str">
        <f aca="false">IF($J300=FALSE(),"",COUNTIF($J$6:$J300,TRUE()))</f>
        <v/>
      </c>
      <c r="L300" s="5" t="str">
        <f aca="false">IF($K300="","","R"&amp;$K300)</f>
        <v/>
      </c>
    </row>
    <row r="301" customFormat="false" ht="15" hidden="false" customHeight="true" outlineLevel="0" collapsed="false">
      <c r="J301" s="21" t="b">
        <f aca="false">IF(원자재마스터!$A298="",FALSE(),원자재마스터!$L298=$B$3)</f>
        <v>0</v>
      </c>
      <c r="K301" s="5" t="str">
        <f aca="false">IF($J301=FALSE(),"",COUNTIF($J$6:$J301,TRUE()))</f>
        <v/>
      </c>
      <c r="L301" s="5" t="str">
        <f aca="false">IF($K301="","","R"&amp;$K301)</f>
        <v/>
      </c>
    </row>
    <row r="302" customFormat="false" ht="15" hidden="false" customHeight="true" outlineLevel="0" collapsed="false">
      <c r="J302" s="21" t="b">
        <f aca="false">IF(원자재마스터!$A299="",FALSE(),원자재마스터!$L299=$B$3)</f>
        <v>0</v>
      </c>
      <c r="K302" s="5" t="str">
        <f aca="false">IF($J302=FALSE(),"",COUNTIF($J$6:$J302,TRUE()))</f>
        <v/>
      </c>
      <c r="L302" s="5" t="str">
        <f aca="false">IF($K302="","","R"&amp;$K302)</f>
        <v/>
      </c>
    </row>
    <row r="303" customFormat="false" ht="15" hidden="false" customHeight="true" outlineLevel="0" collapsed="false">
      <c r="J303" s="21" t="b">
        <f aca="false">IF(원자재마스터!$A300="",FALSE(),원자재마스터!$L300=$B$3)</f>
        <v>0</v>
      </c>
      <c r="K303" s="5" t="str">
        <f aca="false">IF($J303=FALSE(),"",COUNTIF($J$6:$J303,TRUE()))</f>
        <v/>
      </c>
      <c r="L303" s="5" t="str">
        <f aca="false">IF($K303="","","R"&amp;$K303)</f>
        <v/>
      </c>
    </row>
    <row r="304" customFormat="false" ht="15" hidden="false" customHeight="true" outlineLevel="0" collapsed="false">
      <c r="J304" s="21" t="b">
        <f aca="false">IF(원자재마스터!$A301="",FALSE(),원자재마스터!$L301=$B$3)</f>
        <v>0</v>
      </c>
      <c r="K304" s="5" t="str">
        <f aca="false">IF($J304=FALSE(),"",COUNTIF($J$6:$J304,TRUE()))</f>
        <v/>
      </c>
      <c r="L304" s="5" t="str">
        <f aca="false">IF($K304="","","R"&amp;$K304)</f>
        <v/>
      </c>
    </row>
    <row r="305" customFormat="false" ht="15" hidden="false" customHeight="true" outlineLevel="0" collapsed="false">
      <c r="J305" s="21" t="b">
        <f aca="false">IF(원자재마스터!$A302="",FALSE(),원자재마스터!$L302=$B$3)</f>
        <v>0</v>
      </c>
      <c r="K305" s="5" t="str">
        <f aca="false">IF($J305=FALSE(),"",COUNTIF($J$6:$J305,TRUE()))</f>
        <v/>
      </c>
      <c r="L305" s="5" t="str">
        <f aca="false">IF($K305="","","R"&amp;$K305)</f>
        <v/>
      </c>
    </row>
    <row r="306" customFormat="false" ht="15" hidden="false" customHeight="true" outlineLevel="0" collapsed="false">
      <c r="J306" s="21" t="b">
        <f aca="false">IF(원자재마스터!$A303="",FALSE(),원자재마스터!$L303=$B$3)</f>
        <v>0</v>
      </c>
      <c r="K306" s="5" t="str">
        <f aca="false">IF($J306=FALSE(),"",COUNTIF($J$6:$J306,TRUE()))</f>
        <v/>
      </c>
      <c r="L306" s="5" t="str">
        <f aca="false">IF($K306="","","R"&amp;$K306)</f>
        <v/>
      </c>
    </row>
    <row r="307" customFormat="false" ht="15" hidden="false" customHeight="true" outlineLevel="0" collapsed="false">
      <c r="J307" s="21" t="b">
        <f aca="false">IF(원자재마스터!$A304="",FALSE(),원자재마스터!$L304=$B$3)</f>
        <v>0</v>
      </c>
      <c r="K307" s="5" t="str">
        <f aca="false">IF($J307=FALSE(),"",COUNTIF($J$6:$J307,TRUE()))</f>
        <v/>
      </c>
      <c r="L307" s="5" t="str">
        <f aca="false">IF($K307="","","R"&amp;$K307)</f>
        <v/>
      </c>
    </row>
    <row r="308" customFormat="false" ht="15" hidden="false" customHeight="true" outlineLevel="0" collapsed="false">
      <c r="J308" s="21" t="b">
        <f aca="false">IF(원자재마스터!$A305="",FALSE(),원자재마스터!$L305=$B$3)</f>
        <v>0</v>
      </c>
      <c r="K308" s="5" t="str">
        <f aca="false">IF($J308=FALSE(),"",COUNTIF($J$6:$J308,TRUE()))</f>
        <v/>
      </c>
      <c r="L308" s="5" t="str">
        <f aca="false">IF($K308="","","R"&amp;$K308)</f>
        <v/>
      </c>
    </row>
    <row r="309" customFormat="false" ht="15" hidden="false" customHeight="true" outlineLevel="0" collapsed="false">
      <c r="J309" s="21" t="b">
        <f aca="false">IF(원자재마스터!$A306="",FALSE(),원자재마스터!$L306=$B$3)</f>
        <v>0</v>
      </c>
      <c r="K309" s="5" t="str">
        <f aca="false">IF($J309=FALSE(),"",COUNTIF($J$6:$J309,TRUE()))</f>
        <v/>
      </c>
      <c r="L309" s="5" t="str">
        <f aca="false">IF($K309="","","R"&amp;$K309)</f>
        <v/>
      </c>
    </row>
    <row r="310" customFormat="false" ht="15" hidden="false" customHeight="true" outlineLevel="0" collapsed="false">
      <c r="J310" s="21" t="b">
        <f aca="false">IF(원자재마스터!$A307="",FALSE(),원자재마스터!$L307=$B$3)</f>
        <v>0</v>
      </c>
      <c r="K310" s="5" t="str">
        <f aca="false">IF($J310=FALSE(),"",COUNTIF($J$6:$J310,TRUE()))</f>
        <v/>
      </c>
      <c r="L310" s="5" t="str">
        <f aca="false">IF($K310="","","R"&amp;$K310)</f>
        <v/>
      </c>
    </row>
    <row r="311" customFormat="false" ht="15" hidden="false" customHeight="true" outlineLevel="0" collapsed="false">
      <c r="J311" s="21" t="b">
        <f aca="false">IF(원자재마스터!$A308="",FALSE(),원자재마스터!$L308=$B$3)</f>
        <v>0</v>
      </c>
      <c r="K311" s="5" t="str">
        <f aca="false">IF($J311=FALSE(),"",COUNTIF($J$6:$J311,TRUE()))</f>
        <v/>
      </c>
      <c r="L311" s="5" t="str">
        <f aca="false">IF($K311="","","R"&amp;$K311)</f>
        <v/>
      </c>
    </row>
    <row r="312" customFormat="false" ht="15" hidden="false" customHeight="true" outlineLevel="0" collapsed="false">
      <c r="J312" s="21" t="b">
        <f aca="false">IF(원자재마스터!$A309="",FALSE(),원자재마스터!$L309=$B$3)</f>
        <v>0</v>
      </c>
      <c r="K312" s="5" t="str">
        <f aca="false">IF($J312=FALSE(),"",COUNTIF($J$6:$J312,TRUE()))</f>
        <v/>
      </c>
      <c r="L312" s="5" t="str">
        <f aca="false">IF($K312="","","R"&amp;$K312)</f>
        <v/>
      </c>
    </row>
    <row r="313" customFormat="false" ht="15" hidden="false" customHeight="true" outlineLevel="0" collapsed="false">
      <c r="J313" s="21" t="b">
        <f aca="false">IF(원자재마스터!$A310="",FALSE(),원자재마스터!$L310=$B$3)</f>
        <v>0</v>
      </c>
      <c r="K313" s="5" t="str">
        <f aca="false">IF($J313=FALSE(),"",COUNTIF($J$6:$J313,TRUE()))</f>
        <v/>
      </c>
      <c r="L313" s="5" t="str">
        <f aca="false">IF($K313="","","R"&amp;$K313)</f>
        <v/>
      </c>
    </row>
    <row r="314" customFormat="false" ht="15" hidden="false" customHeight="true" outlineLevel="0" collapsed="false">
      <c r="J314" s="21" t="b">
        <f aca="false">IF(원자재마스터!$A311="",FALSE(),원자재마스터!$L311=$B$3)</f>
        <v>0</v>
      </c>
      <c r="K314" s="5" t="str">
        <f aca="false">IF($J314=FALSE(),"",COUNTIF($J$6:$J314,TRUE()))</f>
        <v/>
      </c>
      <c r="L314" s="5" t="str">
        <f aca="false">IF($K314="","","R"&amp;$K314)</f>
        <v/>
      </c>
    </row>
    <row r="315" customFormat="false" ht="15" hidden="false" customHeight="true" outlineLevel="0" collapsed="false">
      <c r="J315" s="21" t="b">
        <f aca="false">IF(원자재마스터!$A312="",FALSE(),원자재마스터!$L312=$B$3)</f>
        <v>0</v>
      </c>
      <c r="K315" s="5" t="str">
        <f aca="false">IF($J315=FALSE(),"",COUNTIF($J$6:$J315,TRUE()))</f>
        <v/>
      </c>
      <c r="L315" s="5" t="str">
        <f aca="false">IF($K315="","","R"&amp;$K315)</f>
        <v/>
      </c>
    </row>
    <row r="316" customFormat="false" ht="15" hidden="false" customHeight="true" outlineLevel="0" collapsed="false">
      <c r="J316" s="21" t="b">
        <f aca="false">IF(원자재마스터!$A313="",FALSE(),원자재마스터!$L313=$B$3)</f>
        <v>0</v>
      </c>
      <c r="K316" s="5" t="str">
        <f aca="false">IF($J316=FALSE(),"",COUNTIF($J$6:$J316,TRUE()))</f>
        <v/>
      </c>
      <c r="L316" s="5" t="str">
        <f aca="false">IF($K316="","","R"&amp;$K316)</f>
        <v/>
      </c>
    </row>
    <row r="317" customFormat="false" ht="15" hidden="false" customHeight="true" outlineLevel="0" collapsed="false">
      <c r="J317" s="21" t="b">
        <f aca="false">IF(원자재마스터!$A314="",FALSE(),원자재마스터!$L314=$B$3)</f>
        <v>0</v>
      </c>
      <c r="K317" s="5" t="str">
        <f aca="false">IF($J317=FALSE(),"",COUNTIF($J$6:$J317,TRUE()))</f>
        <v/>
      </c>
      <c r="L317" s="5" t="str">
        <f aca="false">IF($K317="","","R"&amp;$K317)</f>
        <v/>
      </c>
    </row>
    <row r="318" customFormat="false" ht="15" hidden="false" customHeight="true" outlineLevel="0" collapsed="false">
      <c r="J318" s="21" t="b">
        <f aca="false">IF(원자재마스터!$A315="",FALSE(),원자재마스터!$L315=$B$3)</f>
        <v>0</v>
      </c>
      <c r="K318" s="5" t="str">
        <f aca="false">IF($J318=FALSE(),"",COUNTIF($J$6:$J318,TRUE()))</f>
        <v/>
      </c>
      <c r="L318" s="5" t="str">
        <f aca="false">IF($K318="","","R"&amp;$K318)</f>
        <v/>
      </c>
    </row>
    <row r="319" customFormat="false" ht="15" hidden="false" customHeight="true" outlineLevel="0" collapsed="false">
      <c r="J319" s="21" t="b">
        <f aca="false">IF(원자재마스터!$A316="",FALSE(),원자재마스터!$L316=$B$3)</f>
        <v>0</v>
      </c>
      <c r="K319" s="5" t="str">
        <f aca="false">IF($J319=FALSE(),"",COUNTIF($J$6:$J319,TRUE()))</f>
        <v/>
      </c>
      <c r="L319" s="5" t="str">
        <f aca="false">IF($K319="","","R"&amp;$K319)</f>
        <v/>
      </c>
    </row>
    <row r="320" customFormat="false" ht="15" hidden="false" customHeight="true" outlineLevel="0" collapsed="false">
      <c r="J320" s="21" t="b">
        <f aca="false">IF(원자재마스터!$A317="",FALSE(),원자재마스터!$L317=$B$3)</f>
        <v>0</v>
      </c>
      <c r="K320" s="5" t="str">
        <f aca="false">IF($J320=FALSE(),"",COUNTIF($J$6:$J320,TRUE()))</f>
        <v/>
      </c>
      <c r="L320" s="5" t="str">
        <f aca="false">IF($K320="","","R"&amp;$K320)</f>
        <v/>
      </c>
    </row>
    <row r="321" customFormat="false" ht="15" hidden="false" customHeight="true" outlineLevel="0" collapsed="false">
      <c r="J321" s="21" t="b">
        <f aca="false">IF(원자재마스터!$A318="",FALSE(),원자재마스터!$L318=$B$3)</f>
        <v>0</v>
      </c>
      <c r="K321" s="5" t="str">
        <f aca="false">IF($J321=FALSE(),"",COUNTIF($J$6:$J321,TRUE()))</f>
        <v/>
      </c>
      <c r="L321" s="5" t="str">
        <f aca="false">IF($K321="","","R"&amp;$K321)</f>
        <v/>
      </c>
    </row>
    <row r="322" customFormat="false" ht="15" hidden="false" customHeight="true" outlineLevel="0" collapsed="false">
      <c r="J322" s="21" t="b">
        <f aca="false">IF(원자재마스터!$A319="",FALSE(),원자재마스터!$L319=$B$3)</f>
        <v>0</v>
      </c>
      <c r="K322" s="5" t="str">
        <f aca="false">IF($J322=FALSE(),"",COUNTIF($J$6:$J322,TRUE()))</f>
        <v/>
      </c>
      <c r="L322" s="5" t="str">
        <f aca="false">IF($K322="","","R"&amp;$K322)</f>
        <v/>
      </c>
    </row>
    <row r="323" customFormat="false" ht="15" hidden="false" customHeight="true" outlineLevel="0" collapsed="false">
      <c r="J323" s="21" t="b">
        <f aca="false">IF(원자재마스터!$A320="",FALSE(),원자재마스터!$L320=$B$3)</f>
        <v>0</v>
      </c>
      <c r="K323" s="5" t="str">
        <f aca="false">IF($J323=FALSE(),"",COUNTIF($J$6:$J323,TRUE()))</f>
        <v/>
      </c>
      <c r="L323" s="5" t="str">
        <f aca="false">IF($K323="","","R"&amp;$K323)</f>
        <v/>
      </c>
    </row>
    <row r="324" customFormat="false" ht="15" hidden="false" customHeight="true" outlineLevel="0" collapsed="false">
      <c r="J324" s="21" t="b">
        <f aca="false">IF(원자재마스터!$A321="",FALSE(),원자재마스터!$L321=$B$3)</f>
        <v>0</v>
      </c>
      <c r="K324" s="5" t="str">
        <f aca="false">IF($J324=FALSE(),"",COUNTIF($J$6:$J324,TRUE()))</f>
        <v/>
      </c>
      <c r="L324" s="5" t="str">
        <f aca="false">IF($K324="","","R"&amp;$K324)</f>
        <v/>
      </c>
    </row>
    <row r="325" customFormat="false" ht="15" hidden="false" customHeight="true" outlineLevel="0" collapsed="false">
      <c r="J325" s="21" t="b">
        <f aca="false">IF(원자재마스터!$A322="",FALSE(),원자재마스터!$L322=$B$3)</f>
        <v>0</v>
      </c>
      <c r="K325" s="5" t="str">
        <f aca="false">IF($J325=FALSE(),"",COUNTIF($J$6:$J325,TRUE()))</f>
        <v/>
      </c>
      <c r="L325" s="5" t="str">
        <f aca="false">IF($K325="","","R"&amp;$K325)</f>
        <v/>
      </c>
    </row>
    <row r="326" customFormat="false" ht="15" hidden="false" customHeight="true" outlineLevel="0" collapsed="false">
      <c r="J326" s="21" t="b">
        <f aca="false">IF(원자재마스터!$A323="",FALSE(),원자재마스터!$L323=$B$3)</f>
        <v>0</v>
      </c>
      <c r="K326" s="5" t="str">
        <f aca="false">IF($J326=FALSE(),"",COUNTIF($J$6:$J326,TRUE()))</f>
        <v/>
      </c>
      <c r="L326" s="5" t="str">
        <f aca="false">IF($K326="","","R"&amp;$K326)</f>
        <v/>
      </c>
    </row>
    <row r="327" customFormat="false" ht="15" hidden="false" customHeight="true" outlineLevel="0" collapsed="false">
      <c r="J327" s="21" t="b">
        <f aca="false">IF(원자재마스터!$A324="",FALSE(),원자재마스터!$L324=$B$3)</f>
        <v>0</v>
      </c>
      <c r="K327" s="5" t="str">
        <f aca="false">IF($J327=FALSE(),"",COUNTIF($J$6:$J327,TRUE()))</f>
        <v/>
      </c>
      <c r="L327" s="5" t="str">
        <f aca="false">IF($K327="","","R"&amp;$K327)</f>
        <v/>
      </c>
    </row>
    <row r="328" customFormat="false" ht="15" hidden="false" customHeight="true" outlineLevel="0" collapsed="false">
      <c r="J328" s="21" t="b">
        <f aca="false">IF(원자재마스터!$A325="",FALSE(),원자재마스터!$L325=$B$3)</f>
        <v>0</v>
      </c>
      <c r="K328" s="5" t="str">
        <f aca="false">IF($J328=FALSE(),"",COUNTIF($J$6:$J328,TRUE()))</f>
        <v/>
      </c>
      <c r="L328" s="5" t="str">
        <f aca="false">IF($K328="","","R"&amp;$K328)</f>
        <v/>
      </c>
    </row>
    <row r="329" customFormat="false" ht="15" hidden="false" customHeight="true" outlineLevel="0" collapsed="false">
      <c r="J329" s="21" t="b">
        <f aca="false">IF(원자재마스터!$A326="",FALSE(),원자재마스터!$L326=$B$3)</f>
        <v>0</v>
      </c>
      <c r="K329" s="5" t="str">
        <f aca="false">IF($J329=FALSE(),"",COUNTIF($J$6:$J329,TRUE()))</f>
        <v/>
      </c>
      <c r="L329" s="5" t="str">
        <f aca="false">IF($K329="","","R"&amp;$K329)</f>
        <v/>
      </c>
    </row>
    <row r="330" customFormat="false" ht="15" hidden="false" customHeight="true" outlineLevel="0" collapsed="false">
      <c r="J330" s="21" t="b">
        <f aca="false">IF(원자재마스터!$A327="",FALSE(),원자재마스터!$L327=$B$3)</f>
        <v>0</v>
      </c>
      <c r="K330" s="5" t="str">
        <f aca="false">IF($J330=FALSE(),"",COUNTIF($J$6:$J330,TRUE()))</f>
        <v/>
      </c>
      <c r="L330" s="5" t="str">
        <f aca="false">IF($K330="","","R"&amp;$K330)</f>
        <v/>
      </c>
    </row>
    <row r="331" customFormat="false" ht="15" hidden="false" customHeight="true" outlineLevel="0" collapsed="false">
      <c r="J331" s="21" t="b">
        <f aca="false">IF(원자재마스터!$A328="",FALSE(),원자재마스터!$L328=$B$3)</f>
        <v>0</v>
      </c>
      <c r="K331" s="5" t="str">
        <f aca="false">IF($J331=FALSE(),"",COUNTIF($J$6:$J331,TRUE()))</f>
        <v/>
      </c>
      <c r="L331" s="5" t="str">
        <f aca="false">IF($K331="","","R"&amp;$K331)</f>
        <v/>
      </c>
    </row>
    <row r="332" customFormat="false" ht="15" hidden="false" customHeight="true" outlineLevel="0" collapsed="false">
      <c r="J332" s="21" t="b">
        <f aca="false">IF(원자재마스터!$A329="",FALSE(),원자재마스터!$L329=$B$3)</f>
        <v>0</v>
      </c>
      <c r="K332" s="5" t="str">
        <f aca="false">IF($J332=FALSE(),"",COUNTIF($J$6:$J332,TRUE()))</f>
        <v/>
      </c>
      <c r="L332" s="5" t="str">
        <f aca="false">IF($K332="","","R"&amp;$K332)</f>
        <v/>
      </c>
    </row>
    <row r="333" customFormat="false" ht="15" hidden="false" customHeight="true" outlineLevel="0" collapsed="false">
      <c r="J333" s="21" t="b">
        <f aca="false">IF(원자재마스터!$A330="",FALSE(),원자재마스터!$L330=$B$3)</f>
        <v>0</v>
      </c>
      <c r="K333" s="5" t="str">
        <f aca="false">IF($J333=FALSE(),"",COUNTIF($J$6:$J333,TRUE()))</f>
        <v/>
      </c>
      <c r="L333" s="5" t="str">
        <f aca="false">IF($K333="","","R"&amp;$K333)</f>
        <v/>
      </c>
    </row>
    <row r="334" customFormat="false" ht="15" hidden="false" customHeight="true" outlineLevel="0" collapsed="false">
      <c r="J334" s="21" t="b">
        <f aca="false">IF(원자재마스터!$A331="",FALSE(),원자재마스터!$L331=$B$3)</f>
        <v>0</v>
      </c>
      <c r="K334" s="5" t="str">
        <f aca="false">IF($J334=FALSE(),"",COUNTIF($J$6:$J334,TRUE()))</f>
        <v/>
      </c>
      <c r="L334" s="5" t="str">
        <f aca="false">IF($K334="","","R"&amp;$K334)</f>
        <v/>
      </c>
    </row>
    <row r="335" customFormat="false" ht="15" hidden="false" customHeight="true" outlineLevel="0" collapsed="false">
      <c r="J335" s="21" t="b">
        <f aca="false">IF(원자재마스터!$A332="",FALSE(),원자재마스터!$L332=$B$3)</f>
        <v>0</v>
      </c>
      <c r="K335" s="5" t="str">
        <f aca="false">IF($J335=FALSE(),"",COUNTIF($J$6:$J335,TRUE()))</f>
        <v/>
      </c>
      <c r="L335" s="5" t="str">
        <f aca="false">IF($K335="","","R"&amp;$K335)</f>
        <v/>
      </c>
    </row>
    <row r="336" customFormat="false" ht="15" hidden="false" customHeight="true" outlineLevel="0" collapsed="false">
      <c r="J336" s="21" t="b">
        <f aca="false">IF(원자재마스터!$A333="",FALSE(),원자재마스터!$L333=$B$3)</f>
        <v>0</v>
      </c>
      <c r="K336" s="5" t="str">
        <f aca="false">IF($J336=FALSE(),"",COUNTIF($J$6:$J336,TRUE()))</f>
        <v/>
      </c>
      <c r="L336" s="5" t="str">
        <f aca="false">IF($K336="","","R"&amp;$K336)</f>
        <v/>
      </c>
    </row>
    <row r="337" customFormat="false" ht="15" hidden="false" customHeight="true" outlineLevel="0" collapsed="false">
      <c r="J337" s="21" t="b">
        <f aca="false">IF(원자재마스터!$A334="",FALSE(),원자재마스터!$L334=$B$3)</f>
        <v>0</v>
      </c>
      <c r="K337" s="5" t="str">
        <f aca="false">IF($J337=FALSE(),"",COUNTIF($J$6:$J337,TRUE()))</f>
        <v/>
      </c>
      <c r="L337" s="5" t="str">
        <f aca="false">IF($K337="","","R"&amp;$K337)</f>
        <v/>
      </c>
    </row>
    <row r="338" customFormat="false" ht="15" hidden="false" customHeight="true" outlineLevel="0" collapsed="false">
      <c r="J338" s="21" t="b">
        <f aca="false">IF(원자재마스터!$A335="",FALSE(),원자재마스터!$L335=$B$3)</f>
        <v>0</v>
      </c>
      <c r="K338" s="5" t="str">
        <f aca="false">IF($J338=FALSE(),"",COUNTIF($J$6:$J338,TRUE()))</f>
        <v/>
      </c>
      <c r="L338" s="5" t="str">
        <f aca="false">IF($K338="","","R"&amp;$K338)</f>
        <v/>
      </c>
    </row>
    <row r="339" customFormat="false" ht="15" hidden="false" customHeight="true" outlineLevel="0" collapsed="false">
      <c r="J339" s="21" t="b">
        <f aca="false">IF(원자재마스터!$A336="",FALSE(),원자재마스터!$L336=$B$3)</f>
        <v>0</v>
      </c>
      <c r="K339" s="5" t="str">
        <f aca="false">IF($J339=FALSE(),"",COUNTIF($J$6:$J339,TRUE()))</f>
        <v/>
      </c>
      <c r="L339" s="5" t="str">
        <f aca="false">IF($K339="","","R"&amp;$K339)</f>
        <v/>
      </c>
    </row>
    <row r="340" customFormat="false" ht="15" hidden="false" customHeight="true" outlineLevel="0" collapsed="false">
      <c r="J340" s="21" t="b">
        <f aca="false">IF(원자재마스터!$A337="",FALSE(),원자재마스터!$L337=$B$3)</f>
        <v>0</v>
      </c>
      <c r="K340" s="5" t="str">
        <f aca="false">IF($J340=FALSE(),"",COUNTIF($J$6:$J340,TRUE()))</f>
        <v/>
      </c>
      <c r="L340" s="5" t="str">
        <f aca="false">IF($K340="","","R"&amp;$K340)</f>
        <v/>
      </c>
    </row>
    <row r="341" customFormat="false" ht="15" hidden="false" customHeight="true" outlineLevel="0" collapsed="false">
      <c r="J341" s="21" t="b">
        <f aca="false">IF(원자재마스터!$A338="",FALSE(),원자재마스터!$L338=$B$3)</f>
        <v>0</v>
      </c>
      <c r="K341" s="5" t="str">
        <f aca="false">IF($J341=FALSE(),"",COUNTIF($J$6:$J341,TRUE()))</f>
        <v/>
      </c>
      <c r="L341" s="5" t="str">
        <f aca="false">IF($K341="","","R"&amp;$K341)</f>
        <v/>
      </c>
    </row>
    <row r="342" customFormat="false" ht="15" hidden="false" customHeight="true" outlineLevel="0" collapsed="false">
      <c r="J342" s="21" t="b">
        <f aca="false">IF(원자재마스터!$A339="",FALSE(),원자재마스터!$L339=$B$3)</f>
        <v>0</v>
      </c>
      <c r="K342" s="5" t="str">
        <f aca="false">IF($J342=FALSE(),"",COUNTIF($J$6:$J342,TRUE()))</f>
        <v/>
      </c>
      <c r="L342" s="5" t="str">
        <f aca="false">IF($K342="","","R"&amp;$K342)</f>
        <v/>
      </c>
    </row>
    <row r="343" customFormat="false" ht="15" hidden="false" customHeight="true" outlineLevel="0" collapsed="false">
      <c r="J343" s="21" t="b">
        <f aca="false">IF(원자재마스터!$A340="",FALSE(),원자재마스터!$L340=$B$3)</f>
        <v>0</v>
      </c>
      <c r="K343" s="5" t="str">
        <f aca="false">IF($J343=FALSE(),"",COUNTIF($J$6:$J343,TRUE()))</f>
        <v/>
      </c>
      <c r="L343" s="5" t="str">
        <f aca="false">IF($K343="","","R"&amp;$K343)</f>
        <v/>
      </c>
    </row>
    <row r="344" customFormat="false" ht="15" hidden="false" customHeight="true" outlineLevel="0" collapsed="false">
      <c r="J344" s="21" t="b">
        <f aca="false">IF(원자재마스터!$A341="",FALSE(),원자재마스터!$L341=$B$3)</f>
        <v>0</v>
      </c>
      <c r="K344" s="5" t="str">
        <f aca="false">IF($J344=FALSE(),"",COUNTIF($J$6:$J344,TRUE()))</f>
        <v/>
      </c>
      <c r="L344" s="5" t="str">
        <f aca="false">IF($K344="","","R"&amp;$K344)</f>
        <v/>
      </c>
    </row>
    <row r="345" customFormat="false" ht="15" hidden="false" customHeight="true" outlineLevel="0" collapsed="false">
      <c r="J345" s="21" t="b">
        <f aca="false">IF(원자재마스터!$A342="",FALSE(),원자재마스터!$L342=$B$3)</f>
        <v>0</v>
      </c>
      <c r="K345" s="5" t="str">
        <f aca="false">IF($J345=FALSE(),"",COUNTIF($J$6:$J345,TRUE()))</f>
        <v/>
      </c>
      <c r="L345" s="5" t="str">
        <f aca="false">IF($K345="","","R"&amp;$K345)</f>
        <v/>
      </c>
    </row>
    <row r="346" customFormat="false" ht="15" hidden="false" customHeight="true" outlineLevel="0" collapsed="false">
      <c r="J346" s="21" t="b">
        <f aca="false">IF(원자재마스터!$A343="",FALSE(),원자재마스터!$L343=$B$3)</f>
        <v>0</v>
      </c>
      <c r="K346" s="5" t="str">
        <f aca="false">IF($J346=FALSE(),"",COUNTIF($J$6:$J346,TRUE()))</f>
        <v/>
      </c>
      <c r="L346" s="5" t="str">
        <f aca="false">IF($K346="","","R"&amp;$K346)</f>
        <v/>
      </c>
    </row>
    <row r="347" customFormat="false" ht="15" hidden="false" customHeight="true" outlineLevel="0" collapsed="false">
      <c r="J347" s="21" t="b">
        <f aca="false">IF(원자재마스터!$A344="",FALSE(),원자재마스터!$L344=$B$3)</f>
        <v>0</v>
      </c>
      <c r="K347" s="5" t="str">
        <f aca="false">IF($J347=FALSE(),"",COUNTIF($J$6:$J347,TRUE()))</f>
        <v/>
      </c>
      <c r="L347" s="5" t="str">
        <f aca="false">IF($K347="","","R"&amp;$K347)</f>
        <v/>
      </c>
    </row>
    <row r="348" customFormat="false" ht="15" hidden="false" customHeight="true" outlineLevel="0" collapsed="false">
      <c r="J348" s="21" t="b">
        <f aca="false">IF(원자재마스터!$A345="",FALSE(),원자재마스터!$L345=$B$3)</f>
        <v>0</v>
      </c>
      <c r="K348" s="5" t="str">
        <f aca="false">IF($J348=FALSE(),"",COUNTIF($J$6:$J348,TRUE()))</f>
        <v/>
      </c>
      <c r="L348" s="5" t="str">
        <f aca="false">IF($K348="","","R"&amp;$K348)</f>
        <v/>
      </c>
    </row>
    <row r="349" customFormat="false" ht="15" hidden="false" customHeight="true" outlineLevel="0" collapsed="false">
      <c r="J349" s="21" t="b">
        <f aca="false">IF(원자재마스터!$A346="",FALSE(),원자재마스터!$L346=$B$3)</f>
        <v>0</v>
      </c>
      <c r="K349" s="5" t="str">
        <f aca="false">IF($J349=FALSE(),"",COUNTIF($J$6:$J349,TRUE()))</f>
        <v/>
      </c>
      <c r="L349" s="5" t="str">
        <f aca="false">IF($K349="","","R"&amp;$K349)</f>
        <v/>
      </c>
    </row>
    <row r="350" customFormat="false" ht="15" hidden="false" customHeight="true" outlineLevel="0" collapsed="false">
      <c r="J350" s="21" t="b">
        <f aca="false">IF(원자재마스터!$A347="",FALSE(),원자재마스터!$L347=$B$3)</f>
        <v>0</v>
      </c>
      <c r="K350" s="5" t="str">
        <f aca="false">IF($J350=FALSE(),"",COUNTIF($J$6:$J350,TRUE()))</f>
        <v/>
      </c>
      <c r="L350" s="5" t="str">
        <f aca="false">IF($K350="","","R"&amp;$K350)</f>
        <v/>
      </c>
    </row>
    <row r="351" customFormat="false" ht="15" hidden="false" customHeight="true" outlineLevel="0" collapsed="false">
      <c r="J351" s="21" t="b">
        <f aca="false">IF(원자재마스터!$A348="",FALSE(),원자재마스터!$L348=$B$3)</f>
        <v>0</v>
      </c>
      <c r="K351" s="5" t="str">
        <f aca="false">IF($J351=FALSE(),"",COUNTIF($J$6:$J351,TRUE()))</f>
        <v/>
      </c>
      <c r="L351" s="5" t="str">
        <f aca="false">IF($K351="","","R"&amp;$K351)</f>
        <v/>
      </c>
    </row>
    <row r="352" customFormat="false" ht="15" hidden="false" customHeight="true" outlineLevel="0" collapsed="false">
      <c r="J352" s="21" t="b">
        <f aca="false">IF(원자재마스터!$A349="",FALSE(),원자재마스터!$L349=$B$3)</f>
        <v>0</v>
      </c>
      <c r="K352" s="5" t="str">
        <f aca="false">IF($J352=FALSE(),"",COUNTIF($J$6:$J352,TRUE()))</f>
        <v/>
      </c>
      <c r="L352" s="5" t="str">
        <f aca="false">IF($K352="","","R"&amp;$K352)</f>
        <v/>
      </c>
    </row>
    <row r="353" customFormat="false" ht="15" hidden="false" customHeight="true" outlineLevel="0" collapsed="false">
      <c r="J353" s="21" t="b">
        <f aca="false">IF(원자재마스터!$A350="",FALSE(),원자재마스터!$L350=$B$3)</f>
        <v>0</v>
      </c>
      <c r="K353" s="5" t="str">
        <f aca="false">IF($J353=FALSE(),"",COUNTIF($J$6:$J353,TRUE()))</f>
        <v/>
      </c>
      <c r="L353" s="5" t="str">
        <f aca="false">IF($K353="","","R"&amp;$K353)</f>
        <v/>
      </c>
    </row>
    <row r="354" customFormat="false" ht="15" hidden="false" customHeight="true" outlineLevel="0" collapsed="false">
      <c r="J354" s="21" t="b">
        <f aca="false">IF(원자재마스터!$A351="",FALSE(),원자재마스터!$L351=$B$3)</f>
        <v>0</v>
      </c>
      <c r="K354" s="5" t="str">
        <f aca="false">IF($J354=FALSE(),"",COUNTIF($J$6:$J354,TRUE()))</f>
        <v/>
      </c>
      <c r="L354" s="5" t="str">
        <f aca="false">IF($K354="","","R"&amp;$K354)</f>
        <v/>
      </c>
    </row>
    <row r="355" customFormat="false" ht="15" hidden="false" customHeight="true" outlineLevel="0" collapsed="false">
      <c r="J355" s="21" t="b">
        <f aca="false">IF(원자재마스터!$A352="",FALSE(),원자재마스터!$L352=$B$3)</f>
        <v>0</v>
      </c>
      <c r="K355" s="5" t="str">
        <f aca="false">IF($J355=FALSE(),"",COUNTIF($J$6:$J355,TRUE()))</f>
        <v/>
      </c>
      <c r="L355" s="5" t="str">
        <f aca="false">IF($K355="","","R"&amp;$K355)</f>
        <v/>
      </c>
    </row>
    <row r="356" customFormat="false" ht="15" hidden="false" customHeight="true" outlineLevel="0" collapsed="false">
      <c r="J356" s="21" t="b">
        <f aca="false">IF(원자재마스터!$A353="",FALSE(),원자재마스터!$L353=$B$3)</f>
        <v>0</v>
      </c>
      <c r="K356" s="5" t="str">
        <f aca="false">IF($J356=FALSE(),"",COUNTIF($J$6:$J356,TRUE()))</f>
        <v/>
      </c>
      <c r="L356" s="5" t="str">
        <f aca="false">IF($K356="","","R"&amp;$K356)</f>
        <v/>
      </c>
    </row>
    <row r="357" customFormat="false" ht="15" hidden="false" customHeight="true" outlineLevel="0" collapsed="false">
      <c r="J357" s="21" t="b">
        <f aca="false">IF(원자재마스터!$A354="",FALSE(),원자재마스터!$L354=$B$3)</f>
        <v>0</v>
      </c>
      <c r="K357" s="5" t="str">
        <f aca="false">IF($J357=FALSE(),"",COUNTIF($J$6:$J357,TRUE()))</f>
        <v/>
      </c>
      <c r="L357" s="5" t="str">
        <f aca="false">IF($K357="","","R"&amp;$K357)</f>
        <v/>
      </c>
    </row>
    <row r="358" customFormat="false" ht="15" hidden="false" customHeight="true" outlineLevel="0" collapsed="false">
      <c r="J358" s="21" t="b">
        <f aca="false">IF(원자재마스터!$A355="",FALSE(),원자재마스터!$L355=$B$3)</f>
        <v>0</v>
      </c>
      <c r="K358" s="5" t="str">
        <f aca="false">IF($J358=FALSE(),"",COUNTIF($J$6:$J358,TRUE()))</f>
        <v/>
      </c>
      <c r="L358" s="5" t="str">
        <f aca="false">IF($K358="","","R"&amp;$K358)</f>
        <v/>
      </c>
    </row>
    <row r="359" customFormat="false" ht="15" hidden="false" customHeight="true" outlineLevel="0" collapsed="false">
      <c r="J359" s="21" t="b">
        <f aca="false">IF(원자재마스터!$A356="",FALSE(),원자재마스터!$L356=$B$3)</f>
        <v>0</v>
      </c>
      <c r="K359" s="5" t="str">
        <f aca="false">IF($J359=FALSE(),"",COUNTIF($J$6:$J359,TRUE()))</f>
        <v/>
      </c>
      <c r="L359" s="5" t="str">
        <f aca="false">IF($K359="","","R"&amp;$K359)</f>
        <v/>
      </c>
    </row>
    <row r="360" customFormat="false" ht="15" hidden="false" customHeight="true" outlineLevel="0" collapsed="false">
      <c r="J360" s="21" t="b">
        <f aca="false">IF(원자재마스터!$A357="",FALSE(),원자재마스터!$L357=$B$3)</f>
        <v>0</v>
      </c>
      <c r="K360" s="5" t="str">
        <f aca="false">IF($J360=FALSE(),"",COUNTIF($J$6:$J360,TRUE()))</f>
        <v/>
      </c>
      <c r="L360" s="5" t="str">
        <f aca="false">IF($K360="","","R"&amp;$K360)</f>
        <v/>
      </c>
    </row>
    <row r="361" customFormat="false" ht="15" hidden="false" customHeight="true" outlineLevel="0" collapsed="false">
      <c r="J361" s="21" t="b">
        <f aca="false">IF(원자재마스터!$A358="",FALSE(),원자재마스터!$L358=$B$3)</f>
        <v>0</v>
      </c>
      <c r="K361" s="5" t="str">
        <f aca="false">IF($J361=FALSE(),"",COUNTIF($J$6:$J361,TRUE()))</f>
        <v/>
      </c>
      <c r="L361" s="5" t="str">
        <f aca="false">IF($K361="","","R"&amp;$K361)</f>
        <v/>
      </c>
    </row>
    <row r="362" customFormat="false" ht="15" hidden="false" customHeight="true" outlineLevel="0" collapsed="false">
      <c r="J362" s="21" t="b">
        <f aca="false">IF(원자재마스터!$A359="",FALSE(),원자재마스터!$L359=$B$3)</f>
        <v>0</v>
      </c>
      <c r="K362" s="5" t="str">
        <f aca="false">IF($J362=FALSE(),"",COUNTIF($J$6:$J362,TRUE()))</f>
        <v/>
      </c>
      <c r="L362" s="5" t="str">
        <f aca="false">IF($K362="","","R"&amp;$K362)</f>
        <v/>
      </c>
    </row>
    <row r="363" customFormat="false" ht="15" hidden="false" customHeight="true" outlineLevel="0" collapsed="false">
      <c r="J363" s="21" t="b">
        <f aca="false">IF(원자재마스터!$A360="",FALSE(),원자재마스터!$L360=$B$3)</f>
        <v>0</v>
      </c>
      <c r="K363" s="5" t="str">
        <f aca="false">IF($J363=FALSE(),"",COUNTIF($J$6:$J363,TRUE()))</f>
        <v/>
      </c>
      <c r="L363" s="5" t="str">
        <f aca="false">IF($K363="","","R"&amp;$K363)</f>
        <v/>
      </c>
    </row>
    <row r="364" customFormat="false" ht="15" hidden="false" customHeight="true" outlineLevel="0" collapsed="false">
      <c r="J364" s="21" t="b">
        <f aca="false">IF(원자재마스터!$A361="",FALSE(),원자재마스터!$L361=$B$3)</f>
        <v>0</v>
      </c>
      <c r="K364" s="5" t="str">
        <f aca="false">IF($J364=FALSE(),"",COUNTIF($J$6:$J364,TRUE()))</f>
        <v/>
      </c>
      <c r="L364" s="5" t="str">
        <f aca="false">IF($K364="","","R"&amp;$K364)</f>
        <v/>
      </c>
    </row>
    <row r="365" customFormat="false" ht="15" hidden="false" customHeight="true" outlineLevel="0" collapsed="false">
      <c r="J365" s="21" t="b">
        <f aca="false">IF(원자재마스터!$A362="",FALSE(),원자재마스터!$L362=$B$3)</f>
        <v>0</v>
      </c>
      <c r="K365" s="5" t="str">
        <f aca="false">IF($J365=FALSE(),"",COUNTIF($J$6:$J365,TRUE()))</f>
        <v/>
      </c>
      <c r="L365" s="5" t="str">
        <f aca="false">IF($K365="","","R"&amp;$K365)</f>
        <v/>
      </c>
    </row>
    <row r="366" customFormat="false" ht="15" hidden="false" customHeight="true" outlineLevel="0" collapsed="false">
      <c r="J366" s="21" t="b">
        <f aca="false">IF(원자재마스터!$A363="",FALSE(),원자재마스터!$L363=$B$3)</f>
        <v>0</v>
      </c>
      <c r="K366" s="5" t="str">
        <f aca="false">IF($J366=FALSE(),"",COUNTIF($J$6:$J366,TRUE()))</f>
        <v/>
      </c>
      <c r="L366" s="5" t="str">
        <f aca="false">IF($K366="","","R"&amp;$K366)</f>
        <v/>
      </c>
    </row>
    <row r="367" customFormat="false" ht="15" hidden="false" customHeight="true" outlineLevel="0" collapsed="false">
      <c r="J367" s="21" t="b">
        <f aca="false">IF(원자재마스터!$A364="",FALSE(),원자재마스터!$L364=$B$3)</f>
        <v>0</v>
      </c>
      <c r="K367" s="5" t="str">
        <f aca="false">IF($J367=FALSE(),"",COUNTIF($J$6:$J367,TRUE()))</f>
        <v/>
      </c>
      <c r="L367" s="5" t="str">
        <f aca="false">IF($K367="","","R"&amp;$K367)</f>
        <v/>
      </c>
    </row>
    <row r="368" customFormat="false" ht="15" hidden="false" customHeight="true" outlineLevel="0" collapsed="false">
      <c r="J368" s="21" t="b">
        <f aca="false">IF(원자재마스터!$A365="",FALSE(),원자재마스터!$L365=$B$3)</f>
        <v>0</v>
      </c>
      <c r="K368" s="5" t="str">
        <f aca="false">IF($J368=FALSE(),"",COUNTIF($J$6:$J368,TRUE()))</f>
        <v/>
      </c>
      <c r="L368" s="5" t="str">
        <f aca="false">IF($K368="","","R"&amp;$K368)</f>
        <v/>
      </c>
    </row>
    <row r="369" customFormat="false" ht="15" hidden="false" customHeight="true" outlineLevel="0" collapsed="false">
      <c r="J369" s="21" t="b">
        <f aca="false">IF(원자재마스터!$A366="",FALSE(),원자재마스터!$L366=$B$3)</f>
        <v>0</v>
      </c>
      <c r="K369" s="5" t="str">
        <f aca="false">IF($J369=FALSE(),"",COUNTIF($J$6:$J369,TRUE()))</f>
        <v/>
      </c>
      <c r="L369" s="5" t="str">
        <f aca="false">IF($K369="","","R"&amp;$K369)</f>
        <v/>
      </c>
    </row>
    <row r="370" customFormat="false" ht="15" hidden="false" customHeight="true" outlineLevel="0" collapsed="false">
      <c r="J370" s="21" t="b">
        <f aca="false">IF(원자재마스터!$A367="",FALSE(),원자재마스터!$L367=$B$3)</f>
        <v>0</v>
      </c>
      <c r="K370" s="5" t="str">
        <f aca="false">IF($J370=FALSE(),"",COUNTIF($J$6:$J370,TRUE()))</f>
        <v/>
      </c>
      <c r="L370" s="5" t="str">
        <f aca="false">IF($K370="","","R"&amp;$K370)</f>
        <v/>
      </c>
    </row>
    <row r="371" customFormat="false" ht="15" hidden="false" customHeight="true" outlineLevel="0" collapsed="false">
      <c r="J371" s="21" t="b">
        <f aca="false">IF(원자재마스터!$A368="",FALSE(),원자재마스터!$L368=$B$3)</f>
        <v>0</v>
      </c>
      <c r="K371" s="5" t="str">
        <f aca="false">IF($J371=FALSE(),"",COUNTIF($J$6:$J371,TRUE()))</f>
        <v/>
      </c>
      <c r="L371" s="5" t="str">
        <f aca="false">IF($K371="","","R"&amp;$K371)</f>
        <v/>
      </c>
    </row>
    <row r="372" customFormat="false" ht="15" hidden="false" customHeight="true" outlineLevel="0" collapsed="false">
      <c r="J372" s="21" t="b">
        <f aca="false">IF(원자재마스터!$A369="",FALSE(),원자재마스터!$L369=$B$3)</f>
        <v>0</v>
      </c>
      <c r="K372" s="5" t="str">
        <f aca="false">IF($J372=FALSE(),"",COUNTIF($J$6:$J372,TRUE()))</f>
        <v/>
      </c>
      <c r="L372" s="5" t="str">
        <f aca="false">IF($K372="","","R"&amp;$K372)</f>
        <v/>
      </c>
    </row>
    <row r="373" customFormat="false" ht="15" hidden="false" customHeight="true" outlineLevel="0" collapsed="false">
      <c r="J373" s="21" t="b">
        <f aca="false">IF(원자재마스터!$A370="",FALSE(),원자재마스터!$L370=$B$3)</f>
        <v>0</v>
      </c>
      <c r="K373" s="5" t="str">
        <f aca="false">IF($J373=FALSE(),"",COUNTIF($J$6:$J373,TRUE()))</f>
        <v/>
      </c>
      <c r="L373" s="5" t="str">
        <f aca="false">IF($K373="","","R"&amp;$K373)</f>
        <v/>
      </c>
    </row>
    <row r="374" customFormat="false" ht="15" hidden="false" customHeight="true" outlineLevel="0" collapsed="false">
      <c r="J374" s="21" t="b">
        <f aca="false">IF(원자재마스터!$A371="",FALSE(),원자재마스터!$L371=$B$3)</f>
        <v>0</v>
      </c>
      <c r="K374" s="5" t="str">
        <f aca="false">IF($J374=FALSE(),"",COUNTIF($J$6:$J374,TRUE()))</f>
        <v/>
      </c>
      <c r="L374" s="5" t="str">
        <f aca="false">IF($K374="","","R"&amp;$K374)</f>
        <v/>
      </c>
    </row>
    <row r="375" customFormat="false" ht="15" hidden="false" customHeight="true" outlineLevel="0" collapsed="false">
      <c r="J375" s="21" t="b">
        <f aca="false">IF(원자재마스터!$A372="",FALSE(),원자재마스터!$L372=$B$3)</f>
        <v>0</v>
      </c>
      <c r="K375" s="5" t="str">
        <f aca="false">IF($J375=FALSE(),"",COUNTIF($J$6:$J375,TRUE()))</f>
        <v/>
      </c>
      <c r="L375" s="5" t="str">
        <f aca="false">IF($K375="","","R"&amp;$K375)</f>
        <v/>
      </c>
    </row>
    <row r="376" customFormat="false" ht="15" hidden="false" customHeight="true" outlineLevel="0" collapsed="false">
      <c r="J376" s="21" t="b">
        <f aca="false">IF(원자재마스터!$A373="",FALSE(),원자재마스터!$L373=$B$3)</f>
        <v>0</v>
      </c>
      <c r="K376" s="5" t="str">
        <f aca="false">IF($J376=FALSE(),"",COUNTIF($J$6:$J376,TRUE()))</f>
        <v/>
      </c>
      <c r="L376" s="5" t="str">
        <f aca="false">IF($K376="","","R"&amp;$K376)</f>
        <v/>
      </c>
    </row>
    <row r="377" customFormat="false" ht="15" hidden="false" customHeight="true" outlineLevel="0" collapsed="false">
      <c r="J377" s="21" t="b">
        <f aca="false">IF(원자재마스터!$A374="",FALSE(),원자재마스터!$L374=$B$3)</f>
        <v>0</v>
      </c>
      <c r="K377" s="5" t="str">
        <f aca="false">IF($J377=FALSE(),"",COUNTIF($J$6:$J377,TRUE()))</f>
        <v/>
      </c>
      <c r="L377" s="5" t="str">
        <f aca="false">IF($K377="","","R"&amp;$K377)</f>
        <v/>
      </c>
    </row>
    <row r="378" customFormat="false" ht="15" hidden="false" customHeight="true" outlineLevel="0" collapsed="false">
      <c r="J378" s="21" t="b">
        <f aca="false">IF(원자재마스터!$A375="",FALSE(),원자재마스터!$L375=$B$3)</f>
        <v>0</v>
      </c>
      <c r="K378" s="5" t="str">
        <f aca="false">IF($J378=FALSE(),"",COUNTIF($J$6:$J378,TRUE()))</f>
        <v/>
      </c>
      <c r="L378" s="5" t="str">
        <f aca="false">IF($K378="","","R"&amp;$K378)</f>
        <v/>
      </c>
    </row>
    <row r="379" customFormat="false" ht="15" hidden="false" customHeight="true" outlineLevel="0" collapsed="false">
      <c r="J379" s="21" t="b">
        <f aca="false">IF(원자재마스터!$A376="",FALSE(),원자재마스터!$L376=$B$3)</f>
        <v>0</v>
      </c>
      <c r="K379" s="5" t="str">
        <f aca="false">IF($J379=FALSE(),"",COUNTIF($J$6:$J379,TRUE()))</f>
        <v/>
      </c>
      <c r="L379" s="5" t="str">
        <f aca="false">IF($K379="","","R"&amp;$K379)</f>
        <v/>
      </c>
    </row>
    <row r="380" customFormat="false" ht="15" hidden="false" customHeight="true" outlineLevel="0" collapsed="false">
      <c r="J380" s="21" t="b">
        <f aca="false">IF(원자재마스터!$A377="",FALSE(),원자재마스터!$L377=$B$3)</f>
        <v>0</v>
      </c>
      <c r="K380" s="5" t="str">
        <f aca="false">IF($J380=FALSE(),"",COUNTIF($J$6:$J380,TRUE()))</f>
        <v/>
      </c>
      <c r="L380" s="5" t="str">
        <f aca="false">IF($K380="","","R"&amp;$K380)</f>
        <v/>
      </c>
    </row>
    <row r="381" customFormat="false" ht="15" hidden="false" customHeight="true" outlineLevel="0" collapsed="false">
      <c r="J381" s="21" t="b">
        <f aca="false">IF(원자재마스터!$A378="",FALSE(),원자재마스터!$L378=$B$3)</f>
        <v>0</v>
      </c>
      <c r="K381" s="5" t="str">
        <f aca="false">IF($J381=FALSE(),"",COUNTIF($J$6:$J381,TRUE()))</f>
        <v/>
      </c>
      <c r="L381" s="5" t="str">
        <f aca="false">IF($K381="","","R"&amp;$K381)</f>
        <v/>
      </c>
    </row>
    <row r="382" customFormat="false" ht="15" hidden="false" customHeight="true" outlineLevel="0" collapsed="false">
      <c r="J382" s="21" t="b">
        <f aca="false">IF(원자재마스터!$A379="",FALSE(),원자재마스터!$L379=$B$3)</f>
        <v>0</v>
      </c>
      <c r="K382" s="5" t="str">
        <f aca="false">IF($J382=FALSE(),"",COUNTIF($J$6:$J382,TRUE()))</f>
        <v/>
      </c>
      <c r="L382" s="5" t="str">
        <f aca="false">IF($K382="","","R"&amp;$K382)</f>
        <v/>
      </c>
    </row>
    <row r="383" customFormat="false" ht="15" hidden="false" customHeight="true" outlineLevel="0" collapsed="false">
      <c r="J383" s="21" t="b">
        <f aca="false">IF(원자재마스터!$A380="",FALSE(),원자재마스터!$L380=$B$3)</f>
        <v>0</v>
      </c>
      <c r="K383" s="5" t="str">
        <f aca="false">IF($J383=FALSE(),"",COUNTIF($J$6:$J383,TRUE()))</f>
        <v/>
      </c>
      <c r="L383" s="5" t="str">
        <f aca="false">IF($K383="","","R"&amp;$K383)</f>
        <v/>
      </c>
    </row>
    <row r="384" customFormat="false" ht="15" hidden="false" customHeight="true" outlineLevel="0" collapsed="false">
      <c r="J384" s="21" t="b">
        <f aca="false">IF(원자재마스터!$A381="",FALSE(),원자재마스터!$L381=$B$3)</f>
        <v>0</v>
      </c>
      <c r="K384" s="5" t="str">
        <f aca="false">IF($J384=FALSE(),"",COUNTIF($J$6:$J384,TRUE()))</f>
        <v/>
      </c>
      <c r="L384" s="5" t="str">
        <f aca="false">IF($K384="","","R"&amp;$K384)</f>
        <v/>
      </c>
    </row>
    <row r="385" customFormat="false" ht="15" hidden="false" customHeight="true" outlineLevel="0" collapsed="false">
      <c r="J385" s="21" t="b">
        <f aca="false">IF(원자재마스터!$A382="",FALSE(),원자재마스터!$L382=$B$3)</f>
        <v>0</v>
      </c>
      <c r="K385" s="5" t="str">
        <f aca="false">IF($J385=FALSE(),"",COUNTIF($J$6:$J385,TRUE()))</f>
        <v/>
      </c>
      <c r="L385" s="5" t="str">
        <f aca="false">IF($K385="","","R"&amp;$K385)</f>
        <v/>
      </c>
    </row>
    <row r="386" customFormat="false" ht="15" hidden="false" customHeight="true" outlineLevel="0" collapsed="false">
      <c r="J386" s="21" t="b">
        <f aca="false">IF(원자재마스터!$A383="",FALSE(),원자재마스터!$L383=$B$3)</f>
        <v>0</v>
      </c>
      <c r="K386" s="5" t="str">
        <f aca="false">IF($J386=FALSE(),"",COUNTIF($J$6:$J386,TRUE()))</f>
        <v/>
      </c>
      <c r="L386" s="5" t="str">
        <f aca="false">IF($K386="","","R"&amp;$K386)</f>
        <v/>
      </c>
    </row>
    <row r="387" customFormat="false" ht="15" hidden="false" customHeight="true" outlineLevel="0" collapsed="false">
      <c r="J387" s="21" t="b">
        <f aca="false">IF(원자재마스터!$A384="",FALSE(),원자재마스터!$L384=$B$3)</f>
        <v>0</v>
      </c>
      <c r="K387" s="5" t="str">
        <f aca="false">IF($J387=FALSE(),"",COUNTIF($J$6:$J387,TRUE()))</f>
        <v/>
      </c>
      <c r="L387" s="5" t="str">
        <f aca="false">IF($K387="","","R"&amp;$K387)</f>
        <v/>
      </c>
    </row>
    <row r="388" customFormat="false" ht="15" hidden="false" customHeight="true" outlineLevel="0" collapsed="false">
      <c r="J388" s="21" t="b">
        <f aca="false">IF(원자재마스터!$A385="",FALSE(),원자재마스터!$L385=$B$3)</f>
        <v>0</v>
      </c>
      <c r="K388" s="5" t="str">
        <f aca="false">IF($J388=FALSE(),"",COUNTIF($J$6:$J388,TRUE()))</f>
        <v/>
      </c>
      <c r="L388" s="5" t="str">
        <f aca="false">IF($K388="","","R"&amp;$K388)</f>
        <v/>
      </c>
    </row>
    <row r="389" customFormat="false" ht="15" hidden="false" customHeight="true" outlineLevel="0" collapsed="false">
      <c r="J389" s="21" t="b">
        <f aca="false">IF(원자재마스터!$A386="",FALSE(),원자재마스터!$L386=$B$3)</f>
        <v>0</v>
      </c>
      <c r="K389" s="5" t="str">
        <f aca="false">IF($J389=FALSE(),"",COUNTIF($J$6:$J389,TRUE()))</f>
        <v/>
      </c>
      <c r="L389" s="5" t="str">
        <f aca="false">IF($K389="","","R"&amp;$K389)</f>
        <v/>
      </c>
    </row>
    <row r="390" customFormat="false" ht="15" hidden="false" customHeight="true" outlineLevel="0" collapsed="false">
      <c r="J390" s="21" t="b">
        <f aca="false">IF(원자재마스터!$A387="",FALSE(),원자재마스터!$L387=$B$3)</f>
        <v>0</v>
      </c>
      <c r="K390" s="5" t="str">
        <f aca="false">IF($J390=FALSE(),"",COUNTIF($J$6:$J390,TRUE()))</f>
        <v/>
      </c>
      <c r="L390" s="5" t="str">
        <f aca="false">IF($K390="","","R"&amp;$K390)</f>
        <v/>
      </c>
    </row>
    <row r="391" customFormat="false" ht="15" hidden="false" customHeight="true" outlineLevel="0" collapsed="false">
      <c r="J391" s="21" t="b">
        <f aca="false">IF(원자재마스터!$A388="",FALSE(),원자재마스터!$L388=$B$3)</f>
        <v>0</v>
      </c>
      <c r="K391" s="5" t="str">
        <f aca="false">IF($J391=FALSE(),"",COUNTIF($J$6:$J391,TRUE()))</f>
        <v/>
      </c>
      <c r="L391" s="5" t="str">
        <f aca="false">IF($K391="","","R"&amp;$K391)</f>
        <v/>
      </c>
    </row>
    <row r="392" customFormat="false" ht="15" hidden="false" customHeight="true" outlineLevel="0" collapsed="false">
      <c r="J392" s="21" t="b">
        <f aca="false">IF(원자재마스터!$A389="",FALSE(),원자재마스터!$L389=$B$3)</f>
        <v>0</v>
      </c>
      <c r="K392" s="5" t="str">
        <f aca="false">IF($J392=FALSE(),"",COUNTIF($J$6:$J392,TRUE()))</f>
        <v/>
      </c>
      <c r="L392" s="5" t="str">
        <f aca="false">IF($K392="","","R"&amp;$K392)</f>
        <v/>
      </c>
    </row>
    <row r="393" customFormat="false" ht="15" hidden="false" customHeight="true" outlineLevel="0" collapsed="false">
      <c r="J393" s="21" t="b">
        <f aca="false">IF(원자재마스터!$A390="",FALSE(),원자재마스터!$L390=$B$3)</f>
        <v>0</v>
      </c>
      <c r="K393" s="5" t="str">
        <f aca="false">IF($J393=FALSE(),"",COUNTIF($J$6:$J393,TRUE()))</f>
        <v/>
      </c>
      <c r="L393" s="5" t="str">
        <f aca="false">IF($K393="","","R"&amp;$K393)</f>
        <v/>
      </c>
    </row>
    <row r="394" customFormat="false" ht="15" hidden="false" customHeight="true" outlineLevel="0" collapsed="false">
      <c r="J394" s="21" t="b">
        <f aca="false">IF(원자재마스터!$A391="",FALSE(),원자재마스터!$L391=$B$3)</f>
        <v>0</v>
      </c>
      <c r="K394" s="5" t="str">
        <f aca="false">IF($J394=FALSE(),"",COUNTIF($J$6:$J394,TRUE()))</f>
        <v/>
      </c>
      <c r="L394" s="5" t="str">
        <f aca="false">IF($K394="","","R"&amp;$K394)</f>
        <v/>
      </c>
    </row>
    <row r="395" customFormat="false" ht="15" hidden="false" customHeight="true" outlineLevel="0" collapsed="false">
      <c r="J395" s="21" t="b">
        <f aca="false">IF(원자재마스터!$A392="",FALSE(),원자재마스터!$L392=$B$3)</f>
        <v>0</v>
      </c>
      <c r="K395" s="5" t="str">
        <f aca="false">IF($J395=FALSE(),"",COUNTIF($J$6:$J395,TRUE()))</f>
        <v/>
      </c>
      <c r="L395" s="5" t="str">
        <f aca="false">IF($K395="","","R"&amp;$K395)</f>
        <v/>
      </c>
    </row>
    <row r="396" customFormat="false" ht="15" hidden="false" customHeight="true" outlineLevel="0" collapsed="false">
      <c r="J396" s="21" t="b">
        <f aca="false">IF(원자재마스터!$A393="",FALSE(),원자재마스터!$L393=$B$3)</f>
        <v>0</v>
      </c>
      <c r="K396" s="5" t="str">
        <f aca="false">IF($J396=FALSE(),"",COUNTIF($J$6:$J396,TRUE()))</f>
        <v/>
      </c>
      <c r="L396" s="5" t="str">
        <f aca="false">IF($K396="","","R"&amp;$K396)</f>
        <v/>
      </c>
    </row>
    <row r="397" customFormat="false" ht="15" hidden="false" customHeight="true" outlineLevel="0" collapsed="false">
      <c r="J397" s="21" t="b">
        <f aca="false">IF(원자재마스터!$A394="",FALSE(),원자재마스터!$L394=$B$3)</f>
        <v>0</v>
      </c>
      <c r="K397" s="5" t="str">
        <f aca="false">IF($J397=FALSE(),"",COUNTIF($J$6:$J397,TRUE()))</f>
        <v/>
      </c>
      <c r="L397" s="5" t="str">
        <f aca="false">IF($K397="","","R"&amp;$K397)</f>
        <v/>
      </c>
    </row>
    <row r="398" customFormat="false" ht="15" hidden="false" customHeight="true" outlineLevel="0" collapsed="false">
      <c r="J398" s="21" t="b">
        <f aca="false">IF(원자재마스터!$A395="",FALSE(),원자재마스터!$L395=$B$3)</f>
        <v>0</v>
      </c>
      <c r="K398" s="5" t="str">
        <f aca="false">IF($J398=FALSE(),"",COUNTIF($J$6:$J398,TRUE()))</f>
        <v/>
      </c>
      <c r="L398" s="5" t="str">
        <f aca="false">IF($K398="","","R"&amp;$K398)</f>
        <v/>
      </c>
    </row>
    <row r="399" customFormat="false" ht="15" hidden="false" customHeight="true" outlineLevel="0" collapsed="false">
      <c r="J399" s="21" t="b">
        <f aca="false">IF(원자재마스터!$A396="",FALSE(),원자재마스터!$L396=$B$3)</f>
        <v>0</v>
      </c>
      <c r="K399" s="5" t="str">
        <f aca="false">IF($J399=FALSE(),"",COUNTIF($J$6:$J399,TRUE()))</f>
        <v/>
      </c>
      <c r="L399" s="5" t="str">
        <f aca="false">IF($K399="","","R"&amp;$K399)</f>
        <v/>
      </c>
    </row>
    <row r="400" customFormat="false" ht="15" hidden="false" customHeight="true" outlineLevel="0" collapsed="false">
      <c r="J400" s="21" t="b">
        <f aca="false">IF(원자재마스터!$A397="",FALSE(),원자재마스터!$L397=$B$3)</f>
        <v>0</v>
      </c>
      <c r="K400" s="5" t="str">
        <f aca="false">IF($J400=FALSE(),"",COUNTIF($J$6:$J400,TRUE()))</f>
        <v/>
      </c>
      <c r="L400" s="5" t="str">
        <f aca="false">IF($K400="","","R"&amp;$K400)</f>
        <v/>
      </c>
    </row>
    <row r="401" customFormat="false" ht="15" hidden="false" customHeight="true" outlineLevel="0" collapsed="false">
      <c r="J401" s="21" t="b">
        <f aca="false">IF(원자재마스터!$A398="",FALSE(),원자재마스터!$L398=$B$3)</f>
        <v>0</v>
      </c>
      <c r="K401" s="5" t="str">
        <f aca="false">IF($J401=FALSE(),"",COUNTIF($J$6:$J401,TRUE()))</f>
        <v/>
      </c>
      <c r="L401" s="5" t="str">
        <f aca="false">IF($K401="","","R"&amp;$K401)</f>
        <v/>
      </c>
    </row>
    <row r="402" customFormat="false" ht="15" hidden="false" customHeight="true" outlineLevel="0" collapsed="false">
      <c r="J402" s="21" t="b">
        <f aca="false">IF(원자재마스터!$A399="",FALSE(),원자재마스터!$L399=$B$3)</f>
        <v>0</v>
      </c>
      <c r="K402" s="5" t="str">
        <f aca="false">IF($J402=FALSE(),"",COUNTIF($J$6:$J402,TRUE()))</f>
        <v/>
      </c>
      <c r="L402" s="5" t="str">
        <f aca="false">IF($K402="","","R"&amp;$K402)</f>
        <v/>
      </c>
    </row>
    <row r="403" customFormat="false" ht="15" hidden="false" customHeight="true" outlineLevel="0" collapsed="false">
      <c r="J403" s="21" t="b">
        <f aca="false">IF(원자재마스터!$A400="",FALSE(),원자재마스터!$L400=$B$3)</f>
        <v>0</v>
      </c>
      <c r="K403" s="5" t="str">
        <f aca="false">IF($J403=FALSE(),"",COUNTIF($J$6:$J403,TRUE()))</f>
        <v/>
      </c>
      <c r="L403" s="5" t="str">
        <f aca="false">IF($K403="","","R"&amp;$K403)</f>
        <v/>
      </c>
    </row>
    <row r="404" customFormat="false" ht="15" hidden="false" customHeight="true" outlineLevel="0" collapsed="false">
      <c r="J404" s="21" t="b">
        <f aca="false">IF(원자재마스터!$A401="",FALSE(),원자재마스터!$L401=$B$3)</f>
        <v>0</v>
      </c>
      <c r="K404" s="5" t="str">
        <f aca="false">IF($J404=FALSE(),"",COUNTIF($J$6:$J404,TRUE()))</f>
        <v/>
      </c>
      <c r="L404" s="5" t="str">
        <f aca="false">IF($K404="","","R"&amp;$K404)</f>
        <v/>
      </c>
    </row>
    <row r="405" customFormat="false" ht="15" hidden="false" customHeight="true" outlineLevel="0" collapsed="false">
      <c r="J405" s="21" t="b">
        <f aca="false">IF(원자재마스터!$A402="",FALSE(),원자재마스터!$L402=$B$3)</f>
        <v>0</v>
      </c>
      <c r="K405" s="5" t="str">
        <f aca="false">IF($J405=FALSE(),"",COUNTIF($J$6:$J405,TRUE()))</f>
        <v/>
      </c>
      <c r="L405" s="5" t="str">
        <f aca="false">IF($K405="","","R"&amp;$K405)</f>
        <v/>
      </c>
    </row>
    <row r="406" customFormat="false" ht="15" hidden="false" customHeight="true" outlineLevel="0" collapsed="false">
      <c r="J406" s="21" t="b">
        <f aca="false">IF(원자재마스터!$A403="",FALSE(),원자재마스터!$L403=$B$3)</f>
        <v>0</v>
      </c>
      <c r="K406" s="5" t="str">
        <f aca="false">IF($J406=FALSE(),"",COUNTIF($J$6:$J406,TRUE()))</f>
        <v/>
      </c>
      <c r="L406" s="5" t="str">
        <f aca="false">IF($K406="","","R"&amp;$K406)</f>
        <v/>
      </c>
    </row>
    <row r="407" customFormat="false" ht="15" hidden="false" customHeight="true" outlineLevel="0" collapsed="false">
      <c r="J407" s="21" t="b">
        <f aca="false">IF(원자재마스터!$A404="",FALSE(),원자재마스터!$L404=$B$3)</f>
        <v>0</v>
      </c>
      <c r="K407" s="5" t="str">
        <f aca="false">IF($J407=FALSE(),"",COUNTIF($J$6:$J407,TRUE()))</f>
        <v/>
      </c>
      <c r="L407" s="5" t="str">
        <f aca="false">IF($K407="","","R"&amp;$K407)</f>
        <v/>
      </c>
    </row>
    <row r="408" customFormat="false" ht="15" hidden="false" customHeight="true" outlineLevel="0" collapsed="false">
      <c r="J408" s="21" t="b">
        <f aca="false">IF(원자재마스터!$A405="",FALSE(),원자재마스터!$L405=$B$3)</f>
        <v>0</v>
      </c>
      <c r="K408" s="5" t="str">
        <f aca="false">IF($J408=FALSE(),"",COUNTIF($J$6:$J408,TRUE()))</f>
        <v/>
      </c>
      <c r="L408" s="5" t="str">
        <f aca="false">IF($K408="","","R"&amp;$K408)</f>
        <v/>
      </c>
    </row>
    <row r="409" customFormat="false" ht="15" hidden="false" customHeight="true" outlineLevel="0" collapsed="false">
      <c r="J409" s="21" t="b">
        <f aca="false">IF(원자재마스터!$A406="",FALSE(),원자재마스터!$L406=$B$3)</f>
        <v>0</v>
      </c>
      <c r="K409" s="5" t="str">
        <f aca="false">IF($J409=FALSE(),"",COUNTIF($J$6:$J409,TRUE()))</f>
        <v/>
      </c>
      <c r="L409" s="5" t="str">
        <f aca="false">IF($K409="","","R"&amp;$K409)</f>
        <v/>
      </c>
    </row>
    <row r="410" customFormat="false" ht="15" hidden="false" customHeight="true" outlineLevel="0" collapsed="false">
      <c r="J410" s="21" t="b">
        <f aca="false">IF(원자재마스터!$A407="",FALSE(),원자재마스터!$L407=$B$3)</f>
        <v>0</v>
      </c>
      <c r="K410" s="5" t="str">
        <f aca="false">IF($J410=FALSE(),"",COUNTIF($J$6:$J410,TRUE()))</f>
        <v/>
      </c>
      <c r="L410" s="5" t="str">
        <f aca="false">IF($K410="","","R"&amp;$K410)</f>
        <v/>
      </c>
    </row>
    <row r="411" customFormat="false" ht="15" hidden="false" customHeight="true" outlineLevel="0" collapsed="false">
      <c r="J411" s="21" t="b">
        <f aca="false">IF(원자재마스터!$A408="",FALSE(),원자재마스터!$L408=$B$3)</f>
        <v>0</v>
      </c>
      <c r="K411" s="5" t="str">
        <f aca="false">IF($J411=FALSE(),"",COUNTIF($J$6:$J411,TRUE()))</f>
        <v/>
      </c>
      <c r="L411" s="5" t="str">
        <f aca="false">IF($K411="","","R"&amp;$K411)</f>
        <v/>
      </c>
    </row>
    <row r="412" customFormat="false" ht="15" hidden="false" customHeight="true" outlineLevel="0" collapsed="false">
      <c r="J412" s="21" t="b">
        <f aca="false">IF(원자재마스터!$A409="",FALSE(),원자재마스터!$L409=$B$3)</f>
        <v>0</v>
      </c>
      <c r="K412" s="5" t="str">
        <f aca="false">IF($J412=FALSE(),"",COUNTIF($J$6:$J412,TRUE()))</f>
        <v/>
      </c>
      <c r="L412" s="5" t="str">
        <f aca="false">IF($K412="","","R"&amp;$K412)</f>
        <v/>
      </c>
    </row>
    <row r="413" customFormat="false" ht="15" hidden="false" customHeight="true" outlineLevel="0" collapsed="false">
      <c r="J413" s="21" t="b">
        <f aca="false">IF(원자재마스터!$A410="",FALSE(),원자재마스터!$L410=$B$3)</f>
        <v>0</v>
      </c>
      <c r="K413" s="5" t="str">
        <f aca="false">IF($J413=FALSE(),"",COUNTIF($J$6:$J413,TRUE()))</f>
        <v/>
      </c>
      <c r="L413" s="5" t="str">
        <f aca="false">IF($K413="","","R"&amp;$K413)</f>
        <v/>
      </c>
    </row>
    <row r="414" customFormat="false" ht="15" hidden="false" customHeight="true" outlineLevel="0" collapsed="false">
      <c r="J414" s="21" t="b">
        <f aca="false">IF(원자재마스터!$A411="",FALSE(),원자재마스터!$L411=$B$3)</f>
        <v>0</v>
      </c>
      <c r="K414" s="5" t="str">
        <f aca="false">IF($J414=FALSE(),"",COUNTIF($J$6:$J414,TRUE()))</f>
        <v/>
      </c>
      <c r="L414" s="5" t="str">
        <f aca="false">IF($K414="","","R"&amp;$K414)</f>
        <v/>
      </c>
    </row>
    <row r="415" customFormat="false" ht="15" hidden="false" customHeight="true" outlineLevel="0" collapsed="false">
      <c r="J415" s="21" t="b">
        <f aca="false">IF(원자재마스터!$A412="",FALSE(),원자재마스터!$L412=$B$3)</f>
        <v>0</v>
      </c>
      <c r="K415" s="5" t="str">
        <f aca="false">IF($J415=FALSE(),"",COUNTIF($J$6:$J415,TRUE()))</f>
        <v/>
      </c>
      <c r="L415" s="5" t="str">
        <f aca="false">IF($K415="","","R"&amp;$K415)</f>
        <v/>
      </c>
    </row>
    <row r="416" customFormat="false" ht="15" hidden="false" customHeight="true" outlineLevel="0" collapsed="false">
      <c r="J416" s="21" t="b">
        <f aca="false">IF(원자재마스터!$A413="",FALSE(),원자재마스터!$L413=$B$3)</f>
        <v>0</v>
      </c>
      <c r="K416" s="5" t="str">
        <f aca="false">IF($J416=FALSE(),"",COUNTIF($J$6:$J416,TRUE()))</f>
        <v/>
      </c>
      <c r="L416" s="5" t="str">
        <f aca="false">IF($K416="","","R"&amp;$K416)</f>
        <v/>
      </c>
    </row>
    <row r="417" customFormat="false" ht="15" hidden="false" customHeight="true" outlineLevel="0" collapsed="false">
      <c r="J417" s="21" t="b">
        <f aca="false">IF(원자재마스터!$A414="",FALSE(),원자재마스터!$L414=$B$3)</f>
        <v>0</v>
      </c>
      <c r="K417" s="5" t="str">
        <f aca="false">IF($J417=FALSE(),"",COUNTIF($J$6:$J417,TRUE()))</f>
        <v/>
      </c>
      <c r="L417" s="5" t="str">
        <f aca="false">IF($K417="","","R"&amp;$K417)</f>
        <v/>
      </c>
    </row>
    <row r="418" customFormat="false" ht="15" hidden="false" customHeight="true" outlineLevel="0" collapsed="false">
      <c r="J418" s="21" t="b">
        <f aca="false">IF(원자재마스터!$A415="",FALSE(),원자재마스터!$L415=$B$3)</f>
        <v>0</v>
      </c>
      <c r="K418" s="5" t="str">
        <f aca="false">IF($J418=FALSE(),"",COUNTIF($J$6:$J418,TRUE()))</f>
        <v/>
      </c>
      <c r="L418" s="5" t="str">
        <f aca="false">IF($K418="","","R"&amp;$K418)</f>
        <v/>
      </c>
    </row>
    <row r="419" customFormat="false" ht="15" hidden="false" customHeight="true" outlineLevel="0" collapsed="false">
      <c r="J419" s="21" t="b">
        <f aca="false">IF(원자재마스터!$A416="",FALSE(),원자재마스터!$L416=$B$3)</f>
        <v>0</v>
      </c>
      <c r="K419" s="5" t="str">
        <f aca="false">IF($J419=FALSE(),"",COUNTIF($J$6:$J419,TRUE()))</f>
        <v/>
      </c>
      <c r="L419" s="5" t="str">
        <f aca="false">IF($K419="","","R"&amp;$K419)</f>
        <v/>
      </c>
    </row>
    <row r="420" customFormat="false" ht="15" hidden="false" customHeight="true" outlineLevel="0" collapsed="false">
      <c r="J420" s="21" t="b">
        <f aca="false">IF(원자재마스터!$A417="",FALSE(),원자재마스터!$L417=$B$3)</f>
        <v>0</v>
      </c>
      <c r="K420" s="5" t="str">
        <f aca="false">IF($J420=FALSE(),"",COUNTIF($J$6:$J420,TRUE()))</f>
        <v/>
      </c>
      <c r="L420" s="5" t="str">
        <f aca="false">IF($K420="","","R"&amp;$K420)</f>
        <v/>
      </c>
    </row>
    <row r="421" customFormat="false" ht="15" hidden="false" customHeight="true" outlineLevel="0" collapsed="false">
      <c r="J421" s="21" t="b">
        <f aca="false">IF(원자재마스터!$A418="",FALSE(),원자재마스터!$L418=$B$3)</f>
        <v>0</v>
      </c>
      <c r="K421" s="5" t="str">
        <f aca="false">IF($J421=FALSE(),"",COUNTIF($J$6:$J421,TRUE()))</f>
        <v/>
      </c>
      <c r="L421" s="5" t="str">
        <f aca="false">IF($K421="","","R"&amp;$K421)</f>
        <v/>
      </c>
    </row>
    <row r="422" customFormat="false" ht="15" hidden="false" customHeight="true" outlineLevel="0" collapsed="false">
      <c r="J422" s="21" t="b">
        <f aca="false">IF(원자재마스터!$A419="",FALSE(),원자재마스터!$L419=$B$3)</f>
        <v>0</v>
      </c>
      <c r="K422" s="5" t="str">
        <f aca="false">IF($J422=FALSE(),"",COUNTIF($J$6:$J422,TRUE()))</f>
        <v/>
      </c>
      <c r="L422" s="5" t="str">
        <f aca="false">IF($K422="","","R"&amp;$K422)</f>
        <v/>
      </c>
    </row>
    <row r="423" customFormat="false" ht="15" hidden="false" customHeight="true" outlineLevel="0" collapsed="false">
      <c r="J423" s="21" t="b">
        <f aca="false">IF(원자재마스터!$A420="",FALSE(),원자재마스터!$L420=$B$3)</f>
        <v>0</v>
      </c>
      <c r="K423" s="5" t="str">
        <f aca="false">IF($J423=FALSE(),"",COUNTIF($J$6:$J423,TRUE()))</f>
        <v/>
      </c>
      <c r="L423" s="5" t="str">
        <f aca="false">IF($K423="","","R"&amp;$K423)</f>
        <v/>
      </c>
    </row>
    <row r="424" customFormat="false" ht="15" hidden="false" customHeight="true" outlineLevel="0" collapsed="false">
      <c r="J424" s="21" t="b">
        <f aca="false">IF(원자재마스터!$A421="",FALSE(),원자재마스터!$L421=$B$3)</f>
        <v>0</v>
      </c>
      <c r="K424" s="5" t="str">
        <f aca="false">IF($J424=FALSE(),"",COUNTIF($J$6:$J424,TRUE()))</f>
        <v/>
      </c>
      <c r="L424" s="5" t="str">
        <f aca="false">IF($K424="","","R"&amp;$K424)</f>
        <v/>
      </c>
    </row>
    <row r="425" customFormat="false" ht="15" hidden="false" customHeight="true" outlineLevel="0" collapsed="false">
      <c r="J425" s="21" t="b">
        <f aca="false">IF(원자재마스터!$A422="",FALSE(),원자재마스터!$L422=$B$3)</f>
        <v>0</v>
      </c>
      <c r="K425" s="5" t="str">
        <f aca="false">IF($J425=FALSE(),"",COUNTIF($J$6:$J425,TRUE()))</f>
        <v/>
      </c>
      <c r="L425" s="5" t="str">
        <f aca="false">IF($K425="","","R"&amp;$K425)</f>
        <v/>
      </c>
    </row>
    <row r="426" customFormat="false" ht="15" hidden="false" customHeight="true" outlineLevel="0" collapsed="false">
      <c r="J426" s="21" t="b">
        <f aca="false">IF(원자재마스터!$A423="",FALSE(),원자재마스터!$L423=$B$3)</f>
        <v>0</v>
      </c>
      <c r="K426" s="5" t="str">
        <f aca="false">IF($J426=FALSE(),"",COUNTIF($J$6:$J426,TRUE()))</f>
        <v/>
      </c>
      <c r="L426" s="5" t="str">
        <f aca="false">IF($K426="","","R"&amp;$K426)</f>
        <v/>
      </c>
    </row>
    <row r="427" customFormat="false" ht="15" hidden="false" customHeight="true" outlineLevel="0" collapsed="false">
      <c r="J427" s="21" t="b">
        <f aca="false">IF(원자재마스터!$A424="",FALSE(),원자재마스터!$L424=$B$3)</f>
        <v>0</v>
      </c>
      <c r="K427" s="5" t="str">
        <f aca="false">IF($J427=FALSE(),"",COUNTIF($J$6:$J427,TRUE()))</f>
        <v/>
      </c>
      <c r="L427" s="5" t="str">
        <f aca="false">IF($K427="","","R"&amp;$K427)</f>
        <v/>
      </c>
    </row>
    <row r="428" customFormat="false" ht="15" hidden="false" customHeight="true" outlineLevel="0" collapsed="false">
      <c r="J428" s="21" t="b">
        <f aca="false">IF(원자재마스터!$A425="",FALSE(),원자재마스터!$L425=$B$3)</f>
        <v>0</v>
      </c>
      <c r="K428" s="5" t="str">
        <f aca="false">IF($J428=FALSE(),"",COUNTIF($J$6:$J428,TRUE()))</f>
        <v/>
      </c>
      <c r="L428" s="5" t="str">
        <f aca="false">IF($K428="","","R"&amp;$K428)</f>
        <v/>
      </c>
    </row>
    <row r="429" customFormat="false" ht="15" hidden="false" customHeight="true" outlineLevel="0" collapsed="false">
      <c r="J429" s="21" t="b">
        <f aca="false">IF(원자재마스터!$A426="",FALSE(),원자재마스터!$L426=$B$3)</f>
        <v>0</v>
      </c>
      <c r="K429" s="5" t="str">
        <f aca="false">IF($J429=FALSE(),"",COUNTIF($J$6:$J429,TRUE()))</f>
        <v/>
      </c>
      <c r="L429" s="5" t="str">
        <f aca="false">IF($K429="","","R"&amp;$K429)</f>
        <v/>
      </c>
    </row>
    <row r="430" customFormat="false" ht="15" hidden="false" customHeight="true" outlineLevel="0" collapsed="false">
      <c r="J430" s="21" t="b">
        <f aca="false">IF(원자재마스터!$A427="",FALSE(),원자재마스터!$L427=$B$3)</f>
        <v>0</v>
      </c>
      <c r="K430" s="5" t="str">
        <f aca="false">IF($J430=FALSE(),"",COUNTIF($J$6:$J430,TRUE()))</f>
        <v/>
      </c>
      <c r="L430" s="5" t="str">
        <f aca="false">IF($K430="","","R"&amp;$K430)</f>
        <v/>
      </c>
    </row>
    <row r="431" customFormat="false" ht="15" hidden="false" customHeight="true" outlineLevel="0" collapsed="false">
      <c r="J431" s="21" t="b">
        <f aca="false">IF(원자재마스터!$A428="",FALSE(),원자재마스터!$L428=$B$3)</f>
        <v>0</v>
      </c>
      <c r="K431" s="5" t="str">
        <f aca="false">IF($J431=FALSE(),"",COUNTIF($J$6:$J431,TRUE()))</f>
        <v/>
      </c>
      <c r="L431" s="5" t="str">
        <f aca="false">IF($K431="","","R"&amp;$K431)</f>
        <v/>
      </c>
    </row>
    <row r="432" customFormat="false" ht="15" hidden="false" customHeight="true" outlineLevel="0" collapsed="false">
      <c r="J432" s="21" t="b">
        <f aca="false">IF(원자재마스터!$A429="",FALSE(),원자재마스터!$L429=$B$3)</f>
        <v>0</v>
      </c>
      <c r="K432" s="5" t="str">
        <f aca="false">IF($J432=FALSE(),"",COUNTIF($J$6:$J432,TRUE()))</f>
        <v/>
      </c>
      <c r="L432" s="5" t="str">
        <f aca="false">IF($K432="","","R"&amp;$K432)</f>
        <v/>
      </c>
    </row>
    <row r="433" customFormat="false" ht="15" hidden="false" customHeight="true" outlineLevel="0" collapsed="false">
      <c r="J433" s="21" t="b">
        <f aca="false">IF(원자재마스터!$A430="",FALSE(),원자재마스터!$L430=$B$3)</f>
        <v>0</v>
      </c>
      <c r="K433" s="5" t="str">
        <f aca="false">IF($J433=FALSE(),"",COUNTIF($J$6:$J433,TRUE()))</f>
        <v/>
      </c>
      <c r="L433" s="5" t="str">
        <f aca="false">IF($K433="","","R"&amp;$K433)</f>
        <v/>
      </c>
    </row>
    <row r="434" customFormat="false" ht="15" hidden="false" customHeight="true" outlineLevel="0" collapsed="false">
      <c r="J434" s="21" t="b">
        <f aca="false">IF(원자재마스터!$A431="",FALSE(),원자재마스터!$L431=$B$3)</f>
        <v>0</v>
      </c>
      <c r="K434" s="5" t="str">
        <f aca="false">IF($J434=FALSE(),"",COUNTIF($J$6:$J434,TRUE()))</f>
        <v/>
      </c>
      <c r="L434" s="5" t="str">
        <f aca="false">IF($K434="","","R"&amp;$K434)</f>
        <v/>
      </c>
    </row>
    <row r="435" customFormat="false" ht="15" hidden="false" customHeight="true" outlineLevel="0" collapsed="false">
      <c r="J435" s="21" t="b">
        <f aca="false">IF(원자재마스터!$A432="",FALSE(),원자재마스터!$L432=$B$3)</f>
        <v>0</v>
      </c>
      <c r="K435" s="5" t="str">
        <f aca="false">IF($J435=FALSE(),"",COUNTIF($J$6:$J435,TRUE()))</f>
        <v/>
      </c>
      <c r="L435" s="5" t="str">
        <f aca="false">IF($K435="","","R"&amp;$K435)</f>
        <v/>
      </c>
    </row>
    <row r="436" customFormat="false" ht="15" hidden="false" customHeight="true" outlineLevel="0" collapsed="false">
      <c r="J436" s="21" t="b">
        <f aca="false">IF(원자재마스터!$A433="",FALSE(),원자재마스터!$L433=$B$3)</f>
        <v>0</v>
      </c>
      <c r="K436" s="5" t="str">
        <f aca="false">IF($J436=FALSE(),"",COUNTIF($J$6:$J436,TRUE()))</f>
        <v/>
      </c>
      <c r="L436" s="5" t="str">
        <f aca="false">IF($K436="","","R"&amp;$K436)</f>
        <v/>
      </c>
    </row>
    <row r="437" customFormat="false" ht="15" hidden="false" customHeight="true" outlineLevel="0" collapsed="false">
      <c r="J437" s="21" t="b">
        <f aca="false">IF(원자재마스터!$A434="",FALSE(),원자재마스터!$L434=$B$3)</f>
        <v>0</v>
      </c>
      <c r="K437" s="5" t="str">
        <f aca="false">IF($J437=FALSE(),"",COUNTIF($J$6:$J437,TRUE()))</f>
        <v/>
      </c>
      <c r="L437" s="5" t="str">
        <f aca="false">IF($K437="","","R"&amp;$K437)</f>
        <v/>
      </c>
    </row>
    <row r="438" customFormat="false" ht="15" hidden="false" customHeight="true" outlineLevel="0" collapsed="false">
      <c r="J438" s="21" t="b">
        <f aca="false">IF(원자재마스터!$A435="",FALSE(),원자재마스터!$L435=$B$3)</f>
        <v>0</v>
      </c>
      <c r="K438" s="5" t="str">
        <f aca="false">IF($J438=FALSE(),"",COUNTIF($J$6:$J438,TRUE()))</f>
        <v/>
      </c>
      <c r="L438" s="5" t="str">
        <f aca="false">IF($K438="","","R"&amp;$K438)</f>
        <v/>
      </c>
    </row>
    <row r="439" customFormat="false" ht="15" hidden="false" customHeight="true" outlineLevel="0" collapsed="false">
      <c r="J439" s="21" t="b">
        <f aca="false">IF(원자재마스터!$A436="",FALSE(),원자재마스터!$L436=$B$3)</f>
        <v>0</v>
      </c>
      <c r="K439" s="5" t="str">
        <f aca="false">IF($J439=FALSE(),"",COUNTIF($J$6:$J439,TRUE()))</f>
        <v/>
      </c>
      <c r="L439" s="5" t="str">
        <f aca="false">IF($K439="","","R"&amp;$K439)</f>
        <v/>
      </c>
    </row>
    <row r="440" customFormat="false" ht="15" hidden="false" customHeight="true" outlineLevel="0" collapsed="false">
      <c r="J440" s="21" t="b">
        <f aca="false">IF(원자재마스터!$A437="",FALSE(),원자재마스터!$L437=$B$3)</f>
        <v>0</v>
      </c>
      <c r="K440" s="5" t="str">
        <f aca="false">IF($J440=FALSE(),"",COUNTIF($J$6:$J440,TRUE()))</f>
        <v/>
      </c>
      <c r="L440" s="5" t="str">
        <f aca="false">IF($K440="","","R"&amp;$K440)</f>
        <v/>
      </c>
    </row>
    <row r="441" customFormat="false" ht="15" hidden="false" customHeight="true" outlineLevel="0" collapsed="false">
      <c r="J441" s="21" t="b">
        <f aca="false">IF(원자재마스터!$A438="",FALSE(),원자재마스터!$L438=$B$3)</f>
        <v>0</v>
      </c>
      <c r="K441" s="5" t="str">
        <f aca="false">IF($J441=FALSE(),"",COUNTIF($J$6:$J441,TRUE()))</f>
        <v/>
      </c>
      <c r="L441" s="5" t="str">
        <f aca="false">IF($K441="","","R"&amp;$K441)</f>
        <v/>
      </c>
    </row>
    <row r="442" customFormat="false" ht="15" hidden="false" customHeight="true" outlineLevel="0" collapsed="false">
      <c r="J442" s="21" t="b">
        <f aca="false">IF(원자재마스터!$A439="",FALSE(),원자재마스터!$L439=$B$3)</f>
        <v>0</v>
      </c>
      <c r="K442" s="5" t="str">
        <f aca="false">IF($J442=FALSE(),"",COUNTIF($J$6:$J442,TRUE()))</f>
        <v/>
      </c>
      <c r="L442" s="5" t="str">
        <f aca="false">IF($K442="","","R"&amp;$K442)</f>
        <v/>
      </c>
    </row>
    <row r="443" customFormat="false" ht="15" hidden="false" customHeight="true" outlineLevel="0" collapsed="false">
      <c r="J443" s="21" t="b">
        <f aca="false">IF(원자재마스터!$A440="",FALSE(),원자재마스터!$L440=$B$3)</f>
        <v>0</v>
      </c>
      <c r="K443" s="5" t="str">
        <f aca="false">IF($J443=FALSE(),"",COUNTIF($J$6:$J443,TRUE()))</f>
        <v/>
      </c>
      <c r="L443" s="5" t="str">
        <f aca="false">IF($K443="","","R"&amp;$K443)</f>
        <v/>
      </c>
    </row>
    <row r="444" customFormat="false" ht="15" hidden="false" customHeight="true" outlineLevel="0" collapsed="false">
      <c r="J444" s="21" t="b">
        <f aca="false">IF(원자재마스터!$A441="",FALSE(),원자재마스터!$L441=$B$3)</f>
        <v>0</v>
      </c>
      <c r="K444" s="5" t="str">
        <f aca="false">IF($J444=FALSE(),"",COUNTIF($J$6:$J444,TRUE()))</f>
        <v/>
      </c>
      <c r="L444" s="5" t="str">
        <f aca="false">IF($K444="","","R"&amp;$K444)</f>
        <v/>
      </c>
    </row>
    <row r="445" customFormat="false" ht="15" hidden="false" customHeight="true" outlineLevel="0" collapsed="false">
      <c r="J445" s="21" t="b">
        <f aca="false">IF(원자재마스터!$A442="",FALSE(),원자재마스터!$L442=$B$3)</f>
        <v>0</v>
      </c>
      <c r="K445" s="5" t="str">
        <f aca="false">IF($J445=FALSE(),"",COUNTIF($J$6:$J445,TRUE()))</f>
        <v/>
      </c>
      <c r="L445" s="5" t="str">
        <f aca="false">IF($K445="","","R"&amp;$K445)</f>
        <v/>
      </c>
    </row>
    <row r="446" customFormat="false" ht="15" hidden="false" customHeight="true" outlineLevel="0" collapsed="false">
      <c r="J446" s="21" t="b">
        <f aca="false">IF(원자재마스터!$A443="",FALSE(),원자재마스터!$L443=$B$3)</f>
        <v>0</v>
      </c>
      <c r="K446" s="5" t="str">
        <f aca="false">IF($J446=FALSE(),"",COUNTIF($J$6:$J446,TRUE()))</f>
        <v/>
      </c>
      <c r="L446" s="5" t="str">
        <f aca="false">IF($K446="","","R"&amp;$K446)</f>
        <v/>
      </c>
    </row>
    <row r="447" customFormat="false" ht="15" hidden="false" customHeight="true" outlineLevel="0" collapsed="false">
      <c r="J447" s="21" t="b">
        <f aca="false">IF(원자재마스터!$A444="",FALSE(),원자재마스터!$L444=$B$3)</f>
        <v>0</v>
      </c>
      <c r="K447" s="5" t="str">
        <f aca="false">IF($J447=FALSE(),"",COUNTIF($J$6:$J447,TRUE()))</f>
        <v/>
      </c>
      <c r="L447" s="5" t="str">
        <f aca="false">IF($K447="","","R"&amp;$K447)</f>
        <v/>
      </c>
    </row>
    <row r="448" customFormat="false" ht="15" hidden="false" customHeight="true" outlineLevel="0" collapsed="false">
      <c r="J448" s="21" t="b">
        <f aca="false">IF(원자재마스터!$A445="",FALSE(),원자재마스터!$L445=$B$3)</f>
        <v>0</v>
      </c>
      <c r="K448" s="5" t="str">
        <f aca="false">IF($J448=FALSE(),"",COUNTIF($J$6:$J448,TRUE()))</f>
        <v/>
      </c>
      <c r="L448" s="5" t="str">
        <f aca="false">IF($K448="","","R"&amp;$K448)</f>
        <v/>
      </c>
    </row>
    <row r="449" customFormat="false" ht="15" hidden="false" customHeight="true" outlineLevel="0" collapsed="false">
      <c r="J449" s="21" t="b">
        <f aca="false">IF(원자재마스터!$A446="",FALSE(),원자재마스터!$L446=$B$3)</f>
        <v>0</v>
      </c>
      <c r="K449" s="5" t="str">
        <f aca="false">IF($J449=FALSE(),"",COUNTIF($J$6:$J449,TRUE()))</f>
        <v/>
      </c>
      <c r="L449" s="5" t="str">
        <f aca="false">IF($K449="","","R"&amp;$K449)</f>
        <v/>
      </c>
    </row>
    <row r="450" customFormat="false" ht="15" hidden="false" customHeight="true" outlineLevel="0" collapsed="false">
      <c r="J450" s="21" t="b">
        <f aca="false">IF(원자재마스터!$A447="",FALSE(),원자재마스터!$L447=$B$3)</f>
        <v>0</v>
      </c>
      <c r="K450" s="5" t="str">
        <f aca="false">IF($J450=FALSE(),"",COUNTIF($J$6:$J450,TRUE()))</f>
        <v/>
      </c>
      <c r="L450" s="5" t="str">
        <f aca="false">IF($K450="","","R"&amp;$K450)</f>
        <v/>
      </c>
    </row>
    <row r="451" customFormat="false" ht="15" hidden="false" customHeight="true" outlineLevel="0" collapsed="false">
      <c r="J451" s="21" t="b">
        <f aca="false">IF(원자재마스터!$A448="",FALSE(),원자재마스터!$L448=$B$3)</f>
        <v>0</v>
      </c>
      <c r="K451" s="5" t="str">
        <f aca="false">IF($J451=FALSE(),"",COUNTIF($J$6:$J451,TRUE()))</f>
        <v/>
      </c>
      <c r="L451" s="5" t="str">
        <f aca="false">IF($K451="","","R"&amp;$K451)</f>
        <v/>
      </c>
    </row>
    <row r="452" customFormat="false" ht="15" hidden="false" customHeight="true" outlineLevel="0" collapsed="false">
      <c r="J452" s="21" t="b">
        <f aca="false">IF(원자재마스터!$A449="",FALSE(),원자재마스터!$L449=$B$3)</f>
        <v>0</v>
      </c>
      <c r="K452" s="5" t="str">
        <f aca="false">IF($J452=FALSE(),"",COUNTIF($J$6:$J452,TRUE()))</f>
        <v/>
      </c>
      <c r="L452" s="5" t="str">
        <f aca="false">IF($K452="","","R"&amp;$K452)</f>
        <v/>
      </c>
    </row>
    <row r="453" customFormat="false" ht="15" hidden="false" customHeight="true" outlineLevel="0" collapsed="false">
      <c r="J453" s="21" t="b">
        <f aca="false">IF(원자재마스터!$A450="",FALSE(),원자재마스터!$L450=$B$3)</f>
        <v>0</v>
      </c>
      <c r="K453" s="5" t="str">
        <f aca="false">IF($J453=FALSE(),"",COUNTIF($J$6:$J453,TRUE()))</f>
        <v/>
      </c>
      <c r="L453" s="5" t="str">
        <f aca="false">IF($K453="","","R"&amp;$K453)</f>
        <v/>
      </c>
    </row>
    <row r="454" customFormat="false" ht="15" hidden="false" customHeight="true" outlineLevel="0" collapsed="false">
      <c r="J454" s="21" t="b">
        <f aca="false">IF(원자재마스터!$A451="",FALSE(),원자재마스터!$L451=$B$3)</f>
        <v>0</v>
      </c>
      <c r="K454" s="5" t="str">
        <f aca="false">IF($J454=FALSE(),"",COUNTIF($J$6:$J454,TRUE()))</f>
        <v/>
      </c>
      <c r="L454" s="5" t="str">
        <f aca="false">IF($K454="","","R"&amp;$K454)</f>
        <v/>
      </c>
    </row>
    <row r="455" customFormat="false" ht="15" hidden="false" customHeight="true" outlineLevel="0" collapsed="false">
      <c r="J455" s="21" t="b">
        <f aca="false">IF(원자재마스터!$A452="",FALSE(),원자재마스터!$L452=$B$3)</f>
        <v>0</v>
      </c>
      <c r="K455" s="5" t="str">
        <f aca="false">IF($J455=FALSE(),"",COUNTIF($J$6:$J455,TRUE()))</f>
        <v/>
      </c>
      <c r="L455" s="5" t="str">
        <f aca="false">IF($K455="","","R"&amp;$K455)</f>
        <v/>
      </c>
    </row>
    <row r="456" customFormat="false" ht="15" hidden="false" customHeight="true" outlineLevel="0" collapsed="false">
      <c r="J456" s="21" t="b">
        <f aca="false">IF(원자재마스터!$A453="",FALSE(),원자재마스터!$L453=$B$3)</f>
        <v>0</v>
      </c>
      <c r="K456" s="5" t="str">
        <f aca="false">IF($J456=FALSE(),"",COUNTIF($J$6:$J456,TRUE()))</f>
        <v/>
      </c>
      <c r="L456" s="5" t="str">
        <f aca="false">IF($K456="","","R"&amp;$K456)</f>
        <v/>
      </c>
    </row>
    <row r="457" customFormat="false" ht="15" hidden="false" customHeight="true" outlineLevel="0" collapsed="false">
      <c r="J457" s="21" t="b">
        <f aca="false">IF(원자재마스터!$A454="",FALSE(),원자재마스터!$L454=$B$3)</f>
        <v>0</v>
      </c>
      <c r="K457" s="5" t="str">
        <f aca="false">IF($J457=FALSE(),"",COUNTIF($J$6:$J457,TRUE()))</f>
        <v/>
      </c>
      <c r="L457" s="5" t="str">
        <f aca="false">IF($K457="","","R"&amp;$K457)</f>
        <v/>
      </c>
    </row>
    <row r="458" customFormat="false" ht="15" hidden="false" customHeight="true" outlineLevel="0" collapsed="false">
      <c r="J458" s="21" t="b">
        <f aca="false">IF(원자재마스터!$A455="",FALSE(),원자재마스터!$L455=$B$3)</f>
        <v>0</v>
      </c>
      <c r="K458" s="5" t="str">
        <f aca="false">IF($J458=FALSE(),"",COUNTIF($J$6:$J458,TRUE()))</f>
        <v/>
      </c>
      <c r="L458" s="5" t="str">
        <f aca="false">IF($K458="","","R"&amp;$K458)</f>
        <v/>
      </c>
    </row>
    <row r="459" customFormat="false" ht="15" hidden="false" customHeight="true" outlineLevel="0" collapsed="false">
      <c r="J459" s="21" t="b">
        <f aca="false">IF(원자재마스터!$A456="",FALSE(),원자재마스터!$L456=$B$3)</f>
        <v>0</v>
      </c>
      <c r="K459" s="5" t="str">
        <f aca="false">IF($J459=FALSE(),"",COUNTIF($J$6:$J459,TRUE()))</f>
        <v/>
      </c>
      <c r="L459" s="5" t="str">
        <f aca="false">IF($K459="","","R"&amp;$K459)</f>
        <v/>
      </c>
    </row>
    <row r="460" customFormat="false" ht="15" hidden="false" customHeight="true" outlineLevel="0" collapsed="false">
      <c r="J460" s="21" t="b">
        <f aca="false">IF(원자재마스터!$A457="",FALSE(),원자재마스터!$L457=$B$3)</f>
        <v>0</v>
      </c>
      <c r="K460" s="5" t="str">
        <f aca="false">IF($J460=FALSE(),"",COUNTIF($J$6:$J460,TRUE()))</f>
        <v/>
      </c>
      <c r="L460" s="5" t="str">
        <f aca="false">IF($K460="","","R"&amp;$K460)</f>
        <v/>
      </c>
    </row>
    <row r="461" customFormat="false" ht="15" hidden="false" customHeight="true" outlineLevel="0" collapsed="false">
      <c r="J461" s="21" t="b">
        <f aca="false">IF(원자재마스터!$A458="",FALSE(),원자재마스터!$L458=$B$3)</f>
        <v>0</v>
      </c>
      <c r="K461" s="5" t="str">
        <f aca="false">IF($J461=FALSE(),"",COUNTIF($J$6:$J461,TRUE()))</f>
        <v/>
      </c>
      <c r="L461" s="5" t="str">
        <f aca="false">IF($K461="","","R"&amp;$K461)</f>
        <v/>
      </c>
    </row>
    <row r="462" customFormat="false" ht="15" hidden="false" customHeight="true" outlineLevel="0" collapsed="false">
      <c r="J462" s="21" t="b">
        <f aca="false">IF(원자재마스터!$A459="",FALSE(),원자재마스터!$L459=$B$3)</f>
        <v>0</v>
      </c>
      <c r="K462" s="5" t="str">
        <f aca="false">IF($J462=FALSE(),"",COUNTIF($J$6:$J462,TRUE()))</f>
        <v/>
      </c>
      <c r="L462" s="5" t="str">
        <f aca="false">IF($K462="","","R"&amp;$K462)</f>
        <v/>
      </c>
    </row>
    <row r="463" customFormat="false" ht="15" hidden="false" customHeight="true" outlineLevel="0" collapsed="false">
      <c r="J463" s="21" t="b">
        <f aca="false">IF(원자재마스터!$A460="",FALSE(),원자재마스터!$L460=$B$3)</f>
        <v>0</v>
      </c>
      <c r="K463" s="5" t="str">
        <f aca="false">IF($J463=FALSE(),"",COUNTIF($J$6:$J463,TRUE()))</f>
        <v/>
      </c>
      <c r="L463" s="5" t="str">
        <f aca="false">IF($K463="","","R"&amp;$K463)</f>
        <v/>
      </c>
    </row>
    <row r="464" customFormat="false" ht="15" hidden="false" customHeight="true" outlineLevel="0" collapsed="false">
      <c r="J464" s="21" t="b">
        <f aca="false">IF(원자재마스터!$A461="",FALSE(),원자재마스터!$L461=$B$3)</f>
        <v>0</v>
      </c>
      <c r="K464" s="5" t="str">
        <f aca="false">IF($J464=FALSE(),"",COUNTIF($J$6:$J464,TRUE()))</f>
        <v/>
      </c>
      <c r="L464" s="5" t="str">
        <f aca="false">IF($K464="","","R"&amp;$K464)</f>
        <v/>
      </c>
    </row>
    <row r="465" customFormat="false" ht="15" hidden="false" customHeight="true" outlineLevel="0" collapsed="false">
      <c r="J465" s="21" t="b">
        <f aca="false">IF(원자재마스터!$A462="",FALSE(),원자재마스터!$L462=$B$3)</f>
        <v>0</v>
      </c>
      <c r="K465" s="5" t="str">
        <f aca="false">IF($J465=FALSE(),"",COUNTIF($J$6:$J465,TRUE()))</f>
        <v/>
      </c>
      <c r="L465" s="5" t="str">
        <f aca="false">IF($K465="","","R"&amp;$K465)</f>
        <v/>
      </c>
    </row>
    <row r="466" customFormat="false" ht="15" hidden="false" customHeight="true" outlineLevel="0" collapsed="false">
      <c r="J466" s="21" t="b">
        <f aca="false">IF(원자재마스터!$A463="",FALSE(),원자재마스터!$L463=$B$3)</f>
        <v>0</v>
      </c>
      <c r="K466" s="5" t="str">
        <f aca="false">IF($J466=FALSE(),"",COUNTIF($J$6:$J466,TRUE()))</f>
        <v/>
      </c>
      <c r="L466" s="5" t="str">
        <f aca="false">IF($K466="","","R"&amp;$K466)</f>
        <v/>
      </c>
    </row>
    <row r="467" customFormat="false" ht="15" hidden="false" customHeight="true" outlineLevel="0" collapsed="false">
      <c r="J467" s="21" t="b">
        <f aca="false">IF(원자재마스터!$A464="",FALSE(),원자재마스터!$L464=$B$3)</f>
        <v>0</v>
      </c>
      <c r="K467" s="5" t="str">
        <f aca="false">IF($J467=FALSE(),"",COUNTIF($J$6:$J467,TRUE()))</f>
        <v/>
      </c>
      <c r="L467" s="5" t="str">
        <f aca="false">IF($K467="","","R"&amp;$K467)</f>
        <v/>
      </c>
    </row>
    <row r="468" customFormat="false" ht="15" hidden="false" customHeight="true" outlineLevel="0" collapsed="false">
      <c r="J468" s="21" t="b">
        <f aca="false">IF(원자재마스터!$A465="",FALSE(),원자재마스터!$L465=$B$3)</f>
        <v>0</v>
      </c>
      <c r="K468" s="5" t="str">
        <f aca="false">IF($J468=FALSE(),"",COUNTIF($J$6:$J468,TRUE()))</f>
        <v/>
      </c>
      <c r="L468" s="5" t="str">
        <f aca="false">IF($K468="","","R"&amp;$K468)</f>
        <v/>
      </c>
    </row>
    <row r="469" customFormat="false" ht="15" hidden="false" customHeight="true" outlineLevel="0" collapsed="false">
      <c r="J469" s="21" t="b">
        <f aca="false">IF(원자재마스터!$A466="",FALSE(),원자재마스터!$L466=$B$3)</f>
        <v>0</v>
      </c>
      <c r="K469" s="5" t="str">
        <f aca="false">IF($J469=FALSE(),"",COUNTIF($J$6:$J469,TRUE()))</f>
        <v/>
      </c>
      <c r="L469" s="5" t="str">
        <f aca="false">IF($K469="","","R"&amp;$K469)</f>
        <v/>
      </c>
    </row>
    <row r="470" customFormat="false" ht="15" hidden="false" customHeight="true" outlineLevel="0" collapsed="false">
      <c r="J470" s="21" t="b">
        <f aca="false">IF(원자재마스터!$A467="",FALSE(),원자재마스터!$L467=$B$3)</f>
        <v>0</v>
      </c>
      <c r="K470" s="5" t="str">
        <f aca="false">IF($J470=FALSE(),"",COUNTIF($J$6:$J470,TRUE()))</f>
        <v/>
      </c>
      <c r="L470" s="5" t="str">
        <f aca="false">IF($K470="","","R"&amp;$K470)</f>
        <v/>
      </c>
    </row>
    <row r="471" customFormat="false" ht="15" hidden="false" customHeight="true" outlineLevel="0" collapsed="false">
      <c r="J471" s="21" t="b">
        <f aca="false">IF(원자재마스터!$A468="",FALSE(),원자재마스터!$L468=$B$3)</f>
        <v>0</v>
      </c>
      <c r="K471" s="5" t="str">
        <f aca="false">IF($J471=FALSE(),"",COUNTIF($J$6:$J471,TRUE()))</f>
        <v/>
      </c>
      <c r="L471" s="5" t="str">
        <f aca="false">IF($K471="","","R"&amp;$K471)</f>
        <v/>
      </c>
    </row>
    <row r="472" customFormat="false" ht="15" hidden="false" customHeight="true" outlineLevel="0" collapsed="false">
      <c r="J472" s="21" t="b">
        <f aca="false">IF(원자재마스터!$A469="",FALSE(),원자재마스터!$L469=$B$3)</f>
        <v>0</v>
      </c>
      <c r="K472" s="5" t="str">
        <f aca="false">IF($J472=FALSE(),"",COUNTIF($J$6:$J472,TRUE()))</f>
        <v/>
      </c>
      <c r="L472" s="5" t="str">
        <f aca="false">IF($K472="","","R"&amp;$K472)</f>
        <v/>
      </c>
    </row>
    <row r="473" customFormat="false" ht="15" hidden="false" customHeight="true" outlineLevel="0" collapsed="false">
      <c r="J473" s="21" t="b">
        <f aca="false">IF(원자재마스터!$A470="",FALSE(),원자재마스터!$L470=$B$3)</f>
        <v>0</v>
      </c>
      <c r="K473" s="5" t="str">
        <f aca="false">IF($J473=FALSE(),"",COUNTIF($J$6:$J473,TRUE()))</f>
        <v/>
      </c>
      <c r="L473" s="5" t="str">
        <f aca="false">IF($K473="","","R"&amp;$K473)</f>
        <v/>
      </c>
    </row>
    <row r="474" customFormat="false" ht="15" hidden="false" customHeight="true" outlineLevel="0" collapsed="false">
      <c r="J474" s="21" t="b">
        <f aca="false">IF(원자재마스터!$A471="",FALSE(),원자재마스터!$L471=$B$3)</f>
        <v>0</v>
      </c>
      <c r="K474" s="5" t="str">
        <f aca="false">IF($J474=FALSE(),"",COUNTIF($J$6:$J474,TRUE()))</f>
        <v/>
      </c>
      <c r="L474" s="5" t="str">
        <f aca="false">IF($K474="","","R"&amp;$K474)</f>
        <v/>
      </c>
    </row>
    <row r="475" customFormat="false" ht="15" hidden="false" customHeight="true" outlineLevel="0" collapsed="false">
      <c r="J475" s="21" t="b">
        <f aca="false">IF(원자재마스터!$A472="",FALSE(),원자재마스터!$L472=$B$3)</f>
        <v>0</v>
      </c>
      <c r="K475" s="5" t="str">
        <f aca="false">IF($J475=FALSE(),"",COUNTIF($J$6:$J475,TRUE()))</f>
        <v/>
      </c>
      <c r="L475" s="5" t="str">
        <f aca="false">IF($K475="","","R"&amp;$K475)</f>
        <v/>
      </c>
    </row>
    <row r="476" customFormat="false" ht="15" hidden="false" customHeight="true" outlineLevel="0" collapsed="false">
      <c r="J476" s="21" t="b">
        <f aca="false">IF(원자재마스터!$A473="",FALSE(),원자재마스터!$L473=$B$3)</f>
        <v>0</v>
      </c>
      <c r="K476" s="5" t="str">
        <f aca="false">IF($J476=FALSE(),"",COUNTIF($J$6:$J476,TRUE()))</f>
        <v/>
      </c>
      <c r="L476" s="5" t="str">
        <f aca="false">IF($K476="","","R"&amp;$K476)</f>
        <v/>
      </c>
    </row>
    <row r="477" customFormat="false" ht="15" hidden="false" customHeight="true" outlineLevel="0" collapsed="false">
      <c r="J477" s="21" t="b">
        <f aca="false">IF(원자재마스터!$A474="",FALSE(),원자재마스터!$L474=$B$3)</f>
        <v>0</v>
      </c>
      <c r="K477" s="5" t="str">
        <f aca="false">IF($J477=FALSE(),"",COUNTIF($J$6:$J477,TRUE()))</f>
        <v/>
      </c>
      <c r="L477" s="5" t="str">
        <f aca="false">IF($K477="","","R"&amp;$K477)</f>
        <v/>
      </c>
    </row>
    <row r="478" customFormat="false" ht="15" hidden="false" customHeight="true" outlineLevel="0" collapsed="false">
      <c r="J478" s="21" t="b">
        <f aca="false">IF(원자재마스터!$A475="",FALSE(),원자재마스터!$L475=$B$3)</f>
        <v>0</v>
      </c>
      <c r="K478" s="5" t="str">
        <f aca="false">IF($J478=FALSE(),"",COUNTIF($J$6:$J478,TRUE()))</f>
        <v/>
      </c>
      <c r="L478" s="5" t="str">
        <f aca="false">IF($K478="","","R"&amp;$K478)</f>
        <v/>
      </c>
    </row>
    <row r="479" customFormat="false" ht="15" hidden="false" customHeight="true" outlineLevel="0" collapsed="false">
      <c r="J479" s="21" t="b">
        <f aca="false">IF(원자재마스터!$A476="",FALSE(),원자재마스터!$L476=$B$3)</f>
        <v>0</v>
      </c>
      <c r="K479" s="5" t="str">
        <f aca="false">IF($J479=FALSE(),"",COUNTIF($J$6:$J479,TRUE()))</f>
        <v/>
      </c>
      <c r="L479" s="5" t="str">
        <f aca="false">IF($K479="","","R"&amp;$K479)</f>
        <v/>
      </c>
    </row>
    <row r="480" customFormat="false" ht="15" hidden="false" customHeight="true" outlineLevel="0" collapsed="false">
      <c r="J480" s="21" t="b">
        <f aca="false">IF(원자재마스터!$A477="",FALSE(),원자재마스터!$L477=$B$3)</f>
        <v>0</v>
      </c>
      <c r="K480" s="5" t="str">
        <f aca="false">IF($J480=FALSE(),"",COUNTIF($J$6:$J480,TRUE()))</f>
        <v/>
      </c>
      <c r="L480" s="5" t="str">
        <f aca="false">IF($K480="","","R"&amp;$K480)</f>
        <v/>
      </c>
    </row>
    <row r="481" customFormat="false" ht="15" hidden="false" customHeight="true" outlineLevel="0" collapsed="false">
      <c r="J481" s="21" t="b">
        <f aca="false">IF(원자재마스터!$A478="",FALSE(),원자재마스터!$L478=$B$3)</f>
        <v>0</v>
      </c>
      <c r="K481" s="5" t="str">
        <f aca="false">IF($J481=FALSE(),"",COUNTIF($J$6:$J481,TRUE()))</f>
        <v/>
      </c>
      <c r="L481" s="5" t="str">
        <f aca="false">IF($K481="","","R"&amp;$K481)</f>
        <v/>
      </c>
    </row>
    <row r="482" customFormat="false" ht="15" hidden="false" customHeight="true" outlineLevel="0" collapsed="false">
      <c r="J482" s="21" t="b">
        <f aca="false">IF(원자재마스터!$A479="",FALSE(),원자재마스터!$L479=$B$3)</f>
        <v>0</v>
      </c>
      <c r="K482" s="5" t="str">
        <f aca="false">IF($J482=FALSE(),"",COUNTIF($J$6:$J482,TRUE()))</f>
        <v/>
      </c>
      <c r="L482" s="5" t="str">
        <f aca="false">IF($K482="","","R"&amp;$K482)</f>
        <v/>
      </c>
    </row>
    <row r="483" customFormat="false" ht="15" hidden="false" customHeight="true" outlineLevel="0" collapsed="false">
      <c r="J483" s="21" t="b">
        <f aca="false">IF(원자재마스터!$A480="",FALSE(),원자재마스터!$L480=$B$3)</f>
        <v>0</v>
      </c>
      <c r="K483" s="5" t="str">
        <f aca="false">IF($J483=FALSE(),"",COUNTIF($J$6:$J483,TRUE()))</f>
        <v/>
      </c>
      <c r="L483" s="5" t="str">
        <f aca="false">IF($K483="","","R"&amp;$K483)</f>
        <v/>
      </c>
    </row>
    <row r="484" customFormat="false" ht="15" hidden="false" customHeight="true" outlineLevel="0" collapsed="false">
      <c r="J484" s="21" t="b">
        <f aca="false">IF(원자재마스터!$A481="",FALSE(),원자재마스터!$L481=$B$3)</f>
        <v>0</v>
      </c>
      <c r="K484" s="5" t="str">
        <f aca="false">IF($J484=FALSE(),"",COUNTIF($J$6:$J484,TRUE()))</f>
        <v/>
      </c>
      <c r="L484" s="5" t="str">
        <f aca="false">IF($K484="","","R"&amp;$K484)</f>
        <v/>
      </c>
    </row>
    <row r="485" customFormat="false" ht="15" hidden="false" customHeight="true" outlineLevel="0" collapsed="false">
      <c r="J485" s="21" t="b">
        <f aca="false">IF(원자재마스터!$A482="",FALSE(),원자재마스터!$L482=$B$3)</f>
        <v>0</v>
      </c>
      <c r="K485" s="5" t="str">
        <f aca="false">IF($J485=FALSE(),"",COUNTIF($J$6:$J485,TRUE()))</f>
        <v/>
      </c>
      <c r="L485" s="5" t="str">
        <f aca="false">IF($K485="","","R"&amp;$K485)</f>
        <v/>
      </c>
    </row>
    <row r="486" customFormat="false" ht="15" hidden="false" customHeight="true" outlineLevel="0" collapsed="false">
      <c r="J486" s="21" t="b">
        <f aca="false">IF(원자재마스터!$A483="",FALSE(),원자재마스터!$L483=$B$3)</f>
        <v>0</v>
      </c>
      <c r="K486" s="5" t="str">
        <f aca="false">IF($J486=FALSE(),"",COUNTIF($J$6:$J486,TRUE()))</f>
        <v/>
      </c>
      <c r="L486" s="5" t="str">
        <f aca="false">IF($K486="","","R"&amp;$K486)</f>
        <v/>
      </c>
    </row>
    <row r="487" customFormat="false" ht="15" hidden="false" customHeight="true" outlineLevel="0" collapsed="false">
      <c r="J487" s="21" t="b">
        <f aca="false">IF(원자재마스터!$A484="",FALSE(),원자재마스터!$L484=$B$3)</f>
        <v>0</v>
      </c>
      <c r="K487" s="5" t="str">
        <f aca="false">IF($J487=FALSE(),"",COUNTIF($J$6:$J487,TRUE()))</f>
        <v/>
      </c>
      <c r="L487" s="5" t="str">
        <f aca="false">IF($K487="","","R"&amp;$K487)</f>
        <v/>
      </c>
    </row>
    <row r="488" customFormat="false" ht="15" hidden="false" customHeight="true" outlineLevel="0" collapsed="false">
      <c r="J488" s="21" t="b">
        <f aca="false">IF(원자재마스터!$A485="",FALSE(),원자재마스터!$L485=$B$3)</f>
        <v>0</v>
      </c>
      <c r="K488" s="5" t="str">
        <f aca="false">IF($J488=FALSE(),"",COUNTIF($J$6:$J488,TRUE()))</f>
        <v/>
      </c>
      <c r="L488" s="5" t="str">
        <f aca="false">IF($K488="","","R"&amp;$K488)</f>
        <v/>
      </c>
    </row>
    <row r="489" customFormat="false" ht="15" hidden="false" customHeight="true" outlineLevel="0" collapsed="false">
      <c r="J489" s="21" t="b">
        <f aca="false">IF(원자재마스터!$A486="",FALSE(),원자재마스터!$L486=$B$3)</f>
        <v>0</v>
      </c>
      <c r="K489" s="5" t="str">
        <f aca="false">IF($J489=FALSE(),"",COUNTIF($J$6:$J489,TRUE()))</f>
        <v/>
      </c>
      <c r="L489" s="5" t="str">
        <f aca="false">IF($K489="","","R"&amp;$K489)</f>
        <v/>
      </c>
    </row>
    <row r="490" customFormat="false" ht="15" hidden="false" customHeight="true" outlineLevel="0" collapsed="false">
      <c r="J490" s="21" t="b">
        <f aca="false">IF(원자재마스터!$A487="",FALSE(),원자재마스터!$L487=$B$3)</f>
        <v>0</v>
      </c>
      <c r="K490" s="5" t="str">
        <f aca="false">IF($J490=FALSE(),"",COUNTIF($J$6:$J490,TRUE()))</f>
        <v/>
      </c>
      <c r="L490" s="5" t="str">
        <f aca="false">IF($K490="","","R"&amp;$K490)</f>
        <v/>
      </c>
    </row>
    <row r="491" customFormat="false" ht="15" hidden="false" customHeight="true" outlineLevel="0" collapsed="false">
      <c r="J491" s="21" t="b">
        <f aca="false">IF(원자재마스터!$A488="",FALSE(),원자재마스터!$L488=$B$3)</f>
        <v>0</v>
      </c>
      <c r="K491" s="5" t="str">
        <f aca="false">IF($J491=FALSE(),"",COUNTIF($J$6:$J491,TRUE()))</f>
        <v/>
      </c>
      <c r="L491" s="5" t="str">
        <f aca="false">IF($K491="","","R"&amp;$K491)</f>
        <v/>
      </c>
    </row>
    <row r="492" customFormat="false" ht="15" hidden="false" customHeight="true" outlineLevel="0" collapsed="false">
      <c r="J492" s="21" t="b">
        <f aca="false">IF(원자재마스터!$A489="",FALSE(),원자재마스터!$L489=$B$3)</f>
        <v>0</v>
      </c>
      <c r="K492" s="5" t="str">
        <f aca="false">IF($J492=FALSE(),"",COUNTIF($J$6:$J492,TRUE()))</f>
        <v/>
      </c>
      <c r="L492" s="5" t="str">
        <f aca="false">IF($K492="","","R"&amp;$K492)</f>
        <v/>
      </c>
    </row>
    <row r="493" customFormat="false" ht="15" hidden="false" customHeight="true" outlineLevel="0" collapsed="false">
      <c r="J493" s="21" t="b">
        <f aca="false">IF(원자재마스터!$A490="",FALSE(),원자재마스터!$L490=$B$3)</f>
        <v>0</v>
      </c>
      <c r="K493" s="5" t="str">
        <f aca="false">IF($J493=FALSE(),"",COUNTIF($J$6:$J493,TRUE()))</f>
        <v/>
      </c>
      <c r="L493" s="5" t="str">
        <f aca="false">IF($K493="","","R"&amp;$K493)</f>
        <v/>
      </c>
    </row>
    <row r="494" customFormat="false" ht="15" hidden="false" customHeight="true" outlineLevel="0" collapsed="false">
      <c r="J494" s="21" t="b">
        <f aca="false">IF(원자재마스터!$A491="",FALSE(),원자재마스터!$L491=$B$3)</f>
        <v>0</v>
      </c>
      <c r="K494" s="5" t="str">
        <f aca="false">IF($J494=FALSE(),"",COUNTIF($J$6:$J494,TRUE()))</f>
        <v/>
      </c>
      <c r="L494" s="5" t="str">
        <f aca="false">IF($K494="","","R"&amp;$K494)</f>
        <v/>
      </c>
    </row>
    <row r="495" customFormat="false" ht="15" hidden="false" customHeight="true" outlineLevel="0" collapsed="false">
      <c r="J495" s="21" t="b">
        <f aca="false">IF(원자재마스터!$A492="",FALSE(),원자재마스터!$L492=$B$3)</f>
        <v>0</v>
      </c>
      <c r="K495" s="5" t="str">
        <f aca="false">IF($J495=FALSE(),"",COUNTIF($J$6:$J495,TRUE()))</f>
        <v/>
      </c>
      <c r="L495" s="5" t="str">
        <f aca="false">IF($K495="","","R"&amp;$K495)</f>
        <v/>
      </c>
    </row>
    <row r="496" customFormat="false" ht="15" hidden="false" customHeight="true" outlineLevel="0" collapsed="false">
      <c r="J496" s="21" t="b">
        <f aca="false">IF(원자재마스터!$A493="",FALSE(),원자재마스터!$L493=$B$3)</f>
        <v>0</v>
      </c>
      <c r="K496" s="5" t="str">
        <f aca="false">IF($J496=FALSE(),"",COUNTIF($J$6:$J496,TRUE()))</f>
        <v/>
      </c>
      <c r="L496" s="5" t="str">
        <f aca="false">IF($K496="","","R"&amp;$K496)</f>
        <v/>
      </c>
    </row>
    <row r="497" customFormat="false" ht="15" hidden="false" customHeight="true" outlineLevel="0" collapsed="false">
      <c r="J497" s="21" t="b">
        <f aca="false">IF(원자재마스터!$A494="",FALSE(),원자재마스터!$L494=$B$3)</f>
        <v>0</v>
      </c>
      <c r="K497" s="5" t="str">
        <f aca="false">IF($J497=FALSE(),"",COUNTIF($J$6:$J497,TRUE()))</f>
        <v/>
      </c>
      <c r="L497" s="5" t="str">
        <f aca="false">IF($K497="","","R"&amp;$K497)</f>
        <v/>
      </c>
    </row>
    <row r="498" customFormat="false" ht="15" hidden="false" customHeight="true" outlineLevel="0" collapsed="false">
      <c r="J498" s="21" t="b">
        <f aca="false">IF(원자재마스터!$A495="",FALSE(),원자재마스터!$L495=$B$3)</f>
        <v>0</v>
      </c>
      <c r="K498" s="5" t="str">
        <f aca="false">IF($J498=FALSE(),"",COUNTIF($J$6:$J498,TRUE()))</f>
        <v/>
      </c>
      <c r="L498" s="5" t="str">
        <f aca="false">IF($K498="","","R"&amp;$K498)</f>
        <v/>
      </c>
    </row>
    <row r="499" customFormat="false" ht="15" hidden="false" customHeight="true" outlineLevel="0" collapsed="false">
      <c r="J499" s="21" t="b">
        <f aca="false">IF(원자재마스터!$A496="",FALSE(),원자재마스터!$L496=$B$3)</f>
        <v>0</v>
      </c>
      <c r="K499" s="5" t="str">
        <f aca="false">IF($J499=FALSE(),"",COUNTIF($J$6:$J499,TRUE()))</f>
        <v/>
      </c>
      <c r="L499" s="5" t="str">
        <f aca="false">IF($K499="","","R"&amp;$K499)</f>
        <v/>
      </c>
    </row>
    <row r="500" customFormat="false" ht="15" hidden="false" customHeight="true" outlineLevel="0" collapsed="false">
      <c r="J500" s="21" t="b">
        <f aca="false">IF(원자재마스터!$A497="",FALSE(),원자재마스터!$L497=$B$3)</f>
        <v>0</v>
      </c>
      <c r="K500" s="5" t="str">
        <f aca="false">IF($J500=FALSE(),"",COUNTIF($J$6:$J500,TRUE()))</f>
        <v/>
      </c>
      <c r="L500" s="5" t="str">
        <f aca="false">IF($K500="","","R"&amp;$K500)</f>
        <v/>
      </c>
    </row>
    <row r="501" customFormat="false" ht="15" hidden="false" customHeight="true" outlineLevel="0" collapsed="false">
      <c r="J501" s="21" t="b">
        <f aca="false">IF(원자재마스터!$A498="",FALSE(),원자재마스터!$L498=$B$3)</f>
        <v>0</v>
      </c>
      <c r="K501" s="5" t="str">
        <f aca="false">IF($J501=FALSE(),"",COUNTIF($J$6:$J501,TRUE()))</f>
        <v/>
      </c>
      <c r="L501" s="5" t="str">
        <f aca="false">IF($K501="","","R"&amp;$K501)</f>
        <v/>
      </c>
    </row>
    <row r="502" customFormat="false" ht="15" hidden="false" customHeight="true" outlineLevel="0" collapsed="false">
      <c r="J502" s="21" t="b">
        <f aca="false">IF(원자재마스터!$A499="",FALSE(),원자재마스터!$L499=$B$3)</f>
        <v>0</v>
      </c>
      <c r="K502" s="5" t="str">
        <f aca="false">IF($J502=FALSE(),"",COUNTIF($J$6:$J502,TRUE()))</f>
        <v/>
      </c>
      <c r="L502" s="5" t="str">
        <f aca="false">IF($K502="","","R"&amp;$K502)</f>
        <v/>
      </c>
    </row>
    <row r="503" customFormat="false" ht="15" hidden="false" customHeight="true" outlineLevel="0" collapsed="false">
      <c r="J503" s="21" t="b">
        <f aca="false">IF(원자재마스터!$A500="",FALSE(),원자재마스터!$L500=$B$3)</f>
        <v>0</v>
      </c>
      <c r="K503" s="5" t="str">
        <f aca="false">IF($J503=FALSE(),"",COUNTIF($J$6:$J503,TRUE()))</f>
        <v/>
      </c>
      <c r="L503" s="5" t="str">
        <f aca="false">IF($K503="","","R"&amp;$K503)</f>
        <v/>
      </c>
    </row>
    <row r="504" customFormat="false" ht="15" hidden="false" customHeight="true" outlineLevel="0" collapsed="false">
      <c r="J504" s="21" t="b">
        <f aca="false">IF(원자재마스터!$A501="",FALSE(),원자재마스터!$L501=$B$3)</f>
        <v>0</v>
      </c>
      <c r="K504" s="5" t="str">
        <f aca="false">IF($J504=FALSE(),"",COUNTIF($J$6:$J504,TRUE()))</f>
        <v/>
      </c>
      <c r="L504" s="5" t="str">
        <f aca="false">IF($K504="","","R"&amp;$K504)</f>
        <v/>
      </c>
    </row>
    <row r="505" customFormat="false" ht="15" hidden="false" customHeight="true" outlineLevel="0" collapsed="false">
      <c r="J505" s="21" t="b">
        <f aca="false">IF(원자재마스터!$A502="",FALSE(),원자재마스터!$L502=$B$3)</f>
        <v>0</v>
      </c>
      <c r="K505" s="5" t="str">
        <f aca="false">IF($J505=FALSE(),"",COUNTIF($J$6:$J505,TRUE()))</f>
        <v/>
      </c>
      <c r="L505" s="5" t="str">
        <f aca="false">IF($K505="","","R"&amp;$K505)</f>
        <v/>
      </c>
    </row>
  </sheetData>
  <mergeCells count="2">
    <mergeCell ref="A1:G1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"/>
    <col collapsed="false" customWidth="true" hidden="false" outlineLevel="0" max="3" min="3" style="1" width="30"/>
    <col collapsed="false" customWidth="true" hidden="false" outlineLevel="0" max="4" min="4" style="1" width="3"/>
    <col collapsed="false" customWidth="true" hidden="false" outlineLevel="0" max="5" min="5" style="1" width="30"/>
  </cols>
  <sheetData>
    <row r="1" customFormat="false" ht="25.5" hidden="false" customHeight="true" outlineLevel="0" collapsed="false">
      <c r="A1" s="2" t="s">
        <v>72</v>
      </c>
      <c r="B1" s="2"/>
      <c r="C1" s="2"/>
      <c r="D1" s="2"/>
      <c r="E1" s="2"/>
    </row>
    <row r="3" customFormat="false" ht="15" hidden="false" customHeight="true" outlineLevel="0" collapsed="false">
      <c r="A3" s="3" t="s">
        <v>73</v>
      </c>
      <c r="B3" s="23" t="n">
        <v>1</v>
      </c>
      <c r="C3" s="5" t="s">
        <v>74</v>
      </c>
    </row>
    <row r="5" customFormat="false" ht="19.5" hidden="false" customHeight="true" outlineLevel="0" collapsed="false">
      <c r="A5" s="30" t="str">
        <f aca="false">IFERROR(IF(INDEX(원자재마스터!$B$3:$B$502,$B$3+0)="","",INDEX(원자재마스터!$B$3:$B$502,$B$3+0)),"")</f>
        <v>열연강판</v>
      </c>
      <c r="C5" s="30" t="str">
        <f aca="false">IFERROR(IF(INDEX(원자재마스터!$B$3:$B$502,$B$3+1)="","",INDEX(원자재마스터!$B$3:$B$502,$B$3+1)),"")</f>
        <v>열연강판</v>
      </c>
      <c r="E5" s="30" t="str">
        <f aca="false">IFERROR(IF(INDEX(원자재마스터!$B$3:$B$502,$B$3+2)="","",INDEX(원자재마스터!$B$3:$B$502,$B$3+2)),"")</f>
        <v>알루미늄판</v>
      </c>
    </row>
    <row r="6" customFormat="false" ht="19.5" hidden="false" customHeight="true" outlineLevel="0" collapsed="false">
      <c r="A6" s="31" t="str">
        <f aca="false">IFERROR(IF(INDEX(원자재마스터!$G$3:$G$502,$B$3+0)="","",INDEX(원자재마스터!$G$3:$G$502,$B$3+0)),"")</f>
        <v>1000 × 500 × 3.2t</v>
      </c>
      <c r="C6" s="31" t="str">
        <f aca="false">IFERROR(IF(INDEX(원자재마스터!$G$3:$G$502,$B$3+1)="","",INDEX(원자재마스터!$G$3:$G$502,$B$3+1)),"")</f>
        <v>1200 × 600 × 4.5t</v>
      </c>
      <c r="E6" s="31" t="str">
        <f aca="false">IFERROR(IF(INDEX(원자재마스터!$G$3:$G$502,$B$3+2)="","",INDEX(원자재마스터!$G$3:$G$502,$B$3+2)),"")</f>
        <v>1000 × 500 × 2t</v>
      </c>
    </row>
    <row r="7" customFormat="false" ht="19.5" hidden="false" customHeight="true" outlineLevel="0" collapsed="false">
      <c r="A7" s="32" t="str">
        <f aca="false">IFERROR(IF(INDEX(원자재마스터!$A$3:$A$502,$B$3+0)="","",INDEX(원자재마스터!$A$3:$A$502,$B$3+0)&amp;"  /  "&amp;INDEX(원자재마스터!$C$3:$C$502,$B$3+0)),"")</f>
        <v>R001  /  SS400</v>
      </c>
      <c r="C7" s="32" t="str">
        <f aca="false">IFERROR(IF(INDEX(원자재마스터!$A$3:$A$502,$B$3+1)="","",INDEX(원자재마스터!$A$3:$A$502,$B$3+1)&amp;"  /  "&amp;INDEX(원자재마스터!$C$3:$C$502,$B$3+1)),"")</f>
        <v>R002  /  SS400</v>
      </c>
      <c r="E7" s="32" t="str">
        <f aca="false">IFERROR(IF(INDEX(원자재마스터!$A$3:$A$502,$B$3+2)="","",INDEX(원자재마스터!$A$3:$A$502,$B$3+2)&amp;"  /  "&amp;INDEX(원자재마스터!$C$3:$C$502,$B$3+2)),"")</f>
        <v>R003  /  A5052</v>
      </c>
    </row>
    <row r="8" customFormat="false" ht="7.5" hidden="false" customHeight="true" outlineLevel="0" collapsed="false"/>
    <row r="9" customFormat="false" ht="19.5" hidden="false" customHeight="true" outlineLevel="0" collapsed="false">
      <c r="A9" s="30" t="str">
        <f aca="false">IFERROR(IF(INDEX(원자재마스터!$B$3:$B$502,$B$3+3)="","",INDEX(원자재마스터!$B$3:$B$502,$B$3+3)),"")</f>
        <v>스테인리스판</v>
      </c>
      <c r="C9" s="30" t="str">
        <f aca="false">IFERROR(IF(INDEX(원자재마스터!$B$3:$B$502,$B$3+4)="","",INDEX(원자재마스터!$B$3:$B$502,$B$3+4)),"")</f>
        <v/>
      </c>
      <c r="E9" s="30" t="str">
        <f aca="false">IFERROR(IF(INDEX(원자재마스터!$B$3:$B$502,$B$3+5)="","",INDEX(원자재마스터!$B$3:$B$502,$B$3+5)),"")</f>
        <v/>
      </c>
    </row>
    <row r="10" customFormat="false" ht="19.5" hidden="false" customHeight="true" outlineLevel="0" collapsed="false">
      <c r="A10" s="31" t="str">
        <f aca="false">IFERROR(IF(INDEX(원자재마스터!$G$3:$G$502,$B$3+3)="","",INDEX(원자재마스터!$G$3:$G$502,$B$3+3)),"")</f>
        <v>1000 × 500 × 1.5t</v>
      </c>
      <c r="C10" s="31" t="str">
        <f aca="false">IFERROR(IF(INDEX(원자재마스터!$G$3:$G$502,$B$3+4)="","",INDEX(원자재마스터!$G$3:$G$502,$B$3+4)),"")</f>
        <v/>
      </c>
      <c r="E10" s="31" t="str">
        <f aca="false">IFERROR(IF(INDEX(원자재마스터!$G$3:$G$502,$B$3+5)="","",INDEX(원자재마스터!$G$3:$G$502,$B$3+5)),"")</f>
        <v/>
      </c>
    </row>
    <row r="11" customFormat="false" ht="19.5" hidden="false" customHeight="true" outlineLevel="0" collapsed="false">
      <c r="A11" s="32" t="str">
        <f aca="false">IFERROR(IF(INDEX(원자재마스터!$A$3:$A$502,$B$3+3)="","",INDEX(원자재마스터!$A$3:$A$502,$B$3+3)&amp;"  /  "&amp;INDEX(원자재마스터!$C$3:$C$502,$B$3+3)),"")</f>
        <v>R004  /  STS304</v>
      </c>
      <c r="C11" s="32" t="str">
        <f aca="false">IFERROR(IF(INDEX(원자재마스터!$A$3:$A$502,$B$3+4)="","",INDEX(원자재마스터!$A$3:$A$502,$B$3+4)&amp;"  /  "&amp;INDEX(원자재마스터!$C$3:$C$502,$B$3+4)),"")</f>
        <v/>
      </c>
      <c r="E11" s="32" t="str">
        <f aca="false">IFERROR(IF(INDEX(원자재마스터!$A$3:$A$502,$B$3+5)="","",INDEX(원자재마스터!$A$3:$A$502,$B$3+5)&amp;"  /  "&amp;INDEX(원자재마스터!$C$3:$C$502,$B$3+5)),"")</f>
        <v/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30" t="str">
        <f aca="false">IFERROR(IF(INDEX(원자재마스터!$B$3:$B$502,$B$3+6)="","",INDEX(원자재마스터!$B$3:$B$502,$B$3+6)),"")</f>
        <v/>
      </c>
      <c r="C13" s="30" t="str">
        <f aca="false">IFERROR(IF(INDEX(원자재마스터!$B$3:$B$502,$B$3+7)="","",INDEX(원자재마스터!$B$3:$B$502,$B$3+7)),"")</f>
        <v/>
      </c>
      <c r="E13" s="30" t="str">
        <f aca="false">IFERROR(IF(INDEX(원자재마스터!$B$3:$B$502,$B$3+8)="","",INDEX(원자재마스터!$B$3:$B$502,$B$3+8)),"")</f>
        <v/>
      </c>
    </row>
    <row r="14" customFormat="false" ht="19.5" hidden="false" customHeight="true" outlineLevel="0" collapsed="false">
      <c r="A14" s="31" t="str">
        <f aca="false">IFERROR(IF(INDEX(원자재마스터!$G$3:$G$502,$B$3+6)="","",INDEX(원자재마스터!$G$3:$G$502,$B$3+6)),"")</f>
        <v/>
      </c>
      <c r="C14" s="31" t="str">
        <f aca="false">IFERROR(IF(INDEX(원자재마스터!$G$3:$G$502,$B$3+7)="","",INDEX(원자재마스터!$G$3:$G$502,$B$3+7)),"")</f>
        <v/>
      </c>
      <c r="E14" s="31" t="str">
        <f aca="false">IFERROR(IF(INDEX(원자재마스터!$G$3:$G$502,$B$3+8)="","",INDEX(원자재마스터!$G$3:$G$502,$B$3+8)),"")</f>
        <v/>
      </c>
    </row>
    <row r="15" customFormat="false" ht="19.5" hidden="false" customHeight="true" outlineLevel="0" collapsed="false">
      <c r="A15" s="32" t="str">
        <f aca="false">IFERROR(IF(INDEX(원자재마스터!$A$3:$A$502,$B$3+6)="","",INDEX(원자재마스터!$A$3:$A$502,$B$3+6)&amp;"  /  "&amp;INDEX(원자재마스터!$C$3:$C$502,$B$3+6)),"")</f>
        <v/>
      </c>
      <c r="C15" s="32" t="str">
        <f aca="false">IFERROR(IF(INDEX(원자재마스터!$A$3:$A$502,$B$3+7)="","",INDEX(원자재마스터!$A$3:$A$502,$B$3+7)&amp;"  /  "&amp;INDEX(원자재마스터!$C$3:$C$502,$B$3+7)),"")</f>
        <v/>
      </c>
      <c r="E15" s="32" t="str">
        <f aca="false">IFERROR(IF(INDEX(원자재마스터!$A$3:$A$502,$B$3+8)="","",INDEX(원자재마스터!$A$3:$A$502,$B$3+8)&amp;"  /  "&amp;INDEX(원자재마스터!$C$3:$C$502,$B$3+8)),"")</f>
        <v/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0" t="str">
        <f aca="false">IFERROR(IF(INDEX(원자재마스터!$B$3:$B$502,$B$3+9)="","",INDEX(원자재마스터!$B$3:$B$502,$B$3+9)),"")</f>
        <v/>
      </c>
      <c r="C17" s="30" t="str">
        <f aca="false">IFERROR(IF(INDEX(원자재마스터!$B$3:$B$502,$B$3+10)="","",INDEX(원자재마스터!$B$3:$B$502,$B$3+10)),"")</f>
        <v/>
      </c>
      <c r="E17" s="30" t="str">
        <f aca="false">IFERROR(IF(INDEX(원자재마스터!$B$3:$B$502,$B$3+11)="","",INDEX(원자재마스터!$B$3:$B$502,$B$3+11)),"")</f>
        <v/>
      </c>
    </row>
    <row r="18" customFormat="false" ht="19.5" hidden="false" customHeight="true" outlineLevel="0" collapsed="false">
      <c r="A18" s="31" t="str">
        <f aca="false">IFERROR(IF(INDEX(원자재마스터!$G$3:$G$502,$B$3+9)="","",INDEX(원자재마스터!$G$3:$G$502,$B$3+9)),"")</f>
        <v/>
      </c>
      <c r="C18" s="31" t="str">
        <f aca="false">IFERROR(IF(INDEX(원자재마스터!$G$3:$G$502,$B$3+10)="","",INDEX(원자재마스터!$G$3:$G$502,$B$3+10)),"")</f>
        <v/>
      </c>
      <c r="E18" s="31" t="str">
        <f aca="false">IFERROR(IF(INDEX(원자재마스터!$G$3:$G$502,$B$3+11)="","",INDEX(원자재마스터!$G$3:$G$502,$B$3+11)),"")</f>
        <v/>
      </c>
    </row>
    <row r="19" customFormat="false" ht="19.5" hidden="false" customHeight="true" outlineLevel="0" collapsed="false">
      <c r="A19" s="32" t="str">
        <f aca="false">IFERROR(IF(INDEX(원자재마스터!$A$3:$A$502,$B$3+9)="","",INDEX(원자재마스터!$A$3:$A$502,$B$3+9)&amp;"  /  "&amp;INDEX(원자재마스터!$C$3:$C$502,$B$3+9)),"")</f>
        <v/>
      </c>
      <c r="C19" s="32" t="str">
        <f aca="false">IFERROR(IF(INDEX(원자재마스터!$A$3:$A$502,$B$3+10)="","",INDEX(원자재마스터!$A$3:$A$502,$B$3+10)&amp;"  /  "&amp;INDEX(원자재마스터!$C$3:$C$502,$B$3+10)),"")</f>
        <v/>
      </c>
      <c r="E19" s="32" t="str">
        <f aca="false">IFERROR(IF(INDEX(원자재마스터!$A$3:$A$502,$B$3+11)="","",INDEX(원자재마스터!$A$3:$A$502,$B$3+11)&amp;"  /  "&amp;INDEX(원자재마스터!$C$3:$C$502,$B$3+11)),"")</f>
        <v/>
      </c>
    </row>
    <row r="20" customFormat="false" ht="7.5" hidden="false" customHeight="true" outlineLevel="0" collapsed="false"/>
    <row r="23" customFormat="false" ht="15" hidden="false" customHeight="true" outlineLevel="0" collapsed="false">
      <c r="A23" s="5" t="s">
        <v>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2026-09-14T08:53:34Z</dcterms:created>
  <dc:creator>openpyxl</dc:creator>
  <dc:description/>
  <dc:language>en-US</dc:language>
  <cp:lastModifiedBy/>
  <dcterms:modified xsi:type="dcterms:W3CDTF">2026-09-14T08:58:22Z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