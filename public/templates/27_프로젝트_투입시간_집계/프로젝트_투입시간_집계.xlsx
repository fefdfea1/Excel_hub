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구성원목록" sheetId="2" state="visible" r:id="rId2"/>
    <sheet xmlns:r="http://schemas.openxmlformats.org/officeDocument/2006/relationships" name="프로젝트목록" sheetId="3" state="visible" r:id="rId3"/>
    <sheet xmlns:r="http://schemas.openxmlformats.org/officeDocument/2006/relationships" name="업무일지" sheetId="4" state="visible" r:id="rId4"/>
    <sheet xmlns:r="http://schemas.openxmlformats.org/officeDocument/2006/relationships" name="프로젝트별집계" sheetId="5" state="visible" r:id="rId5"/>
    <sheet xmlns:r="http://schemas.openxmlformats.org/officeDocument/2006/relationships" name="담당자별집계" sheetId="6" state="visible" r:id="rId6"/>
    <sheet xmlns:r="http://schemas.openxmlformats.org/officeDocument/2006/relationships" name="월별집계" sheetId="7" state="visible" r:id="rId7"/>
    <sheet xmlns:r="http://schemas.openxmlformats.org/officeDocument/2006/relationships" name="교차집계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##"/>
    <numFmt numFmtId="166" formatCode="00\:00"/>
    <numFmt numFmtId="167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맑은 고딕"/>
      <charset val="1"/>
      <family val="0"/>
      <sz val="10"/>
    </font>
    <font>
      <name val="Noto Sans CJK SC"/>
      <charset val="1"/>
      <family val="2"/>
      <color rgb="FF808080"/>
      <sz val="9"/>
    </font>
    <font>
      <name val="맑은 고딕"/>
      <charset val="1"/>
      <family val="0"/>
      <color rgb="FF808080"/>
      <sz val="9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0000FF"/>
      <sz val="10"/>
    </font>
    <font>
      <name val="맑은 고딕"/>
      <charset val="1"/>
      <family val="0"/>
      <color rgb="FF0000FF"/>
      <sz val="10"/>
    </font>
    <font>
      <name val="맑은 고딕"/>
      <charset val="1"/>
      <family val="0"/>
      <b val="1"/>
      <color rgb="FFFFFFFF"/>
      <sz val="14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2F2F2"/>
        <bgColor rgb="FFFCE4E4"/>
      </patternFill>
    </fill>
    <fill>
      <patternFill patternType="solid">
        <fgColor rgb="FFFFF2CC"/>
        <b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2" fontId="15" fillId="5" borderId="1" applyAlignment="1" pivotButton="0" quotePrefix="0" xfId="0">
      <alignment horizontal="center" vertical="bottom"/>
    </xf>
    <xf numFmtId="0" fontId="12" fillId="6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center" vertical="bottom"/>
    </xf>
    <xf numFmtId="3" fontId="12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general" vertical="bottom"/>
    </xf>
    <xf numFmtId="2" fontId="15" fillId="5" borderId="1" applyAlignment="1" pivotButton="0" quotePrefix="0" xfId="0">
      <alignment horizontal="center" vertical="bottom"/>
    </xf>
    <xf numFmtId="0" fontId="12" fillId="6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center" vertical="bottom"/>
    </xf>
    <xf numFmtId="3" fontId="15" fillId="5" borderId="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25" min="1" max="1"/>
    <col width="46" customWidth="1" style="25" min="2" max="2"/>
    <col width="82" customWidth="1" style="25" min="3" max="3"/>
  </cols>
  <sheetData>
    <row r="1"/>
    <row r="2" ht="25.5" customHeight="1" s="26">
      <c r="B2" s="27" t="inlineStr">
        <is>
          <t>프로젝트별 투입시간 집계</t>
        </is>
      </c>
    </row>
    <row r="3"/>
    <row r="4" ht="15" customHeight="1" s="26">
      <c r="B4" s="28" t="inlineStr">
        <is>
          <t>핵심</t>
        </is>
      </c>
      <c r="C4" s="29" t="inlineStr">
        <is>
          <t>누가 어느 프로젝트에 몇 시간 썼는지만 넣으면 프로젝트별·사람별·월별로 자동 집계됩니다.</t>
        </is>
      </c>
    </row>
    <row r="5" ht="15" customHeight="1" s="26">
      <c r="B5" s="28" t="inlineStr">
        <is>
          <t>입력 규칙</t>
        </is>
      </c>
      <c r="C5" s="29" t="inlineStr">
        <is>
          <t>파란색 글씨 칸만 입력하세요. 검은색은 자동 계산입니다.</t>
        </is>
      </c>
    </row>
    <row r="6" ht="15" customHeight="1" s="26">
      <c r="B6" s="28" t="inlineStr">
        <is>
          <t>① 구성원목록</t>
        </is>
      </c>
      <c r="C6" s="29" t="inlineStr">
        <is>
          <t>이름·소속·직위를 등록합니다.</t>
        </is>
      </c>
    </row>
    <row r="7" ht="15" customHeight="1" s="26">
      <c r="B7" s="28" t="inlineStr">
        <is>
          <t>② 프로젝트목록</t>
        </is>
      </c>
      <c r="C7" s="29" t="inlineStr">
        <is>
          <t>프로젝트명·기간·예상 투입시간을 등록합니다.</t>
        </is>
      </c>
    </row>
    <row r="8" ht="15" customHeight="1" s="26">
      <c r="B8" s="28" t="inlineStr">
        <is>
          <t>③ 업무일지</t>
        </is>
      </c>
      <c r="C8" s="29" t="inlineStr">
        <is>
          <t>일한 날마다 한 줄. 시작·종료 시각을 넣으면 시간이 자동 계산됩니다.</t>
        </is>
      </c>
    </row>
    <row r="9" ht="15" customHeight="1" s="26">
      <c r="B9" s="28" t="n"/>
      <c r="C9" s="29" t="inlineStr">
        <is>
          <t>시각은 콜론(:) 없이 숫자 네 자리로 넣으세요.  오전 9시 → 900,  오후 6시 → 1800</t>
        </is>
      </c>
    </row>
    <row r="10" ht="15" customHeight="1" s="26">
      <c r="B10" s="28" t="inlineStr">
        <is>
          <t>④ 프로젝트별집계</t>
        </is>
      </c>
      <c r="C10" s="29" t="inlineStr">
        <is>
          <t>프로젝트별 총 투입시간과 예상 대비 진행 상황입니다.</t>
        </is>
      </c>
    </row>
    <row r="11" ht="15" customHeight="1" s="26">
      <c r="B11" s="28" t="inlineStr">
        <is>
          <t>⑤ 담당자별집계</t>
        </is>
      </c>
      <c r="C11" s="29" t="inlineStr">
        <is>
          <t>사람별로 어느 프로젝트에 얼마나 썼는지 나옵니다.</t>
        </is>
      </c>
    </row>
    <row r="12" ht="15" customHeight="1" s="26">
      <c r="B12" s="28" t="inlineStr">
        <is>
          <t>⑥ 월별집계</t>
        </is>
      </c>
      <c r="C12" s="29" t="inlineStr">
        <is>
          <t>월별 총 투입시간입니다.</t>
        </is>
      </c>
    </row>
    <row r="13" ht="15" customHeight="1" s="26">
      <c r="B13" s="28" t="inlineStr">
        <is>
          <t>⑦ 교차집계</t>
        </is>
      </c>
      <c r="C13" s="29" t="inlineStr">
        <is>
          <t>프로젝트 × 담당자 표입니다. 누가 어디에 붙어 있는지 한눈에 보입니다.</t>
        </is>
      </c>
    </row>
    <row r="15" ht="15" customHeight="1" s="26">
      <c r="B15" s="30" t="inlineStr">
        <is>
          <t>※ 업무일지 3,000건 / 프로젝트 60개 / 구성원 40명까지 처리합니다.</t>
        </is>
      </c>
    </row>
  </sheetData>
  <mergeCells count="1"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20" customWidth="1" style="25" min="2" max="2"/>
    <col width="14" customWidth="1" style="25" min="3" max="3"/>
    <col width="24" customWidth="1" style="25" min="4" max="4"/>
  </cols>
  <sheetData>
    <row r="1" ht="25.5" customHeight="1" s="26">
      <c r="A1" s="27" t="inlineStr">
        <is>
          <t>구성원목록</t>
        </is>
      </c>
    </row>
    <row r="2" ht="15" customHeight="1" s="26">
      <c r="A2" s="31" t="inlineStr">
        <is>
          <t>이름</t>
        </is>
      </c>
      <c r="B2" s="31" t="inlineStr">
        <is>
          <t>소속</t>
        </is>
      </c>
      <c r="C2" s="31" t="inlineStr">
        <is>
          <t>직위</t>
        </is>
      </c>
      <c r="D2" s="31" t="inlineStr">
        <is>
          <t>비고</t>
        </is>
      </c>
    </row>
    <row r="3" ht="15" customHeight="1" s="26">
      <c r="A3" s="32" t="inlineStr">
        <is>
          <t>김담당</t>
        </is>
      </c>
      <c r="B3" s="32" t="inlineStr">
        <is>
          <t>기획팀</t>
        </is>
      </c>
      <c r="C3" s="32" t="inlineStr">
        <is>
          <t>대리</t>
        </is>
      </c>
      <c r="D3" s="32" t="n"/>
    </row>
    <row r="4" ht="15" customHeight="1" s="26">
      <c r="A4" s="32" t="inlineStr">
        <is>
          <t>이담당</t>
        </is>
      </c>
      <c r="B4" s="32" t="inlineStr">
        <is>
          <t>개발팀</t>
        </is>
      </c>
      <c r="C4" s="32" t="inlineStr">
        <is>
          <t>과장</t>
        </is>
      </c>
      <c r="D4" s="32" t="n"/>
    </row>
    <row r="5" ht="15" customHeight="1" s="26">
      <c r="A5" s="32" t="inlineStr">
        <is>
          <t>박담당</t>
        </is>
      </c>
      <c r="B5" s="32" t="inlineStr">
        <is>
          <t>디자인팀</t>
        </is>
      </c>
      <c r="C5" s="32" t="inlineStr">
        <is>
          <t>주임</t>
        </is>
      </c>
      <c r="D5" s="32" t="n"/>
    </row>
    <row r="6" ht="15" customHeight="1" s="26">
      <c r="A6" s="32" t="n"/>
      <c r="B6" s="32" t="n"/>
      <c r="C6" s="32" t="n"/>
      <c r="D6" s="32" t="n"/>
    </row>
    <row r="7" ht="15" customHeight="1" s="26">
      <c r="A7" s="32" t="n"/>
      <c r="B7" s="32" t="n"/>
      <c r="C7" s="32" t="n"/>
      <c r="D7" s="32" t="n"/>
    </row>
    <row r="8" ht="15" customHeight="1" s="26">
      <c r="A8" s="32" t="n"/>
      <c r="B8" s="32" t="n"/>
      <c r="C8" s="32" t="n"/>
      <c r="D8" s="32" t="n"/>
    </row>
    <row r="9" ht="15" customHeight="1" s="26">
      <c r="A9" s="32" t="n"/>
      <c r="B9" s="32" t="n"/>
      <c r="C9" s="32" t="n"/>
      <c r="D9" s="32" t="n"/>
    </row>
    <row r="10" ht="15" customHeight="1" s="26">
      <c r="A10" s="32" t="n"/>
      <c r="B10" s="32" t="n"/>
      <c r="C10" s="32" t="n"/>
      <c r="D10" s="32" t="n"/>
    </row>
    <row r="11" ht="15" customHeight="1" s="26">
      <c r="A11" s="32" t="n"/>
      <c r="B11" s="32" t="n"/>
      <c r="C11" s="32" t="n"/>
      <c r="D11" s="32" t="n"/>
    </row>
    <row r="12" ht="15" customHeight="1" s="26">
      <c r="A12" s="32" t="n"/>
      <c r="B12" s="32" t="n"/>
      <c r="C12" s="32" t="n"/>
      <c r="D12" s="32" t="n"/>
    </row>
    <row r="13" ht="15" customHeight="1" s="26">
      <c r="A13" s="32" t="n"/>
      <c r="B13" s="32" t="n"/>
      <c r="C13" s="32" t="n"/>
      <c r="D13" s="32" t="n"/>
    </row>
    <row r="14" ht="15" customHeight="1" s="26">
      <c r="A14" s="32" t="n"/>
      <c r="B14" s="32" t="n"/>
      <c r="C14" s="32" t="n"/>
      <c r="D14" s="32" t="n"/>
    </row>
    <row r="15" ht="15" customHeight="1" s="26">
      <c r="A15" s="32" t="n"/>
      <c r="B15" s="32" t="n"/>
      <c r="C15" s="32" t="n"/>
      <c r="D15" s="32" t="n"/>
    </row>
    <row r="16" ht="15" customHeight="1" s="26">
      <c r="A16" s="32" t="n"/>
      <c r="B16" s="32" t="n"/>
      <c r="C16" s="32" t="n"/>
      <c r="D16" s="32" t="n"/>
    </row>
    <row r="17" ht="15" customHeight="1" s="26">
      <c r="A17" s="32" t="n"/>
      <c r="B17" s="32" t="n"/>
      <c r="C17" s="32" t="n"/>
      <c r="D17" s="32" t="n"/>
    </row>
    <row r="18" ht="15" customHeight="1" s="26">
      <c r="A18" s="32" t="n"/>
      <c r="B18" s="32" t="n"/>
      <c r="C18" s="32" t="n"/>
      <c r="D18" s="32" t="n"/>
    </row>
    <row r="19" ht="15" customHeight="1" s="26">
      <c r="A19" s="32" t="n"/>
      <c r="B19" s="32" t="n"/>
      <c r="C19" s="32" t="n"/>
      <c r="D19" s="32" t="n"/>
    </row>
    <row r="20" ht="15" customHeight="1" s="26">
      <c r="A20" s="32" t="n"/>
      <c r="B20" s="32" t="n"/>
      <c r="C20" s="32" t="n"/>
      <c r="D20" s="32" t="n"/>
    </row>
    <row r="21" ht="15" customHeight="1" s="26">
      <c r="A21" s="32" t="n"/>
      <c r="B21" s="32" t="n"/>
      <c r="C21" s="32" t="n"/>
      <c r="D21" s="32" t="n"/>
    </row>
    <row r="22" ht="15" customHeight="1" s="26">
      <c r="A22" s="32" t="n"/>
      <c r="B22" s="32" t="n"/>
      <c r="C22" s="32" t="n"/>
      <c r="D22" s="32" t="n"/>
    </row>
    <row r="23" ht="15" customHeight="1" s="26">
      <c r="A23" s="32" t="n"/>
      <c r="B23" s="32" t="n"/>
      <c r="C23" s="32" t="n"/>
      <c r="D23" s="32" t="n"/>
    </row>
    <row r="24" ht="15" customHeight="1" s="26">
      <c r="A24" s="32" t="n"/>
      <c r="B24" s="32" t="n"/>
      <c r="C24" s="32" t="n"/>
      <c r="D24" s="32" t="n"/>
    </row>
    <row r="25" ht="15" customHeight="1" s="26">
      <c r="A25" s="32" t="n"/>
      <c r="B25" s="32" t="n"/>
      <c r="C25" s="32" t="n"/>
      <c r="D25" s="32" t="n"/>
    </row>
    <row r="26" ht="15" customHeight="1" s="26">
      <c r="A26" s="32" t="n"/>
      <c r="B26" s="32" t="n"/>
      <c r="C26" s="32" t="n"/>
      <c r="D26" s="32" t="n"/>
    </row>
    <row r="27" ht="15" customHeight="1" s="26">
      <c r="A27" s="32" t="n"/>
      <c r="B27" s="32" t="n"/>
      <c r="C27" s="32" t="n"/>
      <c r="D27" s="32" t="n"/>
    </row>
    <row r="28" ht="15" customHeight="1" s="26">
      <c r="A28" s="32" t="n"/>
      <c r="B28" s="32" t="n"/>
      <c r="C28" s="32" t="n"/>
      <c r="D28" s="32" t="n"/>
    </row>
    <row r="29" ht="15" customHeight="1" s="26">
      <c r="A29" s="32" t="n"/>
      <c r="B29" s="32" t="n"/>
      <c r="C29" s="32" t="n"/>
      <c r="D29" s="32" t="n"/>
    </row>
    <row r="30" ht="15" customHeight="1" s="26">
      <c r="A30" s="32" t="n"/>
      <c r="B30" s="32" t="n"/>
      <c r="C30" s="32" t="n"/>
      <c r="D30" s="32" t="n"/>
    </row>
    <row r="31" ht="15" customHeight="1" s="26">
      <c r="A31" s="32" t="n"/>
      <c r="B31" s="32" t="n"/>
      <c r="C31" s="32" t="n"/>
      <c r="D31" s="32" t="n"/>
    </row>
    <row r="32" ht="15" customHeight="1" s="26">
      <c r="A32" s="32" t="n"/>
      <c r="B32" s="32" t="n"/>
      <c r="C32" s="32" t="n"/>
      <c r="D32" s="32" t="n"/>
    </row>
    <row r="33" ht="15" customHeight="1" s="26">
      <c r="A33" s="32" t="n"/>
      <c r="B33" s="32" t="n"/>
      <c r="C33" s="32" t="n"/>
      <c r="D33" s="32" t="n"/>
    </row>
    <row r="34" ht="15" customHeight="1" s="26">
      <c r="A34" s="32" t="n"/>
      <c r="B34" s="32" t="n"/>
      <c r="C34" s="32" t="n"/>
      <c r="D34" s="32" t="n"/>
    </row>
    <row r="35" ht="15" customHeight="1" s="26">
      <c r="A35" s="32" t="n"/>
      <c r="B35" s="32" t="n"/>
      <c r="C35" s="32" t="n"/>
      <c r="D35" s="32" t="n"/>
    </row>
    <row r="36" ht="15" customHeight="1" s="26">
      <c r="A36" s="32" t="n"/>
      <c r="B36" s="32" t="n"/>
      <c r="C36" s="32" t="n"/>
      <c r="D36" s="32" t="n"/>
    </row>
    <row r="37" ht="15" customHeight="1" s="26">
      <c r="A37" s="32" t="n"/>
      <c r="B37" s="32" t="n"/>
      <c r="C37" s="32" t="n"/>
      <c r="D37" s="32" t="n"/>
    </row>
    <row r="38" ht="15" customHeight="1" s="26">
      <c r="A38" s="32" t="n"/>
      <c r="B38" s="32" t="n"/>
      <c r="C38" s="32" t="n"/>
      <c r="D38" s="32" t="n"/>
    </row>
    <row r="39" ht="15" customHeight="1" s="26">
      <c r="A39" s="32" t="n"/>
      <c r="B39" s="32" t="n"/>
      <c r="C39" s="32" t="n"/>
      <c r="D39" s="32" t="n"/>
    </row>
    <row r="40" ht="15" customHeight="1" s="26">
      <c r="A40" s="32" t="n"/>
      <c r="B40" s="32" t="n"/>
      <c r="C40" s="32" t="n"/>
      <c r="D40" s="32" t="n"/>
    </row>
    <row r="41" ht="15" customHeight="1" s="26">
      <c r="A41" s="32" t="n"/>
      <c r="B41" s="32" t="n"/>
      <c r="C41" s="32" t="n"/>
      <c r="D41" s="32" t="n"/>
    </row>
    <row r="42" ht="15" customHeight="1" s="26">
      <c r="A42" s="32" t="n"/>
      <c r="B42" s="32" t="n"/>
      <c r="C42" s="32" t="n"/>
      <c r="D42" s="32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30" customWidth="1" style="25" min="2" max="2"/>
    <col width="13" customWidth="1" style="25" min="3" max="4"/>
    <col width="13" customWidth="1" style="26" min="4" max="4"/>
    <col width="16" customWidth="1" style="25" min="5" max="5"/>
    <col width="13" customWidth="1" style="25" min="6" max="6"/>
  </cols>
  <sheetData>
    <row r="1" ht="25.5" customHeight="1" s="26">
      <c r="A1" s="27" t="inlineStr">
        <is>
          <t>프로젝트목록</t>
        </is>
      </c>
    </row>
    <row r="2" ht="15" customHeight="1" s="26">
      <c r="A2" s="31" t="inlineStr">
        <is>
          <t>코드</t>
        </is>
      </c>
      <c r="B2" s="31" t="inlineStr">
        <is>
          <t>프로젝트명</t>
        </is>
      </c>
      <c r="C2" s="31" t="inlineStr">
        <is>
          <t>시작일</t>
        </is>
      </c>
      <c r="D2" s="31" t="inlineStr">
        <is>
          <t>종료일</t>
        </is>
      </c>
      <c r="E2" s="31" t="inlineStr">
        <is>
          <t>예상 투입시간</t>
        </is>
      </c>
      <c r="F2" s="31" t="inlineStr">
        <is>
          <t>상태</t>
        </is>
      </c>
    </row>
    <row r="3" ht="15" customHeight="1" s="26">
      <c r="A3" s="33" t="inlineStr">
        <is>
          <t>PJ01</t>
        </is>
      </c>
      <c r="B3" s="33" t="inlineStr">
        <is>
          <t>OO운영사업</t>
        </is>
      </c>
      <c r="C3" s="34" t="n">
        <v>46204</v>
      </c>
      <c r="D3" s="34" t="n">
        <v>46387</v>
      </c>
      <c r="E3" s="35" t="n">
        <v>800</v>
      </c>
      <c r="F3" s="32" t="inlineStr">
        <is>
          <t>진행</t>
        </is>
      </c>
    </row>
    <row r="4" ht="15" customHeight="1" s="26">
      <c r="A4" s="33" t="inlineStr">
        <is>
          <t>PJ02</t>
        </is>
      </c>
      <c r="B4" s="32" t="inlineStr">
        <is>
          <t>신규 앱 개발</t>
        </is>
      </c>
      <c r="C4" s="34" t="n">
        <v>46266</v>
      </c>
      <c r="D4" s="34" t="n">
        <v>46477</v>
      </c>
      <c r="E4" s="35" t="n">
        <v>1200</v>
      </c>
      <c r="F4" s="32" t="inlineStr">
        <is>
          <t>진행</t>
        </is>
      </c>
    </row>
    <row r="5" ht="15" customHeight="1" s="26">
      <c r="A5" s="33" t="inlineStr">
        <is>
          <t>PJ03</t>
        </is>
      </c>
      <c r="B5" s="32" t="inlineStr">
        <is>
          <t>홈페이지 개편</t>
        </is>
      </c>
      <c r="C5" s="34" t="n">
        <v>46235</v>
      </c>
      <c r="D5" s="34" t="n">
        <v>46326</v>
      </c>
      <c r="E5" s="35" t="n">
        <v>300</v>
      </c>
      <c r="F5" s="32" t="inlineStr">
        <is>
          <t>진행</t>
        </is>
      </c>
    </row>
    <row r="6" ht="15" customHeight="1" s="26">
      <c r="A6" s="32" t="n"/>
      <c r="B6" s="32" t="n"/>
      <c r="C6" s="34" t="n"/>
      <c r="D6" s="34" t="n"/>
      <c r="E6" s="35" t="n"/>
      <c r="F6" s="32" t="n"/>
    </row>
    <row r="7" ht="15" customHeight="1" s="26">
      <c r="A7" s="32" t="n"/>
      <c r="B7" s="32" t="n"/>
      <c r="C7" s="34" t="n"/>
      <c r="D7" s="34" t="n"/>
      <c r="E7" s="35" t="n"/>
      <c r="F7" s="32" t="n"/>
    </row>
    <row r="8" ht="15" customHeight="1" s="26">
      <c r="A8" s="32" t="n"/>
      <c r="B8" s="32" t="n"/>
      <c r="C8" s="34" t="n"/>
      <c r="D8" s="34" t="n"/>
      <c r="E8" s="35" t="n"/>
      <c r="F8" s="32" t="n"/>
    </row>
    <row r="9" ht="15" customHeight="1" s="26">
      <c r="A9" s="32" t="n"/>
      <c r="B9" s="32" t="n"/>
      <c r="C9" s="34" t="n"/>
      <c r="D9" s="34" t="n"/>
      <c r="E9" s="35" t="n"/>
      <c r="F9" s="32" t="n"/>
    </row>
    <row r="10" ht="15" customHeight="1" s="26">
      <c r="A10" s="32" t="n"/>
      <c r="B10" s="32" t="n"/>
      <c r="C10" s="34" t="n"/>
      <c r="D10" s="34" t="n"/>
      <c r="E10" s="35" t="n"/>
      <c r="F10" s="32" t="n"/>
    </row>
    <row r="11" ht="15" customHeight="1" s="26">
      <c r="A11" s="32" t="n"/>
      <c r="B11" s="32" t="n"/>
      <c r="C11" s="34" t="n"/>
      <c r="D11" s="34" t="n"/>
      <c r="E11" s="35" t="n"/>
      <c r="F11" s="32" t="n"/>
    </row>
    <row r="12" ht="15" customHeight="1" s="26">
      <c r="A12" s="32" t="n"/>
      <c r="B12" s="32" t="n"/>
      <c r="C12" s="34" t="n"/>
      <c r="D12" s="34" t="n"/>
      <c r="E12" s="35" t="n"/>
      <c r="F12" s="32" t="n"/>
    </row>
    <row r="13" ht="15" customHeight="1" s="26">
      <c r="A13" s="32" t="n"/>
      <c r="B13" s="32" t="n"/>
      <c r="C13" s="34" t="n"/>
      <c r="D13" s="34" t="n"/>
      <c r="E13" s="35" t="n"/>
      <c r="F13" s="32" t="n"/>
    </row>
    <row r="14" ht="15" customHeight="1" s="26">
      <c r="A14" s="32" t="n"/>
      <c r="B14" s="32" t="n"/>
      <c r="C14" s="34" t="n"/>
      <c r="D14" s="34" t="n"/>
      <c r="E14" s="35" t="n"/>
      <c r="F14" s="32" t="n"/>
    </row>
    <row r="15" ht="15" customHeight="1" s="26">
      <c r="A15" s="32" t="n"/>
      <c r="B15" s="32" t="n"/>
      <c r="C15" s="34" t="n"/>
      <c r="D15" s="34" t="n"/>
      <c r="E15" s="35" t="n"/>
      <c r="F15" s="32" t="n"/>
    </row>
    <row r="16" ht="15" customHeight="1" s="26">
      <c r="A16" s="32" t="n"/>
      <c r="B16" s="32" t="n"/>
      <c r="C16" s="34" t="n"/>
      <c r="D16" s="34" t="n"/>
      <c r="E16" s="35" t="n"/>
      <c r="F16" s="32" t="n"/>
    </row>
    <row r="17" ht="15" customHeight="1" s="26">
      <c r="A17" s="32" t="n"/>
      <c r="B17" s="32" t="n"/>
      <c r="C17" s="34" t="n"/>
      <c r="D17" s="34" t="n"/>
      <c r="E17" s="35" t="n"/>
      <c r="F17" s="32" t="n"/>
    </row>
    <row r="18" ht="15" customHeight="1" s="26">
      <c r="A18" s="32" t="n"/>
      <c r="B18" s="32" t="n"/>
      <c r="C18" s="34" t="n"/>
      <c r="D18" s="34" t="n"/>
      <c r="E18" s="35" t="n"/>
      <c r="F18" s="32" t="n"/>
    </row>
    <row r="19" ht="15" customHeight="1" s="26">
      <c r="A19" s="32" t="n"/>
      <c r="B19" s="32" t="n"/>
      <c r="C19" s="34" t="n"/>
      <c r="D19" s="34" t="n"/>
      <c r="E19" s="35" t="n"/>
      <c r="F19" s="32" t="n"/>
    </row>
    <row r="20" ht="15" customHeight="1" s="26">
      <c r="A20" s="32" t="n"/>
      <c r="B20" s="32" t="n"/>
      <c r="C20" s="34" t="n"/>
      <c r="D20" s="34" t="n"/>
      <c r="E20" s="35" t="n"/>
      <c r="F20" s="32" t="n"/>
    </row>
    <row r="21" ht="15" customHeight="1" s="26">
      <c r="A21" s="32" t="n"/>
      <c r="B21" s="32" t="n"/>
      <c r="C21" s="34" t="n"/>
      <c r="D21" s="34" t="n"/>
      <c r="E21" s="35" t="n"/>
      <c r="F21" s="32" t="n"/>
    </row>
    <row r="22" ht="15" customHeight="1" s="26">
      <c r="A22" s="32" t="n"/>
      <c r="B22" s="32" t="n"/>
      <c r="C22" s="34" t="n"/>
      <c r="D22" s="34" t="n"/>
      <c r="E22" s="35" t="n"/>
      <c r="F22" s="32" t="n"/>
    </row>
    <row r="23" ht="15" customHeight="1" s="26">
      <c r="A23" s="32" t="n"/>
      <c r="B23" s="32" t="n"/>
      <c r="C23" s="34" t="n"/>
      <c r="D23" s="34" t="n"/>
      <c r="E23" s="35" t="n"/>
      <c r="F23" s="32" t="n"/>
    </row>
    <row r="24" ht="15" customHeight="1" s="26">
      <c r="A24" s="32" t="n"/>
      <c r="B24" s="32" t="n"/>
      <c r="C24" s="34" t="n"/>
      <c r="D24" s="34" t="n"/>
      <c r="E24" s="35" t="n"/>
      <c r="F24" s="32" t="n"/>
    </row>
    <row r="25" ht="15" customHeight="1" s="26">
      <c r="A25" s="32" t="n"/>
      <c r="B25" s="32" t="n"/>
      <c r="C25" s="34" t="n"/>
      <c r="D25" s="34" t="n"/>
      <c r="E25" s="35" t="n"/>
      <c r="F25" s="32" t="n"/>
    </row>
    <row r="26" ht="15" customHeight="1" s="26">
      <c r="A26" s="32" t="n"/>
      <c r="B26" s="32" t="n"/>
      <c r="C26" s="34" t="n"/>
      <c r="D26" s="34" t="n"/>
      <c r="E26" s="35" t="n"/>
      <c r="F26" s="32" t="n"/>
    </row>
    <row r="27" ht="15" customHeight="1" s="26">
      <c r="A27" s="32" t="n"/>
      <c r="B27" s="32" t="n"/>
      <c r="C27" s="34" t="n"/>
      <c r="D27" s="34" t="n"/>
      <c r="E27" s="35" t="n"/>
      <c r="F27" s="32" t="n"/>
    </row>
    <row r="28" ht="15" customHeight="1" s="26">
      <c r="A28" s="32" t="n"/>
      <c r="B28" s="32" t="n"/>
      <c r="C28" s="34" t="n"/>
      <c r="D28" s="34" t="n"/>
      <c r="E28" s="35" t="n"/>
      <c r="F28" s="32" t="n"/>
    </row>
    <row r="29" ht="15" customHeight="1" s="26">
      <c r="A29" s="32" t="n"/>
      <c r="B29" s="32" t="n"/>
      <c r="C29" s="34" t="n"/>
      <c r="D29" s="34" t="n"/>
      <c r="E29" s="35" t="n"/>
      <c r="F29" s="32" t="n"/>
    </row>
    <row r="30" ht="15" customHeight="1" s="26">
      <c r="A30" s="32" t="n"/>
      <c r="B30" s="32" t="n"/>
      <c r="C30" s="34" t="n"/>
      <c r="D30" s="34" t="n"/>
      <c r="E30" s="35" t="n"/>
      <c r="F30" s="32" t="n"/>
    </row>
    <row r="31" ht="15" customHeight="1" s="26">
      <c r="A31" s="32" t="n"/>
      <c r="B31" s="32" t="n"/>
      <c r="C31" s="34" t="n"/>
      <c r="D31" s="34" t="n"/>
      <c r="E31" s="35" t="n"/>
      <c r="F31" s="32" t="n"/>
    </row>
    <row r="32" ht="15" customHeight="1" s="26">
      <c r="A32" s="32" t="n"/>
      <c r="B32" s="32" t="n"/>
      <c r="C32" s="34" t="n"/>
      <c r="D32" s="34" t="n"/>
      <c r="E32" s="35" t="n"/>
      <c r="F32" s="32" t="n"/>
    </row>
    <row r="33" ht="15" customHeight="1" s="26">
      <c r="A33" s="32" t="n"/>
      <c r="B33" s="32" t="n"/>
      <c r="C33" s="34" t="n"/>
      <c r="D33" s="34" t="n"/>
      <c r="E33" s="35" t="n"/>
      <c r="F33" s="32" t="n"/>
    </row>
    <row r="34" ht="15" customHeight="1" s="26">
      <c r="A34" s="32" t="n"/>
      <c r="B34" s="32" t="n"/>
      <c r="C34" s="34" t="n"/>
      <c r="D34" s="34" t="n"/>
      <c r="E34" s="35" t="n"/>
      <c r="F34" s="32" t="n"/>
    </row>
    <row r="35" ht="15" customHeight="1" s="26">
      <c r="A35" s="32" t="n"/>
      <c r="B35" s="32" t="n"/>
      <c r="C35" s="34" t="n"/>
      <c r="D35" s="34" t="n"/>
      <c r="E35" s="35" t="n"/>
      <c r="F35" s="32" t="n"/>
    </row>
    <row r="36" ht="15" customHeight="1" s="26">
      <c r="A36" s="32" t="n"/>
      <c r="B36" s="32" t="n"/>
      <c r="C36" s="34" t="n"/>
      <c r="D36" s="34" t="n"/>
      <c r="E36" s="35" t="n"/>
      <c r="F36" s="32" t="n"/>
    </row>
    <row r="37" ht="15" customHeight="1" s="26">
      <c r="A37" s="32" t="n"/>
      <c r="B37" s="32" t="n"/>
      <c r="C37" s="34" t="n"/>
      <c r="D37" s="34" t="n"/>
      <c r="E37" s="35" t="n"/>
      <c r="F37" s="32" t="n"/>
    </row>
    <row r="38" ht="15" customHeight="1" s="26">
      <c r="A38" s="32" t="n"/>
      <c r="B38" s="32" t="n"/>
      <c r="C38" s="34" t="n"/>
      <c r="D38" s="34" t="n"/>
      <c r="E38" s="35" t="n"/>
      <c r="F38" s="32" t="n"/>
    </row>
    <row r="39" ht="15" customHeight="1" s="26">
      <c r="A39" s="32" t="n"/>
      <c r="B39" s="32" t="n"/>
      <c r="C39" s="34" t="n"/>
      <c r="D39" s="34" t="n"/>
      <c r="E39" s="35" t="n"/>
      <c r="F39" s="32" t="n"/>
    </row>
    <row r="40" ht="15" customHeight="1" s="26">
      <c r="A40" s="32" t="n"/>
      <c r="B40" s="32" t="n"/>
      <c r="C40" s="34" t="n"/>
      <c r="D40" s="34" t="n"/>
      <c r="E40" s="35" t="n"/>
      <c r="F40" s="32" t="n"/>
    </row>
    <row r="41" ht="15" customHeight="1" s="26">
      <c r="A41" s="32" t="n"/>
      <c r="B41" s="32" t="n"/>
      <c r="C41" s="34" t="n"/>
      <c r="D41" s="34" t="n"/>
      <c r="E41" s="35" t="n"/>
      <c r="F41" s="32" t="n"/>
    </row>
    <row r="42" ht="15" customHeight="1" s="26">
      <c r="A42" s="32" t="n"/>
      <c r="B42" s="32" t="n"/>
      <c r="C42" s="34" t="n"/>
      <c r="D42" s="34" t="n"/>
      <c r="E42" s="35" t="n"/>
      <c r="F42" s="32" t="n"/>
    </row>
    <row r="43" ht="15" customHeight="1" s="26">
      <c r="A43" s="32" t="n"/>
      <c r="B43" s="32" t="n"/>
      <c r="C43" s="34" t="n"/>
      <c r="D43" s="34" t="n"/>
      <c r="E43" s="35" t="n"/>
      <c r="F43" s="32" t="n"/>
    </row>
    <row r="44" ht="15" customHeight="1" s="26">
      <c r="A44" s="32" t="n"/>
      <c r="B44" s="32" t="n"/>
      <c r="C44" s="34" t="n"/>
      <c r="D44" s="34" t="n"/>
      <c r="E44" s="35" t="n"/>
      <c r="F44" s="32" t="n"/>
    </row>
    <row r="45" ht="15" customHeight="1" s="26">
      <c r="A45" s="32" t="n"/>
      <c r="B45" s="32" t="n"/>
      <c r="C45" s="34" t="n"/>
      <c r="D45" s="34" t="n"/>
      <c r="E45" s="35" t="n"/>
      <c r="F45" s="32" t="n"/>
    </row>
    <row r="46" ht="15" customHeight="1" s="26">
      <c r="A46" s="32" t="n"/>
      <c r="B46" s="32" t="n"/>
      <c r="C46" s="34" t="n"/>
      <c r="D46" s="34" t="n"/>
      <c r="E46" s="35" t="n"/>
      <c r="F46" s="32" t="n"/>
    </row>
    <row r="47" ht="15" customHeight="1" s="26">
      <c r="A47" s="32" t="n"/>
      <c r="B47" s="32" t="n"/>
      <c r="C47" s="34" t="n"/>
      <c r="D47" s="34" t="n"/>
      <c r="E47" s="35" t="n"/>
      <c r="F47" s="32" t="n"/>
    </row>
    <row r="48" ht="15" customHeight="1" s="26">
      <c r="A48" s="32" t="n"/>
      <c r="B48" s="32" t="n"/>
      <c r="C48" s="34" t="n"/>
      <c r="D48" s="34" t="n"/>
      <c r="E48" s="35" t="n"/>
      <c r="F48" s="32" t="n"/>
    </row>
    <row r="49" ht="15" customHeight="1" s="26">
      <c r="A49" s="32" t="n"/>
      <c r="B49" s="32" t="n"/>
      <c r="C49" s="34" t="n"/>
      <c r="D49" s="34" t="n"/>
      <c r="E49" s="35" t="n"/>
      <c r="F49" s="32" t="n"/>
    </row>
    <row r="50" ht="15" customHeight="1" s="26">
      <c r="A50" s="32" t="n"/>
      <c r="B50" s="32" t="n"/>
      <c r="C50" s="34" t="n"/>
      <c r="D50" s="34" t="n"/>
      <c r="E50" s="35" t="n"/>
      <c r="F50" s="32" t="n"/>
    </row>
    <row r="51" ht="15" customHeight="1" s="26">
      <c r="A51" s="32" t="n"/>
      <c r="B51" s="32" t="n"/>
      <c r="C51" s="34" t="n"/>
      <c r="D51" s="34" t="n"/>
      <c r="E51" s="35" t="n"/>
      <c r="F51" s="32" t="n"/>
    </row>
    <row r="52" ht="15" customHeight="1" s="26">
      <c r="A52" s="32" t="n"/>
      <c r="B52" s="32" t="n"/>
      <c r="C52" s="34" t="n"/>
      <c r="D52" s="34" t="n"/>
      <c r="E52" s="35" t="n"/>
      <c r="F52" s="32" t="n"/>
    </row>
    <row r="53" ht="15" customHeight="1" s="26">
      <c r="A53" s="32" t="n"/>
      <c r="B53" s="32" t="n"/>
      <c r="C53" s="34" t="n"/>
      <c r="D53" s="34" t="n"/>
      <c r="E53" s="35" t="n"/>
      <c r="F53" s="32" t="n"/>
    </row>
    <row r="54" ht="15" customHeight="1" s="26">
      <c r="A54" s="32" t="n"/>
      <c r="B54" s="32" t="n"/>
      <c r="C54" s="34" t="n"/>
      <c r="D54" s="34" t="n"/>
      <c r="E54" s="35" t="n"/>
      <c r="F54" s="32" t="n"/>
    </row>
    <row r="55" ht="15" customHeight="1" s="26">
      <c r="A55" s="32" t="n"/>
      <c r="B55" s="32" t="n"/>
      <c r="C55" s="34" t="n"/>
      <c r="D55" s="34" t="n"/>
      <c r="E55" s="35" t="n"/>
      <c r="F55" s="32" t="n"/>
    </row>
    <row r="56" ht="15" customHeight="1" s="26">
      <c r="A56" s="32" t="n"/>
      <c r="B56" s="32" t="n"/>
      <c r="C56" s="34" t="n"/>
      <c r="D56" s="34" t="n"/>
      <c r="E56" s="35" t="n"/>
      <c r="F56" s="32" t="n"/>
    </row>
    <row r="57" ht="15" customHeight="1" s="26">
      <c r="A57" s="32" t="n"/>
      <c r="B57" s="32" t="n"/>
      <c r="C57" s="34" t="n"/>
      <c r="D57" s="34" t="n"/>
      <c r="E57" s="35" t="n"/>
      <c r="F57" s="32" t="n"/>
    </row>
    <row r="58" ht="15" customHeight="1" s="26">
      <c r="A58" s="32" t="n"/>
      <c r="B58" s="32" t="n"/>
      <c r="C58" s="34" t="n"/>
      <c r="D58" s="34" t="n"/>
      <c r="E58" s="35" t="n"/>
      <c r="F58" s="32" t="n"/>
    </row>
    <row r="59" ht="15" customHeight="1" s="26">
      <c r="A59" s="32" t="n"/>
      <c r="B59" s="32" t="n"/>
      <c r="C59" s="34" t="n"/>
      <c r="D59" s="34" t="n"/>
      <c r="E59" s="35" t="n"/>
      <c r="F59" s="32" t="n"/>
    </row>
    <row r="60" ht="15" customHeight="1" s="26">
      <c r="A60" s="32" t="n"/>
      <c r="B60" s="32" t="n"/>
      <c r="C60" s="34" t="n"/>
      <c r="D60" s="34" t="n"/>
      <c r="E60" s="35" t="n"/>
      <c r="F60" s="32" t="n"/>
    </row>
    <row r="61" ht="15" customHeight="1" s="26">
      <c r="A61" s="32" t="n"/>
      <c r="B61" s="32" t="n"/>
      <c r="C61" s="34" t="n"/>
      <c r="D61" s="34" t="n"/>
      <c r="E61" s="35" t="n"/>
      <c r="F61" s="32" t="n"/>
    </row>
    <row r="62" ht="15" customHeight="1" s="26">
      <c r="A62" s="32" t="n"/>
      <c r="B62" s="32" t="n"/>
      <c r="C62" s="34" t="n"/>
      <c r="D62" s="34" t="n"/>
      <c r="E62" s="35" t="n"/>
      <c r="F62" s="32" t="n"/>
    </row>
  </sheetData>
  <mergeCells count="1">
    <mergeCell ref="A1:F1"/>
  </mergeCells>
  <dataValidations count="1">
    <dataValidation sqref="F3:F62" showDropDown="0" showInputMessage="0" showErrorMessage="0" allowBlank="1" type="list" errorStyle="stop" operator="between">
      <formula1>"진행,완료,보류,취소"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300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5" min="1" max="1"/>
    <col width="16" customWidth="1" style="25" min="2" max="3"/>
    <col width="14" customWidth="1" style="26" min="3" max="3"/>
    <col width="28" customWidth="1" style="25" min="4" max="4"/>
    <col width="32" customWidth="1" style="25" min="5" max="5"/>
    <col width="14" customWidth="1" style="25" min="6" max="7"/>
    <col width="13" customWidth="1" style="26" min="7" max="7"/>
    <col width="12" customWidth="1" style="25" min="8" max="8"/>
    <col width="16" customWidth="1" style="25" min="9" max="9"/>
    <col width="15" customWidth="1" style="25" min="10" max="11"/>
    <col width="15" customWidth="1" style="26" min="11" max="11"/>
  </cols>
  <sheetData>
    <row r="1" ht="25.5" customHeight="1" s="26">
      <c r="A1" s="27" t="inlineStr">
        <is>
          <t>업무일지  (일한 날마다 한 줄)</t>
        </is>
      </c>
    </row>
    <row r="2" ht="31.5" customHeight="1" s="26">
      <c r="A2" s="31" t="inlineStr">
        <is>
          <t>작업일</t>
        </is>
      </c>
      <c r="B2" s="31" t="inlineStr">
        <is>
          <t>이름</t>
        </is>
      </c>
      <c r="C2" s="31" t="inlineStr">
        <is>
          <t>프로젝트코드</t>
        </is>
      </c>
      <c r="D2" s="36" t="inlineStr">
        <is>
          <t>프로젝트명(자동)</t>
        </is>
      </c>
      <c r="E2" s="31" t="inlineStr">
        <is>
          <t>업무내용</t>
        </is>
      </c>
      <c r="F2" s="31" t="inlineStr">
        <is>
          <t>시작시각
(예: 900)</t>
        </is>
      </c>
      <c r="G2" s="31" t="inlineStr">
        <is>
          <t>종료시각
(예: 1800)</t>
        </is>
      </c>
      <c r="H2" s="31" t="inlineStr">
        <is>
          <t>휴게(분)</t>
        </is>
      </c>
      <c r="I2" s="36" t="inlineStr">
        <is>
          <t>투입시간(자동)</t>
        </is>
      </c>
      <c r="J2" s="36" t="inlineStr">
        <is>
          <t>시작(분,자동)</t>
        </is>
      </c>
      <c r="K2" s="36" t="inlineStr">
        <is>
          <t>종료(분,자동)</t>
        </is>
      </c>
    </row>
    <row r="3" ht="15" customHeight="1" s="26">
      <c r="A3" s="34" t="n">
        <v>46266</v>
      </c>
      <c r="B3" s="32" t="inlineStr">
        <is>
          <t>김담당</t>
        </is>
      </c>
      <c r="C3" s="33" t="inlineStr">
        <is>
          <t>PJ01</t>
        </is>
      </c>
      <c r="D3" s="37" t="str">
        <f>IF($C3="","",IFERROR(INDEX(프로젝트목록!$B$3:$B$62,MATCH($C3,프로젝트목록!$A$3:$A$62,0)),"미등록코드"))</f>
        <v>OO운영사업</v>
      </c>
      <c r="E3" s="32" t="inlineStr">
        <is>
          <t>요구사항 정리</t>
        </is>
      </c>
      <c r="F3" s="38" t="n">
        <v>900</v>
      </c>
      <c r="G3" s="38" t="n">
        <v>1800</v>
      </c>
      <c r="H3" s="39" t="n">
        <v>60</v>
      </c>
      <c r="I3" s="40" t="n">
        <f>IF(OR($J3="",$K3=""),"",ROUND(MAX(0,($K3-$J3)-IF($H3="",0,$H3))/60,2))</f>
        <v>8</v>
      </c>
      <c r="J3" s="41" t="n">
        <f>IF($F3="","",IF($F3&lt;1,ROUND($F3*1440,0),INT($F3/100)*60+MOD($F3,100)))</f>
        <v>540</v>
      </c>
      <c r="K3" s="41" t="n">
        <f>IF($G3="","",IF($G3&lt;1,ROUND($G3*1440,0),INT($G3/100)*60+MOD($G3,100)))</f>
        <v>1080</v>
      </c>
    </row>
    <row r="4" ht="15" customHeight="1" s="26">
      <c r="A4" s="34" t="n">
        <v>46266</v>
      </c>
      <c r="B4" s="32" t="inlineStr">
        <is>
          <t>이담당</t>
        </is>
      </c>
      <c r="C4" s="33" t="inlineStr">
        <is>
          <t>PJ02</t>
        </is>
      </c>
      <c r="D4" s="37" t="str">
        <f>IF($C4="","",IFERROR(INDEX(프로젝트목록!$B$3:$B$62,MATCH($C4,프로젝트목록!$A$3:$A$62,0)),"미등록코드"))</f>
        <v>신규 앱 개발</v>
      </c>
      <c r="E4" s="32" t="inlineStr">
        <is>
          <t>설계</t>
        </is>
      </c>
      <c r="F4" s="38" t="n">
        <v>900</v>
      </c>
      <c r="G4" s="38" t="n">
        <v>1900</v>
      </c>
      <c r="H4" s="39" t="n">
        <v>60</v>
      </c>
      <c r="I4" s="40" t="n">
        <f>IF(OR($J4="",$K4=""),"",ROUND(MAX(0,($K4-$J4)-IF($H4="",0,$H4))/60,2))</f>
        <v>9</v>
      </c>
      <c r="J4" s="41" t="n">
        <f>IF($F4="","",IF($F4&lt;1,ROUND($F4*1440,0),INT($F4/100)*60+MOD($F4,100)))</f>
        <v>540</v>
      </c>
      <c r="K4" s="41" t="n">
        <f>IF($G4="","",IF($G4&lt;1,ROUND($G4*1440,0),INT($G4/100)*60+MOD($G4,100)))</f>
        <v>1140</v>
      </c>
    </row>
    <row r="5" ht="15" customHeight="1" s="26">
      <c r="A5" s="34" t="n">
        <v>46267</v>
      </c>
      <c r="B5" s="32" t="inlineStr">
        <is>
          <t>김담당</t>
        </is>
      </c>
      <c r="C5" s="33" t="inlineStr">
        <is>
          <t>PJ01</t>
        </is>
      </c>
      <c r="D5" s="37" t="str">
        <f>IF($C5="","",IFERROR(INDEX(프로젝트목록!$B$3:$B$62,MATCH($C5,프로젝트목록!$A$3:$A$62,0)),"미등록코드"))</f>
        <v>OO운영사업</v>
      </c>
      <c r="E5" s="32" t="inlineStr">
        <is>
          <t>회의</t>
        </is>
      </c>
      <c r="F5" s="38" t="n">
        <v>1000</v>
      </c>
      <c r="G5" s="38" t="n">
        <v>1200</v>
      </c>
      <c r="H5" s="39" t="n">
        <v>0</v>
      </c>
      <c r="I5" s="40" t="n">
        <f>IF(OR($J5="",$K5=""),"",ROUND(MAX(0,($K5-$J5)-IF($H5="",0,$H5))/60,2))</f>
        <v>2</v>
      </c>
      <c r="J5" s="41" t="n">
        <f>IF($F5="","",IF($F5&lt;1,ROUND($F5*1440,0),INT($F5/100)*60+MOD($F5,100)))</f>
        <v>600</v>
      </c>
      <c r="K5" s="41" t="n">
        <f>IF($G5="","",IF($G5&lt;1,ROUND($G5*1440,0),INT($G5/100)*60+MOD($G5,100)))</f>
        <v>720</v>
      </c>
    </row>
    <row r="6" ht="15" customHeight="1" s="26">
      <c r="A6" s="34" t="n">
        <v>46267</v>
      </c>
      <c r="B6" s="32" t="inlineStr">
        <is>
          <t>김담당</t>
        </is>
      </c>
      <c r="C6" s="33" t="inlineStr">
        <is>
          <t>PJ03</t>
        </is>
      </c>
      <c r="D6" s="37" t="str">
        <f>IF($C6="","",IFERROR(INDEX(프로젝트목록!$B$3:$B$62,MATCH($C6,프로젝트목록!$A$3:$A$62,0)),"미등록코드"))</f>
        <v>홈페이지 개편</v>
      </c>
      <c r="E6" s="32" t="inlineStr">
        <is>
          <t>기획서 작성</t>
        </is>
      </c>
      <c r="F6" s="38" t="n">
        <v>1300</v>
      </c>
      <c r="G6" s="38" t="n">
        <v>1800</v>
      </c>
      <c r="H6" s="39" t="n">
        <v>0</v>
      </c>
      <c r="I6" s="40" t="n">
        <f>IF(OR($J6="",$K6=""),"",ROUND(MAX(0,($K6-$J6)-IF($H6="",0,$H6))/60,2))</f>
        <v>5</v>
      </c>
      <c r="J6" s="41" t="n">
        <f>IF($F6="","",IF($F6&lt;1,ROUND($F6*1440,0),INT($F6/100)*60+MOD($F6,100)))</f>
        <v>780</v>
      </c>
      <c r="K6" s="41" t="n">
        <f>IF($G6="","",IF($G6&lt;1,ROUND($G6*1440,0),INT($G6/100)*60+MOD($G6,100)))</f>
        <v>1080</v>
      </c>
    </row>
    <row r="7" ht="15" customHeight="1" s="26">
      <c r="A7" s="34" t="n">
        <v>46258</v>
      </c>
      <c r="B7" s="32" t="inlineStr">
        <is>
          <t>김담당</t>
        </is>
      </c>
      <c r="C7" s="33" t="inlineStr">
        <is>
          <t>PJ01</t>
        </is>
      </c>
      <c r="D7" s="37" t="str">
        <f>IF($C7="","",IFERROR(INDEX(프로젝트목록!$B$3:$B$62,MATCH($C7,프로젝트목록!$A$3:$A$62,0)),"미등록코드"))</f>
        <v>OO운영사업</v>
      </c>
      <c r="E7" s="32" t="inlineStr">
        <is>
          <t>현황 분석</t>
        </is>
      </c>
      <c r="F7" s="38" t="n">
        <v>900</v>
      </c>
      <c r="G7" s="38" t="n">
        <v>1800</v>
      </c>
      <c r="H7" s="39" t="n">
        <v>60</v>
      </c>
      <c r="I7" s="40" t="n">
        <f>IF(OR($J7="",$K7=""),"",ROUND(MAX(0,($K7-$J7)-IF($H7="",0,$H7))/60,2))</f>
        <v>8</v>
      </c>
      <c r="J7" s="41" t="n">
        <f>IF($F7="","",IF($F7&lt;1,ROUND($F7*1440,0),INT($F7/100)*60+MOD($F7,100)))</f>
        <v>540</v>
      </c>
      <c r="K7" s="41" t="n">
        <f>IF($G7="","",IF($G7&lt;1,ROUND($G7*1440,0),INT($G7/100)*60+MOD($G7,100)))</f>
        <v>1080</v>
      </c>
    </row>
    <row r="8" ht="15" customHeight="1" s="26">
      <c r="A8" s="34" t="n">
        <v>46259</v>
      </c>
      <c r="B8" s="32" t="inlineStr">
        <is>
          <t>김담당</t>
        </is>
      </c>
      <c r="C8" s="33" t="inlineStr">
        <is>
          <t>PJ01</t>
        </is>
      </c>
      <c r="D8" s="37" t="str">
        <f>IF($C8="","",IFERROR(INDEX(프로젝트목록!$B$3:$B$62,MATCH($C8,프로젝트목록!$A$3:$A$62,0)),"미등록코드"))</f>
        <v>OO운영사업</v>
      </c>
      <c r="E8" s="32" t="inlineStr">
        <is>
          <t>인터뷰 정리</t>
        </is>
      </c>
      <c r="F8" s="38" t="n">
        <v>900</v>
      </c>
      <c r="G8" s="38" t="n">
        <v>1800</v>
      </c>
      <c r="H8" s="39" t="n">
        <v>60</v>
      </c>
      <c r="I8" s="40" t="n">
        <f>IF(OR($J8="",$K8=""),"",ROUND(MAX(0,($K8-$J8)-IF($H8="",0,$H8))/60,2))</f>
        <v>8</v>
      </c>
      <c r="J8" s="41" t="n">
        <f>IF($F8="","",IF($F8&lt;1,ROUND($F8*1440,0),INT($F8/100)*60+MOD($F8,100)))</f>
        <v>540</v>
      </c>
      <c r="K8" s="41" t="n">
        <f>IF($G8="","",IF($G8&lt;1,ROUND($G8*1440,0),INT($G8/100)*60+MOD($G8,100)))</f>
        <v>1080</v>
      </c>
    </row>
    <row r="9" ht="15" customHeight="1" s="26">
      <c r="A9" s="34" t="n">
        <v>46260</v>
      </c>
      <c r="B9" s="32" t="inlineStr">
        <is>
          <t>이담당</t>
        </is>
      </c>
      <c r="C9" s="33" t="inlineStr">
        <is>
          <t>PJ02</t>
        </is>
      </c>
      <c r="D9" s="37" t="str">
        <f>IF($C9="","",IFERROR(INDEX(프로젝트목록!$B$3:$B$62,MATCH($C9,프로젝트목록!$A$3:$A$62,0)),"미등록코드"))</f>
        <v>신규 앱 개발</v>
      </c>
      <c r="E9" s="32" t="inlineStr">
        <is>
          <t>화면 설계</t>
        </is>
      </c>
      <c r="F9" s="38" t="n">
        <v>900</v>
      </c>
      <c r="G9" s="38" t="n">
        <v>1830</v>
      </c>
      <c r="H9" s="39" t="n">
        <v>60</v>
      </c>
      <c r="I9" s="40" t="n">
        <f>IF(OR($J9="",$K9=""),"",ROUND(MAX(0,($K9-$J9)-IF($H9="",0,$H9))/60,2))</f>
        <v>8.5</v>
      </c>
      <c r="J9" s="41" t="n">
        <f>IF($F9="","",IF($F9&lt;1,ROUND($F9*1440,0),INT($F9/100)*60+MOD($F9,100)))</f>
        <v>540</v>
      </c>
      <c r="K9" s="41" t="n">
        <f>IF($G9="","",IF($G9&lt;1,ROUND($G9*1440,0),INT($G9/100)*60+MOD($G9,100)))</f>
        <v>1110</v>
      </c>
    </row>
    <row r="10" ht="15" customHeight="1" s="26">
      <c r="A10" s="34" t="n">
        <v>46261</v>
      </c>
      <c r="B10" s="32" t="inlineStr">
        <is>
          <t>이담당</t>
        </is>
      </c>
      <c r="C10" s="33" t="inlineStr">
        <is>
          <t>PJ02</t>
        </is>
      </c>
      <c r="D10" s="37" t="str">
        <f>IF($C10="","",IFERROR(INDEX(프로젝트목록!$B$3:$B$62,MATCH($C10,프로젝트목록!$A$3:$A$62,0)),"미등록코드"))</f>
        <v>신규 앱 개발</v>
      </c>
      <c r="E10" s="32" t="inlineStr">
        <is>
          <t>화면 설계</t>
        </is>
      </c>
      <c r="F10" s="38" t="n">
        <v>900</v>
      </c>
      <c r="G10" s="38" t="n">
        <v>1800</v>
      </c>
      <c r="H10" s="39" t="n">
        <v>60</v>
      </c>
      <c r="I10" s="40" t="n">
        <f>IF(OR($J10="",$K10=""),"",ROUND(MAX(0,($K10-$J10)-IF($H10="",0,$H10))/60,2))</f>
        <v>8</v>
      </c>
      <c r="J10" s="41" t="n">
        <f>IF($F10="","",IF($F10&lt;1,ROUND($F10*1440,0),INT($F10/100)*60+MOD($F10,100)))</f>
        <v>540</v>
      </c>
      <c r="K10" s="41" t="n">
        <f>IF($G10="","",IF($G10&lt;1,ROUND($G10*1440,0),INT($G10/100)*60+MOD($G10,100)))</f>
        <v>1080</v>
      </c>
    </row>
    <row r="11" ht="15" customHeight="1" s="26">
      <c r="A11" s="34" t="n">
        <v>46262</v>
      </c>
      <c r="B11" s="32" t="inlineStr">
        <is>
          <t>박담당</t>
        </is>
      </c>
      <c r="C11" s="33" t="inlineStr">
        <is>
          <t>PJ03</t>
        </is>
      </c>
      <c r="D11" s="37" t="str">
        <f>IF($C11="","",IFERROR(INDEX(프로젝트목록!$B$3:$B$62,MATCH($C11,프로젝트목록!$A$3:$A$62,0)),"미등록코드"))</f>
        <v>홈페이지 개편</v>
      </c>
      <c r="E11" s="32" t="inlineStr">
        <is>
          <t>디자인 시안</t>
        </is>
      </c>
      <c r="F11" s="38" t="n">
        <v>1000</v>
      </c>
      <c r="G11" s="38" t="n">
        <v>1900</v>
      </c>
      <c r="H11" s="39" t="n">
        <v>60</v>
      </c>
      <c r="I11" s="40" t="n">
        <f>IF(OR($J11="",$K11=""),"",ROUND(MAX(0,($K11-$J11)-IF($H11="",0,$H11))/60,2))</f>
        <v>8</v>
      </c>
      <c r="J11" s="41" t="n">
        <f>IF($F11="","",IF($F11&lt;1,ROUND($F11*1440,0),INT($F11/100)*60+MOD($F11,100)))</f>
        <v>600</v>
      </c>
      <c r="K11" s="41" t="n">
        <f>IF($G11="","",IF($G11&lt;1,ROUND($G11*1440,0),INT($G11/100)*60+MOD($G11,100)))</f>
        <v>1140</v>
      </c>
    </row>
    <row r="12" ht="15" customHeight="1" s="26">
      <c r="A12" s="34" t="n">
        <v>46265</v>
      </c>
      <c r="B12" s="32" t="inlineStr">
        <is>
          <t>김담당</t>
        </is>
      </c>
      <c r="C12" s="33" t="inlineStr">
        <is>
          <t>PJ01</t>
        </is>
      </c>
      <c r="D12" s="37" t="str">
        <f>IF($C12="","",IFERROR(INDEX(프로젝트목록!$B$3:$B$62,MATCH($C12,프로젝트목록!$A$3:$A$62,0)),"미등록코드"))</f>
        <v>OO운영사업</v>
      </c>
      <c r="E12" s="32" t="inlineStr">
        <is>
          <t>요건 검토 회의</t>
        </is>
      </c>
      <c r="F12" s="38" t="n">
        <v>900</v>
      </c>
      <c r="G12" s="38" t="n">
        <v>1700</v>
      </c>
      <c r="H12" s="39" t="n">
        <v>60</v>
      </c>
      <c r="I12" s="40" t="n">
        <f>IF(OR($J12="",$K12=""),"",ROUND(MAX(0,($K12-$J12)-IF($H12="",0,$H12))/60,2))</f>
        <v>7</v>
      </c>
      <c r="J12" s="41" t="n">
        <f>IF($F12="","",IF($F12&lt;1,ROUND($F12*1440,0),INT($F12/100)*60+MOD($F12,100)))</f>
        <v>540</v>
      </c>
      <c r="K12" s="41" t="n">
        <f>IF($G12="","",IF($G12&lt;1,ROUND($G12*1440,0),INT($G12/100)*60+MOD($G12,100)))</f>
        <v>1020</v>
      </c>
    </row>
    <row r="13" ht="15" customHeight="1" s="26">
      <c r="A13" s="34" t="n">
        <v>46267</v>
      </c>
      <c r="B13" s="32" t="inlineStr">
        <is>
          <t>이담당</t>
        </is>
      </c>
      <c r="C13" s="33" t="inlineStr">
        <is>
          <t>PJ02</t>
        </is>
      </c>
      <c r="D13" s="37" t="str">
        <f>IF($C13="","",IFERROR(INDEX(프로젝트목록!$B$3:$B$62,MATCH($C13,프로젝트목록!$A$3:$A$62,0)),"미등록코드"))</f>
        <v>신규 앱 개발</v>
      </c>
      <c r="E13" s="32" t="inlineStr">
        <is>
          <t>데이터 모델링</t>
        </is>
      </c>
      <c r="F13" s="38" t="n">
        <v>900</v>
      </c>
      <c r="G13" s="38" t="n">
        <v>1900</v>
      </c>
      <c r="H13" s="39" t="n">
        <v>60</v>
      </c>
      <c r="I13" s="40" t="n">
        <f>IF(OR($J13="",$K13=""),"",ROUND(MAX(0,($K13-$J13)-IF($H13="",0,$H13))/60,2))</f>
        <v>9</v>
      </c>
      <c r="J13" s="41" t="n">
        <f>IF($F13="","",IF($F13&lt;1,ROUND($F13*1440,0),INT($F13/100)*60+MOD($F13,100)))</f>
        <v>540</v>
      </c>
      <c r="K13" s="41" t="n">
        <f>IF($G13="","",IF($G13&lt;1,ROUND($G13*1440,0),INT($G13/100)*60+MOD($G13,100)))</f>
        <v>1140</v>
      </c>
    </row>
    <row r="14" ht="15" customHeight="1" s="26">
      <c r="A14" s="34" t="n">
        <v>46268</v>
      </c>
      <c r="B14" s="32" t="inlineStr">
        <is>
          <t>박담당</t>
        </is>
      </c>
      <c r="C14" s="33" t="inlineStr">
        <is>
          <t>PJ03</t>
        </is>
      </c>
      <c r="D14" s="37" t="str">
        <f>IF($C14="","",IFERROR(INDEX(프로젝트목록!$B$3:$B$62,MATCH($C14,프로젝트목록!$A$3:$A$62,0)),"미등록코드"))</f>
        <v>홈페이지 개편</v>
      </c>
      <c r="E14" s="32" t="inlineStr">
        <is>
          <t>시안 수정</t>
        </is>
      </c>
      <c r="F14" s="38" t="n">
        <v>900</v>
      </c>
      <c r="G14" s="38" t="n">
        <v>1800</v>
      </c>
      <c r="H14" s="39" t="n">
        <v>60</v>
      </c>
      <c r="I14" s="40" t="n">
        <f>IF(OR($J14="",$K14=""),"",ROUND(MAX(0,($K14-$J14)-IF($H14="",0,$H14))/60,2))</f>
        <v>8</v>
      </c>
      <c r="J14" s="41" t="n">
        <f>IF($F14="","",IF($F14&lt;1,ROUND($F14*1440,0),INT($F14/100)*60+MOD($F14,100)))</f>
        <v>540</v>
      </c>
      <c r="K14" s="41" t="n">
        <f>IF($G14="","",IF($G14&lt;1,ROUND($G14*1440,0),INT($G14/100)*60+MOD($G14,100)))</f>
        <v>1080</v>
      </c>
    </row>
    <row r="15" ht="15" customHeight="1" s="26">
      <c r="A15" s="34" t="n">
        <v>46269</v>
      </c>
      <c r="B15" s="32" t="inlineStr">
        <is>
          <t>김담당</t>
        </is>
      </c>
      <c r="C15" s="33" t="inlineStr">
        <is>
          <t>PJ01</t>
        </is>
      </c>
      <c r="D15" s="37" t="str">
        <f>IF($C15="","",IFERROR(INDEX(프로젝트목록!$B$3:$B$62,MATCH($C15,프로젝트목록!$A$3:$A$62,0)),"미등록코드"))</f>
        <v>OO운영사업</v>
      </c>
      <c r="E15" s="32" t="inlineStr">
        <is>
          <t>산출물 정리</t>
        </is>
      </c>
      <c r="F15" s="38" t="n">
        <v>900</v>
      </c>
      <c r="G15" s="38" t="n">
        <v>1800</v>
      </c>
      <c r="H15" s="39" t="n">
        <v>60</v>
      </c>
      <c r="I15" s="40" t="n">
        <f>IF(OR($J15="",$K15=""),"",ROUND(MAX(0,($K15-$J15)-IF($H15="",0,$H15))/60,2))</f>
        <v>8</v>
      </c>
      <c r="J15" s="41" t="n">
        <f>IF($F15="","",IF($F15&lt;1,ROUND($F15*1440,0),INT($F15/100)*60+MOD($F15,100)))</f>
        <v>540</v>
      </c>
      <c r="K15" s="41" t="n">
        <f>IF($G15="","",IF($G15&lt;1,ROUND($G15*1440,0),INT($G15/100)*60+MOD($G15,100)))</f>
        <v>1080</v>
      </c>
    </row>
    <row r="16" ht="15" customHeight="1" s="26">
      <c r="A16" s="34" t="n">
        <v>46272</v>
      </c>
      <c r="B16" s="32" t="inlineStr">
        <is>
          <t>이담당</t>
        </is>
      </c>
      <c r="C16" s="33" t="inlineStr">
        <is>
          <t>PJ02</t>
        </is>
      </c>
      <c r="D16" s="37" t="str">
        <f>IF($C16="","",IFERROR(INDEX(프로젝트목록!$B$3:$B$62,MATCH($C16,프로젝트목록!$A$3:$A$62,0)),"미등록코드"))</f>
        <v>신규 앱 개발</v>
      </c>
      <c r="E16" s="32" t="inlineStr">
        <is>
          <t>API 설계</t>
        </is>
      </c>
      <c r="F16" s="38" t="n">
        <v>900</v>
      </c>
      <c r="G16" s="38" t="n">
        <v>2000</v>
      </c>
      <c r="H16" s="39" t="n">
        <v>60</v>
      </c>
      <c r="I16" s="40" t="n">
        <f>IF(OR($J16="",$K16=""),"",ROUND(MAX(0,($K16-$J16)-IF($H16="",0,$H16))/60,2))</f>
        <v>10</v>
      </c>
      <c r="J16" s="41" t="n">
        <f>IF($F16="","",IF($F16&lt;1,ROUND($F16*1440,0),INT($F16/100)*60+MOD($F16,100)))</f>
        <v>540</v>
      </c>
      <c r="K16" s="41" t="n">
        <f>IF($G16="","",IF($G16&lt;1,ROUND($G16*1440,0),INT($G16/100)*60+MOD($G16,100)))</f>
        <v>1200</v>
      </c>
    </row>
    <row r="17" ht="15" customHeight="1" s="26">
      <c r="A17" s="34" t="n">
        <v>46273</v>
      </c>
      <c r="B17" s="32" t="inlineStr">
        <is>
          <t>박담당</t>
        </is>
      </c>
      <c r="C17" s="33" t="inlineStr">
        <is>
          <t>PJ03</t>
        </is>
      </c>
      <c r="D17" s="37" t="str">
        <f>IF($C17="","",IFERROR(INDEX(프로젝트목록!$B$3:$B$62,MATCH($C17,프로젝트목록!$A$3:$A$62,0)),"미등록코드"))</f>
        <v>홈페이지 개편</v>
      </c>
      <c r="E17" s="32" t="inlineStr">
        <is>
          <t>퍼블리싱</t>
        </is>
      </c>
      <c r="F17" s="38" t="n">
        <v>900</v>
      </c>
      <c r="G17" s="38" t="n">
        <v>1800</v>
      </c>
      <c r="H17" s="39" t="n">
        <v>60</v>
      </c>
      <c r="I17" s="40" t="n">
        <f>IF(OR($J17="",$K17=""),"",ROUND(MAX(0,($K17-$J17)-IF($H17="",0,$H17))/60,2))</f>
        <v>8</v>
      </c>
      <c r="J17" s="41" t="n">
        <f>IF($F17="","",IF($F17&lt;1,ROUND($F17*1440,0),INT($F17/100)*60+MOD($F17,100)))</f>
        <v>540</v>
      </c>
      <c r="K17" s="41" t="n">
        <f>IF($G17="","",IF($G17&lt;1,ROUND($G17*1440,0),INT($G17/100)*60+MOD($G17,100)))</f>
        <v>1080</v>
      </c>
    </row>
    <row r="18" ht="15" customHeight="1" s="26">
      <c r="A18" s="34" t="n">
        <v>46274</v>
      </c>
      <c r="B18" s="32" t="inlineStr">
        <is>
          <t>김담당</t>
        </is>
      </c>
      <c r="C18" s="33" t="inlineStr">
        <is>
          <t>PJ01</t>
        </is>
      </c>
      <c r="D18" s="37" t="str">
        <f>IF($C18="","",IFERROR(INDEX(프로젝트목록!$B$3:$B$62,MATCH($C18,프로젝트목록!$A$3:$A$62,0)),"미등록코드"))</f>
        <v>OO운영사업</v>
      </c>
      <c r="E18" s="32" t="inlineStr">
        <is>
          <t>중간 보고 준비</t>
        </is>
      </c>
      <c r="F18" s="38" t="n">
        <v>900</v>
      </c>
      <c r="G18" s="38" t="n">
        <v>1830</v>
      </c>
      <c r="H18" s="39" t="n">
        <v>60</v>
      </c>
      <c r="I18" s="40" t="n">
        <f>IF(OR($J18="",$K18=""),"",ROUND(MAX(0,($K18-$J18)-IF($H18="",0,$H18))/60,2))</f>
        <v>8.5</v>
      </c>
      <c r="J18" s="41" t="n">
        <f>IF($F18="","",IF($F18&lt;1,ROUND($F18*1440,0),INT($F18/100)*60+MOD($F18,100)))</f>
        <v>540</v>
      </c>
      <c r="K18" s="41" t="n">
        <f>IF($G18="","",IF($G18&lt;1,ROUND($G18*1440,0),INT($G18/100)*60+MOD($G18,100)))</f>
        <v>1110</v>
      </c>
    </row>
    <row r="19" ht="15" customHeight="1" s="26">
      <c r="A19" s="34" t="n">
        <v>46275</v>
      </c>
      <c r="B19" s="32" t="inlineStr">
        <is>
          <t>이담당</t>
        </is>
      </c>
      <c r="C19" s="33" t="inlineStr">
        <is>
          <t>PJ02</t>
        </is>
      </c>
      <c r="D19" s="37" t="str">
        <f>IF($C19="","",IFERROR(INDEX(프로젝트목록!$B$3:$B$62,MATCH($C19,프로젝트목록!$A$3:$A$62,0)),"미등록코드"))</f>
        <v>신규 앱 개발</v>
      </c>
      <c r="E19" s="32" t="inlineStr">
        <is>
          <t>API 설계</t>
        </is>
      </c>
      <c r="F19" s="38" t="n">
        <v>900</v>
      </c>
      <c r="G19" s="38" t="n">
        <v>1800</v>
      </c>
      <c r="H19" s="39" t="n">
        <v>60</v>
      </c>
      <c r="I19" s="40" t="n">
        <f>IF(OR($J19="",$K19=""),"",ROUND(MAX(0,($K19-$J19)-IF($H19="",0,$H19))/60,2))</f>
        <v>8</v>
      </c>
      <c r="J19" s="41" t="n">
        <f>IF($F19="","",IF($F19&lt;1,ROUND($F19*1440,0),INT($F19/100)*60+MOD($F19,100)))</f>
        <v>540</v>
      </c>
      <c r="K19" s="41" t="n">
        <f>IF($G19="","",IF($G19&lt;1,ROUND($G19*1440,0),INT($G19/100)*60+MOD($G19,100)))</f>
        <v>1080</v>
      </c>
    </row>
    <row r="20" ht="15" customHeight="1" s="26">
      <c r="A20" s="34" t="n">
        <v>46276</v>
      </c>
      <c r="B20" s="32" t="inlineStr">
        <is>
          <t>박담당</t>
        </is>
      </c>
      <c r="C20" s="33" t="inlineStr">
        <is>
          <t>PJ03</t>
        </is>
      </c>
      <c r="D20" s="37" t="str">
        <f>IF($C20="","",IFERROR(INDEX(프로젝트목록!$B$3:$B$62,MATCH($C20,프로젝트목록!$A$3:$A$62,0)),"미등록코드"))</f>
        <v>홈페이지 개편</v>
      </c>
      <c r="E20" s="32" t="inlineStr">
        <is>
          <t>퍼블리싱</t>
        </is>
      </c>
      <c r="F20" s="38" t="n">
        <v>900</v>
      </c>
      <c r="G20" s="38" t="n">
        <v>1730</v>
      </c>
      <c r="H20" s="39" t="n">
        <v>60</v>
      </c>
      <c r="I20" s="40" t="n">
        <f>IF(OR($J20="",$K20=""),"",ROUND(MAX(0,($K20-$J20)-IF($H20="",0,$H20))/60,2))</f>
        <v>7.5</v>
      </c>
      <c r="J20" s="41" t="n">
        <f>IF($F20="","",IF($F20&lt;1,ROUND($F20*1440,0),INT($F20/100)*60+MOD($F20,100)))</f>
        <v>540</v>
      </c>
      <c r="K20" s="41" t="n">
        <f>IF($G20="","",IF($G20&lt;1,ROUND($G20*1440,0),INT($G20/100)*60+MOD($G20,100)))</f>
        <v>1050</v>
      </c>
    </row>
    <row r="21" ht="15" customHeight="1" s="26">
      <c r="A21" s="34" t="n">
        <v>46279</v>
      </c>
      <c r="B21" s="32" t="inlineStr">
        <is>
          <t>김담당</t>
        </is>
      </c>
      <c r="C21" s="33" t="inlineStr">
        <is>
          <t>PJ01</t>
        </is>
      </c>
      <c r="D21" s="37" t="str">
        <f>IF($C21="","",IFERROR(INDEX(프로젝트목록!$B$3:$B$62,MATCH($C21,프로젝트목록!$A$3:$A$62,0)),"미등록코드"))</f>
        <v>OO운영사업</v>
      </c>
      <c r="E21" s="32" t="inlineStr">
        <is>
          <t>중간 보고</t>
        </is>
      </c>
      <c r="F21" s="38" t="n">
        <v>1000</v>
      </c>
      <c r="G21" s="38" t="n">
        <v>1200</v>
      </c>
      <c r="H21" s="39" t="n">
        <v>0</v>
      </c>
      <c r="I21" s="40" t="n">
        <f>IF(OR($J21="",$K21=""),"",ROUND(MAX(0,($K21-$J21)-IF($H21="",0,$H21))/60,2))</f>
        <v>2</v>
      </c>
      <c r="J21" s="41" t="n">
        <f>IF($F21="","",IF($F21&lt;1,ROUND($F21*1440,0),INT($F21/100)*60+MOD($F21,100)))</f>
        <v>600</v>
      </c>
      <c r="K21" s="41" t="n">
        <f>IF($G21="","",IF($G21&lt;1,ROUND($G21*1440,0),INT($G21/100)*60+MOD($G21,100)))</f>
        <v>720</v>
      </c>
    </row>
    <row r="22" ht="15" customHeight="1" s="26">
      <c r="A22" s="34" t="n"/>
      <c r="B22" s="32" t="n"/>
      <c r="C22" s="33" t="n"/>
      <c r="D22" s="37" t="str">
        <f>IF($C22="","",IFERROR(INDEX(프로젝트목록!$B$3:$B$62,MATCH($C22,프로젝트목록!$A$3:$A$62,0)),"미등록코드"))</f>
        <v/>
      </c>
      <c r="E22" s="32" t="n"/>
      <c r="F22" s="38" t="n"/>
      <c r="G22" s="38" t="n"/>
      <c r="H22" s="39" t="n"/>
      <c r="I22" s="40" t="str">
        <f>IF(OR($J22="",$K22=""),"",ROUND(MAX(0,($K22-$J22)-IF($H22="",0,$H22))/60,2))</f>
        <v/>
      </c>
      <c r="J22" s="41" t="str">
        <f>IF($F22="","",IF($F22&lt;1,ROUND($F22*1440,0),INT($F22/100)*60+MOD($F22,100)))</f>
        <v/>
      </c>
      <c r="K22" s="41" t="str">
        <f>IF($G22="","",IF($G22&lt;1,ROUND($G22*1440,0),INT($G22/100)*60+MOD($G22,100)))</f>
        <v/>
      </c>
    </row>
    <row r="23" ht="15" customHeight="1" s="26">
      <c r="A23" s="34" t="n"/>
      <c r="B23" s="32" t="n"/>
      <c r="C23" s="33" t="n"/>
      <c r="D23" s="37" t="str">
        <f>IF($C23="","",IFERROR(INDEX(프로젝트목록!$B$3:$B$62,MATCH($C23,프로젝트목록!$A$3:$A$62,0)),"미등록코드"))</f>
        <v/>
      </c>
      <c r="E23" s="32" t="n"/>
      <c r="F23" s="38" t="n"/>
      <c r="G23" s="38" t="n"/>
      <c r="H23" s="39" t="n"/>
      <c r="I23" s="40" t="str">
        <f>IF(OR($J23="",$K23=""),"",ROUND(MAX(0,($K23-$J23)-IF($H23="",0,$H23))/60,2))</f>
        <v/>
      </c>
      <c r="J23" s="41" t="str">
        <f>IF($F23="","",IF($F23&lt;1,ROUND($F23*1440,0),INT($F23/100)*60+MOD($F23,100)))</f>
        <v/>
      </c>
      <c r="K23" s="41" t="str">
        <f>IF($G23="","",IF($G23&lt;1,ROUND($G23*1440,0),INT($G23/100)*60+MOD($G23,100)))</f>
        <v/>
      </c>
    </row>
    <row r="24" ht="15" customHeight="1" s="26">
      <c r="A24" s="34" t="n"/>
      <c r="B24" s="32" t="n"/>
      <c r="C24" s="33" t="n"/>
      <c r="D24" s="37" t="str">
        <f>IF($C24="","",IFERROR(INDEX(프로젝트목록!$B$3:$B$62,MATCH($C24,프로젝트목록!$A$3:$A$62,0)),"미등록코드"))</f>
        <v/>
      </c>
      <c r="E24" s="32" t="n"/>
      <c r="F24" s="38" t="n"/>
      <c r="G24" s="38" t="n"/>
      <c r="H24" s="39" t="n"/>
      <c r="I24" s="40" t="str">
        <f>IF(OR($J24="",$K24=""),"",ROUND(MAX(0,($K24-$J24)-IF($H24="",0,$H24))/60,2))</f>
        <v/>
      </c>
      <c r="J24" s="41" t="str">
        <f>IF($F24="","",IF($F24&lt;1,ROUND($F24*1440,0),INT($F24/100)*60+MOD($F24,100)))</f>
        <v/>
      </c>
      <c r="K24" s="41" t="str">
        <f>IF($G24="","",IF($G24&lt;1,ROUND($G24*1440,0),INT($G24/100)*60+MOD($G24,100)))</f>
        <v/>
      </c>
    </row>
    <row r="25" ht="15" customHeight="1" s="26">
      <c r="A25" s="34" t="n"/>
      <c r="B25" s="32" t="n"/>
      <c r="C25" s="33" t="n"/>
      <c r="D25" s="37" t="str">
        <f>IF($C25="","",IFERROR(INDEX(프로젝트목록!$B$3:$B$62,MATCH($C25,프로젝트목록!$A$3:$A$62,0)),"미등록코드"))</f>
        <v/>
      </c>
      <c r="E25" s="32" t="n"/>
      <c r="F25" s="38" t="n"/>
      <c r="G25" s="38" t="n"/>
      <c r="H25" s="39" t="n"/>
      <c r="I25" s="40" t="str">
        <f>IF(OR($J25="",$K25=""),"",ROUND(MAX(0,($K25-$J25)-IF($H25="",0,$H25))/60,2))</f>
        <v/>
      </c>
      <c r="J25" s="41" t="str">
        <f>IF($F25="","",IF($F25&lt;1,ROUND($F25*1440,0),INT($F25/100)*60+MOD($F25,100)))</f>
        <v/>
      </c>
      <c r="K25" s="41" t="str">
        <f>IF($G25="","",IF($G25&lt;1,ROUND($G25*1440,0),INT($G25/100)*60+MOD($G25,100)))</f>
        <v/>
      </c>
    </row>
    <row r="26" ht="15" customHeight="1" s="26">
      <c r="A26" s="34" t="n"/>
      <c r="B26" s="32" t="n"/>
      <c r="C26" s="33" t="n"/>
      <c r="D26" s="37" t="str">
        <f>IF($C26="","",IFERROR(INDEX(프로젝트목록!$B$3:$B$62,MATCH($C26,프로젝트목록!$A$3:$A$62,0)),"미등록코드"))</f>
        <v/>
      </c>
      <c r="E26" s="32" t="n"/>
      <c r="F26" s="38" t="n"/>
      <c r="G26" s="38" t="n"/>
      <c r="H26" s="39" t="n"/>
      <c r="I26" s="40" t="str">
        <f>IF(OR($J26="",$K26=""),"",ROUND(MAX(0,($K26-$J26)-IF($H26="",0,$H26))/60,2))</f>
        <v/>
      </c>
      <c r="J26" s="41" t="str">
        <f>IF($F26="","",IF($F26&lt;1,ROUND($F26*1440,0),INT($F26/100)*60+MOD($F26,100)))</f>
        <v/>
      </c>
      <c r="K26" s="41" t="str">
        <f>IF($G26="","",IF($G26&lt;1,ROUND($G26*1440,0),INT($G26/100)*60+MOD($G26,100)))</f>
        <v/>
      </c>
    </row>
    <row r="27" ht="15" customHeight="1" s="26">
      <c r="A27" s="34" t="n"/>
      <c r="B27" s="32" t="n"/>
      <c r="C27" s="33" t="n"/>
      <c r="D27" s="37" t="str">
        <f>IF($C27="","",IFERROR(INDEX(프로젝트목록!$B$3:$B$62,MATCH($C27,프로젝트목록!$A$3:$A$62,0)),"미등록코드"))</f>
        <v/>
      </c>
      <c r="E27" s="32" t="n"/>
      <c r="F27" s="38" t="n"/>
      <c r="G27" s="38" t="n"/>
      <c r="H27" s="39" t="n"/>
      <c r="I27" s="40" t="str">
        <f>IF(OR($J27="",$K27=""),"",ROUND(MAX(0,($K27-$J27)-IF($H27="",0,$H27))/60,2))</f>
        <v/>
      </c>
      <c r="J27" s="41" t="str">
        <f>IF($F27="","",IF($F27&lt;1,ROUND($F27*1440,0),INT($F27/100)*60+MOD($F27,100)))</f>
        <v/>
      </c>
      <c r="K27" s="41" t="str">
        <f>IF($G27="","",IF($G27&lt;1,ROUND($G27*1440,0),INT($G27/100)*60+MOD($G27,100)))</f>
        <v/>
      </c>
    </row>
    <row r="28" ht="15" customHeight="1" s="26">
      <c r="A28" s="34" t="n"/>
      <c r="B28" s="32" t="n"/>
      <c r="C28" s="33" t="n"/>
      <c r="D28" s="37" t="str">
        <f>IF($C28="","",IFERROR(INDEX(프로젝트목록!$B$3:$B$62,MATCH($C28,프로젝트목록!$A$3:$A$62,0)),"미등록코드"))</f>
        <v/>
      </c>
      <c r="E28" s="32" t="n"/>
      <c r="F28" s="38" t="n"/>
      <c r="G28" s="38" t="n"/>
      <c r="H28" s="39" t="n"/>
      <c r="I28" s="40" t="str">
        <f>IF(OR($J28="",$K28=""),"",ROUND(MAX(0,($K28-$J28)-IF($H28="",0,$H28))/60,2))</f>
        <v/>
      </c>
      <c r="J28" s="41" t="str">
        <f>IF($F28="","",IF($F28&lt;1,ROUND($F28*1440,0),INT($F28/100)*60+MOD($F28,100)))</f>
        <v/>
      </c>
      <c r="K28" s="41" t="str">
        <f>IF($G28="","",IF($G28&lt;1,ROUND($G28*1440,0),INT($G28/100)*60+MOD($G28,100)))</f>
        <v/>
      </c>
    </row>
    <row r="29" ht="15" customHeight="1" s="26">
      <c r="A29" s="34" t="n"/>
      <c r="B29" s="32" t="n"/>
      <c r="C29" s="33" t="n"/>
      <c r="D29" s="37" t="str">
        <f>IF($C29="","",IFERROR(INDEX(프로젝트목록!$B$3:$B$62,MATCH($C29,프로젝트목록!$A$3:$A$62,0)),"미등록코드"))</f>
        <v/>
      </c>
      <c r="E29" s="32" t="n"/>
      <c r="F29" s="38" t="n"/>
      <c r="G29" s="38" t="n"/>
      <c r="H29" s="39" t="n"/>
      <c r="I29" s="40" t="str">
        <f>IF(OR($J29="",$K29=""),"",ROUND(MAX(0,($K29-$J29)-IF($H29="",0,$H29))/60,2))</f>
        <v/>
      </c>
      <c r="J29" s="41" t="str">
        <f>IF($F29="","",IF($F29&lt;1,ROUND($F29*1440,0),INT($F29/100)*60+MOD($F29,100)))</f>
        <v/>
      </c>
      <c r="K29" s="41" t="str">
        <f>IF($G29="","",IF($G29&lt;1,ROUND($G29*1440,0),INT($G29/100)*60+MOD($G29,100)))</f>
        <v/>
      </c>
    </row>
    <row r="30" ht="15" customHeight="1" s="26">
      <c r="A30" s="34" t="n"/>
      <c r="B30" s="32" t="n"/>
      <c r="C30" s="33" t="n"/>
      <c r="D30" s="37" t="str">
        <f>IF($C30="","",IFERROR(INDEX(프로젝트목록!$B$3:$B$62,MATCH($C30,프로젝트목록!$A$3:$A$62,0)),"미등록코드"))</f>
        <v/>
      </c>
      <c r="E30" s="32" t="n"/>
      <c r="F30" s="38" t="n"/>
      <c r="G30" s="38" t="n"/>
      <c r="H30" s="39" t="n"/>
      <c r="I30" s="40" t="str">
        <f>IF(OR($J30="",$K30=""),"",ROUND(MAX(0,($K30-$J30)-IF($H30="",0,$H30))/60,2))</f>
        <v/>
      </c>
      <c r="J30" s="41" t="str">
        <f>IF($F30="","",IF($F30&lt;1,ROUND($F30*1440,0),INT($F30/100)*60+MOD($F30,100)))</f>
        <v/>
      </c>
      <c r="K30" s="41" t="str">
        <f>IF($G30="","",IF($G30&lt;1,ROUND($G30*1440,0),INT($G30/100)*60+MOD($G30,100)))</f>
        <v/>
      </c>
    </row>
    <row r="31" ht="15" customHeight="1" s="26">
      <c r="A31" s="34" t="n"/>
      <c r="B31" s="32" t="n"/>
      <c r="C31" s="33" t="n"/>
      <c r="D31" s="37" t="str">
        <f>IF($C31="","",IFERROR(INDEX(프로젝트목록!$B$3:$B$62,MATCH($C31,프로젝트목록!$A$3:$A$62,0)),"미등록코드"))</f>
        <v/>
      </c>
      <c r="E31" s="32" t="n"/>
      <c r="F31" s="38" t="n"/>
      <c r="G31" s="38" t="n"/>
      <c r="H31" s="39" t="n"/>
      <c r="I31" s="40" t="str">
        <f>IF(OR($J31="",$K31=""),"",ROUND(MAX(0,($K31-$J31)-IF($H31="",0,$H31))/60,2))</f>
        <v/>
      </c>
      <c r="J31" s="41" t="str">
        <f>IF($F31="","",IF($F31&lt;1,ROUND($F31*1440,0),INT($F31/100)*60+MOD($F31,100)))</f>
        <v/>
      </c>
      <c r="K31" s="41" t="str">
        <f>IF($G31="","",IF($G31&lt;1,ROUND($G31*1440,0),INT($G31/100)*60+MOD($G31,100)))</f>
        <v/>
      </c>
    </row>
    <row r="32" ht="15" customHeight="1" s="26">
      <c r="A32" s="34" t="n"/>
      <c r="B32" s="32" t="n"/>
      <c r="C32" s="33" t="n"/>
      <c r="D32" s="37" t="str">
        <f>IF($C32="","",IFERROR(INDEX(프로젝트목록!$B$3:$B$62,MATCH($C32,프로젝트목록!$A$3:$A$62,0)),"미등록코드"))</f>
        <v/>
      </c>
      <c r="E32" s="32" t="n"/>
      <c r="F32" s="38" t="n"/>
      <c r="G32" s="38" t="n"/>
      <c r="H32" s="39" t="n"/>
      <c r="I32" s="40" t="str">
        <f>IF(OR($J32="",$K32=""),"",ROUND(MAX(0,($K32-$J32)-IF($H32="",0,$H32))/60,2))</f>
        <v/>
      </c>
      <c r="J32" s="41" t="str">
        <f>IF($F32="","",IF($F32&lt;1,ROUND($F32*1440,0),INT($F32/100)*60+MOD($F32,100)))</f>
        <v/>
      </c>
      <c r="K32" s="41" t="str">
        <f>IF($G32="","",IF($G32&lt;1,ROUND($G32*1440,0),INT($G32/100)*60+MOD($G32,100)))</f>
        <v/>
      </c>
    </row>
    <row r="33" ht="15" customHeight="1" s="26">
      <c r="A33" s="34" t="n"/>
      <c r="B33" s="32" t="n"/>
      <c r="C33" s="33" t="n"/>
      <c r="D33" s="37" t="str">
        <f>IF($C33="","",IFERROR(INDEX(프로젝트목록!$B$3:$B$62,MATCH($C33,프로젝트목록!$A$3:$A$62,0)),"미등록코드"))</f>
        <v/>
      </c>
      <c r="E33" s="32" t="n"/>
      <c r="F33" s="38" t="n"/>
      <c r="G33" s="38" t="n"/>
      <c r="H33" s="39" t="n"/>
      <c r="I33" s="40" t="str">
        <f>IF(OR($J33="",$K33=""),"",ROUND(MAX(0,($K33-$J33)-IF($H33="",0,$H33))/60,2))</f>
        <v/>
      </c>
      <c r="J33" s="41" t="str">
        <f>IF($F33="","",IF($F33&lt;1,ROUND($F33*1440,0),INT($F33/100)*60+MOD($F33,100)))</f>
        <v/>
      </c>
      <c r="K33" s="41" t="str">
        <f>IF($G33="","",IF($G33&lt;1,ROUND($G33*1440,0),INT($G33/100)*60+MOD($G33,100)))</f>
        <v/>
      </c>
    </row>
    <row r="34" ht="15" customHeight="1" s="26">
      <c r="A34" s="34" t="n"/>
      <c r="B34" s="32" t="n"/>
      <c r="C34" s="33" t="n"/>
      <c r="D34" s="37" t="str">
        <f>IF($C34="","",IFERROR(INDEX(프로젝트목록!$B$3:$B$62,MATCH($C34,프로젝트목록!$A$3:$A$62,0)),"미등록코드"))</f>
        <v/>
      </c>
      <c r="E34" s="32" t="n"/>
      <c r="F34" s="38" t="n"/>
      <c r="G34" s="38" t="n"/>
      <c r="H34" s="39" t="n"/>
      <c r="I34" s="40" t="str">
        <f>IF(OR($J34="",$K34=""),"",ROUND(MAX(0,($K34-$J34)-IF($H34="",0,$H34))/60,2))</f>
        <v/>
      </c>
      <c r="J34" s="41" t="str">
        <f>IF($F34="","",IF($F34&lt;1,ROUND($F34*1440,0),INT($F34/100)*60+MOD($F34,100)))</f>
        <v/>
      </c>
      <c r="K34" s="41" t="str">
        <f>IF($G34="","",IF($G34&lt;1,ROUND($G34*1440,0),INT($G34/100)*60+MOD($G34,100)))</f>
        <v/>
      </c>
    </row>
    <row r="35" ht="15" customHeight="1" s="26">
      <c r="A35" s="34" t="n"/>
      <c r="B35" s="32" t="n"/>
      <c r="C35" s="33" t="n"/>
      <c r="D35" s="37" t="str">
        <f>IF($C35="","",IFERROR(INDEX(프로젝트목록!$B$3:$B$62,MATCH($C35,프로젝트목록!$A$3:$A$62,0)),"미등록코드"))</f>
        <v/>
      </c>
      <c r="E35" s="32" t="n"/>
      <c r="F35" s="38" t="n"/>
      <c r="G35" s="38" t="n"/>
      <c r="H35" s="39" t="n"/>
      <c r="I35" s="40" t="str">
        <f>IF(OR($J35="",$K35=""),"",ROUND(MAX(0,($K35-$J35)-IF($H35="",0,$H35))/60,2))</f>
        <v/>
      </c>
      <c r="J35" s="41" t="str">
        <f>IF($F35="","",IF($F35&lt;1,ROUND($F35*1440,0),INT($F35/100)*60+MOD($F35,100)))</f>
        <v/>
      </c>
      <c r="K35" s="41" t="str">
        <f>IF($G35="","",IF($G35&lt;1,ROUND($G35*1440,0),INT($G35/100)*60+MOD($G35,100)))</f>
        <v/>
      </c>
    </row>
    <row r="36" ht="15" customHeight="1" s="26">
      <c r="A36" s="34" t="n"/>
      <c r="B36" s="32" t="n"/>
      <c r="C36" s="33" t="n"/>
      <c r="D36" s="37" t="str">
        <f>IF($C36="","",IFERROR(INDEX(프로젝트목록!$B$3:$B$62,MATCH($C36,프로젝트목록!$A$3:$A$62,0)),"미등록코드"))</f>
        <v/>
      </c>
      <c r="E36" s="32" t="n"/>
      <c r="F36" s="38" t="n"/>
      <c r="G36" s="38" t="n"/>
      <c r="H36" s="39" t="n"/>
      <c r="I36" s="40" t="str">
        <f>IF(OR($J36="",$K36=""),"",ROUND(MAX(0,($K36-$J36)-IF($H36="",0,$H36))/60,2))</f>
        <v/>
      </c>
      <c r="J36" s="41" t="str">
        <f>IF($F36="","",IF($F36&lt;1,ROUND($F36*1440,0),INT($F36/100)*60+MOD($F36,100)))</f>
        <v/>
      </c>
      <c r="K36" s="41" t="str">
        <f>IF($G36="","",IF($G36&lt;1,ROUND($G36*1440,0),INT($G36/100)*60+MOD($G36,100)))</f>
        <v/>
      </c>
    </row>
    <row r="37" ht="15" customHeight="1" s="26">
      <c r="A37" s="34" t="n"/>
      <c r="B37" s="32" t="n"/>
      <c r="C37" s="33" t="n"/>
      <c r="D37" s="37" t="str">
        <f>IF($C37="","",IFERROR(INDEX(프로젝트목록!$B$3:$B$62,MATCH($C37,프로젝트목록!$A$3:$A$62,0)),"미등록코드"))</f>
        <v/>
      </c>
      <c r="E37" s="32" t="n"/>
      <c r="F37" s="38" t="n"/>
      <c r="G37" s="38" t="n"/>
      <c r="H37" s="39" t="n"/>
      <c r="I37" s="40" t="str">
        <f>IF(OR($J37="",$K37=""),"",ROUND(MAX(0,($K37-$J37)-IF($H37="",0,$H37))/60,2))</f>
        <v/>
      </c>
      <c r="J37" s="41" t="str">
        <f>IF($F37="","",IF($F37&lt;1,ROUND($F37*1440,0),INT($F37/100)*60+MOD($F37,100)))</f>
        <v/>
      </c>
      <c r="K37" s="41" t="str">
        <f>IF($G37="","",IF($G37&lt;1,ROUND($G37*1440,0),INT($G37/100)*60+MOD($G37,100)))</f>
        <v/>
      </c>
    </row>
    <row r="38" ht="15" customHeight="1" s="26">
      <c r="A38" s="34" t="n"/>
      <c r="B38" s="32" t="n"/>
      <c r="C38" s="33" t="n"/>
      <c r="D38" s="37" t="str">
        <f>IF($C38="","",IFERROR(INDEX(프로젝트목록!$B$3:$B$62,MATCH($C38,프로젝트목록!$A$3:$A$62,0)),"미등록코드"))</f>
        <v/>
      </c>
      <c r="E38" s="32" t="n"/>
      <c r="F38" s="38" t="n"/>
      <c r="G38" s="38" t="n"/>
      <c r="H38" s="39" t="n"/>
      <c r="I38" s="40" t="str">
        <f>IF(OR($J38="",$K38=""),"",ROUND(MAX(0,($K38-$J38)-IF($H38="",0,$H38))/60,2))</f>
        <v/>
      </c>
      <c r="J38" s="41" t="str">
        <f>IF($F38="","",IF($F38&lt;1,ROUND($F38*1440,0),INT($F38/100)*60+MOD($F38,100)))</f>
        <v/>
      </c>
      <c r="K38" s="41" t="str">
        <f>IF($G38="","",IF($G38&lt;1,ROUND($G38*1440,0),INT($G38/100)*60+MOD($G38,100)))</f>
        <v/>
      </c>
    </row>
    <row r="39" ht="15" customHeight="1" s="26">
      <c r="A39" s="34" t="n"/>
      <c r="B39" s="32" t="n"/>
      <c r="C39" s="33" t="n"/>
      <c r="D39" s="37" t="str">
        <f>IF($C39="","",IFERROR(INDEX(프로젝트목록!$B$3:$B$62,MATCH($C39,프로젝트목록!$A$3:$A$62,0)),"미등록코드"))</f>
        <v/>
      </c>
      <c r="E39" s="32" t="n"/>
      <c r="F39" s="38" t="n"/>
      <c r="G39" s="38" t="n"/>
      <c r="H39" s="39" t="n"/>
      <c r="I39" s="40" t="str">
        <f>IF(OR($J39="",$K39=""),"",ROUND(MAX(0,($K39-$J39)-IF($H39="",0,$H39))/60,2))</f>
        <v/>
      </c>
      <c r="J39" s="41" t="str">
        <f>IF($F39="","",IF($F39&lt;1,ROUND($F39*1440,0),INT($F39/100)*60+MOD($F39,100)))</f>
        <v/>
      </c>
      <c r="K39" s="41" t="str">
        <f>IF($G39="","",IF($G39&lt;1,ROUND($G39*1440,0),INT($G39/100)*60+MOD($G39,100)))</f>
        <v/>
      </c>
    </row>
    <row r="40" ht="15" customHeight="1" s="26">
      <c r="A40" s="34" t="n"/>
      <c r="B40" s="32" t="n"/>
      <c r="C40" s="33" t="n"/>
      <c r="D40" s="37" t="str">
        <f>IF($C40="","",IFERROR(INDEX(프로젝트목록!$B$3:$B$62,MATCH($C40,프로젝트목록!$A$3:$A$62,0)),"미등록코드"))</f>
        <v/>
      </c>
      <c r="E40" s="32" t="n"/>
      <c r="F40" s="38" t="n"/>
      <c r="G40" s="38" t="n"/>
      <c r="H40" s="39" t="n"/>
      <c r="I40" s="40" t="str">
        <f>IF(OR($J40="",$K40=""),"",ROUND(MAX(0,($K40-$J40)-IF($H40="",0,$H40))/60,2))</f>
        <v/>
      </c>
      <c r="J40" s="41" t="str">
        <f>IF($F40="","",IF($F40&lt;1,ROUND($F40*1440,0),INT($F40/100)*60+MOD($F40,100)))</f>
        <v/>
      </c>
      <c r="K40" s="41" t="str">
        <f>IF($G40="","",IF($G40&lt;1,ROUND($G40*1440,0),INT($G40/100)*60+MOD($G40,100)))</f>
        <v/>
      </c>
    </row>
    <row r="41" ht="15" customHeight="1" s="26">
      <c r="A41" s="34" t="n"/>
      <c r="B41" s="32" t="n"/>
      <c r="C41" s="33" t="n"/>
      <c r="D41" s="37" t="str">
        <f>IF($C41="","",IFERROR(INDEX(프로젝트목록!$B$3:$B$62,MATCH($C41,프로젝트목록!$A$3:$A$62,0)),"미등록코드"))</f>
        <v/>
      </c>
      <c r="E41" s="32" t="n"/>
      <c r="F41" s="38" t="n"/>
      <c r="G41" s="38" t="n"/>
      <c r="H41" s="39" t="n"/>
      <c r="I41" s="40" t="str">
        <f>IF(OR($J41="",$K41=""),"",ROUND(MAX(0,($K41-$J41)-IF($H41="",0,$H41))/60,2))</f>
        <v/>
      </c>
      <c r="J41" s="41" t="str">
        <f>IF($F41="","",IF($F41&lt;1,ROUND($F41*1440,0),INT($F41/100)*60+MOD($F41,100)))</f>
        <v/>
      </c>
      <c r="K41" s="41" t="str">
        <f>IF($G41="","",IF($G41&lt;1,ROUND($G41*1440,0),INT($G41/100)*60+MOD($G41,100)))</f>
        <v/>
      </c>
    </row>
    <row r="42" ht="15" customHeight="1" s="26">
      <c r="A42" s="34" t="n"/>
      <c r="B42" s="32" t="n"/>
      <c r="C42" s="33" t="n"/>
      <c r="D42" s="37" t="str">
        <f>IF($C42="","",IFERROR(INDEX(프로젝트목록!$B$3:$B$62,MATCH($C42,프로젝트목록!$A$3:$A$62,0)),"미등록코드"))</f>
        <v/>
      </c>
      <c r="E42" s="32" t="n"/>
      <c r="F42" s="38" t="n"/>
      <c r="G42" s="38" t="n"/>
      <c r="H42" s="39" t="n"/>
      <c r="I42" s="40" t="str">
        <f>IF(OR($J42="",$K42=""),"",ROUND(MAX(0,($K42-$J42)-IF($H42="",0,$H42))/60,2))</f>
        <v/>
      </c>
      <c r="J42" s="41" t="str">
        <f>IF($F42="","",IF($F42&lt;1,ROUND($F42*1440,0),INT($F42/100)*60+MOD($F42,100)))</f>
        <v/>
      </c>
      <c r="K42" s="41" t="str">
        <f>IF($G42="","",IF($G42&lt;1,ROUND($G42*1440,0),INT($G42/100)*60+MOD($G42,100)))</f>
        <v/>
      </c>
    </row>
    <row r="43" ht="15" customHeight="1" s="26">
      <c r="A43" s="34" t="n"/>
      <c r="B43" s="32" t="n"/>
      <c r="C43" s="33" t="n"/>
      <c r="D43" s="37" t="str">
        <f>IF($C43="","",IFERROR(INDEX(프로젝트목록!$B$3:$B$62,MATCH($C43,프로젝트목록!$A$3:$A$62,0)),"미등록코드"))</f>
        <v/>
      </c>
      <c r="E43" s="32" t="n"/>
      <c r="F43" s="38" t="n"/>
      <c r="G43" s="38" t="n"/>
      <c r="H43" s="39" t="n"/>
      <c r="I43" s="40" t="str">
        <f>IF(OR($J43="",$K43=""),"",ROUND(MAX(0,($K43-$J43)-IF($H43="",0,$H43))/60,2))</f>
        <v/>
      </c>
      <c r="J43" s="41" t="str">
        <f>IF($F43="","",IF($F43&lt;1,ROUND($F43*1440,0),INT($F43/100)*60+MOD($F43,100)))</f>
        <v/>
      </c>
      <c r="K43" s="41" t="str">
        <f>IF($G43="","",IF($G43&lt;1,ROUND($G43*1440,0),INT($G43/100)*60+MOD($G43,100)))</f>
        <v/>
      </c>
    </row>
    <row r="44" ht="15" customHeight="1" s="26">
      <c r="A44" s="34" t="n"/>
      <c r="B44" s="32" t="n"/>
      <c r="C44" s="33" t="n"/>
      <c r="D44" s="37" t="str">
        <f>IF($C44="","",IFERROR(INDEX(프로젝트목록!$B$3:$B$62,MATCH($C44,프로젝트목록!$A$3:$A$62,0)),"미등록코드"))</f>
        <v/>
      </c>
      <c r="E44" s="32" t="n"/>
      <c r="F44" s="38" t="n"/>
      <c r="G44" s="38" t="n"/>
      <c r="H44" s="39" t="n"/>
      <c r="I44" s="40" t="str">
        <f>IF(OR($J44="",$K44=""),"",ROUND(MAX(0,($K44-$J44)-IF($H44="",0,$H44))/60,2))</f>
        <v/>
      </c>
      <c r="J44" s="41" t="str">
        <f>IF($F44="","",IF($F44&lt;1,ROUND($F44*1440,0),INT($F44/100)*60+MOD($F44,100)))</f>
        <v/>
      </c>
      <c r="K44" s="41" t="str">
        <f>IF($G44="","",IF($G44&lt;1,ROUND($G44*1440,0),INT($G44/100)*60+MOD($G44,100)))</f>
        <v/>
      </c>
    </row>
    <row r="45" ht="15" customHeight="1" s="26">
      <c r="A45" s="34" t="n"/>
      <c r="B45" s="32" t="n"/>
      <c r="C45" s="33" t="n"/>
      <c r="D45" s="37" t="str">
        <f>IF($C45="","",IFERROR(INDEX(프로젝트목록!$B$3:$B$62,MATCH($C45,프로젝트목록!$A$3:$A$62,0)),"미등록코드"))</f>
        <v/>
      </c>
      <c r="E45" s="32" t="n"/>
      <c r="F45" s="38" t="n"/>
      <c r="G45" s="38" t="n"/>
      <c r="H45" s="39" t="n"/>
      <c r="I45" s="40" t="str">
        <f>IF(OR($J45="",$K45=""),"",ROUND(MAX(0,($K45-$J45)-IF($H45="",0,$H45))/60,2))</f>
        <v/>
      </c>
      <c r="J45" s="41" t="str">
        <f>IF($F45="","",IF($F45&lt;1,ROUND($F45*1440,0),INT($F45/100)*60+MOD($F45,100)))</f>
        <v/>
      </c>
      <c r="K45" s="41" t="str">
        <f>IF($G45="","",IF($G45&lt;1,ROUND($G45*1440,0),INT($G45/100)*60+MOD($G45,100)))</f>
        <v/>
      </c>
    </row>
    <row r="46" ht="15" customHeight="1" s="26">
      <c r="A46" s="34" t="n"/>
      <c r="B46" s="32" t="n"/>
      <c r="C46" s="33" t="n"/>
      <c r="D46" s="37" t="str">
        <f>IF($C46="","",IFERROR(INDEX(프로젝트목록!$B$3:$B$62,MATCH($C46,프로젝트목록!$A$3:$A$62,0)),"미등록코드"))</f>
        <v/>
      </c>
      <c r="E46" s="32" t="n"/>
      <c r="F46" s="38" t="n"/>
      <c r="G46" s="38" t="n"/>
      <c r="H46" s="39" t="n"/>
      <c r="I46" s="40" t="str">
        <f>IF(OR($J46="",$K46=""),"",ROUND(MAX(0,($K46-$J46)-IF($H46="",0,$H46))/60,2))</f>
        <v/>
      </c>
      <c r="J46" s="41" t="str">
        <f>IF($F46="","",IF($F46&lt;1,ROUND($F46*1440,0),INT($F46/100)*60+MOD($F46,100)))</f>
        <v/>
      </c>
      <c r="K46" s="41" t="str">
        <f>IF($G46="","",IF($G46&lt;1,ROUND($G46*1440,0),INT($G46/100)*60+MOD($G46,100)))</f>
        <v/>
      </c>
    </row>
    <row r="47" ht="15" customHeight="1" s="26">
      <c r="A47" s="34" t="n"/>
      <c r="B47" s="32" t="n"/>
      <c r="C47" s="33" t="n"/>
      <c r="D47" s="37" t="str">
        <f>IF($C47="","",IFERROR(INDEX(프로젝트목록!$B$3:$B$62,MATCH($C47,프로젝트목록!$A$3:$A$62,0)),"미등록코드"))</f>
        <v/>
      </c>
      <c r="E47" s="32" t="n"/>
      <c r="F47" s="38" t="n"/>
      <c r="G47" s="38" t="n"/>
      <c r="H47" s="39" t="n"/>
      <c r="I47" s="40" t="str">
        <f>IF(OR($J47="",$K47=""),"",ROUND(MAX(0,($K47-$J47)-IF($H47="",0,$H47))/60,2))</f>
        <v/>
      </c>
      <c r="J47" s="41" t="str">
        <f>IF($F47="","",IF($F47&lt;1,ROUND($F47*1440,0),INT($F47/100)*60+MOD($F47,100)))</f>
        <v/>
      </c>
      <c r="K47" s="41" t="str">
        <f>IF($G47="","",IF($G47&lt;1,ROUND($G47*1440,0),INT($G47/100)*60+MOD($G47,100)))</f>
        <v/>
      </c>
    </row>
    <row r="48" ht="15" customHeight="1" s="26">
      <c r="A48" s="34" t="n"/>
      <c r="B48" s="32" t="n"/>
      <c r="C48" s="33" t="n"/>
      <c r="D48" s="37" t="str">
        <f>IF($C48="","",IFERROR(INDEX(프로젝트목록!$B$3:$B$62,MATCH($C48,프로젝트목록!$A$3:$A$62,0)),"미등록코드"))</f>
        <v/>
      </c>
      <c r="E48" s="32" t="n"/>
      <c r="F48" s="38" t="n"/>
      <c r="G48" s="38" t="n"/>
      <c r="H48" s="39" t="n"/>
      <c r="I48" s="40" t="str">
        <f>IF(OR($J48="",$K48=""),"",ROUND(MAX(0,($K48-$J48)-IF($H48="",0,$H48))/60,2))</f>
        <v/>
      </c>
      <c r="J48" s="41" t="str">
        <f>IF($F48="","",IF($F48&lt;1,ROUND($F48*1440,0),INT($F48/100)*60+MOD($F48,100)))</f>
        <v/>
      </c>
      <c r="K48" s="41" t="str">
        <f>IF($G48="","",IF($G48&lt;1,ROUND($G48*1440,0),INT($G48/100)*60+MOD($G48,100)))</f>
        <v/>
      </c>
    </row>
    <row r="49" ht="15" customHeight="1" s="26">
      <c r="A49" s="34" t="n"/>
      <c r="B49" s="32" t="n"/>
      <c r="C49" s="33" t="n"/>
      <c r="D49" s="37" t="str">
        <f>IF($C49="","",IFERROR(INDEX(프로젝트목록!$B$3:$B$62,MATCH($C49,프로젝트목록!$A$3:$A$62,0)),"미등록코드"))</f>
        <v/>
      </c>
      <c r="E49" s="32" t="n"/>
      <c r="F49" s="38" t="n"/>
      <c r="G49" s="38" t="n"/>
      <c r="H49" s="39" t="n"/>
      <c r="I49" s="40" t="str">
        <f>IF(OR($J49="",$K49=""),"",ROUND(MAX(0,($K49-$J49)-IF($H49="",0,$H49))/60,2))</f>
        <v/>
      </c>
      <c r="J49" s="41" t="str">
        <f>IF($F49="","",IF($F49&lt;1,ROUND($F49*1440,0),INT($F49/100)*60+MOD($F49,100)))</f>
        <v/>
      </c>
      <c r="K49" s="41" t="str">
        <f>IF($G49="","",IF($G49&lt;1,ROUND($G49*1440,0),INT($G49/100)*60+MOD($G49,100)))</f>
        <v/>
      </c>
    </row>
    <row r="50" ht="15" customHeight="1" s="26">
      <c r="A50" s="34" t="n"/>
      <c r="B50" s="32" t="n"/>
      <c r="C50" s="33" t="n"/>
      <c r="D50" s="37" t="str">
        <f>IF($C50="","",IFERROR(INDEX(프로젝트목록!$B$3:$B$62,MATCH($C50,프로젝트목록!$A$3:$A$62,0)),"미등록코드"))</f>
        <v/>
      </c>
      <c r="E50" s="32" t="n"/>
      <c r="F50" s="38" t="n"/>
      <c r="G50" s="38" t="n"/>
      <c r="H50" s="39" t="n"/>
      <c r="I50" s="40" t="str">
        <f>IF(OR($J50="",$K50=""),"",ROUND(MAX(0,($K50-$J50)-IF($H50="",0,$H50))/60,2))</f>
        <v/>
      </c>
      <c r="J50" s="41" t="str">
        <f>IF($F50="","",IF($F50&lt;1,ROUND($F50*1440,0),INT($F50/100)*60+MOD($F50,100)))</f>
        <v/>
      </c>
      <c r="K50" s="41" t="str">
        <f>IF($G50="","",IF($G50&lt;1,ROUND($G50*1440,0),INT($G50/100)*60+MOD($G50,100)))</f>
        <v/>
      </c>
    </row>
    <row r="51" ht="15" customHeight="1" s="26">
      <c r="A51" s="34" t="n"/>
      <c r="B51" s="32" t="n"/>
      <c r="C51" s="33" t="n"/>
      <c r="D51" s="37" t="str">
        <f>IF($C51="","",IFERROR(INDEX(프로젝트목록!$B$3:$B$62,MATCH($C51,프로젝트목록!$A$3:$A$62,0)),"미등록코드"))</f>
        <v/>
      </c>
      <c r="E51" s="32" t="n"/>
      <c r="F51" s="38" t="n"/>
      <c r="G51" s="38" t="n"/>
      <c r="H51" s="39" t="n"/>
      <c r="I51" s="40" t="str">
        <f>IF(OR($J51="",$K51=""),"",ROUND(MAX(0,($K51-$J51)-IF($H51="",0,$H51))/60,2))</f>
        <v/>
      </c>
      <c r="J51" s="41" t="str">
        <f>IF($F51="","",IF($F51&lt;1,ROUND($F51*1440,0),INT($F51/100)*60+MOD($F51,100)))</f>
        <v/>
      </c>
      <c r="K51" s="41" t="str">
        <f>IF($G51="","",IF($G51&lt;1,ROUND($G51*1440,0),INT($G51/100)*60+MOD($G51,100)))</f>
        <v/>
      </c>
    </row>
    <row r="52" ht="15" customHeight="1" s="26">
      <c r="A52" s="34" t="n"/>
      <c r="B52" s="32" t="n"/>
      <c r="C52" s="33" t="n"/>
      <c r="D52" s="37" t="str">
        <f>IF($C52="","",IFERROR(INDEX(프로젝트목록!$B$3:$B$62,MATCH($C52,프로젝트목록!$A$3:$A$62,0)),"미등록코드"))</f>
        <v/>
      </c>
      <c r="E52" s="32" t="n"/>
      <c r="F52" s="38" t="n"/>
      <c r="G52" s="38" t="n"/>
      <c r="H52" s="39" t="n"/>
      <c r="I52" s="40" t="str">
        <f>IF(OR($J52="",$K52=""),"",ROUND(MAX(0,($K52-$J52)-IF($H52="",0,$H52))/60,2))</f>
        <v/>
      </c>
      <c r="J52" s="41" t="str">
        <f>IF($F52="","",IF($F52&lt;1,ROUND($F52*1440,0),INT($F52/100)*60+MOD($F52,100)))</f>
        <v/>
      </c>
      <c r="K52" s="41" t="str">
        <f>IF($G52="","",IF($G52&lt;1,ROUND($G52*1440,0),INT($G52/100)*60+MOD($G52,100)))</f>
        <v/>
      </c>
    </row>
    <row r="53" ht="15" customHeight="1" s="26">
      <c r="A53" s="34" t="n"/>
      <c r="B53" s="32" t="n"/>
      <c r="C53" s="33" t="n"/>
      <c r="D53" s="37" t="str">
        <f>IF($C53="","",IFERROR(INDEX(프로젝트목록!$B$3:$B$62,MATCH($C53,프로젝트목록!$A$3:$A$62,0)),"미등록코드"))</f>
        <v/>
      </c>
      <c r="E53" s="32" t="n"/>
      <c r="F53" s="38" t="n"/>
      <c r="G53" s="38" t="n"/>
      <c r="H53" s="39" t="n"/>
      <c r="I53" s="40" t="str">
        <f>IF(OR($J53="",$K53=""),"",ROUND(MAX(0,($K53-$J53)-IF($H53="",0,$H53))/60,2))</f>
        <v/>
      </c>
      <c r="J53" s="41" t="str">
        <f>IF($F53="","",IF($F53&lt;1,ROUND($F53*1440,0),INT($F53/100)*60+MOD($F53,100)))</f>
        <v/>
      </c>
      <c r="K53" s="41" t="str">
        <f>IF($G53="","",IF($G53&lt;1,ROUND($G53*1440,0),INT($G53/100)*60+MOD($G53,100)))</f>
        <v/>
      </c>
    </row>
    <row r="54" ht="15" customHeight="1" s="26">
      <c r="A54" s="34" t="n"/>
      <c r="B54" s="32" t="n"/>
      <c r="C54" s="33" t="n"/>
      <c r="D54" s="37" t="str">
        <f>IF($C54="","",IFERROR(INDEX(프로젝트목록!$B$3:$B$62,MATCH($C54,프로젝트목록!$A$3:$A$62,0)),"미등록코드"))</f>
        <v/>
      </c>
      <c r="E54" s="32" t="n"/>
      <c r="F54" s="38" t="n"/>
      <c r="G54" s="38" t="n"/>
      <c r="H54" s="39" t="n"/>
      <c r="I54" s="40" t="str">
        <f>IF(OR($J54="",$K54=""),"",ROUND(MAX(0,($K54-$J54)-IF($H54="",0,$H54))/60,2))</f>
        <v/>
      </c>
      <c r="J54" s="41" t="str">
        <f>IF($F54="","",IF($F54&lt;1,ROUND($F54*1440,0),INT($F54/100)*60+MOD($F54,100)))</f>
        <v/>
      </c>
      <c r="K54" s="41" t="str">
        <f>IF($G54="","",IF($G54&lt;1,ROUND($G54*1440,0),INT($G54/100)*60+MOD($G54,100)))</f>
        <v/>
      </c>
    </row>
    <row r="55" ht="15" customHeight="1" s="26">
      <c r="A55" s="34" t="n"/>
      <c r="B55" s="32" t="n"/>
      <c r="C55" s="33" t="n"/>
      <c r="D55" s="37" t="str">
        <f>IF($C55="","",IFERROR(INDEX(프로젝트목록!$B$3:$B$62,MATCH($C55,프로젝트목록!$A$3:$A$62,0)),"미등록코드"))</f>
        <v/>
      </c>
      <c r="E55" s="32" t="n"/>
      <c r="F55" s="38" t="n"/>
      <c r="G55" s="38" t="n"/>
      <c r="H55" s="39" t="n"/>
      <c r="I55" s="40" t="str">
        <f>IF(OR($J55="",$K55=""),"",ROUND(MAX(0,($K55-$J55)-IF($H55="",0,$H55))/60,2))</f>
        <v/>
      </c>
      <c r="J55" s="41" t="str">
        <f>IF($F55="","",IF($F55&lt;1,ROUND($F55*1440,0),INT($F55/100)*60+MOD($F55,100)))</f>
        <v/>
      </c>
      <c r="K55" s="41" t="str">
        <f>IF($G55="","",IF($G55&lt;1,ROUND($G55*1440,0),INT($G55/100)*60+MOD($G55,100)))</f>
        <v/>
      </c>
    </row>
    <row r="56" ht="15" customHeight="1" s="26">
      <c r="A56" s="34" t="n"/>
      <c r="B56" s="32" t="n"/>
      <c r="C56" s="33" t="n"/>
      <c r="D56" s="37" t="str">
        <f>IF($C56="","",IFERROR(INDEX(프로젝트목록!$B$3:$B$62,MATCH($C56,프로젝트목록!$A$3:$A$62,0)),"미등록코드"))</f>
        <v/>
      </c>
      <c r="E56" s="32" t="n"/>
      <c r="F56" s="38" t="n"/>
      <c r="G56" s="38" t="n"/>
      <c r="H56" s="39" t="n"/>
      <c r="I56" s="40" t="str">
        <f>IF(OR($J56="",$K56=""),"",ROUND(MAX(0,($K56-$J56)-IF($H56="",0,$H56))/60,2))</f>
        <v/>
      </c>
      <c r="J56" s="41" t="str">
        <f>IF($F56="","",IF($F56&lt;1,ROUND($F56*1440,0),INT($F56/100)*60+MOD($F56,100)))</f>
        <v/>
      </c>
      <c r="K56" s="41" t="str">
        <f>IF($G56="","",IF($G56&lt;1,ROUND($G56*1440,0),INT($G56/100)*60+MOD($G56,100)))</f>
        <v/>
      </c>
    </row>
    <row r="57" ht="15" customHeight="1" s="26">
      <c r="A57" s="34" t="n"/>
      <c r="B57" s="32" t="n"/>
      <c r="C57" s="33" t="n"/>
      <c r="D57" s="37" t="str">
        <f>IF($C57="","",IFERROR(INDEX(프로젝트목록!$B$3:$B$62,MATCH($C57,프로젝트목록!$A$3:$A$62,0)),"미등록코드"))</f>
        <v/>
      </c>
      <c r="E57" s="32" t="n"/>
      <c r="F57" s="38" t="n"/>
      <c r="G57" s="38" t="n"/>
      <c r="H57" s="39" t="n"/>
      <c r="I57" s="40" t="str">
        <f>IF(OR($J57="",$K57=""),"",ROUND(MAX(0,($K57-$J57)-IF($H57="",0,$H57))/60,2))</f>
        <v/>
      </c>
      <c r="J57" s="41" t="str">
        <f>IF($F57="","",IF($F57&lt;1,ROUND($F57*1440,0),INT($F57/100)*60+MOD($F57,100)))</f>
        <v/>
      </c>
      <c r="K57" s="41" t="str">
        <f>IF($G57="","",IF($G57&lt;1,ROUND($G57*1440,0),INT($G57/100)*60+MOD($G57,100)))</f>
        <v/>
      </c>
    </row>
    <row r="58" ht="15" customHeight="1" s="26">
      <c r="A58" s="34" t="n"/>
      <c r="B58" s="32" t="n"/>
      <c r="C58" s="33" t="n"/>
      <c r="D58" s="37" t="str">
        <f>IF($C58="","",IFERROR(INDEX(프로젝트목록!$B$3:$B$62,MATCH($C58,프로젝트목록!$A$3:$A$62,0)),"미등록코드"))</f>
        <v/>
      </c>
      <c r="E58" s="32" t="n"/>
      <c r="F58" s="38" t="n"/>
      <c r="G58" s="38" t="n"/>
      <c r="H58" s="39" t="n"/>
      <c r="I58" s="40" t="str">
        <f>IF(OR($J58="",$K58=""),"",ROUND(MAX(0,($K58-$J58)-IF($H58="",0,$H58))/60,2))</f>
        <v/>
      </c>
      <c r="J58" s="41" t="str">
        <f>IF($F58="","",IF($F58&lt;1,ROUND($F58*1440,0),INT($F58/100)*60+MOD($F58,100)))</f>
        <v/>
      </c>
      <c r="K58" s="41" t="str">
        <f>IF($G58="","",IF($G58&lt;1,ROUND($G58*1440,0),INT($G58/100)*60+MOD($G58,100)))</f>
        <v/>
      </c>
    </row>
    <row r="59" ht="15" customHeight="1" s="26">
      <c r="A59" s="34" t="n"/>
      <c r="B59" s="32" t="n"/>
      <c r="C59" s="33" t="n"/>
      <c r="D59" s="37" t="str">
        <f>IF($C59="","",IFERROR(INDEX(프로젝트목록!$B$3:$B$62,MATCH($C59,프로젝트목록!$A$3:$A$62,0)),"미등록코드"))</f>
        <v/>
      </c>
      <c r="E59" s="32" t="n"/>
      <c r="F59" s="38" t="n"/>
      <c r="G59" s="38" t="n"/>
      <c r="H59" s="39" t="n"/>
      <c r="I59" s="40" t="str">
        <f>IF(OR($J59="",$K59=""),"",ROUND(MAX(0,($K59-$J59)-IF($H59="",0,$H59))/60,2))</f>
        <v/>
      </c>
      <c r="J59" s="41" t="str">
        <f>IF($F59="","",IF($F59&lt;1,ROUND($F59*1440,0),INT($F59/100)*60+MOD($F59,100)))</f>
        <v/>
      </c>
      <c r="K59" s="41" t="str">
        <f>IF($G59="","",IF($G59&lt;1,ROUND($G59*1440,0),INT($G59/100)*60+MOD($G59,100)))</f>
        <v/>
      </c>
    </row>
    <row r="60" ht="15" customHeight="1" s="26">
      <c r="A60" s="34" t="n"/>
      <c r="B60" s="32" t="n"/>
      <c r="C60" s="33" t="n"/>
      <c r="D60" s="37" t="str">
        <f>IF($C60="","",IFERROR(INDEX(프로젝트목록!$B$3:$B$62,MATCH($C60,프로젝트목록!$A$3:$A$62,0)),"미등록코드"))</f>
        <v/>
      </c>
      <c r="E60" s="32" t="n"/>
      <c r="F60" s="38" t="n"/>
      <c r="G60" s="38" t="n"/>
      <c r="H60" s="39" t="n"/>
      <c r="I60" s="40" t="str">
        <f>IF(OR($J60="",$K60=""),"",ROUND(MAX(0,($K60-$J60)-IF($H60="",0,$H60))/60,2))</f>
        <v/>
      </c>
      <c r="J60" s="41" t="str">
        <f>IF($F60="","",IF($F60&lt;1,ROUND($F60*1440,0),INT($F60/100)*60+MOD($F60,100)))</f>
        <v/>
      </c>
      <c r="K60" s="41" t="str">
        <f>IF($G60="","",IF($G60&lt;1,ROUND($G60*1440,0),INT($G60/100)*60+MOD($G60,100)))</f>
        <v/>
      </c>
    </row>
    <row r="61" ht="15" customHeight="1" s="26">
      <c r="A61" s="34" t="n"/>
      <c r="B61" s="32" t="n"/>
      <c r="C61" s="33" t="n"/>
      <c r="D61" s="37" t="str">
        <f>IF($C61="","",IFERROR(INDEX(프로젝트목록!$B$3:$B$62,MATCH($C61,프로젝트목록!$A$3:$A$62,0)),"미등록코드"))</f>
        <v/>
      </c>
      <c r="E61" s="32" t="n"/>
      <c r="F61" s="38" t="n"/>
      <c r="G61" s="38" t="n"/>
      <c r="H61" s="39" t="n"/>
      <c r="I61" s="40" t="str">
        <f>IF(OR($J61="",$K61=""),"",ROUND(MAX(0,($K61-$J61)-IF($H61="",0,$H61))/60,2))</f>
        <v/>
      </c>
      <c r="J61" s="41" t="str">
        <f>IF($F61="","",IF($F61&lt;1,ROUND($F61*1440,0),INT($F61/100)*60+MOD($F61,100)))</f>
        <v/>
      </c>
      <c r="K61" s="41" t="str">
        <f>IF($G61="","",IF($G61&lt;1,ROUND($G61*1440,0),INT($G61/100)*60+MOD($G61,100)))</f>
        <v/>
      </c>
    </row>
    <row r="62" ht="15" customHeight="1" s="26">
      <c r="A62" s="34" t="n"/>
      <c r="B62" s="32" t="n"/>
      <c r="C62" s="33" t="n"/>
      <c r="D62" s="37" t="str">
        <f>IF($C62="","",IFERROR(INDEX(프로젝트목록!$B$3:$B$62,MATCH($C62,프로젝트목록!$A$3:$A$62,0)),"미등록코드"))</f>
        <v/>
      </c>
      <c r="E62" s="32" t="n"/>
      <c r="F62" s="38" t="n"/>
      <c r="G62" s="38" t="n"/>
      <c r="H62" s="39" t="n"/>
      <c r="I62" s="40" t="str">
        <f>IF(OR($J62="",$K62=""),"",ROUND(MAX(0,($K62-$J62)-IF($H62="",0,$H62))/60,2))</f>
        <v/>
      </c>
      <c r="J62" s="41" t="str">
        <f>IF($F62="","",IF($F62&lt;1,ROUND($F62*1440,0),INT($F62/100)*60+MOD($F62,100)))</f>
        <v/>
      </c>
      <c r="K62" s="41" t="str">
        <f>IF($G62="","",IF($G62&lt;1,ROUND($G62*1440,0),INT($G62/100)*60+MOD($G62,100)))</f>
        <v/>
      </c>
    </row>
    <row r="63" ht="15" customHeight="1" s="26">
      <c r="A63" s="34" t="n"/>
      <c r="B63" s="32" t="n"/>
      <c r="C63" s="33" t="n"/>
      <c r="D63" s="37" t="str">
        <f>IF($C63="","",IFERROR(INDEX(프로젝트목록!$B$3:$B$62,MATCH($C63,프로젝트목록!$A$3:$A$62,0)),"미등록코드"))</f>
        <v/>
      </c>
      <c r="E63" s="32" t="n"/>
      <c r="F63" s="38" t="n"/>
      <c r="G63" s="38" t="n"/>
      <c r="H63" s="39" t="n"/>
      <c r="I63" s="40" t="str">
        <f>IF(OR($J63="",$K63=""),"",ROUND(MAX(0,($K63-$J63)-IF($H63="",0,$H63))/60,2))</f>
        <v/>
      </c>
      <c r="J63" s="41" t="str">
        <f>IF($F63="","",IF($F63&lt;1,ROUND($F63*1440,0),INT($F63/100)*60+MOD($F63,100)))</f>
        <v/>
      </c>
      <c r="K63" s="41" t="str">
        <f>IF($G63="","",IF($G63&lt;1,ROUND($G63*1440,0),INT($G63/100)*60+MOD($G63,100)))</f>
        <v/>
      </c>
    </row>
    <row r="64" ht="15" customHeight="1" s="26">
      <c r="A64" s="34" t="n"/>
      <c r="B64" s="32" t="n"/>
      <c r="C64" s="33" t="n"/>
      <c r="D64" s="37" t="str">
        <f>IF($C64="","",IFERROR(INDEX(프로젝트목록!$B$3:$B$62,MATCH($C64,프로젝트목록!$A$3:$A$62,0)),"미등록코드"))</f>
        <v/>
      </c>
      <c r="E64" s="32" t="n"/>
      <c r="F64" s="38" t="n"/>
      <c r="G64" s="38" t="n"/>
      <c r="H64" s="39" t="n"/>
      <c r="I64" s="40" t="str">
        <f>IF(OR($J64="",$K64=""),"",ROUND(MAX(0,($K64-$J64)-IF($H64="",0,$H64))/60,2))</f>
        <v/>
      </c>
      <c r="J64" s="41" t="str">
        <f>IF($F64="","",IF($F64&lt;1,ROUND($F64*1440,0),INT($F64/100)*60+MOD($F64,100)))</f>
        <v/>
      </c>
      <c r="K64" s="41" t="str">
        <f>IF($G64="","",IF($G64&lt;1,ROUND($G64*1440,0),INT($G64/100)*60+MOD($G64,100)))</f>
        <v/>
      </c>
    </row>
    <row r="65" ht="15" customHeight="1" s="26">
      <c r="A65" s="34" t="n"/>
      <c r="B65" s="32" t="n"/>
      <c r="C65" s="33" t="n"/>
      <c r="D65" s="37" t="str">
        <f>IF($C65="","",IFERROR(INDEX(프로젝트목록!$B$3:$B$62,MATCH($C65,프로젝트목록!$A$3:$A$62,0)),"미등록코드"))</f>
        <v/>
      </c>
      <c r="E65" s="32" t="n"/>
      <c r="F65" s="38" t="n"/>
      <c r="G65" s="38" t="n"/>
      <c r="H65" s="39" t="n"/>
      <c r="I65" s="40" t="str">
        <f>IF(OR($J65="",$K65=""),"",ROUND(MAX(0,($K65-$J65)-IF($H65="",0,$H65))/60,2))</f>
        <v/>
      </c>
      <c r="J65" s="41" t="str">
        <f>IF($F65="","",IF($F65&lt;1,ROUND($F65*1440,0),INT($F65/100)*60+MOD($F65,100)))</f>
        <v/>
      </c>
      <c r="K65" s="41" t="str">
        <f>IF($G65="","",IF($G65&lt;1,ROUND($G65*1440,0),INT($G65/100)*60+MOD($G65,100)))</f>
        <v/>
      </c>
    </row>
    <row r="66" ht="15" customHeight="1" s="26">
      <c r="A66" s="34" t="n"/>
      <c r="B66" s="32" t="n"/>
      <c r="C66" s="33" t="n"/>
      <c r="D66" s="37" t="str">
        <f>IF($C66="","",IFERROR(INDEX(프로젝트목록!$B$3:$B$62,MATCH($C66,프로젝트목록!$A$3:$A$62,0)),"미등록코드"))</f>
        <v/>
      </c>
      <c r="E66" s="32" t="n"/>
      <c r="F66" s="38" t="n"/>
      <c r="G66" s="38" t="n"/>
      <c r="H66" s="39" t="n"/>
      <c r="I66" s="40" t="str">
        <f>IF(OR($J66="",$K66=""),"",ROUND(MAX(0,($K66-$J66)-IF($H66="",0,$H66))/60,2))</f>
        <v/>
      </c>
      <c r="J66" s="41" t="str">
        <f>IF($F66="","",IF($F66&lt;1,ROUND($F66*1440,0),INT($F66/100)*60+MOD($F66,100)))</f>
        <v/>
      </c>
      <c r="K66" s="41" t="str">
        <f>IF($G66="","",IF($G66&lt;1,ROUND($G66*1440,0),INT($G66/100)*60+MOD($G66,100)))</f>
        <v/>
      </c>
    </row>
    <row r="67" ht="15" customHeight="1" s="26">
      <c r="A67" s="34" t="n"/>
      <c r="B67" s="32" t="n"/>
      <c r="C67" s="33" t="n"/>
      <c r="D67" s="37" t="str">
        <f>IF($C67="","",IFERROR(INDEX(프로젝트목록!$B$3:$B$62,MATCH($C67,프로젝트목록!$A$3:$A$62,0)),"미등록코드"))</f>
        <v/>
      </c>
      <c r="E67" s="32" t="n"/>
      <c r="F67" s="38" t="n"/>
      <c r="G67" s="38" t="n"/>
      <c r="H67" s="39" t="n"/>
      <c r="I67" s="40" t="str">
        <f>IF(OR($J67="",$K67=""),"",ROUND(MAX(0,($K67-$J67)-IF($H67="",0,$H67))/60,2))</f>
        <v/>
      </c>
      <c r="J67" s="41" t="str">
        <f>IF($F67="","",IF($F67&lt;1,ROUND($F67*1440,0),INT($F67/100)*60+MOD($F67,100)))</f>
        <v/>
      </c>
      <c r="K67" s="41" t="str">
        <f>IF($G67="","",IF($G67&lt;1,ROUND($G67*1440,0),INT($G67/100)*60+MOD($G67,100)))</f>
        <v/>
      </c>
    </row>
    <row r="68" ht="15" customHeight="1" s="26">
      <c r="A68" s="34" t="n"/>
      <c r="B68" s="32" t="n"/>
      <c r="C68" s="33" t="n"/>
      <c r="D68" s="37" t="str">
        <f>IF($C68="","",IFERROR(INDEX(프로젝트목록!$B$3:$B$62,MATCH($C68,프로젝트목록!$A$3:$A$62,0)),"미등록코드"))</f>
        <v/>
      </c>
      <c r="E68" s="32" t="n"/>
      <c r="F68" s="38" t="n"/>
      <c r="G68" s="38" t="n"/>
      <c r="H68" s="39" t="n"/>
      <c r="I68" s="40" t="str">
        <f>IF(OR($J68="",$K68=""),"",ROUND(MAX(0,($K68-$J68)-IF($H68="",0,$H68))/60,2))</f>
        <v/>
      </c>
      <c r="J68" s="41" t="str">
        <f>IF($F68="","",IF($F68&lt;1,ROUND($F68*1440,0),INT($F68/100)*60+MOD($F68,100)))</f>
        <v/>
      </c>
      <c r="K68" s="41" t="str">
        <f>IF($G68="","",IF($G68&lt;1,ROUND($G68*1440,0),INT($G68/100)*60+MOD($G68,100)))</f>
        <v/>
      </c>
    </row>
    <row r="69" ht="15" customHeight="1" s="26">
      <c r="A69" s="34" t="n"/>
      <c r="B69" s="32" t="n"/>
      <c r="C69" s="33" t="n"/>
      <c r="D69" s="37" t="str">
        <f>IF($C69="","",IFERROR(INDEX(프로젝트목록!$B$3:$B$62,MATCH($C69,프로젝트목록!$A$3:$A$62,0)),"미등록코드"))</f>
        <v/>
      </c>
      <c r="E69" s="32" t="n"/>
      <c r="F69" s="38" t="n"/>
      <c r="G69" s="38" t="n"/>
      <c r="H69" s="39" t="n"/>
      <c r="I69" s="40" t="str">
        <f>IF(OR($J69="",$K69=""),"",ROUND(MAX(0,($K69-$J69)-IF($H69="",0,$H69))/60,2))</f>
        <v/>
      </c>
      <c r="J69" s="41" t="str">
        <f>IF($F69="","",IF($F69&lt;1,ROUND($F69*1440,0),INT($F69/100)*60+MOD($F69,100)))</f>
        <v/>
      </c>
      <c r="K69" s="41" t="str">
        <f>IF($G69="","",IF($G69&lt;1,ROUND($G69*1440,0),INT($G69/100)*60+MOD($G69,100)))</f>
        <v/>
      </c>
    </row>
    <row r="70" ht="15" customHeight="1" s="26">
      <c r="A70" s="34" t="n"/>
      <c r="B70" s="32" t="n"/>
      <c r="C70" s="33" t="n"/>
      <c r="D70" s="37" t="str">
        <f>IF($C70="","",IFERROR(INDEX(프로젝트목록!$B$3:$B$62,MATCH($C70,프로젝트목록!$A$3:$A$62,0)),"미등록코드"))</f>
        <v/>
      </c>
      <c r="E70" s="32" t="n"/>
      <c r="F70" s="38" t="n"/>
      <c r="G70" s="38" t="n"/>
      <c r="H70" s="39" t="n"/>
      <c r="I70" s="40" t="str">
        <f>IF(OR($J70="",$K70=""),"",ROUND(MAX(0,($K70-$J70)-IF($H70="",0,$H70))/60,2))</f>
        <v/>
      </c>
      <c r="J70" s="41" t="str">
        <f>IF($F70="","",IF($F70&lt;1,ROUND($F70*1440,0),INT($F70/100)*60+MOD($F70,100)))</f>
        <v/>
      </c>
      <c r="K70" s="41" t="str">
        <f>IF($G70="","",IF($G70&lt;1,ROUND($G70*1440,0),INT($G70/100)*60+MOD($G70,100)))</f>
        <v/>
      </c>
    </row>
    <row r="71" ht="15" customHeight="1" s="26">
      <c r="A71" s="34" t="n"/>
      <c r="B71" s="32" t="n"/>
      <c r="C71" s="33" t="n"/>
      <c r="D71" s="37" t="str">
        <f>IF($C71="","",IFERROR(INDEX(프로젝트목록!$B$3:$B$62,MATCH($C71,프로젝트목록!$A$3:$A$62,0)),"미등록코드"))</f>
        <v/>
      </c>
      <c r="E71" s="32" t="n"/>
      <c r="F71" s="38" t="n"/>
      <c r="G71" s="38" t="n"/>
      <c r="H71" s="39" t="n"/>
      <c r="I71" s="40" t="str">
        <f>IF(OR($J71="",$K71=""),"",ROUND(MAX(0,($K71-$J71)-IF($H71="",0,$H71))/60,2))</f>
        <v/>
      </c>
      <c r="J71" s="41" t="str">
        <f>IF($F71="","",IF($F71&lt;1,ROUND($F71*1440,0),INT($F71/100)*60+MOD($F71,100)))</f>
        <v/>
      </c>
      <c r="K71" s="41" t="str">
        <f>IF($G71="","",IF($G71&lt;1,ROUND($G71*1440,0),INT($G71/100)*60+MOD($G71,100)))</f>
        <v/>
      </c>
    </row>
    <row r="72" ht="15" customHeight="1" s="26">
      <c r="A72" s="34" t="n"/>
      <c r="B72" s="32" t="n"/>
      <c r="C72" s="33" t="n"/>
      <c r="D72" s="37" t="str">
        <f>IF($C72="","",IFERROR(INDEX(프로젝트목록!$B$3:$B$62,MATCH($C72,프로젝트목록!$A$3:$A$62,0)),"미등록코드"))</f>
        <v/>
      </c>
      <c r="E72" s="32" t="n"/>
      <c r="F72" s="38" t="n"/>
      <c r="G72" s="38" t="n"/>
      <c r="H72" s="39" t="n"/>
      <c r="I72" s="40" t="str">
        <f>IF(OR($J72="",$K72=""),"",ROUND(MAX(0,($K72-$J72)-IF($H72="",0,$H72))/60,2))</f>
        <v/>
      </c>
      <c r="J72" s="41" t="str">
        <f>IF($F72="","",IF($F72&lt;1,ROUND($F72*1440,0),INT($F72/100)*60+MOD($F72,100)))</f>
        <v/>
      </c>
      <c r="K72" s="41" t="str">
        <f>IF($G72="","",IF($G72&lt;1,ROUND($G72*1440,0),INT($G72/100)*60+MOD($G72,100)))</f>
        <v/>
      </c>
    </row>
    <row r="73" ht="15" customHeight="1" s="26">
      <c r="A73" s="34" t="n"/>
      <c r="B73" s="32" t="n"/>
      <c r="C73" s="33" t="n"/>
      <c r="D73" s="37" t="str">
        <f>IF($C73="","",IFERROR(INDEX(프로젝트목록!$B$3:$B$62,MATCH($C73,프로젝트목록!$A$3:$A$62,0)),"미등록코드"))</f>
        <v/>
      </c>
      <c r="E73" s="32" t="n"/>
      <c r="F73" s="38" t="n"/>
      <c r="G73" s="38" t="n"/>
      <c r="H73" s="39" t="n"/>
      <c r="I73" s="40" t="str">
        <f>IF(OR($J73="",$K73=""),"",ROUND(MAX(0,($K73-$J73)-IF($H73="",0,$H73))/60,2))</f>
        <v/>
      </c>
      <c r="J73" s="41" t="str">
        <f>IF($F73="","",IF($F73&lt;1,ROUND($F73*1440,0),INT($F73/100)*60+MOD($F73,100)))</f>
        <v/>
      </c>
      <c r="K73" s="41" t="str">
        <f>IF($G73="","",IF($G73&lt;1,ROUND($G73*1440,0),INT($G73/100)*60+MOD($G73,100)))</f>
        <v/>
      </c>
    </row>
    <row r="74" ht="15" customHeight="1" s="26">
      <c r="A74" s="34" t="n"/>
      <c r="B74" s="32" t="n"/>
      <c r="C74" s="33" t="n"/>
      <c r="D74" s="37" t="str">
        <f>IF($C74="","",IFERROR(INDEX(프로젝트목록!$B$3:$B$62,MATCH($C74,프로젝트목록!$A$3:$A$62,0)),"미등록코드"))</f>
        <v/>
      </c>
      <c r="E74" s="32" t="n"/>
      <c r="F74" s="38" t="n"/>
      <c r="G74" s="38" t="n"/>
      <c r="H74" s="39" t="n"/>
      <c r="I74" s="40" t="str">
        <f>IF(OR($J74="",$K74=""),"",ROUND(MAX(0,($K74-$J74)-IF($H74="",0,$H74))/60,2))</f>
        <v/>
      </c>
      <c r="J74" s="41" t="str">
        <f>IF($F74="","",IF($F74&lt;1,ROUND($F74*1440,0),INT($F74/100)*60+MOD($F74,100)))</f>
        <v/>
      </c>
      <c r="K74" s="41" t="str">
        <f>IF($G74="","",IF($G74&lt;1,ROUND($G74*1440,0),INT($G74/100)*60+MOD($G74,100)))</f>
        <v/>
      </c>
    </row>
    <row r="75" ht="15" customHeight="1" s="26">
      <c r="A75" s="34" t="n"/>
      <c r="B75" s="32" t="n"/>
      <c r="C75" s="33" t="n"/>
      <c r="D75" s="37" t="str">
        <f>IF($C75="","",IFERROR(INDEX(프로젝트목록!$B$3:$B$62,MATCH($C75,프로젝트목록!$A$3:$A$62,0)),"미등록코드"))</f>
        <v/>
      </c>
      <c r="E75" s="32" t="n"/>
      <c r="F75" s="38" t="n"/>
      <c r="G75" s="38" t="n"/>
      <c r="H75" s="39" t="n"/>
      <c r="I75" s="40" t="str">
        <f>IF(OR($J75="",$K75=""),"",ROUND(MAX(0,($K75-$J75)-IF($H75="",0,$H75))/60,2))</f>
        <v/>
      </c>
      <c r="J75" s="41" t="str">
        <f>IF($F75="","",IF($F75&lt;1,ROUND($F75*1440,0),INT($F75/100)*60+MOD($F75,100)))</f>
        <v/>
      </c>
      <c r="K75" s="41" t="str">
        <f>IF($G75="","",IF($G75&lt;1,ROUND($G75*1440,0),INT($G75/100)*60+MOD($G75,100)))</f>
        <v/>
      </c>
    </row>
    <row r="76" ht="15" customHeight="1" s="26">
      <c r="A76" s="34" t="n"/>
      <c r="B76" s="32" t="n"/>
      <c r="C76" s="33" t="n"/>
      <c r="D76" s="37" t="str">
        <f>IF($C76="","",IFERROR(INDEX(프로젝트목록!$B$3:$B$62,MATCH($C76,프로젝트목록!$A$3:$A$62,0)),"미등록코드"))</f>
        <v/>
      </c>
      <c r="E76" s="32" t="n"/>
      <c r="F76" s="38" t="n"/>
      <c r="G76" s="38" t="n"/>
      <c r="H76" s="39" t="n"/>
      <c r="I76" s="40" t="str">
        <f>IF(OR($J76="",$K76=""),"",ROUND(MAX(0,($K76-$J76)-IF($H76="",0,$H76))/60,2))</f>
        <v/>
      </c>
      <c r="J76" s="41" t="str">
        <f>IF($F76="","",IF($F76&lt;1,ROUND($F76*1440,0),INT($F76/100)*60+MOD($F76,100)))</f>
        <v/>
      </c>
      <c r="K76" s="41" t="str">
        <f>IF($G76="","",IF($G76&lt;1,ROUND($G76*1440,0),INT($G76/100)*60+MOD($G76,100)))</f>
        <v/>
      </c>
    </row>
    <row r="77" ht="15" customHeight="1" s="26">
      <c r="A77" s="34" t="n"/>
      <c r="B77" s="32" t="n"/>
      <c r="C77" s="33" t="n"/>
      <c r="D77" s="37" t="str">
        <f>IF($C77="","",IFERROR(INDEX(프로젝트목록!$B$3:$B$62,MATCH($C77,프로젝트목록!$A$3:$A$62,0)),"미등록코드"))</f>
        <v/>
      </c>
      <c r="E77" s="32" t="n"/>
      <c r="F77" s="38" t="n"/>
      <c r="G77" s="38" t="n"/>
      <c r="H77" s="39" t="n"/>
      <c r="I77" s="40" t="str">
        <f>IF(OR($J77="",$K77=""),"",ROUND(MAX(0,($K77-$J77)-IF($H77="",0,$H77))/60,2))</f>
        <v/>
      </c>
      <c r="J77" s="41" t="str">
        <f>IF($F77="","",IF($F77&lt;1,ROUND($F77*1440,0),INT($F77/100)*60+MOD($F77,100)))</f>
        <v/>
      </c>
      <c r="K77" s="41" t="str">
        <f>IF($G77="","",IF($G77&lt;1,ROUND($G77*1440,0),INT($G77/100)*60+MOD($G77,100)))</f>
        <v/>
      </c>
    </row>
    <row r="78" ht="15" customHeight="1" s="26">
      <c r="A78" s="34" t="n"/>
      <c r="B78" s="32" t="n"/>
      <c r="C78" s="33" t="n"/>
      <c r="D78" s="37" t="str">
        <f>IF($C78="","",IFERROR(INDEX(프로젝트목록!$B$3:$B$62,MATCH($C78,프로젝트목록!$A$3:$A$62,0)),"미등록코드"))</f>
        <v/>
      </c>
      <c r="E78" s="32" t="n"/>
      <c r="F78" s="38" t="n"/>
      <c r="G78" s="38" t="n"/>
      <c r="H78" s="39" t="n"/>
      <c r="I78" s="40" t="str">
        <f>IF(OR($J78="",$K78=""),"",ROUND(MAX(0,($K78-$J78)-IF($H78="",0,$H78))/60,2))</f>
        <v/>
      </c>
      <c r="J78" s="41" t="str">
        <f>IF($F78="","",IF($F78&lt;1,ROUND($F78*1440,0),INT($F78/100)*60+MOD($F78,100)))</f>
        <v/>
      </c>
      <c r="K78" s="41" t="str">
        <f>IF($G78="","",IF($G78&lt;1,ROUND($G78*1440,0),INT($G78/100)*60+MOD($G78,100)))</f>
        <v/>
      </c>
    </row>
    <row r="79" ht="15" customHeight="1" s="26">
      <c r="A79" s="34" t="n"/>
      <c r="B79" s="32" t="n"/>
      <c r="C79" s="33" t="n"/>
      <c r="D79" s="37" t="str">
        <f>IF($C79="","",IFERROR(INDEX(프로젝트목록!$B$3:$B$62,MATCH($C79,프로젝트목록!$A$3:$A$62,0)),"미등록코드"))</f>
        <v/>
      </c>
      <c r="E79" s="32" t="n"/>
      <c r="F79" s="38" t="n"/>
      <c r="G79" s="38" t="n"/>
      <c r="H79" s="39" t="n"/>
      <c r="I79" s="40" t="str">
        <f>IF(OR($J79="",$K79=""),"",ROUND(MAX(0,($K79-$J79)-IF($H79="",0,$H79))/60,2))</f>
        <v/>
      </c>
      <c r="J79" s="41" t="str">
        <f>IF($F79="","",IF($F79&lt;1,ROUND($F79*1440,0),INT($F79/100)*60+MOD($F79,100)))</f>
        <v/>
      </c>
      <c r="K79" s="41" t="str">
        <f>IF($G79="","",IF($G79&lt;1,ROUND($G79*1440,0),INT($G79/100)*60+MOD($G79,100)))</f>
        <v/>
      </c>
    </row>
    <row r="80" ht="15" customHeight="1" s="26">
      <c r="A80" s="34" t="n"/>
      <c r="B80" s="32" t="n"/>
      <c r="C80" s="33" t="n"/>
      <c r="D80" s="37" t="str">
        <f>IF($C80="","",IFERROR(INDEX(프로젝트목록!$B$3:$B$62,MATCH($C80,프로젝트목록!$A$3:$A$62,0)),"미등록코드"))</f>
        <v/>
      </c>
      <c r="E80" s="32" t="n"/>
      <c r="F80" s="38" t="n"/>
      <c r="G80" s="38" t="n"/>
      <c r="H80" s="39" t="n"/>
      <c r="I80" s="40" t="str">
        <f>IF(OR($J80="",$K80=""),"",ROUND(MAX(0,($K80-$J80)-IF($H80="",0,$H80))/60,2))</f>
        <v/>
      </c>
      <c r="J80" s="41" t="str">
        <f>IF($F80="","",IF($F80&lt;1,ROUND($F80*1440,0),INT($F80/100)*60+MOD($F80,100)))</f>
        <v/>
      </c>
      <c r="K80" s="41" t="str">
        <f>IF($G80="","",IF($G80&lt;1,ROUND($G80*1440,0),INT($G80/100)*60+MOD($G80,100)))</f>
        <v/>
      </c>
    </row>
    <row r="81" ht="15" customHeight="1" s="26">
      <c r="A81" s="34" t="n"/>
      <c r="B81" s="32" t="n"/>
      <c r="C81" s="33" t="n"/>
      <c r="D81" s="37" t="str">
        <f>IF($C81="","",IFERROR(INDEX(프로젝트목록!$B$3:$B$62,MATCH($C81,프로젝트목록!$A$3:$A$62,0)),"미등록코드"))</f>
        <v/>
      </c>
      <c r="E81" s="32" t="n"/>
      <c r="F81" s="38" t="n"/>
      <c r="G81" s="38" t="n"/>
      <c r="H81" s="39" t="n"/>
      <c r="I81" s="40" t="str">
        <f>IF(OR($J81="",$K81=""),"",ROUND(MAX(0,($K81-$J81)-IF($H81="",0,$H81))/60,2))</f>
        <v/>
      </c>
      <c r="J81" s="41" t="str">
        <f>IF($F81="","",IF($F81&lt;1,ROUND($F81*1440,0),INT($F81/100)*60+MOD($F81,100)))</f>
        <v/>
      </c>
      <c r="K81" s="41" t="str">
        <f>IF($G81="","",IF($G81&lt;1,ROUND($G81*1440,0),INT($G81/100)*60+MOD($G81,100)))</f>
        <v/>
      </c>
    </row>
    <row r="82" ht="15" customHeight="1" s="26">
      <c r="A82" s="34" t="n"/>
      <c r="B82" s="32" t="n"/>
      <c r="C82" s="33" t="n"/>
      <c r="D82" s="37" t="str">
        <f>IF($C82="","",IFERROR(INDEX(프로젝트목록!$B$3:$B$62,MATCH($C82,프로젝트목록!$A$3:$A$62,0)),"미등록코드"))</f>
        <v/>
      </c>
      <c r="E82" s="32" t="n"/>
      <c r="F82" s="38" t="n"/>
      <c r="G82" s="38" t="n"/>
      <c r="H82" s="39" t="n"/>
      <c r="I82" s="40" t="str">
        <f>IF(OR($J82="",$K82=""),"",ROUND(MAX(0,($K82-$J82)-IF($H82="",0,$H82))/60,2))</f>
        <v/>
      </c>
      <c r="J82" s="41" t="str">
        <f>IF($F82="","",IF($F82&lt;1,ROUND($F82*1440,0),INT($F82/100)*60+MOD($F82,100)))</f>
        <v/>
      </c>
      <c r="K82" s="41" t="str">
        <f>IF($G82="","",IF($G82&lt;1,ROUND($G82*1440,0),INT($G82/100)*60+MOD($G82,100)))</f>
        <v/>
      </c>
    </row>
    <row r="83" ht="15" customHeight="1" s="26">
      <c r="A83" s="34" t="n"/>
      <c r="B83" s="32" t="n"/>
      <c r="C83" s="33" t="n"/>
      <c r="D83" s="37" t="str">
        <f>IF($C83="","",IFERROR(INDEX(프로젝트목록!$B$3:$B$62,MATCH($C83,프로젝트목록!$A$3:$A$62,0)),"미등록코드"))</f>
        <v/>
      </c>
      <c r="E83" s="32" t="n"/>
      <c r="F83" s="38" t="n"/>
      <c r="G83" s="38" t="n"/>
      <c r="H83" s="39" t="n"/>
      <c r="I83" s="40" t="str">
        <f>IF(OR($J83="",$K83=""),"",ROUND(MAX(0,($K83-$J83)-IF($H83="",0,$H83))/60,2))</f>
        <v/>
      </c>
      <c r="J83" s="41" t="str">
        <f>IF($F83="","",IF($F83&lt;1,ROUND($F83*1440,0),INT($F83/100)*60+MOD($F83,100)))</f>
        <v/>
      </c>
      <c r="K83" s="41" t="str">
        <f>IF($G83="","",IF($G83&lt;1,ROUND($G83*1440,0),INT($G83/100)*60+MOD($G83,100)))</f>
        <v/>
      </c>
    </row>
    <row r="84" ht="15" customHeight="1" s="26">
      <c r="A84" s="34" t="n"/>
      <c r="B84" s="32" t="n"/>
      <c r="C84" s="33" t="n"/>
      <c r="D84" s="37" t="str">
        <f>IF($C84="","",IFERROR(INDEX(프로젝트목록!$B$3:$B$62,MATCH($C84,프로젝트목록!$A$3:$A$62,0)),"미등록코드"))</f>
        <v/>
      </c>
      <c r="E84" s="32" t="n"/>
      <c r="F84" s="38" t="n"/>
      <c r="G84" s="38" t="n"/>
      <c r="H84" s="39" t="n"/>
      <c r="I84" s="40" t="str">
        <f>IF(OR($J84="",$K84=""),"",ROUND(MAX(0,($K84-$J84)-IF($H84="",0,$H84))/60,2))</f>
        <v/>
      </c>
      <c r="J84" s="41" t="str">
        <f>IF($F84="","",IF($F84&lt;1,ROUND($F84*1440,0),INT($F84/100)*60+MOD($F84,100)))</f>
        <v/>
      </c>
      <c r="K84" s="41" t="str">
        <f>IF($G84="","",IF($G84&lt;1,ROUND($G84*1440,0),INT($G84/100)*60+MOD($G84,100)))</f>
        <v/>
      </c>
    </row>
    <row r="85" ht="15" customHeight="1" s="26">
      <c r="A85" s="34" t="n"/>
      <c r="B85" s="32" t="n"/>
      <c r="C85" s="33" t="n"/>
      <c r="D85" s="37" t="str">
        <f>IF($C85="","",IFERROR(INDEX(프로젝트목록!$B$3:$B$62,MATCH($C85,프로젝트목록!$A$3:$A$62,0)),"미등록코드"))</f>
        <v/>
      </c>
      <c r="E85" s="32" t="n"/>
      <c r="F85" s="38" t="n"/>
      <c r="G85" s="38" t="n"/>
      <c r="H85" s="39" t="n"/>
      <c r="I85" s="40" t="str">
        <f>IF(OR($J85="",$K85=""),"",ROUND(MAX(0,($K85-$J85)-IF($H85="",0,$H85))/60,2))</f>
        <v/>
      </c>
      <c r="J85" s="41" t="str">
        <f>IF($F85="","",IF($F85&lt;1,ROUND($F85*1440,0),INT($F85/100)*60+MOD($F85,100)))</f>
        <v/>
      </c>
      <c r="K85" s="41" t="str">
        <f>IF($G85="","",IF($G85&lt;1,ROUND($G85*1440,0),INT($G85/100)*60+MOD($G85,100)))</f>
        <v/>
      </c>
    </row>
    <row r="86" ht="15" customHeight="1" s="26">
      <c r="A86" s="34" t="n"/>
      <c r="B86" s="32" t="n"/>
      <c r="C86" s="33" t="n"/>
      <c r="D86" s="37" t="str">
        <f>IF($C86="","",IFERROR(INDEX(프로젝트목록!$B$3:$B$62,MATCH($C86,프로젝트목록!$A$3:$A$62,0)),"미등록코드"))</f>
        <v/>
      </c>
      <c r="E86" s="32" t="n"/>
      <c r="F86" s="38" t="n"/>
      <c r="G86" s="38" t="n"/>
      <c r="H86" s="39" t="n"/>
      <c r="I86" s="40" t="str">
        <f>IF(OR($J86="",$K86=""),"",ROUND(MAX(0,($K86-$J86)-IF($H86="",0,$H86))/60,2))</f>
        <v/>
      </c>
      <c r="J86" s="41" t="str">
        <f>IF($F86="","",IF($F86&lt;1,ROUND($F86*1440,0),INT($F86/100)*60+MOD($F86,100)))</f>
        <v/>
      </c>
      <c r="K86" s="41" t="str">
        <f>IF($G86="","",IF($G86&lt;1,ROUND($G86*1440,0),INT($G86/100)*60+MOD($G86,100)))</f>
        <v/>
      </c>
    </row>
    <row r="87" ht="15" customHeight="1" s="26">
      <c r="A87" s="34" t="n"/>
      <c r="B87" s="32" t="n"/>
      <c r="C87" s="33" t="n"/>
      <c r="D87" s="37" t="str">
        <f>IF($C87="","",IFERROR(INDEX(프로젝트목록!$B$3:$B$62,MATCH($C87,프로젝트목록!$A$3:$A$62,0)),"미등록코드"))</f>
        <v/>
      </c>
      <c r="E87" s="32" t="n"/>
      <c r="F87" s="38" t="n"/>
      <c r="G87" s="38" t="n"/>
      <c r="H87" s="39" t="n"/>
      <c r="I87" s="40" t="str">
        <f>IF(OR($J87="",$K87=""),"",ROUND(MAX(0,($K87-$J87)-IF($H87="",0,$H87))/60,2))</f>
        <v/>
      </c>
      <c r="J87" s="41" t="str">
        <f>IF($F87="","",IF($F87&lt;1,ROUND($F87*1440,0),INT($F87/100)*60+MOD($F87,100)))</f>
        <v/>
      </c>
      <c r="K87" s="41" t="str">
        <f>IF($G87="","",IF($G87&lt;1,ROUND($G87*1440,0),INT($G87/100)*60+MOD($G87,100)))</f>
        <v/>
      </c>
    </row>
    <row r="88" ht="15" customHeight="1" s="26">
      <c r="A88" s="34" t="n"/>
      <c r="B88" s="32" t="n"/>
      <c r="C88" s="33" t="n"/>
      <c r="D88" s="37" t="str">
        <f>IF($C88="","",IFERROR(INDEX(프로젝트목록!$B$3:$B$62,MATCH($C88,프로젝트목록!$A$3:$A$62,0)),"미등록코드"))</f>
        <v/>
      </c>
      <c r="E88" s="32" t="n"/>
      <c r="F88" s="38" t="n"/>
      <c r="G88" s="38" t="n"/>
      <c r="H88" s="39" t="n"/>
      <c r="I88" s="40" t="str">
        <f>IF(OR($J88="",$K88=""),"",ROUND(MAX(0,($K88-$J88)-IF($H88="",0,$H88))/60,2))</f>
        <v/>
      </c>
      <c r="J88" s="41" t="str">
        <f>IF($F88="","",IF($F88&lt;1,ROUND($F88*1440,0),INT($F88/100)*60+MOD($F88,100)))</f>
        <v/>
      </c>
      <c r="K88" s="41" t="str">
        <f>IF($G88="","",IF($G88&lt;1,ROUND($G88*1440,0),INT($G88/100)*60+MOD($G88,100)))</f>
        <v/>
      </c>
    </row>
    <row r="89" ht="15" customHeight="1" s="26">
      <c r="A89" s="34" t="n"/>
      <c r="B89" s="32" t="n"/>
      <c r="C89" s="33" t="n"/>
      <c r="D89" s="37" t="str">
        <f>IF($C89="","",IFERROR(INDEX(프로젝트목록!$B$3:$B$62,MATCH($C89,프로젝트목록!$A$3:$A$62,0)),"미등록코드"))</f>
        <v/>
      </c>
      <c r="E89" s="32" t="n"/>
      <c r="F89" s="38" t="n"/>
      <c r="G89" s="38" t="n"/>
      <c r="H89" s="39" t="n"/>
      <c r="I89" s="40" t="str">
        <f>IF(OR($J89="",$K89=""),"",ROUND(MAX(0,($K89-$J89)-IF($H89="",0,$H89))/60,2))</f>
        <v/>
      </c>
      <c r="J89" s="41" t="str">
        <f>IF($F89="","",IF($F89&lt;1,ROUND($F89*1440,0),INT($F89/100)*60+MOD($F89,100)))</f>
        <v/>
      </c>
      <c r="K89" s="41" t="str">
        <f>IF($G89="","",IF($G89&lt;1,ROUND($G89*1440,0),INT($G89/100)*60+MOD($G89,100)))</f>
        <v/>
      </c>
    </row>
    <row r="90" ht="15" customHeight="1" s="26">
      <c r="A90" s="34" t="n"/>
      <c r="B90" s="32" t="n"/>
      <c r="C90" s="33" t="n"/>
      <c r="D90" s="37" t="str">
        <f>IF($C90="","",IFERROR(INDEX(프로젝트목록!$B$3:$B$62,MATCH($C90,프로젝트목록!$A$3:$A$62,0)),"미등록코드"))</f>
        <v/>
      </c>
      <c r="E90" s="32" t="n"/>
      <c r="F90" s="38" t="n"/>
      <c r="G90" s="38" t="n"/>
      <c r="H90" s="39" t="n"/>
      <c r="I90" s="40" t="str">
        <f>IF(OR($J90="",$K90=""),"",ROUND(MAX(0,($K90-$J90)-IF($H90="",0,$H90))/60,2))</f>
        <v/>
      </c>
      <c r="J90" s="41" t="str">
        <f>IF($F90="","",IF($F90&lt;1,ROUND($F90*1440,0),INT($F90/100)*60+MOD($F90,100)))</f>
        <v/>
      </c>
      <c r="K90" s="41" t="str">
        <f>IF($G90="","",IF($G90&lt;1,ROUND($G90*1440,0),INT($G90/100)*60+MOD($G90,100)))</f>
        <v/>
      </c>
    </row>
    <row r="91" ht="15" customHeight="1" s="26">
      <c r="A91" s="34" t="n"/>
      <c r="B91" s="32" t="n"/>
      <c r="C91" s="33" t="n"/>
      <c r="D91" s="37" t="str">
        <f>IF($C91="","",IFERROR(INDEX(프로젝트목록!$B$3:$B$62,MATCH($C91,프로젝트목록!$A$3:$A$62,0)),"미등록코드"))</f>
        <v/>
      </c>
      <c r="E91" s="32" t="n"/>
      <c r="F91" s="38" t="n"/>
      <c r="G91" s="38" t="n"/>
      <c r="H91" s="39" t="n"/>
      <c r="I91" s="40" t="str">
        <f>IF(OR($J91="",$K91=""),"",ROUND(MAX(0,($K91-$J91)-IF($H91="",0,$H91))/60,2))</f>
        <v/>
      </c>
      <c r="J91" s="41" t="str">
        <f>IF($F91="","",IF($F91&lt;1,ROUND($F91*1440,0),INT($F91/100)*60+MOD($F91,100)))</f>
        <v/>
      </c>
      <c r="K91" s="41" t="str">
        <f>IF($G91="","",IF($G91&lt;1,ROUND($G91*1440,0),INT($G91/100)*60+MOD($G91,100)))</f>
        <v/>
      </c>
    </row>
    <row r="92" ht="15" customHeight="1" s="26">
      <c r="A92" s="34" t="n"/>
      <c r="B92" s="32" t="n"/>
      <c r="C92" s="33" t="n"/>
      <c r="D92" s="37" t="str">
        <f>IF($C92="","",IFERROR(INDEX(프로젝트목록!$B$3:$B$62,MATCH($C92,프로젝트목록!$A$3:$A$62,0)),"미등록코드"))</f>
        <v/>
      </c>
      <c r="E92" s="32" t="n"/>
      <c r="F92" s="38" t="n"/>
      <c r="G92" s="38" t="n"/>
      <c r="H92" s="39" t="n"/>
      <c r="I92" s="40" t="str">
        <f>IF(OR($J92="",$K92=""),"",ROUND(MAX(0,($K92-$J92)-IF($H92="",0,$H92))/60,2))</f>
        <v/>
      </c>
      <c r="J92" s="41" t="str">
        <f>IF($F92="","",IF($F92&lt;1,ROUND($F92*1440,0),INT($F92/100)*60+MOD($F92,100)))</f>
        <v/>
      </c>
      <c r="K92" s="41" t="str">
        <f>IF($G92="","",IF($G92&lt;1,ROUND($G92*1440,0),INT($G92/100)*60+MOD($G92,100)))</f>
        <v/>
      </c>
    </row>
    <row r="93" ht="15" customHeight="1" s="26">
      <c r="A93" s="34" t="n"/>
      <c r="B93" s="32" t="n"/>
      <c r="C93" s="33" t="n"/>
      <c r="D93" s="37" t="str">
        <f>IF($C93="","",IFERROR(INDEX(프로젝트목록!$B$3:$B$62,MATCH($C93,프로젝트목록!$A$3:$A$62,0)),"미등록코드"))</f>
        <v/>
      </c>
      <c r="E93" s="32" t="n"/>
      <c r="F93" s="38" t="n"/>
      <c r="G93" s="38" t="n"/>
      <c r="H93" s="39" t="n"/>
      <c r="I93" s="40" t="str">
        <f>IF(OR($J93="",$K93=""),"",ROUND(MAX(0,($K93-$J93)-IF($H93="",0,$H93))/60,2))</f>
        <v/>
      </c>
      <c r="J93" s="41" t="str">
        <f>IF($F93="","",IF($F93&lt;1,ROUND($F93*1440,0),INT($F93/100)*60+MOD($F93,100)))</f>
        <v/>
      </c>
      <c r="K93" s="41" t="str">
        <f>IF($G93="","",IF($G93&lt;1,ROUND($G93*1440,0),INT($G93/100)*60+MOD($G93,100)))</f>
        <v/>
      </c>
    </row>
    <row r="94" ht="15" customHeight="1" s="26">
      <c r="A94" s="34" t="n"/>
      <c r="B94" s="32" t="n"/>
      <c r="C94" s="33" t="n"/>
      <c r="D94" s="37" t="str">
        <f>IF($C94="","",IFERROR(INDEX(프로젝트목록!$B$3:$B$62,MATCH($C94,프로젝트목록!$A$3:$A$62,0)),"미등록코드"))</f>
        <v/>
      </c>
      <c r="E94" s="32" t="n"/>
      <c r="F94" s="38" t="n"/>
      <c r="G94" s="38" t="n"/>
      <c r="H94" s="39" t="n"/>
      <c r="I94" s="40" t="str">
        <f>IF(OR($J94="",$K94=""),"",ROUND(MAX(0,($K94-$J94)-IF($H94="",0,$H94))/60,2))</f>
        <v/>
      </c>
      <c r="J94" s="41" t="str">
        <f>IF($F94="","",IF($F94&lt;1,ROUND($F94*1440,0),INT($F94/100)*60+MOD($F94,100)))</f>
        <v/>
      </c>
      <c r="K94" s="41" t="str">
        <f>IF($G94="","",IF($G94&lt;1,ROUND($G94*1440,0),INT($G94/100)*60+MOD($G94,100)))</f>
        <v/>
      </c>
    </row>
    <row r="95" ht="15" customHeight="1" s="26">
      <c r="A95" s="34" t="n"/>
      <c r="B95" s="32" t="n"/>
      <c r="C95" s="33" t="n"/>
      <c r="D95" s="37" t="str">
        <f>IF($C95="","",IFERROR(INDEX(프로젝트목록!$B$3:$B$62,MATCH($C95,프로젝트목록!$A$3:$A$62,0)),"미등록코드"))</f>
        <v/>
      </c>
      <c r="E95" s="32" t="n"/>
      <c r="F95" s="38" t="n"/>
      <c r="G95" s="38" t="n"/>
      <c r="H95" s="39" t="n"/>
      <c r="I95" s="40" t="str">
        <f>IF(OR($J95="",$K95=""),"",ROUND(MAX(0,($K95-$J95)-IF($H95="",0,$H95))/60,2))</f>
        <v/>
      </c>
      <c r="J95" s="41" t="str">
        <f>IF($F95="","",IF($F95&lt;1,ROUND($F95*1440,0),INT($F95/100)*60+MOD($F95,100)))</f>
        <v/>
      </c>
      <c r="K95" s="41" t="str">
        <f>IF($G95="","",IF($G95&lt;1,ROUND($G95*1440,0),INT($G95/100)*60+MOD($G95,100)))</f>
        <v/>
      </c>
    </row>
    <row r="96" ht="15" customHeight="1" s="26">
      <c r="A96" s="34" t="n"/>
      <c r="B96" s="32" t="n"/>
      <c r="C96" s="33" t="n"/>
      <c r="D96" s="37" t="str">
        <f>IF($C96="","",IFERROR(INDEX(프로젝트목록!$B$3:$B$62,MATCH($C96,프로젝트목록!$A$3:$A$62,0)),"미등록코드"))</f>
        <v/>
      </c>
      <c r="E96" s="32" t="n"/>
      <c r="F96" s="38" t="n"/>
      <c r="G96" s="38" t="n"/>
      <c r="H96" s="39" t="n"/>
      <c r="I96" s="40" t="str">
        <f>IF(OR($J96="",$K96=""),"",ROUND(MAX(0,($K96-$J96)-IF($H96="",0,$H96))/60,2))</f>
        <v/>
      </c>
      <c r="J96" s="41" t="str">
        <f>IF($F96="","",IF($F96&lt;1,ROUND($F96*1440,0),INT($F96/100)*60+MOD($F96,100)))</f>
        <v/>
      </c>
      <c r="K96" s="41" t="str">
        <f>IF($G96="","",IF($G96&lt;1,ROUND($G96*1440,0),INT($G96/100)*60+MOD($G96,100)))</f>
        <v/>
      </c>
    </row>
    <row r="97" ht="15" customHeight="1" s="26">
      <c r="A97" s="34" t="n"/>
      <c r="B97" s="32" t="n"/>
      <c r="C97" s="33" t="n"/>
      <c r="D97" s="37" t="str">
        <f>IF($C97="","",IFERROR(INDEX(프로젝트목록!$B$3:$B$62,MATCH($C97,프로젝트목록!$A$3:$A$62,0)),"미등록코드"))</f>
        <v/>
      </c>
      <c r="E97" s="32" t="n"/>
      <c r="F97" s="38" t="n"/>
      <c r="G97" s="38" t="n"/>
      <c r="H97" s="39" t="n"/>
      <c r="I97" s="40" t="str">
        <f>IF(OR($J97="",$K97=""),"",ROUND(MAX(0,($K97-$J97)-IF($H97="",0,$H97))/60,2))</f>
        <v/>
      </c>
      <c r="J97" s="41" t="str">
        <f>IF($F97="","",IF($F97&lt;1,ROUND($F97*1440,0),INT($F97/100)*60+MOD($F97,100)))</f>
        <v/>
      </c>
      <c r="K97" s="41" t="str">
        <f>IF($G97="","",IF($G97&lt;1,ROUND($G97*1440,0),INT($G97/100)*60+MOD($G97,100)))</f>
        <v/>
      </c>
    </row>
    <row r="98" ht="15" customHeight="1" s="26">
      <c r="A98" s="34" t="n"/>
      <c r="B98" s="32" t="n"/>
      <c r="C98" s="33" t="n"/>
      <c r="D98" s="37" t="str">
        <f>IF($C98="","",IFERROR(INDEX(프로젝트목록!$B$3:$B$62,MATCH($C98,프로젝트목록!$A$3:$A$62,0)),"미등록코드"))</f>
        <v/>
      </c>
      <c r="E98" s="32" t="n"/>
      <c r="F98" s="38" t="n"/>
      <c r="G98" s="38" t="n"/>
      <c r="H98" s="39" t="n"/>
      <c r="I98" s="40" t="str">
        <f>IF(OR($J98="",$K98=""),"",ROUND(MAX(0,($K98-$J98)-IF($H98="",0,$H98))/60,2))</f>
        <v/>
      </c>
      <c r="J98" s="41" t="str">
        <f>IF($F98="","",IF($F98&lt;1,ROUND($F98*1440,0),INT($F98/100)*60+MOD($F98,100)))</f>
        <v/>
      </c>
      <c r="K98" s="41" t="str">
        <f>IF($G98="","",IF($G98&lt;1,ROUND($G98*1440,0),INT($G98/100)*60+MOD($G98,100)))</f>
        <v/>
      </c>
    </row>
    <row r="99" ht="15" customHeight="1" s="26">
      <c r="A99" s="34" t="n"/>
      <c r="B99" s="32" t="n"/>
      <c r="C99" s="33" t="n"/>
      <c r="D99" s="37" t="str">
        <f>IF($C99="","",IFERROR(INDEX(프로젝트목록!$B$3:$B$62,MATCH($C99,프로젝트목록!$A$3:$A$62,0)),"미등록코드"))</f>
        <v/>
      </c>
      <c r="E99" s="32" t="n"/>
      <c r="F99" s="38" t="n"/>
      <c r="G99" s="38" t="n"/>
      <c r="H99" s="39" t="n"/>
      <c r="I99" s="40" t="str">
        <f>IF(OR($J99="",$K99=""),"",ROUND(MAX(0,($K99-$J99)-IF($H99="",0,$H99))/60,2))</f>
        <v/>
      </c>
      <c r="J99" s="41" t="str">
        <f>IF($F99="","",IF($F99&lt;1,ROUND($F99*1440,0),INT($F99/100)*60+MOD($F99,100)))</f>
        <v/>
      </c>
      <c r="K99" s="41" t="str">
        <f>IF($G99="","",IF($G99&lt;1,ROUND($G99*1440,0),INT($G99/100)*60+MOD($G99,100)))</f>
        <v/>
      </c>
    </row>
    <row r="100" ht="15" customHeight="1" s="26">
      <c r="A100" s="34" t="n"/>
      <c r="B100" s="32" t="n"/>
      <c r="C100" s="33" t="n"/>
      <c r="D100" s="37" t="str">
        <f>IF($C100="","",IFERROR(INDEX(프로젝트목록!$B$3:$B$62,MATCH($C100,프로젝트목록!$A$3:$A$62,0)),"미등록코드"))</f>
        <v/>
      </c>
      <c r="E100" s="32" t="n"/>
      <c r="F100" s="38" t="n"/>
      <c r="G100" s="38" t="n"/>
      <c r="H100" s="39" t="n"/>
      <c r="I100" s="40" t="str">
        <f>IF(OR($J100="",$K100=""),"",ROUND(MAX(0,($K100-$J100)-IF($H100="",0,$H100))/60,2))</f>
        <v/>
      </c>
      <c r="J100" s="41" t="str">
        <f>IF($F100="","",IF($F100&lt;1,ROUND($F100*1440,0),INT($F100/100)*60+MOD($F100,100)))</f>
        <v/>
      </c>
      <c r="K100" s="41" t="str">
        <f>IF($G100="","",IF($G100&lt;1,ROUND($G100*1440,0),INT($G100/100)*60+MOD($G100,100)))</f>
        <v/>
      </c>
    </row>
    <row r="101" ht="15" customHeight="1" s="26">
      <c r="A101" s="34" t="n"/>
      <c r="B101" s="32" t="n"/>
      <c r="C101" s="33" t="n"/>
      <c r="D101" s="37" t="str">
        <f>IF($C101="","",IFERROR(INDEX(프로젝트목록!$B$3:$B$62,MATCH($C101,프로젝트목록!$A$3:$A$62,0)),"미등록코드"))</f>
        <v/>
      </c>
      <c r="E101" s="32" t="n"/>
      <c r="F101" s="38" t="n"/>
      <c r="G101" s="38" t="n"/>
      <c r="H101" s="39" t="n"/>
      <c r="I101" s="40" t="str">
        <f>IF(OR($J101="",$K101=""),"",ROUND(MAX(0,($K101-$J101)-IF($H101="",0,$H101))/60,2))</f>
        <v/>
      </c>
      <c r="J101" s="41" t="str">
        <f>IF($F101="","",IF($F101&lt;1,ROUND($F101*1440,0),INT($F101/100)*60+MOD($F101,100)))</f>
        <v/>
      </c>
      <c r="K101" s="41" t="str">
        <f>IF($G101="","",IF($G101&lt;1,ROUND($G101*1440,0),INT($G101/100)*60+MOD($G101,100)))</f>
        <v/>
      </c>
    </row>
    <row r="102" ht="15" customHeight="1" s="26">
      <c r="A102" s="34" t="n"/>
      <c r="B102" s="32" t="n"/>
      <c r="C102" s="33" t="n"/>
      <c r="D102" s="37" t="str">
        <f>IF($C102="","",IFERROR(INDEX(프로젝트목록!$B$3:$B$62,MATCH($C102,프로젝트목록!$A$3:$A$62,0)),"미등록코드"))</f>
        <v/>
      </c>
      <c r="E102" s="32" t="n"/>
      <c r="F102" s="38" t="n"/>
      <c r="G102" s="38" t="n"/>
      <c r="H102" s="39" t="n"/>
      <c r="I102" s="40" t="str">
        <f>IF(OR($J102="",$K102=""),"",ROUND(MAX(0,($K102-$J102)-IF($H102="",0,$H102))/60,2))</f>
        <v/>
      </c>
      <c r="J102" s="41" t="str">
        <f>IF($F102="","",IF($F102&lt;1,ROUND($F102*1440,0),INT($F102/100)*60+MOD($F102,100)))</f>
        <v/>
      </c>
      <c r="K102" s="41" t="str">
        <f>IF($G102="","",IF($G102&lt;1,ROUND($G102*1440,0),INT($G102/100)*60+MOD($G102,100)))</f>
        <v/>
      </c>
    </row>
    <row r="103" ht="15" customHeight="1" s="26">
      <c r="A103" s="34" t="n"/>
      <c r="B103" s="32" t="n"/>
      <c r="C103" s="33" t="n"/>
      <c r="D103" s="37" t="str">
        <f>IF($C103="","",IFERROR(INDEX(프로젝트목록!$B$3:$B$62,MATCH($C103,프로젝트목록!$A$3:$A$62,0)),"미등록코드"))</f>
        <v/>
      </c>
      <c r="E103" s="32" t="n"/>
      <c r="F103" s="38" t="n"/>
      <c r="G103" s="38" t="n"/>
      <c r="H103" s="39" t="n"/>
      <c r="I103" s="40" t="str">
        <f>IF(OR($J103="",$K103=""),"",ROUND(MAX(0,($K103-$J103)-IF($H103="",0,$H103))/60,2))</f>
        <v/>
      </c>
      <c r="J103" s="41" t="str">
        <f>IF($F103="","",IF($F103&lt;1,ROUND($F103*1440,0),INT($F103/100)*60+MOD($F103,100)))</f>
        <v/>
      </c>
      <c r="K103" s="41" t="str">
        <f>IF($G103="","",IF($G103&lt;1,ROUND($G103*1440,0),INT($G103/100)*60+MOD($G103,100)))</f>
        <v/>
      </c>
    </row>
    <row r="104" ht="15" customHeight="1" s="26">
      <c r="A104" s="34" t="n"/>
      <c r="B104" s="32" t="n"/>
      <c r="C104" s="33" t="n"/>
      <c r="D104" s="37" t="str">
        <f>IF($C104="","",IFERROR(INDEX(프로젝트목록!$B$3:$B$62,MATCH($C104,프로젝트목록!$A$3:$A$62,0)),"미등록코드"))</f>
        <v/>
      </c>
      <c r="E104" s="32" t="n"/>
      <c r="F104" s="38" t="n"/>
      <c r="G104" s="38" t="n"/>
      <c r="H104" s="39" t="n"/>
      <c r="I104" s="40" t="str">
        <f>IF(OR($J104="",$K104=""),"",ROUND(MAX(0,($K104-$J104)-IF($H104="",0,$H104))/60,2))</f>
        <v/>
      </c>
      <c r="J104" s="41" t="str">
        <f>IF($F104="","",IF($F104&lt;1,ROUND($F104*1440,0),INT($F104/100)*60+MOD($F104,100)))</f>
        <v/>
      </c>
      <c r="K104" s="41" t="str">
        <f>IF($G104="","",IF($G104&lt;1,ROUND($G104*1440,0),INT($G104/100)*60+MOD($G104,100)))</f>
        <v/>
      </c>
    </row>
    <row r="105" ht="15" customHeight="1" s="26">
      <c r="A105" s="34" t="n"/>
      <c r="B105" s="32" t="n"/>
      <c r="C105" s="33" t="n"/>
      <c r="D105" s="37" t="str">
        <f>IF($C105="","",IFERROR(INDEX(프로젝트목록!$B$3:$B$62,MATCH($C105,프로젝트목록!$A$3:$A$62,0)),"미등록코드"))</f>
        <v/>
      </c>
      <c r="E105" s="32" t="n"/>
      <c r="F105" s="38" t="n"/>
      <c r="G105" s="38" t="n"/>
      <c r="H105" s="39" t="n"/>
      <c r="I105" s="40" t="str">
        <f>IF(OR($J105="",$K105=""),"",ROUND(MAX(0,($K105-$J105)-IF($H105="",0,$H105))/60,2))</f>
        <v/>
      </c>
      <c r="J105" s="41" t="str">
        <f>IF($F105="","",IF($F105&lt;1,ROUND($F105*1440,0),INT($F105/100)*60+MOD($F105,100)))</f>
        <v/>
      </c>
      <c r="K105" s="41" t="str">
        <f>IF($G105="","",IF($G105&lt;1,ROUND($G105*1440,0),INT($G105/100)*60+MOD($G105,100)))</f>
        <v/>
      </c>
    </row>
    <row r="106" ht="15" customHeight="1" s="26">
      <c r="A106" s="34" t="n"/>
      <c r="B106" s="32" t="n"/>
      <c r="C106" s="33" t="n"/>
      <c r="D106" s="37" t="str">
        <f>IF($C106="","",IFERROR(INDEX(프로젝트목록!$B$3:$B$62,MATCH($C106,프로젝트목록!$A$3:$A$62,0)),"미등록코드"))</f>
        <v/>
      </c>
      <c r="E106" s="32" t="n"/>
      <c r="F106" s="38" t="n"/>
      <c r="G106" s="38" t="n"/>
      <c r="H106" s="39" t="n"/>
      <c r="I106" s="40" t="str">
        <f>IF(OR($J106="",$K106=""),"",ROUND(MAX(0,($K106-$J106)-IF($H106="",0,$H106))/60,2))</f>
        <v/>
      </c>
      <c r="J106" s="41" t="str">
        <f>IF($F106="","",IF($F106&lt;1,ROUND($F106*1440,0),INT($F106/100)*60+MOD($F106,100)))</f>
        <v/>
      </c>
      <c r="K106" s="41" t="str">
        <f>IF($G106="","",IF($G106&lt;1,ROUND($G106*1440,0),INT($G106/100)*60+MOD($G106,100)))</f>
        <v/>
      </c>
    </row>
    <row r="107" ht="15" customHeight="1" s="26">
      <c r="A107" s="34" t="n"/>
      <c r="B107" s="32" t="n"/>
      <c r="C107" s="33" t="n"/>
      <c r="D107" s="37" t="str">
        <f>IF($C107="","",IFERROR(INDEX(프로젝트목록!$B$3:$B$62,MATCH($C107,프로젝트목록!$A$3:$A$62,0)),"미등록코드"))</f>
        <v/>
      </c>
      <c r="E107" s="32" t="n"/>
      <c r="F107" s="38" t="n"/>
      <c r="G107" s="38" t="n"/>
      <c r="H107" s="39" t="n"/>
      <c r="I107" s="40" t="str">
        <f>IF(OR($J107="",$K107=""),"",ROUND(MAX(0,($K107-$J107)-IF($H107="",0,$H107))/60,2))</f>
        <v/>
      </c>
      <c r="J107" s="41" t="str">
        <f>IF($F107="","",IF($F107&lt;1,ROUND($F107*1440,0),INT($F107/100)*60+MOD($F107,100)))</f>
        <v/>
      </c>
      <c r="K107" s="41" t="str">
        <f>IF($G107="","",IF($G107&lt;1,ROUND($G107*1440,0),INT($G107/100)*60+MOD($G107,100)))</f>
        <v/>
      </c>
    </row>
    <row r="108" ht="15" customHeight="1" s="26">
      <c r="A108" s="34" t="n"/>
      <c r="B108" s="32" t="n"/>
      <c r="C108" s="33" t="n"/>
      <c r="D108" s="37" t="str">
        <f>IF($C108="","",IFERROR(INDEX(프로젝트목록!$B$3:$B$62,MATCH($C108,프로젝트목록!$A$3:$A$62,0)),"미등록코드"))</f>
        <v/>
      </c>
      <c r="E108" s="32" t="n"/>
      <c r="F108" s="38" t="n"/>
      <c r="G108" s="38" t="n"/>
      <c r="H108" s="39" t="n"/>
      <c r="I108" s="40" t="str">
        <f>IF(OR($J108="",$K108=""),"",ROUND(MAX(0,($K108-$J108)-IF($H108="",0,$H108))/60,2))</f>
        <v/>
      </c>
      <c r="J108" s="41" t="str">
        <f>IF($F108="","",IF($F108&lt;1,ROUND($F108*1440,0),INT($F108/100)*60+MOD($F108,100)))</f>
        <v/>
      </c>
      <c r="K108" s="41" t="str">
        <f>IF($G108="","",IF($G108&lt;1,ROUND($G108*1440,0),INT($G108/100)*60+MOD($G108,100)))</f>
        <v/>
      </c>
    </row>
    <row r="109" ht="15" customHeight="1" s="26">
      <c r="A109" s="34" t="n"/>
      <c r="B109" s="32" t="n"/>
      <c r="C109" s="33" t="n"/>
      <c r="D109" s="37" t="str">
        <f>IF($C109="","",IFERROR(INDEX(프로젝트목록!$B$3:$B$62,MATCH($C109,프로젝트목록!$A$3:$A$62,0)),"미등록코드"))</f>
        <v/>
      </c>
      <c r="E109" s="32" t="n"/>
      <c r="F109" s="38" t="n"/>
      <c r="G109" s="38" t="n"/>
      <c r="H109" s="39" t="n"/>
      <c r="I109" s="40" t="str">
        <f>IF(OR($J109="",$K109=""),"",ROUND(MAX(0,($K109-$J109)-IF($H109="",0,$H109))/60,2))</f>
        <v/>
      </c>
      <c r="J109" s="41" t="str">
        <f>IF($F109="","",IF($F109&lt;1,ROUND($F109*1440,0),INT($F109/100)*60+MOD($F109,100)))</f>
        <v/>
      </c>
      <c r="K109" s="41" t="str">
        <f>IF($G109="","",IF($G109&lt;1,ROUND($G109*1440,0),INT($G109/100)*60+MOD($G109,100)))</f>
        <v/>
      </c>
    </row>
    <row r="110" ht="15" customHeight="1" s="26">
      <c r="A110" s="34" t="n"/>
      <c r="B110" s="32" t="n"/>
      <c r="C110" s="33" t="n"/>
      <c r="D110" s="37" t="str">
        <f>IF($C110="","",IFERROR(INDEX(프로젝트목록!$B$3:$B$62,MATCH($C110,프로젝트목록!$A$3:$A$62,0)),"미등록코드"))</f>
        <v/>
      </c>
      <c r="E110" s="32" t="n"/>
      <c r="F110" s="38" t="n"/>
      <c r="G110" s="38" t="n"/>
      <c r="H110" s="39" t="n"/>
      <c r="I110" s="40" t="str">
        <f>IF(OR($J110="",$K110=""),"",ROUND(MAX(0,($K110-$J110)-IF($H110="",0,$H110))/60,2))</f>
        <v/>
      </c>
      <c r="J110" s="41" t="str">
        <f>IF($F110="","",IF($F110&lt;1,ROUND($F110*1440,0),INT($F110/100)*60+MOD($F110,100)))</f>
        <v/>
      </c>
      <c r="K110" s="41" t="str">
        <f>IF($G110="","",IF($G110&lt;1,ROUND($G110*1440,0),INT($G110/100)*60+MOD($G110,100)))</f>
        <v/>
      </c>
    </row>
    <row r="111" ht="15" customHeight="1" s="26">
      <c r="A111" s="34" t="n"/>
      <c r="B111" s="32" t="n"/>
      <c r="C111" s="33" t="n"/>
      <c r="D111" s="37" t="str">
        <f>IF($C111="","",IFERROR(INDEX(프로젝트목록!$B$3:$B$62,MATCH($C111,프로젝트목록!$A$3:$A$62,0)),"미등록코드"))</f>
        <v/>
      </c>
      <c r="E111" s="32" t="n"/>
      <c r="F111" s="38" t="n"/>
      <c r="G111" s="38" t="n"/>
      <c r="H111" s="39" t="n"/>
      <c r="I111" s="40" t="str">
        <f>IF(OR($J111="",$K111=""),"",ROUND(MAX(0,($K111-$J111)-IF($H111="",0,$H111))/60,2))</f>
        <v/>
      </c>
      <c r="J111" s="41" t="str">
        <f>IF($F111="","",IF($F111&lt;1,ROUND($F111*1440,0),INT($F111/100)*60+MOD($F111,100)))</f>
        <v/>
      </c>
      <c r="K111" s="41" t="str">
        <f>IF($G111="","",IF($G111&lt;1,ROUND($G111*1440,0),INT($G111/100)*60+MOD($G111,100)))</f>
        <v/>
      </c>
    </row>
    <row r="112" ht="15" customHeight="1" s="26">
      <c r="A112" s="34" t="n"/>
      <c r="B112" s="32" t="n"/>
      <c r="C112" s="33" t="n"/>
      <c r="D112" s="37" t="str">
        <f>IF($C112="","",IFERROR(INDEX(프로젝트목록!$B$3:$B$62,MATCH($C112,프로젝트목록!$A$3:$A$62,0)),"미등록코드"))</f>
        <v/>
      </c>
      <c r="E112" s="32" t="n"/>
      <c r="F112" s="38" t="n"/>
      <c r="G112" s="38" t="n"/>
      <c r="H112" s="39" t="n"/>
      <c r="I112" s="40" t="str">
        <f>IF(OR($J112="",$K112=""),"",ROUND(MAX(0,($K112-$J112)-IF($H112="",0,$H112))/60,2))</f>
        <v/>
      </c>
      <c r="J112" s="41" t="str">
        <f>IF($F112="","",IF($F112&lt;1,ROUND($F112*1440,0),INT($F112/100)*60+MOD($F112,100)))</f>
        <v/>
      </c>
      <c r="K112" s="41" t="str">
        <f>IF($G112="","",IF($G112&lt;1,ROUND($G112*1440,0),INT($G112/100)*60+MOD($G112,100)))</f>
        <v/>
      </c>
    </row>
    <row r="113" ht="15" customHeight="1" s="26">
      <c r="A113" s="34" t="n"/>
      <c r="B113" s="32" t="n"/>
      <c r="C113" s="33" t="n"/>
      <c r="D113" s="37" t="str">
        <f>IF($C113="","",IFERROR(INDEX(프로젝트목록!$B$3:$B$62,MATCH($C113,프로젝트목록!$A$3:$A$62,0)),"미등록코드"))</f>
        <v/>
      </c>
      <c r="E113" s="32" t="n"/>
      <c r="F113" s="38" t="n"/>
      <c r="G113" s="38" t="n"/>
      <c r="H113" s="39" t="n"/>
      <c r="I113" s="40" t="str">
        <f>IF(OR($J113="",$K113=""),"",ROUND(MAX(0,($K113-$J113)-IF($H113="",0,$H113))/60,2))</f>
        <v/>
      </c>
      <c r="J113" s="41" t="str">
        <f>IF($F113="","",IF($F113&lt;1,ROUND($F113*1440,0),INT($F113/100)*60+MOD($F113,100)))</f>
        <v/>
      </c>
      <c r="K113" s="41" t="str">
        <f>IF($G113="","",IF($G113&lt;1,ROUND($G113*1440,0),INT($G113/100)*60+MOD($G113,100)))</f>
        <v/>
      </c>
    </row>
    <row r="114" ht="15" customHeight="1" s="26">
      <c r="A114" s="34" t="n"/>
      <c r="B114" s="32" t="n"/>
      <c r="C114" s="33" t="n"/>
      <c r="D114" s="37" t="str">
        <f>IF($C114="","",IFERROR(INDEX(프로젝트목록!$B$3:$B$62,MATCH($C114,프로젝트목록!$A$3:$A$62,0)),"미등록코드"))</f>
        <v/>
      </c>
      <c r="E114" s="32" t="n"/>
      <c r="F114" s="38" t="n"/>
      <c r="G114" s="38" t="n"/>
      <c r="H114" s="39" t="n"/>
      <c r="I114" s="40" t="str">
        <f>IF(OR($J114="",$K114=""),"",ROUND(MAX(0,($K114-$J114)-IF($H114="",0,$H114))/60,2))</f>
        <v/>
      </c>
      <c r="J114" s="41" t="str">
        <f>IF($F114="","",IF($F114&lt;1,ROUND($F114*1440,0),INT($F114/100)*60+MOD($F114,100)))</f>
        <v/>
      </c>
      <c r="K114" s="41" t="str">
        <f>IF($G114="","",IF($G114&lt;1,ROUND($G114*1440,0),INT($G114/100)*60+MOD($G114,100)))</f>
        <v/>
      </c>
    </row>
    <row r="115" ht="15" customHeight="1" s="26">
      <c r="A115" s="34" t="n"/>
      <c r="B115" s="32" t="n"/>
      <c r="C115" s="33" t="n"/>
      <c r="D115" s="37" t="str">
        <f>IF($C115="","",IFERROR(INDEX(프로젝트목록!$B$3:$B$62,MATCH($C115,프로젝트목록!$A$3:$A$62,0)),"미등록코드"))</f>
        <v/>
      </c>
      <c r="E115" s="32" t="n"/>
      <c r="F115" s="38" t="n"/>
      <c r="G115" s="38" t="n"/>
      <c r="H115" s="39" t="n"/>
      <c r="I115" s="40" t="str">
        <f>IF(OR($J115="",$K115=""),"",ROUND(MAX(0,($K115-$J115)-IF($H115="",0,$H115))/60,2))</f>
        <v/>
      </c>
      <c r="J115" s="41" t="str">
        <f>IF($F115="","",IF($F115&lt;1,ROUND($F115*1440,0),INT($F115/100)*60+MOD($F115,100)))</f>
        <v/>
      </c>
      <c r="K115" s="41" t="str">
        <f>IF($G115="","",IF($G115&lt;1,ROUND($G115*1440,0),INT($G115/100)*60+MOD($G115,100)))</f>
        <v/>
      </c>
    </row>
    <row r="116" ht="15" customHeight="1" s="26">
      <c r="A116" s="34" t="n"/>
      <c r="B116" s="32" t="n"/>
      <c r="C116" s="33" t="n"/>
      <c r="D116" s="37" t="str">
        <f>IF($C116="","",IFERROR(INDEX(프로젝트목록!$B$3:$B$62,MATCH($C116,프로젝트목록!$A$3:$A$62,0)),"미등록코드"))</f>
        <v/>
      </c>
      <c r="E116" s="32" t="n"/>
      <c r="F116" s="38" t="n"/>
      <c r="G116" s="38" t="n"/>
      <c r="H116" s="39" t="n"/>
      <c r="I116" s="40" t="str">
        <f>IF(OR($J116="",$K116=""),"",ROUND(MAX(0,($K116-$J116)-IF($H116="",0,$H116))/60,2))</f>
        <v/>
      </c>
      <c r="J116" s="41" t="str">
        <f>IF($F116="","",IF($F116&lt;1,ROUND($F116*1440,0),INT($F116/100)*60+MOD($F116,100)))</f>
        <v/>
      </c>
      <c r="K116" s="41" t="str">
        <f>IF($G116="","",IF($G116&lt;1,ROUND($G116*1440,0),INT($G116/100)*60+MOD($G116,100)))</f>
        <v/>
      </c>
    </row>
    <row r="117" ht="15" customHeight="1" s="26">
      <c r="A117" s="34" t="n"/>
      <c r="B117" s="32" t="n"/>
      <c r="C117" s="33" t="n"/>
      <c r="D117" s="37" t="str">
        <f>IF($C117="","",IFERROR(INDEX(프로젝트목록!$B$3:$B$62,MATCH($C117,프로젝트목록!$A$3:$A$62,0)),"미등록코드"))</f>
        <v/>
      </c>
      <c r="E117" s="32" t="n"/>
      <c r="F117" s="38" t="n"/>
      <c r="G117" s="38" t="n"/>
      <c r="H117" s="39" t="n"/>
      <c r="I117" s="40" t="str">
        <f>IF(OR($J117="",$K117=""),"",ROUND(MAX(0,($K117-$J117)-IF($H117="",0,$H117))/60,2))</f>
        <v/>
      </c>
      <c r="J117" s="41" t="str">
        <f>IF($F117="","",IF($F117&lt;1,ROUND($F117*1440,0),INT($F117/100)*60+MOD($F117,100)))</f>
        <v/>
      </c>
      <c r="K117" s="41" t="str">
        <f>IF($G117="","",IF($G117&lt;1,ROUND($G117*1440,0),INT($G117/100)*60+MOD($G117,100)))</f>
        <v/>
      </c>
    </row>
    <row r="118" ht="15" customHeight="1" s="26">
      <c r="A118" s="34" t="n"/>
      <c r="B118" s="32" t="n"/>
      <c r="C118" s="33" t="n"/>
      <c r="D118" s="37" t="str">
        <f>IF($C118="","",IFERROR(INDEX(프로젝트목록!$B$3:$B$62,MATCH($C118,프로젝트목록!$A$3:$A$62,0)),"미등록코드"))</f>
        <v/>
      </c>
      <c r="E118" s="32" t="n"/>
      <c r="F118" s="38" t="n"/>
      <c r="G118" s="38" t="n"/>
      <c r="H118" s="39" t="n"/>
      <c r="I118" s="40" t="str">
        <f>IF(OR($J118="",$K118=""),"",ROUND(MAX(0,($K118-$J118)-IF($H118="",0,$H118))/60,2))</f>
        <v/>
      </c>
      <c r="J118" s="41" t="str">
        <f>IF($F118="","",IF($F118&lt;1,ROUND($F118*1440,0),INT($F118/100)*60+MOD($F118,100)))</f>
        <v/>
      </c>
      <c r="K118" s="41" t="str">
        <f>IF($G118="","",IF($G118&lt;1,ROUND($G118*1440,0),INT($G118/100)*60+MOD($G118,100)))</f>
        <v/>
      </c>
    </row>
    <row r="119" ht="15" customHeight="1" s="26">
      <c r="A119" s="34" t="n"/>
      <c r="B119" s="32" t="n"/>
      <c r="C119" s="33" t="n"/>
      <c r="D119" s="37" t="str">
        <f>IF($C119="","",IFERROR(INDEX(프로젝트목록!$B$3:$B$62,MATCH($C119,프로젝트목록!$A$3:$A$62,0)),"미등록코드"))</f>
        <v/>
      </c>
      <c r="E119" s="32" t="n"/>
      <c r="F119" s="38" t="n"/>
      <c r="G119" s="38" t="n"/>
      <c r="H119" s="39" t="n"/>
      <c r="I119" s="40" t="str">
        <f>IF(OR($J119="",$K119=""),"",ROUND(MAX(0,($K119-$J119)-IF($H119="",0,$H119))/60,2))</f>
        <v/>
      </c>
      <c r="J119" s="41" t="str">
        <f>IF($F119="","",IF($F119&lt;1,ROUND($F119*1440,0),INT($F119/100)*60+MOD($F119,100)))</f>
        <v/>
      </c>
      <c r="K119" s="41" t="str">
        <f>IF($G119="","",IF($G119&lt;1,ROUND($G119*1440,0),INT($G119/100)*60+MOD($G119,100)))</f>
        <v/>
      </c>
    </row>
    <row r="120" ht="15" customHeight="1" s="26">
      <c r="A120" s="34" t="n"/>
      <c r="B120" s="32" t="n"/>
      <c r="C120" s="33" t="n"/>
      <c r="D120" s="37" t="str">
        <f>IF($C120="","",IFERROR(INDEX(프로젝트목록!$B$3:$B$62,MATCH($C120,프로젝트목록!$A$3:$A$62,0)),"미등록코드"))</f>
        <v/>
      </c>
      <c r="E120" s="32" t="n"/>
      <c r="F120" s="38" t="n"/>
      <c r="G120" s="38" t="n"/>
      <c r="H120" s="39" t="n"/>
      <c r="I120" s="40" t="str">
        <f>IF(OR($J120="",$K120=""),"",ROUND(MAX(0,($K120-$J120)-IF($H120="",0,$H120))/60,2))</f>
        <v/>
      </c>
      <c r="J120" s="41" t="str">
        <f>IF($F120="","",IF($F120&lt;1,ROUND($F120*1440,0),INT($F120/100)*60+MOD($F120,100)))</f>
        <v/>
      </c>
      <c r="K120" s="41" t="str">
        <f>IF($G120="","",IF($G120&lt;1,ROUND($G120*1440,0),INT($G120/100)*60+MOD($G120,100)))</f>
        <v/>
      </c>
    </row>
    <row r="121" ht="15" customHeight="1" s="26">
      <c r="A121" s="34" t="n"/>
      <c r="B121" s="32" t="n"/>
      <c r="C121" s="33" t="n"/>
      <c r="D121" s="37" t="str">
        <f>IF($C121="","",IFERROR(INDEX(프로젝트목록!$B$3:$B$62,MATCH($C121,프로젝트목록!$A$3:$A$62,0)),"미등록코드"))</f>
        <v/>
      </c>
      <c r="E121" s="32" t="n"/>
      <c r="F121" s="38" t="n"/>
      <c r="G121" s="38" t="n"/>
      <c r="H121" s="39" t="n"/>
      <c r="I121" s="40" t="str">
        <f>IF(OR($J121="",$K121=""),"",ROUND(MAX(0,($K121-$J121)-IF($H121="",0,$H121))/60,2))</f>
        <v/>
      </c>
      <c r="J121" s="41" t="str">
        <f>IF($F121="","",IF($F121&lt;1,ROUND($F121*1440,0),INT($F121/100)*60+MOD($F121,100)))</f>
        <v/>
      </c>
      <c r="K121" s="41" t="str">
        <f>IF($G121="","",IF($G121&lt;1,ROUND($G121*1440,0),INT($G121/100)*60+MOD($G121,100)))</f>
        <v/>
      </c>
    </row>
    <row r="122" ht="15" customHeight="1" s="26">
      <c r="A122" s="34" t="n"/>
      <c r="B122" s="32" t="n"/>
      <c r="C122" s="33" t="n"/>
      <c r="D122" s="37" t="str">
        <f>IF($C122="","",IFERROR(INDEX(프로젝트목록!$B$3:$B$62,MATCH($C122,프로젝트목록!$A$3:$A$62,0)),"미등록코드"))</f>
        <v/>
      </c>
      <c r="E122" s="32" t="n"/>
      <c r="F122" s="38" t="n"/>
      <c r="G122" s="38" t="n"/>
      <c r="H122" s="39" t="n"/>
      <c r="I122" s="40" t="str">
        <f>IF(OR($J122="",$K122=""),"",ROUND(MAX(0,($K122-$J122)-IF($H122="",0,$H122))/60,2))</f>
        <v/>
      </c>
      <c r="J122" s="41" t="str">
        <f>IF($F122="","",IF($F122&lt;1,ROUND($F122*1440,0),INT($F122/100)*60+MOD($F122,100)))</f>
        <v/>
      </c>
      <c r="K122" s="41" t="str">
        <f>IF($G122="","",IF($G122&lt;1,ROUND($G122*1440,0),INT($G122/100)*60+MOD($G122,100)))</f>
        <v/>
      </c>
    </row>
    <row r="123" ht="15" customHeight="1" s="26">
      <c r="A123" s="34" t="n"/>
      <c r="B123" s="32" t="n"/>
      <c r="C123" s="33" t="n"/>
      <c r="D123" s="37" t="str">
        <f>IF($C123="","",IFERROR(INDEX(프로젝트목록!$B$3:$B$62,MATCH($C123,프로젝트목록!$A$3:$A$62,0)),"미등록코드"))</f>
        <v/>
      </c>
      <c r="E123" s="32" t="n"/>
      <c r="F123" s="38" t="n"/>
      <c r="G123" s="38" t="n"/>
      <c r="H123" s="39" t="n"/>
      <c r="I123" s="40" t="str">
        <f>IF(OR($J123="",$K123=""),"",ROUND(MAX(0,($K123-$J123)-IF($H123="",0,$H123))/60,2))</f>
        <v/>
      </c>
      <c r="J123" s="41" t="str">
        <f>IF($F123="","",IF($F123&lt;1,ROUND($F123*1440,0),INT($F123/100)*60+MOD($F123,100)))</f>
        <v/>
      </c>
      <c r="K123" s="41" t="str">
        <f>IF($G123="","",IF($G123&lt;1,ROUND($G123*1440,0),INT($G123/100)*60+MOD($G123,100)))</f>
        <v/>
      </c>
    </row>
    <row r="124" ht="15" customHeight="1" s="26">
      <c r="A124" s="34" t="n"/>
      <c r="B124" s="32" t="n"/>
      <c r="C124" s="33" t="n"/>
      <c r="D124" s="37" t="str">
        <f>IF($C124="","",IFERROR(INDEX(프로젝트목록!$B$3:$B$62,MATCH($C124,프로젝트목록!$A$3:$A$62,0)),"미등록코드"))</f>
        <v/>
      </c>
      <c r="E124" s="32" t="n"/>
      <c r="F124" s="38" t="n"/>
      <c r="G124" s="38" t="n"/>
      <c r="H124" s="39" t="n"/>
      <c r="I124" s="40" t="str">
        <f>IF(OR($J124="",$K124=""),"",ROUND(MAX(0,($K124-$J124)-IF($H124="",0,$H124))/60,2))</f>
        <v/>
      </c>
      <c r="J124" s="41" t="str">
        <f>IF($F124="","",IF($F124&lt;1,ROUND($F124*1440,0),INT($F124/100)*60+MOD($F124,100)))</f>
        <v/>
      </c>
      <c r="K124" s="41" t="str">
        <f>IF($G124="","",IF($G124&lt;1,ROUND($G124*1440,0),INT($G124/100)*60+MOD($G124,100)))</f>
        <v/>
      </c>
    </row>
    <row r="125" ht="15" customHeight="1" s="26">
      <c r="A125" s="34" t="n"/>
      <c r="B125" s="32" t="n"/>
      <c r="C125" s="33" t="n"/>
      <c r="D125" s="37" t="str">
        <f>IF($C125="","",IFERROR(INDEX(프로젝트목록!$B$3:$B$62,MATCH($C125,프로젝트목록!$A$3:$A$62,0)),"미등록코드"))</f>
        <v/>
      </c>
      <c r="E125" s="32" t="n"/>
      <c r="F125" s="38" t="n"/>
      <c r="G125" s="38" t="n"/>
      <c r="H125" s="39" t="n"/>
      <c r="I125" s="40" t="str">
        <f>IF(OR($J125="",$K125=""),"",ROUND(MAX(0,($K125-$J125)-IF($H125="",0,$H125))/60,2))</f>
        <v/>
      </c>
      <c r="J125" s="41" t="str">
        <f>IF($F125="","",IF($F125&lt;1,ROUND($F125*1440,0),INT($F125/100)*60+MOD($F125,100)))</f>
        <v/>
      </c>
      <c r="K125" s="41" t="str">
        <f>IF($G125="","",IF($G125&lt;1,ROUND($G125*1440,0),INT($G125/100)*60+MOD($G125,100)))</f>
        <v/>
      </c>
    </row>
    <row r="126" ht="15" customHeight="1" s="26">
      <c r="A126" s="34" t="n"/>
      <c r="B126" s="32" t="n"/>
      <c r="C126" s="33" t="n"/>
      <c r="D126" s="37" t="str">
        <f>IF($C126="","",IFERROR(INDEX(프로젝트목록!$B$3:$B$62,MATCH($C126,프로젝트목록!$A$3:$A$62,0)),"미등록코드"))</f>
        <v/>
      </c>
      <c r="E126" s="32" t="n"/>
      <c r="F126" s="38" t="n"/>
      <c r="G126" s="38" t="n"/>
      <c r="H126" s="39" t="n"/>
      <c r="I126" s="40" t="str">
        <f>IF(OR($J126="",$K126=""),"",ROUND(MAX(0,($K126-$J126)-IF($H126="",0,$H126))/60,2))</f>
        <v/>
      </c>
      <c r="J126" s="41" t="str">
        <f>IF($F126="","",IF($F126&lt;1,ROUND($F126*1440,0),INT($F126/100)*60+MOD($F126,100)))</f>
        <v/>
      </c>
      <c r="K126" s="41" t="str">
        <f>IF($G126="","",IF($G126&lt;1,ROUND($G126*1440,0),INT($G126/100)*60+MOD($G126,100)))</f>
        <v/>
      </c>
    </row>
    <row r="127" ht="15" customHeight="1" s="26">
      <c r="A127" s="34" t="n"/>
      <c r="B127" s="32" t="n"/>
      <c r="C127" s="33" t="n"/>
      <c r="D127" s="37" t="str">
        <f>IF($C127="","",IFERROR(INDEX(프로젝트목록!$B$3:$B$62,MATCH($C127,프로젝트목록!$A$3:$A$62,0)),"미등록코드"))</f>
        <v/>
      </c>
      <c r="E127" s="32" t="n"/>
      <c r="F127" s="38" t="n"/>
      <c r="G127" s="38" t="n"/>
      <c r="H127" s="39" t="n"/>
      <c r="I127" s="40" t="str">
        <f>IF(OR($J127="",$K127=""),"",ROUND(MAX(0,($K127-$J127)-IF($H127="",0,$H127))/60,2))</f>
        <v/>
      </c>
      <c r="J127" s="41" t="str">
        <f>IF($F127="","",IF($F127&lt;1,ROUND($F127*1440,0),INT($F127/100)*60+MOD($F127,100)))</f>
        <v/>
      </c>
      <c r="K127" s="41" t="str">
        <f>IF($G127="","",IF($G127&lt;1,ROUND($G127*1440,0),INT($G127/100)*60+MOD($G127,100)))</f>
        <v/>
      </c>
    </row>
    <row r="128" ht="15" customHeight="1" s="26">
      <c r="A128" s="34" t="n"/>
      <c r="B128" s="32" t="n"/>
      <c r="C128" s="33" t="n"/>
      <c r="D128" s="37" t="str">
        <f>IF($C128="","",IFERROR(INDEX(프로젝트목록!$B$3:$B$62,MATCH($C128,프로젝트목록!$A$3:$A$62,0)),"미등록코드"))</f>
        <v/>
      </c>
      <c r="E128" s="32" t="n"/>
      <c r="F128" s="38" t="n"/>
      <c r="G128" s="38" t="n"/>
      <c r="H128" s="39" t="n"/>
      <c r="I128" s="40" t="str">
        <f>IF(OR($J128="",$K128=""),"",ROUND(MAX(0,($K128-$J128)-IF($H128="",0,$H128))/60,2))</f>
        <v/>
      </c>
      <c r="J128" s="41" t="str">
        <f>IF($F128="","",IF($F128&lt;1,ROUND($F128*1440,0),INT($F128/100)*60+MOD($F128,100)))</f>
        <v/>
      </c>
      <c r="K128" s="41" t="str">
        <f>IF($G128="","",IF($G128&lt;1,ROUND($G128*1440,0),INT($G128/100)*60+MOD($G128,100)))</f>
        <v/>
      </c>
    </row>
    <row r="129" ht="15" customHeight="1" s="26">
      <c r="A129" s="34" t="n"/>
      <c r="B129" s="32" t="n"/>
      <c r="C129" s="33" t="n"/>
      <c r="D129" s="37" t="str">
        <f>IF($C129="","",IFERROR(INDEX(프로젝트목록!$B$3:$B$62,MATCH($C129,프로젝트목록!$A$3:$A$62,0)),"미등록코드"))</f>
        <v/>
      </c>
      <c r="E129" s="32" t="n"/>
      <c r="F129" s="38" t="n"/>
      <c r="G129" s="38" t="n"/>
      <c r="H129" s="39" t="n"/>
      <c r="I129" s="40" t="str">
        <f>IF(OR($J129="",$K129=""),"",ROUND(MAX(0,($K129-$J129)-IF($H129="",0,$H129))/60,2))</f>
        <v/>
      </c>
      <c r="J129" s="41" t="str">
        <f>IF($F129="","",IF($F129&lt;1,ROUND($F129*1440,0),INT($F129/100)*60+MOD($F129,100)))</f>
        <v/>
      </c>
      <c r="K129" s="41" t="str">
        <f>IF($G129="","",IF($G129&lt;1,ROUND($G129*1440,0),INT($G129/100)*60+MOD($G129,100)))</f>
        <v/>
      </c>
    </row>
    <row r="130" ht="15" customHeight="1" s="26">
      <c r="A130" s="34" t="n"/>
      <c r="B130" s="32" t="n"/>
      <c r="C130" s="33" t="n"/>
      <c r="D130" s="37" t="str">
        <f>IF($C130="","",IFERROR(INDEX(프로젝트목록!$B$3:$B$62,MATCH($C130,프로젝트목록!$A$3:$A$62,0)),"미등록코드"))</f>
        <v/>
      </c>
      <c r="E130" s="32" t="n"/>
      <c r="F130" s="38" t="n"/>
      <c r="G130" s="38" t="n"/>
      <c r="H130" s="39" t="n"/>
      <c r="I130" s="40" t="str">
        <f>IF(OR($J130="",$K130=""),"",ROUND(MAX(0,($K130-$J130)-IF($H130="",0,$H130))/60,2))</f>
        <v/>
      </c>
      <c r="J130" s="41" t="str">
        <f>IF($F130="","",IF($F130&lt;1,ROUND($F130*1440,0),INT($F130/100)*60+MOD($F130,100)))</f>
        <v/>
      </c>
      <c r="K130" s="41" t="str">
        <f>IF($G130="","",IF($G130&lt;1,ROUND($G130*1440,0),INT($G130/100)*60+MOD($G130,100)))</f>
        <v/>
      </c>
    </row>
    <row r="131" ht="15" customHeight="1" s="26">
      <c r="A131" s="34" t="n"/>
      <c r="B131" s="32" t="n"/>
      <c r="C131" s="33" t="n"/>
      <c r="D131" s="37" t="str">
        <f>IF($C131="","",IFERROR(INDEX(프로젝트목록!$B$3:$B$62,MATCH($C131,프로젝트목록!$A$3:$A$62,0)),"미등록코드"))</f>
        <v/>
      </c>
      <c r="E131" s="32" t="n"/>
      <c r="F131" s="38" t="n"/>
      <c r="G131" s="38" t="n"/>
      <c r="H131" s="39" t="n"/>
      <c r="I131" s="40" t="str">
        <f>IF(OR($J131="",$K131=""),"",ROUND(MAX(0,($K131-$J131)-IF($H131="",0,$H131))/60,2))</f>
        <v/>
      </c>
      <c r="J131" s="41" t="str">
        <f>IF($F131="","",IF($F131&lt;1,ROUND($F131*1440,0),INT($F131/100)*60+MOD($F131,100)))</f>
        <v/>
      </c>
      <c r="K131" s="41" t="str">
        <f>IF($G131="","",IF($G131&lt;1,ROUND($G131*1440,0),INT($G131/100)*60+MOD($G131,100)))</f>
        <v/>
      </c>
    </row>
    <row r="132" ht="15" customHeight="1" s="26">
      <c r="A132" s="34" t="n"/>
      <c r="B132" s="32" t="n"/>
      <c r="C132" s="33" t="n"/>
      <c r="D132" s="37" t="str">
        <f>IF($C132="","",IFERROR(INDEX(프로젝트목록!$B$3:$B$62,MATCH($C132,프로젝트목록!$A$3:$A$62,0)),"미등록코드"))</f>
        <v/>
      </c>
      <c r="E132" s="32" t="n"/>
      <c r="F132" s="38" t="n"/>
      <c r="G132" s="38" t="n"/>
      <c r="H132" s="39" t="n"/>
      <c r="I132" s="40" t="str">
        <f>IF(OR($J132="",$K132=""),"",ROUND(MAX(0,($K132-$J132)-IF($H132="",0,$H132))/60,2))</f>
        <v/>
      </c>
      <c r="J132" s="41" t="str">
        <f>IF($F132="","",IF($F132&lt;1,ROUND($F132*1440,0),INT($F132/100)*60+MOD($F132,100)))</f>
        <v/>
      </c>
      <c r="K132" s="41" t="str">
        <f>IF($G132="","",IF($G132&lt;1,ROUND($G132*1440,0),INT($G132/100)*60+MOD($G132,100)))</f>
        <v/>
      </c>
    </row>
    <row r="133" ht="15" customHeight="1" s="26">
      <c r="A133" s="34" t="n"/>
      <c r="B133" s="32" t="n"/>
      <c r="C133" s="33" t="n"/>
      <c r="D133" s="37" t="str">
        <f>IF($C133="","",IFERROR(INDEX(프로젝트목록!$B$3:$B$62,MATCH($C133,프로젝트목록!$A$3:$A$62,0)),"미등록코드"))</f>
        <v/>
      </c>
      <c r="E133" s="32" t="n"/>
      <c r="F133" s="38" t="n"/>
      <c r="G133" s="38" t="n"/>
      <c r="H133" s="39" t="n"/>
      <c r="I133" s="40" t="str">
        <f>IF(OR($J133="",$K133=""),"",ROUND(MAX(0,($K133-$J133)-IF($H133="",0,$H133))/60,2))</f>
        <v/>
      </c>
      <c r="J133" s="41" t="str">
        <f>IF($F133="","",IF($F133&lt;1,ROUND($F133*1440,0),INT($F133/100)*60+MOD($F133,100)))</f>
        <v/>
      </c>
      <c r="K133" s="41" t="str">
        <f>IF($G133="","",IF($G133&lt;1,ROUND($G133*1440,0),INT($G133/100)*60+MOD($G133,100)))</f>
        <v/>
      </c>
    </row>
    <row r="134" ht="15" customHeight="1" s="26">
      <c r="A134" s="34" t="n"/>
      <c r="B134" s="32" t="n"/>
      <c r="C134" s="33" t="n"/>
      <c r="D134" s="37" t="str">
        <f>IF($C134="","",IFERROR(INDEX(프로젝트목록!$B$3:$B$62,MATCH($C134,프로젝트목록!$A$3:$A$62,0)),"미등록코드"))</f>
        <v/>
      </c>
      <c r="E134" s="32" t="n"/>
      <c r="F134" s="38" t="n"/>
      <c r="G134" s="38" t="n"/>
      <c r="H134" s="39" t="n"/>
      <c r="I134" s="40" t="str">
        <f>IF(OR($J134="",$K134=""),"",ROUND(MAX(0,($K134-$J134)-IF($H134="",0,$H134))/60,2))</f>
        <v/>
      </c>
      <c r="J134" s="41" t="str">
        <f>IF($F134="","",IF($F134&lt;1,ROUND($F134*1440,0),INT($F134/100)*60+MOD($F134,100)))</f>
        <v/>
      </c>
      <c r="K134" s="41" t="str">
        <f>IF($G134="","",IF($G134&lt;1,ROUND($G134*1440,0),INT($G134/100)*60+MOD($G134,100)))</f>
        <v/>
      </c>
    </row>
    <row r="135" ht="15" customHeight="1" s="26">
      <c r="A135" s="34" t="n"/>
      <c r="B135" s="32" t="n"/>
      <c r="C135" s="33" t="n"/>
      <c r="D135" s="37" t="str">
        <f>IF($C135="","",IFERROR(INDEX(프로젝트목록!$B$3:$B$62,MATCH($C135,프로젝트목록!$A$3:$A$62,0)),"미등록코드"))</f>
        <v/>
      </c>
      <c r="E135" s="32" t="n"/>
      <c r="F135" s="38" t="n"/>
      <c r="G135" s="38" t="n"/>
      <c r="H135" s="39" t="n"/>
      <c r="I135" s="40" t="str">
        <f>IF(OR($J135="",$K135=""),"",ROUND(MAX(0,($K135-$J135)-IF($H135="",0,$H135))/60,2))</f>
        <v/>
      </c>
      <c r="J135" s="41" t="str">
        <f>IF($F135="","",IF($F135&lt;1,ROUND($F135*1440,0),INT($F135/100)*60+MOD($F135,100)))</f>
        <v/>
      </c>
      <c r="K135" s="41" t="str">
        <f>IF($G135="","",IF($G135&lt;1,ROUND($G135*1440,0),INT($G135/100)*60+MOD($G135,100)))</f>
        <v/>
      </c>
    </row>
    <row r="136" ht="15" customHeight="1" s="26">
      <c r="A136" s="34" t="n"/>
      <c r="B136" s="32" t="n"/>
      <c r="C136" s="33" t="n"/>
      <c r="D136" s="37" t="str">
        <f>IF($C136="","",IFERROR(INDEX(프로젝트목록!$B$3:$B$62,MATCH($C136,프로젝트목록!$A$3:$A$62,0)),"미등록코드"))</f>
        <v/>
      </c>
      <c r="E136" s="32" t="n"/>
      <c r="F136" s="38" t="n"/>
      <c r="G136" s="38" t="n"/>
      <c r="H136" s="39" t="n"/>
      <c r="I136" s="40" t="str">
        <f>IF(OR($J136="",$K136=""),"",ROUND(MAX(0,($K136-$J136)-IF($H136="",0,$H136))/60,2))</f>
        <v/>
      </c>
      <c r="J136" s="41" t="str">
        <f>IF($F136="","",IF($F136&lt;1,ROUND($F136*1440,0),INT($F136/100)*60+MOD($F136,100)))</f>
        <v/>
      </c>
      <c r="K136" s="41" t="str">
        <f>IF($G136="","",IF($G136&lt;1,ROUND($G136*1440,0),INT($G136/100)*60+MOD($G136,100)))</f>
        <v/>
      </c>
    </row>
    <row r="137" ht="15" customHeight="1" s="26">
      <c r="A137" s="34" t="n"/>
      <c r="B137" s="32" t="n"/>
      <c r="C137" s="33" t="n"/>
      <c r="D137" s="37" t="str">
        <f>IF($C137="","",IFERROR(INDEX(프로젝트목록!$B$3:$B$62,MATCH($C137,프로젝트목록!$A$3:$A$62,0)),"미등록코드"))</f>
        <v/>
      </c>
      <c r="E137" s="32" t="n"/>
      <c r="F137" s="38" t="n"/>
      <c r="G137" s="38" t="n"/>
      <c r="H137" s="39" t="n"/>
      <c r="I137" s="40" t="str">
        <f>IF(OR($J137="",$K137=""),"",ROUND(MAX(0,($K137-$J137)-IF($H137="",0,$H137))/60,2))</f>
        <v/>
      </c>
      <c r="J137" s="41" t="str">
        <f>IF($F137="","",IF($F137&lt;1,ROUND($F137*1440,0),INT($F137/100)*60+MOD($F137,100)))</f>
        <v/>
      </c>
      <c r="K137" s="41" t="str">
        <f>IF($G137="","",IF($G137&lt;1,ROUND($G137*1440,0),INT($G137/100)*60+MOD($G137,100)))</f>
        <v/>
      </c>
    </row>
    <row r="138" ht="15" customHeight="1" s="26">
      <c r="A138" s="34" t="n"/>
      <c r="B138" s="32" t="n"/>
      <c r="C138" s="33" t="n"/>
      <c r="D138" s="37" t="str">
        <f>IF($C138="","",IFERROR(INDEX(프로젝트목록!$B$3:$B$62,MATCH($C138,프로젝트목록!$A$3:$A$62,0)),"미등록코드"))</f>
        <v/>
      </c>
      <c r="E138" s="32" t="n"/>
      <c r="F138" s="38" t="n"/>
      <c r="G138" s="38" t="n"/>
      <c r="H138" s="39" t="n"/>
      <c r="I138" s="40" t="str">
        <f>IF(OR($J138="",$K138=""),"",ROUND(MAX(0,($K138-$J138)-IF($H138="",0,$H138))/60,2))</f>
        <v/>
      </c>
      <c r="J138" s="41" t="str">
        <f>IF($F138="","",IF($F138&lt;1,ROUND($F138*1440,0),INT($F138/100)*60+MOD($F138,100)))</f>
        <v/>
      </c>
      <c r="K138" s="41" t="str">
        <f>IF($G138="","",IF($G138&lt;1,ROUND($G138*1440,0),INT($G138/100)*60+MOD($G138,100)))</f>
        <v/>
      </c>
    </row>
    <row r="139" ht="15" customHeight="1" s="26">
      <c r="A139" s="34" t="n"/>
      <c r="B139" s="32" t="n"/>
      <c r="C139" s="33" t="n"/>
      <c r="D139" s="37" t="str">
        <f>IF($C139="","",IFERROR(INDEX(프로젝트목록!$B$3:$B$62,MATCH($C139,프로젝트목록!$A$3:$A$62,0)),"미등록코드"))</f>
        <v/>
      </c>
      <c r="E139" s="32" t="n"/>
      <c r="F139" s="38" t="n"/>
      <c r="G139" s="38" t="n"/>
      <c r="H139" s="39" t="n"/>
      <c r="I139" s="40" t="str">
        <f>IF(OR($J139="",$K139=""),"",ROUND(MAX(0,($K139-$J139)-IF($H139="",0,$H139))/60,2))</f>
        <v/>
      </c>
      <c r="J139" s="41" t="str">
        <f>IF($F139="","",IF($F139&lt;1,ROUND($F139*1440,0),INT($F139/100)*60+MOD($F139,100)))</f>
        <v/>
      </c>
      <c r="K139" s="41" t="str">
        <f>IF($G139="","",IF($G139&lt;1,ROUND($G139*1440,0),INT($G139/100)*60+MOD($G139,100)))</f>
        <v/>
      </c>
    </row>
    <row r="140" ht="15" customHeight="1" s="26">
      <c r="A140" s="34" t="n"/>
      <c r="B140" s="32" t="n"/>
      <c r="C140" s="33" t="n"/>
      <c r="D140" s="37" t="str">
        <f>IF($C140="","",IFERROR(INDEX(프로젝트목록!$B$3:$B$62,MATCH($C140,프로젝트목록!$A$3:$A$62,0)),"미등록코드"))</f>
        <v/>
      </c>
      <c r="E140" s="32" t="n"/>
      <c r="F140" s="38" t="n"/>
      <c r="G140" s="38" t="n"/>
      <c r="H140" s="39" t="n"/>
      <c r="I140" s="40" t="str">
        <f>IF(OR($J140="",$K140=""),"",ROUND(MAX(0,($K140-$J140)-IF($H140="",0,$H140))/60,2))</f>
        <v/>
      </c>
      <c r="J140" s="41" t="str">
        <f>IF($F140="","",IF($F140&lt;1,ROUND($F140*1440,0),INT($F140/100)*60+MOD($F140,100)))</f>
        <v/>
      </c>
      <c r="K140" s="41" t="str">
        <f>IF($G140="","",IF($G140&lt;1,ROUND($G140*1440,0),INT($G140/100)*60+MOD($G140,100)))</f>
        <v/>
      </c>
    </row>
    <row r="141" ht="15" customHeight="1" s="26">
      <c r="A141" s="34" t="n"/>
      <c r="B141" s="32" t="n"/>
      <c r="C141" s="33" t="n"/>
      <c r="D141" s="37" t="str">
        <f>IF($C141="","",IFERROR(INDEX(프로젝트목록!$B$3:$B$62,MATCH($C141,프로젝트목록!$A$3:$A$62,0)),"미등록코드"))</f>
        <v/>
      </c>
      <c r="E141" s="32" t="n"/>
      <c r="F141" s="38" t="n"/>
      <c r="G141" s="38" t="n"/>
      <c r="H141" s="39" t="n"/>
      <c r="I141" s="40" t="str">
        <f>IF(OR($J141="",$K141=""),"",ROUND(MAX(0,($K141-$J141)-IF($H141="",0,$H141))/60,2))</f>
        <v/>
      </c>
      <c r="J141" s="41" t="str">
        <f>IF($F141="","",IF($F141&lt;1,ROUND($F141*1440,0),INT($F141/100)*60+MOD($F141,100)))</f>
        <v/>
      </c>
      <c r="K141" s="41" t="str">
        <f>IF($G141="","",IF($G141&lt;1,ROUND($G141*1440,0),INT($G141/100)*60+MOD($G141,100)))</f>
        <v/>
      </c>
    </row>
    <row r="142" ht="15" customHeight="1" s="26">
      <c r="A142" s="34" t="n"/>
      <c r="B142" s="32" t="n"/>
      <c r="C142" s="33" t="n"/>
      <c r="D142" s="37" t="str">
        <f>IF($C142="","",IFERROR(INDEX(프로젝트목록!$B$3:$B$62,MATCH($C142,프로젝트목록!$A$3:$A$62,0)),"미등록코드"))</f>
        <v/>
      </c>
      <c r="E142" s="32" t="n"/>
      <c r="F142" s="38" t="n"/>
      <c r="G142" s="38" t="n"/>
      <c r="H142" s="39" t="n"/>
      <c r="I142" s="40" t="str">
        <f>IF(OR($J142="",$K142=""),"",ROUND(MAX(0,($K142-$J142)-IF($H142="",0,$H142))/60,2))</f>
        <v/>
      </c>
      <c r="J142" s="41" t="str">
        <f>IF($F142="","",IF($F142&lt;1,ROUND($F142*1440,0),INT($F142/100)*60+MOD($F142,100)))</f>
        <v/>
      </c>
      <c r="K142" s="41" t="str">
        <f>IF($G142="","",IF($G142&lt;1,ROUND($G142*1440,0),INT($G142/100)*60+MOD($G142,100)))</f>
        <v/>
      </c>
    </row>
    <row r="143" ht="15" customHeight="1" s="26">
      <c r="A143" s="34" t="n"/>
      <c r="B143" s="32" t="n"/>
      <c r="C143" s="33" t="n"/>
      <c r="D143" s="37" t="str">
        <f>IF($C143="","",IFERROR(INDEX(프로젝트목록!$B$3:$B$62,MATCH($C143,프로젝트목록!$A$3:$A$62,0)),"미등록코드"))</f>
        <v/>
      </c>
      <c r="E143" s="32" t="n"/>
      <c r="F143" s="38" t="n"/>
      <c r="G143" s="38" t="n"/>
      <c r="H143" s="39" t="n"/>
      <c r="I143" s="40" t="str">
        <f>IF(OR($J143="",$K143=""),"",ROUND(MAX(0,($K143-$J143)-IF($H143="",0,$H143))/60,2))</f>
        <v/>
      </c>
      <c r="J143" s="41" t="str">
        <f>IF($F143="","",IF($F143&lt;1,ROUND($F143*1440,0),INT($F143/100)*60+MOD($F143,100)))</f>
        <v/>
      </c>
      <c r="K143" s="41" t="str">
        <f>IF($G143="","",IF($G143&lt;1,ROUND($G143*1440,0),INT($G143/100)*60+MOD($G143,100)))</f>
        <v/>
      </c>
    </row>
    <row r="144" ht="15" customHeight="1" s="26">
      <c r="A144" s="34" t="n"/>
      <c r="B144" s="32" t="n"/>
      <c r="C144" s="33" t="n"/>
      <c r="D144" s="37" t="str">
        <f>IF($C144="","",IFERROR(INDEX(프로젝트목록!$B$3:$B$62,MATCH($C144,프로젝트목록!$A$3:$A$62,0)),"미등록코드"))</f>
        <v/>
      </c>
      <c r="E144" s="32" t="n"/>
      <c r="F144" s="38" t="n"/>
      <c r="G144" s="38" t="n"/>
      <c r="H144" s="39" t="n"/>
      <c r="I144" s="40" t="str">
        <f>IF(OR($J144="",$K144=""),"",ROUND(MAX(0,($K144-$J144)-IF($H144="",0,$H144))/60,2))</f>
        <v/>
      </c>
      <c r="J144" s="41" t="str">
        <f>IF($F144="","",IF($F144&lt;1,ROUND($F144*1440,0),INT($F144/100)*60+MOD($F144,100)))</f>
        <v/>
      </c>
      <c r="K144" s="41" t="str">
        <f>IF($G144="","",IF($G144&lt;1,ROUND($G144*1440,0),INT($G144/100)*60+MOD($G144,100)))</f>
        <v/>
      </c>
    </row>
    <row r="145" ht="15" customHeight="1" s="26">
      <c r="A145" s="34" t="n"/>
      <c r="B145" s="32" t="n"/>
      <c r="C145" s="33" t="n"/>
      <c r="D145" s="37" t="str">
        <f>IF($C145="","",IFERROR(INDEX(프로젝트목록!$B$3:$B$62,MATCH($C145,프로젝트목록!$A$3:$A$62,0)),"미등록코드"))</f>
        <v/>
      </c>
      <c r="E145" s="32" t="n"/>
      <c r="F145" s="38" t="n"/>
      <c r="G145" s="38" t="n"/>
      <c r="H145" s="39" t="n"/>
      <c r="I145" s="40" t="str">
        <f>IF(OR($J145="",$K145=""),"",ROUND(MAX(0,($K145-$J145)-IF($H145="",0,$H145))/60,2))</f>
        <v/>
      </c>
      <c r="J145" s="41" t="str">
        <f>IF($F145="","",IF($F145&lt;1,ROUND($F145*1440,0),INT($F145/100)*60+MOD($F145,100)))</f>
        <v/>
      </c>
      <c r="K145" s="41" t="str">
        <f>IF($G145="","",IF($G145&lt;1,ROUND($G145*1440,0),INT($G145/100)*60+MOD($G145,100)))</f>
        <v/>
      </c>
    </row>
    <row r="146" ht="15" customHeight="1" s="26">
      <c r="A146" s="34" t="n"/>
      <c r="B146" s="32" t="n"/>
      <c r="C146" s="33" t="n"/>
      <c r="D146" s="37" t="str">
        <f>IF($C146="","",IFERROR(INDEX(프로젝트목록!$B$3:$B$62,MATCH($C146,프로젝트목록!$A$3:$A$62,0)),"미등록코드"))</f>
        <v/>
      </c>
      <c r="E146" s="32" t="n"/>
      <c r="F146" s="38" t="n"/>
      <c r="G146" s="38" t="n"/>
      <c r="H146" s="39" t="n"/>
      <c r="I146" s="40" t="str">
        <f>IF(OR($J146="",$K146=""),"",ROUND(MAX(0,($K146-$J146)-IF($H146="",0,$H146))/60,2))</f>
        <v/>
      </c>
      <c r="J146" s="41" t="str">
        <f>IF($F146="","",IF($F146&lt;1,ROUND($F146*1440,0),INT($F146/100)*60+MOD($F146,100)))</f>
        <v/>
      </c>
      <c r="K146" s="41" t="str">
        <f>IF($G146="","",IF($G146&lt;1,ROUND($G146*1440,0),INT($G146/100)*60+MOD($G146,100)))</f>
        <v/>
      </c>
    </row>
    <row r="147" ht="15" customHeight="1" s="26">
      <c r="A147" s="34" t="n"/>
      <c r="B147" s="32" t="n"/>
      <c r="C147" s="33" t="n"/>
      <c r="D147" s="37" t="str">
        <f>IF($C147="","",IFERROR(INDEX(프로젝트목록!$B$3:$B$62,MATCH($C147,프로젝트목록!$A$3:$A$62,0)),"미등록코드"))</f>
        <v/>
      </c>
      <c r="E147" s="32" t="n"/>
      <c r="F147" s="38" t="n"/>
      <c r="G147" s="38" t="n"/>
      <c r="H147" s="39" t="n"/>
      <c r="I147" s="40" t="str">
        <f>IF(OR($J147="",$K147=""),"",ROUND(MAX(0,($K147-$J147)-IF($H147="",0,$H147))/60,2))</f>
        <v/>
      </c>
      <c r="J147" s="41" t="str">
        <f>IF($F147="","",IF($F147&lt;1,ROUND($F147*1440,0),INT($F147/100)*60+MOD($F147,100)))</f>
        <v/>
      </c>
      <c r="K147" s="41" t="str">
        <f>IF($G147="","",IF($G147&lt;1,ROUND($G147*1440,0),INT($G147/100)*60+MOD($G147,100)))</f>
        <v/>
      </c>
    </row>
    <row r="148" ht="15" customHeight="1" s="26">
      <c r="A148" s="34" t="n"/>
      <c r="B148" s="32" t="n"/>
      <c r="C148" s="33" t="n"/>
      <c r="D148" s="37" t="str">
        <f>IF($C148="","",IFERROR(INDEX(프로젝트목록!$B$3:$B$62,MATCH($C148,프로젝트목록!$A$3:$A$62,0)),"미등록코드"))</f>
        <v/>
      </c>
      <c r="E148" s="32" t="n"/>
      <c r="F148" s="38" t="n"/>
      <c r="G148" s="38" t="n"/>
      <c r="H148" s="39" t="n"/>
      <c r="I148" s="40" t="str">
        <f>IF(OR($J148="",$K148=""),"",ROUND(MAX(0,($K148-$J148)-IF($H148="",0,$H148))/60,2))</f>
        <v/>
      </c>
      <c r="J148" s="41" t="str">
        <f>IF($F148="","",IF($F148&lt;1,ROUND($F148*1440,0),INT($F148/100)*60+MOD($F148,100)))</f>
        <v/>
      </c>
      <c r="K148" s="41" t="str">
        <f>IF($G148="","",IF($G148&lt;1,ROUND($G148*1440,0),INT($G148/100)*60+MOD($G148,100)))</f>
        <v/>
      </c>
    </row>
    <row r="149" ht="15" customHeight="1" s="26">
      <c r="A149" s="34" t="n"/>
      <c r="B149" s="32" t="n"/>
      <c r="C149" s="33" t="n"/>
      <c r="D149" s="37" t="str">
        <f>IF($C149="","",IFERROR(INDEX(프로젝트목록!$B$3:$B$62,MATCH($C149,프로젝트목록!$A$3:$A$62,0)),"미등록코드"))</f>
        <v/>
      </c>
      <c r="E149" s="32" t="n"/>
      <c r="F149" s="38" t="n"/>
      <c r="G149" s="38" t="n"/>
      <c r="H149" s="39" t="n"/>
      <c r="I149" s="40" t="str">
        <f>IF(OR($J149="",$K149=""),"",ROUND(MAX(0,($K149-$J149)-IF($H149="",0,$H149))/60,2))</f>
        <v/>
      </c>
      <c r="J149" s="41" t="str">
        <f>IF($F149="","",IF($F149&lt;1,ROUND($F149*1440,0),INT($F149/100)*60+MOD($F149,100)))</f>
        <v/>
      </c>
      <c r="K149" s="41" t="str">
        <f>IF($G149="","",IF($G149&lt;1,ROUND($G149*1440,0),INT($G149/100)*60+MOD($G149,100)))</f>
        <v/>
      </c>
    </row>
    <row r="150" ht="15" customHeight="1" s="26">
      <c r="A150" s="34" t="n"/>
      <c r="B150" s="32" t="n"/>
      <c r="C150" s="33" t="n"/>
      <c r="D150" s="37" t="str">
        <f>IF($C150="","",IFERROR(INDEX(프로젝트목록!$B$3:$B$62,MATCH($C150,프로젝트목록!$A$3:$A$62,0)),"미등록코드"))</f>
        <v/>
      </c>
      <c r="E150" s="32" t="n"/>
      <c r="F150" s="38" t="n"/>
      <c r="G150" s="38" t="n"/>
      <c r="H150" s="39" t="n"/>
      <c r="I150" s="40" t="str">
        <f>IF(OR($J150="",$K150=""),"",ROUND(MAX(0,($K150-$J150)-IF($H150="",0,$H150))/60,2))</f>
        <v/>
      </c>
      <c r="J150" s="41" t="str">
        <f>IF($F150="","",IF($F150&lt;1,ROUND($F150*1440,0),INT($F150/100)*60+MOD($F150,100)))</f>
        <v/>
      </c>
      <c r="K150" s="41" t="str">
        <f>IF($G150="","",IF($G150&lt;1,ROUND($G150*1440,0),INT($G150/100)*60+MOD($G150,100)))</f>
        <v/>
      </c>
    </row>
    <row r="151" ht="15" customHeight="1" s="26">
      <c r="A151" s="34" t="n"/>
      <c r="B151" s="32" t="n"/>
      <c r="C151" s="33" t="n"/>
      <c r="D151" s="37" t="str">
        <f>IF($C151="","",IFERROR(INDEX(프로젝트목록!$B$3:$B$62,MATCH($C151,프로젝트목록!$A$3:$A$62,0)),"미등록코드"))</f>
        <v/>
      </c>
      <c r="E151" s="32" t="n"/>
      <c r="F151" s="38" t="n"/>
      <c r="G151" s="38" t="n"/>
      <c r="H151" s="39" t="n"/>
      <c r="I151" s="40" t="str">
        <f>IF(OR($J151="",$K151=""),"",ROUND(MAX(0,($K151-$J151)-IF($H151="",0,$H151))/60,2))</f>
        <v/>
      </c>
      <c r="J151" s="41" t="str">
        <f>IF($F151="","",IF($F151&lt;1,ROUND($F151*1440,0),INT($F151/100)*60+MOD($F151,100)))</f>
        <v/>
      </c>
      <c r="K151" s="41" t="str">
        <f>IF($G151="","",IF($G151&lt;1,ROUND($G151*1440,0),INT($G151/100)*60+MOD($G151,100)))</f>
        <v/>
      </c>
    </row>
    <row r="152" ht="15" customHeight="1" s="26">
      <c r="A152" s="34" t="n"/>
      <c r="B152" s="32" t="n"/>
      <c r="C152" s="33" t="n"/>
      <c r="D152" s="37" t="str">
        <f>IF($C152="","",IFERROR(INDEX(프로젝트목록!$B$3:$B$62,MATCH($C152,프로젝트목록!$A$3:$A$62,0)),"미등록코드"))</f>
        <v/>
      </c>
      <c r="E152" s="32" t="n"/>
      <c r="F152" s="38" t="n"/>
      <c r="G152" s="38" t="n"/>
      <c r="H152" s="39" t="n"/>
      <c r="I152" s="40" t="str">
        <f>IF(OR($J152="",$K152=""),"",ROUND(MAX(0,($K152-$J152)-IF($H152="",0,$H152))/60,2))</f>
        <v/>
      </c>
      <c r="J152" s="41" t="str">
        <f>IF($F152="","",IF($F152&lt;1,ROUND($F152*1440,0),INT($F152/100)*60+MOD($F152,100)))</f>
        <v/>
      </c>
      <c r="K152" s="41" t="str">
        <f>IF($G152="","",IF($G152&lt;1,ROUND($G152*1440,0),INT($G152/100)*60+MOD($G152,100)))</f>
        <v/>
      </c>
    </row>
    <row r="153" ht="15" customHeight="1" s="26">
      <c r="A153" s="34" t="n"/>
      <c r="B153" s="32" t="n"/>
      <c r="C153" s="33" t="n"/>
      <c r="D153" s="37" t="str">
        <f>IF($C153="","",IFERROR(INDEX(프로젝트목록!$B$3:$B$62,MATCH($C153,프로젝트목록!$A$3:$A$62,0)),"미등록코드"))</f>
        <v/>
      </c>
      <c r="E153" s="32" t="n"/>
      <c r="F153" s="38" t="n"/>
      <c r="G153" s="38" t="n"/>
      <c r="H153" s="39" t="n"/>
      <c r="I153" s="40" t="str">
        <f>IF(OR($J153="",$K153=""),"",ROUND(MAX(0,($K153-$J153)-IF($H153="",0,$H153))/60,2))</f>
        <v/>
      </c>
      <c r="J153" s="41" t="str">
        <f>IF($F153="","",IF($F153&lt;1,ROUND($F153*1440,0),INT($F153/100)*60+MOD($F153,100)))</f>
        <v/>
      </c>
      <c r="K153" s="41" t="str">
        <f>IF($G153="","",IF($G153&lt;1,ROUND($G153*1440,0),INT($G153/100)*60+MOD($G153,100)))</f>
        <v/>
      </c>
    </row>
    <row r="154" ht="15" customHeight="1" s="26">
      <c r="A154" s="34" t="n"/>
      <c r="B154" s="32" t="n"/>
      <c r="C154" s="33" t="n"/>
      <c r="D154" s="37" t="str">
        <f>IF($C154="","",IFERROR(INDEX(프로젝트목록!$B$3:$B$62,MATCH($C154,프로젝트목록!$A$3:$A$62,0)),"미등록코드"))</f>
        <v/>
      </c>
      <c r="E154" s="32" t="n"/>
      <c r="F154" s="38" t="n"/>
      <c r="G154" s="38" t="n"/>
      <c r="H154" s="39" t="n"/>
      <c r="I154" s="40" t="str">
        <f>IF(OR($J154="",$K154=""),"",ROUND(MAX(0,($K154-$J154)-IF($H154="",0,$H154))/60,2))</f>
        <v/>
      </c>
      <c r="J154" s="41" t="str">
        <f>IF($F154="","",IF($F154&lt;1,ROUND($F154*1440,0),INT($F154/100)*60+MOD($F154,100)))</f>
        <v/>
      </c>
      <c r="K154" s="41" t="str">
        <f>IF($G154="","",IF($G154&lt;1,ROUND($G154*1440,0),INT($G154/100)*60+MOD($G154,100)))</f>
        <v/>
      </c>
    </row>
    <row r="155" ht="15" customHeight="1" s="26">
      <c r="A155" s="34" t="n"/>
      <c r="B155" s="32" t="n"/>
      <c r="C155" s="33" t="n"/>
      <c r="D155" s="37" t="str">
        <f>IF($C155="","",IFERROR(INDEX(프로젝트목록!$B$3:$B$62,MATCH($C155,프로젝트목록!$A$3:$A$62,0)),"미등록코드"))</f>
        <v/>
      </c>
      <c r="E155" s="32" t="n"/>
      <c r="F155" s="38" t="n"/>
      <c r="G155" s="38" t="n"/>
      <c r="H155" s="39" t="n"/>
      <c r="I155" s="40" t="str">
        <f>IF(OR($J155="",$K155=""),"",ROUND(MAX(0,($K155-$J155)-IF($H155="",0,$H155))/60,2))</f>
        <v/>
      </c>
      <c r="J155" s="41" t="str">
        <f>IF($F155="","",IF($F155&lt;1,ROUND($F155*1440,0),INT($F155/100)*60+MOD($F155,100)))</f>
        <v/>
      </c>
      <c r="K155" s="41" t="str">
        <f>IF($G155="","",IF($G155&lt;1,ROUND($G155*1440,0),INT($G155/100)*60+MOD($G155,100)))</f>
        <v/>
      </c>
    </row>
    <row r="156" ht="15" customHeight="1" s="26">
      <c r="A156" s="34" t="n"/>
      <c r="B156" s="32" t="n"/>
      <c r="C156" s="33" t="n"/>
      <c r="D156" s="37" t="str">
        <f>IF($C156="","",IFERROR(INDEX(프로젝트목록!$B$3:$B$62,MATCH($C156,프로젝트목록!$A$3:$A$62,0)),"미등록코드"))</f>
        <v/>
      </c>
      <c r="E156" s="32" t="n"/>
      <c r="F156" s="38" t="n"/>
      <c r="G156" s="38" t="n"/>
      <c r="H156" s="39" t="n"/>
      <c r="I156" s="40" t="str">
        <f>IF(OR($J156="",$K156=""),"",ROUND(MAX(0,($K156-$J156)-IF($H156="",0,$H156))/60,2))</f>
        <v/>
      </c>
      <c r="J156" s="41" t="str">
        <f>IF($F156="","",IF($F156&lt;1,ROUND($F156*1440,0),INT($F156/100)*60+MOD($F156,100)))</f>
        <v/>
      </c>
      <c r="K156" s="41" t="str">
        <f>IF($G156="","",IF($G156&lt;1,ROUND($G156*1440,0),INT($G156/100)*60+MOD($G156,100)))</f>
        <v/>
      </c>
    </row>
    <row r="157" ht="15" customHeight="1" s="26">
      <c r="A157" s="34" t="n"/>
      <c r="B157" s="32" t="n"/>
      <c r="C157" s="33" t="n"/>
      <c r="D157" s="37" t="str">
        <f>IF($C157="","",IFERROR(INDEX(프로젝트목록!$B$3:$B$62,MATCH($C157,프로젝트목록!$A$3:$A$62,0)),"미등록코드"))</f>
        <v/>
      </c>
      <c r="E157" s="32" t="n"/>
      <c r="F157" s="38" t="n"/>
      <c r="G157" s="38" t="n"/>
      <c r="H157" s="39" t="n"/>
      <c r="I157" s="40" t="str">
        <f>IF(OR($J157="",$K157=""),"",ROUND(MAX(0,($K157-$J157)-IF($H157="",0,$H157))/60,2))</f>
        <v/>
      </c>
      <c r="J157" s="41" t="str">
        <f>IF($F157="","",IF($F157&lt;1,ROUND($F157*1440,0),INT($F157/100)*60+MOD($F157,100)))</f>
        <v/>
      </c>
      <c r="K157" s="41" t="str">
        <f>IF($G157="","",IF($G157&lt;1,ROUND($G157*1440,0),INT($G157/100)*60+MOD($G157,100)))</f>
        <v/>
      </c>
    </row>
    <row r="158" ht="15" customHeight="1" s="26">
      <c r="A158" s="34" t="n"/>
      <c r="B158" s="32" t="n"/>
      <c r="C158" s="33" t="n"/>
      <c r="D158" s="37" t="str">
        <f>IF($C158="","",IFERROR(INDEX(프로젝트목록!$B$3:$B$62,MATCH($C158,프로젝트목록!$A$3:$A$62,0)),"미등록코드"))</f>
        <v/>
      </c>
      <c r="E158" s="32" t="n"/>
      <c r="F158" s="38" t="n"/>
      <c r="G158" s="38" t="n"/>
      <c r="H158" s="39" t="n"/>
      <c r="I158" s="40" t="str">
        <f>IF(OR($J158="",$K158=""),"",ROUND(MAX(0,($K158-$J158)-IF($H158="",0,$H158))/60,2))</f>
        <v/>
      </c>
      <c r="J158" s="41" t="str">
        <f>IF($F158="","",IF($F158&lt;1,ROUND($F158*1440,0),INT($F158/100)*60+MOD($F158,100)))</f>
        <v/>
      </c>
      <c r="K158" s="41" t="str">
        <f>IF($G158="","",IF($G158&lt;1,ROUND($G158*1440,0),INT($G158/100)*60+MOD($G158,100)))</f>
        <v/>
      </c>
    </row>
    <row r="159" ht="15" customHeight="1" s="26">
      <c r="A159" s="34" t="n"/>
      <c r="B159" s="32" t="n"/>
      <c r="C159" s="33" t="n"/>
      <c r="D159" s="37" t="str">
        <f>IF($C159="","",IFERROR(INDEX(프로젝트목록!$B$3:$B$62,MATCH($C159,프로젝트목록!$A$3:$A$62,0)),"미등록코드"))</f>
        <v/>
      </c>
      <c r="E159" s="32" t="n"/>
      <c r="F159" s="38" t="n"/>
      <c r="G159" s="38" t="n"/>
      <c r="H159" s="39" t="n"/>
      <c r="I159" s="40" t="str">
        <f>IF(OR($J159="",$K159=""),"",ROUND(MAX(0,($K159-$J159)-IF($H159="",0,$H159))/60,2))</f>
        <v/>
      </c>
      <c r="J159" s="41" t="str">
        <f>IF($F159="","",IF($F159&lt;1,ROUND($F159*1440,0),INT($F159/100)*60+MOD($F159,100)))</f>
        <v/>
      </c>
      <c r="K159" s="41" t="str">
        <f>IF($G159="","",IF($G159&lt;1,ROUND($G159*1440,0),INT($G159/100)*60+MOD($G159,100)))</f>
        <v/>
      </c>
    </row>
    <row r="160" ht="15" customHeight="1" s="26">
      <c r="A160" s="34" t="n"/>
      <c r="B160" s="32" t="n"/>
      <c r="C160" s="33" t="n"/>
      <c r="D160" s="37" t="str">
        <f>IF($C160="","",IFERROR(INDEX(프로젝트목록!$B$3:$B$62,MATCH($C160,프로젝트목록!$A$3:$A$62,0)),"미등록코드"))</f>
        <v/>
      </c>
      <c r="E160" s="32" t="n"/>
      <c r="F160" s="38" t="n"/>
      <c r="G160" s="38" t="n"/>
      <c r="H160" s="39" t="n"/>
      <c r="I160" s="40" t="str">
        <f>IF(OR($J160="",$K160=""),"",ROUND(MAX(0,($K160-$J160)-IF($H160="",0,$H160))/60,2))</f>
        <v/>
      </c>
      <c r="J160" s="41" t="str">
        <f>IF($F160="","",IF($F160&lt;1,ROUND($F160*1440,0),INT($F160/100)*60+MOD($F160,100)))</f>
        <v/>
      </c>
      <c r="K160" s="41" t="str">
        <f>IF($G160="","",IF($G160&lt;1,ROUND($G160*1440,0),INT($G160/100)*60+MOD($G160,100)))</f>
        <v/>
      </c>
    </row>
    <row r="161" ht="15" customHeight="1" s="26">
      <c r="A161" s="34" t="n"/>
      <c r="B161" s="32" t="n"/>
      <c r="C161" s="33" t="n"/>
      <c r="D161" s="37" t="str">
        <f>IF($C161="","",IFERROR(INDEX(프로젝트목록!$B$3:$B$62,MATCH($C161,프로젝트목록!$A$3:$A$62,0)),"미등록코드"))</f>
        <v/>
      </c>
      <c r="E161" s="32" t="n"/>
      <c r="F161" s="38" t="n"/>
      <c r="G161" s="38" t="n"/>
      <c r="H161" s="39" t="n"/>
      <c r="I161" s="40" t="str">
        <f>IF(OR($J161="",$K161=""),"",ROUND(MAX(0,($K161-$J161)-IF($H161="",0,$H161))/60,2))</f>
        <v/>
      </c>
      <c r="J161" s="41" t="str">
        <f>IF($F161="","",IF($F161&lt;1,ROUND($F161*1440,0),INT($F161/100)*60+MOD($F161,100)))</f>
        <v/>
      </c>
      <c r="K161" s="41" t="str">
        <f>IF($G161="","",IF($G161&lt;1,ROUND($G161*1440,0),INT($G161/100)*60+MOD($G161,100)))</f>
        <v/>
      </c>
    </row>
    <row r="162" ht="15" customHeight="1" s="26">
      <c r="A162" s="34" t="n"/>
      <c r="B162" s="32" t="n"/>
      <c r="C162" s="33" t="n"/>
      <c r="D162" s="37" t="str">
        <f>IF($C162="","",IFERROR(INDEX(프로젝트목록!$B$3:$B$62,MATCH($C162,프로젝트목록!$A$3:$A$62,0)),"미등록코드"))</f>
        <v/>
      </c>
      <c r="E162" s="32" t="n"/>
      <c r="F162" s="38" t="n"/>
      <c r="G162" s="38" t="n"/>
      <c r="H162" s="39" t="n"/>
      <c r="I162" s="40" t="str">
        <f>IF(OR($J162="",$K162=""),"",ROUND(MAX(0,($K162-$J162)-IF($H162="",0,$H162))/60,2))</f>
        <v/>
      </c>
      <c r="J162" s="41" t="str">
        <f>IF($F162="","",IF($F162&lt;1,ROUND($F162*1440,0),INT($F162/100)*60+MOD($F162,100)))</f>
        <v/>
      </c>
      <c r="K162" s="41" t="str">
        <f>IF($G162="","",IF($G162&lt;1,ROUND($G162*1440,0),INT($G162/100)*60+MOD($G162,100)))</f>
        <v/>
      </c>
    </row>
    <row r="163" ht="15" customHeight="1" s="26">
      <c r="A163" s="34" t="n"/>
      <c r="B163" s="32" t="n"/>
      <c r="C163" s="33" t="n"/>
      <c r="D163" s="37" t="str">
        <f>IF($C163="","",IFERROR(INDEX(프로젝트목록!$B$3:$B$62,MATCH($C163,프로젝트목록!$A$3:$A$62,0)),"미등록코드"))</f>
        <v/>
      </c>
      <c r="E163" s="32" t="n"/>
      <c r="F163" s="38" t="n"/>
      <c r="G163" s="38" t="n"/>
      <c r="H163" s="39" t="n"/>
      <c r="I163" s="40" t="str">
        <f>IF(OR($J163="",$K163=""),"",ROUND(MAX(0,($K163-$J163)-IF($H163="",0,$H163))/60,2))</f>
        <v/>
      </c>
      <c r="J163" s="41" t="str">
        <f>IF($F163="","",IF($F163&lt;1,ROUND($F163*1440,0),INT($F163/100)*60+MOD($F163,100)))</f>
        <v/>
      </c>
      <c r="K163" s="41" t="str">
        <f>IF($G163="","",IF($G163&lt;1,ROUND($G163*1440,0),INT($G163/100)*60+MOD($G163,100)))</f>
        <v/>
      </c>
    </row>
    <row r="164" ht="15" customHeight="1" s="26">
      <c r="A164" s="34" t="n"/>
      <c r="B164" s="32" t="n"/>
      <c r="C164" s="33" t="n"/>
      <c r="D164" s="37" t="str">
        <f>IF($C164="","",IFERROR(INDEX(프로젝트목록!$B$3:$B$62,MATCH($C164,프로젝트목록!$A$3:$A$62,0)),"미등록코드"))</f>
        <v/>
      </c>
      <c r="E164" s="32" t="n"/>
      <c r="F164" s="38" t="n"/>
      <c r="G164" s="38" t="n"/>
      <c r="H164" s="39" t="n"/>
      <c r="I164" s="40" t="str">
        <f>IF(OR($J164="",$K164=""),"",ROUND(MAX(0,($K164-$J164)-IF($H164="",0,$H164))/60,2))</f>
        <v/>
      </c>
      <c r="J164" s="41" t="str">
        <f>IF($F164="","",IF($F164&lt;1,ROUND($F164*1440,0),INT($F164/100)*60+MOD($F164,100)))</f>
        <v/>
      </c>
      <c r="K164" s="41" t="str">
        <f>IF($G164="","",IF($G164&lt;1,ROUND($G164*1440,0),INT($G164/100)*60+MOD($G164,100)))</f>
        <v/>
      </c>
    </row>
    <row r="165" ht="15" customHeight="1" s="26">
      <c r="A165" s="34" t="n"/>
      <c r="B165" s="32" t="n"/>
      <c r="C165" s="33" t="n"/>
      <c r="D165" s="37" t="str">
        <f>IF($C165="","",IFERROR(INDEX(프로젝트목록!$B$3:$B$62,MATCH($C165,프로젝트목록!$A$3:$A$62,0)),"미등록코드"))</f>
        <v/>
      </c>
      <c r="E165" s="32" t="n"/>
      <c r="F165" s="38" t="n"/>
      <c r="G165" s="38" t="n"/>
      <c r="H165" s="39" t="n"/>
      <c r="I165" s="40" t="str">
        <f>IF(OR($J165="",$K165=""),"",ROUND(MAX(0,($K165-$J165)-IF($H165="",0,$H165))/60,2))</f>
        <v/>
      </c>
      <c r="J165" s="41" t="str">
        <f>IF($F165="","",IF($F165&lt;1,ROUND($F165*1440,0),INT($F165/100)*60+MOD($F165,100)))</f>
        <v/>
      </c>
      <c r="K165" s="41" t="str">
        <f>IF($G165="","",IF($G165&lt;1,ROUND($G165*1440,0),INT($G165/100)*60+MOD($G165,100)))</f>
        <v/>
      </c>
    </row>
    <row r="166" ht="15" customHeight="1" s="26">
      <c r="A166" s="34" t="n"/>
      <c r="B166" s="32" t="n"/>
      <c r="C166" s="33" t="n"/>
      <c r="D166" s="37" t="str">
        <f>IF($C166="","",IFERROR(INDEX(프로젝트목록!$B$3:$B$62,MATCH($C166,프로젝트목록!$A$3:$A$62,0)),"미등록코드"))</f>
        <v/>
      </c>
      <c r="E166" s="32" t="n"/>
      <c r="F166" s="38" t="n"/>
      <c r="G166" s="38" t="n"/>
      <c r="H166" s="39" t="n"/>
      <c r="I166" s="40" t="str">
        <f>IF(OR($J166="",$K166=""),"",ROUND(MAX(0,($K166-$J166)-IF($H166="",0,$H166))/60,2))</f>
        <v/>
      </c>
      <c r="J166" s="41" t="str">
        <f>IF($F166="","",IF($F166&lt;1,ROUND($F166*1440,0),INT($F166/100)*60+MOD($F166,100)))</f>
        <v/>
      </c>
      <c r="K166" s="41" t="str">
        <f>IF($G166="","",IF($G166&lt;1,ROUND($G166*1440,0),INT($G166/100)*60+MOD($G166,100)))</f>
        <v/>
      </c>
    </row>
    <row r="167" ht="15" customHeight="1" s="26">
      <c r="A167" s="34" t="n"/>
      <c r="B167" s="32" t="n"/>
      <c r="C167" s="33" t="n"/>
      <c r="D167" s="37" t="str">
        <f>IF($C167="","",IFERROR(INDEX(프로젝트목록!$B$3:$B$62,MATCH($C167,프로젝트목록!$A$3:$A$62,0)),"미등록코드"))</f>
        <v/>
      </c>
      <c r="E167" s="32" t="n"/>
      <c r="F167" s="38" t="n"/>
      <c r="G167" s="38" t="n"/>
      <c r="H167" s="39" t="n"/>
      <c r="I167" s="40" t="str">
        <f>IF(OR($J167="",$K167=""),"",ROUND(MAX(0,($K167-$J167)-IF($H167="",0,$H167))/60,2))</f>
        <v/>
      </c>
      <c r="J167" s="41" t="str">
        <f>IF($F167="","",IF($F167&lt;1,ROUND($F167*1440,0),INT($F167/100)*60+MOD($F167,100)))</f>
        <v/>
      </c>
      <c r="K167" s="41" t="str">
        <f>IF($G167="","",IF($G167&lt;1,ROUND($G167*1440,0),INT($G167/100)*60+MOD($G167,100)))</f>
        <v/>
      </c>
    </row>
    <row r="168" ht="15" customHeight="1" s="26">
      <c r="A168" s="34" t="n"/>
      <c r="B168" s="32" t="n"/>
      <c r="C168" s="33" t="n"/>
      <c r="D168" s="37" t="str">
        <f>IF($C168="","",IFERROR(INDEX(프로젝트목록!$B$3:$B$62,MATCH($C168,프로젝트목록!$A$3:$A$62,0)),"미등록코드"))</f>
        <v/>
      </c>
      <c r="E168" s="32" t="n"/>
      <c r="F168" s="38" t="n"/>
      <c r="G168" s="38" t="n"/>
      <c r="H168" s="39" t="n"/>
      <c r="I168" s="40" t="str">
        <f>IF(OR($J168="",$K168=""),"",ROUND(MAX(0,($K168-$J168)-IF($H168="",0,$H168))/60,2))</f>
        <v/>
      </c>
      <c r="J168" s="41" t="str">
        <f>IF($F168="","",IF($F168&lt;1,ROUND($F168*1440,0),INT($F168/100)*60+MOD($F168,100)))</f>
        <v/>
      </c>
      <c r="K168" s="41" t="str">
        <f>IF($G168="","",IF($G168&lt;1,ROUND($G168*1440,0),INT($G168/100)*60+MOD($G168,100)))</f>
        <v/>
      </c>
    </row>
    <row r="169" ht="15" customHeight="1" s="26">
      <c r="A169" s="34" t="n"/>
      <c r="B169" s="32" t="n"/>
      <c r="C169" s="33" t="n"/>
      <c r="D169" s="37" t="str">
        <f>IF($C169="","",IFERROR(INDEX(프로젝트목록!$B$3:$B$62,MATCH($C169,프로젝트목록!$A$3:$A$62,0)),"미등록코드"))</f>
        <v/>
      </c>
      <c r="E169" s="32" t="n"/>
      <c r="F169" s="38" t="n"/>
      <c r="G169" s="38" t="n"/>
      <c r="H169" s="39" t="n"/>
      <c r="I169" s="40" t="str">
        <f>IF(OR($J169="",$K169=""),"",ROUND(MAX(0,($K169-$J169)-IF($H169="",0,$H169))/60,2))</f>
        <v/>
      </c>
      <c r="J169" s="41" t="str">
        <f>IF($F169="","",IF($F169&lt;1,ROUND($F169*1440,0),INT($F169/100)*60+MOD($F169,100)))</f>
        <v/>
      </c>
      <c r="K169" s="41" t="str">
        <f>IF($G169="","",IF($G169&lt;1,ROUND($G169*1440,0),INT($G169/100)*60+MOD($G169,100)))</f>
        <v/>
      </c>
    </row>
    <row r="170" ht="15" customHeight="1" s="26">
      <c r="A170" s="34" t="n"/>
      <c r="B170" s="32" t="n"/>
      <c r="C170" s="33" t="n"/>
      <c r="D170" s="37" t="str">
        <f>IF($C170="","",IFERROR(INDEX(프로젝트목록!$B$3:$B$62,MATCH($C170,프로젝트목록!$A$3:$A$62,0)),"미등록코드"))</f>
        <v/>
      </c>
      <c r="E170" s="32" t="n"/>
      <c r="F170" s="38" t="n"/>
      <c r="G170" s="38" t="n"/>
      <c r="H170" s="39" t="n"/>
      <c r="I170" s="40" t="str">
        <f>IF(OR($J170="",$K170=""),"",ROUND(MAX(0,($K170-$J170)-IF($H170="",0,$H170))/60,2))</f>
        <v/>
      </c>
      <c r="J170" s="41" t="str">
        <f>IF($F170="","",IF($F170&lt;1,ROUND($F170*1440,0),INT($F170/100)*60+MOD($F170,100)))</f>
        <v/>
      </c>
      <c r="K170" s="41" t="str">
        <f>IF($G170="","",IF($G170&lt;1,ROUND($G170*1440,0),INT($G170/100)*60+MOD($G170,100)))</f>
        <v/>
      </c>
    </row>
    <row r="171" ht="15" customHeight="1" s="26">
      <c r="A171" s="34" t="n"/>
      <c r="B171" s="32" t="n"/>
      <c r="C171" s="33" t="n"/>
      <c r="D171" s="37" t="str">
        <f>IF($C171="","",IFERROR(INDEX(프로젝트목록!$B$3:$B$62,MATCH($C171,프로젝트목록!$A$3:$A$62,0)),"미등록코드"))</f>
        <v/>
      </c>
      <c r="E171" s="32" t="n"/>
      <c r="F171" s="38" t="n"/>
      <c r="G171" s="38" t="n"/>
      <c r="H171" s="39" t="n"/>
      <c r="I171" s="40" t="str">
        <f>IF(OR($J171="",$K171=""),"",ROUND(MAX(0,($K171-$J171)-IF($H171="",0,$H171))/60,2))</f>
        <v/>
      </c>
      <c r="J171" s="41" t="str">
        <f>IF($F171="","",IF($F171&lt;1,ROUND($F171*1440,0),INT($F171/100)*60+MOD($F171,100)))</f>
        <v/>
      </c>
      <c r="K171" s="41" t="str">
        <f>IF($G171="","",IF($G171&lt;1,ROUND($G171*1440,0),INT($G171/100)*60+MOD($G171,100)))</f>
        <v/>
      </c>
    </row>
    <row r="172" ht="15" customHeight="1" s="26">
      <c r="A172" s="34" t="n"/>
      <c r="B172" s="32" t="n"/>
      <c r="C172" s="33" t="n"/>
      <c r="D172" s="37" t="str">
        <f>IF($C172="","",IFERROR(INDEX(프로젝트목록!$B$3:$B$62,MATCH($C172,프로젝트목록!$A$3:$A$62,0)),"미등록코드"))</f>
        <v/>
      </c>
      <c r="E172" s="32" t="n"/>
      <c r="F172" s="38" t="n"/>
      <c r="G172" s="38" t="n"/>
      <c r="H172" s="39" t="n"/>
      <c r="I172" s="40" t="str">
        <f>IF(OR($J172="",$K172=""),"",ROUND(MAX(0,($K172-$J172)-IF($H172="",0,$H172))/60,2))</f>
        <v/>
      </c>
      <c r="J172" s="41" t="str">
        <f>IF($F172="","",IF($F172&lt;1,ROUND($F172*1440,0),INT($F172/100)*60+MOD($F172,100)))</f>
        <v/>
      </c>
      <c r="K172" s="41" t="str">
        <f>IF($G172="","",IF($G172&lt;1,ROUND($G172*1440,0),INT($G172/100)*60+MOD($G172,100)))</f>
        <v/>
      </c>
    </row>
    <row r="173" ht="15" customHeight="1" s="26">
      <c r="A173" s="34" t="n"/>
      <c r="B173" s="32" t="n"/>
      <c r="C173" s="33" t="n"/>
      <c r="D173" s="37" t="str">
        <f>IF($C173="","",IFERROR(INDEX(프로젝트목록!$B$3:$B$62,MATCH($C173,프로젝트목록!$A$3:$A$62,0)),"미등록코드"))</f>
        <v/>
      </c>
      <c r="E173" s="32" t="n"/>
      <c r="F173" s="38" t="n"/>
      <c r="G173" s="38" t="n"/>
      <c r="H173" s="39" t="n"/>
      <c r="I173" s="40" t="str">
        <f>IF(OR($J173="",$K173=""),"",ROUND(MAX(0,($K173-$J173)-IF($H173="",0,$H173))/60,2))</f>
        <v/>
      </c>
      <c r="J173" s="41" t="str">
        <f>IF($F173="","",IF($F173&lt;1,ROUND($F173*1440,0),INT($F173/100)*60+MOD($F173,100)))</f>
        <v/>
      </c>
      <c r="K173" s="41" t="str">
        <f>IF($G173="","",IF($G173&lt;1,ROUND($G173*1440,0),INT($G173/100)*60+MOD($G173,100)))</f>
        <v/>
      </c>
    </row>
    <row r="174" ht="15" customHeight="1" s="26">
      <c r="A174" s="34" t="n"/>
      <c r="B174" s="32" t="n"/>
      <c r="C174" s="33" t="n"/>
      <c r="D174" s="37" t="str">
        <f>IF($C174="","",IFERROR(INDEX(프로젝트목록!$B$3:$B$62,MATCH($C174,프로젝트목록!$A$3:$A$62,0)),"미등록코드"))</f>
        <v/>
      </c>
      <c r="E174" s="32" t="n"/>
      <c r="F174" s="38" t="n"/>
      <c r="G174" s="38" t="n"/>
      <c r="H174" s="39" t="n"/>
      <c r="I174" s="40" t="str">
        <f>IF(OR($J174="",$K174=""),"",ROUND(MAX(0,($K174-$J174)-IF($H174="",0,$H174))/60,2))</f>
        <v/>
      </c>
      <c r="J174" s="41" t="str">
        <f>IF($F174="","",IF($F174&lt;1,ROUND($F174*1440,0),INT($F174/100)*60+MOD($F174,100)))</f>
        <v/>
      </c>
      <c r="K174" s="41" t="str">
        <f>IF($G174="","",IF($G174&lt;1,ROUND($G174*1440,0),INT($G174/100)*60+MOD($G174,100)))</f>
        <v/>
      </c>
    </row>
    <row r="175" ht="15" customHeight="1" s="26">
      <c r="A175" s="34" t="n"/>
      <c r="B175" s="32" t="n"/>
      <c r="C175" s="33" t="n"/>
      <c r="D175" s="37" t="str">
        <f>IF($C175="","",IFERROR(INDEX(프로젝트목록!$B$3:$B$62,MATCH($C175,프로젝트목록!$A$3:$A$62,0)),"미등록코드"))</f>
        <v/>
      </c>
      <c r="E175" s="32" t="n"/>
      <c r="F175" s="38" t="n"/>
      <c r="G175" s="38" t="n"/>
      <c r="H175" s="39" t="n"/>
      <c r="I175" s="40" t="str">
        <f>IF(OR($J175="",$K175=""),"",ROUND(MAX(0,($K175-$J175)-IF($H175="",0,$H175))/60,2))</f>
        <v/>
      </c>
      <c r="J175" s="41" t="str">
        <f>IF($F175="","",IF($F175&lt;1,ROUND($F175*1440,0),INT($F175/100)*60+MOD($F175,100)))</f>
        <v/>
      </c>
      <c r="K175" s="41" t="str">
        <f>IF($G175="","",IF($G175&lt;1,ROUND($G175*1440,0),INT($G175/100)*60+MOD($G175,100)))</f>
        <v/>
      </c>
    </row>
    <row r="176" ht="15" customHeight="1" s="26">
      <c r="A176" s="34" t="n"/>
      <c r="B176" s="32" t="n"/>
      <c r="C176" s="33" t="n"/>
      <c r="D176" s="37" t="str">
        <f>IF($C176="","",IFERROR(INDEX(프로젝트목록!$B$3:$B$62,MATCH($C176,프로젝트목록!$A$3:$A$62,0)),"미등록코드"))</f>
        <v/>
      </c>
      <c r="E176" s="32" t="n"/>
      <c r="F176" s="38" t="n"/>
      <c r="G176" s="38" t="n"/>
      <c r="H176" s="39" t="n"/>
      <c r="I176" s="40" t="str">
        <f>IF(OR($J176="",$K176=""),"",ROUND(MAX(0,($K176-$J176)-IF($H176="",0,$H176))/60,2))</f>
        <v/>
      </c>
      <c r="J176" s="41" t="str">
        <f>IF($F176="","",IF($F176&lt;1,ROUND($F176*1440,0),INT($F176/100)*60+MOD($F176,100)))</f>
        <v/>
      </c>
      <c r="K176" s="41" t="str">
        <f>IF($G176="","",IF($G176&lt;1,ROUND($G176*1440,0),INT($G176/100)*60+MOD($G176,100)))</f>
        <v/>
      </c>
    </row>
    <row r="177" ht="15" customHeight="1" s="26">
      <c r="A177" s="34" t="n"/>
      <c r="B177" s="32" t="n"/>
      <c r="C177" s="33" t="n"/>
      <c r="D177" s="37" t="str">
        <f>IF($C177="","",IFERROR(INDEX(프로젝트목록!$B$3:$B$62,MATCH($C177,프로젝트목록!$A$3:$A$62,0)),"미등록코드"))</f>
        <v/>
      </c>
      <c r="E177" s="32" t="n"/>
      <c r="F177" s="38" t="n"/>
      <c r="G177" s="38" t="n"/>
      <c r="H177" s="39" t="n"/>
      <c r="I177" s="40" t="str">
        <f>IF(OR($J177="",$K177=""),"",ROUND(MAX(0,($K177-$J177)-IF($H177="",0,$H177))/60,2))</f>
        <v/>
      </c>
      <c r="J177" s="41" t="str">
        <f>IF($F177="","",IF($F177&lt;1,ROUND($F177*1440,0),INT($F177/100)*60+MOD($F177,100)))</f>
        <v/>
      </c>
      <c r="K177" s="41" t="str">
        <f>IF($G177="","",IF($G177&lt;1,ROUND($G177*1440,0),INT($G177/100)*60+MOD($G177,100)))</f>
        <v/>
      </c>
    </row>
    <row r="178" ht="15" customHeight="1" s="26">
      <c r="A178" s="34" t="n"/>
      <c r="B178" s="32" t="n"/>
      <c r="C178" s="33" t="n"/>
      <c r="D178" s="37" t="str">
        <f>IF($C178="","",IFERROR(INDEX(프로젝트목록!$B$3:$B$62,MATCH($C178,프로젝트목록!$A$3:$A$62,0)),"미등록코드"))</f>
        <v/>
      </c>
      <c r="E178" s="32" t="n"/>
      <c r="F178" s="38" t="n"/>
      <c r="G178" s="38" t="n"/>
      <c r="H178" s="39" t="n"/>
      <c r="I178" s="40" t="str">
        <f>IF(OR($J178="",$K178=""),"",ROUND(MAX(0,($K178-$J178)-IF($H178="",0,$H178))/60,2))</f>
        <v/>
      </c>
      <c r="J178" s="41" t="str">
        <f>IF($F178="","",IF($F178&lt;1,ROUND($F178*1440,0),INT($F178/100)*60+MOD($F178,100)))</f>
        <v/>
      </c>
      <c r="K178" s="41" t="str">
        <f>IF($G178="","",IF($G178&lt;1,ROUND($G178*1440,0),INT($G178/100)*60+MOD($G178,100)))</f>
        <v/>
      </c>
    </row>
    <row r="179" ht="15" customHeight="1" s="26">
      <c r="A179" s="34" t="n"/>
      <c r="B179" s="32" t="n"/>
      <c r="C179" s="33" t="n"/>
      <c r="D179" s="37" t="str">
        <f>IF($C179="","",IFERROR(INDEX(프로젝트목록!$B$3:$B$62,MATCH($C179,프로젝트목록!$A$3:$A$62,0)),"미등록코드"))</f>
        <v/>
      </c>
      <c r="E179" s="32" t="n"/>
      <c r="F179" s="38" t="n"/>
      <c r="G179" s="38" t="n"/>
      <c r="H179" s="39" t="n"/>
      <c r="I179" s="40" t="str">
        <f>IF(OR($J179="",$K179=""),"",ROUND(MAX(0,($K179-$J179)-IF($H179="",0,$H179))/60,2))</f>
        <v/>
      </c>
      <c r="J179" s="41" t="str">
        <f>IF($F179="","",IF($F179&lt;1,ROUND($F179*1440,0),INT($F179/100)*60+MOD($F179,100)))</f>
        <v/>
      </c>
      <c r="K179" s="41" t="str">
        <f>IF($G179="","",IF($G179&lt;1,ROUND($G179*1440,0),INT($G179/100)*60+MOD($G179,100)))</f>
        <v/>
      </c>
    </row>
    <row r="180" ht="15" customHeight="1" s="26">
      <c r="A180" s="34" t="n"/>
      <c r="B180" s="32" t="n"/>
      <c r="C180" s="33" t="n"/>
      <c r="D180" s="37" t="str">
        <f>IF($C180="","",IFERROR(INDEX(프로젝트목록!$B$3:$B$62,MATCH($C180,프로젝트목록!$A$3:$A$62,0)),"미등록코드"))</f>
        <v/>
      </c>
      <c r="E180" s="32" t="n"/>
      <c r="F180" s="38" t="n"/>
      <c r="G180" s="38" t="n"/>
      <c r="H180" s="39" t="n"/>
      <c r="I180" s="40" t="str">
        <f>IF(OR($J180="",$K180=""),"",ROUND(MAX(0,($K180-$J180)-IF($H180="",0,$H180))/60,2))</f>
        <v/>
      </c>
      <c r="J180" s="41" t="str">
        <f>IF($F180="","",IF($F180&lt;1,ROUND($F180*1440,0),INT($F180/100)*60+MOD($F180,100)))</f>
        <v/>
      </c>
      <c r="K180" s="41" t="str">
        <f>IF($G180="","",IF($G180&lt;1,ROUND($G180*1440,0),INT($G180/100)*60+MOD($G180,100)))</f>
        <v/>
      </c>
    </row>
    <row r="181" ht="15" customHeight="1" s="26">
      <c r="A181" s="34" t="n"/>
      <c r="B181" s="32" t="n"/>
      <c r="C181" s="33" t="n"/>
      <c r="D181" s="37" t="str">
        <f>IF($C181="","",IFERROR(INDEX(프로젝트목록!$B$3:$B$62,MATCH($C181,프로젝트목록!$A$3:$A$62,0)),"미등록코드"))</f>
        <v/>
      </c>
      <c r="E181" s="32" t="n"/>
      <c r="F181" s="38" t="n"/>
      <c r="G181" s="38" t="n"/>
      <c r="H181" s="39" t="n"/>
      <c r="I181" s="40" t="str">
        <f>IF(OR($J181="",$K181=""),"",ROUND(MAX(0,($K181-$J181)-IF($H181="",0,$H181))/60,2))</f>
        <v/>
      </c>
      <c r="J181" s="41" t="str">
        <f>IF($F181="","",IF($F181&lt;1,ROUND($F181*1440,0),INT($F181/100)*60+MOD($F181,100)))</f>
        <v/>
      </c>
      <c r="K181" s="41" t="str">
        <f>IF($G181="","",IF($G181&lt;1,ROUND($G181*1440,0),INT($G181/100)*60+MOD($G181,100)))</f>
        <v/>
      </c>
    </row>
    <row r="182" ht="15" customHeight="1" s="26">
      <c r="A182" s="34" t="n"/>
      <c r="B182" s="32" t="n"/>
      <c r="C182" s="33" t="n"/>
      <c r="D182" s="37" t="str">
        <f>IF($C182="","",IFERROR(INDEX(프로젝트목록!$B$3:$B$62,MATCH($C182,프로젝트목록!$A$3:$A$62,0)),"미등록코드"))</f>
        <v/>
      </c>
      <c r="E182" s="32" t="n"/>
      <c r="F182" s="38" t="n"/>
      <c r="G182" s="38" t="n"/>
      <c r="H182" s="39" t="n"/>
      <c r="I182" s="40" t="str">
        <f>IF(OR($J182="",$K182=""),"",ROUND(MAX(0,($K182-$J182)-IF($H182="",0,$H182))/60,2))</f>
        <v/>
      </c>
      <c r="J182" s="41" t="str">
        <f>IF($F182="","",IF($F182&lt;1,ROUND($F182*1440,0),INT($F182/100)*60+MOD($F182,100)))</f>
        <v/>
      </c>
      <c r="K182" s="41" t="str">
        <f>IF($G182="","",IF($G182&lt;1,ROUND($G182*1440,0),INT($G182/100)*60+MOD($G182,100)))</f>
        <v/>
      </c>
    </row>
    <row r="183" ht="15" customHeight="1" s="26">
      <c r="A183" s="34" t="n"/>
      <c r="B183" s="32" t="n"/>
      <c r="C183" s="33" t="n"/>
      <c r="D183" s="37" t="str">
        <f>IF($C183="","",IFERROR(INDEX(프로젝트목록!$B$3:$B$62,MATCH($C183,프로젝트목록!$A$3:$A$62,0)),"미등록코드"))</f>
        <v/>
      </c>
      <c r="E183" s="32" t="n"/>
      <c r="F183" s="38" t="n"/>
      <c r="G183" s="38" t="n"/>
      <c r="H183" s="39" t="n"/>
      <c r="I183" s="40" t="str">
        <f>IF(OR($J183="",$K183=""),"",ROUND(MAX(0,($K183-$J183)-IF($H183="",0,$H183))/60,2))</f>
        <v/>
      </c>
      <c r="J183" s="41" t="str">
        <f>IF($F183="","",IF($F183&lt;1,ROUND($F183*1440,0),INT($F183/100)*60+MOD($F183,100)))</f>
        <v/>
      </c>
      <c r="K183" s="41" t="str">
        <f>IF($G183="","",IF($G183&lt;1,ROUND($G183*1440,0),INT($G183/100)*60+MOD($G183,100)))</f>
        <v/>
      </c>
    </row>
    <row r="184" ht="15" customHeight="1" s="26">
      <c r="A184" s="34" t="n"/>
      <c r="B184" s="32" t="n"/>
      <c r="C184" s="33" t="n"/>
      <c r="D184" s="37" t="str">
        <f>IF($C184="","",IFERROR(INDEX(프로젝트목록!$B$3:$B$62,MATCH($C184,프로젝트목록!$A$3:$A$62,0)),"미등록코드"))</f>
        <v/>
      </c>
      <c r="E184" s="32" t="n"/>
      <c r="F184" s="38" t="n"/>
      <c r="G184" s="38" t="n"/>
      <c r="H184" s="39" t="n"/>
      <c r="I184" s="40" t="str">
        <f>IF(OR($J184="",$K184=""),"",ROUND(MAX(0,($K184-$J184)-IF($H184="",0,$H184))/60,2))</f>
        <v/>
      </c>
      <c r="J184" s="41" t="str">
        <f>IF($F184="","",IF($F184&lt;1,ROUND($F184*1440,0),INT($F184/100)*60+MOD($F184,100)))</f>
        <v/>
      </c>
      <c r="K184" s="41" t="str">
        <f>IF($G184="","",IF($G184&lt;1,ROUND($G184*1440,0),INT($G184/100)*60+MOD($G184,100)))</f>
        <v/>
      </c>
    </row>
    <row r="185" ht="15" customHeight="1" s="26">
      <c r="A185" s="34" t="n"/>
      <c r="B185" s="32" t="n"/>
      <c r="C185" s="33" t="n"/>
      <c r="D185" s="37" t="str">
        <f>IF($C185="","",IFERROR(INDEX(프로젝트목록!$B$3:$B$62,MATCH($C185,프로젝트목록!$A$3:$A$62,0)),"미등록코드"))</f>
        <v/>
      </c>
      <c r="E185" s="32" t="n"/>
      <c r="F185" s="38" t="n"/>
      <c r="G185" s="38" t="n"/>
      <c r="H185" s="39" t="n"/>
      <c r="I185" s="40" t="str">
        <f>IF(OR($J185="",$K185=""),"",ROUND(MAX(0,($K185-$J185)-IF($H185="",0,$H185))/60,2))</f>
        <v/>
      </c>
      <c r="J185" s="41" t="str">
        <f>IF($F185="","",IF($F185&lt;1,ROUND($F185*1440,0),INT($F185/100)*60+MOD($F185,100)))</f>
        <v/>
      </c>
      <c r="K185" s="41" t="str">
        <f>IF($G185="","",IF($G185&lt;1,ROUND($G185*1440,0),INT($G185/100)*60+MOD($G185,100)))</f>
        <v/>
      </c>
    </row>
    <row r="186" ht="15" customHeight="1" s="26">
      <c r="A186" s="34" t="n"/>
      <c r="B186" s="32" t="n"/>
      <c r="C186" s="33" t="n"/>
      <c r="D186" s="37" t="str">
        <f>IF($C186="","",IFERROR(INDEX(프로젝트목록!$B$3:$B$62,MATCH($C186,프로젝트목록!$A$3:$A$62,0)),"미등록코드"))</f>
        <v/>
      </c>
      <c r="E186" s="32" t="n"/>
      <c r="F186" s="38" t="n"/>
      <c r="G186" s="38" t="n"/>
      <c r="H186" s="39" t="n"/>
      <c r="I186" s="40" t="str">
        <f>IF(OR($J186="",$K186=""),"",ROUND(MAX(0,($K186-$J186)-IF($H186="",0,$H186))/60,2))</f>
        <v/>
      </c>
      <c r="J186" s="41" t="str">
        <f>IF($F186="","",IF($F186&lt;1,ROUND($F186*1440,0),INT($F186/100)*60+MOD($F186,100)))</f>
        <v/>
      </c>
      <c r="K186" s="41" t="str">
        <f>IF($G186="","",IF($G186&lt;1,ROUND($G186*1440,0),INT($G186/100)*60+MOD($G186,100)))</f>
        <v/>
      </c>
    </row>
    <row r="187" ht="15" customHeight="1" s="26">
      <c r="A187" s="34" t="n"/>
      <c r="B187" s="32" t="n"/>
      <c r="C187" s="33" t="n"/>
      <c r="D187" s="37" t="str">
        <f>IF($C187="","",IFERROR(INDEX(프로젝트목록!$B$3:$B$62,MATCH($C187,프로젝트목록!$A$3:$A$62,0)),"미등록코드"))</f>
        <v/>
      </c>
      <c r="E187" s="32" t="n"/>
      <c r="F187" s="38" t="n"/>
      <c r="G187" s="38" t="n"/>
      <c r="H187" s="39" t="n"/>
      <c r="I187" s="40" t="str">
        <f>IF(OR($J187="",$K187=""),"",ROUND(MAX(0,($K187-$J187)-IF($H187="",0,$H187))/60,2))</f>
        <v/>
      </c>
      <c r="J187" s="41" t="str">
        <f>IF($F187="","",IF($F187&lt;1,ROUND($F187*1440,0),INT($F187/100)*60+MOD($F187,100)))</f>
        <v/>
      </c>
      <c r="K187" s="41" t="str">
        <f>IF($G187="","",IF($G187&lt;1,ROUND($G187*1440,0),INT($G187/100)*60+MOD($G187,100)))</f>
        <v/>
      </c>
    </row>
    <row r="188" ht="15" customHeight="1" s="26">
      <c r="A188" s="34" t="n"/>
      <c r="B188" s="32" t="n"/>
      <c r="C188" s="33" t="n"/>
      <c r="D188" s="37" t="str">
        <f>IF($C188="","",IFERROR(INDEX(프로젝트목록!$B$3:$B$62,MATCH($C188,프로젝트목록!$A$3:$A$62,0)),"미등록코드"))</f>
        <v/>
      </c>
      <c r="E188" s="32" t="n"/>
      <c r="F188" s="38" t="n"/>
      <c r="G188" s="38" t="n"/>
      <c r="H188" s="39" t="n"/>
      <c r="I188" s="40" t="str">
        <f>IF(OR($J188="",$K188=""),"",ROUND(MAX(0,($K188-$J188)-IF($H188="",0,$H188))/60,2))</f>
        <v/>
      </c>
      <c r="J188" s="41" t="str">
        <f>IF($F188="","",IF($F188&lt;1,ROUND($F188*1440,0),INT($F188/100)*60+MOD($F188,100)))</f>
        <v/>
      </c>
      <c r="K188" s="41" t="str">
        <f>IF($G188="","",IF($G188&lt;1,ROUND($G188*1440,0),INT($G188/100)*60+MOD($G188,100)))</f>
        <v/>
      </c>
    </row>
    <row r="189" ht="15" customHeight="1" s="26">
      <c r="A189" s="34" t="n"/>
      <c r="B189" s="32" t="n"/>
      <c r="C189" s="33" t="n"/>
      <c r="D189" s="37" t="str">
        <f>IF($C189="","",IFERROR(INDEX(프로젝트목록!$B$3:$B$62,MATCH($C189,프로젝트목록!$A$3:$A$62,0)),"미등록코드"))</f>
        <v/>
      </c>
      <c r="E189" s="32" t="n"/>
      <c r="F189" s="38" t="n"/>
      <c r="G189" s="38" t="n"/>
      <c r="H189" s="39" t="n"/>
      <c r="I189" s="40" t="str">
        <f>IF(OR($J189="",$K189=""),"",ROUND(MAX(0,($K189-$J189)-IF($H189="",0,$H189))/60,2))</f>
        <v/>
      </c>
      <c r="J189" s="41" t="str">
        <f>IF($F189="","",IF($F189&lt;1,ROUND($F189*1440,0),INT($F189/100)*60+MOD($F189,100)))</f>
        <v/>
      </c>
      <c r="K189" s="41" t="str">
        <f>IF($G189="","",IF($G189&lt;1,ROUND($G189*1440,0),INT($G189/100)*60+MOD($G189,100)))</f>
        <v/>
      </c>
    </row>
    <row r="190" ht="15" customHeight="1" s="26">
      <c r="A190" s="34" t="n"/>
      <c r="B190" s="32" t="n"/>
      <c r="C190" s="33" t="n"/>
      <c r="D190" s="37" t="str">
        <f>IF($C190="","",IFERROR(INDEX(프로젝트목록!$B$3:$B$62,MATCH($C190,프로젝트목록!$A$3:$A$62,0)),"미등록코드"))</f>
        <v/>
      </c>
      <c r="E190" s="32" t="n"/>
      <c r="F190" s="38" t="n"/>
      <c r="G190" s="38" t="n"/>
      <c r="H190" s="39" t="n"/>
      <c r="I190" s="40" t="str">
        <f>IF(OR($J190="",$K190=""),"",ROUND(MAX(0,($K190-$J190)-IF($H190="",0,$H190))/60,2))</f>
        <v/>
      </c>
      <c r="J190" s="41" t="str">
        <f>IF($F190="","",IF($F190&lt;1,ROUND($F190*1440,0),INT($F190/100)*60+MOD($F190,100)))</f>
        <v/>
      </c>
      <c r="K190" s="41" t="str">
        <f>IF($G190="","",IF($G190&lt;1,ROUND($G190*1440,0),INT($G190/100)*60+MOD($G190,100)))</f>
        <v/>
      </c>
    </row>
    <row r="191" ht="15" customHeight="1" s="26">
      <c r="A191" s="34" t="n"/>
      <c r="B191" s="32" t="n"/>
      <c r="C191" s="33" t="n"/>
      <c r="D191" s="37" t="str">
        <f>IF($C191="","",IFERROR(INDEX(프로젝트목록!$B$3:$B$62,MATCH($C191,프로젝트목록!$A$3:$A$62,0)),"미등록코드"))</f>
        <v/>
      </c>
      <c r="E191" s="32" t="n"/>
      <c r="F191" s="38" t="n"/>
      <c r="G191" s="38" t="n"/>
      <c r="H191" s="39" t="n"/>
      <c r="I191" s="40" t="str">
        <f>IF(OR($J191="",$K191=""),"",ROUND(MAX(0,($K191-$J191)-IF($H191="",0,$H191))/60,2))</f>
        <v/>
      </c>
      <c r="J191" s="41" t="str">
        <f>IF($F191="","",IF($F191&lt;1,ROUND($F191*1440,0),INT($F191/100)*60+MOD($F191,100)))</f>
        <v/>
      </c>
      <c r="K191" s="41" t="str">
        <f>IF($G191="","",IF($G191&lt;1,ROUND($G191*1440,0),INT($G191/100)*60+MOD($G191,100)))</f>
        <v/>
      </c>
    </row>
    <row r="192" ht="15" customHeight="1" s="26">
      <c r="A192" s="34" t="n"/>
      <c r="B192" s="32" t="n"/>
      <c r="C192" s="33" t="n"/>
      <c r="D192" s="37" t="str">
        <f>IF($C192="","",IFERROR(INDEX(프로젝트목록!$B$3:$B$62,MATCH($C192,프로젝트목록!$A$3:$A$62,0)),"미등록코드"))</f>
        <v/>
      </c>
      <c r="E192" s="32" t="n"/>
      <c r="F192" s="38" t="n"/>
      <c r="G192" s="38" t="n"/>
      <c r="H192" s="39" t="n"/>
      <c r="I192" s="40" t="str">
        <f>IF(OR($J192="",$K192=""),"",ROUND(MAX(0,($K192-$J192)-IF($H192="",0,$H192))/60,2))</f>
        <v/>
      </c>
      <c r="J192" s="41" t="str">
        <f>IF($F192="","",IF($F192&lt;1,ROUND($F192*1440,0),INT($F192/100)*60+MOD($F192,100)))</f>
        <v/>
      </c>
      <c r="K192" s="41" t="str">
        <f>IF($G192="","",IF($G192&lt;1,ROUND($G192*1440,0),INT($G192/100)*60+MOD($G192,100)))</f>
        <v/>
      </c>
    </row>
    <row r="193" ht="15" customHeight="1" s="26">
      <c r="A193" s="34" t="n"/>
      <c r="B193" s="32" t="n"/>
      <c r="C193" s="33" t="n"/>
      <c r="D193" s="37" t="str">
        <f>IF($C193="","",IFERROR(INDEX(프로젝트목록!$B$3:$B$62,MATCH($C193,프로젝트목록!$A$3:$A$62,0)),"미등록코드"))</f>
        <v/>
      </c>
      <c r="E193" s="32" t="n"/>
      <c r="F193" s="38" t="n"/>
      <c r="G193" s="38" t="n"/>
      <c r="H193" s="39" t="n"/>
      <c r="I193" s="40" t="str">
        <f>IF(OR($J193="",$K193=""),"",ROUND(MAX(0,($K193-$J193)-IF($H193="",0,$H193))/60,2))</f>
        <v/>
      </c>
      <c r="J193" s="41" t="str">
        <f>IF($F193="","",IF($F193&lt;1,ROUND($F193*1440,0),INT($F193/100)*60+MOD($F193,100)))</f>
        <v/>
      </c>
      <c r="K193" s="41" t="str">
        <f>IF($G193="","",IF($G193&lt;1,ROUND($G193*1440,0),INT($G193/100)*60+MOD($G193,100)))</f>
        <v/>
      </c>
    </row>
    <row r="194" ht="15" customHeight="1" s="26">
      <c r="A194" s="34" t="n"/>
      <c r="B194" s="32" t="n"/>
      <c r="C194" s="33" t="n"/>
      <c r="D194" s="37" t="str">
        <f>IF($C194="","",IFERROR(INDEX(프로젝트목록!$B$3:$B$62,MATCH($C194,프로젝트목록!$A$3:$A$62,0)),"미등록코드"))</f>
        <v/>
      </c>
      <c r="E194" s="32" t="n"/>
      <c r="F194" s="38" t="n"/>
      <c r="G194" s="38" t="n"/>
      <c r="H194" s="39" t="n"/>
      <c r="I194" s="40" t="str">
        <f>IF(OR($J194="",$K194=""),"",ROUND(MAX(0,($K194-$J194)-IF($H194="",0,$H194))/60,2))</f>
        <v/>
      </c>
      <c r="J194" s="41" t="str">
        <f>IF($F194="","",IF($F194&lt;1,ROUND($F194*1440,0),INT($F194/100)*60+MOD($F194,100)))</f>
        <v/>
      </c>
      <c r="K194" s="41" t="str">
        <f>IF($G194="","",IF($G194&lt;1,ROUND($G194*1440,0),INT($G194/100)*60+MOD($G194,100)))</f>
        <v/>
      </c>
    </row>
    <row r="195" ht="15" customHeight="1" s="26">
      <c r="A195" s="34" t="n"/>
      <c r="B195" s="32" t="n"/>
      <c r="C195" s="33" t="n"/>
      <c r="D195" s="37" t="str">
        <f>IF($C195="","",IFERROR(INDEX(프로젝트목록!$B$3:$B$62,MATCH($C195,프로젝트목록!$A$3:$A$62,0)),"미등록코드"))</f>
        <v/>
      </c>
      <c r="E195" s="32" t="n"/>
      <c r="F195" s="38" t="n"/>
      <c r="G195" s="38" t="n"/>
      <c r="H195" s="39" t="n"/>
      <c r="I195" s="40" t="str">
        <f>IF(OR($J195="",$K195=""),"",ROUND(MAX(0,($K195-$J195)-IF($H195="",0,$H195))/60,2))</f>
        <v/>
      </c>
      <c r="J195" s="41" t="str">
        <f>IF($F195="","",IF($F195&lt;1,ROUND($F195*1440,0),INT($F195/100)*60+MOD($F195,100)))</f>
        <v/>
      </c>
      <c r="K195" s="41" t="str">
        <f>IF($G195="","",IF($G195&lt;1,ROUND($G195*1440,0),INT($G195/100)*60+MOD($G195,100)))</f>
        <v/>
      </c>
    </row>
    <row r="196" ht="15" customHeight="1" s="26">
      <c r="A196" s="34" t="n"/>
      <c r="B196" s="32" t="n"/>
      <c r="C196" s="33" t="n"/>
      <c r="D196" s="37" t="str">
        <f>IF($C196="","",IFERROR(INDEX(프로젝트목록!$B$3:$B$62,MATCH($C196,프로젝트목록!$A$3:$A$62,0)),"미등록코드"))</f>
        <v/>
      </c>
      <c r="E196" s="32" t="n"/>
      <c r="F196" s="38" t="n"/>
      <c r="G196" s="38" t="n"/>
      <c r="H196" s="39" t="n"/>
      <c r="I196" s="40" t="str">
        <f>IF(OR($J196="",$K196=""),"",ROUND(MAX(0,($K196-$J196)-IF($H196="",0,$H196))/60,2))</f>
        <v/>
      </c>
      <c r="J196" s="41" t="str">
        <f>IF($F196="","",IF($F196&lt;1,ROUND($F196*1440,0),INT($F196/100)*60+MOD($F196,100)))</f>
        <v/>
      </c>
      <c r="K196" s="41" t="str">
        <f>IF($G196="","",IF($G196&lt;1,ROUND($G196*1440,0),INT($G196/100)*60+MOD($G196,100)))</f>
        <v/>
      </c>
    </row>
    <row r="197" ht="15" customHeight="1" s="26">
      <c r="A197" s="34" t="n"/>
      <c r="B197" s="32" t="n"/>
      <c r="C197" s="33" t="n"/>
      <c r="D197" s="37" t="str">
        <f>IF($C197="","",IFERROR(INDEX(프로젝트목록!$B$3:$B$62,MATCH($C197,프로젝트목록!$A$3:$A$62,0)),"미등록코드"))</f>
        <v/>
      </c>
      <c r="E197" s="32" t="n"/>
      <c r="F197" s="38" t="n"/>
      <c r="G197" s="38" t="n"/>
      <c r="H197" s="39" t="n"/>
      <c r="I197" s="40" t="str">
        <f>IF(OR($J197="",$K197=""),"",ROUND(MAX(0,($K197-$J197)-IF($H197="",0,$H197))/60,2))</f>
        <v/>
      </c>
      <c r="J197" s="41" t="str">
        <f>IF($F197="","",IF($F197&lt;1,ROUND($F197*1440,0),INT($F197/100)*60+MOD($F197,100)))</f>
        <v/>
      </c>
      <c r="K197" s="41" t="str">
        <f>IF($G197="","",IF($G197&lt;1,ROUND($G197*1440,0),INT($G197/100)*60+MOD($G197,100)))</f>
        <v/>
      </c>
    </row>
    <row r="198" ht="15" customHeight="1" s="26">
      <c r="A198" s="34" t="n"/>
      <c r="B198" s="32" t="n"/>
      <c r="C198" s="33" t="n"/>
      <c r="D198" s="37" t="str">
        <f>IF($C198="","",IFERROR(INDEX(프로젝트목록!$B$3:$B$62,MATCH($C198,프로젝트목록!$A$3:$A$62,0)),"미등록코드"))</f>
        <v/>
      </c>
      <c r="E198" s="32" t="n"/>
      <c r="F198" s="38" t="n"/>
      <c r="G198" s="38" t="n"/>
      <c r="H198" s="39" t="n"/>
      <c r="I198" s="40" t="str">
        <f>IF(OR($J198="",$K198=""),"",ROUND(MAX(0,($K198-$J198)-IF($H198="",0,$H198))/60,2))</f>
        <v/>
      </c>
      <c r="J198" s="41" t="str">
        <f>IF($F198="","",IF($F198&lt;1,ROUND($F198*1440,0),INT($F198/100)*60+MOD($F198,100)))</f>
        <v/>
      </c>
      <c r="K198" s="41" t="str">
        <f>IF($G198="","",IF($G198&lt;1,ROUND($G198*1440,0),INT($G198/100)*60+MOD($G198,100)))</f>
        <v/>
      </c>
    </row>
    <row r="199" ht="15" customHeight="1" s="26">
      <c r="A199" s="34" t="n"/>
      <c r="B199" s="32" t="n"/>
      <c r="C199" s="33" t="n"/>
      <c r="D199" s="37" t="str">
        <f>IF($C199="","",IFERROR(INDEX(프로젝트목록!$B$3:$B$62,MATCH($C199,프로젝트목록!$A$3:$A$62,0)),"미등록코드"))</f>
        <v/>
      </c>
      <c r="E199" s="32" t="n"/>
      <c r="F199" s="38" t="n"/>
      <c r="G199" s="38" t="n"/>
      <c r="H199" s="39" t="n"/>
      <c r="I199" s="40" t="str">
        <f>IF(OR($J199="",$K199=""),"",ROUND(MAX(0,($K199-$J199)-IF($H199="",0,$H199))/60,2))</f>
        <v/>
      </c>
      <c r="J199" s="41" t="str">
        <f>IF($F199="","",IF($F199&lt;1,ROUND($F199*1440,0),INT($F199/100)*60+MOD($F199,100)))</f>
        <v/>
      </c>
      <c r="K199" s="41" t="str">
        <f>IF($G199="","",IF($G199&lt;1,ROUND($G199*1440,0),INT($G199/100)*60+MOD($G199,100)))</f>
        <v/>
      </c>
    </row>
    <row r="200" ht="15" customHeight="1" s="26">
      <c r="A200" s="34" t="n"/>
      <c r="B200" s="32" t="n"/>
      <c r="C200" s="33" t="n"/>
      <c r="D200" s="37" t="str">
        <f>IF($C200="","",IFERROR(INDEX(프로젝트목록!$B$3:$B$62,MATCH($C200,프로젝트목록!$A$3:$A$62,0)),"미등록코드"))</f>
        <v/>
      </c>
      <c r="E200" s="32" t="n"/>
      <c r="F200" s="38" t="n"/>
      <c r="G200" s="38" t="n"/>
      <c r="H200" s="39" t="n"/>
      <c r="I200" s="40" t="str">
        <f>IF(OR($J200="",$K200=""),"",ROUND(MAX(0,($K200-$J200)-IF($H200="",0,$H200))/60,2))</f>
        <v/>
      </c>
      <c r="J200" s="41" t="str">
        <f>IF($F200="","",IF($F200&lt;1,ROUND($F200*1440,0),INT($F200/100)*60+MOD($F200,100)))</f>
        <v/>
      </c>
      <c r="K200" s="41" t="str">
        <f>IF($G200="","",IF($G200&lt;1,ROUND($G200*1440,0),INT($G200/100)*60+MOD($G200,100)))</f>
        <v/>
      </c>
    </row>
    <row r="201" ht="15" customHeight="1" s="26">
      <c r="A201" s="34" t="n"/>
      <c r="B201" s="32" t="n"/>
      <c r="C201" s="33" t="n"/>
      <c r="D201" s="37" t="str">
        <f>IF($C201="","",IFERROR(INDEX(프로젝트목록!$B$3:$B$62,MATCH($C201,프로젝트목록!$A$3:$A$62,0)),"미등록코드"))</f>
        <v/>
      </c>
      <c r="E201" s="32" t="n"/>
      <c r="F201" s="38" t="n"/>
      <c r="G201" s="38" t="n"/>
      <c r="H201" s="39" t="n"/>
      <c r="I201" s="40" t="str">
        <f>IF(OR($J201="",$K201=""),"",ROUND(MAX(0,($K201-$J201)-IF($H201="",0,$H201))/60,2))</f>
        <v/>
      </c>
      <c r="J201" s="41" t="str">
        <f>IF($F201="","",IF($F201&lt;1,ROUND($F201*1440,0),INT($F201/100)*60+MOD($F201,100)))</f>
        <v/>
      </c>
      <c r="K201" s="41" t="str">
        <f>IF($G201="","",IF($G201&lt;1,ROUND($G201*1440,0),INT($G201/100)*60+MOD($G201,100)))</f>
        <v/>
      </c>
    </row>
    <row r="202" ht="15" customHeight="1" s="26">
      <c r="A202" s="34" t="n"/>
      <c r="B202" s="32" t="n"/>
      <c r="C202" s="33" t="n"/>
      <c r="D202" s="37" t="str">
        <f>IF($C202="","",IFERROR(INDEX(프로젝트목록!$B$3:$B$62,MATCH($C202,프로젝트목록!$A$3:$A$62,0)),"미등록코드"))</f>
        <v/>
      </c>
      <c r="E202" s="32" t="n"/>
      <c r="F202" s="38" t="n"/>
      <c r="G202" s="38" t="n"/>
      <c r="H202" s="39" t="n"/>
      <c r="I202" s="40" t="str">
        <f>IF(OR($J202="",$K202=""),"",ROUND(MAX(0,($K202-$J202)-IF($H202="",0,$H202))/60,2))</f>
        <v/>
      </c>
      <c r="J202" s="41" t="str">
        <f>IF($F202="","",IF($F202&lt;1,ROUND($F202*1440,0),INT($F202/100)*60+MOD($F202,100)))</f>
        <v/>
      </c>
      <c r="K202" s="41" t="str">
        <f>IF($G202="","",IF($G202&lt;1,ROUND($G202*1440,0),INT($G202/100)*60+MOD($G202,100)))</f>
        <v/>
      </c>
    </row>
    <row r="203" ht="15" customHeight="1" s="26">
      <c r="A203" s="34" t="n"/>
      <c r="B203" s="32" t="n"/>
      <c r="C203" s="33" t="n"/>
      <c r="D203" s="37" t="str">
        <f>IF($C203="","",IFERROR(INDEX(프로젝트목록!$B$3:$B$62,MATCH($C203,프로젝트목록!$A$3:$A$62,0)),"미등록코드"))</f>
        <v/>
      </c>
      <c r="E203" s="32" t="n"/>
      <c r="F203" s="38" t="n"/>
      <c r="G203" s="38" t="n"/>
      <c r="H203" s="39" t="n"/>
      <c r="I203" s="40" t="str">
        <f>IF(OR($J203="",$K203=""),"",ROUND(MAX(0,($K203-$J203)-IF($H203="",0,$H203))/60,2))</f>
        <v/>
      </c>
      <c r="J203" s="41" t="str">
        <f>IF($F203="","",IF($F203&lt;1,ROUND($F203*1440,0),INT($F203/100)*60+MOD($F203,100)))</f>
        <v/>
      </c>
      <c r="K203" s="41" t="str">
        <f>IF($G203="","",IF($G203&lt;1,ROUND($G203*1440,0),INT($G203/100)*60+MOD($G203,100)))</f>
        <v/>
      </c>
    </row>
    <row r="204" ht="15" customHeight="1" s="26">
      <c r="A204" s="34" t="n"/>
      <c r="B204" s="32" t="n"/>
      <c r="C204" s="33" t="n"/>
      <c r="D204" s="37" t="str">
        <f>IF($C204="","",IFERROR(INDEX(프로젝트목록!$B$3:$B$62,MATCH($C204,프로젝트목록!$A$3:$A$62,0)),"미등록코드"))</f>
        <v/>
      </c>
      <c r="E204" s="32" t="n"/>
      <c r="F204" s="38" t="n"/>
      <c r="G204" s="38" t="n"/>
      <c r="H204" s="39" t="n"/>
      <c r="I204" s="40" t="str">
        <f>IF(OR($J204="",$K204=""),"",ROUND(MAX(0,($K204-$J204)-IF($H204="",0,$H204))/60,2))</f>
        <v/>
      </c>
      <c r="J204" s="41" t="str">
        <f>IF($F204="","",IF($F204&lt;1,ROUND($F204*1440,0),INT($F204/100)*60+MOD($F204,100)))</f>
        <v/>
      </c>
      <c r="K204" s="41" t="str">
        <f>IF($G204="","",IF($G204&lt;1,ROUND($G204*1440,0),INT($G204/100)*60+MOD($G204,100)))</f>
        <v/>
      </c>
    </row>
    <row r="205" ht="15" customHeight="1" s="26">
      <c r="A205" s="34" t="n"/>
      <c r="B205" s="32" t="n"/>
      <c r="C205" s="33" t="n"/>
      <c r="D205" s="37" t="str">
        <f>IF($C205="","",IFERROR(INDEX(프로젝트목록!$B$3:$B$62,MATCH($C205,프로젝트목록!$A$3:$A$62,0)),"미등록코드"))</f>
        <v/>
      </c>
      <c r="E205" s="32" t="n"/>
      <c r="F205" s="38" t="n"/>
      <c r="G205" s="38" t="n"/>
      <c r="H205" s="39" t="n"/>
      <c r="I205" s="40" t="str">
        <f>IF(OR($J205="",$K205=""),"",ROUND(MAX(0,($K205-$J205)-IF($H205="",0,$H205))/60,2))</f>
        <v/>
      </c>
      <c r="J205" s="41" t="str">
        <f>IF($F205="","",IF($F205&lt;1,ROUND($F205*1440,0),INT($F205/100)*60+MOD($F205,100)))</f>
        <v/>
      </c>
      <c r="K205" s="41" t="str">
        <f>IF($G205="","",IF($G205&lt;1,ROUND($G205*1440,0),INT($G205/100)*60+MOD($G205,100)))</f>
        <v/>
      </c>
    </row>
    <row r="206" ht="15" customHeight="1" s="26">
      <c r="A206" s="34" t="n"/>
      <c r="B206" s="32" t="n"/>
      <c r="C206" s="33" t="n"/>
      <c r="D206" s="37" t="str">
        <f>IF($C206="","",IFERROR(INDEX(프로젝트목록!$B$3:$B$62,MATCH($C206,프로젝트목록!$A$3:$A$62,0)),"미등록코드"))</f>
        <v/>
      </c>
      <c r="E206" s="32" t="n"/>
      <c r="F206" s="38" t="n"/>
      <c r="G206" s="38" t="n"/>
      <c r="H206" s="39" t="n"/>
      <c r="I206" s="40" t="str">
        <f>IF(OR($J206="",$K206=""),"",ROUND(MAX(0,($K206-$J206)-IF($H206="",0,$H206))/60,2))</f>
        <v/>
      </c>
      <c r="J206" s="41" t="str">
        <f>IF($F206="","",IF($F206&lt;1,ROUND($F206*1440,0),INT($F206/100)*60+MOD($F206,100)))</f>
        <v/>
      </c>
      <c r="K206" s="41" t="str">
        <f>IF($G206="","",IF($G206&lt;1,ROUND($G206*1440,0),INT($G206/100)*60+MOD($G206,100)))</f>
        <v/>
      </c>
    </row>
    <row r="207" ht="15" customHeight="1" s="26">
      <c r="A207" s="34" t="n"/>
      <c r="B207" s="32" t="n"/>
      <c r="C207" s="33" t="n"/>
      <c r="D207" s="37" t="str">
        <f>IF($C207="","",IFERROR(INDEX(프로젝트목록!$B$3:$B$62,MATCH($C207,프로젝트목록!$A$3:$A$62,0)),"미등록코드"))</f>
        <v/>
      </c>
      <c r="E207" s="32" t="n"/>
      <c r="F207" s="38" t="n"/>
      <c r="G207" s="38" t="n"/>
      <c r="H207" s="39" t="n"/>
      <c r="I207" s="40" t="str">
        <f>IF(OR($J207="",$K207=""),"",ROUND(MAX(0,($K207-$J207)-IF($H207="",0,$H207))/60,2))</f>
        <v/>
      </c>
      <c r="J207" s="41" t="str">
        <f>IF($F207="","",IF($F207&lt;1,ROUND($F207*1440,0),INT($F207/100)*60+MOD($F207,100)))</f>
        <v/>
      </c>
      <c r="K207" s="41" t="str">
        <f>IF($G207="","",IF($G207&lt;1,ROUND($G207*1440,0),INT($G207/100)*60+MOD($G207,100)))</f>
        <v/>
      </c>
    </row>
    <row r="208" ht="15" customHeight="1" s="26">
      <c r="A208" s="34" t="n"/>
      <c r="B208" s="32" t="n"/>
      <c r="C208" s="33" t="n"/>
      <c r="D208" s="37" t="str">
        <f>IF($C208="","",IFERROR(INDEX(프로젝트목록!$B$3:$B$62,MATCH($C208,프로젝트목록!$A$3:$A$62,0)),"미등록코드"))</f>
        <v/>
      </c>
      <c r="E208" s="32" t="n"/>
      <c r="F208" s="38" t="n"/>
      <c r="G208" s="38" t="n"/>
      <c r="H208" s="39" t="n"/>
      <c r="I208" s="40" t="str">
        <f>IF(OR($J208="",$K208=""),"",ROUND(MAX(0,($K208-$J208)-IF($H208="",0,$H208))/60,2))</f>
        <v/>
      </c>
      <c r="J208" s="41" t="str">
        <f>IF($F208="","",IF($F208&lt;1,ROUND($F208*1440,0),INT($F208/100)*60+MOD($F208,100)))</f>
        <v/>
      </c>
      <c r="K208" s="41" t="str">
        <f>IF($G208="","",IF($G208&lt;1,ROUND($G208*1440,0),INT($G208/100)*60+MOD($G208,100)))</f>
        <v/>
      </c>
    </row>
    <row r="209" ht="15" customHeight="1" s="26">
      <c r="A209" s="34" t="n"/>
      <c r="B209" s="32" t="n"/>
      <c r="C209" s="33" t="n"/>
      <c r="D209" s="37" t="str">
        <f>IF($C209="","",IFERROR(INDEX(프로젝트목록!$B$3:$B$62,MATCH($C209,프로젝트목록!$A$3:$A$62,0)),"미등록코드"))</f>
        <v/>
      </c>
      <c r="E209" s="32" t="n"/>
      <c r="F209" s="38" t="n"/>
      <c r="G209" s="38" t="n"/>
      <c r="H209" s="39" t="n"/>
      <c r="I209" s="40" t="str">
        <f>IF(OR($J209="",$K209=""),"",ROUND(MAX(0,($K209-$J209)-IF($H209="",0,$H209))/60,2))</f>
        <v/>
      </c>
      <c r="J209" s="41" t="str">
        <f>IF($F209="","",IF($F209&lt;1,ROUND($F209*1440,0),INT($F209/100)*60+MOD($F209,100)))</f>
        <v/>
      </c>
      <c r="K209" s="41" t="str">
        <f>IF($G209="","",IF($G209&lt;1,ROUND($G209*1440,0),INT($G209/100)*60+MOD($G209,100)))</f>
        <v/>
      </c>
    </row>
    <row r="210" ht="15" customHeight="1" s="26">
      <c r="A210" s="34" t="n"/>
      <c r="B210" s="32" t="n"/>
      <c r="C210" s="33" t="n"/>
      <c r="D210" s="37" t="str">
        <f>IF($C210="","",IFERROR(INDEX(프로젝트목록!$B$3:$B$62,MATCH($C210,프로젝트목록!$A$3:$A$62,0)),"미등록코드"))</f>
        <v/>
      </c>
      <c r="E210" s="32" t="n"/>
      <c r="F210" s="38" t="n"/>
      <c r="G210" s="38" t="n"/>
      <c r="H210" s="39" t="n"/>
      <c r="I210" s="40" t="str">
        <f>IF(OR($J210="",$K210=""),"",ROUND(MAX(0,($K210-$J210)-IF($H210="",0,$H210))/60,2))</f>
        <v/>
      </c>
      <c r="J210" s="41" t="str">
        <f>IF($F210="","",IF($F210&lt;1,ROUND($F210*1440,0),INT($F210/100)*60+MOD($F210,100)))</f>
        <v/>
      </c>
      <c r="K210" s="41" t="str">
        <f>IF($G210="","",IF($G210&lt;1,ROUND($G210*1440,0),INT($G210/100)*60+MOD($G210,100)))</f>
        <v/>
      </c>
    </row>
    <row r="211" ht="15" customHeight="1" s="26">
      <c r="A211" s="34" t="n"/>
      <c r="B211" s="32" t="n"/>
      <c r="C211" s="33" t="n"/>
      <c r="D211" s="37" t="str">
        <f>IF($C211="","",IFERROR(INDEX(프로젝트목록!$B$3:$B$62,MATCH($C211,프로젝트목록!$A$3:$A$62,0)),"미등록코드"))</f>
        <v/>
      </c>
      <c r="E211" s="32" t="n"/>
      <c r="F211" s="38" t="n"/>
      <c r="G211" s="38" t="n"/>
      <c r="H211" s="39" t="n"/>
      <c r="I211" s="40" t="str">
        <f>IF(OR($J211="",$K211=""),"",ROUND(MAX(0,($K211-$J211)-IF($H211="",0,$H211))/60,2))</f>
        <v/>
      </c>
      <c r="J211" s="41" t="str">
        <f>IF($F211="","",IF($F211&lt;1,ROUND($F211*1440,0),INT($F211/100)*60+MOD($F211,100)))</f>
        <v/>
      </c>
      <c r="K211" s="41" t="str">
        <f>IF($G211="","",IF($G211&lt;1,ROUND($G211*1440,0),INT($G211/100)*60+MOD($G211,100)))</f>
        <v/>
      </c>
    </row>
    <row r="212" ht="15" customHeight="1" s="26">
      <c r="A212" s="34" t="n"/>
      <c r="B212" s="32" t="n"/>
      <c r="C212" s="33" t="n"/>
      <c r="D212" s="37" t="str">
        <f>IF($C212="","",IFERROR(INDEX(프로젝트목록!$B$3:$B$62,MATCH($C212,프로젝트목록!$A$3:$A$62,0)),"미등록코드"))</f>
        <v/>
      </c>
      <c r="E212" s="32" t="n"/>
      <c r="F212" s="38" t="n"/>
      <c r="G212" s="38" t="n"/>
      <c r="H212" s="39" t="n"/>
      <c r="I212" s="40" t="str">
        <f>IF(OR($J212="",$K212=""),"",ROUND(MAX(0,($K212-$J212)-IF($H212="",0,$H212))/60,2))</f>
        <v/>
      </c>
      <c r="J212" s="41" t="str">
        <f>IF($F212="","",IF($F212&lt;1,ROUND($F212*1440,0),INT($F212/100)*60+MOD($F212,100)))</f>
        <v/>
      </c>
      <c r="K212" s="41" t="str">
        <f>IF($G212="","",IF($G212&lt;1,ROUND($G212*1440,0),INT($G212/100)*60+MOD($G212,100)))</f>
        <v/>
      </c>
    </row>
    <row r="213" ht="15" customHeight="1" s="26">
      <c r="A213" s="34" t="n"/>
      <c r="B213" s="32" t="n"/>
      <c r="C213" s="33" t="n"/>
      <c r="D213" s="37" t="str">
        <f>IF($C213="","",IFERROR(INDEX(프로젝트목록!$B$3:$B$62,MATCH($C213,프로젝트목록!$A$3:$A$62,0)),"미등록코드"))</f>
        <v/>
      </c>
      <c r="E213" s="32" t="n"/>
      <c r="F213" s="38" t="n"/>
      <c r="G213" s="38" t="n"/>
      <c r="H213" s="39" t="n"/>
      <c r="I213" s="40" t="str">
        <f>IF(OR($J213="",$K213=""),"",ROUND(MAX(0,($K213-$J213)-IF($H213="",0,$H213))/60,2))</f>
        <v/>
      </c>
      <c r="J213" s="41" t="str">
        <f>IF($F213="","",IF($F213&lt;1,ROUND($F213*1440,0),INT($F213/100)*60+MOD($F213,100)))</f>
        <v/>
      </c>
      <c r="K213" s="41" t="str">
        <f>IF($G213="","",IF($G213&lt;1,ROUND($G213*1440,0),INT($G213/100)*60+MOD($G213,100)))</f>
        <v/>
      </c>
    </row>
    <row r="214" ht="15" customHeight="1" s="26">
      <c r="A214" s="34" t="n"/>
      <c r="B214" s="32" t="n"/>
      <c r="C214" s="33" t="n"/>
      <c r="D214" s="37" t="str">
        <f>IF($C214="","",IFERROR(INDEX(프로젝트목록!$B$3:$B$62,MATCH($C214,프로젝트목록!$A$3:$A$62,0)),"미등록코드"))</f>
        <v/>
      </c>
      <c r="E214" s="32" t="n"/>
      <c r="F214" s="38" t="n"/>
      <c r="G214" s="38" t="n"/>
      <c r="H214" s="39" t="n"/>
      <c r="I214" s="40" t="str">
        <f>IF(OR($J214="",$K214=""),"",ROUND(MAX(0,($K214-$J214)-IF($H214="",0,$H214))/60,2))</f>
        <v/>
      </c>
      <c r="J214" s="41" t="str">
        <f>IF($F214="","",IF($F214&lt;1,ROUND($F214*1440,0),INT($F214/100)*60+MOD($F214,100)))</f>
        <v/>
      </c>
      <c r="K214" s="41" t="str">
        <f>IF($G214="","",IF($G214&lt;1,ROUND($G214*1440,0),INT($G214/100)*60+MOD($G214,100)))</f>
        <v/>
      </c>
    </row>
    <row r="215" ht="15" customHeight="1" s="26">
      <c r="A215" s="34" t="n"/>
      <c r="B215" s="32" t="n"/>
      <c r="C215" s="33" t="n"/>
      <c r="D215" s="37" t="str">
        <f>IF($C215="","",IFERROR(INDEX(프로젝트목록!$B$3:$B$62,MATCH($C215,프로젝트목록!$A$3:$A$62,0)),"미등록코드"))</f>
        <v/>
      </c>
      <c r="E215" s="32" t="n"/>
      <c r="F215" s="38" t="n"/>
      <c r="G215" s="38" t="n"/>
      <c r="H215" s="39" t="n"/>
      <c r="I215" s="40" t="str">
        <f>IF(OR($J215="",$K215=""),"",ROUND(MAX(0,($K215-$J215)-IF($H215="",0,$H215))/60,2))</f>
        <v/>
      </c>
      <c r="J215" s="41" t="str">
        <f>IF($F215="","",IF($F215&lt;1,ROUND($F215*1440,0),INT($F215/100)*60+MOD($F215,100)))</f>
        <v/>
      </c>
      <c r="K215" s="41" t="str">
        <f>IF($G215="","",IF($G215&lt;1,ROUND($G215*1440,0),INT($G215/100)*60+MOD($G215,100)))</f>
        <v/>
      </c>
    </row>
    <row r="216" ht="15" customHeight="1" s="26">
      <c r="A216" s="34" t="n"/>
      <c r="B216" s="32" t="n"/>
      <c r="C216" s="33" t="n"/>
      <c r="D216" s="37" t="str">
        <f>IF($C216="","",IFERROR(INDEX(프로젝트목록!$B$3:$B$62,MATCH($C216,프로젝트목록!$A$3:$A$62,0)),"미등록코드"))</f>
        <v/>
      </c>
      <c r="E216" s="32" t="n"/>
      <c r="F216" s="38" t="n"/>
      <c r="G216" s="38" t="n"/>
      <c r="H216" s="39" t="n"/>
      <c r="I216" s="40" t="str">
        <f>IF(OR($J216="",$K216=""),"",ROUND(MAX(0,($K216-$J216)-IF($H216="",0,$H216))/60,2))</f>
        <v/>
      </c>
      <c r="J216" s="41" t="str">
        <f>IF($F216="","",IF($F216&lt;1,ROUND($F216*1440,0),INT($F216/100)*60+MOD($F216,100)))</f>
        <v/>
      </c>
      <c r="K216" s="41" t="str">
        <f>IF($G216="","",IF($G216&lt;1,ROUND($G216*1440,0),INT($G216/100)*60+MOD($G216,100)))</f>
        <v/>
      </c>
    </row>
    <row r="217" ht="15" customHeight="1" s="26">
      <c r="A217" s="34" t="n"/>
      <c r="B217" s="32" t="n"/>
      <c r="C217" s="33" t="n"/>
      <c r="D217" s="37" t="str">
        <f>IF($C217="","",IFERROR(INDEX(프로젝트목록!$B$3:$B$62,MATCH($C217,프로젝트목록!$A$3:$A$62,0)),"미등록코드"))</f>
        <v/>
      </c>
      <c r="E217" s="32" t="n"/>
      <c r="F217" s="38" t="n"/>
      <c r="G217" s="38" t="n"/>
      <c r="H217" s="39" t="n"/>
      <c r="I217" s="40" t="str">
        <f>IF(OR($J217="",$K217=""),"",ROUND(MAX(0,($K217-$J217)-IF($H217="",0,$H217))/60,2))</f>
        <v/>
      </c>
      <c r="J217" s="41" t="str">
        <f>IF($F217="","",IF($F217&lt;1,ROUND($F217*1440,0),INT($F217/100)*60+MOD($F217,100)))</f>
        <v/>
      </c>
      <c r="K217" s="41" t="str">
        <f>IF($G217="","",IF($G217&lt;1,ROUND($G217*1440,0),INT($G217/100)*60+MOD($G217,100)))</f>
        <v/>
      </c>
    </row>
    <row r="218" ht="15" customHeight="1" s="26">
      <c r="A218" s="34" t="n"/>
      <c r="B218" s="32" t="n"/>
      <c r="C218" s="33" t="n"/>
      <c r="D218" s="37" t="str">
        <f>IF($C218="","",IFERROR(INDEX(프로젝트목록!$B$3:$B$62,MATCH($C218,프로젝트목록!$A$3:$A$62,0)),"미등록코드"))</f>
        <v/>
      </c>
      <c r="E218" s="32" t="n"/>
      <c r="F218" s="38" t="n"/>
      <c r="G218" s="38" t="n"/>
      <c r="H218" s="39" t="n"/>
      <c r="I218" s="40" t="str">
        <f>IF(OR($J218="",$K218=""),"",ROUND(MAX(0,($K218-$J218)-IF($H218="",0,$H218))/60,2))</f>
        <v/>
      </c>
      <c r="J218" s="41" t="str">
        <f>IF($F218="","",IF($F218&lt;1,ROUND($F218*1440,0),INT($F218/100)*60+MOD($F218,100)))</f>
        <v/>
      </c>
      <c r="K218" s="41" t="str">
        <f>IF($G218="","",IF($G218&lt;1,ROUND($G218*1440,0),INT($G218/100)*60+MOD($G218,100)))</f>
        <v/>
      </c>
    </row>
    <row r="219" ht="15" customHeight="1" s="26">
      <c r="A219" s="34" t="n"/>
      <c r="B219" s="32" t="n"/>
      <c r="C219" s="33" t="n"/>
      <c r="D219" s="37" t="str">
        <f>IF($C219="","",IFERROR(INDEX(프로젝트목록!$B$3:$B$62,MATCH($C219,프로젝트목록!$A$3:$A$62,0)),"미등록코드"))</f>
        <v/>
      </c>
      <c r="E219" s="32" t="n"/>
      <c r="F219" s="38" t="n"/>
      <c r="G219" s="38" t="n"/>
      <c r="H219" s="39" t="n"/>
      <c r="I219" s="40" t="str">
        <f>IF(OR($J219="",$K219=""),"",ROUND(MAX(0,($K219-$J219)-IF($H219="",0,$H219))/60,2))</f>
        <v/>
      </c>
      <c r="J219" s="41" t="str">
        <f>IF($F219="","",IF($F219&lt;1,ROUND($F219*1440,0),INT($F219/100)*60+MOD($F219,100)))</f>
        <v/>
      </c>
      <c r="K219" s="41" t="str">
        <f>IF($G219="","",IF($G219&lt;1,ROUND($G219*1440,0),INT($G219/100)*60+MOD($G219,100)))</f>
        <v/>
      </c>
    </row>
    <row r="220" ht="15" customHeight="1" s="26">
      <c r="A220" s="34" t="n"/>
      <c r="B220" s="32" t="n"/>
      <c r="C220" s="33" t="n"/>
      <c r="D220" s="37" t="str">
        <f>IF($C220="","",IFERROR(INDEX(프로젝트목록!$B$3:$B$62,MATCH($C220,프로젝트목록!$A$3:$A$62,0)),"미등록코드"))</f>
        <v/>
      </c>
      <c r="E220" s="32" t="n"/>
      <c r="F220" s="38" t="n"/>
      <c r="G220" s="38" t="n"/>
      <c r="H220" s="39" t="n"/>
      <c r="I220" s="40" t="str">
        <f>IF(OR($J220="",$K220=""),"",ROUND(MAX(0,($K220-$J220)-IF($H220="",0,$H220))/60,2))</f>
        <v/>
      </c>
      <c r="J220" s="41" t="str">
        <f>IF($F220="","",IF($F220&lt;1,ROUND($F220*1440,0),INT($F220/100)*60+MOD($F220,100)))</f>
        <v/>
      </c>
      <c r="K220" s="41" t="str">
        <f>IF($G220="","",IF($G220&lt;1,ROUND($G220*1440,0),INT($G220/100)*60+MOD($G220,100)))</f>
        <v/>
      </c>
    </row>
    <row r="221" ht="15" customHeight="1" s="26">
      <c r="A221" s="34" t="n"/>
      <c r="B221" s="32" t="n"/>
      <c r="C221" s="33" t="n"/>
      <c r="D221" s="37" t="str">
        <f>IF($C221="","",IFERROR(INDEX(프로젝트목록!$B$3:$B$62,MATCH($C221,프로젝트목록!$A$3:$A$62,0)),"미등록코드"))</f>
        <v/>
      </c>
      <c r="E221" s="32" t="n"/>
      <c r="F221" s="38" t="n"/>
      <c r="G221" s="38" t="n"/>
      <c r="H221" s="39" t="n"/>
      <c r="I221" s="40" t="str">
        <f>IF(OR($J221="",$K221=""),"",ROUND(MAX(0,($K221-$J221)-IF($H221="",0,$H221))/60,2))</f>
        <v/>
      </c>
      <c r="J221" s="41" t="str">
        <f>IF($F221="","",IF($F221&lt;1,ROUND($F221*1440,0),INT($F221/100)*60+MOD($F221,100)))</f>
        <v/>
      </c>
      <c r="K221" s="41" t="str">
        <f>IF($G221="","",IF($G221&lt;1,ROUND($G221*1440,0),INT($G221/100)*60+MOD($G221,100)))</f>
        <v/>
      </c>
    </row>
    <row r="222" ht="15" customHeight="1" s="26">
      <c r="A222" s="34" t="n"/>
      <c r="B222" s="32" t="n"/>
      <c r="C222" s="33" t="n"/>
      <c r="D222" s="37" t="str">
        <f>IF($C222="","",IFERROR(INDEX(프로젝트목록!$B$3:$B$62,MATCH($C222,프로젝트목록!$A$3:$A$62,0)),"미등록코드"))</f>
        <v/>
      </c>
      <c r="E222" s="32" t="n"/>
      <c r="F222" s="38" t="n"/>
      <c r="G222" s="38" t="n"/>
      <c r="H222" s="39" t="n"/>
      <c r="I222" s="40" t="str">
        <f>IF(OR($J222="",$K222=""),"",ROUND(MAX(0,($K222-$J222)-IF($H222="",0,$H222))/60,2))</f>
        <v/>
      </c>
      <c r="J222" s="41" t="str">
        <f>IF($F222="","",IF($F222&lt;1,ROUND($F222*1440,0),INT($F222/100)*60+MOD($F222,100)))</f>
        <v/>
      </c>
      <c r="K222" s="41" t="str">
        <f>IF($G222="","",IF($G222&lt;1,ROUND($G222*1440,0),INT($G222/100)*60+MOD($G222,100)))</f>
        <v/>
      </c>
    </row>
    <row r="223" ht="15" customHeight="1" s="26">
      <c r="A223" s="34" t="n"/>
      <c r="B223" s="32" t="n"/>
      <c r="C223" s="33" t="n"/>
      <c r="D223" s="37" t="str">
        <f>IF($C223="","",IFERROR(INDEX(프로젝트목록!$B$3:$B$62,MATCH($C223,프로젝트목록!$A$3:$A$62,0)),"미등록코드"))</f>
        <v/>
      </c>
      <c r="E223" s="32" t="n"/>
      <c r="F223" s="38" t="n"/>
      <c r="G223" s="38" t="n"/>
      <c r="H223" s="39" t="n"/>
      <c r="I223" s="40" t="str">
        <f>IF(OR($J223="",$K223=""),"",ROUND(MAX(0,($K223-$J223)-IF($H223="",0,$H223))/60,2))</f>
        <v/>
      </c>
      <c r="J223" s="41" t="str">
        <f>IF($F223="","",IF($F223&lt;1,ROUND($F223*1440,0),INT($F223/100)*60+MOD($F223,100)))</f>
        <v/>
      </c>
      <c r="K223" s="41" t="str">
        <f>IF($G223="","",IF($G223&lt;1,ROUND($G223*1440,0),INT($G223/100)*60+MOD($G223,100)))</f>
        <v/>
      </c>
    </row>
    <row r="224" ht="15" customHeight="1" s="26">
      <c r="A224" s="34" t="n"/>
      <c r="B224" s="32" t="n"/>
      <c r="C224" s="33" t="n"/>
      <c r="D224" s="37" t="str">
        <f>IF($C224="","",IFERROR(INDEX(프로젝트목록!$B$3:$B$62,MATCH($C224,프로젝트목록!$A$3:$A$62,0)),"미등록코드"))</f>
        <v/>
      </c>
      <c r="E224" s="32" t="n"/>
      <c r="F224" s="38" t="n"/>
      <c r="G224" s="38" t="n"/>
      <c r="H224" s="39" t="n"/>
      <c r="I224" s="40" t="str">
        <f>IF(OR($J224="",$K224=""),"",ROUND(MAX(0,($K224-$J224)-IF($H224="",0,$H224))/60,2))</f>
        <v/>
      </c>
      <c r="J224" s="41" t="str">
        <f>IF($F224="","",IF($F224&lt;1,ROUND($F224*1440,0),INT($F224/100)*60+MOD($F224,100)))</f>
        <v/>
      </c>
      <c r="K224" s="41" t="str">
        <f>IF($G224="","",IF($G224&lt;1,ROUND($G224*1440,0),INT($G224/100)*60+MOD($G224,100)))</f>
        <v/>
      </c>
    </row>
    <row r="225" ht="15" customHeight="1" s="26">
      <c r="A225" s="34" t="n"/>
      <c r="B225" s="32" t="n"/>
      <c r="C225" s="33" t="n"/>
      <c r="D225" s="37" t="str">
        <f>IF($C225="","",IFERROR(INDEX(프로젝트목록!$B$3:$B$62,MATCH($C225,프로젝트목록!$A$3:$A$62,0)),"미등록코드"))</f>
        <v/>
      </c>
      <c r="E225" s="32" t="n"/>
      <c r="F225" s="38" t="n"/>
      <c r="G225" s="38" t="n"/>
      <c r="H225" s="39" t="n"/>
      <c r="I225" s="40" t="str">
        <f>IF(OR($J225="",$K225=""),"",ROUND(MAX(0,($K225-$J225)-IF($H225="",0,$H225))/60,2))</f>
        <v/>
      </c>
      <c r="J225" s="41" t="str">
        <f>IF($F225="","",IF($F225&lt;1,ROUND($F225*1440,0),INT($F225/100)*60+MOD($F225,100)))</f>
        <v/>
      </c>
      <c r="K225" s="41" t="str">
        <f>IF($G225="","",IF($G225&lt;1,ROUND($G225*1440,0),INT($G225/100)*60+MOD($G225,100)))</f>
        <v/>
      </c>
    </row>
    <row r="226" ht="15" customHeight="1" s="26">
      <c r="A226" s="34" t="n"/>
      <c r="B226" s="32" t="n"/>
      <c r="C226" s="33" t="n"/>
      <c r="D226" s="37" t="str">
        <f>IF($C226="","",IFERROR(INDEX(프로젝트목록!$B$3:$B$62,MATCH($C226,프로젝트목록!$A$3:$A$62,0)),"미등록코드"))</f>
        <v/>
      </c>
      <c r="E226" s="32" t="n"/>
      <c r="F226" s="38" t="n"/>
      <c r="G226" s="38" t="n"/>
      <c r="H226" s="39" t="n"/>
      <c r="I226" s="40" t="str">
        <f>IF(OR($J226="",$K226=""),"",ROUND(MAX(0,($K226-$J226)-IF($H226="",0,$H226))/60,2))</f>
        <v/>
      </c>
      <c r="J226" s="41" t="str">
        <f>IF($F226="","",IF($F226&lt;1,ROUND($F226*1440,0),INT($F226/100)*60+MOD($F226,100)))</f>
        <v/>
      </c>
      <c r="K226" s="41" t="str">
        <f>IF($G226="","",IF($G226&lt;1,ROUND($G226*1440,0),INT($G226/100)*60+MOD($G226,100)))</f>
        <v/>
      </c>
    </row>
    <row r="227" ht="15" customHeight="1" s="26">
      <c r="A227" s="34" t="n"/>
      <c r="B227" s="32" t="n"/>
      <c r="C227" s="33" t="n"/>
      <c r="D227" s="37" t="str">
        <f>IF($C227="","",IFERROR(INDEX(프로젝트목록!$B$3:$B$62,MATCH($C227,프로젝트목록!$A$3:$A$62,0)),"미등록코드"))</f>
        <v/>
      </c>
      <c r="E227" s="32" t="n"/>
      <c r="F227" s="38" t="n"/>
      <c r="G227" s="38" t="n"/>
      <c r="H227" s="39" t="n"/>
      <c r="I227" s="40" t="str">
        <f>IF(OR($J227="",$K227=""),"",ROUND(MAX(0,($K227-$J227)-IF($H227="",0,$H227))/60,2))</f>
        <v/>
      </c>
      <c r="J227" s="41" t="str">
        <f>IF($F227="","",IF($F227&lt;1,ROUND($F227*1440,0),INT($F227/100)*60+MOD($F227,100)))</f>
        <v/>
      </c>
      <c r="K227" s="41" t="str">
        <f>IF($G227="","",IF($G227&lt;1,ROUND($G227*1440,0),INT($G227/100)*60+MOD($G227,100)))</f>
        <v/>
      </c>
    </row>
    <row r="228" ht="15" customHeight="1" s="26">
      <c r="A228" s="34" t="n"/>
      <c r="B228" s="32" t="n"/>
      <c r="C228" s="33" t="n"/>
      <c r="D228" s="37" t="str">
        <f>IF($C228="","",IFERROR(INDEX(프로젝트목록!$B$3:$B$62,MATCH($C228,프로젝트목록!$A$3:$A$62,0)),"미등록코드"))</f>
        <v/>
      </c>
      <c r="E228" s="32" t="n"/>
      <c r="F228" s="38" t="n"/>
      <c r="G228" s="38" t="n"/>
      <c r="H228" s="39" t="n"/>
      <c r="I228" s="40" t="str">
        <f>IF(OR($J228="",$K228=""),"",ROUND(MAX(0,($K228-$J228)-IF($H228="",0,$H228))/60,2))</f>
        <v/>
      </c>
      <c r="J228" s="41" t="str">
        <f>IF($F228="","",IF($F228&lt;1,ROUND($F228*1440,0),INT($F228/100)*60+MOD($F228,100)))</f>
        <v/>
      </c>
      <c r="K228" s="41" t="str">
        <f>IF($G228="","",IF($G228&lt;1,ROUND($G228*1440,0),INT($G228/100)*60+MOD($G228,100)))</f>
        <v/>
      </c>
    </row>
    <row r="229" ht="15" customHeight="1" s="26">
      <c r="A229" s="34" t="n"/>
      <c r="B229" s="32" t="n"/>
      <c r="C229" s="33" t="n"/>
      <c r="D229" s="37" t="str">
        <f>IF($C229="","",IFERROR(INDEX(프로젝트목록!$B$3:$B$62,MATCH($C229,프로젝트목록!$A$3:$A$62,0)),"미등록코드"))</f>
        <v/>
      </c>
      <c r="E229" s="32" t="n"/>
      <c r="F229" s="38" t="n"/>
      <c r="G229" s="38" t="n"/>
      <c r="H229" s="39" t="n"/>
      <c r="I229" s="40" t="str">
        <f>IF(OR($J229="",$K229=""),"",ROUND(MAX(0,($K229-$J229)-IF($H229="",0,$H229))/60,2))</f>
        <v/>
      </c>
      <c r="J229" s="41" t="str">
        <f>IF($F229="","",IF($F229&lt;1,ROUND($F229*1440,0),INT($F229/100)*60+MOD($F229,100)))</f>
        <v/>
      </c>
      <c r="K229" s="41" t="str">
        <f>IF($G229="","",IF($G229&lt;1,ROUND($G229*1440,0),INT($G229/100)*60+MOD($G229,100)))</f>
        <v/>
      </c>
    </row>
    <row r="230" ht="15" customHeight="1" s="26">
      <c r="A230" s="34" t="n"/>
      <c r="B230" s="32" t="n"/>
      <c r="C230" s="33" t="n"/>
      <c r="D230" s="37" t="str">
        <f>IF($C230="","",IFERROR(INDEX(프로젝트목록!$B$3:$B$62,MATCH($C230,프로젝트목록!$A$3:$A$62,0)),"미등록코드"))</f>
        <v/>
      </c>
      <c r="E230" s="32" t="n"/>
      <c r="F230" s="38" t="n"/>
      <c r="G230" s="38" t="n"/>
      <c r="H230" s="39" t="n"/>
      <c r="I230" s="40" t="str">
        <f>IF(OR($J230="",$K230=""),"",ROUND(MAX(0,($K230-$J230)-IF($H230="",0,$H230))/60,2))</f>
        <v/>
      </c>
      <c r="J230" s="41" t="str">
        <f>IF($F230="","",IF($F230&lt;1,ROUND($F230*1440,0),INT($F230/100)*60+MOD($F230,100)))</f>
        <v/>
      </c>
      <c r="K230" s="41" t="str">
        <f>IF($G230="","",IF($G230&lt;1,ROUND($G230*1440,0),INT($G230/100)*60+MOD($G230,100)))</f>
        <v/>
      </c>
    </row>
    <row r="231" ht="15" customHeight="1" s="26">
      <c r="A231" s="34" t="n"/>
      <c r="B231" s="32" t="n"/>
      <c r="C231" s="33" t="n"/>
      <c r="D231" s="37" t="str">
        <f>IF($C231="","",IFERROR(INDEX(프로젝트목록!$B$3:$B$62,MATCH($C231,프로젝트목록!$A$3:$A$62,0)),"미등록코드"))</f>
        <v/>
      </c>
      <c r="E231" s="32" t="n"/>
      <c r="F231" s="38" t="n"/>
      <c r="G231" s="38" t="n"/>
      <c r="H231" s="39" t="n"/>
      <c r="I231" s="40" t="str">
        <f>IF(OR($J231="",$K231=""),"",ROUND(MAX(0,($K231-$J231)-IF($H231="",0,$H231))/60,2))</f>
        <v/>
      </c>
      <c r="J231" s="41" t="str">
        <f>IF($F231="","",IF($F231&lt;1,ROUND($F231*1440,0),INT($F231/100)*60+MOD($F231,100)))</f>
        <v/>
      </c>
      <c r="K231" s="41" t="str">
        <f>IF($G231="","",IF($G231&lt;1,ROUND($G231*1440,0),INT($G231/100)*60+MOD($G231,100)))</f>
        <v/>
      </c>
    </row>
    <row r="232" ht="15" customHeight="1" s="26">
      <c r="A232" s="34" t="n"/>
      <c r="B232" s="32" t="n"/>
      <c r="C232" s="33" t="n"/>
      <c r="D232" s="37" t="str">
        <f>IF($C232="","",IFERROR(INDEX(프로젝트목록!$B$3:$B$62,MATCH($C232,프로젝트목록!$A$3:$A$62,0)),"미등록코드"))</f>
        <v/>
      </c>
      <c r="E232" s="32" t="n"/>
      <c r="F232" s="38" t="n"/>
      <c r="G232" s="38" t="n"/>
      <c r="H232" s="39" t="n"/>
      <c r="I232" s="40" t="str">
        <f>IF(OR($J232="",$K232=""),"",ROUND(MAX(0,($K232-$J232)-IF($H232="",0,$H232))/60,2))</f>
        <v/>
      </c>
      <c r="J232" s="41" t="str">
        <f>IF($F232="","",IF($F232&lt;1,ROUND($F232*1440,0),INT($F232/100)*60+MOD($F232,100)))</f>
        <v/>
      </c>
      <c r="K232" s="41" t="str">
        <f>IF($G232="","",IF($G232&lt;1,ROUND($G232*1440,0),INT($G232/100)*60+MOD($G232,100)))</f>
        <v/>
      </c>
    </row>
    <row r="233" ht="15" customHeight="1" s="26">
      <c r="A233" s="34" t="n"/>
      <c r="B233" s="32" t="n"/>
      <c r="C233" s="33" t="n"/>
      <c r="D233" s="37" t="str">
        <f>IF($C233="","",IFERROR(INDEX(프로젝트목록!$B$3:$B$62,MATCH($C233,프로젝트목록!$A$3:$A$62,0)),"미등록코드"))</f>
        <v/>
      </c>
      <c r="E233" s="32" t="n"/>
      <c r="F233" s="38" t="n"/>
      <c r="G233" s="38" t="n"/>
      <c r="H233" s="39" t="n"/>
      <c r="I233" s="40" t="str">
        <f>IF(OR($J233="",$K233=""),"",ROUND(MAX(0,($K233-$J233)-IF($H233="",0,$H233))/60,2))</f>
        <v/>
      </c>
      <c r="J233" s="41" t="str">
        <f>IF($F233="","",IF($F233&lt;1,ROUND($F233*1440,0),INT($F233/100)*60+MOD($F233,100)))</f>
        <v/>
      </c>
      <c r="K233" s="41" t="str">
        <f>IF($G233="","",IF($G233&lt;1,ROUND($G233*1440,0),INT($G233/100)*60+MOD($G233,100)))</f>
        <v/>
      </c>
    </row>
    <row r="234" ht="15" customHeight="1" s="26">
      <c r="A234" s="34" t="n"/>
      <c r="B234" s="32" t="n"/>
      <c r="C234" s="33" t="n"/>
      <c r="D234" s="37" t="str">
        <f>IF($C234="","",IFERROR(INDEX(프로젝트목록!$B$3:$B$62,MATCH($C234,프로젝트목록!$A$3:$A$62,0)),"미등록코드"))</f>
        <v/>
      </c>
      <c r="E234" s="32" t="n"/>
      <c r="F234" s="38" t="n"/>
      <c r="G234" s="38" t="n"/>
      <c r="H234" s="39" t="n"/>
      <c r="I234" s="40" t="str">
        <f>IF(OR($J234="",$K234=""),"",ROUND(MAX(0,($K234-$J234)-IF($H234="",0,$H234))/60,2))</f>
        <v/>
      </c>
      <c r="J234" s="41" t="str">
        <f>IF($F234="","",IF($F234&lt;1,ROUND($F234*1440,0),INT($F234/100)*60+MOD($F234,100)))</f>
        <v/>
      </c>
      <c r="K234" s="41" t="str">
        <f>IF($G234="","",IF($G234&lt;1,ROUND($G234*1440,0),INT($G234/100)*60+MOD($G234,100)))</f>
        <v/>
      </c>
    </row>
    <row r="235" ht="15" customHeight="1" s="26">
      <c r="A235" s="34" t="n"/>
      <c r="B235" s="32" t="n"/>
      <c r="C235" s="33" t="n"/>
      <c r="D235" s="37" t="str">
        <f>IF($C235="","",IFERROR(INDEX(프로젝트목록!$B$3:$B$62,MATCH($C235,프로젝트목록!$A$3:$A$62,0)),"미등록코드"))</f>
        <v/>
      </c>
      <c r="E235" s="32" t="n"/>
      <c r="F235" s="38" t="n"/>
      <c r="G235" s="38" t="n"/>
      <c r="H235" s="39" t="n"/>
      <c r="I235" s="40" t="str">
        <f>IF(OR($J235="",$K235=""),"",ROUND(MAX(0,($K235-$J235)-IF($H235="",0,$H235))/60,2))</f>
        <v/>
      </c>
      <c r="J235" s="41" t="str">
        <f>IF($F235="","",IF($F235&lt;1,ROUND($F235*1440,0),INT($F235/100)*60+MOD($F235,100)))</f>
        <v/>
      </c>
      <c r="K235" s="41" t="str">
        <f>IF($G235="","",IF($G235&lt;1,ROUND($G235*1440,0),INT($G235/100)*60+MOD($G235,100)))</f>
        <v/>
      </c>
    </row>
    <row r="236" ht="15" customHeight="1" s="26">
      <c r="A236" s="34" t="n"/>
      <c r="B236" s="32" t="n"/>
      <c r="C236" s="33" t="n"/>
      <c r="D236" s="37" t="str">
        <f>IF($C236="","",IFERROR(INDEX(프로젝트목록!$B$3:$B$62,MATCH($C236,프로젝트목록!$A$3:$A$62,0)),"미등록코드"))</f>
        <v/>
      </c>
      <c r="E236" s="32" t="n"/>
      <c r="F236" s="38" t="n"/>
      <c r="G236" s="38" t="n"/>
      <c r="H236" s="39" t="n"/>
      <c r="I236" s="40" t="str">
        <f>IF(OR($J236="",$K236=""),"",ROUND(MAX(0,($K236-$J236)-IF($H236="",0,$H236))/60,2))</f>
        <v/>
      </c>
      <c r="J236" s="41" t="str">
        <f>IF($F236="","",IF($F236&lt;1,ROUND($F236*1440,0),INT($F236/100)*60+MOD($F236,100)))</f>
        <v/>
      </c>
      <c r="K236" s="41" t="str">
        <f>IF($G236="","",IF($G236&lt;1,ROUND($G236*1440,0),INT($G236/100)*60+MOD($G236,100)))</f>
        <v/>
      </c>
    </row>
    <row r="237" ht="15" customHeight="1" s="26">
      <c r="A237" s="34" t="n"/>
      <c r="B237" s="32" t="n"/>
      <c r="C237" s="33" t="n"/>
      <c r="D237" s="37" t="str">
        <f>IF($C237="","",IFERROR(INDEX(프로젝트목록!$B$3:$B$62,MATCH($C237,프로젝트목록!$A$3:$A$62,0)),"미등록코드"))</f>
        <v/>
      </c>
      <c r="E237" s="32" t="n"/>
      <c r="F237" s="38" t="n"/>
      <c r="G237" s="38" t="n"/>
      <c r="H237" s="39" t="n"/>
      <c r="I237" s="40" t="str">
        <f>IF(OR($J237="",$K237=""),"",ROUND(MAX(0,($K237-$J237)-IF($H237="",0,$H237))/60,2))</f>
        <v/>
      </c>
      <c r="J237" s="41" t="str">
        <f>IF($F237="","",IF($F237&lt;1,ROUND($F237*1440,0),INT($F237/100)*60+MOD($F237,100)))</f>
        <v/>
      </c>
      <c r="K237" s="41" t="str">
        <f>IF($G237="","",IF($G237&lt;1,ROUND($G237*1440,0),INT($G237/100)*60+MOD($G237,100)))</f>
        <v/>
      </c>
    </row>
    <row r="238" ht="15" customHeight="1" s="26">
      <c r="A238" s="34" t="n"/>
      <c r="B238" s="32" t="n"/>
      <c r="C238" s="33" t="n"/>
      <c r="D238" s="37" t="str">
        <f>IF($C238="","",IFERROR(INDEX(프로젝트목록!$B$3:$B$62,MATCH($C238,프로젝트목록!$A$3:$A$62,0)),"미등록코드"))</f>
        <v/>
      </c>
      <c r="E238" s="32" t="n"/>
      <c r="F238" s="38" t="n"/>
      <c r="G238" s="38" t="n"/>
      <c r="H238" s="39" t="n"/>
      <c r="I238" s="40" t="str">
        <f>IF(OR($J238="",$K238=""),"",ROUND(MAX(0,($K238-$J238)-IF($H238="",0,$H238))/60,2))</f>
        <v/>
      </c>
      <c r="J238" s="41" t="str">
        <f>IF($F238="","",IF($F238&lt;1,ROUND($F238*1440,0),INT($F238/100)*60+MOD($F238,100)))</f>
        <v/>
      </c>
      <c r="K238" s="41" t="str">
        <f>IF($G238="","",IF($G238&lt;1,ROUND($G238*1440,0),INT($G238/100)*60+MOD($G238,100)))</f>
        <v/>
      </c>
    </row>
    <row r="239" ht="15" customHeight="1" s="26">
      <c r="A239" s="34" t="n"/>
      <c r="B239" s="32" t="n"/>
      <c r="C239" s="33" t="n"/>
      <c r="D239" s="37" t="str">
        <f>IF($C239="","",IFERROR(INDEX(프로젝트목록!$B$3:$B$62,MATCH($C239,프로젝트목록!$A$3:$A$62,0)),"미등록코드"))</f>
        <v/>
      </c>
      <c r="E239" s="32" t="n"/>
      <c r="F239" s="38" t="n"/>
      <c r="G239" s="38" t="n"/>
      <c r="H239" s="39" t="n"/>
      <c r="I239" s="40" t="str">
        <f>IF(OR($J239="",$K239=""),"",ROUND(MAX(0,($K239-$J239)-IF($H239="",0,$H239))/60,2))</f>
        <v/>
      </c>
      <c r="J239" s="41" t="str">
        <f>IF($F239="","",IF($F239&lt;1,ROUND($F239*1440,0),INT($F239/100)*60+MOD($F239,100)))</f>
        <v/>
      </c>
      <c r="K239" s="41" t="str">
        <f>IF($G239="","",IF($G239&lt;1,ROUND($G239*1440,0),INT($G239/100)*60+MOD($G239,100)))</f>
        <v/>
      </c>
    </row>
    <row r="240" ht="15" customHeight="1" s="26">
      <c r="A240" s="34" t="n"/>
      <c r="B240" s="32" t="n"/>
      <c r="C240" s="33" t="n"/>
      <c r="D240" s="37" t="str">
        <f>IF($C240="","",IFERROR(INDEX(프로젝트목록!$B$3:$B$62,MATCH($C240,프로젝트목록!$A$3:$A$62,0)),"미등록코드"))</f>
        <v/>
      </c>
      <c r="E240" s="32" t="n"/>
      <c r="F240" s="38" t="n"/>
      <c r="G240" s="38" t="n"/>
      <c r="H240" s="39" t="n"/>
      <c r="I240" s="40" t="str">
        <f>IF(OR($J240="",$K240=""),"",ROUND(MAX(0,($K240-$J240)-IF($H240="",0,$H240))/60,2))</f>
        <v/>
      </c>
      <c r="J240" s="41" t="str">
        <f>IF($F240="","",IF($F240&lt;1,ROUND($F240*1440,0),INT($F240/100)*60+MOD($F240,100)))</f>
        <v/>
      </c>
      <c r="K240" s="41" t="str">
        <f>IF($G240="","",IF($G240&lt;1,ROUND($G240*1440,0),INT($G240/100)*60+MOD($G240,100)))</f>
        <v/>
      </c>
    </row>
    <row r="241" ht="15" customHeight="1" s="26">
      <c r="A241" s="34" t="n"/>
      <c r="B241" s="32" t="n"/>
      <c r="C241" s="33" t="n"/>
      <c r="D241" s="37" t="str">
        <f>IF($C241="","",IFERROR(INDEX(프로젝트목록!$B$3:$B$62,MATCH($C241,프로젝트목록!$A$3:$A$62,0)),"미등록코드"))</f>
        <v/>
      </c>
      <c r="E241" s="32" t="n"/>
      <c r="F241" s="38" t="n"/>
      <c r="G241" s="38" t="n"/>
      <c r="H241" s="39" t="n"/>
      <c r="I241" s="40" t="str">
        <f>IF(OR($J241="",$K241=""),"",ROUND(MAX(0,($K241-$J241)-IF($H241="",0,$H241))/60,2))</f>
        <v/>
      </c>
      <c r="J241" s="41" t="str">
        <f>IF($F241="","",IF($F241&lt;1,ROUND($F241*1440,0),INT($F241/100)*60+MOD($F241,100)))</f>
        <v/>
      </c>
      <c r="K241" s="41" t="str">
        <f>IF($G241="","",IF($G241&lt;1,ROUND($G241*1440,0),INT($G241/100)*60+MOD($G241,100)))</f>
        <v/>
      </c>
    </row>
    <row r="242" ht="15" customHeight="1" s="26">
      <c r="A242" s="34" t="n"/>
      <c r="B242" s="32" t="n"/>
      <c r="C242" s="33" t="n"/>
      <c r="D242" s="37" t="str">
        <f>IF($C242="","",IFERROR(INDEX(프로젝트목록!$B$3:$B$62,MATCH($C242,프로젝트목록!$A$3:$A$62,0)),"미등록코드"))</f>
        <v/>
      </c>
      <c r="E242" s="32" t="n"/>
      <c r="F242" s="38" t="n"/>
      <c r="G242" s="38" t="n"/>
      <c r="H242" s="39" t="n"/>
      <c r="I242" s="40" t="str">
        <f>IF(OR($J242="",$K242=""),"",ROUND(MAX(0,($K242-$J242)-IF($H242="",0,$H242))/60,2))</f>
        <v/>
      </c>
      <c r="J242" s="41" t="str">
        <f>IF($F242="","",IF($F242&lt;1,ROUND($F242*1440,0),INT($F242/100)*60+MOD($F242,100)))</f>
        <v/>
      </c>
      <c r="K242" s="41" t="str">
        <f>IF($G242="","",IF($G242&lt;1,ROUND($G242*1440,0),INT($G242/100)*60+MOD($G242,100)))</f>
        <v/>
      </c>
    </row>
    <row r="243" ht="15" customHeight="1" s="26">
      <c r="A243" s="34" t="n"/>
      <c r="B243" s="32" t="n"/>
      <c r="C243" s="33" t="n"/>
      <c r="D243" s="37" t="str">
        <f>IF($C243="","",IFERROR(INDEX(프로젝트목록!$B$3:$B$62,MATCH($C243,프로젝트목록!$A$3:$A$62,0)),"미등록코드"))</f>
        <v/>
      </c>
      <c r="E243" s="32" t="n"/>
      <c r="F243" s="38" t="n"/>
      <c r="G243" s="38" t="n"/>
      <c r="H243" s="39" t="n"/>
      <c r="I243" s="40" t="str">
        <f>IF(OR($J243="",$K243=""),"",ROUND(MAX(0,($K243-$J243)-IF($H243="",0,$H243))/60,2))</f>
        <v/>
      </c>
      <c r="J243" s="41" t="str">
        <f>IF($F243="","",IF($F243&lt;1,ROUND($F243*1440,0),INT($F243/100)*60+MOD($F243,100)))</f>
        <v/>
      </c>
      <c r="K243" s="41" t="str">
        <f>IF($G243="","",IF($G243&lt;1,ROUND($G243*1440,0),INT($G243/100)*60+MOD($G243,100)))</f>
        <v/>
      </c>
    </row>
    <row r="244" ht="15" customHeight="1" s="26">
      <c r="A244" s="34" t="n"/>
      <c r="B244" s="32" t="n"/>
      <c r="C244" s="33" t="n"/>
      <c r="D244" s="37" t="str">
        <f>IF($C244="","",IFERROR(INDEX(프로젝트목록!$B$3:$B$62,MATCH($C244,프로젝트목록!$A$3:$A$62,0)),"미등록코드"))</f>
        <v/>
      </c>
      <c r="E244" s="32" t="n"/>
      <c r="F244" s="38" t="n"/>
      <c r="G244" s="38" t="n"/>
      <c r="H244" s="39" t="n"/>
      <c r="I244" s="40" t="str">
        <f>IF(OR($J244="",$K244=""),"",ROUND(MAX(0,($K244-$J244)-IF($H244="",0,$H244))/60,2))</f>
        <v/>
      </c>
      <c r="J244" s="41" t="str">
        <f>IF($F244="","",IF($F244&lt;1,ROUND($F244*1440,0),INT($F244/100)*60+MOD($F244,100)))</f>
        <v/>
      </c>
      <c r="K244" s="41" t="str">
        <f>IF($G244="","",IF($G244&lt;1,ROUND($G244*1440,0),INT($G244/100)*60+MOD($G244,100)))</f>
        <v/>
      </c>
    </row>
    <row r="245" ht="15" customHeight="1" s="26">
      <c r="A245" s="34" t="n"/>
      <c r="B245" s="32" t="n"/>
      <c r="C245" s="33" t="n"/>
      <c r="D245" s="37" t="str">
        <f>IF($C245="","",IFERROR(INDEX(프로젝트목록!$B$3:$B$62,MATCH($C245,프로젝트목록!$A$3:$A$62,0)),"미등록코드"))</f>
        <v/>
      </c>
      <c r="E245" s="32" t="n"/>
      <c r="F245" s="38" t="n"/>
      <c r="G245" s="38" t="n"/>
      <c r="H245" s="39" t="n"/>
      <c r="I245" s="40" t="str">
        <f>IF(OR($J245="",$K245=""),"",ROUND(MAX(0,($K245-$J245)-IF($H245="",0,$H245))/60,2))</f>
        <v/>
      </c>
      <c r="J245" s="41" t="str">
        <f>IF($F245="","",IF($F245&lt;1,ROUND($F245*1440,0),INT($F245/100)*60+MOD($F245,100)))</f>
        <v/>
      </c>
      <c r="K245" s="41" t="str">
        <f>IF($G245="","",IF($G245&lt;1,ROUND($G245*1440,0),INT($G245/100)*60+MOD($G245,100)))</f>
        <v/>
      </c>
    </row>
    <row r="246" ht="15" customHeight="1" s="26">
      <c r="A246" s="34" t="n"/>
      <c r="B246" s="32" t="n"/>
      <c r="C246" s="33" t="n"/>
      <c r="D246" s="37" t="str">
        <f>IF($C246="","",IFERROR(INDEX(프로젝트목록!$B$3:$B$62,MATCH($C246,프로젝트목록!$A$3:$A$62,0)),"미등록코드"))</f>
        <v/>
      </c>
      <c r="E246" s="32" t="n"/>
      <c r="F246" s="38" t="n"/>
      <c r="G246" s="38" t="n"/>
      <c r="H246" s="39" t="n"/>
      <c r="I246" s="40" t="str">
        <f>IF(OR($J246="",$K246=""),"",ROUND(MAX(0,($K246-$J246)-IF($H246="",0,$H246))/60,2))</f>
        <v/>
      </c>
      <c r="J246" s="41" t="str">
        <f>IF($F246="","",IF($F246&lt;1,ROUND($F246*1440,0),INT($F246/100)*60+MOD($F246,100)))</f>
        <v/>
      </c>
      <c r="K246" s="41" t="str">
        <f>IF($G246="","",IF($G246&lt;1,ROUND($G246*1440,0),INT($G246/100)*60+MOD($G246,100)))</f>
        <v/>
      </c>
    </row>
    <row r="247" ht="15" customHeight="1" s="26">
      <c r="A247" s="34" t="n"/>
      <c r="B247" s="32" t="n"/>
      <c r="C247" s="33" t="n"/>
      <c r="D247" s="37" t="str">
        <f>IF($C247="","",IFERROR(INDEX(프로젝트목록!$B$3:$B$62,MATCH($C247,프로젝트목록!$A$3:$A$62,0)),"미등록코드"))</f>
        <v/>
      </c>
      <c r="E247" s="32" t="n"/>
      <c r="F247" s="38" t="n"/>
      <c r="G247" s="38" t="n"/>
      <c r="H247" s="39" t="n"/>
      <c r="I247" s="40" t="str">
        <f>IF(OR($J247="",$K247=""),"",ROUND(MAX(0,($K247-$J247)-IF($H247="",0,$H247))/60,2))</f>
        <v/>
      </c>
      <c r="J247" s="41" t="str">
        <f>IF($F247="","",IF($F247&lt;1,ROUND($F247*1440,0),INT($F247/100)*60+MOD($F247,100)))</f>
        <v/>
      </c>
      <c r="K247" s="41" t="str">
        <f>IF($G247="","",IF($G247&lt;1,ROUND($G247*1440,0),INT($G247/100)*60+MOD($G247,100)))</f>
        <v/>
      </c>
    </row>
    <row r="248" ht="15" customHeight="1" s="26">
      <c r="A248" s="34" t="n"/>
      <c r="B248" s="32" t="n"/>
      <c r="C248" s="33" t="n"/>
      <c r="D248" s="37" t="str">
        <f>IF($C248="","",IFERROR(INDEX(프로젝트목록!$B$3:$B$62,MATCH($C248,프로젝트목록!$A$3:$A$62,0)),"미등록코드"))</f>
        <v/>
      </c>
      <c r="E248" s="32" t="n"/>
      <c r="F248" s="38" t="n"/>
      <c r="G248" s="38" t="n"/>
      <c r="H248" s="39" t="n"/>
      <c r="I248" s="40" t="str">
        <f>IF(OR($J248="",$K248=""),"",ROUND(MAX(0,($K248-$J248)-IF($H248="",0,$H248))/60,2))</f>
        <v/>
      </c>
      <c r="J248" s="41" t="str">
        <f>IF($F248="","",IF($F248&lt;1,ROUND($F248*1440,0),INT($F248/100)*60+MOD($F248,100)))</f>
        <v/>
      </c>
      <c r="K248" s="41" t="str">
        <f>IF($G248="","",IF($G248&lt;1,ROUND($G248*1440,0),INT($G248/100)*60+MOD($G248,100)))</f>
        <v/>
      </c>
    </row>
    <row r="249" ht="15" customHeight="1" s="26">
      <c r="A249" s="34" t="n"/>
      <c r="B249" s="32" t="n"/>
      <c r="C249" s="33" t="n"/>
      <c r="D249" s="37" t="str">
        <f>IF($C249="","",IFERROR(INDEX(프로젝트목록!$B$3:$B$62,MATCH($C249,프로젝트목록!$A$3:$A$62,0)),"미등록코드"))</f>
        <v/>
      </c>
      <c r="E249" s="32" t="n"/>
      <c r="F249" s="38" t="n"/>
      <c r="G249" s="38" t="n"/>
      <c r="H249" s="39" t="n"/>
      <c r="I249" s="40" t="str">
        <f>IF(OR($J249="",$K249=""),"",ROUND(MAX(0,($K249-$J249)-IF($H249="",0,$H249))/60,2))</f>
        <v/>
      </c>
      <c r="J249" s="41" t="str">
        <f>IF($F249="","",IF($F249&lt;1,ROUND($F249*1440,0),INT($F249/100)*60+MOD($F249,100)))</f>
        <v/>
      </c>
      <c r="K249" s="41" t="str">
        <f>IF($G249="","",IF($G249&lt;1,ROUND($G249*1440,0),INT($G249/100)*60+MOD($G249,100)))</f>
        <v/>
      </c>
    </row>
    <row r="250" ht="15" customHeight="1" s="26">
      <c r="A250" s="34" t="n"/>
      <c r="B250" s="32" t="n"/>
      <c r="C250" s="33" t="n"/>
      <c r="D250" s="37" t="str">
        <f>IF($C250="","",IFERROR(INDEX(프로젝트목록!$B$3:$B$62,MATCH($C250,프로젝트목록!$A$3:$A$62,0)),"미등록코드"))</f>
        <v/>
      </c>
      <c r="E250" s="32" t="n"/>
      <c r="F250" s="38" t="n"/>
      <c r="G250" s="38" t="n"/>
      <c r="H250" s="39" t="n"/>
      <c r="I250" s="40" t="str">
        <f>IF(OR($J250="",$K250=""),"",ROUND(MAX(0,($K250-$J250)-IF($H250="",0,$H250))/60,2))</f>
        <v/>
      </c>
      <c r="J250" s="41" t="str">
        <f>IF($F250="","",IF($F250&lt;1,ROUND($F250*1440,0),INT($F250/100)*60+MOD($F250,100)))</f>
        <v/>
      </c>
      <c r="K250" s="41" t="str">
        <f>IF($G250="","",IF($G250&lt;1,ROUND($G250*1440,0),INT($G250/100)*60+MOD($G250,100)))</f>
        <v/>
      </c>
    </row>
    <row r="251" ht="15" customHeight="1" s="26">
      <c r="A251" s="34" t="n"/>
      <c r="B251" s="32" t="n"/>
      <c r="C251" s="33" t="n"/>
      <c r="D251" s="37" t="str">
        <f>IF($C251="","",IFERROR(INDEX(프로젝트목록!$B$3:$B$62,MATCH($C251,프로젝트목록!$A$3:$A$62,0)),"미등록코드"))</f>
        <v/>
      </c>
      <c r="E251" s="32" t="n"/>
      <c r="F251" s="38" t="n"/>
      <c r="G251" s="38" t="n"/>
      <c r="H251" s="39" t="n"/>
      <c r="I251" s="40" t="str">
        <f>IF(OR($J251="",$K251=""),"",ROUND(MAX(0,($K251-$J251)-IF($H251="",0,$H251))/60,2))</f>
        <v/>
      </c>
      <c r="J251" s="41" t="str">
        <f>IF($F251="","",IF($F251&lt;1,ROUND($F251*1440,0),INT($F251/100)*60+MOD($F251,100)))</f>
        <v/>
      </c>
      <c r="K251" s="41" t="str">
        <f>IF($G251="","",IF($G251&lt;1,ROUND($G251*1440,0),INT($G251/100)*60+MOD($G251,100)))</f>
        <v/>
      </c>
    </row>
    <row r="252" ht="15" customHeight="1" s="26">
      <c r="A252" s="34" t="n"/>
      <c r="B252" s="32" t="n"/>
      <c r="C252" s="33" t="n"/>
      <c r="D252" s="37" t="str">
        <f>IF($C252="","",IFERROR(INDEX(프로젝트목록!$B$3:$B$62,MATCH($C252,프로젝트목록!$A$3:$A$62,0)),"미등록코드"))</f>
        <v/>
      </c>
      <c r="E252" s="32" t="n"/>
      <c r="F252" s="38" t="n"/>
      <c r="G252" s="38" t="n"/>
      <c r="H252" s="39" t="n"/>
      <c r="I252" s="40" t="str">
        <f>IF(OR($J252="",$K252=""),"",ROUND(MAX(0,($K252-$J252)-IF($H252="",0,$H252))/60,2))</f>
        <v/>
      </c>
      <c r="J252" s="41" t="str">
        <f>IF($F252="","",IF($F252&lt;1,ROUND($F252*1440,0),INT($F252/100)*60+MOD($F252,100)))</f>
        <v/>
      </c>
      <c r="K252" s="41" t="str">
        <f>IF($G252="","",IF($G252&lt;1,ROUND($G252*1440,0),INT($G252/100)*60+MOD($G252,100)))</f>
        <v/>
      </c>
    </row>
    <row r="253" ht="15" customHeight="1" s="26">
      <c r="A253" s="34" t="n"/>
      <c r="B253" s="32" t="n"/>
      <c r="C253" s="33" t="n"/>
      <c r="D253" s="37" t="str">
        <f>IF($C253="","",IFERROR(INDEX(프로젝트목록!$B$3:$B$62,MATCH($C253,프로젝트목록!$A$3:$A$62,0)),"미등록코드"))</f>
        <v/>
      </c>
      <c r="E253" s="32" t="n"/>
      <c r="F253" s="38" t="n"/>
      <c r="G253" s="38" t="n"/>
      <c r="H253" s="39" t="n"/>
      <c r="I253" s="40" t="str">
        <f>IF(OR($J253="",$K253=""),"",ROUND(MAX(0,($K253-$J253)-IF($H253="",0,$H253))/60,2))</f>
        <v/>
      </c>
      <c r="J253" s="41" t="str">
        <f>IF($F253="","",IF($F253&lt;1,ROUND($F253*1440,0),INT($F253/100)*60+MOD($F253,100)))</f>
        <v/>
      </c>
      <c r="K253" s="41" t="str">
        <f>IF($G253="","",IF($G253&lt;1,ROUND($G253*1440,0),INT($G253/100)*60+MOD($G253,100)))</f>
        <v/>
      </c>
    </row>
    <row r="254" ht="15" customHeight="1" s="26">
      <c r="A254" s="34" t="n"/>
      <c r="B254" s="32" t="n"/>
      <c r="C254" s="33" t="n"/>
      <c r="D254" s="37" t="str">
        <f>IF($C254="","",IFERROR(INDEX(프로젝트목록!$B$3:$B$62,MATCH($C254,프로젝트목록!$A$3:$A$62,0)),"미등록코드"))</f>
        <v/>
      </c>
      <c r="E254" s="32" t="n"/>
      <c r="F254" s="38" t="n"/>
      <c r="G254" s="38" t="n"/>
      <c r="H254" s="39" t="n"/>
      <c r="I254" s="40" t="str">
        <f>IF(OR($J254="",$K254=""),"",ROUND(MAX(0,($K254-$J254)-IF($H254="",0,$H254))/60,2))</f>
        <v/>
      </c>
      <c r="J254" s="41" t="str">
        <f>IF($F254="","",IF($F254&lt;1,ROUND($F254*1440,0),INT($F254/100)*60+MOD($F254,100)))</f>
        <v/>
      </c>
      <c r="K254" s="41" t="str">
        <f>IF($G254="","",IF($G254&lt;1,ROUND($G254*1440,0),INT($G254/100)*60+MOD($G254,100)))</f>
        <v/>
      </c>
    </row>
    <row r="255" ht="15" customHeight="1" s="26">
      <c r="A255" s="34" t="n"/>
      <c r="B255" s="32" t="n"/>
      <c r="C255" s="33" t="n"/>
      <c r="D255" s="37" t="str">
        <f>IF($C255="","",IFERROR(INDEX(프로젝트목록!$B$3:$B$62,MATCH($C255,프로젝트목록!$A$3:$A$62,0)),"미등록코드"))</f>
        <v/>
      </c>
      <c r="E255" s="32" t="n"/>
      <c r="F255" s="38" t="n"/>
      <c r="G255" s="38" t="n"/>
      <c r="H255" s="39" t="n"/>
      <c r="I255" s="40" t="str">
        <f>IF(OR($J255="",$K255=""),"",ROUND(MAX(0,($K255-$J255)-IF($H255="",0,$H255))/60,2))</f>
        <v/>
      </c>
      <c r="J255" s="41" t="str">
        <f>IF($F255="","",IF($F255&lt;1,ROUND($F255*1440,0),INT($F255/100)*60+MOD($F255,100)))</f>
        <v/>
      </c>
      <c r="K255" s="41" t="str">
        <f>IF($G255="","",IF($G255&lt;1,ROUND($G255*1440,0),INT($G255/100)*60+MOD($G255,100)))</f>
        <v/>
      </c>
    </row>
    <row r="256" ht="15" customHeight="1" s="26">
      <c r="A256" s="34" t="n"/>
      <c r="B256" s="32" t="n"/>
      <c r="C256" s="33" t="n"/>
      <c r="D256" s="37" t="str">
        <f>IF($C256="","",IFERROR(INDEX(프로젝트목록!$B$3:$B$62,MATCH($C256,프로젝트목록!$A$3:$A$62,0)),"미등록코드"))</f>
        <v/>
      </c>
      <c r="E256" s="32" t="n"/>
      <c r="F256" s="38" t="n"/>
      <c r="G256" s="38" t="n"/>
      <c r="H256" s="39" t="n"/>
      <c r="I256" s="40" t="str">
        <f>IF(OR($J256="",$K256=""),"",ROUND(MAX(0,($K256-$J256)-IF($H256="",0,$H256))/60,2))</f>
        <v/>
      </c>
      <c r="J256" s="41" t="str">
        <f>IF($F256="","",IF($F256&lt;1,ROUND($F256*1440,0),INT($F256/100)*60+MOD($F256,100)))</f>
        <v/>
      </c>
      <c r="K256" s="41" t="str">
        <f>IF($G256="","",IF($G256&lt;1,ROUND($G256*1440,0),INT($G256/100)*60+MOD($G256,100)))</f>
        <v/>
      </c>
    </row>
    <row r="257" ht="15" customHeight="1" s="26">
      <c r="A257" s="34" t="n"/>
      <c r="B257" s="32" t="n"/>
      <c r="C257" s="33" t="n"/>
      <c r="D257" s="37" t="str">
        <f>IF($C257="","",IFERROR(INDEX(프로젝트목록!$B$3:$B$62,MATCH($C257,프로젝트목록!$A$3:$A$62,0)),"미등록코드"))</f>
        <v/>
      </c>
      <c r="E257" s="32" t="n"/>
      <c r="F257" s="38" t="n"/>
      <c r="G257" s="38" t="n"/>
      <c r="H257" s="39" t="n"/>
      <c r="I257" s="40" t="str">
        <f>IF(OR($J257="",$K257=""),"",ROUND(MAX(0,($K257-$J257)-IF($H257="",0,$H257))/60,2))</f>
        <v/>
      </c>
      <c r="J257" s="41" t="str">
        <f>IF($F257="","",IF($F257&lt;1,ROUND($F257*1440,0),INT($F257/100)*60+MOD($F257,100)))</f>
        <v/>
      </c>
      <c r="K257" s="41" t="str">
        <f>IF($G257="","",IF($G257&lt;1,ROUND($G257*1440,0),INT($G257/100)*60+MOD($G257,100)))</f>
        <v/>
      </c>
    </row>
    <row r="258" ht="15" customHeight="1" s="26">
      <c r="A258" s="34" t="n"/>
      <c r="B258" s="32" t="n"/>
      <c r="C258" s="33" t="n"/>
      <c r="D258" s="37" t="str">
        <f>IF($C258="","",IFERROR(INDEX(프로젝트목록!$B$3:$B$62,MATCH($C258,프로젝트목록!$A$3:$A$62,0)),"미등록코드"))</f>
        <v/>
      </c>
      <c r="E258" s="32" t="n"/>
      <c r="F258" s="38" t="n"/>
      <c r="G258" s="38" t="n"/>
      <c r="H258" s="39" t="n"/>
      <c r="I258" s="40" t="str">
        <f>IF(OR($J258="",$K258=""),"",ROUND(MAX(0,($K258-$J258)-IF($H258="",0,$H258))/60,2))</f>
        <v/>
      </c>
      <c r="J258" s="41" t="str">
        <f>IF($F258="","",IF($F258&lt;1,ROUND($F258*1440,0),INT($F258/100)*60+MOD($F258,100)))</f>
        <v/>
      </c>
      <c r="K258" s="41" t="str">
        <f>IF($G258="","",IF($G258&lt;1,ROUND($G258*1440,0),INT($G258/100)*60+MOD($G258,100)))</f>
        <v/>
      </c>
    </row>
    <row r="259" ht="15" customHeight="1" s="26">
      <c r="A259" s="34" t="n"/>
      <c r="B259" s="32" t="n"/>
      <c r="C259" s="33" t="n"/>
      <c r="D259" s="37" t="str">
        <f>IF($C259="","",IFERROR(INDEX(프로젝트목록!$B$3:$B$62,MATCH($C259,프로젝트목록!$A$3:$A$62,0)),"미등록코드"))</f>
        <v/>
      </c>
      <c r="E259" s="32" t="n"/>
      <c r="F259" s="38" t="n"/>
      <c r="G259" s="38" t="n"/>
      <c r="H259" s="39" t="n"/>
      <c r="I259" s="40" t="str">
        <f>IF(OR($J259="",$K259=""),"",ROUND(MAX(0,($K259-$J259)-IF($H259="",0,$H259))/60,2))</f>
        <v/>
      </c>
      <c r="J259" s="41" t="str">
        <f>IF($F259="","",IF($F259&lt;1,ROUND($F259*1440,0),INT($F259/100)*60+MOD($F259,100)))</f>
        <v/>
      </c>
      <c r="K259" s="41" t="str">
        <f>IF($G259="","",IF($G259&lt;1,ROUND($G259*1440,0),INT($G259/100)*60+MOD($G259,100)))</f>
        <v/>
      </c>
    </row>
    <row r="260" ht="15" customHeight="1" s="26">
      <c r="A260" s="34" t="n"/>
      <c r="B260" s="32" t="n"/>
      <c r="C260" s="33" t="n"/>
      <c r="D260" s="37" t="str">
        <f>IF($C260="","",IFERROR(INDEX(프로젝트목록!$B$3:$B$62,MATCH($C260,프로젝트목록!$A$3:$A$62,0)),"미등록코드"))</f>
        <v/>
      </c>
      <c r="E260" s="32" t="n"/>
      <c r="F260" s="38" t="n"/>
      <c r="G260" s="38" t="n"/>
      <c r="H260" s="39" t="n"/>
      <c r="I260" s="40" t="str">
        <f>IF(OR($J260="",$K260=""),"",ROUND(MAX(0,($K260-$J260)-IF($H260="",0,$H260))/60,2))</f>
        <v/>
      </c>
      <c r="J260" s="41" t="str">
        <f>IF($F260="","",IF($F260&lt;1,ROUND($F260*1440,0),INT($F260/100)*60+MOD($F260,100)))</f>
        <v/>
      </c>
      <c r="K260" s="41" t="str">
        <f>IF($G260="","",IF($G260&lt;1,ROUND($G260*1440,0),INT($G260/100)*60+MOD($G260,100)))</f>
        <v/>
      </c>
    </row>
    <row r="261" ht="15" customHeight="1" s="26">
      <c r="A261" s="34" t="n"/>
      <c r="B261" s="32" t="n"/>
      <c r="C261" s="33" t="n"/>
      <c r="D261" s="37" t="str">
        <f>IF($C261="","",IFERROR(INDEX(프로젝트목록!$B$3:$B$62,MATCH($C261,프로젝트목록!$A$3:$A$62,0)),"미등록코드"))</f>
        <v/>
      </c>
      <c r="E261" s="32" t="n"/>
      <c r="F261" s="38" t="n"/>
      <c r="G261" s="38" t="n"/>
      <c r="H261" s="39" t="n"/>
      <c r="I261" s="40" t="str">
        <f>IF(OR($J261="",$K261=""),"",ROUND(MAX(0,($K261-$J261)-IF($H261="",0,$H261))/60,2))</f>
        <v/>
      </c>
      <c r="J261" s="41" t="str">
        <f>IF($F261="","",IF($F261&lt;1,ROUND($F261*1440,0),INT($F261/100)*60+MOD($F261,100)))</f>
        <v/>
      </c>
      <c r="K261" s="41" t="str">
        <f>IF($G261="","",IF($G261&lt;1,ROUND($G261*1440,0),INT($G261/100)*60+MOD($G261,100)))</f>
        <v/>
      </c>
    </row>
    <row r="262" ht="15" customHeight="1" s="26">
      <c r="A262" s="34" t="n"/>
      <c r="B262" s="32" t="n"/>
      <c r="C262" s="33" t="n"/>
      <c r="D262" s="37" t="str">
        <f>IF($C262="","",IFERROR(INDEX(프로젝트목록!$B$3:$B$62,MATCH($C262,프로젝트목록!$A$3:$A$62,0)),"미등록코드"))</f>
        <v/>
      </c>
      <c r="E262" s="32" t="n"/>
      <c r="F262" s="38" t="n"/>
      <c r="G262" s="38" t="n"/>
      <c r="H262" s="39" t="n"/>
      <c r="I262" s="40" t="str">
        <f>IF(OR($J262="",$K262=""),"",ROUND(MAX(0,($K262-$J262)-IF($H262="",0,$H262))/60,2))</f>
        <v/>
      </c>
      <c r="J262" s="41" t="str">
        <f>IF($F262="","",IF($F262&lt;1,ROUND($F262*1440,0),INT($F262/100)*60+MOD($F262,100)))</f>
        <v/>
      </c>
      <c r="K262" s="41" t="str">
        <f>IF($G262="","",IF($G262&lt;1,ROUND($G262*1440,0),INT($G262/100)*60+MOD($G262,100)))</f>
        <v/>
      </c>
    </row>
    <row r="263" ht="15" customHeight="1" s="26">
      <c r="A263" s="34" t="n"/>
      <c r="B263" s="32" t="n"/>
      <c r="C263" s="33" t="n"/>
      <c r="D263" s="37" t="str">
        <f>IF($C263="","",IFERROR(INDEX(프로젝트목록!$B$3:$B$62,MATCH($C263,프로젝트목록!$A$3:$A$62,0)),"미등록코드"))</f>
        <v/>
      </c>
      <c r="E263" s="32" t="n"/>
      <c r="F263" s="38" t="n"/>
      <c r="G263" s="38" t="n"/>
      <c r="H263" s="39" t="n"/>
      <c r="I263" s="40" t="str">
        <f>IF(OR($J263="",$K263=""),"",ROUND(MAX(0,($K263-$J263)-IF($H263="",0,$H263))/60,2))</f>
        <v/>
      </c>
      <c r="J263" s="41" t="str">
        <f>IF($F263="","",IF($F263&lt;1,ROUND($F263*1440,0),INT($F263/100)*60+MOD($F263,100)))</f>
        <v/>
      </c>
      <c r="K263" s="41" t="str">
        <f>IF($G263="","",IF($G263&lt;1,ROUND($G263*1440,0),INT($G263/100)*60+MOD($G263,100)))</f>
        <v/>
      </c>
    </row>
    <row r="264" ht="15" customHeight="1" s="26">
      <c r="A264" s="34" t="n"/>
      <c r="B264" s="32" t="n"/>
      <c r="C264" s="33" t="n"/>
      <c r="D264" s="37" t="str">
        <f>IF($C264="","",IFERROR(INDEX(프로젝트목록!$B$3:$B$62,MATCH($C264,프로젝트목록!$A$3:$A$62,0)),"미등록코드"))</f>
        <v/>
      </c>
      <c r="E264" s="32" t="n"/>
      <c r="F264" s="38" t="n"/>
      <c r="G264" s="38" t="n"/>
      <c r="H264" s="39" t="n"/>
      <c r="I264" s="40" t="str">
        <f>IF(OR($J264="",$K264=""),"",ROUND(MAX(0,($K264-$J264)-IF($H264="",0,$H264))/60,2))</f>
        <v/>
      </c>
      <c r="J264" s="41" t="str">
        <f>IF($F264="","",IF($F264&lt;1,ROUND($F264*1440,0),INT($F264/100)*60+MOD($F264,100)))</f>
        <v/>
      </c>
      <c r="K264" s="41" t="str">
        <f>IF($G264="","",IF($G264&lt;1,ROUND($G264*1440,0),INT($G264/100)*60+MOD($G264,100)))</f>
        <v/>
      </c>
    </row>
    <row r="265" ht="15" customHeight="1" s="26">
      <c r="A265" s="34" t="n"/>
      <c r="B265" s="32" t="n"/>
      <c r="C265" s="33" t="n"/>
      <c r="D265" s="37" t="str">
        <f>IF($C265="","",IFERROR(INDEX(프로젝트목록!$B$3:$B$62,MATCH($C265,프로젝트목록!$A$3:$A$62,0)),"미등록코드"))</f>
        <v/>
      </c>
      <c r="E265" s="32" t="n"/>
      <c r="F265" s="38" t="n"/>
      <c r="G265" s="38" t="n"/>
      <c r="H265" s="39" t="n"/>
      <c r="I265" s="40" t="str">
        <f>IF(OR($J265="",$K265=""),"",ROUND(MAX(0,($K265-$J265)-IF($H265="",0,$H265))/60,2))</f>
        <v/>
      </c>
      <c r="J265" s="41" t="str">
        <f>IF($F265="","",IF($F265&lt;1,ROUND($F265*1440,0),INT($F265/100)*60+MOD($F265,100)))</f>
        <v/>
      </c>
      <c r="K265" s="41" t="str">
        <f>IF($G265="","",IF($G265&lt;1,ROUND($G265*1440,0),INT($G265/100)*60+MOD($G265,100)))</f>
        <v/>
      </c>
    </row>
    <row r="266" ht="15" customHeight="1" s="26">
      <c r="A266" s="34" t="n"/>
      <c r="B266" s="32" t="n"/>
      <c r="C266" s="33" t="n"/>
      <c r="D266" s="37" t="str">
        <f>IF($C266="","",IFERROR(INDEX(프로젝트목록!$B$3:$B$62,MATCH($C266,프로젝트목록!$A$3:$A$62,0)),"미등록코드"))</f>
        <v/>
      </c>
      <c r="E266" s="32" t="n"/>
      <c r="F266" s="38" t="n"/>
      <c r="G266" s="38" t="n"/>
      <c r="H266" s="39" t="n"/>
      <c r="I266" s="40" t="str">
        <f>IF(OR($J266="",$K266=""),"",ROUND(MAX(0,($K266-$J266)-IF($H266="",0,$H266))/60,2))</f>
        <v/>
      </c>
      <c r="J266" s="41" t="str">
        <f>IF($F266="","",IF($F266&lt;1,ROUND($F266*1440,0),INT($F266/100)*60+MOD($F266,100)))</f>
        <v/>
      </c>
      <c r="K266" s="41" t="str">
        <f>IF($G266="","",IF($G266&lt;1,ROUND($G266*1440,0),INT($G266/100)*60+MOD($G266,100)))</f>
        <v/>
      </c>
    </row>
    <row r="267" ht="15" customHeight="1" s="26">
      <c r="A267" s="34" t="n"/>
      <c r="B267" s="32" t="n"/>
      <c r="C267" s="33" t="n"/>
      <c r="D267" s="37" t="str">
        <f>IF($C267="","",IFERROR(INDEX(프로젝트목록!$B$3:$B$62,MATCH($C267,프로젝트목록!$A$3:$A$62,0)),"미등록코드"))</f>
        <v/>
      </c>
      <c r="E267" s="32" t="n"/>
      <c r="F267" s="38" t="n"/>
      <c r="G267" s="38" t="n"/>
      <c r="H267" s="39" t="n"/>
      <c r="I267" s="40" t="str">
        <f>IF(OR($J267="",$K267=""),"",ROUND(MAX(0,($K267-$J267)-IF($H267="",0,$H267))/60,2))</f>
        <v/>
      </c>
      <c r="J267" s="41" t="str">
        <f>IF($F267="","",IF($F267&lt;1,ROUND($F267*1440,0),INT($F267/100)*60+MOD($F267,100)))</f>
        <v/>
      </c>
      <c r="K267" s="41" t="str">
        <f>IF($G267="","",IF($G267&lt;1,ROUND($G267*1440,0),INT($G267/100)*60+MOD($G267,100)))</f>
        <v/>
      </c>
    </row>
    <row r="268" ht="15" customHeight="1" s="26">
      <c r="A268" s="34" t="n"/>
      <c r="B268" s="32" t="n"/>
      <c r="C268" s="33" t="n"/>
      <c r="D268" s="37" t="str">
        <f>IF($C268="","",IFERROR(INDEX(프로젝트목록!$B$3:$B$62,MATCH($C268,프로젝트목록!$A$3:$A$62,0)),"미등록코드"))</f>
        <v/>
      </c>
      <c r="E268" s="32" t="n"/>
      <c r="F268" s="38" t="n"/>
      <c r="G268" s="38" t="n"/>
      <c r="H268" s="39" t="n"/>
      <c r="I268" s="40" t="str">
        <f>IF(OR($J268="",$K268=""),"",ROUND(MAX(0,($K268-$J268)-IF($H268="",0,$H268))/60,2))</f>
        <v/>
      </c>
      <c r="J268" s="41" t="str">
        <f>IF($F268="","",IF($F268&lt;1,ROUND($F268*1440,0),INT($F268/100)*60+MOD($F268,100)))</f>
        <v/>
      </c>
      <c r="K268" s="41" t="str">
        <f>IF($G268="","",IF($G268&lt;1,ROUND($G268*1440,0),INT($G268/100)*60+MOD($G268,100)))</f>
        <v/>
      </c>
    </row>
    <row r="269" ht="15" customHeight="1" s="26">
      <c r="A269" s="34" t="n"/>
      <c r="B269" s="32" t="n"/>
      <c r="C269" s="33" t="n"/>
      <c r="D269" s="37" t="str">
        <f>IF($C269="","",IFERROR(INDEX(프로젝트목록!$B$3:$B$62,MATCH($C269,프로젝트목록!$A$3:$A$62,0)),"미등록코드"))</f>
        <v/>
      </c>
      <c r="E269" s="32" t="n"/>
      <c r="F269" s="38" t="n"/>
      <c r="G269" s="38" t="n"/>
      <c r="H269" s="39" t="n"/>
      <c r="I269" s="40" t="str">
        <f>IF(OR($J269="",$K269=""),"",ROUND(MAX(0,($K269-$J269)-IF($H269="",0,$H269))/60,2))</f>
        <v/>
      </c>
      <c r="J269" s="41" t="str">
        <f>IF($F269="","",IF($F269&lt;1,ROUND($F269*1440,0),INT($F269/100)*60+MOD($F269,100)))</f>
        <v/>
      </c>
      <c r="K269" s="41" t="str">
        <f>IF($G269="","",IF($G269&lt;1,ROUND($G269*1440,0),INT($G269/100)*60+MOD($G269,100)))</f>
        <v/>
      </c>
    </row>
    <row r="270" ht="15" customHeight="1" s="26">
      <c r="A270" s="34" t="n"/>
      <c r="B270" s="32" t="n"/>
      <c r="C270" s="33" t="n"/>
      <c r="D270" s="37" t="str">
        <f>IF($C270="","",IFERROR(INDEX(프로젝트목록!$B$3:$B$62,MATCH($C270,프로젝트목록!$A$3:$A$62,0)),"미등록코드"))</f>
        <v/>
      </c>
      <c r="E270" s="32" t="n"/>
      <c r="F270" s="38" t="n"/>
      <c r="G270" s="38" t="n"/>
      <c r="H270" s="39" t="n"/>
      <c r="I270" s="40" t="str">
        <f>IF(OR($J270="",$K270=""),"",ROUND(MAX(0,($K270-$J270)-IF($H270="",0,$H270))/60,2))</f>
        <v/>
      </c>
      <c r="J270" s="41" t="str">
        <f>IF($F270="","",IF($F270&lt;1,ROUND($F270*1440,0),INT($F270/100)*60+MOD($F270,100)))</f>
        <v/>
      </c>
      <c r="K270" s="41" t="str">
        <f>IF($G270="","",IF($G270&lt;1,ROUND($G270*1440,0),INT($G270/100)*60+MOD($G270,100)))</f>
        <v/>
      </c>
    </row>
    <row r="271" ht="15" customHeight="1" s="26">
      <c r="A271" s="34" t="n"/>
      <c r="B271" s="32" t="n"/>
      <c r="C271" s="33" t="n"/>
      <c r="D271" s="37" t="str">
        <f>IF($C271="","",IFERROR(INDEX(프로젝트목록!$B$3:$B$62,MATCH($C271,프로젝트목록!$A$3:$A$62,0)),"미등록코드"))</f>
        <v/>
      </c>
      <c r="E271" s="32" t="n"/>
      <c r="F271" s="38" t="n"/>
      <c r="G271" s="38" t="n"/>
      <c r="H271" s="39" t="n"/>
      <c r="I271" s="40" t="str">
        <f>IF(OR($J271="",$K271=""),"",ROUND(MAX(0,($K271-$J271)-IF($H271="",0,$H271))/60,2))</f>
        <v/>
      </c>
      <c r="J271" s="41" t="str">
        <f>IF($F271="","",IF($F271&lt;1,ROUND($F271*1440,0),INT($F271/100)*60+MOD($F271,100)))</f>
        <v/>
      </c>
      <c r="K271" s="41" t="str">
        <f>IF($G271="","",IF($G271&lt;1,ROUND($G271*1440,0),INT($G271/100)*60+MOD($G271,100)))</f>
        <v/>
      </c>
    </row>
    <row r="272" ht="15" customHeight="1" s="26">
      <c r="A272" s="34" t="n"/>
      <c r="B272" s="32" t="n"/>
      <c r="C272" s="33" t="n"/>
      <c r="D272" s="37" t="str">
        <f>IF($C272="","",IFERROR(INDEX(프로젝트목록!$B$3:$B$62,MATCH($C272,프로젝트목록!$A$3:$A$62,0)),"미등록코드"))</f>
        <v/>
      </c>
      <c r="E272" s="32" t="n"/>
      <c r="F272" s="38" t="n"/>
      <c r="G272" s="38" t="n"/>
      <c r="H272" s="39" t="n"/>
      <c r="I272" s="40" t="str">
        <f>IF(OR($J272="",$K272=""),"",ROUND(MAX(0,($K272-$J272)-IF($H272="",0,$H272))/60,2))</f>
        <v/>
      </c>
      <c r="J272" s="41" t="str">
        <f>IF($F272="","",IF($F272&lt;1,ROUND($F272*1440,0),INT($F272/100)*60+MOD($F272,100)))</f>
        <v/>
      </c>
      <c r="K272" s="41" t="str">
        <f>IF($G272="","",IF($G272&lt;1,ROUND($G272*1440,0),INT($G272/100)*60+MOD($G272,100)))</f>
        <v/>
      </c>
    </row>
    <row r="273" ht="15" customHeight="1" s="26">
      <c r="A273" s="34" t="n"/>
      <c r="B273" s="32" t="n"/>
      <c r="C273" s="33" t="n"/>
      <c r="D273" s="37" t="str">
        <f>IF($C273="","",IFERROR(INDEX(프로젝트목록!$B$3:$B$62,MATCH($C273,프로젝트목록!$A$3:$A$62,0)),"미등록코드"))</f>
        <v/>
      </c>
      <c r="E273" s="32" t="n"/>
      <c r="F273" s="38" t="n"/>
      <c r="G273" s="38" t="n"/>
      <c r="H273" s="39" t="n"/>
      <c r="I273" s="40" t="str">
        <f>IF(OR($J273="",$K273=""),"",ROUND(MAX(0,($K273-$J273)-IF($H273="",0,$H273))/60,2))</f>
        <v/>
      </c>
      <c r="J273" s="41" t="str">
        <f>IF($F273="","",IF($F273&lt;1,ROUND($F273*1440,0),INT($F273/100)*60+MOD($F273,100)))</f>
        <v/>
      </c>
      <c r="K273" s="41" t="str">
        <f>IF($G273="","",IF($G273&lt;1,ROUND($G273*1440,0),INT($G273/100)*60+MOD($G273,100)))</f>
        <v/>
      </c>
    </row>
    <row r="274" ht="15" customHeight="1" s="26">
      <c r="A274" s="34" t="n"/>
      <c r="B274" s="32" t="n"/>
      <c r="C274" s="33" t="n"/>
      <c r="D274" s="37" t="str">
        <f>IF($C274="","",IFERROR(INDEX(프로젝트목록!$B$3:$B$62,MATCH($C274,프로젝트목록!$A$3:$A$62,0)),"미등록코드"))</f>
        <v/>
      </c>
      <c r="E274" s="32" t="n"/>
      <c r="F274" s="38" t="n"/>
      <c r="G274" s="38" t="n"/>
      <c r="H274" s="39" t="n"/>
      <c r="I274" s="40" t="str">
        <f>IF(OR($J274="",$K274=""),"",ROUND(MAX(0,($K274-$J274)-IF($H274="",0,$H274))/60,2))</f>
        <v/>
      </c>
      <c r="J274" s="41" t="str">
        <f>IF($F274="","",IF($F274&lt;1,ROUND($F274*1440,0),INT($F274/100)*60+MOD($F274,100)))</f>
        <v/>
      </c>
      <c r="K274" s="41" t="str">
        <f>IF($G274="","",IF($G274&lt;1,ROUND($G274*1440,0),INT($G274/100)*60+MOD($G274,100)))</f>
        <v/>
      </c>
    </row>
    <row r="275" ht="15" customHeight="1" s="26">
      <c r="A275" s="34" t="n"/>
      <c r="B275" s="32" t="n"/>
      <c r="C275" s="33" t="n"/>
      <c r="D275" s="37" t="str">
        <f>IF($C275="","",IFERROR(INDEX(프로젝트목록!$B$3:$B$62,MATCH($C275,프로젝트목록!$A$3:$A$62,0)),"미등록코드"))</f>
        <v/>
      </c>
      <c r="E275" s="32" t="n"/>
      <c r="F275" s="38" t="n"/>
      <c r="G275" s="38" t="n"/>
      <c r="H275" s="39" t="n"/>
      <c r="I275" s="40" t="str">
        <f>IF(OR($J275="",$K275=""),"",ROUND(MAX(0,($K275-$J275)-IF($H275="",0,$H275))/60,2))</f>
        <v/>
      </c>
      <c r="J275" s="41" t="str">
        <f>IF($F275="","",IF($F275&lt;1,ROUND($F275*1440,0),INT($F275/100)*60+MOD($F275,100)))</f>
        <v/>
      </c>
      <c r="K275" s="41" t="str">
        <f>IF($G275="","",IF($G275&lt;1,ROUND($G275*1440,0),INT($G275/100)*60+MOD($G275,100)))</f>
        <v/>
      </c>
    </row>
    <row r="276" ht="15" customHeight="1" s="26">
      <c r="A276" s="34" t="n"/>
      <c r="B276" s="32" t="n"/>
      <c r="C276" s="33" t="n"/>
      <c r="D276" s="37" t="str">
        <f>IF($C276="","",IFERROR(INDEX(프로젝트목록!$B$3:$B$62,MATCH($C276,프로젝트목록!$A$3:$A$62,0)),"미등록코드"))</f>
        <v/>
      </c>
      <c r="E276" s="32" t="n"/>
      <c r="F276" s="38" t="n"/>
      <c r="G276" s="38" t="n"/>
      <c r="H276" s="39" t="n"/>
      <c r="I276" s="40" t="str">
        <f>IF(OR($J276="",$K276=""),"",ROUND(MAX(0,($K276-$J276)-IF($H276="",0,$H276))/60,2))</f>
        <v/>
      </c>
      <c r="J276" s="41" t="str">
        <f>IF($F276="","",IF($F276&lt;1,ROUND($F276*1440,0),INT($F276/100)*60+MOD($F276,100)))</f>
        <v/>
      </c>
      <c r="K276" s="41" t="str">
        <f>IF($G276="","",IF($G276&lt;1,ROUND($G276*1440,0),INT($G276/100)*60+MOD($G276,100)))</f>
        <v/>
      </c>
    </row>
    <row r="277" ht="15" customHeight="1" s="26">
      <c r="A277" s="34" t="n"/>
      <c r="B277" s="32" t="n"/>
      <c r="C277" s="33" t="n"/>
      <c r="D277" s="37" t="str">
        <f>IF($C277="","",IFERROR(INDEX(프로젝트목록!$B$3:$B$62,MATCH($C277,프로젝트목록!$A$3:$A$62,0)),"미등록코드"))</f>
        <v/>
      </c>
      <c r="E277" s="32" t="n"/>
      <c r="F277" s="38" t="n"/>
      <c r="G277" s="38" t="n"/>
      <c r="H277" s="39" t="n"/>
      <c r="I277" s="40" t="str">
        <f>IF(OR($J277="",$K277=""),"",ROUND(MAX(0,($K277-$J277)-IF($H277="",0,$H277))/60,2))</f>
        <v/>
      </c>
      <c r="J277" s="41" t="str">
        <f>IF($F277="","",IF($F277&lt;1,ROUND($F277*1440,0),INT($F277/100)*60+MOD($F277,100)))</f>
        <v/>
      </c>
      <c r="K277" s="41" t="str">
        <f>IF($G277="","",IF($G277&lt;1,ROUND($G277*1440,0),INT($G277/100)*60+MOD($G277,100)))</f>
        <v/>
      </c>
    </row>
    <row r="278" ht="15" customHeight="1" s="26">
      <c r="A278" s="34" t="n"/>
      <c r="B278" s="32" t="n"/>
      <c r="C278" s="33" t="n"/>
      <c r="D278" s="37" t="str">
        <f>IF($C278="","",IFERROR(INDEX(프로젝트목록!$B$3:$B$62,MATCH($C278,프로젝트목록!$A$3:$A$62,0)),"미등록코드"))</f>
        <v/>
      </c>
      <c r="E278" s="32" t="n"/>
      <c r="F278" s="38" t="n"/>
      <c r="G278" s="38" t="n"/>
      <c r="H278" s="39" t="n"/>
      <c r="I278" s="40" t="str">
        <f>IF(OR($J278="",$K278=""),"",ROUND(MAX(0,($K278-$J278)-IF($H278="",0,$H278))/60,2))</f>
        <v/>
      </c>
      <c r="J278" s="41" t="str">
        <f>IF($F278="","",IF($F278&lt;1,ROUND($F278*1440,0),INT($F278/100)*60+MOD($F278,100)))</f>
        <v/>
      </c>
      <c r="K278" s="41" t="str">
        <f>IF($G278="","",IF($G278&lt;1,ROUND($G278*1440,0),INT($G278/100)*60+MOD($G278,100)))</f>
        <v/>
      </c>
    </row>
    <row r="279" ht="15" customHeight="1" s="26">
      <c r="A279" s="34" t="n"/>
      <c r="B279" s="32" t="n"/>
      <c r="C279" s="33" t="n"/>
      <c r="D279" s="37" t="str">
        <f>IF($C279="","",IFERROR(INDEX(프로젝트목록!$B$3:$B$62,MATCH($C279,프로젝트목록!$A$3:$A$62,0)),"미등록코드"))</f>
        <v/>
      </c>
      <c r="E279" s="32" t="n"/>
      <c r="F279" s="38" t="n"/>
      <c r="G279" s="38" t="n"/>
      <c r="H279" s="39" t="n"/>
      <c r="I279" s="40" t="str">
        <f>IF(OR($J279="",$K279=""),"",ROUND(MAX(0,($K279-$J279)-IF($H279="",0,$H279))/60,2))</f>
        <v/>
      </c>
      <c r="J279" s="41" t="str">
        <f>IF($F279="","",IF($F279&lt;1,ROUND($F279*1440,0),INT($F279/100)*60+MOD($F279,100)))</f>
        <v/>
      </c>
      <c r="K279" s="41" t="str">
        <f>IF($G279="","",IF($G279&lt;1,ROUND($G279*1440,0),INT($G279/100)*60+MOD($G279,100)))</f>
        <v/>
      </c>
    </row>
    <row r="280" ht="15" customHeight="1" s="26">
      <c r="A280" s="34" t="n"/>
      <c r="B280" s="32" t="n"/>
      <c r="C280" s="33" t="n"/>
      <c r="D280" s="37" t="str">
        <f>IF($C280="","",IFERROR(INDEX(프로젝트목록!$B$3:$B$62,MATCH($C280,프로젝트목록!$A$3:$A$62,0)),"미등록코드"))</f>
        <v/>
      </c>
      <c r="E280" s="32" t="n"/>
      <c r="F280" s="38" t="n"/>
      <c r="G280" s="38" t="n"/>
      <c r="H280" s="39" t="n"/>
      <c r="I280" s="40" t="str">
        <f>IF(OR($J280="",$K280=""),"",ROUND(MAX(0,($K280-$J280)-IF($H280="",0,$H280))/60,2))</f>
        <v/>
      </c>
      <c r="J280" s="41" t="str">
        <f>IF($F280="","",IF($F280&lt;1,ROUND($F280*1440,0),INT($F280/100)*60+MOD($F280,100)))</f>
        <v/>
      </c>
      <c r="K280" s="41" t="str">
        <f>IF($G280="","",IF($G280&lt;1,ROUND($G280*1440,0),INT($G280/100)*60+MOD($G280,100)))</f>
        <v/>
      </c>
    </row>
    <row r="281" ht="15" customHeight="1" s="26">
      <c r="A281" s="34" t="n"/>
      <c r="B281" s="32" t="n"/>
      <c r="C281" s="33" t="n"/>
      <c r="D281" s="37" t="str">
        <f>IF($C281="","",IFERROR(INDEX(프로젝트목록!$B$3:$B$62,MATCH($C281,프로젝트목록!$A$3:$A$62,0)),"미등록코드"))</f>
        <v/>
      </c>
      <c r="E281" s="32" t="n"/>
      <c r="F281" s="38" t="n"/>
      <c r="G281" s="38" t="n"/>
      <c r="H281" s="39" t="n"/>
      <c r="I281" s="40" t="str">
        <f>IF(OR($J281="",$K281=""),"",ROUND(MAX(0,($K281-$J281)-IF($H281="",0,$H281))/60,2))</f>
        <v/>
      </c>
      <c r="J281" s="41" t="str">
        <f>IF($F281="","",IF($F281&lt;1,ROUND($F281*1440,0),INT($F281/100)*60+MOD($F281,100)))</f>
        <v/>
      </c>
      <c r="K281" s="41" t="str">
        <f>IF($G281="","",IF($G281&lt;1,ROUND($G281*1440,0),INT($G281/100)*60+MOD($G281,100)))</f>
        <v/>
      </c>
    </row>
    <row r="282" ht="15" customHeight="1" s="26">
      <c r="A282" s="34" t="n"/>
      <c r="B282" s="32" t="n"/>
      <c r="C282" s="33" t="n"/>
      <c r="D282" s="37" t="str">
        <f>IF($C282="","",IFERROR(INDEX(프로젝트목록!$B$3:$B$62,MATCH($C282,프로젝트목록!$A$3:$A$62,0)),"미등록코드"))</f>
        <v/>
      </c>
      <c r="E282" s="32" t="n"/>
      <c r="F282" s="38" t="n"/>
      <c r="G282" s="38" t="n"/>
      <c r="H282" s="39" t="n"/>
      <c r="I282" s="40" t="str">
        <f>IF(OR($J282="",$K282=""),"",ROUND(MAX(0,($K282-$J282)-IF($H282="",0,$H282))/60,2))</f>
        <v/>
      </c>
      <c r="J282" s="41" t="str">
        <f>IF($F282="","",IF($F282&lt;1,ROUND($F282*1440,0),INT($F282/100)*60+MOD($F282,100)))</f>
        <v/>
      </c>
      <c r="K282" s="41" t="str">
        <f>IF($G282="","",IF($G282&lt;1,ROUND($G282*1440,0),INT($G282/100)*60+MOD($G282,100)))</f>
        <v/>
      </c>
    </row>
    <row r="283" ht="15" customHeight="1" s="26">
      <c r="A283" s="34" t="n"/>
      <c r="B283" s="32" t="n"/>
      <c r="C283" s="33" t="n"/>
      <c r="D283" s="37" t="str">
        <f>IF($C283="","",IFERROR(INDEX(프로젝트목록!$B$3:$B$62,MATCH($C283,프로젝트목록!$A$3:$A$62,0)),"미등록코드"))</f>
        <v/>
      </c>
      <c r="E283" s="32" t="n"/>
      <c r="F283" s="38" t="n"/>
      <c r="G283" s="38" t="n"/>
      <c r="H283" s="39" t="n"/>
      <c r="I283" s="40" t="str">
        <f>IF(OR($J283="",$K283=""),"",ROUND(MAX(0,($K283-$J283)-IF($H283="",0,$H283))/60,2))</f>
        <v/>
      </c>
      <c r="J283" s="41" t="str">
        <f>IF($F283="","",IF($F283&lt;1,ROUND($F283*1440,0),INT($F283/100)*60+MOD($F283,100)))</f>
        <v/>
      </c>
      <c r="K283" s="41" t="str">
        <f>IF($G283="","",IF($G283&lt;1,ROUND($G283*1440,0),INT($G283/100)*60+MOD($G283,100)))</f>
        <v/>
      </c>
    </row>
    <row r="284" ht="15" customHeight="1" s="26">
      <c r="A284" s="34" t="n"/>
      <c r="B284" s="32" t="n"/>
      <c r="C284" s="33" t="n"/>
      <c r="D284" s="37" t="str">
        <f>IF($C284="","",IFERROR(INDEX(프로젝트목록!$B$3:$B$62,MATCH($C284,프로젝트목록!$A$3:$A$62,0)),"미등록코드"))</f>
        <v/>
      </c>
      <c r="E284" s="32" t="n"/>
      <c r="F284" s="38" t="n"/>
      <c r="G284" s="38" t="n"/>
      <c r="H284" s="39" t="n"/>
      <c r="I284" s="40" t="str">
        <f>IF(OR($J284="",$K284=""),"",ROUND(MAX(0,($K284-$J284)-IF($H284="",0,$H284))/60,2))</f>
        <v/>
      </c>
      <c r="J284" s="41" t="str">
        <f>IF($F284="","",IF($F284&lt;1,ROUND($F284*1440,0),INT($F284/100)*60+MOD($F284,100)))</f>
        <v/>
      </c>
      <c r="K284" s="41" t="str">
        <f>IF($G284="","",IF($G284&lt;1,ROUND($G284*1440,0),INT($G284/100)*60+MOD($G284,100)))</f>
        <v/>
      </c>
    </row>
    <row r="285" ht="15" customHeight="1" s="26">
      <c r="A285" s="34" t="n"/>
      <c r="B285" s="32" t="n"/>
      <c r="C285" s="33" t="n"/>
      <c r="D285" s="37" t="str">
        <f>IF($C285="","",IFERROR(INDEX(프로젝트목록!$B$3:$B$62,MATCH($C285,프로젝트목록!$A$3:$A$62,0)),"미등록코드"))</f>
        <v/>
      </c>
      <c r="E285" s="32" t="n"/>
      <c r="F285" s="38" t="n"/>
      <c r="G285" s="38" t="n"/>
      <c r="H285" s="39" t="n"/>
      <c r="I285" s="40" t="str">
        <f>IF(OR($J285="",$K285=""),"",ROUND(MAX(0,($K285-$J285)-IF($H285="",0,$H285))/60,2))</f>
        <v/>
      </c>
      <c r="J285" s="41" t="str">
        <f>IF($F285="","",IF($F285&lt;1,ROUND($F285*1440,0),INT($F285/100)*60+MOD($F285,100)))</f>
        <v/>
      </c>
      <c r="K285" s="41" t="str">
        <f>IF($G285="","",IF($G285&lt;1,ROUND($G285*1440,0),INT($G285/100)*60+MOD($G285,100)))</f>
        <v/>
      </c>
    </row>
    <row r="286" ht="15" customHeight="1" s="26">
      <c r="A286" s="34" t="n"/>
      <c r="B286" s="32" t="n"/>
      <c r="C286" s="33" t="n"/>
      <c r="D286" s="37" t="str">
        <f>IF($C286="","",IFERROR(INDEX(프로젝트목록!$B$3:$B$62,MATCH($C286,프로젝트목록!$A$3:$A$62,0)),"미등록코드"))</f>
        <v/>
      </c>
      <c r="E286" s="32" t="n"/>
      <c r="F286" s="38" t="n"/>
      <c r="G286" s="38" t="n"/>
      <c r="H286" s="39" t="n"/>
      <c r="I286" s="40" t="str">
        <f>IF(OR($J286="",$K286=""),"",ROUND(MAX(0,($K286-$J286)-IF($H286="",0,$H286))/60,2))</f>
        <v/>
      </c>
      <c r="J286" s="41" t="str">
        <f>IF($F286="","",IF($F286&lt;1,ROUND($F286*1440,0),INT($F286/100)*60+MOD($F286,100)))</f>
        <v/>
      </c>
      <c r="K286" s="41" t="str">
        <f>IF($G286="","",IF($G286&lt;1,ROUND($G286*1440,0),INT($G286/100)*60+MOD($G286,100)))</f>
        <v/>
      </c>
    </row>
    <row r="287" ht="15" customHeight="1" s="26">
      <c r="A287" s="34" t="n"/>
      <c r="B287" s="32" t="n"/>
      <c r="C287" s="33" t="n"/>
      <c r="D287" s="37" t="str">
        <f>IF($C287="","",IFERROR(INDEX(프로젝트목록!$B$3:$B$62,MATCH($C287,프로젝트목록!$A$3:$A$62,0)),"미등록코드"))</f>
        <v/>
      </c>
      <c r="E287" s="32" t="n"/>
      <c r="F287" s="38" t="n"/>
      <c r="G287" s="38" t="n"/>
      <c r="H287" s="39" t="n"/>
      <c r="I287" s="40" t="str">
        <f>IF(OR($J287="",$K287=""),"",ROUND(MAX(0,($K287-$J287)-IF($H287="",0,$H287))/60,2))</f>
        <v/>
      </c>
      <c r="J287" s="41" t="str">
        <f>IF($F287="","",IF($F287&lt;1,ROUND($F287*1440,0),INT($F287/100)*60+MOD($F287,100)))</f>
        <v/>
      </c>
      <c r="K287" s="41" t="str">
        <f>IF($G287="","",IF($G287&lt;1,ROUND($G287*1440,0),INT($G287/100)*60+MOD($G287,100)))</f>
        <v/>
      </c>
    </row>
    <row r="288" ht="15" customHeight="1" s="26">
      <c r="A288" s="34" t="n"/>
      <c r="B288" s="32" t="n"/>
      <c r="C288" s="33" t="n"/>
      <c r="D288" s="37" t="str">
        <f>IF($C288="","",IFERROR(INDEX(프로젝트목록!$B$3:$B$62,MATCH($C288,프로젝트목록!$A$3:$A$62,0)),"미등록코드"))</f>
        <v/>
      </c>
      <c r="E288" s="32" t="n"/>
      <c r="F288" s="38" t="n"/>
      <c r="G288" s="38" t="n"/>
      <c r="H288" s="39" t="n"/>
      <c r="I288" s="40" t="str">
        <f>IF(OR($J288="",$K288=""),"",ROUND(MAX(0,($K288-$J288)-IF($H288="",0,$H288))/60,2))</f>
        <v/>
      </c>
      <c r="J288" s="41" t="str">
        <f>IF($F288="","",IF($F288&lt;1,ROUND($F288*1440,0),INT($F288/100)*60+MOD($F288,100)))</f>
        <v/>
      </c>
      <c r="K288" s="41" t="str">
        <f>IF($G288="","",IF($G288&lt;1,ROUND($G288*1440,0),INT($G288/100)*60+MOD($G288,100)))</f>
        <v/>
      </c>
    </row>
    <row r="289" ht="15" customHeight="1" s="26">
      <c r="A289" s="34" t="n"/>
      <c r="B289" s="32" t="n"/>
      <c r="C289" s="33" t="n"/>
      <c r="D289" s="37" t="str">
        <f>IF($C289="","",IFERROR(INDEX(프로젝트목록!$B$3:$B$62,MATCH($C289,프로젝트목록!$A$3:$A$62,0)),"미등록코드"))</f>
        <v/>
      </c>
      <c r="E289" s="32" t="n"/>
      <c r="F289" s="38" t="n"/>
      <c r="G289" s="38" t="n"/>
      <c r="H289" s="39" t="n"/>
      <c r="I289" s="40" t="str">
        <f>IF(OR($J289="",$K289=""),"",ROUND(MAX(0,($K289-$J289)-IF($H289="",0,$H289))/60,2))</f>
        <v/>
      </c>
      <c r="J289" s="41" t="str">
        <f>IF($F289="","",IF($F289&lt;1,ROUND($F289*1440,0),INT($F289/100)*60+MOD($F289,100)))</f>
        <v/>
      </c>
      <c r="K289" s="41" t="str">
        <f>IF($G289="","",IF($G289&lt;1,ROUND($G289*1440,0),INT($G289/100)*60+MOD($G289,100)))</f>
        <v/>
      </c>
    </row>
    <row r="290" ht="15" customHeight="1" s="26">
      <c r="A290" s="34" t="n"/>
      <c r="B290" s="32" t="n"/>
      <c r="C290" s="33" t="n"/>
      <c r="D290" s="37" t="str">
        <f>IF($C290="","",IFERROR(INDEX(프로젝트목록!$B$3:$B$62,MATCH($C290,프로젝트목록!$A$3:$A$62,0)),"미등록코드"))</f>
        <v/>
      </c>
      <c r="E290" s="32" t="n"/>
      <c r="F290" s="38" t="n"/>
      <c r="G290" s="38" t="n"/>
      <c r="H290" s="39" t="n"/>
      <c r="I290" s="40" t="str">
        <f>IF(OR($J290="",$K290=""),"",ROUND(MAX(0,($K290-$J290)-IF($H290="",0,$H290))/60,2))</f>
        <v/>
      </c>
      <c r="J290" s="41" t="str">
        <f>IF($F290="","",IF($F290&lt;1,ROUND($F290*1440,0),INT($F290/100)*60+MOD($F290,100)))</f>
        <v/>
      </c>
      <c r="K290" s="41" t="str">
        <f>IF($G290="","",IF($G290&lt;1,ROUND($G290*1440,0),INT($G290/100)*60+MOD($G290,100)))</f>
        <v/>
      </c>
    </row>
    <row r="291" ht="15" customHeight="1" s="26">
      <c r="A291" s="34" t="n"/>
      <c r="B291" s="32" t="n"/>
      <c r="C291" s="33" t="n"/>
      <c r="D291" s="37" t="str">
        <f>IF($C291="","",IFERROR(INDEX(프로젝트목록!$B$3:$B$62,MATCH($C291,프로젝트목록!$A$3:$A$62,0)),"미등록코드"))</f>
        <v/>
      </c>
      <c r="E291" s="32" t="n"/>
      <c r="F291" s="38" t="n"/>
      <c r="G291" s="38" t="n"/>
      <c r="H291" s="39" t="n"/>
      <c r="I291" s="40" t="str">
        <f>IF(OR($J291="",$K291=""),"",ROUND(MAX(0,($K291-$J291)-IF($H291="",0,$H291))/60,2))</f>
        <v/>
      </c>
      <c r="J291" s="41" t="str">
        <f>IF($F291="","",IF($F291&lt;1,ROUND($F291*1440,0),INT($F291/100)*60+MOD($F291,100)))</f>
        <v/>
      </c>
      <c r="K291" s="41" t="str">
        <f>IF($G291="","",IF($G291&lt;1,ROUND($G291*1440,0),INT($G291/100)*60+MOD($G291,100)))</f>
        <v/>
      </c>
    </row>
    <row r="292" ht="15" customHeight="1" s="26">
      <c r="A292" s="34" t="n"/>
      <c r="B292" s="32" t="n"/>
      <c r="C292" s="33" t="n"/>
      <c r="D292" s="37" t="str">
        <f>IF($C292="","",IFERROR(INDEX(프로젝트목록!$B$3:$B$62,MATCH($C292,프로젝트목록!$A$3:$A$62,0)),"미등록코드"))</f>
        <v/>
      </c>
      <c r="E292" s="32" t="n"/>
      <c r="F292" s="38" t="n"/>
      <c r="G292" s="38" t="n"/>
      <c r="H292" s="39" t="n"/>
      <c r="I292" s="40" t="str">
        <f>IF(OR($J292="",$K292=""),"",ROUND(MAX(0,($K292-$J292)-IF($H292="",0,$H292))/60,2))</f>
        <v/>
      </c>
      <c r="J292" s="41" t="str">
        <f>IF($F292="","",IF($F292&lt;1,ROUND($F292*1440,0),INT($F292/100)*60+MOD($F292,100)))</f>
        <v/>
      </c>
      <c r="K292" s="41" t="str">
        <f>IF($G292="","",IF($G292&lt;1,ROUND($G292*1440,0),INT($G292/100)*60+MOD($G292,100)))</f>
        <v/>
      </c>
    </row>
    <row r="293" ht="15" customHeight="1" s="26">
      <c r="A293" s="34" t="n"/>
      <c r="B293" s="32" t="n"/>
      <c r="C293" s="33" t="n"/>
      <c r="D293" s="37" t="str">
        <f>IF($C293="","",IFERROR(INDEX(프로젝트목록!$B$3:$B$62,MATCH($C293,프로젝트목록!$A$3:$A$62,0)),"미등록코드"))</f>
        <v/>
      </c>
      <c r="E293" s="32" t="n"/>
      <c r="F293" s="38" t="n"/>
      <c r="G293" s="38" t="n"/>
      <c r="H293" s="39" t="n"/>
      <c r="I293" s="40" t="str">
        <f>IF(OR($J293="",$K293=""),"",ROUND(MAX(0,($K293-$J293)-IF($H293="",0,$H293))/60,2))</f>
        <v/>
      </c>
      <c r="J293" s="41" t="str">
        <f>IF($F293="","",IF($F293&lt;1,ROUND($F293*1440,0),INT($F293/100)*60+MOD($F293,100)))</f>
        <v/>
      </c>
      <c r="K293" s="41" t="str">
        <f>IF($G293="","",IF($G293&lt;1,ROUND($G293*1440,0),INT($G293/100)*60+MOD($G293,100)))</f>
        <v/>
      </c>
    </row>
    <row r="294" ht="15" customHeight="1" s="26">
      <c r="A294" s="34" t="n"/>
      <c r="B294" s="32" t="n"/>
      <c r="C294" s="33" t="n"/>
      <c r="D294" s="37" t="str">
        <f>IF($C294="","",IFERROR(INDEX(프로젝트목록!$B$3:$B$62,MATCH($C294,프로젝트목록!$A$3:$A$62,0)),"미등록코드"))</f>
        <v/>
      </c>
      <c r="E294" s="32" t="n"/>
      <c r="F294" s="38" t="n"/>
      <c r="G294" s="38" t="n"/>
      <c r="H294" s="39" t="n"/>
      <c r="I294" s="40" t="str">
        <f>IF(OR($J294="",$K294=""),"",ROUND(MAX(0,($K294-$J294)-IF($H294="",0,$H294))/60,2))</f>
        <v/>
      </c>
      <c r="J294" s="41" t="str">
        <f>IF($F294="","",IF($F294&lt;1,ROUND($F294*1440,0),INT($F294/100)*60+MOD($F294,100)))</f>
        <v/>
      </c>
      <c r="K294" s="41" t="str">
        <f>IF($G294="","",IF($G294&lt;1,ROUND($G294*1440,0),INT($G294/100)*60+MOD($G294,100)))</f>
        <v/>
      </c>
    </row>
    <row r="295" ht="15" customHeight="1" s="26">
      <c r="A295" s="34" t="n"/>
      <c r="B295" s="32" t="n"/>
      <c r="C295" s="33" t="n"/>
      <c r="D295" s="37" t="str">
        <f>IF($C295="","",IFERROR(INDEX(프로젝트목록!$B$3:$B$62,MATCH($C295,프로젝트목록!$A$3:$A$62,0)),"미등록코드"))</f>
        <v/>
      </c>
      <c r="E295" s="32" t="n"/>
      <c r="F295" s="38" t="n"/>
      <c r="G295" s="38" t="n"/>
      <c r="H295" s="39" t="n"/>
      <c r="I295" s="40" t="str">
        <f>IF(OR($J295="",$K295=""),"",ROUND(MAX(0,($K295-$J295)-IF($H295="",0,$H295))/60,2))</f>
        <v/>
      </c>
      <c r="J295" s="41" t="str">
        <f>IF($F295="","",IF($F295&lt;1,ROUND($F295*1440,0),INT($F295/100)*60+MOD($F295,100)))</f>
        <v/>
      </c>
      <c r="K295" s="41" t="str">
        <f>IF($G295="","",IF($G295&lt;1,ROUND($G295*1440,0),INT($G295/100)*60+MOD($G295,100)))</f>
        <v/>
      </c>
    </row>
    <row r="296" ht="15" customHeight="1" s="26">
      <c r="A296" s="34" t="n"/>
      <c r="B296" s="32" t="n"/>
      <c r="C296" s="33" t="n"/>
      <c r="D296" s="37" t="str">
        <f>IF($C296="","",IFERROR(INDEX(프로젝트목록!$B$3:$B$62,MATCH($C296,프로젝트목록!$A$3:$A$62,0)),"미등록코드"))</f>
        <v/>
      </c>
      <c r="E296" s="32" t="n"/>
      <c r="F296" s="38" t="n"/>
      <c r="G296" s="38" t="n"/>
      <c r="H296" s="39" t="n"/>
      <c r="I296" s="40" t="str">
        <f>IF(OR($J296="",$K296=""),"",ROUND(MAX(0,($K296-$J296)-IF($H296="",0,$H296))/60,2))</f>
        <v/>
      </c>
      <c r="J296" s="41" t="str">
        <f>IF($F296="","",IF($F296&lt;1,ROUND($F296*1440,0),INT($F296/100)*60+MOD($F296,100)))</f>
        <v/>
      </c>
      <c r="K296" s="41" t="str">
        <f>IF($G296="","",IF($G296&lt;1,ROUND($G296*1440,0),INT($G296/100)*60+MOD($G296,100)))</f>
        <v/>
      </c>
    </row>
    <row r="297" ht="15" customHeight="1" s="26">
      <c r="A297" s="34" t="n"/>
      <c r="B297" s="32" t="n"/>
      <c r="C297" s="33" t="n"/>
      <c r="D297" s="37" t="str">
        <f>IF($C297="","",IFERROR(INDEX(프로젝트목록!$B$3:$B$62,MATCH($C297,프로젝트목록!$A$3:$A$62,0)),"미등록코드"))</f>
        <v/>
      </c>
      <c r="E297" s="32" t="n"/>
      <c r="F297" s="38" t="n"/>
      <c r="G297" s="38" t="n"/>
      <c r="H297" s="39" t="n"/>
      <c r="I297" s="40" t="str">
        <f>IF(OR($J297="",$K297=""),"",ROUND(MAX(0,($K297-$J297)-IF($H297="",0,$H297))/60,2))</f>
        <v/>
      </c>
      <c r="J297" s="41" t="str">
        <f>IF($F297="","",IF($F297&lt;1,ROUND($F297*1440,0),INT($F297/100)*60+MOD($F297,100)))</f>
        <v/>
      </c>
      <c r="K297" s="41" t="str">
        <f>IF($G297="","",IF($G297&lt;1,ROUND($G297*1440,0),INT($G297/100)*60+MOD($G297,100)))</f>
        <v/>
      </c>
    </row>
    <row r="298" ht="15" customHeight="1" s="26">
      <c r="A298" s="34" t="n"/>
      <c r="B298" s="32" t="n"/>
      <c r="C298" s="33" t="n"/>
      <c r="D298" s="37" t="str">
        <f>IF($C298="","",IFERROR(INDEX(프로젝트목록!$B$3:$B$62,MATCH($C298,프로젝트목록!$A$3:$A$62,0)),"미등록코드"))</f>
        <v/>
      </c>
      <c r="E298" s="32" t="n"/>
      <c r="F298" s="38" t="n"/>
      <c r="G298" s="38" t="n"/>
      <c r="H298" s="39" t="n"/>
      <c r="I298" s="40" t="str">
        <f>IF(OR($J298="",$K298=""),"",ROUND(MAX(0,($K298-$J298)-IF($H298="",0,$H298))/60,2))</f>
        <v/>
      </c>
      <c r="J298" s="41" t="str">
        <f>IF($F298="","",IF($F298&lt;1,ROUND($F298*1440,0),INT($F298/100)*60+MOD($F298,100)))</f>
        <v/>
      </c>
      <c r="K298" s="41" t="str">
        <f>IF($G298="","",IF($G298&lt;1,ROUND($G298*1440,0),INT($G298/100)*60+MOD($G298,100)))</f>
        <v/>
      </c>
    </row>
    <row r="299" ht="15" customHeight="1" s="26">
      <c r="A299" s="34" t="n"/>
      <c r="B299" s="32" t="n"/>
      <c r="C299" s="33" t="n"/>
      <c r="D299" s="37" t="str">
        <f>IF($C299="","",IFERROR(INDEX(프로젝트목록!$B$3:$B$62,MATCH($C299,프로젝트목록!$A$3:$A$62,0)),"미등록코드"))</f>
        <v/>
      </c>
      <c r="E299" s="32" t="n"/>
      <c r="F299" s="38" t="n"/>
      <c r="G299" s="38" t="n"/>
      <c r="H299" s="39" t="n"/>
      <c r="I299" s="40" t="str">
        <f>IF(OR($J299="",$K299=""),"",ROUND(MAX(0,($K299-$J299)-IF($H299="",0,$H299))/60,2))</f>
        <v/>
      </c>
      <c r="J299" s="41" t="str">
        <f>IF($F299="","",IF($F299&lt;1,ROUND($F299*1440,0),INT($F299/100)*60+MOD($F299,100)))</f>
        <v/>
      </c>
      <c r="K299" s="41" t="str">
        <f>IF($G299="","",IF($G299&lt;1,ROUND($G299*1440,0),INT($G299/100)*60+MOD($G299,100)))</f>
        <v/>
      </c>
    </row>
    <row r="300" ht="15" customHeight="1" s="26">
      <c r="A300" s="34" t="n"/>
      <c r="B300" s="32" t="n"/>
      <c r="C300" s="33" t="n"/>
      <c r="D300" s="37" t="str">
        <f>IF($C300="","",IFERROR(INDEX(프로젝트목록!$B$3:$B$62,MATCH($C300,프로젝트목록!$A$3:$A$62,0)),"미등록코드"))</f>
        <v/>
      </c>
      <c r="E300" s="32" t="n"/>
      <c r="F300" s="38" t="n"/>
      <c r="G300" s="38" t="n"/>
      <c r="H300" s="39" t="n"/>
      <c r="I300" s="40" t="str">
        <f>IF(OR($J300="",$K300=""),"",ROUND(MAX(0,($K300-$J300)-IF($H300="",0,$H300))/60,2))</f>
        <v/>
      </c>
      <c r="J300" s="41" t="str">
        <f>IF($F300="","",IF($F300&lt;1,ROUND($F300*1440,0),INT($F300/100)*60+MOD($F300,100)))</f>
        <v/>
      </c>
      <c r="K300" s="41" t="str">
        <f>IF($G300="","",IF($G300&lt;1,ROUND($G300*1440,0),INT($G300/100)*60+MOD($G300,100)))</f>
        <v/>
      </c>
    </row>
    <row r="301" ht="15" customHeight="1" s="26">
      <c r="A301" s="34" t="n"/>
      <c r="B301" s="32" t="n"/>
      <c r="C301" s="33" t="n"/>
      <c r="D301" s="37" t="str">
        <f>IF($C301="","",IFERROR(INDEX(프로젝트목록!$B$3:$B$62,MATCH($C301,프로젝트목록!$A$3:$A$62,0)),"미등록코드"))</f>
        <v/>
      </c>
      <c r="E301" s="32" t="n"/>
      <c r="F301" s="38" t="n"/>
      <c r="G301" s="38" t="n"/>
      <c r="H301" s="39" t="n"/>
      <c r="I301" s="40" t="str">
        <f>IF(OR($J301="",$K301=""),"",ROUND(MAX(0,($K301-$J301)-IF($H301="",0,$H301))/60,2))</f>
        <v/>
      </c>
      <c r="J301" s="41" t="str">
        <f>IF($F301="","",IF($F301&lt;1,ROUND($F301*1440,0),INT($F301/100)*60+MOD($F301,100)))</f>
        <v/>
      </c>
      <c r="K301" s="41" t="str">
        <f>IF($G301="","",IF($G301&lt;1,ROUND($G301*1440,0),INT($G301/100)*60+MOD($G301,100)))</f>
        <v/>
      </c>
    </row>
    <row r="302" ht="15" customHeight="1" s="26">
      <c r="A302" s="34" t="n"/>
      <c r="B302" s="32" t="n"/>
      <c r="C302" s="33" t="n"/>
      <c r="D302" s="37" t="str">
        <f>IF($C302="","",IFERROR(INDEX(프로젝트목록!$B$3:$B$62,MATCH($C302,프로젝트목록!$A$3:$A$62,0)),"미등록코드"))</f>
        <v/>
      </c>
      <c r="E302" s="32" t="n"/>
      <c r="F302" s="38" t="n"/>
      <c r="G302" s="38" t="n"/>
      <c r="H302" s="39" t="n"/>
      <c r="I302" s="40" t="str">
        <f>IF(OR($J302="",$K302=""),"",ROUND(MAX(0,($K302-$J302)-IF($H302="",0,$H302))/60,2))</f>
        <v/>
      </c>
      <c r="J302" s="41" t="str">
        <f>IF($F302="","",IF($F302&lt;1,ROUND($F302*1440,0),INT($F302/100)*60+MOD($F302,100)))</f>
        <v/>
      </c>
      <c r="K302" s="41" t="str">
        <f>IF($G302="","",IF($G302&lt;1,ROUND($G302*1440,0),INT($G302/100)*60+MOD($G302,100)))</f>
        <v/>
      </c>
    </row>
    <row r="303" ht="15" customHeight="1" s="26">
      <c r="A303" s="34" t="n"/>
      <c r="B303" s="32" t="n"/>
      <c r="C303" s="33" t="n"/>
      <c r="D303" s="37" t="str">
        <f>IF($C303="","",IFERROR(INDEX(프로젝트목록!$B$3:$B$62,MATCH($C303,프로젝트목록!$A$3:$A$62,0)),"미등록코드"))</f>
        <v/>
      </c>
      <c r="E303" s="32" t="n"/>
      <c r="F303" s="38" t="n"/>
      <c r="G303" s="38" t="n"/>
      <c r="H303" s="39" t="n"/>
      <c r="I303" s="40" t="str">
        <f>IF(OR($J303="",$K303=""),"",ROUND(MAX(0,($K303-$J303)-IF($H303="",0,$H303))/60,2))</f>
        <v/>
      </c>
      <c r="J303" s="41" t="str">
        <f>IF($F303="","",IF($F303&lt;1,ROUND($F303*1440,0),INT($F303/100)*60+MOD($F303,100)))</f>
        <v/>
      </c>
      <c r="K303" s="41" t="str">
        <f>IF($G303="","",IF($G303&lt;1,ROUND($G303*1440,0),INT($G303/100)*60+MOD($G303,100)))</f>
        <v/>
      </c>
    </row>
    <row r="304" ht="15" customHeight="1" s="26">
      <c r="A304" s="34" t="n"/>
      <c r="B304" s="32" t="n"/>
      <c r="C304" s="33" t="n"/>
      <c r="D304" s="37" t="str">
        <f>IF($C304="","",IFERROR(INDEX(프로젝트목록!$B$3:$B$62,MATCH($C304,프로젝트목록!$A$3:$A$62,0)),"미등록코드"))</f>
        <v/>
      </c>
      <c r="E304" s="32" t="n"/>
      <c r="F304" s="38" t="n"/>
      <c r="G304" s="38" t="n"/>
      <c r="H304" s="39" t="n"/>
      <c r="I304" s="40" t="str">
        <f>IF(OR($J304="",$K304=""),"",ROUND(MAX(0,($K304-$J304)-IF($H304="",0,$H304))/60,2))</f>
        <v/>
      </c>
      <c r="J304" s="41" t="str">
        <f>IF($F304="","",IF($F304&lt;1,ROUND($F304*1440,0),INT($F304/100)*60+MOD($F304,100)))</f>
        <v/>
      </c>
      <c r="K304" s="41" t="str">
        <f>IF($G304="","",IF($G304&lt;1,ROUND($G304*1440,0),INT($G304/100)*60+MOD($G304,100)))</f>
        <v/>
      </c>
    </row>
    <row r="305" ht="15" customHeight="1" s="26">
      <c r="A305" s="34" t="n"/>
      <c r="B305" s="32" t="n"/>
      <c r="C305" s="33" t="n"/>
      <c r="D305" s="37" t="str">
        <f>IF($C305="","",IFERROR(INDEX(프로젝트목록!$B$3:$B$62,MATCH($C305,프로젝트목록!$A$3:$A$62,0)),"미등록코드"))</f>
        <v/>
      </c>
      <c r="E305" s="32" t="n"/>
      <c r="F305" s="38" t="n"/>
      <c r="G305" s="38" t="n"/>
      <c r="H305" s="39" t="n"/>
      <c r="I305" s="40" t="str">
        <f>IF(OR($J305="",$K305=""),"",ROUND(MAX(0,($K305-$J305)-IF($H305="",0,$H305))/60,2))</f>
        <v/>
      </c>
      <c r="J305" s="41" t="str">
        <f>IF($F305="","",IF($F305&lt;1,ROUND($F305*1440,0),INT($F305/100)*60+MOD($F305,100)))</f>
        <v/>
      </c>
      <c r="K305" s="41" t="str">
        <f>IF($G305="","",IF($G305&lt;1,ROUND($G305*1440,0),INT($G305/100)*60+MOD($G305,100)))</f>
        <v/>
      </c>
    </row>
    <row r="306" ht="15" customHeight="1" s="26">
      <c r="A306" s="34" t="n"/>
      <c r="B306" s="32" t="n"/>
      <c r="C306" s="33" t="n"/>
      <c r="D306" s="37" t="str">
        <f>IF($C306="","",IFERROR(INDEX(프로젝트목록!$B$3:$B$62,MATCH($C306,프로젝트목록!$A$3:$A$62,0)),"미등록코드"))</f>
        <v/>
      </c>
      <c r="E306" s="32" t="n"/>
      <c r="F306" s="38" t="n"/>
      <c r="G306" s="38" t="n"/>
      <c r="H306" s="39" t="n"/>
      <c r="I306" s="40" t="str">
        <f>IF(OR($J306="",$K306=""),"",ROUND(MAX(0,($K306-$J306)-IF($H306="",0,$H306))/60,2))</f>
        <v/>
      </c>
      <c r="J306" s="41" t="str">
        <f>IF($F306="","",IF($F306&lt;1,ROUND($F306*1440,0),INT($F306/100)*60+MOD($F306,100)))</f>
        <v/>
      </c>
      <c r="K306" s="41" t="str">
        <f>IF($G306="","",IF($G306&lt;1,ROUND($G306*1440,0),INT($G306/100)*60+MOD($G306,100)))</f>
        <v/>
      </c>
    </row>
    <row r="307" ht="15" customHeight="1" s="26">
      <c r="A307" s="34" t="n"/>
      <c r="B307" s="32" t="n"/>
      <c r="C307" s="33" t="n"/>
      <c r="D307" s="37" t="str">
        <f>IF($C307="","",IFERROR(INDEX(프로젝트목록!$B$3:$B$62,MATCH($C307,프로젝트목록!$A$3:$A$62,0)),"미등록코드"))</f>
        <v/>
      </c>
      <c r="E307" s="32" t="n"/>
      <c r="F307" s="38" t="n"/>
      <c r="G307" s="38" t="n"/>
      <c r="H307" s="39" t="n"/>
      <c r="I307" s="40" t="str">
        <f>IF(OR($J307="",$K307=""),"",ROUND(MAX(0,($K307-$J307)-IF($H307="",0,$H307))/60,2))</f>
        <v/>
      </c>
      <c r="J307" s="41" t="str">
        <f>IF($F307="","",IF($F307&lt;1,ROUND($F307*1440,0),INT($F307/100)*60+MOD($F307,100)))</f>
        <v/>
      </c>
      <c r="K307" s="41" t="str">
        <f>IF($G307="","",IF($G307&lt;1,ROUND($G307*1440,0),INT($G307/100)*60+MOD($G307,100)))</f>
        <v/>
      </c>
    </row>
    <row r="308" ht="15" customHeight="1" s="26">
      <c r="A308" s="34" t="n"/>
      <c r="B308" s="32" t="n"/>
      <c r="C308" s="33" t="n"/>
      <c r="D308" s="37" t="str">
        <f>IF($C308="","",IFERROR(INDEX(프로젝트목록!$B$3:$B$62,MATCH($C308,프로젝트목록!$A$3:$A$62,0)),"미등록코드"))</f>
        <v/>
      </c>
      <c r="E308" s="32" t="n"/>
      <c r="F308" s="38" t="n"/>
      <c r="G308" s="38" t="n"/>
      <c r="H308" s="39" t="n"/>
      <c r="I308" s="40" t="str">
        <f>IF(OR($J308="",$K308=""),"",ROUND(MAX(0,($K308-$J308)-IF($H308="",0,$H308))/60,2))</f>
        <v/>
      </c>
      <c r="J308" s="41" t="str">
        <f>IF($F308="","",IF($F308&lt;1,ROUND($F308*1440,0),INT($F308/100)*60+MOD($F308,100)))</f>
        <v/>
      </c>
      <c r="K308" s="41" t="str">
        <f>IF($G308="","",IF($G308&lt;1,ROUND($G308*1440,0),INT($G308/100)*60+MOD($G308,100)))</f>
        <v/>
      </c>
    </row>
    <row r="309" ht="15" customHeight="1" s="26">
      <c r="A309" s="34" t="n"/>
      <c r="B309" s="32" t="n"/>
      <c r="C309" s="33" t="n"/>
      <c r="D309" s="37" t="str">
        <f>IF($C309="","",IFERROR(INDEX(프로젝트목록!$B$3:$B$62,MATCH($C309,프로젝트목록!$A$3:$A$62,0)),"미등록코드"))</f>
        <v/>
      </c>
      <c r="E309" s="32" t="n"/>
      <c r="F309" s="38" t="n"/>
      <c r="G309" s="38" t="n"/>
      <c r="H309" s="39" t="n"/>
      <c r="I309" s="40" t="str">
        <f>IF(OR($J309="",$K309=""),"",ROUND(MAX(0,($K309-$J309)-IF($H309="",0,$H309))/60,2))</f>
        <v/>
      </c>
      <c r="J309" s="41" t="str">
        <f>IF($F309="","",IF($F309&lt;1,ROUND($F309*1440,0),INT($F309/100)*60+MOD($F309,100)))</f>
        <v/>
      </c>
      <c r="K309" s="41" t="str">
        <f>IF($G309="","",IF($G309&lt;1,ROUND($G309*1440,0),INT($G309/100)*60+MOD($G309,100)))</f>
        <v/>
      </c>
    </row>
    <row r="310" ht="15" customHeight="1" s="26">
      <c r="A310" s="34" t="n"/>
      <c r="B310" s="32" t="n"/>
      <c r="C310" s="33" t="n"/>
      <c r="D310" s="37" t="str">
        <f>IF($C310="","",IFERROR(INDEX(프로젝트목록!$B$3:$B$62,MATCH($C310,프로젝트목록!$A$3:$A$62,0)),"미등록코드"))</f>
        <v/>
      </c>
      <c r="E310" s="32" t="n"/>
      <c r="F310" s="38" t="n"/>
      <c r="G310" s="38" t="n"/>
      <c r="H310" s="39" t="n"/>
      <c r="I310" s="40" t="str">
        <f>IF(OR($J310="",$K310=""),"",ROUND(MAX(0,($K310-$J310)-IF($H310="",0,$H310))/60,2))</f>
        <v/>
      </c>
      <c r="J310" s="41" t="str">
        <f>IF($F310="","",IF($F310&lt;1,ROUND($F310*1440,0),INT($F310/100)*60+MOD($F310,100)))</f>
        <v/>
      </c>
      <c r="K310" s="41" t="str">
        <f>IF($G310="","",IF($G310&lt;1,ROUND($G310*1440,0),INT($G310/100)*60+MOD($G310,100)))</f>
        <v/>
      </c>
    </row>
    <row r="311" ht="15" customHeight="1" s="26">
      <c r="A311" s="34" t="n"/>
      <c r="B311" s="32" t="n"/>
      <c r="C311" s="33" t="n"/>
      <c r="D311" s="37" t="str">
        <f>IF($C311="","",IFERROR(INDEX(프로젝트목록!$B$3:$B$62,MATCH($C311,프로젝트목록!$A$3:$A$62,0)),"미등록코드"))</f>
        <v/>
      </c>
      <c r="E311" s="32" t="n"/>
      <c r="F311" s="38" t="n"/>
      <c r="G311" s="38" t="n"/>
      <c r="H311" s="39" t="n"/>
      <c r="I311" s="40" t="str">
        <f>IF(OR($J311="",$K311=""),"",ROUND(MAX(0,($K311-$J311)-IF($H311="",0,$H311))/60,2))</f>
        <v/>
      </c>
      <c r="J311" s="41" t="str">
        <f>IF($F311="","",IF($F311&lt;1,ROUND($F311*1440,0),INT($F311/100)*60+MOD($F311,100)))</f>
        <v/>
      </c>
      <c r="K311" s="41" t="str">
        <f>IF($G311="","",IF($G311&lt;1,ROUND($G311*1440,0),INT($G311/100)*60+MOD($G311,100)))</f>
        <v/>
      </c>
    </row>
    <row r="312" ht="15" customHeight="1" s="26">
      <c r="A312" s="34" t="n"/>
      <c r="B312" s="32" t="n"/>
      <c r="C312" s="33" t="n"/>
      <c r="D312" s="37" t="str">
        <f>IF($C312="","",IFERROR(INDEX(프로젝트목록!$B$3:$B$62,MATCH($C312,프로젝트목록!$A$3:$A$62,0)),"미등록코드"))</f>
        <v/>
      </c>
      <c r="E312" s="32" t="n"/>
      <c r="F312" s="38" t="n"/>
      <c r="G312" s="38" t="n"/>
      <c r="H312" s="39" t="n"/>
      <c r="I312" s="40" t="str">
        <f>IF(OR($J312="",$K312=""),"",ROUND(MAX(0,($K312-$J312)-IF($H312="",0,$H312))/60,2))</f>
        <v/>
      </c>
      <c r="J312" s="41" t="str">
        <f>IF($F312="","",IF($F312&lt;1,ROUND($F312*1440,0),INT($F312/100)*60+MOD($F312,100)))</f>
        <v/>
      </c>
      <c r="K312" s="41" t="str">
        <f>IF($G312="","",IF($G312&lt;1,ROUND($G312*1440,0),INT($G312/100)*60+MOD($G312,100)))</f>
        <v/>
      </c>
    </row>
    <row r="313" ht="15" customHeight="1" s="26">
      <c r="A313" s="34" t="n"/>
      <c r="B313" s="32" t="n"/>
      <c r="C313" s="33" t="n"/>
      <c r="D313" s="37" t="str">
        <f>IF($C313="","",IFERROR(INDEX(프로젝트목록!$B$3:$B$62,MATCH($C313,프로젝트목록!$A$3:$A$62,0)),"미등록코드"))</f>
        <v/>
      </c>
      <c r="E313" s="32" t="n"/>
      <c r="F313" s="38" t="n"/>
      <c r="G313" s="38" t="n"/>
      <c r="H313" s="39" t="n"/>
      <c r="I313" s="40" t="str">
        <f>IF(OR($J313="",$K313=""),"",ROUND(MAX(0,($K313-$J313)-IF($H313="",0,$H313))/60,2))</f>
        <v/>
      </c>
      <c r="J313" s="41" t="str">
        <f>IF($F313="","",IF($F313&lt;1,ROUND($F313*1440,0),INT($F313/100)*60+MOD($F313,100)))</f>
        <v/>
      </c>
      <c r="K313" s="41" t="str">
        <f>IF($G313="","",IF($G313&lt;1,ROUND($G313*1440,0),INT($G313/100)*60+MOD($G313,100)))</f>
        <v/>
      </c>
    </row>
    <row r="314" ht="15" customHeight="1" s="26">
      <c r="A314" s="34" t="n"/>
      <c r="B314" s="32" t="n"/>
      <c r="C314" s="33" t="n"/>
      <c r="D314" s="37" t="str">
        <f>IF($C314="","",IFERROR(INDEX(프로젝트목록!$B$3:$B$62,MATCH($C314,프로젝트목록!$A$3:$A$62,0)),"미등록코드"))</f>
        <v/>
      </c>
      <c r="E314" s="32" t="n"/>
      <c r="F314" s="38" t="n"/>
      <c r="G314" s="38" t="n"/>
      <c r="H314" s="39" t="n"/>
      <c r="I314" s="40" t="str">
        <f>IF(OR($J314="",$K314=""),"",ROUND(MAX(0,($K314-$J314)-IF($H314="",0,$H314))/60,2))</f>
        <v/>
      </c>
      <c r="J314" s="41" t="str">
        <f>IF($F314="","",IF($F314&lt;1,ROUND($F314*1440,0),INT($F314/100)*60+MOD($F314,100)))</f>
        <v/>
      </c>
      <c r="K314" s="41" t="str">
        <f>IF($G314="","",IF($G314&lt;1,ROUND($G314*1440,0),INT($G314/100)*60+MOD($G314,100)))</f>
        <v/>
      </c>
    </row>
    <row r="315" ht="15" customHeight="1" s="26">
      <c r="A315" s="34" t="n"/>
      <c r="B315" s="32" t="n"/>
      <c r="C315" s="33" t="n"/>
      <c r="D315" s="37" t="str">
        <f>IF($C315="","",IFERROR(INDEX(프로젝트목록!$B$3:$B$62,MATCH($C315,프로젝트목록!$A$3:$A$62,0)),"미등록코드"))</f>
        <v/>
      </c>
      <c r="E315" s="32" t="n"/>
      <c r="F315" s="38" t="n"/>
      <c r="G315" s="38" t="n"/>
      <c r="H315" s="39" t="n"/>
      <c r="I315" s="40" t="str">
        <f>IF(OR($J315="",$K315=""),"",ROUND(MAX(0,($K315-$J315)-IF($H315="",0,$H315))/60,2))</f>
        <v/>
      </c>
      <c r="J315" s="41" t="str">
        <f>IF($F315="","",IF($F315&lt;1,ROUND($F315*1440,0),INT($F315/100)*60+MOD($F315,100)))</f>
        <v/>
      </c>
      <c r="K315" s="41" t="str">
        <f>IF($G315="","",IF($G315&lt;1,ROUND($G315*1440,0),INT($G315/100)*60+MOD($G315,100)))</f>
        <v/>
      </c>
    </row>
    <row r="316" ht="15" customHeight="1" s="26">
      <c r="A316" s="34" t="n"/>
      <c r="B316" s="32" t="n"/>
      <c r="C316" s="33" t="n"/>
      <c r="D316" s="37" t="str">
        <f>IF($C316="","",IFERROR(INDEX(프로젝트목록!$B$3:$B$62,MATCH($C316,프로젝트목록!$A$3:$A$62,0)),"미등록코드"))</f>
        <v/>
      </c>
      <c r="E316" s="32" t="n"/>
      <c r="F316" s="38" t="n"/>
      <c r="G316" s="38" t="n"/>
      <c r="H316" s="39" t="n"/>
      <c r="I316" s="40" t="str">
        <f>IF(OR($J316="",$K316=""),"",ROUND(MAX(0,($K316-$J316)-IF($H316="",0,$H316))/60,2))</f>
        <v/>
      </c>
      <c r="J316" s="41" t="str">
        <f>IF($F316="","",IF($F316&lt;1,ROUND($F316*1440,0),INT($F316/100)*60+MOD($F316,100)))</f>
        <v/>
      </c>
      <c r="K316" s="41" t="str">
        <f>IF($G316="","",IF($G316&lt;1,ROUND($G316*1440,0),INT($G316/100)*60+MOD($G316,100)))</f>
        <v/>
      </c>
    </row>
    <row r="317" ht="15" customHeight="1" s="26">
      <c r="A317" s="34" t="n"/>
      <c r="B317" s="32" t="n"/>
      <c r="C317" s="33" t="n"/>
      <c r="D317" s="37" t="str">
        <f>IF($C317="","",IFERROR(INDEX(프로젝트목록!$B$3:$B$62,MATCH($C317,프로젝트목록!$A$3:$A$62,0)),"미등록코드"))</f>
        <v/>
      </c>
      <c r="E317" s="32" t="n"/>
      <c r="F317" s="38" t="n"/>
      <c r="G317" s="38" t="n"/>
      <c r="H317" s="39" t="n"/>
      <c r="I317" s="40" t="str">
        <f>IF(OR($J317="",$K317=""),"",ROUND(MAX(0,($K317-$J317)-IF($H317="",0,$H317))/60,2))</f>
        <v/>
      </c>
      <c r="J317" s="41" t="str">
        <f>IF($F317="","",IF($F317&lt;1,ROUND($F317*1440,0),INT($F317/100)*60+MOD($F317,100)))</f>
        <v/>
      </c>
      <c r="K317" s="41" t="str">
        <f>IF($G317="","",IF($G317&lt;1,ROUND($G317*1440,0),INT($G317/100)*60+MOD($G317,100)))</f>
        <v/>
      </c>
    </row>
    <row r="318" ht="15" customHeight="1" s="26">
      <c r="A318" s="34" t="n"/>
      <c r="B318" s="32" t="n"/>
      <c r="C318" s="33" t="n"/>
      <c r="D318" s="37" t="str">
        <f>IF($C318="","",IFERROR(INDEX(프로젝트목록!$B$3:$B$62,MATCH($C318,프로젝트목록!$A$3:$A$62,0)),"미등록코드"))</f>
        <v/>
      </c>
      <c r="E318" s="32" t="n"/>
      <c r="F318" s="38" t="n"/>
      <c r="G318" s="38" t="n"/>
      <c r="H318" s="39" t="n"/>
      <c r="I318" s="40" t="str">
        <f>IF(OR($J318="",$K318=""),"",ROUND(MAX(0,($K318-$J318)-IF($H318="",0,$H318))/60,2))</f>
        <v/>
      </c>
      <c r="J318" s="41" t="str">
        <f>IF($F318="","",IF($F318&lt;1,ROUND($F318*1440,0),INT($F318/100)*60+MOD($F318,100)))</f>
        <v/>
      </c>
      <c r="K318" s="41" t="str">
        <f>IF($G318="","",IF($G318&lt;1,ROUND($G318*1440,0),INT($G318/100)*60+MOD($G318,100)))</f>
        <v/>
      </c>
    </row>
    <row r="319" ht="15" customHeight="1" s="26">
      <c r="A319" s="34" t="n"/>
      <c r="B319" s="32" t="n"/>
      <c r="C319" s="33" t="n"/>
      <c r="D319" s="37" t="str">
        <f>IF($C319="","",IFERROR(INDEX(프로젝트목록!$B$3:$B$62,MATCH($C319,프로젝트목록!$A$3:$A$62,0)),"미등록코드"))</f>
        <v/>
      </c>
      <c r="E319" s="32" t="n"/>
      <c r="F319" s="38" t="n"/>
      <c r="G319" s="38" t="n"/>
      <c r="H319" s="39" t="n"/>
      <c r="I319" s="40" t="str">
        <f>IF(OR($J319="",$K319=""),"",ROUND(MAX(0,($K319-$J319)-IF($H319="",0,$H319))/60,2))</f>
        <v/>
      </c>
      <c r="J319" s="41" t="str">
        <f>IF($F319="","",IF($F319&lt;1,ROUND($F319*1440,0),INT($F319/100)*60+MOD($F319,100)))</f>
        <v/>
      </c>
      <c r="K319" s="41" t="str">
        <f>IF($G319="","",IF($G319&lt;1,ROUND($G319*1440,0),INT($G319/100)*60+MOD($G319,100)))</f>
        <v/>
      </c>
    </row>
    <row r="320" ht="15" customHeight="1" s="26">
      <c r="A320" s="34" t="n"/>
      <c r="B320" s="32" t="n"/>
      <c r="C320" s="33" t="n"/>
      <c r="D320" s="37" t="str">
        <f>IF($C320="","",IFERROR(INDEX(프로젝트목록!$B$3:$B$62,MATCH($C320,프로젝트목록!$A$3:$A$62,0)),"미등록코드"))</f>
        <v/>
      </c>
      <c r="E320" s="32" t="n"/>
      <c r="F320" s="38" t="n"/>
      <c r="G320" s="38" t="n"/>
      <c r="H320" s="39" t="n"/>
      <c r="I320" s="40" t="str">
        <f>IF(OR($J320="",$K320=""),"",ROUND(MAX(0,($K320-$J320)-IF($H320="",0,$H320))/60,2))</f>
        <v/>
      </c>
      <c r="J320" s="41" t="str">
        <f>IF($F320="","",IF($F320&lt;1,ROUND($F320*1440,0),INT($F320/100)*60+MOD($F320,100)))</f>
        <v/>
      </c>
      <c r="K320" s="41" t="str">
        <f>IF($G320="","",IF($G320&lt;1,ROUND($G320*1440,0),INT($G320/100)*60+MOD($G320,100)))</f>
        <v/>
      </c>
    </row>
    <row r="321" ht="15" customHeight="1" s="26">
      <c r="A321" s="34" t="n"/>
      <c r="B321" s="32" t="n"/>
      <c r="C321" s="33" t="n"/>
      <c r="D321" s="37" t="str">
        <f>IF($C321="","",IFERROR(INDEX(프로젝트목록!$B$3:$B$62,MATCH($C321,프로젝트목록!$A$3:$A$62,0)),"미등록코드"))</f>
        <v/>
      </c>
      <c r="E321" s="32" t="n"/>
      <c r="F321" s="38" t="n"/>
      <c r="G321" s="38" t="n"/>
      <c r="H321" s="39" t="n"/>
      <c r="I321" s="40" t="str">
        <f>IF(OR($J321="",$K321=""),"",ROUND(MAX(0,($K321-$J321)-IF($H321="",0,$H321))/60,2))</f>
        <v/>
      </c>
      <c r="J321" s="41" t="str">
        <f>IF($F321="","",IF($F321&lt;1,ROUND($F321*1440,0),INT($F321/100)*60+MOD($F321,100)))</f>
        <v/>
      </c>
      <c r="K321" s="41" t="str">
        <f>IF($G321="","",IF($G321&lt;1,ROUND($G321*1440,0),INT($G321/100)*60+MOD($G321,100)))</f>
        <v/>
      </c>
    </row>
    <row r="322" ht="15" customHeight="1" s="26">
      <c r="A322" s="34" t="n"/>
      <c r="B322" s="32" t="n"/>
      <c r="C322" s="33" t="n"/>
      <c r="D322" s="37" t="str">
        <f>IF($C322="","",IFERROR(INDEX(프로젝트목록!$B$3:$B$62,MATCH($C322,프로젝트목록!$A$3:$A$62,0)),"미등록코드"))</f>
        <v/>
      </c>
      <c r="E322" s="32" t="n"/>
      <c r="F322" s="38" t="n"/>
      <c r="G322" s="38" t="n"/>
      <c r="H322" s="39" t="n"/>
      <c r="I322" s="40" t="str">
        <f>IF(OR($J322="",$K322=""),"",ROUND(MAX(0,($K322-$J322)-IF($H322="",0,$H322))/60,2))</f>
        <v/>
      </c>
      <c r="J322" s="41" t="str">
        <f>IF($F322="","",IF($F322&lt;1,ROUND($F322*1440,0),INT($F322/100)*60+MOD($F322,100)))</f>
        <v/>
      </c>
      <c r="K322" s="41" t="str">
        <f>IF($G322="","",IF($G322&lt;1,ROUND($G322*1440,0),INT($G322/100)*60+MOD($G322,100)))</f>
        <v/>
      </c>
    </row>
    <row r="323" ht="15" customHeight="1" s="26">
      <c r="A323" s="34" t="n"/>
      <c r="B323" s="32" t="n"/>
      <c r="C323" s="33" t="n"/>
      <c r="D323" s="37" t="str">
        <f>IF($C323="","",IFERROR(INDEX(프로젝트목록!$B$3:$B$62,MATCH($C323,프로젝트목록!$A$3:$A$62,0)),"미등록코드"))</f>
        <v/>
      </c>
      <c r="E323" s="32" t="n"/>
      <c r="F323" s="38" t="n"/>
      <c r="G323" s="38" t="n"/>
      <c r="H323" s="39" t="n"/>
      <c r="I323" s="40" t="str">
        <f>IF(OR($J323="",$K323=""),"",ROUND(MAX(0,($K323-$J323)-IF($H323="",0,$H323))/60,2))</f>
        <v/>
      </c>
      <c r="J323" s="41" t="str">
        <f>IF($F323="","",IF($F323&lt;1,ROUND($F323*1440,0),INT($F323/100)*60+MOD($F323,100)))</f>
        <v/>
      </c>
      <c r="K323" s="41" t="str">
        <f>IF($G323="","",IF($G323&lt;1,ROUND($G323*1440,0),INT($G323/100)*60+MOD($G323,100)))</f>
        <v/>
      </c>
    </row>
    <row r="324" ht="15" customHeight="1" s="26">
      <c r="A324" s="34" t="n"/>
      <c r="B324" s="32" t="n"/>
      <c r="C324" s="33" t="n"/>
      <c r="D324" s="37" t="str">
        <f>IF($C324="","",IFERROR(INDEX(프로젝트목록!$B$3:$B$62,MATCH($C324,프로젝트목록!$A$3:$A$62,0)),"미등록코드"))</f>
        <v/>
      </c>
      <c r="E324" s="32" t="n"/>
      <c r="F324" s="38" t="n"/>
      <c r="G324" s="38" t="n"/>
      <c r="H324" s="39" t="n"/>
      <c r="I324" s="40" t="str">
        <f>IF(OR($J324="",$K324=""),"",ROUND(MAX(0,($K324-$J324)-IF($H324="",0,$H324))/60,2))</f>
        <v/>
      </c>
      <c r="J324" s="41" t="str">
        <f>IF($F324="","",IF($F324&lt;1,ROUND($F324*1440,0),INT($F324/100)*60+MOD($F324,100)))</f>
        <v/>
      </c>
      <c r="K324" s="41" t="str">
        <f>IF($G324="","",IF($G324&lt;1,ROUND($G324*1440,0),INT($G324/100)*60+MOD($G324,100)))</f>
        <v/>
      </c>
    </row>
    <row r="325" ht="15" customHeight="1" s="26">
      <c r="A325" s="34" t="n"/>
      <c r="B325" s="32" t="n"/>
      <c r="C325" s="33" t="n"/>
      <c r="D325" s="37" t="str">
        <f>IF($C325="","",IFERROR(INDEX(프로젝트목록!$B$3:$B$62,MATCH($C325,프로젝트목록!$A$3:$A$62,0)),"미등록코드"))</f>
        <v/>
      </c>
      <c r="E325" s="32" t="n"/>
      <c r="F325" s="38" t="n"/>
      <c r="G325" s="38" t="n"/>
      <c r="H325" s="39" t="n"/>
      <c r="I325" s="40" t="str">
        <f>IF(OR($J325="",$K325=""),"",ROUND(MAX(0,($K325-$J325)-IF($H325="",0,$H325))/60,2))</f>
        <v/>
      </c>
      <c r="J325" s="41" t="str">
        <f>IF($F325="","",IF($F325&lt;1,ROUND($F325*1440,0),INT($F325/100)*60+MOD($F325,100)))</f>
        <v/>
      </c>
      <c r="K325" s="41" t="str">
        <f>IF($G325="","",IF($G325&lt;1,ROUND($G325*1440,0),INT($G325/100)*60+MOD($G325,100)))</f>
        <v/>
      </c>
    </row>
    <row r="326" ht="15" customHeight="1" s="26">
      <c r="A326" s="34" t="n"/>
      <c r="B326" s="32" t="n"/>
      <c r="C326" s="33" t="n"/>
      <c r="D326" s="37" t="str">
        <f>IF($C326="","",IFERROR(INDEX(프로젝트목록!$B$3:$B$62,MATCH($C326,프로젝트목록!$A$3:$A$62,0)),"미등록코드"))</f>
        <v/>
      </c>
      <c r="E326" s="32" t="n"/>
      <c r="F326" s="38" t="n"/>
      <c r="G326" s="38" t="n"/>
      <c r="H326" s="39" t="n"/>
      <c r="I326" s="40" t="str">
        <f>IF(OR($J326="",$K326=""),"",ROUND(MAX(0,($K326-$J326)-IF($H326="",0,$H326))/60,2))</f>
        <v/>
      </c>
      <c r="J326" s="41" t="str">
        <f>IF($F326="","",IF($F326&lt;1,ROUND($F326*1440,0),INT($F326/100)*60+MOD($F326,100)))</f>
        <v/>
      </c>
      <c r="K326" s="41" t="str">
        <f>IF($G326="","",IF($G326&lt;1,ROUND($G326*1440,0),INT($G326/100)*60+MOD($G326,100)))</f>
        <v/>
      </c>
    </row>
    <row r="327" ht="15" customHeight="1" s="26">
      <c r="A327" s="34" t="n"/>
      <c r="B327" s="32" t="n"/>
      <c r="C327" s="33" t="n"/>
      <c r="D327" s="37" t="str">
        <f>IF($C327="","",IFERROR(INDEX(프로젝트목록!$B$3:$B$62,MATCH($C327,프로젝트목록!$A$3:$A$62,0)),"미등록코드"))</f>
        <v/>
      </c>
      <c r="E327" s="32" t="n"/>
      <c r="F327" s="38" t="n"/>
      <c r="G327" s="38" t="n"/>
      <c r="H327" s="39" t="n"/>
      <c r="I327" s="40" t="str">
        <f>IF(OR($J327="",$K327=""),"",ROUND(MAX(0,($K327-$J327)-IF($H327="",0,$H327))/60,2))</f>
        <v/>
      </c>
      <c r="J327" s="41" t="str">
        <f>IF($F327="","",IF($F327&lt;1,ROUND($F327*1440,0),INT($F327/100)*60+MOD($F327,100)))</f>
        <v/>
      </c>
      <c r="K327" s="41" t="str">
        <f>IF($G327="","",IF($G327&lt;1,ROUND($G327*1440,0),INT($G327/100)*60+MOD($G327,100)))</f>
        <v/>
      </c>
    </row>
    <row r="328" ht="15" customHeight="1" s="26">
      <c r="A328" s="34" t="n"/>
      <c r="B328" s="32" t="n"/>
      <c r="C328" s="33" t="n"/>
      <c r="D328" s="37" t="str">
        <f>IF($C328="","",IFERROR(INDEX(프로젝트목록!$B$3:$B$62,MATCH($C328,프로젝트목록!$A$3:$A$62,0)),"미등록코드"))</f>
        <v/>
      </c>
      <c r="E328" s="32" t="n"/>
      <c r="F328" s="38" t="n"/>
      <c r="G328" s="38" t="n"/>
      <c r="H328" s="39" t="n"/>
      <c r="I328" s="40" t="str">
        <f>IF(OR($J328="",$K328=""),"",ROUND(MAX(0,($K328-$J328)-IF($H328="",0,$H328))/60,2))</f>
        <v/>
      </c>
      <c r="J328" s="41" t="str">
        <f>IF($F328="","",IF($F328&lt;1,ROUND($F328*1440,0),INT($F328/100)*60+MOD($F328,100)))</f>
        <v/>
      </c>
      <c r="K328" s="41" t="str">
        <f>IF($G328="","",IF($G328&lt;1,ROUND($G328*1440,0),INT($G328/100)*60+MOD($G328,100)))</f>
        <v/>
      </c>
    </row>
    <row r="329" ht="15" customHeight="1" s="26">
      <c r="A329" s="34" t="n"/>
      <c r="B329" s="32" t="n"/>
      <c r="C329" s="33" t="n"/>
      <c r="D329" s="37" t="str">
        <f>IF($C329="","",IFERROR(INDEX(프로젝트목록!$B$3:$B$62,MATCH($C329,프로젝트목록!$A$3:$A$62,0)),"미등록코드"))</f>
        <v/>
      </c>
      <c r="E329" s="32" t="n"/>
      <c r="F329" s="38" t="n"/>
      <c r="G329" s="38" t="n"/>
      <c r="H329" s="39" t="n"/>
      <c r="I329" s="40" t="str">
        <f>IF(OR($J329="",$K329=""),"",ROUND(MAX(0,($K329-$J329)-IF($H329="",0,$H329))/60,2))</f>
        <v/>
      </c>
      <c r="J329" s="41" t="str">
        <f>IF($F329="","",IF($F329&lt;1,ROUND($F329*1440,0),INT($F329/100)*60+MOD($F329,100)))</f>
        <v/>
      </c>
      <c r="K329" s="41" t="str">
        <f>IF($G329="","",IF($G329&lt;1,ROUND($G329*1440,0),INT($G329/100)*60+MOD($G329,100)))</f>
        <v/>
      </c>
    </row>
    <row r="330" ht="15" customHeight="1" s="26">
      <c r="A330" s="34" t="n"/>
      <c r="B330" s="32" t="n"/>
      <c r="C330" s="33" t="n"/>
      <c r="D330" s="37" t="str">
        <f>IF($C330="","",IFERROR(INDEX(프로젝트목록!$B$3:$B$62,MATCH($C330,프로젝트목록!$A$3:$A$62,0)),"미등록코드"))</f>
        <v/>
      </c>
      <c r="E330" s="32" t="n"/>
      <c r="F330" s="38" t="n"/>
      <c r="G330" s="38" t="n"/>
      <c r="H330" s="39" t="n"/>
      <c r="I330" s="40" t="str">
        <f>IF(OR($J330="",$K330=""),"",ROUND(MAX(0,($K330-$J330)-IF($H330="",0,$H330))/60,2))</f>
        <v/>
      </c>
      <c r="J330" s="41" t="str">
        <f>IF($F330="","",IF($F330&lt;1,ROUND($F330*1440,0),INT($F330/100)*60+MOD($F330,100)))</f>
        <v/>
      </c>
      <c r="K330" s="41" t="str">
        <f>IF($G330="","",IF($G330&lt;1,ROUND($G330*1440,0),INT($G330/100)*60+MOD($G330,100)))</f>
        <v/>
      </c>
    </row>
    <row r="331" ht="15" customHeight="1" s="26">
      <c r="A331" s="34" t="n"/>
      <c r="B331" s="32" t="n"/>
      <c r="C331" s="33" t="n"/>
      <c r="D331" s="37" t="str">
        <f>IF($C331="","",IFERROR(INDEX(프로젝트목록!$B$3:$B$62,MATCH($C331,프로젝트목록!$A$3:$A$62,0)),"미등록코드"))</f>
        <v/>
      </c>
      <c r="E331" s="32" t="n"/>
      <c r="F331" s="38" t="n"/>
      <c r="G331" s="38" t="n"/>
      <c r="H331" s="39" t="n"/>
      <c r="I331" s="40" t="str">
        <f>IF(OR($J331="",$K331=""),"",ROUND(MAX(0,($K331-$J331)-IF($H331="",0,$H331))/60,2))</f>
        <v/>
      </c>
      <c r="J331" s="41" t="str">
        <f>IF($F331="","",IF($F331&lt;1,ROUND($F331*1440,0),INT($F331/100)*60+MOD($F331,100)))</f>
        <v/>
      </c>
      <c r="K331" s="41" t="str">
        <f>IF($G331="","",IF($G331&lt;1,ROUND($G331*1440,0),INT($G331/100)*60+MOD($G331,100)))</f>
        <v/>
      </c>
    </row>
    <row r="332" ht="15" customHeight="1" s="26">
      <c r="A332" s="34" t="n"/>
      <c r="B332" s="32" t="n"/>
      <c r="C332" s="33" t="n"/>
      <c r="D332" s="37" t="str">
        <f>IF($C332="","",IFERROR(INDEX(프로젝트목록!$B$3:$B$62,MATCH($C332,프로젝트목록!$A$3:$A$62,0)),"미등록코드"))</f>
        <v/>
      </c>
      <c r="E332" s="32" t="n"/>
      <c r="F332" s="38" t="n"/>
      <c r="G332" s="38" t="n"/>
      <c r="H332" s="39" t="n"/>
      <c r="I332" s="40" t="str">
        <f>IF(OR($J332="",$K332=""),"",ROUND(MAX(0,($K332-$J332)-IF($H332="",0,$H332))/60,2))</f>
        <v/>
      </c>
      <c r="J332" s="41" t="str">
        <f>IF($F332="","",IF($F332&lt;1,ROUND($F332*1440,0),INT($F332/100)*60+MOD($F332,100)))</f>
        <v/>
      </c>
      <c r="K332" s="41" t="str">
        <f>IF($G332="","",IF($G332&lt;1,ROUND($G332*1440,0),INT($G332/100)*60+MOD($G332,100)))</f>
        <v/>
      </c>
    </row>
    <row r="333" ht="15" customHeight="1" s="26">
      <c r="A333" s="34" t="n"/>
      <c r="B333" s="32" t="n"/>
      <c r="C333" s="33" t="n"/>
      <c r="D333" s="37" t="str">
        <f>IF($C333="","",IFERROR(INDEX(프로젝트목록!$B$3:$B$62,MATCH($C333,프로젝트목록!$A$3:$A$62,0)),"미등록코드"))</f>
        <v/>
      </c>
      <c r="E333" s="32" t="n"/>
      <c r="F333" s="38" t="n"/>
      <c r="G333" s="38" t="n"/>
      <c r="H333" s="39" t="n"/>
      <c r="I333" s="40" t="str">
        <f>IF(OR($J333="",$K333=""),"",ROUND(MAX(0,($K333-$J333)-IF($H333="",0,$H333))/60,2))</f>
        <v/>
      </c>
      <c r="J333" s="41" t="str">
        <f>IF($F333="","",IF($F333&lt;1,ROUND($F333*1440,0),INT($F333/100)*60+MOD($F333,100)))</f>
        <v/>
      </c>
      <c r="K333" s="41" t="str">
        <f>IF($G333="","",IF($G333&lt;1,ROUND($G333*1440,0),INT($G333/100)*60+MOD($G333,100)))</f>
        <v/>
      </c>
    </row>
    <row r="334" ht="15" customHeight="1" s="26">
      <c r="A334" s="34" t="n"/>
      <c r="B334" s="32" t="n"/>
      <c r="C334" s="33" t="n"/>
      <c r="D334" s="37" t="str">
        <f>IF($C334="","",IFERROR(INDEX(프로젝트목록!$B$3:$B$62,MATCH($C334,프로젝트목록!$A$3:$A$62,0)),"미등록코드"))</f>
        <v/>
      </c>
      <c r="E334" s="32" t="n"/>
      <c r="F334" s="38" t="n"/>
      <c r="G334" s="38" t="n"/>
      <c r="H334" s="39" t="n"/>
      <c r="I334" s="40" t="str">
        <f>IF(OR($J334="",$K334=""),"",ROUND(MAX(0,($K334-$J334)-IF($H334="",0,$H334))/60,2))</f>
        <v/>
      </c>
      <c r="J334" s="41" t="str">
        <f>IF($F334="","",IF($F334&lt;1,ROUND($F334*1440,0),INT($F334/100)*60+MOD($F334,100)))</f>
        <v/>
      </c>
      <c r="K334" s="41" t="str">
        <f>IF($G334="","",IF($G334&lt;1,ROUND($G334*1440,0),INT($G334/100)*60+MOD($G334,100)))</f>
        <v/>
      </c>
    </row>
    <row r="335" ht="15" customHeight="1" s="26">
      <c r="A335" s="34" t="n"/>
      <c r="B335" s="32" t="n"/>
      <c r="C335" s="33" t="n"/>
      <c r="D335" s="37" t="str">
        <f>IF($C335="","",IFERROR(INDEX(프로젝트목록!$B$3:$B$62,MATCH($C335,프로젝트목록!$A$3:$A$62,0)),"미등록코드"))</f>
        <v/>
      </c>
      <c r="E335" s="32" t="n"/>
      <c r="F335" s="38" t="n"/>
      <c r="G335" s="38" t="n"/>
      <c r="H335" s="39" t="n"/>
      <c r="I335" s="40" t="str">
        <f>IF(OR($J335="",$K335=""),"",ROUND(MAX(0,($K335-$J335)-IF($H335="",0,$H335))/60,2))</f>
        <v/>
      </c>
      <c r="J335" s="41" t="str">
        <f>IF($F335="","",IF($F335&lt;1,ROUND($F335*1440,0),INT($F335/100)*60+MOD($F335,100)))</f>
        <v/>
      </c>
      <c r="K335" s="41" t="str">
        <f>IF($G335="","",IF($G335&lt;1,ROUND($G335*1440,0),INT($G335/100)*60+MOD($G335,100)))</f>
        <v/>
      </c>
    </row>
    <row r="336" ht="15" customHeight="1" s="26">
      <c r="A336" s="34" t="n"/>
      <c r="B336" s="32" t="n"/>
      <c r="C336" s="33" t="n"/>
      <c r="D336" s="37" t="str">
        <f>IF($C336="","",IFERROR(INDEX(프로젝트목록!$B$3:$B$62,MATCH($C336,프로젝트목록!$A$3:$A$62,0)),"미등록코드"))</f>
        <v/>
      </c>
      <c r="E336" s="32" t="n"/>
      <c r="F336" s="38" t="n"/>
      <c r="G336" s="38" t="n"/>
      <c r="H336" s="39" t="n"/>
      <c r="I336" s="40" t="str">
        <f>IF(OR($J336="",$K336=""),"",ROUND(MAX(0,($K336-$J336)-IF($H336="",0,$H336))/60,2))</f>
        <v/>
      </c>
      <c r="J336" s="41" t="str">
        <f>IF($F336="","",IF($F336&lt;1,ROUND($F336*1440,0),INT($F336/100)*60+MOD($F336,100)))</f>
        <v/>
      </c>
      <c r="K336" s="41" t="str">
        <f>IF($G336="","",IF($G336&lt;1,ROUND($G336*1440,0),INT($G336/100)*60+MOD($G336,100)))</f>
        <v/>
      </c>
    </row>
    <row r="337" ht="15" customHeight="1" s="26">
      <c r="A337" s="34" t="n"/>
      <c r="B337" s="32" t="n"/>
      <c r="C337" s="33" t="n"/>
      <c r="D337" s="37" t="str">
        <f>IF($C337="","",IFERROR(INDEX(프로젝트목록!$B$3:$B$62,MATCH($C337,프로젝트목록!$A$3:$A$62,0)),"미등록코드"))</f>
        <v/>
      </c>
      <c r="E337" s="32" t="n"/>
      <c r="F337" s="38" t="n"/>
      <c r="G337" s="38" t="n"/>
      <c r="H337" s="39" t="n"/>
      <c r="I337" s="40" t="str">
        <f>IF(OR($J337="",$K337=""),"",ROUND(MAX(0,($K337-$J337)-IF($H337="",0,$H337))/60,2))</f>
        <v/>
      </c>
      <c r="J337" s="41" t="str">
        <f>IF($F337="","",IF($F337&lt;1,ROUND($F337*1440,0),INT($F337/100)*60+MOD($F337,100)))</f>
        <v/>
      </c>
      <c r="K337" s="41" t="str">
        <f>IF($G337="","",IF($G337&lt;1,ROUND($G337*1440,0),INT($G337/100)*60+MOD($G337,100)))</f>
        <v/>
      </c>
    </row>
    <row r="338" ht="15" customHeight="1" s="26">
      <c r="A338" s="34" t="n"/>
      <c r="B338" s="32" t="n"/>
      <c r="C338" s="33" t="n"/>
      <c r="D338" s="37" t="str">
        <f>IF($C338="","",IFERROR(INDEX(프로젝트목록!$B$3:$B$62,MATCH($C338,프로젝트목록!$A$3:$A$62,0)),"미등록코드"))</f>
        <v/>
      </c>
      <c r="E338" s="32" t="n"/>
      <c r="F338" s="38" t="n"/>
      <c r="G338" s="38" t="n"/>
      <c r="H338" s="39" t="n"/>
      <c r="I338" s="40" t="str">
        <f>IF(OR($J338="",$K338=""),"",ROUND(MAX(0,($K338-$J338)-IF($H338="",0,$H338))/60,2))</f>
        <v/>
      </c>
      <c r="J338" s="41" t="str">
        <f>IF($F338="","",IF($F338&lt;1,ROUND($F338*1440,0),INT($F338/100)*60+MOD($F338,100)))</f>
        <v/>
      </c>
      <c r="K338" s="41" t="str">
        <f>IF($G338="","",IF($G338&lt;1,ROUND($G338*1440,0),INT($G338/100)*60+MOD($G338,100)))</f>
        <v/>
      </c>
    </row>
    <row r="339" ht="15" customHeight="1" s="26">
      <c r="A339" s="34" t="n"/>
      <c r="B339" s="32" t="n"/>
      <c r="C339" s="33" t="n"/>
      <c r="D339" s="37" t="str">
        <f>IF($C339="","",IFERROR(INDEX(프로젝트목록!$B$3:$B$62,MATCH($C339,프로젝트목록!$A$3:$A$62,0)),"미등록코드"))</f>
        <v/>
      </c>
      <c r="E339" s="32" t="n"/>
      <c r="F339" s="38" t="n"/>
      <c r="G339" s="38" t="n"/>
      <c r="H339" s="39" t="n"/>
      <c r="I339" s="40" t="str">
        <f>IF(OR($J339="",$K339=""),"",ROUND(MAX(0,($K339-$J339)-IF($H339="",0,$H339))/60,2))</f>
        <v/>
      </c>
      <c r="J339" s="41" t="str">
        <f>IF($F339="","",IF($F339&lt;1,ROUND($F339*1440,0),INT($F339/100)*60+MOD($F339,100)))</f>
        <v/>
      </c>
      <c r="K339" s="41" t="str">
        <f>IF($G339="","",IF($G339&lt;1,ROUND($G339*1440,0),INT($G339/100)*60+MOD($G339,100)))</f>
        <v/>
      </c>
    </row>
    <row r="340" ht="15" customHeight="1" s="26">
      <c r="A340" s="34" t="n"/>
      <c r="B340" s="32" t="n"/>
      <c r="C340" s="33" t="n"/>
      <c r="D340" s="37" t="str">
        <f>IF($C340="","",IFERROR(INDEX(프로젝트목록!$B$3:$B$62,MATCH($C340,프로젝트목록!$A$3:$A$62,0)),"미등록코드"))</f>
        <v/>
      </c>
      <c r="E340" s="32" t="n"/>
      <c r="F340" s="38" t="n"/>
      <c r="G340" s="38" t="n"/>
      <c r="H340" s="39" t="n"/>
      <c r="I340" s="40" t="str">
        <f>IF(OR($J340="",$K340=""),"",ROUND(MAX(0,($K340-$J340)-IF($H340="",0,$H340))/60,2))</f>
        <v/>
      </c>
      <c r="J340" s="41" t="str">
        <f>IF($F340="","",IF($F340&lt;1,ROUND($F340*1440,0),INT($F340/100)*60+MOD($F340,100)))</f>
        <v/>
      </c>
      <c r="K340" s="41" t="str">
        <f>IF($G340="","",IF($G340&lt;1,ROUND($G340*1440,0),INT($G340/100)*60+MOD($G340,100)))</f>
        <v/>
      </c>
    </row>
    <row r="341" ht="15" customHeight="1" s="26">
      <c r="A341" s="34" t="n"/>
      <c r="B341" s="32" t="n"/>
      <c r="C341" s="33" t="n"/>
      <c r="D341" s="37" t="str">
        <f>IF($C341="","",IFERROR(INDEX(프로젝트목록!$B$3:$B$62,MATCH($C341,프로젝트목록!$A$3:$A$62,0)),"미등록코드"))</f>
        <v/>
      </c>
      <c r="E341" s="32" t="n"/>
      <c r="F341" s="38" t="n"/>
      <c r="G341" s="38" t="n"/>
      <c r="H341" s="39" t="n"/>
      <c r="I341" s="40" t="str">
        <f>IF(OR($J341="",$K341=""),"",ROUND(MAX(0,($K341-$J341)-IF($H341="",0,$H341))/60,2))</f>
        <v/>
      </c>
      <c r="J341" s="41" t="str">
        <f>IF($F341="","",IF($F341&lt;1,ROUND($F341*1440,0),INT($F341/100)*60+MOD($F341,100)))</f>
        <v/>
      </c>
      <c r="K341" s="41" t="str">
        <f>IF($G341="","",IF($G341&lt;1,ROUND($G341*1440,0),INT($G341/100)*60+MOD($G341,100)))</f>
        <v/>
      </c>
    </row>
    <row r="342" ht="15" customHeight="1" s="26">
      <c r="A342" s="34" t="n"/>
      <c r="B342" s="32" t="n"/>
      <c r="C342" s="33" t="n"/>
      <c r="D342" s="37" t="str">
        <f>IF($C342="","",IFERROR(INDEX(프로젝트목록!$B$3:$B$62,MATCH($C342,프로젝트목록!$A$3:$A$62,0)),"미등록코드"))</f>
        <v/>
      </c>
      <c r="E342" s="32" t="n"/>
      <c r="F342" s="38" t="n"/>
      <c r="G342" s="38" t="n"/>
      <c r="H342" s="39" t="n"/>
      <c r="I342" s="40" t="str">
        <f>IF(OR($J342="",$K342=""),"",ROUND(MAX(0,($K342-$J342)-IF($H342="",0,$H342))/60,2))</f>
        <v/>
      </c>
      <c r="J342" s="41" t="str">
        <f>IF($F342="","",IF($F342&lt;1,ROUND($F342*1440,0),INT($F342/100)*60+MOD($F342,100)))</f>
        <v/>
      </c>
      <c r="K342" s="41" t="str">
        <f>IF($G342="","",IF($G342&lt;1,ROUND($G342*1440,0),INT($G342/100)*60+MOD($G342,100)))</f>
        <v/>
      </c>
    </row>
    <row r="343" ht="15" customHeight="1" s="26">
      <c r="A343" s="34" t="n"/>
      <c r="B343" s="32" t="n"/>
      <c r="C343" s="33" t="n"/>
      <c r="D343" s="37" t="str">
        <f>IF($C343="","",IFERROR(INDEX(프로젝트목록!$B$3:$B$62,MATCH($C343,프로젝트목록!$A$3:$A$62,0)),"미등록코드"))</f>
        <v/>
      </c>
      <c r="E343" s="32" t="n"/>
      <c r="F343" s="38" t="n"/>
      <c r="G343" s="38" t="n"/>
      <c r="H343" s="39" t="n"/>
      <c r="I343" s="40" t="str">
        <f>IF(OR($J343="",$K343=""),"",ROUND(MAX(0,($K343-$J343)-IF($H343="",0,$H343))/60,2))</f>
        <v/>
      </c>
      <c r="J343" s="41" t="str">
        <f>IF($F343="","",IF($F343&lt;1,ROUND($F343*1440,0),INT($F343/100)*60+MOD($F343,100)))</f>
        <v/>
      </c>
      <c r="K343" s="41" t="str">
        <f>IF($G343="","",IF($G343&lt;1,ROUND($G343*1440,0),INT($G343/100)*60+MOD($G343,100)))</f>
        <v/>
      </c>
    </row>
    <row r="344" ht="15" customHeight="1" s="26">
      <c r="A344" s="34" t="n"/>
      <c r="B344" s="32" t="n"/>
      <c r="C344" s="33" t="n"/>
      <c r="D344" s="37" t="str">
        <f>IF($C344="","",IFERROR(INDEX(프로젝트목록!$B$3:$B$62,MATCH($C344,프로젝트목록!$A$3:$A$62,0)),"미등록코드"))</f>
        <v/>
      </c>
      <c r="E344" s="32" t="n"/>
      <c r="F344" s="38" t="n"/>
      <c r="G344" s="38" t="n"/>
      <c r="H344" s="39" t="n"/>
      <c r="I344" s="40" t="str">
        <f>IF(OR($J344="",$K344=""),"",ROUND(MAX(0,($K344-$J344)-IF($H344="",0,$H344))/60,2))</f>
        <v/>
      </c>
      <c r="J344" s="41" t="str">
        <f>IF($F344="","",IF($F344&lt;1,ROUND($F344*1440,0),INT($F344/100)*60+MOD($F344,100)))</f>
        <v/>
      </c>
      <c r="K344" s="41" t="str">
        <f>IF($G344="","",IF($G344&lt;1,ROUND($G344*1440,0),INT($G344/100)*60+MOD($G344,100)))</f>
        <v/>
      </c>
    </row>
    <row r="345" ht="15" customHeight="1" s="26">
      <c r="A345" s="34" t="n"/>
      <c r="B345" s="32" t="n"/>
      <c r="C345" s="33" t="n"/>
      <c r="D345" s="37" t="str">
        <f>IF($C345="","",IFERROR(INDEX(프로젝트목록!$B$3:$B$62,MATCH($C345,프로젝트목록!$A$3:$A$62,0)),"미등록코드"))</f>
        <v/>
      </c>
      <c r="E345" s="32" t="n"/>
      <c r="F345" s="38" t="n"/>
      <c r="G345" s="38" t="n"/>
      <c r="H345" s="39" t="n"/>
      <c r="I345" s="40" t="str">
        <f>IF(OR($J345="",$K345=""),"",ROUND(MAX(0,($K345-$J345)-IF($H345="",0,$H345))/60,2))</f>
        <v/>
      </c>
      <c r="J345" s="41" t="str">
        <f>IF($F345="","",IF($F345&lt;1,ROUND($F345*1440,0),INT($F345/100)*60+MOD($F345,100)))</f>
        <v/>
      </c>
      <c r="K345" s="41" t="str">
        <f>IF($G345="","",IF($G345&lt;1,ROUND($G345*1440,0),INT($G345/100)*60+MOD($G345,100)))</f>
        <v/>
      </c>
    </row>
    <row r="346" ht="15" customHeight="1" s="26">
      <c r="A346" s="34" t="n"/>
      <c r="B346" s="32" t="n"/>
      <c r="C346" s="33" t="n"/>
      <c r="D346" s="37" t="str">
        <f>IF($C346="","",IFERROR(INDEX(프로젝트목록!$B$3:$B$62,MATCH($C346,프로젝트목록!$A$3:$A$62,0)),"미등록코드"))</f>
        <v/>
      </c>
      <c r="E346" s="32" t="n"/>
      <c r="F346" s="38" t="n"/>
      <c r="G346" s="38" t="n"/>
      <c r="H346" s="39" t="n"/>
      <c r="I346" s="40" t="str">
        <f>IF(OR($J346="",$K346=""),"",ROUND(MAX(0,($K346-$J346)-IF($H346="",0,$H346))/60,2))</f>
        <v/>
      </c>
      <c r="J346" s="41" t="str">
        <f>IF($F346="","",IF($F346&lt;1,ROUND($F346*1440,0),INT($F346/100)*60+MOD($F346,100)))</f>
        <v/>
      </c>
      <c r="K346" s="41" t="str">
        <f>IF($G346="","",IF($G346&lt;1,ROUND($G346*1440,0),INT($G346/100)*60+MOD($G346,100)))</f>
        <v/>
      </c>
    </row>
    <row r="347" ht="15" customHeight="1" s="26">
      <c r="A347" s="34" t="n"/>
      <c r="B347" s="32" t="n"/>
      <c r="C347" s="33" t="n"/>
      <c r="D347" s="37" t="str">
        <f>IF($C347="","",IFERROR(INDEX(프로젝트목록!$B$3:$B$62,MATCH($C347,프로젝트목록!$A$3:$A$62,0)),"미등록코드"))</f>
        <v/>
      </c>
      <c r="E347" s="32" t="n"/>
      <c r="F347" s="38" t="n"/>
      <c r="G347" s="38" t="n"/>
      <c r="H347" s="39" t="n"/>
      <c r="I347" s="40" t="str">
        <f>IF(OR($J347="",$K347=""),"",ROUND(MAX(0,($K347-$J347)-IF($H347="",0,$H347))/60,2))</f>
        <v/>
      </c>
      <c r="J347" s="41" t="str">
        <f>IF($F347="","",IF($F347&lt;1,ROUND($F347*1440,0),INT($F347/100)*60+MOD($F347,100)))</f>
        <v/>
      </c>
      <c r="K347" s="41" t="str">
        <f>IF($G347="","",IF($G347&lt;1,ROUND($G347*1440,0),INT($G347/100)*60+MOD($G347,100)))</f>
        <v/>
      </c>
    </row>
    <row r="348" ht="15" customHeight="1" s="26">
      <c r="A348" s="34" t="n"/>
      <c r="B348" s="32" t="n"/>
      <c r="C348" s="33" t="n"/>
      <c r="D348" s="37" t="str">
        <f>IF($C348="","",IFERROR(INDEX(프로젝트목록!$B$3:$B$62,MATCH($C348,프로젝트목록!$A$3:$A$62,0)),"미등록코드"))</f>
        <v/>
      </c>
      <c r="E348" s="32" t="n"/>
      <c r="F348" s="38" t="n"/>
      <c r="G348" s="38" t="n"/>
      <c r="H348" s="39" t="n"/>
      <c r="I348" s="40" t="str">
        <f>IF(OR($J348="",$K348=""),"",ROUND(MAX(0,($K348-$J348)-IF($H348="",0,$H348))/60,2))</f>
        <v/>
      </c>
      <c r="J348" s="41" t="str">
        <f>IF($F348="","",IF($F348&lt;1,ROUND($F348*1440,0),INT($F348/100)*60+MOD($F348,100)))</f>
        <v/>
      </c>
      <c r="K348" s="41" t="str">
        <f>IF($G348="","",IF($G348&lt;1,ROUND($G348*1440,0),INT($G348/100)*60+MOD($G348,100)))</f>
        <v/>
      </c>
    </row>
    <row r="349" ht="15" customHeight="1" s="26">
      <c r="A349" s="34" t="n"/>
      <c r="B349" s="32" t="n"/>
      <c r="C349" s="33" t="n"/>
      <c r="D349" s="37" t="str">
        <f>IF($C349="","",IFERROR(INDEX(프로젝트목록!$B$3:$B$62,MATCH($C349,프로젝트목록!$A$3:$A$62,0)),"미등록코드"))</f>
        <v/>
      </c>
      <c r="E349" s="32" t="n"/>
      <c r="F349" s="38" t="n"/>
      <c r="G349" s="38" t="n"/>
      <c r="H349" s="39" t="n"/>
      <c r="I349" s="40" t="str">
        <f>IF(OR($J349="",$K349=""),"",ROUND(MAX(0,($K349-$J349)-IF($H349="",0,$H349))/60,2))</f>
        <v/>
      </c>
      <c r="J349" s="41" t="str">
        <f>IF($F349="","",IF($F349&lt;1,ROUND($F349*1440,0),INT($F349/100)*60+MOD($F349,100)))</f>
        <v/>
      </c>
      <c r="K349" s="41" t="str">
        <f>IF($G349="","",IF($G349&lt;1,ROUND($G349*1440,0),INT($G349/100)*60+MOD($G349,100)))</f>
        <v/>
      </c>
    </row>
    <row r="350" ht="15" customHeight="1" s="26">
      <c r="A350" s="34" t="n"/>
      <c r="B350" s="32" t="n"/>
      <c r="C350" s="33" t="n"/>
      <c r="D350" s="37" t="str">
        <f>IF($C350="","",IFERROR(INDEX(프로젝트목록!$B$3:$B$62,MATCH($C350,프로젝트목록!$A$3:$A$62,0)),"미등록코드"))</f>
        <v/>
      </c>
      <c r="E350" s="32" t="n"/>
      <c r="F350" s="38" t="n"/>
      <c r="G350" s="38" t="n"/>
      <c r="H350" s="39" t="n"/>
      <c r="I350" s="40" t="str">
        <f>IF(OR($J350="",$K350=""),"",ROUND(MAX(0,($K350-$J350)-IF($H350="",0,$H350))/60,2))</f>
        <v/>
      </c>
      <c r="J350" s="41" t="str">
        <f>IF($F350="","",IF($F350&lt;1,ROUND($F350*1440,0),INT($F350/100)*60+MOD($F350,100)))</f>
        <v/>
      </c>
      <c r="K350" s="41" t="str">
        <f>IF($G350="","",IF($G350&lt;1,ROUND($G350*1440,0),INT($G350/100)*60+MOD($G350,100)))</f>
        <v/>
      </c>
    </row>
    <row r="351" ht="15" customHeight="1" s="26">
      <c r="A351" s="34" t="n"/>
      <c r="B351" s="32" t="n"/>
      <c r="C351" s="33" t="n"/>
      <c r="D351" s="37" t="str">
        <f>IF($C351="","",IFERROR(INDEX(프로젝트목록!$B$3:$B$62,MATCH($C351,프로젝트목록!$A$3:$A$62,0)),"미등록코드"))</f>
        <v/>
      </c>
      <c r="E351" s="32" t="n"/>
      <c r="F351" s="38" t="n"/>
      <c r="G351" s="38" t="n"/>
      <c r="H351" s="39" t="n"/>
      <c r="I351" s="40" t="str">
        <f>IF(OR($J351="",$K351=""),"",ROUND(MAX(0,($K351-$J351)-IF($H351="",0,$H351))/60,2))</f>
        <v/>
      </c>
      <c r="J351" s="41" t="str">
        <f>IF($F351="","",IF($F351&lt;1,ROUND($F351*1440,0),INT($F351/100)*60+MOD($F351,100)))</f>
        <v/>
      </c>
      <c r="K351" s="41" t="str">
        <f>IF($G351="","",IF($G351&lt;1,ROUND($G351*1440,0),INT($G351/100)*60+MOD($G351,100)))</f>
        <v/>
      </c>
    </row>
    <row r="352" ht="15" customHeight="1" s="26">
      <c r="A352" s="34" t="n"/>
      <c r="B352" s="32" t="n"/>
      <c r="C352" s="33" t="n"/>
      <c r="D352" s="37" t="str">
        <f>IF($C352="","",IFERROR(INDEX(프로젝트목록!$B$3:$B$62,MATCH($C352,프로젝트목록!$A$3:$A$62,0)),"미등록코드"))</f>
        <v/>
      </c>
      <c r="E352" s="32" t="n"/>
      <c r="F352" s="38" t="n"/>
      <c r="G352" s="38" t="n"/>
      <c r="H352" s="39" t="n"/>
      <c r="I352" s="40" t="str">
        <f>IF(OR($J352="",$K352=""),"",ROUND(MAX(0,($K352-$J352)-IF($H352="",0,$H352))/60,2))</f>
        <v/>
      </c>
      <c r="J352" s="41" t="str">
        <f>IF($F352="","",IF($F352&lt;1,ROUND($F352*1440,0),INT($F352/100)*60+MOD($F352,100)))</f>
        <v/>
      </c>
      <c r="K352" s="41" t="str">
        <f>IF($G352="","",IF($G352&lt;1,ROUND($G352*1440,0),INT($G352/100)*60+MOD($G352,100)))</f>
        <v/>
      </c>
    </row>
    <row r="353" ht="15" customHeight="1" s="26">
      <c r="A353" s="34" t="n"/>
      <c r="B353" s="32" t="n"/>
      <c r="C353" s="33" t="n"/>
      <c r="D353" s="37" t="str">
        <f>IF($C353="","",IFERROR(INDEX(프로젝트목록!$B$3:$B$62,MATCH($C353,프로젝트목록!$A$3:$A$62,0)),"미등록코드"))</f>
        <v/>
      </c>
      <c r="E353" s="32" t="n"/>
      <c r="F353" s="38" t="n"/>
      <c r="G353" s="38" t="n"/>
      <c r="H353" s="39" t="n"/>
      <c r="I353" s="40" t="str">
        <f>IF(OR($J353="",$K353=""),"",ROUND(MAX(0,($K353-$J353)-IF($H353="",0,$H353))/60,2))</f>
        <v/>
      </c>
      <c r="J353" s="41" t="str">
        <f>IF($F353="","",IF($F353&lt;1,ROUND($F353*1440,0),INT($F353/100)*60+MOD($F353,100)))</f>
        <v/>
      </c>
      <c r="K353" s="41" t="str">
        <f>IF($G353="","",IF($G353&lt;1,ROUND($G353*1440,0),INT($G353/100)*60+MOD($G353,100)))</f>
        <v/>
      </c>
    </row>
    <row r="354" ht="15" customHeight="1" s="26">
      <c r="A354" s="34" t="n"/>
      <c r="B354" s="32" t="n"/>
      <c r="C354" s="33" t="n"/>
      <c r="D354" s="37" t="str">
        <f>IF($C354="","",IFERROR(INDEX(프로젝트목록!$B$3:$B$62,MATCH($C354,프로젝트목록!$A$3:$A$62,0)),"미등록코드"))</f>
        <v/>
      </c>
      <c r="E354" s="32" t="n"/>
      <c r="F354" s="38" t="n"/>
      <c r="G354" s="38" t="n"/>
      <c r="H354" s="39" t="n"/>
      <c r="I354" s="40" t="str">
        <f>IF(OR($J354="",$K354=""),"",ROUND(MAX(0,($K354-$J354)-IF($H354="",0,$H354))/60,2))</f>
        <v/>
      </c>
      <c r="J354" s="41" t="str">
        <f>IF($F354="","",IF($F354&lt;1,ROUND($F354*1440,0),INT($F354/100)*60+MOD($F354,100)))</f>
        <v/>
      </c>
      <c r="K354" s="41" t="str">
        <f>IF($G354="","",IF($G354&lt;1,ROUND($G354*1440,0),INT($G354/100)*60+MOD($G354,100)))</f>
        <v/>
      </c>
    </row>
    <row r="355" ht="15" customHeight="1" s="26">
      <c r="A355" s="34" t="n"/>
      <c r="B355" s="32" t="n"/>
      <c r="C355" s="33" t="n"/>
      <c r="D355" s="37" t="str">
        <f>IF($C355="","",IFERROR(INDEX(프로젝트목록!$B$3:$B$62,MATCH($C355,프로젝트목록!$A$3:$A$62,0)),"미등록코드"))</f>
        <v/>
      </c>
      <c r="E355" s="32" t="n"/>
      <c r="F355" s="38" t="n"/>
      <c r="G355" s="38" t="n"/>
      <c r="H355" s="39" t="n"/>
      <c r="I355" s="40" t="str">
        <f>IF(OR($J355="",$K355=""),"",ROUND(MAX(0,($K355-$J355)-IF($H355="",0,$H355))/60,2))</f>
        <v/>
      </c>
      <c r="J355" s="41" t="str">
        <f>IF($F355="","",IF($F355&lt;1,ROUND($F355*1440,0),INT($F355/100)*60+MOD($F355,100)))</f>
        <v/>
      </c>
      <c r="K355" s="41" t="str">
        <f>IF($G355="","",IF($G355&lt;1,ROUND($G355*1440,0),INT($G355/100)*60+MOD($G355,100)))</f>
        <v/>
      </c>
    </row>
    <row r="356" ht="15" customHeight="1" s="26">
      <c r="A356" s="34" t="n"/>
      <c r="B356" s="32" t="n"/>
      <c r="C356" s="33" t="n"/>
      <c r="D356" s="37" t="str">
        <f>IF($C356="","",IFERROR(INDEX(프로젝트목록!$B$3:$B$62,MATCH($C356,프로젝트목록!$A$3:$A$62,0)),"미등록코드"))</f>
        <v/>
      </c>
      <c r="E356" s="32" t="n"/>
      <c r="F356" s="38" t="n"/>
      <c r="G356" s="38" t="n"/>
      <c r="H356" s="39" t="n"/>
      <c r="I356" s="40" t="str">
        <f>IF(OR($J356="",$K356=""),"",ROUND(MAX(0,($K356-$J356)-IF($H356="",0,$H356))/60,2))</f>
        <v/>
      </c>
      <c r="J356" s="41" t="str">
        <f>IF($F356="","",IF($F356&lt;1,ROUND($F356*1440,0),INT($F356/100)*60+MOD($F356,100)))</f>
        <v/>
      </c>
      <c r="K356" s="41" t="str">
        <f>IF($G356="","",IF($G356&lt;1,ROUND($G356*1440,0),INT($G356/100)*60+MOD($G356,100)))</f>
        <v/>
      </c>
    </row>
    <row r="357" ht="15" customHeight="1" s="26">
      <c r="A357" s="34" t="n"/>
      <c r="B357" s="32" t="n"/>
      <c r="C357" s="33" t="n"/>
      <c r="D357" s="37" t="str">
        <f>IF($C357="","",IFERROR(INDEX(프로젝트목록!$B$3:$B$62,MATCH($C357,프로젝트목록!$A$3:$A$62,0)),"미등록코드"))</f>
        <v/>
      </c>
      <c r="E357" s="32" t="n"/>
      <c r="F357" s="38" t="n"/>
      <c r="G357" s="38" t="n"/>
      <c r="H357" s="39" t="n"/>
      <c r="I357" s="40" t="str">
        <f>IF(OR($J357="",$K357=""),"",ROUND(MAX(0,($K357-$J357)-IF($H357="",0,$H357))/60,2))</f>
        <v/>
      </c>
      <c r="J357" s="41" t="str">
        <f>IF($F357="","",IF($F357&lt;1,ROUND($F357*1440,0),INT($F357/100)*60+MOD($F357,100)))</f>
        <v/>
      </c>
      <c r="K357" s="41" t="str">
        <f>IF($G357="","",IF($G357&lt;1,ROUND($G357*1440,0),INT($G357/100)*60+MOD($G357,100)))</f>
        <v/>
      </c>
    </row>
    <row r="358" ht="15" customHeight="1" s="26">
      <c r="A358" s="34" t="n"/>
      <c r="B358" s="32" t="n"/>
      <c r="C358" s="33" t="n"/>
      <c r="D358" s="37" t="str">
        <f>IF($C358="","",IFERROR(INDEX(프로젝트목록!$B$3:$B$62,MATCH($C358,프로젝트목록!$A$3:$A$62,0)),"미등록코드"))</f>
        <v/>
      </c>
      <c r="E358" s="32" t="n"/>
      <c r="F358" s="38" t="n"/>
      <c r="G358" s="38" t="n"/>
      <c r="H358" s="39" t="n"/>
      <c r="I358" s="40" t="str">
        <f>IF(OR($J358="",$K358=""),"",ROUND(MAX(0,($K358-$J358)-IF($H358="",0,$H358))/60,2))</f>
        <v/>
      </c>
      <c r="J358" s="41" t="str">
        <f>IF($F358="","",IF($F358&lt;1,ROUND($F358*1440,0),INT($F358/100)*60+MOD($F358,100)))</f>
        <v/>
      </c>
      <c r="K358" s="41" t="str">
        <f>IF($G358="","",IF($G358&lt;1,ROUND($G358*1440,0),INT($G358/100)*60+MOD($G358,100)))</f>
        <v/>
      </c>
    </row>
    <row r="359" ht="15" customHeight="1" s="26">
      <c r="A359" s="34" t="n"/>
      <c r="B359" s="32" t="n"/>
      <c r="C359" s="33" t="n"/>
      <c r="D359" s="37" t="str">
        <f>IF($C359="","",IFERROR(INDEX(프로젝트목록!$B$3:$B$62,MATCH($C359,프로젝트목록!$A$3:$A$62,0)),"미등록코드"))</f>
        <v/>
      </c>
      <c r="E359" s="32" t="n"/>
      <c r="F359" s="38" t="n"/>
      <c r="G359" s="38" t="n"/>
      <c r="H359" s="39" t="n"/>
      <c r="I359" s="40" t="str">
        <f>IF(OR($J359="",$K359=""),"",ROUND(MAX(0,($K359-$J359)-IF($H359="",0,$H359))/60,2))</f>
        <v/>
      </c>
      <c r="J359" s="41" t="str">
        <f>IF($F359="","",IF($F359&lt;1,ROUND($F359*1440,0),INT($F359/100)*60+MOD($F359,100)))</f>
        <v/>
      </c>
      <c r="K359" s="41" t="str">
        <f>IF($G359="","",IF($G359&lt;1,ROUND($G359*1440,0),INT($G359/100)*60+MOD($G359,100)))</f>
        <v/>
      </c>
    </row>
    <row r="360" ht="15" customHeight="1" s="26">
      <c r="A360" s="34" t="n"/>
      <c r="B360" s="32" t="n"/>
      <c r="C360" s="33" t="n"/>
      <c r="D360" s="37" t="str">
        <f>IF($C360="","",IFERROR(INDEX(프로젝트목록!$B$3:$B$62,MATCH($C360,프로젝트목록!$A$3:$A$62,0)),"미등록코드"))</f>
        <v/>
      </c>
      <c r="E360" s="32" t="n"/>
      <c r="F360" s="38" t="n"/>
      <c r="G360" s="38" t="n"/>
      <c r="H360" s="39" t="n"/>
      <c r="I360" s="40" t="str">
        <f>IF(OR($J360="",$K360=""),"",ROUND(MAX(0,($K360-$J360)-IF($H360="",0,$H360))/60,2))</f>
        <v/>
      </c>
      <c r="J360" s="41" t="str">
        <f>IF($F360="","",IF($F360&lt;1,ROUND($F360*1440,0),INT($F360/100)*60+MOD($F360,100)))</f>
        <v/>
      </c>
      <c r="K360" s="41" t="str">
        <f>IF($G360="","",IF($G360&lt;1,ROUND($G360*1440,0),INT($G360/100)*60+MOD($G360,100)))</f>
        <v/>
      </c>
    </row>
    <row r="361" ht="15" customHeight="1" s="26">
      <c r="A361" s="34" t="n"/>
      <c r="B361" s="32" t="n"/>
      <c r="C361" s="33" t="n"/>
      <c r="D361" s="37" t="str">
        <f>IF($C361="","",IFERROR(INDEX(프로젝트목록!$B$3:$B$62,MATCH($C361,프로젝트목록!$A$3:$A$62,0)),"미등록코드"))</f>
        <v/>
      </c>
      <c r="E361" s="32" t="n"/>
      <c r="F361" s="38" t="n"/>
      <c r="G361" s="38" t="n"/>
      <c r="H361" s="39" t="n"/>
      <c r="I361" s="40" t="str">
        <f>IF(OR($J361="",$K361=""),"",ROUND(MAX(0,($K361-$J361)-IF($H361="",0,$H361))/60,2))</f>
        <v/>
      </c>
      <c r="J361" s="41" t="str">
        <f>IF($F361="","",IF($F361&lt;1,ROUND($F361*1440,0),INT($F361/100)*60+MOD($F361,100)))</f>
        <v/>
      </c>
      <c r="K361" s="41" t="str">
        <f>IF($G361="","",IF($G361&lt;1,ROUND($G361*1440,0),INT($G361/100)*60+MOD($G361,100)))</f>
        <v/>
      </c>
    </row>
    <row r="362" ht="15" customHeight="1" s="26">
      <c r="A362" s="34" t="n"/>
      <c r="B362" s="32" t="n"/>
      <c r="C362" s="33" t="n"/>
      <c r="D362" s="37" t="str">
        <f>IF($C362="","",IFERROR(INDEX(프로젝트목록!$B$3:$B$62,MATCH($C362,프로젝트목록!$A$3:$A$62,0)),"미등록코드"))</f>
        <v/>
      </c>
      <c r="E362" s="32" t="n"/>
      <c r="F362" s="38" t="n"/>
      <c r="G362" s="38" t="n"/>
      <c r="H362" s="39" t="n"/>
      <c r="I362" s="40" t="str">
        <f>IF(OR($J362="",$K362=""),"",ROUND(MAX(0,($K362-$J362)-IF($H362="",0,$H362))/60,2))</f>
        <v/>
      </c>
      <c r="J362" s="41" t="str">
        <f>IF($F362="","",IF($F362&lt;1,ROUND($F362*1440,0),INT($F362/100)*60+MOD($F362,100)))</f>
        <v/>
      </c>
      <c r="K362" s="41" t="str">
        <f>IF($G362="","",IF($G362&lt;1,ROUND($G362*1440,0),INT($G362/100)*60+MOD($G362,100)))</f>
        <v/>
      </c>
    </row>
    <row r="363" ht="15" customHeight="1" s="26">
      <c r="A363" s="34" t="n"/>
      <c r="B363" s="32" t="n"/>
      <c r="C363" s="33" t="n"/>
      <c r="D363" s="37" t="str">
        <f>IF($C363="","",IFERROR(INDEX(프로젝트목록!$B$3:$B$62,MATCH($C363,프로젝트목록!$A$3:$A$62,0)),"미등록코드"))</f>
        <v/>
      </c>
      <c r="E363" s="32" t="n"/>
      <c r="F363" s="38" t="n"/>
      <c r="G363" s="38" t="n"/>
      <c r="H363" s="39" t="n"/>
      <c r="I363" s="40" t="str">
        <f>IF(OR($J363="",$K363=""),"",ROUND(MAX(0,($K363-$J363)-IF($H363="",0,$H363))/60,2))</f>
        <v/>
      </c>
      <c r="J363" s="41" t="str">
        <f>IF($F363="","",IF($F363&lt;1,ROUND($F363*1440,0),INT($F363/100)*60+MOD($F363,100)))</f>
        <v/>
      </c>
      <c r="K363" s="41" t="str">
        <f>IF($G363="","",IF($G363&lt;1,ROUND($G363*1440,0),INT($G363/100)*60+MOD($G363,100)))</f>
        <v/>
      </c>
    </row>
    <row r="364" ht="15" customHeight="1" s="26">
      <c r="A364" s="34" t="n"/>
      <c r="B364" s="32" t="n"/>
      <c r="C364" s="33" t="n"/>
      <c r="D364" s="37" t="str">
        <f>IF($C364="","",IFERROR(INDEX(프로젝트목록!$B$3:$B$62,MATCH($C364,프로젝트목록!$A$3:$A$62,0)),"미등록코드"))</f>
        <v/>
      </c>
      <c r="E364" s="32" t="n"/>
      <c r="F364" s="38" t="n"/>
      <c r="G364" s="38" t="n"/>
      <c r="H364" s="39" t="n"/>
      <c r="I364" s="40" t="str">
        <f>IF(OR($J364="",$K364=""),"",ROUND(MAX(0,($K364-$J364)-IF($H364="",0,$H364))/60,2))</f>
        <v/>
      </c>
      <c r="J364" s="41" t="str">
        <f>IF($F364="","",IF($F364&lt;1,ROUND($F364*1440,0),INT($F364/100)*60+MOD($F364,100)))</f>
        <v/>
      </c>
      <c r="K364" s="41" t="str">
        <f>IF($G364="","",IF($G364&lt;1,ROUND($G364*1440,0),INT($G364/100)*60+MOD($G364,100)))</f>
        <v/>
      </c>
    </row>
    <row r="365" ht="15" customHeight="1" s="26">
      <c r="A365" s="34" t="n"/>
      <c r="B365" s="32" t="n"/>
      <c r="C365" s="33" t="n"/>
      <c r="D365" s="37" t="str">
        <f>IF($C365="","",IFERROR(INDEX(프로젝트목록!$B$3:$B$62,MATCH($C365,프로젝트목록!$A$3:$A$62,0)),"미등록코드"))</f>
        <v/>
      </c>
      <c r="E365" s="32" t="n"/>
      <c r="F365" s="38" t="n"/>
      <c r="G365" s="38" t="n"/>
      <c r="H365" s="39" t="n"/>
      <c r="I365" s="40" t="str">
        <f>IF(OR($J365="",$K365=""),"",ROUND(MAX(0,($K365-$J365)-IF($H365="",0,$H365))/60,2))</f>
        <v/>
      </c>
      <c r="J365" s="41" t="str">
        <f>IF($F365="","",IF($F365&lt;1,ROUND($F365*1440,0),INT($F365/100)*60+MOD($F365,100)))</f>
        <v/>
      </c>
      <c r="K365" s="41" t="str">
        <f>IF($G365="","",IF($G365&lt;1,ROUND($G365*1440,0),INT($G365/100)*60+MOD($G365,100)))</f>
        <v/>
      </c>
    </row>
    <row r="366" ht="15" customHeight="1" s="26">
      <c r="A366" s="34" t="n"/>
      <c r="B366" s="32" t="n"/>
      <c r="C366" s="33" t="n"/>
      <c r="D366" s="37" t="str">
        <f>IF($C366="","",IFERROR(INDEX(프로젝트목록!$B$3:$B$62,MATCH($C366,프로젝트목록!$A$3:$A$62,0)),"미등록코드"))</f>
        <v/>
      </c>
      <c r="E366" s="32" t="n"/>
      <c r="F366" s="38" t="n"/>
      <c r="G366" s="38" t="n"/>
      <c r="H366" s="39" t="n"/>
      <c r="I366" s="40" t="str">
        <f>IF(OR($J366="",$K366=""),"",ROUND(MAX(0,($K366-$J366)-IF($H366="",0,$H366))/60,2))</f>
        <v/>
      </c>
      <c r="J366" s="41" t="str">
        <f>IF($F366="","",IF($F366&lt;1,ROUND($F366*1440,0),INT($F366/100)*60+MOD($F366,100)))</f>
        <v/>
      </c>
      <c r="K366" s="41" t="str">
        <f>IF($G366="","",IF($G366&lt;1,ROUND($G366*1440,0),INT($G366/100)*60+MOD($G366,100)))</f>
        <v/>
      </c>
    </row>
    <row r="367" ht="15" customHeight="1" s="26">
      <c r="A367" s="34" t="n"/>
      <c r="B367" s="32" t="n"/>
      <c r="C367" s="33" t="n"/>
      <c r="D367" s="37" t="str">
        <f>IF($C367="","",IFERROR(INDEX(프로젝트목록!$B$3:$B$62,MATCH($C367,프로젝트목록!$A$3:$A$62,0)),"미등록코드"))</f>
        <v/>
      </c>
      <c r="E367" s="32" t="n"/>
      <c r="F367" s="38" t="n"/>
      <c r="G367" s="38" t="n"/>
      <c r="H367" s="39" t="n"/>
      <c r="I367" s="40" t="str">
        <f>IF(OR($J367="",$K367=""),"",ROUND(MAX(0,($K367-$J367)-IF($H367="",0,$H367))/60,2))</f>
        <v/>
      </c>
      <c r="J367" s="41" t="str">
        <f>IF($F367="","",IF($F367&lt;1,ROUND($F367*1440,0),INT($F367/100)*60+MOD($F367,100)))</f>
        <v/>
      </c>
      <c r="K367" s="41" t="str">
        <f>IF($G367="","",IF($G367&lt;1,ROUND($G367*1440,0),INT($G367/100)*60+MOD($G367,100)))</f>
        <v/>
      </c>
    </row>
    <row r="368" ht="15" customHeight="1" s="26">
      <c r="A368" s="34" t="n"/>
      <c r="B368" s="32" t="n"/>
      <c r="C368" s="33" t="n"/>
      <c r="D368" s="37" t="str">
        <f>IF($C368="","",IFERROR(INDEX(프로젝트목록!$B$3:$B$62,MATCH($C368,프로젝트목록!$A$3:$A$62,0)),"미등록코드"))</f>
        <v/>
      </c>
      <c r="E368" s="32" t="n"/>
      <c r="F368" s="38" t="n"/>
      <c r="G368" s="38" t="n"/>
      <c r="H368" s="39" t="n"/>
      <c r="I368" s="40" t="str">
        <f>IF(OR($J368="",$K368=""),"",ROUND(MAX(0,($K368-$J368)-IF($H368="",0,$H368))/60,2))</f>
        <v/>
      </c>
      <c r="J368" s="41" t="str">
        <f>IF($F368="","",IF($F368&lt;1,ROUND($F368*1440,0),INT($F368/100)*60+MOD($F368,100)))</f>
        <v/>
      </c>
      <c r="K368" s="41" t="str">
        <f>IF($G368="","",IF($G368&lt;1,ROUND($G368*1440,0),INT($G368/100)*60+MOD($G368,100)))</f>
        <v/>
      </c>
    </row>
    <row r="369" ht="15" customHeight="1" s="26">
      <c r="A369" s="34" t="n"/>
      <c r="B369" s="32" t="n"/>
      <c r="C369" s="33" t="n"/>
      <c r="D369" s="37" t="str">
        <f>IF($C369="","",IFERROR(INDEX(프로젝트목록!$B$3:$B$62,MATCH($C369,프로젝트목록!$A$3:$A$62,0)),"미등록코드"))</f>
        <v/>
      </c>
      <c r="E369" s="32" t="n"/>
      <c r="F369" s="38" t="n"/>
      <c r="G369" s="38" t="n"/>
      <c r="H369" s="39" t="n"/>
      <c r="I369" s="40" t="str">
        <f>IF(OR($J369="",$K369=""),"",ROUND(MAX(0,($K369-$J369)-IF($H369="",0,$H369))/60,2))</f>
        <v/>
      </c>
      <c r="J369" s="41" t="str">
        <f>IF($F369="","",IF($F369&lt;1,ROUND($F369*1440,0),INT($F369/100)*60+MOD($F369,100)))</f>
        <v/>
      </c>
      <c r="K369" s="41" t="str">
        <f>IF($G369="","",IF($G369&lt;1,ROUND($G369*1440,0),INT($G369/100)*60+MOD($G369,100)))</f>
        <v/>
      </c>
    </row>
    <row r="370" ht="15" customHeight="1" s="26">
      <c r="A370" s="34" t="n"/>
      <c r="B370" s="32" t="n"/>
      <c r="C370" s="33" t="n"/>
      <c r="D370" s="37" t="str">
        <f>IF($C370="","",IFERROR(INDEX(프로젝트목록!$B$3:$B$62,MATCH($C370,프로젝트목록!$A$3:$A$62,0)),"미등록코드"))</f>
        <v/>
      </c>
      <c r="E370" s="32" t="n"/>
      <c r="F370" s="38" t="n"/>
      <c r="G370" s="38" t="n"/>
      <c r="H370" s="39" t="n"/>
      <c r="I370" s="40" t="str">
        <f>IF(OR($J370="",$K370=""),"",ROUND(MAX(0,($K370-$J370)-IF($H370="",0,$H370))/60,2))</f>
        <v/>
      </c>
      <c r="J370" s="41" t="str">
        <f>IF($F370="","",IF($F370&lt;1,ROUND($F370*1440,0),INT($F370/100)*60+MOD($F370,100)))</f>
        <v/>
      </c>
      <c r="K370" s="41" t="str">
        <f>IF($G370="","",IF($G370&lt;1,ROUND($G370*1440,0),INT($G370/100)*60+MOD($G370,100)))</f>
        <v/>
      </c>
    </row>
    <row r="371" ht="15" customHeight="1" s="26">
      <c r="A371" s="34" t="n"/>
      <c r="B371" s="32" t="n"/>
      <c r="C371" s="33" t="n"/>
      <c r="D371" s="37" t="str">
        <f>IF($C371="","",IFERROR(INDEX(프로젝트목록!$B$3:$B$62,MATCH($C371,프로젝트목록!$A$3:$A$62,0)),"미등록코드"))</f>
        <v/>
      </c>
      <c r="E371" s="32" t="n"/>
      <c r="F371" s="38" t="n"/>
      <c r="G371" s="38" t="n"/>
      <c r="H371" s="39" t="n"/>
      <c r="I371" s="40" t="str">
        <f>IF(OR($J371="",$K371=""),"",ROUND(MAX(0,($K371-$J371)-IF($H371="",0,$H371))/60,2))</f>
        <v/>
      </c>
      <c r="J371" s="41" t="str">
        <f>IF($F371="","",IF($F371&lt;1,ROUND($F371*1440,0),INT($F371/100)*60+MOD($F371,100)))</f>
        <v/>
      </c>
      <c r="K371" s="41" t="str">
        <f>IF($G371="","",IF($G371&lt;1,ROUND($G371*1440,0),INT($G371/100)*60+MOD($G371,100)))</f>
        <v/>
      </c>
    </row>
    <row r="372" ht="15" customHeight="1" s="26">
      <c r="A372" s="34" t="n"/>
      <c r="B372" s="32" t="n"/>
      <c r="C372" s="33" t="n"/>
      <c r="D372" s="37" t="str">
        <f>IF($C372="","",IFERROR(INDEX(프로젝트목록!$B$3:$B$62,MATCH($C372,프로젝트목록!$A$3:$A$62,0)),"미등록코드"))</f>
        <v/>
      </c>
      <c r="E372" s="32" t="n"/>
      <c r="F372" s="38" t="n"/>
      <c r="G372" s="38" t="n"/>
      <c r="H372" s="39" t="n"/>
      <c r="I372" s="40" t="str">
        <f>IF(OR($J372="",$K372=""),"",ROUND(MAX(0,($K372-$J372)-IF($H372="",0,$H372))/60,2))</f>
        <v/>
      </c>
      <c r="J372" s="41" t="str">
        <f>IF($F372="","",IF($F372&lt;1,ROUND($F372*1440,0),INT($F372/100)*60+MOD($F372,100)))</f>
        <v/>
      </c>
      <c r="K372" s="41" t="str">
        <f>IF($G372="","",IF($G372&lt;1,ROUND($G372*1440,0),INT($G372/100)*60+MOD($G372,100)))</f>
        <v/>
      </c>
    </row>
    <row r="373" ht="15" customHeight="1" s="26">
      <c r="A373" s="34" t="n"/>
      <c r="B373" s="32" t="n"/>
      <c r="C373" s="33" t="n"/>
      <c r="D373" s="37" t="str">
        <f>IF($C373="","",IFERROR(INDEX(프로젝트목록!$B$3:$B$62,MATCH($C373,프로젝트목록!$A$3:$A$62,0)),"미등록코드"))</f>
        <v/>
      </c>
      <c r="E373" s="32" t="n"/>
      <c r="F373" s="38" t="n"/>
      <c r="G373" s="38" t="n"/>
      <c r="H373" s="39" t="n"/>
      <c r="I373" s="40" t="str">
        <f>IF(OR($J373="",$K373=""),"",ROUND(MAX(0,($K373-$J373)-IF($H373="",0,$H373))/60,2))</f>
        <v/>
      </c>
      <c r="J373" s="41" t="str">
        <f>IF($F373="","",IF($F373&lt;1,ROUND($F373*1440,0),INT($F373/100)*60+MOD($F373,100)))</f>
        <v/>
      </c>
      <c r="K373" s="41" t="str">
        <f>IF($G373="","",IF($G373&lt;1,ROUND($G373*1440,0),INT($G373/100)*60+MOD($G373,100)))</f>
        <v/>
      </c>
    </row>
    <row r="374" ht="15" customHeight="1" s="26">
      <c r="A374" s="34" t="n"/>
      <c r="B374" s="32" t="n"/>
      <c r="C374" s="33" t="n"/>
      <c r="D374" s="37" t="str">
        <f>IF($C374="","",IFERROR(INDEX(프로젝트목록!$B$3:$B$62,MATCH($C374,프로젝트목록!$A$3:$A$62,0)),"미등록코드"))</f>
        <v/>
      </c>
      <c r="E374" s="32" t="n"/>
      <c r="F374" s="38" t="n"/>
      <c r="G374" s="38" t="n"/>
      <c r="H374" s="39" t="n"/>
      <c r="I374" s="40" t="str">
        <f>IF(OR($J374="",$K374=""),"",ROUND(MAX(0,($K374-$J374)-IF($H374="",0,$H374))/60,2))</f>
        <v/>
      </c>
      <c r="J374" s="41" t="str">
        <f>IF($F374="","",IF($F374&lt;1,ROUND($F374*1440,0),INT($F374/100)*60+MOD($F374,100)))</f>
        <v/>
      </c>
      <c r="K374" s="41" t="str">
        <f>IF($G374="","",IF($G374&lt;1,ROUND($G374*1440,0),INT($G374/100)*60+MOD($G374,100)))</f>
        <v/>
      </c>
    </row>
    <row r="375" ht="15" customHeight="1" s="26">
      <c r="A375" s="34" t="n"/>
      <c r="B375" s="32" t="n"/>
      <c r="C375" s="33" t="n"/>
      <c r="D375" s="37" t="str">
        <f>IF($C375="","",IFERROR(INDEX(프로젝트목록!$B$3:$B$62,MATCH($C375,프로젝트목록!$A$3:$A$62,0)),"미등록코드"))</f>
        <v/>
      </c>
      <c r="E375" s="32" t="n"/>
      <c r="F375" s="38" t="n"/>
      <c r="G375" s="38" t="n"/>
      <c r="H375" s="39" t="n"/>
      <c r="I375" s="40" t="str">
        <f>IF(OR($J375="",$K375=""),"",ROUND(MAX(0,($K375-$J375)-IF($H375="",0,$H375))/60,2))</f>
        <v/>
      </c>
      <c r="J375" s="41" t="str">
        <f>IF($F375="","",IF($F375&lt;1,ROUND($F375*1440,0),INT($F375/100)*60+MOD($F375,100)))</f>
        <v/>
      </c>
      <c r="K375" s="41" t="str">
        <f>IF($G375="","",IF($G375&lt;1,ROUND($G375*1440,0),INT($G375/100)*60+MOD($G375,100)))</f>
        <v/>
      </c>
    </row>
    <row r="376" ht="15" customHeight="1" s="26">
      <c r="A376" s="34" t="n"/>
      <c r="B376" s="32" t="n"/>
      <c r="C376" s="33" t="n"/>
      <c r="D376" s="37" t="str">
        <f>IF($C376="","",IFERROR(INDEX(프로젝트목록!$B$3:$B$62,MATCH($C376,프로젝트목록!$A$3:$A$62,0)),"미등록코드"))</f>
        <v/>
      </c>
      <c r="E376" s="32" t="n"/>
      <c r="F376" s="38" t="n"/>
      <c r="G376" s="38" t="n"/>
      <c r="H376" s="39" t="n"/>
      <c r="I376" s="40" t="str">
        <f>IF(OR($J376="",$K376=""),"",ROUND(MAX(0,($K376-$J376)-IF($H376="",0,$H376))/60,2))</f>
        <v/>
      </c>
      <c r="J376" s="41" t="str">
        <f>IF($F376="","",IF($F376&lt;1,ROUND($F376*1440,0),INT($F376/100)*60+MOD($F376,100)))</f>
        <v/>
      </c>
      <c r="K376" s="41" t="str">
        <f>IF($G376="","",IF($G376&lt;1,ROUND($G376*1440,0),INT($G376/100)*60+MOD($G376,100)))</f>
        <v/>
      </c>
    </row>
    <row r="377" ht="15" customHeight="1" s="26">
      <c r="A377" s="34" t="n"/>
      <c r="B377" s="32" t="n"/>
      <c r="C377" s="33" t="n"/>
      <c r="D377" s="37" t="str">
        <f>IF($C377="","",IFERROR(INDEX(프로젝트목록!$B$3:$B$62,MATCH($C377,프로젝트목록!$A$3:$A$62,0)),"미등록코드"))</f>
        <v/>
      </c>
      <c r="E377" s="32" t="n"/>
      <c r="F377" s="38" t="n"/>
      <c r="G377" s="38" t="n"/>
      <c r="H377" s="39" t="n"/>
      <c r="I377" s="40" t="str">
        <f>IF(OR($J377="",$K377=""),"",ROUND(MAX(0,($K377-$J377)-IF($H377="",0,$H377))/60,2))</f>
        <v/>
      </c>
      <c r="J377" s="41" t="str">
        <f>IF($F377="","",IF($F377&lt;1,ROUND($F377*1440,0),INT($F377/100)*60+MOD($F377,100)))</f>
        <v/>
      </c>
      <c r="K377" s="41" t="str">
        <f>IF($G377="","",IF($G377&lt;1,ROUND($G377*1440,0),INT($G377/100)*60+MOD($G377,100)))</f>
        <v/>
      </c>
    </row>
    <row r="378" ht="15" customHeight="1" s="26">
      <c r="A378" s="34" t="n"/>
      <c r="B378" s="32" t="n"/>
      <c r="C378" s="33" t="n"/>
      <c r="D378" s="37" t="str">
        <f>IF($C378="","",IFERROR(INDEX(프로젝트목록!$B$3:$B$62,MATCH($C378,프로젝트목록!$A$3:$A$62,0)),"미등록코드"))</f>
        <v/>
      </c>
      <c r="E378" s="32" t="n"/>
      <c r="F378" s="38" t="n"/>
      <c r="G378" s="38" t="n"/>
      <c r="H378" s="39" t="n"/>
      <c r="I378" s="40" t="str">
        <f>IF(OR($J378="",$K378=""),"",ROUND(MAX(0,($K378-$J378)-IF($H378="",0,$H378))/60,2))</f>
        <v/>
      </c>
      <c r="J378" s="41" t="str">
        <f>IF($F378="","",IF($F378&lt;1,ROUND($F378*1440,0),INT($F378/100)*60+MOD($F378,100)))</f>
        <v/>
      </c>
      <c r="K378" s="41" t="str">
        <f>IF($G378="","",IF($G378&lt;1,ROUND($G378*1440,0),INT($G378/100)*60+MOD($G378,100)))</f>
        <v/>
      </c>
    </row>
    <row r="379" ht="15" customHeight="1" s="26">
      <c r="A379" s="34" t="n"/>
      <c r="B379" s="32" t="n"/>
      <c r="C379" s="33" t="n"/>
      <c r="D379" s="37" t="str">
        <f>IF($C379="","",IFERROR(INDEX(프로젝트목록!$B$3:$B$62,MATCH($C379,프로젝트목록!$A$3:$A$62,0)),"미등록코드"))</f>
        <v/>
      </c>
      <c r="E379" s="32" t="n"/>
      <c r="F379" s="38" t="n"/>
      <c r="G379" s="38" t="n"/>
      <c r="H379" s="39" t="n"/>
      <c r="I379" s="40" t="str">
        <f>IF(OR($J379="",$K379=""),"",ROUND(MAX(0,($K379-$J379)-IF($H379="",0,$H379))/60,2))</f>
        <v/>
      </c>
      <c r="J379" s="41" t="str">
        <f>IF($F379="","",IF($F379&lt;1,ROUND($F379*1440,0),INT($F379/100)*60+MOD($F379,100)))</f>
        <v/>
      </c>
      <c r="K379" s="41" t="str">
        <f>IF($G379="","",IF($G379&lt;1,ROUND($G379*1440,0),INT($G379/100)*60+MOD($G379,100)))</f>
        <v/>
      </c>
    </row>
    <row r="380" ht="15" customHeight="1" s="26">
      <c r="A380" s="34" t="n"/>
      <c r="B380" s="32" t="n"/>
      <c r="C380" s="33" t="n"/>
      <c r="D380" s="37" t="str">
        <f>IF($C380="","",IFERROR(INDEX(프로젝트목록!$B$3:$B$62,MATCH($C380,프로젝트목록!$A$3:$A$62,0)),"미등록코드"))</f>
        <v/>
      </c>
      <c r="E380" s="32" t="n"/>
      <c r="F380" s="38" t="n"/>
      <c r="G380" s="38" t="n"/>
      <c r="H380" s="39" t="n"/>
      <c r="I380" s="40" t="str">
        <f>IF(OR($J380="",$K380=""),"",ROUND(MAX(0,($K380-$J380)-IF($H380="",0,$H380))/60,2))</f>
        <v/>
      </c>
      <c r="J380" s="41" t="str">
        <f>IF($F380="","",IF($F380&lt;1,ROUND($F380*1440,0),INT($F380/100)*60+MOD($F380,100)))</f>
        <v/>
      </c>
      <c r="K380" s="41" t="str">
        <f>IF($G380="","",IF($G380&lt;1,ROUND($G380*1440,0),INT($G380/100)*60+MOD($G380,100)))</f>
        <v/>
      </c>
    </row>
    <row r="381" ht="15" customHeight="1" s="26">
      <c r="A381" s="34" t="n"/>
      <c r="B381" s="32" t="n"/>
      <c r="C381" s="33" t="n"/>
      <c r="D381" s="37" t="str">
        <f>IF($C381="","",IFERROR(INDEX(프로젝트목록!$B$3:$B$62,MATCH($C381,프로젝트목록!$A$3:$A$62,0)),"미등록코드"))</f>
        <v/>
      </c>
      <c r="E381" s="32" t="n"/>
      <c r="F381" s="38" t="n"/>
      <c r="G381" s="38" t="n"/>
      <c r="H381" s="39" t="n"/>
      <c r="I381" s="40" t="str">
        <f>IF(OR($J381="",$K381=""),"",ROUND(MAX(0,($K381-$J381)-IF($H381="",0,$H381))/60,2))</f>
        <v/>
      </c>
      <c r="J381" s="41" t="str">
        <f>IF($F381="","",IF($F381&lt;1,ROUND($F381*1440,0),INT($F381/100)*60+MOD($F381,100)))</f>
        <v/>
      </c>
      <c r="K381" s="41" t="str">
        <f>IF($G381="","",IF($G381&lt;1,ROUND($G381*1440,0),INT($G381/100)*60+MOD($G381,100)))</f>
        <v/>
      </c>
    </row>
    <row r="382" ht="15" customHeight="1" s="26">
      <c r="A382" s="34" t="n"/>
      <c r="B382" s="32" t="n"/>
      <c r="C382" s="33" t="n"/>
      <c r="D382" s="37" t="str">
        <f>IF($C382="","",IFERROR(INDEX(프로젝트목록!$B$3:$B$62,MATCH($C382,프로젝트목록!$A$3:$A$62,0)),"미등록코드"))</f>
        <v/>
      </c>
      <c r="E382" s="32" t="n"/>
      <c r="F382" s="38" t="n"/>
      <c r="G382" s="38" t="n"/>
      <c r="H382" s="39" t="n"/>
      <c r="I382" s="40" t="str">
        <f>IF(OR($J382="",$K382=""),"",ROUND(MAX(0,($K382-$J382)-IF($H382="",0,$H382))/60,2))</f>
        <v/>
      </c>
      <c r="J382" s="41" t="str">
        <f>IF($F382="","",IF($F382&lt;1,ROUND($F382*1440,0),INT($F382/100)*60+MOD($F382,100)))</f>
        <v/>
      </c>
      <c r="K382" s="41" t="str">
        <f>IF($G382="","",IF($G382&lt;1,ROUND($G382*1440,0),INT($G382/100)*60+MOD($G382,100)))</f>
        <v/>
      </c>
    </row>
    <row r="383" ht="15" customHeight="1" s="26">
      <c r="A383" s="34" t="n"/>
      <c r="B383" s="32" t="n"/>
      <c r="C383" s="33" t="n"/>
      <c r="D383" s="37" t="str">
        <f>IF($C383="","",IFERROR(INDEX(프로젝트목록!$B$3:$B$62,MATCH($C383,프로젝트목록!$A$3:$A$62,0)),"미등록코드"))</f>
        <v/>
      </c>
      <c r="E383" s="32" t="n"/>
      <c r="F383" s="38" t="n"/>
      <c r="G383" s="38" t="n"/>
      <c r="H383" s="39" t="n"/>
      <c r="I383" s="40" t="str">
        <f>IF(OR($J383="",$K383=""),"",ROUND(MAX(0,($K383-$J383)-IF($H383="",0,$H383))/60,2))</f>
        <v/>
      </c>
      <c r="J383" s="41" t="str">
        <f>IF($F383="","",IF($F383&lt;1,ROUND($F383*1440,0),INT($F383/100)*60+MOD($F383,100)))</f>
        <v/>
      </c>
      <c r="K383" s="41" t="str">
        <f>IF($G383="","",IF($G383&lt;1,ROUND($G383*1440,0),INT($G383/100)*60+MOD($G383,100)))</f>
        <v/>
      </c>
    </row>
    <row r="384" ht="15" customHeight="1" s="26">
      <c r="A384" s="34" t="n"/>
      <c r="B384" s="32" t="n"/>
      <c r="C384" s="33" t="n"/>
      <c r="D384" s="37" t="str">
        <f>IF($C384="","",IFERROR(INDEX(프로젝트목록!$B$3:$B$62,MATCH($C384,프로젝트목록!$A$3:$A$62,0)),"미등록코드"))</f>
        <v/>
      </c>
      <c r="E384" s="32" t="n"/>
      <c r="F384" s="38" t="n"/>
      <c r="G384" s="38" t="n"/>
      <c r="H384" s="39" t="n"/>
      <c r="I384" s="40" t="str">
        <f>IF(OR($J384="",$K384=""),"",ROUND(MAX(0,($K384-$J384)-IF($H384="",0,$H384))/60,2))</f>
        <v/>
      </c>
      <c r="J384" s="41" t="str">
        <f>IF($F384="","",IF($F384&lt;1,ROUND($F384*1440,0),INT($F384/100)*60+MOD($F384,100)))</f>
        <v/>
      </c>
      <c r="K384" s="41" t="str">
        <f>IF($G384="","",IF($G384&lt;1,ROUND($G384*1440,0),INT($G384/100)*60+MOD($G384,100)))</f>
        <v/>
      </c>
    </row>
    <row r="385" ht="15" customHeight="1" s="26">
      <c r="A385" s="34" t="n"/>
      <c r="B385" s="32" t="n"/>
      <c r="C385" s="33" t="n"/>
      <c r="D385" s="37" t="str">
        <f>IF($C385="","",IFERROR(INDEX(프로젝트목록!$B$3:$B$62,MATCH($C385,프로젝트목록!$A$3:$A$62,0)),"미등록코드"))</f>
        <v/>
      </c>
      <c r="E385" s="32" t="n"/>
      <c r="F385" s="38" t="n"/>
      <c r="G385" s="38" t="n"/>
      <c r="H385" s="39" t="n"/>
      <c r="I385" s="40" t="str">
        <f>IF(OR($J385="",$K385=""),"",ROUND(MAX(0,($K385-$J385)-IF($H385="",0,$H385))/60,2))</f>
        <v/>
      </c>
      <c r="J385" s="41" t="str">
        <f>IF($F385="","",IF($F385&lt;1,ROUND($F385*1440,0),INT($F385/100)*60+MOD($F385,100)))</f>
        <v/>
      </c>
      <c r="K385" s="41" t="str">
        <f>IF($G385="","",IF($G385&lt;1,ROUND($G385*1440,0),INT($G385/100)*60+MOD($G385,100)))</f>
        <v/>
      </c>
    </row>
    <row r="386" ht="15" customHeight="1" s="26">
      <c r="A386" s="34" t="n"/>
      <c r="B386" s="32" t="n"/>
      <c r="C386" s="33" t="n"/>
      <c r="D386" s="37" t="str">
        <f>IF($C386="","",IFERROR(INDEX(프로젝트목록!$B$3:$B$62,MATCH($C386,프로젝트목록!$A$3:$A$62,0)),"미등록코드"))</f>
        <v/>
      </c>
      <c r="E386" s="32" t="n"/>
      <c r="F386" s="38" t="n"/>
      <c r="G386" s="38" t="n"/>
      <c r="H386" s="39" t="n"/>
      <c r="I386" s="40" t="str">
        <f>IF(OR($J386="",$K386=""),"",ROUND(MAX(0,($K386-$J386)-IF($H386="",0,$H386))/60,2))</f>
        <v/>
      </c>
      <c r="J386" s="41" t="str">
        <f>IF($F386="","",IF($F386&lt;1,ROUND($F386*1440,0),INT($F386/100)*60+MOD($F386,100)))</f>
        <v/>
      </c>
      <c r="K386" s="41" t="str">
        <f>IF($G386="","",IF($G386&lt;1,ROUND($G386*1440,0),INT($G386/100)*60+MOD($G386,100)))</f>
        <v/>
      </c>
    </row>
    <row r="387" ht="15" customHeight="1" s="26">
      <c r="A387" s="34" t="n"/>
      <c r="B387" s="32" t="n"/>
      <c r="C387" s="33" t="n"/>
      <c r="D387" s="37" t="str">
        <f>IF($C387="","",IFERROR(INDEX(프로젝트목록!$B$3:$B$62,MATCH($C387,프로젝트목록!$A$3:$A$62,0)),"미등록코드"))</f>
        <v/>
      </c>
      <c r="E387" s="32" t="n"/>
      <c r="F387" s="38" t="n"/>
      <c r="G387" s="38" t="n"/>
      <c r="H387" s="39" t="n"/>
      <c r="I387" s="40" t="str">
        <f>IF(OR($J387="",$K387=""),"",ROUND(MAX(0,($K387-$J387)-IF($H387="",0,$H387))/60,2))</f>
        <v/>
      </c>
      <c r="J387" s="41" t="str">
        <f>IF($F387="","",IF($F387&lt;1,ROUND($F387*1440,0),INT($F387/100)*60+MOD($F387,100)))</f>
        <v/>
      </c>
      <c r="K387" s="41" t="str">
        <f>IF($G387="","",IF($G387&lt;1,ROUND($G387*1440,0),INT($G387/100)*60+MOD($G387,100)))</f>
        <v/>
      </c>
    </row>
    <row r="388" ht="15" customHeight="1" s="26">
      <c r="A388" s="34" t="n"/>
      <c r="B388" s="32" t="n"/>
      <c r="C388" s="33" t="n"/>
      <c r="D388" s="37" t="str">
        <f>IF($C388="","",IFERROR(INDEX(프로젝트목록!$B$3:$B$62,MATCH($C388,프로젝트목록!$A$3:$A$62,0)),"미등록코드"))</f>
        <v/>
      </c>
      <c r="E388" s="32" t="n"/>
      <c r="F388" s="38" t="n"/>
      <c r="G388" s="38" t="n"/>
      <c r="H388" s="39" t="n"/>
      <c r="I388" s="40" t="str">
        <f>IF(OR($J388="",$K388=""),"",ROUND(MAX(0,($K388-$J388)-IF($H388="",0,$H388))/60,2))</f>
        <v/>
      </c>
      <c r="J388" s="41" t="str">
        <f>IF($F388="","",IF($F388&lt;1,ROUND($F388*1440,0),INT($F388/100)*60+MOD($F388,100)))</f>
        <v/>
      </c>
      <c r="K388" s="41" t="str">
        <f>IF($G388="","",IF($G388&lt;1,ROUND($G388*1440,0),INT($G388/100)*60+MOD($G388,100)))</f>
        <v/>
      </c>
    </row>
    <row r="389" ht="15" customHeight="1" s="26">
      <c r="A389" s="34" t="n"/>
      <c r="B389" s="32" t="n"/>
      <c r="C389" s="33" t="n"/>
      <c r="D389" s="37" t="str">
        <f>IF($C389="","",IFERROR(INDEX(프로젝트목록!$B$3:$B$62,MATCH($C389,프로젝트목록!$A$3:$A$62,0)),"미등록코드"))</f>
        <v/>
      </c>
      <c r="E389" s="32" t="n"/>
      <c r="F389" s="38" t="n"/>
      <c r="G389" s="38" t="n"/>
      <c r="H389" s="39" t="n"/>
      <c r="I389" s="40" t="str">
        <f>IF(OR($J389="",$K389=""),"",ROUND(MAX(0,($K389-$J389)-IF($H389="",0,$H389))/60,2))</f>
        <v/>
      </c>
      <c r="J389" s="41" t="str">
        <f>IF($F389="","",IF($F389&lt;1,ROUND($F389*1440,0),INT($F389/100)*60+MOD($F389,100)))</f>
        <v/>
      </c>
      <c r="K389" s="41" t="str">
        <f>IF($G389="","",IF($G389&lt;1,ROUND($G389*1440,0),INT($G389/100)*60+MOD($G389,100)))</f>
        <v/>
      </c>
    </row>
    <row r="390" ht="15" customHeight="1" s="26">
      <c r="A390" s="34" t="n"/>
      <c r="B390" s="32" t="n"/>
      <c r="C390" s="33" t="n"/>
      <c r="D390" s="37" t="str">
        <f>IF($C390="","",IFERROR(INDEX(프로젝트목록!$B$3:$B$62,MATCH($C390,프로젝트목록!$A$3:$A$62,0)),"미등록코드"))</f>
        <v/>
      </c>
      <c r="E390" s="32" t="n"/>
      <c r="F390" s="38" t="n"/>
      <c r="G390" s="38" t="n"/>
      <c r="H390" s="39" t="n"/>
      <c r="I390" s="40" t="str">
        <f>IF(OR($J390="",$K390=""),"",ROUND(MAX(0,($K390-$J390)-IF($H390="",0,$H390))/60,2))</f>
        <v/>
      </c>
      <c r="J390" s="41" t="str">
        <f>IF($F390="","",IF($F390&lt;1,ROUND($F390*1440,0),INT($F390/100)*60+MOD($F390,100)))</f>
        <v/>
      </c>
      <c r="K390" s="41" t="str">
        <f>IF($G390="","",IF($G390&lt;1,ROUND($G390*1440,0),INT($G390/100)*60+MOD($G390,100)))</f>
        <v/>
      </c>
    </row>
    <row r="391" ht="15" customHeight="1" s="26">
      <c r="A391" s="34" t="n"/>
      <c r="B391" s="32" t="n"/>
      <c r="C391" s="33" t="n"/>
      <c r="D391" s="37" t="str">
        <f>IF($C391="","",IFERROR(INDEX(프로젝트목록!$B$3:$B$62,MATCH($C391,프로젝트목록!$A$3:$A$62,0)),"미등록코드"))</f>
        <v/>
      </c>
      <c r="E391" s="32" t="n"/>
      <c r="F391" s="38" t="n"/>
      <c r="G391" s="38" t="n"/>
      <c r="H391" s="39" t="n"/>
      <c r="I391" s="40" t="str">
        <f>IF(OR($J391="",$K391=""),"",ROUND(MAX(0,($K391-$J391)-IF($H391="",0,$H391))/60,2))</f>
        <v/>
      </c>
      <c r="J391" s="41" t="str">
        <f>IF($F391="","",IF($F391&lt;1,ROUND($F391*1440,0),INT($F391/100)*60+MOD($F391,100)))</f>
        <v/>
      </c>
      <c r="K391" s="41" t="str">
        <f>IF($G391="","",IF($G391&lt;1,ROUND($G391*1440,0),INT($G391/100)*60+MOD($G391,100)))</f>
        <v/>
      </c>
    </row>
    <row r="392" ht="15" customHeight="1" s="26">
      <c r="A392" s="34" t="n"/>
      <c r="B392" s="32" t="n"/>
      <c r="C392" s="33" t="n"/>
      <c r="D392" s="37" t="str">
        <f>IF($C392="","",IFERROR(INDEX(프로젝트목록!$B$3:$B$62,MATCH($C392,프로젝트목록!$A$3:$A$62,0)),"미등록코드"))</f>
        <v/>
      </c>
      <c r="E392" s="32" t="n"/>
      <c r="F392" s="38" t="n"/>
      <c r="G392" s="38" t="n"/>
      <c r="H392" s="39" t="n"/>
      <c r="I392" s="40" t="str">
        <f>IF(OR($J392="",$K392=""),"",ROUND(MAX(0,($K392-$J392)-IF($H392="",0,$H392))/60,2))</f>
        <v/>
      </c>
      <c r="J392" s="41" t="str">
        <f>IF($F392="","",IF($F392&lt;1,ROUND($F392*1440,0),INT($F392/100)*60+MOD($F392,100)))</f>
        <v/>
      </c>
      <c r="K392" s="41" t="str">
        <f>IF($G392="","",IF($G392&lt;1,ROUND($G392*1440,0),INT($G392/100)*60+MOD($G392,100)))</f>
        <v/>
      </c>
    </row>
    <row r="393" ht="15" customHeight="1" s="26">
      <c r="A393" s="34" t="n"/>
      <c r="B393" s="32" t="n"/>
      <c r="C393" s="33" t="n"/>
      <c r="D393" s="37" t="str">
        <f>IF($C393="","",IFERROR(INDEX(프로젝트목록!$B$3:$B$62,MATCH($C393,프로젝트목록!$A$3:$A$62,0)),"미등록코드"))</f>
        <v/>
      </c>
      <c r="E393" s="32" t="n"/>
      <c r="F393" s="38" t="n"/>
      <c r="G393" s="38" t="n"/>
      <c r="H393" s="39" t="n"/>
      <c r="I393" s="40" t="str">
        <f>IF(OR($J393="",$K393=""),"",ROUND(MAX(0,($K393-$J393)-IF($H393="",0,$H393))/60,2))</f>
        <v/>
      </c>
      <c r="J393" s="41" t="str">
        <f>IF($F393="","",IF($F393&lt;1,ROUND($F393*1440,0),INT($F393/100)*60+MOD($F393,100)))</f>
        <v/>
      </c>
      <c r="K393" s="41" t="str">
        <f>IF($G393="","",IF($G393&lt;1,ROUND($G393*1440,0),INT($G393/100)*60+MOD($G393,100)))</f>
        <v/>
      </c>
    </row>
    <row r="394" ht="15" customHeight="1" s="26">
      <c r="A394" s="34" t="n"/>
      <c r="B394" s="32" t="n"/>
      <c r="C394" s="33" t="n"/>
      <c r="D394" s="37" t="str">
        <f>IF($C394="","",IFERROR(INDEX(프로젝트목록!$B$3:$B$62,MATCH($C394,프로젝트목록!$A$3:$A$62,0)),"미등록코드"))</f>
        <v/>
      </c>
      <c r="E394" s="32" t="n"/>
      <c r="F394" s="38" t="n"/>
      <c r="G394" s="38" t="n"/>
      <c r="H394" s="39" t="n"/>
      <c r="I394" s="40" t="str">
        <f>IF(OR($J394="",$K394=""),"",ROUND(MAX(0,($K394-$J394)-IF($H394="",0,$H394))/60,2))</f>
        <v/>
      </c>
      <c r="J394" s="41" t="str">
        <f>IF($F394="","",IF($F394&lt;1,ROUND($F394*1440,0),INT($F394/100)*60+MOD($F394,100)))</f>
        <v/>
      </c>
      <c r="K394" s="41" t="str">
        <f>IF($G394="","",IF($G394&lt;1,ROUND($G394*1440,0),INT($G394/100)*60+MOD($G394,100)))</f>
        <v/>
      </c>
    </row>
    <row r="395" ht="15" customHeight="1" s="26">
      <c r="A395" s="34" t="n"/>
      <c r="B395" s="32" t="n"/>
      <c r="C395" s="33" t="n"/>
      <c r="D395" s="37" t="str">
        <f>IF($C395="","",IFERROR(INDEX(프로젝트목록!$B$3:$B$62,MATCH($C395,프로젝트목록!$A$3:$A$62,0)),"미등록코드"))</f>
        <v/>
      </c>
      <c r="E395" s="32" t="n"/>
      <c r="F395" s="38" t="n"/>
      <c r="G395" s="38" t="n"/>
      <c r="H395" s="39" t="n"/>
      <c r="I395" s="40" t="str">
        <f>IF(OR($J395="",$K395=""),"",ROUND(MAX(0,($K395-$J395)-IF($H395="",0,$H395))/60,2))</f>
        <v/>
      </c>
      <c r="J395" s="41" t="str">
        <f>IF($F395="","",IF($F395&lt;1,ROUND($F395*1440,0),INT($F395/100)*60+MOD($F395,100)))</f>
        <v/>
      </c>
      <c r="K395" s="41" t="str">
        <f>IF($G395="","",IF($G395&lt;1,ROUND($G395*1440,0),INT($G395/100)*60+MOD($G395,100)))</f>
        <v/>
      </c>
    </row>
    <row r="396" ht="15" customHeight="1" s="26">
      <c r="A396" s="34" t="n"/>
      <c r="B396" s="32" t="n"/>
      <c r="C396" s="33" t="n"/>
      <c r="D396" s="37" t="str">
        <f>IF($C396="","",IFERROR(INDEX(프로젝트목록!$B$3:$B$62,MATCH($C396,프로젝트목록!$A$3:$A$62,0)),"미등록코드"))</f>
        <v/>
      </c>
      <c r="E396" s="32" t="n"/>
      <c r="F396" s="38" t="n"/>
      <c r="G396" s="38" t="n"/>
      <c r="H396" s="39" t="n"/>
      <c r="I396" s="40" t="str">
        <f>IF(OR($J396="",$K396=""),"",ROUND(MAX(0,($K396-$J396)-IF($H396="",0,$H396))/60,2))</f>
        <v/>
      </c>
      <c r="J396" s="41" t="str">
        <f>IF($F396="","",IF($F396&lt;1,ROUND($F396*1440,0),INT($F396/100)*60+MOD($F396,100)))</f>
        <v/>
      </c>
      <c r="K396" s="41" t="str">
        <f>IF($G396="","",IF($G396&lt;1,ROUND($G396*1440,0),INT($G396/100)*60+MOD($G396,100)))</f>
        <v/>
      </c>
    </row>
    <row r="397" ht="15" customHeight="1" s="26">
      <c r="A397" s="34" t="n"/>
      <c r="B397" s="32" t="n"/>
      <c r="C397" s="33" t="n"/>
      <c r="D397" s="37" t="str">
        <f>IF($C397="","",IFERROR(INDEX(프로젝트목록!$B$3:$B$62,MATCH($C397,프로젝트목록!$A$3:$A$62,0)),"미등록코드"))</f>
        <v/>
      </c>
      <c r="E397" s="32" t="n"/>
      <c r="F397" s="38" t="n"/>
      <c r="G397" s="38" t="n"/>
      <c r="H397" s="39" t="n"/>
      <c r="I397" s="40" t="str">
        <f>IF(OR($J397="",$K397=""),"",ROUND(MAX(0,($K397-$J397)-IF($H397="",0,$H397))/60,2))</f>
        <v/>
      </c>
      <c r="J397" s="41" t="str">
        <f>IF($F397="","",IF($F397&lt;1,ROUND($F397*1440,0),INT($F397/100)*60+MOD($F397,100)))</f>
        <v/>
      </c>
      <c r="K397" s="41" t="str">
        <f>IF($G397="","",IF($G397&lt;1,ROUND($G397*1440,0),INT($G397/100)*60+MOD($G397,100)))</f>
        <v/>
      </c>
    </row>
    <row r="398" ht="15" customHeight="1" s="26">
      <c r="A398" s="34" t="n"/>
      <c r="B398" s="32" t="n"/>
      <c r="C398" s="33" t="n"/>
      <c r="D398" s="37" t="str">
        <f>IF($C398="","",IFERROR(INDEX(프로젝트목록!$B$3:$B$62,MATCH($C398,프로젝트목록!$A$3:$A$62,0)),"미등록코드"))</f>
        <v/>
      </c>
      <c r="E398" s="32" t="n"/>
      <c r="F398" s="38" t="n"/>
      <c r="G398" s="38" t="n"/>
      <c r="H398" s="39" t="n"/>
      <c r="I398" s="40" t="str">
        <f>IF(OR($J398="",$K398=""),"",ROUND(MAX(0,($K398-$J398)-IF($H398="",0,$H398))/60,2))</f>
        <v/>
      </c>
      <c r="J398" s="41" t="str">
        <f>IF($F398="","",IF($F398&lt;1,ROUND($F398*1440,0),INT($F398/100)*60+MOD($F398,100)))</f>
        <v/>
      </c>
      <c r="K398" s="41" t="str">
        <f>IF($G398="","",IF($G398&lt;1,ROUND($G398*1440,0),INT($G398/100)*60+MOD($G398,100)))</f>
        <v/>
      </c>
    </row>
    <row r="399" ht="15" customHeight="1" s="26">
      <c r="A399" s="34" t="n"/>
      <c r="B399" s="32" t="n"/>
      <c r="C399" s="33" t="n"/>
      <c r="D399" s="37" t="str">
        <f>IF($C399="","",IFERROR(INDEX(프로젝트목록!$B$3:$B$62,MATCH($C399,프로젝트목록!$A$3:$A$62,0)),"미등록코드"))</f>
        <v/>
      </c>
      <c r="E399" s="32" t="n"/>
      <c r="F399" s="38" t="n"/>
      <c r="G399" s="38" t="n"/>
      <c r="H399" s="39" t="n"/>
      <c r="I399" s="40" t="str">
        <f>IF(OR($J399="",$K399=""),"",ROUND(MAX(0,($K399-$J399)-IF($H399="",0,$H399))/60,2))</f>
        <v/>
      </c>
      <c r="J399" s="41" t="str">
        <f>IF($F399="","",IF($F399&lt;1,ROUND($F399*1440,0),INT($F399/100)*60+MOD($F399,100)))</f>
        <v/>
      </c>
      <c r="K399" s="41" t="str">
        <f>IF($G399="","",IF($G399&lt;1,ROUND($G399*1440,0),INT($G399/100)*60+MOD($G399,100)))</f>
        <v/>
      </c>
    </row>
    <row r="400" ht="15" customHeight="1" s="26">
      <c r="A400" s="34" t="n"/>
      <c r="B400" s="32" t="n"/>
      <c r="C400" s="33" t="n"/>
      <c r="D400" s="37" t="str">
        <f>IF($C400="","",IFERROR(INDEX(프로젝트목록!$B$3:$B$62,MATCH($C400,프로젝트목록!$A$3:$A$62,0)),"미등록코드"))</f>
        <v/>
      </c>
      <c r="E400" s="32" t="n"/>
      <c r="F400" s="38" t="n"/>
      <c r="G400" s="38" t="n"/>
      <c r="H400" s="39" t="n"/>
      <c r="I400" s="40" t="str">
        <f>IF(OR($J400="",$K400=""),"",ROUND(MAX(0,($K400-$J400)-IF($H400="",0,$H400))/60,2))</f>
        <v/>
      </c>
      <c r="J400" s="41" t="str">
        <f>IF($F400="","",IF($F400&lt;1,ROUND($F400*1440,0),INT($F400/100)*60+MOD($F400,100)))</f>
        <v/>
      </c>
      <c r="K400" s="41" t="str">
        <f>IF($G400="","",IF($G400&lt;1,ROUND($G400*1440,0),INT($G400/100)*60+MOD($G400,100)))</f>
        <v/>
      </c>
    </row>
    <row r="401" ht="15" customHeight="1" s="26">
      <c r="A401" s="34" t="n"/>
      <c r="B401" s="32" t="n"/>
      <c r="C401" s="33" t="n"/>
      <c r="D401" s="37" t="str">
        <f>IF($C401="","",IFERROR(INDEX(프로젝트목록!$B$3:$B$62,MATCH($C401,프로젝트목록!$A$3:$A$62,0)),"미등록코드"))</f>
        <v/>
      </c>
      <c r="E401" s="32" t="n"/>
      <c r="F401" s="38" t="n"/>
      <c r="G401" s="38" t="n"/>
      <c r="H401" s="39" t="n"/>
      <c r="I401" s="40" t="str">
        <f>IF(OR($J401="",$K401=""),"",ROUND(MAX(0,($K401-$J401)-IF($H401="",0,$H401))/60,2))</f>
        <v/>
      </c>
      <c r="J401" s="41" t="str">
        <f>IF($F401="","",IF($F401&lt;1,ROUND($F401*1440,0),INT($F401/100)*60+MOD($F401,100)))</f>
        <v/>
      </c>
      <c r="K401" s="41" t="str">
        <f>IF($G401="","",IF($G401&lt;1,ROUND($G401*1440,0),INT($G401/100)*60+MOD($G401,100)))</f>
        <v/>
      </c>
    </row>
    <row r="402" ht="15" customHeight="1" s="26">
      <c r="A402" s="34" t="n"/>
      <c r="B402" s="32" t="n"/>
      <c r="C402" s="33" t="n"/>
      <c r="D402" s="37" t="str">
        <f>IF($C402="","",IFERROR(INDEX(프로젝트목록!$B$3:$B$62,MATCH($C402,프로젝트목록!$A$3:$A$62,0)),"미등록코드"))</f>
        <v/>
      </c>
      <c r="E402" s="32" t="n"/>
      <c r="F402" s="38" t="n"/>
      <c r="G402" s="38" t="n"/>
      <c r="H402" s="39" t="n"/>
      <c r="I402" s="40" t="str">
        <f>IF(OR($J402="",$K402=""),"",ROUND(MAX(0,($K402-$J402)-IF($H402="",0,$H402))/60,2))</f>
        <v/>
      </c>
      <c r="J402" s="41" t="str">
        <f>IF($F402="","",IF($F402&lt;1,ROUND($F402*1440,0),INT($F402/100)*60+MOD($F402,100)))</f>
        <v/>
      </c>
      <c r="K402" s="41" t="str">
        <f>IF($G402="","",IF($G402&lt;1,ROUND($G402*1440,0),INT($G402/100)*60+MOD($G402,100)))</f>
        <v/>
      </c>
    </row>
    <row r="403" ht="15" customHeight="1" s="26">
      <c r="A403" s="34" t="n"/>
      <c r="B403" s="32" t="n"/>
      <c r="C403" s="33" t="n"/>
      <c r="D403" s="37" t="str">
        <f>IF($C403="","",IFERROR(INDEX(프로젝트목록!$B$3:$B$62,MATCH($C403,프로젝트목록!$A$3:$A$62,0)),"미등록코드"))</f>
        <v/>
      </c>
      <c r="E403" s="32" t="n"/>
      <c r="F403" s="38" t="n"/>
      <c r="G403" s="38" t="n"/>
      <c r="H403" s="39" t="n"/>
      <c r="I403" s="40" t="str">
        <f>IF(OR($J403="",$K403=""),"",ROUND(MAX(0,($K403-$J403)-IF($H403="",0,$H403))/60,2))</f>
        <v/>
      </c>
      <c r="J403" s="41" t="str">
        <f>IF($F403="","",IF($F403&lt;1,ROUND($F403*1440,0),INT($F403/100)*60+MOD($F403,100)))</f>
        <v/>
      </c>
      <c r="K403" s="41" t="str">
        <f>IF($G403="","",IF($G403&lt;1,ROUND($G403*1440,0),INT($G403/100)*60+MOD($G403,100)))</f>
        <v/>
      </c>
    </row>
    <row r="404" ht="15" customHeight="1" s="26">
      <c r="A404" s="34" t="n"/>
      <c r="B404" s="32" t="n"/>
      <c r="C404" s="33" t="n"/>
      <c r="D404" s="37" t="str">
        <f>IF($C404="","",IFERROR(INDEX(프로젝트목록!$B$3:$B$62,MATCH($C404,프로젝트목록!$A$3:$A$62,0)),"미등록코드"))</f>
        <v/>
      </c>
      <c r="E404" s="32" t="n"/>
      <c r="F404" s="38" t="n"/>
      <c r="G404" s="38" t="n"/>
      <c r="H404" s="39" t="n"/>
      <c r="I404" s="40" t="str">
        <f>IF(OR($J404="",$K404=""),"",ROUND(MAX(0,($K404-$J404)-IF($H404="",0,$H404))/60,2))</f>
        <v/>
      </c>
      <c r="J404" s="41" t="str">
        <f>IF($F404="","",IF($F404&lt;1,ROUND($F404*1440,0),INT($F404/100)*60+MOD($F404,100)))</f>
        <v/>
      </c>
      <c r="K404" s="41" t="str">
        <f>IF($G404="","",IF($G404&lt;1,ROUND($G404*1440,0),INT($G404/100)*60+MOD($G404,100)))</f>
        <v/>
      </c>
    </row>
    <row r="405" ht="15" customHeight="1" s="26">
      <c r="A405" s="34" t="n"/>
      <c r="B405" s="32" t="n"/>
      <c r="C405" s="33" t="n"/>
      <c r="D405" s="37" t="str">
        <f>IF($C405="","",IFERROR(INDEX(프로젝트목록!$B$3:$B$62,MATCH($C405,프로젝트목록!$A$3:$A$62,0)),"미등록코드"))</f>
        <v/>
      </c>
      <c r="E405" s="32" t="n"/>
      <c r="F405" s="38" t="n"/>
      <c r="G405" s="38" t="n"/>
      <c r="H405" s="39" t="n"/>
      <c r="I405" s="40" t="str">
        <f>IF(OR($J405="",$K405=""),"",ROUND(MAX(0,($K405-$J405)-IF($H405="",0,$H405))/60,2))</f>
        <v/>
      </c>
      <c r="J405" s="41" t="str">
        <f>IF($F405="","",IF($F405&lt;1,ROUND($F405*1440,0),INT($F405/100)*60+MOD($F405,100)))</f>
        <v/>
      </c>
      <c r="K405" s="41" t="str">
        <f>IF($G405="","",IF($G405&lt;1,ROUND($G405*1440,0),INT($G405/100)*60+MOD($G405,100)))</f>
        <v/>
      </c>
    </row>
    <row r="406" ht="15" customHeight="1" s="26">
      <c r="A406" s="34" t="n"/>
      <c r="B406" s="32" t="n"/>
      <c r="C406" s="33" t="n"/>
      <c r="D406" s="37" t="str">
        <f>IF($C406="","",IFERROR(INDEX(프로젝트목록!$B$3:$B$62,MATCH($C406,프로젝트목록!$A$3:$A$62,0)),"미등록코드"))</f>
        <v/>
      </c>
      <c r="E406" s="32" t="n"/>
      <c r="F406" s="38" t="n"/>
      <c r="G406" s="38" t="n"/>
      <c r="H406" s="39" t="n"/>
      <c r="I406" s="40" t="str">
        <f>IF(OR($J406="",$K406=""),"",ROUND(MAX(0,($K406-$J406)-IF($H406="",0,$H406))/60,2))</f>
        <v/>
      </c>
      <c r="J406" s="41" t="str">
        <f>IF($F406="","",IF($F406&lt;1,ROUND($F406*1440,0),INT($F406/100)*60+MOD($F406,100)))</f>
        <v/>
      </c>
      <c r="K406" s="41" t="str">
        <f>IF($G406="","",IF($G406&lt;1,ROUND($G406*1440,0),INT($G406/100)*60+MOD($G406,100)))</f>
        <v/>
      </c>
    </row>
    <row r="407" ht="15" customHeight="1" s="26">
      <c r="A407" s="34" t="n"/>
      <c r="B407" s="32" t="n"/>
      <c r="C407" s="33" t="n"/>
      <c r="D407" s="37" t="str">
        <f>IF($C407="","",IFERROR(INDEX(프로젝트목록!$B$3:$B$62,MATCH($C407,프로젝트목록!$A$3:$A$62,0)),"미등록코드"))</f>
        <v/>
      </c>
      <c r="E407" s="32" t="n"/>
      <c r="F407" s="38" t="n"/>
      <c r="G407" s="38" t="n"/>
      <c r="H407" s="39" t="n"/>
      <c r="I407" s="40" t="str">
        <f>IF(OR($J407="",$K407=""),"",ROUND(MAX(0,($K407-$J407)-IF($H407="",0,$H407))/60,2))</f>
        <v/>
      </c>
      <c r="J407" s="41" t="str">
        <f>IF($F407="","",IF($F407&lt;1,ROUND($F407*1440,0),INT($F407/100)*60+MOD($F407,100)))</f>
        <v/>
      </c>
      <c r="K407" s="41" t="str">
        <f>IF($G407="","",IF($G407&lt;1,ROUND($G407*1440,0),INT($G407/100)*60+MOD($G407,100)))</f>
        <v/>
      </c>
    </row>
    <row r="408" ht="15" customHeight="1" s="26">
      <c r="A408" s="34" t="n"/>
      <c r="B408" s="32" t="n"/>
      <c r="C408" s="33" t="n"/>
      <c r="D408" s="37" t="str">
        <f>IF($C408="","",IFERROR(INDEX(프로젝트목록!$B$3:$B$62,MATCH($C408,프로젝트목록!$A$3:$A$62,0)),"미등록코드"))</f>
        <v/>
      </c>
      <c r="E408" s="32" t="n"/>
      <c r="F408" s="38" t="n"/>
      <c r="G408" s="38" t="n"/>
      <c r="H408" s="39" t="n"/>
      <c r="I408" s="40" t="str">
        <f>IF(OR($J408="",$K408=""),"",ROUND(MAX(0,($K408-$J408)-IF($H408="",0,$H408))/60,2))</f>
        <v/>
      </c>
      <c r="J408" s="41" t="str">
        <f>IF($F408="","",IF($F408&lt;1,ROUND($F408*1440,0),INT($F408/100)*60+MOD($F408,100)))</f>
        <v/>
      </c>
      <c r="K408" s="41" t="str">
        <f>IF($G408="","",IF($G408&lt;1,ROUND($G408*1440,0),INT($G408/100)*60+MOD($G408,100)))</f>
        <v/>
      </c>
    </row>
    <row r="409" ht="15" customHeight="1" s="26">
      <c r="A409" s="34" t="n"/>
      <c r="B409" s="32" t="n"/>
      <c r="C409" s="33" t="n"/>
      <c r="D409" s="37" t="str">
        <f>IF($C409="","",IFERROR(INDEX(프로젝트목록!$B$3:$B$62,MATCH($C409,프로젝트목록!$A$3:$A$62,0)),"미등록코드"))</f>
        <v/>
      </c>
      <c r="E409" s="32" t="n"/>
      <c r="F409" s="38" t="n"/>
      <c r="G409" s="38" t="n"/>
      <c r="H409" s="39" t="n"/>
      <c r="I409" s="40" t="str">
        <f>IF(OR($J409="",$K409=""),"",ROUND(MAX(0,($K409-$J409)-IF($H409="",0,$H409))/60,2))</f>
        <v/>
      </c>
      <c r="J409" s="41" t="str">
        <f>IF($F409="","",IF($F409&lt;1,ROUND($F409*1440,0),INT($F409/100)*60+MOD($F409,100)))</f>
        <v/>
      </c>
      <c r="K409" s="41" t="str">
        <f>IF($G409="","",IF($G409&lt;1,ROUND($G409*1440,0),INT($G409/100)*60+MOD($G409,100)))</f>
        <v/>
      </c>
    </row>
    <row r="410" ht="15" customHeight="1" s="26">
      <c r="A410" s="34" t="n"/>
      <c r="B410" s="32" t="n"/>
      <c r="C410" s="33" t="n"/>
      <c r="D410" s="37" t="str">
        <f>IF($C410="","",IFERROR(INDEX(프로젝트목록!$B$3:$B$62,MATCH($C410,프로젝트목록!$A$3:$A$62,0)),"미등록코드"))</f>
        <v/>
      </c>
      <c r="E410" s="32" t="n"/>
      <c r="F410" s="38" t="n"/>
      <c r="G410" s="38" t="n"/>
      <c r="H410" s="39" t="n"/>
      <c r="I410" s="40" t="str">
        <f>IF(OR($J410="",$K410=""),"",ROUND(MAX(0,($K410-$J410)-IF($H410="",0,$H410))/60,2))</f>
        <v/>
      </c>
      <c r="J410" s="41" t="str">
        <f>IF($F410="","",IF($F410&lt;1,ROUND($F410*1440,0),INT($F410/100)*60+MOD($F410,100)))</f>
        <v/>
      </c>
      <c r="K410" s="41" t="str">
        <f>IF($G410="","",IF($G410&lt;1,ROUND($G410*1440,0),INT($G410/100)*60+MOD($G410,100)))</f>
        <v/>
      </c>
    </row>
    <row r="411" ht="15" customHeight="1" s="26">
      <c r="A411" s="34" t="n"/>
      <c r="B411" s="32" t="n"/>
      <c r="C411" s="33" t="n"/>
      <c r="D411" s="37" t="str">
        <f>IF($C411="","",IFERROR(INDEX(프로젝트목록!$B$3:$B$62,MATCH($C411,프로젝트목록!$A$3:$A$62,0)),"미등록코드"))</f>
        <v/>
      </c>
      <c r="E411" s="32" t="n"/>
      <c r="F411" s="38" t="n"/>
      <c r="G411" s="38" t="n"/>
      <c r="H411" s="39" t="n"/>
      <c r="I411" s="40" t="str">
        <f>IF(OR($J411="",$K411=""),"",ROUND(MAX(0,($K411-$J411)-IF($H411="",0,$H411))/60,2))</f>
        <v/>
      </c>
      <c r="J411" s="41" t="str">
        <f>IF($F411="","",IF($F411&lt;1,ROUND($F411*1440,0),INT($F411/100)*60+MOD($F411,100)))</f>
        <v/>
      </c>
      <c r="K411" s="41" t="str">
        <f>IF($G411="","",IF($G411&lt;1,ROUND($G411*1440,0),INT($G411/100)*60+MOD($G411,100)))</f>
        <v/>
      </c>
    </row>
    <row r="412" ht="15" customHeight="1" s="26">
      <c r="A412" s="34" t="n"/>
      <c r="B412" s="32" t="n"/>
      <c r="C412" s="33" t="n"/>
      <c r="D412" s="37" t="str">
        <f>IF($C412="","",IFERROR(INDEX(프로젝트목록!$B$3:$B$62,MATCH($C412,프로젝트목록!$A$3:$A$62,0)),"미등록코드"))</f>
        <v/>
      </c>
      <c r="E412" s="32" t="n"/>
      <c r="F412" s="38" t="n"/>
      <c r="G412" s="38" t="n"/>
      <c r="H412" s="39" t="n"/>
      <c r="I412" s="40" t="str">
        <f>IF(OR($J412="",$K412=""),"",ROUND(MAX(0,($K412-$J412)-IF($H412="",0,$H412))/60,2))</f>
        <v/>
      </c>
      <c r="J412" s="41" t="str">
        <f>IF($F412="","",IF($F412&lt;1,ROUND($F412*1440,0),INT($F412/100)*60+MOD($F412,100)))</f>
        <v/>
      </c>
      <c r="K412" s="41" t="str">
        <f>IF($G412="","",IF($G412&lt;1,ROUND($G412*1440,0),INT($G412/100)*60+MOD($G412,100)))</f>
        <v/>
      </c>
    </row>
    <row r="413" ht="15" customHeight="1" s="26">
      <c r="A413" s="34" t="n"/>
      <c r="B413" s="32" t="n"/>
      <c r="C413" s="33" t="n"/>
      <c r="D413" s="37" t="str">
        <f>IF($C413="","",IFERROR(INDEX(프로젝트목록!$B$3:$B$62,MATCH($C413,프로젝트목록!$A$3:$A$62,0)),"미등록코드"))</f>
        <v/>
      </c>
      <c r="E413" s="32" t="n"/>
      <c r="F413" s="38" t="n"/>
      <c r="G413" s="38" t="n"/>
      <c r="H413" s="39" t="n"/>
      <c r="I413" s="40" t="str">
        <f>IF(OR($J413="",$K413=""),"",ROUND(MAX(0,($K413-$J413)-IF($H413="",0,$H413))/60,2))</f>
        <v/>
      </c>
      <c r="J413" s="41" t="str">
        <f>IF($F413="","",IF($F413&lt;1,ROUND($F413*1440,0),INT($F413/100)*60+MOD($F413,100)))</f>
        <v/>
      </c>
      <c r="K413" s="41" t="str">
        <f>IF($G413="","",IF($G413&lt;1,ROUND($G413*1440,0),INT($G413/100)*60+MOD($G413,100)))</f>
        <v/>
      </c>
    </row>
    <row r="414" ht="15" customHeight="1" s="26">
      <c r="A414" s="34" t="n"/>
      <c r="B414" s="32" t="n"/>
      <c r="C414" s="33" t="n"/>
      <c r="D414" s="37" t="str">
        <f>IF($C414="","",IFERROR(INDEX(프로젝트목록!$B$3:$B$62,MATCH($C414,프로젝트목록!$A$3:$A$62,0)),"미등록코드"))</f>
        <v/>
      </c>
      <c r="E414" s="32" t="n"/>
      <c r="F414" s="38" t="n"/>
      <c r="G414" s="38" t="n"/>
      <c r="H414" s="39" t="n"/>
      <c r="I414" s="40" t="str">
        <f>IF(OR($J414="",$K414=""),"",ROUND(MAX(0,($K414-$J414)-IF($H414="",0,$H414))/60,2))</f>
        <v/>
      </c>
      <c r="J414" s="41" t="str">
        <f>IF($F414="","",IF($F414&lt;1,ROUND($F414*1440,0),INT($F414/100)*60+MOD($F414,100)))</f>
        <v/>
      </c>
      <c r="K414" s="41" t="str">
        <f>IF($G414="","",IF($G414&lt;1,ROUND($G414*1440,0),INT($G414/100)*60+MOD($G414,100)))</f>
        <v/>
      </c>
    </row>
    <row r="415" ht="15" customHeight="1" s="26">
      <c r="A415" s="34" t="n"/>
      <c r="B415" s="32" t="n"/>
      <c r="C415" s="33" t="n"/>
      <c r="D415" s="37" t="str">
        <f>IF($C415="","",IFERROR(INDEX(프로젝트목록!$B$3:$B$62,MATCH($C415,프로젝트목록!$A$3:$A$62,0)),"미등록코드"))</f>
        <v/>
      </c>
      <c r="E415" s="32" t="n"/>
      <c r="F415" s="38" t="n"/>
      <c r="G415" s="38" t="n"/>
      <c r="H415" s="39" t="n"/>
      <c r="I415" s="40" t="str">
        <f>IF(OR($J415="",$K415=""),"",ROUND(MAX(0,($K415-$J415)-IF($H415="",0,$H415))/60,2))</f>
        <v/>
      </c>
      <c r="J415" s="41" t="str">
        <f>IF($F415="","",IF($F415&lt;1,ROUND($F415*1440,0),INT($F415/100)*60+MOD($F415,100)))</f>
        <v/>
      </c>
      <c r="K415" s="41" t="str">
        <f>IF($G415="","",IF($G415&lt;1,ROUND($G415*1440,0),INT($G415/100)*60+MOD($G415,100)))</f>
        <v/>
      </c>
    </row>
    <row r="416" ht="15" customHeight="1" s="26">
      <c r="A416" s="34" t="n"/>
      <c r="B416" s="32" t="n"/>
      <c r="C416" s="33" t="n"/>
      <c r="D416" s="37" t="str">
        <f>IF($C416="","",IFERROR(INDEX(프로젝트목록!$B$3:$B$62,MATCH($C416,프로젝트목록!$A$3:$A$62,0)),"미등록코드"))</f>
        <v/>
      </c>
      <c r="E416" s="32" t="n"/>
      <c r="F416" s="38" t="n"/>
      <c r="G416" s="38" t="n"/>
      <c r="H416" s="39" t="n"/>
      <c r="I416" s="40" t="str">
        <f>IF(OR($J416="",$K416=""),"",ROUND(MAX(0,($K416-$J416)-IF($H416="",0,$H416))/60,2))</f>
        <v/>
      </c>
      <c r="J416" s="41" t="str">
        <f>IF($F416="","",IF($F416&lt;1,ROUND($F416*1440,0),INT($F416/100)*60+MOD($F416,100)))</f>
        <v/>
      </c>
      <c r="K416" s="41" t="str">
        <f>IF($G416="","",IF($G416&lt;1,ROUND($G416*1440,0),INT($G416/100)*60+MOD($G416,100)))</f>
        <v/>
      </c>
    </row>
    <row r="417" ht="15" customHeight="1" s="26">
      <c r="A417" s="34" t="n"/>
      <c r="B417" s="32" t="n"/>
      <c r="C417" s="33" t="n"/>
      <c r="D417" s="37" t="str">
        <f>IF($C417="","",IFERROR(INDEX(프로젝트목록!$B$3:$B$62,MATCH($C417,프로젝트목록!$A$3:$A$62,0)),"미등록코드"))</f>
        <v/>
      </c>
      <c r="E417" s="32" t="n"/>
      <c r="F417" s="38" t="n"/>
      <c r="G417" s="38" t="n"/>
      <c r="H417" s="39" t="n"/>
      <c r="I417" s="40" t="str">
        <f>IF(OR($J417="",$K417=""),"",ROUND(MAX(0,($K417-$J417)-IF($H417="",0,$H417))/60,2))</f>
        <v/>
      </c>
      <c r="J417" s="41" t="str">
        <f>IF($F417="","",IF($F417&lt;1,ROUND($F417*1440,0),INT($F417/100)*60+MOD($F417,100)))</f>
        <v/>
      </c>
      <c r="K417" s="41" t="str">
        <f>IF($G417="","",IF($G417&lt;1,ROUND($G417*1440,0),INT($G417/100)*60+MOD($G417,100)))</f>
        <v/>
      </c>
    </row>
    <row r="418" ht="15" customHeight="1" s="26">
      <c r="A418" s="34" t="n"/>
      <c r="B418" s="32" t="n"/>
      <c r="C418" s="33" t="n"/>
      <c r="D418" s="37" t="str">
        <f>IF($C418="","",IFERROR(INDEX(프로젝트목록!$B$3:$B$62,MATCH($C418,프로젝트목록!$A$3:$A$62,0)),"미등록코드"))</f>
        <v/>
      </c>
      <c r="E418" s="32" t="n"/>
      <c r="F418" s="38" t="n"/>
      <c r="G418" s="38" t="n"/>
      <c r="H418" s="39" t="n"/>
      <c r="I418" s="40" t="str">
        <f>IF(OR($J418="",$K418=""),"",ROUND(MAX(0,($K418-$J418)-IF($H418="",0,$H418))/60,2))</f>
        <v/>
      </c>
      <c r="J418" s="41" t="str">
        <f>IF($F418="","",IF($F418&lt;1,ROUND($F418*1440,0),INT($F418/100)*60+MOD($F418,100)))</f>
        <v/>
      </c>
      <c r="K418" s="41" t="str">
        <f>IF($G418="","",IF($G418&lt;1,ROUND($G418*1440,0),INT($G418/100)*60+MOD($G418,100)))</f>
        <v/>
      </c>
    </row>
    <row r="419" ht="15" customHeight="1" s="26">
      <c r="A419" s="34" t="n"/>
      <c r="B419" s="32" t="n"/>
      <c r="C419" s="33" t="n"/>
      <c r="D419" s="37" t="str">
        <f>IF($C419="","",IFERROR(INDEX(프로젝트목록!$B$3:$B$62,MATCH($C419,프로젝트목록!$A$3:$A$62,0)),"미등록코드"))</f>
        <v/>
      </c>
      <c r="E419" s="32" t="n"/>
      <c r="F419" s="38" t="n"/>
      <c r="G419" s="38" t="n"/>
      <c r="H419" s="39" t="n"/>
      <c r="I419" s="40" t="str">
        <f>IF(OR($J419="",$K419=""),"",ROUND(MAX(0,($K419-$J419)-IF($H419="",0,$H419))/60,2))</f>
        <v/>
      </c>
      <c r="J419" s="41" t="str">
        <f>IF($F419="","",IF($F419&lt;1,ROUND($F419*1440,0),INT($F419/100)*60+MOD($F419,100)))</f>
        <v/>
      </c>
      <c r="K419" s="41" t="str">
        <f>IF($G419="","",IF($G419&lt;1,ROUND($G419*1440,0),INT($G419/100)*60+MOD($G419,100)))</f>
        <v/>
      </c>
    </row>
    <row r="420" ht="15" customHeight="1" s="26">
      <c r="A420" s="34" t="n"/>
      <c r="B420" s="32" t="n"/>
      <c r="C420" s="33" t="n"/>
      <c r="D420" s="37" t="str">
        <f>IF($C420="","",IFERROR(INDEX(프로젝트목록!$B$3:$B$62,MATCH($C420,프로젝트목록!$A$3:$A$62,0)),"미등록코드"))</f>
        <v/>
      </c>
      <c r="E420" s="32" t="n"/>
      <c r="F420" s="38" t="n"/>
      <c r="G420" s="38" t="n"/>
      <c r="H420" s="39" t="n"/>
      <c r="I420" s="40" t="str">
        <f>IF(OR($J420="",$K420=""),"",ROUND(MAX(0,($K420-$J420)-IF($H420="",0,$H420))/60,2))</f>
        <v/>
      </c>
      <c r="J420" s="41" t="str">
        <f>IF($F420="","",IF($F420&lt;1,ROUND($F420*1440,0),INT($F420/100)*60+MOD($F420,100)))</f>
        <v/>
      </c>
      <c r="K420" s="41" t="str">
        <f>IF($G420="","",IF($G420&lt;1,ROUND($G420*1440,0),INT($G420/100)*60+MOD($G420,100)))</f>
        <v/>
      </c>
    </row>
    <row r="421" ht="15" customHeight="1" s="26">
      <c r="A421" s="34" t="n"/>
      <c r="B421" s="32" t="n"/>
      <c r="C421" s="33" t="n"/>
      <c r="D421" s="37" t="str">
        <f>IF($C421="","",IFERROR(INDEX(프로젝트목록!$B$3:$B$62,MATCH($C421,프로젝트목록!$A$3:$A$62,0)),"미등록코드"))</f>
        <v/>
      </c>
      <c r="E421" s="32" t="n"/>
      <c r="F421" s="38" t="n"/>
      <c r="G421" s="38" t="n"/>
      <c r="H421" s="39" t="n"/>
      <c r="I421" s="40" t="str">
        <f>IF(OR($J421="",$K421=""),"",ROUND(MAX(0,($K421-$J421)-IF($H421="",0,$H421))/60,2))</f>
        <v/>
      </c>
      <c r="J421" s="41" t="str">
        <f>IF($F421="","",IF($F421&lt;1,ROUND($F421*1440,0),INT($F421/100)*60+MOD($F421,100)))</f>
        <v/>
      </c>
      <c r="K421" s="41" t="str">
        <f>IF($G421="","",IF($G421&lt;1,ROUND($G421*1440,0),INT($G421/100)*60+MOD($G421,100)))</f>
        <v/>
      </c>
    </row>
    <row r="422" ht="15" customHeight="1" s="26">
      <c r="A422" s="34" t="n"/>
      <c r="B422" s="32" t="n"/>
      <c r="C422" s="33" t="n"/>
      <c r="D422" s="37" t="str">
        <f>IF($C422="","",IFERROR(INDEX(프로젝트목록!$B$3:$B$62,MATCH($C422,프로젝트목록!$A$3:$A$62,0)),"미등록코드"))</f>
        <v/>
      </c>
      <c r="E422" s="32" t="n"/>
      <c r="F422" s="38" t="n"/>
      <c r="G422" s="38" t="n"/>
      <c r="H422" s="39" t="n"/>
      <c r="I422" s="40" t="str">
        <f>IF(OR($J422="",$K422=""),"",ROUND(MAX(0,($K422-$J422)-IF($H422="",0,$H422))/60,2))</f>
        <v/>
      </c>
      <c r="J422" s="41" t="str">
        <f>IF($F422="","",IF($F422&lt;1,ROUND($F422*1440,0),INT($F422/100)*60+MOD($F422,100)))</f>
        <v/>
      </c>
      <c r="K422" s="41" t="str">
        <f>IF($G422="","",IF($G422&lt;1,ROUND($G422*1440,0),INT($G422/100)*60+MOD($G422,100)))</f>
        <v/>
      </c>
    </row>
    <row r="423" ht="15" customHeight="1" s="26">
      <c r="A423" s="34" t="n"/>
      <c r="B423" s="32" t="n"/>
      <c r="C423" s="33" t="n"/>
      <c r="D423" s="37" t="str">
        <f>IF($C423="","",IFERROR(INDEX(프로젝트목록!$B$3:$B$62,MATCH($C423,프로젝트목록!$A$3:$A$62,0)),"미등록코드"))</f>
        <v/>
      </c>
      <c r="E423" s="32" t="n"/>
      <c r="F423" s="38" t="n"/>
      <c r="G423" s="38" t="n"/>
      <c r="H423" s="39" t="n"/>
      <c r="I423" s="40" t="str">
        <f>IF(OR($J423="",$K423=""),"",ROUND(MAX(0,($K423-$J423)-IF($H423="",0,$H423))/60,2))</f>
        <v/>
      </c>
      <c r="J423" s="41" t="str">
        <f>IF($F423="","",IF($F423&lt;1,ROUND($F423*1440,0),INT($F423/100)*60+MOD($F423,100)))</f>
        <v/>
      </c>
      <c r="K423" s="41" t="str">
        <f>IF($G423="","",IF($G423&lt;1,ROUND($G423*1440,0),INT($G423/100)*60+MOD($G423,100)))</f>
        <v/>
      </c>
    </row>
    <row r="424" ht="15" customHeight="1" s="26">
      <c r="A424" s="34" t="n"/>
      <c r="B424" s="32" t="n"/>
      <c r="C424" s="33" t="n"/>
      <c r="D424" s="37" t="str">
        <f>IF($C424="","",IFERROR(INDEX(프로젝트목록!$B$3:$B$62,MATCH($C424,프로젝트목록!$A$3:$A$62,0)),"미등록코드"))</f>
        <v/>
      </c>
      <c r="E424" s="32" t="n"/>
      <c r="F424" s="38" t="n"/>
      <c r="G424" s="38" t="n"/>
      <c r="H424" s="39" t="n"/>
      <c r="I424" s="40" t="str">
        <f>IF(OR($J424="",$K424=""),"",ROUND(MAX(0,($K424-$J424)-IF($H424="",0,$H424))/60,2))</f>
        <v/>
      </c>
      <c r="J424" s="41" t="str">
        <f>IF($F424="","",IF($F424&lt;1,ROUND($F424*1440,0),INT($F424/100)*60+MOD($F424,100)))</f>
        <v/>
      </c>
      <c r="K424" s="41" t="str">
        <f>IF($G424="","",IF($G424&lt;1,ROUND($G424*1440,0),INT($G424/100)*60+MOD($G424,100)))</f>
        <v/>
      </c>
    </row>
    <row r="425" ht="15" customHeight="1" s="26">
      <c r="A425" s="34" t="n"/>
      <c r="B425" s="32" t="n"/>
      <c r="C425" s="33" t="n"/>
      <c r="D425" s="37" t="str">
        <f>IF($C425="","",IFERROR(INDEX(프로젝트목록!$B$3:$B$62,MATCH($C425,프로젝트목록!$A$3:$A$62,0)),"미등록코드"))</f>
        <v/>
      </c>
      <c r="E425" s="32" t="n"/>
      <c r="F425" s="38" t="n"/>
      <c r="G425" s="38" t="n"/>
      <c r="H425" s="39" t="n"/>
      <c r="I425" s="40" t="str">
        <f>IF(OR($J425="",$K425=""),"",ROUND(MAX(0,($K425-$J425)-IF($H425="",0,$H425))/60,2))</f>
        <v/>
      </c>
      <c r="J425" s="41" t="str">
        <f>IF($F425="","",IF($F425&lt;1,ROUND($F425*1440,0),INT($F425/100)*60+MOD($F425,100)))</f>
        <v/>
      </c>
      <c r="K425" s="41" t="str">
        <f>IF($G425="","",IF($G425&lt;1,ROUND($G425*1440,0),INT($G425/100)*60+MOD($G425,100)))</f>
        <v/>
      </c>
    </row>
    <row r="426" ht="15" customHeight="1" s="26">
      <c r="A426" s="34" t="n"/>
      <c r="B426" s="32" t="n"/>
      <c r="C426" s="33" t="n"/>
      <c r="D426" s="37" t="str">
        <f>IF($C426="","",IFERROR(INDEX(프로젝트목록!$B$3:$B$62,MATCH($C426,프로젝트목록!$A$3:$A$62,0)),"미등록코드"))</f>
        <v/>
      </c>
      <c r="E426" s="32" t="n"/>
      <c r="F426" s="38" t="n"/>
      <c r="G426" s="38" t="n"/>
      <c r="H426" s="39" t="n"/>
      <c r="I426" s="40" t="str">
        <f>IF(OR($J426="",$K426=""),"",ROUND(MAX(0,($K426-$J426)-IF($H426="",0,$H426))/60,2))</f>
        <v/>
      </c>
      <c r="J426" s="41" t="str">
        <f>IF($F426="","",IF($F426&lt;1,ROUND($F426*1440,0),INT($F426/100)*60+MOD($F426,100)))</f>
        <v/>
      </c>
      <c r="K426" s="41" t="str">
        <f>IF($G426="","",IF($G426&lt;1,ROUND($G426*1440,0),INT($G426/100)*60+MOD($G426,100)))</f>
        <v/>
      </c>
    </row>
    <row r="427" ht="15" customHeight="1" s="26">
      <c r="A427" s="34" t="n"/>
      <c r="B427" s="32" t="n"/>
      <c r="C427" s="33" t="n"/>
      <c r="D427" s="37" t="str">
        <f>IF($C427="","",IFERROR(INDEX(프로젝트목록!$B$3:$B$62,MATCH($C427,프로젝트목록!$A$3:$A$62,0)),"미등록코드"))</f>
        <v/>
      </c>
      <c r="E427" s="32" t="n"/>
      <c r="F427" s="38" t="n"/>
      <c r="G427" s="38" t="n"/>
      <c r="H427" s="39" t="n"/>
      <c r="I427" s="40" t="str">
        <f>IF(OR($J427="",$K427=""),"",ROUND(MAX(0,($K427-$J427)-IF($H427="",0,$H427))/60,2))</f>
        <v/>
      </c>
      <c r="J427" s="41" t="str">
        <f>IF($F427="","",IF($F427&lt;1,ROUND($F427*1440,0),INT($F427/100)*60+MOD($F427,100)))</f>
        <v/>
      </c>
      <c r="K427" s="41" t="str">
        <f>IF($G427="","",IF($G427&lt;1,ROUND($G427*1440,0),INT($G427/100)*60+MOD($G427,100)))</f>
        <v/>
      </c>
    </row>
    <row r="428" ht="15" customHeight="1" s="26">
      <c r="A428" s="34" t="n"/>
      <c r="B428" s="32" t="n"/>
      <c r="C428" s="33" t="n"/>
      <c r="D428" s="37" t="str">
        <f>IF($C428="","",IFERROR(INDEX(프로젝트목록!$B$3:$B$62,MATCH($C428,프로젝트목록!$A$3:$A$62,0)),"미등록코드"))</f>
        <v/>
      </c>
      <c r="E428" s="32" t="n"/>
      <c r="F428" s="38" t="n"/>
      <c r="G428" s="38" t="n"/>
      <c r="H428" s="39" t="n"/>
      <c r="I428" s="40" t="str">
        <f>IF(OR($J428="",$K428=""),"",ROUND(MAX(0,($K428-$J428)-IF($H428="",0,$H428))/60,2))</f>
        <v/>
      </c>
      <c r="J428" s="41" t="str">
        <f>IF($F428="","",IF($F428&lt;1,ROUND($F428*1440,0),INT($F428/100)*60+MOD($F428,100)))</f>
        <v/>
      </c>
      <c r="K428" s="41" t="str">
        <f>IF($G428="","",IF($G428&lt;1,ROUND($G428*1440,0),INT($G428/100)*60+MOD($G428,100)))</f>
        <v/>
      </c>
    </row>
    <row r="429" ht="15" customHeight="1" s="26">
      <c r="A429" s="34" t="n"/>
      <c r="B429" s="32" t="n"/>
      <c r="C429" s="33" t="n"/>
      <c r="D429" s="37" t="str">
        <f>IF($C429="","",IFERROR(INDEX(프로젝트목록!$B$3:$B$62,MATCH($C429,프로젝트목록!$A$3:$A$62,0)),"미등록코드"))</f>
        <v/>
      </c>
      <c r="E429" s="32" t="n"/>
      <c r="F429" s="38" t="n"/>
      <c r="G429" s="38" t="n"/>
      <c r="H429" s="39" t="n"/>
      <c r="I429" s="40" t="str">
        <f>IF(OR($J429="",$K429=""),"",ROUND(MAX(0,($K429-$J429)-IF($H429="",0,$H429))/60,2))</f>
        <v/>
      </c>
      <c r="J429" s="41" t="str">
        <f>IF($F429="","",IF($F429&lt;1,ROUND($F429*1440,0),INT($F429/100)*60+MOD($F429,100)))</f>
        <v/>
      </c>
      <c r="K429" s="41" t="str">
        <f>IF($G429="","",IF($G429&lt;1,ROUND($G429*1440,0),INT($G429/100)*60+MOD($G429,100)))</f>
        <v/>
      </c>
    </row>
    <row r="430" ht="15" customHeight="1" s="26">
      <c r="A430" s="34" t="n"/>
      <c r="B430" s="32" t="n"/>
      <c r="C430" s="33" t="n"/>
      <c r="D430" s="37" t="str">
        <f>IF($C430="","",IFERROR(INDEX(프로젝트목록!$B$3:$B$62,MATCH($C430,프로젝트목록!$A$3:$A$62,0)),"미등록코드"))</f>
        <v/>
      </c>
      <c r="E430" s="32" t="n"/>
      <c r="F430" s="38" t="n"/>
      <c r="G430" s="38" t="n"/>
      <c r="H430" s="39" t="n"/>
      <c r="I430" s="40" t="str">
        <f>IF(OR($J430="",$K430=""),"",ROUND(MAX(0,($K430-$J430)-IF($H430="",0,$H430))/60,2))</f>
        <v/>
      </c>
      <c r="J430" s="41" t="str">
        <f>IF($F430="","",IF($F430&lt;1,ROUND($F430*1440,0),INT($F430/100)*60+MOD($F430,100)))</f>
        <v/>
      </c>
      <c r="K430" s="41" t="str">
        <f>IF($G430="","",IF($G430&lt;1,ROUND($G430*1440,0),INT($G430/100)*60+MOD($G430,100)))</f>
        <v/>
      </c>
    </row>
    <row r="431" ht="15" customHeight="1" s="26">
      <c r="A431" s="34" t="n"/>
      <c r="B431" s="32" t="n"/>
      <c r="C431" s="33" t="n"/>
      <c r="D431" s="37" t="str">
        <f>IF($C431="","",IFERROR(INDEX(프로젝트목록!$B$3:$B$62,MATCH($C431,프로젝트목록!$A$3:$A$62,0)),"미등록코드"))</f>
        <v/>
      </c>
      <c r="E431" s="32" t="n"/>
      <c r="F431" s="38" t="n"/>
      <c r="G431" s="38" t="n"/>
      <c r="H431" s="39" t="n"/>
      <c r="I431" s="40" t="str">
        <f>IF(OR($J431="",$K431=""),"",ROUND(MAX(0,($K431-$J431)-IF($H431="",0,$H431))/60,2))</f>
        <v/>
      </c>
      <c r="J431" s="41" t="str">
        <f>IF($F431="","",IF($F431&lt;1,ROUND($F431*1440,0),INT($F431/100)*60+MOD($F431,100)))</f>
        <v/>
      </c>
      <c r="K431" s="41" t="str">
        <f>IF($G431="","",IF($G431&lt;1,ROUND($G431*1440,0),INT($G431/100)*60+MOD($G431,100)))</f>
        <v/>
      </c>
    </row>
    <row r="432" ht="15" customHeight="1" s="26">
      <c r="A432" s="34" t="n"/>
      <c r="B432" s="32" t="n"/>
      <c r="C432" s="33" t="n"/>
      <c r="D432" s="37" t="str">
        <f>IF($C432="","",IFERROR(INDEX(프로젝트목록!$B$3:$B$62,MATCH($C432,프로젝트목록!$A$3:$A$62,0)),"미등록코드"))</f>
        <v/>
      </c>
      <c r="E432" s="32" t="n"/>
      <c r="F432" s="38" t="n"/>
      <c r="G432" s="38" t="n"/>
      <c r="H432" s="39" t="n"/>
      <c r="I432" s="40" t="str">
        <f>IF(OR($J432="",$K432=""),"",ROUND(MAX(0,($K432-$J432)-IF($H432="",0,$H432))/60,2))</f>
        <v/>
      </c>
      <c r="J432" s="41" t="str">
        <f>IF($F432="","",IF($F432&lt;1,ROUND($F432*1440,0),INT($F432/100)*60+MOD($F432,100)))</f>
        <v/>
      </c>
      <c r="K432" s="41" t="str">
        <f>IF($G432="","",IF($G432&lt;1,ROUND($G432*1440,0),INT($G432/100)*60+MOD($G432,100)))</f>
        <v/>
      </c>
    </row>
    <row r="433" ht="15" customHeight="1" s="26">
      <c r="A433" s="34" t="n"/>
      <c r="B433" s="32" t="n"/>
      <c r="C433" s="33" t="n"/>
      <c r="D433" s="37" t="str">
        <f>IF($C433="","",IFERROR(INDEX(프로젝트목록!$B$3:$B$62,MATCH($C433,프로젝트목록!$A$3:$A$62,0)),"미등록코드"))</f>
        <v/>
      </c>
      <c r="E433" s="32" t="n"/>
      <c r="F433" s="38" t="n"/>
      <c r="G433" s="38" t="n"/>
      <c r="H433" s="39" t="n"/>
      <c r="I433" s="40" t="str">
        <f>IF(OR($J433="",$K433=""),"",ROUND(MAX(0,($K433-$J433)-IF($H433="",0,$H433))/60,2))</f>
        <v/>
      </c>
      <c r="J433" s="41" t="str">
        <f>IF($F433="","",IF($F433&lt;1,ROUND($F433*1440,0),INT($F433/100)*60+MOD($F433,100)))</f>
        <v/>
      </c>
      <c r="K433" s="41" t="str">
        <f>IF($G433="","",IF($G433&lt;1,ROUND($G433*1440,0),INT($G433/100)*60+MOD($G433,100)))</f>
        <v/>
      </c>
    </row>
    <row r="434" ht="15" customHeight="1" s="26">
      <c r="A434" s="34" t="n"/>
      <c r="B434" s="32" t="n"/>
      <c r="C434" s="33" t="n"/>
      <c r="D434" s="37" t="str">
        <f>IF($C434="","",IFERROR(INDEX(프로젝트목록!$B$3:$B$62,MATCH($C434,프로젝트목록!$A$3:$A$62,0)),"미등록코드"))</f>
        <v/>
      </c>
      <c r="E434" s="32" t="n"/>
      <c r="F434" s="38" t="n"/>
      <c r="G434" s="38" t="n"/>
      <c r="H434" s="39" t="n"/>
      <c r="I434" s="40" t="str">
        <f>IF(OR($J434="",$K434=""),"",ROUND(MAX(0,($K434-$J434)-IF($H434="",0,$H434))/60,2))</f>
        <v/>
      </c>
      <c r="J434" s="41" t="str">
        <f>IF($F434="","",IF($F434&lt;1,ROUND($F434*1440,0),INT($F434/100)*60+MOD($F434,100)))</f>
        <v/>
      </c>
      <c r="K434" s="41" t="str">
        <f>IF($G434="","",IF($G434&lt;1,ROUND($G434*1440,0),INT($G434/100)*60+MOD($G434,100)))</f>
        <v/>
      </c>
    </row>
    <row r="435" ht="15" customHeight="1" s="26">
      <c r="A435" s="34" t="n"/>
      <c r="B435" s="32" t="n"/>
      <c r="C435" s="33" t="n"/>
      <c r="D435" s="37" t="str">
        <f>IF($C435="","",IFERROR(INDEX(프로젝트목록!$B$3:$B$62,MATCH($C435,프로젝트목록!$A$3:$A$62,0)),"미등록코드"))</f>
        <v/>
      </c>
      <c r="E435" s="32" t="n"/>
      <c r="F435" s="38" t="n"/>
      <c r="G435" s="38" t="n"/>
      <c r="H435" s="39" t="n"/>
      <c r="I435" s="40" t="str">
        <f>IF(OR($J435="",$K435=""),"",ROUND(MAX(0,($K435-$J435)-IF($H435="",0,$H435))/60,2))</f>
        <v/>
      </c>
      <c r="J435" s="41" t="str">
        <f>IF($F435="","",IF($F435&lt;1,ROUND($F435*1440,0),INT($F435/100)*60+MOD($F435,100)))</f>
        <v/>
      </c>
      <c r="K435" s="41" t="str">
        <f>IF($G435="","",IF($G435&lt;1,ROUND($G435*1440,0),INT($G435/100)*60+MOD($G435,100)))</f>
        <v/>
      </c>
    </row>
    <row r="436" ht="15" customHeight="1" s="26">
      <c r="A436" s="34" t="n"/>
      <c r="B436" s="32" t="n"/>
      <c r="C436" s="33" t="n"/>
      <c r="D436" s="37" t="str">
        <f>IF($C436="","",IFERROR(INDEX(프로젝트목록!$B$3:$B$62,MATCH($C436,프로젝트목록!$A$3:$A$62,0)),"미등록코드"))</f>
        <v/>
      </c>
      <c r="E436" s="32" t="n"/>
      <c r="F436" s="38" t="n"/>
      <c r="G436" s="38" t="n"/>
      <c r="H436" s="39" t="n"/>
      <c r="I436" s="40" t="str">
        <f>IF(OR($J436="",$K436=""),"",ROUND(MAX(0,($K436-$J436)-IF($H436="",0,$H436))/60,2))</f>
        <v/>
      </c>
      <c r="J436" s="41" t="str">
        <f>IF($F436="","",IF($F436&lt;1,ROUND($F436*1440,0),INT($F436/100)*60+MOD($F436,100)))</f>
        <v/>
      </c>
      <c r="K436" s="41" t="str">
        <f>IF($G436="","",IF($G436&lt;1,ROUND($G436*1440,0),INT($G436/100)*60+MOD($G436,100)))</f>
        <v/>
      </c>
    </row>
    <row r="437" ht="15" customHeight="1" s="26">
      <c r="A437" s="34" t="n"/>
      <c r="B437" s="32" t="n"/>
      <c r="C437" s="33" t="n"/>
      <c r="D437" s="37" t="str">
        <f>IF($C437="","",IFERROR(INDEX(프로젝트목록!$B$3:$B$62,MATCH($C437,프로젝트목록!$A$3:$A$62,0)),"미등록코드"))</f>
        <v/>
      </c>
      <c r="E437" s="32" t="n"/>
      <c r="F437" s="38" t="n"/>
      <c r="G437" s="38" t="n"/>
      <c r="H437" s="39" t="n"/>
      <c r="I437" s="40" t="str">
        <f>IF(OR($J437="",$K437=""),"",ROUND(MAX(0,($K437-$J437)-IF($H437="",0,$H437))/60,2))</f>
        <v/>
      </c>
      <c r="J437" s="41" t="str">
        <f>IF($F437="","",IF($F437&lt;1,ROUND($F437*1440,0),INT($F437/100)*60+MOD($F437,100)))</f>
        <v/>
      </c>
      <c r="K437" s="41" t="str">
        <f>IF($G437="","",IF($G437&lt;1,ROUND($G437*1440,0),INT($G437/100)*60+MOD($G437,100)))</f>
        <v/>
      </c>
    </row>
    <row r="438" ht="15" customHeight="1" s="26">
      <c r="A438" s="34" t="n"/>
      <c r="B438" s="32" t="n"/>
      <c r="C438" s="33" t="n"/>
      <c r="D438" s="37" t="str">
        <f>IF($C438="","",IFERROR(INDEX(프로젝트목록!$B$3:$B$62,MATCH($C438,프로젝트목록!$A$3:$A$62,0)),"미등록코드"))</f>
        <v/>
      </c>
      <c r="E438" s="32" t="n"/>
      <c r="F438" s="38" t="n"/>
      <c r="G438" s="38" t="n"/>
      <c r="H438" s="39" t="n"/>
      <c r="I438" s="40" t="str">
        <f>IF(OR($J438="",$K438=""),"",ROUND(MAX(0,($K438-$J438)-IF($H438="",0,$H438))/60,2))</f>
        <v/>
      </c>
      <c r="J438" s="41" t="str">
        <f>IF($F438="","",IF($F438&lt;1,ROUND($F438*1440,0),INT($F438/100)*60+MOD($F438,100)))</f>
        <v/>
      </c>
      <c r="K438" s="41" t="str">
        <f>IF($G438="","",IF($G438&lt;1,ROUND($G438*1440,0),INT($G438/100)*60+MOD($G438,100)))</f>
        <v/>
      </c>
    </row>
    <row r="439" ht="15" customHeight="1" s="26">
      <c r="A439" s="34" t="n"/>
      <c r="B439" s="32" t="n"/>
      <c r="C439" s="33" t="n"/>
      <c r="D439" s="37" t="str">
        <f>IF($C439="","",IFERROR(INDEX(프로젝트목록!$B$3:$B$62,MATCH($C439,프로젝트목록!$A$3:$A$62,0)),"미등록코드"))</f>
        <v/>
      </c>
      <c r="E439" s="32" t="n"/>
      <c r="F439" s="38" t="n"/>
      <c r="G439" s="38" t="n"/>
      <c r="H439" s="39" t="n"/>
      <c r="I439" s="40" t="str">
        <f>IF(OR($J439="",$K439=""),"",ROUND(MAX(0,($K439-$J439)-IF($H439="",0,$H439))/60,2))</f>
        <v/>
      </c>
      <c r="J439" s="41" t="str">
        <f>IF($F439="","",IF($F439&lt;1,ROUND($F439*1440,0),INT($F439/100)*60+MOD($F439,100)))</f>
        <v/>
      </c>
      <c r="K439" s="41" t="str">
        <f>IF($G439="","",IF($G439&lt;1,ROUND($G439*1440,0),INT($G439/100)*60+MOD($G439,100)))</f>
        <v/>
      </c>
    </row>
    <row r="440" ht="15" customHeight="1" s="26">
      <c r="A440" s="34" t="n"/>
      <c r="B440" s="32" t="n"/>
      <c r="C440" s="33" t="n"/>
      <c r="D440" s="37" t="str">
        <f>IF($C440="","",IFERROR(INDEX(프로젝트목록!$B$3:$B$62,MATCH($C440,프로젝트목록!$A$3:$A$62,0)),"미등록코드"))</f>
        <v/>
      </c>
      <c r="E440" s="32" t="n"/>
      <c r="F440" s="38" t="n"/>
      <c r="G440" s="38" t="n"/>
      <c r="H440" s="39" t="n"/>
      <c r="I440" s="40" t="str">
        <f>IF(OR($J440="",$K440=""),"",ROUND(MAX(0,($K440-$J440)-IF($H440="",0,$H440))/60,2))</f>
        <v/>
      </c>
      <c r="J440" s="41" t="str">
        <f>IF($F440="","",IF($F440&lt;1,ROUND($F440*1440,0),INT($F440/100)*60+MOD($F440,100)))</f>
        <v/>
      </c>
      <c r="K440" s="41" t="str">
        <f>IF($G440="","",IF($G440&lt;1,ROUND($G440*1440,0),INT($G440/100)*60+MOD($G440,100)))</f>
        <v/>
      </c>
    </row>
    <row r="441" ht="15" customHeight="1" s="26">
      <c r="A441" s="34" t="n"/>
      <c r="B441" s="32" t="n"/>
      <c r="C441" s="33" t="n"/>
      <c r="D441" s="37" t="str">
        <f>IF($C441="","",IFERROR(INDEX(프로젝트목록!$B$3:$B$62,MATCH($C441,프로젝트목록!$A$3:$A$62,0)),"미등록코드"))</f>
        <v/>
      </c>
      <c r="E441" s="32" t="n"/>
      <c r="F441" s="38" t="n"/>
      <c r="G441" s="38" t="n"/>
      <c r="H441" s="39" t="n"/>
      <c r="I441" s="40" t="str">
        <f>IF(OR($J441="",$K441=""),"",ROUND(MAX(0,($K441-$J441)-IF($H441="",0,$H441))/60,2))</f>
        <v/>
      </c>
      <c r="J441" s="41" t="str">
        <f>IF($F441="","",IF($F441&lt;1,ROUND($F441*1440,0),INT($F441/100)*60+MOD($F441,100)))</f>
        <v/>
      </c>
      <c r="K441" s="41" t="str">
        <f>IF($G441="","",IF($G441&lt;1,ROUND($G441*1440,0),INT($G441/100)*60+MOD($G441,100)))</f>
        <v/>
      </c>
    </row>
    <row r="442" ht="15" customHeight="1" s="26">
      <c r="A442" s="34" t="n"/>
      <c r="B442" s="32" t="n"/>
      <c r="C442" s="33" t="n"/>
      <c r="D442" s="37" t="str">
        <f>IF($C442="","",IFERROR(INDEX(프로젝트목록!$B$3:$B$62,MATCH($C442,프로젝트목록!$A$3:$A$62,0)),"미등록코드"))</f>
        <v/>
      </c>
      <c r="E442" s="32" t="n"/>
      <c r="F442" s="38" t="n"/>
      <c r="G442" s="38" t="n"/>
      <c r="H442" s="39" t="n"/>
      <c r="I442" s="40" t="str">
        <f>IF(OR($J442="",$K442=""),"",ROUND(MAX(0,($K442-$J442)-IF($H442="",0,$H442))/60,2))</f>
        <v/>
      </c>
      <c r="J442" s="41" t="str">
        <f>IF($F442="","",IF($F442&lt;1,ROUND($F442*1440,0),INT($F442/100)*60+MOD($F442,100)))</f>
        <v/>
      </c>
      <c r="K442" s="41" t="str">
        <f>IF($G442="","",IF($G442&lt;1,ROUND($G442*1440,0),INT($G442/100)*60+MOD($G442,100)))</f>
        <v/>
      </c>
    </row>
    <row r="443" ht="15" customHeight="1" s="26">
      <c r="A443" s="34" t="n"/>
      <c r="B443" s="32" t="n"/>
      <c r="C443" s="33" t="n"/>
      <c r="D443" s="37" t="str">
        <f>IF($C443="","",IFERROR(INDEX(프로젝트목록!$B$3:$B$62,MATCH($C443,프로젝트목록!$A$3:$A$62,0)),"미등록코드"))</f>
        <v/>
      </c>
      <c r="E443" s="32" t="n"/>
      <c r="F443" s="38" t="n"/>
      <c r="G443" s="38" t="n"/>
      <c r="H443" s="39" t="n"/>
      <c r="I443" s="40" t="str">
        <f>IF(OR($J443="",$K443=""),"",ROUND(MAX(0,($K443-$J443)-IF($H443="",0,$H443))/60,2))</f>
        <v/>
      </c>
      <c r="J443" s="41" t="str">
        <f>IF($F443="","",IF($F443&lt;1,ROUND($F443*1440,0),INT($F443/100)*60+MOD($F443,100)))</f>
        <v/>
      </c>
      <c r="K443" s="41" t="str">
        <f>IF($G443="","",IF($G443&lt;1,ROUND($G443*1440,0),INT($G443/100)*60+MOD($G443,100)))</f>
        <v/>
      </c>
    </row>
    <row r="444" ht="15" customHeight="1" s="26">
      <c r="A444" s="34" t="n"/>
      <c r="B444" s="32" t="n"/>
      <c r="C444" s="33" t="n"/>
      <c r="D444" s="37" t="str">
        <f>IF($C444="","",IFERROR(INDEX(프로젝트목록!$B$3:$B$62,MATCH($C444,프로젝트목록!$A$3:$A$62,0)),"미등록코드"))</f>
        <v/>
      </c>
      <c r="E444" s="32" t="n"/>
      <c r="F444" s="38" t="n"/>
      <c r="G444" s="38" t="n"/>
      <c r="H444" s="39" t="n"/>
      <c r="I444" s="40" t="str">
        <f>IF(OR($J444="",$K444=""),"",ROUND(MAX(0,($K444-$J444)-IF($H444="",0,$H444))/60,2))</f>
        <v/>
      </c>
      <c r="J444" s="41" t="str">
        <f>IF($F444="","",IF($F444&lt;1,ROUND($F444*1440,0),INT($F444/100)*60+MOD($F444,100)))</f>
        <v/>
      </c>
      <c r="K444" s="41" t="str">
        <f>IF($G444="","",IF($G444&lt;1,ROUND($G444*1440,0),INT($G444/100)*60+MOD($G444,100)))</f>
        <v/>
      </c>
    </row>
    <row r="445" ht="15" customHeight="1" s="26">
      <c r="A445" s="34" t="n"/>
      <c r="B445" s="32" t="n"/>
      <c r="C445" s="33" t="n"/>
      <c r="D445" s="37" t="str">
        <f>IF($C445="","",IFERROR(INDEX(프로젝트목록!$B$3:$B$62,MATCH($C445,프로젝트목록!$A$3:$A$62,0)),"미등록코드"))</f>
        <v/>
      </c>
      <c r="E445" s="32" t="n"/>
      <c r="F445" s="38" t="n"/>
      <c r="G445" s="38" t="n"/>
      <c r="H445" s="39" t="n"/>
      <c r="I445" s="40" t="str">
        <f>IF(OR($J445="",$K445=""),"",ROUND(MAX(0,($K445-$J445)-IF($H445="",0,$H445))/60,2))</f>
        <v/>
      </c>
      <c r="J445" s="41" t="str">
        <f>IF($F445="","",IF($F445&lt;1,ROUND($F445*1440,0),INT($F445/100)*60+MOD($F445,100)))</f>
        <v/>
      </c>
      <c r="K445" s="41" t="str">
        <f>IF($G445="","",IF($G445&lt;1,ROUND($G445*1440,0),INT($G445/100)*60+MOD($G445,100)))</f>
        <v/>
      </c>
    </row>
    <row r="446" ht="15" customHeight="1" s="26">
      <c r="A446" s="34" t="n"/>
      <c r="B446" s="32" t="n"/>
      <c r="C446" s="33" t="n"/>
      <c r="D446" s="37" t="str">
        <f>IF($C446="","",IFERROR(INDEX(프로젝트목록!$B$3:$B$62,MATCH($C446,프로젝트목록!$A$3:$A$62,0)),"미등록코드"))</f>
        <v/>
      </c>
      <c r="E446" s="32" t="n"/>
      <c r="F446" s="38" t="n"/>
      <c r="G446" s="38" t="n"/>
      <c r="H446" s="39" t="n"/>
      <c r="I446" s="40" t="str">
        <f>IF(OR($J446="",$K446=""),"",ROUND(MAX(0,($K446-$J446)-IF($H446="",0,$H446))/60,2))</f>
        <v/>
      </c>
      <c r="J446" s="41" t="str">
        <f>IF($F446="","",IF($F446&lt;1,ROUND($F446*1440,0),INT($F446/100)*60+MOD($F446,100)))</f>
        <v/>
      </c>
      <c r="K446" s="41" t="str">
        <f>IF($G446="","",IF($G446&lt;1,ROUND($G446*1440,0),INT($G446/100)*60+MOD($G446,100)))</f>
        <v/>
      </c>
    </row>
    <row r="447" ht="15" customHeight="1" s="26">
      <c r="A447" s="34" t="n"/>
      <c r="B447" s="32" t="n"/>
      <c r="C447" s="33" t="n"/>
      <c r="D447" s="37" t="str">
        <f>IF($C447="","",IFERROR(INDEX(프로젝트목록!$B$3:$B$62,MATCH($C447,프로젝트목록!$A$3:$A$62,0)),"미등록코드"))</f>
        <v/>
      </c>
      <c r="E447" s="32" t="n"/>
      <c r="F447" s="38" t="n"/>
      <c r="G447" s="38" t="n"/>
      <c r="H447" s="39" t="n"/>
      <c r="I447" s="40" t="str">
        <f>IF(OR($J447="",$K447=""),"",ROUND(MAX(0,($K447-$J447)-IF($H447="",0,$H447))/60,2))</f>
        <v/>
      </c>
      <c r="J447" s="41" t="str">
        <f>IF($F447="","",IF($F447&lt;1,ROUND($F447*1440,0),INT($F447/100)*60+MOD($F447,100)))</f>
        <v/>
      </c>
      <c r="K447" s="41" t="str">
        <f>IF($G447="","",IF($G447&lt;1,ROUND($G447*1440,0),INT($G447/100)*60+MOD($G447,100)))</f>
        <v/>
      </c>
    </row>
    <row r="448" ht="15" customHeight="1" s="26">
      <c r="A448" s="34" t="n"/>
      <c r="B448" s="32" t="n"/>
      <c r="C448" s="33" t="n"/>
      <c r="D448" s="37" t="str">
        <f>IF($C448="","",IFERROR(INDEX(프로젝트목록!$B$3:$B$62,MATCH($C448,프로젝트목록!$A$3:$A$62,0)),"미등록코드"))</f>
        <v/>
      </c>
      <c r="E448" s="32" t="n"/>
      <c r="F448" s="38" t="n"/>
      <c r="G448" s="38" t="n"/>
      <c r="H448" s="39" t="n"/>
      <c r="I448" s="40" t="str">
        <f>IF(OR($J448="",$K448=""),"",ROUND(MAX(0,($K448-$J448)-IF($H448="",0,$H448))/60,2))</f>
        <v/>
      </c>
      <c r="J448" s="41" t="str">
        <f>IF($F448="","",IF($F448&lt;1,ROUND($F448*1440,0),INT($F448/100)*60+MOD($F448,100)))</f>
        <v/>
      </c>
      <c r="K448" s="41" t="str">
        <f>IF($G448="","",IF($G448&lt;1,ROUND($G448*1440,0),INT($G448/100)*60+MOD($G448,100)))</f>
        <v/>
      </c>
    </row>
    <row r="449" ht="15" customHeight="1" s="26">
      <c r="A449" s="34" t="n"/>
      <c r="B449" s="32" t="n"/>
      <c r="C449" s="33" t="n"/>
      <c r="D449" s="37" t="str">
        <f>IF($C449="","",IFERROR(INDEX(프로젝트목록!$B$3:$B$62,MATCH($C449,프로젝트목록!$A$3:$A$62,0)),"미등록코드"))</f>
        <v/>
      </c>
      <c r="E449" s="32" t="n"/>
      <c r="F449" s="38" t="n"/>
      <c r="G449" s="38" t="n"/>
      <c r="H449" s="39" t="n"/>
      <c r="I449" s="40" t="str">
        <f>IF(OR($J449="",$K449=""),"",ROUND(MAX(0,($K449-$J449)-IF($H449="",0,$H449))/60,2))</f>
        <v/>
      </c>
      <c r="J449" s="41" t="str">
        <f>IF($F449="","",IF($F449&lt;1,ROUND($F449*1440,0),INT($F449/100)*60+MOD($F449,100)))</f>
        <v/>
      </c>
      <c r="K449" s="41" t="str">
        <f>IF($G449="","",IF($G449&lt;1,ROUND($G449*1440,0),INT($G449/100)*60+MOD($G449,100)))</f>
        <v/>
      </c>
    </row>
    <row r="450" ht="15" customHeight="1" s="26">
      <c r="A450" s="34" t="n"/>
      <c r="B450" s="32" t="n"/>
      <c r="C450" s="33" t="n"/>
      <c r="D450" s="37" t="str">
        <f>IF($C450="","",IFERROR(INDEX(프로젝트목록!$B$3:$B$62,MATCH($C450,프로젝트목록!$A$3:$A$62,0)),"미등록코드"))</f>
        <v/>
      </c>
      <c r="E450" s="32" t="n"/>
      <c r="F450" s="38" t="n"/>
      <c r="G450" s="38" t="n"/>
      <c r="H450" s="39" t="n"/>
      <c r="I450" s="40" t="str">
        <f>IF(OR($J450="",$K450=""),"",ROUND(MAX(0,($K450-$J450)-IF($H450="",0,$H450))/60,2))</f>
        <v/>
      </c>
      <c r="J450" s="41" t="str">
        <f>IF($F450="","",IF($F450&lt;1,ROUND($F450*1440,0),INT($F450/100)*60+MOD($F450,100)))</f>
        <v/>
      </c>
      <c r="K450" s="41" t="str">
        <f>IF($G450="","",IF($G450&lt;1,ROUND($G450*1440,0),INT($G450/100)*60+MOD($G450,100)))</f>
        <v/>
      </c>
    </row>
    <row r="451" ht="15" customHeight="1" s="26">
      <c r="A451" s="34" t="n"/>
      <c r="B451" s="32" t="n"/>
      <c r="C451" s="33" t="n"/>
      <c r="D451" s="37" t="str">
        <f>IF($C451="","",IFERROR(INDEX(프로젝트목록!$B$3:$B$62,MATCH($C451,프로젝트목록!$A$3:$A$62,0)),"미등록코드"))</f>
        <v/>
      </c>
      <c r="E451" s="32" t="n"/>
      <c r="F451" s="38" t="n"/>
      <c r="G451" s="38" t="n"/>
      <c r="H451" s="39" t="n"/>
      <c r="I451" s="40" t="str">
        <f>IF(OR($J451="",$K451=""),"",ROUND(MAX(0,($K451-$J451)-IF($H451="",0,$H451))/60,2))</f>
        <v/>
      </c>
      <c r="J451" s="41" t="str">
        <f>IF($F451="","",IF($F451&lt;1,ROUND($F451*1440,0),INT($F451/100)*60+MOD($F451,100)))</f>
        <v/>
      </c>
      <c r="K451" s="41" t="str">
        <f>IF($G451="","",IF($G451&lt;1,ROUND($G451*1440,0),INT($G451/100)*60+MOD($G451,100)))</f>
        <v/>
      </c>
    </row>
    <row r="452" ht="15" customHeight="1" s="26">
      <c r="A452" s="34" t="n"/>
      <c r="B452" s="32" t="n"/>
      <c r="C452" s="33" t="n"/>
      <c r="D452" s="37" t="str">
        <f>IF($C452="","",IFERROR(INDEX(프로젝트목록!$B$3:$B$62,MATCH($C452,프로젝트목록!$A$3:$A$62,0)),"미등록코드"))</f>
        <v/>
      </c>
      <c r="E452" s="32" t="n"/>
      <c r="F452" s="38" t="n"/>
      <c r="G452" s="38" t="n"/>
      <c r="H452" s="39" t="n"/>
      <c r="I452" s="40" t="str">
        <f>IF(OR($J452="",$K452=""),"",ROUND(MAX(0,($K452-$J452)-IF($H452="",0,$H452))/60,2))</f>
        <v/>
      </c>
      <c r="J452" s="41" t="str">
        <f>IF($F452="","",IF($F452&lt;1,ROUND($F452*1440,0),INT($F452/100)*60+MOD($F452,100)))</f>
        <v/>
      </c>
      <c r="K452" s="41" t="str">
        <f>IF($G452="","",IF($G452&lt;1,ROUND($G452*1440,0),INT($G452/100)*60+MOD($G452,100)))</f>
        <v/>
      </c>
    </row>
    <row r="453" ht="15" customHeight="1" s="26">
      <c r="A453" s="34" t="n"/>
      <c r="B453" s="32" t="n"/>
      <c r="C453" s="33" t="n"/>
      <c r="D453" s="37" t="str">
        <f>IF($C453="","",IFERROR(INDEX(프로젝트목록!$B$3:$B$62,MATCH($C453,프로젝트목록!$A$3:$A$62,0)),"미등록코드"))</f>
        <v/>
      </c>
      <c r="E453" s="32" t="n"/>
      <c r="F453" s="38" t="n"/>
      <c r="G453" s="38" t="n"/>
      <c r="H453" s="39" t="n"/>
      <c r="I453" s="40" t="str">
        <f>IF(OR($J453="",$K453=""),"",ROUND(MAX(0,($K453-$J453)-IF($H453="",0,$H453))/60,2))</f>
        <v/>
      </c>
      <c r="J453" s="41" t="str">
        <f>IF($F453="","",IF($F453&lt;1,ROUND($F453*1440,0),INT($F453/100)*60+MOD($F453,100)))</f>
        <v/>
      </c>
      <c r="K453" s="41" t="str">
        <f>IF($G453="","",IF($G453&lt;1,ROUND($G453*1440,0),INT($G453/100)*60+MOD($G453,100)))</f>
        <v/>
      </c>
    </row>
    <row r="454" ht="15" customHeight="1" s="26">
      <c r="A454" s="34" t="n"/>
      <c r="B454" s="32" t="n"/>
      <c r="C454" s="33" t="n"/>
      <c r="D454" s="37" t="str">
        <f>IF($C454="","",IFERROR(INDEX(프로젝트목록!$B$3:$B$62,MATCH($C454,프로젝트목록!$A$3:$A$62,0)),"미등록코드"))</f>
        <v/>
      </c>
      <c r="E454" s="32" t="n"/>
      <c r="F454" s="38" t="n"/>
      <c r="G454" s="38" t="n"/>
      <c r="H454" s="39" t="n"/>
      <c r="I454" s="40" t="str">
        <f>IF(OR($J454="",$K454=""),"",ROUND(MAX(0,($K454-$J454)-IF($H454="",0,$H454))/60,2))</f>
        <v/>
      </c>
      <c r="J454" s="41" t="str">
        <f>IF($F454="","",IF($F454&lt;1,ROUND($F454*1440,0),INT($F454/100)*60+MOD($F454,100)))</f>
        <v/>
      </c>
      <c r="K454" s="41" t="str">
        <f>IF($G454="","",IF($G454&lt;1,ROUND($G454*1440,0),INT($G454/100)*60+MOD($G454,100)))</f>
        <v/>
      </c>
    </row>
    <row r="455" ht="15" customHeight="1" s="26">
      <c r="A455" s="34" t="n"/>
      <c r="B455" s="32" t="n"/>
      <c r="C455" s="33" t="n"/>
      <c r="D455" s="37" t="str">
        <f>IF($C455="","",IFERROR(INDEX(프로젝트목록!$B$3:$B$62,MATCH($C455,프로젝트목록!$A$3:$A$62,0)),"미등록코드"))</f>
        <v/>
      </c>
      <c r="E455" s="32" t="n"/>
      <c r="F455" s="38" t="n"/>
      <c r="G455" s="38" t="n"/>
      <c r="H455" s="39" t="n"/>
      <c r="I455" s="40" t="str">
        <f>IF(OR($J455="",$K455=""),"",ROUND(MAX(0,($K455-$J455)-IF($H455="",0,$H455))/60,2))</f>
        <v/>
      </c>
      <c r="J455" s="41" t="str">
        <f>IF($F455="","",IF($F455&lt;1,ROUND($F455*1440,0),INT($F455/100)*60+MOD($F455,100)))</f>
        <v/>
      </c>
      <c r="K455" s="41" t="str">
        <f>IF($G455="","",IF($G455&lt;1,ROUND($G455*1440,0),INT($G455/100)*60+MOD($G455,100)))</f>
        <v/>
      </c>
    </row>
    <row r="456" ht="15" customHeight="1" s="26">
      <c r="A456" s="34" t="n"/>
      <c r="B456" s="32" t="n"/>
      <c r="C456" s="33" t="n"/>
      <c r="D456" s="37" t="str">
        <f>IF($C456="","",IFERROR(INDEX(프로젝트목록!$B$3:$B$62,MATCH($C456,프로젝트목록!$A$3:$A$62,0)),"미등록코드"))</f>
        <v/>
      </c>
      <c r="E456" s="32" t="n"/>
      <c r="F456" s="38" t="n"/>
      <c r="G456" s="38" t="n"/>
      <c r="H456" s="39" t="n"/>
      <c r="I456" s="40" t="str">
        <f>IF(OR($J456="",$K456=""),"",ROUND(MAX(0,($K456-$J456)-IF($H456="",0,$H456))/60,2))</f>
        <v/>
      </c>
      <c r="J456" s="41" t="str">
        <f>IF($F456="","",IF($F456&lt;1,ROUND($F456*1440,0),INT($F456/100)*60+MOD($F456,100)))</f>
        <v/>
      </c>
      <c r="K456" s="41" t="str">
        <f>IF($G456="","",IF($G456&lt;1,ROUND($G456*1440,0),INT($G456/100)*60+MOD($G456,100)))</f>
        <v/>
      </c>
    </row>
    <row r="457" ht="15" customHeight="1" s="26">
      <c r="A457" s="34" t="n"/>
      <c r="B457" s="32" t="n"/>
      <c r="C457" s="33" t="n"/>
      <c r="D457" s="37" t="str">
        <f>IF($C457="","",IFERROR(INDEX(프로젝트목록!$B$3:$B$62,MATCH($C457,프로젝트목록!$A$3:$A$62,0)),"미등록코드"))</f>
        <v/>
      </c>
      <c r="E457" s="32" t="n"/>
      <c r="F457" s="38" t="n"/>
      <c r="G457" s="38" t="n"/>
      <c r="H457" s="39" t="n"/>
      <c r="I457" s="40" t="str">
        <f>IF(OR($J457="",$K457=""),"",ROUND(MAX(0,($K457-$J457)-IF($H457="",0,$H457))/60,2))</f>
        <v/>
      </c>
      <c r="J457" s="41" t="str">
        <f>IF($F457="","",IF($F457&lt;1,ROUND($F457*1440,0),INT($F457/100)*60+MOD($F457,100)))</f>
        <v/>
      </c>
      <c r="K457" s="41" t="str">
        <f>IF($G457="","",IF($G457&lt;1,ROUND($G457*1440,0),INT($G457/100)*60+MOD($G457,100)))</f>
        <v/>
      </c>
    </row>
    <row r="458" ht="15" customHeight="1" s="26">
      <c r="A458" s="34" t="n"/>
      <c r="B458" s="32" t="n"/>
      <c r="C458" s="33" t="n"/>
      <c r="D458" s="37" t="str">
        <f>IF($C458="","",IFERROR(INDEX(프로젝트목록!$B$3:$B$62,MATCH($C458,프로젝트목록!$A$3:$A$62,0)),"미등록코드"))</f>
        <v/>
      </c>
      <c r="E458" s="32" t="n"/>
      <c r="F458" s="38" t="n"/>
      <c r="G458" s="38" t="n"/>
      <c r="H458" s="39" t="n"/>
      <c r="I458" s="40" t="str">
        <f>IF(OR($J458="",$K458=""),"",ROUND(MAX(0,($K458-$J458)-IF($H458="",0,$H458))/60,2))</f>
        <v/>
      </c>
      <c r="J458" s="41" t="str">
        <f>IF($F458="","",IF($F458&lt;1,ROUND($F458*1440,0),INT($F458/100)*60+MOD($F458,100)))</f>
        <v/>
      </c>
      <c r="K458" s="41" t="str">
        <f>IF($G458="","",IF($G458&lt;1,ROUND($G458*1440,0),INT($G458/100)*60+MOD($G458,100)))</f>
        <v/>
      </c>
    </row>
    <row r="459" ht="15" customHeight="1" s="26">
      <c r="A459" s="34" t="n"/>
      <c r="B459" s="32" t="n"/>
      <c r="C459" s="33" t="n"/>
      <c r="D459" s="37" t="str">
        <f>IF($C459="","",IFERROR(INDEX(프로젝트목록!$B$3:$B$62,MATCH($C459,프로젝트목록!$A$3:$A$62,0)),"미등록코드"))</f>
        <v/>
      </c>
      <c r="E459" s="32" t="n"/>
      <c r="F459" s="38" t="n"/>
      <c r="G459" s="38" t="n"/>
      <c r="H459" s="39" t="n"/>
      <c r="I459" s="40" t="str">
        <f>IF(OR($J459="",$K459=""),"",ROUND(MAX(0,($K459-$J459)-IF($H459="",0,$H459))/60,2))</f>
        <v/>
      </c>
      <c r="J459" s="41" t="str">
        <f>IF($F459="","",IF($F459&lt;1,ROUND($F459*1440,0),INT($F459/100)*60+MOD($F459,100)))</f>
        <v/>
      </c>
      <c r="K459" s="41" t="str">
        <f>IF($G459="","",IF($G459&lt;1,ROUND($G459*1440,0),INT($G459/100)*60+MOD($G459,100)))</f>
        <v/>
      </c>
    </row>
    <row r="460" ht="15" customHeight="1" s="26">
      <c r="A460" s="34" t="n"/>
      <c r="B460" s="32" t="n"/>
      <c r="C460" s="33" t="n"/>
      <c r="D460" s="37" t="str">
        <f>IF($C460="","",IFERROR(INDEX(프로젝트목록!$B$3:$B$62,MATCH($C460,프로젝트목록!$A$3:$A$62,0)),"미등록코드"))</f>
        <v/>
      </c>
      <c r="E460" s="32" t="n"/>
      <c r="F460" s="38" t="n"/>
      <c r="G460" s="38" t="n"/>
      <c r="H460" s="39" t="n"/>
      <c r="I460" s="40" t="str">
        <f>IF(OR($J460="",$K460=""),"",ROUND(MAX(0,($K460-$J460)-IF($H460="",0,$H460))/60,2))</f>
        <v/>
      </c>
      <c r="J460" s="41" t="str">
        <f>IF($F460="","",IF($F460&lt;1,ROUND($F460*1440,0),INT($F460/100)*60+MOD($F460,100)))</f>
        <v/>
      </c>
      <c r="K460" s="41" t="str">
        <f>IF($G460="","",IF($G460&lt;1,ROUND($G460*1440,0),INT($G460/100)*60+MOD($G460,100)))</f>
        <v/>
      </c>
    </row>
    <row r="461" ht="15" customHeight="1" s="26">
      <c r="A461" s="34" t="n"/>
      <c r="B461" s="32" t="n"/>
      <c r="C461" s="33" t="n"/>
      <c r="D461" s="37" t="str">
        <f>IF($C461="","",IFERROR(INDEX(프로젝트목록!$B$3:$B$62,MATCH($C461,프로젝트목록!$A$3:$A$62,0)),"미등록코드"))</f>
        <v/>
      </c>
      <c r="E461" s="32" t="n"/>
      <c r="F461" s="38" t="n"/>
      <c r="G461" s="38" t="n"/>
      <c r="H461" s="39" t="n"/>
      <c r="I461" s="40" t="str">
        <f>IF(OR($J461="",$K461=""),"",ROUND(MAX(0,($K461-$J461)-IF($H461="",0,$H461))/60,2))</f>
        <v/>
      </c>
      <c r="J461" s="41" t="str">
        <f>IF($F461="","",IF($F461&lt;1,ROUND($F461*1440,0),INT($F461/100)*60+MOD($F461,100)))</f>
        <v/>
      </c>
      <c r="K461" s="41" t="str">
        <f>IF($G461="","",IF($G461&lt;1,ROUND($G461*1440,0),INT($G461/100)*60+MOD($G461,100)))</f>
        <v/>
      </c>
    </row>
    <row r="462" ht="15" customHeight="1" s="26">
      <c r="A462" s="34" t="n"/>
      <c r="B462" s="32" t="n"/>
      <c r="C462" s="33" t="n"/>
      <c r="D462" s="37" t="str">
        <f>IF($C462="","",IFERROR(INDEX(프로젝트목록!$B$3:$B$62,MATCH($C462,프로젝트목록!$A$3:$A$62,0)),"미등록코드"))</f>
        <v/>
      </c>
      <c r="E462" s="32" t="n"/>
      <c r="F462" s="38" t="n"/>
      <c r="G462" s="38" t="n"/>
      <c r="H462" s="39" t="n"/>
      <c r="I462" s="40" t="str">
        <f>IF(OR($J462="",$K462=""),"",ROUND(MAX(0,($K462-$J462)-IF($H462="",0,$H462))/60,2))</f>
        <v/>
      </c>
      <c r="J462" s="41" t="str">
        <f>IF($F462="","",IF($F462&lt;1,ROUND($F462*1440,0),INT($F462/100)*60+MOD($F462,100)))</f>
        <v/>
      </c>
      <c r="K462" s="41" t="str">
        <f>IF($G462="","",IF($G462&lt;1,ROUND($G462*1440,0),INT($G462/100)*60+MOD($G462,100)))</f>
        <v/>
      </c>
    </row>
    <row r="463" ht="15" customHeight="1" s="26">
      <c r="A463" s="34" t="n"/>
      <c r="B463" s="32" t="n"/>
      <c r="C463" s="33" t="n"/>
      <c r="D463" s="37" t="str">
        <f>IF($C463="","",IFERROR(INDEX(프로젝트목록!$B$3:$B$62,MATCH($C463,프로젝트목록!$A$3:$A$62,0)),"미등록코드"))</f>
        <v/>
      </c>
      <c r="E463" s="32" t="n"/>
      <c r="F463" s="38" t="n"/>
      <c r="G463" s="38" t="n"/>
      <c r="H463" s="39" t="n"/>
      <c r="I463" s="40" t="str">
        <f>IF(OR($J463="",$K463=""),"",ROUND(MAX(0,($K463-$J463)-IF($H463="",0,$H463))/60,2))</f>
        <v/>
      </c>
      <c r="J463" s="41" t="str">
        <f>IF($F463="","",IF($F463&lt;1,ROUND($F463*1440,0),INT($F463/100)*60+MOD($F463,100)))</f>
        <v/>
      </c>
      <c r="K463" s="41" t="str">
        <f>IF($G463="","",IF($G463&lt;1,ROUND($G463*1440,0),INT($G463/100)*60+MOD($G463,100)))</f>
        <v/>
      </c>
    </row>
    <row r="464" ht="15" customHeight="1" s="26">
      <c r="A464" s="34" t="n"/>
      <c r="B464" s="32" t="n"/>
      <c r="C464" s="33" t="n"/>
      <c r="D464" s="37" t="str">
        <f>IF($C464="","",IFERROR(INDEX(프로젝트목록!$B$3:$B$62,MATCH($C464,프로젝트목록!$A$3:$A$62,0)),"미등록코드"))</f>
        <v/>
      </c>
      <c r="E464" s="32" t="n"/>
      <c r="F464" s="38" t="n"/>
      <c r="G464" s="38" t="n"/>
      <c r="H464" s="39" t="n"/>
      <c r="I464" s="40" t="str">
        <f>IF(OR($J464="",$K464=""),"",ROUND(MAX(0,($K464-$J464)-IF($H464="",0,$H464))/60,2))</f>
        <v/>
      </c>
      <c r="J464" s="41" t="str">
        <f>IF($F464="","",IF($F464&lt;1,ROUND($F464*1440,0),INT($F464/100)*60+MOD($F464,100)))</f>
        <v/>
      </c>
      <c r="K464" s="41" t="str">
        <f>IF($G464="","",IF($G464&lt;1,ROUND($G464*1440,0),INT($G464/100)*60+MOD($G464,100)))</f>
        <v/>
      </c>
    </row>
    <row r="465" ht="15" customHeight="1" s="26">
      <c r="A465" s="34" t="n"/>
      <c r="B465" s="32" t="n"/>
      <c r="C465" s="33" t="n"/>
      <c r="D465" s="37" t="str">
        <f>IF($C465="","",IFERROR(INDEX(프로젝트목록!$B$3:$B$62,MATCH($C465,프로젝트목록!$A$3:$A$62,0)),"미등록코드"))</f>
        <v/>
      </c>
      <c r="E465" s="32" t="n"/>
      <c r="F465" s="38" t="n"/>
      <c r="G465" s="38" t="n"/>
      <c r="H465" s="39" t="n"/>
      <c r="I465" s="40" t="str">
        <f>IF(OR($J465="",$K465=""),"",ROUND(MAX(0,($K465-$J465)-IF($H465="",0,$H465))/60,2))</f>
        <v/>
      </c>
      <c r="J465" s="41" t="str">
        <f>IF($F465="","",IF($F465&lt;1,ROUND($F465*1440,0),INT($F465/100)*60+MOD($F465,100)))</f>
        <v/>
      </c>
      <c r="K465" s="41" t="str">
        <f>IF($G465="","",IF($G465&lt;1,ROUND($G465*1440,0),INT($G465/100)*60+MOD($G465,100)))</f>
        <v/>
      </c>
    </row>
    <row r="466" ht="15" customHeight="1" s="26">
      <c r="A466" s="34" t="n"/>
      <c r="B466" s="32" t="n"/>
      <c r="C466" s="33" t="n"/>
      <c r="D466" s="37" t="str">
        <f>IF($C466="","",IFERROR(INDEX(프로젝트목록!$B$3:$B$62,MATCH($C466,프로젝트목록!$A$3:$A$62,0)),"미등록코드"))</f>
        <v/>
      </c>
      <c r="E466" s="32" t="n"/>
      <c r="F466" s="38" t="n"/>
      <c r="G466" s="38" t="n"/>
      <c r="H466" s="39" t="n"/>
      <c r="I466" s="40" t="str">
        <f>IF(OR($J466="",$K466=""),"",ROUND(MAX(0,($K466-$J466)-IF($H466="",0,$H466))/60,2))</f>
        <v/>
      </c>
      <c r="J466" s="41" t="str">
        <f>IF($F466="","",IF($F466&lt;1,ROUND($F466*1440,0),INT($F466/100)*60+MOD($F466,100)))</f>
        <v/>
      </c>
      <c r="K466" s="41" t="str">
        <f>IF($G466="","",IF($G466&lt;1,ROUND($G466*1440,0),INT($G466/100)*60+MOD($G466,100)))</f>
        <v/>
      </c>
    </row>
    <row r="467" ht="15" customHeight="1" s="26">
      <c r="A467" s="34" t="n"/>
      <c r="B467" s="32" t="n"/>
      <c r="C467" s="33" t="n"/>
      <c r="D467" s="37" t="str">
        <f>IF($C467="","",IFERROR(INDEX(프로젝트목록!$B$3:$B$62,MATCH($C467,프로젝트목록!$A$3:$A$62,0)),"미등록코드"))</f>
        <v/>
      </c>
      <c r="E467" s="32" t="n"/>
      <c r="F467" s="38" t="n"/>
      <c r="G467" s="38" t="n"/>
      <c r="H467" s="39" t="n"/>
      <c r="I467" s="40" t="str">
        <f>IF(OR($J467="",$K467=""),"",ROUND(MAX(0,($K467-$J467)-IF($H467="",0,$H467))/60,2))</f>
        <v/>
      </c>
      <c r="J467" s="41" t="str">
        <f>IF($F467="","",IF($F467&lt;1,ROUND($F467*1440,0),INT($F467/100)*60+MOD($F467,100)))</f>
        <v/>
      </c>
      <c r="K467" s="41" t="str">
        <f>IF($G467="","",IF($G467&lt;1,ROUND($G467*1440,0),INT($G467/100)*60+MOD($G467,100)))</f>
        <v/>
      </c>
    </row>
    <row r="468" ht="15" customHeight="1" s="26">
      <c r="A468" s="34" t="n"/>
      <c r="B468" s="32" t="n"/>
      <c r="C468" s="33" t="n"/>
      <c r="D468" s="37" t="str">
        <f>IF($C468="","",IFERROR(INDEX(프로젝트목록!$B$3:$B$62,MATCH($C468,프로젝트목록!$A$3:$A$62,0)),"미등록코드"))</f>
        <v/>
      </c>
      <c r="E468" s="32" t="n"/>
      <c r="F468" s="38" t="n"/>
      <c r="G468" s="38" t="n"/>
      <c r="H468" s="39" t="n"/>
      <c r="I468" s="40" t="str">
        <f>IF(OR($J468="",$K468=""),"",ROUND(MAX(0,($K468-$J468)-IF($H468="",0,$H468))/60,2))</f>
        <v/>
      </c>
      <c r="J468" s="41" t="str">
        <f>IF($F468="","",IF($F468&lt;1,ROUND($F468*1440,0),INT($F468/100)*60+MOD($F468,100)))</f>
        <v/>
      </c>
      <c r="K468" s="41" t="str">
        <f>IF($G468="","",IF($G468&lt;1,ROUND($G468*1440,0),INT($G468/100)*60+MOD($G468,100)))</f>
        <v/>
      </c>
    </row>
    <row r="469" ht="15" customHeight="1" s="26">
      <c r="A469" s="34" t="n"/>
      <c r="B469" s="32" t="n"/>
      <c r="C469" s="33" t="n"/>
      <c r="D469" s="37" t="str">
        <f>IF($C469="","",IFERROR(INDEX(프로젝트목록!$B$3:$B$62,MATCH($C469,프로젝트목록!$A$3:$A$62,0)),"미등록코드"))</f>
        <v/>
      </c>
      <c r="E469" s="32" t="n"/>
      <c r="F469" s="38" t="n"/>
      <c r="G469" s="38" t="n"/>
      <c r="H469" s="39" t="n"/>
      <c r="I469" s="40" t="str">
        <f>IF(OR($J469="",$K469=""),"",ROUND(MAX(0,($K469-$J469)-IF($H469="",0,$H469))/60,2))</f>
        <v/>
      </c>
      <c r="J469" s="41" t="str">
        <f>IF($F469="","",IF($F469&lt;1,ROUND($F469*1440,0),INT($F469/100)*60+MOD($F469,100)))</f>
        <v/>
      </c>
      <c r="K469" s="41" t="str">
        <f>IF($G469="","",IF($G469&lt;1,ROUND($G469*1440,0),INT($G469/100)*60+MOD($G469,100)))</f>
        <v/>
      </c>
    </row>
    <row r="470" ht="15" customHeight="1" s="26">
      <c r="A470" s="34" t="n"/>
      <c r="B470" s="32" t="n"/>
      <c r="C470" s="33" t="n"/>
      <c r="D470" s="37" t="str">
        <f>IF($C470="","",IFERROR(INDEX(프로젝트목록!$B$3:$B$62,MATCH($C470,프로젝트목록!$A$3:$A$62,0)),"미등록코드"))</f>
        <v/>
      </c>
      <c r="E470" s="32" t="n"/>
      <c r="F470" s="38" t="n"/>
      <c r="G470" s="38" t="n"/>
      <c r="H470" s="39" t="n"/>
      <c r="I470" s="40" t="str">
        <f>IF(OR($J470="",$K470=""),"",ROUND(MAX(0,($K470-$J470)-IF($H470="",0,$H470))/60,2))</f>
        <v/>
      </c>
      <c r="J470" s="41" t="str">
        <f>IF($F470="","",IF($F470&lt;1,ROUND($F470*1440,0),INT($F470/100)*60+MOD($F470,100)))</f>
        <v/>
      </c>
      <c r="K470" s="41" t="str">
        <f>IF($G470="","",IF($G470&lt;1,ROUND($G470*1440,0),INT($G470/100)*60+MOD($G470,100)))</f>
        <v/>
      </c>
    </row>
    <row r="471" ht="15" customHeight="1" s="26">
      <c r="A471" s="34" t="n"/>
      <c r="B471" s="32" t="n"/>
      <c r="C471" s="33" t="n"/>
      <c r="D471" s="37" t="str">
        <f>IF($C471="","",IFERROR(INDEX(프로젝트목록!$B$3:$B$62,MATCH($C471,프로젝트목록!$A$3:$A$62,0)),"미등록코드"))</f>
        <v/>
      </c>
      <c r="E471" s="32" t="n"/>
      <c r="F471" s="38" t="n"/>
      <c r="G471" s="38" t="n"/>
      <c r="H471" s="39" t="n"/>
      <c r="I471" s="40" t="str">
        <f>IF(OR($J471="",$K471=""),"",ROUND(MAX(0,($K471-$J471)-IF($H471="",0,$H471))/60,2))</f>
        <v/>
      </c>
      <c r="J471" s="41" t="str">
        <f>IF($F471="","",IF($F471&lt;1,ROUND($F471*1440,0),INT($F471/100)*60+MOD($F471,100)))</f>
        <v/>
      </c>
      <c r="K471" s="41" t="str">
        <f>IF($G471="","",IF($G471&lt;1,ROUND($G471*1440,0),INT($G471/100)*60+MOD($G471,100)))</f>
        <v/>
      </c>
    </row>
    <row r="472" ht="15" customHeight="1" s="26">
      <c r="A472" s="34" t="n"/>
      <c r="B472" s="32" t="n"/>
      <c r="C472" s="33" t="n"/>
      <c r="D472" s="37" t="str">
        <f>IF($C472="","",IFERROR(INDEX(프로젝트목록!$B$3:$B$62,MATCH($C472,프로젝트목록!$A$3:$A$62,0)),"미등록코드"))</f>
        <v/>
      </c>
      <c r="E472" s="32" t="n"/>
      <c r="F472" s="38" t="n"/>
      <c r="G472" s="38" t="n"/>
      <c r="H472" s="39" t="n"/>
      <c r="I472" s="40" t="str">
        <f>IF(OR($J472="",$K472=""),"",ROUND(MAX(0,($K472-$J472)-IF($H472="",0,$H472))/60,2))</f>
        <v/>
      </c>
      <c r="J472" s="41" t="str">
        <f>IF($F472="","",IF($F472&lt;1,ROUND($F472*1440,0),INT($F472/100)*60+MOD($F472,100)))</f>
        <v/>
      </c>
      <c r="K472" s="41" t="str">
        <f>IF($G472="","",IF($G472&lt;1,ROUND($G472*1440,0),INT($G472/100)*60+MOD($G472,100)))</f>
        <v/>
      </c>
    </row>
    <row r="473" ht="15" customHeight="1" s="26">
      <c r="A473" s="34" t="n"/>
      <c r="B473" s="32" t="n"/>
      <c r="C473" s="33" t="n"/>
      <c r="D473" s="37" t="str">
        <f>IF($C473="","",IFERROR(INDEX(프로젝트목록!$B$3:$B$62,MATCH($C473,프로젝트목록!$A$3:$A$62,0)),"미등록코드"))</f>
        <v/>
      </c>
      <c r="E473" s="32" t="n"/>
      <c r="F473" s="38" t="n"/>
      <c r="G473" s="38" t="n"/>
      <c r="H473" s="39" t="n"/>
      <c r="I473" s="40" t="str">
        <f>IF(OR($J473="",$K473=""),"",ROUND(MAX(0,($K473-$J473)-IF($H473="",0,$H473))/60,2))</f>
        <v/>
      </c>
      <c r="J473" s="41" t="str">
        <f>IF($F473="","",IF($F473&lt;1,ROUND($F473*1440,0),INT($F473/100)*60+MOD($F473,100)))</f>
        <v/>
      </c>
      <c r="K473" s="41" t="str">
        <f>IF($G473="","",IF($G473&lt;1,ROUND($G473*1440,0),INT($G473/100)*60+MOD($G473,100)))</f>
        <v/>
      </c>
    </row>
    <row r="474" ht="15" customHeight="1" s="26">
      <c r="A474" s="34" t="n"/>
      <c r="B474" s="32" t="n"/>
      <c r="C474" s="33" t="n"/>
      <c r="D474" s="37" t="str">
        <f>IF($C474="","",IFERROR(INDEX(프로젝트목록!$B$3:$B$62,MATCH($C474,프로젝트목록!$A$3:$A$62,0)),"미등록코드"))</f>
        <v/>
      </c>
      <c r="E474" s="32" t="n"/>
      <c r="F474" s="38" t="n"/>
      <c r="G474" s="38" t="n"/>
      <c r="H474" s="39" t="n"/>
      <c r="I474" s="40" t="str">
        <f>IF(OR($J474="",$K474=""),"",ROUND(MAX(0,($K474-$J474)-IF($H474="",0,$H474))/60,2))</f>
        <v/>
      </c>
      <c r="J474" s="41" t="str">
        <f>IF($F474="","",IF($F474&lt;1,ROUND($F474*1440,0),INT($F474/100)*60+MOD($F474,100)))</f>
        <v/>
      </c>
      <c r="K474" s="41" t="str">
        <f>IF($G474="","",IF($G474&lt;1,ROUND($G474*1440,0),INT($G474/100)*60+MOD($G474,100)))</f>
        <v/>
      </c>
    </row>
    <row r="475" ht="15" customHeight="1" s="26">
      <c r="A475" s="34" t="n"/>
      <c r="B475" s="32" t="n"/>
      <c r="C475" s="33" t="n"/>
      <c r="D475" s="37" t="str">
        <f>IF($C475="","",IFERROR(INDEX(프로젝트목록!$B$3:$B$62,MATCH($C475,프로젝트목록!$A$3:$A$62,0)),"미등록코드"))</f>
        <v/>
      </c>
      <c r="E475" s="32" t="n"/>
      <c r="F475" s="38" t="n"/>
      <c r="G475" s="38" t="n"/>
      <c r="H475" s="39" t="n"/>
      <c r="I475" s="40" t="str">
        <f>IF(OR($J475="",$K475=""),"",ROUND(MAX(0,($K475-$J475)-IF($H475="",0,$H475))/60,2))</f>
        <v/>
      </c>
      <c r="J475" s="41" t="str">
        <f>IF($F475="","",IF($F475&lt;1,ROUND($F475*1440,0),INT($F475/100)*60+MOD($F475,100)))</f>
        <v/>
      </c>
      <c r="K475" s="41" t="str">
        <f>IF($G475="","",IF($G475&lt;1,ROUND($G475*1440,0),INT($G475/100)*60+MOD($G475,100)))</f>
        <v/>
      </c>
    </row>
    <row r="476" ht="15" customHeight="1" s="26">
      <c r="A476" s="34" t="n"/>
      <c r="B476" s="32" t="n"/>
      <c r="C476" s="33" t="n"/>
      <c r="D476" s="37" t="str">
        <f>IF($C476="","",IFERROR(INDEX(프로젝트목록!$B$3:$B$62,MATCH($C476,프로젝트목록!$A$3:$A$62,0)),"미등록코드"))</f>
        <v/>
      </c>
      <c r="E476" s="32" t="n"/>
      <c r="F476" s="38" t="n"/>
      <c r="G476" s="38" t="n"/>
      <c r="H476" s="39" t="n"/>
      <c r="I476" s="40" t="str">
        <f>IF(OR($J476="",$K476=""),"",ROUND(MAX(0,($K476-$J476)-IF($H476="",0,$H476))/60,2))</f>
        <v/>
      </c>
      <c r="J476" s="41" t="str">
        <f>IF($F476="","",IF($F476&lt;1,ROUND($F476*1440,0),INT($F476/100)*60+MOD($F476,100)))</f>
        <v/>
      </c>
      <c r="K476" s="41" t="str">
        <f>IF($G476="","",IF($G476&lt;1,ROUND($G476*1440,0),INT($G476/100)*60+MOD($G476,100)))</f>
        <v/>
      </c>
    </row>
    <row r="477" ht="15" customHeight="1" s="26">
      <c r="A477" s="34" t="n"/>
      <c r="B477" s="32" t="n"/>
      <c r="C477" s="33" t="n"/>
      <c r="D477" s="37" t="str">
        <f>IF($C477="","",IFERROR(INDEX(프로젝트목록!$B$3:$B$62,MATCH($C477,프로젝트목록!$A$3:$A$62,0)),"미등록코드"))</f>
        <v/>
      </c>
      <c r="E477" s="32" t="n"/>
      <c r="F477" s="38" t="n"/>
      <c r="G477" s="38" t="n"/>
      <c r="H477" s="39" t="n"/>
      <c r="I477" s="40" t="str">
        <f>IF(OR($J477="",$K477=""),"",ROUND(MAX(0,($K477-$J477)-IF($H477="",0,$H477))/60,2))</f>
        <v/>
      </c>
      <c r="J477" s="41" t="str">
        <f>IF($F477="","",IF($F477&lt;1,ROUND($F477*1440,0),INT($F477/100)*60+MOD($F477,100)))</f>
        <v/>
      </c>
      <c r="K477" s="41" t="str">
        <f>IF($G477="","",IF($G477&lt;1,ROUND($G477*1440,0),INT($G477/100)*60+MOD($G477,100)))</f>
        <v/>
      </c>
    </row>
    <row r="478" ht="15" customHeight="1" s="26">
      <c r="A478" s="34" t="n"/>
      <c r="B478" s="32" t="n"/>
      <c r="C478" s="33" t="n"/>
      <c r="D478" s="37" t="str">
        <f>IF($C478="","",IFERROR(INDEX(프로젝트목록!$B$3:$B$62,MATCH($C478,프로젝트목록!$A$3:$A$62,0)),"미등록코드"))</f>
        <v/>
      </c>
      <c r="E478" s="32" t="n"/>
      <c r="F478" s="38" t="n"/>
      <c r="G478" s="38" t="n"/>
      <c r="H478" s="39" t="n"/>
      <c r="I478" s="40" t="str">
        <f>IF(OR($J478="",$K478=""),"",ROUND(MAX(0,($K478-$J478)-IF($H478="",0,$H478))/60,2))</f>
        <v/>
      </c>
      <c r="J478" s="41" t="str">
        <f>IF($F478="","",IF($F478&lt;1,ROUND($F478*1440,0),INT($F478/100)*60+MOD($F478,100)))</f>
        <v/>
      </c>
      <c r="K478" s="41" t="str">
        <f>IF($G478="","",IF($G478&lt;1,ROUND($G478*1440,0),INT($G478/100)*60+MOD($G478,100)))</f>
        <v/>
      </c>
    </row>
    <row r="479" ht="15" customHeight="1" s="26">
      <c r="A479" s="34" t="n"/>
      <c r="B479" s="32" t="n"/>
      <c r="C479" s="33" t="n"/>
      <c r="D479" s="37" t="str">
        <f>IF($C479="","",IFERROR(INDEX(프로젝트목록!$B$3:$B$62,MATCH($C479,프로젝트목록!$A$3:$A$62,0)),"미등록코드"))</f>
        <v/>
      </c>
      <c r="E479" s="32" t="n"/>
      <c r="F479" s="38" t="n"/>
      <c r="G479" s="38" t="n"/>
      <c r="H479" s="39" t="n"/>
      <c r="I479" s="40" t="str">
        <f>IF(OR($J479="",$K479=""),"",ROUND(MAX(0,($K479-$J479)-IF($H479="",0,$H479))/60,2))</f>
        <v/>
      </c>
      <c r="J479" s="41" t="str">
        <f>IF($F479="","",IF($F479&lt;1,ROUND($F479*1440,0),INT($F479/100)*60+MOD($F479,100)))</f>
        <v/>
      </c>
      <c r="K479" s="41" t="str">
        <f>IF($G479="","",IF($G479&lt;1,ROUND($G479*1440,0),INT($G479/100)*60+MOD($G479,100)))</f>
        <v/>
      </c>
    </row>
    <row r="480" ht="15" customHeight="1" s="26">
      <c r="A480" s="34" t="n"/>
      <c r="B480" s="32" t="n"/>
      <c r="C480" s="33" t="n"/>
      <c r="D480" s="37" t="str">
        <f>IF($C480="","",IFERROR(INDEX(프로젝트목록!$B$3:$B$62,MATCH($C480,프로젝트목록!$A$3:$A$62,0)),"미등록코드"))</f>
        <v/>
      </c>
      <c r="E480" s="32" t="n"/>
      <c r="F480" s="38" t="n"/>
      <c r="G480" s="38" t="n"/>
      <c r="H480" s="39" t="n"/>
      <c r="I480" s="40" t="str">
        <f>IF(OR($J480="",$K480=""),"",ROUND(MAX(0,($K480-$J480)-IF($H480="",0,$H480))/60,2))</f>
        <v/>
      </c>
      <c r="J480" s="41" t="str">
        <f>IF($F480="","",IF($F480&lt;1,ROUND($F480*1440,0),INT($F480/100)*60+MOD($F480,100)))</f>
        <v/>
      </c>
      <c r="K480" s="41" t="str">
        <f>IF($G480="","",IF($G480&lt;1,ROUND($G480*1440,0),INT($G480/100)*60+MOD($G480,100)))</f>
        <v/>
      </c>
    </row>
    <row r="481" ht="15" customHeight="1" s="26">
      <c r="A481" s="34" t="n"/>
      <c r="B481" s="32" t="n"/>
      <c r="C481" s="33" t="n"/>
      <c r="D481" s="37" t="str">
        <f>IF($C481="","",IFERROR(INDEX(프로젝트목록!$B$3:$B$62,MATCH($C481,프로젝트목록!$A$3:$A$62,0)),"미등록코드"))</f>
        <v/>
      </c>
      <c r="E481" s="32" t="n"/>
      <c r="F481" s="38" t="n"/>
      <c r="G481" s="38" t="n"/>
      <c r="H481" s="39" t="n"/>
      <c r="I481" s="40" t="str">
        <f>IF(OR($J481="",$K481=""),"",ROUND(MAX(0,($K481-$J481)-IF($H481="",0,$H481))/60,2))</f>
        <v/>
      </c>
      <c r="J481" s="41" t="str">
        <f>IF($F481="","",IF($F481&lt;1,ROUND($F481*1440,0),INT($F481/100)*60+MOD($F481,100)))</f>
        <v/>
      </c>
      <c r="K481" s="41" t="str">
        <f>IF($G481="","",IF($G481&lt;1,ROUND($G481*1440,0),INT($G481/100)*60+MOD($G481,100)))</f>
        <v/>
      </c>
    </row>
    <row r="482" ht="15" customHeight="1" s="26">
      <c r="A482" s="34" t="n"/>
      <c r="B482" s="32" t="n"/>
      <c r="C482" s="33" t="n"/>
      <c r="D482" s="37" t="str">
        <f>IF($C482="","",IFERROR(INDEX(프로젝트목록!$B$3:$B$62,MATCH($C482,프로젝트목록!$A$3:$A$62,0)),"미등록코드"))</f>
        <v/>
      </c>
      <c r="E482" s="32" t="n"/>
      <c r="F482" s="38" t="n"/>
      <c r="G482" s="38" t="n"/>
      <c r="H482" s="39" t="n"/>
      <c r="I482" s="40" t="str">
        <f>IF(OR($J482="",$K482=""),"",ROUND(MAX(0,($K482-$J482)-IF($H482="",0,$H482))/60,2))</f>
        <v/>
      </c>
      <c r="J482" s="41" t="str">
        <f>IF($F482="","",IF($F482&lt;1,ROUND($F482*1440,0),INT($F482/100)*60+MOD($F482,100)))</f>
        <v/>
      </c>
      <c r="K482" s="41" t="str">
        <f>IF($G482="","",IF($G482&lt;1,ROUND($G482*1440,0),INT($G482/100)*60+MOD($G482,100)))</f>
        <v/>
      </c>
    </row>
    <row r="483" ht="15" customHeight="1" s="26">
      <c r="A483" s="34" t="n"/>
      <c r="B483" s="32" t="n"/>
      <c r="C483" s="33" t="n"/>
      <c r="D483" s="37" t="str">
        <f>IF($C483="","",IFERROR(INDEX(프로젝트목록!$B$3:$B$62,MATCH($C483,프로젝트목록!$A$3:$A$62,0)),"미등록코드"))</f>
        <v/>
      </c>
      <c r="E483" s="32" t="n"/>
      <c r="F483" s="38" t="n"/>
      <c r="G483" s="38" t="n"/>
      <c r="H483" s="39" t="n"/>
      <c r="I483" s="40" t="str">
        <f>IF(OR($J483="",$K483=""),"",ROUND(MAX(0,($K483-$J483)-IF($H483="",0,$H483))/60,2))</f>
        <v/>
      </c>
      <c r="J483" s="41" t="str">
        <f>IF($F483="","",IF($F483&lt;1,ROUND($F483*1440,0),INT($F483/100)*60+MOD($F483,100)))</f>
        <v/>
      </c>
      <c r="K483" s="41" t="str">
        <f>IF($G483="","",IF($G483&lt;1,ROUND($G483*1440,0),INT($G483/100)*60+MOD($G483,100)))</f>
        <v/>
      </c>
    </row>
    <row r="484" ht="15" customHeight="1" s="26">
      <c r="A484" s="34" t="n"/>
      <c r="B484" s="32" t="n"/>
      <c r="C484" s="33" t="n"/>
      <c r="D484" s="37" t="str">
        <f>IF($C484="","",IFERROR(INDEX(프로젝트목록!$B$3:$B$62,MATCH($C484,프로젝트목록!$A$3:$A$62,0)),"미등록코드"))</f>
        <v/>
      </c>
      <c r="E484" s="32" t="n"/>
      <c r="F484" s="38" t="n"/>
      <c r="G484" s="38" t="n"/>
      <c r="H484" s="39" t="n"/>
      <c r="I484" s="40" t="str">
        <f>IF(OR($J484="",$K484=""),"",ROUND(MAX(0,($K484-$J484)-IF($H484="",0,$H484))/60,2))</f>
        <v/>
      </c>
      <c r="J484" s="41" t="str">
        <f>IF($F484="","",IF($F484&lt;1,ROUND($F484*1440,0),INT($F484/100)*60+MOD($F484,100)))</f>
        <v/>
      </c>
      <c r="K484" s="41" t="str">
        <f>IF($G484="","",IF($G484&lt;1,ROUND($G484*1440,0),INT($G484/100)*60+MOD($G484,100)))</f>
        <v/>
      </c>
    </row>
    <row r="485" ht="15" customHeight="1" s="26">
      <c r="A485" s="34" t="n"/>
      <c r="B485" s="32" t="n"/>
      <c r="C485" s="33" t="n"/>
      <c r="D485" s="37" t="str">
        <f>IF($C485="","",IFERROR(INDEX(프로젝트목록!$B$3:$B$62,MATCH($C485,프로젝트목록!$A$3:$A$62,0)),"미등록코드"))</f>
        <v/>
      </c>
      <c r="E485" s="32" t="n"/>
      <c r="F485" s="38" t="n"/>
      <c r="G485" s="38" t="n"/>
      <c r="H485" s="39" t="n"/>
      <c r="I485" s="40" t="str">
        <f>IF(OR($J485="",$K485=""),"",ROUND(MAX(0,($K485-$J485)-IF($H485="",0,$H485))/60,2))</f>
        <v/>
      </c>
      <c r="J485" s="41" t="str">
        <f>IF($F485="","",IF($F485&lt;1,ROUND($F485*1440,0),INT($F485/100)*60+MOD($F485,100)))</f>
        <v/>
      </c>
      <c r="K485" s="41" t="str">
        <f>IF($G485="","",IF($G485&lt;1,ROUND($G485*1440,0),INT($G485/100)*60+MOD($G485,100)))</f>
        <v/>
      </c>
    </row>
    <row r="486" ht="15" customHeight="1" s="26">
      <c r="A486" s="34" t="n"/>
      <c r="B486" s="32" t="n"/>
      <c r="C486" s="33" t="n"/>
      <c r="D486" s="37" t="str">
        <f>IF($C486="","",IFERROR(INDEX(프로젝트목록!$B$3:$B$62,MATCH($C486,프로젝트목록!$A$3:$A$62,0)),"미등록코드"))</f>
        <v/>
      </c>
      <c r="E486" s="32" t="n"/>
      <c r="F486" s="38" t="n"/>
      <c r="G486" s="38" t="n"/>
      <c r="H486" s="39" t="n"/>
      <c r="I486" s="40" t="str">
        <f>IF(OR($J486="",$K486=""),"",ROUND(MAX(0,($K486-$J486)-IF($H486="",0,$H486))/60,2))</f>
        <v/>
      </c>
      <c r="J486" s="41" t="str">
        <f>IF($F486="","",IF($F486&lt;1,ROUND($F486*1440,0),INT($F486/100)*60+MOD($F486,100)))</f>
        <v/>
      </c>
      <c r="K486" s="41" t="str">
        <f>IF($G486="","",IF($G486&lt;1,ROUND($G486*1440,0),INT($G486/100)*60+MOD($G486,100)))</f>
        <v/>
      </c>
    </row>
    <row r="487" ht="15" customHeight="1" s="26">
      <c r="A487" s="34" t="n"/>
      <c r="B487" s="32" t="n"/>
      <c r="C487" s="33" t="n"/>
      <c r="D487" s="37" t="str">
        <f>IF($C487="","",IFERROR(INDEX(프로젝트목록!$B$3:$B$62,MATCH($C487,프로젝트목록!$A$3:$A$62,0)),"미등록코드"))</f>
        <v/>
      </c>
      <c r="E487" s="32" t="n"/>
      <c r="F487" s="38" t="n"/>
      <c r="G487" s="38" t="n"/>
      <c r="H487" s="39" t="n"/>
      <c r="I487" s="40" t="str">
        <f>IF(OR($J487="",$K487=""),"",ROUND(MAX(0,($K487-$J487)-IF($H487="",0,$H487))/60,2))</f>
        <v/>
      </c>
      <c r="J487" s="41" t="str">
        <f>IF($F487="","",IF($F487&lt;1,ROUND($F487*1440,0),INT($F487/100)*60+MOD($F487,100)))</f>
        <v/>
      </c>
      <c r="K487" s="41" t="str">
        <f>IF($G487="","",IF($G487&lt;1,ROUND($G487*1440,0),INT($G487/100)*60+MOD($G487,100)))</f>
        <v/>
      </c>
    </row>
    <row r="488" ht="15" customHeight="1" s="26">
      <c r="A488" s="34" t="n"/>
      <c r="B488" s="32" t="n"/>
      <c r="C488" s="33" t="n"/>
      <c r="D488" s="37" t="str">
        <f>IF($C488="","",IFERROR(INDEX(프로젝트목록!$B$3:$B$62,MATCH($C488,프로젝트목록!$A$3:$A$62,0)),"미등록코드"))</f>
        <v/>
      </c>
      <c r="E488" s="32" t="n"/>
      <c r="F488" s="38" t="n"/>
      <c r="G488" s="38" t="n"/>
      <c r="H488" s="39" t="n"/>
      <c r="I488" s="40" t="str">
        <f>IF(OR($J488="",$K488=""),"",ROUND(MAX(0,($K488-$J488)-IF($H488="",0,$H488))/60,2))</f>
        <v/>
      </c>
      <c r="J488" s="41" t="str">
        <f>IF($F488="","",IF($F488&lt;1,ROUND($F488*1440,0),INT($F488/100)*60+MOD($F488,100)))</f>
        <v/>
      </c>
      <c r="K488" s="41" t="str">
        <f>IF($G488="","",IF($G488&lt;1,ROUND($G488*1440,0),INT($G488/100)*60+MOD($G488,100)))</f>
        <v/>
      </c>
    </row>
    <row r="489" ht="15" customHeight="1" s="26">
      <c r="A489" s="34" t="n"/>
      <c r="B489" s="32" t="n"/>
      <c r="C489" s="33" t="n"/>
      <c r="D489" s="37" t="str">
        <f>IF($C489="","",IFERROR(INDEX(프로젝트목록!$B$3:$B$62,MATCH($C489,프로젝트목록!$A$3:$A$62,0)),"미등록코드"))</f>
        <v/>
      </c>
      <c r="E489" s="32" t="n"/>
      <c r="F489" s="38" t="n"/>
      <c r="G489" s="38" t="n"/>
      <c r="H489" s="39" t="n"/>
      <c r="I489" s="40" t="str">
        <f>IF(OR($J489="",$K489=""),"",ROUND(MAX(0,($K489-$J489)-IF($H489="",0,$H489))/60,2))</f>
        <v/>
      </c>
      <c r="J489" s="41" t="str">
        <f>IF($F489="","",IF($F489&lt;1,ROUND($F489*1440,0),INT($F489/100)*60+MOD($F489,100)))</f>
        <v/>
      </c>
      <c r="K489" s="41" t="str">
        <f>IF($G489="","",IF($G489&lt;1,ROUND($G489*1440,0),INT($G489/100)*60+MOD($G489,100)))</f>
        <v/>
      </c>
    </row>
    <row r="490" ht="15" customHeight="1" s="26">
      <c r="A490" s="34" t="n"/>
      <c r="B490" s="32" t="n"/>
      <c r="C490" s="33" t="n"/>
      <c r="D490" s="37" t="str">
        <f>IF($C490="","",IFERROR(INDEX(프로젝트목록!$B$3:$B$62,MATCH($C490,프로젝트목록!$A$3:$A$62,0)),"미등록코드"))</f>
        <v/>
      </c>
      <c r="E490" s="32" t="n"/>
      <c r="F490" s="38" t="n"/>
      <c r="G490" s="38" t="n"/>
      <c r="H490" s="39" t="n"/>
      <c r="I490" s="40" t="str">
        <f>IF(OR($J490="",$K490=""),"",ROUND(MAX(0,($K490-$J490)-IF($H490="",0,$H490))/60,2))</f>
        <v/>
      </c>
      <c r="J490" s="41" t="str">
        <f>IF($F490="","",IF($F490&lt;1,ROUND($F490*1440,0),INT($F490/100)*60+MOD($F490,100)))</f>
        <v/>
      </c>
      <c r="K490" s="41" t="str">
        <f>IF($G490="","",IF($G490&lt;1,ROUND($G490*1440,0),INT($G490/100)*60+MOD($G490,100)))</f>
        <v/>
      </c>
    </row>
    <row r="491" ht="15" customHeight="1" s="26">
      <c r="A491" s="34" t="n"/>
      <c r="B491" s="32" t="n"/>
      <c r="C491" s="33" t="n"/>
      <c r="D491" s="37" t="str">
        <f>IF($C491="","",IFERROR(INDEX(프로젝트목록!$B$3:$B$62,MATCH($C491,프로젝트목록!$A$3:$A$62,0)),"미등록코드"))</f>
        <v/>
      </c>
      <c r="E491" s="32" t="n"/>
      <c r="F491" s="38" t="n"/>
      <c r="G491" s="38" t="n"/>
      <c r="H491" s="39" t="n"/>
      <c r="I491" s="40" t="str">
        <f>IF(OR($J491="",$K491=""),"",ROUND(MAX(0,($K491-$J491)-IF($H491="",0,$H491))/60,2))</f>
        <v/>
      </c>
      <c r="J491" s="41" t="str">
        <f>IF($F491="","",IF($F491&lt;1,ROUND($F491*1440,0),INT($F491/100)*60+MOD($F491,100)))</f>
        <v/>
      </c>
      <c r="K491" s="41" t="str">
        <f>IF($G491="","",IF($G491&lt;1,ROUND($G491*1440,0),INT($G491/100)*60+MOD($G491,100)))</f>
        <v/>
      </c>
    </row>
    <row r="492" ht="15" customHeight="1" s="26">
      <c r="A492" s="34" t="n"/>
      <c r="B492" s="32" t="n"/>
      <c r="C492" s="33" t="n"/>
      <c r="D492" s="37" t="str">
        <f>IF($C492="","",IFERROR(INDEX(프로젝트목록!$B$3:$B$62,MATCH($C492,프로젝트목록!$A$3:$A$62,0)),"미등록코드"))</f>
        <v/>
      </c>
      <c r="E492" s="32" t="n"/>
      <c r="F492" s="38" t="n"/>
      <c r="G492" s="38" t="n"/>
      <c r="H492" s="39" t="n"/>
      <c r="I492" s="40" t="str">
        <f>IF(OR($J492="",$K492=""),"",ROUND(MAX(0,($K492-$J492)-IF($H492="",0,$H492))/60,2))</f>
        <v/>
      </c>
      <c r="J492" s="41" t="str">
        <f>IF($F492="","",IF($F492&lt;1,ROUND($F492*1440,0),INT($F492/100)*60+MOD($F492,100)))</f>
        <v/>
      </c>
      <c r="K492" s="41" t="str">
        <f>IF($G492="","",IF($G492&lt;1,ROUND($G492*1440,0),INT($G492/100)*60+MOD($G492,100)))</f>
        <v/>
      </c>
    </row>
    <row r="493" ht="15" customHeight="1" s="26">
      <c r="A493" s="34" t="n"/>
      <c r="B493" s="32" t="n"/>
      <c r="C493" s="33" t="n"/>
      <c r="D493" s="37" t="str">
        <f>IF($C493="","",IFERROR(INDEX(프로젝트목록!$B$3:$B$62,MATCH($C493,프로젝트목록!$A$3:$A$62,0)),"미등록코드"))</f>
        <v/>
      </c>
      <c r="E493" s="32" t="n"/>
      <c r="F493" s="38" t="n"/>
      <c r="G493" s="38" t="n"/>
      <c r="H493" s="39" t="n"/>
      <c r="I493" s="40" t="str">
        <f>IF(OR($J493="",$K493=""),"",ROUND(MAX(0,($K493-$J493)-IF($H493="",0,$H493))/60,2))</f>
        <v/>
      </c>
      <c r="J493" s="41" t="str">
        <f>IF($F493="","",IF($F493&lt;1,ROUND($F493*1440,0),INT($F493/100)*60+MOD($F493,100)))</f>
        <v/>
      </c>
      <c r="K493" s="41" t="str">
        <f>IF($G493="","",IF($G493&lt;1,ROUND($G493*1440,0),INT($G493/100)*60+MOD($G493,100)))</f>
        <v/>
      </c>
    </row>
    <row r="494" ht="15" customHeight="1" s="26">
      <c r="A494" s="34" t="n"/>
      <c r="B494" s="32" t="n"/>
      <c r="C494" s="33" t="n"/>
      <c r="D494" s="37" t="str">
        <f>IF($C494="","",IFERROR(INDEX(프로젝트목록!$B$3:$B$62,MATCH($C494,프로젝트목록!$A$3:$A$62,0)),"미등록코드"))</f>
        <v/>
      </c>
      <c r="E494" s="32" t="n"/>
      <c r="F494" s="38" t="n"/>
      <c r="G494" s="38" t="n"/>
      <c r="H494" s="39" t="n"/>
      <c r="I494" s="40" t="str">
        <f>IF(OR($J494="",$K494=""),"",ROUND(MAX(0,($K494-$J494)-IF($H494="",0,$H494))/60,2))</f>
        <v/>
      </c>
      <c r="J494" s="41" t="str">
        <f>IF($F494="","",IF($F494&lt;1,ROUND($F494*1440,0),INT($F494/100)*60+MOD($F494,100)))</f>
        <v/>
      </c>
      <c r="K494" s="41" t="str">
        <f>IF($G494="","",IF($G494&lt;1,ROUND($G494*1440,0),INT($G494/100)*60+MOD($G494,100)))</f>
        <v/>
      </c>
    </row>
    <row r="495" ht="15" customHeight="1" s="26">
      <c r="A495" s="34" t="n"/>
      <c r="B495" s="32" t="n"/>
      <c r="C495" s="33" t="n"/>
      <c r="D495" s="37" t="str">
        <f>IF($C495="","",IFERROR(INDEX(프로젝트목록!$B$3:$B$62,MATCH($C495,프로젝트목록!$A$3:$A$62,0)),"미등록코드"))</f>
        <v/>
      </c>
      <c r="E495" s="32" t="n"/>
      <c r="F495" s="38" t="n"/>
      <c r="G495" s="38" t="n"/>
      <c r="H495" s="39" t="n"/>
      <c r="I495" s="40" t="str">
        <f>IF(OR($J495="",$K495=""),"",ROUND(MAX(0,($K495-$J495)-IF($H495="",0,$H495))/60,2))</f>
        <v/>
      </c>
      <c r="J495" s="41" t="str">
        <f>IF($F495="","",IF($F495&lt;1,ROUND($F495*1440,0),INT($F495/100)*60+MOD($F495,100)))</f>
        <v/>
      </c>
      <c r="K495" s="41" t="str">
        <f>IF($G495="","",IF($G495&lt;1,ROUND($G495*1440,0),INT($G495/100)*60+MOD($G495,100)))</f>
        <v/>
      </c>
    </row>
    <row r="496" ht="15" customHeight="1" s="26">
      <c r="A496" s="34" t="n"/>
      <c r="B496" s="32" t="n"/>
      <c r="C496" s="33" t="n"/>
      <c r="D496" s="37" t="str">
        <f>IF($C496="","",IFERROR(INDEX(프로젝트목록!$B$3:$B$62,MATCH($C496,프로젝트목록!$A$3:$A$62,0)),"미등록코드"))</f>
        <v/>
      </c>
      <c r="E496" s="32" t="n"/>
      <c r="F496" s="38" t="n"/>
      <c r="G496" s="38" t="n"/>
      <c r="H496" s="39" t="n"/>
      <c r="I496" s="40" t="str">
        <f>IF(OR($J496="",$K496=""),"",ROUND(MAX(0,($K496-$J496)-IF($H496="",0,$H496))/60,2))</f>
        <v/>
      </c>
      <c r="J496" s="41" t="str">
        <f>IF($F496="","",IF($F496&lt;1,ROUND($F496*1440,0),INT($F496/100)*60+MOD($F496,100)))</f>
        <v/>
      </c>
      <c r="K496" s="41" t="str">
        <f>IF($G496="","",IF($G496&lt;1,ROUND($G496*1440,0),INT($G496/100)*60+MOD($G496,100)))</f>
        <v/>
      </c>
    </row>
    <row r="497" ht="15" customHeight="1" s="26">
      <c r="A497" s="34" t="n"/>
      <c r="B497" s="32" t="n"/>
      <c r="C497" s="33" t="n"/>
      <c r="D497" s="37" t="str">
        <f>IF($C497="","",IFERROR(INDEX(프로젝트목록!$B$3:$B$62,MATCH($C497,프로젝트목록!$A$3:$A$62,0)),"미등록코드"))</f>
        <v/>
      </c>
      <c r="E497" s="32" t="n"/>
      <c r="F497" s="38" t="n"/>
      <c r="G497" s="38" t="n"/>
      <c r="H497" s="39" t="n"/>
      <c r="I497" s="40" t="str">
        <f>IF(OR($J497="",$K497=""),"",ROUND(MAX(0,($K497-$J497)-IF($H497="",0,$H497))/60,2))</f>
        <v/>
      </c>
      <c r="J497" s="41" t="str">
        <f>IF($F497="","",IF($F497&lt;1,ROUND($F497*1440,0),INT($F497/100)*60+MOD($F497,100)))</f>
        <v/>
      </c>
      <c r="K497" s="41" t="str">
        <f>IF($G497="","",IF($G497&lt;1,ROUND($G497*1440,0),INT($G497/100)*60+MOD($G497,100)))</f>
        <v/>
      </c>
    </row>
    <row r="498" ht="15" customHeight="1" s="26">
      <c r="A498" s="34" t="n"/>
      <c r="B498" s="32" t="n"/>
      <c r="C498" s="33" t="n"/>
      <c r="D498" s="37" t="str">
        <f>IF($C498="","",IFERROR(INDEX(프로젝트목록!$B$3:$B$62,MATCH($C498,프로젝트목록!$A$3:$A$62,0)),"미등록코드"))</f>
        <v/>
      </c>
      <c r="E498" s="32" t="n"/>
      <c r="F498" s="38" t="n"/>
      <c r="G498" s="38" t="n"/>
      <c r="H498" s="39" t="n"/>
      <c r="I498" s="40" t="str">
        <f>IF(OR($J498="",$K498=""),"",ROUND(MAX(0,($K498-$J498)-IF($H498="",0,$H498))/60,2))</f>
        <v/>
      </c>
      <c r="J498" s="41" t="str">
        <f>IF($F498="","",IF($F498&lt;1,ROUND($F498*1440,0),INT($F498/100)*60+MOD($F498,100)))</f>
        <v/>
      </c>
      <c r="K498" s="41" t="str">
        <f>IF($G498="","",IF($G498&lt;1,ROUND($G498*1440,0),INT($G498/100)*60+MOD($G498,100)))</f>
        <v/>
      </c>
    </row>
    <row r="499" ht="15" customHeight="1" s="26">
      <c r="A499" s="34" t="n"/>
      <c r="B499" s="32" t="n"/>
      <c r="C499" s="33" t="n"/>
      <c r="D499" s="37" t="str">
        <f>IF($C499="","",IFERROR(INDEX(프로젝트목록!$B$3:$B$62,MATCH($C499,프로젝트목록!$A$3:$A$62,0)),"미등록코드"))</f>
        <v/>
      </c>
      <c r="E499" s="32" t="n"/>
      <c r="F499" s="38" t="n"/>
      <c r="G499" s="38" t="n"/>
      <c r="H499" s="39" t="n"/>
      <c r="I499" s="40" t="str">
        <f>IF(OR($J499="",$K499=""),"",ROUND(MAX(0,($K499-$J499)-IF($H499="",0,$H499))/60,2))</f>
        <v/>
      </c>
      <c r="J499" s="41" t="str">
        <f>IF($F499="","",IF($F499&lt;1,ROUND($F499*1440,0),INT($F499/100)*60+MOD($F499,100)))</f>
        <v/>
      </c>
      <c r="K499" s="41" t="str">
        <f>IF($G499="","",IF($G499&lt;1,ROUND($G499*1440,0),INT($G499/100)*60+MOD($G499,100)))</f>
        <v/>
      </c>
    </row>
    <row r="500" ht="15" customHeight="1" s="26">
      <c r="A500" s="34" t="n"/>
      <c r="B500" s="32" t="n"/>
      <c r="C500" s="33" t="n"/>
      <c r="D500" s="37" t="str">
        <f>IF($C500="","",IFERROR(INDEX(프로젝트목록!$B$3:$B$62,MATCH($C500,프로젝트목록!$A$3:$A$62,0)),"미등록코드"))</f>
        <v/>
      </c>
      <c r="E500" s="32" t="n"/>
      <c r="F500" s="38" t="n"/>
      <c r="G500" s="38" t="n"/>
      <c r="H500" s="39" t="n"/>
      <c r="I500" s="40" t="str">
        <f>IF(OR($J500="",$K500=""),"",ROUND(MAX(0,($K500-$J500)-IF($H500="",0,$H500))/60,2))</f>
        <v/>
      </c>
      <c r="J500" s="41" t="str">
        <f>IF($F500="","",IF($F500&lt;1,ROUND($F500*1440,0),INT($F500/100)*60+MOD($F500,100)))</f>
        <v/>
      </c>
      <c r="K500" s="41" t="str">
        <f>IF($G500="","",IF($G500&lt;1,ROUND($G500*1440,0),INT($G500/100)*60+MOD($G500,100)))</f>
        <v/>
      </c>
    </row>
    <row r="501" ht="15" customHeight="1" s="26">
      <c r="A501" s="34" t="n"/>
      <c r="B501" s="32" t="n"/>
      <c r="C501" s="33" t="n"/>
      <c r="D501" s="37" t="str">
        <f>IF($C501="","",IFERROR(INDEX(프로젝트목록!$B$3:$B$62,MATCH($C501,프로젝트목록!$A$3:$A$62,0)),"미등록코드"))</f>
        <v/>
      </c>
      <c r="E501" s="32" t="n"/>
      <c r="F501" s="38" t="n"/>
      <c r="G501" s="38" t="n"/>
      <c r="H501" s="39" t="n"/>
      <c r="I501" s="40" t="str">
        <f>IF(OR($J501="",$K501=""),"",ROUND(MAX(0,($K501-$J501)-IF($H501="",0,$H501))/60,2))</f>
        <v/>
      </c>
      <c r="J501" s="41" t="str">
        <f>IF($F501="","",IF($F501&lt;1,ROUND($F501*1440,0),INT($F501/100)*60+MOD($F501,100)))</f>
        <v/>
      </c>
      <c r="K501" s="41" t="str">
        <f>IF($G501="","",IF($G501&lt;1,ROUND($G501*1440,0),INT($G501/100)*60+MOD($G501,100)))</f>
        <v/>
      </c>
    </row>
    <row r="502" ht="15" customHeight="1" s="26">
      <c r="A502" s="34" t="n"/>
      <c r="B502" s="32" t="n"/>
      <c r="C502" s="33" t="n"/>
      <c r="D502" s="37" t="str">
        <f>IF($C502="","",IFERROR(INDEX(프로젝트목록!$B$3:$B$62,MATCH($C502,프로젝트목록!$A$3:$A$62,0)),"미등록코드"))</f>
        <v/>
      </c>
      <c r="E502" s="32" t="n"/>
      <c r="F502" s="38" t="n"/>
      <c r="G502" s="38" t="n"/>
      <c r="H502" s="39" t="n"/>
      <c r="I502" s="40" t="str">
        <f>IF(OR($J502="",$K502=""),"",ROUND(MAX(0,($K502-$J502)-IF($H502="",0,$H502))/60,2))</f>
        <v/>
      </c>
      <c r="J502" s="41" t="str">
        <f>IF($F502="","",IF($F502&lt;1,ROUND($F502*1440,0),INT($F502/100)*60+MOD($F502,100)))</f>
        <v/>
      </c>
      <c r="K502" s="41" t="str">
        <f>IF($G502="","",IF($G502&lt;1,ROUND($G502*1440,0),INT($G502/100)*60+MOD($G502,100)))</f>
        <v/>
      </c>
    </row>
    <row r="503" ht="15" customHeight="1" s="26">
      <c r="A503" s="34" t="n"/>
      <c r="B503" s="32" t="n"/>
      <c r="C503" s="33" t="n"/>
      <c r="D503" s="37" t="str">
        <f>IF($C503="","",IFERROR(INDEX(프로젝트목록!$B$3:$B$62,MATCH($C503,프로젝트목록!$A$3:$A$62,0)),"미등록코드"))</f>
        <v/>
      </c>
      <c r="E503" s="32" t="n"/>
      <c r="F503" s="38" t="n"/>
      <c r="G503" s="38" t="n"/>
      <c r="H503" s="39" t="n"/>
      <c r="I503" s="40" t="str">
        <f>IF(OR($J503="",$K503=""),"",ROUND(MAX(0,($K503-$J503)-IF($H503="",0,$H503))/60,2))</f>
        <v/>
      </c>
      <c r="J503" s="41" t="str">
        <f>IF($F503="","",IF($F503&lt;1,ROUND($F503*1440,0),INT($F503/100)*60+MOD($F503,100)))</f>
        <v/>
      </c>
      <c r="K503" s="41" t="str">
        <f>IF($G503="","",IF($G503&lt;1,ROUND($G503*1440,0),INT($G503/100)*60+MOD($G503,100)))</f>
        <v/>
      </c>
    </row>
    <row r="504" ht="15" customHeight="1" s="26">
      <c r="A504" s="34" t="n"/>
      <c r="B504" s="32" t="n"/>
      <c r="C504" s="33" t="n"/>
      <c r="D504" s="37" t="str">
        <f>IF($C504="","",IFERROR(INDEX(프로젝트목록!$B$3:$B$62,MATCH($C504,프로젝트목록!$A$3:$A$62,0)),"미등록코드"))</f>
        <v/>
      </c>
      <c r="E504" s="32" t="n"/>
      <c r="F504" s="38" t="n"/>
      <c r="G504" s="38" t="n"/>
      <c r="H504" s="39" t="n"/>
      <c r="I504" s="40" t="str">
        <f>IF(OR($J504="",$K504=""),"",ROUND(MAX(0,($K504-$J504)-IF($H504="",0,$H504))/60,2))</f>
        <v/>
      </c>
      <c r="J504" s="41" t="str">
        <f>IF($F504="","",IF($F504&lt;1,ROUND($F504*1440,0),INT($F504/100)*60+MOD($F504,100)))</f>
        <v/>
      </c>
      <c r="K504" s="41" t="str">
        <f>IF($G504="","",IF($G504&lt;1,ROUND($G504*1440,0),INT($G504/100)*60+MOD($G504,100)))</f>
        <v/>
      </c>
    </row>
    <row r="505" ht="15" customHeight="1" s="26">
      <c r="A505" s="34" t="n"/>
      <c r="B505" s="32" t="n"/>
      <c r="C505" s="33" t="n"/>
      <c r="D505" s="37" t="str">
        <f>IF($C505="","",IFERROR(INDEX(프로젝트목록!$B$3:$B$62,MATCH($C505,프로젝트목록!$A$3:$A$62,0)),"미등록코드"))</f>
        <v/>
      </c>
      <c r="E505" s="32" t="n"/>
      <c r="F505" s="38" t="n"/>
      <c r="G505" s="38" t="n"/>
      <c r="H505" s="39" t="n"/>
      <c r="I505" s="40" t="str">
        <f>IF(OR($J505="",$K505=""),"",ROUND(MAX(0,($K505-$J505)-IF($H505="",0,$H505))/60,2))</f>
        <v/>
      </c>
      <c r="J505" s="41" t="str">
        <f>IF($F505="","",IF($F505&lt;1,ROUND($F505*1440,0),INT($F505/100)*60+MOD($F505,100)))</f>
        <v/>
      </c>
      <c r="K505" s="41" t="str">
        <f>IF($G505="","",IF($G505&lt;1,ROUND($G505*1440,0),INT($G505/100)*60+MOD($G505,100)))</f>
        <v/>
      </c>
    </row>
    <row r="506" ht="15" customHeight="1" s="26">
      <c r="A506" s="34" t="n"/>
      <c r="B506" s="32" t="n"/>
      <c r="C506" s="33" t="n"/>
      <c r="D506" s="37" t="str">
        <f>IF($C506="","",IFERROR(INDEX(프로젝트목록!$B$3:$B$62,MATCH($C506,프로젝트목록!$A$3:$A$62,0)),"미등록코드"))</f>
        <v/>
      </c>
      <c r="E506" s="32" t="n"/>
      <c r="F506" s="38" t="n"/>
      <c r="G506" s="38" t="n"/>
      <c r="H506" s="39" t="n"/>
      <c r="I506" s="40" t="str">
        <f>IF(OR($J506="",$K506=""),"",ROUND(MAX(0,($K506-$J506)-IF($H506="",0,$H506))/60,2))</f>
        <v/>
      </c>
      <c r="J506" s="41" t="str">
        <f>IF($F506="","",IF($F506&lt;1,ROUND($F506*1440,0),INT($F506/100)*60+MOD($F506,100)))</f>
        <v/>
      </c>
      <c r="K506" s="41" t="str">
        <f>IF($G506="","",IF($G506&lt;1,ROUND($G506*1440,0),INT($G506/100)*60+MOD($G506,100)))</f>
        <v/>
      </c>
    </row>
    <row r="507" ht="15" customHeight="1" s="26">
      <c r="A507" s="34" t="n"/>
      <c r="B507" s="32" t="n"/>
      <c r="C507" s="33" t="n"/>
      <c r="D507" s="37" t="str">
        <f>IF($C507="","",IFERROR(INDEX(프로젝트목록!$B$3:$B$62,MATCH($C507,프로젝트목록!$A$3:$A$62,0)),"미등록코드"))</f>
        <v/>
      </c>
      <c r="E507" s="32" t="n"/>
      <c r="F507" s="38" t="n"/>
      <c r="G507" s="38" t="n"/>
      <c r="H507" s="39" t="n"/>
      <c r="I507" s="40" t="str">
        <f>IF(OR($J507="",$K507=""),"",ROUND(MAX(0,($K507-$J507)-IF($H507="",0,$H507))/60,2))</f>
        <v/>
      </c>
      <c r="J507" s="41" t="str">
        <f>IF($F507="","",IF($F507&lt;1,ROUND($F507*1440,0),INT($F507/100)*60+MOD($F507,100)))</f>
        <v/>
      </c>
      <c r="K507" s="41" t="str">
        <f>IF($G507="","",IF($G507&lt;1,ROUND($G507*1440,0),INT($G507/100)*60+MOD($G507,100)))</f>
        <v/>
      </c>
    </row>
    <row r="508" ht="15" customHeight="1" s="26">
      <c r="A508" s="34" t="n"/>
      <c r="B508" s="32" t="n"/>
      <c r="C508" s="33" t="n"/>
      <c r="D508" s="37" t="str">
        <f>IF($C508="","",IFERROR(INDEX(프로젝트목록!$B$3:$B$62,MATCH($C508,프로젝트목록!$A$3:$A$62,0)),"미등록코드"))</f>
        <v/>
      </c>
      <c r="E508" s="32" t="n"/>
      <c r="F508" s="38" t="n"/>
      <c r="G508" s="38" t="n"/>
      <c r="H508" s="39" t="n"/>
      <c r="I508" s="40" t="str">
        <f>IF(OR($J508="",$K508=""),"",ROUND(MAX(0,($K508-$J508)-IF($H508="",0,$H508))/60,2))</f>
        <v/>
      </c>
      <c r="J508" s="41" t="str">
        <f>IF($F508="","",IF($F508&lt;1,ROUND($F508*1440,0),INT($F508/100)*60+MOD($F508,100)))</f>
        <v/>
      </c>
      <c r="K508" s="41" t="str">
        <f>IF($G508="","",IF($G508&lt;1,ROUND($G508*1440,0),INT($G508/100)*60+MOD($G508,100)))</f>
        <v/>
      </c>
    </row>
    <row r="509" ht="15" customHeight="1" s="26">
      <c r="A509" s="34" t="n"/>
      <c r="B509" s="32" t="n"/>
      <c r="C509" s="33" t="n"/>
      <c r="D509" s="37" t="str">
        <f>IF($C509="","",IFERROR(INDEX(프로젝트목록!$B$3:$B$62,MATCH($C509,프로젝트목록!$A$3:$A$62,0)),"미등록코드"))</f>
        <v/>
      </c>
      <c r="E509" s="32" t="n"/>
      <c r="F509" s="38" t="n"/>
      <c r="G509" s="38" t="n"/>
      <c r="H509" s="39" t="n"/>
      <c r="I509" s="40" t="str">
        <f>IF(OR($J509="",$K509=""),"",ROUND(MAX(0,($K509-$J509)-IF($H509="",0,$H509))/60,2))</f>
        <v/>
      </c>
      <c r="J509" s="41" t="str">
        <f>IF($F509="","",IF($F509&lt;1,ROUND($F509*1440,0),INT($F509/100)*60+MOD($F509,100)))</f>
        <v/>
      </c>
      <c r="K509" s="41" t="str">
        <f>IF($G509="","",IF($G509&lt;1,ROUND($G509*1440,0),INT($G509/100)*60+MOD($G509,100)))</f>
        <v/>
      </c>
    </row>
    <row r="510" ht="15" customHeight="1" s="26">
      <c r="A510" s="34" t="n"/>
      <c r="B510" s="32" t="n"/>
      <c r="C510" s="33" t="n"/>
      <c r="D510" s="37" t="str">
        <f>IF($C510="","",IFERROR(INDEX(프로젝트목록!$B$3:$B$62,MATCH($C510,프로젝트목록!$A$3:$A$62,0)),"미등록코드"))</f>
        <v/>
      </c>
      <c r="E510" s="32" t="n"/>
      <c r="F510" s="38" t="n"/>
      <c r="G510" s="38" t="n"/>
      <c r="H510" s="39" t="n"/>
      <c r="I510" s="40" t="str">
        <f>IF(OR($J510="",$K510=""),"",ROUND(MAX(0,($K510-$J510)-IF($H510="",0,$H510))/60,2))</f>
        <v/>
      </c>
      <c r="J510" s="41" t="str">
        <f>IF($F510="","",IF($F510&lt;1,ROUND($F510*1440,0),INT($F510/100)*60+MOD($F510,100)))</f>
        <v/>
      </c>
      <c r="K510" s="41" t="str">
        <f>IF($G510="","",IF($G510&lt;1,ROUND($G510*1440,0),INT($G510/100)*60+MOD($G510,100)))</f>
        <v/>
      </c>
    </row>
    <row r="511" ht="15" customHeight="1" s="26">
      <c r="A511" s="34" t="n"/>
      <c r="B511" s="32" t="n"/>
      <c r="C511" s="33" t="n"/>
      <c r="D511" s="37" t="str">
        <f>IF($C511="","",IFERROR(INDEX(프로젝트목록!$B$3:$B$62,MATCH($C511,프로젝트목록!$A$3:$A$62,0)),"미등록코드"))</f>
        <v/>
      </c>
      <c r="E511" s="32" t="n"/>
      <c r="F511" s="38" t="n"/>
      <c r="G511" s="38" t="n"/>
      <c r="H511" s="39" t="n"/>
      <c r="I511" s="40" t="str">
        <f>IF(OR($J511="",$K511=""),"",ROUND(MAX(0,($K511-$J511)-IF($H511="",0,$H511))/60,2))</f>
        <v/>
      </c>
      <c r="J511" s="41" t="str">
        <f>IF($F511="","",IF($F511&lt;1,ROUND($F511*1440,0),INT($F511/100)*60+MOD($F511,100)))</f>
        <v/>
      </c>
      <c r="K511" s="41" t="str">
        <f>IF($G511="","",IF($G511&lt;1,ROUND($G511*1440,0),INT($G511/100)*60+MOD($G511,100)))</f>
        <v/>
      </c>
    </row>
    <row r="512" ht="15" customHeight="1" s="26">
      <c r="A512" s="34" t="n"/>
      <c r="B512" s="32" t="n"/>
      <c r="C512" s="33" t="n"/>
      <c r="D512" s="37" t="str">
        <f>IF($C512="","",IFERROR(INDEX(프로젝트목록!$B$3:$B$62,MATCH($C512,프로젝트목록!$A$3:$A$62,0)),"미등록코드"))</f>
        <v/>
      </c>
      <c r="E512" s="32" t="n"/>
      <c r="F512" s="38" t="n"/>
      <c r="G512" s="38" t="n"/>
      <c r="H512" s="39" t="n"/>
      <c r="I512" s="40" t="str">
        <f>IF(OR($J512="",$K512=""),"",ROUND(MAX(0,($K512-$J512)-IF($H512="",0,$H512))/60,2))</f>
        <v/>
      </c>
      <c r="J512" s="41" t="str">
        <f>IF($F512="","",IF($F512&lt;1,ROUND($F512*1440,0),INT($F512/100)*60+MOD($F512,100)))</f>
        <v/>
      </c>
      <c r="K512" s="41" t="str">
        <f>IF($G512="","",IF($G512&lt;1,ROUND($G512*1440,0),INT($G512/100)*60+MOD($G512,100)))</f>
        <v/>
      </c>
    </row>
    <row r="513" ht="15" customHeight="1" s="26">
      <c r="A513" s="34" t="n"/>
      <c r="B513" s="32" t="n"/>
      <c r="C513" s="33" t="n"/>
      <c r="D513" s="37" t="str">
        <f>IF($C513="","",IFERROR(INDEX(프로젝트목록!$B$3:$B$62,MATCH($C513,프로젝트목록!$A$3:$A$62,0)),"미등록코드"))</f>
        <v/>
      </c>
      <c r="E513" s="32" t="n"/>
      <c r="F513" s="38" t="n"/>
      <c r="G513" s="38" t="n"/>
      <c r="H513" s="39" t="n"/>
      <c r="I513" s="40" t="str">
        <f>IF(OR($J513="",$K513=""),"",ROUND(MAX(0,($K513-$J513)-IF($H513="",0,$H513))/60,2))</f>
        <v/>
      </c>
      <c r="J513" s="41" t="str">
        <f>IF($F513="","",IF($F513&lt;1,ROUND($F513*1440,0),INT($F513/100)*60+MOD($F513,100)))</f>
        <v/>
      </c>
      <c r="K513" s="41" t="str">
        <f>IF($G513="","",IF($G513&lt;1,ROUND($G513*1440,0),INT($G513/100)*60+MOD($G513,100)))</f>
        <v/>
      </c>
    </row>
    <row r="514" ht="15" customHeight="1" s="26">
      <c r="A514" s="34" t="n"/>
      <c r="B514" s="32" t="n"/>
      <c r="C514" s="33" t="n"/>
      <c r="D514" s="37" t="str">
        <f>IF($C514="","",IFERROR(INDEX(프로젝트목록!$B$3:$B$62,MATCH($C514,프로젝트목록!$A$3:$A$62,0)),"미등록코드"))</f>
        <v/>
      </c>
      <c r="E514" s="32" t="n"/>
      <c r="F514" s="38" t="n"/>
      <c r="G514" s="38" t="n"/>
      <c r="H514" s="39" t="n"/>
      <c r="I514" s="40" t="str">
        <f>IF(OR($J514="",$K514=""),"",ROUND(MAX(0,($K514-$J514)-IF($H514="",0,$H514))/60,2))</f>
        <v/>
      </c>
      <c r="J514" s="41" t="str">
        <f>IF($F514="","",IF($F514&lt;1,ROUND($F514*1440,0),INT($F514/100)*60+MOD($F514,100)))</f>
        <v/>
      </c>
      <c r="K514" s="41" t="str">
        <f>IF($G514="","",IF($G514&lt;1,ROUND($G514*1440,0),INT($G514/100)*60+MOD($G514,100)))</f>
        <v/>
      </c>
    </row>
    <row r="515" ht="15" customHeight="1" s="26">
      <c r="A515" s="34" t="n"/>
      <c r="B515" s="32" t="n"/>
      <c r="C515" s="33" t="n"/>
      <c r="D515" s="37" t="str">
        <f>IF($C515="","",IFERROR(INDEX(프로젝트목록!$B$3:$B$62,MATCH($C515,프로젝트목록!$A$3:$A$62,0)),"미등록코드"))</f>
        <v/>
      </c>
      <c r="E515" s="32" t="n"/>
      <c r="F515" s="38" t="n"/>
      <c r="G515" s="38" t="n"/>
      <c r="H515" s="39" t="n"/>
      <c r="I515" s="40" t="str">
        <f>IF(OR($J515="",$K515=""),"",ROUND(MAX(0,($K515-$J515)-IF($H515="",0,$H515))/60,2))</f>
        <v/>
      </c>
      <c r="J515" s="41" t="str">
        <f>IF($F515="","",IF($F515&lt;1,ROUND($F515*1440,0),INT($F515/100)*60+MOD($F515,100)))</f>
        <v/>
      </c>
      <c r="K515" s="41" t="str">
        <f>IF($G515="","",IF($G515&lt;1,ROUND($G515*1440,0),INT($G515/100)*60+MOD($G515,100)))</f>
        <v/>
      </c>
    </row>
    <row r="516" ht="15" customHeight="1" s="26">
      <c r="A516" s="34" t="n"/>
      <c r="B516" s="32" t="n"/>
      <c r="C516" s="33" t="n"/>
      <c r="D516" s="37" t="str">
        <f>IF($C516="","",IFERROR(INDEX(프로젝트목록!$B$3:$B$62,MATCH($C516,프로젝트목록!$A$3:$A$62,0)),"미등록코드"))</f>
        <v/>
      </c>
      <c r="E516" s="32" t="n"/>
      <c r="F516" s="38" t="n"/>
      <c r="G516" s="38" t="n"/>
      <c r="H516" s="39" t="n"/>
      <c r="I516" s="40" t="str">
        <f>IF(OR($J516="",$K516=""),"",ROUND(MAX(0,($K516-$J516)-IF($H516="",0,$H516))/60,2))</f>
        <v/>
      </c>
      <c r="J516" s="41" t="str">
        <f>IF($F516="","",IF($F516&lt;1,ROUND($F516*1440,0),INT($F516/100)*60+MOD($F516,100)))</f>
        <v/>
      </c>
      <c r="K516" s="41" t="str">
        <f>IF($G516="","",IF($G516&lt;1,ROUND($G516*1440,0),INT($G516/100)*60+MOD($G516,100)))</f>
        <v/>
      </c>
    </row>
    <row r="517" ht="15" customHeight="1" s="26">
      <c r="A517" s="34" t="n"/>
      <c r="B517" s="32" t="n"/>
      <c r="C517" s="33" t="n"/>
      <c r="D517" s="37" t="str">
        <f>IF($C517="","",IFERROR(INDEX(프로젝트목록!$B$3:$B$62,MATCH($C517,프로젝트목록!$A$3:$A$62,0)),"미등록코드"))</f>
        <v/>
      </c>
      <c r="E517" s="32" t="n"/>
      <c r="F517" s="38" t="n"/>
      <c r="G517" s="38" t="n"/>
      <c r="H517" s="39" t="n"/>
      <c r="I517" s="40" t="str">
        <f>IF(OR($J517="",$K517=""),"",ROUND(MAX(0,($K517-$J517)-IF($H517="",0,$H517))/60,2))</f>
        <v/>
      </c>
      <c r="J517" s="41" t="str">
        <f>IF($F517="","",IF($F517&lt;1,ROUND($F517*1440,0),INT($F517/100)*60+MOD($F517,100)))</f>
        <v/>
      </c>
      <c r="K517" s="41" t="str">
        <f>IF($G517="","",IF($G517&lt;1,ROUND($G517*1440,0),INT($G517/100)*60+MOD($G517,100)))</f>
        <v/>
      </c>
    </row>
    <row r="518" ht="15" customHeight="1" s="26">
      <c r="A518" s="34" t="n"/>
      <c r="B518" s="32" t="n"/>
      <c r="C518" s="33" t="n"/>
      <c r="D518" s="37" t="str">
        <f>IF($C518="","",IFERROR(INDEX(프로젝트목록!$B$3:$B$62,MATCH($C518,프로젝트목록!$A$3:$A$62,0)),"미등록코드"))</f>
        <v/>
      </c>
      <c r="E518" s="32" t="n"/>
      <c r="F518" s="38" t="n"/>
      <c r="G518" s="38" t="n"/>
      <c r="H518" s="39" t="n"/>
      <c r="I518" s="40" t="str">
        <f>IF(OR($J518="",$K518=""),"",ROUND(MAX(0,($K518-$J518)-IF($H518="",0,$H518))/60,2))</f>
        <v/>
      </c>
      <c r="J518" s="41" t="str">
        <f>IF($F518="","",IF($F518&lt;1,ROUND($F518*1440,0),INT($F518/100)*60+MOD($F518,100)))</f>
        <v/>
      </c>
      <c r="K518" s="41" t="str">
        <f>IF($G518="","",IF($G518&lt;1,ROUND($G518*1440,0),INT($G518/100)*60+MOD($G518,100)))</f>
        <v/>
      </c>
    </row>
    <row r="519" ht="15" customHeight="1" s="26">
      <c r="A519" s="34" t="n"/>
      <c r="B519" s="32" t="n"/>
      <c r="C519" s="33" t="n"/>
      <c r="D519" s="37" t="str">
        <f>IF($C519="","",IFERROR(INDEX(프로젝트목록!$B$3:$B$62,MATCH($C519,프로젝트목록!$A$3:$A$62,0)),"미등록코드"))</f>
        <v/>
      </c>
      <c r="E519" s="32" t="n"/>
      <c r="F519" s="38" t="n"/>
      <c r="G519" s="38" t="n"/>
      <c r="H519" s="39" t="n"/>
      <c r="I519" s="40" t="str">
        <f>IF(OR($J519="",$K519=""),"",ROUND(MAX(0,($K519-$J519)-IF($H519="",0,$H519))/60,2))</f>
        <v/>
      </c>
      <c r="J519" s="41" t="str">
        <f>IF($F519="","",IF($F519&lt;1,ROUND($F519*1440,0),INT($F519/100)*60+MOD($F519,100)))</f>
        <v/>
      </c>
      <c r="K519" s="41" t="str">
        <f>IF($G519="","",IF($G519&lt;1,ROUND($G519*1440,0),INT($G519/100)*60+MOD($G519,100)))</f>
        <v/>
      </c>
    </row>
    <row r="520" ht="15" customHeight="1" s="26">
      <c r="A520" s="34" t="n"/>
      <c r="B520" s="32" t="n"/>
      <c r="C520" s="33" t="n"/>
      <c r="D520" s="37" t="str">
        <f>IF($C520="","",IFERROR(INDEX(프로젝트목록!$B$3:$B$62,MATCH($C520,프로젝트목록!$A$3:$A$62,0)),"미등록코드"))</f>
        <v/>
      </c>
      <c r="E520" s="32" t="n"/>
      <c r="F520" s="38" t="n"/>
      <c r="G520" s="38" t="n"/>
      <c r="H520" s="39" t="n"/>
      <c r="I520" s="40" t="str">
        <f>IF(OR($J520="",$K520=""),"",ROUND(MAX(0,($K520-$J520)-IF($H520="",0,$H520))/60,2))</f>
        <v/>
      </c>
      <c r="J520" s="41" t="str">
        <f>IF($F520="","",IF($F520&lt;1,ROUND($F520*1440,0),INT($F520/100)*60+MOD($F520,100)))</f>
        <v/>
      </c>
      <c r="K520" s="41" t="str">
        <f>IF($G520="","",IF($G520&lt;1,ROUND($G520*1440,0),INT($G520/100)*60+MOD($G520,100)))</f>
        <v/>
      </c>
    </row>
    <row r="521" ht="15" customHeight="1" s="26">
      <c r="A521" s="34" t="n"/>
      <c r="B521" s="32" t="n"/>
      <c r="C521" s="33" t="n"/>
      <c r="D521" s="37" t="str">
        <f>IF($C521="","",IFERROR(INDEX(프로젝트목록!$B$3:$B$62,MATCH($C521,프로젝트목록!$A$3:$A$62,0)),"미등록코드"))</f>
        <v/>
      </c>
      <c r="E521" s="32" t="n"/>
      <c r="F521" s="38" t="n"/>
      <c r="G521" s="38" t="n"/>
      <c r="H521" s="39" t="n"/>
      <c r="I521" s="40" t="str">
        <f>IF(OR($J521="",$K521=""),"",ROUND(MAX(0,($K521-$J521)-IF($H521="",0,$H521))/60,2))</f>
        <v/>
      </c>
      <c r="J521" s="41" t="str">
        <f>IF($F521="","",IF($F521&lt;1,ROUND($F521*1440,0),INT($F521/100)*60+MOD($F521,100)))</f>
        <v/>
      </c>
      <c r="K521" s="41" t="str">
        <f>IF($G521="","",IF($G521&lt;1,ROUND($G521*1440,0),INT($G521/100)*60+MOD($G521,100)))</f>
        <v/>
      </c>
    </row>
    <row r="522" ht="15" customHeight="1" s="26">
      <c r="A522" s="34" t="n"/>
      <c r="B522" s="32" t="n"/>
      <c r="C522" s="33" t="n"/>
      <c r="D522" s="37" t="str">
        <f>IF($C522="","",IFERROR(INDEX(프로젝트목록!$B$3:$B$62,MATCH($C522,프로젝트목록!$A$3:$A$62,0)),"미등록코드"))</f>
        <v/>
      </c>
      <c r="E522" s="32" t="n"/>
      <c r="F522" s="38" t="n"/>
      <c r="G522" s="38" t="n"/>
      <c r="H522" s="39" t="n"/>
      <c r="I522" s="40" t="str">
        <f>IF(OR($J522="",$K522=""),"",ROUND(MAX(0,($K522-$J522)-IF($H522="",0,$H522))/60,2))</f>
        <v/>
      </c>
      <c r="J522" s="41" t="str">
        <f>IF($F522="","",IF($F522&lt;1,ROUND($F522*1440,0),INT($F522/100)*60+MOD($F522,100)))</f>
        <v/>
      </c>
      <c r="K522" s="41" t="str">
        <f>IF($G522="","",IF($G522&lt;1,ROUND($G522*1440,0),INT($G522/100)*60+MOD($G522,100)))</f>
        <v/>
      </c>
    </row>
    <row r="523" ht="15" customHeight="1" s="26">
      <c r="A523" s="34" t="n"/>
      <c r="B523" s="32" t="n"/>
      <c r="C523" s="33" t="n"/>
      <c r="D523" s="37" t="str">
        <f>IF($C523="","",IFERROR(INDEX(프로젝트목록!$B$3:$B$62,MATCH($C523,프로젝트목록!$A$3:$A$62,0)),"미등록코드"))</f>
        <v/>
      </c>
      <c r="E523" s="32" t="n"/>
      <c r="F523" s="38" t="n"/>
      <c r="G523" s="38" t="n"/>
      <c r="H523" s="39" t="n"/>
      <c r="I523" s="40" t="str">
        <f>IF(OR($J523="",$K523=""),"",ROUND(MAX(0,($K523-$J523)-IF($H523="",0,$H523))/60,2))</f>
        <v/>
      </c>
      <c r="J523" s="41" t="str">
        <f>IF($F523="","",IF($F523&lt;1,ROUND($F523*1440,0),INT($F523/100)*60+MOD($F523,100)))</f>
        <v/>
      </c>
      <c r="K523" s="41" t="str">
        <f>IF($G523="","",IF($G523&lt;1,ROUND($G523*1440,0),INT($G523/100)*60+MOD($G523,100)))</f>
        <v/>
      </c>
    </row>
    <row r="524" ht="15" customHeight="1" s="26">
      <c r="A524" s="34" t="n"/>
      <c r="B524" s="32" t="n"/>
      <c r="C524" s="33" t="n"/>
      <c r="D524" s="37" t="str">
        <f>IF($C524="","",IFERROR(INDEX(프로젝트목록!$B$3:$B$62,MATCH($C524,프로젝트목록!$A$3:$A$62,0)),"미등록코드"))</f>
        <v/>
      </c>
      <c r="E524" s="32" t="n"/>
      <c r="F524" s="38" t="n"/>
      <c r="G524" s="38" t="n"/>
      <c r="H524" s="39" t="n"/>
      <c r="I524" s="40" t="str">
        <f>IF(OR($J524="",$K524=""),"",ROUND(MAX(0,($K524-$J524)-IF($H524="",0,$H524))/60,2))</f>
        <v/>
      </c>
      <c r="J524" s="41" t="str">
        <f>IF($F524="","",IF($F524&lt;1,ROUND($F524*1440,0),INT($F524/100)*60+MOD($F524,100)))</f>
        <v/>
      </c>
      <c r="K524" s="41" t="str">
        <f>IF($G524="","",IF($G524&lt;1,ROUND($G524*1440,0),INT($G524/100)*60+MOD($G524,100)))</f>
        <v/>
      </c>
    </row>
    <row r="525" ht="15" customHeight="1" s="26">
      <c r="A525" s="34" t="n"/>
      <c r="B525" s="32" t="n"/>
      <c r="C525" s="33" t="n"/>
      <c r="D525" s="37" t="str">
        <f>IF($C525="","",IFERROR(INDEX(프로젝트목록!$B$3:$B$62,MATCH($C525,프로젝트목록!$A$3:$A$62,0)),"미등록코드"))</f>
        <v/>
      </c>
      <c r="E525" s="32" t="n"/>
      <c r="F525" s="38" t="n"/>
      <c r="G525" s="38" t="n"/>
      <c r="H525" s="39" t="n"/>
      <c r="I525" s="40" t="str">
        <f>IF(OR($J525="",$K525=""),"",ROUND(MAX(0,($K525-$J525)-IF($H525="",0,$H525))/60,2))</f>
        <v/>
      </c>
      <c r="J525" s="41" t="str">
        <f>IF($F525="","",IF($F525&lt;1,ROUND($F525*1440,0),INT($F525/100)*60+MOD($F525,100)))</f>
        <v/>
      </c>
      <c r="K525" s="41" t="str">
        <f>IF($G525="","",IF($G525&lt;1,ROUND($G525*1440,0),INT($G525/100)*60+MOD($G525,100)))</f>
        <v/>
      </c>
    </row>
    <row r="526" ht="15" customHeight="1" s="26">
      <c r="A526" s="34" t="n"/>
      <c r="B526" s="32" t="n"/>
      <c r="C526" s="33" t="n"/>
      <c r="D526" s="37" t="str">
        <f>IF($C526="","",IFERROR(INDEX(프로젝트목록!$B$3:$B$62,MATCH($C526,프로젝트목록!$A$3:$A$62,0)),"미등록코드"))</f>
        <v/>
      </c>
      <c r="E526" s="32" t="n"/>
      <c r="F526" s="38" t="n"/>
      <c r="G526" s="38" t="n"/>
      <c r="H526" s="39" t="n"/>
      <c r="I526" s="40" t="str">
        <f>IF(OR($J526="",$K526=""),"",ROUND(MAX(0,($K526-$J526)-IF($H526="",0,$H526))/60,2))</f>
        <v/>
      </c>
      <c r="J526" s="41" t="str">
        <f>IF($F526="","",IF($F526&lt;1,ROUND($F526*1440,0),INT($F526/100)*60+MOD($F526,100)))</f>
        <v/>
      </c>
      <c r="K526" s="41" t="str">
        <f>IF($G526="","",IF($G526&lt;1,ROUND($G526*1440,0),INT($G526/100)*60+MOD($G526,100)))</f>
        <v/>
      </c>
    </row>
    <row r="527" ht="15" customHeight="1" s="26">
      <c r="A527" s="34" t="n"/>
      <c r="B527" s="32" t="n"/>
      <c r="C527" s="33" t="n"/>
      <c r="D527" s="37" t="str">
        <f>IF($C527="","",IFERROR(INDEX(프로젝트목록!$B$3:$B$62,MATCH($C527,프로젝트목록!$A$3:$A$62,0)),"미등록코드"))</f>
        <v/>
      </c>
      <c r="E527" s="32" t="n"/>
      <c r="F527" s="38" t="n"/>
      <c r="G527" s="38" t="n"/>
      <c r="H527" s="39" t="n"/>
      <c r="I527" s="40" t="str">
        <f>IF(OR($J527="",$K527=""),"",ROUND(MAX(0,($K527-$J527)-IF($H527="",0,$H527))/60,2))</f>
        <v/>
      </c>
      <c r="J527" s="41" t="str">
        <f>IF($F527="","",IF($F527&lt;1,ROUND($F527*1440,0),INT($F527/100)*60+MOD($F527,100)))</f>
        <v/>
      </c>
      <c r="K527" s="41" t="str">
        <f>IF($G527="","",IF($G527&lt;1,ROUND($G527*1440,0),INT($G527/100)*60+MOD($G527,100)))</f>
        <v/>
      </c>
    </row>
    <row r="528" ht="15" customHeight="1" s="26">
      <c r="A528" s="34" t="n"/>
      <c r="B528" s="32" t="n"/>
      <c r="C528" s="33" t="n"/>
      <c r="D528" s="37" t="str">
        <f>IF($C528="","",IFERROR(INDEX(프로젝트목록!$B$3:$B$62,MATCH($C528,프로젝트목록!$A$3:$A$62,0)),"미등록코드"))</f>
        <v/>
      </c>
      <c r="E528" s="32" t="n"/>
      <c r="F528" s="38" t="n"/>
      <c r="G528" s="38" t="n"/>
      <c r="H528" s="39" t="n"/>
      <c r="I528" s="40" t="str">
        <f>IF(OR($J528="",$K528=""),"",ROUND(MAX(0,($K528-$J528)-IF($H528="",0,$H528))/60,2))</f>
        <v/>
      </c>
      <c r="J528" s="41" t="str">
        <f>IF($F528="","",IF($F528&lt;1,ROUND($F528*1440,0),INT($F528/100)*60+MOD($F528,100)))</f>
        <v/>
      </c>
      <c r="K528" s="41" t="str">
        <f>IF($G528="","",IF($G528&lt;1,ROUND($G528*1440,0),INT($G528/100)*60+MOD($G528,100)))</f>
        <v/>
      </c>
    </row>
    <row r="529" ht="15" customHeight="1" s="26">
      <c r="A529" s="34" t="n"/>
      <c r="B529" s="32" t="n"/>
      <c r="C529" s="33" t="n"/>
      <c r="D529" s="37" t="str">
        <f>IF($C529="","",IFERROR(INDEX(프로젝트목록!$B$3:$B$62,MATCH($C529,프로젝트목록!$A$3:$A$62,0)),"미등록코드"))</f>
        <v/>
      </c>
      <c r="E529" s="32" t="n"/>
      <c r="F529" s="38" t="n"/>
      <c r="G529" s="38" t="n"/>
      <c r="H529" s="39" t="n"/>
      <c r="I529" s="40" t="str">
        <f>IF(OR($J529="",$K529=""),"",ROUND(MAX(0,($K529-$J529)-IF($H529="",0,$H529))/60,2))</f>
        <v/>
      </c>
      <c r="J529" s="41" t="str">
        <f>IF($F529="","",IF($F529&lt;1,ROUND($F529*1440,0),INT($F529/100)*60+MOD($F529,100)))</f>
        <v/>
      </c>
      <c r="K529" s="41" t="str">
        <f>IF($G529="","",IF($G529&lt;1,ROUND($G529*1440,0),INT($G529/100)*60+MOD($G529,100)))</f>
        <v/>
      </c>
    </row>
    <row r="530" ht="15" customHeight="1" s="26">
      <c r="A530" s="34" t="n"/>
      <c r="B530" s="32" t="n"/>
      <c r="C530" s="33" t="n"/>
      <c r="D530" s="37" t="str">
        <f>IF($C530="","",IFERROR(INDEX(프로젝트목록!$B$3:$B$62,MATCH($C530,프로젝트목록!$A$3:$A$62,0)),"미등록코드"))</f>
        <v/>
      </c>
      <c r="E530" s="32" t="n"/>
      <c r="F530" s="38" t="n"/>
      <c r="G530" s="38" t="n"/>
      <c r="H530" s="39" t="n"/>
      <c r="I530" s="40" t="str">
        <f>IF(OR($J530="",$K530=""),"",ROUND(MAX(0,($K530-$J530)-IF($H530="",0,$H530))/60,2))</f>
        <v/>
      </c>
      <c r="J530" s="41" t="str">
        <f>IF($F530="","",IF($F530&lt;1,ROUND($F530*1440,0),INT($F530/100)*60+MOD($F530,100)))</f>
        <v/>
      </c>
      <c r="K530" s="41" t="str">
        <f>IF($G530="","",IF($G530&lt;1,ROUND($G530*1440,0),INT($G530/100)*60+MOD($G530,100)))</f>
        <v/>
      </c>
    </row>
    <row r="531" ht="15" customHeight="1" s="26">
      <c r="A531" s="34" t="n"/>
      <c r="B531" s="32" t="n"/>
      <c r="C531" s="33" t="n"/>
      <c r="D531" s="37" t="str">
        <f>IF($C531="","",IFERROR(INDEX(프로젝트목록!$B$3:$B$62,MATCH($C531,프로젝트목록!$A$3:$A$62,0)),"미등록코드"))</f>
        <v/>
      </c>
      <c r="E531" s="32" t="n"/>
      <c r="F531" s="38" t="n"/>
      <c r="G531" s="38" t="n"/>
      <c r="H531" s="39" t="n"/>
      <c r="I531" s="40" t="str">
        <f>IF(OR($J531="",$K531=""),"",ROUND(MAX(0,($K531-$J531)-IF($H531="",0,$H531))/60,2))</f>
        <v/>
      </c>
      <c r="J531" s="41" t="str">
        <f>IF($F531="","",IF($F531&lt;1,ROUND($F531*1440,0),INT($F531/100)*60+MOD($F531,100)))</f>
        <v/>
      </c>
      <c r="K531" s="41" t="str">
        <f>IF($G531="","",IF($G531&lt;1,ROUND($G531*1440,0),INT($G531/100)*60+MOD($G531,100)))</f>
        <v/>
      </c>
    </row>
    <row r="532" ht="15" customHeight="1" s="26">
      <c r="A532" s="34" t="n"/>
      <c r="B532" s="32" t="n"/>
      <c r="C532" s="33" t="n"/>
      <c r="D532" s="37" t="str">
        <f>IF($C532="","",IFERROR(INDEX(프로젝트목록!$B$3:$B$62,MATCH($C532,프로젝트목록!$A$3:$A$62,0)),"미등록코드"))</f>
        <v/>
      </c>
      <c r="E532" s="32" t="n"/>
      <c r="F532" s="38" t="n"/>
      <c r="G532" s="38" t="n"/>
      <c r="H532" s="39" t="n"/>
      <c r="I532" s="40" t="str">
        <f>IF(OR($J532="",$K532=""),"",ROUND(MAX(0,($K532-$J532)-IF($H532="",0,$H532))/60,2))</f>
        <v/>
      </c>
      <c r="J532" s="41" t="str">
        <f>IF($F532="","",IF($F532&lt;1,ROUND($F532*1440,0),INT($F532/100)*60+MOD($F532,100)))</f>
        <v/>
      </c>
      <c r="K532" s="41" t="str">
        <f>IF($G532="","",IF($G532&lt;1,ROUND($G532*1440,0),INT($G532/100)*60+MOD($G532,100)))</f>
        <v/>
      </c>
    </row>
    <row r="533" ht="15" customHeight="1" s="26">
      <c r="A533" s="34" t="n"/>
      <c r="B533" s="32" t="n"/>
      <c r="C533" s="33" t="n"/>
      <c r="D533" s="37" t="str">
        <f>IF($C533="","",IFERROR(INDEX(프로젝트목록!$B$3:$B$62,MATCH($C533,프로젝트목록!$A$3:$A$62,0)),"미등록코드"))</f>
        <v/>
      </c>
      <c r="E533" s="32" t="n"/>
      <c r="F533" s="38" t="n"/>
      <c r="G533" s="38" t="n"/>
      <c r="H533" s="39" t="n"/>
      <c r="I533" s="40" t="str">
        <f>IF(OR($J533="",$K533=""),"",ROUND(MAX(0,($K533-$J533)-IF($H533="",0,$H533))/60,2))</f>
        <v/>
      </c>
      <c r="J533" s="41" t="str">
        <f>IF($F533="","",IF($F533&lt;1,ROUND($F533*1440,0),INT($F533/100)*60+MOD($F533,100)))</f>
        <v/>
      </c>
      <c r="K533" s="41" t="str">
        <f>IF($G533="","",IF($G533&lt;1,ROUND($G533*1440,0),INT($G533/100)*60+MOD($G533,100)))</f>
        <v/>
      </c>
    </row>
    <row r="534" ht="15" customHeight="1" s="26">
      <c r="A534" s="34" t="n"/>
      <c r="B534" s="32" t="n"/>
      <c r="C534" s="33" t="n"/>
      <c r="D534" s="37" t="str">
        <f>IF($C534="","",IFERROR(INDEX(프로젝트목록!$B$3:$B$62,MATCH($C534,프로젝트목록!$A$3:$A$62,0)),"미등록코드"))</f>
        <v/>
      </c>
      <c r="E534" s="32" t="n"/>
      <c r="F534" s="38" t="n"/>
      <c r="G534" s="38" t="n"/>
      <c r="H534" s="39" t="n"/>
      <c r="I534" s="40" t="str">
        <f>IF(OR($J534="",$K534=""),"",ROUND(MAX(0,($K534-$J534)-IF($H534="",0,$H534))/60,2))</f>
        <v/>
      </c>
      <c r="J534" s="41" t="str">
        <f>IF($F534="","",IF($F534&lt;1,ROUND($F534*1440,0),INT($F534/100)*60+MOD($F534,100)))</f>
        <v/>
      </c>
      <c r="K534" s="41" t="str">
        <f>IF($G534="","",IF($G534&lt;1,ROUND($G534*1440,0),INT($G534/100)*60+MOD($G534,100)))</f>
        <v/>
      </c>
    </row>
    <row r="535" ht="15" customHeight="1" s="26">
      <c r="A535" s="34" t="n"/>
      <c r="B535" s="32" t="n"/>
      <c r="C535" s="33" t="n"/>
      <c r="D535" s="37" t="str">
        <f>IF($C535="","",IFERROR(INDEX(프로젝트목록!$B$3:$B$62,MATCH($C535,프로젝트목록!$A$3:$A$62,0)),"미등록코드"))</f>
        <v/>
      </c>
      <c r="E535" s="32" t="n"/>
      <c r="F535" s="38" t="n"/>
      <c r="G535" s="38" t="n"/>
      <c r="H535" s="39" t="n"/>
      <c r="I535" s="40" t="str">
        <f>IF(OR($J535="",$K535=""),"",ROUND(MAX(0,($K535-$J535)-IF($H535="",0,$H535))/60,2))</f>
        <v/>
      </c>
      <c r="J535" s="41" t="str">
        <f>IF($F535="","",IF($F535&lt;1,ROUND($F535*1440,0),INT($F535/100)*60+MOD($F535,100)))</f>
        <v/>
      </c>
      <c r="K535" s="41" t="str">
        <f>IF($G535="","",IF($G535&lt;1,ROUND($G535*1440,0),INT($G535/100)*60+MOD($G535,100)))</f>
        <v/>
      </c>
    </row>
    <row r="536" ht="15" customHeight="1" s="26">
      <c r="A536" s="34" t="n"/>
      <c r="B536" s="32" t="n"/>
      <c r="C536" s="33" t="n"/>
      <c r="D536" s="37" t="str">
        <f>IF($C536="","",IFERROR(INDEX(프로젝트목록!$B$3:$B$62,MATCH($C536,프로젝트목록!$A$3:$A$62,0)),"미등록코드"))</f>
        <v/>
      </c>
      <c r="E536" s="32" t="n"/>
      <c r="F536" s="38" t="n"/>
      <c r="G536" s="38" t="n"/>
      <c r="H536" s="39" t="n"/>
      <c r="I536" s="40" t="str">
        <f>IF(OR($J536="",$K536=""),"",ROUND(MAX(0,($K536-$J536)-IF($H536="",0,$H536))/60,2))</f>
        <v/>
      </c>
      <c r="J536" s="41" t="str">
        <f>IF($F536="","",IF($F536&lt;1,ROUND($F536*1440,0),INT($F536/100)*60+MOD($F536,100)))</f>
        <v/>
      </c>
      <c r="K536" s="41" t="str">
        <f>IF($G536="","",IF($G536&lt;1,ROUND($G536*1440,0),INT($G536/100)*60+MOD($G536,100)))</f>
        <v/>
      </c>
    </row>
    <row r="537" ht="15" customHeight="1" s="26">
      <c r="A537" s="34" t="n"/>
      <c r="B537" s="32" t="n"/>
      <c r="C537" s="33" t="n"/>
      <c r="D537" s="37" t="str">
        <f>IF($C537="","",IFERROR(INDEX(프로젝트목록!$B$3:$B$62,MATCH($C537,프로젝트목록!$A$3:$A$62,0)),"미등록코드"))</f>
        <v/>
      </c>
      <c r="E537" s="32" t="n"/>
      <c r="F537" s="38" t="n"/>
      <c r="G537" s="38" t="n"/>
      <c r="H537" s="39" t="n"/>
      <c r="I537" s="40" t="str">
        <f>IF(OR($J537="",$K537=""),"",ROUND(MAX(0,($K537-$J537)-IF($H537="",0,$H537))/60,2))</f>
        <v/>
      </c>
      <c r="J537" s="41" t="str">
        <f>IF($F537="","",IF($F537&lt;1,ROUND($F537*1440,0),INT($F537/100)*60+MOD($F537,100)))</f>
        <v/>
      </c>
      <c r="K537" s="41" t="str">
        <f>IF($G537="","",IF($G537&lt;1,ROUND($G537*1440,0),INT($G537/100)*60+MOD($G537,100)))</f>
        <v/>
      </c>
    </row>
    <row r="538" ht="15" customHeight="1" s="26">
      <c r="A538" s="34" t="n"/>
      <c r="B538" s="32" t="n"/>
      <c r="C538" s="33" t="n"/>
      <c r="D538" s="37" t="str">
        <f>IF($C538="","",IFERROR(INDEX(프로젝트목록!$B$3:$B$62,MATCH($C538,프로젝트목록!$A$3:$A$62,0)),"미등록코드"))</f>
        <v/>
      </c>
      <c r="E538" s="32" t="n"/>
      <c r="F538" s="38" t="n"/>
      <c r="G538" s="38" t="n"/>
      <c r="H538" s="39" t="n"/>
      <c r="I538" s="40" t="str">
        <f>IF(OR($J538="",$K538=""),"",ROUND(MAX(0,($K538-$J538)-IF($H538="",0,$H538))/60,2))</f>
        <v/>
      </c>
      <c r="J538" s="41" t="str">
        <f>IF($F538="","",IF($F538&lt;1,ROUND($F538*1440,0),INT($F538/100)*60+MOD($F538,100)))</f>
        <v/>
      </c>
      <c r="K538" s="41" t="str">
        <f>IF($G538="","",IF($G538&lt;1,ROUND($G538*1440,0),INT($G538/100)*60+MOD($G538,100)))</f>
        <v/>
      </c>
    </row>
    <row r="539" ht="15" customHeight="1" s="26">
      <c r="A539" s="34" t="n"/>
      <c r="B539" s="32" t="n"/>
      <c r="C539" s="33" t="n"/>
      <c r="D539" s="37" t="str">
        <f>IF($C539="","",IFERROR(INDEX(프로젝트목록!$B$3:$B$62,MATCH($C539,프로젝트목록!$A$3:$A$62,0)),"미등록코드"))</f>
        <v/>
      </c>
      <c r="E539" s="32" t="n"/>
      <c r="F539" s="38" t="n"/>
      <c r="G539" s="38" t="n"/>
      <c r="H539" s="39" t="n"/>
      <c r="I539" s="40" t="str">
        <f>IF(OR($J539="",$K539=""),"",ROUND(MAX(0,($K539-$J539)-IF($H539="",0,$H539))/60,2))</f>
        <v/>
      </c>
      <c r="J539" s="41" t="str">
        <f>IF($F539="","",IF($F539&lt;1,ROUND($F539*1440,0),INT($F539/100)*60+MOD($F539,100)))</f>
        <v/>
      </c>
      <c r="K539" s="41" t="str">
        <f>IF($G539="","",IF($G539&lt;1,ROUND($G539*1440,0),INT($G539/100)*60+MOD($G539,100)))</f>
        <v/>
      </c>
    </row>
    <row r="540" ht="15" customHeight="1" s="26">
      <c r="A540" s="34" t="n"/>
      <c r="B540" s="32" t="n"/>
      <c r="C540" s="33" t="n"/>
      <c r="D540" s="37" t="str">
        <f>IF($C540="","",IFERROR(INDEX(프로젝트목록!$B$3:$B$62,MATCH($C540,프로젝트목록!$A$3:$A$62,0)),"미등록코드"))</f>
        <v/>
      </c>
      <c r="E540" s="32" t="n"/>
      <c r="F540" s="38" t="n"/>
      <c r="G540" s="38" t="n"/>
      <c r="H540" s="39" t="n"/>
      <c r="I540" s="40" t="str">
        <f>IF(OR($J540="",$K540=""),"",ROUND(MAX(0,($K540-$J540)-IF($H540="",0,$H540))/60,2))</f>
        <v/>
      </c>
      <c r="J540" s="41" t="str">
        <f>IF($F540="","",IF($F540&lt;1,ROUND($F540*1440,0),INT($F540/100)*60+MOD($F540,100)))</f>
        <v/>
      </c>
      <c r="K540" s="41" t="str">
        <f>IF($G540="","",IF($G540&lt;1,ROUND($G540*1440,0),INT($G540/100)*60+MOD($G540,100)))</f>
        <v/>
      </c>
    </row>
    <row r="541" ht="15" customHeight="1" s="26">
      <c r="A541" s="34" t="n"/>
      <c r="B541" s="32" t="n"/>
      <c r="C541" s="33" t="n"/>
      <c r="D541" s="37" t="str">
        <f>IF($C541="","",IFERROR(INDEX(프로젝트목록!$B$3:$B$62,MATCH($C541,프로젝트목록!$A$3:$A$62,0)),"미등록코드"))</f>
        <v/>
      </c>
      <c r="E541" s="32" t="n"/>
      <c r="F541" s="38" t="n"/>
      <c r="G541" s="38" t="n"/>
      <c r="H541" s="39" t="n"/>
      <c r="I541" s="40" t="str">
        <f>IF(OR($J541="",$K541=""),"",ROUND(MAX(0,($K541-$J541)-IF($H541="",0,$H541))/60,2))</f>
        <v/>
      </c>
      <c r="J541" s="41" t="str">
        <f>IF($F541="","",IF($F541&lt;1,ROUND($F541*1440,0),INT($F541/100)*60+MOD($F541,100)))</f>
        <v/>
      </c>
      <c r="K541" s="41" t="str">
        <f>IF($G541="","",IF($G541&lt;1,ROUND($G541*1440,0),INT($G541/100)*60+MOD($G541,100)))</f>
        <v/>
      </c>
    </row>
    <row r="542" ht="15" customHeight="1" s="26">
      <c r="A542" s="34" t="n"/>
      <c r="B542" s="32" t="n"/>
      <c r="C542" s="33" t="n"/>
      <c r="D542" s="37" t="str">
        <f>IF($C542="","",IFERROR(INDEX(프로젝트목록!$B$3:$B$62,MATCH($C542,프로젝트목록!$A$3:$A$62,0)),"미등록코드"))</f>
        <v/>
      </c>
      <c r="E542" s="32" t="n"/>
      <c r="F542" s="38" t="n"/>
      <c r="G542" s="38" t="n"/>
      <c r="H542" s="39" t="n"/>
      <c r="I542" s="40" t="str">
        <f>IF(OR($J542="",$K542=""),"",ROUND(MAX(0,($K542-$J542)-IF($H542="",0,$H542))/60,2))</f>
        <v/>
      </c>
      <c r="J542" s="41" t="str">
        <f>IF($F542="","",IF($F542&lt;1,ROUND($F542*1440,0),INT($F542/100)*60+MOD($F542,100)))</f>
        <v/>
      </c>
      <c r="K542" s="41" t="str">
        <f>IF($G542="","",IF($G542&lt;1,ROUND($G542*1440,0),INT($G542/100)*60+MOD($G542,100)))</f>
        <v/>
      </c>
    </row>
    <row r="543" ht="15" customHeight="1" s="26">
      <c r="A543" s="34" t="n"/>
      <c r="B543" s="32" t="n"/>
      <c r="C543" s="33" t="n"/>
      <c r="D543" s="37" t="str">
        <f>IF($C543="","",IFERROR(INDEX(프로젝트목록!$B$3:$B$62,MATCH($C543,프로젝트목록!$A$3:$A$62,0)),"미등록코드"))</f>
        <v/>
      </c>
      <c r="E543" s="32" t="n"/>
      <c r="F543" s="38" t="n"/>
      <c r="G543" s="38" t="n"/>
      <c r="H543" s="39" t="n"/>
      <c r="I543" s="40" t="str">
        <f>IF(OR($J543="",$K543=""),"",ROUND(MAX(0,($K543-$J543)-IF($H543="",0,$H543))/60,2))</f>
        <v/>
      </c>
      <c r="J543" s="41" t="str">
        <f>IF($F543="","",IF($F543&lt;1,ROUND($F543*1440,0),INT($F543/100)*60+MOD($F543,100)))</f>
        <v/>
      </c>
      <c r="K543" s="41" t="str">
        <f>IF($G543="","",IF($G543&lt;1,ROUND($G543*1440,0),INT($G543/100)*60+MOD($G543,100)))</f>
        <v/>
      </c>
    </row>
    <row r="544" ht="15" customHeight="1" s="26">
      <c r="A544" s="34" t="n"/>
      <c r="B544" s="32" t="n"/>
      <c r="C544" s="33" t="n"/>
      <c r="D544" s="37" t="str">
        <f>IF($C544="","",IFERROR(INDEX(프로젝트목록!$B$3:$B$62,MATCH($C544,프로젝트목록!$A$3:$A$62,0)),"미등록코드"))</f>
        <v/>
      </c>
      <c r="E544" s="32" t="n"/>
      <c r="F544" s="38" t="n"/>
      <c r="G544" s="38" t="n"/>
      <c r="H544" s="39" t="n"/>
      <c r="I544" s="40" t="str">
        <f>IF(OR($J544="",$K544=""),"",ROUND(MAX(0,($K544-$J544)-IF($H544="",0,$H544))/60,2))</f>
        <v/>
      </c>
      <c r="J544" s="41" t="str">
        <f>IF($F544="","",IF($F544&lt;1,ROUND($F544*1440,0),INT($F544/100)*60+MOD($F544,100)))</f>
        <v/>
      </c>
      <c r="K544" s="41" t="str">
        <f>IF($G544="","",IF($G544&lt;1,ROUND($G544*1440,0),INT($G544/100)*60+MOD($G544,100)))</f>
        <v/>
      </c>
    </row>
    <row r="545" ht="15" customHeight="1" s="26">
      <c r="A545" s="34" t="n"/>
      <c r="B545" s="32" t="n"/>
      <c r="C545" s="33" t="n"/>
      <c r="D545" s="37" t="str">
        <f>IF($C545="","",IFERROR(INDEX(프로젝트목록!$B$3:$B$62,MATCH($C545,프로젝트목록!$A$3:$A$62,0)),"미등록코드"))</f>
        <v/>
      </c>
      <c r="E545" s="32" t="n"/>
      <c r="F545" s="38" t="n"/>
      <c r="G545" s="38" t="n"/>
      <c r="H545" s="39" t="n"/>
      <c r="I545" s="40" t="str">
        <f>IF(OR($J545="",$K545=""),"",ROUND(MAX(0,($K545-$J545)-IF($H545="",0,$H545))/60,2))</f>
        <v/>
      </c>
      <c r="J545" s="41" t="str">
        <f>IF($F545="","",IF($F545&lt;1,ROUND($F545*1440,0),INT($F545/100)*60+MOD($F545,100)))</f>
        <v/>
      </c>
      <c r="K545" s="41" t="str">
        <f>IF($G545="","",IF($G545&lt;1,ROUND($G545*1440,0),INT($G545/100)*60+MOD($G545,100)))</f>
        <v/>
      </c>
    </row>
    <row r="546" ht="15" customHeight="1" s="26">
      <c r="A546" s="34" t="n"/>
      <c r="B546" s="32" t="n"/>
      <c r="C546" s="33" t="n"/>
      <c r="D546" s="37" t="str">
        <f>IF($C546="","",IFERROR(INDEX(프로젝트목록!$B$3:$B$62,MATCH($C546,프로젝트목록!$A$3:$A$62,0)),"미등록코드"))</f>
        <v/>
      </c>
      <c r="E546" s="32" t="n"/>
      <c r="F546" s="38" t="n"/>
      <c r="G546" s="38" t="n"/>
      <c r="H546" s="39" t="n"/>
      <c r="I546" s="40" t="str">
        <f>IF(OR($J546="",$K546=""),"",ROUND(MAX(0,($K546-$J546)-IF($H546="",0,$H546))/60,2))</f>
        <v/>
      </c>
      <c r="J546" s="41" t="str">
        <f>IF($F546="","",IF($F546&lt;1,ROUND($F546*1440,0),INT($F546/100)*60+MOD($F546,100)))</f>
        <v/>
      </c>
      <c r="K546" s="41" t="str">
        <f>IF($G546="","",IF($G546&lt;1,ROUND($G546*1440,0),INT($G546/100)*60+MOD($G546,100)))</f>
        <v/>
      </c>
    </row>
    <row r="547" ht="15" customHeight="1" s="26">
      <c r="A547" s="34" t="n"/>
      <c r="B547" s="32" t="n"/>
      <c r="C547" s="33" t="n"/>
      <c r="D547" s="37" t="str">
        <f>IF($C547="","",IFERROR(INDEX(프로젝트목록!$B$3:$B$62,MATCH($C547,프로젝트목록!$A$3:$A$62,0)),"미등록코드"))</f>
        <v/>
      </c>
      <c r="E547" s="32" t="n"/>
      <c r="F547" s="38" t="n"/>
      <c r="G547" s="38" t="n"/>
      <c r="H547" s="39" t="n"/>
      <c r="I547" s="40" t="str">
        <f>IF(OR($J547="",$K547=""),"",ROUND(MAX(0,($K547-$J547)-IF($H547="",0,$H547))/60,2))</f>
        <v/>
      </c>
      <c r="J547" s="41" t="str">
        <f>IF($F547="","",IF($F547&lt;1,ROUND($F547*1440,0),INT($F547/100)*60+MOD($F547,100)))</f>
        <v/>
      </c>
      <c r="K547" s="41" t="str">
        <f>IF($G547="","",IF($G547&lt;1,ROUND($G547*1440,0),INT($G547/100)*60+MOD($G547,100)))</f>
        <v/>
      </c>
    </row>
    <row r="548" ht="15" customHeight="1" s="26">
      <c r="A548" s="34" t="n"/>
      <c r="B548" s="32" t="n"/>
      <c r="C548" s="33" t="n"/>
      <c r="D548" s="37" t="str">
        <f>IF($C548="","",IFERROR(INDEX(프로젝트목록!$B$3:$B$62,MATCH($C548,프로젝트목록!$A$3:$A$62,0)),"미등록코드"))</f>
        <v/>
      </c>
      <c r="E548" s="32" t="n"/>
      <c r="F548" s="38" t="n"/>
      <c r="G548" s="38" t="n"/>
      <c r="H548" s="39" t="n"/>
      <c r="I548" s="40" t="str">
        <f>IF(OR($J548="",$K548=""),"",ROUND(MAX(0,($K548-$J548)-IF($H548="",0,$H548))/60,2))</f>
        <v/>
      </c>
      <c r="J548" s="41" t="str">
        <f>IF($F548="","",IF($F548&lt;1,ROUND($F548*1440,0),INT($F548/100)*60+MOD($F548,100)))</f>
        <v/>
      </c>
      <c r="K548" s="41" t="str">
        <f>IF($G548="","",IF($G548&lt;1,ROUND($G548*1440,0),INT($G548/100)*60+MOD($G548,100)))</f>
        <v/>
      </c>
    </row>
    <row r="549" ht="15" customHeight="1" s="26">
      <c r="A549" s="34" t="n"/>
      <c r="B549" s="32" t="n"/>
      <c r="C549" s="33" t="n"/>
      <c r="D549" s="37" t="str">
        <f>IF($C549="","",IFERROR(INDEX(프로젝트목록!$B$3:$B$62,MATCH($C549,프로젝트목록!$A$3:$A$62,0)),"미등록코드"))</f>
        <v/>
      </c>
      <c r="E549" s="32" t="n"/>
      <c r="F549" s="38" t="n"/>
      <c r="G549" s="38" t="n"/>
      <c r="H549" s="39" t="n"/>
      <c r="I549" s="40" t="str">
        <f>IF(OR($J549="",$K549=""),"",ROUND(MAX(0,($K549-$J549)-IF($H549="",0,$H549))/60,2))</f>
        <v/>
      </c>
      <c r="J549" s="41" t="str">
        <f>IF($F549="","",IF($F549&lt;1,ROUND($F549*1440,0),INT($F549/100)*60+MOD($F549,100)))</f>
        <v/>
      </c>
      <c r="K549" s="41" t="str">
        <f>IF($G549="","",IF($G549&lt;1,ROUND($G549*1440,0),INT($G549/100)*60+MOD($G549,100)))</f>
        <v/>
      </c>
    </row>
    <row r="550" ht="15" customHeight="1" s="26">
      <c r="A550" s="34" t="n"/>
      <c r="B550" s="32" t="n"/>
      <c r="C550" s="33" t="n"/>
      <c r="D550" s="37" t="str">
        <f>IF($C550="","",IFERROR(INDEX(프로젝트목록!$B$3:$B$62,MATCH($C550,프로젝트목록!$A$3:$A$62,0)),"미등록코드"))</f>
        <v/>
      </c>
      <c r="E550" s="32" t="n"/>
      <c r="F550" s="38" t="n"/>
      <c r="G550" s="38" t="n"/>
      <c r="H550" s="39" t="n"/>
      <c r="I550" s="40" t="str">
        <f>IF(OR($J550="",$K550=""),"",ROUND(MAX(0,($K550-$J550)-IF($H550="",0,$H550))/60,2))</f>
        <v/>
      </c>
      <c r="J550" s="41" t="str">
        <f>IF($F550="","",IF($F550&lt;1,ROUND($F550*1440,0),INT($F550/100)*60+MOD($F550,100)))</f>
        <v/>
      </c>
      <c r="K550" s="41" t="str">
        <f>IF($G550="","",IF($G550&lt;1,ROUND($G550*1440,0),INT($G550/100)*60+MOD($G550,100)))</f>
        <v/>
      </c>
    </row>
    <row r="551" ht="15" customHeight="1" s="26">
      <c r="A551" s="34" t="n"/>
      <c r="B551" s="32" t="n"/>
      <c r="C551" s="33" t="n"/>
      <c r="D551" s="37" t="str">
        <f>IF($C551="","",IFERROR(INDEX(프로젝트목록!$B$3:$B$62,MATCH($C551,프로젝트목록!$A$3:$A$62,0)),"미등록코드"))</f>
        <v/>
      </c>
      <c r="E551" s="32" t="n"/>
      <c r="F551" s="38" t="n"/>
      <c r="G551" s="38" t="n"/>
      <c r="H551" s="39" t="n"/>
      <c r="I551" s="40" t="str">
        <f>IF(OR($J551="",$K551=""),"",ROUND(MAX(0,($K551-$J551)-IF($H551="",0,$H551))/60,2))</f>
        <v/>
      </c>
      <c r="J551" s="41" t="str">
        <f>IF($F551="","",IF($F551&lt;1,ROUND($F551*1440,0),INT($F551/100)*60+MOD($F551,100)))</f>
        <v/>
      </c>
      <c r="K551" s="41" t="str">
        <f>IF($G551="","",IF($G551&lt;1,ROUND($G551*1440,0),INT($G551/100)*60+MOD($G551,100)))</f>
        <v/>
      </c>
    </row>
    <row r="552" ht="15" customHeight="1" s="26">
      <c r="A552" s="34" t="n"/>
      <c r="B552" s="32" t="n"/>
      <c r="C552" s="33" t="n"/>
      <c r="D552" s="37" t="str">
        <f>IF($C552="","",IFERROR(INDEX(프로젝트목록!$B$3:$B$62,MATCH($C552,프로젝트목록!$A$3:$A$62,0)),"미등록코드"))</f>
        <v/>
      </c>
      <c r="E552" s="32" t="n"/>
      <c r="F552" s="38" t="n"/>
      <c r="G552" s="38" t="n"/>
      <c r="H552" s="39" t="n"/>
      <c r="I552" s="40" t="str">
        <f>IF(OR($J552="",$K552=""),"",ROUND(MAX(0,($K552-$J552)-IF($H552="",0,$H552))/60,2))</f>
        <v/>
      </c>
      <c r="J552" s="41" t="str">
        <f>IF($F552="","",IF($F552&lt;1,ROUND($F552*1440,0),INT($F552/100)*60+MOD($F552,100)))</f>
        <v/>
      </c>
      <c r="K552" s="41" t="str">
        <f>IF($G552="","",IF($G552&lt;1,ROUND($G552*1440,0),INT($G552/100)*60+MOD($G552,100)))</f>
        <v/>
      </c>
    </row>
    <row r="553" ht="15" customHeight="1" s="26">
      <c r="A553" s="34" t="n"/>
      <c r="B553" s="32" t="n"/>
      <c r="C553" s="33" t="n"/>
      <c r="D553" s="37" t="str">
        <f>IF($C553="","",IFERROR(INDEX(프로젝트목록!$B$3:$B$62,MATCH($C553,프로젝트목록!$A$3:$A$62,0)),"미등록코드"))</f>
        <v/>
      </c>
      <c r="E553" s="32" t="n"/>
      <c r="F553" s="38" t="n"/>
      <c r="G553" s="38" t="n"/>
      <c r="H553" s="39" t="n"/>
      <c r="I553" s="40" t="str">
        <f>IF(OR($J553="",$K553=""),"",ROUND(MAX(0,($K553-$J553)-IF($H553="",0,$H553))/60,2))</f>
        <v/>
      </c>
      <c r="J553" s="41" t="str">
        <f>IF($F553="","",IF($F553&lt;1,ROUND($F553*1440,0),INT($F553/100)*60+MOD($F553,100)))</f>
        <v/>
      </c>
      <c r="K553" s="41" t="str">
        <f>IF($G553="","",IF($G553&lt;1,ROUND($G553*1440,0),INT($G553/100)*60+MOD($G553,100)))</f>
        <v/>
      </c>
    </row>
    <row r="554" ht="15" customHeight="1" s="26">
      <c r="A554" s="34" t="n"/>
      <c r="B554" s="32" t="n"/>
      <c r="C554" s="33" t="n"/>
      <c r="D554" s="37" t="str">
        <f>IF($C554="","",IFERROR(INDEX(프로젝트목록!$B$3:$B$62,MATCH($C554,프로젝트목록!$A$3:$A$62,0)),"미등록코드"))</f>
        <v/>
      </c>
      <c r="E554" s="32" t="n"/>
      <c r="F554" s="38" t="n"/>
      <c r="G554" s="38" t="n"/>
      <c r="H554" s="39" t="n"/>
      <c r="I554" s="40" t="str">
        <f>IF(OR($J554="",$K554=""),"",ROUND(MAX(0,($K554-$J554)-IF($H554="",0,$H554))/60,2))</f>
        <v/>
      </c>
      <c r="J554" s="41" t="str">
        <f>IF($F554="","",IF($F554&lt;1,ROUND($F554*1440,0),INT($F554/100)*60+MOD($F554,100)))</f>
        <v/>
      </c>
      <c r="K554" s="41" t="str">
        <f>IF($G554="","",IF($G554&lt;1,ROUND($G554*1440,0),INT($G554/100)*60+MOD($G554,100)))</f>
        <v/>
      </c>
    </row>
    <row r="555" ht="15" customHeight="1" s="26">
      <c r="A555" s="34" t="n"/>
      <c r="B555" s="32" t="n"/>
      <c r="C555" s="33" t="n"/>
      <c r="D555" s="37" t="str">
        <f>IF($C555="","",IFERROR(INDEX(프로젝트목록!$B$3:$B$62,MATCH($C555,프로젝트목록!$A$3:$A$62,0)),"미등록코드"))</f>
        <v/>
      </c>
      <c r="E555" s="32" t="n"/>
      <c r="F555" s="38" t="n"/>
      <c r="G555" s="38" t="n"/>
      <c r="H555" s="39" t="n"/>
      <c r="I555" s="40" t="str">
        <f>IF(OR($J555="",$K555=""),"",ROUND(MAX(0,($K555-$J555)-IF($H555="",0,$H555))/60,2))</f>
        <v/>
      </c>
      <c r="J555" s="41" t="str">
        <f>IF($F555="","",IF($F555&lt;1,ROUND($F555*1440,0),INT($F555/100)*60+MOD($F555,100)))</f>
        <v/>
      </c>
      <c r="K555" s="41" t="str">
        <f>IF($G555="","",IF($G555&lt;1,ROUND($G555*1440,0),INT($G555/100)*60+MOD($G555,100)))</f>
        <v/>
      </c>
    </row>
    <row r="556" ht="15" customHeight="1" s="26">
      <c r="A556" s="34" t="n"/>
      <c r="B556" s="32" t="n"/>
      <c r="C556" s="33" t="n"/>
      <c r="D556" s="37" t="str">
        <f>IF($C556="","",IFERROR(INDEX(프로젝트목록!$B$3:$B$62,MATCH($C556,프로젝트목록!$A$3:$A$62,0)),"미등록코드"))</f>
        <v/>
      </c>
      <c r="E556" s="32" t="n"/>
      <c r="F556" s="38" t="n"/>
      <c r="G556" s="38" t="n"/>
      <c r="H556" s="39" t="n"/>
      <c r="I556" s="40" t="str">
        <f>IF(OR($J556="",$K556=""),"",ROUND(MAX(0,($K556-$J556)-IF($H556="",0,$H556))/60,2))</f>
        <v/>
      </c>
      <c r="J556" s="41" t="str">
        <f>IF($F556="","",IF($F556&lt;1,ROUND($F556*1440,0),INT($F556/100)*60+MOD($F556,100)))</f>
        <v/>
      </c>
      <c r="K556" s="41" t="str">
        <f>IF($G556="","",IF($G556&lt;1,ROUND($G556*1440,0),INT($G556/100)*60+MOD($G556,100)))</f>
        <v/>
      </c>
    </row>
    <row r="557" ht="15" customHeight="1" s="26">
      <c r="A557" s="34" t="n"/>
      <c r="B557" s="32" t="n"/>
      <c r="C557" s="33" t="n"/>
      <c r="D557" s="37" t="str">
        <f>IF($C557="","",IFERROR(INDEX(프로젝트목록!$B$3:$B$62,MATCH($C557,프로젝트목록!$A$3:$A$62,0)),"미등록코드"))</f>
        <v/>
      </c>
      <c r="E557" s="32" t="n"/>
      <c r="F557" s="38" t="n"/>
      <c r="G557" s="38" t="n"/>
      <c r="H557" s="39" t="n"/>
      <c r="I557" s="40" t="str">
        <f>IF(OR($J557="",$K557=""),"",ROUND(MAX(0,($K557-$J557)-IF($H557="",0,$H557))/60,2))</f>
        <v/>
      </c>
      <c r="J557" s="41" t="str">
        <f>IF($F557="","",IF($F557&lt;1,ROUND($F557*1440,0),INT($F557/100)*60+MOD($F557,100)))</f>
        <v/>
      </c>
      <c r="K557" s="41" t="str">
        <f>IF($G557="","",IF($G557&lt;1,ROUND($G557*1440,0),INT($G557/100)*60+MOD($G557,100)))</f>
        <v/>
      </c>
    </row>
    <row r="558" ht="15" customHeight="1" s="26">
      <c r="A558" s="34" t="n"/>
      <c r="B558" s="32" t="n"/>
      <c r="C558" s="33" t="n"/>
      <c r="D558" s="37" t="str">
        <f>IF($C558="","",IFERROR(INDEX(프로젝트목록!$B$3:$B$62,MATCH($C558,프로젝트목록!$A$3:$A$62,0)),"미등록코드"))</f>
        <v/>
      </c>
      <c r="E558" s="32" t="n"/>
      <c r="F558" s="38" t="n"/>
      <c r="G558" s="38" t="n"/>
      <c r="H558" s="39" t="n"/>
      <c r="I558" s="40" t="str">
        <f>IF(OR($J558="",$K558=""),"",ROUND(MAX(0,($K558-$J558)-IF($H558="",0,$H558))/60,2))</f>
        <v/>
      </c>
      <c r="J558" s="41" t="str">
        <f>IF($F558="","",IF($F558&lt;1,ROUND($F558*1440,0),INT($F558/100)*60+MOD($F558,100)))</f>
        <v/>
      </c>
      <c r="K558" s="41" t="str">
        <f>IF($G558="","",IF($G558&lt;1,ROUND($G558*1440,0),INT($G558/100)*60+MOD($G558,100)))</f>
        <v/>
      </c>
    </row>
    <row r="559" ht="15" customHeight="1" s="26">
      <c r="A559" s="34" t="n"/>
      <c r="B559" s="32" t="n"/>
      <c r="C559" s="33" t="n"/>
      <c r="D559" s="37" t="str">
        <f>IF($C559="","",IFERROR(INDEX(프로젝트목록!$B$3:$B$62,MATCH($C559,프로젝트목록!$A$3:$A$62,0)),"미등록코드"))</f>
        <v/>
      </c>
      <c r="E559" s="32" t="n"/>
      <c r="F559" s="38" t="n"/>
      <c r="G559" s="38" t="n"/>
      <c r="H559" s="39" t="n"/>
      <c r="I559" s="40" t="str">
        <f>IF(OR($J559="",$K559=""),"",ROUND(MAX(0,($K559-$J559)-IF($H559="",0,$H559))/60,2))</f>
        <v/>
      </c>
      <c r="J559" s="41" t="str">
        <f>IF($F559="","",IF($F559&lt;1,ROUND($F559*1440,0),INT($F559/100)*60+MOD($F559,100)))</f>
        <v/>
      </c>
      <c r="K559" s="41" t="str">
        <f>IF($G559="","",IF($G559&lt;1,ROUND($G559*1440,0),INT($G559/100)*60+MOD($G559,100)))</f>
        <v/>
      </c>
    </row>
    <row r="560" ht="15" customHeight="1" s="26">
      <c r="A560" s="34" t="n"/>
      <c r="B560" s="32" t="n"/>
      <c r="C560" s="33" t="n"/>
      <c r="D560" s="37" t="str">
        <f>IF($C560="","",IFERROR(INDEX(프로젝트목록!$B$3:$B$62,MATCH($C560,프로젝트목록!$A$3:$A$62,0)),"미등록코드"))</f>
        <v/>
      </c>
      <c r="E560" s="32" t="n"/>
      <c r="F560" s="38" t="n"/>
      <c r="G560" s="38" t="n"/>
      <c r="H560" s="39" t="n"/>
      <c r="I560" s="40" t="str">
        <f>IF(OR($J560="",$K560=""),"",ROUND(MAX(0,($K560-$J560)-IF($H560="",0,$H560))/60,2))</f>
        <v/>
      </c>
      <c r="J560" s="41" t="str">
        <f>IF($F560="","",IF($F560&lt;1,ROUND($F560*1440,0),INT($F560/100)*60+MOD($F560,100)))</f>
        <v/>
      </c>
      <c r="K560" s="41" t="str">
        <f>IF($G560="","",IF($G560&lt;1,ROUND($G560*1440,0),INT($G560/100)*60+MOD($G560,100)))</f>
        <v/>
      </c>
    </row>
    <row r="561" ht="15" customHeight="1" s="26">
      <c r="A561" s="34" t="n"/>
      <c r="B561" s="32" t="n"/>
      <c r="C561" s="33" t="n"/>
      <c r="D561" s="37" t="str">
        <f>IF($C561="","",IFERROR(INDEX(프로젝트목록!$B$3:$B$62,MATCH($C561,프로젝트목록!$A$3:$A$62,0)),"미등록코드"))</f>
        <v/>
      </c>
      <c r="E561" s="32" t="n"/>
      <c r="F561" s="38" t="n"/>
      <c r="G561" s="38" t="n"/>
      <c r="H561" s="39" t="n"/>
      <c r="I561" s="40" t="str">
        <f>IF(OR($J561="",$K561=""),"",ROUND(MAX(0,($K561-$J561)-IF($H561="",0,$H561))/60,2))</f>
        <v/>
      </c>
      <c r="J561" s="41" t="str">
        <f>IF($F561="","",IF($F561&lt;1,ROUND($F561*1440,0),INT($F561/100)*60+MOD($F561,100)))</f>
        <v/>
      </c>
      <c r="K561" s="41" t="str">
        <f>IF($G561="","",IF($G561&lt;1,ROUND($G561*1440,0),INT($G561/100)*60+MOD($G561,100)))</f>
        <v/>
      </c>
    </row>
    <row r="562" ht="15" customHeight="1" s="26">
      <c r="A562" s="34" t="n"/>
      <c r="B562" s="32" t="n"/>
      <c r="C562" s="33" t="n"/>
      <c r="D562" s="37" t="str">
        <f>IF($C562="","",IFERROR(INDEX(프로젝트목록!$B$3:$B$62,MATCH($C562,프로젝트목록!$A$3:$A$62,0)),"미등록코드"))</f>
        <v/>
      </c>
      <c r="E562" s="32" t="n"/>
      <c r="F562" s="38" t="n"/>
      <c r="G562" s="38" t="n"/>
      <c r="H562" s="39" t="n"/>
      <c r="I562" s="40" t="str">
        <f>IF(OR($J562="",$K562=""),"",ROUND(MAX(0,($K562-$J562)-IF($H562="",0,$H562))/60,2))</f>
        <v/>
      </c>
      <c r="J562" s="41" t="str">
        <f>IF($F562="","",IF($F562&lt;1,ROUND($F562*1440,0),INT($F562/100)*60+MOD($F562,100)))</f>
        <v/>
      </c>
      <c r="K562" s="41" t="str">
        <f>IF($G562="","",IF($G562&lt;1,ROUND($G562*1440,0),INT($G562/100)*60+MOD($G562,100)))</f>
        <v/>
      </c>
    </row>
    <row r="563" ht="15" customHeight="1" s="26">
      <c r="A563" s="34" t="n"/>
      <c r="B563" s="32" t="n"/>
      <c r="C563" s="33" t="n"/>
      <c r="D563" s="37" t="str">
        <f>IF($C563="","",IFERROR(INDEX(프로젝트목록!$B$3:$B$62,MATCH($C563,프로젝트목록!$A$3:$A$62,0)),"미등록코드"))</f>
        <v/>
      </c>
      <c r="E563" s="32" t="n"/>
      <c r="F563" s="38" t="n"/>
      <c r="G563" s="38" t="n"/>
      <c r="H563" s="39" t="n"/>
      <c r="I563" s="40" t="str">
        <f>IF(OR($J563="",$K563=""),"",ROUND(MAX(0,($K563-$J563)-IF($H563="",0,$H563))/60,2))</f>
        <v/>
      </c>
      <c r="J563" s="41" t="str">
        <f>IF($F563="","",IF($F563&lt;1,ROUND($F563*1440,0),INT($F563/100)*60+MOD($F563,100)))</f>
        <v/>
      </c>
      <c r="K563" s="41" t="str">
        <f>IF($G563="","",IF($G563&lt;1,ROUND($G563*1440,0),INT($G563/100)*60+MOD($G563,100)))</f>
        <v/>
      </c>
    </row>
    <row r="564" ht="15" customHeight="1" s="26">
      <c r="A564" s="34" t="n"/>
      <c r="B564" s="32" t="n"/>
      <c r="C564" s="33" t="n"/>
      <c r="D564" s="37" t="str">
        <f>IF($C564="","",IFERROR(INDEX(프로젝트목록!$B$3:$B$62,MATCH($C564,프로젝트목록!$A$3:$A$62,0)),"미등록코드"))</f>
        <v/>
      </c>
      <c r="E564" s="32" t="n"/>
      <c r="F564" s="38" t="n"/>
      <c r="G564" s="38" t="n"/>
      <c r="H564" s="39" t="n"/>
      <c r="I564" s="40" t="str">
        <f>IF(OR($J564="",$K564=""),"",ROUND(MAX(0,($K564-$J564)-IF($H564="",0,$H564))/60,2))</f>
        <v/>
      </c>
      <c r="J564" s="41" t="str">
        <f>IF($F564="","",IF($F564&lt;1,ROUND($F564*1440,0),INT($F564/100)*60+MOD($F564,100)))</f>
        <v/>
      </c>
      <c r="K564" s="41" t="str">
        <f>IF($G564="","",IF($G564&lt;1,ROUND($G564*1440,0),INT($G564/100)*60+MOD($G564,100)))</f>
        <v/>
      </c>
    </row>
    <row r="565" ht="15" customHeight="1" s="26">
      <c r="A565" s="34" t="n"/>
      <c r="B565" s="32" t="n"/>
      <c r="C565" s="33" t="n"/>
      <c r="D565" s="37" t="str">
        <f>IF($C565="","",IFERROR(INDEX(프로젝트목록!$B$3:$B$62,MATCH($C565,프로젝트목록!$A$3:$A$62,0)),"미등록코드"))</f>
        <v/>
      </c>
      <c r="E565" s="32" t="n"/>
      <c r="F565" s="38" t="n"/>
      <c r="G565" s="38" t="n"/>
      <c r="H565" s="39" t="n"/>
      <c r="I565" s="40" t="str">
        <f>IF(OR($J565="",$K565=""),"",ROUND(MAX(0,($K565-$J565)-IF($H565="",0,$H565))/60,2))</f>
        <v/>
      </c>
      <c r="J565" s="41" t="str">
        <f>IF($F565="","",IF($F565&lt;1,ROUND($F565*1440,0),INT($F565/100)*60+MOD($F565,100)))</f>
        <v/>
      </c>
      <c r="K565" s="41" t="str">
        <f>IF($G565="","",IF($G565&lt;1,ROUND($G565*1440,0),INT($G565/100)*60+MOD($G565,100)))</f>
        <v/>
      </c>
    </row>
    <row r="566" ht="15" customHeight="1" s="26">
      <c r="A566" s="34" t="n"/>
      <c r="B566" s="32" t="n"/>
      <c r="C566" s="33" t="n"/>
      <c r="D566" s="37" t="str">
        <f>IF($C566="","",IFERROR(INDEX(프로젝트목록!$B$3:$B$62,MATCH($C566,프로젝트목록!$A$3:$A$62,0)),"미등록코드"))</f>
        <v/>
      </c>
      <c r="E566" s="32" t="n"/>
      <c r="F566" s="38" t="n"/>
      <c r="G566" s="38" t="n"/>
      <c r="H566" s="39" t="n"/>
      <c r="I566" s="40" t="str">
        <f>IF(OR($J566="",$K566=""),"",ROUND(MAX(0,($K566-$J566)-IF($H566="",0,$H566))/60,2))</f>
        <v/>
      </c>
      <c r="J566" s="41" t="str">
        <f>IF($F566="","",IF($F566&lt;1,ROUND($F566*1440,0),INT($F566/100)*60+MOD($F566,100)))</f>
        <v/>
      </c>
      <c r="K566" s="41" t="str">
        <f>IF($G566="","",IF($G566&lt;1,ROUND($G566*1440,0),INT($G566/100)*60+MOD($G566,100)))</f>
        <v/>
      </c>
    </row>
    <row r="567" ht="15" customHeight="1" s="26">
      <c r="A567" s="34" t="n"/>
      <c r="B567" s="32" t="n"/>
      <c r="C567" s="33" t="n"/>
      <c r="D567" s="37" t="str">
        <f>IF($C567="","",IFERROR(INDEX(프로젝트목록!$B$3:$B$62,MATCH($C567,프로젝트목록!$A$3:$A$62,0)),"미등록코드"))</f>
        <v/>
      </c>
      <c r="E567" s="32" t="n"/>
      <c r="F567" s="38" t="n"/>
      <c r="G567" s="38" t="n"/>
      <c r="H567" s="39" t="n"/>
      <c r="I567" s="40" t="str">
        <f>IF(OR($J567="",$K567=""),"",ROUND(MAX(0,($K567-$J567)-IF($H567="",0,$H567))/60,2))</f>
        <v/>
      </c>
      <c r="J567" s="41" t="str">
        <f>IF($F567="","",IF($F567&lt;1,ROUND($F567*1440,0),INT($F567/100)*60+MOD($F567,100)))</f>
        <v/>
      </c>
      <c r="K567" s="41" t="str">
        <f>IF($G567="","",IF($G567&lt;1,ROUND($G567*1440,0),INT($G567/100)*60+MOD($G567,100)))</f>
        <v/>
      </c>
    </row>
    <row r="568" ht="15" customHeight="1" s="26">
      <c r="A568" s="34" t="n"/>
      <c r="B568" s="32" t="n"/>
      <c r="C568" s="33" t="n"/>
      <c r="D568" s="37" t="str">
        <f>IF($C568="","",IFERROR(INDEX(프로젝트목록!$B$3:$B$62,MATCH($C568,프로젝트목록!$A$3:$A$62,0)),"미등록코드"))</f>
        <v/>
      </c>
      <c r="E568" s="32" t="n"/>
      <c r="F568" s="38" t="n"/>
      <c r="G568" s="38" t="n"/>
      <c r="H568" s="39" t="n"/>
      <c r="I568" s="40" t="str">
        <f>IF(OR($J568="",$K568=""),"",ROUND(MAX(0,($K568-$J568)-IF($H568="",0,$H568))/60,2))</f>
        <v/>
      </c>
      <c r="J568" s="41" t="str">
        <f>IF($F568="","",IF($F568&lt;1,ROUND($F568*1440,0),INT($F568/100)*60+MOD($F568,100)))</f>
        <v/>
      </c>
      <c r="K568" s="41" t="str">
        <f>IF($G568="","",IF($G568&lt;1,ROUND($G568*1440,0),INT($G568/100)*60+MOD($G568,100)))</f>
        <v/>
      </c>
    </row>
    <row r="569" ht="15" customHeight="1" s="26">
      <c r="A569" s="34" t="n"/>
      <c r="B569" s="32" t="n"/>
      <c r="C569" s="33" t="n"/>
      <c r="D569" s="37" t="str">
        <f>IF($C569="","",IFERROR(INDEX(프로젝트목록!$B$3:$B$62,MATCH($C569,프로젝트목록!$A$3:$A$62,0)),"미등록코드"))</f>
        <v/>
      </c>
      <c r="E569" s="32" t="n"/>
      <c r="F569" s="38" t="n"/>
      <c r="G569" s="38" t="n"/>
      <c r="H569" s="39" t="n"/>
      <c r="I569" s="40" t="str">
        <f>IF(OR($J569="",$K569=""),"",ROUND(MAX(0,($K569-$J569)-IF($H569="",0,$H569))/60,2))</f>
        <v/>
      </c>
      <c r="J569" s="41" t="str">
        <f>IF($F569="","",IF($F569&lt;1,ROUND($F569*1440,0),INT($F569/100)*60+MOD($F569,100)))</f>
        <v/>
      </c>
      <c r="K569" s="41" t="str">
        <f>IF($G569="","",IF($G569&lt;1,ROUND($G569*1440,0),INT($G569/100)*60+MOD($G569,100)))</f>
        <v/>
      </c>
    </row>
    <row r="570" ht="15" customHeight="1" s="26">
      <c r="A570" s="34" t="n"/>
      <c r="B570" s="32" t="n"/>
      <c r="C570" s="33" t="n"/>
      <c r="D570" s="37" t="str">
        <f>IF($C570="","",IFERROR(INDEX(프로젝트목록!$B$3:$B$62,MATCH($C570,프로젝트목록!$A$3:$A$62,0)),"미등록코드"))</f>
        <v/>
      </c>
      <c r="E570" s="32" t="n"/>
      <c r="F570" s="38" t="n"/>
      <c r="G570" s="38" t="n"/>
      <c r="H570" s="39" t="n"/>
      <c r="I570" s="40" t="str">
        <f>IF(OR($J570="",$K570=""),"",ROUND(MAX(0,($K570-$J570)-IF($H570="",0,$H570))/60,2))</f>
        <v/>
      </c>
      <c r="J570" s="41" t="str">
        <f>IF($F570="","",IF($F570&lt;1,ROUND($F570*1440,0),INT($F570/100)*60+MOD($F570,100)))</f>
        <v/>
      </c>
      <c r="K570" s="41" t="str">
        <f>IF($G570="","",IF($G570&lt;1,ROUND($G570*1440,0),INT($G570/100)*60+MOD($G570,100)))</f>
        <v/>
      </c>
    </row>
    <row r="571" ht="15" customHeight="1" s="26">
      <c r="A571" s="34" t="n"/>
      <c r="B571" s="32" t="n"/>
      <c r="C571" s="33" t="n"/>
      <c r="D571" s="37" t="str">
        <f>IF($C571="","",IFERROR(INDEX(프로젝트목록!$B$3:$B$62,MATCH($C571,프로젝트목록!$A$3:$A$62,0)),"미등록코드"))</f>
        <v/>
      </c>
      <c r="E571" s="32" t="n"/>
      <c r="F571" s="38" t="n"/>
      <c r="G571" s="38" t="n"/>
      <c r="H571" s="39" t="n"/>
      <c r="I571" s="40" t="str">
        <f>IF(OR($J571="",$K571=""),"",ROUND(MAX(0,($K571-$J571)-IF($H571="",0,$H571))/60,2))</f>
        <v/>
      </c>
      <c r="J571" s="41" t="str">
        <f>IF($F571="","",IF($F571&lt;1,ROUND($F571*1440,0),INT($F571/100)*60+MOD($F571,100)))</f>
        <v/>
      </c>
      <c r="K571" s="41" t="str">
        <f>IF($G571="","",IF($G571&lt;1,ROUND($G571*1440,0),INT($G571/100)*60+MOD($G571,100)))</f>
        <v/>
      </c>
    </row>
    <row r="572" ht="15" customHeight="1" s="26">
      <c r="A572" s="34" t="n"/>
      <c r="B572" s="32" t="n"/>
      <c r="C572" s="33" t="n"/>
      <c r="D572" s="37" t="str">
        <f>IF($C572="","",IFERROR(INDEX(프로젝트목록!$B$3:$B$62,MATCH($C572,프로젝트목록!$A$3:$A$62,0)),"미등록코드"))</f>
        <v/>
      </c>
      <c r="E572" s="32" t="n"/>
      <c r="F572" s="38" t="n"/>
      <c r="G572" s="38" t="n"/>
      <c r="H572" s="39" t="n"/>
      <c r="I572" s="40" t="str">
        <f>IF(OR($J572="",$K572=""),"",ROUND(MAX(0,($K572-$J572)-IF($H572="",0,$H572))/60,2))</f>
        <v/>
      </c>
      <c r="J572" s="41" t="str">
        <f>IF($F572="","",IF($F572&lt;1,ROUND($F572*1440,0),INT($F572/100)*60+MOD($F572,100)))</f>
        <v/>
      </c>
      <c r="K572" s="41" t="str">
        <f>IF($G572="","",IF($G572&lt;1,ROUND($G572*1440,0),INT($G572/100)*60+MOD($G572,100)))</f>
        <v/>
      </c>
    </row>
    <row r="573" ht="15" customHeight="1" s="26">
      <c r="A573" s="34" t="n"/>
      <c r="B573" s="32" t="n"/>
      <c r="C573" s="33" t="n"/>
      <c r="D573" s="37" t="str">
        <f>IF($C573="","",IFERROR(INDEX(프로젝트목록!$B$3:$B$62,MATCH($C573,프로젝트목록!$A$3:$A$62,0)),"미등록코드"))</f>
        <v/>
      </c>
      <c r="E573" s="32" t="n"/>
      <c r="F573" s="38" t="n"/>
      <c r="G573" s="38" t="n"/>
      <c r="H573" s="39" t="n"/>
      <c r="I573" s="40" t="str">
        <f>IF(OR($J573="",$K573=""),"",ROUND(MAX(0,($K573-$J573)-IF($H573="",0,$H573))/60,2))</f>
        <v/>
      </c>
      <c r="J573" s="41" t="str">
        <f>IF($F573="","",IF($F573&lt;1,ROUND($F573*1440,0),INT($F573/100)*60+MOD($F573,100)))</f>
        <v/>
      </c>
      <c r="K573" s="41" t="str">
        <f>IF($G573="","",IF($G573&lt;1,ROUND($G573*1440,0),INT($G573/100)*60+MOD($G573,100)))</f>
        <v/>
      </c>
    </row>
    <row r="574" ht="15" customHeight="1" s="26">
      <c r="A574" s="34" t="n"/>
      <c r="B574" s="32" t="n"/>
      <c r="C574" s="33" t="n"/>
      <c r="D574" s="37" t="str">
        <f>IF($C574="","",IFERROR(INDEX(프로젝트목록!$B$3:$B$62,MATCH($C574,프로젝트목록!$A$3:$A$62,0)),"미등록코드"))</f>
        <v/>
      </c>
      <c r="E574" s="32" t="n"/>
      <c r="F574" s="38" t="n"/>
      <c r="G574" s="38" t="n"/>
      <c r="H574" s="39" t="n"/>
      <c r="I574" s="40" t="str">
        <f>IF(OR($J574="",$K574=""),"",ROUND(MAX(0,($K574-$J574)-IF($H574="",0,$H574))/60,2))</f>
        <v/>
      </c>
      <c r="J574" s="41" t="str">
        <f>IF($F574="","",IF($F574&lt;1,ROUND($F574*1440,0),INT($F574/100)*60+MOD($F574,100)))</f>
        <v/>
      </c>
      <c r="K574" s="41" t="str">
        <f>IF($G574="","",IF($G574&lt;1,ROUND($G574*1440,0),INT($G574/100)*60+MOD($G574,100)))</f>
        <v/>
      </c>
    </row>
    <row r="575" ht="15" customHeight="1" s="26">
      <c r="A575" s="34" t="n"/>
      <c r="B575" s="32" t="n"/>
      <c r="C575" s="33" t="n"/>
      <c r="D575" s="37" t="str">
        <f>IF($C575="","",IFERROR(INDEX(프로젝트목록!$B$3:$B$62,MATCH($C575,프로젝트목록!$A$3:$A$62,0)),"미등록코드"))</f>
        <v/>
      </c>
      <c r="E575" s="32" t="n"/>
      <c r="F575" s="38" t="n"/>
      <c r="G575" s="38" t="n"/>
      <c r="H575" s="39" t="n"/>
      <c r="I575" s="40" t="str">
        <f>IF(OR($J575="",$K575=""),"",ROUND(MAX(0,($K575-$J575)-IF($H575="",0,$H575))/60,2))</f>
        <v/>
      </c>
      <c r="J575" s="41" t="str">
        <f>IF($F575="","",IF($F575&lt;1,ROUND($F575*1440,0),INT($F575/100)*60+MOD($F575,100)))</f>
        <v/>
      </c>
      <c r="K575" s="41" t="str">
        <f>IF($G575="","",IF($G575&lt;1,ROUND($G575*1440,0),INT($G575/100)*60+MOD($G575,100)))</f>
        <v/>
      </c>
    </row>
    <row r="576" ht="15" customHeight="1" s="26">
      <c r="A576" s="34" t="n"/>
      <c r="B576" s="32" t="n"/>
      <c r="C576" s="33" t="n"/>
      <c r="D576" s="37" t="str">
        <f>IF($C576="","",IFERROR(INDEX(프로젝트목록!$B$3:$B$62,MATCH($C576,프로젝트목록!$A$3:$A$62,0)),"미등록코드"))</f>
        <v/>
      </c>
      <c r="E576" s="32" t="n"/>
      <c r="F576" s="38" t="n"/>
      <c r="G576" s="38" t="n"/>
      <c r="H576" s="39" t="n"/>
      <c r="I576" s="40" t="str">
        <f>IF(OR($J576="",$K576=""),"",ROUND(MAX(0,($K576-$J576)-IF($H576="",0,$H576))/60,2))</f>
        <v/>
      </c>
      <c r="J576" s="41" t="str">
        <f>IF($F576="","",IF($F576&lt;1,ROUND($F576*1440,0),INT($F576/100)*60+MOD($F576,100)))</f>
        <v/>
      </c>
      <c r="K576" s="41" t="str">
        <f>IF($G576="","",IF($G576&lt;1,ROUND($G576*1440,0),INT($G576/100)*60+MOD($G576,100)))</f>
        <v/>
      </c>
    </row>
    <row r="577" ht="15" customHeight="1" s="26">
      <c r="A577" s="34" t="n"/>
      <c r="B577" s="32" t="n"/>
      <c r="C577" s="33" t="n"/>
      <c r="D577" s="37" t="str">
        <f>IF($C577="","",IFERROR(INDEX(프로젝트목록!$B$3:$B$62,MATCH($C577,프로젝트목록!$A$3:$A$62,0)),"미등록코드"))</f>
        <v/>
      </c>
      <c r="E577" s="32" t="n"/>
      <c r="F577" s="38" t="n"/>
      <c r="G577" s="38" t="n"/>
      <c r="H577" s="39" t="n"/>
      <c r="I577" s="40" t="str">
        <f>IF(OR($J577="",$K577=""),"",ROUND(MAX(0,($K577-$J577)-IF($H577="",0,$H577))/60,2))</f>
        <v/>
      </c>
      <c r="J577" s="41" t="str">
        <f>IF($F577="","",IF($F577&lt;1,ROUND($F577*1440,0),INT($F577/100)*60+MOD($F577,100)))</f>
        <v/>
      </c>
      <c r="K577" s="41" t="str">
        <f>IF($G577="","",IF($G577&lt;1,ROUND($G577*1440,0),INT($G577/100)*60+MOD($G577,100)))</f>
        <v/>
      </c>
    </row>
    <row r="578" ht="15" customHeight="1" s="26">
      <c r="A578" s="34" t="n"/>
      <c r="B578" s="32" t="n"/>
      <c r="C578" s="33" t="n"/>
      <c r="D578" s="37" t="str">
        <f>IF($C578="","",IFERROR(INDEX(프로젝트목록!$B$3:$B$62,MATCH($C578,프로젝트목록!$A$3:$A$62,0)),"미등록코드"))</f>
        <v/>
      </c>
      <c r="E578" s="32" t="n"/>
      <c r="F578" s="38" t="n"/>
      <c r="G578" s="38" t="n"/>
      <c r="H578" s="39" t="n"/>
      <c r="I578" s="40" t="str">
        <f>IF(OR($J578="",$K578=""),"",ROUND(MAX(0,($K578-$J578)-IF($H578="",0,$H578))/60,2))</f>
        <v/>
      </c>
      <c r="J578" s="41" t="str">
        <f>IF($F578="","",IF($F578&lt;1,ROUND($F578*1440,0),INT($F578/100)*60+MOD($F578,100)))</f>
        <v/>
      </c>
      <c r="K578" s="41" t="str">
        <f>IF($G578="","",IF($G578&lt;1,ROUND($G578*1440,0),INT($G578/100)*60+MOD($G578,100)))</f>
        <v/>
      </c>
    </row>
    <row r="579" ht="15" customHeight="1" s="26">
      <c r="A579" s="34" t="n"/>
      <c r="B579" s="32" t="n"/>
      <c r="C579" s="33" t="n"/>
      <c r="D579" s="37" t="str">
        <f>IF($C579="","",IFERROR(INDEX(프로젝트목록!$B$3:$B$62,MATCH($C579,프로젝트목록!$A$3:$A$62,0)),"미등록코드"))</f>
        <v/>
      </c>
      <c r="E579" s="32" t="n"/>
      <c r="F579" s="38" t="n"/>
      <c r="G579" s="38" t="n"/>
      <c r="H579" s="39" t="n"/>
      <c r="I579" s="40" t="str">
        <f>IF(OR($J579="",$K579=""),"",ROUND(MAX(0,($K579-$J579)-IF($H579="",0,$H579))/60,2))</f>
        <v/>
      </c>
      <c r="J579" s="41" t="str">
        <f>IF($F579="","",IF($F579&lt;1,ROUND($F579*1440,0),INT($F579/100)*60+MOD($F579,100)))</f>
        <v/>
      </c>
      <c r="K579" s="41" t="str">
        <f>IF($G579="","",IF($G579&lt;1,ROUND($G579*1440,0),INT($G579/100)*60+MOD($G579,100)))</f>
        <v/>
      </c>
    </row>
    <row r="580" ht="15" customHeight="1" s="26">
      <c r="A580" s="34" t="n"/>
      <c r="B580" s="32" t="n"/>
      <c r="C580" s="33" t="n"/>
      <c r="D580" s="37" t="str">
        <f>IF($C580="","",IFERROR(INDEX(프로젝트목록!$B$3:$B$62,MATCH($C580,프로젝트목록!$A$3:$A$62,0)),"미등록코드"))</f>
        <v/>
      </c>
      <c r="E580" s="32" t="n"/>
      <c r="F580" s="38" t="n"/>
      <c r="G580" s="38" t="n"/>
      <c r="H580" s="39" t="n"/>
      <c r="I580" s="40" t="str">
        <f>IF(OR($J580="",$K580=""),"",ROUND(MAX(0,($K580-$J580)-IF($H580="",0,$H580))/60,2))</f>
        <v/>
      </c>
      <c r="J580" s="41" t="str">
        <f>IF($F580="","",IF($F580&lt;1,ROUND($F580*1440,0),INT($F580/100)*60+MOD($F580,100)))</f>
        <v/>
      </c>
      <c r="K580" s="41" t="str">
        <f>IF($G580="","",IF($G580&lt;1,ROUND($G580*1440,0),INT($G580/100)*60+MOD($G580,100)))</f>
        <v/>
      </c>
    </row>
    <row r="581" ht="15" customHeight="1" s="26">
      <c r="A581" s="34" t="n"/>
      <c r="B581" s="32" t="n"/>
      <c r="C581" s="33" t="n"/>
      <c r="D581" s="37" t="str">
        <f>IF($C581="","",IFERROR(INDEX(프로젝트목록!$B$3:$B$62,MATCH($C581,프로젝트목록!$A$3:$A$62,0)),"미등록코드"))</f>
        <v/>
      </c>
      <c r="E581" s="32" t="n"/>
      <c r="F581" s="38" t="n"/>
      <c r="G581" s="38" t="n"/>
      <c r="H581" s="39" t="n"/>
      <c r="I581" s="40" t="str">
        <f>IF(OR($J581="",$K581=""),"",ROUND(MAX(0,($K581-$J581)-IF($H581="",0,$H581))/60,2))</f>
        <v/>
      </c>
      <c r="J581" s="41" t="str">
        <f>IF($F581="","",IF($F581&lt;1,ROUND($F581*1440,0),INT($F581/100)*60+MOD($F581,100)))</f>
        <v/>
      </c>
      <c r="K581" s="41" t="str">
        <f>IF($G581="","",IF($G581&lt;1,ROUND($G581*1440,0),INT($G581/100)*60+MOD($G581,100)))</f>
        <v/>
      </c>
    </row>
    <row r="582" ht="15" customHeight="1" s="26">
      <c r="A582" s="34" t="n"/>
      <c r="B582" s="32" t="n"/>
      <c r="C582" s="33" t="n"/>
      <c r="D582" s="37" t="str">
        <f>IF($C582="","",IFERROR(INDEX(프로젝트목록!$B$3:$B$62,MATCH($C582,프로젝트목록!$A$3:$A$62,0)),"미등록코드"))</f>
        <v/>
      </c>
      <c r="E582" s="32" t="n"/>
      <c r="F582" s="38" t="n"/>
      <c r="G582" s="38" t="n"/>
      <c r="H582" s="39" t="n"/>
      <c r="I582" s="40" t="str">
        <f>IF(OR($J582="",$K582=""),"",ROUND(MAX(0,($K582-$J582)-IF($H582="",0,$H582))/60,2))</f>
        <v/>
      </c>
      <c r="J582" s="41" t="str">
        <f>IF($F582="","",IF($F582&lt;1,ROUND($F582*1440,0),INT($F582/100)*60+MOD($F582,100)))</f>
        <v/>
      </c>
      <c r="K582" s="41" t="str">
        <f>IF($G582="","",IF($G582&lt;1,ROUND($G582*1440,0),INT($G582/100)*60+MOD($G582,100)))</f>
        <v/>
      </c>
    </row>
    <row r="583" ht="15" customHeight="1" s="26">
      <c r="A583" s="34" t="n"/>
      <c r="B583" s="32" t="n"/>
      <c r="C583" s="33" t="n"/>
      <c r="D583" s="37" t="str">
        <f>IF($C583="","",IFERROR(INDEX(프로젝트목록!$B$3:$B$62,MATCH($C583,프로젝트목록!$A$3:$A$62,0)),"미등록코드"))</f>
        <v/>
      </c>
      <c r="E583" s="32" t="n"/>
      <c r="F583" s="38" t="n"/>
      <c r="G583" s="38" t="n"/>
      <c r="H583" s="39" t="n"/>
      <c r="I583" s="40" t="str">
        <f>IF(OR($J583="",$K583=""),"",ROUND(MAX(0,($K583-$J583)-IF($H583="",0,$H583))/60,2))</f>
        <v/>
      </c>
      <c r="J583" s="41" t="str">
        <f>IF($F583="","",IF($F583&lt;1,ROUND($F583*1440,0),INT($F583/100)*60+MOD($F583,100)))</f>
        <v/>
      </c>
      <c r="K583" s="41" t="str">
        <f>IF($G583="","",IF($G583&lt;1,ROUND($G583*1440,0),INT($G583/100)*60+MOD($G583,100)))</f>
        <v/>
      </c>
    </row>
    <row r="584" ht="15" customHeight="1" s="26">
      <c r="A584" s="34" t="n"/>
      <c r="B584" s="32" t="n"/>
      <c r="C584" s="33" t="n"/>
      <c r="D584" s="37" t="str">
        <f>IF($C584="","",IFERROR(INDEX(프로젝트목록!$B$3:$B$62,MATCH($C584,프로젝트목록!$A$3:$A$62,0)),"미등록코드"))</f>
        <v/>
      </c>
      <c r="E584" s="32" t="n"/>
      <c r="F584" s="38" t="n"/>
      <c r="G584" s="38" t="n"/>
      <c r="H584" s="39" t="n"/>
      <c r="I584" s="40" t="str">
        <f>IF(OR($J584="",$K584=""),"",ROUND(MAX(0,($K584-$J584)-IF($H584="",0,$H584))/60,2))</f>
        <v/>
      </c>
      <c r="J584" s="41" t="str">
        <f>IF($F584="","",IF($F584&lt;1,ROUND($F584*1440,0),INT($F584/100)*60+MOD($F584,100)))</f>
        <v/>
      </c>
      <c r="K584" s="41" t="str">
        <f>IF($G584="","",IF($G584&lt;1,ROUND($G584*1440,0),INT($G584/100)*60+MOD($G584,100)))</f>
        <v/>
      </c>
    </row>
    <row r="585" ht="15" customHeight="1" s="26">
      <c r="A585" s="34" t="n"/>
      <c r="B585" s="32" t="n"/>
      <c r="C585" s="33" t="n"/>
      <c r="D585" s="37" t="str">
        <f>IF($C585="","",IFERROR(INDEX(프로젝트목록!$B$3:$B$62,MATCH($C585,프로젝트목록!$A$3:$A$62,0)),"미등록코드"))</f>
        <v/>
      </c>
      <c r="E585" s="32" t="n"/>
      <c r="F585" s="38" t="n"/>
      <c r="G585" s="38" t="n"/>
      <c r="H585" s="39" t="n"/>
      <c r="I585" s="40" t="str">
        <f>IF(OR($J585="",$K585=""),"",ROUND(MAX(0,($K585-$J585)-IF($H585="",0,$H585))/60,2))</f>
        <v/>
      </c>
      <c r="J585" s="41" t="str">
        <f>IF($F585="","",IF($F585&lt;1,ROUND($F585*1440,0),INT($F585/100)*60+MOD($F585,100)))</f>
        <v/>
      </c>
      <c r="K585" s="41" t="str">
        <f>IF($G585="","",IF($G585&lt;1,ROUND($G585*1440,0),INT($G585/100)*60+MOD($G585,100)))</f>
        <v/>
      </c>
    </row>
    <row r="586" ht="15" customHeight="1" s="26">
      <c r="A586" s="34" t="n"/>
      <c r="B586" s="32" t="n"/>
      <c r="C586" s="33" t="n"/>
      <c r="D586" s="37" t="str">
        <f>IF($C586="","",IFERROR(INDEX(프로젝트목록!$B$3:$B$62,MATCH($C586,프로젝트목록!$A$3:$A$62,0)),"미등록코드"))</f>
        <v/>
      </c>
      <c r="E586" s="32" t="n"/>
      <c r="F586" s="38" t="n"/>
      <c r="G586" s="38" t="n"/>
      <c r="H586" s="39" t="n"/>
      <c r="I586" s="40" t="str">
        <f>IF(OR($J586="",$K586=""),"",ROUND(MAX(0,($K586-$J586)-IF($H586="",0,$H586))/60,2))</f>
        <v/>
      </c>
      <c r="J586" s="41" t="str">
        <f>IF($F586="","",IF($F586&lt;1,ROUND($F586*1440,0),INT($F586/100)*60+MOD($F586,100)))</f>
        <v/>
      </c>
      <c r="K586" s="41" t="str">
        <f>IF($G586="","",IF($G586&lt;1,ROUND($G586*1440,0),INT($G586/100)*60+MOD($G586,100)))</f>
        <v/>
      </c>
    </row>
    <row r="587" ht="15" customHeight="1" s="26">
      <c r="A587" s="34" t="n"/>
      <c r="B587" s="32" t="n"/>
      <c r="C587" s="33" t="n"/>
      <c r="D587" s="37" t="str">
        <f>IF($C587="","",IFERROR(INDEX(프로젝트목록!$B$3:$B$62,MATCH($C587,프로젝트목록!$A$3:$A$62,0)),"미등록코드"))</f>
        <v/>
      </c>
      <c r="E587" s="32" t="n"/>
      <c r="F587" s="38" t="n"/>
      <c r="G587" s="38" t="n"/>
      <c r="H587" s="39" t="n"/>
      <c r="I587" s="40" t="str">
        <f>IF(OR($J587="",$K587=""),"",ROUND(MAX(0,($K587-$J587)-IF($H587="",0,$H587))/60,2))</f>
        <v/>
      </c>
      <c r="J587" s="41" t="str">
        <f>IF($F587="","",IF($F587&lt;1,ROUND($F587*1440,0),INT($F587/100)*60+MOD($F587,100)))</f>
        <v/>
      </c>
      <c r="K587" s="41" t="str">
        <f>IF($G587="","",IF($G587&lt;1,ROUND($G587*1440,0),INT($G587/100)*60+MOD($G587,100)))</f>
        <v/>
      </c>
    </row>
    <row r="588" ht="15" customHeight="1" s="26">
      <c r="A588" s="34" t="n"/>
      <c r="B588" s="32" t="n"/>
      <c r="C588" s="33" t="n"/>
      <c r="D588" s="37" t="str">
        <f>IF($C588="","",IFERROR(INDEX(프로젝트목록!$B$3:$B$62,MATCH($C588,프로젝트목록!$A$3:$A$62,0)),"미등록코드"))</f>
        <v/>
      </c>
      <c r="E588" s="32" t="n"/>
      <c r="F588" s="38" t="n"/>
      <c r="G588" s="38" t="n"/>
      <c r="H588" s="39" t="n"/>
      <c r="I588" s="40" t="str">
        <f>IF(OR($J588="",$K588=""),"",ROUND(MAX(0,($K588-$J588)-IF($H588="",0,$H588))/60,2))</f>
        <v/>
      </c>
      <c r="J588" s="41" t="str">
        <f>IF($F588="","",IF($F588&lt;1,ROUND($F588*1440,0),INT($F588/100)*60+MOD($F588,100)))</f>
        <v/>
      </c>
      <c r="K588" s="41" t="str">
        <f>IF($G588="","",IF($G588&lt;1,ROUND($G588*1440,0),INT($G588/100)*60+MOD($G588,100)))</f>
        <v/>
      </c>
    </row>
    <row r="589" ht="15" customHeight="1" s="26">
      <c r="A589" s="34" t="n"/>
      <c r="B589" s="32" t="n"/>
      <c r="C589" s="33" t="n"/>
      <c r="D589" s="37" t="str">
        <f>IF($C589="","",IFERROR(INDEX(프로젝트목록!$B$3:$B$62,MATCH($C589,프로젝트목록!$A$3:$A$62,0)),"미등록코드"))</f>
        <v/>
      </c>
      <c r="E589" s="32" t="n"/>
      <c r="F589" s="38" t="n"/>
      <c r="G589" s="38" t="n"/>
      <c r="H589" s="39" t="n"/>
      <c r="I589" s="40" t="str">
        <f>IF(OR($J589="",$K589=""),"",ROUND(MAX(0,($K589-$J589)-IF($H589="",0,$H589))/60,2))</f>
        <v/>
      </c>
      <c r="J589" s="41" t="str">
        <f>IF($F589="","",IF($F589&lt;1,ROUND($F589*1440,0),INT($F589/100)*60+MOD($F589,100)))</f>
        <v/>
      </c>
      <c r="K589" s="41" t="str">
        <f>IF($G589="","",IF($G589&lt;1,ROUND($G589*1440,0),INT($G589/100)*60+MOD($G589,100)))</f>
        <v/>
      </c>
    </row>
    <row r="590" ht="15" customHeight="1" s="26">
      <c r="A590" s="34" t="n"/>
      <c r="B590" s="32" t="n"/>
      <c r="C590" s="33" t="n"/>
      <c r="D590" s="37" t="str">
        <f>IF($C590="","",IFERROR(INDEX(프로젝트목록!$B$3:$B$62,MATCH($C590,프로젝트목록!$A$3:$A$62,0)),"미등록코드"))</f>
        <v/>
      </c>
      <c r="E590" s="32" t="n"/>
      <c r="F590" s="38" t="n"/>
      <c r="G590" s="38" t="n"/>
      <c r="H590" s="39" t="n"/>
      <c r="I590" s="40" t="str">
        <f>IF(OR($J590="",$K590=""),"",ROUND(MAX(0,($K590-$J590)-IF($H590="",0,$H590))/60,2))</f>
        <v/>
      </c>
      <c r="J590" s="41" t="str">
        <f>IF($F590="","",IF($F590&lt;1,ROUND($F590*1440,0),INT($F590/100)*60+MOD($F590,100)))</f>
        <v/>
      </c>
      <c r="K590" s="41" t="str">
        <f>IF($G590="","",IF($G590&lt;1,ROUND($G590*1440,0),INT($G590/100)*60+MOD($G590,100)))</f>
        <v/>
      </c>
    </row>
    <row r="591" ht="15" customHeight="1" s="26">
      <c r="A591" s="34" t="n"/>
      <c r="B591" s="32" t="n"/>
      <c r="C591" s="33" t="n"/>
      <c r="D591" s="37" t="str">
        <f>IF($C591="","",IFERROR(INDEX(프로젝트목록!$B$3:$B$62,MATCH($C591,프로젝트목록!$A$3:$A$62,0)),"미등록코드"))</f>
        <v/>
      </c>
      <c r="E591" s="32" t="n"/>
      <c r="F591" s="38" t="n"/>
      <c r="G591" s="38" t="n"/>
      <c r="H591" s="39" t="n"/>
      <c r="I591" s="40" t="str">
        <f>IF(OR($J591="",$K591=""),"",ROUND(MAX(0,($K591-$J591)-IF($H591="",0,$H591))/60,2))</f>
        <v/>
      </c>
      <c r="J591" s="41" t="str">
        <f>IF($F591="","",IF($F591&lt;1,ROUND($F591*1440,0),INT($F591/100)*60+MOD($F591,100)))</f>
        <v/>
      </c>
      <c r="K591" s="41" t="str">
        <f>IF($G591="","",IF($G591&lt;1,ROUND($G591*1440,0),INT($G591/100)*60+MOD($G591,100)))</f>
        <v/>
      </c>
    </row>
    <row r="592" ht="15" customHeight="1" s="26">
      <c r="A592" s="34" t="n"/>
      <c r="B592" s="32" t="n"/>
      <c r="C592" s="33" t="n"/>
      <c r="D592" s="37" t="str">
        <f>IF($C592="","",IFERROR(INDEX(프로젝트목록!$B$3:$B$62,MATCH($C592,프로젝트목록!$A$3:$A$62,0)),"미등록코드"))</f>
        <v/>
      </c>
      <c r="E592" s="32" t="n"/>
      <c r="F592" s="38" t="n"/>
      <c r="G592" s="38" t="n"/>
      <c r="H592" s="39" t="n"/>
      <c r="I592" s="40" t="str">
        <f>IF(OR($J592="",$K592=""),"",ROUND(MAX(0,($K592-$J592)-IF($H592="",0,$H592))/60,2))</f>
        <v/>
      </c>
      <c r="J592" s="41" t="str">
        <f>IF($F592="","",IF($F592&lt;1,ROUND($F592*1440,0),INT($F592/100)*60+MOD($F592,100)))</f>
        <v/>
      </c>
      <c r="K592" s="41" t="str">
        <f>IF($G592="","",IF($G592&lt;1,ROUND($G592*1440,0),INT($G592/100)*60+MOD($G592,100)))</f>
        <v/>
      </c>
    </row>
    <row r="593" ht="15" customHeight="1" s="26">
      <c r="A593" s="34" t="n"/>
      <c r="B593" s="32" t="n"/>
      <c r="C593" s="33" t="n"/>
      <c r="D593" s="37" t="str">
        <f>IF($C593="","",IFERROR(INDEX(프로젝트목록!$B$3:$B$62,MATCH($C593,프로젝트목록!$A$3:$A$62,0)),"미등록코드"))</f>
        <v/>
      </c>
      <c r="E593" s="32" t="n"/>
      <c r="F593" s="38" t="n"/>
      <c r="G593" s="38" t="n"/>
      <c r="H593" s="39" t="n"/>
      <c r="I593" s="40" t="str">
        <f>IF(OR($J593="",$K593=""),"",ROUND(MAX(0,($K593-$J593)-IF($H593="",0,$H593))/60,2))</f>
        <v/>
      </c>
      <c r="J593" s="41" t="str">
        <f>IF($F593="","",IF($F593&lt;1,ROUND($F593*1440,0),INT($F593/100)*60+MOD($F593,100)))</f>
        <v/>
      </c>
      <c r="K593" s="41" t="str">
        <f>IF($G593="","",IF($G593&lt;1,ROUND($G593*1440,0),INT($G593/100)*60+MOD($G593,100)))</f>
        <v/>
      </c>
    </row>
    <row r="594" ht="15" customHeight="1" s="26">
      <c r="A594" s="34" t="n"/>
      <c r="B594" s="32" t="n"/>
      <c r="C594" s="33" t="n"/>
      <c r="D594" s="37" t="str">
        <f>IF($C594="","",IFERROR(INDEX(프로젝트목록!$B$3:$B$62,MATCH($C594,프로젝트목록!$A$3:$A$62,0)),"미등록코드"))</f>
        <v/>
      </c>
      <c r="E594" s="32" t="n"/>
      <c r="F594" s="38" t="n"/>
      <c r="G594" s="38" t="n"/>
      <c r="H594" s="39" t="n"/>
      <c r="I594" s="40" t="str">
        <f>IF(OR($J594="",$K594=""),"",ROUND(MAX(0,($K594-$J594)-IF($H594="",0,$H594))/60,2))</f>
        <v/>
      </c>
      <c r="J594" s="41" t="str">
        <f>IF($F594="","",IF($F594&lt;1,ROUND($F594*1440,0),INT($F594/100)*60+MOD($F594,100)))</f>
        <v/>
      </c>
      <c r="K594" s="41" t="str">
        <f>IF($G594="","",IF($G594&lt;1,ROUND($G594*1440,0),INT($G594/100)*60+MOD($G594,100)))</f>
        <v/>
      </c>
    </row>
    <row r="595" ht="15" customHeight="1" s="26">
      <c r="A595" s="34" t="n"/>
      <c r="B595" s="32" t="n"/>
      <c r="C595" s="33" t="n"/>
      <c r="D595" s="37" t="str">
        <f>IF($C595="","",IFERROR(INDEX(프로젝트목록!$B$3:$B$62,MATCH($C595,프로젝트목록!$A$3:$A$62,0)),"미등록코드"))</f>
        <v/>
      </c>
      <c r="E595" s="32" t="n"/>
      <c r="F595" s="38" t="n"/>
      <c r="G595" s="38" t="n"/>
      <c r="H595" s="39" t="n"/>
      <c r="I595" s="40" t="str">
        <f>IF(OR($J595="",$K595=""),"",ROUND(MAX(0,($K595-$J595)-IF($H595="",0,$H595))/60,2))</f>
        <v/>
      </c>
      <c r="J595" s="41" t="str">
        <f>IF($F595="","",IF($F595&lt;1,ROUND($F595*1440,0),INT($F595/100)*60+MOD($F595,100)))</f>
        <v/>
      </c>
      <c r="K595" s="41" t="str">
        <f>IF($G595="","",IF($G595&lt;1,ROUND($G595*1440,0),INT($G595/100)*60+MOD($G595,100)))</f>
        <v/>
      </c>
    </row>
    <row r="596" ht="15" customHeight="1" s="26">
      <c r="A596" s="34" t="n"/>
      <c r="B596" s="32" t="n"/>
      <c r="C596" s="33" t="n"/>
      <c r="D596" s="37" t="str">
        <f>IF($C596="","",IFERROR(INDEX(프로젝트목록!$B$3:$B$62,MATCH($C596,프로젝트목록!$A$3:$A$62,0)),"미등록코드"))</f>
        <v/>
      </c>
      <c r="E596" s="32" t="n"/>
      <c r="F596" s="38" t="n"/>
      <c r="G596" s="38" t="n"/>
      <c r="H596" s="39" t="n"/>
      <c r="I596" s="40" t="str">
        <f>IF(OR($J596="",$K596=""),"",ROUND(MAX(0,($K596-$J596)-IF($H596="",0,$H596))/60,2))</f>
        <v/>
      </c>
      <c r="J596" s="41" t="str">
        <f>IF($F596="","",IF($F596&lt;1,ROUND($F596*1440,0),INT($F596/100)*60+MOD($F596,100)))</f>
        <v/>
      </c>
      <c r="K596" s="41" t="str">
        <f>IF($G596="","",IF($G596&lt;1,ROUND($G596*1440,0),INT($G596/100)*60+MOD($G596,100)))</f>
        <v/>
      </c>
    </row>
    <row r="597" ht="15" customHeight="1" s="26">
      <c r="A597" s="34" t="n"/>
      <c r="B597" s="32" t="n"/>
      <c r="C597" s="33" t="n"/>
      <c r="D597" s="37" t="str">
        <f>IF($C597="","",IFERROR(INDEX(프로젝트목록!$B$3:$B$62,MATCH($C597,프로젝트목록!$A$3:$A$62,0)),"미등록코드"))</f>
        <v/>
      </c>
      <c r="E597" s="32" t="n"/>
      <c r="F597" s="38" t="n"/>
      <c r="G597" s="38" t="n"/>
      <c r="H597" s="39" t="n"/>
      <c r="I597" s="40" t="str">
        <f>IF(OR($J597="",$K597=""),"",ROUND(MAX(0,($K597-$J597)-IF($H597="",0,$H597))/60,2))</f>
        <v/>
      </c>
      <c r="J597" s="41" t="str">
        <f>IF($F597="","",IF($F597&lt;1,ROUND($F597*1440,0),INT($F597/100)*60+MOD($F597,100)))</f>
        <v/>
      </c>
      <c r="K597" s="41" t="str">
        <f>IF($G597="","",IF($G597&lt;1,ROUND($G597*1440,0),INT($G597/100)*60+MOD($G597,100)))</f>
        <v/>
      </c>
    </row>
    <row r="598" ht="15" customHeight="1" s="26">
      <c r="A598" s="34" t="n"/>
      <c r="B598" s="32" t="n"/>
      <c r="C598" s="33" t="n"/>
      <c r="D598" s="37" t="str">
        <f>IF($C598="","",IFERROR(INDEX(프로젝트목록!$B$3:$B$62,MATCH($C598,프로젝트목록!$A$3:$A$62,0)),"미등록코드"))</f>
        <v/>
      </c>
      <c r="E598" s="32" t="n"/>
      <c r="F598" s="38" t="n"/>
      <c r="G598" s="38" t="n"/>
      <c r="H598" s="39" t="n"/>
      <c r="I598" s="40" t="str">
        <f>IF(OR($J598="",$K598=""),"",ROUND(MAX(0,($K598-$J598)-IF($H598="",0,$H598))/60,2))</f>
        <v/>
      </c>
      <c r="J598" s="41" t="str">
        <f>IF($F598="","",IF($F598&lt;1,ROUND($F598*1440,0),INT($F598/100)*60+MOD($F598,100)))</f>
        <v/>
      </c>
      <c r="K598" s="41" t="str">
        <f>IF($G598="","",IF($G598&lt;1,ROUND($G598*1440,0),INT($G598/100)*60+MOD($G598,100)))</f>
        <v/>
      </c>
    </row>
    <row r="599" ht="15" customHeight="1" s="26">
      <c r="A599" s="34" t="n"/>
      <c r="B599" s="32" t="n"/>
      <c r="C599" s="33" t="n"/>
      <c r="D599" s="37" t="str">
        <f>IF($C599="","",IFERROR(INDEX(프로젝트목록!$B$3:$B$62,MATCH($C599,프로젝트목록!$A$3:$A$62,0)),"미등록코드"))</f>
        <v/>
      </c>
      <c r="E599" s="32" t="n"/>
      <c r="F599" s="38" t="n"/>
      <c r="G599" s="38" t="n"/>
      <c r="H599" s="39" t="n"/>
      <c r="I599" s="40" t="str">
        <f>IF(OR($J599="",$K599=""),"",ROUND(MAX(0,($K599-$J599)-IF($H599="",0,$H599))/60,2))</f>
        <v/>
      </c>
      <c r="J599" s="41" t="str">
        <f>IF($F599="","",IF($F599&lt;1,ROUND($F599*1440,0),INT($F599/100)*60+MOD($F599,100)))</f>
        <v/>
      </c>
      <c r="K599" s="41" t="str">
        <f>IF($G599="","",IF($G599&lt;1,ROUND($G599*1440,0),INT($G599/100)*60+MOD($G599,100)))</f>
        <v/>
      </c>
    </row>
    <row r="600" ht="15" customHeight="1" s="26">
      <c r="A600" s="34" t="n"/>
      <c r="B600" s="32" t="n"/>
      <c r="C600" s="33" t="n"/>
      <c r="D600" s="37" t="str">
        <f>IF($C600="","",IFERROR(INDEX(프로젝트목록!$B$3:$B$62,MATCH($C600,프로젝트목록!$A$3:$A$62,0)),"미등록코드"))</f>
        <v/>
      </c>
      <c r="E600" s="32" t="n"/>
      <c r="F600" s="38" t="n"/>
      <c r="G600" s="38" t="n"/>
      <c r="H600" s="39" t="n"/>
      <c r="I600" s="40" t="str">
        <f>IF(OR($J600="",$K600=""),"",ROUND(MAX(0,($K600-$J600)-IF($H600="",0,$H600))/60,2))</f>
        <v/>
      </c>
      <c r="J600" s="41" t="str">
        <f>IF($F600="","",IF($F600&lt;1,ROUND($F600*1440,0),INT($F600/100)*60+MOD($F600,100)))</f>
        <v/>
      </c>
      <c r="K600" s="41" t="str">
        <f>IF($G600="","",IF($G600&lt;1,ROUND($G600*1440,0),INT($G600/100)*60+MOD($G600,100)))</f>
        <v/>
      </c>
    </row>
    <row r="601" ht="15" customHeight="1" s="26">
      <c r="A601" s="34" t="n"/>
      <c r="B601" s="32" t="n"/>
      <c r="C601" s="33" t="n"/>
      <c r="D601" s="37" t="str">
        <f>IF($C601="","",IFERROR(INDEX(프로젝트목록!$B$3:$B$62,MATCH($C601,프로젝트목록!$A$3:$A$62,0)),"미등록코드"))</f>
        <v/>
      </c>
      <c r="E601" s="32" t="n"/>
      <c r="F601" s="38" t="n"/>
      <c r="G601" s="38" t="n"/>
      <c r="H601" s="39" t="n"/>
      <c r="I601" s="40" t="str">
        <f>IF(OR($J601="",$K601=""),"",ROUND(MAX(0,($K601-$J601)-IF($H601="",0,$H601))/60,2))</f>
        <v/>
      </c>
      <c r="J601" s="41" t="str">
        <f>IF($F601="","",IF($F601&lt;1,ROUND($F601*1440,0),INT($F601/100)*60+MOD($F601,100)))</f>
        <v/>
      </c>
      <c r="K601" s="41" t="str">
        <f>IF($G601="","",IF($G601&lt;1,ROUND($G601*1440,0),INT($G601/100)*60+MOD($G601,100)))</f>
        <v/>
      </c>
    </row>
    <row r="602" ht="15" customHeight="1" s="26">
      <c r="A602" s="34" t="n"/>
      <c r="B602" s="32" t="n"/>
      <c r="C602" s="33" t="n"/>
      <c r="D602" s="37" t="str">
        <f>IF($C602="","",IFERROR(INDEX(프로젝트목록!$B$3:$B$62,MATCH($C602,프로젝트목록!$A$3:$A$62,0)),"미등록코드"))</f>
        <v/>
      </c>
      <c r="E602" s="32" t="n"/>
      <c r="F602" s="38" t="n"/>
      <c r="G602" s="38" t="n"/>
      <c r="H602" s="39" t="n"/>
      <c r="I602" s="40" t="str">
        <f>IF(OR($J602="",$K602=""),"",ROUND(MAX(0,($K602-$J602)-IF($H602="",0,$H602))/60,2))</f>
        <v/>
      </c>
      <c r="J602" s="41" t="str">
        <f>IF($F602="","",IF($F602&lt;1,ROUND($F602*1440,0),INT($F602/100)*60+MOD($F602,100)))</f>
        <v/>
      </c>
      <c r="K602" s="41" t="str">
        <f>IF($G602="","",IF($G602&lt;1,ROUND($G602*1440,0),INT($G602/100)*60+MOD($G602,100)))</f>
        <v/>
      </c>
    </row>
    <row r="603" ht="15" customHeight="1" s="26">
      <c r="A603" s="34" t="n"/>
      <c r="B603" s="32" t="n"/>
      <c r="C603" s="33" t="n"/>
      <c r="D603" s="37" t="str">
        <f>IF($C603="","",IFERROR(INDEX(프로젝트목록!$B$3:$B$62,MATCH($C603,프로젝트목록!$A$3:$A$62,0)),"미등록코드"))</f>
        <v/>
      </c>
      <c r="E603" s="32" t="n"/>
      <c r="F603" s="38" t="n"/>
      <c r="G603" s="38" t="n"/>
      <c r="H603" s="39" t="n"/>
      <c r="I603" s="40" t="str">
        <f>IF(OR($J603="",$K603=""),"",ROUND(MAX(0,($K603-$J603)-IF($H603="",0,$H603))/60,2))</f>
        <v/>
      </c>
      <c r="J603" s="41" t="str">
        <f>IF($F603="","",IF($F603&lt;1,ROUND($F603*1440,0),INT($F603/100)*60+MOD($F603,100)))</f>
        <v/>
      </c>
      <c r="K603" s="41" t="str">
        <f>IF($G603="","",IF($G603&lt;1,ROUND($G603*1440,0),INT($G603/100)*60+MOD($G603,100)))</f>
        <v/>
      </c>
    </row>
    <row r="604" ht="15" customHeight="1" s="26">
      <c r="A604" s="34" t="n"/>
      <c r="B604" s="32" t="n"/>
      <c r="C604" s="33" t="n"/>
      <c r="D604" s="37" t="str">
        <f>IF($C604="","",IFERROR(INDEX(프로젝트목록!$B$3:$B$62,MATCH($C604,프로젝트목록!$A$3:$A$62,0)),"미등록코드"))</f>
        <v/>
      </c>
      <c r="E604" s="32" t="n"/>
      <c r="F604" s="38" t="n"/>
      <c r="G604" s="38" t="n"/>
      <c r="H604" s="39" t="n"/>
      <c r="I604" s="40" t="str">
        <f>IF(OR($J604="",$K604=""),"",ROUND(MAX(0,($K604-$J604)-IF($H604="",0,$H604))/60,2))</f>
        <v/>
      </c>
      <c r="J604" s="41" t="str">
        <f>IF($F604="","",IF($F604&lt;1,ROUND($F604*1440,0),INT($F604/100)*60+MOD($F604,100)))</f>
        <v/>
      </c>
      <c r="K604" s="41" t="str">
        <f>IF($G604="","",IF($G604&lt;1,ROUND($G604*1440,0),INT($G604/100)*60+MOD($G604,100)))</f>
        <v/>
      </c>
    </row>
    <row r="605" ht="15" customHeight="1" s="26">
      <c r="A605" s="34" t="n"/>
      <c r="B605" s="32" t="n"/>
      <c r="C605" s="33" t="n"/>
      <c r="D605" s="37" t="str">
        <f>IF($C605="","",IFERROR(INDEX(프로젝트목록!$B$3:$B$62,MATCH($C605,프로젝트목록!$A$3:$A$62,0)),"미등록코드"))</f>
        <v/>
      </c>
      <c r="E605" s="32" t="n"/>
      <c r="F605" s="38" t="n"/>
      <c r="G605" s="38" t="n"/>
      <c r="H605" s="39" t="n"/>
      <c r="I605" s="40" t="str">
        <f>IF(OR($J605="",$K605=""),"",ROUND(MAX(0,($K605-$J605)-IF($H605="",0,$H605))/60,2))</f>
        <v/>
      </c>
      <c r="J605" s="41" t="str">
        <f>IF($F605="","",IF($F605&lt;1,ROUND($F605*1440,0),INT($F605/100)*60+MOD($F605,100)))</f>
        <v/>
      </c>
      <c r="K605" s="41" t="str">
        <f>IF($G605="","",IF($G605&lt;1,ROUND($G605*1440,0),INT($G605/100)*60+MOD($G605,100)))</f>
        <v/>
      </c>
    </row>
    <row r="606" ht="15" customHeight="1" s="26">
      <c r="A606" s="34" t="n"/>
      <c r="B606" s="32" t="n"/>
      <c r="C606" s="33" t="n"/>
      <c r="D606" s="37" t="str">
        <f>IF($C606="","",IFERROR(INDEX(프로젝트목록!$B$3:$B$62,MATCH($C606,프로젝트목록!$A$3:$A$62,0)),"미등록코드"))</f>
        <v/>
      </c>
      <c r="E606" s="32" t="n"/>
      <c r="F606" s="38" t="n"/>
      <c r="G606" s="38" t="n"/>
      <c r="H606" s="39" t="n"/>
      <c r="I606" s="40" t="str">
        <f>IF(OR($J606="",$K606=""),"",ROUND(MAX(0,($K606-$J606)-IF($H606="",0,$H606))/60,2))</f>
        <v/>
      </c>
      <c r="J606" s="41" t="str">
        <f>IF($F606="","",IF($F606&lt;1,ROUND($F606*1440,0),INT($F606/100)*60+MOD($F606,100)))</f>
        <v/>
      </c>
      <c r="K606" s="41" t="str">
        <f>IF($G606="","",IF($G606&lt;1,ROUND($G606*1440,0),INT($G606/100)*60+MOD($G606,100)))</f>
        <v/>
      </c>
    </row>
    <row r="607" ht="15" customHeight="1" s="26">
      <c r="A607" s="34" t="n"/>
      <c r="B607" s="32" t="n"/>
      <c r="C607" s="33" t="n"/>
      <c r="D607" s="37" t="str">
        <f>IF($C607="","",IFERROR(INDEX(프로젝트목록!$B$3:$B$62,MATCH($C607,프로젝트목록!$A$3:$A$62,0)),"미등록코드"))</f>
        <v/>
      </c>
      <c r="E607" s="32" t="n"/>
      <c r="F607" s="38" t="n"/>
      <c r="G607" s="38" t="n"/>
      <c r="H607" s="39" t="n"/>
      <c r="I607" s="40" t="str">
        <f>IF(OR($J607="",$K607=""),"",ROUND(MAX(0,($K607-$J607)-IF($H607="",0,$H607))/60,2))</f>
        <v/>
      </c>
      <c r="J607" s="41" t="str">
        <f>IF($F607="","",IF($F607&lt;1,ROUND($F607*1440,0),INT($F607/100)*60+MOD($F607,100)))</f>
        <v/>
      </c>
      <c r="K607" s="41" t="str">
        <f>IF($G607="","",IF($G607&lt;1,ROUND($G607*1440,0),INT($G607/100)*60+MOD($G607,100)))</f>
        <v/>
      </c>
    </row>
    <row r="608" ht="15" customHeight="1" s="26">
      <c r="A608" s="34" t="n"/>
      <c r="B608" s="32" t="n"/>
      <c r="C608" s="33" t="n"/>
      <c r="D608" s="37" t="str">
        <f>IF($C608="","",IFERROR(INDEX(프로젝트목록!$B$3:$B$62,MATCH($C608,프로젝트목록!$A$3:$A$62,0)),"미등록코드"))</f>
        <v/>
      </c>
      <c r="E608" s="32" t="n"/>
      <c r="F608" s="38" t="n"/>
      <c r="G608" s="38" t="n"/>
      <c r="H608" s="39" t="n"/>
      <c r="I608" s="40" t="str">
        <f>IF(OR($J608="",$K608=""),"",ROUND(MAX(0,($K608-$J608)-IF($H608="",0,$H608))/60,2))</f>
        <v/>
      </c>
      <c r="J608" s="41" t="str">
        <f>IF($F608="","",IF($F608&lt;1,ROUND($F608*1440,0),INT($F608/100)*60+MOD($F608,100)))</f>
        <v/>
      </c>
      <c r="K608" s="41" t="str">
        <f>IF($G608="","",IF($G608&lt;1,ROUND($G608*1440,0),INT($G608/100)*60+MOD($G608,100)))</f>
        <v/>
      </c>
    </row>
    <row r="609" ht="15" customHeight="1" s="26">
      <c r="A609" s="34" t="n"/>
      <c r="B609" s="32" t="n"/>
      <c r="C609" s="33" t="n"/>
      <c r="D609" s="37" t="str">
        <f>IF($C609="","",IFERROR(INDEX(프로젝트목록!$B$3:$B$62,MATCH($C609,프로젝트목록!$A$3:$A$62,0)),"미등록코드"))</f>
        <v/>
      </c>
      <c r="E609" s="32" t="n"/>
      <c r="F609" s="38" t="n"/>
      <c r="G609" s="38" t="n"/>
      <c r="H609" s="39" t="n"/>
      <c r="I609" s="40" t="str">
        <f>IF(OR($J609="",$K609=""),"",ROUND(MAX(0,($K609-$J609)-IF($H609="",0,$H609))/60,2))</f>
        <v/>
      </c>
      <c r="J609" s="41" t="str">
        <f>IF($F609="","",IF($F609&lt;1,ROUND($F609*1440,0),INT($F609/100)*60+MOD($F609,100)))</f>
        <v/>
      </c>
      <c r="K609" s="41" t="str">
        <f>IF($G609="","",IF($G609&lt;1,ROUND($G609*1440,0),INT($G609/100)*60+MOD($G609,100)))</f>
        <v/>
      </c>
    </row>
    <row r="610" ht="15" customHeight="1" s="26">
      <c r="A610" s="34" t="n"/>
      <c r="B610" s="32" t="n"/>
      <c r="C610" s="33" t="n"/>
      <c r="D610" s="37" t="str">
        <f>IF($C610="","",IFERROR(INDEX(프로젝트목록!$B$3:$B$62,MATCH($C610,프로젝트목록!$A$3:$A$62,0)),"미등록코드"))</f>
        <v/>
      </c>
      <c r="E610" s="32" t="n"/>
      <c r="F610" s="38" t="n"/>
      <c r="G610" s="38" t="n"/>
      <c r="H610" s="39" t="n"/>
      <c r="I610" s="40" t="str">
        <f>IF(OR($J610="",$K610=""),"",ROUND(MAX(0,($K610-$J610)-IF($H610="",0,$H610))/60,2))</f>
        <v/>
      </c>
      <c r="J610" s="41" t="str">
        <f>IF($F610="","",IF($F610&lt;1,ROUND($F610*1440,0),INT($F610/100)*60+MOD($F610,100)))</f>
        <v/>
      </c>
      <c r="K610" s="41" t="str">
        <f>IF($G610="","",IF($G610&lt;1,ROUND($G610*1440,0),INT($G610/100)*60+MOD($G610,100)))</f>
        <v/>
      </c>
    </row>
    <row r="611" ht="15" customHeight="1" s="26">
      <c r="A611" s="34" t="n"/>
      <c r="B611" s="32" t="n"/>
      <c r="C611" s="33" t="n"/>
      <c r="D611" s="37" t="str">
        <f>IF($C611="","",IFERROR(INDEX(프로젝트목록!$B$3:$B$62,MATCH($C611,프로젝트목록!$A$3:$A$62,0)),"미등록코드"))</f>
        <v/>
      </c>
      <c r="E611" s="32" t="n"/>
      <c r="F611" s="38" t="n"/>
      <c r="G611" s="38" t="n"/>
      <c r="H611" s="39" t="n"/>
      <c r="I611" s="40" t="str">
        <f>IF(OR($J611="",$K611=""),"",ROUND(MAX(0,($K611-$J611)-IF($H611="",0,$H611))/60,2))</f>
        <v/>
      </c>
      <c r="J611" s="41" t="str">
        <f>IF($F611="","",IF($F611&lt;1,ROUND($F611*1440,0),INT($F611/100)*60+MOD($F611,100)))</f>
        <v/>
      </c>
      <c r="K611" s="41" t="str">
        <f>IF($G611="","",IF($G611&lt;1,ROUND($G611*1440,0),INT($G611/100)*60+MOD($G611,100)))</f>
        <v/>
      </c>
    </row>
    <row r="612" ht="15" customHeight="1" s="26">
      <c r="A612" s="34" t="n"/>
      <c r="B612" s="32" t="n"/>
      <c r="C612" s="33" t="n"/>
      <c r="D612" s="37" t="str">
        <f>IF($C612="","",IFERROR(INDEX(프로젝트목록!$B$3:$B$62,MATCH($C612,프로젝트목록!$A$3:$A$62,0)),"미등록코드"))</f>
        <v/>
      </c>
      <c r="E612" s="32" t="n"/>
      <c r="F612" s="38" t="n"/>
      <c r="G612" s="38" t="n"/>
      <c r="H612" s="39" t="n"/>
      <c r="I612" s="40" t="str">
        <f>IF(OR($J612="",$K612=""),"",ROUND(MAX(0,($K612-$J612)-IF($H612="",0,$H612))/60,2))</f>
        <v/>
      </c>
      <c r="J612" s="41" t="str">
        <f>IF($F612="","",IF($F612&lt;1,ROUND($F612*1440,0),INT($F612/100)*60+MOD($F612,100)))</f>
        <v/>
      </c>
      <c r="K612" s="41" t="str">
        <f>IF($G612="","",IF($G612&lt;1,ROUND($G612*1440,0),INT($G612/100)*60+MOD($G612,100)))</f>
        <v/>
      </c>
    </row>
    <row r="613" ht="15" customHeight="1" s="26">
      <c r="A613" s="34" t="n"/>
      <c r="B613" s="32" t="n"/>
      <c r="C613" s="33" t="n"/>
      <c r="D613" s="37" t="str">
        <f>IF($C613="","",IFERROR(INDEX(프로젝트목록!$B$3:$B$62,MATCH($C613,프로젝트목록!$A$3:$A$62,0)),"미등록코드"))</f>
        <v/>
      </c>
      <c r="E613" s="32" t="n"/>
      <c r="F613" s="38" t="n"/>
      <c r="G613" s="38" t="n"/>
      <c r="H613" s="39" t="n"/>
      <c r="I613" s="40" t="str">
        <f>IF(OR($J613="",$K613=""),"",ROUND(MAX(0,($K613-$J613)-IF($H613="",0,$H613))/60,2))</f>
        <v/>
      </c>
      <c r="J613" s="41" t="str">
        <f>IF($F613="","",IF($F613&lt;1,ROUND($F613*1440,0),INT($F613/100)*60+MOD($F613,100)))</f>
        <v/>
      </c>
      <c r="K613" s="41" t="str">
        <f>IF($G613="","",IF($G613&lt;1,ROUND($G613*1440,0),INT($G613/100)*60+MOD($G613,100)))</f>
        <v/>
      </c>
    </row>
    <row r="614" ht="15" customHeight="1" s="26">
      <c r="A614" s="34" t="n"/>
      <c r="B614" s="32" t="n"/>
      <c r="C614" s="33" t="n"/>
      <c r="D614" s="37" t="str">
        <f>IF($C614="","",IFERROR(INDEX(프로젝트목록!$B$3:$B$62,MATCH($C614,프로젝트목록!$A$3:$A$62,0)),"미등록코드"))</f>
        <v/>
      </c>
      <c r="E614" s="32" t="n"/>
      <c r="F614" s="38" t="n"/>
      <c r="G614" s="38" t="n"/>
      <c r="H614" s="39" t="n"/>
      <c r="I614" s="40" t="str">
        <f>IF(OR($J614="",$K614=""),"",ROUND(MAX(0,($K614-$J614)-IF($H614="",0,$H614))/60,2))</f>
        <v/>
      </c>
      <c r="J614" s="41" t="str">
        <f>IF($F614="","",IF($F614&lt;1,ROUND($F614*1440,0),INT($F614/100)*60+MOD($F614,100)))</f>
        <v/>
      </c>
      <c r="K614" s="41" t="str">
        <f>IF($G614="","",IF($G614&lt;1,ROUND($G614*1440,0),INT($G614/100)*60+MOD($G614,100)))</f>
        <v/>
      </c>
    </row>
    <row r="615" ht="15" customHeight="1" s="26">
      <c r="A615" s="34" t="n"/>
      <c r="B615" s="32" t="n"/>
      <c r="C615" s="33" t="n"/>
      <c r="D615" s="37" t="str">
        <f>IF($C615="","",IFERROR(INDEX(프로젝트목록!$B$3:$B$62,MATCH($C615,프로젝트목록!$A$3:$A$62,0)),"미등록코드"))</f>
        <v/>
      </c>
      <c r="E615" s="32" t="n"/>
      <c r="F615" s="38" t="n"/>
      <c r="G615" s="38" t="n"/>
      <c r="H615" s="39" t="n"/>
      <c r="I615" s="40" t="str">
        <f>IF(OR($J615="",$K615=""),"",ROUND(MAX(0,($K615-$J615)-IF($H615="",0,$H615))/60,2))</f>
        <v/>
      </c>
      <c r="J615" s="41" t="str">
        <f>IF($F615="","",IF($F615&lt;1,ROUND($F615*1440,0),INT($F615/100)*60+MOD($F615,100)))</f>
        <v/>
      </c>
      <c r="K615" s="41" t="str">
        <f>IF($G615="","",IF($G615&lt;1,ROUND($G615*1440,0),INT($G615/100)*60+MOD($G615,100)))</f>
        <v/>
      </c>
    </row>
    <row r="616" ht="15" customHeight="1" s="26">
      <c r="A616" s="34" t="n"/>
      <c r="B616" s="32" t="n"/>
      <c r="C616" s="33" t="n"/>
      <c r="D616" s="37" t="str">
        <f>IF($C616="","",IFERROR(INDEX(프로젝트목록!$B$3:$B$62,MATCH($C616,프로젝트목록!$A$3:$A$62,0)),"미등록코드"))</f>
        <v/>
      </c>
      <c r="E616" s="32" t="n"/>
      <c r="F616" s="38" t="n"/>
      <c r="G616" s="38" t="n"/>
      <c r="H616" s="39" t="n"/>
      <c r="I616" s="40" t="str">
        <f>IF(OR($J616="",$K616=""),"",ROUND(MAX(0,($K616-$J616)-IF($H616="",0,$H616))/60,2))</f>
        <v/>
      </c>
      <c r="J616" s="41" t="str">
        <f>IF($F616="","",IF($F616&lt;1,ROUND($F616*1440,0),INT($F616/100)*60+MOD($F616,100)))</f>
        <v/>
      </c>
      <c r="K616" s="41" t="str">
        <f>IF($G616="","",IF($G616&lt;1,ROUND($G616*1440,0),INT($G616/100)*60+MOD($G616,100)))</f>
        <v/>
      </c>
    </row>
    <row r="617" ht="15" customHeight="1" s="26">
      <c r="A617" s="34" t="n"/>
      <c r="B617" s="32" t="n"/>
      <c r="C617" s="33" t="n"/>
      <c r="D617" s="37" t="str">
        <f>IF($C617="","",IFERROR(INDEX(프로젝트목록!$B$3:$B$62,MATCH($C617,프로젝트목록!$A$3:$A$62,0)),"미등록코드"))</f>
        <v/>
      </c>
      <c r="E617" s="32" t="n"/>
      <c r="F617" s="38" t="n"/>
      <c r="G617" s="38" t="n"/>
      <c r="H617" s="39" t="n"/>
      <c r="I617" s="40" t="str">
        <f>IF(OR($J617="",$K617=""),"",ROUND(MAX(0,($K617-$J617)-IF($H617="",0,$H617))/60,2))</f>
        <v/>
      </c>
      <c r="J617" s="41" t="str">
        <f>IF($F617="","",IF($F617&lt;1,ROUND($F617*1440,0),INT($F617/100)*60+MOD($F617,100)))</f>
        <v/>
      </c>
      <c r="K617" s="41" t="str">
        <f>IF($G617="","",IF($G617&lt;1,ROUND($G617*1440,0),INT($G617/100)*60+MOD($G617,100)))</f>
        <v/>
      </c>
    </row>
    <row r="618" ht="15" customHeight="1" s="26">
      <c r="A618" s="34" t="n"/>
      <c r="B618" s="32" t="n"/>
      <c r="C618" s="33" t="n"/>
      <c r="D618" s="37" t="str">
        <f>IF($C618="","",IFERROR(INDEX(프로젝트목록!$B$3:$B$62,MATCH($C618,프로젝트목록!$A$3:$A$62,0)),"미등록코드"))</f>
        <v/>
      </c>
      <c r="E618" s="32" t="n"/>
      <c r="F618" s="38" t="n"/>
      <c r="G618" s="38" t="n"/>
      <c r="H618" s="39" t="n"/>
      <c r="I618" s="40" t="str">
        <f>IF(OR($J618="",$K618=""),"",ROUND(MAX(0,($K618-$J618)-IF($H618="",0,$H618))/60,2))</f>
        <v/>
      </c>
      <c r="J618" s="41" t="str">
        <f>IF($F618="","",IF($F618&lt;1,ROUND($F618*1440,0),INT($F618/100)*60+MOD($F618,100)))</f>
        <v/>
      </c>
      <c r="K618" s="41" t="str">
        <f>IF($G618="","",IF($G618&lt;1,ROUND($G618*1440,0),INT($G618/100)*60+MOD($G618,100)))</f>
        <v/>
      </c>
    </row>
    <row r="619" ht="15" customHeight="1" s="26">
      <c r="A619" s="34" t="n"/>
      <c r="B619" s="32" t="n"/>
      <c r="C619" s="33" t="n"/>
      <c r="D619" s="37" t="str">
        <f>IF($C619="","",IFERROR(INDEX(프로젝트목록!$B$3:$B$62,MATCH($C619,프로젝트목록!$A$3:$A$62,0)),"미등록코드"))</f>
        <v/>
      </c>
      <c r="E619" s="32" t="n"/>
      <c r="F619" s="38" t="n"/>
      <c r="G619" s="38" t="n"/>
      <c r="H619" s="39" t="n"/>
      <c r="I619" s="40" t="str">
        <f>IF(OR($J619="",$K619=""),"",ROUND(MAX(0,($K619-$J619)-IF($H619="",0,$H619))/60,2))</f>
        <v/>
      </c>
      <c r="J619" s="41" t="str">
        <f>IF($F619="","",IF($F619&lt;1,ROUND($F619*1440,0),INT($F619/100)*60+MOD($F619,100)))</f>
        <v/>
      </c>
      <c r="K619" s="41" t="str">
        <f>IF($G619="","",IF($G619&lt;1,ROUND($G619*1440,0),INT($G619/100)*60+MOD($G619,100)))</f>
        <v/>
      </c>
    </row>
    <row r="620" ht="15" customHeight="1" s="26">
      <c r="A620" s="34" t="n"/>
      <c r="B620" s="32" t="n"/>
      <c r="C620" s="33" t="n"/>
      <c r="D620" s="37" t="str">
        <f>IF($C620="","",IFERROR(INDEX(프로젝트목록!$B$3:$B$62,MATCH($C620,프로젝트목록!$A$3:$A$62,0)),"미등록코드"))</f>
        <v/>
      </c>
      <c r="E620" s="32" t="n"/>
      <c r="F620" s="38" t="n"/>
      <c r="G620" s="38" t="n"/>
      <c r="H620" s="39" t="n"/>
      <c r="I620" s="40" t="str">
        <f>IF(OR($J620="",$K620=""),"",ROUND(MAX(0,($K620-$J620)-IF($H620="",0,$H620))/60,2))</f>
        <v/>
      </c>
      <c r="J620" s="41" t="str">
        <f>IF($F620="","",IF($F620&lt;1,ROUND($F620*1440,0),INT($F620/100)*60+MOD($F620,100)))</f>
        <v/>
      </c>
      <c r="K620" s="41" t="str">
        <f>IF($G620="","",IF($G620&lt;1,ROUND($G620*1440,0),INT($G620/100)*60+MOD($G620,100)))</f>
        <v/>
      </c>
    </row>
    <row r="621" ht="15" customHeight="1" s="26">
      <c r="A621" s="34" t="n"/>
      <c r="B621" s="32" t="n"/>
      <c r="C621" s="33" t="n"/>
      <c r="D621" s="37" t="str">
        <f>IF($C621="","",IFERROR(INDEX(프로젝트목록!$B$3:$B$62,MATCH($C621,프로젝트목록!$A$3:$A$62,0)),"미등록코드"))</f>
        <v/>
      </c>
      <c r="E621" s="32" t="n"/>
      <c r="F621" s="38" t="n"/>
      <c r="G621" s="38" t="n"/>
      <c r="H621" s="39" t="n"/>
      <c r="I621" s="40" t="str">
        <f>IF(OR($J621="",$K621=""),"",ROUND(MAX(0,($K621-$J621)-IF($H621="",0,$H621))/60,2))</f>
        <v/>
      </c>
      <c r="J621" s="41" t="str">
        <f>IF($F621="","",IF($F621&lt;1,ROUND($F621*1440,0),INT($F621/100)*60+MOD($F621,100)))</f>
        <v/>
      </c>
      <c r="K621" s="41" t="str">
        <f>IF($G621="","",IF($G621&lt;1,ROUND($G621*1440,0),INT($G621/100)*60+MOD($G621,100)))</f>
        <v/>
      </c>
    </row>
    <row r="622" ht="15" customHeight="1" s="26">
      <c r="A622" s="34" t="n"/>
      <c r="B622" s="32" t="n"/>
      <c r="C622" s="33" t="n"/>
      <c r="D622" s="37" t="str">
        <f>IF($C622="","",IFERROR(INDEX(프로젝트목록!$B$3:$B$62,MATCH($C622,프로젝트목록!$A$3:$A$62,0)),"미등록코드"))</f>
        <v/>
      </c>
      <c r="E622" s="32" t="n"/>
      <c r="F622" s="38" t="n"/>
      <c r="G622" s="38" t="n"/>
      <c r="H622" s="39" t="n"/>
      <c r="I622" s="40" t="str">
        <f>IF(OR($J622="",$K622=""),"",ROUND(MAX(0,($K622-$J622)-IF($H622="",0,$H622))/60,2))</f>
        <v/>
      </c>
      <c r="J622" s="41" t="str">
        <f>IF($F622="","",IF($F622&lt;1,ROUND($F622*1440,0),INT($F622/100)*60+MOD($F622,100)))</f>
        <v/>
      </c>
      <c r="K622" s="41" t="str">
        <f>IF($G622="","",IF($G622&lt;1,ROUND($G622*1440,0),INT($G622/100)*60+MOD($G622,100)))</f>
        <v/>
      </c>
    </row>
    <row r="623" ht="15" customHeight="1" s="26">
      <c r="A623" s="34" t="n"/>
      <c r="B623" s="32" t="n"/>
      <c r="C623" s="33" t="n"/>
      <c r="D623" s="37" t="str">
        <f>IF($C623="","",IFERROR(INDEX(프로젝트목록!$B$3:$B$62,MATCH($C623,프로젝트목록!$A$3:$A$62,0)),"미등록코드"))</f>
        <v/>
      </c>
      <c r="E623" s="32" t="n"/>
      <c r="F623" s="38" t="n"/>
      <c r="G623" s="38" t="n"/>
      <c r="H623" s="39" t="n"/>
      <c r="I623" s="40" t="str">
        <f>IF(OR($J623="",$K623=""),"",ROUND(MAX(0,($K623-$J623)-IF($H623="",0,$H623))/60,2))</f>
        <v/>
      </c>
      <c r="J623" s="41" t="str">
        <f>IF($F623="","",IF($F623&lt;1,ROUND($F623*1440,0),INT($F623/100)*60+MOD($F623,100)))</f>
        <v/>
      </c>
      <c r="K623" s="41" t="str">
        <f>IF($G623="","",IF($G623&lt;1,ROUND($G623*1440,0),INT($G623/100)*60+MOD($G623,100)))</f>
        <v/>
      </c>
    </row>
    <row r="624" ht="15" customHeight="1" s="26">
      <c r="A624" s="34" t="n"/>
      <c r="B624" s="32" t="n"/>
      <c r="C624" s="33" t="n"/>
      <c r="D624" s="37" t="str">
        <f>IF($C624="","",IFERROR(INDEX(프로젝트목록!$B$3:$B$62,MATCH($C624,프로젝트목록!$A$3:$A$62,0)),"미등록코드"))</f>
        <v/>
      </c>
      <c r="E624" s="32" t="n"/>
      <c r="F624" s="38" t="n"/>
      <c r="G624" s="38" t="n"/>
      <c r="H624" s="39" t="n"/>
      <c r="I624" s="40" t="str">
        <f>IF(OR($J624="",$K624=""),"",ROUND(MAX(0,($K624-$J624)-IF($H624="",0,$H624))/60,2))</f>
        <v/>
      </c>
      <c r="J624" s="41" t="str">
        <f>IF($F624="","",IF($F624&lt;1,ROUND($F624*1440,0),INT($F624/100)*60+MOD($F624,100)))</f>
        <v/>
      </c>
      <c r="K624" s="41" t="str">
        <f>IF($G624="","",IF($G624&lt;1,ROUND($G624*1440,0),INT($G624/100)*60+MOD($G624,100)))</f>
        <v/>
      </c>
    </row>
    <row r="625" ht="15" customHeight="1" s="26">
      <c r="A625" s="34" t="n"/>
      <c r="B625" s="32" t="n"/>
      <c r="C625" s="33" t="n"/>
      <c r="D625" s="37" t="str">
        <f>IF($C625="","",IFERROR(INDEX(프로젝트목록!$B$3:$B$62,MATCH($C625,프로젝트목록!$A$3:$A$62,0)),"미등록코드"))</f>
        <v/>
      </c>
      <c r="E625" s="32" t="n"/>
      <c r="F625" s="38" t="n"/>
      <c r="G625" s="38" t="n"/>
      <c r="H625" s="39" t="n"/>
      <c r="I625" s="40" t="str">
        <f>IF(OR($J625="",$K625=""),"",ROUND(MAX(0,($K625-$J625)-IF($H625="",0,$H625))/60,2))</f>
        <v/>
      </c>
      <c r="J625" s="41" t="str">
        <f>IF($F625="","",IF($F625&lt;1,ROUND($F625*1440,0),INT($F625/100)*60+MOD($F625,100)))</f>
        <v/>
      </c>
      <c r="K625" s="41" t="str">
        <f>IF($G625="","",IF($G625&lt;1,ROUND($G625*1440,0),INT($G625/100)*60+MOD($G625,100)))</f>
        <v/>
      </c>
    </row>
    <row r="626" ht="15" customHeight="1" s="26">
      <c r="A626" s="34" t="n"/>
      <c r="B626" s="32" t="n"/>
      <c r="C626" s="33" t="n"/>
      <c r="D626" s="37" t="str">
        <f>IF($C626="","",IFERROR(INDEX(프로젝트목록!$B$3:$B$62,MATCH($C626,프로젝트목록!$A$3:$A$62,0)),"미등록코드"))</f>
        <v/>
      </c>
      <c r="E626" s="32" t="n"/>
      <c r="F626" s="38" t="n"/>
      <c r="G626" s="38" t="n"/>
      <c r="H626" s="39" t="n"/>
      <c r="I626" s="40" t="str">
        <f>IF(OR($J626="",$K626=""),"",ROUND(MAX(0,($K626-$J626)-IF($H626="",0,$H626))/60,2))</f>
        <v/>
      </c>
      <c r="J626" s="41" t="str">
        <f>IF($F626="","",IF($F626&lt;1,ROUND($F626*1440,0),INT($F626/100)*60+MOD($F626,100)))</f>
        <v/>
      </c>
      <c r="K626" s="41" t="str">
        <f>IF($G626="","",IF($G626&lt;1,ROUND($G626*1440,0),INT($G626/100)*60+MOD($G626,100)))</f>
        <v/>
      </c>
    </row>
    <row r="627" ht="15" customHeight="1" s="26">
      <c r="A627" s="34" t="n"/>
      <c r="B627" s="32" t="n"/>
      <c r="C627" s="33" t="n"/>
      <c r="D627" s="37" t="str">
        <f>IF($C627="","",IFERROR(INDEX(프로젝트목록!$B$3:$B$62,MATCH($C627,프로젝트목록!$A$3:$A$62,0)),"미등록코드"))</f>
        <v/>
      </c>
      <c r="E627" s="32" t="n"/>
      <c r="F627" s="38" t="n"/>
      <c r="G627" s="38" t="n"/>
      <c r="H627" s="39" t="n"/>
      <c r="I627" s="40" t="str">
        <f>IF(OR($J627="",$K627=""),"",ROUND(MAX(0,($K627-$J627)-IF($H627="",0,$H627))/60,2))</f>
        <v/>
      </c>
      <c r="J627" s="41" t="str">
        <f>IF($F627="","",IF($F627&lt;1,ROUND($F627*1440,0),INT($F627/100)*60+MOD($F627,100)))</f>
        <v/>
      </c>
      <c r="K627" s="41" t="str">
        <f>IF($G627="","",IF($G627&lt;1,ROUND($G627*1440,0),INT($G627/100)*60+MOD($G627,100)))</f>
        <v/>
      </c>
    </row>
    <row r="628" ht="15" customHeight="1" s="26">
      <c r="A628" s="34" t="n"/>
      <c r="B628" s="32" t="n"/>
      <c r="C628" s="33" t="n"/>
      <c r="D628" s="37" t="str">
        <f>IF($C628="","",IFERROR(INDEX(프로젝트목록!$B$3:$B$62,MATCH($C628,프로젝트목록!$A$3:$A$62,0)),"미등록코드"))</f>
        <v/>
      </c>
      <c r="E628" s="32" t="n"/>
      <c r="F628" s="38" t="n"/>
      <c r="G628" s="38" t="n"/>
      <c r="H628" s="39" t="n"/>
      <c r="I628" s="40" t="str">
        <f>IF(OR($J628="",$K628=""),"",ROUND(MAX(0,($K628-$J628)-IF($H628="",0,$H628))/60,2))</f>
        <v/>
      </c>
      <c r="J628" s="41" t="str">
        <f>IF($F628="","",IF($F628&lt;1,ROUND($F628*1440,0),INT($F628/100)*60+MOD($F628,100)))</f>
        <v/>
      </c>
      <c r="K628" s="41" t="str">
        <f>IF($G628="","",IF($G628&lt;1,ROUND($G628*1440,0),INT($G628/100)*60+MOD($G628,100)))</f>
        <v/>
      </c>
    </row>
    <row r="629" ht="15" customHeight="1" s="26">
      <c r="A629" s="34" t="n"/>
      <c r="B629" s="32" t="n"/>
      <c r="C629" s="33" t="n"/>
      <c r="D629" s="37" t="str">
        <f>IF($C629="","",IFERROR(INDEX(프로젝트목록!$B$3:$B$62,MATCH($C629,프로젝트목록!$A$3:$A$62,0)),"미등록코드"))</f>
        <v/>
      </c>
      <c r="E629" s="32" t="n"/>
      <c r="F629" s="38" t="n"/>
      <c r="G629" s="38" t="n"/>
      <c r="H629" s="39" t="n"/>
      <c r="I629" s="40" t="str">
        <f>IF(OR($J629="",$K629=""),"",ROUND(MAX(0,($K629-$J629)-IF($H629="",0,$H629))/60,2))</f>
        <v/>
      </c>
      <c r="J629" s="41" t="str">
        <f>IF($F629="","",IF($F629&lt;1,ROUND($F629*1440,0),INT($F629/100)*60+MOD($F629,100)))</f>
        <v/>
      </c>
      <c r="K629" s="41" t="str">
        <f>IF($G629="","",IF($G629&lt;1,ROUND($G629*1440,0),INT($G629/100)*60+MOD($G629,100)))</f>
        <v/>
      </c>
    </row>
    <row r="630" ht="15" customHeight="1" s="26">
      <c r="A630" s="34" t="n"/>
      <c r="B630" s="32" t="n"/>
      <c r="C630" s="33" t="n"/>
      <c r="D630" s="37" t="str">
        <f>IF($C630="","",IFERROR(INDEX(프로젝트목록!$B$3:$B$62,MATCH($C630,프로젝트목록!$A$3:$A$62,0)),"미등록코드"))</f>
        <v/>
      </c>
      <c r="E630" s="32" t="n"/>
      <c r="F630" s="38" t="n"/>
      <c r="G630" s="38" t="n"/>
      <c r="H630" s="39" t="n"/>
      <c r="I630" s="40" t="str">
        <f>IF(OR($J630="",$K630=""),"",ROUND(MAX(0,($K630-$J630)-IF($H630="",0,$H630))/60,2))</f>
        <v/>
      </c>
      <c r="J630" s="41" t="str">
        <f>IF($F630="","",IF($F630&lt;1,ROUND($F630*1440,0),INT($F630/100)*60+MOD($F630,100)))</f>
        <v/>
      </c>
      <c r="K630" s="41" t="str">
        <f>IF($G630="","",IF($G630&lt;1,ROUND($G630*1440,0),INT($G630/100)*60+MOD($G630,100)))</f>
        <v/>
      </c>
    </row>
    <row r="631" ht="15" customHeight="1" s="26">
      <c r="A631" s="34" t="n"/>
      <c r="B631" s="32" t="n"/>
      <c r="C631" s="33" t="n"/>
      <c r="D631" s="37" t="str">
        <f>IF($C631="","",IFERROR(INDEX(프로젝트목록!$B$3:$B$62,MATCH($C631,프로젝트목록!$A$3:$A$62,0)),"미등록코드"))</f>
        <v/>
      </c>
      <c r="E631" s="32" t="n"/>
      <c r="F631" s="38" t="n"/>
      <c r="G631" s="38" t="n"/>
      <c r="H631" s="39" t="n"/>
      <c r="I631" s="40" t="str">
        <f>IF(OR($J631="",$K631=""),"",ROUND(MAX(0,($K631-$J631)-IF($H631="",0,$H631))/60,2))</f>
        <v/>
      </c>
      <c r="J631" s="41" t="str">
        <f>IF($F631="","",IF($F631&lt;1,ROUND($F631*1440,0),INT($F631/100)*60+MOD($F631,100)))</f>
        <v/>
      </c>
      <c r="K631" s="41" t="str">
        <f>IF($G631="","",IF($G631&lt;1,ROUND($G631*1440,0),INT($G631/100)*60+MOD($G631,100)))</f>
        <v/>
      </c>
    </row>
    <row r="632" ht="15" customHeight="1" s="26">
      <c r="A632" s="34" t="n"/>
      <c r="B632" s="32" t="n"/>
      <c r="C632" s="33" t="n"/>
      <c r="D632" s="37" t="str">
        <f>IF($C632="","",IFERROR(INDEX(프로젝트목록!$B$3:$B$62,MATCH($C632,프로젝트목록!$A$3:$A$62,0)),"미등록코드"))</f>
        <v/>
      </c>
      <c r="E632" s="32" t="n"/>
      <c r="F632" s="38" t="n"/>
      <c r="G632" s="38" t="n"/>
      <c r="H632" s="39" t="n"/>
      <c r="I632" s="40" t="str">
        <f>IF(OR($J632="",$K632=""),"",ROUND(MAX(0,($K632-$J632)-IF($H632="",0,$H632))/60,2))</f>
        <v/>
      </c>
      <c r="J632" s="41" t="str">
        <f>IF($F632="","",IF($F632&lt;1,ROUND($F632*1440,0),INT($F632/100)*60+MOD($F632,100)))</f>
        <v/>
      </c>
      <c r="K632" s="41" t="str">
        <f>IF($G632="","",IF($G632&lt;1,ROUND($G632*1440,0),INT($G632/100)*60+MOD($G632,100)))</f>
        <v/>
      </c>
    </row>
    <row r="633" ht="15" customHeight="1" s="26">
      <c r="A633" s="34" t="n"/>
      <c r="B633" s="32" t="n"/>
      <c r="C633" s="33" t="n"/>
      <c r="D633" s="37" t="str">
        <f>IF($C633="","",IFERROR(INDEX(프로젝트목록!$B$3:$B$62,MATCH($C633,프로젝트목록!$A$3:$A$62,0)),"미등록코드"))</f>
        <v/>
      </c>
      <c r="E633" s="32" t="n"/>
      <c r="F633" s="38" t="n"/>
      <c r="G633" s="38" t="n"/>
      <c r="H633" s="39" t="n"/>
      <c r="I633" s="40" t="str">
        <f>IF(OR($J633="",$K633=""),"",ROUND(MAX(0,($K633-$J633)-IF($H633="",0,$H633))/60,2))</f>
        <v/>
      </c>
      <c r="J633" s="41" t="str">
        <f>IF($F633="","",IF($F633&lt;1,ROUND($F633*1440,0),INT($F633/100)*60+MOD($F633,100)))</f>
        <v/>
      </c>
      <c r="K633" s="41" t="str">
        <f>IF($G633="","",IF($G633&lt;1,ROUND($G633*1440,0),INT($G633/100)*60+MOD($G633,100)))</f>
        <v/>
      </c>
    </row>
    <row r="634" ht="15" customHeight="1" s="26">
      <c r="A634" s="34" t="n"/>
      <c r="B634" s="32" t="n"/>
      <c r="C634" s="33" t="n"/>
      <c r="D634" s="37" t="str">
        <f>IF($C634="","",IFERROR(INDEX(프로젝트목록!$B$3:$B$62,MATCH($C634,프로젝트목록!$A$3:$A$62,0)),"미등록코드"))</f>
        <v/>
      </c>
      <c r="E634" s="32" t="n"/>
      <c r="F634" s="38" t="n"/>
      <c r="G634" s="38" t="n"/>
      <c r="H634" s="39" t="n"/>
      <c r="I634" s="40" t="str">
        <f>IF(OR($J634="",$K634=""),"",ROUND(MAX(0,($K634-$J634)-IF($H634="",0,$H634))/60,2))</f>
        <v/>
      </c>
      <c r="J634" s="41" t="str">
        <f>IF($F634="","",IF($F634&lt;1,ROUND($F634*1440,0),INT($F634/100)*60+MOD($F634,100)))</f>
        <v/>
      </c>
      <c r="K634" s="41" t="str">
        <f>IF($G634="","",IF($G634&lt;1,ROUND($G634*1440,0),INT($G634/100)*60+MOD($G634,100)))</f>
        <v/>
      </c>
    </row>
    <row r="635" ht="15" customHeight="1" s="26">
      <c r="A635" s="34" t="n"/>
      <c r="B635" s="32" t="n"/>
      <c r="C635" s="33" t="n"/>
      <c r="D635" s="37" t="str">
        <f>IF($C635="","",IFERROR(INDEX(프로젝트목록!$B$3:$B$62,MATCH($C635,프로젝트목록!$A$3:$A$62,0)),"미등록코드"))</f>
        <v/>
      </c>
      <c r="E635" s="32" t="n"/>
      <c r="F635" s="38" t="n"/>
      <c r="G635" s="38" t="n"/>
      <c r="H635" s="39" t="n"/>
      <c r="I635" s="40" t="str">
        <f>IF(OR($J635="",$K635=""),"",ROUND(MAX(0,($K635-$J635)-IF($H635="",0,$H635))/60,2))</f>
        <v/>
      </c>
      <c r="J635" s="41" t="str">
        <f>IF($F635="","",IF($F635&lt;1,ROUND($F635*1440,0),INT($F635/100)*60+MOD($F635,100)))</f>
        <v/>
      </c>
      <c r="K635" s="41" t="str">
        <f>IF($G635="","",IF($G635&lt;1,ROUND($G635*1440,0),INT($G635/100)*60+MOD($G635,100)))</f>
        <v/>
      </c>
    </row>
    <row r="636" ht="15" customHeight="1" s="26">
      <c r="A636" s="34" t="n"/>
      <c r="B636" s="32" t="n"/>
      <c r="C636" s="33" t="n"/>
      <c r="D636" s="37" t="str">
        <f>IF($C636="","",IFERROR(INDEX(프로젝트목록!$B$3:$B$62,MATCH($C636,프로젝트목록!$A$3:$A$62,0)),"미등록코드"))</f>
        <v/>
      </c>
      <c r="E636" s="32" t="n"/>
      <c r="F636" s="38" t="n"/>
      <c r="G636" s="38" t="n"/>
      <c r="H636" s="39" t="n"/>
      <c r="I636" s="40" t="str">
        <f>IF(OR($J636="",$K636=""),"",ROUND(MAX(0,($K636-$J636)-IF($H636="",0,$H636))/60,2))</f>
        <v/>
      </c>
      <c r="J636" s="41" t="str">
        <f>IF($F636="","",IF($F636&lt;1,ROUND($F636*1440,0),INT($F636/100)*60+MOD($F636,100)))</f>
        <v/>
      </c>
      <c r="K636" s="41" t="str">
        <f>IF($G636="","",IF($G636&lt;1,ROUND($G636*1440,0),INT($G636/100)*60+MOD($G636,100)))</f>
        <v/>
      </c>
    </row>
    <row r="637" ht="15" customHeight="1" s="26">
      <c r="A637" s="34" t="n"/>
      <c r="B637" s="32" t="n"/>
      <c r="C637" s="33" t="n"/>
      <c r="D637" s="37" t="str">
        <f>IF($C637="","",IFERROR(INDEX(프로젝트목록!$B$3:$B$62,MATCH($C637,프로젝트목록!$A$3:$A$62,0)),"미등록코드"))</f>
        <v/>
      </c>
      <c r="E637" s="32" t="n"/>
      <c r="F637" s="38" t="n"/>
      <c r="G637" s="38" t="n"/>
      <c r="H637" s="39" t="n"/>
      <c r="I637" s="40" t="str">
        <f>IF(OR($J637="",$K637=""),"",ROUND(MAX(0,($K637-$J637)-IF($H637="",0,$H637))/60,2))</f>
        <v/>
      </c>
      <c r="J637" s="41" t="str">
        <f>IF($F637="","",IF($F637&lt;1,ROUND($F637*1440,0),INT($F637/100)*60+MOD($F637,100)))</f>
        <v/>
      </c>
      <c r="K637" s="41" t="str">
        <f>IF($G637="","",IF($G637&lt;1,ROUND($G637*1440,0),INT($G637/100)*60+MOD($G637,100)))</f>
        <v/>
      </c>
    </row>
    <row r="638" ht="15" customHeight="1" s="26">
      <c r="A638" s="34" t="n"/>
      <c r="B638" s="32" t="n"/>
      <c r="C638" s="33" t="n"/>
      <c r="D638" s="37" t="str">
        <f>IF($C638="","",IFERROR(INDEX(프로젝트목록!$B$3:$B$62,MATCH($C638,프로젝트목록!$A$3:$A$62,0)),"미등록코드"))</f>
        <v/>
      </c>
      <c r="E638" s="32" t="n"/>
      <c r="F638" s="38" t="n"/>
      <c r="G638" s="38" t="n"/>
      <c r="H638" s="39" t="n"/>
      <c r="I638" s="40" t="str">
        <f>IF(OR($J638="",$K638=""),"",ROUND(MAX(0,($K638-$J638)-IF($H638="",0,$H638))/60,2))</f>
        <v/>
      </c>
      <c r="J638" s="41" t="str">
        <f>IF($F638="","",IF($F638&lt;1,ROUND($F638*1440,0),INT($F638/100)*60+MOD($F638,100)))</f>
        <v/>
      </c>
      <c r="K638" s="41" t="str">
        <f>IF($G638="","",IF($G638&lt;1,ROUND($G638*1440,0),INT($G638/100)*60+MOD($G638,100)))</f>
        <v/>
      </c>
    </row>
    <row r="639" ht="15" customHeight="1" s="26">
      <c r="A639" s="34" t="n"/>
      <c r="B639" s="32" t="n"/>
      <c r="C639" s="33" t="n"/>
      <c r="D639" s="37" t="str">
        <f>IF($C639="","",IFERROR(INDEX(프로젝트목록!$B$3:$B$62,MATCH($C639,프로젝트목록!$A$3:$A$62,0)),"미등록코드"))</f>
        <v/>
      </c>
      <c r="E639" s="32" t="n"/>
      <c r="F639" s="38" t="n"/>
      <c r="G639" s="38" t="n"/>
      <c r="H639" s="39" t="n"/>
      <c r="I639" s="40" t="str">
        <f>IF(OR($J639="",$K639=""),"",ROUND(MAX(0,($K639-$J639)-IF($H639="",0,$H639))/60,2))</f>
        <v/>
      </c>
      <c r="J639" s="41" t="str">
        <f>IF($F639="","",IF($F639&lt;1,ROUND($F639*1440,0),INT($F639/100)*60+MOD($F639,100)))</f>
        <v/>
      </c>
      <c r="K639" s="41" t="str">
        <f>IF($G639="","",IF($G639&lt;1,ROUND($G639*1440,0),INT($G639/100)*60+MOD($G639,100)))</f>
        <v/>
      </c>
    </row>
    <row r="640" ht="15" customHeight="1" s="26">
      <c r="A640" s="34" t="n"/>
      <c r="B640" s="32" t="n"/>
      <c r="C640" s="33" t="n"/>
      <c r="D640" s="37" t="str">
        <f>IF($C640="","",IFERROR(INDEX(프로젝트목록!$B$3:$B$62,MATCH($C640,프로젝트목록!$A$3:$A$62,0)),"미등록코드"))</f>
        <v/>
      </c>
      <c r="E640" s="32" t="n"/>
      <c r="F640" s="38" t="n"/>
      <c r="G640" s="38" t="n"/>
      <c r="H640" s="39" t="n"/>
      <c r="I640" s="40" t="str">
        <f>IF(OR($J640="",$K640=""),"",ROUND(MAX(0,($K640-$J640)-IF($H640="",0,$H640))/60,2))</f>
        <v/>
      </c>
      <c r="J640" s="41" t="str">
        <f>IF($F640="","",IF($F640&lt;1,ROUND($F640*1440,0),INT($F640/100)*60+MOD($F640,100)))</f>
        <v/>
      </c>
      <c r="K640" s="41" t="str">
        <f>IF($G640="","",IF($G640&lt;1,ROUND($G640*1440,0),INT($G640/100)*60+MOD($G640,100)))</f>
        <v/>
      </c>
    </row>
    <row r="641" ht="15" customHeight="1" s="26">
      <c r="A641" s="34" t="n"/>
      <c r="B641" s="32" t="n"/>
      <c r="C641" s="33" t="n"/>
      <c r="D641" s="37" t="str">
        <f>IF($C641="","",IFERROR(INDEX(프로젝트목록!$B$3:$B$62,MATCH($C641,프로젝트목록!$A$3:$A$62,0)),"미등록코드"))</f>
        <v/>
      </c>
      <c r="E641" s="32" t="n"/>
      <c r="F641" s="38" t="n"/>
      <c r="G641" s="38" t="n"/>
      <c r="H641" s="39" t="n"/>
      <c r="I641" s="40" t="str">
        <f>IF(OR($J641="",$K641=""),"",ROUND(MAX(0,($K641-$J641)-IF($H641="",0,$H641))/60,2))</f>
        <v/>
      </c>
      <c r="J641" s="41" t="str">
        <f>IF($F641="","",IF($F641&lt;1,ROUND($F641*1440,0),INT($F641/100)*60+MOD($F641,100)))</f>
        <v/>
      </c>
      <c r="K641" s="41" t="str">
        <f>IF($G641="","",IF($G641&lt;1,ROUND($G641*1440,0),INT($G641/100)*60+MOD($G641,100)))</f>
        <v/>
      </c>
    </row>
    <row r="642" ht="15" customHeight="1" s="26">
      <c r="A642" s="34" t="n"/>
      <c r="B642" s="32" t="n"/>
      <c r="C642" s="33" t="n"/>
      <c r="D642" s="37" t="str">
        <f>IF($C642="","",IFERROR(INDEX(프로젝트목록!$B$3:$B$62,MATCH($C642,프로젝트목록!$A$3:$A$62,0)),"미등록코드"))</f>
        <v/>
      </c>
      <c r="E642" s="32" t="n"/>
      <c r="F642" s="38" t="n"/>
      <c r="G642" s="38" t="n"/>
      <c r="H642" s="39" t="n"/>
      <c r="I642" s="40" t="str">
        <f>IF(OR($J642="",$K642=""),"",ROUND(MAX(0,($K642-$J642)-IF($H642="",0,$H642))/60,2))</f>
        <v/>
      </c>
      <c r="J642" s="41" t="str">
        <f>IF($F642="","",IF($F642&lt;1,ROUND($F642*1440,0),INT($F642/100)*60+MOD($F642,100)))</f>
        <v/>
      </c>
      <c r="K642" s="41" t="str">
        <f>IF($G642="","",IF($G642&lt;1,ROUND($G642*1440,0),INT($G642/100)*60+MOD($G642,100)))</f>
        <v/>
      </c>
    </row>
    <row r="643" ht="15" customHeight="1" s="26">
      <c r="A643" s="34" t="n"/>
      <c r="B643" s="32" t="n"/>
      <c r="C643" s="33" t="n"/>
      <c r="D643" s="37" t="str">
        <f>IF($C643="","",IFERROR(INDEX(프로젝트목록!$B$3:$B$62,MATCH($C643,프로젝트목록!$A$3:$A$62,0)),"미등록코드"))</f>
        <v/>
      </c>
      <c r="E643" s="32" t="n"/>
      <c r="F643" s="38" t="n"/>
      <c r="G643" s="38" t="n"/>
      <c r="H643" s="39" t="n"/>
      <c r="I643" s="40" t="str">
        <f>IF(OR($J643="",$K643=""),"",ROUND(MAX(0,($K643-$J643)-IF($H643="",0,$H643))/60,2))</f>
        <v/>
      </c>
      <c r="J643" s="41" t="str">
        <f>IF($F643="","",IF($F643&lt;1,ROUND($F643*1440,0),INT($F643/100)*60+MOD($F643,100)))</f>
        <v/>
      </c>
      <c r="K643" s="41" t="str">
        <f>IF($G643="","",IF($G643&lt;1,ROUND($G643*1440,0),INT($G643/100)*60+MOD($G643,100)))</f>
        <v/>
      </c>
    </row>
    <row r="644" ht="15" customHeight="1" s="26">
      <c r="A644" s="34" t="n"/>
      <c r="B644" s="32" t="n"/>
      <c r="C644" s="33" t="n"/>
      <c r="D644" s="37" t="str">
        <f>IF($C644="","",IFERROR(INDEX(프로젝트목록!$B$3:$B$62,MATCH($C644,프로젝트목록!$A$3:$A$62,0)),"미등록코드"))</f>
        <v/>
      </c>
      <c r="E644" s="32" t="n"/>
      <c r="F644" s="38" t="n"/>
      <c r="G644" s="38" t="n"/>
      <c r="H644" s="39" t="n"/>
      <c r="I644" s="40" t="str">
        <f>IF(OR($J644="",$K644=""),"",ROUND(MAX(0,($K644-$J644)-IF($H644="",0,$H644))/60,2))</f>
        <v/>
      </c>
      <c r="J644" s="41" t="str">
        <f>IF($F644="","",IF($F644&lt;1,ROUND($F644*1440,0),INT($F644/100)*60+MOD($F644,100)))</f>
        <v/>
      </c>
      <c r="K644" s="41" t="str">
        <f>IF($G644="","",IF($G644&lt;1,ROUND($G644*1440,0),INT($G644/100)*60+MOD($G644,100)))</f>
        <v/>
      </c>
    </row>
    <row r="645" ht="15" customHeight="1" s="26">
      <c r="A645" s="34" t="n"/>
      <c r="B645" s="32" t="n"/>
      <c r="C645" s="33" t="n"/>
      <c r="D645" s="37" t="str">
        <f>IF($C645="","",IFERROR(INDEX(프로젝트목록!$B$3:$B$62,MATCH($C645,프로젝트목록!$A$3:$A$62,0)),"미등록코드"))</f>
        <v/>
      </c>
      <c r="E645" s="32" t="n"/>
      <c r="F645" s="38" t="n"/>
      <c r="G645" s="38" t="n"/>
      <c r="H645" s="39" t="n"/>
      <c r="I645" s="40" t="str">
        <f>IF(OR($J645="",$K645=""),"",ROUND(MAX(0,($K645-$J645)-IF($H645="",0,$H645))/60,2))</f>
        <v/>
      </c>
      <c r="J645" s="41" t="str">
        <f>IF($F645="","",IF($F645&lt;1,ROUND($F645*1440,0),INT($F645/100)*60+MOD($F645,100)))</f>
        <v/>
      </c>
      <c r="K645" s="41" t="str">
        <f>IF($G645="","",IF($G645&lt;1,ROUND($G645*1440,0),INT($G645/100)*60+MOD($G645,100)))</f>
        <v/>
      </c>
    </row>
    <row r="646" ht="15" customHeight="1" s="26">
      <c r="A646" s="34" t="n"/>
      <c r="B646" s="32" t="n"/>
      <c r="C646" s="33" t="n"/>
      <c r="D646" s="37" t="str">
        <f>IF($C646="","",IFERROR(INDEX(프로젝트목록!$B$3:$B$62,MATCH($C646,프로젝트목록!$A$3:$A$62,0)),"미등록코드"))</f>
        <v/>
      </c>
      <c r="E646" s="32" t="n"/>
      <c r="F646" s="38" t="n"/>
      <c r="G646" s="38" t="n"/>
      <c r="H646" s="39" t="n"/>
      <c r="I646" s="40" t="str">
        <f>IF(OR($J646="",$K646=""),"",ROUND(MAX(0,($K646-$J646)-IF($H646="",0,$H646))/60,2))</f>
        <v/>
      </c>
      <c r="J646" s="41" t="str">
        <f>IF($F646="","",IF($F646&lt;1,ROUND($F646*1440,0),INT($F646/100)*60+MOD($F646,100)))</f>
        <v/>
      </c>
      <c r="K646" s="41" t="str">
        <f>IF($G646="","",IF($G646&lt;1,ROUND($G646*1440,0),INT($G646/100)*60+MOD($G646,100)))</f>
        <v/>
      </c>
    </row>
    <row r="647" ht="15" customHeight="1" s="26">
      <c r="A647" s="34" t="n"/>
      <c r="B647" s="32" t="n"/>
      <c r="C647" s="33" t="n"/>
      <c r="D647" s="37" t="str">
        <f>IF($C647="","",IFERROR(INDEX(프로젝트목록!$B$3:$B$62,MATCH($C647,프로젝트목록!$A$3:$A$62,0)),"미등록코드"))</f>
        <v/>
      </c>
      <c r="E647" s="32" t="n"/>
      <c r="F647" s="38" t="n"/>
      <c r="G647" s="38" t="n"/>
      <c r="H647" s="39" t="n"/>
      <c r="I647" s="40" t="str">
        <f>IF(OR($J647="",$K647=""),"",ROUND(MAX(0,($K647-$J647)-IF($H647="",0,$H647))/60,2))</f>
        <v/>
      </c>
      <c r="J647" s="41" t="str">
        <f>IF($F647="","",IF($F647&lt;1,ROUND($F647*1440,0),INT($F647/100)*60+MOD($F647,100)))</f>
        <v/>
      </c>
      <c r="K647" s="41" t="str">
        <f>IF($G647="","",IF($G647&lt;1,ROUND($G647*1440,0),INT($G647/100)*60+MOD($G647,100)))</f>
        <v/>
      </c>
    </row>
    <row r="648" ht="15" customHeight="1" s="26">
      <c r="A648" s="34" t="n"/>
      <c r="B648" s="32" t="n"/>
      <c r="C648" s="33" t="n"/>
      <c r="D648" s="37" t="str">
        <f>IF($C648="","",IFERROR(INDEX(프로젝트목록!$B$3:$B$62,MATCH($C648,프로젝트목록!$A$3:$A$62,0)),"미등록코드"))</f>
        <v/>
      </c>
      <c r="E648" s="32" t="n"/>
      <c r="F648" s="38" t="n"/>
      <c r="G648" s="38" t="n"/>
      <c r="H648" s="39" t="n"/>
      <c r="I648" s="40" t="str">
        <f>IF(OR($J648="",$K648=""),"",ROUND(MAX(0,($K648-$J648)-IF($H648="",0,$H648))/60,2))</f>
        <v/>
      </c>
      <c r="J648" s="41" t="str">
        <f>IF($F648="","",IF($F648&lt;1,ROUND($F648*1440,0),INT($F648/100)*60+MOD($F648,100)))</f>
        <v/>
      </c>
      <c r="K648" s="41" t="str">
        <f>IF($G648="","",IF($G648&lt;1,ROUND($G648*1440,0),INT($G648/100)*60+MOD($G648,100)))</f>
        <v/>
      </c>
    </row>
    <row r="649" ht="15" customHeight="1" s="26">
      <c r="A649" s="34" t="n"/>
      <c r="B649" s="32" t="n"/>
      <c r="C649" s="33" t="n"/>
      <c r="D649" s="37" t="str">
        <f>IF($C649="","",IFERROR(INDEX(프로젝트목록!$B$3:$B$62,MATCH($C649,프로젝트목록!$A$3:$A$62,0)),"미등록코드"))</f>
        <v/>
      </c>
      <c r="E649" s="32" t="n"/>
      <c r="F649" s="38" t="n"/>
      <c r="G649" s="38" t="n"/>
      <c r="H649" s="39" t="n"/>
      <c r="I649" s="40" t="str">
        <f>IF(OR($J649="",$K649=""),"",ROUND(MAX(0,($K649-$J649)-IF($H649="",0,$H649))/60,2))</f>
        <v/>
      </c>
      <c r="J649" s="41" t="str">
        <f>IF($F649="","",IF($F649&lt;1,ROUND($F649*1440,0),INT($F649/100)*60+MOD($F649,100)))</f>
        <v/>
      </c>
      <c r="K649" s="41" t="str">
        <f>IF($G649="","",IF($G649&lt;1,ROUND($G649*1440,0),INT($G649/100)*60+MOD($G649,100)))</f>
        <v/>
      </c>
    </row>
    <row r="650" ht="15" customHeight="1" s="26">
      <c r="A650" s="34" t="n"/>
      <c r="B650" s="32" t="n"/>
      <c r="C650" s="33" t="n"/>
      <c r="D650" s="37" t="str">
        <f>IF($C650="","",IFERROR(INDEX(프로젝트목록!$B$3:$B$62,MATCH($C650,프로젝트목록!$A$3:$A$62,0)),"미등록코드"))</f>
        <v/>
      </c>
      <c r="E650" s="32" t="n"/>
      <c r="F650" s="38" t="n"/>
      <c r="G650" s="38" t="n"/>
      <c r="H650" s="39" t="n"/>
      <c r="I650" s="40" t="str">
        <f>IF(OR($J650="",$K650=""),"",ROUND(MAX(0,($K650-$J650)-IF($H650="",0,$H650))/60,2))</f>
        <v/>
      </c>
      <c r="J650" s="41" t="str">
        <f>IF($F650="","",IF($F650&lt;1,ROUND($F650*1440,0),INT($F650/100)*60+MOD($F650,100)))</f>
        <v/>
      </c>
      <c r="K650" s="41" t="str">
        <f>IF($G650="","",IF($G650&lt;1,ROUND($G650*1440,0),INT($G650/100)*60+MOD($G650,100)))</f>
        <v/>
      </c>
    </row>
    <row r="651" ht="15" customHeight="1" s="26">
      <c r="A651" s="34" t="n"/>
      <c r="B651" s="32" t="n"/>
      <c r="C651" s="33" t="n"/>
      <c r="D651" s="37" t="str">
        <f>IF($C651="","",IFERROR(INDEX(프로젝트목록!$B$3:$B$62,MATCH($C651,프로젝트목록!$A$3:$A$62,0)),"미등록코드"))</f>
        <v/>
      </c>
      <c r="E651" s="32" t="n"/>
      <c r="F651" s="38" t="n"/>
      <c r="G651" s="38" t="n"/>
      <c r="H651" s="39" t="n"/>
      <c r="I651" s="40" t="str">
        <f>IF(OR($J651="",$K651=""),"",ROUND(MAX(0,($K651-$J651)-IF($H651="",0,$H651))/60,2))</f>
        <v/>
      </c>
      <c r="J651" s="41" t="str">
        <f>IF($F651="","",IF($F651&lt;1,ROUND($F651*1440,0),INT($F651/100)*60+MOD($F651,100)))</f>
        <v/>
      </c>
      <c r="K651" s="41" t="str">
        <f>IF($G651="","",IF($G651&lt;1,ROUND($G651*1440,0),INT($G651/100)*60+MOD($G651,100)))</f>
        <v/>
      </c>
    </row>
    <row r="652" ht="15" customHeight="1" s="26">
      <c r="A652" s="34" t="n"/>
      <c r="B652" s="32" t="n"/>
      <c r="C652" s="33" t="n"/>
      <c r="D652" s="37" t="str">
        <f>IF($C652="","",IFERROR(INDEX(프로젝트목록!$B$3:$B$62,MATCH($C652,프로젝트목록!$A$3:$A$62,0)),"미등록코드"))</f>
        <v/>
      </c>
      <c r="E652" s="32" t="n"/>
      <c r="F652" s="38" t="n"/>
      <c r="G652" s="38" t="n"/>
      <c r="H652" s="39" t="n"/>
      <c r="I652" s="40" t="str">
        <f>IF(OR($J652="",$K652=""),"",ROUND(MAX(0,($K652-$J652)-IF($H652="",0,$H652))/60,2))</f>
        <v/>
      </c>
      <c r="J652" s="41" t="str">
        <f>IF($F652="","",IF($F652&lt;1,ROUND($F652*1440,0),INT($F652/100)*60+MOD($F652,100)))</f>
        <v/>
      </c>
      <c r="K652" s="41" t="str">
        <f>IF($G652="","",IF($G652&lt;1,ROUND($G652*1440,0),INT($G652/100)*60+MOD($G652,100)))</f>
        <v/>
      </c>
    </row>
    <row r="653" ht="15" customHeight="1" s="26">
      <c r="A653" s="34" t="n"/>
      <c r="B653" s="32" t="n"/>
      <c r="C653" s="33" t="n"/>
      <c r="D653" s="37" t="str">
        <f>IF($C653="","",IFERROR(INDEX(프로젝트목록!$B$3:$B$62,MATCH($C653,프로젝트목록!$A$3:$A$62,0)),"미등록코드"))</f>
        <v/>
      </c>
      <c r="E653" s="32" t="n"/>
      <c r="F653" s="38" t="n"/>
      <c r="G653" s="38" t="n"/>
      <c r="H653" s="39" t="n"/>
      <c r="I653" s="40" t="str">
        <f>IF(OR($J653="",$K653=""),"",ROUND(MAX(0,($K653-$J653)-IF($H653="",0,$H653))/60,2))</f>
        <v/>
      </c>
      <c r="J653" s="41" t="str">
        <f>IF($F653="","",IF($F653&lt;1,ROUND($F653*1440,0),INT($F653/100)*60+MOD($F653,100)))</f>
        <v/>
      </c>
      <c r="K653" s="41" t="str">
        <f>IF($G653="","",IF($G653&lt;1,ROUND($G653*1440,0),INT($G653/100)*60+MOD($G653,100)))</f>
        <v/>
      </c>
    </row>
    <row r="654" ht="15" customHeight="1" s="26">
      <c r="A654" s="34" t="n"/>
      <c r="B654" s="32" t="n"/>
      <c r="C654" s="33" t="n"/>
      <c r="D654" s="37" t="str">
        <f>IF($C654="","",IFERROR(INDEX(프로젝트목록!$B$3:$B$62,MATCH($C654,프로젝트목록!$A$3:$A$62,0)),"미등록코드"))</f>
        <v/>
      </c>
      <c r="E654" s="32" t="n"/>
      <c r="F654" s="38" t="n"/>
      <c r="G654" s="38" t="n"/>
      <c r="H654" s="39" t="n"/>
      <c r="I654" s="40" t="str">
        <f>IF(OR($J654="",$K654=""),"",ROUND(MAX(0,($K654-$J654)-IF($H654="",0,$H654))/60,2))</f>
        <v/>
      </c>
      <c r="J654" s="41" t="str">
        <f>IF($F654="","",IF($F654&lt;1,ROUND($F654*1440,0),INT($F654/100)*60+MOD($F654,100)))</f>
        <v/>
      </c>
      <c r="K654" s="41" t="str">
        <f>IF($G654="","",IF($G654&lt;1,ROUND($G654*1440,0),INT($G654/100)*60+MOD($G654,100)))</f>
        <v/>
      </c>
    </row>
    <row r="655" ht="15" customHeight="1" s="26">
      <c r="A655" s="34" t="n"/>
      <c r="B655" s="32" t="n"/>
      <c r="C655" s="33" t="n"/>
      <c r="D655" s="37" t="str">
        <f>IF($C655="","",IFERROR(INDEX(프로젝트목록!$B$3:$B$62,MATCH($C655,프로젝트목록!$A$3:$A$62,0)),"미등록코드"))</f>
        <v/>
      </c>
      <c r="E655" s="32" t="n"/>
      <c r="F655" s="38" t="n"/>
      <c r="G655" s="38" t="n"/>
      <c r="H655" s="39" t="n"/>
      <c r="I655" s="40" t="str">
        <f>IF(OR($J655="",$K655=""),"",ROUND(MAX(0,($K655-$J655)-IF($H655="",0,$H655))/60,2))</f>
        <v/>
      </c>
      <c r="J655" s="41" t="str">
        <f>IF($F655="","",IF($F655&lt;1,ROUND($F655*1440,0),INT($F655/100)*60+MOD($F655,100)))</f>
        <v/>
      </c>
      <c r="K655" s="41" t="str">
        <f>IF($G655="","",IF($G655&lt;1,ROUND($G655*1440,0),INT($G655/100)*60+MOD($G655,100)))</f>
        <v/>
      </c>
    </row>
    <row r="656" ht="15" customHeight="1" s="26">
      <c r="A656" s="34" t="n"/>
      <c r="B656" s="32" t="n"/>
      <c r="C656" s="33" t="n"/>
      <c r="D656" s="37" t="str">
        <f>IF($C656="","",IFERROR(INDEX(프로젝트목록!$B$3:$B$62,MATCH($C656,프로젝트목록!$A$3:$A$62,0)),"미등록코드"))</f>
        <v/>
      </c>
      <c r="E656" s="32" t="n"/>
      <c r="F656" s="38" t="n"/>
      <c r="G656" s="38" t="n"/>
      <c r="H656" s="39" t="n"/>
      <c r="I656" s="40" t="str">
        <f>IF(OR($J656="",$K656=""),"",ROUND(MAX(0,($K656-$J656)-IF($H656="",0,$H656))/60,2))</f>
        <v/>
      </c>
      <c r="J656" s="41" t="str">
        <f>IF($F656="","",IF($F656&lt;1,ROUND($F656*1440,0),INT($F656/100)*60+MOD($F656,100)))</f>
        <v/>
      </c>
      <c r="K656" s="41" t="str">
        <f>IF($G656="","",IF($G656&lt;1,ROUND($G656*1440,0),INT($G656/100)*60+MOD($G656,100)))</f>
        <v/>
      </c>
    </row>
    <row r="657" ht="15" customHeight="1" s="26">
      <c r="A657" s="34" t="n"/>
      <c r="B657" s="32" t="n"/>
      <c r="C657" s="33" t="n"/>
      <c r="D657" s="37" t="str">
        <f>IF($C657="","",IFERROR(INDEX(프로젝트목록!$B$3:$B$62,MATCH($C657,프로젝트목록!$A$3:$A$62,0)),"미등록코드"))</f>
        <v/>
      </c>
      <c r="E657" s="32" t="n"/>
      <c r="F657" s="38" t="n"/>
      <c r="G657" s="38" t="n"/>
      <c r="H657" s="39" t="n"/>
      <c r="I657" s="40" t="str">
        <f>IF(OR($J657="",$K657=""),"",ROUND(MAX(0,($K657-$J657)-IF($H657="",0,$H657))/60,2))</f>
        <v/>
      </c>
      <c r="J657" s="41" t="str">
        <f>IF($F657="","",IF($F657&lt;1,ROUND($F657*1440,0),INT($F657/100)*60+MOD($F657,100)))</f>
        <v/>
      </c>
      <c r="K657" s="41" t="str">
        <f>IF($G657="","",IF($G657&lt;1,ROUND($G657*1440,0),INT($G657/100)*60+MOD($G657,100)))</f>
        <v/>
      </c>
    </row>
    <row r="658" ht="15" customHeight="1" s="26">
      <c r="A658" s="34" t="n"/>
      <c r="B658" s="32" t="n"/>
      <c r="C658" s="33" t="n"/>
      <c r="D658" s="37" t="str">
        <f>IF($C658="","",IFERROR(INDEX(프로젝트목록!$B$3:$B$62,MATCH($C658,프로젝트목록!$A$3:$A$62,0)),"미등록코드"))</f>
        <v/>
      </c>
      <c r="E658" s="32" t="n"/>
      <c r="F658" s="38" t="n"/>
      <c r="G658" s="38" t="n"/>
      <c r="H658" s="39" t="n"/>
      <c r="I658" s="40" t="str">
        <f>IF(OR($J658="",$K658=""),"",ROUND(MAX(0,($K658-$J658)-IF($H658="",0,$H658))/60,2))</f>
        <v/>
      </c>
      <c r="J658" s="41" t="str">
        <f>IF($F658="","",IF($F658&lt;1,ROUND($F658*1440,0),INT($F658/100)*60+MOD($F658,100)))</f>
        <v/>
      </c>
      <c r="K658" s="41" t="str">
        <f>IF($G658="","",IF($G658&lt;1,ROUND($G658*1440,0),INT($G658/100)*60+MOD($G658,100)))</f>
        <v/>
      </c>
    </row>
    <row r="659" ht="15" customHeight="1" s="26">
      <c r="A659" s="34" t="n"/>
      <c r="B659" s="32" t="n"/>
      <c r="C659" s="33" t="n"/>
      <c r="D659" s="37" t="str">
        <f>IF($C659="","",IFERROR(INDEX(프로젝트목록!$B$3:$B$62,MATCH($C659,프로젝트목록!$A$3:$A$62,0)),"미등록코드"))</f>
        <v/>
      </c>
      <c r="E659" s="32" t="n"/>
      <c r="F659" s="38" t="n"/>
      <c r="G659" s="38" t="n"/>
      <c r="H659" s="39" t="n"/>
      <c r="I659" s="40" t="str">
        <f>IF(OR($J659="",$K659=""),"",ROUND(MAX(0,($K659-$J659)-IF($H659="",0,$H659))/60,2))</f>
        <v/>
      </c>
      <c r="J659" s="41" t="str">
        <f>IF($F659="","",IF($F659&lt;1,ROUND($F659*1440,0),INT($F659/100)*60+MOD($F659,100)))</f>
        <v/>
      </c>
      <c r="K659" s="41" t="str">
        <f>IF($G659="","",IF($G659&lt;1,ROUND($G659*1440,0),INT($G659/100)*60+MOD($G659,100)))</f>
        <v/>
      </c>
    </row>
    <row r="660" ht="15" customHeight="1" s="26">
      <c r="A660" s="34" t="n"/>
      <c r="B660" s="32" t="n"/>
      <c r="C660" s="33" t="n"/>
      <c r="D660" s="37" t="str">
        <f>IF($C660="","",IFERROR(INDEX(프로젝트목록!$B$3:$B$62,MATCH($C660,프로젝트목록!$A$3:$A$62,0)),"미등록코드"))</f>
        <v/>
      </c>
      <c r="E660" s="32" t="n"/>
      <c r="F660" s="38" t="n"/>
      <c r="G660" s="38" t="n"/>
      <c r="H660" s="39" t="n"/>
      <c r="I660" s="40" t="str">
        <f>IF(OR($J660="",$K660=""),"",ROUND(MAX(0,($K660-$J660)-IF($H660="",0,$H660))/60,2))</f>
        <v/>
      </c>
      <c r="J660" s="41" t="str">
        <f>IF($F660="","",IF($F660&lt;1,ROUND($F660*1440,0),INT($F660/100)*60+MOD($F660,100)))</f>
        <v/>
      </c>
      <c r="K660" s="41" t="str">
        <f>IF($G660="","",IF($G660&lt;1,ROUND($G660*1440,0),INT($G660/100)*60+MOD($G660,100)))</f>
        <v/>
      </c>
    </row>
    <row r="661" ht="15" customHeight="1" s="26">
      <c r="A661" s="34" t="n"/>
      <c r="B661" s="32" t="n"/>
      <c r="C661" s="33" t="n"/>
      <c r="D661" s="37" t="str">
        <f>IF($C661="","",IFERROR(INDEX(프로젝트목록!$B$3:$B$62,MATCH($C661,프로젝트목록!$A$3:$A$62,0)),"미등록코드"))</f>
        <v/>
      </c>
      <c r="E661" s="32" t="n"/>
      <c r="F661" s="38" t="n"/>
      <c r="G661" s="38" t="n"/>
      <c r="H661" s="39" t="n"/>
      <c r="I661" s="40" t="str">
        <f>IF(OR($J661="",$K661=""),"",ROUND(MAX(0,($K661-$J661)-IF($H661="",0,$H661))/60,2))</f>
        <v/>
      </c>
      <c r="J661" s="41" t="str">
        <f>IF($F661="","",IF($F661&lt;1,ROUND($F661*1440,0),INT($F661/100)*60+MOD($F661,100)))</f>
        <v/>
      </c>
      <c r="K661" s="41" t="str">
        <f>IF($G661="","",IF($G661&lt;1,ROUND($G661*1440,0),INT($G661/100)*60+MOD($G661,100)))</f>
        <v/>
      </c>
    </row>
    <row r="662" ht="15" customHeight="1" s="26">
      <c r="A662" s="34" t="n"/>
      <c r="B662" s="32" t="n"/>
      <c r="C662" s="33" t="n"/>
      <c r="D662" s="37" t="str">
        <f>IF($C662="","",IFERROR(INDEX(프로젝트목록!$B$3:$B$62,MATCH($C662,프로젝트목록!$A$3:$A$62,0)),"미등록코드"))</f>
        <v/>
      </c>
      <c r="E662" s="32" t="n"/>
      <c r="F662" s="38" t="n"/>
      <c r="G662" s="38" t="n"/>
      <c r="H662" s="39" t="n"/>
      <c r="I662" s="40" t="str">
        <f>IF(OR($J662="",$K662=""),"",ROUND(MAX(0,($K662-$J662)-IF($H662="",0,$H662))/60,2))</f>
        <v/>
      </c>
      <c r="J662" s="41" t="str">
        <f>IF($F662="","",IF($F662&lt;1,ROUND($F662*1440,0),INT($F662/100)*60+MOD($F662,100)))</f>
        <v/>
      </c>
      <c r="K662" s="41" t="str">
        <f>IF($G662="","",IF($G662&lt;1,ROUND($G662*1440,0),INT($G662/100)*60+MOD($G662,100)))</f>
        <v/>
      </c>
    </row>
    <row r="663" ht="15" customHeight="1" s="26">
      <c r="A663" s="34" t="n"/>
      <c r="B663" s="32" t="n"/>
      <c r="C663" s="33" t="n"/>
      <c r="D663" s="37" t="str">
        <f>IF($C663="","",IFERROR(INDEX(프로젝트목록!$B$3:$B$62,MATCH($C663,프로젝트목록!$A$3:$A$62,0)),"미등록코드"))</f>
        <v/>
      </c>
      <c r="E663" s="32" t="n"/>
      <c r="F663" s="38" t="n"/>
      <c r="G663" s="38" t="n"/>
      <c r="H663" s="39" t="n"/>
      <c r="I663" s="40" t="str">
        <f>IF(OR($J663="",$K663=""),"",ROUND(MAX(0,($K663-$J663)-IF($H663="",0,$H663))/60,2))</f>
        <v/>
      </c>
      <c r="J663" s="41" t="str">
        <f>IF($F663="","",IF($F663&lt;1,ROUND($F663*1440,0),INT($F663/100)*60+MOD($F663,100)))</f>
        <v/>
      </c>
      <c r="K663" s="41" t="str">
        <f>IF($G663="","",IF($G663&lt;1,ROUND($G663*1440,0),INT($G663/100)*60+MOD($G663,100)))</f>
        <v/>
      </c>
    </row>
    <row r="664" ht="15" customHeight="1" s="26">
      <c r="A664" s="34" t="n"/>
      <c r="B664" s="32" t="n"/>
      <c r="C664" s="33" t="n"/>
      <c r="D664" s="37" t="str">
        <f>IF($C664="","",IFERROR(INDEX(프로젝트목록!$B$3:$B$62,MATCH($C664,프로젝트목록!$A$3:$A$62,0)),"미등록코드"))</f>
        <v/>
      </c>
      <c r="E664" s="32" t="n"/>
      <c r="F664" s="38" t="n"/>
      <c r="G664" s="38" t="n"/>
      <c r="H664" s="39" t="n"/>
      <c r="I664" s="40" t="str">
        <f>IF(OR($J664="",$K664=""),"",ROUND(MAX(0,($K664-$J664)-IF($H664="",0,$H664))/60,2))</f>
        <v/>
      </c>
      <c r="J664" s="41" t="str">
        <f>IF($F664="","",IF($F664&lt;1,ROUND($F664*1440,0),INT($F664/100)*60+MOD($F664,100)))</f>
        <v/>
      </c>
      <c r="K664" s="41" t="str">
        <f>IF($G664="","",IF($G664&lt;1,ROUND($G664*1440,0),INT($G664/100)*60+MOD($G664,100)))</f>
        <v/>
      </c>
    </row>
    <row r="665" ht="15" customHeight="1" s="26">
      <c r="A665" s="34" t="n"/>
      <c r="B665" s="32" t="n"/>
      <c r="C665" s="33" t="n"/>
      <c r="D665" s="37" t="str">
        <f>IF($C665="","",IFERROR(INDEX(프로젝트목록!$B$3:$B$62,MATCH($C665,프로젝트목록!$A$3:$A$62,0)),"미등록코드"))</f>
        <v/>
      </c>
      <c r="E665" s="32" t="n"/>
      <c r="F665" s="38" t="n"/>
      <c r="G665" s="38" t="n"/>
      <c r="H665" s="39" t="n"/>
      <c r="I665" s="40" t="str">
        <f>IF(OR($J665="",$K665=""),"",ROUND(MAX(0,($K665-$J665)-IF($H665="",0,$H665))/60,2))</f>
        <v/>
      </c>
      <c r="J665" s="41" t="str">
        <f>IF($F665="","",IF($F665&lt;1,ROUND($F665*1440,0),INT($F665/100)*60+MOD($F665,100)))</f>
        <v/>
      </c>
      <c r="K665" s="41" t="str">
        <f>IF($G665="","",IF($G665&lt;1,ROUND($G665*1440,0),INT($G665/100)*60+MOD($G665,100)))</f>
        <v/>
      </c>
    </row>
    <row r="666" ht="15" customHeight="1" s="26">
      <c r="A666" s="34" t="n"/>
      <c r="B666" s="32" t="n"/>
      <c r="C666" s="33" t="n"/>
      <c r="D666" s="37" t="str">
        <f>IF($C666="","",IFERROR(INDEX(프로젝트목록!$B$3:$B$62,MATCH($C666,프로젝트목록!$A$3:$A$62,0)),"미등록코드"))</f>
        <v/>
      </c>
      <c r="E666" s="32" t="n"/>
      <c r="F666" s="38" t="n"/>
      <c r="G666" s="38" t="n"/>
      <c r="H666" s="39" t="n"/>
      <c r="I666" s="40" t="str">
        <f>IF(OR($J666="",$K666=""),"",ROUND(MAX(0,($K666-$J666)-IF($H666="",0,$H666))/60,2))</f>
        <v/>
      </c>
      <c r="J666" s="41" t="str">
        <f>IF($F666="","",IF($F666&lt;1,ROUND($F666*1440,0),INT($F666/100)*60+MOD($F666,100)))</f>
        <v/>
      </c>
      <c r="K666" s="41" t="str">
        <f>IF($G666="","",IF($G666&lt;1,ROUND($G666*1440,0),INT($G666/100)*60+MOD($G666,100)))</f>
        <v/>
      </c>
    </row>
    <row r="667" ht="15" customHeight="1" s="26">
      <c r="A667" s="34" t="n"/>
      <c r="B667" s="32" t="n"/>
      <c r="C667" s="33" t="n"/>
      <c r="D667" s="37" t="str">
        <f>IF($C667="","",IFERROR(INDEX(프로젝트목록!$B$3:$B$62,MATCH($C667,프로젝트목록!$A$3:$A$62,0)),"미등록코드"))</f>
        <v/>
      </c>
      <c r="E667" s="32" t="n"/>
      <c r="F667" s="38" t="n"/>
      <c r="G667" s="38" t="n"/>
      <c r="H667" s="39" t="n"/>
      <c r="I667" s="40" t="str">
        <f>IF(OR($J667="",$K667=""),"",ROUND(MAX(0,($K667-$J667)-IF($H667="",0,$H667))/60,2))</f>
        <v/>
      </c>
      <c r="J667" s="41" t="str">
        <f>IF($F667="","",IF($F667&lt;1,ROUND($F667*1440,0),INT($F667/100)*60+MOD($F667,100)))</f>
        <v/>
      </c>
      <c r="K667" s="41" t="str">
        <f>IF($G667="","",IF($G667&lt;1,ROUND($G667*1440,0),INT($G667/100)*60+MOD($G667,100)))</f>
        <v/>
      </c>
    </row>
    <row r="668" ht="15" customHeight="1" s="26">
      <c r="A668" s="34" t="n"/>
      <c r="B668" s="32" t="n"/>
      <c r="C668" s="33" t="n"/>
      <c r="D668" s="37" t="str">
        <f>IF($C668="","",IFERROR(INDEX(프로젝트목록!$B$3:$B$62,MATCH($C668,프로젝트목록!$A$3:$A$62,0)),"미등록코드"))</f>
        <v/>
      </c>
      <c r="E668" s="32" t="n"/>
      <c r="F668" s="38" t="n"/>
      <c r="G668" s="38" t="n"/>
      <c r="H668" s="39" t="n"/>
      <c r="I668" s="40" t="str">
        <f>IF(OR($J668="",$K668=""),"",ROUND(MAX(0,($K668-$J668)-IF($H668="",0,$H668))/60,2))</f>
        <v/>
      </c>
      <c r="J668" s="41" t="str">
        <f>IF($F668="","",IF($F668&lt;1,ROUND($F668*1440,0),INT($F668/100)*60+MOD($F668,100)))</f>
        <v/>
      </c>
      <c r="K668" s="41" t="str">
        <f>IF($G668="","",IF($G668&lt;1,ROUND($G668*1440,0),INT($G668/100)*60+MOD($G668,100)))</f>
        <v/>
      </c>
    </row>
    <row r="669" ht="15" customHeight="1" s="26">
      <c r="A669" s="34" t="n"/>
      <c r="B669" s="32" t="n"/>
      <c r="C669" s="33" t="n"/>
      <c r="D669" s="37" t="str">
        <f>IF($C669="","",IFERROR(INDEX(프로젝트목록!$B$3:$B$62,MATCH($C669,프로젝트목록!$A$3:$A$62,0)),"미등록코드"))</f>
        <v/>
      </c>
      <c r="E669" s="32" t="n"/>
      <c r="F669" s="38" t="n"/>
      <c r="G669" s="38" t="n"/>
      <c r="H669" s="39" t="n"/>
      <c r="I669" s="40" t="str">
        <f>IF(OR($J669="",$K669=""),"",ROUND(MAX(0,($K669-$J669)-IF($H669="",0,$H669))/60,2))</f>
        <v/>
      </c>
      <c r="J669" s="41" t="str">
        <f>IF($F669="","",IF($F669&lt;1,ROUND($F669*1440,0),INT($F669/100)*60+MOD($F669,100)))</f>
        <v/>
      </c>
      <c r="K669" s="41" t="str">
        <f>IF($G669="","",IF($G669&lt;1,ROUND($G669*1440,0),INT($G669/100)*60+MOD($G669,100)))</f>
        <v/>
      </c>
    </row>
    <row r="670" ht="15" customHeight="1" s="26">
      <c r="A670" s="34" t="n"/>
      <c r="B670" s="32" t="n"/>
      <c r="C670" s="33" t="n"/>
      <c r="D670" s="37" t="str">
        <f>IF($C670="","",IFERROR(INDEX(프로젝트목록!$B$3:$B$62,MATCH($C670,프로젝트목록!$A$3:$A$62,0)),"미등록코드"))</f>
        <v/>
      </c>
      <c r="E670" s="32" t="n"/>
      <c r="F670" s="38" t="n"/>
      <c r="G670" s="38" t="n"/>
      <c r="H670" s="39" t="n"/>
      <c r="I670" s="40" t="str">
        <f>IF(OR($J670="",$K670=""),"",ROUND(MAX(0,($K670-$J670)-IF($H670="",0,$H670))/60,2))</f>
        <v/>
      </c>
      <c r="J670" s="41" t="str">
        <f>IF($F670="","",IF($F670&lt;1,ROUND($F670*1440,0),INT($F670/100)*60+MOD($F670,100)))</f>
        <v/>
      </c>
      <c r="K670" s="41" t="str">
        <f>IF($G670="","",IF($G670&lt;1,ROUND($G670*1440,0),INT($G670/100)*60+MOD($G670,100)))</f>
        <v/>
      </c>
    </row>
    <row r="671" ht="15" customHeight="1" s="26">
      <c r="A671" s="34" t="n"/>
      <c r="B671" s="32" t="n"/>
      <c r="C671" s="33" t="n"/>
      <c r="D671" s="37" t="str">
        <f>IF($C671="","",IFERROR(INDEX(프로젝트목록!$B$3:$B$62,MATCH($C671,프로젝트목록!$A$3:$A$62,0)),"미등록코드"))</f>
        <v/>
      </c>
      <c r="E671" s="32" t="n"/>
      <c r="F671" s="38" t="n"/>
      <c r="G671" s="38" t="n"/>
      <c r="H671" s="39" t="n"/>
      <c r="I671" s="40" t="str">
        <f>IF(OR($J671="",$K671=""),"",ROUND(MAX(0,($K671-$J671)-IF($H671="",0,$H671))/60,2))</f>
        <v/>
      </c>
      <c r="J671" s="41" t="str">
        <f>IF($F671="","",IF($F671&lt;1,ROUND($F671*1440,0),INT($F671/100)*60+MOD($F671,100)))</f>
        <v/>
      </c>
      <c r="K671" s="41" t="str">
        <f>IF($G671="","",IF($G671&lt;1,ROUND($G671*1440,0),INT($G671/100)*60+MOD($G671,100)))</f>
        <v/>
      </c>
    </row>
    <row r="672" ht="15" customHeight="1" s="26">
      <c r="A672" s="34" t="n"/>
      <c r="B672" s="32" t="n"/>
      <c r="C672" s="33" t="n"/>
      <c r="D672" s="37" t="str">
        <f>IF($C672="","",IFERROR(INDEX(프로젝트목록!$B$3:$B$62,MATCH($C672,프로젝트목록!$A$3:$A$62,0)),"미등록코드"))</f>
        <v/>
      </c>
      <c r="E672" s="32" t="n"/>
      <c r="F672" s="38" t="n"/>
      <c r="G672" s="38" t="n"/>
      <c r="H672" s="39" t="n"/>
      <c r="I672" s="40" t="str">
        <f>IF(OR($J672="",$K672=""),"",ROUND(MAX(0,($K672-$J672)-IF($H672="",0,$H672))/60,2))</f>
        <v/>
      </c>
      <c r="J672" s="41" t="str">
        <f>IF($F672="","",IF($F672&lt;1,ROUND($F672*1440,0),INT($F672/100)*60+MOD($F672,100)))</f>
        <v/>
      </c>
      <c r="K672" s="41" t="str">
        <f>IF($G672="","",IF($G672&lt;1,ROUND($G672*1440,0),INT($G672/100)*60+MOD($G672,100)))</f>
        <v/>
      </c>
    </row>
    <row r="673" ht="15" customHeight="1" s="26">
      <c r="A673" s="34" t="n"/>
      <c r="B673" s="32" t="n"/>
      <c r="C673" s="33" t="n"/>
      <c r="D673" s="37" t="str">
        <f>IF($C673="","",IFERROR(INDEX(프로젝트목록!$B$3:$B$62,MATCH($C673,프로젝트목록!$A$3:$A$62,0)),"미등록코드"))</f>
        <v/>
      </c>
      <c r="E673" s="32" t="n"/>
      <c r="F673" s="38" t="n"/>
      <c r="G673" s="38" t="n"/>
      <c r="H673" s="39" t="n"/>
      <c r="I673" s="40" t="str">
        <f>IF(OR($J673="",$K673=""),"",ROUND(MAX(0,($K673-$J673)-IF($H673="",0,$H673))/60,2))</f>
        <v/>
      </c>
      <c r="J673" s="41" t="str">
        <f>IF($F673="","",IF($F673&lt;1,ROUND($F673*1440,0),INT($F673/100)*60+MOD($F673,100)))</f>
        <v/>
      </c>
      <c r="K673" s="41" t="str">
        <f>IF($G673="","",IF($G673&lt;1,ROUND($G673*1440,0),INT($G673/100)*60+MOD($G673,100)))</f>
        <v/>
      </c>
    </row>
    <row r="674" ht="15" customHeight="1" s="26">
      <c r="A674" s="34" t="n"/>
      <c r="B674" s="32" t="n"/>
      <c r="C674" s="33" t="n"/>
      <c r="D674" s="37" t="str">
        <f>IF($C674="","",IFERROR(INDEX(프로젝트목록!$B$3:$B$62,MATCH($C674,프로젝트목록!$A$3:$A$62,0)),"미등록코드"))</f>
        <v/>
      </c>
      <c r="E674" s="32" t="n"/>
      <c r="F674" s="38" t="n"/>
      <c r="G674" s="38" t="n"/>
      <c r="H674" s="39" t="n"/>
      <c r="I674" s="40" t="str">
        <f>IF(OR($J674="",$K674=""),"",ROUND(MAX(0,($K674-$J674)-IF($H674="",0,$H674))/60,2))</f>
        <v/>
      </c>
      <c r="J674" s="41" t="str">
        <f>IF($F674="","",IF($F674&lt;1,ROUND($F674*1440,0),INT($F674/100)*60+MOD($F674,100)))</f>
        <v/>
      </c>
      <c r="K674" s="41" t="str">
        <f>IF($G674="","",IF($G674&lt;1,ROUND($G674*1440,0),INT($G674/100)*60+MOD($G674,100)))</f>
        <v/>
      </c>
    </row>
    <row r="675" ht="15" customHeight="1" s="26">
      <c r="A675" s="34" t="n"/>
      <c r="B675" s="32" t="n"/>
      <c r="C675" s="33" t="n"/>
      <c r="D675" s="37" t="str">
        <f>IF($C675="","",IFERROR(INDEX(프로젝트목록!$B$3:$B$62,MATCH($C675,프로젝트목록!$A$3:$A$62,0)),"미등록코드"))</f>
        <v/>
      </c>
      <c r="E675" s="32" t="n"/>
      <c r="F675" s="38" t="n"/>
      <c r="G675" s="38" t="n"/>
      <c r="H675" s="39" t="n"/>
      <c r="I675" s="40" t="str">
        <f>IF(OR($J675="",$K675=""),"",ROUND(MAX(0,($K675-$J675)-IF($H675="",0,$H675))/60,2))</f>
        <v/>
      </c>
      <c r="J675" s="41" t="str">
        <f>IF($F675="","",IF($F675&lt;1,ROUND($F675*1440,0),INT($F675/100)*60+MOD($F675,100)))</f>
        <v/>
      </c>
      <c r="K675" s="41" t="str">
        <f>IF($G675="","",IF($G675&lt;1,ROUND($G675*1440,0),INT($G675/100)*60+MOD($G675,100)))</f>
        <v/>
      </c>
    </row>
    <row r="676" ht="15" customHeight="1" s="26">
      <c r="A676" s="34" t="n"/>
      <c r="B676" s="32" t="n"/>
      <c r="C676" s="33" t="n"/>
      <c r="D676" s="37" t="str">
        <f>IF($C676="","",IFERROR(INDEX(프로젝트목록!$B$3:$B$62,MATCH($C676,프로젝트목록!$A$3:$A$62,0)),"미등록코드"))</f>
        <v/>
      </c>
      <c r="E676" s="32" t="n"/>
      <c r="F676" s="38" t="n"/>
      <c r="G676" s="38" t="n"/>
      <c r="H676" s="39" t="n"/>
      <c r="I676" s="40" t="str">
        <f>IF(OR($J676="",$K676=""),"",ROUND(MAX(0,($K676-$J676)-IF($H676="",0,$H676))/60,2))</f>
        <v/>
      </c>
      <c r="J676" s="41" t="str">
        <f>IF($F676="","",IF($F676&lt;1,ROUND($F676*1440,0),INT($F676/100)*60+MOD($F676,100)))</f>
        <v/>
      </c>
      <c r="K676" s="41" t="str">
        <f>IF($G676="","",IF($G676&lt;1,ROUND($G676*1440,0),INT($G676/100)*60+MOD($G676,100)))</f>
        <v/>
      </c>
    </row>
    <row r="677" ht="15" customHeight="1" s="26">
      <c r="A677" s="34" t="n"/>
      <c r="B677" s="32" t="n"/>
      <c r="C677" s="33" t="n"/>
      <c r="D677" s="37" t="str">
        <f>IF($C677="","",IFERROR(INDEX(프로젝트목록!$B$3:$B$62,MATCH($C677,프로젝트목록!$A$3:$A$62,0)),"미등록코드"))</f>
        <v/>
      </c>
      <c r="E677" s="32" t="n"/>
      <c r="F677" s="38" t="n"/>
      <c r="G677" s="38" t="n"/>
      <c r="H677" s="39" t="n"/>
      <c r="I677" s="40" t="str">
        <f>IF(OR($J677="",$K677=""),"",ROUND(MAX(0,($K677-$J677)-IF($H677="",0,$H677))/60,2))</f>
        <v/>
      </c>
      <c r="J677" s="41" t="str">
        <f>IF($F677="","",IF($F677&lt;1,ROUND($F677*1440,0),INT($F677/100)*60+MOD($F677,100)))</f>
        <v/>
      </c>
      <c r="K677" s="41" t="str">
        <f>IF($G677="","",IF($G677&lt;1,ROUND($G677*1440,0),INT($G677/100)*60+MOD($G677,100)))</f>
        <v/>
      </c>
    </row>
    <row r="678" ht="15" customHeight="1" s="26">
      <c r="A678" s="34" t="n"/>
      <c r="B678" s="32" t="n"/>
      <c r="C678" s="33" t="n"/>
      <c r="D678" s="37" t="str">
        <f>IF($C678="","",IFERROR(INDEX(프로젝트목록!$B$3:$B$62,MATCH($C678,프로젝트목록!$A$3:$A$62,0)),"미등록코드"))</f>
        <v/>
      </c>
      <c r="E678" s="32" t="n"/>
      <c r="F678" s="38" t="n"/>
      <c r="G678" s="38" t="n"/>
      <c r="H678" s="39" t="n"/>
      <c r="I678" s="40" t="str">
        <f>IF(OR($J678="",$K678=""),"",ROUND(MAX(0,($K678-$J678)-IF($H678="",0,$H678))/60,2))</f>
        <v/>
      </c>
      <c r="J678" s="41" t="str">
        <f>IF($F678="","",IF($F678&lt;1,ROUND($F678*1440,0),INT($F678/100)*60+MOD($F678,100)))</f>
        <v/>
      </c>
      <c r="K678" s="41" t="str">
        <f>IF($G678="","",IF($G678&lt;1,ROUND($G678*1440,0),INT($G678/100)*60+MOD($G678,100)))</f>
        <v/>
      </c>
    </row>
    <row r="679" ht="15" customHeight="1" s="26">
      <c r="A679" s="34" t="n"/>
      <c r="B679" s="32" t="n"/>
      <c r="C679" s="33" t="n"/>
      <c r="D679" s="37" t="str">
        <f>IF($C679="","",IFERROR(INDEX(프로젝트목록!$B$3:$B$62,MATCH($C679,프로젝트목록!$A$3:$A$62,0)),"미등록코드"))</f>
        <v/>
      </c>
      <c r="E679" s="32" t="n"/>
      <c r="F679" s="38" t="n"/>
      <c r="G679" s="38" t="n"/>
      <c r="H679" s="39" t="n"/>
      <c r="I679" s="40" t="str">
        <f>IF(OR($J679="",$K679=""),"",ROUND(MAX(0,($K679-$J679)-IF($H679="",0,$H679))/60,2))</f>
        <v/>
      </c>
      <c r="J679" s="41" t="str">
        <f>IF($F679="","",IF($F679&lt;1,ROUND($F679*1440,0),INT($F679/100)*60+MOD($F679,100)))</f>
        <v/>
      </c>
      <c r="K679" s="41" t="str">
        <f>IF($G679="","",IF($G679&lt;1,ROUND($G679*1440,0),INT($G679/100)*60+MOD($G679,100)))</f>
        <v/>
      </c>
    </row>
    <row r="680" ht="15" customHeight="1" s="26">
      <c r="A680" s="34" t="n"/>
      <c r="B680" s="32" t="n"/>
      <c r="C680" s="33" t="n"/>
      <c r="D680" s="37" t="str">
        <f>IF($C680="","",IFERROR(INDEX(프로젝트목록!$B$3:$B$62,MATCH($C680,프로젝트목록!$A$3:$A$62,0)),"미등록코드"))</f>
        <v/>
      </c>
      <c r="E680" s="32" t="n"/>
      <c r="F680" s="38" t="n"/>
      <c r="G680" s="38" t="n"/>
      <c r="H680" s="39" t="n"/>
      <c r="I680" s="40" t="str">
        <f>IF(OR($J680="",$K680=""),"",ROUND(MAX(0,($K680-$J680)-IF($H680="",0,$H680))/60,2))</f>
        <v/>
      </c>
      <c r="J680" s="41" t="str">
        <f>IF($F680="","",IF($F680&lt;1,ROUND($F680*1440,0),INT($F680/100)*60+MOD($F680,100)))</f>
        <v/>
      </c>
      <c r="K680" s="41" t="str">
        <f>IF($G680="","",IF($G680&lt;1,ROUND($G680*1440,0),INT($G680/100)*60+MOD($G680,100)))</f>
        <v/>
      </c>
    </row>
    <row r="681" ht="15" customHeight="1" s="26">
      <c r="A681" s="34" t="n"/>
      <c r="B681" s="32" t="n"/>
      <c r="C681" s="33" t="n"/>
      <c r="D681" s="37" t="str">
        <f>IF($C681="","",IFERROR(INDEX(프로젝트목록!$B$3:$B$62,MATCH($C681,프로젝트목록!$A$3:$A$62,0)),"미등록코드"))</f>
        <v/>
      </c>
      <c r="E681" s="32" t="n"/>
      <c r="F681" s="38" t="n"/>
      <c r="G681" s="38" t="n"/>
      <c r="H681" s="39" t="n"/>
      <c r="I681" s="40" t="str">
        <f>IF(OR($J681="",$K681=""),"",ROUND(MAX(0,($K681-$J681)-IF($H681="",0,$H681))/60,2))</f>
        <v/>
      </c>
      <c r="J681" s="41" t="str">
        <f>IF($F681="","",IF($F681&lt;1,ROUND($F681*1440,0),INT($F681/100)*60+MOD($F681,100)))</f>
        <v/>
      </c>
      <c r="K681" s="41" t="str">
        <f>IF($G681="","",IF($G681&lt;1,ROUND($G681*1440,0),INT($G681/100)*60+MOD($G681,100)))</f>
        <v/>
      </c>
    </row>
    <row r="682" ht="15" customHeight="1" s="26">
      <c r="A682" s="34" t="n"/>
      <c r="B682" s="32" t="n"/>
      <c r="C682" s="33" t="n"/>
      <c r="D682" s="37" t="str">
        <f>IF($C682="","",IFERROR(INDEX(프로젝트목록!$B$3:$B$62,MATCH($C682,프로젝트목록!$A$3:$A$62,0)),"미등록코드"))</f>
        <v/>
      </c>
      <c r="E682" s="32" t="n"/>
      <c r="F682" s="38" t="n"/>
      <c r="G682" s="38" t="n"/>
      <c r="H682" s="39" t="n"/>
      <c r="I682" s="40" t="str">
        <f>IF(OR($J682="",$K682=""),"",ROUND(MAX(0,($K682-$J682)-IF($H682="",0,$H682))/60,2))</f>
        <v/>
      </c>
      <c r="J682" s="41" t="str">
        <f>IF($F682="","",IF($F682&lt;1,ROUND($F682*1440,0),INT($F682/100)*60+MOD($F682,100)))</f>
        <v/>
      </c>
      <c r="K682" s="41" t="str">
        <f>IF($G682="","",IF($G682&lt;1,ROUND($G682*1440,0),INT($G682/100)*60+MOD($G682,100)))</f>
        <v/>
      </c>
    </row>
    <row r="683" ht="15" customHeight="1" s="26">
      <c r="A683" s="34" t="n"/>
      <c r="B683" s="32" t="n"/>
      <c r="C683" s="33" t="n"/>
      <c r="D683" s="37" t="str">
        <f>IF($C683="","",IFERROR(INDEX(프로젝트목록!$B$3:$B$62,MATCH($C683,프로젝트목록!$A$3:$A$62,0)),"미등록코드"))</f>
        <v/>
      </c>
      <c r="E683" s="32" t="n"/>
      <c r="F683" s="38" t="n"/>
      <c r="G683" s="38" t="n"/>
      <c r="H683" s="39" t="n"/>
      <c r="I683" s="40" t="str">
        <f>IF(OR($J683="",$K683=""),"",ROUND(MAX(0,($K683-$J683)-IF($H683="",0,$H683))/60,2))</f>
        <v/>
      </c>
      <c r="J683" s="41" t="str">
        <f>IF($F683="","",IF($F683&lt;1,ROUND($F683*1440,0),INT($F683/100)*60+MOD($F683,100)))</f>
        <v/>
      </c>
      <c r="K683" s="41" t="str">
        <f>IF($G683="","",IF($G683&lt;1,ROUND($G683*1440,0),INT($G683/100)*60+MOD($G683,100)))</f>
        <v/>
      </c>
    </row>
    <row r="684" ht="15" customHeight="1" s="26">
      <c r="A684" s="34" t="n"/>
      <c r="B684" s="32" t="n"/>
      <c r="C684" s="33" t="n"/>
      <c r="D684" s="37" t="str">
        <f>IF($C684="","",IFERROR(INDEX(프로젝트목록!$B$3:$B$62,MATCH($C684,프로젝트목록!$A$3:$A$62,0)),"미등록코드"))</f>
        <v/>
      </c>
      <c r="E684" s="32" t="n"/>
      <c r="F684" s="38" t="n"/>
      <c r="G684" s="38" t="n"/>
      <c r="H684" s="39" t="n"/>
      <c r="I684" s="40" t="str">
        <f>IF(OR($J684="",$K684=""),"",ROUND(MAX(0,($K684-$J684)-IF($H684="",0,$H684))/60,2))</f>
        <v/>
      </c>
      <c r="J684" s="41" t="str">
        <f>IF($F684="","",IF($F684&lt;1,ROUND($F684*1440,0),INT($F684/100)*60+MOD($F684,100)))</f>
        <v/>
      </c>
      <c r="K684" s="41" t="str">
        <f>IF($G684="","",IF($G684&lt;1,ROUND($G684*1440,0),INT($G684/100)*60+MOD($G684,100)))</f>
        <v/>
      </c>
    </row>
    <row r="685" ht="15" customHeight="1" s="26">
      <c r="A685" s="34" t="n"/>
      <c r="B685" s="32" t="n"/>
      <c r="C685" s="33" t="n"/>
      <c r="D685" s="37" t="str">
        <f>IF($C685="","",IFERROR(INDEX(프로젝트목록!$B$3:$B$62,MATCH($C685,프로젝트목록!$A$3:$A$62,0)),"미등록코드"))</f>
        <v/>
      </c>
      <c r="E685" s="32" t="n"/>
      <c r="F685" s="38" t="n"/>
      <c r="G685" s="38" t="n"/>
      <c r="H685" s="39" t="n"/>
      <c r="I685" s="40" t="str">
        <f>IF(OR($J685="",$K685=""),"",ROUND(MAX(0,($K685-$J685)-IF($H685="",0,$H685))/60,2))</f>
        <v/>
      </c>
      <c r="J685" s="41" t="str">
        <f>IF($F685="","",IF($F685&lt;1,ROUND($F685*1440,0),INT($F685/100)*60+MOD($F685,100)))</f>
        <v/>
      </c>
      <c r="K685" s="41" t="str">
        <f>IF($G685="","",IF($G685&lt;1,ROUND($G685*1440,0),INT($G685/100)*60+MOD($G685,100)))</f>
        <v/>
      </c>
    </row>
    <row r="686" ht="15" customHeight="1" s="26">
      <c r="A686" s="34" t="n"/>
      <c r="B686" s="32" t="n"/>
      <c r="C686" s="33" t="n"/>
      <c r="D686" s="37" t="str">
        <f>IF($C686="","",IFERROR(INDEX(프로젝트목록!$B$3:$B$62,MATCH($C686,프로젝트목록!$A$3:$A$62,0)),"미등록코드"))</f>
        <v/>
      </c>
      <c r="E686" s="32" t="n"/>
      <c r="F686" s="38" t="n"/>
      <c r="G686" s="38" t="n"/>
      <c r="H686" s="39" t="n"/>
      <c r="I686" s="40" t="str">
        <f>IF(OR($J686="",$K686=""),"",ROUND(MAX(0,($K686-$J686)-IF($H686="",0,$H686))/60,2))</f>
        <v/>
      </c>
      <c r="J686" s="41" t="str">
        <f>IF($F686="","",IF($F686&lt;1,ROUND($F686*1440,0),INT($F686/100)*60+MOD($F686,100)))</f>
        <v/>
      </c>
      <c r="K686" s="41" t="str">
        <f>IF($G686="","",IF($G686&lt;1,ROUND($G686*1440,0),INT($G686/100)*60+MOD($G686,100)))</f>
        <v/>
      </c>
    </row>
    <row r="687" ht="15" customHeight="1" s="26">
      <c r="A687" s="34" t="n"/>
      <c r="B687" s="32" t="n"/>
      <c r="C687" s="33" t="n"/>
      <c r="D687" s="37" t="str">
        <f>IF($C687="","",IFERROR(INDEX(프로젝트목록!$B$3:$B$62,MATCH($C687,프로젝트목록!$A$3:$A$62,0)),"미등록코드"))</f>
        <v/>
      </c>
      <c r="E687" s="32" t="n"/>
      <c r="F687" s="38" t="n"/>
      <c r="G687" s="38" t="n"/>
      <c r="H687" s="39" t="n"/>
      <c r="I687" s="40" t="str">
        <f>IF(OR($J687="",$K687=""),"",ROUND(MAX(0,($K687-$J687)-IF($H687="",0,$H687))/60,2))</f>
        <v/>
      </c>
      <c r="J687" s="41" t="str">
        <f>IF($F687="","",IF($F687&lt;1,ROUND($F687*1440,0),INT($F687/100)*60+MOD($F687,100)))</f>
        <v/>
      </c>
      <c r="K687" s="41" t="str">
        <f>IF($G687="","",IF($G687&lt;1,ROUND($G687*1440,0),INT($G687/100)*60+MOD($G687,100)))</f>
        <v/>
      </c>
    </row>
    <row r="688" ht="15" customHeight="1" s="26">
      <c r="A688" s="34" t="n"/>
      <c r="B688" s="32" t="n"/>
      <c r="C688" s="33" t="n"/>
      <c r="D688" s="37" t="str">
        <f>IF($C688="","",IFERROR(INDEX(프로젝트목록!$B$3:$B$62,MATCH($C688,프로젝트목록!$A$3:$A$62,0)),"미등록코드"))</f>
        <v/>
      </c>
      <c r="E688" s="32" t="n"/>
      <c r="F688" s="38" t="n"/>
      <c r="G688" s="38" t="n"/>
      <c r="H688" s="39" t="n"/>
      <c r="I688" s="40" t="str">
        <f>IF(OR($J688="",$K688=""),"",ROUND(MAX(0,($K688-$J688)-IF($H688="",0,$H688))/60,2))</f>
        <v/>
      </c>
      <c r="J688" s="41" t="str">
        <f>IF($F688="","",IF($F688&lt;1,ROUND($F688*1440,0),INT($F688/100)*60+MOD($F688,100)))</f>
        <v/>
      </c>
      <c r="K688" s="41" t="str">
        <f>IF($G688="","",IF($G688&lt;1,ROUND($G688*1440,0),INT($G688/100)*60+MOD($G688,100)))</f>
        <v/>
      </c>
    </row>
    <row r="689" ht="15" customHeight="1" s="26">
      <c r="A689" s="34" t="n"/>
      <c r="B689" s="32" t="n"/>
      <c r="C689" s="33" t="n"/>
      <c r="D689" s="37" t="str">
        <f>IF($C689="","",IFERROR(INDEX(프로젝트목록!$B$3:$B$62,MATCH($C689,프로젝트목록!$A$3:$A$62,0)),"미등록코드"))</f>
        <v/>
      </c>
      <c r="E689" s="32" t="n"/>
      <c r="F689" s="38" t="n"/>
      <c r="G689" s="38" t="n"/>
      <c r="H689" s="39" t="n"/>
      <c r="I689" s="40" t="str">
        <f>IF(OR($J689="",$K689=""),"",ROUND(MAX(0,($K689-$J689)-IF($H689="",0,$H689))/60,2))</f>
        <v/>
      </c>
      <c r="J689" s="41" t="str">
        <f>IF($F689="","",IF($F689&lt;1,ROUND($F689*1440,0),INT($F689/100)*60+MOD($F689,100)))</f>
        <v/>
      </c>
      <c r="K689" s="41" t="str">
        <f>IF($G689="","",IF($G689&lt;1,ROUND($G689*1440,0),INT($G689/100)*60+MOD($G689,100)))</f>
        <v/>
      </c>
    </row>
    <row r="690" ht="15" customHeight="1" s="26">
      <c r="A690" s="34" t="n"/>
      <c r="B690" s="32" t="n"/>
      <c r="C690" s="33" t="n"/>
      <c r="D690" s="37" t="str">
        <f>IF($C690="","",IFERROR(INDEX(프로젝트목록!$B$3:$B$62,MATCH($C690,프로젝트목록!$A$3:$A$62,0)),"미등록코드"))</f>
        <v/>
      </c>
      <c r="E690" s="32" t="n"/>
      <c r="F690" s="38" t="n"/>
      <c r="G690" s="38" t="n"/>
      <c r="H690" s="39" t="n"/>
      <c r="I690" s="40" t="str">
        <f>IF(OR($J690="",$K690=""),"",ROUND(MAX(0,($K690-$J690)-IF($H690="",0,$H690))/60,2))</f>
        <v/>
      </c>
      <c r="J690" s="41" t="str">
        <f>IF($F690="","",IF($F690&lt;1,ROUND($F690*1440,0),INT($F690/100)*60+MOD($F690,100)))</f>
        <v/>
      </c>
      <c r="K690" s="41" t="str">
        <f>IF($G690="","",IF($G690&lt;1,ROUND($G690*1440,0),INT($G690/100)*60+MOD($G690,100)))</f>
        <v/>
      </c>
    </row>
    <row r="691" ht="15" customHeight="1" s="26">
      <c r="A691" s="34" t="n"/>
      <c r="B691" s="32" t="n"/>
      <c r="C691" s="33" t="n"/>
      <c r="D691" s="37" t="str">
        <f>IF($C691="","",IFERROR(INDEX(프로젝트목록!$B$3:$B$62,MATCH($C691,프로젝트목록!$A$3:$A$62,0)),"미등록코드"))</f>
        <v/>
      </c>
      <c r="E691" s="32" t="n"/>
      <c r="F691" s="38" t="n"/>
      <c r="G691" s="38" t="n"/>
      <c r="H691" s="39" t="n"/>
      <c r="I691" s="40" t="str">
        <f>IF(OR($J691="",$K691=""),"",ROUND(MAX(0,($K691-$J691)-IF($H691="",0,$H691))/60,2))</f>
        <v/>
      </c>
      <c r="J691" s="41" t="str">
        <f>IF($F691="","",IF($F691&lt;1,ROUND($F691*1440,0),INT($F691/100)*60+MOD($F691,100)))</f>
        <v/>
      </c>
      <c r="K691" s="41" t="str">
        <f>IF($G691="","",IF($G691&lt;1,ROUND($G691*1440,0),INT($G691/100)*60+MOD($G691,100)))</f>
        <v/>
      </c>
    </row>
    <row r="692" ht="15" customHeight="1" s="26">
      <c r="A692" s="34" t="n"/>
      <c r="B692" s="32" t="n"/>
      <c r="C692" s="33" t="n"/>
      <c r="D692" s="37" t="str">
        <f>IF($C692="","",IFERROR(INDEX(프로젝트목록!$B$3:$B$62,MATCH($C692,프로젝트목록!$A$3:$A$62,0)),"미등록코드"))</f>
        <v/>
      </c>
      <c r="E692" s="32" t="n"/>
      <c r="F692" s="38" t="n"/>
      <c r="G692" s="38" t="n"/>
      <c r="H692" s="39" t="n"/>
      <c r="I692" s="40" t="str">
        <f>IF(OR($J692="",$K692=""),"",ROUND(MAX(0,($K692-$J692)-IF($H692="",0,$H692))/60,2))</f>
        <v/>
      </c>
      <c r="J692" s="41" t="str">
        <f>IF($F692="","",IF($F692&lt;1,ROUND($F692*1440,0),INT($F692/100)*60+MOD($F692,100)))</f>
        <v/>
      </c>
      <c r="K692" s="41" t="str">
        <f>IF($G692="","",IF($G692&lt;1,ROUND($G692*1440,0),INT($G692/100)*60+MOD($G692,100)))</f>
        <v/>
      </c>
    </row>
    <row r="693" ht="15" customHeight="1" s="26">
      <c r="A693" s="34" t="n"/>
      <c r="B693" s="32" t="n"/>
      <c r="C693" s="33" t="n"/>
      <c r="D693" s="37" t="str">
        <f>IF($C693="","",IFERROR(INDEX(프로젝트목록!$B$3:$B$62,MATCH($C693,프로젝트목록!$A$3:$A$62,0)),"미등록코드"))</f>
        <v/>
      </c>
      <c r="E693" s="32" t="n"/>
      <c r="F693" s="38" t="n"/>
      <c r="G693" s="38" t="n"/>
      <c r="H693" s="39" t="n"/>
      <c r="I693" s="40" t="str">
        <f>IF(OR($J693="",$K693=""),"",ROUND(MAX(0,($K693-$J693)-IF($H693="",0,$H693))/60,2))</f>
        <v/>
      </c>
      <c r="J693" s="41" t="str">
        <f>IF($F693="","",IF($F693&lt;1,ROUND($F693*1440,0),INT($F693/100)*60+MOD($F693,100)))</f>
        <v/>
      </c>
      <c r="K693" s="41" t="str">
        <f>IF($G693="","",IF($G693&lt;1,ROUND($G693*1440,0),INT($G693/100)*60+MOD($G693,100)))</f>
        <v/>
      </c>
    </row>
    <row r="694" ht="15" customHeight="1" s="26">
      <c r="A694" s="34" t="n"/>
      <c r="B694" s="32" t="n"/>
      <c r="C694" s="33" t="n"/>
      <c r="D694" s="37" t="str">
        <f>IF($C694="","",IFERROR(INDEX(프로젝트목록!$B$3:$B$62,MATCH($C694,프로젝트목록!$A$3:$A$62,0)),"미등록코드"))</f>
        <v/>
      </c>
      <c r="E694" s="32" t="n"/>
      <c r="F694" s="38" t="n"/>
      <c r="G694" s="38" t="n"/>
      <c r="H694" s="39" t="n"/>
      <c r="I694" s="40" t="str">
        <f>IF(OR($J694="",$K694=""),"",ROUND(MAX(0,($K694-$J694)-IF($H694="",0,$H694))/60,2))</f>
        <v/>
      </c>
      <c r="J694" s="41" t="str">
        <f>IF($F694="","",IF($F694&lt;1,ROUND($F694*1440,0),INT($F694/100)*60+MOD($F694,100)))</f>
        <v/>
      </c>
      <c r="K694" s="41" t="str">
        <f>IF($G694="","",IF($G694&lt;1,ROUND($G694*1440,0),INT($G694/100)*60+MOD($G694,100)))</f>
        <v/>
      </c>
    </row>
    <row r="695" ht="15" customHeight="1" s="26">
      <c r="A695" s="34" t="n"/>
      <c r="B695" s="32" t="n"/>
      <c r="C695" s="33" t="n"/>
      <c r="D695" s="37" t="str">
        <f>IF($C695="","",IFERROR(INDEX(프로젝트목록!$B$3:$B$62,MATCH($C695,프로젝트목록!$A$3:$A$62,0)),"미등록코드"))</f>
        <v/>
      </c>
      <c r="E695" s="32" t="n"/>
      <c r="F695" s="38" t="n"/>
      <c r="G695" s="38" t="n"/>
      <c r="H695" s="39" t="n"/>
      <c r="I695" s="40" t="str">
        <f>IF(OR($J695="",$K695=""),"",ROUND(MAX(0,($K695-$J695)-IF($H695="",0,$H695))/60,2))</f>
        <v/>
      </c>
      <c r="J695" s="41" t="str">
        <f>IF($F695="","",IF($F695&lt;1,ROUND($F695*1440,0),INT($F695/100)*60+MOD($F695,100)))</f>
        <v/>
      </c>
      <c r="K695" s="41" t="str">
        <f>IF($G695="","",IF($G695&lt;1,ROUND($G695*1440,0),INT($G695/100)*60+MOD($G695,100)))</f>
        <v/>
      </c>
    </row>
    <row r="696" ht="15" customHeight="1" s="26">
      <c r="A696" s="34" t="n"/>
      <c r="B696" s="32" t="n"/>
      <c r="C696" s="33" t="n"/>
      <c r="D696" s="37" t="str">
        <f>IF($C696="","",IFERROR(INDEX(프로젝트목록!$B$3:$B$62,MATCH($C696,프로젝트목록!$A$3:$A$62,0)),"미등록코드"))</f>
        <v/>
      </c>
      <c r="E696" s="32" t="n"/>
      <c r="F696" s="38" t="n"/>
      <c r="G696" s="38" t="n"/>
      <c r="H696" s="39" t="n"/>
      <c r="I696" s="40" t="str">
        <f>IF(OR($J696="",$K696=""),"",ROUND(MAX(0,($K696-$J696)-IF($H696="",0,$H696))/60,2))</f>
        <v/>
      </c>
      <c r="J696" s="41" t="str">
        <f>IF($F696="","",IF($F696&lt;1,ROUND($F696*1440,0),INT($F696/100)*60+MOD($F696,100)))</f>
        <v/>
      </c>
      <c r="K696" s="41" t="str">
        <f>IF($G696="","",IF($G696&lt;1,ROUND($G696*1440,0),INT($G696/100)*60+MOD($G696,100)))</f>
        <v/>
      </c>
    </row>
    <row r="697" ht="15" customHeight="1" s="26">
      <c r="A697" s="34" t="n"/>
      <c r="B697" s="32" t="n"/>
      <c r="C697" s="33" t="n"/>
      <c r="D697" s="37" t="str">
        <f>IF($C697="","",IFERROR(INDEX(프로젝트목록!$B$3:$B$62,MATCH($C697,프로젝트목록!$A$3:$A$62,0)),"미등록코드"))</f>
        <v/>
      </c>
      <c r="E697" s="32" t="n"/>
      <c r="F697" s="38" t="n"/>
      <c r="G697" s="38" t="n"/>
      <c r="H697" s="39" t="n"/>
      <c r="I697" s="40" t="str">
        <f>IF(OR($J697="",$K697=""),"",ROUND(MAX(0,($K697-$J697)-IF($H697="",0,$H697))/60,2))</f>
        <v/>
      </c>
      <c r="J697" s="41" t="str">
        <f>IF($F697="","",IF($F697&lt;1,ROUND($F697*1440,0),INT($F697/100)*60+MOD($F697,100)))</f>
        <v/>
      </c>
      <c r="K697" s="41" t="str">
        <f>IF($G697="","",IF($G697&lt;1,ROUND($G697*1440,0),INT($G697/100)*60+MOD($G697,100)))</f>
        <v/>
      </c>
    </row>
    <row r="698" ht="15" customHeight="1" s="26">
      <c r="A698" s="34" t="n"/>
      <c r="B698" s="32" t="n"/>
      <c r="C698" s="33" t="n"/>
      <c r="D698" s="37" t="str">
        <f>IF($C698="","",IFERROR(INDEX(프로젝트목록!$B$3:$B$62,MATCH($C698,프로젝트목록!$A$3:$A$62,0)),"미등록코드"))</f>
        <v/>
      </c>
      <c r="E698" s="32" t="n"/>
      <c r="F698" s="38" t="n"/>
      <c r="G698" s="38" t="n"/>
      <c r="H698" s="39" t="n"/>
      <c r="I698" s="40" t="str">
        <f>IF(OR($J698="",$K698=""),"",ROUND(MAX(0,($K698-$J698)-IF($H698="",0,$H698))/60,2))</f>
        <v/>
      </c>
      <c r="J698" s="41" t="str">
        <f>IF($F698="","",IF($F698&lt;1,ROUND($F698*1440,0),INT($F698/100)*60+MOD($F698,100)))</f>
        <v/>
      </c>
      <c r="K698" s="41" t="str">
        <f>IF($G698="","",IF($G698&lt;1,ROUND($G698*1440,0),INT($G698/100)*60+MOD($G698,100)))</f>
        <v/>
      </c>
    </row>
    <row r="699" ht="15" customHeight="1" s="26">
      <c r="A699" s="34" t="n"/>
      <c r="B699" s="32" t="n"/>
      <c r="C699" s="33" t="n"/>
      <c r="D699" s="37" t="str">
        <f>IF($C699="","",IFERROR(INDEX(프로젝트목록!$B$3:$B$62,MATCH($C699,프로젝트목록!$A$3:$A$62,0)),"미등록코드"))</f>
        <v/>
      </c>
      <c r="E699" s="32" t="n"/>
      <c r="F699" s="38" t="n"/>
      <c r="G699" s="38" t="n"/>
      <c r="H699" s="39" t="n"/>
      <c r="I699" s="40" t="str">
        <f>IF(OR($J699="",$K699=""),"",ROUND(MAX(0,($K699-$J699)-IF($H699="",0,$H699))/60,2))</f>
        <v/>
      </c>
      <c r="J699" s="41" t="str">
        <f>IF($F699="","",IF($F699&lt;1,ROUND($F699*1440,0),INT($F699/100)*60+MOD($F699,100)))</f>
        <v/>
      </c>
      <c r="K699" s="41" t="str">
        <f>IF($G699="","",IF($G699&lt;1,ROUND($G699*1440,0),INT($G699/100)*60+MOD($G699,100)))</f>
        <v/>
      </c>
    </row>
    <row r="700" ht="15" customHeight="1" s="26">
      <c r="A700" s="34" t="n"/>
      <c r="B700" s="32" t="n"/>
      <c r="C700" s="33" t="n"/>
      <c r="D700" s="37" t="str">
        <f>IF($C700="","",IFERROR(INDEX(프로젝트목록!$B$3:$B$62,MATCH($C700,프로젝트목록!$A$3:$A$62,0)),"미등록코드"))</f>
        <v/>
      </c>
      <c r="E700" s="32" t="n"/>
      <c r="F700" s="38" t="n"/>
      <c r="G700" s="38" t="n"/>
      <c r="H700" s="39" t="n"/>
      <c r="I700" s="40" t="str">
        <f>IF(OR($J700="",$K700=""),"",ROUND(MAX(0,($K700-$J700)-IF($H700="",0,$H700))/60,2))</f>
        <v/>
      </c>
      <c r="J700" s="41" t="str">
        <f>IF($F700="","",IF($F700&lt;1,ROUND($F700*1440,0),INT($F700/100)*60+MOD($F700,100)))</f>
        <v/>
      </c>
      <c r="K700" s="41" t="str">
        <f>IF($G700="","",IF($G700&lt;1,ROUND($G700*1440,0),INT($G700/100)*60+MOD($G700,100)))</f>
        <v/>
      </c>
    </row>
    <row r="701" ht="15" customHeight="1" s="26">
      <c r="A701" s="34" t="n"/>
      <c r="B701" s="32" t="n"/>
      <c r="C701" s="33" t="n"/>
      <c r="D701" s="37" t="str">
        <f>IF($C701="","",IFERROR(INDEX(프로젝트목록!$B$3:$B$62,MATCH($C701,프로젝트목록!$A$3:$A$62,0)),"미등록코드"))</f>
        <v/>
      </c>
      <c r="E701" s="32" t="n"/>
      <c r="F701" s="38" t="n"/>
      <c r="G701" s="38" t="n"/>
      <c r="H701" s="39" t="n"/>
      <c r="I701" s="40" t="str">
        <f>IF(OR($J701="",$K701=""),"",ROUND(MAX(0,($K701-$J701)-IF($H701="",0,$H701))/60,2))</f>
        <v/>
      </c>
      <c r="J701" s="41" t="str">
        <f>IF($F701="","",IF($F701&lt;1,ROUND($F701*1440,0),INT($F701/100)*60+MOD($F701,100)))</f>
        <v/>
      </c>
      <c r="K701" s="41" t="str">
        <f>IF($G701="","",IF($G701&lt;1,ROUND($G701*1440,0),INT($G701/100)*60+MOD($G701,100)))</f>
        <v/>
      </c>
    </row>
    <row r="702" ht="15" customHeight="1" s="26">
      <c r="A702" s="34" t="n"/>
      <c r="B702" s="32" t="n"/>
      <c r="C702" s="33" t="n"/>
      <c r="D702" s="37" t="str">
        <f>IF($C702="","",IFERROR(INDEX(프로젝트목록!$B$3:$B$62,MATCH($C702,프로젝트목록!$A$3:$A$62,0)),"미등록코드"))</f>
        <v/>
      </c>
      <c r="E702" s="32" t="n"/>
      <c r="F702" s="38" t="n"/>
      <c r="G702" s="38" t="n"/>
      <c r="H702" s="39" t="n"/>
      <c r="I702" s="40" t="str">
        <f>IF(OR($J702="",$K702=""),"",ROUND(MAX(0,($K702-$J702)-IF($H702="",0,$H702))/60,2))</f>
        <v/>
      </c>
      <c r="J702" s="41" t="str">
        <f>IF($F702="","",IF($F702&lt;1,ROUND($F702*1440,0),INT($F702/100)*60+MOD($F702,100)))</f>
        <v/>
      </c>
      <c r="K702" s="41" t="str">
        <f>IF($G702="","",IF($G702&lt;1,ROUND($G702*1440,0),INT($G702/100)*60+MOD($G702,100)))</f>
        <v/>
      </c>
    </row>
    <row r="703" ht="15" customHeight="1" s="26">
      <c r="A703" s="34" t="n"/>
      <c r="B703" s="32" t="n"/>
      <c r="C703" s="33" t="n"/>
      <c r="D703" s="37" t="str">
        <f>IF($C703="","",IFERROR(INDEX(프로젝트목록!$B$3:$B$62,MATCH($C703,프로젝트목록!$A$3:$A$62,0)),"미등록코드"))</f>
        <v/>
      </c>
      <c r="E703" s="32" t="n"/>
      <c r="F703" s="38" t="n"/>
      <c r="G703" s="38" t="n"/>
      <c r="H703" s="39" t="n"/>
      <c r="I703" s="40" t="str">
        <f>IF(OR($J703="",$K703=""),"",ROUND(MAX(0,($K703-$J703)-IF($H703="",0,$H703))/60,2))</f>
        <v/>
      </c>
      <c r="J703" s="41" t="str">
        <f>IF($F703="","",IF($F703&lt;1,ROUND($F703*1440,0),INT($F703/100)*60+MOD($F703,100)))</f>
        <v/>
      </c>
      <c r="K703" s="41" t="str">
        <f>IF($G703="","",IF($G703&lt;1,ROUND($G703*1440,0),INT($G703/100)*60+MOD($G703,100)))</f>
        <v/>
      </c>
    </row>
    <row r="704" ht="15" customHeight="1" s="26">
      <c r="A704" s="34" t="n"/>
      <c r="B704" s="32" t="n"/>
      <c r="C704" s="33" t="n"/>
      <c r="D704" s="37" t="str">
        <f>IF($C704="","",IFERROR(INDEX(프로젝트목록!$B$3:$B$62,MATCH($C704,프로젝트목록!$A$3:$A$62,0)),"미등록코드"))</f>
        <v/>
      </c>
      <c r="E704" s="32" t="n"/>
      <c r="F704" s="38" t="n"/>
      <c r="G704" s="38" t="n"/>
      <c r="H704" s="39" t="n"/>
      <c r="I704" s="40" t="str">
        <f>IF(OR($J704="",$K704=""),"",ROUND(MAX(0,($K704-$J704)-IF($H704="",0,$H704))/60,2))</f>
        <v/>
      </c>
      <c r="J704" s="41" t="str">
        <f>IF($F704="","",IF($F704&lt;1,ROUND($F704*1440,0),INT($F704/100)*60+MOD($F704,100)))</f>
        <v/>
      </c>
      <c r="K704" s="41" t="str">
        <f>IF($G704="","",IF($G704&lt;1,ROUND($G704*1440,0),INT($G704/100)*60+MOD($G704,100)))</f>
        <v/>
      </c>
    </row>
    <row r="705" ht="15" customHeight="1" s="26">
      <c r="A705" s="34" t="n"/>
      <c r="B705" s="32" t="n"/>
      <c r="C705" s="33" t="n"/>
      <c r="D705" s="37" t="str">
        <f>IF($C705="","",IFERROR(INDEX(프로젝트목록!$B$3:$B$62,MATCH($C705,프로젝트목록!$A$3:$A$62,0)),"미등록코드"))</f>
        <v/>
      </c>
      <c r="E705" s="32" t="n"/>
      <c r="F705" s="38" t="n"/>
      <c r="G705" s="38" t="n"/>
      <c r="H705" s="39" t="n"/>
      <c r="I705" s="40" t="str">
        <f>IF(OR($J705="",$K705=""),"",ROUND(MAX(0,($K705-$J705)-IF($H705="",0,$H705))/60,2))</f>
        <v/>
      </c>
      <c r="J705" s="41" t="str">
        <f>IF($F705="","",IF($F705&lt;1,ROUND($F705*1440,0),INT($F705/100)*60+MOD($F705,100)))</f>
        <v/>
      </c>
      <c r="K705" s="41" t="str">
        <f>IF($G705="","",IF($G705&lt;1,ROUND($G705*1440,0),INT($G705/100)*60+MOD($G705,100)))</f>
        <v/>
      </c>
    </row>
    <row r="706" ht="15" customHeight="1" s="26">
      <c r="A706" s="34" t="n"/>
      <c r="B706" s="32" t="n"/>
      <c r="C706" s="33" t="n"/>
      <c r="D706" s="37" t="str">
        <f>IF($C706="","",IFERROR(INDEX(프로젝트목록!$B$3:$B$62,MATCH($C706,프로젝트목록!$A$3:$A$62,0)),"미등록코드"))</f>
        <v/>
      </c>
      <c r="E706" s="32" t="n"/>
      <c r="F706" s="38" t="n"/>
      <c r="G706" s="38" t="n"/>
      <c r="H706" s="39" t="n"/>
      <c r="I706" s="40" t="str">
        <f>IF(OR($J706="",$K706=""),"",ROUND(MAX(0,($K706-$J706)-IF($H706="",0,$H706))/60,2))</f>
        <v/>
      </c>
      <c r="J706" s="41" t="str">
        <f>IF($F706="","",IF($F706&lt;1,ROUND($F706*1440,0),INT($F706/100)*60+MOD($F706,100)))</f>
        <v/>
      </c>
      <c r="K706" s="41" t="str">
        <f>IF($G706="","",IF($G706&lt;1,ROUND($G706*1440,0),INT($G706/100)*60+MOD($G706,100)))</f>
        <v/>
      </c>
    </row>
    <row r="707" ht="15" customHeight="1" s="26">
      <c r="A707" s="34" t="n"/>
      <c r="B707" s="32" t="n"/>
      <c r="C707" s="33" t="n"/>
      <c r="D707" s="37" t="str">
        <f>IF($C707="","",IFERROR(INDEX(프로젝트목록!$B$3:$B$62,MATCH($C707,프로젝트목록!$A$3:$A$62,0)),"미등록코드"))</f>
        <v/>
      </c>
      <c r="E707" s="32" t="n"/>
      <c r="F707" s="38" t="n"/>
      <c r="G707" s="38" t="n"/>
      <c r="H707" s="39" t="n"/>
      <c r="I707" s="40" t="str">
        <f>IF(OR($J707="",$K707=""),"",ROUND(MAX(0,($K707-$J707)-IF($H707="",0,$H707))/60,2))</f>
        <v/>
      </c>
      <c r="J707" s="41" t="str">
        <f>IF($F707="","",IF($F707&lt;1,ROUND($F707*1440,0),INT($F707/100)*60+MOD($F707,100)))</f>
        <v/>
      </c>
      <c r="K707" s="41" t="str">
        <f>IF($G707="","",IF($G707&lt;1,ROUND($G707*1440,0),INT($G707/100)*60+MOD($G707,100)))</f>
        <v/>
      </c>
    </row>
    <row r="708" ht="15" customHeight="1" s="26">
      <c r="A708" s="34" t="n"/>
      <c r="B708" s="32" t="n"/>
      <c r="C708" s="33" t="n"/>
      <c r="D708" s="37" t="str">
        <f>IF($C708="","",IFERROR(INDEX(프로젝트목록!$B$3:$B$62,MATCH($C708,프로젝트목록!$A$3:$A$62,0)),"미등록코드"))</f>
        <v/>
      </c>
      <c r="E708" s="32" t="n"/>
      <c r="F708" s="38" t="n"/>
      <c r="G708" s="38" t="n"/>
      <c r="H708" s="39" t="n"/>
      <c r="I708" s="40" t="str">
        <f>IF(OR($J708="",$K708=""),"",ROUND(MAX(0,($K708-$J708)-IF($H708="",0,$H708))/60,2))</f>
        <v/>
      </c>
      <c r="J708" s="41" t="str">
        <f>IF($F708="","",IF($F708&lt;1,ROUND($F708*1440,0),INT($F708/100)*60+MOD($F708,100)))</f>
        <v/>
      </c>
      <c r="K708" s="41" t="str">
        <f>IF($G708="","",IF($G708&lt;1,ROUND($G708*1440,0),INT($G708/100)*60+MOD($G708,100)))</f>
        <v/>
      </c>
    </row>
    <row r="709" ht="15" customHeight="1" s="26">
      <c r="A709" s="34" t="n"/>
      <c r="B709" s="32" t="n"/>
      <c r="C709" s="33" t="n"/>
      <c r="D709" s="37" t="str">
        <f>IF($C709="","",IFERROR(INDEX(프로젝트목록!$B$3:$B$62,MATCH($C709,프로젝트목록!$A$3:$A$62,0)),"미등록코드"))</f>
        <v/>
      </c>
      <c r="E709" s="32" t="n"/>
      <c r="F709" s="38" t="n"/>
      <c r="G709" s="38" t="n"/>
      <c r="H709" s="39" t="n"/>
      <c r="I709" s="40" t="str">
        <f>IF(OR($J709="",$K709=""),"",ROUND(MAX(0,($K709-$J709)-IF($H709="",0,$H709))/60,2))</f>
        <v/>
      </c>
      <c r="J709" s="41" t="str">
        <f>IF($F709="","",IF($F709&lt;1,ROUND($F709*1440,0),INT($F709/100)*60+MOD($F709,100)))</f>
        <v/>
      </c>
      <c r="K709" s="41" t="str">
        <f>IF($G709="","",IF($G709&lt;1,ROUND($G709*1440,0),INT($G709/100)*60+MOD($G709,100)))</f>
        <v/>
      </c>
    </row>
    <row r="710" ht="15" customHeight="1" s="26">
      <c r="A710" s="34" t="n"/>
      <c r="B710" s="32" t="n"/>
      <c r="C710" s="33" t="n"/>
      <c r="D710" s="37" t="str">
        <f>IF($C710="","",IFERROR(INDEX(프로젝트목록!$B$3:$B$62,MATCH($C710,프로젝트목록!$A$3:$A$62,0)),"미등록코드"))</f>
        <v/>
      </c>
      <c r="E710" s="32" t="n"/>
      <c r="F710" s="38" t="n"/>
      <c r="G710" s="38" t="n"/>
      <c r="H710" s="39" t="n"/>
      <c r="I710" s="40" t="str">
        <f>IF(OR($J710="",$K710=""),"",ROUND(MAX(0,($K710-$J710)-IF($H710="",0,$H710))/60,2))</f>
        <v/>
      </c>
      <c r="J710" s="41" t="str">
        <f>IF($F710="","",IF($F710&lt;1,ROUND($F710*1440,0),INT($F710/100)*60+MOD($F710,100)))</f>
        <v/>
      </c>
      <c r="K710" s="41" t="str">
        <f>IF($G710="","",IF($G710&lt;1,ROUND($G710*1440,0),INT($G710/100)*60+MOD($G710,100)))</f>
        <v/>
      </c>
    </row>
    <row r="711" ht="15" customHeight="1" s="26">
      <c r="A711" s="34" t="n"/>
      <c r="B711" s="32" t="n"/>
      <c r="C711" s="33" t="n"/>
      <c r="D711" s="37" t="str">
        <f>IF($C711="","",IFERROR(INDEX(프로젝트목록!$B$3:$B$62,MATCH($C711,프로젝트목록!$A$3:$A$62,0)),"미등록코드"))</f>
        <v/>
      </c>
      <c r="E711" s="32" t="n"/>
      <c r="F711" s="38" t="n"/>
      <c r="G711" s="38" t="n"/>
      <c r="H711" s="39" t="n"/>
      <c r="I711" s="40" t="str">
        <f>IF(OR($J711="",$K711=""),"",ROUND(MAX(0,($K711-$J711)-IF($H711="",0,$H711))/60,2))</f>
        <v/>
      </c>
      <c r="J711" s="41" t="str">
        <f>IF($F711="","",IF($F711&lt;1,ROUND($F711*1440,0),INT($F711/100)*60+MOD($F711,100)))</f>
        <v/>
      </c>
      <c r="K711" s="41" t="str">
        <f>IF($G711="","",IF($G711&lt;1,ROUND($G711*1440,0),INT($G711/100)*60+MOD($G711,100)))</f>
        <v/>
      </c>
    </row>
    <row r="712" ht="15" customHeight="1" s="26">
      <c r="A712" s="34" t="n"/>
      <c r="B712" s="32" t="n"/>
      <c r="C712" s="33" t="n"/>
      <c r="D712" s="37" t="str">
        <f>IF($C712="","",IFERROR(INDEX(프로젝트목록!$B$3:$B$62,MATCH($C712,프로젝트목록!$A$3:$A$62,0)),"미등록코드"))</f>
        <v/>
      </c>
      <c r="E712" s="32" t="n"/>
      <c r="F712" s="38" t="n"/>
      <c r="G712" s="38" t="n"/>
      <c r="H712" s="39" t="n"/>
      <c r="I712" s="40" t="str">
        <f>IF(OR($J712="",$K712=""),"",ROUND(MAX(0,($K712-$J712)-IF($H712="",0,$H712))/60,2))</f>
        <v/>
      </c>
      <c r="J712" s="41" t="str">
        <f>IF($F712="","",IF($F712&lt;1,ROUND($F712*1440,0),INT($F712/100)*60+MOD($F712,100)))</f>
        <v/>
      </c>
      <c r="K712" s="41" t="str">
        <f>IF($G712="","",IF($G712&lt;1,ROUND($G712*1440,0),INT($G712/100)*60+MOD($G712,100)))</f>
        <v/>
      </c>
    </row>
    <row r="713" ht="15" customHeight="1" s="26">
      <c r="A713" s="34" t="n"/>
      <c r="B713" s="32" t="n"/>
      <c r="C713" s="33" t="n"/>
      <c r="D713" s="37" t="str">
        <f>IF($C713="","",IFERROR(INDEX(프로젝트목록!$B$3:$B$62,MATCH($C713,프로젝트목록!$A$3:$A$62,0)),"미등록코드"))</f>
        <v/>
      </c>
      <c r="E713" s="32" t="n"/>
      <c r="F713" s="38" t="n"/>
      <c r="G713" s="38" t="n"/>
      <c r="H713" s="39" t="n"/>
      <c r="I713" s="40" t="str">
        <f>IF(OR($J713="",$K713=""),"",ROUND(MAX(0,($K713-$J713)-IF($H713="",0,$H713))/60,2))</f>
        <v/>
      </c>
      <c r="J713" s="41" t="str">
        <f>IF($F713="","",IF($F713&lt;1,ROUND($F713*1440,0),INT($F713/100)*60+MOD($F713,100)))</f>
        <v/>
      </c>
      <c r="K713" s="41" t="str">
        <f>IF($G713="","",IF($G713&lt;1,ROUND($G713*1440,0),INT($G713/100)*60+MOD($G713,100)))</f>
        <v/>
      </c>
    </row>
    <row r="714" ht="15" customHeight="1" s="26">
      <c r="A714" s="34" t="n"/>
      <c r="B714" s="32" t="n"/>
      <c r="C714" s="33" t="n"/>
      <c r="D714" s="37" t="str">
        <f>IF($C714="","",IFERROR(INDEX(프로젝트목록!$B$3:$B$62,MATCH($C714,프로젝트목록!$A$3:$A$62,0)),"미등록코드"))</f>
        <v/>
      </c>
      <c r="E714" s="32" t="n"/>
      <c r="F714" s="38" t="n"/>
      <c r="G714" s="38" t="n"/>
      <c r="H714" s="39" t="n"/>
      <c r="I714" s="40" t="str">
        <f>IF(OR($J714="",$K714=""),"",ROUND(MAX(0,($K714-$J714)-IF($H714="",0,$H714))/60,2))</f>
        <v/>
      </c>
      <c r="J714" s="41" t="str">
        <f>IF($F714="","",IF($F714&lt;1,ROUND($F714*1440,0),INT($F714/100)*60+MOD($F714,100)))</f>
        <v/>
      </c>
      <c r="K714" s="41" t="str">
        <f>IF($G714="","",IF($G714&lt;1,ROUND($G714*1440,0),INT($G714/100)*60+MOD($G714,100)))</f>
        <v/>
      </c>
    </row>
    <row r="715" ht="15" customHeight="1" s="26">
      <c r="A715" s="34" t="n"/>
      <c r="B715" s="32" t="n"/>
      <c r="C715" s="33" t="n"/>
      <c r="D715" s="37" t="str">
        <f>IF($C715="","",IFERROR(INDEX(프로젝트목록!$B$3:$B$62,MATCH($C715,프로젝트목록!$A$3:$A$62,0)),"미등록코드"))</f>
        <v/>
      </c>
      <c r="E715" s="32" t="n"/>
      <c r="F715" s="38" t="n"/>
      <c r="G715" s="38" t="n"/>
      <c r="H715" s="39" t="n"/>
      <c r="I715" s="40" t="str">
        <f>IF(OR($J715="",$K715=""),"",ROUND(MAX(0,($K715-$J715)-IF($H715="",0,$H715))/60,2))</f>
        <v/>
      </c>
      <c r="J715" s="41" t="str">
        <f>IF($F715="","",IF($F715&lt;1,ROUND($F715*1440,0),INT($F715/100)*60+MOD($F715,100)))</f>
        <v/>
      </c>
      <c r="K715" s="41" t="str">
        <f>IF($G715="","",IF($G715&lt;1,ROUND($G715*1440,0),INT($G715/100)*60+MOD($G715,100)))</f>
        <v/>
      </c>
    </row>
    <row r="716" ht="15" customHeight="1" s="26">
      <c r="A716" s="34" t="n"/>
      <c r="B716" s="32" t="n"/>
      <c r="C716" s="33" t="n"/>
      <c r="D716" s="37" t="str">
        <f>IF($C716="","",IFERROR(INDEX(프로젝트목록!$B$3:$B$62,MATCH($C716,프로젝트목록!$A$3:$A$62,0)),"미등록코드"))</f>
        <v/>
      </c>
      <c r="E716" s="32" t="n"/>
      <c r="F716" s="38" t="n"/>
      <c r="G716" s="38" t="n"/>
      <c r="H716" s="39" t="n"/>
      <c r="I716" s="40" t="str">
        <f>IF(OR($J716="",$K716=""),"",ROUND(MAX(0,($K716-$J716)-IF($H716="",0,$H716))/60,2))</f>
        <v/>
      </c>
      <c r="J716" s="41" t="str">
        <f>IF($F716="","",IF($F716&lt;1,ROUND($F716*1440,0),INT($F716/100)*60+MOD($F716,100)))</f>
        <v/>
      </c>
      <c r="K716" s="41" t="str">
        <f>IF($G716="","",IF($G716&lt;1,ROUND($G716*1440,0),INT($G716/100)*60+MOD($G716,100)))</f>
        <v/>
      </c>
    </row>
    <row r="717" ht="15" customHeight="1" s="26">
      <c r="A717" s="34" t="n"/>
      <c r="B717" s="32" t="n"/>
      <c r="C717" s="33" t="n"/>
      <c r="D717" s="37" t="str">
        <f>IF($C717="","",IFERROR(INDEX(프로젝트목록!$B$3:$B$62,MATCH($C717,프로젝트목록!$A$3:$A$62,0)),"미등록코드"))</f>
        <v/>
      </c>
      <c r="E717" s="32" t="n"/>
      <c r="F717" s="38" t="n"/>
      <c r="G717" s="38" t="n"/>
      <c r="H717" s="39" t="n"/>
      <c r="I717" s="40" t="str">
        <f>IF(OR($J717="",$K717=""),"",ROUND(MAX(0,($K717-$J717)-IF($H717="",0,$H717))/60,2))</f>
        <v/>
      </c>
      <c r="J717" s="41" t="str">
        <f>IF($F717="","",IF($F717&lt;1,ROUND($F717*1440,0),INT($F717/100)*60+MOD($F717,100)))</f>
        <v/>
      </c>
      <c r="K717" s="41" t="str">
        <f>IF($G717="","",IF($G717&lt;1,ROUND($G717*1440,0),INT($G717/100)*60+MOD($G717,100)))</f>
        <v/>
      </c>
    </row>
    <row r="718" ht="15" customHeight="1" s="26">
      <c r="A718" s="34" t="n"/>
      <c r="B718" s="32" t="n"/>
      <c r="C718" s="33" t="n"/>
      <c r="D718" s="37" t="str">
        <f>IF($C718="","",IFERROR(INDEX(프로젝트목록!$B$3:$B$62,MATCH($C718,프로젝트목록!$A$3:$A$62,0)),"미등록코드"))</f>
        <v/>
      </c>
      <c r="E718" s="32" t="n"/>
      <c r="F718" s="38" t="n"/>
      <c r="G718" s="38" t="n"/>
      <c r="H718" s="39" t="n"/>
      <c r="I718" s="40" t="str">
        <f>IF(OR($J718="",$K718=""),"",ROUND(MAX(0,($K718-$J718)-IF($H718="",0,$H718))/60,2))</f>
        <v/>
      </c>
      <c r="J718" s="41" t="str">
        <f>IF($F718="","",IF($F718&lt;1,ROUND($F718*1440,0),INT($F718/100)*60+MOD($F718,100)))</f>
        <v/>
      </c>
      <c r="K718" s="41" t="str">
        <f>IF($G718="","",IF($G718&lt;1,ROUND($G718*1440,0),INT($G718/100)*60+MOD($G718,100)))</f>
        <v/>
      </c>
    </row>
    <row r="719" ht="15" customHeight="1" s="26">
      <c r="A719" s="34" t="n"/>
      <c r="B719" s="32" t="n"/>
      <c r="C719" s="33" t="n"/>
      <c r="D719" s="37" t="str">
        <f>IF($C719="","",IFERROR(INDEX(프로젝트목록!$B$3:$B$62,MATCH($C719,프로젝트목록!$A$3:$A$62,0)),"미등록코드"))</f>
        <v/>
      </c>
      <c r="E719" s="32" t="n"/>
      <c r="F719" s="38" t="n"/>
      <c r="G719" s="38" t="n"/>
      <c r="H719" s="39" t="n"/>
      <c r="I719" s="40" t="str">
        <f>IF(OR($J719="",$K719=""),"",ROUND(MAX(0,($K719-$J719)-IF($H719="",0,$H719))/60,2))</f>
        <v/>
      </c>
      <c r="J719" s="41" t="str">
        <f>IF($F719="","",IF($F719&lt;1,ROUND($F719*1440,0),INT($F719/100)*60+MOD($F719,100)))</f>
        <v/>
      </c>
      <c r="K719" s="41" t="str">
        <f>IF($G719="","",IF($G719&lt;1,ROUND($G719*1440,0),INT($G719/100)*60+MOD($G719,100)))</f>
        <v/>
      </c>
    </row>
    <row r="720" ht="15" customHeight="1" s="26">
      <c r="A720" s="34" t="n"/>
      <c r="B720" s="32" t="n"/>
      <c r="C720" s="33" t="n"/>
      <c r="D720" s="37" t="str">
        <f>IF($C720="","",IFERROR(INDEX(프로젝트목록!$B$3:$B$62,MATCH($C720,프로젝트목록!$A$3:$A$62,0)),"미등록코드"))</f>
        <v/>
      </c>
      <c r="E720" s="32" t="n"/>
      <c r="F720" s="38" t="n"/>
      <c r="G720" s="38" t="n"/>
      <c r="H720" s="39" t="n"/>
      <c r="I720" s="40" t="str">
        <f>IF(OR($J720="",$K720=""),"",ROUND(MAX(0,($K720-$J720)-IF($H720="",0,$H720))/60,2))</f>
        <v/>
      </c>
      <c r="J720" s="41" t="str">
        <f>IF($F720="","",IF($F720&lt;1,ROUND($F720*1440,0),INT($F720/100)*60+MOD($F720,100)))</f>
        <v/>
      </c>
      <c r="K720" s="41" t="str">
        <f>IF($G720="","",IF($G720&lt;1,ROUND($G720*1440,0),INT($G720/100)*60+MOD($G720,100)))</f>
        <v/>
      </c>
    </row>
    <row r="721" ht="15" customHeight="1" s="26">
      <c r="A721" s="34" t="n"/>
      <c r="B721" s="32" t="n"/>
      <c r="C721" s="33" t="n"/>
      <c r="D721" s="37" t="str">
        <f>IF($C721="","",IFERROR(INDEX(프로젝트목록!$B$3:$B$62,MATCH($C721,프로젝트목록!$A$3:$A$62,0)),"미등록코드"))</f>
        <v/>
      </c>
      <c r="E721" s="32" t="n"/>
      <c r="F721" s="38" t="n"/>
      <c r="G721" s="38" t="n"/>
      <c r="H721" s="39" t="n"/>
      <c r="I721" s="40" t="str">
        <f>IF(OR($J721="",$K721=""),"",ROUND(MAX(0,($K721-$J721)-IF($H721="",0,$H721))/60,2))</f>
        <v/>
      </c>
      <c r="J721" s="41" t="str">
        <f>IF($F721="","",IF($F721&lt;1,ROUND($F721*1440,0),INT($F721/100)*60+MOD($F721,100)))</f>
        <v/>
      </c>
      <c r="K721" s="41" t="str">
        <f>IF($G721="","",IF($G721&lt;1,ROUND($G721*1440,0),INT($G721/100)*60+MOD($G721,100)))</f>
        <v/>
      </c>
    </row>
    <row r="722" ht="15" customHeight="1" s="26">
      <c r="A722" s="34" t="n"/>
      <c r="B722" s="32" t="n"/>
      <c r="C722" s="33" t="n"/>
      <c r="D722" s="37" t="str">
        <f>IF($C722="","",IFERROR(INDEX(프로젝트목록!$B$3:$B$62,MATCH($C722,프로젝트목록!$A$3:$A$62,0)),"미등록코드"))</f>
        <v/>
      </c>
      <c r="E722" s="32" t="n"/>
      <c r="F722" s="38" t="n"/>
      <c r="G722" s="38" t="n"/>
      <c r="H722" s="39" t="n"/>
      <c r="I722" s="40" t="str">
        <f>IF(OR($J722="",$K722=""),"",ROUND(MAX(0,($K722-$J722)-IF($H722="",0,$H722))/60,2))</f>
        <v/>
      </c>
      <c r="J722" s="41" t="str">
        <f>IF($F722="","",IF($F722&lt;1,ROUND($F722*1440,0),INT($F722/100)*60+MOD($F722,100)))</f>
        <v/>
      </c>
      <c r="K722" s="41" t="str">
        <f>IF($G722="","",IF($G722&lt;1,ROUND($G722*1440,0),INT($G722/100)*60+MOD($G722,100)))</f>
        <v/>
      </c>
    </row>
    <row r="723" ht="15" customHeight="1" s="26">
      <c r="A723" s="34" t="n"/>
      <c r="B723" s="32" t="n"/>
      <c r="C723" s="33" t="n"/>
      <c r="D723" s="37" t="str">
        <f>IF($C723="","",IFERROR(INDEX(프로젝트목록!$B$3:$B$62,MATCH($C723,프로젝트목록!$A$3:$A$62,0)),"미등록코드"))</f>
        <v/>
      </c>
      <c r="E723" s="32" t="n"/>
      <c r="F723" s="38" t="n"/>
      <c r="G723" s="38" t="n"/>
      <c r="H723" s="39" t="n"/>
      <c r="I723" s="40" t="str">
        <f>IF(OR($J723="",$K723=""),"",ROUND(MAX(0,($K723-$J723)-IF($H723="",0,$H723))/60,2))</f>
        <v/>
      </c>
      <c r="J723" s="41" t="str">
        <f>IF($F723="","",IF($F723&lt;1,ROUND($F723*1440,0),INT($F723/100)*60+MOD($F723,100)))</f>
        <v/>
      </c>
      <c r="K723" s="41" t="str">
        <f>IF($G723="","",IF($G723&lt;1,ROUND($G723*1440,0),INT($G723/100)*60+MOD($G723,100)))</f>
        <v/>
      </c>
    </row>
    <row r="724" ht="15" customHeight="1" s="26">
      <c r="A724" s="34" t="n"/>
      <c r="B724" s="32" t="n"/>
      <c r="C724" s="33" t="n"/>
      <c r="D724" s="37" t="str">
        <f>IF($C724="","",IFERROR(INDEX(프로젝트목록!$B$3:$B$62,MATCH($C724,프로젝트목록!$A$3:$A$62,0)),"미등록코드"))</f>
        <v/>
      </c>
      <c r="E724" s="32" t="n"/>
      <c r="F724" s="38" t="n"/>
      <c r="G724" s="38" t="n"/>
      <c r="H724" s="39" t="n"/>
      <c r="I724" s="40" t="str">
        <f>IF(OR($J724="",$K724=""),"",ROUND(MAX(0,($K724-$J724)-IF($H724="",0,$H724))/60,2))</f>
        <v/>
      </c>
      <c r="J724" s="41" t="str">
        <f>IF($F724="","",IF($F724&lt;1,ROUND($F724*1440,0),INT($F724/100)*60+MOD($F724,100)))</f>
        <v/>
      </c>
      <c r="K724" s="41" t="str">
        <f>IF($G724="","",IF($G724&lt;1,ROUND($G724*1440,0),INT($G724/100)*60+MOD($G724,100)))</f>
        <v/>
      </c>
    </row>
    <row r="725" ht="15" customHeight="1" s="26">
      <c r="A725" s="34" t="n"/>
      <c r="B725" s="32" t="n"/>
      <c r="C725" s="33" t="n"/>
      <c r="D725" s="37" t="str">
        <f>IF($C725="","",IFERROR(INDEX(프로젝트목록!$B$3:$B$62,MATCH($C725,프로젝트목록!$A$3:$A$62,0)),"미등록코드"))</f>
        <v/>
      </c>
      <c r="E725" s="32" t="n"/>
      <c r="F725" s="38" t="n"/>
      <c r="G725" s="38" t="n"/>
      <c r="H725" s="39" t="n"/>
      <c r="I725" s="40" t="str">
        <f>IF(OR($J725="",$K725=""),"",ROUND(MAX(0,($K725-$J725)-IF($H725="",0,$H725))/60,2))</f>
        <v/>
      </c>
      <c r="J725" s="41" t="str">
        <f>IF($F725="","",IF($F725&lt;1,ROUND($F725*1440,0),INT($F725/100)*60+MOD($F725,100)))</f>
        <v/>
      </c>
      <c r="K725" s="41" t="str">
        <f>IF($G725="","",IF($G725&lt;1,ROUND($G725*1440,0),INT($G725/100)*60+MOD($G725,100)))</f>
        <v/>
      </c>
    </row>
    <row r="726" ht="15" customHeight="1" s="26">
      <c r="A726" s="34" t="n"/>
      <c r="B726" s="32" t="n"/>
      <c r="C726" s="33" t="n"/>
      <c r="D726" s="37" t="str">
        <f>IF($C726="","",IFERROR(INDEX(프로젝트목록!$B$3:$B$62,MATCH($C726,프로젝트목록!$A$3:$A$62,0)),"미등록코드"))</f>
        <v/>
      </c>
      <c r="E726" s="32" t="n"/>
      <c r="F726" s="38" t="n"/>
      <c r="G726" s="38" t="n"/>
      <c r="H726" s="39" t="n"/>
      <c r="I726" s="40" t="str">
        <f>IF(OR($J726="",$K726=""),"",ROUND(MAX(0,($K726-$J726)-IF($H726="",0,$H726))/60,2))</f>
        <v/>
      </c>
      <c r="J726" s="41" t="str">
        <f>IF($F726="","",IF($F726&lt;1,ROUND($F726*1440,0),INT($F726/100)*60+MOD($F726,100)))</f>
        <v/>
      </c>
      <c r="K726" s="41" t="str">
        <f>IF($G726="","",IF($G726&lt;1,ROUND($G726*1440,0),INT($G726/100)*60+MOD($G726,100)))</f>
        <v/>
      </c>
    </row>
    <row r="727" ht="15" customHeight="1" s="26">
      <c r="A727" s="34" t="n"/>
      <c r="B727" s="32" t="n"/>
      <c r="C727" s="33" t="n"/>
      <c r="D727" s="37" t="str">
        <f>IF($C727="","",IFERROR(INDEX(프로젝트목록!$B$3:$B$62,MATCH($C727,프로젝트목록!$A$3:$A$62,0)),"미등록코드"))</f>
        <v/>
      </c>
      <c r="E727" s="32" t="n"/>
      <c r="F727" s="38" t="n"/>
      <c r="G727" s="38" t="n"/>
      <c r="H727" s="39" t="n"/>
      <c r="I727" s="40" t="str">
        <f>IF(OR($J727="",$K727=""),"",ROUND(MAX(0,($K727-$J727)-IF($H727="",0,$H727))/60,2))</f>
        <v/>
      </c>
      <c r="J727" s="41" t="str">
        <f>IF($F727="","",IF($F727&lt;1,ROUND($F727*1440,0),INT($F727/100)*60+MOD($F727,100)))</f>
        <v/>
      </c>
      <c r="K727" s="41" t="str">
        <f>IF($G727="","",IF($G727&lt;1,ROUND($G727*1440,0),INT($G727/100)*60+MOD($G727,100)))</f>
        <v/>
      </c>
    </row>
    <row r="728" ht="15" customHeight="1" s="26">
      <c r="A728" s="34" t="n"/>
      <c r="B728" s="32" t="n"/>
      <c r="C728" s="33" t="n"/>
      <c r="D728" s="37" t="str">
        <f>IF($C728="","",IFERROR(INDEX(프로젝트목록!$B$3:$B$62,MATCH($C728,프로젝트목록!$A$3:$A$62,0)),"미등록코드"))</f>
        <v/>
      </c>
      <c r="E728" s="32" t="n"/>
      <c r="F728" s="38" t="n"/>
      <c r="G728" s="38" t="n"/>
      <c r="H728" s="39" t="n"/>
      <c r="I728" s="40" t="str">
        <f>IF(OR($J728="",$K728=""),"",ROUND(MAX(0,($K728-$J728)-IF($H728="",0,$H728))/60,2))</f>
        <v/>
      </c>
      <c r="J728" s="41" t="str">
        <f>IF($F728="","",IF($F728&lt;1,ROUND($F728*1440,0),INT($F728/100)*60+MOD($F728,100)))</f>
        <v/>
      </c>
      <c r="K728" s="41" t="str">
        <f>IF($G728="","",IF($G728&lt;1,ROUND($G728*1440,0),INT($G728/100)*60+MOD($G728,100)))</f>
        <v/>
      </c>
    </row>
    <row r="729" ht="15" customHeight="1" s="26">
      <c r="A729" s="34" t="n"/>
      <c r="B729" s="32" t="n"/>
      <c r="C729" s="33" t="n"/>
      <c r="D729" s="37" t="str">
        <f>IF($C729="","",IFERROR(INDEX(프로젝트목록!$B$3:$B$62,MATCH($C729,프로젝트목록!$A$3:$A$62,0)),"미등록코드"))</f>
        <v/>
      </c>
      <c r="E729" s="32" t="n"/>
      <c r="F729" s="38" t="n"/>
      <c r="G729" s="38" t="n"/>
      <c r="H729" s="39" t="n"/>
      <c r="I729" s="40" t="str">
        <f>IF(OR($J729="",$K729=""),"",ROUND(MAX(0,($K729-$J729)-IF($H729="",0,$H729))/60,2))</f>
        <v/>
      </c>
      <c r="J729" s="41" t="str">
        <f>IF($F729="","",IF($F729&lt;1,ROUND($F729*1440,0),INT($F729/100)*60+MOD($F729,100)))</f>
        <v/>
      </c>
      <c r="K729" s="41" t="str">
        <f>IF($G729="","",IF($G729&lt;1,ROUND($G729*1440,0),INT($G729/100)*60+MOD($G729,100)))</f>
        <v/>
      </c>
    </row>
    <row r="730" ht="15" customHeight="1" s="26">
      <c r="A730" s="34" t="n"/>
      <c r="B730" s="32" t="n"/>
      <c r="C730" s="33" t="n"/>
      <c r="D730" s="37" t="str">
        <f>IF($C730="","",IFERROR(INDEX(프로젝트목록!$B$3:$B$62,MATCH($C730,프로젝트목록!$A$3:$A$62,0)),"미등록코드"))</f>
        <v/>
      </c>
      <c r="E730" s="32" t="n"/>
      <c r="F730" s="38" t="n"/>
      <c r="G730" s="38" t="n"/>
      <c r="H730" s="39" t="n"/>
      <c r="I730" s="40" t="str">
        <f>IF(OR($J730="",$K730=""),"",ROUND(MAX(0,($K730-$J730)-IF($H730="",0,$H730))/60,2))</f>
        <v/>
      </c>
      <c r="J730" s="41" t="str">
        <f>IF($F730="","",IF($F730&lt;1,ROUND($F730*1440,0),INT($F730/100)*60+MOD($F730,100)))</f>
        <v/>
      </c>
      <c r="K730" s="41" t="str">
        <f>IF($G730="","",IF($G730&lt;1,ROUND($G730*1440,0),INT($G730/100)*60+MOD($G730,100)))</f>
        <v/>
      </c>
    </row>
    <row r="731" ht="15" customHeight="1" s="26">
      <c r="A731" s="34" t="n"/>
      <c r="B731" s="32" t="n"/>
      <c r="C731" s="33" t="n"/>
      <c r="D731" s="37" t="str">
        <f>IF($C731="","",IFERROR(INDEX(프로젝트목록!$B$3:$B$62,MATCH($C731,프로젝트목록!$A$3:$A$62,0)),"미등록코드"))</f>
        <v/>
      </c>
      <c r="E731" s="32" t="n"/>
      <c r="F731" s="38" t="n"/>
      <c r="G731" s="38" t="n"/>
      <c r="H731" s="39" t="n"/>
      <c r="I731" s="40" t="str">
        <f>IF(OR($J731="",$K731=""),"",ROUND(MAX(0,($K731-$J731)-IF($H731="",0,$H731))/60,2))</f>
        <v/>
      </c>
      <c r="J731" s="41" t="str">
        <f>IF($F731="","",IF($F731&lt;1,ROUND($F731*1440,0),INT($F731/100)*60+MOD($F731,100)))</f>
        <v/>
      </c>
      <c r="K731" s="41" t="str">
        <f>IF($G731="","",IF($G731&lt;1,ROUND($G731*1440,0),INT($G731/100)*60+MOD($G731,100)))</f>
        <v/>
      </c>
    </row>
    <row r="732" ht="15" customHeight="1" s="26">
      <c r="A732" s="34" t="n"/>
      <c r="B732" s="32" t="n"/>
      <c r="C732" s="33" t="n"/>
      <c r="D732" s="37" t="str">
        <f>IF($C732="","",IFERROR(INDEX(프로젝트목록!$B$3:$B$62,MATCH($C732,프로젝트목록!$A$3:$A$62,0)),"미등록코드"))</f>
        <v/>
      </c>
      <c r="E732" s="32" t="n"/>
      <c r="F732" s="38" t="n"/>
      <c r="G732" s="38" t="n"/>
      <c r="H732" s="39" t="n"/>
      <c r="I732" s="40" t="str">
        <f>IF(OR($J732="",$K732=""),"",ROUND(MAX(0,($K732-$J732)-IF($H732="",0,$H732))/60,2))</f>
        <v/>
      </c>
      <c r="J732" s="41" t="str">
        <f>IF($F732="","",IF($F732&lt;1,ROUND($F732*1440,0),INT($F732/100)*60+MOD($F732,100)))</f>
        <v/>
      </c>
      <c r="K732" s="41" t="str">
        <f>IF($G732="","",IF($G732&lt;1,ROUND($G732*1440,0),INT($G732/100)*60+MOD($G732,100)))</f>
        <v/>
      </c>
    </row>
    <row r="733" ht="15" customHeight="1" s="26">
      <c r="A733" s="34" t="n"/>
      <c r="B733" s="32" t="n"/>
      <c r="C733" s="33" t="n"/>
      <c r="D733" s="37" t="str">
        <f>IF($C733="","",IFERROR(INDEX(프로젝트목록!$B$3:$B$62,MATCH($C733,프로젝트목록!$A$3:$A$62,0)),"미등록코드"))</f>
        <v/>
      </c>
      <c r="E733" s="32" t="n"/>
      <c r="F733" s="38" t="n"/>
      <c r="G733" s="38" t="n"/>
      <c r="H733" s="39" t="n"/>
      <c r="I733" s="40" t="str">
        <f>IF(OR($J733="",$K733=""),"",ROUND(MAX(0,($K733-$J733)-IF($H733="",0,$H733))/60,2))</f>
        <v/>
      </c>
      <c r="J733" s="41" t="str">
        <f>IF($F733="","",IF($F733&lt;1,ROUND($F733*1440,0),INT($F733/100)*60+MOD($F733,100)))</f>
        <v/>
      </c>
      <c r="K733" s="41" t="str">
        <f>IF($G733="","",IF($G733&lt;1,ROUND($G733*1440,0),INT($G733/100)*60+MOD($G733,100)))</f>
        <v/>
      </c>
    </row>
    <row r="734" ht="15" customHeight="1" s="26">
      <c r="A734" s="34" t="n"/>
      <c r="B734" s="32" t="n"/>
      <c r="C734" s="33" t="n"/>
      <c r="D734" s="37" t="str">
        <f>IF($C734="","",IFERROR(INDEX(프로젝트목록!$B$3:$B$62,MATCH($C734,프로젝트목록!$A$3:$A$62,0)),"미등록코드"))</f>
        <v/>
      </c>
      <c r="E734" s="32" t="n"/>
      <c r="F734" s="38" t="n"/>
      <c r="G734" s="38" t="n"/>
      <c r="H734" s="39" t="n"/>
      <c r="I734" s="40" t="str">
        <f>IF(OR($J734="",$K734=""),"",ROUND(MAX(0,($K734-$J734)-IF($H734="",0,$H734))/60,2))</f>
        <v/>
      </c>
      <c r="J734" s="41" t="str">
        <f>IF($F734="","",IF($F734&lt;1,ROUND($F734*1440,0),INT($F734/100)*60+MOD($F734,100)))</f>
        <v/>
      </c>
      <c r="K734" s="41" t="str">
        <f>IF($G734="","",IF($G734&lt;1,ROUND($G734*1440,0),INT($G734/100)*60+MOD($G734,100)))</f>
        <v/>
      </c>
    </row>
    <row r="735" ht="15" customHeight="1" s="26">
      <c r="A735" s="34" t="n"/>
      <c r="B735" s="32" t="n"/>
      <c r="C735" s="33" t="n"/>
      <c r="D735" s="37" t="str">
        <f>IF($C735="","",IFERROR(INDEX(프로젝트목록!$B$3:$B$62,MATCH($C735,프로젝트목록!$A$3:$A$62,0)),"미등록코드"))</f>
        <v/>
      </c>
      <c r="E735" s="32" t="n"/>
      <c r="F735" s="38" t="n"/>
      <c r="G735" s="38" t="n"/>
      <c r="H735" s="39" t="n"/>
      <c r="I735" s="40" t="str">
        <f>IF(OR($J735="",$K735=""),"",ROUND(MAX(0,($K735-$J735)-IF($H735="",0,$H735))/60,2))</f>
        <v/>
      </c>
      <c r="J735" s="41" t="str">
        <f>IF($F735="","",IF($F735&lt;1,ROUND($F735*1440,0),INT($F735/100)*60+MOD($F735,100)))</f>
        <v/>
      </c>
      <c r="K735" s="41" t="str">
        <f>IF($G735="","",IF($G735&lt;1,ROUND($G735*1440,0),INT($G735/100)*60+MOD($G735,100)))</f>
        <v/>
      </c>
    </row>
    <row r="736" ht="15" customHeight="1" s="26">
      <c r="A736" s="34" t="n"/>
      <c r="B736" s="32" t="n"/>
      <c r="C736" s="33" t="n"/>
      <c r="D736" s="37" t="str">
        <f>IF($C736="","",IFERROR(INDEX(프로젝트목록!$B$3:$B$62,MATCH($C736,프로젝트목록!$A$3:$A$62,0)),"미등록코드"))</f>
        <v/>
      </c>
      <c r="E736" s="32" t="n"/>
      <c r="F736" s="38" t="n"/>
      <c r="G736" s="38" t="n"/>
      <c r="H736" s="39" t="n"/>
      <c r="I736" s="40" t="str">
        <f>IF(OR($J736="",$K736=""),"",ROUND(MAX(0,($K736-$J736)-IF($H736="",0,$H736))/60,2))</f>
        <v/>
      </c>
      <c r="J736" s="41" t="str">
        <f>IF($F736="","",IF($F736&lt;1,ROUND($F736*1440,0),INT($F736/100)*60+MOD($F736,100)))</f>
        <v/>
      </c>
      <c r="K736" s="41" t="str">
        <f>IF($G736="","",IF($G736&lt;1,ROUND($G736*1440,0),INT($G736/100)*60+MOD($G736,100)))</f>
        <v/>
      </c>
    </row>
    <row r="737" ht="15" customHeight="1" s="26">
      <c r="A737" s="34" t="n"/>
      <c r="B737" s="32" t="n"/>
      <c r="C737" s="33" t="n"/>
      <c r="D737" s="37" t="str">
        <f>IF($C737="","",IFERROR(INDEX(프로젝트목록!$B$3:$B$62,MATCH($C737,프로젝트목록!$A$3:$A$62,0)),"미등록코드"))</f>
        <v/>
      </c>
      <c r="E737" s="32" t="n"/>
      <c r="F737" s="38" t="n"/>
      <c r="G737" s="38" t="n"/>
      <c r="H737" s="39" t="n"/>
      <c r="I737" s="40" t="str">
        <f>IF(OR($J737="",$K737=""),"",ROUND(MAX(0,($K737-$J737)-IF($H737="",0,$H737))/60,2))</f>
        <v/>
      </c>
      <c r="J737" s="41" t="str">
        <f>IF($F737="","",IF($F737&lt;1,ROUND($F737*1440,0),INT($F737/100)*60+MOD($F737,100)))</f>
        <v/>
      </c>
      <c r="K737" s="41" t="str">
        <f>IF($G737="","",IF($G737&lt;1,ROUND($G737*1440,0),INT($G737/100)*60+MOD($G737,100)))</f>
        <v/>
      </c>
    </row>
    <row r="738" ht="15" customHeight="1" s="26">
      <c r="A738" s="34" t="n"/>
      <c r="B738" s="32" t="n"/>
      <c r="C738" s="33" t="n"/>
      <c r="D738" s="37" t="str">
        <f>IF($C738="","",IFERROR(INDEX(프로젝트목록!$B$3:$B$62,MATCH($C738,프로젝트목록!$A$3:$A$62,0)),"미등록코드"))</f>
        <v/>
      </c>
      <c r="E738" s="32" t="n"/>
      <c r="F738" s="38" t="n"/>
      <c r="G738" s="38" t="n"/>
      <c r="H738" s="39" t="n"/>
      <c r="I738" s="40" t="str">
        <f>IF(OR($J738="",$K738=""),"",ROUND(MAX(0,($K738-$J738)-IF($H738="",0,$H738))/60,2))</f>
        <v/>
      </c>
      <c r="J738" s="41" t="str">
        <f>IF($F738="","",IF($F738&lt;1,ROUND($F738*1440,0),INT($F738/100)*60+MOD($F738,100)))</f>
        <v/>
      </c>
      <c r="K738" s="41" t="str">
        <f>IF($G738="","",IF($G738&lt;1,ROUND($G738*1440,0),INT($G738/100)*60+MOD($G738,100)))</f>
        <v/>
      </c>
    </row>
    <row r="739" ht="15" customHeight="1" s="26">
      <c r="A739" s="34" t="n"/>
      <c r="B739" s="32" t="n"/>
      <c r="C739" s="33" t="n"/>
      <c r="D739" s="37" t="str">
        <f>IF($C739="","",IFERROR(INDEX(프로젝트목록!$B$3:$B$62,MATCH($C739,프로젝트목록!$A$3:$A$62,0)),"미등록코드"))</f>
        <v/>
      </c>
      <c r="E739" s="32" t="n"/>
      <c r="F739" s="38" t="n"/>
      <c r="G739" s="38" t="n"/>
      <c r="H739" s="39" t="n"/>
      <c r="I739" s="40" t="str">
        <f>IF(OR($J739="",$K739=""),"",ROUND(MAX(0,($K739-$J739)-IF($H739="",0,$H739))/60,2))</f>
        <v/>
      </c>
      <c r="J739" s="41" t="str">
        <f>IF($F739="","",IF($F739&lt;1,ROUND($F739*1440,0),INT($F739/100)*60+MOD($F739,100)))</f>
        <v/>
      </c>
      <c r="K739" s="41" t="str">
        <f>IF($G739="","",IF($G739&lt;1,ROUND($G739*1440,0),INT($G739/100)*60+MOD($G739,100)))</f>
        <v/>
      </c>
    </row>
    <row r="740" ht="15" customHeight="1" s="26">
      <c r="A740" s="34" t="n"/>
      <c r="B740" s="32" t="n"/>
      <c r="C740" s="33" t="n"/>
      <c r="D740" s="37" t="str">
        <f>IF($C740="","",IFERROR(INDEX(프로젝트목록!$B$3:$B$62,MATCH($C740,프로젝트목록!$A$3:$A$62,0)),"미등록코드"))</f>
        <v/>
      </c>
      <c r="E740" s="32" t="n"/>
      <c r="F740" s="38" t="n"/>
      <c r="G740" s="38" t="n"/>
      <c r="H740" s="39" t="n"/>
      <c r="I740" s="40" t="str">
        <f>IF(OR($J740="",$K740=""),"",ROUND(MAX(0,($K740-$J740)-IF($H740="",0,$H740))/60,2))</f>
        <v/>
      </c>
      <c r="J740" s="41" t="str">
        <f>IF($F740="","",IF($F740&lt;1,ROUND($F740*1440,0),INT($F740/100)*60+MOD($F740,100)))</f>
        <v/>
      </c>
      <c r="K740" s="41" t="str">
        <f>IF($G740="","",IF($G740&lt;1,ROUND($G740*1440,0),INT($G740/100)*60+MOD($G740,100)))</f>
        <v/>
      </c>
    </row>
    <row r="741" ht="15" customHeight="1" s="26">
      <c r="A741" s="34" t="n"/>
      <c r="B741" s="32" t="n"/>
      <c r="C741" s="33" t="n"/>
      <c r="D741" s="37" t="str">
        <f>IF($C741="","",IFERROR(INDEX(프로젝트목록!$B$3:$B$62,MATCH($C741,프로젝트목록!$A$3:$A$62,0)),"미등록코드"))</f>
        <v/>
      </c>
      <c r="E741" s="32" t="n"/>
      <c r="F741" s="38" t="n"/>
      <c r="G741" s="38" t="n"/>
      <c r="H741" s="39" t="n"/>
      <c r="I741" s="40" t="str">
        <f>IF(OR($J741="",$K741=""),"",ROUND(MAX(0,($K741-$J741)-IF($H741="",0,$H741))/60,2))</f>
        <v/>
      </c>
      <c r="J741" s="41" t="str">
        <f>IF($F741="","",IF($F741&lt;1,ROUND($F741*1440,0),INT($F741/100)*60+MOD($F741,100)))</f>
        <v/>
      </c>
      <c r="K741" s="41" t="str">
        <f>IF($G741="","",IF($G741&lt;1,ROUND($G741*1440,0),INT($G741/100)*60+MOD($G741,100)))</f>
        <v/>
      </c>
    </row>
    <row r="742" ht="15" customHeight="1" s="26">
      <c r="A742" s="34" t="n"/>
      <c r="B742" s="32" t="n"/>
      <c r="C742" s="33" t="n"/>
      <c r="D742" s="37" t="str">
        <f>IF($C742="","",IFERROR(INDEX(프로젝트목록!$B$3:$B$62,MATCH($C742,프로젝트목록!$A$3:$A$62,0)),"미등록코드"))</f>
        <v/>
      </c>
      <c r="E742" s="32" t="n"/>
      <c r="F742" s="38" t="n"/>
      <c r="G742" s="38" t="n"/>
      <c r="H742" s="39" t="n"/>
      <c r="I742" s="40" t="str">
        <f>IF(OR($J742="",$K742=""),"",ROUND(MAX(0,($K742-$J742)-IF($H742="",0,$H742))/60,2))</f>
        <v/>
      </c>
      <c r="J742" s="41" t="str">
        <f>IF($F742="","",IF($F742&lt;1,ROUND($F742*1440,0),INT($F742/100)*60+MOD($F742,100)))</f>
        <v/>
      </c>
      <c r="K742" s="41" t="str">
        <f>IF($G742="","",IF($G742&lt;1,ROUND($G742*1440,0),INT($G742/100)*60+MOD($G742,100)))</f>
        <v/>
      </c>
    </row>
    <row r="743" ht="15" customHeight="1" s="26">
      <c r="A743" s="34" t="n"/>
      <c r="B743" s="32" t="n"/>
      <c r="C743" s="33" t="n"/>
      <c r="D743" s="37" t="str">
        <f>IF($C743="","",IFERROR(INDEX(프로젝트목록!$B$3:$B$62,MATCH($C743,프로젝트목록!$A$3:$A$62,0)),"미등록코드"))</f>
        <v/>
      </c>
      <c r="E743" s="32" t="n"/>
      <c r="F743" s="38" t="n"/>
      <c r="G743" s="38" t="n"/>
      <c r="H743" s="39" t="n"/>
      <c r="I743" s="40" t="str">
        <f>IF(OR($J743="",$K743=""),"",ROUND(MAX(0,($K743-$J743)-IF($H743="",0,$H743))/60,2))</f>
        <v/>
      </c>
      <c r="J743" s="41" t="str">
        <f>IF($F743="","",IF($F743&lt;1,ROUND($F743*1440,0),INT($F743/100)*60+MOD($F743,100)))</f>
        <v/>
      </c>
      <c r="K743" s="41" t="str">
        <f>IF($G743="","",IF($G743&lt;1,ROUND($G743*1440,0),INT($G743/100)*60+MOD($G743,100)))</f>
        <v/>
      </c>
    </row>
    <row r="744" ht="15" customHeight="1" s="26">
      <c r="A744" s="34" t="n"/>
      <c r="B744" s="32" t="n"/>
      <c r="C744" s="33" t="n"/>
      <c r="D744" s="37" t="str">
        <f>IF($C744="","",IFERROR(INDEX(프로젝트목록!$B$3:$B$62,MATCH($C744,프로젝트목록!$A$3:$A$62,0)),"미등록코드"))</f>
        <v/>
      </c>
      <c r="E744" s="32" t="n"/>
      <c r="F744" s="38" t="n"/>
      <c r="G744" s="38" t="n"/>
      <c r="H744" s="39" t="n"/>
      <c r="I744" s="40" t="str">
        <f>IF(OR($J744="",$K744=""),"",ROUND(MAX(0,($K744-$J744)-IF($H744="",0,$H744))/60,2))</f>
        <v/>
      </c>
      <c r="J744" s="41" t="str">
        <f>IF($F744="","",IF($F744&lt;1,ROUND($F744*1440,0),INT($F744/100)*60+MOD($F744,100)))</f>
        <v/>
      </c>
      <c r="K744" s="41" t="str">
        <f>IF($G744="","",IF($G744&lt;1,ROUND($G744*1440,0),INT($G744/100)*60+MOD($G744,100)))</f>
        <v/>
      </c>
    </row>
    <row r="745" ht="15" customHeight="1" s="26">
      <c r="A745" s="34" t="n"/>
      <c r="B745" s="32" t="n"/>
      <c r="C745" s="33" t="n"/>
      <c r="D745" s="37" t="str">
        <f>IF($C745="","",IFERROR(INDEX(프로젝트목록!$B$3:$B$62,MATCH($C745,프로젝트목록!$A$3:$A$62,0)),"미등록코드"))</f>
        <v/>
      </c>
      <c r="E745" s="32" t="n"/>
      <c r="F745" s="38" t="n"/>
      <c r="G745" s="38" t="n"/>
      <c r="H745" s="39" t="n"/>
      <c r="I745" s="40" t="str">
        <f>IF(OR($J745="",$K745=""),"",ROUND(MAX(0,($K745-$J745)-IF($H745="",0,$H745))/60,2))</f>
        <v/>
      </c>
      <c r="J745" s="41" t="str">
        <f>IF($F745="","",IF($F745&lt;1,ROUND($F745*1440,0),INT($F745/100)*60+MOD($F745,100)))</f>
        <v/>
      </c>
      <c r="K745" s="41" t="str">
        <f>IF($G745="","",IF($G745&lt;1,ROUND($G745*1440,0),INT($G745/100)*60+MOD($G745,100)))</f>
        <v/>
      </c>
    </row>
    <row r="746" ht="15" customHeight="1" s="26">
      <c r="A746" s="34" t="n"/>
      <c r="B746" s="32" t="n"/>
      <c r="C746" s="33" t="n"/>
      <c r="D746" s="37" t="str">
        <f>IF($C746="","",IFERROR(INDEX(프로젝트목록!$B$3:$B$62,MATCH($C746,프로젝트목록!$A$3:$A$62,0)),"미등록코드"))</f>
        <v/>
      </c>
      <c r="E746" s="32" t="n"/>
      <c r="F746" s="38" t="n"/>
      <c r="G746" s="38" t="n"/>
      <c r="H746" s="39" t="n"/>
      <c r="I746" s="40" t="str">
        <f>IF(OR($J746="",$K746=""),"",ROUND(MAX(0,($K746-$J746)-IF($H746="",0,$H746))/60,2))</f>
        <v/>
      </c>
      <c r="J746" s="41" t="str">
        <f>IF($F746="","",IF($F746&lt;1,ROUND($F746*1440,0),INT($F746/100)*60+MOD($F746,100)))</f>
        <v/>
      </c>
      <c r="K746" s="41" t="str">
        <f>IF($G746="","",IF($G746&lt;1,ROUND($G746*1440,0),INT($G746/100)*60+MOD($G746,100)))</f>
        <v/>
      </c>
    </row>
    <row r="747" ht="15" customHeight="1" s="26">
      <c r="A747" s="34" t="n"/>
      <c r="B747" s="32" t="n"/>
      <c r="C747" s="33" t="n"/>
      <c r="D747" s="37" t="str">
        <f>IF($C747="","",IFERROR(INDEX(프로젝트목록!$B$3:$B$62,MATCH($C747,프로젝트목록!$A$3:$A$62,0)),"미등록코드"))</f>
        <v/>
      </c>
      <c r="E747" s="32" t="n"/>
      <c r="F747" s="38" t="n"/>
      <c r="G747" s="38" t="n"/>
      <c r="H747" s="39" t="n"/>
      <c r="I747" s="40" t="str">
        <f>IF(OR($J747="",$K747=""),"",ROUND(MAX(0,($K747-$J747)-IF($H747="",0,$H747))/60,2))</f>
        <v/>
      </c>
      <c r="J747" s="41" t="str">
        <f>IF($F747="","",IF($F747&lt;1,ROUND($F747*1440,0),INT($F747/100)*60+MOD($F747,100)))</f>
        <v/>
      </c>
      <c r="K747" s="41" t="str">
        <f>IF($G747="","",IF($G747&lt;1,ROUND($G747*1440,0),INT($G747/100)*60+MOD($G747,100)))</f>
        <v/>
      </c>
    </row>
    <row r="748" ht="15" customHeight="1" s="26">
      <c r="A748" s="34" t="n"/>
      <c r="B748" s="32" t="n"/>
      <c r="C748" s="33" t="n"/>
      <c r="D748" s="37" t="str">
        <f>IF($C748="","",IFERROR(INDEX(프로젝트목록!$B$3:$B$62,MATCH($C748,프로젝트목록!$A$3:$A$62,0)),"미등록코드"))</f>
        <v/>
      </c>
      <c r="E748" s="32" t="n"/>
      <c r="F748" s="38" t="n"/>
      <c r="G748" s="38" t="n"/>
      <c r="H748" s="39" t="n"/>
      <c r="I748" s="40" t="str">
        <f>IF(OR($J748="",$K748=""),"",ROUND(MAX(0,($K748-$J748)-IF($H748="",0,$H748))/60,2))</f>
        <v/>
      </c>
      <c r="J748" s="41" t="str">
        <f>IF($F748="","",IF($F748&lt;1,ROUND($F748*1440,0),INT($F748/100)*60+MOD($F748,100)))</f>
        <v/>
      </c>
      <c r="K748" s="41" t="str">
        <f>IF($G748="","",IF($G748&lt;1,ROUND($G748*1440,0),INT($G748/100)*60+MOD($G748,100)))</f>
        <v/>
      </c>
    </row>
    <row r="749" ht="15" customHeight="1" s="26">
      <c r="A749" s="34" t="n"/>
      <c r="B749" s="32" t="n"/>
      <c r="C749" s="33" t="n"/>
      <c r="D749" s="37" t="str">
        <f>IF($C749="","",IFERROR(INDEX(프로젝트목록!$B$3:$B$62,MATCH($C749,프로젝트목록!$A$3:$A$62,0)),"미등록코드"))</f>
        <v/>
      </c>
      <c r="E749" s="32" t="n"/>
      <c r="F749" s="38" t="n"/>
      <c r="G749" s="38" t="n"/>
      <c r="H749" s="39" t="n"/>
      <c r="I749" s="40" t="str">
        <f>IF(OR($J749="",$K749=""),"",ROUND(MAX(0,($K749-$J749)-IF($H749="",0,$H749))/60,2))</f>
        <v/>
      </c>
      <c r="J749" s="41" t="str">
        <f>IF($F749="","",IF($F749&lt;1,ROUND($F749*1440,0),INT($F749/100)*60+MOD($F749,100)))</f>
        <v/>
      </c>
      <c r="K749" s="41" t="str">
        <f>IF($G749="","",IF($G749&lt;1,ROUND($G749*1440,0),INT($G749/100)*60+MOD($G749,100)))</f>
        <v/>
      </c>
    </row>
    <row r="750" ht="15" customHeight="1" s="26">
      <c r="A750" s="34" t="n"/>
      <c r="B750" s="32" t="n"/>
      <c r="C750" s="33" t="n"/>
      <c r="D750" s="37" t="str">
        <f>IF($C750="","",IFERROR(INDEX(프로젝트목록!$B$3:$B$62,MATCH($C750,프로젝트목록!$A$3:$A$62,0)),"미등록코드"))</f>
        <v/>
      </c>
      <c r="E750" s="32" t="n"/>
      <c r="F750" s="38" t="n"/>
      <c r="G750" s="38" t="n"/>
      <c r="H750" s="39" t="n"/>
      <c r="I750" s="40" t="str">
        <f>IF(OR($J750="",$K750=""),"",ROUND(MAX(0,($K750-$J750)-IF($H750="",0,$H750))/60,2))</f>
        <v/>
      </c>
      <c r="J750" s="41" t="str">
        <f>IF($F750="","",IF($F750&lt;1,ROUND($F750*1440,0),INT($F750/100)*60+MOD($F750,100)))</f>
        <v/>
      </c>
      <c r="K750" s="41" t="str">
        <f>IF($G750="","",IF($G750&lt;1,ROUND($G750*1440,0),INT($G750/100)*60+MOD($G750,100)))</f>
        <v/>
      </c>
    </row>
    <row r="751" ht="15" customHeight="1" s="26">
      <c r="A751" s="34" t="n"/>
      <c r="B751" s="32" t="n"/>
      <c r="C751" s="33" t="n"/>
      <c r="D751" s="37" t="str">
        <f>IF($C751="","",IFERROR(INDEX(프로젝트목록!$B$3:$B$62,MATCH($C751,프로젝트목록!$A$3:$A$62,0)),"미등록코드"))</f>
        <v/>
      </c>
      <c r="E751" s="32" t="n"/>
      <c r="F751" s="38" t="n"/>
      <c r="G751" s="38" t="n"/>
      <c r="H751" s="39" t="n"/>
      <c r="I751" s="40" t="str">
        <f>IF(OR($J751="",$K751=""),"",ROUND(MAX(0,($K751-$J751)-IF($H751="",0,$H751))/60,2))</f>
        <v/>
      </c>
      <c r="J751" s="41" t="str">
        <f>IF($F751="","",IF($F751&lt;1,ROUND($F751*1440,0),INT($F751/100)*60+MOD($F751,100)))</f>
        <v/>
      </c>
      <c r="K751" s="41" t="str">
        <f>IF($G751="","",IF($G751&lt;1,ROUND($G751*1440,0),INT($G751/100)*60+MOD($G751,100)))</f>
        <v/>
      </c>
    </row>
    <row r="752" ht="15" customHeight="1" s="26">
      <c r="A752" s="34" t="n"/>
      <c r="B752" s="32" t="n"/>
      <c r="C752" s="33" t="n"/>
      <c r="D752" s="37" t="str">
        <f>IF($C752="","",IFERROR(INDEX(프로젝트목록!$B$3:$B$62,MATCH($C752,프로젝트목록!$A$3:$A$62,0)),"미등록코드"))</f>
        <v/>
      </c>
      <c r="E752" s="32" t="n"/>
      <c r="F752" s="38" t="n"/>
      <c r="G752" s="38" t="n"/>
      <c r="H752" s="39" t="n"/>
      <c r="I752" s="40" t="str">
        <f>IF(OR($J752="",$K752=""),"",ROUND(MAX(0,($K752-$J752)-IF($H752="",0,$H752))/60,2))</f>
        <v/>
      </c>
      <c r="J752" s="41" t="str">
        <f>IF($F752="","",IF($F752&lt;1,ROUND($F752*1440,0),INT($F752/100)*60+MOD($F752,100)))</f>
        <v/>
      </c>
      <c r="K752" s="41" t="str">
        <f>IF($G752="","",IF($G752&lt;1,ROUND($G752*1440,0),INT($G752/100)*60+MOD($G752,100)))</f>
        <v/>
      </c>
    </row>
    <row r="753" ht="15" customHeight="1" s="26">
      <c r="A753" s="34" t="n"/>
      <c r="B753" s="32" t="n"/>
      <c r="C753" s="33" t="n"/>
      <c r="D753" s="37" t="str">
        <f>IF($C753="","",IFERROR(INDEX(프로젝트목록!$B$3:$B$62,MATCH($C753,프로젝트목록!$A$3:$A$62,0)),"미등록코드"))</f>
        <v/>
      </c>
      <c r="E753" s="32" t="n"/>
      <c r="F753" s="38" t="n"/>
      <c r="G753" s="38" t="n"/>
      <c r="H753" s="39" t="n"/>
      <c r="I753" s="40" t="str">
        <f>IF(OR($J753="",$K753=""),"",ROUND(MAX(0,($K753-$J753)-IF($H753="",0,$H753))/60,2))</f>
        <v/>
      </c>
      <c r="J753" s="41" t="str">
        <f>IF($F753="","",IF($F753&lt;1,ROUND($F753*1440,0),INT($F753/100)*60+MOD($F753,100)))</f>
        <v/>
      </c>
      <c r="K753" s="41" t="str">
        <f>IF($G753="","",IF($G753&lt;1,ROUND($G753*1440,0),INT($G753/100)*60+MOD($G753,100)))</f>
        <v/>
      </c>
    </row>
    <row r="754" ht="15" customHeight="1" s="26">
      <c r="A754" s="34" t="n"/>
      <c r="B754" s="32" t="n"/>
      <c r="C754" s="33" t="n"/>
      <c r="D754" s="37" t="str">
        <f>IF($C754="","",IFERROR(INDEX(프로젝트목록!$B$3:$B$62,MATCH($C754,프로젝트목록!$A$3:$A$62,0)),"미등록코드"))</f>
        <v/>
      </c>
      <c r="E754" s="32" t="n"/>
      <c r="F754" s="38" t="n"/>
      <c r="G754" s="38" t="n"/>
      <c r="H754" s="39" t="n"/>
      <c r="I754" s="40" t="str">
        <f>IF(OR($J754="",$K754=""),"",ROUND(MAX(0,($K754-$J754)-IF($H754="",0,$H754))/60,2))</f>
        <v/>
      </c>
      <c r="J754" s="41" t="str">
        <f>IF($F754="","",IF($F754&lt;1,ROUND($F754*1440,0),INT($F754/100)*60+MOD($F754,100)))</f>
        <v/>
      </c>
      <c r="K754" s="41" t="str">
        <f>IF($G754="","",IF($G754&lt;1,ROUND($G754*1440,0),INT($G754/100)*60+MOD($G754,100)))</f>
        <v/>
      </c>
    </row>
    <row r="755" ht="15" customHeight="1" s="26">
      <c r="A755" s="34" t="n"/>
      <c r="B755" s="32" t="n"/>
      <c r="C755" s="33" t="n"/>
      <c r="D755" s="37" t="str">
        <f>IF($C755="","",IFERROR(INDEX(프로젝트목록!$B$3:$B$62,MATCH($C755,프로젝트목록!$A$3:$A$62,0)),"미등록코드"))</f>
        <v/>
      </c>
      <c r="E755" s="32" t="n"/>
      <c r="F755" s="38" t="n"/>
      <c r="G755" s="38" t="n"/>
      <c r="H755" s="39" t="n"/>
      <c r="I755" s="40" t="str">
        <f>IF(OR($J755="",$K755=""),"",ROUND(MAX(0,($K755-$J755)-IF($H755="",0,$H755))/60,2))</f>
        <v/>
      </c>
      <c r="J755" s="41" t="str">
        <f>IF($F755="","",IF($F755&lt;1,ROUND($F755*1440,0),INT($F755/100)*60+MOD($F755,100)))</f>
        <v/>
      </c>
      <c r="K755" s="41" t="str">
        <f>IF($G755="","",IF($G755&lt;1,ROUND($G755*1440,0),INT($G755/100)*60+MOD($G755,100)))</f>
        <v/>
      </c>
    </row>
    <row r="756" ht="15" customHeight="1" s="26">
      <c r="A756" s="34" t="n"/>
      <c r="B756" s="32" t="n"/>
      <c r="C756" s="33" t="n"/>
      <c r="D756" s="37" t="str">
        <f>IF($C756="","",IFERROR(INDEX(프로젝트목록!$B$3:$B$62,MATCH($C756,프로젝트목록!$A$3:$A$62,0)),"미등록코드"))</f>
        <v/>
      </c>
      <c r="E756" s="32" t="n"/>
      <c r="F756" s="38" t="n"/>
      <c r="G756" s="38" t="n"/>
      <c r="H756" s="39" t="n"/>
      <c r="I756" s="40" t="str">
        <f>IF(OR($J756="",$K756=""),"",ROUND(MAX(0,($K756-$J756)-IF($H756="",0,$H756))/60,2))</f>
        <v/>
      </c>
      <c r="J756" s="41" t="str">
        <f>IF($F756="","",IF($F756&lt;1,ROUND($F756*1440,0),INT($F756/100)*60+MOD($F756,100)))</f>
        <v/>
      </c>
      <c r="K756" s="41" t="str">
        <f>IF($G756="","",IF($G756&lt;1,ROUND($G756*1440,0),INT($G756/100)*60+MOD($G756,100)))</f>
        <v/>
      </c>
    </row>
    <row r="757" ht="15" customHeight="1" s="26">
      <c r="A757" s="34" t="n"/>
      <c r="B757" s="32" t="n"/>
      <c r="C757" s="33" t="n"/>
      <c r="D757" s="37" t="str">
        <f>IF($C757="","",IFERROR(INDEX(프로젝트목록!$B$3:$B$62,MATCH($C757,프로젝트목록!$A$3:$A$62,0)),"미등록코드"))</f>
        <v/>
      </c>
      <c r="E757" s="32" t="n"/>
      <c r="F757" s="38" t="n"/>
      <c r="G757" s="38" t="n"/>
      <c r="H757" s="39" t="n"/>
      <c r="I757" s="40" t="str">
        <f>IF(OR($J757="",$K757=""),"",ROUND(MAX(0,($K757-$J757)-IF($H757="",0,$H757))/60,2))</f>
        <v/>
      </c>
      <c r="J757" s="41" t="str">
        <f>IF($F757="","",IF($F757&lt;1,ROUND($F757*1440,0),INT($F757/100)*60+MOD($F757,100)))</f>
        <v/>
      </c>
      <c r="K757" s="41" t="str">
        <f>IF($G757="","",IF($G757&lt;1,ROUND($G757*1440,0),INT($G757/100)*60+MOD($G757,100)))</f>
        <v/>
      </c>
    </row>
    <row r="758" ht="15" customHeight="1" s="26">
      <c r="A758" s="34" t="n"/>
      <c r="B758" s="32" t="n"/>
      <c r="C758" s="33" t="n"/>
      <c r="D758" s="37" t="str">
        <f>IF($C758="","",IFERROR(INDEX(프로젝트목록!$B$3:$B$62,MATCH($C758,프로젝트목록!$A$3:$A$62,0)),"미등록코드"))</f>
        <v/>
      </c>
      <c r="E758" s="32" t="n"/>
      <c r="F758" s="38" t="n"/>
      <c r="G758" s="38" t="n"/>
      <c r="H758" s="39" t="n"/>
      <c r="I758" s="40" t="str">
        <f>IF(OR($J758="",$K758=""),"",ROUND(MAX(0,($K758-$J758)-IF($H758="",0,$H758))/60,2))</f>
        <v/>
      </c>
      <c r="J758" s="41" t="str">
        <f>IF($F758="","",IF($F758&lt;1,ROUND($F758*1440,0),INT($F758/100)*60+MOD($F758,100)))</f>
        <v/>
      </c>
      <c r="K758" s="41" t="str">
        <f>IF($G758="","",IF($G758&lt;1,ROUND($G758*1440,0),INT($G758/100)*60+MOD($G758,100)))</f>
        <v/>
      </c>
    </row>
    <row r="759" ht="15" customHeight="1" s="26">
      <c r="A759" s="34" t="n"/>
      <c r="B759" s="32" t="n"/>
      <c r="C759" s="33" t="n"/>
      <c r="D759" s="37" t="str">
        <f>IF($C759="","",IFERROR(INDEX(프로젝트목록!$B$3:$B$62,MATCH($C759,프로젝트목록!$A$3:$A$62,0)),"미등록코드"))</f>
        <v/>
      </c>
      <c r="E759" s="32" t="n"/>
      <c r="F759" s="38" t="n"/>
      <c r="G759" s="38" t="n"/>
      <c r="H759" s="39" t="n"/>
      <c r="I759" s="40" t="str">
        <f>IF(OR($J759="",$K759=""),"",ROUND(MAX(0,($K759-$J759)-IF($H759="",0,$H759))/60,2))</f>
        <v/>
      </c>
      <c r="J759" s="41" t="str">
        <f>IF($F759="","",IF($F759&lt;1,ROUND($F759*1440,0),INT($F759/100)*60+MOD($F759,100)))</f>
        <v/>
      </c>
      <c r="K759" s="41" t="str">
        <f>IF($G759="","",IF($G759&lt;1,ROUND($G759*1440,0),INT($G759/100)*60+MOD($G759,100)))</f>
        <v/>
      </c>
    </row>
    <row r="760" ht="15" customHeight="1" s="26">
      <c r="A760" s="34" t="n"/>
      <c r="B760" s="32" t="n"/>
      <c r="C760" s="33" t="n"/>
      <c r="D760" s="37" t="str">
        <f>IF($C760="","",IFERROR(INDEX(프로젝트목록!$B$3:$B$62,MATCH($C760,프로젝트목록!$A$3:$A$62,0)),"미등록코드"))</f>
        <v/>
      </c>
      <c r="E760" s="32" t="n"/>
      <c r="F760" s="38" t="n"/>
      <c r="G760" s="38" t="n"/>
      <c r="H760" s="39" t="n"/>
      <c r="I760" s="40" t="str">
        <f>IF(OR($J760="",$K760=""),"",ROUND(MAX(0,($K760-$J760)-IF($H760="",0,$H760))/60,2))</f>
        <v/>
      </c>
      <c r="J760" s="41" t="str">
        <f>IF($F760="","",IF($F760&lt;1,ROUND($F760*1440,0),INT($F760/100)*60+MOD($F760,100)))</f>
        <v/>
      </c>
      <c r="K760" s="41" t="str">
        <f>IF($G760="","",IF($G760&lt;1,ROUND($G760*1440,0),INT($G760/100)*60+MOD($G760,100)))</f>
        <v/>
      </c>
    </row>
    <row r="761" ht="15" customHeight="1" s="26">
      <c r="A761" s="34" t="n"/>
      <c r="B761" s="32" t="n"/>
      <c r="C761" s="33" t="n"/>
      <c r="D761" s="37" t="str">
        <f>IF($C761="","",IFERROR(INDEX(프로젝트목록!$B$3:$B$62,MATCH($C761,프로젝트목록!$A$3:$A$62,0)),"미등록코드"))</f>
        <v/>
      </c>
      <c r="E761" s="32" t="n"/>
      <c r="F761" s="38" t="n"/>
      <c r="G761" s="38" t="n"/>
      <c r="H761" s="39" t="n"/>
      <c r="I761" s="40" t="str">
        <f>IF(OR($J761="",$K761=""),"",ROUND(MAX(0,($K761-$J761)-IF($H761="",0,$H761))/60,2))</f>
        <v/>
      </c>
      <c r="J761" s="41" t="str">
        <f>IF($F761="","",IF($F761&lt;1,ROUND($F761*1440,0),INT($F761/100)*60+MOD($F761,100)))</f>
        <v/>
      </c>
      <c r="K761" s="41" t="str">
        <f>IF($G761="","",IF($G761&lt;1,ROUND($G761*1440,0),INT($G761/100)*60+MOD($G761,100)))</f>
        <v/>
      </c>
    </row>
    <row r="762" ht="15" customHeight="1" s="26">
      <c r="A762" s="34" t="n"/>
      <c r="B762" s="32" t="n"/>
      <c r="C762" s="33" t="n"/>
      <c r="D762" s="37" t="str">
        <f>IF($C762="","",IFERROR(INDEX(프로젝트목록!$B$3:$B$62,MATCH($C762,프로젝트목록!$A$3:$A$62,0)),"미등록코드"))</f>
        <v/>
      </c>
      <c r="E762" s="32" t="n"/>
      <c r="F762" s="38" t="n"/>
      <c r="G762" s="38" t="n"/>
      <c r="H762" s="39" t="n"/>
      <c r="I762" s="40" t="str">
        <f>IF(OR($J762="",$K762=""),"",ROUND(MAX(0,($K762-$J762)-IF($H762="",0,$H762))/60,2))</f>
        <v/>
      </c>
      <c r="J762" s="41" t="str">
        <f>IF($F762="","",IF($F762&lt;1,ROUND($F762*1440,0),INT($F762/100)*60+MOD($F762,100)))</f>
        <v/>
      </c>
      <c r="K762" s="41" t="str">
        <f>IF($G762="","",IF($G762&lt;1,ROUND($G762*1440,0),INT($G762/100)*60+MOD($G762,100)))</f>
        <v/>
      </c>
    </row>
    <row r="763" ht="15" customHeight="1" s="26">
      <c r="A763" s="34" t="n"/>
      <c r="B763" s="32" t="n"/>
      <c r="C763" s="33" t="n"/>
      <c r="D763" s="37" t="str">
        <f>IF($C763="","",IFERROR(INDEX(프로젝트목록!$B$3:$B$62,MATCH($C763,프로젝트목록!$A$3:$A$62,0)),"미등록코드"))</f>
        <v/>
      </c>
      <c r="E763" s="32" t="n"/>
      <c r="F763" s="38" t="n"/>
      <c r="G763" s="38" t="n"/>
      <c r="H763" s="39" t="n"/>
      <c r="I763" s="40" t="str">
        <f>IF(OR($J763="",$K763=""),"",ROUND(MAX(0,($K763-$J763)-IF($H763="",0,$H763))/60,2))</f>
        <v/>
      </c>
      <c r="J763" s="41" t="str">
        <f>IF($F763="","",IF($F763&lt;1,ROUND($F763*1440,0),INT($F763/100)*60+MOD($F763,100)))</f>
        <v/>
      </c>
      <c r="K763" s="41" t="str">
        <f>IF($G763="","",IF($G763&lt;1,ROUND($G763*1440,0),INT($G763/100)*60+MOD($G763,100)))</f>
        <v/>
      </c>
    </row>
    <row r="764" ht="15" customHeight="1" s="26">
      <c r="A764" s="34" t="n"/>
      <c r="B764" s="32" t="n"/>
      <c r="C764" s="33" t="n"/>
      <c r="D764" s="37" t="str">
        <f>IF($C764="","",IFERROR(INDEX(프로젝트목록!$B$3:$B$62,MATCH($C764,프로젝트목록!$A$3:$A$62,0)),"미등록코드"))</f>
        <v/>
      </c>
      <c r="E764" s="32" t="n"/>
      <c r="F764" s="38" t="n"/>
      <c r="G764" s="38" t="n"/>
      <c r="H764" s="39" t="n"/>
      <c r="I764" s="40" t="str">
        <f>IF(OR($J764="",$K764=""),"",ROUND(MAX(0,($K764-$J764)-IF($H764="",0,$H764))/60,2))</f>
        <v/>
      </c>
      <c r="J764" s="41" t="str">
        <f>IF($F764="","",IF($F764&lt;1,ROUND($F764*1440,0),INT($F764/100)*60+MOD($F764,100)))</f>
        <v/>
      </c>
      <c r="K764" s="41" t="str">
        <f>IF($G764="","",IF($G764&lt;1,ROUND($G764*1440,0),INT($G764/100)*60+MOD($G764,100)))</f>
        <v/>
      </c>
    </row>
    <row r="765" ht="15" customHeight="1" s="26">
      <c r="A765" s="34" t="n"/>
      <c r="B765" s="32" t="n"/>
      <c r="C765" s="33" t="n"/>
      <c r="D765" s="37" t="str">
        <f>IF($C765="","",IFERROR(INDEX(프로젝트목록!$B$3:$B$62,MATCH($C765,프로젝트목록!$A$3:$A$62,0)),"미등록코드"))</f>
        <v/>
      </c>
      <c r="E765" s="32" t="n"/>
      <c r="F765" s="38" t="n"/>
      <c r="G765" s="38" t="n"/>
      <c r="H765" s="39" t="n"/>
      <c r="I765" s="40" t="str">
        <f>IF(OR($J765="",$K765=""),"",ROUND(MAX(0,($K765-$J765)-IF($H765="",0,$H765))/60,2))</f>
        <v/>
      </c>
      <c r="J765" s="41" t="str">
        <f>IF($F765="","",IF($F765&lt;1,ROUND($F765*1440,0),INT($F765/100)*60+MOD($F765,100)))</f>
        <v/>
      </c>
      <c r="K765" s="41" t="str">
        <f>IF($G765="","",IF($G765&lt;1,ROUND($G765*1440,0),INT($G765/100)*60+MOD($G765,100)))</f>
        <v/>
      </c>
    </row>
    <row r="766" ht="15" customHeight="1" s="26">
      <c r="A766" s="34" t="n"/>
      <c r="B766" s="32" t="n"/>
      <c r="C766" s="33" t="n"/>
      <c r="D766" s="37" t="str">
        <f>IF($C766="","",IFERROR(INDEX(프로젝트목록!$B$3:$B$62,MATCH($C766,프로젝트목록!$A$3:$A$62,0)),"미등록코드"))</f>
        <v/>
      </c>
      <c r="E766" s="32" t="n"/>
      <c r="F766" s="38" t="n"/>
      <c r="G766" s="38" t="n"/>
      <c r="H766" s="39" t="n"/>
      <c r="I766" s="40" t="str">
        <f>IF(OR($J766="",$K766=""),"",ROUND(MAX(0,($K766-$J766)-IF($H766="",0,$H766))/60,2))</f>
        <v/>
      </c>
      <c r="J766" s="41" t="str">
        <f>IF($F766="","",IF($F766&lt;1,ROUND($F766*1440,0),INT($F766/100)*60+MOD($F766,100)))</f>
        <v/>
      </c>
      <c r="K766" s="41" t="str">
        <f>IF($G766="","",IF($G766&lt;1,ROUND($G766*1440,0),INT($G766/100)*60+MOD($G766,100)))</f>
        <v/>
      </c>
    </row>
    <row r="767" ht="15" customHeight="1" s="26">
      <c r="A767" s="34" t="n"/>
      <c r="B767" s="32" t="n"/>
      <c r="C767" s="33" t="n"/>
      <c r="D767" s="37" t="str">
        <f>IF($C767="","",IFERROR(INDEX(프로젝트목록!$B$3:$B$62,MATCH($C767,프로젝트목록!$A$3:$A$62,0)),"미등록코드"))</f>
        <v/>
      </c>
      <c r="E767" s="32" t="n"/>
      <c r="F767" s="38" t="n"/>
      <c r="G767" s="38" t="n"/>
      <c r="H767" s="39" t="n"/>
      <c r="I767" s="40" t="str">
        <f>IF(OR($J767="",$K767=""),"",ROUND(MAX(0,($K767-$J767)-IF($H767="",0,$H767))/60,2))</f>
        <v/>
      </c>
      <c r="J767" s="41" t="str">
        <f>IF($F767="","",IF($F767&lt;1,ROUND($F767*1440,0),INT($F767/100)*60+MOD($F767,100)))</f>
        <v/>
      </c>
      <c r="K767" s="41" t="str">
        <f>IF($G767="","",IF($G767&lt;1,ROUND($G767*1440,0),INT($G767/100)*60+MOD($G767,100)))</f>
        <v/>
      </c>
    </row>
    <row r="768" ht="15" customHeight="1" s="26">
      <c r="A768" s="34" t="n"/>
      <c r="B768" s="32" t="n"/>
      <c r="C768" s="33" t="n"/>
      <c r="D768" s="37" t="str">
        <f>IF($C768="","",IFERROR(INDEX(프로젝트목록!$B$3:$B$62,MATCH($C768,프로젝트목록!$A$3:$A$62,0)),"미등록코드"))</f>
        <v/>
      </c>
      <c r="E768" s="32" t="n"/>
      <c r="F768" s="38" t="n"/>
      <c r="G768" s="38" t="n"/>
      <c r="H768" s="39" t="n"/>
      <c r="I768" s="40" t="str">
        <f>IF(OR($J768="",$K768=""),"",ROUND(MAX(0,($K768-$J768)-IF($H768="",0,$H768))/60,2))</f>
        <v/>
      </c>
      <c r="J768" s="41" t="str">
        <f>IF($F768="","",IF($F768&lt;1,ROUND($F768*1440,0),INT($F768/100)*60+MOD($F768,100)))</f>
        <v/>
      </c>
      <c r="K768" s="41" t="str">
        <f>IF($G768="","",IF($G768&lt;1,ROUND($G768*1440,0),INT($G768/100)*60+MOD($G768,100)))</f>
        <v/>
      </c>
    </row>
    <row r="769" ht="15" customHeight="1" s="26">
      <c r="A769" s="34" t="n"/>
      <c r="B769" s="32" t="n"/>
      <c r="C769" s="33" t="n"/>
      <c r="D769" s="37" t="str">
        <f>IF($C769="","",IFERROR(INDEX(프로젝트목록!$B$3:$B$62,MATCH($C769,프로젝트목록!$A$3:$A$62,0)),"미등록코드"))</f>
        <v/>
      </c>
      <c r="E769" s="32" t="n"/>
      <c r="F769" s="38" t="n"/>
      <c r="G769" s="38" t="n"/>
      <c r="H769" s="39" t="n"/>
      <c r="I769" s="40" t="str">
        <f>IF(OR($J769="",$K769=""),"",ROUND(MAX(0,($K769-$J769)-IF($H769="",0,$H769))/60,2))</f>
        <v/>
      </c>
      <c r="J769" s="41" t="str">
        <f>IF($F769="","",IF($F769&lt;1,ROUND($F769*1440,0),INT($F769/100)*60+MOD($F769,100)))</f>
        <v/>
      </c>
      <c r="K769" s="41" t="str">
        <f>IF($G769="","",IF($G769&lt;1,ROUND($G769*1440,0),INT($G769/100)*60+MOD($G769,100)))</f>
        <v/>
      </c>
    </row>
    <row r="770" ht="15" customHeight="1" s="26">
      <c r="A770" s="34" t="n"/>
      <c r="B770" s="32" t="n"/>
      <c r="C770" s="33" t="n"/>
      <c r="D770" s="37" t="str">
        <f>IF($C770="","",IFERROR(INDEX(프로젝트목록!$B$3:$B$62,MATCH($C770,프로젝트목록!$A$3:$A$62,0)),"미등록코드"))</f>
        <v/>
      </c>
      <c r="E770" s="32" t="n"/>
      <c r="F770" s="38" t="n"/>
      <c r="G770" s="38" t="n"/>
      <c r="H770" s="39" t="n"/>
      <c r="I770" s="40" t="str">
        <f>IF(OR($J770="",$K770=""),"",ROUND(MAX(0,($K770-$J770)-IF($H770="",0,$H770))/60,2))</f>
        <v/>
      </c>
      <c r="J770" s="41" t="str">
        <f>IF($F770="","",IF($F770&lt;1,ROUND($F770*1440,0),INT($F770/100)*60+MOD($F770,100)))</f>
        <v/>
      </c>
      <c r="K770" s="41" t="str">
        <f>IF($G770="","",IF($G770&lt;1,ROUND($G770*1440,0),INT($G770/100)*60+MOD($G770,100)))</f>
        <v/>
      </c>
    </row>
    <row r="771" ht="15" customHeight="1" s="26">
      <c r="A771" s="34" t="n"/>
      <c r="B771" s="32" t="n"/>
      <c r="C771" s="33" t="n"/>
      <c r="D771" s="37" t="str">
        <f>IF($C771="","",IFERROR(INDEX(프로젝트목록!$B$3:$B$62,MATCH($C771,프로젝트목록!$A$3:$A$62,0)),"미등록코드"))</f>
        <v/>
      </c>
      <c r="E771" s="32" t="n"/>
      <c r="F771" s="38" t="n"/>
      <c r="G771" s="38" t="n"/>
      <c r="H771" s="39" t="n"/>
      <c r="I771" s="40" t="str">
        <f>IF(OR($J771="",$K771=""),"",ROUND(MAX(0,($K771-$J771)-IF($H771="",0,$H771))/60,2))</f>
        <v/>
      </c>
      <c r="J771" s="41" t="str">
        <f>IF($F771="","",IF($F771&lt;1,ROUND($F771*1440,0),INT($F771/100)*60+MOD($F771,100)))</f>
        <v/>
      </c>
      <c r="K771" s="41" t="str">
        <f>IF($G771="","",IF($G771&lt;1,ROUND($G771*1440,0),INT($G771/100)*60+MOD($G771,100)))</f>
        <v/>
      </c>
    </row>
    <row r="772" ht="15" customHeight="1" s="26">
      <c r="A772" s="34" t="n"/>
      <c r="B772" s="32" t="n"/>
      <c r="C772" s="33" t="n"/>
      <c r="D772" s="37" t="str">
        <f>IF($C772="","",IFERROR(INDEX(프로젝트목록!$B$3:$B$62,MATCH($C772,프로젝트목록!$A$3:$A$62,0)),"미등록코드"))</f>
        <v/>
      </c>
      <c r="E772" s="32" t="n"/>
      <c r="F772" s="38" t="n"/>
      <c r="G772" s="38" t="n"/>
      <c r="H772" s="39" t="n"/>
      <c r="I772" s="40" t="str">
        <f>IF(OR($J772="",$K772=""),"",ROUND(MAX(0,($K772-$J772)-IF($H772="",0,$H772))/60,2))</f>
        <v/>
      </c>
      <c r="J772" s="41" t="str">
        <f>IF($F772="","",IF($F772&lt;1,ROUND($F772*1440,0),INT($F772/100)*60+MOD($F772,100)))</f>
        <v/>
      </c>
      <c r="K772" s="41" t="str">
        <f>IF($G772="","",IF($G772&lt;1,ROUND($G772*1440,0),INT($G772/100)*60+MOD($G772,100)))</f>
        <v/>
      </c>
    </row>
    <row r="773" ht="15" customHeight="1" s="26">
      <c r="A773" s="34" t="n"/>
      <c r="B773" s="32" t="n"/>
      <c r="C773" s="33" t="n"/>
      <c r="D773" s="37" t="str">
        <f>IF($C773="","",IFERROR(INDEX(프로젝트목록!$B$3:$B$62,MATCH($C773,프로젝트목록!$A$3:$A$62,0)),"미등록코드"))</f>
        <v/>
      </c>
      <c r="E773" s="32" t="n"/>
      <c r="F773" s="38" t="n"/>
      <c r="G773" s="38" t="n"/>
      <c r="H773" s="39" t="n"/>
      <c r="I773" s="40" t="str">
        <f>IF(OR($J773="",$K773=""),"",ROUND(MAX(0,($K773-$J773)-IF($H773="",0,$H773))/60,2))</f>
        <v/>
      </c>
      <c r="J773" s="41" t="str">
        <f>IF($F773="","",IF($F773&lt;1,ROUND($F773*1440,0),INT($F773/100)*60+MOD($F773,100)))</f>
        <v/>
      </c>
      <c r="K773" s="41" t="str">
        <f>IF($G773="","",IF($G773&lt;1,ROUND($G773*1440,0),INT($G773/100)*60+MOD($G773,100)))</f>
        <v/>
      </c>
    </row>
    <row r="774" ht="15" customHeight="1" s="26">
      <c r="A774" s="34" t="n"/>
      <c r="B774" s="32" t="n"/>
      <c r="C774" s="33" t="n"/>
      <c r="D774" s="37" t="str">
        <f>IF($C774="","",IFERROR(INDEX(프로젝트목록!$B$3:$B$62,MATCH($C774,프로젝트목록!$A$3:$A$62,0)),"미등록코드"))</f>
        <v/>
      </c>
      <c r="E774" s="32" t="n"/>
      <c r="F774" s="38" t="n"/>
      <c r="G774" s="38" t="n"/>
      <c r="H774" s="39" t="n"/>
      <c r="I774" s="40" t="str">
        <f>IF(OR($J774="",$K774=""),"",ROUND(MAX(0,($K774-$J774)-IF($H774="",0,$H774))/60,2))</f>
        <v/>
      </c>
      <c r="J774" s="41" t="str">
        <f>IF($F774="","",IF($F774&lt;1,ROUND($F774*1440,0),INT($F774/100)*60+MOD($F774,100)))</f>
        <v/>
      </c>
      <c r="K774" s="41" t="str">
        <f>IF($G774="","",IF($G774&lt;1,ROUND($G774*1440,0),INT($G774/100)*60+MOD($G774,100)))</f>
        <v/>
      </c>
    </row>
    <row r="775" ht="15" customHeight="1" s="26">
      <c r="A775" s="34" t="n"/>
      <c r="B775" s="32" t="n"/>
      <c r="C775" s="33" t="n"/>
      <c r="D775" s="37" t="str">
        <f>IF($C775="","",IFERROR(INDEX(프로젝트목록!$B$3:$B$62,MATCH($C775,프로젝트목록!$A$3:$A$62,0)),"미등록코드"))</f>
        <v/>
      </c>
      <c r="E775" s="32" t="n"/>
      <c r="F775" s="38" t="n"/>
      <c r="G775" s="38" t="n"/>
      <c r="H775" s="39" t="n"/>
      <c r="I775" s="40" t="str">
        <f>IF(OR($J775="",$K775=""),"",ROUND(MAX(0,($K775-$J775)-IF($H775="",0,$H775))/60,2))</f>
        <v/>
      </c>
      <c r="J775" s="41" t="str">
        <f>IF($F775="","",IF($F775&lt;1,ROUND($F775*1440,0),INT($F775/100)*60+MOD($F775,100)))</f>
        <v/>
      </c>
      <c r="K775" s="41" t="str">
        <f>IF($G775="","",IF($G775&lt;1,ROUND($G775*1440,0),INT($G775/100)*60+MOD($G775,100)))</f>
        <v/>
      </c>
    </row>
    <row r="776" ht="15" customHeight="1" s="26">
      <c r="A776" s="34" t="n"/>
      <c r="B776" s="32" t="n"/>
      <c r="C776" s="33" t="n"/>
      <c r="D776" s="37" t="str">
        <f>IF($C776="","",IFERROR(INDEX(프로젝트목록!$B$3:$B$62,MATCH($C776,프로젝트목록!$A$3:$A$62,0)),"미등록코드"))</f>
        <v/>
      </c>
      <c r="E776" s="32" t="n"/>
      <c r="F776" s="38" t="n"/>
      <c r="G776" s="38" t="n"/>
      <c r="H776" s="39" t="n"/>
      <c r="I776" s="40" t="str">
        <f>IF(OR($J776="",$K776=""),"",ROUND(MAX(0,($K776-$J776)-IF($H776="",0,$H776))/60,2))</f>
        <v/>
      </c>
      <c r="J776" s="41" t="str">
        <f>IF($F776="","",IF($F776&lt;1,ROUND($F776*1440,0),INT($F776/100)*60+MOD($F776,100)))</f>
        <v/>
      </c>
      <c r="K776" s="41" t="str">
        <f>IF($G776="","",IF($G776&lt;1,ROUND($G776*1440,0),INT($G776/100)*60+MOD($G776,100)))</f>
        <v/>
      </c>
    </row>
    <row r="777" ht="15" customHeight="1" s="26">
      <c r="A777" s="34" t="n"/>
      <c r="B777" s="32" t="n"/>
      <c r="C777" s="33" t="n"/>
      <c r="D777" s="37" t="str">
        <f>IF($C777="","",IFERROR(INDEX(프로젝트목록!$B$3:$B$62,MATCH($C777,프로젝트목록!$A$3:$A$62,0)),"미등록코드"))</f>
        <v/>
      </c>
      <c r="E777" s="32" t="n"/>
      <c r="F777" s="38" t="n"/>
      <c r="G777" s="38" t="n"/>
      <c r="H777" s="39" t="n"/>
      <c r="I777" s="40" t="str">
        <f>IF(OR($J777="",$K777=""),"",ROUND(MAX(0,($K777-$J777)-IF($H777="",0,$H777))/60,2))</f>
        <v/>
      </c>
      <c r="J777" s="41" t="str">
        <f>IF($F777="","",IF($F777&lt;1,ROUND($F777*1440,0),INT($F777/100)*60+MOD($F777,100)))</f>
        <v/>
      </c>
      <c r="K777" s="41" t="str">
        <f>IF($G777="","",IF($G777&lt;1,ROUND($G777*1440,0),INT($G777/100)*60+MOD($G777,100)))</f>
        <v/>
      </c>
    </row>
    <row r="778" ht="15" customHeight="1" s="26">
      <c r="A778" s="34" t="n"/>
      <c r="B778" s="32" t="n"/>
      <c r="C778" s="33" t="n"/>
      <c r="D778" s="37" t="str">
        <f>IF($C778="","",IFERROR(INDEX(프로젝트목록!$B$3:$B$62,MATCH($C778,프로젝트목록!$A$3:$A$62,0)),"미등록코드"))</f>
        <v/>
      </c>
      <c r="E778" s="32" t="n"/>
      <c r="F778" s="38" t="n"/>
      <c r="G778" s="38" t="n"/>
      <c r="H778" s="39" t="n"/>
      <c r="I778" s="40" t="str">
        <f>IF(OR($J778="",$K778=""),"",ROUND(MAX(0,($K778-$J778)-IF($H778="",0,$H778))/60,2))</f>
        <v/>
      </c>
      <c r="J778" s="41" t="str">
        <f>IF($F778="","",IF($F778&lt;1,ROUND($F778*1440,0),INT($F778/100)*60+MOD($F778,100)))</f>
        <v/>
      </c>
      <c r="K778" s="41" t="str">
        <f>IF($G778="","",IF($G778&lt;1,ROUND($G778*1440,0),INT($G778/100)*60+MOD($G778,100)))</f>
        <v/>
      </c>
    </row>
    <row r="779" ht="15" customHeight="1" s="26">
      <c r="A779" s="34" t="n"/>
      <c r="B779" s="32" t="n"/>
      <c r="C779" s="33" t="n"/>
      <c r="D779" s="37" t="str">
        <f>IF($C779="","",IFERROR(INDEX(프로젝트목록!$B$3:$B$62,MATCH($C779,프로젝트목록!$A$3:$A$62,0)),"미등록코드"))</f>
        <v/>
      </c>
      <c r="E779" s="32" t="n"/>
      <c r="F779" s="38" t="n"/>
      <c r="G779" s="38" t="n"/>
      <c r="H779" s="39" t="n"/>
      <c r="I779" s="40" t="str">
        <f>IF(OR($J779="",$K779=""),"",ROUND(MAX(0,($K779-$J779)-IF($H779="",0,$H779))/60,2))</f>
        <v/>
      </c>
      <c r="J779" s="41" t="str">
        <f>IF($F779="","",IF($F779&lt;1,ROUND($F779*1440,0),INT($F779/100)*60+MOD($F779,100)))</f>
        <v/>
      </c>
      <c r="K779" s="41" t="str">
        <f>IF($G779="","",IF($G779&lt;1,ROUND($G779*1440,0),INT($G779/100)*60+MOD($G779,100)))</f>
        <v/>
      </c>
    </row>
    <row r="780" ht="15" customHeight="1" s="26">
      <c r="A780" s="34" t="n"/>
      <c r="B780" s="32" t="n"/>
      <c r="C780" s="33" t="n"/>
      <c r="D780" s="37" t="str">
        <f>IF($C780="","",IFERROR(INDEX(프로젝트목록!$B$3:$B$62,MATCH($C780,프로젝트목록!$A$3:$A$62,0)),"미등록코드"))</f>
        <v/>
      </c>
      <c r="E780" s="32" t="n"/>
      <c r="F780" s="38" t="n"/>
      <c r="G780" s="38" t="n"/>
      <c r="H780" s="39" t="n"/>
      <c r="I780" s="40" t="str">
        <f>IF(OR($J780="",$K780=""),"",ROUND(MAX(0,($K780-$J780)-IF($H780="",0,$H780))/60,2))</f>
        <v/>
      </c>
      <c r="J780" s="41" t="str">
        <f>IF($F780="","",IF($F780&lt;1,ROUND($F780*1440,0),INT($F780/100)*60+MOD($F780,100)))</f>
        <v/>
      </c>
      <c r="K780" s="41" t="str">
        <f>IF($G780="","",IF($G780&lt;1,ROUND($G780*1440,0),INT($G780/100)*60+MOD($G780,100)))</f>
        <v/>
      </c>
    </row>
    <row r="781" ht="15" customHeight="1" s="26">
      <c r="A781" s="34" t="n"/>
      <c r="B781" s="32" t="n"/>
      <c r="C781" s="33" t="n"/>
      <c r="D781" s="37" t="str">
        <f>IF($C781="","",IFERROR(INDEX(프로젝트목록!$B$3:$B$62,MATCH($C781,프로젝트목록!$A$3:$A$62,0)),"미등록코드"))</f>
        <v/>
      </c>
      <c r="E781" s="32" t="n"/>
      <c r="F781" s="38" t="n"/>
      <c r="G781" s="38" t="n"/>
      <c r="H781" s="39" t="n"/>
      <c r="I781" s="40" t="str">
        <f>IF(OR($J781="",$K781=""),"",ROUND(MAX(0,($K781-$J781)-IF($H781="",0,$H781))/60,2))</f>
        <v/>
      </c>
      <c r="J781" s="41" t="str">
        <f>IF($F781="","",IF($F781&lt;1,ROUND($F781*1440,0),INT($F781/100)*60+MOD($F781,100)))</f>
        <v/>
      </c>
      <c r="K781" s="41" t="str">
        <f>IF($G781="","",IF($G781&lt;1,ROUND($G781*1440,0),INT($G781/100)*60+MOD($G781,100)))</f>
        <v/>
      </c>
    </row>
    <row r="782" ht="15" customHeight="1" s="26">
      <c r="A782" s="34" t="n"/>
      <c r="B782" s="32" t="n"/>
      <c r="C782" s="33" t="n"/>
      <c r="D782" s="37" t="str">
        <f>IF($C782="","",IFERROR(INDEX(프로젝트목록!$B$3:$B$62,MATCH($C782,프로젝트목록!$A$3:$A$62,0)),"미등록코드"))</f>
        <v/>
      </c>
      <c r="E782" s="32" t="n"/>
      <c r="F782" s="38" t="n"/>
      <c r="G782" s="38" t="n"/>
      <c r="H782" s="39" t="n"/>
      <c r="I782" s="40" t="str">
        <f>IF(OR($J782="",$K782=""),"",ROUND(MAX(0,($K782-$J782)-IF($H782="",0,$H782))/60,2))</f>
        <v/>
      </c>
      <c r="J782" s="41" t="str">
        <f>IF($F782="","",IF($F782&lt;1,ROUND($F782*1440,0),INT($F782/100)*60+MOD($F782,100)))</f>
        <v/>
      </c>
      <c r="K782" s="41" t="str">
        <f>IF($G782="","",IF($G782&lt;1,ROUND($G782*1440,0),INT($G782/100)*60+MOD($G782,100)))</f>
        <v/>
      </c>
    </row>
    <row r="783" ht="15" customHeight="1" s="26">
      <c r="A783" s="34" t="n"/>
      <c r="B783" s="32" t="n"/>
      <c r="C783" s="33" t="n"/>
      <c r="D783" s="37" t="str">
        <f>IF($C783="","",IFERROR(INDEX(프로젝트목록!$B$3:$B$62,MATCH($C783,프로젝트목록!$A$3:$A$62,0)),"미등록코드"))</f>
        <v/>
      </c>
      <c r="E783" s="32" t="n"/>
      <c r="F783" s="38" t="n"/>
      <c r="G783" s="38" t="n"/>
      <c r="H783" s="39" t="n"/>
      <c r="I783" s="40" t="str">
        <f>IF(OR($J783="",$K783=""),"",ROUND(MAX(0,($K783-$J783)-IF($H783="",0,$H783))/60,2))</f>
        <v/>
      </c>
      <c r="J783" s="41" t="str">
        <f>IF($F783="","",IF($F783&lt;1,ROUND($F783*1440,0),INT($F783/100)*60+MOD($F783,100)))</f>
        <v/>
      </c>
      <c r="K783" s="41" t="str">
        <f>IF($G783="","",IF($G783&lt;1,ROUND($G783*1440,0),INT($G783/100)*60+MOD($G783,100)))</f>
        <v/>
      </c>
    </row>
    <row r="784" ht="15" customHeight="1" s="26">
      <c r="A784" s="34" t="n"/>
      <c r="B784" s="32" t="n"/>
      <c r="C784" s="33" t="n"/>
      <c r="D784" s="37" t="str">
        <f>IF($C784="","",IFERROR(INDEX(프로젝트목록!$B$3:$B$62,MATCH($C784,프로젝트목록!$A$3:$A$62,0)),"미등록코드"))</f>
        <v/>
      </c>
      <c r="E784" s="32" t="n"/>
      <c r="F784" s="38" t="n"/>
      <c r="G784" s="38" t="n"/>
      <c r="H784" s="39" t="n"/>
      <c r="I784" s="40" t="str">
        <f>IF(OR($J784="",$K784=""),"",ROUND(MAX(0,($K784-$J784)-IF($H784="",0,$H784))/60,2))</f>
        <v/>
      </c>
      <c r="J784" s="41" t="str">
        <f>IF($F784="","",IF($F784&lt;1,ROUND($F784*1440,0),INT($F784/100)*60+MOD($F784,100)))</f>
        <v/>
      </c>
      <c r="K784" s="41" t="str">
        <f>IF($G784="","",IF($G784&lt;1,ROUND($G784*1440,0),INT($G784/100)*60+MOD($G784,100)))</f>
        <v/>
      </c>
    </row>
    <row r="785" ht="15" customHeight="1" s="26">
      <c r="A785" s="34" t="n"/>
      <c r="B785" s="32" t="n"/>
      <c r="C785" s="33" t="n"/>
      <c r="D785" s="37" t="str">
        <f>IF($C785="","",IFERROR(INDEX(프로젝트목록!$B$3:$B$62,MATCH($C785,프로젝트목록!$A$3:$A$62,0)),"미등록코드"))</f>
        <v/>
      </c>
      <c r="E785" s="32" t="n"/>
      <c r="F785" s="38" t="n"/>
      <c r="G785" s="38" t="n"/>
      <c r="H785" s="39" t="n"/>
      <c r="I785" s="40" t="str">
        <f>IF(OR($J785="",$K785=""),"",ROUND(MAX(0,($K785-$J785)-IF($H785="",0,$H785))/60,2))</f>
        <v/>
      </c>
      <c r="J785" s="41" t="str">
        <f>IF($F785="","",IF($F785&lt;1,ROUND($F785*1440,0),INT($F785/100)*60+MOD($F785,100)))</f>
        <v/>
      </c>
      <c r="K785" s="41" t="str">
        <f>IF($G785="","",IF($G785&lt;1,ROUND($G785*1440,0),INT($G785/100)*60+MOD($G785,100)))</f>
        <v/>
      </c>
    </row>
    <row r="786" ht="15" customHeight="1" s="26">
      <c r="A786" s="34" t="n"/>
      <c r="B786" s="32" t="n"/>
      <c r="C786" s="33" t="n"/>
      <c r="D786" s="37" t="str">
        <f>IF($C786="","",IFERROR(INDEX(프로젝트목록!$B$3:$B$62,MATCH($C786,프로젝트목록!$A$3:$A$62,0)),"미등록코드"))</f>
        <v/>
      </c>
      <c r="E786" s="32" t="n"/>
      <c r="F786" s="38" t="n"/>
      <c r="G786" s="38" t="n"/>
      <c r="H786" s="39" t="n"/>
      <c r="I786" s="40" t="str">
        <f>IF(OR($J786="",$K786=""),"",ROUND(MAX(0,($K786-$J786)-IF($H786="",0,$H786))/60,2))</f>
        <v/>
      </c>
      <c r="J786" s="41" t="str">
        <f>IF($F786="","",IF($F786&lt;1,ROUND($F786*1440,0),INT($F786/100)*60+MOD($F786,100)))</f>
        <v/>
      </c>
      <c r="K786" s="41" t="str">
        <f>IF($G786="","",IF($G786&lt;1,ROUND($G786*1440,0),INT($G786/100)*60+MOD($G786,100)))</f>
        <v/>
      </c>
    </row>
    <row r="787" ht="15" customHeight="1" s="26">
      <c r="A787" s="34" t="n"/>
      <c r="B787" s="32" t="n"/>
      <c r="C787" s="33" t="n"/>
      <c r="D787" s="37" t="str">
        <f>IF($C787="","",IFERROR(INDEX(프로젝트목록!$B$3:$B$62,MATCH($C787,프로젝트목록!$A$3:$A$62,0)),"미등록코드"))</f>
        <v/>
      </c>
      <c r="E787" s="32" t="n"/>
      <c r="F787" s="38" t="n"/>
      <c r="G787" s="38" t="n"/>
      <c r="H787" s="39" t="n"/>
      <c r="I787" s="40" t="str">
        <f>IF(OR($J787="",$K787=""),"",ROUND(MAX(0,($K787-$J787)-IF($H787="",0,$H787))/60,2))</f>
        <v/>
      </c>
      <c r="J787" s="41" t="str">
        <f>IF($F787="","",IF($F787&lt;1,ROUND($F787*1440,0),INT($F787/100)*60+MOD($F787,100)))</f>
        <v/>
      </c>
      <c r="K787" s="41" t="str">
        <f>IF($G787="","",IF($G787&lt;1,ROUND($G787*1440,0),INT($G787/100)*60+MOD($G787,100)))</f>
        <v/>
      </c>
    </row>
    <row r="788" ht="15" customHeight="1" s="26">
      <c r="A788" s="34" t="n"/>
      <c r="B788" s="32" t="n"/>
      <c r="C788" s="33" t="n"/>
      <c r="D788" s="37" t="str">
        <f>IF($C788="","",IFERROR(INDEX(프로젝트목록!$B$3:$B$62,MATCH($C788,프로젝트목록!$A$3:$A$62,0)),"미등록코드"))</f>
        <v/>
      </c>
      <c r="E788" s="32" t="n"/>
      <c r="F788" s="38" t="n"/>
      <c r="G788" s="38" t="n"/>
      <c r="H788" s="39" t="n"/>
      <c r="I788" s="40" t="str">
        <f>IF(OR($J788="",$K788=""),"",ROUND(MAX(0,($K788-$J788)-IF($H788="",0,$H788))/60,2))</f>
        <v/>
      </c>
      <c r="J788" s="41" t="str">
        <f>IF($F788="","",IF($F788&lt;1,ROUND($F788*1440,0),INT($F788/100)*60+MOD($F788,100)))</f>
        <v/>
      </c>
      <c r="K788" s="41" t="str">
        <f>IF($G788="","",IF($G788&lt;1,ROUND($G788*1440,0),INT($G788/100)*60+MOD($G788,100)))</f>
        <v/>
      </c>
    </row>
    <row r="789" ht="15" customHeight="1" s="26">
      <c r="A789" s="34" t="n"/>
      <c r="B789" s="32" t="n"/>
      <c r="C789" s="33" t="n"/>
      <c r="D789" s="37" t="str">
        <f>IF($C789="","",IFERROR(INDEX(프로젝트목록!$B$3:$B$62,MATCH($C789,프로젝트목록!$A$3:$A$62,0)),"미등록코드"))</f>
        <v/>
      </c>
      <c r="E789" s="32" t="n"/>
      <c r="F789" s="38" t="n"/>
      <c r="G789" s="38" t="n"/>
      <c r="H789" s="39" t="n"/>
      <c r="I789" s="40" t="str">
        <f>IF(OR($J789="",$K789=""),"",ROUND(MAX(0,($K789-$J789)-IF($H789="",0,$H789))/60,2))</f>
        <v/>
      </c>
      <c r="J789" s="41" t="str">
        <f>IF($F789="","",IF($F789&lt;1,ROUND($F789*1440,0),INT($F789/100)*60+MOD($F789,100)))</f>
        <v/>
      </c>
      <c r="K789" s="41" t="str">
        <f>IF($G789="","",IF($G789&lt;1,ROUND($G789*1440,0),INT($G789/100)*60+MOD($G789,100)))</f>
        <v/>
      </c>
    </row>
    <row r="790" ht="15" customHeight="1" s="26">
      <c r="A790" s="34" t="n"/>
      <c r="B790" s="32" t="n"/>
      <c r="C790" s="33" t="n"/>
      <c r="D790" s="37" t="str">
        <f>IF($C790="","",IFERROR(INDEX(프로젝트목록!$B$3:$B$62,MATCH($C790,프로젝트목록!$A$3:$A$62,0)),"미등록코드"))</f>
        <v/>
      </c>
      <c r="E790" s="32" t="n"/>
      <c r="F790" s="38" t="n"/>
      <c r="G790" s="38" t="n"/>
      <c r="H790" s="39" t="n"/>
      <c r="I790" s="40" t="str">
        <f>IF(OR($J790="",$K790=""),"",ROUND(MAX(0,($K790-$J790)-IF($H790="",0,$H790))/60,2))</f>
        <v/>
      </c>
      <c r="J790" s="41" t="str">
        <f>IF($F790="","",IF($F790&lt;1,ROUND($F790*1440,0),INT($F790/100)*60+MOD($F790,100)))</f>
        <v/>
      </c>
      <c r="K790" s="41" t="str">
        <f>IF($G790="","",IF($G790&lt;1,ROUND($G790*1440,0),INT($G790/100)*60+MOD($G790,100)))</f>
        <v/>
      </c>
    </row>
    <row r="791" ht="15" customHeight="1" s="26">
      <c r="A791" s="34" t="n"/>
      <c r="B791" s="32" t="n"/>
      <c r="C791" s="33" t="n"/>
      <c r="D791" s="37" t="str">
        <f>IF($C791="","",IFERROR(INDEX(프로젝트목록!$B$3:$B$62,MATCH($C791,프로젝트목록!$A$3:$A$62,0)),"미등록코드"))</f>
        <v/>
      </c>
      <c r="E791" s="32" t="n"/>
      <c r="F791" s="38" t="n"/>
      <c r="G791" s="38" t="n"/>
      <c r="H791" s="39" t="n"/>
      <c r="I791" s="40" t="str">
        <f>IF(OR($J791="",$K791=""),"",ROUND(MAX(0,($K791-$J791)-IF($H791="",0,$H791))/60,2))</f>
        <v/>
      </c>
      <c r="J791" s="41" t="str">
        <f>IF($F791="","",IF($F791&lt;1,ROUND($F791*1440,0),INT($F791/100)*60+MOD($F791,100)))</f>
        <v/>
      </c>
      <c r="K791" s="41" t="str">
        <f>IF($G791="","",IF($G791&lt;1,ROUND($G791*1440,0),INT($G791/100)*60+MOD($G791,100)))</f>
        <v/>
      </c>
    </row>
    <row r="792" ht="15" customHeight="1" s="26">
      <c r="A792" s="34" t="n"/>
      <c r="B792" s="32" t="n"/>
      <c r="C792" s="33" t="n"/>
      <c r="D792" s="37" t="str">
        <f>IF($C792="","",IFERROR(INDEX(프로젝트목록!$B$3:$B$62,MATCH($C792,프로젝트목록!$A$3:$A$62,0)),"미등록코드"))</f>
        <v/>
      </c>
      <c r="E792" s="32" t="n"/>
      <c r="F792" s="38" t="n"/>
      <c r="G792" s="38" t="n"/>
      <c r="H792" s="39" t="n"/>
      <c r="I792" s="40" t="str">
        <f>IF(OR($J792="",$K792=""),"",ROUND(MAX(0,($K792-$J792)-IF($H792="",0,$H792))/60,2))</f>
        <v/>
      </c>
      <c r="J792" s="41" t="str">
        <f>IF($F792="","",IF($F792&lt;1,ROUND($F792*1440,0),INT($F792/100)*60+MOD($F792,100)))</f>
        <v/>
      </c>
      <c r="K792" s="41" t="str">
        <f>IF($G792="","",IF($G792&lt;1,ROUND($G792*1440,0),INT($G792/100)*60+MOD($G792,100)))</f>
        <v/>
      </c>
    </row>
    <row r="793" ht="15" customHeight="1" s="26">
      <c r="A793" s="34" t="n"/>
      <c r="B793" s="32" t="n"/>
      <c r="C793" s="33" t="n"/>
      <c r="D793" s="37" t="str">
        <f>IF($C793="","",IFERROR(INDEX(프로젝트목록!$B$3:$B$62,MATCH($C793,프로젝트목록!$A$3:$A$62,0)),"미등록코드"))</f>
        <v/>
      </c>
      <c r="E793" s="32" t="n"/>
      <c r="F793" s="38" t="n"/>
      <c r="G793" s="38" t="n"/>
      <c r="H793" s="39" t="n"/>
      <c r="I793" s="40" t="str">
        <f>IF(OR($J793="",$K793=""),"",ROUND(MAX(0,($K793-$J793)-IF($H793="",0,$H793))/60,2))</f>
        <v/>
      </c>
      <c r="J793" s="41" t="str">
        <f>IF($F793="","",IF($F793&lt;1,ROUND($F793*1440,0),INT($F793/100)*60+MOD($F793,100)))</f>
        <v/>
      </c>
      <c r="K793" s="41" t="str">
        <f>IF($G793="","",IF($G793&lt;1,ROUND($G793*1440,0),INT($G793/100)*60+MOD($G793,100)))</f>
        <v/>
      </c>
    </row>
    <row r="794" ht="15" customHeight="1" s="26">
      <c r="A794" s="34" t="n"/>
      <c r="B794" s="32" t="n"/>
      <c r="C794" s="33" t="n"/>
      <c r="D794" s="37" t="str">
        <f>IF($C794="","",IFERROR(INDEX(프로젝트목록!$B$3:$B$62,MATCH($C794,프로젝트목록!$A$3:$A$62,0)),"미등록코드"))</f>
        <v/>
      </c>
      <c r="E794" s="32" t="n"/>
      <c r="F794" s="38" t="n"/>
      <c r="G794" s="38" t="n"/>
      <c r="H794" s="39" t="n"/>
      <c r="I794" s="40" t="str">
        <f>IF(OR($J794="",$K794=""),"",ROUND(MAX(0,($K794-$J794)-IF($H794="",0,$H794))/60,2))</f>
        <v/>
      </c>
      <c r="J794" s="41" t="str">
        <f>IF($F794="","",IF($F794&lt;1,ROUND($F794*1440,0),INT($F794/100)*60+MOD($F794,100)))</f>
        <v/>
      </c>
      <c r="K794" s="41" t="str">
        <f>IF($G794="","",IF($G794&lt;1,ROUND($G794*1440,0),INT($G794/100)*60+MOD($G794,100)))</f>
        <v/>
      </c>
    </row>
    <row r="795" ht="15" customHeight="1" s="26">
      <c r="A795" s="34" t="n"/>
      <c r="B795" s="32" t="n"/>
      <c r="C795" s="33" t="n"/>
      <c r="D795" s="37" t="str">
        <f>IF($C795="","",IFERROR(INDEX(프로젝트목록!$B$3:$B$62,MATCH($C795,프로젝트목록!$A$3:$A$62,0)),"미등록코드"))</f>
        <v/>
      </c>
      <c r="E795" s="32" t="n"/>
      <c r="F795" s="38" t="n"/>
      <c r="G795" s="38" t="n"/>
      <c r="H795" s="39" t="n"/>
      <c r="I795" s="40" t="str">
        <f>IF(OR($J795="",$K795=""),"",ROUND(MAX(0,($K795-$J795)-IF($H795="",0,$H795))/60,2))</f>
        <v/>
      </c>
      <c r="J795" s="41" t="str">
        <f>IF($F795="","",IF($F795&lt;1,ROUND($F795*1440,0),INT($F795/100)*60+MOD($F795,100)))</f>
        <v/>
      </c>
      <c r="K795" s="41" t="str">
        <f>IF($G795="","",IF($G795&lt;1,ROUND($G795*1440,0),INT($G795/100)*60+MOD($G795,100)))</f>
        <v/>
      </c>
    </row>
    <row r="796" ht="15" customHeight="1" s="26">
      <c r="A796" s="34" t="n"/>
      <c r="B796" s="32" t="n"/>
      <c r="C796" s="33" t="n"/>
      <c r="D796" s="37" t="str">
        <f>IF($C796="","",IFERROR(INDEX(프로젝트목록!$B$3:$B$62,MATCH($C796,프로젝트목록!$A$3:$A$62,0)),"미등록코드"))</f>
        <v/>
      </c>
      <c r="E796" s="32" t="n"/>
      <c r="F796" s="38" t="n"/>
      <c r="G796" s="38" t="n"/>
      <c r="H796" s="39" t="n"/>
      <c r="I796" s="40" t="str">
        <f>IF(OR($J796="",$K796=""),"",ROUND(MAX(0,($K796-$J796)-IF($H796="",0,$H796))/60,2))</f>
        <v/>
      </c>
      <c r="J796" s="41" t="str">
        <f>IF($F796="","",IF($F796&lt;1,ROUND($F796*1440,0),INT($F796/100)*60+MOD($F796,100)))</f>
        <v/>
      </c>
      <c r="K796" s="41" t="str">
        <f>IF($G796="","",IF($G796&lt;1,ROUND($G796*1440,0),INT($G796/100)*60+MOD($G796,100)))</f>
        <v/>
      </c>
    </row>
    <row r="797" ht="15" customHeight="1" s="26">
      <c r="A797" s="34" t="n"/>
      <c r="B797" s="32" t="n"/>
      <c r="C797" s="33" t="n"/>
      <c r="D797" s="37" t="str">
        <f>IF($C797="","",IFERROR(INDEX(프로젝트목록!$B$3:$B$62,MATCH($C797,프로젝트목록!$A$3:$A$62,0)),"미등록코드"))</f>
        <v/>
      </c>
      <c r="E797" s="32" t="n"/>
      <c r="F797" s="38" t="n"/>
      <c r="G797" s="38" t="n"/>
      <c r="H797" s="39" t="n"/>
      <c r="I797" s="40" t="str">
        <f>IF(OR($J797="",$K797=""),"",ROUND(MAX(0,($K797-$J797)-IF($H797="",0,$H797))/60,2))</f>
        <v/>
      </c>
      <c r="J797" s="41" t="str">
        <f>IF($F797="","",IF($F797&lt;1,ROUND($F797*1440,0),INT($F797/100)*60+MOD($F797,100)))</f>
        <v/>
      </c>
      <c r="K797" s="41" t="str">
        <f>IF($G797="","",IF($G797&lt;1,ROUND($G797*1440,0),INT($G797/100)*60+MOD($G797,100)))</f>
        <v/>
      </c>
    </row>
    <row r="798" ht="15" customHeight="1" s="26">
      <c r="A798" s="34" t="n"/>
      <c r="B798" s="32" t="n"/>
      <c r="C798" s="33" t="n"/>
      <c r="D798" s="37" t="str">
        <f>IF($C798="","",IFERROR(INDEX(프로젝트목록!$B$3:$B$62,MATCH($C798,프로젝트목록!$A$3:$A$62,0)),"미등록코드"))</f>
        <v/>
      </c>
      <c r="E798" s="32" t="n"/>
      <c r="F798" s="38" t="n"/>
      <c r="G798" s="38" t="n"/>
      <c r="H798" s="39" t="n"/>
      <c r="I798" s="40" t="str">
        <f>IF(OR($J798="",$K798=""),"",ROUND(MAX(0,($K798-$J798)-IF($H798="",0,$H798))/60,2))</f>
        <v/>
      </c>
      <c r="J798" s="41" t="str">
        <f>IF($F798="","",IF($F798&lt;1,ROUND($F798*1440,0),INT($F798/100)*60+MOD($F798,100)))</f>
        <v/>
      </c>
      <c r="K798" s="41" t="str">
        <f>IF($G798="","",IF($G798&lt;1,ROUND($G798*1440,0),INT($G798/100)*60+MOD($G798,100)))</f>
        <v/>
      </c>
    </row>
    <row r="799" ht="15" customHeight="1" s="26">
      <c r="A799" s="34" t="n"/>
      <c r="B799" s="32" t="n"/>
      <c r="C799" s="33" t="n"/>
      <c r="D799" s="37" t="str">
        <f>IF($C799="","",IFERROR(INDEX(프로젝트목록!$B$3:$B$62,MATCH($C799,프로젝트목록!$A$3:$A$62,0)),"미등록코드"))</f>
        <v/>
      </c>
      <c r="E799" s="32" t="n"/>
      <c r="F799" s="38" t="n"/>
      <c r="G799" s="38" t="n"/>
      <c r="H799" s="39" t="n"/>
      <c r="I799" s="40" t="str">
        <f>IF(OR($J799="",$K799=""),"",ROUND(MAX(0,($K799-$J799)-IF($H799="",0,$H799))/60,2))</f>
        <v/>
      </c>
      <c r="J799" s="41" t="str">
        <f>IF($F799="","",IF($F799&lt;1,ROUND($F799*1440,0),INT($F799/100)*60+MOD($F799,100)))</f>
        <v/>
      </c>
      <c r="K799" s="41" t="str">
        <f>IF($G799="","",IF($G799&lt;1,ROUND($G799*1440,0),INT($G799/100)*60+MOD($G799,100)))</f>
        <v/>
      </c>
    </row>
    <row r="800" ht="15" customHeight="1" s="26">
      <c r="A800" s="34" t="n"/>
      <c r="B800" s="32" t="n"/>
      <c r="C800" s="33" t="n"/>
      <c r="D800" s="37" t="str">
        <f>IF($C800="","",IFERROR(INDEX(프로젝트목록!$B$3:$B$62,MATCH($C800,프로젝트목록!$A$3:$A$62,0)),"미등록코드"))</f>
        <v/>
      </c>
      <c r="E800" s="32" t="n"/>
      <c r="F800" s="38" t="n"/>
      <c r="G800" s="38" t="n"/>
      <c r="H800" s="39" t="n"/>
      <c r="I800" s="40" t="str">
        <f>IF(OR($J800="",$K800=""),"",ROUND(MAX(0,($K800-$J800)-IF($H800="",0,$H800))/60,2))</f>
        <v/>
      </c>
      <c r="J800" s="41" t="str">
        <f>IF($F800="","",IF($F800&lt;1,ROUND($F800*1440,0),INT($F800/100)*60+MOD($F800,100)))</f>
        <v/>
      </c>
      <c r="K800" s="41" t="str">
        <f>IF($G800="","",IF($G800&lt;1,ROUND($G800*1440,0),INT($G800/100)*60+MOD($G800,100)))</f>
        <v/>
      </c>
    </row>
    <row r="801" ht="15" customHeight="1" s="26">
      <c r="A801" s="34" t="n"/>
      <c r="B801" s="32" t="n"/>
      <c r="C801" s="33" t="n"/>
      <c r="D801" s="37" t="str">
        <f>IF($C801="","",IFERROR(INDEX(프로젝트목록!$B$3:$B$62,MATCH($C801,프로젝트목록!$A$3:$A$62,0)),"미등록코드"))</f>
        <v/>
      </c>
      <c r="E801" s="32" t="n"/>
      <c r="F801" s="38" t="n"/>
      <c r="G801" s="38" t="n"/>
      <c r="H801" s="39" t="n"/>
      <c r="I801" s="40" t="str">
        <f>IF(OR($J801="",$K801=""),"",ROUND(MAX(0,($K801-$J801)-IF($H801="",0,$H801))/60,2))</f>
        <v/>
      </c>
      <c r="J801" s="41" t="str">
        <f>IF($F801="","",IF($F801&lt;1,ROUND($F801*1440,0),INT($F801/100)*60+MOD($F801,100)))</f>
        <v/>
      </c>
      <c r="K801" s="41" t="str">
        <f>IF($G801="","",IF($G801&lt;1,ROUND($G801*1440,0),INT($G801/100)*60+MOD($G801,100)))</f>
        <v/>
      </c>
    </row>
    <row r="802" ht="15" customHeight="1" s="26">
      <c r="A802" s="34" t="n"/>
      <c r="B802" s="32" t="n"/>
      <c r="C802" s="33" t="n"/>
      <c r="D802" s="37" t="str">
        <f>IF($C802="","",IFERROR(INDEX(프로젝트목록!$B$3:$B$62,MATCH($C802,프로젝트목록!$A$3:$A$62,0)),"미등록코드"))</f>
        <v/>
      </c>
      <c r="E802" s="32" t="n"/>
      <c r="F802" s="38" t="n"/>
      <c r="G802" s="38" t="n"/>
      <c r="H802" s="39" t="n"/>
      <c r="I802" s="40" t="str">
        <f>IF(OR($J802="",$K802=""),"",ROUND(MAX(0,($K802-$J802)-IF($H802="",0,$H802))/60,2))</f>
        <v/>
      </c>
      <c r="J802" s="41" t="str">
        <f>IF($F802="","",IF($F802&lt;1,ROUND($F802*1440,0),INT($F802/100)*60+MOD($F802,100)))</f>
        <v/>
      </c>
      <c r="K802" s="41" t="str">
        <f>IF($G802="","",IF($G802&lt;1,ROUND($G802*1440,0),INT($G802/100)*60+MOD($G802,100)))</f>
        <v/>
      </c>
    </row>
    <row r="803" ht="15" customHeight="1" s="26">
      <c r="A803" s="34" t="n"/>
      <c r="B803" s="32" t="n"/>
      <c r="C803" s="33" t="n"/>
      <c r="D803" s="37" t="str">
        <f>IF($C803="","",IFERROR(INDEX(프로젝트목록!$B$3:$B$62,MATCH($C803,프로젝트목록!$A$3:$A$62,0)),"미등록코드"))</f>
        <v/>
      </c>
      <c r="E803" s="32" t="n"/>
      <c r="F803" s="38" t="n"/>
      <c r="G803" s="38" t="n"/>
      <c r="H803" s="39" t="n"/>
      <c r="I803" s="40" t="str">
        <f>IF(OR($J803="",$K803=""),"",ROUND(MAX(0,($K803-$J803)-IF($H803="",0,$H803))/60,2))</f>
        <v/>
      </c>
      <c r="J803" s="41" t="str">
        <f>IF($F803="","",IF($F803&lt;1,ROUND($F803*1440,0),INT($F803/100)*60+MOD($F803,100)))</f>
        <v/>
      </c>
      <c r="K803" s="41" t="str">
        <f>IF($G803="","",IF($G803&lt;1,ROUND($G803*1440,0),INT($G803/100)*60+MOD($G803,100)))</f>
        <v/>
      </c>
    </row>
    <row r="804" ht="15" customHeight="1" s="26">
      <c r="A804" s="34" t="n"/>
      <c r="B804" s="32" t="n"/>
      <c r="C804" s="33" t="n"/>
      <c r="D804" s="37" t="str">
        <f>IF($C804="","",IFERROR(INDEX(프로젝트목록!$B$3:$B$62,MATCH($C804,프로젝트목록!$A$3:$A$62,0)),"미등록코드"))</f>
        <v/>
      </c>
      <c r="E804" s="32" t="n"/>
      <c r="F804" s="38" t="n"/>
      <c r="G804" s="38" t="n"/>
      <c r="H804" s="39" t="n"/>
      <c r="I804" s="40" t="str">
        <f>IF(OR($J804="",$K804=""),"",ROUND(MAX(0,($K804-$J804)-IF($H804="",0,$H804))/60,2))</f>
        <v/>
      </c>
      <c r="J804" s="41" t="str">
        <f>IF($F804="","",IF($F804&lt;1,ROUND($F804*1440,0),INT($F804/100)*60+MOD($F804,100)))</f>
        <v/>
      </c>
      <c r="K804" s="41" t="str">
        <f>IF($G804="","",IF($G804&lt;1,ROUND($G804*1440,0),INT($G804/100)*60+MOD($G804,100)))</f>
        <v/>
      </c>
    </row>
    <row r="805" ht="15" customHeight="1" s="26">
      <c r="A805" s="34" t="n"/>
      <c r="B805" s="32" t="n"/>
      <c r="C805" s="33" t="n"/>
      <c r="D805" s="37" t="str">
        <f>IF($C805="","",IFERROR(INDEX(프로젝트목록!$B$3:$B$62,MATCH($C805,프로젝트목록!$A$3:$A$62,0)),"미등록코드"))</f>
        <v/>
      </c>
      <c r="E805" s="32" t="n"/>
      <c r="F805" s="38" t="n"/>
      <c r="G805" s="38" t="n"/>
      <c r="H805" s="39" t="n"/>
      <c r="I805" s="40" t="str">
        <f>IF(OR($J805="",$K805=""),"",ROUND(MAX(0,($K805-$J805)-IF($H805="",0,$H805))/60,2))</f>
        <v/>
      </c>
      <c r="J805" s="41" t="str">
        <f>IF($F805="","",IF($F805&lt;1,ROUND($F805*1440,0),INT($F805/100)*60+MOD($F805,100)))</f>
        <v/>
      </c>
      <c r="K805" s="41" t="str">
        <f>IF($G805="","",IF($G805&lt;1,ROUND($G805*1440,0),INT($G805/100)*60+MOD($G805,100)))</f>
        <v/>
      </c>
    </row>
    <row r="806" ht="15" customHeight="1" s="26">
      <c r="A806" s="34" t="n"/>
      <c r="B806" s="32" t="n"/>
      <c r="C806" s="33" t="n"/>
      <c r="D806" s="37" t="str">
        <f>IF($C806="","",IFERROR(INDEX(프로젝트목록!$B$3:$B$62,MATCH($C806,프로젝트목록!$A$3:$A$62,0)),"미등록코드"))</f>
        <v/>
      </c>
      <c r="E806" s="32" t="n"/>
      <c r="F806" s="38" t="n"/>
      <c r="G806" s="38" t="n"/>
      <c r="H806" s="39" t="n"/>
      <c r="I806" s="40" t="str">
        <f>IF(OR($J806="",$K806=""),"",ROUND(MAX(0,($K806-$J806)-IF($H806="",0,$H806))/60,2))</f>
        <v/>
      </c>
      <c r="J806" s="41" t="str">
        <f>IF($F806="","",IF($F806&lt;1,ROUND($F806*1440,0),INT($F806/100)*60+MOD($F806,100)))</f>
        <v/>
      </c>
      <c r="K806" s="41" t="str">
        <f>IF($G806="","",IF($G806&lt;1,ROUND($G806*1440,0),INT($G806/100)*60+MOD($G806,100)))</f>
        <v/>
      </c>
    </row>
    <row r="807" ht="15" customHeight="1" s="26">
      <c r="A807" s="34" t="n"/>
      <c r="B807" s="32" t="n"/>
      <c r="C807" s="33" t="n"/>
      <c r="D807" s="37" t="str">
        <f>IF($C807="","",IFERROR(INDEX(프로젝트목록!$B$3:$B$62,MATCH($C807,프로젝트목록!$A$3:$A$62,0)),"미등록코드"))</f>
        <v/>
      </c>
      <c r="E807" s="32" t="n"/>
      <c r="F807" s="38" t="n"/>
      <c r="G807" s="38" t="n"/>
      <c r="H807" s="39" t="n"/>
      <c r="I807" s="40" t="str">
        <f>IF(OR($J807="",$K807=""),"",ROUND(MAX(0,($K807-$J807)-IF($H807="",0,$H807))/60,2))</f>
        <v/>
      </c>
      <c r="J807" s="41" t="str">
        <f>IF($F807="","",IF($F807&lt;1,ROUND($F807*1440,0),INT($F807/100)*60+MOD($F807,100)))</f>
        <v/>
      </c>
      <c r="K807" s="41" t="str">
        <f>IF($G807="","",IF($G807&lt;1,ROUND($G807*1440,0),INT($G807/100)*60+MOD($G807,100)))</f>
        <v/>
      </c>
    </row>
    <row r="808" ht="15" customHeight="1" s="26">
      <c r="A808" s="34" t="n"/>
      <c r="B808" s="32" t="n"/>
      <c r="C808" s="33" t="n"/>
      <c r="D808" s="37" t="str">
        <f>IF($C808="","",IFERROR(INDEX(프로젝트목록!$B$3:$B$62,MATCH($C808,프로젝트목록!$A$3:$A$62,0)),"미등록코드"))</f>
        <v/>
      </c>
      <c r="E808" s="32" t="n"/>
      <c r="F808" s="38" t="n"/>
      <c r="G808" s="38" t="n"/>
      <c r="H808" s="39" t="n"/>
      <c r="I808" s="40" t="str">
        <f>IF(OR($J808="",$K808=""),"",ROUND(MAX(0,($K808-$J808)-IF($H808="",0,$H808))/60,2))</f>
        <v/>
      </c>
      <c r="J808" s="41" t="str">
        <f>IF($F808="","",IF($F808&lt;1,ROUND($F808*1440,0),INT($F808/100)*60+MOD($F808,100)))</f>
        <v/>
      </c>
      <c r="K808" s="41" t="str">
        <f>IF($G808="","",IF($G808&lt;1,ROUND($G808*1440,0),INT($G808/100)*60+MOD($G808,100)))</f>
        <v/>
      </c>
    </row>
    <row r="809" ht="15" customHeight="1" s="26">
      <c r="A809" s="34" t="n"/>
      <c r="B809" s="32" t="n"/>
      <c r="C809" s="33" t="n"/>
      <c r="D809" s="37" t="str">
        <f>IF($C809="","",IFERROR(INDEX(프로젝트목록!$B$3:$B$62,MATCH($C809,프로젝트목록!$A$3:$A$62,0)),"미등록코드"))</f>
        <v/>
      </c>
      <c r="E809" s="32" t="n"/>
      <c r="F809" s="38" t="n"/>
      <c r="G809" s="38" t="n"/>
      <c r="H809" s="39" t="n"/>
      <c r="I809" s="40" t="str">
        <f>IF(OR($J809="",$K809=""),"",ROUND(MAX(0,($K809-$J809)-IF($H809="",0,$H809))/60,2))</f>
        <v/>
      </c>
      <c r="J809" s="41" t="str">
        <f>IF($F809="","",IF($F809&lt;1,ROUND($F809*1440,0),INT($F809/100)*60+MOD($F809,100)))</f>
        <v/>
      </c>
      <c r="K809" s="41" t="str">
        <f>IF($G809="","",IF($G809&lt;1,ROUND($G809*1440,0),INT($G809/100)*60+MOD($G809,100)))</f>
        <v/>
      </c>
    </row>
    <row r="810" ht="15" customHeight="1" s="26">
      <c r="A810" s="34" t="n"/>
      <c r="B810" s="32" t="n"/>
      <c r="C810" s="33" t="n"/>
      <c r="D810" s="37" t="str">
        <f>IF($C810="","",IFERROR(INDEX(프로젝트목록!$B$3:$B$62,MATCH($C810,프로젝트목록!$A$3:$A$62,0)),"미등록코드"))</f>
        <v/>
      </c>
      <c r="E810" s="32" t="n"/>
      <c r="F810" s="38" t="n"/>
      <c r="G810" s="38" t="n"/>
      <c r="H810" s="39" t="n"/>
      <c r="I810" s="40" t="str">
        <f>IF(OR($J810="",$K810=""),"",ROUND(MAX(0,($K810-$J810)-IF($H810="",0,$H810))/60,2))</f>
        <v/>
      </c>
      <c r="J810" s="41" t="str">
        <f>IF($F810="","",IF($F810&lt;1,ROUND($F810*1440,0),INT($F810/100)*60+MOD($F810,100)))</f>
        <v/>
      </c>
      <c r="K810" s="41" t="str">
        <f>IF($G810="","",IF($G810&lt;1,ROUND($G810*1440,0),INT($G810/100)*60+MOD($G810,100)))</f>
        <v/>
      </c>
    </row>
    <row r="811" ht="15" customHeight="1" s="26">
      <c r="A811" s="34" t="n"/>
      <c r="B811" s="32" t="n"/>
      <c r="C811" s="33" t="n"/>
      <c r="D811" s="37" t="str">
        <f>IF($C811="","",IFERROR(INDEX(프로젝트목록!$B$3:$B$62,MATCH($C811,프로젝트목록!$A$3:$A$62,0)),"미등록코드"))</f>
        <v/>
      </c>
      <c r="E811" s="32" t="n"/>
      <c r="F811" s="38" t="n"/>
      <c r="G811" s="38" t="n"/>
      <c r="H811" s="39" t="n"/>
      <c r="I811" s="40" t="str">
        <f>IF(OR($J811="",$K811=""),"",ROUND(MAX(0,($K811-$J811)-IF($H811="",0,$H811))/60,2))</f>
        <v/>
      </c>
      <c r="J811" s="41" t="str">
        <f>IF($F811="","",IF($F811&lt;1,ROUND($F811*1440,0),INT($F811/100)*60+MOD($F811,100)))</f>
        <v/>
      </c>
      <c r="K811" s="41" t="str">
        <f>IF($G811="","",IF($G811&lt;1,ROUND($G811*1440,0),INT($G811/100)*60+MOD($G811,100)))</f>
        <v/>
      </c>
    </row>
    <row r="812" ht="15" customHeight="1" s="26">
      <c r="A812" s="34" t="n"/>
      <c r="B812" s="32" t="n"/>
      <c r="C812" s="33" t="n"/>
      <c r="D812" s="37" t="str">
        <f>IF($C812="","",IFERROR(INDEX(프로젝트목록!$B$3:$B$62,MATCH($C812,프로젝트목록!$A$3:$A$62,0)),"미등록코드"))</f>
        <v/>
      </c>
      <c r="E812" s="32" t="n"/>
      <c r="F812" s="38" t="n"/>
      <c r="G812" s="38" t="n"/>
      <c r="H812" s="39" t="n"/>
      <c r="I812" s="40" t="str">
        <f>IF(OR($J812="",$K812=""),"",ROUND(MAX(0,($K812-$J812)-IF($H812="",0,$H812))/60,2))</f>
        <v/>
      </c>
      <c r="J812" s="41" t="str">
        <f>IF($F812="","",IF($F812&lt;1,ROUND($F812*1440,0),INT($F812/100)*60+MOD($F812,100)))</f>
        <v/>
      </c>
      <c r="K812" s="41" t="str">
        <f>IF($G812="","",IF($G812&lt;1,ROUND($G812*1440,0),INT($G812/100)*60+MOD($G812,100)))</f>
        <v/>
      </c>
    </row>
    <row r="813" ht="15" customHeight="1" s="26">
      <c r="A813" s="34" t="n"/>
      <c r="B813" s="32" t="n"/>
      <c r="C813" s="33" t="n"/>
      <c r="D813" s="37" t="str">
        <f>IF($C813="","",IFERROR(INDEX(프로젝트목록!$B$3:$B$62,MATCH($C813,프로젝트목록!$A$3:$A$62,0)),"미등록코드"))</f>
        <v/>
      </c>
      <c r="E813" s="32" t="n"/>
      <c r="F813" s="38" t="n"/>
      <c r="G813" s="38" t="n"/>
      <c r="H813" s="39" t="n"/>
      <c r="I813" s="40" t="str">
        <f>IF(OR($J813="",$K813=""),"",ROUND(MAX(0,($K813-$J813)-IF($H813="",0,$H813))/60,2))</f>
        <v/>
      </c>
      <c r="J813" s="41" t="str">
        <f>IF($F813="","",IF($F813&lt;1,ROUND($F813*1440,0),INT($F813/100)*60+MOD($F813,100)))</f>
        <v/>
      </c>
      <c r="K813" s="41" t="str">
        <f>IF($G813="","",IF($G813&lt;1,ROUND($G813*1440,0),INT($G813/100)*60+MOD($G813,100)))</f>
        <v/>
      </c>
    </row>
    <row r="814" ht="15" customHeight="1" s="26">
      <c r="A814" s="34" t="n"/>
      <c r="B814" s="32" t="n"/>
      <c r="C814" s="33" t="n"/>
      <c r="D814" s="37" t="str">
        <f>IF($C814="","",IFERROR(INDEX(프로젝트목록!$B$3:$B$62,MATCH($C814,프로젝트목록!$A$3:$A$62,0)),"미등록코드"))</f>
        <v/>
      </c>
      <c r="E814" s="32" t="n"/>
      <c r="F814" s="38" t="n"/>
      <c r="G814" s="38" t="n"/>
      <c r="H814" s="39" t="n"/>
      <c r="I814" s="40" t="str">
        <f>IF(OR($J814="",$K814=""),"",ROUND(MAX(0,($K814-$J814)-IF($H814="",0,$H814))/60,2))</f>
        <v/>
      </c>
      <c r="J814" s="41" t="str">
        <f>IF($F814="","",IF($F814&lt;1,ROUND($F814*1440,0),INT($F814/100)*60+MOD($F814,100)))</f>
        <v/>
      </c>
      <c r="K814" s="41" t="str">
        <f>IF($G814="","",IF($G814&lt;1,ROUND($G814*1440,0),INT($G814/100)*60+MOD($G814,100)))</f>
        <v/>
      </c>
    </row>
    <row r="815" ht="15" customHeight="1" s="26">
      <c r="A815" s="34" t="n"/>
      <c r="B815" s="32" t="n"/>
      <c r="C815" s="33" t="n"/>
      <c r="D815" s="37" t="str">
        <f>IF($C815="","",IFERROR(INDEX(프로젝트목록!$B$3:$B$62,MATCH($C815,프로젝트목록!$A$3:$A$62,0)),"미등록코드"))</f>
        <v/>
      </c>
      <c r="E815" s="32" t="n"/>
      <c r="F815" s="38" t="n"/>
      <c r="G815" s="38" t="n"/>
      <c r="H815" s="39" t="n"/>
      <c r="I815" s="40" t="str">
        <f>IF(OR($J815="",$K815=""),"",ROUND(MAX(0,($K815-$J815)-IF($H815="",0,$H815))/60,2))</f>
        <v/>
      </c>
      <c r="J815" s="41" t="str">
        <f>IF($F815="","",IF($F815&lt;1,ROUND($F815*1440,0),INT($F815/100)*60+MOD($F815,100)))</f>
        <v/>
      </c>
      <c r="K815" s="41" t="str">
        <f>IF($G815="","",IF($G815&lt;1,ROUND($G815*1440,0),INT($G815/100)*60+MOD($G815,100)))</f>
        <v/>
      </c>
    </row>
    <row r="816" ht="15" customHeight="1" s="26">
      <c r="A816" s="34" t="n"/>
      <c r="B816" s="32" t="n"/>
      <c r="C816" s="33" t="n"/>
      <c r="D816" s="37" t="str">
        <f>IF($C816="","",IFERROR(INDEX(프로젝트목록!$B$3:$B$62,MATCH($C816,프로젝트목록!$A$3:$A$62,0)),"미등록코드"))</f>
        <v/>
      </c>
      <c r="E816" s="32" t="n"/>
      <c r="F816" s="38" t="n"/>
      <c r="G816" s="38" t="n"/>
      <c r="H816" s="39" t="n"/>
      <c r="I816" s="40" t="str">
        <f>IF(OR($J816="",$K816=""),"",ROUND(MAX(0,($K816-$J816)-IF($H816="",0,$H816))/60,2))</f>
        <v/>
      </c>
      <c r="J816" s="41" t="str">
        <f>IF($F816="","",IF($F816&lt;1,ROUND($F816*1440,0),INT($F816/100)*60+MOD($F816,100)))</f>
        <v/>
      </c>
      <c r="K816" s="41" t="str">
        <f>IF($G816="","",IF($G816&lt;1,ROUND($G816*1440,0),INT($G816/100)*60+MOD($G816,100)))</f>
        <v/>
      </c>
    </row>
    <row r="817" ht="15" customHeight="1" s="26">
      <c r="A817" s="34" t="n"/>
      <c r="B817" s="32" t="n"/>
      <c r="C817" s="33" t="n"/>
      <c r="D817" s="37" t="str">
        <f>IF($C817="","",IFERROR(INDEX(프로젝트목록!$B$3:$B$62,MATCH($C817,프로젝트목록!$A$3:$A$62,0)),"미등록코드"))</f>
        <v/>
      </c>
      <c r="E817" s="32" t="n"/>
      <c r="F817" s="38" t="n"/>
      <c r="G817" s="38" t="n"/>
      <c r="H817" s="39" t="n"/>
      <c r="I817" s="40" t="str">
        <f>IF(OR($J817="",$K817=""),"",ROUND(MAX(0,($K817-$J817)-IF($H817="",0,$H817))/60,2))</f>
        <v/>
      </c>
      <c r="J817" s="41" t="str">
        <f>IF($F817="","",IF($F817&lt;1,ROUND($F817*1440,0),INT($F817/100)*60+MOD($F817,100)))</f>
        <v/>
      </c>
      <c r="K817" s="41" t="str">
        <f>IF($G817="","",IF($G817&lt;1,ROUND($G817*1440,0),INT($G817/100)*60+MOD($G817,100)))</f>
        <v/>
      </c>
    </row>
    <row r="818" ht="15" customHeight="1" s="26">
      <c r="A818" s="34" t="n"/>
      <c r="B818" s="32" t="n"/>
      <c r="C818" s="33" t="n"/>
      <c r="D818" s="37" t="str">
        <f>IF($C818="","",IFERROR(INDEX(프로젝트목록!$B$3:$B$62,MATCH($C818,프로젝트목록!$A$3:$A$62,0)),"미등록코드"))</f>
        <v/>
      </c>
      <c r="E818" s="32" t="n"/>
      <c r="F818" s="38" t="n"/>
      <c r="G818" s="38" t="n"/>
      <c r="H818" s="39" t="n"/>
      <c r="I818" s="40" t="str">
        <f>IF(OR($J818="",$K818=""),"",ROUND(MAX(0,($K818-$J818)-IF($H818="",0,$H818))/60,2))</f>
        <v/>
      </c>
      <c r="J818" s="41" t="str">
        <f>IF($F818="","",IF($F818&lt;1,ROUND($F818*1440,0),INT($F818/100)*60+MOD($F818,100)))</f>
        <v/>
      </c>
      <c r="K818" s="41" t="str">
        <f>IF($G818="","",IF($G818&lt;1,ROUND($G818*1440,0),INT($G818/100)*60+MOD($G818,100)))</f>
        <v/>
      </c>
    </row>
    <row r="819" ht="15" customHeight="1" s="26">
      <c r="A819" s="34" t="n"/>
      <c r="B819" s="32" t="n"/>
      <c r="C819" s="33" t="n"/>
      <c r="D819" s="37" t="str">
        <f>IF($C819="","",IFERROR(INDEX(프로젝트목록!$B$3:$B$62,MATCH($C819,프로젝트목록!$A$3:$A$62,0)),"미등록코드"))</f>
        <v/>
      </c>
      <c r="E819" s="32" t="n"/>
      <c r="F819" s="38" t="n"/>
      <c r="G819" s="38" t="n"/>
      <c r="H819" s="39" t="n"/>
      <c r="I819" s="40" t="str">
        <f>IF(OR($J819="",$K819=""),"",ROUND(MAX(0,($K819-$J819)-IF($H819="",0,$H819))/60,2))</f>
        <v/>
      </c>
      <c r="J819" s="41" t="str">
        <f>IF($F819="","",IF($F819&lt;1,ROUND($F819*1440,0),INT($F819/100)*60+MOD($F819,100)))</f>
        <v/>
      </c>
      <c r="K819" s="41" t="str">
        <f>IF($G819="","",IF($G819&lt;1,ROUND($G819*1440,0),INT($G819/100)*60+MOD($G819,100)))</f>
        <v/>
      </c>
    </row>
    <row r="820" ht="15" customHeight="1" s="26">
      <c r="A820" s="34" t="n"/>
      <c r="B820" s="32" t="n"/>
      <c r="C820" s="33" t="n"/>
      <c r="D820" s="37" t="str">
        <f>IF($C820="","",IFERROR(INDEX(프로젝트목록!$B$3:$B$62,MATCH($C820,프로젝트목록!$A$3:$A$62,0)),"미등록코드"))</f>
        <v/>
      </c>
      <c r="E820" s="32" t="n"/>
      <c r="F820" s="38" t="n"/>
      <c r="G820" s="38" t="n"/>
      <c r="H820" s="39" t="n"/>
      <c r="I820" s="40" t="str">
        <f>IF(OR($J820="",$K820=""),"",ROUND(MAX(0,($K820-$J820)-IF($H820="",0,$H820))/60,2))</f>
        <v/>
      </c>
      <c r="J820" s="41" t="str">
        <f>IF($F820="","",IF($F820&lt;1,ROUND($F820*1440,0),INT($F820/100)*60+MOD($F820,100)))</f>
        <v/>
      </c>
      <c r="K820" s="41" t="str">
        <f>IF($G820="","",IF($G820&lt;1,ROUND($G820*1440,0),INT($G820/100)*60+MOD($G820,100)))</f>
        <v/>
      </c>
    </row>
    <row r="821" ht="15" customHeight="1" s="26">
      <c r="A821" s="34" t="n"/>
      <c r="B821" s="32" t="n"/>
      <c r="C821" s="33" t="n"/>
      <c r="D821" s="37" t="str">
        <f>IF($C821="","",IFERROR(INDEX(프로젝트목록!$B$3:$B$62,MATCH($C821,프로젝트목록!$A$3:$A$62,0)),"미등록코드"))</f>
        <v/>
      </c>
      <c r="E821" s="32" t="n"/>
      <c r="F821" s="38" t="n"/>
      <c r="G821" s="38" t="n"/>
      <c r="H821" s="39" t="n"/>
      <c r="I821" s="40" t="str">
        <f>IF(OR($J821="",$K821=""),"",ROUND(MAX(0,($K821-$J821)-IF($H821="",0,$H821))/60,2))</f>
        <v/>
      </c>
      <c r="J821" s="41" t="str">
        <f>IF($F821="","",IF($F821&lt;1,ROUND($F821*1440,0),INT($F821/100)*60+MOD($F821,100)))</f>
        <v/>
      </c>
      <c r="K821" s="41" t="str">
        <f>IF($G821="","",IF($G821&lt;1,ROUND($G821*1440,0),INT($G821/100)*60+MOD($G821,100)))</f>
        <v/>
      </c>
    </row>
    <row r="822" ht="15" customHeight="1" s="26">
      <c r="A822" s="34" t="n"/>
      <c r="B822" s="32" t="n"/>
      <c r="C822" s="33" t="n"/>
      <c r="D822" s="37" t="str">
        <f>IF($C822="","",IFERROR(INDEX(프로젝트목록!$B$3:$B$62,MATCH($C822,프로젝트목록!$A$3:$A$62,0)),"미등록코드"))</f>
        <v/>
      </c>
      <c r="E822" s="32" t="n"/>
      <c r="F822" s="38" t="n"/>
      <c r="G822" s="38" t="n"/>
      <c r="H822" s="39" t="n"/>
      <c r="I822" s="40" t="str">
        <f>IF(OR($J822="",$K822=""),"",ROUND(MAX(0,($K822-$J822)-IF($H822="",0,$H822))/60,2))</f>
        <v/>
      </c>
      <c r="J822" s="41" t="str">
        <f>IF($F822="","",IF($F822&lt;1,ROUND($F822*1440,0),INT($F822/100)*60+MOD($F822,100)))</f>
        <v/>
      </c>
      <c r="K822" s="41" t="str">
        <f>IF($G822="","",IF($G822&lt;1,ROUND($G822*1440,0),INT($G822/100)*60+MOD($G822,100)))</f>
        <v/>
      </c>
    </row>
    <row r="823" ht="15" customHeight="1" s="26">
      <c r="A823" s="34" t="n"/>
      <c r="B823" s="32" t="n"/>
      <c r="C823" s="33" t="n"/>
      <c r="D823" s="37" t="str">
        <f>IF($C823="","",IFERROR(INDEX(프로젝트목록!$B$3:$B$62,MATCH($C823,프로젝트목록!$A$3:$A$62,0)),"미등록코드"))</f>
        <v/>
      </c>
      <c r="E823" s="32" t="n"/>
      <c r="F823" s="38" t="n"/>
      <c r="G823" s="38" t="n"/>
      <c r="H823" s="39" t="n"/>
      <c r="I823" s="40" t="str">
        <f>IF(OR($J823="",$K823=""),"",ROUND(MAX(0,($K823-$J823)-IF($H823="",0,$H823))/60,2))</f>
        <v/>
      </c>
      <c r="J823" s="41" t="str">
        <f>IF($F823="","",IF($F823&lt;1,ROUND($F823*1440,0),INT($F823/100)*60+MOD($F823,100)))</f>
        <v/>
      </c>
      <c r="K823" s="41" t="str">
        <f>IF($G823="","",IF($G823&lt;1,ROUND($G823*1440,0),INT($G823/100)*60+MOD($G823,100)))</f>
        <v/>
      </c>
    </row>
    <row r="824" ht="15" customHeight="1" s="26">
      <c r="A824" s="34" t="n"/>
      <c r="B824" s="32" t="n"/>
      <c r="C824" s="33" t="n"/>
      <c r="D824" s="37" t="str">
        <f>IF($C824="","",IFERROR(INDEX(프로젝트목록!$B$3:$B$62,MATCH($C824,프로젝트목록!$A$3:$A$62,0)),"미등록코드"))</f>
        <v/>
      </c>
      <c r="E824" s="32" t="n"/>
      <c r="F824" s="38" t="n"/>
      <c r="G824" s="38" t="n"/>
      <c r="H824" s="39" t="n"/>
      <c r="I824" s="40" t="str">
        <f>IF(OR($J824="",$K824=""),"",ROUND(MAX(0,($K824-$J824)-IF($H824="",0,$H824))/60,2))</f>
        <v/>
      </c>
      <c r="J824" s="41" t="str">
        <f>IF($F824="","",IF($F824&lt;1,ROUND($F824*1440,0),INT($F824/100)*60+MOD($F824,100)))</f>
        <v/>
      </c>
      <c r="K824" s="41" t="str">
        <f>IF($G824="","",IF($G824&lt;1,ROUND($G824*1440,0),INT($G824/100)*60+MOD($G824,100)))</f>
        <v/>
      </c>
    </row>
    <row r="825" ht="15" customHeight="1" s="26">
      <c r="A825" s="34" t="n"/>
      <c r="B825" s="32" t="n"/>
      <c r="C825" s="33" t="n"/>
      <c r="D825" s="37" t="str">
        <f>IF($C825="","",IFERROR(INDEX(프로젝트목록!$B$3:$B$62,MATCH($C825,프로젝트목록!$A$3:$A$62,0)),"미등록코드"))</f>
        <v/>
      </c>
      <c r="E825" s="32" t="n"/>
      <c r="F825" s="38" t="n"/>
      <c r="G825" s="38" t="n"/>
      <c r="H825" s="39" t="n"/>
      <c r="I825" s="40" t="str">
        <f>IF(OR($J825="",$K825=""),"",ROUND(MAX(0,($K825-$J825)-IF($H825="",0,$H825))/60,2))</f>
        <v/>
      </c>
      <c r="J825" s="41" t="str">
        <f>IF($F825="","",IF($F825&lt;1,ROUND($F825*1440,0),INT($F825/100)*60+MOD($F825,100)))</f>
        <v/>
      </c>
      <c r="K825" s="41" t="str">
        <f>IF($G825="","",IF($G825&lt;1,ROUND($G825*1440,0),INT($G825/100)*60+MOD($G825,100)))</f>
        <v/>
      </c>
    </row>
    <row r="826" ht="15" customHeight="1" s="26">
      <c r="A826" s="34" t="n"/>
      <c r="B826" s="32" t="n"/>
      <c r="C826" s="33" t="n"/>
      <c r="D826" s="37" t="str">
        <f>IF($C826="","",IFERROR(INDEX(프로젝트목록!$B$3:$B$62,MATCH($C826,프로젝트목록!$A$3:$A$62,0)),"미등록코드"))</f>
        <v/>
      </c>
      <c r="E826" s="32" t="n"/>
      <c r="F826" s="38" t="n"/>
      <c r="G826" s="38" t="n"/>
      <c r="H826" s="39" t="n"/>
      <c r="I826" s="40" t="str">
        <f>IF(OR($J826="",$K826=""),"",ROUND(MAX(0,($K826-$J826)-IF($H826="",0,$H826))/60,2))</f>
        <v/>
      </c>
      <c r="J826" s="41" t="str">
        <f>IF($F826="","",IF($F826&lt;1,ROUND($F826*1440,0),INT($F826/100)*60+MOD($F826,100)))</f>
        <v/>
      </c>
      <c r="K826" s="41" t="str">
        <f>IF($G826="","",IF($G826&lt;1,ROUND($G826*1440,0),INT($G826/100)*60+MOD($G826,100)))</f>
        <v/>
      </c>
    </row>
    <row r="827" ht="15" customHeight="1" s="26">
      <c r="A827" s="34" t="n"/>
      <c r="B827" s="32" t="n"/>
      <c r="C827" s="33" t="n"/>
      <c r="D827" s="37" t="str">
        <f>IF($C827="","",IFERROR(INDEX(프로젝트목록!$B$3:$B$62,MATCH($C827,프로젝트목록!$A$3:$A$62,0)),"미등록코드"))</f>
        <v/>
      </c>
      <c r="E827" s="32" t="n"/>
      <c r="F827" s="38" t="n"/>
      <c r="G827" s="38" t="n"/>
      <c r="H827" s="39" t="n"/>
      <c r="I827" s="40" t="str">
        <f>IF(OR($J827="",$K827=""),"",ROUND(MAX(0,($K827-$J827)-IF($H827="",0,$H827))/60,2))</f>
        <v/>
      </c>
      <c r="J827" s="41" t="str">
        <f>IF($F827="","",IF($F827&lt;1,ROUND($F827*1440,0),INT($F827/100)*60+MOD($F827,100)))</f>
        <v/>
      </c>
      <c r="K827" s="41" t="str">
        <f>IF($G827="","",IF($G827&lt;1,ROUND($G827*1440,0),INT($G827/100)*60+MOD($G827,100)))</f>
        <v/>
      </c>
    </row>
    <row r="828" ht="15" customHeight="1" s="26">
      <c r="A828" s="34" t="n"/>
      <c r="B828" s="32" t="n"/>
      <c r="C828" s="33" t="n"/>
      <c r="D828" s="37" t="str">
        <f>IF($C828="","",IFERROR(INDEX(프로젝트목록!$B$3:$B$62,MATCH($C828,프로젝트목록!$A$3:$A$62,0)),"미등록코드"))</f>
        <v/>
      </c>
      <c r="E828" s="32" t="n"/>
      <c r="F828" s="38" t="n"/>
      <c r="G828" s="38" t="n"/>
      <c r="H828" s="39" t="n"/>
      <c r="I828" s="40" t="str">
        <f>IF(OR($J828="",$K828=""),"",ROUND(MAX(0,($K828-$J828)-IF($H828="",0,$H828))/60,2))</f>
        <v/>
      </c>
      <c r="J828" s="41" t="str">
        <f>IF($F828="","",IF($F828&lt;1,ROUND($F828*1440,0),INT($F828/100)*60+MOD($F828,100)))</f>
        <v/>
      </c>
      <c r="K828" s="41" t="str">
        <f>IF($G828="","",IF($G828&lt;1,ROUND($G828*1440,0),INT($G828/100)*60+MOD($G828,100)))</f>
        <v/>
      </c>
    </row>
    <row r="829" ht="15" customHeight="1" s="26">
      <c r="A829" s="34" t="n"/>
      <c r="B829" s="32" t="n"/>
      <c r="C829" s="33" t="n"/>
      <c r="D829" s="37" t="str">
        <f>IF($C829="","",IFERROR(INDEX(프로젝트목록!$B$3:$B$62,MATCH($C829,프로젝트목록!$A$3:$A$62,0)),"미등록코드"))</f>
        <v/>
      </c>
      <c r="E829" s="32" t="n"/>
      <c r="F829" s="38" t="n"/>
      <c r="G829" s="38" t="n"/>
      <c r="H829" s="39" t="n"/>
      <c r="I829" s="40" t="str">
        <f>IF(OR($J829="",$K829=""),"",ROUND(MAX(0,($K829-$J829)-IF($H829="",0,$H829))/60,2))</f>
        <v/>
      </c>
      <c r="J829" s="41" t="str">
        <f>IF($F829="","",IF($F829&lt;1,ROUND($F829*1440,0),INT($F829/100)*60+MOD($F829,100)))</f>
        <v/>
      </c>
      <c r="K829" s="41" t="str">
        <f>IF($G829="","",IF($G829&lt;1,ROUND($G829*1440,0),INT($G829/100)*60+MOD($G829,100)))</f>
        <v/>
      </c>
    </row>
    <row r="830" ht="15" customHeight="1" s="26">
      <c r="A830" s="34" t="n"/>
      <c r="B830" s="32" t="n"/>
      <c r="C830" s="33" t="n"/>
      <c r="D830" s="37" t="str">
        <f>IF($C830="","",IFERROR(INDEX(프로젝트목록!$B$3:$B$62,MATCH($C830,프로젝트목록!$A$3:$A$62,0)),"미등록코드"))</f>
        <v/>
      </c>
      <c r="E830" s="32" t="n"/>
      <c r="F830" s="38" t="n"/>
      <c r="G830" s="38" t="n"/>
      <c r="H830" s="39" t="n"/>
      <c r="I830" s="40" t="str">
        <f>IF(OR($J830="",$K830=""),"",ROUND(MAX(0,($K830-$J830)-IF($H830="",0,$H830))/60,2))</f>
        <v/>
      </c>
      <c r="J830" s="41" t="str">
        <f>IF($F830="","",IF($F830&lt;1,ROUND($F830*1440,0),INT($F830/100)*60+MOD($F830,100)))</f>
        <v/>
      </c>
      <c r="K830" s="41" t="str">
        <f>IF($G830="","",IF($G830&lt;1,ROUND($G830*1440,0),INT($G830/100)*60+MOD($G830,100)))</f>
        <v/>
      </c>
    </row>
    <row r="831" ht="15" customHeight="1" s="26">
      <c r="A831" s="34" t="n"/>
      <c r="B831" s="32" t="n"/>
      <c r="C831" s="33" t="n"/>
      <c r="D831" s="37" t="str">
        <f>IF($C831="","",IFERROR(INDEX(프로젝트목록!$B$3:$B$62,MATCH($C831,프로젝트목록!$A$3:$A$62,0)),"미등록코드"))</f>
        <v/>
      </c>
      <c r="E831" s="32" t="n"/>
      <c r="F831" s="38" t="n"/>
      <c r="G831" s="38" t="n"/>
      <c r="H831" s="39" t="n"/>
      <c r="I831" s="40" t="str">
        <f>IF(OR($J831="",$K831=""),"",ROUND(MAX(0,($K831-$J831)-IF($H831="",0,$H831))/60,2))</f>
        <v/>
      </c>
      <c r="J831" s="41" t="str">
        <f>IF($F831="","",IF($F831&lt;1,ROUND($F831*1440,0),INT($F831/100)*60+MOD($F831,100)))</f>
        <v/>
      </c>
      <c r="K831" s="41" t="str">
        <f>IF($G831="","",IF($G831&lt;1,ROUND($G831*1440,0),INT($G831/100)*60+MOD($G831,100)))</f>
        <v/>
      </c>
    </row>
    <row r="832" ht="15" customHeight="1" s="26">
      <c r="A832" s="34" t="n"/>
      <c r="B832" s="32" t="n"/>
      <c r="C832" s="33" t="n"/>
      <c r="D832" s="37" t="str">
        <f>IF($C832="","",IFERROR(INDEX(프로젝트목록!$B$3:$B$62,MATCH($C832,프로젝트목록!$A$3:$A$62,0)),"미등록코드"))</f>
        <v/>
      </c>
      <c r="E832" s="32" t="n"/>
      <c r="F832" s="38" t="n"/>
      <c r="G832" s="38" t="n"/>
      <c r="H832" s="39" t="n"/>
      <c r="I832" s="40" t="str">
        <f>IF(OR($J832="",$K832=""),"",ROUND(MAX(0,($K832-$J832)-IF($H832="",0,$H832))/60,2))</f>
        <v/>
      </c>
      <c r="J832" s="41" t="str">
        <f>IF($F832="","",IF($F832&lt;1,ROUND($F832*1440,0),INT($F832/100)*60+MOD($F832,100)))</f>
        <v/>
      </c>
      <c r="K832" s="41" t="str">
        <f>IF($G832="","",IF($G832&lt;1,ROUND($G832*1440,0),INT($G832/100)*60+MOD($G832,100)))</f>
        <v/>
      </c>
    </row>
    <row r="833" ht="15" customHeight="1" s="26">
      <c r="A833" s="34" t="n"/>
      <c r="B833" s="32" t="n"/>
      <c r="C833" s="33" t="n"/>
      <c r="D833" s="37" t="str">
        <f>IF($C833="","",IFERROR(INDEX(프로젝트목록!$B$3:$B$62,MATCH($C833,프로젝트목록!$A$3:$A$62,0)),"미등록코드"))</f>
        <v/>
      </c>
      <c r="E833" s="32" t="n"/>
      <c r="F833" s="38" t="n"/>
      <c r="G833" s="38" t="n"/>
      <c r="H833" s="39" t="n"/>
      <c r="I833" s="40" t="str">
        <f>IF(OR($J833="",$K833=""),"",ROUND(MAX(0,($K833-$J833)-IF($H833="",0,$H833))/60,2))</f>
        <v/>
      </c>
      <c r="J833" s="41" t="str">
        <f>IF($F833="","",IF($F833&lt;1,ROUND($F833*1440,0),INT($F833/100)*60+MOD($F833,100)))</f>
        <v/>
      </c>
      <c r="K833" s="41" t="str">
        <f>IF($G833="","",IF($G833&lt;1,ROUND($G833*1440,0),INT($G833/100)*60+MOD($G833,100)))</f>
        <v/>
      </c>
    </row>
    <row r="834" ht="15" customHeight="1" s="26">
      <c r="A834" s="34" t="n"/>
      <c r="B834" s="32" t="n"/>
      <c r="C834" s="33" t="n"/>
      <c r="D834" s="37" t="str">
        <f>IF($C834="","",IFERROR(INDEX(프로젝트목록!$B$3:$B$62,MATCH($C834,프로젝트목록!$A$3:$A$62,0)),"미등록코드"))</f>
        <v/>
      </c>
      <c r="E834" s="32" t="n"/>
      <c r="F834" s="38" t="n"/>
      <c r="G834" s="38" t="n"/>
      <c r="H834" s="39" t="n"/>
      <c r="I834" s="40" t="str">
        <f>IF(OR($J834="",$K834=""),"",ROUND(MAX(0,($K834-$J834)-IF($H834="",0,$H834))/60,2))</f>
        <v/>
      </c>
      <c r="J834" s="41" t="str">
        <f>IF($F834="","",IF($F834&lt;1,ROUND($F834*1440,0),INT($F834/100)*60+MOD($F834,100)))</f>
        <v/>
      </c>
      <c r="K834" s="41" t="str">
        <f>IF($G834="","",IF($G834&lt;1,ROUND($G834*1440,0),INT($G834/100)*60+MOD($G834,100)))</f>
        <v/>
      </c>
    </row>
    <row r="835" ht="15" customHeight="1" s="26">
      <c r="A835" s="34" t="n"/>
      <c r="B835" s="32" t="n"/>
      <c r="C835" s="33" t="n"/>
      <c r="D835" s="37" t="str">
        <f>IF($C835="","",IFERROR(INDEX(프로젝트목록!$B$3:$B$62,MATCH($C835,프로젝트목록!$A$3:$A$62,0)),"미등록코드"))</f>
        <v/>
      </c>
      <c r="E835" s="32" t="n"/>
      <c r="F835" s="38" t="n"/>
      <c r="G835" s="38" t="n"/>
      <c r="H835" s="39" t="n"/>
      <c r="I835" s="40" t="str">
        <f>IF(OR($J835="",$K835=""),"",ROUND(MAX(0,($K835-$J835)-IF($H835="",0,$H835))/60,2))</f>
        <v/>
      </c>
      <c r="J835" s="41" t="str">
        <f>IF($F835="","",IF($F835&lt;1,ROUND($F835*1440,0),INT($F835/100)*60+MOD($F835,100)))</f>
        <v/>
      </c>
      <c r="K835" s="41" t="str">
        <f>IF($G835="","",IF($G835&lt;1,ROUND($G835*1440,0),INT($G835/100)*60+MOD($G835,100)))</f>
        <v/>
      </c>
    </row>
    <row r="836" ht="15" customHeight="1" s="26">
      <c r="A836" s="34" t="n"/>
      <c r="B836" s="32" t="n"/>
      <c r="C836" s="33" t="n"/>
      <c r="D836" s="37" t="str">
        <f>IF($C836="","",IFERROR(INDEX(프로젝트목록!$B$3:$B$62,MATCH($C836,프로젝트목록!$A$3:$A$62,0)),"미등록코드"))</f>
        <v/>
      </c>
      <c r="E836" s="32" t="n"/>
      <c r="F836" s="38" t="n"/>
      <c r="G836" s="38" t="n"/>
      <c r="H836" s="39" t="n"/>
      <c r="I836" s="40" t="str">
        <f>IF(OR($J836="",$K836=""),"",ROUND(MAX(0,($K836-$J836)-IF($H836="",0,$H836))/60,2))</f>
        <v/>
      </c>
      <c r="J836" s="41" t="str">
        <f>IF($F836="","",IF($F836&lt;1,ROUND($F836*1440,0),INT($F836/100)*60+MOD($F836,100)))</f>
        <v/>
      </c>
      <c r="K836" s="41" t="str">
        <f>IF($G836="","",IF($G836&lt;1,ROUND($G836*1440,0),INT($G836/100)*60+MOD($G836,100)))</f>
        <v/>
      </c>
    </row>
    <row r="837" ht="15" customHeight="1" s="26">
      <c r="A837" s="34" t="n"/>
      <c r="B837" s="32" t="n"/>
      <c r="C837" s="33" t="n"/>
      <c r="D837" s="37" t="str">
        <f>IF($C837="","",IFERROR(INDEX(프로젝트목록!$B$3:$B$62,MATCH($C837,프로젝트목록!$A$3:$A$62,0)),"미등록코드"))</f>
        <v/>
      </c>
      <c r="E837" s="32" t="n"/>
      <c r="F837" s="38" t="n"/>
      <c r="G837" s="38" t="n"/>
      <c r="H837" s="39" t="n"/>
      <c r="I837" s="40" t="str">
        <f>IF(OR($J837="",$K837=""),"",ROUND(MAX(0,($K837-$J837)-IF($H837="",0,$H837))/60,2))</f>
        <v/>
      </c>
      <c r="J837" s="41" t="str">
        <f>IF($F837="","",IF($F837&lt;1,ROUND($F837*1440,0),INT($F837/100)*60+MOD($F837,100)))</f>
        <v/>
      </c>
      <c r="K837" s="41" t="str">
        <f>IF($G837="","",IF($G837&lt;1,ROUND($G837*1440,0),INT($G837/100)*60+MOD($G837,100)))</f>
        <v/>
      </c>
    </row>
    <row r="838" ht="15" customHeight="1" s="26">
      <c r="A838" s="34" t="n"/>
      <c r="B838" s="32" t="n"/>
      <c r="C838" s="33" t="n"/>
      <c r="D838" s="37" t="str">
        <f>IF($C838="","",IFERROR(INDEX(프로젝트목록!$B$3:$B$62,MATCH($C838,프로젝트목록!$A$3:$A$62,0)),"미등록코드"))</f>
        <v/>
      </c>
      <c r="E838" s="32" t="n"/>
      <c r="F838" s="38" t="n"/>
      <c r="G838" s="38" t="n"/>
      <c r="H838" s="39" t="n"/>
      <c r="I838" s="40" t="str">
        <f>IF(OR($J838="",$K838=""),"",ROUND(MAX(0,($K838-$J838)-IF($H838="",0,$H838))/60,2))</f>
        <v/>
      </c>
      <c r="J838" s="41" t="str">
        <f>IF($F838="","",IF($F838&lt;1,ROUND($F838*1440,0),INT($F838/100)*60+MOD($F838,100)))</f>
        <v/>
      </c>
      <c r="K838" s="41" t="str">
        <f>IF($G838="","",IF($G838&lt;1,ROUND($G838*1440,0),INT($G838/100)*60+MOD($G838,100)))</f>
        <v/>
      </c>
    </row>
    <row r="839" ht="15" customHeight="1" s="26">
      <c r="A839" s="34" t="n"/>
      <c r="B839" s="32" t="n"/>
      <c r="C839" s="33" t="n"/>
      <c r="D839" s="37" t="str">
        <f>IF($C839="","",IFERROR(INDEX(프로젝트목록!$B$3:$B$62,MATCH($C839,프로젝트목록!$A$3:$A$62,0)),"미등록코드"))</f>
        <v/>
      </c>
      <c r="E839" s="32" t="n"/>
      <c r="F839" s="38" t="n"/>
      <c r="G839" s="38" t="n"/>
      <c r="H839" s="39" t="n"/>
      <c r="I839" s="40" t="str">
        <f>IF(OR($J839="",$K839=""),"",ROUND(MAX(0,($K839-$J839)-IF($H839="",0,$H839))/60,2))</f>
        <v/>
      </c>
      <c r="J839" s="41" t="str">
        <f>IF($F839="","",IF($F839&lt;1,ROUND($F839*1440,0),INT($F839/100)*60+MOD($F839,100)))</f>
        <v/>
      </c>
      <c r="K839" s="41" t="str">
        <f>IF($G839="","",IF($G839&lt;1,ROUND($G839*1440,0),INT($G839/100)*60+MOD($G839,100)))</f>
        <v/>
      </c>
    </row>
    <row r="840" ht="15" customHeight="1" s="26">
      <c r="A840" s="34" t="n"/>
      <c r="B840" s="32" t="n"/>
      <c r="C840" s="33" t="n"/>
      <c r="D840" s="37" t="str">
        <f>IF($C840="","",IFERROR(INDEX(프로젝트목록!$B$3:$B$62,MATCH($C840,프로젝트목록!$A$3:$A$62,0)),"미등록코드"))</f>
        <v/>
      </c>
      <c r="E840" s="32" t="n"/>
      <c r="F840" s="38" t="n"/>
      <c r="G840" s="38" t="n"/>
      <c r="H840" s="39" t="n"/>
      <c r="I840" s="40" t="str">
        <f>IF(OR($J840="",$K840=""),"",ROUND(MAX(0,($K840-$J840)-IF($H840="",0,$H840))/60,2))</f>
        <v/>
      </c>
      <c r="J840" s="41" t="str">
        <f>IF($F840="","",IF($F840&lt;1,ROUND($F840*1440,0),INT($F840/100)*60+MOD($F840,100)))</f>
        <v/>
      </c>
      <c r="K840" s="41" t="str">
        <f>IF($G840="","",IF($G840&lt;1,ROUND($G840*1440,0),INT($G840/100)*60+MOD($G840,100)))</f>
        <v/>
      </c>
    </row>
    <row r="841" ht="15" customHeight="1" s="26">
      <c r="A841" s="34" t="n"/>
      <c r="B841" s="32" t="n"/>
      <c r="C841" s="33" t="n"/>
      <c r="D841" s="37" t="str">
        <f>IF($C841="","",IFERROR(INDEX(프로젝트목록!$B$3:$B$62,MATCH($C841,프로젝트목록!$A$3:$A$62,0)),"미등록코드"))</f>
        <v/>
      </c>
      <c r="E841" s="32" t="n"/>
      <c r="F841" s="38" t="n"/>
      <c r="G841" s="38" t="n"/>
      <c r="H841" s="39" t="n"/>
      <c r="I841" s="40" t="str">
        <f>IF(OR($J841="",$K841=""),"",ROUND(MAX(0,($K841-$J841)-IF($H841="",0,$H841))/60,2))</f>
        <v/>
      </c>
      <c r="J841" s="41" t="str">
        <f>IF($F841="","",IF($F841&lt;1,ROUND($F841*1440,0),INT($F841/100)*60+MOD($F841,100)))</f>
        <v/>
      </c>
      <c r="K841" s="41" t="str">
        <f>IF($G841="","",IF($G841&lt;1,ROUND($G841*1440,0),INT($G841/100)*60+MOD($G841,100)))</f>
        <v/>
      </c>
    </row>
    <row r="842" ht="15" customHeight="1" s="26">
      <c r="A842" s="34" t="n"/>
      <c r="B842" s="32" t="n"/>
      <c r="C842" s="33" t="n"/>
      <c r="D842" s="37" t="str">
        <f>IF($C842="","",IFERROR(INDEX(프로젝트목록!$B$3:$B$62,MATCH($C842,프로젝트목록!$A$3:$A$62,0)),"미등록코드"))</f>
        <v/>
      </c>
      <c r="E842" s="32" t="n"/>
      <c r="F842" s="38" t="n"/>
      <c r="G842" s="38" t="n"/>
      <c r="H842" s="39" t="n"/>
      <c r="I842" s="40" t="str">
        <f>IF(OR($J842="",$K842=""),"",ROUND(MAX(0,($K842-$J842)-IF($H842="",0,$H842))/60,2))</f>
        <v/>
      </c>
      <c r="J842" s="41" t="str">
        <f>IF($F842="","",IF($F842&lt;1,ROUND($F842*1440,0),INT($F842/100)*60+MOD($F842,100)))</f>
        <v/>
      </c>
      <c r="K842" s="41" t="str">
        <f>IF($G842="","",IF($G842&lt;1,ROUND($G842*1440,0),INT($G842/100)*60+MOD($G842,100)))</f>
        <v/>
      </c>
    </row>
    <row r="843" ht="15" customHeight="1" s="26">
      <c r="A843" s="34" t="n"/>
      <c r="B843" s="32" t="n"/>
      <c r="C843" s="33" t="n"/>
      <c r="D843" s="37" t="str">
        <f>IF($C843="","",IFERROR(INDEX(프로젝트목록!$B$3:$B$62,MATCH($C843,프로젝트목록!$A$3:$A$62,0)),"미등록코드"))</f>
        <v/>
      </c>
      <c r="E843" s="32" t="n"/>
      <c r="F843" s="38" t="n"/>
      <c r="G843" s="38" t="n"/>
      <c r="H843" s="39" t="n"/>
      <c r="I843" s="40" t="str">
        <f>IF(OR($J843="",$K843=""),"",ROUND(MAX(0,($K843-$J843)-IF($H843="",0,$H843))/60,2))</f>
        <v/>
      </c>
      <c r="J843" s="41" t="str">
        <f>IF($F843="","",IF($F843&lt;1,ROUND($F843*1440,0),INT($F843/100)*60+MOD($F843,100)))</f>
        <v/>
      </c>
      <c r="K843" s="41" t="str">
        <f>IF($G843="","",IF($G843&lt;1,ROUND($G843*1440,0),INT($G843/100)*60+MOD($G843,100)))</f>
        <v/>
      </c>
    </row>
    <row r="844" ht="15" customHeight="1" s="26">
      <c r="A844" s="34" t="n"/>
      <c r="B844" s="32" t="n"/>
      <c r="C844" s="33" t="n"/>
      <c r="D844" s="37" t="str">
        <f>IF($C844="","",IFERROR(INDEX(프로젝트목록!$B$3:$B$62,MATCH($C844,프로젝트목록!$A$3:$A$62,0)),"미등록코드"))</f>
        <v/>
      </c>
      <c r="E844" s="32" t="n"/>
      <c r="F844" s="38" t="n"/>
      <c r="G844" s="38" t="n"/>
      <c r="H844" s="39" t="n"/>
      <c r="I844" s="40" t="str">
        <f>IF(OR($J844="",$K844=""),"",ROUND(MAX(0,($K844-$J844)-IF($H844="",0,$H844))/60,2))</f>
        <v/>
      </c>
      <c r="J844" s="41" t="str">
        <f>IF($F844="","",IF($F844&lt;1,ROUND($F844*1440,0),INT($F844/100)*60+MOD($F844,100)))</f>
        <v/>
      </c>
      <c r="K844" s="41" t="str">
        <f>IF($G844="","",IF($G844&lt;1,ROUND($G844*1440,0),INT($G844/100)*60+MOD($G844,100)))</f>
        <v/>
      </c>
    </row>
    <row r="845" ht="15" customHeight="1" s="26">
      <c r="A845" s="34" t="n"/>
      <c r="B845" s="32" t="n"/>
      <c r="C845" s="33" t="n"/>
      <c r="D845" s="37" t="str">
        <f>IF($C845="","",IFERROR(INDEX(프로젝트목록!$B$3:$B$62,MATCH($C845,프로젝트목록!$A$3:$A$62,0)),"미등록코드"))</f>
        <v/>
      </c>
      <c r="E845" s="32" t="n"/>
      <c r="F845" s="38" t="n"/>
      <c r="G845" s="38" t="n"/>
      <c r="H845" s="39" t="n"/>
      <c r="I845" s="40" t="str">
        <f>IF(OR($J845="",$K845=""),"",ROUND(MAX(0,($K845-$J845)-IF($H845="",0,$H845))/60,2))</f>
        <v/>
      </c>
      <c r="J845" s="41" t="str">
        <f>IF($F845="","",IF($F845&lt;1,ROUND($F845*1440,0),INT($F845/100)*60+MOD($F845,100)))</f>
        <v/>
      </c>
      <c r="K845" s="41" t="str">
        <f>IF($G845="","",IF($G845&lt;1,ROUND($G845*1440,0),INT($G845/100)*60+MOD($G845,100)))</f>
        <v/>
      </c>
    </row>
    <row r="846" ht="15" customHeight="1" s="26">
      <c r="A846" s="34" t="n"/>
      <c r="B846" s="32" t="n"/>
      <c r="C846" s="33" t="n"/>
      <c r="D846" s="37" t="str">
        <f>IF($C846="","",IFERROR(INDEX(프로젝트목록!$B$3:$B$62,MATCH($C846,프로젝트목록!$A$3:$A$62,0)),"미등록코드"))</f>
        <v/>
      </c>
      <c r="E846" s="32" t="n"/>
      <c r="F846" s="38" t="n"/>
      <c r="G846" s="38" t="n"/>
      <c r="H846" s="39" t="n"/>
      <c r="I846" s="40" t="str">
        <f>IF(OR($J846="",$K846=""),"",ROUND(MAX(0,($K846-$J846)-IF($H846="",0,$H846))/60,2))</f>
        <v/>
      </c>
      <c r="J846" s="41" t="str">
        <f>IF($F846="","",IF($F846&lt;1,ROUND($F846*1440,0),INT($F846/100)*60+MOD($F846,100)))</f>
        <v/>
      </c>
      <c r="K846" s="41" t="str">
        <f>IF($G846="","",IF($G846&lt;1,ROUND($G846*1440,0),INT($G846/100)*60+MOD($G846,100)))</f>
        <v/>
      </c>
    </row>
    <row r="847" ht="15" customHeight="1" s="26">
      <c r="A847" s="34" t="n"/>
      <c r="B847" s="32" t="n"/>
      <c r="C847" s="33" t="n"/>
      <c r="D847" s="37" t="str">
        <f>IF($C847="","",IFERROR(INDEX(프로젝트목록!$B$3:$B$62,MATCH($C847,프로젝트목록!$A$3:$A$62,0)),"미등록코드"))</f>
        <v/>
      </c>
      <c r="E847" s="32" t="n"/>
      <c r="F847" s="38" t="n"/>
      <c r="G847" s="38" t="n"/>
      <c r="H847" s="39" t="n"/>
      <c r="I847" s="40" t="str">
        <f>IF(OR($J847="",$K847=""),"",ROUND(MAX(0,($K847-$J847)-IF($H847="",0,$H847))/60,2))</f>
        <v/>
      </c>
      <c r="J847" s="41" t="str">
        <f>IF($F847="","",IF($F847&lt;1,ROUND($F847*1440,0),INT($F847/100)*60+MOD($F847,100)))</f>
        <v/>
      </c>
      <c r="K847" s="41" t="str">
        <f>IF($G847="","",IF($G847&lt;1,ROUND($G847*1440,0),INT($G847/100)*60+MOD($G847,100)))</f>
        <v/>
      </c>
    </row>
    <row r="848" ht="15" customHeight="1" s="26">
      <c r="A848" s="34" t="n"/>
      <c r="B848" s="32" t="n"/>
      <c r="C848" s="33" t="n"/>
      <c r="D848" s="37" t="str">
        <f>IF($C848="","",IFERROR(INDEX(프로젝트목록!$B$3:$B$62,MATCH($C848,프로젝트목록!$A$3:$A$62,0)),"미등록코드"))</f>
        <v/>
      </c>
      <c r="E848" s="32" t="n"/>
      <c r="F848" s="38" t="n"/>
      <c r="G848" s="38" t="n"/>
      <c r="H848" s="39" t="n"/>
      <c r="I848" s="40" t="str">
        <f>IF(OR($J848="",$K848=""),"",ROUND(MAX(0,($K848-$J848)-IF($H848="",0,$H848))/60,2))</f>
        <v/>
      </c>
      <c r="J848" s="41" t="str">
        <f>IF($F848="","",IF($F848&lt;1,ROUND($F848*1440,0),INT($F848/100)*60+MOD($F848,100)))</f>
        <v/>
      </c>
      <c r="K848" s="41" t="str">
        <f>IF($G848="","",IF($G848&lt;1,ROUND($G848*1440,0),INT($G848/100)*60+MOD($G848,100)))</f>
        <v/>
      </c>
    </row>
    <row r="849" ht="15" customHeight="1" s="26">
      <c r="A849" s="34" t="n"/>
      <c r="B849" s="32" t="n"/>
      <c r="C849" s="33" t="n"/>
      <c r="D849" s="37" t="str">
        <f>IF($C849="","",IFERROR(INDEX(프로젝트목록!$B$3:$B$62,MATCH($C849,프로젝트목록!$A$3:$A$62,0)),"미등록코드"))</f>
        <v/>
      </c>
      <c r="E849" s="32" t="n"/>
      <c r="F849" s="38" t="n"/>
      <c r="G849" s="38" t="n"/>
      <c r="H849" s="39" t="n"/>
      <c r="I849" s="40" t="str">
        <f>IF(OR($J849="",$K849=""),"",ROUND(MAX(0,($K849-$J849)-IF($H849="",0,$H849))/60,2))</f>
        <v/>
      </c>
      <c r="J849" s="41" t="str">
        <f>IF($F849="","",IF($F849&lt;1,ROUND($F849*1440,0),INT($F849/100)*60+MOD($F849,100)))</f>
        <v/>
      </c>
      <c r="K849" s="41" t="str">
        <f>IF($G849="","",IF($G849&lt;1,ROUND($G849*1440,0),INT($G849/100)*60+MOD($G849,100)))</f>
        <v/>
      </c>
    </row>
    <row r="850" ht="15" customHeight="1" s="26">
      <c r="A850" s="34" t="n"/>
      <c r="B850" s="32" t="n"/>
      <c r="C850" s="33" t="n"/>
      <c r="D850" s="37" t="str">
        <f>IF($C850="","",IFERROR(INDEX(프로젝트목록!$B$3:$B$62,MATCH($C850,프로젝트목록!$A$3:$A$62,0)),"미등록코드"))</f>
        <v/>
      </c>
      <c r="E850" s="32" t="n"/>
      <c r="F850" s="38" t="n"/>
      <c r="G850" s="38" t="n"/>
      <c r="H850" s="39" t="n"/>
      <c r="I850" s="40" t="str">
        <f>IF(OR($J850="",$K850=""),"",ROUND(MAX(0,($K850-$J850)-IF($H850="",0,$H850))/60,2))</f>
        <v/>
      </c>
      <c r="J850" s="41" t="str">
        <f>IF($F850="","",IF($F850&lt;1,ROUND($F850*1440,0),INT($F850/100)*60+MOD($F850,100)))</f>
        <v/>
      </c>
      <c r="K850" s="41" t="str">
        <f>IF($G850="","",IF($G850&lt;1,ROUND($G850*1440,0),INT($G850/100)*60+MOD($G850,100)))</f>
        <v/>
      </c>
    </row>
    <row r="851" ht="15" customHeight="1" s="26">
      <c r="A851" s="34" t="n"/>
      <c r="B851" s="32" t="n"/>
      <c r="C851" s="33" t="n"/>
      <c r="D851" s="37" t="str">
        <f>IF($C851="","",IFERROR(INDEX(프로젝트목록!$B$3:$B$62,MATCH($C851,프로젝트목록!$A$3:$A$62,0)),"미등록코드"))</f>
        <v/>
      </c>
      <c r="E851" s="32" t="n"/>
      <c r="F851" s="38" t="n"/>
      <c r="G851" s="38" t="n"/>
      <c r="H851" s="39" t="n"/>
      <c r="I851" s="40" t="str">
        <f>IF(OR($J851="",$K851=""),"",ROUND(MAX(0,($K851-$J851)-IF($H851="",0,$H851))/60,2))</f>
        <v/>
      </c>
      <c r="J851" s="41" t="str">
        <f>IF($F851="","",IF($F851&lt;1,ROUND($F851*1440,0),INT($F851/100)*60+MOD($F851,100)))</f>
        <v/>
      </c>
      <c r="K851" s="41" t="str">
        <f>IF($G851="","",IF($G851&lt;1,ROUND($G851*1440,0),INT($G851/100)*60+MOD($G851,100)))</f>
        <v/>
      </c>
    </row>
    <row r="852" ht="15" customHeight="1" s="26">
      <c r="A852" s="34" t="n"/>
      <c r="B852" s="32" t="n"/>
      <c r="C852" s="33" t="n"/>
      <c r="D852" s="37" t="str">
        <f>IF($C852="","",IFERROR(INDEX(프로젝트목록!$B$3:$B$62,MATCH($C852,프로젝트목록!$A$3:$A$62,0)),"미등록코드"))</f>
        <v/>
      </c>
      <c r="E852" s="32" t="n"/>
      <c r="F852" s="38" t="n"/>
      <c r="G852" s="38" t="n"/>
      <c r="H852" s="39" t="n"/>
      <c r="I852" s="40" t="str">
        <f>IF(OR($J852="",$K852=""),"",ROUND(MAX(0,($K852-$J852)-IF($H852="",0,$H852))/60,2))</f>
        <v/>
      </c>
      <c r="J852" s="41" t="str">
        <f>IF($F852="","",IF($F852&lt;1,ROUND($F852*1440,0),INT($F852/100)*60+MOD($F852,100)))</f>
        <v/>
      </c>
      <c r="K852" s="41" t="str">
        <f>IF($G852="","",IF($G852&lt;1,ROUND($G852*1440,0),INT($G852/100)*60+MOD($G852,100)))</f>
        <v/>
      </c>
    </row>
    <row r="853" ht="15" customHeight="1" s="26">
      <c r="A853" s="34" t="n"/>
      <c r="B853" s="32" t="n"/>
      <c r="C853" s="33" t="n"/>
      <c r="D853" s="37" t="str">
        <f>IF($C853="","",IFERROR(INDEX(프로젝트목록!$B$3:$B$62,MATCH($C853,프로젝트목록!$A$3:$A$62,0)),"미등록코드"))</f>
        <v/>
      </c>
      <c r="E853" s="32" t="n"/>
      <c r="F853" s="38" t="n"/>
      <c r="G853" s="38" t="n"/>
      <c r="H853" s="39" t="n"/>
      <c r="I853" s="40" t="str">
        <f>IF(OR($J853="",$K853=""),"",ROUND(MAX(0,($K853-$J853)-IF($H853="",0,$H853))/60,2))</f>
        <v/>
      </c>
      <c r="J853" s="41" t="str">
        <f>IF($F853="","",IF($F853&lt;1,ROUND($F853*1440,0),INT($F853/100)*60+MOD($F853,100)))</f>
        <v/>
      </c>
      <c r="K853" s="41" t="str">
        <f>IF($G853="","",IF($G853&lt;1,ROUND($G853*1440,0),INT($G853/100)*60+MOD($G853,100)))</f>
        <v/>
      </c>
    </row>
    <row r="854" ht="15" customHeight="1" s="26">
      <c r="A854" s="34" t="n"/>
      <c r="B854" s="32" t="n"/>
      <c r="C854" s="33" t="n"/>
      <c r="D854" s="37" t="str">
        <f>IF($C854="","",IFERROR(INDEX(프로젝트목록!$B$3:$B$62,MATCH($C854,프로젝트목록!$A$3:$A$62,0)),"미등록코드"))</f>
        <v/>
      </c>
      <c r="E854" s="32" t="n"/>
      <c r="F854" s="38" t="n"/>
      <c r="G854" s="38" t="n"/>
      <c r="H854" s="39" t="n"/>
      <c r="I854" s="40" t="str">
        <f>IF(OR($J854="",$K854=""),"",ROUND(MAX(0,($K854-$J854)-IF($H854="",0,$H854))/60,2))</f>
        <v/>
      </c>
      <c r="J854" s="41" t="str">
        <f>IF($F854="","",IF($F854&lt;1,ROUND($F854*1440,0),INT($F854/100)*60+MOD($F854,100)))</f>
        <v/>
      </c>
      <c r="K854" s="41" t="str">
        <f>IF($G854="","",IF($G854&lt;1,ROUND($G854*1440,0),INT($G854/100)*60+MOD($G854,100)))</f>
        <v/>
      </c>
    </row>
    <row r="855" ht="15" customHeight="1" s="26">
      <c r="A855" s="34" t="n"/>
      <c r="B855" s="32" t="n"/>
      <c r="C855" s="33" t="n"/>
      <c r="D855" s="37" t="str">
        <f>IF($C855="","",IFERROR(INDEX(프로젝트목록!$B$3:$B$62,MATCH($C855,프로젝트목록!$A$3:$A$62,0)),"미등록코드"))</f>
        <v/>
      </c>
      <c r="E855" s="32" t="n"/>
      <c r="F855" s="38" t="n"/>
      <c r="G855" s="38" t="n"/>
      <c r="H855" s="39" t="n"/>
      <c r="I855" s="40" t="str">
        <f>IF(OR($J855="",$K855=""),"",ROUND(MAX(0,($K855-$J855)-IF($H855="",0,$H855))/60,2))</f>
        <v/>
      </c>
      <c r="J855" s="41" t="str">
        <f>IF($F855="","",IF($F855&lt;1,ROUND($F855*1440,0),INT($F855/100)*60+MOD($F855,100)))</f>
        <v/>
      </c>
      <c r="K855" s="41" t="str">
        <f>IF($G855="","",IF($G855&lt;1,ROUND($G855*1440,0),INT($G855/100)*60+MOD($G855,100)))</f>
        <v/>
      </c>
    </row>
    <row r="856" ht="15" customHeight="1" s="26">
      <c r="A856" s="34" t="n"/>
      <c r="B856" s="32" t="n"/>
      <c r="C856" s="33" t="n"/>
      <c r="D856" s="37" t="str">
        <f>IF($C856="","",IFERROR(INDEX(프로젝트목록!$B$3:$B$62,MATCH($C856,프로젝트목록!$A$3:$A$62,0)),"미등록코드"))</f>
        <v/>
      </c>
      <c r="E856" s="32" t="n"/>
      <c r="F856" s="38" t="n"/>
      <c r="G856" s="38" t="n"/>
      <c r="H856" s="39" t="n"/>
      <c r="I856" s="40" t="str">
        <f>IF(OR($J856="",$K856=""),"",ROUND(MAX(0,($K856-$J856)-IF($H856="",0,$H856))/60,2))</f>
        <v/>
      </c>
      <c r="J856" s="41" t="str">
        <f>IF($F856="","",IF($F856&lt;1,ROUND($F856*1440,0),INT($F856/100)*60+MOD($F856,100)))</f>
        <v/>
      </c>
      <c r="K856" s="41" t="str">
        <f>IF($G856="","",IF($G856&lt;1,ROUND($G856*1440,0),INT($G856/100)*60+MOD($G856,100)))</f>
        <v/>
      </c>
    </row>
    <row r="857" ht="15" customHeight="1" s="26">
      <c r="A857" s="34" t="n"/>
      <c r="B857" s="32" t="n"/>
      <c r="C857" s="33" t="n"/>
      <c r="D857" s="37" t="str">
        <f>IF($C857="","",IFERROR(INDEX(프로젝트목록!$B$3:$B$62,MATCH($C857,프로젝트목록!$A$3:$A$62,0)),"미등록코드"))</f>
        <v/>
      </c>
      <c r="E857" s="32" t="n"/>
      <c r="F857" s="38" t="n"/>
      <c r="G857" s="38" t="n"/>
      <c r="H857" s="39" t="n"/>
      <c r="I857" s="40" t="str">
        <f>IF(OR($J857="",$K857=""),"",ROUND(MAX(0,($K857-$J857)-IF($H857="",0,$H857))/60,2))</f>
        <v/>
      </c>
      <c r="J857" s="41" t="str">
        <f>IF($F857="","",IF($F857&lt;1,ROUND($F857*1440,0),INT($F857/100)*60+MOD($F857,100)))</f>
        <v/>
      </c>
      <c r="K857" s="41" t="str">
        <f>IF($G857="","",IF($G857&lt;1,ROUND($G857*1440,0),INT($G857/100)*60+MOD($G857,100)))</f>
        <v/>
      </c>
    </row>
    <row r="858" ht="15" customHeight="1" s="26">
      <c r="A858" s="34" t="n"/>
      <c r="B858" s="32" t="n"/>
      <c r="C858" s="33" t="n"/>
      <c r="D858" s="37" t="str">
        <f>IF($C858="","",IFERROR(INDEX(프로젝트목록!$B$3:$B$62,MATCH($C858,프로젝트목록!$A$3:$A$62,0)),"미등록코드"))</f>
        <v/>
      </c>
      <c r="E858" s="32" t="n"/>
      <c r="F858" s="38" t="n"/>
      <c r="G858" s="38" t="n"/>
      <c r="H858" s="39" t="n"/>
      <c r="I858" s="40" t="str">
        <f>IF(OR($J858="",$K858=""),"",ROUND(MAX(0,($K858-$J858)-IF($H858="",0,$H858))/60,2))</f>
        <v/>
      </c>
      <c r="J858" s="41" t="str">
        <f>IF($F858="","",IF($F858&lt;1,ROUND($F858*1440,0),INT($F858/100)*60+MOD($F858,100)))</f>
        <v/>
      </c>
      <c r="K858" s="41" t="str">
        <f>IF($G858="","",IF($G858&lt;1,ROUND($G858*1440,0),INT($G858/100)*60+MOD($G858,100)))</f>
        <v/>
      </c>
    </row>
    <row r="859" ht="15" customHeight="1" s="26">
      <c r="A859" s="34" t="n"/>
      <c r="B859" s="32" t="n"/>
      <c r="C859" s="33" t="n"/>
      <c r="D859" s="37" t="str">
        <f>IF($C859="","",IFERROR(INDEX(프로젝트목록!$B$3:$B$62,MATCH($C859,프로젝트목록!$A$3:$A$62,0)),"미등록코드"))</f>
        <v/>
      </c>
      <c r="E859" s="32" t="n"/>
      <c r="F859" s="38" t="n"/>
      <c r="G859" s="38" t="n"/>
      <c r="H859" s="39" t="n"/>
      <c r="I859" s="40" t="str">
        <f>IF(OR($J859="",$K859=""),"",ROUND(MAX(0,($K859-$J859)-IF($H859="",0,$H859))/60,2))</f>
        <v/>
      </c>
      <c r="J859" s="41" t="str">
        <f>IF($F859="","",IF($F859&lt;1,ROUND($F859*1440,0),INT($F859/100)*60+MOD($F859,100)))</f>
        <v/>
      </c>
      <c r="K859" s="41" t="str">
        <f>IF($G859="","",IF($G859&lt;1,ROUND($G859*1440,0),INT($G859/100)*60+MOD($G859,100)))</f>
        <v/>
      </c>
    </row>
    <row r="860" ht="15" customHeight="1" s="26">
      <c r="A860" s="34" t="n"/>
      <c r="B860" s="32" t="n"/>
      <c r="C860" s="33" t="n"/>
      <c r="D860" s="37" t="str">
        <f>IF($C860="","",IFERROR(INDEX(프로젝트목록!$B$3:$B$62,MATCH($C860,프로젝트목록!$A$3:$A$62,0)),"미등록코드"))</f>
        <v/>
      </c>
      <c r="E860" s="32" t="n"/>
      <c r="F860" s="38" t="n"/>
      <c r="G860" s="38" t="n"/>
      <c r="H860" s="39" t="n"/>
      <c r="I860" s="40" t="str">
        <f>IF(OR($J860="",$K860=""),"",ROUND(MAX(0,($K860-$J860)-IF($H860="",0,$H860))/60,2))</f>
        <v/>
      </c>
      <c r="J860" s="41" t="str">
        <f>IF($F860="","",IF($F860&lt;1,ROUND($F860*1440,0),INT($F860/100)*60+MOD($F860,100)))</f>
        <v/>
      </c>
      <c r="K860" s="41" t="str">
        <f>IF($G860="","",IF($G860&lt;1,ROUND($G860*1440,0),INT($G860/100)*60+MOD($G860,100)))</f>
        <v/>
      </c>
    </row>
    <row r="861" ht="15" customHeight="1" s="26">
      <c r="A861" s="34" t="n"/>
      <c r="B861" s="32" t="n"/>
      <c r="C861" s="33" t="n"/>
      <c r="D861" s="37" t="str">
        <f>IF($C861="","",IFERROR(INDEX(프로젝트목록!$B$3:$B$62,MATCH($C861,프로젝트목록!$A$3:$A$62,0)),"미등록코드"))</f>
        <v/>
      </c>
      <c r="E861" s="32" t="n"/>
      <c r="F861" s="38" t="n"/>
      <c r="G861" s="38" t="n"/>
      <c r="H861" s="39" t="n"/>
      <c r="I861" s="40" t="str">
        <f>IF(OR($J861="",$K861=""),"",ROUND(MAX(0,($K861-$J861)-IF($H861="",0,$H861))/60,2))</f>
        <v/>
      </c>
      <c r="J861" s="41" t="str">
        <f>IF($F861="","",IF($F861&lt;1,ROUND($F861*1440,0),INT($F861/100)*60+MOD($F861,100)))</f>
        <v/>
      </c>
      <c r="K861" s="41" t="str">
        <f>IF($G861="","",IF($G861&lt;1,ROUND($G861*1440,0),INT($G861/100)*60+MOD($G861,100)))</f>
        <v/>
      </c>
    </row>
    <row r="862" ht="15" customHeight="1" s="26">
      <c r="A862" s="34" t="n"/>
      <c r="B862" s="32" t="n"/>
      <c r="C862" s="33" t="n"/>
      <c r="D862" s="37" t="str">
        <f>IF($C862="","",IFERROR(INDEX(프로젝트목록!$B$3:$B$62,MATCH($C862,프로젝트목록!$A$3:$A$62,0)),"미등록코드"))</f>
        <v/>
      </c>
      <c r="E862" s="32" t="n"/>
      <c r="F862" s="38" t="n"/>
      <c r="G862" s="38" t="n"/>
      <c r="H862" s="39" t="n"/>
      <c r="I862" s="40" t="str">
        <f>IF(OR($J862="",$K862=""),"",ROUND(MAX(0,($K862-$J862)-IF($H862="",0,$H862))/60,2))</f>
        <v/>
      </c>
      <c r="J862" s="41" t="str">
        <f>IF($F862="","",IF($F862&lt;1,ROUND($F862*1440,0),INT($F862/100)*60+MOD($F862,100)))</f>
        <v/>
      </c>
      <c r="K862" s="41" t="str">
        <f>IF($G862="","",IF($G862&lt;1,ROUND($G862*1440,0),INT($G862/100)*60+MOD($G862,100)))</f>
        <v/>
      </c>
    </row>
    <row r="863" ht="15" customHeight="1" s="26">
      <c r="A863" s="34" t="n"/>
      <c r="B863" s="32" t="n"/>
      <c r="C863" s="33" t="n"/>
      <c r="D863" s="37" t="str">
        <f>IF($C863="","",IFERROR(INDEX(프로젝트목록!$B$3:$B$62,MATCH($C863,프로젝트목록!$A$3:$A$62,0)),"미등록코드"))</f>
        <v/>
      </c>
      <c r="E863" s="32" t="n"/>
      <c r="F863" s="38" t="n"/>
      <c r="G863" s="38" t="n"/>
      <c r="H863" s="39" t="n"/>
      <c r="I863" s="40" t="str">
        <f>IF(OR($J863="",$K863=""),"",ROUND(MAX(0,($K863-$J863)-IF($H863="",0,$H863))/60,2))</f>
        <v/>
      </c>
      <c r="J863" s="41" t="str">
        <f>IF($F863="","",IF($F863&lt;1,ROUND($F863*1440,0),INT($F863/100)*60+MOD($F863,100)))</f>
        <v/>
      </c>
      <c r="K863" s="41" t="str">
        <f>IF($G863="","",IF($G863&lt;1,ROUND($G863*1440,0),INT($G863/100)*60+MOD($G863,100)))</f>
        <v/>
      </c>
    </row>
    <row r="864" ht="15" customHeight="1" s="26">
      <c r="A864" s="34" t="n"/>
      <c r="B864" s="32" t="n"/>
      <c r="C864" s="33" t="n"/>
      <c r="D864" s="37" t="str">
        <f>IF($C864="","",IFERROR(INDEX(프로젝트목록!$B$3:$B$62,MATCH($C864,프로젝트목록!$A$3:$A$62,0)),"미등록코드"))</f>
        <v/>
      </c>
      <c r="E864" s="32" t="n"/>
      <c r="F864" s="38" t="n"/>
      <c r="G864" s="38" t="n"/>
      <c r="H864" s="39" t="n"/>
      <c r="I864" s="40" t="str">
        <f>IF(OR($J864="",$K864=""),"",ROUND(MAX(0,($K864-$J864)-IF($H864="",0,$H864))/60,2))</f>
        <v/>
      </c>
      <c r="J864" s="41" t="str">
        <f>IF($F864="","",IF($F864&lt;1,ROUND($F864*1440,0),INT($F864/100)*60+MOD($F864,100)))</f>
        <v/>
      </c>
      <c r="K864" s="41" t="str">
        <f>IF($G864="","",IF($G864&lt;1,ROUND($G864*1440,0),INT($G864/100)*60+MOD($G864,100)))</f>
        <v/>
      </c>
    </row>
    <row r="865" ht="15" customHeight="1" s="26">
      <c r="A865" s="34" t="n"/>
      <c r="B865" s="32" t="n"/>
      <c r="C865" s="33" t="n"/>
      <c r="D865" s="37" t="str">
        <f>IF($C865="","",IFERROR(INDEX(프로젝트목록!$B$3:$B$62,MATCH($C865,프로젝트목록!$A$3:$A$62,0)),"미등록코드"))</f>
        <v/>
      </c>
      <c r="E865" s="32" t="n"/>
      <c r="F865" s="38" t="n"/>
      <c r="G865" s="38" t="n"/>
      <c r="H865" s="39" t="n"/>
      <c r="I865" s="40" t="str">
        <f>IF(OR($J865="",$K865=""),"",ROUND(MAX(0,($K865-$J865)-IF($H865="",0,$H865))/60,2))</f>
        <v/>
      </c>
      <c r="J865" s="41" t="str">
        <f>IF($F865="","",IF($F865&lt;1,ROUND($F865*1440,0),INT($F865/100)*60+MOD($F865,100)))</f>
        <v/>
      </c>
      <c r="K865" s="41" t="str">
        <f>IF($G865="","",IF($G865&lt;1,ROUND($G865*1440,0),INT($G865/100)*60+MOD($G865,100)))</f>
        <v/>
      </c>
    </row>
    <row r="866" ht="15" customHeight="1" s="26">
      <c r="A866" s="34" t="n"/>
      <c r="B866" s="32" t="n"/>
      <c r="C866" s="33" t="n"/>
      <c r="D866" s="37" t="str">
        <f>IF($C866="","",IFERROR(INDEX(프로젝트목록!$B$3:$B$62,MATCH($C866,프로젝트목록!$A$3:$A$62,0)),"미등록코드"))</f>
        <v/>
      </c>
      <c r="E866" s="32" t="n"/>
      <c r="F866" s="38" t="n"/>
      <c r="G866" s="38" t="n"/>
      <c r="H866" s="39" t="n"/>
      <c r="I866" s="40" t="str">
        <f>IF(OR($J866="",$K866=""),"",ROUND(MAX(0,($K866-$J866)-IF($H866="",0,$H866))/60,2))</f>
        <v/>
      </c>
      <c r="J866" s="41" t="str">
        <f>IF($F866="","",IF($F866&lt;1,ROUND($F866*1440,0),INT($F866/100)*60+MOD($F866,100)))</f>
        <v/>
      </c>
      <c r="K866" s="41" t="str">
        <f>IF($G866="","",IF($G866&lt;1,ROUND($G866*1440,0),INT($G866/100)*60+MOD($G866,100)))</f>
        <v/>
      </c>
    </row>
    <row r="867" ht="15" customHeight="1" s="26">
      <c r="A867" s="34" t="n"/>
      <c r="B867" s="32" t="n"/>
      <c r="C867" s="33" t="n"/>
      <c r="D867" s="37" t="str">
        <f>IF($C867="","",IFERROR(INDEX(프로젝트목록!$B$3:$B$62,MATCH($C867,프로젝트목록!$A$3:$A$62,0)),"미등록코드"))</f>
        <v/>
      </c>
      <c r="E867" s="32" t="n"/>
      <c r="F867" s="38" t="n"/>
      <c r="G867" s="38" t="n"/>
      <c r="H867" s="39" t="n"/>
      <c r="I867" s="40" t="str">
        <f>IF(OR($J867="",$K867=""),"",ROUND(MAX(0,($K867-$J867)-IF($H867="",0,$H867))/60,2))</f>
        <v/>
      </c>
      <c r="J867" s="41" t="str">
        <f>IF($F867="","",IF($F867&lt;1,ROUND($F867*1440,0),INT($F867/100)*60+MOD($F867,100)))</f>
        <v/>
      </c>
      <c r="K867" s="41" t="str">
        <f>IF($G867="","",IF($G867&lt;1,ROUND($G867*1440,0),INT($G867/100)*60+MOD($G867,100)))</f>
        <v/>
      </c>
    </row>
    <row r="868" ht="15" customHeight="1" s="26">
      <c r="A868" s="34" t="n"/>
      <c r="B868" s="32" t="n"/>
      <c r="C868" s="33" t="n"/>
      <c r="D868" s="37" t="str">
        <f>IF($C868="","",IFERROR(INDEX(프로젝트목록!$B$3:$B$62,MATCH($C868,프로젝트목록!$A$3:$A$62,0)),"미등록코드"))</f>
        <v/>
      </c>
      <c r="E868" s="32" t="n"/>
      <c r="F868" s="38" t="n"/>
      <c r="G868" s="38" t="n"/>
      <c r="H868" s="39" t="n"/>
      <c r="I868" s="40" t="str">
        <f>IF(OR($J868="",$K868=""),"",ROUND(MAX(0,($K868-$J868)-IF($H868="",0,$H868))/60,2))</f>
        <v/>
      </c>
      <c r="J868" s="41" t="str">
        <f>IF($F868="","",IF($F868&lt;1,ROUND($F868*1440,0),INT($F868/100)*60+MOD($F868,100)))</f>
        <v/>
      </c>
      <c r="K868" s="41" t="str">
        <f>IF($G868="","",IF($G868&lt;1,ROUND($G868*1440,0),INT($G868/100)*60+MOD($G868,100)))</f>
        <v/>
      </c>
    </row>
    <row r="869" ht="15" customHeight="1" s="26">
      <c r="A869" s="34" t="n"/>
      <c r="B869" s="32" t="n"/>
      <c r="C869" s="33" t="n"/>
      <c r="D869" s="37" t="str">
        <f>IF($C869="","",IFERROR(INDEX(프로젝트목록!$B$3:$B$62,MATCH($C869,프로젝트목록!$A$3:$A$62,0)),"미등록코드"))</f>
        <v/>
      </c>
      <c r="E869" s="32" t="n"/>
      <c r="F869" s="38" t="n"/>
      <c r="G869" s="38" t="n"/>
      <c r="H869" s="39" t="n"/>
      <c r="I869" s="40" t="str">
        <f>IF(OR($J869="",$K869=""),"",ROUND(MAX(0,($K869-$J869)-IF($H869="",0,$H869))/60,2))</f>
        <v/>
      </c>
      <c r="J869" s="41" t="str">
        <f>IF($F869="","",IF($F869&lt;1,ROUND($F869*1440,0),INT($F869/100)*60+MOD($F869,100)))</f>
        <v/>
      </c>
      <c r="K869" s="41" t="str">
        <f>IF($G869="","",IF($G869&lt;1,ROUND($G869*1440,0),INT($G869/100)*60+MOD($G869,100)))</f>
        <v/>
      </c>
    </row>
    <row r="870" ht="15" customHeight="1" s="26">
      <c r="A870" s="34" t="n"/>
      <c r="B870" s="32" t="n"/>
      <c r="C870" s="33" t="n"/>
      <c r="D870" s="37" t="str">
        <f>IF($C870="","",IFERROR(INDEX(프로젝트목록!$B$3:$B$62,MATCH($C870,프로젝트목록!$A$3:$A$62,0)),"미등록코드"))</f>
        <v/>
      </c>
      <c r="E870" s="32" t="n"/>
      <c r="F870" s="38" t="n"/>
      <c r="G870" s="38" t="n"/>
      <c r="H870" s="39" t="n"/>
      <c r="I870" s="40" t="str">
        <f>IF(OR($J870="",$K870=""),"",ROUND(MAX(0,($K870-$J870)-IF($H870="",0,$H870))/60,2))</f>
        <v/>
      </c>
      <c r="J870" s="41" t="str">
        <f>IF($F870="","",IF($F870&lt;1,ROUND($F870*1440,0),INT($F870/100)*60+MOD($F870,100)))</f>
        <v/>
      </c>
      <c r="K870" s="41" t="str">
        <f>IF($G870="","",IF($G870&lt;1,ROUND($G870*1440,0),INT($G870/100)*60+MOD($G870,100)))</f>
        <v/>
      </c>
    </row>
    <row r="871" ht="15" customHeight="1" s="26">
      <c r="A871" s="34" t="n"/>
      <c r="B871" s="32" t="n"/>
      <c r="C871" s="33" t="n"/>
      <c r="D871" s="37" t="str">
        <f>IF($C871="","",IFERROR(INDEX(프로젝트목록!$B$3:$B$62,MATCH($C871,프로젝트목록!$A$3:$A$62,0)),"미등록코드"))</f>
        <v/>
      </c>
      <c r="E871" s="32" t="n"/>
      <c r="F871" s="38" t="n"/>
      <c r="G871" s="38" t="n"/>
      <c r="H871" s="39" t="n"/>
      <c r="I871" s="40" t="str">
        <f>IF(OR($J871="",$K871=""),"",ROUND(MAX(0,($K871-$J871)-IF($H871="",0,$H871))/60,2))</f>
        <v/>
      </c>
      <c r="J871" s="41" t="str">
        <f>IF($F871="","",IF($F871&lt;1,ROUND($F871*1440,0),INT($F871/100)*60+MOD($F871,100)))</f>
        <v/>
      </c>
      <c r="K871" s="41" t="str">
        <f>IF($G871="","",IF($G871&lt;1,ROUND($G871*1440,0),INT($G871/100)*60+MOD($G871,100)))</f>
        <v/>
      </c>
    </row>
    <row r="872" ht="15" customHeight="1" s="26">
      <c r="A872" s="34" t="n"/>
      <c r="B872" s="32" t="n"/>
      <c r="C872" s="33" t="n"/>
      <c r="D872" s="37" t="str">
        <f>IF($C872="","",IFERROR(INDEX(프로젝트목록!$B$3:$B$62,MATCH($C872,프로젝트목록!$A$3:$A$62,0)),"미등록코드"))</f>
        <v/>
      </c>
      <c r="E872" s="32" t="n"/>
      <c r="F872" s="38" t="n"/>
      <c r="G872" s="38" t="n"/>
      <c r="H872" s="39" t="n"/>
      <c r="I872" s="40" t="str">
        <f>IF(OR($J872="",$K872=""),"",ROUND(MAX(0,($K872-$J872)-IF($H872="",0,$H872))/60,2))</f>
        <v/>
      </c>
      <c r="J872" s="41" t="str">
        <f>IF($F872="","",IF($F872&lt;1,ROUND($F872*1440,0),INT($F872/100)*60+MOD($F872,100)))</f>
        <v/>
      </c>
      <c r="K872" s="41" t="str">
        <f>IF($G872="","",IF($G872&lt;1,ROUND($G872*1440,0),INT($G872/100)*60+MOD($G872,100)))</f>
        <v/>
      </c>
    </row>
    <row r="873" ht="15" customHeight="1" s="26">
      <c r="A873" s="34" t="n"/>
      <c r="B873" s="32" t="n"/>
      <c r="C873" s="33" t="n"/>
      <c r="D873" s="37" t="str">
        <f>IF($C873="","",IFERROR(INDEX(프로젝트목록!$B$3:$B$62,MATCH($C873,프로젝트목록!$A$3:$A$62,0)),"미등록코드"))</f>
        <v/>
      </c>
      <c r="E873" s="32" t="n"/>
      <c r="F873" s="38" t="n"/>
      <c r="G873" s="38" t="n"/>
      <c r="H873" s="39" t="n"/>
      <c r="I873" s="40" t="str">
        <f>IF(OR($J873="",$K873=""),"",ROUND(MAX(0,($K873-$J873)-IF($H873="",0,$H873))/60,2))</f>
        <v/>
      </c>
      <c r="J873" s="41" t="str">
        <f>IF($F873="","",IF($F873&lt;1,ROUND($F873*1440,0),INT($F873/100)*60+MOD($F873,100)))</f>
        <v/>
      </c>
      <c r="K873" s="41" t="str">
        <f>IF($G873="","",IF($G873&lt;1,ROUND($G873*1440,0),INT($G873/100)*60+MOD($G873,100)))</f>
        <v/>
      </c>
    </row>
    <row r="874" ht="15" customHeight="1" s="26">
      <c r="A874" s="34" t="n"/>
      <c r="B874" s="32" t="n"/>
      <c r="C874" s="33" t="n"/>
      <c r="D874" s="37" t="str">
        <f>IF($C874="","",IFERROR(INDEX(프로젝트목록!$B$3:$B$62,MATCH($C874,프로젝트목록!$A$3:$A$62,0)),"미등록코드"))</f>
        <v/>
      </c>
      <c r="E874" s="32" t="n"/>
      <c r="F874" s="38" t="n"/>
      <c r="G874" s="38" t="n"/>
      <c r="H874" s="39" t="n"/>
      <c r="I874" s="40" t="str">
        <f>IF(OR($J874="",$K874=""),"",ROUND(MAX(0,($K874-$J874)-IF($H874="",0,$H874))/60,2))</f>
        <v/>
      </c>
      <c r="J874" s="41" t="str">
        <f>IF($F874="","",IF($F874&lt;1,ROUND($F874*1440,0),INT($F874/100)*60+MOD($F874,100)))</f>
        <v/>
      </c>
      <c r="K874" s="41" t="str">
        <f>IF($G874="","",IF($G874&lt;1,ROUND($G874*1440,0),INT($G874/100)*60+MOD($G874,100)))</f>
        <v/>
      </c>
    </row>
    <row r="875" ht="15" customHeight="1" s="26">
      <c r="A875" s="34" t="n"/>
      <c r="B875" s="32" t="n"/>
      <c r="C875" s="33" t="n"/>
      <c r="D875" s="37" t="str">
        <f>IF($C875="","",IFERROR(INDEX(프로젝트목록!$B$3:$B$62,MATCH($C875,프로젝트목록!$A$3:$A$62,0)),"미등록코드"))</f>
        <v/>
      </c>
      <c r="E875" s="32" t="n"/>
      <c r="F875" s="38" t="n"/>
      <c r="G875" s="38" t="n"/>
      <c r="H875" s="39" t="n"/>
      <c r="I875" s="40" t="str">
        <f>IF(OR($J875="",$K875=""),"",ROUND(MAX(0,($K875-$J875)-IF($H875="",0,$H875))/60,2))</f>
        <v/>
      </c>
      <c r="J875" s="41" t="str">
        <f>IF($F875="","",IF($F875&lt;1,ROUND($F875*1440,0),INT($F875/100)*60+MOD($F875,100)))</f>
        <v/>
      </c>
      <c r="K875" s="41" t="str">
        <f>IF($G875="","",IF($G875&lt;1,ROUND($G875*1440,0),INT($G875/100)*60+MOD($G875,100)))</f>
        <v/>
      </c>
    </row>
    <row r="876" ht="15" customHeight="1" s="26">
      <c r="A876" s="34" t="n"/>
      <c r="B876" s="32" t="n"/>
      <c r="C876" s="33" t="n"/>
      <c r="D876" s="37" t="str">
        <f>IF($C876="","",IFERROR(INDEX(프로젝트목록!$B$3:$B$62,MATCH($C876,프로젝트목록!$A$3:$A$62,0)),"미등록코드"))</f>
        <v/>
      </c>
      <c r="E876" s="32" t="n"/>
      <c r="F876" s="38" t="n"/>
      <c r="G876" s="38" t="n"/>
      <c r="H876" s="39" t="n"/>
      <c r="I876" s="40" t="str">
        <f>IF(OR($J876="",$K876=""),"",ROUND(MAX(0,($K876-$J876)-IF($H876="",0,$H876))/60,2))</f>
        <v/>
      </c>
      <c r="J876" s="41" t="str">
        <f>IF($F876="","",IF($F876&lt;1,ROUND($F876*1440,0),INT($F876/100)*60+MOD($F876,100)))</f>
        <v/>
      </c>
      <c r="K876" s="41" t="str">
        <f>IF($G876="","",IF($G876&lt;1,ROUND($G876*1440,0),INT($G876/100)*60+MOD($G876,100)))</f>
        <v/>
      </c>
    </row>
    <row r="877" ht="15" customHeight="1" s="26">
      <c r="A877" s="34" t="n"/>
      <c r="B877" s="32" t="n"/>
      <c r="C877" s="33" t="n"/>
      <c r="D877" s="37" t="str">
        <f>IF($C877="","",IFERROR(INDEX(프로젝트목록!$B$3:$B$62,MATCH($C877,프로젝트목록!$A$3:$A$62,0)),"미등록코드"))</f>
        <v/>
      </c>
      <c r="E877" s="32" t="n"/>
      <c r="F877" s="38" t="n"/>
      <c r="G877" s="38" t="n"/>
      <c r="H877" s="39" t="n"/>
      <c r="I877" s="40" t="str">
        <f>IF(OR($J877="",$K877=""),"",ROUND(MAX(0,($K877-$J877)-IF($H877="",0,$H877))/60,2))</f>
        <v/>
      </c>
      <c r="J877" s="41" t="str">
        <f>IF($F877="","",IF($F877&lt;1,ROUND($F877*1440,0),INT($F877/100)*60+MOD($F877,100)))</f>
        <v/>
      </c>
      <c r="K877" s="41" t="str">
        <f>IF($G877="","",IF($G877&lt;1,ROUND($G877*1440,0),INT($G877/100)*60+MOD($G877,100)))</f>
        <v/>
      </c>
    </row>
    <row r="878" ht="15" customHeight="1" s="26">
      <c r="A878" s="34" t="n"/>
      <c r="B878" s="32" t="n"/>
      <c r="C878" s="33" t="n"/>
      <c r="D878" s="37" t="str">
        <f>IF($C878="","",IFERROR(INDEX(프로젝트목록!$B$3:$B$62,MATCH($C878,프로젝트목록!$A$3:$A$62,0)),"미등록코드"))</f>
        <v/>
      </c>
      <c r="E878" s="32" t="n"/>
      <c r="F878" s="38" t="n"/>
      <c r="G878" s="38" t="n"/>
      <c r="H878" s="39" t="n"/>
      <c r="I878" s="40" t="str">
        <f>IF(OR($J878="",$K878=""),"",ROUND(MAX(0,($K878-$J878)-IF($H878="",0,$H878))/60,2))</f>
        <v/>
      </c>
      <c r="J878" s="41" t="str">
        <f>IF($F878="","",IF($F878&lt;1,ROUND($F878*1440,0),INT($F878/100)*60+MOD($F878,100)))</f>
        <v/>
      </c>
      <c r="K878" s="41" t="str">
        <f>IF($G878="","",IF($G878&lt;1,ROUND($G878*1440,0),INT($G878/100)*60+MOD($G878,100)))</f>
        <v/>
      </c>
    </row>
    <row r="879" ht="15" customHeight="1" s="26">
      <c r="A879" s="34" t="n"/>
      <c r="B879" s="32" t="n"/>
      <c r="C879" s="33" t="n"/>
      <c r="D879" s="37" t="str">
        <f>IF($C879="","",IFERROR(INDEX(프로젝트목록!$B$3:$B$62,MATCH($C879,프로젝트목록!$A$3:$A$62,0)),"미등록코드"))</f>
        <v/>
      </c>
      <c r="E879" s="32" t="n"/>
      <c r="F879" s="38" t="n"/>
      <c r="G879" s="38" t="n"/>
      <c r="H879" s="39" t="n"/>
      <c r="I879" s="40" t="str">
        <f>IF(OR($J879="",$K879=""),"",ROUND(MAX(0,($K879-$J879)-IF($H879="",0,$H879))/60,2))</f>
        <v/>
      </c>
      <c r="J879" s="41" t="str">
        <f>IF($F879="","",IF($F879&lt;1,ROUND($F879*1440,0),INT($F879/100)*60+MOD($F879,100)))</f>
        <v/>
      </c>
      <c r="K879" s="41" t="str">
        <f>IF($G879="","",IF($G879&lt;1,ROUND($G879*1440,0),INT($G879/100)*60+MOD($G879,100)))</f>
        <v/>
      </c>
    </row>
    <row r="880" ht="15" customHeight="1" s="26">
      <c r="A880" s="34" t="n"/>
      <c r="B880" s="32" t="n"/>
      <c r="C880" s="33" t="n"/>
      <c r="D880" s="37" t="str">
        <f>IF($C880="","",IFERROR(INDEX(프로젝트목록!$B$3:$B$62,MATCH($C880,프로젝트목록!$A$3:$A$62,0)),"미등록코드"))</f>
        <v/>
      </c>
      <c r="E880" s="32" t="n"/>
      <c r="F880" s="38" t="n"/>
      <c r="G880" s="38" t="n"/>
      <c r="H880" s="39" t="n"/>
      <c r="I880" s="40" t="str">
        <f>IF(OR($J880="",$K880=""),"",ROUND(MAX(0,($K880-$J880)-IF($H880="",0,$H880))/60,2))</f>
        <v/>
      </c>
      <c r="J880" s="41" t="str">
        <f>IF($F880="","",IF($F880&lt;1,ROUND($F880*1440,0),INT($F880/100)*60+MOD($F880,100)))</f>
        <v/>
      </c>
      <c r="K880" s="41" t="str">
        <f>IF($G880="","",IF($G880&lt;1,ROUND($G880*1440,0),INT($G880/100)*60+MOD($G880,100)))</f>
        <v/>
      </c>
    </row>
    <row r="881" ht="15" customHeight="1" s="26">
      <c r="A881" s="34" t="n"/>
      <c r="B881" s="32" t="n"/>
      <c r="C881" s="33" t="n"/>
      <c r="D881" s="37" t="str">
        <f>IF($C881="","",IFERROR(INDEX(프로젝트목록!$B$3:$B$62,MATCH($C881,프로젝트목록!$A$3:$A$62,0)),"미등록코드"))</f>
        <v/>
      </c>
      <c r="E881" s="32" t="n"/>
      <c r="F881" s="38" t="n"/>
      <c r="G881" s="38" t="n"/>
      <c r="H881" s="39" t="n"/>
      <c r="I881" s="40" t="str">
        <f>IF(OR($J881="",$K881=""),"",ROUND(MAX(0,($K881-$J881)-IF($H881="",0,$H881))/60,2))</f>
        <v/>
      </c>
      <c r="J881" s="41" t="str">
        <f>IF($F881="","",IF($F881&lt;1,ROUND($F881*1440,0),INT($F881/100)*60+MOD($F881,100)))</f>
        <v/>
      </c>
      <c r="K881" s="41" t="str">
        <f>IF($G881="","",IF($G881&lt;1,ROUND($G881*1440,0),INT($G881/100)*60+MOD($G881,100)))</f>
        <v/>
      </c>
    </row>
    <row r="882" ht="15" customHeight="1" s="26">
      <c r="A882" s="34" t="n"/>
      <c r="B882" s="32" t="n"/>
      <c r="C882" s="33" t="n"/>
      <c r="D882" s="37" t="str">
        <f>IF($C882="","",IFERROR(INDEX(프로젝트목록!$B$3:$B$62,MATCH($C882,프로젝트목록!$A$3:$A$62,0)),"미등록코드"))</f>
        <v/>
      </c>
      <c r="E882" s="32" t="n"/>
      <c r="F882" s="38" t="n"/>
      <c r="G882" s="38" t="n"/>
      <c r="H882" s="39" t="n"/>
      <c r="I882" s="40" t="str">
        <f>IF(OR($J882="",$K882=""),"",ROUND(MAX(0,($K882-$J882)-IF($H882="",0,$H882))/60,2))</f>
        <v/>
      </c>
      <c r="J882" s="41" t="str">
        <f>IF($F882="","",IF($F882&lt;1,ROUND($F882*1440,0),INT($F882/100)*60+MOD($F882,100)))</f>
        <v/>
      </c>
      <c r="K882" s="41" t="str">
        <f>IF($G882="","",IF($G882&lt;1,ROUND($G882*1440,0),INT($G882/100)*60+MOD($G882,100)))</f>
        <v/>
      </c>
    </row>
    <row r="883" ht="15" customHeight="1" s="26">
      <c r="A883" s="34" t="n"/>
      <c r="B883" s="32" t="n"/>
      <c r="C883" s="33" t="n"/>
      <c r="D883" s="37" t="str">
        <f>IF($C883="","",IFERROR(INDEX(프로젝트목록!$B$3:$B$62,MATCH($C883,프로젝트목록!$A$3:$A$62,0)),"미등록코드"))</f>
        <v/>
      </c>
      <c r="E883" s="32" t="n"/>
      <c r="F883" s="38" t="n"/>
      <c r="G883" s="38" t="n"/>
      <c r="H883" s="39" t="n"/>
      <c r="I883" s="40" t="str">
        <f>IF(OR($J883="",$K883=""),"",ROUND(MAX(0,($K883-$J883)-IF($H883="",0,$H883))/60,2))</f>
        <v/>
      </c>
      <c r="J883" s="41" t="str">
        <f>IF($F883="","",IF($F883&lt;1,ROUND($F883*1440,0),INT($F883/100)*60+MOD($F883,100)))</f>
        <v/>
      </c>
      <c r="K883" s="41" t="str">
        <f>IF($G883="","",IF($G883&lt;1,ROUND($G883*1440,0),INT($G883/100)*60+MOD($G883,100)))</f>
        <v/>
      </c>
    </row>
    <row r="884" ht="15" customHeight="1" s="26">
      <c r="A884" s="34" t="n"/>
      <c r="B884" s="32" t="n"/>
      <c r="C884" s="33" t="n"/>
      <c r="D884" s="37" t="str">
        <f>IF($C884="","",IFERROR(INDEX(프로젝트목록!$B$3:$B$62,MATCH($C884,프로젝트목록!$A$3:$A$62,0)),"미등록코드"))</f>
        <v/>
      </c>
      <c r="E884" s="32" t="n"/>
      <c r="F884" s="38" t="n"/>
      <c r="G884" s="38" t="n"/>
      <c r="H884" s="39" t="n"/>
      <c r="I884" s="40" t="str">
        <f>IF(OR($J884="",$K884=""),"",ROUND(MAX(0,($K884-$J884)-IF($H884="",0,$H884))/60,2))</f>
        <v/>
      </c>
      <c r="J884" s="41" t="str">
        <f>IF($F884="","",IF($F884&lt;1,ROUND($F884*1440,0),INT($F884/100)*60+MOD($F884,100)))</f>
        <v/>
      </c>
      <c r="K884" s="41" t="str">
        <f>IF($G884="","",IF($G884&lt;1,ROUND($G884*1440,0),INT($G884/100)*60+MOD($G884,100)))</f>
        <v/>
      </c>
    </row>
    <row r="885" ht="15" customHeight="1" s="26">
      <c r="A885" s="34" t="n"/>
      <c r="B885" s="32" t="n"/>
      <c r="C885" s="33" t="n"/>
      <c r="D885" s="37" t="str">
        <f>IF($C885="","",IFERROR(INDEX(프로젝트목록!$B$3:$B$62,MATCH($C885,프로젝트목록!$A$3:$A$62,0)),"미등록코드"))</f>
        <v/>
      </c>
      <c r="E885" s="32" t="n"/>
      <c r="F885" s="38" t="n"/>
      <c r="G885" s="38" t="n"/>
      <c r="H885" s="39" t="n"/>
      <c r="I885" s="40" t="str">
        <f>IF(OR($J885="",$K885=""),"",ROUND(MAX(0,($K885-$J885)-IF($H885="",0,$H885))/60,2))</f>
        <v/>
      </c>
      <c r="J885" s="41" t="str">
        <f>IF($F885="","",IF($F885&lt;1,ROUND($F885*1440,0),INT($F885/100)*60+MOD($F885,100)))</f>
        <v/>
      </c>
      <c r="K885" s="41" t="str">
        <f>IF($G885="","",IF($G885&lt;1,ROUND($G885*1440,0),INT($G885/100)*60+MOD($G885,100)))</f>
        <v/>
      </c>
    </row>
    <row r="886" ht="15" customHeight="1" s="26">
      <c r="A886" s="34" t="n"/>
      <c r="B886" s="32" t="n"/>
      <c r="C886" s="33" t="n"/>
      <c r="D886" s="37" t="str">
        <f>IF($C886="","",IFERROR(INDEX(프로젝트목록!$B$3:$B$62,MATCH($C886,프로젝트목록!$A$3:$A$62,0)),"미등록코드"))</f>
        <v/>
      </c>
      <c r="E886" s="32" t="n"/>
      <c r="F886" s="38" t="n"/>
      <c r="G886" s="38" t="n"/>
      <c r="H886" s="39" t="n"/>
      <c r="I886" s="40" t="str">
        <f>IF(OR($J886="",$K886=""),"",ROUND(MAX(0,($K886-$J886)-IF($H886="",0,$H886))/60,2))</f>
        <v/>
      </c>
      <c r="J886" s="41" t="str">
        <f>IF($F886="","",IF($F886&lt;1,ROUND($F886*1440,0),INT($F886/100)*60+MOD($F886,100)))</f>
        <v/>
      </c>
      <c r="K886" s="41" t="str">
        <f>IF($G886="","",IF($G886&lt;1,ROUND($G886*1440,0),INT($G886/100)*60+MOD($G886,100)))</f>
        <v/>
      </c>
    </row>
    <row r="887" ht="15" customHeight="1" s="26">
      <c r="A887" s="34" t="n"/>
      <c r="B887" s="32" t="n"/>
      <c r="C887" s="33" t="n"/>
      <c r="D887" s="37" t="str">
        <f>IF($C887="","",IFERROR(INDEX(프로젝트목록!$B$3:$B$62,MATCH($C887,프로젝트목록!$A$3:$A$62,0)),"미등록코드"))</f>
        <v/>
      </c>
      <c r="E887" s="32" t="n"/>
      <c r="F887" s="38" t="n"/>
      <c r="G887" s="38" t="n"/>
      <c r="H887" s="39" t="n"/>
      <c r="I887" s="40" t="str">
        <f>IF(OR($J887="",$K887=""),"",ROUND(MAX(0,($K887-$J887)-IF($H887="",0,$H887))/60,2))</f>
        <v/>
      </c>
      <c r="J887" s="41" t="str">
        <f>IF($F887="","",IF($F887&lt;1,ROUND($F887*1440,0),INT($F887/100)*60+MOD($F887,100)))</f>
        <v/>
      </c>
      <c r="K887" s="41" t="str">
        <f>IF($G887="","",IF($G887&lt;1,ROUND($G887*1440,0),INT($G887/100)*60+MOD($G887,100)))</f>
        <v/>
      </c>
    </row>
    <row r="888" ht="15" customHeight="1" s="26">
      <c r="A888" s="34" t="n"/>
      <c r="B888" s="32" t="n"/>
      <c r="C888" s="33" t="n"/>
      <c r="D888" s="37" t="str">
        <f>IF($C888="","",IFERROR(INDEX(프로젝트목록!$B$3:$B$62,MATCH($C888,프로젝트목록!$A$3:$A$62,0)),"미등록코드"))</f>
        <v/>
      </c>
      <c r="E888" s="32" t="n"/>
      <c r="F888" s="38" t="n"/>
      <c r="G888" s="38" t="n"/>
      <c r="H888" s="39" t="n"/>
      <c r="I888" s="40" t="str">
        <f>IF(OR($J888="",$K888=""),"",ROUND(MAX(0,($K888-$J888)-IF($H888="",0,$H888))/60,2))</f>
        <v/>
      </c>
      <c r="J888" s="41" t="str">
        <f>IF($F888="","",IF($F888&lt;1,ROUND($F888*1440,0),INT($F888/100)*60+MOD($F888,100)))</f>
        <v/>
      </c>
      <c r="K888" s="41" t="str">
        <f>IF($G888="","",IF($G888&lt;1,ROUND($G888*1440,0),INT($G888/100)*60+MOD($G888,100)))</f>
        <v/>
      </c>
    </row>
    <row r="889" ht="15" customHeight="1" s="26">
      <c r="A889" s="34" t="n"/>
      <c r="B889" s="32" t="n"/>
      <c r="C889" s="33" t="n"/>
      <c r="D889" s="37" t="str">
        <f>IF($C889="","",IFERROR(INDEX(프로젝트목록!$B$3:$B$62,MATCH($C889,프로젝트목록!$A$3:$A$62,0)),"미등록코드"))</f>
        <v/>
      </c>
      <c r="E889" s="32" t="n"/>
      <c r="F889" s="38" t="n"/>
      <c r="G889" s="38" t="n"/>
      <c r="H889" s="39" t="n"/>
      <c r="I889" s="40" t="str">
        <f>IF(OR($J889="",$K889=""),"",ROUND(MAX(0,($K889-$J889)-IF($H889="",0,$H889))/60,2))</f>
        <v/>
      </c>
      <c r="J889" s="41" t="str">
        <f>IF($F889="","",IF($F889&lt;1,ROUND($F889*1440,0),INT($F889/100)*60+MOD($F889,100)))</f>
        <v/>
      </c>
      <c r="K889" s="41" t="str">
        <f>IF($G889="","",IF($G889&lt;1,ROUND($G889*1440,0),INT($G889/100)*60+MOD($G889,100)))</f>
        <v/>
      </c>
    </row>
    <row r="890" ht="15" customHeight="1" s="26">
      <c r="A890" s="34" t="n"/>
      <c r="B890" s="32" t="n"/>
      <c r="C890" s="33" t="n"/>
      <c r="D890" s="37" t="str">
        <f>IF($C890="","",IFERROR(INDEX(프로젝트목록!$B$3:$B$62,MATCH($C890,프로젝트목록!$A$3:$A$62,0)),"미등록코드"))</f>
        <v/>
      </c>
      <c r="E890" s="32" t="n"/>
      <c r="F890" s="38" t="n"/>
      <c r="G890" s="38" t="n"/>
      <c r="H890" s="39" t="n"/>
      <c r="I890" s="40" t="str">
        <f>IF(OR($J890="",$K890=""),"",ROUND(MAX(0,($K890-$J890)-IF($H890="",0,$H890))/60,2))</f>
        <v/>
      </c>
      <c r="J890" s="41" t="str">
        <f>IF($F890="","",IF($F890&lt;1,ROUND($F890*1440,0),INT($F890/100)*60+MOD($F890,100)))</f>
        <v/>
      </c>
      <c r="K890" s="41" t="str">
        <f>IF($G890="","",IF($G890&lt;1,ROUND($G890*1440,0),INT($G890/100)*60+MOD($G890,100)))</f>
        <v/>
      </c>
    </row>
    <row r="891" ht="15" customHeight="1" s="26">
      <c r="A891" s="34" t="n"/>
      <c r="B891" s="32" t="n"/>
      <c r="C891" s="33" t="n"/>
      <c r="D891" s="37" t="str">
        <f>IF($C891="","",IFERROR(INDEX(프로젝트목록!$B$3:$B$62,MATCH($C891,프로젝트목록!$A$3:$A$62,0)),"미등록코드"))</f>
        <v/>
      </c>
      <c r="E891" s="32" t="n"/>
      <c r="F891" s="38" t="n"/>
      <c r="G891" s="38" t="n"/>
      <c r="H891" s="39" t="n"/>
      <c r="I891" s="40" t="str">
        <f>IF(OR($J891="",$K891=""),"",ROUND(MAX(0,($K891-$J891)-IF($H891="",0,$H891))/60,2))</f>
        <v/>
      </c>
      <c r="J891" s="41" t="str">
        <f>IF($F891="","",IF($F891&lt;1,ROUND($F891*1440,0),INT($F891/100)*60+MOD($F891,100)))</f>
        <v/>
      </c>
      <c r="K891" s="41" t="str">
        <f>IF($G891="","",IF($G891&lt;1,ROUND($G891*1440,0),INT($G891/100)*60+MOD($G891,100)))</f>
        <v/>
      </c>
    </row>
    <row r="892" ht="15" customHeight="1" s="26">
      <c r="A892" s="34" t="n"/>
      <c r="B892" s="32" t="n"/>
      <c r="C892" s="33" t="n"/>
      <c r="D892" s="37" t="str">
        <f>IF($C892="","",IFERROR(INDEX(프로젝트목록!$B$3:$B$62,MATCH($C892,프로젝트목록!$A$3:$A$62,0)),"미등록코드"))</f>
        <v/>
      </c>
      <c r="E892" s="32" t="n"/>
      <c r="F892" s="38" t="n"/>
      <c r="G892" s="38" t="n"/>
      <c r="H892" s="39" t="n"/>
      <c r="I892" s="40" t="str">
        <f>IF(OR($J892="",$K892=""),"",ROUND(MAX(0,($K892-$J892)-IF($H892="",0,$H892))/60,2))</f>
        <v/>
      </c>
      <c r="J892" s="41" t="str">
        <f>IF($F892="","",IF($F892&lt;1,ROUND($F892*1440,0),INT($F892/100)*60+MOD($F892,100)))</f>
        <v/>
      </c>
      <c r="K892" s="41" t="str">
        <f>IF($G892="","",IF($G892&lt;1,ROUND($G892*1440,0),INT($G892/100)*60+MOD($G892,100)))</f>
        <v/>
      </c>
    </row>
    <row r="893" ht="15" customHeight="1" s="26">
      <c r="A893" s="34" t="n"/>
      <c r="B893" s="32" t="n"/>
      <c r="C893" s="33" t="n"/>
      <c r="D893" s="37" t="str">
        <f>IF($C893="","",IFERROR(INDEX(프로젝트목록!$B$3:$B$62,MATCH($C893,프로젝트목록!$A$3:$A$62,0)),"미등록코드"))</f>
        <v/>
      </c>
      <c r="E893" s="32" t="n"/>
      <c r="F893" s="38" t="n"/>
      <c r="G893" s="38" t="n"/>
      <c r="H893" s="39" t="n"/>
      <c r="I893" s="40" t="str">
        <f>IF(OR($J893="",$K893=""),"",ROUND(MAX(0,($K893-$J893)-IF($H893="",0,$H893))/60,2))</f>
        <v/>
      </c>
      <c r="J893" s="41" t="str">
        <f>IF($F893="","",IF($F893&lt;1,ROUND($F893*1440,0),INT($F893/100)*60+MOD($F893,100)))</f>
        <v/>
      </c>
      <c r="K893" s="41" t="str">
        <f>IF($G893="","",IF($G893&lt;1,ROUND($G893*1440,0),INT($G893/100)*60+MOD($G893,100)))</f>
        <v/>
      </c>
    </row>
    <row r="894" ht="15" customHeight="1" s="26">
      <c r="A894" s="34" t="n"/>
      <c r="B894" s="32" t="n"/>
      <c r="C894" s="33" t="n"/>
      <c r="D894" s="37" t="str">
        <f>IF($C894="","",IFERROR(INDEX(프로젝트목록!$B$3:$B$62,MATCH($C894,프로젝트목록!$A$3:$A$62,0)),"미등록코드"))</f>
        <v/>
      </c>
      <c r="E894" s="32" t="n"/>
      <c r="F894" s="38" t="n"/>
      <c r="G894" s="38" t="n"/>
      <c r="H894" s="39" t="n"/>
      <c r="I894" s="40" t="str">
        <f>IF(OR($J894="",$K894=""),"",ROUND(MAX(0,($K894-$J894)-IF($H894="",0,$H894))/60,2))</f>
        <v/>
      </c>
      <c r="J894" s="41" t="str">
        <f>IF($F894="","",IF($F894&lt;1,ROUND($F894*1440,0),INT($F894/100)*60+MOD($F894,100)))</f>
        <v/>
      </c>
      <c r="K894" s="41" t="str">
        <f>IF($G894="","",IF($G894&lt;1,ROUND($G894*1440,0),INT($G894/100)*60+MOD($G894,100)))</f>
        <v/>
      </c>
    </row>
    <row r="895" ht="15" customHeight="1" s="26">
      <c r="A895" s="34" t="n"/>
      <c r="B895" s="32" t="n"/>
      <c r="C895" s="33" t="n"/>
      <c r="D895" s="37" t="str">
        <f>IF($C895="","",IFERROR(INDEX(프로젝트목록!$B$3:$B$62,MATCH($C895,프로젝트목록!$A$3:$A$62,0)),"미등록코드"))</f>
        <v/>
      </c>
      <c r="E895" s="32" t="n"/>
      <c r="F895" s="38" t="n"/>
      <c r="G895" s="38" t="n"/>
      <c r="H895" s="39" t="n"/>
      <c r="I895" s="40" t="str">
        <f>IF(OR($J895="",$K895=""),"",ROUND(MAX(0,($K895-$J895)-IF($H895="",0,$H895))/60,2))</f>
        <v/>
      </c>
      <c r="J895" s="41" t="str">
        <f>IF($F895="","",IF($F895&lt;1,ROUND($F895*1440,0),INT($F895/100)*60+MOD($F895,100)))</f>
        <v/>
      </c>
      <c r="K895" s="41" t="str">
        <f>IF($G895="","",IF($G895&lt;1,ROUND($G895*1440,0),INT($G895/100)*60+MOD($G895,100)))</f>
        <v/>
      </c>
    </row>
    <row r="896" ht="15" customHeight="1" s="26">
      <c r="A896" s="34" t="n"/>
      <c r="B896" s="32" t="n"/>
      <c r="C896" s="33" t="n"/>
      <c r="D896" s="37" t="str">
        <f>IF($C896="","",IFERROR(INDEX(프로젝트목록!$B$3:$B$62,MATCH($C896,프로젝트목록!$A$3:$A$62,0)),"미등록코드"))</f>
        <v/>
      </c>
      <c r="E896" s="32" t="n"/>
      <c r="F896" s="38" t="n"/>
      <c r="G896" s="38" t="n"/>
      <c r="H896" s="39" t="n"/>
      <c r="I896" s="40" t="str">
        <f>IF(OR($J896="",$K896=""),"",ROUND(MAX(0,($K896-$J896)-IF($H896="",0,$H896))/60,2))</f>
        <v/>
      </c>
      <c r="J896" s="41" t="str">
        <f>IF($F896="","",IF($F896&lt;1,ROUND($F896*1440,0),INT($F896/100)*60+MOD($F896,100)))</f>
        <v/>
      </c>
      <c r="K896" s="41" t="str">
        <f>IF($G896="","",IF($G896&lt;1,ROUND($G896*1440,0),INT($G896/100)*60+MOD($G896,100)))</f>
        <v/>
      </c>
    </row>
    <row r="897" ht="15" customHeight="1" s="26">
      <c r="A897" s="34" t="n"/>
      <c r="B897" s="32" t="n"/>
      <c r="C897" s="33" t="n"/>
      <c r="D897" s="37" t="str">
        <f>IF($C897="","",IFERROR(INDEX(프로젝트목록!$B$3:$B$62,MATCH($C897,프로젝트목록!$A$3:$A$62,0)),"미등록코드"))</f>
        <v/>
      </c>
      <c r="E897" s="32" t="n"/>
      <c r="F897" s="38" t="n"/>
      <c r="G897" s="38" t="n"/>
      <c r="H897" s="39" t="n"/>
      <c r="I897" s="40" t="str">
        <f>IF(OR($J897="",$K897=""),"",ROUND(MAX(0,($K897-$J897)-IF($H897="",0,$H897))/60,2))</f>
        <v/>
      </c>
      <c r="J897" s="41" t="str">
        <f>IF($F897="","",IF($F897&lt;1,ROUND($F897*1440,0),INT($F897/100)*60+MOD($F897,100)))</f>
        <v/>
      </c>
      <c r="K897" s="41" t="str">
        <f>IF($G897="","",IF($G897&lt;1,ROUND($G897*1440,0),INT($G897/100)*60+MOD($G897,100)))</f>
        <v/>
      </c>
    </row>
    <row r="898" ht="15" customHeight="1" s="26">
      <c r="A898" s="34" t="n"/>
      <c r="B898" s="32" t="n"/>
      <c r="C898" s="33" t="n"/>
      <c r="D898" s="37" t="str">
        <f>IF($C898="","",IFERROR(INDEX(프로젝트목록!$B$3:$B$62,MATCH($C898,프로젝트목록!$A$3:$A$62,0)),"미등록코드"))</f>
        <v/>
      </c>
      <c r="E898" s="32" t="n"/>
      <c r="F898" s="38" t="n"/>
      <c r="G898" s="38" t="n"/>
      <c r="H898" s="39" t="n"/>
      <c r="I898" s="40" t="str">
        <f>IF(OR($J898="",$K898=""),"",ROUND(MAX(0,($K898-$J898)-IF($H898="",0,$H898))/60,2))</f>
        <v/>
      </c>
      <c r="J898" s="41" t="str">
        <f>IF($F898="","",IF($F898&lt;1,ROUND($F898*1440,0),INT($F898/100)*60+MOD($F898,100)))</f>
        <v/>
      </c>
      <c r="K898" s="41" t="str">
        <f>IF($G898="","",IF($G898&lt;1,ROUND($G898*1440,0),INT($G898/100)*60+MOD($G898,100)))</f>
        <v/>
      </c>
    </row>
    <row r="899" ht="15" customHeight="1" s="26">
      <c r="A899" s="34" t="n"/>
      <c r="B899" s="32" t="n"/>
      <c r="C899" s="33" t="n"/>
      <c r="D899" s="37" t="str">
        <f>IF($C899="","",IFERROR(INDEX(프로젝트목록!$B$3:$B$62,MATCH($C899,프로젝트목록!$A$3:$A$62,0)),"미등록코드"))</f>
        <v/>
      </c>
      <c r="E899" s="32" t="n"/>
      <c r="F899" s="38" t="n"/>
      <c r="G899" s="38" t="n"/>
      <c r="H899" s="39" t="n"/>
      <c r="I899" s="40" t="str">
        <f>IF(OR($J899="",$K899=""),"",ROUND(MAX(0,($K899-$J899)-IF($H899="",0,$H899))/60,2))</f>
        <v/>
      </c>
      <c r="J899" s="41" t="str">
        <f>IF($F899="","",IF($F899&lt;1,ROUND($F899*1440,0),INT($F899/100)*60+MOD($F899,100)))</f>
        <v/>
      </c>
      <c r="K899" s="41" t="str">
        <f>IF($G899="","",IF($G899&lt;1,ROUND($G899*1440,0),INT($G899/100)*60+MOD($G899,100)))</f>
        <v/>
      </c>
    </row>
    <row r="900" ht="15" customHeight="1" s="26">
      <c r="A900" s="34" t="n"/>
      <c r="B900" s="32" t="n"/>
      <c r="C900" s="33" t="n"/>
      <c r="D900" s="37" t="str">
        <f>IF($C900="","",IFERROR(INDEX(프로젝트목록!$B$3:$B$62,MATCH($C900,프로젝트목록!$A$3:$A$62,0)),"미등록코드"))</f>
        <v/>
      </c>
      <c r="E900" s="32" t="n"/>
      <c r="F900" s="38" t="n"/>
      <c r="G900" s="38" t="n"/>
      <c r="H900" s="39" t="n"/>
      <c r="I900" s="40" t="str">
        <f>IF(OR($J900="",$K900=""),"",ROUND(MAX(0,($K900-$J900)-IF($H900="",0,$H900))/60,2))</f>
        <v/>
      </c>
      <c r="J900" s="41" t="str">
        <f>IF($F900="","",IF($F900&lt;1,ROUND($F900*1440,0),INT($F900/100)*60+MOD($F900,100)))</f>
        <v/>
      </c>
      <c r="K900" s="41" t="str">
        <f>IF($G900="","",IF($G900&lt;1,ROUND($G900*1440,0),INT($G900/100)*60+MOD($G900,100)))</f>
        <v/>
      </c>
    </row>
    <row r="901" ht="15" customHeight="1" s="26">
      <c r="A901" s="34" t="n"/>
      <c r="B901" s="32" t="n"/>
      <c r="C901" s="33" t="n"/>
      <c r="D901" s="37" t="str">
        <f>IF($C901="","",IFERROR(INDEX(프로젝트목록!$B$3:$B$62,MATCH($C901,프로젝트목록!$A$3:$A$62,0)),"미등록코드"))</f>
        <v/>
      </c>
      <c r="E901" s="32" t="n"/>
      <c r="F901" s="38" t="n"/>
      <c r="G901" s="38" t="n"/>
      <c r="H901" s="39" t="n"/>
      <c r="I901" s="40" t="str">
        <f>IF(OR($J901="",$K901=""),"",ROUND(MAX(0,($K901-$J901)-IF($H901="",0,$H901))/60,2))</f>
        <v/>
      </c>
      <c r="J901" s="41" t="str">
        <f>IF($F901="","",IF($F901&lt;1,ROUND($F901*1440,0),INT($F901/100)*60+MOD($F901,100)))</f>
        <v/>
      </c>
      <c r="K901" s="41" t="str">
        <f>IF($G901="","",IF($G901&lt;1,ROUND($G901*1440,0),INT($G901/100)*60+MOD($G901,100)))</f>
        <v/>
      </c>
    </row>
    <row r="902" ht="15" customHeight="1" s="26">
      <c r="A902" s="34" t="n"/>
      <c r="B902" s="32" t="n"/>
      <c r="C902" s="33" t="n"/>
      <c r="D902" s="37" t="str">
        <f>IF($C902="","",IFERROR(INDEX(프로젝트목록!$B$3:$B$62,MATCH($C902,프로젝트목록!$A$3:$A$62,0)),"미등록코드"))</f>
        <v/>
      </c>
      <c r="E902" s="32" t="n"/>
      <c r="F902" s="38" t="n"/>
      <c r="G902" s="38" t="n"/>
      <c r="H902" s="39" t="n"/>
      <c r="I902" s="40" t="str">
        <f>IF(OR($J902="",$K902=""),"",ROUND(MAX(0,($K902-$J902)-IF($H902="",0,$H902))/60,2))</f>
        <v/>
      </c>
      <c r="J902" s="41" t="str">
        <f>IF($F902="","",IF($F902&lt;1,ROUND($F902*1440,0),INT($F902/100)*60+MOD($F902,100)))</f>
        <v/>
      </c>
      <c r="K902" s="41" t="str">
        <f>IF($G902="","",IF($G902&lt;1,ROUND($G902*1440,0),INT($G902/100)*60+MOD($G902,100)))</f>
        <v/>
      </c>
    </row>
    <row r="903" ht="15" customHeight="1" s="26">
      <c r="A903" s="34" t="n"/>
      <c r="B903" s="32" t="n"/>
      <c r="C903" s="33" t="n"/>
      <c r="D903" s="37" t="str">
        <f>IF($C903="","",IFERROR(INDEX(프로젝트목록!$B$3:$B$62,MATCH($C903,프로젝트목록!$A$3:$A$62,0)),"미등록코드"))</f>
        <v/>
      </c>
      <c r="E903" s="32" t="n"/>
      <c r="F903" s="38" t="n"/>
      <c r="G903" s="38" t="n"/>
      <c r="H903" s="39" t="n"/>
      <c r="I903" s="40" t="str">
        <f>IF(OR($J903="",$K903=""),"",ROUND(MAX(0,($K903-$J903)-IF($H903="",0,$H903))/60,2))</f>
        <v/>
      </c>
      <c r="J903" s="41" t="str">
        <f>IF($F903="","",IF($F903&lt;1,ROUND($F903*1440,0),INT($F903/100)*60+MOD($F903,100)))</f>
        <v/>
      </c>
      <c r="K903" s="41" t="str">
        <f>IF($G903="","",IF($G903&lt;1,ROUND($G903*1440,0),INT($G903/100)*60+MOD($G903,100)))</f>
        <v/>
      </c>
    </row>
    <row r="904" ht="15" customHeight="1" s="26">
      <c r="A904" s="34" t="n"/>
      <c r="B904" s="32" t="n"/>
      <c r="C904" s="33" t="n"/>
      <c r="D904" s="37" t="str">
        <f>IF($C904="","",IFERROR(INDEX(프로젝트목록!$B$3:$B$62,MATCH($C904,프로젝트목록!$A$3:$A$62,0)),"미등록코드"))</f>
        <v/>
      </c>
      <c r="E904" s="32" t="n"/>
      <c r="F904" s="38" t="n"/>
      <c r="G904" s="38" t="n"/>
      <c r="H904" s="39" t="n"/>
      <c r="I904" s="40" t="str">
        <f>IF(OR($J904="",$K904=""),"",ROUND(MAX(0,($K904-$J904)-IF($H904="",0,$H904))/60,2))</f>
        <v/>
      </c>
      <c r="J904" s="41" t="str">
        <f>IF($F904="","",IF($F904&lt;1,ROUND($F904*1440,0),INT($F904/100)*60+MOD($F904,100)))</f>
        <v/>
      </c>
      <c r="K904" s="41" t="str">
        <f>IF($G904="","",IF($G904&lt;1,ROUND($G904*1440,0),INT($G904/100)*60+MOD($G904,100)))</f>
        <v/>
      </c>
    </row>
    <row r="905" ht="15" customHeight="1" s="26">
      <c r="A905" s="34" t="n"/>
      <c r="B905" s="32" t="n"/>
      <c r="C905" s="33" t="n"/>
      <c r="D905" s="37" t="str">
        <f>IF($C905="","",IFERROR(INDEX(프로젝트목록!$B$3:$B$62,MATCH($C905,프로젝트목록!$A$3:$A$62,0)),"미등록코드"))</f>
        <v/>
      </c>
      <c r="E905" s="32" t="n"/>
      <c r="F905" s="38" t="n"/>
      <c r="G905" s="38" t="n"/>
      <c r="H905" s="39" t="n"/>
      <c r="I905" s="40" t="str">
        <f>IF(OR($J905="",$K905=""),"",ROUND(MAX(0,($K905-$J905)-IF($H905="",0,$H905))/60,2))</f>
        <v/>
      </c>
      <c r="J905" s="41" t="str">
        <f>IF($F905="","",IF($F905&lt;1,ROUND($F905*1440,0),INT($F905/100)*60+MOD($F905,100)))</f>
        <v/>
      </c>
      <c r="K905" s="41" t="str">
        <f>IF($G905="","",IF($G905&lt;1,ROUND($G905*1440,0),INT($G905/100)*60+MOD($G905,100)))</f>
        <v/>
      </c>
    </row>
    <row r="906" ht="15" customHeight="1" s="26">
      <c r="A906" s="34" t="n"/>
      <c r="B906" s="32" t="n"/>
      <c r="C906" s="33" t="n"/>
      <c r="D906" s="37" t="str">
        <f>IF($C906="","",IFERROR(INDEX(프로젝트목록!$B$3:$B$62,MATCH($C906,프로젝트목록!$A$3:$A$62,0)),"미등록코드"))</f>
        <v/>
      </c>
      <c r="E906" s="32" t="n"/>
      <c r="F906" s="38" t="n"/>
      <c r="G906" s="38" t="n"/>
      <c r="H906" s="39" t="n"/>
      <c r="I906" s="40" t="str">
        <f>IF(OR($J906="",$K906=""),"",ROUND(MAX(0,($K906-$J906)-IF($H906="",0,$H906))/60,2))</f>
        <v/>
      </c>
      <c r="J906" s="41" t="str">
        <f>IF($F906="","",IF($F906&lt;1,ROUND($F906*1440,0),INT($F906/100)*60+MOD($F906,100)))</f>
        <v/>
      </c>
      <c r="K906" s="41" t="str">
        <f>IF($G906="","",IF($G906&lt;1,ROUND($G906*1440,0),INT($G906/100)*60+MOD($G906,100)))</f>
        <v/>
      </c>
    </row>
    <row r="907" ht="15" customHeight="1" s="26">
      <c r="A907" s="34" t="n"/>
      <c r="B907" s="32" t="n"/>
      <c r="C907" s="33" t="n"/>
      <c r="D907" s="37" t="str">
        <f>IF($C907="","",IFERROR(INDEX(프로젝트목록!$B$3:$B$62,MATCH($C907,프로젝트목록!$A$3:$A$62,0)),"미등록코드"))</f>
        <v/>
      </c>
      <c r="E907" s="32" t="n"/>
      <c r="F907" s="38" t="n"/>
      <c r="G907" s="38" t="n"/>
      <c r="H907" s="39" t="n"/>
      <c r="I907" s="40" t="str">
        <f>IF(OR($J907="",$K907=""),"",ROUND(MAX(0,($K907-$J907)-IF($H907="",0,$H907))/60,2))</f>
        <v/>
      </c>
      <c r="J907" s="41" t="str">
        <f>IF($F907="","",IF($F907&lt;1,ROUND($F907*1440,0),INT($F907/100)*60+MOD($F907,100)))</f>
        <v/>
      </c>
      <c r="K907" s="41" t="str">
        <f>IF($G907="","",IF($G907&lt;1,ROUND($G907*1440,0),INT($G907/100)*60+MOD($G907,100)))</f>
        <v/>
      </c>
    </row>
    <row r="908" ht="15" customHeight="1" s="26">
      <c r="A908" s="34" t="n"/>
      <c r="B908" s="32" t="n"/>
      <c r="C908" s="33" t="n"/>
      <c r="D908" s="37" t="str">
        <f>IF($C908="","",IFERROR(INDEX(프로젝트목록!$B$3:$B$62,MATCH($C908,프로젝트목록!$A$3:$A$62,0)),"미등록코드"))</f>
        <v/>
      </c>
      <c r="E908" s="32" t="n"/>
      <c r="F908" s="38" t="n"/>
      <c r="G908" s="38" t="n"/>
      <c r="H908" s="39" t="n"/>
      <c r="I908" s="40" t="str">
        <f>IF(OR($J908="",$K908=""),"",ROUND(MAX(0,($K908-$J908)-IF($H908="",0,$H908))/60,2))</f>
        <v/>
      </c>
      <c r="J908" s="41" t="str">
        <f>IF($F908="","",IF($F908&lt;1,ROUND($F908*1440,0),INT($F908/100)*60+MOD($F908,100)))</f>
        <v/>
      </c>
      <c r="K908" s="41" t="str">
        <f>IF($G908="","",IF($G908&lt;1,ROUND($G908*1440,0),INT($G908/100)*60+MOD($G908,100)))</f>
        <v/>
      </c>
    </row>
    <row r="909" ht="15" customHeight="1" s="26">
      <c r="A909" s="34" t="n"/>
      <c r="B909" s="32" t="n"/>
      <c r="C909" s="33" t="n"/>
      <c r="D909" s="37" t="str">
        <f>IF($C909="","",IFERROR(INDEX(프로젝트목록!$B$3:$B$62,MATCH($C909,프로젝트목록!$A$3:$A$62,0)),"미등록코드"))</f>
        <v/>
      </c>
      <c r="E909" s="32" t="n"/>
      <c r="F909" s="38" t="n"/>
      <c r="G909" s="38" t="n"/>
      <c r="H909" s="39" t="n"/>
      <c r="I909" s="40" t="str">
        <f>IF(OR($J909="",$K909=""),"",ROUND(MAX(0,($K909-$J909)-IF($H909="",0,$H909))/60,2))</f>
        <v/>
      </c>
      <c r="J909" s="41" t="str">
        <f>IF($F909="","",IF($F909&lt;1,ROUND($F909*1440,0),INT($F909/100)*60+MOD($F909,100)))</f>
        <v/>
      </c>
      <c r="K909" s="41" t="str">
        <f>IF($G909="","",IF($G909&lt;1,ROUND($G909*1440,0),INT($G909/100)*60+MOD($G909,100)))</f>
        <v/>
      </c>
    </row>
    <row r="910" ht="15" customHeight="1" s="26">
      <c r="A910" s="34" t="n"/>
      <c r="B910" s="32" t="n"/>
      <c r="C910" s="33" t="n"/>
      <c r="D910" s="37" t="str">
        <f>IF($C910="","",IFERROR(INDEX(프로젝트목록!$B$3:$B$62,MATCH($C910,프로젝트목록!$A$3:$A$62,0)),"미등록코드"))</f>
        <v/>
      </c>
      <c r="E910" s="32" t="n"/>
      <c r="F910" s="38" t="n"/>
      <c r="G910" s="38" t="n"/>
      <c r="H910" s="39" t="n"/>
      <c r="I910" s="40" t="str">
        <f>IF(OR($J910="",$K910=""),"",ROUND(MAX(0,($K910-$J910)-IF($H910="",0,$H910))/60,2))</f>
        <v/>
      </c>
      <c r="J910" s="41" t="str">
        <f>IF($F910="","",IF($F910&lt;1,ROUND($F910*1440,0),INT($F910/100)*60+MOD($F910,100)))</f>
        <v/>
      </c>
      <c r="K910" s="41" t="str">
        <f>IF($G910="","",IF($G910&lt;1,ROUND($G910*1440,0),INT($G910/100)*60+MOD($G910,100)))</f>
        <v/>
      </c>
    </row>
    <row r="911" ht="15" customHeight="1" s="26">
      <c r="A911" s="34" t="n"/>
      <c r="B911" s="32" t="n"/>
      <c r="C911" s="33" t="n"/>
      <c r="D911" s="37" t="str">
        <f>IF($C911="","",IFERROR(INDEX(프로젝트목록!$B$3:$B$62,MATCH($C911,프로젝트목록!$A$3:$A$62,0)),"미등록코드"))</f>
        <v/>
      </c>
      <c r="E911" s="32" t="n"/>
      <c r="F911" s="38" t="n"/>
      <c r="G911" s="38" t="n"/>
      <c r="H911" s="39" t="n"/>
      <c r="I911" s="40" t="str">
        <f>IF(OR($J911="",$K911=""),"",ROUND(MAX(0,($K911-$J911)-IF($H911="",0,$H911))/60,2))</f>
        <v/>
      </c>
      <c r="J911" s="41" t="str">
        <f>IF($F911="","",IF($F911&lt;1,ROUND($F911*1440,0),INT($F911/100)*60+MOD($F911,100)))</f>
        <v/>
      </c>
      <c r="K911" s="41" t="str">
        <f>IF($G911="","",IF($G911&lt;1,ROUND($G911*1440,0),INT($G911/100)*60+MOD($G911,100)))</f>
        <v/>
      </c>
    </row>
    <row r="912" ht="15" customHeight="1" s="26">
      <c r="A912" s="34" t="n"/>
      <c r="B912" s="32" t="n"/>
      <c r="C912" s="33" t="n"/>
      <c r="D912" s="37" t="str">
        <f>IF($C912="","",IFERROR(INDEX(프로젝트목록!$B$3:$B$62,MATCH($C912,프로젝트목록!$A$3:$A$62,0)),"미등록코드"))</f>
        <v/>
      </c>
      <c r="E912" s="32" t="n"/>
      <c r="F912" s="38" t="n"/>
      <c r="G912" s="38" t="n"/>
      <c r="H912" s="39" t="n"/>
      <c r="I912" s="40" t="str">
        <f>IF(OR($J912="",$K912=""),"",ROUND(MAX(0,($K912-$J912)-IF($H912="",0,$H912))/60,2))</f>
        <v/>
      </c>
      <c r="J912" s="41" t="str">
        <f>IF($F912="","",IF($F912&lt;1,ROUND($F912*1440,0),INT($F912/100)*60+MOD($F912,100)))</f>
        <v/>
      </c>
      <c r="K912" s="41" t="str">
        <f>IF($G912="","",IF($G912&lt;1,ROUND($G912*1440,0),INT($G912/100)*60+MOD($G912,100)))</f>
        <v/>
      </c>
    </row>
    <row r="913" ht="15" customHeight="1" s="26">
      <c r="A913" s="34" t="n"/>
      <c r="B913" s="32" t="n"/>
      <c r="C913" s="33" t="n"/>
      <c r="D913" s="37" t="str">
        <f>IF($C913="","",IFERROR(INDEX(프로젝트목록!$B$3:$B$62,MATCH($C913,프로젝트목록!$A$3:$A$62,0)),"미등록코드"))</f>
        <v/>
      </c>
      <c r="E913" s="32" t="n"/>
      <c r="F913" s="38" t="n"/>
      <c r="G913" s="38" t="n"/>
      <c r="H913" s="39" t="n"/>
      <c r="I913" s="40" t="str">
        <f>IF(OR($J913="",$K913=""),"",ROUND(MAX(0,($K913-$J913)-IF($H913="",0,$H913))/60,2))</f>
        <v/>
      </c>
      <c r="J913" s="41" t="str">
        <f>IF($F913="","",IF($F913&lt;1,ROUND($F913*1440,0),INT($F913/100)*60+MOD($F913,100)))</f>
        <v/>
      </c>
      <c r="K913" s="41" t="str">
        <f>IF($G913="","",IF($G913&lt;1,ROUND($G913*1440,0),INT($G913/100)*60+MOD($G913,100)))</f>
        <v/>
      </c>
    </row>
    <row r="914" ht="15" customHeight="1" s="26">
      <c r="A914" s="34" t="n"/>
      <c r="B914" s="32" t="n"/>
      <c r="C914" s="33" t="n"/>
      <c r="D914" s="37" t="str">
        <f>IF($C914="","",IFERROR(INDEX(프로젝트목록!$B$3:$B$62,MATCH($C914,프로젝트목록!$A$3:$A$62,0)),"미등록코드"))</f>
        <v/>
      </c>
      <c r="E914" s="32" t="n"/>
      <c r="F914" s="38" t="n"/>
      <c r="G914" s="38" t="n"/>
      <c r="H914" s="39" t="n"/>
      <c r="I914" s="40" t="str">
        <f>IF(OR($J914="",$K914=""),"",ROUND(MAX(0,($K914-$J914)-IF($H914="",0,$H914))/60,2))</f>
        <v/>
      </c>
      <c r="J914" s="41" t="str">
        <f>IF($F914="","",IF($F914&lt;1,ROUND($F914*1440,0),INT($F914/100)*60+MOD($F914,100)))</f>
        <v/>
      </c>
      <c r="K914" s="41" t="str">
        <f>IF($G914="","",IF($G914&lt;1,ROUND($G914*1440,0),INT($G914/100)*60+MOD($G914,100)))</f>
        <v/>
      </c>
    </row>
    <row r="915" ht="15" customHeight="1" s="26">
      <c r="A915" s="34" t="n"/>
      <c r="B915" s="32" t="n"/>
      <c r="C915" s="33" t="n"/>
      <c r="D915" s="37" t="str">
        <f>IF($C915="","",IFERROR(INDEX(프로젝트목록!$B$3:$B$62,MATCH($C915,프로젝트목록!$A$3:$A$62,0)),"미등록코드"))</f>
        <v/>
      </c>
      <c r="E915" s="32" t="n"/>
      <c r="F915" s="38" t="n"/>
      <c r="G915" s="38" t="n"/>
      <c r="H915" s="39" t="n"/>
      <c r="I915" s="40" t="str">
        <f>IF(OR($J915="",$K915=""),"",ROUND(MAX(0,($K915-$J915)-IF($H915="",0,$H915))/60,2))</f>
        <v/>
      </c>
      <c r="J915" s="41" t="str">
        <f>IF($F915="","",IF($F915&lt;1,ROUND($F915*1440,0),INT($F915/100)*60+MOD($F915,100)))</f>
        <v/>
      </c>
      <c r="K915" s="41" t="str">
        <f>IF($G915="","",IF($G915&lt;1,ROUND($G915*1440,0),INT($G915/100)*60+MOD($G915,100)))</f>
        <v/>
      </c>
    </row>
    <row r="916" ht="15" customHeight="1" s="26">
      <c r="A916" s="34" t="n"/>
      <c r="B916" s="32" t="n"/>
      <c r="C916" s="33" t="n"/>
      <c r="D916" s="37" t="str">
        <f>IF($C916="","",IFERROR(INDEX(프로젝트목록!$B$3:$B$62,MATCH($C916,프로젝트목록!$A$3:$A$62,0)),"미등록코드"))</f>
        <v/>
      </c>
      <c r="E916" s="32" t="n"/>
      <c r="F916" s="38" t="n"/>
      <c r="G916" s="38" t="n"/>
      <c r="H916" s="39" t="n"/>
      <c r="I916" s="40" t="str">
        <f>IF(OR($J916="",$K916=""),"",ROUND(MAX(0,($K916-$J916)-IF($H916="",0,$H916))/60,2))</f>
        <v/>
      </c>
      <c r="J916" s="41" t="str">
        <f>IF($F916="","",IF($F916&lt;1,ROUND($F916*1440,0),INT($F916/100)*60+MOD($F916,100)))</f>
        <v/>
      </c>
      <c r="K916" s="41" t="str">
        <f>IF($G916="","",IF($G916&lt;1,ROUND($G916*1440,0),INT($G916/100)*60+MOD($G916,100)))</f>
        <v/>
      </c>
    </row>
    <row r="917" ht="15" customHeight="1" s="26">
      <c r="A917" s="34" t="n"/>
      <c r="B917" s="32" t="n"/>
      <c r="C917" s="33" t="n"/>
      <c r="D917" s="37" t="str">
        <f>IF($C917="","",IFERROR(INDEX(프로젝트목록!$B$3:$B$62,MATCH($C917,프로젝트목록!$A$3:$A$62,0)),"미등록코드"))</f>
        <v/>
      </c>
      <c r="E917" s="32" t="n"/>
      <c r="F917" s="38" t="n"/>
      <c r="G917" s="38" t="n"/>
      <c r="H917" s="39" t="n"/>
      <c r="I917" s="40" t="str">
        <f>IF(OR($J917="",$K917=""),"",ROUND(MAX(0,($K917-$J917)-IF($H917="",0,$H917))/60,2))</f>
        <v/>
      </c>
      <c r="J917" s="41" t="str">
        <f>IF($F917="","",IF($F917&lt;1,ROUND($F917*1440,0),INT($F917/100)*60+MOD($F917,100)))</f>
        <v/>
      </c>
      <c r="K917" s="41" t="str">
        <f>IF($G917="","",IF($G917&lt;1,ROUND($G917*1440,0),INT($G917/100)*60+MOD($G917,100)))</f>
        <v/>
      </c>
    </row>
    <row r="918" ht="15" customHeight="1" s="26">
      <c r="A918" s="34" t="n"/>
      <c r="B918" s="32" t="n"/>
      <c r="C918" s="33" t="n"/>
      <c r="D918" s="37" t="str">
        <f>IF($C918="","",IFERROR(INDEX(프로젝트목록!$B$3:$B$62,MATCH($C918,프로젝트목록!$A$3:$A$62,0)),"미등록코드"))</f>
        <v/>
      </c>
      <c r="E918" s="32" t="n"/>
      <c r="F918" s="38" t="n"/>
      <c r="G918" s="38" t="n"/>
      <c r="H918" s="39" t="n"/>
      <c r="I918" s="40" t="str">
        <f>IF(OR($J918="",$K918=""),"",ROUND(MAX(0,($K918-$J918)-IF($H918="",0,$H918))/60,2))</f>
        <v/>
      </c>
      <c r="J918" s="41" t="str">
        <f>IF($F918="","",IF($F918&lt;1,ROUND($F918*1440,0),INT($F918/100)*60+MOD($F918,100)))</f>
        <v/>
      </c>
      <c r="K918" s="41" t="str">
        <f>IF($G918="","",IF($G918&lt;1,ROUND($G918*1440,0),INT($G918/100)*60+MOD($G918,100)))</f>
        <v/>
      </c>
    </row>
    <row r="919" ht="15" customHeight="1" s="26">
      <c r="A919" s="34" t="n"/>
      <c r="B919" s="32" t="n"/>
      <c r="C919" s="33" t="n"/>
      <c r="D919" s="37" t="str">
        <f>IF($C919="","",IFERROR(INDEX(프로젝트목록!$B$3:$B$62,MATCH($C919,프로젝트목록!$A$3:$A$62,0)),"미등록코드"))</f>
        <v/>
      </c>
      <c r="E919" s="32" t="n"/>
      <c r="F919" s="38" t="n"/>
      <c r="G919" s="38" t="n"/>
      <c r="H919" s="39" t="n"/>
      <c r="I919" s="40" t="str">
        <f>IF(OR($J919="",$K919=""),"",ROUND(MAX(0,($K919-$J919)-IF($H919="",0,$H919))/60,2))</f>
        <v/>
      </c>
      <c r="J919" s="41" t="str">
        <f>IF($F919="","",IF($F919&lt;1,ROUND($F919*1440,0),INT($F919/100)*60+MOD($F919,100)))</f>
        <v/>
      </c>
      <c r="K919" s="41" t="str">
        <f>IF($G919="","",IF($G919&lt;1,ROUND($G919*1440,0),INT($G919/100)*60+MOD($G919,100)))</f>
        <v/>
      </c>
    </row>
    <row r="920" ht="15" customHeight="1" s="26">
      <c r="A920" s="34" t="n"/>
      <c r="B920" s="32" t="n"/>
      <c r="C920" s="33" t="n"/>
      <c r="D920" s="37" t="str">
        <f>IF($C920="","",IFERROR(INDEX(프로젝트목록!$B$3:$B$62,MATCH($C920,프로젝트목록!$A$3:$A$62,0)),"미등록코드"))</f>
        <v/>
      </c>
      <c r="E920" s="32" t="n"/>
      <c r="F920" s="38" t="n"/>
      <c r="G920" s="38" t="n"/>
      <c r="H920" s="39" t="n"/>
      <c r="I920" s="40" t="str">
        <f>IF(OR($J920="",$K920=""),"",ROUND(MAX(0,($K920-$J920)-IF($H920="",0,$H920))/60,2))</f>
        <v/>
      </c>
      <c r="J920" s="41" t="str">
        <f>IF($F920="","",IF($F920&lt;1,ROUND($F920*1440,0),INT($F920/100)*60+MOD($F920,100)))</f>
        <v/>
      </c>
      <c r="K920" s="41" t="str">
        <f>IF($G920="","",IF($G920&lt;1,ROUND($G920*1440,0),INT($G920/100)*60+MOD($G920,100)))</f>
        <v/>
      </c>
    </row>
    <row r="921" ht="15" customHeight="1" s="26">
      <c r="A921" s="34" t="n"/>
      <c r="B921" s="32" t="n"/>
      <c r="C921" s="33" t="n"/>
      <c r="D921" s="37" t="str">
        <f>IF($C921="","",IFERROR(INDEX(프로젝트목록!$B$3:$B$62,MATCH($C921,프로젝트목록!$A$3:$A$62,0)),"미등록코드"))</f>
        <v/>
      </c>
      <c r="E921" s="32" t="n"/>
      <c r="F921" s="38" t="n"/>
      <c r="G921" s="38" t="n"/>
      <c r="H921" s="39" t="n"/>
      <c r="I921" s="40" t="str">
        <f>IF(OR($J921="",$K921=""),"",ROUND(MAX(0,($K921-$J921)-IF($H921="",0,$H921))/60,2))</f>
        <v/>
      </c>
      <c r="J921" s="41" t="str">
        <f>IF($F921="","",IF($F921&lt;1,ROUND($F921*1440,0),INT($F921/100)*60+MOD($F921,100)))</f>
        <v/>
      </c>
      <c r="K921" s="41" t="str">
        <f>IF($G921="","",IF($G921&lt;1,ROUND($G921*1440,0),INT($G921/100)*60+MOD($G921,100)))</f>
        <v/>
      </c>
    </row>
    <row r="922" ht="15" customHeight="1" s="26">
      <c r="A922" s="34" t="n"/>
      <c r="B922" s="32" t="n"/>
      <c r="C922" s="33" t="n"/>
      <c r="D922" s="37" t="str">
        <f>IF($C922="","",IFERROR(INDEX(프로젝트목록!$B$3:$B$62,MATCH($C922,프로젝트목록!$A$3:$A$62,0)),"미등록코드"))</f>
        <v/>
      </c>
      <c r="E922" s="32" t="n"/>
      <c r="F922" s="38" t="n"/>
      <c r="G922" s="38" t="n"/>
      <c r="H922" s="39" t="n"/>
      <c r="I922" s="40" t="str">
        <f>IF(OR($J922="",$K922=""),"",ROUND(MAX(0,($K922-$J922)-IF($H922="",0,$H922))/60,2))</f>
        <v/>
      </c>
      <c r="J922" s="41" t="str">
        <f>IF($F922="","",IF($F922&lt;1,ROUND($F922*1440,0),INT($F922/100)*60+MOD($F922,100)))</f>
        <v/>
      </c>
      <c r="K922" s="41" t="str">
        <f>IF($G922="","",IF($G922&lt;1,ROUND($G922*1440,0),INT($G922/100)*60+MOD($G922,100)))</f>
        <v/>
      </c>
    </row>
    <row r="923" ht="15" customHeight="1" s="26">
      <c r="A923" s="34" t="n"/>
      <c r="B923" s="32" t="n"/>
      <c r="C923" s="33" t="n"/>
      <c r="D923" s="37" t="str">
        <f>IF($C923="","",IFERROR(INDEX(프로젝트목록!$B$3:$B$62,MATCH($C923,프로젝트목록!$A$3:$A$62,0)),"미등록코드"))</f>
        <v/>
      </c>
      <c r="E923" s="32" t="n"/>
      <c r="F923" s="38" t="n"/>
      <c r="G923" s="38" t="n"/>
      <c r="H923" s="39" t="n"/>
      <c r="I923" s="40" t="str">
        <f>IF(OR($J923="",$K923=""),"",ROUND(MAX(0,($K923-$J923)-IF($H923="",0,$H923))/60,2))</f>
        <v/>
      </c>
      <c r="J923" s="41" t="str">
        <f>IF($F923="","",IF($F923&lt;1,ROUND($F923*1440,0),INT($F923/100)*60+MOD($F923,100)))</f>
        <v/>
      </c>
      <c r="K923" s="41" t="str">
        <f>IF($G923="","",IF($G923&lt;1,ROUND($G923*1440,0),INT($G923/100)*60+MOD($G923,100)))</f>
        <v/>
      </c>
    </row>
    <row r="924" ht="15" customHeight="1" s="26">
      <c r="A924" s="34" t="n"/>
      <c r="B924" s="32" t="n"/>
      <c r="C924" s="33" t="n"/>
      <c r="D924" s="37" t="str">
        <f>IF($C924="","",IFERROR(INDEX(프로젝트목록!$B$3:$B$62,MATCH($C924,프로젝트목록!$A$3:$A$62,0)),"미등록코드"))</f>
        <v/>
      </c>
      <c r="E924" s="32" t="n"/>
      <c r="F924" s="38" t="n"/>
      <c r="G924" s="38" t="n"/>
      <c r="H924" s="39" t="n"/>
      <c r="I924" s="40" t="str">
        <f>IF(OR($J924="",$K924=""),"",ROUND(MAX(0,($K924-$J924)-IF($H924="",0,$H924))/60,2))</f>
        <v/>
      </c>
      <c r="J924" s="41" t="str">
        <f>IF($F924="","",IF($F924&lt;1,ROUND($F924*1440,0),INT($F924/100)*60+MOD($F924,100)))</f>
        <v/>
      </c>
      <c r="K924" s="41" t="str">
        <f>IF($G924="","",IF($G924&lt;1,ROUND($G924*1440,0),INT($G924/100)*60+MOD($G924,100)))</f>
        <v/>
      </c>
    </row>
    <row r="925" ht="15" customHeight="1" s="26">
      <c r="A925" s="34" t="n"/>
      <c r="B925" s="32" t="n"/>
      <c r="C925" s="33" t="n"/>
      <c r="D925" s="37" t="str">
        <f>IF($C925="","",IFERROR(INDEX(프로젝트목록!$B$3:$B$62,MATCH($C925,프로젝트목록!$A$3:$A$62,0)),"미등록코드"))</f>
        <v/>
      </c>
      <c r="E925" s="32" t="n"/>
      <c r="F925" s="38" t="n"/>
      <c r="G925" s="38" t="n"/>
      <c r="H925" s="39" t="n"/>
      <c r="I925" s="40" t="str">
        <f>IF(OR($J925="",$K925=""),"",ROUND(MAX(0,($K925-$J925)-IF($H925="",0,$H925))/60,2))</f>
        <v/>
      </c>
      <c r="J925" s="41" t="str">
        <f>IF($F925="","",IF($F925&lt;1,ROUND($F925*1440,0),INT($F925/100)*60+MOD($F925,100)))</f>
        <v/>
      </c>
      <c r="K925" s="41" t="str">
        <f>IF($G925="","",IF($G925&lt;1,ROUND($G925*1440,0),INT($G925/100)*60+MOD($G925,100)))</f>
        <v/>
      </c>
    </row>
    <row r="926" ht="15" customHeight="1" s="26">
      <c r="A926" s="34" t="n"/>
      <c r="B926" s="32" t="n"/>
      <c r="C926" s="33" t="n"/>
      <c r="D926" s="37" t="str">
        <f>IF($C926="","",IFERROR(INDEX(프로젝트목록!$B$3:$B$62,MATCH($C926,프로젝트목록!$A$3:$A$62,0)),"미등록코드"))</f>
        <v/>
      </c>
      <c r="E926" s="32" t="n"/>
      <c r="F926" s="38" t="n"/>
      <c r="G926" s="38" t="n"/>
      <c r="H926" s="39" t="n"/>
      <c r="I926" s="40" t="str">
        <f>IF(OR($J926="",$K926=""),"",ROUND(MAX(0,($K926-$J926)-IF($H926="",0,$H926))/60,2))</f>
        <v/>
      </c>
      <c r="J926" s="41" t="str">
        <f>IF($F926="","",IF($F926&lt;1,ROUND($F926*1440,0),INT($F926/100)*60+MOD($F926,100)))</f>
        <v/>
      </c>
      <c r="K926" s="41" t="str">
        <f>IF($G926="","",IF($G926&lt;1,ROUND($G926*1440,0),INT($G926/100)*60+MOD($G926,100)))</f>
        <v/>
      </c>
    </row>
    <row r="927" ht="15" customHeight="1" s="26">
      <c r="A927" s="34" t="n"/>
      <c r="B927" s="32" t="n"/>
      <c r="C927" s="33" t="n"/>
      <c r="D927" s="37" t="str">
        <f>IF($C927="","",IFERROR(INDEX(프로젝트목록!$B$3:$B$62,MATCH($C927,프로젝트목록!$A$3:$A$62,0)),"미등록코드"))</f>
        <v/>
      </c>
      <c r="E927" s="32" t="n"/>
      <c r="F927" s="38" t="n"/>
      <c r="G927" s="38" t="n"/>
      <c r="H927" s="39" t="n"/>
      <c r="I927" s="40" t="str">
        <f>IF(OR($J927="",$K927=""),"",ROUND(MAX(0,($K927-$J927)-IF($H927="",0,$H927))/60,2))</f>
        <v/>
      </c>
      <c r="J927" s="41" t="str">
        <f>IF($F927="","",IF($F927&lt;1,ROUND($F927*1440,0),INT($F927/100)*60+MOD($F927,100)))</f>
        <v/>
      </c>
      <c r="K927" s="41" t="str">
        <f>IF($G927="","",IF($G927&lt;1,ROUND($G927*1440,0),INT($G927/100)*60+MOD($G927,100)))</f>
        <v/>
      </c>
    </row>
    <row r="928" ht="15" customHeight="1" s="26">
      <c r="A928" s="34" t="n"/>
      <c r="B928" s="32" t="n"/>
      <c r="C928" s="33" t="n"/>
      <c r="D928" s="37" t="str">
        <f>IF($C928="","",IFERROR(INDEX(프로젝트목록!$B$3:$B$62,MATCH($C928,프로젝트목록!$A$3:$A$62,0)),"미등록코드"))</f>
        <v/>
      </c>
      <c r="E928" s="32" t="n"/>
      <c r="F928" s="38" t="n"/>
      <c r="G928" s="38" t="n"/>
      <c r="H928" s="39" t="n"/>
      <c r="I928" s="40" t="str">
        <f>IF(OR($J928="",$K928=""),"",ROUND(MAX(0,($K928-$J928)-IF($H928="",0,$H928))/60,2))</f>
        <v/>
      </c>
      <c r="J928" s="41" t="str">
        <f>IF($F928="","",IF($F928&lt;1,ROUND($F928*1440,0),INT($F928/100)*60+MOD($F928,100)))</f>
        <v/>
      </c>
      <c r="K928" s="41" t="str">
        <f>IF($G928="","",IF($G928&lt;1,ROUND($G928*1440,0),INT($G928/100)*60+MOD($G928,100)))</f>
        <v/>
      </c>
    </row>
    <row r="929" ht="15" customHeight="1" s="26">
      <c r="A929" s="34" t="n"/>
      <c r="B929" s="32" t="n"/>
      <c r="C929" s="33" t="n"/>
      <c r="D929" s="37" t="str">
        <f>IF($C929="","",IFERROR(INDEX(프로젝트목록!$B$3:$B$62,MATCH($C929,프로젝트목록!$A$3:$A$62,0)),"미등록코드"))</f>
        <v/>
      </c>
      <c r="E929" s="32" t="n"/>
      <c r="F929" s="38" t="n"/>
      <c r="G929" s="38" t="n"/>
      <c r="H929" s="39" t="n"/>
      <c r="I929" s="40" t="str">
        <f>IF(OR($J929="",$K929=""),"",ROUND(MAX(0,($K929-$J929)-IF($H929="",0,$H929))/60,2))</f>
        <v/>
      </c>
      <c r="J929" s="41" t="str">
        <f>IF($F929="","",IF($F929&lt;1,ROUND($F929*1440,0),INT($F929/100)*60+MOD($F929,100)))</f>
        <v/>
      </c>
      <c r="K929" s="41" t="str">
        <f>IF($G929="","",IF($G929&lt;1,ROUND($G929*1440,0),INT($G929/100)*60+MOD($G929,100)))</f>
        <v/>
      </c>
    </row>
    <row r="930" ht="15" customHeight="1" s="26">
      <c r="A930" s="34" t="n"/>
      <c r="B930" s="32" t="n"/>
      <c r="C930" s="33" t="n"/>
      <c r="D930" s="37" t="str">
        <f>IF($C930="","",IFERROR(INDEX(프로젝트목록!$B$3:$B$62,MATCH($C930,프로젝트목록!$A$3:$A$62,0)),"미등록코드"))</f>
        <v/>
      </c>
      <c r="E930" s="32" t="n"/>
      <c r="F930" s="38" t="n"/>
      <c r="G930" s="38" t="n"/>
      <c r="H930" s="39" t="n"/>
      <c r="I930" s="40" t="str">
        <f>IF(OR($J930="",$K930=""),"",ROUND(MAX(0,($K930-$J930)-IF($H930="",0,$H930))/60,2))</f>
        <v/>
      </c>
      <c r="J930" s="41" t="str">
        <f>IF($F930="","",IF($F930&lt;1,ROUND($F930*1440,0),INT($F930/100)*60+MOD($F930,100)))</f>
        <v/>
      </c>
      <c r="K930" s="41" t="str">
        <f>IF($G930="","",IF($G930&lt;1,ROUND($G930*1440,0),INT($G930/100)*60+MOD($G930,100)))</f>
        <v/>
      </c>
    </row>
    <row r="931" ht="15" customHeight="1" s="26">
      <c r="A931" s="34" t="n"/>
      <c r="B931" s="32" t="n"/>
      <c r="C931" s="33" t="n"/>
      <c r="D931" s="37" t="str">
        <f>IF($C931="","",IFERROR(INDEX(프로젝트목록!$B$3:$B$62,MATCH($C931,프로젝트목록!$A$3:$A$62,0)),"미등록코드"))</f>
        <v/>
      </c>
      <c r="E931" s="32" t="n"/>
      <c r="F931" s="38" t="n"/>
      <c r="G931" s="38" t="n"/>
      <c r="H931" s="39" t="n"/>
      <c r="I931" s="40" t="str">
        <f>IF(OR($J931="",$K931=""),"",ROUND(MAX(0,($K931-$J931)-IF($H931="",0,$H931))/60,2))</f>
        <v/>
      </c>
      <c r="J931" s="41" t="str">
        <f>IF($F931="","",IF($F931&lt;1,ROUND($F931*1440,0),INT($F931/100)*60+MOD($F931,100)))</f>
        <v/>
      </c>
      <c r="K931" s="41" t="str">
        <f>IF($G931="","",IF($G931&lt;1,ROUND($G931*1440,0),INT($G931/100)*60+MOD($G931,100)))</f>
        <v/>
      </c>
    </row>
    <row r="932" ht="15" customHeight="1" s="26">
      <c r="A932" s="34" t="n"/>
      <c r="B932" s="32" t="n"/>
      <c r="C932" s="33" t="n"/>
      <c r="D932" s="37" t="str">
        <f>IF($C932="","",IFERROR(INDEX(프로젝트목록!$B$3:$B$62,MATCH($C932,프로젝트목록!$A$3:$A$62,0)),"미등록코드"))</f>
        <v/>
      </c>
      <c r="E932" s="32" t="n"/>
      <c r="F932" s="38" t="n"/>
      <c r="G932" s="38" t="n"/>
      <c r="H932" s="39" t="n"/>
      <c r="I932" s="40" t="str">
        <f>IF(OR($J932="",$K932=""),"",ROUND(MAX(0,($K932-$J932)-IF($H932="",0,$H932))/60,2))</f>
        <v/>
      </c>
      <c r="J932" s="41" t="str">
        <f>IF($F932="","",IF($F932&lt;1,ROUND($F932*1440,0),INT($F932/100)*60+MOD($F932,100)))</f>
        <v/>
      </c>
      <c r="K932" s="41" t="str">
        <f>IF($G932="","",IF($G932&lt;1,ROUND($G932*1440,0),INT($G932/100)*60+MOD($G932,100)))</f>
        <v/>
      </c>
    </row>
    <row r="933" ht="15" customHeight="1" s="26">
      <c r="A933" s="34" t="n"/>
      <c r="B933" s="32" t="n"/>
      <c r="C933" s="33" t="n"/>
      <c r="D933" s="37" t="str">
        <f>IF($C933="","",IFERROR(INDEX(프로젝트목록!$B$3:$B$62,MATCH($C933,프로젝트목록!$A$3:$A$62,0)),"미등록코드"))</f>
        <v/>
      </c>
      <c r="E933" s="32" t="n"/>
      <c r="F933" s="38" t="n"/>
      <c r="G933" s="38" t="n"/>
      <c r="H933" s="39" t="n"/>
      <c r="I933" s="40" t="str">
        <f>IF(OR($J933="",$K933=""),"",ROUND(MAX(0,($K933-$J933)-IF($H933="",0,$H933))/60,2))</f>
        <v/>
      </c>
      <c r="J933" s="41" t="str">
        <f>IF($F933="","",IF($F933&lt;1,ROUND($F933*1440,0),INT($F933/100)*60+MOD($F933,100)))</f>
        <v/>
      </c>
      <c r="K933" s="41" t="str">
        <f>IF($G933="","",IF($G933&lt;1,ROUND($G933*1440,0),INT($G933/100)*60+MOD($G933,100)))</f>
        <v/>
      </c>
    </row>
    <row r="934" ht="15" customHeight="1" s="26">
      <c r="A934" s="34" t="n"/>
      <c r="B934" s="32" t="n"/>
      <c r="C934" s="33" t="n"/>
      <c r="D934" s="37" t="str">
        <f>IF($C934="","",IFERROR(INDEX(프로젝트목록!$B$3:$B$62,MATCH($C934,프로젝트목록!$A$3:$A$62,0)),"미등록코드"))</f>
        <v/>
      </c>
      <c r="E934" s="32" t="n"/>
      <c r="F934" s="38" t="n"/>
      <c r="G934" s="38" t="n"/>
      <c r="H934" s="39" t="n"/>
      <c r="I934" s="40" t="str">
        <f>IF(OR($J934="",$K934=""),"",ROUND(MAX(0,($K934-$J934)-IF($H934="",0,$H934))/60,2))</f>
        <v/>
      </c>
      <c r="J934" s="41" t="str">
        <f>IF($F934="","",IF($F934&lt;1,ROUND($F934*1440,0),INT($F934/100)*60+MOD($F934,100)))</f>
        <v/>
      </c>
      <c r="K934" s="41" t="str">
        <f>IF($G934="","",IF($G934&lt;1,ROUND($G934*1440,0),INT($G934/100)*60+MOD($G934,100)))</f>
        <v/>
      </c>
    </row>
    <row r="935" ht="15" customHeight="1" s="26">
      <c r="A935" s="34" t="n"/>
      <c r="B935" s="32" t="n"/>
      <c r="C935" s="33" t="n"/>
      <c r="D935" s="37" t="str">
        <f>IF($C935="","",IFERROR(INDEX(프로젝트목록!$B$3:$B$62,MATCH($C935,프로젝트목록!$A$3:$A$62,0)),"미등록코드"))</f>
        <v/>
      </c>
      <c r="E935" s="32" t="n"/>
      <c r="F935" s="38" t="n"/>
      <c r="G935" s="38" t="n"/>
      <c r="H935" s="39" t="n"/>
      <c r="I935" s="40" t="str">
        <f>IF(OR($J935="",$K935=""),"",ROUND(MAX(0,($K935-$J935)-IF($H935="",0,$H935))/60,2))</f>
        <v/>
      </c>
      <c r="J935" s="41" t="str">
        <f>IF($F935="","",IF($F935&lt;1,ROUND($F935*1440,0),INT($F935/100)*60+MOD($F935,100)))</f>
        <v/>
      </c>
      <c r="K935" s="41" t="str">
        <f>IF($G935="","",IF($G935&lt;1,ROUND($G935*1440,0),INT($G935/100)*60+MOD($G935,100)))</f>
        <v/>
      </c>
    </row>
    <row r="936" ht="15" customHeight="1" s="26">
      <c r="A936" s="34" t="n"/>
      <c r="B936" s="32" t="n"/>
      <c r="C936" s="33" t="n"/>
      <c r="D936" s="37" t="str">
        <f>IF($C936="","",IFERROR(INDEX(프로젝트목록!$B$3:$B$62,MATCH($C936,프로젝트목록!$A$3:$A$62,0)),"미등록코드"))</f>
        <v/>
      </c>
      <c r="E936" s="32" t="n"/>
      <c r="F936" s="38" t="n"/>
      <c r="G936" s="38" t="n"/>
      <c r="H936" s="39" t="n"/>
      <c r="I936" s="40" t="str">
        <f>IF(OR($J936="",$K936=""),"",ROUND(MAX(0,($K936-$J936)-IF($H936="",0,$H936))/60,2))</f>
        <v/>
      </c>
      <c r="J936" s="41" t="str">
        <f>IF($F936="","",IF($F936&lt;1,ROUND($F936*1440,0),INT($F936/100)*60+MOD($F936,100)))</f>
        <v/>
      </c>
      <c r="K936" s="41" t="str">
        <f>IF($G936="","",IF($G936&lt;1,ROUND($G936*1440,0),INT($G936/100)*60+MOD($G936,100)))</f>
        <v/>
      </c>
    </row>
    <row r="937" ht="15" customHeight="1" s="26">
      <c r="A937" s="34" t="n"/>
      <c r="B937" s="32" t="n"/>
      <c r="C937" s="33" t="n"/>
      <c r="D937" s="37" t="str">
        <f>IF($C937="","",IFERROR(INDEX(프로젝트목록!$B$3:$B$62,MATCH($C937,프로젝트목록!$A$3:$A$62,0)),"미등록코드"))</f>
        <v/>
      </c>
      <c r="E937" s="32" t="n"/>
      <c r="F937" s="38" t="n"/>
      <c r="G937" s="38" t="n"/>
      <c r="H937" s="39" t="n"/>
      <c r="I937" s="40" t="str">
        <f>IF(OR($J937="",$K937=""),"",ROUND(MAX(0,($K937-$J937)-IF($H937="",0,$H937))/60,2))</f>
        <v/>
      </c>
      <c r="J937" s="41" t="str">
        <f>IF($F937="","",IF($F937&lt;1,ROUND($F937*1440,0),INT($F937/100)*60+MOD($F937,100)))</f>
        <v/>
      </c>
      <c r="K937" s="41" t="str">
        <f>IF($G937="","",IF($G937&lt;1,ROUND($G937*1440,0),INT($G937/100)*60+MOD($G937,100)))</f>
        <v/>
      </c>
    </row>
    <row r="938" ht="15" customHeight="1" s="26">
      <c r="A938" s="34" t="n"/>
      <c r="B938" s="32" t="n"/>
      <c r="C938" s="33" t="n"/>
      <c r="D938" s="37" t="str">
        <f>IF($C938="","",IFERROR(INDEX(프로젝트목록!$B$3:$B$62,MATCH($C938,프로젝트목록!$A$3:$A$62,0)),"미등록코드"))</f>
        <v/>
      </c>
      <c r="E938" s="32" t="n"/>
      <c r="F938" s="38" t="n"/>
      <c r="G938" s="38" t="n"/>
      <c r="H938" s="39" t="n"/>
      <c r="I938" s="40" t="str">
        <f>IF(OR($J938="",$K938=""),"",ROUND(MAX(0,($K938-$J938)-IF($H938="",0,$H938))/60,2))</f>
        <v/>
      </c>
      <c r="J938" s="41" t="str">
        <f>IF($F938="","",IF($F938&lt;1,ROUND($F938*1440,0),INT($F938/100)*60+MOD($F938,100)))</f>
        <v/>
      </c>
      <c r="K938" s="41" t="str">
        <f>IF($G938="","",IF($G938&lt;1,ROUND($G938*1440,0),INT($G938/100)*60+MOD($G938,100)))</f>
        <v/>
      </c>
    </row>
    <row r="939" ht="15" customHeight="1" s="26">
      <c r="A939" s="34" t="n"/>
      <c r="B939" s="32" t="n"/>
      <c r="C939" s="33" t="n"/>
      <c r="D939" s="37" t="str">
        <f>IF($C939="","",IFERROR(INDEX(프로젝트목록!$B$3:$B$62,MATCH($C939,프로젝트목록!$A$3:$A$62,0)),"미등록코드"))</f>
        <v/>
      </c>
      <c r="E939" s="32" t="n"/>
      <c r="F939" s="38" t="n"/>
      <c r="G939" s="38" t="n"/>
      <c r="H939" s="39" t="n"/>
      <c r="I939" s="40" t="str">
        <f>IF(OR($J939="",$K939=""),"",ROUND(MAX(0,($K939-$J939)-IF($H939="",0,$H939))/60,2))</f>
        <v/>
      </c>
      <c r="J939" s="41" t="str">
        <f>IF($F939="","",IF($F939&lt;1,ROUND($F939*1440,0),INT($F939/100)*60+MOD($F939,100)))</f>
        <v/>
      </c>
      <c r="K939" s="41" t="str">
        <f>IF($G939="","",IF($G939&lt;1,ROUND($G939*1440,0),INT($G939/100)*60+MOD($G939,100)))</f>
        <v/>
      </c>
    </row>
    <row r="940" ht="15" customHeight="1" s="26">
      <c r="A940" s="34" t="n"/>
      <c r="B940" s="32" t="n"/>
      <c r="C940" s="33" t="n"/>
      <c r="D940" s="37" t="str">
        <f>IF($C940="","",IFERROR(INDEX(프로젝트목록!$B$3:$B$62,MATCH($C940,프로젝트목록!$A$3:$A$62,0)),"미등록코드"))</f>
        <v/>
      </c>
      <c r="E940" s="32" t="n"/>
      <c r="F940" s="38" t="n"/>
      <c r="G940" s="38" t="n"/>
      <c r="H940" s="39" t="n"/>
      <c r="I940" s="40" t="str">
        <f>IF(OR($J940="",$K940=""),"",ROUND(MAX(0,($K940-$J940)-IF($H940="",0,$H940))/60,2))</f>
        <v/>
      </c>
      <c r="J940" s="41" t="str">
        <f>IF($F940="","",IF($F940&lt;1,ROUND($F940*1440,0),INT($F940/100)*60+MOD($F940,100)))</f>
        <v/>
      </c>
      <c r="K940" s="41" t="str">
        <f>IF($G940="","",IF($G940&lt;1,ROUND($G940*1440,0),INT($G940/100)*60+MOD($G940,100)))</f>
        <v/>
      </c>
    </row>
    <row r="941" ht="15" customHeight="1" s="26">
      <c r="A941" s="34" t="n"/>
      <c r="B941" s="32" t="n"/>
      <c r="C941" s="33" t="n"/>
      <c r="D941" s="37" t="str">
        <f>IF($C941="","",IFERROR(INDEX(프로젝트목록!$B$3:$B$62,MATCH($C941,프로젝트목록!$A$3:$A$62,0)),"미등록코드"))</f>
        <v/>
      </c>
      <c r="E941" s="32" t="n"/>
      <c r="F941" s="38" t="n"/>
      <c r="G941" s="38" t="n"/>
      <c r="H941" s="39" t="n"/>
      <c r="I941" s="40" t="str">
        <f>IF(OR($J941="",$K941=""),"",ROUND(MAX(0,($K941-$J941)-IF($H941="",0,$H941))/60,2))</f>
        <v/>
      </c>
      <c r="J941" s="41" t="str">
        <f>IF($F941="","",IF($F941&lt;1,ROUND($F941*1440,0),INT($F941/100)*60+MOD($F941,100)))</f>
        <v/>
      </c>
      <c r="K941" s="41" t="str">
        <f>IF($G941="","",IF($G941&lt;1,ROUND($G941*1440,0),INT($G941/100)*60+MOD($G941,100)))</f>
        <v/>
      </c>
    </row>
    <row r="942" ht="15" customHeight="1" s="26">
      <c r="A942" s="34" t="n"/>
      <c r="B942" s="32" t="n"/>
      <c r="C942" s="33" t="n"/>
      <c r="D942" s="37" t="str">
        <f>IF($C942="","",IFERROR(INDEX(프로젝트목록!$B$3:$B$62,MATCH($C942,프로젝트목록!$A$3:$A$62,0)),"미등록코드"))</f>
        <v/>
      </c>
      <c r="E942" s="32" t="n"/>
      <c r="F942" s="38" t="n"/>
      <c r="G942" s="38" t="n"/>
      <c r="H942" s="39" t="n"/>
      <c r="I942" s="40" t="str">
        <f>IF(OR($J942="",$K942=""),"",ROUND(MAX(0,($K942-$J942)-IF($H942="",0,$H942))/60,2))</f>
        <v/>
      </c>
      <c r="J942" s="41" t="str">
        <f>IF($F942="","",IF($F942&lt;1,ROUND($F942*1440,0),INT($F942/100)*60+MOD($F942,100)))</f>
        <v/>
      </c>
      <c r="K942" s="41" t="str">
        <f>IF($G942="","",IF($G942&lt;1,ROUND($G942*1440,0),INT($G942/100)*60+MOD($G942,100)))</f>
        <v/>
      </c>
    </row>
    <row r="943" ht="15" customHeight="1" s="26">
      <c r="A943" s="34" t="n"/>
      <c r="B943" s="32" t="n"/>
      <c r="C943" s="33" t="n"/>
      <c r="D943" s="37" t="str">
        <f>IF($C943="","",IFERROR(INDEX(프로젝트목록!$B$3:$B$62,MATCH($C943,프로젝트목록!$A$3:$A$62,0)),"미등록코드"))</f>
        <v/>
      </c>
      <c r="E943" s="32" t="n"/>
      <c r="F943" s="38" t="n"/>
      <c r="G943" s="38" t="n"/>
      <c r="H943" s="39" t="n"/>
      <c r="I943" s="40" t="str">
        <f>IF(OR($J943="",$K943=""),"",ROUND(MAX(0,($K943-$J943)-IF($H943="",0,$H943))/60,2))</f>
        <v/>
      </c>
      <c r="J943" s="41" t="str">
        <f>IF($F943="","",IF($F943&lt;1,ROUND($F943*1440,0),INT($F943/100)*60+MOD($F943,100)))</f>
        <v/>
      </c>
      <c r="K943" s="41" t="str">
        <f>IF($G943="","",IF($G943&lt;1,ROUND($G943*1440,0),INT($G943/100)*60+MOD($G943,100)))</f>
        <v/>
      </c>
    </row>
    <row r="944" ht="15" customHeight="1" s="26">
      <c r="A944" s="34" t="n"/>
      <c r="B944" s="32" t="n"/>
      <c r="C944" s="33" t="n"/>
      <c r="D944" s="37" t="str">
        <f>IF($C944="","",IFERROR(INDEX(프로젝트목록!$B$3:$B$62,MATCH($C944,프로젝트목록!$A$3:$A$62,0)),"미등록코드"))</f>
        <v/>
      </c>
      <c r="E944" s="32" t="n"/>
      <c r="F944" s="38" t="n"/>
      <c r="G944" s="38" t="n"/>
      <c r="H944" s="39" t="n"/>
      <c r="I944" s="40" t="str">
        <f>IF(OR($J944="",$K944=""),"",ROUND(MAX(0,($K944-$J944)-IF($H944="",0,$H944))/60,2))</f>
        <v/>
      </c>
      <c r="J944" s="41" t="str">
        <f>IF($F944="","",IF($F944&lt;1,ROUND($F944*1440,0),INT($F944/100)*60+MOD($F944,100)))</f>
        <v/>
      </c>
      <c r="K944" s="41" t="str">
        <f>IF($G944="","",IF($G944&lt;1,ROUND($G944*1440,0),INT($G944/100)*60+MOD($G944,100)))</f>
        <v/>
      </c>
    </row>
    <row r="945" ht="15" customHeight="1" s="26">
      <c r="A945" s="34" t="n"/>
      <c r="B945" s="32" t="n"/>
      <c r="C945" s="33" t="n"/>
      <c r="D945" s="37" t="str">
        <f>IF($C945="","",IFERROR(INDEX(프로젝트목록!$B$3:$B$62,MATCH($C945,프로젝트목록!$A$3:$A$62,0)),"미등록코드"))</f>
        <v/>
      </c>
      <c r="E945" s="32" t="n"/>
      <c r="F945" s="38" t="n"/>
      <c r="G945" s="38" t="n"/>
      <c r="H945" s="39" t="n"/>
      <c r="I945" s="40" t="str">
        <f>IF(OR($J945="",$K945=""),"",ROUND(MAX(0,($K945-$J945)-IF($H945="",0,$H945))/60,2))</f>
        <v/>
      </c>
      <c r="J945" s="41" t="str">
        <f>IF($F945="","",IF($F945&lt;1,ROUND($F945*1440,0),INT($F945/100)*60+MOD($F945,100)))</f>
        <v/>
      </c>
      <c r="K945" s="41" t="str">
        <f>IF($G945="","",IF($G945&lt;1,ROUND($G945*1440,0),INT($G945/100)*60+MOD($G945,100)))</f>
        <v/>
      </c>
    </row>
    <row r="946" ht="15" customHeight="1" s="26">
      <c r="A946" s="34" t="n"/>
      <c r="B946" s="32" t="n"/>
      <c r="C946" s="33" t="n"/>
      <c r="D946" s="37" t="str">
        <f>IF($C946="","",IFERROR(INDEX(프로젝트목록!$B$3:$B$62,MATCH($C946,프로젝트목록!$A$3:$A$62,0)),"미등록코드"))</f>
        <v/>
      </c>
      <c r="E946" s="32" t="n"/>
      <c r="F946" s="38" t="n"/>
      <c r="G946" s="38" t="n"/>
      <c r="H946" s="39" t="n"/>
      <c r="I946" s="40" t="str">
        <f>IF(OR($J946="",$K946=""),"",ROUND(MAX(0,($K946-$J946)-IF($H946="",0,$H946))/60,2))</f>
        <v/>
      </c>
      <c r="J946" s="41" t="str">
        <f>IF($F946="","",IF($F946&lt;1,ROUND($F946*1440,0),INT($F946/100)*60+MOD($F946,100)))</f>
        <v/>
      </c>
      <c r="K946" s="41" t="str">
        <f>IF($G946="","",IF($G946&lt;1,ROUND($G946*1440,0),INT($G946/100)*60+MOD($G946,100)))</f>
        <v/>
      </c>
    </row>
    <row r="947" ht="15" customHeight="1" s="26">
      <c r="A947" s="34" t="n"/>
      <c r="B947" s="32" t="n"/>
      <c r="C947" s="33" t="n"/>
      <c r="D947" s="37" t="str">
        <f>IF($C947="","",IFERROR(INDEX(프로젝트목록!$B$3:$B$62,MATCH($C947,프로젝트목록!$A$3:$A$62,0)),"미등록코드"))</f>
        <v/>
      </c>
      <c r="E947" s="32" t="n"/>
      <c r="F947" s="38" t="n"/>
      <c r="G947" s="38" t="n"/>
      <c r="H947" s="39" t="n"/>
      <c r="I947" s="40" t="str">
        <f>IF(OR($J947="",$K947=""),"",ROUND(MAX(0,($K947-$J947)-IF($H947="",0,$H947))/60,2))</f>
        <v/>
      </c>
      <c r="J947" s="41" t="str">
        <f>IF($F947="","",IF($F947&lt;1,ROUND($F947*1440,0),INT($F947/100)*60+MOD($F947,100)))</f>
        <v/>
      </c>
      <c r="K947" s="41" t="str">
        <f>IF($G947="","",IF($G947&lt;1,ROUND($G947*1440,0),INT($G947/100)*60+MOD($G947,100)))</f>
        <v/>
      </c>
    </row>
    <row r="948" ht="15" customHeight="1" s="26">
      <c r="A948" s="34" t="n"/>
      <c r="B948" s="32" t="n"/>
      <c r="C948" s="33" t="n"/>
      <c r="D948" s="37" t="str">
        <f>IF($C948="","",IFERROR(INDEX(프로젝트목록!$B$3:$B$62,MATCH($C948,프로젝트목록!$A$3:$A$62,0)),"미등록코드"))</f>
        <v/>
      </c>
      <c r="E948" s="32" t="n"/>
      <c r="F948" s="38" t="n"/>
      <c r="G948" s="38" t="n"/>
      <c r="H948" s="39" t="n"/>
      <c r="I948" s="40" t="str">
        <f>IF(OR($J948="",$K948=""),"",ROUND(MAX(0,($K948-$J948)-IF($H948="",0,$H948))/60,2))</f>
        <v/>
      </c>
      <c r="J948" s="41" t="str">
        <f>IF($F948="","",IF($F948&lt;1,ROUND($F948*1440,0),INT($F948/100)*60+MOD($F948,100)))</f>
        <v/>
      </c>
      <c r="K948" s="41" t="str">
        <f>IF($G948="","",IF($G948&lt;1,ROUND($G948*1440,0),INT($G948/100)*60+MOD($G948,100)))</f>
        <v/>
      </c>
    </row>
    <row r="949" ht="15" customHeight="1" s="26">
      <c r="A949" s="34" t="n"/>
      <c r="B949" s="32" t="n"/>
      <c r="C949" s="33" t="n"/>
      <c r="D949" s="37" t="str">
        <f>IF($C949="","",IFERROR(INDEX(프로젝트목록!$B$3:$B$62,MATCH($C949,프로젝트목록!$A$3:$A$62,0)),"미등록코드"))</f>
        <v/>
      </c>
      <c r="E949" s="32" t="n"/>
      <c r="F949" s="38" t="n"/>
      <c r="G949" s="38" t="n"/>
      <c r="H949" s="39" t="n"/>
      <c r="I949" s="40" t="str">
        <f>IF(OR($J949="",$K949=""),"",ROUND(MAX(0,($K949-$J949)-IF($H949="",0,$H949))/60,2))</f>
        <v/>
      </c>
      <c r="J949" s="41" t="str">
        <f>IF($F949="","",IF($F949&lt;1,ROUND($F949*1440,0),INT($F949/100)*60+MOD($F949,100)))</f>
        <v/>
      </c>
      <c r="K949" s="41" t="str">
        <f>IF($G949="","",IF($G949&lt;1,ROUND($G949*1440,0),INT($G949/100)*60+MOD($G949,100)))</f>
        <v/>
      </c>
    </row>
    <row r="950" ht="15" customHeight="1" s="26">
      <c r="A950" s="34" t="n"/>
      <c r="B950" s="32" t="n"/>
      <c r="C950" s="33" t="n"/>
      <c r="D950" s="37" t="str">
        <f>IF($C950="","",IFERROR(INDEX(프로젝트목록!$B$3:$B$62,MATCH($C950,프로젝트목록!$A$3:$A$62,0)),"미등록코드"))</f>
        <v/>
      </c>
      <c r="E950" s="32" t="n"/>
      <c r="F950" s="38" t="n"/>
      <c r="G950" s="38" t="n"/>
      <c r="H950" s="39" t="n"/>
      <c r="I950" s="40" t="str">
        <f>IF(OR($J950="",$K950=""),"",ROUND(MAX(0,($K950-$J950)-IF($H950="",0,$H950))/60,2))</f>
        <v/>
      </c>
      <c r="J950" s="41" t="str">
        <f>IF($F950="","",IF($F950&lt;1,ROUND($F950*1440,0),INT($F950/100)*60+MOD($F950,100)))</f>
        <v/>
      </c>
      <c r="K950" s="41" t="str">
        <f>IF($G950="","",IF($G950&lt;1,ROUND($G950*1440,0),INT($G950/100)*60+MOD($G950,100)))</f>
        <v/>
      </c>
    </row>
    <row r="951" ht="15" customHeight="1" s="26">
      <c r="A951" s="34" t="n"/>
      <c r="B951" s="32" t="n"/>
      <c r="C951" s="33" t="n"/>
      <c r="D951" s="37" t="str">
        <f>IF($C951="","",IFERROR(INDEX(프로젝트목록!$B$3:$B$62,MATCH($C951,프로젝트목록!$A$3:$A$62,0)),"미등록코드"))</f>
        <v/>
      </c>
      <c r="E951" s="32" t="n"/>
      <c r="F951" s="38" t="n"/>
      <c r="G951" s="38" t="n"/>
      <c r="H951" s="39" t="n"/>
      <c r="I951" s="40" t="str">
        <f>IF(OR($J951="",$K951=""),"",ROUND(MAX(0,($K951-$J951)-IF($H951="",0,$H951))/60,2))</f>
        <v/>
      </c>
      <c r="J951" s="41" t="str">
        <f>IF($F951="","",IF($F951&lt;1,ROUND($F951*1440,0),INT($F951/100)*60+MOD($F951,100)))</f>
        <v/>
      </c>
      <c r="K951" s="41" t="str">
        <f>IF($G951="","",IF($G951&lt;1,ROUND($G951*1440,0),INT($G951/100)*60+MOD($G951,100)))</f>
        <v/>
      </c>
    </row>
    <row r="952" ht="15" customHeight="1" s="26">
      <c r="A952" s="34" t="n"/>
      <c r="B952" s="32" t="n"/>
      <c r="C952" s="33" t="n"/>
      <c r="D952" s="37" t="str">
        <f>IF($C952="","",IFERROR(INDEX(프로젝트목록!$B$3:$B$62,MATCH($C952,프로젝트목록!$A$3:$A$62,0)),"미등록코드"))</f>
        <v/>
      </c>
      <c r="E952" s="32" t="n"/>
      <c r="F952" s="38" t="n"/>
      <c r="G952" s="38" t="n"/>
      <c r="H952" s="39" t="n"/>
      <c r="I952" s="40" t="str">
        <f>IF(OR($J952="",$K952=""),"",ROUND(MAX(0,($K952-$J952)-IF($H952="",0,$H952))/60,2))</f>
        <v/>
      </c>
      <c r="J952" s="41" t="str">
        <f>IF($F952="","",IF($F952&lt;1,ROUND($F952*1440,0),INT($F952/100)*60+MOD($F952,100)))</f>
        <v/>
      </c>
      <c r="K952" s="41" t="str">
        <f>IF($G952="","",IF($G952&lt;1,ROUND($G952*1440,0),INT($G952/100)*60+MOD($G952,100)))</f>
        <v/>
      </c>
    </row>
    <row r="953" ht="15" customHeight="1" s="26">
      <c r="A953" s="34" t="n"/>
      <c r="B953" s="32" t="n"/>
      <c r="C953" s="33" t="n"/>
      <c r="D953" s="37" t="str">
        <f>IF($C953="","",IFERROR(INDEX(프로젝트목록!$B$3:$B$62,MATCH($C953,프로젝트목록!$A$3:$A$62,0)),"미등록코드"))</f>
        <v/>
      </c>
      <c r="E953" s="32" t="n"/>
      <c r="F953" s="38" t="n"/>
      <c r="G953" s="38" t="n"/>
      <c r="H953" s="39" t="n"/>
      <c r="I953" s="40" t="str">
        <f>IF(OR($J953="",$K953=""),"",ROUND(MAX(0,($K953-$J953)-IF($H953="",0,$H953))/60,2))</f>
        <v/>
      </c>
      <c r="J953" s="41" t="str">
        <f>IF($F953="","",IF($F953&lt;1,ROUND($F953*1440,0),INT($F953/100)*60+MOD($F953,100)))</f>
        <v/>
      </c>
      <c r="K953" s="41" t="str">
        <f>IF($G953="","",IF($G953&lt;1,ROUND($G953*1440,0),INT($G953/100)*60+MOD($G953,100)))</f>
        <v/>
      </c>
    </row>
    <row r="954" ht="15" customHeight="1" s="26">
      <c r="A954" s="34" t="n"/>
      <c r="B954" s="32" t="n"/>
      <c r="C954" s="33" t="n"/>
      <c r="D954" s="37" t="str">
        <f>IF($C954="","",IFERROR(INDEX(프로젝트목록!$B$3:$B$62,MATCH($C954,프로젝트목록!$A$3:$A$62,0)),"미등록코드"))</f>
        <v/>
      </c>
      <c r="E954" s="32" t="n"/>
      <c r="F954" s="38" t="n"/>
      <c r="G954" s="38" t="n"/>
      <c r="H954" s="39" t="n"/>
      <c r="I954" s="40" t="str">
        <f>IF(OR($J954="",$K954=""),"",ROUND(MAX(0,($K954-$J954)-IF($H954="",0,$H954))/60,2))</f>
        <v/>
      </c>
      <c r="J954" s="41" t="str">
        <f>IF($F954="","",IF($F954&lt;1,ROUND($F954*1440,0),INT($F954/100)*60+MOD($F954,100)))</f>
        <v/>
      </c>
      <c r="K954" s="41" t="str">
        <f>IF($G954="","",IF($G954&lt;1,ROUND($G954*1440,0),INT($G954/100)*60+MOD($G954,100)))</f>
        <v/>
      </c>
    </row>
    <row r="955" ht="15" customHeight="1" s="26">
      <c r="A955" s="34" t="n"/>
      <c r="B955" s="32" t="n"/>
      <c r="C955" s="33" t="n"/>
      <c r="D955" s="37" t="str">
        <f>IF($C955="","",IFERROR(INDEX(프로젝트목록!$B$3:$B$62,MATCH($C955,프로젝트목록!$A$3:$A$62,0)),"미등록코드"))</f>
        <v/>
      </c>
      <c r="E955" s="32" t="n"/>
      <c r="F955" s="38" t="n"/>
      <c r="G955" s="38" t="n"/>
      <c r="H955" s="39" t="n"/>
      <c r="I955" s="40" t="str">
        <f>IF(OR($J955="",$K955=""),"",ROUND(MAX(0,($K955-$J955)-IF($H955="",0,$H955))/60,2))</f>
        <v/>
      </c>
      <c r="J955" s="41" t="str">
        <f>IF($F955="","",IF($F955&lt;1,ROUND($F955*1440,0),INT($F955/100)*60+MOD($F955,100)))</f>
        <v/>
      </c>
      <c r="K955" s="41" t="str">
        <f>IF($G955="","",IF($G955&lt;1,ROUND($G955*1440,0),INT($G955/100)*60+MOD($G955,100)))</f>
        <v/>
      </c>
    </row>
    <row r="956" ht="15" customHeight="1" s="26">
      <c r="A956" s="34" t="n"/>
      <c r="B956" s="32" t="n"/>
      <c r="C956" s="33" t="n"/>
      <c r="D956" s="37" t="str">
        <f>IF($C956="","",IFERROR(INDEX(프로젝트목록!$B$3:$B$62,MATCH($C956,프로젝트목록!$A$3:$A$62,0)),"미등록코드"))</f>
        <v/>
      </c>
      <c r="E956" s="32" t="n"/>
      <c r="F956" s="38" t="n"/>
      <c r="G956" s="38" t="n"/>
      <c r="H956" s="39" t="n"/>
      <c r="I956" s="40" t="str">
        <f>IF(OR($J956="",$K956=""),"",ROUND(MAX(0,($K956-$J956)-IF($H956="",0,$H956))/60,2))</f>
        <v/>
      </c>
      <c r="J956" s="41" t="str">
        <f>IF($F956="","",IF($F956&lt;1,ROUND($F956*1440,0),INT($F956/100)*60+MOD($F956,100)))</f>
        <v/>
      </c>
      <c r="K956" s="41" t="str">
        <f>IF($G956="","",IF($G956&lt;1,ROUND($G956*1440,0),INT($G956/100)*60+MOD($G956,100)))</f>
        <v/>
      </c>
    </row>
    <row r="957" ht="15" customHeight="1" s="26">
      <c r="A957" s="34" t="n"/>
      <c r="B957" s="32" t="n"/>
      <c r="C957" s="33" t="n"/>
      <c r="D957" s="37" t="str">
        <f>IF($C957="","",IFERROR(INDEX(프로젝트목록!$B$3:$B$62,MATCH($C957,프로젝트목록!$A$3:$A$62,0)),"미등록코드"))</f>
        <v/>
      </c>
      <c r="E957" s="32" t="n"/>
      <c r="F957" s="38" t="n"/>
      <c r="G957" s="38" t="n"/>
      <c r="H957" s="39" t="n"/>
      <c r="I957" s="40" t="str">
        <f>IF(OR($J957="",$K957=""),"",ROUND(MAX(0,($K957-$J957)-IF($H957="",0,$H957))/60,2))</f>
        <v/>
      </c>
      <c r="J957" s="41" t="str">
        <f>IF($F957="","",IF($F957&lt;1,ROUND($F957*1440,0),INT($F957/100)*60+MOD($F957,100)))</f>
        <v/>
      </c>
      <c r="K957" s="41" t="str">
        <f>IF($G957="","",IF($G957&lt;1,ROUND($G957*1440,0),INT($G957/100)*60+MOD($G957,100)))</f>
        <v/>
      </c>
    </row>
    <row r="958" ht="15" customHeight="1" s="26">
      <c r="A958" s="34" t="n"/>
      <c r="B958" s="32" t="n"/>
      <c r="C958" s="33" t="n"/>
      <c r="D958" s="37" t="str">
        <f>IF($C958="","",IFERROR(INDEX(프로젝트목록!$B$3:$B$62,MATCH($C958,프로젝트목록!$A$3:$A$62,0)),"미등록코드"))</f>
        <v/>
      </c>
      <c r="E958" s="32" t="n"/>
      <c r="F958" s="38" t="n"/>
      <c r="G958" s="38" t="n"/>
      <c r="H958" s="39" t="n"/>
      <c r="I958" s="40" t="str">
        <f>IF(OR($J958="",$K958=""),"",ROUND(MAX(0,($K958-$J958)-IF($H958="",0,$H958))/60,2))</f>
        <v/>
      </c>
      <c r="J958" s="41" t="str">
        <f>IF($F958="","",IF($F958&lt;1,ROUND($F958*1440,0),INT($F958/100)*60+MOD($F958,100)))</f>
        <v/>
      </c>
      <c r="K958" s="41" t="str">
        <f>IF($G958="","",IF($G958&lt;1,ROUND($G958*1440,0),INT($G958/100)*60+MOD($G958,100)))</f>
        <v/>
      </c>
    </row>
    <row r="959" ht="15" customHeight="1" s="26">
      <c r="A959" s="34" t="n"/>
      <c r="B959" s="32" t="n"/>
      <c r="C959" s="33" t="n"/>
      <c r="D959" s="37" t="str">
        <f>IF($C959="","",IFERROR(INDEX(프로젝트목록!$B$3:$B$62,MATCH($C959,프로젝트목록!$A$3:$A$62,0)),"미등록코드"))</f>
        <v/>
      </c>
      <c r="E959" s="32" t="n"/>
      <c r="F959" s="38" t="n"/>
      <c r="G959" s="38" t="n"/>
      <c r="H959" s="39" t="n"/>
      <c r="I959" s="40" t="str">
        <f>IF(OR($J959="",$K959=""),"",ROUND(MAX(0,($K959-$J959)-IF($H959="",0,$H959))/60,2))</f>
        <v/>
      </c>
      <c r="J959" s="41" t="str">
        <f>IF($F959="","",IF($F959&lt;1,ROUND($F959*1440,0),INT($F959/100)*60+MOD($F959,100)))</f>
        <v/>
      </c>
      <c r="K959" s="41" t="str">
        <f>IF($G959="","",IF($G959&lt;1,ROUND($G959*1440,0),INT($G959/100)*60+MOD($G959,100)))</f>
        <v/>
      </c>
    </row>
    <row r="960" ht="15" customHeight="1" s="26">
      <c r="A960" s="34" t="n"/>
      <c r="B960" s="32" t="n"/>
      <c r="C960" s="33" t="n"/>
      <c r="D960" s="37" t="str">
        <f>IF($C960="","",IFERROR(INDEX(프로젝트목록!$B$3:$B$62,MATCH($C960,프로젝트목록!$A$3:$A$62,0)),"미등록코드"))</f>
        <v/>
      </c>
      <c r="E960" s="32" t="n"/>
      <c r="F960" s="38" t="n"/>
      <c r="G960" s="38" t="n"/>
      <c r="H960" s="39" t="n"/>
      <c r="I960" s="40" t="str">
        <f>IF(OR($J960="",$K960=""),"",ROUND(MAX(0,($K960-$J960)-IF($H960="",0,$H960))/60,2))</f>
        <v/>
      </c>
      <c r="J960" s="41" t="str">
        <f>IF($F960="","",IF($F960&lt;1,ROUND($F960*1440,0),INT($F960/100)*60+MOD($F960,100)))</f>
        <v/>
      </c>
      <c r="K960" s="41" t="str">
        <f>IF($G960="","",IF($G960&lt;1,ROUND($G960*1440,0),INT($G960/100)*60+MOD($G960,100)))</f>
        <v/>
      </c>
    </row>
    <row r="961" ht="15" customHeight="1" s="26">
      <c r="A961" s="34" t="n"/>
      <c r="B961" s="32" t="n"/>
      <c r="C961" s="33" t="n"/>
      <c r="D961" s="37" t="str">
        <f>IF($C961="","",IFERROR(INDEX(프로젝트목록!$B$3:$B$62,MATCH($C961,프로젝트목록!$A$3:$A$62,0)),"미등록코드"))</f>
        <v/>
      </c>
      <c r="E961" s="32" t="n"/>
      <c r="F961" s="38" t="n"/>
      <c r="G961" s="38" t="n"/>
      <c r="H961" s="39" t="n"/>
      <c r="I961" s="40" t="str">
        <f>IF(OR($J961="",$K961=""),"",ROUND(MAX(0,($K961-$J961)-IF($H961="",0,$H961))/60,2))</f>
        <v/>
      </c>
      <c r="J961" s="41" t="str">
        <f>IF($F961="","",IF($F961&lt;1,ROUND($F961*1440,0),INT($F961/100)*60+MOD($F961,100)))</f>
        <v/>
      </c>
      <c r="K961" s="41" t="str">
        <f>IF($G961="","",IF($G961&lt;1,ROUND($G961*1440,0),INT($G961/100)*60+MOD($G961,100)))</f>
        <v/>
      </c>
    </row>
    <row r="962" ht="15" customHeight="1" s="26">
      <c r="A962" s="34" t="n"/>
      <c r="B962" s="32" t="n"/>
      <c r="C962" s="33" t="n"/>
      <c r="D962" s="37" t="str">
        <f>IF($C962="","",IFERROR(INDEX(프로젝트목록!$B$3:$B$62,MATCH($C962,프로젝트목록!$A$3:$A$62,0)),"미등록코드"))</f>
        <v/>
      </c>
      <c r="E962" s="32" t="n"/>
      <c r="F962" s="38" t="n"/>
      <c r="G962" s="38" t="n"/>
      <c r="H962" s="39" t="n"/>
      <c r="I962" s="40" t="str">
        <f>IF(OR($J962="",$K962=""),"",ROUND(MAX(0,($K962-$J962)-IF($H962="",0,$H962))/60,2))</f>
        <v/>
      </c>
      <c r="J962" s="41" t="str">
        <f>IF($F962="","",IF($F962&lt;1,ROUND($F962*1440,0),INT($F962/100)*60+MOD($F962,100)))</f>
        <v/>
      </c>
      <c r="K962" s="41" t="str">
        <f>IF($G962="","",IF($G962&lt;1,ROUND($G962*1440,0),INT($G962/100)*60+MOD($G962,100)))</f>
        <v/>
      </c>
    </row>
    <row r="963" ht="15" customHeight="1" s="26">
      <c r="A963" s="34" t="n"/>
      <c r="B963" s="32" t="n"/>
      <c r="C963" s="33" t="n"/>
      <c r="D963" s="37" t="str">
        <f>IF($C963="","",IFERROR(INDEX(프로젝트목록!$B$3:$B$62,MATCH($C963,프로젝트목록!$A$3:$A$62,0)),"미등록코드"))</f>
        <v/>
      </c>
      <c r="E963" s="32" t="n"/>
      <c r="F963" s="38" t="n"/>
      <c r="G963" s="38" t="n"/>
      <c r="H963" s="39" t="n"/>
      <c r="I963" s="40" t="str">
        <f>IF(OR($J963="",$K963=""),"",ROUND(MAX(0,($K963-$J963)-IF($H963="",0,$H963))/60,2))</f>
        <v/>
      </c>
      <c r="J963" s="41" t="str">
        <f>IF($F963="","",IF($F963&lt;1,ROUND($F963*1440,0),INT($F963/100)*60+MOD($F963,100)))</f>
        <v/>
      </c>
      <c r="K963" s="41" t="str">
        <f>IF($G963="","",IF($G963&lt;1,ROUND($G963*1440,0),INT($G963/100)*60+MOD($G963,100)))</f>
        <v/>
      </c>
    </row>
    <row r="964" ht="15" customHeight="1" s="26">
      <c r="A964" s="34" t="n"/>
      <c r="B964" s="32" t="n"/>
      <c r="C964" s="33" t="n"/>
      <c r="D964" s="37" t="str">
        <f>IF($C964="","",IFERROR(INDEX(프로젝트목록!$B$3:$B$62,MATCH($C964,프로젝트목록!$A$3:$A$62,0)),"미등록코드"))</f>
        <v/>
      </c>
      <c r="E964" s="32" t="n"/>
      <c r="F964" s="38" t="n"/>
      <c r="G964" s="38" t="n"/>
      <c r="H964" s="39" t="n"/>
      <c r="I964" s="40" t="str">
        <f>IF(OR($J964="",$K964=""),"",ROUND(MAX(0,($K964-$J964)-IF($H964="",0,$H964))/60,2))</f>
        <v/>
      </c>
      <c r="J964" s="41" t="str">
        <f>IF($F964="","",IF($F964&lt;1,ROUND($F964*1440,0),INT($F964/100)*60+MOD($F964,100)))</f>
        <v/>
      </c>
      <c r="K964" s="41" t="str">
        <f>IF($G964="","",IF($G964&lt;1,ROUND($G964*1440,0),INT($G964/100)*60+MOD($G964,100)))</f>
        <v/>
      </c>
    </row>
    <row r="965" ht="15" customHeight="1" s="26">
      <c r="A965" s="34" t="n"/>
      <c r="B965" s="32" t="n"/>
      <c r="C965" s="33" t="n"/>
      <c r="D965" s="37" t="str">
        <f>IF($C965="","",IFERROR(INDEX(프로젝트목록!$B$3:$B$62,MATCH($C965,프로젝트목록!$A$3:$A$62,0)),"미등록코드"))</f>
        <v/>
      </c>
      <c r="E965" s="32" t="n"/>
      <c r="F965" s="38" t="n"/>
      <c r="G965" s="38" t="n"/>
      <c r="H965" s="39" t="n"/>
      <c r="I965" s="40" t="str">
        <f>IF(OR($J965="",$K965=""),"",ROUND(MAX(0,($K965-$J965)-IF($H965="",0,$H965))/60,2))</f>
        <v/>
      </c>
      <c r="J965" s="41" t="str">
        <f>IF($F965="","",IF($F965&lt;1,ROUND($F965*1440,0),INT($F965/100)*60+MOD($F965,100)))</f>
        <v/>
      </c>
      <c r="K965" s="41" t="str">
        <f>IF($G965="","",IF($G965&lt;1,ROUND($G965*1440,0),INT($G965/100)*60+MOD($G965,100)))</f>
        <v/>
      </c>
    </row>
    <row r="966" ht="15" customHeight="1" s="26">
      <c r="A966" s="34" t="n"/>
      <c r="B966" s="32" t="n"/>
      <c r="C966" s="33" t="n"/>
      <c r="D966" s="37" t="str">
        <f>IF($C966="","",IFERROR(INDEX(프로젝트목록!$B$3:$B$62,MATCH($C966,프로젝트목록!$A$3:$A$62,0)),"미등록코드"))</f>
        <v/>
      </c>
      <c r="E966" s="32" t="n"/>
      <c r="F966" s="38" t="n"/>
      <c r="G966" s="38" t="n"/>
      <c r="H966" s="39" t="n"/>
      <c r="I966" s="40" t="str">
        <f>IF(OR($J966="",$K966=""),"",ROUND(MAX(0,($K966-$J966)-IF($H966="",0,$H966))/60,2))</f>
        <v/>
      </c>
      <c r="J966" s="41" t="str">
        <f>IF($F966="","",IF($F966&lt;1,ROUND($F966*1440,0),INT($F966/100)*60+MOD($F966,100)))</f>
        <v/>
      </c>
      <c r="K966" s="41" t="str">
        <f>IF($G966="","",IF($G966&lt;1,ROUND($G966*1440,0),INT($G966/100)*60+MOD($G966,100)))</f>
        <v/>
      </c>
    </row>
    <row r="967" ht="15" customHeight="1" s="26">
      <c r="A967" s="34" t="n"/>
      <c r="B967" s="32" t="n"/>
      <c r="C967" s="33" t="n"/>
      <c r="D967" s="37" t="str">
        <f>IF($C967="","",IFERROR(INDEX(프로젝트목록!$B$3:$B$62,MATCH($C967,프로젝트목록!$A$3:$A$62,0)),"미등록코드"))</f>
        <v/>
      </c>
      <c r="E967" s="32" t="n"/>
      <c r="F967" s="38" t="n"/>
      <c r="G967" s="38" t="n"/>
      <c r="H967" s="39" t="n"/>
      <c r="I967" s="40" t="str">
        <f>IF(OR($J967="",$K967=""),"",ROUND(MAX(0,($K967-$J967)-IF($H967="",0,$H967))/60,2))</f>
        <v/>
      </c>
      <c r="J967" s="41" t="str">
        <f>IF($F967="","",IF($F967&lt;1,ROUND($F967*1440,0),INT($F967/100)*60+MOD($F967,100)))</f>
        <v/>
      </c>
      <c r="K967" s="41" t="str">
        <f>IF($G967="","",IF($G967&lt;1,ROUND($G967*1440,0),INT($G967/100)*60+MOD($G967,100)))</f>
        <v/>
      </c>
    </row>
    <row r="968" ht="15" customHeight="1" s="26">
      <c r="A968" s="34" t="n"/>
      <c r="B968" s="32" t="n"/>
      <c r="C968" s="33" t="n"/>
      <c r="D968" s="37" t="str">
        <f>IF($C968="","",IFERROR(INDEX(프로젝트목록!$B$3:$B$62,MATCH($C968,프로젝트목록!$A$3:$A$62,0)),"미등록코드"))</f>
        <v/>
      </c>
      <c r="E968" s="32" t="n"/>
      <c r="F968" s="38" t="n"/>
      <c r="G968" s="38" t="n"/>
      <c r="H968" s="39" t="n"/>
      <c r="I968" s="40" t="str">
        <f>IF(OR($J968="",$K968=""),"",ROUND(MAX(0,($K968-$J968)-IF($H968="",0,$H968))/60,2))</f>
        <v/>
      </c>
      <c r="J968" s="41" t="str">
        <f>IF($F968="","",IF($F968&lt;1,ROUND($F968*1440,0),INT($F968/100)*60+MOD($F968,100)))</f>
        <v/>
      </c>
      <c r="K968" s="41" t="str">
        <f>IF($G968="","",IF($G968&lt;1,ROUND($G968*1440,0),INT($G968/100)*60+MOD($G968,100)))</f>
        <v/>
      </c>
    </row>
    <row r="969" ht="15" customHeight="1" s="26">
      <c r="A969" s="34" t="n"/>
      <c r="B969" s="32" t="n"/>
      <c r="C969" s="33" t="n"/>
      <c r="D969" s="37" t="str">
        <f>IF($C969="","",IFERROR(INDEX(프로젝트목록!$B$3:$B$62,MATCH($C969,프로젝트목록!$A$3:$A$62,0)),"미등록코드"))</f>
        <v/>
      </c>
      <c r="E969" s="32" t="n"/>
      <c r="F969" s="38" t="n"/>
      <c r="G969" s="38" t="n"/>
      <c r="H969" s="39" t="n"/>
      <c r="I969" s="40" t="str">
        <f>IF(OR($J969="",$K969=""),"",ROUND(MAX(0,($K969-$J969)-IF($H969="",0,$H969))/60,2))</f>
        <v/>
      </c>
      <c r="J969" s="41" t="str">
        <f>IF($F969="","",IF($F969&lt;1,ROUND($F969*1440,0),INT($F969/100)*60+MOD($F969,100)))</f>
        <v/>
      </c>
      <c r="K969" s="41" t="str">
        <f>IF($G969="","",IF($G969&lt;1,ROUND($G969*1440,0),INT($G969/100)*60+MOD($G969,100)))</f>
        <v/>
      </c>
    </row>
    <row r="970" ht="15" customHeight="1" s="26">
      <c r="A970" s="34" t="n"/>
      <c r="B970" s="32" t="n"/>
      <c r="C970" s="33" t="n"/>
      <c r="D970" s="37" t="str">
        <f>IF($C970="","",IFERROR(INDEX(프로젝트목록!$B$3:$B$62,MATCH($C970,프로젝트목록!$A$3:$A$62,0)),"미등록코드"))</f>
        <v/>
      </c>
      <c r="E970" s="32" t="n"/>
      <c r="F970" s="38" t="n"/>
      <c r="G970" s="38" t="n"/>
      <c r="H970" s="39" t="n"/>
      <c r="I970" s="40" t="str">
        <f>IF(OR($J970="",$K970=""),"",ROUND(MAX(0,($K970-$J970)-IF($H970="",0,$H970))/60,2))</f>
        <v/>
      </c>
      <c r="J970" s="41" t="str">
        <f>IF($F970="","",IF($F970&lt;1,ROUND($F970*1440,0),INT($F970/100)*60+MOD($F970,100)))</f>
        <v/>
      </c>
      <c r="K970" s="41" t="str">
        <f>IF($G970="","",IF($G970&lt;1,ROUND($G970*1440,0),INT($G970/100)*60+MOD($G970,100)))</f>
        <v/>
      </c>
    </row>
    <row r="971" ht="15" customHeight="1" s="26">
      <c r="A971" s="34" t="n"/>
      <c r="B971" s="32" t="n"/>
      <c r="C971" s="33" t="n"/>
      <c r="D971" s="37" t="str">
        <f>IF($C971="","",IFERROR(INDEX(프로젝트목록!$B$3:$B$62,MATCH($C971,프로젝트목록!$A$3:$A$62,0)),"미등록코드"))</f>
        <v/>
      </c>
      <c r="E971" s="32" t="n"/>
      <c r="F971" s="38" t="n"/>
      <c r="G971" s="38" t="n"/>
      <c r="H971" s="39" t="n"/>
      <c r="I971" s="40" t="str">
        <f>IF(OR($J971="",$K971=""),"",ROUND(MAX(0,($K971-$J971)-IF($H971="",0,$H971))/60,2))</f>
        <v/>
      </c>
      <c r="J971" s="41" t="str">
        <f>IF($F971="","",IF($F971&lt;1,ROUND($F971*1440,0),INT($F971/100)*60+MOD($F971,100)))</f>
        <v/>
      </c>
      <c r="K971" s="41" t="str">
        <f>IF($G971="","",IF($G971&lt;1,ROUND($G971*1440,0),INT($G971/100)*60+MOD($G971,100)))</f>
        <v/>
      </c>
    </row>
    <row r="972" ht="15" customHeight="1" s="26">
      <c r="A972" s="34" t="n"/>
      <c r="B972" s="32" t="n"/>
      <c r="C972" s="33" t="n"/>
      <c r="D972" s="37" t="str">
        <f>IF($C972="","",IFERROR(INDEX(프로젝트목록!$B$3:$B$62,MATCH($C972,프로젝트목록!$A$3:$A$62,0)),"미등록코드"))</f>
        <v/>
      </c>
      <c r="E972" s="32" t="n"/>
      <c r="F972" s="38" t="n"/>
      <c r="G972" s="38" t="n"/>
      <c r="H972" s="39" t="n"/>
      <c r="I972" s="40" t="str">
        <f>IF(OR($J972="",$K972=""),"",ROUND(MAX(0,($K972-$J972)-IF($H972="",0,$H972))/60,2))</f>
        <v/>
      </c>
      <c r="J972" s="41" t="str">
        <f>IF($F972="","",IF($F972&lt;1,ROUND($F972*1440,0),INT($F972/100)*60+MOD($F972,100)))</f>
        <v/>
      </c>
      <c r="K972" s="41" t="str">
        <f>IF($G972="","",IF($G972&lt;1,ROUND($G972*1440,0),INT($G972/100)*60+MOD($G972,100)))</f>
        <v/>
      </c>
    </row>
    <row r="973" ht="15" customHeight="1" s="26">
      <c r="A973" s="34" t="n"/>
      <c r="B973" s="32" t="n"/>
      <c r="C973" s="33" t="n"/>
      <c r="D973" s="37" t="str">
        <f>IF($C973="","",IFERROR(INDEX(프로젝트목록!$B$3:$B$62,MATCH($C973,프로젝트목록!$A$3:$A$62,0)),"미등록코드"))</f>
        <v/>
      </c>
      <c r="E973" s="32" t="n"/>
      <c r="F973" s="38" t="n"/>
      <c r="G973" s="38" t="n"/>
      <c r="H973" s="39" t="n"/>
      <c r="I973" s="40" t="str">
        <f>IF(OR($J973="",$K973=""),"",ROUND(MAX(0,($K973-$J973)-IF($H973="",0,$H973))/60,2))</f>
        <v/>
      </c>
      <c r="J973" s="41" t="str">
        <f>IF($F973="","",IF($F973&lt;1,ROUND($F973*1440,0),INT($F973/100)*60+MOD($F973,100)))</f>
        <v/>
      </c>
      <c r="K973" s="41" t="str">
        <f>IF($G973="","",IF($G973&lt;1,ROUND($G973*1440,0),INT($G973/100)*60+MOD($G973,100)))</f>
        <v/>
      </c>
    </row>
    <row r="974" ht="15" customHeight="1" s="26">
      <c r="A974" s="34" t="n"/>
      <c r="B974" s="32" t="n"/>
      <c r="C974" s="33" t="n"/>
      <c r="D974" s="37" t="str">
        <f>IF($C974="","",IFERROR(INDEX(프로젝트목록!$B$3:$B$62,MATCH($C974,프로젝트목록!$A$3:$A$62,0)),"미등록코드"))</f>
        <v/>
      </c>
      <c r="E974" s="32" t="n"/>
      <c r="F974" s="38" t="n"/>
      <c r="G974" s="38" t="n"/>
      <c r="H974" s="39" t="n"/>
      <c r="I974" s="40" t="str">
        <f>IF(OR($J974="",$K974=""),"",ROUND(MAX(0,($K974-$J974)-IF($H974="",0,$H974))/60,2))</f>
        <v/>
      </c>
      <c r="J974" s="41" t="str">
        <f>IF($F974="","",IF($F974&lt;1,ROUND($F974*1440,0),INT($F974/100)*60+MOD($F974,100)))</f>
        <v/>
      </c>
      <c r="K974" s="41" t="str">
        <f>IF($G974="","",IF($G974&lt;1,ROUND($G974*1440,0),INT($G974/100)*60+MOD($G974,100)))</f>
        <v/>
      </c>
    </row>
    <row r="975" ht="15" customHeight="1" s="26">
      <c r="A975" s="34" t="n"/>
      <c r="B975" s="32" t="n"/>
      <c r="C975" s="33" t="n"/>
      <c r="D975" s="37" t="str">
        <f>IF($C975="","",IFERROR(INDEX(프로젝트목록!$B$3:$B$62,MATCH($C975,프로젝트목록!$A$3:$A$62,0)),"미등록코드"))</f>
        <v/>
      </c>
      <c r="E975" s="32" t="n"/>
      <c r="F975" s="38" t="n"/>
      <c r="G975" s="38" t="n"/>
      <c r="H975" s="39" t="n"/>
      <c r="I975" s="40" t="str">
        <f>IF(OR($J975="",$K975=""),"",ROUND(MAX(0,($K975-$J975)-IF($H975="",0,$H975))/60,2))</f>
        <v/>
      </c>
      <c r="J975" s="41" t="str">
        <f>IF($F975="","",IF($F975&lt;1,ROUND($F975*1440,0),INT($F975/100)*60+MOD($F975,100)))</f>
        <v/>
      </c>
      <c r="K975" s="41" t="str">
        <f>IF($G975="","",IF($G975&lt;1,ROUND($G975*1440,0),INT($G975/100)*60+MOD($G975,100)))</f>
        <v/>
      </c>
    </row>
    <row r="976" ht="15" customHeight="1" s="26">
      <c r="A976" s="34" t="n"/>
      <c r="B976" s="32" t="n"/>
      <c r="C976" s="33" t="n"/>
      <c r="D976" s="37" t="str">
        <f>IF($C976="","",IFERROR(INDEX(프로젝트목록!$B$3:$B$62,MATCH($C976,프로젝트목록!$A$3:$A$62,0)),"미등록코드"))</f>
        <v/>
      </c>
      <c r="E976" s="32" t="n"/>
      <c r="F976" s="38" t="n"/>
      <c r="G976" s="38" t="n"/>
      <c r="H976" s="39" t="n"/>
      <c r="I976" s="40" t="str">
        <f>IF(OR($J976="",$K976=""),"",ROUND(MAX(0,($K976-$J976)-IF($H976="",0,$H976))/60,2))</f>
        <v/>
      </c>
      <c r="J976" s="41" t="str">
        <f>IF($F976="","",IF($F976&lt;1,ROUND($F976*1440,0),INT($F976/100)*60+MOD($F976,100)))</f>
        <v/>
      </c>
      <c r="K976" s="41" t="str">
        <f>IF($G976="","",IF($G976&lt;1,ROUND($G976*1440,0),INT($G976/100)*60+MOD($G976,100)))</f>
        <v/>
      </c>
    </row>
    <row r="977" ht="15" customHeight="1" s="26">
      <c r="A977" s="34" t="n"/>
      <c r="B977" s="32" t="n"/>
      <c r="C977" s="33" t="n"/>
      <c r="D977" s="37" t="str">
        <f>IF($C977="","",IFERROR(INDEX(프로젝트목록!$B$3:$B$62,MATCH($C977,프로젝트목록!$A$3:$A$62,0)),"미등록코드"))</f>
        <v/>
      </c>
      <c r="E977" s="32" t="n"/>
      <c r="F977" s="38" t="n"/>
      <c r="G977" s="38" t="n"/>
      <c r="H977" s="39" t="n"/>
      <c r="I977" s="40" t="str">
        <f>IF(OR($J977="",$K977=""),"",ROUND(MAX(0,($K977-$J977)-IF($H977="",0,$H977))/60,2))</f>
        <v/>
      </c>
      <c r="J977" s="41" t="str">
        <f>IF($F977="","",IF($F977&lt;1,ROUND($F977*1440,0),INT($F977/100)*60+MOD($F977,100)))</f>
        <v/>
      </c>
      <c r="K977" s="41" t="str">
        <f>IF($G977="","",IF($G977&lt;1,ROUND($G977*1440,0),INT($G977/100)*60+MOD($G977,100)))</f>
        <v/>
      </c>
    </row>
    <row r="978" ht="15" customHeight="1" s="26">
      <c r="A978" s="34" t="n"/>
      <c r="B978" s="32" t="n"/>
      <c r="C978" s="33" t="n"/>
      <c r="D978" s="37" t="str">
        <f>IF($C978="","",IFERROR(INDEX(프로젝트목록!$B$3:$B$62,MATCH($C978,프로젝트목록!$A$3:$A$62,0)),"미등록코드"))</f>
        <v/>
      </c>
      <c r="E978" s="32" t="n"/>
      <c r="F978" s="38" t="n"/>
      <c r="G978" s="38" t="n"/>
      <c r="H978" s="39" t="n"/>
      <c r="I978" s="40" t="str">
        <f>IF(OR($J978="",$K978=""),"",ROUND(MAX(0,($K978-$J978)-IF($H978="",0,$H978))/60,2))</f>
        <v/>
      </c>
      <c r="J978" s="41" t="str">
        <f>IF($F978="","",IF($F978&lt;1,ROUND($F978*1440,0),INT($F978/100)*60+MOD($F978,100)))</f>
        <v/>
      </c>
      <c r="K978" s="41" t="str">
        <f>IF($G978="","",IF($G978&lt;1,ROUND($G978*1440,0),INT($G978/100)*60+MOD($G978,100)))</f>
        <v/>
      </c>
    </row>
    <row r="979" ht="15" customHeight="1" s="26">
      <c r="A979" s="34" t="n"/>
      <c r="B979" s="32" t="n"/>
      <c r="C979" s="33" t="n"/>
      <c r="D979" s="37" t="str">
        <f>IF($C979="","",IFERROR(INDEX(프로젝트목록!$B$3:$B$62,MATCH($C979,프로젝트목록!$A$3:$A$62,0)),"미등록코드"))</f>
        <v/>
      </c>
      <c r="E979" s="32" t="n"/>
      <c r="F979" s="38" t="n"/>
      <c r="G979" s="38" t="n"/>
      <c r="H979" s="39" t="n"/>
      <c r="I979" s="40" t="str">
        <f>IF(OR($J979="",$K979=""),"",ROUND(MAX(0,($K979-$J979)-IF($H979="",0,$H979))/60,2))</f>
        <v/>
      </c>
      <c r="J979" s="41" t="str">
        <f>IF($F979="","",IF($F979&lt;1,ROUND($F979*1440,0),INT($F979/100)*60+MOD($F979,100)))</f>
        <v/>
      </c>
      <c r="K979" s="41" t="str">
        <f>IF($G979="","",IF($G979&lt;1,ROUND($G979*1440,0),INT($G979/100)*60+MOD($G979,100)))</f>
        <v/>
      </c>
    </row>
    <row r="980" ht="15" customHeight="1" s="26">
      <c r="A980" s="34" t="n"/>
      <c r="B980" s="32" t="n"/>
      <c r="C980" s="33" t="n"/>
      <c r="D980" s="37" t="str">
        <f>IF($C980="","",IFERROR(INDEX(프로젝트목록!$B$3:$B$62,MATCH($C980,프로젝트목록!$A$3:$A$62,0)),"미등록코드"))</f>
        <v/>
      </c>
      <c r="E980" s="32" t="n"/>
      <c r="F980" s="38" t="n"/>
      <c r="G980" s="38" t="n"/>
      <c r="H980" s="39" t="n"/>
      <c r="I980" s="40" t="str">
        <f>IF(OR($J980="",$K980=""),"",ROUND(MAX(0,($K980-$J980)-IF($H980="",0,$H980))/60,2))</f>
        <v/>
      </c>
      <c r="J980" s="41" t="str">
        <f>IF($F980="","",IF($F980&lt;1,ROUND($F980*1440,0),INT($F980/100)*60+MOD($F980,100)))</f>
        <v/>
      </c>
      <c r="K980" s="41" t="str">
        <f>IF($G980="","",IF($G980&lt;1,ROUND($G980*1440,0),INT($G980/100)*60+MOD($G980,100)))</f>
        <v/>
      </c>
    </row>
    <row r="981" ht="15" customHeight="1" s="26">
      <c r="A981" s="34" t="n"/>
      <c r="B981" s="32" t="n"/>
      <c r="C981" s="33" t="n"/>
      <c r="D981" s="37" t="str">
        <f>IF($C981="","",IFERROR(INDEX(프로젝트목록!$B$3:$B$62,MATCH($C981,프로젝트목록!$A$3:$A$62,0)),"미등록코드"))</f>
        <v/>
      </c>
      <c r="E981" s="32" t="n"/>
      <c r="F981" s="38" t="n"/>
      <c r="G981" s="38" t="n"/>
      <c r="H981" s="39" t="n"/>
      <c r="I981" s="40" t="str">
        <f>IF(OR($J981="",$K981=""),"",ROUND(MAX(0,($K981-$J981)-IF($H981="",0,$H981))/60,2))</f>
        <v/>
      </c>
      <c r="J981" s="41" t="str">
        <f>IF($F981="","",IF($F981&lt;1,ROUND($F981*1440,0),INT($F981/100)*60+MOD($F981,100)))</f>
        <v/>
      </c>
      <c r="K981" s="41" t="str">
        <f>IF($G981="","",IF($G981&lt;1,ROUND($G981*1440,0),INT($G981/100)*60+MOD($G981,100)))</f>
        <v/>
      </c>
    </row>
    <row r="982" ht="15" customHeight="1" s="26">
      <c r="A982" s="34" t="n"/>
      <c r="B982" s="32" t="n"/>
      <c r="C982" s="33" t="n"/>
      <c r="D982" s="37" t="str">
        <f>IF($C982="","",IFERROR(INDEX(프로젝트목록!$B$3:$B$62,MATCH($C982,프로젝트목록!$A$3:$A$62,0)),"미등록코드"))</f>
        <v/>
      </c>
      <c r="E982" s="32" t="n"/>
      <c r="F982" s="38" t="n"/>
      <c r="G982" s="38" t="n"/>
      <c r="H982" s="39" t="n"/>
      <c r="I982" s="40" t="str">
        <f>IF(OR($J982="",$K982=""),"",ROUND(MAX(0,($K982-$J982)-IF($H982="",0,$H982))/60,2))</f>
        <v/>
      </c>
      <c r="J982" s="41" t="str">
        <f>IF($F982="","",IF($F982&lt;1,ROUND($F982*1440,0),INT($F982/100)*60+MOD($F982,100)))</f>
        <v/>
      </c>
      <c r="K982" s="41" t="str">
        <f>IF($G982="","",IF($G982&lt;1,ROUND($G982*1440,0),INT($G982/100)*60+MOD($G982,100)))</f>
        <v/>
      </c>
    </row>
    <row r="983" ht="15" customHeight="1" s="26">
      <c r="A983" s="34" t="n"/>
      <c r="B983" s="32" t="n"/>
      <c r="C983" s="33" t="n"/>
      <c r="D983" s="37" t="str">
        <f>IF($C983="","",IFERROR(INDEX(프로젝트목록!$B$3:$B$62,MATCH($C983,프로젝트목록!$A$3:$A$62,0)),"미등록코드"))</f>
        <v/>
      </c>
      <c r="E983" s="32" t="n"/>
      <c r="F983" s="38" t="n"/>
      <c r="G983" s="38" t="n"/>
      <c r="H983" s="39" t="n"/>
      <c r="I983" s="40" t="str">
        <f>IF(OR($J983="",$K983=""),"",ROUND(MAX(0,($K983-$J983)-IF($H983="",0,$H983))/60,2))</f>
        <v/>
      </c>
      <c r="J983" s="41" t="str">
        <f>IF($F983="","",IF($F983&lt;1,ROUND($F983*1440,0),INT($F983/100)*60+MOD($F983,100)))</f>
        <v/>
      </c>
      <c r="K983" s="41" t="str">
        <f>IF($G983="","",IF($G983&lt;1,ROUND($G983*1440,0),INT($G983/100)*60+MOD($G983,100)))</f>
        <v/>
      </c>
    </row>
    <row r="984" ht="15" customHeight="1" s="26">
      <c r="A984" s="34" t="n"/>
      <c r="B984" s="32" t="n"/>
      <c r="C984" s="33" t="n"/>
      <c r="D984" s="37" t="str">
        <f>IF($C984="","",IFERROR(INDEX(프로젝트목록!$B$3:$B$62,MATCH($C984,프로젝트목록!$A$3:$A$62,0)),"미등록코드"))</f>
        <v/>
      </c>
      <c r="E984" s="32" t="n"/>
      <c r="F984" s="38" t="n"/>
      <c r="G984" s="38" t="n"/>
      <c r="H984" s="39" t="n"/>
      <c r="I984" s="40" t="str">
        <f>IF(OR($J984="",$K984=""),"",ROUND(MAX(0,($K984-$J984)-IF($H984="",0,$H984))/60,2))</f>
        <v/>
      </c>
      <c r="J984" s="41" t="str">
        <f>IF($F984="","",IF($F984&lt;1,ROUND($F984*1440,0),INT($F984/100)*60+MOD($F984,100)))</f>
        <v/>
      </c>
      <c r="K984" s="41" t="str">
        <f>IF($G984="","",IF($G984&lt;1,ROUND($G984*1440,0),INT($G984/100)*60+MOD($G984,100)))</f>
        <v/>
      </c>
    </row>
    <row r="985" ht="15" customHeight="1" s="26">
      <c r="A985" s="34" t="n"/>
      <c r="B985" s="32" t="n"/>
      <c r="C985" s="33" t="n"/>
      <c r="D985" s="37" t="str">
        <f>IF($C985="","",IFERROR(INDEX(프로젝트목록!$B$3:$B$62,MATCH($C985,프로젝트목록!$A$3:$A$62,0)),"미등록코드"))</f>
        <v/>
      </c>
      <c r="E985" s="32" t="n"/>
      <c r="F985" s="38" t="n"/>
      <c r="G985" s="38" t="n"/>
      <c r="H985" s="39" t="n"/>
      <c r="I985" s="40" t="str">
        <f>IF(OR($J985="",$K985=""),"",ROUND(MAX(0,($K985-$J985)-IF($H985="",0,$H985))/60,2))</f>
        <v/>
      </c>
      <c r="J985" s="41" t="str">
        <f>IF($F985="","",IF($F985&lt;1,ROUND($F985*1440,0),INT($F985/100)*60+MOD($F985,100)))</f>
        <v/>
      </c>
      <c r="K985" s="41" t="str">
        <f>IF($G985="","",IF($G985&lt;1,ROUND($G985*1440,0),INT($G985/100)*60+MOD($G985,100)))</f>
        <v/>
      </c>
    </row>
    <row r="986" ht="15" customHeight="1" s="26">
      <c r="A986" s="34" t="n"/>
      <c r="B986" s="32" t="n"/>
      <c r="C986" s="33" t="n"/>
      <c r="D986" s="37" t="str">
        <f>IF($C986="","",IFERROR(INDEX(프로젝트목록!$B$3:$B$62,MATCH($C986,프로젝트목록!$A$3:$A$62,0)),"미등록코드"))</f>
        <v/>
      </c>
      <c r="E986" s="32" t="n"/>
      <c r="F986" s="38" t="n"/>
      <c r="G986" s="38" t="n"/>
      <c r="H986" s="39" t="n"/>
      <c r="I986" s="40" t="str">
        <f>IF(OR($J986="",$K986=""),"",ROUND(MAX(0,($K986-$J986)-IF($H986="",0,$H986))/60,2))</f>
        <v/>
      </c>
      <c r="J986" s="41" t="str">
        <f>IF($F986="","",IF($F986&lt;1,ROUND($F986*1440,0),INT($F986/100)*60+MOD($F986,100)))</f>
        <v/>
      </c>
      <c r="K986" s="41" t="str">
        <f>IF($G986="","",IF($G986&lt;1,ROUND($G986*1440,0),INT($G986/100)*60+MOD($G986,100)))</f>
        <v/>
      </c>
    </row>
    <row r="987" ht="15" customHeight="1" s="26">
      <c r="A987" s="34" t="n"/>
      <c r="B987" s="32" t="n"/>
      <c r="C987" s="33" t="n"/>
      <c r="D987" s="37" t="str">
        <f>IF($C987="","",IFERROR(INDEX(프로젝트목록!$B$3:$B$62,MATCH($C987,프로젝트목록!$A$3:$A$62,0)),"미등록코드"))</f>
        <v/>
      </c>
      <c r="E987" s="32" t="n"/>
      <c r="F987" s="38" t="n"/>
      <c r="G987" s="38" t="n"/>
      <c r="H987" s="39" t="n"/>
      <c r="I987" s="40" t="str">
        <f>IF(OR($J987="",$K987=""),"",ROUND(MAX(0,($K987-$J987)-IF($H987="",0,$H987))/60,2))</f>
        <v/>
      </c>
      <c r="J987" s="41" t="str">
        <f>IF($F987="","",IF($F987&lt;1,ROUND($F987*1440,0),INT($F987/100)*60+MOD($F987,100)))</f>
        <v/>
      </c>
      <c r="K987" s="41" t="str">
        <f>IF($G987="","",IF($G987&lt;1,ROUND($G987*1440,0),INT($G987/100)*60+MOD($G987,100)))</f>
        <v/>
      </c>
    </row>
    <row r="988" ht="15" customHeight="1" s="26">
      <c r="A988" s="34" t="n"/>
      <c r="B988" s="32" t="n"/>
      <c r="C988" s="33" t="n"/>
      <c r="D988" s="37" t="str">
        <f>IF($C988="","",IFERROR(INDEX(프로젝트목록!$B$3:$B$62,MATCH($C988,프로젝트목록!$A$3:$A$62,0)),"미등록코드"))</f>
        <v/>
      </c>
      <c r="E988" s="32" t="n"/>
      <c r="F988" s="38" t="n"/>
      <c r="G988" s="38" t="n"/>
      <c r="H988" s="39" t="n"/>
      <c r="I988" s="40" t="str">
        <f>IF(OR($J988="",$K988=""),"",ROUND(MAX(0,($K988-$J988)-IF($H988="",0,$H988))/60,2))</f>
        <v/>
      </c>
      <c r="J988" s="41" t="str">
        <f>IF($F988="","",IF($F988&lt;1,ROUND($F988*1440,0),INT($F988/100)*60+MOD($F988,100)))</f>
        <v/>
      </c>
      <c r="K988" s="41" t="str">
        <f>IF($G988="","",IF($G988&lt;1,ROUND($G988*1440,0),INT($G988/100)*60+MOD($G988,100)))</f>
        <v/>
      </c>
    </row>
    <row r="989" ht="15" customHeight="1" s="26">
      <c r="A989" s="34" t="n"/>
      <c r="B989" s="32" t="n"/>
      <c r="C989" s="33" t="n"/>
      <c r="D989" s="37" t="str">
        <f>IF($C989="","",IFERROR(INDEX(프로젝트목록!$B$3:$B$62,MATCH($C989,프로젝트목록!$A$3:$A$62,0)),"미등록코드"))</f>
        <v/>
      </c>
      <c r="E989" s="32" t="n"/>
      <c r="F989" s="38" t="n"/>
      <c r="G989" s="38" t="n"/>
      <c r="H989" s="39" t="n"/>
      <c r="I989" s="40" t="str">
        <f>IF(OR($J989="",$K989=""),"",ROUND(MAX(0,($K989-$J989)-IF($H989="",0,$H989))/60,2))</f>
        <v/>
      </c>
      <c r="J989" s="41" t="str">
        <f>IF($F989="","",IF($F989&lt;1,ROUND($F989*1440,0),INT($F989/100)*60+MOD($F989,100)))</f>
        <v/>
      </c>
      <c r="K989" s="41" t="str">
        <f>IF($G989="","",IF($G989&lt;1,ROUND($G989*1440,0),INT($G989/100)*60+MOD($G989,100)))</f>
        <v/>
      </c>
    </row>
    <row r="990" ht="15" customHeight="1" s="26">
      <c r="A990" s="34" t="n"/>
      <c r="B990" s="32" t="n"/>
      <c r="C990" s="33" t="n"/>
      <c r="D990" s="37" t="str">
        <f>IF($C990="","",IFERROR(INDEX(프로젝트목록!$B$3:$B$62,MATCH($C990,프로젝트목록!$A$3:$A$62,0)),"미등록코드"))</f>
        <v/>
      </c>
      <c r="E990" s="32" t="n"/>
      <c r="F990" s="38" t="n"/>
      <c r="G990" s="38" t="n"/>
      <c r="H990" s="39" t="n"/>
      <c r="I990" s="40" t="str">
        <f>IF(OR($J990="",$K990=""),"",ROUND(MAX(0,($K990-$J990)-IF($H990="",0,$H990))/60,2))</f>
        <v/>
      </c>
      <c r="J990" s="41" t="str">
        <f>IF($F990="","",IF($F990&lt;1,ROUND($F990*1440,0),INT($F990/100)*60+MOD($F990,100)))</f>
        <v/>
      </c>
      <c r="K990" s="41" t="str">
        <f>IF($G990="","",IF($G990&lt;1,ROUND($G990*1440,0),INT($G990/100)*60+MOD($G990,100)))</f>
        <v/>
      </c>
    </row>
    <row r="991" ht="15" customHeight="1" s="26">
      <c r="A991" s="34" t="n"/>
      <c r="B991" s="32" t="n"/>
      <c r="C991" s="33" t="n"/>
      <c r="D991" s="37" t="str">
        <f>IF($C991="","",IFERROR(INDEX(프로젝트목록!$B$3:$B$62,MATCH($C991,프로젝트목록!$A$3:$A$62,0)),"미등록코드"))</f>
        <v/>
      </c>
      <c r="E991" s="32" t="n"/>
      <c r="F991" s="38" t="n"/>
      <c r="G991" s="38" t="n"/>
      <c r="H991" s="39" t="n"/>
      <c r="I991" s="40" t="str">
        <f>IF(OR($J991="",$K991=""),"",ROUND(MAX(0,($K991-$J991)-IF($H991="",0,$H991))/60,2))</f>
        <v/>
      </c>
      <c r="J991" s="41" t="str">
        <f>IF($F991="","",IF($F991&lt;1,ROUND($F991*1440,0),INT($F991/100)*60+MOD($F991,100)))</f>
        <v/>
      </c>
      <c r="K991" s="41" t="str">
        <f>IF($G991="","",IF($G991&lt;1,ROUND($G991*1440,0),INT($G991/100)*60+MOD($G991,100)))</f>
        <v/>
      </c>
    </row>
    <row r="992" ht="15" customHeight="1" s="26">
      <c r="A992" s="34" t="n"/>
      <c r="B992" s="32" t="n"/>
      <c r="C992" s="33" t="n"/>
      <c r="D992" s="37" t="str">
        <f>IF($C992="","",IFERROR(INDEX(프로젝트목록!$B$3:$B$62,MATCH($C992,프로젝트목록!$A$3:$A$62,0)),"미등록코드"))</f>
        <v/>
      </c>
      <c r="E992" s="32" t="n"/>
      <c r="F992" s="38" t="n"/>
      <c r="G992" s="38" t="n"/>
      <c r="H992" s="39" t="n"/>
      <c r="I992" s="40" t="str">
        <f>IF(OR($J992="",$K992=""),"",ROUND(MAX(0,($K992-$J992)-IF($H992="",0,$H992))/60,2))</f>
        <v/>
      </c>
      <c r="J992" s="41" t="str">
        <f>IF($F992="","",IF($F992&lt;1,ROUND($F992*1440,0),INT($F992/100)*60+MOD($F992,100)))</f>
        <v/>
      </c>
      <c r="K992" s="41" t="str">
        <f>IF($G992="","",IF($G992&lt;1,ROUND($G992*1440,0),INT($G992/100)*60+MOD($G992,100)))</f>
        <v/>
      </c>
    </row>
    <row r="993" ht="15" customHeight="1" s="26">
      <c r="A993" s="34" t="n"/>
      <c r="B993" s="32" t="n"/>
      <c r="C993" s="33" t="n"/>
      <c r="D993" s="37" t="str">
        <f>IF($C993="","",IFERROR(INDEX(프로젝트목록!$B$3:$B$62,MATCH($C993,프로젝트목록!$A$3:$A$62,0)),"미등록코드"))</f>
        <v/>
      </c>
      <c r="E993" s="32" t="n"/>
      <c r="F993" s="38" t="n"/>
      <c r="G993" s="38" t="n"/>
      <c r="H993" s="39" t="n"/>
      <c r="I993" s="40" t="str">
        <f>IF(OR($J993="",$K993=""),"",ROUND(MAX(0,($K993-$J993)-IF($H993="",0,$H993))/60,2))</f>
        <v/>
      </c>
      <c r="J993" s="41" t="str">
        <f>IF($F993="","",IF($F993&lt;1,ROUND($F993*1440,0),INT($F993/100)*60+MOD($F993,100)))</f>
        <v/>
      </c>
      <c r="K993" s="41" t="str">
        <f>IF($G993="","",IF($G993&lt;1,ROUND($G993*1440,0),INT($G993/100)*60+MOD($G993,100)))</f>
        <v/>
      </c>
    </row>
    <row r="994" ht="15" customHeight="1" s="26">
      <c r="A994" s="34" t="n"/>
      <c r="B994" s="32" t="n"/>
      <c r="C994" s="33" t="n"/>
      <c r="D994" s="37" t="str">
        <f>IF($C994="","",IFERROR(INDEX(프로젝트목록!$B$3:$B$62,MATCH($C994,프로젝트목록!$A$3:$A$62,0)),"미등록코드"))</f>
        <v/>
      </c>
      <c r="E994" s="32" t="n"/>
      <c r="F994" s="38" t="n"/>
      <c r="G994" s="38" t="n"/>
      <c r="H994" s="39" t="n"/>
      <c r="I994" s="40" t="str">
        <f>IF(OR($J994="",$K994=""),"",ROUND(MAX(0,($K994-$J994)-IF($H994="",0,$H994))/60,2))</f>
        <v/>
      </c>
      <c r="J994" s="41" t="str">
        <f>IF($F994="","",IF($F994&lt;1,ROUND($F994*1440,0),INT($F994/100)*60+MOD($F994,100)))</f>
        <v/>
      </c>
      <c r="K994" s="41" t="str">
        <f>IF($G994="","",IF($G994&lt;1,ROUND($G994*1440,0),INT($G994/100)*60+MOD($G994,100)))</f>
        <v/>
      </c>
    </row>
    <row r="995" ht="15" customHeight="1" s="26">
      <c r="A995" s="34" t="n"/>
      <c r="B995" s="32" t="n"/>
      <c r="C995" s="33" t="n"/>
      <c r="D995" s="37" t="str">
        <f>IF($C995="","",IFERROR(INDEX(프로젝트목록!$B$3:$B$62,MATCH($C995,프로젝트목록!$A$3:$A$62,0)),"미등록코드"))</f>
        <v/>
      </c>
      <c r="E995" s="32" t="n"/>
      <c r="F995" s="38" t="n"/>
      <c r="G995" s="38" t="n"/>
      <c r="H995" s="39" t="n"/>
      <c r="I995" s="40" t="str">
        <f>IF(OR($J995="",$K995=""),"",ROUND(MAX(0,($K995-$J995)-IF($H995="",0,$H995))/60,2))</f>
        <v/>
      </c>
      <c r="J995" s="41" t="str">
        <f>IF($F995="","",IF($F995&lt;1,ROUND($F995*1440,0),INT($F995/100)*60+MOD($F995,100)))</f>
        <v/>
      </c>
      <c r="K995" s="41" t="str">
        <f>IF($G995="","",IF($G995&lt;1,ROUND($G995*1440,0),INT($G995/100)*60+MOD($G995,100)))</f>
        <v/>
      </c>
    </row>
    <row r="996" ht="15" customHeight="1" s="26">
      <c r="A996" s="34" t="n"/>
      <c r="B996" s="32" t="n"/>
      <c r="C996" s="33" t="n"/>
      <c r="D996" s="37" t="str">
        <f>IF($C996="","",IFERROR(INDEX(프로젝트목록!$B$3:$B$62,MATCH($C996,프로젝트목록!$A$3:$A$62,0)),"미등록코드"))</f>
        <v/>
      </c>
      <c r="E996" s="32" t="n"/>
      <c r="F996" s="38" t="n"/>
      <c r="G996" s="38" t="n"/>
      <c r="H996" s="39" t="n"/>
      <c r="I996" s="40" t="str">
        <f>IF(OR($J996="",$K996=""),"",ROUND(MAX(0,($K996-$J996)-IF($H996="",0,$H996))/60,2))</f>
        <v/>
      </c>
      <c r="J996" s="41" t="str">
        <f>IF($F996="","",IF($F996&lt;1,ROUND($F996*1440,0),INT($F996/100)*60+MOD($F996,100)))</f>
        <v/>
      </c>
      <c r="K996" s="41" t="str">
        <f>IF($G996="","",IF($G996&lt;1,ROUND($G996*1440,0),INT($G996/100)*60+MOD($G996,100)))</f>
        <v/>
      </c>
    </row>
    <row r="997" ht="15" customHeight="1" s="26">
      <c r="A997" s="34" t="n"/>
      <c r="B997" s="32" t="n"/>
      <c r="C997" s="33" t="n"/>
      <c r="D997" s="37" t="str">
        <f>IF($C997="","",IFERROR(INDEX(프로젝트목록!$B$3:$B$62,MATCH($C997,프로젝트목록!$A$3:$A$62,0)),"미등록코드"))</f>
        <v/>
      </c>
      <c r="E997" s="32" t="n"/>
      <c r="F997" s="38" t="n"/>
      <c r="G997" s="38" t="n"/>
      <c r="H997" s="39" t="n"/>
      <c r="I997" s="40" t="str">
        <f>IF(OR($J997="",$K997=""),"",ROUND(MAX(0,($K997-$J997)-IF($H997="",0,$H997))/60,2))</f>
        <v/>
      </c>
      <c r="J997" s="41" t="str">
        <f>IF($F997="","",IF($F997&lt;1,ROUND($F997*1440,0),INT($F997/100)*60+MOD($F997,100)))</f>
        <v/>
      </c>
      <c r="K997" s="41" t="str">
        <f>IF($G997="","",IF($G997&lt;1,ROUND($G997*1440,0),INT($G997/100)*60+MOD($G997,100)))</f>
        <v/>
      </c>
    </row>
    <row r="998" ht="15" customHeight="1" s="26">
      <c r="A998" s="34" t="n"/>
      <c r="B998" s="32" t="n"/>
      <c r="C998" s="33" t="n"/>
      <c r="D998" s="37" t="str">
        <f>IF($C998="","",IFERROR(INDEX(프로젝트목록!$B$3:$B$62,MATCH($C998,프로젝트목록!$A$3:$A$62,0)),"미등록코드"))</f>
        <v/>
      </c>
      <c r="E998" s="32" t="n"/>
      <c r="F998" s="38" t="n"/>
      <c r="G998" s="38" t="n"/>
      <c r="H998" s="39" t="n"/>
      <c r="I998" s="40" t="str">
        <f>IF(OR($J998="",$K998=""),"",ROUND(MAX(0,($K998-$J998)-IF($H998="",0,$H998))/60,2))</f>
        <v/>
      </c>
      <c r="J998" s="41" t="str">
        <f>IF($F998="","",IF($F998&lt;1,ROUND($F998*1440,0),INT($F998/100)*60+MOD($F998,100)))</f>
        <v/>
      </c>
      <c r="K998" s="41" t="str">
        <f>IF($G998="","",IF($G998&lt;1,ROUND($G998*1440,0),INT($G998/100)*60+MOD($G998,100)))</f>
        <v/>
      </c>
    </row>
    <row r="999" ht="15" customHeight="1" s="26">
      <c r="A999" s="34" t="n"/>
      <c r="B999" s="32" t="n"/>
      <c r="C999" s="33" t="n"/>
      <c r="D999" s="37" t="str">
        <f>IF($C999="","",IFERROR(INDEX(프로젝트목록!$B$3:$B$62,MATCH($C999,프로젝트목록!$A$3:$A$62,0)),"미등록코드"))</f>
        <v/>
      </c>
      <c r="E999" s="32" t="n"/>
      <c r="F999" s="38" t="n"/>
      <c r="G999" s="38" t="n"/>
      <c r="H999" s="39" t="n"/>
      <c r="I999" s="40" t="str">
        <f>IF(OR($J999="",$K999=""),"",ROUND(MAX(0,($K999-$J999)-IF($H999="",0,$H999))/60,2))</f>
        <v/>
      </c>
      <c r="J999" s="41" t="str">
        <f>IF($F999="","",IF($F999&lt;1,ROUND($F999*1440,0),INT($F999/100)*60+MOD($F999,100)))</f>
        <v/>
      </c>
      <c r="K999" s="41" t="str">
        <f>IF($G999="","",IF($G999&lt;1,ROUND($G999*1440,0),INT($G999/100)*60+MOD($G999,100)))</f>
        <v/>
      </c>
    </row>
    <row r="1000" ht="15" customHeight="1" s="26">
      <c r="A1000" s="34" t="n"/>
      <c r="B1000" s="32" t="n"/>
      <c r="C1000" s="33" t="n"/>
      <c r="D1000" s="37" t="str">
        <f>IF($C1000="","",IFERROR(INDEX(프로젝트목록!$B$3:$B$62,MATCH($C1000,프로젝트목록!$A$3:$A$62,0)),"미등록코드"))</f>
        <v/>
      </c>
      <c r="E1000" s="32" t="n"/>
      <c r="F1000" s="38" t="n"/>
      <c r="G1000" s="38" t="n"/>
      <c r="H1000" s="39" t="n"/>
      <c r="I1000" s="40" t="str">
        <f>IF(OR($J1000="",$K1000=""),"",ROUND(MAX(0,($K1000-$J1000)-IF($H1000="",0,$H1000))/60,2))</f>
        <v/>
      </c>
      <c r="J1000" s="41" t="str">
        <f>IF($F1000="","",IF($F1000&lt;1,ROUND($F1000*1440,0),INT($F1000/100)*60+MOD($F1000,100)))</f>
        <v/>
      </c>
      <c r="K1000" s="41" t="str">
        <f>IF($G1000="","",IF($G1000&lt;1,ROUND($G1000*1440,0),INT($G1000/100)*60+MOD($G1000,100)))</f>
        <v/>
      </c>
    </row>
    <row r="1001" ht="15" customHeight="1" s="26">
      <c r="A1001" s="34" t="n"/>
      <c r="B1001" s="32" t="n"/>
      <c r="C1001" s="33" t="n"/>
      <c r="D1001" s="37" t="str">
        <f>IF($C1001="","",IFERROR(INDEX(프로젝트목록!$B$3:$B$62,MATCH($C1001,프로젝트목록!$A$3:$A$62,0)),"미등록코드"))</f>
        <v/>
      </c>
      <c r="E1001" s="32" t="n"/>
      <c r="F1001" s="38" t="n"/>
      <c r="G1001" s="38" t="n"/>
      <c r="H1001" s="39" t="n"/>
      <c r="I1001" s="40" t="str">
        <f>IF(OR($J1001="",$K1001=""),"",ROUND(MAX(0,($K1001-$J1001)-IF($H1001="",0,$H1001))/60,2))</f>
        <v/>
      </c>
      <c r="J1001" s="41" t="str">
        <f>IF($F1001="","",IF($F1001&lt;1,ROUND($F1001*1440,0),INT($F1001/100)*60+MOD($F1001,100)))</f>
        <v/>
      </c>
      <c r="K1001" s="41" t="str">
        <f>IF($G1001="","",IF($G1001&lt;1,ROUND($G1001*1440,0),INT($G1001/100)*60+MOD($G1001,100)))</f>
        <v/>
      </c>
    </row>
    <row r="1002" ht="15" customHeight="1" s="26">
      <c r="A1002" s="34" t="n"/>
      <c r="B1002" s="32" t="n"/>
      <c r="C1002" s="33" t="n"/>
      <c r="D1002" s="37" t="str">
        <f>IF($C1002="","",IFERROR(INDEX(프로젝트목록!$B$3:$B$62,MATCH($C1002,프로젝트목록!$A$3:$A$62,0)),"미등록코드"))</f>
        <v/>
      </c>
      <c r="E1002" s="32" t="n"/>
      <c r="F1002" s="38" t="n"/>
      <c r="G1002" s="38" t="n"/>
      <c r="H1002" s="39" t="n"/>
      <c r="I1002" s="40" t="str">
        <f>IF(OR($J1002="",$K1002=""),"",ROUND(MAX(0,($K1002-$J1002)-IF($H1002="",0,$H1002))/60,2))</f>
        <v/>
      </c>
      <c r="J1002" s="41" t="str">
        <f>IF($F1002="","",IF($F1002&lt;1,ROUND($F1002*1440,0),INT($F1002/100)*60+MOD($F1002,100)))</f>
        <v/>
      </c>
      <c r="K1002" s="41" t="str">
        <f>IF($G1002="","",IF($G1002&lt;1,ROUND($G1002*1440,0),INT($G1002/100)*60+MOD($G1002,100)))</f>
        <v/>
      </c>
    </row>
    <row r="1003" ht="15" customHeight="1" s="26">
      <c r="A1003" s="34" t="n"/>
      <c r="B1003" s="32" t="n"/>
      <c r="C1003" s="33" t="n"/>
      <c r="D1003" s="37" t="str">
        <f>IF($C1003="","",IFERROR(INDEX(프로젝트목록!$B$3:$B$62,MATCH($C1003,프로젝트목록!$A$3:$A$62,0)),"미등록코드"))</f>
        <v/>
      </c>
      <c r="E1003" s="32" t="n"/>
      <c r="F1003" s="38" t="n"/>
      <c r="G1003" s="38" t="n"/>
      <c r="H1003" s="39" t="n"/>
      <c r="I1003" s="40" t="str">
        <f>IF(OR($J1003="",$K1003=""),"",ROUND(MAX(0,($K1003-$J1003)-IF($H1003="",0,$H1003))/60,2))</f>
        <v/>
      </c>
      <c r="J1003" s="41" t="str">
        <f>IF($F1003="","",IF($F1003&lt;1,ROUND($F1003*1440,0),INT($F1003/100)*60+MOD($F1003,100)))</f>
        <v/>
      </c>
      <c r="K1003" s="41" t="str">
        <f>IF($G1003="","",IF($G1003&lt;1,ROUND($G1003*1440,0),INT($G1003/100)*60+MOD($G1003,100)))</f>
        <v/>
      </c>
    </row>
    <row r="1004" ht="15" customHeight="1" s="26">
      <c r="A1004" s="34" t="n"/>
      <c r="B1004" s="32" t="n"/>
      <c r="C1004" s="33" t="n"/>
      <c r="D1004" s="37" t="str">
        <f>IF($C1004="","",IFERROR(INDEX(프로젝트목록!$B$3:$B$62,MATCH($C1004,프로젝트목록!$A$3:$A$62,0)),"미등록코드"))</f>
        <v/>
      </c>
      <c r="E1004" s="32" t="n"/>
      <c r="F1004" s="38" t="n"/>
      <c r="G1004" s="38" t="n"/>
      <c r="H1004" s="39" t="n"/>
      <c r="I1004" s="40" t="str">
        <f>IF(OR($J1004="",$K1004=""),"",ROUND(MAX(0,($K1004-$J1004)-IF($H1004="",0,$H1004))/60,2))</f>
        <v/>
      </c>
      <c r="J1004" s="41" t="str">
        <f>IF($F1004="","",IF($F1004&lt;1,ROUND($F1004*1440,0),INT($F1004/100)*60+MOD($F1004,100)))</f>
        <v/>
      </c>
      <c r="K1004" s="41" t="str">
        <f>IF($G1004="","",IF($G1004&lt;1,ROUND($G1004*1440,0),INT($G1004/100)*60+MOD($G1004,100)))</f>
        <v/>
      </c>
    </row>
    <row r="1005" ht="15" customHeight="1" s="26">
      <c r="A1005" s="34" t="n"/>
      <c r="B1005" s="32" t="n"/>
      <c r="C1005" s="33" t="n"/>
      <c r="D1005" s="37" t="str">
        <f>IF($C1005="","",IFERROR(INDEX(프로젝트목록!$B$3:$B$62,MATCH($C1005,프로젝트목록!$A$3:$A$62,0)),"미등록코드"))</f>
        <v/>
      </c>
      <c r="E1005" s="32" t="n"/>
      <c r="F1005" s="38" t="n"/>
      <c r="G1005" s="38" t="n"/>
      <c r="H1005" s="39" t="n"/>
      <c r="I1005" s="40" t="str">
        <f>IF(OR($J1005="",$K1005=""),"",ROUND(MAX(0,($K1005-$J1005)-IF($H1005="",0,$H1005))/60,2))</f>
        <v/>
      </c>
      <c r="J1005" s="41" t="str">
        <f>IF($F1005="","",IF($F1005&lt;1,ROUND($F1005*1440,0),INT($F1005/100)*60+MOD($F1005,100)))</f>
        <v/>
      </c>
      <c r="K1005" s="41" t="str">
        <f>IF($G1005="","",IF($G1005&lt;1,ROUND($G1005*1440,0),INT($G1005/100)*60+MOD($G1005,100)))</f>
        <v/>
      </c>
    </row>
    <row r="1006" ht="15" customHeight="1" s="26">
      <c r="A1006" s="34" t="n"/>
      <c r="B1006" s="32" t="n"/>
      <c r="C1006" s="33" t="n"/>
      <c r="D1006" s="37" t="str">
        <f>IF($C1006="","",IFERROR(INDEX(프로젝트목록!$B$3:$B$62,MATCH($C1006,프로젝트목록!$A$3:$A$62,0)),"미등록코드"))</f>
        <v/>
      </c>
      <c r="E1006" s="32" t="n"/>
      <c r="F1006" s="38" t="n"/>
      <c r="G1006" s="38" t="n"/>
      <c r="H1006" s="39" t="n"/>
      <c r="I1006" s="40" t="str">
        <f>IF(OR($J1006="",$K1006=""),"",ROUND(MAX(0,($K1006-$J1006)-IF($H1006="",0,$H1006))/60,2))</f>
        <v/>
      </c>
      <c r="J1006" s="41" t="str">
        <f>IF($F1006="","",IF($F1006&lt;1,ROUND($F1006*1440,0),INT($F1006/100)*60+MOD($F1006,100)))</f>
        <v/>
      </c>
      <c r="K1006" s="41" t="str">
        <f>IF($G1006="","",IF($G1006&lt;1,ROUND($G1006*1440,0),INT($G1006/100)*60+MOD($G1006,100)))</f>
        <v/>
      </c>
    </row>
    <row r="1007" ht="15" customHeight="1" s="26">
      <c r="A1007" s="34" t="n"/>
      <c r="B1007" s="32" t="n"/>
      <c r="C1007" s="33" t="n"/>
      <c r="D1007" s="37" t="str">
        <f>IF($C1007="","",IFERROR(INDEX(프로젝트목록!$B$3:$B$62,MATCH($C1007,프로젝트목록!$A$3:$A$62,0)),"미등록코드"))</f>
        <v/>
      </c>
      <c r="E1007" s="32" t="n"/>
      <c r="F1007" s="38" t="n"/>
      <c r="G1007" s="38" t="n"/>
      <c r="H1007" s="39" t="n"/>
      <c r="I1007" s="40" t="str">
        <f>IF(OR($J1007="",$K1007=""),"",ROUND(MAX(0,($K1007-$J1007)-IF($H1007="",0,$H1007))/60,2))</f>
        <v/>
      </c>
      <c r="J1007" s="41" t="str">
        <f>IF($F1007="","",IF($F1007&lt;1,ROUND($F1007*1440,0),INT($F1007/100)*60+MOD($F1007,100)))</f>
        <v/>
      </c>
      <c r="K1007" s="41" t="str">
        <f>IF($G1007="","",IF($G1007&lt;1,ROUND($G1007*1440,0),INT($G1007/100)*60+MOD($G1007,100)))</f>
        <v/>
      </c>
    </row>
    <row r="1008" ht="15" customHeight="1" s="26">
      <c r="A1008" s="34" t="n"/>
      <c r="B1008" s="32" t="n"/>
      <c r="C1008" s="33" t="n"/>
      <c r="D1008" s="37" t="str">
        <f>IF($C1008="","",IFERROR(INDEX(프로젝트목록!$B$3:$B$62,MATCH($C1008,프로젝트목록!$A$3:$A$62,0)),"미등록코드"))</f>
        <v/>
      </c>
      <c r="E1008" s="32" t="n"/>
      <c r="F1008" s="38" t="n"/>
      <c r="G1008" s="38" t="n"/>
      <c r="H1008" s="39" t="n"/>
      <c r="I1008" s="40" t="str">
        <f>IF(OR($J1008="",$K1008=""),"",ROUND(MAX(0,($K1008-$J1008)-IF($H1008="",0,$H1008))/60,2))</f>
        <v/>
      </c>
      <c r="J1008" s="41" t="str">
        <f>IF($F1008="","",IF($F1008&lt;1,ROUND($F1008*1440,0),INT($F1008/100)*60+MOD($F1008,100)))</f>
        <v/>
      </c>
      <c r="K1008" s="41" t="str">
        <f>IF($G1008="","",IF($G1008&lt;1,ROUND($G1008*1440,0),INT($G1008/100)*60+MOD($G1008,100)))</f>
        <v/>
      </c>
    </row>
    <row r="1009" ht="15" customHeight="1" s="26">
      <c r="A1009" s="34" t="n"/>
      <c r="B1009" s="32" t="n"/>
      <c r="C1009" s="33" t="n"/>
      <c r="D1009" s="37" t="str">
        <f>IF($C1009="","",IFERROR(INDEX(프로젝트목록!$B$3:$B$62,MATCH($C1009,프로젝트목록!$A$3:$A$62,0)),"미등록코드"))</f>
        <v/>
      </c>
      <c r="E1009" s="32" t="n"/>
      <c r="F1009" s="38" t="n"/>
      <c r="G1009" s="38" t="n"/>
      <c r="H1009" s="39" t="n"/>
      <c r="I1009" s="40" t="str">
        <f>IF(OR($J1009="",$K1009=""),"",ROUND(MAX(0,($K1009-$J1009)-IF($H1009="",0,$H1009))/60,2))</f>
        <v/>
      </c>
      <c r="J1009" s="41" t="str">
        <f>IF($F1009="","",IF($F1009&lt;1,ROUND($F1009*1440,0),INT($F1009/100)*60+MOD($F1009,100)))</f>
        <v/>
      </c>
      <c r="K1009" s="41" t="str">
        <f>IF($G1009="","",IF($G1009&lt;1,ROUND($G1009*1440,0),INT($G1009/100)*60+MOD($G1009,100)))</f>
        <v/>
      </c>
    </row>
    <row r="1010" ht="15" customHeight="1" s="26">
      <c r="A1010" s="34" t="n"/>
      <c r="B1010" s="32" t="n"/>
      <c r="C1010" s="33" t="n"/>
      <c r="D1010" s="37" t="str">
        <f>IF($C1010="","",IFERROR(INDEX(프로젝트목록!$B$3:$B$62,MATCH($C1010,프로젝트목록!$A$3:$A$62,0)),"미등록코드"))</f>
        <v/>
      </c>
      <c r="E1010" s="32" t="n"/>
      <c r="F1010" s="38" t="n"/>
      <c r="G1010" s="38" t="n"/>
      <c r="H1010" s="39" t="n"/>
      <c r="I1010" s="40" t="str">
        <f>IF(OR($J1010="",$K1010=""),"",ROUND(MAX(0,($K1010-$J1010)-IF($H1010="",0,$H1010))/60,2))</f>
        <v/>
      </c>
      <c r="J1010" s="41" t="str">
        <f>IF($F1010="","",IF($F1010&lt;1,ROUND($F1010*1440,0),INT($F1010/100)*60+MOD($F1010,100)))</f>
        <v/>
      </c>
      <c r="K1010" s="41" t="str">
        <f>IF($G1010="","",IF($G1010&lt;1,ROUND($G1010*1440,0),INT($G1010/100)*60+MOD($G1010,100)))</f>
        <v/>
      </c>
    </row>
    <row r="1011" ht="15" customHeight="1" s="26">
      <c r="A1011" s="34" t="n"/>
      <c r="B1011" s="32" t="n"/>
      <c r="C1011" s="33" t="n"/>
      <c r="D1011" s="37" t="str">
        <f>IF($C1011="","",IFERROR(INDEX(프로젝트목록!$B$3:$B$62,MATCH($C1011,프로젝트목록!$A$3:$A$62,0)),"미등록코드"))</f>
        <v/>
      </c>
      <c r="E1011" s="32" t="n"/>
      <c r="F1011" s="38" t="n"/>
      <c r="G1011" s="38" t="n"/>
      <c r="H1011" s="39" t="n"/>
      <c r="I1011" s="40" t="str">
        <f>IF(OR($J1011="",$K1011=""),"",ROUND(MAX(0,($K1011-$J1011)-IF($H1011="",0,$H1011))/60,2))</f>
        <v/>
      </c>
      <c r="J1011" s="41" t="str">
        <f>IF($F1011="","",IF($F1011&lt;1,ROUND($F1011*1440,0),INT($F1011/100)*60+MOD($F1011,100)))</f>
        <v/>
      </c>
      <c r="K1011" s="41" t="str">
        <f>IF($G1011="","",IF($G1011&lt;1,ROUND($G1011*1440,0),INT($G1011/100)*60+MOD($G1011,100)))</f>
        <v/>
      </c>
    </row>
    <row r="1012" ht="15" customHeight="1" s="26">
      <c r="A1012" s="34" t="n"/>
      <c r="B1012" s="32" t="n"/>
      <c r="C1012" s="33" t="n"/>
      <c r="D1012" s="37" t="str">
        <f>IF($C1012="","",IFERROR(INDEX(프로젝트목록!$B$3:$B$62,MATCH($C1012,프로젝트목록!$A$3:$A$62,0)),"미등록코드"))</f>
        <v/>
      </c>
      <c r="E1012" s="32" t="n"/>
      <c r="F1012" s="38" t="n"/>
      <c r="G1012" s="38" t="n"/>
      <c r="H1012" s="39" t="n"/>
      <c r="I1012" s="40" t="str">
        <f>IF(OR($J1012="",$K1012=""),"",ROUND(MAX(0,($K1012-$J1012)-IF($H1012="",0,$H1012))/60,2))</f>
        <v/>
      </c>
      <c r="J1012" s="41" t="str">
        <f>IF($F1012="","",IF($F1012&lt;1,ROUND($F1012*1440,0),INT($F1012/100)*60+MOD($F1012,100)))</f>
        <v/>
      </c>
      <c r="K1012" s="41" t="str">
        <f>IF($G1012="","",IF($G1012&lt;1,ROUND($G1012*1440,0),INT($G1012/100)*60+MOD($G1012,100)))</f>
        <v/>
      </c>
    </row>
    <row r="1013" ht="15" customHeight="1" s="26">
      <c r="A1013" s="34" t="n"/>
      <c r="B1013" s="32" t="n"/>
      <c r="C1013" s="33" t="n"/>
      <c r="D1013" s="37" t="str">
        <f>IF($C1013="","",IFERROR(INDEX(프로젝트목록!$B$3:$B$62,MATCH($C1013,프로젝트목록!$A$3:$A$62,0)),"미등록코드"))</f>
        <v/>
      </c>
      <c r="E1013" s="32" t="n"/>
      <c r="F1013" s="38" t="n"/>
      <c r="G1013" s="38" t="n"/>
      <c r="H1013" s="39" t="n"/>
      <c r="I1013" s="40" t="str">
        <f>IF(OR($J1013="",$K1013=""),"",ROUND(MAX(0,($K1013-$J1013)-IF($H1013="",0,$H1013))/60,2))</f>
        <v/>
      </c>
      <c r="J1013" s="41" t="str">
        <f>IF($F1013="","",IF($F1013&lt;1,ROUND($F1013*1440,0),INT($F1013/100)*60+MOD($F1013,100)))</f>
        <v/>
      </c>
      <c r="K1013" s="41" t="str">
        <f>IF($G1013="","",IF($G1013&lt;1,ROUND($G1013*1440,0),INT($G1013/100)*60+MOD($G1013,100)))</f>
        <v/>
      </c>
    </row>
    <row r="1014" ht="15" customHeight="1" s="26">
      <c r="A1014" s="34" t="n"/>
      <c r="B1014" s="32" t="n"/>
      <c r="C1014" s="33" t="n"/>
      <c r="D1014" s="37" t="str">
        <f>IF($C1014="","",IFERROR(INDEX(프로젝트목록!$B$3:$B$62,MATCH($C1014,프로젝트목록!$A$3:$A$62,0)),"미등록코드"))</f>
        <v/>
      </c>
      <c r="E1014" s="32" t="n"/>
      <c r="F1014" s="38" t="n"/>
      <c r="G1014" s="38" t="n"/>
      <c r="H1014" s="39" t="n"/>
      <c r="I1014" s="40" t="str">
        <f>IF(OR($J1014="",$K1014=""),"",ROUND(MAX(0,($K1014-$J1014)-IF($H1014="",0,$H1014))/60,2))</f>
        <v/>
      </c>
      <c r="J1014" s="41" t="str">
        <f>IF($F1014="","",IF($F1014&lt;1,ROUND($F1014*1440,0),INT($F1014/100)*60+MOD($F1014,100)))</f>
        <v/>
      </c>
      <c r="K1014" s="41" t="str">
        <f>IF($G1014="","",IF($G1014&lt;1,ROUND($G1014*1440,0),INT($G1014/100)*60+MOD($G1014,100)))</f>
        <v/>
      </c>
    </row>
    <row r="1015" ht="15" customHeight="1" s="26">
      <c r="A1015" s="34" t="n"/>
      <c r="B1015" s="32" t="n"/>
      <c r="C1015" s="33" t="n"/>
      <c r="D1015" s="37" t="str">
        <f>IF($C1015="","",IFERROR(INDEX(프로젝트목록!$B$3:$B$62,MATCH($C1015,프로젝트목록!$A$3:$A$62,0)),"미등록코드"))</f>
        <v/>
      </c>
      <c r="E1015" s="32" t="n"/>
      <c r="F1015" s="38" t="n"/>
      <c r="G1015" s="38" t="n"/>
      <c r="H1015" s="39" t="n"/>
      <c r="I1015" s="40" t="str">
        <f>IF(OR($J1015="",$K1015=""),"",ROUND(MAX(0,($K1015-$J1015)-IF($H1015="",0,$H1015))/60,2))</f>
        <v/>
      </c>
      <c r="J1015" s="41" t="str">
        <f>IF($F1015="","",IF($F1015&lt;1,ROUND($F1015*1440,0),INT($F1015/100)*60+MOD($F1015,100)))</f>
        <v/>
      </c>
      <c r="K1015" s="41" t="str">
        <f>IF($G1015="","",IF($G1015&lt;1,ROUND($G1015*1440,0),INT($G1015/100)*60+MOD($G1015,100)))</f>
        <v/>
      </c>
    </row>
    <row r="1016" ht="15" customHeight="1" s="26">
      <c r="A1016" s="34" t="n"/>
      <c r="B1016" s="32" t="n"/>
      <c r="C1016" s="33" t="n"/>
      <c r="D1016" s="37" t="str">
        <f>IF($C1016="","",IFERROR(INDEX(프로젝트목록!$B$3:$B$62,MATCH($C1016,프로젝트목록!$A$3:$A$62,0)),"미등록코드"))</f>
        <v/>
      </c>
      <c r="E1016" s="32" t="n"/>
      <c r="F1016" s="38" t="n"/>
      <c r="G1016" s="38" t="n"/>
      <c r="H1016" s="39" t="n"/>
      <c r="I1016" s="40" t="str">
        <f>IF(OR($J1016="",$K1016=""),"",ROUND(MAX(0,($K1016-$J1016)-IF($H1016="",0,$H1016))/60,2))</f>
        <v/>
      </c>
      <c r="J1016" s="41" t="str">
        <f>IF($F1016="","",IF($F1016&lt;1,ROUND($F1016*1440,0),INT($F1016/100)*60+MOD($F1016,100)))</f>
        <v/>
      </c>
      <c r="K1016" s="41" t="str">
        <f>IF($G1016="","",IF($G1016&lt;1,ROUND($G1016*1440,0),INT($G1016/100)*60+MOD($G1016,100)))</f>
        <v/>
      </c>
    </row>
    <row r="1017" ht="15" customHeight="1" s="26">
      <c r="A1017" s="34" t="n"/>
      <c r="B1017" s="32" t="n"/>
      <c r="C1017" s="33" t="n"/>
      <c r="D1017" s="37" t="str">
        <f>IF($C1017="","",IFERROR(INDEX(프로젝트목록!$B$3:$B$62,MATCH($C1017,프로젝트목록!$A$3:$A$62,0)),"미등록코드"))</f>
        <v/>
      </c>
      <c r="E1017" s="32" t="n"/>
      <c r="F1017" s="38" t="n"/>
      <c r="G1017" s="38" t="n"/>
      <c r="H1017" s="39" t="n"/>
      <c r="I1017" s="40" t="str">
        <f>IF(OR($J1017="",$K1017=""),"",ROUND(MAX(0,($K1017-$J1017)-IF($H1017="",0,$H1017))/60,2))</f>
        <v/>
      </c>
      <c r="J1017" s="41" t="str">
        <f>IF($F1017="","",IF($F1017&lt;1,ROUND($F1017*1440,0),INT($F1017/100)*60+MOD($F1017,100)))</f>
        <v/>
      </c>
      <c r="K1017" s="41" t="str">
        <f>IF($G1017="","",IF($G1017&lt;1,ROUND($G1017*1440,0),INT($G1017/100)*60+MOD($G1017,100)))</f>
        <v/>
      </c>
    </row>
    <row r="1018" ht="15" customHeight="1" s="26">
      <c r="A1018" s="34" t="n"/>
      <c r="B1018" s="32" t="n"/>
      <c r="C1018" s="33" t="n"/>
      <c r="D1018" s="37" t="str">
        <f>IF($C1018="","",IFERROR(INDEX(프로젝트목록!$B$3:$B$62,MATCH($C1018,프로젝트목록!$A$3:$A$62,0)),"미등록코드"))</f>
        <v/>
      </c>
      <c r="E1018" s="32" t="n"/>
      <c r="F1018" s="38" t="n"/>
      <c r="G1018" s="38" t="n"/>
      <c r="H1018" s="39" t="n"/>
      <c r="I1018" s="40" t="str">
        <f>IF(OR($J1018="",$K1018=""),"",ROUND(MAX(0,($K1018-$J1018)-IF($H1018="",0,$H1018))/60,2))</f>
        <v/>
      </c>
      <c r="J1018" s="41" t="str">
        <f>IF($F1018="","",IF($F1018&lt;1,ROUND($F1018*1440,0),INT($F1018/100)*60+MOD($F1018,100)))</f>
        <v/>
      </c>
      <c r="K1018" s="41" t="str">
        <f>IF($G1018="","",IF($G1018&lt;1,ROUND($G1018*1440,0),INT($G1018/100)*60+MOD($G1018,100)))</f>
        <v/>
      </c>
    </row>
    <row r="1019" ht="15" customHeight="1" s="26">
      <c r="A1019" s="34" t="n"/>
      <c r="B1019" s="32" t="n"/>
      <c r="C1019" s="33" t="n"/>
      <c r="D1019" s="37" t="str">
        <f>IF($C1019="","",IFERROR(INDEX(프로젝트목록!$B$3:$B$62,MATCH($C1019,프로젝트목록!$A$3:$A$62,0)),"미등록코드"))</f>
        <v/>
      </c>
      <c r="E1019" s="32" t="n"/>
      <c r="F1019" s="38" t="n"/>
      <c r="G1019" s="38" t="n"/>
      <c r="H1019" s="39" t="n"/>
      <c r="I1019" s="40" t="str">
        <f>IF(OR($J1019="",$K1019=""),"",ROUND(MAX(0,($K1019-$J1019)-IF($H1019="",0,$H1019))/60,2))</f>
        <v/>
      </c>
      <c r="J1019" s="41" t="str">
        <f>IF($F1019="","",IF($F1019&lt;1,ROUND($F1019*1440,0),INT($F1019/100)*60+MOD($F1019,100)))</f>
        <v/>
      </c>
      <c r="K1019" s="41" t="str">
        <f>IF($G1019="","",IF($G1019&lt;1,ROUND($G1019*1440,0),INT($G1019/100)*60+MOD($G1019,100)))</f>
        <v/>
      </c>
    </row>
    <row r="1020" ht="15" customHeight="1" s="26">
      <c r="A1020" s="34" t="n"/>
      <c r="B1020" s="32" t="n"/>
      <c r="C1020" s="33" t="n"/>
      <c r="D1020" s="37" t="str">
        <f>IF($C1020="","",IFERROR(INDEX(프로젝트목록!$B$3:$B$62,MATCH($C1020,프로젝트목록!$A$3:$A$62,0)),"미등록코드"))</f>
        <v/>
      </c>
      <c r="E1020" s="32" t="n"/>
      <c r="F1020" s="38" t="n"/>
      <c r="G1020" s="38" t="n"/>
      <c r="H1020" s="39" t="n"/>
      <c r="I1020" s="40" t="str">
        <f>IF(OR($J1020="",$K1020=""),"",ROUND(MAX(0,($K1020-$J1020)-IF($H1020="",0,$H1020))/60,2))</f>
        <v/>
      </c>
      <c r="J1020" s="41" t="str">
        <f>IF($F1020="","",IF($F1020&lt;1,ROUND($F1020*1440,0),INT($F1020/100)*60+MOD($F1020,100)))</f>
        <v/>
      </c>
      <c r="K1020" s="41" t="str">
        <f>IF($G1020="","",IF($G1020&lt;1,ROUND($G1020*1440,0),INT($G1020/100)*60+MOD($G1020,100)))</f>
        <v/>
      </c>
    </row>
    <row r="1021" ht="15" customHeight="1" s="26">
      <c r="A1021" s="34" t="n"/>
      <c r="B1021" s="32" t="n"/>
      <c r="C1021" s="33" t="n"/>
      <c r="D1021" s="37" t="str">
        <f>IF($C1021="","",IFERROR(INDEX(프로젝트목록!$B$3:$B$62,MATCH($C1021,프로젝트목록!$A$3:$A$62,0)),"미등록코드"))</f>
        <v/>
      </c>
      <c r="E1021" s="32" t="n"/>
      <c r="F1021" s="38" t="n"/>
      <c r="G1021" s="38" t="n"/>
      <c r="H1021" s="39" t="n"/>
      <c r="I1021" s="40" t="str">
        <f>IF(OR($J1021="",$K1021=""),"",ROUND(MAX(0,($K1021-$J1021)-IF($H1021="",0,$H1021))/60,2))</f>
        <v/>
      </c>
      <c r="J1021" s="41" t="str">
        <f>IF($F1021="","",IF($F1021&lt;1,ROUND($F1021*1440,0),INT($F1021/100)*60+MOD($F1021,100)))</f>
        <v/>
      </c>
      <c r="K1021" s="41" t="str">
        <f>IF($G1021="","",IF($G1021&lt;1,ROUND($G1021*1440,0),INT($G1021/100)*60+MOD($G1021,100)))</f>
        <v/>
      </c>
    </row>
    <row r="1022" ht="15" customHeight="1" s="26">
      <c r="A1022" s="34" t="n"/>
      <c r="B1022" s="32" t="n"/>
      <c r="C1022" s="33" t="n"/>
      <c r="D1022" s="37" t="str">
        <f>IF($C1022="","",IFERROR(INDEX(프로젝트목록!$B$3:$B$62,MATCH($C1022,프로젝트목록!$A$3:$A$62,0)),"미등록코드"))</f>
        <v/>
      </c>
      <c r="E1022" s="32" t="n"/>
      <c r="F1022" s="38" t="n"/>
      <c r="G1022" s="38" t="n"/>
      <c r="H1022" s="39" t="n"/>
      <c r="I1022" s="40" t="str">
        <f>IF(OR($J1022="",$K1022=""),"",ROUND(MAX(0,($K1022-$J1022)-IF($H1022="",0,$H1022))/60,2))</f>
        <v/>
      </c>
      <c r="J1022" s="41" t="str">
        <f>IF($F1022="","",IF($F1022&lt;1,ROUND($F1022*1440,0),INT($F1022/100)*60+MOD($F1022,100)))</f>
        <v/>
      </c>
      <c r="K1022" s="41" t="str">
        <f>IF($G1022="","",IF($G1022&lt;1,ROUND($G1022*1440,0),INT($G1022/100)*60+MOD($G1022,100)))</f>
        <v/>
      </c>
    </row>
    <row r="1023" ht="15" customHeight="1" s="26">
      <c r="A1023" s="34" t="n"/>
      <c r="B1023" s="32" t="n"/>
      <c r="C1023" s="33" t="n"/>
      <c r="D1023" s="37" t="str">
        <f>IF($C1023="","",IFERROR(INDEX(프로젝트목록!$B$3:$B$62,MATCH($C1023,프로젝트목록!$A$3:$A$62,0)),"미등록코드"))</f>
        <v/>
      </c>
      <c r="E1023" s="32" t="n"/>
      <c r="F1023" s="38" t="n"/>
      <c r="G1023" s="38" t="n"/>
      <c r="H1023" s="39" t="n"/>
      <c r="I1023" s="40" t="str">
        <f>IF(OR($J1023="",$K1023=""),"",ROUND(MAX(0,($K1023-$J1023)-IF($H1023="",0,$H1023))/60,2))</f>
        <v/>
      </c>
      <c r="J1023" s="41" t="str">
        <f>IF($F1023="","",IF($F1023&lt;1,ROUND($F1023*1440,0),INT($F1023/100)*60+MOD($F1023,100)))</f>
        <v/>
      </c>
      <c r="K1023" s="41" t="str">
        <f>IF($G1023="","",IF($G1023&lt;1,ROUND($G1023*1440,0),INT($G1023/100)*60+MOD($G1023,100)))</f>
        <v/>
      </c>
    </row>
    <row r="1024" ht="15" customHeight="1" s="26">
      <c r="A1024" s="34" t="n"/>
      <c r="B1024" s="32" t="n"/>
      <c r="C1024" s="33" t="n"/>
      <c r="D1024" s="37" t="str">
        <f>IF($C1024="","",IFERROR(INDEX(프로젝트목록!$B$3:$B$62,MATCH($C1024,프로젝트목록!$A$3:$A$62,0)),"미등록코드"))</f>
        <v/>
      </c>
      <c r="E1024" s="32" t="n"/>
      <c r="F1024" s="38" t="n"/>
      <c r="G1024" s="38" t="n"/>
      <c r="H1024" s="39" t="n"/>
      <c r="I1024" s="40" t="str">
        <f>IF(OR($J1024="",$K1024=""),"",ROUND(MAX(0,($K1024-$J1024)-IF($H1024="",0,$H1024))/60,2))</f>
        <v/>
      </c>
      <c r="J1024" s="41" t="str">
        <f>IF($F1024="","",IF($F1024&lt;1,ROUND($F1024*1440,0),INT($F1024/100)*60+MOD($F1024,100)))</f>
        <v/>
      </c>
      <c r="K1024" s="41" t="str">
        <f>IF($G1024="","",IF($G1024&lt;1,ROUND($G1024*1440,0),INT($G1024/100)*60+MOD($G1024,100)))</f>
        <v/>
      </c>
    </row>
    <row r="1025" ht="15" customHeight="1" s="26">
      <c r="A1025" s="34" t="n"/>
      <c r="B1025" s="32" t="n"/>
      <c r="C1025" s="33" t="n"/>
      <c r="D1025" s="37" t="str">
        <f>IF($C1025="","",IFERROR(INDEX(프로젝트목록!$B$3:$B$62,MATCH($C1025,프로젝트목록!$A$3:$A$62,0)),"미등록코드"))</f>
        <v/>
      </c>
      <c r="E1025" s="32" t="n"/>
      <c r="F1025" s="38" t="n"/>
      <c r="G1025" s="38" t="n"/>
      <c r="H1025" s="39" t="n"/>
      <c r="I1025" s="40" t="str">
        <f>IF(OR($J1025="",$K1025=""),"",ROUND(MAX(0,($K1025-$J1025)-IF($H1025="",0,$H1025))/60,2))</f>
        <v/>
      </c>
      <c r="J1025" s="41" t="str">
        <f>IF($F1025="","",IF($F1025&lt;1,ROUND($F1025*1440,0),INT($F1025/100)*60+MOD($F1025,100)))</f>
        <v/>
      </c>
      <c r="K1025" s="41" t="str">
        <f>IF($G1025="","",IF($G1025&lt;1,ROUND($G1025*1440,0),INT($G1025/100)*60+MOD($G1025,100)))</f>
        <v/>
      </c>
    </row>
    <row r="1026" ht="15" customHeight="1" s="26">
      <c r="A1026" s="34" t="n"/>
      <c r="B1026" s="32" t="n"/>
      <c r="C1026" s="33" t="n"/>
      <c r="D1026" s="37" t="str">
        <f>IF($C1026="","",IFERROR(INDEX(프로젝트목록!$B$3:$B$62,MATCH($C1026,프로젝트목록!$A$3:$A$62,0)),"미등록코드"))</f>
        <v/>
      </c>
      <c r="E1026" s="32" t="n"/>
      <c r="F1026" s="38" t="n"/>
      <c r="G1026" s="38" t="n"/>
      <c r="H1026" s="39" t="n"/>
      <c r="I1026" s="40" t="str">
        <f>IF(OR($J1026="",$K1026=""),"",ROUND(MAX(0,($K1026-$J1026)-IF($H1026="",0,$H1026))/60,2))</f>
        <v/>
      </c>
      <c r="J1026" s="41" t="str">
        <f>IF($F1026="","",IF($F1026&lt;1,ROUND($F1026*1440,0),INT($F1026/100)*60+MOD($F1026,100)))</f>
        <v/>
      </c>
      <c r="K1026" s="41" t="str">
        <f>IF($G1026="","",IF($G1026&lt;1,ROUND($G1026*1440,0),INT($G1026/100)*60+MOD($G1026,100)))</f>
        <v/>
      </c>
    </row>
    <row r="1027" ht="15" customHeight="1" s="26">
      <c r="A1027" s="34" t="n"/>
      <c r="B1027" s="32" t="n"/>
      <c r="C1027" s="33" t="n"/>
      <c r="D1027" s="37" t="str">
        <f>IF($C1027="","",IFERROR(INDEX(프로젝트목록!$B$3:$B$62,MATCH($C1027,프로젝트목록!$A$3:$A$62,0)),"미등록코드"))</f>
        <v/>
      </c>
      <c r="E1027" s="32" t="n"/>
      <c r="F1027" s="38" t="n"/>
      <c r="G1027" s="38" t="n"/>
      <c r="H1027" s="39" t="n"/>
      <c r="I1027" s="40" t="str">
        <f>IF(OR($J1027="",$K1027=""),"",ROUND(MAX(0,($K1027-$J1027)-IF($H1027="",0,$H1027))/60,2))</f>
        <v/>
      </c>
      <c r="J1027" s="41" t="str">
        <f>IF($F1027="","",IF($F1027&lt;1,ROUND($F1027*1440,0),INT($F1027/100)*60+MOD($F1027,100)))</f>
        <v/>
      </c>
      <c r="K1027" s="41" t="str">
        <f>IF($G1027="","",IF($G1027&lt;1,ROUND($G1027*1440,0),INT($G1027/100)*60+MOD($G1027,100)))</f>
        <v/>
      </c>
    </row>
    <row r="1028" ht="15" customHeight="1" s="26">
      <c r="A1028" s="34" t="n"/>
      <c r="B1028" s="32" t="n"/>
      <c r="C1028" s="33" t="n"/>
      <c r="D1028" s="37" t="str">
        <f>IF($C1028="","",IFERROR(INDEX(프로젝트목록!$B$3:$B$62,MATCH($C1028,프로젝트목록!$A$3:$A$62,0)),"미등록코드"))</f>
        <v/>
      </c>
      <c r="E1028" s="32" t="n"/>
      <c r="F1028" s="38" t="n"/>
      <c r="G1028" s="38" t="n"/>
      <c r="H1028" s="39" t="n"/>
      <c r="I1028" s="40" t="str">
        <f>IF(OR($J1028="",$K1028=""),"",ROUND(MAX(0,($K1028-$J1028)-IF($H1028="",0,$H1028))/60,2))</f>
        <v/>
      </c>
      <c r="J1028" s="41" t="str">
        <f>IF($F1028="","",IF($F1028&lt;1,ROUND($F1028*1440,0),INT($F1028/100)*60+MOD($F1028,100)))</f>
        <v/>
      </c>
      <c r="K1028" s="41" t="str">
        <f>IF($G1028="","",IF($G1028&lt;1,ROUND($G1028*1440,0),INT($G1028/100)*60+MOD($G1028,100)))</f>
        <v/>
      </c>
    </row>
    <row r="1029" ht="15" customHeight="1" s="26">
      <c r="A1029" s="34" t="n"/>
      <c r="B1029" s="32" t="n"/>
      <c r="C1029" s="33" t="n"/>
      <c r="D1029" s="37" t="str">
        <f>IF($C1029="","",IFERROR(INDEX(프로젝트목록!$B$3:$B$62,MATCH($C1029,프로젝트목록!$A$3:$A$62,0)),"미등록코드"))</f>
        <v/>
      </c>
      <c r="E1029" s="32" t="n"/>
      <c r="F1029" s="38" t="n"/>
      <c r="G1029" s="38" t="n"/>
      <c r="H1029" s="39" t="n"/>
      <c r="I1029" s="40" t="str">
        <f>IF(OR($J1029="",$K1029=""),"",ROUND(MAX(0,($K1029-$J1029)-IF($H1029="",0,$H1029))/60,2))</f>
        <v/>
      </c>
      <c r="J1029" s="41" t="str">
        <f>IF($F1029="","",IF($F1029&lt;1,ROUND($F1029*1440,0),INT($F1029/100)*60+MOD($F1029,100)))</f>
        <v/>
      </c>
      <c r="K1029" s="41" t="str">
        <f>IF($G1029="","",IF($G1029&lt;1,ROUND($G1029*1440,0),INT($G1029/100)*60+MOD($G1029,100)))</f>
        <v/>
      </c>
    </row>
    <row r="1030" ht="15" customHeight="1" s="26">
      <c r="A1030" s="34" t="n"/>
      <c r="B1030" s="32" t="n"/>
      <c r="C1030" s="33" t="n"/>
      <c r="D1030" s="37" t="str">
        <f>IF($C1030="","",IFERROR(INDEX(프로젝트목록!$B$3:$B$62,MATCH($C1030,프로젝트목록!$A$3:$A$62,0)),"미등록코드"))</f>
        <v/>
      </c>
      <c r="E1030" s="32" t="n"/>
      <c r="F1030" s="38" t="n"/>
      <c r="G1030" s="38" t="n"/>
      <c r="H1030" s="39" t="n"/>
      <c r="I1030" s="40" t="str">
        <f>IF(OR($J1030="",$K1030=""),"",ROUND(MAX(0,($K1030-$J1030)-IF($H1030="",0,$H1030))/60,2))</f>
        <v/>
      </c>
      <c r="J1030" s="41" t="str">
        <f>IF($F1030="","",IF($F1030&lt;1,ROUND($F1030*1440,0),INT($F1030/100)*60+MOD($F1030,100)))</f>
        <v/>
      </c>
      <c r="K1030" s="41" t="str">
        <f>IF($G1030="","",IF($G1030&lt;1,ROUND($G1030*1440,0),INT($G1030/100)*60+MOD($G1030,100)))</f>
        <v/>
      </c>
    </row>
    <row r="1031" ht="15" customHeight="1" s="26">
      <c r="A1031" s="34" t="n"/>
      <c r="B1031" s="32" t="n"/>
      <c r="C1031" s="33" t="n"/>
      <c r="D1031" s="37" t="str">
        <f>IF($C1031="","",IFERROR(INDEX(프로젝트목록!$B$3:$B$62,MATCH($C1031,프로젝트목록!$A$3:$A$62,0)),"미등록코드"))</f>
        <v/>
      </c>
      <c r="E1031" s="32" t="n"/>
      <c r="F1031" s="38" t="n"/>
      <c r="G1031" s="38" t="n"/>
      <c r="H1031" s="39" t="n"/>
      <c r="I1031" s="40" t="str">
        <f>IF(OR($J1031="",$K1031=""),"",ROUND(MAX(0,($K1031-$J1031)-IF($H1031="",0,$H1031))/60,2))</f>
        <v/>
      </c>
      <c r="J1031" s="41" t="str">
        <f>IF($F1031="","",IF($F1031&lt;1,ROUND($F1031*1440,0),INT($F1031/100)*60+MOD($F1031,100)))</f>
        <v/>
      </c>
      <c r="K1031" s="41" t="str">
        <f>IF($G1031="","",IF($G1031&lt;1,ROUND($G1031*1440,0),INT($G1031/100)*60+MOD($G1031,100)))</f>
        <v/>
      </c>
    </row>
    <row r="1032" ht="15" customHeight="1" s="26">
      <c r="A1032" s="34" t="n"/>
      <c r="B1032" s="32" t="n"/>
      <c r="C1032" s="33" t="n"/>
      <c r="D1032" s="37" t="str">
        <f>IF($C1032="","",IFERROR(INDEX(프로젝트목록!$B$3:$B$62,MATCH($C1032,프로젝트목록!$A$3:$A$62,0)),"미등록코드"))</f>
        <v/>
      </c>
      <c r="E1032" s="32" t="n"/>
      <c r="F1032" s="38" t="n"/>
      <c r="G1032" s="38" t="n"/>
      <c r="H1032" s="39" t="n"/>
      <c r="I1032" s="40" t="str">
        <f>IF(OR($J1032="",$K1032=""),"",ROUND(MAX(0,($K1032-$J1032)-IF($H1032="",0,$H1032))/60,2))</f>
        <v/>
      </c>
      <c r="J1032" s="41" t="str">
        <f>IF($F1032="","",IF($F1032&lt;1,ROUND($F1032*1440,0),INT($F1032/100)*60+MOD($F1032,100)))</f>
        <v/>
      </c>
      <c r="K1032" s="41" t="str">
        <f>IF($G1032="","",IF($G1032&lt;1,ROUND($G1032*1440,0),INT($G1032/100)*60+MOD($G1032,100)))</f>
        <v/>
      </c>
    </row>
    <row r="1033" ht="15" customHeight="1" s="26">
      <c r="A1033" s="34" t="n"/>
      <c r="B1033" s="32" t="n"/>
      <c r="C1033" s="33" t="n"/>
      <c r="D1033" s="37" t="str">
        <f>IF($C1033="","",IFERROR(INDEX(프로젝트목록!$B$3:$B$62,MATCH($C1033,프로젝트목록!$A$3:$A$62,0)),"미등록코드"))</f>
        <v/>
      </c>
      <c r="E1033" s="32" t="n"/>
      <c r="F1033" s="38" t="n"/>
      <c r="G1033" s="38" t="n"/>
      <c r="H1033" s="39" t="n"/>
      <c r="I1033" s="40" t="str">
        <f>IF(OR($J1033="",$K1033=""),"",ROUND(MAX(0,($K1033-$J1033)-IF($H1033="",0,$H1033))/60,2))</f>
        <v/>
      </c>
      <c r="J1033" s="41" t="str">
        <f>IF($F1033="","",IF($F1033&lt;1,ROUND($F1033*1440,0),INT($F1033/100)*60+MOD($F1033,100)))</f>
        <v/>
      </c>
      <c r="K1033" s="41" t="str">
        <f>IF($G1033="","",IF($G1033&lt;1,ROUND($G1033*1440,0),INT($G1033/100)*60+MOD($G1033,100)))</f>
        <v/>
      </c>
    </row>
    <row r="1034" ht="15" customHeight="1" s="26">
      <c r="A1034" s="34" t="n"/>
      <c r="B1034" s="32" t="n"/>
      <c r="C1034" s="33" t="n"/>
      <c r="D1034" s="37" t="str">
        <f>IF($C1034="","",IFERROR(INDEX(프로젝트목록!$B$3:$B$62,MATCH($C1034,프로젝트목록!$A$3:$A$62,0)),"미등록코드"))</f>
        <v/>
      </c>
      <c r="E1034" s="32" t="n"/>
      <c r="F1034" s="38" t="n"/>
      <c r="G1034" s="38" t="n"/>
      <c r="H1034" s="39" t="n"/>
      <c r="I1034" s="40" t="str">
        <f>IF(OR($J1034="",$K1034=""),"",ROUND(MAX(0,($K1034-$J1034)-IF($H1034="",0,$H1034))/60,2))</f>
        <v/>
      </c>
      <c r="J1034" s="41" t="str">
        <f>IF($F1034="","",IF($F1034&lt;1,ROUND($F1034*1440,0),INT($F1034/100)*60+MOD($F1034,100)))</f>
        <v/>
      </c>
      <c r="K1034" s="41" t="str">
        <f>IF($G1034="","",IF($G1034&lt;1,ROUND($G1034*1440,0),INT($G1034/100)*60+MOD($G1034,100)))</f>
        <v/>
      </c>
    </row>
    <row r="1035" ht="15" customHeight="1" s="26">
      <c r="A1035" s="34" t="n"/>
      <c r="B1035" s="32" t="n"/>
      <c r="C1035" s="33" t="n"/>
      <c r="D1035" s="37" t="str">
        <f>IF($C1035="","",IFERROR(INDEX(프로젝트목록!$B$3:$B$62,MATCH($C1035,프로젝트목록!$A$3:$A$62,0)),"미등록코드"))</f>
        <v/>
      </c>
      <c r="E1035" s="32" t="n"/>
      <c r="F1035" s="38" t="n"/>
      <c r="G1035" s="38" t="n"/>
      <c r="H1035" s="39" t="n"/>
      <c r="I1035" s="40" t="str">
        <f>IF(OR($J1035="",$K1035=""),"",ROUND(MAX(0,($K1035-$J1035)-IF($H1035="",0,$H1035))/60,2))</f>
        <v/>
      </c>
      <c r="J1035" s="41" t="str">
        <f>IF($F1035="","",IF($F1035&lt;1,ROUND($F1035*1440,0),INT($F1035/100)*60+MOD($F1035,100)))</f>
        <v/>
      </c>
      <c r="K1035" s="41" t="str">
        <f>IF($G1035="","",IF($G1035&lt;1,ROUND($G1035*1440,0),INT($G1035/100)*60+MOD($G1035,100)))</f>
        <v/>
      </c>
    </row>
    <row r="1036" ht="15" customHeight="1" s="26">
      <c r="A1036" s="34" t="n"/>
      <c r="B1036" s="32" t="n"/>
      <c r="C1036" s="33" t="n"/>
      <c r="D1036" s="37" t="str">
        <f>IF($C1036="","",IFERROR(INDEX(프로젝트목록!$B$3:$B$62,MATCH($C1036,프로젝트목록!$A$3:$A$62,0)),"미등록코드"))</f>
        <v/>
      </c>
      <c r="E1036" s="32" t="n"/>
      <c r="F1036" s="38" t="n"/>
      <c r="G1036" s="38" t="n"/>
      <c r="H1036" s="39" t="n"/>
      <c r="I1036" s="40" t="str">
        <f>IF(OR($J1036="",$K1036=""),"",ROUND(MAX(0,($K1036-$J1036)-IF($H1036="",0,$H1036))/60,2))</f>
        <v/>
      </c>
      <c r="J1036" s="41" t="str">
        <f>IF($F1036="","",IF($F1036&lt;1,ROUND($F1036*1440,0),INT($F1036/100)*60+MOD($F1036,100)))</f>
        <v/>
      </c>
      <c r="K1036" s="41" t="str">
        <f>IF($G1036="","",IF($G1036&lt;1,ROUND($G1036*1440,0),INT($G1036/100)*60+MOD($G1036,100)))</f>
        <v/>
      </c>
    </row>
    <row r="1037" ht="15" customHeight="1" s="26">
      <c r="A1037" s="34" t="n"/>
      <c r="B1037" s="32" t="n"/>
      <c r="C1037" s="33" t="n"/>
      <c r="D1037" s="37" t="str">
        <f>IF($C1037="","",IFERROR(INDEX(프로젝트목록!$B$3:$B$62,MATCH($C1037,프로젝트목록!$A$3:$A$62,0)),"미등록코드"))</f>
        <v/>
      </c>
      <c r="E1037" s="32" t="n"/>
      <c r="F1037" s="38" t="n"/>
      <c r="G1037" s="38" t="n"/>
      <c r="H1037" s="39" t="n"/>
      <c r="I1037" s="40" t="str">
        <f>IF(OR($J1037="",$K1037=""),"",ROUND(MAX(0,($K1037-$J1037)-IF($H1037="",0,$H1037))/60,2))</f>
        <v/>
      </c>
      <c r="J1037" s="41" t="str">
        <f>IF($F1037="","",IF($F1037&lt;1,ROUND($F1037*1440,0),INT($F1037/100)*60+MOD($F1037,100)))</f>
        <v/>
      </c>
      <c r="K1037" s="41" t="str">
        <f>IF($G1037="","",IF($G1037&lt;1,ROUND($G1037*1440,0),INT($G1037/100)*60+MOD($G1037,100)))</f>
        <v/>
      </c>
    </row>
    <row r="1038" ht="15" customHeight="1" s="26">
      <c r="A1038" s="34" t="n"/>
      <c r="B1038" s="32" t="n"/>
      <c r="C1038" s="33" t="n"/>
      <c r="D1038" s="37" t="str">
        <f>IF($C1038="","",IFERROR(INDEX(프로젝트목록!$B$3:$B$62,MATCH($C1038,프로젝트목록!$A$3:$A$62,0)),"미등록코드"))</f>
        <v/>
      </c>
      <c r="E1038" s="32" t="n"/>
      <c r="F1038" s="38" t="n"/>
      <c r="G1038" s="38" t="n"/>
      <c r="H1038" s="39" t="n"/>
      <c r="I1038" s="40" t="str">
        <f>IF(OR($J1038="",$K1038=""),"",ROUND(MAX(0,($K1038-$J1038)-IF($H1038="",0,$H1038))/60,2))</f>
        <v/>
      </c>
      <c r="J1038" s="41" t="str">
        <f>IF($F1038="","",IF($F1038&lt;1,ROUND($F1038*1440,0),INT($F1038/100)*60+MOD($F1038,100)))</f>
        <v/>
      </c>
      <c r="K1038" s="41" t="str">
        <f>IF($G1038="","",IF($G1038&lt;1,ROUND($G1038*1440,0),INT($G1038/100)*60+MOD($G1038,100)))</f>
        <v/>
      </c>
    </row>
    <row r="1039" ht="15" customHeight="1" s="26">
      <c r="A1039" s="34" t="n"/>
      <c r="B1039" s="32" t="n"/>
      <c r="C1039" s="33" t="n"/>
      <c r="D1039" s="37" t="str">
        <f>IF($C1039="","",IFERROR(INDEX(프로젝트목록!$B$3:$B$62,MATCH($C1039,프로젝트목록!$A$3:$A$62,0)),"미등록코드"))</f>
        <v/>
      </c>
      <c r="E1039" s="32" t="n"/>
      <c r="F1039" s="38" t="n"/>
      <c r="G1039" s="38" t="n"/>
      <c r="H1039" s="39" t="n"/>
      <c r="I1039" s="40" t="str">
        <f>IF(OR($J1039="",$K1039=""),"",ROUND(MAX(0,($K1039-$J1039)-IF($H1039="",0,$H1039))/60,2))</f>
        <v/>
      </c>
      <c r="J1039" s="41" t="str">
        <f>IF($F1039="","",IF($F1039&lt;1,ROUND($F1039*1440,0),INT($F1039/100)*60+MOD($F1039,100)))</f>
        <v/>
      </c>
      <c r="K1039" s="41" t="str">
        <f>IF($G1039="","",IF($G1039&lt;1,ROUND($G1039*1440,0),INT($G1039/100)*60+MOD($G1039,100)))</f>
        <v/>
      </c>
    </row>
    <row r="1040" ht="15" customHeight="1" s="26">
      <c r="A1040" s="34" t="n"/>
      <c r="B1040" s="32" t="n"/>
      <c r="C1040" s="33" t="n"/>
      <c r="D1040" s="37" t="str">
        <f>IF($C1040="","",IFERROR(INDEX(프로젝트목록!$B$3:$B$62,MATCH($C1040,프로젝트목록!$A$3:$A$62,0)),"미등록코드"))</f>
        <v/>
      </c>
      <c r="E1040" s="32" t="n"/>
      <c r="F1040" s="38" t="n"/>
      <c r="G1040" s="38" t="n"/>
      <c r="H1040" s="39" t="n"/>
      <c r="I1040" s="40" t="str">
        <f>IF(OR($J1040="",$K1040=""),"",ROUND(MAX(0,($K1040-$J1040)-IF($H1040="",0,$H1040))/60,2))</f>
        <v/>
      </c>
      <c r="J1040" s="41" t="str">
        <f>IF($F1040="","",IF($F1040&lt;1,ROUND($F1040*1440,0),INT($F1040/100)*60+MOD($F1040,100)))</f>
        <v/>
      </c>
      <c r="K1040" s="41" t="str">
        <f>IF($G1040="","",IF($G1040&lt;1,ROUND($G1040*1440,0),INT($G1040/100)*60+MOD($G1040,100)))</f>
        <v/>
      </c>
    </row>
    <row r="1041" ht="15" customHeight="1" s="26">
      <c r="A1041" s="34" t="n"/>
      <c r="B1041" s="32" t="n"/>
      <c r="C1041" s="33" t="n"/>
      <c r="D1041" s="37" t="str">
        <f>IF($C1041="","",IFERROR(INDEX(프로젝트목록!$B$3:$B$62,MATCH($C1041,프로젝트목록!$A$3:$A$62,0)),"미등록코드"))</f>
        <v/>
      </c>
      <c r="E1041" s="32" t="n"/>
      <c r="F1041" s="38" t="n"/>
      <c r="G1041" s="38" t="n"/>
      <c r="H1041" s="39" t="n"/>
      <c r="I1041" s="40" t="str">
        <f>IF(OR($J1041="",$K1041=""),"",ROUND(MAX(0,($K1041-$J1041)-IF($H1041="",0,$H1041))/60,2))</f>
        <v/>
      </c>
      <c r="J1041" s="41" t="str">
        <f>IF($F1041="","",IF($F1041&lt;1,ROUND($F1041*1440,0),INT($F1041/100)*60+MOD($F1041,100)))</f>
        <v/>
      </c>
      <c r="K1041" s="41" t="str">
        <f>IF($G1041="","",IF($G1041&lt;1,ROUND($G1041*1440,0),INT($G1041/100)*60+MOD($G1041,100)))</f>
        <v/>
      </c>
    </row>
    <row r="1042" ht="15" customHeight="1" s="26">
      <c r="A1042" s="34" t="n"/>
      <c r="B1042" s="32" t="n"/>
      <c r="C1042" s="33" t="n"/>
      <c r="D1042" s="37" t="str">
        <f>IF($C1042="","",IFERROR(INDEX(프로젝트목록!$B$3:$B$62,MATCH($C1042,프로젝트목록!$A$3:$A$62,0)),"미등록코드"))</f>
        <v/>
      </c>
      <c r="E1042" s="32" t="n"/>
      <c r="F1042" s="38" t="n"/>
      <c r="G1042" s="38" t="n"/>
      <c r="H1042" s="39" t="n"/>
      <c r="I1042" s="40" t="str">
        <f>IF(OR($J1042="",$K1042=""),"",ROUND(MAX(0,($K1042-$J1042)-IF($H1042="",0,$H1042))/60,2))</f>
        <v/>
      </c>
      <c r="J1042" s="41" t="str">
        <f>IF($F1042="","",IF($F1042&lt;1,ROUND($F1042*1440,0),INT($F1042/100)*60+MOD($F1042,100)))</f>
        <v/>
      </c>
      <c r="K1042" s="41" t="str">
        <f>IF($G1042="","",IF($G1042&lt;1,ROUND($G1042*1440,0),INT($G1042/100)*60+MOD($G1042,100)))</f>
        <v/>
      </c>
    </row>
    <row r="1043" ht="15" customHeight="1" s="26">
      <c r="A1043" s="34" t="n"/>
      <c r="B1043" s="32" t="n"/>
      <c r="C1043" s="33" t="n"/>
      <c r="D1043" s="37" t="str">
        <f>IF($C1043="","",IFERROR(INDEX(프로젝트목록!$B$3:$B$62,MATCH($C1043,프로젝트목록!$A$3:$A$62,0)),"미등록코드"))</f>
        <v/>
      </c>
      <c r="E1043" s="32" t="n"/>
      <c r="F1043" s="38" t="n"/>
      <c r="G1043" s="38" t="n"/>
      <c r="H1043" s="39" t="n"/>
      <c r="I1043" s="40" t="str">
        <f>IF(OR($J1043="",$K1043=""),"",ROUND(MAX(0,($K1043-$J1043)-IF($H1043="",0,$H1043))/60,2))</f>
        <v/>
      </c>
      <c r="J1043" s="41" t="str">
        <f>IF($F1043="","",IF($F1043&lt;1,ROUND($F1043*1440,0),INT($F1043/100)*60+MOD($F1043,100)))</f>
        <v/>
      </c>
      <c r="K1043" s="41" t="str">
        <f>IF($G1043="","",IF($G1043&lt;1,ROUND($G1043*1440,0),INT($G1043/100)*60+MOD($G1043,100)))</f>
        <v/>
      </c>
    </row>
    <row r="1044" ht="15" customHeight="1" s="26">
      <c r="A1044" s="34" t="n"/>
      <c r="B1044" s="32" t="n"/>
      <c r="C1044" s="33" t="n"/>
      <c r="D1044" s="37" t="str">
        <f>IF($C1044="","",IFERROR(INDEX(프로젝트목록!$B$3:$B$62,MATCH($C1044,프로젝트목록!$A$3:$A$62,0)),"미등록코드"))</f>
        <v/>
      </c>
      <c r="E1044" s="32" t="n"/>
      <c r="F1044" s="38" t="n"/>
      <c r="G1044" s="38" t="n"/>
      <c r="H1044" s="39" t="n"/>
      <c r="I1044" s="40" t="str">
        <f>IF(OR($J1044="",$K1044=""),"",ROUND(MAX(0,($K1044-$J1044)-IF($H1044="",0,$H1044))/60,2))</f>
        <v/>
      </c>
      <c r="J1044" s="41" t="str">
        <f>IF($F1044="","",IF($F1044&lt;1,ROUND($F1044*1440,0),INT($F1044/100)*60+MOD($F1044,100)))</f>
        <v/>
      </c>
      <c r="K1044" s="41" t="str">
        <f>IF($G1044="","",IF($G1044&lt;1,ROUND($G1044*1440,0),INT($G1044/100)*60+MOD($G1044,100)))</f>
        <v/>
      </c>
    </row>
    <row r="1045" ht="15" customHeight="1" s="26">
      <c r="A1045" s="34" t="n"/>
      <c r="B1045" s="32" t="n"/>
      <c r="C1045" s="33" t="n"/>
      <c r="D1045" s="37" t="str">
        <f>IF($C1045="","",IFERROR(INDEX(프로젝트목록!$B$3:$B$62,MATCH($C1045,프로젝트목록!$A$3:$A$62,0)),"미등록코드"))</f>
        <v/>
      </c>
      <c r="E1045" s="32" t="n"/>
      <c r="F1045" s="38" t="n"/>
      <c r="G1045" s="38" t="n"/>
      <c r="H1045" s="39" t="n"/>
      <c r="I1045" s="40" t="str">
        <f>IF(OR($J1045="",$K1045=""),"",ROUND(MAX(0,($K1045-$J1045)-IF($H1045="",0,$H1045))/60,2))</f>
        <v/>
      </c>
      <c r="J1045" s="41" t="str">
        <f>IF($F1045="","",IF($F1045&lt;1,ROUND($F1045*1440,0),INT($F1045/100)*60+MOD($F1045,100)))</f>
        <v/>
      </c>
      <c r="K1045" s="41" t="str">
        <f>IF($G1045="","",IF($G1045&lt;1,ROUND($G1045*1440,0),INT($G1045/100)*60+MOD($G1045,100)))</f>
        <v/>
      </c>
    </row>
    <row r="1046" ht="15" customHeight="1" s="26">
      <c r="A1046" s="34" t="n"/>
      <c r="B1046" s="32" t="n"/>
      <c r="C1046" s="33" t="n"/>
      <c r="D1046" s="37" t="str">
        <f>IF($C1046="","",IFERROR(INDEX(프로젝트목록!$B$3:$B$62,MATCH($C1046,프로젝트목록!$A$3:$A$62,0)),"미등록코드"))</f>
        <v/>
      </c>
      <c r="E1046" s="32" t="n"/>
      <c r="F1046" s="38" t="n"/>
      <c r="G1046" s="38" t="n"/>
      <c r="H1046" s="39" t="n"/>
      <c r="I1046" s="40" t="str">
        <f>IF(OR($J1046="",$K1046=""),"",ROUND(MAX(0,($K1046-$J1046)-IF($H1046="",0,$H1046))/60,2))</f>
        <v/>
      </c>
      <c r="J1046" s="41" t="str">
        <f>IF($F1046="","",IF($F1046&lt;1,ROUND($F1046*1440,0),INT($F1046/100)*60+MOD($F1046,100)))</f>
        <v/>
      </c>
      <c r="K1046" s="41" t="str">
        <f>IF($G1046="","",IF($G1046&lt;1,ROUND($G1046*1440,0),INT($G1046/100)*60+MOD($G1046,100)))</f>
        <v/>
      </c>
    </row>
    <row r="1047" ht="15" customHeight="1" s="26">
      <c r="A1047" s="34" t="n"/>
      <c r="B1047" s="32" t="n"/>
      <c r="C1047" s="33" t="n"/>
      <c r="D1047" s="37" t="str">
        <f>IF($C1047="","",IFERROR(INDEX(프로젝트목록!$B$3:$B$62,MATCH($C1047,프로젝트목록!$A$3:$A$62,0)),"미등록코드"))</f>
        <v/>
      </c>
      <c r="E1047" s="32" t="n"/>
      <c r="F1047" s="38" t="n"/>
      <c r="G1047" s="38" t="n"/>
      <c r="H1047" s="39" t="n"/>
      <c r="I1047" s="40" t="str">
        <f>IF(OR($J1047="",$K1047=""),"",ROUND(MAX(0,($K1047-$J1047)-IF($H1047="",0,$H1047))/60,2))</f>
        <v/>
      </c>
      <c r="J1047" s="41" t="str">
        <f>IF($F1047="","",IF($F1047&lt;1,ROUND($F1047*1440,0),INT($F1047/100)*60+MOD($F1047,100)))</f>
        <v/>
      </c>
      <c r="K1047" s="41" t="str">
        <f>IF($G1047="","",IF($G1047&lt;1,ROUND($G1047*1440,0),INT($G1047/100)*60+MOD($G1047,100)))</f>
        <v/>
      </c>
    </row>
    <row r="1048" ht="15" customHeight="1" s="26">
      <c r="A1048" s="34" t="n"/>
      <c r="B1048" s="32" t="n"/>
      <c r="C1048" s="33" t="n"/>
      <c r="D1048" s="37" t="str">
        <f>IF($C1048="","",IFERROR(INDEX(프로젝트목록!$B$3:$B$62,MATCH($C1048,프로젝트목록!$A$3:$A$62,0)),"미등록코드"))</f>
        <v/>
      </c>
      <c r="E1048" s="32" t="n"/>
      <c r="F1048" s="38" t="n"/>
      <c r="G1048" s="38" t="n"/>
      <c r="H1048" s="39" t="n"/>
      <c r="I1048" s="40" t="str">
        <f>IF(OR($J1048="",$K1048=""),"",ROUND(MAX(0,($K1048-$J1048)-IF($H1048="",0,$H1048))/60,2))</f>
        <v/>
      </c>
      <c r="J1048" s="41" t="str">
        <f>IF($F1048="","",IF($F1048&lt;1,ROUND($F1048*1440,0),INT($F1048/100)*60+MOD($F1048,100)))</f>
        <v/>
      </c>
      <c r="K1048" s="41" t="str">
        <f>IF($G1048="","",IF($G1048&lt;1,ROUND($G1048*1440,0),INT($G1048/100)*60+MOD($G1048,100)))</f>
        <v/>
      </c>
    </row>
    <row r="1049" ht="15" customHeight="1" s="26">
      <c r="A1049" s="34" t="n"/>
      <c r="B1049" s="32" t="n"/>
      <c r="C1049" s="33" t="n"/>
      <c r="D1049" s="37" t="str">
        <f>IF($C1049="","",IFERROR(INDEX(프로젝트목록!$B$3:$B$62,MATCH($C1049,프로젝트목록!$A$3:$A$62,0)),"미등록코드"))</f>
        <v/>
      </c>
      <c r="E1049" s="32" t="n"/>
      <c r="F1049" s="38" t="n"/>
      <c r="G1049" s="38" t="n"/>
      <c r="H1049" s="39" t="n"/>
      <c r="I1049" s="40" t="str">
        <f>IF(OR($J1049="",$K1049=""),"",ROUND(MAX(0,($K1049-$J1049)-IF($H1049="",0,$H1049))/60,2))</f>
        <v/>
      </c>
      <c r="J1049" s="41" t="str">
        <f>IF($F1049="","",IF($F1049&lt;1,ROUND($F1049*1440,0),INT($F1049/100)*60+MOD($F1049,100)))</f>
        <v/>
      </c>
      <c r="K1049" s="41" t="str">
        <f>IF($G1049="","",IF($G1049&lt;1,ROUND($G1049*1440,0),INT($G1049/100)*60+MOD($G1049,100)))</f>
        <v/>
      </c>
    </row>
    <row r="1050" ht="15" customHeight="1" s="26">
      <c r="A1050" s="34" t="n"/>
      <c r="B1050" s="32" t="n"/>
      <c r="C1050" s="33" t="n"/>
      <c r="D1050" s="37" t="str">
        <f>IF($C1050="","",IFERROR(INDEX(프로젝트목록!$B$3:$B$62,MATCH($C1050,프로젝트목록!$A$3:$A$62,0)),"미등록코드"))</f>
        <v/>
      </c>
      <c r="E1050" s="32" t="n"/>
      <c r="F1050" s="38" t="n"/>
      <c r="G1050" s="38" t="n"/>
      <c r="H1050" s="39" t="n"/>
      <c r="I1050" s="40" t="str">
        <f>IF(OR($J1050="",$K1050=""),"",ROUND(MAX(0,($K1050-$J1050)-IF($H1050="",0,$H1050))/60,2))</f>
        <v/>
      </c>
      <c r="J1050" s="41" t="str">
        <f>IF($F1050="","",IF($F1050&lt;1,ROUND($F1050*1440,0),INT($F1050/100)*60+MOD($F1050,100)))</f>
        <v/>
      </c>
      <c r="K1050" s="41" t="str">
        <f>IF($G1050="","",IF($G1050&lt;1,ROUND($G1050*1440,0),INT($G1050/100)*60+MOD($G1050,100)))</f>
        <v/>
      </c>
    </row>
    <row r="1051" ht="15" customHeight="1" s="26">
      <c r="A1051" s="34" t="n"/>
      <c r="B1051" s="32" t="n"/>
      <c r="C1051" s="33" t="n"/>
      <c r="D1051" s="37" t="str">
        <f>IF($C1051="","",IFERROR(INDEX(프로젝트목록!$B$3:$B$62,MATCH($C1051,프로젝트목록!$A$3:$A$62,0)),"미등록코드"))</f>
        <v/>
      </c>
      <c r="E1051" s="32" t="n"/>
      <c r="F1051" s="38" t="n"/>
      <c r="G1051" s="38" t="n"/>
      <c r="H1051" s="39" t="n"/>
      <c r="I1051" s="40" t="str">
        <f>IF(OR($J1051="",$K1051=""),"",ROUND(MAX(0,($K1051-$J1051)-IF($H1051="",0,$H1051))/60,2))</f>
        <v/>
      </c>
      <c r="J1051" s="41" t="str">
        <f>IF($F1051="","",IF($F1051&lt;1,ROUND($F1051*1440,0),INT($F1051/100)*60+MOD($F1051,100)))</f>
        <v/>
      </c>
      <c r="K1051" s="41" t="str">
        <f>IF($G1051="","",IF($G1051&lt;1,ROUND($G1051*1440,0),INT($G1051/100)*60+MOD($G1051,100)))</f>
        <v/>
      </c>
    </row>
    <row r="1052" ht="15" customHeight="1" s="26">
      <c r="A1052" s="34" t="n"/>
      <c r="B1052" s="32" t="n"/>
      <c r="C1052" s="33" t="n"/>
      <c r="D1052" s="37" t="str">
        <f>IF($C1052="","",IFERROR(INDEX(프로젝트목록!$B$3:$B$62,MATCH($C1052,프로젝트목록!$A$3:$A$62,0)),"미등록코드"))</f>
        <v/>
      </c>
      <c r="E1052" s="32" t="n"/>
      <c r="F1052" s="38" t="n"/>
      <c r="G1052" s="38" t="n"/>
      <c r="H1052" s="39" t="n"/>
      <c r="I1052" s="40" t="str">
        <f>IF(OR($J1052="",$K1052=""),"",ROUND(MAX(0,($K1052-$J1052)-IF($H1052="",0,$H1052))/60,2))</f>
        <v/>
      </c>
      <c r="J1052" s="41" t="str">
        <f>IF($F1052="","",IF($F1052&lt;1,ROUND($F1052*1440,0),INT($F1052/100)*60+MOD($F1052,100)))</f>
        <v/>
      </c>
      <c r="K1052" s="41" t="str">
        <f>IF($G1052="","",IF($G1052&lt;1,ROUND($G1052*1440,0),INT($G1052/100)*60+MOD($G1052,100)))</f>
        <v/>
      </c>
    </row>
    <row r="1053" ht="15" customHeight="1" s="26">
      <c r="A1053" s="34" t="n"/>
      <c r="B1053" s="32" t="n"/>
      <c r="C1053" s="33" t="n"/>
      <c r="D1053" s="37" t="str">
        <f>IF($C1053="","",IFERROR(INDEX(프로젝트목록!$B$3:$B$62,MATCH($C1053,프로젝트목록!$A$3:$A$62,0)),"미등록코드"))</f>
        <v/>
      </c>
      <c r="E1053" s="32" t="n"/>
      <c r="F1053" s="38" t="n"/>
      <c r="G1053" s="38" t="n"/>
      <c r="H1053" s="39" t="n"/>
      <c r="I1053" s="40" t="str">
        <f>IF(OR($J1053="",$K1053=""),"",ROUND(MAX(0,($K1053-$J1053)-IF($H1053="",0,$H1053))/60,2))</f>
        <v/>
      </c>
      <c r="J1053" s="41" t="str">
        <f>IF($F1053="","",IF($F1053&lt;1,ROUND($F1053*1440,0),INT($F1053/100)*60+MOD($F1053,100)))</f>
        <v/>
      </c>
      <c r="K1053" s="41" t="str">
        <f>IF($G1053="","",IF($G1053&lt;1,ROUND($G1053*1440,0),INT($G1053/100)*60+MOD($G1053,100)))</f>
        <v/>
      </c>
    </row>
    <row r="1054" ht="15" customHeight="1" s="26">
      <c r="A1054" s="34" t="n"/>
      <c r="B1054" s="32" t="n"/>
      <c r="C1054" s="33" t="n"/>
      <c r="D1054" s="37" t="str">
        <f>IF($C1054="","",IFERROR(INDEX(프로젝트목록!$B$3:$B$62,MATCH($C1054,프로젝트목록!$A$3:$A$62,0)),"미등록코드"))</f>
        <v/>
      </c>
      <c r="E1054" s="32" t="n"/>
      <c r="F1054" s="38" t="n"/>
      <c r="G1054" s="38" t="n"/>
      <c r="H1054" s="39" t="n"/>
      <c r="I1054" s="40" t="str">
        <f>IF(OR($J1054="",$K1054=""),"",ROUND(MAX(0,($K1054-$J1054)-IF($H1054="",0,$H1054))/60,2))</f>
        <v/>
      </c>
      <c r="J1054" s="41" t="str">
        <f>IF($F1054="","",IF($F1054&lt;1,ROUND($F1054*1440,0),INT($F1054/100)*60+MOD($F1054,100)))</f>
        <v/>
      </c>
      <c r="K1054" s="41" t="str">
        <f>IF($G1054="","",IF($G1054&lt;1,ROUND($G1054*1440,0),INT($G1054/100)*60+MOD($G1054,100)))</f>
        <v/>
      </c>
    </row>
    <row r="1055" ht="15" customHeight="1" s="26">
      <c r="A1055" s="34" t="n"/>
      <c r="B1055" s="32" t="n"/>
      <c r="C1055" s="33" t="n"/>
      <c r="D1055" s="37" t="str">
        <f>IF($C1055="","",IFERROR(INDEX(프로젝트목록!$B$3:$B$62,MATCH($C1055,프로젝트목록!$A$3:$A$62,0)),"미등록코드"))</f>
        <v/>
      </c>
      <c r="E1055" s="32" t="n"/>
      <c r="F1055" s="38" t="n"/>
      <c r="G1055" s="38" t="n"/>
      <c r="H1055" s="39" t="n"/>
      <c r="I1055" s="40" t="str">
        <f>IF(OR($J1055="",$K1055=""),"",ROUND(MAX(0,($K1055-$J1055)-IF($H1055="",0,$H1055))/60,2))</f>
        <v/>
      </c>
      <c r="J1055" s="41" t="str">
        <f>IF($F1055="","",IF($F1055&lt;1,ROUND($F1055*1440,0),INT($F1055/100)*60+MOD($F1055,100)))</f>
        <v/>
      </c>
      <c r="K1055" s="41" t="str">
        <f>IF($G1055="","",IF($G1055&lt;1,ROUND($G1055*1440,0),INT($G1055/100)*60+MOD($G1055,100)))</f>
        <v/>
      </c>
    </row>
    <row r="1056" ht="15" customHeight="1" s="26">
      <c r="A1056" s="34" t="n"/>
      <c r="B1056" s="32" t="n"/>
      <c r="C1056" s="33" t="n"/>
      <c r="D1056" s="37" t="str">
        <f>IF($C1056="","",IFERROR(INDEX(프로젝트목록!$B$3:$B$62,MATCH($C1056,프로젝트목록!$A$3:$A$62,0)),"미등록코드"))</f>
        <v/>
      </c>
      <c r="E1056" s="32" t="n"/>
      <c r="F1056" s="38" t="n"/>
      <c r="G1056" s="38" t="n"/>
      <c r="H1056" s="39" t="n"/>
      <c r="I1056" s="40" t="str">
        <f>IF(OR($J1056="",$K1056=""),"",ROUND(MAX(0,($K1056-$J1056)-IF($H1056="",0,$H1056))/60,2))</f>
        <v/>
      </c>
      <c r="J1056" s="41" t="str">
        <f>IF($F1056="","",IF($F1056&lt;1,ROUND($F1056*1440,0),INT($F1056/100)*60+MOD($F1056,100)))</f>
        <v/>
      </c>
      <c r="K1056" s="41" t="str">
        <f>IF($G1056="","",IF($G1056&lt;1,ROUND($G1056*1440,0),INT($G1056/100)*60+MOD($G1056,100)))</f>
        <v/>
      </c>
    </row>
    <row r="1057" ht="15" customHeight="1" s="26">
      <c r="A1057" s="34" t="n"/>
      <c r="B1057" s="32" t="n"/>
      <c r="C1057" s="33" t="n"/>
      <c r="D1057" s="37" t="str">
        <f>IF($C1057="","",IFERROR(INDEX(프로젝트목록!$B$3:$B$62,MATCH($C1057,프로젝트목록!$A$3:$A$62,0)),"미등록코드"))</f>
        <v/>
      </c>
      <c r="E1057" s="32" t="n"/>
      <c r="F1057" s="38" t="n"/>
      <c r="G1057" s="38" t="n"/>
      <c r="H1057" s="39" t="n"/>
      <c r="I1057" s="40" t="str">
        <f>IF(OR($J1057="",$K1057=""),"",ROUND(MAX(0,($K1057-$J1057)-IF($H1057="",0,$H1057))/60,2))</f>
        <v/>
      </c>
      <c r="J1057" s="41" t="str">
        <f>IF($F1057="","",IF($F1057&lt;1,ROUND($F1057*1440,0),INT($F1057/100)*60+MOD($F1057,100)))</f>
        <v/>
      </c>
      <c r="K1057" s="41" t="str">
        <f>IF($G1057="","",IF($G1057&lt;1,ROUND($G1057*1440,0),INT($G1057/100)*60+MOD($G1057,100)))</f>
        <v/>
      </c>
    </row>
    <row r="1058" ht="15" customHeight="1" s="26">
      <c r="A1058" s="34" t="n"/>
      <c r="B1058" s="32" t="n"/>
      <c r="C1058" s="33" t="n"/>
      <c r="D1058" s="37" t="str">
        <f>IF($C1058="","",IFERROR(INDEX(프로젝트목록!$B$3:$B$62,MATCH($C1058,프로젝트목록!$A$3:$A$62,0)),"미등록코드"))</f>
        <v/>
      </c>
      <c r="E1058" s="32" t="n"/>
      <c r="F1058" s="38" t="n"/>
      <c r="G1058" s="38" t="n"/>
      <c r="H1058" s="39" t="n"/>
      <c r="I1058" s="40" t="str">
        <f>IF(OR($J1058="",$K1058=""),"",ROUND(MAX(0,($K1058-$J1058)-IF($H1058="",0,$H1058))/60,2))</f>
        <v/>
      </c>
      <c r="J1058" s="41" t="str">
        <f>IF($F1058="","",IF($F1058&lt;1,ROUND($F1058*1440,0),INT($F1058/100)*60+MOD($F1058,100)))</f>
        <v/>
      </c>
      <c r="K1058" s="41" t="str">
        <f>IF($G1058="","",IF($G1058&lt;1,ROUND($G1058*1440,0),INT($G1058/100)*60+MOD($G1058,100)))</f>
        <v/>
      </c>
    </row>
    <row r="1059" ht="15" customHeight="1" s="26">
      <c r="A1059" s="34" t="n"/>
      <c r="B1059" s="32" t="n"/>
      <c r="C1059" s="33" t="n"/>
      <c r="D1059" s="37" t="str">
        <f>IF($C1059="","",IFERROR(INDEX(프로젝트목록!$B$3:$B$62,MATCH($C1059,프로젝트목록!$A$3:$A$62,0)),"미등록코드"))</f>
        <v/>
      </c>
      <c r="E1059" s="32" t="n"/>
      <c r="F1059" s="38" t="n"/>
      <c r="G1059" s="38" t="n"/>
      <c r="H1059" s="39" t="n"/>
      <c r="I1059" s="40" t="str">
        <f>IF(OR($J1059="",$K1059=""),"",ROUND(MAX(0,($K1059-$J1059)-IF($H1059="",0,$H1059))/60,2))</f>
        <v/>
      </c>
      <c r="J1059" s="41" t="str">
        <f>IF($F1059="","",IF($F1059&lt;1,ROUND($F1059*1440,0),INT($F1059/100)*60+MOD($F1059,100)))</f>
        <v/>
      </c>
      <c r="K1059" s="41" t="str">
        <f>IF($G1059="","",IF($G1059&lt;1,ROUND($G1059*1440,0),INT($G1059/100)*60+MOD($G1059,100)))</f>
        <v/>
      </c>
    </row>
    <row r="1060" ht="15" customHeight="1" s="26">
      <c r="A1060" s="34" t="n"/>
      <c r="B1060" s="32" t="n"/>
      <c r="C1060" s="33" t="n"/>
      <c r="D1060" s="37" t="str">
        <f>IF($C1060="","",IFERROR(INDEX(프로젝트목록!$B$3:$B$62,MATCH($C1060,프로젝트목록!$A$3:$A$62,0)),"미등록코드"))</f>
        <v/>
      </c>
      <c r="E1060" s="32" t="n"/>
      <c r="F1060" s="38" t="n"/>
      <c r="G1060" s="38" t="n"/>
      <c r="H1060" s="39" t="n"/>
      <c r="I1060" s="40" t="str">
        <f>IF(OR($J1060="",$K1060=""),"",ROUND(MAX(0,($K1060-$J1060)-IF($H1060="",0,$H1060))/60,2))</f>
        <v/>
      </c>
      <c r="J1060" s="41" t="str">
        <f>IF($F1060="","",IF($F1060&lt;1,ROUND($F1060*1440,0),INT($F1060/100)*60+MOD($F1060,100)))</f>
        <v/>
      </c>
      <c r="K1060" s="41" t="str">
        <f>IF($G1060="","",IF($G1060&lt;1,ROUND($G1060*1440,0),INT($G1060/100)*60+MOD($G1060,100)))</f>
        <v/>
      </c>
    </row>
    <row r="1061" ht="15" customHeight="1" s="26">
      <c r="A1061" s="34" t="n"/>
      <c r="B1061" s="32" t="n"/>
      <c r="C1061" s="33" t="n"/>
      <c r="D1061" s="37" t="str">
        <f>IF($C1061="","",IFERROR(INDEX(프로젝트목록!$B$3:$B$62,MATCH($C1061,프로젝트목록!$A$3:$A$62,0)),"미등록코드"))</f>
        <v/>
      </c>
      <c r="E1061" s="32" t="n"/>
      <c r="F1061" s="38" t="n"/>
      <c r="G1061" s="38" t="n"/>
      <c r="H1061" s="39" t="n"/>
      <c r="I1061" s="40" t="str">
        <f>IF(OR($J1061="",$K1061=""),"",ROUND(MAX(0,($K1061-$J1061)-IF($H1061="",0,$H1061))/60,2))</f>
        <v/>
      </c>
      <c r="J1061" s="41" t="str">
        <f>IF($F1061="","",IF($F1061&lt;1,ROUND($F1061*1440,0),INT($F1061/100)*60+MOD($F1061,100)))</f>
        <v/>
      </c>
      <c r="K1061" s="41" t="str">
        <f>IF($G1061="","",IF($G1061&lt;1,ROUND($G1061*1440,0),INT($G1061/100)*60+MOD($G1061,100)))</f>
        <v/>
      </c>
    </row>
    <row r="1062" ht="15" customHeight="1" s="26">
      <c r="A1062" s="34" t="n"/>
      <c r="B1062" s="32" t="n"/>
      <c r="C1062" s="33" t="n"/>
      <c r="D1062" s="37" t="str">
        <f>IF($C1062="","",IFERROR(INDEX(프로젝트목록!$B$3:$B$62,MATCH($C1062,프로젝트목록!$A$3:$A$62,0)),"미등록코드"))</f>
        <v/>
      </c>
      <c r="E1062" s="32" t="n"/>
      <c r="F1062" s="38" t="n"/>
      <c r="G1062" s="38" t="n"/>
      <c r="H1062" s="39" t="n"/>
      <c r="I1062" s="40" t="str">
        <f>IF(OR($J1062="",$K1062=""),"",ROUND(MAX(0,($K1062-$J1062)-IF($H1062="",0,$H1062))/60,2))</f>
        <v/>
      </c>
      <c r="J1062" s="41" t="str">
        <f>IF($F1062="","",IF($F1062&lt;1,ROUND($F1062*1440,0),INT($F1062/100)*60+MOD($F1062,100)))</f>
        <v/>
      </c>
      <c r="K1062" s="41" t="str">
        <f>IF($G1062="","",IF($G1062&lt;1,ROUND($G1062*1440,0),INT($G1062/100)*60+MOD($G1062,100)))</f>
        <v/>
      </c>
    </row>
    <row r="1063" ht="15" customHeight="1" s="26">
      <c r="A1063" s="34" t="n"/>
      <c r="B1063" s="32" t="n"/>
      <c r="C1063" s="33" t="n"/>
      <c r="D1063" s="37" t="str">
        <f>IF($C1063="","",IFERROR(INDEX(프로젝트목록!$B$3:$B$62,MATCH($C1063,프로젝트목록!$A$3:$A$62,0)),"미등록코드"))</f>
        <v/>
      </c>
      <c r="E1063" s="32" t="n"/>
      <c r="F1063" s="38" t="n"/>
      <c r="G1063" s="38" t="n"/>
      <c r="H1063" s="39" t="n"/>
      <c r="I1063" s="40" t="str">
        <f>IF(OR($J1063="",$K1063=""),"",ROUND(MAX(0,($K1063-$J1063)-IF($H1063="",0,$H1063))/60,2))</f>
        <v/>
      </c>
      <c r="J1063" s="41" t="str">
        <f>IF($F1063="","",IF($F1063&lt;1,ROUND($F1063*1440,0),INT($F1063/100)*60+MOD($F1063,100)))</f>
        <v/>
      </c>
      <c r="K1063" s="41" t="str">
        <f>IF($G1063="","",IF($G1063&lt;1,ROUND($G1063*1440,0),INT($G1063/100)*60+MOD($G1063,100)))</f>
        <v/>
      </c>
    </row>
    <row r="1064" ht="15" customHeight="1" s="26">
      <c r="A1064" s="34" t="n"/>
      <c r="B1064" s="32" t="n"/>
      <c r="C1064" s="33" t="n"/>
      <c r="D1064" s="37" t="str">
        <f>IF($C1064="","",IFERROR(INDEX(프로젝트목록!$B$3:$B$62,MATCH($C1064,프로젝트목록!$A$3:$A$62,0)),"미등록코드"))</f>
        <v/>
      </c>
      <c r="E1064" s="32" t="n"/>
      <c r="F1064" s="38" t="n"/>
      <c r="G1064" s="38" t="n"/>
      <c r="H1064" s="39" t="n"/>
      <c r="I1064" s="40" t="str">
        <f>IF(OR($J1064="",$K1064=""),"",ROUND(MAX(0,($K1064-$J1064)-IF($H1064="",0,$H1064))/60,2))</f>
        <v/>
      </c>
      <c r="J1064" s="41" t="str">
        <f>IF($F1064="","",IF($F1064&lt;1,ROUND($F1064*1440,0),INT($F1064/100)*60+MOD($F1064,100)))</f>
        <v/>
      </c>
      <c r="K1064" s="41" t="str">
        <f>IF($G1064="","",IF($G1064&lt;1,ROUND($G1064*1440,0),INT($G1064/100)*60+MOD($G1064,100)))</f>
        <v/>
      </c>
    </row>
    <row r="1065" ht="15" customHeight="1" s="26">
      <c r="A1065" s="34" t="n"/>
      <c r="B1065" s="32" t="n"/>
      <c r="C1065" s="33" t="n"/>
      <c r="D1065" s="37" t="str">
        <f>IF($C1065="","",IFERROR(INDEX(프로젝트목록!$B$3:$B$62,MATCH($C1065,프로젝트목록!$A$3:$A$62,0)),"미등록코드"))</f>
        <v/>
      </c>
      <c r="E1065" s="32" t="n"/>
      <c r="F1065" s="38" t="n"/>
      <c r="G1065" s="38" t="n"/>
      <c r="H1065" s="39" t="n"/>
      <c r="I1065" s="40" t="str">
        <f>IF(OR($J1065="",$K1065=""),"",ROUND(MAX(0,($K1065-$J1065)-IF($H1065="",0,$H1065))/60,2))</f>
        <v/>
      </c>
      <c r="J1065" s="41" t="str">
        <f>IF($F1065="","",IF($F1065&lt;1,ROUND($F1065*1440,0),INT($F1065/100)*60+MOD($F1065,100)))</f>
        <v/>
      </c>
      <c r="K1065" s="41" t="str">
        <f>IF($G1065="","",IF($G1065&lt;1,ROUND($G1065*1440,0),INT($G1065/100)*60+MOD($G1065,100)))</f>
        <v/>
      </c>
    </row>
    <row r="1066" ht="15" customHeight="1" s="26">
      <c r="A1066" s="34" t="n"/>
      <c r="B1066" s="32" t="n"/>
      <c r="C1066" s="33" t="n"/>
      <c r="D1066" s="37" t="str">
        <f>IF($C1066="","",IFERROR(INDEX(프로젝트목록!$B$3:$B$62,MATCH($C1066,프로젝트목록!$A$3:$A$62,0)),"미등록코드"))</f>
        <v/>
      </c>
      <c r="E1066" s="32" t="n"/>
      <c r="F1066" s="38" t="n"/>
      <c r="G1066" s="38" t="n"/>
      <c r="H1066" s="39" t="n"/>
      <c r="I1066" s="40" t="str">
        <f>IF(OR($J1066="",$K1066=""),"",ROUND(MAX(0,($K1066-$J1066)-IF($H1066="",0,$H1066))/60,2))</f>
        <v/>
      </c>
      <c r="J1066" s="41" t="str">
        <f>IF($F1066="","",IF($F1066&lt;1,ROUND($F1066*1440,0),INT($F1066/100)*60+MOD($F1066,100)))</f>
        <v/>
      </c>
      <c r="K1066" s="41" t="str">
        <f>IF($G1066="","",IF($G1066&lt;1,ROUND($G1066*1440,0),INT($G1066/100)*60+MOD($G1066,100)))</f>
        <v/>
      </c>
    </row>
    <row r="1067" ht="15" customHeight="1" s="26">
      <c r="A1067" s="34" t="n"/>
      <c r="B1067" s="32" t="n"/>
      <c r="C1067" s="33" t="n"/>
      <c r="D1067" s="37" t="str">
        <f>IF($C1067="","",IFERROR(INDEX(프로젝트목록!$B$3:$B$62,MATCH($C1067,프로젝트목록!$A$3:$A$62,0)),"미등록코드"))</f>
        <v/>
      </c>
      <c r="E1067" s="32" t="n"/>
      <c r="F1067" s="38" t="n"/>
      <c r="G1067" s="38" t="n"/>
      <c r="H1067" s="39" t="n"/>
      <c r="I1067" s="40" t="str">
        <f>IF(OR($J1067="",$K1067=""),"",ROUND(MAX(0,($K1067-$J1067)-IF($H1067="",0,$H1067))/60,2))</f>
        <v/>
      </c>
      <c r="J1067" s="41" t="str">
        <f>IF($F1067="","",IF($F1067&lt;1,ROUND($F1067*1440,0),INT($F1067/100)*60+MOD($F1067,100)))</f>
        <v/>
      </c>
      <c r="K1067" s="41" t="str">
        <f>IF($G1067="","",IF($G1067&lt;1,ROUND($G1067*1440,0),INT($G1067/100)*60+MOD($G1067,100)))</f>
        <v/>
      </c>
    </row>
    <row r="1068" ht="15" customHeight="1" s="26">
      <c r="A1068" s="34" t="n"/>
      <c r="B1068" s="32" t="n"/>
      <c r="C1068" s="33" t="n"/>
      <c r="D1068" s="37" t="str">
        <f>IF($C1068="","",IFERROR(INDEX(프로젝트목록!$B$3:$B$62,MATCH($C1068,프로젝트목록!$A$3:$A$62,0)),"미등록코드"))</f>
        <v/>
      </c>
      <c r="E1068" s="32" t="n"/>
      <c r="F1068" s="38" t="n"/>
      <c r="G1068" s="38" t="n"/>
      <c r="H1068" s="39" t="n"/>
      <c r="I1068" s="40" t="str">
        <f>IF(OR($J1068="",$K1068=""),"",ROUND(MAX(0,($K1068-$J1068)-IF($H1068="",0,$H1068))/60,2))</f>
        <v/>
      </c>
      <c r="J1068" s="41" t="str">
        <f>IF($F1068="","",IF($F1068&lt;1,ROUND($F1068*1440,0),INT($F1068/100)*60+MOD($F1068,100)))</f>
        <v/>
      </c>
      <c r="K1068" s="41" t="str">
        <f>IF($G1068="","",IF($G1068&lt;1,ROUND($G1068*1440,0),INT($G1068/100)*60+MOD($G1068,100)))</f>
        <v/>
      </c>
    </row>
    <row r="1069" ht="15" customHeight="1" s="26">
      <c r="A1069" s="34" t="n"/>
      <c r="B1069" s="32" t="n"/>
      <c r="C1069" s="33" t="n"/>
      <c r="D1069" s="37" t="str">
        <f>IF($C1069="","",IFERROR(INDEX(프로젝트목록!$B$3:$B$62,MATCH($C1069,프로젝트목록!$A$3:$A$62,0)),"미등록코드"))</f>
        <v/>
      </c>
      <c r="E1069" s="32" t="n"/>
      <c r="F1069" s="38" t="n"/>
      <c r="G1069" s="38" t="n"/>
      <c r="H1069" s="39" t="n"/>
      <c r="I1069" s="40" t="str">
        <f>IF(OR($J1069="",$K1069=""),"",ROUND(MAX(0,($K1069-$J1069)-IF($H1069="",0,$H1069))/60,2))</f>
        <v/>
      </c>
      <c r="J1069" s="41" t="str">
        <f>IF($F1069="","",IF($F1069&lt;1,ROUND($F1069*1440,0),INT($F1069/100)*60+MOD($F1069,100)))</f>
        <v/>
      </c>
      <c r="K1069" s="41" t="str">
        <f>IF($G1069="","",IF($G1069&lt;1,ROUND($G1069*1440,0),INT($G1069/100)*60+MOD($G1069,100)))</f>
        <v/>
      </c>
    </row>
    <row r="1070" ht="15" customHeight="1" s="26">
      <c r="A1070" s="34" t="n"/>
      <c r="B1070" s="32" t="n"/>
      <c r="C1070" s="33" t="n"/>
      <c r="D1070" s="37" t="str">
        <f>IF($C1070="","",IFERROR(INDEX(프로젝트목록!$B$3:$B$62,MATCH($C1070,프로젝트목록!$A$3:$A$62,0)),"미등록코드"))</f>
        <v/>
      </c>
      <c r="E1070" s="32" t="n"/>
      <c r="F1070" s="38" t="n"/>
      <c r="G1070" s="38" t="n"/>
      <c r="H1070" s="39" t="n"/>
      <c r="I1070" s="40" t="str">
        <f>IF(OR($J1070="",$K1070=""),"",ROUND(MAX(0,($K1070-$J1070)-IF($H1070="",0,$H1070))/60,2))</f>
        <v/>
      </c>
      <c r="J1070" s="41" t="str">
        <f>IF($F1070="","",IF($F1070&lt;1,ROUND($F1070*1440,0),INT($F1070/100)*60+MOD($F1070,100)))</f>
        <v/>
      </c>
      <c r="K1070" s="41" t="str">
        <f>IF($G1070="","",IF($G1070&lt;1,ROUND($G1070*1440,0),INT($G1070/100)*60+MOD($G1070,100)))</f>
        <v/>
      </c>
    </row>
    <row r="1071" ht="15" customHeight="1" s="26">
      <c r="A1071" s="34" t="n"/>
      <c r="B1071" s="32" t="n"/>
      <c r="C1071" s="33" t="n"/>
      <c r="D1071" s="37" t="str">
        <f>IF($C1071="","",IFERROR(INDEX(프로젝트목록!$B$3:$B$62,MATCH($C1071,프로젝트목록!$A$3:$A$62,0)),"미등록코드"))</f>
        <v/>
      </c>
      <c r="E1071" s="32" t="n"/>
      <c r="F1071" s="38" t="n"/>
      <c r="G1071" s="38" t="n"/>
      <c r="H1071" s="39" t="n"/>
      <c r="I1071" s="40" t="str">
        <f>IF(OR($J1071="",$K1071=""),"",ROUND(MAX(0,($K1071-$J1071)-IF($H1071="",0,$H1071))/60,2))</f>
        <v/>
      </c>
      <c r="J1071" s="41" t="str">
        <f>IF($F1071="","",IF($F1071&lt;1,ROUND($F1071*1440,0),INT($F1071/100)*60+MOD($F1071,100)))</f>
        <v/>
      </c>
      <c r="K1071" s="41" t="str">
        <f>IF($G1071="","",IF($G1071&lt;1,ROUND($G1071*1440,0),INT($G1071/100)*60+MOD($G1071,100)))</f>
        <v/>
      </c>
    </row>
    <row r="1072" ht="15" customHeight="1" s="26">
      <c r="A1072" s="34" t="n"/>
      <c r="B1072" s="32" t="n"/>
      <c r="C1072" s="33" t="n"/>
      <c r="D1072" s="37" t="str">
        <f>IF($C1072="","",IFERROR(INDEX(프로젝트목록!$B$3:$B$62,MATCH($C1072,프로젝트목록!$A$3:$A$62,0)),"미등록코드"))</f>
        <v/>
      </c>
      <c r="E1072" s="32" t="n"/>
      <c r="F1072" s="38" t="n"/>
      <c r="G1072" s="38" t="n"/>
      <c r="H1072" s="39" t="n"/>
      <c r="I1072" s="40" t="str">
        <f>IF(OR($J1072="",$K1072=""),"",ROUND(MAX(0,($K1072-$J1072)-IF($H1072="",0,$H1072))/60,2))</f>
        <v/>
      </c>
      <c r="J1072" s="41" t="str">
        <f>IF($F1072="","",IF($F1072&lt;1,ROUND($F1072*1440,0),INT($F1072/100)*60+MOD($F1072,100)))</f>
        <v/>
      </c>
      <c r="K1072" s="41" t="str">
        <f>IF($G1072="","",IF($G1072&lt;1,ROUND($G1072*1440,0),INT($G1072/100)*60+MOD($G1072,100)))</f>
        <v/>
      </c>
    </row>
    <row r="1073" ht="15" customHeight="1" s="26">
      <c r="A1073" s="34" t="n"/>
      <c r="B1073" s="32" t="n"/>
      <c r="C1073" s="33" t="n"/>
      <c r="D1073" s="37" t="str">
        <f>IF($C1073="","",IFERROR(INDEX(프로젝트목록!$B$3:$B$62,MATCH($C1073,프로젝트목록!$A$3:$A$62,0)),"미등록코드"))</f>
        <v/>
      </c>
      <c r="E1073" s="32" t="n"/>
      <c r="F1073" s="38" t="n"/>
      <c r="G1073" s="38" t="n"/>
      <c r="H1073" s="39" t="n"/>
      <c r="I1073" s="40" t="str">
        <f>IF(OR($J1073="",$K1073=""),"",ROUND(MAX(0,($K1073-$J1073)-IF($H1073="",0,$H1073))/60,2))</f>
        <v/>
      </c>
      <c r="J1073" s="41" t="str">
        <f>IF($F1073="","",IF($F1073&lt;1,ROUND($F1073*1440,0),INT($F1073/100)*60+MOD($F1073,100)))</f>
        <v/>
      </c>
      <c r="K1073" s="41" t="str">
        <f>IF($G1073="","",IF($G1073&lt;1,ROUND($G1073*1440,0),INT($G1073/100)*60+MOD($G1073,100)))</f>
        <v/>
      </c>
    </row>
    <row r="1074" ht="15" customHeight="1" s="26">
      <c r="A1074" s="34" t="n"/>
      <c r="B1074" s="32" t="n"/>
      <c r="C1074" s="33" t="n"/>
      <c r="D1074" s="37" t="str">
        <f>IF($C1074="","",IFERROR(INDEX(프로젝트목록!$B$3:$B$62,MATCH($C1074,프로젝트목록!$A$3:$A$62,0)),"미등록코드"))</f>
        <v/>
      </c>
      <c r="E1074" s="32" t="n"/>
      <c r="F1074" s="38" t="n"/>
      <c r="G1074" s="38" t="n"/>
      <c r="H1074" s="39" t="n"/>
      <c r="I1074" s="40" t="str">
        <f>IF(OR($J1074="",$K1074=""),"",ROUND(MAX(0,($K1074-$J1074)-IF($H1074="",0,$H1074))/60,2))</f>
        <v/>
      </c>
      <c r="J1074" s="41" t="str">
        <f>IF($F1074="","",IF($F1074&lt;1,ROUND($F1074*1440,0),INT($F1074/100)*60+MOD($F1074,100)))</f>
        <v/>
      </c>
      <c r="K1074" s="41" t="str">
        <f>IF($G1074="","",IF($G1074&lt;1,ROUND($G1074*1440,0),INT($G1074/100)*60+MOD($G1074,100)))</f>
        <v/>
      </c>
    </row>
    <row r="1075" ht="15" customHeight="1" s="26">
      <c r="A1075" s="34" t="n"/>
      <c r="B1075" s="32" t="n"/>
      <c r="C1075" s="33" t="n"/>
      <c r="D1075" s="37" t="str">
        <f>IF($C1075="","",IFERROR(INDEX(프로젝트목록!$B$3:$B$62,MATCH($C1075,프로젝트목록!$A$3:$A$62,0)),"미등록코드"))</f>
        <v/>
      </c>
      <c r="E1075" s="32" t="n"/>
      <c r="F1075" s="38" t="n"/>
      <c r="G1075" s="38" t="n"/>
      <c r="H1075" s="39" t="n"/>
      <c r="I1075" s="40" t="str">
        <f>IF(OR($J1075="",$K1075=""),"",ROUND(MAX(0,($K1075-$J1075)-IF($H1075="",0,$H1075))/60,2))</f>
        <v/>
      </c>
      <c r="J1075" s="41" t="str">
        <f>IF($F1075="","",IF($F1075&lt;1,ROUND($F1075*1440,0),INT($F1075/100)*60+MOD($F1075,100)))</f>
        <v/>
      </c>
      <c r="K1075" s="41" t="str">
        <f>IF($G1075="","",IF($G1075&lt;1,ROUND($G1075*1440,0),INT($G1075/100)*60+MOD($G1075,100)))</f>
        <v/>
      </c>
    </row>
    <row r="1076" ht="15" customHeight="1" s="26">
      <c r="A1076" s="34" t="n"/>
      <c r="B1076" s="32" t="n"/>
      <c r="C1076" s="33" t="n"/>
      <c r="D1076" s="37" t="str">
        <f>IF($C1076="","",IFERROR(INDEX(프로젝트목록!$B$3:$B$62,MATCH($C1076,프로젝트목록!$A$3:$A$62,0)),"미등록코드"))</f>
        <v/>
      </c>
      <c r="E1076" s="32" t="n"/>
      <c r="F1076" s="38" t="n"/>
      <c r="G1076" s="38" t="n"/>
      <c r="H1076" s="39" t="n"/>
      <c r="I1076" s="40" t="str">
        <f>IF(OR($J1076="",$K1076=""),"",ROUND(MAX(0,($K1076-$J1076)-IF($H1076="",0,$H1076))/60,2))</f>
        <v/>
      </c>
      <c r="J1076" s="41" t="str">
        <f>IF($F1076="","",IF($F1076&lt;1,ROUND($F1076*1440,0),INT($F1076/100)*60+MOD($F1076,100)))</f>
        <v/>
      </c>
      <c r="K1076" s="41" t="str">
        <f>IF($G1076="","",IF($G1076&lt;1,ROUND($G1076*1440,0),INT($G1076/100)*60+MOD($G1076,100)))</f>
        <v/>
      </c>
    </row>
    <row r="1077" ht="15" customHeight="1" s="26">
      <c r="A1077" s="34" t="n"/>
      <c r="B1077" s="32" t="n"/>
      <c r="C1077" s="33" t="n"/>
      <c r="D1077" s="37" t="str">
        <f>IF($C1077="","",IFERROR(INDEX(프로젝트목록!$B$3:$B$62,MATCH($C1077,프로젝트목록!$A$3:$A$62,0)),"미등록코드"))</f>
        <v/>
      </c>
      <c r="E1077" s="32" t="n"/>
      <c r="F1077" s="38" t="n"/>
      <c r="G1077" s="38" t="n"/>
      <c r="H1077" s="39" t="n"/>
      <c r="I1077" s="40" t="str">
        <f>IF(OR($J1077="",$K1077=""),"",ROUND(MAX(0,($K1077-$J1077)-IF($H1077="",0,$H1077))/60,2))</f>
        <v/>
      </c>
      <c r="J1077" s="41" t="str">
        <f>IF($F1077="","",IF($F1077&lt;1,ROUND($F1077*1440,0),INT($F1077/100)*60+MOD($F1077,100)))</f>
        <v/>
      </c>
      <c r="K1077" s="41" t="str">
        <f>IF($G1077="","",IF($G1077&lt;1,ROUND($G1077*1440,0),INT($G1077/100)*60+MOD($G1077,100)))</f>
        <v/>
      </c>
    </row>
    <row r="1078" ht="15" customHeight="1" s="26">
      <c r="A1078" s="34" t="n"/>
      <c r="B1078" s="32" t="n"/>
      <c r="C1078" s="33" t="n"/>
      <c r="D1078" s="37" t="str">
        <f>IF($C1078="","",IFERROR(INDEX(프로젝트목록!$B$3:$B$62,MATCH($C1078,프로젝트목록!$A$3:$A$62,0)),"미등록코드"))</f>
        <v/>
      </c>
      <c r="E1078" s="32" t="n"/>
      <c r="F1078" s="38" t="n"/>
      <c r="G1078" s="38" t="n"/>
      <c r="H1078" s="39" t="n"/>
      <c r="I1078" s="40" t="str">
        <f>IF(OR($J1078="",$K1078=""),"",ROUND(MAX(0,($K1078-$J1078)-IF($H1078="",0,$H1078))/60,2))</f>
        <v/>
      </c>
      <c r="J1078" s="41" t="str">
        <f>IF($F1078="","",IF($F1078&lt;1,ROUND($F1078*1440,0),INT($F1078/100)*60+MOD($F1078,100)))</f>
        <v/>
      </c>
      <c r="K1078" s="41" t="str">
        <f>IF($G1078="","",IF($G1078&lt;1,ROUND($G1078*1440,0),INT($G1078/100)*60+MOD($G1078,100)))</f>
        <v/>
      </c>
    </row>
    <row r="1079" ht="15" customHeight="1" s="26">
      <c r="A1079" s="34" t="n"/>
      <c r="B1079" s="32" t="n"/>
      <c r="C1079" s="33" t="n"/>
      <c r="D1079" s="37" t="str">
        <f>IF($C1079="","",IFERROR(INDEX(프로젝트목록!$B$3:$B$62,MATCH($C1079,프로젝트목록!$A$3:$A$62,0)),"미등록코드"))</f>
        <v/>
      </c>
      <c r="E1079" s="32" t="n"/>
      <c r="F1079" s="38" t="n"/>
      <c r="G1079" s="38" t="n"/>
      <c r="H1079" s="39" t="n"/>
      <c r="I1079" s="40" t="str">
        <f>IF(OR($J1079="",$K1079=""),"",ROUND(MAX(0,($K1079-$J1079)-IF($H1079="",0,$H1079))/60,2))</f>
        <v/>
      </c>
      <c r="J1079" s="41" t="str">
        <f>IF($F1079="","",IF($F1079&lt;1,ROUND($F1079*1440,0),INT($F1079/100)*60+MOD($F1079,100)))</f>
        <v/>
      </c>
      <c r="K1079" s="41" t="str">
        <f>IF($G1079="","",IF($G1079&lt;1,ROUND($G1079*1440,0),INT($G1079/100)*60+MOD($G1079,100)))</f>
        <v/>
      </c>
    </row>
    <row r="1080" ht="15" customHeight="1" s="26">
      <c r="A1080" s="34" t="n"/>
      <c r="B1080" s="32" t="n"/>
      <c r="C1080" s="33" t="n"/>
      <c r="D1080" s="37" t="str">
        <f>IF($C1080="","",IFERROR(INDEX(프로젝트목록!$B$3:$B$62,MATCH($C1080,프로젝트목록!$A$3:$A$62,0)),"미등록코드"))</f>
        <v/>
      </c>
      <c r="E1080" s="32" t="n"/>
      <c r="F1080" s="38" t="n"/>
      <c r="G1080" s="38" t="n"/>
      <c r="H1080" s="39" t="n"/>
      <c r="I1080" s="40" t="str">
        <f>IF(OR($J1080="",$K1080=""),"",ROUND(MAX(0,($K1080-$J1080)-IF($H1080="",0,$H1080))/60,2))</f>
        <v/>
      </c>
      <c r="J1080" s="41" t="str">
        <f>IF($F1080="","",IF($F1080&lt;1,ROUND($F1080*1440,0),INT($F1080/100)*60+MOD($F1080,100)))</f>
        <v/>
      </c>
      <c r="K1080" s="41" t="str">
        <f>IF($G1080="","",IF($G1080&lt;1,ROUND($G1080*1440,0),INT($G1080/100)*60+MOD($G1080,100)))</f>
        <v/>
      </c>
    </row>
    <row r="1081" ht="15" customHeight="1" s="26">
      <c r="A1081" s="34" t="n"/>
      <c r="B1081" s="32" t="n"/>
      <c r="C1081" s="33" t="n"/>
      <c r="D1081" s="37" t="str">
        <f>IF($C1081="","",IFERROR(INDEX(프로젝트목록!$B$3:$B$62,MATCH($C1081,프로젝트목록!$A$3:$A$62,0)),"미등록코드"))</f>
        <v/>
      </c>
      <c r="E1081" s="32" t="n"/>
      <c r="F1081" s="38" t="n"/>
      <c r="G1081" s="38" t="n"/>
      <c r="H1081" s="39" t="n"/>
      <c r="I1081" s="40" t="str">
        <f>IF(OR($J1081="",$K1081=""),"",ROUND(MAX(0,($K1081-$J1081)-IF($H1081="",0,$H1081))/60,2))</f>
        <v/>
      </c>
      <c r="J1081" s="41" t="str">
        <f>IF($F1081="","",IF($F1081&lt;1,ROUND($F1081*1440,0),INT($F1081/100)*60+MOD($F1081,100)))</f>
        <v/>
      </c>
      <c r="K1081" s="41" t="str">
        <f>IF($G1081="","",IF($G1081&lt;1,ROUND($G1081*1440,0),INT($G1081/100)*60+MOD($G1081,100)))</f>
        <v/>
      </c>
    </row>
    <row r="1082" ht="15" customHeight="1" s="26">
      <c r="A1082" s="34" t="n"/>
      <c r="B1082" s="32" t="n"/>
      <c r="C1082" s="33" t="n"/>
      <c r="D1082" s="37" t="str">
        <f>IF($C1082="","",IFERROR(INDEX(프로젝트목록!$B$3:$B$62,MATCH($C1082,프로젝트목록!$A$3:$A$62,0)),"미등록코드"))</f>
        <v/>
      </c>
      <c r="E1082" s="32" t="n"/>
      <c r="F1082" s="38" t="n"/>
      <c r="G1082" s="38" t="n"/>
      <c r="H1082" s="39" t="n"/>
      <c r="I1082" s="40" t="str">
        <f>IF(OR($J1082="",$K1082=""),"",ROUND(MAX(0,($K1082-$J1082)-IF($H1082="",0,$H1082))/60,2))</f>
        <v/>
      </c>
      <c r="J1082" s="41" t="str">
        <f>IF($F1082="","",IF($F1082&lt;1,ROUND($F1082*1440,0),INT($F1082/100)*60+MOD($F1082,100)))</f>
        <v/>
      </c>
      <c r="K1082" s="41" t="str">
        <f>IF($G1082="","",IF($G1082&lt;1,ROUND($G1082*1440,0),INT($G1082/100)*60+MOD($G1082,100)))</f>
        <v/>
      </c>
    </row>
    <row r="1083" ht="15" customHeight="1" s="26">
      <c r="A1083" s="34" t="n"/>
      <c r="B1083" s="32" t="n"/>
      <c r="C1083" s="33" t="n"/>
      <c r="D1083" s="37" t="str">
        <f>IF($C1083="","",IFERROR(INDEX(프로젝트목록!$B$3:$B$62,MATCH($C1083,프로젝트목록!$A$3:$A$62,0)),"미등록코드"))</f>
        <v/>
      </c>
      <c r="E1083" s="32" t="n"/>
      <c r="F1083" s="38" t="n"/>
      <c r="G1083" s="38" t="n"/>
      <c r="H1083" s="39" t="n"/>
      <c r="I1083" s="40" t="str">
        <f>IF(OR($J1083="",$K1083=""),"",ROUND(MAX(0,($K1083-$J1083)-IF($H1083="",0,$H1083))/60,2))</f>
        <v/>
      </c>
      <c r="J1083" s="41" t="str">
        <f>IF($F1083="","",IF($F1083&lt;1,ROUND($F1083*1440,0),INT($F1083/100)*60+MOD($F1083,100)))</f>
        <v/>
      </c>
      <c r="K1083" s="41" t="str">
        <f>IF($G1083="","",IF($G1083&lt;1,ROUND($G1083*1440,0),INT($G1083/100)*60+MOD($G1083,100)))</f>
        <v/>
      </c>
    </row>
    <row r="1084" ht="15" customHeight="1" s="26">
      <c r="A1084" s="34" t="n"/>
      <c r="B1084" s="32" t="n"/>
      <c r="C1084" s="33" t="n"/>
      <c r="D1084" s="37" t="str">
        <f>IF($C1084="","",IFERROR(INDEX(프로젝트목록!$B$3:$B$62,MATCH($C1084,프로젝트목록!$A$3:$A$62,0)),"미등록코드"))</f>
        <v/>
      </c>
      <c r="E1084" s="32" t="n"/>
      <c r="F1084" s="38" t="n"/>
      <c r="G1084" s="38" t="n"/>
      <c r="H1084" s="39" t="n"/>
      <c r="I1084" s="40" t="str">
        <f>IF(OR($J1084="",$K1084=""),"",ROUND(MAX(0,($K1084-$J1084)-IF($H1084="",0,$H1084))/60,2))</f>
        <v/>
      </c>
      <c r="J1084" s="41" t="str">
        <f>IF($F1084="","",IF($F1084&lt;1,ROUND($F1084*1440,0),INT($F1084/100)*60+MOD($F1084,100)))</f>
        <v/>
      </c>
      <c r="K1084" s="41" t="str">
        <f>IF($G1084="","",IF($G1084&lt;1,ROUND($G1084*1440,0),INT($G1084/100)*60+MOD($G1084,100)))</f>
        <v/>
      </c>
    </row>
    <row r="1085" ht="15" customHeight="1" s="26">
      <c r="A1085" s="34" t="n"/>
      <c r="B1085" s="32" t="n"/>
      <c r="C1085" s="33" t="n"/>
      <c r="D1085" s="37" t="str">
        <f>IF($C1085="","",IFERROR(INDEX(프로젝트목록!$B$3:$B$62,MATCH($C1085,프로젝트목록!$A$3:$A$62,0)),"미등록코드"))</f>
        <v/>
      </c>
      <c r="E1085" s="32" t="n"/>
      <c r="F1085" s="38" t="n"/>
      <c r="G1085" s="38" t="n"/>
      <c r="H1085" s="39" t="n"/>
      <c r="I1085" s="40" t="str">
        <f>IF(OR($J1085="",$K1085=""),"",ROUND(MAX(0,($K1085-$J1085)-IF($H1085="",0,$H1085))/60,2))</f>
        <v/>
      </c>
      <c r="J1085" s="41" t="str">
        <f>IF($F1085="","",IF($F1085&lt;1,ROUND($F1085*1440,0),INT($F1085/100)*60+MOD($F1085,100)))</f>
        <v/>
      </c>
      <c r="K1085" s="41" t="str">
        <f>IF($G1085="","",IF($G1085&lt;1,ROUND($G1085*1440,0),INT($G1085/100)*60+MOD($G1085,100)))</f>
        <v/>
      </c>
    </row>
    <row r="1086" ht="15" customHeight="1" s="26">
      <c r="A1086" s="34" t="n"/>
      <c r="B1086" s="32" t="n"/>
      <c r="C1086" s="33" t="n"/>
      <c r="D1086" s="37" t="str">
        <f>IF($C1086="","",IFERROR(INDEX(프로젝트목록!$B$3:$B$62,MATCH($C1086,프로젝트목록!$A$3:$A$62,0)),"미등록코드"))</f>
        <v/>
      </c>
      <c r="E1086" s="32" t="n"/>
      <c r="F1086" s="38" t="n"/>
      <c r="G1086" s="38" t="n"/>
      <c r="H1086" s="39" t="n"/>
      <c r="I1086" s="40" t="str">
        <f>IF(OR($J1086="",$K1086=""),"",ROUND(MAX(0,($K1086-$J1086)-IF($H1086="",0,$H1086))/60,2))</f>
        <v/>
      </c>
      <c r="J1086" s="41" t="str">
        <f>IF($F1086="","",IF($F1086&lt;1,ROUND($F1086*1440,0),INT($F1086/100)*60+MOD($F1086,100)))</f>
        <v/>
      </c>
      <c r="K1086" s="41" t="str">
        <f>IF($G1086="","",IF($G1086&lt;1,ROUND($G1086*1440,0),INT($G1086/100)*60+MOD($G1086,100)))</f>
        <v/>
      </c>
    </row>
    <row r="1087" ht="15" customHeight="1" s="26">
      <c r="A1087" s="34" t="n"/>
      <c r="B1087" s="32" t="n"/>
      <c r="C1087" s="33" t="n"/>
      <c r="D1087" s="37" t="str">
        <f>IF($C1087="","",IFERROR(INDEX(프로젝트목록!$B$3:$B$62,MATCH($C1087,프로젝트목록!$A$3:$A$62,0)),"미등록코드"))</f>
        <v/>
      </c>
      <c r="E1087" s="32" t="n"/>
      <c r="F1087" s="38" t="n"/>
      <c r="G1087" s="38" t="n"/>
      <c r="H1087" s="39" t="n"/>
      <c r="I1087" s="40" t="str">
        <f>IF(OR($J1087="",$K1087=""),"",ROUND(MAX(0,($K1087-$J1087)-IF($H1087="",0,$H1087))/60,2))</f>
        <v/>
      </c>
      <c r="J1087" s="41" t="str">
        <f>IF($F1087="","",IF($F1087&lt;1,ROUND($F1087*1440,0),INT($F1087/100)*60+MOD($F1087,100)))</f>
        <v/>
      </c>
      <c r="K1087" s="41" t="str">
        <f>IF($G1087="","",IF($G1087&lt;1,ROUND($G1087*1440,0),INT($G1087/100)*60+MOD($G1087,100)))</f>
        <v/>
      </c>
    </row>
    <row r="1088" ht="15" customHeight="1" s="26">
      <c r="A1088" s="34" t="n"/>
      <c r="B1088" s="32" t="n"/>
      <c r="C1088" s="33" t="n"/>
      <c r="D1088" s="37" t="str">
        <f>IF($C1088="","",IFERROR(INDEX(프로젝트목록!$B$3:$B$62,MATCH($C1088,프로젝트목록!$A$3:$A$62,0)),"미등록코드"))</f>
        <v/>
      </c>
      <c r="E1088" s="32" t="n"/>
      <c r="F1088" s="38" t="n"/>
      <c r="G1088" s="38" t="n"/>
      <c r="H1088" s="39" t="n"/>
      <c r="I1088" s="40" t="str">
        <f>IF(OR($J1088="",$K1088=""),"",ROUND(MAX(0,($K1088-$J1088)-IF($H1088="",0,$H1088))/60,2))</f>
        <v/>
      </c>
      <c r="J1088" s="41" t="str">
        <f>IF($F1088="","",IF($F1088&lt;1,ROUND($F1088*1440,0),INT($F1088/100)*60+MOD($F1088,100)))</f>
        <v/>
      </c>
      <c r="K1088" s="41" t="str">
        <f>IF($G1088="","",IF($G1088&lt;1,ROUND($G1088*1440,0),INT($G1088/100)*60+MOD($G1088,100)))</f>
        <v/>
      </c>
    </row>
    <row r="1089" ht="15" customHeight="1" s="26">
      <c r="A1089" s="34" t="n"/>
      <c r="B1089" s="32" t="n"/>
      <c r="C1089" s="33" t="n"/>
      <c r="D1089" s="37" t="str">
        <f>IF($C1089="","",IFERROR(INDEX(프로젝트목록!$B$3:$B$62,MATCH($C1089,프로젝트목록!$A$3:$A$62,0)),"미등록코드"))</f>
        <v/>
      </c>
      <c r="E1089" s="32" t="n"/>
      <c r="F1089" s="38" t="n"/>
      <c r="G1089" s="38" t="n"/>
      <c r="H1089" s="39" t="n"/>
      <c r="I1089" s="40" t="str">
        <f>IF(OR($J1089="",$K1089=""),"",ROUND(MAX(0,($K1089-$J1089)-IF($H1089="",0,$H1089))/60,2))</f>
        <v/>
      </c>
      <c r="J1089" s="41" t="str">
        <f>IF($F1089="","",IF($F1089&lt;1,ROUND($F1089*1440,0),INT($F1089/100)*60+MOD($F1089,100)))</f>
        <v/>
      </c>
      <c r="K1089" s="41" t="str">
        <f>IF($G1089="","",IF($G1089&lt;1,ROUND($G1089*1440,0),INT($G1089/100)*60+MOD($G1089,100)))</f>
        <v/>
      </c>
    </row>
    <row r="1090" ht="15" customHeight="1" s="26">
      <c r="A1090" s="34" t="n"/>
      <c r="B1090" s="32" t="n"/>
      <c r="C1090" s="33" t="n"/>
      <c r="D1090" s="37" t="str">
        <f>IF($C1090="","",IFERROR(INDEX(프로젝트목록!$B$3:$B$62,MATCH($C1090,프로젝트목록!$A$3:$A$62,0)),"미등록코드"))</f>
        <v/>
      </c>
      <c r="E1090" s="32" t="n"/>
      <c r="F1090" s="38" t="n"/>
      <c r="G1090" s="38" t="n"/>
      <c r="H1090" s="39" t="n"/>
      <c r="I1090" s="40" t="str">
        <f>IF(OR($J1090="",$K1090=""),"",ROUND(MAX(0,($K1090-$J1090)-IF($H1090="",0,$H1090))/60,2))</f>
        <v/>
      </c>
      <c r="J1090" s="41" t="str">
        <f>IF($F1090="","",IF($F1090&lt;1,ROUND($F1090*1440,0),INT($F1090/100)*60+MOD($F1090,100)))</f>
        <v/>
      </c>
      <c r="K1090" s="41" t="str">
        <f>IF($G1090="","",IF($G1090&lt;1,ROUND($G1090*1440,0),INT($G1090/100)*60+MOD($G1090,100)))</f>
        <v/>
      </c>
    </row>
    <row r="1091" ht="15" customHeight="1" s="26">
      <c r="A1091" s="34" t="n"/>
      <c r="B1091" s="32" t="n"/>
      <c r="C1091" s="33" t="n"/>
      <c r="D1091" s="37" t="str">
        <f>IF($C1091="","",IFERROR(INDEX(프로젝트목록!$B$3:$B$62,MATCH($C1091,프로젝트목록!$A$3:$A$62,0)),"미등록코드"))</f>
        <v/>
      </c>
      <c r="E1091" s="32" t="n"/>
      <c r="F1091" s="38" t="n"/>
      <c r="G1091" s="38" t="n"/>
      <c r="H1091" s="39" t="n"/>
      <c r="I1091" s="40" t="str">
        <f>IF(OR($J1091="",$K1091=""),"",ROUND(MAX(0,($K1091-$J1091)-IF($H1091="",0,$H1091))/60,2))</f>
        <v/>
      </c>
      <c r="J1091" s="41" t="str">
        <f>IF($F1091="","",IF($F1091&lt;1,ROUND($F1091*1440,0),INT($F1091/100)*60+MOD($F1091,100)))</f>
        <v/>
      </c>
      <c r="K1091" s="41" t="str">
        <f>IF($G1091="","",IF($G1091&lt;1,ROUND($G1091*1440,0),INT($G1091/100)*60+MOD($G1091,100)))</f>
        <v/>
      </c>
    </row>
    <row r="1092" ht="15" customHeight="1" s="26">
      <c r="A1092" s="34" t="n"/>
      <c r="B1092" s="32" t="n"/>
      <c r="C1092" s="33" t="n"/>
      <c r="D1092" s="37" t="str">
        <f>IF($C1092="","",IFERROR(INDEX(프로젝트목록!$B$3:$B$62,MATCH($C1092,프로젝트목록!$A$3:$A$62,0)),"미등록코드"))</f>
        <v/>
      </c>
      <c r="E1092" s="32" t="n"/>
      <c r="F1092" s="38" t="n"/>
      <c r="G1092" s="38" t="n"/>
      <c r="H1092" s="39" t="n"/>
      <c r="I1092" s="40" t="str">
        <f>IF(OR($J1092="",$K1092=""),"",ROUND(MAX(0,($K1092-$J1092)-IF($H1092="",0,$H1092))/60,2))</f>
        <v/>
      </c>
      <c r="J1092" s="41" t="str">
        <f>IF($F1092="","",IF($F1092&lt;1,ROUND($F1092*1440,0),INT($F1092/100)*60+MOD($F1092,100)))</f>
        <v/>
      </c>
      <c r="K1092" s="41" t="str">
        <f>IF($G1092="","",IF($G1092&lt;1,ROUND($G1092*1440,0),INT($G1092/100)*60+MOD($G1092,100)))</f>
        <v/>
      </c>
    </row>
    <row r="1093" ht="15" customHeight="1" s="26">
      <c r="A1093" s="34" t="n"/>
      <c r="B1093" s="32" t="n"/>
      <c r="C1093" s="33" t="n"/>
      <c r="D1093" s="37" t="str">
        <f>IF($C1093="","",IFERROR(INDEX(프로젝트목록!$B$3:$B$62,MATCH($C1093,프로젝트목록!$A$3:$A$62,0)),"미등록코드"))</f>
        <v/>
      </c>
      <c r="E1093" s="32" t="n"/>
      <c r="F1093" s="38" t="n"/>
      <c r="G1093" s="38" t="n"/>
      <c r="H1093" s="39" t="n"/>
      <c r="I1093" s="40" t="str">
        <f>IF(OR($J1093="",$K1093=""),"",ROUND(MAX(0,($K1093-$J1093)-IF($H1093="",0,$H1093))/60,2))</f>
        <v/>
      </c>
      <c r="J1093" s="41" t="str">
        <f>IF($F1093="","",IF($F1093&lt;1,ROUND($F1093*1440,0),INT($F1093/100)*60+MOD($F1093,100)))</f>
        <v/>
      </c>
      <c r="K1093" s="41" t="str">
        <f>IF($G1093="","",IF($G1093&lt;1,ROUND($G1093*1440,0),INT($G1093/100)*60+MOD($G1093,100)))</f>
        <v/>
      </c>
    </row>
    <row r="1094" ht="15" customHeight="1" s="26">
      <c r="A1094" s="34" t="n"/>
      <c r="B1094" s="32" t="n"/>
      <c r="C1094" s="33" t="n"/>
      <c r="D1094" s="37" t="str">
        <f>IF($C1094="","",IFERROR(INDEX(프로젝트목록!$B$3:$B$62,MATCH($C1094,프로젝트목록!$A$3:$A$62,0)),"미등록코드"))</f>
        <v/>
      </c>
      <c r="E1094" s="32" t="n"/>
      <c r="F1094" s="38" t="n"/>
      <c r="G1094" s="38" t="n"/>
      <c r="H1094" s="39" t="n"/>
      <c r="I1094" s="40" t="str">
        <f>IF(OR($J1094="",$K1094=""),"",ROUND(MAX(0,($K1094-$J1094)-IF($H1094="",0,$H1094))/60,2))</f>
        <v/>
      </c>
      <c r="J1094" s="41" t="str">
        <f>IF($F1094="","",IF($F1094&lt;1,ROUND($F1094*1440,0),INT($F1094/100)*60+MOD($F1094,100)))</f>
        <v/>
      </c>
      <c r="K1094" s="41" t="str">
        <f>IF($G1094="","",IF($G1094&lt;1,ROUND($G1094*1440,0),INT($G1094/100)*60+MOD($G1094,100)))</f>
        <v/>
      </c>
    </row>
    <row r="1095" ht="15" customHeight="1" s="26">
      <c r="A1095" s="34" t="n"/>
      <c r="B1095" s="32" t="n"/>
      <c r="C1095" s="33" t="n"/>
      <c r="D1095" s="37" t="str">
        <f>IF($C1095="","",IFERROR(INDEX(프로젝트목록!$B$3:$B$62,MATCH($C1095,프로젝트목록!$A$3:$A$62,0)),"미등록코드"))</f>
        <v/>
      </c>
      <c r="E1095" s="32" t="n"/>
      <c r="F1095" s="38" t="n"/>
      <c r="G1095" s="38" t="n"/>
      <c r="H1095" s="39" t="n"/>
      <c r="I1095" s="40" t="str">
        <f>IF(OR($J1095="",$K1095=""),"",ROUND(MAX(0,($K1095-$J1095)-IF($H1095="",0,$H1095))/60,2))</f>
        <v/>
      </c>
      <c r="J1095" s="41" t="str">
        <f>IF($F1095="","",IF($F1095&lt;1,ROUND($F1095*1440,0),INT($F1095/100)*60+MOD($F1095,100)))</f>
        <v/>
      </c>
      <c r="K1095" s="41" t="str">
        <f>IF($G1095="","",IF($G1095&lt;1,ROUND($G1095*1440,0),INT($G1095/100)*60+MOD($G1095,100)))</f>
        <v/>
      </c>
    </row>
    <row r="1096" ht="15" customHeight="1" s="26">
      <c r="A1096" s="34" t="n"/>
      <c r="B1096" s="32" t="n"/>
      <c r="C1096" s="33" t="n"/>
      <c r="D1096" s="37" t="str">
        <f>IF($C1096="","",IFERROR(INDEX(프로젝트목록!$B$3:$B$62,MATCH($C1096,프로젝트목록!$A$3:$A$62,0)),"미등록코드"))</f>
        <v/>
      </c>
      <c r="E1096" s="32" t="n"/>
      <c r="F1096" s="38" t="n"/>
      <c r="G1096" s="38" t="n"/>
      <c r="H1096" s="39" t="n"/>
      <c r="I1096" s="40" t="str">
        <f>IF(OR($J1096="",$K1096=""),"",ROUND(MAX(0,($K1096-$J1096)-IF($H1096="",0,$H1096))/60,2))</f>
        <v/>
      </c>
      <c r="J1096" s="41" t="str">
        <f>IF($F1096="","",IF($F1096&lt;1,ROUND($F1096*1440,0),INT($F1096/100)*60+MOD($F1096,100)))</f>
        <v/>
      </c>
      <c r="K1096" s="41" t="str">
        <f>IF($G1096="","",IF($G1096&lt;1,ROUND($G1096*1440,0),INT($G1096/100)*60+MOD($G1096,100)))</f>
        <v/>
      </c>
    </row>
    <row r="1097" ht="15" customHeight="1" s="26">
      <c r="A1097" s="34" t="n"/>
      <c r="B1097" s="32" t="n"/>
      <c r="C1097" s="33" t="n"/>
      <c r="D1097" s="37" t="str">
        <f>IF($C1097="","",IFERROR(INDEX(프로젝트목록!$B$3:$B$62,MATCH($C1097,프로젝트목록!$A$3:$A$62,0)),"미등록코드"))</f>
        <v/>
      </c>
      <c r="E1097" s="32" t="n"/>
      <c r="F1097" s="38" t="n"/>
      <c r="G1097" s="38" t="n"/>
      <c r="H1097" s="39" t="n"/>
      <c r="I1097" s="40" t="str">
        <f>IF(OR($J1097="",$K1097=""),"",ROUND(MAX(0,($K1097-$J1097)-IF($H1097="",0,$H1097))/60,2))</f>
        <v/>
      </c>
      <c r="J1097" s="41" t="str">
        <f>IF($F1097="","",IF($F1097&lt;1,ROUND($F1097*1440,0),INT($F1097/100)*60+MOD($F1097,100)))</f>
        <v/>
      </c>
      <c r="K1097" s="41" t="str">
        <f>IF($G1097="","",IF($G1097&lt;1,ROUND($G1097*1440,0),INT($G1097/100)*60+MOD($G1097,100)))</f>
        <v/>
      </c>
    </row>
    <row r="1098" ht="15" customHeight="1" s="26">
      <c r="A1098" s="34" t="n"/>
      <c r="B1098" s="32" t="n"/>
      <c r="C1098" s="33" t="n"/>
      <c r="D1098" s="37" t="str">
        <f>IF($C1098="","",IFERROR(INDEX(프로젝트목록!$B$3:$B$62,MATCH($C1098,프로젝트목록!$A$3:$A$62,0)),"미등록코드"))</f>
        <v/>
      </c>
      <c r="E1098" s="32" t="n"/>
      <c r="F1098" s="38" t="n"/>
      <c r="G1098" s="38" t="n"/>
      <c r="H1098" s="39" t="n"/>
      <c r="I1098" s="40" t="str">
        <f>IF(OR($J1098="",$K1098=""),"",ROUND(MAX(0,($K1098-$J1098)-IF($H1098="",0,$H1098))/60,2))</f>
        <v/>
      </c>
      <c r="J1098" s="41" t="str">
        <f>IF($F1098="","",IF($F1098&lt;1,ROUND($F1098*1440,0),INT($F1098/100)*60+MOD($F1098,100)))</f>
        <v/>
      </c>
      <c r="K1098" s="41" t="str">
        <f>IF($G1098="","",IF($G1098&lt;1,ROUND($G1098*1440,0),INT($G1098/100)*60+MOD($G1098,100)))</f>
        <v/>
      </c>
    </row>
    <row r="1099" ht="15" customHeight="1" s="26">
      <c r="A1099" s="34" t="n"/>
      <c r="B1099" s="32" t="n"/>
      <c r="C1099" s="33" t="n"/>
      <c r="D1099" s="37" t="str">
        <f>IF($C1099="","",IFERROR(INDEX(프로젝트목록!$B$3:$B$62,MATCH($C1099,프로젝트목록!$A$3:$A$62,0)),"미등록코드"))</f>
        <v/>
      </c>
      <c r="E1099" s="32" t="n"/>
      <c r="F1099" s="38" t="n"/>
      <c r="G1099" s="38" t="n"/>
      <c r="H1099" s="39" t="n"/>
      <c r="I1099" s="40" t="str">
        <f>IF(OR($J1099="",$K1099=""),"",ROUND(MAX(0,($K1099-$J1099)-IF($H1099="",0,$H1099))/60,2))</f>
        <v/>
      </c>
      <c r="J1099" s="41" t="str">
        <f>IF($F1099="","",IF($F1099&lt;1,ROUND($F1099*1440,0),INT($F1099/100)*60+MOD($F1099,100)))</f>
        <v/>
      </c>
      <c r="K1099" s="41" t="str">
        <f>IF($G1099="","",IF($G1099&lt;1,ROUND($G1099*1440,0),INT($G1099/100)*60+MOD($G1099,100)))</f>
        <v/>
      </c>
    </row>
    <row r="1100" ht="15" customHeight="1" s="26">
      <c r="A1100" s="34" t="n"/>
      <c r="B1100" s="32" t="n"/>
      <c r="C1100" s="33" t="n"/>
      <c r="D1100" s="37" t="str">
        <f>IF($C1100="","",IFERROR(INDEX(프로젝트목록!$B$3:$B$62,MATCH($C1100,프로젝트목록!$A$3:$A$62,0)),"미등록코드"))</f>
        <v/>
      </c>
      <c r="E1100" s="32" t="n"/>
      <c r="F1100" s="38" t="n"/>
      <c r="G1100" s="38" t="n"/>
      <c r="H1100" s="39" t="n"/>
      <c r="I1100" s="40" t="str">
        <f>IF(OR($J1100="",$K1100=""),"",ROUND(MAX(0,($K1100-$J1100)-IF($H1100="",0,$H1100))/60,2))</f>
        <v/>
      </c>
      <c r="J1100" s="41" t="str">
        <f>IF($F1100="","",IF($F1100&lt;1,ROUND($F1100*1440,0),INT($F1100/100)*60+MOD($F1100,100)))</f>
        <v/>
      </c>
      <c r="K1100" s="41" t="str">
        <f>IF($G1100="","",IF($G1100&lt;1,ROUND($G1100*1440,0),INT($G1100/100)*60+MOD($G1100,100)))</f>
        <v/>
      </c>
    </row>
    <row r="1101" ht="15" customHeight="1" s="26">
      <c r="A1101" s="34" t="n"/>
      <c r="B1101" s="32" t="n"/>
      <c r="C1101" s="33" t="n"/>
      <c r="D1101" s="37" t="str">
        <f>IF($C1101="","",IFERROR(INDEX(프로젝트목록!$B$3:$B$62,MATCH($C1101,프로젝트목록!$A$3:$A$62,0)),"미등록코드"))</f>
        <v/>
      </c>
      <c r="E1101" s="32" t="n"/>
      <c r="F1101" s="38" t="n"/>
      <c r="G1101" s="38" t="n"/>
      <c r="H1101" s="39" t="n"/>
      <c r="I1101" s="40" t="str">
        <f>IF(OR($J1101="",$K1101=""),"",ROUND(MAX(0,($K1101-$J1101)-IF($H1101="",0,$H1101))/60,2))</f>
        <v/>
      </c>
      <c r="J1101" s="41" t="str">
        <f>IF($F1101="","",IF($F1101&lt;1,ROUND($F1101*1440,0),INT($F1101/100)*60+MOD($F1101,100)))</f>
        <v/>
      </c>
      <c r="K1101" s="41" t="str">
        <f>IF($G1101="","",IF($G1101&lt;1,ROUND($G1101*1440,0),INT($G1101/100)*60+MOD($G1101,100)))</f>
        <v/>
      </c>
    </row>
    <row r="1102" ht="15" customHeight="1" s="26">
      <c r="A1102" s="34" t="n"/>
      <c r="B1102" s="32" t="n"/>
      <c r="C1102" s="33" t="n"/>
      <c r="D1102" s="37" t="str">
        <f>IF($C1102="","",IFERROR(INDEX(프로젝트목록!$B$3:$B$62,MATCH($C1102,프로젝트목록!$A$3:$A$62,0)),"미등록코드"))</f>
        <v/>
      </c>
      <c r="E1102" s="32" t="n"/>
      <c r="F1102" s="38" t="n"/>
      <c r="G1102" s="38" t="n"/>
      <c r="H1102" s="39" t="n"/>
      <c r="I1102" s="40" t="str">
        <f>IF(OR($J1102="",$K1102=""),"",ROUND(MAX(0,($K1102-$J1102)-IF($H1102="",0,$H1102))/60,2))</f>
        <v/>
      </c>
      <c r="J1102" s="41" t="str">
        <f>IF($F1102="","",IF($F1102&lt;1,ROUND($F1102*1440,0),INT($F1102/100)*60+MOD($F1102,100)))</f>
        <v/>
      </c>
      <c r="K1102" s="41" t="str">
        <f>IF($G1102="","",IF($G1102&lt;1,ROUND($G1102*1440,0),INT($G1102/100)*60+MOD($G1102,100)))</f>
        <v/>
      </c>
    </row>
    <row r="1103" ht="15" customHeight="1" s="26">
      <c r="A1103" s="34" t="n"/>
      <c r="B1103" s="32" t="n"/>
      <c r="C1103" s="33" t="n"/>
      <c r="D1103" s="37" t="str">
        <f>IF($C1103="","",IFERROR(INDEX(프로젝트목록!$B$3:$B$62,MATCH($C1103,프로젝트목록!$A$3:$A$62,0)),"미등록코드"))</f>
        <v/>
      </c>
      <c r="E1103" s="32" t="n"/>
      <c r="F1103" s="38" t="n"/>
      <c r="G1103" s="38" t="n"/>
      <c r="H1103" s="39" t="n"/>
      <c r="I1103" s="40" t="str">
        <f>IF(OR($J1103="",$K1103=""),"",ROUND(MAX(0,($K1103-$J1103)-IF($H1103="",0,$H1103))/60,2))</f>
        <v/>
      </c>
      <c r="J1103" s="41" t="str">
        <f>IF($F1103="","",IF($F1103&lt;1,ROUND($F1103*1440,0),INT($F1103/100)*60+MOD($F1103,100)))</f>
        <v/>
      </c>
      <c r="K1103" s="41" t="str">
        <f>IF($G1103="","",IF($G1103&lt;1,ROUND($G1103*1440,0),INT($G1103/100)*60+MOD($G1103,100)))</f>
        <v/>
      </c>
    </row>
    <row r="1104" ht="15" customHeight="1" s="26">
      <c r="A1104" s="34" t="n"/>
      <c r="B1104" s="32" t="n"/>
      <c r="C1104" s="33" t="n"/>
      <c r="D1104" s="37" t="str">
        <f>IF($C1104="","",IFERROR(INDEX(프로젝트목록!$B$3:$B$62,MATCH($C1104,프로젝트목록!$A$3:$A$62,0)),"미등록코드"))</f>
        <v/>
      </c>
      <c r="E1104" s="32" t="n"/>
      <c r="F1104" s="38" t="n"/>
      <c r="G1104" s="38" t="n"/>
      <c r="H1104" s="39" t="n"/>
      <c r="I1104" s="40" t="str">
        <f>IF(OR($J1104="",$K1104=""),"",ROUND(MAX(0,($K1104-$J1104)-IF($H1104="",0,$H1104))/60,2))</f>
        <v/>
      </c>
      <c r="J1104" s="41" t="str">
        <f>IF($F1104="","",IF($F1104&lt;1,ROUND($F1104*1440,0),INT($F1104/100)*60+MOD($F1104,100)))</f>
        <v/>
      </c>
      <c r="K1104" s="41" t="str">
        <f>IF($G1104="","",IF($G1104&lt;1,ROUND($G1104*1440,0),INT($G1104/100)*60+MOD($G1104,100)))</f>
        <v/>
      </c>
    </row>
    <row r="1105" ht="15" customHeight="1" s="26">
      <c r="A1105" s="34" t="n"/>
      <c r="B1105" s="32" t="n"/>
      <c r="C1105" s="33" t="n"/>
      <c r="D1105" s="37" t="str">
        <f>IF($C1105="","",IFERROR(INDEX(프로젝트목록!$B$3:$B$62,MATCH($C1105,프로젝트목록!$A$3:$A$62,0)),"미등록코드"))</f>
        <v/>
      </c>
      <c r="E1105" s="32" t="n"/>
      <c r="F1105" s="38" t="n"/>
      <c r="G1105" s="38" t="n"/>
      <c r="H1105" s="39" t="n"/>
      <c r="I1105" s="40" t="str">
        <f>IF(OR($J1105="",$K1105=""),"",ROUND(MAX(0,($K1105-$J1105)-IF($H1105="",0,$H1105))/60,2))</f>
        <v/>
      </c>
      <c r="J1105" s="41" t="str">
        <f>IF($F1105="","",IF($F1105&lt;1,ROUND($F1105*1440,0),INT($F1105/100)*60+MOD($F1105,100)))</f>
        <v/>
      </c>
      <c r="K1105" s="41" t="str">
        <f>IF($G1105="","",IF($G1105&lt;1,ROUND($G1105*1440,0),INT($G1105/100)*60+MOD($G1105,100)))</f>
        <v/>
      </c>
    </row>
    <row r="1106" ht="15" customHeight="1" s="26">
      <c r="A1106" s="34" t="n"/>
      <c r="B1106" s="32" t="n"/>
      <c r="C1106" s="33" t="n"/>
      <c r="D1106" s="37" t="str">
        <f>IF($C1106="","",IFERROR(INDEX(프로젝트목록!$B$3:$B$62,MATCH($C1106,프로젝트목록!$A$3:$A$62,0)),"미등록코드"))</f>
        <v/>
      </c>
      <c r="E1106" s="32" t="n"/>
      <c r="F1106" s="38" t="n"/>
      <c r="G1106" s="38" t="n"/>
      <c r="H1106" s="39" t="n"/>
      <c r="I1106" s="40" t="str">
        <f>IF(OR($J1106="",$K1106=""),"",ROUND(MAX(0,($K1106-$J1106)-IF($H1106="",0,$H1106))/60,2))</f>
        <v/>
      </c>
      <c r="J1106" s="41" t="str">
        <f>IF($F1106="","",IF($F1106&lt;1,ROUND($F1106*1440,0),INT($F1106/100)*60+MOD($F1106,100)))</f>
        <v/>
      </c>
      <c r="K1106" s="41" t="str">
        <f>IF($G1106="","",IF($G1106&lt;1,ROUND($G1106*1440,0),INT($G1106/100)*60+MOD($G1106,100)))</f>
        <v/>
      </c>
    </row>
    <row r="1107" ht="15" customHeight="1" s="26">
      <c r="A1107" s="34" t="n"/>
      <c r="B1107" s="32" t="n"/>
      <c r="C1107" s="33" t="n"/>
      <c r="D1107" s="37" t="str">
        <f>IF($C1107="","",IFERROR(INDEX(프로젝트목록!$B$3:$B$62,MATCH($C1107,프로젝트목록!$A$3:$A$62,0)),"미등록코드"))</f>
        <v/>
      </c>
      <c r="E1107" s="32" t="n"/>
      <c r="F1107" s="38" t="n"/>
      <c r="G1107" s="38" t="n"/>
      <c r="H1107" s="39" t="n"/>
      <c r="I1107" s="40" t="str">
        <f>IF(OR($J1107="",$K1107=""),"",ROUND(MAX(0,($K1107-$J1107)-IF($H1107="",0,$H1107))/60,2))</f>
        <v/>
      </c>
      <c r="J1107" s="41" t="str">
        <f>IF($F1107="","",IF($F1107&lt;1,ROUND($F1107*1440,0),INT($F1107/100)*60+MOD($F1107,100)))</f>
        <v/>
      </c>
      <c r="K1107" s="41" t="str">
        <f>IF($G1107="","",IF($G1107&lt;1,ROUND($G1107*1440,0),INT($G1107/100)*60+MOD($G1107,100)))</f>
        <v/>
      </c>
    </row>
    <row r="1108" ht="15" customHeight="1" s="26">
      <c r="A1108" s="34" t="n"/>
      <c r="B1108" s="32" t="n"/>
      <c r="C1108" s="33" t="n"/>
      <c r="D1108" s="37" t="str">
        <f>IF($C1108="","",IFERROR(INDEX(프로젝트목록!$B$3:$B$62,MATCH($C1108,프로젝트목록!$A$3:$A$62,0)),"미등록코드"))</f>
        <v/>
      </c>
      <c r="E1108" s="32" t="n"/>
      <c r="F1108" s="38" t="n"/>
      <c r="G1108" s="38" t="n"/>
      <c r="H1108" s="39" t="n"/>
      <c r="I1108" s="40" t="str">
        <f>IF(OR($J1108="",$K1108=""),"",ROUND(MAX(0,($K1108-$J1108)-IF($H1108="",0,$H1108))/60,2))</f>
        <v/>
      </c>
      <c r="J1108" s="41" t="str">
        <f>IF($F1108="","",IF($F1108&lt;1,ROUND($F1108*1440,0),INT($F1108/100)*60+MOD($F1108,100)))</f>
        <v/>
      </c>
      <c r="K1108" s="41" t="str">
        <f>IF($G1108="","",IF($G1108&lt;1,ROUND($G1108*1440,0),INT($G1108/100)*60+MOD($G1108,100)))</f>
        <v/>
      </c>
    </row>
    <row r="1109" ht="15" customHeight="1" s="26">
      <c r="A1109" s="34" t="n"/>
      <c r="B1109" s="32" t="n"/>
      <c r="C1109" s="33" t="n"/>
      <c r="D1109" s="37" t="str">
        <f>IF($C1109="","",IFERROR(INDEX(프로젝트목록!$B$3:$B$62,MATCH($C1109,프로젝트목록!$A$3:$A$62,0)),"미등록코드"))</f>
        <v/>
      </c>
      <c r="E1109" s="32" t="n"/>
      <c r="F1109" s="38" t="n"/>
      <c r="G1109" s="38" t="n"/>
      <c r="H1109" s="39" t="n"/>
      <c r="I1109" s="40" t="str">
        <f>IF(OR($J1109="",$K1109=""),"",ROUND(MAX(0,($K1109-$J1109)-IF($H1109="",0,$H1109))/60,2))</f>
        <v/>
      </c>
      <c r="J1109" s="41" t="str">
        <f>IF($F1109="","",IF($F1109&lt;1,ROUND($F1109*1440,0),INT($F1109/100)*60+MOD($F1109,100)))</f>
        <v/>
      </c>
      <c r="K1109" s="41" t="str">
        <f>IF($G1109="","",IF($G1109&lt;1,ROUND($G1109*1440,0),INT($G1109/100)*60+MOD($G1109,100)))</f>
        <v/>
      </c>
    </row>
    <row r="1110" ht="15" customHeight="1" s="26">
      <c r="A1110" s="34" t="n"/>
      <c r="B1110" s="32" t="n"/>
      <c r="C1110" s="33" t="n"/>
      <c r="D1110" s="37" t="str">
        <f>IF($C1110="","",IFERROR(INDEX(프로젝트목록!$B$3:$B$62,MATCH($C1110,프로젝트목록!$A$3:$A$62,0)),"미등록코드"))</f>
        <v/>
      </c>
      <c r="E1110" s="32" t="n"/>
      <c r="F1110" s="38" t="n"/>
      <c r="G1110" s="38" t="n"/>
      <c r="H1110" s="39" t="n"/>
      <c r="I1110" s="40" t="str">
        <f>IF(OR($J1110="",$K1110=""),"",ROUND(MAX(0,($K1110-$J1110)-IF($H1110="",0,$H1110))/60,2))</f>
        <v/>
      </c>
      <c r="J1110" s="41" t="str">
        <f>IF($F1110="","",IF($F1110&lt;1,ROUND($F1110*1440,0),INT($F1110/100)*60+MOD($F1110,100)))</f>
        <v/>
      </c>
      <c r="K1110" s="41" t="str">
        <f>IF($G1110="","",IF($G1110&lt;1,ROUND($G1110*1440,0),INT($G1110/100)*60+MOD($G1110,100)))</f>
        <v/>
      </c>
    </row>
    <row r="1111" ht="15" customHeight="1" s="26">
      <c r="A1111" s="34" t="n"/>
      <c r="B1111" s="32" t="n"/>
      <c r="C1111" s="33" t="n"/>
      <c r="D1111" s="37" t="str">
        <f>IF($C1111="","",IFERROR(INDEX(프로젝트목록!$B$3:$B$62,MATCH($C1111,프로젝트목록!$A$3:$A$62,0)),"미등록코드"))</f>
        <v/>
      </c>
      <c r="E1111" s="32" t="n"/>
      <c r="F1111" s="38" t="n"/>
      <c r="G1111" s="38" t="n"/>
      <c r="H1111" s="39" t="n"/>
      <c r="I1111" s="40" t="str">
        <f>IF(OR($J1111="",$K1111=""),"",ROUND(MAX(0,($K1111-$J1111)-IF($H1111="",0,$H1111))/60,2))</f>
        <v/>
      </c>
      <c r="J1111" s="41" t="str">
        <f>IF($F1111="","",IF($F1111&lt;1,ROUND($F1111*1440,0),INT($F1111/100)*60+MOD($F1111,100)))</f>
        <v/>
      </c>
      <c r="K1111" s="41" t="str">
        <f>IF($G1111="","",IF($G1111&lt;1,ROUND($G1111*1440,0),INT($G1111/100)*60+MOD($G1111,100)))</f>
        <v/>
      </c>
    </row>
    <row r="1112" ht="15" customHeight="1" s="26">
      <c r="A1112" s="34" t="n"/>
      <c r="B1112" s="32" t="n"/>
      <c r="C1112" s="33" t="n"/>
      <c r="D1112" s="37" t="str">
        <f>IF($C1112="","",IFERROR(INDEX(프로젝트목록!$B$3:$B$62,MATCH($C1112,프로젝트목록!$A$3:$A$62,0)),"미등록코드"))</f>
        <v/>
      </c>
      <c r="E1112" s="32" t="n"/>
      <c r="F1112" s="38" t="n"/>
      <c r="G1112" s="38" t="n"/>
      <c r="H1112" s="39" t="n"/>
      <c r="I1112" s="40" t="str">
        <f>IF(OR($J1112="",$K1112=""),"",ROUND(MAX(0,($K1112-$J1112)-IF($H1112="",0,$H1112))/60,2))</f>
        <v/>
      </c>
      <c r="J1112" s="41" t="str">
        <f>IF($F1112="","",IF($F1112&lt;1,ROUND($F1112*1440,0),INT($F1112/100)*60+MOD($F1112,100)))</f>
        <v/>
      </c>
      <c r="K1112" s="41" t="str">
        <f>IF($G1112="","",IF($G1112&lt;1,ROUND($G1112*1440,0),INT($G1112/100)*60+MOD($G1112,100)))</f>
        <v/>
      </c>
    </row>
    <row r="1113" ht="15" customHeight="1" s="26">
      <c r="A1113" s="34" t="n"/>
      <c r="B1113" s="32" t="n"/>
      <c r="C1113" s="33" t="n"/>
      <c r="D1113" s="37" t="str">
        <f>IF($C1113="","",IFERROR(INDEX(프로젝트목록!$B$3:$B$62,MATCH($C1113,프로젝트목록!$A$3:$A$62,0)),"미등록코드"))</f>
        <v/>
      </c>
      <c r="E1113" s="32" t="n"/>
      <c r="F1113" s="38" t="n"/>
      <c r="G1113" s="38" t="n"/>
      <c r="H1113" s="39" t="n"/>
      <c r="I1113" s="40" t="str">
        <f>IF(OR($J1113="",$K1113=""),"",ROUND(MAX(0,($K1113-$J1113)-IF($H1113="",0,$H1113))/60,2))</f>
        <v/>
      </c>
      <c r="J1113" s="41" t="str">
        <f>IF($F1113="","",IF($F1113&lt;1,ROUND($F1113*1440,0),INT($F1113/100)*60+MOD($F1113,100)))</f>
        <v/>
      </c>
      <c r="K1113" s="41" t="str">
        <f>IF($G1113="","",IF($G1113&lt;1,ROUND($G1113*1440,0),INT($G1113/100)*60+MOD($G1113,100)))</f>
        <v/>
      </c>
    </row>
    <row r="1114" ht="15" customHeight="1" s="26">
      <c r="A1114" s="34" t="n"/>
      <c r="B1114" s="32" t="n"/>
      <c r="C1114" s="33" t="n"/>
      <c r="D1114" s="37" t="str">
        <f>IF($C1114="","",IFERROR(INDEX(프로젝트목록!$B$3:$B$62,MATCH($C1114,프로젝트목록!$A$3:$A$62,0)),"미등록코드"))</f>
        <v/>
      </c>
      <c r="E1114" s="32" t="n"/>
      <c r="F1114" s="38" t="n"/>
      <c r="G1114" s="38" t="n"/>
      <c r="H1114" s="39" t="n"/>
      <c r="I1114" s="40" t="str">
        <f>IF(OR($J1114="",$K1114=""),"",ROUND(MAX(0,($K1114-$J1114)-IF($H1114="",0,$H1114))/60,2))</f>
        <v/>
      </c>
      <c r="J1114" s="41" t="str">
        <f>IF($F1114="","",IF($F1114&lt;1,ROUND($F1114*1440,0),INT($F1114/100)*60+MOD($F1114,100)))</f>
        <v/>
      </c>
      <c r="K1114" s="41" t="str">
        <f>IF($G1114="","",IF($G1114&lt;1,ROUND($G1114*1440,0),INT($G1114/100)*60+MOD($G1114,100)))</f>
        <v/>
      </c>
    </row>
    <row r="1115" ht="15" customHeight="1" s="26">
      <c r="A1115" s="34" t="n"/>
      <c r="B1115" s="32" t="n"/>
      <c r="C1115" s="33" t="n"/>
      <c r="D1115" s="37" t="str">
        <f>IF($C1115="","",IFERROR(INDEX(프로젝트목록!$B$3:$B$62,MATCH($C1115,프로젝트목록!$A$3:$A$62,0)),"미등록코드"))</f>
        <v/>
      </c>
      <c r="E1115" s="32" t="n"/>
      <c r="F1115" s="38" t="n"/>
      <c r="G1115" s="38" t="n"/>
      <c r="H1115" s="39" t="n"/>
      <c r="I1115" s="40" t="str">
        <f>IF(OR($J1115="",$K1115=""),"",ROUND(MAX(0,($K1115-$J1115)-IF($H1115="",0,$H1115))/60,2))</f>
        <v/>
      </c>
      <c r="J1115" s="41" t="str">
        <f>IF($F1115="","",IF($F1115&lt;1,ROUND($F1115*1440,0),INT($F1115/100)*60+MOD($F1115,100)))</f>
        <v/>
      </c>
      <c r="K1115" s="41" t="str">
        <f>IF($G1115="","",IF($G1115&lt;1,ROUND($G1115*1440,0),INT($G1115/100)*60+MOD($G1115,100)))</f>
        <v/>
      </c>
    </row>
    <row r="1116" ht="15" customHeight="1" s="26">
      <c r="A1116" s="34" t="n"/>
      <c r="B1116" s="32" t="n"/>
      <c r="C1116" s="33" t="n"/>
      <c r="D1116" s="37" t="str">
        <f>IF($C1116="","",IFERROR(INDEX(프로젝트목록!$B$3:$B$62,MATCH($C1116,프로젝트목록!$A$3:$A$62,0)),"미등록코드"))</f>
        <v/>
      </c>
      <c r="E1116" s="32" t="n"/>
      <c r="F1116" s="38" t="n"/>
      <c r="G1116" s="38" t="n"/>
      <c r="H1116" s="39" t="n"/>
      <c r="I1116" s="40" t="str">
        <f>IF(OR($J1116="",$K1116=""),"",ROUND(MAX(0,($K1116-$J1116)-IF($H1116="",0,$H1116))/60,2))</f>
        <v/>
      </c>
      <c r="J1116" s="41" t="str">
        <f>IF($F1116="","",IF($F1116&lt;1,ROUND($F1116*1440,0),INT($F1116/100)*60+MOD($F1116,100)))</f>
        <v/>
      </c>
      <c r="K1116" s="41" t="str">
        <f>IF($G1116="","",IF($G1116&lt;1,ROUND($G1116*1440,0),INT($G1116/100)*60+MOD($G1116,100)))</f>
        <v/>
      </c>
    </row>
    <row r="1117" ht="15" customHeight="1" s="26">
      <c r="A1117" s="34" t="n"/>
      <c r="B1117" s="32" t="n"/>
      <c r="C1117" s="33" t="n"/>
      <c r="D1117" s="37" t="str">
        <f>IF($C1117="","",IFERROR(INDEX(프로젝트목록!$B$3:$B$62,MATCH($C1117,프로젝트목록!$A$3:$A$62,0)),"미등록코드"))</f>
        <v/>
      </c>
      <c r="E1117" s="32" t="n"/>
      <c r="F1117" s="38" t="n"/>
      <c r="G1117" s="38" t="n"/>
      <c r="H1117" s="39" t="n"/>
      <c r="I1117" s="40" t="str">
        <f>IF(OR($J1117="",$K1117=""),"",ROUND(MAX(0,($K1117-$J1117)-IF($H1117="",0,$H1117))/60,2))</f>
        <v/>
      </c>
      <c r="J1117" s="41" t="str">
        <f>IF($F1117="","",IF($F1117&lt;1,ROUND($F1117*1440,0),INT($F1117/100)*60+MOD($F1117,100)))</f>
        <v/>
      </c>
      <c r="K1117" s="41" t="str">
        <f>IF($G1117="","",IF($G1117&lt;1,ROUND($G1117*1440,0),INT($G1117/100)*60+MOD($G1117,100)))</f>
        <v/>
      </c>
    </row>
    <row r="1118" ht="15" customHeight="1" s="26">
      <c r="A1118" s="34" t="n"/>
      <c r="B1118" s="32" t="n"/>
      <c r="C1118" s="33" t="n"/>
      <c r="D1118" s="37" t="str">
        <f>IF($C1118="","",IFERROR(INDEX(프로젝트목록!$B$3:$B$62,MATCH($C1118,프로젝트목록!$A$3:$A$62,0)),"미등록코드"))</f>
        <v/>
      </c>
      <c r="E1118" s="32" t="n"/>
      <c r="F1118" s="38" t="n"/>
      <c r="G1118" s="38" t="n"/>
      <c r="H1118" s="39" t="n"/>
      <c r="I1118" s="40" t="str">
        <f>IF(OR($J1118="",$K1118=""),"",ROUND(MAX(0,($K1118-$J1118)-IF($H1118="",0,$H1118))/60,2))</f>
        <v/>
      </c>
      <c r="J1118" s="41" t="str">
        <f>IF($F1118="","",IF($F1118&lt;1,ROUND($F1118*1440,0),INT($F1118/100)*60+MOD($F1118,100)))</f>
        <v/>
      </c>
      <c r="K1118" s="41" t="str">
        <f>IF($G1118="","",IF($G1118&lt;1,ROUND($G1118*1440,0),INT($G1118/100)*60+MOD($G1118,100)))</f>
        <v/>
      </c>
    </row>
    <row r="1119" ht="15" customHeight="1" s="26">
      <c r="A1119" s="34" t="n"/>
      <c r="B1119" s="32" t="n"/>
      <c r="C1119" s="33" t="n"/>
      <c r="D1119" s="37" t="str">
        <f>IF($C1119="","",IFERROR(INDEX(프로젝트목록!$B$3:$B$62,MATCH($C1119,프로젝트목록!$A$3:$A$62,0)),"미등록코드"))</f>
        <v/>
      </c>
      <c r="E1119" s="32" t="n"/>
      <c r="F1119" s="38" t="n"/>
      <c r="G1119" s="38" t="n"/>
      <c r="H1119" s="39" t="n"/>
      <c r="I1119" s="40" t="str">
        <f>IF(OR($J1119="",$K1119=""),"",ROUND(MAX(0,($K1119-$J1119)-IF($H1119="",0,$H1119))/60,2))</f>
        <v/>
      </c>
      <c r="J1119" s="41" t="str">
        <f>IF($F1119="","",IF($F1119&lt;1,ROUND($F1119*1440,0),INT($F1119/100)*60+MOD($F1119,100)))</f>
        <v/>
      </c>
      <c r="K1119" s="41" t="str">
        <f>IF($G1119="","",IF($G1119&lt;1,ROUND($G1119*1440,0),INT($G1119/100)*60+MOD($G1119,100)))</f>
        <v/>
      </c>
    </row>
    <row r="1120" ht="15" customHeight="1" s="26">
      <c r="A1120" s="34" t="n"/>
      <c r="B1120" s="32" t="n"/>
      <c r="C1120" s="33" t="n"/>
      <c r="D1120" s="37" t="str">
        <f>IF($C1120="","",IFERROR(INDEX(프로젝트목록!$B$3:$B$62,MATCH($C1120,프로젝트목록!$A$3:$A$62,0)),"미등록코드"))</f>
        <v/>
      </c>
      <c r="E1120" s="32" t="n"/>
      <c r="F1120" s="38" t="n"/>
      <c r="G1120" s="38" t="n"/>
      <c r="H1120" s="39" t="n"/>
      <c r="I1120" s="40" t="str">
        <f>IF(OR($J1120="",$K1120=""),"",ROUND(MAX(0,($K1120-$J1120)-IF($H1120="",0,$H1120))/60,2))</f>
        <v/>
      </c>
      <c r="J1120" s="41" t="str">
        <f>IF($F1120="","",IF($F1120&lt;1,ROUND($F1120*1440,0),INT($F1120/100)*60+MOD($F1120,100)))</f>
        <v/>
      </c>
      <c r="K1120" s="41" t="str">
        <f>IF($G1120="","",IF($G1120&lt;1,ROUND($G1120*1440,0),INT($G1120/100)*60+MOD($G1120,100)))</f>
        <v/>
      </c>
    </row>
    <row r="1121" ht="15" customHeight="1" s="26">
      <c r="A1121" s="34" t="n"/>
      <c r="B1121" s="32" t="n"/>
      <c r="C1121" s="33" t="n"/>
      <c r="D1121" s="37" t="str">
        <f>IF($C1121="","",IFERROR(INDEX(프로젝트목록!$B$3:$B$62,MATCH($C1121,프로젝트목록!$A$3:$A$62,0)),"미등록코드"))</f>
        <v/>
      </c>
      <c r="E1121" s="32" t="n"/>
      <c r="F1121" s="38" t="n"/>
      <c r="G1121" s="38" t="n"/>
      <c r="H1121" s="39" t="n"/>
      <c r="I1121" s="40" t="str">
        <f>IF(OR($J1121="",$K1121=""),"",ROUND(MAX(0,($K1121-$J1121)-IF($H1121="",0,$H1121))/60,2))</f>
        <v/>
      </c>
      <c r="J1121" s="41" t="str">
        <f>IF($F1121="","",IF($F1121&lt;1,ROUND($F1121*1440,0),INT($F1121/100)*60+MOD($F1121,100)))</f>
        <v/>
      </c>
      <c r="K1121" s="41" t="str">
        <f>IF($G1121="","",IF($G1121&lt;1,ROUND($G1121*1440,0),INT($G1121/100)*60+MOD($G1121,100)))</f>
        <v/>
      </c>
    </row>
    <row r="1122" ht="15" customHeight="1" s="26">
      <c r="A1122" s="34" t="n"/>
      <c r="B1122" s="32" t="n"/>
      <c r="C1122" s="33" t="n"/>
      <c r="D1122" s="37" t="str">
        <f>IF($C1122="","",IFERROR(INDEX(프로젝트목록!$B$3:$B$62,MATCH($C1122,프로젝트목록!$A$3:$A$62,0)),"미등록코드"))</f>
        <v/>
      </c>
      <c r="E1122" s="32" t="n"/>
      <c r="F1122" s="38" t="n"/>
      <c r="G1122" s="38" t="n"/>
      <c r="H1122" s="39" t="n"/>
      <c r="I1122" s="40" t="str">
        <f>IF(OR($J1122="",$K1122=""),"",ROUND(MAX(0,($K1122-$J1122)-IF($H1122="",0,$H1122))/60,2))</f>
        <v/>
      </c>
      <c r="J1122" s="41" t="str">
        <f>IF($F1122="","",IF($F1122&lt;1,ROUND($F1122*1440,0),INT($F1122/100)*60+MOD($F1122,100)))</f>
        <v/>
      </c>
      <c r="K1122" s="41" t="str">
        <f>IF($G1122="","",IF($G1122&lt;1,ROUND($G1122*1440,0),INT($G1122/100)*60+MOD($G1122,100)))</f>
        <v/>
      </c>
    </row>
    <row r="1123" ht="15" customHeight="1" s="26">
      <c r="A1123" s="34" t="n"/>
      <c r="B1123" s="32" t="n"/>
      <c r="C1123" s="33" t="n"/>
      <c r="D1123" s="37" t="str">
        <f>IF($C1123="","",IFERROR(INDEX(프로젝트목록!$B$3:$B$62,MATCH($C1123,프로젝트목록!$A$3:$A$62,0)),"미등록코드"))</f>
        <v/>
      </c>
      <c r="E1123" s="32" t="n"/>
      <c r="F1123" s="38" t="n"/>
      <c r="G1123" s="38" t="n"/>
      <c r="H1123" s="39" t="n"/>
      <c r="I1123" s="40" t="str">
        <f>IF(OR($J1123="",$K1123=""),"",ROUND(MAX(0,($K1123-$J1123)-IF($H1123="",0,$H1123))/60,2))</f>
        <v/>
      </c>
      <c r="J1123" s="41" t="str">
        <f>IF($F1123="","",IF($F1123&lt;1,ROUND($F1123*1440,0),INT($F1123/100)*60+MOD($F1123,100)))</f>
        <v/>
      </c>
      <c r="K1123" s="41" t="str">
        <f>IF($G1123="","",IF($G1123&lt;1,ROUND($G1123*1440,0),INT($G1123/100)*60+MOD($G1123,100)))</f>
        <v/>
      </c>
    </row>
    <row r="1124" ht="15" customHeight="1" s="26">
      <c r="A1124" s="34" t="n"/>
      <c r="B1124" s="32" t="n"/>
      <c r="C1124" s="33" t="n"/>
      <c r="D1124" s="37" t="str">
        <f>IF($C1124="","",IFERROR(INDEX(프로젝트목록!$B$3:$B$62,MATCH($C1124,프로젝트목록!$A$3:$A$62,0)),"미등록코드"))</f>
        <v/>
      </c>
      <c r="E1124" s="32" t="n"/>
      <c r="F1124" s="38" t="n"/>
      <c r="G1124" s="38" t="n"/>
      <c r="H1124" s="39" t="n"/>
      <c r="I1124" s="40" t="str">
        <f>IF(OR($J1124="",$K1124=""),"",ROUND(MAX(0,($K1124-$J1124)-IF($H1124="",0,$H1124))/60,2))</f>
        <v/>
      </c>
      <c r="J1124" s="41" t="str">
        <f>IF($F1124="","",IF($F1124&lt;1,ROUND($F1124*1440,0),INT($F1124/100)*60+MOD($F1124,100)))</f>
        <v/>
      </c>
      <c r="K1124" s="41" t="str">
        <f>IF($G1124="","",IF($G1124&lt;1,ROUND($G1124*1440,0),INT($G1124/100)*60+MOD($G1124,100)))</f>
        <v/>
      </c>
    </row>
    <row r="1125" ht="15" customHeight="1" s="26">
      <c r="A1125" s="34" t="n"/>
      <c r="B1125" s="32" t="n"/>
      <c r="C1125" s="33" t="n"/>
      <c r="D1125" s="37" t="str">
        <f>IF($C1125="","",IFERROR(INDEX(프로젝트목록!$B$3:$B$62,MATCH($C1125,프로젝트목록!$A$3:$A$62,0)),"미등록코드"))</f>
        <v/>
      </c>
      <c r="E1125" s="32" t="n"/>
      <c r="F1125" s="38" t="n"/>
      <c r="G1125" s="38" t="n"/>
      <c r="H1125" s="39" t="n"/>
      <c r="I1125" s="40" t="str">
        <f>IF(OR($J1125="",$K1125=""),"",ROUND(MAX(0,($K1125-$J1125)-IF($H1125="",0,$H1125))/60,2))</f>
        <v/>
      </c>
      <c r="J1125" s="41" t="str">
        <f>IF($F1125="","",IF($F1125&lt;1,ROUND($F1125*1440,0),INT($F1125/100)*60+MOD($F1125,100)))</f>
        <v/>
      </c>
      <c r="K1125" s="41" t="str">
        <f>IF($G1125="","",IF($G1125&lt;1,ROUND($G1125*1440,0),INT($G1125/100)*60+MOD($G1125,100)))</f>
        <v/>
      </c>
    </row>
    <row r="1126" ht="15" customHeight="1" s="26">
      <c r="A1126" s="34" t="n"/>
      <c r="B1126" s="32" t="n"/>
      <c r="C1126" s="33" t="n"/>
      <c r="D1126" s="37" t="str">
        <f>IF($C1126="","",IFERROR(INDEX(프로젝트목록!$B$3:$B$62,MATCH($C1126,프로젝트목록!$A$3:$A$62,0)),"미등록코드"))</f>
        <v/>
      </c>
      <c r="E1126" s="32" t="n"/>
      <c r="F1126" s="38" t="n"/>
      <c r="G1126" s="38" t="n"/>
      <c r="H1126" s="39" t="n"/>
      <c r="I1126" s="40" t="str">
        <f>IF(OR($J1126="",$K1126=""),"",ROUND(MAX(0,($K1126-$J1126)-IF($H1126="",0,$H1126))/60,2))</f>
        <v/>
      </c>
      <c r="J1126" s="41" t="str">
        <f>IF($F1126="","",IF($F1126&lt;1,ROUND($F1126*1440,0),INT($F1126/100)*60+MOD($F1126,100)))</f>
        <v/>
      </c>
      <c r="K1126" s="41" t="str">
        <f>IF($G1126="","",IF($G1126&lt;1,ROUND($G1126*1440,0),INT($G1126/100)*60+MOD($G1126,100)))</f>
        <v/>
      </c>
    </row>
    <row r="1127" ht="15" customHeight="1" s="26">
      <c r="A1127" s="34" t="n"/>
      <c r="B1127" s="32" t="n"/>
      <c r="C1127" s="33" t="n"/>
      <c r="D1127" s="37" t="str">
        <f>IF($C1127="","",IFERROR(INDEX(프로젝트목록!$B$3:$B$62,MATCH($C1127,프로젝트목록!$A$3:$A$62,0)),"미등록코드"))</f>
        <v/>
      </c>
      <c r="E1127" s="32" t="n"/>
      <c r="F1127" s="38" t="n"/>
      <c r="G1127" s="38" t="n"/>
      <c r="H1127" s="39" t="n"/>
      <c r="I1127" s="40" t="str">
        <f>IF(OR($J1127="",$K1127=""),"",ROUND(MAX(0,($K1127-$J1127)-IF($H1127="",0,$H1127))/60,2))</f>
        <v/>
      </c>
      <c r="J1127" s="41" t="str">
        <f>IF($F1127="","",IF($F1127&lt;1,ROUND($F1127*1440,0),INT($F1127/100)*60+MOD($F1127,100)))</f>
        <v/>
      </c>
      <c r="K1127" s="41" t="str">
        <f>IF($G1127="","",IF($G1127&lt;1,ROUND($G1127*1440,0),INT($G1127/100)*60+MOD($G1127,100)))</f>
        <v/>
      </c>
    </row>
    <row r="1128" ht="15" customHeight="1" s="26">
      <c r="A1128" s="34" t="n"/>
      <c r="B1128" s="32" t="n"/>
      <c r="C1128" s="33" t="n"/>
      <c r="D1128" s="37" t="str">
        <f>IF($C1128="","",IFERROR(INDEX(프로젝트목록!$B$3:$B$62,MATCH($C1128,프로젝트목록!$A$3:$A$62,0)),"미등록코드"))</f>
        <v/>
      </c>
      <c r="E1128" s="32" t="n"/>
      <c r="F1128" s="38" t="n"/>
      <c r="G1128" s="38" t="n"/>
      <c r="H1128" s="39" t="n"/>
      <c r="I1128" s="40" t="str">
        <f>IF(OR($J1128="",$K1128=""),"",ROUND(MAX(0,($K1128-$J1128)-IF($H1128="",0,$H1128))/60,2))</f>
        <v/>
      </c>
      <c r="J1128" s="41" t="str">
        <f>IF($F1128="","",IF($F1128&lt;1,ROUND($F1128*1440,0),INT($F1128/100)*60+MOD($F1128,100)))</f>
        <v/>
      </c>
      <c r="K1128" s="41" t="str">
        <f>IF($G1128="","",IF($G1128&lt;1,ROUND($G1128*1440,0),INT($G1128/100)*60+MOD($G1128,100)))</f>
        <v/>
      </c>
    </row>
    <row r="1129" ht="15" customHeight="1" s="26">
      <c r="A1129" s="34" t="n"/>
      <c r="B1129" s="32" t="n"/>
      <c r="C1129" s="33" t="n"/>
      <c r="D1129" s="37" t="str">
        <f>IF($C1129="","",IFERROR(INDEX(프로젝트목록!$B$3:$B$62,MATCH($C1129,프로젝트목록!$A$3:$A$62,0)),"미등록코드"))</f>
        <v/>
      </c>
      <c r="E1129" s="32" t="n"/>
      <c r="F1129" s="38" t="n"/>
      <c r="G1129" s="38" t="n"/>
      <c r="H1129" s="39" t="n"/>
      <c r="I1129" s="40" t="str">
        <f>IF(OR($J1129="",$K1129=""),"",ROUND(MAX(0,($K1129-$J1129)-IF($H1129="",0,$H1129))/60,2))</f>
        <v/>
      </c>
      <c r="J1129" s="41" t="str">
        <f>IF($F1129="","",IF($F1129&lt;1,ROUND($F1129*1440,0),INT($F1129/100)*60+MOD($F1129,100)))</f>
        <v/>
      </c>
      <c r="K1129" s="41" t="str">
        <f>IF($G1129="","",IF($G1129&lt;1,ROUND($G1129*1440,0),INT($G1129/100)*60+MOD($G1129,100)))</f>
        <v/>
      </c>
    </row>
    <row r="1130" ht="15" customHeight="1" s="26">
      <c r="A1130" s="34" t="n"/>
      <c r="B1130" s="32" t="n"/>
      <c r="C1130" s="33" t="n"/>
      <c r="D1130" s="37" t="str">
        <f>IF($C1130="","",IFERROR(INDEX(프로젝트목록!$B$3:$B$62,MATCH($C1130,프로젝트목록!$A$3:$A$62,0)),"미등록코드"))</f>
        <v/>
      </c>
      <c r="E1130" s="32" t="n"/>
      <c r="F1130" s="38" t="n"/>
      <c r="G1130" s="38" t="n"/>
      <c r="H1130" s="39" t="n"/>
      <c r="I1130" s="40" t="str">
        <f>IF(OR($J1130="",$K1130=""),"",ROUND(MAX(0,($K1130-$J1130)-IF($H1130="",0,$H1130))/60,2))</f>
        <v/>
      </c>
      <c r="J1130" s="41" t="str">
        <f>IF($F1130="","",IF($F1130&lt;1,ROUND($F1130*1440,0),INT($F1130/100)*60+MOD($F1130,100)))</f>
        <v/>
      </c>
      <c r="K1130" s="41" t="str">
        <f>IF($G1130="","",IF($G1130&lt;1,ROUND($G1130*1440,0),INT($G1130/100)*60+MOD($G1130,100)))</f>
        <v/>
      </c>
    </row>
    <row r="1131" ht="15" customHeight="1" s="26">
      <c r="A1131" s="34" t="n"/>
      <c r="B1131" s="32" t="n"/>
      <c r="C1131" s="33" t="n"/>
      <c r="D1131" s="37" t="str">
        <f>IF($C1131="","",IFERROR(INDEX(프로젝트목록!$B$3:$B$62,MATCH($C1131,프로젝트목록!$A$3:$A$62,0)),"미등록코드"))</f>
        <v/>
      </c>
      <c r="E1131" s="32" t="n"/>
      <c r="F1131" s="38" t="n"/>
      <c r="G1131" s="38" t="n"/>
      <c r="H1131" s="39" t="n"/>
      <c r="I1131" s="40" t="str">
        <f>IF(OR($J1131="",$K1131=""),"",ROUND(MAX(0,($K1131-$J1131)-IF($H1131="",0,$H1131))/60,2))</f>
        <v/>
      </c>
      <c r="J1131" s="41" t="str">
        <f>IF($F1131="","",IF($F1131&lt;1,ROUND($F1131*1440,0),INT($F1131/100)*60+MOD($F1131,100)))</f>
        <v/>
      </c>
      <c r="K1131" s="41" t="str">
        <f>IF($G1131="","",IF($G1131&lt;1,ROUND($G1131*1440,0),INT($G1131/100)*60+MOD($G1131,100)))</f>
        <v/>
      </c>
    </row>
    <row r="1132" ht="15" customHeight="1" s="26">
      <c r="A1132" s="34" t="n"/>
      <c r="B1132" s="32" t="n"/>
      <c r="C1132" s="33" t="n"/>
      <c r="D1132" s="37" t="str">
        <f>IF($C1132="","",IFERROR(INDEX(프로젝트목록!$B$3:$B$62,MATCH($C1132,프로젝트목록!$A$3:$A$62,0)),"미등록코드"))</f>
        <v/>
      </c>
      <c r="E1132" s="32" t="n"/>
      <c r="F1132" s="38" t="n"/>
      <c r="G1132" s="38" t="n"/>
      <c r="H1132" s="39" t="n"/>
      <c r="I1132" s="40" t="str">
        <f>IF(OR($J1132="",$K1132=""),"",ROUND(MAX(0,($K1132-$J1132)-IF($H1132="",0,$H1132))/60,2))</f>
        <v/>
      </c>
      <c r="J1132" s="41" t="str">
        <f>IF($F1132="","",IF($F1132&lt;1,ROUND($F1132*1440,0),INT($F1132/100)*60+MOD($F1132,100)))</f>
        <v/>
      </c>
      <c r="K1132" s="41" t="str">
        <f>IF($G1132="","",IF($G1132&lt;1,ROUND($G1132*1440,0),INT($G1132/100)*60+MOD($G1132,100)))</f>
        <v/>
      </c>
    </row>
    <row r="1133" ht="15" customHeight="1" s="26">
      <c r="A1133" s="34" t="n"/>
      <c r="B1133" s="32" t="n"/>
      <c r="C1133" s="33" t="n"/>
      <c r="D1133" s="37" t="str">
        <f>IF($C1133="","",IFERROR(INDEX(프로젝트목록!$B$3:$B$62,MATCH($C1133,프로젝트목록!$A$3:$A$62,0)),"미등록코드"))</f>
        <v/>
      </c>
      <c r="E1133" s="32" t="n"/>
      <c r="F1133" s="38" t="n"/>
      <c r="G1133" s="38" t="n"/>
      <c r="H1133" s="39" t="n"/>
      <c r="I1133" s="40" t="str">
        <f>IF(OR($J1133="",$K1133=""),"",ROUND(MAX(0,($K1133-$J1133)-IF($H1133="",0,$H1133))/60,2))</f>
        <v/>
      </c>
      <c r="J1133" s="41" t="str">
        <f>IF($F1133="","",IF($F1133&lt;1,ROUND($F1133*1440,0),INT($F1133/100)*60+MOD($F1133,100)))</f>
        <v/>
      </c>
      <c r="K1133" s="41" t="str">
        <f>IF($G1133="","",IF($G1133&lt;1,ROUND($G1133*1440,0),INT($G1133/100)*60+MOD($G1133,100)))</f>
        <v/>
      </c>
    </row>
    <row r="1134" ht="15" customHeight="1" s="26">
      <c r="A1134" s="34" t="n"/>
      <c r="B1134" s="32" t="n"/>
      <c r="C1134" s="33" t="n"/>
      <c r="D1134" s="37" t="str">
        <f>IF($C1134="","",IFERROR(INDEX(프로젝트목록!$B$3:$B$62,MATCH($C1134,프로젝트목록!$A$3:$A$62,0)),"미등록코드"))</f>
        <v/>
      </c>
      <c r="E1134" s="32" t="n"/>
      <c r="F1134" s="38" t="n"/>
      <c r="G1134" s="38" t="n"/>
      <c r="H1134" s="39" t="n"/>
      <c r="I1134" s="40" t="str">
        <f>IF(OR($J1134="",$K1134=""),"",ROUND(MAX(0,($K1134-$J1134)-IF($H1134="",0,$H1134))/60,2))</f>
        <v/>
      </c>
      <c r="J1134" s="41" t="str">
        <f>IF($F1134="","",IF($F1134&lt;1,ROUND($F1134*1440,0),INT($F1134/100)*60+MOD($F1134,100)))</f>
        <v/>
      </c>
      <c r="K1134" s="41" t="str">
        <f>IF($G1134="","",IF($G1134&lt;1,ROUND($G1134*1440,0),INT($G1134/100)*60+MOD($G1134,100)))</f>
        <v/>
      </c>
    </row>
    <row r="1135" ht="15" customHeight="1" s="26">
      <c r="A1135" s="34" t="n"/>
      <c r="B1135" s="32" t="n"/>
      <c r="C1135" s="33" t="n"/>
      <c r="D1135" s="37" t="str">
        <f>IF($C1135="","",IFERROR(INDEX(프로젝트목록!$B$3:$B$62,MATCH($C1135,프로젝트목록!$A$3:$A$62,0)),"미등록코드"))</f>
        <v/>
      </c>
      <c r="E1135" s="32" t="n"/>
      <c r="F1135" s="38" t="n"/>
      <c r="G1135" s="38" t="n"/>
      <c r="H1135" s="39" t="n"/>
      <c r="I1135" s="40" t="str">
        <f>IF(OR($J1135="",$K1135=""),"",ROUND(MAX(0,($K1135-$J1135)-IF($H1135="",0,$H1135))/60,2))</f>
        <v/>
      </c>
      <c r="J1135" s="41" t="str">
        <f>IF($F1135="","",IF($F1135&lt;1,ROUND($F1135*1440,0),INT($F1135/100)*60+MOD($F1135,100)))</f>
        <v/>
      </c>
      <c r="K1135" s="41" t="str">
        <f>IF($G1135="","",IF($G1135&lt;1,ROUND($G1135*1440,0),INT($G1135/100)*60+MOD($G1135,100)))</f>
        <v/>
      </c>
    </row>
    <row r="1136" ht="15" customHeight="1" s="26">
      <c r="A1136" s="34" t="n"/>
      <c r="B1136" s="32" t="n"/>
      <c r="C1136" s="33" t="n"/>
      <c r="D1136" s="37" t="str">
        <f>IF($C1136="","",IFERROR(INDEX(프로젝트목록!$B$3:$B$62,MATCH($C1136,프로젝트목록!$A$3:$A$62,0)),"미등록코드"))</f>
        <v/>
      </c>
      <c r="E1136" s="32" t="n"/>
      <c r="F1136" s="38" t="n"/>
      <c r="G1136" s="38" t="n"/>
      <c r="H1136" s="39" t="n"/>
      <c r="I1136" s="40" t="str">
        <f>IF(OR($J1136="",$K1136=""),"",ROUND(MAX(0,($K1136-$J1136)-IF($H1136="",0,$H1136))/60,2))</f>
        <v/>
      </c>
      <c r="J1136" s="41" t="str">
        <f>IF($F1136="","",IF($F1136&lt;1,ROUND($F1136*1440,0),INT($F1136/100)*60+MOD($F1136,100)))</f>
        <v/>
      </c>
      <c r="K1136" s="41" t="str">
        <f>IF($G1136="","",IF($G1136&lt;1,ROUND($G1136*1440,0),INT($G1136/100)*60+MOD($G1136,100)))</f>
        <v/>
      </c>
    </row>
    <row r="1137" ht="15" customHeight="1" s="26">
      <c r="A1137" s="34" t="n"/>
      <c r="B1137" s="32" t="n"/>
      <c r="C1137" s="33" t="n"/>
      <c r="D1137" s="37" t="str">
        <f>IF($C1137="","",IFERROR(INDEX(프로젝트목록!$B$3:$B$62,MATCH($C1137,프로젝트목록!$A$3:$A$62,0)),"미등록코드"))</f>
        <v/>
      </c>
      <c r="E1137" s="32" t="n"/>
      <c r="F1137" s="38" t="n"/>
      <c r="G1137" s="38" t="n"/>
      <c r="H1137" s="39" t="n"/>
      <c r="I1137" s="40" t="str">
        <f>IF(OR($J1137="",$K1137=""),"",ROUND(MAX(0,($K1137-$J1137)-IF($H1137="",0,$H1137))/60,2))</f>
        <v/>
      </c>
      <c r="J1137" s="41" t="str">
        <f>IF($F1137="","",IF($F1137&lt;1,ROUND($F1137*1440,0),INT($F1137/100)*60+MOD($F1137,100)))</f>
        <v/>
      </c>
      <c r="K1137" s="41" t="str">
        <f>IF($G1137="","",IF($G1137&lt;1,ROUND($G1137*1440,0),INT($G1137/100)*60+MOD($G1137,100)))</f>
        <v/>
      </c>
    </row>
    <row r="1138" ht="15" customHeight="1" s="26">
      <c r="A1138" s="34" t="n"/>
      <c r="B1138" s="32" t="n"/>
      <c r="C1138" s="33" t="n"/>
      <c r="D1138" s="37" t="str">
        <f>IF($C1138="","",IFERROR(INDEX(프로젝트목록!$B$3:$B$62,MATCH($C1138,프로젝트목록!$A$3:$A$62,0)),"미등록코드"))</f>
        <v/>
      </c>
      <c r="E1138" s="32" t="n"/>
      <c r="F1138" s="38" t="n"/>
      <c r="G1138" s="38" t="n"/>
      <c r="H1138" s="39" t="n"/>
      <c r="I1138" s="40" t="str">
        <f>IF(OR($J1138="",$K1138=""),"",ROUND(MAX(0,($K1138-$J1138)-IF($H1138="",0,$H1138))/60,2))</f>
        <v/>
      </c>
      <c r="J1138" s="41" t="str">
        <f>IF($F1138="","",IF($F1138&lt;1,ROUND($F1138*1440,0),INT($F1138/100)*60+MOD($F1138,100)))</f>
        <v/>
      </c>
      <c r="K1138" s="41" t="str">
        <f>IF($G1138="","",IF($G1138&lt;1,ROUND($G1138*1440,0),INT($G1138/100)*60+MOD($G1138,100)))</f>
        <v/>
      </c>
    </row>
    <row r="1139" ht="15" customHeight="1" s="26">
      <c r="A1139" s="34" t="n"/>
      <c r="B1139" s="32" t="n"/>
      <c r="C1139" s="33" t="n"/>
      <c r="D1139" s="37" t="str">
        <f>IF($C1139="","",IFERROR(INDEX(프로젝트목록!$B$3:$B$62,MATCH($C1139,프로젝트목록!$A$3:$A$62,0)),"미등록코드"))</f>
        <v/>
      </c>
      <c r="E1139" s="32" t="n"/>
      <c r="F1139" s="38" t="n"/>
      <c r="G1139" s="38" t="n"/>
      <c r="H1139" s="39" t="n"/>
      <c r="I1139" s="40" t="str">
        <f>IF(OR($J1139="",$K1139=""),"",ROUND(MAX(0,($K1139-$J1139)-IF($H1139="",0,$H1139))/60,2))</f>
        <v/>
      </c>
      <c r="J1139" s="41" t="str">
        <f>IF($F1139="","",IF($F1139&lt;1,ROUND($F1139*1440,0),INT($F1139/100)*60+MOD($F1139,100)))</f>
        <v/>
      </c>
      <c r="K1139" s="41" t="str">
        <f>IF($G1139="","",IF($G1139&lt;1,ROUND($G1139*1440,0),INT($G1139/100)*60+MOD($G1139,100)))</f>
        <v/>
      </c>
    </row>
    <row r="1140" ht="15" customHeight="1" s="26">
      <c r="A1140" s="34" t="n"/>
      <c r="B1140" s="32" t="n"/>
      <c r="C1140" s="33" t="n"/>
      <c r="D1140" s="37" t="str">
        <f>IF($C1140="","",IFERROR(INDEX(프로젝트목록!$B$3:$B$62,MATCH($C1140,프로젝트목록!$A$3:$A$62,0)),"미등록코드"))</f>
        <v/>
      </c>
      <c r="E1140" s="32" t="n"/>
      <c r="F1140" s="38" t="n"/>
      <c r="G1140" s="38" t="n"/>
      <c r="H1140" s="39" t="n"/>
      <c r="I1140" s="40" t="str">
        <f>IF(OR($J1140="",$K1140=""),"",ROUND(MAX(0,($K1140-$J1140)-IF($H1140="",0,$H1140))/60,2))</f>
        <v/>
      </c>
      <c r="J1140" s="41" t="str">
        <f>IF($F1140="","",IF($F1140&lt;1,ROUND($F1140*1440,0),INT($F1140/100)*60+MOD($F1140,100)))</f>
        <v/>
      </c>
      <c r="K1140" s="41" t="str">
        <f>IF($G1140="","",IF($G1140&lt;1,ROUND($G1140*1440,0),INT($G1140/100)*60+MOD($G1140,100)))</f>
        <v/>
      </c>
    </row>
    <row r="1141" ht="15" customHeight="1" s="26">
      <c r="A1141" s="34" t="n"/>
      <c r="B1141" s="32" t="n"/>
      <c r="C1141" s="33" t="n"/>
      <c r="D1141" s="37" t="str">
        <f>IF($C1141="","",IFERROR(INDEX(프로젝트목록!$B$3:$B$62,MATCH($C1141,프로젝트목록!$A$3:$A$62,0)),"미등록코드"))</f>
        <v/>
      </c>
      <c r="E1141" s="32" t="n"/>
      <c r="F1141" s="38" t="n"/>
      <c r="G1141" s="38" t="n"/>
      <c r="H1141" s="39" t="n"/>
      <c r="I1141" s="40" t="str">
        <f>IF(OR($J1141="",$K1141=""),"",ROUND(MAX(0,($K1141-$J1141)-IF($H1141="",0,$H1141))/60,2))</f>
        <v/>
      </c>
      <c r="J1141" s="41" t="str">
        <f>IF($F1141="","",IF($F1141&lt;1,ROUND($F1141*1440,0),INT($F1141/100)*60+MOD($F1141,100)))</f>
        <v/>
      </c>
      <c r="K1141" s="41" t="str">
        <f>IF($G1141="","",IF($G1141&lt;1,ROUND($G1141*1440,0),INT($G1141/100)*60+MOD($G1141,100)))</f>
        <v/>
      </c>
    </row>
    <row r="1142" ht="15" customHeight="1" s="26">
      <c r="A1142" s="34" t="n"/>
      <c r="B1142" s="32" t="n"/>
      <c r="C1142" s="33" t="n"/>
      <c r="D1142" s="37" t="str">
        <f>IF($C1142="","",IFERROR(INDEX(프로젝트목록!$B$3:$B$62,MATCH($C1142,프로젝트목록!$A$3:$A$62,0)),"미등록코드"))</f>
        <v/>
      </c>
      <c r="E1142" s="32" t="n"/>
      <c r="F1142" s="38" t="n"/>
      <c r="G1142" s="38" t="n"/>
      <c r="H1142" s="39" t="n"/>
      <c r="I1142" s="40" t="str">
        <f>IF(OR($J1142="",$K1142=""),"",ROUND(MAX(0,($K1142-$J1142)-IF($H1142="",0,$H1142))/60,2))</f>
        <v/>
      </c>
      <c r="J1142" s="41" t="str">
        <f>IF($F1142="","",IF($F1142&lt;1,ROUND($F1142*1440,0),INT($F1142/100)*60+MOD($F1142,100)))</f>
        <v/>
      </c>
      <c r="K1142" s="41" t="str">
        <f>IF($G1142="","",IF($G1142&lt;1,ROUND($G1142*1440,0),INT($G1142/100)*60+MOD($G1142,100)))</f>
        <v/>
      </c>
    </row>
    <row r="1143" ht="15" customHeight="1" s="26">
      <c r="A1143" s="34" t="n"/>
      <c r="B1143" s="32" t="n"/>
      <c r="C1143" s="33" t="n"/>
      <c r="D1143" s="37" t="str">
        <f>IF($C1143="","",IFERROR(INDEX(프로젝트목록!$B$3:$B$62,MATCH($C1143,프로젝트목록!$A$3:$A$62,0)),"미등록코드"))</f>
        <v/>
      </c>
      <c r="E1143" s="32" t="n"/>
      <c r="F1143" s="38" t="n"/>
      <c r="G1143" s="38" t="n"/>
      <c r="H1143" s="39" t="n"/>
      <c r="I1143" s="40" t="str">
        <f>IF(OR($J1143="",$K1143=""),"",ROUND(MAX(0,($K1143-$J1143)-IF($H1143="",0,$H1143))/60,2))</f>
        <v/>
      </c>
      <c r="J1143" s="41" t="str">
        <f>IF($F1143="","",IF($F1143&lt;1,ROUND($F1143*1440,0),INT($F1143/100)*60+MOD($F1143,100)))</f>
        <v/>
      </c>
      <c r="K1143" s="41" t="str">
        <f>IF($G1143="","",IF($G1143&lt;1,ROUND($G1143*1440,0),INT($G1143/100)*60+MOD($G1143,100)))</f>
        <v/>
      </c>
    </row>
    <row r="1144" ht="15" customHeight="1" s="26">
      <c r="A1144" s="34" t="n"/>
      <c r="B1144" s="32" t="n"/>
      <c r="C1144" s="33" t="n"/>
      <c r="D1144" s="37" t="str">
        <f>IF($C1144="","",IFERROR(INDEX(프로젝트목록!$B$3:$B$62,MATCH($C1144,프로젝트목록!$A$3:$A$62,0)),"미등록코드"))</f>
        <v/>
      </c>
      <c r="E1144" s="32" t="n"/>
      <c r="F1144" s="38" t="n"/>
      <c r="G1144" s="38" t="n"/>
      <c r="H1144" s="39" t="n"/>
      <c r="I1144" s="40" t="str">
        <f>IF(OR($J1144="",$K1144=""),"",ROUND(MAX(0,($K1144-$J1144)-IF($H1144="",0,$H1144))/60,2))</f>
        <v/>
      </c>
      <c r="J1144" s="41" t="str">
        <f>IF($F1144="","",IF($F1144&lt;1,ROUND($F1144*1440,0),INT($F1144/100)*60+MOD($F1144,100)))</f>
        <v/>
      </c>
      <c r="K1144" s="41" t="str">
        <f>IF($G1144="","",IF($G1144&lt;1,ROUND($G1144*1440,0),INT($G1144/100)*60+MOD($G1144,100)))</f>
        <v/>
      </c>
    </row>
    <row r="1145" ht="15" customHeight="1" s="26">
      <c r="A1145" s="34" t="n"/>
      <c r="B1145" s="32" t="n"/>
      <c r="C1145" s="33" t="n"/>
      <c r="D1145" s="37" t="str">
        <f>IF($C1145="","",IFERROR(INDEX(프로젝트목록!$B$3:$B$62,MATCH($C1145,프로젝트목록!$A$3:$A$62,0)),"미등록코드"))</f>
        <v/>
      </c>
      <c r="E1145" s="32" t="n"/>
      <c r="F1145" s="38" t="n"/>
      <c r="G1145" s="38" t="n"/>
      <c r="H1145" s="39" t="n"/>
      <c r="I1145" s="40" t="str">
        <f>IF(OR($J1145="",$K1145=""),"",ROUND(MAX(0,($K1145-$J1145)-IF($H1145="",0,$H1145))/60,2))</f>
        <v/>
      </c>
      <c r="J1145" s="41" t="str">
        <f>IF($F1145="","",IF($F1145&lt;1,ROUND($F1145*1440,0),INT($F1145/100)*60+MOD($F1145,100)))</f>
        <v/>
      </c>
      <c r="K1145" s="41" t="str">
        <f>IF($G1145="","",IF($G1145&lt;1,ROUND($G1145*1440,0),INT($G1145/100)*60+MOD($G1145,100)))</f>
        <v/>
      </c>
    </row>
    <row r="1146" ht="15" customHeight="1" s="26">
      <c r="A1146" s="34" t="n"/>
      <c r="B1146" s="32" t="n"/>
      <c r="C1146" s="33" t="n"/>
      <c r="D1146" s="37" t="str">
        <f>IF($C1146="","",IFERROR(INDEX(프로젝트목록!$B$3:$B$62,MATCH($C1146,프로젝트목록!$A$3:$A$62,0)),"미등록코드"))</f>
        <v/>
      </c>
      <c r="E1146" s="32" t="n"/>
      <c r="F1146" s="38" t="n"/>
      <c r="G1146" s="38" t="n"/>
      <c r="H1146" s="39" t="n"/>
      <c r="I1146" s="40" t="str">
        <f>IF(OR($J1146="",$K1146=""),"",ROUND(MAX(0,($K1146-$J1146)-IF($H1146="",0,$H1146))/60,2))</f>
        <v/>
      </c>
      <c r="J1146" s="41" t="str">
        <f>IF($F1146="","",IF($F1146&lt;1,ROUND($F1146*1440,0),INT($F1146/100)*60+MOD($F1146,100)))</f>
        <v/>
      </c>
      <c r="K1146" s="41" t="str">
        <f>IF($G1146="","",IF($G1146&lt;1,ROUND($G1146*1440,0),INT($G1146/100)*60+MOD($G1146,100)))</f>
        <v/>
      </c>
    </row>
    <row r="1147" ht="15" customHeight="1" s="26">
      <c r="A1147" s="34" t="n"/>
      <c r="B1147" s="32" t="n"/>
      <c r="C1147" s="33" t="n"/>
      <c r="D1147" s="37" t="str">
        <f>IF($C1147="","",IFERROR(INDEX(프로젝트목록!$B$3:$B$62,MATCH($C1147,프로젝트목록!$A$3:$A$62,0)),"미등록코드"))</f>
        <v/>
      </c>
      <c r="E1147" s="32" t="n"/>
      <c r="F1147" s="38" t="n"/>
      <c r="G1147" s="38" t="n"/>
      <c r="H1147" s="39" t="n"/>
      <c r="I1147" s="40" t="str">
        <f>IF(OR($J1147="",$K1147=""),"",ROUND(MAX(0,($K1147-$J1147)-IF($H1147="",0,$H1147))/60,2))</f>
        <v/>
      </c>
      <c r="J1147" s="41" t="str">
        <f>IF($F1147="","",IF($F1147&lt;1,ROUND($F1147*1440,0),INT($F1147/100)*60+MOD($F1147,100)))</f>
        <v/>
      </c>
      <c r="K1147" s="41" t="str">
        <f>IF($G1147="","",IF($G1147&lt;1,ROUND($G1147*1440,0),INT($G1147/100)*60+MOD($G1147,100)))</f>
        <v/>
      </c>
    </row>
    <row r="1148" ht="15" customHeight="1" s="26">
      <c r="A1148" s="34" t="n"/>
      <c r="B1148" s="32" t="n"/>
      <c r="C1148" s="33" t="n"/>
      <c r="D1148" s="37" t="str">
        <f>IF($C1148="","",IFERROR(INDEX(프로젝트목록!$B$3:$B$62,MATCH($C1148,프로젝트목록!$A$3:$A$62,0)),"미등록코드"))</f>
        <v/>
      </c>
      <c r="E1148" s="32" t="n"/>
      <c r="F1148" s="38" t="n"/>
      <c r="G1148" s="38" t="n"/>
      <c r="H1148" s="39" t="n"/>
      <c r="I1148" s="40" t="str">
        <f>IF(OR($J1148="",$K1148=""),"",ROUND(MAX(0,($K1148-$J1148)-IF($H1148="",0,$H1148))/60,2))</f>
        <v/>
      </c>
      <c r="J1148" s="41" t="str">
        <f>IF($F1148="","",IF($F1148&lt;1,ROUND($F1148*1440,0),INT($F1148/100)*60+MOD($F1148,100)))</f>
        <v/>
      </c>
      <c r="K1148" s="41" t="str">
        <f>IF($G1148="","",IF($G1148&lt;1,ROUND($G1148*1440,0),INT($G1148/100)*60+MOD($G1148,100)))</f>
        <v/>
      </c>
    </row>
    <row r="1149" ht="15" customHeight="1" s="26">
      <c r="A1149" s="34" t="n"/>
      <c r="B1149" s="32" t="n"/>
      <c r="C1149" s="33" t="n"/>
      <c r="D1149" s="37" t="str">
        <f>IF($C1149="","",IFERROR(INDEX(프로젝트목록!$B$3:$B$62,MATCH($C1149,프로젝트목록!$A$3:$A$62,0)),"미등록코드"))</f>
        <v/>
      </c>
      <c r="E1149" s="32" t="n"/>
      <c r="F1149" s="38" t="n"/>
      <c r="G1149" s="38" t="n"/>
      <c r="H1149" s="39" t="n"/>
      <c r="I1149" s="40" t="str">
        <f>IF(OR($J1149="",$K1149=""),"",ROUND(MAX(0,($K1149-$J1149)-IF($H1149="",0,$H1149))/60,2))</f>
        <v/>
      </c>
      <c r="J1149" s="41" t="str">
        <f>IF($F1149="","",IF($F1149&lt;1,ROUND($F1149*1440,0),INT($F1149/100)*60+MOD($F1149,100)))</f>
        <v/>
      </c>
      <c r="K1149" s="41" t="str">
        <f>IF($G1149="","",IF($G1149&lt;1,ROUND($G1149*1440,0),INT($G1149/100)*60+MOD($G1149,100)))</f>
        <v/>
      </c>
    </row>
    <row r="1150" ht="15" customHeight="1" s="26">
      <c r="A1150" s="34" t="n"/>
      <c r="B1150" s="32" t="n"/>
      <c r="C1150" s="33" t="n"/>
      <c r="D1150" s="37" t="str">
        <f>IF($C1150="","",IFERROR(INDEX(프로젝트목록!$B$3:$B$62,MATCH($C1150,프로젝트목록!$A$3:$A$62,0)),"미등록코드"))</f>
        <v/>
      </c>
      <c r="E1150" s="32" t="n"/>
      <c r="F1150" s="38" t="n"/>
      <c r="G1150" s="38" t="n"/>
      <c r="H1150" s="39" t="n"/>
      <c r="I1150" s="40" t="str">
        <f>IF(OR($J1150="",$K1150=""),"",ROUND(MAX(0,($K1150-$J1150)-IF($H1150="",0,$H1150))/60,2))</f>
        <v/>
      </c>
      <c r="J1150" s="41" t="str">
        <f>IF($F1150="","",IF($F1150&lt;1,ROUND($F1150*1440,0),INT($F1150/100)*60+MOD($F1150,100)))</f>
        <v/>
      </c>
      <c r="K1150" s="41" t="str">
        <f>IF($G1150="","",IF($G1150&lt;1,ROUND($G1150*1440,0),INT($G1150/100)*60+MOD($G1150,100)))</f>
        <v/>
      </c>
    </row>
    <row r="1151" ht="15" customHeight="1" s="26">
      <c r="A1151" s="34" t="n"/>
      <c r="B1151" s="32" t="n"/>
      <c r="C1151" s="33" t="n"/>
      <c r="D1151" s="37" t="str">
        <f>IF($C1151="","",IFERROR(INDEX(프로젝트목록!$B$3:$B$62,MATCH($C1151,프로젝트목록!$A$3:$A$62,0)),"미등록코드"))</f>
        <v/>
      </c>
      <c r="E1151" s="32" t="n"/>
      <c r="F1151" s="38" t="n"/>
      <c r="G1151" s="38" t="n"/>
      <c r="H1151" s="39" t="n"/>
      <c r="I1151" s="40" t="str">
        <f>IF(OR($J1151="",$K1151=""),"",ROUND(MAX(0,($K1151-$J1151)-IF($H1151="",0,$H1151))/60,2))</f>
        <v/>
      </c>
      <c r="J1151" s="41" t="str">
        <f>IF($F1151="","",IF($F1151&lt;1,ROUND($F1151*1440,0),INT($F1151/100)*60+MOD($F1151,100)))</f>
        <v/>
      </c>
      <c r="K1151" s="41" t="str">
        <f>IF($G1151="","",IF($G1151&lt;1,ROUND($G1151*1440,0),INT($G1151/100)*60+MOD($G1151,100)))</f>
        <v/>
      </c>
    </row>
    <row r="1152" ht="15" customHeight="1" s="26">
      <c r="A1152" s="34" t="n"/>
      <c r="B1152" s="32" t="n"/>
      <c r="C1152" s="33" t="n"/>
      <c r="D1152" s="37" t="str">
        <f>IF($C1152="","",IFERROR(INDEX(프로젝트목록!$B$3:$B$62,MATCH($C1152,프로젝트목록!$A$3:$A$62,0)),"미등록코드"))</f>
        <v/>
      </c>
      <c r="E1152" s="32" t="n"/>
      <c r="F1152" s="38" t="n"/>
      <c r="G1152" s="38" t="n"/>
      <c r="H1152" s="39" t="n"/>
      <c r="I1152" s="40" t="str">
        <f>IF(OR($J1152="",$K1152=""),"",ROUND(MAX(0,($K1152-$J1152)-IF($H1152="",0,$H1152))/60,2))</f>
        <v/>
      </c>
      <c r="J1152" s="41" t="str">
        <f>IF($F1152="","",IF($F1152&lt;1,ROUND($F1152*1440,0),INT($F1152/100)*60+MOD($F1152,100)))</f>
        <v/>
      </c>
      <c r="K1152" s="41" t="str">
        <f>IF($G1152="","",IF($G1152&lt;1,ROUND($G1152*1440,0),INT($G1152/100)*60+MOD($G1152,100)))</f>
        <v/>
      </c>
    </row>
    <row r="1153" ht="15" customHeight="1" s="26">
      <c r="A1153" s="34" t="n"/>
      <c r="B1153" s="32" t="n"/>
      <c r="C1153" s="33" t="n"/>
      <c r="D1153" s="37" t="str">
        <f>IF($C1153="","",IFERROR(INDEX(프로젝트목록!$B$3:$B$62,MATCH($C1153,프로젝트목록!$A$3:$A$62,0)),"미등록코드"))</f>
        <v/>
      </c>
      <c r="E1153" s="32" t="n"/>
      <c r="F1153" s="38" t="n"/>
      <c r="G1153" s="38" t="n"/>
      <c r="H1153" s="39" t="n"/>
      <c r="I1153" s="40" t="str">
        <f>IF(OR($J1153="",$K1153=""),"",ROUND(MAX(0,($K1153-$J1153)-IF($H1153="",0,$H1153))/60,2))</f>
        <v/>
      </c>
      <c r="J1153" s="41" t="str">
        <f>IF($F1153="","",IF($F1153&lt;1,ROUND($F1153*1440,0),INT($F1153/100)*60+MOD($F1153,100)))</f>
        <v/>
      </c>
      <c r="K1153" s="41" t="str">
        <f>IF($G1153="","",IF($G1153&lt;1,ROUND($G1153*1440,0),INT($G1153/100)*60+MOD($G1153,100)))</f>
        <v/>
      </c>
    </row>
    <row r="1154" ht="15" customHeight="1" s="26">
      <c r="A1154" s="34" t="n"/>
      <c r="B1154" s="32" t="n"/>
      <c r="C1154" s="33" t="n"/>
      <c r="D1154" s="37" t="str">
        <f>IF($C1154="","",IFERROR(INDEX(프로젝트목록!$B$3:$B$62,MATCH($C1154,프로젝트목록!$A$3:$A$62,0)),"미등록코드"))</f>
        <v/>
      </c>
      <c r="E1154" s="32" t="n"/>
      <c r="F1154" s="38" t="n"/>
      <c r="G1154" s="38" t="n"/>
      <c r="H1154" s="39" t="n"/>
      <c r="I1154" s="40" t="str">
        <f>IF(OR($J1154="",$K1154=""),"",ROUND(MAX(0,($K1154-$J1154)-IF($H1154="",0,$H1154))/60,2))</f>
        <v/>
      </c>
      <c r="J1154" s="41" t="str">
        <f>IF($F1154="","",IF($F1154&lt;1,ROUND($F1154*1440,0),INT($F1154/100)*60+MOD($F1154,100)))</f>
        <v/>
      </c>
      <c r="K1154" s="41" t="str">
        <f>IF($G1154="","",IF($G1154&lt;1,ROUND($G1154*1440,0),INT($G1154/100)*60+MOD($G1154,100)))</f>
        <v/>
      </c>
    </row>
    <row r="1155" ht="15" customHeight="1" s="26">
      <c r="A1155" s="34" t="n"/>
      <c r="B1155" s="32" t="n"/>
      <c r="C1155" s="33" t="n"/>
      <c r="D1155" s="37" t="str">
        <f>IF($C1155="","",IFERROR(INDEX(프로젝트목록!$B$3:$B$62,MATCH($C1155,프로젝트목록!$A$3:$A$62,0)),"미등록코드"))</f>
        <v/>
      </c>
      <c r="E1155" s="32" t="n"/>
      <c r="F1155" s="38" t="n"/>
      <c r="G1155" s="38" t="n"/>
      <c r="H1155" s="39" t="n"/>
      <c r="I1155" s="40" t="str">
        <f>IF(OR($J1155="",$K1155=""),"",ROUND(MAX(0,($K1155-$J1155)-IF($H1155="",0,$H1155))/60,2))</f>
        <v/>
      </c>
      <c r="J1155" s="41" t="str">
        <f>IF($F1155="","",IF($F1155&lt;1,ROUND($F1155*1440,0),INT($F1155/100)*60+MOD($F1155,100)))</f>
        <v/>
      </c>
      <c r="K1155" s="41" t="str">
        <f>IF($G1155="","",IF($G1155&lt;1,ROUND($G1155*1440,0),INT($G1155/100)*60+MOD($G1155,100)))</f>
        <v/>
      </c>
    </row>
    <row r="1156" ht="15" customHeight="1" s="26">
      <c r="A1156" s="34" t="n"/>
      <c r="B1156" s="32" t="n"/>
      <c r="C1156" s="33" t="n"/>
      <c r="D1156" s="37" t="str">
        <f>IF($C1156="","",IFERROR(INDEX(프로젝트목록!$B$3:$B$62,MATCH($C1156,프로젝트목록!$A$3:$A$62,0)),"미등록코드"))</f>
        <v/>
      </c>
      <c r="E1156" s="32" t="n"/>
      <c r="F1156" s="38" t="n"/>
      <c r="G1156" s="38" t="n"/>
      <c r="H1156" s="39" t="n"/>
      <c r="I1156" s="40" t="str">
        <f>IF(OR($J1156="",$K1156=""),"",ROUND(MAX(0,($K1156-$J1156)-IF($H1156="",0,$H1156))/60,2))</f>
        <v/>
      </c>
      <c r="J1156" s="41" t="str">
        <f>IF($F1156="","",IF($F1156&lt;1,ROUND($F1156*1440,0),INT($F1156/100)*60+MOD($F1156,100)))</f>
        <v/>
      </c>
      <c r="K1156" s="41" t="str">
        <f>IF($G1156="","",IF($G1156&lt;1,ROUND($G1156*1440,0),INT($G1156/100)*60+MOD($G1156,100)))</f>
        <v/>
      </c>
    </row>
    <row r="1157" ht="15" customHeight="1" s="26">
      <c r="A1157" s="34" t="n"/>
      <c r="B1157" s="32" t="n"/>
      <c r="C1157" s="33" t="n"/>
      <c r="D1157" s="37" t="str">
        <f>IF($C1157="","",IFERROR(INDEX(프로젝트목록!$B$3:$B$62,MATCH($C1157,프로젝트목록!$A$3:$A$62,0)),"미등록코드"))</f>
        <v/>
      </c>
      <c r="E1157" s="32" t="n"/>
      <c r="F1157" s="38" t="n"/>
      <c r="G1157" s="38" t="n"/>
      <c r="H1157" s="39" t="n"/>
      <c r="I1157" s="40" t="str">
        <f>IF(OR($J1157="",$K1157=""),"",ROUND(MAX(0,($K1157-$J1157)-IF($H1157="",0,$H1157))/60,2))</f>
        <v/>
      </c>
      <c r="J1157" s="41" t="str">
        <f>IF($F1157="","",IF($F1157&lt;1,ROUND($F1157*1440,0),INT($F1157/100)*60+MOD($F1157,100)))</f>
        <v/>
      </c>
      <c r="K1157" s="41" t="str">
        <f>IF($G1157="","",IF($G1157&lt;1,ROUND($G1157*1440,0),INT($G1157/100)*60+MOD($G1157,100)))</f>
        <v/>
      </c>
    </row>
    <row r="1158" ht="15" customHeight="1" s="26">
      <c r="A1158" s="34" t="n"/>
      <c r="B1158" s="32" t="n"/>
      <c r="C1158" s="33" t="n"/>
      <c r="D1158" s="37" t="str">
        <f>IF($C1158="","",IFERROR(INDEX(프로젝트목록!$B$3:$B$62,MATCH($C1158,프로젝트목록!$A$3:$A$62,0)),"미등록코드"))</f>
        <v/>
      </c>
      <c r="E1158" s="32" t="n"/>
      <c r="F1158" s="38" t="n"/>
      <c r="G1158" s="38" t="n"/>
      <c r="H1158" s="39" t="n"/>
      <c r="I1158" s="40" t="str">
        <f>IF(OR($J1158="",$K1158=""),"",ROUND(MAX(0,($K1158-$J1158)-IF($H1158="",0,$H1158))/60,2))</f>
        <v/>
      </c>
      <c r="J1158" s="41" t="str">
        <f>IF($F1158="","",IF($F1158&lt;1,ROUND($F1158*1440,0),INT($F1158/100)*60+MOD($F1158,100)))</f>
        <v/>
      </c>
      <c r="K1158" s="41" t="str">
        <f>IF($G1158="","",IF($G1158&lt;1,ROUND($G1158*1440,0),INT($G1158/100)*60+MOD($G1158,100)))</f>
        <v/>
      </c>
    </row>
    <row r="1159" ht="15" customHeight="1" s="26">
      <c r="A1159" s="34" t="n"/>
      <c r="B1159" s="32" t="n"/>
      <c r="C1159" s="33" t="n"/>
      <c r="D1159" s="37" t="str">
        <f>IF($C1159="","",IFERROR(INDEX(프로젝트목록!$B$3:$B$62,MATCH($C1159,프로젝트목록!$A$3:$A$62,0)),"미등록코드"))</f>
        <v/>
      </c>
      <c r="E1159" s="32" t="n"/>
      <c r="F1159" s="38" t="n"/>
      <c r="G1159" s="38" t="n"/>
      <c r="H1159" s="39" t="n"/>
      <c r="I1159" s="40" t="str">
        <f>IF(OR($J1159="",$K1159=""),"",ROUND(MAX(0,($K1159-$J1159)-IF($H1159="",0,$H1159))/60,2))</f>
        <v/>
      </c>
      <c r="J1159" s="41" t="str">
        <f>IF($F1159="","",IF($F1159&lt;1,ROUND($F1159*1440,0),INT($F1159/100)*60+MOD($F1159,100)))</f>
        <v/>
      </c>
      <c r="K1159" s="41" t="str">
        <f>IF($G1159="","",IF($G1159&lt;1,ROUND($G1159*1440,0),INT($G1159/100)*60+MOD($G1159,100)))</f>
        <v/>
      </c>
    </row>
    <row r="1160" ht="15" customHeight="1" s="26">
      <c r="A1160" s="34" t="n"/>
      <c r="B1160" s="32" t="n"/>
      <c r="C1160" s="33" t="n"/>
      <c r="D1160" s="37" t="str">
        <f>IF($C1160="","",IFERROR(INDEX(프로젝트목록!$B$3:$B$62,MATCH($C1160,프로젝트목록!$A$3:$A$62,0)),"미등록코드"))</f>
        <v/>
      </c>
      <c r="E1160" s="32" t="n"/>
      <c r="F1160" s="38" t="n"/>
      <c r="G1160" s="38" t="n"/>
      <c r="H1160" s="39" t="n"/>
      <c r="I1160" s="40" t="str">
        <f>IF(OR($J1160="",$K1160=""),"",ROUND(MAX(0,($K1160-$J1160)-IF($H1160="",0,$H1160))/60,2))</f>
        <v/>
      </c>
      <c r="J1160" s="41" t="str">
        <f>IF($F1160="","",IF($F1160&lt;1,ROUND($F1160*1440,0),INT($F1160/100)*60+MOD($F1160,100)))</f>
        <v/>
      </c>
      <c r="K1160" s="41" t="str">
        <f>IF($G1160="","",IF($G1160&lt;1,ROUND($G1160*1440,0),INT($G1160/100)*60+MOD($G1160,100)))</f>
        <v/>
      </c>
    </row>
    <row r="1161" ht="15" customHeight="1" s="26">
      <c r="A1161" s="34" t="n"/>
      <c r="B1161" s="32" t="n"/>
      <c r="C1161" s="33" t="n"/>
      <c r="D1161" s="37" t="str">
        <f>IF($C1161="","",IFERROR(INDEX(프로젝트목록!$B$3:$B$62,MATCH($C1161,프로젝트목록!$A$3:$A$62,0)),"미등록코드"))</f>
        <v/>
      </c>
      <c r="E1161" s="32" t="n"/>
      <c r="F1161" s="38" t="n"/>
      <c r="G1161" s="38" t="n"/>
      <c r="H1161" s="39" t="n"/>
      <c r="I1161" s="40" t="str">
        <f>IF(OR($J1161="",$K1161=""),"",ROUND(MAX(0,($K1161-$J1161)-IF($H1161="",0,$H1161))/60,2))</f>
        <v/>
      </c>
      <c r="J1161" s="41" t="str">
        <f>IF($F1161="","",IF($F1161&lt;1,ROUND($F1161*1440,0),INT($F1161/100)*60+MOD($F1161,100)))</f>
        <v/>
      </c>
      <c r="K1161" s="41" t="str">
        <f>IF($G1161="","",IF($G1161&lt;1,ROUND($G1161*1440,0),INT($G1161/100)*60+MOD($G1161,100)))</f>
        <v/>
      </c>
    </row>
    <row r="1162" ht="15" customHeight="1" s="26">
      <c r="A1162" s="34" t="n"/>
      <c r="B1162" s="32" t="n"/>
      <c r="C1162" s="33" t="n"/>
      <c r="D1162" s="37" t="str">
        <f>IF($C1162="","",IFERROR(INDEX(프로젝트목록!$B$3:$B$62,MATCH($C1162,프로젝트목록!$A$3:$A$62,0)),"미등록코드"))</f>
        <v/>
      </c>
      <c r="E1162" s="32" t="n"/>
      <c r="F1162" s="38" t="n"/>
      <c r="G1162" s="38" t="n"/>
      <c r="H1162" s="39" t="n"/>
      <c r="I1162" s="40" t="str">
        <f>IF(OR($J1162="",$K1162=""),"",ROUND(MAX(0,($K1162-$J1162)-IF($H1162="",0,$H1162))/60,2))</f>
        <v/>
      </c>
      <c r="J1162" s="41" t="str">
        <f>IF($F1162="","",IF($F1162&lt;1,ROUND($F1162*1440,0),INT($F1162/100)*60+MOD($F1162,100)))</f>
        <v/>
      </c>
      <c r="K1162" s="41" t="str">
        <f>IF($G1162="","",IF($G1162&lt;1,ROUND($G1162*1440,0),INT($G1162/100)*60+MOD($G1162,100)))</f>
        <v/>
      </c>
    </row>
    <row r="1163" ht="15" customHeight="1" s="26">
      <c r="A1163" s="34" t="n"/>
      <c r="B1163" s="32" t="n"/>
      <c r="C1163" s="33" t="n"/>
      <c r="D1163" s="37" t="str">
        <f>IF($C1163="","",IFERROR(INDEX(프로젝트목록!$B$3:$B$62,MATCH($C1163,프로젝트목록!$A$3:$A$62,0)),"미등록코드"))</f>
        <v/>
      </c>
      <c r="E1163" s="32" t="n"/>
      <c r="F1163" s="38" t="n"/>
      <c r="G1163" s="38" t="n"/>
      <c r="H1163" s="39" t="n"/>
      <c r="I1163" s="40" t="str">
        <f>IF(OR($J1163="",$K1163=""),"",ROUND(MAX(0,($K1163-$J1163)-IF($H1163="",0,$H1163))/60,2))</f>
        <v/>
      </c>
      <c r="J1163" s="41" t="str">
        <f>IF($F1163="","",IF($F1163&lt;1,ROUND($F1163*1440,0),INT($F1163/100)*60+MOD($F1163,100)))</f>
        <v/>
      </c>
      <c r="K1163" s="41" t="str">
        <f>IF($G1163="","",IF($G1163&lt;1,ROUND($G1163*1440,0),INT($G1163/100)*60+MOD($G1163,100)))</f>
        <v/>
      </c>
    </row>
    <row r="1164" ht="15" customHeight="1" s="26">
      <c r="A1164" s="34" t="n"/>
      <c r="B1164" s="32" t="n"/>
      <c r="C1164" s="33" t="n"/>
      <c r="D1164" s="37" t="str">
        <f>IF($C1164="","",IFERROR(INDEX(프로젝트목록!$B$3:$B$62,MATCH($C1164,프로젝트목록!$A$3:$A$62,0)),"미등록코드"))</f>
        <v/>
      </c>
      <c r="E1164" s="32" t="n"/>
      <c r="F1164" s="38" t="n"/>
      <c r="G1164" s="38" t="n"/>
      <c r="H1164" s="39" t="n"/>
      <c r="I1164" s="40" t="str">
        <f>IF(OR($J1164="",$K1164=""),"",ROUND(MAX(0,($K1164-$J1164)-IF($H1164="",0,$H1164))/60,2))</f>
        <v/>
      </c>
      <c r="J1164" s="41" t="str">
        <f>IF($F1164="","",IF($F1164&lt;1,ROUND($F1164*1440,0),INT($F1164/100)*60+MOD($F1164,100)))</f>
        <v/>
      </c>
      <c r="K1164" s="41" t="str">
        <f>IF($G1164="","",IF($G1164&lt;1,ROUND($G1164*1440,0),INT($G1164/100)*60+MOD($G1164,100)))</f>
        <v/>
      </c>
    </row>
    <row r="1165" ht="15" customHeight="1" s="26">
      <c r="A1165" s="34" t="n"/>
      <c r="B1165" s="32" t="n"/>
      <c r="C1165" s="33" t="n"/>
      <c r="D1165" s="37" t="str">
        <f>IF($C1165="","",IFERROR(INDEX(프로젝트목록!$B$3:$B$62,MATCH($C1165,프로젝트목록!$A$3:$A$62,0)),"미등록코드"))</f>
        <v/>
      </c>
      <c r="E1165" s="32" t="n"/>
      <c r="F1165" s="38" t="n"/>
      <c r="G1165" s="38" t="n"/>
      <c r="H1165" s="39" t="n"/>
      <c r="I1165" s="40" t="str">
        <f>IF(OR($J1165="",$K1165=""),"",ROUND(MAX(0,($K1165-$J1165)-IF($H1165="",0,$H1165))/60,2))</f>
        <v/>
      </c>
      <c r="J1165" s="41" t="str">
        <f>IF($F1165="","",IF($F1165&lt;1,ROUND($F1165*1440,0),INT($F1165/100)*60+MOD($F1165,100)))</f>
        <v/>
      </c>
      <c r="K1165" s="41" t="str">
        <f>IF($G1165="","",IF($G1165&lt;1,ROUND($G1165*1440,0),INT($G1165/100)*60+MOD($G1165,100)))</f>
        <v/>
      </c>
    </row>
    <row r="1166" ht="15" customHeight="1" s="26">
      <c r="A1166" s="34" t="n"/>
      <c r="B1166" s="32" t="n"/>
      <c r="C1166" s="33" t="n"/>
      <c r="D1166" s="37" t="str">
        <f>IF($C1166="","",IFERROR(INDEX(프로젝트목록!$B$3:$B$62,MATCH($C1166,프로젝트목록!$A$3:$A$62,0)),"미등록코드"))</f>
        <v/>
      </c>
      <c r="E1166" s="32" t="n"/>
      <c r="F1166" s="38" t="n"/>
      <c r="G1166" s="38" t="n"/>
      <c r="H1166" s="39" t="n"/>
      <c r="I1166" s="40" t="str">
        <f>IF(OR($J1166="",$K1166=""),"",ROUND(MAX(0,($K1166-$J1166)-IF($H1166="",0,$H1166))/60,2))</f>
        <v/>
      </c>
      <c r="J1166" s="41" t="str">
        <f>IF($F1166="","",IF($F1166&lt;1,ROUND($F1166*1440,0),INT($F1166/100)*60+MOD($F1166,100)))</f>
        <v/>
      </c>
      <c r="K1166" s="41" t="str">
        <f>IF($G1166="","",IF($G1166&lt;1,ROUND($G1166*1440,0),INT($G1166/100)*60+MOD($G1166,100)))</f>
        <v/>
      </c>
    </row>
    <row r="1167" ht="15" customHeight="1" s="26">
      <c r="A1167" s="34" t="n"/>
      <c r="B1167" s="32" t="n"/>
      <c r="C1167" s="33" t="n"/>
      <c r="D1167" s="37" t="str">
        <f>IF($C1167="","",IFERROR(INDEX(프로젝트목록!$B$3:$B$62,MATCH($C1167,프로젝트목록!$A$3:$A$62,0)),"미등록코드"))</f>
        <v/>
      </c>
      <c r="E1167" s="32" t="n"/>
      <c r="F1167" s="38" t="n"/>
      <c r="G1167" s="38" t="n"/>
      <c r="H1167" s="39" t="n"/>
      <c r="I1167" s="40" t="str">
        <f>IF(OR($J1167="",$K1167=""),"",ROUND(MAX(0,($K1167-$J1167)-IF($H1167="",0,$H1167))/60,2))</f>
        <v/>
      </c>
      <c r="J1167" s="41" t="str">
        <f>IF($F1167="","",IF($F1167&lt;1,ROUND($F1167*1440,0),INT($F1167/100)*60+MOD($F1167,100)))</f>
        <v/>
      </c>
      <c r="K1167" s="41" t="str">
        <f>IF($G1167="","",IF($G1167&lt;1,ROUND($G1167*1440,0),INT($G1167/100)*60+MOD($G1167,100)))</f>
        <v/>
      </c>
    </row>
    <row r="1168" ht="15" customHeight="1" s="26">
      <c r="A1168" s="34" t="n"/>
      <c r="B1168" s="32" t="n"/>
      <c r="C1168" s="33" t="n"/>
      <c r="D1168" s="37" t="str">
        <f>IF($C1168="","",IFERROR(INDEX(프로젝트목록!$B$3:$B$62,MATCH($C1168,프로젝트목록!$A$3:$A$62,0)),"미등록코드"))</f>
        <v/>
      </c>
      <c r="E1168" s="32" t="n"/>
      <c r="F1168" s="38" t="n"/>
      <c r="G1168" s="38" t="n"/>
      <c r="H1168" s="39" t="n"/>
      <c r="I1168" s="40" t="str">
        <f>IF(OR($J1168="",$K1168=""),"",ROUND(MAX(0,($K1168-$J1168)-IF($H1168="",0,$H1168))/60,2))</f>
        <v/>
      </c>
      <c r="J1168" s="41" t="str">
        <f>IF($F1168="","",IF($F1168&lt;1,ROUND($F1168*1440,0),INT($F1168/100)*60+MOD($F1168,100)))</f>
        <v/>
      </c>
      <c r="K1168" s="41" t="str">
        <f>IF($G1168="","",IF($G1168&lt;1,ROUND($G1168*1440,0),INT($G1168/100)*60+MOD($G1168,100)))</f>
        <v/>
      </c>
    </row>
    <row r="1169" ht="15" customHeight="1" s="26">
      <c r="A1169" s="34" t="n"/>
      <c r="B1169" s="32" t="n"/>
      <c r="C1169" s="33" t="n"/>
      <c r="D1169" s="37" t="str">
        <f>IF($C1169="","",IFERROR(INDEX(프로젝트목록!$B$3:$B$62,MATCH($C1169,프로젝트목록!$A$3:$A$62,0)),"미등록코드"))</f>
        <v/>
      </c>
      <c r="E1169" s="32" t="n"/>
      <c r="F1169" s="38" t="n"/>
      <c r="G1169" s="38" t="n"/>
      <c r="H1169" s="39" t="n"/>
      <c r="I1169" s="40" t="str">
        <f>IF(OR($J1169="",$K1169=""),"",ROUND(MAX(0,($K1169-$J1169)-IF($H1169="",0,$H1169))/60,2))</f>
        <v/>
      </c>
      <c r="J1169" s="41" t="str">
        <f>IF($F1169="","",IF($F1169&lt;1,ROUND($F1169*1440,0),INT($F1169/100)*60+MOD($F1169,100)))</f>
        <v/>
      </c>
      <c r="K1169" s="41" t="str">
        <f>IF($G1169="","",IF($G1169&lt;1,ROUND($G1169*1440,0),INT($G1169/100)*60+MOD($G1169,100)))</f>
        <v/>
      </c>
    </row>
    <row r="1170" ht="15" customHeight="1" s="26">
      <c r="A1170" s="34" t="n"/>
      <c r="B1170" s="32" t="n"/>
      <c r="C1170" s="33" t="n"/>
      <c r="D1170" s="37" t="str">
        <f>IF($C1170="","",IFERROR(INDEX(프로젝트목록!$B$3:$B$62,MATCH($C1170,프로젝트목록!$A$3:$A$62,0)),"미등록코드"))</f>
        <v/>
      </c>
      <c r="E1170" s="32" t="n"/>
      <c r="F1170" s="38" t="n"/>
      <c r="G1170" s="38" t="n"/>
      <c r="H1170" s="39" t="n"/>
      <c r="I1170" s="40" t="str">
        <f>IF(OR($J1170="",$K1170=""),"",ROUND(MAX(0,($K1170-$J1170)-IF($H1170="",0,$H1170))/60,2))</f>
        <v/>
      </c>
      <c r="J1170" s="41" t="str">
        <f>IF($F1170="","",IF($F1170&lt;1,ROUND($F1170*1440,0),INT($F1170/100)*60+MOD($F1170,100)))</f>
        <v/>
      </c>
      <c r="K1170" s="41" t="str">
        <f>IF($G1170="","",IF($G1170&lt;1,ROUND($G1170*1440,0),INT($G1170/100)*60+MOD($G1170,100)))</f>
        <v/>
      </c>
    </row>
    <row r="1171" ht="15" customHeight="1" s="26">
      <c r="A1171" s="34" t="n"/>
      <c r="B1171" s="32" t="n"/>
      <c r="C1171" s="33" t="n"/>
      <c r="D1171" s="37" t="str">
        <f>IF($C1171="","",IFERROR(INDEX(프로젝트목록!$B$3:$B$62,MATCH($C1171,프로젝트목록!$A$3:$A$62,0)),"미등록코드"))</f>
        <v/>
      </c>
      <c r="E1171" s="32" t="n"/>
      <c r="F1171" s="38" t="n"/>
      <c r="G1171" s="38" t="n"/>
      <c r="H1171" s="39" t="n"/>
      <c r="I1171" s="40" t="str">
        <f>IF(OR($J1171="",$K1171=""),"",ROUND(MAX(0,($K1171-$J1171)-IF($H1171="",0,$H1171))/60,2))</f>
        <v/>
      </c>
      <c r="J1171" s="41" t="str">
        <f>IF($F1171="","",IF($F1171&lt;1,ROUND($F1171*1440,0),INT($F1171/100)*60+MOD($F1171,100)))</f>
        <v/>
      </c>
      <c r="K1171" s="41" t="str">
        <f>IF($G1171="","",IF($G1171&lt;1,ROUND($G1171*1440,0),INT($G1171/100)*60+MOD($G1171,100)))</f>
        <v/>
      </c>
    </row>
    <row r="1172" ht="15" customHeight="1" s="26">
      <c r="A1172" s="34" t="n"/>
      <c r="B1172" s="32" t="n"/>
      <c r="C1172" s="33" t="n"/>
      <c r="D1172" s="37" t="str">
        <f>IF($C1172="","",IFERROR(INDEX(프로젝트목록!$B$3:$B$62,MATCH($C1172,프로젝트목록!$A$3:$A$62,0)),"미등록코드"))</f>
        <v/>
      </c>
      <c r="E1172" s="32" t="n"/>
      <c r="F1172" s="38" t="n"/>
      <c r="G1172" s="38" t="n"/>
      <c r="H1172" s="39" t="n"/>
      <c r="I1172" s="40" t="str">
        <f>IF(OR($J1172="",$K1172=""),"",ROUND(MAX(0,($K1172-$J1172)-IF($H1172="",0,$H1172))/60,2))</f>
        <v/>
      </c>
      <c r="J1172" s="41" t="str">
        <f>IF($F1172="","",IF($F1172&lt;1,ROUND($F1172*1440,0),INT($F1172/100)*60+MOD($F1172,100)))</f>
        <v/>
      </c>
      <c r="K1172" s="41" t="str">
        <f>IF($G1172="","",IF($G1172&lt;1,ROUND($G1172*1440,0),INT($G1172/100)*60+MOD($G1172,100)))</f>
        <v/>
      </c>
    </row>
    <row r="1173" ht="15" customHeight="1" s="26">
      <c r="A1173" s="34" t="n"/>
      <c r="B1173" s="32" t="n"/>
      <c r="C1173" s="33" t="n"/>
      <c r="D1173" s="37" t="str">
        <f>IF($C1173="","",IFERROR(INDEX(프로젝트목록!$B$3:$B$62,MATCH($C1173,프로젝트목록!$A$3:$A$62,0)),"미등록코드"))</f>
        <v/>
      </c>
      <c r="E1173" s="32" t="n"/>
      <c r="F1173" s="38" t="n"/>
      <c r="G1173" s="38" t="n"/>
      <c r="H1173" s="39" t="n"/>
      <c r="I1173" s="40" t="str">
        <f>IF(OR($J1173="",$K1173=""),"",ROUND(MAX(0,($K1173-$J1173)-IF($H1173="",0,$H1173))/60,2))</f>
        <v/>
      </c>
      <c r="J1173" s="41" t="str">
        <f>IF($F1173="","",IF($F1173&lt;1,ROUND($F1173*1440,0),INT($F1173/100)*60+MOD($F1173,100)))</f>
        <v/>
      </c>
      <c r="K1173" s="41" t="str">
        <f>IF($G1173="","",IF($G1173&lt;1,ROUND($G1173*1440,0),INT($G1173/100)*60+MOD($G1173,100)))</f>
        <v/>
      </c>
    </row>
    <row r="1174" ht="15" customHeight="1" s="26">
      <c r="A1174" s="34" t="n"/>
      <c r="B1174" s="32" t="n"/>
      <c r="C1174" s="33" t="n"/>
      <c r="D1174" s="37" t="str">
        <f>IF($C1174="","",IFERROR(INDEX(프로젝트목록!$B$3:$B$62,MATCH($C1174,프로젝트목록!$A$3:$A$62,0)),"미등록코드"))</f>
        <v/>
      </c>
      <c r="E1174" s="32" t="n"/>
      <c r="F1174" s="38" t="n"/>
      <c r="G1174" s="38" t="n"/>
      <c r="H1174" s="39" t="n"/>
      <c r="I1174" s="40" t="str">
        <f>IF(OR($J1174="",$K1174=""),"",ROUND(MAX(0,($K1174-$J1174)-IF($H1174="",0,$H1174))/60,2))</f>
        <v/>
      </c>
      <c r="J1174" s="41" t="str">
        <f>IF($F1174="","",IF($F1174&lt;1,ROUND($F1174*1440,0),INT($F1174/100)*60+MOD($F1174,100)))</f>
        <v/>
      </c>
      <c r="K1174" s="41" t="str">
        <f>IF($G1174="","",IF($G1174&lt;1,ROUND($G1174*1440,0),INT($G1174/100)*60+MOD($G1174,100)))</f>
        <v/>
      </c>
    </row>
    <row r="1175" ht="15" customHeight="1" s="26">
      <c r="A1175" s="34" t="n"/>
      <c r="B1175" s="32" t="n"/>
      <c r="C1175" s="33" t="n"/>
      <c r="D1175" s="37" t="str">
        <f>IF($C1175="","",IFERROR(INDEX(프로젝트목록!$B$3:$B$62,MATCH($C1175,프로젝트목록!$A$3:$A$62,0)),"미등록코드"))</f>
        <v/>
      </c>
      <c r="E1175" s="32" t="n"/>
      <c r="F1175" s="38" t="n"/>
      <c r="G1175" s="38" t="n"/>
      <c r="H1175" s="39" t="n"/>
      <c r="I1175" s="40" t="str">
        <f>IF(OR($J1175="",$K1175=""),"",ROUND(MAX(0,($K1175-$J1175)-IF($H1175="",0,$H1175))/60,2))</f>
        <v/>
      </c>
      <c r="J1175" s="41" t="str">
        <f>IF($F1175="","",IF($F1175&lt;1,ROUND($F1175*1440,0),INT($F1175/100)*60+MOD($F1175,100)))</f>
        <v/>
      </c>
      <c r="K1175" s="41" t="str">
        <f>IF($G1175="","",IF($G1175&lt;1,ROUND($G1175*1440,0),INT($G1175/100)*60+MOD($G1175,100)))</f>
        <v/>
      </c>
    </row>
    <row r="1176" ht="15" customHeight="1" s="26">
      <c r="A1176" s="34" t="n"/>
      <c r="B1176" s="32" t="n"/>
      <c r="C1176" s="33" t="n"/>
      <c r="D1176" s="37" t="str">
        <f>IF($C1176="","",IFERROR(INDEX(프로젝트목록!$B$3:$B$62,MATCH($C1176,프로젝트목록!$A$3:$A$62,0)),"미등록코드"))</f>
        <v/>
      </c>
      <c r="E1176" s="32" t="n"/>
      <c r="F1176" s="38" t="n"/>
      <c r="G1176" s="38" t="n"/>
      <c r="H1176" s="39" t="n"/>
      <c r="I1176" s="40" t="str">
        <f>IF(OR($J1176="",$K1176=""),"",ROUND(MAX(0,($K1176-$J1176)-IF($H1176="",0,$H1176))/60,2))</f>
        <v/>
      </c>
      <c r="J1176" s="41" t="str">
        <f>IF($F1176="","",IF($F1176&lt;1,ROUND($F1176*1440,0),INT($F1176/100)*60+MOD($F1176,100)))</f>
        <v/>
      </c>
      <c r="K1176" s="41" t="str">
        <f>IF($G1176="","",IF($G1176&lt;1,ROUND($G1176*1440,0),INT($G1176/100)*60+MOD($G1176,100)))</f>
        <v/>
      </c>
    </row>
    <row r="1177" ht="15" customHeight="1" s="26">
      <c r="A1177" s="34" t="n"/>
      <c r="B1177" s="32" t="n"/>
      <c r="C1177" s="33" t="n"/>
      <c r="D1177" s="37" t="str">
        <f>IF($C1177="","",IFERROR(INDEX(프로젝트목록!$B$3:$B$62,MATCH($C1177,프로젝트목록!$A$3:$A$62,0)),"미등록코드"))</f>
        <v/>
      </c>
      <c r="E1177" s="32" t="n"/>
      <c r="F1177" s="38" t="n"/>
      <c r="G1177" s="38" t="n"/>
      <c r="H1177" s="39" t="n"/>
      <c r="I1177" s="40" t="str">
        <f>IF(OR($J1177="",$K1177=""),"",ROUND(MAX(0,($K1177-$J1177)-IF($H1177="",0,$H1177))/60,2))</f>
        <v/>
      </c>
      <c r="J1177" s="41" t="str">
        <f>IF($F1177="","",IF($F1177&lt;1,ROUND($F1177*1440,0),INT($F1177/100)*60+MOD($F1177,100)))</f>
        <v/>
      </c>
      <c r="K1177" s="41" t="str">
        <f>IF($G1177="","",IF($G1177&lt;1,ROUND($G1177*1440,0),INT($G1177/100)*60+MOD($G1177,100)))</f>
        <v/>
      </c>
    </row>
    <row r="1178" ht="15" customHeight="1" s="26">
      <c r="A1178" s="34" t="n"/>
      <c r="B1178" s="32" t="n"/>
      <c r="C1178" s="33" t="n"/>
      <c r="D1178" s="37" t="str">
        <f>IF($C1178="","",IFERROR(INDEX(프로젝트목록!$B$3:$B$62,MATCH($C1178,프로젝트목록!$A$3:$A$62,0)),"미등록코드"))</f>
        <v/>
      </c>
      <c r="E1178" s="32" t="n"/>
      <c r="F1178" s="38" t="n"/>
      <c r="G1178" s="38" t="n"/>
      <c r="H1178" s="39" t="n"/>
      <c r="I1178" s="40" t="str">
        <f>IF(OR($J1178="",$K1178=""),"",ROUND(MAX(0,($K1178-$J1178)-IF($H1178="",0,$H1178))/60,2))</f>
        <v/>
      </c>
      <c r="J1178" s="41" t="str">
        <f>IF($F1178="","",IF($F1178&lt;1,ROUND($F1178*1440,0),INT($F1178/100)*60+MOD($F1178,100)))</f>
        <v/>
      </c>
      <c r="K1178" s="41" t="str">
        <f>IF($G1178="","",IF($G1178&lt;1,ROUND($G1178*1440,0),INT($G1178/100)*60+MOD($G1178,100)))</f>
        <v/>
      </c>
    </row>
    <row r="1179" ht="15" customHeight="1" s="26">
      <c r="A1179" s="34" t="n"/>
      <c r="B1179" s="32" t="n"/>
      <c r="C1179" s="33" t="n"/>
      <c r="D1179" s="37" t="str">
        <f>IF($C1179="","",IFERROR(INDEX(프로젝트목록!$B$3:$B$62,MATCH($C1179,프로젝트목록!$A$3:$A$62,0)),"미등록코드"))</f>
        <v/>
      </c>
      <c r="E1179" s="32" t="n"/>
      <c r="F1179" s="38" t="n"/>
      <c r="G1179" s="38" t="n"/>
      <c r="H1179" s="39" t="n"/>
      <c r="I1179" s="40" t="str">
        <f>IF(OR($J1179="",$K1179=""),"",ROUND(MAX(0,($K1179-$J1179)-IF($H1179="",0,$H1179))/60,2))</f>
        <v/>
      </c>
      <c r="J1179" s="41" t="str">
        <f>IF($F1179="","",IF($F1179&lt;1,ROUND($F1179*1440,0),INT($F1179/100)*60+MOD($F1179,100)))</f>
        <v/>
      </c>
      <c r="K1179" s="41" t="str">
        <f>IF($G1179="","",IF($G1179&lt;1,ROUND($G1179*1440,0),INT($G1179/100)*60+MOD($G1179,100)))</f>
        <v/>
      </c>
    </row>
    <row r="1180" ht="15" customHeight="1" s="26">
      <c r="A1180" s="34" t="n"/>
      <c r="B1180" s="32" t="n"/>
      <c r="C1180" s="33" t="n"/>
      <c r="D1180" s="37" t="str">
        <f>IF($C1180="","",IFERROR(INDEX(프로젝트목록!$B$3:$B$62,MATCH($C1180,프로젝트목록!$A$3:$A$62,0)),"미등록코드"))</f>
        <v/>
      </c>
      <c r="E1180" s="32" t="n"/>
      <c r="F1180" s="38" t="n"/>
      <c r="G1180" s="38" t="n"/>
      <c r="H1180" s="39" t="n"/>
      <c r="I1180" s="40" t="str">
        <f>IF(OR($J1180="",$K1180=""),"",ROUND(MAX(0,($K1180-$J1180)-IF($H1180="",0,$H1180))/60,2))</f>
        <v/>
      </c>
      <c r="J1180" s="41" t="str">
        <f>IF($F1180="","",IF($F1180&lt;1,ROUND($F1180*1440,0),INT($F1180/100)*60+MOD($F1180,100)))</f>
        <v/>
      </c>
      <c r="K1180" s="41" t="str">
        <f>IF($G1180="","",IF($G1180&lt;1,ROUND($G1180*1440,0),INT($G1180/100)*60+MOD($G1180,100)))</f>
        <v/>
      </c>
    </row>
    <row r="1181" ht="15" customHeight="1" s="26">
      <c r="A1181" s="34" t="n"/>
      <c r="B1181" s="32" t="n"/>
      <c r="C1181" s="33" t="n"/>
      <c r="D1181" s="37" t="str">
        <f>IF($C1181="","",IFERROR(INDEX(프로젝트목록!$B$3:$B$62,MATCH($C1181,프로젝트목록!$A$3:$A$62,0)),"미등록코드"))</f>
        <v/>
      </c>
      <c r="E1181" s="32" t="n"/>
      <c r="F1181" s="38" t="n"/>
      <c r="G1181" s="38" t="n"/>
      <c r="H1181" s="39" t="n"/>
      <c r="I1181" s="40" t="str">
        <f>IF(OR($J1181="",$K1181=""),"",ROUND(MAX(0,($K1181-$J1181)-IF($H1181="",0,$H1181))/60,2))</f>
        <v/>
      </c>
      <c r="J1181" s="41" t="str">
        <f>IF($F1181="","",IF($F1181&lt;1,ROUND($F1181*1440,0),INT($F1181/100)*60+MOD($F1181,100)))</f>
        <v/>
      </c>
      <c r="K1181" s="41" t="str">
        <f>IF($G1181="","",IF($G1181&lt;1,ROUND($G1181*1440,0),INT($G1181/100)*60+MOD($G1181,100)))</f>
        <v/>
      </c>
    </row>
    <row r="1182" ht="15" customHeight="1" s="26">
      <c r="A1182" s="34" t="n"/>
      <c r="B1182" s="32" t="n"/>
      <c r="C1182" s="33" t="n"/>
      <c r="D1182" s="37" t="str">
        <f>IF($C1182="","",IFERROR(INDEX(프로젝트목록!$B$3:$B$62,MATCH($C1182,프로젝트목록!$A$3:$A$62,0)),"미등록코드"))</f>
        <v/>
      </c>
      <c r="E1182" s="32" t="n"/>
      <c r="F1182" s="38" t="n"/>
      <c r="G1182" s="38" t="n"/>
      <c r="H1182" s="39" t="n"/>
      <c r="I1182" s="40" t="str">
        <f>IF(OR($J1182="",$K1182=""),"",ROUND(MAX(0,($K1182-$J1182)-IF($H1182="",0,$H1182))/60,2))</f>
        <v/>
      </c>
      <c r="J1182" s="41" t="str">
        <f>IF($F1182="","",IF($F1182&lt;1,ROUND($F1182*1440,0),INT($F1182/100)*60+MOD($F1182,100)))</f>
        <v/>
      </c>
      <c r="K1182" s="41" t="str">
        <f>IF($G1182="","",IF($G1182&lt;1,ROUND($G1182*1440,0),INT($G1182/100)*60+MOD($G1182,100)))</f>
        <v/>
      </c>
    </row>
    <row r="1183" ht="15" customHeight="1" s="26">
      <c r="A1183" s="34" t="n"/>
      <c r="B1183" s="32" t="n"/>
      <c r="C1183" s="33" t="n"/>
      <c r="D1183" s="37" t="str">
        <f>IF($C1183="","",IFERROR(INDEX(프로젝트목록!$B$3:$B$62,MATCH($C1183,프로젝트목록!$A$3:$A$62,0)),"미등록코드"))</f>
        <v/>
      </c>
      <c r="E1183" s="32" t="n"/>
      <c r="F1183" s="38" t="n"/>
      <c r="G1183" s="38" t="n"/>
      <c r="H1183" s="39" t="n"/>
      <c r="I1183" s="40" t="str">
        <f>IF(OR($J1183="",$K1183=""),"",ROUND(MAX(0,($K1183-$J1183)-IF($H1183="",0,$H1183))/60,2))</f>
        <v/>
      </c>
      <c r="J1183" s="41" t="str">
        <f>IF($F1183="","",IF($F1183&lt;1,ROUND($F1183*1440,0),INT($F1183/100)*60+MOD($F1183,100)))</f>
        <v/>
      </c>
      <c r="K1183" s="41" t="str">
        <f>IF($G1183="","",IF($G1183&lt;1,ROUND($G1183*1440,0),INT($G1183/100)*60+MOD($G1183,100)))</f>
        <v/>
      </c>
    </row>
    <row r="1184" ht="15" customHeight="1" s="26">
      <c r="A1184" s="34" t="n"/>
      <c r="B1184" s="32" t="n"/>
      <c r="C1184" s="33" t="n"/>
      <c r="D1184" s="37" t="str">
        <f>IF($C1184="","",IFERROR(INDEX(프로젝트목록!$B$3:$B$62,MATCH($C1184,프로젝트목록!$A$3:$A$62,0)),"미등록코드"))</f>
        <v/>
      </c>
      <c r="E1184" s="32" t="n"/>
      <c r="F1184" s="38" t="n"/>
      <c r="G1184" s="38" t="n"/>
      <c r="H1184" s="39" t="n"/>
      <c r="I1184" s="40" t="str">
        <f>IF(OR($J1184="",$K1184=""),"",ROUND(MAX(0,($K1184-$J1184)-IF($H1184="",0,$H1184))/60,2))</f>
        <v/>
      </c>
      <c r="J1184" s="41" t="str">
        <f>IF($F1184="","",IF($F1184&lt;1,ROUND($F1184*1440,0),INT($F1184/100)*60+MOD($F1184,100)))</f>
        <v/>
      </c>
      <c r="K1184" s="41" t="str">
        <f>IF($G1184="","",IF($G1184&lt;1,ROUND($G1184*1440,0),INT($G1184/100)*60+MOD($G1184,100)))</f>
        <v/>
      </c>
    </row>
    <row r="1185" ht="15" customHeight="1" s="26">
      <c r="A1185" s="34" t="n"/>
      <c r="B1185" s="32" t="n"/>
      <c r="C1185" s="33" t="n"/>
      <c r="D1185" s="37" t="str">
        <f>IF($C1185="","",IFERROR(INDEX(프로젝트목록!$B$3:$B$62,MATCH($C1185,프로젝트목록!$A$3:$A$62,0)),"미등록코드"))</f>
        <v/>
      </c>
      <c r="E1185" s="32" t="n"/>
      <c r="F1185" s="38" t="n"/>
      <c r="G1185" s="38" t="n"/>
      <c r="H1185" s="39" t="n"/>
      <c r="I1185" s="40" t="str">
        <f>IF(OR($J1185="",$K1185=""),"",ROUND(MAX(0,($K1185-$J1185)-IF($H1185="",0,$H1185))/60,2))</f>
        <v/>
      </c>
      <c r="J1185" s="41" t="str">
        <f>IF($F1185="","",IF($F1185&lt;1,ROUND($F1185*1440,0),INT($F1185/100)*60+MOD($F1185,100)))</f>
        <v/>
      </c>
      <c r="K1185" s="41" t="str">
        <f>IF($G1185="","",IF($G1185&lt;1,ROUND($G1185*1440,0),INT($G1185/100)*60+MOD($G1185,100)))</f>
        <v/>
      </c>
    </row>
    <row r="1186" ht="15" customHeight="1" s="26">
      <c r="A1186" s="34" t="n"/>
      <c r="B1186" s="32" t="n"/>
      <c r="C1186" s="33" t="n"/>
      <c r="D1186" s="37" t="str">
        <f>IF($C1186="","",IFERROR(INDEX(프로젝트목록!$B$3:$B$62,MATCH($C1186,프로젝트목록!$A$3:$A$62,0)),"미등록코드"))</f>
        <v/>
      </c>
      <c r="E1186" s="32" t="n"/>
      <c r="F1186" s="38" t="n"/>
      <c r="G1186" s="38" t="n"/>
      <c r="H1186" s="39" t="n"/>
      <c r="I1186" s="40" t="str">
        <f>IF(OR($J1186="",$K1186=""),"",ROUND(MAX(0,($K1186-$J1186)-IF($H1186="",0,$H1186))/60,2))</f>
        <v/>
      </c>
      <c r="J1186" s="41" t="str">
        <f>IF($F1186="","",IF($F1186&lt;1,ROUND($F1186*1440,0),INT($F1186/100)*60+MOD($F1186,100)))</f>
        <v/>
      </c>
      <c r="K1186" s="41" t="str">
        <f>IF($G1186="","",IF($G1186&lt;1,ROUND($G1186*1440,0),INT($G1186/100)*60+MOD($G1186,100)))</f>
        <v/>
      </c>
    </row>
    <row r="1187" ht="15" customHeight="1" s="26">
      <c r="A1187" s="34" t="n"/>
      <c r="B1187" s="32" t="n"/>
      <c r="C1187" s="33" t="n"/>
      <c r="D1187" s="37" t="str">
        <f>IF($C1187="","",IFERROR(INDEX(프로젝트목록!$B$3:$B$62,MATCH($C1187,프로젝트목록!$A$3:$A$62,0)),"미등록코드"))</f>
        <v/>
      </c>
      <c r="E1187" s="32" t="n"/>
      <c r="F1187" s="38" t="n"/>
      <c r="G1187" s="38" t="n"/>
      <c r="H1187" s="39" t="n"/>
      <c r="I1187" s="40" t="str">
        <f>IF(OR($J1187="",$K1187=""),"",ROUND(MAX(0,($K1187-$J1187)-IF($H1187="",0,$H1187))/60,2))</f>
        <v/>
      </c>
      <c r="J1187" s="41" t="str">
        <f>IF($F1187="","",IF($F1187&lt;1,ROUND($F1187*1440,0),INT($F1187/100)*60+MOD($F1187,100)))</f>
        <v/>
      </c>
      <c r="K1187" s="41" t="str">
        <f>IF($G1187="","",IF($G1187&lt;1,ROUND($G1187*1440,0),INT($G1187/100)*60+MOD($G1187,100)))</f>
        <v/>
      </c>
    </row>
    <row r="1188" ht="15" customHeight="1" s="26">
      <c r="A1188" s="34" t="n"/>
      <c r="B1188" s="32" t="n"/>
      <c r="C1188" s="33" t="n"/>
      <c r="D1188" s="37" t="str">
        <f>IF($C1188="","",IFERROR(INDEX(프로젝트목록!$B$3:$B$62,MATCH($C1188,프로젝트목록!$A$3:$A$62,0)),"미등록코드"))</f>
        <v/>
      </c>
      <c r="E1188" s="32" t="n"/>
      <c r="F1188" s="38" t="n"/>
      <c r="G1188" s="38" t="n"/>
      <c r="H1188" s="39" t="n"/>
      <c r="I1188" s="40" t="str">
        <f>IF(OR($J1188="",$K1188=""),"",ROUND(MAX(0,($K1188-$J1188)-IF($H1188="",0,$H1188))/60,2))</f>
        <v/>
      </c>
      <c r="J1188" s="41" t="str">
        <f>IF($F1188="","",IF($F1188&lt;1,ROUND($F1188*1440,0),INT($F1188/100)*60+MOD($F1188,100)))</f>
        <v/>
      </c>
      <c r="K1188" s="41" t="str">
        <f>IF($G1188="","",IF($G1188&lt;1,ROUND($G1188*1440,0),INT($G1188/100)*60+MOD($G1188,100)))</f>
        <v/>
      </c>
    </row>
    <row r="1189" ht="15" customHeight="1" s="26">
      <c r="A1189" s="34" t="n"/>
      <c r="B1189" s="32" t="n"/>
      <c r="C1189" s="33" t="n"/>
      <c r="D1189" s="37" t="str">
        <f>IF($C1189="","",IFERROR(INDEX(프로젝트목록!$B$3:$B$62,MATCH($C1189,프로젝트목록!$A$3:$A$62,0)),"미등록코드"))</f>
        <v/>
      </c>
      <c r="E1189" s="32" t="n"/>
      <c r="F1189" s="38" t="n"/>
      <c r="G1189" s="38" t="n"/>
      <c r="H1189" s="39" t="n"/>
      <c r="I1189" s="40" t="str">
        <f>IF(OR($J1189="",$K1189=""),"",ROUND(MAX(0,($K1189-$J1189)-IF($H1189="",0,$H1189))/60,2))</f>
        <v/>
      </c>
      <c r="J1189" s="41" t="str">
        <f>IF($F1189="","",IF($F1189&lt;1,ROUND($F1189*1440,0),INT($F1189/100)*60+MOD($F1189,100)))</f>
        <v/>
      </c>
      <c r="K1189" s="41" t="str">
        <f>IF($G1189="","",IF($G1189&lt;1,ROUND($G1189*1440,0),INT($G1189/100)*60+MOD($G1189,100)))</f>
        <v/>
      </c>
    </row>
    <row r="1190" ht="15" customHeight="1" s="26">
      <c r="A1190" s="34" t="n"/>
      <c r="B1190" s="32" t="n"/>
      <c r="C1190" s="33" t="n"/>
      <c r="D1190" s="37" t="str">
        <f>IF($C1190="","",IFERROR(INDEX(프로젝트목록!$B$3:$B$62,MATCH($C1190,프로젝트목록!$A$3:$A$62,0)),"미등록코드"))</f>
        <v/>
      </c>
      <c r="E1190" s="32" t="n"/>
      <c r="F1190" s="38" t="n"/>
      <c r="G1190" s="38" t="n"/>
      <c r="H1190" s="39" t="n"/>
      <c r="I1190" s="40" t="str">
        <f>IF(OR($J1190="",$K1190=""),"",ROUND(MAX(0,($K1190-$J1190)-IF($H1190="",0,$H1190))/60,2))</f>
        <v/>
      </c>
      <c r="J1190" s="41" t="str">
        <f>IF($F1190="","",IF($F1190&lt;1,ROUND($F1190*1440,0),INT($F1190/100)*60+MOD($F1190,100)))</f>
        <v/>
      </c>
      <c r="K1190" s="41" t="str">
        <f>IF($G1190="","",IF($G1190&lt;1,ROUND($G1190*1440,0),INT($G1190/100)*60+MOD($G1190,100)))</f>
        <v/>
      </c>
    </row>
    <row r="1191" ht="15" customHeight="1" s="26">
      <c r="A1191" s="34" t="n"/>
      <c r="B1191" s="32" t="n"/>
      <c r="C1191" s="33" t="n"/>
      <c r="D1191" s="37" t="str">
        <f>IF($C1191="","",IFERROR(INDEX(프로젝트목록!$B$3:$B$62,MATCH($C1191,프로젝트목록!$A$3:$A$62,0)),"미등록코드"))</f>
        <v/>
      </c>
      <c r="E1191" s="32" t="n"/>
      <c r="F1191" s="38" t="n"/>
      <c r="G1191" s="38" t="n"/>
      <c r="H1191" s="39" t="n"/>
      <c r="I1191" s="40" t="str">
        <f>IF(OR($J1191="",$K1191=""),"",ROUND(MAX(0,($K1191-$J1191)-IF($H1191="",0,$H1191))/60,2))</f>
        <v/>
      </c>
      <c r="J1191" s="41" t="str">
        <f>IF($F1191="","",IF($F1191&lt;1,ROUND($F1191*1440,0),INT($F1191/100)*60+MOD($F1191,100)))</f>
        <v/>
      </c>
      <c r="K1191" s="41" t="str">
        <f>IF($G1191="","",IF($G1191&lt;1,ROUND($G1191*1440,0),INT($G1191/100)*60+MOD($G1191,100)))</f>
        <v/>
      </c>
    </row>
    <row r="1192" ht="15" customHeight="1" s="26">
      <c r="A1192" s="34" t="n"/>
      <c r="B1192" s="32" t="n"/>
      <c r="C1192" s="33" t="n"/>
      <c r="D1192" s="37" t="str">
        <f>IF($C1192="","",IFERROR(INDEX(프로젝트목록!$B$3:$B$62,MATCH($C1192,프로젝트목록!$A$3:$A$62,0)),"미등록코드"))</f>
        <v/>
      </c>
      <c r="E1192" s="32" t="n"/>
      <c r="F1192" s="38" t="n"/>
      <c r="G1192" s="38" t="n"/>
      <c r="H1192" s="39" t="n"/>
      <c r="I1192" s="40" t="str">
        <f>IF(OR($J1192="",$K1192=""),"",ROUND(MAX(0,($K1192-$J1192)-IF($H1192="",0,$H1192))/60,2))</f>
        <v/>
      </c>
      <c r="J1192" s="41" t="str">
        <f>IF($F1192="","",IF($F1192&lt;1,ROUND($F1192*1440,0),INT($F1192/100)*60+MOD($F1192,100)))</f>
        <v/>
      </c>
      <c r="K1192" s="41" t="str">
        <f>IF($G1192="","",IF($G1192&lt;1,ROUND($G1192*1440,0),INT($G1192/100)*60+MOD($G1192,100)))</f>
        <v/>
      </c>
    </row>
    <row r="1193" ht="15" customHeight="1" s="26">
      <c r="A1193" s="34" t="n"/>
      <c r="B1193" s="32" t="n"/>
      <c r="C1193" s="33" t="n"/>
      <c r="D1193" s="37" t="str">
        <f>IF($C1193="","",IFERROR(INDEX(프로젝트목록!$B$3:$B$62,MATCH($C1193,프로젝트목록!$A$3:$A$62,0)),"미등록코드"))</f>
        <v/>
      </c>
      <c r="E1193" s="32" t="n"/>
      <c r="F1193" s="38" t="n"/>
      <c r="G1193" s="38" t="n"/>
      <c r="H1193" s="39" t="n"/>
      <c r="I1193" s="40" t="str">
        <f>IF(OR($J1193="",$K1193=""),"",ROUND(MAX(0,($K1193-$J1193)-IF($H1193="",0,$H1193))/60,2))</f>
        <v/>
      </c>
      <c r="J1193" s="41" t="str">
        <f>IF($F1193="","",IF($F1193&lt;1,ROUND($F1193*1440,0),INT($F1193/100)*60+MOD($F1193,100)))</f>
        <v/>
      </c>
      <c r="K1193" s="41" t="str">
        <f>IF($G1193="","",IF($G1193&lt;1,ROUND($G1193*1440,0),INT($G1193/100)*60+MOD($G1193,100)))</f>
        <v/>
      </c>
    </row>
    <row r="1194" ht="15" customHeight="1" s="26">
      <c r="A1194" s="34" t="n"/>
      <c r="B1194" s="32" t="n"/>
      <c r="C1194" s="33" t="n"/>
      <c r="D1194" s="37" t="str">
        <f>IF($C1194="","",IFERROR(INDEX(프로젝트목록!$B$3:$B$62,MATCH($C1194,프로젝트목록!$A$3:$A$62,0)),"미등록코드"))</f>
        <v/>
      </c>
      <c r="E1194" s="32" t="n"/>
      <c r="F1194" s="38" t="n"/>
      <c r="G1194" s="38" t="n"/>
      <c r="H1194" s="39" t="n"/>
      <c r="I1194" s="40" t="str">
        <f>IF(OR($J1194="",$K1194=""),"",ROUND(MAX(0,($K1194-$J1194)-IF($H1194="",0,$H1194))/60,2))</f>
        <v/>
      </c>
      <c r="J1194" s="41" t="str">
        <f>IF($F1194="","",IF($F1194&lt;1,ROUND($F1194*1440,0),INT($F1194/100)*60+MOD($F1194,100)))</f>
        <v/>
      </c>
      <c r="K1194" s="41" t="str">
        <f>IF($G1194="","",IF($G1194&lt;1,ROUND($G1194*1440,0),INT($G1194/100)*60+MOD($G1194,100)))</f>
        <v/>
      </c>
    </row>
    <row r="1195" ht="15" customHeight="1" s="26">
      <c r="A1195" s="34" t="n"/>
      <c r="B1195" s="32" t="n"/>
      <c r="C1195" s="33" t="n"/>
      <c r="D1195" s="37" t="str">
        <f>IF($C1195="","",IFERROR(INDEX(프로젝트목록!$B$3:$B$62,MATCH($C1195,프로젝트목록!$A$3:$A$62,0)),"미등록코드"))</f>
        <v/>
      </c>
      <c r="E1195" s="32" t="n"/>
      <c r="F1195" s="38" t="n"/>
      <c r="G1195" s="38" t="n"/>
      <c r="H1195" s="39" t="n"/>
      <c r="I1195" s="40" t="str">
        <f>IF(OR($J1195="",$K1195=""),"",ROUND(MAX(0,($K1195-$J1195)-IF($H1195="",0,$H1195))/60,2))</f>
        <v/>
      </c>
      <c r="J1195" s="41" t="str">
        <f>IF($F1195="","",IF($F1195&lt;1,ROUND($F1195*1440,0),INT($F1195/100)*60+MOD($F1195,100)))</f>
        <v/>
      </c>
      <c r="K1195" s="41" t="str">
        <f>IF($G1195="","",IF($G1195&lt;1,ROUND($G1195*1440,0),INT($G1195/100)*60+MOD($G1195,100)))</f>
        <v/>
      </c>
    </row>
    <row r="1196" ht="15" customHeight="1" s="26">
      <c r="A1196" s="34" t="n"/>
      <c r="B1196" s="32" t="n"/>
      <c r="C1196" s="33" t="n"/>
      <c r="D1196" s="37" t="str">
        <f>IF($C1196="","",IFERROR(INDEX(프로젝트목록!$B$3:$B$62,MATCH($C1196,프로젝트목록!$A$3:$A$62,0)),"미등록코드"))</f>
        <v/>
      </c>
      <c r="E1196" s="32" t="n"/>
      <c r="F1196" s="38" t="n"/>
      <c r="G1196" s="38" t="n"/>
      <c r="H1196" s="39" t="n"/>
      <c r="I1196" s="40" t="str">
        <f>IF(OR($J1196="",$K1196=""),"",ROUND(MAX(0,($K1196-$J1196)-IF($H1196="",0,$H1196))/60,2))</f>
        <v/>
      </c>
      <c r="J1196" s="41" t="str">
        <f>IF($F1196="","",IF($F1196&lt;1,ROUND($F1196*1440,0),INT($F1196/100)*60+MOD($F1196,100)))</f>
        <v/>
      </c>
      <c r="K1196" s="41" t="str">
        <f>IF($G1196="","",IF($G1196&lt;1,ROUND($G1196*1440,0),INT($G1196/100)*60+MOD($G1196,100)))</f>
        <v/>
      </c>
    </row>
    <row r="1197" ht="15" customHeight="1" s="26">
      <c r="A1197" s="34" t="n"/>
      <c r="B1197" s="32" t="n"/>
      <c r="C1197" s="33" t="n"/>
      <c r="D1197" s="37" t="str">
        <f>IF($C1197="","",IFERROR(INDEX(프로젝트목록!$B$3:$B$62,MATCH($C1197,프로젝트목록!$A$3:$A$62,0)),"미등록코드"))</f>
        <v/>
      </c>
      <c r="E1197" s="32" t="n"/>
      <c r="F1197" s="38" t="n"/>
      <c r="G1197" s="38" t="n"/>
      <c r="H1197" s="39" t="n"/>
      <c r="I1197" s="40" t="str">
        <f>IF(OR($J1197="",$K1197=""),"",ROUND(MAX(0,($K1197-$J1197)-IF($H1197="",0,$H1197))/60,2))</f>
        <v/>
      </c>
      <c r="J1197" s="41" t="str">
        <f>IF($F1197="","",IF($F1197&lt;1,ROUND($F1197*1440,0),INT($F1197/100)*60+MOD($F1197,100)))</f>
        <v/>
      </c>
      <c r="K1197" s="41" t="str">
        <f>IF($G1197="","",IF($G1197&lt;1,ROUND($G1197*1440,0),INT($G1197/100)*60+MOD($G1197,100)))</f>
        <v/>
      </c>
    </row>
    <row r="1198" ht="15" customHeight="1" s="26">
      <c r="A1198" s="34" t="n"/>
      <c r="B1198" s="32" t="n"/>
      <c r="C1198" s="33" t="n"/>
      <c r="D1198" s="37" t="str">
        <f>IF($C1198="","",IFERROR(INDEX(프로젝트목록!$B$3:$B$62,MATCH($C1198,프로젝트목록!$A$3:$A$62,0)),"미등록코드"))</f>
        <v/>
      </c>
      <c r="E1198" s="32" t="n"/>
      <c r="F1198" s="38" t="n"/>
      <c r="G1198" s="38" t="n"/>
      <c r="H1198" s="39" t="n"/>
      <c r="I1198" s="40" t="str">
        <f>IF(OR($J1198="",$K1198=""),"",ROUND(MAX(0,($K1198-$J1198)-IF($H1198="",0,$H1198))/60,2))</f>
        <v/>
      </c>
      <c r="J1198" s="41" t="str">
        <f>IF($F1198="","",IF($F1198&lt;1,ROUND($F1198*1440,0),INT($F1198/100)*60+MOD($F1198,100)))</f>
        <v/>
      </c>
      <c r="K1198" s="41" t="str">
        <f>IF($G1198="","",IF($G1198&lt;1,ROUND($G1198*1440,0),INT($G1198/100)*60+MOD($G1198,100)))</f>
        <v/>
      </c>
    </row>
    <row r="1199" ht="15" customHeight="1" s="26">
      <c r="A1199" s="34" t="n"/>
      <c r="B1199" s="32" t="n"/>
      <c r="C1199" s="33" t="n"/>
      <c r="D1199" s="37" t="str">
        <f>IF($C1199="","",IFERROR(INDEX(프로젝트목록!$B$3:$B$62,MATCH($C1199,프로젝트목록!$A$3:$A$62,0)),"미등록코드"))</f>
        <v/>
      </c>
      <c r="E1199" s="32" t="n"/>
      <c r="F1199" s="38" t="n"/>
      <c r="G1199" s="38" t="n"/>
      <c r="H1199" s="39" t="n"/>
      <c r="I1199" s="40" t="str">
        <f>IF(OR($J1199="",$K1199=""),"",ROUND(MAX(0,($K1199-$J1199)-IF($H1199="",0,$H1199))/60,2))</f>
        <v/>
      </c>
      <c r="J1199" s="41" t="str">
        <f>IF($F1199="","",IF($F1199&lt;1,ROUND($F1199*1440,0),INT($F1199/100)*60+MOD($F1199,100)))</f>
        <v/>
      </c>
      <c r="K1199" s="41" t="str">
        <f>IF($G1199="","",IF($G1199&lt;1,ROUND($G1199*1440,0),INT($G1199/100)*60+MOD($G1199,100)))</f>
        <v/>
      </c>
    </row>
    <row r="1200" ht="15" customHeight="1" s="26">
      <c r="A1200" s="34" t="n"/>
      <c r="B1200" s="32" t="n"/>
      <c r="C1200" s="33" t="n"/>
      <c r="D1200" s="37" t="str">
        <f>IF($C1200="","",IFERROR(INDEX(프로젝트목록!$B$3:$B$62,MATCH($C1200,프로젝트목록!$A$3:$A$62,0)),"미등록코드"))</f>
        <v/>
      </c>
      <c r="E1200" s="32" t="n"/>
      <c r="F1200" s="38" t="n"/>
      <c r="G1200" s="38" t="n"/>
      <c r="H1200" s="39" t="n"/>
      <c r="I1200" s="40" t="str">
        <f>IF(OR($J1200="",$K1200=""),"",ROUND(MAX(0,($K1200-$J1200)-IF($H1200="",0,$H1200))/60,2))</f>
        <v/>
      </c>
      <c r="J1200" s="41" t="str">
        <f>IF($F1200="","",IF($F1200&lt;1,ROUND($F1200*1440,0),INT($F1200/100)*60+MOD($F1200,100)))</f>
        <v/>
      </c>
      <c r="K1200" s="41" t="str">
        <f>IF($G1200="","",IF($G1200&lt;1,ROUND($G1200*1440,0),INT($G1200/100)*60+MOD($G1200,100)))</f>
        <v/>
      </c>
    </row>
    <row r="1201" ht="15" customHeight="1" s="26">
      <c r="A1201" s="34" t="n"/>
      <c r="B1201" s="32" t="n"/>
      <c r="C1201" s="33" t="n"/>
      <c r="D1201" s="37" t="str">
        <f>IF($C1201="","",IFERROR(INDEX(프로젝트목록!$B$3:$B$62,MATCH($C1201,프로젝트목록!$A$3:$A$62,0)),"미등록코드"))</f>
        <v/>
      </c>
      <c r="E1201" s="32" t="n"/>
      <c r="F1201" s="38" t="n"/>
      <c r="G1201" s="38" t="n"/>
      <c r="H1201" s="39" t="n"/>
      <c r="I1201" s="40" t="str">
        <f>IF(OR($J1201="",$K1201=""),"",ROUND(MAX(0,($K1201-$J1201)-IF($H1201="",0,$H1201))/60,2))</f>
        <v/>
      </c>
      <c r="J1201" s="41" t="str">
        <f>IF($F1201="","",IF($F1201&lt;1,ROUND($F1201*1440,0),INT($F1201/100)*60+MOD($F1201,100)))</f>
        <v/>
      </c>
      <c r="K1201" s="41" t="str">
        <f>IF($G1201="","",IF($G1201&lt;1,ROUND($G1201*1440,0),INT($G1201/100)*60+MOD($G1201,100)))</f>
        <v/>
      </c>
    </row>
    <row r="1202" ht="15" customHeight="1" s="26">
      <c r="A1202" s="34" t="n"/>
      <c r="B1202" s="32" t="n"/>
      <c r="C1202" s="33" t="n"/>
      <c r="D1202" s="37" t="str">
        <f>IF($C1202="","",IFERROR(INDEX(프로젝트목록!$B$3:$B$62,MATCH($C1202,프로젝트목록!$A$3:$A$62,0)),"미등록코드"))</f>
        <v/>
      </c>
      <c r="E1202" s="32" t="n"/>
      <c r="F1202" s="38" t="n"/>
      <c r="G1202" s="38" t="n"/>
      <c r="H1202" s="39" t="n"/>
      <c r="I1202" s="40" t="str">
        <f>IF(OR($J1202="",$K1202=""),"",ROUND(MAX(0,($K1202-$J1202)-IF($H1202="",0,$H1202))/60,2))</f>
        <v/>
      </c>
      <c r="J1202" s="41" t="str">
        <f>IF($F1202="","",IF($F1202&lt;1,ROUND($F1202*1440,0),INT($F1202/100)*60+MOD($F1202,100)))</f>
        <v/>
      </c>
      <c r="K1202" s="41" t="str">
        <f>IF($G1202="","",IF($G1202&lt;1,ROUND($G1202*1440,0),INT($G1202/100)*60+MOD($G1202,100)))</f>
        <v/>
      </c>
    </row>
    <row r="1203" ht="15" customHeight="1" s="26">
      <c r="A1203" s="34" t="n"/>
      <c r="B1203" s="32" t="n"/>
      <c r="C1203" s="33" t="n"/>
      <c r="D1203" s="37" t="str">
        <f>IF($C1203="","",IFERROR(INDEX(프로젝트목록!$B$3:$B$62,MATCH($C1203,프로젝트목록!$A$3:$A$62,0)),"미등록코드"))</f>
        <v/>
      </c>
      <c r="E1203" s="32" t="n"/>
      <c r="F1203" s="38" t="n"/>
      <c r="G1203" s="38" t="n"/>
      <c r="H1203" s="39" t="n"/>
      <c r="I1203" s="40" t="str">
        <f>IF(OR($J1203="",$K1203=""),"",ROUND(MAX(0,($K1203-$J1203)-IF($H1203="",0,$H1203))/60,2))</f>
        <v/>
      </c>
      <c r="J1203" s="41" t="str">
        <f>IF($F1203="","",IF($F1203&lt;1,ROUND($F1203*1440,0),INT($F1203/100)*60+MOD($F1203,100)))</f>
        <v/>
      </c>
      <c r="K1203" s="41" t="str">
        <f>IF($G1203="","",IF($G1203&lt;1,ROUND($G1203*1440,0),INT($G1203/100)*60+MOD($G1203,100)))</f>
        <v/>
      </c>
    </row>
    <row r="1204" ht="15" customHeight="1" s="26">
      <c r="A1204" s="34" t="n"/>
      <c r="B1204" s="32" t="n"/>
      <c r="C1204" s="33" t="n"/>
      <c r="D1204" s="37" t="str">
        <f>IF($C1204="","",IFERROR(INDEX(프로젝트목록!$B$3:$B$62,MATCH($C1204,프로젝트목록!$A$3:$A$62,0)),"미등록코드"))</f>
        <v/>
      </c>
      <c r="E1204" s="32" t="n"/>
      <c r="F1204" s="38" t="n"/>
      <c r="G1204" s="38" t="n"/>
      <c r="H1204" s="39" t="n"/>
      <c r="I1204" s="40" t="str">
        <f>IF(OR($J1204="",$K1204=""),"",ROUND(MAX(0,($K1204-$J1204)-IF($H1204="",0,$H1204))/60,2))</f>
        <v/>
      </c>
      <c r="J1204" s="41" t="str">
        <f>IF($F1204="","",IF($F1204&lt;1,ROUND($F1204*1440,0),INT($F1204/100)*60+MOD($F1204,100)))</f>
        <v/>
      </c>
      <c r="K1204" s="41" t="str">
        <f>IF($G1204="","",IF($G1204&lt;1,ROUND($G1204*1440,0),INT($G1204/100)*60+MOD($G1204,100)))</f>
        <v/>
      </c>
    </row>
    <row r="1205" ht="15" customHeight="1" s="26">
      <c r="A1205" s="34" t="n"/>
      <c r="B1205" s="32" t="n"/>
      <c r="C1205" s="33" t="n"/>
      <c r="D1205" s="37" t="str">
        <f>IF($C1205="","",IFERROR(INDEX(프로젝트목록!$B$3:$B$62,MATCH($C1205,프로젝트목록!$A$3:$A$62,0)),"미등록코드"))</f>
        <v/>
      </c>
      <c r="E1205" s="32" t="n"/>
      <c r="F1205" s="38" t="n"/>
      <c r="G1205" s="38" t="n"/>
      <c r="H1205" s="39" t="n"/>
      <c r="I1205" s="40" t="str">
        <f>IF(OR($J1205="",$K1205=""),"",ROUND(MAX(0,($K1205-$J1205)-IF($H1205="",0,$H1205))/60,2))</f>
        <v/>
      </c>
      <c r="J1205" s="41" t="str">
        <f>IF($F1205="","",IF($F1205&lt;1,ROUND($F1205*1440,0),INT($F1205/100)*60+MOD($F1205,100)))</f>
        <v/>
      </c>
      <c r="K1205" s="41" t="str">
        <f>IF($G1205="","",IF($G1205&lt;1,ROUND($G1205*1440,0),INT($G1205/100)*60+MOD($G1205,100)))</f>
        <v/>
      </c>
    </row>
    <row r="1206" ht="15" customHeight="1" s="26">
      <c r="A1206" s="34" t="n"/>
      <c r="B1206" s="32" t="n"/>
      <c r="C1206" s="33" t="n"/>
      <c r="D1206" s="37" t="str">
        <f>IF($C1206="","",IFERROR(INDEX(프로젝트목록!$B$3:$B$62,MATCH($C1206,프로젝트목록!$A$3:$A$62,0)),"미등록코드"))</f>
        <v/>
      </c>
      <c r="E1206" s="32" t="n"/>
      <c r="F1206" s="38" t="n"/>
      <c r="G1206" s="38" t="n"/>
      <c r="H1206" s="39" t="n"/>
      <c r="I1206" s="40" t="str">
        <f>IF(OR($J1206="",$K1206=""),"",ROUND(MAX(0,($K1206-$J1206)-IF($H1206="",0,$H1206))/60,2))</f>
        <v/>
      </c>
      <c r="J1206" s="41" t="str">
        <f>IF($F1206="","",IF($F1206&lt;1,ROUND($F1206*1440,0),INT($F1206/100)*60+MOD($F1206,100)))</f>
        <v/>
      </c>
      <c r="K1206" s="41" t="str">
        <f>IF($G1206="","",IF($G1206&lt;1,ROUND($G1206*1440,0),INT($G1206/100)*60+MOD($G1206,100)))</f>
        <v/>
      </c>
    </row>
    <row r="1207" ht="15" customHeight="1" s="26">
      <c r="A1207" s="34" t="n"/>
      <c r="B1207" s="32" t="n"/>
      <c r="C1207" s="33" t="n"/>
      <c r="D1207" s="37" t="str">
        <f>IF($C1207="","",IFERROR(INDEX(프로젝트목록!$B$3:$B$62,MATCH($C1207,프로젝트목록!$A$3:$A$62,0)),"미등록코드"))</f>
        <v/>
      </c>
      <c r="E1207" s="32" t="n"/>
      <c r="F1207" s="38" t="n"/>
      <c r="G1207" s="38" t="n"/>
      <c r="H1207" s="39" t="n"/>
      <c r="I1207" s="40" t="str">
        <f>IF(OR($J1207="",$K1207=""),"",ROUND(MAX(0,($K1207-$J1207)-IF($H1207="",0,$H1207))/60,2))</f>
        <v/>
      </c>
      <c r="J1207" s="41" t="str">
        <f>IF($F1207="","",IF($F1207&lt;1,ROUND($F1207*1440,0),INT($F1207/100)*60+MOD($F1207,100)))</f>
        <v/>
      </c>
      <c r="K1207" s="41" t="str">
        <f>IF($G1207="","",IF($G1207&lt;1,ROUND($G1207*1440,0),INT($G1207/100)*60+MOD($G1207,100)))</f>
        <v/>
      </c>
    </row>
    <row r="1208" ht="15" customHeight="1" s="26">
      <c r="A1208" s="34" t="n"/>
      <c r="B1208" s="32" t="n"/>
      <c r="C1208" s="33" t="n"/>
      <c r="D1208" s="37" t="str">
        <f>IF($C1208="","",IFERROR(INDEX(프로젝트목록!$B$3:$B$62,MATCH($C1208,프로젝트목록!$A$3:$A$62,0)),"미등록코드"))</f>
        <v/>
      </c>
      <c r="E1208" s="32" t="n"/>
      <c r="F1208" s="38" t="n"/>
      <c r="G1208" s="38" t="n"/>
      <c r="H1208" s="39" t="n"/>
      <c r="I1208" s="40" t="str">
        <f>IF(OR($J1208="",$K1208=""),"",ROUND(MAX(0,($K1208-$J1208)-IF($H1208="",0,$H1208))/60,2))</f>
        <v/>
      </c>
      <c r="J1208" s="41" t="str">
        <f>IF($F1208="","",IF($F1208&lt;1,ROUND($F1208*1440,0),INT($F1208/100)*60+MOD($F1208,100)))</f>
        <v/>
      </c>
      <c r="K1208" s="41" t="str">
        <f>IF($G1208="","",IF($G1208&lt;1,ROUND($G1208*1440,0),INT($G1208/100)*60+MOD($G1208,100)))</f>
        <v/>
      </c>
    </row>
    <row r="1209" ht="15" customHeight="1" s="26">
      <c r="A1209" s="34" t="n"/>
      <c r="B1209" s="32" t="n"/>
      <c r="C1209" s="33" t="n"/>
      <c r="D1209" s="37" t="str">
        <f>IF($C1209="","",IFERROR(INDEX(프로젝트목록!$B$3:$B$62,MATCH($C1209,프로젝트목록!$A$3:$A$62,0)),"미등록코드"))</f>
        <v/>
      </c>
      <c r="E1209" s="32" t="n"/>
      <c r="F1209" s="38" t="n"/>
      <c r="G1209" s="38" t="n"/>
      <c r="H1209" s="39" t="n"/>
      <c r="I1209" s="40" t="str">
        <f>IF(OR($J1209="",$K1209=""),"",ROUND(MAX(0,($K1209-$J1209)-IF($H1209="",0,$H1209))/60,2))</f>
        <v/>
      </c>
      <c r="J1209" s="41" t="str">
        <f>IF($F1209="","",IF($F1209&lt;1,ROUND($F1209*1440,0),INT($F1209/100)*60+MOD($F1209,100)))</f>
        <v/>
      </c>
      <c r="K1209" s="41" t="str">
        <f>IF($G1209="","",IF($G1209&lt;1,ROUND($G1209*1440,0),INT($G1209/100)*60+MOD($G1209,100)))</f>
        <v/>
      </c>
    </row>
    <row r="1210" ht="15" customHeight="1" s="26">
      <c r="A1210" s="34" t="n"/>
      <c r="B1210" s="32" t="n"/>
      <c r="C1210" s="33" t="n"/>
      <c r="D1210" s="37" t="str">
        <f>IF($C1210="","",IFERROR(INDEX(프로젝트목록!$B$3:$B$62,MATCH($C1210,프로젝트목록!$A$3:$A$62,0)),"미등록코드"))</f>
        <v/>
      </c>
      <c r="E1210" s="32" t="n"/>
      <c r="F1210" s="38" t="n"/>
      <c r="G1210" s="38" t="n"/>
      <c r="H1210" s="39" t="n"/>
      <c r="I1210" s="40" t="str">
        <f>IF(OR($J1210="",$K1210=""),"",ROUND(MAX(0,($K1210-$J1210)-IF($H1210="",0,$H1210))/60,2))</f>
        <v/>
      </c>
      <c r="J1210" s="41" t="str">
        <f>IF($F1210="","",IF($F1210&lt;1,ROUND($F1210*1440,0),INT($F1210/100)*60+MOD($F1210,100)))</f>
        <v/>
      </c>
      <c r="K1210" s="41" t="str">
        <f>IF($G1210="","",IF($G1210&lt;1,ROUND($G1210*1440,0),INT($G1210/100)*60+MOD($G1210,100)))</f>
        <v/>
      </c>
    </row>
    <row r="1211" ht="15" customHeight="1" s="26">
      <c r="A1211" s="34" t="n"/>
      <c r="B1211" s="32" t="n"/>
      <c r="C1211" s="33" t="n"/>
      <c r="D1211" s="37" t="str">
        <f>IF($C1211="","",IFERROR(INDEX(프로젝트목록!$B$3:$B$62,MATCH($C1211,프로젝트목록!$A$3:$A$62,0)),"미등록코드"))</f>
        <v/>
      </c>
      <c r="E1211" s="32" t="n"/>
      <c r="F1211" s="38" t="n"/>
      <c r="G1211" s="38" t="n"/>
      <c r="H1211" s="39" t="n"/>
      <c r="I1211" s="40" t="str">
        <f>IF(OR($J1211="",$K1211=""),"",ROUND(MAX(0,($K1211-$J1211)-IF($H1211="",0,$H1211))/60,2))</f>
        <v/>
      </c>
      <c r="J1211" s="41" t="str">
        <f>IF($F1211="","",IF($F1211&lt;1,ROUND($F1211*1440,0),INT($F1211/100)*60+MOD($F1211,100)))</f>
        <v/>
      </c>
      <c r="K1211" s="41" t="str">
        <f>IF($G1211="","",IF($G1211&lt;1,ROUND($G1211*1440,0),INT($G1211/100)*60+MOD($G1211,100)))</f>
        <v/>
      </c>
    </row>
    <row r="1212" ht="15" customHeight="1" s="26">
      <c r="A1212" s="34" t="n"/>
      <c r="B1212" s="32" t="n"/>
      <c r="C1212" s="33" t="n"/>
      <c r="D1212" s="37" t="str">
        <f>IF($C1212="","",IFERROR(INDEX(프로젝트목록!$B$3:$B$62,MATCH($C1212,프로젝트목록!$A$3:$A$62,0)),"미등록코드"))</f>
        <v/>
      </c>
      <c r="E1212" s="32" t="n"/>
      <c r="F1212" s="38" t="n"/>
      <c r="G1212" s="38" t="n"/>
      <c r="H1212" s="39" t="n"/>
      <c r="I1212" s="40" t="str">
        <f>IF(OR($J1212="",$K1212=""),"",ROUND(MAX(0,($K1212-$J1212)-IF($H1212="",0,$H1212))/60,2))</f>
        <v/>
      </c>
      <c r="J1212" s="41" t="str">
        <f>IF($F1212="","",IF($F1212&lt;1,ROUND($F1212*1440,0),INT($F1212/100)*60+MOD($F1212,100)))</f>
        <v/>
      </c>
      <c r="K1212" s="41" t="str">
        <f>IF($G1212="","",IF($G1212&lt;1,ROUND($G1212*1440,0),INT($G1212/100)*60+MOD($G1212,100)))</f>
        <v/>
      </c>
    </row>
    <row r="1213" ht="15" customHeight="1" s="26">
      <c r="A1213" s="34" t="n"/>
      <c r="B1213" s="32" t="n"/>
      <c r="C1213" s="33" t="n"/>
      <c r="D1213" s="37" t="str">
        <f>IF($C1213="","",IFERROR(INDEX(프로젝트목록!$B$3:$B$62,MATCH($C1213,프로젝트목록!$A$3:$A$62,0)),"미등록코드"))</f>
        <v/>
      </c>
      <c r="E1213" s="32" t="n"/>
      <c r="F1213" s="38" t="n"/>
      <c r="G1213" s="38" t="n"/>
      <c r="H1213" s="39" t="n"/>
      <c r="I1213" s="40" t="str">
        <f>IF(OR($J1213="",$K1213=""),"",ROUND(MAX(0,($K1213-$J1213)-IF($H1213="",0,$H1213))/60,2))</f>
        <v/>
      </c>
      <c r="J1213" s="41" t="str">
        <f>IF($F1213="","",IF($F1213&lt;1,ROUND($F1213*1440,0),INT($F1213/100)*60+MOD($F1213,100)))</f>
        <v/>
      </c>
      <c r="K1213" s="41" t="str">
        <f>IF($G1213="","",IF($G1213&lt;1,ROUND($G1213*1440,0),INT($G1213/100)*60+MOD($G1213,100)))</f>
        <v/>
      </c>
    </row>
    <row r="1214" ht="15" customHeight="1" s="26">
      <c r="A1214" s="34" t="n"/>
      <c r="B1214" s="32" t="n"/>
      <c r="C1214" s="33" t="n"/>
      <c r="D1214" s="37" t="str">
        <f>IF($C1214="","",IFERROR(INDEX(프로젝트목록!$B$3:$B$62,MATCH($C1214,프로젝트목록!$A$3:$A$62,0)),"미등록코드"))</f>
        <v/>
      </c>
      <c r="E1214" s="32" t="n"/>
      <c r="F1214" s="38" t="n"/>
      <c r="G1214" s="38" t="n"/>
      <c r="H1214" s="39" t="n"/>
      <c r="I1214" s="40" t="str">
        <f>IF(OR($J1214="",$K1214=""),"",ROUND(MAX(0,($K1214-$J1214)-IF($H1214="",0,$H1214))/60,2))</f>
        <v/>
      </c>
      <c r="J1214" s="41" t="str">
        <f>IF($F1214="","",IF($F1214&lt;1,ROUND($F1214*1440,0),INT($F1214/100)*60+MOD($F1214,100)))</f>
        <v/>
      </c>
      <c r="K1214" s="41" t="str">
        <f>IF($G1214="","",IF($G1214&lt;1,ROUND($G1214*1440,0),INT($G1214/100)*60+MOD($G1214,100)))</f>
        <v/>
      </c>
    </row>
    <row r="1215" ht="15" customHeight="1" s="26">
      <c r="A1215" s="34" t="n"/>
      <c r="B1215" s="32" t="n"/>
      <c r="C1215" s="33" t="n"/>
      <c r="D1215" s="37" t="str">
        <f>IF($C1215="","",IFERROR(INDEX(프로젝트목록!$B$3:$B$62,MATCH($C1215,프로젝트목록!$A$3:$A$62,0)),"미등록코드"))</f>
        <v/>
      </c>
      <c r="E1215" s="32" t="n"/>
      <c r="F1215" s="38" t="n"/>
      <c r="G1215" s="38" t="n"/>
      <c r="H1215" s="39" t="n"/>
      <c r="I1215" s="40" t="str">
        <f>IF(OR($J1215="",$K1215=""),"",ROUND(MAX(0,($K1215-$J1215)-IF($H1215="",0,$H1215))/60,2))</f>
        <v/>
      </c>
      <c r="J1215" s="41" t="str">
        <f>IF($F1215="","",IF($F1215&lt;1,ROUND($F1215*1440,0),INT($F1215/100)*60+MOD($F1215,100)))</f>
        <v/>
      </c>
      <c r="K1215" s="41" t="str">
        <f>IF($G1215="","",IF($G1215&lt;1,ROUND($G1215*1440,0),INT($G1215/100)*60+MOD($G1215,100)))</f>
        <v/>
      </c>
    </row>
    <row r="1216" ht="15" customHeight="1" s="26">
      <c r="A1216" s="34" t="n"/>
      <c r="B1216" s="32" t="n"/>
      <c r="C1216" s="33" t="n"/>
      <c r="D1216" s="37" t="str">
        <f>IF($C1216="","",IFERROR(INDEX(프로젝트목록!$B$3:$B$62,MATCH($C1216,프로젝트목록!$A$3:$A$62,0)),"미등록코드"))</f>
        <v/>
      </c>
      <c r="E1216" s="32" t="n"/>
      <c r="F1216" s="38" t="n"/>
      <c r="G1216" s="38" t="n"/>
      <c r="H1216" s="39" t="n"/>
      <c r="I1216" s="40" t="str">
        <f>IF(OR($J1216="",$K1216=""),"",ROUND(MAX(0,($K1216-$J1216)-IF($H1216="",0,$H1216))/60,2))</f>
        <v/>
      </c>
      <c r="J1216" s="41" t="str">
        <f>IF($F1216="","",IF($F1216&lt;1,ROUND($F1216*1440,0),INT($F1216/100)*60+MOD($F1216,100)))</f>
        <v/>
      </c>
      <c r="K1216" s="41" t="str">
        <f>IF($G1216="","",IF($G1216&lt;1,ROUND($G1216*1440,0),INT($G1216/100)*60+MOD($G1216,100)))</f>
        <v/>
      </c>
    </row>
    <row r="1217" ht="15" customHeight="1" s="26">
      <c r="A1217" s="34" t="n"/>
      <c r="B1217" s="32" t="n"/>
      <c r="C1217" s="33" t="n"/>
      <c r="D1217" s="37" t="str">
        <f>IF($C1217="","",IFERROR(INDEX(프로젝트목록!$B$3:$B$62,MATCH($C1217,프로젝트목록!$A$3:$A$62,0)),"미등록코드"))</f>
        <v/>
      </c>
      <c r="E1217" s="32" t="n"/>
      <c r="F1217" s="38" t="n"/>
      <c r="G1217" s="38" t="n"/>
      <c r="H1217" s="39" t="n"/>
      <c r="I1217" s="40" t="str">
        <f>IF(OR($J1217="",$K1217=""),"",ROUND(MAX(0,($K1217-$J1217)-IF($H1217="",0,$H1217))/60,2))</f>
        <v/>
      </c>
      <c r="J1217" s="41" t="str">
        <f>IF($F1217="","",IF($F1217&lt;1,ROUND($F1217*1440,0),INT($F1217/100)*60+MOD($F1217,100)))</f>
        <v/>
      </c>
      <c r="K1217" s="41" t="str">
        <f>IF($G1217="","",IF($G1217&lt;1,ROUND($G1217*1440,0),INT($G1217/100)*60+MOD($G1217,100)))</f>
        <v/>
      </c>
    </row>
    <row r="1218" ht="15" customHeight="1" s="26">
      <c r="A1218" s="34" t="n"/>
      <c r="B1218" s="32" t="n"/>
      <c r="C1218" s="33" t="n"/>
      <c r="D1218" s="37" t="str">
        <f>IF($C1218="","",IFERROR(INDEX(프로젝트목록!$B$3:$B$62,MATCH($C1218,프로젝트목록!$A$3:$A$62,0)),"미등록코드"))</f>
        <v/>
      </c>
      <c r="E1218" s="32" t="n"/>
      <c r="F1218" s="38" t="n"/>
      <c r="G1218" s="38" t="n"/>
      <c r="H1218" s="39" t="n"/>
      <c r="I1218" s="40" t="str">
        <f>IF(OR($J1218="",$K1218=""),"",ROUND(MAX(0,($K1218-$J1218)-IF($H1218="",0,$H1218))/60,2))</f>
        <v/>
      </c>
      <c r="J1218" s="41" t="str">
        <f>IF($F1218="","",IF($F1218&lt;1,ROUND($F1218*1440,0),INT($F1218/100)*60+MOD($F1218,100)))</f>
        <v/>
      </c>
      <c r="K1218" s="41" t="str">
        <f>IF($G1218="","",IF($G1218&lt;1,ROUND($G1218*1440,0),INT($G1218/100)*60+MOD($G1218,100)))</f>
        <v/>
      </c>
    </row>
    <row r="1219" ht="15" customHeight="1" s="26">
      <c r="A1219" s="34" t="n"/>
      <c r="B1219" s="32" t="n"/>
      <c r="C1219" s="33" t="n"/>
      <c r="D1219" s="37" t="str">
        <f>IF($C1219="","",IFERROR(INDEX(프로젝트목록!$B$3:$B$62,MATCH($C1219,프로젝트목록!$A$3:$A$62,0)),"미등록코드"))</f>
        <v/>
      </c>
      <c r="E1219" s="32" t="n"/>
      <c r="F1219" s="38" t="n"/>
      <c r="G1219" s="38" t="n"/>
      <c r="H1219" s="39" t="n"/>
      <c r="I1219" s="40" t="str">
        <f>IF(OR($J1219="",$K1219=""),"",ROUND(MAX(0,($K1219-$J1219)-IF($H1219="",0,$H1219))/60,2))</f>
        <v/>
      </c>
      <c r="J1219" s="41" t="str">
        <f>IF($F1219="","",IF($F1219&lt;1,ROUND($F1219*1440,0),INT($F1219/100)*60+MOD($F1219,100)))</f>
        <v/>
      </c>
      <c r="K1219" s="41" t="str">
        <f>IF($G1219="","",IF($G1219&lt;1,ROUND($G1219*1440,0),INT($G1219/100)*60+MOD($G1219,100)))</f>
        <v/>
      </c>
    </row>
    <row r="1220" ht="15" customHeight="1" s="26">
      <c r="A1220" s="34" t="n"/>
      <c r="B1220" s="32" t="n"/>
      <c r="C1220" s="33" t="n"/>
      <c r="D1220" s="37" t="str">
        <f>IF($C1220="","",IFERROR(INDEX(프로젝트목록!$B$3:$B$62,MATCH($C1220,프로젝트목록!$A$3:$A$62,0)),"미등록코드"))</f>
        <v/>
      </c>
      <c r="E1220" s="32" t="n"/>
      <c r="F1220" s="38" t="n"/>
      <c r="G1220" s="38" t="n"/>
      <c r="H1220" s="39" t="n"/>
      <c r="I1220" s="40" t="str">
        <f>IF(OR($J1220="",$K1220=""),"",ROUND(MAX(0,($K1220-$J1220)-IF($H1220="",0,$H1220))/60,2))</f>
        <v/>
      </c>
      <c r="J1220" s="41" t="str">
        <f>IF($F1220="","",IF($F1220&lt;1,ROUND($F1220*1440,0),INT($F1220/100)*60+MOD($F1220,100)))</f>
        <v/>
      </c>
      <c r="K1220" s="41" t="str">
        <f>IF($G1220="","",IF($G1220&lt;1,ROUND($G1220*1440,0),INT($G1220/100)*60+MOD($G1220,100)))</f>
        <v/>
      </c>
    </row>
    <row r="1221" ht="15" customHeight="1" s="26">
      <c r="A1221" s="34" t="n"/>
      <c r="B1221" s="32" t="n"/>
      <c r="C1221" s="33" t="n"/>
      <c r="D1221" s="37" t="str">
        <f>IF($C1221="","",IFERROR(INDEX(프로젝트목록!$B$3:$B$62,MATCH($C1221,프로젝트목록!$A$3:$A$62,0)),"미등록코드"))</f>
        <v/>
      </c>
      <c r="E1221" s="32" t="n"/>
      <c r="F1221" s="38" t="n"/>
      <c r="G1221" s="38" t="n"/>
      <c r="H1221" s="39" t="n"/>
      <c r="I1221" s="40" t="str">
        <f>IF(OR($J1221="",$K1221=""),"",ROUND(MAX(0,($K1221-$J1221)-IF($H1221="",0,$H1221))/60,2))</f>
        <v/>
      </c>
      <c r="J1221" s="41" t="str">
        <f>IF($F1221="","",IF($F1221&lt;1,ROUND($F1221*1440,0),INT($F1221/100)*60+MOD($F1221,100)))</f>
        <v/>
      </c>
      <c r="K1221" s="41" t="str">
        <f>IF($G1221="","",IF($G1221&lt;1,ROUND($G1221*1440,0),INT($G1221/100)*60+MOD($G1221,100)))</f>
        <v/>
      </c>
    </row>
    <row r="1222" ht="15" customHeight="1" s="26">
      <c r="A1222" s="34" t="n"/>
      <c r="B1222" s="32" t="n"/>
      <c r="C1222" s="33" t="n"/>
      <c r="D1222" s="37" t="str">
        <f>IF($C1222="","",IFERROR(INDEX(프로젝트목록!$B$3:$B$62,MATCH($C1222,프로젝트목록!$A$3:$A$62,0)),"미등록코드"))</f>
        <v/>
      </c>
      <c r="E1222" s="32" t="n"/>
      <c r="F1222" s="38" t="n"/>
      <c r="G1222" s="38" t="n"/>
      <c r="H1222" s="39" t="n"/>
      <c r="I1222" s="40" t="str">
        <f>IF(OR($J1222="",$K1222=""),"",ROUND(MAX(0,($K1222-$J1222)-IF($H1222="",0,$H1222))/60,2))</f>
        <v/>
      </c>
      <c r="J1222" s="41" t="str">
        <f>IF($F1222="","",IF($F1222&lt;1,ROUND($F1222*1440,0),INT($F1222/100)*60+MOD($F1222,100)))</f>
        <v/>
      </c>
      <c r="K1222" s="41" t="str">
        <f>IF($G1222="","",IF($G1222&lt;1,ROUND($G1222*1440,0),INT($G1222/100)*60+MOD($G1222,100)))</f>
        <v/>
      </c>
    </row>
    <row r="1223" ht="15" customHeight="1" s="26">
      <c r="A1223" s="34" t="n"/>
      <c r="B1223" s="32" t="n"/>
      <c r="C1223" s="33" t="n"/>
      <c r="D1223" s="37" t="str">
        <f>IF($C1223="","",IFERROR(INDEX(프로젝트목록!$B$3:$B$62,MATCH($C1223,프로젝트목록!$A$3:$A$62,0)),"미등록코드"))</f>
        <v/>
      </c>
      <c r="E1223" s="32" t="n"/>
      <c r="F1223" s="38" t="n"/>
      <c r="G1223" s="38" t="n"/>
      <c r="H1223" s="39" t="n"/>
      <c r="I1223" s="40" t="str">
        <f>IF(OR($J1223="",$K1223=""),"",ROUND(MAX(0,($K1223-$J1223)-IF($H1223="",0,$H1223))/60,2))</f>
        <v/>
      </c>
      <c r="J1223" s="41" t="str">
        <f>IF($F1223="","",IF($F1223&lt;1,ROUND($F1223*1440,0),INT($F1223/100)*60+MOD($F1223,100)))</f>
        <v/>
      </c>
      <c r="K1223" s="41" t="str">
        <f>IF($G1223="","",IF($G1223&lt;1,ROUND($G1223*1440,0),INT($G1223/100)*60+MOD($G1223,100)))</f>
        <v/>
      </c>
    </row>
    <row r="1224" ht="15" customHeight="1" s="26">
      <c r="A1224" s="34" t="n"/>
      <c r="B1224" s="32" t="n"/>
      <c r="C1224" s="33" t="n"/>
      <c r="D1224" s="37" t="str">
        <f>IF($C1224="","",IFERROR(INDEX(프로젝트목록!$B$3:$B$62,MATCH($C1224,프로젝트목록!$A$3:$A$62,0)),"미등록코드"))</f>
        <v/>
      </c>
      <c r="E1224" s="32" t="n"/>
      <c r="F1224" s="38" t="n"/>
      <c r="G1224" s="38" t="n"/>
      <c r="H1224" s="39" t="n"/>
      <c r="I1224" s="40" t="str">
        <f>IF(OR($J1224="",$K1224=""),"",ROUND(MAX(0,($K1224-$J1224)-IF($H1224="",0,$H1224))/60,2))</f>
        <v/>
      </c>
      <c r="J1224" s="41" t="str">
        <f>IF($F1224="","",IF($F1224&lt;1,ROUND($F1224*1440,0),INT($F1224/100)*60+MOD($F1224,100)))</f>
        <v/>
      </c>
      <c r="K1224" s="41" t="str">
        <f>IF($G1224="","",IF($G1224&lt;1,ROUND($G1224*1440,0),INT($G1224/100)*60+MOD($G1224,100)))</f>
        <v/>
      </c>
    </row>
    <row r="1225" ht="15" customHeight="1" s="26">
      <c r="A1225" s="34" t="n"/>
      <c r="B1225" s="32" t="n"/>
      <c r="C1225" s="33" t="n"/>
      <c r="D1225" s="37" t="str">
        <f>IF($C1225="","",IFERROR(INDEX(프로젝트목록!$B$3:$B$62,MATCH($C1225,프로젝트목록!$A$3:$A$62,0)),"미등록코드"))</f>
        <v/>
      </c>
      <c r="E1225" s="32" t="n"/>
      <c r="F1225" s="38" t="n"/>
      <c r="G1225" s="38" t="n"/>
      <c r="H1225" s="39" t="n"/>
      <c r="I1225" s="40" t="str">
        <f>IF(OR($J1225="",$K1225=""),"",ROUND(MAX(0,($K1225-$J1225)-IF($H1225="",0,$H1225))/60,2))</f>
        <v/>
      </c>
      <c r="J1225" s="41" t="str">
        <f>IF($F1225="","",IF($F1225&lt;1,ROUND($F1225*1440,0),INT($F1225/100)*60+MOD($F1225,100)))</f>
        <v/>
      </c>
      <c r="K1225" s="41" t="str">
        <f>IF($G1225="","",IF($G1225&lt;1,ROUND($G1225*1440,0),INT($G1225/100)*60+MOD($G1225,100)))</f>
        <v/>
      </c>
    </row>
    <row r="1226" ht="15" customHeight="1" s="26">
      <c r="A1226" s="34" t="n"/>
      <c r="B1226" s="32" t="n"/>
      <c r="C1226" s="33" t="n"/>
      <c r="D1226" s="37" t="str">
        <f>IF($C1226="","",IFERROR(INDEX(프로젝트목록!$B$3:$B$62,MATCH($C1226,프로젝트목록!$A$3:$A$62,0)),"미등록코드"))</f>
        <v/>
      </c>
      <c r="E1226" s="32" t="n"/>
      <c r="F1226" s="38" t="n"/>
      <c r="G1226" s="38" t="n"/>
      <c r="H1226" s="39" t="n"/>
      <c r="I1226" s="40" t="str">
        <f>IF(OR($J1226="",$K1226=""),"",ROUND(MAX(0,($K1226-$J1226)-IF($H1226="",0,$H1226))/60,2))</f>
        <v/>
      </c>
      <c r="J1226" s="41" t="str">
        <f>IF($F1226="","",IF($F1226&lt;1,ROUND($F1226*1440,0),INT($F1226/100)*60+MOD($F1226,100)))</f>
        <v/>
      </c>
      <c r="K1226" s="41" t="str">
        <f>IF($G1226="","",IF($G1226&lt;1,ROUND($G1226*1440,0),INT($G1226/100)*60+MOD($G1226,100)))</f>
        <v/>
      </c>
    </row>
    <row r="1227" ht="15" customHeight="1" s="26">
      <c r="A1227" s="34" t="n"/>
      <c r="B1227" s="32" t="n"/>
      <c r="C1227" s="33" t="n"/>
      <c r="D1227" s="37" t="str">
        <f>IF($C1227="","",IFERROR(INDEX(프로젝트목록!$B$3:$B$62,MATCH($C1227,프로젝트목록!$A$3:$A$62,0)),"미등록코드"))</f>
        <v/>
      </c>
      <c r="E1227" s="32" t="n"/>
      <c r="F1227" s="38" t="n"/>
      <c r="G1227" s="38" t="n"/>
      <c r="H1227" s="39" t="n"/>
      <c r="I1227" s="40" t="str">
        <f>IF(OR($J1227="",$K1227=""),"",ROUND(MAX(0,($K1227-$J1227)-IF($H1227="",0,$H1227))/60,2))</f>
        <v/>
      </c>
      <c r="J1227" s="41" t="str">
        <f>IF($F1227="","",IF($F1227&lt;1,ROUND($F1227*1440,0),INT($F1227/100)*60+MOD($F1227,100)))</f>
        <v/>
      </c>
      <c r="K1227" s="41" t="str">
        <f>IF($G1227="","",IF($G1227&lt;1,ROUND($G1227*1440,0),INT($G1227/100)*60+MOD($G1227,100)))</f>
        <v/>
      </c>
    </row>
    <row r="1228" ht="15" customHeight="1" s="26">
      <c r="A1228" s="34" t="n"/>
      <c r="B1228" s="32" t="n"/>
      <c r="C1228" s="33" t="n"/>
      <c r="D1228" s="37" t="str">
        <f>IF($C1228="","",IFERROR(INDEX(프로젝트목록!$B$3:$B$62,MATCH($C1228,프로젝트목록!$A$3:$A$62,0)),"미등록코드"))</f>
        <v/>
      </c>
      <c r="E1228" s="32" t="n"/>
      <c r="F1228" s="38" t="n"/>
      <c r="G1228" s="38" t="n"/>
      <c r="H1228" s="39" t="n"/>
      <c r="I1228" s="40" t="str">
        <f>IF(OR($J1228="",$K1228=""),"",ROUND(MAX(0,($K1228-$J1228)-IF($H1228="",0,$H1228))/60,2))</f>
        <v/>
      </c>
      <c r="J1228" s="41" t="str">
        <f>IF($F1228="","",IF($F1228&lt;1,ROUND($F1228*1440,0),INT($F1228/100)*60+MOD($F1228,100)))</f>
        <v/>
      </c>
      <c r="K1228" s="41" t="str">
        <f>IF($G1228="","",IF($G1228&lt;1,ROUND($G1228*1440,0),INT($G1228/100)*60+MOD($G1228,100)))</f>
        <v/>
      </c>
    </row>
    <row r="1229" ht="15" customHeight="1" s="26">
      <c r="A1229" s="34" t="n"/>
      <c r="B1229" s="32" t="n"/>
      <c r="C1229" s="33" t="n"/>
      <c r="D1229" s="37" t="str">
        <f>IF($C1229="","",IFERROR(INDEX(프로젝트목록!$B$3:$B$62,MATCH($C1229,프로젝트목록!$A$3:$A$62,0)),"미등록코드"))</f>
        <v/>
      </c>
      <c r="E1229" s="32" t="n"/>
      <c r="F1229" s="38" t="n"/>
      <c r="G1229" s="38" t="n"/>
      <c r="H1229" s="39" t="n"/>
      <c r="I1229" s="40" t="str">
        <f>IF(OR($J1229="",$K1229=""),"",ROUND(MAX(0,($K1229-$J1229)-IF($H1229="",0,$H1229))/60,2))</f>
        <v/>
      </c>
      <c r="J1229" s="41" t="str">
        <f>IF($F1229="","",IF($F1229&lt;1,ROUND($F1229*1440,0),INT($F1229/100)*60+MOD($F1229,100)))</f>
        <v/>
      </c>
      <c r="K1229" s="41" t="str">
        <f>IF($G1229="","",IF($G1229&lt;1,ROUND($G1229*1440,0),INT($G1229/100)*60+MOD($G1229,100)))</f>
        <v/>
      </c>
    </row>
    <row r="1230" ht="15" customHeight="1" s="26">
      <c r="A1230" s="34" t="n"/>
      <c r="B1230" s="32" t="n"/>
      <c r="C1230" s="33" t="n"/>
      <c r="D1230" s="37" t="str">
        <f>IF($C1230="","",IFERROR(INDEX(프로젝트목록!$B$3:$B$62,MATCH($C1230,프로젝트목록!$A$3:$A$62,0)),"미등록코드"))</f>
        <v/>
      </c>
      <c r="E1230" s="32" t="n"/>
      <c r="F1230" s="38" t="n"/>
      <c r="G1230" s="38" t="n"/>
      <c r="H1230" s="39" t="n"/>
      <c r="I1230" s="40" t="str">
        <f>IF(OR($J1230="",$K1230=""),"",ROUND(MAX(0,($K1230-$J1230)-IF($H1230="",0,$H1230))/60,2))</f>
        <v/>
      </c>
      <c r="J1230" s="41" t="str">
        <f>IF($F1230="","",IF($F1230&lt;1,ROUND($F1230*1440,0),INT($F1230/100)*60+MOD($F1230,100)))</f>
        <v/>
      </c>
      <c r="K1230" s="41" t="str">
        <f>IF($G1230="","",IF($G1230&lt;1,ROUND($G1230*1440,0),INT($G1230/100)*60+MOD($G1230,100)))</f>
        <v/>
      </c>
    </row>
    <row r="1231" ht="15" customHeight="1" s="26">
      <c r="A1231" s="34" t="n"/>
      <c r="B1231" s="32" t="n"/>
      <c r="C1231" s="33" t="n"/>
      <c r="D1231" s="37" t="str">
        <f>IF($C1231="","",IFERROR(INDEX(프로젝트목록!$B$3:$B$62,MATCH($C1231,프로젝트목록!$A$3:$A$62,0)),"미등록코드"))</f>
        <v/>
      </c>
      <c r="E1231" s="32" t="n"/>
      <c r="F1231" s="38" t="n"/>
      <c r="G1231" s="38" t="n"/>
      <c r="H1231" s="39" t="n"/>
      <c r="I1231" s="40" t="str">
        <f>IF(OR($J1231="",$K1231=""),"",ROUND(MAX(0,($K1231-$J1231)-IF($H1231="",0,$H1231))/60,2))</f>
        <v/>
      </c>
      <c r="J1231" s="41" t="str">
        <f>IF($F1231="","",IF($F1231&lt;1,ROUND($F1231*1440,0),INT($F1231/100)*60+MOD($F1231,100)))</f>
        <v/>
      </c>
      <c r="K1231" s="41" t="str">
        <f>IF($G1231="","",IF($G1231&lt;1,ROUND($G1231*1440,0),INT($G1231/100)*60+MOD($G1231,100)))</f>
        <v/>
      </c>
    </row>
    <row r="1232" ht="15" customHeight="1" s="26">
      <c r="A1232" s="34" t="n"/>
      <c r="B1232" s="32" t="n"/>
      <c r="C1232" s="33" t="n"/>
      <c r="D1232" s="37" t="str">
        <f>IF($C1232="","",IFERROR(INDEX(프로젝트목록!$B$3:$B$62,MATCH($C1232,프로젝트목록!$A$3:$A$62,0)),"미등록코드"))</f>
        <v/>
      </c>
      <c r="E1232" s="32" t="n"/>
      <c r="F1232" s="38" t="n"/>
      <c r="G1232" s="38" t="n"/>
      <c r="H1232" s="39" t="n"/>
      <c r="I1232" s="40" t="str">
        <f>IF(OR($J1232="",$K1232=""),"",ROUND(MAX(0,($K1232-$J1232)-IF($H1232="",0,$H1232))/60,2))</f>
        <v/>
      </c>
      <c r="J1232" s="41" t="str">
        <f>IF($F1232="","",IF($F1232&lt;1,ROUND($F1232*1440,0),INT($F1232/100)*60+MOD($F1232,100)))</f>
        <v/>
      </c>
      <c r="K1232" s="41" t="str">
        <f>IF($G1232="","",IF($G1232&lt;1,ROUND($G1232*1440,0),INT($G1232/100)*60+MOD($G1232,100)))</f>
        <v/>
      </c>
    </row>
    <row r="1233" ht="15" customHeight="1" s="26">
      <c r="A1233" s="34" t="n"/>
      <c r="B1233" s="32" t="n"/>
      <c r="C1233" s="33" t="n"/>
      <c r="D1233" s="37" t="str">
        <f>IF($C1233="","",IFERROR(INDEX(프로젝트목록!$B$3:$B$62,MATCH($C1233,프로젝트목록!$A$3:$A$62,0)),"미등록코드"))</f>
        <v/>
      </c>
      <c r="E1233" s="32" t="n"/>
      <c r="F1233" s="38" t="n"/>
      <c r="G1233" s="38" t="n"/>
      <c r="H1233" s="39" t="n"/>
      <c r="I1233" s="40" t="str">
        <f>IF(OR($J1233="",$K1233=""),"",ROUND(MAX(0,($K1233-$J1233)-IF($H1233="",0,$H1233))/60,2))</f>
        <v/>
      </c>
      <c r="J1233" s="41" t="str">
        <f>IF($F1233="","",IF($F1233&lt;1,ROUND($F1233*1440,0),INT($F1233/100)*60+MOD($F1233,100)))</f>
        <v/>
      </c>
      <c r="K1233" s="41" t="str">
        <f>IF($G1233="","",IF($G1233&lt;1,ROUND($G1233*1440,0),INT($G1233/100)*60+MOD($G1233,100)))</f>
        <v/>
      </c>
    </row>
    <row r="1234" ht="15" customHeight="1" s="26">
      <c r="A1234" s="34" t="n"/>
      <c r="B1234" s="32" t="n"/>
      <c r="C1234" s="33" t="n"/>
      <c r="D1234" s="37" t="str">
        <f>IF($C1234="","",IFERROR(INDEX(프로젝트목록!$B$3:$B$62,MATCH($C1234,프로젝트목록!$A$3:$A$62,0)),"미등록코드"))</f>
        <v/>
      </c>
      <c r="E1234" s="32" t="n"/>
      <c r="F1234" s="38" t="n"/>
      <c r="G1234" s="38" t="n"/>
      <c r="H1234" s="39" t="n"/>
      <c r="I1234" s="40" t="str">
        <f>IF(OR($J1234="",$K1234=""),"",ROUND(MAX(0,($K1234-$J1234)-IF($H1234="",0,$H1234))/60,2))</f>
        <v/>
      </c>
      <c r="J1234" s="41" t="str">
        <f>IF($F1234="","",IF($F1234&lt;1,ROUND($F1234*1440,0),INT($F1234/100)*60+MOD($F1234,100)))</f>
        <v/>
      </c>
      <c r="K1234" s="41" t="str">
        <f>IF($G1234="","",IF($G1234&lt;1,ROUND($G1234*1440,0),INT($G1234/100)*60+MOD($G1234,100)))</f>
        <v/>
      </c>
    </row>
    <row r="1235" ht="15" customHeight="1" s="26">
      <c r="A1235" s="34" t="n"/>
      <c r="B1235" s="32" t="n"/>
      <c r="C1235" s="33" t="n"/>
      <c r="D1235" s="37" t="str">
        <f>IF($C1235="","",IFERROR(INDEX(프로젝트목록!$B$3:$B$62,MATCH($C1235,프로젝트목록!$A$3:$A$62,0)),"미등록코드"))</f>
        <v/>
      </c>
      <c r="E1235" s="32" t="n"/>
      <c r="F1235" s="38" t="n"/>
      <c r="G1235" s="38" t="n"/>
      <c r="H1235" s="39" t="n"/>
      <c r="I1235" s="40" t="str">
        <f>IF(OR($J1235="",$K1235=""),"",ROUND(MAX(0,($K1235-$J1235)-IF($H1235="",0,$H1235))/60,2))</f>
        <v/>
      </c>
      <c r="J1235" s="41" t="str">
        <f>IF($F1235="","",IF($F1235&lt;1,ROUND($F1235*1440,0),INT($F1235/100)*60+MOD($F1235,100)))</f>
        <v/>
      </c>
      <c r="K1235" s="41" t="str">
        <f>IF($G1235="","",IF($G1235&lt;1,ROUND($G1235*1440,0),INT($G1235/100)*60+MOD($G1235,100)))</f>
        <v/>
      </c>
    </row>
    <row r="1236" ht="15" customHeight="1" s="26">
      <c r="A1236" s="34" t="n"/>
      <c r="B1236" s="32" t="n"/>
      <c r="C1236" s="33" t="n"/>
      <c r="D1236" s="37" t="str">
        <f>IF($C1236="","",IFERROR(INDEX(프로젝트목록!$B$3:$B$62,MATCH($C1236,프로젝트목록!$A$3:$A$62,0)),"미등록코드"))</f>
        <v/>
      </c>
      <c r="E1236" s="32" t="n"/>
      <c r="F1236" s="38" t="n"/>
      <c r="G1236" s="38" t="n"/>
      <c r="H1236" s="39" t="n"/>
      <c r="I1236" s="40" t="str">
        <f>IF(OR($J1236="",$K1236=""),"",ROUND(MAX(0,($K1236-$J1236)-IF($H1236="",0,$H1236))/60,2))</f>
        <v/>
      </c>
      <c r="J1236" s="41" t="str">
        <f>IF($F1236="","",IF($F1236&lt;1,ROUND($F1236*1440,0),INT($F1236/100)*60+MOD($F1236,100)))</f>
        <v/>
      </c>
      <c r="K1236" s="41" t="str">
        <f>IF($G1236="","",IF($G1236&lt;1,ROUND($G1236*1440,0),INT($G1236/100)*60+MOD($G1236,100)))</f>
        <v/>
      </c>
    </row>
    <row r="1237" ht="15" customHeight="1" s="26">
      <c r="A1237" s="34" t="n"/>
      <c r="B1237" s="32" t="n"/>
      <c r="C1237" s="33" t="n"/>
      <c r="D1237" s="37" t="str">
        <f>IF($C1237="","",IFERROR(INDEX(프로젝트목록!$B$3:$B$62,MATCH($C1237,프로젝트목록!$A$3:$A$62,0)),"미등록코드"))</f>
        <v/>
      </c>
      <c r="E1237" s="32" t="n"/>
      <c r="F1237" s="38" t="n"/>
      <c r="G1237" s="38" t="n"/>
      <c r="H1237" s="39" t="n"/>
      <c r="I1237" s="40" t="str">
        <f>IF(OR($J1237="",$K1237=""),"",ROUND(MAX(0,($K1237-$J1237)-IF($H1237="",0,$H1237))/60,2))</f>
        <v/>
      </c>
      <c r="J1237" s="41" t="str">
        <f>IF($F1237="","",IF($F1237&lt;1,ROUND($F1237*1440,0),INT($F1237/100)*60+MOD($F1237,100)))</f>
        <v/>
      </c>
      <c r="K1237" s="41" t="str">
        <f>IF($G1237="","",IF($G1237&lt;1,ROUND($G1237*1440,0),INT($G1237/100)*60+MOD($G1237,100)))</f>
        <v/>
      </c>
    </row>
    <row r="1238" ht="15" customHeight="1" s="26">
      <c r="A1238" s="34" t="n"/>
      <c r="B1238" s="32" t="n"/>
      <c r="C1238" s="33" t="n"/>
      <c r="D1238" s="37" t="str">
        <f>IF($C1238="","",IFERROR(INDEX(프로젝트목록!$B$3:$B$62,MATCH($C1238,프로젝트목록!$A$3:$A$62,0)),"미등록코드"))</f>
        <v/>
      </c>
      <c r="E1238" s="32" t="n"/>
      <c r="F1238" s="38" t="n"/>
      <c r="G1238" s="38" t="n"/>
      <c r="H1238" s="39" t="n"/>
      <c r="I1238" s="40" t="str">
        <f>IF(OR($J1238="",$K1238=""),"",ROUND(MAX(0,($K1238-$J1238)-IF($H1238="",0,$H1238))/60,2))</f>
        <v/>
      </c>
      <c r="J1238" s="41" t="str">
        <f>IF($F1238="","",IF($F1238&lt;1,ROUND($F1238*1440,0),INT($F1238/100)*60+MOD($F1238,100)))</f>
        <v/>
      </c>
      <c r="K1238" s="41" t="str">
        <f>IF($G1238="","",IF($G1238&lt;1,ROUND($G1238*1440,0),INT($G1238/100)*60+MOD($G1238,100)))</f>
        <v/>
      </c>
    </row>
    <row r="1239" ht="15" customHeight="1" s="26">
      <c r="A1239" s="34" t="n"/>
      <c r="B1239" s="32" t="n"/>
      <c r="C1239" s="33" t="n"/>
      <c r="D1239" s="37" t="str">
        <f>IF($C1239="","",IFERROR(INDEX(프로젝트목록!$B$3:$B$62,MATCH($C1239,프로젝트목록!$A$3:$A$62,0)),"미등록코드"))</f>
        <v/>
      </c>
      <c r="E1239" s="32" t="n"/>
      <c r="F1239" s="38" t="n"/>
      <c r="G1239" s="38" t="n"/>
      <c r="H1239" s="39" t="n"/>
      <c r="I1239" s="40" t="str">
        <f>IF(OR($J1239="",$K1239=""),"",ROUND(MAX(0,($K1239-$J1239)-IF($H1239="",0,$H1239))/60,2))</f>
        <v/>
      </c>
      <c r="J1239" s="41" t="str">
        <f>IF($F1239="","",IF($F1239&lt;1,ROUND($F1239*1440,0),INT($F1239/100)*60+MOD($F1239,100)))</f>
        <v/>
      </c>
      <c r="K1239" s="41" t="str">
        <f>IF($G1239="","",IF($G1239&lt;1,ROUND($G1239*1440,0),INT($G1239/100)*60+MOD($G1239,100)))</f>
        <v/>
      </c>
    </row>
    <row r="1240" ht="15" customHeight="1" s="26">
      <c r="A1240" s="34" t="n"/>
      <c r="B1240" s="32" t="n"/>
      <c r="C1240" s="33" t="n"/>
      <c r="D1240" s="37" t="str">
        <f>IF($C1240="","",IFERROR(INDEX(프로젝트목록!$B$3:$B$62,MATCH($C1240,프로젝트목록!$A$3:$A$62,0)),"미등록코드"))</f>
        <v/>
      </c>
      <c r="E1240" s="32" t="n"/>
      <c r="F1240" s="38" t="n"/>
      <c r="G1240" s="38" t="n"/>
      <c r="H1240" s="39" t="n"/>
      <c r="I1240" s="40" t="str">
        <f>IF(OR($J1240="",$K1240=""),"",ROUND(MAX(0,($K1240-$J1240)-IF($H1240="",0,$H1240))/60,2))</f>
        <v/>
      </c>
      <c r="J1240" s="41" t="str">
        <f>IF($F1240="","",IF($F1240&lt;1,ROUND($F1240*1440,0),INT($F1240/100)*60+MOD($F1240,100)))</f>
        <v/>
      </c>
      <c r="K1240" s="41" t="str">
        <f>IF($G1240="","",IF($G1240&lt;1,ROUND($G1240*1440,0),INT($G1240/100)*60+MOD($G1240,100)))</f>
        <v/>
      </c>
    </row>
    <row r="1241" ht="15" customHeight="1" s="26">
      <c r="A1241" s="34" t="n"/>
      <c r="B1241" s="32" t="n"/>
      <c r="C1241" s="33" t="n"/>
      <c r="D1241" s="37" t="str">
        <f>IF($C1241="","",IFERROR(INDEX(프로젝트목록!$B$3:$B$62,MATCH($C1241,프로젝트목록!$A$3:$A$62,0)),"미등록코드"))</f>
        <v/>
      </c>
      <c r="E1241" s="32" t="n"/>
      <c r="F1241" s="38" t="n"/>
      <c r="G1241" s="38" t="n"/>
      <c r="H1241" s="39" t="n"/>
      <c r="I1241" s="40" t="str">
        <f>IF(OR($J1241="",$K1241=""),"",ROUND(MAX(0,($K1241-$J1241)-IF($H1241="",0,$H1241))/60,2))</f>
        <v/>
      </c>
      <c r="J1241" s="41" t="str">
        <f>IF($F1241="","",IF($F1241&lt;1,ROUND($F1241*1440,0),INT($F1241/100)*60+MOD($F1241,100)))</f>
        <v/>
      </c>
      <c r="K1241" s="41" t="str">
        <f>IF($G1241="","",IF($G1241&lt;1,ROUND($G1241*1440,0),INT($G1241/100)*60+MOD($G1241,100)))</f>
        <v/>
      </c>
    </row>
    <row r="1242" ht="15" customHeight="1" s="26">
      <c r="A1242" s="34" t="n"/>
      <c r="B1242" s="32" t="n"/>
      <c r="C1242" s="33" t="n"/>
      <c r="D1242" s="37" t="str">
        <f>IF($C1242="","",IFERROR(INDEX(프로젝트목록!$B$3:$B$62,MATCH($C1242,프로젝트목록!$A$3:$A$62,0)),"미등록코드"))</f>
        <v/>
      </c>
      <c r="E1242" s="32" t="n"/>
      <c r="F1242" s="38" t="n"/>
      <c r="G1242" s="38" t="n"/>
      <c r="H1242" s="39" t="n"/>
      <c r="I1242" s="40" t="str">
        <f>IF(OR($J1242="",$K1242=""),"",ROUND(MAX(0,($K1242-$J1242)-IF($H1242="",0,$H1242))/60,2))</f>
        <v/>
      </c>
      <c r="J1242" s="41" t="str">
        <f>IF($F1242="","",IF($F1242&lt;1,ROUND($F1242*1440,0),INT($F1242/100)*60+MOD($F1242,100)))</f>
        <v/>
      </c>
      <c r="K1242" s="41" t="str">
        <f>IF($G1242="","",IF($G1242&lt;1,ROUND($G1242*1440,0),INT($G1242/100)*60+MOD($G1242,100)))</f>
        <v/>
      </c>
    </row>
    <row r="1243" ht="15" customHeight="1" s="26">
      <c r="A1243" s="34" t="n"/>
      <c r="B1243" s="32" t="n"/>
      <c r="C1243" s="33" t="n"/>
      <c r="D1243" s="37" t="str">
        <f>IF($C1243="","",IFERROR(INDEX(프로젝트목록!$B$3:$B$62,MATCH($C1243,프로젝트목록!$A$3:$A$62,0)),"미등록코드"))</f>
        <v/>
      </c>
      <c r="E1243" s="32" t="n"/>
      <c r="F1243" s="38" t="n"/>
      <c r="G1243" s="38" t="n"/>
      <c r="H1243" s="39" t="n"/>
      <c r="I1243" s="40" t="str">
        <f>IF(OR($J1243="",$K1243=""),"",ROUND(MAX(0,($K1243-$J1243)-IF($H1243="",0,$H1243))/60,2))</f>
        <v/>
      </c>
      <c r="J1243" s="41" t="str">
        <f>IF($F1243="","",IF($F1243&lt;1,ROUND($F1243*1440,0),INT($F1243/100)*60+MOD($F1243,100)))</f>
        <v/>
      </c>
      <c r="K1243" s="41" t="str">
        <f>IF($G1243="","",IF($G1243&lt;1,ROUND($G1243*1440,0),INT($G1243/100)*60+MOD($G1243,100)))</f>
        <v/>
      </c>
    </row>
    <row r="1244" ht="15" customHeight="1" s="26">
      <c r="A1244" s="34" t="n"/>
      <c r="B1244" s="32" t="n"/>
      <c r="C1244" s="33" t="n"/>
      <c r="D1244" s="37" t="str">
        <f>IF($C1244="","",IFERROR(INDEX(프로젝트목록!$B$3:$B$62,MATCH($C1244,프로젝트목록!$A$3:$A$62,0)),"미등록코드"))</f>
        <v/>
      </c>
      <c r="E1244" s="32" t="n"/>
      <c r="F1244" s="38" t="n"/>
      <c r="G1244" s="38" t="n"/>
      <c r="H1244" s="39" t="n"/>
      <c r="I1244" s="40" t="str">
        <f>IF(OR($J1244="",$K1244=""),"",ROUND(MAX(0,($K1244-$J1244)-IF($H1244="",0,$H1244))/60,2))</f>
        <v/>
      </c>
      <c r="J1244" s="41" t="str">
        <f>IF($F1244="","",IF($F1244&lt;1,ROUND($F1244*1440,0),INT($F1244/100)*60+MOD($F1244,100)))</f>
        <v/>
      </c>
      <c r="K1244" s="41" t="str">
        <f>IF($G1244="","",IF($G1244&lt;1,ROUND($G1244*1440,0),INT($G1244/100)*60+MOD($G1244,100)))</f>
        <v/>
      </c>
    </row>
    <row r="1245" ht="15" customHeight="1" s="26">
      <c r="A1245" s="34" t="n"/>
      <c r="B1245" s="32" t="n"/>
      <c r="C1245" s="33" t="n"/>
      <c r="D1245" s="37" t="str">
        <f>IF($C1245="","",IFERROR(INDEX(프로젝트목록!$B$3:$B$62,MATCH($C1245,프로젝트목록!$A$3:$A$62,0)),"미등록코드"))</f>
        <v/>
      </c>
      <c r="E1245" s="32" t="n"/>
      <c r="F1245" s="38" t="n"/>
      <c r="G1245" s="38" t="n"/>
      <c r="H1245" s="39" t="n"/>
      <c r="I1245" s="40" t="str">
        <f>IF(OR($J1245="",$K1245=""),"",ROUND(MAX(0,($K1245-$J1245)-IF($H1245="",0,$H1245))/60,2))</f>
        <v/>
      </c>
      <c r="J1245" s="41" t="str">
        <f>IF($F1245="","",IF($F1245&lt;1,ROUND($F1245*1440,0),INT($F1245/100)*60+MOD($F1245,100)))</f>
        <v/>
      </c>
      <c r="K1245" s="41" t="str">
        <f>IF($G1245="","",IF($G1245&lt;1,ROUND($G1245*1440,0),INT($G1245/100)*60+MOD($G1245,100)))</f>
        <v/>
      </c>
    </row>
    <row r="1246" ht="15" customHeight="1" s="26">
      <c r="A1246" s="34" t="n"/>
      <c r="B1246" s="32" t="n"/>
      <c r="C1246" s="33" t="n"/>
      <c r="D1246" s="37" t="str">
        <f>IF($C1246="","",IFERROR(INDEX(프로젝트목록!$B$3:$B$62,MATCH($C1246,프로젝트목록!$A$3:$A$62,0)),"미등록코드"))</f>
        <v/>
      </c>
      <c r="E1246" s="32" t="n"/>
      <c r="F1246" s="38" t="n"/>
      <c r="G1246" s="38" t="n"/>
      <c r="H1246" s="39" t="n"/>
      <c r="I1246" s="40" t="str">
        <f>IF(OR($J1246="",$K1246=""),"",ROUND(MAX(0,($K1246-$J1246)-IF($H1246="",0,$H1246))/60,2))</f>
        <v/>
      </c>
      <c r="J1246" s="41" t="str">
        <f>IF($F1246="","",IF($F1246&lt;1,ROUND($F1246*1440,0),INT($F1246/100)*60+MOD($F1246,100)))</f>
        <v/>
      </c>
      <c r="K1246" s="41" t="str">
        <f>IF($G1246="","",IF($G1246&lt;1,ROUND($G1246*1440,0),INT($G1246/100)*60+MOD($G1246,100)))</f>
        <v/>
      </c>
    </row>
    <row r="1247" ht="15" customHeight="1" s="26">
      <c r="A1247" s="34" t="n"/>
      <c r="B1247" s="32" t="n"/>
      <c r="C1247" s="33" t="n"/>
      <c r="D1247" s="37" t="str">
        <f>IF($C1247="","",IFERROR(INDEX(프로젝트목록!$B$3:$B$62,MATCH($C1247,프로젝트목록!$A$3:$A$62,0)),"미등록코드"))</f>
        <v/>
      </c>
      <c r="E1247" s="32" t="n"/>
      <c r="F1247" s="38" t="n"/>
      <c r="G1247" s="38" t="n"/>
      <c r="H1247" s="39" t="n"/>
      <c r="I1247" s="40" t="str">
        <f>IF(OR($J1247="",$K1247=""),"",ROUND(MAX(0,($K1247-$J1247)-IF($H1247="",0,$H1247))/60,2))</f>
        <v/>
      </c>
      <c r="J1247" s="41" t="str">
        <f>IF($F1247="","",IF($F1247&lt;1,ROUND($F1247*1440,0),INT($F1247/100)*60+MOD($F1247,100)))</f>
        <v/>
      </c>
      <c r="K1247" s="41" t="str">
        <f>IF($G1247="","",IF($G1247&lt;1,ROUND($G1247*1440,0),INT($G1247/100)*60+MOD($G1247,100)))</f>
        <v/>
      </c>
    </row>
    <row r="1248" ht="15" customHeight="1" s="26">
      <c r="A1248" s="34" t="n"/>
      <c r="B1248" s="32" t="n"/>
      <c r="C1248" s="33" t="n"/>
      <c r="D1248" s="37" t="str">
        <f>IF($C1248="","",IFERROR(INDEX(프로젝트목록!$B$3:$B$62,MATCH($C1248,프로젝트목록!$A$3:$A$62,0)),"미등록코드"))</f>
        <v/>
      </c>
      <c r="E1248" s="32" t="n"/>
      <c r="F1248" s="38" t="n"/>
      <c r="G1248" s="38" t="n"/>
      <c r="H1248" s="39" t="n"/>
      <c r="I1248" s="40" t="str">
        <f>IF(OR($J1248="",$K1248=""),"",ROUND(MAX(0,($K1248-$J1248)-IF($H1248="",0,$H1248))/60,2))</f>
        <v/>
      </c>
      <c r="J1248" s="41" t="str">
        <f>IF($F1248="","",IF($F1248&lt;1,ROUND($F1248*1440,0),INT($F1248/100)*60+MOD($F1248,100)))</f>
        <v/>
      </c>
      <c r="K1248" s="41" t="str">
        <f>IF($G1248="","",IF($G1248&lt;1,ROUND($G1248*1440,0),INT($G1248/100)*60+MOD($G1248,100)))</f>
        <v/>
      </c>
    </row>
    <row r="1249" ht="15" customHeight="1" s="26">
      <c r="A1249" s="34" t="n"/>
      <c r="B1249" s="32" t="n"/>
      <c r="C1249" s="33" t="n"/>
      <c r="D1249" s="37" t="str">
        <f>IF($C1249="","",IFERROR(INDEX(프로젝트목록!$B$3:$B$62,MATCH($C1249,프로젝트목록!$A$3:$A$62,0)),"미등록코드"))</f>
        <v/>
      </c>
      <c r="E1249" s="32" t="n"/>
      <c r="F1249" s="38" t="n"/>
      <c r="G1249" s="38" t="n"/>
      <c r="H1249" s="39" t="n"/>
      <c r="I1249" s="40" t="str">
        <f>IF(OR($J1249="",$K1249=""),"",ROUND(MAX(0,($K1249-$J1249)-IF($H1249="",0,$H1249))/60,2))</f>
        <v/>
      </c>
      <c r="J1249" s="41" t="str">
        <f>IF($F1249="","",IF($F1249&lt;1,ROUND($F1249*1440,0),INT($F1249/100)*60+MOD($F1249,100)))</f>
        <v/>
      </c>
      <c r="K1249" s="41" t="str">
        <f>IF($G1249="","",IF($G1249&lt;1,ROUND($G1249*1440,0),INT($G1249/100)*60+MOD($G1249,100)))</f>
        <v/>
      </c>
    </row>
    <row r="1250" ht="15" customHeight="1" s="26">
      <c r="A1250" s="34" t="n"/>
      <c r="B1250" s="32" t="n"/>
      <c r="C1250" s="33" t="n"/>
      <c r="D1250" s="37" t="str">
        <f>IF($C1250="","",IFERROR(INDEX(프로젝트목록!$B$3:$B$62,MATCH($C1250,프로젝트목록!$A$3:$A$62,0)),"미등록코드"))</f>
        <v/>
      </c>
      <c r="E1250" s="32" t="n"/>
      <c r="F1250" s="38" t="n"/>
      <c r="G1250" s="38" t="n"/>
      <c r="H1250" s="39" t="n"/>
      <c r="I1250" s="40" t="str">
        <f>IF(OR($J1250="",$K1250=""),"",ROUND(MAX(0,($K1250-$J1250)-IF($H1250="",0,$H1250))/60,2))</f>
        <v/>
      </c>
      <c r="J1250" s="41" t="str">
        <f>IF($F1250="","",IF($F1250&lt;1,ROUND($F1250*1440,0),INT($F1250/100)*60+MOD($F1250,100)))</f>
        <v/>
      </c>
      <c r="K1250" s="41" t="str">
        <f>IF($G1250="","",IF($G1250&lt;1,ROUND($G1250*1440,0),INT($G1250/100)*60+MOD($G1250,100)))</f>
        <v/>
      </c>
    </row>
    <row r="1251" ht="15" customHeight="1" s="26">
      <c r="A1251" s="34" t="n"/>
      <c r="B1251" s="32" t="n"/>
      <c r="C1251" s="33" t="n"/>
      <c r="D1251" s="37" t="str">
        <f>IF($C1251="","",IFERROR(INDEX(프로젝트목록!$B$3:$B$62,MATCH($C1251,프로젝트목록!$A$3:$A$62,0)),"미등록코드"))</f>
        <v/>
      </c>
      <c r="E1251" s="32" t="n"/>
      <c r="F1251" s="38" t="n"/>
      <c r="G1251" s="38" t="n"/>
      <c r="H1251" s="39" t="n"/>
      <c r="I1251" s="40" t="str">
        <f>IF(OR($J1251="",$K1251=""),"",ROUND(MAX(0,($K1251-$J1251)-IF($H1251="",0,$H1251))/60,2))</f>
        <v/>
      </c>
      <c r="J1251" s="41" t="str">
        <f>IF($F1251="","",IF($F1251&lt;1,ROUND($F1251*1440,0),INT($F1251/100)*60+MOD($F1251,100)))</f>
        <v/>
      </c>
      <c r="K1251" s="41" t="str">
        <f>IF($G1251="","",IF($G1251&lt;1,ROUND($G1251*1440,0),INT($G1251/100)*60+MOD($G1251,100)))</f>
        <v/>
      </c>
    </row>
    <row r="1252" ht="15" customHeight="1" s="26">
      <c r="A1252" s="34" t="n"/>
      <c r="B1252" s="32" t="n"/>
      <c r="C1252" s="33" t="n"/>
      <c r="D1252" s="37" t="str">
        <f>IF($C1252="","",IFERROR(INDEX(프로젝트목록!$B$3:$B$62,MATCH($C1252,프로젝트목록!$A$3:$A$62,0)),"미등록코드"))</f>
        <v/>
      </c>
      <c r="E1252" s="32" t="n"/>
      <c r="F1252" s="38" t="n"/>
      <c r="G1252" s="38" t="n"/>
      <c r="H1252" s="39" t="n"/>
      <c r="I1252" s="40" t="str">
        <f>IF(OR($J1252="",$K1252=""),"",ROUND(MAX(0,($K1252-$J1252)-IF($H1252="",0,$H1252))/60,2))</f>
        <v/>
      </c>
      <c r="J1252" s="41" t="str">
        <f>IF($F1252="","",IF($F1252&lt;1,ROUND($F1252*1440,0),INT($F1252/100)*60+MOD($F1252,100)))</f>
        <v/>
      </c>
      <c r="K1252" s="41" t="str">
        <f>IF($G1252="","",IF($G1252&lt;1,ROUND($G1252*1440,0),INT($G1252/100)*60+MOD($G1252,100)))</f>
        <v/>
      </c>
    </row>
    <row r="1253" ht="15" customHeight="1" s="26">
      <c r="A1253" s="34" t="n"/>
      <c r="B1253" s="32" t="n"/>
      <c r="C1253" s="33" t="n"/>
      <c r="D1253" s="37" t="str">
        <f>IF($C1253="","",IFERROR(INDEX(프로젝트목록!$B$3:$B$62,MATCH($C1253,프로젝트목록!$A$3:$A$62,0)),"미등록코드"))</f>
        <v/>
      </c>
      <c r="E1253" s="32" t="n"/>
      <c r="F1253" s="38" t="n"/>
      <c r="G1253" s="38" t="n"/>
      <c r="H1253" s="39" t="n"/>
      <c r="I1253" s="40" t="str">
        <f>IF(OR($J1253="",$K1253=""),"",ROUND(MAX(0,($K1253-$J1253)-IF($H1253="",0,$H1253))/60,2))</f>
        <v/>
      </c>
      <c r="J1253" s="41" t="str">
        <f>IF($F1253="","",IF($F1253&lt;1,ROUND($F1253*1440,0),INT($F1253/100)*60+MOD($F1253,100)))</f>
        <v/>
      </c>
      <c r="K1253" s="41" t="str">
        <f>IF($G1253="","",IF($G1253&lt;1,ROUND($G1253*1440,0),INT($G1253/100)*60+MOD($G1253,100)))</f>
        <v/>
      </c>
    </row>
    <row r="1254" ht="15" customHeight="1" s="26">
      <c r="A1254" s="34" t="n"/>
      <c r="B1254" s="32" t="n"/>
      <c r="C1254" s="33" t="n"/>
      <c r="D1254" s="37" t="str">
        <f>IF($C1254="","",IFERROR(INDEX(프로젝트목록!$B$3:$B$62,MATCH($C1254,프로젝트목록!$A$3:$A$62,0)),"미등록코드"))</f>
        <v/>
      </c>
      <c r="E1254" s="32" t="n"/>
      <c r="F1254" s="38" t="n"/>
      <c r="G1254" s="38" t="n"/>
      <c r="H1254" s="39" t="n"/>
      <c r="I1254" s="40" t="str">
        <f>IF(OR($J1254="",$K1254=""),"",ROUND(MAX(0,($K1254-$J1254)-IF($H1254="",0,$H1254))/60,2))</f>
        <v/>
      </c>
      <c r="J1254" s="41" t="str">
        <f>IF($F1254="","",IF($F1254&lt;1,ROUND($F1254*1440,0),INT($F1254/100)*60+MOD($F1254,100)))</f>
        <v/>
      </c>
      <c r="K1254" s="41" t="str">
        <f>IF($G1254="","",IF($G1254&lt;1,ROUND($G1254*1440,0),INT($G1254/100)*60+MOD($G1254,100)))</f>
        <v/>
      </c>
    </row>
    <row r="1255" ht="15" customHeight="1" s="26">
      <c r="A1255" s="34" t="n"/>
      <c r="B1255" s="32" t="n"/>
      <c r="C1255" s="33" t="n"/>
      <c r="D1255" s="37" t="str">
        <f>IF($C1255="","",IFERROR(INDEX(프로젝트목록!$B$3:$B$62,MATCH($C1255,프로젝트목록!$A$3:$A$62,0)),"미등록코드"))</f>
        <v/>
      </c>
      <c r="E1255" s="32" t="n"/>
      <c r="F1255" s="38" t="n"/>
      <c r="G1255" s="38" t="n"/>
      <c r="H1255" s="39" t="n"/>
      <c r="I1255" s="40" t="str">
        <f>IF(OR($J1255="",$K1255=""),"",ROUND(MAX(0,($K1255-$J1255)-IF($H1255="",0,$H1255))/60,2))</f>
        <v/>
      </c>
      <c r="J1255" s="41" t="str">
        <f>IF($F1255="","",IF($F1255&lt;1,ROUND($F1255*1440,0),INT($F1255/100)*60+MOD($F1255,100)))</f>
        <v/>
      </c>
      <c r="K1255" s="41" t="str">
        <f>IF($G1255="","",IF($G1255&lt;1,ROUND($G1255*1440,0),INT($G1255/100)*60+MOD($G1255,100)))</f>
        <v/>
      </c>
    </row>
    <row r="1256" ht="15" customHeight="1" s="26">
      <c r="A1256" s="34" t="n"/>
      <c r="B1256" s="32" t="n"/>
      <c r="C1256" s="33" t="n"/>
      <c r="D1256" s="37" t="str">
        <f>IF($C1256="","",IFERROR(INDEX(프로젝트목록!$B$3:$B$62,MATCH($C1256,프로젝트목록!$A$3:$A$62,0)),"미등록코드"))</f>
        <v/>
      </c>
      <c r="E1256" s="32" t="n"/>
      <c r="F1256" s="38" t="n"/>
      <c r="G1256" s="38" t="n"/>
      <c r="H1256" s="39" t="n"/>
      <c r="I1256" s="40" t="str">
        <f>IF(OR($J1256="",$K1256=""),"",ROUND(MAX(0,($K1256-$J1256)-IF($H1256="",0,$H1256))/60,2))</f>
        <v/>
      </c>
      <c r="J1256" s="41" t="str">
        <f>IF($F1256="","",IF($F1256&lt;1,ROUND($F1256*1440,0),INT($F1256/100)*60+MOD($F1256,100)))</f>
        <v/>
      </c>
      <c r="K1256" s="41" t="str">
        <f>IF($G1256="","",IF($G1256&lt;1,ROUND($G1256*1440,0),INT($G1256/100)*60+MOD($G1256,100)))</f>
        <v/>
      </c>
    </row>
    <row r="1257" ht="15" customHeight="1" s="26">
      <c r="A1257" s="34" t="n"/>
      <c r="B1257" s="32" t="n"/>
      <c r="C1257" s="33" t="n"/>
      <c r="D1257" s="37" t="str">
        <f>IF($C1257="","",IFERROR(INDEX(프로젝트목록!$B$3:$B$62,MATCH($C1257,프로젝트목록!$A$3:$A$62,0)),"미등록코드"))</f>
        <v/>
      </c>
      <c r="E1257" s="32" t="n"/>
      <c r="F1257" s="38" t="n"/>
      <c r="G1257" s="38" t="n"/>
      <c r="H1257" s="39" t="n"/>
      <c r="I1257" s="40" t="str">
        <f>IF(OR($J1257="",$K1257=""),"",ROUND(MAX(0,($K1257-$J1257)-IF($H1257="",0,$H1257))/60,2))</f>
        <v/>
      </c>
      <c r="J1257" s="41" t="str">
        <f>IF($F1257="","",IF($F1257&lt;1,ROUND($F1257*1440,0),INT($F1257/100)*60+MOD($F1257,100)))</f>
        <v/>
      </c>
      <c r="K1257" s="41" t="str">
        <f>IF($G1257="","",IF($G1257&lt;1,ROUND($G1257*1440,0),INT($G1257/100)*60+MOD($G1257,100)))</f>
        <v/>
      </c>
    </row>
    <row r="1258" ht="15" customHeight="1" s="26">
      <c r="A1258" s="34" t="n"/>
      <c r="B1258" s="32" t="n"/>
      <c r="C1258" s="33" t="n"/>
      <c r="D1258" s="37" t="str">
        <f>IF($C1258="","",IFERROR(INDEX(프로젝트목록!$B$3:$B$62,MATCH($C1258,프로젝트목록!$A$3:$A$62,0)),"미등록코드"))</f>
        <v/>
      </c>
      <c r="E1258" s="32" t="n"/>
      <c r="F1258" s="38" t="n"/>
      <c r="G1258" s="38" t="n"/>
      <c r="H1258" s="39" t="n"/>
      <c r="I1258" s="40" t="str">
        <f>IF(OR($J1258="",$K1258=""),"",ROUND(MAX(0,($K1258-$J1258)-IF($H1258="",0,$H1258))/60,2))</f>
        <v/>
      </c>
      <c r="J1258" s="41" t="str">
        <f>IF($F1258="","",IF($F1258&lt;1,ROUND($F1258*1440,0),INT($F1258/100)*60+MOD($F1258,100)))</f>
        <v/>
      </c>
      <c r="K1258" s="41" t="str">
        <f>IF($G1258="","",IF($G1258&lt;1,ROUND($G1258*1440,0),INT($G1258/100)*60+MOD($G1258,100)))</f>
        <v/>
      </c>
    </row>
    <row r="1259" ht="15" customHeight="1" s="26">
      <c r="A1259" s="34" t="n"/>
      <c r="B1259" s="32" t="n"/>
      <c r="C1259" s="33" t="n"/>
      <c r="D1259" s="37" t="str">
        <f>IF($C1259="","",IFERROR(INDEX(프로젝트목록!$B$3:$B$62,MATCH($C1259,프로젝트목록!$A$3:$A$62,0)),"미등록코드"))</f>
        <v/>
      </c>
      <c r="E1259" s="32" t="n"/>
      <c r="F1259" s="38" t="n"/>
      <c r="G1259" s="38" t="n"/>
      <c r="H1259" s="39" t="n"/>
      <c r="I1259" s="40" t="str">
        <f>IF(OR($J1259="",$K1259=""),"",ROUND(MAX(0,($K1259-$J1259)-IF($H1259="",0,$H1259))/60,2))</f>
        <v/>
      </c>
      <c r="J1259" s="41" t="str">
        <f>IF($F1259="","",IF($F1259&lt;1,ROUND($F1259*1440,0),INT($F1259/100)*60+MOD($F1259,100)))</f>
        <v/>
      </c>
      <c r="K1259" s="41" t="str">
        <f>IF($G1259="","",IF($G1259&lt;1,ROUND($G1259*1440,0),INT($G1259/100)*60+MOD($G1259,100)))</f>
        <v/>
      </c>
    </row>
    <row r="1260" ht="15" customHeight="1" s="26">
      <c r="A1260" s="34" t="n"/>
      <c r="B1260" s="32" t="n"/>
      <c r="C1260" s="33" t="n"/>
      <c r="D1260" s="37" t="str">
        <f>IF($C1260="","",IFERROR(INDEX(프로젝트목록!$B$3:$B$62,MATCH($C1260,프로젝트목록!$A$3:$A$62,0)),"미등록코드"))</f>
        <v/>
      </c>
      <c r="E1260" s="32" t="n"/>
      <c r="F1260" s="38" t="n"/>
      <c r="G1260" s="38" t="n"/>
      <c r="H1260" s="39" t="n"/>
      <c r="I1260" s="40" t="str">
        <f>IF(OR($J1260="",$K1260=""),"",ROUND(MAX(0,($K1260-$J1260)-IF($H1260="",0,$H1260))/60,2))</f>
        <v/>
      </c>
      <c r="J1260" s="41" t="str">
        <f>IF($F1260="","",IF($F1260&lt;1,ROUND($F1260*1440,0),INT($F1260/100)*60+MOD($F1260,100)))</f>
        <v/>
      </c>
      <c r="K1260" s="41" t="str">
        <f>IF($G1260="","",IF($G1260&lt;1,ROUND($G1260*1440,0),INT($G1260/100)*60+MOD($G1260,100)))</f>
        <v/>
      </c>
    </row>
    <row r="1261" ht="15" customHeight="1" s="26">
      <c r="A1261" s="34" t="n"/>
      <c r="B1261" s="32" t="n"/>
      <c r="C1261" s="33" t="n"/>
      <c r="D1261" s="37" t="str">
        <f>IF($C1261="","",IFERROR(INDEX(프로젝트목록!$B$3:$B$62,MATCH($C1261,프로젝트목록!$A$3:$A$62,0)),"미등록코드"))</f>
        <v/>
      </c>
      <c r="E1261" s="32" t="n"/>
      <c r="F1261" s="38" t="n"/>
      <c r="G1261" s="38" t="n"/>
      <c r="H1261" s="39" t="n"/>
      <c r="I1261" s="40" t="str">
        <f>IF(OR($J1261="",$K1261=""),"",ROUND(MAX(0,($K1261-$J1261)-IF($H1261="",0,$H1261))/60,2))</f>
        <v/>
      </c>
      <c r="J1261" s="41" t="str">
        <f>IF($F1261="","",IF($F1261&lt;1,ROUND($F1261*1440,0),INT($F1261/100)*60+MOD($F1261,100)))</f>
        <v/>
      </c>
      <c r="K1261" s="41" t="str">
        <f>IF($G1261="","",IF($G1261&lt;1,ROUND($G1261*1440,0),INT($G1261/100)*60+MOD($G1261,100)))</f>
        <v/>
      </c>
    </row>
    <row r="1262" ht="15" customHeight="1" s="26">
      <c r="A1262" s="34" t="n"/>
      <c r="B1262" s="32" t="n"/>
      <c r="C1262" s="33" t="n"/>
      <c r="D1262" s="37" t="str">
        <f>IF($C1262="","",IFERROR(INDEX(프로젝트목록!$B$3:$B$62,MATCH($C1262,프로젝트목록!$A$3:$A$62,0)),"미등록코드"))</f>
        <v/>
      </c>
      <c r="E1262" s="32" t="n"/>
      <c r="F1262" s="38" t="n"/>
      <c r="G1262" s="38" t="n"/>
      <c r="H1262" s="39" t="n"/>
      <c r="I1262" s="40" t="str">
        <f>IF(OR($J1262="",$K1262=""),"",ROUND(MAX(0,($K1262-$J1262)-IF($H1262="",0,$H1262))/60,2))</f>
        <v/>
      </c>
      <c r="J1262" s="41" t="str">
        <f>IF($F1262="","",IF($F1262&lt;1,ROUND($F1262*1440,0),INT($F1262/100)*60+MOD($F1262,100)))</f>
        <v/>
      </c>
      <c r="K1262" s="41" t="str">
        <f>IF($G1262="","",IF($G1262&lt;1,ROUND($G1262*1440,0),INT($G1262/100)*60+MOD($G1262,100)))</f>
        <v/>
      </c>
    </row>
    <row r="1263" ht="15" customHeight="1" s="26">
      <c r="A1263" s="34" t="n"/>
      <c r="B1263" s="32" t="n"/>
      <c r="C1263" s="33" t="n"/>
      <c r="D1263" s="37" t="str">
        <f>IF($C1263="","",IFERROR(INDEX(프로젝트목록!$B$3:$B$62,MATCH($C1263,프로젝트목록!$A$3:$A$62,0)),"미등록코드"))</f>
        <v/>
      </c>
      <c r="E1263" s="32" t="n"/>
      <c r="F1263" s="38" t="n"/>
      <c r="G1263" s="38" t="n"/>
      <c r="H1263" s="39" t="n"/>
      <c r="I1263" s="40" t="str">
        <f>IF(OR($J1263="",$K1263=""),"",ROUND(MAX(0,($K1263-$J1263)-IF($H1263="",0,$H1263))/60,2))</f>
        <v/>
      </c>
      <c r="J1263" s="41" t="str">
        <f>IF($F1263="","",IF($F1263&lt;1,ROUND($F1263*1440,0),INT($F1263/100)*60+MOD($F1263,100)))</f>
        <v/>
      </c>
      <c r="K1263" s="41" t="str">
        <f>IF($G1263="","",IF($G1263&lt;1,ROUND($G1263*1440,0),INT($G1263/100)*60+MOD($G1263,100)))</f>
        <v/>
      </c>
    </row>
    <row r="1264" ht="15" customHeight="1" s="26">
      <c r="A1264" s="34" t="n"/>
      <c r="B1264" s="32" t="n"/>
      <c r="C1264" s="33" t="n"/>
      <c r="D1264" s="37" t="str">
        <f>IF($C1264="","",IFERROR(INDEX(프로젝트목록!$B$3:$B$62,MATCH($C1264,프로젝트목록!$A$3:$A$62,0)),"미등록코드"))</f>
        <v/>
      </c>
      <c r="E1264" s="32" t="n"/>
      <c r="F1264" s="38" t="n"/>
      <c r="G1264" s="38" t="n"/>
      <c r="H1264" s="39" t="n"/>
      <c r="I1264" s="40" t="str">
        <f>IF(OR($J1264="",$K1264=""),"",ROUND(MAX(0,($K1264-$J1264)-IF($H1264="",0,$H1264))/60,2))</f>
        <v/>
      </c>
      <c r="J1264" s="41" t="str">
        <f>IF($F1264="","",IF($F1264&lt;1,ROUND($F1264*1440,0),INT($F1264/100)*60+MOD($F1264,100)))</f>
        <v/>
      </c>
      <c r="K1264" s="41" t="str">
        <f>IF($G1264="","",IF($G1264&lt;1,ROUND($G1264*1440,0),INT($G1264/100)*60+MOD($G1264,100)))</f>
        <v/>
      </c>
    </row>
    <row r="1265" ht="15" customHeight="1" s="26">
      <c r="A1265" s="34" t="n"/>
      <c r="B1265" s="32" t="n"/>
      <c r="C1265" s="33" t="n"/>
      <c r="D1265" s="37" t="str">
        <f>IF($C1265="","",IFERROR(INDEX(프로젝트목록!$B$3:$B$62,MATCH($C1265,프로젝트목록!$A$3:$A$62,0)),"미등록코드"))</f>
        <v/>
      </c>
      <c r="E1265" s="32" t="n"/>
      <c r="F1265" s="38" t="n"/>
      <c r="G1265" s="38" t="n"/>
      <c r="H1265" s="39" t="n"/>
      <c r="I1265" s="40" t="str">
        <f>IF(OR($J1265="",$K1265=""),"",ROUND(MAX(0,($K1265-$J1265)-IF($H1265="",0,$H1265))/60,2))</f>
        <v/>
      </c>
      <c r="J1265" s="41" t="str">
        <f>IF($F1265="","",IF($F1265&lt;1,ROUND($F1265*1440,0),INT($F1265/100)*60+MOD($F1265,100)))</f>
        <v/>
      </c>
      <c r="K1265" s="41" t="str">
        <f>IF($G1265="","",IF($G1265&lt;1,ROUND($G1265*1440,0),INT($G1265/100)*60+MOD($G1265,100)))</f>
        <v/>
      </c>
    </row>
    <row r="1266" ht="15" customHeight="1" s="26">
      <c r="A1266" s="34" t="n"/>
      <c r="B1266" s="32" t="n"/>
      <c r="C1266" s="33" t="n"/>
      <c r="D1266" s="37" t="str">
        <f>IF($C1266="","",IFERROR(INDEX(프로젝트목록!$B$3:$B$62,MATCH($C1266,프로젝트목록!$A$3:$A$62,0)),"미등록코드"))</f>
        <v/>
      </c>
      <c r="E1266" s="32" t="n"/>
      <c r="F1266" s="38" t="n"/>
      <c r="G1266" s="38" t="n"/>
      <c r="H1266" s="39" t="n"/>
      <c r="I1266" s="40" t="str">
        <f>IF(OR($J1266="",$K1266=""),"",ROUND(MAX(0,($K1266-$J1266)-IF($H1266="",0,$H1266))/60,2))</f>
        <v/>
      </c>
      <c r="J1266" s="41" t="str">
        <f>IF($F1266="","",IF($F1266&lt;1,ROUND($F1266*1440,0),INT($F1266/100)*60+MOD($F1266,100)))</f>
        <v/>
      </c>
      <c r="K1266" s="41" t="str">
        <f>IF($G1266="","",IF($G1266&lt;1,ROUND($G1266*1440,0),INT($G1266/100)*60+MOD($G1266,100)))</f>
        <v/>
      </c>
    </row>
    <row r="1267" ht="15" customHeight="1" s="26">
      <c r="A1267" s="34" t="n"/>
      <c r="B1267" s="32" t="n"/>
      <c r="C1267" s="33" t="n"/>
      <c r="D1267" s="37" t="str">
        <f>IF($C1267="","",IFERROR(INDEX(프로젝트목록!$B$3:$B$62,MATCH($C1267,프로젝트목록!$A$3:$A$62,0)),"미등록코드"))</f>
        <v/>
      </c>
      <c r="E1267" s="32" t="n"/>
      <c r="F1267" s="38" t="n"/>
      <c r="G1267" s="38" t="n"/>
      <c r="H1267" s="39" t="n"/>
      <c r="I1267" s="40" t="str">
        <f>IF(OR($J1267="",$K1267=""),"",ROUND(MAX(0,($K1267-$J1267)-IF($H1267="",0,$H1267))/60,2))</f>
        <v/>
      </c>
      <c r="J1267" s="41" t="str">
        <f>IF($F1267="","",IF($F1267&lt;1,ROUND($F1267*1440,0),INT($F1267/100)*60+MOD($F1267,100)))</f>
        <v/>
      </c>
      <c r="K1267" s="41" t="str">
        <f>IF($G1267="","",IF($G1267&lt;1,ROUND($G1267*1440,0),INT($G1267/100)*60+MOD($G1267,100)))</f>
        <v/>
      </c>
    </row>
    <row r="1268" ht="15" customHeight="1" s="26">
      <c r="A1268" s="34" t="n"/>
      <c r="B1268" s="32" t="n"/>
      <c r="C1268" s="33" t="n"/>
      <c r="D1268" s="37" t="str">
        <f>IF($C1268="","",IFERROR(INDEX(프로젝트목록!$B$3:$B$62,MATCH($C1268,프로젝트목록!$A$3:$A$62,0)),"미등록코드"))</f>
        <v/>
      </c>
      <c r="E1268" s="32" t="n"/>
      <c r="F1268" s="38" t="n"/>
      <c r="G1268" s="38" t="n"/>
      <c r="H1268" s="39" t="n"/>
      <c r="I1268" s="40" t="str">
        <f>IF(OR($J1268="",$K1268=""),"",ROUND(MAX(0,($K1268-$J1268)-IF($H1268="",0,$H1268))/60,2))</f>
        <v/>
      </c>
      <c r="J1268" s="41" t="str">
        <f>IF($F1268="","",IF($F1268&lt;1,ROUND($F1268*1440,0),INT($F1268/100)*60+MOD($F1268,100)))</f>
        <v/>
      </c>
      <c r="K1268" s="41" t="str">
        <f>IF($G1268="","",IF($G1268&lt;1,ROUND($G1268*1440,0),INT($G1268/100)*60+MOD($G1268,100)))</f>
        <v/>
      </c>
    </row>
    <row r="1269" ht="15" customHeight="1" s="26">
      <c r="A1269" s="34" t="n"/>
      <c r="B1269" s="32" t="n"/>
      <c r="C1269" s="33" t="n"/>
      <c r="D1269" s="37" t="str">
        <f>IF($C1269="","",IFERROR(INDEX(프로젝트목록!$B$3:$B$62,MATCH($C1269,프로젝트목록!$A$3:$A$62,0)),"미등록코드"))</f>
        <v/>
      </c>
      <c r="E1269" s="32" t="n"/>
      <c r="F1269" s="38" t="n"/>
      <c r="G1269" s="38" t="n"/>
      <c r="H1269" s="39" t="n"/>
      <c r="I1269" s="40" t="str">
        <f>IF(OR($J1269="",$K1269=""),"",ROUND(MAX(0,($K1269-$J1269)-IF($H1269="",0,$H1269))/60,2))</f>
        <v/>
      </c>
      <c r="J1269" s="41" t="str">
        <f>IF($F1269="","",IF($F1269&lt;1,ROUND($F1269*1440,0),INT($F1269/100)*60+MOD($F1269,100)))</f>
        <v/>
      </c>
      <c r="K1269" s="41" t="str">
        <f>IF($G1269="","",IF($G1269&lt;1,ROUND($G1269*1440,0),INT($G1269/100)*60+MOD($G1269,100)))</f>
        <v/>
      </c>
    </row>
    <row r="1270" ht="15" customHeight="1" s="26">
      <c r="A1270" s="34" t="n"/>
      <c r="B1270" s="32" t="n"/>
      <c r="C1270" s="33" t="n"/>
      <c r="D1270" s="37" t="str">
        <f>IF($C1270="","",IFERROR(INDEX(프로젝트목록!$B$3:$B$62,MATCH($C1270,프로젝트목록!$A$3:$A$62,0)),"미등록코드"))</f>
        <v/>
      </c>
      <c r="E1270" s="32" t="n"/>
      <c r="F1270" s="38" t="n"/>
      <c r="G1270" s="38" t="n"/>
      <c r="H1270" s="39" t="n"/>
      <c r="I1270" s="40" t="str">
        <f>IF(OR($J1270="",$K1270=""),"",ROUND(MAX(0,($K1270-$J1270)-IF($H1270="",0,$H1270))/60,2))</f>
        <v/>
      </c>
      <c r="J1270" s="41" t="str">
        <f>IF($F1270="","",IF($F1270&lt;1,ROUND($F1270*1440,0),INT($F1270/100)*60+MOD($F1270,100)))</f>
        <v/>
      </c>
      <c r="K1270" s="41" t="str">
        <f>IF($G1270="","",IF($G1270&lt;1,ROUND($G1270*1440,0),INT($G1270/100)*60+MOD($G1270,100)))</f>
        <v/>
      </c>
    </row>
    <row r="1271" ht="15" customHeight="1" s="26">
      <c r="A1271" s="34" t="n"/>
      <c r="B1271" s="32" t="n"/>
      <c r="C1271" s="33" t="n"/>
      <c r="D1271" s="37" t="str">
        <f>IF($C1271="","",IFERROR(INDEX(프로젝트목록!$B$3:$B$62,MATCH($C1271,프로젝트목록!$A$3:$A$62,0)),"미등록코드"))</f>
        <v/>
      </c>
      <c r="E1271" s="32" t="n"/>
      <c r="F1271" s="38" t="n"/>
      <c r="G1271" s="38" t="n"/>
      <c r="H1271" s="39" t="n"/>
      <c r="I1271" s="40" t="str">
        <f>IF(OR($J1271="",$K1271=""),"",ROUND(MAX(0,($K1271-$J1271)-IF($H1271="",0,$H1271))/60,2))</f>
        <v/>
      </c>
      <c r="J1271" s="41" t="str">
        <f>IF($F1271="","",IF($F1271&lt;1,ROUND($F1271*1440,0),INT($F1271/100)*60+MOD($F1271,100)))</f>
        <v/>
      </c>
      <c r="K1271" s="41" t="str">
        <f>IF($G1271="","",IF($G1271&lt;1,ROUND($G1271*1440,0),INT($G1271/100)*60+MOD($G1271,100)))</f>
        <v/>
      </c>
    </row>
    <row r="1272" ht="15" customHeight="1" s="26">
      <c r="A1272" s="34" t="n"/>
      <c r="B1272" s="32" t="n"/>
      <c r="C1272" s="33" t="n"/>
      <c r="D1272" s="37" t="str">
        <f>IF($C1272="","",IFERROR(INDEX(프로젝트목록!$B$3:$B$62,MATCH($C1272,프로젝트목록!$A$3:$A$62,0)),"미등록코드"))</f>
        <v/>
      </c>
      <c r="E1272" s="32" t="n"/>
      <c r="F1272" s="38" t="n"/>
      <c r="G1272" s="38" t="n"/>
      <c r="H1272" s="39" t="n"/>
      <c r="I1272" s="40" t="str">
        <f>IF(OR($J1272="",$K1272=""),"",ROUND(MAX(0,($K1272-$J1272)-IF($H1272="",0,$H1272))/60,2))</f>
        <v/>
      </c>
      <c r="J1272" s="41" t="str">
        <f>IF($F1272="","",IF($F1272&lt;1,ROUND($F1272*1440,0),INT($F1272/100)*60+MOD($F1272,100)))</f>
        <v/>
      </c>
      <c r="K1272" s="41" t="str">
        <f>IF($G1272="","",IF($G1272&lt;1,ROUND($G1272*1440,0),INT($G1272/100)*60+MOD($G1272,100)))</f>
        <v/>
      </c>
    </row>
    <row r="1273" ht="15" customHeight="1" s="26">
      <c r="A1273" s="34" t="n"/>
      <c r="B1273" s="32" t="n"/>
      <c r="C1273" s="33" t="n"/>
      <c r="D1273" s="37" t="str">
        <f>IF($C1273="","",IFERROR(INDEX(프로젝트목록!$B$3:$B$62,MATCH($C1273,프로젝트목록!$A$3:$A$62,0)),"미등록코드"))</f>
        <v/>
      </c>
      <c r="E1273" s="32" t="n"/>
      <c r="F1273" s="38" t="n"/>
      <c r="G1273" s="38" t="n"/>
      <c r="H1273" s="39" t="n"/>
      <c r="I1273" s="40" t="str">
        <f>IF(OR($J1273="",$K1273=""),"",ROUND(MAX(0,($K1273-$J1273)-IF($H1273="",0,$H1273))/60,2))</f>
        <v/>
      </c>
      <c r="J1273" s="41" t="str">
        <f>IF($F1273="","",IF($F1273&lt;1,ROUND($F1273*1440,0),INT($F1273/100)*60+MOD($F1273,100)))</f>
        <v/>
      </c>
      <c r="K1273" s="41" t="str">
        <f>IF($G1273="","",IF($G1273&lt;1,ROUND($G1273*1440,0),INT($G1273/100)*60+MOD($G1273,100)))</f>
        <v/>
      </c>
    </row>
    <row r="1274" ht="15" customHeight="1" s="26">
      <c r="A1274" s="34" t="n"/>
      <c r="B1274" s="32" t="n"/>
      <c r="C1274" s="33" t="n"/>
      <c r="D1274" s="37" t="str">
        <f>IF($C1274="","",IFERROR(INDEX(프로젝트목록!$B$3:$B$62,MATCH($C1274,프로젝트목록!$A$3:$A$62,0)),"미등록코드"))</f>
        <v/>
      </c>
      <c r="E1274" s="32" t="n"/>
      <c r="F1274" s="38" t="n"/>
      <c r="G1274" s="38" t="n"/>
      <c r="H1274" s="39" t="n"/>
      <c r="I1274" s="40" t="str">
        <f>IF(OR($J1274="",$K1274=""),"",ROUND(MAX(0,($K1274-$J1274)-IF($H1274="",0,$H1274))/60,2))</f>
        <v/>
      </c>
      <c r="J1274" s="41" t="str">
        <f>IF($F1274="","",IF($F1274&lt;1,ROUND($F1274*1440,0),INT($F1274/100)*60+MOD($F1274,100)))</f>
        <v/>
      </c>
      <c r="K1274" s="41" t="str">
        <f>IF($G1274="","",IF($G1274&lt;1,ROUND($G1274*1440,0),INT($G1274/100)*60+MOD($G1274,100)))</f>
        <v/>
      </c>
    </row>
    <row r="1275" ht="15" customHeight="1" s="26">
      <c r="A1275" s="34" t="n"/>
      <c r="B1275" s="32" t="n"/>
      <c r="C1275" s="33" t="n"/>
      <c r="D1275" s="37" t="str">
        <f>IF($C1275="","",IFERROR(INDEX(프로젝트목록!$B$3:$B$62,MATCH($C1275,프로젝트목록!$A$3:$A$62,0)),"미등록코드"))</f>
        <v/>
      </c>
      <c r="E1275" s="32" t="n"/>
      <c r="F1275" s="38" t="n"/>
      <c r="G1275" s="38" t="n"/>
      <c r="H1275" s="39" t="n"/>
      <c r="I1275" s="40" t="str">
        <f>IF(OR($J1275="",$K1275=""),"",ROUND(MAX(0,($K1275-$J1275)-IF($H1275="",0,$H1275))/60,2))</f>
        <v/>
      </c>
      <c r="J1275" s="41" t="str">
        <f>IF($F1275="","",IF($F1275&lt;1,ROUND($F1275*1440,0),INT($F1275/100)*60+MOD($F1275,100)))</f>
        <v/>
      </c>
      <c r="K1275" s="41" t="str">
        <f>IF($G1275="","",IF($G1275&lt;1,ROUND($G1275*1440,0),INT($G1275/100)*60+MOD($G1275,100)))</f>
        <v/>
      </c>
    </row>
    <row r="1276" ht="15" customHeight="1" s="26">
      <c r="A1276" s="34" t="n"/>
      <c r="B1276" s="32" t="n"/>
      <c r="C1276" s="33" t="n"/>
      <c r="D1276" s="37" t="str">
        <f>IF($C1276="","",IFERROR(INDEX(프로젝트목록!$B$3:$B$62,MATCH($C1276,프로젝트목록!$A$3:$A$62,0)),"미등록코드"))</f>
        <v/>
      </c>
      <c r="E1276" s="32" t="n"/>
      <c r="F1276" s="38" t="n"/>
      <c r="G1276" s="38" t="n"/>
      <c r="H1276" s="39" t="n"/>
      <c r="I1276" s="40" t="str">
        <f>IF(OR($J1276="",$K1276=""),"",ROUND(MAX(0,($K1276-$J1276)-IF($H1276="",0,$H1276))/60,2))</f>
        <v/>
      </c>
      <c r="J1276" s="41" t="str">
        <f>IF($F1276="","",IF($F1276&lt;1,ROUND($F1276*1440,0),INT($F1276/100)*60+MOD($F1276,100)))</f>
        <v/>
      </c>
      <c r="K1276" s="41" t="str">
        <f>IF($G1276="","",IF($G1276&lt;1,ROUND($G1276*1440,0),INT($G1276/100)*60+MOD($G1276,100)))</f>
        <v/>
      </c>
    </row>
    <row r="1277" ht="15" customHeight="1" s="26">
      <c r="A1277" s="34" t="n"/>
      <c r="B1277" s="32" t="n"/>
      <c r="C1277" s="33" t="n"/>
      <c r="D1277" s="37" t="str">
        <f>IF($C1277="","",IFERROR(INDEX(프로젝트목록!$B$3:$B$62,MATCH($C1277,프로젝트목록!$A$3:$A$62,0)),"미등록코드"))</f>
        <v/>
      </c>
      <c r="E1277" s="32" t="n"/>
      <c r="F1277" s="38" t="n"/>
      <c r="G1277" s="38" t="n"/>
      <c r="H1277" s="39" t="n"/>
      <c r="I1277" s="40" t="str">
        <f>IF(OR($J1277="",$K1277=""),"",ROUND(MAX(0,($K1277-$J1277)-IF($H1277="",0,$H1277))/60,2))</f>
        <v/>
      </c>
      <c r="J1277" s="41" t="str">
        <f>IF($F1277="","",IF($F1277&lt;1,ROUND($F1277*1440,0),INT($F1277/100)*60+MOD($F1277,100)))</f>
        <v/>
      </c>
      <c r="K1277" s="41" t="str">
        <f>IF($G1277="","",IF($G1277&lt;1,ROUND($G1277*1440,0),INT($G1277/100)*60+MOD($G1277,100)))</f>
        <v/>
      </c>
    </row>
    <row r="1278" ht="15" customHeight="1" s="26">
      <c r="A1278" s="34" t="n"/>
      <c r="B1278" s="32" t="n"/>
      <c r="C1278" s="33" t="n"/>
      <c r="D1278" s="37" t="str">
        <f>IF($C1278="","",IFERROR(INDEX(프로젝트목록!$B$3:$B$62,MATCH($C1278,프로젝트목록!$A$3:$A$62,0)),"미등록코드"))</f>
        <v/>
      </c>
      <c r="E1278" s="32" t="n"/>
      <c r="F1278" s="38" t="n"/>
      <c r="G1278" s="38" t="n"/>
      <c r="H1278" s="39" t="n"/>
      <c r="I1278" s="40" t="str">
        <f>IF(OR($J1278="",$K1278=""),"",ROUND(MAX(0,($K1278-$J1278)-IF($H1278="",0,$H1278))/60,2))</f>
        <v/>
      </c>
      <c r="J1278" s="41" t="str">
        <f>IF($F1278="","",IF($F1278&lt;1,ROUND($F1278*1440,0),INT($F1278/100)*60+MOD($F1278,100)))</f>
        <v/>
      </c>
      <c r="K1278" s="41" t="str">
        <f>IF($G1278="","",IF($G1278&lt;1,ROUND($G1278*1440,0),INT($G1278/100)*60+MOD($G1278,100)))</f>
        <v/>
      </c>
    </row>
    <row r="1279" ht="15" customHeight="1" s="26">
      <c r="A1279" s="34" t="n"/>
      <c r="B1279" s="32" t="n"/>
      <c r="C1279" s="33" t="n"/>
      <c r="D1279" s="37" t="str">
        <f>IF($C1279="","",IFERROR(INDEX(프로젝트목록!$B$3:$B$62,MATCH($C1279,프로젝트목록!$A$3:$A$62,0)),"미등록코드"))</f>
        <v/>
      </c>
      <c r="E1279" s="32" t="n"/>
      <c r="F1279" s="38" t="n"/>
      <c r="G1279" s="38" t="n"/>
      <c r="H1279" s="39" t="n"/>
      <c r="I1279" s="40" t="str">
        <f>IF(OR($J1279="",$K1279=""),"",ROUND(MAX(0,($K1279-$J1279)-IF($H1279="",0,$H1279))/60,2))</f>
        <v/>
      </c>
      <c r="J1279" s="41" t="str">
        <f>IF($F1279="","",IF($F1279&lt;1,ROUND($F1279*1440,0),INT($F1279/100)*60+MOD($F1279,100)))</f>
        <v/>
      </c>
      <c r="K1279" s="41" t="str">
        <f>IF($G1279="","",IF($G1279&lt;1,ROUND($G1279*1440,0),INT($G1279/100)*60+MOD($G1279,100)))</f>
        <v/>
      </c>
    </row>
    <row r="1280" ht="15" customHeight="1" s="26">
      <c r="A1280" s="34" t="n"/>
      <c r="B1280" s="32" t="n"/>
      <c r="C1280" s="33" t="n"/>
      <c r="D1280" s="37" t="str">
        <f>IF($C1280="","",IFERROR(INDEX(프로젝트목록!$B$3:$B$62,MATCH($C1280,프로젝트목록!$A$3:$A$62,0)),"미등록코드"))</f>
        <v/>
      </c>
      <c r="E1280" s="32" t="n"/>
      <c r="F1280" s="38" t="n"/>
      <c r="G1280" s="38" t="n"/>
      <c r="H1280" s="39" t="n"/>
      <c r="I1280" s="40" t="str">
        <f>IF(OR($J1280="",$K1280=""),"",ROUND(MAX(0,($K1280-$J1280)-IF($H1280="",0,$H1280))/60,2))</f>
        <v/>
      </c>
      <c r="J1280" s="41" t="str">
        <f>IF($F1280="","",IF($F1280&lt;1,ROUND($F1280*1440,0),INT($F1280/100)*60+MOD($F1280,100)))</f>
        <v/>
      </c>
      <c r="K1280" s="41" t="str">
        <f>IF($G1280="","",IF($G1280&lt;1,ROUND($G1280*1440,0),INT($G1280/100)*60+MOD($G1280,100)))</f>
        <v/>
      </c>
    </row>
    <row r="1281" ht="15" customHeight="1" s="26">
      <c r="A1281" s="34" t="n"/>
      <c r="B1281" s="32" t="n"/>
      <c r="C1281" s="33" t="n"/>
      <c r="D1281" s="37" t="str">
        <f>IF($C1281="","",IFERROR(INDEX(프로젝트목록!$B$3:$B$62,MATCH($C1281,프로젝트목록!$A$3:$A$62,0)),"미등록코드"))</f>
        <v/>
      </c>
      <c r="E1281" s="32" t="n"/>
      <c r="F1281" s="38" t="n"/>
      <c r="G1281" s="38" t="n"/>
      <c r="H1281" s="39" t="n"/>
      <c r="I1281" s="40" t="str">
        <f>IF(OR($J1281="",$K1281=""),"",ROUND(MAX(0,($K1281-$J1281)-IF($H1281="",0,$H1281))/60,2))</f>
        <v/>
      </c>
      <c r="J1281" s="41" t="str">
        <f>IF($F1281="","",IF($F1281&lt;1,ROUND($F1281*1440,0),INT($F1281/100)*60+MOD($F1281,100)))</f>
        <v/>
      </c>
      <c r="K1281" s="41" t="str">
        <f>IF($G1281="","",IF($G1281&lt;1,ROUND($G1281*1440,0),INT($G1281/100)*60+MOD($G1281,100)))</f>
        <v/>
      </c>
    </row>
    <row r="1282" ht="15" customHeight="1" s="26">
      <c r="A1282" s="34" t="n"/>
      <c r="B1282" s="32" t="n"/>
      <c r="C1282" s="33" t="n"/>
      <c r="D1282" s="37" t="str">
        <f>IF($C1282="","",IFERROR(INDEX(프로젝트목록!$B$3:$B$62,MATCH($C1282,프로젝트목록!$A$3:$A$62,0)),"미등록코드"))</f>
        <v/>
      </c>
      <c r="E1282" s="32" t="n"/>
      <c r="F1282" s="38" t="n"/>
      <c r="G1282" s="38" t="n"/>
      <c r="H1282" s="39" t="n"/>
      <c r="I1282" s="40" t="str">
        <f>IF(OR($J1282="",$K1282=""),"",ROUND(MAX(0,($K1282-$J1282)-IF($H1282="",0,$H1282))/60,2))</f>
        <v/>
      </c>
      <c r="J1282" s="41" t="str">
        <f>IF($F1282="","",IF($F1282&lt;1,ROUND($F1282*1440,0),INT($F1282/100)*60+MOD($F1282,100)))</f>
        <v/>
      </c>
      <c r="K1282" s="41" t="str">
        <f>IF($G1282="","",IF($G1282&lt;1,ROUND($G1282*1440,0),INT($G1282/100)*60+MOD($G1282,100)))</f>
        <v/>
      </c>
    </row>
    <row r="1283" ht="15" customHeight="1" s="26">
      <c r="A1283" s="34" t="n"/>
      <c r="B1283" s="32" t="n"/>
      <c r="C1283" s="33" t="n"/>
      <c r="D1283" s="37" t="str">
        <f>IF($C1283="","",IFERROR(INDEX(프로젝트목록!$B$3:$B$62,MATCH($C1283,프로젝트목록!$A$3:$A$62,0)),"미등록코드"))</f>
        <v/>
      </c>
      <c r="E1283" s="32" t="n"/>
      <c r="F1283" s="38" t="n"/>
      <c r="G1283" s="38" t="n"/>
      <c r="H1283" s="39" t="n"/>
      <c r="I1283" s="40" t="str">
        <f>IF(OR($J1283="",$K1283=""),"",ROUND(MAX(0,($K1283-$J1283)-IF($H1283="",0,$H1283))/60,2))</f>
        <v/>
      </c>
      <c r="J1283" s="41" t="str">
        <f>IF($F1283="","",IF($F1283&lt;1,ROUND($F1283*1440,0),INT($F1283/100)*60+MOD($F1283,100)))</f>
        <v/>
      </c>
      <c r="K1283" s="41" t="str">
        <f>IF($G1283="","",IF($G1283&lt;1,ROUND($G1283*1440,0),INT($G1283/100)*60+MOD($G1283,100)))</f>
        <v/>
      </c>
    </row>
    <row r="1284" ht="15" customHeight="1" s="26">
      <c r="A1284" s="34" t="n"/>
      <c r="B1284" s="32" t="n"/>
      <c r="C1284" s="33" t="n"/>
      <c r="D1284" s="37" t="str">
        <f>IF($C1284="","",IFERROR(INDEX(프로젝트목록!$B$3:$B$62,MATCH($C1284,프로젝트목록!$A$3:$A$62,0)),"미등록코드"))</f>
        <v/>
      </c>
      <c r="E1284" s="32" t="n"/>
      <c r="F1284" s="38" t="n"/>
      <c r="G1284" s="38" t="n"/>
      <c r="H1284" s="39" t="n"/>
      <c r="I1284" s="40" t="str">
        <f>IF(OR($J1284="",$K1284=""),"",ROUND(MAX(0,($K1284-$J1284)-IF($H1284="",0,$H1284))/60,2))</f>
        <v/>
      </c>
      <c r="J1284" s="41" t="str">
        <f>IF($F1284="","",IF($F1284&lt;1,ROUND($F1284*1440,0),INT($F1284/100)*60+MOD($F1284,100)))</f>
        <v/>
      </c>
      <c r="K1284" s="41" t="str">
        <f>IF($G1284="","",IF($G1284&lt;1,ROUND($G1284*1440,0),INT($G1284/100)*60+MOD($G1284,100)))</f>
        <v/>
      </c>
    </row>
    <row r="1285" ht="15" customHeight="1" s="26">
      <c r="A1285" s="34" t="n"/>
      <c r="B1285" s="32" t="n"/>
      <c r="C1285" s="33" t="n"/>
      <c r="D1285" s="37" t="str">
        <f>IF($C1285="","",IFERROR(INDEX(프로젝트목록!$B$3:$B$62,MATCH($C1285,프로젝트목록!$A$3:$A$62,0)),"미등록코드"))</f>
        <v/>
      </c>
      <c r="E1285" s="32" t="n"/>
      <c r="F1285" s="38" t="n"/>
      <c r="G1285" s="38" t="n"/>
      <c r="H1285" s="39" t="n"/>
      <c r="I1285" s="40" t="str">
        <f>IF(OR($J1285="",$K1285=""),"",ROUND(MAX(0,($K1285-$J1285)-IF($H1285="",0,$H1285))/60,2))</f>
        <v/>
      </c>
      <c r="J1285" s="41" t="str">
        <f>IF($F1285="","",IF($F1285&lt;1,ROUND($F1285*1440,0),INT($F1285/100)*60+MOD($F1285,100)))</f>
        <v/>
      </c>
      <c r="K1285" s="41" t="str">
        <f>IF($G1285="","",IF($G1285&lt;1,ROUND($G1285*1440,0),INT($G1285/100)*60+MOD($G1285,100)))</f>
        <v/>
      </c>
    </row>
    <row r="1286" ht="15" customHeight="1" s="26">
      <c r="A1286" s="34" t="n"/>
      <c r="B1286" s="32" t="n"/>
      <c r="C1286" s="33" t="n"/>
      <c r="D1286" s="37" t="str">
        <f>IF($C1286="","",IFERROR(INDEX(프로젝트목록!$B$3:$B$62,MATCH($C1286,프로젝트목록!$A$3:$A$62,0)),"미등록코드"))</f>
        <v/>
      </c>
      <c r="E1286" s="32" t="n"/>
      <c r="F1286" s="38" t="n"/>
      <c r="G1286" s="38" t="n"/>
      <c r="H1286" s="39" t="n"/>
      <c r="I1286" s="40" t="str">
        <f>IF(OR($J1286="",$K1286=""),"",ROUND(MAX(0,($K1286-$J1286)-IF($H1286="",0,$H1286))/60,2))</f>
        <v/>
      </c>
      <c r="J1286" s="41" t="str">
        <f>IF($F1286="","",IF($F1286&lt;1,ROUND($F1286*1440,0),INT($F1286/100)*60+MOD($F1286,100)))</f>
        <v/>
      </c>
      <c r="K1286" s="41" t="str">
        <f>IF($G1286="","",IF($G1286&lt;1,ROUND($G1286*1440,0),INT($G1286/100)*60+MOD($G1286,100)))</f>
        <v/>
      </c>
    </row>
    <row r="1287" ht="15" customHeight="1" s="26">
      <c r="A1287" s="34" t="n"/>
      <c r="B1287" s="32" t="n"/>
      <c r="C1287" s="33" t="n"/>
      <c r="D1287" s="37" t="str">
        <f>IF($C1287="","",IFERROR(INDEX(프로젝트목록!$B$3:$B$62,MATCH($C1287,프로젝트목록!$A$3:$A$62,0)),"미등록코드"))</f>
        <v/>
      </c>
      <c r="E1287" s="32" t="n"/>
      <c r="F1287" s="38" t="n"/>
      <c r="G1287" s="38" t="n"/>
      <c r="H1287" s="39" t="n"/>
      <c r="I1287" s="40" t="str">
        <f>IF(OR($J1287="",$K1287=""),"",ROUND(MAX(0,($K1287-$J1287)-IF($H1287="",0,$H1287))/60,2))</f>
        <v/>
      </c>
      <c r="J1287" s="41" t="str">
        <f>IF($F1287="","",IF($F1287&lt;1,ROUND($F1287*1440,0),INT($F1287/100)*60+MOD($F1287,100)))</f>
        <v/>
      </c>
      <c r="K1287" s="41" t="str">
        <f>IF($G1287="","",IF($G1287&lt;1,ROUND($G1287*1440,0),INT($G1287/100)*60+MOD($G1287,100)))</f>
        <v/>
      </c>
    </row>
    <row r="1288" ht="15" customHeight="1" s="26">
      <c r="A1288" s="34" t="n"/>
      <c r="B1288" s="32" t="n"/>
      <c r="C1288" s="33" t="n"/>
      <c r="D1288" s="37" t="str">
        <f>IF($C1288="","",IFERROR(INDEX(프로젝트목록!$B$3:$B$62,MATCH($C1288,프로젝트목록!$A$3:$A$62,0)),"미등록코드"))</f>
        <v/>
      </c>
      <c r="E1288" s="32" t="n"/>
      <c r="F1288" s="38" t="n"/>
      <c r="G1288" s="38" t="n"/>
      <c r="H1288" s="39" t="n"/>
      <c r="I1288" s="40" t="str">
        <f>IF(OR($J1288="",$K1288=""),"",ROUND(MAX(0,($K1288-$J1288)-IF($H1288="",0,$H1288))/60,2))</f>
        <v/>
      </c>
      <c r="J1288" s="41" t="str">
        <f>IF($F1288="","",IF($F1288&lt;1,ROUND($F1288*1440,0),INT($F1288/100)*60+MOD($F1288,100)))</f>
        <v/>
      </c>
      <c r="K1288" s="41" t="str">
        <f>IF($G1288="","",IF($G1288&lt;1,ROUND($G1288*1440,0),INT($G1288/100)*60+MOD($G1288,100)))</f>
        <v/>
      </c>
    </row>
    <row r="1289" ht="15" customHeight="1" s="26">
      <c r="A1289" s="34" t="n"/>
      <c r="B1289" s="32" t="n"/>
      <c r="C1289" s="33" t="n"/>
      <c r="D1289" s="37" t="str">
        <f>IF($C1289="","",IFERROR(INDEX(프로젝트목록!$B$3:$B$62,MATCH($C1289,프로젝트목록!$A$3:$A$62,0)),"미등록코드"))</f>
        <v/>
      </c>
      <c r="E1289" s="32" t="n"/>
      <c r="F1289" s="38" t="n"/>
      <c r="G1289" s="38" t="n"/>
      <c r="H1289" s="39" t="n"/>
      <c r="I1289" s="40" t="str">
        <f>IF(OR($J1289="",$K1289=""),"",ROUND(MAX(0,($K1289-$J1289)-IF($H1289="",0,$H1289))/60,2))</f>
        <v/>
      </c>
      <c r="J1289" s="41" t="str">
        <f>IF($F1289="","",IF($F1289&lt;1,ROUND($F1289*1440,0),INT($F1289/100)*60+MOD($F1289,100)))</f>
        <v/>
      </c>
      <c r="K1289" s="41" t="str">
        <f>IF($G1289="","",IF($G1289&lt;1,ROUND($G1289*1440,0),INT($G1289/100)*60+MOD($G1289,100)))</f>
        <v/>
      </c>
    </row>
    <row r="1290" ht="15" customHeight="1" s="26">
      <c r="A1290" s="34" t="n"/>
      <c r="B1290" s="32" t="n"/>
      <c r="C1290" s="33" t="n"/>
      <c r="D1290" s="37" t="str">
        <f>IF($C1290="","",IFERROR(INDEX(프로젝트목록!$B$3:$B$62,MATCH($C1290,프로젝트목록!$A$3:$A$62,0)),"미등록코드"))</f>
        <v/>
      </c>
      <c r="E1290" s="32" t="n"/>
      <c r="F1290" s="38" t="n"/>
      <c r="G1290" s="38" t="n"/>
      <c r="H1290" s="39" t="n"/>
      <c r="I1290" s="40" t="str">
        <f>IF(OR($J1290="",$K1290=""),"",ROUND(MAX(0,($K1290-$J1290)-IF($H1290="",0,$H1290))/60,2))</f>
        <v/>
      </c>
      <c r="J1290" s="41" t="str">
        <f>IF($F1290="","",IF($F1290&lt;1,ROUND($F1290*1440,0),INT($F1290/100)*60+MOD($F1290,100)))</f>
        <v/>
      </c>
      <c r="K1290" s="41" t="str">
        <f>IF($G1290="","",IF($G1290&lt;1,ROUND($G1290*1440,0),INT($G1290/100)*60+MOD($G1290,100)))</f>
        <v/>
      </c>
    </row>
    <row r="1291" ht="15" customHeight="1" s="26">
      <c r="A1291" s="34" t="n"/>
      <c r="B1291" s="32" t="n"/>
      <c r="C1291" s="33" t="n"/>
      <c r="D1291" s="37" t="str">
        <f>IF($C1291="","",IFERROR(INDEX(프로젝트목록!$B$3:$B$62,MATCH($C1291,프로젝트목록!$A$3:$A$62,0)),"미등록코드"))</f>
        <v/>
      </c>
      <c r="E1291" s="32" t="n"/>
      <c r="F1291" s="38" t="n"/>
      <c r="G1291" s="38" t="n"/>
      <c r="H1291" s="39" t="n"/>
      <c r="I1291" s="40" t="str">
        <f>IF(OR($J1291="",$K1291=""),"",ROUND(MAX(0,($K1291-$J1291)-IF($H1291="",0,$H1291))/60,2))</f>
        <v/>
      </c>
      <c r="J1291" s="41" t="str">
        <f>IF($F1291="","",IF($F1291&lt;1,ROUND($F1291*1440,0),INT($F1291/100)*60+MOD($F1291,100)))</f>
        <v/>
      </c>
      <c r="K1291" s="41" t="str">
        <f>IF($G1291="","",IF($G1291&lt;1,ROUND($G1291*1440,0),INT($G1291/100)*60+MOD($G1291,100)))</f>
        <v/>
      </c>
    </row>
    <row r="1292" ht="15" customHeight="1" s="26">
      <c r="A1292" s="34" t="n"/>
      <c r="B1292" s="32" t="n"/>
      <c r="C1292" s="33" t="n"/>
      <c r="D1292" s="37" t="str">
        <f>IF($C1292="","",IFERROR(INDEX(프로젝트목록!$B$3:$B$62,MATCH($C1292,프로젝트목록!$A$3:$A$62,0)),"미등록코드"))</f>
        <v/>
      </c>
      <c r="E1292" s="32" t="n"/>
      <c r="F1292" s="38" t="n"/>
      <c r="G1292" s="38" t="n"/>
      <c r="H1292" s="39" t="n"/>
      <c r="I1292" s="40" t="str">
        <f>IF(OR($J1292="",$K1292=""),"",ROUND(MAX(0,($K1292-$J1292)-IF($H1292="",0,$H1292))/60,2))</f>
        <v/>
      </c>
      <c r="J1292" s="41" t="str">
        <f>IF($F1292="","",IF($F1292&lt;1,ROUND($F1292*1440,0),INT($F1292/100)*60+MOD($F1292,100)))</f>
        <v/>
      </c>
      <c r="K1292" s="41" t="str">
        <f>IF($G1292="","",IF($G1292&lt;1,ROUND($G1292*1440,0),INT($G1292/100)*60+MOD($G1292,100)))</f>
        <v/>
      </c>
    </row>
    <row r="1293" ht="15" customHeight="1" s="26">
      <c r="A1293" s="34" t="n"/>
      <c r="B1293" s="32" t="n"/>
      <c r="C1293" s="33" t="n"/>
      <c r="D1293" s="37" t="str">
        <f>IF($C1293="","",IFERROR(INDEX(프로젝트목록!$B$3:$B$62,MATCH($C1293,프로젝트목록!$A$3:$A$62,0)),"미등록코드"))</f>
        <v/>
      </c>
      <c r="E1293" s="32" t="n"/>
      <c r="F1293" s="38" t="n"/>
      <c r="G1293" s="38" t="n"/>
      <c r="H1293" s="39" t="n"/>
      <c r="I1293" s="40" t="str">
        <f>IF(OR($J1293="",$K1293=""),"",ROUND(MAX(0,($K1293-$J1293)-IF($H1293="",0,$H1293))/60,2))</f>
        <v/>
      </c>
      <c r="J1293" s="41" t="str">
        <f>IF($F1293="","",IF($F1293&lt;1,ROUND($F1293*1440,0),INT($F1293/100)*60+MOD($F1293,100)))</f>
        <v/>
      </c>
      <c r="K1293" s="41" t="str">
        <f>IF($G1293="","",IF($G1293&lt;1,ROUND($G1293*1440,0),INT($G1293/100)*60+MOD($G1293,100)))</f>
        <v/>
      </c>
    </row>
    <row r="1294" ht="15" customHeight="1" s="26">
      <c r="A1294" s="34" t="n"/>
      <c r="B1294" s="32" t="n"/>
      <c r="C1294" s="33" t="n"/>
      <c r="D1294" s="37" t="str">
        <f>IF($C1294="","",IFERROR(INDEX(프로젝트목록!$B$3:$B$62,MATCH($C1294,프로젝트목록!$A$3:$A$62,0)),"미등록코드"))</f>
        <v/>
      </c>
      <c r="E1294" s="32" t="n"/>
      <c r="F1294" s="38" t="n"/>
      <c r="G1294" s="38" t="n"/>
      <c r="H1294" s="39" t="n"/>
      <c r="I1294" s="40" t="str">
        <f>IF(OR($J1294="",$K1294=""),"",ROUND(MAX(0,($K1294-$J1294)-IF($H1294="",0,$H1294))/60,2))</f>
        <v/>
      </c>
      <c r="J1294" s="41" t="str">
        <f>IF($F1294="","",IF($F1294&lt;1,ROUND($F1294*1440,0),INT($F1294/100)*60+MOD($F1294,100)))</f>
        <v/>
      </c>
      <c r="K1294" s="41" t="str">
        <f>IF($G1294="","",IF($G1294&lt;1,ROUND($G1294*1440,0),INT($G1294/100)*60+MOD($G1294,100)))</f>
        <v/>
      </c>
    </row>
    <row r="1295" ht="15" customHeight="1" s="26">
      <c r="A1295" s="34" t="n"/>
      <c r="B1295" s="32" t="n"/>
      <c r="C1295" s="33" t="n"/>
      <c r="D1295" s="37" t="str">
        <f>IF($C1295="","",IFERROR(INDEX(프로젝트목록!$B$3:$B$62,MATCH($C1295,프로젝트목록!$A$3:$A$62,0)),"미등록코드"))</f>
        <v/>
      </c>
      <c r="E1295" s="32" t="n"/>
      <c r="F1295" s="38" t="n"/>
      <c r="G1295" s="38" t="n"/>
      <c r="H1295" s="39" t="n"/>
      <c r="I1295" s="40" t="str">
        <f>IF(OR($J1295="",$K1295=""),"",ROUND(MAX(0,($K1295-$J1295)-IF($H1295="",0,$H1295))/60,2))</f>
        <v/>
      </c>
      <c r="J1295" s="41" t="str">
        <f>IF($F1295="","",IF($F1295&lt;1,ROUND($F1295*1440,0),INT($F1295/100)*60+MOD($F1295,100)))</f>
        <v/>
      </c>
      <c r="K1295" s="41" t="str">
        <f>IF($G1295="","",IF($G1295&lt;1,ROUND($G1295*1440,0),INT($G1295/100)*60+MOD($G1295,100)))</f>
        <v/>
      </c>
    </row>
    <row r="1296" ht="15" customHeight="1" s="26">
      <c r="A1296" s="34" t="n"/>
      <c r="B1296" s="32" t="n"/>
      <c r="C1296" s="33" t="n"/>
      <c r="D1296" s="37" t="str">
        <f>IF($C1296="","",IFERROR(INDEX(프로젝트목록!$B$3:$B$62,MATCH($C1296,프로젝트목록!$A$3:$A$62,0)),"미등록코드"))</f>
        <v/>
      </c>
      <c r="E1296" s="32" t="n"/>
      <c r="F1296" s="38" t="n"/>
      <c r="G1296" s="38" t="n"/>
      <c r="H1296" s="39" t="n"/>
      <c r="I1296" s="40" t="str">
        <f>IF(OR($J1296="",$K1296=""),"",ROUND(MAX(0,($K1296-$J1296)-IF($H1296="",0,$H1296))/60,2))</f>
        <v/>
      </c>
      <c r="J1296" s="41" t="str">
        <f>IF($F1296="","",IF($F1296&lt;1,ROUND($F1296*1440,0),INT($F1296/100)*60+MOD($F1296,100)))</f>
        <v/>
      </c>
      <c r="K1296" s="41" t="str">
        <f>IF($G1296="","",IF($G1296&lt;1,ROUND($G1296*1440,0),INT($G1296/100)*60+MOD($G1296,100)))</f>
        <v/>
      </c>
    </row>
    <row r="1297" ht="15" customHeight="1" s="26">
      <c r="A1297" s="34" t="n"/>
      <c r="B1297" s="32" t="n"/>
      <c r="C1297" s="33" t="n"/>
      <c r="D1297" s="37" t="str">
        <f>IF($C1297="","",IFERROR(INDEX(프로젝트목록!$B$3:$B$62,MATCH($C1297,프로젝트목록!$A$3:$A$62,0)),"미등록코드"))</f>
        <v/>
      </c>
      <c r="E1297" s="32" t="n"/>
      <c r="F1297" s="38" t="n"/>
      <c r="G1297" s="38" t="n"/>
      <c r="H1297" s="39" t="n"/>
      <c r="I1297" s="40" t="str">
        <f>IF(OR($J1297="",$K1297=""),"",ROUND(MAX(0,($K1297-$J1297)-IF($H1297="",0,$H1297))/60,2))</f>
        <v/>
      </c>
      <c r="J1297" s="41" t="str">
        <f>IF($F1297="","",IF($F1297&lt;1,ROUND($F1297*1440,0),INT($F1297/100)*60+MOD($F1297,100)))</f>
        <v/>
      </c>
      <c r="K1297" s="41" t="str">
        <f>IF($G1297="","",IF($G1297&lt;1,ROUND($G1297*1440,0),INT($G1297/100)*60+MOD($G1297,100)))</f>
        <v/>
      </c>
    </row>
    <row r="1298" ht="15" customHeight="1" s="26">
      <c r="A1298" s="34" t="n"/>
      <c r="B1298" s="32" t="n"/>
      <c r="C1298" s="33" t="n"/>
      <c r="D1298" s="37" t="str">
        <f>IF($C1298="","",IFERROR(INDEX(프로젝트목록!$B$3:$B$62,MATCH($C1298,프로젝트목록!$A$3:$A$62,0)),"미등록코드"))</f>
        <v/>
      </c>
      <c r="E1298" s="32" t="n"/>
      <c r="F1298" s="38" t="n"/>
      <c r="G1298" s="38" t="n"/>
      <c r="H1298" s="39" t="n"/>
      <c r="I1298" s="40" t="str">
        <f>IF(OR($J1298="",$K1298=""),"",ROUND(MAX(0,($K1298-$J1298)-IF($H1298="",0,$H1298))/60,2))</f>
        <v/>
      </c>
      <c r="J1298" s="41" t="str">
        <f>IF($F1298="","",IF($F1298&lt;1,ROUND($F1298*1440,0),INT($F1298/100)*60+MOD($F1298,100)))</f>
        <v/>
      </c>
      <c r="K1298" s="41" t="str">
        <f>IF($G1298="","",IF($G1298&lt;1,ROUND($G1298*1440,0),INT($G1298/100)*60+MOD($G1298,100)))</f>
        <v/>
      </c>
    </row>
    <row r="1299" ht="15" customHeight="1" s="26">
      <c r="A1299" s="34" t="n"/>
      <c r="B1299" s="32" t="n"/>
      <c r="C1299" s="33" t="n"/>
      <c r="D1299" s="37" t="str">
        <f>IF($C1299="","",IFERROR(INDEX(프로젝트목록!$B$3:$B$62,MATCH($C1299,프로젝트목록!$A$3:$A$62,0)),"미등록코드"))</f>
        <v/>
      </c>
      <c r="E1299" s="32" t="n"/>
      <c r="F1299" s="38" t="n"/>
      <c r="G1299" s="38" t="n"/>
      <c r="H1299" s="39" t="n"/>
      <c r="I1299" s="40" t="str">
        <f>IF(OR($J1299="",$K1299=""),"",ROUND(MAX(0,($K1299-$J1299)-IF($H1299="",0,$H1299))/60,2))</f>
        <v/>
      </c>
      <c r="J1299" s="41" t="str">
        <f>IF($F1299="","",IF($F1299&lt;1,ROUND($F1299*1440,0),INT($F1299/100)*60+MOD($F1299,100)))</f>
        <v/>
      </c>
      <c r="K1299" s="41" t="str">
        <f>IF($G1299="","",IF($G1299&lt;1,ROUND($G1299*1440,0),INT($G1299/100)*60+MOD($G1299,100)))</f>
        <v/>
      </c>
    </row>
    <row r="1300" ht="15" customHeight="1" s="26">
      <c r="A1300" s="34" t="n"/>
      <c r="B1300" s="32" t="n"/>
      <c r="C1300" s="33" t="n"/>
      <c r="D1300" s="37" t="str">
        <f>IF($C1300="","",IFERROR(INDEX(프로젝트목록!$B$3:$B$62,MATCH($C1300,프로젝트목록!$A$3:$A$62,0)),"미등록코드"))</f>
        <v/>
      </c>
      <c r="E1300" s="32" t="n"/>
      <c r="F1300" s="38" t="n"/>
      <c r="G1300" s="38" t="n"/>
      <c r="H1300" s="39" t="n"/>
      <c r="I1300" s="40" t="str">
        <f>IF(OR($J1300="",$K1300=""),"",ROUND(MAX(0,($K1300-$J1300)-IF($H1300="",0,$H1300))/60,2))</f>
        <v/>
      </c>
      <c r="J1300" s="41" t="str">
        <f>IF($F1300="","",IF($F1300&lt;1,ROUND($F1300*1440,0),INT($F1300/100)*60+MOD($F1300,100)))</f>
        <v/>
      </c>
      <c r="K1300" s="41" t="str">
        <f>IF($G1300="","",IF($G1300&lt;1,ROUND($G1300*1440,0),INT($G1300/100)*60+MOD($G1300,100)))</f>
        <v/>
      </c>
    </row>
    <row r="1301" ht="15" customHeight="1" s="26">
      <c r="A1301" s="34" t="n"/>
      <c r="B1301" s="32" t="n"/>
      <c r="C1301" s="33" t="n"/>
      <c r="D1301" s="37" t="str">
        <f>IF($C1301="","",IFERROR(INDEX(프로젝트목록!$B$3:$B$62,MATCH($C1301,프로젝트목록!$A$3:$A$62,0)),"미등록코드"))</f>
        <v/>
      </c>
      <c r="E1301" s="32" t="n"/>
      <c r="F1301" s="38" t="n"/>
      <c r="G1301" s="38" t="n"/>
      <c r="H1301" s="39" t="n"/>
      <c r="I1301" s="40" t="str">
        <f>IF(OR($J1301="",$K1301=""),"",ROUND(MAX(0,($K1301-$J1301)-IF($H1301="",0,$H1301))/60,2))</f>
        <v/>
      </c>
      <c r="J1301" s="41" t="str">
        <f>IF($F1301="","",IF($F1301&lt;1,ROUND($F1301*1440,0),INT($F1301/100)*60+MOD($F1301,100)))</f>
        <v/>
      </c>
      <c r="K1301" s="41" t="str">
        <f>IF($G1301="","",IF($G1301&lt;1,ROUND($G1301*1440,0),INT($G1301/100)*60+MOD($G1301,100)))</f>
        <v/>
      </c>
    </row>
    <row r="1302" ht="15" customHeight="1" s="26">
      <c r="A1302" s="34" t="n"/>
      <c r="B1302" s="32" t="n"/>
      <c r="C1302" s="33" t="n"/>
      <c r="D1302" s="37" t="str">
        <f>IF($C1302="","",IFERROR(INDEX(프로젝트목록!$B$3:$B$62,MATCH($C1302,프로젝트목록!$A$3:$A$62,0)),"미등록코드"))</f>
        <v/>
      </c>
      <c r="E1302" s="32" t="n"/>
      <c r="F1302" s="38" t="n"/>
      <c r="G1302" s="38" t="n"/>
      <c r="H1302" s="39" t="n"/>
      <c r="I1302" s="40" t="str">
        <f>IF(OR($J1302="",$K1302=""),"",ROUND(MAX(0,($K1302-$J1302)-IF($H1302="",0,$H1302))/60,2))</f>
        <v/>
      </c>
      <c r="J1302" s="41" t="str">
        <f>IF($F1302="","",IF($F1302&lt;1,ROUND($F1302*1440,0),INT($F1302/100)*60+MOD($F1302,100)))</f>
        <v/>
      </c>
      <c r="K1302" s="41" t="str">
        <f>IF($G1302="","",IF($G1302&lt;1,ROUND($G1302*1440,0),INT($G1302/100)*60+MOD($G1302,100)))</f>
        <v/>
      </c>
    </row>
    <row r="1303" ht="15" customHeight="1" s="26">
      <c r="A1303" s="34" t="n"/>
      <c r="B1303" s="32" t="n"/>
      <c r="C1303" s="33" t="n"/>
      <c r="D1303" s="37" t="str">
        <f>IF($C1303="","",IFERROR(INDEX(프로젝트목록!$B$3:$B$62,MATCH($C1303,프로젝트목록!$A$3:$A$62,0)),"미등록코드"))</f>
        <v/>
      </c>
      <c r="E1303" s="32" t="n"/>
      <c r="F1303" s="38" t="n"/>
      <c r="G1303" s="38" t="n"/>
      <c r="H1303" s="39" t="n"/>
      <c r="I1303" s="40" t="str">
        <f>IF(OR($J1303="",$K1303=""),"",ROUND(MAX(0,($K1303-$J1303)-IF($H1303="",0,$H1303))/60,2))</f>
        <v/>
      </c>
      <c r="J1303" s="41" t="str">
        <f>IF($F1303="","",IF($F1303&lt;1,ROUND($F1303*1440,0),INT($F1303/100)*60+MOD($F1303,100)))</f>
        <v/>
      </c>
      <c r="K1303" s="41" t="str">
        <f>IF($G1303="","",IF($G1303&lt;1,ROUND($G1303*1440,0),INT($G1303/100)*60+MOD($G1303,100)))</f>
        <v/>
      </c>
    </row>
    <row r="1304" ht="15" customHeight="1" s="26">
      <c r="A1304" s="34" t="n"/>
      <c r="B1304" s="32" t="n"/>
      <c r="C1304" s="33" t="n"/>
      <c r="D1304" s="37" t="str">
        <f>IF($C1304="","",IFERROR(INDEX(프로젝트목록!$B$3:$B$62,MATCH($C1304,프로젝트목록!$A$3:$A$62,0)),"미등록코드"))</f>
        <v/>
      </c>
      <c r="E1304" s="32" t="n"/>
      <c r="F1304" s="38" t="n"/>
      <c r="G1304" s="38" t="n"/>
      <c r="H1304" s="39" t="n"/>
      <c r="I1304" s="40" t="str">
        <f>IF(OR($J1304="",$K1304=""),"",ROUND(MAX(0,($K1304-$J1304)-IF($H1304="",0,$H1304))/60,2))</f>
        <v/>
      </c>
      <c r="J1304" s="41" t="str">
        <f>IF($F1304="","",IF($F1304&lt;1,ROUND($F1304*1440,0),INT($F1304/100)*60+MOD($F1304,100)))</f>
        <v/>
      </c>
      <c r="K1304" s="41" t="str">
        <f>IF($G1304="","",IF($G1304&lt;1,ROUND($G1304*1440,0),INT($G1304/100)*60+MOD($G1304,100)))</f>
        <v/>
      </c>
    </row>
    <row r="1305" ht="15" customHeight="1" s="26">
      <c r="A1305" s="34" t="n"/>
      <c r="B1305" s="32" t="n"/>
      <c r="C1305" s="33" t="n"/>
      <c r="D1305" s="37" t="str">
        <f>IF($C1305="","",IFERROR(INDEX(프로젝트목록!$B$3:$B$62,MATCH($C1305,프로젝트목록!$A$3:$A$62,0)),"미등록코드"))</f>
        <v/>
      </c>
      <c r="E1305" s="32" t="n"/>
      <c r="F1305" s="38" t="n"/>
      <c r="G1305" s="38" t="n"/>
      <c r="H1305" s="39" t="n"/>
      <c r="I1305" s="40" t="str">
        <f>IF(OR($J1305="",$K1305=""),"",ROUND(MAX(0,($K1305-$J1305)-IF($H1305="",0,$H1305))/60,2))</f>
        <v/>
      </c>
      <c r="J1305" s="41" t="str">
        <f>IF($F1305="","",IF($F1305&lt;1,ROUND($F1305*1440,0),INT($F1305/100)*60+MOD($F1305,100)))</f>
        <v/>
      </c>
      <c r="K1305" s="41" t="str">
        <f>IF($G1305="","",IF($G1305&lt;1,ROUND($G1305*1440,0),INT($G1305/100)*60+MOD($G1305,100)))</f>
        <v/>
      </c>
    </row>
    <row r="1306" ht="15" customHeight="1" s="26">
      <c r="A1306" s="34" t="n"/>
      <c r="B1306" s="32" t="n"/>
      <c r="C1306" s="33" t="n"/>
      <c r="D1306" s="37" t="str">
        <f>IF($C1306="","",IFERROR(INDEX(프로젝트목록!$B$3:$B$62,MATCH($C1306,프로젝트목록!$A$3:$A$62,0)),"미등록코드"))</f>
        <v/>
      </c>
      <c r="E1306" s="32" t="n"/>
      <c r="F1306" s="38" t="n"/>
      <c r="G1306" s="38" t="n"/>
      <c r="H1306" s="39" t="n"/>
      <c r="I1306" s="40" t="str">
        <f>IF(OR($J1306="",$K1306=""),"",ROUND(MAX(0,($K1306-$J1306)-IF($H1306="",0,$H1306))/60,2))</f>
        <v/>
      </c>
      <c r="J1306" s="41" t="str">
        <f>IF($F1306="","",IF($F1306&lt;1,ROUND($F1306*1440,0),INT($F1306/100)*60+MOD($F1306,100)))</f>
        <v/>
      </c>
      <c r="K1306" s="41" t="str">
        <f>IF($G1306="","",IF($G1306&lt;1,ROUND($G1306*1440,0),INT($G1306/100)*60+MOD($G1306,100)))</f>
        <v/>
      </c>
    </row>
    <row r="1307" ht="15" customHeight="1" s="26">
      <c r="A1307" s="34" t="n"/>
      <c r="B1307" s="32" t="n"/>
      <c r="C1307" s="33" t="n"/>
      <c r="D1307" s="37" t="str">
        <f>IF($C1307="","",IFERROR(INDEX(프로젝트목록!$B$3:$B$62,MATCH($C1307,프로젝트목록!$A$3:$A$62,0)),"미등록코드"))</f>
        <v/>
      </c>
      <c r="E1307" s="32" t="n"/>
      <c r="F1307" s="38" t="n"/>
      <c r="G1307" s="38" t="n"/>
      <c r="H1307" s="39" t="n"/>
      <c r="I1307" s="40" t="str">
        <f>IF(OR($J1307="",$K1307=""),"",ROUND(MAX(0,($K1307-$J1307)-IF($H1307="",0,$H1307))/60,2))</f>
        <v/>
      </c>
      <c r="J1307" s="41" t="str">
        <f>IF($F1307="","",IF($F1307&lt;1,ROUND($F1307*1440,0),INT($F1307/100)*60+MOD($F1307,100)))</f>
        <v/>
      </c>
      <c r="K1307" s="41" t="str">
        <f>IF($G1307="","",IF($G1307&lt;1,ROUND($G1307*1440,0),INT($G1307/100)*60+MOD($G1307,100)))</f>
        <v/>
      </c>
    </row>
    <row r="1308" ht="15" customHeight="1" s="26">
      <c r="A1308" s="34" t="n"/>
      <c r="B1308" s="32" t="n"/>
      <c r="C1308" s="33" t="n"/>
      <c r="D1308" s="37" t="str">
        <f>IF($C1308="","",IFERROR(INDEX(프로젝트목록!$B$3:$B$62,MATCH($C1308,프로젝트목록!$A$3:$A$62,0)),"미등록코드"))</f>
        <v/>
      </c>
      <c r="E1308" s="32" t="n"/>
      <c r="F1308" s="38" t="n"/>
      <c r="G1308" s="38" t="n"/>
      <c r="H1308" s="39" t="n"/>
      <c r="I1308" s="40" t="str">
        <f>IF(OR($J1308="",$K1308=""),"",ROUND(MAX(0,($K1308-$J1308)-IF($H1308="",0,$H1308))/60,2))</f>
        <v/>
      </c>
      <c r="J1308" s="41" t="str">
        <f>IF($F1308="","",IF($F1308&lt;1,ROUND($F1308*1440,0),INT($F1308/100)*60+MOD($F1308,100)))</f>
        <v/>
      </c>
      <c r="K1308" s="41" t="str">
        <f>IF($G1308="","",IF($G1308&lt;1,ROUND($G1308*1440,0),INT($G1308/100)*60+MOD($G1308,100)))</f>
        <v/>
      </c>
    </row>
    <row r="1309" ht="15" customHeight="1" s="26">
      <c r="A1309" s="34" t="n"/>
      <c r="B1309" s="32" t="n"/>
      <c r="C1309" s="33" t="n"/>
      <c r="D1309" s="37" t="str">
        <f>IF($C1309="","",IFERROR(INDEX(프로젝트목록!$B$3:$B$62,MATCH($C1309,프로젝트목록!$A$3:$A$62,0)),"미등록코드"))</f>
        <v/>
      </c>
      <c r="E1309" s="32" t="n"/>
      <c r="F1309" s="38" t="n"/>
      <c r="G1309" s="38" t="n"/>
      <c r="H1309" s="39" t="n"/>
      <c r="I1309" s="40" t="str">
        <f>IF(OR($J1309="",$K1309=""),"",ROUND(MAX(0,($K1309-$J1309)-IF($H1309="",0,$H1309))/60,2))</f>
        <v/>
      </c>
      <c r="J1309" s="41" t="str">
        <f>IF($F1309="","",IF($F1309&lt;1,ROUND($F1309*1440,0),INT($F1309/100)*60+MOD($F1309,100)))</f>
        <v/>
      </c>
      <c r="K1309" s="41" t="str">
        <f>IF($G1309="","",IF($G1309&lt;1,ROUND($G1309*1440,0),INT($G1309/100)*60+MOD($G1309,100)))</f>
        <v/>
      </c>
    </row>
    <row r="1310" ht="15" customHeight="1" s="26">
      <c r="A1310" s="34" t="n"/>
      <c r="B1310" s="32" t="n"/>
      <c r="C1310" s="33" t="n"/>
      <c r="D1310" s="37" t="str">
        <f>IF($C1310="","",IFERROR(INDEX(프로젝트목록!$B$3:$B$62,MATCH($C1310,프로젝트목록!$A$3:$A$62,0)),"미등록코드"))</f>
        <v/>
      </c>
      <c r="E1310" s="32" t="n"/>
      <c r="F1310" s="38" t="n"/>
      <c r="G1310" s="38" t="n"/>
      <c r="H1310" s="39" t="n"/>
      <c r="I1310" s="40" t="str">
        <f>IF(OR($J1310="",$K1310=""),"",ROUND(MAX(0,($K1310-$J1310)-IF($H1310="",0,$H1310))/60,2))</f>
        <v/>
      </c>
      <c r="J1310" s="41" t="str">
        <f>IF($F1310="","",IF($F1310&lt;1,ROUND($F1310*1440,0),INT($F1310/100)*60+MOD($F1310,100)))</f>
        <v/>
      </c>
      <c r="K1310" s="41" t="str">
        <f>IF($G1310="","",IF($G1310&lt;1,ROUND($G1310*1440,0),INT($G1310/100)*60+MOD($G1310,100)))</f>
        <v/>
      </c>
    </row>
    <row r="1311" ht="15" customHeight="1" s="26">
      <c r="A1311" s="34" t="n"/>
      <c r="B1311" s="32" t="n"/>
      <c r="C1311" s="33" t="n"/>
      <c r="D1311" s="37" t="str">
        <f>IF($C1311="","",IFERROR(INDEX(프로젝트목록!$B$3:$B$62,MATCH($C1311,프로젝트목록!$A$3:$A$62,0)),"미등록코드"))</f>
        <v/>
      </c>
      <c r="E1311" s="32" t="n"/>
      <c r="F1311" s="38" t="n"/>
      <c r="G1311" s="38" t="n"/>
      <c r="H1311" s="39" t="n"/>
      <c r="I1311" s="40" t="str">
        <f>IF(OR($J1311="",$K1311=""),"",ROUND(MAX(0,($K1311-$J1311)-IF($H1311="",0,$H1311))/60,2))</f>
        <v/>
      </c>
      <c r="J1311" s="41" t="str">
        <f>IF($F1311="","",IF($F1311&lt;1,ROUND($F1311*1440,0),INT($F1311/100)*60+MOD($F1311,100)))</f>
        <v/>
      </c>
      <c r="K1311" s="41" t="str">
        <f>IF($G1311="","",IF($G1311&lt;1,ROUND($G1311*1440,0),INT($G1311/100)*60+MOD($G1311,100)))</f>
        <v/>
      </c>
    </row>
    <row r="1312" ht="15" customHeight="1" s="26">
      <c r="A1312" s="34" t="n"/>
      <c r="B1312" s="32" t="n"/>
      <c r="C1312" s="33" t="n"/>
      <c r="D1312" s="37" t="str">
        <f>IF($C1312="","",IFERROR(INDEX(프로젝트목록!$B$3:$B$62,MATCH($C1312,프로젝트목록!$A$3:$A$62,0)),"미등록코드"))</f>
        <v/>
      </c>
      <c r="E1312" s="32" t="n"/>
      <c r="F1312" s="38" t="n"/>
      <c r="G1312" s="38" t="n"/>
      <c r="H1312" s="39" t="n"/>
      <c r="I1312" s="40" t="str">
        <f>IF(OR($J1312="",$K1312=""),"",ROUND(MAX(0,($K1312-$J1312)-IF($H1312="",0,$H1312))/60,2))</f>
        <v/>
      </c>
      <c r="J1312" s="41" t="str">
        <f>IF($F1312="","",IF($F1312&lt;1,ROUND($F1312*1440,0),INT($F1312/100)*60+MOD($F1312,100)))</f>
        <v/>
      </c>
      <c r="K1312" s="41" t="str">
        <f>IF($G1312="","",IF($G1312&lt;1,ROUND($G1312*1440,0),INT($G1312/100)*60+MOD($G1312,100)))</f>
        <v/>
      </c>
    </row>
    <row r="1313" ht="15" customHeight="1" s="26">
      <c r="A1313" s="34" t="n"/>
      <c r="B1313" s="32" t="n"/>
      <c r="C1313" s="33" t="n"/>
      <c r="D1313" s="37" t="str">
        <f>IF($C1313="","",IFERROR(INDEX(프로젝트목록!$B$3:$B$62,MATCH($C1313,프로젝트목록!$A$3:$A$62,0)),"미등록코드"))</f>
        <v/>
      </c>
      <c r="E1313" s="32" t="n"/>
      <c r="F1313" s="38" t="n"/>
      <c r="G1313" s="38" t="n"/>
      <c r="H1313" s="39" t="n"/>
      <c r="I1313" s="40" t="str">
        <f>IF(OR($J1313="",$K1313=""),"",ROUND(MAX(0,($K1313-$J1313)-IF($H1313="",0,$H1313))/60,2))</f>
        <v/>
      </c>
      <c r="J1313" s="41" t="str">
        <f>IF($F1313="","",IF($F1313&lt;1,ROUND($F1313*1440,0),INT($F1313/100)*60+MOD($F1313,100)))</f>
        <v/>
      </c>
      <c r="K1313" s="41" t="str">
        <f>IF($G1313="","",IF($G1313&lt;1,ROUND($G1313*1440,0),INT($G1313/100)*60+MOD($G1313,100)))</f>
        <v/>
      </c>
    </row>
    <row r="1314" ht="15" customHeight="1" s="26">
      <c r="A1314" s="34" t="n"/>
      <c r="B1314" s="32" t="n"/>
      <c r="C1314" s="33" t="n"/>
      <c r="D1314" s="37" t="str">
        <f>IF($C1314="","",IFERROR(INDEX(프로젝트목록!$B$3:$B$62,MATCH($C1314,프로젝트목록!$A$3:$A$62,0)),"미등록코드"))</f>
        <v/>
      </c>
      <c r="E1314" s="32" t="n"/>
      <c r="F1314" s="38" t="n"/>
      <c r="G1314" s="38" t="n"/>
      <c r="H1314" s="39" t="n"/>
      <c r="I1314" s="40" t="str">
        <f>IF(OR($J1314="",$K1314=""),"",ROUND(MAX(0,($K1314-$J1314)-IF($H1314="",0,$H1314))/60,2))</f>
        <v/>
      </c>
      <c r="J1314" s="41" t="str">
        <f>IF($F1314="","",IF($F1314&lt;1,ROUND($F1314*1440,0),INT($F1314/100)*60+MOD($F1314,100)))</f>
        <v/>
      </c>
      <c r="K1314" s="41" t="str">
        <f>IF($G1314="","",IF($G1314&lt;1,ROUND($G1314*1440,0),INT($G1314/100)*60+MOD($G1314,100)))</f>
        <v/>
      </c>
    </row>
    <row r="1315" ht="15" customHeight="1" s="26">
      <c r="A1315" s="34" t="n"/>
      <c r="B1315" s="32" t="n"/>
      <c r="C1315" s="33" t="n"/>
      <c r="D1315" s="37" t="str">
        <f>IF($C1315="","",IFERROR(INDEX(프로젝트목록!$B$3:$B$62,MATCH($C1315,프로젝트목록!$A$3:$A$62,0)),"미등록코드"))</f>
        <v/>
      </c>
      <c r="E1315" s="32" t="n"/>
      <c r="F1315" s="38" t="n"/>
      <c r="G1315" s="38" t="n"/>
      <c r="H1315" s="39" t="n"/>
      <c r="I1315" s="40" t="str">
        <f>IF(OR($J1315="",$K1315=""),"",ROUND(MAX(0,($K1315-$J1315)-IF($H1315="",0,$H1315))/60,2))</f>
        <v/>
      </c>
      <c r="J1315" s="41" t="str">
        <f>IF($F1315="","",IF($F1315&lt;1,ROUND($F1315*1440,0),INT($F1315/100)*60+MOD($F1315,100)))</f>
        <v/>
      </c>
      <c r="K1315" s="41" t="str">
        <f>IF($G1315="","",IF($G1315&lt;1,ROUND($G1315*1440,0),INT($G1315/100)*60+MOD($G1315,100)))</f>
        <v/>
      </c>
    </row>
    <row r="1316" ht="15" customHeight="1" s="26">
      <c r="A1316" s="34" t="n"/>
      <c r="B1316" s="32" t="n"/>
      <c r="C1316" s="33" t="n"/>
      <c r="D1316" s="37" t="str">
        <f>IF($C1316="","",IFERROR(INDEX(프로젝트목록!$B$3:$B$62,MATCH($C1316,프로젝트목록!$A$3:$A$62,0)),"미등록코드"))</f>
        <v/>
      </c>
      <c r="E1316" s="32" t="n"/>
      <c r="F1316" s="38" t="n"/>
      <c r="G1316" s="38" t="n"/>
      <c r="H1316" s="39" t="n"/>
      <c r="I1316" s="40" t="str">
        <f>IF(OR($J1316="",$K1316=""),"",ROUND(MAX(0,($K1316-$J1316)-IF($H1316="",0,$H1316))/60,2))</f>
        <v/>
      </c>
      <c r="J1316" s="41" t="str">
        <f>IF($F1316="","",IF($F1316&lt;1,ROUND($F1316*1440,0),INT($F1316/100)*60+MOD($F1316,100)))</f>
        <v/>
      </c>
      <c r="K1316" s="41" t="str">
        <f>IF($G1316="","",IF($G1316&lt;1,ROUND($G1316*1440,0),INT($G1316/100)*60+MOD($G1316,100)))</f>
        <v/>
      </c>
    </row>
    <row r="1317" ht="15" customHeight="1" s="26">
      <c r="A1317" s="34" t="n"/>
      <c r="B1317" s="32" t="n"/>
      <c r="C1317" s="33" t="n"/>
      <c r="D1317" s="37" t="str">
        <f>IF($C1317="","",IFERROR(INDEX(프로젝트목록!$B$3:$B$62,MATCH($C1317,프로젝트목록!$A$3:$A$62,0)),"미등록코드"))</f>
        <v/>
      </c>
      <c r="E1317" s="32" t="n"/>
      <c r="F1317" s="38" t="n"/>
      <c r="G1317" s="38" t="n"/>
      <c r="H1317" s="39" t="n"/>
      <c r="I1317" s="40" t="str">
        <f>IF(OR($J1317="",$K1317=""),"",ROUND(MAX(0,($K1317-$J1317)-IF($H1317="",0,$H1317))/60,2))</f>
        <v/>
      </c>
      <c r="J1317" s="41" t="str">
        <f>IF($F1317="","",IF($F1317&lt;1,ROUND($F1317*1440,0),INT($F1317/100)*60+MOD($F1317,100)))</f>
        <v/>
      </c>
      <c r="K1317" s="41" t="str">
        <f>IF($G1317="","",IF($G1317&lt;1,ROUND($G1317*1440,0),INT($G1317/100)*60+MOD($G1317,100)))</f>
        <v/>
      </c>
    </row>
    <row r="1318" ht="15" customHeight="1" s="26">
      <c r="A1318" s="34" t="n"/>
      <c r="B1318" s="32" t="n"/>
      <c r="C1318" s="33" t="n"/>
      <c r="D1318" s="37" t="str">
        <f>IF($C1318="","",IFERROR(INDEX(프로젝트목록!$B$3:$B$62,MATCH($C1318,프로젝트목록!$A$3:$A$62,0)),"미등록코드"))</f>
        <v/>
      </c>
      <c r="E1318" s="32" t="n"/>
      <c r="F1318" s="38" t="n"/>
      <c r="G1318" s="38" t="n"/>
      <c r="H1318" s="39" t="n"/>
      <c r="I1318" s="40" t="str">
        <f>IF(OR($J1318="",$K1318=""),"",ROUND(MAX(0,($K1318-$J1318)-IF($H1318="",0,$H1318))/60,2))</f>
        <v/>
      </c>
      <c r="J1318" s="41" t="str">
        <f>IF($F1318="","",IF($F1318&lt;1,ROUND($F1318*1440,0),INT($F1318/100)*60+MOD($F1318,100)))</f>
        <v/>
      </c>
      <c r="K1318" s="41" t="str">
        <f>IF($G1318="","",IF($G1318&lt;1,ROUND($G1318*1440,0),INT($G1318/100)*60+MOD($G1318,100)))</f>
        <v/>
      </c>
    </row>
    <row r="1319" ht="15" customHeight="1" s="26">
      <c r="A1319" s="34" t="n"/>
      <c r="B1319" s="32" t="n"/>
      <c r="C1319" s="33" t="n"/>
      <c r="D1319" s="37" t="str">
        <f>IF($C1319="","",IFERROR(INDEX(프로젝트목록!$B$3:$B$62,MATCH($C1319,프로젝트목록!$A$3:$A$62,0)),"미등록코드"))</f>
        <v/>
      </c>
      <c r="E1319" s="32" t="n"/>
      <c r="F1319" s="38" t="n"/>
      <c r="G1319" s="38" t="n"/>
      <c r="H1319" s="39" t="n"/>
      <c r="I1319" s="40" t="str">
        <f>IF(OR($J1319="",$K1319=""),"",ROUND(MAX(0,($K1319-$J1319)-IF($H1319="",0,$H1319))/60,2))</f>
        <v/>
      </c>
      <c r="J1319" s="41" t="str">
        <f>IF($F1319="","",IF($F1319&lt;1,ROUND($F1319*1440,0),INT($F1319/100)*60+MOD($F1319,100)))</f>
        <v/>
      </c>
      <c r="K1319" s="41" t="str">
        <f>IF($G1319="","",IF($G1319&lt;1,ROUND($G1319*1440,0),INT($G1319/100)*60+MOD($G1319,100)))</f>
        <v/>
      </c>
    </row>
    <row r="1320" ht="15" customHeight="1" s="26">
      <c r="A1320" s="34" t="n"/>
      <c r="B1320" s="32" t="n"/>
      <c r="C1320" s="33" t="n"/>
      <c r="D1320" s="37" t="str">
        <f>IF($C1320="","",IFERROR(INDEX(프로젝트목록!$B$3:$B$62,MATCH($C1320,프로젝트목록!$A$3:$A$62,0)),"미등록코드"))</f>
        <v/>
      </c>
      <c r="E1320" s="32" t="n"/>
      <c r="F1320" s="38" t="n"/>
      <c r="G1320" s="38" t="n"/>
      <c r="H1320" s="39" t="n"/>
      <c r="I1320" s="40" t="str">
        <f>IF(OR($J1320="",$K1320=""),"",ROUND(MAX(0,($K1320-$J1320)-IF($H1320="",0,$H1320))/60,2))</f>
        <v/>
      </c>
      <c r="J1320" s="41" t="str">
        <f>IF($F1320="","",IF($F1320&lt;1,ROUND($F1320*1440,0),INT($F1320/100)*60+MOD($F1320,100)))</f>
        <v/>
      </c>
      <c r="K1320" s="41" t="str">
        <f>IF($G1320="","",IF($G1320&lt;1,ROUND($G1320*1440,0),INT($G1320/100)*60+MOD($G1320,100)))</f>
        <v/>
      </c>
    </row>
    <row r="1321" ht="15" customHeight="1" s="26">
      <c r="A1321" s="34" t="n"/>
      <c r="B1321" s="32" t="n"/>
      <c r="C1321" s="33" t="n"/>
      <c r="D1321" s="37" t="str">
        <f>IF($C1321="","",IFERROR(INDEX(프로젝트목록!$B$3:$B$62,MATCH($C1321,프로젝트목록!$A$3:$A$62,0)),"미등록코드"))</f>
        <v/>
      </c>
      <c r="E1321" s="32" t="n"/>
      <c r="F1321" s="38" t="n"/>
      <c r="G1321" s="38" t="n"/>
      <c r="H1321" s="39" t="n"/>
      <c r="I1321" s="40" t="str">
        <f>IF(OR($J1321="",$K1321=""),"",ROUND(MAX(0,($K1321-$J1321)-IF($H1321="",0,$H1321))/60,2))</f>
        <v/>
      </c>
      <c r="J1321" s="41" t="str">
        <f>IF($F1321="","",IF($F1321&lt;1,ROUND($F1321*1440,0),INT($F1321/100)*60+MOD($F1321,100)))</f>
        <v/>
      </c>
      <c r="K1321" s="41" t="str">
        <f>IF($G1321="","",IF($G1321&lt;1,ROUND($G1321*1440,0),INT($G1321/100)*60+MOD($G1321,100)))</f>
        <v/>
      </c>
    </row>
    <row r="1322" ht="15" customHeight="1" s="26">
      <c r="A1322" s="34" t="n"/>
      <c r="B1322" s="32" t="n"/>
      <c r="C1322" s="33" t="n"/>
      <c r="D1322" s="37" t="str">
        <f>IF($C1322="","",IFERROR(INDEX(프로젝트목록!$B$3:$B$62,MATCH($C1322,프로젝트목록!$A$3:$A$62,0)),"미등록코드"))</f>
        <v/>
      </c>
      <c r="E1322" s="32" t="n"/>
      <c r="F1322" s="38" t="n"/>
      <c r="G1322" s="38" t="n"/>
      <c r="H1322" s="39" t="n"/>
      <c r="I1322" s="40" t="str">
        <f>IF(OR($J1322="",$K1322=""),"",ROUND(MAX(0,($K1322-$J1322)-IF($H1322="",0,$H1322))/60,2))</f>
        <v/>
      </c>
      <c r="J1322" s="41" t="str">
        <f>IF($F1322="","",IF($F1322&lt;1,ROUND($F1322*1440,0),INT($F1322/100)*60+MOD($F1322,100)))</f>
        <v/>
      </c>
      <c r="K1322" s="41" t="str">
        <f>IF($G1322="","",IF($G1322&lt;1,ROUND($G1322*1440,0),INT($G1322/100)*60+MOD($G1322,100)))</f>
        <v/>
      </c>
    </row>
    <row r="1323" ht="15" customHeight="1" s="26">
      <c r="A1323" s="34" t="n"/>
      <c r="B1323" s="32" t="n"/>
      <c r="C1323" s="33" t="n"/>
      <c r="D1323" s="37" t="str">
        <f>IF($C1323="","",IFERROR(INDEX(프로젝트목록!$B$3:$B$62,MATCH($C1323,프로젝트목록!$A$3:$A$62,0)),"미등록코드"))</f>
        <v/>
      </c>
      <c r="E1323" s="32" t="n"/>
      <c r="F1323" s="38" t="n"/>
      <c r="G1323" s="38" t="n"/>
      <c r="H1323" s="39" t="n"/>
      <c r="I1323" s="40" t="str">
        <f>IF(OR($J1323="",$K1323=""),"",ROUND(MAX(0,($K1323-$J1323)-IF($H1323="",0,$H1323))/60,2))</f>
        <v/>
      </c>
      <c r="J1323" s="41" t="str">
        <f>IF($F1323="","",IF($F1323&lt;1,ROUND($F1323*1440,0),INT($F1323/100)*60+MOD($F1323,100)))</f>
        <v/>
      </c>
      <c r="K1323" s="41" t="str">
        <f>IF($G1323="","",IF($G1323&lt;1,ROUND($G1323*1440,0),INT($G1323/100)*60+MOD($G1323,100)))</f>
        <v/>
      </c>
    </row>
    <row r="1324" ht="15" customHeight="1" s="26">
      <c r="A1324" s="34" t="n"/>
      <c r="B1324" s="32" t="n"/>
      <c r="C1324" s="33" t="n"/>
      <c r="D1324" s="37" t="str">
        <f>IF($C1324="","",IFERROR(INDEX(프로젝트목록!$B$3:$B$62,MATCH($C1324,프로젝트목록!$A$3:$A$62,0)),"미등록코드"))</f>
        <v/>
      </c>
      <c r="E1324" s="32" t="n"/>
      <c r="F1324" s="38" t="n"/>
      <c r="G1324" s="38" t="n"/>
      <c r="H1324" s="39" t="n"/>
      <c r="I1324" s="40" t="str">
        <f>IF(OR($J1324="",$K1324=""),"",ROUND(MAX(0,($K1324-$J1324)-IF($H1324="",0,$H1324))/60,2))</f>
        <v/>
      </c>
      <c r="J1324" s="41" t="str">
        <f>IF($F1324="","",IF($F1324&lt;1,ROUND($F1324*1440,0),INT($F1324/100)*60+MOD($F1324,100)))</f>
        <v/>
      </c>
      <c r="K1324" s="41" t="str">
        <f>IF($G1324="","",IF($G1324&lt;1,ROUND($G1324*1440,0),INT($G1324/100)*60+MOD($G1324,100)))</f>
        <v/>
      </c>
    </row>
    <row r="1325" ht="15" customHeight="1" s="26">
      <c r="A1325" s="34" t="n"/>
      <c r="B1325" s="32" t="n"/>
      <c r="C1325" s="33" t="n"/>
      <c r="D1325" s="37" t="str">
        <f>IF($C1325="","",IFERROR(INDEX(프로젝트목록!$B$3:$B$62,MATCH($C1325,프로젝트목록!$A$3:$A$62,0)),"미등록코드"))</f>
        <v/>
      </c>
      <c r="E1325" s="32" t="n"/>
      <c r="F1325" s="38" t="n"/>
      <c r="G1325" s="38" t="n"/>
      <c r="H1325" s="39" t="n"/>
      <c r="I1325" s="40" t="str">
        <f>IF(OR($J1325="",$K1325=""),"",ROUND(MAX(0,($K1325-$J1325)-IF($H1325="",0,$H1325))/60,2))</f>
        <v/>
      </c>
      <c r="J1325" s="41" t="str">
        <f>IF($F1325="","",IF($F1325&lt;1,ROUND($F1325*1440,0),INT($F1325/100)*60+MOD($F1325,100)))</f>
        <v/>
      </c>
      <c r="K1325" s="41" t="str">
        <f>IF($G1325="","",IF($G1325&lt;1,ROUND($G1325*1440,0),INT($G1325/100)*60+MOD($G1325,100)))</f>
        <v/>
      </c>
    </row>
    <row r="1326" ht="15" customHeight="1" s="26">
      <c r="A1326" s="34" t="n"/>
      <c r="B1326" s="32" t="n"/>
      <c r="C1326" s="33" t="n"/>
      <c r="D1326" s="37" t="str">
        <f>IF($C1326="","",IFERROR(INDEX(프로젝트목록!$B$3:$B$62,MATCH($C1326,프로젝트목록!$A$3:$A$62,0)),"미등록코드"))</f>
        <v/>
      </c>
      <c r="E1326" s="32" t="n"/>
      <c r="F1326" s="38" t="n"/>
      <c r="G1326" s="38" t="n"/>
      <c r="H1326" s="39" t="n"/>
      <c r="I1326" s="40" t="str">
        <f>IF(OR($J1326="",$K1326=""),"",ROUND(MAX(0,($K1326-$J1326)-IF($H1326="",0,$H1326))/60,2))</f>
        <v/>
      </c>
      <c r="J1326" s="41" t="str">
        <f>IF($F1326="","",IF($F1326&lt;1,ROUND($F1326*1440,0),INT($F1326/100)*60+MOD($F1326,100)))</f>
        <v/>
      </c>
      <c r="K1326" s="41" t="str">
        <f>IF($G1326="","",IF($G1326&lt;1,ROUND($G1326*1440,0),INT($G1326/100)*60+MOD($G1326,100)))</f>
        <v/>
      </c>
    </row>
    <row r="1327" ht="15" customHeight="1" s="26">
      <c r="A1327" s="34" t="n"/>
      <c r="B1327" s="32" t="n"/>
      <c r="C1327" s="33" t="n"/>
      <c r="D1327" s="37" t="str">
        <f>IF($C1327="","",IFERROR(INDEX(프로젝트목록!$B$3:$B$62,MATCH($C1327,프로젝트목록!$A$3:$A$62,0)),"미등록코드"))</f>
        <v/>
      </c>
      <c r="E1327" s="32" t="n"/>
      <c r="F1327" s="38" t="n"/>
      <c r="G1327" s="38" t="n"/>
      <c r="H1327" s="39" t="n"/>
      <c r="I1327" s="40" t="str">
        <f>IF(OR($J1327="",$K1327=""),"",ROUND(MAX(0,($K1327-$J1327)-IF($H1327="",0,$H1327))/60,2))</f>
        <v/>
      </c>
      <c r="J1327" s="41" t="str">
        <f>IF($F1327="","",IF($F1327&lt;1,ROUND($F1327*1440,0),INT($F1327/100)*60+MOD($F1327,100)))</f>
        <v/>
      </c>
      <c r="K1327" s="41" t="str">
        <f>IF($G1327="","",IF($G1327&lt;1,ROUND($G1327*1440,0),INT($G1327/100)*60+MOD($G1327,100)))</f>
        <v/>
      </c>
    </row>
    <row r="1328" ht="15" customHeight="1" s="26">
      <c r="A1328" s="34" t="n"/>
      <c r="B1328" s="32" t="n"/>
      <c r="C1328" s="33" t="n"/>
      <c r="D1328" s="37" t="str">
        <f>IF($C1328="","",IFERROR(INDEX(프로젝트목록!$B$3:$B$62,MATCH($C1328,프로젝트목록!$A$3:$A$62,0)),"미등록코드"))</f>
        <v/>
      </c>
      <c r="E1328" s="32" t="n"/>
      <c r="F1328" s="38" t="n"/>
      <c r="G1328" s="38" t="n"/>
      <c r="H1328" s="39" t="n"/>
      <c r="I1328" s="40" t="str">
        <f>IF(OR($J1328="",$K1328=""),"",ROUND(MAX(0,($K1328-$J1328)-IF($H1328="",0,$H1328))/60,2))</f>
        <v/>
      </c>
      <c r="J1328" s="41" t="str">
        <f>IF($F1328="","",IF($F1328&lt;1,ROUND($F1328*1440,0),INT($F1328/100)*60+MOD($F1328,100)))</f>
        <v/>
      </c>
      <c r="K1328" s="41" t="str">
        <f>IF($G1328="","",IF($G1328&lt;1,ROUND($G1328*1440,0),INT($G1328/100)*60+MOD($G1328,100)))</f>
        <v/>
      </c>
    </row>
    <row r="1329" ht="15" customHeight="1" s="26">
      <c r="A1329" s="34" t="n"/>
      <c r="B1329" s="32" t="n"/>
      <c r="C1329" s="33" t="n"/>
      <c r="D1329" s="37" t="str">
        <f>IF($C1329="","",IFERROR(INDEX(프로젝트목록!$B$3:$B$62,MATCH($C1329,프로젝트목록!$A$3:$A$62,0)),"미등록코드"))</f>
        <v/>
      </c>
      <c r="E1329" s="32" t="n"/>
      <c r="F1329" s="38" t="n"/>
      <c r="G1329" s="38" t="n"/>
      <c r="H1329" s="39" t="n"/>
      <c r="I1329" s="40" t="str">
        <f>IF(OR($J1329="",$K1329=""),"",ROUND(MAX(0,($K1329-$J1329)-IF($H1329="",0,$H1329))/60,2))</f>
        <v/>
      </c>
      <c r="J1329" s="41" t="str">
        <f>IF($F1329="","",IF($F1329&lt;1,ROUND($F1329*1440,0),INT($F1329/100)*60+MOD($F1329,100)))</f>
        <v/>
      </c>
      <c r="K1329" s="41" t="str">
        <f>IF($G1329="","",IF($G1329&lt;1,ROUND($G1329*1440,0),INT($G1329/100)*60+MOD($G1329,100)))</f>
        <v/>
      </c>
    </row>
    <row r="1330" ht="15" customHeight="1" s="26">
      <c r="A1330" s="34" t="n"/>
      <c r="B1330" s="32" t="n"/>
      <c r="C1330" s="33" t="n"/>
      <c r="D1330" s="37" t="str">
        <f>IF($C1330="","",IFERROR(INDEX(프로젝트목록!$B$3:$B$62,MATCH($C1330,프로젝트목록!$A$3:$A$62,0)),"미등록코드"))</f>
        <v/>
      </c>
      <c r="E1330" s="32" t="n"/>
      <c r="F1330" s="38" t="n"/>
      <c r="G1330" s="38" t="n"/>
      <c r="H1330" s="39" t="n"/>
      <c r="I1330" s="40" t="str">
        <f>IF(OR($J1330="",$K1330=""),"",ROUND(MAX(0,($K1330-$J1330)-IF($H1330="",0,$H1330))/60,2))</f>
        <v/>
      </c>
      <c r="J1330" s="41" t="str">
        <f>IF($F1330="","",IF($F1330&lt;1,ROUND($F1330*1440,0),INT($F1330/100)*60+MOD($F1330,100)))</f>
        <v/>
      </c>
      <c r="K1330" s="41" t="str">
        <f>IF($G1330="","",IF($G1330&lt;1,ROUND($G1330*1440,0),INT($G1330/100)*60+MOD($G1330,100)))</f>
        <v/>
      </c>
    </row>
    <row r="1331" ht="15" customHeight="1" s="26">
      <c r="A1331" s="34" t="n"/>
      <c r="B1331" s="32" t="n"/>
      <c r="C1331" s="33" t="n"/>
      <c r="D1331" s="37" t="str">
        <f>IF($C1331="","",IFERROR(INDEX(프로젝트목록!$B$3:$B$62,MATCH($C1331,프로젝트목록!$A$3:$A$62,0)),"미등록코드"))</f>
        <v/>
      </c>
      <c r="E1331" s="32" t="n"/>
      <c r="F1331" s="38" t="n"/>
      <c r="G1331" s="38" t="n"/>
      <c r="H1331" s="39" t="n"/>
      <c r="I1331" s="40" t="str">
        <f>IF(OR($J1331="",$K1331=""),"",ROUND(MAX(0,($K1331-$J1331)-IF($H1331="",0,$H1331))/60,2))</f>
        <v/>
      </c>
      <c r="J1331" s="41" t="str">
        <f>IF($F1331="","",IF($F1331&lt;1,ROUND($F1331*1440,0),INT($F1331/100)*60+MOD($F1331,100)))</f>
        <v/>
      </c>
      <c r="K1331" s="41" t="str">
        <f>IF($G1331="","",IF($G1331&lt;1,ROUND($G1331*1440,0),INT($G1331/100)*60+MOD($G1331,100)))</f>
        <v/>
      </c>
    </row>
    <row r="1332" ht="15" customHeight="1" s="26">
      <c r="A1332" s="34" t="n"/>
      <c r="B1332" s="32" t="n"/>
      <c r="C1332" s="33" t="n"/>
      <c r="D1332" s="37" t="str">
        <f>IF($C1332="","",IFERROR(INDEX(프로젝트목록!$B$3:$B$62,MATCH($C1332,프로젝트목록!$A$3:$A$62,0)),"미등록코드"))</f>
        <v/>
      </c>
      <c r="E1332" s="32" t="n"/>
      <c r="F1332" s="38" t="n"/>
      <c r="G1332" s="38" t="n"/>
      <c r="H1332" s="39" t="n"/>
      <c r="I1332" s="40" t="str">
        <f>IF(OR($J1332="",$K1332=""),"",ROUND(MAX(0,($K1332-$J1332)-IF($H1332="",0,$H1332))/60,2))</f>
        <v/>
      </c>
      <c r="J1332" s="41" t="str">
        <f>IF($F1332="","",IF($F1332&lt;1,ROUND($F1332*1440,0),INT($F1332/100)*60+MOD($F1332,100)))</f>
        <v/>
      </c>
      <c r="K1332" s="41" t="str">
        <f>IF($G1332="","",IF($G1332&lt;1,ROUND($G1332*1440,0),INT($G1332/100)*60+MOD($G1332,100)))</f>
        <v/>
      </c>
    </row>
    <row r="1333" ht="15" customHeight="1" s="26">
      <c r="A1333" s="34" t="n"/>
      <c r="B1333" s="32" t="n"/>
      <c r="C1333" s="33" t="n"/>
      <c r="D1333" s="37" t="str">
        <f>IF($C1333="","",IFERROR(INDEX(프로젝트목록!$B$3:$B$62,MATCH($C1333,프로젝트목록!$A$3:$A$62,0)),"미등록코드"))</f>
        <v/>
      </c>
      <c r="E1333" s="32" t="n"/>
      <c r="F1333" s="38" t="n"/>
      <c r="G1333" s="38" t="n"/>
      <c r="H1333" s="39" t="n"/>
      <c r="I1333" s="40" t="str">
        <f>IF(OR($J1333="",$K1333=""),"",ROUND(MAX(0,($K1333-$J1333)-IF($H1333="",0,$H1333))/60,2))</f>
        <v/>
      </c>
      <c r="J1333" s="41" t="str">
        <f>IF($F1333="","",IF($F1333&lt;1,ROUND($F1333*1440,0),INT($F1333/100)*60+MOD($F1333,100)))</f>
        <v/>
      </c>
      <c r="K1333" s="41" t="str">
        <f>IF($G1333="","",IF($G1333&lt;1,ROUND($G1333*1440,0),INT($G1333/100)*60+MOD($G1333,100)))</f>
        <v/>
      </c>
    </row>
    <row r="1334" ht="15" customHeight="1" s="26">
      <c r="A1334" s="34" t="n"/>
      <c r="B1334" s="32" t="n"/>
      <c r="C1334" s="33" t="n"/>
      <c r="D1334" s="37" t="str">
        <f>IF($C1334="","",IFERROR(INDEX(프로젝트목록!$B$3:$B$62,MATCH($C1334,프로젝트목록!$A$3:$A$62,0)),"미등록코드"))</f>
        <v/>
      </c>
      <c r="E1334" s="32" t="n"/>
      <c r="F1334" s="38" t="n"/>
      <c r="G1334" s="38" t="n"/>
      <c r="H1334" s="39" t="n"/>
      <c r="I1334" s="40" t="str">
        <f>IF(OR($J1334="",$K1334=""),"",ROUND(MAX(0,($K1334-$J1334)-IF($H1334="",0,$H1334))/60,2))</f>
        <v/>
      </c>
      <c r="J1334" s="41" t="str">
        <f>IF($F1334="","",IF($F1334&lt;1,ROUND($F1334*1440,0),INT($F1334/100)*60+MOD($F1334,100)))</f>
        <v/>
      </c>
      <c r="K1334" s="41" t="str">
        <f>IF($G1334="","",IF($G1334&lt;1,ROUND($G1334*1440,0),INT($G1334/100)*60+MOD($G1334,100)))</f>
        <v/>
      </c>
    </row>
    <row r="1335" ht="15" customHeight="1" s="26">
      <c r="A1335" s="34" t="n"/>
      <c r="B1335" s="32" t="n"/>
      <c r="C1335" s="33" t="n"/>
      <c r="D1335" s="37" t="str">
        <f>IF($C1335="","",IFERROR(INDEX(프로젝트목록!$B$3:$B$62,MATCH($C1335,프로젝트목록!$A$3:$A$62,0)),"미등록코드"))</f>
        <v/>
      </c>
      <c r="E1335" s="32" t="n"/>
      <c r="F1335" s="38" t="n"/>
      <c r="G1335" s="38" t="n"/>
      <c r="H1335" s="39" t="n"/>
      <c r="I1335" s="40" t="str">
        <f>IF(OR($J1335="",$K1335=""),"",ROUND(MAX(0,($K1335-$J1335)-IF($H1335="",0,$H1335))/60,2))</f>
        <v/>
      </c>
      <c r="J1335" s="41" t="str">
        <f>IF($F1335="","",IF($F1335&lt;1,ROUND($F1335*1440,0),INT($F1335/100)*60+MOD($F1335,100)))</f>
        <v/>
      </c>
      <c r="K1335" s="41" t="str">
        <f>IF($G1335="","",IF($G1335&lt;1,ROUND($G1335*1440,0),INT($G1335/100)*60+MOD($G1335,100)))</f>
        <v/>
      </c>
    </row>
    <row r="1336" ht="15" customHeight="1" s="26">
      <c r="A1336" s="34" t="n"/>
      <c r="B1336" s="32" t="n"/>
      <c r="C1336" s="33" t="n"/>
      <c r="D1336" s="37" t="str">
        <f>IF($C1336="","",IFERROR(INDEX(프로젝트목록!$B$3:$B$62,MATCH($C1336,프로젝트목록!$A$3:$A$62,0)),"미등록코드"))</f>
        <v/>
      </c>
      <c r="E1336" s="32" t="n"/>
      <c r="F1336" s="38" t="n"/>
      <c r="G1336" s="38" t="n"/>
      <c r="H1336" s="39" t="n"/>
      <c r="I1336" s="40" t="str">
        <f>IF(OR($J1336="",$K1336=""),"",ROUND(MAX(0,($K1336-$J1336)-IF($H1336="",0,$H1336))/60,2))</f>
        <v/>
      </c>
      <c r="J1336" s="41" t="str">
        <f>IF($F1336="","",IF($F1336&lt;1,ROUND($F1336*1440,0),INT($F1336/100)*60+MOD($F1336,100)))</f>
        <v/>
      </c>
      <c r="K1336" s="41" t="str">
        <f>IF($G1336="","",IF($G1336&lt;1,ROUND($G1336*1440,0),INT($G1336/100)*60+MOD($G1336,100)))</f>
        <v/>
      </c>
    </row>
    <row r="1337" ht="15" customHeight="1" s="26">
      <c r="A1337" s="34" t="n"/>
      <c r="B1337" s="32" t="n"/>
      <c r="C1337" s="33" t="n"/>
      <c r="D1337" s="37" t="str">
        <f>IF($C1337="","",IFERROR(INDEX(프로젝트목록!$B$3:$B$62,MATCH($C1337,프로젝트목록!$A$3:$A$62,0)),"미등록코드"))</f>
        <v/>
      </c>
      <c r="E1337" s="32" t="n"/>
      <c r="F1337" s="38" t="n"/>
      <c r="G1337" s="38" t="n"/>
      <c r="H1337" s="39" t="n"/>
      <c r="I1337" s="40" t="str">
        <f>IF(OR($J1337="",$K1337=""),"",ROUND(MAX(0,($K1337-$J1337)-IF($H1337="",0,$H1337))/60,2))</f>
        <v/>
      </c>
      <c r="J1337" s="41" t="str">
        <f>IF($F1337="","",IF($F1337&lt;1,ROUND($F1337*1440,0),INT($F1337/100)*60+MOD($F1337,100)))</f>
        <v/>
      </c>
      <c r="K1337" s="41" t="str">
        <f>IF($G1337="","",IF($G1337&lt;1,ROUND($G1337*1440,0),INT($G1337/100)*60+MOD($G1337,100)))</f>
        <v/>
      </c>
    </row>
    <row r="1338" ht="15" customHeight="1" s="26">
      <c r="A1338" s="34" t="n"/>
      <c r="B1338" s="32" t="n"/>
      <c r="C1338" s="33" t="n"/>
      <c r="D1338" s="37" t="str">
        <f>IF($C1338="","",IFERROR(INDEX(프로젝트목록!$B$3:$B$62,MATCH($C1338,프로젝트목록!$A$3:$A$62,0)),"미등록코드"))</f>
        <v/>
      </c>
      <c r="E1338" s="32" t="n"/>
      <c r="F1338" s="38" t="n"/>
      <c r="G1338" s="38" t="n"/>
      <c r="H1338" s="39" t="n"/>
      <c r="I1338" s="40" t="str">
        <f>IF(OR($J1338="",$K1338=""),"",ROUND(MAX(0,($K1338-$J1338)-IF($H1338="",0,$H1338))/60,2))</f>
        <v/>
      </c>
      <c r="J1338" s="41" t="str">
        <f>IF($F1338="","",IF($F1338&lt;1,ROUND($F1338*1440,0),INT($F1338/100)*60+MOD($F1338,100)))</f>
        <v/>
      </c>
      <c r="K1338" s="41" t="str">
        <f>IF($G1338="","",IF($G1338&lt;1,ROUND($G1338*1440,0),INT($G1338/100)*60+MOD($G1338,100)))</f>
        <v/>
      </c>
    </row>
    <row r="1339" ht="15" customHeight="1" s="26">
      <c r="A1339" s="34" t="n"/>
      <c r="B1339" s="32" t="n"/>
      <c r="C1339" s="33" t="n"/>
      <c r="D1339" s="37" t="str">
        <f>IF($C1339="","",IFERROR(INDEX(프로젝트목록!$B$3:$B$62,MATCH($C1339,프로젝트목록!$A$3:$A$62,0)),"미등록코드"))</f>
        <v/>
      </c>
      <c r="E1339" s="32" t="n"/>
      <c r="F1339" s="38" t="n"/>
      <c r="G1339" s="38" t="n"/>
      <c r="H1339" s="39" t="n"/>
      <c r="I1339" s="40" t="str">
        <f>IF(OR($J1339="",$K1339=""),"",ROUND(MAX(0,($K1339-$J1339)-IF($H1339="",0,$H1339))/60,2))</f>
        <v/>
      </c>
      <c r="J1339" s="41" t="str">
        <f>IF($F1339="","",IF($F1339&lt;1,ROUND($F1339*1440,0),INT($F1339/100)*60+MOD($F1339,100)))</f>
        <v/>
      </c>
      <c r="K1339" s="41" t="str">
        <f>IF($G1339="","",IF($G1339&lt;1,ROUND($G1339*1440,0),INT($G1339/100)*60+MOD($G1339,100)))</f>
        <v/>
      </c>
    </row>
    <row r="1340" ht="15" customHeight="1" s="26">
      <c r="A1340" s="34" t="n"/>
      <c r="B1340" s="32" t="n"/>
      <c r="C1340" s="33" t="n"/>
      <c r="D1340" s="37" t="str">
        <f>IF($C1340="","",IFERROR(INDEX(프로젝트목록!$B$3:$B$62,MATCH($C1340,프로젝트목록!$A$3:$A$62,0)),"미등록코드"))</f>
        <v/>
      </c>
      <c r="E1340" s="32" t="n"/>
      <c r="F1340" s="38" t="n"/>
      <c r="G1340" s="38" t="n"/>
      <c r="H1340" s="39" t="n"/>
      <c r="I1340" s="40" t="str">
        <f>IF(OR($J1340="",$K1340=""),"",ROUND(MAX(0,($K1340-$J1340)-IF($H1340="",0,$H1340))/60,2))</f>
        <v/>
      </c>
      <c r="J1340" s="41" t="str">
        <f>IF($F1340="","",IF($F1340&lt;1,ROUND($F1340*1440,0),INT($F1340/100)*60+MOD($F1340,100)))</f>
        <v/>
      </c>
      <c r="K1340" s="41" t="str">
        <f>IF($G1340="","",IF($G1340&lt;1,ROUND($G1340*1440,0),INT($G1340/100)*60+MOD($G1340,100)))</f>
        <v/>
      </c>
    </row>
    <row r="1341" ht="15" customHeight="1" s="26">
      <c r="A1341" s="34" t="n"/>
      <c r="B1341" s="32" t="n"/>
      <c r="C1341" s="33" t="n"/>
      <c r="D1341" s="37" t="str">
        <f>IF($C1341="","",IFERROR(INDEX(프로젝트목록!$B$3:$B$62,MATCH($C1341,프로젝트목록!$A$3:$A$62,0)),"미등록코드"))</f>
        <v/>
      </c>
      <c r="E1341" s="32" t="n"/>
      <c r="F1341" s="38" t="n"/>
      <c r="G1341" s="38" t="n"/>
      <c r="H1341" s="39" t="n"/>
      <c r="I1341" s="40" t="str">
        <f>IF(OR($J1341="",$K1341=""),"",ROUND(MAX(0,($K1341-$J1341)-IF($H1341="",0,$H1341))/60,2))</f>
        <v/>
      </c>
      <c r="J1341" s="41" t="str">
        <f>IF($F1341="","",IF($F1341&lt;1,ROUND($F1341*1440,0),INT($F1341/100)*60+MOD($F1341,100)))</f>
        <v/>
      </c>
      <c r="K1341" s="41" t="str">
        <f>IF($G1341="","",IF($G1341&lt;1,ROUND($G1341*1440,0),INT($G1341/100)*60+MOD($G1341,100)))</f>
        <v/>
      </c>
    </row>
    <row r="1342" ht="15" customHeight="1" s="26">
      <c r="A1342" s="34" t="n"/>
      <c r="B1342" s="32" t="n"/>
      <c r="C1342" s="33" t="n"/>
      <c r="D1342" s="37" t="str">
        <f>IF($C1342="","",IFERROR(INDEX(프로젝트목록!$B$3:$B$62,MATCH($C1342,프로젝트목록!$A$3:$A$62,0)),"미등록코드"))</f>
        <v/>
      </c>
      <c r="E1342" s="32" t="n"/>
      <c r="F1342" s="38" t="n"/>
      <c r="G1342" s="38" t="n"/>
      <c r="H1342" s="39" t="n"/>
      <c r="I1342" s="40" t="str">
        <f>IF(OR($J1342="",$K1342=""),"",ROUND(MAX(0,($K1342-$J1342)-IF($H1342="",0,$H1342))/60,2))</f>
        <v/>
      </c>
      <c r="J1342" s="41" t="str">
        <f>IF($F1342="","",IF($F1342&lt;1,ROUND($F1342*1440,0),INT($F1342/100)*60+MOD($F1342,100)))</f>
        <v/>
      </c>
      <c r="K1342" s="41" t="str">
        <f>IF($G1342="","",IF($G1342&lt;1,ROUND($G1342*1440,0),INT($G1342/100)*60+MOD($G1342,100)))</f>
        <v/>
      </c>
    </row>
    <row r="1343" ht="15" customHeight="1" s="26">
      <c r="A1343" s="34" t="n"/>
      <c r="B1343" s="32" t="n"/>
      <c r="C1343" s="33" t="n"/>
      <c r="D1343" s="37" t="str">
        <f>IF($C1343="","",IFERROR(INDEX(프로젝트목록!$B$3:$B$62,MATCH($C1343,프로젝트목록!$A$3:$A$62,0)),"미등록코드"))</f>
        <v/>
      </c>
      <c r="E1343" s="32" t="n"/>
      <c r="F1343" s="38" t="n"/>
      <c r="G1343" s="38" t="n"/>
      <c r="H1343" s="39" t="n"/>
      <c r="I1343" s="40" t="str">
        <f>IF(OR($J1343="",$K1343=""),"",ROUND(MAX(0,($K1343-$J1343)-IF($H1343="",0,$H1343))/60,2))</f>
        <v/>
      </c>
      <c r="J1343" s="41" t="str">
        <f>IF($F1343="","",IF($F1343&lt;1,ROUND($F1343*1440,0),INT($F1343/100)*60+MOD($F1343,100)))</f>
        <v/>
      </c>
      <c r="K1343" s="41" t="str">
        <f>IF($G1343="","",IF($G1343&lt;1,ROUND($G1343*1440,0),INT($G1343/100)*60+MOD($G1343,100)))</f>
        <v/>
      </c>
    </row>
    <row r="1344" ht="15" customHeight="1" s="26">
      <c r="A1344" s="34" t="n"/>
      <c r="B1344" s="32" t="n"/>
      <c r="C1344" s="33" t="n"/>
      <c r="D1344" s="37" t="str">
        <f>IF($C1344="","",IFERROR(INDEX(프로젝트목록!$B$3:$B$62,MATCH($C1344,프로젝트목록!$A$3:$A$62,0)),"미등록코드"))</f>
        <v/>
      </c>
      <c r="E1344" s="32" t="n"/>
      <c r="F1344" s="38" t="n"/>
      <c r="G1344" s="38" t="n"/>
      <c r="H1344" s="39" t="n"/>
      <c r="I1344" s="40" t="str">
        <f>IF(OR($J1344="",$K1344=""),"",ROUND(MAX(0,($K1344-$J1344)-IF($H1344="",0,$H1344))/60,2))</f>
        <v/>
      </c>
      <c r="J1344" s="41" t="str">
        <f>IF($F1344="","",IF($F1344&lt;1,ROUND($F1344*1440,0),INT($F1344/100)*60+MOD($F1344,100)))</f>
        <v/>
      </c>
      <c r="K1344" s="41" t="str">
        <f>IF($G1344="","",IF($G1344&lt;1,ROUND($G1344*1440,0),INT($G1344/100)*60+MOD($G1344,100)))</f>
        <v/>
      </c>
    </row>
    <row r="1345" ht="15" customHeight="1" s="26">
      <c r="A1345" s="34" t="n"/>
      <c r="B1345" s="32" t="n"/>
      <c r="C1345" s="33" t="n"/>
      <c r="D1345" s="37" t="str">
        <f>IF($C1345="","",IFERROR(INDEX(프로젝트목록!$B$3:$B$62,MATCH($C1345,프로젝트목록!$A$3:$A$62,0)),"미등록코드"))</f>
        <v/>
      </c>
      <c r="E1345" s="32" t="n"/>
      <c r="F1345" s="38" t="n"/>
      <c r="G1345" s="38" t="n"/>
      <c r="H1345" s="39" t="n"/>
      <c r="I1345" s="40" t="str">
        <f>IF(OR($J1345="",$K1345=""),"",ROUND(MAX(0,($K1345-$J1345)-IF($H1345="",0,$H1345))/60,2))</f>
        <v/>
      </c>
      <c r="J1345" s="41" t="str">
        <f>IF($F1345="","",IF($F1345&lt;1,ROUND($F1345*1440,0),INT($F1345/100)*60+MOD($F1345,100)))</f>
        <v/>
      </c>
      <c r="K1345" s="41" t="str">
        <f>IF($G1345="","",IF($G1345&lt;1,ROUND($G1345*1440,0),INT($G1345/100)*60+MOD($G1345,100)))</f>
        <v/>
      </c>
    </row>
    <row r="1346" ht="15" customHeight="1" s="26">
      <c r="A1346" s="34" t="n"/>
      <c r="B1346" s="32" t="n"/>
      <c r="C1346" s="33" t="n"/>
      <c r="D1346" s="37" t="str">
        <f>IF($C1346="","",IFERROR(INDEX(프로젝트목록!$B$3:$B$62,MATCH($C1346,프로젝트목록!$A$3:$A$62,0)),"미등록코드"))</f>
        <v/>
      </c>
      <c r="E1346" s="32" t="n"/>
      <c r="F1346" s="38" t="n"/>
      <c r="G1346" s="38" t="n"/>
      <c r="H1346" s="39" t="n"/>
      <c r="I1346" s="40" t="str">
        <f>IF(OR($J1346="",$K1346=""),"",ROUND(MAX(0,($K1346-$J1346)-IF($H1346="",0,$H1346))/60,2))</f>
        <v/>
      </c>
      <c r="J1346" s="41" t="str">
        <f>IF($F1346="","",IF($F1346&lt;1,ROUND($F1346*1440,0),INT($F1346/100)*60+MOD($F1346,100)))</f>
        <v/>
      </c>
      <c r="K1346" s="41" t="str">
        <f>IF($G1346="","",IF($G1346&lt;1,ROUND($G1346*1440,0),INT($G1346/100)*60+MOD($G1346,100)))</f>
        <v/>
      </c>
    </row>
    <row r="1347" ht="15" customHeight="1" s="26">
      <c r="A1347" s="34" t="n"/>
      <c r="B1347" s="32" t="n"/>
      <c r="C1347" s="33" t="n"/>
      <c r="D1347" s="37" t="str">
        <f>IF($C1347="","",IFERROR(INDEX(프로젝트목록!$B$3:$B$62,MATCH($C1347,프로젝트목록!$A$3:$A$62,0)),"미등록코드"))</f>
        <v/>
      </c>
      <c r="E1347" s="32" t="n"/>
      <c r="F1347" s="38" t="n"/>
      <c r="G1347" s="38" t="n"/>
      <c r="H1347" s="39" t="n"/>
      <c r="I1347" s="40" t="str">
        <f>IF(OR($J1347="",$K1347=""),"",ROUND(MAX(0,($K1347-$J1347)-IF($H1347="",0,$H1347))/60,2))</f>
        <v/>
      </c>
      <c r="J1347" s="41" t="str">
        <f>IF($F1347="","",IF($F1347&lt;1,ROUND($F1347*1440,0),INT($F1347/100)*60+MOD($F1347,100)))</f>
        <v/>
      </c>
      <c r="K1347" s="41" t="str">
        <f>IF($G1347="","",IF($G1347&lt;1,ROUND($G1347*1440,0),INT($G1347/100)*60+MOD($G1347,100)))</f>
        <v/>
      </c>
    </row>
    <row r="1348" ht="15" customHeight="1" s="26">
      <c r="A1348" s="34" t="n"/>
      <c r="B1348" s="32" t="n"/>
      <c r="C1348" s="33" t="n"/>
      <c r="D1348" s="37" t="str">
        <f>IF($C1348="","",IFERROR(INDEX(프로젝트목록!$B$3:$B$62,MATCH($C1348,프로젝트목록!$A$3:$A$62,0)),"미등록코드"))</f>
        <v/>
      </c>
      <c r="E1348" s="32" t="n"/>
      <c r="F1348" s="38" t="n"/>
      <c r="G1348" s="38" t="n"/>
      <c r="H1348" s="39" t="n"/>
      <c r="I1348" s="40" t="str">
        <f>IF(OR($J1348="",$K1348=""),"",ROUND(MAX(0,($K1348-$J1348)-IF($H1348="",0,$H1348))/60,2))</f>
        <v/>
      </c>
      <c r="J1348" s="41" t="str">
        <f>IF($F1348="","",IF($F1348&lt;1,ROUND($F1348*1440,0),INT($F1348/100)*60+MOD($F1348,100)))</f>
        <v/>
      </c>
      <c r="K1348" s="41" t="str">
        <f>IF($G1348="","",IF($G1348&lt;1,ROUND($G1348*1440,0),INT($G1348/100)*60+MOD($G1348,100)))</f>
        <v/>
      </c>
    </row>
    <row r="1349" ht="15" customHeight="1" s="26">
      <c r="A1349" s="34" t="n"/>
      <c r="B1349" s="32" t="n"/>
      <c r="C1349" s="33" t="n"/>
      <c r="D1349" s="37" t="str">
        <f>IF($C1349="","",IFERROR(INDEX(프로젝트목록!$B$3:$B$62,MATCH($C1349,프로젝트목록!$A$3:$A$62,0)),"미등록코드"))</f>
        <v/>
      </c>
      <c r="E1349" s="32" t="n"/>
      <c r="F1349" s="38" t="n"/>
      <c r="G1349" s="38" t="n"/>
      <c r="H1349" s="39" t="n"/>
      <c r="I1349" s="40" t="str">
        <f>IF(OR($J1349="",$K1349=""),"",ROUND(MAX(0,($K1349-$J1349)-IF($H1349="",0,$H1349))/60,2))</f>
        <v/>
      </c>
      <c r="J1349" s="41" t="str">
        <f>IF($F1349="","",IF($F1349&lt;1,ROUND($F1349*1440,0),INT($F1349/100)*60+MOD($F1349,100)))</f>
        <v/>
      </c>
      <c r="K1349" s="41" t="str">
        <f>IF($G1349="","",IF($G1349&lt;1,ROUND($G1349*1440,0),INT($G1349/100)*60+MOD($G1349,100)))</f>
        <v/>
      </c>
    </row>
    <row r="1350" ht="15" customHeight="1" s="26">
      <c r="A1350" s="34" t="n"/>
      <c r="B1350" s="32" t="n"/>
      <c r="C1350" s="33" t="n"/>
      <c r="D1350" s="37" t="str">
        <f>IF($C1350="","",IFERROR(INDEX(프로젝트목록!$B$3:$B$62,MATCH($C1350,프로젝트목록!$A$3:$A$62,0)),"미등록코드"))</f>
        <v/>
      </c>
      <c r="E1350" s="32" t="n"/>
      <c r="F1350" s="38" t="n"/>
      <c r="G1350" s="38" t="n"/>
      <c r="H1350" s="39" t="n"/>
      <c r="I1350" s="40" t="str">
        <f>IF(OR($J1350="",$K1350=""),"",ROUND(MAX(0,($K1350-$J1350)-IF($H1350="",0,$H1350))/60,2))</f>
        <v/>
      </c>
      <c r="J1350" s="41" t="str">
        <f>IF($F1350="","",IF($F1350&lt;1,ROUND($F1350*1440,0),INT($F1350/100)*60+MOD($F1350,100)))</f>
        <v/>
      </c>
      <c r="K1350" s="41" t="str">
        <f>IF($G1350="","",IF($G1350&lt;1,ROUND($G1350*1440,0),INT($G1350/100)*60+MOD($G1350,100)))</f>
        <v/>
      </c>
    </row>
    <row r="1351" ht="15" customHeight="1" s="26">
      <c r="A1351" s="34" t="n"/>
      <c r="B1351" s="32" t="n"/>
      <c r="C1351" s="33" t="n"/>
      <c r="D1351" s="37" t="str">
        <f>IF($C1351="","",IFERROR(INDEX(프로젝트목록!$B$3:$B$62,MATCH($C1351,프로젝트목록!$A$3:$A$62,0)),"미등록코드"))</f>
        <v/>
      </c>
      <c r="E1351" s="32" t="n"/>
      <c r="F1351" s="38" t="n"/>
      <c r="G1351" s="38" t="n"/>
      <c r="H1351" s="39" t="n"/>
      <c r="I1351" s="40" t="str">
        <f>IF(OR($J1351="",$K1351=""),"",ROUND(MAX(0,($K1351-$J1351)-IF($H1351="",0,$H1351))/60,2))</f>
        <v/>
      </c>
      <c r="J1351" s="41" t="str">
        <f>IF($F1351="","",IF($F1351&lt;1,ROUND($F1351*1440,0),INT($F1351/100)*60+MOD($F1351,100)))</f>
        <v/>
      </c>
      <c r="K1351" s="41" t="str">
        <f>IF($G1351="","",IF($G1351&lt;1,ROUND($G1351*1440,0),INT($G1351/100)*60+MOD($G1351,100)))</f>
        <v/>
      </c>
    </row>
    <row r="1352" ht="15" customHeight="1" s="26">
      <c r="A1352" s="34" t="n"/>
      <c r="B1352" s="32" t="n"/>
      <c r="C1352" s="33" t="n"/>
      <c r="D1352" s="37" t="str">
        <f>IF($C1352="","",IFERROR(INDEX(프로젝트목록!$B$3:$B$62,MATCH($C1352,프로젝트목록!$A$3:$A$62,0)),"미등록코드"))</f>
        <v/>
      </c>
      <c r="E1352" s="32" t="n"/>
      <c r="F1352" s="38" t="n"/>
      <c r="G1352" s="38" t="n"/>
      <c r="H1352" s="39" t="n"/>
      <c r="I1352" s="40" t="str">
        <f>IF(OR($J1352="",$K1352=""),"",ROUND(MAX(0,($K1352-$J1352)-IF($H1352="",0,$H1352))/60,2))</f>
        <v/>
      </c>
      <c r="J1352" s="41" t="str">
        <f>IF($F1352="","",IF($F1352&lt;1,ROUND($F1352*1440,0),INT($F1352/100)*60+MOD($F1352,100)))</f>
        <v/>
      </c>
      <c r="K1352" s="41" t="str">
        <f>IF($G1352="","",IF($G1352&lt;1,ROUND($G1352*1440,0),INT($G1352/100)*60+MOD($G1352,100)))</f>
        <v/>
      </c>
    </row>
    <row r="1353" ht="15" customHeight="1" s="26">
      <c r="A1353" s="34" t="n"/>
      <c r="B1353" s="32" t="n"/>
      <c r="C1353" s="33" t="n"/>
      <c r="D1353" s="37" t="str">
        <f>IF($C1353="","",IFERROR(INDEX(프로젝트목록!$B$3:$B$62,MATCH($C1353,프로젝트목록!$A$3:$A$62,0)),"미등록코드"))</f>
        <v/>
      </c>
      <c r="E1353" s="32" t="n"/>
      <c r="F1353" s="38" t="n"/>
      <c r="G1353" s="38" t="n"/>
      <c r="H1353" s="39" t="n"/>
      <c r="I1353" s="40" t="str">
        <f>IF(OR($J1353="",$K1353=""),"",ROUND(MAX(0,($K1353-$J1353)-IF($H1353="",0,$H1353))/60,2))</f>
        <v/>
      </c>
      <c r="J1353" s="41" t="str">
        <f>IF($F1353="","",IF($F1353&lt;1,ROUND($F1353*1440,0),INT($F1353/100)*60+MOD($F1353,100)))</f>
        <v/>
      </c>
      <c r="K1353" s="41" t="str">
        <f>IF($G1353="","",IF($G1353&lt;1,ROUND($G1353*1440,0),INT($G1353/100)*60+MOD($G1353,100)))</f>
        <v/>
      </c>
    </row>
    <row r="1354" ht="15" customHeight="1" s="26">
      <c r="A1354" s="34" t="n"/>
      <c r="B1354" s="32" t="n"/>
      <c r="C1354" s="33" t="n"/>
      <c r="D1354" s="37" t="str">
        <f>IF($C1354="","",IFERROR(INDEX(프로젝트목록!$B$3:$B$62,MATCH($C1354,프로젝트목록!$A$3:$A$62,0)),"미등록코드"))</f>
        <v/>
      </c>
      <c r="E1354" s="32" t="n"/>
      <c r="F1354" s="38" t="n"/>
      <c r="G1354" s="38" t="n"/>
      <c r="H1354" s="39" t="n"/>
      <c r="I1354" s="40" t="str">
        <f>IF(OR($J1354="",$K1354=""),"",ROUND(MAX(0,($K1354-$J1354)-IF($H1354="",0,$H1354))/60,2))</f>
        <v/>
      </c>
      <c r="J1354" s="41" t="str">
        <f>IF($F1354="","",IF($F1354&lt;1,ROUND($F1354*1440,0),INT($F1354/100)*60+MOD($F1354,100)))</f>
        <v/>
      </c>
      <c r="K1354" s="41" t="str">
        <f>IF($G1354="","",IF($G1354&lt;1,ROUND($G1354*1440,0),INT($G1354/100)*60+MOD($G1354,100)))</f>
        <v/>
      </c>
    </row>
    <row r="1355" ht="15" customHeight="1" s="26">
      <c r="A1355" s="34" t="n"/>
      <c r="B1355" s="32" t="n"/>
      <c r="C1355" s="33" t="n"/>
      <c r="D1355" s="37" t="str">
        <f>IF($C1355="","",IFERROR(INDEX(프로젝트목록!$B$3:$B$62,MATCH($C1355,프로젝트목록!$A$3:$A$62,0)),"미등록코드"))</f>
        <v/>
      </c>
      <c r="E1355" s="32" t="n"/>
      <c r="F1355" s="38" t="n"/>
      <c r="G1355" s="38" t="n"/>
      <c r="H1355" s="39" t="n"/>
      <c r="I1355" s="40" t="str">
        <f>IF(OR($J1355="",$K1355=""),"",ROUND(MAX(0,($K1355-$J1355)-IF($H1355="",0,$H1355))/60,2))</f>
        <v/>
      </c>
      <c r="J1355" s="41" t="str">
        <f>IF($F1355="","",IF($F1355&lt;1,ROUND($F1355*1440,0),INT($F1355/100)*60+MOD($F1355,100)))</f>
        <v/>
      </c>
      <c r="K1355" s="41" t="str">
        <f>IF($G1355="","",IF($G1355&lt;1,ROUND($G1355*1440,0),INT($G1355/100)*60+MOD($G1355,100)))</f>
        <v/>
      </c>
    </row>
    <row r="1356" ht="15" customHeight="1" s="26">
      <c r="A1356" s="34" t="n"/>
      <c r="B1356" s="32" t="n"/>
      <c r="C1356" s="33" t="n"/>
      <c r="D1356" s="37" t="str">
        <f>IF($C1356="","",IFERROR(INDEX(프로젝트목록!$B$3:$B$62,MATCH($C1356,프로젝트목록!$A$3:$A$62,0)),"미등록코드"))</f>
        <v/>
      </c>
      <c r="E1356" s="32" t="n"/>
      <c r="F1356" s="38" t="n"/>
      <c r="G1356" s="38" t="n"/>
      <c r="H1356" s="39" t="n"/>
      <c r="I1356" s="40" t="str">
        <f>IF(OR($J1356="",$K1356=""),"",ROUND(MAX(0,($K1356-$J1356)-IF($H1356="",0,$H1356))/60,2))</f>
        <v/>
      </c>
      <c r="J1356" s="41" t="str">
        <f>IF($F1356="","",IF($F1356&lt;1,ROUND($F1356*1440,0),INT($F1356/100)*60+MOD($F1356,100)))</f>
        <v/>
      </c>
      <c r="K1356" s="41" t="str">
        <f>IF($G1356="","",IF($G1356&lt;1,ROUND($G1356*1440,0),INT($G1356/100)*60+MOD($G1356,100)))</f>
        <v/>
      </c>
    </row>
    <row r="1357" ht="15" customHeight="1" s="26">
      <c r="A1357" s="34" t="n"/>
      <c r="B1357" s="32" t="n"/>
      <c r="C1357" s="33" t="n"/>
      <c r="D1357" s="37" t="str">
        <f>IF($C1357="","",IFERROR(INDEX(프로젝트목록!$B$3:$B$62,MATCH($C1357,프로젝트목록!$A$3:$A$62,0)),"미등록코드"))</f>
        <v/>
      </c>
      <c r="E1357" s="32" t="n"/>
      <c r="F1357" s="38" t="n"/>
      <c r="G1357" s="38" t="n"/>
      <c r="H1357" s="39" t="n"/>
      <c r="I1357" s="40" t="str">
        <f>IF(OR($J1357="",$K1357=""),"",ROUND(MAX(0,($K1357-$J1357)-IF($H1357="",0,$H1357))/60,2))</f>
        <v/>
      </c>
      <c r="J1357" s="41" t="str">
        <f>IF($F1357="","",IF($F1357&lt;1,ROUND($F1357*1440,0),INT($F1357/100)*60+MOD($F1357,100)))</f>
        <v/>
      </c>
      <c r="K1357" s="41" t="str">
        <f>IF($G1357="","",IF($G1357&lt;1,ROUND($G1357*1440,0),INT($G1357/100)*60+MOD($G1357,100)))</f>
        <v/>
      </c>
    </row>
    <row r="1358" ht="15" customHeight="1" s="26">
      <c r="A1358" s="34" t="n"/>
      <c r="B1358" s="32" t="n"/>
      <c r="C1358" s="33" t="n"/>
      <c r="D1358" s="37" t="str">
        <f>IF($C1358="","",IFERROR(INDEX(프로젝트목록!$B$3:$B$62,MATCH($C1358,프로젝트목록!$A$3:$A$62,0)),"미등록코드"))</f>
        <v/>
      </c>
      <c r="E1358" s="32" t="n"/>
      <c r="F1358" s="38" t="n"/>
      <c r="G1358" s="38" t="n"/>
      <c r="H1358" s="39" t="n"/>
      <c r="I1358" s="40" t="str">
        <f>IF(OR($J1358="",$K1358=""),"",ROUND(MAX(0,($K1358-$J1358)-IF($H1358="",0,$H1358))/60,2))</f>
        <v/>
      </c>
      <c r="J1358" s="41" t="str">
        <f>IF($F1358="","",IF($F1358&lt;1,ROUND($F1358*1440,0),INT($F1358/100)*60+MOD($F1358,100)))</f>
        <v/>
      </c>
      <c r="K1358" s="41" t="str">
        <f>IF($G1358="","",IF($G1358&lt;1,ROUND($G1358*1440,0),INT($G1358/100)*60+MOD($G1358,100)))</f>
        <v/>
      </c>
    </row>
    <row r="1359" ht="15" customHeight="1" s="26">
      <c r="A1359" s="34" t="n"/>
      <c r="B1359" s="32" t="n"/>
      <c r="C1359" s="33" t="n"/>
      <c r="D1359" s="37" t="str">
        <f>IF($C1359="","",IFERROR(INDEX(프로젝트목록!$B$3:$B$62,MATCH($C1359,프로젝트목록!$A$3:$A$62,0)),"미등록코드"))</f>
        <v/>
      </c>
      <c r="E1359" s="32" t="n"/>
      <c r="F1359" s="38" t="n"/>
      <c r="G1359" s="38" t="n"/>
      <c r="H1359" s="39" t="n"/>
      <c r="I1359" s="40" t="str">
        <f>IF(OR($J1359="",$K1359=""),"",ROUND(MAX(0,($K1359-$J1359)-IF($H1359="",0,$H1359))/60,2))</f>
        <v/>
      </c>
      <c r="J1359" s="41" t="str">
        <f>IF($F1359="","",IF($F1359&lt;1,ROUND($F1359*1440,0),INT($F1359/100)*60+MOD($F1359,100)))</f>
        <v/>
      </c>
      <c r="K1359" s="41" t="str">
        <f>IF($G1359="","",IF($G1359&lt;1,ROUND($G1359*1440,0),INT($G1359/100)*60+MOD($G1359,100)))</f>
        <v/>
      </c>
    </row>
    <row r="1360" ht="15" customHeight="1" s="26">
      <c r="A1360" s="34" t="n"/>
      <c r="B1360" s="32" t="n"/>
      <c r="C1360" s="33" t="n"/>
      <c r="D1360" s="37" t="str">
        <f>IF($C1360="","",IFERROR(INDEX(프로젝트목록!$B$3:$B$62,MATCH($C1360,프로젝트목록!$A$3:$A$62,0)),"미등록코드"))</f>
        <v/>
      </c>
      <c r="E1360" s="32" t="n"/>
      <c r="F1360" s="38" t="n"/>
      <c r="G1360" s="38" t="n"/>
      <c r="H1360" s="39" t="n"/>
      <c r="I1360" s="40" t="str">
        <f>IF(OR($J1360="",$K1360=""),"",ROUND(MAX(0,($K1360-$J1360)-IF($H1360="",0,$H1360))/60,2))</f>
        <v/>
      </c>
      <c r="J1360" s="41" t="str">
        <f>IF($F1360="","",IF($F1360&lt;1,ROUND($F1360*1440,0),INT($F1360/100)*60+MOD($F1360,100)))</f>
        <v/>
      </c>
      <c r="K1360" s="41" t="str">
        <f>IF($G1360="","",IF($G1360&lt;1,ROUND($G1360*1440,0),INT($G1360/100)*60+MOD($G1360,100)))</f>
        <v/>
      </c>
    </row>
    <row r="1361" ht="15" customHeight="1" s="26">
      <c r="A1361" s="34" t="n"/>
      <c r="B1361" s="32" t="n"/>
      <c r="C1361" s="33" t="n"/>
      <c r="D1361" s="37" t="str">
        <f>IF($C1361="","",IFERROR(INDEX(프로젝트목록!$B$3:$B$62,MATCH($C1361,프로젝트목록!$A$3:$A$62,0)),"미등록코드"))</f>
        <v/>
      </c>
      <c r="E1361" s="32" t="n"/>
      <c r="F1361" s="38" t="n"/>
      <c r="G1361" s="38" t="n"/>
      <c r="H1361" s="39" t="n"/>
      <c r="I1361" s="40" t="str">
        <f>IF(OR($J1361="",$K1361=""),"",ROUND(MAX(0,($K1361-$J1361)-IF($H1361="",0,$H1361))/60,2))</f>
        <v/>
      </c>
      <c r="J1361" s="41" t="str">
        <f>IF($F1361="","",IF($F1361&lt;1,ROUND($F1361*1440,0),INT($F1361/100)*60+MOD($F1361,100)))</f>
        <v/>
      </c>
      <c r="K1361" s="41" t="str">
        <f>IF($G1361="","",IF($G1361&lt;1,ROUND($G1361*1440,0),INT($G1361/100)*60+MOD($G1361,100)))</f>
        <v/>
      </c>
    </row>
    <row r="1362" ht="15" customHeight="1" s="26">
      <c r="A1362" s="34" t="n"/>
      <c r="B1362" s="32" t="n"/>
      <c r="C1362" s="33" t="n"/>
      <c r="D1362" s="37" t="str">
        <f>IF($C1362="","",IFERROR(INDEX(프로젝트목록!$B$3:$B$62,MATCH($C1362,프로젝트목록!$A$3:$A$62,0)),"미등록코드"))</f>
        <v/>
      </c>
      <c r="E1362" s="32" t="n"/>
      <c r="F1362" s="38" t="n"/>
      <c r="G1362" s="38" t="n"/>
      <c r="H1362" s="39" t="n"/>
      <c r="I1362" s="40" t="str">
        <f>IF(OR($J1362="",$K1362=""),"",ROUND(MAX(0,($K1362-$J1362)-IF($H1362="",0,$H1362))/60,2))</f>
        <v/>
      </c>
      <c r="J1362" s="41" t="str">
        <f>IF($F1362="","",IF($F1362&lt;1,ROUND($F1362*1440,0),INT($F1362/100)*60+MOD($F1362,100)))</f>
        <v/>
      </c>
      <c r="K1362" s="41" t="str">
        <f>IF($G1362="","",IF($G1362&lt;1,ROUND($G1362*1440,0),INT($G1362/100)*60+MOD($G1362,100)))</f>
        <v/>
      </c>
    </row>
    <row r="1363" ht="15" customHeight="1" s="26">
      <c r="A1363" s="34" t="n"/>
      <c r="B1363" s="32" t="n"/>
      <c r="C1363" s="33" t="n"/>
      <c r="D1363" s="37" t="str">
        <f>IF($C1363="","",IFERROR(INDEX(프로젝트목록!$B$3:$B$62,MATCH($C1363,프로젝트목록!$A$3:$A$62,0)),"미등록코드"))</f>
        <v/>
      </c>
      <c r="E1363" s="32" t="n"/>
      <c r="F1363" s="38" t="n"/>
      <c r="G1363" s="38" t="n"/>
      <c r="H1363" s="39" t="n"/>
      <c r="I1363" s="40" t="str">
        <f>IF(OR($J1363="",$K1363=""),"",ROUND(MAX(0,($K1363-$J1363)-IF($H1363="",0,$H1363))/60,2))</f>
        <v/>
      </c>
      <c r="J1363" s="41" t="str">
        <f>IF($F1363="","",IF($F1363&lt;1,ROUND($F1363*1440,0),INT($F1363/100)*60+MOD($F1363,100)))</f>
        <v/>
      </c>
      <c r="K1363" s="41" t="str">
        <f>IF($G1363="","",IF($G1363&lt;1,ROUND($G1363*1440,0),INT($G1363/100)*60+MOD($G1363,100)))</f>
        <v/>
      </c>
    </row>
    <row r="1364" ht="15" customHeight="1" s="26">
      <c r="A1364" s="34" t="n"/>
      <c r="B1364" s="32" t="n"/>
      <c r="C1364" s="33" t="n"/>
      <c r="D1364" s="37" t="str">
        <f>IF($C1364="","",IFERROR(INDEX(프로젝트목록!$B$3:$B$62,MATCH($C1364,프로젝트목록!$A$3:$A$62,0)),"미등록코드"))</f>
        <v/>
      </c>
      <c r="E1364" s="32" t="n"/>
      <c r="F1364" s="38" t="n"/>
      <c r="G1364" s="38" t="n"/>
      <c r="H1364" s="39" t="n"/>
      <c r="I1364" s="40" t="str">
        <f>IF(OR($J1364="",$K1364=""),"",ROUND(MAX(0,($K1364-$J1364)-IF($H1364="",0,$H1364))/60,2))</f>
        <v/>
      </c>
      <c r="J1364" s="41" t="str">
        <f>IF($F1364="","",IF($F1364&lt;1,ROUND($F1364*1440,0),INT($F1364/100)*60+MOD($F1364,100)))</f>
        <v/>
      </c>
      <c r="K1364" s="41" t="str">
        <f>IF($G1364="","",IF($G1364&lt;1,ROUND($G1364*1440,0),INT($G1364/100)*60+MOD($G1364,100)))</f>
        <v/>
      </c>
    </row>
    <row r="1365" ht="15" customHeight="1" s="26">
      <c r="A1365" s="34" t="n"/>
      <c r="B1365" s="32" t="n"/>
      <c r="C1365" s="33" t="n"/>
      <c r="D1365" s="37" t="str">
        <f>IF($C1365="","",IFERROR(INDEX(프로젝트목록!$B$3:$B$62,MATCH($C1365,프로젝트목록!$A$3:$A$62,0)),"미등록코드"))</f>
        <v/>
      </c>
      <c r="E1365" s="32" t="n"/>
      <c r="F1365" s="38" t="n"/>
      <c r="G1365" s="38" t="n"/>
      <c r="H1365" s="39" t="n"/>
      <c r="I1365" s="40" t="str">
        <f>IF(OR($J1365="",$K1365=""),"",ROUND(MAX(0,($K1365-$J1365)-IF($H1365="",0,$H1365))/60,2))</f>
        <v/>
      </c>
      <c r="J1365" s="41" t="str">
        <f>IF($F1365="","",IF($F1365&lt;1,ROUND($F1365*1440,0),INT($F1365/100)*60+MOD($F1365,100)))</f>
        <v/>
      </c>
      <c r="K1365" s="41" t="str">
        <f>IF($G1365="","",IF($G1365&lt;1,ROUND($G1365*1440,0),INT($G1365/100)*60+MOD($G1365,100)))</f>
        <v/>
      </c>
    </row>
    <row r="1366" ht="15" customHeight="1" s="26">
      <c r="A1366" s="34" t="n"/>
      <c r="B1366" s="32" t="n"/>
      <c r="C1366" s="33" t="n"/>
      <c r="D1366" s="37" t="str">
        <f>IF($C1366="","",IFERROR(INDEX(프로젝트목록!$B$3:$B$62,MATCH($C1366,프로젝트목록!$A$3:$A$62,0)),"미등록코드"))</f>
        <v/>
      </c>
      <c r="E1366" s="32" t="n"/>
      <c r="F1366" s="38" t="n"/>
      <c r="G1366" s="38" t="n"/>
      <c r="H1366" s="39" t="n"/>
      <c r="I1366" s="40" t="str">
        <f>IF(OR($J1366="",$K1366=""),"",ROUND(MAX(0,($K1366-$J1366)-IF($H1366="",0,$H1366))/60,2))</f>
        <v/>
      </c>
      <c r="J1366" s="41" t="str">
        <f>IF($F1366="","",IF($F1366&lt;1,ROUND($F1366*1440,0),INT($F1366/100)*60+MOD($F1366,100)))</f>
        <v/>
      </c>
      <c r="K1366" s="41" t="str">
        <f>IF($G1366="","",IF($G1366&lt;1,ROUND($G1366*1440,0),INT($G1366/100)*60+MOD($G1366,100)))</f>
        <v/>
      </c>
    </row>
    <row r="1367" ht="15" customHeight="1" s="26">
      <c r="A1367" s="34" t="n"/>
      <c r="B1367" s="32" t="n"/>
      <c r="C1367" s="33" t="n"/>
      <c r="D1367" s="37" t="str">
        <f>IF($C1367="","",IFERROR(INDEX(프로젝트목록!$B$3:$B$62,MATCH($C1367,프로젝트목록!$A$3:$A$62,0)),"미등록코드"))</f>
        <v/>
      </c>
      <c r="E1367" s="32" t="n"/>
      <c r="F1367" s="38" t="n"/>
      <c r="G1367" s="38" t="n"/>
      <c r="H1367" s="39" t="n"/>
      <c r="I1367" s="40" t="str">
        <f>IF(OR($J1367="",$K1367=""),"",ROUND(MAX(0,($K1367-$J1367)-IF($H1367="",0,$H1367))/60,2))</f>
        <v/>
      </c>
      <c r="J1367" s="41" t="str">
        <f>IF($F1367="","",IF($F1367&lt;1,ROUND($F1367*1440,0),INT($F1367/100)*60+MOD($F1367,100)))</f>
        <v/>
      </c>
      <c r="K1367" s="41" t="str">
        <f>IF($G1367="","",IF($G1367&lt;1,ROUND($G1367*1440,0),INT($G1367/100)*60+MOD($G1367,100)))</f>
        <v/>
      </c>
    </row>
    <row r="1368" ht="15" customHeight="1" s="26">
      <c r="A1368" s="34" t="n"/>
      <c r="B1368" s="32" t="n"/>
      <c r="C1368" s="33" t="n"/>
      <c r="D1368" s="37" t="str">
        <f>IF($C1368="","",IFERROR(INDEX(프로젝트목록!$B$3:$B$62,MATCH($C1368,프로젝트목록!$A$3:$A$62,0)),"미등록코드"))</f>
        <v/>
      </c>
      <c r="E1368" s="32" t="n"/>
      <c r="F1368" s="38" t="n"/>
      <c r="G1368" s="38" t="n"/>
      <c r="H1368" s="39" t="n"/>
      <c r="I1368" s="40" t="str">
        <f>IF(OR($J1368="",$K1368=""),"",ROUND(MAX(0,($K1368-$J1368)-IF($H1368="",0,$H1368))/60,2))</f>
        <v/>
      </c>
      <c r="J1368" s="41" t="str">
        <f>IF($F1368="","",IF($F1368&lt;1,ROUND($F1368*1440,0),INT($F1368/100)*60+MOD($F1368,100)))</f>
        <v/>
      </c>
      <c r="K1368" s="41" t="str">
        <f>IF($G1368="","",IF($G1368&lt;1,ROUND($G1368*1440,0),INT($G1368/100)*60+MOD($G1368,100)))</f>
        <v/>
      </c>
    </row>
    <row r="1369" ht="15" customHeight="1" s="26">
      <c r="A1369" s="34" t="n"/>
      <c r="B1369" s="32" t="n"/>
      <c r="C1369" s="33" t="n"/>
      <c r="D1369" s="37" t="str">
        <f>IF($C1369="","",IFERROR(INDEX(프로젝트목록!$B$3:$B$62,MATCH($C1369,프로젝트목록!$A$3:$A$62,0)),"미등록코드"))</f>
        <v/>
      </c>
      <c r="E1369" s="32" t="n"/>
      <c r="F1369" s="38" t="n"/>
      <c r="G1369" s="38" t="n"/>
      <c r="H1369" s="39" t="n"/>
      <c r="I1369" s="40" t="str">
        <f>IF(OR($J1369="",$K1369=""),"",ROUND(MAX(0,($K1369-$J1369)-IF($H1369="",0,$H1369))/60,2))</f>
        <v/>
      </c>
      <c r="J1369" s="41" t="str">
        <f>IF($F1369="","",IF($F1369&lt;1,ROUND($F1369*1440,0),INT($F1369/100)*60+MOD($F1369,100)))</f>
        <v/>
      </c>
      <c r="K1369" s="41" t="str">
        <f>IF($G1369="","",IF($G1369&lt;1,ROUND($G1369*1440,0),INT($G1369/100)*60+MOD($G1369,100)))</f>
        <v/>
      </c>
    </row>
    <row r="1370" ht="15" customHeight="1" s="26">
      <c r="A1370" s="34" t="n"/>
      <c r="B1370" s="32" t="n"/>
      <c r="C1370" s="33" t="n"/>
      <c r="D1370" s="37" t="str">
        <f>IF($C1370="","",IFERROR(INDEX(프로젝트목록!$B$3:$B$62,MATCH($C1370,프로젝트목록!$A$3:$A$62,0)),"미등록코드"))</f>
        <v/>
      </c>
      <c r="E1370" s="32" t="n"/>
      <c r="F1370" s="38" t="n"/>
      <c r="G1370" s="38" t="n"/>
      <c r="H1370" s="39" t="n"/>
      <c r="I1370" s="40" t="str">
        <f>IF(OR($J1370="",$K1370=""),"",ROUND(MAX(0,($K1370-$J1370)-IF($H1370="",0,$H1370))/60,2))</f>
        <v/>
      </c>
      <c r="J1370" s="41" t="str">
        <f>IF($F1370="","",IF($F1370&lt;1,ROUND($F1370*1440,0),INT($F1370/100)*60+MOD($F1370,100)))</f>
        <v/>
      </c>
      <c r="K1370" s="41" t="str">
        <f>IF($G1370="","",IF($G1370&lt;1,ROUND($G1370*1440,0),INT($G1370/100)*60+MOD($G1370,100)))</f>
        <v/>
      </c>
    </row>
    <row r="1371" ht="15" customHeight="1" s="26">
      <c r="A1371" s="34" t="n"/>
      <c r="B1371" s="32" t="n"/>
      <c r="C1371" s="33" t="n"/>
      <c r="D1371" s="37" t="str">
        <f>IF($C1371="","",IFERROR(INDEX(프로젝트목록!$B$3:$B$62,MATCH($C1371,프로젝트목록!$A$3:$A$62,0)),"미등록코드"))</f>
        <v/>
      </c>
      <c r="E1371" s="32" t="n"/>
      <c r="F1371" s="38" t="n"/>
      <c r="G1371" s="38" t="n"/>
      <c r="H1371" s="39" t="n"/>
      <c r="I1371" s="40" t="str">
        <f>IF(OR($J1371="",$K1371=""),"",ROUND(MAX(0,($K1371-$J1371)-IF($H1371="",0,$H1371))/60,2))</f>
        <v/>
      </c>
      <c r="J1371" s="41" t="str">
        <f>IF($F1371="","",IF($F1371&lt;1,ROUND($F1371*1440,0),INT($F1371/100)*60+MOD($F1371,100)))</f>
        <v/>
      </c>
      <c r="K1371" s="41" t="str">
        <f>IF($G1371="","",IF($G1371&lt;1,ROUND($G1371*1440,0),INT($G1371/100)*60+MOD($G1371,100)))</f>
        <v/>
      </c>
    </row>
    <row r="1372" ht="15" customHeight="1" s="26">
      <c r="A1372" s="34" t="n"/>
      <c r="B1372" s="32" t="n"/>
      <c r="C1372" s="33" t="n"/>
      <c r="D1372" s="37" t="str">
        <f>IF($C1372="","",IFERROR(INDEX(프로젝트목록!$B$3:$B$62,MATCH($C1372,프로젝트목록!$A$3:$A$62,0)),"미등록코드"))</f>
        <v/>
      </c>
      <c r="E1372" s="32" t="n"/>
      <c r="F1372" s="38" t="n"/>
      <c r="G1372" s="38" t="n"/>
      <c r="H1372" s="39" t="n"/>
      <c r="I1372" s="40" t="str">
        <f>IF(OR($J1372="",$K1372=""),"",ROUND(MAX(0,($K1372-$J1372)-IF($H1372="",0,$H1372))/60,2))</f>
        <v/>
      </c>
      <c r="J1372" s="41" t="str">
        <f>IF($F1372="","",IF($F1372&lt;1,ROUND($F1372*1440,0),INT($F1372/100)*60+MOD($F1372,100)))</f>
        <v/>
      </c>
      <c r="K1372" s="41" t="str">
        <f>IF($G1372="","",IF($G1372&lt;1,ROUND($G1372*1440,0),INT($G1372/100)*60+MOD($G1372,100)))</f>
        <v/>
      </c>
    </row>
    <row r="1373" ht="15" customHeight="1" s="26">
      <c r="A1373" s="34" t="n"/>
      <c r="B1373" s="32" t="n"/>
      <c r="C1373" s="33" t="n"/>
      <c r="D1373" s="37" t="str">
        <f>IF($C1373="","",IFERROR(INDEX(프로젝트목록!$B$3:$B$62,MATCH($C1373,프로젝트목록!$A$3:$A$62,0)),"미등록코드"))</f>
        <v/>
      </c>
      <c r="E1373" s="32" t="n"/>
      <c r="F1373" s="38" t="n"/>
      <c r="G1373" s="38" t="n"/>
      <c r="H1373" s="39" t="n"/>
      <c r="I1373" s="40" t="str">
        <f>IF(OR($J1373="",$K1373=""),"",ROUND(MAX(0,($K1373-$J1373)-IF($H1373="",0,$H1373))/60,2))</f>
        <v/>
      </c>
      <c r="J1373" s="41" t="str">
        <f>IF($F1373="","",IF($F1373&lt;1,ROUND($F1373*1440,0),INT($F1373/100)*60+MOD($F1373,100)))</f>
        <v/>
      </c>
      <c r="K1373" s="41" t="str">
        <f>IF($G1373="","",IF($G1373&lt;1,ROUND($G1373*1440,0),INT($G1373/100)*60+MOD($G1373,100)))</f>
        <v/>
      </c>
    </row>
    <row r="1374" ht="15" customHeight="1" s="26">
      <c r="A1374" s="34" t="n"/>
      <c r="B1374" s="32" t="n"/>
      <c r="C1374" s="33" t="n"/>
      <c r="D1374" s="37" t="str">
        <f>IF($C1374="","",IFERROR(INDEX(프로젝트목록!$B$3:$B$62,MATCH($C1374,프로젝트목록!$A$3:$A$62,0)),"미등록코드"))</f>
        <v/>
      </c>
      <c r="E1374" s="32" t="n"/>
      <c r="F1374" s="38" t="n"/>
      <c r="G1374" s="38" t="n"/>
      <c r="H1374" s="39" t="n"/>
      <c r="I1374" s="40" t="str">
        <f>IF(OR($J1374="",$K1374=""),"",ROUND(MAX(0,($K1374-$J1374)-IF($H1374="",0,$H1374))/60,2))</f>
        <v/>
      </c>
      <c r="J1374" s="41" t="str">
        <f>IF($F1374="","",IF($F1374&lt;1,ROUND($F1374*1440,0),INT($F1374/100)*60+MOD($F1374,100)))</f>
        <v/>
      </c>
      <c r="K1374" s="41" t="str">
        <f>IF($G1374="","",IF($G1374&lt;1,ROUND($G1374*1440,0),INT($G1374/100)*60+MOD($G1374,100)))</f>
        <v/>
      </c>
    </row>
    <row r="1375" ht="15" customHeight="1" s="26">
      <c r="A1375" s="34" t="n"/>
      <c r="B1375" s="32" t="n"/>
      <c r="C1375" s="33" t="n"/>
      <c r="D1375" s="37" t="str">
        <f>IF($C1375="","",IFERROR(INDEX(프로젝트목록!$B$3:$B$62,MATCH($C1375,프로젝트목록!$A$3:$A$62,0)),"미등록코드"))</f>
        <v/>
      </c>
      <c r="E1375" s="32" t="n"/>
      <c r="F1375" s="38" t="n"/>
      <c r="G1375" s="38" t="n"/>
      <c r="H1375" s="39" t="n"/>
      <c r="I1375" s="40" t="str">
        <f>IF(OR($J1375="",$K1375=""),"",ROUND(MAX(0,($K1375-$J1375)-IF($H1375="",0,$H1375))/60,2))</f>
        <v/>
      </c>
      <c r="J1375" s="41" t="str">
        <f>IF($F1375="","",IF($F1375&lt;1,ROUND($F1375*1440,0),INT($F1375/100)*60+MOD($F1375,100)))</f>
        <v/>
      </c>
      <c r="K1375" s="41" t="str">
        <f>IF($G1375="","",IF($G1375&lt;1,ROUND($G1375*1440,0),INT($G1375/100)*60+MOD($G1375,100)))</f>
        <v/>
      </c>
    </row>
    <row r="1376" ht="15" customHeight="1" s="26">
      <c r="A1376" s="34" t="n"/>
      <c r="B1376" s="32" t="n"/>
      <c r="C1376" s="33" t="n"/>
      <c r="D1376" s="37" t="str">
        <f>IF($C1376="","",IFERROR(INDEX(프로젝트목록!$B$3:$B$62,MATCH($C1376,프로젝트목록!$A$3:$A$62,0)),"미등록코드"))</f>
        <v/>
      </c>
      <c r="E1376" s="32" t="n"/>
      <c r="F1376" s="38" t="n"/>
      <c r="G1376" s="38" t="n"/>
      <c r="H1376" s="39" t="n"/>
      <c r="I1376" s="40" t="str">
        <f>IF(OR($J1376="",$K1376=""),"",ROUND(MAX(0,($K1376-$J1376)-IF($H1376="",0,$H1376))/60,2))</f>
        <v/>
      </c>
      <c r="J1376" s="41" t="str">
        <f>IF($F1376="","",IF($F1376&lt;1,ROUND($F1376*1440,0),INT($F1376/100)*60+MOD($F1376,100)))</f>
        <v/>
      </c>
      <c r="K1376" s="41" t="str">
        <f>IF($G1376="","",IF($G1376&lt;1,ROUND($G1376*1440,0),INT($G1376/100)*60+MOD($G1376,100)))</f>
        <v/>
      </c>
    </row>
    <row r="1377" ht="15" customHeight="1" s="26">
      <c r="A1377" s="34" t="n"/>
      <c r="B1377" s="32" t="n"/>
      <c r="C1377" s="33" t="n"/>
      <c r="D1377" s="37" t="str">
        <f>IF($C1377="","",IFERROR(INDEX(프로젝트목록!$B$3:$B$62,MATCH($C1377,프로젝트목록!$A$3:$A$62,0)),"미등록코드"))</f>
        <v/>
      </c>
      <c r="E1377" s="32" t="n"/>
      <c r="F1377" s="38" t="n"/>
      <c r="G1377" s="38" t="n"/>
      <c r="H1377" s="39" t="n"/>
      <c r="I1377" s="40" t="str">
        <f>IF(OR($J1377="",$K1377=""),"",ROUND(MAX(0,($K1377-$J1377)-IF($H1377="",0,$H1377))/60,2))</f>
        <v/>
      </c>
      <c r="J1377" s="41" t="str">
        <f>IF($F1377="","",IF($F1377&lt;1,ROUND($F1377*1440,0),INT($F1377/100)*60+MOD($F1377,100)))</f>
        <v/>
      </c>
      <c r="K1377" s="41" t="str">
        <f>IF($G1377="","",IF($G1377&lt;1,ROUND($G1377*1440,0),INT($G1377/100)*60+MOD($G1377,100)))</f>
        <v/>
      </c>
    </row>
    <row r="1378" ht="15" customHeight="1" s="26">
      <c r="A1378" s="34" t="n"/>
      <c r="B1378" s="32" t="n"/>
      <c r="C1378" s="33" t="n"/>
      <c r="D1378" s="37" t="str">
        <f>IF($C1378="","",IFERROR(INDEX(프로젝트목록!$B$3:$B$62,MATCH($C1378,프로젝트목록!$A$3:$A$62,0)),"미등록코드"))</f>
        <v/>
      </c>
      <c r="E1378" s="32" t="n"/>
      <c r="F1378" s="38" t="n"/>
      <c r="G1378" s="38" t="n"/>
      <c r="H1378" s="39" t="n"/>
      <c r="I1378" s="40" t="str">
        <f>IF(OR($J1378="",$K1378=""),"",ROUND(MAX(0,($K1378-$J1378)-IF($H1378="",0,$H1378))/60,2))</f>
        <v/>
      </c>
      <c r="J1378" s="41" t="str">
        <f>IF($F1378="","",IF($F1378&lt;1,ROUND($F1378*1440,0),INT($F1378/100)*60+MOD($F1378,100)))</f>
        <v/>
      </c>
      <c r="K1378" s="41" t="str">
        <f>IF($G1378="","",IF($G1378&lt;1,ROUND($G1378*1440,0),INT($G1378/100)*60+MOD($G1378,100)))</f>
        <v/>
      </c>
    </row>
    <row r="1379" ht="15" customHeight="1" s="26">
      <c r="A1379" s="34" t="n"/>
      <c r="B1379" s="32" t="n"/>
      <c r="C1379" s="33" t="n"/>
      <c r="D1379" s="37" t="str">
        <f>IF($C1379="","",IFERROR(INDEX(프로젝트목록!$B$3:$B$62,MATCH($C1379,프로젝트목록!$A$3:$A$62,0)),"미등록코드"))</f>
        <v/>
      </c>
      <c r="E1379" s="32" t="n"/>
      <c r="F1379" s="38" t="n"/>
      <c r="G1379" s="38" t="n"/>
      <c r="H1379" s="39" t="n"/>
      <c r="I1379" s="40" t="str">
        <f>IF(OR($J1379="",$K1379=""),"",ROUND(MAX(0,($K1379-$J1379)-IF($H1379="",0,$H1379))/60,2))</f>
        <v/>
      </c>
      <c r="J1379" s="41" t="str">
        <f>IF($F1379="","",IF($F1379&lt;1,ROUND($F1379*1440,0),INT($F1379/100)*60+MOD($F1379,100)))</f>
        <v/>
      </c>
      <c r="K1379" s="41" t="str">
        <f>IF($G1379="","",IF($G1379&lt;1,ROUND($G1379*1440,0),INT($G1379/100)*60+MOD($G1379,100)))</f>
        <v/>
      </c>
    </row>
    <row r="1380" ht="15" customHeight="1" s="26">
      <c r="A1380" s="34" t="n"/>
      <c r="B1380" s="32" t="n"/>
      <c r="C1380" s="33" t="n"/>
      <c r="D1380" s="37" t="str">
        <f>IF($C1380="","",IFERROR(INDEX(프로젝트목록!$B$3:$B$62,MATCH($C1380,프로젝트목록!$A$3:$A$62,0)),"미등록코드"))</f>
        <v/>
      </c>
      <c r="E1380" s="32" t="n"/>
      <c r="F1380" s="38" t="n"/>
      <c r="G1380" s="38" t="n"/>
      <c r="H1380" s="39" t="n"/>
      <c r="I1380" s="40" t="str">
        <f>IF(OR($J1380="",$K1380=""),"",ROUND(MAX(0,($K1380-$J1380)-IF($H1380="",0,$H1380))/60,2))</f>
        <v/>
      </c>
      <c r="J1380" s="41" t="str">
        <f>IF($F1380="","",IF($F1380&lt;1,ROUND($F1380*1440,0),INT($F1380/100)*60+MOD($F1380,100)))</f>
        <v/>
      </c>
      <c r="K1380" s="41" t="str">
        <f>IF($G1380="","",IF($G1380&lt;1,ROUND($G1380*1440,0),INT($G1380/100)*60+MOD($G1380,100)))</f>
        <v/>
      </c>
    </row>
    <row r="1381" ht="15" customHeight="1" s="26">
      <c r="A1381" s="34" t="n"/>
      <c r="B1381" s="32" t="n"/>
      <c r="C1381" s="33" t="n"/>
      <c r="D1381" s="37" t="str">
        <f>IF($C1381="","",IFERROR(INDEX(프로젝트목록!$B$3:$B$62,MATCH($C1381,프로젝트목록!$A$3:$A$62,0)),"미등록코드"))</f>
        <v/>
      </c>
      <c r="E1381" s="32" t="n"/>
      <c r="F1381" s="38" t="n"/>
      <c r="G1381" s="38" t="n"/>
      <c r="H1381" s="39" t="n"/>
      <c r="I1381" s="40" t="str">
        <f>IF(OR($J1381="",$K1381=""),"",ROUND(MAX(0,($K1381-$J1381)-IF($H1381="",0,$H1381))/60,2))</f>
        <v/>
      </c>
      <c r="J1381" s="41" t="str">
        <f>IF($F1381="","",IF($F1381&lt;1,ROUND($F1381*1440,0),INT($F1381/100)*60+MOD($F1381,100)))</f>
        <v/>
      </c>
      <c r="K1381" s="41" t="str">
        <f>IF($G1381="","",IF($G1381&lt;1,ROUND($G1381*1440,0),INT($G1381/100)*60+MOD($G1381,100)))</f>
        <v/>
      </c>
    </row>
    <row r="1382" ht="15" customHeight="1" s="26">
      <c r="A1382" s="34" t="n"/>
      <c r="B1382" s="32" t="n"/>
      <c r="C1382" s="33" t="n"/>
      <c r="D1382" s="37" t="str">
        <f>IF($C1382="","",IFERROR(INDEX(프로젝트목록!$B$3:$B$62,MATCH($C1382,프로젝트목록!$A$3:$A$62,0)),"미등록코드"))</f>
        <v/>
      </c>
      <c r="E1382" s="32" t="n"/>
      <c r="F1382" s="38" t="n"/>
      <c r="G1382" s="38" t="n"/>
      <c r="H1382" s="39" t="n"/>
      <c r="I1382" s="40" t="str">
        <f>IF(OR($J1382="",$K1382=""),"",ROUND(MAX(0,($K1382-$J1382)-IF($H1382="",0,$H1382))/60,2))</f>
        <v/>
      </c>
      <c r="J1382" s="41" t="str">
        <f>IF($F1382="","",IF($F1382&lt;1,ROUND($F1382*1440,0),INT($F1382/100)*60+MOD($F1382,100)))</f>
        <v/>
      </c>
      <c r="K1382" s="41" t="str">
        <f>IF($G1382="","",IF($G1382&lt;1,ROUND($G1382*1440,0),INT($G1382/100)*60+MOD($G1382,100)))</f>
        <v/>
      </c>
    </row>
    <row r="1383" ht="15" customHeight="1" s="26">
      <c r="A1383" s="34" t="n"/>
      <c r="B1383" s="32" t="n"/>
      <c r="C1383" s="33" t="n"/>
      <c r="D1383" s="37" t="str">
        <f>IF($C1383="","",IFERROR(INDEX(프로젝트목록!$B$3:$B$62,MATCH($C1383,프로젝트목록!$A$3:$A$62,0)),"미등록코드"))</f>
        <v/>
      </c>
      <c r="E1383" s="32" t="n"/>
      <c r="F1383" s="38" t="n"/>
      <c r="G1383" s="38" t="n"/>
      <c r="H1383" s="39" t="n"/>
      <c r="I1383" s="40" t="str">
        <f>IF(OR($J1383="",$K1383=""),"",ROUND(MAX(0,($K1383-$J1383)-IF($H1383="",0,$H1383))/60,2))</f>
        <v/>
      </c>
      <c r="J1383" s="41" t="str">
        <f>IF($F1383="","",IF($F1383&lt;1,ROUND($F1383*1440,0),INT($F1383/100)*60+MOD($F1383,100)))</f>
        <v/>
      </c>
      <c r="K1383" s="41" t="str">
        <f>IF($G1383="","",IF($G1383&lt;1,ROUND($G1383*1440,0),INT($G1383/100)*60+MOD($G1383,100)))</f>
        <v/>
      </c>
    </row>
    <row r="1384" ht="15" customHeight="1" s="26">
      <c r="A1384" s="34" t="n"/>
      <c r="B1384" s="32" t="n"/>
      <c r="C1384" s="33" t="n"/>
      <c r="D1384" s="37" t="str">
        <f>IF($C1384="","",IFERROR(INDEX(프로젝트목록!$B$3:$B$62,MATCH($C1384,프로젝트목록!$A$3:$A$62,0)),"미등록코드"))</f>
        <v/>
      </c>
      <c r="E1384" s="32" t="n"/>
      <c r="F1384" s="38" t="n"/>
      <c r="G1384" s="38" t="n"/>
      <c r="H1384" s="39" t="n"/>
      <c r="I1384" s="40" t="str">
        <f>IF(OR($J1384="",$K1384=""),"",ROUND(MAX(0,($K1384-$J1384)-IF($H1384="",0,$H1384))/60,2))</f>
        <v/>
      </c>
      <c r="J1384" s="41" t="str">
        <f>IF($F1384="","",IF($F1384&lt;1,ROUND($F1384*1440,0),INT($F1384/100)*60+MOD($F1384,100)))</f>
        <v/>
      </c>
      <c r="K1384" s="41" t="str">
        <f>IF($G1384="","",IF($G1384&lt;1,ROUND($G1384*1440,0),INT($G1384/100)*60+MOD($G1384,100)))</f>
        <v/>
      </c>
    </row>
    <row r="1385" ht="15" customHeight="1" s="26">
      <c r="A1385" s="34" t="n"/>
      <c r="B1385" s="32" t="n"/>
      <c r="C1385" s="33" t="n"/>
      <c r="D1385" s="37" t="str">
        <f>IF($C1385="","",IFERROR(INDEX(프로젝트목록!$B$3:$B$62,MATCH($C1385,프로젝트목록!$A$3:$A$62,0)),"미등록코드"))</f>
        <v/>
      </c>
      <c r="E1385" s="32" t="n"/>
      <c r="F1385" s="38" t="n"/>
      <c r="G1385" s="38" t="n"/>
      <c r="H1385" s="39" t="n"/>
      <c r="I1385" s="40" t="str">
        <f>IF(OR($J1385="",$K1385=""),"",ROUND(MAX(0,($K1385-$J1385)-IF($H1385="",0,$H1385))/60,2))</f>
        <v/>
      </c>
      <c r="J1385" s="41" t="str">
        <f>IF($F1385="","",IF($F1385&lt;1,ROUND($F1385*1440,0),INT($F1385/100)*60+MOD($F1385,100)))</f>
        <v/>
      </c>
      <c r="K1385" s="41" t="str">
        <f>IF($G1385="","",IF($G1385&lt;1,ROUND($G1385*1440,0),INT($G1385/100)*60+MOD($G1385,100)))</f>
        <v/>
      </c>
    </row>
    <row r="1386" ht="15" customHeight="1" s="26">
      <c r="A1386" s="34" t="n"/>
      <c r="B1386" s="32" t="n"/>
      <c r="C1386" s="33" t="n"/>
      <c r="D1386" s="37" t="str">
        <f>IF($C1386="","",IFERROR(INDEX(프로젝트목록!$B$3:$B$62,MATCH($C1386,프로젝트목록!$A$3:$A$62,0)),"미등록코드"))</f>
        <v/>
      </c>
      <c r="E1386" s="32" t="n"/>
      <c r="F1386" s="38" t="n"/>
      <c r="G1386" s="38" t="n"/>
      <c r="H1386" s="39" t="n"/>
      <c r="I1386" s="40" t="str">
        <f>IF(OR($J1386="",$K1386=""),"",ROUND(MAX(0,($K1386-$J1386)-IF($H1386="",0,$H1386))/60,2))</f>
        <v/>
      </c>
      <c r="J1386" s="41" t="str">
        <f>IF($F1386="","",IF($F1386&lt;1,ROUND($F1386*1440,0),INT($F1386/100)*60+MOD($F1386,100)))</f>
        <v/>
      </c>
      <c r="K1386" s="41" t="str">
        <f>IF($G1386="","",IF($G1386&lt;1,ROUND($G1386*1440,0),INT($G1386/100)*60+MOD($G1386,100)))</f>
        <v/>
      </c>
    </row>
    <row r="1387" ht="15" customHeight="1" s="26">
      <c r="A1387" s="34" t="n"/>
      <c r="B1387" s="32" t="n"/>
      <c r="C1387" s="33" t="n"/>
      <c r="D1387" s="37" t="str">
        <f>IF($C1387="","",IFERROR(INDEX(프로젝트목록!$B$3:$B$62,MATCH($C1387,프로젝트목록!$A$3:$A$62,0)),"미등록코드"))</f>
        <v/>
      </c>
      <c r="E1387" s="32" t="n"/>
      <c r="F1387" s="38" t="n"/>
      <c r="G1387" s="38" t="n"/>
      <c r="H1387" s="39" t="n"/>
      <c r="I1387" s="40" t="str">
        <f>IF(OR($J1387="",$K1387=""),"",ROUND(MAX(0,($K1387-$J1387)-IF($H1387="",0,$H1387))/60,2))</f>
        <v/>
      </c>
      <c r="J1387" s="41" t="str">
        <f>IF($F1387="","",IF($F1387&lt;1,ROUND($F1387*1440,0),INT($F1387/100)*60+MOD($F1387,100)))</f>
        <v/>
      </c>
      <c r="K1387" s="41" t="str">
        <f>IF($G1387="","",IF($G1387&lt;1,ROUND($G1387*1440,0),INT($G1387/100)*60+MOD($G1387,100)))</f>
        <v/>
      </c>
    </row>
    <row r="1388" ht="15" customHeight="1" s="26">
      <c r="A1388" s="34" t="n"/>
      <c r="B1388" s="32" t="n"/>
      <c r="C1388" s="33" t="n"/>
      <c r="D1388" s="37" t="str">
        <f>IF($C1388="","",IFERROR(INDEX(프로젝트목록!$B$3:$B$62,MATCH($C1388,프로젝트목록!$A$3:$A$62,0)),"미등록코드"))</f>
        <v/>
      </c>
      <c r="E1388" s="32" t="n"/>
      <c r="F1388" s="38" t="n"/>
      <c r="G1388" s="38" t="n"/>
      <c r="H1388" s="39" t="n"/>
      <c r="I1388" s="40" t="str">
        <f>IF(OR($J1388="",$K1388=""),"",ROUND(MAX(0,($K1388-$J1388)-IF($H1388="",0,$H1388))/60,2))</f>
        <v/>
      </c>
      <c r="J1388" s="41" t="str">
        <f>IF($F1388="","",IF($F1388&lt;1,ROUND($F1388*1440,0),INT($F1388/100)*60+MOD($F1388,100)))</f>
        <v/>
      </c>
      <c r="K1388" s="41" t="str">
        <f>IF($G1388="","",IF($G1388&lt;1,ROUND($G1388*1440,0),INT($G1388/100)*60+MOD($G1388,100)))</f>
        <v/>
      </c>
    </row>
    <row r="1389" ht="15" customHeight="1" s="26">
      <c r="A1389" s="34" t="n"/>
      <c r="B1389" s="32" t="n"/>
      <c r="C1389" s="33" t="n"/>
      <c r="D1389" s="37" t="str">
        <f>IF($C1389="","",IFERROR(INDEX(프로젝트목록!$B$3:$B$62,MATCH($C1389,프로젝트목록!$A$3:$A$62,0)),"미등록코드"))</f>
        <v/>
      </c>
      <c r="E1389" s="32" t="n"/>
      <c r="F1389" s="38" t="n"/>
      <c r="G1389" s="38" t="n"/>
      <c r="H1389" s="39" t="n"/>
      <c r="I1389" s="40" t="str">
        <f>IF(OR($J1389="",$K1389=""),"",ROUND(MAX(0,($K1389-$J1389)-IF($H1389="",0,$H1389))/60,2))</f>
        <v/>
      </c>
      <c r="J1389" s="41" t="str">
        <f>IF($F1389="","",IF($F1389&lt;1,ROUND($F1389*1440,0),INT($F1389/100)*60+MOD($F1389,100)))</f>
        <v/>
      </c>
      <c r="K1389" s="41" t="str">
        <f>IF($G1389="","",IF($G1389&lt;1,ROUND($G1389*1440,0),INT($G1389/100)*60+MOD($G1389,100)))</f>
        <v/>
      </c>
    </row>
    <row r="1390" ht="15" customHeight="1" s="26">
      <c r="A1390" s="34" t="n"/>
      <c r="B1390" s="32" t="n"/>
      <c r="C1390" s="33" t="n"/>
      <c r="D1390" s="37" t="str">
        <f>IF($C1390="","",IFERROR(INDEX(프로젝트목록!$B$3:$B$62,MATCH($C1390,프로젝트목록!$A$3:$A$62,0)),"미등록코드"))</f>
        <v/>
      </c>
      <c r="E1390" s="32" t="n"/>
      <c r="F1390" s="38" t="n"/>
      <c r="G1390" s="38" t="n"/>
      <c r="H1390" s="39" t="n"/>
      <c r="I1390" s="40" t="str">
        <f>IF(OR($J1390="",$K1390=""),"",ROUND(MAX(0,($K1390-$J1390)-IF($H1390="",0,$H1390))/60,2))</f>
        <v/>
      </c>
      <c r="J1390" s="41" t="str">
        <f>IF($F1390="","",IF($F1390&lt;1,ROUND($F1390*1440,0),INT($F1390/100)*60+MOD($F1390,100)))</f>
        <v/>
      </c>
      <c r="K1390" s="41" t="str">
        <f>IF($G1390="","",IF($G1390&lt;1,ROUND($G1390*1440,0),INT($G1390/100)*60+MOD($G1390,100)))</f>
        <v/>
      </c>
    </row>
    <row r="1391" ht="15" customHeight="1" s="26">
      <c r="A1391" s="34" t="n"/>
      <c r="B1391" s="32" t="n"/>
      <c r="C1391" s="33" t="n"/>
      <c r="D1391" s="37" t="str">
        <f>IF($C1391="","",IFERROR(INDEX(프로젝트목록!$B$3:$B$62,MATCH($C1391,프로젝트목록!$A$3:$A$62,0)),"미등록코드"))</f>
        <v/>
      </c>
      <c r="E1391" s="32" t="n"/>
      <c r="F1391" s="38" t="n"/>
      <c r="G1391" s="38" t="n"/>
      <c r="H1391" s="39" t="n"/>
      <c r="I1391" s="40" t="str">
        <f>IF(OR($J1391="",$K1391=""),"",ROUND(MAX(0,($K1391-$J1391)-IF($H1391="",0,$H1391))/60,2))</f>
        <v/>
      </c>
      <c r="J1391" s="41" t="str">
        <f>IF($F1391="","",IF($F1391&lt;1,ROUND($F1391*1440,0),INT($F1391/100)*60+MOD($F1391,100)))</f>
        <v/>
      </c>
      <c r="K1391" s="41" t="str">
        <f>IF($G1391="","",IF($G1391&lt;1,ROUND($G1391*1440,0),INT($G1391/100)*60+MOD($G1391,100)))</f>
        <v/>
      </c>
    </row>
    <row r="1392" ht="15" customHeight="1" s="26">
      <c r="A1392" s="34" t="n"/>
      <c r="B1392" s="32" t="n"/>
      <c r="C1392" s="33" t="n"/>
      <c r="D1392" s="37" t="str">
        <f>IF($C1392="","",IFERROR(INDEX(프로젝트목록!$B$3:$B$62,MATCH($C1392,프로젝트목록!$A$3:$A$62,0)),"미등록코드"))</f>
        <v/>
      </c>
      <c r="E1392" s="32" t="n"/>
      <c r="F1392" s="38" t="n"/>
      <c r="G1392" s="38" t="n"/>
      <c r="H1392" s="39" t="n"/>
      <c r="I1392" s="40" t="str">
        <f>IF(OR($J1392="",$K1392=""),"",ROUND(MAX(0,($K1392-$J1392)-IF($H1392="",0,$H1392))/60,2))</f>
        <v/>
      </c>
      <c r="J1392" s="41" t="str">
        <f>IF($F1392="","",IF($F1392&lt;1,ROUND($F1392*1440,0),INT($F1392/100)*60+MOD($F1392,100)))</f>
        <v/>
      </c>
      <c r="K1392" s="41" t="str">
        <f>IF($G1392="","",IF($G1392&lt;1,ROUND($G1392*1440,0),INT($G1392/100)*60+MOD($G1392,100)))</f>
        <v/>
      </c>
    </row>
    <row r="1393" ht="15" customHeight="1" s="26">
      <c r="A1393" s="34" t="n"/>
      <c r="B1393" s="32" t="n"/>
      <c r="C1393" s="33" t="n"/>
      <c r="D1393" s="37" t="str">
        <f>IF($C1393="","",IFERROR(INDEX(프로젝트목록!$B$3:$B$62,MATCH($C1393,프로젝트목록!$A$3:$A$62,0)),"미등록코드"))</f>
        <v/>
      </c>
      <c r="E1393" s="32" t="n"/>
      <c r="F1393" s="38" t="n"/>
      <c r="G1393" s="38" t="n"/>
      <c r="H1393" s="39" t="n"/>
      <c r="I1393" s="40" t="str">
        <f>IF(OR($J1393="",$K1393=""),"",ROUND(MAX(0,($K1393-$J1393)-IF($H1393="",0,$H1393))/60,2))</f>
        <v/>
      </c>
      <c r="J1393" s="41" t="str">
        <f>IF($F1393="","",IF($F1393&lt;1,ROUND($F1393*1440,0),INT($F1393/100)*60+MOD($F1393,100)))</f>
        <v/>
      </c>
      <c r="K1393" s="41" t="str">
        <f>IF($G1393="","",IF($G1393&lt;1,ROUND($G1393*1440,0),INT($G1393/100)*60+MOD($G1393,100)))</f>
        <v/>
      </c>
    </row>
    <row r="1394" ht="15" customHeight="1" s="26">
      <c r="A1394" s="34" t="n"/>
      <c r="B1394" s="32" t="n"/>
      <c r="C1394" s="33" t="n"/>
      <c r="D1394" s="37" t="str">
        <f>IF($C1394="","",IFERROR(INDEX(프로젝트목록!$B$3:$B$62,MATCH($C1394,프로젝트목록!$A$3:$A$62,0)),"미등록코드"))</f>
        <v/>
      </c>
      <c r="E1394" s="32" t="n"/>
      <c r="F1394" s="38" t="n"/>
      <c r="G1394" s="38" t="n"/>
      <c r="H1394" s="39" t="n"/>
      <c r="I1394" s="40" t="str">
        <f>IF(OR($J1394="",$K1394=""),"",ROUND(MAX(0,($K1394-$J1394)-IF($H1394="",0,$H1394))/60,2))</f>
        <v/>
      </c>
      <c r="J1394" s="41" t="str">
        <f>IF($F1394="","",IF($F1394&lt;1,ROUND($F1394*1440,0),INT($F1394/100)*60+MOD($F1394,100)))</f>
        <v/>
      </c>
      <c r="K1394" s="41" t="str">
        <f>IF($G1394="","",IF($G1394&lt;1,ROUND($G1394*1440,0),INT($G1394/100)*60+MOD($G1394,100)))</f>
        <v/>
      </c>
    </row>
    <row r="1395" ht="15" customHeight="1" s="26">
      <c r="A1395" s="34" t="n"/>
      <c r="B1395" s="32" t="n"/>
      <c r="C1395" s="33" t="n"/>
      <c r="D1395" s="37" t="str">
        <f>IF($C1395="","",IFERROR(INDEX(프로젝트목록!$B$3:$B$62,MATCH($C1395,프로젝트목록!$A$3:$A$62,0)),"미등록코드"))</f>
        <v/>
      </c>
      <c r="E1395" s="32" t="n"/>
      <c r="F1395" s="38" t="n"/>
      <c r="G1395" s="38" t="n"/>
      <c r="H1395" s="39" t="n"/>
      <c r="I1395" s="40" t="str">
        <f>IF(OR($J1395="",$K1395=""),"",ROUND(MAX(0,($K1395-$J1395)-IF($H1395="",0,$H1395))/60,2))</f>
        <v/>
      </c>
      <c r="J1395" s="41" t="str">
        <f>IF($F1395="","",IF($F1395&lt;1,ROUND($F1395*1440,0),INT($F1395/100)*60+MOD($F1395,100)))</f>
        <v/>
      </c>
      <c r="K1395" s="41" t="str">
        <f>IF($G1395="","",IF($G1395&lt;1,ROUND($G1395*1440,0),INT($G1395/100)*60+MOD($G1395,100)))</f>
        <v/>
      </c>
    </row>
    <row r="1396" ht="15" customHeight="1" s="26">
      <c r="A1396" s="34" t="n"/>
      <c r="B1396" s="32" t="n"/>
      <c r="C1396" s="33" t="n"/>
      <c r="D1396" s="37" t="str">
        <f>IF($C1396="","",IFERROR(INDEX(프로젝트목록!$B$3:$B$62,MATCH($C1396,프로젝트목록!$A$3:$A$62,0)),"미등록코드"))</f>
        <v/>
      </c>
      <c r="E1396" s="32" t="n"/>
      <c r="F1396" s="38" t="n"/>
      <c r="G1396" s="38" t="n"/>
      <c r="H1396" s="39" t="n"/>
      <c r="I1396" s="40" t="str">
        <f>IF(OR($J1396="",$K1396=""),"",ROUND(MAX(0,($K1396-$J1396)-IF($H1396="",0,$H1396))/60,2))</f>
        <v/>
      </c>
      <c r="J1396" s="41" t="str">
        <f>IF($F1396="","",IF($F1396&lt;1,ROUND($F1396*1440,0),INT($F1396/100)*60+MOD($F1396,100)))</f>
        <v/>
      </c>
      <c r="K1396" s="41" t="str">
        <f>IF($G1396="","",IF($G1396&lt;1,ROUND($G1396*1440,0),INT($G1396/100)*60+MOD($G1396,100)))</f>
        <v/>
      </c>
    </row>
    <row r="1397" ht="15" customHeight="1" s="26">
      <c r="A1397" s="34" t="n"/>
      <c r="B1397" s="32" t="n"/>
      <c r="C1397" s="33" t="n"/>
      <c r="D1397" s="37" t="str">
        <f>IF($C1397="","",IFERROR(INDEX(프로젝트목록!$B$3:$B$62,MATCH($C1397,프로젝트목록!$A$3:$A$62,0)),"미등록코드"))</f>
        <v/>
      </c>
      <c r="E1397" s="32" t="n"/>
      <c r="F1397" s="38" t="n"/>
      <c r="G1397" s="38" t="n"/>
      <c r="H1397" s="39" t="n"/>
      <c r="I1397" s="40" t="str">
        <f>IF(OR($J1397="",$K1397=""),"",ROUND(MAX(0,($K1397-$J1397)-IF($H1397="",0,$H1397))/60,2))</f>
        <v/>
      </c>
      <c r="J1397" s="41" t="str">
        <f>IF($F1397="","",IF($F1397&lt;1,ROUND($F1397*1440,0),INT($F1397/100)*60+MOD($F1397,100)))</f>
        <v/>
      </c>
      <c r="K1397" s="41" t="str">
        <f>IF($G1397="","",IF($G1397&lt;1,ROUND($G1397*1440,0),INT($G1397/100)*60+MOD($G1397,100)))</f>
        <v/>
      </c>
    </row>
    <row r="1398" ht="15" customHeight="1" s="26">
      <c r="A1398" s="34" t="n"/>
      <c r="B1398" s="32" t="n"/>
      <c r="C1398" s="33" t="n"/>
      <c r="D1398" s="37" t="str">
        <f>IF($C1398="","",IFERROR(INDEX(프로젝트목록!$B$3:$B$62,MATCH($C1398,프로젝트목록!$A$3:$A$62,0)),"미등록코드"))</f>
        <v/>
      </c>
      <c r="E1398" s="32" t="n"/>
      <c r="F1398" s="38" t="n"/>
      <c r="G1398" s="38" t="n"/>
      <c r="H1398" s="39" t="n"/>
      <c r="I1398" s="40" t="str">
        <f>IF(OR($J1398="",$K1398=""),"",ROUND(MAX(0,($K1398-$J1398)-IF($H1398="",0,$H1398))/60,2))</f>
        <v/>
      </c>
      <c r="J1398" s="41" t="str">
        <f>IF($F1398="","",IF($F1398&lt;1,ROUND($F1398*1440,0),INT($F1398/100)*60+MOD($F1398,100)))</f>
        <v/>
      </c>
      <c r="K1398" s="41" t="str">
        <f>IF($G1398="","",IF($G1398&lt;1,ROUND($G1398*1440,0),INT($G1398/100)*60+MOD($G1398,100)))</f>
        <v/>
      </c>
    </row>
    <row r="1399" ht="15" customHeight="1" s="26">
      <c r="A1399" s="34" t="n"/>
      <c r="B1399" s="32" t="n"/>
      <c r="C1399" s="33" t="n"/>
      <c r="D1399" s="37" t="str">
        <f>IF($C1399="","",IFERROR(INDEX(프로젝트목록!$B$3:$B$62,MATCH($C1399,프로젝트목록!$A$3:$A$62,0)),"미등록코드"))</f>
        <v/>
      </c>
      <c r="E1399" s="32" t="n"/>
      <c r="F1399" s="38" t="n"/>
      <c r="G1399" s="38" t="n"/>
      <c r="H1399" s="39" t="n"/>
      <c r="I1399" s="40" t="str">
        <f>IF(OR($J1399="",$K1399=""),"",ROUND(MAX(0,($K1399-$J1399)-IF($H1399="",0,$H1399))/60,2))</f>
        <v/>
      </c>
      <c r="J1399" s="41" t="str">
        <f>IF($F1399="","",IF($F1399&lt;1,ROUND($F1399*1440,0),INT($F1399/100)*60+MOD($F1399,100)))</f>
        <v/>
      </c>
      <c r="K1399" s="41" t="str">
        <f>IF($G1399="","",IF($G1399&lt;1,ROUND($G1399*1440,0),INT($G1399/100)*60+MOD($G1399,100)))</f>
        <v/>
      </c>
    </row>
    <row r="1400" ht="15" customHeight="1" s="26">
      <c r="A1400" s="34" t="n"/>
      <c r="B1400" s="32" t="n"/>
      <c r="C1400" s="33" t="n"/>
      <c r="D1400" s="37" t="str">
        <f>IF($C1400="","",IFERROR(INDEX(프로젝트목록!$B$3:$B$62,MATCH($C1400,프로젝트목록!$A$3:$A$62,0)),"미등록코드"))</f>
        <v/>
      </c>
      <c r="E1400" s="32" t="n"/>
      <c r="F1400" s="38" t="n"/>
      <c r="G1400" s="38" t="n"/>
      <c r="H1400" s="39" t="n"/>
      <c r="I1400" s="40" t="str">
        <f>IF(OR($J1400="",$K1400=""),"",ROUND(MAX(0,($K1400-$J1400)-IF($H1400="",0,$H1400))/60,2))</f>
        <v/>
      </c>
      <c r="J1400" s="41" t="str">
        <f>IF($F1400="","",IF($F1400&lt;1,ROUND($F1400*1440,0),INT($F1400/100)*60+MOD($F1400,100)))</f>
        <v/>
      </c>
      <c r="K1400" s="41" t="str">
        <f>IF($G1400="","",IF($G1400&lt;1,ROUND($G1400*1440,0),INT($G1400/100)*60+MOD($G1400,100)))</f>
        <v/>
      </c>
    </row>
    <row r="1401" ht="15" customHeight="1" s="26">
      <c r="A1401" s="34" t="n"/>
      <c r="B1401" s="32" t="n"/>
      <c r="C1401" s="33" t="n"/>
      <c r="D1401" s="37" t="str">
        <f>IF($C1401="","",IFERROR(INDEX(프로젝트목록!$B$3:$B$62,MATCH($C1401,프로젝트목록!$A$3:$A$62,0)),"미등록코드"))</f>
        <v/>
      </c>
      <c r="E1401" s="32" t="n"/>
      <c r="F1401" s="38" t="n"/>
      <c r="G1401" s="38" t="n"/>
      <c r="H1401" s="39" t="n"/>
      <c r="I1401" s="40" t="str">
        <f>IF(OR($J1401="",$K1401=""),"",ROUND(MAX(0,($K1401-$J1401)-IF($H1401="",0,$H1401))/60,2))</f>
        <v/>
      </c>
      <c r="J1401" s="41" t="str">
        <f>IF($F1401="","",IF($F1401&lt;1,ROUND($F1401*1440,0),INT($F1401/100)*60+MOD($F1401,100)))</f>
        <v/>
      </c>
      <c r="K1401" s="41" t="str">
        <f>IF($G1401="","",IF($G1401&lt;1,ROUND($G1401*1440,0),INT($G1401/100)*60+MOD($G1401,100)))</f>
        <v/>
      </c>
    </row>
    <row r="1402" ht="15" customHeight="1" s="26">
      <c r="A1402" s="34" t="n"/>
      <c r="B1402" s="32" t="n"/>
      <c r="C1402" s="33" t="n"/>
      <c r="D1402" s="37" t="str">
        <f>IF($C1402="","",IFERROR(INDEX(프로젝트목록!$B$3:$B$62,MATCH($C1402,프로젝트목록!$A$3:$A$62,0)),"미등록코드"))</f>
        <v/>
      </c>
      <c r="E1402" s="32" t="n"/>
      <c r="F1402" s="38" t="n"/>
      <c r="G1402" s="38" t="n"/>
      <c r="H1402" s="39" t="n"/>
      <c r="I1402" s="40" t="str">
        <f>IF(OR($J1402="",$K1402=""),"",ROUND(MAX(0,($K1402-$J1402)-IF($H1402="",0,$H1402))/60,2))</f>
        <v/>
      </c>
      <c r="J1402" s="41" t="str">
        <f>IF($F1402="","",IF($F1402&lt;1,ROUND($F1402*1440,0),INT($F1402/100)*60+MOD($F1402,100)))</f>
        <v/>
      </c>
      <c r="K1402" s="41" t="str">
        <f>IF($G1402="","",IF($G1402&lt;1,ROUND($G1402*1440,0),INT($G1402/100)*60+MOD($G1402,100)))</f>
        <v/>
      </c>
    </row>
    <row r="1403" ht="15" customHeight="1" s="26">
      <c r="A1403" s="34" t="n"/>
      <c r="B1403" s="32" t="n"/>
      <c r="C1403" s="33" t="n"/>
      <c r="D1403" s="37" t="str">
        <f>IF($C1403="","",IFERROR(INDEX(프로젝트목록!$B$3:$B$62,MATCH($C1403,프로젝트목록!$A$3:$A$62,0)),"미등록코드"))</f>
        <v/>
      </c>
      <c r="E1403" s="32" t="n"/>
      <c r="F1403" s="38" t="n"/>
      <c r="G1403" s="38" t="n"/>
      <c r="H1403" s="39" t="n"/>
      <c r="I1403" s="40" t="str">
        <f>IF(OR($J1403="",$K1403=""),"",ROUND(MAX(0,($K1403-$J1403)-IF($H1403="",0,$H1403))/60,2))</f>
        <v/>
      </c>
      <c r="J1403" s="41" t="str">
        <f>IF($F1403="","",IF($F1403&lt;1,ROUND($F1403*1440,0),INT($F1403/100)*60+MOD($F1403,100)))</f>
        <v/>
      </c>
      <c r="K1403" s="41" t="str">
        <f>IF($G1403="","",IF($G1403&lt;1,ROUND($G1403*1440,0),INT($G1403/100)*60+MOD($G1403,100)))</f>
        <v/>
      </c>
    </row>
    <row r="1404" ht="15" customHeight="1" s="26">
      <c r="A1404" s="34" t="n"/>
      <c r="B1404" s="32" t="n"/>
      <c r="C1404" s="33" t="n"/>
      <c r="D1404" s="37" t="str">
        <f>IF($C1404="","",IFERROR(INDEX(프로젝트목록!$B$3:$B$62,MATCH($C1404,프로젝트목록!$A$3:$A$62,0)),"미등록코드"))</f>
        <v/>
      </c>
      <c r="E1404" s="32" t="n"/>
      <c r="F1404" s="38" t="n"/>
      <c r="G1404" s="38" t="n"/>
      <c r="H1404" s="39" t="n"/>
      <c r="I1404" s="40" t="str">
        <f>IF(OR($J1404="",$K1404=""),"",ROUND(MAX(0,($K1404-$J1404)-IF($H1404="",0,$H1404))/60,2))</f>
        <v/>
      </c>
      <c r="J1404" s="41" t="str">
        <f>IF($F1404="","",IF($F1404&lt;1,ROUND($F1404*1440,0),INT($F1404/100)*60+MOD($F1404,100)))</f>
        <v/>
      </c>
      <c r="K1404" s="41" t="str">
        <f>IF($G1404="","",IF($G1404&lt;1,ROUND($G1404*1440,0),INT($G1404/100)*60+MOD($G1404,100)))</f>
        <v/>
      </c>
    </row>
    <row r="1405" ht="15" customHeight="1" s="26">
      <c r="A1405" s="34" t="n"/>
      <c r="B1405" s="32" t="n"/>
      <c r="C1405" s="33" t="n"/>
      <c r="D1405" s="37" t="str">
        <f>IF($C1405="","",IFERROR(INDEX(프로젝트목록!$B$3:$B$62,MATCH($C1405,프로젝트목록!$A$3:$A$62,0)),"미등록코드"))</f>
        <v/>
      </c>
      <c r="E1405" s="32" t="n"/>
      <c r="F1405" s="38" t="n"/>
      <c r="G1405" s="38" t="n"/>
      <c r="H1405" s="39" t="n"/>
      <c r="I1405" s="40" t="str">
        <f>IF(OR($J1405="",$K1405=""),"",ROUND(MAX(0,($K1405-$J1405)-IF($H1405="",0,$H1405))/60,2))</f>
        <v/>
      </c>
      <c r="J1405" s="41" t="str">
        <f>IF($F1405="","",IF($F1405&lt;1,ROUND($F1405*1440,0),INT($F1405/100)*60+MOD($F1405,100)))</f>
        <v/>
      </c>
      <c r="K1405" s="41" t="str">
        <f>IF($G1405="","",IF($G1405&lt;1,ROUND($G1405*1440,0),INT($G1405/100)*60+MOD($G1405,100)))</f>
        <v/>
      </c>
    </row>
    <row r="1406" ht="15" customHeight="1" s="26">
      <c r="A1406" s="34" t="n"/>
      <c r="B1406" s="32" t="n"/>
      <c r="C1406" s="33" t="n"/>
      <c r="D1406" s="37" t="str">
        <f>IF($C1406="","",IFERROR(INDEX(프로젝트목록!$B$3:$B$62,MATCH($C1406,프로젝트목록!$A$3:$A$62,0)),"미등록코드"))</f>
        <v/>
      </c>
      <c r="E1406" s="32" t="n"/>
      <c r="F1406" s="38" t="n"/>
      <c r="G1406" s="38" t="n"/>
      <c r="H1406" s="39" t="n"/>
      <c r="I1406" s="40" t="str">
        <f>IF(OR($J1406="",$K1406=""),"",ROUND(MAX(0,($K1406-$J1406)-IF($H1406="",0,$H1406))/60,2))</f>
        <v/>
      </c>
      <c r="J1406" s="41" t="str">
        <f>IF($F1406="","",IF($F1406&lt;1,ROUND($F1406*1440,0),INT($F1406/100)*60+MOD($F1406,100)))</f>
        <v/>
      </c>
      <c r="K1406" s="41" t="str">
        <f>IF($G1406="","",IF($G1406&lt;1,ROUND($G1406*1440,0),INT($G1406/100)*60+MOD($G1406,100)))</f>
        <v/>
      </c>
    </row>
    <row r="1407" ht="15" customHeight="1" s="26">
      <c r="A1407" s="34" t="n"/>
      <c r="B1407" s="32" t="n"/>
      <c r="C1407" s="33" t="n"/>
      <c r="D1407" s="37" t="str">
        <f>IF($C1407="","",IFERROR(INDEX(프로젝트목록!$B$3:$B$62,MATCH($C1407,프로젝트목록!$A$3:$A$62,0)),"미등록코드"))</f>
        <v/>
      </c>
      <c r="E1407" s="32" t="n"/>
      <c r="F1407" s="38" t="n"/>
      <c r="G1407" s="38" t="n"/>
      <c r="H1407" s="39" t="n"/>
      <c r="I1407" s="40" t="str">
        <f>IF(OR($J1407="",$K1407=""),"",ROUND(MAX(0,($K1407-$J1407)-IF($H1407="",0,$H1407))/60,2))</f>
        <v/>
      </c>
      <c r="J1407" s="41" t="str">
        <f>IF($F1407="","",IF($F1407&lt;1,ROUND($F1407*1440,0),INT($F1407/100)*60+MOD($F1407,100)))</f>
        <v/>
      </c>
      <c r="K1407" s="41" t="str">
        <f>IF($G1407="","",IF($G1407&lt;1,ROUND($G1407*1440,0),INT($G1407/100)*60+MOD($G1407,100)))</f>
        <v/>
      </c>
    </row>
    <row r="1408" ht="15" customHeight="1" s="26">
      <c r="A1408" s="34" t="n"/>
      <c r="B1408" s="32" t="n"/>
      <c r="C1408" s="33" t="n"/>
      <c r="D1408" s="37" t="str">
        <f>IF($C1408="","",IFERROR(INDEX(프로젝트목록!$B$3:$B$62,MATCH($C1408,프로젝트목록!$A$3:$A$62,0)),"미등록코드"))</f>
        <v/>
      </c>
      <c r="E1408" s="32" t="n"/>
      <c r="F1408" s="38" t="n"/>
      <c r="G1408" s="38" t="n"/>
      <c r="H1408" s="39" t="n"/>
      <c r="I1408" s="40" t="str">
        <f>IF(OR($J1408="",$K1408=""),"",ROUND(MAX(0,($K1408-$J1408)-IF($H1408="",0,$H1408))/60,2))</f>
        <v/>
      </c>
      <c r="J1408" s="41" t="str">
        <f>IF($F1408="","",IF($F1408&lt;1,ROUND($F1408*1440,0),INT($F1408/100)*60+MOD($F1408,100)))</f>
        <v/>
      </c>
      <c r="K1408" s="41" t="str">
        <f>IF($G1408="","",IF($G1408&lt;1,ROUND($G1408*1440,0),INT($G1408/100)*60+MOD($G1408,100)))</f>
        <v/>
      </c>
    </row>
    <row r="1409" ht="15" customHeight="1" s="26">
      <c r="A1409" s="34" t="n"/>
      <c r="B1409" s="32" t="n"/>
      <c r="C1409" s="33" t="n"/>
      <c r="D1409" s="37" t="str">
        <f>IF($C1409="","",IFERROR(INDEX(프로젝트목록!$B$3:$B$62,MATCH($C1409,프로젝트목록!$A$3:$A$62,0)),"미등록코드"))</f>
        <v/>
      </c>
      <c r="E1409" s="32" t="n"/>
      <c r="F1409" s="38" t="n"/>
      <c r="G1409" s="38" t="n"/>
      <c r="H1409" s="39" t="n"/>
      <c r="I1409" s="40" t="str">
        <f>IF(OR($J1409="",$K1409=""),"",ROUND(MAX(0,($K1409-$J1409)-IF($H1409="",0,$H1409))/60,2))</f>
        <v/>
      </c>
      <c r="J1409" s="41" t="str">
        <f>IF($F1409="","",IF($F1409&lt;1,ROUND($F1409*1440,0),INT($F1409/100)*60+MOD($F1409,100)))</f>
        <v/>
      </c>
      <c r="K1409" s="41" t="str">
        <f>IF($G1409="","",IF($G1409&lt;1,ROUND($G1409*1440,0),INT($G1409/100)*60+MOD($G1409,100)))</f>
        <v/>
      </c>
    </row>
    <row r="1410" ht="15" customHeight="1" s="26">
      <c r="A1410" s="34" t="n"/>
      <c r="B1410" s="32" t="n"/>
      <c r="C1410" s="33" t="n"/>
      <c r="D1410" s="37" t="str">
        <f>IF($C1410="","",IFERROR(INDEX(프로젝트목록!$B$3:$B$62,MATCH($C1410,프로젝트목록!$A$3:$A$62,0)),"미등록코드"))</f>
        <v/>
      </c>
      <c r="E1410" s="32" t="n"/>
      <c r="F1410" s="38" t="n"/>
      <c r="G1410" s="38" t="n"/>
      <c r="H1410" s="39" t="n"/>
      <c r="I1410" s="40" t="str">
        <f>IF(OR($J1410="",$K1410=""),"",ROUND(MAX(0,($K1410-$J1410)-IF($H1410="",0,$H1410))/60,2))</f>
        <v/>
      </c>
      <c r="J1410" s="41" t="str">
        <f>IF($F1410="","",IF($F1410&lt;1,ROUND($F1410*1440,0),INT($F1410/100)*60+MOD($F1410,100)))</f>
        <v/>
      </c>
      <c r="K1410" s="41" t="str">
        <f>IF($G1410="","",IF($G1410&lt;1,ROUND($G1410*1440,0),INT($G1410/100)*60+MOD($G1410,100)))</f>
        <v/>
      </c>
    </row>
    <row r="1411" ht="15" customHeight="1" s="26">
      <c r="A1411" s="34" t="n"/>
      <c r="B1411" s="32" t="n"/>
      <c r="C1411" s="33" t="n"/>
      <c r="D1411" s="37" t="str">
        <f>IF($C1411="","",IFERROR(INDEX(프로젝트목록!$B$3:$B$62,MATCH($C1411,프로젝트목록!$A$3:$A$62,0)),"미등록코드"))</f>
        <v/>
      </c>
      <c r="E1411" s="32" t="n"/>
      <c r="F1411" s="38" t="n"/>
      <c r="G1411" s="38" t="n"/>
      <c r="H1411" s="39" t="n"/>
      <c r="I1411" s="40" t="str">
        <f>IF(OR($J1411="",$K1411=""),"",ROUND(MAX(0,($K1411-$J1411)-IF($H1411="",0,$H1411))/60,2))</f>
        <v/>
      </c>
      <c r="J1411" s="41" t="str">
        <f>IF($F1411="","",IF($F1411&lt;1,ROUND($F1411*1440,0),INT($F1411/100)*60+MOD($F1411,100)))</f>
        <v/>
      </c>
      <c r="K1411" s="41" t="str">
        <f>IF($G1411="","",IF($G1411&lt;1,ROUND($G1411*1440,0),INT($G1411/100)*60+MOD($G1411,100)))</f>
        <v/>
      </c>
    </row>
    <row r="1412" ht="15" customHeight="1" s="26">
      <c r="A1412" s="34" t="n"/>
      <c r="B1412" s="32" t="n"/>
      <c r="C1412" s="33" t="n"/>
      <c r="D1412" s="37" t="str">
        <f>IF($C1412="","",IFERROR(INDEX(프로젝트목록!$B$3:$B$62,MATCH($C1412,프로젝트목록!$A$3:$A$62,0)),"미등록코드"))</f>
        <v/>
      </c>
      <c r="E1412" s="32" t="n"/>
      <c r="F1412" s="38" t="n"/>
      <c r="G1412" s="38" t="n"/>
      <c r="H1412" s="39" t="n"/>
      <c r="I1412" s="40" t="str">
        <f>IF(OR($J1412="",$K1412=""),"",ROUND(MAX(0,($K1412-$J1412)-IF($H1412="",0,$H1412))/60,2))</f>
        <v/>
      </c>
      <c r="J1412" s="41" t="str">
        <f>IF($F1412="","",IF($F1412&lt;1,ROUND($F1412*1440,0),INT($F1412/100)*60+MOD($F1412,100)))</f>
        <v/>
      </c>
      <c r="K1412" s="41" t="str">
        <f>IF($G1412="","",IF($G1412&lt;1,ROUND($G1412*1440,0),INT($G1412/100)*60+MOD($G1412,100)))</f>
        <v/>
      </c>
    </row>
    <row r="1413" ht="15" customHeight="1" s="26">
      <c r="A1413" s="34" t="n"/>
      <c r="B1413" s="32" t="n"/>
      <c r="C1413" s="33" t="n"/>
      <c r="D1413" s="37" t="str">
        <f>IF($C1413="","",IFERROR(INDEX(프로젝트목록!$B$3:$B$62,MATCH($C1413,프로젝트목록!$A$3:$A$62,0)),"미등록코드"))</f>
        <v/>
      </c>
      <c r="E1413" s="32" t="n"/>
      <c r="F1413" s="38" t="n"/>
      <c r="G1413" s="38" t="n"/>
      <c r="H1413" s="39" t="n"/>
      <c r="I1413" s="40" t="str">
        <f>IF(OR($J1413="",$K1413=""),"",ROUND(MAX(0,($K1413-$J1413)-IF($H1413="",0,$H1413))/60,2))</f>
        <v/>
      </c>
      <c r="J1413" s="41" t="str">
        <f>IF($F1413="","",IF($F1413&lt;1,ROUND($F1413*1440,0),INT($F1413/100)*60+MOD($F1413,100)))</f>
        <v/>
      </c>
      <c r="K1413" s="41" t="str">
        <f>IF($G1413="","",IF($G1413&lt;1,ROUND($G1413*1440,0),INT($G1413/100)*60+MOD($G1413,100)))</f>
        <v/>
      </c>
    </row>
    <row r="1414" ht="15" customHeight="1" s="26">
      <c r="A1414" s="34" t="n"/>
      <c r="B1414" s="32" t="n"/>
      <c r="C1414" s="33" t="n"/>
      <c r="D1414" s="37" t="str">
        <f>IF($C1414="","",IFERROR(INDEX(프로젝트목록!$B$3:$B$62,MATCH($C1414,프로젝트목록!$A$3:$A$62,0)),"미등록코드"))</f>
        <v/>
      </c>
      <c r="E1414" s="32" t="n"/>
      <c r="F1414" s="38" t="n"/>
      <c r="G1414" s="38" t="n"/>
      <c r="H1414" s="39" t="n"/>
      <c r="I1414" s="40" t="str">
        <f>IF(OR($J1414="",$K1414=""),"",ROUND(MAX(0,($K1414-$J1414)-IF($H1414="",0,$H1414))/60,2))</f>
        <v/>
      </c>
      <c r="J1414" s="41" t="str">
        <f>IF($F1414="","",IF($F1414&lt;1,ROUND($F1414*1440,0),INT($F1414/100)*60+MOD($F1414,100)))</f>
        <v/>
      </c>
      <c r="K1414" s="41" t="str">
        <f>IF($G1414="","",IF($G1414&lt;1,ROUND($G1414*1440,0),INT($G1414/100)*60+MOD($G1414,100)))</f>
        <v/>
      </c>
    </row>
    <row r="1415" ht="15" customHeight="1" s="26">
      <c r="A1415" s="34" t="n"/>
      <c r="B1415" s="32" t="n"/>
      <c r="C1415" s="33" t="n"/>
      <c r="D1415" s="37" t="str">
        <f>IF($C1415="","",IFERROR(INDEX(프로젝트목록!$B$3:$B$62,MATCH($C1415,프로젝트목록!$A$3:$A$62,0)),"미등록코드"))</f>
        <v/>
      </c>
      <c r="E1415" s="32" t="n"/>
      <c r="F1415" s="38" t="n"/>
      <c r="G1415" s="38" t="n"/>
      <c r="H1415" s="39" t="n"/>
      <c r="I1415" s="40" t="str">
        <f>IF(OR($J1415="",$K1415=""),"",ROUND(MAX(0,($K1415-$J1415)-IF($H1415="",0,$H1415))/60,2))</f>
        <v/>
      </c>
      <c r="J1415" s="41" t="str">
        <f>IF($F1415="","",IF($F1415&lt;1,ROUND($F1415*1440,0),INT($F1415/100)*60+MOD($F1415,100)))</f>
        <v/>
      </c>
      <c r="K1415" s="41" t="str">
        <f>IF($G1415="","",IF($G1415&lt;1,ROUND($G1415*1440,0),INT($G1415/100)*60+MOD($G1415,100)))</f>
        <v/>
      </c>
    </row>
    <row r="1416" ht="15" customHeight="1" s="26">
      <c r="A1416" s="34" t="n"/>
      <c r="B1416" s="32" t="n"/>
      <c r="C1416" s="33" t="n"/>
      <c r="D1416" s="37" t="str">
        <f>IF($C1416="","",IFERROR(INDEX(프로젝트목록!$B$3:$B$62,MATCH($C1416,프로젝트목록!$A$3:$A$62,0)),"미등록코드"))</f>
        <v/>
      </c>
      <c r="E1416" s="32" t="n"/>
      <c r="F1416" s="38" t="n"/>
      <c r="G1416" s="38" t="n"/>
      <c r="H1416" s="39" t="n"/>
      <c r="I1416" s="40" t="str">
        <f>IF(OR($J1416="",$K1416=""),"",ROUND(MAX(0,($K1416-$J1416)-IF($H1416="",0,$H1416))/60,2))</f>
        <v/>
      </c>
      <c r="J1416" s="41" t="str">
        <f>IF($F1416="","",IF($F1416&lt;1,ROUND($F1416*1440,0),INT($F1416/100)*60+MOD($F1416,100)))</f>
        <v/>
      </c>
      <c r="K1416" s="41" t="str">
        <f>IF($G1416="","",IF($G1416&lt;1,ROUND($G1416*1440,0),INT($G1416/100)*60+MOD($G1416,100)))</f>
        <v/>
      </c>
    </row>
    <row r="1417" ht="15" customHeight="1" s="26">
      <c r="A1417" s="34" t="n"/>
      <c r="B1417" s="32" t="n"/>
      <c r="C1417" s="33" t="n"/>
      <c r="D1417" s="37" t="str">
        <f>IF($C1417="","",IFERROR(INDEX(프로젝트목록!$B$3:$B$62,MATCH($C1417,프로젝트목록!$A$3:$A$62,0)),"미등록코드"))</f>
        <v/>
      </c>
      <c r="E1417" s="32" t="n"/>
      <c r="F1417" s="38" t="n"/>
      <c r="G1417" s="38" t="n"/>
      <c r="H1417" s="39" t="n"/>
      <c r="I1417" s="40" t="str">
        <f>IF(OR($J1417="",$K1417=""),"",ROUND(MAX(0,($K1417-$J1417)-IF($H1417="",0,$H1417))/60,2))</f>
        <v/>
      </c>
      <c r="J1417" s="41" t="str">
        <f>IF($F1417="","",IF($F1417&lt;1,ROUND($F1417*1440,0),INT($F1417/100)*60+MOD($F1417,100)))</f>
        <v/>
      </c>
      <c r="K1417" s="41" t="str">
        <f>IF($G1417="","",IF($G1417&lt;1,ROUND($G1417*1440,0),INT($G1417/100)*60+MOD($G1417,100)))</f>
        <v/>
      </c>
    </row>
    <row r="1418" ht="15" customHeight="1" s="26">
      <c r="A1418" s="34" t="n"/>
      <c r="B1418" s="32" t="n"/>
      <c r="C1418" s="33" t="n"/>
      <c r="D1418" s="37" t="str">
        <f>IF($C1418="","",IFERROR(INDEX(프로젝트목록!$B$3:$B$62,MATCH($C1418,프로젝트목록!$A$3:$A$62,0)),"미등록코드"))</f>
        <v/>
      </c>
      <c r="E1418" s="32" t="n"/>
      <c r="F1418" s="38" t="n"/>
      <c r="G1418" s="38" t="n"/>
      <c r="H1418" s="39" t="n"/>
      <c r="I1418" s="40" t="str">
        <f>IF(OR($J1418="",$K1418=""),"",ROUND(MAX(0,($K1418-$J1418)-IF($H1418="",0,$H1418))/60,2))</f>
        <v/>
      </c>
      <c r="J1418" s="41" t="str">
        <f>IF($F1418="","",IF($F1418&lt;1,ROUND($F1418*1440,0),INT($F1418/100)*60+MOD($F1418,100)))</f>
        <v/>
      </c>
      <c r="K1418" s="41" t="str">
        <f>IF($G1418="","",IF($G1418&lt;1,ROUND($G1418*1440,0),INT($G1418/100)*60+MOD($G1418,100)))</f>
        <v/>
      </c>
    </row>
    <row r="1419" ht="15" customHeight="1" s="26">
      <c r="A1419" s="34" t="n"/>
      <c r="B1419" s="32" t="n"/>
      <c r="C1419" s="33" t="n"/>
      <c r="D1419" s="37" t="str">
        <f>IF($C1419="","",IFERROR(INDEX(프로젝트목록!$B$3:$B$62,MATCH($C1419,프로젝트목록!$A$3:$A$62,0)),"미등록코드"))</f>
        <v/>
      </c>
      <c r="E1419" s="32" t="n"/>
      <c r="F1419" s="38" t="n"/>
      <c r="G1419" s="38" t="n"/>
      <c r="H1419" s="39" t="n"/>
      <c r="I1419" s="40" t="str">
        <f>IF(OR($J1419="",$K1419=""),"",ROUND(MAX(0,($K1419-$J1419)-IF($H1419="",0,$H1419))/60,2))</f>
        <v/>
      </c>
      <c r="J1419" s="41" t="str">
        <f>IF($F1419="","",IF($F1419&lt;1,ROUND($F1419*1440,0),INT($F1419/100)*60+MOD($F1419,100)))</f>
        <v/>
      </c>
      <c r="K1419" s="41" t="str">
        <f>IF($G1419="","",IF($G1419&lt;1,ROUND($G1419*1440,0),INT($G1419/100)*60+MOD($G1419,100)))</f>
        <v/>
      </c>
    </row>
    <row r="1420" ht="15" customHeight="1" s="26">
      <c r="A1420" s="34" t="n"/>
      <c r="B1420" s="32" t="n"/>
      <c r="C1420" s="33" t="n"/>
      <c r="D1420" s="37" t="str">
        <f>IF($C1420="","",IFERROR(INDEX(프로젝트목록!$B$3:$B$62,MATCH($C1420,프로젝트목록!$A$3:$A$62,0)),"미등록코드"))</f>
        <v/>
      </c>
      <c r="E1420" s="32" t="n"/>
      <c r="F1420" s="38" t="n"/>
      <c r="G1420" s="38" t="n"/>
      <c r="H1420" s="39" t="n"/>
      <c r="I1420" s="40" t="str">
        <f>IF(OR($J1420="",$K1420=""),"",ROUND(MAX(0,($K1420-$J1420)-IF($H1420="",0,$H1420))/60,2))</f>
        <v/>
      </c>
      <c r="J1420" s="41" t="str">
        <f>IF($F1420="","",IF($F1420&lt;1,ROUND($F1420*1440,0),INT($F1420/100)*60+MOD($F1420,100)))</f>
        <v/>
      </c>
      <c r="K1420" s="41" t="str">
        <f>IF($G1420="","",IF($G1420&lt;1,ROUND($G1420*1440,0),INT($G1420/100)*60+MOD($G1420,100)))</f>
        <v/>
      </c>
    </row>
    <row r="1421" ht="15" customHeight="1" s="26">
      <c r="A1421" s="34" t="n"/>
      <c r="B1421" s="32" t="n"/>
      <c r="C1421" s="33" t="n"/>
      <c r="D1421" s="37" t="str">
        <f>IF($C1421="","",IFERROR(INDEX(프로젝트목록!$B$3:$B$62,MATCH($C1421,프로젝트목록!$A$3:$A$62,0)),"미등록코드"))</f>
        <v/>
      </c>
      <c r="E1421" s="32" t="n"/>
      <c r="F1421" s="38" t="n"/>
      <c r="G1421" s="38" t="n"/>
      <c r="H1421" s="39" t="n"/>
      <c r="I1421" s="40" t="str">
        <f>IF(OR($J1421="",$K1421=""),"",ROUND(MAX(0,($K1421-$J1421)-IF($H1421="",0,$H1421))/60,2))</f>
        <v/>
      </c>
      <c r="J1421" s="41" t="str">
        <f>IF($F1421="","",IF($F1421&lt;1,ROUND($F1421*1440,0),INT($F1421/100)*60+MOD($F1421,100)))</f>
        <v/>
      </c>
      <c r="K1421" s="41" t="str">
        <f>IF($G1421="","",IF($G1421&lt;1,ROUND($G1421*1440,0),INT($G1421/100)*60+MOD($G1421,100)))</f>
        <v/>
      </c>
    </row>
    <row r="1422" ht="15" customHeight="1" s="26">
      <c r="A1422" s="34" t="n"/>
      <c r="B1422" s="32" t="n"/>
      <c r="C1422" s="33" t="n"/>
      <c r="D1422" s="37" t="str">
        <f>IF($C1422="","",IFERROR(INDEX(프로젝트목록!$B$3:$B$62,MATCH($C1422,프로젝트목록!$A$3:$A$62,0)),"미등록코드"))</f>
        <v/>
      </c>
      <c r="E1422" s="32" t="n"/>
      <c r="F1422" s="38" t="n"/>
      <c r="G1422" s="38" t="n"/>
      <c r="H1422" s="39" t="n"/>
      <c r="I1422" s="40" t="str">
        <f>IF(OR($J1422="",$K1422=""),"",ROUND(MAX(0,($K1422-$J1422)-IF($H1422="",0,$H1422))/60,2))</f>
        <v/>
      </c>
      <c r="J1422" s="41" t="str">
        <f>IF($F1422="","",IF($F1422&lt;1,ROUND($F1422*1440,0),INT($F1422/100)*60+MOD($F1422,100)))</f>
        <v/>
      </c>
      <c r="K1422" s="41" t="str">
        <f>IF($G1422="","",IF($G1422&lt;1,ROUND($G1422*1440,0),INT($G1422/100)*60+MOD($G1422,100)))</f>
        <v/>
      </c>
    </row>
    <row r="1423" ht="15" customHeight="1" s="26">
      <c r="A1423" s="34" t="n"/>
      <c r="B1423" s="32" t="n"/>
      <c r="C1423" s="33" t="n"/>
      <c r="D1423" s="37" t="str">
        <f>IF($C1423="","",IFERROR(INDEX(프로젝트목록!$B$3:$B$62,MATCH($C1423,프로젝트목록!$A$3:$A$62,0)),"미등록코드"))</f>
        <v/>
      </c>
      <c r="E1423" s="32" t="n"/>
      <c r="F1423" s="38" t="n"/>
      <c r="G1423" s="38" t="n"/>
      <c r="H1423" s="39" t="n"/>
      <c r="I1423" s="40" t="str">
        <f>IF(OR($J1423="",$K1423=""),"",ROUND(MAX(0,($K1423-$J1423)-IF($H1423="",0,$H1423))/60,2))</f>
        <v/>
      </c>
      <c r="J1423" s="41" t="str">
        <f>IF($F1423="","",IF($F1423&lt;1,ROUND($F1423*1440,0),INT($F1423/100)*60+MOD($F1423,100)))</f>
        <v/>
      </c>
      <c r="K1423" s="41" t="str">
        <f>IF($G1423="","",IF($G1423&lt;1,ROUND($G1423*1440,0),INT($G1423/100)*60+MOD($G1423,100)))</f>
        <v/>
      </c>
    </row>
    <row r="1424" ht="15" customHeight="1" s="26">
      <c r="A1424" s="34" t="n"/>
      <c r="B1424" s="32" t="n"/>
      <c r="C1424" s="33" t="n"/>
      <c r="D1424" s="37" t="str">
        <f>IF($C1424="","",IFERROR(INDEX(프로젝트목록!$B$3:$B$62,MATCH($C1424,프로젝트목록!$A$3:$A$62,0)),"미등록코드"))</f>
        <v/>
      </c>
      <c r="E1424" s="32" t="n"/>
      <c r="F1424" s="38" t="n"/>
      <c r="G1424" s="38" t="n"/>
      <c r="H1424" s="39" t="n"/>
      <c r="I1424" s="40" t="str">
        <f>IF(OR($J1424="",$K1424=""),"",ROUND(MAX(0,($K1424-$J1424)-IF($H1424="",0,$H1424))/60,2))</f>
        <v/>
      </c>
      <c r="J1424" s="41" t="str">
        <f>IF($F1424="","",IF($F1424&lt;1,ROUND($F1424*1440,0),INT($F1424/100)*60+MOD($F1424,100)))</f>
        <v/>
      </c>
      <c r="K1424" s="41" t="str">
        <f>IF($G1424="","",IF($G1424&lt;1,ROUND($G1424*1440,0),INT($G1424/100)*60+MOD($G1424,100)))</f>
        <v/>
      </c>
    </row>
    <row r="1425" ht="15" customHeight="1" s="26">
      <c r="A1425" s="34" t="n"/>
      <c r="B1425" s="32" t="n"/>
      <c r="C1425" s="33" t="n"/>
      <c r="D1425" s="37" t="str">
        <f>IF($C1425="","",IFERROR(INDEX(프로젝트목록!$B$3:$B$62,MATCH($C1425,프로젝트목록!$A$3:$A$62,0)),"미등록코드"))</f>
        <v/>
      </c>
      <c r="E1425" s="32" t="n"/>
      <c r="F1425" s="38" t="n"/>
      <c r="G1425" s="38" t="n"/>
      <c r="H1425" s="39" t="n"/>
      <c r="I1425" s="40" t="str">
        <f>IF(OR($J1425="",$K1425=""),"",ROUND(MAX(0,($K1425-$J1425)-IF($H1425="",0,$H1425))/60,2))</f>
        <v/>
      </c>
      <c r="J1425" s="41" t="str">
        <f>IF($F1425="","",IF($F1425&lt;1,ROUND($F1425*1440,0),INT($F1425/100)*60+MOD($F1425,100)))</f>
        <v/>
      </c>
      <c r="K1425" s="41" t="str">
        <f>IF($G1425="","",IF($G1425&lt;1,ROUND($G1425*1440,0),INT($G1425/100)*60+MOD($G1425,100)))</f>
        <v/>
      </c>
    </row>
    <row r="1426" ht="15" customHeight="1" s="26">
      <c r="A1426" s="34" t="n"/>
      <c r="B1426" s="32" t="n"/>
      <c r="C1426" s="33" t="n"/>
      <c r="D1426" s="37" t="str">
        <f>IF($C1426="","",IFERROR(INDEX(프로젝트목록!$B$3:$B$62,MATCH($C1426,프로젝트목록!$A$3:$A$62,0)),"미등록코드"))</f>
        <v/>
      </c>
      <c r="E1426" s="32" t="n"/>
      <c r="F1426" s="38" t="n"/>
      <c r="G1426" s="38" t="n"/>
      <c r="H1426" s="39" t="n"/>
      <c r="I1426" s="40" t="str">
        <f>IF(OR($J1426="",$K1426=""),"",ROUND(MAX(0,($K1426-$J1426)-IF($H1426="",0,$H1426))/60,2))</f>
        <v/>
      </c>
      <c r="J1426" s="41" t="str">
        <f>IF($F1426="","",IF($F1426&lt;1,ROUND($F1426*1440,0),INT($F1426/100)*60+MOD($F1426,100)))</f>
        <v/>
      </c>
      <c r="K1426" s="41" t="str">
        <f>IF($G1426="","",IF($G1426&lt;1,ROUND($G1426*1440,0),INT($G1426/100)*60+MOD($G1426,100)))</f>
        <v/>
      </c>
    </row>
    <row r="1427" ht="15" customHeight="1" s="26">
      <c r="A1427" s="34" t="n"/>
      <c r="B1427" s="32" t="n"/>
      <c r="C1427" s="33" t="n"/>
      <c r="D1427" s="37" t="str">
        <f>IF($C1427="","",IFERROR(INDEX(프로젝트목록!$B$3:$B$62,MATCH($C1427,프로젝트목록!$A$3:$A$62,0)),"미등록코드"))</f>
        <v/>
      </c>
      <c r="E1427" s="32" t="n"/>
      <c r="F1427" s="38" t="n"/>
      <c r="G1427" s="38" t="n"/>
      <c r="H1427" s="39" t="n"/>
      <c r="I1427" s="40" t="str">
        <f>IF(OR($J1427="",$K1427=""),"",ROUND(MAX(0,($K1427-$J1427)-IF($H1427="",0,$H1427))/60,2))</f>
        <v/>
      </c>
      <c r="J1427" s="41" t="str">
        <f>IF($F1427="","",IF($F1427&lt;1,ROUND($F1427*1440,0),INT($F1427/100)*60+MOD($F1427,100)))</f>
        <v/>
      </c>
      <c r="K1427" s="41" t="str">
        <f>IF($G1427="","",IF($G1427&lt;1,ROUND($G1427*1440,0),INT($G1427/100)*60+MOD($G1427,100)))</f>
        <v/>
      </c>
    </row>
    <row r="1428" ht="15" customHeight="1" s="26">
      <c r="A1428" s="34" t="n"/>
      <c r="B1428" s="32" t="n"/>
      <c r="C1428" s="33" t="n"/>
      <c r="D1428" s="37" t="str">
        <f>IF($C1428="","",IFERROR(INDEX(프로젝트목록!$B$3:$B$62,MATCH($C1428,프로젝트목록!$A$3:$A$62,0)),"미등록코드"))</f>
        <v/>
      </c>
      <c r="E1428" s="32" t="n"/>
      <c r="F1428" s="38" t="n"/>
      <c r="G1428" s="38" t="n"/>
      <c r="H1428" s="39" t="n"/>
      <c r="I1428" s="40" t="str">
        <f>IF(OR($J1428="",$K1428=""),"",ROUND(MAX(0,($K1428-$J1428)-IF($H1428="",0,$H1428))/60,2))</f>
        <v/>
      </c>
      <c r="J1428" s="41" t="str">
        <f>IF($F1428="","",IF($F1428&lt;1,ROUND($F1428*1440,0),INT($F1428/100)*60+MOD($F1428,100)))</f>
        <v/>
      </c>
      <c r="K1428" s="41" t="str">
        <f>IF($G1428="","",IF($G1428&lt;1,ROUND($G1428*1440,0),INT($G1428/100)*60+MOD($G1428,100)))</f>
        <v/>
      </c>
    </row>
    <row r="1429" ht="15" customHeight="1" s="26">
      <c r="A1429" s="34" t="n"/>
      <c r="B1429" s="32" t="n"/>
      <c r="C1429" s="33" t="n"/>
      <c r="D1429" s="37" t="str">
        <f>IF($C1429="","",IFERROR(INDEX(프로젝트목록!$B$3:$B$62,MATCH($C1429,프로젝트목록!$A$3:$A$62,0)),"미등록코드"))</f>
        <v/>
      </c>
      <c r="E1429" s="32" t="n"/>
      <c r="F1429" s="38" t="n"/>
      <c r="G1429" s="38" t="n"/>
      <c r="H1429" s="39" t="n"/>
      <c r="I1429" s="40" t="str">
        <f>IF(OR($J1429="",$K1429=""),"",ROUND(MAX(0,($K1429-$J1429)-IF($H1429="",0,$H1429))/60,2))</f>
        <v/>
      </c>
      <c r="J1429" s="41" t="str">
        <f>IF($F1429="","",IF($F1429&lt;1,ROUND($F1429*1440,0),INT($F1429/100)*60+MOD($F1429,100)))</f>
        <v/>
      </c>
      <c r="K1429" s="41" t="str">
        <f>IF($G1429="","",IF($G1429&lt;1,ROUND($G1429*1440,0),INT($G1429/100)*60+MOD($G1429,100)))</f>
        <v/>
      </c>
    </row>
    <row r="1430" ht="15" customHeight="1" s="26">
      <c r="A1430" s="34" t="n"/>
      <c r="B1430" s="32" t="n"/>
      <c r="C1430" s="33" t="n"/>
      <c r="D1430" s="37" t="str">
        <f>IF($C1430="","",IFERROR(INDEX(프로젝트목록!$B$3:$B$62,MATCH($C1430,프로젝트목록!$A$3:$A$62,0)),"미등록코드"))</f>
        <v/>
      </c>
      <c r="E1430" s="32" t="n"/>
      <c r="F1430" s="38" t="n"/>
      <c r="G1430" s="38" t="n"/>
      <c r="H1430" s="39" t="n"/>
      <c r="I1430" s="40" t="str">
        <f>IF(OR($J1430="",$K1430=""),"",ROUND(MAX(0,($K1430-$J1430)-IF($H1430="",0,$H1430))/60,2))</f>
        <v/>
      </c>
      <c r="J1430" s="41" t="str">
        <f>IF($F1430="","",IF($F1430&lt;1,ROUND($F1430*1440,0),INT($F1430/100)*60+MOD($F1430,100)))</f>
        <v/>
      </c>
      <c r="K1430" s="41" t="str">
        <f>IF($G1430="","",IF($G1430&lt;1,ROUND($G1430*1440,0),INT($G1430/100)*60+MOD($G1430,100)))</f>
        <v/>
      </c>
    </row>
    <row r="1431" ht="15" customHeight="1" s="26">
      <c r="A1431" s="34" t="n"/>
      <c r="B1431" s="32" t="n"/>
      <c r="C1431" s="33" t="n"/>
      <c r="D1431" s="37" t="str">
        <f>IF($C1431="","",IFERROR(INDEX(프로젝트목록!$B$3:$B$62,MATCH($C1431,프로젝트목록!$A$3:$A$62,0)),"미등록코드"))</f>
        <v/>
      </c>
      <c r="E1431" s="32" t="n"/>
      <c r="F1431" s="38" t="n"/>
      <c r="G1431" s="38" t="n"/>
      <c r="H1431" s="39" t="n"/>
      <c r="I1431" s="40" t="str">
        <f>IF(OR($J1431="",$K1431=""),"",ROUND(MAX(0,($K1431-$J1431)-IF($H1431="",0,$H1431))/60,2))</f>
        <v/>
      </c>
      <c r="J1431" s="41" t="str">
        <f>IF($F1431="","",IF($F1431&lt;1,ROUND($F1431*1440,0),INT($F1431/100)*60+MOD($F1431,100)))</f>
        <v/>
      </c>
      <c r="K1431" s="41" t="str">
        <f>IF($G1431="","",IF($G1431&lt;1,ROUND($G1431*1440,0),INT($G1431/100)*60+MOD($G1431,100)))</f>
        <v/>
      </c>
    </row>
    <row r="1432" ht="15" customHeight="1" s="26">
      <c r="A1432" s="34" t="n"/>
      <c r="B1432" s="32" t="n"/>
      <c r="C1432" s="33" t="n"/>
      <c r="D1432" s="37" t="str">
        <f>IF($C1432="","",IFERROR(INDEX(프로젝트목록!$B$3:$B$62,MATCH($C1432,프로젝트목록!$A$3:$A$62,0)),"미등록코드"))</f>
        <v/>
      </c>
      <c r="E1432" s="32" t="n"/>
      <c r="F1432" s="38" t="n"/>
      <c r="G1432" s="38" t="n"/>
      <c r="H1432" s="39" t="n"/>
      <c r="I1432" s="40" t="str">
        <f>IF(OR($J1432="",$K1432=""),"",ROUND(MAX(0,($K1432-$J1432)-IF($H1432="",0,$H1432))/60,2))</f>
        <v/>
      </c>
      <c r="J1432" s="41" t="str">
        <f>IF($F1432="","",IF($F1432&lt;1,ROUND($F1432*1440,0),INT($F1432/100)*60+MOD($F1432,100)))</f>
        <v/>
      </c>
      <c r="K1432" s="41" t="str">
        <f>IF($G1432="","",IF($G1432&lt;1,ROUND($G1432*1440,0),INT($G1432/100)*60+MOD($G1432,100)))</f>
        <v/>
      </c>
    </row>
    <row r="1433" ht="15" customHeight="1" s="26">
      <c r="A1433" s="34" t="n"/>
      <c r="B1433" s="32" t="n"/>
      <c r="C1433" s="33" t="n"/>
      <c r="D1433" s="37" t="str">
        <f>IF($C1433="","",IFERROR(INDEX(프로젝트목록!$B$3:$B$62,MATCH($C1433,프로젝트목록!$A$3:$A$62,0)),"미등록코드"))</f>
        <v/>
      </c>
      <c r="E1433" s="32" t="n"/>
      <c r="F1433" s="38" t="n"/>
      <c r="G1433" s="38" t="n"/>
      <c r="H1433" s="39" t="n"/>
      <c r="I1433" s="40" t="str">
        <f>IF(OR($J1433="",$K1433=""),"",ROUND(MAX(0,($K1433-$J1433)-IF($H1433="",0,$H1433))/60,2))</f>
        <v/>
      </c>
      <c r="J1433" s="41" t="str">
        <f>IF($F1433="","",IF($F1433&lt;1,ROUND($F1433*1440,0),INT($F1433/100)*60+MOD($F1433,100)))</f>
        <v/>
      </c>
      <c r="K1433" s="41" t="str">
        <f>IF($G1433="","",IF($G1433&lt;1,ROUND($G1433*1440,0),INT($G1433/100)*60+MOD($G1433,100)))</f>
        <v/>
      </c>
    </row>
    <row r="1434" ht="15" customHeight="1" s="26">
      <c r="A1434" s="34" t="n"/>
      <c r="B1434" s="32" t="n"/>
      <c r="C1434" s="33" t="n"/>
      <c r="D1434" s="37" t="str">
        <f>IF($C1434="","",IFERROR(INDEX(프로젝트목록!$B$3:$B$62,MATCH($C1434,프로젝트목록!$A$3:$A$62,0)),"미등록코드"))</f>
        <v/>
      </c>
      <c r="E1434" s="32" t="n"/>
      <c r="F1434" s="38" t="n"/>
      <c r="G1434" s="38" t="n"/>
      <c r="H1434" s="39" t="n"/>
      <c r="I1434" s="40" t="str">
        <f>IF(OR($J1434="",$K1434=""),"",ROUND(MAX(0,($K1434-$J1434)-IF($H1434="",0,$H1434))/60,2))</f>
        <v/>
      </c>
      <c r="J1434" s="41" t="str">
        <f>IF($F1434="","",IF($F1434&lt;1,ROUND($F1434*1440,0),INT($F1434/100)*60+MOD($F1434,100)))</f>
        <v/>
      </c>
      <c r="K1434" s="41" t="str">
        <f>IF($G1434="","",IF($G1434&lt;1,ROUND($G1434*1440,0),INT($G1434/100)*60+MOD($G1434,100)))</f>
        <v/>
      </c>
    </row>
    <row r="1435" ht="15" customHeight="1" s="26">
      <c r="A1435" s="34" t="n"/>
      <c r="B1435" s="32" t="n"/>
      <c r="C1435" s="33" t="n"/>
      <c r="D1435" s="37" t="str">
        <f>IF($C1435="","",IFERROR(INDEX(프로젝트목록!$B$3:$B$62,MATCH($C1435,프로젝트목록!$A$3:$A$62,0)),"미등록코드"))</f>
        <v/>
      </c>
      <c r="E1435" s="32" t="n"/>
      <c r="F1435" s="38" t="n"/>
      <c r="G1435" s="38" t="n"/>
      <c r="H1435" s="39" t="n"/>
      <c r="I1435" s="40" t="str">
        <f>IF(OR($J1435="",$K1435=""),"",ROUND(MAX(0,($K1435-$J1435)-IF($H1435="",0,$H1435))/60,2))</f>
        <v/>
      </c>
      <c r="J1435" s="41" t="str">
        <f>IF($F1435="","",IF($F1435&lt;1,ROUND($F1435*1440,0),INT($F1435/100)*60+MOD($F1435,100)))</f>
        <v/>
      </c>
      <c r="K1435" s="41" t="str">
        <f>IF($G1435="","",IF($G1435&lt;1,ROUND($G1435*1440,0),INT($G1435/100)*60+MOD($G1435,100)))</f>
        <v/>
      </c>
    </row>
    <row r="1436" ht="15" customHeight="1" s="26">
      <c r="A1436" s="34" t="n"/>
      <c r="B1436" s="32" t="n"/>
      <c r="C1436" s="33" t="n"/>
      <c r="D1436" s="37" t="str">
        <f>IF($C1436="","",IFERROR(INDEX(프로젝트목록!$B$3:$B$62,MATCH($C1436,프로젝트목록!$A$3:$A$62,0)),"미등록코드"))</f>
        <v/>
      </c>
      <c r="E1436" s="32" t="n"/>
      <c r="F1436" s="38" t="n"/>
      <c r="G1436" s="38" t="n"/>
      <c r="H1436" s="39" t="n"/>
      <c r="I1436" s="40" t="str">
        <f>IF(OR($J1436="",$K1436=""),"",ROUND(MAX(0,($K1436-$J1436)-IF($H1436="",0,$H1436))/60,2))</f>
        <v/>
      </c>
      <c r="J1436" s="41" t="str">
        <f>IF($F1436="","",IF($F1436&lt;1,ROUND($F1436*1440,0),INT($F1436/100)*60+MOD($F1436,100)))</f>
        <v/>
      </c>
      <c r="K1436" s="41" t="str">
        <f>IF($G1436="","",IF($G1436&lt;1,ROUND($G1436*1440,0),INT($G1436/100)*60+MOD($G1436,100)))</f>
        <v/>
      </c>
    </row>
    <row r="1437" ht="15" customHeight="1" s="26">
      <c r="A1437" s="34" t="n"/>
      <c r="B1437" s="32" t="n"/>
      <c r="C1437" s="33" t="n"/>
      <c r="D1437" s="37" t="str">
        <f>IF($C1437="","",IFERROR(INDEX(프로젝트목록!$B$3:$B$62,MATCH($C1437,프로젝트목록!$A$3:$A$62,0)),"미등록코드"))</f>
        <v/>
      </c>
      <c r="E1437" s="32" t="n"/>
      <c r="F1437" s="38" t="n"/>
      <c r="G1437" s="38" t="n"/>
      <c r="H1437" s="39" t="n"/>
      <c r="I1437" s="40" t="str">
        <f>IF(OR($J1437="",$K1437=""),"",ROUND(MAX(0,($K1437-$J1437)-IF($H1437="",0,$H1437))/60,2))</f>
        <v/>
      </c>
      <c r="J1437" s="41" t="str">
        <f>IF($F1437="","",IF($F1437&lt;1,ROUND($F1437*1440,0),INT($F1437/100)*60+MOD($F1437,100)))</f>
        <v/>
      </c>
      <c r="K1437" s="41" t="str">
        <f>IF($G1437="","",IF($G1437&lt;1,ROUND($G1437*1440,0),INT($G1437/100)*60+MOD($G1437,100)))</f>
        <v/>
      </c>
    </row>
    <row r="1438" ht="15" customHeight="1" s="26">
      <c r="A1438" s="34" t="n"/>
      <c r="B1438" s="32" t="n"/>
      <c r="C1438" s="33" t="n"/>
      <c r="D1438" s="37" t="str">
        <f>IF($C1438="","",IFERROR(INDEX(프로젝트목록!$B$3:$B$62,MATCH($C1438,프로젝트목록!$A$3:$A$62,0)),"미등록코드"))</f>
        <v/>
      </c>
      <c r="E1438" s="32" t="n"/>
      <c r="F1438" s="38" t="n"/>
      <c r="G1438" s="38" t="n"/>
      <c r="H1438" s="39" t="n"/>
      <c r="I1438" s="40" t="str">
        <f>IF(OR($J1438="",$K1438=""),"",ROUND(MAX(0,($K1438-$J1438)-IF($H1438="",0,$H1438))/60,2))</f>
        <v/>
      </c>
      <c r="J1438" s="41" t="str">
        <f>IF($F1438="","",IF($F1438&lt;1,ROUND($F1438*1440,0),INT($F1438/100)*60+MOD($F1438,100)))</f>
        <v/>
      </c>
      <c r="K1438" s="41" t="str">
        <f>IF($G1438="","",IF($G1438&lt;1,ROUND($G1438*1440,0),INT($G1438/100)*60+MOD($G1438,100)))</f>
        <v/>
      </c>
    </row>
    <row r="1439" ht="15" customHeight="1" s="26">
      <c r="A1439" s="34" t="n"/>
      <c r="B1439" s="32" t="n"/>
      <c r="C1439" s="33" t="n"/>
      <c r="D1439" s="37" t="str">
        <f>IF($C1439="","",IFERROR(INDEX(프로젝트목록!$B$3:$B$62,MATCH($C1439,프로젝트목록!$A$3:$A$62,0)),"미등록코드"))</f>
        <v/>
      </c>
      <c r="E1439" s="32" t="n"/>
      <c r="F1439" s="38" t="n"/>
      <c r="G1439" s="38" t="n"/>
      <c r="H1439" s="39" t="n"/>
      <c r="I1439" s="40" t="str">
        <f>IF(OR($J1439="",$K1439=""),"",ROUND(MAX(0,($K1439-$J1439)-IF($H1439="",0,$H1439))/60,2))</f>
        <v/>
      </c>
      <c r="J1439" s="41" t="str">
        <f>IF($F1439="","",IF($F1439&lt;1,ROUND($F1439*1440,0),INT($F1439/100)*60+MOD($F1439,100)))</f>
        <v/>
      </c>
      <c r="K1439" s="41" t="str">
        <f>IF($G1439="","",IF($G1439&lt;1,ROUND($G1439*1440,0),INT($G1439/100)*60+MOD($G1439,100)))</f>
        <v/>
      </c>
    </row>
    <row r="1440" ht="15" customHeight="1" s="26">
      <c r="A1440" s="34" t="n"/>
      <c r="B1440" s="32" t="n"/>
      <c r="C1440" s="33" t="n"/>
      <c r="D1440" s="37" t="str">
        <f>IF($C1440="","",IFERROR(INDEX(프로젝트목록!$B$3:$B$62,MATCH($C1440,프로젝트목록!$A$3:$A$62,0)),"미등록코드"))</f>
        <v/>
      </c>
      <c r="E1440" s="32" t="n"/>
      <c r="F1440" s="38" t="n"/>
      <c r="G1440" s="38" t="n"/>
      <c r="H1440" s="39" t="n"/>
      <c r="I1440" s="40" t="str">
        <f>IF(OR($J1440="",$K1440=""),"",ROUND(MAX(0,($K1440-$J1440)-IF($H1440="",0,$H1440))/60,2))</f>
        <v/>
      </c>
      <c r="J1440" s="41" t="str">
        <f>IF($F1440="","",IF($F1440&lt;1,ROUND($F1440*1440,0),INT($F1440/100)*60+MOD($F1440,100)))</f>
        <v/>
      </c>
      <c r="K1440" s="41" t="str">
        <f>IF($G1440="","",IF($G1440&lt;1,ROUND($G1440*1440,0),INT($G1440/100)*60+MOD($G1440,100)))</f>
        <v/>
      </c>
    </row>
    <row r="1441" ht="15" customHeight="1" s="26">
      <c r="A1441" s="34" t="n"/>
      <c r="B1441" s="32" t="n"/>
      <c r="C1441" s="33" t="n"/>
      <c r="D1441" s="37" t="str">
        <f>IF($C1441="","",IFERROR(INDEX(프로젝트목록!$B$3:$B$62,MATCH($C1441,프로젝트목록!$A$3:$A$62,0)),"미등록코드"))</f>
        <v/>
      </c>
      <c r="E1441" s="32" t="n"/>
      <c r="F1441" s="38" t="n"/>
      <c r="G1441" s="38" t="n"/>
      <c r="H1441" s="39" t="n"/>
      <c r="I1441" s="40" t="str">
        <f>IF(OR($J1441="",$K1441=""),"",ROUND(MAX(0,($K1441-$J1441)-IF($H1441="",0,$H1441))/60,2))</f>
        <v/>
      </c>
      <c r="J1441" s="41" t="str">
        <f>IF($F1441="","",IF($F1441&lt;1,ROUND($F1441*1440,0),INT($F1441/100)*60+MOD($F1441,100)))</f>
        <v/>
      </c>
      <c r="K1441" s="41" t="str">
        <f>IF($G1441="","",IF($G1441&lt;1,ROUND($G1441*1440,0),INT($G1441/100)*60+MOD($G1441,100)))</f>
        <v/>
      </c>
    </row>
    <row r="1442" ht="15" customHeight="1" s="26">
      <c r="A1442" s="34" t="n"/>
      <c r="B1442" s="32" t="n"/>
      <c r="C1442" s="33" t="n"/>
      <c r="D1442" s="37" t="str">
        <f>IF($C1442="","",IFERROR(INDEX(프로젝트목록!$B$3:$B$62,MATCH($C1442,프로젝트목록!$A$3:$A$62,0)),"미등록코드"))</f>
        <v/>
      </c>
      <c r="E1442" s="32" t="n"/>
      <c r="F1442" s="38" t="n"/>
      <c r="G1442" s="38" t="n"/>
      <c r="H1442" s="39" t="n"/>
      <c r="I1442" s="40" t="str">
        <f>IF(OR($J1442="",$K1442=""),"",ROUND(MAX(0,($K1442-$J1442)-IF($H1442="",0,$H1442))/60,2))</f>
        <v/>
      </c>
      <c r="J1442" s="41" t="str">
        <f>IF($F1442="","",IF($F1442&lt;1,ROUND($F1442*1440,0),INT($F1442/100)*60+MOD($F1442,100)))</f>
        <v/>
      </c>
      <c r="K1442" s="41" t="str">
        <f>IF($G1442="","",IF($G1442&lt;1,ROUND($G1442*1440,0),INT($G1442/100)*60+MOD($G1442,100)))</f>
        <v/>
      </c>
    </row>
    <row r="1443" ht="15" customHeight="1" s="26">
      <c r="A1443" s="34" t="n"/>
      <c r="B1443" s="32" t="n"/>
      <c r="C1443" s="33" t="n"/>
      <c r="D1443" s="37" t="str">
        <f>IF($C1443="","",IFERROR(INDEX(프로젝트목록!$B$3:$B$62,MATCH($C1443,프로젝트목록!$A$3:$A$62,0)),"미등록코드"))</f>
        <v/>
      </c>
      <c r="E1443" s="32" t="n"/>
      <c r="F1443" s="38" t="n"/>
      <c r="G1443" s="38" t="n"/>
      <c r="H1443" s="39" t="n"/>
      <c r="I1443" s="40" t="str">
        <f>IF(OR($J1443="",$K1443=""),"",ROUND(MAX(0,($K1443-$J1443)-IF($H1443="",0,$H1443))/60,2))</f>
        <v/>
      </c>
      <c r="J1443" s="41" t="str">
        <f>IF($F1443="","",IF($F1443&lt;1,ROUND($F1443*1440,0),INT($F1443/100)*60+MOD($F1443,100)))</f>
        <v/>
      </c>
      <c r="K1443" s="41" t="str">
        <f>IF($G1443="","",IF($G1443&lt;1,ROUND($G1443*1440,0),INT($G1443/100)*60+MOD($G1443,100)))</f>
        <v/>
      </c>
    </row>
    <row r="1444" ht="15" customHeight="1" s="26">
      <c r="A1444" s="34" t="n"/>
      <c r="B1444" s="32" t="n"/>
      <c r="C1444" s="33" t="n"/>
      <c r="D1444" s="37" t="str">
        <f>IF($C1444="","",IFERROR(INDEX(프로젝트목록!$B$3:$B$62,MATCH($C1444,프로젝트목록!$A$3:$A$62,0)),"미등록코드"))</f>
        <v/>
      </c>
      <c r="E1444" s="32" t="n"/>
      <c r="F1444" s="38" t="n"/>
      <c r="G1444" s="38" t="n"/>
      <c r="H1444" s="39" t="n"/>
      <c r="I1444" s="40" t="str">
        <f>IF(OR($J1444="",$K1444=""),"",ROUND(MAX(0,($K1444-$J1444)-IF($H1444="",0,$H1444))/60,2))</f>
        <v/>
      </c>
      <c r="J1444" s="41" t="str">
        <f>IF($F1444="","",IF($F1444&lt;1,ROUND($F1444*1440,0),INT($F1444/100)*60+MOD($F1444,100)))</f>
        <v/>
      </c>
      <c r="K1444" s="41" t="str">
        <f>IF($G1444="","",IF($G1444&lt;1,ROUND($G1444*1440,0),INT($G1444/100)*60+MOD($G1444,100)))</f>
        <v/>
      </c>
    </row>
    <row r="1445" ht="15" customHeight="1" s="26">
      <c r="A1445" s="34" t="n"/>
      <c r="B1445" s="32" t="n"/>
      <c r="C1445" s="33" t="n"/>
      <c r="D1445" s="37" t="str">
        <f>IF($C1445="","",IFERROR(INDEX(프로젝트목록!$B$3:$B$62,MATCH($C1445,프로젝트목록!$A$3:$A$62,0)),"미등록코드"))</f>
        <v/>
      </c>
      <c r="E1445" s="32" t="n"/>
      <c r="F1445" s="38" t="n"/>
      <c r="G1445" s="38" t="n"/>
      <c r="H1445" s="39" t="n"/>
      <c r="I1445" s="40" t="str">
        <f>IF(OR($J1445="",$K1445=""),"",ROUND(MAX(0,($K1445-$J1445)-IF($H1445="",0,$H1445))/60,2))</f>
        <v/>
      </c>
      <c r="J1445" s="41" t="str">
        <f>IF($F1445="","",IF($F1445&lt;1,ROUND($F1445*1440,0),INT($F1445/100)*60+MOD($F1445,100)))</f>
        <v/>
      </c>
      <c r="K1445" s="41" t="str">
        <f>IF($G1445="","",IF($G1445&lt;1,ROUND($G1445*1440,0),INT($G1445/100)*60+MOD($G1445,100)))</f>
        <v/>
      </c>
    </row>
    <row r="1446" ht="15" customHeight="1" s="26">
      <c r="A1446" s="34" t="n"/>
      <c r="B1446" s="32" t="n"/>
      <c r="C1446" s="33" t="n"/>
      <c r="D1446" s="37" t="str">
        <f>IF($C1446="","",IFERROR(INDEX(프로젝트목록!$B$3:$B$62,MATCH($C1446,프로젝트목록!$A$3:$A$62,0)),"미등록코드"))</f>
        <v/>
      </c>
      <c r="E1446" s="32" t="n"/>
      <c r="F1446" s="38" t="n"/>
      <c r="G1446" s="38" t="n"/>
      <c r="H1446" s="39" t="n"/>
      <c r="I1446" s="40" t="str">
        <f>IF(OR($J1446="",$K1446=""),"",ROUND(MAX(0,($K1446-$J1446)-IF($H1446="",0,$H1446))/60,2))</f>
        <v/>
      </c>
      <c r="J1446" s="41" t="str">
        <f>IF($F1446="","",IF($F1446&lt;1,ROUND($F1446*1440,0),INT($F1446/100)*60+MOD($F1446,100)))</f>
        <v/>
      </c>
      <c r="K1446" s="41" t="str">
        <f>IF($G1446="","",IF($G1446&lt;1,ROUND($G1446*1440,0),INT($G1446/100)*60+MOD($G1446,100)))</f>
        <v/>
      </c>
    </row>
    <row r="1447" ht="15" customHeight="1" s="26">
      <c r="A1447" s="34" t="n"/>
      <c r="B1447" s="32" t="n"/>
      <c r="C1447" s="33" t="n"/>
      <c r="D1447" s="37" t="str">
        <f>IF($C1447="","",IFERROR(INDEX(프로젝트목록!$B$3:$B$62,MATCH($C1447,프로젝트목록!$A$3:$A$62,0)),"미등록코드"))</f>
        <v/>
      </c>
      <c r="E1447" s="32" t="n"/>
      <c r="F1447" s="38" t="n"/>
      <c r="G1447" s="38" t="n"/>
      <c r="H1447" s="39" t="n"/>
      <c r="I1447" s="40" t="str">
        <f>IF(OR($J1447="",$K1447=""),"",ROUND(MAX(0,($K1447-$J1447)-IF($H1447="",0,$H1447))/60,2))</f>
        <v/>
      </c>
      <c r="J1447" s="41" t="str">
        <f>IF($F1447="","",IF($F1447&lt;1,ROUND($F1447*1440,0),INT($F1447/100)*60+MOD($F1447,100)))</f>
        <v/>
      </c>
      <c r="K1447" s="41" t="str">
        <f>IF($G1447="","",IF($G1447&lt;1,ROUND($G1447*1440,0),INT($G1447/100)*60+MOD($G1447,100)))</f>
        <v/>
      </c>
    </row>
    <row r="1448" ht="15" customHeight="1" s="26">
      <c r="A1448" s="34" t="n"/>
      <c r="B1448" s="32" t="n"/>
      <c r="C1448" s="33" t="n"/>
      <c r="D1448" s="37" t="str">
        <f>IF($C1448="","",IFERROR(INDEX(프로젝트목록!$B$3:$B$62,MATCH($C1448,프로젝트목록!$A$3:$A$62,0)),"미등록코드"))</f>
        <v/>
      </c>
      <c r="E1448" s="32" t="n"/>
      <c r="F1448" s="38" t="n"/>
      <c r="G1448" s="38" t="n"/>
      <c r="H1448" s="39" t="n"/>
      <c r="I1448" s="40" t="str">
        <f>IF(OR($J1448="",$K1448=""),"",ROUND(MAX(0,($K1448-$J1448)-IF($H1448="",0,$H1448))/60,2))</f>
        <v/>
      </c>
      <c r="J1448" s="41" t="str">
        <f>IF($F1448="","",IF($F1448&lt;1,ROUND($F1448*1440,0),INT($F1448/100)*60+MOD($F1448,100)))</f>
        <v/>
      </c>
      <c r="K1448" s="41" t="str">
        <f>IF($G1448="","",IF($G1448&lt;1,ROUND($G1448*1440,0),INT($G1448/100)*60+MOD($G1448,100)))</f>
        <v/>
      </c>
    </row>
    <row r="1449" ht="15" customHeight="1" s="26">
      <c r="A1449" s="34" t="n"/>
      <c r="B1449" s="32" t="n"/>
      <c r="C1449" s="33" t="n"/>
      <c r="D1449" s="37" t="str">
        <f>IF($C1449="","",IFERROR(INDEX(프로젝트목록!$B$3:$B$62,MATCH($C1449,프로젝트목록!$A$3:$A$62,0)),"미등록코드"))</f>
        <v/>
      </c>
      <c r="E1449" s="32" t="n"/>
      <c r="F1449" s="38" t="n"/>
      <c r="G1449" s="38" t="n"/>
      <c r="H1449" s="39" t="n"/>
      <c r="I1449" s="40" t="str">
        <f>IF(OR($J1449="",$K1449=""),"",ROUND(MAX(0,($K1449-$J1449)-IF($H1449="",0,$H1449))/60,2))</f>
        <v/>
      </c>
      <c r="J1449" s="41" t="str">
        <f>IF($F1449="","",IF($F1449&lt;1,ROUND($F1449*1440,0),INT($F1449/100)*60+MOD($F1449,100)))</f>
        <v/>
      </c>
      <c r="K1449" s="41" t="str">
        <f>IF($G1449="","",IF($G1449&lt;1,ROUND($G1449*1440,0),INT($G1449/100)*60+MOD($G1449,100)))</f>
        <v/>
      </c>
    </row>
    <row r="1450" ht="15" customHeight="1" s="26">
      <c r="A1450" s="34" t="n"/>
      <c r="B1450" s="32" t="n"/>
      <c r="C1450" s="33" t="n"/>
      <c r="D1450" s="37" t="str">
        <f>IF($C1450="","",IFERROR(INDEX(프로젝트목록!$B$3:$B$62,MATCH($C1450,프로젝트목록!$A$3:$A$62,0)),"미등록코드"))</f>
        <v/>
      </c>
      <c r="E1450" s="32" t="n"/>
      <c r="F1450" s="38" t="n"/>
      <c r="G1450" s="38" t="n"/>
      <c r="H1450" s="39" t="n"/>
      <c r="I1450" s="40" t="str">
        <f>IF(OR($J1450="",$K1450=""),"",ROUND(MAX(0,($K1450-$J1450)-IF($H1450="",0,$H1450))/60,2))</f>
        <v/>
      </c>
      <c r="J1450" s="41" t="str">
        <f>IF($F1450="","",IF($F1450&lt;1,ROUND($F1450*1440,0),INT($F1450/100)*60+MOD($F1450,100)))</f>
        <v/>
      </c>
      <c r="K1450" s="41" t="str">
        <f>IF($G1450="","",IF($G1450&lt;1,ROUND($G1450*1440,0),INT($G1450/100)*60+MOD($G1450,100)))</f>
        <v/>
      </c>
    </row>
    <row r="1451" ht="15" customHeight="1" s="26">
      <c r="A1451" s="34" t="n"/>
      <c r="B1451" s="32" t="n"/>
      <c r="C1451" s="33" t="n"/>
      <c r="D1451" s="37" t="str">
        <f>IF($C1451="","",IFERROR(INDEX(프로젝트목록!$B$3:$B$62,MATCH($C1451,프로젝트목록!$A$3:$A$62,0)),"미등록코드"))</f>
        <v/>
      </c>
      <c r="E1451" s="32" t="n"/>
      <c r="F1451" s="38" t="n"/>
      <c r="G1451" s="38" t="n"/>
      <c r="H1451" s="39" t="n"/>
      <c r="I1451" s="40" t="str">
        <f>IF(OR($J1451="",$K1451=""),"",ROUND(MAX(0,($K1451-$J1451)-IF($H1451="",0,$H1451))/60,2))</f>
        <v/>
      </c>
      <c r="J1451" s="41" t="str">
        <f>IF($F1451="","",IF($F1451&lt;1,ROUND($F1451*1440,0),INT($F1451/100)*60+MOD($F1451,100)))</f>
        <v/>
      </c>
      <c r="K1451" s="41" t="str">
        <f>IF($G1451="","",IF($G1451&lt;1,ROUND($G1451*1440,0),INT($G1451/100)*60+MOD($G1451,100)))</f>
        <v/>
      </c>
    </row>
    <row r="1452" ht="15" customHeight="1" s="26">
      <c r="A1452" s="34" t="n"/>
      <c r="B1452" s="32" t="n"/>
      <c r="C1452" s="33" t="n"/>
      <c r="D1452" s="37" t="str">
        <f>IF($C1452="","",IFERROR(INDEX(프로젝트목록!$B$3:$B$62,MATCH($C1452,프로젝트목록!$A$3:$A$62,0)),"미등록코드"))</f>
        <v/>
      </c>
      <c r="E1452" s="32" t="n"/>
      <c r="F1452" s="38" t="n"/>
      <c r="G1452" s="38" t="n"/>
      <c r="H1452" s="39" t="n"/>
      <c r="I1452" s="40" t="str">
        <f>IF(OR($J1452="",$K1452=""),"",ROUND(MAX(0,($K1452-$J1452)-IF($H1452="",0,$H1452))/60,2))</f>
        <v/>
      </c>
      <c r="J1452" s="41" t="str">
        <f>IF($F1452="","",IF($F1452&lt;1,ROUND($F1452*1440,0),INT($F1452/100)*60+MOD($F1452,100)))</f>
        <v/>
      </c>
      <c r="K1452" s="41" t="str">
        <f>IF($G1452="","",IF($G1452&lt;1,ROUND($G1452*1440,0),INT($G1452/100)*60+MOD($G1452,100)))</f>
        <v/>
      </c>
    </row>
    <row r="1453" ht="15" customHeight="1" s="26">
      <c r="A1453" s="34" t="n"/>
      <c r="B1453" s="32" t="n"/>
      <c r="C1453" s="33" t="n"/>
      <c r="D1453" s="37" t="str">
        <f>IF($C1453="","",IFERROR(INDEX(프로젝트목록!$B$3:$B$62,MATCH($C1453,프로젝트목록!$A$3:$A$62,0)),"미등록코드"))</f>
        <v/>
      </c>
      <c r="E1453" s="32" t="n"/>
      <c r="F1453" s="38" t="n"/>
      <c r="G1453" s="38" t="n"/>
      <c r="H1453" s="39" t="n"/>
      <c r="I1453" s="40" t="str">
        <f>IF(OR($J1453="",$K1453=""),"",ROUND(MAX(0,($K1453-$J1453)-IF($H1453="",0,$H1453))/60,2))</f>
        <v/>
      </c>
      <c r="J1453" s="41" t="str">
        <f>IF($F1453="","",IF($F1453&lt;1,ROUND($F1453*1440,0),INT($F1453/100)*60+MOD($F1453,100)))</f>
        <v/>
      </c>
      <c r="K1453" s="41" t="str">
        <f>IF($G1453="","",IF($G1453&lt;1,ROUND($G1453*1440,0),INT($G1453/100)*60+MOD($G1453,100)))</f>
        <v/>
      </c>
    </row>
    <row r="1454" ht="15" customHeight="1" s="26">
      <c r="A1454" s="34" t="n"/>
      <c r="B1454" s="32" t="n"/>
      <c r="C1454" s="33" t="n"/>
      <c r="D1454" s="37" t="str">
        <f>IF($C1454="","",IFERROR(INDEX(프로젝트목록!$B$3:$B$62,MATCH($C1454,프로젝트목록!$A$3:$A$62,0)),"미등록코드"))</f>
        <v/>
      </c>
      <c r="E1454" s="32" t="n"/>
      <c r="F1454" s="38" t="n"/>
      <c r="G1454" s="38" t="n"/>
      <c r="H1454" s="39" t="n"/>
      <c r="I1454" s="40" t="str">
        <f>IF(OR($J1454="",$K1454=""),"",ROUND(MAX(0,($K1454-$J1454)-IF($H1454="",0,$H1454))/60,2))</f>
        <v/>
      </c>
      <c r="J1454" s="41" t="str">
        <f>IF($F1454="","",IF($F1454&lt;1,ROUND($F1454*1440,0),INT($F1454/100)*60+MOD($F1454,100)))</f>
        <v/>
      </c>
      <c r="K1454" s="41" t="str">
        <f>IF($G1454="","",IF($G1454&lt;1,ROUND($G1454*1440,0),INT($G1454/100)*60+MOD($G1454,100)))</f>
        <v/>
      </c>
    </row>
    <row r="1455" ht="15" customHeight="1" s="26">
      <c r="A1455" s="34" t="n"/>
      <c r="B1455" s="32" t="n"/>
      <c r="C1455" s="33" t="n"/>
      <c r="D1455" s="37" t="str">
        <f>IF($C1455="","",IFERROR(INDEX(프로젝트목록!$B$3:$B$62,MATCH($C1455,프로젝트목록!$A$3:$A$62,0)),"미등록코드"))</f>
        <v/>
      </c>
      <c r="E1455" s="32" t="n"/>
      <c r="F1455" s="38" t="n"/>
      <c r="G1455" s="38" t="n"/>
      <c r="H1455" s="39" t="n"/>
      <c r="I1455" s="40" t="str">
        <f>IF(OR($J1455="",$K1455=""),"",ROUND(MAX(0,($K1455-$J1455)-IF($H1455="",0,$H1455))/60,2))</f>
        <v/>
      </c>
      <c r="J1455" s="41" t="str">
        <f>IF($F1455="","",IF($F1455&lt;1,ROUND($F1455*1440,0),INT($F1455/100)*60+MOD($F1455,100)))</f>
        <v/>
      </c>
      <c r="K1455" s="41" t="str">
        <f>IF($G1455="","",IF($G1455&lt;1,ROUND($G1455*1440,0),INT($G1455/100)*60+MOD($G1455,100)))</f>
        <v/>
      </c>
    </row>
    <row r="1456" ht="15" customHeight="1" s="26">
      <c r="A1456" s="34" t="n"/>
      <c r="B1456" s="32" t="n"/>
      <c r="C1456" s="33" t="n"/>
      <c r="D1456" s="37" t="str">
        <f>IF($C1456="","",IFERROR(INDEX(프로젝트목록!$B$3:$B$62,MATCH($C1456,프로젝트목록!$A$3:$A$62,0)),"미등록코드"))</f>
        <v/>
      </c>
      <c r="E1456" s="32" t="n"/>
      <c r="F1456" s="38" t="n"/>
      <c r="G1456" s="38" t="n"/>
      <c r="H1456" s="39" t="n"/>
      <c r="I1456" s="40" t="str">
        <f>IF(OR($J1456="",$K1456=""),"",ROUND(MAX(0,($K1456-$J1456)-IF($H1456="",0,$H1456))/60,2))</f>
        <v/>
      </c>
      <c r="J1456" s="41" t="str">
        <f>IF($F1456="","",IF($F1456&lt;1,ROUND($F1456*1440,0),INT($F1456/100)*60+MOD($F1456,100)))</f>
        <v/>
      </c>
      <c r="K1456" s="41" t="str">
        <f>IF($G1456="","",IF($G1456&lt;1,ROUND($G1456*1440,0),INT($G1456/100)*60+MOD($G1456,100)))</f>
        <v/>
      </c>
    </row>
    <row r="1457" ht="15" customHeight="1" s="26">
      <c r="A1457" s="34" t="n"/>
      <c r="B1457" s="32" t="n"/>
      <c r="C1457" s="33" t="n"/>
      <c r="D1457" s="37" t="str">
        <f>IF($C1457="","",IFERROR(INDEX(프로젝트목록!$B$3:$B$62,MATCH($C1457,프로젝트목록!$A$3:$A$62,0)),"미등록코드"))</f>
        <v/>
      </c>
      <c r="E1457" s="32" t="n"/>
      <c r="F1457" s="38" t="n"/>
      <c r="G1457" s="38" t="n"/>
      <c r="H1457" s="39" t="n"/>
      <c r="I1457" s="40" t="str">
        <f>IF(OR($J1457="",$K1457=""),"",ROUND(MAX(0,($K1457-$J1457)-IF($H1457="",0,$H1457))/60,2))</f>
        <v/>
      </c>
      <c r="J1457" s="41" t="str">
        <f>IF($F1457="","",IF($F1457&lt;1,ROUND($F1457*1440,0),INT($F1457/100)*60+MOD($F1457,100)))</f>
        <v/>
      </c>
      <c r="K1457" s="41" t="str">
        <f>IF($G1457="","",IF($G1457&lt;1,ROUND($G1457*1440,0),INT($G1457/100)*60+MOD($G1457,100)))</f>
        <v/>
      </c>
    </row>
    <row r="1458" ht="15" customHeight="1" s="26">
      <c r="A1458" s="34" t="n"/>
      <c r="B1458" s="32" t="n"/>
      <c r="C1458" s="33" t="n"/>
      <c r="D1458" s="37" t="str">
        <f>IF($C1458="","",IFERROR(INDEX(프로젝트목록!$B$3:$B$62,MATCH($C1458,프로젝트목록!$A$3:$A$62,0)),"미등록코드"))</f>
        <v/>
      </c>
      <c r="E1458" s="32" t="n"/>
      <c r="F1458" s="38" t="n"/>
      <c r="G1458" s="38" t="n"/>
      <c r="H1458" s="39" t="n"/>
      <c r="I1458" s="40" t="str">
        <f>IF(OR($J1458="",$K1458=""),"",ROUND(MAX(0,($K1458-$J1458)-IF($H1458="",0,$H1458))/60,2))</f>
        <v/>
      </c>
      <c r="J1458" s="41" t="str">
        <f>IF($F1458="","",IF($F1458&lt;1,ROUND($F1458*1440,0),INT($F1458/100)*60+MOD($F1458,100)))</f>
        <v/>
      </c>
      <c r="K1458" s="41" t="str">
        <f>IF($G1458="","",IF($G1458&lt;1,ROUND($G1458*1440,0),INT($G1458/100)*60+MOD($G1458,100)))</f>
        <v/>
      </c>
    </row>
    <row r="1459" ht="15" customHeight="1" s="26">
      <c r="A1459" s="34" t="n"/>
      <c r="B1459" s="32" t="n"/>
      <c r="C1459" s="33" t="n"/>
      <c r="D1459" s="37" t="str">
        <f>IF($C1459="","",IFERROR(INDEX(프로젝트목록!$B$3:$B$62,MATCH($C1459,프로젝트목록!$A$3:$A$62,0)),"미등록코드"))</f>
        <v/>
      </c>
      <c r="E1459" s="32" t="n"/>
      <c r="F1459" s="38" t="n"/>
      <c r="G1459" s="38" t="n"/>
      <c r="H1459" s="39" t="n"/>
      <c r="I1459" s="40" t="str">
        <f>IF(OR($J1459="",$K1459=""),"",ROUND(MAX(0,($K1459-$J1459)-IF($H1459="",0,$H1459))/60,2))</f>
        <v/>
      </c>
      <c r="J1459" s="41" t="str">
        <f>IF($F1459="","",IF($F1459&lt;1,ROUND($F1459*1440,0),INT($F1459/100)*60+MOD($F1459,100)))</f>
        <v/>
      </c>
      <c r="K1459" s="41" t="str">
        <f>IF($G1459="","",IF($G1459&lt;1,ROUND($G1459*1440,0),INT($G1459/100)*60+MOD($G1459,100)))</f>
        <v/>
      </c>
    </row>
    <row r="1460" ht="15" customHeight="1" s="26">
      <c r="A1460" s="34" t="n"/>
      <c r="B1460" s="32" t="n"/>
      <c r="C1460" s="33" t="n"/>
      <c r="D1460" s="37" t="str">
        <f>IF($C1460="","",IFERROR(INDEX(프로젝트목록!$B$3:$B$62,MATCH($C1460,프로젝트목록!$A$3:$A$62,0)),"미등록코드"))</f>
        <v/>
      </c>
      <c r="E1460" s="32" t="n"/>
      <c r="F1460" s="38" t="n"/>
      <c r="G1460" s="38" t="n"/>
      <c r="H1460" s="39" t="n"/>
      <c r="I1460" s="40" t="str">
        <f>IF(OR($J1460="",$K1460=""),"",ROUND(MAX(0,($K1460-$J1460)-IF($H1460="",0,$H1460))/60,2))</f>
        <v/>
      </c>
      <c r="J1460" s="41" t="str">
        <f>IF($F1460="","",IF($F1460&lt;1,ROUND($F1460*1440,0),INT($F1460/100)*60+MOD($F1460,100)))</f>
        <v/>
      </c>
      <c r="K1460" s="41" t="str">
        <f>IF($G1460="","",IF($G1460&lt;1,ROUND($G1460*1440,0),INT($G1460/100)*60+MOD($G1460,100)))</f>
        <v/>
      </c>
    </row>
    <row r="1461" ht="15" customHeight="1" s="26">
      <c r="A1461" s="34" t="n"/>
      <c r="B1461" s="32" t="n"/>
      <c r="C1461" s="33" t="n"/>
      <c r="D1461" s="37" t="str">
        <f>IF($C1461="","",IFERROR(INDEX(프로젝트목록!$B$3:$B$62,MATCH($C1461,프로젝트목록!$A$3:$A$62,0)),"미등록코드"))</f>
        <v/>
      </c>
      <c r="E1461" s="32" t="n"/>
      <c r="F1461" s="38" t="n"/>
      <c r="G1461" s="38" t="n"/>
      <c r="H1461" s="39" t="n"/>
      <c r="I1461" s="40" t="str">
        <f>IF(OR($J1461="",$K1461=""),"",ROUND(MAX(0,($K1461-$J1461)-IF($H1461="",0,$H1461))/60,2))</f>
        <v/>
      </c>
      <c r="J1461" s="41" t="str">
        <f>IF($F1461="","",IF($F1461&lt;1,ROUND($F1461*1440,0),INT($F1461/100)*60+MOD($F1461,100)))</f>
        <v/>
      </c>
      <c r="K1461" s="41" t="str">
        <f>IF($G1461="","",IF($G1461&lt;1,ROUND($G1461*1440,0),INT($G1461/100)*60+MOD($G1461,100)))</f>
        <v/>
      </c>
    </row>
    <row r="1462" ht="15" customHeight="1" s="26">
      <c r="A1462" s="34" t="n"/>
      <c r="B1462" s="32" t="n"/>
      <c r="C1462" s="33" t="n"/>
      <c r="D1462" s="37" t="str">
        <f>IF($C1462="","",IFERROR(INDEX(프로젝트목록!$B$3:$B$62,MATCH($C1462,프로젝트목록!$A$3:$A$62,0)),"미등록코드"))</f>
        <v/>
      </c>
      <c r="E1462" s="32" t="n"/>
      <c r="F1462" s="38" t="n"/>
      <c r="G1462" s="38" t="n"/>
      <c r="H1462" s="39" t="n"/>
      <c r="I1462" s="40" t="str">
        <f>IF(OR($J1462="",$K1462=""),"",ROUND(MAX(0,($K1462-$J1462)-IF($H1462="",0,$H1462))/60,2))</f>
        <v/>
      </c>
      <c r="J1462" s="41" t="str">
        <f>IF($F1462="","",IF($F1462&lt;1,ROUND($F1462*1440,0),INT($F1462/100)*60+MOD($F1462,100)))</f>
        <v/>
      </c>
      <c r="K1462" s="41" t="str">
        <f>IF($G1462="","",IF($G1462&lt;1,ROUND($G1462*1440,0),INT($G1462/100)*60+MOD($G1462,100)))</f>
        <v/>
      </c>
    </row>
    <row r="1463" ht="15" customHeight="1" s="26">
      <c r="A1463" s="34" t="n"/>
      <c r="B1463" s="32" t="n"/>
      <c r="C1463" s="33" t="n"/>
      <c r="D1463" s="37" t="str">
        <f>IF($C1463="","",IFERROR(INDEX(프로젝트목록!$B$3:$B$62,MATCH($C1463,프로젝트목록!$A$3:$A$62,0)),"미등록코드"))</f>
        <v/>
      </c>
      <c r="E1463" s="32" t="n"/>
      <c r="F1463" s="38" t="n"/>
      <c r="G1463" s="38" t="n"/>
      <c r="H1463" s="39" t="n"/>
      <c r="I1463" s="40" t="str">
        <f>IF(OR($J1463="",$K1463=""),"",ROUND(MAX(0,($K1463-$J1463)-IF($H1463="",0,$H1463))/60,2))</f>
        <v/>
      </c>
      <c r="J1463" s="41" t="str">
        <f>IF($F1463="","",IF($F1463&lt;1,ROUND($F1463*1440,0),INT($F1463/100)*60+MOD($F1463,100)))</f>
        <v/>
      </c>
      <c r="K1463" s="41" t="str">
        <f>IF($G1463="","",IF($G1463&lt;1,ROUND($G1463*1440,0),INT($G1463/100)*60+MOD($G1463,100)))</f>
        <v/>
      </c>
    </row>
    <row r="1464" ht="15" customHeight="1" s="26">
      <c r="A1464" s="34" t="n"/>
      <c r="B1464" s="32" t="n"/>
      <c r="C1464" s="33" t="n"/>
      <c r="D1464" s="37" t="str">
        <f>IF($C1464="","",IFERROR(INDEX(프로젝트목록!$B$3:$B$62,MATCH($C1464,프로젝트목록!$A$3:$A$62,0)),"미등록코드"))</f>
        <v/>
      </c>
      <c r="E1464" s="32" t="n"/>
      <c r="F1464" s="38" t="n"/>
      <c r="G1464" s="38" t="n"/>
      <c r="H1464" s="39" t="n"/>
      <c r="I1464" s="40" t="str">
        <f>IF(OR($J1464="",$K1464=""),"",ROUND(MAX(0,($K1464-$J1464)-IF($H1464="",0,$H1464))/60,2))</f>
        <v/>
      </c>
      <c r="J1464" s="41" t="str">
        <f>IF($F1464="","",IF($F1464&lt;1,ROUND($F1464*1440,0),INT($F1464/100)*60+MOD($F1464,100)))</f>
        <v/>
      </c>
      <c r="K1464" s="41" t="str">
        <f>IF($G1464="","",IF($G1464&lt;1,ROUND($G1464*1440,0),INT($G1464/100)*60+MOD($G1464,100)))</f>
        <v/>
      </c>
    </row>
    <row r="1465" ht="15" customHeight="1" s="26">
      <c r="A1465" s="34" t="n"/>
      <c r="B1465" s="32" t="n"/>
      <c r="C1465" s="33" t="n"/>
      <c r="D1465" s="37" t="str">
        <f>IF($C1465="","",IFERROR(INDEX(프로젝트목록!$B$3:$B$62,MATCH($C1465,프로젝트목록!$A$3:$A$62,0)),"미등록코드"))</f>
        <v/>
      </c>
      <c r="E1465" s="32" t="n"/>
      <c r="F1465" s="38" t="n"/>
      <c r="G1465" s="38" t="n"/>
      <c r="H1465" s="39" t="n"/>
      <c r="I1465" s="40" t="str">
        <f>IF(OR($J1465="",$K1465=""),"",ROUND(MAX(0,($K1465-$J1465)-IF($H1465="",0,$H1465))/60,2))</f>
        <v/>
      </c>
      <c r="J1465" s="41" t="str">
        <f>IF($F1465="","",IF($F1465&lt;1,ROUND($F1465*1440,0),INT($F1465/100)*60+MOD($F1465,100)))</f>
        <v/>
      </c>
      <c r="K1465" s="41" t="str">
        <f>IF($G1465="","",IF($G1465&lt;1,ROUND($G1465*1440,0),INT($G1465/100)*60+MOD($G1465,100)))</f>
        <v/>
      </c>
    </row>
    <row r="1466" ht="15" customHeight="1" s="26">
      <c r="A1466" s="34" t="n"/>
      <c r="B1466" s="32" t="n"/>
      <c r="C1466" s="33" t="n"/>
      <c r="D1466" s="37" t="str">
        <f>IF($C1466="","",IFERROR(INDEX(프로젝트목록!$B$3:$B$62,MATCH($C1466,프로젝트목록!$A$3:$A$62,0)),"미등록코드"))</f>
        <v/>
      </c>
      <c r="E1466" s="32" t="n"/>
      <c r="F1466" s="38" t="n"/>
      <c r="G1466" s="38" t="n"/>
      <c r="H1466" s="39" t="n"/>
      <c r="I1466" s="40" t="str">
        <f>IF(OR($J1466="",$K1466=""),"",ROUND(MAX(0,($K1466-$J1466)-IF($H1466="",0,$H1466))/60,2))</f>
        <v/>
      </c>
      <c r="J1466" s="41" t="str">
        <f>IF($F1466="","",IF($F1466&lt;1,ROUND($F1466*1440,0),INT($F1466/100)*60+MOD($F1466,100)))</f>
        <v/>
      </c>
      <c r="K1466" s="41" t="str">
        <f>IF($G1466="","",IF($G1466&lt;1,ROUND($G1466*1440,0),INT($G1466/100)*60+MOD($G1466,100)))</f>
        <v/>
      </c>
    </row>
    <row r="1467" ht="15" customHeight="1" s="26">
      <c r="A1467" s="34" t="n"/>
      <c r="B1467" s="32" t="n"/>
      <c r="C1467" s="33" t="n"/>
      <c r="D1467" s="37" t="str">
        <f>IF($C1467="","",IFERROR(INDEX(프로젝트목록!$B$3:$B$62,MATCH($C1467,프로젝트목록!$A$3:$A$62,0)),"미등록코드"))</f>
        <v/>
      </c>
      <c r="E1467" s="32" t="n"/>
      <c r="F1467" s="38" t="n"/>
      <c r="G1467" s="38" t="n"/>
      <c r="H1467" s="39" t="n"/>
      <c r="I1467" s="40" t="str">
        <f>IF(OR($J1467="",$K1467=""),"",ROUND(MAX(0,($K1467-$J1467)-IF($H1467="",0,$H1467))/60,2))</f>
        <v/>
      </c>
      <c r="J1467" s="41" t="str">
        <f>IF($F1467="","",IF($F1467&lt;1,ROUND($F1467*1440,0),INT($F1467/100)*60+MOD($F1467,100)))</f>
        <v/>
      </c>
      <c r="K1467" s="41" t="str">
        <f>IF($G1467="","",IF($G1467&lt;1,ROUND($G1467*1440,0),INT($G1467/100)*60+MOD($G1467,100)))</f>
        <v/>
      </c>
    </row>
    <row r="1468" ht="15" customHeight="1" s="26">
      <c r="A1468" s="34" t="n"/>
      <c r="B1468" s="32" t="n"/>
      <c r="C1468" s="33" t="n"/>
      <c r="D1468" s="37" t="str">
        <f>IF($C1468="","",IFERROR(INDEX(프로젝트목록!$B$3:$B$62,MATCH($C1468,프로젝트목록!$A$3:$A$62,0)),"미등록코드"))</f>
        <v/>
      </c>
      <c r="E1468" s="32" t="n"/>
      <c r="F1468" s="38" t="n"/>
      <c r="G1468" s="38" t="n"/>
      <c r="H1468" s="39" t="n"/>
      <c r="I1468" s="40" t="str">
        <f>IF(OR($J1468="",$K1468=""),"",ROUND(MAX(0,($K1468-$J1468)-IF($H1468="",0,$H1468))/60,2))</f>
        <v/>
      </c>
      <c r="J1468" s="41" t="str">
        <f>IF($F1468="","",IF($F1468&lt;1,ROUND($F1468*1440,0),INT($F1468/100)*60+MOD($F1468,100)))</f>
        <v/>
      </c>
      <c r="K1468" s="41" t="str">
        <f>IF($G1468="","",IF($G1468&lt;1,ROUND($G1468*1440,0),INT($G1468/100)*60+MOD($G1468,100)))</f>
        <v/>
      </c>
    </row>
    <row r="1469" ht="15" customHeight="1" s="26">
      <c r="A1469" s="34" t="n"/>
      <c r="B1469" s="32" t="n"/>
      <c r="C1469" s="33" t="n"/>
      <c r="D1469" s="37" t="str">
        <f>IF($C1469="","",IFERROR(INDEX(프로젝트목록!$B$3:$B$62,MATCH($C1469,프로젝트목록!$A$3:$A$62,0)),"미등록코드"))</f>
        <v/>
      </c>
      <c r="E1469" s="32" t="n"/>
      <c r="F1469" s="38" t="n"/>
      <c r="G1469" s="38" t="n"/>
      <c r="H1469" s="39" t="n"/>
      <c r="I1469" s="40" t="str">
        <f>IF(OR($J1469="",$K1469=""),"",ROUND(MAX(0,($K1469-$J1469)-IF($H1469="",0,$H1469))/60,2))</f>
        <v/>
      </c>
      <c r="J1469" s="41" t="str">
        <f>IF($F1469="","",IF($F1469&lt;1,ROUND($F1469*1440,0),INT($F1469/100)*60+MOD($F1469,100)))</f>
        <v/>
      </c>
      <c r="K1469" s="41" t="str">
        <f>IF($G1469="","",IF($G1469&lt;1,ROUND($G1469*1440,0),INT($G1469/100)*60+MOD($G1469,100)))</f>
        <v/>
      </c>
    </row>
    <row r="1470" ht="15" customHeight="1" s="26">
      <c r="A1470" s="34" t="n"/>
      <c r="B1470" s="32" t="n"/>
      <c r="C1470" s="33" t="n"/>
      <c r="D1470" s="37" t="str">
        <f>IF($C1470="","",IFERROR(INDEX(프로젝트목록!$B$3:$B$62,MATCH($C1470,프로젝트목록!$A$3:$A$62,0)),"미등록코드"))</f>
        <v/>
      </c>
      <c r="E1470" s="32" t="n"/>
      <c r="F1470" s="38" t="n"/>
      <c r="G1470" s="38" t="n"/>
      <c r="H1470" s="39" t="n"/>
      <c r="I1470" s="40" t="str">
        <f>IF(OR($J1470="",$K1470=""),"",ROUND(MAX(0,($K1470-$J1470)-IF($H1470="",0,$H1470))/60,2))</f>
        <v/>
      </c>
      <c r="J1470" s="41" t="str">
        <f>IF($F1470="","",IF($F1470&lt;1,ROUND($F1470*1440,0),INT($F1470/100)*60+MOD($F1470,100)))</f>
        <v/>
      </c>
      <c r="K1470" s="41" t="str">
        <f>IF($G1470="","",IF($G1470&lt;1,ROUND($G1470*1440,0),INT($G1470/100)*60+MOD($G1470,100)))</f>
        <v/>
      </c>
    </row>
    <row r="1471" ht="15" customHeight="1" s="26">
      <c r="A1471" s="34" t="n"/>
      <c r="B1471" s="32" t="n"/>
      <c r="C1471" s="33" t="n"/>
      <c r="D1471" s="37" t="str">
        <f>IF($C1471="","",IFERROR(INDEX(프로젝트목록!$B$3:$B$62,MATCH($C1471,프로젝트목록!$A$3:$A$62,0)),"미등록코드"))</f>
        <v/>
      </c>
      <c r="E1471" s="32" t="n"/>
      <c r="F1471" s="38" t="n"/>
      <c r="G1471" s="38" t="n"/>
      <c r="H1471" s="39" t="n"/>
      <c r="I1471" s="40" t="str">
        <f>IF(OR($J1471="",$K1471=""),"",ROUND(MAX(0,($K1471-$J1471)-IF($H1471="",0,$H1471))/60,2))</f>
        <v/>
      </c>
      <c r="J1471" s="41" t="str">
        <f>IF($F1471="","",IF($F1471&lt;1,ROUND($F1471*1440,0),INT($F1471/100)*60+MOD($F1471,100)))</f>
        <v/>
      </c>
      <c r="K1471" s="41" t="str">
        <f>IF($G1471="","",IF($G1471&lt;1,ROUND($G1471*1440,0),INT($G1471/100)*60+MOD($G1471,100)))</f>
        <v/>
      </c>
    </row>
    <row r="1472" ht="15" customHeight="1" s="26">
      <c r="A1472" s="34" t="n"/>
      <c r="B1472" s="32" t="n"/>
      <c r="C1472" s="33" t="n"/>
      <c r="D1472" s="37" t="str">
        <f>IF($C1472="","",IFERROR(INDEX(프로젝트목록!$B$3:$B$62,MATCH($C1472,프로젝트목록!$A$3:$A$62,0)),"미등록코드"))</f>
        <v/>
      </c>
      <c r="E1472" s="32" t="n"/>
      <c r="F1472" s="38" t="n"/>
      <c r="G1472" s="38" t="n"/>
      <c r="H1472" s="39" t="n"/>
      <c r="I1472" s="40" t="str">
        <f>IF(OR($J1472="",$K1472=""),"",ROUND(MAX(0,($K1472-$J1472)-IF($H1472="",0,$H1472))/60,2))</f>
        <v/>
      </c>
      <c r="J1472" s="41" t="str">
        <f>IF($F1472="","",IF($F1472&lt;1,ROUND($F1472*1440,0),INT($F1472/100)*60+MOD($F1472,100)))</f>
        <v/>
      </c>
      <c r="K1472" s="41" t="str">
        <f>IF($G1472="","",IF($G1472&lt;1,ROUND($G1472*1440,0),INT($G1472/100)*60+MOD($G1472,100)))</f>
        <v/>
      </c>
    </row>
    <row r="1473" ht="15" customHeight="1" s="26">
      <c r="A1473" s="34" t="n"/>
      <c r="B1473" s="32" t="n"/>
      <c r="C1473" s="33" t="n"/>
      <c r="D1473" s="37" t="str">
        <f>IF($C1473="","",IFERROR(INDEX(프로젝트목록!$B$3:$B$62,MATCH($C1473,프로젝트목록!$A$3:$A$62,0)),"미등록코드"))</f>
        <v/>
      </c>
      <c r="E1473" s="32" t="n"/>
      <c r="F1473" s="38" t="n"/>
      <c r="G1473" s="38" t="n"/>
      <c r="H1473" s="39" t="n"/>
      <c r="I1473" s="40" t="str">
        <f>IF(OR($J1473="",$K1473=""),"",ROUND(MAX(0,($K1473-$J1473)-IF($H1473="",0,$H1473))/60,2))</f>
        <v/>
      </c>
      <c r="J1473" s="41" t="str">
        <f>IF($F1473="","",IF($F1473&lt;1,ROUND($F1473*1440,0),INT($F1473/100)*60+MOD($F1473,100)))</f>
        <v/>
      </c>
      <c r="K1473" s="41" t="str">
        <f>IF($G1473="","",IF($G1473&lt;1,ROUND($G1473*1440,0),INT($G1473/100)*60+MOD($G1473,100)))</f>
        <v/>
      </c>
    </row>
    <row r="1474" ht="15" customHeight="1" s="26">
      <c r="A1474" s="34" t="n"/>
      <c r="B1474" s="32" t="n"/>
      <c r="C1474" s="33" t="n"/>
      <c r="D1474" s="37" t="str">
        <f>IF($C1474="","",IFERROR(INDEX(프로젝트목록!$B$3:$B$62,MATCH($C1474,프로젝트목록!$A$3:$A$62,0)),"미등록코드"))</f>
        <v/>
      </c>
      <c r="E1474" s="32" t="n"/>
      <c r="F1474" s="38" t="n"/>
      <c r="G1474" s="38" t="n"/>
      <c r="H1474" s="39" t="n"/>
      <c r="I1474" s="40" t="str">
        <f>IF(OR($J1474="",$K1474=""),"",ROUND(MAX(0,($K1474-$J1474)-IF($H1474="",0,$H1474))/60,2))</f>
        <v/>
      </c>
      <c r="J1474" s="41" t="str">
        <f>IF($F1474="","",IF($F1474&lt;1,ROUND($F1474*1440,0),INT($F1474/100)*60+MOD($F1474,100)))</f>
        <v/>
      </c>
      <c r="K1474" s="41" t="str">
        <f>IF($G1474="","",IF($G1474&lt;1,ROUND($G1474*1440,0),INT($G1474/100)*60+MOD($G1474,100)))</f>
        <v/>
      </c>
    </row>
    <row r="1475" ht="15" customHeight="1" s="26">
      <c r="A1475" s="34" t="n"/>
      <c r="B1475" s="32" t="n"/>
      <c r="C1475" s="33" t="n"/>
      <c r="D1475" s="37" t="str">
        <f>IF($C1475="","",IFERROR(INDEX(프로젝트목록!$B$3:$B$62,MATCH($C1475,프로젝트목록!$A$3:$A$62,0)),"미등록코드"))</f>
        <v/>
      </c>
      <c r="E1475" s="32" t="n"/>
      <c r="F1475" s="38" t="n"/>
      <c r="G1475" s="38" t="n"/>
      <c r="H1475" s="39" t="n"/>
      <c r="I1475" s="40" t="str">
        <f>IF(OR($J1475="",$K1475=""),"",ROUND(MAX(0,($K1475-$J1475)-IF($H1475="",0,$H1475))/60,2))</f>
        <v/>
      </c>
      <c r="J1475" s="41" t="str">
        <f>IF($F1475="","",IF($F1475&lt;1,ROUND($F1475*1440,0),INT($F1475/100)*60+MOD($F1475,100)))</f>
        <v/>
      </c>
      <c r="K1475" s="41" t="str">
        <f>IF($G1475="","",IF($G1475&lt;1,ROUND($G1475*1440,0),INT($G1475/100)*60+MOD($G1475,100)))</f>
        <v/>
      </c>
    </row>
    <row r="1476" ht="15" customHeight="1" s="26">
      <c r="A1476" s="34" t="n"/>
      <c r="B1476" s="32" t="n"/>
      <c r="C1476" s="33" t="n"/>
      <c r="D1476" s="37" t="str">
        <f>IF($C1476="","",IFERROR(INDEX(프로젝트목록!$B$3:$B$62,MATCH($C1476,프로젝트목록!$A$3:$A$62,0)),"미등록코드"))</f>
        <v/>
      </c>
      <c r="E1476" s="32" t="n"/>
      <c r="F1476" s="38" t="n"/>
      <c r="G1476" s="38" t="n"/>
      <c r="H1476" s="39" t="n"/>
      <c r="I1476" s="40" t="str">
        <f>IF(OR($J1476="",$K1476=""),"",ROUND(MAX(0,($K1476-$J1476)-IF($H1476="",0,$H1476))/60,2))</f>
        <v/>
      </c>
      <c r="J1476" s="41" t="str">
        <f>IF($F1476="","",IF($F1476&lt;1,ROUND($F1476*1440,0),INT($F1476/100)*60+MOD($F1476,100)))</f>
        <v/>
      </c>
      <c r="K1476" s="41" t="str">
        <f>IF($G1476="","",IF($G1476&lt;1,ROUND($G1476*1440,0),INT($G1476/100)*60+MOD($G1476,100)))</f>
        <v/>
      </c>
    </row>
    <row r="1477" ht="15" customHeight="1" s="26">
      <c r="A1477" s="34" t="n"/>
      <c r="B1477" s="32" t="n"/>
      <c r="C1477" s="33" t="n"/>
      <c r="D1477" s="37" t="str">
        <f>IF($C1477="","",IFERROR(INDEX(프로젝트목록!$B$3:$B$62,MATCH($C1477,프로젝트목록!$A$3:$A$62,0)),"미등록코드"))</f>
        <v/>
      </c>
      <c r="E1477" s="32" t="n"/>
      <c r="F1477" s="38" t="n"/>
      <c r="G1477" s="38" t="n"/>
      <c r="H1477" s="39" t="n"/>
      <c r="I1477" s="40" t="str">
        <f>IF(OR($J1477="",$K1477=""),"",ROUND(MAX(0,($K1477-$J1477)-IF($H1477="",0,$H1477))/60,2))</f>
        <v/>
      </c>
      <c r="J1477" s="41" t="str">
        <f>IF($F1477="","",IF($F1477&lt;1,ROUND($F1477*1440,0),INT($F1477/100)*60+MOD($F1477,100)))</f>
        <v/>
      </c>
      <c r="K1477" s="41" t="str">
        <f>IF($G1477="","",IF($G1477&lt;1,ROUND($G1477*1440,0),INT($G1477/100)*60+MOD($G1477,100)))</f>
        <v/>
      </c>
    </row>
    <row r="1478" ht="15" customHeight="1" s="26">
      <c r="A1478" s="34" t="n"/>
      <c r="B1478" s="32" t="n"/>
      <c r="C1478" s="33" t="n"/>
      <c r="D1478" s="37" t="str">
        <f>IF($C1478="","",IFERROR(INDEX(프로젝트목록!$B$3:$B$62,MATCH($C1478,프로젝트목록!$A$3:$A$62,0)),"미등록코드"))</f>
        <v/>
      </c>
      <c r="E1478" s="32" t="n"/>
      <c r="F1478" s="38" t="n"/>
      <c r="G1478" s="38" t="n"/>
      <c r="H1478" s="39" t="n"/>
      <c r="I1478" s="40" t="str">
        <f>IF(OR($J1478="",$K1478=""),"",ROUND(MAX(0,($K1478-$J1478)-IF($H1478="",0,$H1478))/60,2))</f>
        <v/>
      </c>
      <c r="J1478" s="41" t="str">
        <f>IF($F1478="","",IF($F1478&lt;1,ROUND($F1478*1440,0),INT($F1478/100)*60+MOD($F1478,100)))</f>
        <v/>
      </c>
      <c r="K1478" s="41" t="str">
        <f>IF($G1478="","",IF($G1478&lt;1,ROUND($G1478*1440,0),INT($G1478/100)*60+MOD($G1478,100)))</f>
        <v/>
      </c>
    </row>
    <row r="1479" ht="15" customHeight="1" s="26">
      <c r="A1479" s="34" t="n"/>
      <c r="B1479" s="32" t="n"/>
      <c r="C1479" s="33" t="n"/>
      <c r="D1479" s="37" t="str">
        <f>IF($C1479="","",IFERROR(INDEX(프로젝트목록!$B$3:$B$62,MATCH($C1479,프로젝트목록!$A$3:$A$62,0)),"미등록코드"))</f>
        <v/>
      </c>
      <c r="E1479" s="32" t="n"/>
      <c r="F1479" s="38" t="n"/>
      <c r="G1479" s="38" t="n"/>
      <c r="H1479" s="39" t="n"/>
      <c r="I1479" s="40" t="str">
        <f>IF(OR($J1479="",$K1479=""),"",ROUND(MAX(0,($K1479-$J1479)-IF($H1479="",0,$H1479))/60,2))</f>
        <v/>
      </c>
      <c r="J1479" s="41" t="str">
        <f>IF($F1479="","",IF($F1479&lt;1,ROUND($F1479*1440,0),INT($F1479/100)*60+MOD($F1479,100)))</f>
        <v/>
      </c>
      <c r="K1479" s="41" t="str">
        <f>IF($G1479="","",IF($G1479&lt;1,ROUND($G1479*1440,0),INT($G1479/100)*60+MOD($G1479,100)))</f>
        <v/>
      </c>
    </row>
    <row r="1480" ht="15" customHeight="1" s="26">
      <c r="A1480" s="34" t="n"/>
      <c r="B1480" s="32" t="n"/>
      <c r="C1480" s="33" t="n"/>
      <c r="D1480" s="37" t="str">
        <f>IF($C1480="","",IFERROR(INDEX(프로젝트목록!$B$3:$B$62,MATCH($C1480,프로젝트목록!$A$3:$A$62,0)),"미등록코드"))</f>
        <v/>
      </c>
      <c r="E1480" s="32" t="n"/>
      <c r="F1480" s="38" t="n"/>
      <c r="G1480" s="38" t="n"/>
      <c r="H1480" s="39" t="n"/>
      <c r="I1480" s="40" t="str">
        <f>IF(OR($J1480="",$K1480=""),"",ROUND(MAX(0,($K1480-$J1480)-IF($H1480="",0,$H1480))/60,2))</f>
        <v/>
      </c>
      <c r="J1480" s="41" t="str">
        <f>IF($F1480="","",IF($F1480&lt;1,ROUND($F1480*1440,0),INT($F1480/100)*60+MOD($F1480,100)))</f>
        <v/>
      </c>
      <c r="K1480" s="41" t="str">
        <f>IF($G1480="","",IF($G1480&lt;1,ROUND($G1480*1440,0),INT($G1480/100)*60+MOD($G1480,100)))</f>
        <v/>
      </c>
    </row>
    <row r="1481" ht="15" customHeight="1" s="26">
      <c r="A1481" s="34" t="n"/>
      <c r="B1481" s="32" t="n"/>
      <c r="C1481" s="33" t="n"/>
      <c r="D1481" s="37" t="str">
        <f>IF($C1481="","",IFERROR(INDEX(프로젝트목록!$B$3:$B$62,MATCH($C1481,프로젝트목록!$A$3:$A$62,0)),"미등록코드"))</f>
        <v/>
      </c>
      <c r="E1481" s="32" t="n"/>
      <c r="F1481" s="38" t="n"/>
      <c r="G1481" s="38" t="n"/>
      <c r="H1481" s="39" t="n"/>
      <c r="I1481" s="40" t="str">
        <f>IF(OR($J1481="",$K1481=""),"",ROUND(MAX(0,($K1481-$J1481)-IF($H1481="",0,$H1481))/60,2))</f>
        <v/>
      </c>
      <c r="J1481" s="41" t="str">
        <f>IF($F1481="","",IF($F1481&lt;1,ROUND($F1481*1440,0),INT($F1481/100)*60+MOD($F1481,100)))</f>
        <v/>
      </c>
      <c r="K1481" s="41" t="str">
        <f>IF($G1481="","",IF($G1481&lt;1,ROUND($G1481*1440,0),INT($G1481/100)*60+MOD($G1481,100)))</f>
        <v/>
      </c>
    </row>
    <row r="1482" ht="15" customHeight="1" s="26">
      <c r="A1482" s="34" t="n"/>
      <c r="B1482" s="32" t="n"/>
      <c r="C1482" s="33" t="n"/>
      <c r="D1482" s="37" t="str">
        <f>IF($C1482="","",IFERROR(INDEX(프로젝트목록!$B$3:$B$62,MATCH($C1482,프로젝트목록!$A$3:$A$62,0)),"미등록코드"))</f>
        <v/>
      </c>
      <c r="E1482" s="32" t="n"/>
      <c r="F1482" s="38" t="n"/>
      <c r="G1482" s="38" t="n"/>
      <c r="H1482" s="39" t="n"/>
      <c r="I1482" s="40" t="str">
        <f>IF(OR($J1482="",$K1482=""),"",ROUND(MAX(0,($K1482-$J1482)-IF($H1482="",0,$H1482))/60,2))</f>
        <v/>
      </c>
      <c r="J1482" s="41" t="str">
        <f>IF($F1482="","",IF($F1482&lt;1,ROUND($F1482*1440,0),INT($F1482/100)*60+MOD($F1482,100)))</f>
        <v/>
      </c>
      <c r="K1482" s="41" t="str">
        <f>IF($G1482="","",IF($G1482&lt;1,ROUND($G1482*1440,0),INT($G1482/100)*60+MOD($G1482,100)))</f>
        <v/>
      </c>
    </row>
    <row r="1483" ht="15" customHeight="1" s="26">
      <c r="A1483" s="34" t="n"/>
      <c r="B1483" s="32" t="n"/>
      <c r="C1483" s="33" t="n"/>
      <c r="D1483" s="37" t="str">
        <f>IF($C1483="","",IFERROR(INDEX(프로젝트목록!$B$3:$B$62,MATCH($C1483,프로젝트목록!$A$3:$A$62,0)),"미등록코드"))</f>
        <v/>
      </c>
      <c r="E1483" s="32" t="n"/>
      <c r="F1483" s="38" t="n"/>
      <c r="G1483" s="38" t="n"/>
      <c r="H1483" s="39" t="n"/>
      <c r="I1483" s="40" t="str">
        <f>IF(OR($J1483="",$K1483=""),"",ROUND(MAX(0,($K1483-$J1483)-IF($H1483="",0,$H1483))/60,2))</f>
        <v/>
      </c>
      <c r="J1483" s="41" t="str">
        <f>IF($F1483="","",IF($F1483&lt;1,ROUND($F1483*1440,0),INT($F1483/100)*60+MOD($F1483,100)))</f>
        <v/>
      </c>
      <c r="K1483" s="41" t="str">
        <f>IF($G1483="","",IF($G1483&lt;1,ROUND($G1483*1440,0),INT($G1483/100)*60+MOD($G1483,100)))</f>
        <v/>
      </c>
    </row>
    <row r="1484" ht="15" customHeight="1" s="26">
      <c r="A1484" s="34" t="n"/>
      <c r="B1484" s="32" t="n"/>
      <c r="C1484" s="33" t="n"/>
      <c r="D1484" s="37" t="str">
        <f>IF($C1484="","",IFERROR(INDEX(프로젝트목록!$B$3:$B$62,MATCH($C1484,프로젝트목록!$A$3:$A$62,0)),"미등록코드"))</f>
        <v/>
      </c>
      <c r="E1484" s="32" t="n"/>
      <c r="F1484" s="38" t="n"/>
      <c r="G1484" s="38" t="n"/>
      <c r="H1484" s="39" t="n"/>
      <c r="I1484" s="40" t="str">
        <f>IF(OR($J1484="",$K1484=""),"",ROUND(MAX(0,($K1484-$J1484)-IF($H1484="",0,$H1484))/60,2))</f>
        <v/>
      </c>
      <c r="J1484" s="41" t="str">
        <f>IF($F1484="","",IF($F1484&lt;1,ROUND($F1484*1440,0),INT($F1484/100)*60+MOD($F1484,100)))</f>
        <v/>
      </c>
      <c r="K1484" s="41" t="str">
        <f>IF($G1484="","",IF($G1484&lt;1,ROUND($G1484*1440,0),INT($G1484/100)*60+MOD($G1484,100)))</f>
        <v/>
      </c>
    </row>
    <row r="1485" ht="15" customHeight="1" s="26">
      <c r="A1485" s="34" t="n"/>
      <c r="B1485" s="32" t="n"/>
      <c r="C1485" s="33" t="n"/>
      <c r="D1485" s="37" t="str">
        <f>IF($C1485="","",IFERROR(INDEX(프로젝트목록!$B$3:$B$62,MATCH($C1485,프로젝트목록!$A$3:$A$62,0)),"미등록코드"))</f>
        <v/>
      </c>
      <c r="E1485" s="32" t="n"/>
      <c r="F1485" s="38" t="n"/>
      <c r="G1485" s="38" t="n"/>
      <c r="H1485" s="39" t="n"/>
      <c r="I1485" s="40" t="str">
        <f>IF(OR($J1485="",$K1485=""),"",ROUND(MAX(0,($K1485-$J1485)-IF($H1485="",0,$H1485))/60,2))</f>
        <v/>
      </c>
      <c r="J1485" s="41" t="str">
        <f>IF($F1485="","",IF($F1485&lt;1,ROUND($F1485*1440,0),INT($F1485/100)*60+MOD($F1485,100)))</f>
        <v/>
      </c>
      <c r="K1485" s="41" t="str">
        <f>IF($G1485="","",IF($G1485&lt;1,ROUND($G1485*1440,0),INT($G1485/100)*60+MOD($G1485,100)))</f>
        <v/>
      </c>
    </row>
    <row r="1486" ht="15" customHeight="1" s="26">
      <c r="A1486" s="34" t="n"/>
      <c r="B1486" s="32" t="n"/>
      <c r="C1486" s="33" t="n"/>
      <c r="D1486" s="37" t="str">
        <f>IF($C1486="","",IFERROR(INDEX(프로젝트목록!$B$3:$B$62,MATCH($C1486,프로젝트목록!$A$3:$A$62,0)),"미등록코드"))</f>
        <v/>
      </c>
      <c r="E1486" s="32" t="n"/>
      <c r="F1486" s="38" t="n"/>
      <c r="G1486" s="38" t="n"/>
      <c r="H1486" s="39" t="n"/>
      <c r="I1486" s="40" t="str">
        <f>IF(OR($J1486="",$K1486=""),"",ROUND(MAX(0,($K1486-$J1486)-IF($H1486="",0,$H1486))/60,2))</f>
        <v/>
      </c>
      <c r="J1486" s="41" t="str">
        <f>IF($F1486="","",IF($F1486&lt;1,ROUND($F1486*1440,0),INT($F1486/100)*60+MOD($F1486,100)))</f>
        <v/>
      </c>
      <c r="K1486" s="41" t="str">
        <f>IF($G1486="","",IF($G1486&lt;1,ROUND($G1486*1440,0),INT($G1486/100)*60+MOD($G1486,100)))</f>
        <v/>
      </c>
    </row>
    <row r="1487" ht="15" customHeight="1" s="26">
      <c r="A1487" s="34" t="n"/>
      <c r="B1487" s="32" t="n"/>
      <c r="C1487" s="33" t="n"/>
      <c r="D1487" s="37" t="str">
        <f>IF($C1487="","",IFERROR(INDEX(프로젝트목록!$B$3:$B$62,MATCH($C1487,프로젝트목록!$A$3:$A$62,0)),"미등록코드"))</f>
        <v/>
      </c>
      <c r="E1487" s="32" t="n"/>
      <c r="F1487" s="38" t="n"/>
      <c r="G1487" s="38" t="n"/>
      <c r="H1487" s="39" t="n"/>
      <c r="I1487" s="40" t="str">
        <f>IF(OR($J1487="",$K1487=""),"",ROUND(MAX(0,($K1487-$J1487)-IF($H1487="",0,$H1487))/60,2))</f>
        <v/>
      </c>
      <c r="J1487" s="41" t="str">
        <f>IF($F1487="","",IF($F1487&lt;1,ROUND($F1487*1440,0),INT($F1487/100)*60+MOD($F1487,100)))</f>
        <v/>
      </c>
      <c r="K1487" s="41" t="str">
        <f>IF($G1487="","",IF($G1487&lt;1,ROUND($G1487*1440,0),INT($G1487/100)*60+MOD($G1487,100)))</f>
        <v/>
      </c>
    </row>
    <row r="1488" ht="15" customHeight="1" s="26">
      <c r="A1488" s="34" t="n"/>
      <c r="B1488" s="32" t="n"/>
      <c r="C1488" s="33" t="n"/>
      <c r="D1488" s="37" t="str">
        <f>IF($C1488="","",IFERROR(INDEX(프로젝트목록!$B$3:$B$62,MATCH($C1488,프로젝트목록!$A$3:$A$62,0)),"미등록코드"))</f>
        <v/>
      </c>
      <c r="E1488" s="32" t="n"/>
      <c r="F1488" s="38" t="n"/>
      <c r="G1488" s="38" t="n"/>
      <c r="H1488" s="39" t="n"/>
      <c r="I1488" s="40" t="str">
        <f>IF(OR($J1488="",$K1488=""),"",ROUND(MAX(0,($K1488-$J1488)-IF($H1488="",0,$H1488))/60,2))</f>
        <v/>
      </c>
      <c r="J1488" s="41" t="str">
        <f>IF($F1488="","",IF($F1488&lt;1,ROUND($F1488*1440,0),INT($F1488/100)*60+MOD($F1488,100)))</f>
        <v/>
      </c>
      <c r="K1488" s="41" t="str">
        <f>IF($G1488="","",IF($G1488&lt;1,ROUND($G1488*1440,0),INT($G1488/100)*60+MOD($G1488,100)))</f>
        <v/>
      </c>
    </row>
    <row r="1489" ht="15" customHeight="1" s="26">
      <c r="A1489" s="34" t="n"/>
      <c r="B1489" s="32" t="n"/>
      <c r="C1489" s="33" t="n"/>
      <c r="D1489" s="37" t="str">
        <f>IF($C1489="","",IFERROR(INDEX(프로젝트목록!$B$3:$B$62,MATCH($C1489,프로젝트목록!$A$3:$A$62,0)),"미등록코드"))</f>
        <v/>
      </c>
      <c r="E1489" s="32" t="n"/>
      <c r="F1489" s="38" t="n"/>
      <c r="G1489" s="38" t="n"/>
      <c r="H1489" s="39" t="n"/>
      <c r="I1489" s="40" t="str">
        <f>IF(OR($J1489="",$K1489=""),"",ROUND(MAX(0,($K1489-$J1489)-IF($H1489="",0,$H1489))/60,2))</f>
        <v/>
      </c>
      <c r="J1489" s="41" t="str">
        <f>IF($F1489="","",IF($F1489&lt;1,ROUND($F1489*1440,0),INT($F1489/100)*60+MOD($F1489,100)))</f>
        <v/>
      </c>
      <c r="K1489" s="41" t="str">
        <f>IF($G1489="","",IF($G1489&lt;1,ROUND($G1489*1440,0),INT($G1489/100)*60+MOD($G1489,100)))</f>
        <v/>
      </c>
    </row>
    <row r="1490" ht="15" customHeight="1" s="26">
      <c r="A1490" s="34" t="n"/>
      <c r="B1490" s="32" t="n"/>
      <c r="C1490" s="33" t="n"/>
      <c r="D1490" s="37" t="str">
        <f>IF($C1490="","",IFERROR(INDEX(프로젝트목록!$B$3:$B$62,MATCH($C1490,프로젝트목록!$A$3:$A$62,0)),"미등록코드"))</f>
        <v/>
      </c>
      <c r="E1490" s="32" t="n"/>
      <c r="F1490" s="38" t="n"/>
      <c r="G1490" s="38" t="n"/>
      <c r="H1490" s="39" t="n"/>
      <c r="I1490" s="40" t="str">
        <f>IF(OR($J1490="",$K1490=""),"",ROUND(MAX(0,($K1490-$J1490)-IF($H1490="",0,$H1490))/60,2))</f>
        <v/>
      </c>
      <c r="J1490" s="41" t="str">
        <f>IF($F1490="","",IF($F1490&lt;1,ROUND($F1490*1440,0),INT($F1490/100)*60+MOD($F1490,100)))</f>
        <v/>
      </c>
      <c r="K1490" s="41" t="str">
        <f>IF($G1490="","",IF($G1490&lt;1,ROUND($G1490*1440,0),INT($G1490/100)*60+MOD($G1490,100)))</f>
        <v/>
      </c>
    </row>
    <row r="1491" ht="15" customHeight="1" s="26">
      <c r="A1491" s="34" t="n"/>
      <c r="B1491" s="32" t="n"/>
      <c r="C1491" s="33" t="n"/>
      <c r="D1491" s="37" t="str">
        <f>IF($C1491="","",IFERROR(INDEX(프로젝트목록!$B$3:$B$62,MATCH($C1491,프로젝트목록!$A$3:$A$62,0)),"미등록코드"))</f>
        <v/>
      </c>
      <c r="E1491" s="32" t="n"/>
      <c r="F1491" s="38" t="n"/>
      <c r="G1491" s="38" t="n"/>
      <c r="H1491" s="39" t="n"/>
      <c r="I1491" s="40" t="str">
        <f>IF(OR($J1491="",$K1491=""),"",ROUND(MAX(0,($K1491-$J1491)-IF($H1491="",0,$H1491))/60,2))</f>
        <v/>
      </c>
      <c r="J1491" s="41" t="str">
        <f>IF($F1491="","",IF($F1491&lt;1,ROUND($F1491*1440,0),INT($F1491/100)*60+MOD($F1491,100)))</f>
        <v/>
      </c>
      <c r="K1491" s="41" t="str">
        <f>IF($G1491="","",IF($G1491&lt;1,ROUND($G1491*1440,0),INT($G1491/100)*60+MOD($G1491,100)))</f>
        <v/>
      </c>
    </row>
    <row r="1492" ht="15" customHeight="1" s="26">
      <c r="A1492" s="34" t="n"/>
      <c r="B1492" s="32" t="n"/>
      <c r="C1492" s="33" t="n"/>
      <c r="D1492" s="37" t="str">
        <f>IF($C1492="","",IFERROR(INDEX(프로젝트목록!$B$3:$B$62,MATCH($C1492,프로젝트목록!$A$3:$A$62,0)),"미등록코드"))</f>
        <v/>
      </c>
      <c r="E1492" s="32" t="n"/>
      <c r="F1492" s="38" t="n"/>
      <c r="G1492" s="38" t="n"/>
      <c r="H1492" s="39" t="n"/>
      <c r="I1492" s="40" t="str">
        <f>IF(OR($J1492="",$K1492=""),"",ROUND(MAX(0,($K1492-$J1492)-IF($H1492="",0,$H1492))/60,2))</f>
        <v/>
      </c>
      <c r="J1492" s="41" t="str">
        <f>IF($F1492="","",IF($F1492&lt;1,ROUND($F1492*1440,0),INT($F1492/100)*60+MOD($F1492,100)))</f>
        <v/>
      </c>
      <c r="K1492" s="41" t="str">
        <f>IF($G1492="","",IF($G1492&lt;1,ROUND($G1492*1440,0),INT($G1492/100)*60+MOD($G1492,100)))</f>
        <v/>
      </c>
    </row>
    <row r="1493" ht="15" customHeight="1" s="26">
      <c r="A1493" s="34" t="n"/>
      <c r="B1493" s="32" t="n"/>
      <c r="C1493" s="33" t="n"/>
      <c r="D1493" s="37" t="str">
        <f>IF($C1493="","",IFERROR(INDEX(프로젝트목록!$B$3:$B$62,MATCH($C1493,프로젝트목록!$A$3:$A$62,0)),"미등록코드"))</f>
        <v/>
      </c>
      <c r="E1493" s="32" t="n"/>
      <c r="F1493" s="38" t="n"/>
      <c r="G1493" s="38" t="n"/>
      <c r="H1493" s="39" t="n"/>
      <c r="I1493" s="40" t="str">
        <f>IF(OR($J1493="",$K1493=""),"",ROUND(MAX(0,($K1493-$J1493)-IF($H1493="",0,$H1493))/60,2))</f>
        <v/>
      </c>
      <c r="J1493" s="41" t="str">
        <f>IF($F1493="","",IF($F1493&lt;1,ROUND($F1493*1440,0),INT($F1493/100)*60+MOD($F1493,100)))</f>
        <v/>
      </c>
      <c r="K1493" s="41" t="str">
        <f>IF($G1493="","",IF($G1493&lt;1,ROUND($G1493*1440,0),INT($G1493/100)*60+MOD($G1493,100)))</f>
        <v/>
      </c>
    </row>
    <row r="1494" ht="15" customHeight="1" s="26">
      <c r="A1494" s="34" t="n"/>
      <c r="B1494" s="32" t="n"/>
      <c r="C1494" s="33" t="n"/>
      <c r="D1494" s="37" t="str">
        <f>IF($C1494="","",IFERROR(INDEX(프로젝트목록!$B$3:$B$62,MATCH($C1494,프로젝트목록!$A$3:$A$62,0)),"미등록코드"))</f>
        <v/>
      </c>
      <c r="E1494" s="32" t="n"/>
      <c r="F1494" s="38" t="n"/>
      <c r="G1494" s="38" t="n"/>
      <c r="H1494" s="39" t="n"/>
      <c r="I1494" s="40" t="str">
        <f>IF(OR($J1494="",$K1494=""),"",ROUND(MAX(0,($K1494-$J1494)-IF($H1494="",0,$H1494))/60,2))</f>
        <v/>
      </c>
      <c r="J1494" s="41" t="str">
        <f>IF($F1494="","",IF($F1494&lt;1,ROUND($F1494*1440,0),INT($F1494/100)*60+MOD($F1494,100)))</f>
        <v/>
      </c>
      <c r="K1494" s="41" t="str">
        <f>IF($G1494="","",IF($G1494&lt;1,ROUND($G1494*1440,0),INT($G1494/100)*60+MOD($G1494,100)))</f>
        <v/>
      </c>
    </row>
    <row r="1495" ht="15" customHeight="1" s="26">
      <c r="A1495" s="34" t="n"/>
      <c r="B1495" s="32" t="n"/>
      <c r="C1495" s="33" t="n"/>
      <c r="D1495" s="37" t="str">
        <f>IF($C1495="","",IFERROR(INDEX(프로젝트목록!$B$3:$B$62,MATCH($C1495,프로젝트목록!$A$3:$A$62,0)),"미등록코드"))</f>
        <v/>
      </c>
      <c r="E1495" s="32" t="n"/>
      <c r="F1495" s="38" t="n"/>
      <c r="G1495" s="38" t="n"/>
      <c r="H1495" s="39" t="n"/>
      <c r="I1495" s="40" t="str">
        <f>IF(OR($J1495="",$K1495=""),"",ROUND(MAX(0,($K1495-$J1495)-IF($H1495="",0,$H1495))/60,2))</f>
        <v/>
      </c>
      <c r="J1495" s="41" t="str">
        <f>IF($F1495="","",IF($F1495&lt;1,ROUND($F1495*1440,0),INT($F1495/100)*60+MOD($F1495,100)))</f>
        <v/>
      </c>
      <c r="K1495" s="41" t="str">
        <f>IF($G1495="","",IF($G1495&lt;1,ROUND($G1495*1440,0),INT($G1495/100)*60+MOD($G1495,100)))</f>
        <v/>
      </c>
    </row>
    <row r="1496" ht="15" customHeight="1" s="26">
      <c r="A1496" s="34" t="n"/>
      <c r="B1496" s="32" t="n"/>
      <c r="C1496" s="33" t="n"/>
      <c r="D1496" s="37" t="str">
        <f>IF($C1496="","",IFERROR(INDEX(프로젝트목록!$B$3:$B$62,MATCH($C1496,프로젝트목록!$A$3:$A$62,0)),"미등록코드"))</f>
        <v/>
      </c>
      <c r="E1496" s="32" t="n"/>
      <c r="F1496" s="38" t="n"/>
      <c r="G1496" s="38" t="n"/>
      <c r="H1496" s="39" t="n"/>
      <c r="I1496" s="40" t="str">
        <f>IF(OR($J1496="",$K1496=""),"",ROUND(MAX(0,($K1496-$J1496)-IF($H1496="",0,$H1496))/60,2))</f>
        <v/>
      </c>
      <c r="J1496" s="41" t="str">
        <f>IF($F1496="","",IF($F1496&lt;1,ROUND($F1496*1440,0),INT($F1496/100)*60+MOD($F1496,100)))</f>
        <v/>
      </c>
      <c r="K1496" s="41" t="str">
        <f>IF($G1496="","",IF($G1496&lt;1,ROUND($G1496*1440,0),INT($G1496/100)*60+MOD($G1496,100)))</f>
        <v/>
      </c>
    </row>
    <row r="1497" ht="15" customHeight="1" s="26">
      <c r="A1497" s="34" t="n"/>
      <c r="B1497" s="32" t="n"/>
      <c r="C1497" s="33" t="n"/>
      <c r="D1497" s="37" t="str">
        <f>IF($C1497="","",IFERROR(INDEX(프로젝트목록!$B$3:$B$62,MATCH($C1497,프로젝트목록!$A$3:$A$62,0)),"미등록코드"))</f>
        <v/>
      </c>
      <c r="E1497" s="32" t="n"/>
      <c r="F1497" s="38" t="n"/>
      <c r="G1497" s="38" t="n"/>
      <c r="H1497" s="39" t="n"/>
      <c r="I1497" s="40" t="str">
        <f>IF(OR($J1497="",$K1497=""),"",ROUND(MAX(0,($K1497-$J1497)-IF($H1497="",0,$H1497))/60,2))</f>
        <v/>
      </c>
      <c r="J1497" s="41" t="str">
        <f>IF($F1497="","",IF($F1497&lt;1,ROUND($F1497*1440,0),INT($F1497/100)*60+MOD($F1497,100)))</f>
        <v/>
      </c>
      <c r="K1497" s="41" t="str">
        <f>IF($G1497="","",IF($G1497&lt;1,ROUND($G1497*1440,0),INT($G1497/100)*60+MOD($G1497,100)))</f>
        <v/>
      </c>
    </row>
    <row r="1498" ht="15" customHeight="1" s="26">
      <c r="A1498" s="34" t="n"/>
      <c r="B1498" s="32" t="n"/>
      <c r="C1498" s="33" t="n"/>
      <c r="D1498" s="37" t="str">
        <f>IF($C1498="","",IFERROR(INDEX(프로젝트목록!$B$3:$B$62,MATCH($C1498,프로젝트목록!$A$3:$A$62,0)),"미등록코드"))</f>
        <v/>
      </c>
      <c r="E1498" s="32" t="n"/>
      <c r="F1498" s="38" t="n"/>
      <c r="G1498" s="38" t="n"/>
      <c r="H1498" s="39" t="n"/>
      <c r="I1498" s="40" t="str">
        <f>IF(OR($J1498="",$K1498=""),"",ROUND(MAX(0,($K1498-$J1498)-IF($H1498="",0,$H1498))/60,2))</f>
        <v/>
      </c>
      <c r="J1498" s="41" t="str">
        <f>IF($F1498="","",IF($F1498&lt;1,ROUND($F1498*1440,0),INT($F1498/100)*60+MOD($F1498,100)))</f>
        <v/>
      </c>
      <c r="K1498" s="41" t="str">
        <f>IF($G1498="","",IF($G1498&lt;1,ROUND($G1498*1440,0),INT($G1498/100)*60+MOD($G1498,100)))</f>
        <v/>
      </c>
    </row>
    <row r="1499" ht="15" customHeight="1" s="26">
      <c r="A1499" s="34" t="n"/>
      <c r="B1499" s="32" t="n"/>
      <c r="C1499" s="33" t="n"/>
      <c r="D1499" s="37" t="str">
        <f>IF($C1499="","",IFERROR(INDEX(프로젝트목록!$B$3:$B$62,MATCH($C1499,프로젝트목록!$A$3:$A$62,0)),"미등록코드"))</f>
        <v/>
      </c>
      <c r="E1499" s="32" t="n"/>
      <c r="F1499" s="38" t="n"/>
      <c r="G1499" s="38" t="n"/>
      <c r="H1499" s="39" t="n"/>
      <c r="I1499" s="40" t="str">
        <f>IF(OR($J1499="",$K1499=""),"",ROUND(MAX(0,($K1499-$J1499)-IF($H1499="",0,$H1499))/60,2))</f>
        <v/>
      </c>
      <c r="J1499" s="41" t="str">
        <f>IF($F1499="","",IF($F1499&lt;1,ROUND($F1499*1440,0),INT($F1499/100)*60+MOD($F1499,100)))</f>
        <v/>
      </c>
      <c r="K1499" s="41" t="str">
        <f>IF($G1499="","",IF($G1499&lt;1,ROUND($G1499*1440,0),INT($G1499/100)*60+MOD($G1499,100)))</f>
        <v/>
      </c>
    </row>
    <row r="1500" ht="15" customHeight="1" s="26">
      <c r="A1500" s="34" t="n"/>
      <c r="B1500" s="32" t="n"/>
      <c r="C1500" s="33" t="n"/>
      <c r="D1500" s="37" t="str">
        <f>IF($C1500="","",IFERROR(INDEX(프로젝트목록!$B$3:$B$62,MATCH($C1500,프로젝트목록!$A$3:$A$62,0)),"미등록코드"))</f>
        <v/>
      </c>
      <c r="E1500" s="32" t="n"/>
      <c r="F1500" s="38" t="n"/>
      <c r="G1500" s="38" t="n"/>
      <c r="H1500" s="39" t="n"/>
      <c r="I1500" s="40" t="str">
        <f>IF(OR($J1500="",$K1500=""),"",ROUND(MAX(0,($K1500-$J1500)-IF($H1500="",0,$H1500))/60,2))</f>
        <v/>
      </c>
      <c r="J1500" s="41" t="str">
        <f>IF($F1500="","",IF($F1500&lt;1,ROUND($F1500*1440,0),INT($F1500/100)*60+MOD($F1500,100)))</f>
        <v/>
      </c>
      <c r="K1500" s="41" t="str">
        <f>IF($G1500="","",IF($G1500&lt;1,ROUND($G1500*1440,0),INT($G1500/100)*60+MOD($G1500,100)))</f>
        <v/>
      </c>
    </row>
    <row r="1501" ht="15" customHeight="1" s="26">
      <c r="A1501" s="34" t="n"/>
      <c r="B1501" s="32" t="n"/>
      <c r="C1501" s="33" t="n"/>
      <c r="D1501" s="37" t="str">
        <f>IF($C1501="","",IFERROR(INDEX(프로젝트목록!$B$3:$B$62,MATCH($C1501,프로젝트목록!$A$3:$A$62,0)),"미등록코드"))</f>
        <v/>
      </c>
      <c r="E1501" s="32" t="n"/>
      <c r="F1501" s="38" t="n"/>
      <c r="G1501" s="38" t="n"/>
      <c r="H1501" s="39" t="n"/>
      <c r="I1501" s="40" t="str">
        <f>IF(OR($J1501="",$K1501=""),"",ROUND(MAX(0,($K1501-$J1501)-IF($H1501="",0,$H1501))/60,2))</f>
        <v/>
      </c>
      <c r="J1501" s="41" t="str">
        <f>IF($F1501="","",IF($F1501&lt;1,ROUND($F1501*1440,0),INT($F1501/100)*60+MOD($F1501,100)))</f>
        <v/>
      </c>
      <c r="K1501" s="41" t="str">
        <f>IF($G1501="","",IF($G1501&lt;1,ROUND($G1501*1440,0),INT($G1501/100)*60+MOD($G1501,100)))</f>
        <v/>
      </c>
    </row>
    <row r="1502" ht="15" customHeight="1" s="26">
      <c r="A1502" s="34" t="n"/>
      <c r="B1502" s="32" t="n"/>
      <c r="C1502" s="33" t="n"/>
      <c r="D1502" s="37" t="str">
        <f>IF($C1502="","",IFERROR(INDEX(프로젝트목록!$B$3:$B$62,MATCH($C1502,프로젝트목록!$A$3:$A$62,0)),"미등록코드"))</f>
        <v/>
      </c>
      <c r="E1502" s="32" t="n"/>
      <c r="F1502" s="38" t="n"/>
      <c r="G1502" s="38" t="n"/>
      <c r="H1502" s="39" t="n"/>
      <c r="I1502" s="40" t="str">
        <f>IF(OR($J1502="",$K1502=""),"",ROUND(MAX(0,($K1502-$J1502)-IF($H1502="",0,$H1502))/60,2))</f>
        <v/>
      </c>
      <c r="J1502" s="41" t="str">
        <f>IF($F1502="","",IF($F1502&lt;1,ROUND($F1502*1440,0),INT($F1502/100)*60+MOD($F1502,100)))</f>
        <v/>
      </c>
      <c r="K1502" s="41" t="str">
        <f>IF($G1502="","",IF($G1502&lt;1,ROUND($G1502*1440,0),INT($G1502/100)*60+MOD($G1502,100)))</f>
        <v/>
      </c>
    </row>
    <row r="1503" ht="15" customHeight="1" s="26">
      <c r="A1503" s="34" t="n"/>
      <c r="B1503" s="32" t="n"/>
      <c r="C1503" s="33" t="n"/>
      <c r="D1503" s="37" t="str">
        <f>IF($C1503="","",IFERROR(INDEX(프로젝트목록!$B$3:$B$62,MATCH($C1503,프로젝트목록!$A$3:$A$62,0)),"미등록코드"))</f>
        <v/>
      </c>
      <c r="E1503" s="32" t="n"/>
      <c r="F1503" s="38" t="n"/>
      <c r="G1503" s="38" t="n"/>
      <c r="H1503" s="39" t="n"/>
      <c r="I1503" s="40" t="str">
        <f>IF(OR($J1503="",$K1503=""),"",ROUND(MAX(0,($K1503-$J1503)-IF($H1503="",0,$H1503))/60,2))</f>
        <v/>
      </c>
      <c r="J1503" s="41" t="str">
        <f>IF($F1503="","",IF($F1503&lt;1,ROUND($F1503*1440,0),INT($F1503/100)*60+MOD($F1503,100)))</f>
        <v/>
      </c>
      <c r="K1503" s="41" t="str">
        <f>IF($G1503="","",IF($G1503&lt;1,ROUND($G1503*1440,0),INT($G1503/100)*60+MOD($G1503,100)))</f>
        <v/>
      </c>
    </row>
    <row r="1504" ht="15" customHeight="1" s="26">
      <c r="A1504" s="34" t="n"/>
      <c r="B1504" s="32" t="n"/>
      <c r="C1504" s="33" t="n"/>
      <c r="D1504" s="37" t="str">
        <f>IF($C1504="","",IFERROR(INDEX(프로젝트목록!$B$3:$B$62,MATCH($C1504,프로젝트목록!$A$3:$A$62,0)),"미등록코드"))</f>
        <v/>
      </c>
      <c r="E1504" s="32" t="n"/>
      <c r="F1504" s="38" t="n"/>
      <c r="G1504" s="38" t="n"/>
      <c r="H1504" s="39" t="n"/>
      <c r="I1504" s="40" t="str">
        <f>IF(OR($J1504="",$K1504=""),"",ROUND(MAX(0,($K1504-$J1504)-IF($H1504="",0,$H1504))/60,2))</f>
        <v/>
      </c>
      <c r="J1504" s="41" t="str">
        <f>IF($F1504="","",IF($F1504&lt;1,ROUND($F1504*1440,0),INT($F1504/100)*60+MOD($F1504,100)))</f>
        <v/>
      </c>
      <c r="K1504" s="41" t="str">
        <f>IF($G1504="","",IF($G1504&lt;1,ROUND($G1504*1440,0),INT($G1504/100)*60+MOD($G1504,100)))</f>
        <v/>
      </c>
    </row>
    <row r="1505" ht="15" customHeight="1" s="26">
      <c r="A1505" s="34" t="n"/>
      <c r="B1505" s="32" t="n"/>
      <c r="C1505" s="33" t="n"/>
      <c r="D1505" s="37" t="str">
        <f>IF($C1505="","",IFERROR(INDEX(프로젝트목록!$B$3:$B$62,MATCH($C1505,프로젝트목록!$A$3:$A$62,0)),"미등록코드"))</f>
        <v/>
      </c>
      <c r="E1505" s="32" t="n"/>
      <c r="F1505" s="38" t="n"/>
      <c r="G1505" s="38" t="n"/>
      <c r="H1505" s="39" t="n"/>
      <c r="I1505" s="40" t="str">
        <f>IF(OR($J1505="",$K1505=""),"",ROUND(MAX(0,($K1505-$J1505)-IF($H1505="",0,$H1505))/60,2))</f>
        <v/>
      </c>
      <c r="J1505" s="41" t="str">
        <f>IF($F1505="","",IF($F1505&lt;1,ROUND($F1505*1440,0),INT($F1505/100)*60+MOD($F1505,100)))</f>
        <v/>
      </c>
      <c r="K1505" s="41" t="str">
        <f>IF($G1505="","",IF($G1505&lt;1,ROUND($G1505*1440,0),INT($G1505/100)*60+MOD($G1505,100)))</f>
        <v/>
      </c>
    </row>
    <row r="1506" ht="15" customHeight="1" s="26">
      <c r="A1506" s="34" t="n"/>
      <c r="B1506" s="32" t="n"/>
      <c r="C1506" s="33" t="n"/>
      <c r="D1506" s="37" t="str">
        <f>IF($C1506="","",IFERROR(INDEX(프로젝트목록!$B$3:$B$62,MATCH($C1506,프로젝트목록!$A$3:$A$62,0)),"미등록코드"))</f>
        <v/>
      </c>
      <c r="E1506" s="32" t="n"/>
      <c r="F1506" s="38" t="n"/>
      <c r="G1506" s="38" t="n"/>
      <c r="H1506" s="39" t="n"/>
      <c r="I1506" s="40" t="str">
        <f>IF(OR($J1506="",$K1506=""),"",ROUND(MAX(0,($K1506-$J1506)-IF($H1506="",0,$H1506))/60,2))</f>
        <v/>
      </c>
      <c r="J1506" s="41" t="str">
        <f>IF($F1506="","",IF($F1506&lt;1,ROUND($F1506*1440,0),INT($F1506/100)*60+MOD($F1506,100)))</f>
        <v/>
      </c>
      <c r="K1506" s="41" t="str">
        <f>IF($G1506="","",IF($G1506&lt;1,ROUND($G1506*1440,0),INT($G1506/100)*60+MOD($G1506,100)))</f>
        <v/>
      </c>
    </row>
    <row r="1507" ht="15" customHeight="1" s="26">
      <c r="A1507" s="34" t="n"/>
      <c r="B1507" s="32" t="n"/>
      <c r="C1507" s="33" t="n"/>
      <c r="D1507" s="37" t="str">
        <f>IF($C1507="","",IFERROR(INDEX(프로젝트목록!$B$3:$B$62,MATCH($C1507,프로젝트목록!$A$3:$A$62,0)),"미등록코드"))</f>
        <v/>
      </c>
      <c r="E1507" s="32" t="n"/>
      <c r="F1507" s="38" t="n"/>
      <c r="G1507" s="38" t="n"/>
      <c r="H1507" s="39" t="n"/>
      <c r="I1507" s="40" t="str">
        <f>IF(OR($J1507="",$K1507=""),"",ROUND(MAX(0,($K1507-$J1507)-IF($H1507="",0,$H1507))/60,2))</f>
        <v/>
      </c>
      <c r="J1507" s="41" t="str">
        <f>IF($F1507="","",IF($F1507&lt;1,ROUND($F1507*1440,0),INT($F1507/100)*60+MOD($F1507,100)))</f>
        <v/>
      </c>
      <c r="K1507" s="41" t="str">
        <f>IF($G1507="","",IF($G1507&lt;1,ROUND($G1507*1440,0),INT($G1507/100)*60+MOD($G1507,100)))</f>
        <v/>
      </c>
    </row>
    <row r="1508" ht="15" customHeight="1" s="26">
      <c r="A1508" s="34" t="n"/>
      <c r="B1508" s="32" t="n"/>
      <c r="C1508" s="33" t="n"/>
      <c r="D1508" s="37" t="str">
        <f>IF($C1508="","",IFERROR(INDEX(프로젝트목록!$B$3:$B$62,MATCH($C1508,프로젝트목록!$A$3:$A$62,0)),"미등록코드"))</f>
        <v/>
      </c>
      <c r="E1508" s="32" t="n"/>
      <c r="F1508" s="38" t="n"/>
      <c r="G1508" s="38" t="n"/>
      <c r="H1508" s="39" t="n"/>
      <c r="I1508" s="40" t="str">
        <f>IF(OR($J1508="",$K1508=""),"",ROUND(MAX(0,($K1508-$J1508)-IF($H1508="",0,$H1508))/60,2))</f>
        <v/>
      </c>
      <c r="J1508" s="41" t="str">
        <f>IF($F1508="","",IF($F1508&lt;1,ROUND($F1508*1440,0),INT($F1508/100)*60+MOD($F1508,100)))</f>
        <v/>
      </c>
      <c r="K1508" s="41" t="str">
        <f>IF($G1508="","",IF($G1508&lt;1,ROUND($G1508*1440,0),INT($G1508/100)*60+MOD($G1508,100)))</f>
        <v/>
      </c>
    </row>
    <row r="1509" ht="15" customHeight="1" s="26">
      <c r="A1509" s="34" t="n"/>
      <c r="B1509" s="32" t="n"/>
      <c r="C1509" s="33" t="n"/>
      <c r="D1509" s="37" t="str">
        <f>IF($C1509="","",IFERROR(INDEX(프로젝트목록!$B$3:$B$62,MATCH($C1509,프로젝트목록!$A$3:$A$62,0)),"미등록코드"))</f>
        <v/>
      </c>
      <c r="E1509" s="32" t="n"/>
      <c r="F1509" s="38" t="n"/>
      <c r="G1509" s="38" t="n"/>
      <c r="H1509" s="39" t="n"/>
      <c r="I1509" s="40" t="str">
        <f>IF(OR($J1509="",$K1509=""),"",ROUND(MAX(0,($K1509-$J1509)-IF($H1509="",0,$H1509))/60,2))</f>
        <v/>
      </c>
      <c r="J1509" s="41" t="str">
        <f>IF($F1509="","",IF($F1509&lt;1,ROUND($F1509*1440,0),INT($F1509/100)*60+MOD($F1509,100)))</f>
        <v/>
      </c>
      <c r="K1509" s="41" t="str">
        <f>IF($G1509="","",IF($G1509&lt;1,ROUND($G1509*1440,0),INT($G1509/100)*60+MOD($G1509,100)))</f>
        <v/>
      </c>
    </row>
    <row r="1510" ht="15" customHeight="1" s="26">
      <c r="A1510" s="34" t="n"/>
      <c r="B1510" s="32" t="n"/>
      <c r="C1510" s="33" t="n"/>
      <c r="D1510" s="37" t="str">
        <f>IF($C1510="","",IFERROR(INDEX(프로젝트목록!$B$3:$B$62,MATCH($C1510,프로젝트목록!$A$3:$A$62,0)),"미등록코드"))</f>
        <v/>
      </c>
      <c r="E1510" s="32" t="n"/>
      <c r="F1510" s="38" t="n"/>
      <c r="G1510" s="38" t="n"/>
      <c r="H1510" s="39" t="n"/>
      <c r="I1510" s="40" t="str">
        <f>IF(OR($J1510="",$K1510=""),"",ROUND(MAX(0,($K1510-$J1510)-IF($H1510="",0,$H1510))/60,2))</f>
        <v/>
      </c>
      <c r="J1510" s="41" t="str">
        <f>IF($F1510="","",IF($F1510&lt;1,ROUND($F1510*1440,0),INT($F1510/100)*60+MOD($F1510,100)))</f>
        <v/>
      </c>
      <c r="K1510" s="41" t="str">
        <f>IF($G1510="","",IF($G1510&lt;1,ROUND($G1510*1440,0),INT($G1510/100)*60+MOD($G1510,100)))</f>
        <v/>
      </c>
    </row>
    <row r="1511" ht="15" customHeight="1" s="26">
      <c r="A1511" s="34" t="n"/>
      <c r="B1511" s="32" t="n"/>
      <c r="C1511" s="33" t="n"/>
      <c r="D1511" s="37" t="str">
        <f>IF($C1511="","",IFERROR(INDEX(프로젝트목록!$B$3:$B$62,MATCH($C1511,프로젝트목록!$A$3:$A$62,0)),"미등록코드"))</f>
        <v/>
      </c>
      <c r="E1511" s="32" t="n"/>
      <c r="F1511" s="38" t="n"/>
      <c r="G1511" s="38" t="n"/>
      <c r="H1511" s="39" t="n"/>
      <c r="I1511" s="40" t="str">
        <f>IF(OR($J1511="",$K1511=""),"",ROUND(MAX(0,($K1511-$J1511)-IF($H1511="",0,$H1511))/60,2))</f>
        <v/>
      </c>
      <c r="J1511" s="41" t="str">
        <f>IF($F1511="","",IF($F1511&lt;1,ROUND($F1511*1440,0),INT($F1511/100)*60+MOD($F1511,100)))</f>
        <v/>
      </c>
      <c r="K1511" s="41" t="str">
        <f>IF($G1511="","",IF($G1511&lt;1,ROUND($G1511*1440,0),INT($G1511/100)*60+MOD($G1511,100)))</f>
        <v/>
      </c>
    </row>
    <row r="1512" ht="15" customHeight="1" s="26">
      <c r="A1512" s="34" t="n"/>
      <c r="B1512" s="32" t="n"/>
      <c r="C1512" s="33" t="n"/>
      <c r="D1512" s="37" t="str">
        <f>IF($C1512="","",IFERROR(INDEX(프로젝트목록!$B$3:$B$62,MATCH($C1512,프로젝트목록!$A$3:$A$62,0)),"미등록코드"))</f>
        <v/>
      </c>
      <c r="E1512" s="32" t="n"/>
      <c r="F1512" s="38" t="n"/>
      <c r="G1512" s="38" t="n"/>
      <c r="H1512" s="39" t="n"/>
      <c r="I1512" s="40" t="str">
        <f>IF(OR($J1512="",$K1512=""),"",ROUND(MAX(0,($K1512-$J1512)-IF($H1512="",0,$H1512))/60,2))</f>
        <v/>
      </c>
      <c r="J1512" s="41" t="str">
        <f>IF($F1512="","",IF($F1512&lt;1,ROUND($F1512*1440,0),INT($F1512/100)*60+MOD($F1512,100)))</f>
        <v/>
      </c>
      <c r="K1512" s="41" t="str">
        <f>IF($G1512="","",IF($G1512&lt;1,ROUND($G1512*1440,0),INT($G1512/100)*60+MOD($G1512,100)))</f>
        <v/>
      </c>
    </row>
    <row r="1513" ht="15" customHeight="1" s="26">
      <c r="A1513" s="34" t="n"/>
      <c r="B1513" s="32" t="n"/>
      <c r="C1513" s="33" t="n"/>
      <c r="D1513" s="37" t="str">
        <f>IF($C1513="","",IFERROR(INDEX(프로젝트목록!$B$3:$B$62,MATCH($C1513,프로젝트목록!$A$3:$A$62,0)),"미등록코드"))</f>
        <v/>
      </c>
      <c r="E1513" s="32" t="n"/>
      <c r="F1513" s="38" t="n"/>
      <c r="G1513" s="38" t="n"/>
      <c r="H1513" s="39" t="n"/>
      <c r="I1513" s="40" t="str">
        <f>IF(OR($J1513="",$K1513=""),"",ROUND(MAX(0,($K1513-$J1513)-IF($H1513="",0,$H1513))/60,2))</f>
        <v/>
      </c>
      <c r="J1513" s="41" t="str">
        <f>IF($F1513="","",IF($F1513&lt;1,ROUND($F1513*1440,0),INT($F1513/100)*60+MOD($F1513,100)))</f>
        <v/>
      </c>
      <c r="K1513" s="41" t="str">
        <f>IF($G1513="","",IF($G1513&lt;1,ROUND($G1513*1440,0),INT($G1513/100)*60+MOD($G1513,100)))</f>
        <v/>
      </c>
    </row>
    <row r="1514" ht="15" customHeight="1" s="26">
      <c r="A1514" s="34" t="n"/>
      <c r="B1514" s="32" t="n"/>
      <c r="C1514" s="33" t="n"/>
      <c r="D1514" s="37" t="str">
        <f>IF($C1514="","",IFERROR(INDEX(프로젝트목록!$B$3:$B$62,MATCH($C1514,프로젝트목록!$A$3:$A$62,0)),"미등록코드"))</f>
        <v/>
      </c>
      <c r="E1514" s="32" t="n"/>
      <c r="F1514" s="38" t="n"/>
      <c r="G1514" s="38" t="n"/>
      <c r="H1514" s="39" t="n"/>
      <c r="I1514" s="40" t="str">
        <f>IF(OR($J1514="",$K1514=""),"",ROUND(MAX(0,($K1514-$J1514)-IF($H1514="",0,$H1514))/60,2))</f>
        <v/>
      </c>
      <c r="J1514" s="41" t="str">
        <f>IF($F1514="","",IF($F1514&lt;1,ROUND($F1514*1440,0),INT($F1514/100)*60+MOD($F1514,100)))</f>
        <v/>
      </c>
      <c r="K1514" s="41" t="str">
        <f>IF($G1514="","",IF($G1514&lt;1,ROUND($G1514*1440,0),INT($G1514/100)*60+MOD($G1514,100)))</f>
        <v/>
      </c>
    </row>
    <row r="1515" ht="15" customHeight="1" s="26">
      <c r="A1515" s="34" t="n"/>
      <c r="B1515" s="32" t="n"/>
      <c r="C1515" s="33" t="n"/>
      <c r="D1515" s="37" t="str">
        <f>IF($C1515="","",IFERROR(INDEX(프로젝트목록!$B$3:$B$62,MATCH($C1515,프로젝트목록!$A$3:$A$62,0)),"미등록코드"))</f>
        <v/>
      </c>
      <c r="E1515" s="32" t="n"/>
      <c r="F1515" s="38" t="n"/>
      <c r="G1515" s="38" t="n"/>
      <c r="H1515" s="39" t="n"/>
      <c r="I1515" s="40" t="str">
        <f>IF(OR($J1515="",$K1515=""),"",ROUND(MAX(0,($K1515-$J1515)-IF($H1515="",0,$H1515))/60,2))</f>
        <v/>
      </c>
      <c r="J1515" s="41" t="str">
        <f>IF($F1515="","",IF($F1515&lt;1,ROUND($F1515*1440,0),INT($F1515/100)*60+MOD($F1515,100)))</f>
        <v/>
      </c>
      <c r="K1515" s="41" t="str">
        <f>IF($G1515="","",IF($G1515&lt;1,ROUND($G1515*1440,0),INT($G1515/100)*60+MOD($G1515,100)))</f>
        <v/>
      </c>
    </row>
    <row r="1516" ht="15" customHeight="1" s="26">
      <c r="A1516" s="34" t="n"/>
      <c r="B1516" s="32" t="n"/>
      <c r="C1516" s="33" t="n"/>
      <c r="D1516" s="37" t="str">
        <f>IF($C1516="","",IFERROR(INDEX(프로젝트목록!$B$3:$B$62,MATCH($C1516,프로젝트목록!$A$3:$A$62,0)),"미등록코드"))</f>
        <v/>
      </c>
      <c r="E1516" s="32" t="n"/>
      <c r="F1516" s="38" t="n"/>
      <c r="G1516" s="38" t="n"/>
      <c r="H1516" s="39" t="n"/>
      <c r="I1516" s="40" t="str">
        <f>IF(OR($J1516="",$K1516=""),"",ROUND(MAX(0,($K1516-$J1516)-IF($H1516="",0,$H1516))/60,2))</f>
        <v/>
      </c>
      <c r="J1516" s="41" t="str">
        <f>IF($F1516="","",IF($F1516&lt;1,ROUND($F1516*1440,0),INT($F1516/100)*60+MOD($F1516,100)))</f>
        <v/>
      </c>
      <c r="K1516" s="41" t="str">
        <f>IF($G1516="","",IF($G1516&lt;1,ROUND($G1516*1440,0),INT($G1516/100)*60+MOD($G1516,100)))</f>
        <v/>
      </c>
    </row>
    <row r="1517" ht="15" customHeight="1" s="26">
      <c r="A1517" s="34" t="n"/>
      <c r="B1517" s="32" t="n"/>
      <c r="C1517" s="33" t="n"/>
      <c r="D1517" s="37" t="str">
        <f>IF($C1517="","",IFERROR(INDEX(프로젝트목록!$B$3:$B$62,MATCH($C1517,프로젝트목록!$A$3:$A$62,0)),"미등록코드"))</f>
        <v/>
      </c>
      <c r="E1517" s="32" t="n"/>
      <c r="F1517" s="38" t="n"/>
      <c r="G1517" s="38" t="n"/>
      <c r="H1517" s="39" t="n"/>
      <c r="I1517" s="40" t="str">
        <f>IF(OR($J1517="",$K1517=""),"",ROUND(MAX(0,($K1517-$J1517)-IF($H1517="",0,$H1517))/60,2))</f>
        <v/>
      </c>
      <c r="J1517" s="41" t="str">
        <f>IF($F1517="","",IF($F1517&lt;1,ROUND($F1517*1440,0),INT($F1517/100)*60+MOD($F1517,100)))</f>
        <v/>
      </c>
      <c r="K1517" s="41" t="str">
        <f>IF($G1517="","",IF($G1517&lt;1,ROUND($G1517*1440,0),INT($G1517/100)*60+MOD($G1517,100)))</f>
        <v/>
      </c>
    </row>
    <row r="1518" ht="15" customHeight="1" s="26">
      <c r="A1518" s="34" t="n"/>
      <c r="B1518" s="32" t="n"/>
      <c r="C1518" s="33" t="n"/>
      <c r="D1518" s="37" t="str">
        <f>IF($C1518="","",IFERROR(INDEX(프로젝트목록!$B$3:$B$62,MATCH($C1518,프로젝트목록!$A$3:$A$62,0)),"미등록코드"))</f>
        <v/>
      </c>
      <c r="E1518" s="32" t="n"/>
      <c r="F1518" s="38" t="n"/>
      <c r="G1518" s="38" t="n"/>
      <c r="H1518" s="39" t="n"/>
      <c r="I1518" s="40" t="str">
        <f>IF(OR($J1518="",$K1518=""),"",ROUND(MAX(0,($K1518-$J1518)-IF($H1518="",0,$H1518))/60,2))</f>
        <v/>
      </c>
      <c r="J1518" s="41" t="str">
        <f>IF($F1518="","",IF($F1518&lt;1,ROUND($F1518*1440,0),INT($F1518/100)*60+MOD($F1518,100)))</f>
        <v/>
      </c>
      <c r="K1518" s="41" t="str">
        <f>IF($G1518="","",IF($G1518&lt;1,ROUND($G1518*1440,0),INT($G1518/100)*60+MOD($G1518,100)))</f>
        <v/>
      </c>
    </row>
    <row r="1519" ht="15" customHeight="1" s="26">
      <c r="A1519" s="34" t="n"/>
      <c r="B1519" s="32" t="n"/>
      <c r="C1519" s="33" t="n"/>
      <c r="D1519" s="37" t="str">
        <f>IF($C1519="","",IFERROR(INDEX(프로젝트목록!$B$3:$B$62,MATCH($C1519,프로젝트목록!$A$3:$A$62,0)),"미등록코드"))</f>
        <v/>
      </c>
      <c r="E1519" s="32" t="n"/>
      <c r="F1519" s="38" t="n"/>
      <c r="G1519" s="38" t="n"/>
      <c r="H1519" s="39" t="n"/>
      <c r="I1519" s="40" t="str">
        <f>IF(OR($J1519="",$K1519=""),"",ROUND(MAX(0,($K1519-$J1519)-IF($H1519="",0,$H1519))/60,2))</f>
        <v/>
      </c>
      <c r="J1519" s="41" t="str">
        <f>IF($F1519="","",IF($F1519&lt;1,ROUND($F1519*1440,0),INT($F1519/100)*60+MOD($F1519,100)))</f>
        <v/>
      </c>
      <c r="K1519" s="41" t="str">
        <f>IF($G1519="","",IF($G1519&lt;1,ROUND($G1519*1440,0),INT($G1519/100)*60+MOD($G1519,100)))</f>
        <v/>
      </c>
    </row>
    <row r="1520" ht="15" customHeight="1" s="26">
      <c r="A1520" s="34" t="n"/>
      <c r="B1520" s="32" t="n"/>
      <c r="C1520" s="33" t="n"/>
      <c r="D1520" s="37" t="str">
        <f>IF($C1520="","",IFERROR(INDEX(프로젝트목록!$B$3:$B$62,MATCH($C1520,프로젝트목록!$A$3:$A$62,0)),"미등록코드"))</f>
        <v/>
      </c>
      <c r="E1520" s="32" t="n"/>
      <c r="F1520" s="38" t="n"/>
      <c r="G1520" s="38" t="n"/>
      <c r="H1520" s="39" t="n"/>
      <c r="I1520" s="40" t="str">
        <f>IF(OR($J1520="",$K1520=""),"",ROUND(MAX(0,($K1520-$J1520)-IF($H1520="",0,$H1520))/60,2))</f>
        <v/>
      </c>
      <c r="J1520" s="41" t="str">
        <f>IF($F1520="","",IF($F1520&lt;1,ROUND($F1520*1440,0),INT($F1520/100)*60+MOD($F1520,100)))</f>
        <v/>
      </c>
      <c r="K1520" s="41" t="str">
        <f>IF($G1520="","",IF($G1520&lt;1,ROUND($G1520*1440,0),INT($G1520/100)*60+MOD($G1520,100)))</f>
        <v/>
      </c>
    </row>
    <row r="1521" ht="15" customHeight="1" s="26">
      <c r="A1521" s="34" t="n"/>
      <c r="B1521" s="32" t="n"/>
      <c r="C1521" s="33" t="n"/>
      <c r="D1521" s="37" t="str">
        <f>IF($C1521="","",IFERROR(INDEX(프로젝트목록!$B$3:$B$62,MATCH($C1521,프로젝트목록!$A$3:$A$62,0)),"미등록코드"))</f>
        <v/>
      </c>
      <c r="E1521" s="32" t="n"/>
      <c r="F1521" s="38" t="n"/>
      <c r="G1521" s="38" t="n"/>
      <c r="H1521" s="39" t="n"/>
      <c r="I1521" s="40" t="str">
        <f>IF(OR($J1521="",$K1521=""),"",ROUND(MAX(0,($K1521-$J1521)-IF($H1521="",0,$H1521))/60,2))</f>
        <v/>
      </c>
      <c r="J1521" s="41" t="str">
        <f>IF($F1521="","",IF($F1521&lt;1,ROUND($F1521*1440,0),INT($F1521/100)*60+MOD($F1521,100)))</f>
        <v/>
      </c>
      <c r="K1521" s="41" t="str">
        <f>IF($G1521="","",IF($G1521&lt;1,ROUND($G1521*1440,0),INT($G1521/100)*60+MOD($G1521,100)))</f>
        <v/>
      </c>
    </row>
    <row r="1522" ht="15" customHeight="1" s="26">
      <c r="A1522" s="34" t="n"/>
      <c r="B1522" s="32" t="n"/>
      <c r="C1522" s="33" t="n"/>
      <c r="D1522" s="37" t="str">
        <f>IF($C1522="","",IFERROR(INDEX(프로젝트목록!$B$3:$B$62,MATCH($C1522,프로젝트목록!$A$3:$A$62,0)),"미등록코드"))</f>
        <v/>
      </c>
      <c r="E1522" s="32" t="n"/>
      <c r="F1522" s="38" t="n"/>
      <c r="G1522" s="38" t="n"/>
      <c r="H1522" s="39" t="n"/>
      <c r="I1522" s="40" t="str">
        <f>IF(OR($J1522="",$K1522=""),"",ROUND(MAX(0,($K1522-$J1522)-IF($H1522="",0,$H1522))/60,2))</f>
        <v/>
      </c>
      <c r="J1522" s="41" t="str">
        <f>IF($F1522="","",IF($F1522&lt;1,ROUND($F1522*1440,0),INT($F1522/100)*60+MOD($F1522,100)))</f>
        <v/>
      </c>
      <c r="K1522" s="41" t="str">
        <f>IF($G1522="","",IF($G1522&lt;1,ROUND($G1522*1440,0),INT($G1522/100)*60+MOD($G1522,100)))</f>
        <v/>
      </c>
    </row>
    <row r="1523" ht="15" customHeight="1" s="26">
      <c r="A1523" s="34" t="n"/>
      <c r="B1523" s="32" t="n"/>
      <c r="C1523" s="33" t="n"/>
      <c r="D1523" s="37" t="str">
        <f>IF($C1523="","",IFERROR(INDEX(프로젝트목록!$B$3:$B$62,MATCH($C1523,프로젝트목록!$A$3:$A$62,0)),"미등록코드"))</f>
        <v/>
      </c>
      <c r="E1523" s="32" t="n"/>
      <c r="F1523" s="38" t="n"/>
      <c r="G1523" s="38" t="n"/>
      <c r="H1523" s="39" t="n"/>
      <c r="I1523" s="40" t="str">
        <f>IF(OR($J1523="",$K1523=""),"",ROUND(MAX(0,($K1523-$J1523)-IF($H1523="",0,$H1523))/60,2))</f>
        <v/>
      </c>
      <c r="J1523" s="41" t="str">
        <f>IF($F1523="","",IF($F1523&lt;1,ROUND($F1523*1440,0),INT($F1523/100)*60+MOD($F1523,100)))</f>
        <v/>
      </c>
      <c r="K1523" s="41" t="str">
        <f>IF($G1523="","",IF($G1523&lt;1,ROUND($G1523*1440,0),INT($G1523/100)*60+MOD($G1523,100)))</f>
        <v/>
      </c>
    </row>
    <row r="1524" ht="15" customHeight="1" s="26">
      <c r="A1524" s="34" t="n"/>
      <c r="B1524" s="32" t="n"/>
      <c r="C1524" s="33" t="n"/>
      <c r="D1524" s="37" t="str">
        <f>IF($C1524="","",IFERROR(INDEX(프로젝트목록!$B$3:$B$62,MATCH($C1524,프로젝트목록!$A$3:$A$62,0)),"미등록코드"))</f>
        <v/>
      </c>
      <c r="E1524" s="32" t="n"/>
      <c r="F1524" s="38" t="n"/>
      <c r="G1524" s="38" t="n"/>
      <c r="H1524" s="39" t="n"/>
      <c r="I1524" s="40" t="str">
        <f>IF(OR($J1524="",$K1524=""),"",ROUND(MAX(0,($K1524-$J1524)-IF($H1524="",0,$H1524))/60,2))</f>
        <v/>
      </c>
      <c r="J1524" s="41" t="str">
        <f>IF($F1524="","",IF($F1524&lt;1,ROUND($F1524*1440,0),INT($F1524/100)*60+MOD($F1524,100)))</f>
        <v/>
      </c>
      <c r="K1524" s="41" t="str">
        <f>IF($G1524="","",IF($G1524&lt;1,ROUND($G1524*1440,0),INT($G1524/100)*60+MOD($G1524,100)))</f>
        <v/>
      </c>
    </row>
    <row r="1525" ht="15" customHeight="1" s="26">
      <c r="A1525" s="34" t="n"/>
      <c r="B1525" s="32" t="n"/>
      <c r="C1525" s="33" t="n"/>
      <c r="D1525" s="37" t="str">
        <f>IF($C1525="","",IFERROR(INDEX(프로젝트목록!$B$3:$B$62,MATCH($C1525,프로젝트목록!$A$3:$A$62,0)),"미등록코드"))</f>
        <v/>
      </c>
      <c r="E1525" s="32" t="n"/>
      <c r="F1525" s="38" t="n"/>
      <c r="G1525" s="38" t="n"/>
      <c r="H1525" s="39" t="n"/>
      <c r="I1525" s="40" t="str">
        <f>IF(OR($J1525="",$K1525=""),"",ROUND(MAX(0,($K1525-$J1525)-IF($H1525="",0,$H1525))/60,2))</f>
        <v/>
      </c>
      <c r="J1525" s="41" t="str">
        <f>IF($F1525="","",IF($F1525&lt;1,ROUND($F1525*1440,0),INT($F1525/100)*60+MOD($F1525,100)))</f>
        <v/>
      </c>
      <c r="K1525" s="41" t="str">
        <f>IF($G1525="","",IF($G1525&lt;1,ROUND($G1525*1440,0),INT($G1525/100)*60+MOD($G1525,100)))</f>
        <v/>
      </c>
    </row>
    <row r="1526" ht="15" customHeight="1" s="26">
      <c r="A1526" s="34" t="n"/>
      <c r="B1526" s="32" t="n"/>
      <c r="C1526" s="33" t="n"/>
      <c r="D1526" s="37" t="str">
        <f>IF($C1526="","",IFERROR(INDEX(프로젝트목록!$B$3:$B$62,MATCH($C1526,프로젝트목록!$A$3:$A$62,0)),"미등록코드"))</f>
        <v/>
      </c>
      <c r="E1526" s="32" t="n"/>
      <c r="F1526" s="38" t="n"/>
      <c r="G1526" s="38" t="n"/>
      <c r="H1526" s="39" t="n"/>
      <c r="I1526" s="40" t="str">
        <f>IF(OR($J1526="",$K1526=""),"",ROUND(MAX(0,($K1526-$J1526)-IF($H1526="",0,$H1526))/60,2))</f>
        <v/>
      </c>
      <c r="J1526" s="41" t="str">
        <f>IF($F1526="","",IF($F1526&lt;1,ROUND($F1526*1440,0),INT($F1526/100)*60+MOD($F1526,100)))</f>
        <v/>
      </c>
      <c r="K1526" s="41" t="str">
        <f>IF($G1526="","",IF($G1526&lt;1,ROUND($G1526*1440,0),INT($G1526/100)*60+MOD($G1526,100)))</f>
        <v/>
      </c>
    </row>
    <row r="1527" ht="15" customHeight="1" s="26">
      <c r="A1527" s="34" t="n"/>
      <c r="B1527" s="32" t="n"/>
      <c r="C1527" s="33" t="n"/>
      <c r="D1527" s="37" t="str">
        <f>IF($C1527="","",IFERROR(INDEX(프로젝트목록!$B$3:$B$62,MATCH($C1527,프로젝트목록!$A$3:$A$62,0)),"미등록코드"))</f>
        <v/>
      </c>
      <c r="E1527" s="32" t="n"/>
      <c r="F1527" s="38" t="n"/>
      <c r="G1527" s="38" t="n"/>
      <c r="H1527" s="39" t="n"/>
      <c r="I1527" s="40" t="str">
        <f>IF(OR($J1527="",$K1527=""),"",ROUND(MAX(0,($K1527-$J1527)-IF($H1527="",0,$H1527))/60,2))</f>
        <v/>
      </c>
      <c r="J1527" s="41" t="str">
        <f>IF($F1527="","",IF($F1527&lt;1,ROUND($F1527*1440,0),INT($F1527/100)*60+MOD($F1527,100)))</f>
        <v/>
      </c>
      <c r="K1527" s="41" t="str">
        <f>IF($G1527="","",IF($G1527&lt;1,ROUND($G1527*1440,0),INT($G1527/100)*60+MOD($G1527,100)))</f>
        <v/>
      </c>
    </row>
    <row r="1528" ht="15" customHeight="1" s="26">
      <c r="A1528" s="34" t="n"/>
      <c r="B1528" s="32" t="n"/>
      <c r="C1528" s="33" t="n"/>
      <c r="D1528" s="37" t="str">
        <f>IF($C1528="","",IFERROR(INDEX(프로젝트목록!$B$3:$B$62,MATCH($C1528,프로젝트목록!$A$3:$A$62,0)),"미등록코드"))</f>
        <v/>
      </c>
      <c r="E1528" s="32" t="n"/>
      <c r="F1528" s="38" t="n"/>
      <c r="G1528" s="38" t="n"/>
      <c r="H1528" s="39" t="n"/>
      <c r="I1528" s="40" t="str">
        <f>IF(OR($J1528="",$K1528=""),"",ROUND(MAX(0,($K1528-$J1528)-IF($H1528="",0,$H1528))/60,2))</f>
        <v/>
      </c>
      <c r="J1528" s="41" t="str">
        <f>IF($F1528="","",IF($F1528&lt;1,ROUND($F1528*1440,0),INT($F1528/100)*60+MOD($F1528,100)))</f>
        <v/>
      </c>
      <c r="K1528" s="41" t="str">
        <f>IF($G1528="","",IF($G1528&lt;1,ROUND($G1528*1440,0),INT($G1528/100)*60+MOD($G1528,100)))</f>
        <v/>
      </c>
    </row>
    <row r="1529" ht="15" customHeight="1" s="26">
      <c r="A1529" s="34" t="n"/>
      <c r="B1529" s="32" t="n"/>
      <c r="C1529" s="33" t="n"/>
      <c r="D1529" s="37" t="str">
        <f>IF($C1529="","",IFERROR(INDEX(프로젝트목록!$B$3:$B$62,MATCH($C1529,프로젝트목록!$A$3:$A$62,0)),"미등록코드"))</f>
        <v/>
      </c>
      <c r="E1529" s="32" t="n"/>
      <c r="F1529" s="38" t="n"/>
      <c r="G1529" s="38" t="n"/>
      <c r="H1529" s="39" t="n"/>
      <c r="I1529" s="40" t="str">
        <f>IF(OR($J1529="",$K1529=""),"",ROUND(MAX(0,($K1529-$J1529)-IF($H1529="",0,$H1529))/60,2))</f>
        <v/>
      </c>
      <c r="J1529" s="41" t="str">
        <f>IF($F1529="","",IF($F1529&lt;1,ROUND($F1529*1440,0),INT($F1529/100)*60+MOD($F1529,100)))</f>
        <v/>
      </c>
      <c r="K1529" s="41" t="str">
        <f>IF($G1529="","",IF($G1529&lt;1,ROUND($G1529*1440,0),INT($G1529/100)*60+MOD($G1529,100)))</f>
        <v/>
      </c>
    </row>
    <row r="1530" ht="15" customHeight="1" s="26">
      <c r="A1530" s="34" t="n"/>
      <c r="B1530" s="32" t="n"/>
      <c r="C1530" s="33" t="n"/>
      <c r="D1530" s="37" t="str">
        <f>IF($C1530="","",IFERROR(INDEX(프로젝트목록!$B$3:$B$62,MATCH($C1530,프로젝트목록!$A$3:$A$62,0)),"미등록코드"))</f>
        <v/>
      </c>
      <c r="E1530" s="32" t="n"/>
      <c r="F1530" s="38" t="n"/>
      <c r="G1530" s="38" t="n"/>
      <c r="H1530" s="39" t="n"/>
      <c r="I1530" s="40" t="str">
        <f>IF(OR($J1530="",$K1530=""),"",ROUND(MAX(0,($K1530-$J1530)-IF($H1530="",0,$H1530))/60,2))</f>
        <v/>
      </c>
      <c r="J1530" s="41" t="str">
        <f>IF($F1530="","",IF($F1530&lt;1,ROUND($F1530*1440,0),INT($F1530/100)*60+MOD($F1530,100)))</f>
        <v/>
      </c>
      <c r="K1530" s="41" t="str">
        <f>IF($G1530="","",IF($G1530&lt;1,ROUND($G1530*1440,0),INT($G1530/100)*60+MOD($G1530,100)))</f>
        <v/>
      </c>
    </row>
    <row r="1531" ht="15" customHeight="1" s="26">
      <c r="A1531" s="34" t="n"/>
      <c r="B1531" s="32" t="n"/>
      <c r="C1531" s="33" t="n"/>
      <c r="D1531" s="37" t="str">
        <f>IF($C1531="","",IFERROR(INDEX(프로젝트목록!$B$3:$B$62,MATCH($C1531,프로젝트목록!$A$3:$A$62,0)),"미등록코드"))</f>
        <v/>
      </c>
      <c r="E1531" s="32" t="n"/>
      <c r="F1531" s="38" t="n"/>
      <c r="G1531" s="38" t="n"/>
      <c r="H1531" s="39" t="n"/>
      <c r="I1531" s="40" t="str">
        <f>IF(OR($J1531="",$K1531=""),"",ROUND(MAX(0,($K1531-$J1531)-IF($H1531="",0,$H1531))/60,2))</f>
        <v/>
      </c>
      <c r="J1531" s="41" t="str">
        <f>IF($F1531="","",IF($F1531&lt;1,ROUND($F1531*1440,0),INT($F1531/100)*60+MOD($F1531,100)))</f>
        <v/>
      </c>
      <c r="K1531" s="41" t="str">
        <f>IF($G1531="","",IF($G1531&lt;1,ROUND($G1531*1440,0),INT($G1531/100)*60+MOD($G1531,100)))</f>
        <v/>
      </c>
    </row>
    <row r="1532" ht="15" customHeight="1" s="26">
      <c r="A1532" s="34" t="n"/>
      <c r="B1532" s="32" t="n"/>
      <c r="C1532" s="33" t="n"/>
      <c r="D1532" s="37" t="str">
        <f>IF($C1532="","",IFERROR(INDEX(프로젝트목록!$B$3:$B$62,MATCH($C1532,프로젝트목록!$A$3:$A$62,0)),"미등록코드"))</f>
        <v/>
      </c>
      <c r="E1532" s="32" t="n"/>
      <c r="F1532" s="38" t="n"/>
      <c r="G1532" s="38" t="n"/>
      <c r="H1532" s="39" t="n"/>
      <c r="I1532" s="40" t="str">
        <f>IF(OR($J1532="",$K1532=""),"",ROUND(MAX(0,($K1532-$J1532)-IF($H1532="",0,$H1532))/60,2))</f>
        <v/>
      </c>
      <c r="J1532" s="41" t="str">
        <f>IF($F1532="","",IF($F1532&lt;1,ROUND($F1532*1440,0),INT($F1532/100)*60+MOD($F1532,100)))</f>
        <v/>
      </c>
      <c r="K1532" s="41" t="str">
        <f>IF($G1532="","",IF($G1532&lt;1,ROUND($G1532*1440,0),INT($G1532/100)*60+MOD($G1532,100)))</f>
        <v/>
      </c>
    </row>
    <row r="1533" ht="15" customHeight="1" s="26">
      <c r="A1533" s="34" t="n"/>
      <c r="B1533" s="32" t="n"/>
      <c r="C1533" s="33" t="n"/>
      <c r="D1533" s="37" t="str">
        <f>IF($C1533="","",IFERROR(INDEX(프로젝트목록!$B$3:$B$62,MATCH($C1533,프로젝트목록!$A$3:$A$62,0)),"미등록코드"))</f>
        <v/>
      </c>
      <c r="E1533" s="32" t="n"/>
      <c r="F1533" s="38" t="n"/>
      <c r="G1533" s="38" t="n"/>
      <c r="H1533" s="39" t="n"/>
      <c r="I1533" s="40" t="str">
        <f>IF(OR($J1533="",$K1533=""),"",ROUND(MAX(0,($K1533-$J1533)-IF($H1533="",0,$H1533))/60,2))</f>
        <v/>
      </c>
      <c r="J1533" s="41" t="str">
        <f>IF($F1533="","",IF($F1533&lt;1,ROUND($F1533*1440,0),INT($F1533/100)*60+MOD($F1533,100)))</f>
        <v/>
      </c>
      <c r="K1533" s="41" t="str">
        <f>IF($G1533="","",IF($G1533&lt;1,ROUND($G1533*1440,0),INT($G1533/100)*60+MOD($G1533,100)))</f>
        <v/>
      </c>
    </row>
    <row r="1534" ht="15" customHeight="1" s="26">
      <c r="A1534" s="34" t="n"/>
      <c r="B1534" s="32" t="n"/>
      <c r="C1534" s="33" t="n"/>
      <c r="D1534" s="37" t="str">
        <f>IF($C1534="","",IFERROR(INDEX(프로젝트목록!$B$3:$B$62,MATCH($C1534,프로젝트목록!$A$3:$A$62,0)),"미등록코드"))</f>
        <v/>
      </c>
      <c r="E1534" s="32" t="n"/>
      <c r="F1534" s="38" t="n"/>
      <c r="G1534" s="38" t="n"/>
      <c r="H1534" s="39" t="n"/>
      <c r="I1534" s="40" t="str">
        <f>IF(OR($J1534="",$K1534=""),"",ROUND(MAX(0,($K1534-$J1534)-IF($H1534="",0,$H1534))/60,2))</f>
        <v/>
      </c>
      <c r="J1534" s="41" t="str">
        <f>IF($F1534="","",IF($F1534&lt;1,ROUND($F1534*1440,0),INT($F1534/100)*60+MOD($F1534,100)))</f>
        <v/>
      </c>
      <c r="K1534" s="41" t="str">
        <f>IF($G1534="","",IF($G1534&lt;1,ROUND($G1534*1440,0),INT($G1534/100)*60+MOD($G1534,100)))</f>
        <v/>
      </c>
    </row>
    <row r="1535" ht="15" customHeight="1" s="26">
      <c r="A1535" s="34" t="n"/>
      <c r="B1535" s="32" t="n"/>
      <c r="C1535" s="33" t="n"/>
      <c r="D1535" s="37" t="str">
        <f>IF($C1535="","",IFERROR(INDEX(프로젝트목록!$B$3:$B$62,MATCH($C1535,프로젝트목록!$A$3:$A$62,0)),"미등록코드"))</f>
        <v/>
      </c>
      <c r="E1535" s="32" t="n"/>
      <c r="F1535" s="38" t="n"/>
      <c r="G1535" s="38" t="n"/>
      <c r="H1535" s="39" t="n"/>
      <c r="I1535" s="40" t="str">
        <f>IF(OR($J1535="",$K1535=""),"",ROUND(MAX(0,($K1535-$J1535)-IF($H1535="",0,$H1535))/60,2))</f>
        <v/>
      </c>
      <c r="J1535" s="41" t="str">
        <f>IF($F1535="","",IF($F1535&lt;1,ROUND($F1535*1440,0),INT($F1535/100)*60+MOD($F1535,100)))</f>
        <v/>
      </c>
      <c r="K1535" s="41" t="str">
        <f>IF($G1535="","",IF($G1535&lt;1,ROUND($G1535*1440,0),INT($G1535/100)*60+MOD($G1535,100)))</f>
        <v/>
      </c>
    </row>
    <row r="1536" ht="15" customHeight="1" s="26">
      <c r="A1536" s="34" t="n"/>
      <c r="B1536" s="32" t="n"/>
      <c r="C1536" s="33" t="n"/>
      <c r="D1536" s="37" t="str">
        <f>IF($C1536="","",IFERROR(INDEX(프로젝트목록!$B$3:$B$62,MATCH($C1536,프로젝트목록!$A$3:$A$62,0)),"미등록코드"))</f>
        <v/>
      </c>
      <c r="E1536" s="32" t="n"/>
      <c r="F1536" s="38" t="n"/>
      <c r="G1536" s="38" t="n"/>
      <c r="H1536" s="39" t="n"/>
      <c r="I1536" s="40" t="str">
        <f>IF(OR($J1536="",$K1536=""),"",ROUND(MAX(0,($K1536-$J1536)-IF($H1536="",0,$H1536))/60,2))</f>
        <v/>
      </c>
      <c r="J1536" s="41" t="str">
        <f>IF($F1536="","",IF($F1536&lt;1,ROUND($F1536*1440,0),INT($F1536/100)*60+MOD($F1536,100)))</f>
        <v/>
      </c>
      <c r="K1536" s="41" t="str">
        <f>IF($G1536="","",IF($G1536&lt;1,ROUND($G1536*1440,0),INT($G1536/100)*60+MOD($G1536,100)))</f>
        <v/>
      </c>
    </row>
    <row r="1537" ht="15" customHeight="1" s="26">
      <c r="A1537" s="34" t="n"/>
      <c r="B1537" s="32" t="n"/>
      <c r="C1537" s="33" t="n"/>
      <c r="D1537" s="37" t="str">
        <f>IF($C1537="","",IFERROR(INDEX(프로젝트목록!$B$3:$B$62,MATCH($C1537,프로젝트목록!$A$3:$A$62,0)),"미등록코드"))</f>
        <v/>
      </c>
      <c r="E1537" s="32" t="n"/>
      <c r="F1537" s="38" t="n"/>
      <c r="G1537" s="38" t="n"/>
      <c r="H1537" s="39" t="n"/>
      <c r="I1537" s="40" t="str">
        <f>IF(OR($J1537="",$K1537=""),"",ROUND(MAX(0,($K1537-$J1537)-IF($H1537="",0,$H1537))/60,2))</f>
        <v/>
      </c>
      <c r="J1537" s="41" t="str">
        <f>IF($F1537="","",IF($F1537&lt;1,ROUND($F1537*1440,0),INT($F1537/100)*60+MOD($F1537,100)))</f>
        <v/>
      </c>
      <c r="K1537" s="41" t="str">
        <f>IF($G1537="","",IF($G1537&lt;1,ROUND($G1537*1440,0),INT($G1537/100)*60+MOD($G1537,100)))</f>
        <v/>
      </c>
    </row>
    <row r="1538" ht="15" customHeight="1" s="26">
      <c r="A1538" s="34" t="n"/>
      <c r="B1538" s="32" t="n"/>
      <c r="C1538" s="33" t="n"/>
      <c r="D1538" s="37" t="str">
        <f>IF($C1538="","",IFERROR(INDEX(프로젝트목록!$B$3:$B$62,MATCH($C1538,프로젝트목록!$A$3:$A$62,0)),"미등록코드"))</f>
        <v/>
      </c>
      <c r="E1538" s="32" t="n"/>
      <c r="F1538" s="38" t="n"/>
      <c r="G1538" s="38" t="n"/>
      <c r="H1538" s="39" t="n"/>
      <c r="I1538" s="40" t="str">
        <f>IF(OR($J1538="",$K1538=""),"",ROUND(MAX(0,($K1538-$J1538)-IF($H1538="",0,$H1538))/60,2))</f>
        <v/>
      </c>
      <c r="J1538" s="41" t="str">
        <f>IF($F1538="","",IF($F1538&lt;1,ROUND($F1538*1440,0),INT($F1538/100)*60+MOD($F1538,100)))</f>
        <v/>
      </c>
      <c r="K1538" s="41" t="str">
        <f>IF($G1538="","",IF($G1538&lt;1,ROUND($G1538*1440,0),INT($G1538/100)*60+MOD($G1538,100)))</f>
        <v/>
      </c>
    </row>
    <row r="1539" ht="15" customHeight="1" s="26">
      <c r="A1539" s="34" t="n"/>
      <c r="B1539" s="32" t="n"/>
      <c r="C1539" s="33" t="n"/>
      <c r="D1539" s="37" t="str">
        <f>IF($C1539="","",IFERROR(INDEX(프로젝트목록!$B$3:$B$62,MATCH($C1539,프로젝트목록!$A$3:$A$62,0)),"미등록코드"))</f>
        <v/>
      </c>
      <c r="E1539" s="32" t="n"/>
      <c r="F1539" s="38" t="n"/>
      <c r="G1539" s="38" t="n"/>
      <c r="H1539" s="39" t="n"/>
      <c r="I1539" s="40" t="str">
        <f>IF(OR($J1539="",$K1539=""),"",ROUND(MAX(0,($K1539-$J1539)-IF($H1539="",0,$H1539))/60,2))</f>
        <v/>
      </c>
      <c r="J1539" s="41" t="str">
        <f>IF($F1539="","",IF($F1539&lt;1,ROUND($F1539*1440,0),INT($F1539/100)*60+MOD($F1539,100)))</f>
        <v/>
      </c>
      <c r="K1539" s="41" t="str">
        <f>IF($G1539="","",IF($G1539&lt;1,ROUND($G1539*1440,0),INT($G1539/100)*60+MOD($G1539,100)))</f>
        <v/>
      </c>
    </row>
    <row r="1540" ht="15" customHeight="1" s="26">
      <c r="A1540" s="34" t="n"/>
      <c r="B1540" s="32" t="n"/>
      <c r="C1540" s="33" t="n"/>
      <c r="D1540" s="37" t="str">
        <f>IF($C1540="","",IFERROR(INDEX(프로젝트목록!$B$3:$B$62,MATCH($C1540,프로젝트목록!$A$3:$A$62,0)),"미등록코드"))</f>
        <v/>
      </c>
      <c r="E1540" s="32" t="n"/>
      <c r="F1540" s="38" t="n"/>
      <c r="G1540" s="38" t="n"/>
      <c r="H1540" s="39" t="n"/>
      <c r="I1540" s="40" t="str">
        <f>IF(OR($J1540="",$K1540=""),"",ROUND(MAX(0,($K1540-$J1540)-IF($H1540="",0,$H1540))/60,2))</f>
        <v/>
      </c>
      <c r="J1540" s="41" t="str">
        <f>IF($F1540="","",IF($F1540&lt;1,ROUND($F1540*1440,0),INT($F1540/100)*60+MOD($F1540,100)))</f>
        <v/>
      </c>
      <c r="K1540" s="41" t="str">
        <f>IF($G1540="","",IF($G1540&lt;1,ROUND($G1540*1440,0),INT($G1540/100)*60+MOD($G1540,100)))</f>
        <v/>
      </c>
    </row>
    <row r="1541" ht="15" customHeight="1" s="26">
      <c r="A1541" s="34" t="n"/>
      <c r="B1541" s="32" t="n"/>
      <c r="C1541" s="33" t="n"/>
      <c r="D1541" s="37" t="str">
        <f>IF($C1541="","",IFERROR(INDEX(프로젝트목록!$B$3:$B$62,MATCH($C1541,프로젝트목록!$A$3:$A$62,0)),"미등록코드"))</f>
        <v/>
      </c>
      <c r="E1541" s="32" t="n"/>
      <c r="F1541" s="38" t="n"/>
      <c r="G1541" s="38" t="n"/>
      <c r="H1541" s="39" t="n"/>
      <c r="I1541" s="40" t="str">
        <f>IF(OR($J1541="",$K1541=""),"",ROUND(MAX(0,($K1541-$J1541)-IF($H1541="",0,$H1541))/60,2))</f>
        <v/>
      </c>
      <c r="J1541" s="41" t="str">
        <f>IF($F1541="","",IF($F1541&lt;1,ROUND($F1541*1440,0),INT($F1541/100)*60+MOD($F1541,100)))</f>
        <v/>
      </c>
      <c r="K1541" s="41" t="str">
        <f>IF($G1541="","",IF($G1541&lt;1,ROUND($G1541*1440,0),INT($G1541/100)*60+MOD($G1541,100)))</f>
        <v/>
      </c>
    </row>
    <row r="1542" ht="15" customHeight="1" s="26">
      <c r="A1542" s="34" t="n"/>
      <c r="B1542" s="32" t="n"/>
      <c r="C1542" s="33" t="n"/>
      <c r="D1542" s="37" t="str">
        <f>IF($C1542="","",IFERROR(INDEX(프로젝트목록!$B$3:$B$62,MATCH($C1542,프로젝트목록!$A$3:$A$62,0)),"미등록코드"))</f>
        <v/>
      </c>
      <c r="E1542" s="32" t="n"/>
      <c r="F1542" s="38" t="n"/>
      <c r="G1542" s="38" t="n"/>
      <c r="H1542" s="39" t="n"/>
      <c r="I1542" s="40" t="str">
        <f>IF(OR($J1542="",$K1542=""),"",ROUND(MAX(0,($K1542-$J1542)-IF($H1542="",0,$H1542))/60,2))</f>
        <v/>
      </c>
      <c r="J1542" s="41" t="str">
        <f>IF($F1542="","",IF($F1542&lt;1,ROUND($F1542*1440,0),INT($F1542/100)*60+MOD($F1542,100)))</f>
        <v/>
      </c>
      <c r="K1542" s="41" t="str">
        <f>IF($G1542="","",IF($G1542&lt;1,ROUND($G1542*1440,0),INT($G1542/100)*60+MOD($G1542,100)))</f>
        <v/>
      </c>
    </row>
    <row r="1543" ht="15" customHeight="1" s="26">
      <c r="A1543" s="34" t="n"/>
      <c r="B1543" s="32" t="n"/>
      <c r="C1543" s="33" t="n"/>
      <c r="D1543" s="37" t="str">
        <f>IF($C1543="","",IFERROR(INDEX(프로젝트목록!$B$3:$B$62,MATCH($C1543,프로젝트목록!$A$3:$A$62,0)),"미등록코드"))</f>
        <v/>
      </c>
      <c r="E1543" s="32" t="n"/>
      <c r="F1543" s="38" t="n"/>
      <c r="G1543" s="38" t="n"/>
      <c r="H1543" s="39" t="n"/>
      <c r="I1543" s="40" t="str">
        <f>IF(OR($J1543="",$K1543=""),"",ROUND(MAX(0,($K1543-$J1543)-IF($H1543="",0,$H1543))/60,2))</f>
        <v/>
      </c>
      <c r="J1543" s="41" t="str">
        <f>IF($F1543="","",IF($F1543&lt;1,ROUND($F1543*1440,0),INT($F1543/100)*60+MOD($F1543,100)))</f>
        <v/>
      </c>
      <c r="K1543" s="41" t="str">
        <f>IF($G1543="","",IF($G1543&lt;1,ROUND($G1543*1440,0),INT($G1543/100)*60+MOD($G1543,100)))</f>
        <v/>
      </c>
    </row>
    <row r="1544" ht="15" customHeight="1" s="26">
      <c r="A1544" s="34" t="n"/>
      <c r="B1544" s="32" t="n"/>
      <c r="C1544" s="33" t="n"/>
      <c r="D1544" s="37" t="str">
        <f>IF($C1544="","",IFERROR(INDEX(프로젝트목록!$B$3:$B$62,MATCH($C1544,프로젝트목록!$A$3:$A$62,0)),"미등록코드"))</f>
        <v/>
      </c>
      <c r="E1544" s="32" t="n"/>
      <c r="F1544" s="38" t="n"/>
      <c r="G1544" s="38" t="n"/>
      <c r="H1544" s="39" t="n"/>
      <c r="I1544" s="40" t="str">
        <f>IF(OR($J1544="",$K1544=""),"",ROUND(MAX(0,($K1544-$J1544)-IF($H1544="",0,$H1544))/60,2))</f>
        <v/>
      </c>
      <c r="J1544" s="41" t="str">
        <f>IF($F1544="","",IF($F1544&lt;1,ROUND($F1544*1440,0),INT($F1544/100)*60+MOD($F1544,100)))</f>
        <v/>
      </c>
      <c r="K1544" s="41" t="str">
        <f>IF($G1544="","",IF($G1544&lt;1,ROUND($G1544*1440,0),INT($G1544/100)*60+MOD($G1544,100)))</f>
        <v/>
      </c>
    </row>
    <row r="1545" ht="15" customHeight="1" s="26">
      <c r="A1545" s="34" t="n"/>
      <c r="B1545" s="32" t="n"/>
      <c r="C1545" s="33" t="n"/>
      <c r="D1545" s="37" t="str">
        <f>IF($C1545="","",IFERROR(INDEX(프로젝트목록!$B$3:$B$62,MATCH($C1545,프로젝트목록!$A$3:$A$62,0)),"미등록코드"))</f>
        <v/>
      </c>
      <c r="E1545" s="32" t="n"/>
      <c r="F1545" s="38" t="n"/>
      <c r="G1545" s="38" t="n"/>
      <c r="H1545" s="39" t="n"/>
      <c r="I1545" s="40" t="str">
        <f>IF(OR($J1545="",$K1545=""),"",ROUND(MAX(0,($K1545-$J1545)-IF($H1545="",0,$H1545))/60,2))</f>
        <v/>
      </c>
      <c r="J1545" s="41" t="str">
        <f>IF($F1545="","",IF($F1545&lt;1,ROUND($F1545*1440,0),INT($F1545/100)*60+MOD($F1545,100)))</f>
        <v/>
      </c>
      <c r="K1545" s="41" t="str">
        <f>IF($G1545="","",IF($G1545&lt;1,ROUND($G1545*1440,0),INT($G1545/100)*60+MOD($G1545,100)))</f>
        <v/>
      </c>
    </row>
    <row r="1546" ht="15" customHeight="1" s="26">
      <c r="A1546" s="34" t="n"/>
      <c r="B1546" s="32" t="n"/>
      <c r="C1546" s="33" t="n"/>
      <c r="D1546" s="37" t="str">
        <f>IF($C1546="","",IFERROR(INDEX(프로젝트목록!$B$3:$B$62,MATCH($C1546,프로젝트목록!$A$3:$A$62,0)),"미등록코드"))</f>
        <v/>
      </c>
      <c r="E1546" s="32" t="n"/>
      <c r="F1546" s="38" t="n"/>
      <c r="G1546" s="38" t="n"/>
      <c r="H1546" s="39" t="n"/>
      <c r="I1546" s="40" t="str">
        <f>IF(OR($J1546="",$K1546=""),"",ROUND(MAX(0,($K1546-$J1546)-IF($H1546="",0,$H1546))/60,2))</f>
        <v/>
      </c>
      <c r="J1546" s="41" t="str">
        <f>IF($F1546="","",IF($F1546&lt;1,ROUND($F1546*1440,0),INT($F1546/100)*60+MOD($F1546,100)))</f>
        <v/>
      </c>
      <c r="K1546" s="41" t="str">
        <f>IF($G1546="","",IF($G1546&lt;1,ROUND($G1546*1440,0),INT($G1546/100)*60+MOD($G1546,100)))</f>
        <v/>
      </c>
    </row>
    <row r="1547" ht="15" customHeight="1" s="26">
      <c r="A1547" s="34" t="n"/>
      <c r="B1547" s="32" t="n"/>
      <c r="C1547" s="33" t="n"/>
      <c r="D1547" s="37" t="str">
        <f>IF($C1547="","",IFERROR(INDEX(프로젝트목록!$B$3:$B$62,MATCH($C1547,프로젝트목록!$A$3:$A$62,0)),"미등록코드"))</f>
        <v/>
      </c>
      <c r="E1547" s="32" t="n"/>
      <c r="F1547" s="38" t="n"/>
      <c r="G1547" s="38" t="n"/>
      <c r="H1547" s="39" t="n"/>
      <c r="I1547" s="40" t="str">
        <f>IF(OR($J1547="",$K1547=""),"",ROUND(MAX(0,($K1547-$J1547)-IF($H1547="",0,$H1547))/60,2))</f>
        <v/>
      </c>
      <c r="J1547" s="41" t="str">
        <f>IF($F1547="","",IF($F1547&lt;1,ROUND($F1547*1440,0),INT($F1547/100)*60+MOD($F1547,100)))</f>
        <v/>
      </c>
      <c r="K1547" s="41" t="str">
        <f>IF($G1547="","",IF($G1547&lt;1,ROUND($G1547*1440,0),INT($G1547/100)*60+MOD($G1547,100)))</f>
        <v/>
      </c>
    </row>
    <row r="1548" ht="15" customHeight="1" s="26">
      <c r="A1548" s="34" t="n"/>
      <c r="B1548" s="32" t="n"/>
      <c r="C1548" s="33" t="n"/>
      <c r="D1548" s="37" t="str">
        <f>IF($C1548="","",IFERROR(INDEX(프로젝트목록!$B$3:$B$62,MATCH($C1548,프로젝트목록!$A$3:$A$62,0)),"미등록코드"))</f>
        <v/>
      </c>
      <c r="E1548" s="32" t="n"/>
      <c r="F1548" s="38" t="n"/>
      <c r="G1548" s="38" t="n"/>
      <c r="H1548" s="39" t="n"/>
      <c r="I1548" s="40" t="str">
        <f>IF(OR($J1548="",$K1548=""),"",ROUND(MAX(0,($K1548-$J1548)-IF($H1548="",0,$H1548))/60,2))</f>
        <v/>
      </c>
      <c r="J1548" s="41" t="str">
        <f>IF($F1548="","",IF($F1548&lt;1,ROUND($F1548*1440,0),INT($F1548/100)*60+MOD($F1548,100)))</f>
        <v/>
      </c>
      <c r="K1548" s="41" t="str">
        <f>IF($G1548="","",IF($G1548&lt;1,ROUND($G1548*1440,0),INT($G1548/100)*60+MOD($G1548,100)))</f>
        <v/>
      </c>
    </row>
    <row r="1549" ht="15" customHeight="1" s="26">
      <c r="A1549" s="34" t="n"/>
      <c r="B1549" s="32" t="n"/>
      <c r="C1549" s="33" t="n"/>
      <c r="D1549" s="37" t="str">
        <f>IF($C1549="","",IFERROR(INDEX(프로젝트목록!$B$3:$B$62,MATCH($C1549,프로젝트목록!$A$3:$A$62,0)),"미등록코드"))</f>
        <v/>
      </c>
      <c r="E1549" s="32" t="n"/>
      <c r="F1549" s="38" t="n"/>
      <c r="G1549" s="38" t="n"/>
      <c r="H1549" s="39" t="n"/>
      <c r="I1549" s="40" t="str">
        <f>IF(OR($J1549="",$K1549=""),"",ROUND(MAX(0,($K1549-$J1549)-IF($H1549="",0,$H1549))/60,2))</f>
        <v/>
      </c>
      <c r="J1549" s="41" t="str">
        <f>IF($F1549="","",IF($F1549&lt;1,ROUND($F1549*1440,0),INT($F1549/100)*60+MOD($F1549,100)))</f>
        <v/>
      </c>
      <c r="K1549" s="41" t="str">
        <f>IF($G1549="","",IF($G1549&lt;1,ROUND($G1549*1440,0),INT($G1549/100)*60+MOD($G1549,100)))</f>
        <v/>
      </c>
    </row>
    <row r="1550" ht="15" customHeight="1" s="26">
      <c r="A1550" s="34" t="n"/>
      <c r="B1550" s="32" t="n"/>
      <c r="C1550" s="33" t="n"/>
      <c r="D1550" s="37" t="str">
        <f>IF($C1550="","",IFERROR(INDEX(프로젝트목록!$B$3:$B$62,MATCH($C1550,프로젝트목록!$A$3:$A$62,0)),"미등록코드"))</f>
        <v/>
      </c>
      <c r="E1550" s="32" t="n"/>
      <c r="F1550" s="38" t="n"/>
      <c r="G1550" s="38" t="n"/>
      <c r="H1550" s="39" t="n"/>
      <c r="I1550" s="40" t="str">
        <f>IF(OR($J1550="",$K1550=""),"",ROUND(MAX(0,($K1550-$J1550)-IF($H1550="",0,$H1550))/60,2))</f>
        <v/>
      </c>
      <c r="J1550" s="41" t="str">
        <f>IF($F1550="","",IF($F1550&lt;1,ROUND($F1550*1440,0),INT($F1550/100)*60+MOD($F1550,100)))</f>
        <v/>
      </c>
      <c r="K1550" s="41" t="str">
        <f>IF($G1550="","",IF($G1550&lt;1,ROUND($G1550*1440,0),INT($G1550/100)*60+MOD($G1550,100)))</f>
        <v/>
      </c>
    </row>
    <row r="1551" ht="15" customHeight="1" s="26">
      <c r="A1551" s="34" t="n"/>
      <c r="B1551" s="32" t="n"/>
      <c r="C1551" s="33" t="n"/>
      <c r="D1551" s="37" t="str">
        <f>IF($C1551="","",IFERROR(INDEX(프로젝트목록!$B$3:$B$62,MATCH($C1551,프로젝트목록!$A$3:$A$62,0)),"미등록코드"))</f>
        <v/>
      </c>
      <c r="E1551" s="32" t="n"/>
      <c r="F1551" s="38" t="n"/>
      <c r="G1551" s="38" t="n"/>
      <c r="H1551" s="39" t="n"/>
      <c r="I1551" s="40" t="str">
        <f>IF(OR($J1551="",$K1551=""),"",ROUND(MAX(0,($K1551-$J1551)-IF($H1551="",0,$H1551))/60,2))</f>
        <v/>
      </c>
      <c r="J1551" s="41" t="str">
        <f>IF($F1551="","",IF($F1551&lt;1,ROUND($F1551*1440,0),INT($F1551/100)*60+MOD($F1551,100)))</f>
        <v/>
      </c>
      <c r="K1551" s="41" t="str">
        <f>IF($G1551="","",IF($G1551&lt;1,ROUND($G1551*1440,0),INT($G1551/100)*60+MOD($G1551,100)))</f>
        <v/>
      </c>
    </row>
    <row r="1552" ht="15" customHeight="1" s="26">
      <c r="A1552" s="34" t="n"/>
      <c r="B1552" s="32" t="n"/>
      <c r="C1552" s="33" t="n"/>
      <c r="D1552" s="37" t="str">
        <f>IF($C1552="","",IFERROR(INDEX(프로젝트목록!$B$3:$B$62,MATCH($C1552,프로젝트목록!$A$3:$A$62,0)),"미등록코드"))</f>
        <v/>
      </c>
      <c r="E1552" s="32" t="n"/>
      <c r="F1552" s="38" t="n"/>
      <c r="G1552" s="38" t="n"/>
      <c r="H1552" s="39" t="n"/>
      <c r="I1552" s="40" t="str">
        <f>IF(OR($J1552="",$K1552=""),"",ROUND(MAX(0,($K1552-$J1552)-IF($H1552="",0,$H1552))/60,2))</f>
        <v/>
      </c>
      <c r="J1552" s="41" t="str">
        <f>IF($F1552="","",IF($F1552&lt;1,ROUND($F1552*1440,0),INT($F1552/100)*60+MOD($F1552,100)))</f>
        <v/>
      </c>
      <c r="K1552" s="41" t="str">
        <f>IF($G1552="","",IF($G1552&lt;1,ROUND($G1552*1440,0),INT($G1552/100)*60+MOD($G1552,100)))</f>
        <v/>
      </c>
    </row>
    <row r="1553" ht="15" customHeight="1" s="26">
      <c r="A1553" s="34" t="n"/>
      <c r="B1553" s="32" t="n"/>
      <c r="C1553" s="33" t="n"/>
      <c r="D1553" s="37" t="str">
        <f>IF($C1553="","",IFERROR(INDEX(프로젝트목록!$B$3:$B$62,MATCH($C1553,프로젝트목록!$A$3:$A$62,0)),"미등록코드"))</f>
        <v/>
      </c>
      <c r="E1553" s="32" t="n"/>
      <c r="F1553" s="38" t="n"/>
      <c r="G1553" s="38" t="n"/>
      <c r="H1553" s="39" t="n"/>
      <c r="I1553" s="40" t="str">
        <f>IF(OR($J1553="",$K1553=""),"",ROUND(MAX(0,($K1553-$J1553)-IF($H1553="",0,$H1553))/60,2))</f>
        <v/>
      </c>
      <c r="J1553" s="41" t="str">
        <f>IF($F1553="","",IF($F1553&lt;1,ROUND($F1553*1440,0),INT($F1553/100)*60+MOD($F1553,100)))</f>
        <v/>
      </c>
      <c r="K1553" s="41" t="str">
        <f>IF($G1553="","",IF($G1553&lt;1,ROUND($G1553*1440,0),INT($G1553/100)*60+MOD($G1553,100)))</f>
        <v/>
      </c>
    </row>
    <row r="1554" ht="15" customHeight="1" s="26">
      <c r="A1554" s="34" t="n"/>
      <c r="B1554" s="32" t="n"/>
      <c r="C1554" s="33" t="n"/>
      <c r="D1554" s="37" t="str">
        <f>IF($C1554="","",IFERROR(INDEX(프로젝트목록!$B$3:$B$62,MATCH($C1554,프로젝트목록!$A$3:$A$62,0)),"미등록코드"))</f>
        <v/>
      </c>
      <c r="E1554" s="32" t="n"/>
      <c r="F1554" s="38" t="n"/>
      <c r="G1554" s="38" t="n"/>
      <c r="H1554" s="39" t="n"/>
      <c r="I1554" s="40" t="str">
        <f>IF(OR($J1554="",$K1554=""),"",ROUND(MAX(0,($K1554-$J1554)-IF($H1554="",0,$H1554))/60,2))</f>
        <v/>
      </c>
      <c r="J1554" s="41" t="str">
        <f>IF($F1554="","",IF($F1554&lt;1,ROUND($F1554*1440,0),INT($F1554/100)*60+MOD($F1554,100)))</f>
        <v/>
      </c>
      <c r="K1554" s="41" t="str">
        <f>IF($G1554="","",IF($G1554&lt;1,ROUND($G1554*1440,0),INT($G1554/100)*60+MOD($G1554,100)))</f>
        <v/>
      </c>
    </row>
    <row r="1555" ht="15" customHeight="1" s="26">
      <c r="A1555" s="34" t="n"/>
      <c r="B1555" s="32" t="n"/>
      <c r="C1555" s="33" t="n"/>
      <c r="D1555" s="37" t="str">
        <f>IF($C1555="","",IFERROR(INDEX(프로젝트목록!$B$3:$B$62,MATCH($C1555,프로젝트목록!$A$3:$A$62,0)),"미등록코드"))</f>
        <v/>
      </c>
      <c r="E1555" s="32" t="n"/>
      <c r="F1555" s="38" t="n"/>
      <c r="G1555" s="38" t="n"/>
      <c r="H1555" s="39" t="n"/>
      <c r="I1555" s="40" t="str">
        <f>IF(OR($J1555="",$K1555=""),"",ROUND(MAX(0,($K1555-$J1555)-IF($H1555="",0,$H1555))/60,2))</f>
        <v/>
      </c>
      <c r="J1555" s="41" t="str">
        <f>IF($F1555="","",IF($F1555&lt;1,ROUND($F1555*1440,0),INT($F1555/100)*60+MOD($F1555,100)))</f>
        <v/>
      </c>
      <c r="K1555" s="41" t="str">
        <f>IF($G1555="","",IF($G1555&lt;1,ROUND($G1555*1440,0),INT($G1555/100)*60+MOD($G1555,100)))</f>
        <v/>
      </c>
    </row>
    <row r="1556" ht="15" customHeight="1" s="26">
      <c r="A1556" s="34" t="n"/>
      <c r="B1556" s="32" t="n"/>
      <c r="C1556" s="33" t="n"/>
      <c r="D1556" s="37" t="str">
        <f>IF($C1556="","",IFERROR(INDEX(프로젝트목록!$B$3:$B$62,MATCH($C1556,프로젝트목록!$A$3:$A$62,0)),"미등록코드"))</f>
        <v/>
      </c>
      <c r="E1556" s="32" t="n"/>
      <c r="F1556" s="38" t="n"/>
      <c r="G1556" s="38" t="n"/>
      <c r="H1556" s="39" t="n"/>
      <c r="I1556" s="40" t="str">
        <f>IF(OR($J1556="",$K1556=""),"",ROUND(MAX(0,($K1556-$J1556)-IF($H1556="",0,$H1556))/60,2))</f>
        <v/>
      </c>
      <c r="J1556" s="41" t="str">
        <f>IF($F1556="","",IF($F1556&lt;1,ROUND($F1556*1440,0),INT($F1556/100)*60+MOD($F1556,100)))</f>
        <v/>
      </c>
      <c r="K1556" s="41" t="str">
        <f>IF($G1556="","",IF($G1556&lt;1,ROUND($G1556*1440,0),INT($G1556/100)*60+MOD($G1556,100)))</f>
        <v/>
      </c>
    </row>
    <row r="1557" ht="15" customHeight="1" s="26">
      <c r="A1557" s="34" t="n"/>
      <c r="B1557" s="32" t="n"/>
      <c r="C1557" s="33" t="n"/>
      <c r="D1557" s="37" t="str">
        <f>IF($C1557="","",IFERROR(INDEX(프로젝트목록!$B$3:$B$62,MATCH($C1557,프로젝트목록!$A$3:$A$62,0)),"미등록코드"))</f>
        <v/>
      </c>
      <c r="E1557" s="32" t="n"/>
      <c r="F1557" s="38" t="n"/>
      <c r="G1557" s="38" t="n"/>
      <c r="H1557" s="39" t="n"/>
      <c r="I1557" s="40" t="str">
        <f>IF(OR($J1557="",$K1557=""),"",ROUND(MAX(0,($K1557-$J1557)-IF($H1557="",0,$H1557))/60,2))</f>
        <v/>
      </c>
      <c r="J1557" s="41" t="str">
        <f>IF($F1557="","",IF($F1557&lt;1,ROUND($F1557*1440,0),INT($F1557/100)*60+MOD($F1557,100)))</f>
        <v/>
      </c>
      <c r="K1557" s="41" t="str">
        <f>IF($G1557="","",IF($G1557&lt;1,ROUND($G1557*1440,0),INT($G1557/100)*60+MOD($G1557,100)))</f>
        <v/>
      </c>
    </row>
    <row r="1558" ht="15" customHeight="1" s="26">
      <c r="A1558" s="34" t="n"/>
      <c r="B1558" s="32" t="n"/>
      <c r="C1558" s="33" t="n"/>
      <c r="D1558" s="37" t="str">
        <f>IF($C1558="","",IFERROR(INDEX(프로젝트목록!$B$3:$B$62,MATCH($C1558,프로젝트목록!$A$3:$A$62,0)),"미등록코드"))</f>
        <v/>
      </c>
      <c r="E1558" s="32" t="n"/>
      <c r="F1558" s="38" t="n"/>
      <c r="G1558" s="38" t="n"/>
      <c r="H1558" s="39" t="n"/>
      <c r="I1558" s="40" t="str">
        <f>IF(OR($J1558="",$K1558=""),"",ROUND(MAX(0,($K1558-$J1558)-IF($H1558="",0,$H1558))/60,2))</f>
        <v/>
      </c>
      <c r="J1558" s="41" t="str">
        <f>IF($F1558="","",IF($F1558&lt;1,ROUND($F1558*1440,0),INT($F1558/100)*60+MOD($F1558,100)))</f>
        <v/>
      </c>
      <c r="K1558" s="41" t="str">
        <f>IF($G1558="","",IF($G1558&lt;1,ROUND($G1558*1440,0),INT($G1558/100)*60+MOD($G1558,100)))</f>
        <v/>
      </c>
    </row>
    <row r="1559" ht="15" customHeight="1" s="26">
      <c r="A1559" s="34" t="n"/>
      <c r="B1559" s="32" t="n"/>
      <c r="C1559" s="33" t="n"/>
      <c r="D1559" s="37" t="str">
        <f>IF($C1559="","",IFERROR(INDEX(프로젝트목록!$B$3:$B$62,MATCH($C1559,프로젝트목록!$A$3:$A$62,0)),"미등록코드"))</f>
        <v/>
      </c>
      <c r="E1559" s="32" t="n"/>
      <c r="F1559" s="38" t="n"/>
      <c r="G1559" s="38" t="n"/>
      <c r="H1559" s="39" t="n"/>
      <c r="I1559" s="40" t="str">
        <f>IF(OR($J1559="",$K1559=""),"",ROUND(MAX(0,($K1559-$J1559)-IF($H1559="",0,$H1559))/60,2))</f>
        <v/>
      </c>
      <c r="J1559" s="41" t="str">
        <f>IF($F1559="","",IF($F1559&lt;1,ROUND($F1559*1440,0),INT($F1559/100)*60+MOD($F1559,100)))</f>
        <v/>
      </c>
      <c r="K1559" s="41" t="str">
        <f>IF($G1559="","",IF($G1559&lt;1,ROUND($G1559*1440,0),INT($G1559/100)*60+MOD($G1559,100)))</f>
        <v/>
      </c>
    </row>
    <row r="1560" ht="15" customHeight="1" s="26">
      <c r="A1560" s="34" t="n"/>
      <c r="B1560" s="32" t="n"/>
      <c r="C1560" s="33" t="n"/>
      <c r="D1560" s="37" t="str">
        <f>IF($C1560="","",IFERROR(INDEX(프로젝트목록!$B$3:$B$62,MATCH($C1560,프로젝트목록!$A$3:$A$62,0)),"미등록코드"))</f>
        <v/>
      </c>
      <c r="E1560" s="32" t="n"/>
      <c r="F1560" s="38" t="n"/>
      <c r="G1560" s="38" t="n"/>
      <c r="H1560" s="39" t="n"/>
      <c r="I1560" s="40" t="str">
        <f>IF(OR($J1560="",$K1560=""),"",ROUND(MAX(0,($K1560-$J1560)-IF($H1560="",0,$H1560))/60,2))</f>
        <v/>
      </c>
      <c r="J1560" s="41" t="str">
        <f>IF($F1560="","",IF($F1560&lt;1,ROUND($F1560*1440,0),INT($F1560/100)*60+MOD($F1560,100)))</f>
        <v/>
      </c>
      <c r="K1560" s="41" t="str">
        <f>IF($G1560="","",IF($G1560&lt;1,ROUND($G1560*1440,0),INT($G1560/100)*60+MOD($G1560,100)))</f>
        <v/>
      </c>
    </row>
    <row r="1561" ht="15" customHeight="1" s="26">
      <c r="A1561" s="34" t="n"/>
      <c r="B1561" s="32" t="n"/>
      <c r="C1561" s="33" t="n"/>
      <c r="D1561" s="37" t="str">
        <f>IF($C1561="","",IFERROR(INDEX(프로젝트목록!$B$3:$B$62,MATCH($C1561,프로젝트목록!$A$3:$A$62,0)),"미등록코드"))</f>
        <v/>
      </c>
      <c r="E1561" s="32" t="n"/>
      <c r="F1561" s="38" t="n"/>
      <c r="G1561" s="38" t="n"/>
      <c r="H1561" s="39" t="n"/>
      <c r="I1561" s="40" t="str">
        <f>IF(OR($J1561="",$K1561=""),"",ROUND(MAX(0,($K1561-$J1561)-IF($H1561="",0,$H1561))/60,2))</f>
        <v/>
      </c>
      <c r="J1561" s="41" t="str">
        <f>IF($F1561="","",IF($F1561&lt;1,ROUND($F1561*1440,0),INT($F1561/100)*60+MOD($F1561,100)))</f>
        <v/>
      </c>
      <c r="K1561" s="41" t="str">
        <f>IF($G1561="","",IF($G1561&lt;1,ROUND($G1561*1440,0),INT($G1561/100)*60+MOD($G1561,100)))</f>
        <v/>
      </c>
    </row>
    <row r="1562" ht="15" customHeight="1" s="26">
      <c r="A1562" s="34" t="n"/>
      <c r="B1562" s="32" t="n"/>
      <c r="C1562" s="33" t="n"/>
      <c r="D1562" s="37" t="str">
        <f>IF($C1562="","",IFERROR(INDEX(프로젝트목록!$B$3:$B$62,MATCH($C1562,프로젝트목록!$A$3:$A$62,0)),"미등록코드"))</f>
        <v/>
      </c>
      <c r="E1562" s="32" t="n"/>
      <c r="F1562" s="38" t="n"/>
      <c r="G1562" s="38" t="n"/>
      <c r="H1562" s="39" t="n"/>
      <c r="I1562" s="40" t="str">
        <f>IF(OR($J1562="",$K1562=""),"",ROUND(MAX(0,($K1562-$J1562)-IF($H1562="",0,$H1562))/60,2))</f>
        <v/>
      </c>
      <c r="J1562" s="41" t="str">
        <f>IF($F1562="","",IF($F1562&lt;1,ROUND($F1562*1440,0),INT($F1562/100)*60+MOD($F1562,100)))</f>
        <v/>
      </c>
      <c r="K1562" s="41" t="str">
        <f>IF($G1562="","",IF($G1562&lt;1,ROUND($G1562*1440,0),INT($G1562/100)*60+MOD($G1562,100)))</f>
        <v/>
      </c>
    </row>
    <row r="1563" ht="15" customHeight="1" s="26">
      <c r="A1563" s="34" t="n"/>
      <c r="B1563" s="32" t="n"/>
      <c r="C1563" s="33" t="n"/>
      <c r="D1563" s="37" t="str">
        <f>IF($C1563="","",IFERROR(INDEX(프로젝트목록!$B$3:$B$62,MATCH($C1563,프로젝트목록!$A$3:$A$62,0)),"미등록코드"))</f>
        <v/>
      </c>
      <c r="E1563" s="32" t="n"/>
      <c r="F1563" s="38" t="n"/>
      <c r="G1563" s="38" t="n"/>
      <c r="H1563" s="39" t="n"/>
      <c r="I1563" s="40" t="str">
        <f>IF(OR($J1563="",$K1563=""),"",ROUND(MAX(0,($K1563-$J1563)-IF($H1563="",0,$H1563))/60,2))</f>
        <v/>
      </c>
      <c r="J1563" s="41" t="str">
        <f>IF($F1563="","",IF($F1563&lt;1,ROUND($F1563*1440,0),INT($F1563/100)*60+MOD($F1563,100)))</f>
        <v/>
      </c>
      <c r="K1563" s="41" t="str">
        <f>IF($G1563="","",IF($G1563&lt;1,ROUND($G1563*1440,0),INT($G1563/100)*60+MOD($G1563,100)))</f>
        <v/>
      </c>
    </row>
    <row r="1564" ht="15" customHeight="1" s="26">
      <c r="A1564" s="34" t="n"/>
      <c r="B1564" s="32" t="n"/>
      <c r="C1564" s="33" t="n"/>
      <c r="D1564" s="37" t="str">
        <f>IF($C1564="","",IFERROR(INDEX(프로젝트목록!$B$3:$B$62,MATCH($C1564,프로젝트목록!$A$3:$A$62,0)),"미등록코드"))</f>
        <v/>
      </c>
      <c r="E1564" s="32" t="n"/>
      <c r="F1564" s="38" t="n"/>
      <c r="G1564" s="38" t="n"/>
      <c r="H1564" s="39" t="n"/>
      <c r="I1564" s="40" t="str">
        <f>IF(OR($J1564="",$K1564=""),"",ROUND(MAX(0,($K1564-$J1564)-IF($H1564="",0,$H1564))/60,2))</f>
        <v/>
      </c>
      <c r="J1564" s="41" t="str">
        <f>IF($F1564="","",IF($F1564&lt;1,ROUND($F1564*1440,0),INT($F1564/100)*60+MOD($F1564,100)))</f>
        <v/>
      </c>
      <c r="K1564" s="41" t="str">
        <f>IF($G1564="","",IF($G1564&lt;1,ROUND($G1564*1440,0),INT($G1564/100)*60+MOD($G1564,100)))</f>
        <v/>
      </c>
    </row>
    <row r="1565" ht="15" customHeight="1" s="26">
      <c r="A1565" s="34" t="n"/>
      <c r="B1565" s="32" t="n"/>
      <c r="C1565" s="33" t="n"/>
      <c r="D1565" s="37" t="str">
        <f>IF($C1565="","",IFERROR(INDEX(프로젝트목록!$B$3:$B$62,MATCH($C1565,프로젝트목록!$A$3:$A$62,0)),"미등록코드"))</f>
        <v/>
      </c>
      <c r="E1565" s="32" t="n"/>
      <c r="F1565" s="38" t="n"/>
      <c r="G1565" s="38" t="n"/>
      <c r="H1565" s="39" t="n"/>
      <c r="I1565" s="40" t="str">
        <f>IF(OR($J1565="",$K1565=""),"",ROUND(MAX(0,($K1565-$J1565)-IF($H1565="",0,$H1565))/60,2))</f>
        <v/>
      </c>
      <c r="J1565" s="41" t="str">
        <f>IF($F1565="","",IF($F1565&lt;1,ROUND($F1565*1440,0),INT($F1565/100)*60+MOD($F1565,100)))</f>
        <v/>
      </c>
      <c r="K1565" s="41" t="str">
        <f>IF($G1565="","",IF($G1565&lt;1,ROUND($G1565*1440,0),INT($G1565/100)*60+MOD($G1565,100)))</f>
        <v/>
      </c>
    </row>
    <row r="1566" ht="15" customHeight="1" s="26">
      <c r="A1566" s="34" t="n"/>
      <c r="B1566" s="32" t="n"/>
      <c r="C1566" s="33" t="n"/>
      <c r="D1566" s="37" t="str">
        <f>IF($C1566="","",IFERROR(INDEX(프로젝트목록!$B$3:$B$62,MATCH($C1566,프로젝트목록!$A$3:$A$62,0)),"미등록코드"))</f>
        <v/>
      </c>
      <c r="E1566" s="32" t="n"/>
      <c r="F1566" s="38" t="n"/>
      <c r="G1566" s="38" t="n"/>
      <c r="H1566" s="39" t="n"/>
      <c r="I1566" s="40" t="str">
        <f>IF(OR($J1566="",$K1566=""),"",ROUND(MAX(0,($K1566-$J1566)-IF($H1566="",0,$H1566))/60,2))</f>
        <v/>
      </c>
      <c r="J1566" s="41" t="str">
        <f>IF($F1566="","",IF($F1566&lt;1,ROUND($F1566*1440,0),INT($F1566/100)*60+MOD($F1566,100)))</f>
        <v/>
      </c>
      <c r="K1566" s="41" t="str">
        <f>IF($G1566="","",IF($G1566&lt;1,ROUND($G1566*1440,0),INT($G1566/100)*60+MOD($G1566,100)))</f>
        <v/>
      </c>
    </row>
    <row r="1567" ht="15" customHeight="1" s="26">
      <c r="A1567" s="34" t="n"/>
      <c r="B1567" s="32" t="n"/>
      <c r="C1567" s="33" t="n"/>
      <c r="D1567" s="37" t="str">
        <f>IF($C1567="","",IFERROR(INDEX(프로젝트목록!$B$3:$B$62,MATCH($C1567,프로젝트목록!$A$3:$A$62,0)),"미등록코드"))</f>
        <v/>
      </c>
      <c r="E1567" s="32" t="n"/>
      <c r="F1567" s="38" t="n"/>
      <c r="G1567" s="38" t="n"/>
      <c r="H1567" s="39" t="n"/>
      <c r="I1567" s="40" t="str">
        <f>IF(OR($J1567="",$K1567=""),"",ROUND(MAX(0,($K1567-$J1567)-IF($H1567="",0,$H1567))/60,2))</f>
        <v/>
      </c>
      <c r="J1567" s="41" t="str">
        <f>IF($F1567="","",IF($F1567&lt;1,ROUND($F1567*1440,0),INT($F1567/100)*60+MOD($F1567,100)))</f>
        <v/>
      </c>
      <c r="K1567" s="41" t="str">
        <f>IF($G1567="","",IF($G1567&lt;1,ROUND($G1567*1440,0),INT($G1567/100)*60+MOD($G1567,100)))</f>
        <v/>
      </c>
    </row>
    <row r="1568" ht="15" customHeight="1" s="26">
      <c r="A1568" s="34" t="n"/>
      <c r="B1568" s="32" t="n"/>
      <c r="C1568" s="33" t="n"/>
      <c r="D1568" s="37" t="str">
        <f>IF($C1568="","",IFERROR(INDEX(프로젝트목록!$B$3:$B$62,MATCH($C1568,프로젝트목록!$A$3:$A$62,0)),"미등록코드"))</f>
        <v/>
      </c>
      <c r="E1568" s="32" t="n"/>
      <c r="F1568" s="38" t="n"/>
      <c r="G1568" s="38" t="n"/>
      <c r="H1568" s="39" t="n"/>
      <c r="I1568" s="40" t="str">
        <f>IF(OR($J1568="",$K1568=""),"",ROUND(MAX(0,($K1568-$J1568)-IF($H1568="",0,$H1568))/60,2))</f>
        <v/>
      </c>
      <c r="J1568" s="41" t="str">
        <f>IF($F1568="","",IF($F1568&lt;1,ROUND($F1568*1440,0),INT($F1568/100)*60+MOD($F1568,100)))</f>
        <v/>
      </c>
      <c r="K1568" s="41" t="str">
        <f>IF($G1568="","",IF($G1568&lt;1,ROUND($G1568*1440,0),INT($G1568/100)*60+MOD($G1568,100)))</f>
        <v/>
      </c>
    </row>
    <row r="1569" ht="15" customHeight="1" s="26">
      <c r="A1569" s="34" t="n"/>
      <c r="B1569" s="32" t="n"/>
      <c r="C1569" s="33" t="n"/>
      <c r="D1569" s="37" t="str">
        <f>IF($C1569="","",IFERROR(INDEX(프로젝트목록!$B$3:$B$62,MATCH($C1569,프로젝트목록!$A$3:$A$62,0)),"미등록코드"))</f>
        <v/>
      </c>
      <c r="E1569" s="32" t="n"/>
      <c r="F1569" s="38" t="n"/>
      <c r="G1569" s="38" t="n"/>
      <c r="H1569" s="39" t="n"/>
      <c r="I1569" s="40" t="str">
        <f>IF(OR($J1569="",$K1569=""),"",ROUND(MAX(0,($K1569-$J1569)-IF($H1569="",0,$H1569))/60,2))</f>
        <v/>
      </c>
      <c r="J1569" s="41" t="str">
        <f>IF($F1569="","",IF($F1569&lt;1,ROUND($F1569*1440,0),INT($F1569/100)*60+MOD($F1569,100)))</f>
        <v/>
      </c>
      <c r="K1569" s="41" t="str">
        <f>IF($G1569="","",IF($G1569&lt;1,ROUND($G1569*1440,0),INT($G1569/100)*60+MOD($G1569,100)))</f>
        <v/>
      </c>
    </row>
    <row r="1570" ht="15" customHeight="1" s="26">
      <c r="A1570" s="34" t="n"/>
      <c r="B1570" s="32" t="n"/>
      <c r="C1570" s="33" t="n"/>
      <c r="D1570" s="37" t="str">
        <f>IF($C1570="","",IFERROR(INDEX(프로젝트목록!$B$3:$B$62,MATCH($C1570,프로젝트목록!$A$3:$A$62,0)),"미등록코드"))</f>
        <v/>
      </c>
      <c r="E1570" s="32" t="n"/>
      <c r="F1570" s="38" t="n"/>
      <c r="G1570" s="38" t="n"/>
      <c r="H1570" s="39" t="n"/>
      <c r="I1570" s="40" t="str">
        <f>IF(OR($J1570="",$K1570=""),"",ROUND(MAX(0,($K1570-$J1570)-IF($H1570="",0,$H1570))/60,2))</f>
        <v/>
      </c>
      <c r="J1570" s="41" t="str">
        <f>IF($F1570="","",IF($F1570&lt;1,ROUND($F1570*1440,0),INT($F1570/100)*60+MOD($F1570,100)))</f>
        <v/>
      </c>
      <c r="K1570" s="41" t="str">
        <f>IF($G1570="","",IF($G1570&lt;1,ROUND($G1570*1440,0),INT($G1570/100)*60+MOD($G1570,100)))</f>
        <v/>
      </c>
    </row>
    <row r="1571" ht="15" customHeight="1" s="26">
      <c r="A1571" s="34" t="n"/>
      <c r="B1571" s="32" t="n"/>
      <c r="C1571" s="33" t="n"/>
      <c r="D1571" s="37" t="str">
        <f>IF($C1571="","",IFERROR(INDEX(프로젝트목록!$B$3:$B$62,MATCH($C1571,프로젝트목록!$A$3:$A$62,0)),"미등록코드"))</f>
        <v/>
      </c>
      <c r="E1571" s="32" t="n"/>
      <c r="F1571" s="38" t="n"/>
      <c r="G1571" s="38" t="n"/>
      <c r="H1571" s="39" t="n"/>
      <c r="I1571" s="40" t="str">
        <f>IF(OR($J1571="",$K1571=""),"",ROUND(MAX(0,($K1571-$J1571)-IF($H1571="",0,$H1571))/60,2))</f>
        <v/>
      </c>
      <c r="J1571" s="41" t="str">
        <f>IF($F1571="","",IF($F1571&lt;1,ROUND($F1571*1440,0),INT($F1571/100)*60+MOD($F1571,100)))</f>
        <v/>
      </c>
      <c r="K1571" s="41" t="str">
        <f>IF($G1571="","",IF($G1571&lt;1,ROUND($G1571*1440,0),INT($G1571/100)*60+MOD($G1571,100)))</f>
        <v/>
      </c>
    </row>
    <row r="1572" ht="15" customHeight="1" s="26">
      <c r="A1572" s="34" t="n"/>
      <c r="B1572" s="32" t="n"/>
      <c r="C1572" s="33" t="n"/>
      <c r="D1572" s="37" t="str">
        <f>IF($C1572="","",IFERROR(INDEX(프로젝트목록!$B$3:$B$62,MATCH($C1572,프로젝트목록!$A$3:$A$62,0)),"미등록코드"))</f>
        <v/>
      </c>
      <c r="E1572" s="32" t="n"/>
      <c r="F1572" s="38" t="n"/>
      <c r="G1572" s="38" t="n"/>
      <c r="H1572" s="39" t="n"/>
      <c r="I1572" s="40" t="str">
        <f>IF(OR($J1572="",$K1572=""),"",ROUND(MAX(0,($K1572-$J1572)-IF($H1572="",0,$H1572))/60,2))</f>
        <v/>
      </c>
      <c r="J1572" s="41" t="str">
        <f>IF($F1572="","",IF($F1572&lt;1,ROUND($F1572*1440,0),INT($F1572/100)*60+MOD($F1572,100)))</f>
        <v/>
      </c>
      <c r="K1572" s="41" t="str">
        <f>IF($G1572="","",IF($G1572&lt;1,ROUND($G1572*1440,0),INT($G1572/100)*60+MOD($G1572,100)))</f>
        <v/>
      </c>
    </row>
    <row r="1573" ht="15" customHeight="1" s="26">
      <c r="A1573" s="34" t="n"/>
      <c r="B1573" s="32" t="n"/>
      <c r="C1573" s="33" t="n"/>
      <c r="D1573" s="37" t="str">
        <f>IF($C1573="","",IFERROR(INDEX(프로젝트목록!$B$3:$B$62,MATCH($C1573,프로젝트목록!$A$3:$A$62,0)),"미등록코드"))</f>
        <v/>
      </c>
      <c r="E1573" s="32" t="n"/>
      <c r="F1573" s="38" t="n"/>
      <c r="G1573" s="38" t="n"/>
      <c r="H1573" s="39" t="n"/>
      <c r="I1573" s="40" t="str">
        <f>IF(OR($J1573="",$K1573=""),"",ROUND(MAX(0,($K1573-$J1573)-IF($H1573="",0,$H1573))/60,2))</f>
        <v/>
      </c>
      <c r="J1573" s="41" t="str">
        <f>IF($F1573="","",IF($F1573&lt;1,ROUND($F1573*1440,0),INT($F1573/100)*60+MOD($F1573,100)))</f>
        <v/>
      </c>
      <c r="K1573" s="41" t="str">
        <f>IF($G1573="","",IF($G1573&lt;1,ROUND($G1573*1440,0),INT($G1573/100)*60+MOD($G1573,100)))</f>
        <v/>
      </c>
    </row>
    <row r="1574" ht="15" customHeight="1" s="26">
      <c r="A1574" s="34" t="n"/>
      <c r="B1574" s="32" t="n"/>
      <c r="C1574" s="33" t="n"/>
      <c r="D1574" s="37" t="str">
        <f>IF($C1574="","",IFERROR(INDEX(프로젝트목록!$B$3:$B$62,MATCH($C1574,프로젝트목록!$A$3:$A$62,0)),"미등록코드"))</f>
        <v/>
      </c>
      <c r="E1574" s="32" t="n"/>
      <c r="F1574" s="38" t="n"/>
      <c r="G1574" s="38" t="n"/>
      <c r="H1574" s="39" t="n"/>
      <c r="I1574" s="40" t="str">
        <f>IF(OR($J1574="",$K1574=""),"",ROUND(MAX(0,($K1574-$J1574)-IF($H1574="",0,$H1574))/60,2))</f>
        <v/>
      </c>
      <c r="J1574" s="41" t="str">
        <f>IF($F1574="","",IF($F1574&lt;1,ROUND($F1574*1440,0),INT($F1574/100)*60+MOD($F1574,100)))</f>
        <v/>
      </c>
      <c r="K1574" s="41" t="str">
        <f>IF($G1574="","",IF($G1574&lt;1,ROUND($G1574*1440,0),INT($G1574/100)*60+MOD($G1574,100)))</f>
        <v/>
      </c>
    </row>
    <row r="1575" ht="15" customHeight="1" s="26">
      <c r="A1575" s="34" t="n"/>
      <c r="B1575" s="32" t="n"/>
      <c r="C1575" s="33" t="n"/>
      <c r="D1575" s="37" t="str">
        <f>IF($C1575="","",IFERROR(INDEX(프로젝트목록!$B$3:$B$62,MATCH($C1575,프로젝트목록!$A$3:$A$62,0)),"미등록코드"))</f>
        <v/>
      </c>
      <c r="E1575" s="32" t="n"/>
      <c r="F1575" s="38" t="n"/>
      <c r="G1575" s="38" t="n"/>
      <c r="H1575" s="39" t="n"/>
      <c r="I1575" s="40" t="str">
        <f>IF(OR($J1575="",$K1575=""),"",ROUND(MAX(0,($K1575-$J1575)-IF($H1575="",0,$H1575))/60,2))</f>
        <v/>
      </c>
      <c r="J1575" s="41" t="str">
        <f>IF($F1575="","",IF($F1575&lt;1,ROUND($F1575*1440,0),INT($F1575/100)*60+MOD($F1575,100)))</f>
        <v/>
      </c>
      <c r="K1575" s="41" t="str">
        <f>IF($G1575="","",IF($G1575&lt;1,ROUND($G1575*1440,0),INT($G1575/100)*60+MOD($G1575,100)))</f>
        <v/>
      </c>
    </row>
    <row r="1576" ht="15" customHeight="1" s="26">
      <c r="A1576" s="34" t="n"/>
      <c r="B1576" s="32" t="n"/>
      <c r="C1576" s="33" t="n"/>
      <c r="D1576" s="37" t="str">
        <f>IF($C1576="","",IFERROR(INDEX(프로젝트목록!$B$3:$B$62,MATCH($C1576,프로젝트목록!$A$3:$A$62,0)),"미등록코드"))</f>
        <v/>
      </c>
      <c r="E1576" s="32" t="n"/>
      <c r="F1576" s="38" t="n"/>
      <c r="G1576" s="38" t="n"/>
      <c r="H1576" s="39" t="n"/>
      <c r="I1576" s="40" t="str">
        <f>IF(OR($J1576="",$K1576=""),"",ROUND(MAX(0,($K1576-$J1576)-IF($H1576="",0,$H1576))/60,2))</f>
        <v/>
      </c>
      <c r="J1576" s="41" t="str">
        <f>IF($F1576="","",IF($F1576&lt;1,ROUND($F1576*1440,0),INT($F1576/100)*60+MOD($F1576,100)))</f>
        <v/>
      </c>
      <c r="K1576" s="41" t="str">
        <f>IF($G1576="","",IF($G1576&lt;1,ROUND($G1576*1440,0),INT($G1576/100)*60+MOD($G1576,100)))</f>
        <v/>
      </c>
    </row>
    <row r="1577" ht="15" customHeight="1" s="26">
      <c r="A1577" s="34" t="n"/>
      <c r="B1577" s="32" t="n"/>
      <c r="C1577" s="33" t="n"/>
      <c r="D1577" s="37" t="str">
        <f>IF($C1577="","",IFERROR(INDEX(프로젝트목록!$B$3:$B$62,MATCH($C1577,프로젝트목록!$A$3:$A$62,0)),"미등록코드"))</f>
        <v/>
      </c>
      <c r="E1577" s="32" t="n"/>
      <c r="F1577" s="38" t="n"/>
      <c r="G1577" s="38" t="n"/>
      <c r="H1577" s="39" t="n"/>
      <c r="I1577" s="40" t="str">
        <f>IF(OR($J1577="",$K1577=""),"",ROUND(MAX(0,($K1577-$J1577)-IF($H1577="",0,$H1577))/60,2))</f>
        <v/>
      </c>
      <c r="J1577" s="41" t="str">
        <f>IF($F1577="","",IF($F1577&lt;1,ROUND($F1577*1440,0),INT($F1577/100)*60+MOD($F1577,100)))</f>
        <v/>
      </c>
      <c r="K1577" s="41" t="str">
        <f>IF($G1577="","",IF($G1577&lt;1,ROUND($G1577*1440,0),INT($G1577/100)*60+MOD($G1577,100)))</f>
        <v/>
      </c>
    </row>
    <row r="1578" ht="15" customHeight="1" s="26">
      <c r="A1578" s="34" t="n"/>
      <c r="B1578" s="32" t="n"/>
      <c r="C1578" s="33" t="n"/>
      <c r="D1578" s="37" t="str">
        <f>IF($C1578="","",IFERROR(INDEX(프로젝트목록!$B$3:$B$62,MATCH($C1578,프로젝트목록!$A$3:$A$62,0)),"미등록코드"))</f>
        <v/>
      </c>
      <c r="E1578" s="32" t="n"/>
      <c r="F1578" s="38" t="n"/>
      <c r="G1578" s="38" t="n"/>
      <c r="H1578" s="39" t="n"/>
      <c r="I1578" s="40" t="str">
        <f>IF(OR($J1578="",$K1578=""),"",ROUND(MAX(0,($K1578-$J1578)-IF($H1578="",0,$H1578))/60,2))</f>
        <v/>
      </c>
      <c r="J1578" s="41" t="str">
        <f>IF($F1578="","",IF($F1578&lt;1,ROUND($F1578*1440,0),INT($F1578/100)*60+MOD($F1578,100)))</f>
        <v/>
      </c>
      <c r="K1578" s="41" t="str">
        <f>IF($G1578="","",IF($G1578&lt;1,ROUND($G1578*1440,0),INT($G1578/100)*60+MOD($G1578,100)))</f>
        <v/>
      </c>
    </row>
    <row r="1579" ht="15" customHeight="1" s="26">
      <c r="A1579" s="34" t="n"/>
      <c r="B1579" s="32" t="n"/>
      <c r="C1579" s="33" t="n"/>
      <c r="D1579" s="37" t="str">
        <f>IF($C1579="","",IFERROR(INDEX(프로젝트목록!$B$3:$B$62,MATCH($C1579,프로젝트목록!$A$3:$A$62,0)),"미등록코드"))</f>
        <v/>
      </c>
      <c r="E1579" s="32" t="n"/>
      <c r="F1579" s="38" t="n"/>
      <c r="G1579" s="38" t="n"/>
      <c r="H1579" s="39" t="n"/>
      <c r="I1579" s="40" t="str">
        <f>IF(OR($J1579="",$K1579=""),"",ROUND(MAX(0,($K1579-$J1579)-IF($H1579="",0,$H1579))/60,2))</f>
        <v/>
      </c>
      <c r="J1579" s="41" t="str">
        <f>IF($F1579="","",IF($F1579&lt;1,ROUND($F1579*1440,0),INT($F1579/100)*60+MOD($F1579,100)))</f>
        <v/>
      </c>
      <c r="K1579" s="41" t="str">
        <f>IF($G1579="","",IF($G1579&lt;1,ROUND($G1579*1440,0),INT($G1579/100)*60+MOD($G1579,100)))</f>
        <v/>
      </c>
    </row>
    <row r="1580" ht="15" customHeight="1" s="26">
      <c r="A1580" s="34" t="n"/>
      <c r="B1580" s="32" t="n"/>
      <c r="C1580" s="33" t="n"/>
      <c r="D1580" s="37" t="str">
        <f>IF($C1580="","",IFERROR(INDEX(프로젝트목록!$B$3:$B$62,MATCH($C1580,프로젝트목록!$A$3:$A$62,0)),"미등록코드"))</f>
        <v/>
      </c>
      <c r="E1580" s="32" t="n"/>
      <c r="F1580" s="38" t="n"/>
      <c r="G1580" s="38" t="n"/>
      <c r="H1580" s="39" t="n"/>
      <c r="I1580" s="40" t="str">
        <f>IF(OR($J1580="",$K1580=""),"",ROUND(MAX(0,($K1580-$J1580)-IF($H1580="",0,$H1580))/60,2))</f>
        <v/>
      </c>
      <c r="J1580" s="41" t="str">
        <f>IF($F1580="","",IF($F1580&lt;1,ROUND($F1580*1440,0),INT($F1580/100)*60+MOD($F1580,100)))</f>
        <v/>
      </c>
      <c r="K1580" s="41" t="str">
        <f>IF($G1580="","",IF($G1580&lt;1,ROUND($G1580*1440,0),INT($G1580/100)*60+MOD($G1580,100)))</f>
        <v/>
      </c>
    </row>
    <row r="1581" ht="15" customHeight="1" s="26">
      <c r="A1581" s="34" t="n"/>
      <c r="B1581" s="32" t="n"/>
      <c r="C1581" s="33" t="n"/>
      <c r="D1581" s="37" t="str">
        <f>IF($C1581="","",IFERROR(INDEX(프로젝트목록!$B$3:$B$62,MATCH($C1581,프로젝트목록!$A$3:$A$62,0)),"미등록코드"))</f>
        <v/>
      </c>
      <c r="E1581" s="32" t="n"/>
      <c r="F1581" s="38" t="n"/>
      <c r="G1581" s="38" t="n"/>
      <c r="H1581" s="39" t="n"/>
      <c r="I1581" s="40" t="str">
        <f>IF(OR($J1581="",$K1581=""),"",ROUND(MAX(0,($K1581-$J1581)-IF($H1581="",0,$H1581))/60,2))</f>
        <v/>
      </c>
      <c r="J1581" s="41" t="str">
        <f>IF($F1581="","",IF($F1581&lt;1,ROUND($F1581*1440,0),INT($F1581/100)*60+MOD($F1581,100)))</f>
        <v/>
      </c>
      <c r="K1581" s="41" t="str">
        <f>IF($G1581="","",IF($G1581&lt;1,ROUND($G1581*1440,0),INT($G1581/100)*60+MOD($G1581,100)))</f>
        <v/>
      </c>
    </row>
    <row r="1582" ht="15" customHeight="1" s="26">
      <c r="A1582" s="34" t="n"/>
      <c r="B1582" s="32" t="n"/>
      <c r="C1582" s="33" t="n"/>
      <c r="D1582" s="37" t="str">
        <f>IF($C1582="","",IFERROR(INDEX(프로젝트목록!$B$3:$B$62,MATCH($C1582,프로젝트목록!$A$3:$A$62,0)),"미등록코드"))</f>
        <v/>
      </c>
      <c r="E1582" s="32" t="n"/>
      <c r="F1582" s="38" t="n"/>
      <c r="G1582" s="38" t="n"/>
      <c r="H1582" s="39" t="n"/>
      <c r="I1582" s="40" t="str">
        <f>IF(OR($J1582="",$K1582=""),"",ROUND(MAX(0,($K1582-$J1582)-IF($H1582="",0,$H1582))/60,2))</f>
        <v/>
      </c>
      <c r="J1582" s="41" t="str">
        <f>IF($F1582="","",IF($F1582&lt;1,ROUND($F1582*1440,0),INT($F1582/100)*60+MOD($F1582,100)))</f>
        <v/>
      </c>
      <c r="K1582" s="41" t="str">
        <f>IF($G1582="","",IF($G1582&lt;1,ROUND($G1582*1440,0),INT($G1582/100)*60+MOD($G1582,100)))</f>
        <v/>
      </c>
    </row>
    <row r="1583" ht="15" customHeight="1" s="26">
      <c r="A1583" s="34" t="n"/>
      <c r="B1583" s="32" t="n"/>
      <c r="C1583" s="33" t="n"/>
      <c r="D1583" s="37" t="str">
        <f>IF($C1583="","",IFERROR(INDEX(프로젝트목록!$B$3:$B$62,MATCH($C1583,프로젝트목록!$A$3:$A$62,0)),"미등록코드"))</f>
        <v/>
      </c>
      <c r="E1583" s="32" t="n"/>
      <c r="F1583" s="38" t="n"/>
      <c r="G1583" s="38" t="n"/>
      <c r="H1583" s="39" t="n"/>
      <c r="I1583" s="40" t="str">
        <f>IF(OR($J1583="",$K1583=""),"",ROUND(MAX(0,($K1583-$J1583)-IF($H1583="",0,$H1583))/60,2))</f>
        <v/>
      </c>
      <c r="J1583" s="41" t="str">
        <f>IF($F1583="","",IF($F1583&lt;1,ROUND($F1583*1440,0),INT($F1583/100)*60+MOD($F1583,100)))</f>
        <v/>
      </c>
      <c r="K1583" s="41" t="str">
        <f>IF($G1583="","",IF($G1583&lt;1,ROUND($G1583*1440,0),INT($G1583/100)*60+MOD($G1583,100)))</f>
        <v/>
      </c>
    </row>
    <row r="1584" ht="15" customHeight="1" s="26">
      <c r="A1584" s="34" t="n"/>
      <c r="B1584" s="32" t="n"/>
      <c r="C1584" s="33" t="n"/>
      <c r="D1584" s="37" t="str">
        <f>IF($C1584="","",IFERROR(INDEX(프로젝트목록!$B$3:$B$62,MATCH($C1584,프로젝트목록!$A$3:$A$62,0)),"미등록코드"))</f>
        <v/>
      </c>
      <c r="E1584" s="32" t="n"/>
      <c r="F1584" s="38" t="n"/>
      <c r="G1584" s="38" t="n"/>
      <c r="H1584" s="39" t="n"/>
      <c r="I1584" s="40" t="str">
        <f>IF(OR($J1584="",$K1584=""),"",ROUND(MAX(0,($K1584-$J1584)-IF($H1584="",0,$H1584))/60,2))</f>
        <v/>
      </c>
      <c r="J1584" s="41" t="str">
        <f>IF($F1584="","",IF($F1584&lt;1,ROUND($F1584*1440,0),INT($F1584/100)*60+MOD($F1584,100)))</f>
        <v/>
      </c>
      <c r="K1584" s="41" t="str">
        <f>IF($G1584="","",IF($G1584&lt;1,ROUND($G1584*1440,0),INT($G1584/100)*60+MOD($G1584,100)))</f>
        <v/>
      </c>
    </row>
    <row r="1585" ht="15" customHeight="1" s="26">
      <c r="A1585" s="34" t="n"/>
      <c r="B1585" s="32" t="n"/>
      <c r="C1585" s="33" t="n"/>
      <c r="D1585" s="37" t="str">
        <f>IF($C1585="","",IFERROR(INDEX(프로젝트목록!$B$3:$B$62,MATCH($C1585,프로젝트목록!$A$3:$A$62,0)),"미등록코드"))</f>
        <v/>
      </c>
      <c r="E1585" s="32" t="n"/>
      <c r="F1585" s="38" t="n"/>
      <c r="G1585" s="38" t="n"/>
      <c r="H1585" s="39" t="n"/>
      <c r="I1585" s="40" t="str">
        <f>IF(OR($J1585="",$K1585=""),"",ROUND(MAX(0,($K1585-$J1585)-IF($H1585="",0,$H1585))/60,2))</f>
        <v/>
      </c>
      <c r="J1585" s="41" t="str">
        <f>IF($F1585="","",IF($F1585&lt;1,ROUND($F1585*1440,0),INT($F1585/100)*60+MOD($F1585,100)))</f>
        <v/>
      </c>
      <c r="K1585" s="41" t="str">
        <f>IF($G1585="","",IF($G1585&lt;1,ROUND($G1585*1440,0),INT($G1585/100)*60+MOD($G1585,100)))</f>
        <v/>
      </c>
    </row>
    <row r="1586" ht="15" customHeight="1" s="26">
      <c r="A1586" s="34" t="n"/>
      <c r="B1586" s="32" t="n"/>
      <c r="C1586" s="33" t="n"/>
      <c r="D1586" s="37" t="str">
        <f>IF($C1586="","",IFERROR(INDEX(프로젝트목록!$B$3:$B$62,MATCH($C1586,프로젝트목록!$A$3:$A$62,0)),"미등록코드"))</f>
        <v/>
      </c>
      <c r="E1586" s="32" t="n"/>
      <c r="F1586" s="38" t="n"/>
      <c r="G1586" s="38" t="n"/>
      <c r="H1586" s="39" t="n"/>
      <c r="I1586" s="40" t="str">
        <f>IF(OR($J1586="",$K1586=""),"",ROUND(MAX(0,($K1586-$J1586)-IF($H1586="",0,$H1586))/60,2))</f>
        <v/>
      </c>
      <c r="J1586" s="41" t="str">
        <f>IF($F1586="","",IF($F1586&lt;1,ROUND($F1586*1440,0),INT($F1586/100)*60+MOD($F1586,100)))</f>
        <v/>
      </c>
      <c r="K1586" s="41" t="str">
        <f>IF($G1586="","",IF($G1586&lt;1,ROUND($G1586*1440,0),INT($G1586/100)*60+MOD($G1586,100)))</f>
        <v/>
      </c>
    </row>
    <row r="1587" ht="15" customHeight="1" s="26">
      <c r="A1587" s="34" t="n"/>
      <c r="B1587" s="32" t="n"/>
      <c r="C1587" s="33" t="n"/>
      <c r="D1587" s="37" t="str">
        <f>IF($C1587="","",IFERROR(INDEX(프로젝트목록!$B$3:$B$62,MATCH($C1587,프로젝트목록!$A$3:$A$62,0)),"미등록코드"))</f>
        <v/>
      </c>
      <c r="E1587" s="32" t="n"/>
      <c r="F1587" s="38" t="n"/>
      <c r="G1587" s="38" t="n"/>
      <c r="H1587" s="39" t="n"/>
      <c r="I1587" s="40" t="str">
        <f>IF(OR($J1587="",$K1587=""),"",ROUND(MAX(0,($K1587-$J1587)-IF($H1587="",0,$H1587))/60,2))</f>
        <v/>
      </c>
      <c r="J1587" s="41" t="str">
        <f>IF($F1587="","",IF($F1587&lt;1,ROUND($F1587*1440,0),INT($F1587/100)*60+MOD($F1587,100)))</f>
        <v/>
      </c>
      <c r="K1587" s="41" t="str">
        <f>IF($G1587="","",IF($G1587&lt;1,ROUND($G1587*1440,0),INT($G1587/100)*60+MOD($G1587,100)))</f>
        <v/>
      </c>
    </row>
    <row r="1588" ht="15" customHeight="1" s="26">
      <c r="A1588" s="34" t="n"/>
      <c r="B1588" s="32" t="n"/>
      <c r="C1588" s="33" t="n"/>
      <c r="D1588" s="37" t="str">
        <f>IF($C1588="","",IFERROR(INDEX(프로젝트목록!$B$3:$B$62,MATCH($C1588,프로젝트목록!$A$3:$A$62,0)),"미등록코드"))</f>
        <v/>
      </c>
      <c r="E1588" s="32" t="n"/>
      <c r="F1588" s="38" t="n"/>
      <c r="G1588" s="38" t="n"/>
      <c r="H1588" s="39" t="n"/>
      <c r="I1588" s="40" t="str">
        <f>IF(OR($J1588="",$K1588=""),"",ROUND(MAX(0,($K1588-$J1588)-IF($H1588="",0,$H1588))/60,2))</f>
        <v/>
      </c>
      <c r="J1588" s="41" t="str">
        <f>IF($F1588="","",IF($F1588&lt;1,ROUND($F1588*1440,0),INT($F1588/100)*60+MOD($F1588,100)))</f>
        <v/>
      </c>
      <c r="K1588" s="41" t="str">
        <f>IF($G1588="","",IF($G1588&lt;1,ROUND($G1588*1440,0),INT($G1588/100)*60+MOD($G1588,100)))</f>
        <v/>
      </c>
    </row>
    <row r="1589" ht="15" customHeight="1" s="26">
      <c r="A1589" s="34" t="n"/>
      <c r="B1589" s="32" t="n"/>
      <c r="C1589" s="33" t="n"/>
      <c r="D1589" s="37" t="str">
        <f>IF($C1589="","",IFERROR(INDEX(프로젝트목록!$B$3:$B$62,MATCH($C1589,프로젝트목록!$A$3:$A$62,0)),"미등록코드"))</f>
        <v/>
      </c>
      <c r="E1589" s="32" t="n"/>
      <c r="F1589" s="38" t="n"/>
      <c r="G1589" s="38" t="n"/>
      <c r="H1589" s="39" t="n"/>
      <c r="I1589" s="40" t="str">
        <f>IF(OR($J1589="",$K1589=""),"",ROUND(MAX(0,($K1589-$J1589)-IF($H1589="",0,$H1589))/60,2))</f>
        <v/>
      </c>
      <c r="J1589" s="41" t="str">
        <f>IF($F1589="","",IF($F1589&lt;1,ROUND($F1589*1440,0),INT($F1589/100)*60+MOD($F1589,100)))</f>
        <v/>
      </c>
      <c r="K1589" s="41" t="str">
        <f>IF($G1589="","",IF($G1589&lt;1,ROUND($G1589*1440,0),INT($G1589/100)*60+MOD($G1589,100)))</f>
        <v/>
      </c>
    </row>
    <row r="1590" ht="15" customHeight="1" s="26">
      <c r="A1590" s="34" t="n"/>
      <c r="B1590" s="32" t="n"/>
      <c r="C1590" s="33" t="n"/>
      <c r="D1590" s="37" t="str">
        <f>IF($C1590="","",IFERROR(INDEX(프로젝트목록!$B$3:$B$62,MATCH($C1590,프로젝트목록!$A$3:$A$62,0)),"미등록코드"))</f>
        <v/>
      </c>
      <c r="E1590" s="32" t="n"/>
      <c r="F1590" s="38" t="n"/>
      <c r="G1590" s="38" t="n"/>
      <c r="H1590" s="39" t="n"/>
      <c r="I1590" s="40" t="str">
        <f>IF(OR($J1590="",$K1590=""),"",ROUND(MAX(0,($K1590-$J1590)-IF($H1590="",0,$H1590))/60,2))</f>
        <v/>
      </c>
      <c r="J1590" s="41" t="str">
        <f>IF($F1590="","",IF($F1590&lt;1,ROUND($F1590*1440,0),INT($F1590/100)*60+MOD($F1590,100)))</f>
        <v/>
      </c>
      <c r="K1590" s="41" t="str">
        <f>IF($G1590="","",IF($G1590&lt;1,ROUND($G1590*1440,0),INT($G1590/100)*60+MOD($G1590,100)))</f>
        <v/>
      </c>
    </row>
    <row r="1591" ht="15" customHeight="1" s="26">
      <c r="A1591" s="34" t="n"/>
      <c r="B1591" s="32" t="n"/>
      <c r="C1591" s="33" t="n"/>
      <c r="D1591" s="37" t="str">
        <f>IF($C1591="","",IFERROR(INDEX(프로젝트목록!$B$3:$B$62,MATCH($C1591,프로젝트목록!$A$3:$A$62,0)),"미등록코드"))</f>
        <v/>
      </c>
      <c r="E1591" s="32" t="n"/>
      <c r="F1591" s="38" t="n"/>
      <c r="G1591" s="38" t="n"/>
      <c r="H1591" s="39" t="n"/>
      <c r="I1591" s="40" t="str">
        <f>IF(OR($J1591="",$K1591=""),"",ROUND(MAX(0,($K1591-$J1591)-IF($H1591="",0,$H1591))/60,2))</f>
        <v/>
      </c>
      <c r="J1591" s="41" t="str">
        <f>IF($F1591="","",IF($F1591&lt;1,ROUND($F1591*1440,0),INT($F1591/100)*60+MOD($F1591,100)))</f>
        <v/>
      </c>
      <c r="K1591" s="41" t="str">
        <f>IF($G1591="","",IF($G1591&lt;1,ROUND($G1591*1440,0),INT($G1591/100)*60+MOD($G1591,100)))</f>
        <v/>
      </c>
    </row>
    <row r="1592" ht="15" customHeight="1" s="26">
      <c r="A1592" s="34" t="n"/>
      <c r="B1592" s="32" t="n"/>
      <c r="C1592" s="33" t="n"/>
      <c r="D1592" s="37" t="str">
        <f>IF($C1592="","",IFERROR(INDEX(프로젝트목록!$B$3:$B$62,MATCH($C1592,프로젝트목록!$A$3:$A$62,0)),"미등록코드"))</f>
        <v/>
      </c>
      <c r="E1592" s="32" t="n"/>
      <c r="F1592" s="38" t="n"/>
      <c r="G1592" s="38" t="n"/>
      <c r="H1592" s="39" t="n"/>
      <c r="I1592" s="40" t="str">
        <f>IF(OR($J1592="",$K1592=""),"",ROUND(MAX(0,($K1592-$J1592)-IF($H1592="",0,$H1592))/60,2))</f>
        <v/>
      </c>
      <c r="J1592" s="41" t="str">
        <f>IF($F1592="","",IF($F1592&lt;1,ROUND($F1592*1440,0),INT($F1592/100)*60+MOD($F1592,100)))</f>
        <v/>
      </c>
      <c r="K1592" s="41" t="str">
        <f>IF($G1592="","",IF($G1592&lt;1,ROUND($G1592*1440,0),INT($G1592/100)*60+MOD($G1592,100)))</f>
        <v/>
      </c>
    </row>
    <row r="1593" ht="15" customHeight="1" s="26">
      <c r="A1593" s="34" t="n"/>
      <c r="B1593" s="32" t="n"/>
      <c r="C1593" s="33" t="n"/>
      <c r="D1593" s="37" t="str">
        <f>IF($C1593="","",IFERROR(INDEX(프로젝트목록!$B$3:$B$62,MATCH($C1593,프로젝트목록!$A$3:$A$62,0)),"미등록코드"))</f>
        <v/>
      </c>
      <c r="E1593" s="32" t="n"/>
      <c r="F1593" s="38" t="n"/>
      <c r="G1593" s="38" t="n"/>
      <c r="H1593" s="39" t="n"/>
      <c r="I1593" s="40" t="str">
        <f>IF(OR($J1593="",$K1593=""),"",ROUND(MAX(0,($K1593-$J1593)-IF($H1593="",0,$H1593))/60,2))</f>
        <v/>
      </c>
      <c r="J1593" s="41" t="str">
        <f>IF($F1593="","",IF($F1593&lt;1,ROUND($F1593*1440,0),INT($F1593/100)*60+MOD($F1593,100)))</f>
        <v/>
      </c>
      <c r="K1593" s="41" t="str">
        <f>IF($G1593="","",IF($G1593&lt;1,ROUND($G1593*1440,0),INT($G1593/100)*60+MOD($G1593,100)))</f>
        <v/>
      </c>
    </row>
    <row r="1594" ht="15" customHeight="1" s="26">
      <c r="A1594" s="34" t="n"/>
      <c r="B1594" s="32" t="n"/>
      <c r="C1594" s="33" t="n"/>
      <c r="D1594" s="37" t="str">
        <f>IF($C1594="","",IFERROR(INDEX(프로젝트목록!$B$3:$B$62,MATCH($C1594,프로젝트목록!$A$3:$A$62,0)),"미등록코드"))</f>
        <v/>
      </c>
      <c r="E1594" s="32" t="n"/>
      <c r="F1594" s="38" t="n"/>
      <c r="G1594" s="38" t="n"/>
      <c r="H1594" s="39" t="n"/>
      <c r="I1594" s="40" t="str">
        <f>IF(OR($J1594="",$K1594=""),"",ROUND(MAX(0,($K1594-$J1594)-IF($H1594="",0,$H1594))/60,2))</f>
        <v/>
      </c>
      <c r="J1594" s="41" t="str">
        <f>IF($F1594="","",IF($F1594&lt;1,ROUND($F1594*1440,0),INT($F1594/100)*60+MOD($F1594,100)))</f>
        <v/>
      </c>
      <c r="K1594" s="41" t="str">
        <f>IF($G1594="","",IF($G1594&lt;1,ROUND($G1594*1440,0),INT($G1594/100)*60+MOD($G1594,100)))</f>
        <v/>
      </c>
    </row>
    <row r="1595" ht="15" customHeight="1" s="26">
      <c r="A1595" s="34" t="n"/>
      <c r="B1595" s="32" t="n"/>
      <c r="C1595" s="33" t="n"/>
      <c r="D1595" s="37" t="str">
        <f>IF($C1595="","",IFERROR(INDEX(프로젝트목록!$B$3:$B$62,MATCH($C1595,프로젝트목록!$A$3:$A$62,0)),"미등록코드"))</f>
        <v/>
      </c>
      <c r="E1595" s="32" t="n"/>
      <c r="F1595" s="38" t="n"/>
      <c r="G1595" s="38" t="n"/>
      <c r="H1595" s="39" t="n"/>
      <c r="I1595" s="40" t="str">
        <f>IF(OR($J1595="",$K1595=""),"",ROUND(MAX(0,($K1595-$J1595)-IF($H1595="",0,$H1595))/60,2))</f>
        <v/>
      </c>
      <c r="J1595" s="41" t="str">
        <f>IF($F1595="","",IF($F1595&lt;1,ROUND($F1595*1440,0),INT($F1595/100)*60+MOD($F1595,100)))</f>
        <v/>
      </c>
      <c r="K1595" s="41" t="str">
        <f>IF($G1595="","",IF($G1595&lt;1,ROUND($G1595*1440,0),INT($G1595/100)*60+MOD($G1595,100)))</f>
        <v/>
      </c>
    </row>
    <row r="1596" ht="15" customHeight="1" s="26">
      <c r="A1596" s="34" t="n"/>
      <c r="B1596" s="32" t="n"/>
      <c r="C1596" s="33" t="n"/>
      <c r="D1596" s="37" t="str">
        <f>IF($C1596="","",IFERROR(INDEX(프로젝트목록!$B$3:$B$62,MATCH($C1596,프로젝트목록!$A$3:$A$62,0)),"미등록코드"))</f>
        <v/>
      </c>
      <c r="E1596" s="32" t="n"/>
      <c r="F1596" s="38" t="n"/>
      <c r="G1596" s="38" t="n"/>
      <c r="H1596" s="39" t="n"/>
      <c r="I1596" s="40" t="str">
        <f>IF(OR($J1596="",$K1596=""),"",ROUND(MAX(0,($K1596-$J1596)-IF($H1596="",0,$H1596))/60,2))</f>
        <v/>
      </c>
      <c r="J1596" s="41" t="str">
        <f>IF($F1596="","",IF($F1596&lt;1,ROUND($F1596*1440,0),INT($F1596/100)*60+MOD($F1596,100)))</f>
        <v/>
      </c>
      <c r="K1596" s="41" t="str">
        <f>IF($G1596="","",IF($G1596&lt;1,ROUND($G1596*1440,0),INT($G1596/100)*60+MOD($G1596,100)))</f>
        <v/>
      </c>
    </row>
    <row r="1597" ht="15" customHeight="1" s="26">
      <c r="A1597" s="34" t="n"/>
      <c r="B1597" s="32" t="n"/>
      <c r="C1597" s="33" t="n"/>
      <c r="D1597" s="37" t="str">
        <f>IF($C1597="","",IFERROR(INDEX(프로젝트목록!$B$3:$B$62,MATCH($C1597,프로젝트목록!$A$3:$A$62,0)),"미등록코드"))</f>
        <v/>
      </c>
      <c r="E1597" s="32" t="n"/>
      <c r="F1597" s="38" t="n"/>
      <c r="G1597" s="38" t="n"/>
      <c r="H1597" s="39" t="n"/>
      <c r="I1597" s="40" t="str">
        <f>IF(OR($J1597="",$K1597=""),"",ROUND(MAX(0,($K1597-$J1597)-IF($H1597="",0,$H1597))/60,2))</f>
        <v/>
      </c>
      <c r="J1597" s="41" t="str">
        <f>IF($F1597="","",IF($F1597&lt;1,ROUND($F1597*1440,0),INT($F1597/100)*60+MOD($F1597,100)))</f>
        <v/>
      </c>
      <c r="K1597" s="41" t="str">
        <f>IF($G1597="","",IF($G1597&lt;1,ROUND($G1597*1440,0),INT($G1597/100)*60+MOD($G1597,100)))</f>
        <v/>
      </c>
    </row>
    <row r="1598" ht="15" customHeight="1" s="26">
      <c r="A1598" s="34" t="n"/>
      <c r="B1598" s="32" t="n"/>
      <c r="C1598" s="33" t="n"/>
      <c r="D1598" s="37" t="str">
        <f>IF($C1598="","",IFERROR(INDEX(프로젝트목록!$B$3:$B$62,MATCH($C1598,프로젝트목록!$A$3:$A$62,0)),"미등록코드"))</f>
        <v/>
      </c>
      <c r="E1598" s="32" t="n"/>
      <c r="F1598" s="38" t="n"/>
      <c r="G1598" s="38" t="n"/>
      <c r="H1598" s="39" t="n"/>
      <c r="I1598" s="40" t="str">
        <f>IF(OR($J1598="",$K1598=""),"",ROUND(MAX(0,($K1598-$J1598)-IF($H1598="",0,$H1598))/60,2))</f>
        <v/>
      </c>
      <c r="J1598" s="41" t="str">
        <f>IF($F1598="","",IF($F1598&lt;1,ROUND($F1598*1440,0),INT($F1598/100)*60+MOD($F1598,100)))</f>
        <v/>
      </c>
      <c r="K1598" s="41" t="str">
        <f>IF($G1598="","",IF($G1598&lt;1,ROUND($G1598*1440,0),INT($G1598/100)*60+MOD($G1598,100)))</f>
        <v/>
      </c>
    </row>
    <row r="1599" ht="15" customHeight="1" s="26">
      <c r="A1599" s="34" t="n"/>
      <c r="B1599" s="32" t="n"/>
      <c r="C1599" s="33" t="n"/>
      <c r="D1599" s="37" t="str">
        <f>IF($C1599="","",IFERROR(INDEX(프로젝트목록!$B$3:$B$62,MATCH($C1599,프로젝트목록!$A$3:$A$62,0)),"미등록코드"))</f>
        <v/>
      </c>
      <c r="E1599" s="32" t="n"/>
      <c r="F1599" s="38" t="n"/>
      <c r="G1599" s="38" t="n"/>
      <c r="H1599" s="39" t="n"/>
      <c r="I1599" s="40" t="str">
        <f>IF(OR($J1599="",$K1599=""),"",ROUND(MAX(0,($K1599-$J1599)-IF($H1599="",0,$H1599))/60,2))</f>
        <v/>
      </c>
      <c r="J1599" s="41" t="str">
        <f>IF($F1599="","",IF($F1599&lt;1,ROUND($F1599*1440,0),INT($F1599/100)*60+MOD($F1599,100)))</f>
        <v/>
      </c>
      <c r="K1599" s="41" t="str">
        <f>IF($G1599="","",IF($G1599&lt;1,ROUND($G1599*1440,0),INT($G1599/100)*60+MOD($G1599,100)))</f>
        <v/>
      </c>
    </row>
    <row r="1600" ht="15" customHeight="1" s="26">
      <c r="A1600" s="34" t="n"/>
      <c r="B1600" s="32" t="n"/>
      <c r="C1600" s="33" t="n"/>
      <c r="D1600" s="37" t="str">
        <f>IF($C1600="","",IFERROR(INDEX(프로젝트목록!$B$3:$B$62,MATCH($C1600,프로젝트목록!$A$3:$A$62,0)),"미등록코드"))</f>
        <v/>
      </c>
      <c r="E1600" s="32" t="n"/>
      <c r="F1600" s="38" t="n"/>
      <c r="G1600" s="38" t="n"/>
      <c r="H1600" s="39" t="n"/>
      <c r="I1600" s="40" t="str">
        <f>IF(OR($J1600="",$K1600=""),"",ROUND(MAX(0,($K1600-$J1600)-IF($H1600="",0,$H1600))/60,2))</f>
        <v/>
      </c>
      <c r="J1600" s="41" t="str">
        <f>IF($F1600="","",IF($F1600&lt;1,ROUND($F1600*1440,0),INT($F1600/100)*60+MOD($F1600,100)))</f>
        <v/>
      </c>
      <c r="K1600" s="41" t="str">
        <f>IF($G1600="","",IF($G1600&lt;1,ROUND($G1600*1440,0),INT($G1600/100)*60+MOD($G1600,100)))</f>
        <v/>
      </c>
    </row>
    <row r="1601" ht="15" customHeight="1" s="26">
      <c r="A1601" s="34" t="n"/>
      <c r="B1601" s="32" t="n"/>
      <c r="C1601" s="33" t="n"/>
      <c r="D1601" s="37" t="str">
        <f>IF($C1601="","",IFERROR(INDEX(프로젝트목록!$B$3:$B$62,MATCH($C1601,프로젝트목록!$A$3:$A$62,0)),"미등록코드"))</f>
        <v/>
      </c>
      <c r="E1601" s="32" t="n"/>
      <c r="F1601" s="38" t="n"/>
      <c r="G1601" s="38" t="n"/>
      <c r="H1601" s="39" t="n"/>
      <c r="I1601" s="40" t="str">
        <f>IF(OR($J1601="",$K1601=""),"",ROUND(MAX(0,($K1601-$J1601)-IF($H1601="",0,$H1601))/60,2))</f>
        <v/>
      </c>
      <c r="J1601" s="41" t="str">
        <f>IF($F1601="","",IF($F1601&lt;1,ROUND($F1601*1440,0),INT($F1601/100)*60+MOD($F1601,100)))</f>
        <v/>
      </c>
      <c r="K1601" s="41" t="str">
        <f>IF($G1601="","",IF($G1601&lt;1,ROUND($G1601*1440,0),INT($G1601/100)*60+MOD($G1601,100)))</f>
        <v/>
      </c>
    </row>
    <row r="1602" ht="15" customHeight="1" s="26">
      <c r="A1602" s="34" t="n"/>
      <c r="B1602" s="32" t="n"/>
      <c r="C1602" s="33" t="n"/>
      <c r="D1602" s="37" t="str">
        <f>IF($C1602="","",IFERROR(INDEX(프로젝트목록!$B$3:$B$62,MATCH($C1602,프로젝트목록!$A$3:$A$62,0)),"미등록코드"))</f>
        <v/>
      </c>
      <c r="E1602" s="32" t="n"/>
      <c r="F1602" s="38" t="n"/>
      <c r="G1602" s="38" t="n"/>
      <c r="H1602" s="39" t="n"/>
      <c r="I1602" s="40" t="str">
        <f>IF(OR($J1602="",$K1602=""),"",ROUND(MAX(0,($K1602-$J1602)-IF($H1602="",0,$H1602))/60,2))</f>
        <v/>
      </c>
      <c r="J1602" s="41" t="str">
        <f>IF($F1602="","",IF($F1602&lt;1,ROUND($F1602*1440,0),INT($F1602/100)*60+MOD($F1602,100)))</f>
        <v/>
      </c>
      <c r="K1602" s="41" t="str">
        <f>IF($G1602="","",IF($G1602&lt;1,ROUND($G1602*1440,0),INT($G1602/100)*60+MOD($G1602,100)))</f>
        <v/>
      </c>
    </row>
    <row r="1603" ht="15" customHeight="1" s="26">
      <c r="A1603" s="34" t="n"/>
      <c r="B1603" s="32" t="n"/>
      <c r="C1603" s="33" t="n"/>
      <c r="D1603" s="37" t="str">
        <f>IF($C1603="","",IFERROR(INDEX(프로젝트목록!$B$3:$B$62,MATCH($C1603,프로젝트목록!$A$3:$A$62,0)),"미등록코드"))</f>
        <v/>
      </c>
      <c r="E1603" s="32" t="n"/>
      <c r="F1603" s="38" t="n"/>
      <c r="G1603" s="38" t="n"/>
      <c r="H1603" s="39" t="n"/>
      <c r="I1603" s="40" t="str">
        <f>IF(OR($J1603="",$K1603=""),"",ROUND(MAX(0,($K1603-$J1603)-IF($H1603="",0,$H1603))/60,2))</f>
        <v/>
      </c>
      <c r="J1603" s="41" t="str">
        <f>IF($F1603="","",IF($F1603&lt;1,ROUND($F1603*1440,0),INT($F1603/100)*60+MOD($F1603,100)))</f>
        <v/>
      </c>
      <c r="K1603" s="41" t="str">
        <f>IF($G1603="","",IF($G1603&lt;1,ROUND($G1603*1440,0),INT($G1603/100)*60+MOD($G1603,100)))</f>
        <v/>
      </c>
    </row>
    <row r="1604" ht="15" customHeight="1" s="26">
      <c r="A1604" s="34" t="n"/>
      <c r="B1604" s="32" t="n"/>
      <c r="C1604" s="33" t="n"/>
      <c r="D1604" s="37" t="str">
        <f>IF($C1604="","",IFERROR(INDEX(프로젝트목록!$B$3:$B$62,MATCH($C1604,프로젝트목록!$A$3:$A$62,0)),"미등록코드"))</f>
        <v/>
      </c>
      <c r="E1604" s="32" t="n"/>
      <c r="F1604" s="38" t="n"/>
      <c r="G1604" s="38" t="n"/>
      <c r="H1604" s="39" t="n"/>
      <c r="I1604" s="40" t="str">
        <f>IF(OR($J1604="",$K1604=""),"",ROUND(MAX(0,($K1604-$J1604)-IF($H1604="",0,$H1604))/60,2))</f>
        <v/>
      </c>
      <c r="J1604" s="41" t="str">
        <f>IF($F1604="","",IF($F1604&lt;1,ROUND($F1604*1440,0),INT($F1604/100)*60+MOD($F1604,100)))</f>
        <v/>
      </c>
      <c r="K1604" s="41" t="str">
        <f>IF($G1604="","",IF($G1604&lt;1,ROUND($G1604*1440,0),INT($G1604/100)*60+MOD($G1604,100)))</f>
        <v/>
      </c>
    </row>
    <row r="1605" ht="15" customHeight="1" s="26">
      <c r="A1605" s="34" t="n"/>
      <c r="B1605" s="32" t="n"/>
      <c r="C1605" s="33" t="n"/>
      <c r="D1605" s="37" t="str">
        <f>IF($C1605="","",IFERROR(INDEX(프로젝트목록!$B$3:$B$62,MATCH($C1605,프로젝트목록!$A$3:$A$62,0)),"미등록코드"))</f>
        <v/>
      </c>
      <c r="E1605" s="32" t="n"/>
      <c r="F1605" s="38" t="n"/>
      <c r="G1605" s="38" t="n"/>
      <c r="H1605" s="39" t="n"/>
      <c r="I1605" s="40" t="str">
        <f>IF(OR($J1605="",$K1605=""),"",ROUND(MAX(0,($K1605-$J1605)-IF($H1605="",0,$H1605))/60,2))</f>
        <v/>
      </c>
      <c r="J1605" s="41" t="str">
        <f>IF($F1605="","",IF($F1605&lt;1,ROUND($F1605*1440,0),INT($F1605/100)*60+MOD($F1605,100)))</f>
        <v/>
      </c>
      <c r="K1605" s="41" t="str">
        <f>IF($G1605="","",IF($G1605&lt;1,ROUND($G1605*1440,0),INT($G1605/100)*60+MOD($G1605,100)))</f>
        <v/>
      </c>
    </row>
    <row r="1606" ht="15" customHeight="1" s="26">
      <c r="A1606" s="34" t="n"/>
      <c r="B1606" s="32" t="n"/>
      <c r="C1606" s="33" t="n"/>
      <c r="D1606" s="37" t="str">
        <f>IF($C1606="","",IFERROR(INDEX(프로젝트목록!$B$3:$B$62,MATCH($C1606,프로젝트목록!$A$3:$A$62,0)),"미등록코드"))</f>
        <v/>
      </c>
      <c r="E1606" s="32" t="n"/>
      <c r="F1606" s="38" t="n"/>
      <c r="G1606" s="38" t="n"/>
      <c r="H1606" s="39" t="n"/>
      <c r="I1606" s="40" t="str">
        <f>IF(OR($J1606="",$K1606=""),"",ROUND(MAX(0,($K1606-$J1606)-IF($H1606="",0,$H1606))/60,2))</f>
        <v/>
      </c>
      <c r="J1606" s="41" t="str">
        <f>IF($F1606="","",IF($F1606&lt;1,ROUND($F1606*1440,0),INT($F1606/100)*60+MOD($F1606,100)))</f>
        <v/>
      </c>
      <c r="K1606" s="41" t="str">
        <f>IF($G1606="","",IF($G1606&lt;1,ROUND($G1606*1440,0),INT($G1606/100)*60+MOD($G1606,100)))</f>
        <v/>
      </c>
    </row>
    <row r="1607" ht="15" customHeight="1" s="26">
      <c r="A1607" s="34" t="n"/>
      <c r="B1607" s="32" t="n"/>
      <c r="C1607" s="33" t="n"/>
      <c r="D1607" s="37" t="str">
        <f>IF($C1607="","",IFERROR(INDEX(프로젝트목록!$B$3:$B$62,MATCH($C1607,프로젝트목록!$A$3:$A$62,0)),"미등록코드"))</f>
        <v/>
      </c>
      <c r="E1607" s="32" t="n"/>
      <c r="F1607" s="38" t="n"/>
      <c r="G1607" s="38" t="n"/>
      <c r="H1607" s="39" t="n"/>
      <c r="I1607" s="40" t="str">
        <f>IF(OR($J1607="",$K1607=""),"",ROUND(MAX(0,($K1607-$J1607)-IF($H1607="",0,$H1607))/60,2))</f>
        <v/>
      </c>
      <c r="J1607" s="41" t="str">
        <f>IF($F1607="","",IF($F1607&lt;1,ROUND($F1607*1440,0),INT($F1607/100)*60+MOD($F1607,100)))</f>
        <v/>
      </c>
      <c r="K1607" s="41" t="str">
        <f>IF($G1607="","",IF($G1607&lt;1,ROUND($G1607*1440,0),INT($G1607/100)*60+MOD($G1607,100)))</f>
        <v/>
      </c>
    </row>
    <row r="1608" ht="15" customHeight="1" s="26">
      <c r="A1608" s="34" t="n"/>
      <c r="B1608" s="32" t="n"/>
      <c r="C1608" s="33" t="n"/>
      <c r="D1608" s="37" t="str">
        <f>IF($C1608="","",IFERROR(INDEX(프로젝트목록!$B$3:$B$62,MATCH($C1608,프로젝트목록!$A$3:$A$62,0)),"미등록코드"))</f>
        <v/>
      </c>
      <c r="E1608" s="32" t="n"/>
      <c r="F1608" s="38" t="n"/>
      <c r="G1608" s="38" t="n"/>
      <c r="H1608" s="39" t="n"/>
      <c r="I1608" s="40" t="str">
        <f>IF(OR($J1608="",$K1608=""),"",ROUND(MAX(0,($K1608-$J1608)-IF($H1608="",0,$H1608))/60,2))</f>
        <v/>
      </c>
      <c r="J1608" s="41" t="str">
        <f>IF($F1608="","",IF($F1608&lt;1,ROUND($F1608*1440,0),INT($F1608/100)*60+MOD($F1608,100)))</f>
        <v/>
      </c>
      <c r="K1608" s="41" t="str">
        <f>IF($G1608="","",IF($G1608&lt;1,ROUND($G1608*1440,0),INT($G1608/100)*60+MOD($G1608,100)))</f>
        <v/>
      </c>
    </row>
    <row r="1609" ht="15" customHeight="1" s="26">
      <c r="A1609" s="34" t="n"/>
      <c r="B1609" s="32" t="n"/>
      <c r="C1609" s="33" t="n"/>
      <c r="D1609" s="37" t="str">
        <f>IF($C1609="","",IFERROR(INDEX(프로젝트목록!$B$3:$B$62,MATCH($C1609,프로젝트목록!$A$3:$A$62,0)),"미등록코드"))</f>
        <v/>
      </c>
      <c r="E1609" s="32" t="n"/>
      <c r="F1609" s="38" t="n"/>
      <c r="G1609" s="38" t="n"/>
      <c r="H1609" s="39" t="n"/>
      <c r="I1609" s="40" t="str">
        <f>IF(OR($J1609="",$K1609=""),"",ROUND(MAX(0,($K1609-$J1609)-IF($H1609="",0,$H1609))/60,2))</f>
        <v/>
      </c>
      <c r="J1609" s="41" t="str">
        <f>IF($F1609="","",IF($F1609&lt;1,ROUND($F1609*1440,0),INT($F1609/100)*60+MOD($F1609,100)))</f>
        <v/>
      </c>
      <c r="K1609" s="41" t="str">
        <f>IF($G1609="","",IF($G1609&lt;1,ROUND($G1609*1440,0),INT($G1609/100)*60+MOD($G1609,100)))</f>
        <v/>
      </c>
    </row>
    <row r="1610" ht="15" customHeight="1" s="26">
      <c r="A1610" s="34" t="n"/>
      <c r="B1610" s="32" t="n"/>
      <c r="C1610" s="33" t="n"/>
      <c r="D1610" s="37" t="str">
        <f>IF($C1610="","",IFERROR(INDEX(프로젝트목록!$B$3:$B$62,MATCH($C1610,프로젝트목록!$A$3:$A$62,0)),"미등록코드"))</f>
        <v/>
      </c>
      <c r="E1610" s="32" t="n"/>
      <c r="F1610" s="38" t="n"/>
      <c r="G1610" s="38" t="n"/>
      <c r="H1610" s="39" t="n"/>
      <c r="I1610" s="40" t="str">
        <f>IF(OR($J1610="",$K1610=""),"",ROUND(MAX(0,($K1610-$J1610)-IF($H1610="",0,$H1610))/60,2))</f>
        <v/>
      </c>
      <c r="J1610" s="41" t="str">
        <f>IF($F1610="","",IF($F1610&lt;1,ROUND($F1610*1440,0),INT($F1610/100)*60+MOD($F1610,100)))</f>
        <v/>
      </c>
      <c r="K1610" s="41" t="str">
        <f>IF($G1610="","",IF($G1610&lt;1,ROUND($G1610*1440,0),INT($G1610/100)*60+MOD($G1610,100)))</f>
        <v/>
      </c>
    </row>
    <row r="1611" ht="15" customHeight="1" s="26">
      <c r="A1611" s="34" t="n"/>
      <c r="B1611" s="32" t="n"/>
      <c r="C1611" s="33" t="n"/>
      <c r="D1611" s="37" t="str">
        <f>IF($C1611="","",IFERROR(INDEX(프로젝트목록!$B$3:$B$62,MATCH($C1611,프로젝트목록!$A$3:$A$62,0)),"미등록코드"))</f>
        <v/>
      </c>
      <c r="E1611" s="32" t="n"/>
      <c r="F1611" s="38" t="n"/>
      <c r="G1611" s="38" t="n"/>
      <c r="H1611" s="39" t="n"/>
      <c r="I1611" s="40" t="str">
        <f>IF(OR($J1611="",$K1611=""),"",ROUND(MAX(0,($K1611-$J1611)-IF($H1611="",0,$H1611))/60,2))</f>
        <v/>
      </c>
      <c r="J1611" s="41" t="str">
        <f>IF($F1611="","",IF($F1611&lt;1,ROUND($F1611*1440,0),INT($F1611/100)*60+MOD($F1611,100)))</f>
        <v/>
      </c>
      <c r="K1611" s="41" t="str">
        <f>IF($G1611="","",IF($G1611&lt;1,ROUND($G1611*1440,0),INT($G1611/100)*60+MOD($G1611,100)))</f>
        <v/>
      </c>
    </row>
    <row r="1612" ht="15" customHeight="1" s="26">
      <c r="A1612" s="34" t="n"/>
      <c r="B1612" s="32" t="n"/>
      <c r="C1612" s="33" t="n"/>
      <c r="D1612" s="37" t="str">
        <f>IF($C1612="","",IFERROR(INDEX(프로젝트목록!$B$3:$B$62,MATCH($C1612,프로젝트목록!$A$3:$A$62,0)),"미등록코드"))</f>
        <v/>
      </c>
      <c r="E1612" s="32" t="n"/>
      <c r="F1612" s="38" t="n"/>
      <c r="G1612" s="38" t="n"/>
      <c r="H1612" s="39" t="n"/>
      <c r="I1612" s="40" t="str">
        <f>IF(OR($J1612="",$K1612=""),"",ROUND(MAX(0,($K1612-$J1612)-IF($H1612="",0,$H1612))/60,2))</f>
        <v/>
      </c>
      <c r="J1612" s="41" t="str">
        <f>IF($F1612="","",IF($F1612&lt;1,ROUND($F1612*1440,0),INT($F1612/100)*60+MOD($F1612,100)))</f>
        <v/>
      </c>
      <c r="K1612" s="41" t="str">
        <f>IF($G1612="","",IF($G1612&lt;1,ROUND($G1612*1440,0),INT($G1612/100)*60+MOD($G1612,100)))</f>
        <v/>
      </c>
    </row>
    <row r="1613" ht="15" customHeight="1" s="26">
      <c r="A1613" s="34" t="n"/>
      <c r="B1613" s="32" t="n"/>
      <c r="C1613" s="33" t="n"/>
      <c r="D1613" s="37" t="str">
        <f>IF($C1613="","",IFERROR(INDEX(프로젝트목록!$B$3:$B$62,MATCH($C1613,프로젝트목록!$A$3:$A$62,0)),"미등록코드"))</f>
        <v/>
      </c>
      <c r="E1613" s="32" t="n"/>
      <c r="F1613" s="38" t="n"/>
      <c r="G1613" s="38" t="n"/>
      <c r="H1613" s="39" t="n"/>
      <c r="I1613" s="40" t="str">
        <f>IF(OR($J1613="",$K1613=""),"",ROUND(MAX(0,($K1613-$J1613)-IF($H1613="",0,$H1613))/60,2))</f>
        <v/>
      </c>
      <c r="J1613" s="41" t="str">
        <f>IF($F1613="","",IF($F1613&lt;1,ROUND($F1613*1440,0),INT($F1613/100)*60+MOD($F1613,100)))</f>
        <v/>
      </c>
      <c r="K1613" s="41" t="str">
        <f>IF($G1613="","",IF($G1613&lt;1,ROUND($G1613*1440,0),INT($G1613/100)*60+MOD($G1613,100)))</f>
        <v/>
      </c>
    </row>
    <row r="1614" ht="15" customHeight="1" s="26">
      <c r="A1614" s="34" t="n"/>
      <c r="B1614" s="32" t="n"/>
      <c r="C1614" s="33" t="n"/>
      <c r="D1614" s="37" t="str">
        <f>IF($C1614="","",IFERROR(INDEX(프로젝트목록!$B$3:$B$62,MATCH($C1614,프로젝트목록!$A$3:$A$62,0)),"미등록코드"))</f>
        <v/>
      </c>
      <c r="E1614" s="32" t="n"/>
      <c r="F1614" s="38" t="n"/>
      <c r="G1614" s="38" t="n"/>
      <c r="H1614" s="39" t="n"/>
      <c r="I1614" s="40" t="str">
        <f>IF(OR($J1614="",$K1614=""),"",ROUND(MAX(0,($K1614-$J1614)-IF($H1614="",0,$H1614))/60,2))</f>
        <v/>
      </c>
      <c r="J1614" s="41" t="str">
        <f>IF($F1614="","",IF($F1614&lt;1,ROUND($F1614*1440,0),INT($F1614/100)*60+MOD($F1614,100)))</f>
        <v/>
      </c>
      <c r="K1614" s="41" t="str">
        <f>IF($G1614="","",IF($G1614&lt;1,ROUND($G1614*1440,0),INT($G1614/100)*60+MOD($G1614,100)))</f>
        <v/>
      </c>
    </row>
    <row r="1615" ht="15" customHeight="1" s="26">
      <c r="A1615" s="34" t="n"/>
      <c r="B1615" s="32" t="n"/>
      <c r="C1615" s="33" t="n"/>
      <c r="D1615" s="37" t="str">
        <f>IF($C1615="","",IFERROR(INDEX(프로젝트목록!$B$3:$B$62,MATCH($C1615,프로젝트목록!$A$3:$A$62,0)),"미등록코드"))</f>
        <v/>
      </c>
      <c r="E1615" s="32" t="n"/>
      <c r="F1615" s="38" t="n"/>
      <c r="G1615" s="38" t="n"/>
      <c r="H1615" s="39" t="n"/>
      <c r="I1615" s="40" t="str">
        <f>IF(OR($J1615="",$K1615=""),"",ROUND(MAX(0,($K1615-$J1615)-IF($H1615="",0,$H1615))/60,2))</f>
        <v/>
      </c>
      <c r="J1615" s="41" t="str">
        <f>IF($F1615="","",IF($F1615&lt;1,ROUND($F1615*1440,0),INT($F1615/100)*60+MOD($F1615,100)))</f>
        <v/>
      </c>
      <c r="K1615" s="41" t="str">
        <f>IF($G1615="","",IF($G1615&lt;1,ROUND($G1615*1440,0),INT($G1615/100)*60+MOD($G1615,100)))</f>
        <v/>
      </c>
    </row>
    <row r="1616" ht="15" customHeight="1" s="26">
      <c r="A1616" s="34" t="n"/>
      <c r="B1616" s="32" t="n"/>
      <c r="C1616" s="33" t="n"/>
      <c r="D1616" s="37" t="str">
        <f>IF($C1616="","",IFERROR(INDEX(프로젝트목록!$B$3:$B$62,MATCH($C1616,프로젝트목록!$A$3:$A$62,0)),"미등록코드"))</f>
        <v/>
      </c>
      <c r="E1616" s="32" t="n"/>
      <c r="F1616" s="38" t="n"/>
      <c r="G1616" s="38" t="n"/>
      <c r="H1616" s="39" t="n"/>
      <c r="I1616" s="40" t="str">
        <f>IF(OR($J1616="",$K1616=""),"",ROUND(MAX(0,($K1616-$J1616)-IF($H1616="",0,$H1616))/60,2))</f>
        <v/>
      </c>
      <c r="J1616" s="41" t="str">
        <f>IF($F1616="","",IF($F1616&lt;1,ROUND($F1616*1440,0),INT($F1616/100)*60+MOD($F1616,100)))</f>
        <v/>
      </c>
      <c r="K1616" s="41" t="str">
        <f>IF($G1616="","",IF($G1616&lt;1,ROUND($G1616*1440,0),INT($G1616/100)*60+MOD($G1616,100)))</f>
        <v/>
      </c>
    </row>
    <row r="1617" ht="15" customHeight="1" s="26">
      <c r="A1617" s="34" t="n"/>
      <c r="B1617" s="32" t="n"/>
      <c r="C1617" s="33" t="n"/>
      <c r="D1617" s="37" t="str">
        <f>IF($C1617="","",IFERROR(INDEX(프로젝트목록!$B$3:$B$62,MATCH($C1617,프로젝트목록!$A$3:$A$62,0)),"미등록코드"))</f>
        <v/>
      </c>
      <c r="E1617" s="32" t="n"/>
      <c r="F1617" s="38" t="n"/>
      <c r="G1617" s="38" t="n"/>
      <c r="H1617" s="39" t="n"/>
      <c r="I1617" s="40" t="str">
        <f>IF(OR($J1617="",$K1617=""),"",ROUND(MAX(0,($K1617-$J1617)-IF($H1617="",0,$H1617))/60,2))</f>
        <v/>
      </c>
      <c r="J1617" s="41" t="str">
        <f>IF($F1617="","",IF($F1617&lt;1,ROUND($F1617*1440,0),INT($F1617/100)*60+MOD($F1617,100)))</f>
        <v/>
      </c>
      <c r="K1617" s="41" t="str">
        <f>IF($G1617="","",IF($G1617&lt;1,ROUND($G1617*1440,0),INT($G1617/100)*60+MOD($G1617,100)))</f>
        <v/>
      </c>
    </row>
    <row r="1618" ht="15" customHeight="1" s="26">
      <c r="A1618" s="34" t="n"/>
      <c r="B1618" s="32" t="n"/>
      <c r="C1618" s="33" t="n"/>
      <c r="D1618" s="37" t="str">
        <f>IF($C1618="","",IFERROR(INDEX(프로젝트목록!$B$3:$B$62,MATCH($C1618,프로젝트목록!$A$3:$A$62,0)),"미등록코드"))</f>
        <v/>
      </c>
      <c r="E1618" s="32" t="n"/>
      <c r="F1618" s="38" t="n"/>
      <c r="G1618" s="38" t="n"/>
      <c r="H1618" s="39" t="n"/>
      <c r="I1618" s="40" t="str">
        <f>IF(OR($J1618="",$K1618=""),"",ROUND(MAX(0,($K1618-$J1618)-IF($H1618="",0,$H1618))/60,2))</f>
        <v/>
      </c>
      <c r="J1618" s="41" t="str">
        <f>IF($F1618="","",IF($F1618&lt;1,ROUND($F1618*1440,0),INT($F1618/100)*60+MOD($F1618,100)))</f>
        <v/>
      </c>
      <c r="K1618" s="41" t="str">
        <f>IF($G1618="","",IF($G1618&lt;1,ROUND($G1618*1440,0),INT($G1618/100)*60+MOD($G1618,100)))</f>
        <v/>
      </c>
    </row>
    <row r="1619" ht="15" customHeight="1" s="26">
      <c r="A1619" s="34" t="n"/>
      <c r="B1619" s="32" t="n"/>
      <c r="C1619" s="33" t="n"/>
      <c r="D1619" s="37" t="str">
        <f>IF($C1619="","",IFERROR(INDEX(프로젝트목록!$B$3:$B$62,MATCH($C1619,프로젝트목록!$A$3:$A$62,0)),"미등록코드"))</f>
        <v/>
      </c>
      <c r="E1619" s="32" t="n"/>
      <c r="F1619" s="38" t="n"/>
      <c r="G1619" s="38" t="n"/>
      <c r="H1619" s="39" t="n"/>
      <c r="I1619" s="40" t="str">
        <f>IF(OR($J1619="",$K1619=""),"",ROUND(MAX(0,($K1619-$J1619)-IF($H1619="",0,$H1619))/60,2))</f>
        <v/>
      </c>
      <c r="J1619" s="41" t="str">
        <f>IF($F1619="","",IF($F1619&lt;1,ROUND($F1619*1440,0),INT($F1619/100)*60+MOD($F1619,100)))</f>
        <v/>
      </c>
      <c r="K1619" s="41" t="str">
        <f>IF($G1619="","",IF($G1619&lt;1,ROUND($G1619*1440,0),INT($G1619/100)*60+MOD($G1619,100)))</f>
        <v/>
      </c>
    </row>
    <row r="1620" ht="15" customHeight="1" s="26">
      <c r="A1620" s="34" t="n"/>
      <c r="B1620" s="32" t="n"/>
      <c r="C1620" s="33" t="n"/>
      <c r="D1620" s="37" t="str">
        <f>IF($C1620="","",IFERROR(INDEX(프로젝트목록!$B$3:$B$62,MATCH($C1620,프로젝트목록!$A$3:$A$62,0)),"미등록코드"))</f>
        <v/>
      </c>
      <c r="E1620" s="32" t="n"/>
      <c r="F1620" s="38" t="n"/>
      <c r="G1620" s="38" t="n"/>
      <c r="H1620" s="39" t="n"/>
      <c r="I1620" s="40" t="str">
        <f>IF(OR($J1620="",$K1620=""),"",ROUND(MAX(0,($K1620-$J1620)-IF($H1620="",0,$H1620))/60,2))</f>
        <v/>
      </c>
      <c r="J1620" s="41" t="str">
        <f>IF($F1620="","",IF($F1620&lt;1,ROUND($F1620*1440,0),INT($F1620/100)*60+MOD($F1620,100)))</f>
        <v/>
      </c>
      <c r="K1620" s="41" t="str">
        <f>IF($G1620="","",IF($G1620&lt;1,ROUND($G1620*1440,0),INT($G1620/100)*60+MOD($G1620,100)))</f>
        <v/>
      </c>
    </row>
    <row r="1621" ht="15" customHeight="1" s="26">
      <c r="A1621" s="34" t="n"/>
      <c r="B1621" s="32" t="n"/>
      <c r="C1621" s="33" t="n"/>
      <c r="D1621" s="37" t="str">
        <f>IF($C1621="","",IFERROR(INDEX(프로젝트목록!$B$3:$B$62,MATCH($C1621,프로젝트목록!$A$3:$A$62,0)),"미등록코드"))</f>
        <v/>
      </c>
      <c r="E1621" s="32" t="n"/>
      <c r="F1621" s="38" t="n"/>
      <c r="G1621" s="38" t="n"/>
      <c r="H1621" s="39" t="n"/>
      <c r="I1621" s="40" t="str">
        <f>IF(OR($J1621="",$K1621=""),"",ROUND(MAX(0,($K1621-$J1621)-IF($H1621="",0,$H1621))/60,2))</f>
        <v/>
      </c>
      <c r="J1621" s="41" t="str">
        <f>IF($F1621="","",IF($F1621&lt;1,ROUND($F1621*1440,0),INT($F1621/100)*60+MOD($F1621,100)))</f>
        <v/>
      </c>
      <c r="K1621" s="41" t="str">
        <f>IF($G1621="","",IF($G1621&lt;1,ROUND($G1621*1440,0),INT($G1621/100)*60+MOD($G1621,100)))</f>
        <v/>
      </c>
    </row>
    <row r="1622" ht="15" customHeight="1" s="26">
      <c r="A1622" s="34" t="n"/>
      <c r="B1622" s="32" t="n"/>
      <c r="C1622" s="33" t="n"/>
      <c r="D1622" s="37" t="str">
        <f>IF($C1622="","",IFERROR(INDEX(프로젝트목록!$B$3:$B$62,MATCH($C1622,프로젝트목록!$A$3:$A$62,0)),"미등록코드"))</f>
        <v/>
      </c>
      <c r="E1622" s="32" t="n"/>
      <c r="F1622" s="38" t="n"/>
      <c r="G1622" s="38" t="n"/>
      <c r="H1622" s="39" t="n"/>
      <c r="I1622" s="40" t="str">
        <f>IF(OR($J1622="",$K1622=""),"",ROUND(MAX(0,($K1622-$J1622)-IF($H1622="",0,$H1622))/60,2))</f>
        <v/>
      </c>
      <c r="J1622" s="41" t="str">
        <f>IF($F1622="","",IF($F1622&lt;1,ROUND($F1622*1440,0),INT($F1622/100)*60+MOD($F1622,100)))</f>
        <v/>
      </c>
      <c r="K1622" s="41" t="str">
        <f>IF($G1622="","",IF($G1622&lt;1,ROUND($G1622*1440,0),INT($G1622/100)*60+MOD($G1622,100)))</f>
        <v/>
      </c>
    </row>
    <row r="1623" ht="15" customHeight="1" s="26">
      <c r="A1623" s="34" t="n"/>
      <c r="B1623" s="32" t="n"/>
      <c r="C1623" s="33" t="n"/>
      <c r="D1623" s="37" t="str">
        <f>IF($C1623="","",IFERROR(INDEX(프로젝트목록!$B$3:$B$62,MATCH($C1623,프로젝트목록!$A$3:$A$62,0)),"미등록코드"))</f>
        <v/>
      </c>
      <c r="E1623" s="32" t="n"/>
      <c r="F1623" s="38" t="n"/>
      <c r="G1623" s="38" t="n"/>
      <c r="H1623" s="39" t="n"/>
      <c r="I1623" s="40" t="str">
        <f>IF(OR($J1623="",$K1623=""),"",ROUND(MAX(0,($K1623-$J1623)-IF($H1623="",0,$H1623))/60,2))</f>
        <v/>
      </c>
      <c r="J1623" s="41" t="str">
        <f>IF($F1623="","",IF($F1623&lt;1,ROUND($F1623*1440,0),INT($F1623/100)*60+MOD($F1623,100)))</f>
        <v/>
      </c>
      <c r="K1623" s="41" t="str">
        <f>IF($G1623="","",IF($G1623&lt;1,ROUND($G1623*1440,0),INT($G1623/100)*60+MOD($G1623,100)))</f>
        <v/>
      </c>
    </row>
    <row r="1624" ht="15" customHeight="1" s="26">
      <c r="A1624" s="34" t="n"/>
      <c r="B1624" s="32" t="n"/>
      <c r="C1624" s="33" t="n"/>
      <c r="D1624" s="37" t="str">
        <f>IF($C1624="","",IFERROR(INDEX(프로젝트목록!$B$3:$B$62,MATCH($C1624,프로젝트목록!$A$3:$A$62,0)),"미등록코드"))</f>
        <v/>
      </c>
      <c r="E1624" s="32" t="n"/>
      <c r="F1624" s="38" t="n"/>
      <c r="G1624" s="38" t="n"/>
      <c r="H1624" s="39" t="n"/>
      <c r="I1624" s="40" t="str">
        <f>IF(OR($J1624="",$K1624=""),"",ROUND(MAX(0,($K1624-$J1624)-IF($H1624="",0,$H1624))/60,2))</f>
        <v/>
      </c>
      <c r="J1624" s="41" t="str">
        <f>IF($F1624="","",IF($F1624&lt;1,ROUND($F1624*1440,0),INT($F1624/100)*60+MOD($F1624,100)))</f>
        <v/>
      </c>
      <c r="K1624" s="41" t="str">
        <f>IF($G1624="","",IF($G1624&lt;1,ROUND($G1624*1440,0),INT($G1624/100)*60+MOD($G1624,100)))</f>
        <v/>
      </c>
    </row>
    <row r="1625" ht="15" customHeight="1" s="26">
      <c r="A1625" s="34" t="n"/>
      <c r="B1625" s="32" t="n"/>
      <c r="C1625" s="33" t="n"/>
      <c r="D1625" s="37" t="str">
        <f>IF($C1625="","",IFERROR(INDEX(프로젝트목록!$B$3:$B$62,MATCH($C1625,프로젝트목록!$A$3:$A$62,0)),"미등록코드"))</f>
        <v/>
      </c>
      <c r="E1625" s="32" t="n"/>
      <c r="F1625" s="38" t="n"/>
      <c r="G1625" s="38" t="n"/>
      <c r="H1625" s="39" t="n"/>
      <c r="I1625" s="40" t="str">
        <f>IF(OR($J1625="",$K1625=""),"",ROUND(MAX(0,($K1625-$J1625)-IF($H1625="",0,$H1625))/60,2))</f>
        <v/>
      </c>
      <c r="J1625" s="41" t="str">
        <f>IF($F1625="","",IF($F1625&lt;1,ROUND($F1625*1440,0),INT($F1625/100)*60+MOD($F1625,100)))</f>
        <v/>
      </c>
      <c r="K1625" s="41" t="str">
        <f>IF($G1625="","",IF($G1625&lt;1,ROUND($G1625*1440,0),INT($G1625/100)*60+MOD($G1625,100)))</f>
        <v/>
      </c>
    </row>
    <row r="1626" ht="15" customHeight="1" s="26">
      <c r="A1626" s="34" t="n"/>
      <c r="B1626" s="32" t="n"/>
      <c r="C1626" s="33" t="n"/>
      <c r="D1626" s="37" t="str">
        <f>IF($C1626="","",IFERROR(INDEX(프로젝트목록!$B$3:$B$62,MATCH($C1626,프로젝트목록!$A$3:$A$62,0)),"미등록코드"))</f>
        <v/>
      </c>
      <c r="E1626" s="32" t="n"/>
      <c r="F1626" s="38" t="n"/>
      <c r="G1626" s="38" t="n"/>
      <c r="H1626" s="39" t="n"/>
      <c r="I1626" s="40" t="str">
        <f>IF(OR($J1626="",$K1626=""),"",ROUND(MAX(0,($K1626-$J1626)-IF($H1626="",0,$H1626))/60,2))</f>
        <v/>
      </c>
      <c r="J1626" s="41" t="str">
        <f>IF($F1626="","",IF($F1626&lt;1,ROUND($F1626*1440,0),INT($F1626/100)*60+MOD($F1626,100)))</f>
        <v/>
      </c>
      <c r="K1626" s="41" t="str">
        <f>IF($G1626="","",IF($G1626&lt;1,ROUND($G1626*1440,0),INT($G1626/100)*60+MOD($G1626,100)))</f>
        <v/>
      </c>
    </row>
    <row r="1627" ht="15" customHeight="1" s="26">
      <c r="A1627" s="34" t="n"/>
      <c r="B1627" s="32" t="n"/>
      <c r="C1627" s="33" t="n"/>
      <c r="D1627" s="37" t="str">
        <f>IF($C1627="","",IFERROR(INDEX(프로젝트목록!$B$3:$B$62,MATCH($C1627,프로젝트목록!$A$3:$A$62,0)),"미등록코드"))</f>
        <v/>
      </c>
      <c r="E1627" s="32" t="n"/>
      <c r="F1627" s="38" t="n"/>
      <c r="G1627" s="38" t="n"/>
      <c r="H1627" s="39" t="n"/>
      <c r="I1627" s="40" t="str">
        <f>IF(OR($J1627="",$K1627=""),"",ROUND(MAX(0,($K1627-$J1627)-IF($H1627="",0,$H1627))/60,2))</f>
        <v/>
      </c>
      <c r="J1627" s="41" t="str">
        <f>IF($F1627="","",IF($F1627&lt;1,ROUND($F1627*1440,0),INT($F1627/100)*60+MOD($F1627,100)))</f>
        <v/>
      </c>
      <c r="K1627" s="41" t="str">
        <f>IF($G1627="","",IF($G1627&lt;1,ROUND($G1627*1440,0),INT($G1627/100)*60+MOD($G1627,100)))</f>
        <v/>
      </c>
    </row>
    <row r="1628" ht="15" customHeight="1" s="26">
      <c r="A1628" s="34" t="n"/>
      <c r="B1628" s="32" t="n"/>
      <c r="C1628" s="33" t="n"/>
      <c r="D1628" s="37" t="str">
        <f>IF($C1628="","",IFERROR(INDEX(프로젝트목록!$B$3:$B$62,MATCH($C1628,프로젝트목록!$A$3:$A$62,0)),"미등록코드"))</f>
        <v/>
      </c>
      <c r="E1628" s="32" t="n"/>
      <c r="F1628" s="38" t="n"/>
      <c r="G1628" s="38" t="n"/>
      <c r="H1628" s="39" t="n"/>
      <c r="I1628" s="40" t="str">
        <f>IF(OR($J1628="",$K1628=""),"",ROUND(MAX(0,($K1628-$J1628)-IF($H1628="",0,$H1628))/60,2))</f>
        <v/>
      </c>
      <c r="J1628" s="41" t="str">
        <f>IF($F1628="","",IF($F1628&lt;1,ROUND($F1628*1440,0),INT($F1628/100)*60+MOD($F1628,100)))</f>
        <v/>
      </c>
      <c r="K1628" s="41" t="str">
        <f>IF($G1628="","",IF($G1628&lt;1,ROUND($G1628*1440,0),INT($G1628/100)*60+MOD($G1628,100)))</f>
        <v/>
      </c>
    </row>
    <row r="1629" ht="15" customHeight="1" s="26">
      <c r="A1629" s="34" t="n"/>
      <c r="B1629" s="32" t="n"/>
      <c r="C1629" s="33" t="n"/>
      <c r="D1629" s="37" t="str">
        <f>IF($C1629="","",IFERROR(INDEX(프로젝트목록!$B$3:$B$62,MATCH($C1629,프로젝트목록!$A$3:$A$62,0)),"미등록코드"))</f>
        <v/>
      </c>
      <c r="E1629" s="32" t="n"/>
      <c r="F1629" s="38" t="n"/>
      <c r="G1629" s="38" t="n"/>
      <c r="H1629" s="39" t="n"/>
      <c r="I1629" s="40" t="str">
        <f>IF(OR($J1629="",$K1629=""),"",ROUND(MAX(0,($K1629-$J1629)-IF($H1629="",0,$H1629))/60,2))</f>
        <v/>
      </c>
      <c r="J1629" s="41" t="str">
        <f>IF($F1629="","",IF($F1629&lt;1,ROUND($F1629*1440,0),INT($F1629/100)*60+MOD($F1629,100)))</f>
        <v/>
      </c>
      <c r="K1629" s="41" t="str">
        <f>IF($G1629="","",IF($G1629&lt;1,ROUND($G1629*1440,0),INT($G1629/100)*60+MOD($G1629,100)))</f>
        <v/>
      </c>
    </row>
    <row r="1630" ht="15" customHeight="1" s="26">
      <c r="A1630" s="34" t="n"/>
      <c r="B1630" s="32" t="n"/>
      <c r="C1630" s="33" t="n"/>
      <c r="D1630" s="37" t="str">
        <f>IF($C1630="","",IFERROR(INDEX(프로젝트목록!$B$3:$B$62,MATCH($C1630,프로젝트목록!$A$3:$A$62,0)),"미등록코드"))</f>
        <v/>
      </c>
      <c r="E1630" s="32" t="n"/>
      <c r="F1630" s="38" t="n"/>
      <c r="G1630" s="38" t="n"/>
      <c r="H1630" s="39" t="n"/>
      <c r="I1630" s="40" t="str">
        <f>IF(OR($J1630="",$K1630=""),"",ROUND(MAX(0,($K1630-$J1630)-IF($H1630="",0,$H1630))/60,2))</f>
        <v/>
      </c>
      <c r="J1630" s="41" t="str">
        <f>IF($F1630="","",IF($F1630&lt;1,ROUND($F1630*1440,0),INT($F1630/100)*60+MOD($F1630,100)))</f>
        <v/>
      </c>
      <c r="K1630" s="41" t="str">
        <f>IF($G1630="","",IF($G1630&lt;1,ROUND($G1630*1440,0),INT($G1630/100)*60+MOD($G1630,100)))</f>
        <v/>
      </c>
    </row>
    <row r="1631" ht="15" customHeight="1" s="26">
      <c r="A1631" s="34" t="n"/>
      <c r="B1631" s="32" t="n"/>
      <c r="C1631" s="33" t="n"/>
      <c r="D1631" s="37" t="str">
        <f>IF($C1631="","",IFERROR(INDEX(프로젝트목록!$B$3:$B$62,MATCH($C1631,프로젝트목록!$A$3:$A$62,0)),"미등록코드"))</f>
        <v/>
      </c>
      <c r="E1631" s="32" t="n"/>
      <c r="F1631" s="38" t="n"/>
      <c r="G1631" s="38" t="n"/>
      <c r="H1631" s="39" t="n"/>
      <c r="I1631" s="40" t="str">
        <f>IF(OR($J1631="",$K1631=""),"",ROUND(MAX(0,($K1631-$J1631)-IF($H1631="",0,$H1631))/60,2))</f>
        <v/>
      </c>
      <c r="J1631" s="41" t="str">
        <f>IF($F1631="","",IF($F1631&lt;1,ROUND($F1631*1440,0),INT($F1631/100)*60+MOD($F1631,100)))</f>
        <v/>
      </c>
      <c r="K1631" s="41" t="str">
        <f>IF($G1631="","",IF($G1631&lt;1,ROUND($G1631*1440,0),INT($G1631/100)*60+MOD($G1631,100)))</f>
        <v/>
      </c>
    </row>
    <row r="1632" ht="15" customHeight="1" s="26">
      <c r="A1632" s="34" t="n"/>
      <c r="B1632" s="32" t="n"/>
      <c r="C1632" s="33" t="n"/>
      <c r="D1632" s="37" t="str">
        <f>IF($C1632="","",IFERROR(INDEX(프로젝트목록!$B$3:$B$62,MATCH($C1632,프로젝트목록!$A$3:$A$62,0)),"미등록코드"))</f>
        <v/>
      </c>
      <c r="E1632" s="32" t="n"/>
      <c r="F1632" s="38" t="n"/>
      <c r="G1632" s="38" t="n"/>
      <c r="H1632" s="39" t="n"/>
      <c r="I1632" s="40" t="str">
        <f>IF(OR($J1632="",$K1632=""),"",ROUND(MAX(0,($K1632-$J1632)-IF($H1632="",0,$H1632))/60,2))</f>
        <v/>
      </c>
      <c r="J1632" s="41" t="str">
        <f>IF($F1632="","",IF($F1632&lt;1,ROUND($F1632*1440,0),INT($F1632/100)*60+MOD($F1632,100)))</f>
        <v/>
      </c>
      <c r="K1632" s="41" t="str">
        <f>IF($G1632="","",IF($G1632&lt;1,ROUND($G1632*1440,0),INT($G1632/100)*60+MOD($G1632,100)))</f>
        <v/>
      </c>
    </row>
    <row r="1633" ht="15" customHeight="1" s="26">
      <c r="A1633" s="34" t="n"/>
      <c r="B1633" s="32" t="n"/>
      <c r="C1633" s="33" t="n"/>
      <c r="D1633" s="37" t="str">
        <f>IF($C1633="","",IFERROR(INDEX(프로젝트목록!$B$3:$B$62,MATCH($C1633,프로젝트목록!$A$3:$A$62,0)),"미등록코드"))</f>
        <v/>
      </c>
      <c r="E1633" s="32" t="n"/>
      <c r="F1633" s="38" t="n"/>
      <c r="G1633" s="38" t="n"/>
      <c r="H1633" s="39" t="n"/>
      <c r="I1633" s="40" t="str">
        <f>IF(OR($J1633="",$K1633=""),"",ROUND(MAX(0,($K1633-$J1633)-IF($H1633="",0,$H1633))/60,2))</f>
        <v/>
      </c>
      <c r="J1633" s="41" t="str">
        <f>IF($F1633="","",IF($F1633&lt;1,ROUND($F1633*1440,0),INT($F1633/100)*60+MOD($F1633,100)))</f>
        <v/>
      </c>
      <c r="K1633" s="41" t="str">
        <f>IF($G1633="","",IF($G1633&lt;1,ROUND($G1633*1440,0),INT($G1633/100)*60+MOD($G1633,100)))</f>
        <v/>
      </c>
    </row>
    <row r="1634" ht="15" customHeight="1" s="26">
      <c r="A1634" s="34" t="n"/>
      <c r="B1634" s="32" t="n"/>
      <c r="C1634" s="33" t="n"/>
      <c r="D1634" s="37" t="str">
        <f>IF($C1634="","",IFERROR(INDEX(프로젝트목록!$B$3:$B$62,MATCH($C1634,프로젝트목록!$A$3:$A$62,0)),"미등록코드"))</f>
        <v/>
      </c>
      <c r="E1634" s="32" t="n"/>
      <c r="F1634" s="38" t="n"/>
      <c r="G1634" s="38" t="n"/>
      <c r="H1634" s="39" t="n"/>
      <c r="I1634" s="40" t="str">
        <f>IF(OR($J1634="",$K1634=""),"",ROUND(MAX(0,($K1634-$J1634)-IF($H1634="",0,$H1634))/60,2))</f>
        <v/>
      </c>
      <c r="J1634" s="41" t="str">
        <f>IF($F1634="","",IF($F1634&lt;1,ROUND($F1634*1440,0),INT($F1634/100)*60+MOD($F1634,100)))</f>
        <v/>
      </c>
      <c r="K1634" s="41" t="str">
        <f>IF($G1634="","",IF($G1634&lt;1,ROUND($G1634*1440,0),INT($G1634/100)*60+MOD($G1634,100)))</f>
        <v/>
      </c>
    </row>
    <row r="1635" ht="15" customHeight="1" s="26">
      <c r="A1635" s="34" t="n"/>
      <c r="B1635" s="32" t="n"/>
      <c r="C1635" s="33" t="n"/>
      <c r="D1635" s="37" t="str">
        <f>IF($C1635="","",IFERROR(INDEX(프로젝트목록!$B$3:$B$62,MATCH($C1635,프로젝트목록!$A$3:$A$62,0)),"미등록코드"))</f>
        <v/>
      </c>
      <c r="E1635" s="32" t="n"/>
      <c r="F1635" s="38" t="n"/>
      <c r="G1635" s="38" t="n"/>
      <c r="H1635" s="39" t="n"/>
      <c r="I1635" s="40" t="str">
        <f>IF(OR($J1635="",$K1635=""),"",ROUND(MAX(0,($K1635-$J1635)-IF($H1635="",0,$H1635))/60,2))</f>
        <v/>
      </c>
      <c r="J1635" s="41" t="str">
        <f>IF($F1635="","",IF($F1635&lt;1,ROUND($F1635*1440,0),INT($F1635/100)*60+MOD($F1635,100)))</f>
        <v/>
      </c>
      <c r="K1635" s="41" t="str">
        <f>IF($G1635="","",IF($G1635&lt;1,ROUND($G1635*1440,0),INT($G1635/100)*60+MOD($G1635,100)))</f>
        <v/>
      </c>
    </row>
    <row r="1636" ht="15" customHeight="1" s="26">
      <c r="A1636" s="34" t="n"/>
      <c r="B1636" s="32" t="n"/>
      <c r="C1636" s="33" t="n"/>
      <c r="D1636" s="37" t="str">
        <f>IF($C1636="","",IFERROR(INDEX(프로젝트목록!$B$3:$B$62,MATCH($C1636,프로젝트목록!$A$3:$A$62,0)),"미등록코드"))</f>
        <v/>
      </c>
      <c r="E1636" s="32" t="n"/>
      <c r="F1636" s="38" t="n"/>
      <c r="G1636" s="38" t="n"/>
      <c r="H1636" s="39" t="n"/>
      <c r="I1636" s="40" t="str">
        <f>IF(OR($J1636="",$K1636=""),"",ROUND(MAX(0,($K1636-$J1636)-IF($H1636="",0,$H1636))/60,2))</f>
        <v/>
      </c>
      <c r="J1636" s="41" t="str">
        <f>IF($F1636="","",IF($F1636&lt;1,ROUND($F1636*1440,0),INT($F1636/100)*60+MOD($F1636,100)))</f>
        <v/>
      </c>
      <c r="K1636" s="41" t="str">
        <f>IF($G1636="","",IF($G1636&lt;1,ROUND($G1636*1440,0),INT($G1636/100)*60+MOD($G1636,100)))</f>
        <v/>
      </c>
    </row>
    <row r="1637" ht="15" customHeight="1" s="26">
      <c r="A1637" s="34" t="n"/>
      <c r="B1637" s="32" t="n"/>
      <c r="C1637" s="33" t="n"/>
      <c r="D1637" s="37" t="str">
        <f>IF($C1637="","",IFERROR(INDEX(프로젝트목록!$B$3:$B$62,MATCH($C1637,프로젝트목록!$A$3:$A$62,0)),"미등록코드"))</f>
        <v/>
      </c>
      <c r="E1637" s="32" t="n"/>
      <c r="F1637" s="38" t="n"/>
      <c r="G1637" s="38" t="n"/>
      <c r="H1637" s="39" t="n"/>
      <c r="I1637" s="40" t="str">
        <f>IF(OR($J1637="",$K1637=""),"",ROUND(MAX(0,($K1637-$J1637)-IF($H1637="",0,$H1637))/60,2))</f>
        <v/>
      </c>
      <c r="J1637" s="41" t="str">
        <f>IF($F1637="","",IF($F1637&lt;1,ROUND($F1637*1440,0),INT($F1637/100)*60+MOD($F1637,100)))</f>
        <v/>
      </c>
      <c r="K1637" s="41" t="str">
        <f>IF($G1637="","",IF($G1637&lt;1,ROUND($G1637*1440,0),INT($G1637/100)*60+MOD($G1637,100)))</f>
        <v/>
      </c>
    </row>
    <row r="1638" ht="15" customHeight="1" s="26">
      <c r="A1638" s="34" t="n"/>
      <c r="B1638" s="32" t="n"/>
      <c r="C1638" s="33" t="n"/>
      <c r="D1638" s="37" t="str">
        <f>IF($C1638="","",IFERROR(INDEX(프로젝트목록!$B$3:$B$62,MATCH($C1638,프로젝트목록!$A$3:$A$62,0)),"미등록코드"))</f>
        <v/>
      </c>
      <c r="E1638" s="32" t="n"/>
      <c r="F1638" s="38" t="n"/>
      <c r="G1638" s="38" t="n"/>
      <c r="H1638" s="39" t="n"/>
      <c r="I1638" s="40" t="str">
        <f>IF(OR($J1638="",$K1638=""),"",ROUND(MAX(0,($K1638-$J1638)-IF($H1638="",0,$H1638))/60,2))</f>
        <v/>
      </c>
      <c r="J1638" s="41" t="str">
        <f>IF($F1638="","",IF($F1638&lt;1,ROUND($F1638*1440,0),INT($F1638/100)*60+MOD($F1638,100)))</f>
        <v/>
      </c>
      <c r="K1638" s="41" t="str">
        <f>IF($G1638="","",IF($G1638&lt;1,ROUND($G1638*1440,0),INT($G1638/100)*60+MOD($G1638,100)))</f>
        <v/>
      </c>
    </row>
    <row r="1639" ht="15" customHeight="1" s="26">
      <c r="A1639" s="34" t="n"/>
      <c r="B1639" s="32" t="n"/>
      <c r="C1639" s="33" t="n"/>
      <c r="D1639" s="37" t="str">
        <f>IF($C1639="","",IFERROR(INDEX(프로젝트목록!$B$3:$B$62,MATCH($C1639,프로젝트목록!$A$3:$A$62,0)),"미등록코드"))</f>
        <v/>
      </c>
      <c r="E1639" s="32" t="n"/>
      <c r="F1639" s="38" t="n"/>
      <c r="G1639" s="38" t="n"/>
      <c r="H1639" s="39" t="n"/>
      <c r="I1639" s="40" t="str">
        <f>IF(OR($J1639="",$K1639=""),"",ROUND(MAX(0,($K1639-$J1639)-IF($H1639="",0,$H1639))/60,2))</f>
        <v/>
      </c>
      <c r="J1639" s="41" t="str">
        <f>IF($F1639="","",IF($F1639&lt;1,ROUND($F1639*1440,0),INT($F1639/100)*60+MOD($F1639,100)))</f>
        <v/>
      </c>
      <c r="K1639" s="41" t="str">
        <f>IF($G1639="","",IF($G1639&lt;1,ROUND($G1639*1440,0),INT($G1639/100)*60+MOD($G1639,100)))</f>
        <v/>
      </c>
    </row>
    <row r="1640" ht="15" customHeight="1" s="26">
      <c r="A1640" s="34" t="n"/>
      <c r="B1640" s="32" t="n"/>
      <c r="C1640" s="33" t="n"/>
      <c r="D1640" s="37" t="str">
        <f>IF($C1640="","",IFERROR(INDEX(프로젝트목록!$B$3:$B$62,MATCH($C1640,프로젝트목록!$A$3:$A$62,0)),"미등록코드"))</f>
        <v/>
      </c>
      <c r="E1640" s="32" t="n"/>
      <c r="F1640" s="38" t="n"/>
      <c r="G1640" s="38" t="n"/>
      <c r="H1640" s="39" t="n"/>
      <c r="I1640" s="40" t="str">
        <f>IF(OR($J1640="",$K1640=""),"",ROUND(MAX(0,($K1640-$J1640)-IF($H1640="",0,$H1640))/60,2))</f>
        <v/>
      </c>
      <c r="J1640" s="41" t="str">
        <f>IF($F1640="","",IF($F1640&lt;1,ROUND($F1640*1440,0),INT($F1640/100)*60+MOD($F1640,100)))</f>
        <v/>
      </c>
      <c r="K1640" s="41" t="str">
        <f>IF($G1640="","",IF($G1640&lt;1,ROUND($G1640*1440,0),INT($G1640/100)*60+MOD($G1640,100)))</f>
        <v/>
      </c>
    </row>
    <row r="1641" ht="15" customHeight="1" s="26">
      <c r="A1641" s="34" t="n"/>
      <c r="B1641" s="32" t="n"/>
      <c r="C1641" s="33" t="n"/>
      <c r="D1641" s="37" t="str">
        <f>IF($C1641="","",IFERROR(INDEX(프로젝트목록!$B$3:$B$62,MATCH($C1641,프로젝트목록!$A$3:$A$62,0)),"미등록코드"))</f>
        <v/>
      </c>
      <c r="E1641" s="32" t="n"/>
      <c r="F1641" s="38" t="n"/>
      <c r="G1641" s="38" t="n"/>
      <c r="H1641" s="39" t="n"/>
      <c r="I1641" s="40" t="str">
        <f>IF(OR($J1641="",$K1641=""),"",ROUND(MAX(0,($K1641-$J1641)-IF($H1641="",0,$H1641))/60,2))</f>
        <v/>
      </c>
      <c r="J1641" s="41" t="str">
        <f>IF($F1641="","",IF($F1641&lt;1,ROUND($F1641*1440,0),INT($F1641/100)*60+MOD($F1641,100)))</f>
        <v/>
      </c>
      <c r="K1641" s="41" t="str">
        <f>IF($G1641="","",IF($G1641&lt;1,ROUND($G1641*1440,0),INT($G1641/100)*60+MOD($G1641,100)))</f>
        <v/>
      </c>
    </row>
    <row r="1642" ht="15" customHeight="1" s="26">
      <c r="A1642" s="34" t="n"/>
      <c r="B1642" s="32" t="n"/>
      <c r="C1642" s="33" t="n"/>
      <c r="D1642" s="37" t="str">
        <f>IF($C1642="","",IFERROR(INDEX(프로젝트목록!$B$3:$B$62,MATCH($C1642,프로젝트목록!$A$3:$A$62,0)),"미등록코드"))</f>
        <v/>
      </c>
      <c r="E1642" s="32" t="n"/>
      <c r="F1642" s="38" t="n"/>
      <c r="G1642" s="38" t="n"/>
      <c r="H1642" s="39" t="n"/>
      <c r="I1642" s="40" t="str">
        <f>IF(OR($J1642="",$K1642=""),"",ROUND(MAX(0,($K1642-$J1642)-IF($H1642="",0,$H1642))/60,2))</f>
        <v/>
      </c>
      <c r="J1642" s="41" t="str">
        <f>IF($F1642="","",IF($F1642&lt;1,ROUND($F1642*1440,0),INT($F1642/100)*60+MOD($F1642,100)))</f>
        <v/>
      </c>
      <c r="K1642" s="41" t="str">
        <f>IF($G1642="","",IF($G1642&lt;1,ROUND($G1642*1440,0),INT($G1642/100)*60+MOD($G1642,100)))</f>
        <v/>
      </c>
    </row>
    <row r="1643" ht="15" customHeight="1" s="26">
      <c r="A1643" s="34" t="n"/>
      <c r="B1643" s="32" t="n"/>
      <c r="C1643" s="33" t="n"/>
      <c r="D1643" s="37" t="str">
        <f>IF($C1643="","",IFERROR(INDEX(프로젝트목록!$B$3:$B$62,MATCH($C1643,프로젝트목록!$A$3:$A$62,0)),"미등록코드"))</f>
        <v/>
      </c>
      <c r="E1643" s="32" t="n"/>
      <c r="F1643" s="38" t="n"/>
      <c r="G1643" s="38" t="n"/>
      <c r="H1643" s="39" t="n"/>
      <c r="I1643" s="40" t="str">
        <f>IF(OR($J1643="",$K1643=""),"",ROUND(MAX(0,($K1643-$J1643)-IF($H1643="",0,$H1643))/60,2))</f>
        <v/>
      </c>
      <c r="J1643" s="41" t="str">
        <f>IF($F1643="","",IF($F1643&lt;1,ROUND($F1643*1440,0),INT($F1643/100)*60+MOD($F1643,100)))</f>
        <v/>
      </c>
      <c r="K1643" s="41" t="str">
        <f>IF($G1643="","",IF($G1643&lt;1,ROUND($G1643*1440,0),INT($G1643/100)*60+MOD($G1643,100)))</f>
        <v/>
      </c>
    </row>
    <row r="1644" ht="15" customHeight="1" s="26">
      <c r="A1644" s="34" t="n"/>
      <c r="B1644" s="32" t="n"/>
      <c r="C1644" s="33" t="n"/>
      <c r="D1644" s="37" t="str">
        <f>IF($C1644="","",IFERROR(INDEX(프로젝트목록!$B$3:$B$62,MATCH($C1644,프로젝트목록!$A$3:$A$62,0)),"미등록코드"))</f>
        <v/>
      </c>
      <c r="E1644" s="32" t="n"/>
      <c r="F1644" s="38" t="n"/>
      <c r="G1644" s="38" t="n"/>
      <c r="H1644" s="39" t="n"/>
      <c r="I1644" s="40" t="str">
        <f>IF(OR($J1644="",$K1644=""),"",ROUND(MAX(0,($K1644-$J1644)-IF($H1644="",0,$H1644))/60,2))</f>
        <v/>
      </c>
      <c r="J1644" s="41" t="str">
        <f>IF($F1644="","",IF($F1644&lt;1,ROUND($F1644*1440,0),INT($F1644/100)*60+MOD($F1644,100)))</f>
        <v/>
      </c>
      <c r="K1644" s="41" t="str">
        <f>IF($G1644="","",IF($G1644&lt;1,ROUND($G1644*1440,0),INT($G1644/100)*60+MOD($G1644,100)))</f>
        <v/>
      </c>
    </row>
    <row r="1645" ht="15" customHeight="1" s="26">
      <c r="A1645" s="34" t="n"/>
      <c r="B1645" s="32" t="n"/>
      <c r="C1645" s="33" t="n"/>
      <c r="D1645" s="37" t="str">
        <f>IF($C1645="","",IFERROR(INDEX(프로젝트목록!$B$3:$B$62,MATCH($C1645,프로젝트목록!$A$3:$A$62,0)),"미등록코드"))</f>
        <v/>
      </c>
      <c r="E1645" s="32" t="n"/>
      <c r="F1645" s="38" t="n"/>
      <c r="G1645" s="38" t="n"/>
      <c r="H1645" s="39" t="n"/>
      <c r="I1645" s="40" t="str">
        <f>IF(OR($J1645="",$K1645=""),"",ROUND(MAX(0,($K1645-$J1645)-IF($H1645="",0,$H1645))/60,2))</f>
        <v/>
      </c>
      <c r="J1645" s="41" t="str">
        <f>IF($F1645="","",IF($F1645&lt;1,ROUND($F1645*1440,0),INT($F1645/100)*60+MOD($F1645,100)))</f>
        <v/>
      </c>
      <c r="K1645" s="41" t="str">
        <f>IF($G1645="","",IF($G1645&lt;1,ROUND($G1645*1440,0),INT($G1645/100)*60+MOD($G1645,100)))</f>
        <v/>
      </c>
    </row>
    <row r="1646" ht="15" customHeight="1" s="26">
      <c r="A1646" s="34" t="n"/>
      <c r="B1646" s="32" t="n"/>
      <c r="C1646" s="33" t="n"/>
      <c r="D1646" s="37" t="str">
        <f>IF($C1646="","",IFERROR(INDEX(프로젝트목록!$B$3:$B$62,MATCH($C1646,프로젝트목록!$A$3:$A$62,0)),"미등록코드"))</f>
        <v/>
      </c>
      <c r="E1646" s="32" t="n"/>
      <c r="F1646" s="38" t="n"/>
      <c r="G1646" s="38" t="n"/>
      <c r="H1646" s="39" t="n"/>
      <c r="I1646" s="40" t="str">
        <f>IF(OR($J1646="",$K1646=""),"",ROUND(MAX(0,($K1646-$J1646)-IF($H1646="",0,$H1646))/60,2))</f>
        <v/>
      </c>
      <c r="J1646" s="41" t="str">
        <f>IF($F1646="","",IF($F1646&lt;1,ROUND($F1646*1440,0),INT($F1646/100)*60+MOD($F1646,100)))</f>
        <v/>
      </c>
      <c r="K1646" s="41" t="str">
        <f>IF($G1646="","",IF($G1646&lt;1,ROUND($G1646*1440,0),INT($G1646/100)*60+MOD($G1646,100)))</f>
        <v/>
      </c>
    </row>
    <row r="1647" ht="15" customHeight="1" s="26">
      <c r="A1647" s="34" t="n"/>
      <c r="B1647" s="32" t="n"/>
      <c r="C1647" s="33" t="n"/>
      <c r="D1647" s="37" t="str">
        <f>IF($C1647="","",IFERROR(INDEX(프로젝트목록!$B$3:$B$62,MATCH($C1647,프로젝트목록!$A$3:$A$62,0)),"미등록코드"))</f>
        <v/>
      </c>
      <c r="E1647" s="32" t="n"/>
      <c r="F1647" s="38" t="n"/>
      <c r="G1647" s="38" t="n"/>
      <c r="H1647" s="39" t="n"/>
      <c r="I1647" s="40" t="str">
        <f>IF(OR($J1647="",$K1647=""),"",ROUND(MAX(0,($K1647-$J1647)-IF($H1647="",0,$H1647))/60,2))</f>
        <v/>
      </c>
      <c r="J1647" s="41" t="str">
        <f>IF($F1647="","",IF($F1647&lt;1,ROUND($F1647*1440,0),INT($F1647/100)*60+MOD($F1647,100)))</f>
        <v/>
      </c>
      <c r="K1647" s="41" t="str">
        <f>IF($G1647="","",IF($G1647&lt;1,ROUND($G1647*1440,0),INT($G1647/100)*60+MOD($G1647,100)))</f>
        <v/>
      </c>
    </row>
    <row r="1648" ht="15" customHeight="1" s="26">
      <c r="A1648" s="34" t="n"/>
      <c r="B1648" s="32" t="n"/>
      <c r="C1648" s="33" t="n"/>
      <c r="D1648" s="37" t="str">
        <f>IF($C1648="","",IFERROR(INDEX(프로젝트목록!$B$3:$B$62,MATCH($C1648,프로젝트목록!$A$3:$A$62,0)),"미등록코드"))</f>
        <v/>
      </c>
      <c r="E1648" s="32" t="n"/>
      <c r="F1648" s="38" t="n"/>
      <c r="G1648" s="38" t="n"/>
      <c r="H1648" s="39" t="n"/>
      <c r="I1648" s="40" t="str">
        <f>IF(OR($J1648="",$K1648=""),"",ROUND(MAX(0,($K1648-$J1648)-IF($H1648="",0,$H1648))/60,2))</f>
        <v/>
      </c>
      <c r="J1648" s="41" t="str">
        <f>IF($F1648="","",IF($F1648&lt;1,ROUND($F1648*1440,0),INT($F1648/100)*60+MOD($F1648,100)))</f>
        <v/>
      </c>
      <c r="K1648" s="41" t="str">
        <f>IF($G1648="","",IF($G1648&lt;1,ROUND($G1648*1440,0),INT($G1648/100)*60+MOD($G1648,100)))</f>
        <v/>
      </c>
    </row>
    <row r="1649" ht="15" customHeight="1" s="26">
      <c r="A1649" s="34" t="n"/>
      <c r="B1649" s="32" t="n"/>
      <c r="C1649" s="33" t="n"/>
      <c r="D1649" s="37" t="str">
        <f>IF($C1649="","",IFERROR(INDEX(프로젝트목록!$B$3:$B$62,MATCH($C1649,프로젝트목록!$A$3:$A$62,0)),"미등록코드"))</f>
        <v/>
      </c>
      <c r="E1649" s="32" t="n"/>
      <c r="F1649" s="38" t="n"/>
      <c r="G1649" s="38" t="n"/>
      <c r="H1649" s="39" t="n"/>
      <c r="I1649" s="40" t="str">
        <f>IF(OR($J1649="",$K1649=""),"",ROUND(MAX(0,($K1649-$J1649)-IF($H1649="",0,$H1649))/60,2))</f>
        <v/>
      </c>
      <c r="J1649" s="41" t="str">
        <f>IF($F1649="","",IF($F1649&lt;1,ROUND($F1649*1440,0),INT($F1649/100)*60+MOD($F1649,100)))</f>
        <v/>
      </c>
      <c r="K1649" s="41" t="str">
        <f>IF($G1649="","",IF($G1649&lt;1,ROUND($G1649*1440,0),INT($G1649/100)*60+MOD($G1649,100)))</f>
        <v/>
      </c>
    </row>
    <row r="1650" ht="15" customHeight="1" s="26">
      <c r="A1650" s="34" t="n"/>
      <c r="B1650" s="32" t="n"/>
      <c r="C1650" s="33" t="n"/>
      <c r="D1650" s="37" t="str">
        <f>IF($C1650="","",IFERROR(INDEX(프로젝트목록!$B$3:$B$62,MATCH($C1650,프로젝트목록!$A$3:$A$62,0)),"미등록코드"))</f>
        <v/>
      </c>
      <c r="E1650" s="32" t="n"/>
      <c r="F1650" s="38" t="n"/>
      <c r="G1650" s="38" t="n"/>
      <c r="H1650" s="39" t="n"/>
      <c r="I1650" s="40" t="str">
        <f>IF(OR($J1650="",$K1650=""),"",ROUND(MAX(0,($K1650-$J1650)-IF($H1650="",0,$H1650))/60,2))</f>
        <v/>
      </c>
      <c r="J1650" s="41" t="str">
        <f>IF($F1650="","",IF($F1650&lt;1,ROUND($F1650*1440,0),INT($F1650/100)*60+MOD($F1650,100)))</f>
        <v/>
      </c>
      <c r="K1650" s="41" t="str">
        <f>IF($G1650="","",IF($G1650&lt;1,ROUND($G1650*1440,0),INT($G1650/100)*60+MOD($G1650,100)))</f>
        <v/>
      </c>
    </row>
    <row r="1651" ht="15" customHeight="1" s="26">
      <c r="A1651" s="34" t="n"/>
      <c r="B1651" s="32" t="n"/>
      <c r="C1651" s="33" t="n"/>
      <c r="D1651" s="37" t="str">
        <f>IF($C1651="","",IFERROR(INDEX(프로젝트목록!$B$3:$B$62,MATCH($C1651,프로젝트목록!$A$3:$A$62,0)),"미등록코드"))</f>
        <v/>
      </c>
      <c r="E1651" s="32" t="n"/>
      <c r="F1651" s="38" t="n"/>
      <c r="G1651" s="38" t="n"/>
      <c r="H1651" s="39" t="n"/>
      <c r="I1651" s="40" t="str">
        <f>IF(OR($J1651="",$K1651=""),"",ROUND(MAX(0,($K1651-$J1651)-IF($H1651="",0,$H1651))/60,2))</f>
        <v/>
      </c>
      <c r="J1651" s="41" t="str">
        <f>IF($F1651="","",IF($F1651&lt;1,ROUND($F1651*1440,0),INT($F1651/100)*60+MOD($F1651,100)))</f>
        <v/>
      </c>
      <c r="K1651" s="41" t="str">
        <f>IF($G1651="","",IF($G1651&lt;1,ROUND($G1651*1440,0),INT($G1651/100)*60+MOD($G1651,100)))</f>
        <v/>
      </c>
    </row>
    <row r="1652" ht="15" customHeight="1" s="26">
      <c r="A1652" s="34" t="n"/>
      <c r="B1652" s="32" t="n"/>
      <c r="C1652" s="33" t="n"/>
      <c r="D1652" s="37" t="str">
        <f>IF($C1652="","",IFERROR(INDEX(프로젝트목록!$B$3:$B$62,MATCH($C1652,프로젝트목록!$A$3:$A$62,0)),"미등록코드"))</f>
        <v/>
      </c>
      <c r="E1652" s="32" t="n"/>
      <c r="F1652" s="38" t="n"/>
      <c r="G1652" s="38" t="n"/>
      <c r="H1652" s="39" t="n"/>
      <c r="I1652" s="40" t="str">
        <f>IF(OR($J1652="",$K1652=""),"",ROUND(MAX(0,($K1652-$J1652)-IF($H1652="",0,$H1652))/60,2))</f>
        <v/>
      </c>
      <c r="J1652" s="41" t="str">
        <f>IF($F1652="","",IF($F1652&lt;1,ROUND($F1652*1440,0),INT($F1652/100)*60+MOD($F1652,100)))</f>
        <v/>
      </c>
      <c r="K1652" s="41" t="str">
        <f>IF($G1652="","",IF($G1652&lt;1,ROUND($G1652*1440,0),INT($G1652/100)*60+MOD($G1652,100)))</f>
        <v/>
      </c>
    </row>
    <row r="1653" ht="15" customHeight="1" s="26">
      <c r="A1653" s="34" t="n"/>
      <c r="B1653" s="32" t="n"/>
      <c r="C1653" s="33" t="n"/>
      <c r="D1653" s="37" t="str">
        <f>IF($C1653="","",IFERROR(INDEX(프로젝트목록!$B$3:$B$62,MATCH($C1653,프로젝트목록!$A$3:$A$62,0)),"미등록코드"))</f>
        <v/>
      </c>
      <c r="E1653" s="32" t="n"/>
      <c r="F1653" s="38" t="n"/>
      <c r="G1653" s="38" t="n"/>
      <c r="H1653" s="39" t="n"/>
      <c r="I1653" s="40" t="str">
        <f>IF(OR($J1653="",$K1653=""),"",ROUND(MAX(0,($K1653-$J1653)-IF($H1653="",0,$H1653))/60,2))</f>
        <v/>
      </c>
      <c r="J1653" s="41" t="str">
        <f>IF($F1653="","",IF($F1653&lt;1,ROUND($F1653*1440,0),INT($F1653/100)*60+MOD($F1653,100)))</f>
        <v/>
      </c>
      <c r="K1653" s="41" t="str">
        <f>IF($G1653="","",IF($G1653&lt;1,ROUND($G1653*1440,0),INT($G1653/100)*60+MOD($G1653,100)))</f>
        <v/>
      </c>
    </row>
    <row r="1654" ht="15" customHeight="1" s="26">
      <c r="A1654" s="34" t="n"/>
      <c r="B1654" s="32" t="n"/>
      <c r="C1654" s="33" t="n"/>
      <c r="D1654" s="37" t="str">
        <f>IF($C1654="","",IFERROR(INDEX(프로젝트목록!$B$3:$B$62,MATCH($C1654,프로젝트목록!$A$3:$A$62,0)),"미등록코드"))</f>
        <v/>
      </c>
      <c r="E1654" s="32" t="n"/>
      <c r="F1654" s="38" t="n"/>
      <c r="G1654" s="38" t="n"/>
      <c r="H1654" s="39" t="n"/>
      <c r="I1654" s="40" t="str">
        <f>IF(OR($J1654="",$K1654=""),"",ROUND(MAX(0,($K1654-$J1654)-IF($H1654="",0,$H1654))/60,2))</f>
        <v/>
      </c>
      <c r="J1654" s="41" t="str">
        <f>IF($F1654="","",IF($F1654&lt;1,ROUND($F1654*1440,0),INT($F1654/100)*60+MOD($F1654,100)))</f>
        <v/>
      </c>
      <c r="K1654" s="41" t="str">
        <f>IF($G1654="","",IF($G1654&lt;1,ROUND($G1654*1440,0),INT($G1654/100)*60+MOD($G1654,100)))</f>
        <v/>
      </c>
    </row>
    <row r="1655" ht="15" customHeight="1" s="26">
      <c r="A1655" s="34" t="n"/>
      <c r="B1655" s="32" t="n"/>
      <c r="C1655" s="33" t="n"/>
      <c r="D1655" s="37" t="str">
        <f>IF($C1655="","",IFERROR(INDEX(프로젝트목록!$B$3:$B$62,MATCH($C1655,프로젝트목록!$A$3:$A$62,0)),"미등록코드"))</f>
        <v/>
      </c>
      <c r="E1655" s="32" t="n"/>
      <c r="F1655" s="38" t="n"/>
      <c r="G1655" s="38" t="n"/>
      <c r="H1655" s="39" t="n"/>
      <c r="I1655" s="40" t="str">
        <f>IF(OR($J1655="",$K1655=""),"",ROUND(MAX(0,($K1655-$J1655)-IF($H1655="",0,$H1655))/60,2))</f>
        <v/>
      </c>
      <c r="J1655" s="41" t="str">
        <f>IF($F1655="","",IF($F1655&lt;1,ROUND($F1655*1440,0),INT($F1655/100)*60+MOD($F1655,100)))</f>
        <v/>
      </c>
      <c r="K1655" s="41" t="str">
        <f>IF($G1655="","",IF($G1655&lt;1,ROUND($G1655*1440,0),INT($G1655/100)*60+MOD($G1655,100)))</f>
        <v/>
      </c>
    </row>
    <row r="1656" ht="15" customHeight="1" s="26">
      <c r="A1656" s="34" t="n"/>
      <c r="B1656" s="32" t="n"/>
      <c r="C1656" s="33" t="n"/>
      <c r="D1656" s="37" t="str">
        <f>IF($C1656="","",IFERROR(INDEX(프로젝트목록!$B$3:$B$62,MATCH($C1656,프로젝트목록!$A$3:$A$62,0)),"미등록코드"))</f>
        <v/>
      </c>
      <c r="E1656" s="32" t="n"/>
      <c r="F1656" s="38" t="n"/>
      <c r="G1656" s="38" t="n"/>
      <c r="H1656" s="39" t="n"/>
      <c r="I1656" s="40" t="str">
        <f>IF(OR($J1656="",$K1656=""),"",ROUND(MAX(0,($K1656-$J1656)-IF($H1656="",0,$H1656))/60,2))</f>
        <v/>
      </c>
      <c r="J1656" s="41" t="str">
        <f>IF($F1656="","",IF($F1656&lt;1,ROUND($F1656*1440,0),INT($F1656/100)*60+MOD($F1656,100)))</f>
        <v/>
      </c>
      <c r="K1656" s="41" t="str">
        <f>IF($G1656="","",IF($G1656&lt;1,ROUND($G1656*1440,0),INT($G1656/100)*60+MOD($G1656,100)))</f>
        <v/>
      </c>
    </row>
    <row r="1657" ht="15" customHeight="1" s="26">
      <c r="A1657" s="34" t="n"/>
      <c r="B1657" s="32" t="n"/>
      <c r="C1657" s="33" t="n"/>
      <c r="D1657" s="37" t="str">
        <f>IF($C1657="","",IFERROR(INDEX(프로젝트목록!$B$3:$B$62,MATCH($C1657,프로젝트목록!$A$3:$A$62,0)),"미등록코드"))</f>
        <v/>
      </c>
      <c r="E1657" s="32" t="n"/>
      <c r="F1657" s="38" t="n"/>
      <c r="G1657" s="38" t="n"/>
      <c r="H1657" s="39" t="n"/>
      <c r="I1657" s="40" t="str">
        <f>IF(OR($J1657="",$K1657=""),"",ROUND(MAX(0,($K1657-$J1657)-IF($H1657="",0,$H1657))/60,2))</f>
        <v/>
      </c>
      <c r="J1657" s="41" t="str">
        <f>IF($F1657="","",IF($F1657&lt;1,ROUND($F1657*1440,0),INT($F1657/100)*60+MOD($F1657,100)))</f>
        <v/>
      </c>
      <c r="K1657" s="41" t="str">
        <f>IF($G1657="","",IF($G1657&lt;1,ROUND($G1657*1440,0),INT($G1657/100)*60+MOD($G1657,100)))</f>
        <v/>
      </c>
    </row>
    <row r="1658" ht="15" customHeight="1" s="26">
      <c r="A1658" s="34" t="n"/>
      <c r="B1658" s="32" t="n"/>
      <c r="C1658" s="33" t="n"/>
      <c r="D1658" s="37" t="str">
        <f>IF($C1658="","",IFERROR(INDEX(프로젝트목록!$B$3:$B$62,MATCH($C1658,프로젝트목록!$A$3:$A$62,0)),"미등록코드"))</f>
        <v/>
      </c>
      <c r="E1658" s="32" t="n"/>
      <c r="F1658" s="38" t="n"/>
      <c r="G1658" s="38" t="n"/>
      <c r="H1658" s="39" t="n"/>
      <c r="I1658" s="40" t="str">
        <f>IF(OR($J1658="",$K1658=""),"",ROUND(MAX(0,($K1658-$J1658)-IF($H1658="",0,$H1658))/60,2))</f>
        <v/>
      </c>
      <c r="J1658" s="41" t="str">
        <f>IF($F1658="","",IF($F1658&lt;1,ROUND($F1658*1440,0),INT($F1658/100)*60+MOD($F1658,100)))</f>
        <v/>
      </c>
      <c r="K1658" s="41" t="str">
        <f>IF($G1658="","",IF($G1658&lt;1,ROUND($G1658*1440,0),INT($G1658/100)*60+MOD($G1658,100)))</f>
        <v/>
      </c>
    </row>
    <row r="1659" ht="15" customHeight="1" s="26">
      <c r="A1659" s="34" t="n"/>
      <c r="B1659" s="32" t="n"/>
      <c r="C1659" s="33" t="n"/>
      <c r="D1659" s="37" t="str">
        <f>IF($C1659="","",IFERROR(INDEX(프로젝트목록!$B$3:$B$62,MATCH($C1659,프로젝트목록!$A$3:$A$62,0)),"미등록코드"))</f>
        <v/>
      </c>
      <c r="E1659" s="32" t="n"/>
      <c r="F1659" s="38" t="n"/>
      <c r="G1659" s="38" t="n"/>
      <c r="H1659" s="39" t="n"/>
      <c r="I1659" s="40" t="str">
        <f>IF(OR($J1659="",$K1659=""),"",ROUND(MAX(0,($K1659-$J1659)-IF($H1659="",0,$H1659))/60,2))</f>
        <v/>
      </c>
      <c r="J1659" s="41" t="str">
        <f>IF($F1659="","",IF($F1659&lt;1,ROUND($F1659*1440,0),INT($F1659/100)*60+MOD($F1659,100)))</f>
        <v/>
      </c>
      <c r="K1659" s="41" t="str">
        <f>IF($G1659="","",IF($G1659&lt;1,ROUND($G1659*1440,0),INT($G1659/100)*60+MOD($G1659,100)))</f>
        <v/>
      </c>
    </row>
    <row r="1660" ht="15" customHeight="1" s="26">
      <c r="A1660" s="34" t="n"/>
      <c r="B1660" s="32" t="n"/>
      <c r="C1660" s="33" t="n"/>
      <c r="D1660" s="37" t="str">
        <f>IF($C1660="","",IFERROR(INDEX(프로젝트목록!$B$3:$B$62,MATCH($C1660,프로젝트목록!$A$3:$A$62,0)),"미등록코드"))</f>
        <v/>
      </c>
      <c r="E1660" s="32" t="n"/>
      <c r="F1660" s="38" t="n"/>
      <c r="G1660" s="38" t="n"/>
      <c r="H1660" s="39" t="n"/>
      <c r="I1660" s="40" t="str">
        <f>IF(OR($J1660="",$K1660=""),"",ROUND(MAX(0,($K1660-$J1660)-IF($H1660="",0,$H1660))/60,2))</f>
        <v/>
      </c>
      <c r="J1660" s="41" t="str">
        <f>IF($F1660="","",IF($F1660&lt;1,ROUND($F1660*1440,0),INT($F1660/100)*60+MOD($F1660,100)))</f>
        <v/>
      </c>
      <c r="K1660" s="41" t="str">
        <f>IF($G1660="","",IF($G1660&lt;1,ROUND($G1660*1440,0),INT($G1660/100)*60+MOD($G1660,100)))</f>
        <v/>
      </c>
    </row>
    <row r="1661" ht="15" customHeight="1" s="26">
      <c r="A1661" s="34" t="n"/>
      <c r="B1661" s="32" t="n"/>
      <c r="C1661" s="33" t="n"/>
      <c r="D1661" s="37" t="str">
        <f>IF($C1661="","",IFERROR(INDEX(프로젝트목록!$B$3:$B$62,MATCH($C1661,프로젝트목록!$A$3:$A$62,0)),"미등록코드"))</f>
        <v/>
      </c>
      <c r="E1661" s="32" t="n"/>
      <c r="F1661" s="38" t="n"/>
      <c r="G1661" s="38" t="n"/>
      <c r="H1661" s="39" t="n"/>
      <c r="I1661" s="40" t="str">
        <f>IF(OR($J1661="",$K1661=""),"",ROUND(MAX(0,($K1661-$J1661)-IF($H1661="",0,$H1661))/60,2))</f>
        <v/>
      </c>
      <c r="J1661" s="41" t="str">
        <f>IF($F1661="","",IF($F1661&lt;1,ROUND($F1661*1440,0),INT($F1661/100)*60+MOD($F1661,100)))</f>
        <v/>
      </c>
      <c r="K1661" s="41" t="str">
        <f>IF($G1661="","",IF($G1661&lt;1,ROUND($G1661*1440,0),INT($G1661/100)*60+MOD($G1661,100)))</f>
        <v/>
      </c>
    </row>
    <row r="1662" ht="15" customHeight="1" s="26">
      <c r="A1662" s="34" t="n"/>
      <c r="B1662" s="32" t="n"/>
      <c r="C1662" s="33" t="n"/>
      <c r="D1662" s="37" t="str">
        <f>IF($C1662="","",IFERROR(INDEX(프로젝트목록!$B$3:$B$62,MATCH($C1662,프로젝트목록!$A$3:$A$62,0)),"미등록코드"))</f>
        <v/>
      </c>
      <c r="E1662" s="32" t="n"/>
      <c r="F1662" s="38" t="n"/>
      <c r="G1662" s="38" t="n"/>
      <c r="H1662" s="39" t="n"/>
      <c r="I1662" s="40" t="str">
        <f>IF(OR($J1662="",$K1662=""),"",ROUND(MAX(0,($K1662-$J1662)-IF($H1662="",0,$H1662))/60,2))</f>
        <v/>
      </c>
      <c r="J1662" s="41" t="str">
        <f>IF($F1662="","",IF($F1662&lt;1,ROUND($F1662*1440,0),INT($F1662/100)*60+MOD($F1662,100)))</f>
        <v/>
      </c>
      <c r="K1662" s="41" t="str">
        <f>IF($G1662="","",IF($G1662&lt;1,ROUND($G1662*1440,0),INT($G1662/100)*60+MOD($G1662,100)))</f>
        <v/>
      </c>
    </row>
    <row r="1663" ht="15" customHeight="1" s="26">
      <c r="A1663" s="34" t="n"/>
      <c r="B1663" s="32" t="n"/>
      <c r="C1663" s="33" t="n"/>
      <c r="D1663" s="37" t="str">
        <f>IF($C1663="","",IFERROR(INDEX(프로젝트목록!$B$3:$B$62,MATCH($C1663,프로젝트목록!$A$3:$A$62,0)),"미등록코드"))</f>
        <v/>
      </c>
      <c r="E1663" s="32" t="n"/>
      <c r="F1663" s="38" t="n"/>
      <c r="G1663" s="38" t="n"/>
      <c r="H1663" s="39" t="n"/>
      <c r="I1663" s="40" t="str">
        <f>IF(OR($J1663="",$K1663=""),"",ROUND(MAX(0,($K1663-$J1663)-IF($H1663="",0,$H1663))/60,2))</f>
        <v/>
      </c>
      <c r="J1663" s="41" t="str">
        <f>IF($F1663="","",IF($F1663&lt;1,ROUND($F1663*1440,0),INT($F1663/100)*60+MOD($F1663,100)))</f>
        <v/>
      </c>
      <c r="K1663" s="41" t="str">
        <f>IF($G1663="","",IF($G1663&lt;1,ROUND($G1663*1440,0),INT($G1663/100)*60+MOD($G1663,100)))</f>
        <v/>
      </c>
    </row>
    <row r="1664" ht="15" customHeight="1" s="26">
      <c r="A1664" s="34" t="n"/>
      <c r="B1664" s="32" t="n"/>
      <c r="C1664" s="33" t="n"/>
      <c r="D1664" s="37" t="str">
        <f>IF($C1664="","",IFERROR(INDEX(프로젝트목록!$B$3:$B$62,MATCH($C1664,프로젝트목록!$A$3:$A$62,0)),"미등록코드"))</f>
        <v/>
      </c>
      <c r="E1664" s="32" t="n"/>
      <c r="F1664" s="38" t="n"/>
      <c r="G1664" s="38" t="n"/>
      <c r="H1664" s="39" t="n"/>
      <c r="I1664" s="40" t="str">
        <f>IF(OR($J1664="",$K1664=""),"",ROUND(MAX(0,($K1664-$J1664)-IF($H1664="",0,$H1664))/60,2))</f>
        <v/>
      </c>
      <c r="J1664" s="41" t="str">
        <f>IF($F1664="","",IF($F1664&lt;1,ROUND($F1664*1440,0),INT($F1664/100)*60+MOD($F1664,100)))</f>
        <v/>
      </c>
      <c r="K1664" s="41" t="str">
        <f>IF($G1664="","",IF($G1664&lt;1,ROUND($G1664*1440,0),INT($G1664/100)*60+MOD($G1664,100)))</f>
        <v/>
      </c>
    </row>
    <row r="1665" ht="15" customHeight="1" s="26">
      <c r="A1665" s="34" t="n"/>
      <c r="B1665" s="32" t="n"/>
      <c r="C1665" s="33" t="n"/>
      <c r="D1665" s="37" t="str">
        <f>IF($C1665="","",IFERROR(INDEX(프로젝트목록!$B$3:$B$62,MATCH($C1665,프로젝트목록!$A$3:$A$62,0)),"미등록코드"))</f>
        <v/>
      </c>
      <c r="E1665" s="32" t="n"/>
      <c r="F1665" s="38" t="n"/>
      <c r="G1665" s="38" t="n"/>
      <c r="H1665" s="39" t="n"/>
      <c r="I1665" s="40" t="str">
        <f>IF(OR($J1665="",$K1665=""),"",ROUND(MAX(0,($K1665-$J1665)-IF($H1665="",0,$H1665))/60,2))</f>
        <v/>
      </c>
      <c r="J1665" s="41" t="str">
        <f>IF($F1665="","",IF($F1665&lt;1,ROUND($F1665*1440,0),INT($F1665/100)*60+MOD($F1665,100)))</f>
        <v/>
      </c>
      <c r="K1665" s="41" t="str">
        <f>IF($G1665="","",IF($G1665&lt;1,ROUND($G1665*1440,0),INT($G1665/100)*60+MOD($G1665,100)))</f>
        <v/>
      </c>
    </row>
    <row r="1666" ht="15" customHeight="1" s="26">
      <c r="A1666" s="34" t="n"/>
      <c r="B1666" s="32" t="n"/>
      <c r="C1666" s="33" t="n"/>
      <c r="D1666" s="37" t="str">
        <f>IF($C1666="","",IFERROR(INDEX(프로젝트목록!$B$3:$B$62,MATCH($C1666,프로젝트목록!$A$3:$A$62,0)),"미등록코드"))</f>
        <v/>
      </c>
      <c r="E1666" s="32" t="n"/>
      <c r="F1666" s="38" t="n"/>
      <c r="G1666" s="38" t="n"/>
      <c r="H1666" s="39" t="n"/>
      <c r="I1666" s="40" t="str">
        <f>IF(OR($J1666="",$K1666=""),"",ROUND(MAX(0,($K1666-$J1666)-IF($H1666="",0,$H1666))/60,2))</f>
        <v/>
      </c>
      <c r="J1666" s="41" t="str">
        <f>IF($F1666="","",IF($F1666&lt;1,ROUND($F1666*1440,0),INT($F1666/100)*60+MOD($F1666,100)))</f>
        <v/>
      </c>
      <c r="K1666" s="41" t="str">
        <f>IF($G1666="","",IF($G1666&lt;1,ROUND($G1666*1440,0),INT($G1666/100)*60+MOD($G1666,100)))</f>
        <v/>
      </c>
    </row>
    <row r="1667" ht="15" customHeight="1" s="26">
      <c r="A1667" s="34" t="n"/>
      <c r="B1667" s="32" t="n"/>
      <c r="C1667" s="33" t="n"/>
      <c r="D1667" s="37" t="str">
        <f>IF($C1667="","",IFERROR(INDEX(프로젝트목록!$B$3:$B$62,MATCH($C1667,프로젝트목록!$A$3:$A$62,0)),"미등록코드"))</f>
        <v/>
      </c>
      <c r="E1667" s="32" t="n"/>
      <c r="F1667" s="38" t="n"/>
      <c r="G1667" s="38" t="n"/>
      <c r="H1667" s="39" t="n"/>
      <c r="I1667" s="40" t="str">
        <f>IF(OR($J1667="",$K1667=""),"",ROUND(MAX(0,($K1667-$J1667)-IF($H1667="",0,$H1667))/60,2))</f>
        <v/>
      </c>
      <c r="J1667" s="41" t="str">
        <f>IF($F1667="","",IF($F1667&lt;1,ROUND($F1667*1440,0),INT($F1667/100)*60+MOD($F1667,100)))</f>
        <v/>
      </c>
      <c r="K1667" s="41" t="str">
        <f>IF($G1667="","",IF($G1667&lt;1,ROUND($G1667*1440,0),INT($G1667/100)*60+MOD($G1667,100)))</f>
        <v/>
      </c>
    </row>
    <row r="1668" ht="15" customHeight="1" s="26">
      <c r="A1668" s="34" t="n"/>
      <c r="B1668" s="32" t="n"/>
      <c r="C1668" s="33" t="n"/>
      <c r="D1668" s="37" t="str">
        <f>IF($C1668="","",IFERROR(INDEX(프로젝트목록!$B$3:$B$62,MATCH($C1668,프로젝트목록!$A$3:$A$62,0)),"미등록코드"))</f>
        <v/>
      </c>
      <c r="E1668" s="32" t="n"/>
      <c r="F1668" s="38" t="n"/>
      <c r="G1668" s="38" t="n"/>
      <c r="H1668" s="39" t="n"/>
      <c r="I1668" s="40" t="str">
        <f>IF(OR($J1668="",$K1668=""),"",ROUND(MAX(0,($K1668-$J1668)-IF($H1668="",0,$H1668))/60,2))</f>
        <v/>
      </c>
      <c r="J1668" s="41" t="str">
        <f>IF($F1668="","",IF($F1668&lt;1,ROUND($F1668*1440,0),INT($F1668/100)*60+MOD($F1668,100)))</f>
        <v/>
      </c>
      <c r="K1668" s="41" t="str">
        <f>IF($G1668="","",IF($G1668&lt;1,ROUND($G1668*1440,0),INT($G1668/100)*60+MOD($G1668,100)))</f>
        <v/>
      </c>
    </row>
    <row r="1669" ht="15" customHeight="1" s="26">
      <c r="A1669" s="34" t="n"/>
      <c r="B1669" s="32" t="n"/>
      <c r="C1669" s="33" t="n"/>
      <c r="D1669" s="37" t="str">
        <f>IF($C1669="","",IFERROR(INDEX(프로젝트목록!$B$3:$B$62,MATCH($C1669,프로젝트목록!$A$3:$A$62,0)),"미등록코드"))</f>
        <v/>
      </c>
      <c r="E1669" s="32" t="n"/>
      <c r="F1669" s="38" t="n"/>
      <c r="G1669" s="38" t="n"/>
      <c r="H1669" s="39" t="n"/>
      <c r="I1669" s="40" t="str">
        <f>IF(OR($J1669="",$K1669=""),"",ROUND(MAX(0,($K1669-$J1669)-IF($H1669="",0,$H1669))/60,2))</f>
        <v/>
      </c>
      <c r="J1669" s="41" t="str">
        <f>IF($F1669="","",IF($F1669&lt;1,ROUND($F1669*1440,0),INT($F1669/100)*60+MOD($F1669,100)))</f>
        <v/>
      </c>
      <c r="K1669" s="41" t="str">
        <f>IF($G1669="","",IF($G1669&lt;1,ROUND($G1669*1440,0),INT($G1669/100)*60+MOD($G1669,100)))</f>
        <v/>
      </c>
    </row>
    <row r="1670" ht="15" customHeight="1" s="26">
      <c r="A1670" s="34" t="n"/>
      <c r="B1670" s="32" t="n"/>
      <c r="C1670" s="33" t="n"/>
      <c r="D1670" s="37" t="str">
        <f>IF($C1670="","",IFERROR(INDEX(프로젝트목록!$B$3:$B$62,MATCH($C1670,프로젝트목록!$A$3:$A$62,0)),"미등록코드"))</f>
        <v/>
      </c>
      <c r="E1670" s="32" t="n"/>
      <c r="F1670" s="38" t="n"/>
      <c r="G1670" s="38" t="n"/>
      <c r="H1670" s="39" t="n"/>
      <c r="I1670" s="40" t="str">
        <f>IF(OR($J1670="",$K1670=""),"",ROUND(MAX(0,($K1670-$J1670)-IF($H1670="",0,$H1670))/60,2))</f>
        <v/>
      </c>
      <c r="J1670" s="41" t="str">
        <f>IF($F1670="","",IF($F1670&lt;1,ROUND($F1670*1440,0),INT($F1670/100)*60+MOD($F1670,100)))</f>
        <v/>
      </c>
      <c r="K1670" s="41" t="str">
        <f>IF($G1670="","",IF($G1670&lt;1,ROUND($G1670*1440,0),INT($G1670/100)*60+MOD($G1670,100)))</f>
        <v/>
      </c>
    </row>
    <row r="1671" ht="15" customHeight="1" s="26">
      <c r="A1671" s="34" t="n"/>
      <c r="B1671" s="32" t="n"/>
      <c r="C1671" s="33" t="n"/>
      <c r="D1671" s="37" t="str">
        <f>IF($C1671="","",IFERROR(INDEX(프로젝트목록!$B$3:$B$62,MATCH($C1671,프로젝트목록!$A$3:$A$62,0)),"미등록코드"))</f>
        <v/>
      </c>
      <c r="E1671" s="32" t="n"/>
      <c r="F1671" s="38" t="n"/>
      <c r="G1671" s="38" t="n"/>
      <c r="H1671" s="39" t="n"/>
      <c r="I1671" s="40" t="str">
        <f>IF(OR($J1671="",$K1671=""),"",ROUND(MAX(0,($K1671-$J1671)-IF($H1671="",0,$H1671))/60,2))</f>
        <v/>
      </c>
      <c r="J1671" s="41" t="str">
        <f>IF($F1671="","",IF($F1671&lt;1,ROUND($F1671*1440,0),INT($F1671/100)*60+MOD($F1671,100)))</f>
        <v/>
      </c>
      <c r="K1671" s="41" t="str">
        <f>IF($G1671="","",IF($G1671&lt;1,ROUND($G1671*1440,0),INT($G1671/100)*60+MOD($G1671,100)))</f>
        <v/>
      </c>
    </row>
    <row r="1672" ht="15" customHeight="1" s="26">
      <c r="A1672" s="34" t="n"/>
      <c r="B1672" s="32" t="n"/>
      <c r="C1672" s="33" t="n"/>
      <c r="D1672" s="37" t="str">
        <f>IF($C1672="","",IFERROR(INDEX(프로젝트목록!$B$3:$B$62,MATCH($C1672,프로젝트목록!$A$3:$A$62,0)),"미등록코드"))</f>
        <v/>
      </c>
      <c r="E1672" s="32" t="n"/>
      <c r="F1672" s="38" t="n"/>
      <c r="G1672" s="38" t="n"/>
      <c r="H1672" s="39" t="n"/>
      <c r="I1672" s="40" t="str">
        <f>IF(OR($J1672="",$K1672=""),"",ROUND(MAX(0,($K1672-$J1672)-IF($H1672="",0,$H1672))/60,2))</f>
        <v/>
      </c>
      <c r="J1672" s="41" t="str">
        <f>IF($F1672="","",IF($F1672&lt;1,ROUND($F1672*1440,0),INT($F1672/100)*60+MOD($F1672,100)))</f>
        <v/>
      </c>
      <c r="K1672" s="41" t="str">
        <f>IF($G1672="","",IF($G1672&lt;1,ROUND($G1672*1440,0),INT($G1672/100)*60+MOD($G1672,100)))</f>
        <v/>
      </c>
    </row>
    <row r="1673" ht="15" customHeight="1" s="26">
      <c r="A1673" s="34" t="n"/>
      <c r="B1673" s="32" t="n"/>
      <c r="C1673" s="33" t="n"/>
      <c r="D1673" s="37" t="str">
        <f>IF($C1673="","",IFERROR(INDEX(프로젝트목록!$B$3:$B$62,MATCH($C1673,프로젝트목록!$A$3:$A$62,0)),"미등록코드"))</f>
        <v/>
      </c>
      <c r="E1673" s="32" t="n"/>
      <c r="F1673" s="38" t="n"/>
      <c r="G1673" s="38" t="n"/>
      <c r="H1673" s="39" t="n"/>
      <c r="I1673" s="40" t="str">
        <f>IF(OR($J1673="",$K1673=""),"",ROUND(MAX(0,($K1673-$J1673)-IF($H1673="",0,$H1673))/60,2))</f>
        <v/>
      </c>
      <c r="J1673" s="41" t="str">
        <f>IF($F1673="","",IF($F1673&lt;1,ROUND($F1673*1440,0),INT($F1673/100)*60+MOD($F1673,100)))</f>
        <v/>
      </c>
      <c r="K1673" s="41" t="str">
        <f>IF($G1673="","",IF($G1673&lt;1,ROUND($G1673*1440,0),INT($G1673/100)*60+MOD($G1673,100)))</f>
        <v/>
      </c>
    </row>
    <row r="1674" ht="15" customHeight="1" s="26">
      <c r="A1674" s="34" t="n"/>
      <c r="B1674" s="32" t="n"/>
      <c r="C1674" s="33" t="n"/>
      <c r="D1674" s="37" t="str">
        <f>IF($C1674="","",IFERROR(INDEX(프로젝트목록!$B$3:$B$62,MATCH($C1674,프로젝트목록!$A$3:$A$62,0)),"미등록코드"))</f>
        <v/>
      </c>
      <c r="E1674" s="32" t="n"/>
      <c r="F1674" s="38" t="n"/>
      <c r="G1674" s="38" t="n"/>
      <c r="H1674" s="39" t="n"/>
      <c r="I1674" s="40" t="str">
        <f>IF(OR($J1674="",$K1674=""),"",ROUND(MAX(0,($K1674-$J1674)-IF($H1674="",0,$H1674))/60,2))</f>
        <v/>
      </c>
      <c r="J1674" s="41" t="str">
        <f>IF($F1674="","",IF($F1674&lt;1,ROUND($F1674*1440,0),INT($F1674/100)*60+MOD($F1674,100)))</f>
        <v/>
      </c>
      <c r="K1674" s="41" t="str">
        <f>IF($G1674="","",IF($G1674&lt;1,ROUND($G1674*1440,0),INT($G1674/100)*60+MOD($G1674,100)))</f>
        <v/>
      </c>
    </row>
    <row r="1675" ht="15" customHeight="1" s="26">
      <c r="A1675" s="34" t="n"/>
      <c r="B1675" s="32" t="n"/>
      <c r="C1675" s="33" t="n"/>
      <c r="D1675" s="37" t="str">
        <f>IF($C1675="","",IFERROR(INDEX(프로젝트목록!$B$3:$B$62,MATCH($C1675,프로젝트목록!$A$3:$A$62,0)),"미등록코드"))</f>
        <v/>
      </c>
      <c r="E1675" s="32" t="n"/>
      <c r="F1675" s="38" t="n"/>
      <c r="G1675" s="38" t="n"/>
      <c r="H1675" s="39" t="n"/>
      <c r="I1675" s="40" t="str">
        <f>IF(OR($J1675="",$K1675=""),"",ROUND(MAX(0,($K1675-$J1675)-IF($H1675="",0,$H1675))/60,2))</f>
        <v/>
      </c>
      <c r="J1675" s="41" t="str">
        <f>IF($F1675="","",IF($F1675&lt;1,ROUND($F1675*1440,0),INT($F1675/100)*60+MOD($F1675,100)))</f>
        <v/>
      </c>
      <c r="K1675" s="41" t="str">
        <f>IF($G1675="","",IF($G1675&lt;1,ROUND($G1675*1440,0),INT($G1675/100)*60+MOD($G1675,100)))</f>
        <v/>
      </c>
    </row>
    <row r="1676" ht="15" customHeight="1" s="26">
      <c r="A1676" s="34" t="n"/>
      <c r="B1676" s="32" t="n"/>
      <c r="C1676" s="33" t="n"/>
      <c r="D1676" s="37" t="str">
        <f>IF($C1676="","",IFERROR(INDEX(프로젝트목록!$B$3:$B$62,MATCH($C1676,프로젝트목록!$A$3:$A$62,0)),"미등록코드"))</f>
        <v/>
      </c>
      <c r="E1676" s="32" t="n"/>
      <c r="F1676" s="38" t="n"/>
      <c r="G1676" s="38" t="n"/>
      <c r="H1676" s="39" t="n"/>
      <c r="I1676" s="40" t="str">
        <f>IF(OR($J1676="",$K1676=""),"",ROUND(MAX(0,($K1676-$J1676)-IF($H1676="",0,$H1676))/60,2))</f>
        <v/>
      </c>
      <c r="J1676" s="41" t="str">
        <f>IF($F1676="","",IF($F1676&lt;1,ROUND($F1676*1440,0),INT($F1676/100)*60+MOD($F1676,100)))</f>
        <v/>
      </c>
      <c r="K1676" s="41" t="str">
        <f>IF($G1676="","",IF($G1676&lt;1,ROUND($G1676*1440,0),INT($G1676/100)*60+MOD($G1676,100)))</f>
        <v/>
      </c>
    </row>
    <row r="1677" ht="15" customHeight="1" s="26">
      <c r="A1677" s="34" t="n"/>
      <c r="B1677" s="32" t="n"/>
      <c r="C1677" s="33" t="n"/>
      <c r="D1677" s="37" t="str">
        <f>IF($C1677="","",IFERROR(INDEX(프로젝트목록!$B$3:$B$62,MATCH($C1677,프로젝트목록!$A$3:$A$62,0)),"미등록코드"))</f>
        <v/>
      </c>
      <c r="E1677" s="32" t="n"/>
      <c r="F1677" s="38" t="n"/>
      <c r="G1677" s="38" t="n"/>
      <c r="H1677" s="39" t="n"/>
      <c r="I1677" s="40" t="str">
        <f>IF(OR($J1677="",$K1677=""),"",ROUND(MAX(0,($K1677-$J1677)-IF($H1677="",0,$H1677))/60,2))</f>
        <v/>
      </c>
      <c r="J1677" s="41" t="str">
        <f>IF($F1677="","",IF($F1677&lt;1,ROUND($F1677*1440,0),INT($F1677/100)*60+MOD($F1677,100)))</f>
        <v/>
      </c>
      <c r="K1677" s="41" t="str">
        <f>IF($G1677="","",IF($G1677&lt;1,ROUND($G1677*1440,0),INT($G1677/100)*60+MOD($G1677,100)))</f>
        <v/>
      </c>
    </row>
    <row r="1678" ht="15" customHeight="1" s="26">
      <c r="A1678" s="34" t="n"/>
      <c r="B1678" s="32" t="n"/>
      <c r="C1678" s="33" t="n"/>
      <c r="D1678" s="37" t="str">
        <f>IF($C1678="","",IFERROR(INDEX(프로젝트목록!$B$3:$B$62,MATCH($C1678,프로젝트목록!$A$3:$A$62,0)),"미등록코드"))</f>
        <v/>
      </c>
      <c r="E1678" s="32" t="n"/>
      <c r="F1678" s="38" t="n"/>
      <c r="G1678" s="38" t="n"/>
      <c r="H1678" s="39" t="n"/>
      <c r="I1678" s="40" t="str">
        <f>IF(OR($J1678="",$K1678=""),"",ROUND(MAX(0,($K1678-$J1678)-IF($H1678="",0,$H1678))/60,2))</f>
        <v/>
      </c>
      <c r="J1678" s="41" t="str">
        <f>IF($F1678="","",IF($F1678&lt;1,ROUND($F1678*1440,0),INT($F1678/100)*60+MOD($F1678,100)))</f>
        <v/>
      </c>
      <c r="K1678" s="41" t="str">
        <f>IF($G1678="","",IF($G1678&lt;1,ROUND($G1678*1440,0),INT($G1678/100)*60+MOD($G1678,100)))</f>
        <v/>
      </c>
    </row>
    <row r="1679" ht="15" customHeight="1" s="26">
      <c r="A1679" s="34" t="n"/>
      <c r="B1679" s="32" t="n"/>
      <c r="C1679" s="33" t="n"/>
      <c r="D1679" s="37" t="str">
        <f>IF($C1679="","",IFERROR(INDEX(프로젝트목록!$B$3:$B$62,MATCH($C1679,프로젝트목록!$A$3:$A$62,0)),"미등록코드"))</f>
        <v/>
      </c>
      <c r="E1679" s="32" t="n"/>
      <c r="F1679" s="38" t="n"/>
      <c r="G1679" s="38" t="n"/>
      <c r="H1679" s="39" t="n"/>
      <c r="I1679" s="40" t="str">
        <f>IF(OR($J1679="",$K1679=""),"",ROUND(MAX(0,($K1679-$J1679)-IF($H1679="",0,$H1679))/60,2))</f>
        <v/>
      </c>
      <c r="J1679" s="41" t="str">
        <f>IF($F1679="","",IF($F1679&lt;1,ROUND($F1679*1440,0),INT($F1679/100)*60+MOD($F1679,100)))</f>
        <v/>
      </c>
      <c r="K1679" s="41" t="str">
        <f>IF($G1679="","",IF($G1679&lt;1,ROUND($G1679*1440,0),INT($G1679/100)*60+MOD($G1679,100)))</f>
        <v/>
      </c>
    </row>
    <row r="1680" ht="15" customHeight="1" s="26">
      <c r="A1680" s="34" t="n"/>
      <c r="B1680" s="32" t="n"/>
      <c r="C1680" s="33" t="n"/>
      <c r="D1680" s="37" t="str">
        <f>IF($C1680="","",IFERROR(INDEX(프로젝트목록!$B$3:$B$62,MATCH($C1680,프로젝트목록!$A$3:$A$62,0)),"미등록코드"))</f>
        <v/>
      </c>
      <c r="E1680" s="32" t="n"/>
      <c r="F1680" s="38" t="n"/>
      <c r="G1680" s="38" t="n"/>
      <c r="H1680" s="39" t="n"/>
      <c r="I1680" s="40" t="str">
        <f>IF(OR($J1680="",$K1680=""),"",ROUND(MAX(0,($K1680-$J1680)-IF($H1680="",0,$H1680))/60,2))</f>
        <v/>
      </c>
      <c r="J1680" s="41" t="str">
        <f>IF($F1680="","",IF($F1680&lt;1,ROUND($F1680*1440,0),INT($F1680/100)*60+MOD($F1680,100)))</f>
        <v/>
      </c>
      <c r="K1680" s="41" t="str">
        <f>IF($G1680="","",IF($G1680&lt;1,ROUND($G1680*1440,0),INT($G1680/100)*60+MOD($G1680,100)))</f>
        <v/>
      </c>
    </row>
    <row r="1681" ht="15" customHeight="1" s="26">
      <c r="A1681" s="34" t="n"/>
      <c r="B1681" s="32" t="n"/>
      <c r="C1681" s="33" t="n"/>
      <c r="D1681" s="37" t="str">
        <f>IF($C1681="","",IFERROR(INDEX(프로젝트목록!$B$3:$B$62,MATCH($C1681,프로젝트목록!$A$3:$A$62,0)),"미등록코드"))</f>
        <v/>
      </c>
      <c r="E1681" s="32" t="n"/>
      <c r="F1681" s="38" t="n"/>
      <c r="G1681" s="38" t="n"/>
      <c r="H1681" s="39" t="n"/>
      <c r="I1681" s="40" t="str">
        <f>IF(OR($J1681="",$K1681=""),"",ROUND(MAX(0,($K1681-$J1681)-IF($H1681="",0,$H1681))/60,2))</f>
        <v/>
      </c>
      <c r="J1681" s="41" t="str">
        <f>IF($F1681="","",IF($F1681&lt;1,ROUND($F1681*1440,0),INT($F1681/100)*60+MOD($F1681,100)))</f>
        <v/>
      </c>
      <c r="K1681" s="41" t="str">
        <f>IF($G1681="","",IF($G1681&lt;1,ROUND($G1681*1440,0),INT($G1681/100)*60+MOD($G1681,100)))</f>
        <v/>
      </c>
    </row>
    <row r="1682" ht="15" customHeight="1" s="26">
      <c r="A1682" s="34" t="n"/>
      <c r="B1682" s="32" t="n"/>
      <c r="C1682" s="33" t="n"/>
      <c r="D1682" s="37" t="str">
        <f>IF($C1682="","",IFERROR(INDEX(프로젝트목록!$B$3:$B$62,MATCH($C1682,프로젝트목록!$A$3:$A$62,0)),"미등록코드"))</f>
        <v/>
      </c>
      <c r="E1682" s="32" t="n"/>
      <c r="F1682" s="38" t="n"/>
      <c r="G1682" s="38" t="n"/>
      <c r="H1682" s="39" t="n"/>
      <c r="I1682" s="40" t="str">
        <f>IF(OR($J1682="",$K1682=""),"",ROUND(MAX(0,($K1682-$J1682)-IF($H1682="",0,$H1682))/60,2))</f>
        <v/>
      </c>
      <c r="J1682" s="41" t="str">
        <f>IF($F1682="","",IF($F1682&lt;1,ROUND($F1682*1440,0),INT($F1682/100)*60+MOD($F1682,100)))</f>
        <v/>
      </c>
      <c r="K1682" s="41" t="str">
        <f>IF($G1682="","",IF($G1682&lt;1,ROUND($G1682*1440,0),INT($G1682/100)*60+MOD($G1682,100)))</f>
        <v/>
      </c>
    </row>
    <row r="1683" ht="15" customHeight="1" s="26">
      <c r="A1683" s="34" t="n"/>
      <c r="B1683" s="32" t="n"/>
      <c r="C1683" s="33" t="n"/>
      <c r="D1683" s="37" t="str">
        <f>IF($C1683="","",IFERROR(INDEX(프로젝트목록!$B$3:$B$62,MATCH($C1683,프로젝트목록!$A$3:$A$62,0)),"미등록코드"))</f>
        <v/>
      </c>
      <c r="E1683" s="32" t="n"/>
      <c r="F1683" s="38" t="n"/>
      <c r="G1683" s="38" t="n"/>
      <c r="H1683" s="39" t="n"/>
      <c r="I1683" s="40" t="str">
        <f>IF(OR($J1683="",$K1683=""),"",ROUND(MAX(0,($K1683-$J1683)-IF($H1683="",0,$H1683))/60,2))</f>
        <v/>
      </c>
      <c r="J1683" s="41" t="str">
        <f>IF($F1683="","",IF($F1683&lt;1,ROUND($F1683*1440,0),INT($F1683/100)*60+MOD($F1683,100)))</f>
        <v/>
      </c>
      <c r="K1683" s="41" t="str">
        <f>IF($G1683="","",IF($G1683&lt;1,ROUND($G1683*1440,0),INT($G1683/100)*60+MOD($G1683,100)))</f>
        <v/>
      </c>
    </row>
    <row r="1684" ht="15" customHeight="1" s="26">
      <c r="A1684" s="34" t="n"/>
      <c r="B1684" s="32" t="n"/>
      <c r="C1684" s="33" t="n"/>
      <c r="D1684" s="37" t="str">
        <f>IF($C1684="","",IFERROR(INDEX(프로젝트목록!$B$3:$B$62,MATCH($C1684,프로젝트목록!$A$3:$A$62,0)),"미등록코드"))</f>
        <v/>
      </c>
      <c r="E1684" s="32" t="n"/>
      <c r="F1684" s="38" t="n"/>
      <c r="G1684" s="38" t="n"/>
      <c r="H1684" s="39" t="n"/>
      <c r="I1684" s="40" t="str">
        <f>IF(OR($J1684="",$K1684=""),"",ROUND(MAX(0,($K1684-$J1684)-IF($H1684="",0,$H1684))/60,2))</f>
        <v/>
      </c>
      <c r="J1684" s="41" t="str">
        <f>IF($F1684="","",IF($F1684&lt;1,ROUND($F1684*1440,0),INT($F1684/100)*60+MOD($F1684,100)))</f>
        <v/>
      </c>
      <c r="K1684" s="41" t="str">
        <f>IF($G1684="","",IF($G1684&lt;1,ROUND($G1684*1440,0),INT($G1684/100)*60+MOD($G1684,100)))</f>
        <v/>
      </c>
    </row>
    <row r="1685" ht="15" customHeight="1" s="26">
      <c r="A1685" s="34" t="n"/>
      <c r="B1685" s="32" t="n"/>
      <c r="C1685" s="33" t="n"/>
      <c r="D1685" s="37" t="str">
        <f>IF($C1685="","",IFERROR(INDEX(프로젝트목록!$B$3:$B$62,MATCH($C1685,프로젝트목록!$A$3:$A$62,0)),"미등록코드"))</f>
        <v/>
      </c>
      <c r="E1685" s="32" t="n"/>
      <c r="F1685" s="38" t="n"/>
      <c r="G1685" s="38" t="n"/>
      <c r="H1685" s="39" t="n"/>
      <c r="I1685" s="40" t="str">
        <f>IF(OR($J1685="",$K1685=""),"",ROUND(MAX(0,($K1685-$J1685)-IF($H1685="",0,$H1685))/60,2))</f>
        <v/>
      </c>
      <c r="J1685" s="41" t="str">
        <f>IF($F1685="","",IF($F1685&lt;1,ROUND($F1685*1440,0),INT($F1685/100)*60+MOD($F1685,100)))</f>
        <v/>
      </c>
      <c r="K1685" s="41" t="str">
        <f>IF($G1685="","",IF($G1685&lt;1,ROUND($G1685*1440,0),INT($G1685/100)*60+MOD($G1685,100)))</f>
        <v/>
      </c>
    </row>
    <row r="1686" ht="15" customHeight="1" s="26">
      <c r="A1686" s="34" t="n"/>
      <c r="B1686" s="32" t="n"/>
      <c r="C1686" s="33" t="n"/>
      <c r="D1686" s="37" t="str">
        <f>IF($C1686="","",IFERROR(INDEX(프로젝트목록!$B$3:$B$62,MATCH($C1686,프로젝트목록!$A$3:$A$62,0)),"미등록코드"))</f>
        <v/>
      </c>
      <c r="E1686" s="32" t="n"/>
      <c r="F1686" s="38" t="n"/>
      <c r="G1686" s="38" t="n"/>
      <c r="H1686" s="39" t="n"/>
      <c r="I1686" s="40" t="str">
        <f>IF(OR($J1686="",$K1686=""),"",ROUND(MAX(0,($K1686-$J1686)-IF($H1686="",0,$H1686))/60,2))</f>
        <v/>
      </c>
      <c r="J1686" s="41" t="str">
        <f>IF($F1686="","",IF($F1686&lt;1,ROUND($F1686*1440,0),INT($F1686/100)*60+MOD($F1686,100)))</f>
        <v/>
      </c>
      <c r="K1686" s="41" t="str">
        <f>IF($G1686="","",IF($G1686&lt;1,ROUND($G1686*1440,0),INT($G1686/100)*60+MOD($G1686,100)))</f>
        <v/>
      </c>
    </row>
    <row r="1687" ht="15" customHeight="1" s="26">
      <c r="A1687" s="34" t="n"/>
      <c r="B1687" s="32" t="n"/>
      <c r="C1687" s="33" t="n"/>
      <c r="D1687" s="37" t="str">
        <f>IF($C1687="","",IFERROR(INDEX(프로젝트목록!$B$3:$B$62,MATCH($C1687,프로젝트목록!$A$3:$A$62,0)),"미등록코드"))</f>
        <v/>
      </c>
      <c r="E1687" s="32" t="n"/>
      <c r="F1687" s="38" t="n"/>
      <c r="G1687" s="38" t="n"/>
      <c r="H1687" s="39" t="n"/>
      <c r="I1687" s="40" t="str">
        <f>IF(OR($J1687="",$K1687=""),"",ROUND(MAX(0,($K1687-$J1687)-IF($H1687="",0,$H1687))/60,2))</f>
        <v/>
      </c>
      <c r="J1687" s="41" t="str">
        <f>IF($F1687="","",IF($F1687&lt;1,ROUND($F1687*1440,0),INT($F1687/100)*60+MOD($F1687,100)))</f>
        <v/>
      </c>
      <c r="K1687" s="41" t="str">
        <f>IF($G1687="","",IF($G1687&lt;1,ROUND($G1687*1440,0),INT($G1687/100)*60+MOD($G1687,100)))</f>
        <v/>
      </c>
    </row>
    <row r="1688" ht="15" customHeight="1" s="26">
      <c r="A1688" s="34" t="n"/>
      <c r="B1688" s="32" t="n"/>
      <c r="C1688" s="33" t="n"/>
      <c r="D1688" s="37" t="str">
        <f>IF($C1688="","",IFERROR(INDEX(프로젝트목록!$B$3:$B$62,MATCH($C1688,프로젝트목록!$A$3:$A$62,0)),"미등록코드"))</f>
        <v/>
      </c>
      <c r="E1688" s="32" t="n"/>
      <c r="F1688" s="38" t="n"/>
      <c r="G1688" s="38" t="n"/>
      <c r="H1688" s="39" t="n"/>
      <c r="I1688" s="40" t="str">
        <f>IF(OR($J1688="",$K1688=""),"",ROUND(MAX(0,($K1688-$J1688)-IF($H1688="",0,$H1688))/60,2))</f>
        <v/>
      </c>
      <c r="J1688" s="41" t="str">
        <f>IF($F1688="","",IF($F1688&lt;1,ROUND($F1688*1440,0),INT($F1688/100)*60+MOD($F1688,100)))</f>
        <v/>
      </c>
      <c r="K1688" s="41" t="str">
        <f>IF($G1688="","",IF($G1688&lt;1,ROUND($G1688*1440,0),INT($G1688/100)*60+MOD($G1688,100)))</f>
        <v/>
      </c>
    </row>
    <row r="1689" ht="15" customHeight="1" s="26">
      <c r="A1689" s="34" t="n"/>
      <c r="B1689" s="32" t="n"/>
      <c r="C1689" s="33" t="n"/>
      <c r="D1689" s="37" t="str">
        <f>IF($C1689="","",IFERROR(INDEX(프로젝트목록!$B$3:$B$62,MATCH($C1689,프로젝트목록!$A$3:$A$62,0)),"미등록코드"))</f>
        <v/>
      </c>
      <c r="E1689" s="32" t="n"/>
      <c r="F1689" s="38" t="n"/>
      <c r="G1689" s="38" t="n"/>
      <c r="H1689" s="39" t="n"/>
      <c r="I1689" s="40" t="str">
        <f>IF(OR($J1689="",$K1689=""),"",ROUND(MAX(0,($K1689-$J1689)-IF($H1689="",0,$H1689))/60,2))</f>
        <v/>
      </c>
      <c r="J1689" s="41" t="str">
        <f>IF($F1689="","",IF($F1689&lt;1,ROUND($F1689*1440,0),INT($F1689/100)*60+MOD($F1689,100)))</f>
        <v/>
      </c>
      <c r="K1689" s="41" t="str">
        <f>IF($G1689="","",IF($G1689&lt;1,ROUND($G1689*1440,0),INT($G1689/100)*60+MOD($G1689,100)))</f>
        <v/>
      </c>
    </row>
    <row r="1690" ht="15" customHeight="1" s="26">
      <c r="A1690" s="34" t="n"/>
      <c r="B1690" s="32" t="n"/>
      <c r="C1690" s="33" t="n"/>
      <c r="D1690" s="37" t="str">
        <f>IF($C1690="","",IFERROR(INDEX(프로젝트목록!$B$3:$B$62,MATCH($C1690,프로젝트목록!$A$3:$A$62,0)),"미등록코드"))</f>
        <v/>
      </c>
      <c r="E1690" s="32" t="n"/>
      <c r="F1690" s="38" t="n"/>
      <c r="G1690" s="38" t="n"/>
      <c r="H1690" s="39" t="n"/>
      <c r="I1690" s="40" t="str">
        <f>IF(OR($J1690="",$K1690=""),"",ROUND(MAX(0,($K1690-$J1690)-IF($H1690="",0,$H1690))/60,2))</f>
        <v/>
      </c>
      <c r="J1690" s="41" t="str">
        <f>IF($F1690="","",IF($F1690&lt;1,ROUND($F1690*1440,0),INT($F1690/100)*60+MOD($F1690,100)))</f>
        <v/>
      </c>
      <c r="K1690" s="41" t="str">
        <f>IF($G1690="","",IF($G1690&lt;1,ROUND($G1690*1440,0),INT($G1690/100)*60+MOD($G1690,100)))</f>
        <v/>
      </c>
    </row>
    <row r="1691" ht="15" customHeight="1" s="26">
      <c r="A1691" s="34" t="n"/>
      <c r="B1691" s="32" t="n"/>
      <c r="C1691" s="33" t="n"/>
      <c r="D1691" s="37" t="str">
        <f>IF($C1691="","",IFERROR(INDEX(프로젝트목록!$B$3:$B$62,MATCH($C1691,프로젝트목록!$A$3:$A$62,0)),"미등록코드"))</f>
        <v/>
      </c>
      <c r="E1691" s="32" t="n"/>
      <c r="F1691" s="38" t="n"/>
      <c r="G1691" s="38" t="n"/>
      <c r="H1691" s="39" t="n"/>
      <c r="I1691" s="40" t="str">
        <f>IF(OR($J1691="",$K1691=""),"",ROUND(MAX(0,($K1691-$J1691)-IF($H1691="",0,$H1691))/60,2))</f>
        <v/>
      </c>
      <c r="J1691" s="41" t="str">
        <f>IF($F1691="","",IF($F1691&lt;1,ROUND($F1691*1440,0),INT($F1691/100)*60+MOD($F1691,100)))</f>
        <v/>
      </c>
      <c r="K1691" s="41" t="str">
        <f>IF($G1691="","",IF($G1691&lt;1,ROUND($G1691*1440,0),INT($G1691/100)*60+MOD($G1691,100)))</f>
        <v/>
      </c>
    </row>
    <row r="1692" ht="15" customHeight="1" s="26">
      <c r="A1692" s="34" t="n"/>
      <c r="B1692" s="32" t="n"/>
      <c r="C1692" s="33" t="n"/>
      <c r="D1692" s="37" t="str">
        <f>IF($C1692="","",IFERROR(INDEX(프로젝트목록!$B$3:$B$62,MATCH($C1692,프로젝트목록!$A$3:$A$62,0)),"미등록코드"))</f>
        <v/>
      </c>
      <c r="E1692" s="32" t="n"/>
      <c r="F1692" s="38" t="n"/>
      <c r="G1692" s="38" t="n"/>
      <c r="H1692" s="39" t="n"/>
      <c r="I1692" s="40" t="str">
        <f>IF(OR($J1692="",$K1692=""),"",ROUND(MAX(0,($K1692-$J1692)-IF($H1692="",0,$H1692))/60,2))</f>
        <v/>
      </c>
      <c r="J1692" s="41" t="str">
        <f>IF($F1692="","",IF($F1692&lt;1,ROUND($F1692*1440,0),INT($F1692/100)*60+MOD($F1692,100)))</f>
        <v/>
      </c>
      <c r="K1692" s="41" t="str">
        <f>IF($G1692="","",IF($G1692&lt;1,ROUND($G1692*1440,0),INT($G1692/100)*60+MOD($G1692,100)))</f>
        <v/>
      </c>
    </row>
    <row r="1693" ht="15" customHeight="1" s="26">
      <c r="A1693" s="34" t="n"/>
      <c r="B1693" s="32" t="n"/>
      <c r="C1693" s="33" t="n"/>
      <c r="D1693" s="37" t="str">
        <f>IF($C1693="","",IFERROR(INDEX(프로젝트목록!$B$3:$B$62,MATCH($C1693,프로젝트목록!$A$3:$A$62,0)),"미등록코드"))</f>
        <v/>
      </c>
      <c r="E1693" s="32" t="n"/>
      <c r="F1693" s="38" t="n"/>
      <c r="G1693" s="38" t="n"/>
      <c r="H1693" s="39" t="n"/>
      <c r="I1693" s="40" t="str">
        <f>IF(OR($J1693="",$K1693=""),"",ROUND(MAX(0,($K1693-$J1693)-IF($H1693="",0,$H1693))/60,2))</f>
        <v/>
      </c>
      <c r="J1693" s="41" t="str">
        <f>IF($F1693="","",IF($F1693&lt;1,ROUND($F1693*1440,0),INT($F1693/100)*60+MOD($F1693,100)))</f>
        <v/>
      </c>
      <c r="K1693" s="41" t="str">
        <f>IF($G1693="","",IF($G1693&lt;1,ROUND($G1693*1440,0),INT($G1693/100)*60+MOD($G1693,100)))</f>
        <v/>
      </c>
    </row>
    <row r="1694" ht="15" customHeight="1" s="26">
      <c r="A1694" s="34" t="n"/>
      <c r="B1694" s="32" t="n"/>
      <c r="C1694" s="33" t="n"/>
      <c r="D1694" s="37" t="str">
        <f>IF($C1694="","",IFERROR(INDEX(프로젝트목록!$B$3:$B$62,MATCH($C1694,프로젝트목록!$A$3:$A$62,0)),"미등록코드"))</f>
        <v/>
      </c>
      <c r="E1694" s="32" t="n"/>
      <c r="F1694" s="38" t="n"/>
      <c r="G1694" s="38" t="n"/>
      <c r="H1694" s="39" t="n"/>
      <c r="I1694" s="40" t="str">
        <f>IF(OR($J1694="",$K1694=""),"",ROUND(MAX(0,($K1694-$J1694)-IF($H1694="",0,$H1694))/60,2))</f>
        <v/>
      </c>
      <c r="J1694" s="41" t="str">
        <f>IF($F1694="","",IF($F1694&lt;1,ROUND($F1694*1440,0),INT($F1694/100)*60+MOD($F1694,100)))</f>
        <v/>
      </c>
      <c r="K1694" s="41" t="str">
        <f>IF($G1694="","",IF($G1694&lt;1,ROUND($G1694*1440,0),INT($G1694/100)*60+MOD($G1694,100)))</f>
        <v/>
      </c>
    </row>
    <row r="1695" ht="15" customHeight="1" s="26">
      <c r="A1695" s="34" t="n"/>
      <c r="B1695" s="32" t="n"/>
      <c r="C1695" s="33" t="n"/>
      <c r="D1695" s="37" t="str">
        <f>IF($C1695="","",IFERROR(INDEX(프로젝트목록!$B$3:$B$62,MATCH($C1695,프로젝트목록!$A$3:$A$62,0)),"미등록코드"))</f>
        <v/>
      </c>
      <c r="E1695" s="32" t="n"/>
      <c r="F1695" s="38" t="n"/>
      <c r="G1695" s="38" t="n"/>
      <c r="H1695" s="39" t="n"/>
      <c r="I1695" s="40" t="str">
        <f>IF(OR($J1695="",$K1695=""),"",ROUND(MAX(0,($K1695-$J1695)-IF($H1695="",0,$H1695))/60,2))</f>
        <v/>
      </c>
      <c r="J1695" s="41" t="str">
        <f>IF($F1695="","",IF($F1695&lt;1,ROUND($F1695*1440,0),INT($F1695/100)*60+MOD($F1695,100)))</f>
        <v/>
      </c>
      <c r="K1695" s="41" t="str">
        <f>IF($G1695="","",IF($G1695&lt;1,ROUND($G1695*1440,0),INT($G1695/100)*60+MOD($G1695,100)))</f>
        <v/>
      </c>
    </row>
    <row r="1696" ht="15" customHeight="1" s="26">
      <c r="A1696" s="34" t="n"/>
      <c r="B1696" s="32" t="n"/>
      <c r="C1696" s="33" t="n"/>
      <c r="D1696" s="37" t="str">
        <f>IF($C1696="","",IFERROR(INDEX(프로젝트목록!$B$3:$B$62,MATCH($C1696,프로젝트목록!$A$3:$A$62,0)),"미등록코드"))</f>
        <v/>
      </c>
      <c r="E1696" s="32" t="n"/>
      <c r="F1696" s="38" t="n"/>
      <c r="G1696" s="38" t="n"/>
      <c r="H1696" s="39" t="n"/>
      <c r="I1696" s="40" t="str">
        <f>IF(OR($J1696="",$K1696=""),"",ROUND(MAX(0,($K1696-$J1696)-IF($H1696="",0,$H1696))/60,2))</f>
        <v/>
      </c>
      <c r="J1696" s="41" t="str">
        <f>IF($F1696="","",IF($F1696&lt;1,ROUND($F1696*1440,0),INT($F1696/100)*60+MOD($F1696,100)))</f>
        <v/>
      </c>
      <c r="K1696" s="41" t="str">
        <f>IF($G1696="","",IF($G1696&lt;1,ROUND($G1696*1440,0),INT($G1696/100)*60+MOD($G1696,100)))</f>
        <v/>
      </c>
    </row>
    <row r="1697" ht="15" customHeight="1" s="26">
      <c r="A1697" s="34" t="n"/>
      <c r="B1697" s="32" t="n"/>
      <c r="C1697" s="33" t="n"/>
      <c r="D1697" s="37" t="str">
        <f>IF($C1697="","",IFERROR(INDEX(프로젝트목록!$B$3:$B$62,MATCH($C1697,프로젝트목록!$A$3:$A$62,0)),"미등록코드"))</f>
        <v/>
      </c>
      <c r="E1697" s="32" t="n"/>
      <c r="F1697" s="38" t="n"/>
      <c r="G1697" s="38" t="n"/>
      <c r="H1697" s="39" t="n"/>
      <c r="I1697" s="40" t="str">
        <f>IF(OR($J1697="",$K1697=""),"",ROUND(MAX(0,($K1697-$J1697)-IF($H1697="",0,$H1697))/60,2))</f>
        <v/>
      </c>
      <c r="J1697" s="41" t="str">
        <f>IF($F1697="","",IF($F1697&lt;1,ROUND($F1697*1440,0),INT($F1697/100)*60+MOD($F1697,100)))</f>
        <v/>
      </c>
      <c r="K1697" s="41" t="str">
        <f>IF($G1697="","",IF($G1697&lt;1,ROUND($G1697*1440,0),INT($G1697/100)*60+MOD($G1697,100)))</f>
        <v/>
      </c>
    </row>
    <row r="1698" ht="15" customHeight="1" s="26">
      <c r="A1698" s="34" t="n"/>
      <c r="B1698" s="32" t="n"/>
      <c r="C1698" s="33" t="n"/>
      <c r="D1698" s="37" t="str">
        <f>IF($C1698="","",IFERROR(INDEX(프로젝트목록!$B$3:$B$62,MATCH($C1698,프로젝트목록!$A$3:$A$62,0)),"미등록코드"))</f>
        <v/>
      </c>
      <c r="E1698" s="32" t="n"/>
      <c r="F1698" s="38" t="n"/>
      <c r="G1698" s="38" t="n"/>
      <c r="H1698" s="39" t="n"/>
      <c r="I1698" s="40" t="str">
        <f>IF(OR($J1698="",$K1698=""),"",ROUND(MAX(0,($K1698-$J1698)-IF($H1698="",0,$H1698))/60,2))</f>
        <v/>
      </c>
      <c r="J1698" s="41" t="str">
        <f>IF($F1698="","",IF($F1698&lt;1,ROUND($F1698*1440,0),INT($F1698/100)*60+MOD($F1698,100)))</f>
        <v/>
      </c>
      <c r="K1698" s="41" t="str">
        <f>IF($G1698="","",IF($G1698&lt;1,ROUND($G1698*1440,0),INT($G1698/100)*60+MOD($G1698,100)))</f>
        <v/>
      </c>
    </row>
    <row r="1699" ht="15" customHeight="1" s="26">
      <c r="A1699" s="34" t="n"/>
      <c r="B1699" s="32" t="n"/>
      <c r="C1699" s="33" t="n"/>
      <c r="D1699" s="37" t="str">
        <f>IF($C1699="","",IFERROR(INDEX(프로젝트목록!$B$3:$B$62,MATCH($C1699,프로젝트목록!$A$3:$A$62,0)),"미등록코드"))</f>
        <v/>
      </c>
      <c r="E1699" s="32" t="n"/>
      <c r="F1699" s="38" t="n"/>
      <c r="G1699" s="38" t="n"/>
      <c r="H1699" s="39" t="n"/>
      <c r="I1699" s="40" t="str">
        <f>IF(OR($J1699="",$K1699=""),"",ROUND(MAX(0,($K1699-$J1699)-IF($H1699="",0,$H1699))/60,2))</f>
        <v/>
      </c>
      <c r="J1699" s="41" t="str">
        <f>IF($F1699="","",IF($F1699&lt;1,ROUND($F1699*1440,0),INT($F1699/100)*60+MOD($F1699,100)))</f>
        <v/>
      </c>
      <c r="K1699" s="41" t="str">
        <f>IF($G1699="","",IF($G1699&lt;1,ROUND($G1699*1440,0),INT($G1699/100)*60+MOD($G1699,100)))</f>
        <v/>
      </c>
    </row>
    <row r="1700" ht="15" customHeight="1" s="26">
      <c r="A1700" s="34" t="n"/>
      <c r="B1700" s="32" t="n"/>
      <c r="C1700" s="33" t="n"/>
      <c r="D1700" s="37" t="str">
        <f>IF($C1700="","",IFERROR(INDEX(프로젝트목록!$B$3:$B$62,MATCH($C1700,프로젝트목록!$A$3:$A$62,0)),"미등록코드"))</f>
        <v/>
      </c>
      <c r="E1700" s="32" t="n"/>
      <c r="F1700" s="38" t="n"/>
      <c r="G1700" s="38" t="n"/>
      <c r="H1700" s="39" t="n"/>
      <c r="I1700" s="40" t="str">
        <f>IF(OR($J1700="",$K1700=""),"",ROUND(MAX(0,($K1700-$J1700)-IF($H1700="",0,$H1700))/60,2))</f>
        <v/>
      </c>
      <c r="J1700" s="41" t="str">
        <f>IF($F1700="","",IF($F1700&lt;1,ROUND($F1700*1440,0),INT($F1700/100)*60+MOD($F1700,100)))</f>
        <v/>
      </c>
      <c r="K1700" s="41" t="str">
        <f>IF($G1700="","",IF($G1700&lt;1,ROUND($G1700*1440,0),INT($G1700/100)*60+MOD($G1700,100)))</f>
        <v/>
      </c>
    </row>
    <row r="1701" ht="15" customHeight="1" s="26">
      <c r="A1701" s="34" t="n"/>
      <c r="B1701" s="32" t="n"/>
      <c r="C1701" s="33" t="n"/>
      <c r="D1701" s="37" t="str">
        <f>IF($C1701="","",IFERROR(INDEX(프로젝트목록!$B$3:$B$62,MATCH($C1701,프로젝트목록!$A$3:$A$62,0)),"미등록코드"))</f>
        <v/>
      </c>
      <c r="E1701" s="32" t="n"/>
      <c r="F1701" s="38" t="n"/>
      <c r="G1701" s="38" t="n"/>
      <c r="H1701" s="39" t="n"/>
      <c r="I1701" s="40" t="str">
        <f>IF(OR($J1701="",$K1701=""),"",ROUND(MAX(0,($K1701-$J1701)-IF($H1701="",0,$H1701))/60,2))</f>
        <v/>
      </c>
      <c r="J1701" s="41" t="str">
        <f>IF($F1701="","",IF($F1701&lt;1,ROUND($F1701*1440,0),INT($F1701/100)*60+MOD($F1701,100)))</f>
        <v/>
      </c>
      <c r="K1701" s="41" t="str">
        <f>IF($G1701="","",IF($G1701&lt;1,ROUND($G1701*1440,0),INT($G1701/100)*60+MOD($G1701,100)))</f>
        <v/>
      </c>
    </row>
    <row r="1702" ht="15" customHeight="1" s="26">
      <c r="A1702" s="34" t="n"/>
      <c r="B1702" s="32" t="n"/>
      <c r="C1702" s="33" t="n"/>
      <c r="D1702" s="37" t="str">
        <f>IF($C1702="","",IFERROR(INDEX(프로젝트목록!$B$3:$B$62,MATCH($C1702,프로젝트목록!$A$3:$A$62,0)),"미등록코드"))</f>
        <v/>
      </c>
      <c r="E1702" s="32" t="n"/>
      <c r="F1702" s="38" t="n"/>
      <c r="G1702" s="38" t="n"/>
      <c r="H1702" s="39" t="n"/>
      <c r="I1702" s="40" t="str">
        <f>IF(OR($J1702="",$K1702=""),"",ROUND(MAX(0,($K1702-$J1702)-IF($H1702="",0,$H1702))/60,2))</f>
        <v/>
      </c>
      <c r="J1702" s="41" t="str">
        <f>IF($F1702="","",IF($F1702&lt;1,ROUND($F1702*1440,0),INT($F1702/100)*60+MOD($F1702,100)))</f>
        <v/>
      </c>
      <c r="K1702" s="41" t="str">
        <f>IF($G1702="","",IF($G1702&lt;1,ROUND($G1702*1440,0),INT($G1702/100)*60+MOD($G1702,100)))</f>
        <v/>
      </c>
    </row>
    <row r="1703" ht="15" customHeight="1" s="26">
      <c r="A1703" s="34" t="n"/>
      <c r="B1703" s="32" t="n"/>
      <c r="C1703" s="33" t="n"/>
      <c r="D1703" s="37" t="str">
        <f>IF($C1703="","",IFERROR(INDEX(프로젝트목록!$B$3:$B$62,MATCH($C1703,프로젝트목록!$A$3:$A$62,0)),"미등록코드"))</f>
        <v/>
      </c>
      <c r="E1703" s="32" t="n"/>
      <c r="F1703" s="38" t="n"/>
      <c r="G1703" s="38" t="n"/>
      <c r="H1703" s="39" t="n"/>
      <c r="I1703" s="40" t="str">
        <f>IF(OR($J1703="",$K1703=""),"",ROUND(MAX(0,($K1703-$J1703)-IF($H1703="",0,$H1703))/60,2))</f>
        <v/>
      </c>
      <c r="J1703" s="41" t="str">
        <f>IF($F1703="","",IF($F1703&lt;1,ROUND($F1703*1440,0),INT($F1703/100)*60+MOD($F1703,100)))</f>
        <v/>
      </c>
      <c r="K1703" s="41" t="str">
        <f>IF($G1703="","",IF($G1703&lt;1,ROUND($G1703*1440,0),INT($G1703/100)*60+MOD($G1703,100)))</f>
        <v/>
      </c>
    </row>
    <row r="1704" ht="15" customHeight="1" s="26">
      <c r="A1704" s="34" t="n"/>
      <c r="B1704" s="32" t="n"/>
      <c r="C1704" s="33" t="n"/>
      <c r="D1704" s="37" t="str">
        <f>IF($C1704="","",IFERROR(INDEX(프로젝트목록!$B$3:$B$62,MATCH($C1704,프로젝트목록!$A$3:$A$62,0)),"미등록코드"))</f>
        <v/>
      </c>
      <c r="E1704" s="32" t="n"/>
      <c r="F1704" s="38" t="n"/>
      <c r="G1704" s="38" t="n"/>
      <c r="H1704" s="39" t="n"/>
      <c r="I1704" s="40" t="str">
        <f>IF(OR($J1704="",$K1704=""),"",ROUND(MAX(0,($K1704-$J1704)-IF($H1704="",0,$H1704))/60,2))</f>
        <v/>
      </c>
      <c r="J1704" s="41" t="str">
        <f>IF($F1704="","",IF($F1704&lt;1,ROUND($F1704*1440,0),INT($F1704/100)*60+MOD($F1704,100)))</f>
        <v/>
      </c>
      <c r="K1704" s="41" t="str">
        <f>IF($G1704="","",IF($G1704&lt;1,ROUND($G1704*1440,0),INT($G1704/100)*60+MOD($G1704,100)))</f>
        <v/>
      </c>
    </row>
    <row r="1705" ht="15" customHeight="1" s="26">
      <c r="A1705" s="34" t="n"/>
      <c r="B1705" s="32" t="n"/>
      <c r="C1705" s="33" t="n"/>
      <c r="D1705" s="37" t="str">
        <f>IF($C1705="","",IFERROR(INDEX(프로젝트목록!$B$3:$B$62,MATCH($C1705,프로젝트목록!$A$3:$A$62,0)),"미등록코드"))</f>
        <v/>
      </c>
      <c r="E1705" s="32" t="n"/>
      <c r="F1705" s="38" t="n"/>
      <c r="G1705" s="38" t="n"/>
      <c r="H1705" s="39" t="n"/>
      <c r="I1705" s="40" t="str">
        <f>IF(OR($J1705="",$K1705=""),"",ROUND(MAX(0,($K1705-$J1705)-IF($H1705="",0,$H1705))/60,2))</f>
        <v/>
      </c>
      <c r="J1705" s="41" t="str">
        <f>IF($F1705="","",IF($F1705&lt;1,ROUND($F1705*1440,0),INT($F1705/100)*60+MOD($F1705,100)))</f>
        <v/>
      </c>
      <c r="K1705" s="41" t="str">
        <f>IF($G1705="","",IF($G1705&lt;1,ROUND($G1705*1440,0),INT($G1705/100)*60+MOD($G1705,100)))</f>
        <v/>
      </c>
    </row>
    <row r="1706" ht="15" customHeight="1" s="26">
      <c r="A1706" s="34" t="n"/>
      <c r="B1706" s="32" t="n"/>
      <c r="C1706" s="33" t="n"/>
      <c r="D1706" s="37" t="str">
        <f>IF($C1706="","",IFERROR(INDEX(프로젝트목록!$B$3:$B$62,MATCH($C1706,프로젝트목록!$A$3:$A$62,0)),"미등록코드"))</f>
        <v/>
      </c>
      <c r="E1706" s="32" t="n"/>
      <c r="F1706" s="38" t="n"/>
      <c r="G1706" s="38" t="n"/>
      <c r="H1706" s="39" t="n"/>
      <c r="I1706" s="40" t="str">
        <f>IF(OR($J1706="",$K1706=""),"",ROUND(MAX(0,($K1706-$J1706)-IF($H1706="",0,$H1706))/60,2))</f>
        <v/>
      </c>
      <c r="J1706" s="41" t="str">
        <f>IF($F1706="","",IF($F1706&lt;1,ROUND($F1706*1440,0),INT($F1706/100)*60+MOD($F1706,100)))</f>
        <v/>
      </c>
      <c r="K1706" s="41" t="str">
        <f>IF($G1706="","",IF($G1706&lt;1,ROUND($G1706*1440,0),INT($G1706/100)*60+MOD($G1706,100)))</f>
        <v/>
      </c>
    </row>
    <row r="1707" ht="15" customHeight="1" s="26">
      <c r="A1707" s="34" t="n"/>
      <c r="B1707" s="32" t="n"/>
      <c r="C1707" s="33" t="n"/>
      <c r="D1707" s="37" t="str">
        <f>IF($C1707="","",IFERROR(INDEX(프로젝트목록!$B$3:$B$62,MATCH($C1707,프로젝트목록!$A$3:$A$62,0)),"미등록코드"))</f>
        <v/>
      </c>
      <c r="E1707" s="32" t="n"/>
      <c r="F1707" s="38" t="n"/>
      <c r="G1707" s="38" t="n"/>
      <c r="H1707" s="39" t="n"/>
      <c r="I1707" s="40" t="str">
        <f>IF(OR($J1707="",$K1707=""),"",ROUND(MAX(0,($K1707-$J1707)-IF($H1707="",0,$H1707))/60,2))</f>
        <v/>
      </c>
      <c r="J1707" s="41" t="str">
        <f>IF($F1707="","",IF($F1707&lt;1,ROUND($F1707*1440,0),INT($F1707/100)*60+MOD($F1707,100)))</f>
        <v/>
      </c>
      <c r="K1707" s="41" t="str">
        <f>IF($G1707="","",IF($G1707&lt;1,ROUND($G1707*1440,0),INT($G1707/100)*60+MOD($G1707,100)))</f>
        <v/>
      </c>
    </row>
    <row r="1708" ht="15" customHeight="1" s="26">
      <c r="A1708" s="34" t="n"/>
      <c r="B1708" s="32" t="n"/>
      <c r="C1708" s="33" t="n"/>
      <c r="D1708" s="37" t="str">
        <f>IF($C1708="","",IFERROR(INDEX(프로젝트목록!$B$3:$B$62,MATCH($C1708,프로젝트목록!$A$3:$A$62,0)),"미등록코드"))</f>
        <v/>
      </c>
      <c r="E1708" s="32" t="n"/>
      <c r="F1708" s="38" t="n"/>
      <c r="G1708" s="38" t="n"/>
      <c r="H1708" s="39" t="n"/>
      <c r="I1708" s="40" t="str">
        <f>IF(OR($J1708="",$K1708=""),"",ROUND(MAX(0,($K1708-$J1708)-IF($H1708="",0,$H1708))/60,2))</f>
        <v/>
      </c>
      <c r="J1708" s="41" t="str">
        <f>IF($F1708="","",IF($F1708&lt;1,ROUND($F1708*1440,0),INT($F1708/100)*60+MOD($F1708,100)))</f>
        <v/>
      </c>
      <c r="K1708" s="41" t="str">
        <f>IF($G1708="","",IF($G1708&lt;1,ROUND($G1708*1440,0),INT($G1708/100)*60+MOD($G1708,100)))</f>
        <v/>
      </c>
    </row>
    <row r="1709" ht="15" customHeight="1" s="26">
      <c r="A1709" s="34" t="n"/>
      <c r="B1709" s="32" t="n"/>
      <c r="C1709" s="33" t="n"/>
      <c r="D1709" s="37" t="str">
        <f>IF($C1709="","",IFERROR(INDEX(프로젝트목록!$B$3:$B$62,MATCH($C1709,프로젝트목록!$A$3:$A$62,0)),"미등록코드"))</f>
        <v/>
      </c>
      <c r="E1709" s="32" t="n"/>
      <c r="F1709" s="38" t="n"/>
      <c r="G1709" s="38" t="n"/>
      <c r="H1709" s="39" t="n"/>
      <c r="I1709" s="40" t="str">
        <f>IF(OR($J1709="",$K1709=""),"",ROUND(MAX(0,($K1709-$J1709)-IF($H1709="",0,$H1709))/60,2))</f>
        <v/>
      </c>
      <c r="J1709" s="41" t="str">
        <f>IF($F1709="","",IF($F1709&lt;1,ROUND($F1709*1440,0),INT($F1709/100)*60+MOD($F1709,100)))</f>
        <v/>
      </c>
      <c r="K1709" s="41" t="str">
        <f>IF($G1709="","",IF($G1709&lt;1,ROUND($G1709*1440,0),INT($G1709/100)*60+MOD($G1709,100)))</f>
        <v/>
      </c>
    </row>
    <row r="1710" ht="15" customHeight="1" s="26">
      <c r="A1710" s="34" t="n"/>
      <c r="B1710" s="32" t="n"/>
      <c r="C1710" s="33" t="n"/>
      <c r="D1710" s="37" t="str">
        <f>IF($C1710="","",IFERROR(INDEX(프로젝트목록!$B$3:$B$62,MATCH($C1710,프로젝트목록!$A$3:$A$62,0)),"미등록코드"))</f>
        <v/>
      </c>
      <c r="E1710" s="32" t="n"/>
      <c r="F1710" s="38" t="n"/>
      <c r="G1710" s="38" t="n"/>
      <c r="H1710" s="39" t="n"/>
      <c r="I1710" s="40" t="str">
        <f>IF(OR($J1710="",$K1710=""),"",ROUND(MAX(0,($K1710-$J1710)-IF($H1710="",0,$H1710))/60,2))</f>
        <v/>
      </c>
      <c r="J1710" s="41" t="str">
        <f>IF($F1710="","",IF($F1710&lt;1,ROUND($F1710*1440,0),INT($F1710/100)*60+MOD($F1710,100)))</f>
        <v/>
      </c>
      <c r="K1710" s="41" t="str">
        <f>IF($G1710="","",IF($G1710&lt;1,ROUND($G1710*1440,0),INT($G1710/100)*60+MOD($G1710,100)))</f>
        <v/>
      </c>
    </row>
    <row r="1711" ht="15" customHeight="1" s="26">
      <c r="A1711" s="34" t="n"/>
      <c r="B1711" s="32" t="n"/>
      <c r="C1711" s="33" t="n"/>
      <c r="D1711" s="37" t="str">
        <f>IF($C1711="","",IFERROR(INDEX(프로젝트목록!$B$3:$B$62,MATCH($C1711,프로젝트목록!$A$3:$A$62,0)),"미등록코드"))</f>
        <v/>
      </c>
      <c r="E1711" s="32" t="n"/>
      <c r="F1711" s="38" t="n"/>
      <c r="G1711" s="38" t="n"/>
      <c r="H1711" s="39" t="n"/>
      <c r="I1711" s="40" t="str">
        <f>IF(OR($J1711="",$K1711=""),"",ROUND(MAX(0,($K1711-$J1711)-IF($H1711="",0,$H1711))/60,2))</f>
        <v/>
      </c>
      <c r="J1711" s="41" t="str">
        <f>IF($F1711="","",IF($F1711&lt;1,ROUND($F1711*1440,0),INT($F1711/100)*60+MOD($F1711,100)))</f>
        <v/>
      </c>
      <c r="K1711" s="41" t="str">
        <f>IF($G1711="","",IF($G1711&lt;1,ROUND($G1711*1440,0),INT($G1711/100)*60+MOD($G1711,100)))</f>
        <v/>
      </c>
    </row>
    <row r="1712" ht="15" customHeight="1" s="26">
      <c r="A1712" s="34" t="n"/>
      <c r="B1712" s="32" t="n"/>
      <c r="C1712" s="33" t="n"/>
      <c r="D1712" s="37" t="str">
        <f>IF($C1712="","",IFERROR(INDEX(프로젝트목록!$B$3:$B$62,MATCH($C1712,프로젝트목록!$A$3:$A$62,0)),"미등록코드"))</f>
        <v/>
      </c>
      <c r="E1712" s="32" t="n"/>
      <c r="F1712" s="38" t="n"/>
      <c r="G1712" s="38" t="n"/>
      <c r="H1712" s="39" t="n"/>
      <c r="I1712" s="40" t="str">
        <f>IF(OR($J1712="",$K1712=""),"",ROUND(MAX(0,($K1712-$J1712)-IF($H1712="",0,$H1712))/60,2))</f>
        <v/>
      </c>
      <c r="J1712" s="41" t="str">
        <f>IF($F1712="","",IF($F1712&lt;1,ROUND($F1712*1440,0),INT($F1712/100)*60+MOD($F1712,100)))</f>
        <v/>
      </c>
      <c r="K1712" s="41" t="str">
        <f>IF($G1712="","",IF($G1712&lt;1,ROUND($G1712*1440,0),INT($G1712/100)*60+MOD($G1712,100)))</f>
        <v/>
      </c>
    </row>
    <row r="1713" ht="15" customHeight="1" s="26">
      <c r="A1713" s="34" t="n"/>
      <c r="B1713" s="32" t="n"/>
      <c r="C1713" s="33" t="n"/>
      <c r="D1713" s="37" t="str">
        <f>IF($C1713="","",IFERROR(INDEX(프로젝트목록!$B$3:$B$62,MATCH($C1713,프로젝트목록!$A$3:$A$62,0)),"미등록코드"))</f>
        <v/>
      </c>
      <c r="E1713" s="32" t="n"/>
      <c r="F1713" s="38" t="n"/>
      <c r="G1713" s="38" t="n"/>
      <c r="H1713" s="39" t="n"/>
      <c r="I1713" s="40" t="str">
        <f>IF(OR($J1713="",$K1713=""),"",ROUND(MAX(0,($K1713-$J1713)-IF($H1713="",0,$H1713))/60,2))</f>
        <v/>
      </c>
      <c r="J1713" s="41" t="str">
        <f>IF($F1713="","",IF($F1713&lt;1,ROUND($F1713*1440,0),INT($F1713/100)*60+MOD($F1713,100)))</f>
        <v/>
      </c>
      <c r="K1713" s="41" t="str">
        <f>IF($G1713="","",IF($G1713&lt;1,ROUND($G1713*1440,0),INT($G1713/100)*60+MOD($G1713,100)))</f>
        <v/>
      </c>
    </row>
    <row r="1714" ht="15" customHeight="1" s="26">
      <c r="A1714" s="34" t="n"/>
      <c r="B1714" s="32" t="n"/>
      <c r="C1714" s="33" t="n"/>
      <c r="D1714" s="37" t="str">
        <f>IF($C1714="","",IFERROR(INDEX(프로젝트목록!$B$3:$B$62,MATCH($C1714,프로젝트목록!$A$3:$A$62,0)),"미등록코드"))</f>
        <v/>
      </c>
      <c r="E1714" s="32" t="n"/>
      <c r="F1714" s="38" t="n"/>
      <c r="G1714" s="38" t="n"/>
      <c r="H1714" s="39" t="n"/>
      <c r="I1714" s="40" t="str">
        <f>IF(OR($J1714="",$K1714=""),"",ROUND(MAX(0,($K1714-$J1714)-IF($H1714="",0,$H1714))/60,2))</f>
        <v/>
      </c>
      <c r="J1714" s="41" t="str">
        <f>IF($F1714="","",IF($F1714&lt;1,ROUND($F1714*1440,0),INT($F1714/100)*60+MOD($F1714,100)))</f>
        <v/>
      </c>
      <c r="K1714" s="41" t="str">
        <f>IF($G1714="","",IF($G1714&lt;1,ROUND($G1714*1440,0),INT($G1714/100)*60+MOD($G1714,100)))</f>
        <v/>
      </c>
    </row>
    <row r="1715" ht="15" customHeight="1" s="26">
      <c r="A1715" s="34" t="n"/>
      <c r="B1715" s="32" t="n"/>
      <c r="C1715" s="33" t="n"/>
      <c r="D1715" s="37" t="str">
        <f>IF($C1715="","",IFERROR(INDEX(프로젝트목록!$B$3:$B$62,MATCH($C1715,프로젝트목록!$A$3:$A$62,0)),"미등록코드"))</f>
        <v/>
      </c>
      <c r="E1715" s="32" t="n"/>
      <c r="F1715" s="38" t="n"/>
      <c r="G1715" s="38" t="n"/>
      <c r="H1715" s="39" t="n"/>
      <c r="I1715" s="40" t="str">
        <f>IF(OR($J1715="",$K1715=""),"",ROUND(MAX(0,($K1715-$J1715)-IF($H1715="",0,$H1715))/60,2))</f>
        <v/>
      </c>
      <c r="J1715" s="41" t="str">
        <f>IF($F1715="","",IF($F1715&lt;1,ROUND($F1715*1440,0),INT($F1715/100)*60+MOD($F1715,100)))</f>
        <v/>
      </c>
      <c r="K1715" s="41" t="str">
        <f>IF($G1715="","",IF($G1715&lt;1,ROUND($G1715*1440,0),INT($G1715/100)*60+MOD($G1715,100)))</f>
        <v/>
      </c>
    </row>
    <row r="1716" ht="15" customHeight="1" s="26">
      <c r="A1716" s="34" t="n"/>
      <c r="B1716" s="32" t="n"/>
      <c r="C1716" s="33" t="n"/>
      <c r="D1716" s="37" t="str">
        <f>IF($C1716="","",IFERROR(INDEX(프로젝트목록!$B$3:$B$62,MATCH($C1716,프로젝트목록!$A$3:$A$62,0)),"미등록코드"))</f>
        <v/>
      </c>
      <c r="E1716" s="32" t="n"/>
      <c r="F1716" s="38" t="n"/>
      <c r="G1716" s="38" t="n"/>
      <c r="H1716" s="39" t="n"/>
      <c r="I1716" s="40" t="str">
        <f>IF(OR($J1716="",$K1716=""),"",ROUND(MAX(0,($K1716-$J1716)-IF($H1716="",0,$H1716))/60,2))</f>
        <v/>
      </c>
      <c r="J1716" s="41" t="str">
        <f>IF($F1716="","",IF($F1716&lt;1,ROUND($F1716*1440,0),INT($F1716/100)*60+MOD($F1716,100)))</f>
        <v/>
      </c>
      <c r="K1716" s="41" t="str">
        <f>IF($G1716="","",IF($G1716&lt;1,ROUND($G1716*1440,0),INT($G1716/100)*60+MOD($G1716,100)))</f>
        <v/>
      </c>
    </row>
    <row r="1717" ht="15" customHeight="1" s="26">
      <c r="A1717" s="34" t="n"/>
      <c r="B1717" s="32" t="n"/>
      <c r="C1717" s="33" t="n"/>
      <c r="D1717" s="37" t="str">
        <f>IF($C1717="","",IFERROR(INDEX(프로젝트목록!$B$3:$B$62,MATCH($C1717,프로젝트목록!$A$3:$A$62,0)),"미등록코드"))</f>
        <v/>
      </c>
      <c r="E1717" s="32" t="n"/>
      <c r="F1717" s="38" t="n"/>
      <c r="G1717" s="38" t="n"/>
      <c r="H1717" s="39" t="n"/>
      <c r="I1717" s="40" t="str">
        <f>IF(OR($J1717="",$K1717=""),"",ROUND(MAX(0,($K1717-$J1717)-IF($H1717="",0,$H1717))/60,2))</f>
        <v/>
      </c>
      <c r="J1717" s="41" t="str">
        <f>IF($F1717="","",IF($F1717&lt;1,ROUND($F1717*1440,0),INT($F1717/100)*60+MOD($F1717,100)))</f>
        <v/>
      </c>
      <c r="K1717" s="41" t="str">
        <f>IF($G1717="","",IF($G1717&lt;1,ROUND($G1717*1440,0),INT($G1717/100)*60+MOD($G1717,100)))</f>
        <v/>
      </c>
    </row>
    <row r="1718" ht="15" customHeight="1" s="26">
      <c r="A1718" s="34" t="n"/>
      <c r="B1718" s="32" t="n"/>
      <c r="C1718" s="33" t="n"/>
      <c r="D1718" s="37" t="str">
        <f>IF($C1718="","",IFERROR(INDEX(프로젝트목록!$B$3:$B$62,MATCH($C1718,프로젝트목록!$A$3:$A$62,0)),"미등록코드"))</f>
        <v/>
      </c>
      <c r="E1718" s="32" t="n"/>
      <c r="F1718" s="38" t="n"/>
      <c r="G1718" s="38" t="n"/>
      <c r="H1718" s="39" t="n"/>
      <c r="I1718" s="40" t="str">
        <f>IF(OR($J1718="",$K1718=""),"",ROUND(MAX(0,($K1718-$J1718)-IF($H1718="",0,$H1718))/60,2))</f>
        <v/>
      </c>
      <c r="J1718" s="41" t="str">
        <f>IF($F1718="","",IF($F1718&lt;1,ROUND($F1718*1440,0),INT($F1718/100)*60+MOD($F1718,100)))</f>
        <v/>
      </c>
      <c r="K1718" s="41" t="str">
        <f>IF($G1718="","",IF($G1718&lt;1,ROUND($G1718*1440,0),INT($G1718/100)*60+MOD($G1718,100)))</f>
        <v/>
      </c>
    </row>
    <row r="1719" ht="15" customHeight="1" s="26">
      <c r="A1719" s="34" t="n"/>
      <c r="B1719" s="32" t="n"/>
      <c r="C1719" s="33" t="n"/>
      <c r="D1719" s="37" t="str">
        <f>IF($C1719="","",IFERROR(INDEX(프로젝트목록!$B$3:$B$62,MATCH($C1719,프로젝트목록!$A$3:$A$62,0)),"미등록코드"))</f>
        <v/>
      </c>
      <c r="E1719" s="32" t="n"/>
      <c r="F1719" s="38" t="n"/>
      <c r="G1719" s="38" t="n"/>
      <c r="H1719" s="39" t="n"/>
      <c r="I1719" s="40" t="str">
        <f>IF(OR($J1719="",$K1719=""),"",ROUND(MAX(0,($K1719-$J1719)-IF($H1719="",0,$H1719))/60,2))</f>
        <v/>
      </c>
      <c r="J1719" s="41" t="str">
        <f>IF($F1719="","",IF($F1719&lt;1,ROUND($F1719*1440,0),INT($F1719/100)*60+MOD($F1719,100)))</f>
        <v/>
      </c>
      <c r="K1719" s="41" t="str">
        <f>IF($G1719="","",IF($G1719&lt;1,ROUND($G1719*1440,0),INT($G1719/100)*60+MOD($G1719,100)))</f>
        <v/>
      </c>
    </row>
    <row r="1720" ht="15" customHeight="1" s="26">
      <c r="A1720" s="34" t="n"/>
      <c r="B1720" s="32" t="n"/>
      <c r="C1720" s="33" t="n"/>
      <c r="D1720" s="37" t="str">
        <f>IF($C1720="","",IFERROR(INDEX(프로젝트목록!$B$3:$B$62,MATCH($C1720,프로젝트목록!$A$3:$A$62,0)),"미등록코드"))</f>
        <v/>
      </c>
      <c r="E1720" s="32" t="n"/>
      <c r="F1720" s="38" t="n"/>
      <c r="G1720" s="38" t="n"/>
      <c r="H1720" s="39" t="n"/>
      <c r="I1720" s="40" t="str">
        <f>IF(OR($J1720="",$K1720=""),"",ROUND(MAX(0,($K1720-$J1720)-IF($H1720="",0,$H1720))/60,2))</f>
        <v/>
      </c>
      <c r="J1720" s="41" t="str">
        <f>IF($F1720="","",IF($F1720&lt;1,ROUND($F1720*1440,0),INT($F1720/100)*60+MOD($F1720,100)))</f>
        <v/>
      </c>
      <c r="K1720" s="41" t="str">
        <f>IF($G1720="","",IF($G1720&lt;1,ROUND($G1720*1440,0),INT($G1720/100)*60+MOD($G1720,100)))</f>
        <v/>
      </c>
    </row>
    <row r="1721" ht="15" customHeight="1" s="26">
      <c r="A1721" s="34" t="n"/>
      <c r="B1721" s="32" t="n"/>
      <c r="C1721" s="33" t="n"/>
      <c r="D1721" s="37" t="str">
        <f>IF($C1721="","",IFERROR(INDEX(프로젝트목록!$B$3:$B$62,MATCH($C1721,프로젝트목록!$A$3:$A$62,0)),"미등록코드"))</f>
        <v/>
      </c>
      <c r="E1721" s="32" t="n"/>
      <c r="F1721" s="38" t="n"/>
      <c r="G1721" s="38" t="n"/>
      <c r="H1721" s="39" t="n"/>
      <c r="I1721" s="40" t="str">
        <f>IF(OR($J1721="",$K1721=""),"",ROUND(MAX(0,($K1721-$J1721)-IF($H1721="",0,$H1721))/60,2))</f>
        <v/>
      </c>
      <c r="J1721" s="41" t="str">
        <f>IF($F1721="","",IF($F1721&lt;1,ROUND($F1721*1440,0),INT($F1721/100)*60+MOD($F1721,100)))</f>
        <v/>
      </c>
      <c r="K1721" s="41" t="str">
        <f>IF($G1721="","",IF($G1721&lt;1,ROUND($G1721*1440,0),INT($G1721/100)*60+MOD($G1721,100)))</f>
        <v/>
      </c>
    </row>
    <row r="1722" ht="15" customHeight="1" s="26">
      <c r="A1722" s="34" t="n"/>
      <c r="B1722" s="32" t="n"/>
      <c r="C1722" s="33" t="n"/>
      <c r="D1722" s="37" t="str">
        <f>IF($C1722="","",IFERROR(INDEX(프로젝트목록!$B$3:$B$62,MATCH($C1722,프로젝트목록!$A$3:$A$62,0)),"미등록코드"))</f>
        <v/>
      </c>
      <c r="E1722" s="32" t="n"/>
      <c r="F1722" s="38" t="n"/>
      <c r="G1722" s="38" t="n"/>
      <c r="H1722" s="39" t="n"/>
      <c r="I1722" s="40" t="str">
        <f>IF(OR($J1722="",$K1722=""),"",ROUND(MAX(0,($K1722-$J1722)-IF($H1722="",0,$H1722))/60,2))</f>
        <v/>
      </c>
      <c r="J1722" s="41" t="str">
        <f>IF($F1722="","",IF($F1722&lt;1,ROUND($F1722*1440,0),INT($F1722/100)*60+MOD($F1722,100)))</f>
        <v/>
      </c>
      <c r="K1722" s="41" t="str">
        <f>IF($G1722="","",IF($G1722&lt;1,ROUND($G1722*1440,0),INT($G1722/100)*60+MOD($G1722,100)))</f>
        <v/>
      </c>
    </row>
    <row r="1723" ht="15" customHeight="1" s="26">
      <c r="A1723" s="34" t="n"/>
      <c r="B1723" s="32" t="n"/>
      <c r="C1723" s="33" t="n"/>
      <c r="D1723" s="37" t="str">
        <f>IF($C1723="","",IFERROR(INDEX(프로젝트목록!$B$3:$B$62,MATCH($C1723,프로젝트목록!$A$3:$A$62,0)),"미등록코드"))</f>
        <v/>
      </c>
      <c r="E1723" s="32" t="n"/>
      <c r="F1723" s="38" t="n"/>
      <c r="G1723" s="38" t="n"/>
      <c r="H1723" s="39" t="n"/>
      <c r="I1723" s="40" t="str">
        <f>IF(OR($J1723="",$K1723=""),"",ROUND(MAX(0,($K1723-$J1723)-IF($H1723="",0,$H1723))/60,2))</f>
        <v/>
      </c>
      <c r="J1723" s="41" t="str">
        <f>IF($F1723="","",IF($F1723&lt;1,ROUND($F1723*1440,0),INT($F1723/100)*60+MOD($F1723,100)))</f>
        <v/>
      </c>
      <c r="K1723" s="41" t="str">
        <f>IF($G1723="","",IF($G1723&lt;1,ROUND($G1723*1440,0),INT($G1723/100)*60+MOD($G1723,100)))</f>
        <v/>
      </c>
    </row>
    <row r="1724" ht="15" customHeight="1" s="26">
      <c r="A1724" s="34" t="n"/>
      <c r="B1724" s="32" t="n"/>
      <c r="C1724" s="33" t="n"/>
      <c r="D1724" s="37" t="str">
        <f>IF($C1724="","",IFERROR(INDEX(프로젝트목록!$B$3:$B$62,MATCH($C1724,프로젝트목록!$A$3:$A$62,0)),"미등록코드"))</f>
        <v/>
      </c>
      <c r="E1724" s="32" t="n"/>
      <c r="F1724" s="38" t="n"/>
      <c r="G1724" s="38" t="n"/>
      <c r="H1724" s="39" t="n"/>
      <c r="I1724" s="40" t="str">
        <f>IF(OR($J1724="",$K1724=""),"",ROUND(MAX(0,($K1724-$J1724)-IF($H1724="",0,$H1724))/60,2))</f>
        <v/>
      </c>
      <c r="J1724" s="41" t="str">
        <f>IF($F1724="","",IF($F1724&lt;1,ROUND($F1724*1440,0),INT($F1724/100)*60+MOD($F1724,100)))</f>
        <v/>
      </c>
      <c r="K1724" s="41" t="str">
        <f>IF($G1724="","",IF($G1724&lt;1,ROUND($G1724*1440,0),INT($G1724/100)*60+MOD($G1724,100)))</f>
        <v/>
      </c>
    </row>
    <row r="1725" ht="15" customHeight="1" s="26">
      <c r="A1725" s="34" t="n"/>
      <c r="B1725" s="32" t="n"/>
      <c r="C1725" s="33" t="n"/>
      <c r="D1725" s="37" t="str">
        <f>IF($C1725="","",IFERROR(INDEX(프로젝트목록!$B$3:$B$62,MATCH($C1725,프로젝트목록!$A$3:$A$62,0)),"미등록코드"))</f>
        <v/>
      </c>
      <c r="E1725" s="32" t="n"/>
      <c r="F1725" s="38" t="n"/>
      <c r="G1725" s="38" t="n"/>
      <c r="H1725" s="39" t="n"/>
      <c r="I1725" s="40" t="str">
        <f>IF(OR($J1725="",$K1725=""),"",ROUND(MAX(0,($K1725-$J1725)-IF($H1725="",0,$H1725))/60,2))</f>
        <v/>
      </c>
      <c r="J1725" s="41" t="str">
        <f>IF($F1725="","",IF($F1725&lt;1,ROUND($F1725*1440,0),INT($F1725/100)*60+MOD($F1725,100)))</f>
        <v/>
      </c>
      <c r="K1725" s="41" t="str">
        <f>IF($G1725="","",IF($G1725&lt;1,ROUND($G1725*1440,0),INT($G1725/100)*60+MOD($G1725,100)))</f>
        <v/>
      </c>
    </row>
    <row r="1726" ht="15" customHeight="1" s="26">
      <c r="A1726" s="34" t="n"/>
      <c r="B1726" s="32" t="n"/>
      <c r="C1726" s="33" t="n"/>
      <c r="D1726" s="37" t="str">
        <f>IF($C1726="","",IFERROR(INDEX(프로젝트목록!$B$3:$B$62,MATCH($C1726,프로젝트목록!$A$3:$A$62,0)),"미등록코드"))</f>
        <v/>
      </c>
      <c r="E1726" s="32" t="n"/>
      <c r="F1726" s="38" t="n"/>
      <c r="G1726" s="38" t="n"/>
      <c r="H1726" s="39" t="n"/>
      <c r="I1726" s="40" t="str">
        <f>IF(OR($J1726="",$K1726=""),"",ROUND(MAX(0,($K1726-$J1726)-IF($H1726="",0,$H1726))/60,2))</f>
        <v/>
      </c>
      <c r="J1726" s="41" t="str">
        <f>IF($F1726="","",IF($F1726&lt;1,ROUND($F1726*1440,0),INT($F1726/100)*60+MOD($F1726,100)))</f>
        <v/>
      </c>
      <c r="K1726" s="41" t="str">
        <f>IF($G1726="","",IF($G1726&lt;1,ROUND($G1726*1440,0),INT($G1726/100)*60+MOD($G1726,100)))</f>
        <v/>
      </c>
    </row>
    <row r="1727" ht="15" customHeight="1" s="26">
      <c r="A1727" s="34" t="n"/>
      <c r="B1727" s="32" t="n"/>
      <c r="C1727" s="33" t="n"/>
      <c r="D1727" s="37" t="str">
        <f>IF($C1727="","",IFERROR(INDEX(프로젝트목록!$B$3:$B$62,MATCH($C1727,프로젝트목록!$A$3:$A$62,0)),"미등록코드"))</f>
        <v/>
      </c>
      <c r="E1727" s="32" t="n"/>
      <c r="F1727" s="38" t="n"/>
      <c r="G1727" s="38" t="n"/>
      <c r="H1727" s="39" t="n"/>
      <c r="I1727" s="40" t="str">
        <f>IF(OR($J1727="",$K1727=""),"",ROUND(MAX(0,($K1727-$J1727)-IF($H1727="",0,$H1727))/60,2))</f>
        <v/>
      </c>
      <c r="J1727" s="41" t="str">
        <f>IF($F1727="","",IF($F1727&lt;1,ROUND($F1727*1440,0),INT($F1727/100)*60+MOD($F1727,100)))</f>
        <v/>
      </c>
      <c r="K1727" s="41" t="str">
        <f>IF($G1727="","",IF($G1727&lt;1,ROUND($G1727*1440,0),INT($G1727/100)*60+MOD($G1727,100)))</f>
        <v/>
      </c>
    </row>
    <row r="1728" ht="15" customHeight="1" s="26">
      <c r="A1728" s="34" t="n"/>
      <c r="B1728" s="32" t="n"/>
      <c r="C1728" s="33" t="n"/>
      <c r="D1728" s="37" t="str">
        <f>IF($C1728="","",IFERROR(INDEX(프로젝트목록!$B$3:$B$62,MATCH($C1728,프로젝트목록!$A$3:$A$62,0)),"미등록코드"))</f>
        <v/>
      </c>
      <c r="E1728" s="32" t="n"/>
      <c r="F1728" s="38" t="n"/>
      <c r="G1728" s="38" t="n"/>
      <c r="H1728" s="39" t="n"/>
      <c r="I1728" s="40" t="str">
        <f>IF(OR($J1728="",$K1728=""),"",ROUND(MAX(0,($K1728-$J1728)-IF($H1728="",0,$H1728))/60,2))</f>
        <v/>
      </c>
      <c r="J1728" s="41" t="str">
        <f>IF($F1728="","",IF($F1728&lt;1,ROUND($F1728*1440,0),INT($F1728/100)*60+MOD($F1728,100)))</f>
        <v/>
      </c>
      <c r="K1728" s="41" t="str">
        <f>IF($G1728="","",IF($G1728&lt;1,ROUND($G1728*1440,0),INT($G1728/100)*60+MOD($G1728,100)))</f>
        <v/>
      </c>
    </row>
    <row r="1729" ht="15" customHeight="1" s="26">
      <c r="A1729" s="34" t="n"/>
      <c r="B1729" s="32" t="n"/>
      <c r="C1729" s="33" t="n"/>
      <c r="D1729" s="37" t="str">
        <f>IF($C1729="","",IFERROR(INDEX(프로젝트목록!$B$3:$B$62,MATCH($C1729,프로젝트목록!$A$3:$A$62,0)),"미등록코드"))</f>
        <v/>
      </c>
      <c r="E1729" s="32" t="n"/>
      <c r="F1729" s="38" t="n"/>
      <c r="G1729" s="38" t="n"/>
      <c r="H1729" s="39" t="n"/>
      <c r="I1729" s="40" t="str">
        <f>IF(OR($J1729="",$K1729=""),"",ROUND(MAX(0,($K1729-$J1729)-IF($H1729="",0,$H1729))/60,2))</f>
        <v/>
      </c>
      <c r="J1729" s="41" t="str">
        <f>IF($F1729="","",IF($F1729&lt;1,ROUND($F1729*1440,0),INT($F1729/100)*60+MOD($F1729,100)))</f>
        <v/>
      </c>
      <c r="K1729" s="41" t="str">
        <f>IF($G1729="","",IF($G1729&lt;1,ROUND($G1729*1440,0),INT($G1729/100)*60+MOD($G1729,100)))</f>
        <v/>
      </c>
    </row>
    <row r="1730" ht="15" customHeight="1" s="26">
      <c r="A1730" s="34" t="n"/>
      <c r="B1730" s="32" t="n"/>
      <c r="C1730" s="33" t="n"/>
      <c r="D1730" s="37" t="str">
        <f>IF($C1730="","",IFERROR(INDEX(프로젝트목록!$B$3:$B$62,MATCH($C1730,프로젝트목록!$A$3:$A$62,0)),"미등록코드"))</f>
        <v/>
      </c>
      <c r="E1730" s="32" t="n"/>
      <c r="F1730" s="38" t="n"/>
      <c r="G1730" s="38" t="n"/>
      <c r="H1730" s="39" t="n"/>
      <c r="I1730" s="40" t="str">
        <f>IF(OR($J1730="",$K1730=""),"",ROUND(MAX(0,($K1730-$J1730)-IF($H1730="",0,$H1730))/60,2))</f>
        <v/>
      </c>
      <c r="J1730" s="41" t="str">
        <f>IF($F1730="","",IF($F1730&lt;1,ROUND($F1730*1440,0),INT($F1730/100)*60+MOD($F1730,100)))</f>
        <v/>
      </c>
      <c r="K1730" s="41" t="str">
        <f>IF($G1730="","",IF($G1730&lt;1,ROUND($G1730*1440,0),INT($G1730/100)*60+MOD($G1730,100)))</f>
        <v/>
      </c>
    </row>
    <row r="1731" ht="15" customHeight="1" s="26">
      <c r="A1731" s="34" t="n"/>
      <c r="B1731" s="32" t="n"/>
      <c r="C1731" s="33" t="n"/>
      <c r="D1731" s="37" t="str">
        <f>IF($C1731="","",IFERROR(INDEX(프로젝트목록!$B$3:$B$62,MATCH($C1731,프로젝트목록!$A$3:$A$62,0)),"미등록코드"))</f>
        <v/>
      </c>
      <c r="E1731" s="32" t="n"/>
      <c r="F1731" s="38" t="n"/>
      <c r="G1731" s="38" t="n"/>
      <c r="H1731" s="39" t="n"/>
      <c r="I1731" s="40" t="str">
        <f>IF(OR($J1731="",$K1731=""),"",ROUND(MAX(0,($K1731-$J1731)-IF($H1731="",0,$H1731))/60,2))</f>
        <v/>
      </c>
      <c r="J1731" s="41" t="str">
        <f>IF($F1731="","",IF($F1731&lt;1,ROUND($F1731*1440,0),INT($F1731/100)*60+MOD($F1731,100)))</f>
        <v/>
      </c>
      <c r="K1731" s="41" t="str">
        <f>IF($G1731="","",IF($G1731&lt;1,ROUND($G1731*1440,0),INT($G1731/100)*60+MOD($G1731,100)))</f>
        <v/>
      </c>
    </row>
    <row r="1732" ht="15" customHeight="1" s="26">
      <c r="A1732" s="34" t="n"/>
      <c r="B1732" s="32" t="n"/>
      <c r="C1732" s="33" t="n"/>
      <c r="D1732" s="37" t="str">
        <f>IF($C1732="","",IFERROR(INDEX(프로젝트목록!$B$3:$B$62,MATCH($C1732,프로젝트목록!$A$3:$A$62,0)),"미등록코드"))</f>
        <v/>
      </c>
      <c r="E1732" s="32" t="n"/>
      <c r="F1732" s="38" t="n"/>
      <c r="G1732" s="38" t="n"/>
      <c r="H1732" s="39" t="n"/>
      <c r="I1732" s="40" t="str">
        <f>IF(OR($J1732="",$K1732=""),"",ROUND(MAX(0,($K1732-$J1732)-IF($H1732="",0,$H1732))/60,2))</f>
        <v/>
      </c>
      <c r="J1732" s="41" t="str">
        <f>IF($F1732="","",IF($F1732&lt;1,ROUND($F1732*1440,0),INT($F1732/100)*60+MOD($F1732,100)))</f>
        <v/>
      </c>
      <c r="K1732" s="41" t="str">
        <f>IF($G1732="","",IF($G1732&lt;1,ROUND($G1732*1440,0),INT($G1732/100)*60+MOD($G1732,100)))</f>
        <v/>
      </c>
    </row>
    <row r="1733" ht="15" customHeight="1" s="26">
      <c r="A1733" s="34" t="n"/>
      <c r="B1733" s="32" t="n"/>
      <c r="C1733" s="33" t="n"/>
      <c r="D1733" s="37" t="str">
        <f>IF($C1733="","",IFERROR(INDEX(프로젝트목록!$B$3:$B$62,MATCH($C1733,프로젝트목록!$A$3:$A$62,0)),"미등록코드"))</f>
        <v/>
      </c>
      <c r="E1733" s="32" t="n"/>
      <c r="F1733" s="38" t="n"/>
      <c r="G1733" s="38" t="n"/>
      <c r="H1733" s="39" t="n"/>
      <c r="I1733" s="40" t="str">
        <f>IF(OR($J1733="",$K1733=""),"",ROUND(MAX(0,($K1733-$J1733)-IF($H1733="",0,$H1733))/60,2))</f>
        <v/>
      </c>
      <c r="J1733" s="41" t="str">
        <f>IF($F1733="","",IF($F1733&lt;1,ROUND($F1733*1440,0),INT($F1733/100)*60+MOD($F1733,100)))</f>
        <v/>
      </c>
      <c r="K1733" s="41" t="str">
        <f>IF($G1733="","",IF($G1733&lt;1,ROUND($G1733*1440,0),INT($G1733/100)*60+MOD($G1733,100)))</f>
        <v/>
      </c>
    </row>
    <row r="1734" ht="15" customHeight="1" s="26">
      <c r="A1734" s="34" t="n"/>
      <c r="B1734" s="32" t="n"/>
      <c r="C1734" s="33" t="n"/>
      <c r="D1734" s="37" t="str">
        <f>IF($C1734="","",IFERROR(INDEX(프로젝트목록!$B$3:$B$62,MATCH($C1734,프로젝트목록!$A$3:$A$62,0)),"미등록코드"))</f>
        <v/>
      </c>
      <c r="E1734" s="32" t="n"/>
      <c r="F1734" s="38" t="n"/>
      <c r="G1734" s="38" t="n"/>
      <c r="H1734" s="39" t="n"/>
      <c r="I1734" s="40" t="str">
        <f>IF(OR($J1734="",$K1734=""),"",ROUND(MAX(0,($K1734-$J1734)-IF($H1734="",0,$H1734))/60,2))</f>
        <v/>
      </c>
      <c r="J1734" s="41" t="str">
        <f>IF($F1734="","",IF($F1734&lt;1,ROUND($F1734*1440,0),INT($F1734/100)*60+MOD($F1734,100)))</f>
        <v/>
      </c>
      <c r="K1734" s="41" t="str">
        <f>IF($G1734="","",IF($G1734&lt;1,ROUND($G1734*1440,0),INT($G1734/100)*60+MOD($G1734,100)))</f>
        <v/>
      </c>
    </row>
    <row r="1735" ht="15" customHeight="1" s="26">
      <c r="A1735" s="34" t="n"/>
      <c r="B1735" s="32" t="n"/>
      <c r="C1735" s="33" t="n"/>
      <c r="D1735" s="37" t="str">
        <f>IF($C1735="","",IFERROR(INDEX(프로젝트목록!$B$3:$B$62,MATCH($C1735,프로젝트목록!$A$3:$A$62,0)),"미등록코드"))</f>
        <v/>
      </c>
      <c r="E1735" s="32" t="n"/>
      <c r="F1735" s="38" t="n"/>
      <c r="G1735" s="38" t="n"/>
      <c r="H1735" s="39" t="n"/>
      <c r="I1735" s="40" t="str">
        <f>IF(OR($J1735="",$K1735=""),"",ROUND(MAX(0,($K1735-$J1735)-IF($H1735="",0,$H1735))/60,2))</f>
        <v/>
      </c>
      <c r="J1735" s="41" t="str">
        <f>IF($F1735="","",IF($F1735&lt;1,ROUND($F1735*1440,0),INT($F1735/100)*60+MOD($F1735,100)))</f>
        <v/>
      </c>
      <c r="K1735" s="41" t="str">
        <f>IF($G1735="","",IF($G1735&lt;1,ROUND($G1735*1440,0),INT($G1735/100)*60+MOD($G1735,100)))</f>
        <v/>
      </c>
    </row>
    <row r="1736" ht="15" customHeight="1" s="26">
      <c r="A1736" s="34" t="n"/>
      <c r="B1736" s="32" t="n"/>
      <c r="C1736" s="33" t="n"/>
      <c r="D1736" s="37" t="str">
        <f>IF($C1736="","",IFERROR(INDEX(프로젝트목록!$B$3:$B$62,MATCH($C1736,프로젝트목록!$A$3:$A$62,0)),"미등록코드"))</f>
        <v/>
      </c>
      <c r="E1736" s="32" t="n"/>
      <c r="F1736" s="38" t="n"/>
      <c r="G1736" s="38" t="n"/>
      <c r="H1736" s="39" t="n"/>
      <c r="I1736" s="40" t="str">
        <f>IF(OR($J1736="",$K1736=""),"",ROUND(MAX(0,($K1736-$J1736)-IF($H1736="",0,$H1736))/60,2))</f>
        <v/>
      </c>
      <c r="J1736" s="41" t="str">
        <f>IF($F1736="","",IF($F1736&lt;1,ROUND($F1736*1440,0),INT($F1736/100)*60+MOD($F1736,100)))</f>
        <v/>
      </c>
      <c r="K1736" s="41" t="str">
        <f>IF($G1736="","",IF($G1736&lt;1,ROUND($G1736*1440,0),INT($G1736/100)*60+MOD($G1736,100)))</f>
        <v/>
      </c>
    </row>
    <row r="1737" ht="15" customHeight="1" s="26">
      <c r="A1737" s="34" t="n"/>
      <c r="B1737" s="32" t="n"/>
      <c r="C1737" s="33" t="n"/>
      <c r="D1737" s="37" t="str">
        <f>IF($C1737="","",IFERROR(INDEX(프로젝트목록!$B$3:$B$62,MATCH($C1737,프로젝트목록!$A$3:$A$62,0)),"미등록코드"))</f>
        <v/>
      </c>
      <c r="E1737" s="32" t="n"/>
      <c r="F1737" s="38" t="n"/>
      <c r="G1737" s="38" t="n"/>
      <c r="H1737" s="39" t="n"/>
      <c r="I1737" s="40" t="str">
        <f>IF(OR($J1737="",$K1737=""),"",ROUND(MAX(0,($K1737-$J1737)-IF($H1737="",0,$H1737))/60,2))</f>
        <v/>
      </c>
      <c r="J1737" s="41" t="str">
        <f>IF($F1737="","",IF($F1737&lt;1,ROUND($F1737*1440,0),INT($F1737/100)*60+MOD($F1737,100)))</f>
        <v/>
      </c>
      <c r="K1737" s="41" t="str">
        <f>IF($G1737="","",IF($G1737&lt;1,ROUND($G1737*1440,0),INT($G1737/100)*60+MOD($G1737,100)))</f>
        <v/>
      </c>
    </row>
    <row r="1738" ht="15" customHeight="1" s="26">
      <c r="A1738" s="34" t="n"/>
      <c r="B1738" s="32" t="n"/>
      <c r="C1738" s="33" t="n"/>
      <c r="D1738" s="37" t="str">
        <f>IF($C1738="","",IFERROR(INDEX(프로젝트목록!$B$3:$B$62,MATCH($C1738,프로젝트목록!$A$3:$A$62,0)),"미등록코드"))</f>
        <v/>
      </c>
      <c r="E1738" s="32" t="n"/>
      <c r="F1738" s="38" t="n"/>
      <c r="G1738" s="38" t="n"/>
      <c r="H1738" s="39" t="n"/>
      <c r="I1738" s="40" t="str">
        <f>IF(OR($J1738="",$K1738=""),"",ROUND(MAX(0,($K1738-$J1738)-IF($H1738="",0,$H1738))/60,2))</f>
        <v/>
      </c>
      <c r="J1738" s="41" t="str">
        <f>IF($F1738="","",IF($F1738&lt;1,ROUND($F1738*1440,0),INT($F1738/100)*60+MOD($F1738,100)))</f>
        <v/>
      </c>
      <c r="K1738" s="41" t="str">
        <f>IF($G1738="","",IF($G1738&lt;1,ROUND($G1738*1440,0),INT($G1738/100)*60+MOD($G1738,100)))</f>
        <v/>
      </c>
    </row>
    <row r="1739" ht="15" customHeight="1" s="26">
      <c r="A1739" s="34" t="n"/>
      <c r="B1739" s="32" t="n"/>
      <c r="C1739" s="33" t="n"/>
      <c r="D1739" s="37" t="str">
        <f>IF($C1739="","",IFERROR(INDEX(프로젝트목록!$B$3:$B$62,MATCH($C1739,프로젝트목록!$A$3:$A$62,0)),"미등록코드"))</f>
        <v/>
      </c>
      <c r="E1739" s="32" t="n"/>
      <c r="F1739" s="38" t="n"/>
      <c r="G1739" s="38" t="n"/>
      <c r="H1739" s="39" t="n"/>
      <c r="I1739" s="40" t="str">
        <f>IF(OR($J1739="",$K1739=""),"",ROUND(MAX(0,($K1739-$J1739)-IF($H1739="",0,$H1739))/60,2))</f>
        <v/>
      </c>
      <c r="J1739" s="41" t="str">
        <f>IF($F1739="","",IF($F1739&lt;1,ROUND($F1739*1440,0),INT($F1739/100)*60+MOD($F1739,100)))</f>
        <v/>
      </c>
      <c r="K1739" s="41" t="str">
        <f>IF($G1739="","",IF($G1739&lt;1,ROUND($G1739*1440,0),INT($G1739/100)*60+MOD($G1739,100)))</f>
        <v/>
      </c>
    </row>
    <row r="1740" ht="15" customHeight="1" s="26">
      <c r="A1740" s="34" t="n"/>
      <c r="B1740" s="32" t="n"/>
      <c r="C1740" s="33" t="n"/>
      <c r="D1740" s="37" t="str">
        <f>IF($C1740="","",IFERROR(INDEX(프로젝트목록!$B$3:$B$62,MATCH($C1740,프로젝트목록!$A$3:$A$62,0)),"미등록코드"))</f>
        <v/>
      </c>
      <c r="E1740" s="32" t="n"/>
      <c r="F1740" s="38" t="n"/>
      <c r="G1740" s="38" t="n"/>
      <c r="H1740" s="39" t="n"/>
      <c r="I1740" s="40" t="str">
        <f>IF(OR($J1740="",$K1740=""),"",ROUND(MAX(0,($K1740-$J1740)-IF($H1740="",0,$H1740))/60,2))</f>
        <v/>
      </c>
      <c r="J1740" s="41" t="str">
        <f>IF($F1740="","",IF($F1740&lt;1,ROUND($F1740*1440,0),INT($F1740/100)*60+MOD($F1740,100)))</f>
        <v/>
      </c>
      <c r="K1740" s="41" t="str">
        <f>IF($G1740="","",IF($G1740&lt;1,ROUND($G1740*1440,0),INT($G1740/100)*60+MOD($G1740,100)))</f>
        <v/>
      </c>
    </row>
    <row r="1741" ht="15" customHeight="1" s="26">
      <c r="A1741" s="34" t="n"/>
      <c r="B1741" s="32" t="n"/>
      <c r="C1741" s="33" t="n"/>
      <c r="D1741" s="37" t="str">
        <f>IF($C1741="","",IFERROR(INDEX(프로젝트목록!$B$3:$B$62,MATCH($C1741,프로젝트목록!$A$3:$A$62,0)),"미등록코드"))</f>
        <v/>
      </c>
      <c r="E1741" s="32" t="n"/>
      <c r="F1741" s="38" t="n"/>
      <c r="G1741" s="38" t="n"/>
      <c r="H1741" s="39" t="n"/>
      <c r="I1741" s="40" t="str">
        <f>IF(OR($J1741="",$K1741=""),"",ROUND(MAX(0,($K1741-$J1741)-IF($H1741="",0,$H1741))/60,2))</f>
        <v/>
      </c>
      <c r="J1741" s="41" t="str">
        <f>IF($F1741="","",IF($F1741&lt;1,ROUND($F1741*1440,0),INT($F1741/100)*60+MOD($F1741,100)))</f>
        <v/>
      </c>
      <c r="K1741" s="41" t="str">
        <f>IF($G1741="","",IF($G1741&lt;1,ROUND($G1741*1440,0),INT($G1741/100)*60+MOD($G1741,100)))</f>
        <v/>
      </c>
    </row>
    <row r="1742" ht="15" customHeight="1" s="26">
      <c r="A1742" s="34" t="n"/>
      <c r="B1742" s="32" t="n"/>
      <c r="C1742" s="33" t="n"/>
      <c r="D1742" s="37" t="str">
        <f>IF($C1742="","",IFERROR(INDEX(프로젝트목록!$B$3:$B$62,MATCH($C1742,프로젝트목록!$A$3:$A$62,0)),"미등록코드"))</f>
        <v/>
      </c>
      <c r="E1742" s="32" t="n"/>
      <c r="F1742" s="38" t="n"/>
      <c r="G1742" s="38" t="n"/>
      <c r="H1742" s="39" t="n"/>
      <c r="I1742" s="40" t="str">
        <f>IF(OR($J1742="",$K1742=""),"",ROUND(MAX(0,($K1742-$J1742)-IF($H1742="",0,$H1742))/60,2))</f>
        <v/>
      </c>
      <c r="J1742" s="41" t="str">
        <f>IF($F1742="","",IF($F1742&lt;1,ROUND($F1742*1440,0),INT($F1742/100)*60+MOD($F1742,100)))</f>
        <v/>
      </c>
      <c r="K1742" s="41" t="str">
        <f>IF($G1742="","",IF($G1742&lt;1,ROUND($G1742*1440,0),INT($G1742/100)*60+MOD($G1742,100)))</f>
        <v/>
      </c>
    </row>
    <row r="1743" ht="15" customHeight="1" s="26">
      <c r="A1743" s="34" t="n"/>
      <c r="B1743" s="32" t="n"/>
      <c r="C1743" s="33" t="n"/>
      <c r="D1743" s="37" t="str">
        <f>IF($C1743="","",IFERROR(INDEX(프로젝트목록!$B$3:$B$62,MATCH($C1743,프로젝트목록!$A$3:$A$62,0)),"미등록코드"))</f>
        <v/>
      </c>
      <c r="E1743" s="32" t="n"/>
      <c r="F1743" s="38" t="n"/>
      <c r="G1743" s="38" t="n"/>
      <c r="H1743" s="39" t="n"/>
      <c r="I1743" s="40" t="str">
        <f>IF(OR($J1743="",$K1743=""),"",ROUND(MAX(0,($K1743-$J1743)-IF($H1743="",0,$H1743))/60,2))</f>
        <v/>
      </c>
      <c r="J1743" s="41" t="str">
        <f>IF($F1743="","",IF($F1743&lt;1,ROUND($F1743*1440,0),INT($F1743/100)*60+MOD($F1743,100)))</f>
        <v/>
      </c>
      <c r="K1743" s="41" t="str">
        <f>IF($G1743="","",IF($G1743&lt;1,ROUND($G1743*1440,0),INT($G1743/100)*60+MOD($G1743,100)))</f>
        <v/>
      </c>
    </row>
    <row r="1744" ht="15" customHeight="1" s="26">
      <c r="A1744" s="34" t="n"/>
      <c r="B1744" s="32" t="n"/>
      <c r="C1744" s="33" t="n"/>
      <c r="D1744" s="37" t="str">
        <f>IF($C1744="","",IFERROR(INDEX(프로젝트목록!$B$3:$B$62,MATCH($C1744,프로젝트목록!$A$3:$A$62,0)),"미등록코드"))</f>
        <v/>
      </c>
      <c r="E1744" s="32" t="n"/>
      <c r="F1744" s="38" t="n"/>
      <c r="G1744" s="38" t="n"/>
      <c r="H1744" s="39" t="n"/>
      <c r="I1744" s="40" t="str">
        <f>IF(OR($J1744="",$K1744=""),"",ROUND(MAX(0,($K1744-$J1744)-IF($H1744="",0,$H1744))/60,2))</f>
        <v/>
      </c>
      <c r="J1744" s="41" t="str">
        <f>IF($F1744="","",IF($F1744&lt;1,ROUND($F1744*1440,0),INT($F1744/100)*60+MOD($F1744,100)))</f>
        <v/>
      </c>
      <c r="K1744" s="41" t="str">
        <f>IF($G1744="","",IF($G1744&lt;1,ROUND($G1744*1440,0),INT($G1744/100)*60+MOD($G1744,100)))</f>
        <v/>
      </c>
    </row>
    <row r="1745" ht="15" customHeight="1" s="26">
      <c r="A1745" s="34" t="n"/>
      <c r="B1745" s="32" t="n"/>
      <c r="C1745" s="33" t="n"/>
      <c r="D1745" s="37" t="str">
        <f>IF($C1745="","",IFERROR(INDEX(프로젝트목록!$B$3:$B$62,MATCH($C1745,프로젝트목록!$A$3:$A$62,0)),"미등록코드"))</f>
        <v/>
      </c>
      <c r="E1745" s="32" t="n"/>
      <c r="F1745" s="38" t="n"/>
      <c r="G1745" s="38" t="n"/>
      <c r="H1745" s="39" t="n"/>
      <c r="I1745" s="40" t="str">
        <f>IF(OR($J1745="",$K1745=""),"",ROUND(MAX(0,($K1745-$J1745)-IF($H1745="",0,$H1745))/60,2))</f>
        <v/>
      </c>
      <c r="J1745" s="41" t="str">
        <f>IF($F1745="","",IF($F1745&lt;1,ROUND($F1745*1440,0),INT($F1745/100)*60+MOD($F1745,100)))</f>
        <v/>
      </c>
      <c r="K1745" s="41" t="str">
        <f>IF($G1745="","",IF($G1745&lt;1,ROUND($G1745*1440,0),INT($G1745/100)*60+MOD($G1745,100)))</f>
        <v/>
      </c>
    </row>
    <row r="1746" ht="15" customHeight="1" s="26">
      <c r="A1746" s="34" t="n"/>
      <c r="B1746" s="32" t="n"/>
      <c r="C1746" s="33" t="n"/>
      <c r="D1746" s="37" t="str">
        <f>IF($C1746="","",IFERROR(INDEX(프로젝트목록!$B$3:$B$62,MATCH($C1746,프로젝트목록!$A$3:$A$62,0)),"미등록코드"))</f>
        <v/>
      </c>
      <c r="E1746" s="32" t="n"/>
      <c r="F1746" s="38" t="n"/>
      <c r="G1746" s="38" t="n"/>
      <c r="H1746" s="39" t="n"/>
      <c r="I1746" s="40" t="str">
        <f>IF(OR($J1746="",$K1746=""),"",ROUND(MAX(0,($K1746-$J1746)-IF($H1746="",0,$H1746))/60,2))</f>
        <v/>
      </c>
      <c r="J1746" s="41" t="str">
        <f>IF($F1746="","",IF($F1746&lt;1,ROUND($F1746*1440,0),INT($F1746/100)*60+MOD($F1746,100)))</f>
        <v/>
      </c>
      <c r="K1746" s="41" t="str">
        <f>IF($G1746="","",IF($G1746&lt;1,ROUND($G1746*1440,0),INT($G1746/100)*60+MOD($G1746,100)))</f>
        <v/>
      </c>
    </row>
    <row r="1747" ht="15" customHeight="1" s="26">
      <c r="A1747" s="34" t="n"/>
      <c r="B1747" s="32" t="n"/>
      <c r="C1747" s="33" t="n"/>
      <c r="D1747" s="37" t="str">
        <f>IF($C1747="","",IFERROR(INDEX(프로젝트목록!$B$3:$B$62,MATCH($C1747,프로젝트목록!$A$3:$A$62,0)),"미등록코드"))</f>
        <v/>
      </c>
      <c r="E1747" s="32" t="n"/>
      <c r="F1747" s="38" t="n"/>
      <c r="G1747" s="38" t="n"/>
      <c r="H1747" s="39" t="n"/>
      <c r="I1747" s="40" t="str">
        <f>IF(OR($J1747="",$K1747=""),"",ROUND(MAX(0,($K1747-$J1747)-IF($H1747="",0,$H1747))/60,2))</f>
        <v/>
      </c>
      <c r="J1747" s="41" t="str">
        <f>IF($F1747="","",IF($F1747&lt;1,ROUND($F1747*1440,0),INT($F1747/100)*60+MOD($F1747,100)))</f>
        <v/>
      </c>
      <c r="K1747" s="41" t="str">
        <f>IF($G1747="","",IF($G1747&lt;1,ROUND($G1747*1440,0),INT($G1747/100)*60+MOD($G1747,100)))</f>
        <v/>
      </c>
    </row>
    <row r="1748" ht="15" customHeight="1" s="26">
      <c r="A1748" s="34" t="n"/>
      <c r="B1748" s="32" t="n"/>
      <c r="C1748" s="33" t="n"/>
      <c r="D1748" s="37" t="str">
        <f>IF($C1748="","",IFERROR(INDEX(프로젝트목록!$B$3:$B$62,MATCH($C1748,프로젝트목록!$A$3:$A$62,0)),"미등록코드"))</f>
        <v/>
      </c>
      <c r="E1748" s="32" t="n"/>
      <c r="F1748" s="38" t="n"/>
      <c r="G1748" s="38" t="n"/>
      <c r="H1748" s="39" t="n"/>
      <c r="I1748" s="40" t="str">
        <f>IF(OR($J1748="",$K1748=""),"",ROUND(MAX(0,($K1748-$J1748)-IF($H1748="",0,$H1748))/60,2))</f>
        <v/>
      </c>
      <c r="J1748" s="41" t="str">
        <f>IF($F1748="","",IF($F1748&lt;1,ROUND($F1748*1440,0),INT($F1748/100)*60+MOD($F1748,100)))</f>
        <v/>
      </c>
      <c r="K1748" s="41" t="str">
        <f>IF($G1748="","",IF($G1748&lt;1,ROUND($G1748*1440,0),INT($G1748/100)*60+MOD($G1748,100)))</f>
        <v/>
      </c>
    </row>
    <row r="1749" ht="15" customHeight="1" s="26">
      <c r="A1749" s="34" t="n"/>
      <c r="B1749" s="32" t="n"/>
      <c r="C1749" s="33" t="n"/>
      <c r="D1749" s="37" t="str">
        <f>IF($C1749="","",IFERROR(INDEX(프로젝트목록!$B$3:$B$62,MATCH($C1749,프로젝트목록!$A$3:$A$62,0)),"미등록코드"))</f>
        <v/>
      </c>
      <c r="E1749" s="32" t="n"/>
      <c r="F1749" s="38" t="n"/>
      <c r="G1749" s="38" t="n"/>
      <c r="H1749" s="39" t="n"/>
      <c r="I1749" s="40" t="str">
        <f>IF(OR($J1749="",$K1749=""),"",ROUND(MAX(0,($K1749-$J1749)-IF($H1749="",0,$H1749))/60,2))</f>
        <v/>
      </c>
      <c r="J1749" s="41" t="str">
        <f>IF($F1749="","",IF($F1749&lt;1,ROUND($F1749*1440,0),INT($F1749/100)*60+MOD($F1749,100)))</f>
        <v/>
      </c>
      <c r="K1749" s="41" t="str">
        <f>IF($G1749="","",IF($G1749&lt;1,ROUND($G1749*1440,0),INT($G1749/100)*60+MOD($G1749,100)))</f>
        <v/>
      </c>
    </row>
    <row r="1750" ht="15" customHeight="1" s="26">
      <c r="A1750" s="34" t="n"/>
      <c r="B1750" s="32" t="n"/>
      <c r="C1750" s="33" t="n"/>
      <c r="D1750" s="37" t="str">
        <f>IF($C1750="","",IFERROR(INDEX(프로젝트목록!$B$3:$B$62,MATCH($C1750,프로젝트목록!$A$3:$A$62,0)),"미등록코드"))</f>
        <v/>
      </c>
      <c r="E1750" s="32" t="n"/>
      <c r="F1750" s="38" t="n"/>
      <c r="G1750" s="38" t="n"/>
      <c r="H1750" s="39" t="n"/>
      <c r="I1750" s="40" t="str">
        <f>IF(OR($J1750="",$K1750=""),"",ROUND(MAX(0,($K1750-$J1750)-IF($H1750="",0,$H1750))/60,2))</f>
        <v/>
      </c>
      <c r="J1750" s="41" t="str">
        <f>IF($F1750="","",IF($F1750&lt;1,ROUND($F1750*1440,0),INT($F1750/100)*60+MOD($F1750,100)))</f>
        <v/>
      </c>
      <c r="K1750" s="41" t="str">
        <f>IF($G1750="","",IF($G1750&lt;1,ROUND($G1750*1440,0),INT($G1750/100)*60+MOD($G1750,100)))</f>
        <v/>
      </c>
    </row>
    <row r="1751" ht="15" customHeight="1" s="26">
      <c r="A1751" s="34" t="n"/>
      <c r="B1751" s="32" t="n"/>
      <c r="C1751" s="33" t="n"/>
      <c r="D1751" s="37" t="str">
        <f>IF($C1751="","",IFERROR(INDEX(프로젝트목록!$B$3:$B$62,MATCH($C1751,프로젝트목록!$A$3:$A$62,0)),"미등록코드"))</f>
        <v/>
      </c>
      <c r="E1751" s="32" t="n"/>
      <c r="F1751" s="38" t="n"/>
      <c r="G1751" s="38" t="n"/>
      <c r="H1751" s="39" t="n"/>
      <c r="I1751" s="40" t="str">
        <f>IF(OR($J1751="",$K1751=""),"",ROUND(MAX(0,($K1751-$J1751)-IF($H1751="",0,$H1751))/60,2))</f>
        <v/>
      </c>
      <c r="J1751" s="41" t="str">
        <f>IF($F1751="","",IF($F1751&lt;1,ROUND($F1751*1440,0),INT($F1751/100)*60+MOD($F1751,100)))</f>
        <v/>
      </c>
      <c r="K1751" s="41" t="str">
        <f>IF($G1751="","",IF($G1751&lt;1,ROUND($G1751*1440,0),INT($G1751/100)*60+MOD($G1751,100)))</f>
        <v/>
      </c>
    </row>
    <row r="1752" ht="15" customHeight="1" s="26">
      <c r="A1752" s="34" t="n"/>
      <c r="B1752" s="32" t="n"/>
      <c r="C1752" s="33" t="n"/>
      <c r="D1752" s="37" t="str">
        <f>IF($C1752="","",IFERROR(INDEX(프로젝트목록!$B$3:$B$62,MATCH($C1752,프로젝트목록!$A$3:$A$62,0)),"미등록코드"))</f>
        <v/>
      </c>
      <c r="E1752" s="32" t="n"/>
      <c r="F1752" s="38" t="n"/>
      <c r="G1752" s="38" t="n"/>
      <c r="H1752" s="39" t="n"/>
      <c r="I1752" s="40" t="str">
        <f>IF(OR($J1752="",$K1752=""),"",ROUND(MAX(0,($K1752-$J1752)-IF($H1752="",0,$H1752))/60,2))</f>
        <v/>
      </c>
      <c r="J1752" s="41" t="str">
        <f>IF($F1752="","",IF($F1752&lt;1,ROUND($F1752*1440,0),INT($F1752/100)*60+MOD($F1752,100)))</f>
        <v/>
      </c>
      <c r="K1752" s="41" t="str">
        <f>IF($G1752="","",IF($G1752&lt;1,ROUND($G1752*1440,0),INT($G1752/100)*60+MOD($G1752,100)))</f>
        <v/>
      </c>
    </row>
    <row r="1753" ht="15" customHeight="1" s="26">
      <c r="A1753" s="34" t="n"/>
      <c r="B1753" s="32" t="n"/>
      <c r="C1753" s="33" t="n"/>
      <c r="D1753" s="37" t="str">
        <f>IF($C1753="","",IFERROR(INDEX(프로젝트목록!$B$3:$B$62,MATCH($C1753,프로젝트목록!$A$3:$A$62,0)),"미등록코드"))</f>
        <v/>
      </c>
      <c r="E1753" s="32" t="n"/>
      <c r="F1753" s="38" t="n"/>
      <c r="G1753" s="38" t="n"/>
      <c r="H1753" s="39" t="n"/>
      <c r="I1753" s="40" t="str">
        <f>IF(OR($J1753="",$K1753=""),"",ROUND(MAX(0,($K1753-$J1753)-IF($H1753="",0,$H1753))/60,2))</f>
        <v/>
      </c>
      <c r="J1753" s="41" t="str">
        <f>IF($F1753="","",IF($F1753&lt;1,ROUND($F1753*1440,0),INT($F1753/100)*60+MOD($F1753,100)))</f>
        <v/>
      </c>
      <c r="K1753" s="41" t="str">
        <f>IF($G1753="","",IF($G1753&lt;1,ROUND($G1753*1440,0),INT($G1753/100)*60+MOD($G1753,100)))</f>
        <v/>
      </c>
    </row>
    <row r="1754" ht="15" customHeight="1" s="26">
      <c r="A1754" s="34" t="n"/>
      <c r="B1754" s="32" t="n"/>
      <c r="C1754" s="33" t="n"/>
      <c r="D1754" s="37" t="str">
        <f>IF($C1754="","",IFERROR(INDEX(프로젝트목록!$B$3:$B$62,MATCH($C1754,프로젝트목록!$A$3:$A$62,0)),"미등록코드"))</f>
        <v/>
      </c>
      <c r="E1754" s="32" t="n"/>
      <c r="F1754" s="38" t="n"/>
      <c r="G1754" s="38" t="n"/>
      <c r="H1754" s="39" t="n"/>
      <c r="I1754" s="40" t="str">
        <f>IF(OR($J1754="",$K1754=""),"",ROUND(MAX(0,($K1754-$J1754)-IF($H1754="",0,$H1754))/60,2))</f>
        <v/>
      </c>
      <c r="J1754" s="41" t="str">
        <f>IF($F1754="","",IF($F1754&lt;1,ROUND($F1754*1440,0),INT($F1754/100)*60+MOD($F1754,100)))</f>
        <v/>
      </c>
      <c r="K1754" s="41" t="str">
        <f>IF($G1754="","",IF($G1754&lt;1,ROUND($G1754*1440,0),INT($G1754/100)*60+MOD($G1754,100)))</f>
        <v/>
      </c>
    </row>
    <row r="1755" ht="15" customHeight="1" s="26">
      <c r="A1755" s="34" t="n"/>
      <c r="B1755" s="32" t="n"/>
      <c r="C1755" s="33" t="n"/>
      <c r="D1755" s="37" t="str">
        <f>IF($C1755="","",IFERROR(INDEX(프로젝트목록!$B$3:$B$62,MATCH($C1755,프로젝트목록!$A$3:$A$62,0)),"미등록코드"))</f>
        <v/>
      </c>
      <c r="E1755" s="32" t="n"/>
      <c r="F1755" s="38" t="n"/>
      <c r="G1755" s="38" t="n"/>
      <c r="H1755" s="39" t="n"/>
      <c r="I1755" s="40" t="str">
        <f>IF(OR($J1755="",$K1755=""),"",ROUND(MAX(0,($K1755-$J1755)-IF($H1755="",0,$H1755))/60,2))</f>
        <v/>
      </c>
      <c r="J1755" s="41" t="str">
        <f>IF($F1755="","",IF($F1755&lt;1,ROUND($F1755*1440,0),INT($F1755/100)*60+MOD($F1755,100)))</f>
        <v/>
      </c>
      <c r="K1755" s="41" t="str">
        <f>IF($G1755="","",IF($G1755&lt;1,ROUND($G1755*1440,0),INT($G1755/100)*60+MOD($G1755,100)))</f>
        <v/>
      </c>
    </row>
    <row r="1756" ht="15" customHeight="1" s="26">
      <c r="A1756" s="34" t="n"/>
      <c r="B1756" s="32" t="n"/>
      <c r="C1756" s="33" t="n"/>
      <c r="D1756" s="37" t="str">
        <f>IF($C1756="","",IFERROR(INDEX(프로젝트목록!$B$3:$B$62,MATCH($C1756,프로젝트목록!$A$3:$A$62,0)),"미등록코드"))</f>
        <v/>
      </c>
      <c r="E1756" s="32" t="n"/>
      <c r="F1756" s="38" t="n"/>
      <c r="G1756" s="38" t="n"/>
      <c r="H1756" s="39" t="n"/>
      <c r="I1756" s="40" t="str">
        <f>IF(OR($J1756="",$K1756=""),"",ROUND(MAX(0,($K1756-$J1756)-IF($H1756="",0,$H1756))/60,2))</f>
        <v/>
      </c>
      <c r="J1756" s="41" t="str">
        <f>IF($F1756="","",IF($F1756&lt;1,ROUND($F1756*1440,0),INT($F1756/100)*60+MOD($F1756,100)))</f>
        <v/>
      </c>
      <c r="K1756" s="41" t="str">
        <f>IF($G1756="","",IF($G1756&lt;1,ROUND($G1756*1440,0),INT($G1756/100)*60+MOD($G1756,100)))</f>
        <v/>
      </c>
    </row>
    <row r="1757" ht="15" customHeight="1" s="26">
      <c r="A1757" s="34" t="n"/>
      <c r="B1757" s="32" t="n"/>
      <c r="C1757" s="33" t="n"/>
      <c r="D1757" s="37" t="str">
        <f>IF($C1757="","",IFERROR(INDEX(프로젝트목록!$B$3:$B$62,MATCH($C1757,프로젝트목록!$A$3:$A$62,0)),"미등록코드"))</f>
        <v/>
      </c>
      <c r="E1757" s="32" t="n"/>
      <c r="F1757" s="38" t="n"/>
      <c r="G1757" s="38" t="n"/>
      <c r="H1757" s="39" t="n"/>
      <c r="I1757" s="40" t="str">
        <f>IF(OR($J1757="",$K1757=""),"",ROUND(MAX(0,($K1757-$J1757)-IF($H1757="",0,$H1757))/60,2))</f>
        <v/>
      </c>
      <c r="J1757" s="41" t="str">
        <f>IF($F1757="","",IF($F1757&lt;1,ROUND($F1757*1440,0),INT($F1757/100)*60+MOD($F1757,100)))</f>
        <v/>
      </c>
      <c r="K1757" s="41" t="str">
        <f>IF($G1757="","",IF($G1757&lt;1,ROUND($G1757*1440,0),INT($G1757/100)*60+MOD($G1757,100)))</f>
        <v/>
      </c>
    </row>
    <row r="1758" ht="15" customHeight="1" s="26">
      <c r="A1758" s="34" t="n"/>
      <c r="B1758" s="32" t="n"/>
      <c r="C1758" s="33" t="n"/>
      <c r="D1758" s="37" t="str">
        <f>IF($C1758="","",IFERROR(INDEX(프로젝트목록!$B$3:$B$62,MATCH($C1758,프로젝트목록!$A$3:$A$62,0)),"미등록코드"))</f>
        <v/>
      </c>
      <c r="E1758" s="32" t="n"/>
      <c r="F1758" s="38" t="n"/>
      <c r="G1758" s="38" t="n"/>
      <c r="H1758" s="39" t="n"/>
      <c r="I1758" s="40" t="str">
        <f>IF(OR($J1758="",$K1758=""),"",ROUND(MAX(0,($K1758-$J1758)-IF($H1758="",0,$H1758))/60,2))</f>
        <v/>
      </c>
      <c r="J1758" s="41" t="str">
        <f>IF($F1758="","",IF($F1758&lt;1,ROUND($F1758*1440,0),INT($F1758/100)*60+MOD($F1758,100)))</f>
        <v/>
      </c>
      <c r="K1758" s="41" t="str">
        <f>IF($G1758="","",IF($G1758&lt;1,ROUND($G1758*1440,0),INT($G1758/100)*60+MOD($G1758,100)))</f>
        <v/>
      </c>
    </row>
    <row r="1759" ht="15" customHeight="1" s="26">
      <c r="A1759" s="34" t="n"/>
      <c r="B1759" s="32" t="n"/>
      <c r="C1759" s="33" t="n"/>
      <c r="D1759" s="37" t="str">
        <f>IF($C1759="","",IFERROR(INDEX(프로젝트목록!$B$3:$B$62,MATCH($C1759,프로젝트목록!$A$3:$A$62,0)),"미등록코드"))</f>
        <v/>
      </c>
      <c r="E1759" s="32" t="n"/>
      <c r="F1759" s="38" t="n"/>
      <c r="G1759" s="38" t="n"/>
      <c r="H1759" s="39" t="n"/>
      <c r="I1759" s="40" t="str">
        <f>IF(OR($J1759="",$K1759=""),"",ROUND(MAX(0,($K1759-$J1759)-IF($H1759="",0,$H1759))/60,2))</f>
        <v/>
      </c>
      <c r="J1759" s="41" t="str">
        <f>IF($F1759="","",IF($F1759&lt;1,ROUND($F1759*1440,0),INT($F1759/100)*60+MOD($F1759,100)))</f>
        <v/>
      </c>
      <c r="K1759" s="41" t="str">
        <f>IF($G1759="","",IF($G1759&lt;1,ROUND($G1759*1440,0),INT($G1759/100)*60+MOD($G1759,100)))</f>
        <v/>
      </c>
    </row>
    <row r="1760" ht="15" customHeight="1" s="26">
      <c r="A1760" s="34" t="n"/>
      <c r="B1760" s="32" t="n"/>
      <c r="C1760" s="33" t="n"/>
      <c r="D1760" s="37" t="str">
        <f>IF($C1760="","",IFERROR(INDEX(프로젝트목록!$B$3:$B$62,MATCH($C1760,프로젝트목록!$A$3:$A$62,0)),"미등록코드"))</f>
        <v/>
      </c>
      <c r="E1760" s="32" t="n"/>
      <c r="F1760" s="38" t="n"/>
      <c r="G1760" s="38" t="n"/>
      <c r="H1760" s="39" t="n"/>
      <c r="I1760" s="40" t="str">
        <f>IF(OR($J1760="",$K1760=""),"",ROUND(MAX(0,($K1760-$J1760)-IF($H1760="",0,$H1760))/60,2))</f>
        <v/>
      </c>
      <c r="J1760" s="41" t="str">
        <f>IF($F1760="","",IF($F1760&lt;1,ROUND($F1760*1440,0),INT($F1760/100)*60+MOD($F1760,100)))</f>
        <v/>
      </c>
      <c r="K1760" s="41" t="str">
        <f>IF($G1760="","",IF($G1760&lt;1,ROUND($G1760*1440,0),INT($G1760/100)*60+MOD($G1760,100)))</f>
        <v/>
      </c>
    </row>
    <row r="1761" ht="15" customHeight="1" s="26">
      <c r="A1761" s="34" t="n"/>
      <c r="B1761" s="32" t="n"/>
      <c r="C1761" s="33" t="n"/>
      <c r="D1761" s="37" t="str">
        <f>IF($C1761="","",IFERROR(INDEX(프로젝트목록!$B$3:$B$62,MATCH($C1761,프로젝트목록!$A$3:$A$62,0)),"미등록코드"))</f>
        <v/>
      </c>
      <c r="E1761" s="32" t="n"/>
      <c r="F1761" s="38" t="n"/>
      <c r="G1761" s="38" t="n"/>
      <c r="H1761" s="39" t="n"/>
      <c r="I1761" s="40" t="str">
        <f>IF(OR($J1761="",$K1761=""),"",ROUND(MAX(0,($K1761-$J1761)-IF($H1761="",0,$H1761))/60,2))</f>
        <v/>
      </c>
      <c r="J1761" s="41" t="str">
        <f>IF($F1761="","",IF($F1761&lt;1,ROUND($F1761*1440,0),INT($F1761/100)*60+MOD($F1761,100)))</f>
        <v/>
      </c>
      <c r="K1761" s="41" t="str">
        <f>IF($G1761="","",IF($G1761&lt;1,ROUND($G1761*1440,0),INT($G1761/100)*60+MOD($G1761,100)))</f>
        <v/>
      </c>
    </row>
    <row r="1762" ht="15" customHeight="1" s="26">
      <c r="A1762" s="34" t="n"/>
      <c r="B1762" s="32" t="n"/>
      <c r="C1762" s="33" t="n"/>
      <c r="D1762" s="37" t="str">
        <f>IF($C1762="","",IFERROR(INDEX(프로젝트목록!$B$3:$B$62,MATCH($C1762,프로젝트목록!$A$3:$A$62,0)),"미등록코드"))</f>
        <v/>
      </c>
      <c r="E1762" s="32" t="n"/>
      <c r="F1762" s="38" t="n"/>
      <c r="G1762" s="38" t="n"/>
      <c r="H1762" s="39" t="n"/>
      <c r="I1762" s="40" t="str">
        <f>IF(OR($J1762="",$K1762=""),"",ROUND(MAX(0,($K1762-$J1762)-IF($H1762="",0,$H1762))/60,2))</f>
        <v/>
      </c>
      <c r="J1762" s="41" t="str">
        <f>IF($F1762="","",IF($F1762&lt;1,ROUND($F1762*1440,0),INT($F1762/100)*60+MOD($F1762,100)))</f>
        <v/>
      </c>
      <c r="K1762" s="41" t="str">
        <f>IF($G1762="","",IF($G1762&lt;1,ROUND($G1762*1440,0),INT($G1762/100)*60+MOD($G1762,100)))</f>
        <v/>
      </c>
    </row>
    <row r="1763" ht="15" customHeight="1" s="26">
      <c r="A1763" s="34" t="n"/>
      <c r="B1763" s="32" t="n"/>
      <c r="C1763" s="33" t="n"/>
      <c r="D1763" s="37" t="str">
        <f>IF($C1763="","",IFERROR(INDEX(프로젝트목록!$B$3:$B$62,MATCH($C1763,프로젝트목록!$A$3:$A$62,0)),"미등록코드"))</f>
        <v/>
      </c>
      <c r="E1763" s="32" t="n"/>
      <c r="F1763" s="38" t="n"/>
      <c r="G1763" s="38" t="n"/>
      <c r="H1763" s="39" t="n"/>
      <c r="I1763" s="40" t="str">
        <f>IF(OR($J1763="",$K1763=""),"",ROUND(MAX(0,($K1763-$J1763)-IF($H1763="",0,$H1763))/60,2))</f>
        <v/>
      </c>
      <c r="J1763" s="41" t="str">
        <f>IF($F1763="","",IF($F1763&lt;1,ROUND($F1763*1440,0),INT($F1763/100)*60+MOD($F1763,100)))</f>
        <v/>
      </c>
      <c r="K1763" s="41" t="str">
        <f>IF($G1763="","",IF($G1763&lt;1,ROUND($G1763*1440,0),INT($G1763/100)*60+MOD($G1763,100)))</f>
        <v/>
      </c>
    </row>
    <row r="1764" ht="15" customHeight="1" s="26">
      <c r="A1764" s="34" t="n"/>
      <c r="B1764" s="32" t="n"/>
      <c r="C1764" s="33" t="n"/>
      <c r="D1764" s="37" t="str">
        <f>IF($C1764="","",IFERROR(INDEX(프로젝트목록!$B$3:$B$62,MATCH($C1764,프로젝트목록!$A$3:$A$62,0)),"미등록코드"))</f>
        <v/>
      </c>
      <c r="E1764" s="32" t="n"/>
      <c r="F1764" s="38" t="n"/>
      <c r="G1764" s="38" t="n"/>
      <c r="H1764" s="39" t="n"/>
      <c r="I1764" s="40" t="str">
        <f>IF(OR($J1764="",$K1764=""),"",ROUND(MAX(0,($K1764-$J1764)-IF($H1764="",0,$H1764))/60,2))</f>
        <v/>
      </c>
      <c r="J1764" s="41" t="str">
        <f>IF($F1764="","",IF($F1764&lt;1,ROUND($F1764*1440,0),INT($F1764/100)*60+MOD($F1764,100)))</f>
        <v/>
      </c>
      <c r="K1764" s="41" t="str">
        <f>IF($G1764="","",IF($G1764&lt;1,ROUND($G1764*1440,0),INT($G1764/100)*60+MOD($G1764,100)))</f>
        <v/>
      </c>
    </row>
    <row r="1765" ht="15" customHeight="1" s="26">
      <c r="A1765" s="34" t="n"/>
      <c r="B1765" s="32" t="n"/>
      <c r="C1765" s="33" t="n"/>
      <c r="D1765" s="37" t="str">
        <f>IF($C1765="","",IFERROR(INDEX(프로젝트목록!$B$3:$B$62,MATCH($C1765,프로젝트목록!$A$3:$A$62,0)),"미등록코드"))</f>
        <v/>
      </c>
      <c r="E1765" s="32" t="n"/>
      <c r="F1765" s="38" t="n"/>
      <c r="G1765" s="38" t="n"/>
      <c r="H1765" s="39" t="n"/>
      <c r="I1765" s="40" t="str">
        <f>IF(OR($J1765="",$K1765=""),"",ROUND(MAX(0,($K1765-$J1765)-IF($H1765="",0,$H1765))/60,2))</f>
        <v/>
      </c>
      <c r="J1765" s="41" t="str">
        <f>IF($F1765="","",IF($F1765&lt;1,ROUND($F1765*1440,0),INT($F1765/100)*60+MOD($F1765,100)))</f>
        <v/>
      </c>
      <c r="K1765" s="41" t="str">
        <f>IF($G1765="","",IF($G1765&lt;1,ROUND($G1765*1440,0),INT($G1765/100)*60+MOD($G1765,100)))</f>
        <v/>
      </c>
    </row>
    <row r="1766" ht="15" customHeight="1" s="26">
      <c r="A1766" s="34" t="n"/>
      <c r="B1766" s="32" t="n"/>
      <c r="C1766" s="33" t="n"/>
      <c r="D1766" s="37" t="str">
        <f>IF($C1766="","",IFERROR(INDEX(프로젝트목록!$B$3:$B$62,MATCH($C1766,프로젝트목록!$A$3:$A$62,0)),"미등록코드"))</f>
        <v/>
      </c>
      <c r="E1766" s="32" t="n"/>
      <c r="F1766" s="38" t="n"/>
      <c r="G1766" s="38" t="n"/>
      <c r="H1766" s="39" t="n"/>
      <c r="I1766" s="40" t="str">
        <f>IF(OR($J1766="",$K1766=""),"",ROUND(MAX(0,($K1766-$J1766)-IF($H1766="",0,$H1766))/60,2))</f>
        <v/>
      </c>
      <c r="J1766" s="41" t="str">
        <f>IF($F1766="","",IF($F1766&lt;1,ROUND($F1766*1440,0),INT($F1766/100)*60+MOD($F1766,100)))</f>
        <v/>
      </c>
      <c r="K1766" s="41" t="str">
        <f>IF($G1766="","",IF($G1766&lt;1,ROUND($G1766*1440,0),INT($G1766/100)*60+MOD($G1766,100)))</f>
        <v/>
      </c>
    </row>
    <row r="1767" ht="15" customHeight="1" s="26">
      <c r="A1767" s="34" t="n"/>
      <c r="B1767" s="32" t="n"/>
      <c r="C1767" s="33" t="n"/>
      <c r="D1767" s="37" t="str">
        <f>IF($C1767="","",IFERROR(INDEX(프로젝트목록!$B$3:$B$62,MATCH($C1767,프로젝트목록!$A$3:$A$62,0)),"미등록코드"))</f>
        <v/>
      </c>
      <c r="E1767" s="32" t="n"/>
      <c r="F1767" s="38" t="n"/>
      <c r="G1767" s="38" t="n"/>
      <c r="H1767" s="39" t="n"/>
      <c r="I1767" s="40" t="str">
        <f>IF(OR($J1767="",$K1767=""),"",ROUND(MAX(0,($K1767-$J1767)-IF($H1767="",0,$H1767))/60,2))</f>
        <v/>
      </c>
      <c r="J1767" s="41" t="str">
        <f>IF($F1767="","",IF($F1767&lt;1,ROUND($F1767*1440,0),INT($F1767/100)*60+MOD($F1767,100)))</f>
        <v/>
      </c>
      <c r="K1767" s="41" t="str">
        <f>IF($G1767="","",IF($G1767&lt;1,ROUND($G1767*1440,0),INT($G1767/100)*60+MOD($G1767,100)))</f>
        <v/>
      </c>
    </row>
    <row r="1768" ht="15" customHeight="1" s="26">
      <c r="A1768" s="34" t="n"/>
      <c r="B1768" s="32" t="n"/>
      <c r="C1768" s="33" t="n"/>
      <c r="D1768" s="37" t="str">
        <f>IF($C1768="","",IFERROR(INDEX(프로젝트목록!$B$3:$B$62,MATCH($C1768,프로젝트목록!$A$3:$A$62,0)),"미등록코드"))</f>
        <v/>
      </c>
      <c r="E1768" s="32" t="n"/>
      <c r="F1768" s="38" t="n"/>
      <c r="G1768" s="38" t="n"/>
      <c r="H1768" s="39" t="n"/>
      <c r="I1768" s="40" t="str">
        <f>IF(OR($J1768="",$K1768=""),"",ROUND(MAX(0,($K1768-$J1768)-IF($H1768="",0,$H1768))/60,2))</f>
        <v/>
      </c>
      <c r="J1768" s="41" t="str">
        <f>IF($F1768="","",IF($F1768&lt;1,ROUND($F1768*1440,0),INT($F1768/100)*60+MOD($F1768,100)))</f>
        <v/>
      </c>
      <c r="K1768" s="41" t="str">
        <f>IF($G1768="","",IF($G1768&lt;1,ROUND($G1768*1440,0),INT($G1768/100)*60+MOD($G1768,100)))</f>
        <v/>
      </c>
    </row>
    <row r="1769" ht="15" customHeight="1" s="26">
      <c r="A1769" s="34" t="n"/>
      <c r="B1769" s="32" t="n"/>
      <c r="C1769" s="33" t="n"/>
      <c r="D1769" s="37" t="str">
        <f>IF($C1769="","",IFERROR(INDEX(프로젝트목록!$B$3:$B$62,MATCH($C1769,프로젝트목록!$A$3:$A$62,0)),"미등록코드"))</f>
        <v/>
      </c>
      <c r="E1769" s="32" t="n"/>
      <c r="F1769" s="38" t="n"/>
      <c r="G1769" s="38" t="n"/>
      <c r="H1769" s="39" t="n"/>
      <c r="I1769" s="40" t="str">
        <f>IF(OR($J1769="",$K1769=""),"",ROUND(MAX(0,($K1769-$J1769)-IF($H1769="",0,$H1769))/60,2))</f>
        <v/>
      </c>
      <c r="J1769" s="41" t="str">
        <f>IF($F1769="","",IF($F1769&lt;1,ROUND($F1769*1440,0),INT($F1769/100)*60+MOD($F1769,100)))</f>
        <v/>
      </c>
      <c r="K1769" s="41" t="str">
        <f>IF($G1769="","",IF($G1769&lt;1,ROUND($G1769*1440,0),INT($G1769/100)*60+MOD($G1769,100)))</f>
        <v/>
      </c>
    </row>
    <row r="1770" ht="15" customHeight="1" s="26">
      <c r="A1770" s="34" t="n"/>
      <c r="B1770" s="32" t="n"/>
      <c r="C1770" s="33" t="n"/>
      <c r="D1770" s="37" t="str">
        <f>IF($C1770="","",IFERROR(INDEX(프로젝트목록!$B$3:$B$62,MATCH($C1770,프로젝트목록!$A$3:$A$62,0)),"미등록코드"))</f>
        <v/>
      </c>
      <c r="E1770" s="32" t="n"/>
      <c r="F1770" s="38" t="n"/>
      <c r="G1770" s="38" t="n"/>
      <c r="H1770" s="39" t="n"/>
      <c r="I1770" s="40" t="str">
        <f>IF(OR($J1770="",$K1770=""),"",ROUND(MAX(0,($K1770-$J1770)-IF($H1770="",0,$H1770))/60,2))</f>
        <v/>
      </c>
      <c r="J1770" s="41" t="str">
        <f>IF($F1770="","",IF($F1770&lt;1,ROUND($F1770*1440,0),INT($F1770/100)*60+MOD($F1770,100)))</f>
        <v/>
      </c>
      <c r="K1770" s="41" t="str">
        <f>IF($G1770="","",IF($G1770&lt;1,ROUND($G1770*1440,0),INT($G1770/100)*60+MOD($G1770,100)))</f>
        <v/>
      </c>
    </row>
    <row r="1771" ht="15" customHeight="1" s="26">
      <c r="A1771" s="34" t="n"/>
      <c r="B1771" s="32" t="n"/>
      <c r="C1771" s="33" t="n"/>
      <c r="D1771" s="37" t="str">
        <f>IF($C1771="","",IFERROR(INDEX(프로젝트목록!$B$3:$B$62,MATCH($C1771,프로젝트목록!$A$3:$A$62,0)),"미등록코드"))</f>
        <v/>
      </c>
      <c r="E1771" s="32" t="n"/>
      <c r="F1771" s="38" t="n"/>
      <c r="G1771" s="38" t="n"/>
      <c r="H1771" s="39" t="n"/>
      <c r="I1771" s="40" t="str">
        <f>IF(OR($J1771="",$K1771=""),"",ROUND(MAX(0,($K1771-$J1771)-IF($H1771="",0,$H1771))/60,2))</f>
        <v/>
      </c>
      <c r="J1771" s="41" t="str">
        <f>IF($F1771="","",IF($F1771&lt;1,ROUND($F1771*1440,0),INT($F1771/100)*60+MOD($F1771,100)))</f>
        <v/>
      </c>
      <c r="K1771" s="41" t="str">
        <f>IF($G1771="","",IF($G1771&lt;1,ROUND($G1771*1440,0),INT($G1771/100)*60+MOD($G1771,100)))</f>
        <v/>
      </c>
    </row>
    <row r="1772" ht="15" customHeight="1" s="26">
      <c r="A1772" s="34" t="n"/>
      <c r="B1772" s="32" t="n"/>
      <c r="C1772" s="33" t="n"/>
      <c r="D1772" s="37" t="str">
        <f>IF($C1772="","",IFERROR(INDEX(프로젝트목록!$B$3:$B$62,MATCH($C1772,프로젝트목록!$A$3:$A$62,0)),"미등록코드"))</f>
        <v/>
      </c>
      <c r="E1772" s="32" t="n"/>
      <c r="F1772" s="38" t="n"/>
      <c r="G1772" s="38" t="n"/>
      <c r="H1772" s="39" t="n"/>
      <c r="I1772" s="40" t="str">
        <f>IF(OR($J1772="",$K1772=""),"",ROUND(MAX(0,($K1772-$J1772)-IF($H1772="",0,$H1772))/60,2))</f>
        <v/>
      </c>
      <c r="J1772" s="41" t="str">
        <f>IF($F1772="","",IF($F1772&lt;1,ROUND($F1772*1440,0),INT($F1772/100)*60+MOD($F1772,100)))</f>
        <v/>
      </c>
      <c r="K1772" s="41" t="str">
        <f>IF($G1772="","",IF($G1772&lt;1,ROUND($G1772*1440,0),INT($G1772/100)*60+MOD($G1772,100)))</f>
        <v/>
      </c>
    </row>
    <row r="1773" ht="15" customHeight="1" s="26">
      <c r="A1773" s="34" t="n"/>
      <c r="B1773" s="32" t="n"/>
      <c r="C1773" s="33" t="n"/>
      <c r="D1773" s="37" t="str">
        <f>IF($C1773="","",IFERROR(INDEX(프로젝트목록!$B$3:$B$62,MATCH($C1773,프로젝트목록!$A$3:$A$62,0)),"미등록코드"))</f>
        <v/>
      </c>
      <c r="E1773" s="32" t="n"/>
      <c r="F1773" s="38" t="n"/>
      <c r="G1773" s="38" t="n"/>
      <c r="H1773" s="39" t="n"/>
      <c r="I1773" s="40" t="str">
        <f>IF(OR($J1773="",$K1773=""),"",ROUND(MAX(0,($K1773-$J1773)-IF($H1773="",0,$H1773))/60,2))</f>
        <v/>
      </c>
      <c r="J1773" s="41" t="str">
        <f>IF($F1773="","",IF($F1773&lt;1,ROUND($F1773*1440,0),INT($F1773/100)*60+MOD($F1773,100)))</f>
        <v/>
      </c>
      <c r="K1773" s="41" t="str">
        <f>IF($G1773="","",IF($G1773&lt;1,ROUND($G1773*1440,0),INT($G1773/100)*60+MOD($G1773,100)))</f>
        <v/>
      </c>
    </row>
    <row r="1774" ht="15" customHeight="1" s="26">
      <c r="A1774" s="34" t="n"/>
      <c r="B1774" s="32" t="n"/>
      <c r="C1774" s="33" t="n"/>
      <c r="D1774" s="37" t="str">
        <f>IF($C1774="","",IFERROR(INDEX(프로젝트목록!$B$3:$B$62,MATCH($C1774,프로젝트목록!$A$3:$A$62,0)),"미등록코드"))</f>
        <v/>
      </c>
      <c r="E1774" s="32" t="n"/>
      <c r="F1774" s="38" t="n"/>
      <c r="G1774" s="38" t="n"/>
      <c r="H1774" s="39" t="n"/>
      <c r="I1774" s="40" t="str">
        <f>IF(OR($J1774="",$K1774=""),"",ROUND(MAX(0,($K1774-$J1774)-IF($H1774="",0,$H1774))/60,2))</f>
        <v/>
      </c>
      <c r="J1774" s="41" t="str">
        <f>IF($F1774="","",IF($F1774&lt;1,ROUND($F1774*1440,0),INT($F1774/100)*60+MOD($F1774,100)))</f>
        <v/>
      </c>
      <c r="K1774" s="41" t="str">
        <f>IF($G1774="","",IF($G1774&lt;1,ROUND($G1774*1440,0),INT($G1774/100)*60+MOD($G1774,100)))</f>
        <v/>
      </c>
    </row>
    <row r="1775" ht="15" customHeight="1" s="26">
      <c r="A1775" s="34" t="n"/>
      <c r="B1775" s="32" t="n"/>
      <c r="C1775" s="33" t="n"/>
      <c r="D1775" s="37" t="str">
        <f>IF($C1775="","",IFERROR(INDEX(프로젝트목록!$B$3:$B$62,MATCH($C1775,프로젝트목록!$A$3:$A$62,0)),"미등록코드"))</f>
        <v/>
      </c>
      <c r="E1775" s="32" t="n"/>
      <c r="F1775" s="38" t="n"/>
      <c r="G1775" s="38" t="n"/>
      <c r="H1775" s="39" t="n"/>
      <c r="I1775" s="40" t="str">
        <f>IF(OR($J1775="",$K1775=""),"",ROUND(MAX(0,($K1775-$J1775)-IF($H1775="",0,$H1775))/60,2))</f>
        <v/>
      </c>
      <c r="J1775" s="41" t="str">
        <f>IF($F1775="","",IF($F1775&lt;1,ROUND($F1775*1440,0),INT($F1775/100)*60+MOD($F1775,100)))</f>
        <v/>
      </c>
      <c r="K1775" s="41" t="str">
        <f>IF($G1775="","",IF($G1775&lt;1,ROUND($G1775*1440,0),INT($G1775/100)*60+MOD($G1775,100)))</f>
        <v/>
      </c>
    </row>
    <row r="1776" ht="15" customHeight="1" s="26">
      <c r="A1776" s="34" t="n"/>
      <c r="B1776" s="32" t="n"/>
      <c r="C1776" s="33" t="n"/>
      <c r="D1776" s="37" t="str">
        <f>IF($C1776="","",IFERROR(INDEX(프로젝트목록!$B$3:$B$62,MATCH($C1776,프로젝트목록!$A$3:$A$62,0)),"미등록코드"))</f>
        <v/>
      </c>
      <c r="E1776" s="32" t="n"/>
      <c r="F1776" s="38" t="n"/>
      <c r="G1776" s="38" t="n"/>
      <c r="H1776" s="39" t="n"/>
      <c r="I1776" s="40" t="str">
        <f>IF(OR($J1776="",$K1776=""),"",ROUND(MAX(0,($K1776-$J1776)-IF($H1776="",0,$H1776))/60,2))</f>
        <v/>
      </c>
      <c r="J1776" s="41" t="str">
        <f>IF($F1776="","",IF($F1776&lt;1,ROUND($F1776*1440,0),INT($F1776/100)*60+MOD($F1776,100)))</f>
        <v/>
      </c>
      <c r="K1776" s="41" t="str">
        <f>IF($G1776="","",IF($G1776&lt;1,ROUND($G1776*1440,0),INT($G1776/100)*60+MOD($G1776,100)))</f>
        <v/>
      </c>
    </row>
    <row r="1777" ht="15" customHeight="1" s="26">
      <c r="A1777" s="34" t="n"/>
      <c r="B1777" s="32" t="n"/>
      <c r="C1777" s="33" t="n"/>
      <c r="D1777" s="37" t="str">
        <f>IF($C1777="","",IFERROR(INDEX(프로젝트목록!$B$3:$B$62,MATCH($C1777,프로젝트목록!$A$3:$A$62,0)),"미등록코드"))</f>
        <v/>
      </c>
      <c r="E1777" s="32" t="n"/>
      <c r="F1777" s="38" t="n"/>
      <c r="G1777" s="38" t="n"/>
      <c r="H1777" s="39" t="n"/>
      <c r="I1777" s="40" t="str">
        <f>IF(OR($J1777="",$K1777=""),"",ROUND(MAX(0,($K1777-$J1777)-IF($H1777="",0,$H1777))/60,2))</f>
        <v/>
      </c>
      <c r="J1777" s="41" t="str">
        <f>IF($F1777="","",IF($F1777&lt;1,ROUND($F1777*1440,0),INT($F1777/100)*60+MOD($F1777,100)))</f>
        <v/>
      </c>
      <c r="K1777" s="41" t="str">
        <f>IF($G1777="","",IF($G1777&lt;1,ROUND($G1777*1440,0),INT($G1777/100)*60+MOD($G1777,100)))</f>
        <v/>
      </c>
    </row>
    <row r="1778" ht="15" customHeight="1" s="26">
      <c r="A1778" s="34" t="n"/>
      <c r="B1778" s="32" t="n"/>
      <c r="C1778" s="33" t="n"/>
      <c r="D1778" s="37" t="str">
        <f>IF($C1778="","",IFERROR(INDEX(프로젝트목록!$B$3:$B$62,MATCH($C1778,프로젝트목록!$A$3:$A$62,0)),"미등록코드"))</f>
        <v/>
      </c>
      <c r="E1778" s="32" t="n"/>
      <c r="F1778" s="38" t="n"/>
      <c r="G1778" s="38" t="n"/>
      <c r="H1778" s="39" t="n"/>
      <c r="I1778" s="40" t="str">
        <f>IF(OR($J1778="",$K1778=""),"",ROUND(MAX(0,($K1778-$J1778)-IF($H1778="",0,$H1778))/60,2))</f>
        <v/>
      </c>
      <c r="J1778" s="41" t="str">
        <f>IF($F1778="","",IF($F1778&lt;1,ROUND($F1778*1440,0),INT($F1778/100)*60+MOD($F1778,100)))</f>
        <v/>
      </c>
      <c r="K1778" s="41" t="str">
        <f>IF($G1778="","",IF($G1778&lt;1,ROUND($G1778*1440,0),INT($G1778/100)*60+MOD($G1778,100)))</f>
        <v/>
      </c>
    </row>
    <row r="1779" ht="15" customHeight="1" s="26">
      <c r="A1779" s="34" t="n"/>
      <c r="B1779" s="32" t="n"/>
      <c r="C1779" s="33" t="n"/>
      <c r="D1779" s="37" t="str">
        <f>IF($C1779="","",IFERROR(INDEX(프로젝트목록!$B$3:$B$62,MATCH($C1779,프로젝트목록!$A$3:$A$62,0)),"미등록코드"))</f>
        <v/>
      </c>
      <c r="E1779" s="32" t="n"/>
      <c r="F1779" s="38" t="n"/>
      <c r="G1779" s="38" t="n"/>
      <c r="H1779" s="39" t="n"/>
      <c r="I1779" s="40" t="str">
        <f>IF(OR($J1779="",$K1779=""),"",ROUND(MAX(0,($K1779-$J1779)-IF($H1779="",0,$H1779))/60,2))</f>
        <v/>
      </c>
      <c r="J1779" s="41" t="str">
        <f>IF($F1779="","",IF($F1779&lt;1,ROUND($F1779*1440,0),INT($F1779/100)*60+MOD($F1779,100)))</f>
        <v/>
      </c>
      <c r="K1779" s="41" t="str">
        <f>IF($G1779="","",IF($G1779&lt;1,ROUND($G1779*1440,0),INT($G1779/100)*60+MOD($G1779,100)))</f>
        <v/>
      </c>
    </row>
    <row r="1780" ht="15" customHeight="1" s="26">
      <c r="A1780" s="34" t="n"/>
      <c r="B1780" s="32" t="n"/>
      <c r="C1780" s="33" t="n"/>
      <c r="D1780" s="37" t="str">
        <f>IF($C1780="","",IFERROR(INDEX(프로젝트목록!$B$3:$B$62,MATCH($C1780,프로젝트목록!$A$3:$A$62,0)),"미등록코드"))</f>
        <v/>
      </c>
      <c r="E1780" s="32" t="n"/>
      <c r="F1780" s="38" t="n"/>
      <c r="G1780" s="38" t="n"/>
      <c r="H1780" s="39" t="n"/>
      <c r="I1780" s="40" t="str">
        <f>IF(OR($J1780="",$K1780=""),"",ROUND(MAX(0,($K1780-$J1780)-IF($H1780="",0,$H1780))/60,2))</f>
        <v/>
      </c>
      <c r="J1780" s="41" t="str">
        <f>IF($F1780="","",IF($F1780&lt;1,ROUND($F1780*1440,0),INT($F1780/100)*60+MOD($F1780,100)))</f>
        <v/>
      </c>
      <c r="K1780" s="41" t="str">
        <f>IF($G1780="","",IF($G1780&lt;1,ROUND($G1780*1440,0),INT($G1780/100)*60+MOD($G1780,100)))</f>
        <v/>
      </c>
    </row>
    <row r="1781" ht="15" customHeight="1" s="26">
      <c r="A1781" s="34" t="n"/>
      <c r="B1781" s="32" t="n"/>
      <c r="C1781" s="33" t="n"/>
      <c r="D1781" s="37" t="str">
        <f>IF($C1781="","",IFERROR(INDEX(프로젝트목록!$B$3:$B$62,MATCH($C1781,프로젝트목록!$A$3:$A$62,0)),"미등록코드"))</f>
        <v/>
      </c>
      <c r="E1781" s="32" t="n"/>
      <c r="F1781" s="38" t="n"/>
      <c r="G1781" s="38" t="n"/>
      <c r="H1781" s="39" t="n"/>
      <c r="I1781" s="40" t="str">
        <f>IF(OR($J1781="",$K1781=""),"",ROUND(MAX(0,($K1781-$J1781)-IF($H1781="",0,$H1781))/60,2))</f>
        <v/>
      </c>
      <c r="J1781" s="41" t="str">
        <f>IF($F1781="","",IF($F1781&lt;1,ROUND($F1781*1440,0),INT($F1781/100)*60+MOD($F1781,100)))</f>
        <v/>
      </c>
      <c r="K1781" s="41" t="str">
        <f>IF($G1781="","",IF($G1781&lt;1,ROUND($G1781*1440,0),INT($G1781/100)*60+MOD($G1781,100)))</f>
        <v/>
      </c>
    </row>
    <row r="1782" ht="15" customHeight="1" s="26">
      <c r="A1782" s="34" t="n"/>
      <c r="B1782" s="32" t="n"/>
      <c r="C1782" s="33" t="n"/>
      <c r="D1782" s="37" t="str">
        <f>IF($C1782="","",IFERROR(INDEX(프로젝트목록!$B$3:$B$62,MATCH($C1782,프로젝트목록!$A$3:$A$62,0)),"미등록코드"))</f>
        <v/>
      </c>
      <c r="E1782" s="32" t="n"/>
      <c r="F1782" s="38" t="n"/>
      <c r="G1782" s="38" t="n"/>
      <c r="H1782" s="39" t="n"/>
      <c r="I1782" s="40" t="str">
        <f>IF(OR($J1782="",$K1782=""),"",ROUND(MAX(0,($K1782-$J1782)-IF($H1782="",0,$H1782))/60,2))</f>
        <v/>
      </c>
      <c r="J1782" s="41" t="str">
        <f>IF($F1782="","",IF($F1782&lt;1,ROUND($F1782*1440,0),INT($F1782/100)*60+MOD($F1782,100)))</f>
        <v/>
      </c>
      <c r="K1782" s="41" t="str">
        <f>IF($G1782="","",IF($G1782&lt;1,ROUND($G1782*1440,0),INT($G1782/100)*60+MOD($G1782,100)))</f>
        <v/>
      </c>
    </row>
    <row r="1783" ht="15" customHeight="1" s="26">
      <c r="A1783" s="34" t="n"/>
      <c r="B1783" s="32" t="n"/>
      <c r="C1783" s="33" t="n"/>
      <c r="D1783" s="37" t="str">
        <f>IF($C1783="","",IFERROR(INDEX(프로젝트목록!$B$3:$B$62,MATCH($C1783,프로젝트목록!$A$3:$A$62,0)),"미등록코드"))</f>
        <v/>
      </c>
      <c r="E1783" s="32" t="n"/>
      <c r="F1783" s="38" t="n"/>
      <c r="G1783" s="38" t="n"/>
      <c r="H1783" s="39" t="n"/>
      <c r="I1783" s="40" t="str">
        <f>IF(OR($J1783="",$K1783=""),"",ROUND(MAX(0,($K1783-$J1783)-IF($H1783="",0,$H1783))/60,2))</f>
        <v/>
      </c>
      <c r="J1783" s="41" t="str">
        <f>IF($F1783="","",IF($F1783&lt;1,ROUND($F1783*1440,0),INT($F1783/100)*60+MOD($F1783,100)))</f>
        <v/>
      </c>
      <c r="K1783" s="41" t="str">
        <f>IF($G1783="","",IF($G1783&lt;1,ROUND($G1783*1440,0),INT($G1783/100)*60+MOD($G1783,100)))</f>
        <v/>
      </c>
    </row>
    <row r="1784" ht="15" customHeight="1" s="26">
      <c r="A1784" s="34" t="n"/>
      <c r="B1784" s="32" t="n"/>
      <c r="C1784" s="33" t="n"/>
      <c r="D1784" s="37" t="str">
        <f>IF($C1784="","",IFERROR(INDEX(프로젝트목록!$B$3:$B$62,MATCH($C1784,프로젝트목록!$A$3:$A$62,0)),"미등록코드"))</f>
        <v/>
      </c>
      <c r="E1784" s="32" t="n"/>
      <c r="F1784" s="38" t="n"/>
      <c r="G1784" s="38" t="n"/>
      <c r="H1784" s="39" t="n"/>
      <c r="I1784" s="40" t="str">
        <f>IF(OR($J1784="",$K1784=""),"",ROUND(MAX(0,($K1784-$J1784)-IF($H1784="",0,$H1784))/60,2))</f>
        <v/>
      </c>
      <c r="J1784" s="41" t="str">
        <f>IF($F1784="","",IF($F1784&lt;1,ROUND($F1784*1440,0),INT($F1784/100)*60+MOD($F1784,100)))</f>
        <v/>
      </c>
      <c r="K1784" s="41" t="str">
        <f>IF($G1784="","",IF($G1784&lt;1,ROUND($G1784*1440,0),INT($G1784/100)*60+MOD($G1784,100)))</f>
        <v/>
      </c>
    </row>
    <row r="1785" ht="15" customHeight="1" s="26">
      <c r="A1785" s="34" t="n"/>
      <c r="B1785" s="32" t="n"/>
      <c r="C1785" s="33" t="n"/>
      <c r="D1785" s="37" t="str">
        <f>IF($C1785="","",IFERROR(INDEX(프로젝트목록!$B$3:$B$62,MATCH($C1785,프로젝트목록!$A$3:$A$62,0)),"미등록코드"))</f>
        <v/>
      </c>
      <c r="E1785" s="32" t="n"/>
      <c r="F1785" s="38" t="n"/>
      <c r="G1785" s="38" t="n"/>
      <c r="H1785" s="39" t="n"/>
      <c r="I1785" s="40" t="str">
        <f>IF(OR($J1785="",$K1785=""),"",ROUND(MAX(0,($K1785-$J1785)-IF($H1785="",0,$H1785))/60,2))</f>
        <v/>
      </c>
      <c r="J1785" s="41" t="str">
        <f>IF($F1785="","",IF($F1785&lt;1,ROUND($F1785*1440,0),INT($F1785/100)*60+MOD($F1785,100)))</f>
        <v/>
      </c>
      <c r="K1785" s="41" t="str">
        <f>IF($G1785="","",IF($G1785&lt;1,ROUND($G1785*1440,0),INT($G1785/100)*60+MOD($G1785,100)))</f>
        <v/>
      </c>
    </row>
    <row r="1786" ht="15" customHeight="1" s="26">
      <c r="A1786" s="34" t="n"/>
      <c r="B1786" s="32" t="n"/>
      <c r="C1786" s="33" t="n"/>
      <c r="D1786" s="37" t="str">
        <f>IF($C1786="","",IFERROR(INDEX(프로젝트목록!$B$3:$B$62,MATCH($C1786,프로젝트목록!$A$3:$A$62,0)),"미등록코드"))</f>
        <v/>
      </c>
      <c r="E1786" s="32" t="n"/>
      <c r="F1786" s="38" t="n"/>
      <c r="G1786" s="38" t="n"/>
      <c r="H1786" s="39" t="n"/>
      <c r="I1786" s="40" t="str">
        <f>IF(OR($J1786="",$K1786=""),"",ROUND(MAX(0,($K1786-$J1786)-IF($H1786="",0,$H1786))/60,2))</f>
        <v/>
      </c>
      <c r="J1786" s="41" t="str">
        <f>IF($F1786="","",IF($F1786&lt;1,ROUND($F1786*1440,0),INT($F1786/100)*60+MOD($F1786,100)))</f>
        <v/>
      </c>
      <c r="K1786" s="41" t="str">
        <f>IF($G1786="","",IF($G1786&lt;1,ROUND($G1786*1440,0),INT($G1786/100)*60+MOD($G1786,100)))</f>
        <v/>
      </c>
    </row>
    <row r="1787" ht="15" customHeight="1" s="26">
      <c r="A1787" s="34" t="n"/>
      <c r="B1787" s="32" t="n"/>
      <c r="C1787" s="33" t="n"/>
      <c r="D1787" s="37" t="str">
        <f>IF($C1787="","",IFERROR(INDEX(프로젝트목록!$B$3:$B$62,MATCH($C1787,프로젝트목록!$A$3:$A$62,0)),"미등록코드"))</f>
        <v/>
      </c>
      <c r="E1787" s="32" t="n"/>
      <c r="F1787" s="38" t="n"/>
      <c r="G1787" s="38" t="n"/>
      <c r="H1787" s="39" t="n"/>
      <c r="I1787" s="40" t="str">
        <f>IF(OR($J1787="",$K1787=""),"",ROUND(MAX(0,($K1787-$J1787)-IF($H1787="",0,$H1787))/60,2))</f>
        <v/>
      </c>
      <c r="J1787" s="41" t="str">
        <f>IF($F1787="","",IF($F1787&lt;1,ROUND($F1787*1440,0),INT($F1787/100)*60+MOD($F1787,100)))</f>
        <v/>
      </c>
      <c r="K1787" s="41" t="str">
        <f>IF($G1787="","",IF($G1787&lt;1,ROUND($G1787*1440,0),INT($G1787/100)*60+MOD($G1787,100)))</f>
        <v/>
      </c>
    </row>
    <row r="1788" ht="15" customHeight="1" s="26">
      <c r="A1788" s="34" t="n"/>
      <c r="B1788" s="32" t="n"/>
      <c r="C1788" s="33" t="n"/>
      <c r="D1788" s="37" t="str">
        <f>IF($C1788="","",IFERROR(INDEX(프로젝트목록!$B$3:$B$62,MATCH($C1788,프로젝트목록!$A$3:$A$62,0)),"미등록코드"))</f>
        <v/>
      </c>
      <c r="E1788" s="32" t="n"/>
      <c r="F1788" s="38" t="n"/>
      <c r="G1788" s="38" t="n"/>
      <c r="H1788" s="39" t="n"/>
      <c r="I1788" s="40" t="str">
        <f>IF(OR($J1788="",$K1788=""),"",ROUND(MAX(0,($K1788-$J1788)-IF($H1788="",0,$H1788))/60,2))</f>
        <v/>
      </c>
      <c r="J1788" s="41" t="str">
        <f>IF($F1788="","",IF($F1788&lt;1,ROUND($F1788*1440,0),INT($F1788/100)*60+MOD($F1788,100)))</f>
        <v/>
      </c>
      <c r="K1788" s="41" t="str">
        <f>IF($G1788="","",IF($G1788&lt;1,ROUND($G1788*1440,0),INT($G1788/100)*60+MOD($G1788,100)))</f>
        <v/>
      </c>
    </row>
    <row r="1789" ht="15" customHeight="1" s="26">
      <c r="A1789" s="34" t="n"/>
      <c r="B1789" s="32" t="n"/>
      <c r="C1789" s="33" t="n"/>
      <c r="D1789" s="37" t="str">
        <f>IF($C1789="","",IFERROR(INDEX(프로젝트목록!$B$3:$B$62,MATCH($C1789,프로젝트목록!$A$3:$A$62,0)),"미등록코드"))</f>
        <v/>
      </c>
      <c r="E1789" s="32" t="n"/>
      <c r="F1789" s="38" t="n"/>
      <c r="G1789" s="38" t="n"/>
      <c r="H1789" s="39" t="n"/>
      <c r="I1789" s="40" t="str">
        <f>IF(OR($J1789="",$K1789=""),"",ROUND(MAX(0,($K1789-$J1789)-IF($H1789="",0,$H1789))/60,2))</f>
        <v/>
      </c>
      <c r="J1789" s="41" t="str">
        <f>IF($F1789="","",IF($F1789&lt;1,ROUND($F1789*1440,0),INT($F1789/100)*60+MOD($F1789,100)))</f>
        <v/>
      </c>
      <c r="K1789" s="41" t="str">
        <f>IF($G1789="","",IF($G1789&lt;1,ROUND($G1789*1440,0),INT($G1789/100)*60+MOD($G1789,100)))</f>
        <v/>
      </c>
    </row>
    <row r="1790" ht="15" customHeight="1" s="26">
      <c r="A1790" s="34" t="n"/>
      <c r="B1790" s="32" t="n"/>
      <c r="C1790" s="33" t="n"/>
      <c r="D1790" s="37" t="str">
        <f>IF($C1790="","",IFERROR(INDEX(프로젝트목록!$B$3:$B$62,MATCH($C1790,프로젝트목록!$A$3:$A$62,0)),"미등록코드"))</f>
        <v/>
      </c>
      <c r="E1790" s="32" t="n"/>
      <c r="F1790" s="38" t="n"/>
      <c r="G1790" s="38" t="n"/>
      <c r="H1790" s="39" t="n"/>
      <c r="I1790" s="40" t="str">
        <f>IF(OR($J1790="",$K1790=""),"",ROUND(MAX(0,($K1790-$J1790)-IF($H1790="",0,$H1790))/60,2))</f>
        <v/>
      </c>
      <c r="J1790" s="41" t="str">
        <f>IF($F1790="","",IF($F1790&lt;1,ROUND($F1790*1440,0),INT($F1790/100)*60+MOD($F1790,100)))</f>
        <v/>
      </c>
      <c r="K1790" s="41" t="str">
        <f>IF($G1790="","",IF($G1790&lt;1,ROUND($G1790*1440,0),INT($G1790/100)*60+MOD($G1790,100)))</f>
        <v/>
      </c>
    </row>
    <row r="1791" ht="15" customHeight="1" s="26">
      <c r="A1791" s="34" t="n"/>
      <c r="B1791" s="32" t="n"/>
      <c r="C1791" s="33" t="n"/>
      <c r="D1791" s="37" t="str">
        <f>IF($C1791="","",IFERROR(INDEX(프로젝트목록!$B$3:$B$62,MATCH($C1791,프로젝트목록!$A$3:$A$62,0)),"미등록코드"))</f>
        <v/>
      </c>
      <c r="E1791" s="32" t="n"/>
      <c r="F1791" s="38" t="n"/>
      <c r="G1791" s="38" t="n"/>
      <c r="H1791" s="39" t="n"/>
      <c r="I1791" s="40" t="str">
        <f>IF(OR($J1791="",$K1791=""),"",ROUND(MAX(0,($K1791-$J1791)-IF($H1791="",0,$H1791))/60,2))</f>
        <v/>
      </c>
      <c r="J1791" s="41" t="str">
        <f>IF($F1791="","",IF($F1791&lt;1,ROUND($F1791*1440,0),INT($F1791/100)*60+MOD($F1791,100)))</f>
        <v/>
      </c>
      <c r="K1791" s="41" t="str">
        <f>IF($G1791="","",IF($G1791&lt;1,ROUND($G1791*1440,0),INT($G1791/100)*60+MOD($G1791,100)))</f>
        <v/>
      </c>
    </row>
    <row r="1792" ht="15" customHeight="1" s="26">
      <c r="A1792" s="34" t="n"/>
      <c r="B1792" s="32" t="n"/>
      <c r="C1792" s="33" t="n"/>
      <c r="D1792" s="37" t="str">
        <f>IF($C1792="","",IFERROR(INDEX(프로젝트목록!$B$3:$B$62,MATCH($C1792,프로젝트목록!$A$3:$A$62,0)),"미등록코드"))</f>
        <v/>
      </c>
      <c r="E1792" s="32" t="n"/>
      <c r="F1792" s="38" t="n"/>
      <c r="G1792" s="38" t="n"/>
      <c r="H1792" s="39" t="n"/>
      <c r="I1792" s="40" t="str">
        <f>IF(OR($J1792="",$K1792=""),"",ROUND(MAX(0,($K1792-$J1792)-IF($H1792="",0,$H1792))/60,2))</f>
        <v/>
      </c>
      <c r="J1792" s="41" t="str">
        <f>IF($F1792="","",IF($F1792&lt;1,ROUND($F1792*1440,0),INT($F1792/100)*60+MOD($F1792,100)))</f>
        <v/>
      </c>
      <c r="K1792" s="41" t="str">
        <f>IF($G1792="","",IF($G1792&lt;1,ROUND($G1792*1440,0),INT($G1792/100)*60+MOD($G1792,100)))</f>
        <v/>
      </c>
    </row>
    <row r="1793" ht="15" customHeight="1" s="26">
      <c r="A1793" s="34" t="n"/>
      <c r="B1793" s="32" t="n"/>
      <c r="C1793" s="33" t="n"/>
      <c r="D1793" s="37" t="str">
        <f>IF($C1793="","",IFERROR(INDEX(프로젝트목록!$B$3:$B$62,MATCH($C1793,프로젝트목록!$A$3:$A$62,0)),"미등록코드"))</f>
        <v/>
      </c>
      <c r="E1793" s="32" t="n"/>
      <c r="F1793" s="38" t="n"/>
      <c r="G1793" s="38" t="n"/>
      <c r="H1793" s="39" t="n"/>
      <c r="I1793" s="40" t="str">
        <f>IF(OR($J1793="",$K1793=""),"",ROUND(MAX(0,($K1793-$J1793)-IF($H1793="",0,$H1793))/60,2))</f>
        <v/>
      </c>
      <c r="J1793" s="41" t="str">
        <f>IF($F1793="","",IF($F1793&lt;1,ROUND($F1793*1440,0),INT($F1793/100)*60+MOD($F1793,100)))</f>
        <v/>
      </c>
      <c r="K1793" s="41" t="str">
        <f>IF($G1793="","",IF($G1793&lt;1,ROUND($G1793*1440,0),INT($G1793/100)*60+MOD($G1793,100)))</f>
        <v/>
      </c>
    </row>
    <row r="1794" ht="15" customHeight="1" s="26">
      <c r="A1794" s="34" t="n"/>
      <c r="B1794" s="32" t="n"/>
      <c r="C1794" s="33" t="n"/>
      <c r="D1794" s="37" t="str">
        <f>IF($C1794="","",IFERROR(INDEX(프로젝트목록!$B$3:$B$62,MATCH($C1794,프로젝트목록!$A$3:$A$62,0)),"미등록코드"))</f>
        <v/>
      </c>
      <c r="E1794" s="32" t="n"/>
      <c r="F1794" s="38" t="n"/>
      <c r="G1794" s="38" t="n"/>
      <c r="H1794" s="39" t="n"/>
      <c r="I1794" s="40" t="str">
        <f>IF(OR($J1794="",$K1794=""),"",ROUND(MAX(0,($K1794-$J1794)-IF($H1794="",0,$H1794))/60,2))</f>
        <v/>
      </c>
      <c r="J1794" s="41" t="str">
        <f>IF($F1794="","",IF($F1794&lt;1,ROUND($F1794*1440,0),INT($F1794/100)*60+MOD($F1794,100)))</f>
        <v/>
      </c>
      <c r="K1794" s="41" t="str">
        <f>IF($G1794="","",IF($G1794&lt;1,ROUND($G1794*1440,0),INT($G1794/100)*60+MOD($G1794,100)))</f>
        <v/>
      </c>
    </row>
    <row r="1795" ht="15" customHeight="1" s="26">
      <c r="A1795" s="34" t="n"/>
      <c r="B1795" s="32" t="n"/>
      <c r="C1795" s="33" t="n"/>
      <c r="D1795" s="37" t="str">
        <f>IF($C1795="","",IFERROR(INDEX(프로젝트목록!$B$3:$B$62,MATCH($C1795,프로젝트목록!$A$3:$A$62,0)),"미등록코드"))</f>
        <v/>
      </c>
      <c r="E1795" s="32" t="n"/>
      <c r="F1795" s="38" t="n"/>
      <c r="G1795" s="38" t="n"/>
      <c r="H1795" s="39" t="n"/>
      <c r="I1795" s="40" t="str">
        <f>IF(OR($J1795="",$K1795=""),"",ROUND(MAX(0,($K1795-$J1795)-IF($H1795="",0,$H1795))/60,2))</f>
        <v/>
      </c>
      <c r="J1795" s="41" t="str">
        <f>IF($F1795="","",IF($F1795&lt;1,ROUND($F1795*1440,0),INT($F1795/100)*60+MOD($F1795,100)))</f>
        <v/>
      </c>
      <c r="K1795" s="41" t="str">
        <f>IF($G1795="","",IF($G1795&lt;1,ROUND($G1795*1440,0),INT($G1795/100)*60+MOD($G1795,100)))</f>
        <v/>
      </c>
    </row>
    <row r="1796" ht="15" customHeight="1" s="26">
      <c r="A1796" s="34" t="n"/>
      <c r="B1796" s="32" t="n"/>
      <c r="C1796" s="33" t="n"/>
      <c r="D1796" s="37" t="str">
        <f>IF($C1796="","",IFERROR(INDEX(프로젝트목록!$B$3:$B$62,MATCH($C1796,프로젝트목록!$A$3:$A$62,0)),"미등록코드"))</f>
        <v/>
      </c>
      <c r="E1796" s="32" t="n"/>
      <c r="F1796" s="38" t="n"/>
      <c r="G1796" s="38" t="n"/>
      <c r="H1796" s="39" t="n"/>
      <c r="I1796" s="40" t="str">
        <f>IF(OR($J1796="",$K1796=""),"",ROUND(MAX(0,($K1796-$J1796)-IF($H1796="",0,$H1796))/60,2))</f>
        <v/>
      </c>
      <c r="J1796" s="41" t="str">
        <f>IF($F1796="","",IF($F1796&lt;1,ROUND($F1796*1440,0),INT($F1796/100)*60+MOD($F1796,100)))</f>
        <v/>
      </c>
      <c r="K1796" s="41" t="str">
        <f>IF($G1796="","",IF($G1796&lt;1,ROUND($G1796*1440,0),INT($G1796/100)*60+MOD($G1796,100)))</f>
        <v/>
      </c>
    </row>
    <row r="1797" ht="15" customHeight="1" s="26">
      <c r="A1797" s="34" t="n"/>
      <c r="B1797" s="32" t="n"/>
      <c r="C1797" s="33" t="n"/>
      <c r="D1797" s="37" t="str">
        <f>IF($C1797="","",IFERROR(INDEX(프로젝트목록!$B$3:$B$62,MATCH($C1797,프로젝트목록!$A$3:$A$62,0)),"미등록코드"))</f>
        <v/>
      </c>
      <c r="E1797" s="32" t="n"/>
      <c r="F1797" s="38" t="n"/>
      <c r="G1797" s="38" t="n"/>
      <c r="H1797" s="39" t="n"/>
      <c r="I1797" s="40" t="str">
        <f>IF(OR($J1797="",$K1797=""),"",ROUND(MAX(0,($K1797-$J1797)-IF($H1797="",0,$H1797))/60,2))</f>
        <v/>
      </c>
      <c r="J1797" s="41" t="str">
        <f>IF($F1797="","",IF($F1797&lt;1,ROUND($F1797*1440,0),INT($F1797/100)*60+MOD($F1797,100)))</f>
        <v/>
      </c>
      <c r="K1797" s="41" t="str">
        <f>IF($G1797="","",IF($G1797&lt;1,ROUND($G1797*1440,0),INT($G1797/100)*60+MOD($G1797,100)))</f>
        <v/>
      </c>
    </row>
    <row r="1798" ht="15" customHeight="1" s="26">
      <c r="A1798" s="34" t="n"/>
      <c r="B1798" s="32" t="n"/>
      <c r="C1798" s="33" t="n"/>
      <c r="D1798" s="37" t="str">
        <f>IF($C1798="","",IFERROR(INDEX(프로젝트목록!$B$3:$B$62,MATCH($C1798,프로젝트목록!$A$3:$A$62,0)),"미등록코드"))</f>
        <v/>
      </c>
      <c r="E1798" s="32" t="n"/>
      <c r="F1798" s="38" t="n"/>
      <c r="G1798" s="38" t="n"/>
      <c r="H1798" s="39" t="n"/>
      <c r="I1798" s="40" t="str">
        <f>IF(OR($J1798="",$K1798=""),"",ROUND(MAX(0,($K1798-$J1798)-IF($H1798="",0,$H1798))/60,2))</f>
        <v/>
      </c>
      <c r="J1798" s="41" t="str">
        <f>IF($F1798="","",IF($F1798&lt;1,ROUND($F1798*1440,0),INT($F1798/100)*60+MOD($F1798,100)))</f>
        <v/>
      </c>
      <c r="K1798" s="41" t="str">
        <f>IF($G1798="","",IF($G1798&lt;1,ROUND($G1798*1440,0),INT($G1798/100)*60+MOD($G1798,100)))</f>
        <v/>
      </c>
    </row>
    <row r="1799" ht="15" customHeight="1" s="26">
      <c r="A1799" s="34" t="n"/>
      <c r="B1799" s="32" t="n"/>
      <c r="C1799" s="33" t="n"/>
      <c r="D1799" s="37" t="str">
        <f>IF($C1799="","",IFERROR(INDEX(프로젝트목록!$B$3:$B$62,MATCH($C1799,프로젝트목록!$A$3:$A$62,0)),"미등록코드"))</f>
        <v/>
      </c>
      <c r="E1799" s="32" t="n"/>
      <c r="F1799" s="38" t="n"/>
      <c r="G1799" s="38" t="n"/>
      <c r="H1799" s="39" t="n"/>
      <c r="I1799" s="40" t="str">
        <f>IF(OR($J1799="",$K1799=""),"",ROUND(MAX(0,($K1799-$J1799)-IF($H1799="",0,$H1799))/60,2))</f>
        <v/>
      </c>
      <c r="J1799" s="41" t="str">
        <f>IF($F1799="","",IF($F1799&lt;1,ROUND($F1799*1440,0),INT($F1799/100)*60+MOD($F1799,100)))</f>
        <v/>
      </c>
      <c r="K1799" s="41" t="str">
        <f>IF($G1799="","",IF($G1799&lt;1,ROUND($G1799*1440,0),INT($G1799/100)*60+MOD($G1799,100)))</f>
        <v/>
      </c>
    </row>
    <row r="1800" ht="15" customHeight="1" s="26">
      <c r="A1800" s="34" t="n"/>
      <c r="B1800" s="32" t="n"/>
      <c r="C1800" s="33" t="n"/>
      <c r="D1800" s="37" t="str">
        <f>IF($C1800="","",IFERROR(INDEX(프로젝트목록!$B$3:$B$62,MATCH($C1800,프로젝트목록!$A$3:$A$62,0)),"미등록코드"))</f>
        <v/>
      </c>
      <c r="E1800" s="32" t="n"/>
      <c r="F1800" s="38" t="n"/>
      <c r="G1800" s="38" t="n"/>
      <c r="H1800" s="39" t="n"/>
      <c r="I1800" s="40" t="str">
        <f>IF(OR($J1800="",$K1800=""),"",ROUND(MAX(0,($K1800-$J1800)-IF($H1800="",0,$H1800))/60,2))</f>
        <v/>
      </c>
      <c r="J1800" s="41" t="str">
        <f>IF($F1800="","",IF($F1800&lt;1,ROUND($F1800*1440,0),INT($F1800/100)*60+MOD($F1800,100)))</f>
        <v/>
      </c>
      <c r="K1800" s="41" t="str">
        <f>IF($G1800="","",IF($G1800&lt;1,ROUND($G1800*1440,0),INT($G1800/100)*60+MOD($G1800,100)))</f>
        <v/>
      </c>
    </row>
    <row r="1801" ht="15" customHeight="1" s="26">
      <c r="A1801" s="34" t="n"/>
      <c r="B1801" s="32" t="n"/>
      <c r="C1801" s="33" t="n"/>
      <c r="D1801" s="37" t="str">
        <f>IF($C1801="","",IFERROR(INDEX(프로젝트목록!$B$3:$B$62,MATCH($C1801,프로젝트목록!$A$3:$A$62,0)),"미등록코드"))</f>
        <v/>
      </c>
      <c r="E1801" s="32" t="n"/>
      <c r="F1801" s="38" t="n"/>
      <c r="G1801" s="38" t="n"/>
      <c r="H1801" s="39" t="n"/>
      <c r="I1801" s="40" t="str">
        <f>IF(OR($J1801="",$K1801=""),"",ROUND(MAX(0,($K1801-$J1801)-IF($H1801="",0,$H1801))/60,2))</f>
        <v/>
      </c>
      <c r="J1801" s="41" t="str">
        <f>IF($F1801="","",IF($F1801&lt;1,ROUND($F1801*1440,0),INT($F1801/100)*60+MOD($F1801,100)))</f>
        <v/>
      </c>
      <c r="K1801" s="41" t="str">
        <f>IF($G1801="","",IF($G1801&lt;1,ROUND($G1801*1440,0),INT($G1801/100)*60+MOD($G1801,100)))</f>
        <v/>
      </c>
    </row>
    <row r="1802" ht="15" customHeight="1" s="26">
      <c r="A1802" s="34" t="n"/>
      <c r="B1802" s="32" t="n"/>
      <c r="C1802" s="33" t="n"/>
      <c r="D1802" s="37" t="str">
        <f>IF($C1802="","",IFERROR(INDEX(프로젝트목록!$B$3:$B$62,MATCH($C1802,프로젝트목록!$A$3:$A$62,0)),"미등록코드"))</f>
        <v/>
      </c>
      <c r="E1802" s="32" t="n"/>
      <c r="F1802" s="38" t="n"/>
      <c r="G1802" s="38" t="n"/>
      <c r="H1802" s="39" t="n"/>
      <c r="I1802" s="40" t="str">
        <f>IF(OR($J1802="",$K1802=""),"",ROUND(MAX(0,($K1802-$J1802)-IF($H1802="",0,$H1802))/60,2))</f>
        <v/>
      </c>
      <c r="J1802" s="41" t="str">
        <f>IF($F1802="","",IF($F1802&lt;1,ROUND($F1802*1440,0),INT($F1802/100)*60+MOD($F1802,100)))</f>
        <v/>
      </c>
      <c r="K1802" s="41" t="str">
        <f>IF($G1802="","",IF($G1802&lt;1,ROUND($G1802*1440,0),INT($G1802/100)*60+MOD($G1802,100)))</f>
        <v/>
      </c>
    </row>
    <row r="1803" ht="15" customHeight="1" s="26">
      <c r="A1803" s="34" t="n"/>
      <c r="B1803" s="32" t="n"/>
      <c r="C1803" s="33" t="n"/>
      <c r="D1803" s="37" t="str">
        <f>IF($C1803="","",IFERROR(INDEX(프로젝트목록!$B$3:$B$62,MATCH($C1803,프로젝트목록!$A$3:$A$62,0)),"미등록코드"))</f>
        <v/>
      </c>
      <c r="E1803" s="32" t="n"/>
      <c r="F1803" s="38" t="n"/>
      <c r="G1803" s="38" t="n"/>
      <c r="H1803" s="39" t="n"/>
      <c r="I1803" s="40" t="str">
        <f>IF(OR($J1803="",$K1803=""),"",ROUND(MAX(0,($K1803-$J1803)-IF($H1803="",0,$H1803))/60,2))</f>
        <v/>
      </c>
      <c r="J1803" s="41" t="str">
        <f>IF($F1803="","",IF($F1803&lt;1,ROUND($F1803*1440,0),INT($F1803/100)*60+MOD($F1803,100)))</f>
        <v/>
      </c>
      <c r="K1803" s="41" t="str">
        <f>IF($G1803="","",IF($G1803&lt;1,ROUND($G1803*1440,0),INT($G1803/100)*60+MOD($G1803,100)))</f>
        <v/>
      </c>
    </row>
    <row r="1804" ht="15" customHeight="1" s="26">
      <c r="A1804" s="34" t="n"/>
      <c r="B1804" s="32" t="n"/>
      <c r="C1804" s="33" t="n"/>
      <c r="D1804" s="37" t="str">
        <f>IF($C1804="","",IFERROR(INDEX(프로젝트목록!$B$3:$B$62,MATCH($C1804,프로젝트목록!$A$3:$A$62,0)),"미등록코드"))</f>
        <v/>
      </c>
      <c r="E1804" s="32" t="n"/>
      <c r="F1804" s="38" t="n"/>
      <c r="G1804" s="38" t="n"/>
      <c r="H1804" s="39" t="n"/>
      <c r="I1804" s="40" t="str">
        <f>IF(OR($J1804="",$K1804=""),"",ROUND(MAX(0,($K1804-$J1804)-IF($H1804="",0,$H1804))/60,2))</f>
        <v/>
      </c>
      <c r="J1804" s="41" t="str">
        <f>IF($F1804="","",IF($F1804&lt;1,ROUND($F1804*1440,0),INT($F1804/100)*60+MOD($F1804,100)))</f>
        <v/>
      </c>
      <c r="K1804" s="41" t="str">
        <f>IF($G1804="","",IF($G1804&lt;1,ROUND($G1804*1440,0),INT($G1804/100)*60+MOD($G1804,100)))</f>
        <v/>
      </c>
    </row>
    <row r="1805" ht="15" customHeight="1" s="26">
      <c r="A1805" s="34" t="n"/>
      <c r="B1805" s="32" t="n"/>
      <c r="C1805" s="33" t="n"/>
      <c r="D1805" s="37" t="str">
        <f>IF($C1805="","",IFERROR(INDEX(프로젝트목록!$B$3:$B$62,MATCH($C1805,프로젝트목록!$A$3:$A$62,0)),"미등록코드"))</f>
        <v/>
      </c>
      <c r="E1805" s="32" t="n"/>
      <c r="F1805" s="38" t="n"/>
      <c r="G1805" s="38" t="n"/>
      <c r="H1805" s="39" t="n"/>
      <c r="I1805" s="40" t="str">
        <f>IF(OR($J1805="",$K1805=""),"",ROUND(MAX(0,($K1805-$J1805)-IF($H1805="",0,$H1805))/60,2))</f>
        <v/>
      </c>
      <c r="J1805" s="41" t="str">
        <f>IF($F1805="","",IF($F1805&lt;1,ROUND($F1805*1440,0),INT($F1805/100)*60+MOD($F1805,100)))</f>
        <v/>
      </c>
      <c r="K1805" s="41" t="str">
        <f>IF($G1805="","",IF($G1805&lt;1,ROUND($G1805*1440,0),INT($G1805/100)*60+MOD($G1805,100)))</f>
        <v/>
      </c>
    </row>
    <row r="1806" ht="15" customHeight="1" s="26">
      <c r="A1806" s="34" t="n"/>
      <c r="B1806" s="32" t="n"/>
      <c r="C1806" s="33" t="n"/>
      <c r="D1806" s="37" t="str">
        <f>IF($C1806="","",IFERROR(INDEX(프로젝트목록!$B$3:$B$62,MATCH($C1806,프로젝트목록!$A$3:$A$62,0)),"미등록코드"))</f>
        <v/>
      </c>
      <c r="E1806" s="32" t="n"/>
      <c r="F1806" s="38" t="n"/>
      <c r="G1806" s="38" t="n"/>
      <c r="H1806" s="39" t="n"/>
      <c r="I1806" s="40" t="str">
        <f>IF(OR($J1806="",$K1806=""),"",ROUND(MAX(0,($K1806-$J1806)-IF($H1806="",0,$H1806))/60,2))</f>
        <v/>
      </c>
      <c r="J1806" s="41" t="str">
        <f>IF($F1806="","",IF($F1806&lt;1,ROUND($F1806*1440,0),INT($F1806/100)*60+MOD($F1806,100)))</f>
        <v/>
      </c>
      <c r="K1806" s="41" t="str">
        <f>IF($G1806="","",IF($G1806&lt;1,ROUND($G1806*1440,0),INT($G1806/100)*60+MOD($G1806,100)))</f>
        <v/>
      </c>
    </row>
    <row r="1807" ht="15" customHeight="1" s="26">
      <c r="A1807" s="34" t="n"/>
      <c r="B1807" s="32" t="n"/>
      <c r="C1807" s="33" t="n"/>
      <c r="D1807" s="37" t="str">
        <f>IF($C1807="","",IFERROR(INDEX(프로젝트목록!$B$3:$B$62,MATCH($C1807,프로젝트목록!$A$3:$A$62,0)),"미등록코드"))</f>
        <v/>
      </c>
      <c r="E1807" s="32" t="n"/>
      <c r="F1807" s="38" t="n"/>
      <c r="G1807" s="38" t="n"/>
      <c r="H1807" s="39" t="n"/>
      <c r="I1807" s="40" t="str">
        <f>IF(OR($J1807="",$K1807=""),"",ROUND(MAX(0,($K1807-$J1807)-IF($H1807="",0,$H1807))/60,2))</f>
        <v/>
      </c>
      <c r="J1807" s="41" t="str">
        <f>IF($F1807="","",IF($F1807&lt;1,ROUND($F1807*1440,0),INT($F1807/100)*60+MOD($F1807,100)))</f>
        <v/>
      </c>
      <c r="K1807" s="41" t="str">
        <f>IF($G1807="","",IF($G1807&lt;1,ROUND($G1807*1440,0),INT($G1807/100)*60+MOD($G1807,100)))</f>
        <v/>
      </c>
    </row>
    <row r="1808" ht="15" customHeight="1" s="26">
      <c r="A1808" s="34" t="n"/>
      <c r="B1808" s="32" t="n"/>
      <c r="C1808" s="33" t="n"/>
      <c r="D1808" s="37" t="str">
        <f>IF($C1808="","",IFERROR(INDEX(프로젝트목록!$B$3:$B$62,MATCH($C1808,프로젝트목록!$A$3:$A$62,0)),"미등록코드"))</f>
        <v/>
      </c>
      <c r="E1808" s="32" t="n"/>
      <c r="F1808" s="38" t="n"/>
      <c r="G1808" s="38" t="n"/>
      <c r="H1808" s="39" t="n"/>
      <c r="I1808" s="40" t="str">
        <f>IF(OR($J1808="",$K1808=""),"",ROUND(MAX(0,($K1808-$J1808)-IF($H1808="",0,$H1808))/60,2))</f>
        <v/>
      </c>
      <c r="J1808" s="41" t="str">
        <f>IF($F1808="","",IF($F1808&lt;1,ROUND($F1808*1440,0),INT($F1808/100)*60+MOD($F1808,100)))</f>
        <v/>
      </c>
      <c r="K1808" s="41" t="str">
        <f>IF($G1808="","",IF($G1808&lt;1,ROUND($G1808*1440,0),INT($G1808/100)*60+MOD($G1808,100)))</f>
        <v/>
      </c>
    </row>
    <row r="1809" ht="15" customHeight="1" s="26">
      <c r="A1809" s="34" t="n"/>
      <c r="B1809" s="32" t="n"/>
      <c r="C1809" s="33" t="n"/>
      <c r="D1809" s="37" t="str">
        <f>IF($C1809="","",IFERROR(INDEX(프로젝트목록!$B$3:$B$62,MATCH($C1809,프로젝트목록!$A$3:$A$62,0)),"미등록코드"))</f>
        <v/>
      </c>
      <c r="E1809" s="32" t="n"/>
      <c r="F1809" s="38" t="n"/>
      <c r="G1809" s="38" t="n"/>
      <c r="H1809" s="39" t="n"/>
      <c r="I1809" s="40" t="str">
        <f>IF(OR($J1809="",$K1809=""),"",ROUND(MAX(0,($K1809-$J1809)-IF($H1809="",0,$H1809))/60,2))</f>
        <v/>
      </c>
      <c r="J1809" s="41" t="str">
        <f>IF($F1809="","",IF($F1809&lt;1,ROUND($F1809*1440,0),INT($F1809/100)*60+MOD($F1809,100)))</f>
        <v/>
      </c>
      <c r="K1809" s="41" t="str">
        <f>IF($G1809="","",IF($G1809&lt;1,ROUND($G1809*1440,0),INT($G1809/100)*60+MOD($G1809,100)))</f>
        <v/>
      </c>
    </row>
    <row r="1810" ht="15" customHeight="1" s="26">
      <c r="A1810" s="34" t="n"/>
      <c r="B1810" s="32" t="n"/>
      <c r="C1810" s="33" t="n"/>
      <c r="D1810" s="37" t="str">
        <f>IF($C1810="","",IFERROR(INDEX(프로젝트목록!$B$3:$B$62,MATCH($C1810,프로젝트목록!$A$3:$A$62,0)),"미등록코드"))</f>
        <v/>
      </c>
      <c r="E1810" s="32" t="n"/>
      <c r="F1810" s="38" t="n"/>
      <c r="G1810" s="38" t="n"/>
      <c r="H1810" s="39" t="n"/>
      <c r="I1810" s="40" t="str">
        <f>IF(OR($J1810="",$K1810=""),"",ROUND(MAX(0,($K1810-$J1810)-IF($H1810="",0,$H1810))/60,2))</f>
        <v/>
      </c>
      <c r="J1810" s="41" t="str">
        <f>IF($F1810="","",IF($F1810&lt;1,ROUND($F1810*1440,0),INT($F1810/100)*60+MOD($F1810,100)))</f>
        <v/>
      </c>
      <c r="K1810" s="41" t="str">
        <f>IF($G1810="","",IF($G1810&lt;1,ROUND($G1810*1440,0),INT($G1810/100)*60+MOD($G1810,100)))</f>
        <v/>
      </c>
    </row>
    <row r="1811" ht="15" customHeight="1" s="26">
      <c r="A1811" s="34" t="n"/>
      <c r="B1811" s="32" t="n"/>
      <c r="C1811" s="33" t="n"/>
      <c r="D1811" s="37" t="str">
        <f>IF($C1811="","",IFERROR(INDEX(프로젝트목록!$B$3:$B$62,MATCH($C1811,프로젝트목록!$A$3:$A$62,0)),"미등록코드"))</f>
        <v/>
      </c>
      <c r="E1811" s="32" t="n"/>
      <c r="F1811" s="38" t="n"/>
      <c r="G1811" s="38" t="n"/>
      <c r="H1811" s="39" t="n"/>
      <c r="I1811" s="40" t="str">
        <f>IF(OR($J1811="",$K1811=""),"",ROUND(MAX(0,($K1811-$J1811)-IF($H1811="",0,$H1811))/60,2))</f>
        <v/>
      </c>
      <c r="J1811" s="41" t="str">
        <f>IF($F1811="","",IF($F1811&lt;1,ROUND($F1811*1440,0),INT($F1811/100)*60+MOD($F1811,100)))</f>
        <v/>
      </c>
      <c r="K1811" s="41" t="str">
        <f>IF($G1811="","",IF($G1811&lt;1,ROUND($G1811*1440,0),INT($G1811/100)*60+MOD($G1811,100)))</f>
        <v/>
      </c>
    </row>
    <row r="1812" ht="15" customHeight="1" s="26">
      <c r="A1812" s="34" t="n"/>
      <c r="B1812" s="32" t="n"/>
      <c r="C1812" s="33" t="n"/>
      <c r="D1812" s="37" t="str">
        <f>IF($C1812="","",IFERROR(INDEX(프로젝트목록!$B$3:$B$62,MATCH($C1812,프로젝트목록!$A$3:$A$62,0)),"미등록코드"))</f>
        <v/>
      </c>
      <c r="E1812" s="32" t="n"/>
      <c r="F1812" s="38" t="n"/>
      <c r="G1812" s="38" t="n"/>
      <c r="H1812" s="39" t="n"/>
      <c r="I1812" s="40" t="str">
        <f>IF(OR($J1812="",$K1812=""),"",ROUND(MAX(0,($K1812-$J1812)-IF($H1812="",0,$H1812))/60,2))</f>
        <v/>
      </c>
      <c r="J1812" s="41" t="str">
        <f>IF($F1812="","",IF($F1812&lt;1,ROUND($F1812*1440,0),INT($F1812/100)*60+MOD($F1812,100)))</f>
        <v/>
      </c>
      <c r="K1812" s="41" t="str">
        <f>IF($G1812="","",IF($G1812&lt;1,ROUND($G1812*1440,0),INT($G1812/100)*60+MOD($G1812,100)))</f>
        <v/>
      </c>
    </row>
    <row r="1813" ht="15" customHeight="1" s="26">
      <c r="A1813" s="34" t="n"/>
      <c r="B1813" s="32" t="n"/>
      <c r="C1813" s="33" t="n"/>
      <c r="D1813" s="37" t="str">
        <f>IF($C1813="","",IFERROR(INDEX(프로젝트목록!$B$3:$B$62,MATCH($C1813,프로젝트목록!$A$3:$A$62,0)),"미등록코드"))</f>
        <v/>
      </c>
      <c r="E1813" s="32" t="n"/>
      <c r="F1813" s="38" t="n"/>
      <c r="G1813" s="38" t="n"/>
      <c r="H1813" s="39" t="n"/>
      <c r="I1813" s="40" t="str">
        <f>IF(OR($J1813="",$K1813=""),"",ROUND(MAX(0,($K1813-$J1813)-IF($H1813="",0,$H1813))/60,2))</f>
        <v/>
      </c>
      <c r="J1813" s="41" t="str">
        <f>IF($F1813="","",IF($F1813&lt;1,ROUND($F1813*1440,0),INT($F1813/100)*60+MOD($F1813,100)))</f>
        <v/>
      </c>
      <c r="K1813" s="41" t="str">
        <f>IF($G1813="","",IF($G1813&lt;1,ROUND($G1813*1440,0),INT($G1813/100)*60+MOD($G1813,100)))</f>
        <v/>
      </c>
    </row>
    <row r="1814" ht="15" customHeight="1" s="26">
      <c r="A1814" s="34" t="n"/>
      <c r="B1814" s="32" t="n"/>
      <c r="C1814" s="33" t="n"/>
      <c r="D1814" s="37" t="str">
        <f>IF($C1814="","",IFERROR(INDEX(프로젝트목록!$B$3:$B$62,MATCH($C1814,프로젝트목록!$A$3:$A$62,0)),"미등록코드"))</f>
        <v/>
      </c>
      <c r="E1814" s="32" t="n"/>
      <c r="F1814" s="38" t="n"/>
      <c r="G1814" s="38" t="n"/>
      <c r="H1814" s="39" t="n"/>
      <c r="I1814" s="40" t="str">
        <f>IF(OR($J1814="",$K1814=""),"",ROUND(MAX(0,($K1814-$J1814)-IF($H1814="",0,$H1814))/60,2))</f>
        <v/>
      </c>
      <c r="J1814" s="41" t="str">
        <f>IF($F1814="","",IF($F1814&lt;1,ROUND($F1814*1440,0),INT($F1814/100)*60+MOD($F1814,100)))</f>
        <v/>
      </c>
      <c r="K1814" s="41" t="str">
        <f>IF($G1814="","",IF($G1814&lt;1,ROUND($G1814*1440,0),INT($G1814/100)*60+MOD($G1814,100)))</f>
        <v/>
      </c>
    </row>
    <row r="1815" ht="15" customHeight="1" s="26">
      <c r="A1815" s="34" t="n"/>
      <c r="B1815" s="32" t="n"/>
      <c r="C1815" s="33" t="n"/>
      <c r="D1815" s="37" t="str">
        <f>IF($C1815="","",IFERROR(INDEX(프로젝트목록!$B$3:$B$62,MATCH($C1815,프로젝트목록!$A$3:$A$62,0)),"미등록코드"))</f>
        <v/>
      </c>
      <c r="E1815" s="32" t="n"/>
      <c r="F1815" s="38" t="n"/>
      <c r="G1815" s="38" t="n"/>
      <c r="H1815" s="39" t="n"/>
      <c r="I1815" s="40" t="str">
        <f>IF(OR($J1815="",$K1815=""),"",ROUND(MAX(0,($K1815-$J1815)-IF($H1815="",0,$H1815))/60,2))</f>
        <v/>
      </c>
      <c r="J1815" s="41" t="str">
        <f>IF($F1815="","",IF($F1815&lt;1,ROUND($F1815*1440,0),INT($F1815/100)*60+MOD($F1815,100)))</f>
        <v/>
      </c>
      <c r="K1815" s="41" t="str">
        <f>IF($G1815="","",IF($G1815&lt;1,ROUND($G1815*1440,0),INT($G1815/100)*60+MOD($G1815,100)))</f>
        <v/>
      </c>
    </row>
    <row r="1816" ht="15" customHeight="1" s="26">
      <c r="A1816" s="34" t="n"/>
      <c r="B1816" s="32" t="n"/>
      <c r="C1816" s="33" t="n"/>
      <c r="D1816" s="37" t="str">
        <f>IF($C1816="","",IFERROR(INDEX(프로젝트목록!$B$3:$B$62,MATCH($C1816,프로젝트목록!$A$3:$A$62,0)),"미등록코드"))</f>
        <v/>
      </c>
      <c r="E1816" s="32" t="n"/>
      <c r="F1816" s="38" t="n"/>
      <c r="G1816" s="38" t="n"/>
      <c r="H1816" s="39" t="n"/>
      <c r="I1816" s="40" t="str">
        <f>IF(OR($J1816="",$K1816=""),"",ROUND(MAX(0,($K1816-$J1816)-IF($H1816="",0,$H1816))/60,2))</f>
        <v/>
      </c>
      <c r="J1816" s="41" t="str">
        <f>IF($F1816="","",IF($F1816&lt;1,ROUND($F1816*1440,0),INT($F1816/100)*60+MOD($F1816,100)))</f>
        <v/>
      </c>
      <c r="K1816" s="41" t="str">
        <f>IF($G1816="","",IF($G1816&lt;1,ROUND($G1816*1440,0),INT($G1816/100)*60+MOD($G1816,100)))</f>
        <v/>
      </c>
    </row>
    <row r="1817" ht="15" customHeight="1" s="26">
      <c r="A1817" s="34" t="n"/>
      <c r="B1817" s="32" t="n"/>
      <c r="C1817" s="33" t="n"/>
      <c r="D1817" s="37" t="str">
        <f>IF($C1817="","",IFERROR(INDEX(프로젝트목록!$B$3:$B$62,MATCH($C1817,프로젝트목록!$A$3:$A$62,0)),"미등록코드"))</f>
        <v/>
      </c>
      <c r="E1817" s="32" t="n"/>
      <c r="F1817" s="38" t="n"/>
      <c r="G1817" s="38" t="n"/>
      <c r="H1817" s="39" t="n"/>
      <c r="I1817" s="40" t="str">
        <f>IF(OR($J1817="",$K1817=""),"",ROUND(MAX(0,($K1817-$J1817)-IF($H1817="",0,$H1817))/60,2))</f>
        <v/>
      </c>
      <c r="J1817" s="41" t="str">
        <f>IF($F1817="","",IF($F1817&lt;1,ROUND($F1817*1440,0),INT($F1817/100)*60+MOD($F1817,100)))</f>
        <v/>
      </c>
      <c r="K1817" s="41" t="str">
        <f>IF($G1817="","",IF($G1817&lt;1,ROUND($G1817*1440,0),INT($G1817/100)*60+MOD($G1817,100)))</f>
        <v/>
      </c>
    </row>
    <row r="1818" ht="15" customHeight="1" s="26">
      <c r="A1818" s="34" t="n"/>
      <c r="B1818" s="32" t="n"/>
      <c r="C1818" s="33" t="n"/>
      <c r="D1818" s="37" t="str">
        <f>IF($C1818="","",IFERROR(INDEX(프로젝트목록!$B$3:$B$62,MATCH($C1818,프로젝트목록!$A$3:$A$62,0)),"미등록코드"))</f>
        <v/>
      </c>
      <c r="E1818" s="32" t="n"/>
      <c r="F1818" s="38" t="n"/>
      <c r="G1818" s="38" t="n"/>
      <c r="H1818" s="39" t="n"/>
      <c r="I1818" s="40" t="str">
        <f>IF(OR($J1818="",$K1818=""),"",ROUND(MAX(0,($K1818-$J1818)-IF($H1818="",0,$H1818))/60,2))</f>
        <v/>
      </c>
      <c r="J1818" s="41" t="str">
        <f>IF($F1818="","",IF($F1818&lt;1,ROUND($F1818*1440,0),INT($F1818/100)*60+MOD($F1818,100)))</f>
        <v/>
      </c>
      <c r="K1818" s="41" t="str">
        <f>IF($G1818="","",IF($G1818&lt;1,ROUND($G1818*1440,0),INT($G1818/100)*60+MOD($G1818,100)))</f>
        <v/>
      </c>
    </row>
    <row r="1819" ht="15" customHeight="1" s="26">
      <c r="A1819" s="34" t="n"/>
      <c r="B1819" s="32" t="n"/>
      <c r="C1819" s="33" t="n"/>
      <c r="D1819" s="37" t="str">
        <f>IF($C1819="","",IFERROR(INDEX(프로젝트목록!$B$3:$B$62,MATCH($C1819,프로젝트목록!$A$3:$A$62,0)),"미등록코드"))</f>
        <v/>
      </c>
      <c r="E1819" s="32" t="n"/>
      <c r="F1819" s="38" t="n"/>
      <c r="G1819" s="38" t="n"/>
      <c r="H1819" s="39" t="n"/>
      <c r="I1819" s="40" t="str">
        <f>IF(OR($J1819="",$K1819=""),"",ROUND(MAX(0,($K1819-$J1819)-IF($H1819="",0,$H1819))/60,2))</f>
        <v/>
      </c>
      <c r="J1819" s="41" t="str">
        <f>IF($F1819="","",IF($F1819&lt;1,ROUND($F1819*1440,0),INT($F1819/100)*60+MOD($F1819,100)))</f>
        <v/>
      </c>
      <c r="K1819" s="41" t="str">
        <f>IF($G1819="","",IF($G1819&lt;1,ROUND($G1819*1440,0),INT($G1819/100)*60+MOD($G1819,100)))</f>
        <v/>
      </c>
    </row>
    <row r="1820" ht="15" customHeight="1" s="26">
      <c r="A1820" s="34" t="n"/>
      <c r="B1820" s="32" t="n"/>
      <c r="C1820" s="33" t="n"/>
      <c r="D1820" s="37" t="str">
        <f>IF($C1820="","",IFERROR(INDEX(프로젝트목록!$B$3:$B$62,MATCH($C1820,프로젝트목록!$A$3:$A$62,0)),"미등록코드"))</f>
        <v/>
      </c>
      <c r="E1820" s="32" t="n"/>
      <c r="F1820" s="38" t="n"/>
      <c r="G1820" s="38" t="n"/>
      <c r="H1820" s="39" t="n"/>
      <c r="I1820" s="40" t="str">
        <f>IF(OR($J1820="",$K1820=""),"",ROUND(MAX(0,($K1820-$J1820)-IF($H1820="",0,$H1820))/60,2))</f>
        <v/>
      </c>
      <c r="J1820" s="41" t="str">
        <f>IF($F1820="","",IF($F1820&lt;1,ROUND($F1820*1440,0),INT($F1820/100)*60+MOD($F1820,100)))</f>
        <v/>
      </c>
      <c r="K1820" s="41" t="str">
        <f>IF($G1820="","",IF($G1820&lt;1,ROUND($G1820*1440,0),INT($G1820/100)*60+MOD($G1820,100)))</f>
        <v/>
      </c>
    </row>
    <row r="1821" ht="15" customHeight="1" s="26">
      <c r="A1821" s="34" t="n"/>
      <c r="B1821" s="32" t="n"/>
      <c r="C1821" s="33" t="n"/>
      <c r="D1821" s="37" t="str">
        <f>IF($C1821="","",IFERROR(INDEX(프로젝트목록!$B$3:$B$62,MATCH($C1821,프로젝트목록!$A$3:$A$62,0)),"미등록코드"))</f>
        <v/>
      </c>
      <c r="E1821" s="32" t="n"/>
      <c r="F1821" s="38" t="n"/>
      <c r="G1821" s="38" t="n"/>
      <c r="H1821" s="39" t="n"/>
      <c r="I1821" s="40" t="str">
        <f>IF(OR($J1821="",$K1821=""),"",ROUND(MAX(0,($K1821-$J1821)-IF($H1821="",0,$H1821))/60,2))</f>
        <v/>
      </c>
      <c r="J1821" s="41" t="str">
        <f>IF($F1821="","",IF($F1821&lt;1,ROUND($F1821*1440,0),INT($F1821/100)*60+MOD($F1821,100)))</f>
        <v/>
      </c>
      <c r="K1821" s="41" t="str">
        <f>IF($G1821="","",IF($G1821&lt;1,ROUND($G1821*1440,0),INT($G1821/100)*60+MOD($G1821,100)))</f>
        <v/>
      </c>
    </row>
    <row r="1822" ht="15" customHeight="1" s="26">
      <c r="A1822" s="34" t="n"/>
      <c r="B1822" s="32" t="n"/>
      <c r="C1822" s="33" t="n"/>
      <c r="D1822" s="37" t="str">
        <f>IF($C1822="","",IFERROR(INDEX(프로젝트목록!$B$3:$B$62,MATCH($C1822,프로젝트목록!$A$3:$A$62,0)),"미등록코드"))</f>
        <v/>
      </c>
      <c r="E1822" s="32" t="n"/>
      <c r="F1822" s="38" t="n"/>
      <c r="G1822" s="38" t="n"/>
      <c r="H1822" s="39" t="n"/>
      <c r="I1822" s="40" t="str">
        <f>IF(OR($J1822="",$K1822=""),"",ROUND(MAX(0,($K1822-$J1822)-IF($H1822="",0,$H1822))/60,2))</f>
        <v/>
      </c>
      <c r="J1822" s="41" t="str">
        <f>IF($F1822="","",IF($F1822&lt;1,ROUND($F1822*1440,0),INT($F1822/100)*60+MOD($F1822,100)))</f>
        <v/>
      </c>
      <c r="K1822" s="41" t="str">
        <f>IF($G1822="","",IF($G1822&lt;1,ROUND($G1822*1440,0),INT($G1822/100)*60+MOD($G1822,100)))</f>
        <v/>
      </c>
    </row>
    <row r="1823" ht="15" customHeight="1" s="26">
      <c r="A1823" s="34" t="n"/>
      <c r="B1823" s="32" t="n"/>
      <c r="C1823" s="33" t="n"/>
      <c r="D1823" s="37" t="str">
        <f>IF($C1823="","",IFERROR(INDEX(프로젝트목록!$B$3:$B$62,MATCH($C1823,프로젝트목록!$A$3:$A$62,0)),"미등록코드"))</f>
        <v/>
      </c>
      <c r="E1823" s="32" t="n"/>
      <c r="F1823" s="38" t="n"/>
      <c r="G1823" s="38" t="n"/>
      <c r="H1823" s="39" t="n"/>
      <c r="I1823" s="40" t="str">
        <f>IF(OR($J1823="",$K1823=""),"",ROUND(MAX(0,($K1823-$J1823)-IF($H1823="",0,$H1823))/60,2))</f>
        <v/>
      </c>
      <c r="J1823" s="41" t="str">
        <f>IF($F1823="","",IF($F1823&lt;1,ROUND($F1823*1440,0),INT($F1823/100)*60+MOD($F1823,100)))</f>
        <v/>
      </c>
      <c r="K1823" s="41" t="str">
        <f>IF($G1823="","",IF($G1823&lt;1,ROUND($G1823*1440,0),INT($G1823/100)*60+MOD($G1823,100)))</f>
        <v/>
      </c>
    </row>
    <row r="1824" ht="15" customHeight="1" s="26">
      <c r="A1824" s="34" t="n"/>
      <c r="B1824" s="32" t="n"/>
      <c r="C1824" s="33" t="n"/>
      <c r="D1824" s="37" t="str">
        <f>IF($C1824="","",IFERROR(INDEX(프로젝트목록!$B$3:$B$62,MATCH($C1824,프로젝트목록!$A$3:$A$62,0)),"미등록코드"))</f>
        <v/>
      </c>
      <c r="E1824" s="32" t="n"/>
      <c r="F1824" s="38" t="n"/>
      <c r="G1824" s="38" t="n"/>
      <c r="H1824" s="39" t="n"/>
      <c r="I1824" s="40" t="str">
        <f>IF(OR($J1824="",$K1824=""),"",ROUND(MAX(0,($K1824-$J1824)-IF($H1824="",0,$H1824))/60,2))</f>
        <v/>
      </c>
      <c r="J1824" s="41" t="str">
        <f>IF($F1824="","",IF($F1824&lt;1,ROUND($F1824*1440,0),INT($F1824/100)*60+MOD($F1824,100)))</f>
        <v/>
      </c>
      <c r="K1824" s="41" t="str">
        <f>IF($G1824="","",IF($G1824&lt;1,ROUND($G1824*1440,0),INT($G1824/100)*60+MOD($G1824,100)))</f>
        <v/>
      </c>
    </row>
    <row r="1825" ht="15" customHeight="1" s="26">
      <c r="A1825" s="34" t="n"/>
      <c r="B1825" s="32" t="n"/>
      <c r="C1825" s="33" t="n"/>
      <c r="D1825" s="37" t="str">
        <f>IF($C1825="","",IFERROR(INDEX(프로젝트목록!$B$3:$B$62,MATCH($C1825,프로젝트목록!$A$3:$A$62,0)),"미등록코드"))</f>
        <v/>
      </c>
      <c r="E1825" s="32" t="n"/>
      <c r="F1825" s="38" t="n"/>
      <c r="G1825" s="38" t="n"/>
      <c r="H1825" s="39" t="n"/>
      <c r="I1825" s="40" t="str">
        <f>IF(OR($J1825="",$K1825=""),"",ROUND(MAX(0,($K1825-$J1825)-IF($H1825="",0,$H1825))/60,2))</f>
        <v/>
      </c>
      <c r="J1825" s="41" t="str">
        <f>IF($F1825="","",IF($F1825&lt;1,ROUND($F1825*1440,0),INT($F1825/100)*60+MOD($F1825,100)))</f>
        <v/>
      </c>
      <c r="K1825" s="41" t="str">
        <f>IF($G1825="","",IF($G1825&lt;1,ROUND($G1825*1440,0),INT($G1825/100)*60+MOD($G1825,100)))</f>
        <v/>
      </c>
    </row>
    <row r="1826" ht="15" customHeight="1" s="26">
      <c r="A1826" s="34" t="n"/>
      <c r="B1826" s="32" t="n"/>
      <c r="C1826" s="33" t="n"/>
      <c r="D1826" s="37" t="str">
        <f>IF($C1826="","",IFERROR(INDEX(프로젝트목록!$B$3:$B$62,MATCH($C1826,프로젝트목록!$A$3:$A$62,0)),"미등록코드"))</f>
        <v/>
      </c>
      <c r="E1826" s="32" t="n"/>
      <c r="F1826" s="38" t="n"/>
      <c r="G1826" s="38" t="n"/>
      <c r="H1826" s="39" t="n"/>
      <c r="I1826" s="40" t="str">
        <f>IF(OR($J1826="",$K1826=""),"",ROUND(MAX(0,($K1826-$J1826)-IF($H1826="",0,$H1826))/60,2))</f>
        <v/>
      </c>
      <c r="J1826" s="41" t="str">
        <f>IF($F1826="","",IF($F1826&lt;1,ROUND($F1826*1440,0),INT($F1826/100)*60+MOD($F1826,100)))</f>
        <v/>
      </c>
      <c r="K1826" s="41" t="str">
        <f>IF($G1826="","",IF($G1826&lt;1,ROUND($G1826*1440,0),INT($G1826/100)*60+MOD($G1826,100)))</f>
        <v/>
      </c>
    </row>
    <row r="1827" ht="15" customHeight="1" s="26">
      <c r="A1827" s="34" t="n"/>
      <c r="B1827" s="32" t="n"/>
      <c r="C1827" s="33" t="n"/>
      <c r="D1827" s="37" t="str">
        <f>IF($C1827="","",IFERROR(INDEX(프로젝트목록!$B$3:$B$62,MATCH($C1827,프로젝트목록!$A$3:$A$62,0)),"미등록코드"))</f>
        <v/>
      </c>
      <c r="E1827" s="32" t="n"/>
      <c r="F1827" s="38" t="n"/>
      <c r="G1827" s="38" t="n"/>
      <c r="H1827" s="39" t="n"/>
      <c r="I1827" s="40" t="str">
        <f>IF(OR($J1827="",$K1827=""),"",ROUND(MAX(0,($K1827-$J1827)-IF($H1827="",0,$H1827))/60,2))</f>
        <v/>
      </c>
      <c r="J1827" s="41" t="str">
        <f>IF($F1827="","",IF($F1827&lt;1,ROUND($F1827*1440,0),INT($F1827/100)*60+MOD($F1827,100)))</f>
        <v/>
      </c>
      <c r="K1827" s="41" t="str">
        <f>IF($G1827="","",IF($G1827&lt;1,ROUND($G1827*1440,0),INT($G1827/100)*60+MOD($G1827,100)))</f>
        <v/>
      </c>
    </row>
    <row r="1828" ht="15" customHeight="1" s="26">
      <c r="A1828" s="34" t="n"/>
      <c r="B1828" s="32" t="n"/>
      <c r="C1828" s="33" t="n"/>
      <c r="D1828" s="37" t="str">
        <f>IF($C1828="","",IFERROR(INDEX(프로젝트목록!$B$3:$B$62,MATCH($C1828,프로젝트목록!$A$3:$A$62,0)),"미등록코드"))</f>
        <v/>
      </c>
      <c r="E1828" s="32" t="n"/>
      <c r="F1828" s="38" t="n"/>
      <c r="G1828" s="38" t="n"/>
      <c r="H1828" s="39" t="n"/>
      <c r="I1828" s="40" t="str">
        <f>IF(OR($J1828="",$K1828=""),"",ROUND(MAX(0,($K1828-$J1828)-IF($H1828="",0,$H1828))/60,2))</f>
        <v/>
      </c>
      <c r="J1828" s="41" t="str">
        <f>IF($F1828="","",IF($F1828&lt;1,ROUND($F1828*1440,0),INT($F1828/100)*60+MOD($F1828,100)))</f>
        <v/>
      </c>
      <c r="K1828" s="41" t="str">
        <f>IF($G1828="","",IF($G1828&lt;1,ROUND($G1828*1440,0),INT($G1828/100)*60+MOD($G1828,100)))</f>
        <v/>
      </c>
    </row>
    <row r="1829" ht="15" customHeight="1" s="26">
      <c r="A1829" s="34" t="n"/>
      <c r="B1829" s="32" t="n"/>
      <c r="C1829" s="33" t="n"/>
      <c r="D1829" s="37" t="str">
        <f>IF($C1829="","",IFERROR(INDEX(프로젝트목록!$B$3:$B$62,MATCH($C1829,프로젝트목록!$A$3:$A$62,0)),"미등록코드"))</f>
        <v/>
      </c>
      <c r="E1829" s="32" t="n"/>
      <c r="F1829" s="38" t="n"/>
      <c r="G1829" s="38" t="n"/>
      <c r="H1829" s="39" t="n"/>
      <c r="I1829" s="40" t="str">
        <f>IF(OR($J1829="",$K1829=""),"",ROUND(MAX(0,($K1829-$J1829)-IF($H1829="",0,$H1829))/60,2))</f>
        <v/>
      </c>
      <c r="J1829" s="41" t="str">
        <f>IF($F1829="","",IF($F1829&lt;1,ROUND($F1829*1440,0),INT($F1829/100)*60+MOD($F1829,100)))</f>
        <v/>
      </c>
      <c r="K1829" s="41" t="str">
        <f>IF($G1829="","",IF($G1829&lt;1,ROUND($G1829*1440,0),INT($G1829/100)*60+MOD($G1829,100)))</f>
        <v/>
      </c>
    </row>
    <row r="1830" ht="15" customHeight="1" s="26">
      <c r="A1830" s="34" t="n"/>
      <c r="B1830" s="32" t="n"/>
      <c r="C1830" s="33" t="n"/>
      <c r="D1830" s="37" t="str">
        <f>IF($C1830="","",IFERROR(INDEX(프로젝트목록!$B$3:$B$62,MATCH($C1830,프로젝트목록!$A$3:$A$62,0)),"미등록코드"))</f>
        <v/>
      </c>
      <c r="E1830" s="32" t="n"/>
      <c r="F1830" s="38" t="n"/>
      <c r="G1830" s="38" t="n"/>
      <c r="H1830" s="39" t="n"/>
      <c r="I1830" s="40" t="str">
        <f>IF(OR($J1830="",$K1830=""),"",ROUND(MAX(0,($K1830-$J1830)-IF($H1830="",0,$H1830))/60,2))</f>
        <v/>
      </c>
      <c r="J1830" s="41" t="str">
        <f>IF($F1830="","",IF($F1830&lt;1,ROUND($F1830*1440,0),INT($F1830/100)*60+MOD($F1830,100)))</f>
        <v/>
      </c>
      <c r="K1830" s="41" t="str">
        <f>IF($G1830="","",IF($G1830&lt;1,ROUND($G1830*1440,0),INT($G1830/100)*60+MOD($G1830,100)))</f>
        <v/>
      </c>
    </row>
    <row r="1831" ht="15" customHeight="1" s="26">
      <c r="A1831" s="34" t="n"/>
      <c r="B1831" s="32" t="n"/>
      <c r="C1831" s="33" t="n"/>
      <c r="D1831" s="37" t="str">
        <f>IF($C1831="","",IFERROR(INDEX(프로젝트목록!$B$3:$B$62,MATCH($C1831,프로젝트목록!$A$3:$A$62,0)),"미등록코드"))</f>
        <v/>
      </c>
      <c r="E1831" s="32" t="n"/>
      <c r="F1831" s="38" t="n"/>
      <c r="G1831" s="38" t="n"/>
      <c r="H1831" s="39" t="n"/>
      <c r="I1831" s="40" t="str">
        <f>IF(OR($J1831="",$K1831=""),"",ROUND(MAX(0,($K1831-$J1831)-IF($H1831="",0,$H1831))/60,2))</f>
        <v/>
      </c>
      <c r="J1831" s="41" t="str">
        <f>IF($F1831="","",IF($F1831&lt;1,ROUND($F1831*1440,0),INT($F1831/100)*60+MOD($F1831,100)))</f>
        <v/>
      </c>
      <c r="K1831" s="41" t="str">
        <f>IF($G1831="","",IF($G1831&lt;1,ROUND($G1831*1440,0),INT($G1831/100)*60+MOD($G1831,100)))</f>
        <v/>
      </c>
    </row>
    <row r="1832" ht="15" customHeight="1" s="26">
      <c r="A1832" s="34" t="n"/>
      <c r="B1832" s="32" t="n"/>
      <c r="C1832" s="33" t="n"/>
      <c r="D1832" s="37" t="str">
        <f>IF($C1832="","",IFERROR(INDEX(프로젝트목록!$B$3:$B$62,MATCH($C1832,프로젝트목록!$A$3:$A$62,0)),"미등록코드"))</f>
        <v/>
      </c>
      <c r="E1832" s="32" t="n"/>
      <c r="F1832" s="38" t="n"/>
      <c r="G1832" s="38" t="n"/>
      <c r="H1832" s="39" t="n"/>
      <c r="I1832" s="40" t="str">
        <f>IF(OR($J1832="",$K1832=""),"",ROUND(MAX(0,($K1832-$J1832)-IF($H1832="",0,$H1832))/60,2))</f>
        <v/>
      </c>
      <c r="J1832" s="41" t="str">
        <f>IF($F1832="","",IF($F1832&lt;1,ROUND($F1832*1440,0),INT($F1832/100)*60+MOD($F1832,100)))</f>
        <v/>
      </c>
      <c r="K1832" s="41" t="str">
        <f>IF($G1832="","",IF($G1832&lt;1,ROUND($G1832*1440,0),INT($G1832/100)*60+MOD($G1832,100)))</f>
        <v/>
      </c>
    </row>
    <row r="1833" ht="15" customHeight="1" s="26">
      <c r="A1833" s="34" t="n"/>
      <c r="B1833" s="32" t="n"/>
      <c r="C1833" s="33" t="n"/>
      <c r="D1833" s="37" t="str">
        <f>IF($C1833="","",IFERROR(INDEX(프로젝트목록!$B$3:$B$62,MATCH($C1833,프로젝트목록!$A$3:$A$62,0)),"미등록코드"))</f>
        <v/>
      </c>
      <c r="E1833" s="32" t="n"/>
      <c r="F1833" s="38" t="n"/>
      <c r="G1833" s="38" t="n"/>
      <c r="H1833" s="39" t="n"/>
      <c r="I1833" s="40" t="str">
        <f>IF(OR($J1833="",$K1833=""),"",ROUND(MAX(0,($K1833-$J1833)-IF($H1833="",0,$H1833))/60,2))</f>
        <v/>
      </c>
      <c r="J1833" s="41" t="str">
        <f>IF($F1833="","",IF($F1833&lt;1,ROUND($F1833*1440,0),INT($F1833/100)*60+MOD($F1833,100)))</f>
        <v/>
      </c>
      <c r="K1833" s="41" t="str">
        <f>IF($G1833="","",IF($G1833&lt;1,ROUND($G1833*1440,0),INT($G1833/100)*60+MOD($G1833,100)))</f>
        <v/>
      </c>
    </row>
    <row r="1834" ht="15" customHeight="1" s="26">
      <c r="A1834" s="34" t="n"/>
      <c r="B1834" s="32" t="n"/>
      <c r="C1834" s="33" t="n"/>
      <c r="D1834" s="37" t="str">
        <f>IF($C1834="","",IFERROR(INDEX(프로젝트목록!$B$3:$B$62,MATCH($C1834,프로젝트목록!$A$3:$A$62,0)),"미등록코드"))</f>
        <v/>
      </c>
      <c r="E1834" s="32" t="n"/>
      <c r="F1834" s="38" t="n"/>
      <c r="G1834" s="38" t="n"/>
      <c r="H1834" s="39" t="n"/>
      <c r="I1834" s="40" t="str">
        <f>IF(OR($J1834="",$K1834=""),"",ROUND(MAX(0,($K1834-$J1834)-IF($H1834="",0,$H1834))/60,2))</f>
        <v/>
      </c>
      <c r="J1834" s="41" t="str">
        <f>IF($F1834="","",IF($F1834&lt;1,ROUND($F1834*1440,0),INT($F1834/100)*60+MOD($F1834,100)))</f>
        <v/>
      </c>
      <c r="K1834" s="41" t="str">
        <f>IF($G1834="","",IF($G1834&lt;1,ROUND($G1834*1440,0),INT($G1834/100)*60+MOD($G1834,100)))</f>
        <v/>
      </c>
    </row>
    <row r="1835" ht="15" customHeight="1" s="26">
      <c r="A1835" s="34" t="n"/>
      <c r="B1835" s="32" t="n"/>
      <c r="C1835" s="33" t="n"/>
      <c r="D1835" s="37" t="str">
        <f>IF($C1835="","",IFERROR(INDEX(프로젝트목록!$B$3:$B$62,MATCH($C1835,프로젝트목록!$A$3:$A$62,0)),"미등록코드"))</f>
        <v/>
      </c>
      <c r="E1835" s="32" t="n"/>
      <c r="F1835" s="38" t="n"/>
      <c r="G1835" s="38" t="n"/>
      <c r="H1835" s="39" t="n"/>
      <c r="I1835" s="40" t="str">
        <f>IF(OR($J1835="",$K1835=""),"",ROUND(MAX(0,($K1835-$J1835)-IF($H1835="",0,$H1835))/60,2))</f>
        <v/>
      </c>
      <c r="J1835" s="41" t="str">
        <f>IF($F1835="","",IF($F1835&lt;1,ROUND($F1835*1440,0),INT($F1835/100)*60+MOD($F1835,100)))</f>
        <v/>
      </c>
      <c r="K1835" s="41" t="str">
        <f>IF($G1835="","",IF($G1835&lt;1,ROUND($G1835*1440,0),INT($G1835/100)*60+MOD($G1835,100)))</f>
        <v/>
      </c>
    </row>
    <row r="1836" ht="15" customHeight="1" s="26">
      <c r="A1836" s="34" t="n"/>
      <c r="B1836" s="32" t="n"/>
      <c r="C1836" s="33" t="n"/>
      <c r="D1836" s="37" t="str">
        <f>IF($C1836="","",IFERROR(INDEX(프로젝트목록!$B$3:$B$62,MATCH($C1836,프로젝트목록!$A$3:$A$62,0)),"미등록코드"))</f>
        <v/>
      </c>
      <c r="E1836" s="32" t="n"/>
      <c r="F1836" s="38" t="n"/>
      <c r="G1836" s="38" t="n"/>
      <c r="H1836" s="39" t="n"/>
      <c r="I1836" s="40" t="str">
        <f>IF(OR($J1836="",$K1836=""),"",ROUND(MAX(0,($K1836-$J1836)-IF($H1836="",0,$H1836))/60,2))</f>
        <v/>
      </c>
      <c r="J1836" s="41" t="str">
        <f>IF($F1836="","",IF($F1836&lt;1,ROUND($F1836*1440,0),INT($F1836/100)*60+MOD($F1836,100)))</f>
        <v/>
      </c>
      <c r="K1836" s="41" t="str">
        <f>IF($G1836="","",IF($G1836&lt;1,ROUND($G1836*1440,0),INT($G1836/100)*60+MOD($G1836,100)))</f>
        <v/>
      </c>
    </row>
    <row r="1837" ht="15" customHeight="1" s="26">
      <c r="A1837" s="34" t="n"/>
      <c r="B1837" s="32" t="n"/>
      <c r="C1837" s="33" t="n"/>
      <c r="D1837" s="37" t="str">
        <f>IF($C1837="","",IFERROR(INDEX(프로젝트목록!$B$3:$B$62,MATCH($C1837,프로젝트목록!$A$3:$A$62,0)),"미등록코드"))</f>
        <v/>
      </c>
      <c r="E1837" s="32" t="n"/>
      <c r="F1837" s="38" t="n"/>
      <c r="G1837" s="38" t="n"/>
      <c r="H1837" s="39" t="n"/>
      <c r="I1837" s="40" t="str">
        <f>IF(OR($J1837="",$K1837=""),"",ROUND(MAX(0,($K1837-$J1837)-IF($H1837="",0,$H1837))/60,2))</f>
        <v/>
      </c>
      <c r="J1837" s="41" t="str">
        <f>IF($F1837="","",IF($F1837&lt;1,ROUND($F1837*1440,0),INT($F1837/100)*60+MOD($F1837,100)))</f>
        <v/>
      </c>
      <c r="K1837" s="41" t="str">
        <f>IF($G1837="","",IF($G1837&lt;1,ROUND($G1837*1440,0),INT($G1837/100)*60+MOD($G1837,100)))</f>
        <v/>
      </c>
    </row>
    <row r="1838" ht="15" customHeight="1" s="26">
      <c r="A1838" s="34" t="n"/>
      <c r="B1838" s="32" t="n"/>
      <c r="C1838" s="33" t="n"/>
      <c r="D1838" s="37" t="str">
        <f>IF($C1838="","",IFERROR(INDEX(프로젝트목록!$B$3:$B$62,MATCH($C1838,프로젝트목록!$A$3:$A$62,0)),"미등록코드"))</f>
        <v/>
      </c>
      <c r="E1838" s="32" t="n"/>
      <c r="F1838" s="38" t="n"/>
      <c r="G1838" s="38" t="n"/>
      <c r="H1838" s="39" t="n"/>
      <c r="I1838" s="40" t="str">
        <f>IF(OR($J1838="",$K1838=""),"",ROUND(MAX(0,($K1838-$J1838)-IF($H1838="",0,$H1838))/60,2))</f>
        <v/>
      </c>
      <c r="J1838" s="41" t="str">
        <f>IF($F1838="","",IF($F1838&lt;1,ROUND($F1838*1440,0),INT($F1838/100)*60+MOD($F1838,100)))</f>
        <v/>
      </c>
      <c r="K1838" s="41" t="str">
        <f>IF($G1838="","",IF($G1838&lt;1,ROUND($G1838*1440,0),INT($G1838/100)*60+MOD($G1838,100)))</f>
        <v/>
      </c>
    </row>
    <row r="1839" ht="15" customHeight="1" s="26">
      <c r="A1839" s="34" t="n"/>
      <c r="B1839" s="32" t="n"/>
      <c r="C1839" s="33" t="n"/>
      <c r="D1839" s="37" t="str">
        <f>IF($C1839="","",IFERROR(INDEX(프로젝트목록!$B$3:$B$62,MATCH($C1839,프로젝트목록!$A$3:$A$62,0)),"미등록코드"))</f>
        <v/>
      </c>
      <c r="E1839" s="32" t="n"/>
      <c r="F1839" s="38" t="n"/>
      <c r="G1839" s="38" t="n"/>
      <c r="H1839" s="39" t="n"/>
      <c r="I1839" s="40" t="str">
        <f>IF(OR($J1839="",$K1839=""),"",ROUND(MAX(0,($K1839-$J1839)-IF($H1839="",0,$H1839))/60,2))</f>
        <v/>
      </c>
      <c r="J1839" s="41" t="str">
        <f>IF($F1839="","",IF($F1839&lt;1,ROUND($F1839*1440,0),INT($F1839/100)*60+MOD($F1839,100)))</f>
        <v/>
      </c>
      <c r="K1839" s="41" t="str">
        <f>IF($G1839="","",IF($G1839&lt;1,ROUND($G1839*1440,0),INT($G1839/100)*60+MOD($G1839,100)))</f>
        <v/>
      </c>
    </row>
    <row r="1840" ht="15" customHeight="1" s="26">
      <c r="A1840" s="34" t="n"/>
      <c r="B1840" s="32" t="n"/>
      <c r="C1840" s="33" t="n"/>
      <c r="D1840" s="37" t="str">
        <f>IF($C1840="","",IFERROR(INDEX(프로젝트목록!$B$3:$B$62,MATCH($C1840,프로젝트목록!$A$3:$A$62,0)),"미등록코드"))</f>
        <v/>
      </c>
      <c r="E1840" s="32" t="n"/>
      <c r="F1840" s="38" t="n"/>
      <c r="G1840" s="38" t="n"/>
      <c r="H1840" s="39" t="n"/>
      <c r="I1840" s="40" t="str">
        <f>IF(OR($J1840="",$K1840=""),"",ROUND(MAX(0,($K1840-$J1840)-IF($H1840="",0,$H1840))/60,2))</f>
        <v/>
      </c>
      <c r="J1840" s="41" t="str">
        <f>IF($F1840="","",IF($F1840&lt;1,ROUND($F1840*1440,0),INT($F1840/100)*60+MOD($F1840,100)))</f>
        <v/>
      </c>
      <c r="K1840" s="41" t="str">
        <f>IF($G1840="","",IF($G1840&lt;1,ROUND($G1840*1440,0),INT($G1840/100)*60+MOD($G1840,100)))</f>
        <v/>
      </c>
    </row>
    <row r="1841" ht="15" customHeight="1" s="26">
      <c r="A1841" s="34" t="n"/>
      <c r="B1841" s="32" t="n"/>
      <c r="C1841" s="33" t="n"/>
      <c r="D1841" s="37" t="str">
        <f>IF($C1841="","",IFERROR(INDEX(프로젝트목록!$B$3:$B$62,MATCH($C1841,프로젝트목록!$A$3:$A$62,0)),"미등록코드"))</f>
        <v/>
      </c>
      <c r="E1841" s="32" t="n"/>
      <c r="F1841" s="38" t="n"/>
      <c r="G1841" s="38" t="n"/>
      <c r="H1841" s="39" t="n"/>
      <c r="I1841" s="40" t="str">
        <f>IF(OR($J1841="",$K1841=""),"",ROUND(MAX(0,($K1841-$J1841)-IF($H1841="",0,$H1841))/60,2))</f>
        <v/>
      </c>
      <c r="J1841" s="41" t="str">
        <f>IF($F1841="","",IF($F1841&lt;1,ROUND($F1841*1440,0),INT($F1841/100)*60+MOD($F1841,100)))</f>
        <v/>
      </c>
      <c r="K1841" s="41" t="str">
        <f>IF($G1841="","",IF($G1841&lt;1,ROUND($G1841*1440,0),INT($G1841/100)*60+MOD($G1841,100)))</f>
        <v/>
      </c>
    </row>
    <row r="1842" ht="15" customHeight="1" s="26">
      <c r="A1842" s="34" t="n"/>
      <c r="B1842" s="32" t="n"/>
      <c r="C1842" s="33" t="n"/>
      <c r="D1842" s="37" t="str">
        <f>IF($C1842="","",IFERROR(INDEX(프로젝트목록!$B$3:$B$62,MATCH($C1842,프로젝트목록!$A$3:$A$62,0)),"미등록코드"))</f>
        <v/>
      </c>
      <c r="E1842" s="32" t="n"/>
      <c r="F1842" s="38" t="n"/>
      <c r="G1842" s="38" t="n"/>
      <c r="H1842" s="39" t="n"/>
      <c r="I1842" s="40" t="str">
        <f>IF(OR($J1842="",$K1842=""),"",ROUND(MAX(0,($K1842-$J1842)-IF($H1842="",0,$H1842))/60,2))</f>
        <v/>
      </c>
      <c r="J1842" s="41" t="str">
        <f>IF($F1842="","",IF($F1842&lt;1,ROUND($F1842*1440,0),INT($F1842/100)*60+MOD($F1842,100)))</f>
        <v/>
      </c>
      <c r="K1842" s="41" t="str">
        <f>IF($G1842="","",IF($G1842&lt;1,ROUND($G1842*1440,0),INT($G1842/100)*60+MOD($G1842,100)))</f>
        <v/>
      </c>
    </row>
    <row r="1843" ht="15" customHeight="1" s="26">
      <c r="A1843" s="34" t="n"/>
      <c r="B1843" s="32" t="n"/>
      <c r="C1843" s="33" t="n"/>
      <c r="D1843" s="37" t="str">
        <f>IF($C1843="","",IFERROR(INDEX(프로젝트목록!$B$3:$B$62,MATCH($C1843,프로젝트목록!$A$3:$A$62,0)),"미등록코드"))</f>
        <v/>
      </c>
      <c r="E1843" s="32" t="n"/>
      <c r="F1843" s="38" t="n"/>
      <c r="G1843" s="38" t="n"/>
      <c r="H1843" s="39" t="n"/>
      <c r="I1843" s="40" t="str">
        <f>IF(OR($J1843="",$K1843=""),"",ROUND(MAX(0,($K1843-$J1843)-IF($H1843="",0,$H1843))/60,2))</f>
        <v/>
      </c>
      <c r="J1843" s="41" t="str">
        <f>IF($F1843="","",IF($F1843&lt;1,ROUND($F1843*1440,0),INT($F1843/100)*60+MOD($F1843,100)))</f>
        <v/>
      </c>
      <c r="K1843" s="41" t="str">
        <f>IF($G1843="","",IF($G1843&lt;1,ROUND($G1843*1440,0),INT($G1843/100)*60+MOD($G1843,100)))</f>
        <v/>
      </c>
    </row>
    <row r="1844" ht="15" customHeight="1" s="26">
      <c r="A1844" s="34" t="n"/>
      <c r="B1844" s="32" t="n"/>
      <c r="C1844" s="33" t="n"/>
      <c r="D1844" s="37" t="str">
        <f>IF($C1844="","",IFERROR(INDEX(프로젝트목록!$B$3:$B$62,MATCH($C1844,프로젝트목록!$A$3:$A$62,0)),"미등록코드"))</f>
        <v/>
      </c>
      <c r="E1844" s="32" t="n"/>
      <c r="F1844" s="38" t="n"/>
      <c r="G1844" s="38" t="n"/>
      <c r="H1844" s="39" t="n"/>
      <c r="I1844" s="40" t="str">
        <f>IF(OR($J1844="",$K1844=""),"",ROUND(MAX(0,($K1844-$J1844)-IF($H1844="",0,$H1844))/60,2))</f>
        <v/>
      </c>
      <c r="J1844" s="41" t="str">
        <f>IF($F1844="","",IF($F1844&lt;1,ROUND($F1844*1440,0),INT($F1844/100)*60+MOD($F1844,100)))</f>
        <v/>
      </c>
      <c r="K1844" s="41" t="str">
        <f>IF($G1844="","",IF($G1844&lt;1,ROUND($G1844*1440,0),INT($G1844/100)*60+MOD($G1844,100)))</f>
        <v/>
      </c>
    </row>
    <row r="1845" ht="15" customHeight="1" s="26">
      <c r="A1845" s="34" t="n"/>
      <c r="B1845" s="32" t="n"/>
      <c r="C1845" s="33" t="n"/>
      <c r="D1845" s="37" t="str">
        <f>IF($C1845="","",IFERROR(INDEX(프로젝트목록!$B$3:$B$62,MATCH($C1845,프로젝트목록!$A$3:$A$62,0)),"미등록코드"))</f>
        <v/>
      </c>
      <c r="E1845" s="32" t="n"/>
      <c r="F1845" s="38" t="n"/>
      <c r="G1845" s="38" t="n"/>
      <c r="H1845" s="39" t="n"/>
      <c r="I1845" s="40" t="str">
        <f>IF(OR($J1845="",$K1845=""),"",ROUND(MAX(0,($K1845-$J1845)-IF($H1845="",0,$H1845))/60,2))</f>
        <v/>
      </c>
      <c r="J1845" s="41" t="str">
        <f>IF($F1845="","",IF($F1845&lt;1,ROUND($F1845*1440,0),INT($F1845/100)*60+MOD($F1845,100)))</f>
        <v/>
      </c>
      <c r="K1845" s="41" t="str">
        <f>IF($G1845="","",IF($G1845&lt;1,ROUND($G1845*1440,0),INT($G1845/100)*60+MOD($G1845,100)))</f>
        <v/>
      </c>
    </row>
    <row r="1846" ht="15" customHeight="1" s="26">
      <c r="A1846" s="34" t="n"/>
      <c r="B1846" s="32" t="n"/>
      <c r="C1846" s="33" t="n"/>
      <c r="D1846" s="37" t="str">
        <f>IF($C1846="","",IFERROR(INDEX(프로젝트목록!$B$3:$B$62,MATCH($C1846,프로젝트목록!$A$3:$A$62,0)),"미등록코드"))</f>
        <v/>
      </c>
      <c r="E1846" s="32" t="n"/>
      <c r="F1846" s="38" t="n"/>
      <c r="G1846" s="38" t="n"/>
      <c r="H1846" s="39" t="n"/>
      <c r="I1846" s="40" t="str">
        <f>IF(OR($J1846="",$K1846=""),"",ROUND(MAX(0,($K1846-$J1846)-IF($H1846="",0,$H1846))/60,2))</f>
        <v/>
      </c>
      <c r="J1846" s="41" t="str">
        <f>IF($F1846="","",IF($F1846&lt;1,ROUND($F1846*1440,0),INT($F1846/100)*60+MOD($F1846,100)))</f>
        <v/>
      </c>
      <c r="K1846" s="41" t="str">
        <f>IF($G1846="","",IF($G1846&lt;1,ROUND($G1846*1440,0),INT($G1846/100)*60+MOD($G1846,100)))</f>
        <v/>
      </c>
    </row>
    <row r="1847" ht="15" customHeight="1" s="26">
      <c r="A1847" s="34" t="n"/>
      <c r="B1847" s="32" t="n"/>
      <c r="C1847" s="33" t="n"/>
      <c r="D1847" s="37" t="str">
        <f>IF($C1847="","",IFERROR(INDEX(프로젝트목록!$B$3:$B$62,MATCH($C1847,프로젝트목록!$A$3:$A$62,0)),"미등록코드"))</f>
        <v/>
      </c>
      <c r="E1847" s="32" t="n"/>
      <c r="F1847" s="38" t="n"/>
      <c r="G1847" s="38" t="n"/>
      <c r="H1847" s="39" t="n"/>
      <c r="I1847" s="40" t="str">
        <f>IF(OR($J1847="",$K1847=""),"",ROUND(MAX(0,($K1847-$J1847)-IF($H1847="",0,$H1847))/60,2))</f>
        <v/>
      </c>
      <c r="J1847" s="41" t="str">
        <f>IF($F1847="","",IF($F1847&lt;1,ROUND($F1847*1440,0),INT($F1847/100)*60+MOD($F1847,100)))</f>
        <v/>
      </c>
      <c r="K1847" s="41" t="str">
        <f>IF($G1847="","",IF($G1847&lt;1,ROUND($G1847*1440,0),INT($G1847/100)*60+MOD($G1847,100)))</f>
        <v/>
      </c>
    </row>
    <row r="1848" ht="15" customHeight="1" s="26">
      <c r="A1848" s="34" t="n"/>
      <c r="B1848" s="32" t="n"/>
      <c r="C1848" s="33" t="n"/>
      <c r="D1848" s="37" t="str">
        <f>IF($C1848="","",IFERROR(INDEX(프로젝트목록!$B$3:$B$62,MATCH($C1848,프로젝트목록!$A$3:$A$62,0)),"미등록코드"))</f>
        <v/>
      </c>
      <c r="E1848" s="32" t="n"/>
      <c r="F1848" s="38" t="n"/>
      <c r="G1848" s="38" t="n"/>
      <c r="H1848" s="39" t="n"/>
      <c r="I1848" s="40" t="str">
        <f>IF(OR($J1848="",$K1848=""),"",ROUND(MAX(0,($K1848-$J1848)-IF($H1848="",0,$H1848))/60,2))</f>
        <v/>
      </c>
      <c r="J1848" s="41" t="str">
        <f>IF($F1848="","",IF($F1848&lt;1,ROUND($F1848*1440,0),INT($F1848/100)*60+MOD($F1848,100)))</f>
        <v/>
      </c>
      <c r="K1848" s="41" t="str">
        <f>IF($G1848="","",IF($G1848&lt;1,ROUND($G1848*1440,0),INT($G1848/100)*60+MOD($G1848,100)))</f>
        <v/>
      </c>
    </row>
    <row r="1849" ht="15" customHeight="1" s="26">
      <c r="A1849" s="34" t="n"/>
      <c r="B1849" s="32" t="n"/>
      <c r="C1849" s="33" t="n"/>
      <c r="D1849" s="37" t="str">
        <f>IF($C1849="","",IFERROR(INDEX(프로젝트목록!$B$3:$B$62,MATCH($C1849,프로젝트목록!$A$3:$A$62,0)),"미등록코드"))</f>
        <v/>
      </c>
      <c r="E1849" s="32" t="n"/>
      <c r="F1849" s="38" t="n"/>
      <c r="G1849" s="38" t="n"/>
      <c r="H1849" s="39" t="n"/>
      <c r="I1849" s="40" t="str">
        <f>IF(OR($J1849="",$K1849=""),"",ROUND(MAX(0,($K1849-$J1849)-IF($H1849="",0,$H1849))/60,2))</f>
        <v/>
      </c>
      <c r="J1849" s="41" t="str">
        <f>IF($F1849="","",IF($F1849&lt;1,ROUND($F1849*1440,0),INT($F1849/100)*60+MOD($F1849,100)))</f>
        <v/>
      </c>
      <c r="K1849" s="41" t="str">
        <f>IF($G1849="","",IF($G1849&lt;1,ROUND($G1849*1440,0),INT($G1849/100)*60+MOD($G1849,100)))</f>
        <v/>
      </c>
    </row>
    <row r="1850" ht="15" customHeight="1" s="26">
      <c r="A1850" s="34" t="n"/>
      <c r="B1850" s="32" t="n"/>
      <c r="C1850" s="33" t="n"/>
      <c r="D1850" s="37" t="str">
        <f>IF($C1850="","",IFERROR(INDEX(프로젝트목록!$B$3:$B$62,MATCH($C1850,프로젝트목록!$A$3:$A$62,0)),"미등록코드"))</f>
        <v/>
      </c>
      <c r="E1850" s="32" t="n"/>
      <c r="F1850" s="38" t="n"/>
      <c r="G1850" s="38" t="n"/>
      <c r="H1850" s="39" t="n"/>
      <c r="I1850" s="40" t="str">
        <f>IF(OR($J1850="",$K1850=""),"",ROUND(MAX(0,($K1850-$J1850)-IF($H1850="",0,$H1850))/60,2))</f>
        <v/>
      </c>
      <c r="J1850" s="41" t="str">
        <f>IF($F1850="","",IF($F1850&lt;1,ROUND($F1850*1440,0),INT($F1850/100)*60+MOD($F1850,100)))</f>
        <v/>
      </c>
      <c r="K1850" s="41" t="str">
        <f>IF($G1850="","",IF($G1850&lt;1,ROUND($G1850*1440,0),INT($G1850/100)*60+MOD($G1850,100)))</f>
        <v/>
      </c>
    </row>
    <row r="1851" ht="15" customHeight="1" s="26">
      <c r="A1851" s="34" t="n"/>
      <c r="B1851" s="32" t="n"/>
      <c r="C1851" s="33" t="n"/>
      <c r="D1851" s="37" t="str">
        <f>IF($C1851="","",IFERROR(INDEX(프로젝트목록!$B$3:$B$62,MATCH($C1851,프로젝트목록!$A$3:$A$62,0)),"미등록코드"))</f>
        <v/>
      </c>
      <c r="E1851" s="32" t="n"/>
      <c r="F1851" s="38" t="n"/>
      <c r="G1851" s="38" t="n"/>
      <c r="H1851" s="39" t="n"/>
      <c r="I1851" s="40" t="str">
        <f>IF(OR($J1851="",$K1851=""),"",ROUND(MAX(0,($K1851-$J1851)-IF($H1851="",0,$H1851))/60,2))</f>
        <v/>
      </c>
      <c r="J1851" s="41" t="str">
        <f>IF($F1851="","",IF($F1851&lt;1,ROUND($F1851*1440,0),INT($F1851/100)*60+MOD($F1851,100)))</f>
        <v/>
      </c>
      <c r="K1851" s="41" t="str">
        <f>IF($G1851="","",IF($G1851&lt;1,ROUND($G1851*1440,0),INT($G1851/100)*60+MOD($G1851,100)))</f>
        <v/>
      </c>
    </row>
    <row r="1852" ht="15" customHeight="1" s="26">
      <c r="A1852" s="34" t="n"/>
      <c r="B1852" s="32" t="n"/>
      <c r="C1852" s="33" t="n"/>
      <c r="D1852" s="37" t="str">
        <f>IF($C1852="","",IFERROR(INDEX(프로젝트목록!$B$3:$B$62,MATCH($C1852,프로젝트목록!$A$3:$A$62,0)),"미등록코드"))</f>
        <v/>
      </c>
      <c r="E1852" s="32" t="n"/>
      <c r="F1852" s="38" t="n"/>
      <c r="G1852" s="38" t="n"/>
      <c r="H1852" s="39" t="n"/>
      <c r="I1852" s="40" t="str">
        <f>IF(OR($J1852="",$K1852=""),"",ROUND(MAX(0,($K1852-$J1852)-IF($H1852="",0,$H1852))/60,2))</f>
        <v/>
      </c>
      <c r="J1852" s="41" t="str">
        <f>IF($F1852="","",IF($F1852&lt;1,ROUND($F1852*1440,0),INT($F1852/100)*60+MOD($F1852,100)))</f>
        <v/>
      </c>
      <c r="K1852" s="41" t="str">
        <f>IF($G1852="","",IF($G1852&lt;1,ROUND($G1852*1440,0),INT($G1852/100)*60+MOD($G1852,100)))</f>
        <v/>
      </c>
    </row>
    <row r="1853" ht="15" customHeight="1" s="26">
      <c r="A1853" s="34" t="n"/>
      <c r="B1853" s="32" t="n"/>
      <c r="C1853" s="33" t="n"/>
      <c r="D1853" s="37" t="str">
        <f>IF($C1853="","",IFERROR(INDEX(프로젝트목록!$B$3:$B$62,MATCH($C1853,프로젝트목록!$A$3:$A$62,0)),"미등록코드"))</f>
        <v/>
      </c>
      <c r="E1853" s="32" t="n"/>
      <c r="F1853" s="38" t="n"/>
      <c r="G1853" s="38" t="n"/>
      <c r="H1853" s="39" t="n"/>
      <c r="I1853" s="40" t="str">
        <f>IF(OR($J1853="",$K1853=""),"",ROUND(MAX(0,($K1853-$J1853)-IF($H1853="",0,$H1853))/60,2))</f>
        <v/>
      </c>
      <c r="J1853" s="41" t="str">
        <f>IF($F1853="","",IF($F1853&lt;1,ROUND($F1853*1440,0),INT($F1853/100)*60+MOD($F1853,100)))</f>
        <v/>
      </c>
      <c r="K1853" s="41" t="str">
        <f>IF($G1853="","",IF($G1853&lt;1,ROUND($G1853*1440,0),INT($G1853/100)*60+MOD($G1853,100)))</f>
        <v/>
      </c>
    </row>
    <row r="1854" ht="15" customHeight="1" s="26">
      <c r="A1854" s="34" t="n"/>
      <c r="B1854" s="32" t="n"/>
      <c r="C1854" s="33" t="n"/>
      <c r="D1854" s="37" t="str">
        <f>IF($C1854="","",IFERROR(INDEX(프로젝트목록!$B$3:$B$62,MATCH($C1854,프로젝트목록!$A$3:$A$62,0)),"미등록코드"))</f>
        <v/>
      </c>
      <c r="E1854" s="32" t="n"/>
      <c r="F1854" s="38" t="n"/>
      <c r="G1854" s="38" t="n"/>
      <c r="H1854" s="39" t="n"/>
      <c r="I1854" s="40" t="str">
        <f>IF(OR($J1854="",$K1854=""),"",ROUND(MAX(0,($K1854-$J1854)-IF($H1854="",0,$H1854))/60,2))</f>
        <v/>
      </c>
      <c r="J1854" s="41" t="str">
        <f>IF($F1854="","",IF($F1854&lt;1,ROUND($F1854*1440,0),INT($F1854/100)*60+MOD($F1854,100)))</f>
        <v/>
      </c>
      <c r="K1854" s="41" t="str">
        <f>IF($G1854="","",IF($G1854&lt;1,ROUND($G1854*1440,0),INT($G1854/100)*60+MOD($G1854,100)))</f>
        <v/>
      </c>
    </row>
    <row r="1855" ht="15" customHeight="1" s="26">
      <c r="A1855" s="34" t="n"/>
      <c r="B1855" s="32" t="n"/>
      <c r="C1855" s="33" t="n"/>
      <c r="D1855" s="37" t="str">
        <f>IF($C1855="","",IFERROR(INDEX(프로젝트목록!$B$3:$B$62,MATCH($C1855,프로젝트목록!$A$3:$A$62,0)),"미등록코드"))</f>
        <v/>
      </c>
      <c r="E1855" s="32" t="n"/>
      <c r="F1855" s="38" t="n"/>
      <c r="G1855" s="38" t="n"/>
      <c r="H1855" s="39" t="n"/>
      <c r="I1855" s="40" t="str">
        <f>IF(OR($J1855="",$K1855=""),"",ROUND(MAX(0,($K1855-$J1855)-IF($H1855="",0,$H1855))/60,2))</f>
        <v/>
      </c>
      <c r="J1855" s="41" t="str">
        <f>IF($F1855="","",IF($F1855&lt;1,ROUND($F1855*1440,0),INT($F1855/100)*60+MOD($F1855,100)))</f>
        <v/>
      </c>
      <c r="K1855" s="41" t="str">
        <f>IF($G1855="","",IF($G1855&lt;1,ROUND($G1855*1440,0),INT($G1855/100)*60+MOD($G1855,100)))</f>
        <v/>
      </c>
    </row>
    <row r="1856" ht="15" customHeight="1" s="26">
      <c r="A1856" s="34" t="n"/>
      <c r="B1856" s="32" t="n"/>
      <c r="C1856" s="33" t="n"/>
      <c r="D1856" s="37" t="str">
        <f>IF($C1856="","",IFERROR(INDEX(프로젝트목록!$B$3:$B$62,MATCH($C1856,프로젝트목록!$A$3:$A$62,0)),"미등록코드"))</f>
        <v/>
      </c>
      <c r="E1856" s="32" t="n"/>
      <c r="F1856" s="38" t="n"/>
      <c r="G1856" s="38" t="n"/>
      <c r="H1856" s="39" t="n"/>
      <c r="I1856" s="40" t="str">
        <f>IF(OR($J1856="",$K1856=""),"",ROUND(MAX(0,($K1856-$J1856)-IF($H1856="",0,$H1856))/60,2))</f>
        <v/>
      </c>
      <c r="J1856" s="41" t="str">
        <f>IF($F1856="","",IF($F1856&lt;1,ROUND($F1856*1440,0),INT($F1856/100)*60+MOD($F1856,100)))</f>
        <v/>
      </c>
      <c r="K1856" s="41" t="str">
        <f>IF($G1856="","",IF($G1856&lt;1,ROUND($G1856*1440,0),INT($G1856/100)*60+MOD($G1856,100)))</f>
        <v/>
      </c>
    </row>
    <row r="1857" ht="15" customHeight="1" s="26">
      <c r="A1857" s="34" t="n"/>
      <c r="B1857" s="32" t="n"/>
      <c r="C1857" s="33" t="n"/>
      <c r="D1857" s="37" t="str">
        <f>IF($C1857="","",IFERROR(INDEX(프로젝트목록!$B$3:$B$62,MATCH($C1857,프로젝트목록!$A$3:$A$62,0)),"미등록코드"))</f>
        <v/>
      </c>
      <c r="E1857" s="32" t="n"/>
      <c r="F1857" s="38" t="n"/>
      <c r="G1857" s="38" t="n"/>
      <c r="H1857" s="39" t="n"/>
      <c r="I1857" s="40" t="str">
        <f>IF(OR($J1857="",$K1857=""),"",ROUND(MAX(0,($K1857-$J1857)-IF($H1857="",0,$H1857))/60,2))</f>
        <v/>
      </c>
      <c r="J1857" s="41" t="str">
        <f>IF($F1857="","",IF($F1857&lt;1,ROUND($F1857*1440,0),INT($F1857/100)*60+MOD($F1857,100)))</f>
        <v/>
      </c>
      <c r="K1857" s="41" t="str">
        <f>IF($G1857="","",IF($G1857&lt;1,ROUND($G1857*1440,0),INT($G1857/100)*60+MOD($G1857,100)))</f>
        <v/>
      </c>
    </row>
    <row r="1858" ht="15" customHeight="1" s="26">
      <c r="A1858" s="34" t="n"/>
      <c r="B1858" s="32" t="n"/>
      <c r="C1858" s="33" t="n"/>
      <c r="D1858" s="37" t="str">
        <f>IF($C1858="","",IFERROR(INDEX(프로젝트목록!$B$3:$B$62,MATCH($C1858,프로젝트목록!$A$3:$A$62,0)),"미등록코드"))</f>
        <v/>
      </c>
      <c r="E1858" s="32" t="n"/>
      <c r="F1858" s="38" t="n"/>
      <c r="G1858" s="38" t="n"/>
      <c r="H1858" s="39" t="n"/>
      <c r="I1858" s="40" t="str">
        <f>IF(OR($J1858="",$K1858=""),"",ROUND(MAX(0,($K1858-$J1858)-IF($H1858="",0,$H1858))/60,2))</f>
        <v/>
      </c>
      <c r="J1858" s="41" t="str">
        <f>IF($F1858="","",IF($F1858&lt;1,ROUND($F1858*1440,0),INT($F1858/100)*60+MOD($F1858,100)))</f>
        <v/>
      </c>
      <c r="K1858" s="41" t="str">
        <f>IF($G1858="","",IF($G1858&lt;1,ROUND($G1858*1440,0),INT($G1858/100)*60+MOD($G1858,100)))</f>
        <v/>
      </c>
    </row>
    <row r="1859" ht="15" customHeight="1" s="26">
      <c r="A1859" s="34" t="n"/>
      <c r="B1859" s="32" t="n"/>
      <c r="C1859" s="33" t="n"/>
      <c r="D1859" s="37" t="str">
        <f>IF($C1859="","",IFERROR(INDEX(프로젝트목록!$B$3:$B$62,MATCH($C1859,프로젝트목록!$A$3:$A$62,0)),"미등록코드"))</f>
        <v/>
      </c>
      <c r="E1859" s="32" t="n"/>
      <c r="F1859" s="38" t="n"/>
      <c r="G1859" s="38" t="n"/>
      <c r="H1859" s="39" t="n"/>
      <c r="I1859" s="40" t="str">
        <f>IF(OR($J1859="",$K1859=""),"",ROUND(MAX(0,($K1859-$J1859)-IF($H1859="",0,$H1859))/60,2))</f>
        <v/>
      </c>
      <c r="J1859" s="41" t="str">
        <f>IF($F1859="","",IF($F1859&lt;1,ROUND($F1859*1440,0),INT($F1859/100)*60+MOD($F1859,100)))</f>
        <v/>
      </c>
      <c r="K1859" s="41" t="str">
        <f>IF($G1859="","",IF($G1859&lt;1,ROUND($G1859*1440,0),INT($G1859/100)*60+MOD($G1859,100)))</f>
        <v/>
      </c>
    </row>
    <row r="1860" ht="15" customHeight="1" s="26">
      <c r="A1860" s="34" t="n"/>
      <c r="B1860" s="32" t="n"/>
      <c r="C1860" s="33" t="n"/>
      <c r="D1860" s="37" t="str">
        <f>IF($C1860="","",IFERROR(INDEX(프로젝트목록!$B$3:$B$62,MATCH($C1860,프로젝트목록!$A$3:$A$62,0)),"미등록코드"))</f>
        <v/>
      </c>
      <c r="E1860" s="32" t="n"/>
      <c r="F1860" s="38" t="n"/>
      <c r="G1860" s="38" t="n"/>
      <c r="H1860" s="39" t="n"/>
      <c r="I1860" s="40" t="str">
        <f>IF(OR($J1860="",$K1860=""),"",ROUND(MAX(0,($K1860-$J1860)-IF($H1860="",0,$H1860))/60,2))</f>
        <v/>
      </c>
      <c r="J1860" s="41" t="str">
        <f>IF($F1860="","",IF($F1860&lt;1,ROUND($F1860*1440,0),INT($F1860/100)*60+MOD($F1860,100)))</f>
        <v/>
      </c>
      <c r="K1860" s="41" t="str">
        <f>IF($G1860="","",IF($G1860&lt;1,ROUND($G1860*1440,0),INT($G1860/100)*60+MOD($G1860,100)))</f>
        <v/>
      </c>
    </row>
    <row r="1861" ht="15" customHeight="1" s="26">
      <c r="A1861" s="34" t="n"/>
      <c r="B1861" s="32" t="n"/>
      <c r="C1861" s="33" t="n"/>
      <c r="D1861" s="37" t="str">
        <f>IF($C1861="","",IFERROR(INDEX(프로젝트목록!$B$3:$B$62,MATCH($C1861,프로젝트목록!$A$3:$A$62,0)),"미등록코드"))</f>
        <v/>
      </c>
      <c r="E1861" s="32" t="n"/>
      <c r="F1861" s="38" t="n"/>
      <c r="G1861" s="38" t="n"/>
      <c r="H1861" s="39" t="n"/>
      <c r="I1861" s="40" t="str">
        <f>IF(OR($J1861="",$K1861=""),"",ROUND(MAX(0,($K1861-$J1861)-IF($H1861="",0,$H1861))/60,2))</f>
        <v/>
      </c>
      <c r="J1861" s="41" t="str">
        <f>IF($F1861="","",IF($F1861&lt;1,ROUND($F1861*1440,0),INT($F1861/100)*60+MOD($F1861,100)))</f>
        <v/>
      </c>
      <c r="K1861" s="41" t="str">
        <f>IF($G1861="","",IF($G1861&lt;1,ROUND($G1861*1440,0),INT($G1861/100)*60+MOD($G1861,100)))</f>
        <v/>
      </c>
    </row>
    <row r="1862" ht="15" customHeight="1" s="26">
      <c r="A1862" s="34" t="n"/>
      <c r="B1862" s="32" t="n"/>
      <c r="C1862" s="33" t="n"/>
      <c r="D1862" s="37" t="str">
        <f>IF($C1862="","",IFERROR(INDEX(프로젝트목록!$B$3:$B$62,MATCH($C1862,프로젝트목록!$A$3:$A$62,0)),"미등록코드"))</f>
        <v/>
      </c>
      <c r="E1862" s="32" t="n"/>
      <c r="F1862" s="38" t="n"/>
      <c r="G1862" s="38" t="n"/>
      <c r="H1862" s="39" t="n"/>
      <c r="I1862" s="40" t="str">
        <f>IF(OR($J1862="",$K1862=""),"",ROUND(MAX(0,($K1862-$J1862)-IF($H1862="",0,$H1862))/60,2))</f>
        <v/>
      </c>
      <c r="J1862" s="41" t="str">
        <f>IF($F1862="","",IF($F1862&lt;1,ROUND($F1862*1440,0),INT($F1862/100)*60+MOD($F1862,100)))</f>
        <v/>
      </c>
      <c r="K1862" s="41" t="str">
        <f>IF($G1862="","",IF($G1862&lt;1,ROUND($G1862*1440,0),INT($G1862/100)*60+MOD($G1862,100)))</f>
        <v/>
      </c>
    </row>
    <row r="1863" ht="15" customHeight="1" s="26">
      <c r="A1863" s="34" t="n"/>
      <c r="B1863" s="32" t="n"/>
      <c r="C1863" s="33" t="n"/>
      <c r="D1863" s="37" t="str">
        <f>IF($C1863="","",IFERROR(INDEX(프로젝트목록!$B$3:$B$62,MATCH($C1863,프로젝트목록!$A$3:$A$62,0)),"미등록코드"))</f>
        <v/>
      </c>
      <c r="E1863" s="32" t="n"/>
      <c r="F1863" s="38" t="n"/>
      <c r="G1863" s="38" t="n"/>
      <c r="H1863" s="39" t="n"/>
      <c r="I1863" s="40" t="str">
        <f>IF(OR($J1863="",$K1863=""),"",ROUND(MAX(0,($K1863-$J1863)-IF($H1863="",0,$H1863))/60,2))</f>
        <v/>
      </c>
      <c r="J1863" s="41" t="str">
        <f>IF($F1863="","",IF($F1863&lt;1,ROUND($F1863*1440,0),INT($F1863/100)*60+MOD($F1863,100)))</f>
        <v/>
      </c>
      <c r="K1863" s="41" t="str">
        <f>IF($G1863="","",IF($G1863&lt;1,ROUND($G1863*1440,0),INT($G1863/100)*60+MOD($G1863,100)))</f>
        <v/>
      </c>
    </row>
    <row r="1864" ht="15" customHeight="1" s="26">
      <c r="A1864" s="34" t="n"/>
      <c r="B1864" s="32" t="n"/>
      <c r="C1864" s="33" t="n"/>
      <c r="D1864" s="37" t="str">
        <f>IF($C1864="","",IFERROR(INDEX(프로젝트목록!$B$3:$B$62,MATCH($C1864,프로젝트목록!$A$3:$A$62,0)),"미등록코드"))</f>
        <v/>
      </c>
      <c r="E1864" s="32" t="n"/>
      <c r="F1864" s="38" t="n"/>
      <c r="G1864" s="38" t="n"/>
      <c r="H1864" s="39" t="n"/>
      <c r="I1864" s="40" t="str">
        <f>IF(OR($J1864="",$K1864=""),"",ROUND(MAX(0,($K1864-$J1864)-IF($H1864="",0,$H1864))/60,2))</f>
        <v/>
      </c>
      <c r="J1864" s="41" t="str">
        <f>IF($F1864="","",IF($F1864&lt;1,ROUND($F1864*1440,0),INT($F1864/100)*60+MOD($F1864,100)))</f>
        <v/>
      </c>
      <c r="K1864" s="41" t="str">
        <f>IF($G1864="","",IF($G1864&lt;1,ROUND($G1864*1440,0),INT($G1864/100)*60+MOD($G1864,100)))</f>
        <v/>
      </c>
    </row>
    <row r="1865" ht="15" customHeight="1" s="26">
      <c r="A1865" s="34" t="n"/>
      <c r="B1865" s="32" t="n"/>
      <c r="C1865" s="33" t="n"/>
      <c r="D1865" s="37" t="str">
        <f>IF($C1865="","",IFERROR(INDEX(프로젝트목록!$B$3:$B$62,MATCH($C1865,프로젝트목록!$A$3:$A$62,0)),"미등록코드"))</f>
        <v/>
      </c>
      <c r="E1865" s="32" t="n"/>
      <c r="F1865" s="38" t="n"/>
      <c r="G1865" s="38" t="n"/>
      <c r="H1865" s="39" t="n"/>
      <c r="I1865" s="40" t="str">
        <f>IF(OR($J1865="",$K1865=""),"",ROUND(MAX(0,($K1865-$J1865)-IF($H1865="",0,$H1865))/60,2))</f>
        <v/>
      </c>
      <c r="J1865" s="41" t="str">
        <f>IF($F1865="","",IF($F1865&lt;1,ROUND($F1865*1440,0),INT($F1865/100)*60+MOD($F1865,100)))</f>
        <v/>
      </c>
      <c r="K1865" s="41" t="str">
        <f>IF($G1865="","",IF($G1865&lt;1,ROUND($G1865*1440,0),INT($G1865/100)*60+MOD($G1865,100)))</f>
        <v/>
      </c>
    </row>
    <row r="1866" ht="15" customHeight="1" s="26">
      <c r="A1866" s="34" t="n"/>
      <c r="B1866" s="32" t="n"/>
      <c r="C1866" s="33" t="n"/>
      <c r="D1866" s="37" t="str">
        <f>IF($C1866="","",IFERROR(INDEX(프로젝트목록!$B$3:$B$62,MATCH($C1866,프로젝트목록!$A$3:$A$62,0)),"미등록코드"))</f>
        <v/>
      </c>
      <c r="E1866" s="32" t="n"/>
      <c r="F1866" s="38" t="n"/>
      <c r="G1866" s="38" t="n"/>
      <c r="H1866" s="39" t="n"/>
      <c r="I1866" s="40" t="str">
        <f>IF(OR($J1866="",$K1866=""),"",ROUND(MAX(0,($K1866-$J1866)-IF($H1866="",0,$H1866))/60,2))</f>
        <v/>
      </c>
      <c r="J1866" s="41" t="str">
        <f>IF($F1866="","",IF($F1866&lt;1,ROUND($F1866*1440,0),INT($F1866/100)*60+MOD($F1866,100)))</f>
        <v/>
      </c>
      <c r="K1866" s="41" t="str">
        <f>IF($G1866="","",IF($G1866&lt;1,ROUND($G1866*1440,0),INT($G1866/100)*60+MOD($G1866,100)))</f>
        <v/>
      </c>
    </row>
    <row r="1867" ht="15" customHeight="1" s="26">
      <c r="A1867" s="34" t="n"/>
      <c r="B1867" s="32" t="n"/>
      <c r="C1867" s="33" t="n"/>
      <c r="D1867" s="37" t="str">
        <f>IF($C1867="","",IFERROR(INDEX(프로젝트목록!$B$3:$B$62,MATCH($C1867,프로젝트목록!$A$3:$A$62,0)),"미등록코드"))</f>
        <v/>
      </c>
      <c r="E1867" s="32" t="n"/>
      <c r="F1867" s="38" t="n"/>
      <c r="G1867" s="38" t="n"/>
      <c r="H1867" s="39" t="n"/>
      <c r="I1867" s="40" t="str">
        <f>IF(OR($J1867="",$K1867=""),"",ROUND(MAX(0,($K1867-$J1867)-IF($H1867="",0,$H1867))/60,2))</f>
        <v/>
      </c>
      <c r="J1867" s="41" t="str">
        <f>IF($F1867="","",IF($F1867&lt;1,ROUND($F1867*1440,0),INT($F1867/100)*60+MOD($F1867,100)))</f>
        <v/>
      </c>
      <c r="K1867" s="41" t="str">
        <f>IF($G1867="","",IF($G1867&lt;1,ROUND($G1867*1440,0),INT($G1867/100)*60+MOD($G1867,100)))</f>
        <v/>
      </c>
    </row>
    <row r="1868" ht="15" customHeight="1" s="26">
      <c r="A1868" s="34" t="n"/>
      <c r="B1868" s="32" t="n"/>
      <c r="C1868" s="33" t="n"/>
      <c r="D1868" s="37" t="str">
        <f>IF($C1868="","",IFERROR(INDEX(프로젝트목록!$B$3:$B$62,MATCH($C1868,프로젝트목록!$A$3:$A$62,0)),"미등록코드"))</f>
        <v/>
      </c>
      <c r="E1868" s="32" t="n"/>
      <c r="F1868" s="38" t="n"/>
      <c r="G1868" s="38" t="n"/>
      <c r="H1868" s="39" t="n"/>
      <c r="I1868" s="40" t="str">
        <f>IF(OR($J1868="",$K1868=""),"",ROUND(MAX(0,($K1868-$J1868)-IF($H1868="",0,$H1868))/60,2))</f>
        <v/>
      </c>
      <c r="J1868" s="41" t="str">
        <f>IF($F1868="","",IF($F1868&lt;1,ROUND($F1868*1440,0),INT($F1868/100)*60+MOD($F1868,100)))</f>
        <v/>
      </c>
      <c r="K1868" s="41" t="str">
        <f>IF($G1868="","",IF($G1868&lt;1,ROUND($G1868*1440,0),INT($G1868/100)*60+MOD($G1868,100)))</f>
        <v/>
      </c>
    </row>
    <row r="1869" ht="15" customHeight="1" s="26">
      <c r="A1869" s="34" t="n"/>
      <c r="B1869" s="32" t="n"/>
      <c r="C1869" s="33" t="n"/>
      <c r="D1869" s="37" t="str">
        <f>IF($C1869="","",IFERROR(INDEX(프로젝트목록!$B$3:$B$62,MATCH($C1869,프로젝트목록!$A$3:$A$62,0)),"미등록코드"))</f>
        <v/>
      </c>
      <c r="E1869" s="32" t="n"/>
      <c r="F1869" s="38" t="n"/>
      <c r="G1869" s="38" t="n"/>
      <c r="H1869" s="39" t="n"/>
      <c r="I1869" s="40" t="str">
        <f>IF(OR($J1869="",$K1869=""),"",ROUND(MAX(0,($K1869-$J1869)-IF($H1869="",0,$H1869))/60,2))</f>
        <v/>
      </c>
      <c r="J1869" s="41" t="str">
        <f>IF($F1869="","",IF($F1869&lt;1,ROUND($F1869*1440,0),INT($F1869/100)*60+MOD($F1869,100)))</f>
        <v/>
      </c>
      <c r="K1869" s="41" t="str">
        <f>IF($G1869="","",IF($G1869&lt;1,ROUND($G1869*1440,0),INT($G1869/100)*60+MOD($G1869,100)))</f>
        <v/>
      </c>
    </row>
    <row r="1870" ht="15" customHeight="1" s="26">
      <c r="A1870" s="34" t="n"/>
      <c r="B1870" s="32" t="n"/>
      <c r="C1870" s="33" t="n"/>
      <c r="D1870" s="37" t="str">
        <f>IF($C1870="","",IFERROR(INDEX(프로젝트목록!$B$3:$B$62,MATCH($C1870,프로젝트목록!$A$3:$A$62,0)),"미등록코드"))</f>
        <v/>
      </c>
      <c r="E1870" s="32" t="n"/>
      <c r="F1870" s="38" t="n"/>
      <c r="G1870" s="38" t="n"/>
      <c r="H1870" s="39" t="n"/>
      <c r="I1870" s="40" t="str">
        <f>IF(OR($J1870="",$K1870=""),"",ROUND(MAX(0,($K1870-$J1870)-IF($H1870="",0,$H1870))/60,2))</f>
        <v/>
      </c>
      <c r="J1870" s="41" t="str">
        <f>IF($F1870="","",IF($F1870&lt;1,ROUND($F1870*1440,0),INT($F1870/100)*60+MOD($F1870,100)))</f>
        <v/>
      </c>
      <c r="K1870" s="41" t="str">
        <f>IF($G1870="","",IF($G1870&lt;1,ROUND($G1870*1440,0),INT($G1870/100)*60+MOD($G1870,100)))</f>
        <v/>
      </c>
    </row>
    <row r="1871" ht="15" customHeight="1" s="26">
      <c r="A1871" s="34" t="n"/>
      <c r="B1871" s="32" t="n"/>
      <c r="C1871" s="33" t="n"/>
      <c r="D1871" s="37" t="str">
        <f>IF($C1871="","",IFERROR(INDEX(프로젝트목록!$B$3:$B$62,MATCH($C1871,프로젝트목록!$A$3:$A$62,0)),"미등록코드"))</f>
        <v/>
      </c>
      <c r="E1871" s="32" t="n"/>
      <c r="F1871" s="38" t="n"/>
      <c r="G1871" s="38" t="n"/>
      <c r="H1871" s="39" t="n"/>
      <c r="I1871" s="40" t="str">
        <f>IF(OR($J1871="",$K1871=""),"",ROUND(MAX(0,($K1871-$J1871)-IF($H1871="",0,$H1871))/60,2))</f>
        <v/>
      </c>
      <c r="J1871" s="41" t="str">
        <f>IF($F1871="","",IF($F1871&lt;1,ROUND($F1871*1440,0),INT($F1871/100)*60+MOD($F1871,100)))</f>
        <v/>
      </c>
      <c r="K1871" s="41" t="str">
        <f>IF($G1871="","",IF($G1871&lt;1,ROUND($G1871*1440,0),INT($G1871/100)*60+MOD($G1871,100)))</f>
        <v/>
      </c>
    </row>
    <row r="1872" ht="15" customHeight="1" s="26">
      <c r="A1872" s="34" t="n"/>
      <c r="B1872" s="32" t="n"/>
      <c r="C1872" s="33" t="n"/>
      <c r="D1872" s="37" t="str">
        <f>IF($C1872="","",IFERROR(INDEX(프로젝트목록!$B$3:$B$62,MATCH($C1872,프로젝트목록!$A$3:$A$62,0)),"미등록코드"))</f>
        <v/>
      </c>
      <c r="E1872" s="32" t="n"/>
      <c r="F1872" s="38" t="n"/>
      <c r="G1872" s="38" t="n"/>
      <c r="H1872" s="39" t="n"/>
      <c r="I1872" s="40" t="str">
        <f>IF(OR($J1872="",$K1872=""),"",ROUND(MAX(0,($K1872-$J1872)-IF($H1872="",0,$H1872))/60,2))</f>
        <v/>
      </c>
      <c r="J1872" s="41" t="str">
        <f>IF($F1872="","",IF($F1872&lt;1,ROUND($F1872*1440,0),INT($F1872/100)*60+MOD($F1872,100)))</f>
        <v/>
      </c>
      <c r="K1872" s="41" t="str">
        <f>IF($G1872="","",IF($G1872&lt;1,ROUND($G1872*1440,0),INT($G1872/100)*60+MOD($G1872,100)))</f>
        <v/>
      </c>
    </row>
    <row r="1873" ht="15" customHeight="1" s="26">
      <c r="A1873" s="34" t="n"/>
      <c r="B1873" s="32" t="n"/>
      <c r="C1873" s="33" t="n"/>
      <c r="D1873" s="37" t="str">
        <f>IF($C1873="","",IFERROR(INDEX(프로젝트목록!$B$3:$B$62,MATCH($C1873,프로젝트목록!$A$3:$A$62,0)),"미등록코드"))</f>
        <v/>
      </c>
      <c r="E1873" s="32" t="n"/>
      <c r="F1873" s="38" t="n"/>
      <c r="G1873" s="38" t="n"/>
      <c r="H1873" s="39" t="n"/>
      <c r="I1873" s="40" t="str">
        <f>IF(OR($J1873="",$K1873=""),"",ROUND(MAX(0,($K1873-$J1873)-IF($H1873="",0,$H1873))/60,2))</f>
        <v/>
      </c>
      <c r="J1873" s="41" t="str">
        <f>IF($F1873="","",IF($F1873&lt;1,ROUND($F1873*1440,0),INT($F1873/100)*60+MOD($F1873,100)))</f>
        <v/>
      </c>
      <c r="K1873" s="41" t="str">
        <f>IF($G1873="","",IF($G1873&lt;1,ROUND($G1873*1440,0),INT($G1873/100)*60+MOD($G1873,100)))</f>
        <v/>
      </c>
    </row>
    <row r="1874" ht="15" customHeight="1" s="26">
      <c r="A1874" s="34" t="n"/>
      <c r="B1874" s="32" t="n"/>
      <c r="C1874" s="33" t="n"/>
      <c r="D1874" s="37" t="str">
        <f>IF($C1874="","",IFERROR(INDEX(프로젝트목록!$B$3:$B$62,MATCH($C1874,프로젝트목록!$A$3:$A$62,0)),"미등록코드"))</f>
        <v/>
      </c>
      <c r="E1874" s="32" t="n"/>
      <c r="F1874" s="38" t="n"/>
      <c r="G1874" s="38" t="n"/>
      <c r="H1874" s="39" t="n"/>
      <c r="I1874" s="40" t="str">
        <f>IF(OR($J1874="",$K1874=""),"",ROUND(MAX(0,($K1874-$J1874)-IF($H1874="",0,$H1874))/60,2))</f>
        <v/>
      </c>
      <c r="J1874" s="41" t="str">
        <f>IF($F1874="","",IF($F1874&lt;1,ROUND($F1874*1440,0),INT($F1874/100)*60+MOD($F1874,100)))</f>
        <v/>
      </c>
      <c r="K1874" s="41" t="str">
        <f>IF($G1874="","",IF($G1874&lt;1,ROUND($G1874*1440,0),INT($G1874/100)*60+MOD($G1874,100)))</f>
        <v/>
      </c>
    </row>
    <row r="1875" ht="15" customHeight="1" s="26">
      <c r="A1875" s="34" t="n"/>
      <c r="B1875" s="32" t="n"/>
      <c r="C1875" s="33" t="n"/>
      <c r="D1875" s="37" t="str">
        <f>IF($C1875="","",IFERROR(INDEX(프로젝트목록!$B$3:$B$62,MATCH($C1875,프로젝트목록!$A$3:$A$62,0)),"미등록코드"))</f>
        <v/>
      </c>
      <c r="E1875" s="32" t="n"/>
      <c r="F1875" s="38" t="n"/>
      <c r="G1875" s="38" t="n"/>
      <c r="H1875" s="39" t="n"/>
      <c r="I1875" s="40" t="str">
        <f>IF(OR($J1875="",$K1875=""),"",ROUND(MAX(0,($K1875-$J1875)-IF($H1875="",0,$H1875))/60,2))</f>
        <v/>
      </c>
      <c r="J1875" s="41" t="str">
        <f>IF($F1875="","",IF($F1875&lt;1,ROUND($F1875*1440,0),INT($F1875/100)*60+MOD($F1875,100)))</f>
        <v/>
      </c>
      <c r="K1875" s="41" t="str">
        <f>IF($G1875="","",IF($G1875&lt;1,ROUND($G1875*1440,0),INT($G1875/100)*60+MOD($G1875,100)))</f>
        <v/>
      </c>
    </row>
    <row r="1876" ht="15" customHeight="1" s="26">
      <c r="A1876" s="34" t="n"/>
      <c r="B1876" s="32" t="n"/>
      <c r="C1876" s="33" t="n"/>
      <c r="D1876" s="37" t="str">
        <f>IF($C1876="","",IFERROR(INDEX(프로젝트목록!$B$3:$B$62,MATCH($C1876,프로젝트목록!$A$3:$A$62,0)),"미등록코드"))</f>
        <v/>
      </c>
      <c r="E1876" s="32" t="n"/>
      <c r="F1876" s="38" t="n"/>
      <c r="G1876" s="38" t="n"/>
      <c r="H1876" s="39" t="n"/>
      <c r="I1876" s="40" t="str">
        <f>IF(OR($J1876="",$K1876=""),"",ROUND(MAX(0,($K1876-$J1876)-IF($H1876="",0,$H1876))/60,2))</f>
        <v/>
      </c>
      <c r="J1876" s="41" t="str">
        <f>IF($F1876="","",IF($F1876&lt;1,ROUND($F1876*1440,0),INT($F1876/100)*60+MOD($F1876,100)))</f>
        <v/>
      </c>
      <c r="K1876" s="41" t="str">
        <f>IF($G1876="","",IF($G1876&lt;1,ROUND($G1876*1440,0),INT($G1876/100)*60+MOD($G1876,100)))</f>
        <v/>
      </c>
    </row>
    <row r="1877" ht="15" customHeight="1" s="26">
      <c r="A1877" s="34" t="n"/>
      <c r="B1877" s="32" t="n"/>
      <c r="C1877" s="33" t="n"/>
      <c r="D1877" s="37" t="str">
        <f>IF($C1877="","",IFERROR(INDEX(프로젝트목록!$B$3:$B$62,MATCH($C1877,프로젝트목록!$A$3:$A$62,0)),"미등록코드"))</f>
        <v/>
      </c>
      <c r="E1877" s="32" t="n"/>
      <c r="F1877" s="38" t="n"/>
      <c r="G1877" s="38" t="n"/>
      <c r="H1877" s="39" t="n"/>
      <c r="I1877" s="40" t="str">
        <f>IF(OR($J1877="",$K1877=""),"",ROUND(MAX(0,($K1877-$J1877)-IF($H1877="",0,$H1877))/60,2))</f>
        <v/>
      </c>
      <c r="J1877" s="41" t="str">
        <f>IF($F1877="","",IF($F1877&lt;1,ROUND($F1877*1440,0),INT($F1877/100)*60+MOD($F1877,100)))</f>
        <v/>
      </c>
      <c r="K1877" s="41" t="str">
        <f>IF($G1877="","",IF($G1877&lt;1,ROUND($G1877*1440,0),INT($G1877/100)*60+MOD($G1877,100)))</f>
        <v/>
      </c>
    </row>
    <row r="1878" ht="15" customHeight="1" s="26">
      <c r="A1878" s="34" t="n"/>
      <c r="B1878" s="32" t="n"/>
      <c r="C1878" s="33" t="n"/>
      <c r="D1878" s="37" t="str">
        <f>IF($C1878="","",IFERROR(INDEX(프로젝트목록!$B$3:$B$62,MATCH($C1878,프로젝트목록!$A$3:$A$62,0)),"미등록코드"))</f>
        <v/>
      </c>
      <c r="E1878" s="32" t="n"/>
      <c r="F1878" s="38" t="n"/>
      <c r="G1878" s="38" t="n"/>
      <c r="H1878" s="39" t="n"/>
      <c r="I1878" s="40" t="str">
        <f>IF(OR($J1878="",$K1878=""),"",ROUND(MAX(0,($K1878-$J1878)-IF($H1878="",0,$H1878))/60,2))</f>
        <v/>
      </c>
      <c r="J1878" s="41" t="str">
        <f>IF($F1878="","",IF($F1878&lt;1,ROUND($F1878*1440,0),INT($F1878/100)*60+MOD($F1878,100)))</f>
        <v/>
      </c>
      <c r="K1878" s="41" t="str">
        <f>IF($G1878="","",IF($G1878&lt;1,ROUND($G1878*1440,0),INT($G1878/100)*60+MOD($G1878,100)))</f>
        <v/>
      </c>
    </row>
    <row r="1879" ht="15" customHeight="1" s="26">
      <c r="A1879" s="34" t="n"/>
      <c r="B1879" s="32" t="n"/>
      <c r="C1879" s="33" t="n"/>
      <c r="D1879" s="37" t="str">
        <f>IF($C1879="","",IFERROR(INDEX(프로젝트목록!$B$3:$B$62,MATCH($C1879,프로젝트목록!$A$3:$A$62,0)),"미등록코드"))</f>
        <v/>
      </c>
      <c r="E1879" s="32" t="n"/>
      <c r="F1879" s="38" t="n"/>
      <c r="G1879" s="38" t="n"/>
      <c r="H1879" s="39" t="n"/>
      <c r="I1879" s="40" t="str">
        <f>IF(OR($J1879="",$K1879=""),"",ROUND(MAX(0,($K1879-$J1879)-IF($H1879="",0,$H1879))/60,2))</f>
        <v/>
      </c>
      <c r="J1879" s="41" t="str">
        <f>IF($F1879="","",IF($F1879&lt;1,ROUND($F1879*1440,0),INT($F1879/100)*60+MOD($F1879,100)))</f>
        <v/>
      </c>
      <c r="K1879" s="41" t="str">
        <f>IF($G1879="","",IF($G1879&lt;1,ROUND($G1879*1440,0),INT($G1879/100)*60+MOD($G1879,100)))</f>
        <v/>
      </c>
    </row>
    <row r="1880" ht="15" customHeight="1" s="26">
      <c r="A1880" s="34" t="n"/>
      <c r="B1880" s="32" t="n"/>
      <c r="C1880" s="33" t="n"/>
      <c r="D1880" s="37" t="str">
        <f>IF($C1880="","",IFERROR(INDEX(프로젝트목록!$B$3:$B$62,MATCH($C1880,프로젝트목록!$A$3:$A$62,0)),"미등록코드"))</f>
        <v/>
      </c>
      <c r="E1880" s="32" t="n"/>
      <c r="F1880" s="38" t="n"/>
      <c r="G1880" s="38" t="n"/>
      <c r="H1880" s="39" t="n"/>
      <c r="I1880" s="40" t="str">
        <f>IF(OR($J1880="",$K1880=""),"",ROUND(MAX(0,($K1880-$J1880)-IF($H1880="",0,$H1880))/60,2))</f>
        <v/>
      </c>
      <c r="J1880" s="41" t="str">
        <f>IF($F1880="","",IF($F1880&lt;1,ROUND($F1880*1440,0),INT($F1880/100)*60+MOD($F1880,100)))</f>
        <v/>
      </c>
      <c r="K1880" s="41" t="str">
        <f>IF($G1880="","",IF($G1880&lt;1,ROUND($G1880*1440,0),INT($G1880/100)*60+MOD($G1880,100)))</f>
        <v/>
      </c>
    </row>
    <row r="1881" ht="15" customHeight="1" s="26">
      <c r="A1881" s="34" t="n"/>
      <c r="B1881" s="32" t="n"/>
      <c r="C1881" s="33" t="n"/>
      <c r="D1881" s="37" t="str">
        <f>IF($C1881="","",IFERROR(INDEX(프로젝트목록!$B$3:$B$62,MATCH($C1881,프로젝트목록!$A$3:$A$62,0)),"미등록코드"))</f>
        <v/>
      </c>
      <c r="E1881" s="32" t="n"/>
      <c r="F1881" s="38" t="n"/>
      <c r="G1881" s="38" t="n"/>
      <c r="H1881" s="39" t="n"/>
      <c r="I1881" s="40" t="str">
        <f>IF(OR($J1881="",$K1881=""),"",ROUND(MAX(0,($K1881-$J1881)-IF($H1881="",0,$H1881))/60,2))</f>
        <v/>
      </c>
      <c r="J1881" s="41" t="str">
        <f>IF($F1881="","",IF($F1881&lt;1,ROUND($F1881*1440,0),INT($F1881/100)*60+MOD($F1881,100)))</f>
        <v/>
      </c>
      <c r="K1881" s="41" t="str">
        <f>IF($G1881="","",IF($G1881&lt;1,ROUND($G1881*1440,0),INT($G1881/100)*60+MOD($G1881,100)))</f>
        <v/>
      </c>
    </row>
    <row r="1882" ht="15" customHeight="1" s="26">
      <c r="A1882" s="34" t="n"/>
      <c r="B1882" s="32" t="n"/>
      <c r="C1882" s="33" t="n"/>
      <c r="D1882" s="37" t="str">
        <f>IF($C1882="","",IFERROR(INDEX(프로젝트목록!$B$3:$B$62,MATCH($C1882,프로젝트목록!$A$3:$A$62,0)),"미등록코드"))</f>
        <v/>
      </c>
      <c r="E1882" s="32" t="n"/>
      <c r="F1882" s="38" t="n"/>
      <c r="G1882" s="38" t="n"/>
      <c r="H1882" s="39" t="n"/>
      <c r="I1882" s="40" t="str">
        <f>IF(OR($J1882="",$K1882=""),"",ROUND(MAX(0,($K1882-$J1882)-IF($H1882="",0,$H1882))/60,2))</f>
        <v/>
      </c>
      <c r="J1882" s="41" t="str">
        <f>IF($F1882="","",IF($F1882&lt;1,ROUND($F1882*1440,0),INT($F1882/100)*60+MOD($F1882,100)))</f>
        <v/>
      </c>
      <c r="K1882" s="41" t="str">
        <f>IF($G1882="","",IF($G1882&lt;1,ROUND($G1882*1440,0),INT($G1882/100)*60+MOD($G1882,100)))</f>
        <v/>
      </c>
    </row>
    <row r="1883" ht="15" customHeight="1" s="26">
      <c r="A1883" s="34" t="n"/>
      <c r="B1883" s="32" t="n"/>
      <c r="C1883" s="33" t="n"/>
      <c r="D1883" s="37" t="str">
        <f>IF($C1883="","",IFERROR(INDEX(프로젝트목록!$B$3:$B$62,MATCH($C1883,프로젝트목록!$A$3:$A$62,0)),"미등록코드"))</f>
        <v/>
      </c>
      <c r="E1883" s="32" t="n"/>
      <c r="F1883" s="38" t="n"/>
      <c r="G1883" s="38" t="n"/>
      <c r="H1883" s="39" t="n"/>
      <c r="I1883" s="40" t="str">
        <f>IF(OR($J1883="",$K1883=""),"",ROUND(MAX(0,($K1883-$J1883)-IF($H1883="",0,$H1883))/60,2))</f>
        <v/>
      </c>
      <c r="J1883" s="41" t="str">
        <f>IF($F1883="","",IF($F1883&lt;1,ROUND($F1883*1440,0),INT($F1883/100)*60+MOD($F1883,100)))</f>
        <v/>
      </c>
      <c r="K1883" s="41" t="str">
        <f>IF($G1883="","",IF($G1883&lt;1,ROUND($G1883*1440,0),INT($G1883/100)*60+MOD($G1883,100)))</f>
        <v/>
      </c>
    </row>
    <row r="1884" ht="15" customHeight="1" s="26">
      <c r="A1884" s="34" t="n"/>
      <c r="B1884" s="32" t="n"/>
      <c r="C1884" s="33" t="n"/>
      <c r="D1884" s="37" t="str">
        <f>IF($C1884="","",IFERROR(INDEX(프로젝트목록!$B$3:$B$62,MATCH($C1884,프로젝트목록!$A$3:$A$62,0)),"미등록코드"))</f>
        <v/>
      </c>
      <c r="E1884" s="32" t="n"/>
      <c r="F1884" s="38" t="n"/>
      <c r="G1884" s="38" t="n"/>
      <c r="H1884" s="39" t="n"/>
      <c r="I1884" s="40" t="str">
        <f>IF(OR($J1884="",$K1884=""),"",ROUND(MAX(0,($K1884-$J1884)-IF($H1884="",0,$H1884))/60,2))</f>
        <v/>
      </c>
      <c r="J1884" s="41" t="str">
        <f>IF($F1884="","",IF($F1884&lt;1,ROUND($F1884*1440,0),INT($F1884/100)*60+MOD($F1884,100)))</f>
        <v/>
      </c>
      <c r="K1884" s="41" t="str">
        <f>IF($G1884="","",IF($G1884&lt;1,ROUND($G1884*1440,0),INT($G1884/100)*60+MOD($G1884,100)))</f>
        <v/>
      </c>
    </row>
    <row r="1885" ht="15" customHeight="1" s="26">
      <c r="A1885" s="34" t="n"/>
      <c r="B1885" s="32" t="n"/>
      <c r="C1885" s="33" t="n"/>
      <c r="D1885" s="37" t="str">
        <f>IF($C1885="","",IFERROR(INDEX(프로젝트목록!$B$3:$B$62,MATCH($C1885,프로젝트목록!$A$3:$A$62,0)),"미등록코드"))</f>
        <v/>
      </c>
      <c r="E1885" s="32" t="n"/>
      <c r="F1885" s="38" t="n"/>
      <c r="G1885" s="38" t="n"/>
      <c r="H1885" s="39" t="n"/>
      <c r="I1885" s="40" t="str">
        <f>IF(OR($J1885="",$K1885=""),"",ROUND(MAX(0,($K1885-$J1885)-IF($H1885="",0,$H1885))/60,2))</f>
        <v/>
      </c>
      <c r="J1885" s="41" t="str">
        <f>IF($F1885="","",IF($F1885&lt;1,ROUND($F1885*1440,0),INT($F1885/100)*60+MOD($F1885,100)))</f>
        <v/>
      </c>
      <c r="K1885" s="41" t="str">
        <f>IF($G1885="","",IF($G1885&lt;1,ROUND($G1885*1440,0),INT($G1885/100)*60+MOD($G1885,100)))</f>
        <v/>
      </c>
    </row>
    <row r="1886" ht="15" customHeight="1" s="26">
      <c r="A1886" s="34" t="n"/>
      <c r="B1886" s="32" t="n"/>
      <c r="C1886" s="33" t="n"/>
      <c r="D1886" s="37" t="str">
        <f>IF($C1886="","",IFERROR(INDEX(프로젝트목록!$B$3:$B$62,MATCH($C1886,프로젝트목록!$A$3:$A$62,0)),"미등록코드"))</f>
        <v/>
      </c>
      <c r="E1886" s="32" t="n"/>
      <c r="F1886" s="38" t="n"/>
      <c r="G1886" s="38" t="n"/>
      <c r="H1886" s="39" t="n"/>
      <c r="I1886" s="40" t="str">
        <f>IF(OR($J1886="",$K1886=""),"",ROUND(MAX(0,($K1886-$J1886)-IF($H1886="",0,$H1886))/60,2))</f>
        <v/>
      </c>
      <c r="J1886" s="41" t="str">
        <f>IF($F1886="","",IF($F1886&lt;1,ROUND($F1886*1440,0),INT($F1886/100)*60+MOD($F1886,100)))</f>
        <v/>
      </c>
      <c r="K1886" s="41" t="str">
        <f>IF($G1886="","",IF($G1886&lt;1,ROUND($G1886*1440,0),INT($G1886/100)*60+MOD($G1886,100)))</f>
        <v/>
      </c>
    </row>
    <row r="1887" ht="15" customHeight="1" s="26">
      <c r="A1887" s="34" t="n"/>
      <c r="B1887" s="32" t="n"/>
      <c r="C1887" s="33" t="n"/>
      <c r="D1887" s="37" t="str">
        <f>IF($C1887="","",IFERROR(INDEX(프로젝트목록!$B$3:$B$62,MATCH($C1887,프로젝트목록!$A$3:$A$62,0)),"미등록코드"))</f>
        <v/>
      </c>
      <c r="E1887" s="32" t="n"/>
      <c r="F1887" s="38" t="n"/>
      <c r="G1887" s="38" t="n"/>
      <c r="H1887" s="39" t="n"/>
      <c r="I1887" s="40" t="str">
        <f>IF(OR($J1887="",$K1887=""),"",ROUND(MAX(0,($K1887-$J1887)-IF($H1887="",0,$H1887))/60,2))</f>
        <v/>
      </c>
      <c r="J1887" s="41" t="str">
        <f>IF($F1887="","",IF($F1887&lt;1,ROUND($F1887*1440,0),INT($F1887/100)*60+MOD($F1887,100)))</f>
        <v/>
      </c>
      <c r="K1887" s="41" t="str">
        <f>IF($G1887="","",IF($G1887&lt;1,ROUND($G1887*1440,0),INT($G1887/100)*60+MOD($G1887,100)))</f>
        <v/>
      </c>
    </row>
    <row r="1888" ht="15" customHeight="1" s="26">
      <c r="A1888" s="34" t="n"/>
      <c r="B1888" s="32" t="n"/>
      <c r="C1888" s="33" t="n"/>
      <c r="D1888" s="37" t="str">
        <f>IF($C1888="","",IFERROR(INDEX(프로젝트목록!$B$3:$B$62,MATCH($C1888,프로젝트목록!$A$3:$A$62,0)),"미등록코드"))</f>
        <v/>
      </c>
      <c r="E1888" s="32" t="n"/>
      <c r="F1888" s="38" t="n"/>
      <c r="G1888" s="38" t="n"/>
      <c r="H1888" s="39" t="n"/>
      <c r="I1888" s="40" t="str">
        <f>IF(OR($J1888="",$K1888=""),"",ROUND(MAX(0,($K1888-$J1888)-IF($H1888="",0,$H1888))/60,2))</f>
        <v/>
      </c>
      <c r="J1888" s="41" t="str">
        <f>IF($F1888="","",IF($F1888&lt;1,ROUND($F1888*1440,0),INT($F1888/100)*60+MOD($F1888,100)))</f>
        <v/>
      </c>
      <c r="K1888" s="41" t="str">
        <f>IF($G1888="","",IF($G1888&lt;1,ROUND($G1888*1440,0),INT($G1888/100)*60+MOD($G1888,100)))</f>
        <v/>
      </c>
    </row>
    <row r="1889" ht="15" customHeight="1" s="26">
      <c r="A1889" s="34" t="n"/>
      <c r="B1889" s="32" t="n"/>
      <c r="C1889" s="33" t="n"/>
      <c r="D1889" s="37" t="str">
        <f>IF($C1889="","",IFERROR(INDEX(프로젝트목록!$B$3:$B$62,MATCH($C1889,프로젝트목록!$A$3:$A$62,0)),"미등록코드"))</f>
        <v/>
      </c>
      <c r="E1889" s="32" t="n"/>
      <c r="F1889" s="38" t="n"/>
      <c r="G1889" s="38" t="n"/>
      <c r="H1889" s="39" t="n"/>
      <c r="I1889" s="40" t="str">
        <f>IF(OR($J1889="",$K1889=""),"",ROUND(MAX(0,($K1889-$J1889)-IF($H1889="",0,$H1889))/60,2))</f>
        <v/>
      </c>
      <c r="J1889" s="41" t="str">
        <f>IF($F1889="","",IF($F1889&lt;1,ROUND($F1889*1440,0),INT($F1889/100)*60+MOD($F1889,100)))</f>
        <v/>
      </c>
      <c r="K1889" s="41" t="str">
        <f>IF($G1889="","",IF($G1889&lt;1,ROUND($G1889*1440,0),INT($G1889/100)*60+MOD($G1889,100)))</f>
        <v/>
      </c>
    </row>
    <row r="1890" ht="15" customHeight="1" s="26">
      <c r="A1890" s="34" t="n"/>
      <c r="B1890" s="32" t="n"/>
      <c r="C1890" s="33" t="n"/>
      <c r="D1890" s="37" t="str">
        <f>IF($C1890="","",IFERROR(INDEX(프로젝트목록!$B$3:$B$62,MATCH($C1890,프로젝트목록!$A$3:$A$62,0)),"미등록코드"))</f>
        <v/>
      </c>
      <c r="E1890" s="32" t="n"/>
      <c r="F1890" s="38" t="n"/>
      <c r="G1890" s="38" t="n"/>
      <c r="H1890" s="39" t="n"/>
      <c r="I1890" s="40" t="str">
        <f>IF(OR($J1890="",$K1890=""),"",ROUND(MAX(0,($K1890-$J1890)-IF($H1890="",0,$H1890))/60,2))</f>
        <v/>
      </c>
      <c r="J1890" s="41" t="str">
        <f>IF($F1890="","",IF($F1890&lt;1,ROUND($F1890*1440,0),INT($F1890/100)*60+MOD($F1890,100)))</f>
        <v/>
      </c>
      <c r="K1890" s="41" t="str">
        <f>IF($G1890="","",IF($G1890&lt;1,ROUND($G1890*1440,0),INT($G1890/100)*60+MOD($G1890,100)))</f>
        <v/>
      </c>
    </row>
    <row r="1891" ht="15" customHeight="1" s="26">
      <c r="A1891" s="34" t="n"/>
      <c r="B1891" s="32" t="n"/>
      <c r="C1891" s="33" t="n"/>
      <c r="D1891" s="37" t="str">
        <f>IF($C1891="","",IFERROR(INDEX(프로젝트목록!$B$3:$B$62,MATCH($C1891,프로젝트목록!$A$3:$A$62,0)),"미등록코드"))</f>
        <v/>
      </c>
      <c r="E1891" s="32" t="n"/>
      <c r="F1891" s="38" t="n"/>
      <c r="G1891" s="38" t="n"/>
      <c r="H1891" s="39" t="n"/>
      <c r="I1891" s="40" t="str">
        <f>IF(OR($J1891="",$K1891=""),"",ROUND(MAX(0,($K1891-$J1891)-IF($H1891="",0,$H1891))/60,2))</f>
        <v/>
      </c>
      <c r="J1891" s="41" t="str">
        <f>IF($F1891="","",IF($F1891&lt;1,ROUND($F1891*1440,0),INT($F1891/100)*60+MOD($F1891,100)))</f>
        <v/>
      </c>
      <c r="K1891" s="41" t="str">
        <f>IF($G1891="","",IF($G1891&lt;1,ROUND($G1891*1440,0),INT($G1891/100)*60+MOD($G1891,100)))</f>
        <v/>
      </c>
    </row>
    <row r="1892" ht="15" customHeight="1" s="26">
      <c r="A1892" s="34" t="n"/>
      <c r="B1892" s="32" t="n"/>
      <c r="C1892" s="33" t="n"/>
      <c r="D1892" s="37" t="str">
        <f>IF($C1892="","",IFERROR(INDEX(프로젝트목록!$B$3:$B$62,MATCH($C1892,프로젝트목록!$A$3:$A$62,0)),"미등록코드"))</f>
        <v/>
      </c>
      <c r="E1892" s="32" t="n"/>
      <c r="F1892" s="38" t="n"/>
      <c r="G1892" s="38" t="n"/>
      <c r="H1892" s="39" t="n"/>
      <c r="I1892" s="40" t="str">
        <f>IF(OR($J1892="",$K1892=""),"",ROUND(MAX(0,($K1892-$J1892)-IF($H1892="",0,$H1892))/60,2))</f>
        <v/>
      </c>
      <c r="J1892" s="41" t="str">
        <f>IF($F1892="","",IF($F1892&lt;1,ROUND($F1892*1440,0),INT($F1892/100)*60+MOD($F1892,100)))</f>
        <v/>
      </c>
      <c r="K1892" s="41" t="str">
        <f>IF($G1892="","",IF($G1892&lt;1,ROUND($G1892*1440,0),INT($G1892/100)*60+MOD($G1892,100)))</f>
        <v/>
      </c>
    </row>
    <row r="1893" ht="15" customHeight="1" s="26">
      <c r="A1893" s="34" t="n"/>
      <c r="B1893" s="32" t="n"/>
      <c r="C1893" s="33" t="n"/>
      <c r="D1893" s="37" t="str">
        <f>IF($C1893="","",IFERROR(INDEX(프로젝트목록!$B$3:$B$62,MATCH($C1893,프로젝트목록!$A$3:$A$62,0)),"미등록코드"))</f>
        <v/>
      </c>
      <c r="E1893" s="32" t="n"/>
      <c r="F1893" s="38" t="n"/>
      <c r="G1893" s="38" t="n"/>
      <c r="H1893" s="39" t="n"/>
      <c r="I1893" s="40" t="str">
        <f>IF(OR($J1893="",$K1893=""),"",ROUND(MAX(0,($K1893-$J1893)-IF($H1893="",0,$H1893))/60,2))</f>
        <v/>
      </c>
      <c r="J1893" s="41" t="str">
        <f>IF($F1893="","",IF($F1893&lt;1,ROUND($F1893*1440,0),INT($F1893/100)*60+MOD($F1893,100)))</f>
        <v/>
      </c>
      <c r="K1893" s="41" t="str">
        <f>IF($G1893="","",IF($G1893&lt;1,ROUND($G1893*1440,0),INT($G1893/100)*60+MOD($G1893,100)))</f>
        <v/>
      </c>
    </row>
    <row r="1894" ht="15" customHeight="1" s="26">
      <c r="A1894" s="34" t="n"/>
      <c r="B1894" s="32" t="n"/>
      <c r="C1894" s="33" t="n"/>
      <c r="D1894" s="37" t="str">
        <f>IF($C1894="","",IFERROR(INDEX(프로젝트목록!$B$3:$B$62,MATCH($C1894,프로젝트목록!$A$3:$A$62,0)),"미등록코드"))</f>
        <v/>
      </c>
      <c r="E1894" s="32" t="n"/>
      <c r="F1894" s="38" t="n"/>
      <c r="G1894" s="38" t="n"/>
      <c r="H1894" s="39" t="n"/>
      <c r="I1894" s="40" t="str">
        <f>IF(OR($J1894="",$K1894=""),"",ROUND(MAX(0,($K1894-$J1894)-IF($H1894="",0,$H1894))/60,2))</f>
        <v/>
      </c>
      <c r="J1894" s="41" t="str">
        <f>IF($F1894="","",IF($F1894&lt;1,ROUND($F1894*1440,0),INT($F1894/100)*60+MOD($F1894,100)))</f>
        <v/>
      </c>
      <c r="K1894" s="41" t="str">
        <f>IF($G1894="","",IF($G1894&lt;1,ROUND($G1894*1440,0),INT($G1894/100)*60+MOD($G1894,100)))</f>
        <v/>
      </c>
    </row>
    <row r="1895" ht="15" customHeight="1" s="26">
      <c r="A1895" s="34" t="n"/>
      <c r="B1895" s="32" t="n"/>
      <c r="C1895" s="33" t="n"/>
      <c r="D1895" s="37" t="str">
        <f>IF($C1895="","",IFERROR(INDEX(프로젝트목록!$B$3:$B$62,MATCH($C1895,프로젝트목록!$A$3:$A$62,0)),"미등록코드"))</f>
        <v/>
      </c>
      <c r="E1895" s="32" t="n"/>
      <c r="F1895" s="38" t="n"/>
      <c r="G1895" s="38" t="n"/>
      <c r="H1895" s="39" t="n"/>
      <c r="I1895" s="40" t="str">
        <f>IF(OR($J1895="",$K1895=""),"",ROUND(MAX(0,($K1895-$J1895)-IF($H1895="",0,$H1895))/60,2))</f>
        <v/>
      </c>
      <c r="J1895" s="41" t="str">
        <f>IF($F1895="","",IF($F1895&lt;1,ROUND($F1895*1440,0),INT($F1895/100)*60+MOD($F1895,100)))</f>
        <v/>
      </c>
      <c r="K1895" s="41" t="str">
        <f>IF($G1895="","",IF($G1895&lt;1,ROUND($G1895*1440,0),INT($G1895/100)*60+MOD($G1895,100)))</f>
        <v/>
      </c>
    </row>
    <row r="1896" ht="15" customHeight="1" s="26">
      <c r="A1896" s="34" t="n"/>
      <c r="B1896" s="32" t="n"/>
      <c r="C1896" s="33" t="n"/>
      <c r="D1896" s="37" t="str">
        <f>IF($C1896="","",IFERROR(INDEX(프로젝트목록!$B$3:$B$62,MATCH($C1896,프로젝트목록!$A$3:$A$62,0)),"미등록코드"))</f>
        <v/>
      </c>
      <c r="E1896" s="32" t="n"/>
      <c r="F1896" s="38" t="n"/>
      <c r="G1896" s="38" t="n"/>
      <c r="H1896" s="39" t="n"/>
      <c r="I1896" s="40" t="str">
        <f>IF(OR($J1896="",$K1896=""),"",ROUND(MAX(0,($K1896-$J1896)-IF($H1896="",0,$H1896))/60,2))</f>
        <v/>
      </c>
      <c r="J1896" s="41" t="str">
        <f>IF($F1896="","",IF($F1896&lt;1,ROUND($F1896*1440,0),INT($F1896/100)*60+MOD($F1896,100)))</f>
        <v/>
      </c>
      <c r="K1896" s="41" t="str">
        <f>IF($G1896="","",IF($G1896&lt;1,ROUND($G1896*1440,0),INT($G1896/100)*60+MOD($G1896,100)))</f>
        <v/>
      </c>
    </row>
    <row r="1897" ht="15" customHeight="1" s="26">
      <c r="A1897" s="34" t="n"/>
      <c r="B1897" s="32" t="n"/>
      <c r="C1897" s="33" t="n"/>
      <c r="D1897" s="37" t="str">
        <f>IF($C1897="","",IFERROR(INDEX(프로젝트목록!$B$3:$B$62,MATCH($C1897,프로젝트목록!$A$3:$A$62,0)),"미등록코드"))</f>
        <v/>
      </c>
      <c r="E1897" s="32" t="n"/>
      <c r="F1897" s="38" t="n"/>
      <c r="G1897" s="38" t="n"/>
      <c r="H1897" s="39" t="n"/>
      <c r="I1897" s="40" t="str">
        <f>IF(OR($J1897="",$K1897=""),"",ROUND(MAX(0,($K1897-$J1897)-IF($H1897="",0,$H1897))/60,2))</f>
        <v/>
      </c>
      <c r="J1897" s="41" t="str">
        <f>IF($F1897="","",IF($F1897&lt;1,ROUND($F1897*1440,0),INT($F1897/100)*60+MOD($F1897,100)))</f>
        <v/>
      </c>
      <c r="K1897" s="41" t="str">
        <f>IF($G1897="","",IF($G1897&lt;1,ROUND($G1897*1440,0),INT($G1897/100)*60+MOD($G1897,100)))</f>
        <v/>
      </c>
    </row>
    <row r="1898" ht="15" customHeight="1" s="26">
      <c r="A1898" s="34" t="n"/>
      <c r="B1898" s="32" t="n"/>
      <c r="C1898" s="33" t="n"/>
      <c r="D1898" s="37" t="str">
        <f>IF($C1898="","",IFERROR(INDEX(프로젝트목록!$B$3:$B$62,MATCH($C1898,프로젝트목록!$A$3:$A$62,0)),"미등록코드"))</f>
        <v/>
      </c>
      <c r="E1898" s="32" t="n"/>
      <c r="F1898" s="38" t="n"/>
      <c r="G1898" s="38" t="n"/>
      <c r="H1898" s="39" t="n"/>
      <c r="I1898" s="40" t="str">
        <f>IF(OR($J1898="",$K1898=""),"",ROUND(MAX(0,($K1898-$J1898)-IF($H1898="",0,$H1898))/60,2))</f>
        <v/>
      </c>
      <c r="J1898" s="41" t="str">
        <f>IF($F1898="","",IF($F1898&lt;1,ROUND($F1898*1440,0),INT($F1898/100)*60+MOD($F1898,100)))</f>
        <v/>
      </c>
      <c r="K1898" s="41" t="str">
        <f>IF($G1898="","",IF($G1898&lt;1,ROUND($G1898*1440,0),INT($G1898/100)*60+MOD($G1898,100)))</f>
        <v/>
      </c>
    </row>
    <row r="1899" ht="15" customHeight="1" s="26">
      <c r="A1899" s="34" t="n"/>
      <c r="B1899" s="32" t="n"/>
      <c r="C1899" s="33" t="n"/>
      <c r="D1899" s="37" t="str">
        <f>IF($C1899="","",IFERROR(INDEX(프로젝트목록!$B$3:$B$62,MATCH($C1899,프로젝트목록!$A$3:$A$62,0)),"미등록코드"))</f>
        <v/>
      </c>
      <c r="E1899" s="32" t="n"/>
      <c r="F1899" s="38" t="n"/>
      <c r="G1899" s="38" t="n"/>
      <c r="H1899" s="39" t="n"/>
      <c r="I1899" s="40" t="str">
        <f>IF(OR($J1899="",$K1899=""),"",ROUND(MAX(0,($K1899-$J1899)-IF($H1899="",0,$H1899))/60,2))</f>
        <v/>
      </c>
      <c r="J1899" s="41" t="str">
        <f>IF($F1899="","",IF($F1899&lt;1,ROUND($F1899*1440,0),INT($F1899/100)*60+MOD($F1899,100)))</f>
        <v/>
      </c>
      <c r="K1899" s="41" t="str">
        <f>IF($G1899="","",IF($G1899&lt;1,ROUND($G1899*1440,0),INT($G1899/100)*60+MOD($G1899,100)))</f>
        <v/>
      </c>
    </row>
    <row r="1900" ht="15" customHeight="1" s="26">
      <c r="A1900" s="34" t="n"/>
      <c r="B1900" s="32" t="n"/>
      <c r="C1900" s="33" t="n"/>
      <c r="D1900" s="37" t="str">
        <f>IF($C1900="","",IFERROR(INDEX(프로젝트목록!$B$3:$B$62,MATCH($C1900,프로젝트목록!$A$3:$A$62,0)),"미등록코드"))</f>
        <v/>
      </c>
      <c r="E1900" s="32" t="n"/>
      <c r="F1900" s="38" t="n"/>
      <c r="G1900" s="38" t="n"/>
      <c r="H1900" s="39" t="n"/>
      <c r="I1900" s="40" t="str">
        <f>IF(OR($J1900="",$K1900=""),"",ROUND(MAX(0,($K1900-$J1900)-IF($H1900="",0,$H1900))/60,2))</f>
        <v/>
      </c>
      <c r="J1900" s="41" t="str">
        <f>IF($F1900="","",IF($F1900&lt;1,ROUND($F1900*1440,0),INT($F1900/100)*60+MOD($F1900,100)))</f>
        <v/>
      </c>
      <c r="K1900" s="41" t="str">
        <f>IF($G1900="","",IF($G1900&lt;1,ROUND($G1900*1440,0),INT($G1900/100)*60+MOD($G1900,100)))</f>
        <v/>
      </c>
    </row>
    <row r="1901" ht="15" customHeight="1" s="26">
      <c r="A1901" s="34" t="n"/>
      <c r="B1901" s="32" t="n"/>
      <c r="C1901" s="33" t="n"/>
      <c r="D1901" s="37" t="str">
        <f>IF($C1901="","",IFERROR(INDEX(프로젝트목록!$B$3:$B$62,MATCH($C1901,프로젝트목록!$A$3:$A$62,0)),"미등록코드"))</f>
        <v/>
      </c>
      <c r="E1901" s="32" t="n"/>
      <c r="F1901" s="38" t="n"/>
      <c r="G1901" s="38" t="n"/>
      <c r="H1901" s="39" t="n"/>
      <c r="I1901" s="40" t="str">
        <f>IF(OR($J1901="",$K1901=""),"",ROUND(MAX(0,($K1901-$J1901)-IF($H1901="",0,$H1901))/60,2))</f>
        <v/>
      </c>
      <c r="J1901" s="41" t="str">
        <f>IF($F1901="","",IF($F1901&lt;1,ROUND($F1901*1440,0),INT($F1901/100)*60+MOD($F1901,100)))</f>
        <v/>
      </c>
      <c r="K1901" s="41" t="str">
        <f>IF($G1901="","",IF($G1901&lt;1,ROUND($G1901*1440,0),INT($G1901/100)*60+MOD($G1901,100)))</f>
        <v/>
      </c>
    </row>
    <row r="1902" ht="15" customHeight="1" s="26">
      <c r="A1902" s="34" t="n"/>
      <c r="B1902" s="32" t="n"/>
      <c r="C1902" s="33" t="n"/>
      <c r="D1902" s="37" t="str">
        <f>IF($C1902="","",IFERROR(INDEX(프로젝트목록!$B$3:$B$62,MATCH($C1902,프로젝트목록!$A$3:$A$62,0)),"미등록코드"))</f>
        <v/>
      </c>
      <c r="E1902" s="32" t="n"/>
      <c r="F1902" s="38" t="n"/>
      <c r="G1902" s="38" t="n"/>
      <c r="H1902" s="39" t="n"/>
      <c r="I1902" s="40" t="str">
        <f>IF(OR($J1902="",$K1902=""),"",ROUND(MAX(0,($K1902-$J1902)-IF($H1902="",0,$H1902))/60,2))</f>
        <v/>
      </c>
      <c r="J1902" s="41" t="str">
        <f>IF($F1902="","",IF($F1902&lt;1,ROUND($F1902*1440,0),INT($F1902/100)*60+MOD($F1902,100)))</f>
        <v/>
      </c>
      <c r="K1902" s="41" t="str">
        <f>IF($G1902="","",IF($G1902&lt;1,ROUND($G1902*1440,0),INT($G1902/100)*60+MOD($G1902,100)))</f>
        <v/>
      </c>
    </row>
    <row r="1903" ht="15" customHeight="1" s="26">
      <c r="A1903" s="34" t="n"/>
      <c r="B1903" s="32" t="n"/>
      <c r="C1903" s="33" t="n"/>
      <c r="D1903" s="37" t="str">
        <f>IF($C1903="","",IFERROR(INDEX(프로젝트목록!$B$3:$B$62,MATCH($C1903,프로젝트목록!$A$3:$A$62,0)),"미등록코드"))</f>
        <v/>
      </c>
      <c r="E1903" s="32" t="n"/>
      <c r="F1903" s="38" t="n"/>
      <c r="G1903" s="38" t="n"/>
      <c r="H1903" s="39" t="n"/>
      <c r="I1903" s="40" t="str">
        <f>IF(OR($J1903="",$K1903=""),"",ROUND(MAX(0,($K1903-$J1903)-IF($H1903="",0,$H1903))/60,2))</f>
        <v/>
      </c>
      <c r="J1903" s="41" t="str">
        <f>IF($F1903="","",IF($F1903&lt;1,ROUND($F1903*1440,0),INT($F1903/100)*60+MOD($F1903,100)))</f>
        <v/>
      </c>
      <c r="K1903" s="41" t="str">
        <f>IF($G1903="","",IF($G1903&lt;1,ROUND($G1903*1440,0),INT($G1903/100)*60+MOD($G1903,100)))</f>
        <v/>
      </c>
    </row>
    <row r="1904" ht="15" customHeight="1" s="26">
      <c r="A1904" s="34" t="n"/>
      <c r="B1904" s="32" t="n"/>
      <c r="C1904" s="33" t="n"/>
      <c r="D1904" s="37" t="str">
        <f>IF($C1904="","",IFERROR(INDEX(프로젝트목록!$B$3:$B$62,MATCH($C1904,프로젝트목록!$A$3:$A$62,0)),"미등록코드"))</f>
        <v/>
      </c>
      <c r="E1904" s="32" t="n"/>
      <c r="F1904" s="38" t="n"/>
      <c r="G1904" s="38" t="n"/>
      <c r="H1904" s="39" t="n"/>
      <c r="I1904" s="40" t="str">
        <f>IF(OR($J1904="",$K1904=""),"",ROUND(MAX(0,($K1904-$J1904)-IF($H1904="",0,$H1904))/60,2))</f>
        <v/>
      </c>
      <c r="J1904" s="41" t="str">
        <f>IF($F1904="","",IF($F1904&lt;1,ROUND($F1904*1440,0),INT($F1904/100)*60+MOD($F1904,100)))</f>
        <v/>
      </c>
      <c r="K1904" s="41" t="str">
        <f>IF($G1904="","",IF($G1904&lt;1,ROUND($G1904*1440,0),INT($G1904/100)*60+MOD($G1904,100)))</f>
        <v/>
      </c>
    </row>
    <row r="1905" ht="15" customHeight="1" s="26">
      <c r="A1905" s="34" t="n"/>
      <c r="B1905" s="32" t="n"/>
      <c r="C1905" s="33" t="n"/>
      <c r="D1905" s="37" t="str">
        <f>IF($C1905="","",IFERROR(INDEX(프로젝트목록!$B$3:$B$62,MATCH($C1905,프로젝트목록!$A$3:$A$62,0)),"미등록코드"))</f>
        <v/>
      </c>
      <c r="E1905" s="32" t="n"/>
      <c r="F1905" s="38" t="n"/>
      <c r="G1905" s="38" t="n"/>
      <c r="H1905" s="39" t="n"/>
      <c r="I1905" s="40" t="str">
        <f>IF(OR($J1905="",$K1905=""),"",ROUND(MAX(0,($K1905-$J1905)-IF($H1905="",0,$H1905))/60,2))</f>
        <v/>
      </c>
      <c r="J1905" s="41" t="str">
        <f>IF($F1905="","",IF($F1905&lt;1,ROUND($F1905*1440,0),INT($F1905/100)*60+MOD($F1905,100)))</f>
        <v/>
      </c>
      <c r="K1905" s="41" t="str">
        <f>IF($G1905="","",IF($G1905&lt;1,ROUND($G1905*1440,0),INT($G1905/100)*60+MOD($G1905,100)))</f>
        <v/>
      </c>
    </row>
    <row r="1906" ht="15" customHeight="1" s="26">
      <c r="A1906" s="34" t="n"/>
      <c r="B1906" s="32" t="n"/>
      <c r="C1906" s="33" t="n"/>
      <c r="D1906" s="37" t="str">
        <f>IF($C1906="","",IFERROR(INDEX(프로젝트목록!$B$3:$B$62,MATCH($C1906,프로젝트목록!$A$3:$A$62,0)),"미등록코드"))</f>
        <v/>
      </c>
      <c r="E1906" s="32" t="n"/>
      <c r="F1906" s="38" t="n"/>
      <c r="G1906" s="38" t="n"/>
      <c r="H1906" s="39" t="n"/>
      <c r="I1906" s="40" t="str">
        <f>IF(OR($J1906="",$K1906=""),"",ROUND(MAX(0,($K1906-$J1906)-IF($H1906="",0,$H1906))/60,2))</f>
        <v/>
      </c>
      <c r="J1906" s="41" t="str">
        <f>IF($F1906="","",IF($F1906&lt;1,ROUND($F1906*1440,0),INT($F1906/100)*60+MOD($F1906,100)))</f>
        <v/>
      </c>
      <c r="K1906" s="41" t="str">
        <f>IF($G1906="","",IF($G1906&lt;1,ROUND($G1906*1440,0),INT($G1906/100)*60+MOD($G1906,100)))</f>
        <v/>
      </c>
    </row>
    <row r="1907" ht="15" customHeight="1" s="26">
      <c r="A1907" s="34" t="n"/>
      <c r="B1907" s="32" t="n"/>
      <c r="C1907" s="33" t="n"/>
      <c r="D1907" s="37" t="str">
        <f>IF($C1907="","",IFERROR(INDEX(프로젝트목록!$B$3:$B$62,MATCH($C1907,프로젝트목록!$A$3:$A$62,0)),"미등록코드"))</f>
        <v/>
      </c>
      <c r="E1907" s="32" t="n"/>
      <c r="F1907" s="38" t="n"/>
      <c r="G1907" s="38" t="n"/>
      <c r="H1907" s="39" t="n"/>
      <c r="I1907" s="40" t="str">
        <f>IF(OR($J1907="",$K1907=""),"",ROUND(MAX(0,($K1907-$J1907)-IF($H1907="",0,$H1907))/60,2))</f>
        <v/>
      </c>
      <c r="J1907" s="41" t="str">
        <f>IF($F1907="","",IF($F1907&lt;1,ROUND($F1907*1440,0),INT($F1907/100)*60+MOD($F1907,100)))</f>
        <v/>
      </c>
      <c r="K1907" s="41" t="str">
        <f>IF($G1907="","",IF($G1907&lt;1,ROUND($G1907*1440,0),INT($G1907/100)*60+MOD($G1907,100)))</f>
        <v/>
      </c>
    </row>
    <row r="1908" ht="15" customHeight="1" s="26">
      <c r="A1908" s="34" t="n"/>
      <c r="B1908" s="32" t="n"/>
      <c r="C1908" s="33" t="n"/>
      <c r="D1908" s="37" t="str">
        <f>IF($C1908="","",IFERROR(INDEX(프로젝트목록!$B$3:$B$62,MATCH($C1908,프로젝트목록!$A$3:$A$62,0)),"미등록코드"))</f>
        <v/>
      </c>
      <c r="E1908" s="32" t="n"/>
      <c r="F1908" s="38" t="n"/>
      <c r="G1908" s="38" t="n"/>
      <c r="H1908" s="39" t="n"/>
      <c r="I1908" s="40" t="str">
        <f>IF(OR($J1908="",$K1908=""),"",ROUND(MAX(0,($K1908-$J1908)-IF($H1908="",0,$H1908))/60,2))</f>
        <v/>
      </c>
      <c r="J1908" s="41" t="str">
        <f>IF($F1908="","",IF($F1908&lt;1,ROUND($F1908*1440,0),INT($F1908/100)*60+MOD($F1908,100)))</f>
        <v/>
      </c>
      <c r="K1908" s="41" t="str">
        <f>IF($G1908="","",IF($G1908&lt;1,ROUND($G1908*1440,0),INT($G1908/100)*60+MOD($G1908,100)))</f>
        <v/>
      </c>
    </row>
    <row r="1909" ht="15" customHeight="1" s="26">
      <c r="A1909" s="34" t="n"/>
      <c r="B1909" s="32" t="n"/>
      <c r="C1909" s="33" t="n"/>
      <c r="D1909" s="37" t="str">
        <f>IF($C1909="","",IFERROR(INDEX(프로젝트목록!$B$3:$B$62,MATCH($C1909,프로젝트목록!$A$3:$A$62,0)),"미등록코드"))</f>
        <v/>
      </c>
      <c r="E1909" s="32" t="n"/>
      <c r="F1909" s="38" t="n"/>
      <c r="G1909" s="38" t="n"/>
      <c r="H1909" s="39" t="n"/>
      <c r="I1909" s="40" t="str">
        <f>IF(OR($J1909="",$K1909=""),"",ROUND(MAX(0,($K1909-$J1909)-IF($H1909="",0,$H1909))/60,2))</f>
        <v/>
      </c>
      <c r="J1909" s="41" t="str">
        <f>IF($F1909="","",IF($F1909&lt;1,ROUND($F1909*1440,0),INT($F1909/100)*60+MOD($F1909,100)))</f>
        <v/>
      </c>
      <c r="K1909" s="41" t="str">
        <f>IF($G1909="","",IF($G1909&lt;1,ROUND($G1909*1440,0),INT($G1909/100)*60+MOD($G1909,100)))</f>
        <v/>
      </c>
    </row>
    <row r="1910" ht="15" customHeight="1" s="26">
      <c r="A1910" s="34" t="n"/>
      <c r="B1910" s="32" t="n"/>
      <c r="C1910" s="33" t="n"/>
      <c r="D1910" s="37" t="str">
        <f>IF($C1910="","",IFERROR(INDEX(프로젝트목록!$B$3:$B$62,MATCH($C1910,프로젝트목록!$A$3:$A$62,0)),"미등록코드"))</f>
        <v/>
      </c>
      <c r="E1910" s="32" t="n"/>
      <c r="F1910" s="38" t="n"/>
      <c r="G1910" s="38" t="n"/>
      <c r="H1910" s="39" t="n"/>
      <c r="I1910" s="40" t="str">
        <f>IF(OR($J1910="",$K1910=""),"",ROUND(MAX(0,($K1910-$J1910)-IF($H1910="",0,$H1910))/60,2))</f>
        <v/>
      </c>
      <c r="J1910" s="41" t="str">
        <f>IF($F1910="","",IF($F1910&lt;1,ROUND($F1910*1440,0),INT($F1910/100)*60+MOD($F1910,100)))</f>
        <v/>
      </c>
      <c r="K1910" s="41" t="str">
        <f>IF($G1910="","",IF($G1910&lt;1,ROUND($G1910*1440,0),INT($G1910/100)*60+MOD($G1910,100)))</f>
        <v/>
      </c>
    </row>
    <row r="1911" ht="15" customHeight="1" s="26">
      <c r="A1911" s="34" t="n"/>
      <c r="B1911" s="32" t="n"/>
      <c r="C1911" s="33" t="n"/>
      <c r="D1911" s="37" t="str">
        <f>IF($C1911="","",IFERROR(INDEX(프로젝트목록!$B$3:$B$62,MATCH($C1911,프로젝트목록!$A$3:$A$62,0)),"미등록코드"))</f>
        <v/>
      </c>
      <c r="E1911" s="32" t="n"/>
      <c r="F1911" s="38" t="n"/>
      <c r="G1911" s="38" t="n"/>
      <c r="H1911" s="39" t="n"/>
      <c r="I1911" s="40" t="str">
        <f>IF(OR($J1911="",$K1911=""),"",ROUND(MAX(0,($K1911-$J1911)-IF($H1911="",0,$H1911))/60,2))</f>
        <v/>
      </c>
      <c r="J1911" s="41" t="str">
        <f>IF($F1911="","",IF($F1911&lt;1,ROUND($F1911*1440,0),INT($F1911/100)*60+MOD($F1911,100)))</f>
        <v/>
      </c>
      <c r="K1911" s="41" t="str">
        <f>IF($G1911="","",IF($G1911&lt;1,ROUND($G1911*1440,0),INT($G1911/100)*60+MOD($G1911,100)))</f>
        <v/>
      </c>
    </row>
    <row r="1912" ht="15" customHeight="1" s="26">
      <c r="A1912" s="34" t="n"/>
      <c r="B1912" s="32" t="n"/>
      <c r="C1912" s="33" t="n"/>
      <c r="D1912" s="37" t="str">
        <f>IF($C1912="","",IFERROR(INDEX(프로젝트목록!$B$3:$B$62,MATCH($C1912,프로젝트목록!$A$3:$A$62,0)),"미등록코드"))</f>
        <v/>
      </c>
      <c r="E1912" s="32" t="n"/>
      <c r="F1912" s="38" t="n"/>
      <c r="G1912" s="38" t="n"/>
      <c r="H1912" s="39" t="n"/>
      <c r="I1912" s="40" t="str">
        <f>IF(OR($J1912="",$K1912=""),"",ROUND(MAX(0,($K1912-$J1912)-IF($H1912="",0,$H1912))/60,2))</f>
        <v/>
      </c>
      <c r="J1912" s="41" t="str">
        <f>IF($F1912="","",IF($F1912&lt;1,ROUND($F1912*1440,0),INT($F1912/100)*60+MOD($F1912,100)))</f>
        <v/>
      </c>
      <c r="K1912" s="41" t="str">
        <f>IF($G1912="","",IF($G1912&lt;1,ROUND($G1912*1440,0),INT($G1912/100)*60+MOD($G1912,100)))</f>
        <v/>
      </c>
    </row>
    <row r="1913" ht="15" customHeight="1" s="26">
      <c r="A1913" s="34" t="n"/>
      <c r="B1913" s="32" t="n"/>
      <c r="C1913" s="33" t="n"/>
      <c r="D1913" s="37" t="str">
        <f>IF($C1913="","",IFERROR(INDEX(프로젝트목록!$B$3:$B$62,MATCH($C1913,프로젝트목록!$A$3:$A$62,0)),"미등록코드"))</f>
        <v/>
      </c>
      <c r="E1913" s="32" t="n"/>
      <c r="F1913" s="38" t="n"/>
      <c r="G1913" s="38" t="n"/>
      <c r="H1913" s="39" t="n"/>
      <c r="I1913" s="40" t="str">
        <f>IF(OR($J1913="",$K1913=""),"",ROUND(MAX(0,($K1913-$J1913)-IF($H1913="",0,$H1913))/60,2))</f>
        <v/>
      </c>
      <c r="J1913" s="41" t="str">
        <f>IF($F1913="","",IF($F1913&lt;1,ROUND($F1913*1440,0),INT($F1913/100)*60+MOD($F1913,100)))</f>
        <v/>
      </c>
      <c r="K1913" s="41" t="str">
        <f>IF($G1913="","",IF($G1913&lt;1,ROUND($G1913*1440,0),INT($G1913/100)*60+MOD($G1913,100)))</f>
        <v/>
      </c>
    </row>
    <row r="1914" ht="15" customHeight="1" s="26">
      <c r="A1914" s="34" t="n"/>
      <c r="B1914" s="32" t="n"/>
      <c r="C1914" s="33" t="n"/>
      <c r="D1914" s="37" t="str">
        <f>IF($C1914="","",IFERROR(INDEX(프로젝트목록!$B$3:$B$62,MATCH($C1914,프로젝트목록!$A$3:$A$62,0)),"미등록코드"))</f>
        <v/>
      </c>
      <c r="E1914" s="32" t="n"/>
      <c r="F1914" s="38" t="n"/>
      <c r="G1914" s="38" t="n"/>
      <c r="H1914" s="39" t="n"/>
      <c r="I1914" s="40" t="str">
        <f>IF(OR($J1914="",$K1914=""),"",ROUND(MAX(0,($K1914-$J1914)-IF($H1914="",0,$H1914))/60,2))</f>
        <v/>
      </c>
      <c r="J1914" s="41" t="str">
        <f>IF($F1914="","",IF($F1914&lt;1,ROUND($F1914*1440,0),INT($F1914/100)*60+MOD($F1914,100)))</f>
        <v/>
      </c>
      <c r="K1914" s="41" t="str">
        <f>IF($G1914="","",IF($G1914&lt;1,ROUND($G1914*1440,0),INT($G1914/100)*60+MOD($G1914,100)))</f>
        <v/>
      </c>
    </row>
    <row r="1915" ht="15" customHeight="1" s="26">
      <c r="A1915" s="34" t="n"/>
      <c r="B1915" s="32" t="n"/>
      <c r="C1915" s="33" t="n"/>
      <c r="D1915" s="37" t="str">
        <f>IF($C1915="","",IFERROR(INDEX(프로젝트목록!$B$3:$B$62,MATCH($C1915,프로젝트목록!$A$3:$A$62,0)),"미등록코드"))</f>
        <v/>
      </c>
      <c r="E1915" s="32" t="n"/>
      <c r="F1915" s="38" t="n"/>
      <c r="G1915" s="38" t="n"/>
      <c r="H1915" s="39" t="n"/>
      <c r="I1915" s="40" t="str">
        <f>IF(OR($J1915="",$K1915=""),"",ROUND(MAX(0,($K1915-$J1915)-IF($H1915="",0,$H1915))/60,2))</f>
        <v/>
      </c>
      <c r="J1915" s="41" t="str">
        <f>IF($F1915="","",IF($F1915&lt;1,ROUND($F1915*1440,0),INT($F1915/100)*60+MOD($F1915,100)))</f>
        <v/>
      </c>
      <c r="K1915" s="41" t="str">
        <f>IF($G1915="","",IF($G1915&lt;1,ROUND($G1915*1440,0),INT($G1915/100)*60+MOD($G1915,100)))</f>
        <v/>
      </c>
    </row>
    <row r="1916" ht="15" customHeight="1" s="26">
      <c r="A1916" s="34" t="n"/>
      <c r="B1916" s="32" t="n"/>
      <c r="C1916" s="33" t="n"/>
      <c r="D1916" s="37" t="str">
        <f>IF($C1916="","",IFERROR(INDEX(프로젝트목록!$B$3:$B$62,MATCH($C1916,프로젝트목록!$A$3:$A$62,0)),"미등록코드"))</f>
        <v/>
      </c>
      <c r="E1916" s="32" t="n"/>
      <c r="F1916" s="38" t="n"/>
      <c r="G1916" s="38" t="n"/>
      <c r="H1916" s="39" t="n"/>
      <c r="I1916" s="40" t="str">
        <f>IF(OR($J1916="",$K1916=""),"",ROUND(MAX(0,($K1916-$J1916)-IF($H1916="",0,$H1916))/60,2))</f>
        <v/>
      </c>
      <c r="J1916" s="41" t="str">
        <f>IF($F1916="","",IF($F1916&lt;1,ROUND($F1916*1440,0),INT($F1916/100)*60+MOD($F1916,100)))</f>
        <v/>
      </c>
      <c r="K1916" s="41" t="str">
        <f>IF($G1916="","",IF($G1916&lt;1,ROUND($G1916*1440,0),INT($G1916/100)*60+MOD($G1916,100)))</f>
        <v/>
      </c>
    </row>
    <row r="1917" ht="15" customHeight="1" s="26">
      <c r="A1917" s="34" t="n"/>
      <c r="B1917" s="32" t="n"/>
      <c r="C1917" s="33" t="n"/>
      <c r="D1917" s="37" t="str">
        <f>IF($C1917="","",IFERROR(INDEX(프로젝트목록!$B$3:$B$62,MATCH($C1917,프로젝트목록!$A$3:$A$62,0)),"미등록코드"))</f>
        <v/>
      </c>
      <c r="E1917" s="32" t="n"/>
      <c r="F1917" s="38" t="n"/>
      <c r="G1917" s="38" t="n"/>
      <c r="H1917" s="39" t="n"/>
      <c r="I1917" s="40" t="str">
        <f>IF(OR($J1917="",$K1917=""),"",ROUND(MAX(0,($K1917-$J1917)-IF($H1917="",0,$H1917))/60,2))</f>
        <v/>
      </c>
      <c r="J1917" s="41" t="str">
        <f>IF($F1917="","",IF($F1917&lt;1,ROUND($F1917*1440,0),INT($F1917/100)*60+MOD($F1917,100)))</f>
        <v/>
      </c>
      <c r="K1917" s="41" t="str">
        <f>IF($G1917="","",IF($G1917&lt;1,ROUND($G1917*1440,0),INT($G1917/100)*60+MOD($G1917,100)))</f>
        <v/>
      </c>
    </row>
    <row r="1918" ht="15" customHeight="1" s="26">
      <c r="A1918" s="34" t="n"/>
      <c r="B1918" s="32" t="n"/>
      <c r="C1918" s="33" t="n"/>
      <c r="D1918" s="37" t="str">
        <f>IF($C1918="","",IFERROR(INDEX(프로젝트목록!$B$3:$B$62,MATCH($C1918,프로젝트목록!$A$3:$A$62,0)),"미등록코드"))</f>
        <v/>
      </c>
      <c r="E1918" s="32" t="n"/>
      <c r="F1918" s="38" t="n"/>
      <c r="G1918" s="38" t="n"/>
      <c r="H1918" s="39" t="n"/>
      <c r="I1918" s="40" t="str">
        <f>IF(OR($J1918="",$K1918=""),"",ROUND(MAX(0,($K1918-$J1918)-IF($H1918="",0,$H1918))/60,2))</f>
        <v/>
      </c>
      <c r="J1918" s="41" t="str">
        <f>IF($F1918="","",IF($F1918&lt;1,ROUND($F1918*1440,0),INT($F1918/100)*60+MOD($F1918,100)))</f>
        <v/>
      </c>
      <c r="K1918" s="41" t="str">
        <f>IF($G1918="","",IF($G1918&lt;1,ROUND($G1918*1440,0),INT($G1918/100)*60+MOD($G1918,100)))</f>
        <v/>
      </c>
    </row>
    <row r="1919" ht="15" customHeight="1" s="26">
      <c r="A1919" s="34" t="n"/>
      <c r="B1919" s="32" t="n"/>
      <c r="C1919" s="33" t="n"/>
      <c r="D1919" s="37" t="str">
        <f>IF($C1919="","",IFERROR(INDEX(프로젝트목록!$B$3:$B$62,MATCH($C1919,프로젝트목록!$A$3:$A$62,0)),"미등록코드"))</f>
        <v/>
      </c>
      <c r="E1919" s="32" t="n"/>
      <c r="F1919" s="38" t="n"/>
      <c r="G1919" s="38" t="n"/>
      <c r="H1919" s="39" t="n"/>
      <c r="I1919" s="40" t="str">
        <f>IF(OR($J1919="",$K1919=""),"",ROUND(MAX(0,($K1919-$J1919)-IF($H1919="",0,$H1919))/60,2))</f>
        <v/>
      </c>
      <c r="J1919" s="41" t="str">
        <f>IF($F1919="","",IF($F1919&lt;1,ROUND($F1919*1440,0),INT($F1919/100)*60+MOD($F1919,100)))</f>
        <v/>
      </c>
      <c r="K1919" s="41" t="str">
        <f>IF($G1919="","",IF($G1919&lt;1,ROUND($G1919*1440,0),INT($G1919/100)*60+MOD($G1919,100)))</f>
        <v/>
      </c>
    </row>
    <row r="1920" ht="15" customHeight="1" s="26">
      <c r="A1920" s="34" t="n"/>
      <c r="B1920" s="32" t="n"/>
      <c r="C1920" s="33" t="n"/>
      <c r="D1920" s="37" t="str">
        <f>IF($C1920="","",IFERROR(INDEX(프로젝트목록!$B$3:$B$62,MATCH($C1920,프로젝트목록!$A$3:$A$62,0)),"미등록코드"))</f>
        <v/>
      </c>
      <c r="E1920" s="32" t="n"/>
      <c r="F1920" s="38" t="n"/>
      <c r="G1920" s="38" t="n"/>
      <c r="H1920" s="39" t="n"/>
      <c r="I1920" s="40" t="str">
        <f>IF(OR($J1920="",$K1920=""),"",ROUND(MAX(0,($K1920-$J1920)-IF($H1920="",0,$H1920))/60,2))</f>
        <v/>
      </c>
      <c r="J1920" s="41" t="str">
        <f>IF($F1920="","",IF($F1920&lt;1,ROUND($F1920*1440,0),INT($F1920/100)*60+MOD($F1920,100)))</f>
        <v/>
      </c>
      <c r="K1920" s="41" t="str">
        <f>IF($G1920="","",IF($G1920&lt;1,ROUND($G1920*1440,0),INT($G1920/100)*60+MOD($G1920,100)))</f>
        <v/>
      </c>
    </row>
    <row r="1921" ht="15" customHeight="1" s="26">
      <c r="A1921" s="34" t="n"/>
      <c r="B1921" s="32" t="n"/>
      <c r="C1921" s="33" t="n"/>
      <c r="D1921" s="37" t="str">
        <f>IF($C1921="","",IFERROR(INDEX(프로젝트목록!$B$3:$B$62,MATCH($C1921,프로젝트목록!$A$3:$A$62,0)),"미등록코드"))</f>
        <v/>
      </c>
      <c r="E1921" s="32" t="n"/>
      <c r="F1921" s="38" t="n"/>
      <c r="G1921" s="38" t="n"/>
      <c r="H1921" s="39" t="n"/>
      <c r="I1921" s="40" t="str">
        <f>IF(OR($J1921="",$K1921=""),"",ROUND(MAX(0,($K1921-$J1921)-IF($H1921="",0,$H1921))/60,2))</f>
        <v/>
      </c>
      <c r="J1921" s="41" t="str">
        <f>IF($F1921="","",IF($F1921&lt;1,ROUND($F1921*1440,0),INT($F1921/100)*60+MOD($F1921,100)))</f>
        <v/>
      </c>
      <c r="K1921" s="41" t="str">
        <f>IF($G1921="","",IF($G1921&lt;1,ROUND($G1921*1440,0),INT($G1921/100)*60+MOD($G1921,100)))</f>
        <v/>
      </c>
    </row>
    <row r="1922" ht="15" customHeight="1" s="26">
      <c r="A1922" s="34" t="n"/>
      <c r="B1922" s="32" t="n"/>
      <c r="C1922" s="33" t="n"/>
      <c r="D1922" s="37" t="str">
        <f>IF($C1922="","",IFERROR(INDEX(프로젝트목록!$B$3:$B$62,MATCH($C1922,프로젝트목록!$A$3:$A$62,0)),"미등록코드"))</f>
        <v/>
      </c>
      <c r="E1922" s="32" t="n"/>
      <c r="F1922" s="38" t="n"/>
      <c r="G1922" s="38" t="n"/>
      <c r="H1922" s="39" t="n"/>
      <c r="I1922" s="40" t="str">
        <f>IF(OR($J1922="",$K1922=""),"",ROUND(MAX(0,($K1922-$J1922)-IF($H1922="",0,$H1922))/60,2))</f>
        <v/>
      </c>
      <c r="J1922" s="41" t="str">
        <f>IF($F1922="","",IF($F1922&lt;1,ROUND($F1922*1440,0),INT($F1922/100)*60+MOD($F1922,100)))</f>
        <v/>
      </c>
      <c r="K1922" s="41" t="str">
        <f>IF($G1922="","",IF($G1922&lt;1,ROUND($G1922*1440,0),INT($G1922/100)*60+MOD($G1922,100)))</f>
        <v/>
      </c>
    </row>
    <row r="1923" ht="15" customHeight="1" s="26">
      <c r="A1923" s="34" t="n"/>
      <c r="B1923" s="32" t="n"/>
      <c r="C1923" s="33" t="n"/>
      <c r="D1923" s="37" t="str">
        <f>IF($C1923="","",IFERROR(INDEX(프로젝트목록!$B$3:$B$62,MATCH($C1923,프로젝트목록!$A$3:$A$62,0)),"미등록코드"))</f>
        <v/>
      </c>
      <c r="E1923" s="32" t="n"/>
      <c r="F1923" s="38" t="n"/>
      <c r="G1923" s="38" t="n"/>
      <c r="H1923" s="39" t="n"/>
      <c r="I1923" s="40" t="str">
        <f>IF(OR($J1923="",$K1923=""),"",ROUND(MAX(0,($K1923-$J1923)-IF($H1923="",0,$H1923))/60,2))</f>
        <v/>
      </c>
      <c r="J1923" s="41" t="str">
        <f>IF($F1923="","",IF($F1923&lt;1,ROUND($F1923*1440,0),INT($F1923/100)*60+MOD($F1923,100)))</f>
        <v/>
      </c>
      <c r="K1923" s="41" t="str">
        <f>IF($G1923="","",IF($G1923&lt;1,ROUND($G1923*1440,0),INT($G1923/100)*60+MOD($G1923,100)))</f>
        <v/>
      </c>
    </row>
    <row r="1924" ht="15" customHeight="1" s="26">
      <c r="A1924" s="34" t="n"/>
      <c r="B1924" s="32" t="n"/>
      <c r="C1924" s="33" t="n"/>
      <c r="D1924" s="37" t="str">
        <f>IF($C1924="","",IFERROR(INDEX(프로젝트목록!$B$3:$B$62,MATCH($C1924,프로젝트목록!$A$3:$A$62,0)),"미등록코드"))</f>
        <v/>
      </c>
      <c r="E1924" s="32" t="n"/>
      <c r="F1924" s="38" t="n"/>
      <c r="G1924" s="38" t="n"/>
      <c r="H1924" s="39" t="n"/>
      <c r="I1924" s="40" t="str">
        <f>IF(OR($J1924="",$K1924=""),"",ROUND(MAX(0,($K1924-$J1924)-IF($H1924="",0,$H1924))/60,2))</f>
        <v/>
      </c>
      <c r="J1924" s="41" t="str">
        <f>IF($F1924="","",IF($F1924&lt;1,ROUND($F1924*1440,0),INT($F1924/100)*60+MOD($F1924,100)))</f>
        <v/>
      </c>
      <c r="K1924" s="41" t="str">
        <f>IF($G1924="","",IF($G1924&lt;1,ROUND($G1924*1440,0),INT($G1924/100)*60+MOD($G1924,100)))</f>
        <v/>
      </c>
    </row>
    <row r="1925" ht="15" customHeight="1" s="26">
      <c r="A1925" s="34" t="n"/>
      <c r="B1925" s="32" t="n"/>
      <c r="C1925" s="33" t="n"/>
      <c r="D1925" s="37" t="str">
        <f>IF($C1925="","",IFERROR(INDEX(프로젝트목록!$B$3:$B$62,MATCH($C1925,프로젝트목록!$A$3:$A$62,0)),"미등록코드"))</f>
        <v/>
      </c>
      <c r="E1925" s="32" t="n"/>
      <c r="F1925" s="38" t="n"/>
      <c r="G1925" s="38" t="n"/>
      <c r="H1925" s="39" t="n"/>
      <c r="I1925" s="40" t="str">
        <f>IF(OR($J1925="",$K1925=""),"",ROUND(MAX(0,($K1925-$J1925)-IF($H1925="",0,$H1925))/60,2))</f>
        <v/>
      </c>
      <c r="J1925" s="41" t="str">
        <f>IF($F1925="","",IF($F1925&lt;1,ROUND($F1925*1440,0),INT($F1925/100)*60+MOD($F1925,100)))</f>
        <v/>
      </c>
      <c r="K1925" s="41" t="str">
        <f>IF($G1925="","",IF($G1925&lt;1,ROUND($G1925*1440,0),INT($G1925/100)*60+MOD($G1925,100)))</f>
        <v/>
      </c>
    </row>
    <row r="1926" ht="15" customHeight="1" s="26">
      <c r="A1926" s="34" t="n"/>
      <c r="B1926" s="32" t="n"/>
      <c r="C1926" s="33" t="n"/>
      <c r="D1926" s="37" t="str">
        <f>IF($C1926="","",IFERROR(INDEX(프로젝트목록!$B$3:$B$62,MATCH($C1926,프로젝트목록!$A$3:$A$62,0)),"미등록코드"))</f>
        <v/>
      </c>
      <c r="E1926" s="32" t="n"/>
      <c r="F1926" s="38" t="n"/>
      <c r="G1926" s="38" t="n"/>
      <c r="H1926" s="39" t="n"/>
      <c r="I1926" s="40" t="str">
        <f>IF(OR($J1926="",$K1926=""),"",ROUND(MAX(0,($K1926-$J1926)-IF($H1926="",0,$H1926))/60,2))</f>
        <v/>
      </c>
      <c r="J1926" s="41" t="str">
        <f>IF($F1926="","",IF($F1926&lt;1,ROUND($F1926*1440,0),INT($F1926/100)*60+MOD($F1926,100)))</f>
        <v/>
      </c>
      <c r="K1926" s="41" t="str">
        <f>IF($G1926="","",IF($G1926&lt;1,ROUND($G1926*1440,0),INT($G1926/100)*60+MOD($G1926,100)))</f>
        <v/>
      </c>
    </row>
    <row r="1927" ht="15" customHeight="1" s="26">
      <c r="A1927" s="34" t="n"/>
      <c r="B1927" s="32" t="n"/>
      <c r="C1927" s="33" t="n"/>
      <c r="D1927" s="37" t="str">
        <f>IF($C1927="","",IFERROR(INDEX(프로젝트목록!$B$3:$B$62,MATCH($C1927,프로젝트목록!$A$3:$A$62,0)),"미등록코드"))</f>
        <v/>
      </c>
      <c r="E1927" s="32" t="n"/>
      <c r="F1927" s="38" t="n"/>
      <c r="G1927" s="38" t="n"/>
      <c r="H1927" s="39" t="n"/>
      <c r="I1927" s="40" t="str">
        <f>IF(OR($J1927="",$K1927=""),"",ROUND(MAX(0,($K1927-$J1927)-IF($H1927="",0,$H1927))/60,2))</f>
        <v/>
      </c>
      <c r="J1927" s="41" t="str">
        <f>IF($F1927="","",IF($F1927&lt;1,ROUND($F1927*1440,0),INT($F1927/100)*60+MOD($F1927,100)))</f>
        <v/>
      </c>
      <c r="K1927" s="41" t="str">
        <f>IF($G1927="","",IF($G1927&lt;1,ROUND($G1927*1440,0),INT($G1927/100)*60+MOD($G1927,100)))</f>
        <v/>
      </c>
    </row>
    <row r="1928" ht="15" customHeight="1" s="26">
      <c r="A1928" s="34" t="n"/>
      <c r="B1928" s="32" t="n"/>
      <c r="C1928" s="33" t="n"/>
      <c r="D1928" s="37" t="str">
        <f>IF($C1928="","",IFERROR(INDEX(프로젝트목록!$B$3:$B$62,MATCH($C1928,프로젝트목록!$A$3:$A$62,0)),"미등록코드"))</f>
        <v/>
      </c>
      <c r="E1928" s="32" t="n"/>
      <c r="F1928" s="38" t="n"/>
      <c r="G1928" s="38" t="n"/>
      <c r="H1928" s="39" t="n"/>
      <c r="I1928" s="40" t="str">
        <f>IF(OR($J1928="",$K1928=""),"",ROUND(MAX(0,($K1928-$J1928)-IF($H1928="",0,$H1928))/60,2))</f>
        <v/>
      </c>
      <c r="J1928" s="41" t="str">
        <f>IF($F1928="","",IF($F1928&lt;1,ROUND($F1928*1440,0),INT($F1928/100)*60+MOD($F1928,100)))</f>
        <v/>
      </c>
      <c r="K1928" s="41" t="str">
        <f>IF($G1928="","",IF($G1928&lt;1,ROUND($G1928*1440,0),INT($G1928/100)*60+MOD($G1928,100)))</f>
        <v/>
      </c>
    </row>
    <row r="1929" ht="15" customHeight="1" s="26">
      <c r="A1929" s="34" t="n"/>
      <c r="B1929" s="32" t="n"/>
      <c r="C1929" s="33" t="n"/>
      <c r="D1929" s="37" t="str">
        <f>IF($C1929="","",IFERROR(INDEX(프로젝트목록!$B$3:$B$62,MATCH($C1929,프로젝트목록!$A$3:$A$62,0)),"미등록코드"))</f>
        <v/>
      </c>
      <c r="E1929" s="32" t="n"/>
      <c r="F1929" s="38" t="n"/>
      <c r="G1929" s="38" t="n"/>
      <c r="H1929" s="39" t="n"/>
      <c r="I1929" s="40" t="str">
        <f>IF(OR($J1929="",$K1929=""),"",ROUND(MAX(0,($K1929-$J1929)-IF($H1929="",0,$H1929))/60,2))</f>
        <v/>
      </c>
      <c r="J1929" s="41" t="str">
        <f>IF($F1929="","",IF($F1929&lt;1,ROUND($F1929*1440,0),INT($F1929/100)*60+MOD($F1929,100)))</f>
        <v/>
      </c>
      <c r="K1929" s="41" t="str">
        <f>IF($G1929="","",IF($G1929&lt;1,ROUND($G1929*1440,0),INT($G1929/100)*60+MOD($G1929,100)))</f>
        <v/>
      </c>
    </row>
    <row r="1930" ht="15" customHeight="1" s="26">
      <c r="A1930" s="34" t="n"/>
      <c r="B1930" s="32" t="n"/>
      <c r="C1930" s="33" t="n"/>
      <c r="D1930" s="37" t="str">
        <f>IF($C1930="","",IFERROR(INDEX(프로젝트목록!$B$3:$B$62,MATCH($C1930,프로젝트목록!$A$3:$A$62,0)),"미등록코드"))</f>
        <v/>
      </c>
      <c r="E1930" s="32" t="n"/>
      <c r="F1930" s="38" t="n"/>
      <c r="G1930" s="38" t="n"/>
      <c r="H1930" s="39" t="n"/>
      <c r="I1930" s="40" t="str">
        <f>IF(OR($J1930="",$K1930=""),"",ROUND(MAX(0,($K1930-$J1930)-IF($H1930="",0,$H1930))/60,2))</f>
        <v/>
      </c>
      <c r="J1930" s="41" t="str">
        <f>IF($F1930="","",IF($F1930&lt;1,ROUND($F1930*1440,0),INT($F1930/100)*60+MOD($F1930,100)))</f>
        <v/>
      </c>
      <c r="K1930" s="41" t="str">
        <f>IF($G1930="","",IF($G1930&lt;1,ROUND($G1930*1440,0),INT($G1930/100)*60+MOD($G1930,100)))</f>
        <v/>
      </c>
    </row>
    <row r="1931" ht="15" customHeight="1" s="26">
      <c r="A1931" s="34" t="n"/>
      <c r="B1931" s="32" t="n"/>
      <c r="C1931" s="33" t="n"/>
      <c r="D1931" s="37" t="str">
        <f>IF($C1931="","",IFERROR(INDEX(프로젝트목록!$B$3:$B$62,MATCH($C1931,프로젝트목록!$A$3:$A$62,0)),"미등록코드"))</f>
        <v/>
      </c>
      <c r="E1931" s="32" t="n"/>
      <c r="F1931" s="38" t="n"/>
      <c r="G1931" s="38" t="n"/>
      <c r="H1931" s="39" t="n"/>
      <c r="I1931" s="40" t="str">
        <f>IF(OR($J1931="",$K1931=""),"",ROUND(MAX(0,($K1931-$J1931)-IF($H1931="",0,$H1931))/60,2))</f>
        <v/>
      </c>
      <c r="J1931" s="41" t="str">
        <f>IF($F1931="","",IF($F1931&lt;1,ROUND($F1931*1440,0),INT($F1931/100)*60+MOD($F1931,100)))</f>
        <v/>
      </c>
      <c r="K1931" s="41" t="str">
        <f>IF($G1931="","",IF($G1931&lt;1,ROUND($G1931*1440,0),INT($G1931/100)*60+MOD($G1931,100)))</f>
        <v/>
      </c>
    </row>
    <row r="1932" ht="15" customHeight="1" s="26">
      <c r="A1932" s="34" t="n"/>
      <c r="B1932" s="32" t="n"/>
      <c r="C1932" s="33" t="n"/>
      <c r="D1932" s="37" t="str">
        <f>IF($C1932="","",IFERROR(INDEX(프로젝트목록!$B$3:$B$62,MATCH($C1932,프로젝트목록!$A$3:$A$62,0)),"미등록코드"))</f>
        <v/>
      </c>
      <c r="E1932" s="32" t="n"/>
      <c r="F1932" s="38" t="n"/>
      <c r="G1932" s="38" t="n"/>
      <c r="H1932" s="39" t="n"/>
      <c r="I1932" s="40" t="str">
        <f>IF(OR($J1932="",$K1932=""),"",ROUND(MAX(0,($K1932-$J1932)-IF($H1932="",0,$H1932))/60,2))</f>
        <v/>
      </c>
      <c r="J1932" s="41" t="str">
        <f>IF($F1932="","",IF($F1932&lt;1,ROUND($F1932*1440,0),INT($F1932/100)*60+MOD($F1932,100)))</f>
        <v/>
      </c>
      <c r="K1932" s="41" t="str">
        <f>IF($G1932="","",IF($G1932&lt;1,ROUND($G1932*1440,0),INT($G1932/100)*60+MOD($G1932,100)))</f>
        <v/>
      </c>
    </row>
    <row r="1933" ht="15" customHeight="1" s="26">
      <c r="A1933" s="34" t="n"/>
      <c r="B1933" s="32" t="n"/>
      <c r="C1933" s="33" t="n"/>
      <c r="D1933" s="37" t="str">
        <f>IF($C1933="","",IFERROR(INDEX(프로젝트목록!$B$3:$B$62,MATCH($C1933,프로젝트목록!$A$3:$A$62,0)),"미등록코드"))</f>
        <v/>
      </c>
      <c r="E1933" s="32" t="n"/>
      <c r="F1933" s="38" t="n"/>
      <c r="G1933" s="38" t="n"/>
      <c r="H1933" s="39" t="n"/>
      <c r="I1933" s="40" t="str">
        <f>IF(OR($J1933="",$K1933=""),"",ROUND(MAX(0,($K1933-$J1933)-IF($H1933="",0,$H1933))/60,2))</f>
        <v/>
      </c>
      <c r="J1933" s="41" t="str">
        <f>IF($F1933="","",IF($F1933&lt;1,ROUND($F1933*1440,0),INT($F1933/100)*60+MOD($F1933,100)))</f>
        <v/>
      </c>
      <c r="K1933" s="41" t="str">
        <f>IF($G1933="","",IF($G1933&lt;1,ROUND($G1933*1440,0),INT($G1933/100)*60+MOD($G1933,100)))</f>
        <v/>
      </c>
    </row>
    <row r="1934" ht="15" customHeight="1" s="26">
      <c r="A1934" s="34" t="n"/>
      <c r="B1934" s="32" t="n"/>
      <c r="C1934" s="33" t="n"/>
      <c r="D1934" s="37" t="str">
        <f>IF($C1934="","",IFERROR(INDEX(프로젝트목록!$B$3:$B$62,MATCH($C1934,프로젝트목록!$A$3:$A$62,0)),"미등록코드"))</f>
        <v/>
      </c>
      <c r="E1934" s="32" t="n"/>
      <c r="F1934" s="38" t="n"/>
      <c r="G1934" s="38" t="n"/>
      <c r="H1934" s="39" t="n"/>
      <c r="I1934" s="40" t="str">
        <f>IF(OR($J1934="",$K1934=""),"",ROUND(MAX(0,($K1934-$J1934)-IF($H1934="",0,$H1934))/60,2))</f>
        <v/>
      </c>
      <c r="J1934" s="41" t="str">
        <f>IF($F1934="","",IF($F1934&lt;1,ROUND($F1934*1440,0),INT($F1934/100)*60+MOD($F1934,100)))</f>
        <v/>
      </c>
      <c r="K1934" s="41" t="str">
        <f>IF($G1934="","",IF($G1934&lt;1,ROUND($G1934*1440,0),INT($G1934/100)*60+MOD($G1934,100)))</f>
        <v/>
      </c>
    </row>
    <row r="1935" ht="15" customHeight="1" s="26">
      <c r="A1935" s="34" t="n"/>
      <c r="B1935" s="32" t="n"/>
      <c r="C1935" s="33" t="n"/>
      <c r="D1935" s="37" t="str">
        <f>IF($C1935="","",IFERROR(INDEX(프로젝트목록!$B$3:$B$62,MATCH($C1935,프로젝트목록!$A$3:$A$62,0)),"미등록코드"))</f>
        <v/>
      </c>
      <c r="E1935" s="32" t="n"/>
      <c r="F1935" s="38" t="n"/>
      <c r="G1935" s="38" t="n"/>
      <c r="H1935" s="39" t="n"/>
      <c r="I1935" s="40" t="str">
        <f>IF(OR($J1935="",$K1935=""),"",ROUND(MAX(0,($K1935-$J1935)-IF($H1935="",0,$H1935))/60,2))</f>
        <v/>
      </c>
      <c r="J1935" s="41" t="str">
        <f>IF($F1935="","",IF($F1935&lt;1,ROUND($F1935*1440,0),INT($F1935/100)*60+MOD($F1935,100)))</f>
        <v/>
      </c>
      <c r="K1935" s="41" t="str">
        <f>IF($G1935="","",IF($G1935&lt;1,ROUND($G1935*1440,0),INT($G1935/100)*60+MOD($G1935,100)))</f>
        <v/>
      </c>
    </row>
    <row r="1936" ht="15" customHeight="1" s="26">
      <c r="A1936" s="34" t="n"/>
      <c r="B1936" s="32" t="n"/>
      <c r="C1936" s="33" t="n"/>
      <c r="D1936" s="37" t="str">
        <f>IF($C1936="","",IFERROR(INDEX(프로젝트목록!$B$3:$B$62,MATCH($C1936,프로젝트목록!$A$3:$A$62,0)),"미등록코드"))</f>
        <v/>
      </c>
      <c r="E1936" s="32" t="n"/>
      <c r="F1936" s="38" t="n"/>
      <c r="G1936" s="38" t="n"/>
      <c r="H1936" s="39" t="n"/>
      <c r="I1936" s="40" t="str">
        <f>IF(OR($J1936="",$K1936=""),"",ROUND(MAX(0,($K1936-$J1936)-IF($H1936="",0,$H1936))/60,2))</f>
        <v/>
      </c>
      <c r="J1936" s="41" t="str">
        <f>IF($F1936="","",IF($F1936&lt;1,ROUND($F1936*1440,0),INT($F1936/100)*60+MOD($F1936,100)))</f>
        <v/>
      </c>
      <c r="K1936" s="41" t="str">
        <f>IF($G1936="","",IF($G1936&lt;1,ROUND($G1936*1440,0),INT($G1936/100)*60+MOD($G1936,100)))</f>
        <v/>
      </c>
    </row>
    <row r="1937" ht="15" customHeight="1" s="26">
      <c r="A1937" s="34" t="n"/>
      <c r="B1937" s="32" t="n"/>
      <c r="C1937" s="33" t="n"/>
      <c r="D1937" s="37" t="str">
        <f>IF($C1937="","",IFERROR(INDEX(프로젝트목록!$B$3:$B$62,MATCH($C1937,프로젝트목록!$A$3:$A$62,0)),"미등록코드"))</f>
        <v/>
      </c>
      <c r="E1937" s="32" t="n"/>
      <c r="F1937" s="38" t="n"/>
      <c r="G1937" s="38" t="n"/>
      <c r="H1937" s="39" t="n"/>
      <c r="I1937" s="40" t="str">
        <f>IF(OR($J1937="",$K1937=""),"",ROUND(MAX(0,($K1937-$J1937)-IF($H1937="",0,$H1937))/60,2))</f>
        <v/>
      </c>
      <c r="J1937" s="41" t="str">
        <f>IF($F1937="","",IF($F1937&lt;1,ROUND($F1937*1440,0),INT($F1937/100)*60+MOD($F1937,100)))</f>
        <v/>
      </c>
      <c r="K1937" s="41" t="str">
        <f>IF($G1937="","",IF($G1937&lt;1,ROUND($G1937*1440,0),INT($G1937/100)*60+MOD($G1937,100)))</f>
        <v/>
      </c>
    </row>
    <row r="1938" ht="15" customHeight="1" s="26">
      <c r="A1938" s="34" t="n"/>
      <c r="B1938" s="32" t="n"/>
      <c r="C1938" s="33" t="n"/>
      <c r="D1938" s="37" t="str">
        <f>IF($C1938="","",IFERROR(INDEX(프로젝트목록!$B$3:$B$62,MATCH($C1938,프로젝트목록!$A$3:$A$62,0)),"미등록코드"))</f>
        <v/>
      </c>
      <c r="E1938" s="32" t="n"/>
      <c r="F1938" s="38" t="n"/>
      <c r="G1938" s="38" t="n"/>
      <c r="H1938" s="39" t="n"/>
      <c r="I1938" s="40" t="str">
        <f>IF(OR($J1938="",$K1938=""),"",ROUND(MAX(0,($K1938-$J1938)-IF($H1938="",0,$H1938))/60,2))</f>
        <v/>
      </c>
      <c r="J1938" s="41" t="str">
        <f>IF($F1938="","",IF($F1938&lt;1,ROUND($F1938*1440,0),INT($F1938/100)*60+MOD($F1938,100)))</f>
        <v/>
      </c>
      <c r="K1938" s="41" t="str">
        <f>IF($G1938="","",IF($G1938&lt;1,ROUND($G1938*1440,0),INT($G1938/100)*60+MOD($G1938,100)))</f>
        <v/>
      </c>
    </row>
    <row r="1939" ht="15" customHeight="1" s="26">
      <c r="A1939" s="34" t="n"/>
      <c r="B1939" s="32" t="n"/>
      <c r="C1939" s="33" t="n"/>
      <c r="D1939" s="37" t="str">
        <f>IF($C1939="","",IFERROR(INDEX(프로젝트목록!$B$3:$B$62,MATCH($C1939,프로젝트목록!$A$3:$A$62,0)),"미등록코드"))</f>
        <v/>
      </c>
      <c r="E1939" s="32" t="n"/>
      <c r="F1939" s="38" t="n"/>
      <c r="G1939" s="38" t="n"/>
      <c r="H1939" s="39" t="n"/>
      <c r="I1939" s="40" t="str">
        <f>IF(OR($J1939="",$K1939=""),"",ROUND(MAX(0,($K1939-$J1939)-IF($H1939="",0,$H1939))/60,2))</f>
        <v/>
      </c>
      <c r="J1939" s="41" t="str">
        <f>IF($F1939="","",IF($F1939&lt;1,ROUND($F1939*1440,0),INT($F1939/100)*60+MOD($F1939,100)))</f>
        <v/>
      </c>
      <c r="K1939" s="41" t="str">
        <f>IF($G1939="","",IF($G1939&lt;1,ROUND($G1939*1440,0),INT($G1939/100)*60+MOD($G1939,100)))</f>
        <v/>
      </c>
    </row>
    <row r="1940" ht="15" customHeight="1" s="26">
      <c r="A1940" s="34" t="n"/>
      <c r="B1940" s="32" t="n"/>
      <c r="C1940" s="33" t="n"/>
      <c r="D1940" s="37" t="str">
        <f>IF($C1940="","",IFERROR(INDEX(프로젝트목록!$B$3:$B$62,MATCH($C1940,프로젝트목록!$A$3:$A$62,0)),"미등록코드"))</f>
        <v/>
      </c>
      <c r="E1940" s="32" t="n"/>
      <c r="F1940" s="38" t="n"/>
      <c r="G1940" s="38" t="n"/>
      <c r="H1940" s="39" t="n"/>
      <c r="I1940" s="40" t="str">
        <f>IF(OR($J1940="",$K1940=""),"",ROUND(MAX(0,($K1940-$J1940)-IF($H1940="",0,$H1940))/60,2))</f>
        <v/>
      </c>
      <c r="J1940" s="41" t="str">
        <f>IF($F1940="","",IF($F1940&lt;1,ROUND($F1940*1440,0),INT($F1940/100)*60+MOD($F1940,100)))</f>
        <v/>
      </c>
      <c r="K1940" s="41" t="str">
        <f>IF($G1940="","",IF($G1940&lt;1,ROUND($G1940*1440,0),INT($G1940/100)*60+MOD($G1940,100)))</f>
        <v/>
      </c>
    </row>
    <row r="1941" ht="15" customHeight="1" s="26">
      <c r="A1941" s="34" t="n"/>
      <c r="B1941" s="32" t="n"/>
      <c r="C1941" s="33" t="n"/>
      <c r="D1941" s="37" t="str">
        <f>IF($C1941="","",IFERROR(INDEX(프로젝트목록!$B$3:$B$62,MATCH($C1941,프로젝트목록!$A$3:$A$62,0)),"미등록코드"))</f>
        <v/>
      </c>
      <c r="E1941" s="32" t="n"/>
      <c r="F1941" s="38" t="n"/>
      <c r="G1941" s="38" t="n"/>
      <c r="H1941" s="39" t="n"/>
      <c r="I1941" s="40" t="str">
        <f>IF(OR($J1941="",$K1941=""),"",ROUND(MAX(0,($K1941-$J1941)-IF($H1941="",0,$H1941))/60,2))</f>
        <v/>
      </c>
      <c r="J1941" s="41" t="str">
        <f>IF($F1941="","",IF($F1941&lt;1,ROUND($F1941*1440,0),INT($F1941/100)*60+MOD($F1941,100)))</f>
        <v/>
      </c>
      <c r="K1941" s="41" t="str">
        <f>IF($G1941="","",IF($G1941&lt;1,ROUND($G1941*1440,0),INT($G1941/100)*60+MOD($G1941,100)))</f>
        <v/>
      </c>
    </row>
    <row r="1942" ht="15" customHeight="1" s="26">
      <c r="A1942" s="34" t="n"/>
      <c r="B1942" s="32" t="n"/>
      <c r="C1942" s="33" t="n"/>
      <c r="D1942" s="37" t="str">
        <f>IF($C1942="","",IFERROR(INDEX(프로젝트목록!$B$3:$B$62,MATCH($C1942,프로젝트목록!$A$3:$A$62,0)),"미등록코드"))</f>
        <v/>
      </c>
      <c r="E1942" s="32" t="n"/>
      <c r="F1942" s="38" t="n"/>
      <c r="G1942" s="38" t="n"/>
      <c r="H1942" s="39" t="n"/>
      <c r="I1942" s="40" t="str">
        <f>IF(OR($J1942="",$K1942=""),"",ROUND(MAX(0,($K1942-$J1942)-IF($H1942="",0,$H1942))/60,2))</f>
        <v/>
      </c>
      <c r="J1942" s="41" t="str">
        <f>IF($F1942="","",IF($F1942&lt;1,ROUND($F1942*1440,0),INT($F1942/100)*60+MOD($F1942,100)))</f>
        <v/>
      </c>
      <c r="K1942" s="41" t="str">
        <f>IF($G1942="","",IF($G1942&lt;1,ROUND($G1942*1440,0),INT($G1942/100)*60+MOD($G1942,100)))</f>
        <v/>
      </c>
    </row>
    <row r="1943" ht="15" customHeight="1" s="26">
      <c r="A1943" s="34" t="n"/>
      <c r="B1943" s="32" t="n"/>
      <c r="C1943" s="33" t="n"/>
      <c r="D1943" s="37" t="str">
        <f>IF($C1943="","",IFERROR(INDEX(프로젝트목록!$B$3:$B$62,MATCH($C1943,프로젝트목록!$A$3:$A$62,0)),"미등록코드"))</f>
        <v/>
      </c>
      <c r="E1943" s="32" t="n"/>
      <c r="F1943" s="38" t="n"/>
      <c r="G1943" s="38" t="n"/>
      <c r="H1943" s="39" t="n"/>
      <c r="I1943" s="40" t="str">
        <f>IF(OR($J1943="",$K1943=""),"",ROUND(MAX(0,($K1943-$J1943)-IF($H1943="",0,$H1943))/60,2))</f>
        <v/>
      </c>
      <c r="J1943" s="41" t="str">
        <f>IF($F1943="","",IF($F1943&lt;1,ROUND($F1943*1440,0),INT($F1943/100)*60+MOD($F1943,100)))</f>
        <v/>
      </c>
      <c r="K1943" s="41" t="str">
        <f>IF($G1943="","",IF($G1943&lt;1,ROUND($G1943*1440,0),INT($G1943/100)*60+MOD($G1943,100)))</f>
        <v/>
      </c>
    </row>
    <row r="1944" ht="15" customHeight="1" s="26">
      <c r="A1944" s="34" t="n"/>
      <c r="B1944" s="32" t="n"/>
      <c r="C1944" s="33" t="n"/>
      <c r="D1944" s="37" t="str">
        <f>IF($C1944="","",IFERROR(INDEX(프로젝트목록!$B$3:$B$62,MATCH($C1944,프로젝트목록!$A$3:$A$62,0)),"미등록코드"))</f>
        <v/>
      </c>
      <c r="E1944" s="32" t="n"/>
      <c r="F1944" s="38" t="n"/>
      <c r="G1944" s="38" t="n"/>
      <c r="H1944" s="39" t="n"/>
      <c r="I1944" s="40" t="str">
        <f>IF(OR($J1944="",$K1944=""),"",ROUND(MAX(0,($K1944-$J1944)-IF($H1944="",0,$H1944))/60,2))</f>
        <v/>
      </c>
      <c r="J1944" s="41" t="str">
        <f>IF($F1944="","",IF($F1944&lt;1,ROUND($F1944*1440,0),INT($F1944/100)*60+MOD($F1944,100)))</f>
        <v/>
      </c>
      <c r="K1944" s="41" t="str">
        <f>IF($G1944="","",IF($G1944&lt;1,ROUND($G1944*1440,0),INT($G1944/100)*60+MOD($G1944,100)))</f>
        <v/>
      </c>
    </row>
    <row r="1945" ht="15" customHeight="1" s="26">
      <c r="A1945" s="34" t="n"/>
      <c r="B1945" s="32" t="n"/>
      <c r="C1945" s="33" t="n"/>
      <c r="D1945" s="37" t="str">
        <f>IF($C1945="","",IFERROR(INDEX(프로젝트목록!$B$3:$B$62,MATCH($C1945,프로젝트목록!$A$3:$A$62,0)),"미등록코드"))</f>
        <v/>
      </c>
      <c r="E1945" s="32" t="n"/>
      <c r="F1945" s="38" t="n"/>
      <c r="G1945" s="38" t="n"/>
      <c r="H1945" s="39" t="n"/>
      <c r="I1945" s="40" t="str">
        <f>IF(OR($J1945="",$K1945=""),"",ROUND(MAX(0,($K1945-$J1945)-IF($H1945="",0,$H1945))/60,2))</f>
        <v/>
      </c>
      <c r="J1945" s="41" t="str">
        <f>IF($F1945="","",IF($F1945&lt;1,ROUND($F1945*1440,0),INT($F1945/100)*60+MOD($F1945,100)))</f>
        <v/>
      </c>
      <c r="K1945" s="41" t="str">
        <f>IF($G1945="","",IF($G1945&lt;1,ROUND($G1945*1440,0),INT($G1945/100)*60+MOD($G1945,100)))</f>
        <v/>
      </c>
    </row>
    <row r="1946" ht="15" customHeight="1" s="26">
      <c r="A1946" s="34" t="n"/>
      <c r="B1946" s="32" t="n"/>
      <c r="C1946" s="33" t="n"/>
      <c r="D1946" s="37" t="str">
        <f>IF($C1946="","",IFERROR(INDEX(프로젝트목록!$B$3:$B$62,MATCH($C1946,프로젝트목록!$A$3:$A$62,0)),"미등록코드"))</f>
        <v/>
      </c>
      <c r="E1946" s="32" t="n"/>
      <c r="F1946" s="38" t="n"/>
      <c r="G1946" s="38" t="n"/>
      <c r="H1946" s="39" t="n"/>
      <c r="I1946" s="40" t="str">
        <f>IF(OR($J1946="",$K1946=""),"",ROUND(MAX(0,($K1946-$J1946)-IF($H1946="",0,$H1946))/60,2))</f>
        <v/>
      </c>
      <c r="J1946" s="41" t="str">
        <f>IF($F1946="","",IF($F1946&lt;1,ROUND($F1946*1440,0),INT($F1946/100)*60+MOD($F1946,100)))</f>
        <v/>
      </c>
      <c r="K1946" s="41" t="str">
        <f>IF($G1946="","",IF($G1946&lt;1,ROUND($G1946*1440,0),INT($G1946/100)*60+MOD($G1946,100)))</f>
        <v/>
      </c>
    </row>
    <row r="1947" ht="15" customHeight="1" s="26">
      <c r="A1947" s="34" t="n"/>
      <c r="B1947" s="32" t="n"/>
      <c r="C1947" s="33" t="n"/>
      <c r="D1947" s="37" t="str">
        <f>IF($C1947="","",IFERROR(INDEX(프로젝트목록!$B$3:$B$62,MATCH($C1947,프로젝트목록!$A$3:$A$62,0)),"미등록코드"))</f>
        <v/>
      </c>
      <c r="E1947" s="32" t="n"/>
      <c r="F1947" s="38" t="n"/>
      <c r="G1947" s="38" t="n"/>
      <c r="H1947" s="39" t="n"/>
      <c r="I1947" s="40" t="str">
        <f>IF(OR($J1947="",$K1947=""),"",ROUND(MAX(0,($K1947-$J1947)-IF($H1947="",0,$H1947))/60,2))</f>
        <v/>
      </c>
      <c r="J1947" s="41" t="str">
        <f>IF($F1947="","",IF($F1947&lt;1,ROUND($F1947*1440,0),INT($F1947/100)*60+MOD($F1947,100)))</f>
        <v/>
      </c>
      <c r="K1947" s="41" t="str">
        <f>IF($G1947="","",IF($G1947&lt;1,ROUND($G1947*1440,0),INT($G1947/100)*60+MOD($G1947,100)))</f>
        <v/>
      </c>
    </row>
    <row r="1948" ht="15" customHeight="1" s="26">
      <c r="A1948" s="34" t="n"/>
      <c r="B1948" s="32" t="n"/>
      <c r="C1948" s="33" t="n"/>
      <c r="D1948" s="37" t="str">
        <f>IF($C1948="","",IFERROR(INDEX(프로젝트목록!$B$3:$B$62,MATCH($C1948,프로젝트목록!$A$3:$A$62,0)),"미등록코드"))</f>
        <v/>
      </c>
      <c r="E1948" s="32" t="n"/>
      <c r="F1948" s="38" t="n"/>
      <c r="G1948" s="38" t="n"/>
      <c r="H1948" s="39" t="n"/>
      <c r="I1948" s="40" t="str">
        <f>IF(OR($J1948="",$K1948=""),"",ROUND(MAX(0,($K1948-$J1948)-IF($H1948="",0,$H1948))/60,2))</f>
        <v/>
      </c>
      <c r="J1948" s="41" t="str">
        <f>IF($F1948="","",IF($F1948&lt;1,ROUND($F1948*1440,0),INT($F1948/100)*60+MOD($F1948,100)))</f>
        <v/>
      </c>
      <c r="K1948" s="41" t="str">
        <f>IF($G1948="","",IF($G1948&lt;1,ROUND($G1948*1440,0),INT($G1948/100)*60+MOD($G1948,100)))</f>
        <v/>
      </c>
    </row>
    <row r="1949" ht="15" customHeight="1" s="26">
      <c r="A1949" s="34" t="n"/>
      <c r="B1949" s="32" t="n"/>
      <c r="C1949" s="33" t="n"/>
      <c r="D1949" s="37" t="str">
        <f>IF($C1949="","",IFERROR(INDEX(프로젝트목록!$B$3:$B$62,MATCH($C1949,프로젝트목록!$A$3:$A$62,0)),"미등록코드"))</f>
        <v/>
      </c>
      <c r="E1949" s="32" t="n"/>
      <c r="F1949" s="38" t="n"/>
      <c r="G1949" s="38" t="n"/>
      <c r="H1949" s="39" t="n"/>
      <c r="I1949" s="40" t="str">
        <f>IF(OR($J1949="",$K1949=""),"",ROUND(MAX(0,($K1949-$J1949)-IF($H1949="",0,$H1949))/60,2))</f>
        <v/>
      </c>
      <c r="J1949" s="41" t="str">
        <f>IF($F1949="","",IF($F1949&lt;1,ROUND($F1949*1440,0),INT($F1949/100)*60+MOD($F1949,100)))</f>
        <v/>
      </c>
      <c r="K1949" s="41" t="str">
        <f>IF($G1949="","",IF($G1949&lt;1,ROUND($G1949*1440,0),INT($G1949/100)*60+MOD($G1949,100)))</f>
        <v/>
      </c>
    </row>
    <row r="1950" ht="15" customHeight="1" s="26">
      <c r="A1950" s="34" t="n"/>
      <c r="B1950" s="32" t="n"/>
      <c r="C1950" s="33" t="n"/>
      <c r="D1950" s="37" t="str">
        <f>IF($C1950="","",IFERROR(INDEX(프로젝트목록!$B$3:$B$62,MATCH($C1950,프로젝트목록!$A$3:$A$62,0)),"미등록코드"))</f>
        <v/>
      </c>
      <c r="E1950" s="32" t="n"/>
      <c r="F1950" s="38" t="n"/>
      <c r="G1950" s="38" t="n"/>
      <c r="H1950" s="39" t="n"/>
      <c r="I1950" s="40" t="str">
        <f>IF(OR($J1950="",$K1950=""),"",ROUND(MAX(0,($K1950-$J1950)-IF($H1950="",0,$H1950))/60,2))</f>
        <v/>
      </c>
      <c r="J1950" s="41" t="str">
        <f>IF($F1950="","",IF($F1950&lt;1,ROUND($F1950*1440,0),INT($F1950/100)*60+MOD($F1950,100)))</f>
        <v/>
      </c>
      <c r="K1950" s="41" t="str">
        <f>IF($G1950="","",IF($G1950&lt;1,ROUND($G1950*1440,0),INT($G1950/100)*60+MOD($G1950,100)))</f>
        <v/>
      </c>
    </row>
    <row r="1951" ht="15" customHeight="1" s="26">
      <c r="A1951" s="34" t="n"/>
      <c r="B1951" s="32" t="n"/>
      <c r="C1951" s="33" t="n"/>
      <c r="D1951" s="37" t="str">
        <f>IF($C1951="","",IFERROR(INDEX(프로젝트목록!$B$3:$B$62,MATCH($C1951,프로젝트목록!$A$3:$A$62,0)),"미등록코드"))</f>
        <v/>
      </c>
      <c r="E1951" s="32" t="n"/>
      <c r="F1951" s="38" t="n"/>
      <c r="G1951" s="38" t="n"/>
      <c r="H1951" s="39" t="n"/>
      <c r="I1951" s="40" t="str">
        <f>IF(OR($J1951="",$K1951=""),"",ROUND(MAX(0,($K1951-$J1951)-IF($H1951="",0,$H1951))/60,2))</f>
        <v/>
      </c>
      <c r="J1951" s="41" t="str">
        <f>IF($F1951="","",IF($F1951&lt;1,ROUND($F1951*1440,0),INT($F1951/100)*60+MOD($F1951,100)))</f>
        <v/>
      </c>
      <c r="K1951" s="41" t="str">
        <f>IF($G1951="","",IF($G1951&lt;1,ROUND($G1951*1440,0),INT($G1951/100)*60+MOD($G1951,100)))</f>
        <v/>
      </c>
    </row>
    <row r="1952" ht="15" customHeight="1" s="26">
      <c r="A1952" s="34" t="n"/>
      <c r="B1952" s="32" t="n"/>
      <c r="C1952" s="33" t="n"/>
      <c r="D1952" s="37" t="str">
        <f>IF($C1952="","",IFERROR(INDEX(프로젝트목록!$B$3:$B$62,MATCH($C1952,프로젝트목록!$A$3:$A$62,0)),"미등록코드"))</f>
        <v/>
      </c>
      <c r="E1952" s="32" t="n"/>
      <c r="F1952" s="38" t="n"/>
      <c r="G1952" s="38" t="n"/>
      <c r="H1952" s="39" t="n"/>
      <c r="I1952" s="40" t="str">
        <f>IF(OR($J1952="",$K1952=""),"",ROUND(MAX(0,($K1952-$J1952)-IF($H1952="",0,$H1952))/60,2))</f>
        <v/>
      </c>
      <c r="J1952" s="41" t="str">
        <f>IF($F1952="","",IF($F1952&lt;1,ROUND($F1952*1440,0),INT($F1952/100)*60+MOD($F1952,100)))</f>
        <v/>
      </c>
      <c r="K1952" s="41" t="str">
        <f>IF($G1952="","",IF($G1952&lt;1,ROUND($G1952*1440,0),INT($G1952/100)*60+MOD($G1952,100)))</f>
        <v/>
      </c>
    </row>
    <row r="1953" ht="15" customHeight="1" s="26">
      <c r="A1953" s="34" t="n"/>
      <c r="B1953" s="32" t="n"/>
      <c r="C1953" s="33" t="n"/>
      <c r="D1953" s="37" t="str">
        <f>IF($C1953="","",IFERROR(INDEX(프로젝트목록!$B$3:$B$62,MATCH($C1953,프로젝트목록!$A$3:$A$62,0)),"미등록코드"))</f>
        <v/>
      </c>
      <c r="E1953" s="32" t="n"/>
      <c r="F1953" s="38" t="n"/>
      <c r="G1953" s="38" t="n"/>
      <c r="H1953" s="39" t="n"/>
      <c r="I1953" s="40" t="str">
        <f>IF(OR($J1953="",$K1953=""),"",ROUND(MAX(0,($K1953-$J1953)-IF($H1953="",0,$H1953))/60,2))</f>
        <v/>
      </c>
      <c r="J1953" s="41" t="str">
        <f>IF($F1953="","",IF($F1953&lt;1,ROUND($F1953*1440,0),INT($F1953/100)*60+MOD($F1953,100)))</f>
        <v/>
      </c>
      <c r="K1953" s="41" t="str">
        <f>IF($G1953="","",IF($G1953&lt;1,ROUND($G1953*1440,0),INT($G1953/100)*60+MOD($G1953,100)))</f>
        <v/>
      </c>
    </row>
    <row r="1954" ht="15" customHeight="1" s="26">
      <c r="A1954" s="34" t="n"/>
      <c r="B1954" s="32" t="n"/>
      <c r="C1954" s="33" t="n"/>
      <c r="D1954" s="37" t="str">
        <f>IF($C1954="","",IFERROR(INDEX(프로젝트목록!$B$3:$B$62,MATCH($C1954,프로젝트목록!$A$3:$A$62,0)),"미등록코드"))</f>
        <v/>
      </c>
      <c r="E1954" s="32" t="n"/>
      <c r="F1954" s="38" t="n"/>
      <c r="G1954" s="38" t="n"/>
      <c r="H1954" s="39" t="n"/>
      <c r="I1954" s="40" t="str">
        <f>IF(OR($J1954="",$K1954=""),"",ROUND(MAX(0,($K1954-$J1954)-IF($H1954="",0,$H1954))/60,2))</f>
        <v/>
      </c>
      <c r="J1954" s="41" t="str">
        <f>IF($F1954="","",IF($F1954&lt;1,ROUND($F1954*1440,0),INT($F1954/100)*60+MOD($F1954,100)))</f>
        <v/>
      </c>
      <c r="K1954" s="41" t="str">
        <f>IF($G1954="","",IF($G1954&lt;1,ROUND($G1954*1440,0),INT($G1954/100)*60+MOD($G1954,100)))</f>
        <v/>
      </c>
    </row>
    <row r="1955" ht="15" customHeight="1" s="26">
      <c r="A1955" s="34" t="n"/>
      <c r="B1955" s="32" t="n"/>
      <c r="C1955" s="33" t="n"/>
      <c r="D1955" s="37" t="str">
        <f>IF($C1955="","",IFERROR(INDEX(프로젝트목록!$B$3:$B$62,MATCH($C1955,프로젝트목록!$A$3:$A$62,0)),"미등록코드"))</f>
        <v/>
      </c>
      <c r="E1955" s="32" t="n"/>
      <c r="F1955" s="38" t="n"/>
      <c r="G1955" s="38" t="n"/>
      <c r="H1955" s="39" t="n"/>
      <c r="I1955" s="40" t="str">
        <f>IF(OR($J1955="",$K1955=""),"",ROUND(MAX(0,($K1955-$J1955)-IF($H1955="",0,$H1955))/60,2))</f>
        <v/>
      </c>
      <c r="J1955" s="41" t="str">
        <f>IF($F1955="","",IF($F1955&lt;1,ROUND($F1955*1440,0),INT($F1955/100)*60+MOD($F1955,100)))</f>
        <v/>
      </c>
      <c r="K1955" s="41" t="str">
        <f>IF($G1955="","",IF($G1955&lt;1,ROUND($G1955*1440,0),INT($G1955/100)*60+MOD($G1955,100)))</f>
        <v/>
      </c>
    </row>
    <row r="1956" ht="15" customHeight="1" s="26">
      <c r="A1956" s="34" t="n"/>
      <c r="B1956" s="32" t="n"/>
      <c r="C1956" s="33" t="n"/>
      <c r="D1956" s="37" t="str">
        <f>IF($C1956="","",IFERROR(INDEX(프로젝트목록!$B$3:$B$62,MATCH($C1956,프로젝트목록!$A$3:$A$62,0)),"미등록코드"))</f>
        <v/>
      </c>
      <c r="E1956" s="32" t="n"/>
      <c r="F1956" s="38" t="n"/>
      <c r="G1956" s="38" t="n"/>
      <c r="H1956" s="39" t="n"/>
      <c r="I1956" s="40" t="str">
        <f>IF(OR($J1956="",$K1956=""),"",ROUND(MAX(0,($K1956-$J1956)-IF($H1956="",0,$H1956))/60,2))</f>
        <v/>
      </c>
      <c r="J1956" s="41" t="str">
        <f>IF($F1956="","",IF($F1956&lt;1,ROUND($F1956*1440,0),INT($F1956/100)*60+MOD($F1956,100)))</f>
        <v/>
      </c>
      <c r="K1956" s="41" t="str">
        <f>IF($G1956="","",IF($G1956&lt;1,ROUND($G1956*1440,0),INT($G1956/100)*60+MOD($G1956,100)))</f>
        <v/>
      </c>
    </row>
    <row r="1957" ht="15" customHeight="1" s="26">
      <c r="A1957" s="34" t="n"/>
      <c r="B1957" s="32" t="n"/>
      <c r="C1957" s="33" t="n"/>
      <c r="D1957" s="37" t="str">
        <f>IF($C1957="","",IFERROR(INDEX(프로젝트목록!$B$3:$B$62,MATCH($C1957,프로젝트목록!$A$3:$A$62,0)),"미등록코드"))</f>
        <v/>
      </c>
      <c r="E1957" s="32" t="n"/>
      <c r="F1957" s="38" t="n"/>
      <c r="G1957" s="38" t="n"/>
      <c r="H1957" s="39" t="n"/>
      <c r="I1957" s="40" t="str">
        <f>IF(OR($J1957="",$K1957=""),"",ROUND(MAX(0,($K1957-$J1957)-IF($H1957="",0,$H1957))/60,2))</f>
        <v/>
      </c>
      <c r="J1957" s="41" t="str">
        <f>IF($F1957="","",IF($F1957&lt;1,ROUND($F1957*1440,0),INT($F1957/100)*60+MOD($F1957,100)))</f>
        <v/>
      </c>
      <c r="K1957" s="41" t="str">
        <f>IF($G1957="","",IF($G1957&lt;1,ROUND($G1957*1440,0),INT($G1957/100)*60+MOD($G1957,100)))</f>
        <v/>
      </c>
    </row>
    <row r="1958" ht="15" customHeight="1" s="26">
      <c r="A1958" s="34" t="n"/>
      <c r="B1958" s="32" t="n"/>
      <c r="C1958" s="33" t="n"/>
      <c r="D1958" s="37" t="str">
        <f>IF($C1958="","",IFERROR(INDEX(프로젝트목록!$B$3:$B$62,MATCH($C1958,프로젝트목록!$A$3:$A$62,0)),"미등록코드"))</f>
        <v/>
      </c>
      <c r="E1958" s="32" t="n"/>
      <c r="F1958" s="38" t="n"/>
      <c r="G1958" s="38" t="n"/>
      <c r="H1958" s="39" t="n"/>
      <c r="I1958" s="40" t="str">
        <f>IF(OR($J1958="",$K1958=""),"",ROUND(MAX(0,($K1958-$J1958)-IF($H1958="",0,$H1958))/60,2))</f>
        <v/>
      </c>
      <c r="J1958" s="41" t="str">
        <f>IF($F1958="","",IF($F1958&lt;1,ROUND($F1958*1440,0),INT($F1958/100)*60+MOD($F1958,100)))</f>
        <v/>
      </c>
      <c r="K1958" s="41" t="str">
        <f>IF($G1958="","",IF($G1958&lt;1,ROUND($G1958*1440,0),INT($G1958/100)*60+MOD($G1958,100)))</f>
        <v/>
      </c>
    </row>
    <row r="1959" ht="15" customHeight="1" s="26">
      <c r="A1959" s="34" t="n"/>
      <c r="B1959" s="32" t="n"/>
      <c r="C1959" s="33" t="n"/>
      <c r="D1959" s="37" t="str">
        <f>IF($C1959="","",IFERROR(INDEX(프로젝트목록!$B$3:$B$62,MATCH($C1959,프로젝트목록!$A$3:$A$62,0)),"미등록코드"))</f>
        <v/>
      </c>
      <c r="E1959" s="32" t="n"/>
      <c r="F1959" s="38" t="n"/>
      <c r="G1959" s="38" t="n"/>
      <c r="H1959" s="39" t="n"/>
      <c r="I1959" s="40" t="str">
        <f>IF(OR($J1959="",$K1959=""),"",ROUND(MAX(0,($K1959-$J1959)-IF($H1959="",0,$H1959))/60,2))</f>
        <v/>
      </c>
      <c r="J1959" s="41" t="str">
        <f>IF($F1959="","",IF($F1959&lt;1,ROUND($F1959*1440,0),INT($F1959/100)*60+MOD($F1959,100)))</f>
        <v/>
      </c>
      <c r="K1959" s="41" t="str">
        <f>IF($G1959="","",IF($G1959&lt;1,ROUND($G1959*1440,0),INT($G1959/100)*60+MOD($G1959,100)))</f>
        <v/>
      </c>
    </row>
    <row r="1960" ht="15" customHeight="1" s="26">
      <c r="A1960" s="34" t="n"/>
      <c r="B1960" s="32" t="n"/>
      <c r="C1960" s="33" t="n"/>
      <c r="D1960" s="37" t="str">
        <f>IF($C1960="","",IFERROR(INDEX(프로젝트목록!$B$3:$B$62,MATCH($C1960,프로젝트목록!$A$3:$A$62,0)),"미등록코드"))</f>
        <v/>
      </c>
      <c r="E1960" s="32" t="n"/>
      <c r="F1960" s="38" t="n"/>
      <c r="G1960" s="38" t="n"/>
      <c r="H1960" s="39" t="n"/>
      <c r="I1960" s="40" t="str">
        <f>IF(OR($J1960="",$K1960=""),"",ROUND(MAX(0,($K1960-$J1960)-IF($H1960="",0,$H1960))/60,2))</f>
        <v/>
      </c>
      <c r="J1960" s="41" t="str">
        <f>IF($F1960="","",IF($F1960&lt;1,ROUND($F1960*1440,0),INT($F1960/100)*60+MOD($F1960,100)))</f>
        <v/>
      </c>
      <c r="K1960" s="41" t="str">
        <f>IF($G1960="","",IF($G1960&lt;1,ROUND($G1960*1440,0),INT($G1960/100)*60+MOD($G1960,100)))</f>
        <v/>
      </c>
    </row>
    <row r="1961" ht="15" customHeight="1" s="26">
      <c r="A1961" s="34" t="n"/>
      <c r="B1961" s="32" t="n"/>
      <c r="C1961" s="33" t="n"/>
      <c r="D1961" s="37" t="str">
        <f>IF($C1961="","",IFERROR(INDEX(프로젝트목록!$B$3:$B$62,MATCH($C1961,프로젝트목록!$A$3:$A$62,0)),"미등록코드"))</f>
        <v/>
      </c>
      <c r="E1961" s="32" t="n"/>
      <c r="F1961" s="38" t="n"/>
      <c r="G1961" s="38" t="n"/>
      <c r="H1961" s="39" t="n"/>
      <c r="I1961" s="40" t="str">
        <f>IF(OR($J1961="",$K1961=""),"",ROUND(MAX(0,($K1961-$J1961)-IF($H1961="",0,$H1961))/60,2))</f>
        <v/>
      </c>
      <c r="J1961" s="41" t="str">
        <f>IF($F1961="","",IF($F1961&lt;1,ROUND($F1961*1440,0),INT($F1961/100)*60+MOD($F1961,100)))</f>
        <v/>
      </c>
      <c r="K1961" s="41" t="str">
        <f>IF($G1961="","",IF($G1961&lt;1,ROUND($G1961*1440,0),INT($G1961/100)*60+MOD($G1961,100)))</f>
        <v/>
      </c>
    </row>
    <row r="1962" ht="15" customHeight="1" s="26">
      <c r="A1962" s="34" t="n"/>
      <c r="B1962" s="32" t="n"/>
      <c r="C1962" s="33" t="n"/>
      <c r="D1962" s="37" t="str">
        <f>IF($C1962="","",IFERROR(INDEX(프로젝트목록!$B$3:$B$62,MATCH($C1962,프로젝트목록!$A$3:$A$62,0)),"미등록코드"))</f>
        <v/>
      </c>
      <c r="E1962" s="32" t="n"/>
      <c r="F1962" s="38" t="n"/>
      <c r="G1962" s="38" t="n"/>
      <c r="H1962" s="39" t="n"/>
      <c r="I1962" s="40" t="str">
        <f>IF(OR($J1962="",$K1962=""),"",ROUND(MAX(0,($K1962-$J1962)-IF($H1962="",0,$H1962))/60,2))</f>
        <v/>
      </c>
      <c r="J1962" s="41" t="str">
        <f>IF($F1962="","",IF($F1962&lt;1,ROUND($F1962*1440,0),INT($F1962/100)*60+MOD($F1962,100)))</f>
        <v/>
      </c>
      <c r="K1962" s="41" t="str">
        <f>IF($G1962="","",IF($G1962&lt;1,ROUND($G1962*1440,0),INT($G1962/100)*60+MOD($G1962,100)))</f>
        <v/>
      </c>
    </row>
    <row r="1963" ht="15" customHeight="1" s="26">
      <c r="A1963" s="34" t="n"/>
      <c r="B1963" s="32" t="n"/>
      <c r="C1963" s="33" t="n"/>
      <c r="D1963" s="37" t="str">
        <f>IF($C1963="","",IFERROR(INDEX(프로젝트목록!$B$3:$B$62,MATCH($C1963,프로젝트목록!$A$3:$A$62,0)),"미등록코드"))</f>
        <v/>
      </c>
      <c r="E1963" s="32" t="n"/>
      <c r="F1963" s="38" t="n"/>
      <c r="G1963" s="38" t="n"/>
      <c r="H1963" s="39" t="n"/>
      <c r="I1963" s="40" t="str">
        <f>IF(OR($J1963="",$K1963=""),"",ROUND(MAX(0,($K1963-$J1963)-IF($H1963="",0,$H1963))/60,2))</f>
        <v/>
      </c>
      <c r="J1963" s="41" t="str">
        <f>IF($F1963="","",IF($F1963&lt;1,ROUND($F1963*1440,0),INT($F1963/100)*60+MOD($F1963,100)))</f>
        <v/>
      </c>
      <c r="K1963" s="41" t="str">
        <f>IF($G1963="","",IF($G1963&lt;1,ROUND($G1963*1440,0),INT($G1963/100)*60+MOD($G1963,100)))</f>
        <v/>
      </c>
    </row>
    <row r="1964" ht="15" customHeight="1" s="26">
      <c r="A1964" s="34" t="n"/>
      <c r="B1964" s="32" t="n"/>
      <c r="C1964" s="33" t="n"/>
      <c r="D1964" s="37" t="str">
        <f>IF($C1964="","",IFERROR(INDEX(프로젝트목록!$B$3:$B$62,MATCH($C1964,프로젝트목록!$A$3:$A$62,0)),"미등록코드"))</f>
        <v/>
      </c>
      <c r="E1964" s="32" t="n"/>
      <c r="F1964" s="38" t="n"/>
      <c r="G1964" s="38" t="n"/>
      <c r="H1964" s="39" t="n"/>
      <c r="I1964" s="40" t="str">
        <f>IF(OR($J1964="",$K1964=""),"",ROUND(MAX(0,($K1964-$J1964)-IF($H1964="",0,$H1964))/60,2))</f>
        <v/>
      </c>
      <c r="J1964" s="41" t="str">
        <f>IF($F1964="","",IF($F1964&lt;1,ROUND($F1964*1440,0),INT($F1964/100)*60+MOD($F1964,100)))</f>
        <v/>
      </c>
      <c r="K1964" s="41" t="str">
        <f>IF($G1964="","",IF($G1964&lt;1,ROUND($G1964*1440,0),INT($G1964/100)*60+MOD($G1964,100)))</f>
        <v/>
      </c>
    </row>
    <row r="1965" ht="15" customHeight="1" s="26">
      <c r="A1965" s="34" t="n"/>
      <c r="B1965" s="32" t="n"/>
      <c r="C1965" s="33" t="n"/>
      <c r="D1965" s="37" t="str">
        <f>IF($C1965="","",IFERROR(INDEX(프로젝트목록!$B$3:$B$62,MATCH($C1965,프로젝트목록!$A$3:$A$62,0)),"미등록코드"))</f>
        <v/>
      </c>
      <c r="E1965" s="32" t="n"/>
      <c r="F1965" s="38" t="n"/>
      <c r="G1965" s="38" t="n"/>
      <c r="H1965" s="39" t="n"/>
      <c r="I1965" s="40" t="str">
        <f>IF(OR($J1965="",$K1965=""),"",ROUND(MAX(0,($K1965-$J1965)-IF($H1965="",0,$H1965))/60,2))</f>
        <v/>
      </c>
      <c r="J1965" s="41" t="str">
        <f>IF($F1965="","",IF($F1965&lt;1,ROUND($F1965*1440,0),INT($F1965/100)*60+MOD($F1965,100)))</f>
        <v/>
      </c>
      <c r="K1965" s="41" t="str">
        <f>IF($G1965="","",IF($G1965&lt;1,ROUND($G1965*1440,0),INT($G1965/100)*60+MOD($G1965,100)))</f>
        <v/>
      </c>
    </row>
    <row r="1966" ht="15" customHeight="1" s="26">
      <c r="A1966" s="34" t="n"/>
      <c r="B1966" s="32" t="n"/>
      <c r="C1966" s="33" t="n"/>
      <c r="D1966" s="37" t="str">
        <f>IF($C1966="","",IFERROR(INDEX(프로젝트목록!$B$3:$B$62,MATCH($C1966,프로젝트목록!$A$3:$A$62,0)),"미등록코드"))</f>
        <v/>
      </c>
      <c r="E1966" s="32" t="n"/>
      <c r="F1966" s="38" t="n"/>
      <c r="G1966" s="38" t="n"/>
      <c r="H1966" s="39" t="n"/>
      <c r="I1966" s="40" t="str">
        <f>IF(OR($J1966="",$K1966=""),"",ROUND(MAX(0,($K1966-$J1966)-IF($H1966="",0,$H1966))/60,2))</f>
        <v/>
      </c>
      <c r="J1966" s="41" t="str">
        <f>IF($F1966="","",IF($F1966&lt;1,ROUND($F1966*1440,0),INT($F1966/100)*60+MOD($F1966,100)))</f>
        <v/>
      </c>
      <c r="K1966" s="41" t="str">
        <f>IF($G1966="","",IF($G1966&lt;1,ROUND($G1966*1440,0),INT($G1966/100)*60+MOD($G1966,100)))</f>
        <v/>
      </c>
    </row>
    <row r="1967" ht="15" customHeight="1" s="26">
      <c r="A1967" s="34" t="n"/>
      <c r="B1967" s="32" t="n"/>
      <c r="C1967" s="33" t="n"/>
      <c r="D1967" s="37" t="str">
        <f>IF($C1967="","",IFERROR(INDEX(프로젝트목록!$B$3:$B$62,MATCH($C1967,프로젝트목록!$A$3:$A$62,0)),"미등록코드"))</f>
        <v/>
      </c>
      <c r="E1967" s="32" t="n"/>
      <c r="F1967" s="38" t="n"/>
      <c r="G1967" s="38" t="n"/>
      <c r="H1967" s="39" t="n"/>
      <c r="I1967" s="40" t="str">
        <f>IF(OR($J1967="",$K1967=""),"",ROUND(MAX(0,($K1967-$J1967)-IF($H1967="",0,$H1967))/60,2))</f>
        <v/>
      </c>
      <c r="J1967" s="41" t="str">
        <f>IF($F1967="","",IF($F1967&lt;1,ROUND($F1967*1440,0),INT($F1967/100)*60+MOD($F1967,100)))</f>
        <v/>
      </c>
      <c r="K1967" s="41" t="str">
        <f>IF($G1967="","",IF($G1967&lt;1,ROUND($G1967*1440,0),INT($G1967/100)*60+MOD($G1967,100)))</f>
        <v/>
      </c>
    </row>
    <row r="1968" ht="15" customHeight="1" s="26">
      <c r="A1968" s="34" t="n"/>
      <c r="B1968" s="32" t="n"/>
      <c r="C1968" s="33" t="n"/>
      <c r="D1968" s="37" t="str">
        <f>IF($C1968="","",IFERROR(INDEX(프로젝트목록!$B$3:$B$62,MATCH($C1968,프로젝트목록!$A$3:$A$62,0)),"미등록코드"))</f>
        <v/>
      </c>
      <c r="E1968" s="32" t="n"/>
      <c r="F1968" s="38" t="n"/>
      <c r="G1968" s="38" t="n"/>
      <c r="H1968" s="39" t="n"/>
      <c r="I1968" s="40" t="str">
        <f>IF(OR($J1968="",$K1968=""),"",ROUND(MAX(0,($K1968-$J1968)-IF($H1968="",0,$H1968))/60,2))</f>
        <v/>
      </c>
      <c r="J1968" s="41" t="str">
        <f>IF($F1968="","",IF($F1968&lt;1,ROUND($F1968*1440,0),INT($F1968/100)*60+MOD($F1968,100)))</f>
        <v/>
      </c>
      <c r="K1968" s="41" t="str">
        <f>IF($G1968="","",IF($G1968&lt;1,ROUND($G1968*1440,0),INT($G1968/100)*60+MOD($G1968,100)))</f>
        <v/>
      </c>
    </row>
    <row r="1969" ht="15" customHeight="1" s="26">
      <c r="A1969" s="34" t="n"/>
      <c r="B1969" s="32" t="n"/>
      <c r="C1969" s="33" t="n"/>
      <c r="D1969" s="37" t="str">
        <f>IF($C1969="","",IFERROR(INDEX(프로젝트목록!$B$3:$B$62,MATCH($C1969,프로젝트목록!$A$3:$A$62,0)),"미등록코드"))</f>
        <v/>
      </c>
      <c r="E1969" s="32" t="n"/>
      <c r="F1969" s="38" t="n"/>
      <c r="G1969" s="38" t="n"/>
      <c r="H1969" s="39" t="n"/>
      <c r="I1969" s="40" t="str">
        <f>IF(OR($J1969="",$K1969=""),"",ROUND(MAX(0,($K1969-$J1969)-IF($H1969="",0,$H1969))/60,2))</f>
        <v/>
      </c>
      <c r="J1969" s="41" t="str">
        <f>IF($F1969="","",IF($F1969&lt;1,ROUND($F1969*1440,0),INT($F1969/100)*60+MOD($F1969,100)))</f>
        <v/>
      </c>
      <c r="K1969" s="41" t="str">
        <f>IF($G1969="","",IF($G1969&lt;1,ROUND($G1969*1440,0),INT($G1969/100)*60+MOD($G1969,100)))</f>
        <v/>
      </c>
    </row>
    <row r="1970" ht="15" customHeight="1" s="26">
      <c r="A1970" s="34" t="n"/>
      <c r="B1970" s="32" t="n"/>
      <c r="C1970" s="33" t="n"/>
      <c r="D1970" s="37" t="str">
        <f>IF($C1970="","",IFERROR(INDEX(프로젝트목록!$B$3:$B$62,MATCH($C1970,프로젝트목록!$A$3:$A$62,0)),"미등록코드"))</f>
        <v/>
      </c>
      <c r="E1970" s="32" t="n"/>
      <c r="F1970" s="38" t="n"/>
      <c r="G1970" s="38" t="n"/>
      <c r="H1970" s="39" t="n"/>
      <c r="I1970" s="40" t="str">
        <f>IF(OR($J1970="",$K1970=""),"",ROUND(MAX(0,($K1970-$J1970)-IF($H1970="",0,$H1970))/60,2))</f>
        <v/>
      </c>
      <c r="J1970" s="41" t="str">
        <f>IF($F1970="","",IF($F1970&lt;1,ROUND($F1970*1440,0),INT($F1970/100)*60+MOD($F1970,100)))</f>
        <v/>
      </c>
      <c r="K1970" s="41" t="str">
        <f>IF($G1970="","",IF($G1970&lt;1,ROUND($G1970*1440,0),INT($G1970/100)*60+MOD($G1970,100)))</f>
        <v/>
      </c>
    </row>
    <row r="1971" ht="15" customHeight="1" s="26">
      <c r="A1971" s="34" t="n"/>
      <c r="B1971" s="32" t="n"/>
      <c r="C1971" s="33" t="n"/>
      <c r="D1971" s="37" t="str">
        <f>IF($C1971="","",IFERROR(INDEX(프로젝트목록!$B$3:$B$62,MATCH($C1971,프로젝트목록!$A$3:$A$62,0)),"미등록코드"))</f>
        <v/>
      </c>
      <c r="E1971" s="32" t="n"/>
      <c r="F1971" s="38" t="n"/>
      <c r="G1971" s="38" t="n"/>
      <c r="H1971" s="39" t="n"/>
      <c r="I1971" s="40" t="str">
        <f>IF(OR($J1971="",$K1971=""),"",ROUND(MAX(0,($K1971-$J1971)-IF($H1971="",0,$H1971))/60,2))</f>
        <v/>
      </c>
      <c r="J1971" s="41" t="str">
        <f>IF($F1971="","",IF($F1971&lt;1,ROUND($F1971*1440,0),INT($F1971/100)*60+MOD($F1971,100)))</f>
        <v/>
      </c>
      <c r="K1971" s="41" t="str">
        <f>IF($G1971="","",IF($G1971&lt;1,ROUND($G1971*1440,0),INT($G1971/100)*60+MOD($G1971,100)))</f>
        <v/>
      </c>
    </row>
    <row r="1972" ht="15" customHeight="1" s="26">
      <c r="A1972" s="34" t="n"/>
      <c r="B1972" s="32" t="n"/>
      <c r="C1972" s="33" t="n"/>
      <c r="D1972" s="37" t="str">
        <f>IF($C1972="","",IFERROR(INDEX(프로젝트목록!$B$3:$B$62,MATCH($C1972,프로젝트목록!$A$3:$A$62,0)),"미등록코드"))</f>
        <v/>
      </c>
      <c r="E1972" s="32" t="n"/>
      <c r="F1972" s="38" t="n"/>
      <c r="G1972" s="38" t="n"/>
      <c r="H1972" s="39" t="n"/>
      <c r="I1972" s="40" t="str">
        <f>IF(OR($J1972="",$K1972=""),"",ROUND(MAX(0,($K1972-$J1972)-IF($H1972="",0,$H1972))/60,2))</f>
        <v/>
      </c>
      <c r="J1972" s="41" t="str">
        <f>IF($F1972="","",IF($F1972&lt;1,ROUND($F1972*1440,0),INT($F1972/100)*60+MOD($F1972,100)))</f>
        <v/>
      </c>
      <c r="K1972" s="41" t="str">
        <f>IF($G1972="","",IF($G1972&lt;1,ROUND($G1972*1440,0),INT($G1972/100)*60+MOD($G1972,100)))</f>
        <v/>
      </c>
    </row>
    <row r="1973" ht="15" customHeight="1" s="26">
      <c r="A1973" s="34" t="n"/>
      <c r="B1973" s="32" t="n"/>
      <c r="C1973" s="33" t="n"/>
      <c r="D1973" s="37" t="str">
        <f>IF($C1973="","",IFERROR(INDEX(프로젝트목록!$B$3:$B$62,MATCH($C1973,프로젝트목록!$A$3:$A$62,0)),"미등록코드"))</f>
        <v/>
      </c>
      <c r="E1973" s="32" t="n"/>
      <c r="F1973" s="38" t="n"/>
      <c r="G1973" s="38" t="n"/>
      <c r="H1973" s="39" t="n"/>
      <c r="I1973" s="40" t="str">
        <f>IF(OR($J1973="",$K1973=""),"",ROUND(MAX(0,($K1973-$J1973)-IF($H1973="",0,$H1973))/60,2))</f>
        <v/>
      </c>
      <c r="J1973" s="41" t="str">
        <f>IF($F1973="","",IF($F1973&lt;1,ROUND($F1973*1440,0),INT($F1973/100)*60+MOD($F1973,100)))</f>
        <v/>
      </c>
      <c r="K1973" s="41" t="str">
        <f>IF($G1973="","",IF($G1973&lt;1,ROUND($G1973*1440,0),INT($G1973/100)*60+MOD($G1973,100)))</f>
        <v/>
      </c>
    </row>
    <row r="1974" ht="15" customHeight="1" s="26">
      <c r="A1974" s="34" t="n"/>
      <c r="B1974" s="32" t="n"/>
      <c r="C1974" s="33" t="n"/>
      <c r="D1974" s="37" t="str">
        <f>IF($C1974="","",IFERROR(INDEX(프로젝트목록!$B$3:$B$62,MATCH($C1974,프로젝트목록!$A$3:$A$62,0)),"미등록코드"))</f>
        <v/>
      </c>
      <c r="E1974" s="32" t="n"/>
      <c r="F1974" s="38" t="n"/>
      <c r="G1974" s="38" t="n"/>
      <c r="H1974" s="39" t="n"/>
      <c r="I1974" s="40" t="str">
        <f>IF(OR($J1974="",$K1974=""),"",ROUND(MAX(0,($K1974-$J1974)-IF($H1974="",0,$H1974))/60,2))</f>
        <v/>
      </c>
      <c r="J1974" s="41" t="str">
        <f>IF($F1974="","",IF($F1974&lt;1,ROUND($F1974*1440,0),INT($F1974/100)*60+MOD($F1974,100)))</f>
        <v/>
      </c>
      <c r="K1974" s="41" t="str">
        <f>IF($G1974="","",IF($G1974&lt;1,ROUND($G1974*1440,0),INT($G1974/100)*60+MOD($G1974,100)))</f>
        <v/>
      </c>
    </row>
    <row r="1975" ht="15" customHeight="1" s="26">
      <c r="A1975" s="34" t="n"/>
      <c r="B1975" s="32" t="n"/>
      <c r="C1975" s="33" t="n"/>
      <c r="D1975" s="37" t="str">
        <f>IF($C1975="","",IFERROR(INDEX(프로젝트목록!$B$3:$B$62,MATCH($C1975,프로젝트목록!$A$3:$A$62,0)),"미등록코드"))</f>
        <v/>
      </c>
      <c r="E1975" s="32" t="n"/>
      <c r="F1975" s="38" t="n"/>
      <c r="G1975" s="38" t="n"/>
      <c r="H1975" s="39" t="n"/>
      <c r="I1975" s="40" t="str">
        <f>IF(OR($J1975="",$K1975=""),"",ROUND(MAX(0,($K1975-$J1975)-IF($H1975="",0,$H1975))/60,2))</f>
        <v/>
      </c>
      <c r="J1975" s="41" t="str">
        <f>IF($F1975="","",IF($F1975&lt;1,ROUND($F1975*1440,0),INT($F1975/100)*60+MOD($F1975,100)))</f>
        <v/>
      </c>
      <c r="K1975" s="41" t="str">
        <f>IF($G1975="","",IF($G1975&lt;1,ROUND($G1975*1440,0),INT($G1975/100)*60+MOD($G1975,100)))</f>
        <v/>
      </c>
    </row>
    <row r="1976" ht="15" customHeight="1" s="26">
      <c r="A1976" s="34" t="n"/>
      <c r="B1976" s="32" t="n"/>
      <c r="C1976" s="33" t="n"/>
      <c r="D1976" s="37" t="str">
        <f>IF($C1976="","",IFERROR(INDEX(프로젝트목록!$B$3:$B$62,MATCH($C1976,프로젝트목록!$A$3:$A$62,0)),"미등록코드"))</f>
        <v/>
      </c>
      <c r="E1976" s="32" t="n"/>
      <c r="F1976" s="38" t="n"/>
      <c r="G1976" s="38" t="n"/>
      <c r="H1976" s="39" t="n"/>
      <c r="I1976" s="40" t="str">
        <f>IF(OR($J1976="",$K1976=""),"",ROUND(MAX(0,($K1976-$J1976)-IF($H1976="",0,$H1976))/60,2))</f>
        <v/>
      </c>
      <c r="J1976" s="41" t="str">
        <f>IF($F1976="","",IF($F1976&lt;1,ROUND($F1976*1440,0),INT($F1976/100)*60+MOD($F1976,100)))</f>
        <v/>
      </c>
      <c r="K1976" s="41" t="str">
        <f>IF($G1976="","",IF($G1976&lt;1,ROUND($G1976*1440,0),INT($G1976/100)*60+MOD($G1976,100)))</f>
        <v/>
      </c>
    </row>
    <row r="1977" ht="15" customHeight="1" s="26">
      <c r="A1977" s="34" t="n"/>
      <c r="B1977" s="32" t="n"/>
      <c r="C1977" s="33" t="n"/>
      <c r="D1977" s="37" t="str">
        <f>IF($C1977="","",IFERROR(INDEX(프로젝트목록!$B$3:$B$62,MATCH($C1977,프로젝트목록!$A$3:$A$62,0)),"미등록코드"))</f>
        <v/>
      </c>
      <c r="E1977" s="32" t="n"/>
      <c r="F1977" s="38" t="n"/>
      <c r="G1977" s="38" t="n"/>
      <c r="H1977" s="39" t="n"/>
      <c r="I1977" s="40" t="str">
        <f>IF(OR($J1977="",$K1977=""),"",ROUND(MAX(0,($K1977-$J1977)-IF($H1977="",0,$H1977))/60,2))</f>
        <v/>
      </c>
      <c r="J1977" s="41" t="str">
        <f>IF($F1977="","",IF($F1977&lt;1,ROUND($F1977*1440,0),INT($F1977/100)*60+MOD($F1977,100)))</f>
        <v/>
      </c>
      <c r="K1977" s="41" t="str">
        <f>IF($G1977="","",IF($G1977&lt;1,ROUND($G1977*1440,0),INT($G1977/100)*60+MOD($G1977,100)))</f>
        <v/>
      </c>
    </row>
    <row r="1978" ht="15" customHeight="1" s="26">
      <c r="A1978" s="34" t="n"/>
      <c r="B1978" s="32" t="n"/>
      <c r="C1978" s="33" t="n"/>
      <c r="D1978" s="37" t="str">
        <f>IF($C1978="","",IFERROR(INDEX(프로젝트목록!$B$3:$B$62,MATCH($C1978,프로젝트목록!$A$3:$A$62,0)),"미등록코드"))</f>
        <v/>
      </c>
      <c r="E1978" s="32" t="n"/>
      <c r="F1978" s="38" t="n"/>
      <c r="G1978" s="38" t="n"/>
      <c r="H1978" s="39" t="n"/>
      <c r="I1978" s="40" t="str">
        <f>IF(OR($J1978="",$K1978=""),"",ROUND(MAX(0,($K1978-$J1978)-IF($H1978="",0,$H1978))/60,2))</f>
        <v/>
      </c>
      <c r="J1978" s="41" t="str">
        <f>IF($F1978="","",IF($F1978&lt;1,ROUND($F1978*1440,0),INT($F1978/100)*60+MOD($F1978,100)))</f>
        <v/>
      </c>
      <c r="K1978" s="41" t="str">
        <f>IF($G1978="","",IF($G1978&lt;1,ROUND($G1978*1440,0),INT($G1978/100)*60+MOD($G1978,100)))</f>
        <v/>
      </c>
    </row>
    <row r="1979" ht="15" customHeight="1" s="26">
      <c r="A1979" s="34" t="n"/>
      <c r="B1979" s="32" t="n"/>
      <c r="C1979" s="33" t="n"/>
      <c r="D1979" s="37" t="str">
        <f>IF($C1979="","",IFERROR(INDEX(프로젝트목록!$B$3:$B$62,MATCH($C1979,프로젝트목록!$A$3:$A$62,0)),"미등록코드"))</f>
        <v/>
      </c>
      <c r="E1979" s="32" t="n"/>
      <c r="F1979" s="38" t="n"/>
      <c r="G1979" s="38" t="n"/>
      <c r="H1979" s="39" t="n"/>
      <c r="I1979" s="40" t="str">
        <f>IF(OR($J1979="",$K1979=""),"",ROUND(MAX(0,($K1979-$J1979)-IF($H1979="",0,$H1979))/60,2))</f>
        <v/>
      </c>
      <c r="J1979" s="41" t="str">
        <f>IF($F1979="","",IF($F1979&lt;1,ROUND($F1979*1440,0),INT($F1979/100)*60+MOD($F1979,100)))</f>
        <v/>
      </c>
      <c r="K1979" s="41" t="str">
        <f>IF($G1979="","",IF($G1979&lt;1,ROUND($G1979*1440,0),INT($G1979/100)*60+MOD($G1979,100)))</f>
        <v/>
      </c>
    </row>
    <row r="1980" ht="15" customHeight="1" s="26">
      <c r="A1980" s="34" t="n"/>
      <c r="B1980" s="32" t="n"/>
      <c r="C1980" s="33" t="n"/>
      <c r="D1980" s="37" t="str">
        <f>IF($C1980="","",IFERROR(INDEX(프로젝트목록!$B$3:$B$62,MATCH($C1980,프로젝트목록!$A$3:$A$62,0)),"미등록코드"))</f>
        <v/>
      </c>
      <c r="E1980" s="32" t="n"/>
      <c r="F1980" s="38" t="n"/>
      <c r="G1980" s="38" t="n"/>
      <c r="H1980" s="39" t="n"/>
      <c r="I1980" s="40" t="str">
        <f>IF(OR($J1980="",$K1980=""),"",ROUND(MAX(0,($K1980-$J1980)-IF($H1980="",0,$H1980))/60,2))</f>
        <v/>
      </c>
      <c r="J1980" s="41" t="str">
        <f>IF($F1980="","",IF($F1980&lt;1,ROUND($F1980*1440,0),INT($F1980/100)*60+MOD($F1980,100)))</f>
        <v/>
      </c>
      <c r="K1980" s="41" t="str">
        <f>IF($G1980="","",IF($G1980&lt;1,ROUND($G1980*1440,0),INT($G1980/100)*60+MOD($G1980,100)))</f>
        <v/>
      </c>
    </row>
    <row r="1981" ht="15" customHeight="1" s="26">
      <c r="A1981" s="34" t="n"/>
      <c r="B1981" s="32" t="n"/>
      <c r="C1981" s="33" t="n"/>
      <c r="D1981" s="37" t="str">
        <f>IF($C1981="","",IFERROR(INDEX(프로젝트목록!$B$3:$B$62,MATCH($C1981,프로젝트목록!$A$3:$A$62,0)),"미등록코드"))</f>
        <v/>
      </c>
      <c r="E1981" s="32" t="n"/>
      <c r="F1981" s="38" t="n"/>
      <c r="G1981" s="38" t="n"/>
      <c r="H1981" s="39" t="n"/>
      <c r="I1981" s="40" t="str">
        <f>IF(OR($J1981="",$K1981=""),"",ROUND(MAX(0,($K1981-$J1981)-IF($H1981="",0,$H1981))/60,2))</f>
        <v/>
      </c>
      <c r="J1981" s="41" t="str">
        <f>IF($F1981="","",IF($F1981&lt;1,ROUND($F1981*1440,0),INT($F1981/100)*60+MOD($F1981,100)))</f>
        <v/>
      </c>
      <c r="K1981" s="41" t="str">
        <f>IF($G1981="","",IF($G1981&lt;1,ROUND($G1981*1440,0),INT($G1981/100)*60+MOD($G1981,100)))</f>
        <v/>
      </c>
    </row>
    <row r="1982" ht="15" customHeight="1" s="26">
      <c r="A1982" s="34" t="n"/>
      <c r="B1982" s="32" t="n"/>
      <c r="C1982" s="33" t="n"/>
      <c r="D1982" s="37" t="str">
        <f>IF($C1982="","",IFERROR(INDEX(프로젝트목록!$B$3:$B$62,MATCH($C1982,프로젝트목록!$A$3:$A$62,0)),"미등록코드"))</f>
        <v/>
      </c>
      <c r="E1982" s="32" t="n"/>
      <c r="F1982" s="38" t="n"/>
      <c r="G1982" s="38" t="n"/>
      <c r="H1982" s="39" t="n"/>
      <c r="I1982" s="40" t="str">
        <f>IF(OR($J1982="",$K1982=""),"",ROUND(MAX(0,($K1982-$J1982)-IF($H1982="",0,$H1982))/60,2))</f>
        <v/>
      </c>
      <c r="J1982" s="41" t="str">
        <f>IF($F1982="","",IF($F1982&lt;1,ROUND($F1982*1440,0),INT($F1982/100)*60+MOD($F1982,100)))</f>
        <v/>
      </c>
      <c r="K1982" s="41" t="str">
        <f>IF($G1982="","",IF($G1982&lt;1,ROUND($G1982*1440,0),INT($G1982/100)*60+MOD($G1982,100)))</f>
        <v/>
      </c>
    </row>
    <row r="1983" ht="15" customHeight="1" s="26">
      <c r="A1983" s="34" t="n"/>
      <c r="B1983" s="32" t="n"/>
      <c r="C1983" s="33" t="n"/>
      <c r="D1983" s="37" t="str">
        <f>IF($C1983="","",IFERROR(INDEX(프로젝트목록!$B$3:$B$62,MATCH($C1983,프로젝트목록!$A$3:$A$62,0)),"미등록코드"))</f>
        <v/>
      </c>
      <c r="E1983" s="32" t="n"/>
      <c r="F1983" s="38" t="n"/>
      <c r="G1983" s="38" t="n"/>
      <c r="H1983" s="39" t="n"/>
      <c r="I1983" s="40" t="str">
        <f>IF(OR($J1983="",$K1983=""),"",ROUND(MAX(0,($K1983-$J1983)-IF($H1983="",0,$H1983))/60,2))</f>
        <v/>
      </c>
      <c r="J1983" s="41" t="str">
        <f>IF($F1983="","",IF($F1983&lt;1,ROUND($F1983*1440,0),INT($F1983/100)*60+MOD($F1983,100)))</f>
        <v/>
      </c>
      <c r="K1983" s="41" t="str">
        <f>IF($G1983="","",IF($G1983&lt;1,ROUND($G1983*1440,0),INT($G1983/100)*60+MOD($G1983,100)))</f>
        <v/>
      </c>
    </row>
    <row r="1984" ht="15" customHeight="1" s="26">
      <c r="A1984" s="34" t="n"/>
      <c r="B1984" s="32" t="n"/>
      <c r="C1984" s="33" t="n"/>
      <c r="D1984" s="37" t="str">
        <f>IF($C1984="","",IFERROR(INDEX(프로젝트목록!$B$3:$B$62,MATCH($C1984,프로젝트목록!$A$3:$A$62,0)),"미등록코드"))</f>
        <v/>
      </c>
      <c r="E1984" s="32" t="n"/>
      <c r="F1984" s="38" t="n"/>
      <c r="G1984" s="38" t="n"/>
      <c r="H1984" s="39" t="n"/>
      <c r="I1984" s="40" t="str">
        <f>IF(OR($J1984="",$K1984=""),"",ROUND(MAX(0,($K1984-$J1984)-IF($H1984="",0,$H1984))/60,2))</f>
        <v/>
      </c>
      <c r="J1984" s="41" t="str">
        <f>IF($F1984="","",IF($F1984&lt;1,ROUND($F1984*1440,0),INT($F1984/100)*60+MOD($F1984,100)))</f>
        <v/>
      </c>
      <c r="K1984" s="41" t="str">
        <f>IF($G1984="","",IF($G1984&lt;1,ROUND($G1984*1440,0),INT($G1984/100)*60+MOD($G1984,100)))</f>
        <v/>
      </c>
    </row>
    <row r="1985" ht="15" customHeight="1" s="26">
      <c r="A1985" s="34" t="n"/>
      <c r="B1985" s="32" t="n"/>
      <c r="C1985" s="33" t="n"/>
      <c r="D1985" s="37" t="str">
        <f>IF($C1985="","",IFERROR(INDEX(프로젝트목록!$B$3:$B$62,MATCH($C1985,프로젝트목록!$A$3:$A$62,0)),"미등록코드"))</f>
        <v/>
      </c>
      <c r="E1985" s="32" t="n"/>
      <c r="F1985" s="38" t="n"/>
      <c r="G1985" s="38" t="n"/>
      <c r="H1985" s="39" t="n"/>
      <c r="I1985" s="40" t="str">
        <f>IF(OR($J1985="",$K1985=""),"",ROUND(MAX(0,($K1985-$J1985)-IF($H1985="",0,$H1985))/60,2))</f>
        <v/>
      </c>
      <c r="J1985" s="41" t="str">
        <f>IF($F1985="","",IF($F1985&lt;1,ROUND($F1985*1440,0),INT($F1985/100)*60+MOD($F1985,100)))</f>
        <v/>
      </c>
      <c r="K1985" s="41" t="str">
        <f>IF($G1985="","",IF($G1985&lt;1,ROUND($G1985*1440,0),INT($G1985/100)*60+MOD($G1985,100)))</f>
        <v/>
      </c>
    </row>
    <row r="1986" ht="15" customHeight="1" s="26">
      <c r="A1986" s="34" t="n"/>
      <c r="B1986" s="32" t="n"/>
      <c r="C1986" s="33" t="n"/>
      <c r="D1986" s="37" t="str">
        <f>IF($C1986="","",IFERROR(INDEX(프로젝트목록!$B$3:$B$62,MATCH($C1986,프로젝트목록!$A$3:$A$62,0)),"미등록코드"))</f>
        <v/>
      </c>
      <c r="E1986" s="32" t="n"/>
      <c r="F1986" s="38" t="n"/>
      <c r="G1986" s="38" t="n"/>
      <c r="H1986" s="39" t="n"/>
      <c r="I1986" s="40" t="str">
        <f>IF(OR($J1986="",$K1986=""),"",ROUND(MAX(0,($K1986-$J1986)-IF($H1986="",0,$H1986))/60,2))</f>
        <v/>
      </c>
      <c r="J1986" s="41" t="str">
        <f>IF($F1986="","",IF($F1986&lt;1,ROUND($F1986*1440,0),INT($F1986/100)*60+MOD($F1986,100)))</f>
        <v/>
      </c>
      <c r="K1986" s="41" t="str">
        <f>IF($G1986="","",IF($G1986&lt;1,ROUND($G1986*1440,0),INT($G1986/100)*60+MOD($G1986,100)))</f>
        <v/>
      </c>
    </row>
    <row r="1987" ht="15" customHeight="1" s="26">
      <c r="A1987" s="34" t="n"/>
      <c r="B1987" s="32" t="n"/>
      <c r="C1987" s="33" t="n"/>
      <c r="D1987" s="37" t="str">
        <f>IF($C1987="","",IFERROR(INDEX(프로젝트목록!$B$3:$B$62,MATCH($C1987,프로젝트목록!$A$3:$A$62,0)),"미등록코드"))</f>
        <v/>
      </c>
      <c r="E1987" s="32" t="n"/>
      <c r="F1987" s="38" t="n"/>
      <c r="G1987" s="38" t="n"/>
      <c r="H1987" s="39" t="n"/>
      <c r="I1987" s="40" t="str">
        <f>IF(OR($J1987="",$K1987=""),"",ROUND(MAX(0,($K1987-$J1987)-IF($H1987="",0,$H1987))/60,2))</f>
        <v/>
      </c>
      <c r="J1987" s="41" t="str">
        <f>IF($F1987="","",IF($F1987&lt;1,ROUND($F1987*1440,0),INT($F1987/100)*60+MOD($F1987,100)))</f>
        <v/>
      </c>
      <c r="K1987" s="41" t="str">
        <f>IF($G1987="","",IF($G1987&lt;1,ROUND($G1987*1440,0),INT($G1987/100)*60+MOD($G1987,100)))</f>
        <v/>
      </c>
    </row>
    <row r="1988" ht="15" customHeight="1" s="26">
      <c r="A1988" s="34" t="n"/>
      <c r="B1988" s="32" t="n"/>
      <c r="C1988" s="33" t="n"/>
      <c r="D1988" s="37" t="str">
        <f>IF($C1988="","",IFERROR(INDEX(프로젝트목록!$B$3:$B$62,MATCH($C1988,프로젝트목록!$A$3:$A$62,0)),"미등록코드"))</f>
        <v/>
      </c>
      <c r="E1988" s="32" t="n"/>
      <c r="F1988" s="38" t="n"/>
      <c r="G1988" s="38" t="n"/>
      <c r="H1988" s="39" t="n"/>
      <c r="I1988" s="40" t="str">
        <f>IF(OR($J1988="",$K1988=""),"",ROUND(MAX(0,($K1988-$J1988)-IF($H1988="",0,$H1988))/60,2))</f>
        <v/>
      </c>
      <c r="J1988" s="41" t="str">
        <f>IF($F1988="","",IF($F1988&lt;1,ROUND($F1988*1440,0),INT($F1988/100)*60+MOD($F1988,100)))</f>
        <v/>
      </c>
      <c r="K1988" s="41" t="str">
        <f>IF($G1988="","",IF($G1988&lt;1,ROUND($G1988*1440,0),INT($G1988/100)*60+MOD($G1988,100)))</f>
        <v/>
      </c>
    </row>
    <row r="1989" ht="15" customHeight="1" s="26">
      <c r="A1989" s="34" t="n"/>
      <c r="B1989" s="32" t="n"/>
      <c r="C1989" s="33" t="n"/>
      <c r="D1989" s="37" t="str">
        <f>IF($C1989="","",IFERROR(INDEX(프로젝트목록!$B$3:$B$62,MATCH($C1989,프로젝트목록!$A$3:$A$62,0)),"미등록코드"))</f>
        <v/>
      </c>
      <c r="E1989" s="32" t="n"/>
      <c r="F1989" s="38" t="n"/>
      <c r="G1989" s="38" t="n"/>
      <c r="H1989" s="39" t="n"/>
      <c r="I1989" s="40" t="str">
        <f>IF(OR($J1989="",$K1989=""),"",ROUND(MAX(0,($K1989-$J1989)-IF($H1989="",0,$H1989))/60,2))</f>
        <v/>
      </c>
      <c r="J1989" s="41" t="str">
        <f>IF($F1989="","",IF($F1989&lt;1,ROUND($F1989*1440,0),INT($F1989/100)*60+MOD($F1989,100)))</f>
        <v/>
      </c>
      <c r="K1989" s="41" t="str">
        <f>IF($G1989="","",IF($G1989&lt;1,ROUND($G1989*1440,0),INT($G1989/100)*60+MOD($G1989,100)))</f>
        <v/>
      </c>
    </row>
    <row r="1990" ht="15" customHeight="1" s="26">
      <c r="A1990" s="34" t="n"/>
      <c r="B1990" s="32" t="n"/>
      <c r="C1990" s="33" t="n"/>
      <c r="D1990" s="37" t="str">
        <f>IF($C1990="","",IFERROR(INDEX(프로젝트목록!$B$3:$B$62,MATCH($C1990,프로젝트목록!$A$3:$A$62,0)),"미등록코드"))</f>
        <v/>
      </c>
      <c r="E1990" s="32" t="n"/>
      <c r="F1990" s="38" t="n"/>
      <c r="G1990" s="38" t="n"/>
      <c r="H1990" s="39" t="n"/>
      <c r="I1990" s="40" t="str">
        <f>IF(OR($J1990="",$K1990=""),"",ROUND(MAX(0,($K1990-$J1990)-IF($H1990="",0,$H1990))/60,2))</f>
        <v/>
      </c>
      <c r="J1990" s="41" t="str">
        <f>IF($F1990="","",IF($F1990&lt;1,ROUND($F1990*1440,0),INT($F1990/100)*60+MOD($F1990,100)))</f>
        <v/>
      </c>
      <c r="K1990" s="41" t="str">
        <f>IF($G1990="","",IF($G1990&lt;1,ROUND($G1990*1440,0),INT($G1990/100)*60+MOD($G1990,100)))</f>
        <v/>
      </c>
    </row>
    <row r="1991" ht="15" customHeight="1" s="26">
      <c r="A1991" s="34" t="n"/>
      <c r="B1991" s="32" t="n"/>
      <c r="C1991" s="33" t="n"/>
      <c r="D1991" s="37" t="str">
        <f>IF($C1991="","",IFERROR(INDEX(프로젝트목록!$B$3:$B$62,MATCH($C1991,프로젝트목록!$A$3:$A$62,0)),"미등록코드"))</f>
        <v/>
      </c>
      <c r="E1991" s="32" t="n"/>
      <c r="F1991" s="38" t="n"/>
      <c r="G1991" s="38" t="n"/>
      <c r="H1991" s="39" t="n"/>
      <c r="I1991" s="40" t="str">
        <f>IF(OR($J1991="",$K1991=""),"",ROUND(MAX(0,($K1991-$J1991)-IF($H1991="",0,$H1991))/60,2))</f>
        <v/>
      </c>
      <c r="J1991" s="41" t="str">
        <f>IF($F1991="","",IF($F1991&lt;1,ROUND($F1991*1440,0),INT($F1991/100)*60+MOD($F1991,100)))</f>
        <v/>
      </c>
      <c r="K1991" s="41" t="str">
        <f>IF($G1991="","",IF($G1991&lt;1,ROUND($G1991*1440,0),INT($G1991/100)*60+MOD($G1991,100)))</f>
        <v/>
      </c>
    </row>
    <row r="1992" ht="15" customHeight="1" s="26">
      <c r="A1992" s="34" t="n"/>
      <c r="B1992" s="32" t="n"/>
      <c r="C1992" s="33" t="n"/>
      <c r="D1992" s="37" t="str">
        <f>IF($C1992="","",IFERROR(INDEX(프로젝트목록!$B$3:$B$62,MATCH($C1992,프로젝트목록!$A$3:$A$62,0)),"미등록코드"))</f>
        <v/>
      </c>
      <c r="E1992" s="32" t="n"/>
      <c r="F1992" s="38" t="n"/>
      <c r="G1992" s="38" t="n"/>
      <c r="H1992" s="39" t="n"/>
      <c r="I1992" s="40" t="str">
        <f>IF(OR($J1992="",$K1992=""),"",ROUND(MAX(0,($K1992-$J1992)-IF($H1992="",0,$H1992))/60,2))</f>
        <v/>
      </c>
      <c r="J1992" s="41" t="str">
        <f>IF($F1992="","",IF($F1992&lt;1,ROUND($F1992*1440,0),INT($F1992/100)*60+MOD($F1992,100)))</f>
        <v/>
      </c>
      <c r="K1992" s="41" t="str">
        <f>IF($G1992="","",IF($G1992&lt;1,ROUND($G1992*1440,0),INT($G1992/100)*60+MOD($G1992,100)))</f>
        <v/>
      </c>
    </row>
    <row r="1993" ht="15" customHeight="1" s="26">
      <c r="A1993" s="34" t="n"/>
      <c r="B1993" s="32" t="n"/>
      <c r="C1993" s="33" t="n"/>
      <c r="D1993" s="37" t="str">
        <f>IF($C1993="","",IFERROR(INDEX(프로젝트목록!$B$3:$B$62,MATCH($C1993,프로젝트목록!$A$3:$A$62,0)),"미등록코드"))</f>
        <v/>
      </c>
      <c r="E1993" s="32" t="n"/>
      <c r="F1993" s="38" t="n"/>
      <c r="G1993" s="38" t="n"/>
      <c r="H1993" s="39" t="n"/>
      <c r="I1993" s="40" t="str">
        <f>IF(OR($J1993="",$K1993=""),"",ROUND(MAX(0,($K1993-$J1993)-IF($H1993="",0,$H1993))/60,2))</f>
        <v/>
      </c>
      <c r="J1993" s="41" t="str">
        <f>IF($F1993="","",IF($F1993&lt;1,ROUND($F1993*1440,0),INT($F1993/100)*60+MOD($F1993,100)))</f>
        <v/>
      </c>
      <c r="K1993" s="41" t="str">
        <f>IF($G1993="","",IF($G1993&lt;1,ROUND($G1993*1440,0),INT($G1993/100)*60+MOD($G1993,100)))</f>
        <v/>
      </c>
    </row>
    <row r="1994" ht="15" customHeight="1" s="26">
      <c r="A1994" s="34" t="n"/>
      <c r="B1994" s="32" t="n"/>
      <c r="C1994" s="33" t="n"/>
      <c r="D1994" s="37" t="str">
        <f>IF($C1994="","",IFERROR(INDEX(프로젝트목록!$B$3:$B$62,MATCH($C1994,프로젝트목록!$A$3:$A$62,0)),"미등록코드"))</f>
        <v/>
      </c>
      <c r="E1994" s="32" t="n"/>
      <c r="F1994" s="38" t="n"/>
      <c r="G1994" s="38" t="n"/>
      <c r="H1994" s="39" t="n"/>
      <c r="I1994" s="40" t="str">
        <f>IF(OR($J1994="",$K1994=""),"",ROUND(MAX(0,($K1994-$J1994)-IF($H1994="",0,$H1994))/60,2))</f>
        <v/>
      </c>
      <c r="J1994" s="41" t="str">
        <f>IF($F1994="","",IF($F1994&lt;1,ROUND($F1994*1440,0),INT($F1994/100)*60+MOD($F1994,100)))</f>
        <v/>
      </c>
      <c r="K1994" s="41" t="str">
        <f>IF($G1994="","",IF($G1994&lt;1,ROUND($G1994*1440,0),INT($G1994/100)*60+MOD($G1994,100)))</f>
        <v/>
      </c>
    </row>
    <row r="1995" ht="15" customHeight="1" s="26">
      <c r="A1995" s="34" t="n"/>
      <c r="B1995" s="32" t="n"/>
      <c r="C1995" s="33" t="n"/>
      <c r="D1995" s="37" t="str">
        <f>IF($C1995="","",IFERROR(INDEX(프로젝트목록!$B$3:$B$62,MATCH($C1995,프로젝트목록!$A$3:$A$62,0)),"미등록코드"))</f>
        <v/>
      </c>
      <c r="E1995" s="32" t="n"/>
      <c r="F1995" s="38" t="n"/>
      <c r="G1995" s="38" t="n"/>
      <c r="H1995" s="39" t="n"/>
      <c r="I1995" s="40" t="str">
        <f>IF(OR($J1995="",$K1995=""),"",ROUND(MAX(0,($K1995-$J1995)-IF($H1995="",0,$H1995))/60,2))</f>
        <v/>
      </c>
      <c r="J1995" s="41" t="str">
        <f>IF($F1995="","",IF($F1995&lt;1,ROUND($F1995*1440,0),INT($F1995/100)*60+MOD($F1995,100)))</f>
        <v/>
      </c>
      <c r="K1995" s="41" t="str">
        <f>IF($G1995="","",IF($G1995&lt;1,ROUND($G1995*1440,0),INT($G1995/100)*60+MOD($G1995,100)))</f>
        <v/>
      </c>
    </row>
    <row r="1996" ht="15" customHeight="1" s="26">
      <c r="A1996" s="34" t="n"/>
      <c r="B1996" s="32" t="n"/>
      <c r="C1996" s="33" t="n"/>
      <c r="D1996" s="37" t="str">
        <f>IF($C1996="","",IFERROR(INDEX(프로젝트목록!$B$3:$B$62,MATCH($C1996,프로젝트목록!$A$3:$A$62,0)),"미등록코드"))</f>
        <v/>
      </c>
      <c r="E1996" s="32" t="n"/>
      <c r="F1996" s="38" t="n"/>
      <c r="G1996" s="38" t="n"/>
      <c r="H1996" s="39" t="n"/>
      <c r="I1996" s="40" t="str">
        <f>IF(OR($J1996="",$K1996=""),"",ROUND(MAX(0,($K1996-$J1996)-IF($H1996="",0,$H1996))/60,2))</f>
        <v/>
      </c>
      <c r="J1996" s="41" t="str">
        <f>IF($F1996="","",IF($F1996&lt;1,ROUND($F1996*1440,0),INT($F1996/100)*60+MOD($F1996,100)))</f>
        <v/>
      </c>
      <c r="K1996" s="41" t="str">
        <f>IF($G1996="","",IF($G1996&lt;1,ROUND($G1996*1440,0),INT($G1996/100)*60+MOD($G1996,100)))</f>
        <v/>
      </c>
    </row>
    <row r="1997" ht="15" customHeight="1" s="26">
      <c r="A1997" s="34" t="n"/>
      <c r="B1997" s="32" t="n"/>
      <c r="C1997" s="33" t="n"/>
      <c r="D1997" s="37" t="str">
        <f>IF($C1997="","",IFERROR(INDEX(프로젝트목록!$B$3:$B$62,MATCH($C1997,프로젝트목록!$A$3:$A$62,0)),"미등록코드"))</f>
        <v/>
      </c>
      <c r="E1997" s="32" t="n"/>
      <c r="F1997" s="38" t="n"/>
      <c r="G1997" s="38" t="n"/>
      <c r="H1997" s="39" t="n"/>
      <c r="I1997" s="40" t="str">
        <f>IF(OR($J1997="",$K1997=""),"",ROUND(MAX(0,($K1997-$J1997)-IF($H1997="",0,$H1997))/60,2))</f>
        <v/>
      </c>
      <c r="J1997" s="41" t="str">
        <f>IF($F1997="","",IF($F1997&lt;1,ROUND($F1997*1440,0),INT($F1997/100)*60+MOD($F1997,100)))</f>
        <v/>
      </c>
      <c r="K1997" s="41" t="str">
        <f>IF($G1997="","",IF($G1997&lt;1,ROUND($G1997*1440,0),INT($G1997/100)*60+MOD($G1997,100)))</f>
        <v/>
      </c>
    </row>
    <row r="1998" ht="15" customHeight="1" s="26">
      <c r="A1998" s="34" t="n"/>
      <c r="B1998" s="32" t="n"/>
      <c r="C1998" s="33" t="n"/>
      <c r="D1998" s="37" t="str">
        <f>IF($C1998="","",IFERROR(INDEX(프로젝트목록!$B$3:$B$62,MATCH($C1998,프로젝트목록!$A$3:$A$62,0)),"미등록코드"))</f>
        <v/>
      </c>
      <c r="E1998" s="32" t="n"/>
      <c r="F1998" s="38" t="n"/>
      <c r="G1998" s="38" t="n"/>
      <c r="H1998" s="39" t="n"/>
      <c r="I1998" s="40" t="str">
        <f>IF(OR($J1998="",$K1998=""),"",ROUND(MAX(0,($K1998-$J1998)-IF($H1998="",0,$H1998))/60,2))</f>
        <v/>
      </c>
      <c r="J1998" s="41" t="str">
        <f>IF($F1998="","",IF($F1998&lt;1,ROUND($F1998*1440,0),INT($F1998/100)*60+MOD($F1998,100)))</f>
        <v/>
      </c>
      <c r="K1998" s="41" t="str">
        <f>IF($G1998="","",IF($G1998&lt;1,ROUND($G1998*1440,0),INT($G1998/100)*60+MOD($G1998,100)))</f>
        <v/>
      </c>
    </row>
    <row r="1999" ht="15" customHeight="1" s="26">
      <c r="A1999" s="34" t="n"/>
      <c r="B1999" s="32" t="n"/>
      <c r="C1999" s="33" t="n"/>
      <c r="D1999" s="37" t="str">
        <f>IF($C1999="","",IFERROR(INDEX(프로젝트목록!$B$3:$B$62,MATCH($C1999,프로젝트목록!$A$3:$A$62,0)),"미등록코드"))</f>
        <v/>
      </c>
      <c r="E1999" s="32" t="n"/>
      <c r="F1999" s="38" t="n"/>
      <c r="G1999" s="38" t="n"/>
      <c r="H1999" s="39" t="n"/>
      <c r="I1999" s="40" t="str">
        <f>IF(OR($J1999="",$K1999=""),"",ROUND(MAX(0,($K1999-$J1999)-IF($H1999="",0,$H1999))/60,2))</f>
        <v/>
      </c>
      <c r="J1999" s="41" t="str">
        <f>IF($F1999="","",IF($F1999&lt;1,ROUND($F1999*1440,0),INT($F1999/100)*60+MOD($F1999,100)))</f>
        <v/>
      </c>
      <c r="K1999" s="41" t="str">
        <f>IF($G1999="","",IF($G1999&lt;1,ROUND($G1999*1440,0),INT($G1999/100)*60+MOD($G1999,100)))</f>
        <v/>
      </c>
    </row>
    <row r="2000" ht="15" customHeight="1" s="26">
      <c r="A2000" s="34" t="n"/>
      <c r="B2000" s="32" t="n"/>
      <c r="C2000" s="33" t="n"/>
      <c r="D2000" s="37" t="str">
        <f>IF($C2000="","",IFERROR(INDEX(프로젝트목록!$B$3:$B$62,MATCH($C2000,프로젝트목록!$A$3:$A$62,0)),"미등록코드"))</f>
        <v/>
      </c>
      <c r="E2000" s="32" t="n"/>
      <c r="F2000" s="38" t="n"/>
      <c r="G2000" s="38" t="n"/>
      <c r="H2000" s="39" t="n"/>
      <c r="I2000" s="40" t="str">
        <f>IF(OR($J2000="",$K2000=""),"",ROUND(MAX(0,($K2000-$J2000)-IF($H2000="",0,$H2000))/60,2))</f>
        <v/>
      </c>
      <c r="J2000" s="41" t="str">
        <f>IF($F2000="","",IF($F2000&lt;1,ROUND($F2000*1440,0),INT($F2000/100)*60+MOD($F2000,100)))</f>
        <v/>
      </c>
      <c r="K2000" s="41" t="str">
        <f>IF($G2000="","",IF($G2000&lt;1,ROUND($G2000*1440,0),INT($G2000/100)*60+MOD($G2000,100)))</f>
        <v/>
      </c>
    </row>
    <row r="2001" ht="15" customHeight="1" s="26">
      <c r="A2001" s="34" t="n"/>
      <c r="B2001" s="32" t="n"/>
      <c r="C2001" s="33" t="n"/>
      <c r="D2001" s="37" t="str">
        <f>IF($C2001="","",IFERROR(INDEX(프로젝트목록!$B$3:$B$62,MATCH($C2001,프로젝트목록!$A$3:$A$62,0)),"미등록코드"))</f>
        <v/>
      </c>
      <c r="E2001" s="32" t="n"/>
      <c r="F2001" s="38" t="n"/>
      <c r="G2001" s="38" t="n"/>
      <c r="H2001" s="39" t="n"/>
      <c r="I2001" s="40" t="str">
        <f>IF(OR($J2001="",$K2001=""),"",ROUND(MAX(0,($K2001-$J2001)-IF($H2001="",0,$H2001))/60,2))</f>
        <v/>
      </c>
      <c r="J2001" s="41" t="str">
        <f>IF($F2001="","",IF($F2001&lt;1,ROUND($F2001*1440,0),INT($F2001/100)*60+MOD($F2001,100)))</f>
        <v/>
      </c>
      <c r="K2001" s="41" t="str">
        <f>IF($G2001="","",IF($G2001&lt;1,ROUND($G2001*1440,0),INT($G2001/100)*60+MOD($G2001,100)))</f>
        <v/>
      </c>
    </row>
    <row r="2002" ht="15" customHeight="1" s="26">
      <c r="A2002" s="34" t="n"/>
      <c r="B2002" s="32" t="n"/>
      <c r="C2002" s="33" t="n"/>
      <c r="D2002" s="37" t="str">
        <f>IF($C2002="","",IFERROR(INDEX(프로젝트목록!$B$3:$B$62,MATCH($C2002,프로젝트목록!$A$3:$A$62,0)),"미등록코드"))</f>
        <v/>
      </c>
      <c r="E2002" s="32" t="n"/>
      <c r="F2002" s="38" t="n"/>
      <c r="G2002" s="38" t="n"/>
      <c r="H2002" s="39" t="n"/>
      <c r="I2002" s="40" t="str">
        <f>IF(OR($J2002="",$K2002=""),"",ROUND(MAX(0,($K2002-$J2002)-IF($H2002="",0,$H2002))/60,2))</f>
        <v/>
      </c>
      <c r="J2002" s="41" t="str">
        <f>IF($F2002="","",IF($F2002&lt;1,ROUND($F2002*1440,0),INT($F2002/100)*60+MOD($F2002,100)))</f>
        <v/>
      </c>
      <c r="K2002" s="41" t="str">
        <f>IF($G2002="","",IF($G2002&lt;1,ROUND($G2002*1440,0),INT($G2002/100)*60+MOD($G2002,100)))</f>
        <v/>
      </c>
    </row>
    <row r="2003" ht="15" customHeight="1" s="26">
      <c r="A2003" s="34" t="n"/>
      <c r="B2003" s="32" t="n"/>
      <c r="C2003" s="33" t="n"/>
      <c r="D2003" s="37" t="str">
        <f>IF($C2003="","",IFERROR(INDEX(프로젝트목록!$B$3:$B$62,MATCH($C2003,프로젝트목록!$A$3:$A$62,0)),"미등록코드"))</f>
        <v/>
      </c>
      <c r="E2003" s="32" t="n"/>
      <c r="F2003" s="38" t="n"/>
      <c r="G2003" s="38" t="n"/>
      <c r="H2003" s="39" t="n"/>
      <c r="I2003" s="40" t="str">
        <f>IF(OR($J2003="",$K2003=""),"",ROUND(MAX(0,($K2003-$J2003)-IF($H2003="",0,$H2003))/60,2))</f>
        <v/>
      </c>
      <c r="J2003" s="41" t="str">
        <f>IF($F2003="","",IF($F2003&lt;1,ROUND($F2003*1440,0),INT($F2003/100)*60+MOD($F2003,100)))</f>
        <v/>
      </c>
      <c r="K2003" s="41" t="str">
        <f>IF($G2003="","",IF($G2003&lt;1,ROUND($G2003*1440,0),INT($G2003/100)*60+MOD($G2003,100)))</f>
        <v/>
      </c>
    </row>
    <row r="2004" ht="15" customHeight="1" s="26">
      <c r="A2004" s="34" t="n"/>
      <c r="B2004" s="32" t="n"/>
      <c r="C2004" s="33" t="n"/>
      <c r="D2004" s="37" t="str">
        <f>IF($C2004="","",IFERROR(INDEX(프로젝트목록!$B$3:$B$62,MATCH($C2004,프로젝트목록!$A$3:$A$62,0)),"미등록코드"))</f>
        <v/>
      </c>
      <c r="E2004" s="32" t="n"/>
      <c r="F2004" s="38" t="n"/>
      <c r="G2004" s="38" t="n"/>
      <c r="H2004" s="39" t="n"/>
      <c r="I2004" s="40" t="str">
        <f>IF(OR($J2004="",$K2004=""),"",ROUND(MAX(0,($K2004-$J2004)-IF($H2004="",0,$H2004))/60,2))</f>
        <v/>
      </c>
      <c r="J2004" s="41" t="str">
        <f>IF($F2004="","",IF($F2004&lt;1,ROUND($F2004*1440,0),INT($F2004/100)*60+MOD($F2004,100)))</f>
        <v/>
      </c>
      <c r="K2004" s="41" t="str">
        <f>IF($G2004="","",IF($G2004&lt;1,ROUND($G2004*1440,0),INT($G2004/100)*60+MOD($G2004,100)))</f>
        <v/>
      </c>
    </row>
    <row r="2005" ht="15" customHeight="1" s="26">
      <c r="A2005" s="34" t="n"/>
      <c r="B2005" s="32" t="n"/>
      <c r="C2005" s="33" t="n"/>
      <c r="D2005" s="37" t="str">
        <f>IF($C2005="","",IFERROR(INDEX(프로젝트목록!$B$3:$B$62,MATCH($C2005,프로젝트목록!$A$3:$A$62,0)),"미등록코드"))</f>
        <v/>
      </c>
      <c r="E2005" s="32" t="n"/>
      <c r="F2005" s="38" t="n"/>
      <c r="G2005" s="38" t="n"/>
      <c r="H2005" s="39" t="n"/>
      <c r="I2005" s="40" t="str">
        <f>IF(OR($J2005="",$K2005=""),"",ROUND(MAX(0,($K2005-$J2005)-IF($H2005="",0,$H2005))/60,2))</f>
        <v/>
      </c>
      <c r="J2005" s="41" t="str">
        <f>IF($F2005="","",IF($F2005&lt;1,ROUND($F2005*1440,0),INT($F2005/100)*60+MOD($F2005,100)))</f>
        <v/>
      </c>
      <c r="K2005" s="41" t="str">
        <f>IF($G2005="","",IF($G2005&lt;1,ROUND($G2005*1440,0),INT($G2005/100)*60+MOD($G2005,100)))</f>
        <v/>
      </c>
    </row>
    <row r="2006" ht="15" customHeight="1" s="26">
      <c r="A2006" s="34" t="n"/>
      <c r="B2006" s="32" t="n"/>
      <c r="C2006" s="33" t="n"/>
      <c r="D2006" s="37" t="str">
        <f>IF($C2006="","",IFERROR(INDEX(프로젝트목록!$B$3:$B$62,MATCH($C2006,프로젝트목록!$A$3:$A$62,0)),"미등록코드"))</f>
        <v/>
      </c>
      <c r="E2006" s="32" t="n"/>
      <c r="F2006" s="38" t="n"/>
      <c r="G2006" s="38" t="n"/>
      <c r="H2006" s="39" t="n"/>
      <c r="I2006" s="40" t="str">
        <f>IF(OR($J2006="",$K2006=""),"",ROUND(MAX(0,($K2006-$J2006)-IF($H2006="",0,$H2006))/60,2))</f>
        <v/>
      </c>
      <c r="J2006" s="41" t="str">
        <f>IF($F2006="","",IF($F2006&lt;1,ROUND($F2006*1440,0),INT($F2006/100)*60+MOD($F2006,100)))</f>
        <v/>
      </c>
      <c r="K2006" s="41" t="str">
        <f>IF($G2006="","",IF($G2006&lt;1,ROUND($G2006*1440,0),INT($G2006/100)*60+MOD($G2006,100)))</f>
        <v/>
      </c>
    </row>
    <row r="2007" ht="15" customHeight="1" s="26">
      <c r="A2007" s="34" t="n"/>
      <c r="B2007" s="32" t="n"/>
      <c r="C2007" s="33" t="n"/>
      <c r="D2007" s="37" t="str">
        <f>IF($C2007="","",IFERROR(INDEX(프로젝트목록!$B$3:$B$62,MATCH($C2007,프로젝트목록!$A$3:$A$62,0)),"미등록코드"))</f>
        <v/>
      </c>
      <c r="E2007" s="32" t="n"/>
      <c r="F2007" s="38" t="n"/>
      <c r="G2007" s="38" t="n"/>
      <c r="H2007" s="39" t="n"/>
      <c r="I2007" s="40" t="str">
        <f>IF(OR($J2007="",$K2007=""),"",ROUND(MAX(0,($K2007-$J2007)-IF($H2007="",0,$H2007))/60,2))</f>
        <v/>
      </c>
      <c r="J2007" s="41" t="str">
        <f>IF($F2007="","",IF($F2007&lt;1,ROUND($F2007*1440,0),INT($F2007/100)*60+MOD($F2007,100)))</f>
        <v/>
      </c>
      <c r="K2007" s="41" t="str">
        <f>IF($G2007="","",IF($G2007&lt;1,ROUND($G2007*1440,0),INT($G2007/100)*60+MOD($G2007,100)))</f>
        <v/>
      </c>
    </row>
    <row r="2008" ht="15" customHeight="1" s="26">
      <c r="A2008" s="34" t="n"/>
      <c r="B2008" s="32" t="n"/>
      <c r="C2008" s="33" t="n"/>
      <c r="D2008" s="37" t="str">
        <f>IF($C2008="","",IFERROR(INDEX(프로젝트목록!$B$3:$B$62,MATCH($C2008,프로젝트목록!$A$3:$A$62,0)),"미등록코드"))</f>
        <v/>
      </c>
      <c r="E2008" s="32" t="n"/>
      <c r="F2008" s="38" t="n"/>
      <c r="G2008" s="38" t="n"/>
      <c r="H2008" s="39" t="n"/>
      <c r="I2008" s="40" t="str">
        <f>IF(OR($J2008="",$K2008=""),"",ROUND(MAX(0,($K2008-$J2008)-IF($H2008="",0,$H2008))/60,2))</f>
        <v/>
      </c>
      <c r="J2008" s="41" t="str">
        <f>IF($F2008="","",IF($F2008&lt;1,ROUND($F2008*1440,0),INT($F2008/100)*60+MOD($F2008,100)))</f>
        <v/>
      </c>
      <c r="K2008" s="41" t="str">
        <f>IF($G2008="","",IF($G2008&lt;1,ROUND($G2008*1440,0),INT($G2008/100)*60+MOD($G2008,100)))</f>
        <v/>
      </c>
    </row>
    <row r="2009" ht="15" customHeight="1" s="26">
      <c r="A2009" s="34" t="n"/>
      <c r="B2009" s="32" t="n"/>
      <c r="C2009" s="33" t="n"/>
      <c r="D2009" s="37" t="str">
        <f>IF($C2009="","",IFERROR(INDEX(프로젝트목록!$B$3:$B$62,MATCH($C2009,프로젝트목록!$A$3:$A$62,0)),"미등록코드"))</f>
        <v/>
      </c>
      <c r="E2009" s="32" t="n"/>
      <c r="F2009" s="38" t="n"/>
      <c r="G2009" s="38" t="n"/>
      <c r="H2009" s="39" t="n"/>
      <c r="I2009" s="40" t="str">
        <f>IF(OR($J2009="",$K2009=""),"",ROUND(MAX(0,($K2009-$J2009)-IF($H2009="",0,$H2009))/60,2))</f>
        <v/>
      </c>
      <c r="J2009" s="41" t="str">
        <f>IF($F2009="","",IF($F2009&lt;1,ROUND($F2009*1440,0),INT($F2009/100)*60+MOD($F2009,100)))</f>
        <v/>
      </c>
      <c r="K2009" s="41" t="str">
        <f>IF($G2009="","",IF($G2009&lt;1,ROUND($G2009*1440,0),INT($G2009/100)*60+MOD($G2009,100)))</f>
        <v/>
      </c>
    </row>
    <row r="2010" ht="15" customHeight="1" s="26">
      <c r="A2010" s="34" t="n"/>
      <c r="B2010" s="32" t="n"/>
      <c r="C2010" s="33" t="n"/>
      <c r="D2010" s="37" t="str">
        <f>IF($C2010="","",IFERROR(INDEX(프로젝트목록!$B$3:$B$62,MATCH($C2010,프로젝트목록!$A$3:$A$62,0)),"미등록코드"))</f>
        <v/>
      </c>
      <c r="E2010" s="32" t="n"/>
      <c r="F2010" s="38" t="n"/>
      <c r="G2010" s="38" t="n"/>
      <c r="H2010" s="39" t="n"/>
      <c r="I2010" s="40" t="str">
        <f>IF(OR($J2010="",$K2010=""),"",ROUND(MAX(0,($K2010-$J2010)-IF($H2010="",0,$H2010))/60,2))</f>
        <v/>
      </c>
      <c r="J2010" s="41" t="str">
        <f>IF($F2010="","",IF($F2010&lt;1,ROUND($F2010*1440,0),INT($F2010/100)*60+MOD($F2010,100)))</f>
        <v/>
      </c>
      <c r="K2010" s="41" t="str">
        <f>IF($G2010="","",IF($G2010&lt;1,ROUND($G2010*1440,0),INT($G2010/100)*60+MOD($G2010,100)))</f>
        <v/>
      </c>
    </row>
    <row r="2011" ht="15" customHeight="1" s="26">
      <c r="A2011" s="34" t="n"/>
      <c r="B2011" s="32" t="n"/>
      <c r="C2011" s="33" t="n"/>
      <c r="D2011" s="37" t="str">
        <f>IF($C2011="","",IFERROR(INDEX(프로젝트목록!$B$3:$B$62,MATCH($C2011,프로젝트목록!$A$3:$A$62,0)),"미등록코드"))</f>
        <v/>
      </c>
      <c r="E2011" s="32" t="n"/>
      <c r="F2011" s="38" t="n"/>
      <c r="G2011" s="38" t="n"/>
      <c r="H2011" s="39" t="n"/>
      <c r="I2011" s="40" t="str">
        <f>IF(OR($J2011="",$K2011=""),"",ROUND(MAX(0,($K2011-$J2011)-IF($H2011="",0,$H2011))/60,2))</f>
        <v/>
      </c>
      <c r="J2011" s="41" t="str">
        <f>IF($F2011="","",IF($F2011&lt;1,ROUND($F2011*1440,0),INT($F2011/100)*60+MOD($F2011,100)))</f>
        <v/>
      </c>
      <c r="K2011" s="41" t="str">
        <f>IF($G2011="","",IF($G2011&lt;1,ROUND($G2011*1440,0),INT($G2011/100)*60+MOD($G2011,100)))</f>
        <v/>
      </c>
    </row>
    <row r="2012" ht="15" customHeight="1" s="26">
      <c r="A2012" s="34" t="n"/>
      <c r="B2012" s="32" t="n"/>
      <c r="C2012" s="33" t="n"/>
      <c r="D2012" s="37" t="str">
        <f>IF($C2012="","",IFERROR(INDEX(프로젝트목록!$B$3:$B$62,MATCH($C2012,프로젝트목록!$A$3:$A$62,0)),"미등록코드"))</f>
        <v/>
      </c>
      <c r="E2012" s="32" t="n"/>
      <c r="F2012" s="38" t="n"/>
      <c r="G2012" s="38" t="n"/>
      <c r="H2012" s="39" t="n"/>
      <c r="I2012" s="40" t="str">
        <f>IF(OR($J2012="",$K2012=""),"",ROUND(MAX(0,($K2012-$J2012)-IF($H2012="",0,$H2012))/60,2))</f>
        <v/>
      </c>
      <c r="J2012" s="41" t="str">
        <f>IF($F2012="","",IF($F2012&lt;1,ROUND($F2012*1440,0),INT($F2012/100)*60+MOD($F2012,100)))</f>
        <v/>
      </c>
      <c r="K2012" s="41" t="str">
        <f>IF($G2012="","",IF($G2012&lt;1,ROUND($G2012*1440,0),INT($G2012/100)*60+MOD($G2012,100)))</f>
        <v/>
      </c>
    </row>
    <row r="2013" ht="15" customHeight="1" s="26">
      <c r="A2013" s="34" t="n"/>
      <c r="B2013" s="32" t="n"/>
      <c r="C2013" s="33" t="n"/>
      <c r="D2013" s="37" t="str">
        <f>IF($C2013="","",IFERROR(INDEX(프로젝트목록!$B$3:$B$62,MATCH($C2013,프로젝트목록!$A$3:$A$62,0)),"미등록코드"))</f>
        <v/>
      </c>
      <c r="E2013" s="32" t="n"/>
      <c r="F2013" s="38" t="n"/>
      <c r="G2013" s="38" t="n"/>
      <c r="H2013" s="39" t="n"/>
      <c r="I2013" s="40" t="str">
        <f>IF(OR($J2013="",$K2013=""),"",ROUND(MAX(0,($K2013-$J2013)-IF($H2013="",0,$H2013))/60,2))</f>
        <v/>
      </c>
      <c r="J2013" s="41" t="str">
        <f>IF($F2013="","",IF($F2013&lt;1,ROUND($F2013*1440,0),INT($F2013/100)*60+MOD($F2013,100)))</f>
        <v/>
      </c>
      <c r="K2013" s="41" t="str">
        <f>IF($G2013="","",IF($G2013&lt;1,ROUND($G2013*1440,0),INT($G2013/100)*60+MOD($G2013,100)))</f>
        <v/>
      </c>
    </row>
    <row r="2014" ht="15" customHeight="1" s="26">
      <c r="A2014" s="34" t="n"/>
      <c r="B2014" s="32" t="n"/>
      <c r="C2014" s="33" t="n"/>
      <c r="D2014" s="37" t="str">
        <f>IF($C2014="","",IFERROR(INDEX(프로젝트목록!$B$3:$B$62,MATCH($C2014,프로젝트목록!$A$3:$A$62,0)),"미등록코드"))</f>
        <v/>
      </c>
      <c r="E2014" s="32" t="n"/>
      <c r="F2014" s="38" t="n"/>
      <c r="G2014" s="38" t="n"/>
      <c r="H2014" s="39" t="n"/>
      <c r="I2014" s="40" t="str">
        <f>IF(OR($J2014="",$K2014=""),"",ROUND(MAX(0,($K2014-$J2014)-IF($H2014="",0,$H2014))/60,2))</f>
        <v/>
      </c>
      <c r="J2014" s="41" t="str">
        <f>IF($F2014="","",IF($F2014&lt;1,ROUND($F2014*1440,0),INT($F2014/100)*60+MOD($F2014,100)))</f>
        <v/>
      </c>
      <c r="K2014" s="41" t="str">
        <f>IF($G2014="","",IF($G2014&lt;1,ROUND($G2014*1440,0),INT($G2014/100)*60+MOD($G2014,100)))</f>
        <v/>
      </c>
    </row>
    <row r="2015" ht="15" customHeight="1" s="26">
      <c r="A2015" s="34" t="n"/>
      <c r="B2015" s="32" t="n"/>
      <c r="C2015" s="33" t="n"/>
      <c r="D2015" s="37" t="str">
        <f>IF($C2015="","",IFERROR(INDEX(프로젝트목록!$B$3:$B$62,MATCH($C2015,프로젝트목록!$A$3:$A$62,0)),"미등록코드"))</f>
        <v/>
      </c>
      <c r="E2015" s="32" t="n"/>
      <c r="F2015" s="38" t="n"/>
      <c r="G2015" s="38" t="n"/>
      <c r="H2015" s="39" t="n"/>
      <c r="I2015" s="40" t="str">
        <f>IF(OR($J2015="",$K2015=""),"",ROUND(MAX(0,($K2015-$J2015)-IF($H2015="",0,$H2015))/60,2))</f>
        <v/>
      </c>
      <c r="J2015" s="41" t="str">
        <f>IF($F2015="","",IF($F2015&lt;1,ROUND($F2015*1440,0),INT($F2015/100)*60+MOD($F2015,100)))</f>
        <v/>
      </c>
      <c r="K2015" s="41" t="str">
        <f>IF($G2015="","",IF($G2015&lt;1,ROUND($G2015*1440,0),INT($G2015/100)*60+MOD($G2015,100)))</f>
        <v/>
      </c>
    </row>
    <row r="2016" ht="15" customHeight="1" s="26">
      <c r="A2016" s="34" t="n"/>
      <c r="B2016" s="32" t="n"/>
      <c r="C2016" s="33" t="n"/>
      <c r="D2016" s="37" t="str">
        <f>IF($C2016="","",IFERROR(INDEX(프로젝트목록!$B$3:$B$62,MATCH($C2016,프로젝트목록!$A$3:$A$62,0)),"미등록코드"))</f>
        <v/>
      </c>
      <c r="E2016" s="32" t="n"/>
      <c r="F2016" s="38" t="n"/>
      <c r="G2016" s="38" t="n"/>
      <c r="H2016" s="39" t="n"/>
      <c r="I2016" s="40" t="str">
        <f>IF(OR($J2016="",$K2016=""),"",ROUND(MAX(0,($K2016-$J2016)-IF($H2016="",0,$H2016))/60,2))</f>
        <v/>
      </c>
      <c r="J2016" s="41" t="str">
        <f>IF($F2016="","",IF($F2016&lt;1,ROUND($F2016*1440,0),INT($F2016/100)*60+MOD($F2016,100)))</f>
        <v/>
      </c>
      <c r="K2016" s="41" t="str">
        <f>IF($G2016="","",IF($G2016&lt;1,ROUND($G2016*1440,0),INT($G2016/100)*60+MOD($G2016,100)))</f>
        <v/>
      </c>
    </row>
    <row r="2017" ht="15" customHeight="1" s="26">
      <c r="A2017" s="34" t="n"/>
      <c r="B2017" s="32" t="n"/>
      <c r="C2017" s="33" t="n"/>
      <c r="D2017" s="37" t="str">
        <f>IF($C2017="","",IFERROR(INDEX(프로젝트목록!$B$3:$B$62,MATCH($C2017,프로젝트목록!$A$3:$A$62,0)),"미등록코드"))</f>
        <v/>
      </c>
      <c r="E2017" s="32" t="n"/>
      <c r="F2017" s="38" t="n"/>
      <c r="G2017" s="38" t="n"/>
      <c r="H2017" s="39" t="n"/>
      <c r="I2017" s="40" t="str">
        <f>IF(OR($J2017="",$K2017=""),"",ROUND(MAX(0,($K2017-$J2017)-IF($H2017="",0,$H2017))/60,2))</f>
        <v/>
      </c>
      <c r="J2017" s="41" t="str">
        <f>IF($F2017="","",IF($F2017&lt;1,ROUND($F2017*1440,0),INT($F2017/100)*60+MOD($F2017,100)))</f>
        <v/>
      </c>
      <c r="K2017" s="41" t="str">
        <f>IF($G2017="","",IF($G2017&lt;1,ROUND($G2017*1440,0),INT($G2017/100)*60+MOD($G2017,100)))</f>
        <v/>
      </c>
    </row>
    <row r="2018" ht="15" customHeight="1" s="26">
      <c r="A2018" s="34" t="n"/>
      <c r="B2018" s="32" t="n"/>
      <c r="C2018" s="33" t="n"/>
      <c r="D2018" s="37" t="str">
        <f>IF($C2018="","",IFERROR(INDEX(프로젝트목록!$B$3:$B$62,MATCH($C2018,프로젝트목록!$A$3:$A$62,0)),"미등록코드"))</f>
        <v/>
      </c>
      <c r="E2018" s="32" t="n"/>
      <c r="F2018" s="38" t="n"/>
      <c r="G2018" s="38" t="n"/>
      <c r="H2018" s="39" t="n"/>
      <c r="I2018" s="40" t="str">
        <f>IF(OR($J2018="",$K2018=""),"",ROUND(MAX(0,($K2018-$J2018)-IF($H2018="",0,$H2018))/60,2))</f>
        <v/>
      </c>
      <c r="J2018" s="41" t="str">
        <f>IF($F2018="","",IF($F2018&lt;1,ROUND($F2018*1440,0),INT($F2018/100)*60+MOD($F2018,100)))</f>
        <v/>
      </c>
      <c r="K2018" s="41" t="str">
        <f>IF($G2018="","",IF($G2018&lt;1,ROUND($G2018*1440,0),INT($G2018/100)*60+MOD($G2018,100)))</f>
        <v/>
      </c>
    </row>
    <row r="2019" ht="15" customHeight="1" s="26">
      <c r="A2019" s="34" t="n"/>
      <c r="B2019" s="32" t="n"/>
      <c r="C2019" s="33" t="n"/>
      <c r="D2019" s="37" t="str">
        <f>IF($C2019="","",IFERROR(INDEX(프로젝트목록!$B$3:$B$62,MATCH($C2019,프로젝트목록!$A$3:$A$62,0)),"미등록코드"))</f>
        <v/>
      </c>
      <c r="E2019" s="32" t="n"/>
      <c r="F2019" s="38" t="n"/>
      <c r="G2019" s="38" t="n"/>
      <c r="H2019" s="39" t="n"/>
      <c r="I2019" s="40" t="str">
        <f>IF(OR($J2019="",$K2019=""),"",ROUND(MAX(0,($K2019-$J2019)-IF($H2019="",0,$H2019))/60,2))</f>
        <v/>
      </c>
      <c r="J2019" s="41" t="str">
        <f>IF($F2019="","",IF($F2019&lt;1,ROUND($F2019*1440,0),INT($F2019/100)*60+MOD($F2019,100)))</f>
        <v/>
      </c>
      <c r="K2019" s="41" t="str">
        <f>IF($G2019="","",IF($G2019&lt;1,ROUND($G2019*1440,0),INT($G2019/100)*60+MOD($G2019,100)))</f>
        <v/>
      </c>
    </row>
    <row r="2020" ht="15" customHeight="1" s="26">
      <c r="A2020" s="34" t="n"/>
      <c r="B2020" s="32" t="n"/>
      <c r="C2020" s="33" t="n"/>
      <c r="D2020" s="37" t="str">
        <f>IF($C2020="","",IFERROR(INDEX(프로젝트목록!$B$3:$B$62,MATCH($C2020,프로젝트목록!$A$3:$A$62,0)),"미등록코드"))</f>
        <v/>
      </c>
      <c r="E2020" s="32" t="n"/>
      <c r="F2020" s="38" t="n"/>
      <c r="G2020" s="38" t="n"/>
      <c r="H2020" s="39" t="n"/>
      <c r="I2020" s="40" t="str">
        <f>IF(OR($J2020="",$K2020=""),"",ROUND(MAX(0,($K2020-$J2020)-IF($H2020="",0,$H2020))/60,2))</f>
        <v/>
      </c>
      <c r="J2020" s="41" t="str">
        <f>IF($F2020="","",IF($F2020&lt;1,ROUND($F2020*1440,0),INT($F2020/100)*60+MOD($F2020,100)))</f>
        <v/>
      </c>
      <c r="K2020" s="41" t="str">
        <f>IF($G2020="","",IF($G2020&lt;1,ROUND($G2020*1440,0),INT($G2020/100)*60+MOD($G2020,100)))</f>
        <v/>
      </c>
    </row>
    <row r="2021" ht="15" customHeight="1" s="26">
      <c r="A2021" s="34" t="n"/>
      <c r="B2021" s="32" t="n"/>
      <c r="C2021" s="33" t="n"/>
      <c r="D2021" s="37" t="str">
        <f>IF($C2021="","",IFERROR(INDEX(프로젝트목록!$B$3:$B$62,MATCH($C2021,프로젝트목록!$A$3:$A$62,0)),"미등록코드"))</f>
        <v/>
      </c>
      <c r="E2021" s="32" t="n"/>
      <c r="F2021" s="38" t="n"/>
      <c r="G2021" s="38" t="n"/>
      <c r="H2021" s="39" t="n"/>
      <c r="I2021" s="40" t="str">
        <f>IF(OR($J2021="",$K2021=""),"",ROUND(MAX(0,($K2021-$J2021)-IF($H2021="",0,$H2021))/60,2))</f>
        <v/>
      </c>
      <c r="J2021" s="41" t="str">
        <f>IF($F2021="","",IF($F2021&lt;1,ROUND($F2021*1440,0),INT($F2021/100)*60+MOD($F2021,100)))</f>
        <v/>
      </c>
      <c r="K2021" s="41" t="str">
        <f>IF($G2021="","",IF($G2021&lt;1,ROUND($G2021*1440,0),INT($G2021/100)*60+MOD($G2021,100)))</f>
        <v/>
      </c>
    </row>
    <row r="2022" ht="15" customHeight="1" s="26">
      <c r="A2022" s="34" t="n"/>
      <c r="B2022" s="32" t="n"/>
      <c r="C2022" s="33" t="n"/>
      <c r="D2022" s="37" t="str">
        <f>IF($C2022="","",IFERROR(INDEX(프로젝트목록!$B$3:$B$62,MATCH($C2022,프로젝트목록!$A$3:$A$62,0)),"미등록코드"))</f>
        <v/>
      </c>
      <c r="E2022" s="32" t="n"/>
      <c r="F2022" s="38" t="n"/>
      <c r="G2022" s="38" t="n"/>
      <c r="H2022" s="39" t="n"/>
      <c r="I2022" s="40" t="str">
        <f>IF(OR($J2022="",$K2022=""),"",ROUND(MAX(0,($K2022-$J2022)-IF($H2022="",0,$H2022))/60,2))</f>
        <v/>
      </c>
      <c r="J2022" s="41" t="str">
        <f>IF($F2022="","",IF($F2022&lt;1,ROUND($F2022*1440,0),INT($F2022/100)*60+MOD($F2022,100)))</f>
        <v/>
      </c>
      <c r="K2022" s="41" t="str">
        <f>IF($G2022="","",IF($G2022&lt;1,ROUND($G2022*1440,0),INT($G2022/100)*60+MOD($G2022,100)))</f>
        <v/>
      </c>
    </row>
    <row r="2023" ht="15" customHeight="1" s="26">
      <c r="A2023" s="34" t="n"/>
      <c r="B2023" s="32" t="n"/>
      <c r="C2023" s="33" t="n"/>
      <c r="D2023" s="37" t="str">
        <f>IF($C2023="","",IFERROR(INDEX(프로젝트목록!$B$3:$B$62,MATCH($C2023,프로젝트목록!$A$3:$A$62,0)),"미등록코드"))</f>
        <v/>
      </c>
      <c r="E2023" s="32" t="n"/>
      <c r="F2023" s="38" t="n"/>
      <c r="G2023" s="38" t="n"/>
      <c r="H2023" s="39" t="n"/>
      <c r="I2023" s="40" t="str">
        <f>IF(OR($J2023="",$K2023=""),"",ROUND(MAX(0,($K2023-$J2023)-IF($H2023="",0,$H2023))/60,2))</f>
        <v/>
      </c>
      <c r="J2023" s="41" t="str">
        <f>IF($F2023="","",IF($F2023&lt;1,ROUND($F2023*1440,0),INT($F2023/100)*60+MOD($F2023,100)))</f>
        <v/>
      </c>
      <c r="K2023" s="41" t="str">
        <f>IF($G2023="","",IF($G2023&lt;1,ROUND($G2023*1440,0),INT($G2023/100)*60+MOD($G2023,100)))</f>
        <v/>
      </c>
    </row>
    <row r="2024" ht="15" customHeight="1" s="26">
      <c r="A2024" s="34" t="n"/>
      <c r="B2024" s="32" t="n"/>
      <c r="C2024" s="33" t="n"/>
      <c r="D2024" s="37" t="str">
        <f>IF($C2024="","",IFERROR(INDEX(프로젝트목록!$B$3:$B$62,MATCH($C2024,프로젝트목록!$A$3:$A$62,0)),"미등록코드"))</f>
        <v/>
      </c>
      <c r="E2024" s="32" t="n"/>
      <c r="F2024" s="38" t="n"/>
      <c r="G2024" s="38" t="n"/>
      <c r="H2024" s="39" t="n"/>
      <c r="I2024" s="40" t="str">
        <f>IF(OR($J2024="",$K2024=""),"",ROUND(MAX(0,($K2024-$J2024)-IF($H2024="",0,$H2024))/60,2))</f>
        <v/>
      </c>
      <c r="J2024" s="41" t="str">
        <f>IF($F2024="","",IF($F2024&lt;1,ROUND($F2024*1440,0),INT($F2024/100)*60+MOD($F2024,100)))</f>
        <v/>
      </c>
      <c r="K2024" s="41" t="str">
        <f>IF($G2024="","",IF($G2024&lt;1,ROUND($G2024*1440,0),INT($G2024/100)*60+MOD($G2024,100)))</f>
        <v/>
      </c>
    </row>
    <row r="2025" ht="15" customHeight="1" s="26">
      <c r="A2025" s="34" t="n"/>
      <c r="B2025" s="32" t="n"/>
      <c r="C2025" s="33" t="n"/>
      <c r="D2025" s="37" t="str">
        <f>IF($C2025="","",IFERROR(INDEX(프로젝트목록!$B$3:$B$62,MATCH($C2025,프로젝트목록!$A$3:$A$62,0)),"미등록코드"))</f>
        <v/>
      </c>
      <c r="E2025" s="32" t="n"/>
      <c r="F2025" s="38" t="n"/>
      <c r="G2025" s="38" t="n"/>
      <c r="H2025" s="39" t="n"/>
      <c r="I2025" s="40" t="str">
        <f>IF(OR($J2025="",$K2025=""),"",ROUND(MAX(0,($K2025-$J2025)-IF($H2025="",0,$H2025))/60,2))</f>
        <v/>
      </c>
      <c r="J2025" s="41" t="str">
        <f>IF($F2025="","",IF($F2025&lt;1,ROUND($F2025*1440,0),INT($F2025/100)*60+MOD($F2025,100)))</f>
        <v/>
      </c>
      <c r="K2025" s="41" t="str">
        <f>IF($G2025="","",IF($G2025&lt;1,ROUND($G2025*1440,0),INT($G2025/100)*60+MOD($G2025,100)))</f>
        <v/>
      </c>
    </row>
    <row r="2026" ht="15" customHeight="1" s="26">
      <c r="A2026" s="34" t="n"/>
      <c r="B2026" s="32" t="n"/>
      <c r="C2026" s="33" t="n"/>
      <c r="D2026" s="37" t="str">
        <f>IF($C2026="","",IFERROR(INDEX(프로젝트목록!$B$3:$B$62,MATCH($C2026,프로젝트목록!$A$3:$A$62,0)),"미등록코드"))</f>
        <v/>
      </c>
      <c r="E2026" s="32" t="n"/>
      <c r="F2026" s="38" t="n"/>
      <c r="G2026" s="38" t="n"/>
      <c r="H2026" s="39" t="n"/>
      <c r="I2026" s="40" t="str">
        <f>IF(OR($J2026="",$K2026=""),"",ROUND(MAX(0,($K2026-$J2026)-IF($H2026="",0,$H2026))/60,2))</f>
        <v/>
      </c>
      <c r="J2026" s="41" t="str">
        <f>IF($F2026="","",IF($F2026&lt;1,ROUND($F2026*1440,0),INT($F2026/100)*60+MOD($F2026,100)))</f>
        <v/>
      </c>
      <c r="K2026" s="41" t="str">
        <f>IF($G2026="","",IF($G2026&lt;1,ROUND($G2026*1440,0),INT($G2026/100)*60+MOD($G2026,100)))</f>
        <v/>
      </c>
    </row>
    <row r="2027" ht="15" customHeight="1" s="26">
      <c r="A2027" s="34" t="n"/>
      <c r="B2027" s="32" t="n"/>
      <c r="C2027" s="33" t="n"/>
      <c r="D2027" s="37" t="str">
        <f>IF($C2027="","",IFERROR(INDEX(프로젝트목록!$B$3:$B$62,MATCH($C2027,프로젝트목록!$A$3:$A$62,0)),"미등록코드"))</f>
        <v/>
      </c>
      <c r="E2027" s="32" t="n"/>
      <c r="F2027" s="38" t="n"/>
      <c r="G2027" s="38" t="n"/>
      <c r="H2027" s="39" t="n"/>
      <c r="I2027" s="40" t="str">
        <f>IF(OR($J2027="",$K2027=""),"",ROUND(MAX(0,($K2027-$J2027)-IF($H2027="",0,$H2027))/60,2))</f>
        <v/>
      </c>
      <c r="J2027" s="41" t="str">
        <f>IF($F2027="","",IF($F2027&lt;1,ROUND($F2027*1440,0),INT($F2027/100)*60+MOD($F2027,100)))</f>
        <v/>
      </c>
      <c r="K2027" s="41" t="str">
        <f>IF($G2027="","",IF($G2027&lt;1,ROUND($G2027*1440,0),INT($G2027/100)*60+MOD($G2027,100)))</f>
        <v/>
      </c>
    </row>
    <row r="2028" ht="15" customHeight="1" s="26">
      <c r="A2028" s="34" t="n"/>
      <c r="B2028" s="32" t="n"/>
      <c r="C2028" s="33" t="n"/>
      <c r="D2028" s="37" t="str">
        <f>IF($C2028="","",IFERROR(INDEX(프로젝트목록!$B$3:$B$62,MATCH($C2028,프로젝트목록!$A$3:$A$62,0)),"미등록코드"))</f>
        <v/>
      </c>
      <c r="E2028" s="32" t="n"/>
      <c r="F2028" s="38" t="n"/>
      <c r="G2028" s="38" t="n"/>
      <c r="H2028" s="39" t="n"/>
      <c r="I2028" s="40" t="str">
        <f>IF(OR($J2028="",$K2028=""),"",ROUND(MAX(0,($K2028-$J2028)-IF($H2028="",0,$H2028))/60,2))</f>
        <v/>
      </c>
      <c r="J2028" s="41" t="str">
        <f>IF($F2028="","",IF($F2028&lt;1,ROUND($F2028*1440,0),INT($F2028/100)*60+MOD($F2028,100)))</f>
        <v/>
      </c>
      <c r="K2028" s="41" t="str">
        <f>IF($G2028="","",IF($G2028&lt;1,ROUND($G2028*1440,0),INT($G2028/100)*60+MOD($G2028,100)))</f>
        <v/>
      </c>
    </row>
    <row r="2029" ht="15" customHeight="1" s="26">
      <c r="A2029" s="34" t="n"/>
      <c r="B2029" s="32" t="n"/>
      <c r="C2029" s="33" t="n"/>
      <c r="D2029" s="37" t="str">
        <f>IF($C2029="","",IFERROR(INDEX(프로젝트목록!$B$3:$B$62,MATCH($C2029,프로젝트목록!$A$3:$A$62,0)),"미등록코드"))</f>
        <v/>
      </c>
      <c r="E2029" s="32" t="n"/>
      <c r="F2029" s="38" t="n"/>
      <c r="G2029" s="38" t="n"/>
      <c r="H2029" s="39" t="n"/>
      <c r="I2029" s="40" t="str">
        <f>IF(OR($J2029="",$K2029=""),"",ROUND(MAX(0,($K2029-$J2029)-IF($H2029="",0,$H2029))/60,2))</f>
        <v/>
      </c>
      <c r="J2029" s="41" t="str">
        <f>IF($F2029="","",IF($F2029&lt;1,ROUND($F2029*1440,0),INT($F2029/100)*60+MOD($F2029,100)))</f>
        <v/>
      </c>
      <c r="K2029" s="41" t="str">
        <f>IF($G2029="","",IF($G2029&lt;1,ROUND($G2029*1440,0),INT($G2029/100)*60+MOD($G2029,100)))</f>
        <v/>
      </c>
    </row>
    <row r="2030" ht="15" customHeight="1" s="26">
      <c r="A2030" s="34" t="n"/>
      <c r="B2030" s="32" t="n"/>
      <c r="C2030" s="33" t="n"/>
      <c r="D2030" s="37" t="str">
        <f>IF($C2030="","",IFERROR(INDEX(프로젝트목록!$B$3:$B$62,MATCH($C2030,프로젝트목록!$A$3:$A$62,0)),"미등록코드"))</f>
        <v/>
      </c>
      <c r="E2030" s="32" t="n"/>
      <c r="F2030" s="38" t="n"/>
      <c r="G2030" s="38" t="n"/>
      <c r="H2030" s="39" t="n"/>
      <c r="I2030" s="40" t="str">
        <f>IF(OR($J2030="",$K2030=""),"",ROUND(MAX(0,($K2030-$J2030)-IF($H2030="",0,$H2030))/60,2))</f>
        <v/>
      </c>
      <c r="J2030" s="41" t="str">
        <f>IF($F2030="","",IF($F2030&lt;1,ROUND($F2030*1440,0),INT($F2030/100)*60+MOD($F2030,100)))</f>
        <v/>
      </c>
      <c r="K2030" s="41" t="str">
        <f>IF($G2030="","",IF($G2030&lt;1,ROUND($G2030*1440,0),INT($G2030/100)*60+MOD($G2030,100)))</f>
        <v/>
      </c>
    </row>
    <row r="2031" ht="15" customHeight="1" s="26">
      <c r="A2031" s="34" t="n"/>
      <c r="B2031" s="32" t="n"/>
      <c r="C2031" s="33" t="n"/>
      <c r="D2031" s="37" t="str">
        <f>IF($C2031="","",IFERROR(INDEX(프로젝트목록!$B$3:$B$62,MATCH($C2031,프로젝트목록!$A$3:$A$62,0)),"미등록코드"))</f>
        <v/>
      </c>
      <c r="E2031" s="32" t="n"/>
      <c r="F2031" s="38" t="n"/>
      <c r="G2031" s="38" t="n"/>
      <c r="H2031" s="39" t="n"/>
      <c r="I2031" s="40" t="str">
        <f>IF(OR($J2031="",$K2031=""),"",ROUND(MAX(0,($K2031-$J2031)-IF($H2031="",0,$H2031))/60,2))</f>
        <v/>
      </c>
      <c r="J2031" s="41" t="str">
        <f>IF($F2031="","",IF($F2031&lt;1,ROUND($F2031*1440,0),INT($F2031/100)*60+MOD($F2031,100)))</f>
        <v/>
      </c>
      <c r="K2031" s="41" t="str">
        <f>IF($G2031="","",IF($G2031&lt;1,ROUND($G2031*1440,0),INT($G2031/100)*60+MOD($G2031,100)))</f>
        <v/>
      </c>
    </row>
    <row r="2032" ht="15" customHeight="1" s="26">
      <c r="A2032" s="34" t="n"/>
      <c r="B2032" s="32" t="n"/>
      <c r="C2032" s="33" t="n"/>
      <c r="D2032" s="37" t="str">
        <f>IF($C2032="","",IFERROR(INDEX(프로젝트목록!$B$3:$B$62,MATCH($C2032,프로젝트목록!$A$3:$A$62,0)),"미등록코드"))</f>
        <v/>
      </c>
      <c r="E2032" s="32" t="n"/>
      <c r="F2032" s="38" t="n"/>
      <c r="G2032" s="38" t="n"/>
      <c r="H2032" s="39" t="n"/>
      <c r="I2032" s="40" t="str">
        <f>IF(OR($J2032="",$K2032=""),"",ROUND(MAX(0,($K2032-$J2032)-IF($H2032="",0,$H2032))/60,2))</f>
        <v/>
      </c>
      <c r="J2032" s="41" t="str">
        <f>IF($F2032="","",IF($F2032&lt;1,ROUND($F2032*1440,0),INT($F2032/100)*60+MOD($F2032,100)))</f>
        <v/>
      </c>
      <c r="K2032" s="41" t="str">
        <f>IF($G2032="","",IF($G2032&lt;1,ROUND($G2032*1440,0),INT($G2032/100)*60+MOD($G2032,100)))</f>
        <v/>
      </c>
    </row>
    <row r="2033" ht="15" customHeight="1" s="26">
      <c r="A2033" s="34" t="n"/>
      <c r="B2033" s="32" t="n"/>
      <c r="C2033" s="33" t="n"/>
      <c r="D2033" s="37" t="str">
        <f>IF($C2033="","",IFERROR(INDEX(프로젝트목록!$B$3:$B$62,MATCH($C2033,프로젝트목록!$A$3:$A$62,0)),"미등록코드"))</f>
        <v/>
      </c>
      <c r="E2033" s="32" t="n"/>
      <c r="F2033" s="38" t="n"/>
      <c r="G2033" s="38" t="n"/>
      <c r="H2033" s="39" t="n"/>
      <c r="I2033" s="40" t="str">
        <f>IF(OR($J2033="",$K2033=""),"",ROUND(MAX(0,($K2033-$J2033)-IF($H2033="",0,$H2033))/60,2))</f>
        <v/>
      </c>
      <c r="J2033" s="41" t="str">
        <f>IF($F2033="","",IF($F2033&lt;1,ROUND($F2033*1440,0),INT($F2033/100)*60+MOD($F2033,100)))</f>
        <v/>
      </c>
      <c r="K2033" s="41" t="str">
        <f>IF($G2033="","",IF($G2033&lt;1,ROUND($G2033*1440,0),INT($G2033/100)*60+MOD($G2033,100)))</f>
        <v/>
      </c>
    </row>
    <row r="2034" ht="15" customHeight="1" s="26">
      <c r="A2034" s="34" t="n"/>
      <c r="B2034" s="32" t="n"/>
      <c r="C2034" s="33" t="n"/>
      <c r="D2034" s="37" t="str">
        <f>IF($C2034="","",IFERROR(INDEX(프로젝트목록!$B$3:$B$62,MATCH($C2034,프로젝트목록!$A$3:$A$62,0)),"미등록코드"))</f>
        <v/>
      </c>
      <c r="E2034" s="32" t="n"/>
      <c r="F2034" s="38" t="n"/>
      <c r="G2034" s="38" t="n"/>
      <c r="H2034" s="39" t="n"/>
      <c r="I2034" s="40" t="str">
        <f>IF(OR($J2034="",$K2034=""),"",ROUND(MAX(0,($K2034-$J2034)-IF($H2034="",0,$H2034))/60,2))</f>
        <v/>
      </c>
      <c r="J2034" s="41" t="str">
        <f>IF($F2034="","",IF($F2034&lt;1,ROUND($F2034*1440,0),INT($F2034/100)*60+MOD($F2034,100)))</f>
        <v/>
      </c>
      <c r="K2034" s="41" t="str">
        <f>IF($G2034="","",IF($G2034&lt;1,ROUND($G2034*1440,0),INT($G2034/100)*60+MOD($G2034,100)))</f>
        <v/>
      </c>
    </row>
    <row r="2035" ht="15" customHeight="1" s="26">
      <c r="A2035" s="34" t="n"/>
      <c r="B2035" s="32" t="n"/>
      <c r="C2035" s="33" t="n"/>
      <c r="D2035" s="37" t="str">
        <f>IF($C2035="","",IFERROR(INDEX(프로젝트목록!$B$3:$B$62,MATCH($C2035,프로젝트목록!$A$3:$A$62,0)),"미등록코드"))</f>
        <v/>
      </c>
      <c r="E2035" s="32" t="n"/>
      <c r="F2035" s="38" t="n"/>
      <c r="G2035" s="38" t="n"/>
      <c r="H2035" s="39" t="n"/>
      <c r="I2035" s="40" t="str">
        <f>IF(OR($J2035="",$K2035=""),"",ROUND(MAX(0,($K2035-$J2035)-IF($H2035="",0,$H2035))/60,2))</f>
        <v/>
      </c>
      <c r="J2035" s="41" t="str">
        <f>IF($F2035="","",IF($F2035&lt;1,ROUND($F2035*1440,0),INT($F2035/100)*60+MOD($F2035,100)))</f>
        <v/>
      </c>
      <c r="K2035" s="41" t="str">
        <f>IF($G2035="","",IF($G2035&lt;1,ROUND($G2035*1440,0),INT($G2035/100)*60+MOD($G2035,100)))</f>
        <v/>
      </c>
    </row>
    <row r="2036" ht="15" customHeight="1" s="26">
      <c r="A2036" s="34" t="n"/>
      <c r="B2036" s="32" t="n"/>
      <c r="C2036" s="33" t="n"/>
      <c r="D2036" s="37" t="str">
        <f>IF($C2036="","",IFERROR(INDEX(프로젝트목록!$B$3:$B$62,MATCH($C2036,프로젝트목록!$A$3:$A$62,0)),"미등록코드"))</f>
        <v/>
      </c>
      <c r="E2036" s="32" t="n"/>
      <c r="F2036" s="38" t="n"/>
      <c r="G2036" s="38" t="n"/>
      <c r="H2036" s="39" t="n"/>
      <c r="I2036" s="40" t="str">
        <f>IF(OR($J2036="",$K2036=""),"",ROUND(MAX(0,($K2036-$J2036)-IF($H2036="",0,$H2036))/60,2))</f>
        <v/>
      </c>
      <c r="J2036" s="41" t="str">
        <f>IF($F2036="","",IF($F2036&lt;1,ROUND($F2036*1440,0),INT($F2036/100)*60+MOD($F2036,100)))</f>
        <v/>
      </c>
      <c r="K2036" s="41" t="str">
        <f>IF($G2036="","",IF($G2036&lt;1,ROUND($G2036*1440,0),INT($G2036/100)*60+MOD($G2036,100)))</f>
        <v/>
      </c>
    </row>
    <row r="2037" ht="15" customHeight="1" s="26">
      <c r="A2037" s="34" t="n"/>
      <c r="B2037" s="32" t="n"/>
      <c r="C2037" s="33" t="n"/>
      <c r="D2037" s="37" t="str">
        <f>IF($C2037="","",IFERROR(INDEX(프로젝트목록!$B$3:$B$62,MATCH($C2037,프로젝트목록!$A$3:$A$62,0)),"미등록코드"))</f>
        <v/>
      </c>
      <c r="E2037" s="32" t="n"/>
      <c r="F2037" s="38" t="n"/>
      <c r="G2037" s="38" t="n"/>
      <c r="H2037" s="39" t="n"/>
      <c r="I2037" s="40" t="str">
        <f>IF(OR($J2037="",$K2037=""),"",ROUND(MAX(0,($K2037-$J2037)-IF($H2037="",0,$H2037))/60,2))</f>
        <v/>
      </c>
      <c r="J2037" s="41" t="str">
        <f>IF($F2037="","",IF($F2037&lt;1,ROUND($F2037*1440,0),INT($F2037/100)*60+MOD($F2037,100)))</f>
        <v/>
      </c>
      <c r="K2037" s="41" t="str">
        <f>IF($G2037="","",IF($G2037&lt;1,ROUND($G2037*1440,0),INT($G2037/100)*60+MOD($G2037,100)))</f>
        <v/>
      </c>
    </row>
    <row r="2038" ht="15" customHeight="1" s="26">
      <c r="A2038" s="34" t="n"/>
      <c r="B2038" s="32" t="n"/>
      <c r="C2038" s="33" t="n"/>
      <c r="D2038" s="37" t="str">
        <f>IF($C2038="","",IFERROR(INDEX(프로젝트목록!$B$3:$B$62,MATCH($C2038,프로젝트목록!$A$3:$A$62,0)),"미등록코드"))</f>
        <v/>
      </c>
      <c r="E2038" s="32" t="n"/>
      <c r="F2038" s="38" t="n"/>
      <c r="G2038" s="38" t="n"/>
      <c r="H2038" s="39" t="n"/>
      <c r="I2038" s="40" t="str">
        <f>IF(OR($J2038="",$K2038=""),"",ROUND(MAX(0,($K2038-$J2038)-IF($H2038="",0,$H2038))/60,2))</f>
        <v/>
      </c>
      <c r="J2038" s="41" t="str">
        <f>IF($F2038="","",IF($F2038&lt;1,ROUND($F2038*1440,0),INT($F2038/100)*60+MOD($F2038,100)))</f>
        <v/>
      </c>
      <c r="K2038" s="41" t="str">
        <f>IF($G2038="","",IF($G2038&lt;1,ROUND($G2038*1440,0),INT($G2038/100)*60+MOD($G2038,100)))</f>
        <v/>
      </c>
    </row>
    <row r="2039" ht="15" customHeight="1" s="26">
      <c r="A2039" s="34" t="n"/>
      <c r="B2039" s="32" t="n"/>
      <c r="C2039" s="33" t="n"/>
      <c r="D2039" s="37" t="str">
        <f>IF($C2039="","",IFERROR(INDEX(프로젝트목록!$B$3:$B$62,MATCH($C2039,프로젝트목록!$A$3:$A$62,0)),"미등록코드"))</f>
        <v/>
      </c>
      <c r="E2039" s="32" t="n"/>
      <c r="F2039" s="38" t="n"/>
      <c r="G2039" s="38" t="n"/>
      <c r="H2039" s="39" t="n"/>
      <c r="I2039" s="40" t="str">
        <f>IF(OR($J2039="",$K2039=""),"",ROUND(MAX(0,($K2039-$J2039)-IF($H2039="",0,$H2039))/60,2))</f>
        <v/>
      </c>
      <c r="J2039" s="41" t="str">
        <f>IF($F2039="","",IF($F2039&lt;1,ROUND($F2039*1440,0),INT($F2039/100)*60+MOD($F2039,100)))</f>
        <v/>
      </c>
      <c r="K2039" s="41" t="str">
        <f>IF($G2039="","",IF($G2039&lt;1,ROUND($G2039*1440,0),INT($G2039/100)*60+MOD($G2039,100)))</f>
        <v/>
      </c>
    </row>
    <row r="2040" ht="15" customHeight="1" s="26">
      <c r="A2040" s="34" t="n"/>
      <c r="B2040" s="32" t="n"/>
      <c r="C2040" s="33" t="n"/>
      <c r="D2040" s="37" t="str">
        <f>IF($C2040="","",IFERROR(INDEX(프로젝트목록!$B$3:$B$62,MATCH($C2040,프로젝트목록!$A$3:$A$62,0)),"미등록코드"))</f>
        <v/>
      </c>
      <c r="E2040" s="32" t="n"/>
      <c r="F2040" s="38" t="n"/>
      <c r="G2040" s="38" t="n"/>
      <c r="H2040" s="39" t="n"/>
      <c r="I2040" s="40" t="str">
        <f>IF(OR($J2040="",$K2040=""),"",ROUND(MAX(0,($K2040-$J2040)-IF($H2040="",0,$H2040))/60,2))</f>
        <v/>
      </c>
      <c r="J2040" s="41" t="str">
        <f>IF($F2040="","",IF($F2040&lt;1,ROUND($F2040*1440,0),INT($F2040/100)*60+MOD($F2040,100)))</f>
        <v/>
      </c>
      <c r="K2040" s="41" t="str">
        <f>IF($G2040="","",IF($G2040&lt;1,ROUND($G2040*1440,0),INT($G2040/100)*60+MOD($G2040,100)))</f>
        <v/>
      </c>
    </row>
    <row r="2041" ht="15" customHeight="1" s="26">
      <c r="A2041" s="34" t="n"/>
      <c r="B2041" s="32" t="n"/>
      <c r="C2041" s="33" t="n"/>
      <c r="D2041" s="37" t="str">
        <f>IF($C2041="","",IFERROR(INDEX(프로젝트목록!$B$3:$B$62,MATCH($C2041,프로젝트목록!$A$3:$A$62,0)),"미등록코드"))</f>
        <v/>
      </c>
      <c r="E2041" s="32" t="n"/>
      <c r="F2041" s="38" t="n"/>
      <c r="G2041" s="38" t="n"/>
      <c r="H2041" s="39" t="n"/>
      <c r="I2041" s="40" t="str">
        <f>IF(OR($J2041="",$K2041=""),"",ROUND(MAX(0,($K2041-$J2041)-IF($H2041="",0,$H2041))/60,2))</f>
        <v/>
      </c>
      <c r="J2041" s="41" t="str">
        <f>IF($F2041="","",IF($F2041&lt;1,ROUND($F2041*1440,0),INT($F2041/100)*60+MOD($F2041,100)))</f>
        <v/>
      </c>
      <c r="K2041" s="41" t="str">
        <f>IF($G2041="","",IF($G2041&lt;1,ROUND($G2041*1440,0),INT($G2041/100)*60+MOD($G2041,100)))</f>
        <v/>
      </c>
    </row>
    <row r="2042" ht="15" customHeight="1" s="26">
      <c r="A2042" s="34" t="n"/>
      <c r="B2042" s="32" t="n"/>
      <c r="C2042" s="33" t="n"/>
      <c r="D2042" s="37" t="str">
        <f>IF($C2042="","",IFERROR(INDEX(프로젝트목록!$B$3:$B$62,MATCH($C2042,프로젝트목록!$A$3:$A$62,0)),"미등록코드"))</f>
        <v/>
      </c>
      <c r="E2042" s="32" t="n"/>
      <c r="F2042" s="38" t="n"/>
      <c r="G2042" s="38" t="n"/>
      <c r="H2042" s="39" t="n"/>
      <c r="I2042" s="40" t="str">
        <f>IF(OR($J2042="",$K2042=""),"",ROUND(MAX(0,($K2042-$J2042)-IF($H2042="",0,$H2042))/60,2))</f>
        <v/>
      </c>
      <c r="J2042" s="41" t="str">
        <f>IF($F2042="","",IF($F2042&lt;1,ROUND($F2042*1440,0),INT($F2042/100)*60+MOD($F2042,100)))</f>
        <v/>
      </c>
      <c r="K2042" s="41" t="str">
        <f>IF($G2042="","",IF($G2042&lt;1,ROUND($G2042*1440,0),INT($G2042/100)*60+MOD($G2042,100)))</f>
        <v/>
      </c>
    </row>
    <row r="2043" ht="15" customHeight="1" s="26">
      <c r="A2043" s="34" t="n"/>
      <c r="B2043" s="32" t="n"/>
      <c r="C2043" s="33" t="n"/>
      <c r="D2043" s="37" t="str">
        <f>IF($C2043="","",IFERROR(INDEX(프로젝트목록!$B$3:$B$62,MATCH($C2043,프로젝트목록!$A$3:$A$62,0)),"미등록코드"))</f>
        <v/>
      </c>
      <c r="E2043" s="32" t="n"/>
      <c r="F2043" s="38" t="n"/>
      <c r="G2043" s="38" t="n"/>
      <c r="H2043" s="39" t="n"/>
      <c r="I2043" s="40" t="str">
        <f>IF(OR($J2043="",$K2043=""),"",ROUND(MAX(0,($K2043-$J2043)-IF($H2043="",0,$H2043))/60,2))</f>
        <v/>
      </c>
      <c r="J2043" s="41" t="str">
        <f>IF($F2043="","",IF($F2043&lt;1,ROUND($F2043*1440,0),INT($F2043/100)*60+MOD($F2043,100)))</f>
        <v/>
      </c>
      <c r="K2043" s="41" t="str">
        <f>IF($G2043="","",IF($G2043&lt;1,ROUND($G2043*1440,0),INT($G2043/100)*60+MOD($G2043,100)))</f>
        <v/>
      </c>
    </row>
    <row r="2044" ht="15" customHeight="1" s="26">
      <c r="A2044" s="34" t="n"/>
      <c r="B2044" s="32" t="n"/>
      <c r="C2044" s="33" t="n"/>
      <c r="D2044" s="37" t="str">
        <f>IF($C2044="","",IFERROR(INDEX(프로젝트목록!$B$3:$B$62,MATCH($C2044,프로젝트목록!$A$3:$A$62,0)),"미등록코드"))</f>
        <v/>
      </c>
      <c r="E2044" s="32" t="n"/>
      <c r="F2044" s="38" t="n"/>
      <c r="G2044" s="38" t="n"/>
      <c r="H2044" s="39" t="n"/>
      <c r="I2044" s="40" t="str">
        <f>IF(OR($J2044="",$K2044=""),"",ROUND(MAX(0,($K2044-$J2044)-IF($H2044="",0,$H2044))/60,2))</f>
        <v/>
      </c>
      <c r="J2044" s="41" t="str">
        <f>IF($F2044="","",IF($F2044&lt;1,ROUND($F2044*1440,0),INT($F2044/100)*60+MOD($F2044,100)))</f>
        <v/>
      </c>
      <c r="K2044" s="41" t="str">
        <f>IF($G2044="","",IF($G2044&lt;1,ROUND($G2044*1440,0),INT($G2044/100)*60+MOD($G2044,100)))</f>
        <v/>
      </c>
    </row>
    <row r="2045" ht="15" customHeight="1" s="26">
      <c r="A2045" s="34" t="n"/>
      <c r="B2045" s="32" t="n"/>
      <c r="C2045" s="33" t="n"/>
      <c r="D2045" s="37" t="str">
        <f>IF($C2045="","",IFERROR(INDEX(프로젝트목록!$B$3:$B$62,MATCH($C2045,프로젝트목록!$A$3:$A$62,0)),"미등록코드"))</f>
        <v/>
      </c>
      <c r="E2045" s="32" t="n"/>
      <c r="F2045" s="38" t="n"/>
      <c r="G2045" s="38" t="n"/>
      <c r="H2045" s="39" t="n"/>
      <c r="I2045" s="40" t="str">
        <f>IF(OR($J2045="",$K2045=""),"",ROUND(MAX(0,($K2045-$J2045)-IF($H2045="",0,$H2045))/60,2))</f>
        <v/>
      </c>
      <c r="J2045" s="41" t="str">
        <f>IF($F2045="","",IF($F2045&lt;1,ROUND($F2045*1440,0),INT($F2045/100)*60+MOD($F2045,100)))</f>
        <v/>
      </c>
      <c r="K2045" s="41" t="str">
        <f>IF($G2045="","",IF($G2045&lt;1,ROUND($G2045*1440,0),INT($G2045/100)*60+MOD($G2045,100)))</f>
        <v/>
      </c>
    </row>
    <row r="2046" ht="15" customHeight="1" s="26">
      <c r="A2046" s="34" t="n"/>
      <c r="B2046" s="32" t="n"/>
      <c r="C2046" s="33" t="n"/>
      <c r="D2046" s="37" t="str">
        <f>IF($C2046="","",IFERROR(INDEX(프로젝트목록!$B$3:$B$62,MATCH($C2046,프로젝트목록!$A$3:$A$62,0)),"미등록코드"))</f>
        <v/>
      </c>
      <c r="E2046" s="32" t="n"/>
      <c r="F2046" s="38" t="n"/>
      <c r="G2046" s="38" t="n"/>
      <c r="H2046" s="39" t="n"/>
      <c r="I2046" s="40" t="str">
        <f>IF(OR($J2046="",$K2046=""),"",ROUND(MAX(0,($K2046-$J2046)-IF($H2046="",0,$H2046))/60,2))</f>
        <v/>
      </c>
      <c r="J2046" s="41" t="str">
        <f>IF($F2046="","",IF($F2046&lt;1,ROUND($F2046*1440,0),INT($F2046/100)*60+MOD($F2046,100)))</f>
        <v/>
      </c>
      <c r="K2046" s="41" t="str">
        <f>IF($G2046="","",IF($G2046&lt;1,ROUND($G2046*1440,0),INT($G2046/100)*60+MOD($G2046,100)))</f>
        <v/>
      </c>
    </row>
    <row r="2047" ht="15" customHeight="1" s="26">
      <c r="A2047" s="34" t="n"/>
      <c r="B2047" s="32" t="n"/>
      <c r="C2047" s="33" t="n"/>
      <c r="D2047" s="37" t="str">
        <f>IF($C2047="","",IFERROR(INDEX(프로젝트목록!$B$3:$B$62,MATCH($C2047,프로젝트목록!$A$3:$A$62,0)),"미등록코드"))</f>
        <v/>
      </c>
      <c r="E2047" s="32" t="n"/>
      <c r="F2047" s="38" t="n"/>
      <c r="G2047" s="38" t="n"/>
      <c r="H2047" s="39" t="n"/>
      <c r="I2047" s="40" t="str">
        <f>IF(OR($J2047="",$K2047=""),"",ROUND(MAX(0,($K2047-$J2047)-IF($H2047="",0,$H2047))/60,2))</f>
        <v/>
      </c>
      <c r="J2047" s="41" t="str">
        <f>IF($F2047="","",IF($F2047&lt;1,ROUND($F2047*1440,0),INT($F2047/100)*60+MOD($F2047,100)))</f>
        <v/>
      </c>
      <c r="K2047" s="41" t="str">
        <f>IF($G2047="","",IF($G2047&lt;1,ROUND($G2047*1440,0),INT($G2047/100)*60+MOD($G2047,100)))</f>
        <v/>
      </c>
    </row>
    <row r="2048" ht="15" customHeight="1" s="26">
      <c r="A2048" s="34" t="n"/>
      <c r="B2048" s="32" t="n"/>
      <c r="C2048" s="33" t="n"/>
      <c r="D2048" s="37" t="str">
        <f>IF($C2048="","",IFERROR(INDEX(프로젝트목록!$B$3:$B$62,MATCH($C2048,프로젝트목록!$A$3:$A$62,0)),"미등록코드"))</f>
        <v/>
      </c>
      <c r="E2048" s="32" t="n"/>
      <c r="F2048" s="38" t="n"/>
      <c r="G2048" s="38" t="n"/>
      <c r="H2048" s="39" t="n"/>
      <c r="I2048" s="40" t="str">
        <f>IF(OR($J2048="",$K2048=""),"",ROUND(MAX(0,($K2048-$J2048)-IF($H2048="",0,$H2048))/60,2))</f>
        <v/>
      </c>
      <c r="J2048" s="41" t="str">
        <f>IF($F2048="","",IF($F2048&lt;1,ROUND($F2048*1440,0),INT($F2048/100)*60+MOD($F2048,100)))</f>
        <v/>
      </c>
      <c r="K2048" s="41" t="str">
        <f>IF($G2048="","",IF($G2048&lt;1,ROUND($G2048*1440,0),INT($G2048/100)*60+MOD($G2048,100)))</f>
        <v/>
      </c>
    </row>
    <row r="2049" ht="15" customHeight="1" s="26">
      <c r="A2049" s="34" t="n"/>
      <c r="B2049" s="32" t="n"/>
      <c r="C2049" s="33" t="n"/>
      <c r="D2049" s="37" t="str">
        <f>IF($C2049="","",IFERROR(INDEX(프로젝트목록!$B$3:$B$62,MATCH($C2049,프로젝트목록!$A$3:$A$62,0)),"미등록코드"))</f>
        <v/>
      </c>
      <c r="E2049" s="32" t="n"/>
      <c r="F2049" s="38" t="n"/>
      <c r="G2049" s="38" t="n"/>
      <c r="H2049" s="39" t="n"/>
      <c r="I2049" s="40" t="str">
        <f>IF(OR($J2049="",$K2049=""),"",ROUND(MAX(0,($K2049-$J2049)-IF($H2049="",0,$H2049))/60,2))</f>
        <v/>
      </c>
      <c r="J2049" s="41" t="str">
        <f>IF($F2049="","",IF($F2049&lt;1,ROUND($F2049*1440,0),INT($F2049/100)*60+MOD($F2049,100)))</f>
        <v/>
      </c>
      <c r="K2049" s="41" t="str">
        <f>IF($G2049="","",IF($G2049&lt;1,ROUND($G2049*1440,0),INT($G2049/100)*60+MOD($G2049,100)))</f>
        <v/>
      </c>
    </row>
    <row r="2050" ht="15" customHeight="1" s="26">
      <c r="A2050" s="34" t="n"/>
      <c r="B2050" s="32" t="n"/>
      <c r="C2050" s="33" t="n"/>
      <c r="D2050" s="37" t="str">
        <f>IF($C2050="","",IFERROR(INDEX(프로젝트목록!$B$3:$B$62,MATCH($C2050,프로젝트목록!$A$3:$A$62,0)),"미등록코드"))</f>
        <v/>
      </c>
      <c r="E2050" s="32" t="n"/>
      <c r="F2050" s="38" t="n"/>
      <c r="G2050" s="38" t="n"/>
      <c r="H2050" s="39" t="n"/>
      <c r="I2050" s="40" t="str">
        <f>IF(OR($J2050="",$K2050=""),"",ROUND(MAX(0,($K2050-$J2050)-IF($H2050="",0,$H2050))/60,2))</f>
        <v/>
      </c>
      <c r="J2050" s="41" t="str">
        <f>IF($F2050="","",IF($F2050&lt;1,ROUND($F2050*1440,0),INT($F2050/100)*60+MOD($F2050,100)))</f>
        <v/>
      </c>
      <c r="K2050" s="41" t="str">
        <f>IF($G2050="","",IF($G2050&lt;1,ROUND($G2050*1440,0),INT($G2050/100)*60+MOD($G2050,100)))</f>
        <v/>
      </c>
    </row>
    <row r="2051" ht="15" customHeight="1" s="26">
      <c r="A2051" s="34" t="n"/>
      <c r="B2051" s="32" t="n"/>
      <c r="C2051" s="33" t="n"/>
      <c r="D2051" s="37" t="str">
        <f>IF($C2051="","",IFERROR(INDEX(프로젝트목록!$B$3:$B$62,MATCH($C2051,프로젝트목록!$A$3:$A$62,0)),"미등록코드"))</f>
        <v/>
      </c>
      <c r="E2051" s="32" t="n"/>
      <c r="F2051" s="38" t="n"/>
      <c r="G2051" s="38" t="n"/>
      <c r="H2051" s="39" t="n"/>
      <c r="I2051" s="40" t="str">
        <f>IF(OR($J2051="",$K2051=""),"",ROUND(MAX(0,($K2051-$J2051)-IF($H2051="",0,$H2051))/60,2))</f>
        <v/>
      </c>
      <c r="J2051" s="41" t="str">
        <f>IF($F2051="","",IF($F2051&lt;1,ROUND($F2051*1440,0),INT($F2051/100)*60+MOD($F2051,100)))</f>
        <v/>
      </c>
      <c r="K2051" s="41" t="str">
        <f>IF($G2051="","",IF($G2051&lt;1,ROUND($G2051*1440,0),INT($G2051/100)*60+MOD($G2051,100)))</f>
        <v/>
      </c>
    </row>
    <row r="2052" ht="15" customHeight="1" s="26">
      <c r="A2052" s="34" t="n"/>
      <c r="B2052" s="32" t="n"/>
      <c r="C2052" s="33" t="n"/>
      <c r="D2052" s="37" t="str">
        <f>IF($C2052="","",IFERROR(INDEX(프로젝트목록!$B$3:$B$62,MATCH($C2052,프로젝트목록!$A$3:$A$62,0)),"미등록코드"))</f>
        <v/>
      </c>
      <c r="E2052" s="32" t="n"/>
      <c r="F2052" s="38" t="n"/>
      <c r="G2052" s="38" t="n"/>
      <c r="H2052" s="39" t="n"/>
      <c r="I2052" s="40" t="str">
        <f>IF(OR($J2052="",$K2052=""),"",ROUND(MAX(0,($K2052-$J2052)-IF($H2052="",0,$H2052))/60,2))</f>
        <v/>
      </c>
      <c r="J2052" s="41" t="str">
        <f>IF($F2052="","",IF($F2052&lt;1,ROUND($F2052*1440,0),INT($F2052/100)*60+MOD($F2052,100)))</f>
        <v/>
      </c>
      <c r="K2052" s="41" t="str">
        <f>IF($G2052="","",IF($G2052&lt;1,ROUND($G2052*1440,0),INT($G2052/100)*60+MOD($G2052,100)))</f>
        <v/>
      </c>
    </row>
    <row r="2053" ht="15" customHeight="1" s="26">
      <c r="A2053" s="34" t="n"/>
      <c r="B2053" s="32" t="n"/>
      <c r="C2053" s="33" t="n"/>
      <c r="D2053" s="37" t="str">
        <f>IF($C2053="","",IFERROR(INDEX(프로젝트목록!$B$3:$B$62,MATCH($C2053,프로젝트목록!$A$3:$A$62,0)),"미등록코드"))</f>
        <v/>
      </c>
      <c r="E2053" s="32" t="n"/>
      <c r="F2053" s="38" t="n"/>
      <c r="G2053" s="38" t="n"/>
      <c r="H2053" s="39" t="n"/>
      <c r="I2053" s="40" t="str">
        <f>IF(OR($J2053="",$K2053=""),"",ROUND(MAX(0,($K2053-$J2053)-IF($H2053="",0,$H2053))/60,2))</f>
        <v/>
      </c>
      <c r="J2053" s="41" t="str">
        <f>IF($F2053="","",IF($F2053&lt;1,ROUND($F2053*1440,0),INT($F2053/100)*60+MOD($F2053,100)))</f>
        <v/>
      </c>
      <c r="K2053" s="41" t="str">
        <f>IF($G2053="","",IF($G2053&lt;1,ROUND($G2053*1440,0),INT($G2053/100)*60+MOD($G2053,100)))</f>
        <v/>
      </c>
    </row>
    <row r="2054" ht="15" customHeight="1" s="26">
      <c r="A2054" s="34" t="n"/>
      <c r="B2054" s="32" t="n"/>
      <c r="C2054" s="33" t="n"/>
      <c r="D2054" s="37" t="str">
        <f>IF($C2054="","",IFERROR(INDEX(프로젝트목록!$B$3:$B$62,MATCH($C2054,프로젝트목록!$A$3:$A$62,0)),"미등록코드"))</f>
        <v/>
      </c>
      <c r="E2054" s="32" t="n"/>
      <c r="F2054" s="38" t="n"/>
      <c r="G2054" s="38" t="n"/>
      <c r="H2054" s="39" t="n"/>
      <c r="I2054" s="40" t="str">
        <f>IF(OR($J2054="",$K2054=""),"",ROUND(MAX(0,($K2054-$J2054)-IF($H2054="",0,$H2054))/60,2))</f>
        <v/>
      </c>
      <c r="J2054" s="41" t="str">
        <f>IF($F2054="","",IF($F2054&lt;1,ROUND($F2054*1440,0),INT($F2054/100)*60+MOD($F2054,100)))</f>
        <v/>
      </c>
      <c r="K2054" s="41" t="str">
        <f>IF($G2054="","",IF($G2054&lt;1,ROUND($G2054*1440,0),INT($G2054/100)*60+MOD($G2054,100)))</f>
        <v/>
      </c>
    </row>
    <row r="2055" ht="15" customHeight="1" s="26">
      <c r="A2055" s="34" t="n"/>
      <c r="B2055" s="32" t="n"/>
      <c r="C2055" s="33" t="n"/>
      <c r="D2055" s="37" t="str">
        <f>IF($C2055="","",IFERROR(INDEX(프로젝트목록!$B$3:$B$62,MATCH($C2055,프로젝트목록!$A$3:$A$62,0)),"미등록코드"))</f>
        <v/>
      </c>
      <c r="E2055" s="32" t="n"/>
      <c r="F2055" s="38" t="n"/>
      <c r="G2055" s="38" t="n"/>
      <c r="H2055" s="39" t="n"/>
      <c r="I2055" s="40" t="str">
        <f>IF(OR($J2055="",$K2055=""),"",ROUND(MAX(0,($K2055-$J2055)-IF($H2055="",0,$H2055))/60,2))</f>
        <v/>
      </c>
      <c r="J2055" s="41" t="str">
        <f>IF($F2055="","",IF($F2055&lt;1,ROUND($F2055*1440,0),INT($F2055/100)*60+MOD($F2055,100)))</f>
        <v/>
      </c>
      <c r="K2055" s="41" t="str">
        <f>IF($G2055="","",IF($G2055&lt;1,ROUND($G2055*1440,0),INT($G2055/100)*60+MOD($G2055,100)))</f>
        <v/>
      </c>
    </row>
    <row r="2056" ht="15" customHeight="1" s="26">
      <c r="A2056" s="34" t="n"/>
      <c r="B2056" s="32" t="n"/>
      <c r="C2056" s="33" t="n"/>
      <c r="D2056" s="37" t="str">
        <f>IF($C2056="","",IFERROR(INDEX(프로젝트목록!$B$3:$B$62,MATCH($C2056,프로젝트목록!$A$3:$A$62,0)),"미등록코드"))</f>
        <v/>
      </c>
      <c r="E2056" s="32" t="n"/>
      <c r="F2056" s="38" t="n"/>
      <c r="G2056" s="38" t="n"/>
      <c r="H2056" s="39" t="n"/>
      <c r="I2056" s="40" t="str">
        <f>IF(OR($J2056="",$K2056=""),"",ROUND(MAX(0,($K2056-$J2056)-IF($H2056="",0,$H2056))/60,2))</f>
        <v/>
      </c>
      <c r="J2056" s="41" t="str">
        <f>IF($F2056="","",IF($F2056&lt;1,ROUND($F2056*1440,0),INT($F2056/100)*60+MOD($F2056,100)))</f>
        <v/>
      </c>
      <c r="K2056" s="41" t="str">
        <f>IF($G2056="","",IF($G2056&lt;1,ROUND($G2056*1440,0),INT($G2056/100)*60+MOD($G2056,100)))</f>
        <v/>
      </c>
    </row>
    <row r="2057" ht="15" customHeight="1" s="26">
      <c r="A2057" s="34" t="n"/>
      <c r="B2057" s="32" t="n"/>
      <c r="C2057" s="33" t="n"/>
      <c r="D2057" s="37" t="str">
        <f>IF($C2057="","",IFERROR(INDEX(프로젝트목록!$B$3:$B$62,MATCH($C2057,프로젝트목록!$A$3:$A$62,0)),"미등록코드"))</f>
        <v/>
      </c>
      <c r="E2057" s="32" t="n"/>
      <c r="F2057" s="38" t="n"/>
      <c r="G2057" s="38" t="n"/>
      <c r="H2057" s="39" t="n"/>
      <c r="I2057" s="40" t="str">
        <f>IF(OR($J2057="",$K2057=""),"",ROUND(MAX(0,($K2057-$J2057)-IF($H2057="",0,$H2057))/60,2))</f>
        <v/>
      </c>
      <c r="J2057" s="41" t="str">
        <f>IF($F2057="","",IF($F2057&lt;1,ROUND($F2057*1440,0),INT($F2057/100)*60+MOD($F2057,100)))</f>
        <v/>
      </c>
      <c r="K2057" s="41" t="str">
        <f>IF($G2057="","",IF($G2057&lt;1,ROUND($G2057*1440,0),INT($G2057/100)*60+MOD($G2057,100)))</f>
        <v/>
      </c>
    </row>
    <row r="2058" ht="15" customHeight="1" s="26">
      <c r="A2058" s="34" t="n"/>
      <c r="B2058" s="32" t="n"/>
      <c r="C2058" s="33" t="n"/>
      <c r="D2058" s="37" t="str">
        <f>IF($C2058="","",IFERROR(INDEX(프로젝트목록!$B$3:$B$62,MATCH($C2058,프로젝트목록!$A$3:$A$62,0)),"미등록코드"))</f>
        <v/>
      </c>
      <c r="E2058" s="32" t="n"/>
      <c r="F2058" s="38" t="n"/>
      <c r="G2058" s="38" t="n"/>
      <c r="H2058" s="39" t="n"/>
      <c r="I2058" s="40" t="str">
        <f>IF(OR($J2058="",$K2058=""),"",ROUND(MAX(0,($K2058-$J2058)-IF($H2058="",0,$H2058))/60,2))</f>
        <v/>
      </c>
      <c r="J2058" s="41" t="str">
        <f>IF($F2058="","",IF($F2058&lt;1,ROUND($F2058*1440,0),INT($F2058/100)*60+MOD($F2058,100)))</f>
        <v/>
      </c>
      <c r="K2058" s="41" t="str">
        <f>IF($G2058="","",IF($G2058&lt;1,ROUND($G2058*1440,0),INT($G2058/100)*60+MOD($G2058,100)))</f>
        <v/>
      </c>
    </row>
    <row r="2059" ht="15" customHeight="1" s="26">
      <c r="A2059" s="34" t="n"/>
      <c r="B2059" s="32" t="n"/>
      <c r="C2059" s="33" t="n"/>
      <c r="D2059" s="37" t="str">
        <f>IF($C2059="","",IFERROR(INDEX(프로젝트목록!$B$3:$B$62,MATCH($C2059,프로젝트목록!$A$3:$A$62,0)),"미등록코드"))</f>
        <v/>
      </c>
      <c r="E2059" s="32" t="n"/>
      <c r="F2059" s="38" t="n"/>
      <c r="G2059" s="38" t="n"/>
      <c r="H2059" s="39" t="n"/>
      <c r="I2059" s="40" t="str">
        <f>IF(OR($J2059="",$K2059=""),"",ROUND(MAX(0,($K2059-$J2059)-IF($H2059="",0,$H2059))/60,2))</f>
        <v/>
      </c>
      <c r="J2059" s="41" t="str">
        <f>IF($F2059="","",IF($F2059&lt;1,ROUND($F2059*1440,0),INT($F2059/100)*60+MOD($F2059,100)))</f>
        <v/>
      </c>
      <c r="K2059" s="41" t="str">
        <f>IF($G2059="","",IF($G2059&lt;1,ROUND($G2059*1440,0),INT($G2059/100)*60+MOD($G2059,100)))</f>
        <v/>
      </c>
    </row>
    <row r="2060" ht="15" customHeight="1" s="26">
      <c r="A2060" s="34" t="n"/>
      <c r="B2060" s="32" t="n"/>
      <c r="C2060" s="33" t="n"/>
      <c r="D2060" s="37" t="str">
        <f>IF($C2060="","",IFERROR(INDEX(프로젝트목록!$B$3:$B$62,MATCH($C2060,프로젝트목록!$A$3:$A$62,0)),"미등록코드"))</f>
        <v/>
      </c>
      <c r="E2060" s="32" t="n"/>
      <c r="F2060" s="38" t="n"/>
      <c r="G2060" s="38" t="n"/>
      <c r="H2060" s="39" t="n"/>
      <c r="I2060" s="40" t="str">
        <f>IF(OR($J2060="",$K2060=""),"",ROUND(MAX(0,($K2060-$J2060)-IF($H2060="",0,$H2060))/60,2))</f>
        <v/>
      </c>
      <c r="J2060" s="41" t="str">
        <f>IF($F2060="","",IF($F2060&lt;1,ROUND($F2060*1440,0),INT($F2060/100)*60+MOD($F2060,100)))</f>
        <v/>
      </c>
      <c r="K2060" s="41" t="str">
        <f>IF($G2060="","",IF($G2060&lt;1,ROUND($G2060*1440,0),INT($G2060/100)*60+MOD($G2060,100)))</f>
        <v/>
      </c>
    </row>
    <row r="2061" ht="15" customHeight="1" s="26">
      <c r="A2061" s="34" t="n"/>
      <c r="B2061" s="32" t="n"/>
      <c r="C2061" s="33" t="n"/>
      <c r="D2061" s="37" t="str">
        <f>IF($C2061="","",IFERROR(INDEX(프로젝트목록!$B$3:$B$62,MATCH($C2061,프로젝트목록!$A$3:$A$62,0)),"미등록코드"))</f>
        <v/>
      </c>
      <c r="E2061" s="32" t="n"/>
      <c r="F2061" s="38" t="n"/>
      <c r="G2061" s="38" t="n"/>
      <c r="H2061" s="39" t="n"/>
      <c r="I2061" s="40" t="str">
        <f>IF(OR($J2061="",$K2061=""),"",ROUND(MAX(0,($K2061-$J2061)-IF($H2061="",0,$H2061))/60,2))</f>
        <v/>
      </c>
      <c r="J2061" s="41" t="str">
        <f>IF($F2061="","",IF($F2061&lt;1,ROUND($F2061*1440,0),INT($F2061/100)*60+MOD($F2061,100)))</f>
        <v/>
      </c>
      <c r="K2061" s="41" t="str">
        <f>IF($G2061="","",IF($G2061&lt;1,ROUND($G2061*1440,0),INT($G2061/100)*60+MOD($G2061,100)))</f>
        <v/>
      </c>
    </row>
    <row r="2062" ht="15" customHeight="1" s="26">
      <c r="A2062" s="34" t="n"/>
      <c r="B2062" s="32" t="n"/>
      <c r="C2062" s="33" t="n"/>
      <c r="D2062" s="37" t="str">
        <f>IF($C2062="","",IFERROR(INDEX(프로젝트목록!$B$3:$B$62,MATCH($C2062,프로젝트목록!$A$3:$A$62,0)),"미등록코드"))</f>
        <v/>
      </c>
      <c r="E2062" s="32" t="n"/>
      <c r="F2062" s="38" t="n"/>
      <c r="G2062" s="38" t="n"/>
      <c r="H2062" s="39" t="n"/>
      <c r="I2062" s="40" t="str">
        <f>IF(OR($J2062="",$K2062=""),"",ROUND(MAX(0,($K2062-$J2062)-IF($H2062="",0,$H2062))/60,2))</f>
        <v/>
      </c>
      <c r="J2062" s="41" t="str">
        <f>IF($F2062="","",IF($F2062&lt;1,ROUND($F2062*1440,0),INT($F2062/100)*60+MOD($F2062,100)))</f>
        <v/>
      </c>
      <c r="K2062" s="41" t="str">
        <f>IF($G2062="","",IF($G2062&lt;1,ROUND($G2062*1440,0),INT($G2062/100)*60+MOD($G2062,100)))</f>
        <v/>
      </c>
    </row>
    <row r="2063" ht="15" customHeight="1" s="26">
      <c r="A2063" s="34" t="n"/>
      <c r="B2063" s="32" t="n"/>
      <c r="C2063" s="33" t="n"/>
      <c r="D2063" s="37" t="str">
        <f>IF($C2063="","",IFERROR(INDEX(프로젝트목록!$B$3:$B$62,MATCH($C2063,프로젝트목록!$A$3:$A$62,0)),"미등록코드"))</f>
        <v/>
      </c>
      <c r="E2063" s="32" t="n"/>
      <c r="F2063" s="38" t="n"/>
      <c r="G2063" s="38" t="n"/>
      <c r="H2063" s="39" t="n"/>
      <c r="I2063" s="40" t="str">
        <f>IF(OR($J2063="",$K2063=""),"",ROUND(MAX(0,($K2063-$J2063)-IF($H2063="",0,$H2063))/60,2))</f>
        <v/>
      </c>
      <c r="J2063" s="41" t="str">
        <f>IF($F2063="","",IF($F2063&lt;1,ROUND($F2063*1440,0),INT($F2063/100)*60+MOD($F2063,100)))</f>
        <v/>
      </c>
      <c r="K2063" s="41" t="str">
        <f>IF($G2063="","",IF($G2063&lt;1,ROUND($G2063*1440,0),INT($G2063/100)*60+MOD($G2063,100)))</f>
        <v/>
      </c>
    </row>
    <row r="2064" ht="15" customHeight="1" s="26">
      <c r="A2064" s="34" t="n"/>
      <c r="B2064" s="32" t="n"/>
      <c r="C2064" s="33" t="n"/>
      <c r="D2064" s="37" t="str">
        <f>IF($C2064="","",IFERROR(INDEX(프로젝트목록!$B$3:$B$62,MATCH($C2064,프로젝트목록!$A$3:$A$62,0)),"미등록코드"))</f>
        <v/>
      </c>
      <c r="E2064" s="32" t="n"/>
      <c r="F2064" s="38" t="n"/>
      <c r="G2064" s="38" t="n"/>
      <c r="H2064" s="39" t="n"/>
      <c r="I2064" s="40" t="str">
        <f>IF(OR($J2064="",$K2064=""),"",ROUND(MAX(0,($K2064-$J2064)-IF($H2064="",0,$H2064))/60,2))</f>
        <v/>
      </c>
      <c r="J2064" s="41" t="str">
        <f>IF($F2064="","",IF($F2064&lt;1,ROUND($F2064*1440,0),INT($F2064/100)*60+MOD($F2064,100)))</f>
        <v/>
      </c>
      <c r="K2064" s="41" t="str">
        <f>IF($G2064="","",IF($G2064&lt;1,ROUND($G2064*1440,0),INT($G2064/100)*60+MOD($G2064,100)))</f>
        <v/>
      </c>
    </row>
    <row r="2065" ht="15" customHeight="1" s="26">
      <c r="A2065" s="34" t="n"/>
      <c r="B2065" s="32" t="n"/>
      <c r="C2065" s="33" t="n"/>
      <c r="D2065" s="37" t="str">
        <f>IF($C2065="","",IFERROR(INDEX(프로젝트목록!$B$3:$B$62,MATCH($C2065,프로젝트목록!$A$3:$A$62,0)),"미등록코드"))</f>
        <v/>
      </c>
      <c r="E2065" s="32" t="n"/>
      <c r="F2065" s="38" t="n"/>
      <c r="G2065" s="38" t="n"/>
      <c r="H2065" s="39" t="n"/>
      <c r="I2065" s="40" t="str">
        <f>IF(OR($J2065="",$K2065=""),"",ROUND(MAX(0,($K2065-$J2065)-IF($H2065="",0,$H2065))/60,2))</f>
        <v/>
      </c>
      <c r="J2065" s="41" t="str">
        <f>IF($F2065="","",IF($F2065&lt;1,ROUND($F2065*1440,0),INT($F2065/100)*60+MOD($F2065,100)))</f>
        <v/>
      </c>
      <c r="K2065" s="41" t="str">
        <f>IF($G2065="","",IF($G2065&lt;1,ROUND($G2065*1440,0),INT($G2065/100)*60+MOD($G2065,100)))</f>
        <v/>
      </c>
    </row>
    <row r="2066" ht="15" customHeight="1" s="26">
      <c r="A2066" s="34" t="n"/>
      <c r="B2066" s="32" t="n"/>
      <c r="C2066" s="33" t="n"/>
      <c r="D2066" s="37" t="str">
        <f>IF($C2066="","",IFERROR(INDEX(프로젝트목록!$B$3:$B$62,MATCH($C2066,프로젝트목록!$A$3:$A$62,0)),"미등록코드"))</f>
        <v/>
      </c>
      <c r="E2066" s="32" t="n"/>
      <c r="F2066" s="38" t="n"/>
      <c r="G2066" s="38" t="n"/>
      <c r="H2066" s="39" t="n"/>
      <c r="I2066" s="40" t="str">
        <f>IF(OR($J2066="",$K2066=""),"",ROUND(MAX(0,($K2066-$J2066)-IF($H2066="",0,$H2066))/60,2))</f>
        <v/>
      </c>
      <c r="J2066" s="41" t="str">
        <f>IF($F2066="","",IF($F2066&lt;1,ROUND($F2066*1440,0),INT($F2066/100)*60+MOD($F2066,100)))</f>
        <v/>
      </c>
      <c r="K2066" s="41" t="str">
        <f>IF($G2066="","",IF($G2066&lt;1,ROUND($G2066*1440,0),INT($G2066/100)*60+MOD($G2066,100)))</f>
        <v/>
      </c>
    </row>
    <row r="2067" ht="15" customHeight="1" s="26">
      <c r="A2067" s="34" t="n"/>
      <c r="B2067" s="32" t="n"/>
      <c r="C2067" s="33" t="n"/>
      <c r="D2067" s="37" t="str">
        <f>IF($C2067="","",IFERROR(INDEX(프로젝트목록!$B$3:$B$62,MATCH($C2067,프로젝트목록!$A$3:$A$62,0)),"미등록코드"))</f>
        <v/>
      </c>
      <c r="E2067" s="32" t="n"/>
      <c r="F2067" s="38" t="n"/>
      <c r="G2067" s="38" t="n"/>
      <c r="H2067" s="39" t="n"/>
      <c r="I2067" s="40" t="str">
        <f>IF(OR($J2067="",$K2067=""),"",ROUND(MAX(0,($K2067-$J2067)-IF($H2067="",0,$H2067))/60,2))</f>
        <v/>
      </c>
      <c r="J2067" s="41" t="str">
        <f>IF($F2067="","",IF($F2067&lt;1,ROUND($F2067*1440,0),INT($F2067/100)*60+MOD($F2067,100)))</f>
        <v/>
      </c>
      <c r="K2067" s="41" t="str">
        <f>IF($G2067="","",IF($G2067&lt;1,ROUND($G2067*1440,0),INT($G2067/100)*60+MOD($G2067,100)))</f>
        <v/>
      </c>
    </row>
    <row r="2068" ht="15" customHeight="1" s="26">
      <c r="A2068" s="34" t="n"/>
      <c r="B2068" s="32" t="n"/>
      <c r="C2068" s="33" t="n"/>
      <c r="D2068" s="37" t="str">
        <f>IF($C2068="","",IFERROR(INDEX(프로젝트목록!$B$3:$B$62,MATCH($C2068,프로젝트목록!$A$3:$A$62,0)),"미등록코드"))</f>
        <v/>
      </c>
      <c r="E2068" s="32" t="n"/>
      <c r="F2068" s="38" t="n"/>
      <c r="G2068" s="38" t="n"/>
      <c r="H2068" s="39" t="n"/>
      <c r="I2068" s="40" t="str">
        <f>IF(OR($J2068="",$K2068=""),"",ROUND(MAX(0,($K2068-$J2068)-IF($H2068="",0,$H2068))/60,2))</f>
        <v/>
      </c>
      <c r="J2068" s="41" t="str">
        <f>IF($F2068="","",IF($F2068&lt;1,ROUND($F2068*1440,0),INT($F2068/100)*60+MOD($F2068,100)))</f>
        <v/>
      </c>
      <c r="K2068" s="41" t="str">
        <f>IF($G2068="","",IF($G2068&lt;1,ROUND($G2068*1440,0),INT($G2068/100)*60+MOD($G2068,100)))</f>
        <v/>
      </c>
    </row>
    <row r="2069" ht="15" customHeight="1" s="26">
      <c r="A2069" s="34" t="n"/>
      <c r="B2069" s="32" t="n"/>
      <c r="C2069" s="33" t="n"/>
      <c r="D2069" s="37" t="str">
        <f>IF($C2069="","",IFERROR(INDEX(프로젝트목록!$B$3:$B$62,MATCH($C2069,프로젝트목록!$A$3:$A$62,0)),"미등록코드"))</f>
        <v/>
      </c>
      <c r="E2069" s="32" t="n"/>
      <c r="F2069" s="38" t="n"/>
      <c r="G2069" s="38" t="n"/>
      <c r="H2069" s="39" t="n"/>
      <c r="I2069" s="40" t="str">
        <f>IF(OR($J2069="",$K2069=""),"",ROUND(MAX(0,($K2069-$J2069)-IF($H2069="",0,$H2069))/60,2))</f>
        <v/>
      </c>
      <c r="J2069" s="41" t="str">
        <f>IF($F2069="","",IF($F2069&lt;1,ROUND($F2069*1440,0),INT($F2069/100)*60+MOD($F2069,100)))</f>
        <v/>
      </c>
      <c r="K2069" s="41" t="str">
        <f>IF($G2069="","",IF($G2069&lt;1,ROUND($G2069*1440,0),INT($G2069/100)*60+MOD($G2069,100)))</f>
        <v/>
      </c>
    </row>
    <row r="2070" ht="15" customHeight="1" s="26">
      <c r="A2070" s="34" t="n"/>
      <c r="B2070" s="32" t="n"/>
      <c r="C2070" s="33" t="n"/>
      <c r="D2070" s="37" t="str">
        <f>IF($C2070="","",IFERROR(INDEX(프로젝트목록!$B$3:$B$62,MATCH($C2070,프로젝트목록!$A$3:$A$62,0)),"미등록코드"))</f>
        <v/>
      </c>
      <c r="E2070" s="32" t="n"/>
      <c r="F2070" s="38" t="n"/>
      <c r="G2070" s="38" t="n"/>
      <c r="H2070" s="39" t="n"/>
      <c r="I2070" s="40" t="str">
        <f>IF(OR($J2070="",$K2070=""),"",ROUND(MAX(0,($K2070-$J2070)-IF($H2070="",0,$H2070))/60,2))</f>
        <v/>
      </c>
      <c r="J2070" s="41" t="str">
        <f>IF($F2070="","",IF($F2070&lt;1,ROUND($F2070*1440,0),INT($F2070/100)*60+MOD($F2070,100)))</f>
        <v/>
      </c>
      <c r="K2070" s="41" t="str">
        <f>IF($G2070="","",IF($G2070&lt;1,ROUND($G2070*1440,0),INT($G2070/100)*60+MOD($G2070,100)))</f>
        <v/>
      </c>
    </row>
    <row r="2071" ht="15" customHeight="1" s="26">
      <c r="A2071" s="34" t="n"/>
      <c r="B2071" s="32" t="n"/>
      <c r="C2071" s="33" t="n"/>
      <c r="D2071" s="37" t="str">
        <f>IF($C2071="","",IFERROR(INDEX(프로젝트목록!$B$3:$B$62,MATCH($C2071,프로젝트목록!$A$3:$A$62,0)),"미등록코드"))</f>
        <v/>
      </c>
      <c r="E2071" s="32" t="n"/>
      <c r="F2071" s="38" t="n"/>
      <c r="G2071" s="38" t="n"/>
      <c r="H2071" s="39" t="n"/>
      <c r="I2071" s="40" t="str">
        <f>IF(OR($J2071="",$K2071=""),"",ROUND(MAX(0,($K2071-$J2071)-IF($H2071="",0,$H2071))/60,2))</f>
        <v/>
      </c>
      <c r="J2071" s="41" t="str">
        <f>IF($F2071="","",IF($F2071&lt;1,ROUND($F2071*1440,0),INT($F2071/100)*60+MOD($F2071,100)))</f>
        <v/>
      </c>
      <c r="K2071" s="41" t="str">
        <f>IF($G2071="","",IF($G2071&lt;1,ROUND($G2071*1440,0),INT($G2071/100)*60+MOD($G2071,100)))</f>
        <v/>
      </c>
    </row>
    <row r="2072" ht="15" customHeight="1" s="26">
      <c r="A2072" s="34" t="n"/>
      <c r="B2072" s="32" t="n"/>
      <c r="C2072" s="33" t="n"/>
      <c r="D2072" s="37" t="str">
        <f>IF($C2072="","",IFERROR(INDEX(프로젝트목록!$B$3:$B$62,MATCH($C2072,프로젝트목록!$A$3:$A$62,0)),"미등록코드"))</f>
        <v/>
      </c>
      <c r="E2072" s="32" t="n"/>
      <c r="F2072" s="38" t="n"/>
      <c r="G2072" s="38" t="n"/>
      <c r="H2072" s="39" t="n"/>
      <c r="I2072" s="40" t="str">
        <f>IF(OR($J2072="",$K2072=""),"",ROUND(MAX(0,($K2072-$J2072)-IF($H2072="",0,$H2072))/60,2))</f>
        <v/>
      </c>
      <c r="J2072" s="41" t="str">
        <f>IF($F2072="","",IF($F2072&lt;1,ROUND($F2072*1440,0),INT($F2072/100)*60+MOD($F2072,100)))</f>
        <v/>
      </c>
      <c r="K2072" s="41" t="str">
        <f>IF($G2072="","",IF($G2072&lt;1,ROUND($G2072*1440,0),INT($G2072/100)*60+MOD($G2072,100)))</f>
        <v/>
      </c>
    </row>
    <row r="2073" ht="15" customHeight="1" s="26">
      <c r="A2073" s="34" t="n"/>
      <c r="B2073" s="32" t="n"/>
      <c r="C2073" s="33" t="n"/>
      <c r="D2073" s="37" t="str">
        <f>IF($C2073="","",IFERROR(INDEX(프로젝트목록!$B$3:$B$62,MATCH($C2073,프로젝트목록!$A$3:$A$62,0)),"미등록코드"))</f>
        <v/>
      </c>
      <c r="E2073" s="32" t="n"/>
      <c r="F2073" s="38" t="n"/>
      <c r="G2073" s="38" t="n"/>
      <c r="H2073" s="39" t="n"/>
      <c r="I2073" s="40" t="str">
        <f>IF(OR($J2073="",$K2073=""),"",ROUND(MAX(0,($K2073-$J2073)-IF($H2073="",0,$H2073))/60,2))</f>
        <v/>
      </c>
      <c r="J2073" s="41" t="str">
        <f>IF($F2073="","",IF($F2073&lt;1,ROUND($F2073*1440,0),INT($F2073/100)*60+MOD($F2073,100)))</f>
        <v/>
      </c>
      <c r="K2073" s="41" t="str">
        <f>IF($G2073="","",IF($G2073&lt;1,ROUND($G2073*1440,0),INT($G2073/100)*60+MOD($G2073,100)))</f>
        <v/>
      </c>
    </row>
    <row r="2074" ht="15" customHeight="1" s="26">
      <c r="A2074" s="34" t="n"/>
      <c r="B2074" s="32" t="n"/>
      <c r="C2074" s="33" t="n"/>
      <c r="D2074" s="37" t="str">
        <f>IF($C2074="","",IFERROR(INDEX(프로젝트목록!$B$3:$B$62,MATCH($C2074,프로젝트목록!$A$3:$A$62,0)),"미등록코드"))</f>
        <v/>
      </c>
      <c r="E2074" s="32" t="n"/>
      <c r="F2074" s="38" t="n"/>
      <c r="G2074" s="38" t="n"/>
      <c r="H2074" s="39" t="n"/>
      <c r="I2074" s="40" t="str">
        <f>IF(OR($J2074="",$K2074=""),"",ROUND(MAX(0,($K2074-$J2074)-IF($H2074="",0,$H2074))/60,2))</f>
        <v/>
      </c>
      <c r="J2074" s="41" t="str">
        <f>IF($F2074="","",IF($F2074&lt;1,ROUND($F2074*1440,0),INT($F2074/100)*60+MOD($F2074,100)))</f>
        <v/>
      </c>
      <c r="K2074" s="41" t="str">
        <f>IF($G2074="","",IF($G2074&lt;1,ROUND($G2074*1440,0),INT($G2074/100)*60+MOD($G2074,100)))</f>
        <v/>
      </c>
    </row>
    <row r="2075" ht="15" customHeight="1" s="26">
      <c r="A2075" s="34" t="n"/>
      <c r="B2075" s="32" t="n"/>
      <c r="C2075" s="33" t="n"/>
      <c r="D2075" s="37" t="str">
        <f>IF($C2075="","",IFERROR(INDEX(프로젝트목록!$B$3:$B$62,MATCH($C2075,프로젝트목록!$A$3:$A$62,0)),"미등록코드"))</f>
        <v/>
      </c>
      <c r="E2075" s="32" t="n"/>
      <c r="F2075" s="38" t="n"/>
      <c r="G2075" s="38" t="n"/>
      <c r="H2075" s="39" t="n"/>
      <c r="I2075" s="40" t="str">
        <f>IF(OR($J2075="",$K2075=""),"",ROUND(MAX(0,($K2075-$J2075)-IF($H2075="",0,$H2075))/60,2))</f>
        <v/>
      </c>
      <c r="J2075" s="41" t="str">
        <f>IF($F2075="","",IF($F2075&lt;1,ROUND($F2075*1440,0),INT($F2075/100)*60+MOD($F2075,100)))</f>
        <v/>
      </c>
      <c r="K2075" s="41" t="str">
        <f>IF($G2075="","",IF($G2075&lt;1,ROUND($G2075*1440,0),INT($G2075/100)*60+MOD($G2075,100)))</f>
        <v/>
      </c>
    </row>
    <row r="2076" ht="15" customHeight="1" s="26">
      <c r="A2076" s="34" t="n"/>
      <c r="B2076" s="32" t="n"/>
      <c r="C2076" s="33" t="n"/>
      <c r="D2076" s="37" t="str">
        <f>IF($C2076="","",IFERROR(INDEX(프로젝트목록!$B$3:$B$62,MATCH($C2076,프로젝트목록!$A$3:$A$62,0)),"미등록코드"))</f>
        <v/>
      </c>
      <c r="E2076" s="32" t="n"/>
      <c r="F2076" s="38" t="n"/>
      <c r="G2076" s="38" t="n"/>
      <c r="H2076" s="39" t="n"/>
      <c r="I2076" s="40" t="str">
        <f>IF(OR($J2076="",$K2076=""),"",ROUND(MAX(0,($K2076-$J2076)-IF($H2076="",0,$H2076))/60,2))</f>
        <v/>
      </c>
      <c r="J2076" s="41" t="str">
        <f>IF($F2076="","",IF($F2076&lt;1,ROUND($F2076*1440,0),INT($F2076/100)*60+MOD($F2076,100)))</f>
        <v/>
      </c>
      <c r="K2076" s="41" t="str">
        <f>IF($G2076="","",IF($G2076&lt;1,ROUND($G2076*1440,0),INT($G2076/100)*60+MOD($G2076,100)))</f>
        <v/>
      </c>
    </row>
    <row r="2077" ht="15" customHeight="1" s="26">
      <c r="A2077" s="34" t="n"/>
      <c r="B2077" s="32" t="n"/>
      <c r="C2077" s="33" t="n"/>
      <c r="D2077" s="37" t="str">
        <f>IF($C2077="","",IFERROR(INDEX(프로젝트목록!$B$3:$B$62,MATCH($C2077,프로젝트목록!$A$3:$A$62,0)),"미등록코드"))</f>
        <v/>
      </c>
      <c r="E2077" s="32" t="n"/>
      <c r="F2077" s="38" t="n"/>
      <c r="G2077" s="38" t="n"/>
      <c r="H2077" s="39" t="n"/>
      <c r="I2077" s="40" t="str">
        <f>IF(OR($J2077="",$K2077=""),"",ROUND(MAX(0,($K2077-$J2077)-IF($H2077="",0,$H2077))/60,2))</f>
        <v/>
      </c>
      <c r="J2077" s="41" t="str">
        <f>IF($F2077="","",IF($F2077&lt;1,ROUND($F2077*1440,0),INT($F2077/100)*60+MOD($F2077,100)))</f>
        <v/>
      </c>
      <c r="K2077" s="41" t="str">
        <f>IF($G2077="","",IF($G2077&lt;1,ROUND($G2077*1440,0),INT($G2077/100)*60+MOD($G2077,100)))</f>
        <v/>
      </c>
    </row>
    <row r="2078" ht="15" customHeight="1" s="26">
      <c r="A2078" s="34" t="n"/>
      <c r="B2078" s="32" t="n"/>
      <c r="C2078" s="33" t="n"/>
      <c r="D2078" s="37" t="str">
        <f>IF($C2078="","",IFERROR(INDEX(프로젝트목록!$B$3:$B$62,MATCH($C2078,프로젝트목록!$A$3:$A$62,0)),"미등록코드"))</f>
        <v/>
      </c>
      <c r="E2078" s="32" t="n"/>
      <c r="F2078" s="38" t="n"/>
      <c r="G2078" s="38" t="n"/>
      <c r="H2078" s="39" t="n"/>
      <c r="I2078" s="40" t="str">
        <f>IF(OR($J2078="",$K2078=""),"",ROUND(MAX(0,($K2078-$J2078)-IF($H2078="",0,$H2078))/60,2))</f>
        <v/>
      </c>
      <c r="J2078" s="41" t="str">
        <f>IF($F2078="","",IF($F2078&lt;1,ROUND($F2078*1440,0),INT($F2078/100)*60+MOD($F2078,100)))</f>
        <v/>
      </c>
      <c r="K2078" s="41" t="str">
        <f>IF($G2078="","",IF($G2078&lt;1,ROUND($G2078*1440,0),INT($G2078/100)*60+MOD($G2078,100)))</f>
        <v/>
      </c>
    </row>
    <row r="2079" ht="15" customHeight="1" s="26">
      <c r="A2079" s="34" t="n"/>
      <c r="B2079" s="32" t="n"/>
      <c r="C2079" s="33" t="n"/>
      <c r="D2079" s="37" t="str">
        <f>IF($C2079="","",IFERROR(INDEX(프로젝트목록!$B$3:$B$62,MATCH($C2079,프로젝트목록!$A$3:$A$62,0)),"미등록코드"))</f>
        <v/>
      </c>
      <c r="E2079" s="32" t="n"/>
      <c r="F2079" s="38" t="n"/>
      <c r="G2079" s="38" t="n"/>
      <c r="H2079" s="39" t="n"/>
      <c r="I2079" s="40" t="str">
        <f>IF(OR($J2079="",$K2079=""),"",ROUND(MAX(0,($K2079-$J2079)-IF($H2079="",0,$H2079))/60,2))</f>
        <v/>
      </c>
      <c r="J2079" s="41" t="str">
        <f>IF($F2079="","",IF($F2079&lt;1,ROUND($F2079*1440,0),INT($F2079/100)*60+MOD($F2079,100)))</f>
        <v/>
      </c>
      <c r="K2079" s="41" t="str">
        <f>IF($G2079="","",IF($G2079&lt;1,ROUND($G2079*1440,0),INT($G2079/100)*60+MOD($G2079,100)))</f>
        <v/>
      </c>
    </row>
    <row r="2080" ht="15" customHeight="1" s="26">
      <c r="A2080" s="34" t="n"/>
      <c r="B2080" s="32" t="n"/>
      <c r="C2080" s="33" t="n"/>
      <c r="D2080" s="37" t="str">
        <f>IF($C2080="","",IFERROR(INDEX(프로젝트목록!$B$3:$B$62,MATCH($C2080,프로젝트목록!$A$3:$A$62,0)),"미등록코드"))</f>
        <v/>
      </c>
      <c r="E2080" s="32" t="n"/>
      <c r="F2080" s="38" t="n"/>
      <c r="G2080" s="38" t="n"/>
      <c r="H2080" s="39" t="n"/>
      <c r="I2080" s="40" t="str">
        <f>IF(OR($J2080="",$K2080=""),"",ROUND(MAX(0,($K2080-$J2080)-IF($H2080="",0,$H2080))/60,2))</f>
        <v/>
      </c>
      <c r="J2080" s="41" t="str">
        <f>IF($F2080="","",IF($F2080&lt;1,ROUND($F2080*1440,0),INT($F2080/100)*60+MOD($F2080,100)))</f>
        <v/>
      </c>
      <c r="K2080" s="41" t="str">
        <f>IF($G2080="","",IF($G2080&lt;1,ROUND($G2080*1440,0),INT($G2080/100)*60+MOD($G2080,100)))</f>
        <v/>
      </c>
    </row>
    <row r="2081" ht="15" customHeight="1" s="26">
      <c r="A2081" s="34" t="n"/>
      <c r="B2081" s="32" t="n"/>
      <c r="C2081" s="33" t="n"/>
      <c r="D2081" s="37" t="str">
        <f>IF($C2081="","",IFERROR(INDEX(프로젝트목록!$B$3:$B$62,MATCH($C2081,프로젝트목록!$A$3:$A$62,0)),"미등록코드"))</f>
        <v/>
      </c>
      <c r="E2081" s="32" t="n"/>
      <c r="F2081" s="38" t="n"/>
      <c r="G2081" s="38" t="n"/>
      <c r="H2081" s="39" t="n"/>
      <c r="I2081" s="40" t="str">
        <f>IF(OR($J2081="",$K2081=""),"",ROUND(MAX(0,($K2081-$J2081)-IF($H2081="",0,$H2081))/60,2))</f>
        <v/>
      </c>
      <c r="J2081" s="41" t="str">
        <f>IF($F2081="","",IF($F2081&lt;1,ROUND($F2081*1440,0),INT($F2081/100)*60+MOD($F2081,100)))</f>
        <v/>
      </c>
      <c r="K2081" s="41" t="str">
        <f>IF($G2081="","",IF($G2081&lt;1,ROUND($G2081*1440,0),INT($G2081/100)*60+MOD($G2081,100)))</f>
        <v/>
      </c>
    </row>
    <row r="2082" ht="15" customHeight="1" s="26">
      <c r="A2082" s="34" t="n"/>
      <c r="B2082" s="32" t="n"/>
      <c r="C2082" s="33" t="n"/>
      <c r="D2082" s="37" t="str">
        <f>IF($C2082="","",IFERROR(INDEX(프로젝트목록!$B$3:$B$62,MATCH($C2082,프로젝트목록!$A$3:$A$62,0)),"미등록코드"))</f>
        <v/>
      </c>
      <c r="E2082" s="32" t="n"/>
      <c r="F2082" s="38" t="n"/>
      <c r="G2082" s="38" t="n"/>
      <c r="H2082" s="39" t="n"/>
      <c r="I2082" s="40" t="str">
        <f>IF(OR($J2082="",$K2082=""),"",ROUND(MAX(0,($K2082-$J2082)-IF($H2082="",0,$H2082))/60,2))</f>
        <v/>
      </c>
      <c r="J2082" s="41" t="str">
        <f>IF($F2082="","",IF($F2082&lt;1,ROUND($F2082*1440,0),INT($F2082/100)*60+MOD($F2082,100)))</f>
        <v/>
      </c>
      <c r="K2082" s="41" t="str">
        <f>IF($G2082="","",IF($G2082&lt;1,ROUND($G2082*1440,0),INT($G2082/100)*60+MOD($G2082,100)))</f>
        <v/>
      </c>
    </row>
    <row r="2083" ht="15" customHeight="1" s="26">
      <c r="A2083" s="34" t="n"/>
      <c r="B2083" s="32" t="n"/>
      <c r="C2083" s="33" t="n"/>
      <c r="D2083" s="37" t="str">
        <f>IF($C2083="","",IFERROR(INDEX(프로젝트목록!$B$3:$B$62,MATCH($C2083,프로젝트목록!$A$3:$A$62,0)),"미등록코드"))</f>
        <v/>
      </c>
      <c r="E2083" s="32" t="n"/>
      <c r="F2083" s="38" t="n"/>
      <c r="G2083" s="38" t="n"/>
      <c r="H2083" s="39" t="n"/>
      <c r="I2083" s="40" t="str">
        <f>IF(OR($J2083="",$K2083=""),"",ROUND(MAX(0,($K2083-$J2083)-IF($H2083="",0,$H2083))/60,2))</f>
        <v/>
      </c>
      <c r="J2083" s="41" t="str">
        <f>IF($F2083="","",IF($F2083&lt;1,ROUND($F2083*1440,0),INT($F2083/100)*60+MOD($F2083,100)))</f>
        <v/>
      </c>
      <c r="K2083" s="41" t="str">
        <f>IF($G2083="","",IF($G2083&lt;1,ROUND($G2083*1440,0),INT($G2083/100)*60+MOD($G2083,100)))</f>
        <v/>
      </c>
    </row>
    <row r="2084" ht="15" customHeight="1" s="26">
      <c r="A2084" s="34" t="n"/>
      <c r="B2084" s="32" t="n"/>
      <c r="C2084" s="33" t="n"/>
      <c r="D2084" s="37" t="str">
        <f>IF($C2084="","",IFERROR(INDEX(프로젝트목록!$B$3:$B$62,MATCH($C2084,프로젝트목록!$A$3:$A$62,0)),"미등록코드"))</f>
        <v/>
      </c>
      <c r="E2084" s="32" t="n"/>
      <c r="F2084" s="38" t="n"/>
      <c r="G2084" s="38" t="n"/>
      <c r="H2084" s="39" t="n"/>
      <c r="I2084" s="40" t="str">
        <f>IF(OR($J2084="",$K2084=""),"",ROUND(MAX(0,($K2084-$J2084)-IF($H2084="",0,$H2084))/60,2))</f>
        <v/>
      </c>
      <c r="J2084" s="41" t="str">
        <f>IF($F2084="","",IF($F2084&lt;1,ROUND($F2084*1440,0),INT($F2084/100)*60+MOD($F2084,100)))</f>
        <v/>
      </c>
      <c r="K2084" s="41" t="str">
        <f>IF($G2084="","",IF($G2084&lt;1,ROUND($G2084*1440,0),INT($G2084/100)*60+MOD($G2084,100)))</f>
        <v/>
      </c>
    </row>
    <row r="2085" ht="15" customHeight="1" s="26">
      <c r="A2085" s="34" t="n"/>
      <c r="B2085" s="32" t="n"/>
      <c r="C2085" s="33" t="n"/>
      <c r="D2085" s="37" t="str">
        <f>IF($C2085="","",IFERROR(INDEX(프로젝트목록!$B$3:$B$62,MATCH($C2085,프로젝트목록!$A$3:$A$62,0)),"미등록코드"))</f>
        <v/>
      </c>
      <c r="E2085" s="32" t="n"/>
      <c r="F2085" s="38" t="n"/>
      <c r="G2085" s="38" t="n"/>
      <c r="H2085" s="39" t="n"/>
      <c r="I2085" s="40" t="str">
        <f>IF(OR($J2085="",$K2085=""),"",ROUND(MAX(0,($K2085-$J2085)-IF($H2085="",0,$H2085))/60,2))</f>
        <v/>
      </c>
      <c r="J2085" s="41" t="str">
        <f>IF($F2085="","",IF($F2085&lt;1,ROUND($F2085*1440,0),INT($F2085/100)*60+MOD($F2085,100)))</f>
        <v/>
      </c>
      <c r="K2085" s="41" t="str">
        <f>IF($G2085="","",IF($G2085&lt;1,ROUND($G2085*1440,0),INT($G2085/100)*60+MOD($G2085,100)))</f>
        <v/>
      </c>
    </row>
    <row r="2086" ht="15" customHeight="1" s="26">
      <c r="A2086" s="34" t="n"/>
      <c r="B2086" s="32" t="n"/>
      <c r="C2086" s="33" t="n"/>
      <c r="D2086" s="37" t="str">
        <f>IF($C2086="","",IFERROR(INDEX(프로젝트목록!$B$3:$B$62,MATCH($C2086,프로젝트목록!$A$3:$A$62,0)),"미등록코드"))</f>
        <v/>
      </c>
      <c r="E2086" s="32" t="n"/>
      <c r="F2086" s="38" t="n"/>
      <c r="G2086" s="38" t="n"/>
      <c r="H2086" s="39" t="n"/>
      <c r="I2086" s="40" t="str">
        <f>IF(OR($J2086="",$K2086=""),"",ROUND(MAX(0,($K2086-$J2086)-IF($H2086="",0,$H2086))/60,2))</f>
        <v/>
      </c>
      <c r="J2086" s="41" t="str">
        <f>IF($F2086="","",IF($F2086&lt;1,ROUND($F2086*1440,0),INT($F2086/100)*60+MOD($F2086,100)))</f>
        <v/>
      </c>
      <c r="K2086" s="41" t="str">
        <f>IF($G2086="","",IF($G2086&lt;1,ROUND($G2086*1440,0),INT($G2086/100)*60+MOD($G2086,100)))</f>
        <v/>
      </c>
    </row>
    <row r="2087" ht="15" customHeight="1" s="26">
      <c r="A2087" s="34" t="n"/>
      <c r="B2087" s="32" t="n"/>
      <c r="C2087" s="33" t="n"/>
      <c r="D2087" s="37" t="str">
        <f>IF($C2087="","",IFERROR(INDEX(프로젝트목록!$B$3:$B$62,MATCH($C2087,프로젝트목록!$A$3:$A$62,0)),"미등록코드"))</f>
        <v/>
      </c>
      <c r="E2087" s="32" t="n"/>
      <c r="F2087" s="38" t="n"/>
      <c r="G2087" s="38" t="n"/>
      <c r="H2087" s="39" t="n"/>
      <c r="I2087" s="40" t="str">
        <f>IF(OR($J2087="",$K2087=""),"",ROUND(MAX(0,($K2087-$J2087)-IF($H2087="",0,$H2087))/60,2))</f>
        <v/>
      </c>
      <c r="J2087" s="41" t="str">
        <f>IF($F2087="","",IF($F2087&lt;1,ROUND($F2087*1440,0),INT($F2087/100)*60+MOD($F2087,100)))</f>
        <v/>
      </c>
      <c r="K2087" s="41" t="str">
        <f>IF($G2087="","",IF($G2087&lt;1,ROUND($G2087*1440,0),INT($G2087/100)*60+MOD($G2087,100)))</f>
        <v/>
      </c>
    </row>
    <row r="2088" ht="15" customHeight="1" s="26">
      <c r="A2088" s="34" t="n"/>
      <c r="B2088" s="32" t="n"/>
      <c r="C2088" s="33" t="n"/>
      <c r="D2088" s="37" t="str">
        <f>IF($C2088="","",IFERROR(INDEX(프로젝트목록!$B$3:$B$62,MATCH($C2088,프로젝트목록!$A$3:$A$62,0)),"미등록코드"))</f>
        <v/>
      </c>
      <c r="E2088" s="32" t="n"/>
      <c r="F2088" s="38" t="n"/>
      <c r="G2088" s="38" t="n"/>
      <c r="H2088" s="39" t="n"/>
      <c r="I2088" s="40" t="str">
        <f>IF(OR($J2088="",$K2088=""),"",ROUND(MAX(0,($K2088-$J2088)-IF($H2088="",0,$H2088))/60,2))</f>
        <v/>
      </c>
      <c r="J2088" s="41" t="str">
        <f>IF($F2088="","",IF($F2088&lt;1,ROUND($F2088*1440,0),INT($F2088/100)*60+MOD($F2088,100)))</f>
        <v/>
      </c>
      <c r="K2088" s="41" t="str">
        <f>IF($G2088="","",IF($G2088&lt;1,ROUND($G2088*1440,0),INT($G2088/100)*60+MOD($G2088,100)))</f>
        <v/>
      </c>
    </row>
    <row r="2089" ht="15" customHeight="1" s="26">
      <c r="A2089" s="34" t="n"/>
      <c r="B2089" s="32" t="n"/>
      <c r="C2089" s="33" t="n"/>
      <c r="D2089" s="37" t="str">
        <f>IF($C2089="","",IFERROR(INDEX(프로젝트목록!$B$3:$B$62,MATCH($C2089,프로젝트목록!$A$3:$A$62,0)),"미등록코드"))</f>
        <v/>
      </c>
      <c r="E2089" s="32" t="n"/>
      <c r="F2089" s="38" t="n"/>
      <c r="G2089" s="38" t="n"/>
      <c r="H2089" s="39" t="n"/>
      <c r="I2089" s="40" t="str">
        <f>IF(OR($J2089="",$K2089=""),"",ROUND(MAX(0,($K2089-$J2089)-IF($H2089="",0,$H2089))/60,2))</f>
        <v/>
      </c>
      <c r="J2089" s="41" t="str">
        <f>IF($F2089="","",IF($F2089&lt;1,ROUND($F2089*1440,0),INT($F2089/100)*60+MOD($F2089,100)))</f>
        <v/>
      </c>
      <c r="K2089" s="41" t="str">
        <f>IF($G2089="","",IF($G2089&lt;1,ROUND($G2089*1440,0),INT($G2089/100)*60+MOD($G2089,100)))</f>
        <v/>
      </c>
    </row>
    <row r="2090" ht="15" customHeight="1" s="26">
      <c r="A2090" s="34" t="n"/>
      <c r="B2090" s="32" t="n"/>
      <c r="C2090" s="33" t="n"/>
      <c r="D2090" s="37" t="str">
        <f>IF($C2090="","",IFERROR(INDEX(프로젝트목록!$B$3:$B$62,MATCH($C2090,프로젝트목록!$A$3:$A$62,0)),"미등록코드"))</f>
        <v/>
      </c>
      <c r="E2090" s="32" t="n"/>
      <c r="F2090" s="38" t="n"/>
      <c r="G2090" s="38" t="n"/>
      <c r="H2090" s="39" t="n"/>
      <c r="I2090" s="40" t="str">
        <f>IF(OR($J2090="",$K2090=""),"",ROUND(MAX(0,($K2090-$J2090)-IF($H2090="",0,$H2090))/60,2))</f>
        <v/>
      </c>
      <c r="J2090" s="41" t="str">
        <f>IF($F2090="","",IF($F2090&lt;1,ROUND($F2090*1440,0),INT($F2090/100)*60+MOD($F2090,100)))</f>
        <v/>
      </c>
      <c r="K2090" s="41" t="str">
        <f>IF($G2090="","",IF($G2090&lt;1,ROUND($G2090*1440,0),INT($G2090/100)*60+MOD($G2090,100)))</f>
        <v/>
      </c>
    </row>
    <row r="2091" ht="15" customHeight="1" s="26">
      <c r="A2091" s="34" t="n"/>
      <c r="B2091" s="32" t="n"/>
      <c r="C2091" s="33" t="n"/>
      <c r="D2091" s="37" t="str">
        <f>IF($C2091="","",IFERROR(INDEX(프로젝트목록!$B$3:$B$62,MATCH($C2091,프로젝트목록!$A$3:$A$62,0)),"미등록코드"))</f>
        <v/>
      </c>
      <c r="E2091" s="32" t="n"/>
      <c r="F2091" s="38" t="n"/>
      <c r="G2091" s="38" t="n"/>
      <c r="H2091" s="39" t="n"/>
      <c r="I2091" s="40" t="str">
        <f>IF(OR($J2091="",$K2091=""),"",ROUND(MAX(0,($K2091-$J2091)-IF($H2091="",0,$H2091))/60,2))</f>
        <v/>
      </c>
      <c r="J2091" s="41" t="str">
        <f>IF($F2091="","",IF($F2091&lt;1,ROUND($F2091*1440,0),INT($F2091/100)*60+MOD($F2091,100)))</f>
        <v/>
      </c>
      <c r="K2091" s="41" t="str">
        <f>IF($G2091="","",IF($G2091&lt;1,ROUND($G2091*1440,0),INT($G2091/100)*60+MOD($G2091,100)))</f>
        <v/>
      </c>
    </row>
    <row r="2092" ht="15" customHeight="1" s="26">
      <c r="A2092" s="34" t="n"/>
      <c r="B2092" s="32" t="n"/>
      <c r="C2092" s="33" t="n"/>
      <c r="D2092" s="37" t="str">
        <f>IF($C2092="","",IFERROR(INDEX(프로젝트목록!$B$3:$B$62,MATCH($C2092,프로젝트목록!$A$3:$A$62,0)),"미등록코드"))</f>
        <v/>
      </c>
      <c r="E2092" s="32" t="n"/>
      <c r="F2092" s="38" t="n"/>
      <c r="G2092" s="38" t="n"/>
      <c r="H2092" s="39" t="n"/>
      <c r="I2092" s="40" t="str">
        <f>IF(OR($J2092="",$K2092=""),"",ROUND(MAX(0,($K2092-$J2092)-IF($H2092="",0,$H2092))/60,2))</f>
        <v/>
      </c>
      <c r="J2092" s="41" t="str">
        <f>IF($F2092="","",IF($F2092&lt;1,ROUND($F2092*1440,0),INT($F2092/100)*60+MOD($F2092,100)))</f>
        <v/>
      </c>
      <c r="K2092" s="41" t="str">
        <f>IF($G2092="","",IF($G2092&lt;1,ROUND($G2092*1440,0),INT($G2092/100)*60+MOD($G2092,100)))</f>
        <v/>
      </c>
    </row>
    <row r="2093" ht="15" customHeight="1" s="26">
      <c r="A2093" s="34" t="n"/>
      <c r="B2093" s="32" t="n"/>
      <c r="C2093" s="33" t="n"/>
      <c r="D2093" s="37" t="str">
        <f>IF($C2093="","",IFERROR(INDEX(프로젝트목록!$B$3:$B$62,MATCH($C2093,프로젝트목록!$A$3:$A$62,0)),"미등록코드"))</f>
        <v/>
      </c>
      <c r="E2093" s="32" t="n"/>
      <c r="F2093" s="38" t="n"/>
      <c r="G2093" s="38" t="n"/>
      <c r="H2093" s="39" t="n"/>
      <c r="I2093" s="40" t="str">
        <f>IF(OR($J2093="",$K2093=""),"",ROUND(MAX(0,($K2093-$J2093)-IF($H2093="",0,$H2093))/60,2))</f>
        <v/>
      </c>
      <c r="J2093" s="41" t="str">
        <f>IF($F2093="","",IF($F2093&lt;1,ROUND($F2093*1440,0),INT($F2093/100)*60+MOD($F2093,100)))</f>
        <v/>
      </c>
      <c r="K2093" s="41" t="str">
        <f>IF($G2093="","",IF($G2093&lt;1,ROUND($G2093*1440,0),INT($G2093/100)*60+MOD($G2093,100)))</f>
        <v/>
      </c>
    </row>
    <row r="2094" ht="15" customHeight="1" s="26">
      <c r="A2094" s="34" t="n"/>
      <c r="B2094" s="32" t="n"/>
      <c r="C2094" s="33" t="n"/>
      <c r="D2094" s="37" t="str">
        <f>IF($C2094="","",IFERROR(INDEX(프로젝트목록!$B$3:$B$62,MATCH($C2094,프로젝트목록!$A$3:$A$62,0)),"미등록코드"))</f>
        <v/>
      </c>
      <c r="E2094" s="32" t="n"/>
      <c r="F2094" s="38" t="n"/>
      <c r="G2094" s="38" t="n"/>
      <c r="H2094" s="39" t="n"/>
      <c r="I2094" s="40" t="str">
        <f>IF(OR($J2094="",$K2094=""),"",ROUND(MAX(0,($K2094-$J2094)-IF($H2094="",0,$H2094))/60,2))</f>
        <v/>
      </c>
      <c r="J2094" s="41" t="str">
        <f>IF($F2094="","",IF($F2094&lt;1,ROUND($F2094*1440,0),INT($F2094/100)*60+MOD($F2094,100)))</f>
        <v/>
      </c>
      <c r="K2094" s="41" t="str">
        <f>IF($G2094="","",IF($G2094&lt;1,ROUND($G2094*1440,0),INT($G2094/100)*60+MOD($G2094,100)))</f>
        <v/>
      </c>
    </row>
    <row r="2095" ht="15" customHeight="1" s="26">
      <c r="A2095" s="34" t="n"/>
      <c r="B2095" s="32" t="n"/>
      <c r="C2095" s="33" t="n"/>
      <c r="D2095" s="37" t="str">
        <f>IF($C2095="","",IFERROR(INDEX(프로젝트목록!$B$3:$B$62,MATCH($C2095,프로젝트목록!$A$3:$A$62,0)),"미등록코드"))</f>
        <v/>
      </c>
      <c r="E2095" s="32" t="n"/>
      <c r="F2095" s="38" t="n"/>
      <c r="G2095" s="38" t="n"/>
      <c r="H2095" s="39" t="n"/>
      <c r="I2095" s="40" t="str">
        <f>IF(OR($J2095="",$K2095=""),"",ROUND(MAX(0,($K2095-$J2095)-IF($H2095="",0,$H2095))/60,2))</f>
        <v/>
      </c>
      <c r="J2095" s="41" t="str">
        <f>IF($F2095="","",IF($F2095&lt;1,ROUND($F2095*1440,0),INT($F2095/100)*60+MOD($F2095,100)))</f>
        <v/>
      </c>
      <c r="K2095" s="41" t="str">
        <f>IF($G2095="","",IF($G2095&lt;1,ROUND($G2095*1440,0),INT($G2095/100)*60+MOD($G2095,100)))</f>
        <v/>
      </c>
    </row>
    <row r="2096" ht="15" customHeight="1" s="26">
      <c r="A2096" s="34" t="n"/>
      <c r="B2096" s="32" t="n"/>
      <c r="C2096" s="33" t="n"/>
      <c r="D2096" s="37" t="str">
        <f>IF($C2096="","",IFERROR(INDEX(프로젝트목록!$B$3:$B$62,MATCH($C2096,프로젝트목록!$A$3:$A$62,0)),"미등록코드"))</f>
        <v/>
      </c>
      <c r="E2096" s="32" t="n"/>
      <c r="F2096" s="38" t="n"/>
      <c r="G2096" s="38" t="n"/>
      <c r="H2096" s="39" t="n"/>
      <c r="I2096" s="40" t="str">
        <f>IF(OR($J2096="",$K2096=""),"",ROUND(MAX(0,($K2096-$J2096)-IF($H2096="",0,$H2096))/60,2))</f>
        <v/>
      </c>
      <c r="J2096" s="41" t="str">
        <f>IF($F2096="","",IF($F2096&lt;1,ROUND($F2096*1440,0),INT($F2096/100)*60+MOD($F2096,100)))</f>
        <v/>
      </c>
      <c r="K2096" s="41" t="str">
        <f>IF($G2096="","",IF($G2096&lt;1,ROUND($G2096*1440,0),INT($G2096/100)*60+MOD($G2096,100)))</f>
        <v/>
      </c>
    </row>
    <row r="2097" ht="15" customHeight="1" s="26">
      <c r="A2097" s="34" t="n"/>
      <c r="B2097" s="32" t="n"/>
      <c r="C2097" s="33" t="n"/>
      <c r="D2097" s="37" t="str">
        <f>IF($C2097="","",IFERROR(INDEX(프로젝트목록!$B$3:$B$62,MATCH($C2097,프로젝트목록!$A$3:$A$62,0)),"미등록코드"))</f>
        <v/>
      </c>
      <c r="E2097" s="32" t="n"/>
      <c r="F2097" s="38" t="n"/>
      <c r="G2097" s="38" t="n"/>
      <c r="H2097" s="39" t="n"/>
      <c r="I2097" s="40" t="str">
        <f>IF(OR($J2097="",$K2097=""),"",ROUND(MAX(0,($K2097-$J2097)-IF($H2097="",0,$H2097))/60,2))</f>
        <v/>
      </c>
      <c r="J2097" s="41" t="str">
        <f>IF($F2097="","",IF($F2097&lt;1,ROUND($F2097*1440,0),INT($F2097/100)*60+MOD($F2097,100)))</f>
        <v/>
      </c>
      <c r="K2097" s="41" t="str">
        <f>IF($G2097="","",IF($G2097&lt;1,ROUND($G2097*1440,0),INT($G2097/100)*60+MOD($G2097,100)))</f>
        <v/>
      </c>
    </row>
    <row r="2098" ht="15" customHeight="1" s="26">
      <c r="A2098" s="34" t="n"/>
      <c r="B2098" s="32" t="n"/>
      <c r="C2098" s="33" t="n"/>
      <c r="D2098" s="37" t="str">
        <f>IF($C2098="","",IFERROR(INDEX(프로젝트목록!$B$3:$B$62,MATCH($C2098,프로젝트목록!$A$3:$A$62,0)),"미등록코드"))</f>
        <v/>
      </c>
      <c r="E2098" s="32" t="n"/>
      <c r="F2098" s="38" t="n"/>
      <c r="G2098" s="38" t="n"/>
      <c r="H2098" s="39" t="n"/>
      <c r="I2098" s="40" t="str">
        <f>IF(OR($J2098="",$K2098=""),"",ROUND(MAX(0,($K2098-$J2098)-IF($H2098="",0,$H2098))/60,2))</f>
        <v/>
      </c>
      <c r="J2098" s="41" t="str">
        <f>IF($F2098="","",IF($F2098&lt;1,ROUND($F2098*1440,0),INT($F2098/100)*60+MOD($F2098,100)))</f>
        <v/>
      </c>
      <c r="K2098" s="41" t="str">
        <f>IF($G2098="","",IF($G2098&lt;1,ROUND($G2098*1440,0),INT($G2098/100)*60+MOD($G2098,100)))</f>
        <v/>
      </c>
    </row>
    <row r="2099" ht="15" customHeight="1" s="26">
      <c r="A2099" s="34" t="n"/>
      <c r="B2099" s="32" t="n"/>
      <c r="C2099" s="33" t="n"/>
      <c r="D2099" s="37" t="str">
        <f>IF($C2099="","",IFERROR(INDEX(프로젝트목록!$B$3:$B$62,MATCH($C2099,프로젝트목록!$A$3:$A$62,0)),"미등록코드"))</f>
        <v/>
      </c>
      <c r="E2099" s="32" t="n"/>
      <c r="F2099" s="38" t="n"/>
      <c r="G2099" s="38" t="n"/>
      <c r="H2099" s="39" t="n"/>
      <c r="I2099" s="40" t="str">
        <f>IF(OR($J2099="",$K2099=""),"",ROUND(MAX(0,($K2099-$J2099)-IF($H2099="",0,$H2099))/60,2))</f>
        <v/>
      </c>
      <c r="J2099" s="41" t="str">
        <f>IF($F2099="","",IF($F2099&lt;1,ROUND($F2099*1440,0),INT($F2099/100)*60+MOD($F2099,100)))</f>
        <v/>
      </c>
      <c r="K2099" s="41" t="str">
        <f>IF($G2099="","",IF($G2099&lt;1,ROUND($G2099*1440,0),INT($G2099/100)*60+MOD($G2099,100)))</f>
        <v/>
      </c>
    </row>
    <row r="2100" ht="15" customHeight="1" s="26">
      <c r="A2100" s="34" t="n"/>
      <c r="B2100" s="32" t="n"/>
      <c r="C2100" s="33" t="n"/>
      <c r="D2100" s="37" t="str">
        <f>IF($C2100="","",IFERROR(INDEX(프로젝트목록!$B$3:$B$62,MATCH($C2100,프로젝트목록!$A$3:$A$62,0)),"미등록코드"))</f>
        <v/>
      </c>
      <c r="E2100" s="32" t="n"/>
      <c r="F2100" s="38" t="n"/>
      <c r="G2100" s="38" t="n"/>
      <c r="H2100" s="39" t="n"/>
      <c r="I2100" s="40" t="str">
        <f>IF(OR($J2100="",$K2100=""),"",ROUND(MAX(0,($K2100-$J2100)-IF($H2100="",0,$H2100))/60,2))</f>
        <v/>
      </c>
      <c r="J2100" s="41" t="str">
        <f>IF($F2100="","",IF($F2100&lt;1,ROUND($F2100*1440,0),INT($F2100/100)*60+MOD($F2100,100)))</f>
        <v/>
      </c>
      <c r="K2100" s="41" t="str">
        <f>IF($G2100="","",IF($G2100&lt;1,ROUND($G2100*1440,0),INT($G2100/100)*60+MOD($G2100,100)))</f>
        <v/>
      </c>
    </row>
    <row r="2101" ht="15" customHeight="1" s="26">
      <c r="A2101" s="34" t="n"/>
      <c r="B2101" s="32" t="n"/>
      <c r="C2101" s="33" t="n"/>
      <c r="D2101" s="37" t="str">
        <f>IF($C2101="","",IFERROR(INDEX(프로젝트목록!$B$3:$B$62,MATCH($C2101,프로젝트목록!$A$3:$A$62,0)),"미등록코드"))</f>
        <v/>
      </c>
      <c r="E2101" s="32" t="n"/>
      <c r="F2101" s="38" t="n"/>
      <c r="G2101" s="38" t="n"/>
      <c r="H2101" s="39" t="n"/>
      <c r="I2101" s="40" t="str">
        <f>IF(OR($J2101="",$K2101=""),"",ROUND(MAX(0,($K2101-$J2101)-IF($H2101="",0,$H2101))/60,2))</f>
        <v/>
      </c>
      <c r="J2101" s="41" t="str">
        <f>IF($F2101="","",IF($F2101&lt;1,ROUND($F2101*1440,0),INT($F2101/100)*60+MOD($F2101,100)))</f>
        <v/>
      </c>
      <c r="K2101" s="41" t="str">
        <f>IF($G2101="","",IF($G2101&lt;1,ROUND($G2101*1440,0),INT($G2101/100)*60+MOD($G2101,100)))</f>
        <v/>
      </c>
    </row>
    <row r="2102" ht="15" customHeight="1" s="26">
      <c r="A2102" s="34" t="n"/>
      <c r="B2102" s="32" t="n"/>
      <c r="C2102" s="33" t="n"/>
      <c r="D2102" s="37" t="str">
        <f>IF($C2102="","",IFERROR(INDEX(프로젝트목록!$B$3:$B$62,MATCH($C2102,프로젝트목록!$A$3:$A$62,0)),"미등록코드"))</f>
        <v/>
      </c>
      <c r="E2102" s="32" t="n"/>
      <c r="F2102" s="38" t="n"/>
      <c r="G2102" s="38" t="n"/>
      <c r="H2102" s="39" t="n"/>
      <c r="I2102" s="40" t="str">
        <f>IF(OR($J2102="",$K2102=""),"",ROUND(MAX(0,($K2102-$J2102)-IF($H2102="",0,$H2102))/60,2))</f>
        <v/>
      </c>
      <c r="J2102" s="41" t="str">
        <f>IF($F2102="","",IF($F2102&lt;1,ROUND($F2102*1440,0),INT($F2102/100)*60+MOD($F2102,100)))</f>
        <v/>
      </c>
      <c r="K2102" s="41" t="str">
        <f>IF($G2102="","",IF($G2102&lt;1,ROUND($G2102*1440,0),INT($G2102/100)*60+MOD($G2102,100)))</f>
        <v/>
      </c>
    </row>
    <row r="2103" ht="15" customHeight="1" s="26">
      <c r="A2103" s="34" t="n"/>
      <c r="B2103" s="32" t="n"/>
      <c r="C2103" s="33" t="n"/>
      <c r="D2103" s="37" t="str">
        <f>IF($C2103="","",IFERROR(INDEX(프로젝트목록!$B$3:$B$62,MATCH($C2103,프로젝트목록!$A$3:$A$62,0)),"미등록코드"))</f>
        <v/>
      </c>
      <c r="E2103" s="32" t="n"/>
      <c r="F2103" s="38" t="n"/>
      <c r="G2103" s="38" t="n"/>
      <c r="H2103" s="39" t="n"/>
      <c r="I2103" s="40" t="str">
        <f>IF(OR($J2103="",$K2103=""),"",ROUND(MAX(0,($K2103-$J2103)-IF($H2103="",0,$H2103))/60,2))</f>
        <v/>
      </c>
      <c r="J2103" s="41" t="str">
        <f>IF($F2103="","",IF($F2103&lt;1,ROUND($F2103*1440,0),INT($F2103/100)*60+MOD($F2103,100)))</f>
        <v/>
      </c>
      <c r="K2103" s="41" t="str">
        <f>IF($G2103="","",IF($G2103&lt;1,ROUND($G2103*1440,0),INT($G2103/100)*60+MOD($G2103,100)))</f>
        <v/>
      </c>
    </row>
    <row r="2104" ht="15" customHeight="1" s="26">
      <c r="A2104" s="34" t="n"/>
      <c r="B2104" s="32" t="n"/>
      <c r="C2104" s="33" t="n"/>
      <c r="D2104" s="37" t="str">
        <f>IF($C2104="","",IFERROR(INDEX(프로젝트목록!$B$3:$B$62,MATCH($C2104,프로젝트목록!$A$3:$A$62,0)),"미등록코드"))</f>
        <v/>
      </c>
      <c r="E2104" s="32" t="n"/>
      <c r="F2104" s="38" t="n"/>
      <c r="G2104" s="38" t="n"/>
      <c r="H2104" s="39" t="n"/>
      <c r="I2104" s="40" t="str">
        <f>IF(OR($J2104="",$K2104=""),"",ROUND(MAX(0,($K2104-$J2104)-IF($H2104="",0,$H2104))/60,2))</f>
        <v/>
      </c>
      <c r="J2104" s="41" t="str">
        <f>IF($F2104="","",IF($F2104&lt;1,ROUND($F2104*1440,0),INT($F2104/100)*60+MOD($F2104,100)))</f>
        <v/>
      </c>
      <c r="K2104" s="41" t="str">
        <f>IF($G2104="","",IF($G2104&lt;1,ROUND($G2104*1440,0),INT($G2104/100)*60+MOD($G2104,100)))</f>
        <v/>
      </c>
    </row>
    <row r="2105" ht="15" customHeight="1" s="26">
      <c r="A2105" s="34" t="n"/>
      <c r="B2105" s="32" t="n"/>
      <c r="C2105" s="33" t="n"/>
      <c r="D2105" s="37" t="str">
        <f>IF($C2105="","",IFERROR(INDEX(프로젝트목록!$B$3:$B$62,MATCH($C2105,프로젝트목록!$A$3:$A$62,0)),"미등록코드"))</f>
        <v/>
      </c>
      <c r="E2105" s="32" t="n"/>
      <c r="F2105" s="38" t="n"/>
      <c r="G2105" s="38" t="n"/>
      <c r="H2105" s="39" t="n"/>
      <c r="I2105" s="40" t="str">
        <f>IF(OR($J2105="",$K2105=""),"",ROUND(MAX(0,($K2105-$J2105)-IF($H2105="",0,$H2105))/60,2))</f>
        <v/>
      </c>
      <c r="J2105" s="41" t="str">
        <f>IF($F2105="","",IF($F2105&lt;1,ROUND($F2105*1440,0),INT($F2105/100)*60+MOD($F2105,100)))</f>
        <v/>
      </c>
      <c r="K2105" s="41" t="str">
        <f>IF($G2105="","",IF($G2105&lt;1,ROUND($G2105*1440,0),INT($G2105/100)*60+MOD($G2105,100)))</f>
        <v/>
      </c>
    </row>
    <row r="2106" ht="15" customHeight="1" s="26">
      <c r="A2106" s="34" t="n"/>
      <c r="B2106" s="32" t="n"/>
      <c r="C2106" s="33" t="n"/>
      <c r="D2106" s="37" t="str">
        <f>IF($C2106="","",IFERROR(INDEX(프로젝트목록!$B$3:$B$62,MATCH($C2106,프로젝트목록!$A$3:$A$62,0)),"미등록코드"))</f>
        <v/>
      </c>
      <c r="E2106" s="32" t="n"/>
      <c r="F2106" s="38" t="n"/>
      <c r="G2106" s="38" t="n"/>
      <c r="H2106" s="39" t="n"/>
      <c r="I2106" s="40" t="str">
        <f>IF(OR($J2106="",$K2106=""),"",ROUND(MAX(0,($K2106-$J2106)-IF($H2106="",0,$H2106))/60,2))</f>
        <v/>
      </c>
      <c r="J2106" s="41" t="str">
        <f>IF($F2106="","",IF($F2106&lt;1,ROUND($F2106*1440,0),INT($F2106/100)*60+MOD($F2106,100)))</f>
        <v/>
      </c>
      <c r="K2106" s="41" t="str">
        <f>IF($G2106="","",IF($G2106&lt;1,ROUND($G2106*1440,0),INT($G2106/100)*60+MOD($G2106,100)))</f>
        <v/>
      </c>
    </row>
    <row r="2107" ht="15" customHeight="1" s="26">
      <c r="A2107" s="34" t="n"/>
      <c r="B2107" s="32" t="n"/>
      <c r="C2107" s="33" t="n"/>
      <c r="D2107" s="37" t="str">
        <f>IF($C2107="","",IFERROR(INDEX(프로젝트목록!$B$3:$B$62,MATCH($C2107,프로젝트목록!$A$3:$A$62,0)),"미등록코드"))</f>
        <v/>
      </c>
      <c r="E2107" s="32" t="n"/>
      <c r="F2107" s="38" t="n"/>
      <c r="G2107" s="38" t="n"/>
      <c r="H2107" s="39" t="n"/>
      <c r="I2107" s="40" t="str">
        <f>IF(OR($J2107="",$K2107=""),"",ROUND(MAX(0,($K2107-$J2107)-IF($H2107="",0,$H2107))/60,2))</f>
        <v/>
      </c>
      <c r="J2107" s="41" t="str">
        <f>IF($F2107="","",IF($F2107&lt;1,ROUND($F2107*1440,0),INT($F2107/100)*60+MOD($F2107,100)))</f>
        <v/>
      </c>
      <c r="K2107" s="41" t="str">
        <f>IF($G2107="","",IF($G2107&lt;1,ROUND($G2107*1440,0),INT($G2107/100)*60+MOD($G2107,100)))</f>
        <v/>
      </c>
    </row>
    <row r="2108" ht="15" customHeight="1" s="26">
      <c r="A2108" s="34" t="n"/>
      <c r="B2108" s="32" t="n"/>
      <c r="C2108" s="33" t="n"/>
      <c r="D2108" s="37" t="str">
        <f>IF($C2108="","",IFERROR(INDEX(프로젝트목록!$B$3:$B$62,MATCH($C2108,프로젝트목록!$A$3:$A$62,0)),"미등록코드"))</f>
        <v/>
      </c>
      <c r="E2108" s="32" t="n"/>
      <c r="F2108" s="38" t="n"/>
      <c r="G2108" s="38" t="n"/>
      <c r="H2108" s="39" t="n"/>
      <c r="I2108" s="40" t="str">
        <f>IF(OR($J2108="",$K2108=""),"",ROUND(MAX(0,($K2108-$J2108)-IF($H2108="",0,$H2108))/60,2))</f>
        <v/>
      </c>
      <c r="J2108" s="41" t="str">
        <f>IF($F2108="","",IF($F2108&lt;1,ROUND($F2108*1440,0),INT($F2108/100)*60+MOD($F2108,100)))</f>
        <v/>
      </c>
      <c r="K2108" s="41" t="str">
        <f>IF($G2108="","",IF($G2108&lt;1,ROUND($G2108*1440,0),INT($G2108/100)*60+MOD($G2108,100)))</f>
        <v/>
      </c>
    </row>
    <row r="2109" ht="15" customHeight="1" s="26">
      <c r="A2109" s="34" t="n"/>
      <c r="B2109" s="32" t="n"/>
      <c r="C2109" s="33" t="n"/>
      <c r="D2109" s="37" t="str">
        <f>IF($C2109="","",IFERROR(INDEX(프로젝트목록!$B$3:$B$62,MATCH($C2109,프로젝트목록!$A$3:$A$62,0)),"미등록코드"))</f>
        <v/>
      </c>
      <c r="E2109" s="32" t="n"/>
      <c r="F2109" s="38" t="n"/>
      <c r="G2109" s="38" t="n"/>
      <c r="H2109" s="39" t="n"/>
      <c r="I2109" s="40" t="str">
        <f>IF(OR($J2109="",$K2109=""),"",ROUND(MAX(0,($K2109-$J2109)-IF($H2109="",0,$H2109))/60,2))</f>
        <v/>
      </c>
      <c r="J2109" s="41" t="str">
        <f>IF($F2109="","",IF($F2109&lt;1,ROUND($F2109*1440,0),INT($F2109/100)*60+MOD($F2109,100)))</f>
        <v/>
      </c>
      <c r="K2109" s="41" t="str">
        <f>IF($G2109="","",IF($G2109&lt;1,ROUND($G2109*1440,0),INT($G2109/100)*60+MOD($G2109,100)))</f>
        <v/>
      </c>
    </row>
    <row r="2110" ht="15" customHeight="1" s="26">
      <c r="A2110" s="34" t="n"/>
      <c r="B2110" s="32" t="n"/>
      <c r="C2110" s="33" t="n"/>
      <c r="D2110" s="37" t="str">
        <f>IF($C2110="","",IFERROR(INDEX(프로젝트목록!$B$3:$B$62,MATCH($C2110,프로젝트목록!$A$3:$A$62,0)),"미등록코드"))</f>
        <v/>
      </c>
      <c r="E2110" s="32" t="n"/>
      <c r="F2110" s="38" t="n"/>
      <c r="G2110" s="38" t="n"/>
      <c r="H2110" s="39" t="n"/>
      <c r="I2110" s="40" t="str">
        <f>IF(OR($J2110="",$K2110=""),"",ROUND(MAX(0,($K2110-$J2110)-IF($H2110="",0,$H2110))/60,2))</f>
        <v/>
      </c>
      <c r="J2110" s="41" t="str">
        <f>IF($F2110="","",IF($F2110&lt;1,ROUND($F2110*1440,0),INT($F2110/100)*60+MOD($F2110,100)))</f>
        <v/>
      </c>
      <c r="K2110" s="41" t="str">
        <f>IF($G2110="","",IF($G2110&lt;1,ROUND($G2110*1440,0),INT($G2110/100)*60+MOD($G2110,100)))</f>
        <v/>
      </c>
    </row>
    <row r="2111" ht="15" customHeight="1" s="26">
      <c r="A2111" s="34" t="n"/>
      <c r="B2111" s="32" t="n"/>
      <c r="C2111" s="33" t="n"/>
      <c r="D2111" s="37" t="str">
        <f>IF($C2111="","",IFERROR(INDEX(프로젝트목록!$B$3:$B$62,MATCH($C2111,프로젝트목록!$A$3:$A$62,0)),"미등록코드"))</f>
        <v/>
      </c>
      <c r="E2111" s="32" t="n"/>
      <c r="F2111" s="38" t="n"/>
      <c r="G2111" s="38" t="n"/>
      <c r="H2111" s="39" t="n"/>
      <c r="I2111" s="40" t="str">
        <f>IF(OR($J2111="",$K2111=""),"",ROUND(MAX(0,($K2111-$J2111)-IF($H2111="",0,$H2111))/60,2))</f>
        <v/>
      </c>
      <c r="J2111" s="41" t="str">
        <f>IF($F2111="","",IF($F2111&lt;1,ROUND($F2111*1440,0),INT($F2111/100)*60+MOD($F2111,100)))</f>
        <v/>
      </c>
      <c r="K2111" s="41" t="str">
        <f>IF($G2111="","",IF($G2111&lt;1,ROUND($G2111*1440,0),INT($G2111/100)*60+MOD($G2111,100)))</f>
        <v/>
      </c>
    </row>
    <row r="2112" ht="15" customHeight="1" s="26">
      <c r="A2112" s="34" t="n"/>
      <c r="B2112" s="32" t="n"/>
      <c r="C2112" s="33" t="n"/>
      <c r="D2112" s="37" t="str">
        <f>IF($C2112="","",IFERROR(INDEX(프로젝트목록!$B$3:$B$62,MATCH($C2112,프로젝트목록!$A$3:$A$62,0)),"미등록코드"))</f>
        <v/>
      </c>
      <c r="E2112" s="32" t="n"/>
      <c r="F2112" s="38" t="n"/>
      <c r="G2112" s="38" t="n"/>
      <c r="H2112" s="39" t="n"/>
      <c r="I2112" s="40" t="str">
        <f>IF(OR($J2112="",$K2112=""),"",ROUND(MAX(0,($K2112-$J2112)-IF($H2112="",0,$H2112))/60,2))</f>
        <v/>
      </c>
      <c r="J2112" s="41" t="str">
        <f>IF($F2112="","",IF($F2112&lt;1,ROUND($F2112*1440,0),INT($F2112/100)*60+MOD($F2112,100)))</f>
        <v/>
      </c>
      <c r="K2112" s="41" t="str">
        <f>IF($G2112="","",IF($G2112&lt;1,ROUND($G2112*1440,0),INT($G2112/100)*60+MOD($G2112,100)))</f>
        <v/>
      </c>
    </row>
    <row r="2113" ht="15" customHeight="1" s="26">
      <c r="A2113" s="34" t="n"/>
      <c r="B2113" s="32" t="n"/>
      <c r="C2113" s="33" t="n"/>
      <c r="D2113" s="37" t="str">
        <f>IF($C2113="","",IFERROR(INDEX(프로젝트목록!$B$3:$B$62,MATCH($C2113,프로젝트목록!$A$3:$A$62,0)),"미등록코드"))</f>
        <v/>
      </c>
      <c r="E2113" s="32" t="n"/>
      <c r="F2113" s="38" t="n"/>
      <c r="G2113" s="38" t="n"/>
      <c r="H2113" s="39" t="n"/>
      <c r="I2113" s="40" t="str">
        <f>IF(OR($J2113="",$K2113=""),"",ROUND(MAX(0,($K2113-$J2113)-IF($H2113="",0,$H2113))/60,2))</f>
        <v/>
      </c>
      <c r="J2113" s="41" t="str">
        <f>IF($F2113="","",IF($F2113&lt;1,ROUND($F2113*1440,0),INT($F2113/100)*60+MOD($F2113,100)))</f>
        <v/>
      </c>
      <c r="K2113" s="41" t="str">
        <f>IF($G2113="","",IF($G2113&lt;1,ROUND($G2113*1440,0),INT($G2113/100)*60+MOD($G2113,100)))</f>
        <v/>
      </c>
    </row>
    <row r="2114" ht="15" customHeight="1" s="26">
      <c r="A2114" s="34" t="n"/>
      <c r="B2114" s="32" t="n"/>
      <c r="C2114" s="33" t="n"/>
      <c r="D2114" s="37" t="str">
        <f>IF($C2114="","",IFERROR(INDEX(프로젝트목록!$B$3:$B$62,MATCH($C2114,프로젝트목록!$A$3:$A$62,0)),"미등록코드"))</f>
        <v/>
      </c>
      <c r="E2114" s="32" t="n"/>
      <c r="F2114" s="38" t="n"/>
      <c r="G2114" s="38" t="n"/>
      <c r="H2114" s="39" t="n"/>
      <c r="I2114" s="40" t="str">
        <f>IF(OR($J2114="",$K2114=""),"",ROUND(MAX(0,($K2114-$J2114)-IF($H2114="",0,$H2114))/60,2))</f>
        <v/>
      </c>
      <c r="J2114" s="41" t="str">
        <f>IF($F2114="","",IF($F2114&lt;1,ROUND($F2114*1440,0),INT($F2114/100)*60+MOD($F2114,100)))</f>
        <v/>
      </c>
      <c r="K2114" s="41" t="str">
        <f>IF($G2114="","",IF($G2114&lt;1,ROUND($G2114*1440,0),INT($G2114/100)*60+MOD($G2114,100)))</f>
        <v/>
      </c>
    </row>
    <row r="2115" ht="15" customHeight="1" s="26">
      <c r="A2115" s="34" t="n"/>
      <c r="B2115" s="32" t="n"/>
      <c r="C2115" s="33" t="n"/>
      <c r="D2115" s="37" t="str">
        <f>IF($C2115="","",IFERROR(INDEX(프로젝트목록!$B$3:$B$62,MATCH($C2115,프로젝트목록!$A$3:$A$62,0)),"미등록코드"))</f>
        <v/>
      </c>
      <c r="E2115" s="32" t="n"/>
      <c r="F2115" s="38" t="n"/>
      <c r="G2115" s="38" t="n"/>
      <c r="H2115" s="39" t="n"/>
      <c r="I2115" s="40" t="str">
        <f>IF(OR($J2115="",$K2115=""),"",ROUND(MAX(0,($K2115-$J2115)-IF($H2115="",0,$H2115))/60,2))</f>
        <v/>
      </c>
      <c r="J2115" s="41" t="str">
        <f>IF($F2115="","",IF($F2115&lt;1,ROUND($F2115*1440,0),INT($F2115/100)*60+MOD($F2115,100)))</f>
        <v/>
      </c>
      <c r="K2115" s="41" t="str">
        <f>IF($G2115="","",IF($G2115&lt;1,ROUND($G2115*1440,0),INT($G2115/100)*60+MOD($G2115,100)))</f>
        <v/>
      </c>
    </row>
    <row r="2116" ht="15" customHeight="1" s="26">
      <c r="A2116" s="34" t="n"/>
      <c r="B2116" s="32" t="n"/>
      <c r="C2116" s="33" t="n"/>
      <c r="D2116" s="37" t="str">
        <f>IF($C2116="","",IFERROR(INDEX(프로젝트목록!$B$3:$B$62,MATCH($C2116,프로젝트목록!$A$3:$A$62,0)),"미등록코드"))</f>
        <v/>
      </c>
      <c r="E2116" s="32" t="n"/>
      <c r="F2116" s="38" t="n"/>
      <c r="G2116" s="38" t="n"/>
      <c r="H2116" s="39" t="n"/>
      <c r="I2116" s="40" t="str">
        <f>IF(OR($J2116="",$K2116=""),"",ROUND(MAX(0,($K2116-$J2116)-IF($H2116="",0,$H2116))/60,2))</f>
        <v/>
      </c>
      <c r="J2116" s="41" t="str">
        <f>IF($F2116="","",IF($F2116&lt;1,ROUND($F2116*1440,0),INT($F2116/100)*60+MOD($F2116,100)))</f>
        <v/>
      </c>
      <c r="K2116" s="41" t="str">
        <f>IF($G2116="","",IF($G2116&lt;1,ROUND($G2116*1440,0),INT($G2116/100)*60+MOD($G2116,100)))</f>
        <v/>
      </c>
    </row>
    <row r="2117" ht="15" customHeight="1" s="26">
      <c r="A2117" s="34" t="n"/>
      <c r="B2117" s="32" t="n"/>
      <c r="C2117" s="33" t="n"/>
      <c r="D2117" s="37" t="str">
        <f>IF($C2117="","",IFERROR(INDEX(프로젝트목록!$B$3:$B$62,MATCH($C2117,프로젝트목록!$A$3:$A$62,0)),"미등록코드"))</f>
        <v/>
      </c>
      <c r="E2117" s="32" t="n"/>
      <c r="F2117" s="38" t="n"/>
      <c r="G2117" s="38" t="n"/>
      <c r="H2117" s="39" t="n"/>
      <c r="I2117" s="40" t="str">
        <f>IF(OR($J2117="",$K2117=""),"",ROUND(MAX(0,($K2117-$J2117)-IF($H2117="",0,$H2117))/60,2))</f>
        <v/>
      </c>
      <c r="J2117" s="41" t="str">
        <f>IF($F2117="","",IF($F2117&lt;1,ROUND($F2117*1440,0),INT($F2117/100)*60+MOD($F2117,100)))</f>
        <v/>
      </c>
      <c r="K2117" s="41" t="str">
        <f>IF($G2117="","",IF($G2117&lt;1,ROUND($G2117*1440,0),INT($G2117/100)*60+MOD($G2117,100)))</f>
        <v/>
      </c>
    </row>
    <row r="2118" ht="15" customHeight="1" s="26">
      <c r="A2118" s="34" t="n"/>
      <c r="B2118" s="32" t="n"/>
      <c r="C2118" s="33" t="n"/>
      <c r="D2118" s="37" t="str">
        <f>IF($C2118="","",IFERROR(INDEX(프로젝트목록!$B$3:$B$62,MATCH($C2118,프로젝트목록!$A$3:$A$62,0)),"미등록코드"))</f>
        <v/>
      </c>
      <c r="E2118" s="32" t="n"/>
      <c r="F2118" s="38" t="n"/>
      <c r="G2118" s="38" t="n"/>
      <c r="H2118" s="39" t="n"/>
      <c r="I2118" s="40" t="str">
        <f>IF(OR($J2118="",$K2118=""),"",ROUND(MAX(0,($K2118-$J2118)-IF($H2118="",0,$H2118))/60,2))</f>
        <v/>
      </c>
      <c r="J2118" s="41" t="str">
        <f>IF($F2118="","",IF($F2118&lt;1,ROUND($F2118*1440,0),INT($F2118/100)*60+MOD($F2118,100)))</f>
        <v/>
      </c>
      <c r="K2118" s="41" t="str">
        <f>IF($G2118="","",IF($G2118&lt;1,ROUND($G2118*1440,0),INT($G2118/100)*60+MOD($G2118,100)))</f>
        <v/>
      </c>
    </row>
    <row r="2119" ht="15" customHeight="1" s="26">
      <c r="A2119" s="34" t="n"/>
      <c r="B2119" s="32" t="n"/>
      <c r="C2119" s="33" t="n"/>
      <c r="D2119" s="37" t="str">
        <f>IF($C2119="","",IFERROR(INDEX(프로젝트목록!$B$3:$B$62,MATCH($C2119,프로젝트목록!$A$3:$A$62,0)),"미등록코드"))</f>
        <v/>
      </c>
      <c r="E2119" s="32" t="n"/>
      <c r="F2119" s="38" t="n"/>
      <c r="G2119" s="38" t="n"/>
      <c r="H2119" s="39" t="n"/>
      <c r="I2119" s="40" t="str">
        <f>IF(OR($J2119="",$K2119=""),"",ROUND(MAX(0,($K2119-$J2119)-IF($H2119="",0,$H2119))/60,2))</f>
        <v/>
      </c>
      <c r="J2119" s="41" t="str">
        <f>IF($F2119="","",IF($F2119&lt;1,ROUND($F2119*1440,0),INT($F2119/100)*60+MOD($F2119,100)))</f>
        <v/>
      </c>
      <c r="K2119" s="41" t="str">
        <f>IF($G2119="","",IF($G2119&lt;1,ROUND($G2119*1440,0),INT($G2119/100)*60+MOD($G2119,100)))</f>
        <v/>
      </c>
    </row>
    <row r="2120" ht="15" customHeight="1" s="26">
      <c r="A2120" s="34" t="n"/>
      <c r="B2120" s="32" t="n"/>
      <c r="C2120" s="33" t="n"/>
      <c r="D2120" s="37" t="str">
        <f>IF($C2120="","",IFERROR(INDEX(프로젝트목록!$B$3:$B$62,MATCH($C2120,프로젝트목록!$A$3:$A$62,0)),"미등록코드"))</f>
        <v/>
      </c>
      <c r="E2120" s="32" t="n"/>
      <c r="F2120" s="38" t="n"/>
      <c r="G2120" s="38" t="n"/>
      <c r="H2120" s="39" t="n"/>
      <c r="I2120" s="40" t="str">
        <f>IF(OR($J2120="",$K2120=""),"",ROUND(MAX(0,($K2120-$J2120)-IF($H2120="",0,$H2120))/60,2))</f>
        <v/>
      </c>
      <c r="J2120" s="41" t="str">
        <f>IF($F2120="","",IF($F2120&lt;1,ROUND($F2120*1440,0),INT($F2120/100)*60+MOD($F2120,100)))</f>
        <v/>
      </c>
      <c r="K2120" s="41" t="str">
        <f>IF($G2120="","",IF($G2120&lt;1,ROUND($G2120*1440,0),INT($G2120/100)*60+MOD($G2120,100)))</f>
        <v/>
      </c>
    </row>
    <row r="2121" ht="15" customHeight="1" s="26">
      <c r="A2121" s="34" t="n"/>
      <c r="B2121" s="32" t="n"/>
      <c r="C2121" s="33" t="n"/>
      <c r="D2121" s="37" t="str">
        <f>IF($C2121="","",IFERROR(INDEX(프로젝트목록!$B$3:$B$62,MATCH($C2121,프로젝트목록!$A$3:$A$62,0)),"미등록코드"))</f>
        <v/>
      </c>
      <c r="E2121" s="32" t="n"/>
      <c r="F2121" s="38" t="n"/>
      <c r="G2121" s="38" t="n"/>
      <c r="H2121" s="39" t="n"/>
      <c r="I2121" s="40" t="str">
        <f>IF(OR($J2121="",$K2121=""),"",ROUND(MAX(0,($K2121-$J2121)-IF($H2121="",0,$H2121))/60,2))</f>
        <v/>
      </c>
      <c r="J2121" s="41" t="str">
        <f>IF($F2121="","",IF($F2121&lt;1,ROUND($F2121*1440,0),INT($F2121/100)*60+MOD($F2121,100)))</f>
        <v/>
      </c>
      <c r="K2121" s="41" t="str">
        <f>IF($G2121="","",IF($G2121&lt;1,ROUND($G2121*1440,0),INT($G2121/100)*60+MOD($G2121,100)))</f>
        <v/>
      </c>
    </row>
    <row r="2122" ht="15" customHeight="1" s="26">
      <c r="A2122" s="34" t="n"/>
      <c r="B2122" s="32" t="n"/>
      <c r="C2122" s="33" t="n"/>
      <c r="D2122" s="37" t="str">
        <f>IF($C2122="","",IFERROR(INDEX(프로젝트목록!$B$3:$B$62,MATCH($C2122,프로젝트목록!$A$3:$A$62,0)),"미등록코드"))</f>
        <v/>
      </c>
      <c r="E2122" s="32" t="n"/>
      <c r="F2122" s="38" t="n"/>
      <c r="G2122" s="38" t="n"/>
      <c r="H2122" s="39" t="n"/>
      <c r="I2122" s="40" t="str">
        <f>IF(OR($J2122="",$K2122=""),"",ROUND(MAX(0,($K2122-$J2122)-IF($H2122="",0,$H2122))/60,2))</f>
        <v/>
      </c>
      <c r="J2122" s="41" t="str">
        <f>IF($F2122="","",IF($F2122&lt;1,ROUND($F2122*1440,0),INT($F2122/100)*60+MOD($F2122,100)))</f>
        <v/>
      </c>
      <c r="K2122" s="41" t="str">
        <f>IF($G2122="","",IF($G2122&lt;1,ROUND($G2122*1440,0),INT($G2122/100)*60+MOD($G2122,100)))</f>
        <v/>
      </c>
    </row>
    <row r="2123" ht="15" customHeight="1" s="26">
      <c r="A2123" s="34" t="n"/>
      <c r="B2123" s="32" t="n"/>
      <c r="C2123" s="33" t="n"/>
      <c r="D2123" s="37" t="str">
        <f>IF($C2123="","",IFERROR(INDEX(프로젝트목록!$B$3:$B$62,MATCH($C2123,프로젝트목록!$A$3:$A$62,0)),"미등록코드"))</f>
        <v/>
      </c>
      <c r="E2123" s="32" t="n"/>
      <c r="F2123" s="38" t="n"/>
      <c r="G2123" s="38" t="n"/>
      <c r="H2123" s="39" t="n"/>
      <c r="I2123" s="40" t="str">
        <f>IF(OR($J2123="",$K2123=""),"",ROUND(MAX(0,($K2123-$J2123)-IF($H2123="",0,$H2123))/60,2))</f>
        <v/>
      </c>
      <c r="J2123" s="41" t="str">
        <f>IF($F2123="","",IF($F2123&lt;1,ROUND($F2123*1440,0),INT($F2123/100)*60+MOD($F2123,100)))</f>
        <v/>
      </c>
      <c r="K2123" s="41" t="str">
        <f>IF($G2123="","",IF($G2123&lt;1,ROUND($G2123*1440,0),INT($G2123/100)*60+MOD($G2123,100)))</f>
        <v/>
      </c>
    </row>
    <row r="2124" ht="15" customHeight="1" s="26">
      <c r="A2124" s="34" t="n"/>
      <c r="B2124" s="32" t="n"/>
      <c r="C2124" s="33" t="n"/>
      <c r="D2124" s="37" t="str">
        <f>IF($C2124="","",IFERROR(INDEX(프로젝트목록!$B$3:$B$62,MATCH($C2124,프로젝트목록!$A$3:$A$62,0)),"미등록코드"))</f>
        <v/>
      </c>
      <c r="E2124" s="32" t="n"/>
      <c r="F2124" s="38" t="n"/>
      <c r="G2124" s="38" t="n"/>
      <c r="H2124" s="39" t="n"/>
      <c r="I2124" s="40" t="str">
        <f>IF(OR($J2124="",$K2124=""),"",ROUND(MAX(0,($K2124-$J2124)-IF($H2124="",0,$H2124))/60,2))</f>
        <v/>
      </c>
      <c r="J2124" s="41" t="str">
        <f>IF($F2124="","",IF($F2124&lt;1,ROUND($F2124*1440,0),INT($F2124/100)*60+MOD($F2124,100)))</f>
        <v/>
      </c>
      <c r="K2124" s="41" t="str">
        <f>IF($G2124="","",IF($G2124&lt;1,ROUND($G2124*1440,0),INT($G2124/100)*60+MOD($G2124,100)))</f>
        <v/>
      </c>
    </row>
    <row r="2125" ht="15" customHeight="1" s="26">
      <c r="A2125" s="34" t="n"/>
      <c r="B2125" s="32" t="n"/>
      <c r="C2125" s="33" t="n"/>
      <c r="D2125" s="37" t="str">
        <f>IF($C2125="","",IFERROR(INDEX(프로젝트목록!$B$3:$B$62,MATCH($C2125,프로젝트목록!$A$3:$A$62,0)),"미등록코드"))</f>
        <v/>
      </c>
      <c r="E2125" s="32" t="n"/>
      <c r="F2125" s="38" t="n"/>
      <c r="G2125" s="38" t="n"/>
      <c r="H2125" s="39" t="n"/>
      <c r="I2125" s="40" t="str">
        <f>IF(OR($J2125="",$K2125=""),"",ROUND(MAX(0,($K2125-$J2125)-IF($H2125="",0,$H2125))/60,2))</f>
        <v/>
      </c>
      <c r="J2125" s="41" t="str">
        <f>IF($F2125="","",IF($F2125&lt;1,ROUND($F2125*1440,0),INT($F2125/100)*60+MOD($F2125,100)))</f>
        <v/>
      </c>
      <c r="K2125" s="41" t="str">
        <f>IF($G2125="","",IF($G2125&lt;1,ROUND($G2125*1440,0),INT($G2125/100)*60+MOD($G2125,100)))</f>
        <v/>
      </c>
    </row>
    <row r="2126" ht="15" customHeight="1" s="26">
      <c r="A2126" s="34" t="n"/>
      <c r="B2126" s="32" t="n"/>
      <c r="C2126" s="33" t="n"/>
      <c r="D2126" s="37" t="str">
        <f>IF($C2126="","",IFERROR(INDEX(프로젝트목록!$B$3:$B$62,MATCH($C2126,프로젝트목록!$A$3:$A$62,0)),"미등록코드"))</f>
        <v/>
      </c>
      <c r="E2126" s="32" t="n"/>
      <c r="F2126" s="38" t="n"/>
      <c r="G2126" s="38" t="n"/>
      <c r="H2126" s="39" t="n"/>
      <c r="I2126" s="40" t="str">
        <f>IF(OR($J2126="",$K2126=""),"",ROUND(MAX(0,($K2126-$J2126)-IF($H2126="",0,$H2126))/60,2))</f>
        <v/>
      </c>
      <c r="J2126" s="41" t="str">
        <f>IF($F2126="","",IF($F2126&lt;1,ROUND($F2126*1440,0),INT($F2126/100)*60+MOD($F2126,100)))</f>
        <v/>
      </c>
      <c r="K2126" s="41" t="str">
        <f>IF($G2126="","",IF($G2126&lt;1,ROUND($G2126*1440,0),INT($G2126/100)*60+MOD($G2126,100)))</f>
        <v/>
      </c>
    </row>
    <row r="2127" ht="15" customHeight="1" s="26">
      <c r="A2127" s="34" t="n"/>
      <c r="B2127" s="32" t="n"/>
      <c r="C2127" s="33" t="n"/>
      <c r="D2127" s="37" t="str">
        <f>IF($C2127="","",IFERROR(INDEX(프로젝트목록!$B$3:$B$62,MATCH($C2127,프로젝트목록!$A$3:$A$62,0)),"미등록코드"))</f>
        <v/>
      </c>
      <c r="E2127" s="32" t="n"/>
      <c r="F2127" s="38" t="n"/>
      <c r="G2127" s="38" t="n"/>
      <c r="H2127" s="39" t="n"/>
      <c r="I2127" s="40" t="str">
        <f>IF(OR($J2127="",$K2127=""),"",ROUND(MAX(0,($K2127-$J2127)-IF($H2127="",0,$H2127))/60,2))</f>
        <v/>
      </c>
      <c r="J2127" s="41" t="str">
        <f>IF($F2127="","",IF($F2127&lt;1,ROUND($F2127*1440,0),INT($F2127/100)*60+MOD($F2127,100)))</f>
        <v/>
      </c>
      <c r="K2127" s="41" t="str">
        <f>IF($G2127="","",IF($G2127&lt;1,ROUND($G2127*1440,0),INT($G2127/100)*60+MOD($G2127,100)))</f>
        <v/>
      </c>
    </row>
    <row r="2128" ht="15" customHeight="1" s="26">
      <c r="A2128" s="34" t="n"/>
      <c r="B2128" s="32" t="n"/>
      <c r="C2128" s="33" t="n"/>
      <c r="D2128" s="37" t="str">
        <f>IF($C2128="","",IFERROR(INDEX(프로젝트목록!$B$3:$B$62,MATCH($C2128,프로젝트목록!$A$3:$A$62,0)),"미등록코드"))</f>
        <v/>
      </c>
      <c r="E2128" s="32" t="n"/>
      <c r="F2128" s="38" t="n"/>
      <c r="G2128" s="38" t="n"/>
      <c r="H2128" s="39" t="n"/>
      <c r="I2128" s="40" t="str">
        <f>IF(OR($J2128="",$K2128=""),"",ROUND(MAX(0,($K2128-$J2128)-IF($H2128="",0,$H2128))/60,2))</f>
        <v/>
      </c>
      <c r="J2128" s="41" t="str">
        <f>IF($F2128="","",IF($F2128&lt;1,ROUND($F2128*1440,0),INT($F2128/100)*60+MOD($F2128,100)))</f>
        <v/>
      </c>
      <c r="K2128" s="41" t="str">
        <f>IF($G2128="","",IF($G2128&lt;1,ROUND($G2128*1440,0),INT($G2128/100)*60+MOD($G2128,100)))</f>
        <v/>
      </c>
    </row>
    <row r="2129" ht="15" customHeight="1" s="26">
      <c r="A2129" s="34" t="n"/>
      <c r="B2129" s="32" t="n"/>
      <c r="C2129" s="33" t="n"/>
      <c r="D2129" s="37" t="str">
        <f>IF($C2129="","",IFERROR(INDEX(프로젝트목록!$B$3:$B$62,MATCH($C2129,프로젝트목록!$A$3:$A$62,0)),"미등록코드"))</f>
        <v/>
      </c>
      <c r="E2129" s="32" t="n"/>
      <c r="F2129" s="38" t="n"/>
      <c r="G2129" s="38" t="n"/>
      <c r="H2129" s="39" t="n"/>
      <c r="I2129" s="40" t="str">
        <f>IF(OR($J2129="",$K2129=""),"",ROUND(MAX(0,($K2129-$J2129)-IF($H2129="",0,$H2129))/60,2))</f>
        <v/>
      </c>
      <c r="J2129" s="41" t="str">
        <f>IF($F2129="","",IF($F2129&lt;1,ROUND($F2129*1440,0),INT($F2129/100)*60+MOD($F2129,100)))</f>
        <v/>
      </c>
      <c r="K2129" s="41" t="str">
        <f>IF($G2129="","",IF($G2129&lt;1,ROUND($G2129*1440,0),INT($G2129/100)*60+MOD($G2129,100)))</f>
        <v/>
      </c>
    </row>
    <row r="2130" ht="15" customHeight="1" s="26">
      <c r="A2130" s="34" t="n"/>
      <c r="B2130" s="32" t="n"/>
      <c r="C2130" s="33" t="n"/>
      <c r="D2130" s="37" t="str">
        <f>IF($C2130="","",IFERROR(INDEX(프로젝트목록!$B$3:$B$62,MATCH($C2130,프로젝트목록!$A$3:$A$62,0)),"미등록코드"))</f>
        <v/>
      </c>
      <c r="E2130" s="32" t="n"/>
      <c r="F2130" s="38" t="n"/>
      <c r="G2130" s="38" t="n"/>
      <c r="H2130" s="39" t="n"/>
      <c r="I2130" s="40" t="str">
        <f>IF(OR($J2130="",$K2130=""),"",ROUND(MAX(0,($K2130-$J2130)-IF($H2130="",0,$H2130))/60,2))</f>
        <v/>
      </c>
      <c r="J2130" s="41" t="str">
        <f>IF($F2130="","",IF($F2130&lt;1,ROUND($F2130*1440,0),INT($F2130/100)*60+MOD($F2130,100)))</f>
        <v/>
      </c>
      <c r="K2130" s="41" t="str">
        <f>IF($G2130="","",IF($G2130&lt;1,ROUND($G2130*1440,0),INT($G2130/100)*60+MOD($G2130,100)))</f>
        <v/>
      </c>
    </row>
    <row r="2131" ht="15" customHeight="1" s="26">
      <c r="A2131" s="34" t="n"/>
      <c r="B2131" s="32" t="n"/>
      <c r="C2131" s="33" t="n"/>
      <c r="D2131" s="37" t="str">
        <f>IF($C2131="","",IFERROR(INDEX(프로젝트목록!$B$3:$B$62,MATCH($C2131,프로젝트목록!$A$3:$A$62,0)),"미등록코드"))</f>
        <v/>
      </c>
      <c r="E2131" s="32" t="n"/>
      <c r="F2131" s="38" t="n"/>
      <c r="G2131" s="38" t="n"/>
      <c r="H2131" s="39" t="n"/>
      <c r="I2131" s="40" t="str">
        <f>IF(OR($J2131="",$K2131=""),"",ROUND(MAX(0,($K2131-$J2131)-IF($H2131="",0,$H2131))/60,2))</f>
        <v/>
      </c>
      <c r="J2131" s="41" t="str">
        <f>IF($F2131="","",IF($F2131&lt;1,ROUND($F2131*1440,0),INT($F2131/100)*60+MOD($F2131,100)))</f>
        <v/>
      </c>
      <c r="K2131" s="41" t="str">
        <f>IF($G2131="","",IF($G2131&lt;1,ROUND($G2131*1440,0),INT($G2131/100)*60+MOD($G2131,100)))</f>
        <v/>
      </c>
    </row>
    <row r="2132" ht="15" customHeight="1" s="26">
      <c r="A2132" s="34" t="n"/>
      <c r="B2132" s="32" t="n"/>
      <c r="C2132" s="33" t="n"/>
      <c r="D2132" s="37" t="str">
        <f>IF($C2132="","",IFERROR(INDEX(프로젝트목록!$B$3:$B$62,MATCH($C2132,프로젝트목록!$A$3:$A$62,0)),"미등록코드"))</f>
        <v/>
      </c>
      <c r="E2132" s="32" t="n"/>
      <c r="F2132" s="38" t="n"/>
      <c r="G2132" s="38" t="n"/>
      <c r="H2132" s="39" t="n"/>
      <c r="I2132" s="40" t="str">
        <f>IF(OR($J2132="",$K2132=""),"",ROUND(MAX(0,($K2132-$J2132)-IF($H2132="",0,$H2132))/60,2))</f>
        <v/>
      </c>
      <c r="J2132" s="41" t="str">
        <f>IF($F2132="","",IF($F2132&lt;1,ROUND($F2132*1440,0),INT($F2132/100)*60+MOD($F2132,100)))</f>
        <v/>
      </c>
      <c r="K2132" s="41" t="str">
        <f>IF($G2132="","",IF($G2132&lt;1,ROUND($G2132*1440,0),INT($G2132/100)*60+MOD($G2132,100)))</f>
        <v/>
      </c>
    </row>
    <row r="2133" ht="15" customHeight="1" s="26">
      <c r="A2133" s="34" t="n"/>
      <c r="B2133" s="32" t="n"/>
      <c r="C2133" s="33" t="n"/>
      <c r="D2133" s="37" t="str">
        <f>IF($C2133="","",IFERROR(INDEX(프로젝트목록!$B$3:$B$62,MATCH($C2133,프로젝트목록!$A$3:$A$62,0)),"미등록코드"))</f>
        <v/>
      </c>
      <c r="E2133" s="32" t="n"/>
      <c r="F2133" s="38" t="n"/>
      <c r="G2133" s="38" t="n"/>
      <c r="H2133" s="39" t="n"/>
      <c r="I2133" s="40" t="str">
        <f>IF(OR($J2133="",$K2133=""),"",ROUND(MAX(0,($K2133-$J2133)-IF($H2133="",0,$H2133))/60,2))</f>
        <v/>
      </c>
      <c r="J2133" s="41" t="str">
        <f>IF($F2133="","",IF($F2133&lt;1,ROUND($F2133*1440,0),INT($F2133/100)*60+MOD($F2133,100)))</f>
        <v/>
      </c>
      <c r="K2133" s="41" t="str">
        <f>IF($G2133="","",IF($G2133&lt;1,ROUND($G2133*1440,0),INT($G2133/100)*60+MOD($G2133,100)))</f>
        <v/>
      </c>
    </row>
    <row r="2134" ht="15" customHeight="1" s="26">
      <c r="A2134" s="34" t="n"/>
      <c r="B2134" s="32" t="n"/>
      <c r="C2134" s="33" t="n"/>
      <c r="D2134" s="37" t="str">
        <f>IF($C2134="","",IFERROR(INDEX(프로젝트목록!$B$3:$B$62,MATCH($C2134,프로젝트목록!$A$3:$A$62,0)),"미등록코드"))</f>
        <v/>
      </c>
      <c r="E2134" s="32" t="n"/>
      <c r="F2134" s="38" t="n"/>
      <c r="G2134" s="38" t="n"/>
      <c r="H2134" s="39" t="n"/>
      <c r="I2134" s="40" t="str">
        <f>IF(OR($J2134="",$K2134=""),"",ROUND(MAX(0,($K2134-$J2134)-IF($H2134="",0,$H2134))/60,2))</f>
        <v/>
      </c>
      <c r="J2134" s="41" t="str">
        <f>IF($F2134="","",IF($F2134&lt;1,ROUND($F2134*1440,0),INT($F2134/100)*60+MOD($F2134,100)))</f>
        <v/>
      </c>
      <c r="K2134" s="41" t="str">
        <f>IF($G2134="","",IF($G2134&lt;1,ROUND($G2134*1440,0),INT($G2134/100)*60+MOD($G2134,100)))</f>
        <v/>
      </c>
    </row>
    <row r="2135" ht="15" customHeight="1" s="26">
      <c r="A2135" s="34" t="n"/>
      <c r="B2135" s="32" t="n"/>
      <c r="C2135" s="33" t="n"/>
      <c r="D2135" s="37" t="str">
        <f>IF($C2135="","",IFERROR(INDEX(프로젝트목록!$B$3:$B$62,MATCH($C2135,프로젝트목록!$A$3:$A$62,0)),"미등록코드"))</f>
        <v/>
      </c>
      <c r="E2135" s="32" t="n"/>
      <c r="F2135" s="38" t="n"/>
      <c r="G2135" s="38" t="n"/>
      <c r="H2135" s="39" t="n"/>
      <c r="I2135" s="40" t="str">
        <f>IF(OR($J2135="",$K2135=""),"",ROUND(MAX(0,($K2135-$J2135)-IF($H2135="",0,$H2135))/60,2))</f>
        <v/>
      </c>
      <c r="J2135" s="41" t="str">
        <f>IF($F2135="","",IF($F2135&lt;1,ROUND($F2135*1440,0),INT($F2135/100)*60+MOD($F2135,100)))</f>
        <v/>
      </c>
      <c r="K2135" s="41" t="str">
        <f>IF($G2135="","",IF($G2135&lt;1,ROUND($G2135*1440,0),INT($G2135/100)*60+MOD($G2135,100)))</f>
        <v/>
      </c>
    </row>
    <row r="2136" ht="15" customHeight="1" s="26">
      <c r="A2136" s="34" t="n"/>
      <c r="B2136" s="32" t="n"/>
      <c r="C2136" s="33" t="n"/>
      <c r="D2136" s="37" t="str">
        <f>IF($C2136="","",IFERROR(INDEX(프로젝트목록!$B$3:$B$62,MATCH($C2136,프로젝트목록!$A$3:$A$62,0)),"미등록코드"))</f>
        <v/>
      </c>
      <c r="E2136" s="32" t="n"/>
      <c r="F2136" s="38" t="n"/>
      <c r="G2136" s="38" t="n"/>
      <c r="H2136" s="39" t="n"/>
      <c r="I2136" s="40" t="str">
        <f>IF(OR($J2136="",$K2136=""),"",ROUND(MAX(0,($K2136-$J2136)-IF($H2136="",0,$H2136))/60,2))</f>
        <v/>
      </c>
      <c r="J2136" s="41" t="str">
        <f>IF($F2136="","",IF($F2136&lt;1,ROUND($F2136*1440,0),INT($F2136/100)*60+MOD($F2136,100)))</f>
        <v/>
      </c>
      <c r="K2136" s="41" t="str">
        <f>IF($G2136="","",IF($G2136&lt;1,ROUND($G2136*1440,0),INT($G2136/100)*60+MOD($G2136,100)))</f>
        <v/>
      </c>
    </row>
    <row r="2137" ht="15" customHeight="1" s="26">
      <c r="A2137" s="34" t="n"/>
      <c r="B2137" s="32" t="n"/>
      <c r="C2137" s="33" t="n"/>
      <c r="D2137" s="37" t="str">
        <f>IF($C2137="","",IFERROR(INDEX(프로젝트목록!$B$3:$B$62,MATCH($C2137,프로젝트목록!$A$3:$A$62,0)),"미등록코드"))</f>
        <v/>
      </c>
      <c r="E2137" s="32" t="n"/>
      <c r="F2137" s="38" t="n"/>
      <c r="G2137" s="38" t="n"/>
      <c r="H2137" s="39" t="n"/>
      <c r="I2137" s="40" t="str">
        <f>IF(OR($J2137="",$K2137=""),"",ROUND(MAX(0,($K2137-$J2137)-IF($H2137="",0,$H2137))/60,2))</f>
        <v/>
      </c>
      <c r="J2137" s="41" t="str">
        <f>IF($F2137="","",IF($F2137&lt;1,ROUND($F2137*1440,0),INT($F2137/100)*60+MOD($F2137,100)))</f>
        <v/>
      </c>
      <c r="K2137" s="41" t="str">
        <f>IF($G2137="","",IF($G2137&lt;1,ROUND($G2137*1440,0),INT($G2137/100)*60+MOD($G2137,100)))</f>
        <v/>
      </c>
    </row>
    <row r="2138" ht="15" customHeight="1" s="26">
      <c r="A2138" s="34" t="n"/>
      <c r="B2138" s="32" t="n"/>
      <c r="C2138" s="33" t="n"/>
      <c r="D2138" s="37" t="str">
        <f>IF($C2138="","",IFERROR(INDEX(프로젝트목록!$B$3:$B$62,MATCH($C2138,프로젝트목록!$A$3:$A$62,0)),"미등록코드"))</f>
        <v/>
      </c>
      <c r="E2138" s="32" t="n"/>
      <c r="F2138" s="38" t="n"/>
      <c r="G2138" s="38" t="n"/>
      <c r="H2138" s="39" t="n"/>
      <c r="I2138" s="40" t="str">
        <f>IF(OR($J2138="",$K2138=""),"",ROUND(MAX(0,($K2138-$J2138)-IF($H2138="",0,$H2138))/60,2))</f>
        <v/>
      </c>
      <c r="J2138" s="41" t="str">
        <f>IF($F2138="","",IF($F2138&lt;1,ROUND($F2138*1440,0),INT($F2138/100)*60+MOD($F2138,100)))</f>
        <v/>
      </c>
      <c r="K2138" s="41" t="str">
        <f>IF($G2138="","",IF($G2138&lt;1,ROUND($G2138*1440,0),INT($G2138/100)*60+MOD($G2138,100)))</f>
        <v/>
      </c>
    </row>
    <row r="2139" ht="15" customHeight="1" s="26">
      <c r="A2139" s="34" t="n"/>
      <c r="B2139" s="32" t="n"/>
      <c r="C2139" s="33" t="n"/>
      <c r="D2139" s="37" t="str">
        <f>IF($C2139="","",IFERROR(INDEX(프로젝트목록!$B$3:$B$62,MATCH($C2139,프로젝트목록!$A$3:$A$62,0)),"미등록코드"))</f>
        <v/>
      </c>
      <c r="E2139" s="32" t="n"/>
      <c r="F2139" s="38" t="n"/>
      <c r="G2139" s="38" t="n"/>
      <c r="H2139" s="39" t="n"/>
      <c r="I2139" s="40" t="str">
        <f>IF(OR($J2139="",$K2139=""),"",ROUND(MAX(0,($K2139-$J2139)-IF($H2139="",0,$H2139))/60,2))</f>
        <v/>
      </c>
      <c r="J2139" s="41" t="str">
        <f>IF($F2139="","",IF($F2139&lt;1,ROUND($F2139*1440,0),INT($F2139/100)*60+MOD($F2139,100)))</f>
        <v/>
      </c>
      <c r="K2139" s="41" t="str">
        <f>IF($G2139="","",IF($G2139&lt;1,ROUND($G2139*1440,0),INT($G2139/100)*60+MOD($G2139,100)))</f>
        <v/>
      </c>
    </row>
    <row r="2140" ht="15" customHeight="1" s="26">
      <c r="A2140" s="34" t="n"/>
      <c r="B2140" s="32" t="n"/>
      <c r="C2140" s="33" t="n"/>
      <c r="D2140" s="37" t="str">
        <f>IF($C2140="","",IFERROR(INDEX(프로젝트목록!$B$3:$B$62,MATCH($C2140,프로젝트목록!$A$3:$A$62,0)),"미등록코드"))</f>
        <v/>
      </c>
      <c r="E2140" s="32" t="n"/>
      <c r="F2140" s="38" t="n"/>
      <c r="G2140" s="38" t="n"/>
      <c r="H2140" s="39" t="n"/>
      <c r="I2140" s="40" t="str">
        <f>IF(OR($J2140="",$K2140=""),"",ROUND(MAX(0,($K2140-$J2140)-IF($H2140="",0,$H2140))/60,2))</f>
        <v/>
      </c>
      <c r="J2140" s="41" t="str">
        <f>IF($F2140="","",IF($F2140&lt;1,ROUND($F2140*1440,0),INT($F2140/100)*60+MOD($F2140,100)))</f>
        <v/>
      </c>
      <c r="K2140" s="41" t="str">
        <f>IF($G2140="","",IF($G2140&lt;1,ROUND($G2140*1440,0),INT($G2140/100)*60+MOD($G2140,100)))</f>
        <v/>
      </c>
    </row>
    <row r="2141" ht="15" customHeight="1" s="26">
      <c r="A2141" s="34" t="n"/>
      <c r="B2141" s="32" t="n"/>
      <c r="C2141" s="33" t="n"/>
      <c r="D2141" s="37" t="str">
        <f>IF($C2141="","",IFERROR(INDEX(프로젝트목록!$B$3:$B$62,MATCH($C2141,프로젝트목록!$A$3:$A$62,0)),"미등록코드"))</f>
        <v/>
      </c>
      <c r="E2141" s="32" t="n"/>
      <c r="F2141" s="38" t="n"/>
      <c r="G2141" s="38" t="n"/>
      <c r="H2141" s="39" t="n"/>
      <c r="I2141" s="40" t="str">
        <f>IF(OR($J2141="",$K2141=""),"",ROUND(MAX(0,($K2141-$J2141)-IF($H2141="",0,$H2141))/60,2))</f>
        <v/>
      </c>
      <c r="J2141" s="41" t="str">
        <f>IF($F2141="","",IF($F2141&lt;1,ROUND($F2141*1440,0),INT($F2141/100)*60+MOD($F2141,100)))</f>
        <v/>
      </c>
      <c r="K2141" s="41" t="str">
        <f>IF($G2141="","",IF($G2141&lt;1,ROUND($G2141*1440,0),INT($G2141/100)*60+MOD($G2141,100)))</f>
        <v/>
      </c>
    </row>
    <row r="2142" ht="15" customHeight="1" s="26">
      <c r="A2142" s="34" t="n"/>
      <c r="B2142" s="32" t="n"/>
      <c r="C2142" s="33" t="n"/>
      <c r="D2142" s="37" t="str">
        <f>IF($C2142="","",IFERROR(INDEX(프로젝트목록!$B$3:$B$62,MATCH($C2142,프로젝트목록!$A$3:$A$62,0)),"미등록코드"))</f>
        <v/>
      </c>
      <c r="E2142" s="32" t="n"/>
      <c r="F2142" s="38" t="n"/>
      <c r="G2142" s="38" t="n"/>
      <c r="H2142" s="39" t="n"/>
      <c r="I2142" s="40" t="str">
        <f>IF(OR($J2142="",$K2142=""),"",ROUND(MAX(0,($K2142-$J2142)-IF($H2142="",0,$H2142))/60,2))</f>
        <v/>
      </c>
      <c r="J2142" s="41" t="str">
        <f>IF($F2142="","",IF($F2142&lt;1,ROUND($F2142*1440,0),INT($F2142/100)*60+MOD($F2142,100)))</f>
        <v/>
      </c>
      <c r="K2142" s="41" t="str">
        <f>IF($G2142="","",IF($G2142&lt;1,ROUND($G2142*1440,0),INT($G2142/100)*60+MOD($G2142,100)))</f>
        <v/>
      </c>
    </row>
    <row r="2143" ht="15" customHeight="1" s="26">
      <c r="A2143" s="34" t="n"/>
      <c r="B2143" s="32" t="n"/>
      <c r="C2143" s="33" t="n"/>
      <c r="D2143" s="37" t="str">
        <f>IF($C2143="","",IFERROR(INDEX(프로젝트목록!$B$3:$B$62,MATCH($C2143,프로젝트목록!$A$3:$A$62,0)),"미등록코드"))</f>
        <v/>
      </c>
      <c r="E2143" s="32" t="n"/>
      <c r="F2143" s="38" t="n"/>
      <c r="G2143" s="38" t="n"/>
      <c r="H2143" s="39" t="n"/>
      <c r="I2143" s="40" t="str">
        <f>IF(OR($J2143="",$K2143=""),"",ROUND(MAX(0,($K2143-$J2143)-IF($H2143="",0,$H2143))/60,2))</f>
        <v/>
      </c>
      <c r="J2143" s="41" t="str">
        <f>IF($F2143="","",IF($F2143&lt;1,ROUND($F2143*1440,0),INT($F2143/100)*60+MOD($F2143,100)))</f>
        <v/>
      </c>
      <c r="K2143" s="41" t="str">
        <f>IF($G2143="","",IF($G2143&lt;1,ROUND($G2143*1440,0),INT($G2143/100)*60+MOD($G2143,100)))</f>
        <v/>
      </c>
    </row>
    <row r="2144" ht="15" customHeight="1" s="26">
      <c r="A2144" s="34" t="n"/>
      <c r="B2144" s="32" t="n"/>
      <c r="C2144" s="33" t="n"/>
      <c r="D2144" s="37" t="str">
        <f>IF($C2144="","",IFERROR(INDEX(프로젝트목록!$B$3:$B$62,MATCH($C2144,프로젝트목록!$A$3:$A$62,0)),"미등록코드"))</f>
        <v/>
      </c>
      <c r="E2144" s="32" t="n"/>
      <c r="F2144" s="38" t="n"/>
      <c r="G2144" s="38" t="n"/>
      <c r="H2144" s="39" t="n"/>
      <c r="I2144" s="40" t="str">
        <f>IF(OR($J2144="",$K2144=""),"",ROUND(MAX(0,($K2144-$J2144)-IF($H2144="",0,$H2144))/60,2))</f>
        <v/>
      </c>
      <c r="J2144" s="41" t="str">
        <f>IF($F2144="","",IF($F2144&lt;1,ROUND($F2144*1440,0),INT($F2144/100)*60+MOD($F2144,100)))</f>
        <v/>
      </c>
      <c r="K2144" s="41" t="str">
        <f>IF($G2144="","",IF($G2144&lt;1,ROUND($G2144*1440,0),INT($G2144/100)*60+MOD($G2144,100)))</f>
        <v/>
      </c>
    </row>
    <row r="2145" ht="15" customHeight="1" s="26">
      <c r="A2145" s="34" t="n"/>
      <c r="B2145" s="32" t="n"/>
      <c r="C2145" s="33" t="n"/>
      <c r="D2145" s="37" t="str">
        <f>IF($C2145="","",IFERROR(INDEX(프로젝트목록!$B$3:$B$62,MATCH($C2145,프로젝트목록!$A$3:$A$62,0)),"미등록코드"))</f>
        <v/>
      </c>
      <c r="E2145" s="32" t="n"/>
      <c r="F2145" s="38" t="n"/>
      <c r="G2145" s="38" t="n"/>
      <c r="H2145" s="39" t="n"/>
      <c r="I2145" s="40" t="str">
        <f>IF(OR($J2145="",$K2145=""),"",ROUND(MAX(0,($K2145-$J2145)-IF($H2145="",0,$H2145))/60,2))</f>
        <v/>
      </c>
      <c r="J2145" s="41" t="str">
        <f>IF($F2145="","",IF($F2145&lt;1,ROUND($F2145*1440,0),INT($F2145/100)*60+MOD($F2145,100)))</f>
        <v/>
      </c>
      <c r="K2145" s="41" t="str">
        <f>IF($G2145="","",IF($G2145&lt;1,ROUND($G2145*1440,0),INT($G2145/100)*60+MOD($G2145,100)))</f>
        <v/>
      </c>
    </row>
    <row r="2146" ht="15" customHeight="1" s="26">
      <c r="A2146" s="34" t="n"/>
      <c r="B2146" s="32" t="n"/>
      <c r="C2146" s="33" t="n"/>
      <c r="D2146" s="37" t="str">
        <f>IF($C2146="","",IFERROR(INDEX(프로젝트목록!$B$3:$B$62,MATCH($C2146,프로젝트목록!$A$3:$A$62,0)),"미등록코드"))</f>
        <v/>
      </c>
      <c r="E2146" s="32" t="n"/>
      <c r="F2146" s="38" t="n"/>
      <c r="G2146" s="38" t="n"/>
      <c r="H2146" s="39" t="n"/>
      <c r="I2146" s="40" t="str">
        <f>IF(OR($J2146="",$K2146=""),"",ROUND(MAX(0,($K2146-$J2146)-IF($H2146="",0,$H2146))/60,2))</f>
        <v/>
      </c>
      <c r="J2146" s="41" t="str">
        <f>IF($F2146="","",IF($F2146&lt;1,ROUND($F2146*1440,0),INT($F2146/100)*60+MOD($F2146,100)))</f>
        <v/>
      </c>
      <c r="K2146" s="41" t="str">
        <f>IF($G2146="","",IF($G2146&lt;1,ROUND($G2146*1440,0),INT($G2146/100)*60+MOD($G2146,100)))</f>
        <v/>
      </c>
    </row>
    <row r="2147" ht="15" customHeight="1" s="26">
      <c r="A2147" s="34" t="n"/>
      <c r="B2147" s="32" t="n"/>
      <c r="C2147" s="33" t="n"/>
      <c r="D2147" s="37" t="str">
        <f>IF($C2147="","",IFERROR(INDEX(프로젝트목록!$B$3:$B$62,MATCH($C2147,프로젝트목록!$A$3:$A$62,0)),"미등록코드"))</f>
        <v/>
      </c>
      <c r="E2147" s="32" t="n"/>
      <c r="F2147" s="38" t="n"/>
      <c r="G2147" s="38" t="n"/>
      <c r="H2147" s="39" t="n"/>
      <c r="I2147" s="40" t="str">
        <f>IF(OR($J2147="",$K2147=""),"",ROUND(MAX(0,($K2147-$J2147)-IF($H2147="",0,$H2147))/60,2))</f>
        <v/>
      </c>
      <c r="J2147" s="41" t="str">
        <f>IF($F2147="","",IF($F2147&lt;1,ROUND($F2147*1440,0),INT($F2147/100)*60+MOD($F2147,100)))</f>
        <v/>
      </c>
      <c r="K2147" s="41" t="str">
        <f>IF($G2147="","",IF($G2147&lt;1,ROUND($G2147*1440,0),INT($G2147/100)*60+MOD($G2147,100)))</f>
        <v/>
      </c>
    </row>
    <row r="2148" ht="15" customHeight="1" s="26">
      <c r="A2148" s="34" t="n"/>
      <c r="B2148" s="32" t="n"/>
      <c r="C2148" s="33" t="n"/>
      <c r="D2148" s="37" t="str">
        <f>IF($C2148="","",IFERROR(INDEX(프로젝트목록!$B$3:$B$62,MATCH($C2148,프로젝트목록!$A$3:$A$62,0)),"미등록코드"))</f>
        <v/>
      </c>
      <c r="E2148" s="32" t="n"/>
      <c r="F2148" s="38" t="n"/>
      <c r="G2148" s="38" t="n"/>
      <c r="H2148" s="39" t="n"/>
      <c r="I2148" s="40" t="str">
        <f>IF(OR($J2148="",$K2148=""),"",ROUND(MAX(0,($K2148-$J2148)-IF($H2148="",0,$H2148))/60,2))</f>
        <v/>
      </c>
      <c r="J2148" s="41" t="str">
        <f>IF($F2148="","",IF($F2148&lt;1,ROUND($F2148*1440,0),INT($F2148/100)*60+MOD($F2148,100)))</f>
        <v/>
      </c>
      <c r="K2148" s="41" t="str">
        <f>IF($G2148="","",IF($G2148&lt;1,ROUND($G2148*1440,0),INT($G2148/100)*60+MOD($G2148,100)))</f>
        <v/>
      </c>
    </row>
    <row r="2149" ht="15" customHeight="1" s="26">
      <c r="A2149" s="34" t="n"/>
      <c r="B2149" s="32" t="n"/>
      <c r="C2149" s="33" t="n"/>
      <c r="D2149" s="37" t="str">
        <f>IF($C2149="","",IFERROR(INDEX(프로젝트목록!$B$3:$B$62,MATCH($C2149,프로젝트목록!$A$3:$A$62,0)),"미등록코드"))</f>
        <v/>
      </c>
      <c r="E2149" s="32" t="n"/>
      <c r="F2149" s="38" t="n"/>
      <c r="G2149" s="38" t="n"/>
      <c r="H2149" s="39" t="n"/>
      <c r="I2149" s="40" t="str">
        <f>IF(OR($J2149="",$K2149=""),"",ROUND(MAX(0,($K2149-$J2149)-IF($H2149="",0,$H2149))/60,2))</f>
        <v/>
      </c>
      <c r="J2149" s="41" t="str">
        <f>IF($F2149="","",IF($F2149&lt;1,ROUND($F2149*1440,0),INT($F2149/100)*60+MOD($F2149,100)))</f>
        <v/>
      </c>
      <c r="K2149" s="41" t="str">
        <f>IF($G2149="","",IF($G2149&lt;1,ROUND($G2149*1440,0),INT($G2149/100)*60+MOD($G2149,100)))</f>
        <v/>
      </c>
    </row>
    <row r="2150" ht="15" customHeight="1" s="26">
      <c r="A2150" s="34" t="n"/>
      <c r="B2150" s="32" t="n"/>
      <c r="C2150" s="33" t="n"/>
      <c r="D2150" s="37" t="str">
        <f>IF($C2150="","",IFERROR(INDEX(프로젝트목록!$B$3:$B$62,MATCH($C2150,프로젝트목록!$A$3:$A$62,0)),"미등록코드"))</f>
        <v/>
      </c>
      <c r="E2150" s="32" t="n"/>
      <c r="F2150" s="38" t="n"/>
      <c r="G2150" s="38" t="n"/>
      <c r="H2150" s="39" t="n"/>
      <c r="I2150" s="40" t="str">
        <f>IF(OR($J2150="",$K2150=""),"",ROUND(MAX(0,($K2150-$J2150)-IF($H2150="",0,$H2150))/60,2))</f>
        <v/>
      </c>
      <c r="J2150" s="41" t="str">
        <f>IF($F2150="","",IF($F2150&lt;1,ROUND($F2150*1440,0),INT($F2150/100)*60+MOD($F2150,100)))</f>
        <v/>
      </c>
      <c r="K2150" s="41" t="str">
        <f>IF($G2150="","",IF($G2150&lt;1,ROUND($G2150*1440,0),INT($G2150/100)*60+MOD($G2150,100)))</f>
        <v/>
      </c>
    </row>
    <row r="2151" ht="15" customHeight="1" s="26">
      <c r="A2151" s="34" t="n"/>
      <c r="B2151" s="32" t="n"/>
      <c r="C2151" s="33" t="n"/>
      <c r="D2151" s="37" t="str">
        <f>IF($C2151="","",IFERROR(INDEX(프로젝트목록!$B$3:$B$62,MATCH($C2151,프로젝트목록!$A$3:$A$62,0)),"미등록코드"))</f>
        <v/>
      </c>
      <c r="E2151" s="32" t="n"/>
      <c r="F2151" s="38" t="n"/>
      <c r="G2151" s="38" t="n"/>
      <c r="H2151" s="39" t="n"/>
      <c r="I2151" s="40" t="str">
        <f>IF(OR($J2151="",$K2151=""),"",ROUND(MAX(0,($K2151-$J2151)-IF($H2151="",0,$H2151))/60,2))</f>
        <v/>
      </c>
      <c r="J2151" s="41" t="str">
        <f>IF($F2151="","",IF($F2151&lt;1,ROUND($F2151*1440,0),INT($F2151/100)*60+MOD($F2151,100)))</f>
        <v/>
      </c>
      <c r="K2151" s="41" t="str">
        <f>IF($G2151="","",IF($G2151&lt;1,ROUND($G2151*1440,0),INT($G2151/100)*60+MOD($G2151,100)))</f>
        <v/>
      </c>
    </row>
    <row r="2152" ht="15" customHeight="1" s="26">
      <c r="A2152" s="34" t="n"/>
      <c r="B2152" s="32" t="n"/>
      <c r="C2152" s="33" t="n"/>
      <c r="D2152" s="37" t="str">
        <f>IF($C2152="","",IFERROR(INDEX(프로젝트목록!$B$3:$B$62,MATCH($C2152,프로젝트목록!$A$3:$A$62,0)),"미등록코드"))</f>
        <v/>
      </c>
      <c r="E2152" s="32" t="n"/>
      <c r="F2152" s="38" t="n"/>
      <c r="G2152" s="38" t="n"/>
      <c r="H2152" s="39" t="n"/>
      <c r="I2152" s="40" t="str">
        <f>IF(OR($J2152="",$K2152=""),"",ROUND(MAX(0,($K2152-$J2152)-IF($H2152="",0,$H2152))/60,2))</f>
        <v/>
      </c>
      <c r="J2152" s="41" t="str">
        <f>IF($F2152="","",IF($F2152&lt;1,ROUND($F2152*1440,0),INT($F2152/100)*60+MOD($F2152,100)))</f>
        <v/>
      </c>
      <c r="K2152" s="41" t="str">
        <f>IF($G2152="","",IF($G2152&lt;1,ROUND($G2152*1440,0),INT($G2152/100)*60+MOD($G2152,100)))</f>
        <v/>
      </c>
    </row>
    <row r="2153" ht="15" customHeight="1" s="26">
      <c r="A2153" s="34" t="n"/>
      <c r="B2153" s="32" t="n"/>
      <c r="C2153" s="33" t="n"/>
      <c r="D2153" s="37" t="str">
        <f>IF($C2153="","",IFERROR(INDEX(프로젝트목록!$B$3:$B$62,MATCH($C2153,프로젝트목록!$A$3:$A$62,0)),"미등록코드"))</f>
        <v/>
      </c>
      <c r="E2153" s="32" t="n"/>
      <c r="F2153" s="38" t="n"/>
      <c r="G2153" s="38" t="n"/>
      <c r="H2153" s="39" t="n"/>
      <c r="I2153" s="40" t="str">
        <f>IF(OR($J2153="",$K2153=""),"",ROUND(MAX(0,($K2153-$J2153)-IF($H2153="",0,$H2153))/60,2))</f>
        <v/>
      </c>
      <c r="J2153" s="41" t="str">
        <f>IF($F2153="","",IF($F2153&lt;1,ROUND($F2153*1440,0),INT($F2153/100)*60+MOD($F2153,100)))</f>
        <v/>
      </c>
      <c r="K2153" s="41" t="str">
        <f>IF($G2153="","",IF($G2153&lt;1,ROUND($G2153*1440,0),INT($G2153/100)*60+MOD($G2153,100)))</f>
        <v/>
      </c>
    </row>
    <row r="2154" ht="15" customHeight="1" s="26">
      <c r="A2154" s="34" t="n"/>
      <c r="B2154" s="32" t="n"/>
      <c r="C2154" s="33" t="n"/>
      <c r="D2154" s="37" t="str">
        <f>IF($C2154="","",IFERROR(INDEX(프로젝트목록!$B$3:$B$62,MATCH($C2154,프로젝트목록!$A$3:$A$62,0)),"미등록코드"))</f>
        <v/>
      </c>
      <c r="E2154" s="32" t="n"/>
      <c r="F2154" s="38" t="n"/>
      <c r="G2154" s="38" t="n"/>
      <c r="H2154" s="39" t="n"/>
      <c r="I2154" s="40" t="str">
        <f>IF(OR($J2154="",$K2154=""),"",ROUND(MAX(0,($K2154-$J2154)-IF($H2154="",0,$H2154))/60,2))</f>
        <v/>
      </c>
      <c r="J2154" s="41" t="str">
        <f>IF($F2154="","",IF($F2154&lt;1,ROUND($F2154*1440,0),INT($F2154/100)*60+MOD($F2154,100)))</f>
        <v/>
      </c>
      <c r="K2154" s="41" t="str">
        <f>IF($G2154="","",IF($G2154&lt;1,ROUND($G2154*1440,0),INT($G2154/100)*60+MOD($G2154,100)))</f>
        <v/>
      </c>
    </row>
    <row r="2155" ht="15" customHeight="1" s="26">
      <c r="A2155" s="34" t="n"/>
      <c r="B2155" s="32" t="n"/>
      <c r="C2155" s="33" t="n"/>
      <c r="D2155" s="37" t="str">
        <f>IF($C2155="","",IFERROR(INDEX(프로젝트목록!$B$3:$B$62,MATCH($C2155,프로젝트목록!$A$3:$A$62,0)),"미등록코드"))</f>
        <v/>
      </c>
      <c r="E2155" s="32" t="n"/>
      <c r="F2155" s="38" t="n"/>
      <c r="G2155" s="38" t="n"/>
      <c r="H2155" s="39" t="n"/>
      <c r="I2155" s="40" t="str">
        <f>IF(OR($J2155="",$K2155=""),"",ROUND(MAX(0,($K2155-$J2155)-IF($H2155="",0,$H2155))/60,2))</f>
        <v/>
      </c>
      <c r="J2155" s="41" t="str">
        <f>IF($F2155="","",IF($F2155&lt;1,ROUND($F2155*1440,0),INT($F2155/100)*60+MOD($F2155,100)))</f>
        <v/>
      </c>
      <c r="K2155" s="41" t="str">
        <f>IF($G2155="","",IF($G2155&lt;1,ROUND($G2155*1440,0),INT($G2155/100)*60+MOD($G2155,100)))</f>
        <v/>
      </c>
    </row>
    <row r="2156" ht="15" customHeight="1" s="26">
      <c r="A2156" s="34" t="n"/>
      <c r="B2156" s="32" t="n"/>
      <c r="C2156" s="33" t="n"/>
      <c r="D2156" s="37" t="str">
        <f>IF($C2156="","",IFERROR(INDEX(프로젝트목록!$B$3:$B$62,MATCH($C2156,프로젝트목록!$A$3:$A$62,0)),"미등록코드"))</f>
        <v/>
      </c>
      <c r="E2156" s="32" t="n"/>
      <c r="F2156" s="38" t="n"/>
      <c r="G2156" s="38" t="n"/>
      <c r="H2156" s="39" t="n"/>
      <c r="I2156" s="40" t="str">
        <f>IF(OR($J2156="",$K2156=""),"",ROUND(MAX(0,($K2156-$J2156)-IF($H2156="",0,$H2156))/60,2))</f>
        <v/>
      </c>
      <c r="J2156" s="41" t="str">
        <f>IF($F2156="","",IF($F2156&lt;1,ROUND($F2156*1440,0),INT($F2156/100)*60+MOD($F2156,100)))</f>
        <v/>
      </c>
      <c r="K2156" s="41" t="str">
        <f>IF($G2156="","",IF($G2156&lt;1,ROUND($G2156*1440,0),INT($G2156/100)*60+MOD($G2156,100)))</f>
        <v/>
      </c>
    </row>
    <row r="2157" ht="15" customHeight="1" s="26">
      <c r="A2157" s="34" t="n"/>
      <c r="B2157" s="32" t="n"/>
      <c r="C2157" s="33" t="n"/>
      <c r="D2157" s="37" t="str">
        <f>IF($C2157="","",IFERROR(INDEX(프로젝트목록!$B$3:$B$62,MATCH($C2157,프로젝트목록!$A$3:$A$62,0)),"미등록코드"))</f>
        <v/>
      </c>
      <c r="E2157" s="32" t="n"/>
      <c r="F2157" s="38" t="n"/>
      <c r="G2157" s="38" t="n"/>
      <c r="H2157" s="39" t="n"/>
      <c r="I2157" s="40" t="str">
        <f>IF(OR($J2157="",$K2157=""),"",ROUND(MAX(0,($K2157-$J2157)-IF($H2157="",0,$H2157))/60,2))</f>
        <v/>
      </c>
      <c r="J2157" s="41" t="str">
        <f>IF($F2157="","",IF($F2157&lt;1,ROUND($F2157*1440,0),INT($F2157/100)*60+MOD($F2157,100)))</f>
        <v/>
      </c>
      <c r="K2157" s="41" t="str">
        <f>IF($G2157="","",IF($G2157&lt;1,ROUND($G2157*1440,0),INT($G2157/100)*60+MOD($G2157,100)))</f>
        <v/>
      </c>
    </row>
    <row r="2158" ht="15" customHeight="1" s="26">
      <c r="A2158" s="34" t="n"/>
      <c r="B2158" s="32" t="n"/>
      <c r="C2158" s="33" t="n"/>
      <c r="D2158" s="37" t="str">
        <f>IF($C2158="","",IFERROR(INDEX(프로젝트목록!$B$3:$B$62,MATCH($C2158,프로젝트목록!$A$3:$A$62,0)),"미등록코드"))</f>
        <v/>
      </c>
      <c r="E2158" s="32" t="n"/>
      <c r="F2158" s="38" t="n"/>
      <c r="G2158" s="38" t="n"/>
      <c r="H2158" s="39" t="n"/>
      <c r="I2158" s="40" t="str">
        <f>IF(OR($J2158="",$K2158=""),"",ROUND(MAX(0,($K2158-$J2158)-IF($H2158="",0,$H2158))/60,2))</f>
        <v/>
      </c>
      <c r="J2158" s="41" t="str">
        <f>IF($F2158="","",IF($F2158&lt;1,ROUND($F2158*1440,0),INT($F2158/100)*60+MOD($F2158,100)))</f>
        <v/>
      </c>
      <c r="K2158" s="41" t="str">
        <f>IF($G2158="","",IF($G2158&lt;1,ROUND($G2158*1440,0),INT($G2158/100)*60+MOD($G2158,100)))</f>
        <v/>
      </c>
    </row>
    <row r="2159" ht="15" customHeight="1" s="26">
      <c r="A2159" s="34" t="n"/>
      <c r="B2159" s="32" t="n"/>
      <c r="C2159" s="33" t="n"/>
      <c r="D2159" s="37" t="str">
        <f>IF($C2159="","",IFERROR(INDEX(프로젝트목록!$B$3:$B$62,MATCH($C2159,프로젝트목록!$A$3:$A$62,0)),"미등록코드"))</f>
        <v/>
      </c>
      <c r="E2159" s="32" t="n"/>
      <c r="F2159" s="38" t="n"/>
      <c r="G2159" s="38" t="n"/>
      <c r="H2159" s="39" t="n"/>
      <c r="I2159" s="40" t="str">
        <f>IF(OR($J2159="",$K2159=""),"",ROUND(MAX(0,($K2159-$J2159)-IF($H2159="",0,$H2159))/60,2))</f>
        <v/>
      </c>
      <c r="J2159" s="41" t="str">
        <f>IF($F2159="","",IF($F2159&lt;1,ROUND($F2159*1440,0),INT($F2159/100)*60+MOD($F2159,100)))</f>
        <v/>
      </c>
      <c r="K2159" s="41" t="str">
        <f>IF($G2159="","",IF($G2159&lt;1,ROUND($G2159*1440,0),INT($G2159/100)*60+MOD($G2159,100)))</f>
        <v/>
      </c>
    </row>
    <row r="2160" ht="15" customHeight="1" s="26">
      <c r="A2160" s="34" t="n"/>
      <c r="B2160" s="32" t="n"/>
      <c r="C2160" s="33" t="n"/>
      <c r="D2160" s="37" t="str">
        <f>IF($C2160="","",IFERROR(INDEX(프로젝트목록!$B$3:$B$62,MATCH($C2160,프로젝트목록!$A$3:$A$62,0)),"미등록코드"))</f>
        <v/>
      </c>
      <c r="E2160" s="32" t="n"/>
      <c r="F2160" s="38" t="n"/>
      <c r="G2160" s="38" t="n"/>
      <c r="H2160" s="39" t="n"/>
      <c r="I2160" s="40" t="str">
        <f>IF(OR($J2160="",$K2160=""),"",ROUND(MAX(0,($K2160-$J2160)-IF($H2160="",0,$H2160))/60,2))</f>
        <v/>
      </c>
      <c r="J2160" s="41" t="str">
        <f>IF($F2160="","",IF($F2160&lt;1,ROUND($F2160*1440,0),INT($F2160/100)*60+MOD($F2160,100)))</f>
        <v/>
      </c>
      <c r="K2160" s="41" t="str">
        <f>IF($G2160="","",IF($G2160&lt;1,ROUND($G2160*1440,0),INT($G2160/100)*60+MOD($G2160,100)))</f>
        <v/>
      </c>
    </row>
    <row r="2161" ht="15" customHeight="1" s="26">
      <c r="A2161" s="34" t="n"/>
      <c r="B2161" s="32" t="n"/>
      <c r="C2161" s="33" t="n"/>
      <c r="D2161" s="37" t="str">
        <f>IF($C2161="","",IFERROR(INDEX(프로젝트목록!$B$3:$B$62,MATCH($C2161,프로젝트목록!$A$3:$A$62,0)),"미등록코드"))</f>
        <v/>
      </c>
      <c r="E2161" s="32" t="n"/>
      <c r="F2161" s="38" t="n"/>
      <c r="G2161" s="38" t="n"/>
      <c r="H2161" s="39" t="n"/>
      <c r="I2161" s="40" t="str">
        <f>IF(OR($J2161="",$K2161=""),"",ROUND(MAX(0,($K2161-$J2161)-IF($H2161="",0,$H2161))/60,2))</f>
        <v/>
      </c>
      <c r="J2161" s="41" t="str">
        <f>IF($F2161="","",IF($F2161&lt;1,ROUND($F2161*1440,0),INT($F2161/100)*60+MOD($F2161,100)))</f>
        <v/>
      </c>
      <c r="K2161" s="41" t="str">
        <f>IF($G2161="","",IF($G2161&lt;1,ROUND($G2161*1440,0),INT($G2161/100)*60+MOD($G2161,100)))</f>
        <v/>
      </c>
    </row>
    <row r="2162" ht="15" customHeight="1" s="26">
      <c r="A2162" s="34" t="n"/>
      <c r="B2162" s="32" t="n"/>
      <c r="C2162" s="33" t="n"/>
      <c r="D2162" s="37" t="str">
        <f>IF($C2162="","",IFERROR(INDEX(프로젝트목록!$B$3:$B$62,MATCH($C2162,프로젝트목록!$A$3:$A$62,0)),"미등록코드"))</f>
        <v/>
      </c>
      <c r="E2162" s="32" t="n"/>
      <c r="F2162" s="38" t="n"/>
      <c r="G2162" s="38" t="n"/>
      <c r="H2162" s="39" t="n"/>
      <c r="I2162" s="40" t="str">
        <f>IF(OR($J2162="",$K2162=""),"",ROUND(MAX(0,($K2162-$J2162)-IF($H2162="",0,$H2162))/60,2))</f>
        <v/>
      </c>
      <c r="J2162" s="41" t="str">
        <f>IF($F2162="","",IF($F2162&lt;1,ROUND($F2162*1440,0),INT($F2162/100)*60+MOD($F2162,100)))</f>
        <v/>
      </c>
      <c r="K2162" s="41" t="str">
        <f>IF($G2162="","",IF($G2162&lt;1,ROUND($G2162*1440,0),INT($G2162/100)*60+MOD($G2162,100)))</f>
        <v/>
      </c>
    </row>
    <row r="2163" ht="15" customHeight="1" s="26">
      <c r="A2163" s="34" t="n"/>
      <c r="B2163" s="32" t="n"/>
      <c r="C2163" s="33" t="n"/>
      <c r="D2163" s="37" t="str">
        <f>IF($C2163="","",IFERROR(INDEX(프로젝트목록!$B$3:$B$62,MATCH($C2163,프로젝트목록!$A$3:$A$62,0)),"미등록코드"))</f>
        <v/>
      </c>
      <c r="E2163" s="32" t="n"/>
      <c r="F2163" s="38" t="n"/>
      <c r="G2163" s="38" t="n"/>
      <c r="H2163" s="39" t="n"/>
      <c r="I2163" s="40" t="str">
        <f>IF(OR($J2163="",$K2163=""),"",ROUND(MAX(0,($K2163-$J2163)-IF($H2163="",0,$H2163))/60,2))</f>
        <v/>
      </c>
      <c r="J2163" s="41" t="str">
        <f>IF($F2163="","",IF($F2163&lt;1,ROUND($F2163*1440,0),INT($F2163/100)*60+MOD($F2163,100)))</f>
        <v/>
      </c>
      <c r="K2163" s="41" t="str">
        <f>IF($G2163="","",IF($G2163&lt;1,ROUND($G2163*1440,0),INT($G2163/100)*60+MOD($G2163,100)))</f>
        <v/>
      </c>
    </row>
    <row r="2164" ht="15" customHeight="1" s="26">
      <c r="A2164" s="34" t="n"/>
      <c r="B2164" s="32" t="n"/>
      <c r="C2164" s="33" t="n"/>
      <c r="D2164" s="37" t="str">
        <f>IF($C2164="","",IFERROR(INDEX(프로젝트목록!$B$3:$B$62,MATCH($C2164,프로젝트목록!$A$3:$A$62,0)),"미등록코드"))</f>
        <v/>
      </c>
      <c r="E2164" s="32" t="n"/>
      <c r="F2164" s="38" t="n"/>
      <c r="G2164" s="38" t="n"/>
      <c r="H2164" s="39" t="n"/>
      <c r="I2164" s="40" t="str">
        <f>IF(OR($J2164="",$K2164=""),"",ROUND(MAX(0,($K2164-$J2164)-IF($H2164="",0,$H2164))/60,2))</f>
        <v/>
      </c>
      <c r="J2164" s="41" t="str">
        <f>IF($F2164="","",IF($F2164&lt;1,ROUND($F2164*1440,0),INT($F2164/100)*60+MOD($F2164,100)))</f>
        <v/>
      </c>
      <c r="K2164" s="41" t="str">
        <f>IF($G2164="","",IF($G2164&lt;1,ROUND($G2164*1440,0),INT($G2164/100)*60+MOD($G2164,100)))</f>
        <v/>
      </c>
    </row>
    <row r="2165" ht="15" customHeight="1" s="26">
      <c r="A2165" s="34" t="n"/>
      <c r="B2165" s="32" t="n"/>
      <c r="C2165" s="33" t="n"/>
      <c r="D2165" s="37" t="str">
        <f>IF($C2165="","",IFERROR(INDEX(프로젝트목록!$B$3:$B$62,MATCH($C2165,프로젝트목록!$A$3:$A$62,0)),"미등록코드"))</f>
        <v/>
      </c>
      <c r="E2165" s="32" t="n"/>
      <c r="F2165" s="38" t="n"/>
      <c r="G2165" s="38" t="n"/>
      <c r="H2165" s="39" t="n"/>
      <c r="I2165" s="40" t="str">
        <f>IF(OR($J2165="",$K2165=""),"",ROUND(MAX(0,($K2165-$J2165)-IF($H2165="",0,$H2165))/60,2))</f>
        <v/>
      </c>
      <c r="J2165" s="41" t="str">
        <f>IF($F2165="","",IF($F2165&lt;1,ROUND($F2165*1440,0),INT($F2165/100)*60+MOD($F2165,100)))</f>
        <v/>
      </c>
      <c r="K2165" s="41" t="str">
        <f>IF($G2165="","",IF($G2165&lt;1,ROUND($G2165*1440,0),INT($G2165/100)*60+MOD($G2165,100)))</f>
        <v/>
      </c>
    </row>
    <row r="2166" ht="15" customHeight="1" s="26">
      <c r="A2166" s="34" t="n"/>
      <c r="B2166" s="32" t="n"/>
      <c r="C2166" s="33" t="n"/>
      <c r="D2166" s="37" t="str">
        <f>IF($C2166="","",IFERROR(INDEX(프로젝트목록!$B$3:$B$62,MATCH($C2166,프로젝트목록!$A$3:$A$62,0)),"미등록코드"))</f>
        <v/>
      </c>
      <c r="E2166" s="32" t="n"/>
      <c r="F2166" s="38" t="n"/>
      <c r="G2166" s="38" t="n"/>
      <c r="H2166" s="39" t="n"/>
      <c r="I2166" s="40" t="str">
        <f>IF(OR($J2166="",$K2166=""),"",ROUND(MAX(0,($K2166-$J2166)-IF($H2166="",0,$H2166))/60,2))</f>
        <v/>
      </c>
      <c r="J2166" s="41" t="str">
        <f>IF($F2166="","",IF($F2166&lt;1,ROUND($F2166*1440,0),INT($F2166/100)*60+MOD($F2166,100)))</f>
        <v/>
      </c>
      <c r="K2166" s="41" t="str">
        <f>IF($G2166="","",IF($G2166&lt;1,ROUND($G2166*1440,0),INT($G2166/100)*60+MOD($G2166,100)))</f>
        <v/>
      </c>
    </row>
    <row r="2167" ht="15" customHeight="1" s="26">
      <c r="A2167" s="34" t="n"/>
      <c r="B2167" s="32" t="n"/>
      <c r="C2167" s="33" t="n"/>
      <c r="D2167" s="37" t="str">
        <f>IF($C2167="","",IFERROR(INDEX(프로젝트목록!$B$3:$B$62,MATCH($C2167,프로젝트목록!$A$3:$A$62,0)),"미등록코드"))</f>
        <v/>
      </c>
      <c r="E2167" s="32" t="n"/>
      <c r="F2167" s="38" t="n"/>
      <c r="G2167" s="38" t="n"/>
      <c r="H2167" s="39" t="n"/>
      <c r="I2167" s="40" t="str">
        <f>IF(OR($J2167="",$K2167=""),"",ROUND(MAX(0,($K2167-$J2167)-IF($H2167="",0,$H2167))/60,2))</f>
        <v/>
      </c>
      <c r="J2167" s="41" t="str">
        <f>IF($F2167="","",IF($F2167&lt;1,ROUND($F2167*1440,0),INT($F2167/100)*60+MOD($F2167,100)))</f>
        <v/>
      </c>
      <c r="K2167" s="41" t="str">
        <f>IF($G2167="","",IF($G2167&lt;1,ROUND($G2167*1440,0),INT($G2167/100)*60+MOD($G2167,100)))</f>
        <v/>
      </c>
    </row>
    <row r="2168" ht="15" customHeight="1" s="26">
      <c r="A2168" s="34" t="n"/>
      <c r="B2168" s="32" t="n"/>
      <c r="C2168" s="33" t="n"/>
      <c r="D2168" s="37" t="str">
        <f>IF($C2168="","",IFERROR(INDEX(프로젝트목록!$B$3:$B$62,MATCH($C2168,프로젝트목록!$A$3:$A$62,0)),"미등록코드"))</f>
        <v/>
      </c>
      <c r="E2168" s="32" t="n"/>
      <c r="F2168" s="38" t="n"/>
      <c r="G2168" s="38" t="n"/>
      <c r="H2168" s="39" t="n"/>
      <c r="I2168" s="40" t="str">
        <f>IF(OR($J2168="",$K2168=""),"",ROUND(MAX(0,($K2168-$J2168)-IF($H2168="",0,$H2168))/60,2))</f>
        <v/>
      </c>
      <c r="J2168" s="41" t="str">
        <f>IF($F2168="","",IF($F2168&lt;1,ROUND($F2168*1440,0),INT($F2168/100)*60+MOD($F2168,100)))</f>
        <v/>
      </c>
      <c r="K2168" s="41" t="str">
        <f>IF($G2168="","",IF($G2168&lt;1,ROUND($G2168*1440,0),INT($G2168/100)*60+MOD($G2168,100)))</f>
        <v/>
      </c>
    </row>
    <row r="2169" ht="15" customHeight="1" s="26">
      <c r="A2169" s="34" t="n"/>
      <c r="B2169" s="32" t="n"/>
      <c r="C2169" s="33" t="n"/>
      <c r="D2169" s="37" t="str">
        <f>IF($C2169="","",IFERROR(INDEX(프로젝트목록!$B$3:$B$62,MATCH($C2169,프로젝트목록!$A$3:$A$62,0)),"미등록코드"))</f>
        <v/>
      </c>
      <c r="E2169" s="32" t="n"/>
      <c r="F2169" s="38" t="n"/>
      <c r="G2169" s="38" t="n"/>
      <c r="H2169" s="39" t="n"/>
      <c r="I2169" s="40" t="str">
        <f>IF(OR($J2169="",$K2169=""),"",ROUND(MAX(0,($K2169-$J2169)-IF($H2169="",0,$H2169))/60,2))</f>
        <v/>
      </c>
      <c r="J2169" s="41" t="str">
        <f>IF($F2169="","",IF($F2169&lt;1,ROUND($F2169*1440,0),INT($F2169/100)*60+MOD($F2169,100)))</f>
        <v/>
      </c>
      <c r="K2169" s="41" t="str">
        <f>IF($G2169="","",IF($G2169&lt;1,ROUND($G2169*1440,0),INT($G2169/100)*60+MOD($G2169,100)))</f>
        <v/>
      </c>
    </row>
    <row r="2170" ht="15" customHeight="1" s="26">
      <c r="A2170" s="34" t="n"/>
      <c r="B2170" s="32" t="n"/>
      <c r="C2170" s="33" t="n"/>
      <c r="D2170" s="37" t="str">
        <f>IF($C2170="","",IFERROR(INDEX(프로젝트목록!$B$3:$B$62,MATCH($C2170,프로젝트목록!$A$3:$A$62,0)),"미등록코드"))</f>
        <v/>
      </c>
      <c r="E2170" s="32" t="n"/>
      <c r="F2170" s="38" t="n"/>
      <c r="G2170" s="38" t="n"/>
      <c r="H2170" s="39" t="n"/>
      <c r="I2170" s="40" t="str">
        <f>IF(OR($J2170="",$K2170=""),"",ROUND(MAX(0,($K2170-$J2170)-IF($H2170="",0,$H2170))/60,2))</f>
        <v/>
      </c>
      <c r="J2170" s="41" t="str">
        <f>IF($F2170="","",IF($F2170&lt;1,ROUND($F2170*1440,0),INT($F2170/100)*60+MOD($F2170,100)))</f>
        <v/>
      </c>
      <c r="K2170" s="41" t="str">
        <f>IF($G2170="","",IF($G2170&lt;1,ROUND($G2170*1440,0),INT($G2170/100)*60+MOD($G2170,100)))</f>
        <v/>
      </c>
    </row>
    <row r="2171" ht="15" customHeight="1" s="26">
      <c r="A2171" s="34" t="n"/>
      <c r="B2171" s="32" t="n"/>
      <c r="C2171" s="33" t="n"/>
      <c r="D2171" s="37" t="str">
        <f>IF($C2171="","",IFERROR(INDEX(프로젝트목록!$B$3:$B$62,MATCH($C2171,프로젝트목록!$A$3:$A$62,0)),"미등록코드"))</f>
        <v/>
      </c>
      <c r="E2171" s="32" t="n"/>
      <c r="F2171" s="38" t="n"/>
      <c r="G2171" s="38" t="n"/>
      <c r="H2171" s="39" t="n"/>
      <c r="I2171" s="40" t="str">
        <f>IF(OR($J2171="",$K2171=""),"",ROUND(MAX(0,($K2171-$J2171)-IF($H2171="",0,$H2171))/60,2))</f>
        <v/>
      </c>
      <c r="J2171" s="41" t="str">
        <f>IF($F2171="","",IF($F2171&lt;1,ROUND($F2171*1440,0),INT($F2171/100)*60+MOD($F2171,100)))</f>
        <v/>
      </c>
      <c r="K2171" s="41" t="str">
        <f>IF($G2171="","",IF($G2171&lt;1,ROUND($G2171*1440,0),INT($G2171/100)*60+MOD($G2171,100)))</f>
        <v/>
      </c>
    </row>
    <row r="2172" ht="15" customHeight="1" s="26">
      <c r="A2172" s="34" t="n"/>
      <c r="B2172" s="32" t="n"/>
      <c r="C2172" s="33" t="n"/>
      <c r="D2172" s="37" t="str">
        <f>IF($C2172="","",IFERROR(INDEX(프로젝트목록!$B$3:$B$62,MATCH($C2172,프로젝트목록!$A$3:$A$62,0)),"미등록코드"))</f>
        <v/>
      </c>
      <c r="E2172" s="32" t="n"/>
      <c r="F2172" s="38" t="n"/>
      <c r="G2172" s="38" t="n"/>
      <c r="H2172" s="39" t="n"/>
      <c r="I2172" s="40" t="str">
        <f>IF(OR($J2172="",$K2172=""),"",ROUND(MAX(0,($K2172-$J2172)-IF($H2172="",0,$H2172))/60,2))</f>
        <v/>
      </c>
      <c r="J2172" s="41" t="str">
        <f>IF($F2172="","",IF($F2172&lt;1,ROUND($F2172*1440,0),INT($F2172/100)*60+MOD($F2172,100)))</f>
        <v/>
      </c>
      <c r="K2172" s="41" t="str">
        <f>IF($G2172="","",IF($G2172&lt;1,ROUND($G2172*1440,0),INT($G2172/100)*60+MOD($G2172,100)))</f>
        <v/>
      </c>
    </row>
    <row r="2173" ht="15" customHeight="1" s="26">
      <c r="A2173" s="34" t="n"/>
      <c r="B2173" s="32" t="n"/>
      <c r="C2173" s="33" t="n"/>
      <c r="D2173" s="37" t="str">
        <f>IF($C2173="","",IFERROR(INDEX(프로젝트목록!$B$3:$B$62,MATCH($C2173,프로젝트목록!$A$3:$A$62,0)),"미등록코드"))</f>
        <v/>
      </c>
      <c r="E2173" s="32" t="n"/>
      <c r="F2173" s="38" t="n"/>
      <c r="G2173" s="38" t="n"/>
      <c r="H2173" s="39" t="n"/>
      <c r="I2173" s="40" t="str">
        <f>IF(OR($J2173="",$K2173=""),"",ROUND(MAX(0,($K2173-$J2173)-IF($H2173="",0,$H2173))/60,2))</f>
        <v/>
      </c>
      <c r="J2173" s="41" t="str">
        <f>IF($F2173="","",IF($F2173&lt;1,ROUND($F2173*1440,0),INT($F2173/100)*60+MOD($F2173,100)))</f>
        <v/>
      </c>
      <c r="K2173" s="41" t="str">
        <f>IF($G2173="","",IF($G2173&lt;1,ROUND($G2173*1440,0),INT($G2173/100)*60+MOD($G2173,100)))</f>
        <v/>
      </c>
    </row>
    <row r="2174" ht="15" customHeight="1" s="26">
      <c r="A2174" s="34" t="n"/>
      <c r="B2174" s="32" t="n"/>
      <c r="C2174" s="33" t="n"/>
      <c r="D2174" s="37" t="str">
        <f>IF($C2174="","",IFERROR(INDEX(프로젝트목록!$B$3:$B$62,MATCH($C2174,프로젝트목록!$A$3:$A$62,0)),"미등록코드"))</f>
        <v/>
      </c>
      <c r="E2174" s="32" t="n"/>
      <c r="F2174" s="38" t="n"/>
      <c r="G2174" s="38" t="n"/>
      <c r="H2174" s="39" t="n"/>
      <c r="I2174" s="40" t="str">
        <f>IF(OR($J2174="",$K2174=""),"",ROUND(MAX(0,($K2174-$J2174)-IF($H2174="",0,$H2174))/60,2))</f>
        <v/>
      </c>
      <c r="J2174" s="41" t="str">
        <f>IF($F2174="","",IF($F2174&lt;1,ROUND($F2174*1440,0),INT($F2174/100)*60+MOD($F2174,100)))</f>
        <v/>
      </c>
      <c r="K2174" s="41" t="str">
        <f>IF($G2174="","",IF($G2174&lt;1,ROUND($G2174*1440,0),INT($G2174/100)*60+MOD($G2174,100)))</f>
        <v/>
      </c>
    </row>
    <row r="2175" ht="15" customHeight="1" s="26">
      <c r="A2175" s="34" t="n"/>
      <c r="B2175" s="32" t="n"/>
      <c r="C2175" s="33" t="n"/>
      <c r="D2175" s="37" t="str">
        <f>IF($C2175="","",IFERROR(INDEX(프로젝트목록!$B$3:$B$62,MATCH($C2175,프로젝트목록!$A$3:$A$62,0)),"미등록코드"))</f>
        <v/>
      </c>
      <c r="E2175" s="32" t="n"/>
      <c r="F2175" s="38" t="n"/>
      <c r="G2175" s="38" t="n"/>
      <c r="H2175" s="39" t="n"/>
      <c r="I2175" s="40" t="str">
        <f>IF(OR($J2175="",$K2175=""),"",ROUND(MAX(0,($K2175-$J2175)-IF($H2175="",0,$H2175))/60,2))</f>
        <v/>
      </c>
      <c r="J2175" s="41" t="str">
        <f>IF($F2175="","",IF($F2175&lt;1,ROUND($F2175*1440,0),INT($F2175/100)*60+MOD($F2175,100)))</f>
        <v/>
      </c>
      <c r="K2175" s="41" t="str">
        <f>IF($G2175="","",IF($G2175&lt;1,ROUND($G2175*1440,0),INT($G2175/100)*60+MOD($G2175,100)))</f>
        <v/>
      </c>
    </row>
    <row r="2176" ht="15" customHeight="1" s="26">
      <c r="A2176" s="34" t="n"/>
      <c r="B2176" s="32" t="n"/>
      <c r="C2176" s="33" t="n"/>
      <c r="D2176" s="37" t="str">
        <f>IF($C2176="","",IFERROR(INDEX(프로젝트목록!$B$3:$B$62,MATCH($C2176,프로젝트목록!$A$3:$A$62,0)),"미등록코드"))</f>
        <v/>
      </c>
      <c r="E2176" s="32" t="n"/>
      <c r="F2176" s="38" t="n"/>
      <c r="G2176" s="38" t="n"/>
      <c r="H2176" s="39" t="n"/>
      <c r="I2176" s="40" t="str">
        <f>IF(OR($J2176="",$K2176=""),"",ROUND(MAX(0,($K2176-$J2176)-IF($H2176="",0,$H2176))/60,2))</f>
        <v/>
      </c>
      <c r="J2176" s="41" t="str">
        <f>IF($F2176="","",IF($F2176&lt;1,ROUND($F2176*1440,0),INT($F2176/100)*60+MOD($F2176,100)))</f>
        <v/>
      </c>
      <c r="K2176" s="41" t="str">
        <f>IF($G2176="","",IF($G2176&lt;1,ROUND($G2176*1440,0),INT($G2176/100)*60+MOD($G2176,100)))</f>
        <v/>
      </c>
    </row>
    <row r="2177" ht="15" customHeight="1" s="26">
      <c r="A2177" s="34" t="n"/>
      <c r="B2177" s="32" t="n"/>
      <c r="C2177" s="33" t="n"/>
      <c r="D2177" s="37" t="str">
        <f>IF($C2177="","",IFERROR(INDEX(프로젝트목록!$B$3:$B$62,MATCH($C2177,프로젝트목록!$A$3:$A$62,0)),"미등록코드"))</f>
        <v/>
      </c>
      <c r="E2177" s="32" t="n"/>
      <c r="F2177" s="38" t="n"/>
      <c r="G2177" s="38" t="n"/>
      <c r="H2177" s="39" t="n"/>
      <c r="I2177" s="40" t="str">
        <f>IF(OR($J2177="",$K2177=""),"",ROUND(MAX(0,($K2177-$J2177)-IF($H2177="",0,$H2177))/60,2))</f>
        <v/>
      </c>
      <c r="J2177" s="41" t="str">
        <f>IF($F2177="","",IF($F2177&lt;1,ROUND($F2177*1440,0),INT($F2177/100)*60+MOD($F2177,100)))</f>
        <v/>
      </c>
      <c r="K2177" s="41" t="str">
        <f>IF($G2177="","",IF($G2177&lt;1,ROUND($G2177*1440,0),INT($G2177/100)*60+MOD($G2177,100)))</f>
        <v/>
      </c>
    </row>
    <row r="2178" ht="15" customHeight="1" s="26">
      <c r="A2178" s="34" t="n"/>
      <c r="B2178" s="32" t="n"/>
      <c r="C2178" s="33" t="n"/>
      <c r="D2178" s="37" t="str">
        <f>IF($C2178="","",IFERROR(INDEX(프로젝트목록!$B$3:$B$62,MATCH($C2178,프로젝트목록!$A$3:$A$62,0)),"미등록코드"))</f>
        <v/>
      </c>
      <c r="E2178" s="32" t="n"/>
      <c r="F2178" s="38" t="n"/>
      <c r="G2178" s="38" t="n"/>
      <c r="H2178" s="39" t="n"/>
      <c r="I2178" s="40" t="str">
        <f>IF(OR($J2178="",$K2178=""),"",ROUND(MAX(0,($K2178-$J2178)-IF($H2178="",0,$H2178))/60,2))</f>
        <v/>
      </c>
      <c r="J2178" s="41" t="str">
        <f>IF($F2178="","",IF($F2178&lt;1,ROUND($F2178*1440,0),INT($F2178/100)*60+MOD($F2178,100)))</f>
        <v/>
      </c>
      <c r="K2178" s="41" t="str">
        <f>IF($G2178="","",IF($G2178&lt;1,ROUND($G2178*1440,0),INT($G2178/100)*60+MOD($G2178,100)))</f>
        <v/>
      </c>
    </row>
    <row r="2179" ht="15" customHeight="1" s="26">
      <c r="A2179" s="34" t="n"/>
      <c r="B2179" s="32" t="n"/>
      <c r="C2179" s="33" t="n"/>
      <c r="D2179" s="37" t="str">
        <f>IF($C2179="","",IFERROR(INDEX(프로젝트목록!$B$3:$B$62,MATCH($C2179,프로젝트목록!$A$3:$A$62,0)),"미등록코드"))</f>
        <v/>
      </c>
      <c r="E2179" s="32" t="n"/>
      <c r="F2179" s="38" t="n"/>
      <c r="G2179" s="38" t="n"/>
      <c r="H2179" s="39" t="n"/>
      <c r="I2179" s="40" t="str">
        <f>IF(OR($J2179="",$K2179=""),"",ROUND(MAX(0,($K2179-$J2179)-IF($H2179="",0,$H2179))/60,2))</f>
        <v/>
      </c>
      <c r="J2179" s="41" t="str">
        <f>IF($F2179="","",IF($F2179&lt;1,ROUND($F2179*1440,0),INT($F2179/100)*60+MOD($F2179,100)))</f>
        <v/>
      </c>
      <c r="K2179" s="41" t="str">
        <f>IF($G2179="","",IF($G2179&lt;1,ROUND($G2179*1440,0),INT($G2179/100)*60+MOD($G2179,100)))</f>
        <v/>
      </c>
    </row>
    <row r="2180" ht="15" customHeight="1" s="26">
      <c r="A2180" s="34" t="n"/>
      <c r="B2180" s="32" t="n"/>
      <c r="C2180" s="33" t="n"/>
      <c r="D2180" s="37" t="str">
        <f>IF($C2180="","",IFERROR(INDEX(프로젝트목록!$B$3:$B$62,MATCH($C2180,프로젝트목록!$A$3:$A$62,0)),"미등록코드"))</f>
        <v/>
      </c>
      <c r="E2180" s="32" t="n"/>
      <c r="F2180" s="38" t="n"/>
      <c r="G2180" s="38" t="n"/>
      <c r="H2180" s="39" t="n"/>
      <c r="I2180" s="40" t="str">
        <f>IF(OR($J2180="",$K2180=""),"",ROUND(MAX(0,($K2180-$J2180)-IF($H2180="",0,$H2180))/60,2))</f>
        <v/>
      </c>
      <c r="J2180" s="41" t="str">
        <f>IF($F2180="","",IF($F2180&lt;1,ROUND($F2180*1440,0),INT($F2180/100)*60+MOD($F2180,100)))</f>
        <v/>
      </c>
      <c r="K2180" s="41" t="str">
        <f>IF($G2180="","",IF($G2180&lt;1,ROUND($G2180*1440,0),INT($G2180/100)*60+MOD($G2180,100)))</f>
        <v/>
      </c>
    </row>
    <row r="2181" ht="15" customHeight="1" s="26">
      <c r="A2181" s="34" t="n"/>
      <c r="B2181" s="32" t="n"/>
      <c r="C2181" s="33" t="n"/>
      <c r="D2181" s="37" t="str">
        <f>IF($C2181="","",IFERROR(INDEX(프로젝트목록!$B$3:$B$62,MATCH($C2181,프로젝트목록!$A$3:$A$62,0)),"미등록코드"))</f>
        <v/>
      </c>
      <c r="E2181" s="32" t="n"/>
      <c r="F2181" s="38" t="n"/>
      <c r="G2181" s="38" t="n"/>
      <c r="H2181" s="39" t="n"/>
      <c r="I2181" s="40" t="str">
        <f>IF(OR($J2181="",$K2181=""),"",ROUND(MAX(0,($K2181-$J2181)-IF($H2181="",0,$H2181))/60,2))</f>
        <v/>
      </c>
      <c r="J2181" s="41" t="str">
        <f>IF($F2181="","",IF($F2181&lt;1,ROUND($F2181*1440,0),INT($F2181/100)*60+MOD($F2181,100)))</f>
        <v/>
      </c>
      <c r="K2181" s="41" t="str">
        <f>IF($G2181="","",IF($G2181&lt;1,ROUND($G2181*1440,0),INT($G2181/100)*60+MOD($G2181,100)))</f>
        <v/>
      </c>
    </row>
    <row r="2182" ht="15" customHeight="1" s="26">
      <c r="A2182" s="34" t="n"/>
      <c r="B2182" s="32" t="n"/>
      <c r="C2182" s="33" t="n"/>
      <c r="D2182" s="37" t="str">
        <f>IF($C2182="","",IFERROR(INDEX(프로젝트목록!$B$3:$B$62,MATCH($C2182,프로젝트목록!$A$3:$A$62,0)),"미등록코드"))</f>
        <v/>
      </c>
      <c r="E2182" s="32" t="n"/>
      <c r="F2182" s="38" t="n"/>
      <c r="G2182" s="38" t="n"/>
      <c r="H2182" s="39" t="n"/>
      <c r="I2182" s="40" t="str">
        <f>IF(OR($J2182="",$K2182=""),"",ROUND(MAX(0,($K2182-$J2182)-IF($H2182="",0,$H2182))/60,2))</f>
        <v/>
      </c>
      <c r="J2182" s="41" t="str">
        <f>IF($F2182="","",IF($F2182&lt;1,ROUND($F2182*1440,0),INT($F2182/100)*60+MOD($F2182,100)))</f>
        <v/>
      </c>
      <c r="K2182" s="41" t="str">
        <f>IF($G2182="","",IF($G2182&lt;1,ROUND($G2182*1440,0),INT($G2182/100)*60+MOD($G2182,100)))</f>
        <v/>
      </c>
    </row>
    <row r="2183" ht="15" customHeight="1" s="26">
      <c r="A2183" s="34" t="n"/>
      <c r="B2183" s="32" t="n"/>
      <c r="C2183" s="33" t="n"/>
      <c r="D2183" s="37" t="str">
        <f>IF($C2183="","",IFERROR(INDEX(프로젝트목록!$B$3:$B$62,MATCH($C2183,프로젝트목록!$A$3:$A$62,0)),"미등록코드"))</f>
        <v/>
      </c>
      <c r="E2183" s="32" t="n"/>
      <c r="F2183" s="38" t="n"/>
      <c r="G2183" s="38" t="n"/>
      <c r="H2183" s="39" t="n"/>
      <c r="I2183" s="40" t="str">
        <f>IF(OR($J2183="",$K2183=""),"",ROUND(MAX(0,($K2183-$J2183)-IF($H2183="",0,$H2183))/60,2))</f>
        <v/>
      </c>
      <c r="J2183" s="41" t="str">
        <f>IF($F2183="","",IF($F2183&lt;1,ROUND($F2183*1440,0),INT($F2183/100)*60+MOD($F2183,100)))</f>
        <v/>
      </c>
      <c r="K2183" s="41" t="str">
        <f>IF($G2183="","",IF($G2183&lt;1,ROUND($G2183*1440,0),INT($G2183/100)*60+MOD($G2183,100)))</f>
        <v/>
      </c>
    </row>
    <row r="2184" ht="15" customHeight="1" s="26">
      <c r="A2184" s="34" t="n"/>
      <c r="B2184" s="32" t="n"/>
      <c r="C2184" s="33" t="n"/>
      <c r="D2184" s="37" t="str">
        <f>IF($C2184="","",IFERROR(INDEX(프로젝트목록!$B$3:$B$62,MATCH($C2184,프로젝트목록!$A$3:$A$62,0)),"미등록코드"))</f>
        <v/>
      </c>
      <c r="E2184" s="32" t="n"/>
      <c r="F2184" s="38" t="n"/>
      <c r="G2184" s="38" t="n"/>
      <c r="H2184" s="39" t="n"/>
      <c r="I2184" s="40" t="str">
        <f>IF(OR($J2184="",$K2184=""),"",ROUND(MAX(0,($K2184-$J2184)-IF($H2184="",0,$H2184))/60,2))</f>
        <v/>
      </c>
      <c r="J2184" s="41" t="str">
        <f>IF($F2184="","",IF($F2184&lt;1,ROUND($F2184*1440,0),INT($F2184/100)*60+MOD($F2184,100)))</f>
        <v/>
      </c>
      <c r="K2184" s="41" t="str">
        <f>IF($G2184="","",IF($G2184&lt;1,ROUND($G2184*1440,0),INT($G2184/100)*60+MOD($G2184,100)))</f>
        <v/>
      </c>
    </row>
    <row r="2185" ht="15" customHeight="1" s="26">
      <c r="A2185" s="34" t="n"/>
      <c r="B2185" s="32" t="n"/>
      <c r="C2185" s="33" t="n"/>
      <c r="D2185" s="37" t="str">
        <f>IF($C2185="","",IFERROR(INDEX(프로젝트목록!$B$3:$B$62,MATCH($C2185,프로젝트목록!$A$3:$A$62,0)),"미등록코드"))</f>
        <v/>
      </c>
      <c r="E2185" s="32" t="n"/>
      <c r="F2185" s="38" t="n"/>
      <c r="G2185" s="38" t="n"/>
      <c r="H2185" s="39" t="n"/>
      <c r="I2185" s="40" t="str">
        <f>IF(OR($J2185="",$K2185=""),"",ROUND(MAX(0,($K2185-$J2185)-IF($H2185="",0,$H2185))/60,2))</f>
        <v/>
      </c>
      <c r="J2185" s="41" t="str">
        <f>IF($F2185="","",IF($F2185&lt;1,ROUND($F2185*1440,0),INT($F2185/100)*60+MOD($F2185,100)))</f>
        <v/>
      </c>
      <c r="K2185" s="41" t="str">
        <f>IF($G2185="","",IF($G2185&lt;1,ROUND($G2185*1440,0),INT($G2185/100)*60+MOD($G2185,100)))</f>
        <v/>
      </c>
    </row>
    <row r="2186" ht="15" customHeight="1" s="26">
      <c r="A2186" s="34" t="n"/>
      <c r="B2186" s="32" t="n"/>
      <c r="C2186" s="33" t="n"/>
      <c r="D2186" s="37" t="str">
        <f>IF($C2186="","",IFERROR(INDEX(프로젝트목록!$B$3:$B$62,MATCH($C2186,프로젝트목록!$A$3:$A$62,0)),"미등록코드"))</f>
        <v/>
      </c>
      <c r="E2186" s="32" t="n"/>
      <c r="F2186" s="38" t="n"/>
      <c r="G2186" s="38" t="n"/>
      <c r="H2186" s="39" t="n"/>
      <c r="I2186" s="40" t="str">
        <f>IF(OR($J2186="",$K2186=""),"",ROUND(MAX(0,($K2186-$J2186)-IF($H2186="",0,$H2186))/60,2))</f>
        <v/>
      </c>
      <c r="J2186" s="41" t="str">
        <f>IF($F2186="","",IF($F2186&lt;1,ROUND($F2186*1440,0),INT($F2186/100)*60+MOD($F2186,100)))</f>
        <v/>
      </c>
      <c r="K2186" s="41" t="str">
        <f>IF($G2186="","",IF($G2186&lt;1,ROUND($G2186*1440,0),INT($G2186/100)*60+MOD($G2186,100)))</f>
        <v/>
      </c>
    </row>
    <row r="2187" ht="15" customHeight="1" s="26">
      <c r="A2187" s="34" t="n"/>
      <c r="B2187" s="32" t="n"/>
      <c r="C2187" s="33" t="n"/>
      <c r="D2187" s="37" t="str">
        <f>IF($C2187="","",IFERROR(INDEX(프로젝트목록!$B$3:$B$62,MATCH($C2187,프로젝트목록!$A$3:$A$62,0)),"미등록코드"))</f>
        <v/>
      </c>
      <c r="E2187" s="32" t="n"/>
      <c r="F2187" s="38" t="n"/>
      <c r="G2187" s="38" t="n"/>
      <c r="H2187" s="39" t="n"/>
      <c r="I2187" s="40" t="str">
        <f>IF(OR($J2187="",$K2187=""),"",ROUND(MAX(0,($K2187-$J2187)-IF($H2187="",0,$H2187))/60,2))</f>
        <v/>
      </c>
      <c r="J2187" s="41" t="str">
        <f>IF($F2187="","",IF($F2187&lt;1,ROUND($F2187*1440,0),INT($F2187/100)*60+MOD($F2187,100)))</f>
        <v/>
      </c>
      <c r="K2187" s="41" t="str">
        <f>IF($G2187="","",IF($G2187&lt;1,ROUND($G2187*1440,0),INT($G2187/100)*60+MOD($G2187,100)))</f>
        <v/>
      </c>
    </row>
    <row r="2188" ht="15" customHeight="1" s="26">
      <c r="A2188" s="34" t="n"/>
      <c r="B2188" s="32" t="n"/>
      <c r="C2188" s="33" t="n"/>
      <c r="D2188" s="37" t="str">
        <f>IF($C2188="","",IFERROR(INDEX(프로젝트목록!$B$3:$B$62,MATCH($C2188,프로젝트목록!$A$3:$A$62,0)),"미등록코드"))</f>
        <v/>
      </c>
      <c r="E2188" s="32" t="n"/>
      <c r="F2188" s="38" t="n"/>
      <c r="G2188" s="38" t="n"/>
      <c r="H2188" s="39" t="n"/>
      <c r="I2188" s="40" t="str">
        <f>IF(OR($J2188="",$K2188=""),"",ROUND(MAX(0,($K2188-$J2188)-IF($H2188="",0,$H2188))/60,2))</f>
        <v/>
      </c>
      <c r="J2188" s="41" t="str">
        <f>IF($F2188="","",IF($F2188&lt;1,ROUND($F2188*1440,0),INT($F2188/100)*60+MOD($F2188,100)))</f>
        <v/>
      </c>
      <c r="K2188" s="41" t="str">
        <f>IF($G2188="","",IF($G2188&lt;1,ROUND($G2188*1440,0),INT($G2188/100)*60+MOD($G2188,100)))</f>
        <v/>
      </c>
    </row>
    <row r="2189" ht="15" customHeight="1" s="26">
      <c r="A2189" s="34" t="n"/>
      <c r="B2189" s="32" t="n"/>
      <c r="C2189" s="33" t="n"/>
      <c r="D2189" s="37" t="str">
        <f>IF($C2189="","",IFERROR(INDEX(프로젝트목록!$B$3:$B$62,MATCH($C2189,프로젝트목록!$A$3:$A$62,0)),"미등록코드"))</f>
        <v/>
      </c>
      <c r="E2189" s="32" t="n"/>
      <c r="F2189" s="38" t="n"/>
      <c r="G2189" s="38" t="n"/>
      <c r="H2189" s="39" t="n"/>
      <c r="I2189" s="40" t="str">
        <f>IF(OR($J2189="",$K2189=""),"",ROUND(MAX(0,($K2189-$J2189)-IF($H2189="",0,$H2189))/60,2))</f>
        <v/>
      </c>
      <c r="J2189" s="41" t="str">
        <f>IF($F2189="","",IF($F2189&lt;1,ROUND($F2189*1440,0),INT($F2189/100)*60+MOD($F2189,100)))</f>
        <v/>
      </c>
      <c r="K2189" s="41" t="str">
        <f>IF($G2189="","",IF($G2189&lt;1,ROUND($G2189*1440,0),INT($G2189/100)*60+MOD($G2189,100)))</f>
        <v/>
      </c>
    </row>
    <row r="2190" ht="15" customHeight="1" s="26">
      <c r="A2190" s="34" t="n"/>
      <c r="B2190" s="32" t="n"/>
      <c r="C2190" s="33" t="n"/>
      <c r="D2190" s="37" t="str">
        <f>IF($C2190="","",IFERROR(INDEX(프로젝트목록!$B$3:$B$62,MATCH($C2190,프로젝트목록!$A$3:$A$62,0)),"미등록코드"))</f>
        <v/>
      </c>
      <c r="E2190" s="32" t="n"/>
      <c r="F2190" s="38" t="n"/>
      <c r="G2190" s="38" t="n"/>
      <c r="H2190" s="39" t="n"/>
      <c r="I2190" s="40" t="str">
        <f>IF(OR($J2190="",$K2190=""),"",ROUND(MAX(0,($K2190-$J2190)-IF($H2190="",0,$H2190))/60,2))</f>
        <v/>
      </c>
      <c r="J2190" s="41" t="str">
        <f>IF($F2190="","",IF($F2190&lt;1,ROUND($F2190*1440,0),INT($F2190/100)*60+MOD($F2190,100)))</f>
        <v/>
      </c>
      <c r="K2190" s="41" t="str">
        <f>IF($G2190="","",IF($G2190&lt;1,ROUND($G2190*1440,0),INT($G2190/100)*60+MOD($G2190,100)))</f>
        <v/>
      </c>
    </row>
    <row r="2191" ht="15" customHeight="1" s="26">
      <c r="A2191" s="34" t="n"/>
      <c r="B2191" s="32" t="n"/>
      <c r="C2191" s="33" t="n"/>
      <c r="D2191" s="37" t="str">
        <f>IF($C2191="","",IFERROR(INDEX(프로젝트목록!$B$3:$B$62,MATCH($C2191,프로젝트목록!$A$3:$A$62,0)),"미등록코드"))</f>
        <v/>
      </c>
      <c r="E2191" s="32" t="n"/>
      <c r="F2191" s="38" t="n"/>
      <c r="G2191" s="38" t="n"/>
      <c r="H2191" s="39" t="n"/>
      <c r="I2191" s="40" t="str">
        <f>IF(OR($J2191="",$K2191=""),"",ROUND(MAX(0,($K2191-$J2191)-IF($H2191="",0,$H2191))/60,2))</f>
        <v/>
      </c>
      <c r="J2191" s="41" t="str">
        <f>IF($F2191="","",IF($F2191&lt;1,ROUND($F2191*1440,0),INT($F2191/100)*60+MOD($F2191,100)))</f>
        <v/>
      </c>
      <c r="K2191" s="41" t="str">
        <f>IF($G2191="","",IF($G2191&lt;1,ROUND($G2191*1440,0),INT($G2191/100)*60+MOD($G2191,100)))</f>
        <v/>
      </c>
    </row>
    <row r="2192" ht="15" customHeight="1" s="26">
      <c r="A2192" s="34" t="n"/>
      <c r="B2192" s="32" t="n"/>
      <c r="C2192" s="33" t="n"/>
      <c r="D2192" s="37" t="str">
        <f>IF($C2192="","",IFERROR(INDEX(프로젝트목록!$B$3:$B$62,MATCH($C2192,프로젝트목록!$A$3:$A$62,0)),"미등록코드"))</f>
        <v/>
      </c>
      <c r="E2192" s="32" t="n"/>
      <c r="F2192" s="38" t="n"/>
      <c r="G2192" s="38" t="n"/>
      <c r="H2192" s="39" t="n"/>
      <c r="I2192" s="40" t="str">
        <f>IF(OR($J2192="",$K2192=""),"",ROUND(MAX(0,($K2192-$J2192)-IF($H2192="",0,$H2192))/60,2))</f>
        <v/>
      </c>
      <c r="J2192" s="41" t="str">
        <f>IF($F2192="","",IF($F2192&lt;1,ROUND($F2192*1440,0),INT($F2192/100)*60+MOD($F2192,100)))</f>
        <v/>
      </c>
      <c r="K2192" s="41" t="str">
        <f>IF($G2192="","",IF($G2192&lt;1,ROUND($G2192*1440,0),INT($G2192/100)*60+MOD($G2192,100)))</f>
        <v/>
      </c>
    </row>
    <row r="2193" ht="15" customHeight="1" s="26">
      <c r="A2193" s="34" t="n"/>
      <c r="B2193" s="32" t="n"/>
      <c r="C2193" s="33" t="n"/>
      <c r="D2193" s="37" t="str">
        <f>IF($C2193="","",IFERROR(INDEX(프로젝트목록!$B$3:$B$62,MATCH($C2193,프로젝트목록!$A$3:$A$62,0)),"미등록코드"))</f>
        <v/>
      </c>
      <c r="E2193" s="32" t="n"/>
      <c r="F2193" s="38" t="n"/>
      <c r="G2193" s="38" t="n"/>
      <c r="H2193" s="39" t="n"/>
      <c r="I2193" s="40" t="str">
        <f>IF(OR($J2193="",$K2193=""),"",ROUND(MAX(0,($K2193-$J2193)-IF($H2193="",0,$H2193))/60,2))</f>
        <v/>
      </c>
      <c r="J2193" s="41" t="str">
        <f>IF($F2193="","",IF($F2193&lt;1,ROUND($F2193*1440,0),INT($F2193/100)*60+MOD($F2193,100)))</f>
        <v/>
      </c>
      <c r="K2193" s="41" t="str">
        <f>IF($G2193="","",IF($G2193&lt;1,ROUND($G2193*1440,0),INT($G2193/100)*60+MOD($G2193,100)))</f>
        <v/>
      </c>
    </row>
    <row r="2194" ht="15" customHeight="1" s="26">
      <c r="A2194" s="34" t="n"/>
      <c r="B2194" s="32" t="n"/>
      <c r="C2194" s="33" t="n"/>
      <c r="D2194" s="37" t="str">
        <f>IF($C2194="","",IFERROR(INDEX(프로젝트목록!$B$3:$B$62,MATCH($C2194,프로젝트목록!$A$3:$A$62,0)),"미등록코드"))</f>
        <v/>
      </c>
      <c r="E2194" s="32" t="n"/>
      <c r="F2194" s="38" t="n"/>
      <c r="G2194" s="38" t="n"/>
      <c r="H2194" s="39" t="n"/>
      <c r="I2194" s="40" t="str">
        <f>IF(OR($J2194="",$K2194=""),"",ROUND(MAX(0,($K2194-$J2194)-IF($H2194="",0,$H2194))/60,2))</f>
        <v/>
      </c>
      <c r="J2194" s="41" t="str">
        <f>IF($F2194="","",IF($F2194&lt;1,ROUND($F2194*1440,0),INT($F2194/100)*60+MOD($F2194,100)))</f>
        <v/>
      </c>
      <c r="K2194" s="41" t="str">
        <f>IF($G2194="","",IF($G2194&lt;1,ROUND($G2194*1440,0),INT($G2194/100)*60+MOD($G2194,100)))</f>
        <v/>
      </c>
    </row>
    <row r="2195" ht="15" customHeight="1" s="26">
      <c r="A2195" s="34" t="n"/>
      <c r="B2195" s="32" t="n"/>
      <c r="C2195" s="33" t="n"/>
      <c r="D2195" s="37" t="str">
        <f>IF($C2195="","",IFERROR(INDEX(프로젝트목록!$B$3:$B$62,MATCH($C2195,프로젝트목록!$A$3:$A$62,0)),"미등록코드"))</f>
        <v/>
      </c>
      <c r="E2195" s="32" t="n"/>
      <c r="F2195" s="38" t="n"/>
      <c r="G2195" s="38" t="n"/>
      <c r="H2195" s="39" t="n"/>
      <c r="I2195" s="40" t="str">
        <f>IF(OR($J2195="",$K2195=""),"",ROUND(MAX(0,($K2195-$J2195)-IF($H2195="",0,$H2195))/60,2))</f>
        <v/>
      </c>
      <c r="J2195" s="41" t="str">
        <f>IF($F2195="","",IF($F2195&lt;1,ROUND($F2195*1440,0),INT($F2195/100)*60+MOD($F2195,100)))</f>
        <v/>
      </c>
      <c r="K2195" s="41" t="str">
        <f>IF($G2195="","",IF($G2195&lt;1,ROUND($G2195*1440,0),INT($G2195/100)*60+MOD($G2195,100)))</f>
        <v/>
      </c>
    </row>
    <row r="2196" ht="15" customHeight="1" s="26">
      <c r="A2196" s="34" t="n"/>
      <c r="B2196" s="32" t="n"/>
      <c r="C2196" s="33" t="n"/>
      <c r="D2196" s="37" t="str">
        <f>IF($C2196="","",IFERROR(INDEX(프로젝트목록!$B$3:$B$62,MATCH($C2196,프로젝트목록!$A$3:$A$62,0)),"미등록코드"))</f>
        <v/>
      </c>
      <c r="E2196" s="32" t="n"/>
      <c r="F2196" s="38" t="n"/>
      <c r="G2196" s="38" t="n"/>
      <c r="H2196" s="39" t="n"/>
      <c r="I2196" s="40" t="str">
        <f>IF(OR($J2196="",$K2196=""),"",ROUND(MAX(0,($K2196-$J2196)-IF($H2196="",0,$H2196))/60,2))</f>
        <v/>
      </c>
      <c r="J2196" s="41" t="str">
        <f>IF($F2196="","",IF($F2196&lt;1,ROUND($F2196*1440,0),INT($F2196/100)*60+MOD($F2196,100)))</f>
        <v/>
      </c>
      <c r="K2196" s="41" t="str">
        <f>IF($G2196="","",IF($G2196&lt;1,ROUND($G2196*1440,0),INT($G2196/100)*60+MOD($G2196,100)))</f>
        <v/>
      </c>
    </row>
    <row r="2197" ht="15" customHeight="1" s="26">
      <c r="A2197" s="34" t="n"/>
      <c r="B2197" s="32" t="n"/>
      <c r="C2197" s="33" t="n"/>
      <c r="D2197" s="37" t="str">
        <f>IF($C2197="","",IFERROR(INDEX(프로젝트목록!$B$3:$B$62,MATCH($C2197,프로젝트목록!$A$3:$A$62,0)),"미등록코드"))</f>
        <v/>
      </c>
      <c r="E2197" s="32" t="n"/>
      <c r="F2197" s="38" t="n"/>
      <c r="G2197" s="38" t="n"/>
      <c r="H2197" s="39" t="n"/>
      <c r="I2197" s="40" t="str">
        <f>IF(OR($J2197="",$K2197=""),"",ROUND(MAX(0,($K2197-$J2197)-IF($H2197="",0,$H2197))/60,2))</f>
        <v/>
      </c>
      <c r="J2197" s="41" t="str">
        <f>IF($F2197="","",IF($F2197&lt;1,ROUND($F2197*1440,0),INT($F2197/100)*60+MOD($F2197,100)))</f>
        <v/>
      </c>
      <c r="K2197" s="41" t="str">
        <f>IF($G2197="","",IF($G2197&lt;1,ROUND($G2197*1440,0),INT($G2197/100)*60+MOD($G2197,100)))</f>
        <v/>
      </c>
    </row>
    <row r="2198" ht="15" customHeight="1" s="26">
      <c r="A2198" s="34" t="n"/>
      <c r="B2198" s="32" t="n"/>
      <c r="C2198" s="33" t="n"/>
      <c r="D2198" s="37" t="str">
        <f>IF($C2198="","",IFERROR(INDEX(프로젝트목록!$B$3:$B$62,MATCH($C2198,프로젝트목록!$A$3:$A$62,0)),"미등록코드"))</f>
        <v/>
      </c>
      <c r="E2198" s="32" t="n"/>
      <c r="F2198" s="38" t="n"/>
      <c r="G2198" s="38" t="n"/>
      <c r="H2198" s="39" t="n"/>
      <c r="I2198" s="40" t="str">
        <f>IF(OR($J2198="",$K2198=""),"",ROUND(MAX(0,($K2198-$J2198)-IF($H2198="",0,$H2198))/60,2))</f>
        <v/>
      </c>
      <c r="J2198" s="41" t="str">
        <f>IF($F2198="","",IF($F2198&lt;1,ROUND($F2198*1440,0),INT($F2198/100)*60+MOD($F2198,100)))</f>
        <v/>
      </c>
      <c r="K2198" s="41" t="str">
        <f>IF($G2198="","",IF($G2198&lt;1,ROUND($G2198*1440,0),INT($G2198/100)*60+MOD($G2198,100)))</f>
        <v/>
      </c>
    </row>
    <row r="2199" ht="15" customHeight="1" s="26">
      <c r="A2199" s="34" t="n"/>
      <c r="B2199" s="32" t="n"/>
      <c r="C2199" s="33" t="n"/>
      <c r="D2199" s="37" t="str">
        <f>IF($C2199="","",IFERROR(INDEX(프로젝트목록!$B$3:$B$62,MATCH($C2199,프로젝트목록!$A$3:$A$62,0)),"미등록코드"))</f>
        <v/>
      </c>
      <c r="E2199" s="32" t="n"/>
      <c r="F2199" s="38" t="n"/>
      <c r="G2199" s="38" t="n"/>
      <c r="H2199" s="39" t="n"/>
      <c r="I2199" s="40" t="str">
        <f>IF(OR($J2199="",$K2199=""),"",ROUND(MAX(0,($K2199-$J2199)-IF($H2199="",0,$H2199))/60,2))</f>
        <v/>
      </c>
      <c r="J2199" s="41" t="str">
        <f>IF($F2199="","",IF($F2199&lt;1,ROUND($F2199*1440,0),INT($F2199/100)*60+MOD($F2199,100)))</f>
        <v/>
      </c>
      <c r="K2199" s="41" t="str">
        <f>IF($G2199="","",IF($G2199&lt;1,ROUND($G2199*1440,0),INT($G2199/100)*60+MOD($G2199,100)))</f>
        <v/>
      </c>
    </row>
    <row r="2200" ht="15" customHeight="1" s="26">
      <c r="A2200" s="34" t="n"/>
      <c r="B2200" s="32" t="n"/>
      <c r="C2200" s="33" t="n"/>
      <c r="D2200" s="37" t="str">
        <f>IF($C2200="","",IFERROR(INDEX(프로젝트목록!$B$3:$B$62,MATCH($C2200,프로젝트목록!$A$3:$A$62,0)),"미등록코드"))</f>
        <v/>
      </c>
      <c r="E2200" s="32" t="n"/>
      <c r="F2200" s="38" t="n"/>
      <c r="G2200" s="38" t="n"/>
      <c r="H2200" s="39" t="n"/>
      <c r="I2200" s="40" t="str">
        <f>IF(OR($J2200="",$K2200=""),"",ROUND(MAX(0,($K2200-$J2200)-IF($H2200="",0,$H2200))/60,2))</f>
        <v/>
      </c>
      <c r="J2200" s="41" t="str">
        <f>IF($F2200="","",IF($F2200&lt;1,ROUND($F2200*1440,0),INT($F2200/100)*60+MOD($F2200,100)))</f>
        <v/>
      </c>
      <c r="K2200" s="41" t="str">
        <f>IF($G2200="","",IF($G2200&lt;1,ROUND($G2200*1440,0),INT($G2200/100)*60+MOD($G2200,100)))</f>
        <v/>
      </c>
    </row>
    <row r="2201" ht="15" customHeight="1" s="26">
      <c r="A2201" s="34" t="n"/>
      <c r="B2201" s="32" t="n"/>
      <c r="C2201" s="33" t="n"/>
      <c r="D2201" s="37" t="str">
        <f>IF($C2201="","",IFERROR(INDEX(프로젝트목록!$B$3:$B$62,MATCH($C2201,프로젝트목록!$A$3:$A$62,0)),"미등록코드"))</f>
        <v/>
      </c>
      <c r="E2201" s="32" t="n"/>
      <c r="F2201" s="38" t="n"/>
      <c r="G2201" s="38" t="n"/>
      <c r="H2201" s="39" t="n"/>
      <c r="I2201" s="40" t="str">
        <f>IF(OR($J2201="",$K2201=""),"",ROUND(MAX(0,($K2201-$J2201)-IF($H2201="",0,$H2201))/60,2))</f>
        <v/>
      </c>
      <c r="J2201" s="41" t="str">
        <f>IF($F2201="","",IF($F2201&lt;1,ROUND($F2201*1440,0),INT($F2201/100)*60+MOD($F2201,100)))</f>
        <v/>
      </c>
      <c r="K2201" s="41" t="str">
        <f>IF($G2201="","",IF($G2201&lt;1,ROUND($G2201*1440,0),INT($G2201/100)*60+MOD($G2201,100)))</f>
        <v/>
      </c>
    </row>
    <row r="2202" ht="15" customHeight="1" s="26">
      <c r="A2202" s="34" t="n"/>
      <c r="B2202" s="32" t="n"/>
      <c r="C2202" s="33" t="n"/>
      <c r="D2202" s="37" t="str">
        <f>IF($C2202="","",IFERROR(INDEX(프로젝트목록!$B$3:$B$62,MATCH($C2202,프로젝트목록!$A$3:$A$62,0)),"미등록코드"))</f>
        <v/>
      </c>
      <c r="E2202" s="32" t="n"/>
      <c r="F2202" s="38" t="n"/>
      <c r="G2202" s="38" t="n"/>
      <c r="H2202" s="39" t="n"/>
      <c r="I2202" s="40" t="str">
        <f>IF(OR($J2202="",$K2202=""),"",ROUND(MAX(0,($K2202-$J2202)-IF($H2202="",0,$H2202))/60,2))</f>
        <v/>
      </c>
      <c r="J2202" s="41" t="str">
        <f>IF($F2202="","",IF($F2202&lt;1,ROUND($F2202*1440,0),INT($F2202/100)*60+MOD($F2202,100)))</f>
        <v/>
      </c>
      <c r="K2202" s="41" t="str">
        <f>IF($G2202="","",IF($G2202&lt;1,ROUND($G2202*1440,0),INT($G2202/100)*60+MOD($G2202,100)))</f>
        <v/>
      </c>
    </row>
    <row r="2203" ht="15" customHeight="1" s="26">
      <c r="A2203" s="34" t="n"/>
      <c r="B2203" s="32" t="n"/>
      <c r="C2203" s="33" t="n"/>
      <c r="D2203" s="37" t="str">
        <f>IF($C2203="","",IFERROR(INDEX(프로젝트목록!$B$3:$B$62,MATCH($C2203,프로젝트목록!$A$3:$A$62,0)),"미등록코드"))</f>
        <v/>
      </c>
      <c r="E2203" s="32" t="n"/>
      <c r="F2203" s="38" t="n"/>
      <c r="G2203" s="38" t="n"/>
      <c r="H2203" s="39" t="n"/>
      <c r="I2203" s="40" t="str">
        <f>IF(OR($J2203="",$K2203=""),"",ROUND(MAX(0,($K2203-$J2203)-IF($H2203="",0,$H2203))/60,2))</f>
        <v/>
      </c>
      <c r="J2203" s="41" t="str">
        <f>IF($F2203="","",IF($F2203&lt;1,ROUND($F2203*1440,0),INT($F2203/100)*60+MOD($F2203,100)))</f>
        <v/>
      </c>
      <c r="K2203" s="41" t="str">
        <f>IF($G2203="","",IF($G2203&lt;1,ROUND($G2203*1440,0),INT($G2203/100)*60+MOD($G2203,100)))</f>
        <v/>
      </c>
    </row>
    <row r="2204" ht="15" customHeight="1" s="26">
      <c r="A2204" s="34" t="n"/>
      <c r="B2204" s="32" t="n"/>
      <c r="C2204" s="33" t="n"/>
      <c r="D2204" s="37" t="str">
        <f>IF($C2204="","",IFERROR(INDEX(프로젝트목록!$B$3:$B$62,MATCH($C2204,프로젝트목록!$A$3:$A$62,0)),"미등록코드"))</f>
        <v/>
      </c>
      <c r="E2204" s="32" t="n"/>
      <c r="F2204" s="38" t="n"/>
      <c r="G2204" s="38" t="n"/>
      <c r="H2204" s="39" t="n"/>
      <c r="I2204" s="40" t="str">
        <f>IF(OR($J2204="",$K2204=""),"",ROUND(MAX(0,($K2204-$J2204)-IF($H2204="",0,$H2204))/60,2))</f>
        <v/>
      </c>
      <c r="J2204" s="41" t="str">
        <f>IF($F2204="","",IF($F2204&lt;1,ROUND($F2204*1440,0),INT($F2204/100)*60+MOD($F2204,100)))</f>
        <v/>
      </c>
      <c r="K2204" s="41" t="str">
        <f>IF($G2204="","",IF($G2204&lt;1,ROUND($G2204*1440,0),INT($G2204/100)*60+MOD($G2204,100)))</f>
        <v/>
      </c>
    </row>
    <row r="2205" ht="15" customHeight="1" s="26">
      <c r="A2205" s="34" t="n"/>
      <c r="B2205" s="32" t="n"/>
      <c r="C2205" s="33" t="n"/>
      <c r="D2205" s="37" t="str">
        <f>IF($C2205="","",IFERROR(INDEX(프로젝트목록!$B$3:$B$62,MATCH($C2205,프로젝트목록!$A$3:$A$62,0)),"미등록코드"))</f>
        <v/>
      </c>
      <c r="E2205" s="32" t="n"/>
      <c r="F2205" s="38" t="n"/>
      <c r="G2205" s="38" t="n"/>
      <c r="H2205" s="39" t="n"/>
      <c r="I2205" s="40" t="str">
        <f>IF(OR($J2205="",$K2205=""),"",ROUND(MAX(0,($K2205-$J2205)-IF($H2205="",0,$H2205))/60,2))</f>
        <v/>
      </c>
      <c r="J2205" s="41" t="str">
        <f>IF($F2205="","",IF($F2205&lt;1,ROUND($F2205*1440,0),INT($F2205/100)*60+MOD($F2205,100)))</f>
        <v/>
      </c>
      <c r="K2205" s="41" t="str">
        <f>IF($G2205="","",IF($G2205&lt;1,ROUND($G2205*1440,0),INT($G2205/100)*60+MOD($G2205,100)))</f>
        <v/>
      </c>
    </row>
    <row r="2206" ht="15" customHeight="1" s="26">
      <c r="A2206" s="34" t="n"/>
      <c r="B2206" s="32" t="n"/>
      <c r="C2206" s="33" t="n"/>
      <c r="D2206" s="37" t="str">
        <f>IF($C2206="","",IFERROR(INDEX(프로젝트목록!$B$3:$B$62,MATCH($C2206,프로젝트목록!$A$3:$A$62,0)),"미등록코드"))</f>
        <v/>
      </c>
      <c r="E2206" s="32" t="n"/>
      <c r="F2206" s="38" t="n"/>
      <c r="G2206" s="38" t="n"/>
      <c r="H2206" s="39" t="n"/>
      <c r="I2206" s="40" t="str">
        <f>IF(OR($J2206="",$K2206=""),"",ROUND(MAX(0,($K2206-$J2206)-IF($H2206="",0,$H2206))/60,2))</f>
        <v/>
      </c>
      <c r="J2206" s="41" t="str">
        <f>IF($F2206="","",IF($F2206&lt;1,ROUND($F2206*1440,0),INT($F2206/100)*60+MOD($F2206,100)))</f>
        <v/>
      </c>
      <c r="K2206" s="41" t="str">
        <f>IF($G2206="","",IF($G2206&lt;1,ROUND($G2206*1440,0),INT($G2206/100)*60+MOD($G2206,100)))</f>
        <v/>
      </c>
    </row>
    <row r="2207" ht="15" customHeight="1" s="26">
      <c r="A2207" s="34" t="n"/>
      <c r="B2207" s="32" t="n"/>
      <c r="C2207" s="33" t="n"/>
      <c r="D2207" s="37" t="str">
        <f>IF($C2207="","",IFERROR(INDEX(프로젝트목록!$B$3:$B$62,MATCH($C2207,프로젝트목록!$A$3:$A$62,0)),"미등록코드"))</f>
        <v/>
      </c>
      <c r="E2207" s="32" t="n"/>
      <c r="F2207" s="38" t="n"/>
      <c r="G2207" s="38" t="n"/>
      <c r="H2207" s="39" t="n"/>
      <c r="I2207" s="40" t="str">
        <f>IF(OR($J2207="",$K2207=""),"",ROUND(MAX(0,($K2207-$J2207)-IF($H2207="",0,$H2207))/60,2))</f>
        <v/>
      </c>
      <c r="J2207" s="41" t="str">
        <f>IF($F2207="","",IF($F2207&lt;1,ROUND($F2207*1440,0),INT($F2207/100)*60+MOD($F2207,100)))</f>
        <v/>
      </c>
      <c r="K2207" s="41" t="str">
        <f>IF($G2207="","",IF($G2207&lt;1,ROUND($G2207*1440,0),INT($G2207/100)*60+MOD($G2207,100)))</f>
        <v/>
      </c>
    </row>
    <row r="2208" ht="15" customHeight="1" s="26">
      <c r="A2208" s="34" t="n"/>
      <c r="B2208" s="32" t="n"/>
      <c r="C2208" s="33" t="n"/>
      <c r="D2208" s="37" t="str">
        <f>IF($C2208="","",IFERROR(INDEX(프로젝트목록!$B$3:$B$62,MATCH($C2208,프로젝트목록!$A$3:$A$62,0)),"미등록코드"))</f>
        <v/>
      </c>
      <c r="E2208" s="32" t="n"/>
      <c r="F2208" s="38" t="n"/>
      <c r="G2208" s="38" t="n"/>
      <c r="H2208" s="39" t="n"/>
      <c r="I2208" s="40" t="str">
        <f>IF(OR($J2208="",$K2208=""),"",ROUND(MAX(0,($K2208-$J2208)-IF($H2208="",0,$H2208))/60,2))</f>
        <v/>
      </c>
      <c r="J2208" s="41" t="str">
        <f>IF($F2208="","",IF($F2208&lt;1,ROUND($F2208*1440,0),INT($F2208/100)*60+MOD($F2208,100)))</f>
        <v/>
      </c>
      <c r="K2208" s="41" t="str">
        <f>IF($G2208="","",IF($G2208&lt;1,ROUND($G2208*1440,0),INT($G2208/100)*60+MOD($G2208,100)))</f>
        <v/>
      </c>
    </row>
    <row r="2209" ht="15" customHeight="1" s="26">
      <c r="A2209" s="34" t="n"/>
      <c r="B2209" s="32" t="n"/>
      <c r="C2209" s="33" t="n"/>
      <c r="D2209" s="37" t="str">
        <f>IF($C2209="","",IFERROR(INDEX(프로젝트목록!$B$3:$B$62,MATCH($C2209,프로젝트목록!$A$3:$A$62,0)),"미등록코드"))</f>
        <v/>
      </c>
      <c r="E2209" s="32" t="n"/>
      <c r="F2209" s="38" t="n"/>
      <c r="G2209" s="38" t="n"/>
      <c r="H2209" s="39" t="n"/>
      <c r="I2209" s="40" t="str">
        <f>IF(OR($J2209="",$K2209=""),"",ROUND(MAX(0,($K2209-$J2209)-IF($H2209="",0,$H2209))/60,2))</f>
        <v/>
      </c>
      <c r="J2209" s="41" t="str">
        <f>IF($F2209="","",IF($F2209&lt;1,ROUND($F2209*1440,0),INT($F2209/100)*60+MOD($F2209,100)))</f>
        <v/>
      </c>
      <c r="K2209" s="41" t="str">
        <f>IF($G2209="","",IF($G2209&lt;1,ROUND($G2209*1440,0),INT($G2209/100)*60+MOD($G2209,100)))</f>
        <v/>
      </c>
    </row>
    <row r="2210" ht="15" customHeight="1" s="26">
      <c r="A2210" s="34" t="n"/>
      <c r="B2210" s="32" t="n"/>
      <c r="C2210" s="33" t="n"/>
      <c r="D2210" s="37" t="str">
        <f>IF($C2210="","",IFERROR(INDEX(프로젝트목록!$B$3:$B$62,MATCH($C2210,프로젝트목록!$A$3:$A$62,0)),"미등록코드"))</f>
        <v/>
      </c>
      <c r="E2210" s="32" t="n"/>
      <c r="F2210" s="38" t="n"/>
      <c r="G2210" s="38" t="n"/>
      <c r="H2210" s="39" t="n"/>
      <c r="I2210" s="40" t="str">
        <f>IF(OR($J2210="",$K2210=""),"",ROUND(MAX(0,($K2210-$J2210)-IF($H2210="",0,$H2210))/60,2))</f>
        <v/>
      </c>
      <c r="J2210" s="41" t="str">
        <f>IF($F2210="","",IF($F2210&lt;1,ROUND($F2210*1440,0),INT($F2210/100)*60+MOD($F2210,100)))</f>
        <v/>
      </c>
      <c r="K2210" s="41" t="str">
        <f>IF($G2210="","",IF($G2210&lt;1,ROUND($G2210*1440,0),INT($G2210/100)*60+MOD($G2210,100)))</f>
        <v/>
      </c>
    </row>
    <row r="2211" ht="15" customHeight="1" s="26">
      <c r="A2211" s="34" t="n"/>
      <c r="B2211" s="32" t="n"/>
      <c r="C2211" s="33" t="n"/>
      <c r="D2211" s="37" t="str">
        <f>IF($C2211="","",IFERROR(INDEX(프로젝트목록!$B$3:$B$62,MATCH($C2211,프로젝트목록!$A$3:$A$62,0)),"미등록코드"))</f>
        <v/>
      </c>
      <c r="E2211" s="32" t="n"/>
      <c r="F2211" s="38" t="n"/>
      <c r="G2211" s="38" t="n"/>
      <c r="H2211" s="39" t="n"/>
      <c r="I2211" s="40" t="str">
        <f>IF(OR($J2211="",$K2211=""),"",ROUND(MAX(0,($K2211-$J2211)-IF($H2211="",0,$H2211))/60,2))</f>
        <v/>
      </c>
      <c r="J2211" s="41" t="str">
        <f>IF($F2211="","",IF($F2211&lt;1,ROUND($F2211*1440,0),INT($F2211/100)*60+MOD($F2211,100)))</f>
        <v/>
      </c>
      <c r="K2211" s="41" t="str">
        <f>IF($G2211="","",IF($G2211&lt;1,ROUND($G2211*1440,0),INT($G2211/100)*60+MOD($G2211,100)))</f>
        <v/>
      </c>
    </row>
    <row r="2212" ht="15" customHeight="1" s="26">
      <c r="A2212" s="34" t="n"/>
      <c r="B2212" s="32" t="n"/>
      <c r="C2212" s="33" t="n"/>
      <c r="D2212" s="37" t="str">
        <f>IF($C2212="","",IFERROR(INDEX(프로젝트목록!$B$3:$B$62,MATCH($C2212,프로젝트목록!$A$3:$A$62,0)),"미등록코드"))</f>
        <v/>
      </c>
      <c r="E2212" s="32" t="n"/>
      <c r="F2212" s="38" t="n"/>
      <c r="G2212" s="38" t="n"/>
      <c r="H2212" s="39" t="n"/>
      <c r="I2212" s="40" t="str">
        <f>IF(OR($J2212="",$K2212=""),"",ROUND(MAX(0,($K2212-$J2212)-IF($H2212="",0,$H2212))/60,2))</f>
        <v/>
      </c>
      <c r="J2212" s="41" t="str">
        <f>IF($F2212="","",IF($F2212&lt;1,ROUND($F2212*1440,0),INT($F2212/100)*60+MOD($F2212,100)))</f>
        <v/>
      </c>
      <c r="K2212" s="41" t="str">
        <f>IF($G2212="","",IF($G2212&lt;1,ROUND($G2212*1440,0),INT($G2212/100)*60+MOD($G2212,100)))</f>
        <v/>
      </c>
    </row>
    <row r="2213" ht="15" customHeight="1" s="26">
      <c r="A2213" s="34" t="n"/>
      <c r="B2213" s="32" t="n"/>
      <c r="C2213" s="33" t="n"/>
      <c r="D2213" s="37" t="str">
        <f>IF($C2213="","",IFERROR(INDEX(프로젝트목록!$B$3:$B$62,MATCH($C2213,프로젝트목록!$A$3:$A$62,0)),"미등록코드"))</f>
        <v/>
      </c>
      <c r="E2213" s="32" t="n"/>
      <c r="F2213" s="38" t="n"/>
      <c r="G2213" s="38" t="n"/>
      <c r="H2213" s="39" t="n"/>
      <c r="I2213" s="40" t="str">
        <f>IF(OR($J2213="",$K2213=""),"",ROUND(MAX(0,($K2213-$J2213)-IF($H2213="",0,$H2213))/60,2))</f>
        <v/>
      </c>
      <c r="J2213" s="41" t="str">
        <f>IF($F2213="","",IF($F2213&lt;1,ROUND($F2213*1440,0),INT($F2213/100)*60+MOD($F2213,100)))</f>
        <v/>
      </c>
      <c r="K2213" s="41" t="str">
        <f>IF($G2213="","",IF($G2213&lt;1,ROUND($G2213*1440,0),INT($G2213/100)*60+MOD($G2213,100)))</f>
        <v/>
      </c>
    </row>
    <row r="2214" ht="15" customHeight="1" s="26">
      <c r="A2214" s="34" t="n"/>
      <c r="B2214" s="32" t="n"/>
      <c r="C2214" s="33" t="n"/>
      <c r="D2214" s="37" t="str">
        <f>IF($C2214="","",IFERROR(INDEX(프로젝트목록!$B$3:$B$62,MATCH($C2214,프로젝트목록!$A$3:$A$62,0)),"미등록코드"))</f>
        <v/>
      </c>
      <c r="E2214" s="32" t="n"/>
      <c r="F2214" s="38" t="n"/>
      <c r="G2214" s="38" t="n"/>
      <c r="H2214" s="39" t="n"/>
      <c r="I2214" s="40" t="str">
        <f>IF(OR($J2214="",$K2214=""),"",ROUND(MAX(0,($K2214-$J2214)-IF($H2214="",0,$H2214))/60,2))</f>
        <v/>
      </c>
      <c r="J2214" s="41" t="str">
        <f>IF($F2214="","",IF($F2214&lt;1,ROUND($F2214*1440,0),INT($F2214/100)*60+MOD($F2214,100)))</f>
        <v/>
      </c>
      <c r="K2214" s="41" t="str">
        <f>IF($G2214="","",IF($G2214&lt;1,ROUND($G2214*1440,0),INT($G2214/100)*60+MOD($G2214,100)))</f>
        <v/>
      </c>
    </row>
    <row r="2215" ht="15" customHeight="1" s="26">
      <c r="A2215" s="34" t="n"/>
      <c r="B2215" s="32" t="n"/>
      <c r="C2215" s="33" t="n"/>
      <c r="D2215" s="37" t="str">
        <f>IF($C2215="","",IFERROR(INDEX(프로젝트목록!$B$3:$B$62,MATCH($C2215,프로젝트목록!$A$3:$A$62,0)),"미등록코드"))</f>
        <v/>
      </c>
      <c r="E2215" s="32" t="n"/>
      <c r="F2215" s="38" t="n"/>
      <c r="G2215" s="38" t="n"/>
      <c r="H2215" s="39" t="n"/>
      <c r="I2215" s="40" t="str">
        <f>IF(OR($J2215="",$K2215=""),"",ROUND(MAX(0,($K2215-$J2215)-IF($H2215="",0,$H2215))/60,2))</f>
        <v/>
      </c>
      <c r="J2215" s="41" t="str">
        <f>IF($F2215="","",IF($F2215&lt;1,ROUND($F2215*1440,0),INT($F2215/100)*60+MOD($F2215,100)))</f>
        <v/>
      </c>
      <c r="K2215" s="41" t="str">
        <f>IF($G2215="","",IF($G2215&lt;1,ROUND($G2215*1440,0),INT($G2215/100)*60+MOD($G2215,100)))</f>
        <v/>
      </c>
    </row>
    <row r="2216" ht="15" customHeight="1" s="26">
      <c r="A2216" s="34" t="n"/>
      <c r="B2216" s="32" t="n"/>
      <c r="C2216" s="33" t="n"/>
      <c r="D2216" s="37" t="str">
        <f>IF($C2216="","",IFERROR(INDEX(프로젝트목록!$B$3:$B$62,MATCH($C2216,프로젝트목록!$A$3:$A$62,0)),"미등록코드"))</f>
        <v/>
      </c>
      <c r="E2216" s="32" t="n"/>
      <c r="F2216" s="38" t="n"/>
      <c r="G2216" s="38" t="n"/>
      <c r="H2216" s="39" t="n"/>
      <c r="I2216" s="40" t="str">
        <f>IF(OR($J2216="",$K2216=""),"",ROUND(MAX(0,($K2216-$J2216)-IF($H2216="",0,$H2216))/60,2))</f>
        <v/>
      </c>
      <c r="J2216" s="41" t="str">
        <f>IF($F2216="","",IF($F2216&lt;1,ROUND($F2216*1440,0),INT($F2216/100)*60+MOD($F2216,100)))</f>
        <v/>
      </c>
      <c r="K2216" s="41" t="str">
        <f>IF($G2216="","",IF($G2216&lt;1,ROUND($G2216*1440,0),INT($G2216/100)*60+MOD($G2216,100)))</f>
        <v/>
      </c>
    </row>
    <row r="2217" ht="15" customHeight="1" s="26">
      <c r="A2217" s="34" t="n"/>
      <c r="B2217" s="32" t="n"/>
      <c r="C2217" s="33" t="n"/>
      <c r="D2217" s="37" t="str">
        <f>IF($C2217="","",IFERROR(INDEX(프로젝트목록!$B$3:$B$62,MATCH($C2217,프로젝트목록!$A$3:$A$62,0)),"미등록코드"))</f>
        <v/>
      </c>
      <c r="E2217" s="32" t="n"/>
      <c r="F2217" s="38" t="n"/>
      <c r="G2217" s="38" t="n"/>
      <c r="H2217" s="39" t="n"/>
      <c r="I2217" s="40" t="str">
        <f>IF(OR($J2217="",$K2217=""),"",ROUND(MAX(0,($K2217-$J2217)-IF($H2217="",0,$H2217))/60,2))</f>
        <v/>
      </c>
      <c r="J2217" s="41" t="str">
        <f>IF($F2217="","",IF($F2217&lt;1,ROUND($F2217*1440,0),INT($F2217/100)*60+MOD($F2217,100)))</f>
        <v/>
      </c>
      <c r="K2217" s="41" t="str">
        <f>IF($G2217="","",IF($G2217&lt;1,ROUND($G2217*1440,0),INT($G2217/100)*60+MOD($G2217,100)))</f>
        <v/>
      </c>
    </row>
    <row r="2218" ht="15" customHeight="1" s="26">
      <c r="A2218" s="34" t="n"/>
      <c r="B2218" s="32" t="n"/>
      <c r="C2218" s="33" t="n"/>
      <c r="D2218" s="37" t="str">
        <f>IF($C2218="","",IFERROR(INDEX(프로젝트목록!$B$3:$B$62,MATCH($C2218,프로젝트목록!$A$3:$A$62,0)),"미등록코드"))</f>
        <v/>
      </c>
      <c r="E2218" s="32" t="n"/>
      <c r="F2218" s="38" t="n"/>
      <c r="G2218" s="38" t="n"/>
      <c r="H2218" s="39" t="n"/>
      <c r="I2218" s="40" t="str">
        <f>IF(OR($J2218="",$K2218=""),"",ROUND(MAX(0,($K2218-$J2218)-IF($H2218="",0,$H2218))/60,2))</f>
        <v/>
      </c>
      <c r="J2218" s="41" t="str">
        <f>IF($F2218="","",IF($F2218&lt;1,ROUND($F2218*1440,0),INT($F2218/100)*60+MOD($F2218,100)))</f>
        <v/>
      </c>
      <c r="K2218" s="41" t="str">
        <f>IF($G2218="","",IF($G2218&lt;1,ROUND($G2218*1440,0),INT($G2218/100)*60+MOD($G2218,100)))</f>
        <v/>
      </c>
    </row>
    <row r="2219" ht="15" customHeight="1" s="26">
      <c r="A2219" s="34" t="n"/>
      <c r="B2219" s="32" t="n"/>
      <c r="C2219" s="33" t="n"/>
      <c r="D2219" s="37" t="str">
        <f>IF($C2219="","",IFERROR(INDEX(프로젝트목록!$B$3:$B$62,MATCH($C2219,프로젝트목록!$A$3:$A$62,0)),"미등록코드"))</f>
        <v/>
      </c>
      <c r="E2219" s="32" t="n"/>
      <c r="F2219" s="38" t="n"/>
      <c r="G2219" s="38" t="n"/>
      <c r="H2219" s="39" t="n"/>
      <c r="I2219" s="40" t="str">
        <f>IF(OR($J2219="",$K2219=""),"",ROUND(MAX(0,($K2219-$J2219)-IF($H2219="",0,$H2219))/60,2))</f>
        <v/>
      </c>
      <c r="J2219" s="41" t="str">
        <f>IF($F2219="","",IF($F2219&lt;1,ROUND($F2219*1440,0),INT($F2219/100)*60+MOD($F2219,100)))</f>
        <v/>
      </c>
      <c r="K2219" s="41" t="str">
        <f>IF($G2219="","",IF($G2219&lt;1,ROUND($G2219*1440,0),INT($G2219/100)*60+MOD($G2219,100)))</f>
        <v/>
      </c>
    </row>
    <row r="2220" ht="15" customHeight="1" s="26">
      <c r="A2220" s="34" t="n"/>
      <c r="B2220" s="32" t="n"/>
      <c r="C2220" s="33" t="n"/>
      <c r="D2220" s="37" t="str">
        <f>IF($C2220="","",IFERROR(INDEX(프로젝트목록!$B$3:$B$62,MATCH($C2220,프로젝트목록!$A$3:$A$62,0)),"미등록코드"))</f>
        <v/>
      </c>
      <c r="E2220" s="32" t="n"/>
      <c r="F2220" s="38" t="n"/>
      <c r="G2220" s="38" t="n"/>
      <c r="H2220" s="39" t="n"/>
      <c r="I2220" s="40" t="str">
        <f>IF(OR($J2220="",$K2220=""),"",ROUND(MAX(0,($K2220-$J2220)-IF($H2220="",0,$H2220))/60,2))</f>
        <v/>
      </c>
      <c r="J2220" s="41" t="str">
        <f>IF($F2220="","",IF($F2220&lt;1,ROUND($F2220*1440,0),INT($F2220/100)*60+MOD($F2220,100)))</f>
        <v/>
      </c>
      <c r="K2220" s="41" t="str">
        <f>IF($G2220="","",IF($G2220&lt;1,ROUND($G2220*1440,0),INT($G2220/100)*60+MOD($G2220,100)))</f>
        <v/>
      </c>
    </row>
    <row r="2221" ht="15" customHeight="1" s="26">
      <c r="A2221" s="34" t="n"/>
      <c r="B2221" s="32" t="n"/>
      <c r="C2221" s="33" t="n"/>
      <c r="D2221" s="37" t="str">
        <f>IF($C2221="","",IFERROR(INDEX(프로젝트목록!$B$3:$B$62,MATCH($C2221,프로젝트목록!$A$3:$A$62,0)),"미등록코드"))</f>
        <v/>
      </c>
      <c r="E2221" s="32" t="n"/>
      <c r="F2221" s="38" t="n"/>
      <c r="G2221" s="38" t="n"/>
      <c r="H2221" s="39" t="n"/>
      <c r="I2221" s="40" t="str">
        <f>IF(OR($J2221="",$K2221=""),"",ROUND(MAX(0,($K2221-$J2221)-IF($H2221="",0,$H2221))/60,2))</f>
        <v/>
      </c>
      <c r="J2221" s="41" t="str">
        <f>IF($F2221="","",IF($F2221&lt;1,ROUND($F2221*1440,0),INT($F2221/100)*60+MOD($F2221,100)))</f>
        <v/>
      </c>
      <c r="K2221" s="41" t="str">
        <f>IF($G2221="","",IF($G2221&lt;1,ROUND($G2221*1440,0),INT($G2221/100)*60+MOD($G2221,100)))</f>
        <v/>
      </c>
    </row>
    <row r="2222" ht="15" customHeight="1" s="26">
      <c r="A2222" s="34" t="n"/>
      <c r="B2222" s="32" t="n"/>
      <c r="C2222" s="33" t="n"/>
      <c r="D2222" s="37" t="str">
        <f>IF($C2222="","",IFERROR(INDEX(프로젝트목록!$B$3:$B$62,MATCH($C2222,프로젝트목록!$A$3:$A$62,0)),"미등록코드"))</f>
        <v/>
      </c>
      <c r="E2222" s="32" t="n"/>
      <c r="F2222" s="38" t="n"/>
      <c r="G2222" s="38" t="n"/>
      <c r="H2222" s="39" t="n"/>
      <c r="I2222" s="40" t="str">
        <f>IF(OR($J2222="",$K2222=""),"",ROUND(MAX(0,($K2222-$J2222)-IF($H2222="",0,$H2222))/60,2))</f>
        <v/>
      </c>
      <c r="J2222" s="41" t="str">
        <f>IF($F2222="","",IF($F2222&lt;1,ROUND($F2222*1440,0),INT($F2222/100)*60+MOD($F2222,100)))</f>
        <v/>
      </c>
      <c r="K2222" s="41" t="str">
        <f>IF($G2222="","",IF($G2222&lt;1,ROUND($G2222*1440,0),INT($G2222/100)*60+MOD($G2222,100)))</f>
        <v/>
      </c>
    </row>
    <row r="2223" ht="15" customHeight="1" s="26">
      <c r="A2223" s="34" t="n"/>
      <c r="B2223" s="32" t="n"/>
      <c r="C2223" s="33" t="n"/>
      <c r="D2223" s="37" t="str">
        <f>IF($C2223="","",IFERROR(INDEX(프로젝트목록!$B$3:$B$62,MATCH($C2223,프로젝트목록!$A$3:$A$62,0)),"미등록코드"))</f>
        <v/>
      </c>
      <c r="E2223" s="32" t="n"/>
      <c r="F2223" s="38" t="n"/>
      <c r="G2223" s="38" t="n"/>
      <c r="H2223" s="39" t="n"/>
      <c r="I2223" s="40" t="str">
        <f>IF(OR($J2223="",$K2223=""),"",ROUND(MAX(0,($K2223-$J2223)-IF($H2223="",0,$H2223))/60,2))</f>
        <v/>
      </c>
      <c r="J2223" s="41" t="str">
        <f>IF($F2223="","",IF($F2223&lt;1,ROUND($F2223*1440,0),INT($F2223/100)*60+MOD($F2223,100)))</f>
        <v/>
      </c>
      <c r="K2223" s="41" t="str">
        <f>IF($G2223="","",IF($G2223&lt;1,ROUND($G2223*1440,0),INT($G2223/100)*60+MOD($G2223,100)))</f>
        <v/>
      </c>
    </row>
    <row r="2224" ht="15" customHeight="1" s="26">
      <c r="A2224" s="34" t="n"/>
      <c r="B2224" s="32" t="n"/>
      <c r="C2224" s="33" t="n"/>
      <c r="D2224" s="37" t="str">
        <f>IF($C2224="","",IFERROR(INDEX(프로젝트목록!$B$3:$B$62,MATCH($C2224,프로젝트목록!$A$3:$A$62,0)),"미등록코드"))</f>
        <v/>
      </c>
      <c r="E2224" s="32" t="n"/>
      <c r="F2224" s="38" t="n"/>
      <c r="G2224" s="38" t="n"/>
      <c r="H2224" s="39" t="n"/>
      <c r="I2224" s="40" t="str">
        <f>IF(OR($J2224="",$K2224=""),"",ROUND(MAX(0,($K2224-$J2224)-IF($H2224="",0,$H2224))/60,2))</f>
        <v/>
      </c>
      <c r="J2224" s="41" t="str">
        <f>IF($F2224="","",IF($F2224&lt;1,ROUND($F2224*1440,0),INT($F2224/100)*60+MOD($F2224,100)))</f>
        <v/>
      </c>
      <c r="K2224" s="41" t="str">
        <f>IF($G2224="","",IF($G2224&lt;1,ROUND($G2224*1440,0),INT($G2224/100)*60+MOD($G2224,100)))</f>
        <v/>
      </c>
    </row>
    <row r="2225" ht="15" customHeight="1" s="26">
      <c r="A2225" s="34" t="n"/>
      <c r="B2225" s="32" t="n"/>
      <c r="C2225" s="33" t="n"/>
      <c r="D2225" s="37" t="str">
        <f>IF($C2225="","",IFERROR(INDEX(프로젝트목록!$B$3:$B$62,MATCH($C2225,프로젝트목록!$A$3:$A$62,0)),"미등록코드"))</f>
        <v/>
      </c>
      <c r="E2225" s="32" t="n"/>
      <c r="F2225" s="38" t="n"/>
      <c r="G2225" s="38" t="n"/>
      <c r="H2225" s="39" t="n"/>
      <c r="I2225" s="40" t="str">
        <f>IF(OR($J2225="",$K2225=""),"",ROUND(MAX(0,($K2225-$J2225)-IF($H2225="",0,$H2225))/60,2))</f>
        <v/>
      </c>
      <c r="J2225" s="41" t="str">
        <f>IF($F2225="","",IF($F2225&lt;1,ROUND($F2225*1440,0),INT($F2225/100)*60+MOD($F2225,100)))</f>
        <v/>
      </c>
      <c r="K2225" s="41" t="str">
        <f>IF($G2225="","",IF($G2225&lt;1,ROUND($G2225*1440,0),INT($G2225/100)*60+MOD($G2225,100)))</f>
        <v/>
      </c>
    </row>
    <row r="2226" ht="15" customHeight="1" s="26">
      <c r="A2226" s="34" t="n"/>
      <c r="B2226" s="32" t="n"/>
      <c r="C2226" s="33" t="n"/>
      <c r="D2226" s="37" t="str">
        <f>IF($C2226="","",IFERROR(INDEX(프로젝트목록!$B$3:$B$62,MATCH($C2226,프로젝트목록!$A$3:$A$62,0)),"미등록코드"))</f>
        <v/>
      </c>
      <c r="E2226" s="32" t="n"/>
      <c r="F2226" s="38" t="n"/>
      <c r="G2226" s="38" t="n"/>
      <c r="H2226" s="39" t="n"/>
      <c r="I2226" s="40" t="str">
        <f>IF(OR($J2226="",$K2226=""),"",ROUND(MAX(0,($K2226-$J2226)-IF($H2226="",0,$H2226))/60,2))</f>
        <v/>
      </c>
      <c r="J2226" s="41" t="str">
        <f>IF($F2226="","",IF($F2226&lt;1,ROUND($F2226*1440,0),INT($F2226/100)*60+MOD($F2226,100)))</f>
        <v/>
      </c>
      <c r="K2226" s="41" t="str">
        <f>IF($G2226="","",IF($G2226&lt;1,ROUND($G2226*1440,0),INT($G2226/100)*60+MOD($G2226,100)))</f>
        <v/>
      </c>
    </row>
    <row r="2227" ht="15" customHeight="1" s="26">
      <c r="A2227" s="34" t="n"/>
      <c r="B2227" s="32" t="n"/>
      <c r="C2227" s="33" t="n"/>
      <c r="D2227" s="37" t="str">
        <f>IF($C2227="","",IFERROR(INDEX(프로젝트목록!$B$3:$B$62,MATCH($C2227,프로젝트목록!$A$3:$A$62,0)),"미등록코드"))</f>
        <v/>
      </c>
      <c r="E2227" s="32" t="n"/>
      <c r="F2227" s="38" t="n"/>
      <c r="G2227" s="38" t="n"/>
      <c r="H2227" s="39" t="n"/>
      <c r="I2227" s="40" t="str">
        <f>IF(OR($J2227="",$K2227=""),"",ROUND(MAX(0,($K2227-$J2227)-IF($H2227="",0,$H2227))/60,2))</f>
        <v/>
      </c>
      <c r="J2227" s="41" t="str">
        <f>IF($F2227="","",IF($F2227&lt;1,ROUND($F2227*1440,0),INT($F2227/100)*60+MOD($F2227,100)))</f>
        <v/>
      </c>
      <c r="K2227" s="41" t="str">
        <f>IF($G2227="","",IF($G2227&lt;1,ROUND($G2227*1440,0),INT($G2227/100)*60+MOD($G2227,100)))</f>
        <v/>
      </c>
    </row>
    <row r="2228" ht="15" customHeight="1" s="26">
      <c r="A2228" s="34" t="n"/>
      <c r="B2228" s="32" t="n"/>
      <c r="C2228" s="33" t="n"/>
      <c r="D2228" s="37" t="str">
        <f>IF($C2228="","",IFERROR(INDEX(프로젝트목록!$B$3:$B$62,MATCH($C2228,프로젝트목록!$A$3:$A$62,0)),"미등록코드"))</f>
        <v/>
      </c>
      <c r="E2228" s="32" t="n"/>
      <c r="F2228" s="38" t="n"/>
      <c r="G2228" s="38" t="n"/>
      <c r="H2228" s="39" t="n"/>
      <c r="I2228" s="40" t="str">
        <f>IF(OR($J2228="",$K2228=""),"",ROUND(MAX(0,($K2228-$J2228)-IF($H2228="",0,$H2228))/60,2))</f>
        <v/>
      </c>
      <c r="J2228" s="41" t="str">
        <f>IF($F2228="","",IF($F2228&lt;1,ROUND($F2228*1440,0),INT($F2228/100)*60+MOD($F2228,100)))</f>
        <v/>
      </c>
      <c r="K2228" s="41" t="str">
        <f>IF($G2228="","",IF($G2228&lt;1,ROUND($G2228*1440,0),INT($G2228/100)*60+MOD($G2228,100)))</f>
        <v/>
      </c>
    </row>
    <row r="2229" ht="15" customHeight="1" s="26">
      <c r="A2229" s="34" t="n"/>
      <c r="B2229" s="32" t="n"/>
      <c r="C2229" s="33" t="n"/>
      <c r="D2229" s="37" t="str">
        <f>IF($C2229="","",IFERROR(INDEX(프로젝트목록!$B$3:$B$62,MATCH($C2229,프로젝트목록!$A$3:$A$62,0)),"미등록코드"))</f>
        <v/>
      </c>
      <c r="E2229" s="32" t="n"/>
      <c r="F2229" s="38" t="n"/>
      <c r="G2229" s="38" t="n"/>
      <c r="H2229" s="39" t="n"/>
      <c r="I2229" s="40" t="str">
        <f>IF(OR($J2229="",$K2229=""),"",ROUND(MAX(0,($K2229-$J2229)-IF($H2229="",0,$H2229))/60,2))</f>
        <v/>
      </c>
      <c r="J2229" s="41" t="str">
        <f>IF($F2229="","",IF($F2229&lt;1,ROUND($F2229*1440,0),INT($F2229/100)*60+MOD($F2229,100)))</f>
        <v/>
      </c>
      <c r="K2229" s="41" t="str">
        <f>IF($G2229="","",IF($G2229&lt;1,ROUND($G2229*1440,0),INT($G2229/100)*60+MOD($G2229,100)))</f>
        <v/>
      </c>
    </row>
    <row r="2230" ht="15" customHeight="1" s="26">
      <c r="A2230" s="34" t="n"/>
      <c r="B2230" s="32" t="n"/>
      <c r="C2230" s="33" t="n"/>
      <c r="D2230" s="37" t="str">
        <f>IF($C2230="","",IFERROR(INDEX(프로젝트목록!$B$3:$B$62,MATCH($C2230,프로젝트목록!$A$3:$A$62,0)),"미등록코드"))</f>
        <v/>
      </c>
      <c r="E2230" s="32" t="n"/>
      <c r="F2230" s="38" t="n"/>
      <c r="G2230" s="38" t="n"/>
      <c r="H2230" s="39" t="n"/>
      <c r="I2230" s="40" t="str">
        <f>IF(OR($J2230="",$K2230=""),"",ROUND(MAX(0,($K2230-$J2230)-IF($H2230="",0,$H2230))/60,2))</f>
        <v/>
      </c>
      <c r="J2230" s="41" t="str">
        <f>IF($F2230="","",IF($F2230&lt;1,ROUND($F2230*1440,0),INT($F2230/100)*60+MOD($F2230,100)))</f>
        <v/>
      </c>
      <c r="K2230" s="41" t="str">
        <f>IF($G2230="","",IF($G2230&lt;1,ROUND($G2230*1440,0),INT($G2230/100)*60+MOD($G2230,100)))</f>
        <v/>
      </c>
    </row>
    <row r="2231" ht="15" customHeight="1" s="26">
      <c r="A2231" s="34" t="n"/>
      <c r="B2231" s="32" t="n"/>
      <c r="C2231" s="33" t="n"/>
      <c r="D2231" s="37" t="str">
        <f>IF($C2231="","",IFERROR(INDEX(프로젝트목록!$B$3:$B$62,MATCH($C2231,프로젝트목록!$A$3:$A$62,0)),"미등록코드"))</f>
        <v/>
      </c>
      <c r="E2231" s="32" t="n"/>
      <c r="F2231" s="38" t="n"/>
      <c r="G2231" s="38" t="n"/>
      <c r="H2231" s="39" t="n"/>
      <c r="I2231" s="40" t="str">
        <f>IF(OR($J2231="",$K2231=""),"",ROUND(MAX(0,($K2231-$J2231)-IF($H2231="",0,$H2231))/60,2))</f>
        <v/>
      </c>
      <c r="J2231" s="41" t="str">
        <f>IF($F2231="","",IF($F2231&lt;1,ROUND($F2231*1440,0),INT($F2231/100)*60+MOD($F2231,100)))</f>
        <v/>
      </c>
      <c r="K2231" s="41" t="str">
        <f>IF($G2231="","",IF($G2231&lt;1,ROUND($G2231*1440,0),INT($G2231/100)*60+MOD($G2231,100)))</f>
        <v/>
      </c>
    </row>
    <row r="2232" ht="15" customHeight="1" s="26">
      <c r="A2232" s="34" t="n"/>
      <c r="B2232" s="32" t="n"/>
      <c r="C2232" s="33" t="n"/>
      <c r="D2232" s="37" t="str">
        <f>IF($C2232="","",IFERROR(INDEX(프로젝트목록!$B$3:$B$62,MATCH($C2232,프로젝트목록!$A$3:$A$62,0)),"미등록코드"))</f>
        <v/>
      </c>
      <c r="E2232" s="32" t="n"/>
      <c r="F2232" s="38" t="n"/>
      <c r="G2232" s="38" t="n"/>
      <c r="H2232" s="39" t="n"/>
      <c r="I2232" s="40" t="str">
        <f>IF(OR($J2232="",$K2232=""),"",ROUND(MAX(0,($K2232-$J2232)-IF($H2232="",0,$H2232))/60,2))</f>
        <v/>
      </c>
      <c r="J2232" s="41" t="str">
        <f>IF($F2232="","",IF($F2232&lt;1,ROUND($F2232*1440,0),INT($F2232/100)*60+MOD($F2232,100)))</f>
        <v/>
      </c>
      <c r="K2232" s="41" t="str">
        <f>IF($G2232="","",IF($G2232&lt;1,ROUND($G2232*1440,0),INT($G2232/100)*60+MOD($G2232,100)))</f>
        <v/>
      </c>
    </row>
    <row r="2233" ht="15" customHeight="1" s="26">
      <c r="A2233" s="34" t="n"/>
      <c r="B2233" s="32" t="n"/>
      <c r="C2233" s="33" t="n"/>
      <c r="D2233" s="37" t="str">
        <f>IF($C2233="","",IFERROR(INDEX(프로젝트목록!$B$3:$B$62,MATCH($C2233,프로젝트목록!$A$3:$A$62,0)),"미등록코드"))</f>
        <v/>
      </c>
      <c r="E2233" s="32" t="n"/>
      <c r="F2233" s="38" t="n"/>
      <c r="G2233" s="38" t="n"/>
      <c r="H2233" s="39" t="n"/>
      <c r="I2233" s="40" t="str">
        <f>IF(OR($J2233="",$K2233=""),"",ROUND(MAX(0,($K2233-$J2233)-IF($H2233="",0,$H2233))/60,2))</f>
        <v/>
      </c>
      <c r="J2233" s="41" t="str">
        <f>IF($F2233="","",IF($F2233&lt;1,ROUND($F2233*1440,0),INT($F2233/100)*60+MOD($F2233,100)))</f>
        <v/>
      </c>
      <c r="K2233" s="41" t="str">
        <f>IF($G2233="","",IF($G2233&lt;1,ROUND($G2233*1440,0),INT($G2233/100)*60+MOD($G2233,100)))</f>
        <v/>
      </c>
    </row>
    <row r="2234" ht="15" customHeight="1" s="26">
      <c r="A2234" s="34" t="n"/>
      <c r="B2234" s="32" t="n"/>
      <c r="C2234" s="33" t="n"/>
      <c r="D2234" s="37" t="str">
        <f>IF($C2234="","",IFERROR(INDEX(프로젝트목록!$B$3:$B$62,MATCH($C2234,프로젝트목록!$A$3:$A$62,0)),"미등록코드"))</f>
        <v/>
      </c>
      <c r="E2234" s="32" t="n"/>
      <c r="F2234" s="38" t="n"/>
      <c r="G2234" s="38" t="n"/>
      <c r="H2234" s="39" t="n"/>
      <c r="I2234" s="40" t="str">
        <f>IF(OR($J2234="",$K2234=""),"",ROUND(MAX(0,($K2234-$J2234)-IF($H2234="",0,$H2234))/60,2))</f>
        <v/>
      </c>
      <c r="J2234" s="41" t="str">
        <f>IF($F2234="","",IF($F2234&lt;1,ROUND($F2234*1440,0),INT($F2234/100)*60+MOD($F2234,100)))</f>
        <v/>
      </c>
      <c r="K2234" s="41" t="str">
        <f>IF($G2234="","",IF($G2234&lt;1,ROUND($G2234*1440,0),INT($G2234/100)*60+MOD($G2234,100)))</f>
        <v/>
      </c>
    </row>
    <row r="2235" ht="15" customHeight="1" s="26">
      <c r="A2235" s="34" t="n"/>
      <c r="B2235" s="32" t="n"/>
      <c r="C2235" s="33" t="n"/>
      <c r="D2235" s="37" t="str">
        <f>IF($C2235="","",IFERROR(INDEX(프로젝트목록!$B$3:$B$62,MATCH($C2235,프로젝트목록!$A$3:$A$62,0)),"미등록코드"))</f>
        <v/>
      </c>
      <c r="E2235" s="32" t="n"/>
      <c r="F2235" s="38" t="n"/>
      <c r="G2235" s="38" t="n"/>
      <c r="H2235" s="39" t="n"/>
      <c r="I2235" s="40" t="str">
        <f>IF(OR($J2235="",$K2235=""),"",ROUND(MAX(0,($K2235-$J2235)-IF($H2235="",0,$H2235))/60,2))</f>
        <v/>
      </c>
      <c r="J2235" s="41" t="str">
        <f>IF($F2235="","",IF($F2235&lt;1,ROUND($F2235*1440,0),INT($F2235/100)*60+MOD($F2235,100)))</f>
        <v/>
      </c>
      <c r="K2235" s="41" t="str">
        <f>IF($G2235="","",IF($G2235&lt;1,ROUND($G2235*1440,0),INT($G2235/100)*60+MOD($G2235,100)))</f>
        <v/>
      </c>
    </row>
    <row r="2236" ht="15" customHeight="1" s="26">
      <c r="A2236" s="34" t="n"/>
      <c r="B2236" s="32" t="n"/>
      <c r="C2236" s="33" t="n"/>
      <c r="D2236" s="37" t="str">
        <f>IF($C2236="","",IFERROR(INDEX(프로젝트목록!$B$3:$B$62,MATCH($C2236,프로젝트목록!$A$3:$A$62,0)),"미등록코드"))</f>
        <v/>
      </c>
      <c r="E2236" s="32" t="n"/>
      <c r="F2236" s="38" t="n"/>
      <c r="G2236" s="38" t="n"/>
      <c r="H2236" s="39" t="n"/>
      <c r="I2236" s="40" t="str">
        <f>IF(OR($J2236="",$K2236=""),"",ROUND(MAX(0,($K2236-$J2236)-IF($H2236="",0,$H2236))/60,2))</f>
        <v/>
      </c>
      <c r="J2236" s="41" t="str">
        <f>IF($F2236="","",IF($F2236&lt;1,ROUND($F2236*1440,0),INT($F2236/100)*60+MOD($F2236,100)))</f>
        <v/>
      </c>
      <c r="K2236" s="41" t="str">
        <f>IF($G2236="","",IF($G2236&lt;1,ROUND($G2236*1440,0),INT($G2236/100)*60+MOD($G2236,100)))</f>
        <v/>
      </c>
    </row>
    <row r="2237" ht="15" customHeight="1" s="26">
      <c r="A2237" s="34" t="n"/>
      <c r="B2237" s="32" t="n"/>
      <c r="C2237" s="33" t="n"/>
      <c r="D2237" s="37" t="str">
        <f>IF($C2237="","",IFERROR(INDEX(프로젝트목록!$B$3:$B$62,MATCH($C2237,프로젝트목록!$A$3:$A$62,0)),"미등록코드"))</f>
        <v/>
      </c>
      <c r="E2237" s="32" t="n"/>
      <c r="F2237" s="38" t="n"/>
      <c r="G2237" s="38" t="n"/>
      <c r="H2237" s="39" t="n"/>
      <c r="I2237" s="40" t="str">
        <f>IF(OR($J2237="",$K2237=""),"",ROUND(MAX(0,($K2237-$J2237)-IF($H2237="",0,$H2237))/60,2))</f>
        <v/>
      </c>
      <c r="J2237" s="41" t="str">
        <f>IF($F2237="","",IF($F2237&lt;1,ROUND($F2237*1440,0),INT($F2237/100)*60+MOD($F2237,100)))</f>
        <v/>
      </c>
      <c r="K2237" s="41" t="str">
        <f>IF($G2237="","",IF($G2237&lt;1,ROUND($G2237*1440,0),INT($G2237/100)*60+MOD($G2237,100)))</f>
        <v/>
      </c>
    </row>
    <row r="2238" ht="15" customHeight="1" s="26">
      <c r="A2238" s="34" t="n"/>
      <c r="B2238" s="32" t="n"/>
      <c r="C2238" s="33" t="n"/>
      <c r="D2238" s="37" t="str">
        <f>IF($C2238="","",IFERROR(INDEX(프로젝트목록!$B$3:$B$62,MATCH($C2238,프로젝트목록!$A$3:$A$62,0)),"미등록코드"))</f>
        <v/>
      </c>
      <c r="E2238" s="32" t="n"/>
      <c r="F2238" s="38" t="n"/>
      <c r="G2238" s="38" t="n"/>
      <c r="H2238" s="39" t="n"/>
      <c r="I2238" s="40" t="str">
        <f>IF(OR($J2238="",$K2238=""),"",ROUND(MAX(0,($K2238-$J2238)-IF($H2238="",0,$H2238))/60,2))</f>
        <v/>
      </c>
      <c r="J2238" s="41" t="str">
        <f>IF($F2238="","",IF($F2238&lt;1,ROUND($F2238*1440,0),INT($F2238/100)*60+MOD($F2238,100)))</f>
        <v/>
      </c>
      <c r="K2238" s="41" t="str">
        <f>IF($G2238="","",IF($G2238&lt;1,ROUND($G2238*1440,0),INT($G2238/100)*60+MOD($G2238,100)))</f>
        <v/>
      </c>
    </row>
    <row r="2239" ht="15" customHeight="1" s="26">
      <c r="A2239" s="34" t="n"/>
      <c r="B2239" s="32" t="n"/>
      <c r="C2239" s="33" t="n"/>
      <c r="D2239" s="37" t="str">
        <f>IF($C2239="","",IFERROR(INDEX(프로젝트목록!$B$3:$B$62,MATCH($C2239,프로젝트목록!$A$3:$A$62,0)),"미등록코드"))</f>
        <v/>
      </c>
      <c r="E2239" s="32" t="n"/>
      <c r="F2239" s="38" t="n"/>
      <c r="G2239" s="38" t="n"/>
      <c r="H2239" s="39" t="n"/>
      <c r="I2239" s="40" t="str">
        <f>IF(OR($J2239="",$K2239=""),"",ROUND(MAX(0,($K2239-$J2239)-IF($H2239="",0,$H2239))/60,2))</f>
        <v/>
      </c>
      <c r="J2239" s="41" t="str">
        <f>IF($F2239="","",IF($F2239&lt;1,ROUND($F2239*1440,0),INT($F2239/100)*60+MOD($F2239,100)))</f>
        <v/>
      </c>
      <c r="K2239" s="41" t="str">
        <f>IF($G2239="","",IF($G2239&lt;1,ROUND($G2239*1440,0),INT($G2239/100)*60+MOD($G2239,100)))</f>
        <v/>
      </c>
    </row>
    <row r="2240" ht="15" customHeight="1" s="26">
      <c r="A2240" s="34" t="n"/>
      <c r="B2240" s="32" t="n"/>
      <c r="C2240" s="33" t="n"/>
      <c r="D2240" s="37" t="str">
        <f>IF($C2240="","",IFERROR(INDEX(프로젝트목록!$B$3:$B$62,MATCH($C2240,프로젝트목록!$A$3:$A$62,0)),"미등록코드"))</f>
        <v/>
      </c>
      <c r="E2240" s="32" t="n"/>
      <c r="F2240" s="38" t="n"/>
      <c r="G2240" s="38" t="n"/>
      <c r="H2240" s="39" t="n"/>
      <c r="I2240" s="40" t="str">
        <f>IF(OR($J2240="",$K2240=""),"",ROUND(MAX(0,($K2240-$J2240)-IF($H2240="",0,$H2240))/60,2))</f>
        <v/>
      </c>
      <c r="J2240" s="41" t="str">
        <f>IF($F2240="","",IF($F2240&lt;1,ROUND($F2240*1440,0),INT($F2240/100)*60+MOD($F2240,100)))</f>
        <v/>
      </c>
      <c r="K2240" s="41" t="str">
        <f>IF($G2240="","",IF($G2240&lt;1,ROUND($G2240*1440,0),INT($G2240/100)*60+MOD($G2240,100)))</f>
        <v/>
      </c>
    </row>
    <row r="2241" ht="15" customHeight="1" s="26">
      <c r="A2241" s="34" t="n"/>
      <c r="B2241" s="32" t="n"/>
      <c r="C2241" s="33" t="n"/>
      <c r="D2241" s="37" t="str">
        <f>IF($C2241="","",IFERROR(INDEX(프로젝트목록!$B$3:$B$62,MATCH($C2241,프로젝트목록!$A$3:$A$62,0)),"미등록코드"))</f>
        <v/>
      </c>
      <c r="E2241" s="32" t="n"/>
      <c r="F2241" s="38" t="n"/>
      <c r="G2241" s="38" t="n"/>
      <c r="H2241" s="39" t="n"/>
      <c r="I2241" s="40" t="str">
        <f>IF(OR($J2241="",$K2241=""),"",ROUND(MAX(0,($K2241-$J2241)-IF($H2241="",0,$H2241))/60,2))</f>
        <v/>
      </c>
      <c r="J2241" s="41" t="str">
        <f>IF($F2241="","",IF($F2241&lt;1,ROUND($F2241*1440,0),INT($F2241/100)*60+MOD($F2241,100)))</f>
        <v/>
      </c>
      <c r="K2241" s="41" t="str">
        <f>IF($G2241="","",IF($G2241&lt;1,ROUND($G2241*1440,0),INT($G2241/100)*60+MOD($G2241,100)))</f>
        <v/>
      </c>
    </row>
    <row r="2242" ht="15" customHeight="1" s="26">
      <c r="A2242" s="34" t="n"/>
      <c r="B2242" s="32" t="n"/>
      <c r="C2242" s="33" t="n"/>
      <c r="D2242" s="37" t="str">
        <f>IF($C2242="","",IFERROR(INDEX(프로젝트목록!$B$3:$B$62,MATCH($C2242,프로젝트목록!$A$3:$A$62,0)),"미등록코드"))</f>
        <v/>
      </c>
      <c r="E2242" s="32" t="n"/>
      <c r="F2242" s="38" t="n"/>
      <c r="G2242" s="38" t="n"/>
      <c r="H2242" s="39" t="n"/>
      <c r="I2242" s="40" t="str">
        <f>IF(OR($J2242="",$K2242=""),"",ROUND(MAX(0,($K2242-$J2242)-IF($H2242="",0,$H2242))/60,2))</f>
        <v/>
      </c>
      <c r="J2242" s="41" t="str">
        <f>IF($F2242="","",IF($F2242&lt;1,ROUND($F2242*1440,0),INT($F2242/100)*60+MOD($F2242,100)))</f>
        <v/>
      </c>
      <c r="K2242" s="41" t="str">
        <f>IF($G2242="","",IF($G2242&lt;1,ROUND($G2242*1440,0),INT($G2242/100)*60+MOD($G2242,100)))</f>
        <v/>
      </c>
    </row>
    <row r="2243" ht="15" customHeight="1" s="26">
      <c r="A2243" s="34" t="n"/>
      <c r="B2243" s="32" t="n"/>
      <c r="C2243" s="33" t="n"/>
      <c r="D2243" s="37" t="str">
        <f>IF($C2243="","",IFERROR(INDEX(프로젝트목록!$B$3:$B$62,MATCH($C2243,프로젝트목록!$A$3:$A$62,0)),"미등록코드"))</f>
        <v/>
      </c>
      <c r="E2243" s="32" t="n"/>
      <c r="F2243" s="38" t="n"/>
      <c r="G2243" s="38" t="n"/>
      <c r="H2243" s="39" t="n"/>
      <c r="I2243" s="40" t="str">
        <f>IF(OR($J2243="",$K2243=""),"",ROUND(MAX(0,($K2243-$J2243)-IF($H2243="",0,$H2243))/60,2))</f>
        <v/>
      </c>
      <c r="J2243" s="41" t="str">
        <f>IF($F2243="","",IF($F2243&lt;1,ROUND($F2243*1440,0),INT($F2243/100)*60+MOD($F2243,100)))</f>
        <v/>
      </c>
      <c r="K2243" s="41" t="str">
        <f>IF($G2243="","",IF($G2243&lt;1,ROUND($G2243*1440,0),INT($G2243/100)*60+MOD($G2243,100)))</f>
        <v/>
      </c>
    </row>
    <row r="2244" ht="15" customHeight="1" s="26">
      <c r="A2244" s="34" t="n"/>
      <c r="B2244" s="32" t="n"/>
      <c r="C2244" s="33" t="n"/>
      <c r="D2244" s="37" t="str">
        <f>IF($C2244="","",IFERROR(INDEX(프로젝트목록!$B$3:$B$62,MATCH($C2244,프로젝트목록!$A$3:$A$62,0)),"미등록코드"))</f>
        <v/>
      </c>
      <c r="E2244" s="32" t="n"/>
      <c r="F2244" s="38" t="n"/>
      <c r="G2244" s="38" t="n"/>
      <c r="H2244" s="39" t="n"/>
      <c r="I2244" s="40" t="str">
        <f>IF(OR($J2244="",$K2244=""),"",ROUND(MAX(0,($K2244-$J2244)-IF($H2244="",0,$H2244))/60,2))</f>
        <v/>
      </c>
      <c r="J2244" s="41" t="str">
        <f>IF($F2244="","",IF($F2244&lt;1,ROUND($F2244*1440,0),INT($F2244/100)*60+MOD($F2244,100)))</f>
        <v/>
      </c>
      <c r="K2244" s="41" t="str">
        <f>IF($G2244="","",IF($G2244&lt;1,ROUND($G2244*1440,0),INT($G2244/100)*60+MOD($G2244,100)))</f>
        <v/>
      </c>
    </row>
    <row r="2245" ht="15" customHeight="1" s="26">
      <c r="A2245" s="34" t="n"/>
      <c r="B2245" s="32" t="n"/>
      <c r="C2245" s="33" t="n"/>
      <c r="D2245" s="37" t="str">
        <f>IF($C2245="","",IFERROR(INDEX(프로젝트목록!$B$3:$B$62,MATCH($C2245,프로젝트목록!$A$3:$A$62,0)),"미등록코드"))</f>
        <v/>
      </c>
      <c r="E2245" s="32" t="n"/>
      <c r="F2245" s="38" t="n"/>
      <c r="G2245" s="38" t="n"/>
      <c r="H2245" s="39" t="n"/>
      <c r="I2245" s="40" t="str">
        <f>IF(OR($J2245="",$K2245=""),"",ROUND(MAX(0,($K2245-$J2245)-IF($H2245="",0,$H2245))/60,2))</f>
        <v/>
      </c>
      <c r="J2245" s="41" t="str">
        <f>IF($F2245="","",IF($F2245&lt;1,ROUND($F2245*1440,0),INT($F2245/100)*60+MOD($F2245,100)))</f>
        <v/>
      </c>
      <c r="K2245" s="41" t="str">
        <f>IF($G2245="","",IF($G2245&lt;1,ROUND($G2245*1440,0),INT($G2245/100)*60+MOD($G2245,100)))</f>
        <v/>
      </c>
    </row>
    <row r="2246" ht="15" customHeight="1" s="26">
      <c r="A2246" s="34" t="n"/>
      <c r="B2246" s="32" t="n"/>
      <c r="C2246" s="33" t="n"/>
      <c r="D2246" s="37" t="str">
        <f>IF($C2246="","",IFERROR(INDEX(프로젝트목록!$B$3:$B$62,MATCH($C2246,프로젝트목록!$A$3:$A$62,0)),"미등록코드"))</f>
        <v/>
      </c>
      <c r="E2246" s="32" t="n"/>
      <c r="F2246" s="38" t="n"/>
      <c r="G2246" s="38" t="n"/>
      <c r="H2246" s="39" t="n"/>
      <c r="I2246" s="40" t="str">
        <f>IF(OR($J2246="",$K2246=""),"",ROUND(MAX(0,($K2246-$J2246)-IF($H2246="",0,$H2246))/60,2))</f>
        <v/>
      </c>
      <c r="J2246" s="41" t="str">
        <f>IF($F2246="","",IF($F2246&lt;1,ROUND($F2246*1440,0),INT($F2246/100)*60+MOD($F2246,100)))</f>
        <v/>
      </c>
      <c r="K2246" s="41" t="str">
        <f>IF($G2246="","",IF($G2246&lt;1,ROUND($G2246*1440,0),INT($G2246/100)*60+MOD($G2246,100)))</f>
        <v/>
      </c>
    </row>
    <row r="2247" ht="15" customHeight="1" s="26">
      <c r="A2247" s="34" t="n"/>
      <c r="B2247" s="32" t="n"/>
      <c r="C2247" s="33" t="n"/>
      <c r="D2247" s="37" t="str">
        <f>IF($C2247="","",IFERROR(INDEX(프로젝트목록!$B$3:$B$62,MATCH($C2247,프로젝트목록!$A$3:$A$62,0)),"미등록코드"))</f>
        <v/>
      </c>
      <c r="E2247" s="32" t="n"/>
      <c r="F2247" s="38" t="n"/>
      <c r="G2247" s="38" t="n"/>
      <c r="H2247" s="39" t="n"/>
      <c r="I2247" s="40" t="str">
        <f>IF(OR($J2247="",$K2247=""),"",ROUND(MAX(0,($K2247-$J2247)-IF($H2247="",0,$H2247))/60,2))</f>
        <v/>
      </c>
      <c r="J2247" s="41" t="str">
        <f>IF($F2247="","",IF($F2247&lt;1,ROUND($F2247*1440,0),INT($F2247/100)*60+MOD($F2247,100)))</f>
        <v/>
      </c>
      <c r="K2247" s="41" t="str">
        <f>IF($G2247="","",IF($G2247&lt;1,ROUND($G2247*1440,0),INT($G2247/100)*60+MOD($G2247,100)))</f>
        <v/>
      </c>
    </row>
    <row r="2248" ht="15" customHeight="1" s="26">
      <c r="A2248" s="34" t="n"/>
      <c r="B2248" s="32" t="n"/>
      <c r="C2248" s="33" t="n"/>
      <c r="D2248" s="37" t="str">
        <f>IF($C2248="","",IFERROR(INDEX(프로젝트목록!$B$3:$B$62,MATCH($C2248,프로젝트목록!$A$3:$A$62,0)),"미등록코드"))</f>
        <v/>
      </c>
      <c r="E2248" s="32" t="n"/>
      <c r="F2248" s="38" t="n"/>
      <c r="G2248" s="38" t="n"/>
      <c r="H2248" s="39" t="n"/>
      <c r="I2248" s="40" t="str">
        <f>IF(OR($J2248="",$K2248=""),"",ROUND(MAX(0,($K2248-$J2248)-IF($H2248="",0,$H2248))/60,2))</f>
        <v/>
      </c>
      <c r="J2248" s="41" t="str">
        <f>IF($F2248="","",IF($F2248&lt;1,ROUND($F2248*1440,0),INT($F2248/100)*60+MOD($F2248,100)))</f>
        <v/>
      </c>
      <c r="K2248" s="41" t="str">
        <f>IF($G2248="","",IF($G2248&lt;1,ROUND($G2248*1440,0),INT($G2248/100)*60+MOD($G2248,100)))</f>
        <v/>
      </c>
    </row>
    <row r="2249" ht="15" customHeight="1" s="26">
      <c r="A2249" s="34" t="n"/>
      <c r="B2249" s="32" t="n"/>
      <c r="C2249" s="33" t="n"/>
      <c r="D2249" s="37" t="str">
        <f>IF($C2249="","",IFERROR(INDEX(프로젝트목록!$B$3:$B$62,MATCH($C2249,프로젝트목록!$A$3:$A$62,0)),"미등록코드"))</f>
        <v/>
      </c>
      <c r="E2249" s="32" t="n"/>
      <c r="F2249" s="38" t="n"/>
      <c r="G2249" s="38" t="n"/>
      <c r="H2249" s="39" t="n"/>
      <c r="I2249" s="40" t="str">
        <f>IF(OR($J2249="",$K2249=""),"",ROUND(MAX(0,($K2249-$J2249)-IF($H2249="",0,$H2249))/60,2))</f>
        <v/>
      </c>
      <c r="J2249" s="41" t="str">
        <f>IF($F2249="","",IF($F2249&lt;1,ROUND($F2249*1440,0),INT($F2249/100)*60+MOD($F2249,100)))</f>
        <v/>
      </c>
      <c r="K2249" s="41" t="str">
        <f>IF($G2249="","",IF($G2249&lt;1,ROUND($G2249*1440,0),INT($G2249/100)*60+MOD($G2249,100)))</f>
        <v/>
      </c>
    </row>
    <row r="2250" ht="15" customHeight="1" s="26">
      <c r="A2250" s="34" t="n"/>
      <c r="B2250" s="32" t="n"/>
      <c r="C2250" s="33" t="n"/>
      <c r="D2250" s="37" t="str">
        <f>IF($C2250="","",IFERROR(INDEX(프로젝트목록!$B$3:$B$62,MATCH($C2250,프로젝트목록!$A$3:$A$62,0)),"미등록코드"))</f>
        <v/>
      </c>
      <c r="E2250" s="32" t="n"/>
      <c r="F2250" s="38" t="n"/>
      <c r="G2250" s="38" t="n"/>
      <c r="H2250" s="39" t="n"/>
      <c r="I2250" s="40" t="str">
        <f>IF(OR($J2250="",$K2250=""),"",ROUND(MAX(0,($K2250-$J2250)-IF($H2250="",0,$H2250))/60,2))</f>
        <v/>
      </c>
      <c r="J2250" s="41" t="str">
        <f>IF($F2250="","",IF($F2250&lt;1,ROUND($F2250*1440,0),INT($F2250/100)*60+MOD($F2250,100)))</f>
        <v/>
      </c>
      <c r="K2250" s="41" t="str">
        <f>IF($G2250="","",IF($G2250&lt;1,ROUND($G2250*1440,0),INT($G2250/100)*60+MOD($G2250,100)))</f>
        <v/>
      </c>
    </row>
    <row r="2251" ht="15" customHeight="1" s="26">
      <c r="A2251" s="34" t="n"/>
      <c r="B2251" s="32" t="n"/>
      <c r="C2251" s="33" t="n"/>
      <c r="D2251" s="37" t="str">
        <f>IF($C2251="","",IFERROR(INDEX(프로젝트목록!$B$3:$B$62,MATCH($C2251,프로젝트목록!$A$3:$A$62,0)),"미등록코드"))</f>
        <v/>
      </c>
      <c r="E2251" s="32" t="n"/>
      <c r="F2251" s="38" t="n"/>
      <c r="G2251" s="38" t="n"/>
      <c r="H2251" s="39" t="n"/>
      <c r="I2251" s="40" t="str">
        <f>IF(OR($J2251="",$K2251=""),"",ROUND(MAX(0,($K2251-$J2251)-IF($H2251="",0,$H2251))/60,2))</f>
        <v/>
      </c>
      <c r="J2251" s="41" t="str">
        <f>IF($F2251="","",IF($F2251&lt;1,ROUND($F2251*1440,0),INT($F2251/100)*60+MOD($F2251,100)))</f>
        <v/>
      </c>
      <c r="K2251" s="41" t="str">
        <f>IF($G2251="","",IF($G2251&lt;1,ROUND($G2251*1440,0),INT($G2251/100)*60+MOD($G2251,100)))</f>
        <v/>
      </c>
    </row>
    <row r="2252" ht="15" customHeight="1" s="26">
      <c r="A2252" s="34" t="n"/>
      <c r="B2252" s="32" t="n"/>
      <c r="C2252" s="33" t="n"/>
      <c r="D2252" s="37" t="str">
        <f>IF($C2252="","",IFERROR(INDEX(프로젝트목록!$B$3:$B$62,MATCH($C2252,프로젝트목록!$A$3:$A$62,0)),"미등록코드"))</f>
        <v/>
      </c>
      <c r="E2252" s="32" t="n"/>
      <c r="F2252" s="38" t="n"/>
      <c r="G2252" s="38" t="n"/>
      <c r="H2252" s="39" t="n"/>
      <c r="I2252" s="40" t="str">
        <f>IF(OR($J2252="",$K2252=""),"",ROUND(MAX(0,($K2252-$J2252)-IF($H2252="",0,$H2252))/60,2))</f>
        <v/>
      </c>
      <c r="J2252" s="41" t="str">
        <f>IF($F2252="","",IF($F2252&lt;1,ROUND($F2252*1440,0),INT($F2252/100)*60+MOD($F2252,100)))</f>
        <v/>
      </c>
      <c r="K2252" s="41" t="str">
        <f>IF($G2252="","",IF($G2252&lt;1,ROUND($G2252*1440,0),INT($G2252/100)*60+MOD($G2252,100)))</f>
        <v/>
      </c>
    </row>
    <row r="2253" ht="15" customHeight="1" s="26">
      <c r="A2253" s="34" t="n"/>
      <c r="B2253" s="32" t="n"/>
      <c r="C2253" s="33" t="n"/>
      <c r="D2253" s="37" t="str">
        <f>IF($C2253="","",IFERROR(INDEX(프로젝트목록!$B$3:$B$62,MATCH($C2253,프로젝트목록!$A$3:$A$62,0)),"미등록코드"))</f>
        <v/>
      </c>
      <c r="E2253" s="32" t="n"/>
      <c r="F2253" s="38" t="n"/>
      <c r="G2253" s="38" t="n"/>
      <c r="H2253" s="39" t="n"/>
      <c r="I2253" s="40" t="str">
        <f>IF(OR($J2253="",$K2253=""),"",ROUND(MAX(0,($K2253-$J2253)-IF($H2253="",0,$H2253))/60,2))</f>
        <v/>
      </c>
      <c r="J2253" s="41" t="str">
        <f>IF($F2253="","",IF($F2253&lt;1,ROUND($F2253*1440,0),INT($F2253/100)*60+MOD($F2253,100)))</f>
        <v/>
      </c>
      <c r="K2253" s="41" t="str">
        <f>IF($G2253="","",IF($G2253&lt;1,ROUND($G2253*1440,0),INT($G2253/100)*60+MOD($G2253,100)))</f>
        <v/>
      </c>
    </row>
    <row r="2254" ht="15" customHeight="1" s="26">
      <c r="A2254" s="34" t="n"/>
      <c r="B2254" s="32" t="n"/>
      <c r="C2254" s="33" t="n"/>
      <c r="D2254" s="37" t="str">
        <f>IF($C2254="","",IFERROR(INDEX(프로젝트목록!$B$3:$B$62,MATCH($C2254,프로젝트목록!$A$3:$A$62,0)),"미등록코드"))</f>
        <v/>
      </c>
      <c r="E2254" s="32" t="n"/>
      <c r="F2254" s="38" t="n"/>
      <c r="G2254" s="38" t="n"/>
      <c r="H2254" s="39" t="n"/>
      <c r="I2254" s="40" t="str">
        <f>IF(OR($J2254="",$K2254=""),"",ROUND(MAX(0,($K2254-$J2254)-IF($H2254="",0,$H2254))/60,2))</f>
        <v/>
      </c>
      <c r="J2254" s="41" t="str">
        <f>IF($F2254="","",IF($F2254&lt;1,ROUND($F2254*1440,0),INT($F2254/100)*60+MOD($F2254,100)))</f>
        <v/>
      </c>
      <c r="K2254" s="41" t="str">
        <f>IF($G2254="","",IF($G2254&lt;1,ROUND($G2254*1440,0),INT($G2254/100)*60+MOD($G2254,100)))</f>
        <v/>
      </c>
    </row>
    <row r="2255" ht="15" customHeight="1" s="26">
      <c r="A2255" s="34" t="n"/>
      <c r="B2255" s="32" t="n"/>
      <c r="C2255" s="33" t="n"/>
      <c r="D2255" s="37" t="str">
        <f>IF($C2255="","",IFERROR(INDEX(프로젝트목록!$B$3:$B$62,MATCH($C2255,프로젝트목록!$A$3:$A$62,0)),"미등록코드"))</f>
        <v/>
      </c>
      <c r="E2255" s="32" t="n"/>
      <c r="F2255" s="38" t="n"/>
      <c r="G2255" s="38" t="n"/>
      <c r="H2255" s="39" t="n"/>
      <c r="I2255" s="40" t="str">
        <f>IF(OR($J2255="",$K2255=""),"",ROUND(MAX(0,($K2255-$J2255)-IF($H2255="",0,$H2255))/60,2))</f>
        <v/>
      </c>
      <c r="J2255" s="41" t="str">
        <f>IF($F2255="","",IF($F2255&lt;1,ROUND($F2255*1440,0),INT($F2255/100)*60+MOD($F2255,100)))</f>
        <v/>
      </c>
      <c r="K2255" s="41" t="str">
        <f>IF($G2255="","",IF($G2255&lt;1,ROUND($G2255*1440,0),INT($G2255/100)*60+MOD($G2255,100)))</f>
        <v/>
      </c>
    </row>
    <row r="2256" ht="15" customHeight="1" s="26">
      <c r="A2256" s="34" t="n"/>
      <c r="B2256" s="32" t="n"/>
      <c r="C2256" s="33" t="n"/>
      <c r="D2256" s="37" t="str">
        <f>IF($C2256="","",IFERROR(INDEX(프로젝트목록!$B$3:$B$62,MATCH($C2256,프로젝트목록!$A$3:$A$62,0)),"미등록코드"))</f>
        <v/>
      </c>
      <c r="E2256" s="32" t="n"/>
      <c r="F2256" s="38" t="n"/>
      <c r="G2256" s="38" t="n"/>
      <c r="H2256" s="39" t="n"/>
      <c r="I2256" s="40" t="str">
        <f>IF(OR($J2256="",$K2256=""),"",ROUND(MAX(0,($K2256-$J2256)-IF($H2256="",0,$H2256))/60,2))</f>
        <v/>
      </c>
      <c r="J2256" s="41" t="str">
        <f>IF($F2256="","",IF($F2256&lt;1,ROUND($F2256*1440,0),INT($F2256/100)*60+MOD($F2256,100)))</f>
        <v/>
      </c>
      <c r="K2256" s="41" t="str">
        <f>IF($G2256="","",IF($G2256&lt;1,ROUND($G2256*1440,0),INT($G2256/100)*60+MOD($G2256,100)))</f>
        <v/>
      </c>
    </row>
    <row r="2257" ht="15" customHeight="1" s="26">
      <c r="A2257" s="34" t="n"/>
      <c r="B2257" s="32" t="n"/>
      <c r="C2257" s="33" t="n"/>
      <c r="D2257" s="37" t="str">
        <f>IF($C2257="","",IFERROR(INDEX(프로젝트목록!$B$3:$B$62,MATCH($C2257,프로젝트목록!$A$3:$A$62,0)),"미등록코드"))</f>
        <v/>
      </c>
      <c r="E2257" s="32" t="n"/>
      <c r="F2257" s="38" t="n"/>
      <c r="G2257" s="38" t="n"/>
      <c r="H2257" s="39" t="n"/>
      <c r="I2257" s="40" t="str">
        <f>IF(OR($J2257="",$K2257=""),"",ROUND(MAX(0,($K2257-$J2257)-IF($H2257="",0,$H2257))/60,2))</f>
        <v/>
      </c>
      <c r="J2257" s="41" t="str">
        <f>IF($F2257="","",IF($F2257&lt;1,ROUND($F2257*1440,0),INT($F2257/100)*60+MOD($F2257,100)))</f>
        <v/>
      </c>
      <c r="K2257" s="41" t="str">
        <f>IF($G2257="","",IF($G2257&lt;1,ROUND($G2257*1440,0),INT($G2257/100)*60+MOD($G2257,100)))</f>
        <v/>
      </c>
    </row>
    <row r="2258" ht="15" customHeight="1" s="26">
      <c r="A2258" s="34" t="n"/>
      <c r="B2258" s="32" t="n"/>
      <c r="C2258" s="33" t="n"/>
      <c r="D2258" s="37" t="str">
        <f>IF($C2258="","",IFERROR(INDEX(프로젝트목록!$B$3:$B$62,MATCH($C2258,프로젝트목록!$A$3:$A$62,0)),"미등록코드"))</f>
        <v/>
      </c>
      <c r="E2258" s="32" t="n"/>
      <c r="F2258" s="38" t="n"/>
      <c r="G2258" s="38" t="n"/>
      <c r="H2258" s="39" t="n"/>
      <c r="I2258" s="40" t="str">
        <f>IF(OR($J2258="",$K2258=""),"",ROUND(MAX(0,($K2258-$J2258)-IF($H2258="",0,$H2258))/60,2))</f>
        <v/>
      </c>
      <c r="J2258" s="41" t="str">
        <f>IF($F2258="","",IF($F2258&lt;1,ROUND($F2258*1440,0),INT($F2258/100)*60+MOD($F2258,100)))</f>
        <v/>
      </c>
      <c r="K2258" s="41" t="str">
        <f>IF($G2258="","",IF($G2258&lt;1,ROUND($G2258*1440,0),INT($G2258/100)*60+MOD($G2258,100)))</f>
        <v/>
      </c>
    </row>
    <row r="2259" ht="15" customHeight="1" s="26">
      <c r="A2259" s="34" t="n"/>
      <c r="B2259" s="32" t="n"/>
      <c r="C2259" s="33" t="n"/>
      <c r="D2259" s="37" t="str">
        <f>IF($C2259="","",IFERROR(INDEX(프로젝트목록!$B$3:$B$62,MATCH($C2259,프로젝트목록!$A$3:$A$62,0)),"미등록코드"))</f>
        <v/>
      </c>
      <c r="E2259" s="32" t="n"/>
      <c r="F2259" s="38" t="n"/>
      <c r="G2259" s="38" t="n"/>
      <c r="H2259" s="39" t="n"/>
      <c r="I2259" s="40" t="str">
        <f>IF(OR($J2259="",$K2259=""),"",ROUND(MAX(0,($K2259-$J2259)-IF($H2259="",0,$H2259))/60,2))</f>
        <v/>
      </c>
      <c r="J2259" s="41" t="str">
        <f>IF($F2259="","",IF($F2259&lt;1,ROUND($F2259*1440,0),INT($F2259/100)*60+MOD($F2259,100)))</f>
        <v/>
      </c>
      <c r="K2259" s="41" t="str">
        <f>IF($G2259="","",IF($G2259&lt;1,ROUND($G2259*1440,0),INT($G2259/100)*60+MOD($G2259,100)))</f>
        <v/>
      </c>
    </row>
    <row r="2260" ht="15" customHeight="1" s="26">
      <c r="A2260" s="34" t="n"/>
      <c r="B2260" s="32" t="n"/>
      <c r="C2260" s="33" t="n"/>
      <c r="D2260" s="37" t="str">
        <f>IF($C2260="","",IFERROR(INDEX(프로젝트목록!$B$3:$B$62,MATCH($C2260,프로젝트목록!$A$3:$A$62,0)),"미등록코드"))</f>
        <v/>
      </c>
      <c r="E2260" s="32" t="n"/>
      <c r="F2260" s="38" t="n"/>
      <c r="G2260" s="38" t="n"/>
      <c r="H2260" s="39" t="n"/>
      <c r="I2260" s="40" t="str">
        <f>IF(OR($J2260="",$K2260=""),"",ROUND(MAX(0,($K2260-$J2260)-IF($H2260="",0,$H2260))/60,2))</f>
        <v/>
      </c>
      <c r="J2260" s="41" t="str">
        <f>IF($F2260="","",IF($F2260&lt;1,ROUND($F2260*1440,0),INT($F2260/100)*60+MOD($F2260,100)))</f>
        <v/>
      </c>
      <c r="K2260" s="41" t="str">
        <f>IF($G2260="","",IF($G2260&lt;1,ROUND($G2260*1440,0),INT($G2260/100)*60+MOD($G2260,100)))</f>
        <v/>
      </c>
    </row>
    <row r="2261" ht="15" customHeight="1" s="26">
      <c r="A2261" s="34" t="n"/>
      <c r="B2261" s="32" t="n"/>
      <c r="C2261" s="33" t="n"/>
      <c r="D2261" s="37" t="str">
        <f>IF($C2261="","",IFERROR(INDEX(프로젝트목록!$B$3:$B$62,MATCH($C2261,프로젝트목록!$A$3:$A$62,0)),"미등록코드"))</f>
        <v/>
      </c>
      <c r="E2261" s="32" t="n"/>
      <c r="F2261" s="38" t="n"/>
      <c r="G2261" s="38" t="n"/>
      <c r="H2261" s="39" t="n"/>
      <c r="I2261" s="40" t="str">
        <f>IF(OR($J2261="",$K2261=""),"",ROUND(MAX(0,($K2261-$J2261)-IF($H2261="",0,$H2261))/60,2))</f>
        <v/>
      </c>
      <c r="J2261" s="41" t="str">
        <f>IF($F2261="","",IF($F2261&lt;1,ROUND($F2261*1440,0),INT($F2261/100)*60+MOD($F2261,100)))</f>
        <v/>
      </c>
      <c r="K2261" s="41" t="str">
        <f>IF($G2261="","",IF($G2261&lt;1,ROUND($G2261*1440,0),INT($G2261/100)*60+MOD($G2261,100)))</f>
        <v/>
      </c>
    </row>
    <row r="2262" ht="15" customHeight="1" s="26">
      <c r="A2262" s="34" t="n"/>
      <c r="B2262" s="32" t="n"/>
      <c r="C2262" s="33" t="n"/>
      <c r="D2262" s="37" t="str">
        <f>IF($C2262="","",IFERROR(INDEX(프로젝트목록!$B$3:$B$62,MATCH($C2262,프로젝트목록!$A$3:$A$62,0)),"미등록코드"))</f>
        <v/>
      </c>
      <c r="E2262" s="32" t="n"/>
      <c r="F2262" s="38" t="n"/>
      <c r="G2262" s="38" t="n"/>
      <c r="H2262" s="39" t="n"/>
      <c r="I2262" s="40" t="str">
        <f>IF(OR($J2262="",$K2262=""),"",ROUND(MAX(0,($K2262-$J2262)-IF($H2262="",0,$H2262))/60,2))</f>
        <v/>
      </c>
      <c r="J2262" s="41" t="str">
        <f>IF($F2262="","",IF($F2262&lt;1,ROUND($F2262*1440,0),INT($F2262/100)*60+MOD($F2262,100)))</f>
        <v/>
      </c>
      <c r="K2262" s="41" t="str">
        <f>IF($G2262="","",IF($G2262&lt;1,ROUND($G2262*1440,0),INT($G2262/100)*60+MOD($G2262,100)))</f>
        <v/>
      </c>
    </row>
    <row r="2263" ht="15" customHeight="1" s="26">
      <c r="A2263" s="34" t="n"/>
      <c r="B2263" s="32" t="n"/>
      <c r="C2263" s="33" t="n"/>
      <c r="D2263" s="37" t="str">
        <f>IF($C2263="","",IFERROR(INDEX(프로젝트목록!$B$3:$B$62,MATCH($C2263,프로젝트목록!$A$3:$A$62,0)),"미등록코드"))</f>
        <v/>
      </c>
      <c r="E2263" s="32" t="n"/>
      <c r="F2263" s="38" t="n"/>
      <c r="G2263" s="38" t="n"/>
      <c r="H2263" s="39" t="n"/>
      <c r="I2263" s="40" t="str">
        <f>IF(OR($J2263="",$K2263=""),"",ROUND(MAX(0,($K2263-$J2263)-IF($H2263="",0,$H2263))/60,2))</f>
        <v/>
      </c>
      <c r="J2263" s="41" t="str">
        <f>IF($F2263="","",IF($F2263&lt;1,ROUND($F2263*1440,0),INT($F2263/100)*60+MOD($F2263,100)))</f>
        <v/>
      </c>
      <c r="K2263" s="41" t="str">
        <f>IF($G2263="","",IF($G2263&lt;1,ROUND($G2263*1440,0),INT($G2263/100)*60+MOD($G2263,100)))</f>
        <v/>
      </c>
    </row>
    <row r="2264" ht="15" customHeight="1" s="26">
      <c r="A2264" s="34" t="n"/>
      <c r="B2264" s="32" t="n"/>
      <c r="C2264" s="33" t="n"/>
      <c r="D2264" s="37" t="str">
        <f>IF($C2264="","",IFERROR(INDEX(프로젝트목록!$B$3:$B$62,MATCH($C2264,프로젝트목록!$A$3:$A$62,0)),"미등록코드"))</f>
        <v/>
      </c>
      <c r="E2264" s="32" t="n"/>
      <c r="F2264" s="38" t="n"/>
      <c r="G2264" s="38" t="n"/>
      <c r="H2264" s="39" t="n"/>
      <c r="I2264" s="40" t="str">
        <f>IF(OR($J2264="",$K2264=""),"",ROUND(MAX(0,($K2264-$J2264)-IF($H2264="",0,$H2264))/60,2))</f>
        <v/>
      </c>
      <c r="J2264" s="41" t="str">
        <f>IF($F2264="","",IF($F2264&lt;1,ROUND($F2264*1440,0),INT($F2264/100)*60+MOD($F2264,100)))</f>
        <v/>
      </c>
      <c r="K2264" s="41" t="str">
        <f>IF($G2264="","",IF($G2264&lt;1,ROUND($G2264*1440,0),INT($G2264/100)*60+MOD($G2264,100)))</f>
        <v/>
      </c>
    </row>
    <row r="2265" ht="15" customHeight="1" s="26">
      <c r="A2265" s="34" t="n"/>
      <c r="B2265" s="32" t="n"/>
      <c r="C2265" s="33" t="n"/>
      <c r="D2265" s="37" t="str">
        <f>IF($C2265="","",IFERROR(INDEX(프로젝트목록!$B$3:$B$62,MATCH($C2265,프로젝트목록!$A$3:$A$62,0)),"미등록코드"))</f>
        <v/>
      </c>
      <c r="E2265" s="32" t="n"/>
      <c r="F2265" s="38" t="n"/>
      <c r="G2265" s="38" t="n"/>
      <c r="H2265" s="39" t="n"/>
      <c r="I2265" s="40" t="str">
        <f>IF(OR($J2265="",$K2265=""),"",ROUND(MAX(0,($K2265-$J2265)-IF($H2265="",0,$H2265))/60,2))</f>
        <v/>
      </c>
      <c r="J2265" s="41" t="str">
        <f>IF($F2265="","",IF($F2265&lt;1,ROUND($F2265*1440,0),INT($F2265/100)*60+MOD($F2265,100)))</f>
        <v/>
      </c>
      <c r="K2265" s="41" t="str">
        <f>IF($G2265="","",IF($G2265&lt;1,ROUND($G2265*1440,0),INT($G2265/100)*60+MOD($G2265,100)))</f>
        <v/>
      </c>
    </row>
    <row r="2266" ht="15" customHeight="1" s="26">
      <c r="A2266" s="34" t="n"/>
      <c r="B2266" s="32" t="n"/>
      <c r="C2266" s="33" t="n"/>
      <c r="D2266" s="37" t="str">
        <f>IF($C2266="","",IFERROR(INDEX(프로젝트목록!$B$3:$B$62,MATCH($C2266,프로젝트목록!$A$3:$A$62,0)),"미등록코드"))</f>
        <v/>
      </c>
      <c r="E2266" s="32" t="n"/>
      <c r="F2266" s="38" t="n"/>
      <c r="G2266" s="38" t="n"/>
      <c r="H2266" s="39" t="n"/>
      <c r="I2266" s="40" t="str">
        <f>IF(OR($J2266="",$K2266=""),"",ROUND(MAX(0,($K2266-$J2266)-IF($H2266="",0,$H2266))/60,2))</f>
        <v/>
      </c>
      <c r="J2266" s="41" t="str">
        <f>IF($F2266="","",IF($F2266&lt;1,ROUND($F2266*1440,0),INT($F2266/100)*60+MOD($F2266,100)))</f>
        <v/>
      </c>
      <c r="K2266" s="41" t="str">
        <f>IF($G2266="","",IF($G2266&lt;1,ROUND($G2266*1440,0),INT($G2266/100)*60+MOD($G2266,100)))</f>
        <v/>
      </c>
    </row>
    <row r="2267" ht="15" customHeight="1" s="26">
      <c r="A2267" s="34" t="n"/>
      <c r="B2267" s="32" t="n"/>
      <c r="C2267" s="33" t="n"/>
      <c r="D2267" s="37" t="str">
        <f>IF($C2267="","",IFERROR(INDEX(프로젝트목록!$B$3:$B$62,MATCH($C2267,프로젝트목록!$A$3:$A$62,0)),"미등록코드"))</f>
        <v/>
      </c>
      <c r="E2267" s="32" t="n"/>
      <c r="F2267" s="38" t="n"/>
      <c r="G2267" s="38" t="n"/>
      <c r="H2267" s="39" t="n"/>
      <c r="I2267" s="40" t="str">
        <f>IF(OR($J2267="",$K2267=""),"",ROUND(MAX(0,($K2267-$J2267)-IF($H2267="",0,$H2267))/60,2))</f>
        <v/>
      </c>
      <c r="J2267" s="41" t="str">
        <f>IF($F2267="","",IF($F2267&lt;1,ROUND($F2267*1440,0),INT($F2267/100)*60+MOD($F2267,100)))</f>
        <v/>
      </c>
      <c r="K2267" s="41" t="str">
        <f>IF($G2267="","",IF($G2267&lt;1,ROUND($G2267*1440,0),INT($G2267/100)*60+MOD($G2267,100)))</f>
        <v/>
      </c>
    </row>
    <row r="2268" ht="15" customHeight="1" s="26">
      <c r="A2268" s="34" t="n"/>
      <c r="B2268" s="32" t="n"/>
      <c r="C2268" s="33" t="n"/>
      <c r="D2268" s="37" t="str">
        <f>IF($C2268="","",IFERROR(INDEX(프로젝트목록!$B$3:$B$62,MATCH($C2268,프로젝트목록!$A$3:$A$62,0)),"미등록코드"))</f>
        <v/>
      </c>
      <c r="E2268" s="32" t="n"/>
      <c r="F2268" s="38" t="n"/>
      <c r="G2268" s="38" t="n"/>
      <c r="H2268" s="39" t="n"/>
      <c r="I2268" s="40" t="str">
        <f>IF(OR($J2268="",$K2268=""),"",ROUND(MAX(0,($K2268-$J2268)-IF($H2268="",0,$H2268))/60,2))</f>
        <v/>
      </c>
      <c r="J2268" s="41" t="str">
        <f>IF($F2268="","",IF($F2268&lt;1,ROUND($F2268*1440,0),INT($F2268/100)*60+MOD($F2268,100)))</f>
        <v/>
      </c>
      <c r="K2268" s="41" t="str">
        <f>IF($G2268="","",IF($G2268&lt;1,ROUND($G2268*1440,0),INT($G2268/100)*60+MOD($G2268,100)))</f>
        <v/>
      </c>
    </row>
    <row r="2269" ht="15" customHeight="1" s="26">
      <c r="A2269" s="34" t="n"/>
      <c r="B2269" s="32" t="n"/>
      <c r="C2269" s="33" t="n"/>
      <c r="D2269" s="37" t="str">
        <f>IF($C2269="","",IFERROR(INDEX(프로젝트목록!$B$3:$B$62,MATCH($C2269,프로젝트목록!$A$3:$A$62,0)),"미등록코드"))</f>
        <v/>
      </c>
      <c r="E2269" s="32" t="n"/>
      <c r="F2269" s="38" t="n"/>
      <c r="G2269" s="38" t="n"/>
      <c r="H2269" s="39" t="n"/>
      <c r="I2269" s="40" t="str">
        <f>IF(OR($J2269="",$K2269=""),"",ROUND(MAX(0,($K2269-$J2269)-IF($H2269="",0,$H2269))/60,2))</f>
        <v/>
      </c>
      <c r="J2269" s="41" t="str">
        <f>IF($F2269="","",IF($F2269&lt;1,ROUND($F2269*1440,0),INT($F2269/100)*60+MOD($F2269,100)))</f>
        <v/>
      </c>
      <c r="K2269" s="41" t="str">
        <f>IF($G2269="","",IF($G2269&lt;1,ROUND($G2269*1440,0),INT($G2269/100)*60+MOD($G2269,100)))</f>
        <v/>
      </c>
    </row>
    <row r="2270" ht="15" customHeight="1" s="26">
      <c r="A2270" s="34" t="n"/>
      <c r="B2270" s="32" t="n"/>
      <c r="C2270" s="33" t="n"/>
      <c r="D2270" s="37" t="str">
        <f>IF($C2270="","",IFERROR(INDEX(프로젝트목록!$B$3:$B$62,MATCH($C2270,프로젝트목록!$A$3:$A$62,0)),"미등록코드"))</f>
        <v/>
      </c>
      <c r="E2270" s="32" t="n"/>
      <c r="F2270" s="38" t="n"/>
      <c r="G2270" s="38" t="n"/>
      <c r="H2270" s="39" t="n"/>
      <c r="I2270" s="40" t="str">
        <f>IF(OR($J2270="",$K2270=""),"",ROUND(MAX(0,($K2270-$J2270)-IF($H2270="",0,$H2270))/60,2))</f>
        <v/>
      </c>
      <c r="J2270" s="41" t="str">
        <f>IF($F2270="","",IF($F2270&lt;1,ROUND($F2270*1440,0),INT($F2270/100)*60+MOD($F2270,100)))</f>
        <v/>
      </c>
      <c r="K2270" s="41" t="str">
        <f>IF($G2270="","",IF($G2270&lt;1,ROUND($G2270*1440,0),INT($G2270/100)*60+MOD($G2270,100)))</f>
        <v/>
      </c>
    </row>
    <row r="2271" ht="15" customHeight="1" s="26">
      <c r="A2271" s="34" t="n"/>
      <c r="B2271" s="32" t="n"/>
      <c r="C2271" s="33" t="n"/>
      <c r="D2271" s="37" t="str">
        <f>IF($C2271="","",IFERROR(INDEX(프로젝트목록!$B$3:$B$62,MATCH($C2271,프로젝트목록!$A$3:$A$62,0)),"미등록코드"))</f>
        <v/>
      </c>
      <c r="E2271" s="32" t="n"/>
      <c r="F2271" s="38" t="n"/>
      <c r="G2271" s="38" t="n"/>
      <c r="H2271" s="39" t="n"/>
      <c r="I2271" s="40" t="str">
        <f>IF(OR($J2271="",$K2271=""),"",ROUND(MAX(0,($K2271-$J2271)-IF($H2271="",0,$H2271))/60,2))</f>
        <v/>
      </c>
      <c r="J2271" s="41" t="str">
        <f>IF($F2271="","",IF($F2271&lt;1,ROUND($F2271*1440,0),INT($F2271/100)*60+MOD($F2271,100)))</f>
        <v/>
      </c>
      <c r="K2271" s="41" t="str">
        <f>IF($G2271="","",IF($G2271&lt;1,ROUND($G2271*1440,0),INT($G2271/100)*60+MOD($G2271,100)))</f>
        <v/>
      </c>
    </row>
    <row r="2272" ht="15" customHeight="1" s="26">
      <c r="A2272" s="34" t="n"/>
      <c r="B2272" s="32" t="n"/>
      <c r="C2272" s="33" t="n"/>
      <c r="D2272" s="37" t="str">
        <f>IF($C2272="","",IFERROR(INDEX(프로젝트목록!$B$3:$B$62,MATCH($C2272,프로젝트목록!$A$3:$A$62,0)),"미등록코드"))</f>
        <v/>
      </c>
      <c r="E2272" s="32" t="n"/>
      <c r="F2272" s="38" t="n"/>
      <c r="G2272" s="38" t="n"/>
      <c r="H2272" s="39" t="n"/>
      <c r="I2272" s="40" t="str">
        <f>IF(OR($J2272="",$K2272=""),"",ROUND(MAX(0,($K2272-$J2272)-IF($H2272="",0,$H2272))/60,2))</f>
        <v/>
      </c>
      <c r="J2272" s="41" t="str">
        <f>IF($F2272="","",IF($F2272&lt;1,ROUND($F2272*1440,0),INT($F2272/100)*60+MOD($F2272,100)))</f>
        <v/>
      </c>
      <c r="K2272" s="41" t="str">
        <f>IF($G2272="","",IF($G2272&lt;1,ROUND($G2272*1440,0),INT($G2272/100)*60+MOD($G2272,100)))</f>
        <v/>
      </c>
    </row>
    <row r="2273" ht="15" customHeight="1" s="26">
      <c r="A2273" s="34" t="n"/>
      <c r="B2273" s="32" t="n"/>
      <c r="C2273" s="33" t="n"/>
      <c r="D2273" s="37" t="str">
        <f>IF($C2273="","",IFERROR(INDEX(프로젝트목록!$B$3:$B$62,MATCH($C2273,프로젝트목록!$A$3:$A$62,0)),"미등록코드"))</f>
        <v/>
      </c>
      <c r="E2273" s="32" t="n"/>
      <c r="F2273" s="38" t="n"/>
      <c r="G2273" s="38" t="n"/>
      <c r="H2273" s="39" t="n"/>
      <c r="I2273" s="40" t="str">
        <f>IF(OR($J2273="",$K2273=""),"",ROUND(MAX(0,($K2273-$J2273)-IF($H2273="",0,$H2273))/60,2))</f>
        <v/>
      </c>
      <c r="J2273" s="41" t="str">
        <f>IF($F2273="","",IF($F2273&lt;1,ROUND($F2273*1440,0),INT($F2273/100)*60+MOD($F2273,100)))</f>
        <v/>
      </c>
      <c r="K2273" s="41" t="str">
        <f>IF($G2273="","",IF($G2273&lt;1,ROUND($G2273*1440,0),INT($G2273/100)*60+MOD($G2273,100)))</f>
        <v/>
      </c>
    </row>
    <row r="2274" ht="15" customHeight="1" s="26">
      <c r="A2274" s="34" t="n"/>
      <c r="B2274" s="32" t="n"/>
      <c r="C2274" s="33" t="n"/>
      <c r="D2274" s="37" t="str">
        <f>IF($C2274="","",IFERROR(INDEX(프로젝트목록!$B$3:$B$62,MATCH($C2274,프로젝트목록!$A$3:$A$62,0)),"미등록코드"))</f>
        <v/>
      </c>
      <c r="E2274" s="32" t="n"/>
      <c r="F2274" s="38" t="n"/>
      <c r="G2274" s="38" t="n"/>
      <c r="H2274" s="39" t="n"/>
      <c r="I2274" s="40" t="str">
        <f>IF(OR($J2274="",$K2274=""),"",ROUND(MAX(0,($K2274-$J2274)-IF($H2274="",0,$H2274))/60,2))</f>
        <v/>
      </c>
      <c r="J2274" s="41" t="str">
        <f>IF($F2274="","",IF($F2274&lt;1,ROUND($F2274*1440,0),INT($F2274/100)*60+MOD($F2274,100)))</f>
        <v/>
      </c>
      <c r="K2274" s="41" t="str">
        <f>IF($G2274="","",IF($G2274&lt;1,ROUND($G2274*1440,0),INT($G2274/100)*60+MOD($G2274,100)))</f>
        <v/>
      </c>
    </row>
    <row r="2275" ht="15" customHeight="1" s="26">
      <c r="A2275" s="34" t="n"/>
      <c r="B2275" s="32" t="n"/>
      <c r="C2275" s="33" t="n"/>
      <c r="D2275" s="37" t="str">
        <f>IF($C2275="","",IFERROR(INDEX(프로젝트목록!$B$3:$B$62,MATCH($C2275,프로젝트목록!$A$3:$A$62,0)),"미등록코드"))</f>
        <v/>
      </c>
      <c r="E2275" s="32" t="n"/>
      <c r="F2275" s="38" t="n"/>
      <c r="G2275" s="38" t="n"/>
      <c r="H2275" s="39" t="n"/>
      <c r="I2275" s="40" t="str">
        <f>IF(OR($J2275="",$K2275=""),"",ROUND(MAX(0,($K2275-$J2275)-IF($H2275="",0,$H2275))/60,2))</f>
        <v/>
      </c>
      <c r="J2275" s="41" t="str">
        <f>IF($F2275="","",IF($F2275&lt;1,ROUND($F2275*1440,0),INT($F2275/100)*60+MOD($F2275,100)))</f>
        <v/>
      </c>
      <c r="K2275" s="41" t="str">
        <f>IF($G2275="","",IF($G2275&lt;1,ROUND($G2275*1440,0),INT($G2275/100)*60+MOD($G2275,100)))</f>
        <v/>
      </c>
    </row>
    <row r="2276" ht="15" customHeight="1" s="26">
      <c r="A2276" s="34" t="n"/>
      <c r="B2276" s="32" t="n"/>
      <c r="C2276" s="33" t="n"/>
      <c r="D2276" s="37" t="str">
        <f>IF($C2276="","",IFERROR(INDEX(프로젝트목록!$B$3:$B$62,MATCH($C2276,프로젝트목록!$A$3:$A$62,0)),"미등록코드"))</f>
        <v/>
      </c>
      <c r="E2276" s="32" t="n"/>
      <c r="F2276" s="38" t="n"/>
      <c r="G2276" s="38" t="n"/>
      <c r="H2276" s="39" t="n"/>
      <c r="I2276" s="40" t="str">
        <f>IF(OR($J2276="",$K2276=""),"",ROUND(MAX(0,($K2276-$J2276)-IF($H2276="",0,$H2276))/60,2))</f>
        <v/>
      </c>
      <c r="J2276" s="41" t="str">
        <f>IF($F2276="","",IF($F2276&lt;1,ROUND($F2276*1440,0),INT($F2276/100)*60+MOD($F2276,100)))</f>
        <v/>
      </c>
      <c r="K2276" s="41" t="str">
        <f>IF($G2276="","",IF($G2276&lt;1,ROUND($G2276*1440,0),INT($G2276/100)*60+MOD($G2276,100)))</f>
        <v/>
      </c>
    </row>
    <row r="2277" ht="15" customHeight="1" s="26">
      <c r="A2277" s="34" t="n"/>
      <c r="B2277" s="32" t="n"/>
      <c r="C2277" s="33" t="n"/>
      <c r="D2277" s="37" t="str">
        <f>IF($C2277="","",IFERROR(INDEX(프로젝트목록!$B$3:$B$62,MATCH($C2277,프로젝트목록!$A$3:$A$62,0)),"미등록코드"))</f>
        <v/>
      </c>
      <c r="E2277" s="32" t="n"/>
      <c r="F2277" s="38" t="n"/>
      <c r="G2277" s="38" t="n"/>
      <c r="H2277" s="39" t="n"/>
      <c r="I2277" s="40" t="str">
        <f>IF(OR($J2277="",$K2277=""),"",ROUND(MAX(0,($K2277-$J2277)-IF($H2277="",0,$H2277))/60,2))</f>
        <v/>
      </c>
      <c r="J2277" s="41" t="str">
        <f>IF($F2277="","",IF($F2277&lt;1,ROUND($F2277*1440,0),INT($F2277/100)*60+MOD($F2277,100)))</f>
        <v/>
      </c>
      <c r="K2277" s="41" t="str">
        <f>IF($G2277="","",IF($G2277&lt;1,ROUND($G2277*1440,0),INT($G2277/100)*60+MOD($G2277,100)))</f>
        <v/>
      </c>
    </row>
    <row r="2278" ht="15" customHeight="1" s="26">
      <c r="A2278" s="34" t="n"/>
      <c r="B2278" s="32" t="n"/>
      <c r="C2278" s="33" t="n"/>
      <c r="D2278" s="37" t="str">
        <f>IF($C2278="","",IFERROR(INDEX(프로젝트목록!$B$3:$B$62,MATCH($C2278,프로젝트목록!$A$3:$A$62,0)),"미등록코드"))</f>
        <v/>
      </c>
      <c r="E2278" s="32" t="n"/>
      <c r="F2278" s="38" t="n"/>
      <c r="G2278" s="38" t="n"/>
      <c r="H2278" s="39" t="n"/>
      <c r="I2278" s="40" t="str">
        <f>IF(OR($J2278="",$K2278=""),"",ROUND(MAX(0,($K2278-$J2278)-IF($H2278="",0,$H2278))/60,2))</f>
        <v/>
      </c>
      <c r="J2278" s="41" t="str">
        <f>IF($F2278="","",IF($F2278&lt;1,ROUND($F2278*1440,0),INT($F2278/100)*60+MOD($F2278,100)))</f>
        <v/>
      </c>
      <c r="K2278" s="41" t="str">
        <f>IF($G2278="","",IF($G2278&lt;1,ROUND($G2278*1440,0),INT($G2278/100)*60+MOD($G2278,100)))</f>
        <v/>
      </c>
    </row>
    <row r="2279" ht="15" customHeight="1" s="26">
      <c r="A2279" s="34" t="n"/>
      <c r="B2279" s="32" t="n"/>
      <c r="C2279" s="33" t="n"/>
      <c r="D2279" s="37" t="str">
        <f>IF($C2279="","",IFERROR(INDEX(프로젝트목록!$B$3:$B$62,MATCH($C2279,프로젝트목록!$A$3:$A$62,0)),"미등록코드"))</f>
        <v/>
      </c>
      <c r="E2279" s="32" t="n"/>
      <c r="F2279" s="38" t="n"/>
      <c r="G2279" s="38" t="n"/>
      <c r="H2279" s="39" t="n"/>
      <c r="I2279" s="40" t="str">
        <f>IF(OR($J2279="",$K2279=""),"",ROUND(MAX(0,($K2279-$J2279)-IF($H2279="",0,$H2279))/60,2))</f>
        <v/>
      </c>
      <c r="J2279" s="41" t="str">
        <f>IF($F2279="","",IF($F2279&lt;1,ROUND($F2279*1440,0),INT($F2279/100)*60+MOD($F2279,100)))</f>
        <v/>
      </c>
      <c r="K2279" s="41" t="str">
        <f>IF($G2279="","",IF($G2279&lt;1,ROUND($G2279*1440,0),INT($G2279/100)*60+MOD($G2279,100)))</f>
        <v/>
      </c>
    </row>
    <row r="2280" ht="15" customHeight="1" s="26">
      <c r="A2280" s="34" t="n"/>
      <c r="B2280" s="32" t="n"/>
      <c r="C2280" s="33" t="n"/>
      <c r="D2280" s="37" t="str">
        <f>IF($C2280="","",IFERROR(INDEX(프로젝트목록!$B$3:$B$62,MATCH($C2280,프로젝트목록!$A$3:$A$62,0)),"미등록코드"))</f>
        <v/>
      </c>
      <c r="E2280" s="32" t="n"/>
      <c r="F2280" s="38" t="n"/>
      <c r="G2280" s="38" t="n"/>
      <c r="H2280" s="39" t="n"/>
      <c r="I2280" s="40" t="str">
        <f>IF(OR($J2280="",$K2280=""),"",ROUND(MAX(0,($K2280-$J2280)-IF($H2280="",0,$H2280))/60,2))</f>
        <v/>
      </c>
      <c r="J2280" s="41" t="str">
        <f>IF($F2280="","",IF($F2280&lt;1,ROUND($F2280*1440,0),INT($F2280/100)*60+MOD($F2280,100)))</f>
        <v/>
      </c>
      <c r="K2280" s="41" t="str">
        <f>IF($G2280="","",IF($G2280&lt;1,ROUND($G2280*1440,0),INT($G2280/100)*60+MOD($G2280,100)))</f>
        <v/>
      </c>
    </row>
    <row r="2281" ht="15" customHeight="1" s="26">
      <c r="A2281" s="34" t="n"/>
      <c r="B2281" s="32" t="n"/>
      <c r="C2281" s="33" t="n"/>
      <c r="D2281" s="37" t="str">
        <f>IF($C2281="","",IFERROR(INDEX(프로젝트목록!$B$3:$B$62,MATCH($C2281,프로젝트목록!$A$3:$A$62,0)),"미등록코드"))</f>
        <v/>
      </c>
      <c r="E2281" s="32" t="n"/>
      <c r="F2281" s="38" t="n"/>
      <c r="G2281" s="38" t="n"/>
      <c r="H2281" s="39" t="n"/>
      <c r="I2281" s="40" t="str">
        <f>IF(OR($J2281="",$K2281=""),"",ROUND(MAX(0,($K2281-$J2281)-IF($H2281="",0,$H2281))/60,2))</f>
        <v/>
      </c>
      <c r="J2281" s="41" t="str">
        <f>IF($F2281="","",IF($F2281&lt;1,ROUND($F2281*1440,0),INT($F2281/100)*60+MOD($F2281,100)))</f>
        <v/>
      </c>
      <c r="K2281" s="41" t="str">
        <f>IF($G2281="","",IF($G2281&lt;1,ROUND($G2281*1440,0),INT($G2281/100)*60+MOD($G2281,100)))</f>
        <v/>
      </c>
    </row>
    <row r="2282" ht="15" customHeight="1" s="26">
      <c r="A2282" s="34" t="n"/>
      <c r="B2282" s="32" t="n"/>
      <c r="C2282" s="33" t="n"/>
      <c r="D2282" s="37" t="str">
        <f>IF($C2282="","",IFERROR(INDEX(프로젝트목록!$B$3:$B$62,MATCH($C2282,프로젝트목록!$A$3:$A$62,0)),"미등록코드"))</f>
        <v/>
      </c>
      <c r="E2282" s="32" t="n"/>
      <c r="F2282" s="38" t="n"/>
      <c r="G2282" s="38" t="n"/>
      <c r="H2282" s="39" t="n"/>
      <c r="I2282" s="40" t="str">
        <f>IF(OR($J2282="",$K2282=""),"",ROUND(MAX(0,($K2282-$J2282)-IF($H2282="",0,$H2282))/60,2))</f>
        <v/>
      </c>
      <c r="J2282" s="41" t="str">
        <f>IF($F2282="","",IF($F2282&lt;1,ROUND($F2282*1440,0),INT($F2282/100)*60+MOD($F2282,100)))</f>
        <v/>
      </c>
      <c r="K2282" s="41" t="str">
        <f>IF($G2282="","",IF($G2282&lt;1,ROUND($G2282*1440,0),INT($G2282/100)*60+MOD($G2282,100)))</f>
        <v/>
      </c>
    </row>
    <row r="2283" ht="15" customHeight="1" s="26">
      <c r="A2283" s="34" t="n"/>
      <c r="B2283" s="32" t="n"/>
      <c r="C2283" s="33" t="n"/>
      <c r="D2283" s="37" t="str">
        <f>IF($C2283="","",IFERROR(INDEX(프로젝트목록!$B$3:$B$62,MATCH($C2283,프로젝트목록!$A$3:$A$62,0)),"미등록코드"))</f>
        <v/>
      </c>
      <c r="E2283" s="32" t="n"/>
      <c r="F2283" s="38" t="n"/>
      <c r="G2283" s="38" t="n"/>
      <c r="H2283" s="39" t="n"/>
      <c r="I2283" s="40" t="str">
        <f>IF(OR($J2283="",$K2283=""),"",ROUND(MAX(0,($K2283-$J2283)-IF($H2283="",0,$H2283))/60,2))</f>
        <v/>
      </c>
      <c r="J2283" s="41" t="str">
        <f>IF($F2283="","",IF($F2283&lt;1,ROUND($F2283*1440,0),INT($F2283/100)*60+MOD($F2283,100)))</f>
        <v/>
      </c>
      <c r="K2283" s="41" t="str">
        <f>IF($G2283="","",IF($G2283&lt;1,ROUND($G2283*1440,0),INT($G2283/100)*60+MOD($G2283,100)))</f>
        <v/>
      </c>
    </row>
    <row r="2284" ht="15" customHeight="1" s="26">
      <c r="A2284" s="34" t="n"/>
      <c r="B2284" s="32" t="n"/>
      <c r="C2284" s="33" t="n"/>
      <c r="D2284" s="37" t="str">
        <f>IF($C2284="","",IFERROR(INDEX(프로젝트목록!$B$3:$B$62,MATCH($C2284,프로젝트목록!$A$3:$A$62,0)),"미등록코드"))</f>
        <v/>
      </c>
      <c r="E2284" s="32" t="n"/>
      <c r="F2284" s="38" t="n"/>
      <c r="G2284" s="38" t="n"/>
      <c r="H2284" s="39" t="n"/>
      <c r="I2284" s="40" t="str">
        <f>IF(OR($J2284="",$K2284=""),"",ROUND(MAX(0,($K2284-$J2284)-IF($H2284="",0,$H2284))/60,2))</f>
        <v/>
      </c>
      <c r="J2284" s="41" t="str">
        <f>IF($F2284="","",IF($F2284&lt;1,ROUND($F2284*1440,0),INT($F2284/100)*60+MOD($F2284,100)))</f>
        <v/>
      </c>
      <c r="K2284" s="41" t="str">
        <f>IF($G2284="","",IF($G2284&lt;1,ROUND($G2284*1440,0),INT($G2284/100)*60+MOD($G2284,100)))</f>
        <v/>
      </c>
    </row>
    <row r="2285" ht="15" customHeight="1" s="26">
      <c r="A2285" s="34" t="n"/>
      <c r="B2285" s="32" t="n"/>
      <c r="C2285" s="33" t="n"/>
      <c r="D2285" s="37" t="str">
        <f>IF($C2285="","",IFERROR(INDEX(프로젝트목록!$B$3:$B$62,MATCH($C2285,프로젝트목록!$A$3:$A$62,0)),"미등록코드"))</f>
        <v/>
      </c>
      <c r="E2285" s="32" t="n"/>
      <c r="F2285" s="38" t="n"/>
      <c r="G2285" s="38" t="n"/>
      <c r="H2285" s="39" t="n"/>
      <c r="I2285" s="40" t="str">
        <f>IF(OR($J2285="",$K2285=""),"",ROUND(MAX(0,($K2285-$J2285)-IF($H2285="",0,$H2285))/60,2))</f>
        <v/>
      </c>
      <c r="J2285" s="41" t="str">
        <f>IF($F2285="","",IF($F2285&lt;1,ROUND($F2285*1440,0),INT($F2285/100)*60+MOD($F2285,100)))</f>
        <v/>
      </c>
      <c r="K2285" s="41" t="str">
        <f>IF($G2285="","",IF($G2285&lt;1,ROUND($G2285*1440,0),INT($G2285/100)*60+MOD($G2285,100)))</f>
        <v/>
      </c>
    </row>
    <row r="2286" ht="15" customHeight="1" s="26">
      <c r="A2286" s="34" t="n"/>
      <c r="B2286" s="32" t="n"/>
      <c r="C2286" s="33" t="n"/>
      <c r="D2286" s="37" t="str">
        <f>IF($C2286="","",IFERROR(INDEX(프로젝트목록!$B$3:$B$62,MATCH($C2286,프로젝트목록!$A$3:$A$62,0)),"미등록코드"))</f>
        <v/>
      </c>
      <c r="E2286" s="32" t="n"/>
      <c r="F2286" s="38" t="n"/>
      <c r="G2286" s="38" t="n"/>
      <c r="H2286" s="39" t="n"/>
      <c r="I2286" s="40" t="str">
        <f>IF(OR($J2286="",$K2286=""),"",ROUND(MAX(0,($K2286-$J2286)-IF($H2286="",0,$H2286))/60,2))</f>
        <v/>
      </c>
      <c r="J2286" s="41" t="str">
        <f>IF($F2286="","",IF($F2286&lt;1,ROUND($F2286*1440,0),INT($F2286/100)*60+MOD($F2286,100)))</f>
        <v/>
      </c>
      <c r="K2286" s="41" t="str">
        <f>IF($G2286="","",IF($G2286&lt;1,ROUND($G2286*1440,0),INT($G2286/100)*60+MOD($G2286,100)))</f>
        <v/>
      </c>
    </row>
    <row r="2287" ht="15" customHeight="1" s="26">
      <c r="A2287" s="34" t="n"/>
      <c r="B2287" s="32" t="n"/>
      <c r="C2287" s="33" t="n"/>
      <c r="D2287" s="37" t="str">
        <f>IF($C2287="","",IFERROR(INDEX(프로젝트목록!$B$3:$B$62,MATCH($C2287,프로젝트목록!$A$3:$A$62,0)),"미등록코드"))</f>
        <v/>
      </c>
      <c r="E2287" s="32" t="n"/>
      <c r="F2287" s="38" t="n"/>
      <c r="G2287" s="38" t="n"/>
      <c r="H2287" s="39" t="n"/>
      <c r="I2287" s="40" t="str">
        <f>IF(OR($J2287="",$K2287=""),"",ROUND(MAX(0,($K2287-$J2287)-IF($H2287="",0,$H2287))/60,2))</f>
        <v/>
      </c>
      <c r="J2287" s="41" t="str">
        <f>IF($F2287="","",IF($F2287&lt;1,ROUND($F2287*1440,0),INT($F2287/100)*60+MOD($F2287,100)))</f>
        <v/>
      </c>
      <c r="K2287" s="41" t="str">
        <f>IF($G2287="","",IF($G2287&lt;1,ROUND($G2287*1440,0),INT($G2287/100)*60+MOD($G2287,100)))</f>
        <v/>
      </c>
    </row>
    <row r="2288" ht="15" customHeight="1" s="26">
      <c r="A2288" s="34" t="n"/>
      <c r="B2288" s="32" t="n"/>
      <c r="C2288" s="33" t="n"/>
      <c r="D2288" s="37" t="str">
        <f>IF($C2288="","",IFERROR(INDEX(프로젝트목록!$B$3:$B$62,MATCH($C2288,프로젝트목록!$A$3:$A$62,0)),"미등록코드"))</f>
        <v/>
      </c>
      <c r="E2288" s="32" t="n"/>
      <c r="F2288" s="38" t="n"/>
      <c r="G2288" s="38" t="n"/>
      <c r="H2288" s="39" t="n"/>
      <c r="I2288" s="40" t="str">
        <f>IF(OR($J2288="",$K2288=""),"",ROUND(MAX(0,($K2288-$J2288)-IF($H2288="",0,$H2288))/60,2))</f>
        <v/>
      </c>
      <c r="J2288" s="41" t="str">
        <f>IF($F2288="","",IF($F2288&lt;1,ROUND($F2288*1440,0),INT($F2288/100)*60+MOD($F2288,100)))</f>
        <v/>
      </c>
      <c r="K2288" s="41" t="str">
        <f>IF($G2288="","",IF($G2288&lt;1,ROUND($G2288*1440,0),INT($G2288/100)*60+MOD($G2288,100)))</f>
        <v/>
      </c>
    </row>
    <row r="2289" ht="15" customHeight="1" s="26">
      <c r="A2289" s="34" t="n"/>
      <c r="B2289" s="32" t="n"/>
      <c r="C2289" s="33" t="n"/>
      <c r="D2289" s="37" t="str">
        <f>IF($C2289="","",IFERROR(INDEX(프로젝트목록!$B$3:$B$62,MATCH($C2289,프로젝트목록!$A$3:$A$62,0)),"미등록코드"))</f>
        <v/>
      </c>
      <c r="E2289" s="32" t="n"/>
      <c r="F2289" s="38" t="n"/>
      <c r="G2289" s="38" t="n"/>
      <c r="H2289" s="39" t="n"/>
      <c r="I2289" s="40" t="str">
        <f>IF(OR($J2289="",$K2289=""),"",ROUND(MAX(0,($K2289-$J2289)-IF($H2289="",0,$H2289))/60,2))</f>
        <v/>
      </c>
      <c r="J2289" s="41" t="str">
        <f>IF($F2289="","",IF($F2289&lt;1,ROUND($F2289*1440,0),INT($F2289/100)*60+MOD($F2289,100)))</f>
        <v/>
      </c>
      <c r="K2289" s="41" t="str">
        <f>IF($G2289="","",IF($G2289&lt;1,ROUND($G2289*1440,0),INT($G2289/100)*60+MOD($G2289,100)))</f>
        <v/>
      </c>
    </row>
    <row r="2290" ht="15" customHeight="1" s="26">
      <c r="A2290" s="34" t="n"/>
      <c r="B2290" s="32" t="n"/>
      <c r="C2290" s="33" t="n"/>
      <c r="D2290" s="37" t="str">
        <f>IF($C2290="","",IFERROR(INDEX(프로젝트목록!$B$3:$B$62,MATCH($C2290,프로젝트목록!$A$3:$A$62,0)),"미등록코드"))</f>
        <v/>
      </c>
      <c r="E2290" s="32" t="n"/>
      <c r="F2290" s="38" t="n"/>
      <c r="G2290" s="38" t="n"/>
      <c r="H2290" s="39" t="n"/>
      <c r="I2290" s="40" t="str">
        <f>IF(OR($J2290="",$K2290=""),"",ROUND(MAX(0,($K2290-$J2290)-IF($H2290="",0,$H2290))/60,2))</f>
        <v/>
      </c>
      <c r="J2290" s="41" t="str">
        <f>IF($F2290="","",IF($F2290&lt;1,ROUND($F2290*1440,0),INT($F2290/100)*60+MOD($F2290,100)))</f>
        <v/>
      </c>
      <c r="K2290" s="41" t="str">
        <f>IF($G2290="","",IF($G2290&lt;1,ROUND($G2290*1440,0),INT($G2290/100)*60+MOD($G2290,100)))</f>
        <v/>
      </c>
    </row>
    <row r="2291" ht="15" customHeight="1" s="26">
      <c r="A2291" s="34" t="n"/>
      <c r="B2291" s="32" t="n"/>
      <c r="C2291" s="33" t="n"/>
      <c r="D2291" s="37" t="str">
        <f>IF($C2291="","",IFERROR(INDEX(프로젝트목록!$B$3:$B$62,MATCH($C2291,프로젝트목록!$A$3:$A$62,0)),"미등록코드"))</f>
        <v/>
      </c>
      <c r="E2291" s="32" t="n"/>
      <c r="F2291" s="38" t="n"/>
      <c r="G2291" s="38" t="n"/>
      <c r="H2291" s="39" t="n"/>
      <c r="I2291" s="40" t="str">
        <f>IF(OR($J2291="",$K2291=""),"",ROUND(MAX(0,($K2291-$J2291)-IF($H2291="",0,$H2291))/60,2))</f>
        <v/>
      </c>
      <c r="J2291" s="41" t="str">
        <f>IF($F2291="","",IF($F2291&lt;1,ROUND($F2291*1440,0),INT($F2291/100)*60+MOD($F2291,100)))</f>
        <v/>
      </c>
      <c r="K2291" s="41" t="str">
        <f>IF($G2291="","",IF($G2291&lt;1,ROUND($G2291*1440,0),INT($G2291/100)*60+MOD($G2291,100)))</f>
        <v/>
      </c>
    </row>
    <row r="2292" ht="15" customHeight="1" s="26">
      <c r="A2292" s="34" t="n"/>
      <c r="B2292" s="32" t="n"/>
      <c r="C2292" s="33" t="n"/>
      <c r="D2292" s="37" t="str">
        <f>IF($C2292="","",IFERROR(INDEX(프로젝트목록!$B$3:$B$62,MATCH($C2292,프로젝트목록!$A$3:$A$62,0)),"미등록코드"))</f>
        <v/>
      </c>
      <c r="E2292" s="32" t="n"/>
      <c r="F2292" s="38" t="n"/>
      <c r="G2292" s="38" t="n"/>
      <c r="H2292" s="39" t="n"/>
      <c r="I2292" s="40" t="str">
        <f>IF(OR($J2292="",$K2292=""),"",ROUND(MAX(0,($K2292-$J2292)-IF($H2292="",0,$H2292))/60,2))</f>
        <v/>
      </c>
      <c r="J2292" s="41" t="str">
        <f>IF($F2292="","",IF($F2292&lt;1,ROUND($F2292*1440,0),INT($F2292/100)*60+MOD($F2292,100)))</f>
        <v/>
      </c>
      <c r="K2292" s="41" t="str">
        <f>IF($G2292="","",IF($G2292&lt;1,ROUND($G2292*1440,0),INT($G2292/100)*60+MOD($G2292,100)))</f>
        <v/>
      </c>
    </row>
    <row r="2293" ht="15" customHeight="1" s="26">
      <c r="A2293" s="34" t="n"/>
      <c r="B2293" s="32" t="n"/>
      <c r="C2293" s="33" t="n"/>
      <c r="D2293" s="37" t="str">
        <f>IF($C2293="","",IFERROR(INDEX(프로젝트목록!$B$3:$B$62,MATCH($C2293,프로젝트목록!$A$3:$A$62,0)),"미등록코드"))</f>
        <v/>
      </c>
      <c r="E2293" s="32" t="n"/>
      <c r="F2293" s="38" t="n"/>
      <c r="G2293" s="38" t="n"/>
      <c r="H2293" s="39" t="n"/>
      <c r="I2293" s="40" t="str">
        <f>IF(OR($J2293="",$K2293=""),"",ROUND(MAX(0,($K2293-$J2293)-IF($H2293="",0,$H2293))/60,2))</f>
        <v/>
      </c>
      <c r="J2293" s="41" t="str">
        <f>IF($F2293="","",IF($F2293&lt;1,ROUND($F2293*1440,0),INT($F2293/100)*60+MOD($F2293,100)))</f>
        <v/>
      </c>
      <c r="K2293" s="41" t="str">
        <f>IF($G2293="","",IF($G2293&lt;1,ROUND($G2293*1440,0),INT($G2293/100)*60+MOD($G2293,100)))</f>
        <v/>
      </c>
    </row>
    <row r="2294" ht="15" customHeight="1" s="26">
      <c r="A2294" s="34" t="n"/>
      <c r="B2294" s="32" t="n"/>
      <c r="C2294" s="33" t="n"/>
      <c r="D2294" s="37" t="str">
        <f>IF($C2294="","",IFERROR(INDEX(프로젝트목록!$B$3:$B$62,MATCH($C2294,프로젝트목록!$A$3:$A$62,0)),"미등록코드"))</f>
        <v/>
      </c>
      <c r="E2294" s="32" t="n"/>
      <c r="F2294" s="38" t="n"/>
      <c r="G2294" s="38" t="n"/>
      <c r="H2294" s="39" t="n"/>
      <c r="I2294" s="40" t="str">
        <f>IF(OR($J2294="",$K2294=""),"",ROUND(MAX(0,($K2294-$J2294)-IF($H2294="",0,$H2294))/60,2))</f>
        <v/>
      </c>
      <c r="J2294" s="41" t="str">
        <f>IF($F2294="","",IF($F2294&lt;1,ROUND($F2294*1440,0),INT($F2294/100)*60+MOD($F2294,100)))</f>
        <v/>
      </c>
      <c r="K2294" s="41" t="str">
        <f>IF($G2294="","",IF($G2294&lt;1,ROUND($G2294*1440,0),INT($G2294/100)*60+MOD($G2294,100)))</f>
        <v/>
      </c>
    </row>
    <row r="2295" ht="15" customHeight="1" s="26">
      <c r="A2295" s="34" t="n"/>
      <c r="B2295" s="32" t="n"/>
      <c r="C2295" s="33" t="n"/>
      <c r="D2295" s="37" t="str">
        <f>IF($C2295="","",IFERROR(INDEX(프로젝트목록!$B$3:$B$62,MATCH($C2295,프로젝트목록!$A$3:$A$62,0)),"미등록코드"))</f>
        <v/>
      </c>
      <c r="E2295" s="32" t="n"/>
      <c r="F2295" s="38" t="n"/>
      <c r="G2295" s="38" t="n"/>
      <c r="H2295" s="39" t="n"/>
      <c r="I2295" s="40" t="str">
        <f>IF(OR($J2295="",$K2295=""),"",ROUND(MAX(0,($K2295-$J2295)-IF($H2295="",0,$H2295))/60,2))</f>
        <v/>
      </c>
      <c r="J2295" s="41" t="str">
        <f>IF($F2295="","",IF($F2295&lt;1,ROUND($F2295*1440,0),INT($F2295/100)*60+MOD($F2295,100)))</f>
        <v/>
      </c>
      <c r="K2295" s="41" t="str">
        <f>IF($G2295="","",IF($G2295&lt;1,ROUND($G2295*1440,0),INT($G2295/100)*60+MOD($G2295,100)))</f>
        <v/>
      </c>
    </row>
    <row r="2296" ht="15" customHeight="1" s="26">
      <c r="A2296" s="34" t="n"/>
      <c r="B2296" s="32" t="n"/>
      <c r="C2296" s="33" t="n"/>
      <c r="D2296" s="37" t="str">
        <f>IF($C2296="","",IFERROR(INDEX(프로젝트목록!$B$3:$B$62,MATCH($C2296,프로젝트목록!$A$3:$A$62,0)),"미등록코드"))</f>
        <v/>
      </c>
      <c r="E2296" s="32" t="n"/>
      <c r="F2296" s="38" t="n"/>
      <c r="G2296" s="38" t="n"/>
      <c r="H2296" s="39" t="n"/>
      <c r="I2296" s="40" t="str">
        <f>IF(OR($J2296="",$K2296=""),"",ROUND(MAX(0,($K2296-$J2296)-IF($H2296="",0,$H2296))/60,2))</f>
        <v/>
      </c>
      <c r="J2296" s="41" t="str">
        <f>IF($F2296="","",IF($F2296&lt;1,ROUND($F2296*1440,0),INT($F2296/100)*60+MOD($F2296,100)))</f>
        <v/>
      </c>
      <c r="K2296" s="41" t="str">
        <f>IF($G2296="","",IF($G2296&lt;1,ROUND($G2296*1440,0),INT($G2296/100)*60+MOD($G2296,100)))</f>
        <v/>
      </c>
    </row>
    <row r="2297" ht="15" customHeight="1" s="26">
      <c r="A2297" s="34" t="n"/>
      <c r="B2297" s="32" t="n"/>
      <c r="C2297" s="33" t="n"/>
      <c r="D2297" s="37" t="str">
        <f>IF($C2297="","",IFERROR(INDEX(프로젝트목록!$B$3:$B$62,MATCH($C2297,프로젝트목록!$A$3:$A$62,0)),"미등록코드"))</f>
        <v/>
      </c>
      <c r="E2297" s="32" t="n"/>
      <c r="F2297" s="38" t="n"/>
      <c r="G2297" s="38" t="n"/>
      <c r="H2297" s="39" t="n"/>
      <c r="I2297" s="40" t="str">
        <f>IF(OR($J2297="",$K2297=""),"",ROUND(MAX(0,($K2297-$J2297)-IF($H2297="",0,$H2297))/60,2))</f>
        <v/>
      </c>
      <c r="J2297" s="41" t="str">
        <f>IF($F2297="","",IF($F2297&lt;1,ROUND($F2297*1440,0),INT($F2297/100)*60+MOD($F2297,100)))</f>
        <v/>
      </c>
      <c r="K2297" s="41" t="str">
        <f>IF($G2297="","",IF($G2297&lt;1,ROUND($G2297*1440,0),INT($G2297/100)*60+MOD($G2297,100)))</f>
        <v/>
      </c>
    </row>
    <row r="2298" ht="15" customHeight="1" s="26">
      <c r="A2298" s="34" t="n"/>
      <c r="B2298" s="32" t="n"/>
      <c r="C2298" s="33" t="n"/>
      <c r="D2298" s="37" t="str">
        <f>IF($C2298="","",IFERROR(INDEX(프로젝트목록!$B$3:$B$62,MATCH($C2298,프로젝트목록!$A$3:$A$62,0)),"미등록코드"))</f>
        <v/>
      </c>
      <c r="E2298" s="32" t="n"/>
      <c r="F2298" s="38" t="n"/>
      <c r="G2298" s="38" t="n"/>
      <c r="H2298" s="39" t="n"/>
      <c r="I2298" s="40" t="str">
        <f>IF(OR($J2298="",$K2298=""),"",ROUND(MAX(0,($K2298-$J2298)-IF($H2298="",0,$H2298))/60,2))</f>
        <v/>
      </c>
      <c r="J2298" s="41" t="str">
        <f>IF($F2298="","",IF($F2298&lt;1,ROUND($F2298*1440,0),INT($F2298/100)*60+MOD($F2298,100)))</f>
        <v/>
      </c>
      <c r="K2298" s="41" t="str">
        <f>IF($G2298="","",IF($G2298&lt;1,ROUND($G2298*1440,0),INT($G2298/100)*60+MOD($G2298,100)))</f>
        <v/>
      </c>
    </row>
    <row r="2299" ht="15" customHeight="1" s="26">
      <c r="A2299" s="34" t="n"/>
      <c r="B2299" s="32" t="n"/>
      <c r="C2299" s="33" t="n"/>
      <c r="D2299" s="37" t="str">
        <f>IF($C2299="","",IFERROR(INDEX(프로젝트목록!$B$3:$B$62,MATCH($C2299,프로젝트목록!$A$3:$A$62,0)),"미등록코드"))</f>
        <v/>
      </c>
      <c r="E2299" s="32" t="n"/>
      <c r="F2299" s="38" t="n"/>
      <c r="G2299" s="38" t="n"/>
      <c r="H2299" s="39" t="n"/>
      <c r="I2299" s="40" t="str">
        <f>IF(OR($J2299="",$K2299=""),"",ROUND(MAX(0,($K2299-$J2299)-IF($H2299="",0,$H2299))/60,2))</f>
        <v/>
      </c>
      <c r="J2299" s="41" t="str">
        <f>IF($F2299="","",IF($F2299&lt;1,ROUND($F2299*1440,0),INT($F2299/100)*60+MOD($F2299,100)))</f>
        <v/>
      </c>
      <c r="K2299" s="41" t="str">
        <f>IF($G2299="","",IF($G2299&lt;1,ROUND($G2299*1440,0),INT($G2299/100)*60+MOD($G2299,100)))</f>
        <v/>
      </c>
    </row>
    <row r="2300" ht="15" customHeight="1" s="26">
      <c r="A2300" s="34" t="n"/>
      <c r="B2300" s="32" t="n"/>
      <c r="C2300" s="33" t="n"/>
      <c r="D2300" s="37" t="str">
        <f>IF($C2300="","",IFERROR(INDEX(프로젝트목록!$B$3:$B$62,MATCH($C2300,프로젝트목록!$A$3:$A$62,0)),"미등록코드"))</f>
        <v/>
      </c>
      <c r="E2300" s="32" t="n"/>
      <c r="F2300" s="38" t="n"/>
      <c r="G2300" s="38" t="n"/>
      <c r="H2300" s="39" t="n"/>
      <c r="I2300" s="40" t="str">
        <f>IF(OR($J2300="",$K2300=""),"",ROUND(MAX(0,($K2300-$J2300)-IF($H2300="",0,$H2300))/60,2))</f>
        <v/>
      </c>
      <c r="J2300" s="41" t="str">
        <f>IF($F2300="","",IF($F2300&lt;1,ROUND($F2300*1440,0),INT($F2300/100)*60+MOD($F2300,100)))</f>
        <v/>
      </c>
      <c r="K2300" s="41" t="str">
        <f>IF($G2300="","",IF($G2300&lt;1,ROUND($G2300*1440,0),INT($G2300/100)*60+MOD($G2300,100)))</f>
        <v/>
      </c>
    </row>
    <row r="2301" ht="15" customHeight="1" s="26">
      <c r="A2301" s="34" t="n"/>
      <c r="B2301" s="32" t="n"/>
      <c r="C2301" s="33" t="n"/>
      <c r="D2301" s="37" t="str">
        <f>IF($C2301="","",IFERROR(INDEX(프로젝트목록!$B$3:$B$62,MATCH($C2301,프로젝트목록!$A$3:$A$62,0)),"미등록코드"))</f>
        <v/>
      </c>
      <c r="E2301" s="32" t="n"/>
      <c r="F2301" s="38" t="n"/>
      <c r="G2301" s="38" t="n"/>
      <c r="H2301" s="39" t="n"/>
      <c r="I2301" s="40" t="str">
        <f>IF(OR($J2301="",$K2301=""),"",ROUND(MAX(0,($K2301-$J2301)-IF($H2301="",0,$H2301))/60,2))</f>
        <v/>
      </c>
      <c r="J2301" s="41" t="str">
        <f>IF($F2301="","",IF($F2301&lt;1,ROUND($F2301*1440,0),INT($F2301/100)*60+MOD($F2301,100)))</f>
        <v/>
      </c>
      <c r="K2301" s="41" t="str">
        <f>IF($G2301="","",IF($G2301&lt;1,ROUND($G2301*1440,0),INT($G2301/100)*60+MOD($G2301,100)))</f>
        <v/>
      </c>
    </row>
    <row r="2302" ht="15" customHeight="1" s="26">
      <c r="A2302" s="34" t="n"/>
      <c r="B2302" s="32" t="n"/>
      <c r="C2302" s="33" t="n"/>
      <c r="D2302" s="37" t="str">
        <f>IF($C2302="","",IFERROR(INDEX(프로젝트목록!$B$3:$B$62,MATCH($C2302,프로젝트목록!$A$3:$A$62,0)),"미등록코드"))</f>
        <v/>
      </c>
      <c r="E2302" s="32" t="n"/>
      <c r="F2302" s="38" t="n"/>
      <c r="G2302" s="38" t="n"/>
      <c r="H2302" s="39" t="n"/>
      <c r="I2302" s="40" t="str">
        <f>IF(OR($J2302="",$K2302=""),"",ROUND(MAX(0,($K2302-$J2302)-IF($H2302="",0,$H2302))/60,2))</f>
        <v/>
      </c>
      <c r="J2302" s="41" t="str">
        <f>IF($F2302="","",IF($F2302&lt;1,ROUND($F2302*1440,0),INT($F2302/100)*60+MOD($F2302,100)))</f>
        <v/>
      </c>
      <c r="K2302" s="41" t="str">
        <f>IF($G2302="","",IF($G2302&lt;1,ROUND($G2302*1440,0),INT($G2302/100)*60+MOD($G2302,100)))</f>
        <v/>
      </c>
    </row>
    <row r="2303" ht="15" customHeight="1" s="26">
      <c r="A2303" s="34" t="n"/>
      <c r="B2303" s="32" t="n"/>
      <c r="C2303" s="33" t="n"/>
      <c r="D2303" s="37" t="str">
        <f>IF($C2303="","",IFERROR(INDEX(프로젝트목록!$B$3:$B$62,MATCH($C2303,프로젝트목록!$A$3:$A$62,0)),"미등록코드"))</f>
        <v/>
      </c>
      <c r="E2303" s="32" t="n"/>
      <c r="F2303" s="38" t="n"/>
      <c r="G2303" s="38" t="n"/>
      <c r="H2303" s="39" t="n"/>
      <c r="I2303" s="40" t="str">
        <f>IF(OR($J2303="",$K2303=""),"",ROUND(MAX(0,($K2303-$J2303)-IF($H2303="",0,$H2303))/60,2))</f>
        <v/>
      </c>
      <c r="J2303" s="41" t="str">
        <f>IF($F2303="","",IF($F2303&lt;1,ROUND($F2303*1440,0),INT($F2303/100)*60+MOD($F2303,100)))</f>
        <v/>
      </c>
      <c r="K2303" s="41" t="str">
        <f>IF($G2303="","",IF($G2303&lt;1,ROUND($G2303*1440,0),INT($G2303/100)*60+MOD($G2303,100)))</f>
        <v/>
      </c>
    </row>
    <row r="2304" ht="15" customHeight="1" s="26">
      <c r="A2304" s="34" t="n"/>
      <c r="B2304" s="32" t="n"/>
      <c r="C2304" s="33" t="n"/>
      <c r="D2304" s="37" t="str">
        <f>IF($C2304="","",IFERROR(INDEX(프로젝트목록!$B$3:$B$62,MATCH($C2304,프로젝트목록!$A$3:$A$62,0)),"미등록코드"))</f>
        <v/>
      </c>
      <c r="E2304" s="32" t="n"/>
      <c r="F2304" s="38" t="n"/>
      <c r="G2304" s="38" t="n"/>
      <c r="H2304" s="39" t="n"/>
      <c r="I2304" s="40" t="str">
        <f>IF(OR($J2304="",$K2304=""),"",ROUND(MAX(0,($K2304-$J2304)-IF($H2304="",0,$H2304))/60,2))</f>
        <v/>
      </c>
      <c r="J2304" s="41" t="str">
        <f>IF($F2304="","",IF($F2304&lt;1,ROUND($F2304*1440,0),INT($F2304/100)*60+MOD($F2304,100)))</f>
        <v/>
      </c>
      <c r="K2304" s="41" t="str">
        <f>IF($G2304="","",IF($G2304&lt;1,ROUND($G2304*1440,0),INT($G2304/100)*60+MOD($G2304,100)))</f>
        <v/>
      </c>
    </row>
    <row r="2305" ht="15" customHeight="1" s="26">
      <c r="A2305" s="34" t="n"/>
      <c r="B2305" s="32" t="n"/>
      <c r="C2305" s="33" t="n"/>
      <c r="D2305" s="37" t="str">
        <f>IF($C2305="","",IFERROR(INDEX(프로젝트목록!$B$3:$B$62,MATCH($C2305,프로젝트목록!$A$3:$A$62,0)),"미등록코드"))</f>
        <v/>
      </c>
      <c r="E2305" s="32" t="n"/>
      <c r="F2305" s="38" t="n"/>
      <c r="G2305" s="38" t="n"/>
      <c r="H2305" s="39" t="n"/>
      <c r="I2305" s="40" t="str">
        <f>IF(OR($J2305="",$K2305=""),"",ROUND(MAX(0,($K2305-$J2305)-IF($H2305="",0,$H2305))/60,2))</f>
        <v/>
      </c>
      <c r="J2305" s="41" t="str">
        <f>IF($F2305="","",IF($F2305&lt;1,ROUND($F2305*1440,0),INT($F2305/100)*60+MOD($F2305,100)))</f>
        <v/>
      </c>
      <c r="K2305" s="41" t="str">
        <f>IF($G2305="","",IF($G2305&lt;1,ROUND($G2305*1440,0),INT($G2305/100)*60+MOD($G2305,100)))</f>
        <v/>
      </c>
    </row>
    <row r="2306" ht="15" customHeight="1" s="26">
      <c r="A2306" s="34" t="n"/>
      <c r="B2306" s="32" t="n"/>
      <c r="C2306" s="33" t="n"/>
      <c r="D2306" s="37" t="str">
        <f>IF($C2306="","",IFERROR(INDEX(프로젝트목록!$B$3:$B$62,MATCH($C2306,프로젝트목록!$A$3:$A$62,0)),"미등록코드"))</f>
        <v/>
      </c>
      <c r="E2306" s="32" t="n"/>
      <c r="F2306" s="38" t="n"/>
      <c r="G2306" s="38" t="n"/>
      <c r="H2306" s="39" t="n"/>
      <c r="I2306" s="40" t="str">
        <f>IF(OR($J2306="",$K2306=""),"",ROUND(MAX(0,($K2306-$J2306)-IF($H2306="",0,$H2306))/60,2))</f>
        <v/>
      </c>
      <c r="J2306" s="41" t="str">
        <f>IF($F2306="","",IF($F2306&lt;1,ROUND($F2306*1440,0),INT($F2306/100)*60+MOD($F2306,100)))</f>
        <v/>
      </c>
      <c r="K2306" s="41" t="str">
        <f>IF($G2306="","",IF($G2306&lt;1,ROUND($G2306*1440,0),INT($G2306/100)*60+MOD($G2306,100)))</f>
        <v/>
      </c>
    </row>
    <row r="2307" ht="15" customHeight="1" s="26">
      <c r="A2307" s="34" t="n"/>
      <c r="B2307" s="32" t="n"/>
      <c r="C2307" s="33" t="n"/>
      <c r="D2307" s="37" t="str">
        <f>IF($C2307="","",IFERROR(INDEX(프로젝트목록!$B$3:$B$62,MATCH($C2307,프로젝트목록!$A$3:$A$62,0)),"미등록코드"))</f>
        <v/>
      </c>
      <c r="E2307" s="32" t="n"/>
      <c r="F2307" s="38" t="n"/>
      <c r="G2307" s="38" t="n"/>
      <c r="H2307" s="39" t="n"/>
      <c r="I2307" s="40" t="str">
        <f>IF(OR($J2307="",$K2307=""),"",ROUND(MAX(0,($K2307-$J2307)-IF($H2307="",0,$H2307))/60,2))</f>
        <v/>
      </c>
      <c r="J2307" s="41" t="str">
        <f>IF($F2307="","",IF($F2307&lt;1,ROUND($F2307*1440,0),INT($F2307/100)*60+MOD($F2307,100)))</f>
        <v/>
      </c>
      <c r="K2307" s="41" t="str">
        <f>IF($G2307="","",IF($G2307&lt;1,ROUND($G2307*1440,0),INT($G2307/100)*60+MOD($G2307,100)))</f>
        <v/>
      </c>
    </row>
    <row r="2308" ht="15" customHeight="1" s="26">
      <c r="A2308" s="34" t="n"/>
      <c r="B2308" s="32" t="n"/>
      <c r="C2308" s="33" t="n"/>
      <c r="D2308" s="37" t="str">
        <f>IF($C2308="","",IFERROR(INDEX(프로젝트목록!$B$3:$B$62,MATCH($C2308,프로젝트목록!$A$3:$A$62,0)),"미등록코드"))</f>
        <v/>
      </c>
      <c r="E2308" s="32" t="n"/>
      <c r="F2308" s="38" t="n"/>
      <c r="G2308" s="38" t="n"/>
      <c r="H2308" s="39" t="n"/>
      <c r="I2308" s="40" t="str">
        <f>IF(OR($J2308="",$K2308=""),"",ROUND(MAX(0,($K2308-$J2308)-IF($H2308="",0,$H2308))/60,2))</f>
        <v/>
      </c>
      <c r="J2308" s="41" t="str">
        <f>IF($F2308="","",IF($F2308&lt;1,ROUND($F2308*1440,0),INT($F2308/100)*60+MOD($F2308,100)))</f>
        <v/>
      </c>
      <c r="K2308" s="41" t="str">
        <f>IF($G2308="","",IF($G2308&lt;1,ROUND($G2308*1440,0),INT($G2308/100)*60+MOD($G2308,100)))</f>
        <v/>
      </c>
    </row>
    <row r="2309" ht="15" customHeight="1" s="26">
      <c r="A2309" s="34" t="n"/>
      <c r="B2309" s="32" t="n"/>
      <c r="C2309" s="33" t="n"/>
      <c r="D2309" s="37" t="str">
        <f>IF($C2309="","",IFERROR(INDEX(프로젝트목록!$B$3:$B$62,MATCH($C2309,프로젝트목록!$A$3:$A$62,0)),"미등록코드"))</f>
        <v/>
      </c>
      <c r="E2309" s="32" t="n"/>
      <c r="F2309" s="38" t="n"/>
      <c r="G2309" s="38" t="n"/>
      <c r="H2309" s="39" t="n"/>
      <c r="I2309" s="40" t="str">
        <f>IF(OR($J2309="",$K2309=""),"",ROUND(MAX(0,($K2309-$J2309)-IF($H2309="",0,$H2309))/60,2))</f>
        <v/>
      </c>
      <c r="J2309" s="41" t="str">
        <f>IF($F2309="","",IF($F2309&lt;1,ROUND($F2309*1440,0),INT($F2309/100)*60+MOD($F2309,100)))</f>
        <v/>
      </c>
      <c r="K2309" s="41" t="str">
        <f>IF($G2309="","",IF($G2309&lt;1,ROUND($G2309*1440,0),INT($G2309/100)*60+MOD($G2309,100)))</f>
        <v/>
      </c>
    </row>
    <row r="2310" ht="15" customHeight="1" s="26">
      <c r="A2310" s="34" t="n"/>
      <c r="B2310" s="32" t="n"/>
      <c r="C2310" s="33" t="n"/>
      <c r="D2310" s="37" t="str">
        <f>IF($C2310="","",IFERROR(INDEX(프로젝트목록!$B$3:$B$62,MATCH($C2310,프로젝트목록!$A$3:$A$62,0)),"미등록코드"))</f>
        <v/>
      </c>
      <c r="E2310" s="32" t="n"/>
      <c r="F2310" s="38" t="n"/>
      <c r="G2310" s="38" t="n"/>
      <c r="H2310" s="39" t="n"/>
      <c r="I2310" s="40" t="str">
        <f>IF(OR($J2310="",$K2310=""),"",ROUND(MAX(0,($K2310-$J2310)-IF($H2310="",0,$H2310))/60,2))</f>
        <v/>
      </c>
      <c r="J2310" s="41" t="str">
        <f>IF($F2310="","",IF($F2310&lt;1,ROUND($F2310*1440,0),INT($F2310/100)*60+MOD($F2310,100)))</f>
        <v/>
      </c>
      <c r="K2310" s="41" t="str">
        <f>IF($G2310="","",IF($G2310&lt;1,ROUND($G2310*1440,0),INT($G2310/100)*60+MOD($G2310,100)))</f>
        <v/>
      </c>
    </row>
    <row r="2311" ht="15" customHeight="1" s="26">
      <c r="A2311" s="34" t="n"/>
      <c r="B2311" s="32" t="n"/>
      <c r="C2311" s="33" t="n"/>
      <c r="D2311" s="37" t="str">
        <f>IF($C2311="","",IFERROR(INDEX(프로젝트목록!$B$3:$B$62,MATCH($C2311,프로젝트목록!$A$3:$A$62,0)),"미등록코드"))</f>
        <v/>
      </c>
      <c r="E2311" s="32" t="n"/>
      <c r="F2311" s="38" t="n"/>
      <c r="G2311" s="38" t="n"/>
      <c r="H2311" s="39" t="n"/>
      <c r="I2311" s="40" t="str">
        <f>IF(OR($J2311="",$K2311=""),"",ROUND(MAX(0,($K2311-$J2311)-IF($H2311="",0,$H2311))/60,2))</f>
        <v/>
      </c>
      <c r="J2311" s="41" t="str">
        <f>IF($F2311="","",IF($F2311&lt;1,ROUND($F2311*1440,0),INT($F2311/100)*60+MOD($F2311,100)))</f>
        <v/>
      </c>
      <c r="K2311" s="41" t="str">
        <f>IF($G2311="","",IF($G2311&lt;1,ROUND($G2311*1440,0),INT($G2311/100)*60+MOD($G2311,100)))</f>
        <v/>
      </c>
    </row>
    <row r="2312" ht="15" customHeight="1" s="26">
      <c r="A2312" s="34" t="n"/>
      <c r="B2312" s="32" t="n"/>
      <c r="C2312" s="33" t="n"/>
      <c r="D2312" s="37" t="str">
        <f>IF($C2312="","",IFERROR(INDEX(프로젝트목록!$B$3:$B$62,MATCH($C2312,프로젝트목록!$A$3:$A$62,0)),"미등록코드"))</f>
        <v/>
      </c>
      <c r="E2312" s="32" t="n"/>
      <c r="F2312" s="38" t="n"/>
      <c r="G2312" s="38" t="n"/>
      <c r="H2312" s="39" t="n"/>
      <c r="I2312" s="40" t="str">
        <f>IF(OR($J2312="",$K2312=""),"",ROUND(MAX(0,($K2312-$J2312)-IF($H2312="",0,$H2312))/60,2))</f>
        <v/>
      </c>
      <c r="J2312" s="41" t="str">
        <f>IF($F2312="","",IF($F2312&lt;1,ROUND($F2312*1440,0),INT($F2312/100)*60+MOD($F2312,100)))</f>
        <v/>
      </c>
      <c r="K2312" s="41" t="str">
        <f>IF($G2312="","",IF($G2312&lt;1,ROUND($G2312*1440,0),INT($G2312/100)*60+MOD($G2312,100)))</f>
        <v/>
      </c>
    </row>
    <row r="2313" ht="15" customHeight="1" s="26">
      <c r="A2313" s="34" t="n"/>
      <c r="B2313" s="32" t="n"/>
      <c r="C2313" s="33" t="n"/>
      <c r="D2313" s="37" t="str">
        <f>IF($C2313="","",IFERROR(INDEX(프로젝트목록!$B$3:$B$62,MATCH($C2313,프로젝트목록!$A$3:$A$62,0)),"미등록코드"))</f>
        <v/>
      </c>
      <c r="E2313" s="32" t="n"/>
      <c r="F2313" s="38" t="n"/>
      <c r="G2313" s="38" t="n"/>
      <c r="H2313" s="39" t="n"/>
      <c r="I2313" s="40" t="str">
        <f>IF(OR($J2313="",$K2313=""),"",ROUND(MAX(0,($K2313-$J2313)-IF($H2313="",0,$H2313))/60,2))</f>
        <v/>
      </c>
      <c r="J2313" s="41" t="str">
        <f>IF($F2313="","",IF($F2313&lt;1,ROUND($F2313*1440,0),INT($F2313/100)*60+MOD($F2313,100)))</f>
        <v/>
      </c>
      <c r="K2313" s="41" t="str">
        <f>IF($G2313="","",IF($G2313&lt;1,ROUND($G2313*1440,0),INT($G2313/100)*60+MOD($G2313,100)))</f>
        <v/>
      </c>
    </row>
    <row r="2314" ht="15" customHeight="1" s="26">
      <c r="A2314" s="34" t="n"/>
      <c r="B2314" s="32" t="n"/>
      <c r="C2314" s="33" t="n"/>
      <c r="D2314" s="37" t="str">
        <f>IF($C2314="","",IFERROR(INDEX(프로젝트목록!$B$3:$B$62,MATCH($C2314,프로젝트목록!$A$3:$A$62,0)),"미등록코드"))</f>
        <v/>
      </c>
      <c r="E2314" s="32" t="n"/>
      <c r="F2314" s="38" t="n"/>
      <c r="G2314" s="38" t="n"/>
      <c r="H2314" s="39" t="n"/>
      <c r="I2314" s="40" t="str">
        <f>IF(OR($J2314="",$K2314=""),"",ROUND(MAX(0,($K2314-$J2314)-IF($H2314="",0,$H2314))/60,2))</f>
        <v/>
      </c>
      <c r="J2314" s="41" t="str">
        <f>IF($F2314="","",IF($F2314&lt;1,ROUND($F2314*1440,0),INT($F2314/100)*60+MOD($F2314,100)))</f>
        <v/>
      </c>
      <c r="K2314" s="41" t="str">
        <f>IF($G2314="","",IF($G2314&lt;1,ROUND($G2314*1440,0),INT($G2314/100)*60+MOD($G2314,100)))</f>
        <v/>
      </c>
    </row>
    <row r="2315" ht="15" customHeight="1" s="26">
      <c r="A2315" s="34" t="n"/>
      <c r="B2315" s="32" t="n"/>
      <c r="C2315" s="33" t="n"/>
      <c r="D2315" s="37" t="str">
        <f>IF($C2315="","",IFERROR(INDEX(프로젝트목록!$B$3:$B$62,MATCH($C2315,프로젝트목록!$A$3:$A$62,0)),"미등록코드"))</f>
        <v/>
      </c>
      <c r="E2315" s="32" t="n"/>
      <c r="F2315" s="38" t="n"/>
      <c r="G2315" s="38" t="n"/>
      <c r="H2315" s="39" t="n"/>
      <c r="I2315" s="40" t="str">
        <f>IF(OR($J2315="",$K2315=""),"",ROUND(MAX(0,($K2315-$J2315)-IF($H2315="",0,$H2315))/60,2))</f>
        <v/>
      </c>
      <c r="J2315" s="41" t="str">
        <f>IF($F2315="","",IF($F2315&lt;1,ROUND($F2315*1440,0),INT($F2315/100)*60+MOD($F2315,100)))</f>
        <v/>
      </c>
      <c r="K2315" s="41" t="str">
        <f>IF($G2315="","",IF($G2315&lt;1,ROUND($G2315*1440,0),INT($G2315/100)*60+MOD($G2315,100)))</f>
        <v/>
      </c>
    </row>
    <row r="2316" ht="15" customHeight="1" s="26">
      <c r="A2316" s="34" t="n"/>
      <c r="B2316" s="32" t="n"/>
      <c r="C2316" s="33" t="n"/>
      <c r="D2316" s="37" t="str">
        <f>IF($C2316="","",IFERROR(INDEX(프로젝트목록!$B$3:$B$62,MATCH($C2316,프로젝트목록!$A$3:$A$62,0)),"미등록코드"))</f>
        <v/>
      </c>
      <c r="E2316" s="32" t="n"/>
      <c r="F2316" s="38" t="n"/>
      <c r="G2316" s="38" t="n"/>
      <c r="H2316" s="39" t="n"/>
      <c r="I2316" s="40" t="str">
        <f>IF(OR($J2316="",$K2316=""),"",ROUND(MAX(0,($K2316-$J2316)-IF($H2316="",0,$H2316))/60,2))</f>
        <v/>
      </c>
      <c r="J2316" s="41" t="str">
        <f>IF($F2316="","",IF($F2316&lt;1,ROUND($F2316*1440,0),INT($F2316/100)*60+MOD($F2316,100)))</f>
        <v/>
      </c>
      <c r="K2316" s="41" t="str">
        <f>IF($G2316="","",IF($G2316&lt;1,ROUND($G2316*1440,0),INT($G2316/100)*60+MOD($G2316,100)))</f>
        <v/>
      </c>
    </row>
    <row r="2317" ht="15" customHeight="1" s="26">
      <c r="A2317" s="34" t="n"/>
      <c r="B2317" s="32" t="n"/>
      <c r="C2317" s="33" t="n"/>
      <c r="D2317" s="37" t="str">
        <f>IF($C2317="","",IFERROR(INDEX(프로젝트목록!$B$3:$B$62,MATCH($C2317,프로젝트목록!$A$3:$A$62,0)),"미등록코드"))</f>
        <v/>
      </c>
      <c r="E2317" s="32" t="n"/>
      <c r="F2317" s="38" t="n"/>
      <c r="G2317" s="38" t="n"/>
      <c r="H2317" s="39" t="n"/>
      <c r="I2317" s="40" t="str">
        <f>IF(OR($J2317="",$K2317=""),"",ROUND(MAX(0,($K2317-$J2317)-IF($H2317="",0,$H2317))/60,2))</f>
        <v/>
      </c>
      <c r="J2317" s="41" t="str">
        <f>IF($F2317="","",IF($F2317&lt;1,ROUND($F2317*1440,0),INT($F2317/100)*60+MOD($F2317,100)))</f>
        <v/>
      </c>
      <c r="K2317" s="41" t="str">
        <f>IF($G2317="","",IF($G2317&lt;1,ROUND($G2317*1440,0),INT($G2317/100)*60+MOD($G2317,100)))</f>
        <v/>
      </c>
    </row>
    <row r="2318" ht="15" customHeight="1" s="26">
      <c r="A2318" s="34" t="n"/>
      <c r="B2318" s="32" t="n"/>
      <c r="C2318" s="33" t="n"/>
      <c r="D2318" s="37" t="str">
        <f>IF($C2318="","",IFERROR(INDEX(프로젝트목록!$B$3:$B$62,MATCH($C2318,프로젝트목록!$A$3:$A$62,0)),"미등록코드"))</f>
        <v/>
      </c>
      <c r="E2318" s="32" t="n"/>
      <c r="F2318" s="38" t="n"/>
      <c r="G2318" s="38" t="n"/>
      <c r="H2318" s="39" t="n"/>
      <c r="I2318" s="40" t="str">
        <f>IF(OR($J2318="",$K2318=""),"",ROUND(MAX(0,($K2318-$J2318)-IF($H2318="",0,$H2318))/60,2))</f>
        <v/>
      </c>
      <c r="J2318" s="41" t="str">
        <f>IF($F2318="","",IF($F2318&lt;1,ROUND($F2318*1440,0),INT($F2318/100)*60+MOD($F2318,100)))</f>
        <v/>
      </c>
      <c r="K2318" s="41" t="str">
        <f>IF($G2318="","",IF($G2318&lt;1,ROUND($G2318*1440,0),INT($G2318/100)*60+MOD($G2318,100)))</f>
        <v/>
      </c>
    </row>
    <row r="2319" ht="15" customHeight="1" s="26">
      <c r="A2319" s="34" t="n"/>
      <c r="B2319" s="32" t="n"/>
      <c r="C2319" s="33" t="n"/>
      <c r="D2319" s="37" t="str">
        <f>IF($C2319="","",IFERROR(INDEX(프로젝트목록!$B$3:$B$62,MATCH($C2319,프로젝트목록!$A$3:$A$62,0)),"미등록코드"))</f>
        <v/>
      </c>
      <c r="E2319" s="32" t="n"/>
      <c r="F2319" s="38" t="n"/>
      <c r="G2319" s="38" t="n"/>
      <c r="H2319" s="39" t="n"/>
      <c r="I2319" s="40" t="str">
        <f>IF(OR($J2319="",$K2319=""),"",ROUND(MAX(0,($K2319-$J2319)-IF($H2319="",0,$H2319))/60,2))</f>
        <v/>
      </c>
      <c r="J2319" s="41" t="str">
        <f>IF($F2319="","",IF($F2319&lt;1,ROUND($F2319*1440,0),INT($F2319/100)*60+MOD($F2319,100)))</f>
        <v/>
      </c>
      <c r="K2319" s="41" t="str">
        <f>IF($G2319="","",IF($G2319&lt;1,ROUND($G2319*1440,0),INT($G2319/100)*60+MOD($G2319,100)))</f>
        <v/>
      </c>
    </row>
    <row r="2320" ht="15" customHeight="1" s="26">
      <c r="A2320" s="34" t="n"/>
      <c r="B2320" s="32" t="n"/>
      <c r="C2320" s="33" t="n"/>
      <c r="D2320" s="37" t="str">
        <f>IF($C2320="","",IFERROR(INDEX(프로젝트목록!$B$3:$B$62,MATCH($C2320,프로젝트목록!$A$3:$A$62,0)),"미등록코드"))</f>
        <v/>
      </c>
      <c r="E2320" s="32" t="n"/>
      <c r="F2320" s="38" t="n"/>
      <c r="G2320" s="38" t="n"/>
      <c r="H2320" s="39" t="n"/>
      <c r="I2320" s="40" t="str">
        <f>IF(OR($J2320="",$K2320=""),"",ROUND(MAX(0,($K2320-$J2320)-IF($H2320="",0,$H2320))/60,2))</f>
        <v/>
      </c>
      <c r="J2320" s="41" t="str">
        <f>IF($F2320="","",IF($F2320&lt;1,ROUND($F2320*1440,0),INT($F2320/100)*60+MOD($F2320,100)))</f>
        <v/>
      </c>
      <c r="K2320" s="41" t="str">
        <f>IF($G2320="","",IF($G2320&lt;1,ROUND($G2320*1440,0),INT($G2320/100)*60+MOD($G2320,100)))</f>
        <v/>
      </c>
    </row>
    <row r="2321" ht="15" customHeight="1" s="26">
      <c r="A2321" s="34" t="n"/>
      <c r="B2321" s="32" t="n"/>
      <c r="C2321" s="33" t="n"/>
      <c r="D2321" s="37" t="str">
        <f>IF($C2321="","",IFERROR(INDEX(프로젝트목록!$B$3:$B$62,MATCH($C2321,프로젝트목록!$A$3:$A$62,0)),"미등록코드"))</f>
        <v/>
      </c>
      <c r="E2321" s="32" t="n"/>
      <c r="F2321" s="38" t="n"/>
      <c r="G2321" s="38" t="n"/>
      <c r="H2321" s="39" t="n"/>
      <c r="I2321" s="40" t="str">
        <f>IF(OR($J2321="",$K2321=""),"",ROUND(MAX(0,($K2321-$J2321)-IF($H2321="",0,$H2321))/60,2))</f>
        <v/>
      </c>
      <c r="J2321" s="41" t="str">
        <f>IF($F2321="","",IF($F2321&lt;1,ROUND($F2321*1440,0),INT($F2321/100)*60+MOD($F2321,100)))</f>
        <v/>
      </c>
      <c r="K2321" s="41" t="str">
        <f>IF($G2321="","",IF($G2321&lt;1,ROUND($G2321*1440,0),INT($G2321/100)*60+MOD($G2321,100)))</f>
        <v/>
      </c>
    </row>
    <row r="2322" ht="15" customHeight="1" s="26">
      <c r="A2322" s="34" t="n"/>
      <c r="B2322" s="32" t="n"/>
      <c r="C2322" s="33" t="n"/>
      <c r="D2322" s="37" t="str">
        <f>IF($C2322="","",IFERROR(INDEX(프로젝트목록!$B$3:$B$62,MATCH($C2322,프로젝트목록!$A$3:$A$62,0)),"미등록코드"))</f>
        <v/>
      </c>
      <c r="E2322" s="32" t="n"/>
      <c r="F2322" s="38" t="n"/>
      <c r="G2322" s="38" t="n"/>
      <c r="H2322" s="39" t="n"/>
      <c r="I2322" s="40" t="str">
        <f>IF(OR($J2322="",$K2322=""),"",ROUND(MAX(0,($K2322-$J2322)-IF($H2322="",0,$H2322))/60,2))</f>
        <v/>
      </c>
      <c r="J2322" s="41" t="str">
        <f>IF($F2322="","",IF($F2322&lt;1,ROUND($F2322*1440,0),INT($F2322/100)*60+MOD($F2322,100)))</f>
        <v/>
      </c>
      <c r="K2322" s="41" t="str">
        <f>IF($G2322="","",IF($G2322&lt;1,ROUND($G2322*1440,0),INT($G2322/100)*60+MOD($G2322,100)))</f>
        <v/>
      </c>
    </row>
    <row r="2323" ht="15" customHeight="1" s="26">
      <c r="A2323" s="34" t="n"/>
      <c r="B2323" s="32" t="n"/>
      <c r="C2323" s="33" t="n"/>
      <c r="D2323" s="37" t="str">
        <f>IF($C2323="","",IFERROR(INDEX(프로젝트목록!$B$3:$B$62,MATCH($C2323,프로젝트목록!$A$3:$A$62,0)),"미등록코드"))</f>
        <v/>
      </c>
      <c r="E2323" s="32" t="n"/>
      <c r="F2323" s="38" t="n"/>
      <c r="G2323" s="38" t="n"/>
      <c r="H2323" s="39" t="n"/>
      <c r="I2323" s="40" t="str">
        <f>IF(OR($J2323="",$K2323=""),"",ROUND(MAX(0,($K2323-$J2323)-IF($H2323="",0,$H2323))/60,2))</f>
        <v/>
      </c>
      <c r="J2323" s="41" t="str">
        <f>IF($F2323="","",IF($F2323&lt;1,ROUND($F2323*1440,0),INT($F2323/100)*60+MOD($F2323,100)))</f>
        <v/>
      </c>
      <c r="K2323" s="41" t="str">
        <f>IF($G2323="","",IF($G2323&lt;1,ROUND($G2323*1440,0),INT($G2323/100)*60+MOD($G2323,100)))</f>
        <v/>
      </c>
    </row>
    <row r="2324" ht="15" customHeight="1" s="26">
      <c r="A2324" s="34" t="n"/>
      <c r="B2324" s="32" t="n"/>
      <c r="C2324" s="33" t="n"/>
      <c r="D2324" s="37" t="str">
        <f>IF($C2324="","",IFERROR(INDEX(프로젝트목록!$B$3:$B$62,MATCH($C2324,프로젝트목록!$A$3:$A$62,0)),"미등록코드"))</f>
        <v/>
      </c>
      <c r="E2324" s="32" t="n"/>
      <c r="F2324" s="38" t="n"/>
      <c r="G2324" s="38" t="n"/>
      <c r="H2324" s="39" t="n"/>
      <c r="I2324" s="40" t="str">
        <f>IF(OR($J2324="",$K2324=""),"",ROUND(MAX(0,($K2324-$J2324)-IF($H2324="",0,$H2324))/60,2))</f>
        <v/>
      </c>
      <c r="J2324" s="41" t="str">
        <f>IF($F2324="","",IF($F2324&lt;1,ROUND($F2324*1440,0),INT($F2324/100)*60+MOD($F2324,100)))</f>
        <v/>
      </c>
      <c r="K2324" s="41" t="str">
        <f>IF($G2324="","",IF($G2324&lt;1,ROUND($G2324*1440,0),INT($G2324/100)*60+MOD($G2324,100)))</f>
        <v/>
      </c>
    </row>
    <row r="2325" ht="15" customHeight="1" s="26">
      <c r="A2325" s="34" t="n"/>
      <c r="B2325" s="32" t="n"/>
      <c r="C2325" s="33" t="n"/>
      <c r="D2325" s="37" t="str">
        <f>IF($C2325="","",IFERROR(INDEX(프로젝트목록!$B$3:$B$62,MATCH($C2325,프로젝트목록!$A$3:$A$62,0)),"미등록코드"))</f>
        <v/>
      </c>
      <c r="E2325" s="32" t="n"/>
      <c r="F2325" s="38" t="n"/>
      <c r="G2325" s="38" t="n"/>
      <c r="H2325" s="39" t="n"/>
      <c r="I2325" s="40" t="str">
        <f>IF(OR($J2325="",$K2325=""),"",ROUND(MAX(0,($K2325-$J2325)-IF($H2325="",0,$H2325))/60,2))</f>
        <v/>
      </c>
      <c r="J2325" s="41" t="str">
        <f>IF($F2325="","",IF($F2325&lt;1,ROUND($F2325*1440,0),INT($F2325/100)*60+MOD($F2325,100)))</f>
        <v/>
      </c>
      <c r="K2325" s="41" t="str">
        <f>IF($G2325="","",IF($G2325&lt;1,ROUND($G2325*1440,0),INT($G2325/100)*60+MOD($G2325,100)))</f>
        <v/>
      </c>
    </row>
    <row r="2326" ht="15" customHeight="1" s="26">
      <c r="A2326" s="34" t="n"/>
      <c r="B2326" s="32" t="n"/>
      <c r="C2326" s="33" t="n"/>
      <c r="D2326" s="37" t="str">
        <f>IF($C2326="","",IFERROR(INDEX(프로젝트목록!$B$3:$B$62,MATCH($C2326,프로젝트목록!$A$3:$A$62,0)),"미등록코드"))</f>
        <v/>
      </c>
      <c r="E2326" s="32" t="n"/>
      <c r="F2326" s="38" t="n"/>
      <c r="G2326" s="38" t="n"/>
      <c r="H2326" s="39" t="n"/>
      <c r="I2326" s="40" t="str">
        <f>IF(OR($J2326="",$K2326=""),"",ROUND(MAX(0,($K2326-$J2326)-IF($H2326="",0,$H2326))/60,2))</f>
        <v/>
      </c>
      <c r="J2326" s="41" t="str">
        <f>IF($F2326="","",IF($F2326&lt;1,ROUND($F2326*1440,0),INT($F2326/100)*60+MOD($F2326,100)))</f>
        <v/>
      </c>
      <c r="K2326" s="41" t="str">
        <f>IF($G2326="","",IF($G2326&lt;1,ROUND($G2326*1440,0),INT($G2326/100)*60+MOD($G2326,100)))</f>
        <v/>
      </c>
    </row>
    <row r="2327" ht="15" customHeight="1" s="26">
      <c r="A2327" s="34" t="n"/>
      <c r="B2327" s="32" t="n"/>
      <c r="C2327" s="33" t="n"/>
      <c r="D2327" s="37" t="str">
        <f>IF($C2327="","",IFERROR(INDEX(프로젝트목록!$B$3:$B$62,MATCH($C2327,프로젝트목록!$A$3:$A$62,0)),"미등록코드"))</f>
        <v/>
      </c>
      <c r="E2327" s="32" t="n"/>
      <c r="F2327" s="38" t="n"/>
      <c r="G2327" s="38" t="n"/>
      <c r="H2327" s="39" t="n"/>
      <c r="I2327" s="40" t="str">
        <f>IF(OR($J2327="",$K2327=""),"",ROUND(MAX(0,($K2327-$J2327)-IF($H2327="",0,$H2327))/60,2))</f>
        <v/>
      </c>
      <c r="J2327" s="41" t="str">
        <f>IF($F2327="","",IF($F2327&lt;1,ROUND($F2327*1440,0),INT($F2327/100)*60+MOD($F2327,100)))</f>
        <v/>
      </c>
      <c r="K2327" s="41" t="str">
        <f>IF($G2327="","",IF($G2327&lt;1,ROUND($G2327*1440,0),INT($G2327/100)*60+MOD($G2327,100)))</f>
        <v/>
      </c>
    </row>
    <row r="2328" ht="15" customHeight="1" s="26">
      <c r="A2328" s="34" t="n"/>
      <c r="B2328" s="32" t="n"/>
      <c r="C2328" s="33" t="n"/>
      <c r="D2328" s="37" t="str">
        <f>IF($C2328="","",IFERROR(INDEX(프로젝트목록!$B$3:$B$62,MATCH($C2328,프로젝트목록!$A$3:$A$62,0)),"미등록코드"))</f>
        <v/>
      </c>
      <c r="E2328" s="32" t="n"/>
      <c r="F2328" s="38" t="n"/>
      <c r="G2328" s="38" t="n"/>
      <c r="H2328" s="39" t="n"/>
      <c r="I2328" s="40" t="str">
        <f>IF(OR($J2328="",$K2328=""),"",ROUND(MAX(0,($K2328-$J2328)-IF($H2328="",0,$H2328))/60,2))</f>
        <v/>
      </c>
      <c r="J2328" s="41" t="str">
        <f>IF($F2328="","",IF($F2328&lt;1,ROUND($F2328*1440,0),INT($F2328/100)*60+MOD($F2328,100)))</f>
        <v/>
      </c>
      <c r="K2328" s="41" t="str">
        <f>IF($G2328="","",IF($G2328&lt;1,ROUND($G2328*1440,0),INT($G2328/100)*60+MOD($G2328,100)))</f>
        <v/>
      </c>
    </row>
    <row r="2329" ht="15" customHeight="1" s="26">
      <c r="A2329" s="34" t="n"/>
      <c r="B2329" s="32" t="n"/>
      <c r="C2329" s="33" t="n"/>
      <c r="D2329" s="37" t="str">
        <f>IF($C2329="","",IFERROR(INDEX(프로젝트목록!$B$3:$B$62,MATCH($C2329,프로젝트목록!$A$3:$A$62,0)),"미등록코드"))</f>
        <v/>
      </c>
      <c r="E2329" s="32" t="n"/>
      <c r="F2329" s="38" t="n"/>
      <c r="G2329" s="38" t="n"/>
      <c r="H2329" s="39" t="n"/>
      <c r="I2329" s="40" t="str">
        <f>IF(OR($J2329="",$K2329=""),"",ROUND(MAX(0,($K2329-$J2329)-IF($H2329="",0,$H2329))/60,2))</f>
        <v/>
      </c>
      <c r="J2329" s="41" t="str">
        <f>IF($F2329="","",IF($F2329&lt;1,ROUND($F2329*1440,0),INT($F2329/100)*60+MOD($F2329,100)))</f>
        <v/>
      </c>
      <c r="K2329" s="41" t="str">
        <f>IF($G2329="","",IF($G2329&lt;1,ROUND($G2329*1440,0),INT($G2329/100)*60+MOD($G2329,100)))</f>
        <v/>
      </c>
    </row>
    <row r="2330" ht="15" customHeight="1" s="26">
      <c r="A2330" s="34" t="n"/>
      <c r="B2330" s="32" t="n"/>
      <c r="C2330" s="33" t="n"/>
      <c r="D2330" s="37" t="str">
        <f>IF($C2330="","",IFERROR(INDEX(프로젝트목록!$B$3:$B$62,MATCH($C2330,프로젝트목록!$A$3:$A$62,0)),"미등록코드"))</f>
        <v/>
      </c>
      <c r="E2330" s="32" t="n"/>
      <c r="F2330" s="38" t="n"/>
      <c r="G2330" s="38" t="n"/>
      <c r="H2330" s="39" t="n"/>
      <c r="I2330" s="40" t="str">
        <f>IF(OR($J2330="",$K2330=""),"",ROUND(MAX(0,($K2330-$J2330)-IF($H2330="",0,$H2330))/60,2))</f>
        <v/>
      </c>
      <c r="J2330" s="41" t="str">
        <f>IF($F2330="","",IF($F2330&lt;1,ROUND($F2330*1440,0),INT($F2330/100)*60+MOD($F2330,100)))</f>
        <v/>
      </c>
      <c r="K2330" s="41" t="str">
        <f>IF($G2330="","",IF($G2330&lt;1,ROUND($G2330*1440,0),INT($G2330/100)*60+MOD($G2330,100)))</f>
        <v/>
      </c>
    </row>
    <row r="2331" ht="15" customHeight="1" s="26">
      <c r="A2331" s="34" t="n"/>
      <c r="B2331" s="32" t="n"/>
      <c r="C2331" s="33" t="n"/>
      <c r="D2331" s="37" t="str">
        <f>IF($C2331="","",IFERROR(INDEX(프로젝트목록!$B$3:$B$62,MATCH($C2331,프로젝트목록!$A$3:$A$62,0)),"미등록코드"))</f>
        <v/>
      </c>
      <c r="E2331" s="32" t="n"/>
      <c r="F2331" s="38" t="n"/>
      <c r="G2331" s="38" t="n"/>
      <c r="H2331" s="39" t="n"/>
      <c r="I2331" s="40" t="str">
        <f>IF(OR($J2331="",$K2331=""),"",ROUND(MAX(0,($K2331-$J2331)-IF($H2331="",0,$H2331))/60,2))</f>
        <v/>
      </c>
      <c r="J2331" s="41" t="str">
        <f>IF($F2331="","",IF($F2331&lt;1,ROUND($F2331*1440,0),INT($F2331/100)*60+MOD($F2331,100)))</f>
        <v/>
      </c>
      <c r="K2331" s="41" t="str">
        <f>IF($G2331="","",IF($G2331&lt;1,ROUND($G2331*1440,0),INT($G2331/100)*60+MOD($G2331,100)))</f>
        <v/>
      </c>
    </row>
    <row r="2332" ht="15" customHeight="1" s="26">
      <c r="A2332" s="34" t="n"/>
      <c r="B2332" s="32" t="n"/>
      <c r="C2332" s="33" t="n"/>
      <c r="D2332" s="37" t="str">
        <f>IF($C2332="","",IFERROR(INDEX(프로젝트목록!$B$3:$B$62,MATCH($C2332,프로젝트목록!$A$3:$A$62,0)),"미등록코드"))</f>
        <v/>
      </c>
      <c r="E2332" s="32" t="n"/>
      <c r="F2332" s="38" t="n"/>
      <c r="G2332" s="38" t="n"/>
      <c r="H2332" s="39" t="n"/>
      <c r="I2332" s="40" t="str">
        <f>IF(OR($J2332="",$K2332=""),"",ROUND(MAX(0,($K2332-$J2332)-IF($H2332="",0,$H2332))/60,2))</f>
        <v/>
      </c>
      <c r="J2332" s="41" t="str">
        <f>IF($F2332="","",IF($F2332&lt;1,ROUND($F2332*1440,0),INT($F2332/100)*60+MOD($F2332,100)))</f>
        <v/>
      </c>
      <c r="K2332" s="41" t="str">
        <f>IF($G2332="","",IF($G2332&lt;1,ROUND($G2332*1440,0),INT($G2332/100)*60+MOD($G2332,100)))</f>
        <v/>
      </c>
    </row>
    <row r="2333" ht="15" customHeight="1" s="26">
      <c r="A2333" s="34" t="n"/>
      <c r="B2333" s="32" t="n"/>
      <c r="C2333" s="33" t="n"/>
      <c r="D2333" s="37" t="str">
        <f>IF($C2333="","",IFERROR(INDEX(프로젝트목록!$B$3:$B$62,MATCH($C2333,프로젝트목록!$A$3:$A$62,0)),"미등록코드"))</f>
        <v/>
      </c>
      <c r="E2333" s="32" t="n"/>
      <c r="F2333" s="38" t="n"/>
      <c r="G2333" s="38" t="n"/>
      <c r="H2333" s="39" t="n"/>
      <c r="I2333" s="40" t="str">
        <f>IF(OR($J2333="",$K2333=""),"",ROUND(MAX(0,($K2333-$J2333)-IF($H2333="",0,$H2333))/60,2))</f>
        <v/>
      </c>
      <c r="J2333" s="41" t="str">
        <f>IF($F2333="","",IF($F2333&lt;1,ROUND($F2333*1440,0),INT($F2333/100)*60+MOD($F2333,100)))</f>
        <v/>
      </c>
      <c r="K2333" s="41" t="str">
        <f>IF($G2333="","",IF($G2333&lt;1,ROUND($G2333*1440,0),INT($G2333/100)*60+MOD($G2333,100)))</f>
        <v/>
      </c>
    </row>
    <row r="2334" ht="15" customHeight="1" s="26">
      <c r="A2334" s="34" t="n"/>
      <c r="B2334" s="32" t="n"/>
      <c r="C2334" s="33" t="n"/>
      <c r="D2334" s="37" t="str">
        <f>IF($C2334="","",IFERROR(INDEX(프로젝트목록!$B$3:$B$62,MATCH($C2334,프로젝트목록!$A$3:$A$62,0)),"미등록코드"))</f>
        <v/>
      </c>
      <c r="E2334" s="32" t="n"/>
      <c r="F2334" s="38" t="n"/>
      <c r="G2334" s="38" t="n"/>
      <c r="H2334" s="39" t="n"/>
      <c r="I2334" s="40" t="str">
        <f>IF(OR($J2334="",$K2334=""),"",ROUND(MAX(0,($K2334-$J2334)-IF($H2334="",0,$H2334))/60,2))</f>
        <v/>
      </c>
      <c r="J2334" s="41" t="str">
        <f>IF($F2334="","",IF($F2334&lt;1,ROUND($F2334*1440,0),INT($F2334/100)*60+MOD($F2334,100)))</f>
        <v/>
      </c>
      <c r="K2334" s="41" t="str">
        <f>IF($G2334="","",IF($G2334&lt;1,ROUND($G2334*1440,0),INT($G2334/100)*60+MOD($G2334,100)))</f>
        <v/>
      </c>
    </row>
    <row r="2335" ht="15" customHeight="1" s="26">
      <c r="A2335" s="34" t="n"/>
      <c r="B2335" s="32" t="n"/>
      <c r="C2335" s="33" t="n"/>
      <c r="D2335" s="37" t="str">
        <f>IF($C2335="","",IFERROR(INDEX(프로젝트목록!$B$3:$B$62,MATCH($C2335,프로젝트목록!$A$3:$A$62,0)),"미등록코드"))</f>
        <v/>
      </c>
      <c r="E2335" s="32" t="n"/>
      <c r="F2335" s="38" t="n"/>
      <c r="G2335" s="38" t="n"/>
      <c r="H2335" s="39" t="n"/>
      <c r="I2335" s="40" t="str">
        <f>IF(OR($J2335="",$K2335=""),"",ROUND(MAX(0,($K2335-$J2335)-IF($H2335="",0,$H2335))/60,2))</f>
        <v/>
      </c>
      <c r="J2335" s="41" t="str">
        <f>IF($F2335="","",IF($F2335&lt;1,ROUND($F2335*1440,0),INT($F2335/100)*60+MOD($F2335,100)))</f>
        <v/>
      </c>
      <c r="K2335" s="41" t="str">
        <f>IF($G2335="","",IF($G2335&lt;1,ROUND($G2335*1440,0),INT($G2335/100)*60+MOD($G2335,100)))</f>
        <v/>
      </c>
    </row>
    <row r="2336" ht="15" customHeight="1" s="26">
      <c r="A2336" s="34" t="n"/>
      <c r="B2336" s="32" t="n"/>
      <c r="C2336" s="33" t="n"/>
      <c r="D2336" s="37" t="str">
        <f>IF($C2336="","",IFERROR(INDEX(프로젝트목록!$B$3:$B$62,MATCH($C2336,프로젝트목록!$A$3:$A$62,0)),"미등록코드"))</f>
        <v/>
      </c>
      <c r="E2336" s="32" t="n"/>
      <c r="F2336" s="38" t="n"/>
      <c r="G2336" s="38" t="n"/>
      <c r="H2336" s="39" t="n"/>
      <c r="I2336" s="40" t="str">
        <f>IF(OR($J2336="",$K2336=""),"",ROUND(MAX(0,($K2336-$J2336)-IF($H2336="",0,$H2336))/60,2))</f>
        <v/>
      </c>
      <c r="J2336" s="41" t="str">
        <f>IF($F2336="","",IF($F2336&lt;1,ROUND($F2336*1440,0),INT($F2336/100)*60+MOD($F2336,100)))</f>
        <v/>
      </c>
      <c r="K2336" s="41" t="str">
        <f>IF($G2336="","",IF($G2336&lt;1,ROUND($G2336*1440,0),INT($G2336/100)*60+MOD($G2336,100)))</f>
        <v/>
      </c>
    </row>
    <row r="2337" ht="15" customHeight="1" s="26">
      <c r="A2337" s="34" t="n"/>
      <c r="B2337" s="32" t="n"/>
      <c r="C2337" s="33" t="n"/>
      <c r="D2337" s="37" t="str">
        <f>IF($C2337="","",IFERROR(INDEX(프로젝트목록!$B$3:$B$62,MATCH($C2337,프로젝트목록!$A$3:$A$62,0)),"미등록코드"))</f>
        <v/>
      </c>
      <c r="E2337" s="32" t="n"/>
      <c r="F2337" s="38" t="n"/>
      <c r="G2337" s="38" t="n"/>
      <c r="H2337" s="39" t="n"/>
      <c r="I2337" s="40" t="str">
        <f>IF(OR($J2337="",$K2337=""),"",ROUND(MAX(0,($K2337-$J2337)-IF($H2337="",0,$H2337))/60,2))</f>
        <v/>
      </c>
      <c r="J2337" s="41" t="str">
        <f>IF($F2337="","",IF($F2337&lt;1,ROUND($F2337*1440,0),INT($F2337/100)*60+MOD($F2337,100)))</f>
        <v/>
      </c>
      <c r="K2337" s="41" t="str">
        <f>IF($G2337="","",IF($G2337&lt;1,ROUND($G2337*1440,0),INT($G2337/100)*60+MOD($G2337,100)))</f>
        <v/>
      </c>
    </row>
    <row r="2338" ht="15" customHeight="1" s="26">
      <c r="A2338" s="34" t="n"/>
      <c r="B2338" s="32" t="n"/>
      <c r="C2338" s="33" t="n"/>
      <c r="D2338" s="37" t="str">
        <f>IF($C2338="","",IFERROR(INDEX(프로젝트목록!$B$3:$B$62,MATCH($C2338,프로젝트목록!$A$3:$A$62,0)),"미등록코드"))</f>
        <v/>
      </c>
      <c r="E2338" s="32" t="n"/>
      <c r="F2338" s="38" t="n"/>
      <c r="G2338" s="38" t="n"/>
      <c r="H2338" s="39" t="n"/>
      <c r="I2338" s="40" t="str">
        <f>IF(OR($J2338="",$K2338=""),"",ROUND(MAX(0,($K2338-$J2338)-IF($H2338="",0,$H2338))/60,2))</f>
        <v/>
      </c>
      <c r="J2338" s="41" t="str">
        <f>IF($F2338="","",IF($F2338&lt;1,ROUND($F2338*1440,0),INT($F2338/100)*60+MOD($F2338,100)))</f>
        <v/>
      </c>
      <c r="K2338" s="41" t="str">
        <f>IF($G2338="","",IF($G2338&lt;1,ROUND($G2338*1440,0),INT($G2338/100)*60+MOD($G2338,100)))</f>
        <v/>
      </c>
    </row>
    <row r="2339" ht="15" customHeight="1" s="26">
      <c r="A2339" s="34" t="n"/>
      <c r="B2339" s="32" t="n"/>
      <c r="C2339" s="33" t="n"/>
      <c r="D2339" s="37" t="str">
        <f>IF($C2339="","",IFERROR(INDEX(프로젝트목록!$B$3:$B$62,MATCH($C2339,프로젝트목록!$A$3:$A$62,0)),"미등록코드"))</f>
        <v/>
      </c>
      <c r="E2339" s="32" t="n"/>
      <c r="F2339" s="38" t="n"/>
      <c r="G2339" s="38" t="n"/>
      <c r="H2339" s="39" t="n"/>
      <c r="I2339" s="40" t="str">
        <f>IF(OR($J2339="",$K2339=""),"",ROUND(MAX(0,($K2339-$J2339)-IF($H2339="",0,$H2339))/60,2))</f>
        <v/>
      </c>
      <c r="J2339" s="41" t="str">
        <f>IF($F2339="","",IF($F2339&lt;1,ROUND($F2339*1440,0),INT($F2339/100)*60+MOD($F2339,100)))</f>
        <v/>
      </c>
      <c r="K2339" s="41" t="str">
        <f>IF($G2339="","",IF($G2339&lt;1,ROUND($G2339*1440,0),INT($G2339/100)*60+MOD($G2339,100)))</f>
        <v/>
      </c>
    </row>
    <row r="2340" ht="15" customHeight="1" s="26">
      <c r="A2340" s="34" t="n"/>
      <c r="B2340" s="32" t="n"/>
      <c r="C2340" s="33" t="n"/>
      <c r="D2340" s="37" t="str">
        <f>IF($C2340="","",IFERROR(INDEX(프로젝트목록!$B$3:$B$62,MATCH($C2340,프로젝트목록!$A$3:$A$62,0)),"미등록코드"))</f>
        <v/>
      </c>
      <c r="E2340" s="32" t="n"/>
      <c r="F2340" s="38" t="n"/>
      <c r="G2340" s="38" t="n"/>
      <c r="H2340" s="39" t="n"/>
      <c r="I2340" s="40" t="str">
        <f>IF(OR($J2340="",$K2340=""),"",ROUND(MAX(0,($K2340-$J2340)-IF($H2340="",0,$H2340))/60,2))</f>
        <v/>
      </c>
      <c r="J2340" s="41" t="str">
        <f>IF($F2340="","",IF($F2340&lt;1,ROUND($F2340*1440,0),INT($F2340/100)*60+MOD($F2340,100)))</f>
        <v/>
      </c>
      <c r="K2340" s="41" t="str">
        <f>IF($G2340="","",IF($G2340&lt;1,ROUND($G2340*1440,0),INT($G2340/100)*60+MOD($G2340,100)))</f>
        <v/>
      </c>
    </row>
    <row r="2341" ht="15" customHeight="1" s="26">
      <c r="A2341" s="34" t="n"/>
      <c r="B2341" s="32" t="n"/>
      <c r="C2341" s="33" t="n"/>
      <c r="D2341" s="37" t="str">
        <f>IF($C2341="","",IFERROR(INDEX(프로젝트목록!$B$3:$B$62,MATCH($C2341,프로젝트목록!$A$3:$A$62,0)),"미등록코드"))</f>
        <v/>
      </c>
      <c r="E2341" s="32" t="n"/>
      <c r="F2341" s="38" t="n"/>
      <c r="G2341" s="38" t="n"/>
      <c r="H2341" s="39" t="n"/>
      <c r="I2341" s="40" t="str">
        <f>IF(OR($J2341="",$K2341=""),"",ROUND(MAX(0,($K2341-$J2341)-IF($H2341="",0,$H2341))/60,2))</f>
        <v/>
      </c>
      <c r="J2341" s="41" t="str">
        <f>IF($F2341="","",IF($F2341&lt;1,ROUND($F2341*1440,0),INT($F2341/100)*60+MOD($F2341,100)))</f>
        <v/>
      </c>
      <c r="K2341" s="41" t="str">
        <f>IF($G2341="","",IF($G2341&lt;1,ROUND($G2341*1440,0),INT($G2341/100)*60+MOD($G2341,100)))</f>
        <v/>
      </c>
    </row>
    <row r="2342" ht="15" customHeight="1" s="26">
      <c r="A2342" s="34" t="n"/>
      <c r="B2342" s="32" t="n"/>
      <c r="C2342" s="33" t="n"/>
      <c r="D2342" s="37" t="str">
        <f>IF($C2342="","",IFERROR(INDEX(프로젝트목록!$B$3:$B$62,MATCH($C2342,프로젝트목록!$A$3:$A$62,0)),"미등록코드"))</f>
        <v/>
      </c>
      <c r="E2342" s="32" t="n"/>
      <c r="F2342" s="38" t="n"/>
      <c r="G2342" s="38" t="n"/>
      <c r="H2342" s="39" t="n"/>
      <c r="I2342" s="40" t="str">
        <f>IF(OR($J2342="",$K2342=""),"",ROUND(MAX(0,($K2342-$J2342)-IF($H2342="",0,$H2342))/60,2))</f>
        <v/>
      </c>
      <c r="J2342" s="41" t="str">
        <f>IF($F2342="","",IF($F2342&lt;1,ROUND($F2342*1440,0),INT($F2342/100)*60+MOD($F2342,100)))</f>
        <v/>
      </c>
      <c r="K2342" s="41" t="str">
        <f>IF($G2342="","",IF($G2342&lt;1,ROUND($G2342*1440,0),INT($G2342/100)*60+MOD($G2342,100)))</f>
        <v/>
      </c>
    </row>
    <row r="2343" ht="15" customHeight="1" s="26">
      <c r="A2343" s="34" t="n"/>
      <c r="B2343" s="32" t="n"/>
      <c r="C2343" s="33" t="n"/>
      <c r="D2343" s="37" t="str">
        <f>IF($C2343="","",IFERROR(INDEX(프로젝트목록!$B$3:$B$62,MATCH($C2343,프로젝트목록!$A$3:$A$62,0)),"미등록코드"))</f>
        <v/>
      </c>
      <c r="E2343" s="32" t="n"/>
      <c r="F2343" s="38" t="n"/>
      <c r="G2343" s="38" t="n"/>
      <c r="H2343" s="39" t="n"/>
      <c r="I2343" s="40" t="str">
        <f>IF(OR($J2343="",$K2343=""),"",ROUND(MAX(0,($K2343-$J2343)-IF($H2343="",0,$H2343))/60,2))</f>
        <v/>
      </c>
      <c r="J2343" s="41" t="str">
        <f>IF($F2343="","",IF($F2343&lt;1,ROUND($F2343*1440,0),INT($F2343/100)*60+MOD($F2343,100)))</f>
        <v/>
      </c>
      <c r="K2343" s="41" t="str">
        <f>IF($G2343="","",IF($G2343&lt;1,ROUND($G2343*1440,0),INT($G2343/100)*60+MOD($G2343,100)))</f>
        <v/>
      </c>
    </row>
    <row r="2344" ht="15" customHeight="1" s="26">
      <c r="A2344" s="34" t="n"/>
      <c r="B2344" s="32" t="n"/>
      <c r="C2344" s="33" t="n"/>
      <c r="D2344" s="37" t="str">
        <f>IF($C2344="","",IFERROR(INDEX(프로젝트목록!$B$3:$B$62,MATCH($C2344,프로젝트목록!$A$3:$A$62,0)),"미등록코드"))</f>
        <v/>
      </c>
      <c r="E2344" s="32" t="n"/>
      <c r="F2344" s="38" t="n"/>
      <c r="G2344" s="38" t="n"/>
      <c r="H2344" s="39" t="n"/>
      <c r="I2344" s="40" t="str">
        <f>IF(OR($J2344="",$K2344=""),"",ROUND(MAX(0,($K2344-$J2344)-IF($H2344="",0,$H2344))/60,2))</f>
        <v/>
      </c>
      <c r="J2344" s="41" t="str">
        <f>IF($F2344="","",IF($F2344&lt;1,ROUND($F2344*1440,0),INT($F2344/100)*60+MOD($F2344,100)))</f>
        <v/>
      </c>
      <c r="K2344" s="41" t="str">
        <f>IF($G2344="","",IF($G2344&lt;1,ROUND($G2344*1440,0),INT($G2344/100)*60+MOD($G2344,100)))</f>
        <v/>
      </c>
    </row>
    <row r="2345" ht="15" customHeight="1" s="26">
      <c r="A2345" s="34" t="n"/>
      <c r="B2345" s="32" t="n"/>
      <c r="C2345" s="33" t="n"/>
      <c r="D2345" s="37" t="str">
        <f>IF($C2345="","",IFERROR(INDEX(프로젝트목록!$B$3:$B$62,MATCH($C2345,프로젝트목록!$A$3:$A$62,0)),"미등록코드"))</f>
        <v/>
      </c>
      <c r="E2345" s="32" t="n"/>
      <c r="F2345" s="38" t="n"/>
      <c r="G2345" s="38" t="n"/>
      <c r="H2345" s="39" t="n"/>
      <c r="I2345" s="40" t="str">
        <f>IF(OR($J2345="",$K2345=""),"",ROUND(MAX(0,($K2345-$J2345)-IF($H2345="",0,$H2345))/60,2))</f>
        <v/>
      </c>
      <c r="J2345" s="41" t="str">
        <f>IF($F2345="","",IF($F2345&lt;1,ROUND($F2345*1440,0),INT($F2345/100)*60+MOD($F2345,100)))</f>
        <v/>
      </c>
      <c r="K2345" s="41" t="str">
        <f>IF($G2345="","",IF($G2345&lt;1,ROUND($G2345*1440,0),INT($G2345/100)*60+MOD($G2345,100)))</f>
        <v/>
      </c>
    </row>
    <row r="2346" ht="15" customHeight="1" s="26">
      <c r="A2346" s="34" t="n"/>
      <c r="B2346" s="32" t="n"/>
      <c r="C2346" s="33" t="n"/>
      <c r="D2346" s="37" t="str">
        <f>IF($C2346="","",IFERROR(INDEX(프로젝트목록!$B$3:$B$62,MATCH($C2346,프로젝트목록!$A$3:$A$62,0)),"미등록코드"))</f>
        <v/>
      </c>
      <c r="E2346" s="32" t="n"/>
      <c r="F2346" s="38" t="n"/>
      <c r="G2346" s="38" t="n"/>
      <c r="H2346" s="39" t="n"/>
      <c r="I2346" s="40" t="str">
        <f>IF(OR($J2346="",$K2346=""),"",ROUND(MAX(0,($K2346-$J2346)-IF($H2346="",0,$H2346))/60,2))</f>
        <v/>
      </c>
      <c r="J2346" s="41" t="str">
        <f>IF($F2346="","",IF($F2346&lt;1,ROUND($F2346*1440,0),INT($F2346/100)*60+MOD($F2346,100)))</f>
        <v/>
      </c>
      <c r="K2346" s="41" t="str">
        <f>IF($G2346="","",IF($G2346&lt;1,ROUND($G2346*1440,0),INT($G2346/100)*60+MOD($G2346,100)))</f>
        <v/>
      </c>
    </row>
    <row r="2347" ht="15" customHeight="1" s="26">
      <c r="A2347" s="34" t="n"/>
      <c r="B2347" s="32" t="n"/>
      <c r="C2347" s="33" t="n"/>
      <c r="D2347" s="37" t="str">
        <f>IF($C2347="","",IFERROR(INDEX(프로젝트목록!$B$3:$B$62,MATCH($C2347,프로젝트목록!$A$3:$A$62,0)),"미등록코드"))</f>
        <v/>
      </c>
      <c r="E2347" s="32" t="n"/>
      <c r="F2347" s="38" t="n"/>
      <c r="G2347" s="38" t="n"/>
      <c r="H2347" s="39" t="n"/>
      <c r="I2347" s="40" t="str">
        <f>IF(OR($J2347="",$K2347=""),"",ROUND(MAX(0,($K2347-$J2347)-IF($H2347="",0,$H2347))/60,2))</f>
        <v/>
      </c>
      <c r="J2347" s="41" t="str">
        <f>IF($F2347="","",IF($F2347&lt;1,ROUND($F2347*1440,0),INT($F2347/100)*60+MOD($F2347,100)))</f>
        <v/>
      </c>
      <c r="K2347" s="41" t="str">
        <f>IF($G2347="","",IF($G2347&lt;1,ROUND($G2347*1440,0),INT($G2347/100)*60+MOD($G2347,100)))</f>
        <v/>
      </c>
    </row>
    <row r="2348" ht="15" customHeight="1" s="26">
      <c r="A2348" s="34" t="n"/>
      <c r="B2348" s="32" t="n"/>
      <c r="C2348" s="33" t="n"/>
      <c r="D2348" s="37" t="str">
        <f>IF($C2348="","",IFERROR(INDEX(프로젝트목록!$B$3:$B$62,MATCH($C2348,프로젝트목록!$A$3:$A$62,0)),"미등록코드"))</f>
        <v/>
      </c>
      <c r="E2348" s="32" t="n"/>
      <c r="F2348" s="38" t="n"/>
      <c r="G2348" s="38" t="n"/>
      <c r="H2348" s="39" t="n"/>
      <c r="I2348" s="40" t="str">
        <f>IF(OR($J2348="",$K2348=""),"",ROUND(MAX(0,($K2348-$J2348)-IF($H2348="",0,$H2348))/60,2))</f>
        <v/>
      </c>
      <c r="J2348" s="41" t="str">
        <f>IF($F2348="","",IF($F2348&lt;1,ROUND($F2348*1440,0),INT($F2348/100)*60+MOD($F2348,100)))</f>
        <v/>
      </c>
      <c r="K2348" s="41" t="str">
        <f>IF($G2348="","",IF($G2348&lt;1,ROUND($G2348*1440,0),INT($G2348/100)*60+MOD($G2348,100)))</f>
        <v/>
      </c>
    </row>
    <row r="2349" ht="15" customHeight="1" s="26">
      <c r="A2349" s="34" t="n"/>
      <c r="B2349" s="32" t="n"/>
      <c r="C2349" s="33" t="n"/>
      <c r="D2349" s="37" t="str">
        <f>IF($C2349="","",IFERROR(INDEX(프로젝트목록!$B$3:$B$62,MATCH($C2349,프로젝트목록!$A$3:$A$62,0)),"미등록코드"))</f>
        <v/>
      </c>
      <c r="E2349" s="32" t="n"/>
      <c r="F2349" s="38" t="n"/>
      <c r="G2349" s="38" t="n"/>
      <c r="H2349" s="39" t="n"/>
      <c r="I2349" s="40" t="str">
        <f>IF(OR($J2349="",$K2349=""),"",ROUND(MAX(0,($K2349-$J2349)-IF($H2349="",0,$H2349))/60,2))</f>
        <v/>
      </c>
      <c r="J2349" s="41" t="str">
        <f>IF($F2349="","",IF($F2349&lt;1,ROUND($F2349*1440,0),INT($F2349/100)*60+MOD($F2349,100)))</f>
        <v/>
      </c>
      <c r="K2349" s="41" t="str">
        <f>IF($G2349="","",IF($G2349&lt;1,ROUND($G2349*1440,0),INT($G2349/100)*60+MOD($G2349,100)))</f>
        <v/>
      </c>
    </row>
    <row r="2350" ht="15" customHeight="1" s="26">
      <c r="A2350" s="34" t="n"/>
      <c r="B2350" s="32" t="n"/>
      <c r="C2350" s="33" t="n"/>
      <c r="D2350" s="37" t="str">
        <f>IF($C2350="","",IFERROR(INDEX(프로젝트목록!$B$3:$B$62,MATCH($C2350,프로젝트목록!$A$3:$A$62,0)),"미등록코드"))</f>
        <v/>
      </c>
      <c r="E2350" s="32" t="n"/>
      <c r="F2350" s="38" t="n"/>
      <c r="G2350" s="38" t="n"/>
      <c r="H2350" s="39" t="n"/>
      <c r="I2350" s="40" t="str">
        <f>IF(OR($J2350="",$K2350=""),"",ROUND(MAX(0,($K2350-$J2350)-IF($H2350="",0,$H2350))/60,2))</f>
        <v/>
      </c>
      <c r="J2350" s="41" t="str">
        <f>IF($F2350="","",IF($F2350&lt;1,ROUND($F2350*1440,0),INT($F2350/100)*60+MOD($F2350,100)))</f>
        <v/>
      </c>
      <c r="K2350" s="41" t="str">
        <f>IF($G2350="","",IF($G2350&lt;1,ROUND($G2350*1440,0),INT($G2350/100)*60+MOD($G2350,100)))</f>
        <v/>
      </c>
    </row>
    <row r="2351" ht="15" customHeight="1" s="26">
      <c r="A2351" s="34" t="n"/>
      <c r="B2351" s="32" t="n"/>
      <c r="C2351" s="33" t="n"/>
      <c r="D2351" s="37" t="str">
        <f>IF($C2351="","",IFERROR(INDEX(프로젝트목록!$B$3:$B$62,MATCH($C2351,프로젝트목록!$A$3:$A$62,0)),"미등록코드"))</f>
        <v/>
      </c>
      <c r="E2351" s="32" t="n"/>
      <c r="F2351" s="38" t="n"/>
      <c r="G2351" s="38" t="n"/>
      <c r="H2351" s="39" t="n"/>
      <c r="I2351" s="40" t="str">
        <f>IF(OR($J2351="",$K2351=""),"",ROUND(MAX(0,($K2351-$J2351)-IF($H2351="",0,$H2351))/60,2))</f>
        <v/>
      </c>
      <c r="J2351" s="41" t="str">
        <f>IF($F2351="","",IF($F2351&lt;1,ROUND($F2351*1440,0),INT($F2351/100)*60+MOD($F2351,100)))</f>
        <v/>
      </c>
      <c r="K2351" s="41" t="str">
        <f>IF($G2351="","",IF($G2351&lt;1,ROUND($G2351*1440,0),INT($G2351/100)*60+MOD($G2351,100)))</f>
        <v/>
      </c>
    </row>
    <row r="2352" ht="15" customHeight="1" s="26">
      <c r="A2352" s="34" t="n"/>
      <c r="B2352" s="32" t="n"/>
      <c r="C2352" s="33" t="n"/>
      <c r="D2352" s="37" t="str">
        <f>IF($C2352="","",IFERROR(INDEX(프로젝트목록!$B$3:$B$62,MATCH($C2352,프로젝트목록!$A$3:$A$62,0)),"미등록코드"))</f>
        <v/>
      </c>
      <c r="E2352" s="32" t="n"/>
      <c r="F2352" s="38" t="n"/>
      <c r="G2352" s="38" t="n"/>
      <c r="H2352" s="39" t="n"/>
      <c r="I2352" s="40" t="str">
        <f>IF(OR($J2352="",$K2352=""),"",ROUND(MAX(0,($K2352-$J2352)-IF($H2352="",0,$H2352))/60,2))</f>
        <v/>
      </c>
      <c r="J2352" s="41" t="str">
        <f>IF($F2352="","",IF($F2352&lt;1,ROUND($F2352*1440,0),INT($F2352/100)*60+MOD($F2352,100)))</f>
        <v/>
      </c>
      <c r="K2352" s="41" t="str">
        <f>IF($G2352="","",IF($G2352&lt;1,ROUND($G2352*1440,0),INT($G2352/100)*60+MOD($G2352,100)))</f>
        <v/>
      </c>
    </row>
    <row r="2353" ht="15" customHeight="1" s="26">
      <c r="A2353" s="34" t="n"/>
      <c r="B2353" s="32" t="n"/>
      <c r="C2353" s="33" t="n"/>
      <c r="D2353" s="37" t="str">
        <f>IF($C2353="","",IFERROR(INDEX(프로젝트목록!$B$3:$B$62,MATCH($C2353,프로젝트목록!$A$3:$A$62,0)),"미등록코드"))</f>
        <v/>
      </c>
      <c r="E2353" s="32" t="n"/>
      <c r="F2353" s="38" t="n"/>
      <c r="G2353" s="38" t="n"/>
      <c r="H2353" s="39" t="n"/>
      <c r="I2353" s="40" t="str">
        <f>IF(OR($J2353="",$K2353=""),"",ROUND(MAX(0,($K2353-$J2353)-IF($H2353="",0,$H2353))/60,2))</f>
        <v/>
      </c>
      <c r="J2353" s="41" t="str">
        <f>IF($F2353="","",IF($F2353&lt;1,ROUND($F2353*1440,0),INT($F2353/100)*60+MOD($F2353,100)))</f>
        <v/>
      </c>
      <c r="K2353" s="41" t="str">
        <f>IF($G2353="","",IF($G2353&lt;1,ROUND($G2353*1440,0),INT($G2353/100)*60+MOD($G2353,100)))</f>
        <v/>
      </c>
    </row>
    <row r="2354" ht="15" customHeight="1" s="26">
      <c r="A2354" s="34" t="n"/>
      <c r="B2354" s="32" t="n"/>
      <c r="C2354" s="33" t="n"/>
      <c r="D2354" s="37" t="str">
        <f>IF($C2354="","",IFERROR(INDEX(프로젝트목록!$B$3:$B$62,MATCH($C2354,프로젝트목록!$A$3:$A$62,0)),"미등록코드"))</f>
        <v/>
      </c>
      <c r="E2354" s="32" t="n"/>
      <c r="F2354" s="38" t="n"/>
      <c r="G2354" s="38" t="n"/>
      <c r="H2354" s="39" t="n"/>
      <c r="I2354" s="40" t="str">
        <f>IF(OR($J2354="",$K2354=""),"",ROUND(MAX(0,($K2354-$J2354)-IF($H2354="",0,$H2354))/60,2))</f>
        <v/>
      </c>
      <c r="J2354" s="41" t="str">
        <f>IF($F2354="","",IF($F2354&lt;1,ROUND($F2354*1440,0),INT($F2354/100)*60+MOD($F2354,100)))</f>
        <v/>
      </c>
      <c r="K2354" s="41" t="str">
        <f>IF($G2354="","",IF($G2354&lt;1,ROUND($G2354*1440,0),INT($G2354/100)*60+MOD($G2354,100)))</f>
        <v/>
      </c>
    </row>
    <row r="2355" ht="15" customHeight="1" s="26">
      <c r="A2355" s="34" t="n"/>
      <c r="B2355" s="32" t="n"/>
      <c r="C2355" s="33" t="n"/>
      <c r="D2355" s="37" t="str">
        <f>IF($C2355="","",IFERROR(INDEX(프로젝트목록!$B$3:$B$62,MATCH($C2355,프로젝트목록!$A$3:$A$62,0)),"미등록코드"))</f>
        <v/>
      </c>
      <c r="E2355" s="32" t="n"/>
      <c r="F2355" s="38" t="n"/>
      <c r="G2355" s="38" t="n"/>
      <c r="H2355" s="39" t="n"/>
      <c r="I2355" s="40" t="str">
        <f>IF(OR($J2355="",$K2355=""),"",ROUND(MAX(0,($K2355-$J2355)-IF($H2355="",0,$H2355))/60,2))</f>
        <v/>
      </c>
      <c r="J2355" s="41" t="str">
        <f>IF($F2355="","",IF($F2355&lt;1,ROUND($F2355*1440,0),INT($F2355/100)*60+MOD($F2355,100)))</f>
        <v/>
      </c>
      <c r="K2355" s="41" t="str">
        <f>IF($G2355="","",IF($G2355&lt;1,ROUND($G2355*1440,0),INT($G2355/100)*60+MOD($G2355,100)))</f>
        <v/>
      </c>
    </row>
    <row r="2356" ht="15" customHeight="1" s="26">
      <c r="A2356" s="34" t="n"/>
      <c r="B2356" s="32" t="n"/>
      <c r="C2356" s="33" t="n"/>
      <c r="D2356" s="37" t="str">
        <f>IF($C2356="","",IFERROR(INDEX(프로젝트목록!$B$3:$B$62,MATCH($C2356,프로젝트목록!$A$3:$A$62,0)),"미등록코드"))</f>
        <v/>
      </c>
      <c r="E2356" s="32" t="n"/>
      <c r="F2356" s="38" t="n"/>
      <c r="G2356" s="38" t="n"/>
      <c r="H2356" s="39" t="n"/>
      <c r="I2356" s="40" t="str">
        <f>IF(OR($J2356="",$K2356=""),"",ROUND(MAX(0,($K2356-$J2356)-IF($H2356="",0,$H2356))/60,2))</f>
        <v/>
      </c>
      <c r="J2356" s="41" t="str">
        <f>IF($F2356="","",IF($F2356&lt;1,ROUND($F2356*1440,0),INT($F2356/100)*60+MOD($F2356,100)))</f>
        <v/>
      </c>
      <c r="K2356" s="41" t="str">
        <f>IF($G2356="","",IF($G2356&lt;1,ROUND($G2356*1440,0),INT($G2356/100)*60+MOD($G2356,100)))</f>
        <v/>
      </c>
    </row>
    <row r="2357" ht="15" customHeight="1" s="26">
      <c r="A2357" s="34" t="n"/>
      <c r="B2357" s="32" t="n"/>
      <c r="C2357" s="33" t="n"/>
      <c r="D2357" s="37" t="str">
        <f>IF($C2357="","",IFERROR(INDEX(프로젝트목록!$B$3:$B$62,MATCH($C2357,프로젝트목록!$A$3:$A$62,0)),"미등록코드"))</f>
        <v/>
      </c>
      <c r="E2357" s="32" t="n"/>
      <c r="F2357" s="38" t="n"/>
      <c r="G2357" s="38" t="n"/>
      <c r="H2357" s="39" t="n"/>
      <c r="I2357" s="40" t="str">
        <f>IF(OR($J2357="",$K2357=""),"",ROUND(MAX(0,($K2357-$J2357)-IF($H2357="",0,$H2357))/60,2))</f>
        <v/>
      </c>
      <c r="J2357" s="41" t="str">
        <f>IF($F2357="","",IF($F2357&lt;1,ROUND($F2357*1440,0),INT($F2357/100)*60+MOD($F2357,100)))</f>
        <v/>
      </c>
      <c r="K2357" s="41" t="str">
        <f>IF($G2357="","",IF($G2357&lt;1,ROUND($G2357*1440,0),INT($G2357/100)*60+MOD($G2357,100)))</f>
        <v/>
      </c>
    </row>
    <row r="2358" ht="15" customHeight="1" s="26">
      <c r="A2358" s="34" t="n"/>
      <c r="B2358" s="32" t="n"/>
      <c r="C2358" s="33" t="n"/>
      <c r="D2358" s="37" t="str">
        <f>IF($C2358="","",IFERROR(INDEX(프로젝트목록!$B$3:$B$62,MATCH($C2358,프로젝트목록!$A$3:$A$62,0)),"미등록코드"))</f>
        <v/>
      </c>
      <c r="E2358" s="32" t="n"/>
      <c r="F2358" s="38" t="n"/>
      <c r="G2358" s="38" t="n"/>
      <c r="H2358" s="39" t="n"/>
      <c r="I2358" s="40" t="str">
        <f>IF(OR($J2358="",$K2358=""),"",ROUND(MAX(0,($K2358-$J2358)-IF($H2358="",0,$H2358))/60,2))</f>
        <v/>
      </c>
      <c r="J2358" s="41" t="str">
        <f>IF($F2358="","",IF($F2358&lt;1,ROUND($F2358*1440,0),INT($F2358/100)*60+MOD($F2358,100)))</f>
        <v/>
      </c>
      <c r="K2358" s="41" t="str">
        <f>IF($G2358="","",IF($G2358&lt;1,ROUND($G2358*1440,0),INT($G2358/100)*60+MOD($G2358,100)))</f>
        <v/>
      </c>
    </row>
    <row r="2359" ht="15" customHeight="1" s="26">
      <c r="A2359" s="34" t="n"/>
      <c r="B2359" s="32" t="n"/>
      <c r="C2359" s="33" t="n"/>
      <c r="D2359" s="37" t="str">
        <f>IF($C2359="","",IFERROR(INDEX(프로젝트목록!$B$3:$B$62,MATCH($C2359,프로젝트목록!$A$3:$A$62,0)),"미등록코드"))</f>
        <v/>
      </c>
      <c r="E2359" s="32" t="n"/>
      <c r="F2359" s="38" t="n"/>
      <c r="G2359" s="38" t="n"/>
      <c r="H2359" s="39" t="n"/>
      <c r="I2359" s="40" t="str">
        <f>IF(OR($J2359="",$K2359=""),"",ROUND(MAX(0,($K2359-$J2359)-IF($H2359="",0,$H2359))/60,2))</f>
        <v/>
      </c>
      <c r="J2359" s="41" t="str">
        <f>IF($F2359="","",IF($F2359&lt;1,ROUND($F2359*1440,0),INT($F2359/100)*60+MOD($F2359,100)))</f>
        <v/>
      </c>
      <c r="K2359" s="41" t="str">
        <f>IF($G2359="","",IF($G2359&lt;1,ROUND($G2359*1440,0),INT($G2359/100)*60+MOD($G2359,100)))</f>
        <v/>
      </c>
    </row>
    <row r="2360" ht="15" customHeight="1" s="26">
      <c r="A2360" s="34" t="n"/>
      <c r="B2360" s="32" t="n"/>
      <c r="C2360" s="33" t="n"/>
      <c r="D2360" s="37" t="str">
        <f>IF($C2360="","",IFERROR(INDEX(프로젝트목록!$B$3:$B$62,MATCH($C2360,프로젝트목록!$A$3:$A$62,0)),"미등록코드"))</f>
        <v/>
      </c>
      <c r="E2360" s="32" t="n"/>
      <c r="F2360" s="38" t="n"/>
      <c r="G2360" s="38" t="n"/>
      <c r="H2360" s="39" t="n"/>
      <c r="I2360" s="40" t="str">
        <f>IF(OR($J2360="",$K2360=""),"",ROUND(MAX(0,($K2360-$J2360)-IF($H2360="",0,$H2360))/60,2))</f>
        <v/>
      </c>
      <c r="J2360" s="41" t="str">
        <f>IF($F2360="","",IF($F2360&lt;1,ROUND($F2360*1440,0),INT($F2360/100)*60+MOD($F2360,100)))</f>
        <v/>
      </c>
      <c r="K2360" s="41" t="str">
        <f>IF($G2360="","",IF($G2360&lt;1,ROUND($G2360*1440,0),INT($G2360/100)*60+MOD($G2360,100)))</f>
        <v/>
      </c>
    </row>
    <row r="2361" ht="15" customHeight="1" s="26">
      <c r="A2361" s="34" t="n"/>
      <c r="B2361" s="32" t="n"/>
      <c r="C2361" s="33" t="n"/>
      <c r="D2361" s="37" t="str">
        <f>IF($C2361="","",IFERROR(INDEX(프로젝트목록!$B$3:$B$62,MATCH($C2361,프로젝트목록!$A$3:$A$62,0)),"미등록코드"))</f>
        <v/>
      </c>
      <c r="E2361" s="32" t="n"/>
      <c r="F2361" s="38" t="n"/>
      <c r="G2361" s="38" t="n"/>
      <c r="H2361" s="39" t="n"/>
      <c r="I2361" s="40" t="str">
        <f>IF(OR($J2361="",$K2361=""),"",ROUND(MAX(0,($K2361-$J2361)-IF($H2361="",0,$H2361))/60,2))</f>
        <v/>
      </c>
      <c r="J2361" s="41" t="str">
        <f>IF($F2361="","",IF($F2361&lt;1,ROUND($F2361*1440,0),INT($F2361/100)*60+MOD($F2361,100)))</f>
        <v/>
      </c>
      <c r="K2361" s="41" t="str">
        <f>IF($G2361="","",IF($G2361&lt;1,ROUND($G2361*1440,0),INT($G2361/100)*60+MOD($G2361,100)))</f>
        <v/>
      </c>
    </row>
    <row r="2362" ht="15" customHeight="1" s="26">
      <c r="A2362" s="34" t="n"/>
      <c r="B2362" s="32" t="n"/>
      <c r="C2362" s="33" t="n"/>
      <c r="D2362" s="37" t="str">
        <f>IF($C2362="","",IFERROR(INDEX(프로젝트목록!$B$3:$B$62,MATCH($C2362,프로젝트목록!$A$3:$A$62,0)),"미등록코드"))</f>
        <v/>
      </c>
      <c r="E2362" s="32" t="n"/>
      <c r="F2362" s="38" t="n"/>
      <c r="G2362" s="38" t="n"/>
      <c r="H2362" s="39" t="n"/>
      <c r="I2362" s="40" t="str">
        <f>IF(OR($J2362="",$K2362=""),"",ROUND(MAX(0,($K2362-$J2362)-IF($H2362="",0,$H2362))/60,2))</f>
        <v/>
      </c>
      <c r="J2362" s="41" t="str">
        <f>IF($F2362="","",IF($F2362&lt;1,ROUND($F2362*1440,0),INT($F2362/100)*60+MOD($F2362,100)))</f>
        <v/>
      </c>
      <c r="K2362" s="41" t="str">
        <f>IF($G2362="","",IF($G2362&lt;1,ROUND($G2362*1440,0),INT($G2362/100)*60+MOD($G2362,100)))</f>
        <v/>
      </c>
    </row>
    <row r="2363" ht="15" customHeight="1" s="26">
      <c r="A2363" s="34" t="n"/>
      <c r="B2363" s="32" t="n"/>
      <c r="C2363" s="33" t="n"/>
      <c r="D2363" s="37" t="str">
        <f>IF($C2363="","",IFERROR(INDEX(프로젝트목록!$B$3:$B$62,MATCH($C2363,프로젝트목록!$A$3:$A$62,0)),"미등록코드"))</f>
        <v/>
      </c>
      <c r="E2363" s="32" t="n"/>
      <c r="F2363" s="38" t="n"/>
      <c r="G2363" s="38" t="n"/>
      <c r="H2363" s="39" t="n"/>
      <c r="I2363" s="40" t="str">
        <f>IF(OR($J2363="",$K2363=""),"",ROUND(MAX(0,($K2363-$J2363)-IF($H2363="",0,$H2363))/60,2))</f>
        <v/>
      </c>
      <c r="J2363" s="41" t="str">
        <f>IF($F2363="","",IF($F2363&lt;1,ROUND($F2363*1440,0),INT($F2363/100)*60+MOD($F2363,100)))</f>
        <v/>
      </c>
      <c r="K2363" s="41" t="str">
        <f>IF($G2363="","",IF($G2363&lt;1,ROUND($G2363*1440,0),INT($G2363/100)*60+MOD($G2363,100)))</f>
        <v/>
      </c>
    </row>
    <row r="2364" ht="15" customHeight="1" s="26">
      <c r="A2364" s="34" t="n"/>
      <c r="B2364" s="32" t="n"/>
      <c r="C2364" s="33" t="n"/>
      <c r="D2364" s="37" t="str">
        <f>IF($C2364="","",IFERROR(INDEX(프로젝트목록!$B$3:$B$62,MATCH($C2364,프로젝트목록!$A$3:$A$62,0)),"미등록코드"))</f>
        <v/>
      </c>
      <c r="E2364" s="32" t="n"/>
      <c r="F2364" s="38" t="n"/>
      <c r="G2364" s="38" t="n"/>
      <c r="H2364" s="39" t="n"/>
      <c r="I2364" s="40" t="str">
        <f>IF(OR($J2364="",$K2364=""),"",ROUND(MAX(0,($K2364-$J2364)-IF($H2364="",0,$H2364))/60,2))</f>
        <v/>
      </c>
      <c r="J2364" s="41" t="str">
        <f>IF($F2364="","",IF($F2364&lt;1,ROUND($F2364*1440,0),INT($F2364/100)*60+MOD($F2364,100)))</f>
        <v/>
      </c>
      <c r="K2364" s="41" t="str">
        <f>IF($G2364="","",IF($G2364&lt;1,ROUND($G2364*1440,0),INT($G2364/100)*60+MOD($G2364,100)))</f>
        <v/>
      </c>
    </row>
    <row r="2365" ht="15" customHeight="1" s="26">
      <c r="A2365" s="34" t="n"/>
      <c r="B2365" s="32" t="n"/>
      <c r="C2365" s="33" t="n"/>
      <c r="D2365" s="37" t="str">
        <f>IF($C2365="","",IFERROR(INDEX(프로젝트목록!$B$3:$B$62,MATCH($C2365,프로젝트목록!$A$3:$A$62,0)),"미등록코드"))</f>
        <v/>
      </c>
      <c r="E2365" s="32" t="n"/>
      <c r="F2365" s="38" t="n"/>
      <c r="G2365" s="38" t="n"/>
      <c r="H2365" s="39" t="n"/>
      <c r="I2365" s="40" t="str">
        <f>IF(OR($J2365="",$K2365=""),"",ROUND(MAX(0,($K2365-$J2365)-IF($H2365="",0,$H2365))/60,2))</f>
        <v/>
      </c>
      <c r="J2365" s="41" t="str">
        <f>IF($F2365="","",IF($F2365&lt;1,ROUND($F2365*1440,0),INT($F2365/100)*60+MOD($F2365,100)))</f>
        <v/>
      </c>
      <c r="K2365" s="41" t="str">
        <f>IF($G2365="","",IF($G2365&lt;1,ROUND($G2365*1440,0),INT($G2365/100)*60+MOD($G2365,100)))</f>
        <v/>
      </c>
    </row>
    <row r="2366" ht="15" customHeight="1" s="26">
      <c r="A2366" s="34" t="n"/>
      <c r="B2366" s="32" t="n"/>
      <c r="C2366" s="33" t="n"/>
      <c r="D2366" s="37" t="str">
        <f>IF($C2366="","",IFERROR(INDEX(프로젝트목록!$B$3:$B$62,MATCH($C2366,프로젝트목록!$A$3:$A$62,0)),"미등록코드"))</f>
        <v/>
      </c>
      <c r="E2366" s="32" t="n"/>
      <c r="F2366" s="38" t="n"/>
      <c r="G2366" s="38" t="n"/>
      <c r="H2366" s="39" t="n"/>
      <c r="I2366" s="40" t="str">
        <f>IF(OR($J2366="",$K2366=""),"",ROUND(MAX(0,($K2366-$J2366)-IF($H2366="",0,$H2366))/60,2))</f>
        <v/>
      </c>
      <c r="J2366" s="41" t="str">
        <f>IF($F2366="","",IF($F2366&lt;1,ROUND($F2366*1440,0),INT($F2366/100)*60+MOD($F2366,100)))</f>
        <v/>
      </c>
      <c r="K2366" s="41" t="str">
        <f>IF($G2366="","",IF($G2366&lt;1,ROUND($G2366*1440,0),INT($G2366/100)*60+MOD($G2366,100)))</f>
        <v/>
      </c>
    </row>
    <row r="2367" ht="15" customHeight="1" s="26">
      <c r="A2367" s="34" t="n"/>
      <c r="B2367" s="32" t="n"/>
      <c r="C2367" s="33" t="n"/>
      <c r="D2367" s="37" t="str">
        <f>IF($C2367="","",IFERROR(INDEX(프로젝트목록!$B$3:$B$62,MATCH($C2367,프로젝트목록!$A$3:$A$62,0)),"미등록코드"))</f>
        <v/>
      </c>
      <c r="E2367" s="32" t="n"/>
      <c r="F2367" s="38" t="n"/>
      <c r="G2367" s="38" t="n"/>
      <c r="H2367" s="39" t="n"/>
      <c r="I2367" s="40" t="str">
        <f>IF(OR($J2367="",$K2367=""),"",ROUND(MAX(0,($K2367-$J2367)-IF($H2367="",0,$H2367))/60,2))</f>
        <v/>
      </c>
      <c r="J2367" s="41" t="str">
        <f>IF($F2367="","",IF($F2367&lt;1,ROUND($F2367*1440,0),INT($F2367/100)*60+MOD($F2367,100)))</f>
        <v/>
      </c>
      <c r="K2367" s="41" t="str">
        <f>IF($G2367="","",IF($G2367&lt;1,ROUND($G2367*1440,0),INT($G2367/100)*60+MOD($G2367,100)))</f>
        <v/>
      </c>
    </row>
    <row r="2368" ht="15" customHeight="1" s="26">
      <c r="A2368" s="34" t="n"/>
      <c r="B2368" s="32" t="n"/>
      <c r="C2368" s="33" t="n"/>
      <c r="D2368" s="37" t="str">
        <f>IF($C2368="","",IFERROR(INDEX(프로젝트목록!$B$3:$B$62,MATCH($C2368,프로젝트목록!$A$3:$A$62,0)),"미등록코드"))</f>
        <v/>
      </c>
      <c r="E2368" s="32" t="n"/>
      <c r="F2368" s="38" t="n"/>
      <c r="G2368" s="38" t="n"/>
      <c r="H2368" s="39" t="n"/>
      <c r="I2368" s="40" t="str">
        <f>IF(OR($J2368="",$K2368=""),"",ROUND(MAX(0,($K2368-$J2368)-IF($H2368="",0,$H2368))/60,2))</f>
        <v/>
      </c>
      <c r="J2368" s="41" t="str">
        <f>IF($F2368="","",IF($F2368&lt;1,ROUND($F2368*1440,0),INT($F2368/100)*60+MOD($F2368,100)))</f>
        <v/>
      </c>
      <c r="K2368" s="41" t="str">
        <f>IF($G2368="","",IF($G2368&lt;1,ROUND($G2368*1440,0),INT($G2368/100)*60+MOD($G2368,100)))</f>
        <v/>
      </c>
    </row>
    <row r="2369" ht="15" customHeight="1" s="26">
      <c r="A2369" s="34" t="n"/>
      <c r="B2369" s="32" t="n"/>
      <c r="C2369" s="33" t="n"/>
      <c r="D2369" s="37" t="str">
        <f>IF($C2369="","",IFERROR(INDEX(프로젝트목록!$B$3:$B$62,MATCH($C2369,프로젝트목록!$A$3:$A$62,0)),"미등록코드"))</f>
        <v/>
      </c>
      <c r="E2369" s="32" t="n"/>
      <c r="F2369" s="38" t="n"/>
      <c r="G2369" s="38" t="n"/>
      <c r="H2369" s="39" t="n"/>
      <c r="I2369" s="40" t="str">
        <f>IF(OR($J2369="",$K2369=""),"",ROUND(MAX(0,($K2369-$J2369)-IF($H2369="",0,$H2369))/60,2))</f>
        <v/>
      </c>
      <c r="J2369" s="41" t="str">
        <f>IF($F2369="","",IF($F2369&lt;1,ROUND($F2369*1440,0),INT($F2369/100)*60+MOD($F2369,100)))</f>
        <v/>
      </c>
      <c r="K2369" s="41" t="str">
        <f>IF($G2369="","",IF($G2369&lt;1,ROUND($G2369*1440,0),INT($G2369/100)*60+MOD($G2369,100)))</f>
        <v/>
      </c>
    </row>
    <row r="2370" ht="15" customHeight="1" s="26">
      <c r="A2370" s="34" t="n"/>
      <c r="B2370" s="32" t="n"/>
      <c r="C2370" s="33" t="n"/>
      <c r="D2370" s="37" t="str">
        <f>IF($C2370="","",IFERROR(INDEX(프로젝트목록!$B$3:$B$62,MATCH($C2370,프로젝트목록!$A$3:$A$62,0)),"미등록코드"))</f>
        <v/>
      </c>
      <c r="E2370" s="32" t="n"/>
      <c r="F2370" s="38" t="n"/>
      <c r="G2370" s="38" t="n"/>
      <c r="H2370" s="39" t="n"/>
      <c r="I2370" s="40" t="str">
        <f>IF(OR($J2370="",$K2370=""),"",ROUND(MAX(0,($K2370-$J2370)-IF($H2370="",0,$H2370))/60,2))</f>
        <v/>
      </c>
      <c r="J2370" s="41" t="str">
        <f>IF($F2370="","",IF($F2370&lt;1,ROUND($F2370*1440,0),INT($F2370/100)*60+MOD($F2370,100)))</f>
        <v/>
      </c>
      <c r="K2370" s="41" t="str">
        <f>IF($G2370="","",IF($G2370&lt;1,ROUND($G2370*1440,0),INT($G2370/100)*60+MOD($G2370,100)))</f>
        <v/>
      </c>
    </row>
    <row r="2371" ht="15" customHeight="1" s="26">
      <c r="A2371" s="34" t="n"/>
      <c r="B2371" s="32" t="n"/>
      <c r="C2371" s="33" t="n"/>
      <c r="D2371" s="37" t="str">
        <f>IF($C2371="","",IFERROR(INDEX(프로젝트목록!$B$3:$B$62,MATCH($C2371,프로젝트목록!$A$3:$A$62,0)),"미등록코드"))</f>
        <v/>
      </c>
      <c r="E2371" s="32" t="n"/>
      <c r="F2371" s="38" t="n"/>
      <c r="G2371" s="38" t="n"/>
      <c r="H2371" s="39" t="n"/>
      <c r="I2371" s="40" t="str">
        <f>IF(OR($J2371="",$K2371=""),"",ROUND(MAX(0,($K2371-$J2371)-IF($H2371="",0,$H2371))/60,2))</f>
        <v/>
      </c>
      <c r="J2371" s="41" t="str">
        <f>IF($F2371="","",IF($F2371&lt;1,ROUND($F2371*1440,0),INT($F2371/100)*60+MOD($F2371,100)))</f>
        <v/>
      </c>
      <c r="K2371" s="41" t="str">
        <f>IF($G2371="","",IF($G2371&lt;1,ROUND($G2371*1440,0),INT($G2371/100)*60+MOD($G2371,100)))</f>
        <v/>
      </c>
    </row>
    <row r="2372" ht="15" customHeight="1" s="26">
      <c r="A2372" s="34" t="n"/>
      <c r="B2372" s="32" t="n"/>
      <c r="C2372" s="33" t="n"/>
      <c r="D2372" s="37" t="str">
        <f>IF($C2372="","",IFERROR(INDEX(프로젝트목록!$B$3:$B$62,MATCH($C2372,프로젝트목록!$A$3:$A$62,0)),"미등록코드"))</f>
        <v/>
      </c>
      <c r="E2372" s="32" t="n"/>
      <c r="F2372" s="38" t="n"/>
      <c r="G2372" s="38" t="n"/>
      <c r="H2372" s="39" t="n"/>
      <c r="I2372" s="40" t="str">
        <f>IF(OR($J2372="",$K2372=""),"",ROUND(MAX(0,($K2372-$J2372)-IF($H2372="",0,$H2372))/60,2))</f>
        <v/>
      </c>
      <c r="J2372" s="41" t="str">
        <f>IF($F2372="","",IF($F2372&lt;1,ROUND($F2372*1440,0),INT($F2372/100)*60+MOD($F2372,100)))</f>
        <v/>
      </c>
      <c r="K2372" s="41" t="str">
        <f>IF($G2372="","",IF($G2372&lt;1,ROUND($G2372*1440,0),INT($G2372/100)*60+MOD($G2372,100)))</f>
        <v/>
      </c>
    </row>
    <row r="2373" ht="15" customHeight="1" s="26">
      <c r="A2373" s="34" t="n"/>
      <c r="B2373" s="32" t="n"/>
      <c r="C2373" s="33" t="n"/>
      <c r="D2373" s="37" t="str">
        <f>IF($C2373="","",IFERROR(INDEX(프로젝트목록!$B$3:$B$62,MATCH($C2373,프로젝트목록!$A$3:$A$62,0)),"미등록코드"))</f>
        <v/>
      </c>
      <c r="E2373" s="32" t="n"/>
      <c r="F2373" s="38" t="n"/>
      <c r="G2373" s="38" t="n"/>
      <c r="H2373" s="39" t="n"/>
      <c r="I2373" s="40" t="str">
        <f>IF(OR($J2373="",$K2373=""),"",ROUND(MAX(0,($K2373-$J2373)-IF($H2373="",0,$H2373))/60,2))</f>
        <v/>
      </c>
      <c r="J2373" s="41" t="str">
        <f>IF($F2373="","",IF($F2373&lt;1,ROUND($F2373*1440,0),INT($F2373/100)*60+MOD($F2373,100)))</f>
        <v/>
      </c>
      <c r="K2373" s="41" t="str">
        <f>IF($G2373="","",IF($G2373&lt;1,ROUND($G2373*1440,0),INT($G2373/100)*60+MOD($G2373,100)))</f>
        <v/>
      </c>
    </row>
    <row r="2374" ht="15" customHeight="1" s="26">
      <c r="A2374" s="34" t="n"/>
      <c r="B2374" s="32" t="n"/>
      <c r="C2374" s="33" t="n"/>
      <c r="D2374" s="37" t="str">
        <f>IF($C2374="","",IFERROR(INDEX(프로젝트목록!$B$3:$B$62,MATCH($C2374,프로젝트목록!$A$3:$A$62,0)),"미등록코드"))</f>
        <v/>
      </c>
      <c r="E2374" s="32" t="n"/>
      <c r="F2374" s="38" t="n"/>
      <c r="G2374" s="38" t="n"/>
      <c r="H2374" s="39" t="n"/>
      <c r="I2374" s="40" t="str">
        <f>IF(OR($J2374="",$K2374=""),"",ROUND(MAX(0,($K2374-$J2374)-IF($H2374="",0,$H2374))/60,2))</f>
        <v/>
      </c>
      <c r="J2374" s="41" t="str">
        <f>IF($F2374="","",IF($F2374&lt;1,ROUND($F2374*1440,0),INT($F2374/100)*60+MOD($F2374,100)))</f>
        <v/>
      </c>
      <c r="K2374" s="41" t="str">
        <f>IF($G2374="","",IF($G2374&lt;1,ROUND($G2374*1440,0),INT($G2374/100)*60+MOD($G2374,100)))</f>
        <v/>
      </c>
    </row>
    <row r="2375" ht="15" customHeight="1" s="26">
      <c r="A2375" s="34" t="n"/>
      <c r="B2375" s="32" t="n"/>
      <c r="C2375" s="33" t="n"/>
      <c r="D2375" s="37" t="str">
        <f>IF($C2375="","",IFERROR(INDEX(프로젝트목록!$B$3:$B$62,MATCH($C2375,프로젝트목록!$A$3:$A$62,0)),"미등록코드"))</f>
        <v/>
      </c>
      <c r="E2375" s="32" t="n"/>
      <c r="F2375" s="38" t="n"/>
      <c r="G2375" s="38" t="n"/>
      <c r="H2375" s="39" t="n"/>
      <c r="I2375" s="40" t="str">
        <f>IF(OR($J2375="",$K2375=""),"",ROUND(MAX(0,($K2375-$J2375)-IF($H2375="",0,$H2375))/60,2))</f>
        <v/>
      </c>
      <c r="J2375" s="41" t="str">
        <f>IF($F2375="","",IF($F2375&lt;1,ROUND($F2375*1440,0),INT($F2375/100)*60+MOD($F2375,100)))</f>
        <v/>
      </c>
      <c r="K2375" s="41" t="str">
        <f>IF($G2375="","",IF($G2375&lt;1,ROUND($G2375*1440,0),INT($G2375/100)*60+MOD($G2375,100)))</f>
        <v/>
      </c>
    </row>
    <row r="2376" ht="15" customHeight="1" s="26">
      <c r="A2376" s="34" t="n"/>
      <c r="B2376" s="32" t="n"/>
      <c r="C2376" s="33" t="n"/>
      <c r="D2376" s="37" t="str">
        <f>IF($C2376="","",IFERROR(INDEX(프로젝트목록!$B$3:$B$62,MATCH($C2376,프로젝트목록!$A$3:$A$62,0)),"미등록코드"))</f>
        <v/>
      </c>
      <c r="E2376" s="32" t="n"/>
      <c r="F2376" s="38" t="n"/>
      <c r="G2376" s="38" t="n"/>
      <c r="H2376" s="39" t="n"/>
      <c r="I2376" s="40" t="str">
        <f>IF(OR($J2376="",$K2376=""),"",ROUND(MAX(0,($K2376-$J2376)-IF($H2376="",0,$H2376))/60,2))</f>
        <v/>
      </c>
      <c r="J2376" s="41" t="str">
        <f>IF($F2376="","",IF($F2376&lt;1,ROUND($F2376*1440,0),INT($F2376/100)*60+MOD($F2376,100)))</f>
        <v/>
      </c>
      <c r="K2376" s="41" t="str">
        <f>IF($G2376="","",IF($G2376&lt;1,ROUND($G2376*1440,0),INT($G2376/100)*60+MOD($G2376,100)))</f>
        <v/>
      </c>
    </row>
    <row r="2377" ht="15" customHeight="1" s="26">
      <c r="A2377" s="34" t="n"/>
      <c r="B2377" s="32" t="n"/>
      <c r="C2377" s="33" t="n"/>
      <c r="D2377" s="37" t="str">
        <f>IF($C2377="","",IFERROR(INDEX(프로젝트목록!$B$3:$B$62,MATCH($C2377,프로젝트목록!$A$3:$A$62,0)),"미등록코드"))</f>
        <v/>
      </c>
      <c r="E2377" s="32" t="n"/>
      <c r="F2377" s="38" t="n"/>
      <c r="G2377" s="38" t="n"/>
      <c r="H2377" s="39" t="n"/>
      <c r="I2377" s="40" t="str">
        <f>IF(OR($J2377="",$K2377=""),"",ROUND(MAX(0,($K2377-$J2377)-IF($H2377="",0,$H2377))/60,2))</f>
        <v/>
      </c>
      <c r="J2377" s="41" t="str">
        <f>IF($F2377="","",IF($F2377&lt;1,ROUND($F2377*1440,0),INT($F2377/100)*60+MOD($F2377,100)))</f>
        <v/>
      </c>
      <c r="K2377" s="41" t="str">
        <f>IF($G2377="","",IF($G2377&lt;1,ROUND($G2377*1440,0),INT($G2377/100)*60+MOD($G2377,100)))</f>
        <v/>
      </c>
    </row>
    <row r="2378" ht="15" customHeight="1" s="26">
      <c r="A2378" s="34" t="n"/>
      <c r="B2378" s="32" t="n"/>
      <c r="C2378" s="33" t="n"/>
      <c r="D2378" s="37" t="str">
        <f>IF($C2378="","",IFERROR(INDEX(프로젝트목록!$B$3:$B$62,MATCH($C2378,프로젝트목록!$A$3:$A$62,0)),"미등록코드"))</f>
        <v/>
      </c>
      <c r="E2378" s="32" t="n"/>
      <c r="F2378" s="38" t="n"/>
      <c r="G2378" s="38" t="n"/>
      <c r="H2378" s="39" t="n"/>
      <c r="I2378" s="40" t="str">
        <f>IF(OR($J2378="",$K2378=""),"",ROUND(MAX(0,($K2378-$J2378)-IF($H2378="",0,$H2378))/60,2))</f>
        <v/>
      </c>
      <c r="J2378" s="41" t="str">
        <f>IF($F2378="","",IF($F2378&lt;1,ROUND($F2378*1440,0),INT($F2378/100)*60+MOD($F2378,100)))</f>
        <v/>
      </c>
      <c r="K2378" s="41" t="str">
        <f>IF($G2378="","",IF($G2378&lt;1,ROUND($G2378*1440,0),INT($G2378/100)*60+MOD($G2378,100)))</f>
        <v/>
      </c>
    </row>
    <row r="2379" ht="15" customHeight="1" s="26">
      <c r="A2379" s="34" t="n"/>
      <c r="B2379" s="32" t="n"/>
      <c r="C2379" s="33" t="n"/>
      <c r="D2379" s="37" t="str">
        <f>IF($C2379="","",IFERROR(INDEX(프로젝트목록!$B$3:$B$62,MATCH($C2379,프로젝트목록!$A$3:$A$62,0)),"미등록코드"))</f>
        <v/>
      </c>
      <c r="E2379" s="32" t="n"/>
      <c r="F2379" s="38" t="n"/>
      <c r="G2379" s="38" t="n"/>
      <c r="H2379" s="39" t="n"/>
      <c r="I2379" s="40" t="str">
        <f>IF(OR($J2379="",$K2379=""),"",ROUND(MAX(0,($K2379-$J2379)-IF($H2379="",0,$H2379))/60,2))</f>
        <v/>
      </c>
      <c r="J2379" s="41" t="str">
        <f>IF($F2379="","",IF($F2379&lt;1,ROUND($F2379*1440,0),INT($F2379/100)*60+MOD($F2379,100)))</f>
        <v/>
      </c>
      <c r="K2379" s="41" t="str">
        <f>IF($G2379="","",IF($G2379&lt;1,ROUND($G2379*1440,0),INT($G2379/100)*60+MOD($G2379,100)))</f>
        <v/>
      </c>
    </row>
    <row r="2380" ht="15" customHeight="1" s="26">
      <c r="A2380" s="34" t="n"/>
      <c r="B2380" s="32" t="n"/>
      <c r="C2380" s="33" t="n"/>
      <c r="D2380" s="37" t="str">
        <f>IF($C2380="","",IFERROR(INDEX(프로젝트목록!$B$3:$B$62,MATCH($C2380,프로젝트목록!$A$3:$A$62,0)),"미등록코드"))</f>
        <v/>
      </c>
      <c r="E2380" s="32" t="n"/>
      <c r="F2380" s="38" t="n"/>
      <c r="G2380" s="38" t="n"/>
      <c r="H2380" s="39" t="n"/>
      <c r="I2380" s="40" t="str">
        <f>IF(OR($J2380="",$K2380=""),"",ROUND(MAX(0,($K2380-$J2380)-IF($H2380="",0,$H2380))/60,2))</f>
        <v/>
      </c>
      <c r="J2380" s="41" t="str">
        <f>IF($F2380="","",IF($F2380&lt;1,ROUND($F2380*1440,0),INT($F2380/100)*60+MOD($F2380,100)))</f>
        <v/>
      </c>
      <c r="K2380" s="41" t="str">
        <f>IF($G2380="","",IF($G2380&lt;1,ROUND($G2380*1440,0),INT($G2380/100)*60+MOD($G2380,100)))</f>
        <v/>
      </c>
    </row>
    <row r="2381" ht="15" customHeight="1" s="26">
      <c r="A2381" s="34" t="n"/>
      <c r="B2381" s="32" t="n"/>
      <c r="C2381" s="33" t="n"/>
      <c r="D2381" s="37" t="str">
        <f>IF($C2381="","",IFERROR(INDEX(프로젝트목록!$B$3:$B$62,MATCH($C2381,프로젝트목록!$A$3:$A$62,0)),"미등록코드"))</f>
        <v/>
      </c>
      <c r="E2381" s="32" t="n"/>
      <c r="F2381" s="38" t="n"/>
      <c r="G2381" s="38" t="n"/>
      <c r="H2381" s="39" t="n"/>
      <c r="I2381" s="40" t="str">
        <f>IF(OR($J2381="",$K2381=""),"",ROUND(MAX(0,($K2381-$J2381)-IF($H2381="",0,$H2381))/60,2))</f>
        <v/>
      </c>
      <c r="J2381" s="41" t="str">
        <f>IF($F2381="","",IF($F2381&lt;1,ROUND($F2381*1440,0),INT($F2381/100)*60+MOD($F2381,100)))</f>
        <v/>
      </c>
      <c r="K2381" s="41" t="str">
        <f>IF($G2381="","",IF($G2381&lt;1,ROUND($G2381*1440,0),INT($G2381/100)*60+MOD($G2381,100)))</f>
        <v/>
      </c>
    </row>
    <row r="2382" ht="15" customHeight="1" s="26">
      <c r="A2382" s="34" t="n"/>
      <c r="B2382" s="32" t="n"/>
      <c r="C2382" s="33" t="n"/>
      <c r="D2382" s="37" t="str">
        <f>IF($C2382="","",IFERROR(INDEX(프로젝트목록!$B$3:$B$62,MATCH($C2382,프로젝트목록!$A$3:$A$62,0)),"미등록코드"))</f>
        <v/>
      </c>
      <c r="E2382" s="32" t="n"/>
      <c r="F2382" s="38" t="n"/>
      <c r="G2382" s="38" t="n"/>
      <c r="H2382" s="39" t="n"/>
      <c r="I2382" s="40" t="str">
        <f>IF(OR($J2382="",$K2382=""),"",ROUND(MAX(0,($K2382-$J2382)-IF($H2382="",0,$H2382))/60,2))</f>
        <v/>
      </c>
      <c r="J2382" s="41" t="str">
        <f>IF($F2382="","",IF($F2382&lt;1,ROUND($F2382*1440,0),INT($F2382/100)*60+MOD($F2382,100)))</f>
        <v/>
      </c>
      <c r="K2382" s="41" t="str">
        <f>IF($G2382="","",IF($G2382&lt;1,ROUND($G2382*1440,0),INT($G2382/100)*60+MOD($G2382,100)))</f>
        <v/>
      </c>
    </row>
    <row r="2383" ht="15" customHeight="1" s="26">
      <c r="A2383" s="34" t="n"/>
      <c r="B2383" s="32" t="n"/>
      <c r="C2383" s="33" t="n"/>
      <c r="D2383" s="37" t="str">
        <f>IF($C2383="","",IFERROR(INDEX(프로젝트목록!$B$3:$B$62,MATCH($C2383,프로젝트목록!$A$3:$A$62,0)),"미등록코드"))</f>
        <v/>
      </c>
      <c r="E2383" s="32" t="n"/>
      <c r="F2383" s="38" t="n"/>
      <c r="G2383" s="38" t="n"/>
      <c r="H2383" s="39" t="n"/>
      <c r="I2383" s="40" t="str">
        <f>IF(OR($J2383="",$K2383=""),"",ROUND(MAX(0,($K2383-$J2383)-IF($H2383="",0,$H2383))/60,2))</f>
        <v/>
      </c>
      <c r="J2383" s="41" t="str">
        <f>IF($F2383="","",IF($F2383&lt;1,ROUND($F2383*1440,0),INT($F2383/100)*60+MOD($F2383,100)))</f>
        <v/>
      </c>
      <c r="K2383" s="41" t="str">
        <f>IF($G2383="","",IF($G2383&lt;1,ROUND($G2383*1440,0),INT($G2383/100)*60+MOD($G2383,100)))</f>
        <v/>
      </c>
    </row>
    <row r="2384" ht="15" customHeight="1" s="26">
      <c r="A2384" s="34" t="n"/>
      <c r="B2384" s="32" t="n"/>
      <c r="C2384" s="33" t="n"/>
      <c r="D2384" s="37" t="str">
        <f>IF($C2384="","",IFERROR(INDEX(프로젝트목록!$B$3:$B$62,MATCH($C2384,프로젝트목록!$A$3:$A$62,0)),"미등록코드"))</f>
        <v/>
      </c>
      <c r="E2384" s="32" t="n"/>
      <c r="F2384" s="38" t="n"/>
      <c r="G2384" s="38" t="n"/>
      <c r="H2384" s="39" t="n"/>
      <c r="I2384" s="40" t="str">
        <f>IF(OR($J2384="",$K2384=""),"",ROUND(MAX(0,($K2384-$J2384)-IF($H2384="",0,$H2384))/60,2))</f>
        <v/>
      </c>
      <c r="J2384" s="41" t="str">
        <f>IF($F2384="","",IF($F2384&lt;1,ROUND($F2384*1440,0),INT($F2384/100)*60+MOD($F2384,100)))</f>
        <v/>
      </c>
      <c r="K2384" s="41" t="str">
        <f>IF($G2384="","",IF($G2384&lt;1,ROUND($G2384*1440,0),INT($G2384/100)*60+MOD($G2384,100)))</f>
        <v/>
      </c>
    </row>
    <row r="2385" ht="15" customHeight="1" s="26">
      <c r="A2385" s="34" t="n"/>
      <c r="B2385" s="32" t="n"/>
      <c r="C2385" s="33" t="n"/>
      <c r="D2385" s="37" t="str">
        <f>IF($C2385="","",IFERROR(INDEX(프로젝트목록!$B$3:$B$62,MATCH($C2385,프로젝트목록!$A$3:$A$62,0)),"미등록코드"))</f>
        <v/>
      </c>
      <c r="E2385" s="32" t="n"/>
      <c r="F2385" s="38" t="n"/>
      <c r="G2385" s="38" t="n"/>
      <c r="H2385" s="39" t="n"/>
      <c r="I2385" s="40" t="str">
        <f>IF(OR($J2385="",$K2385=""),"",ROUND(MAX(0,($K2385-$J2385)-IF($H2385="",0,$H2385))/60,2))</f>
        <v/>
      </c>
      <c r="J2385" s="41" t="str">
        <f>IF($F2385="","",IF($F2385&lt;1,ROUND($F2385*1440,0),INT($F2385/100)*60+MOD($F2385,100)))</f>
        <v/>
      </c>
      <c r="K2385" s="41" t="str">
        <f>IF($G2385="","",IF($G2385&lt;1,ROUND($G2385*1440,0),INT($G2385/100)*60+MOD($G2385,100)))</f>
        <v/>
      </c>
    </row>
    <row r="2386" ht="15" customHeight="1" s="26">
      <c r="A2386" s="34" t="n"/>
      <c r="B2386" s="32" t="n"/>
      <c r="C2386" s="33" t="n"/>
      <c r="D2386" s="37" t="str">
        <f>IF($C2386="","",IFERROR(INDEX(프로젝트목록!$B$3:$B$62,MATCH($C2386,프로젝트목록!$A$3:$A$62,0)),"미등록코드"))</f>
        <v/>
      </c>
      <c r="E2386" s="32" t="n"/>
      <c r="F2386" s="38" t="n"/>
      <c r="G2386" s="38" t="n"/>
      <c r="H2386" s="39" t="n"/>
      <c r="I2386" s="40" t="str">
        <f>IF(OR($J2386="",$K2386=""),"",ROUND(MAX(0,($K2386-$J2386)-IF($H2386="",0,$H2386))/60,2))</f>
        <v/>
      </c>
      <c r="J2386" s="41" t="str">
        <f>IF($F2386="","",IF($F2386&lt;1,ROUND($F2386*1440,0),INT($F2386/100)*60+MOD($F2386,100)))</f>
        <v/>
      </c>
      <c r="K2386" s="41" t="str">
        <f>IF($G2386="","",IF($G2386&lt;1,ROUND($G2386*1440,0),INT($G2386/100)*60+MOD($G2386,100)))</f>
        <v/>
      </c>
    </row>
    <row r="2387" ht="15" customHeight="1" s="26">
      <c r="A2387" s="34" t="n"/>
      <c r="B2387" s="32" t="n"/>
      <c r="C2387" s="33" t="n"/>
      <c r="D2387" s="37" t="str">
        <f>IF($C2387="","",IFERROR(INDEX(프로젝트목록!$B$3:$B$62,MATCH($C2387,프로젝트목록!$A$3:$A$62,0)),"미등록코드"))</f>
        <v/>
      </c>
      <c r="E2387" s="32" t="n"/>
      <c r="F2387" s="38" t="n"/>
      <c r="G2387" s="38" t="n"/>
      <c r="H2387" s="39" t="n"/>
      <c r="I2387" s="40" t="str">
        <f>IF(OR($J2387="",$K2387=""),"",ROUND(MAX(0,($K2387-$J2387)-IF($H2387="",0,$H2387))/60,2))</f>
        <v/>
      </c>
      <c r="J2387" s="41" t="str">
        <f>IF($F2387="","",IF($F2387&lt;1,ROUND($F2387*1440,0),INT($F2387/100)*60+MOD($F2387,100)))</f>
        <v/>
      </c>
      <c r="K2387" s="41" t="str">
        <f>IF($G2387="","",IF($G2387&lt;1,ROUND($G2387*1440,0),INT($G2387/100)*60+MOD($G2387,100)))</f>
        <v/>
      </c>
    </row>
    <row r="2388" ht="15" customHeight="1" s="26">
      <c r="A2388" s="34" t="n"/>
      <c r="B2388" s="32" t="n"/>
      <c r="C2388" s="33" t="n"/>
      <c r="D2388" s="37" t="str">
        <f>IF($C2388="","",IFERROR(INDEX(프로젝트목록!$B$3:$B$62,MATCH($C2388,프로젝트목록!$A$3:$A$62,0)),"미등록코드"))</f>
        <v/>
      </c>
      <c r="E2388" s="32" t="n"/>
      <c r="F2388" s="38" t="n"/>
      <c r="G2388" s="38" t="n"/>
      <c r="H2388" s="39" t="n"/>
      <c r="I2388" s="40" t="str">
        <f>IF(OR($J2388="",$K2388=""),"",ROUND(MAX(0,($K2388-$J2388)-IF($H2388="",0,$H2388))/60,2))</f>
        <v/>
      </c>
      <c r="J2388" s="41" t="str">
        <f>IF($F2388="","",IF($F2388&lt;1,ROUND($F2388*1440,0),INT($F2388/100)*60+MOD($F2388,100)))</f>
        <v/>
      </c>
      <c r="K2388" s="41" t="str">
        <f>IF($G2388="","",IF($G2388&lt;1,ROUND($G2388*1440,0),INT($G2388/100)*60+MOD($G2388,100)))</f>
        <v/>
      </c>
    </row>
    <row r="2389" ht="15" customHeight="1" s="26">
      <c r="A2389" s="34" t="n"/>
      <c r="B2389" s="32" t="n"/>
      <c r="C2389" s="33" t="n"/>
      <c r="D2389" s="37" t="str">
        <f>IF($C2389="","",IFERROR(INDEX(프로젝트목록!$B$3:$B$62,MATCH($C2389,프로젝트목록!$A$3:$A$62,0)),"미등록코드"))</f>
        <v/>
      </c>
      <c r="E2389" s="32" t="n"/>
      <c r="F2389" s="38" t="n"/>
      <c r="G2389" s="38" t="n"/>
      <c r="H2389" s="39" t="n"/>
      <c r="I2389" s="40" t="str">
        <f>IF(OR($J2389="",$K2389=""),"",ROUND(MAX(0,($K2389-$J2389)-IF($H2389="",0,$H2389))/60,2))</f>
        <v/>
      </c>
      <c r="J2389" s="41" t="str">
        <f>IF($F2389="","",IF($F2389&lt;1,ROUND($F2389*1440,0),INT($F2389/100)*60+MOD($F2389,100)))</f>
        <v/>
      </c>
      <c r="K2389" s="41" t="str">
        <f>IF($G2389="","",IF($G2389&lt;1,ROUND($G2389*1440,0),INT($G2389/100)*60+MOD($G2389,100)))</f>
        <v/>
      </c>
    </row>
    <row r="2390" ht="15" customHeight="1" s="26">
      <c r="A2390" s="34" t="n"/>
      <c r="B2390" s="32" t="n"/>
      <c r="C2390" s="33" t="n"/>
      <c r="D2390" s="37" t="str">
        <f>IF($C2390="","",IFERROR(INDEX(프로젝트목록!$B$3:$B$62,MATCH($C2390,프로젝트목록!$A$3:$A$62,0)),"미등록코드"))</f>
        <v/>
      </c>
      <c r="E2390" s="32" t="n"/>
      <c r="F2390" s="38" t="n"/>
      <c r="G2390" s="38" t="n"/>
      <c r="H2390" s="39" t="n"/>
      <c r="I2390" s="40" t="str">
        <f>IF(OR($J2390="",$K2390=""),"",ROUND(MAX(0,($K2390-$J2390)-IF($H2390="",0,$H2390))/60,2))</f>
        <v/>
      </c>
      <c r="J2390" s="41" t="str">
        <f>IF($F2390="","",IF($F2390&lt;1,ROUND($F2390*1440,0),INT($F2390/100)*60+MOD($F2390,100)))</f>
        <v/>
      </c>
      <c r="K2390" s="41" t="str">
        <f>IF($G2390="","",IF($G2390&lt;1,ROUND($G2390*1440,0),INT($G2390/100)*60+MOD($G2390,100)))</f>
        <v/>
      </c>
    </row>
    <row r="2391" ht="15" customHeight="1" s="26">
      <c r="A2391" s="34" t="n"/>
      <c r="B2391" s="32" t="n"/>
      <c r="C2391" s="33" t="n"/>
      <c r="D2391" s="37" t="str">
        <f>IF($C2391="","",IFERROR(INDEX(프로젝트목록!$B$3:$B$62,MATCH($C2391,프로젝트목록!$A$3:$A$62,0)),"미등록코드"))</f>
        <v/>
      </c>
      <c r="E2391" s="32" t="n"/>
      <c r="F2391" s="38" t="n"/>
      <c r="G2391" s="38" t="n"/>
      <c r="H2391" s="39" t="n"/>
      <c r="I2391" s="40" t="str">
        <f>IF(OR($J2391="",$K2391=""),"",ROUND(MAX(0,($K2391-$J2391)-IF($H2391="",0,$H2391))/60,2))</f>
        <v/>
      </c>
      <c r="J2391" s="41" t="str">
        <f>IF($F2391="","",IF($F2391&lt;1,ROUND($F2391*1440,0),INT($F2391/100)*60+MOD($F2391,100)))</f>
        <v/>
      </c>
      <c r="K2391" s="41" t="str">
        <f>IF($G2391="","",IF($G2391&lt;1,ROUND($G2391*1440,0),INT($G2391/100)*60+MOD($G2391,100)))</f>
        <v/>
      </c>
    </row>
    <row r="2392" ht="15" customHeight="1" s="26">
      <c r="A2392" s="34" t="n"/>
      <c r="B2392" s="32" t="n"/>
      <c r="C2392" s="33" t="n"/>
      <c r="D2392" s="37" t="str">
        <f>IF($C2392="","",IFERROR(INDEX(프로젝트목록!$B$3:$B$62,MATCH($C2392,프로젝트목록!$A$3:$A$62,0)),"미등록코드"))</f>
        <v/>
      </c>
      <c r="E2392" s="32" t="n"/>
      <c r="F2392" s="38" t="n"/>
      <c r="G2392" s="38" t="n"/>
      <c r="H2392" s="39" t="n"/>
      <c r="I2392" s="40" t="str">
        <f>IF(OR($J2392="",$K2392=""),"",ROUND(MAX(0,($K2392-$J2392)-IF($H2392="",0,$H2392))/60,2))</f>
        <v/>
      </c>
      <c r="J2392" s="41" t="str">
        <f>IF($F2392="","",IF($F2392&lt;1,ROUND($F2392*1440,0),INT($F2392/100)*60+MOD($F2392,100)))</f>
        <v/>
      </c>
      <c r="K2392" s="41" t="str">
        <f>IF($G2392="","",IF($G2392&lt;1,ROUND($G2392*1440,0),INT($G2392/100)*60+MOD($G2392,100)))</f>
        <v/>
      </c>
    </row>
    <row r="2393" ht="15" customHeight="1" s="26">
      <c r="A2393" s="34" t="n"/>
      <c r="B2393" s="32" t="n"/>
      <c r="C2393" s="33" t="n"/>
      <c r="D2393" s="37" t="str">
        <f>IF($C2393="","",IFERROR(INDEX(프로젝트목록!$B$3:$B$62,MATCH($C2393,프로젝트목록!$A$3:$A$62,0)),"미등록코드"))</f>
        <v/>
      </c>
      <c r="E2393" s="32" t="n"/>
      <c r="F2393" s="38" t="n"/>
      <c r="G2393" s="38" t="n"/>
      <c r="H2393" s="39" t="n"/>
      <c r="I2393" s="40" t="str">
        <f>IF(OR($J2393="",$K2393=""),"",ROUND(MAX(0,($K2393-$J2393)-IF($H2393="",0,$H2393))/60,2))</f>
        <v/>
      </c>
      <c r="J2393" s="41" t="str">
        <f>IF($F2393="","",IF($F2393&lt;1,ROUND($F2393*1440,0),INT($F2393/100)*60+MOD($F2393,100)))</f>
        <v/>
      </c>
      <c r="K2393" s="41" t="str">
        <f>IF($G2393="","",IF($G2393&lt;1,ROUND($G2393*1440,0),INT($G2393/100)*60+MOD($G2393,100)))</f>
        <v/>
      </c>
    </row>
    <row r="2394" ht="15" customHeight="1" s="26">
      <c r="A2394" s="34" t="n"/>
      <c r="B2394" s="32" t="n"/>
      <c r="C2394" s="33" t="n"/>
      <c r="D2394" s="37" t="str">
        <f>IF($C2394="","",IFERROR(INDEX(프로젝트목록!$B$3:$B$62,MATCH($C2394,프로젝트목록!$A$3:$A$62,0)),"미등록코드"))</f>
        <v/>
      </c>
      <c r="E2394" s="32" t="n"/>
      <c r="F2394" s="38" t="n"/>
      <c r="G2394" s="38" t="n"/>
      <c r="H2394" s="39" t="n"/>
      <c r="I2394" s="40" t="str">
        <f>IF(OR($J2394="",$K2394=""),"",ROUND(MAX(0,($K2394-$J2394)-IF($H2394="",0,$H2394))/60,2))</f>
        <v/>
      </c>
      <c r="J2394" s="41" t="str">
        <f>IF($F2394="","",IF($F2394&lt;1,ROUND($F2394*1440,0),INT($F2394/100)*60+MOD($F2394,100)))</f>
        <v/>
      </c>
      <c r="K2394" s="41" t="str">
        <f>IF($G2394="","",IF($G2394&lt;1,ROUND($G2394*1440,0),INT($G2394/100)*60+MOD($G2394,100)))</f>
        <v/>
      </c>
    </row>
    <row r="2395" ht="15" customHeight="1" s="26">
      <c r="A2395" s="34" t="n"/>
      <c r="B2395" s="32" t="n"/>
      <c r="C2395" s="33" t="n"/>
      <c r="D2395" s="37" t="str">
        <f>IF($C2395="","",IFERROR(INDEX(프로젝트목록!$B$3:$B$62,MATCH($C2395,프로젝트목록!$A$3:$A$62,0)),"미등록코드"))</f>
        <v/>
      </c>
      <c r="E2395" s="32" t="n"/>
      <c r="F2395" s="38" t="n"/>
      <c r="G2395" s="38" t="n"/>
      <c r="H2395" s="39" t="n"/>
      <c r="I2395" s="40" t="str">
        <f>IF(OR($J2395="",$K2395=""),"",ROUND(MAX(0,($K2395-$J2395)-IF($H2395="",0,$H2395))/60,2))</f>
        <v/>
      </c>
      <c r="J2395" s="41" t="str">
        <f>IF($F2395="","",IF($F2395&lt;1,ROUND($F2395*1440,0),INT($F2395/100)*60+MOD($F2395,100)))</f>
        <v/>
      </c>
      <c r="K2395" s="41" t="str">
        <f>IF($G2395="","",IF($G2395&lt;1,ROUND($G2395*1440,0),INT($G2395/100)*60+MOD($G2395,100)))</f>
        <v/>
      </c>
    </row>
    <row r="2396" ht="15" customHeight="1" s="26">
      <c r="A2396" s="34" t="n"/>
      <c r="B2396" s="32" t="n"/>
      <c r="C2396" s="33" t="n"/>
      <c r="D2396" s="37" t="str">
        <f>IF($C2396="","",IFERROR(INDEX(프로젝트목록!$B$3:$B$62,MATCH($C2396,프로젝트목록!$A$3:$A$62,0)),"미등록코드"))</f>
        <v/>
      </c>
      <c r="E2396" s="32" t="n"/>
      <c r="F2396" s="38" t="n"/>
      <c r="G2396" s="38" t="n"/>
      <c r="H2396" s="39" t="n"/>
      <c r="I2396" s="40" t="str">
        <f>IF(OR($J2396="",$K2396=""),"",ROUND(MAX(0,($K2396-$J2396)-IF($H2396="",0,$H2396))/60,2))</f>
        <v/>
      </c>
      <c r="J2396" s="41" t="str">
        <f>IF($F2396="","",IF($F2396&lt;1,ROUND($F2396*1440,0),INT($F2396/100)*60+MOD($F2396,100)))</f>
        <v/>
      </c>
      <c r="K2396" s="41" t="str">
        <f>IF($G2396="","",IF($G2396&lt;1,ROUND($G2396*1440,0),INT($G2396/100)*60+MOD($G2396,100)))</f>
        <v/>
      </c>
    </row>
    <row r="2397" ht="15" customHeight="1" s="26">
      <c r="A2397" s="34" t="n"/>
      <c r="B2397" s="32" t="n"/>
      <c r="C2397" s="33" t="n"/>
      <c r="D2397" s="37" t="str">
        <f>IF($C2397="","",IFERROR(INDEX(프로젝트목록!$B$3:$B$62,MATCH($C2397,프로젝트목록!$A$3:$A$62,0)),"미등록코드"))</f>
        <v/>
      </c>
      <c r="E2397" s="32" t="n"/>
      <c r="F2397" s="38" t="n"/>
      <c r="G2397" s="38" t="n"/>
      <c r="H2397" s="39" t="n"/>
      <c r="I2397" s="40" t="str">
        <f>IF(OR($J2397="",$K2397=""),"",ROUND(MAX(0,($K2397-$J2397)-IF($H2397="",0,$H2397))/60,2))</f>
        <v/>
      </c>
      <c r="J2397" s="41" t="str">
        <f>IF($F2397="","",IF($F2397&lt;1,ROUND($F2397*1440,0),INT($F2397/100)*60+MOD($F2397,100)))</f>
        <v/>
      </c>
      <c r="K2397" s="41" t="str">
        <f>IF($G2397="","",IF($G2397&lt;1,ROUND($G2397*1440,0),INT($G2397/100)*60+MOD($G2397,100)))</f>
        <v/>
      </c>
    </row>
    <row r="2398" ht="15" customHeight="1" s="26">
      <c r="A2398" s="34" t="n"/>
      <c r="B2398" s="32" t="n"/>
      <c r="C2398" s="33" t="n"/>
      <c r="D2398" s="37" t="str">
        <f>IF($C2398="","",IFERROR(INDEX(프로젝트목록!$B$3:$B$62,MATCH($C2398,프로젝트목록!$A$3:$A$62,0)),"미등록코드"))</f>
        <v/>
      </c>
      <c r="E2398" s="32" t="n"/>
      <c r="F2398" s="38" t="n"/>
      <c r="G2398" s="38" t="n"/>
      <c r="H2398" s="39" t="n"/>
      <c r="I2398" s="40" t="str">
        <f>IF(OR($J2398="",$K2398=""),"",ROUND(MAX(0,($K2398-$J2398)-IF($H2398="",0,$H2398))/60,2))</f>
        <v/>
      </c>
      <c r="J2398" s="41" t="str">
        <f>IF($F2398="","",IF($F2398&lt;1,ROUND($F2398*1440,0),INT($F2398/100)*60+MOD($F2398,100)))</f>
        <v/>
      </c>
      <c r="K2398" s="41" t="str">
        <f>IF($G2398="","",IF($G2398&lt;1,ROUND($G2398*1440,0),INT($G2398/100)*60+MOD($G2398,100)))</f>
        <v/>
      </c>
    </row>
    <row r="2399" ht="15" customHeight="1" s="26">
      <c r="A2399" s="34" t="n"/>
      <c r="B2399" s="32" t="n"/>
      <c r="C2399" s="33" t="n"/>
      <c r="D2399" s="37" t="str">
        <f>IF($C2399="","",IFERROR(INDEX(프로젝트목록!$B$3:$B$62,MATCH($C2399,프로젝트목록!$A$3:$A$62,0)),"미등록코드"))</f>
        <v/>
      </c>
      <c r="E2399" s="32" t="n"/>
      <c r="F2399" s="38" t="n"/>
      <c r="G2399" s="38" t="n"/>
      <c r="H2399" s="39" t="n"/>
      <c r="I2399" s="40" t="str">
        <f>IF(OR($J2399="",$K2399=""),"",ROUND(MAX(0,($K2399-$J2399)-IF($H2399="",0,$H2399))/60,2))</f>
        <v/>
      </c>
      <c r="J2399" s="41" t="str">
        <f>IF($F2399="","",IF($F2399&lt;1,ROUND($F2399*1440,0),INT($F2399/100)*60+MOD($F2399,100)))</f>
        <v/>
      </c>
      <c r="K2399" s="41" t="str">
        <f>IF($G2399="","",IF($G2399&lt;1,ROUND($G2399*1440,0),INT($G2399/100)*60+MOD($G2399,100)))</f>
        <v/>
      </c>
    </row>
    <row r="2400" ht="15" customHeight="1" s="26">
      <c r="A2400" s="34" t="n"/>
      <c r="B2400" s="32" t="n"/>
      <c r="C2400" s="33" t="n"/>
      <c r="D2400" s="37" t="str">
        <f>IF($C2400="","",IFERROR(INDEX(프로젝트목록!$B$3:$B$62,MATCH($C2400,프로젝트목록!$A$3:$A$62,0)),"미등록코드"))</f>
        <v/>
      </c>
      <c r="E2400" s="32" t="n"/>
      <c r="F2400" s="38" t="n"/>
      <c r="G2400" s="38" t="n"/>
      <c r="H2400" s="39" t="n"/>
      <c r="I2400" s="40" t="str">
        <f>IF(OR($J2400="",$K2400=""),"",ROUND(MAX(0,($K2400-$J2400)-IF($H2400="",0,$H2400))/60,2))</f>
        <v/>
      </c>
      <c r="J2400" s="41" t="str">
        <f>IF($F2400="","",IF($F2400&lt;1,ROUND($F2400*1440,0),INT($F2400/100)*60+MOD($F2400,100)))</f>
        <v/>
      </c>
      <c r="K2400" s="41" t="str">
        <f>IF($G2400="","",IF($G2400&lt;1,ROUND($G2400*1440,0),INT($G2400/100)*60+MOD($G2400,100)))</f>
        <v/>
      </c>
    </row>
    <row r="2401" ht="15" customHeight="1" s="26">
      <c r="A2401" s="34" t="n"/>
      <c r="B2401" s="32" t="n"/>
      <c r="C2401" s="33" t="n"/>
      <c r="D2401" s="37" t="str">
        <f>IF($C2401="","",IFERROR(INDEX(프로젝트목록!$B$3:$B$62,MATCH($C2401,프로젝트목록!$A$3:$A$62,0)),"미등록코드"))</f>
        <v/>
      </c>
      <c r="E2401" s="32" t="n"/>
      <c r="F2401" s="38" t="n"/>
      <c r="G2401" s="38" t="n"/>
      <c r="H2401" s="39" t="n"/>
      <c r="I2401" s="40" t="str">
        <f>IF(OR($J2401="",$K2401=""),"",ROUND(MAX(0,($K2401-$J2401)-IF($H2401="",0,$H2401))/60,2))</f>
        <v/>
      </c>
      <c r="J2401" s="41" t="str">
        <f>IF($F2401="","",IF($F2401&lt;1,ROUND($F2401*1440,0),INT($F2401/100)*60+MOD($F2401,100)))</f>
        <v/>
      </c>
      <c r="K2401" s="41" t="str">
        <f>IF($G2401="","",IF($G2401&lt;1,ROUND($G2401*1440,0),INT($G2401/100)*60+MOD($G2401,100)))</f>
        <v/>
      </c>
    </row>
    <row r="2402" ht="15" customHeight="1" s="26">
      <c r="A2402" s="34" t="n"/>
      <c r="B2402" s="32" t="n"/>
      <c r="C2402" s="33" t="n"/>
      <c r="D2402" s="37" t="str">
        <f>IF($C2402="","",IFERROR(INDEX(프로젝트목록!$B$3:$B$62,MATCH($C2402,프로젝트목록!$A$3:$A$62,0)),"미등록코드"))</f>
        <v/>
      </c>
      <c r="E2402" s="32" t="n"/>
      <c r="F2402" s="38" t="n"/>
      <c r="G2402" s="38" t="n"/>
      <c r="H2402" s="39" t="n"/>
      <c r="I2402" s="40" t="str">
        <f>IF(OR($J2402="",$K2402=""),"",ROUND(MAX(0,($K2402-$J2402)-IF($H2402="",0,$H2402))/60,2))</f>
        <v/>
      </c>
      <c r="J2402" s="41" t="str">
        <f>IF($F2402="","",IF($F2402&lt;1,ROUND($F2402*1440,0),INT($F2402/100)*60+MOD($F2402,100)))</f>
        <v/>
      </c>
      <c r="K2402" s="41" t="str">
        <f>IF($G2402="","",IF($G2402&lt;1,ROUND($G2402*1440,0),INT($G2402/100)*60+MOD($G2402,100)))</f>
        <v/>
      </c>
    </row>
    <row r="2403" ht="15" customHeight="1" s="26">
      <c r="A2403" s="34" t="n"/>
      <c r="B2403" s="32" t="n"/>
      <c r="C2403" s="33" t="n"/>
      <c r="D2403" s="37" t="str">
        <f>IF($C2403="","",IFERROR(INDEX(프로젝트목록!$B$3:$B$62,MATCH($C2403,프로젝트목록!$A$3:$A$62,0)),"미등록코드"))</f>
        <v/>
      </c>
      <c r="E2403" s="32" t="n"/>
      <c r="F2403" s="38" t="n"/>
      <c r="G2403" s="38" t="n"/>
      <c r="H2403" s="39" t="n"/>
      <c r="I2403" s="40" t="str">
        <f>IF(OR($J2403="",$K2403=""),"",ROUND(MAX(0,($K2403-$J2403)-IF($H2403="",0,$H2403))/60,2))</f>
        <v/>
      </c>
      <c r="J2403" s="41" t="str">
        <f>IF($F2403="","",IF($F2403&lt;1,ROUND($F2403*1440,0),INT($F2403/100)*60+MOD($F2403,100)))</f>
        <v/>
      </c>
      <c r="K2403" s="41" t="str">
        <f>IF($G2403="","",IF($G2403&lt;1,ROUND($G2403*1440,0),INT($G2403/100)*60+MOD($G2403,100)))</f>
        <v/>
      </c>
    </row>
    <row r="2404" ht="15" customHeight="1" s="26">
      <c r="A2404" s="34" t="n"/>
      <c r="B2404" s="32" t="n"/>
      <c r="C2404" s="33" t="n"/>
      <c r="D2404" s="37" t="str">
        <f>IF($C2404="","",IFERROR(INDEX(프로젝트목록!$B$3:$B$62,MATCH($C2404,프로젝트목록!$A$3:$A$62,0)),"미등록코드"))</f>
        <v/>
      </c>
      <c r="E2404" s="32" t="n"/>
      <c r="F2404" s="38" t="n"/>
      <c r="G2404" s="38" t="n"/>
      <c r="H2404" s="39" t="n"/>
      <c r="I2404" s="40" t="str">
        <f>IF(OR($J2404="",$K2404=""),"",ROUND(MAX(0,($K2404-$J2404)-IF($H2404="",0,$H2404))/60,2))</f>
        <v/>
      </c>
      <c r="J2404" s="41" t="str">
        <f>IF($F2404="","",IF($F2404&lt;1,ROUND($F2404*1440,0),INT($F2404/100)*60+MOD($F2404,100)))</f>
        <v/>
      </c>
      <c r="K2404" s="41" t="str">
        <f>IF($G2404="","",IF($G2404&lt;1,ROUND($G2404*1440,0),INT($G2404/100)*60+MOD($G2404,100)))</f>
        <v/>
      </c>
    </row>
    <row r="2405" ht="15" customHeight="1" s="26">
      <c r="A2405" s="34" t="n"/>
      <c r="B2405" s="32" t="n"/>
      <c r="C2405" s="33" t="n"/>
      <c r="D2405" s="37" t="str">
        <f>IF($C2405="","",IFERROR(INDEX(프로젝트목록!$B$3:$B$62,MATCH($C2405,프로젝트목록!$A$3:$A$62,0)),"미등록코드"))</f>
        <v/>
      </c>
      <c r="E2405" s="32" t="n"/>
      <c r="F2405" s="38" t="n"/>
      <c r="G2405" s="38" t="n"/>
      <c r="H2405" s="39" t="n"/>
      <c r="I2405" s="40" t="str">
        <f>IF(OR($J2405="",$K2405=""),"",ROUND(MAX(0,($K2405-$J2405)-IF($H2405="",0,$H2405))/60,2))</f>
        <v/>
      </c>
      <c r="J2405" s="41" t="str">
        <f>IF($F2405="","",IF($F2405&lt;1,ROUND($F2405*1440,0),INT($F2405/100)*60+MOD($F2405,100)))</f>
        <v/>
      </c>
      <c r="K2405" s="41" t="str">
        <f>IF($G2405="","",IF($G2405&lt;1,ROUND($G2405*1440,0),INT($G2405/100)*60+MOD($G2405,100)))</f>
        <v/>
      </c>
    </row>
    <row r="2406" ht="15" customHeight="1" s="26">
      <c r="A2406" s="34" t="n"/>
      <c r="B2406" s="32" t="n"/>
      <c r="C2406" s="33" t="n"/>
      <c r="D2406" s="37" t="str">
        <f>IF($C2406="","",IFERROR(INDEX(프로젝트목록!$B$3:$B$62,MATCH($C2406,프로젝트목록!$A$3:$A$62,0)),"미등록코드"))</f>
        <v/>
      </c>
      <c r="E2406" s="32" t="n"/>
      <c r="F2406" s="38" t="n"/>
      <c r="G2406" s="38" t="n"/>
      <c r="H2406" s="39" t="n"/>
      <c r="I2406" s="40" t="str">
        <f>IF(OR($J2406="",$K2406=""),"",ROUND(MAX(0,($K2406-$J2406)-IF($H2406="",0,$H2406))/60,2))</f>
        <v/>
      </c>
      <c r="J2406" s="41" t="str">
        <f>IF($F2406="","",IF($F2406&lt;1,ROUND($F2406*1440,0),INT($F2406/100)*60+MOD($F2406,100)))</f>
        <v/>
      </c>
      <c r="K2406" s="41" t="str">
        <f>IF($G2406="","",IF($G2406&lt;1,ROUND($G2406*1440,0),INT($G2406/100)*60+MOD($G2406,100)))</f>
        <v/>
      </c>
    </row>
    <row r="2407" ht="15" customHeight="1" s="26">
      <c r="A2407" s="34" t="n"/>
      <c r="B2407" s="32" t="n"/>
      <c r="C2407" s="33" t="n"/>
      <c r="D2407" s="37" t="str">
        <f>IF($C2407="","",IFERROR(INDEX(프로젝트목록!$B$3:$B$62,MATCH($C2407,프로젝트목록!$A$3:$A$62,0)),"미등록코드"))</f>
        <v/>
      </c>
      <c r="E2407" s="32" t="n"/>
      <c r="F2407" s="38" t="n"/>
      <c r="G2407" s="38" t="n"/>
      <c r="H2407" s="39" t="n"/>
      <c r="I2407" s="40" t="str">
        <f>IF(OR($J2407="",$K2407=""),"",ROUND(MAX(0,($K2407-$J2407)-IF($H2407="",0,$H2407))/60,2))</f>
        <v/>
      </c>
      <c r="J2407" s="41" t="str">
        <f>IF($F2407="","",IF($F2407&lt;1,ROUND($F2407*1440,0),INT($F2407/100)*60+MOD($F2407,100)))</f>
        <v/>
      </c>
      <c r="K2407" s="41" t="str">
        <f>IF($G2407="","",IF($G2407&lt;1,ROUND($G2407*1440,0),INT($G2407/100)*60+MOD($G2407,100)))</f>
        <v/>
      </c>
    </row>
    <row r="2408" ht="15" customHeight="1" s="26">
      <c r="A2408" s="34" t="n"/>
      <c r="B2408" s="32" t="n"/>
      <c r="C2408" s="33" t="n"/>
      <c r="D2408" s="37" t="str">
        <f>IF($C2408="","",IFERROR(INDEX(프로젝트목록!$B$3:$B$62,MATCH($C2408,프로젝트목록!$A$3:$A$62,0)),"미등록코드"))</f>
        <v/>
      </c>
      <c r="E2408" s="32" t="n"/>
      <c r="F2408" s="38" t="n"/>
      <c r="G2408" s="38" t="n"/>
      <c r="H2408" s="39" t="n"/>
      <c r="I2408" s="40" t="str">
        <f>IF(OR($J2408="",$K2408=""),"",ROUND(MAX(0,($K2408-$J2408)-IF($H2408="",0,$H2408))/60,2))</f>
        <v/>
      </c>
      <c r="J2408" s="41" t="str">
        <f>IF($F2408="","",IF($F2408&lt;1,ROUND($F2408*1440,0),INT($F2408/100)*60+MOD($F2408,100)))</f>
        <v/>
      </c>
      <c r="K2408" s="41" t="str">
        <f>IF($G2408="","",IF($G2408&lt;1,ROUND($G2408*1440,0),INT($G2408/100)*60+MOD($G2408,100)))</f>
        <v/>
      </c>
    </row>
    <row r="2409" ht="15" customHeight="1" s="26">
      <c r="A2409" s="34" t="n"/>
      <c r="B2409" s="32" t="n"/>
      <c r="C2409" s="33" t="n"/>
      <c r="D2409" s="37" t="str">
        <f>IF($C2409="","",IFERROR(INDEX(프로젝트목록!$B$3:$B$62,MATCH($C2409,프로젝트목록!$A$3:$A$62,0)),"미등록코드"))</f>
        <v/>
      </c>
      <c r="E2409" s="32" t="n"/>
      <c r="F2409" s="38" t="n"/>
      <c r="G2409" s="38" t="n"/>
      <c r="H2409" s="39" t="n"/>
      <c r="I2409" s="40" t="str">
        <f>IF(OR($J2409="",$K2409=""),"",ROUND(MAX(0,($K2409-$J2409)-IF($H2409="",0,$H2409))/60,2))</f>
        <v/>
      </c>
      <c r="J2409" s="41" t="str">
        <f>IF($F2409="","",IF($F2409&lt;1,ROUND($F2409*1440,0),INT($F2409/100)*60+MOD($F2409,100)))</f>
        <v/>
      </c>
      <c r="K2409" s="41" t="str">
        <f>IF($G2409="","",IF($G2409&lt;1,ROUND($G2409*1440,0),INT($G2409/100)*60+MOD($G2409,100)))</f>
        <v/>
      </c>
    </row>
    <row r="2410" ht="15" customHeight="1" s="26">
      <c r="A2410" s="34" t="n"/>
      <c r="B2410" s="32" t="n"/>
      <c r="C2410" s="33" t="n"/>
      <c r="D2410" s="37" t="str">
        <f>IF($C2410="","",IFERROR(INDEX(프로젝트목록!$B$3:$B$62,MATCH($C2410,프로젝트목록!$A$3:$A$62,0)),"미등록코드"))</f>
        <v/>
      </c>
      <c r="E2410" s="32" t="n"/>
      <c r="F2410" s="38" t="n"/>
      <c r="G2410" s="38" t="n"/>
      <c r="H2410" s="39" t="n"/>
      <c r="I2410" s="40" t="str">
        <f>IF(OR($J2410="",$K2410=""),"",ROUND(MAX(0,($K2410-$J2410)-IF($H2410="",0,$H2410))/60,2))</f>
        <v/>
      </c>
      <c r="J2410" s="41" t="str">
        <f>IF($F2410="","",IF($F2410&lt;1,ROUND($F2410*1440,0),INT($F2410/100)*60+MOD($F2410,100)))</f>
        <v/>
      </c>
      <c r="K2410" s="41" t="str">
        <f>IF($G2410="","",IF($G2410&lt;1,ROUND($G2410*1440,0),INT($G2410/100)*60+MOD($G2410,100)))</f>
        <v/>
      </c>
    </row>
    <row r="2411" ht="15" customHeight="1" s="26">
      <c r="A2411" s="34" t="n"/>
      <c r="B2411" s="32" t="n"/>
      <c r="C2411" s="33" t="n"/>
      <c r="D2411" s="37" t="str">
        <f>IF($C2411="","",IFERROR(INDEX(프로젝트목록!$B$3:$B$62,MATCH($C2411,프로젝트목록!$A$3:$A$62,0)),"미등록코드"))</f>
        <v/>
      </c>
      <c r="E2411" s="32" t="n"/>
      <c r="F2411" s="38" t="n"/>
      <c r="G2411" s="38" t="n"/>
      <c r="H2411" s="39" t="n"/>
      <c r="I2411" s="40" t="str">
        <f>IF(OR($J2411="",$K2411=""),"",ROUND(MAX(0,($K2411-$J2411)-IF($H2411="",0,$H2411))/60,2))</f>
        <v/>
      </c>
      <c r="J2411" s="41" t="str">
        <f>IF($F2411="","",IF($F2411&lt;1,ROUND($F2411*1440,0),INT($F2411/100)*60+MOD($F2411,100)))</f>
        <v/>
      </c>
      <c r="K2411" s="41" t="str">
        <f>IF($G2411="","",IF($G2411&lt;1,ROUND($G2411*1440,0),INT($G2411/100)*60+MOD($G2411,100)))</f>
        <v/>
      </c>
    </row>
    <row r="2412" ht="15" customHeight="1" s="26">
      <c r="A2412" s="34" t="n"/>
      <c r="B2412" s="32" t="n"/>
      <c r="C2412" s="33" t="n"/>
      <c r="D2412" s="37" t="str">
        <f>IF($C2412="","",IFERROR(INDEX(프로젝트목록!$B$3:$B$62,MATCH($C2412,프로젝트목록!$A$3:$A$62,0)),"미등록코드"))</f>
        <v/>
      </c>
      <c r="E2412" s="32" t="n"/>
      <c r="F2412" s="38" t="n"/>
      <c r="G2412" s="38" t="n"/>
      <c r="H2412" s="39" t="n"/>
      <c r="I2412" s="40" t="str">
        <f>IF(OR($J2412="",$K2412=""),"",ROUND(MAX(0,($K2412-$J2412)-IF($H2412="",0,$H2412))/60,2))</f>
        <v/>
      </c>
      <c r="J2412" s="41" t="str">
        <f>IF($F2412="","",IF($F2412&lt;1,ROUND($F2412*1440,0),INT($F2412/100)*60+MOD($F2412,100)))</f>
        <v/>
      </c>
      <c r="K2412" s="41" t="str">
        <f>IF($G2412="","",IF($G2412&lt;1,ROUND($G2412*1440,0),INT($G2412/100)*60+MOD($G2412,100)))</f>
        <v/>
      </c>
    </row>
    <row r="2413" ht="15" customHeight="1" s="26">
      <c r="A2413" s="34" t="n"/>
      <c r="B2413" s="32" t="n"/>
      <c r="C2413" s="33" t="n"/>
      <c r="D2413" s="37" t="str">
        <f>IF($C2413="","",IFERROR(INDEX(프로젝트목록!$B$3:$B$62,MATCH($C2413,프로젝트목록!$A$3:$A$62,0)),"미등록코드"))</f>
        <v/>
      </c>
      <c r="E2413" s="32" t="n"/>
      <c r="F2413" s="38" t="n"/>
      <c r="G2413" s="38" t="n"/>
      <c r="H2413" s="39" t="n"/>
      <c r="I2413" s="40" t="str">
        <f>IF(OR($J2413="",$K2413=""),"",ROUND(MAX(0,($K2413-$J2413)-IF($H2413="",0,$H2413))/60,2))</f>
        <v/>
      </c>
      <c r="J2413" s="41" t="str">
        <f>IF($F2413="","",IF($F2413&lt;1,ROUND($F2413*1440,0),INT($F2413/100)*60+MOD($F2413,100)))</f>
        <v/>
      </c>
      <c r="K2413" s="41" t="str">
        <f>IF($G2413="","",IF($G2413&lt;1,ROUND($G2413*1440,0),INT($G2413/100)*60+MOD($G2413,100)))</f>
        <v/>
      </c>
    </row>
    <row r="2414" ht="15" customHeight="1" s="26">
      <c r="A2414" s="34" t="n"/>
      <c r="B2414" s="32" t="n"/>
      <c r="C2414" s="33" t="n"/>
      <c r="D2414" s="37" t="str">
        <f>IF($C2414="","",IFERROR(INDEX(프로젝트목록!$B$3:$B$62,MATCH($C2414,프로젝트목록!$A$3:$A$62,0)),"미등록코드"))</f>
        <v/>
      </c>
      <c r="E2414" s="32" t="n"/>
      <c r="F2414" s="38" t="n"/>
      <c r="G2414" s="38" t="n"/>
      <c r="H2414" s="39" t="n"/>
      <c r="I2414" s="40" t="str">
        <f>IF(OR($J2414="",$K2414=""),"",ROUND(MAX(0,($K2414-$J2414)-IF($H2414="",0,$H2414))/60,2))</f>
        <v/>
      </c>
      <c r="J2414" s="41" t="str">
        <f>IF($F2414="","",IF($F2414&lt;1,ROUND($F2414*1440,0),INT($F2414/100)*60+MOD($F2414,100)))</f>
        <v/>
      </c>
      <c r="K2414" s="41" t="str">
        <f>IF($G2414="","",IF($G2414&lt;1,ROUND($G2414*1440,0),INT($G2414/100)*60+MOD($G2414,100)))</f>
        <v/>
      </c>
    </row>
    <row r="2415" ht="15" customHeight="1" s="26">
      <c r="A2415" s="34" t="n"/>
      <c r="B2415" s="32" t="n"/>
      <c r="C2415" s="33" t="n"/>
      <c r="D2415" s="37" t="str">
        <f>IF($C2415="","",IFERROR(INDEX(프로젝트목록!$B$3:$B$62,MATCH($C2415,프로젝트목록!$A$3:$A$62,0)),"미등록코드"))</f>
        <v/>
      </c>
      <c r="E2415" s="32" t="n"/>
      <c r="F2415" s="38" t="n"/>
      <c r="G2415" s="38" t="n"/>
      <c r="H2415" s="39" t="n"/>
      <c r="I2415" s="40" t="str">
        <f>IF(OR($J2415="",$K2415=""),"",ROUND(MAX(0,($K2415-$J2415)-IF($H2415="",0,$H2415))/60,2))</f>
        <v/>
      </c>
      <c r="J2415" s="41" t="str">
        <f>IF($F2415="","",IF($F2415&lt;1,ROUND($F2415*1440,0),INT($F2415/100)*60+MOD($F2415,100)))</f>
        <v/>
      </c>
      <c r="K2415" s="41" t="str">
        <f>IF($G2415="","",IF($G2415&lt;1,ROUND($G2415*1440,0),INT($G2415/100)*60+MOD($G2415,100)))</f>
        <v/>
      </c>
    </row>
    <row r="2416" ht="15" customHeight="1" s="26">
      <c r="A2416" s="34" t="n"/>
      <c r="B2416" s="32" t="n"/>
      <c r="C2416" s="33" t="n"/>
      <c r="D2416" s="37" t="str">
        <f>IF($C2416="","",IFERROR(INDEX(프로젝트목록!$B$3:$B$62,MATCH($C2416,프로젝트목록!$A$3:$A$62,0)),"미등록코드"))</f>
        <v/>
      </c>
      <c r="E2416" s="32" t="n"/>
      <c r="F2416" s="38" t="n"/>
      <c r="G2416" s="38" t="n"/>
      <c r="H2416" s="39" t="n"/>
      <c r="I2416" s="40" t="str">
        <f>IF(OR($J2416="",$K2416=""),"",ROUND(MAX(0,($K2416-$J2416)-IF($H2416="",0,$H2416))/60,2))</f>
        <v/>
      </c>
      <c r="J2416" s="41" t="str">
        <f>IF($F2416="","",IF($F2416&lt;1,ROUND($F2416*1440,0),INT($F2416/100)*60+MOD($F2416,100)))</f>
        <v/>
      </c>
      <c r="K2416" s="41" t="str">
        <f>IF($G2416="","",IF($G2416&lt;1,ROUND($G2416*1440,0),INT($G2416/100)*60+MOD($G2416,100)))</f>
        <v/>
      </c>
    </row>
    <row r="2417" ht="15" customHeight="1" s="26">
      <c r="A2417" s="34" t="n"/>
      <c r="B2417" s="32" t="n"/>
      <c r="C2417" s="33" t="n"/>
      <c r="D2417" s="37" t="str">
        <f>IF($C2417="","",IFERROR(INDEX(프로젝트목록!$B$3:$B$62,MATCH($C2417,프로젝트목록!$A$3:$A$62,0)),"미등록코드"))</f>
        <v/>
      </c>
      <c r="E2417" s="32" t="n"/>
      <c r="F2417" s="38" t="n"/>
      <c r="G2417" s="38" t="n"/>
      <c r="H2417" s="39" t="n"/>
      <c r="I2417" s="40" t="str">
        <f>IF(OR($J2417="",$K2417=""),"",ROUND(MAX(0,($K2417-$J2417)-IF($H2417="",0,$H2417))/60,2))</f>
        <v/>
      </c>
      <c r="J2417" s="41" t="str">
        <f>IF($F2417="","",IF($F2417&lt;1,ROUND($F2417*1440,0),INT($F2417/100)*60+MOD($F2417,100)))</f>
        <v/>
      </c>
      <c r="K2417" s="41" t="str">
        <f>IF($G2417="","",IF($G2417&lt;1,ROUND($G2417*1440,0),INT($G2417/100)*60+MOD($G2417,100)))</f>
        <v/>
      </c>
    </row>
    <row r="2418" ht="15" customHeight="1" s="26">
      <c r="A2418" s="34" t="n"/>
      <c r="B2418" s="32" t="n"/>
      <c r="C2418" s="33" t="n"/>
      <c r="D2418" s="37" t="str">
        <f>IF($C2418="","",IFERROR(INDEX(프로젝트목록!$B$3:$B$62,MATCH($C2418,프로젝트목록!$A$3:$A$62,0)),"미등록코드"))</f>
        <v/>
      </c>
      <c r="E2418" s="32" t="n"/>
      <c r="F2418" s="38" t="n"/>
      <c r="G2418" s="38" t="n"/>
      <c r="H2418" s="39" t="n"/>
      <c r="I2418" s="40" t="str">
        <f>IF(OR($J2418="",$K2418=""),"",ROUND(MAX(0,($K2418-$J2418)-IF($H2418="",0,$H2418))/60,2))</f>
        <v/>
      </c>
      <c r="J2418" s="41" t="str">
        <f>IF($F2418="","",IF($F2418&lt;1,ROUND($F2418*1440,0),INT($F2418/100)*60+MOD($F2418,100)))</f>
        <v/>
      </c>
      <c r="K2418" s="41" t="str">
        <f>IF($G2418="","",IF($G2418&lt;1,ROUND($G2418*1440,0),INT($G2418/100)*60+MOD($G2418,100)))</f>
        <v/>
      </c>
    </row>
    <row r="2419" ht="15" customHeight="1" s="26">
      <c r="A2419" s="34" t="n"/>
      <c r="B2419" s="32" t="n"/>
      <c r="C2419" s="33" t="n"/>
      <c r="D2419" s="37" t="str">
        <f>IF($C2419="","",IFERROR(INDEX(프로젝트목록!$B$3:$B$62,MATCH($C2419,프로젝트목록!$A$3:$A$62,0)),"미등록코드"))</f>
        <v/>
      </c>
      <c r="E2419" s="32" t="n"/>
      <c r="F2419" s="38" t="n"/>
      <c r="G2419" s="38" t="n"/>
      <c r="H2419" s="39" t="n"/>
      <c r="I2419" s="40" t="str">
        <f>IF(OR($J2419="",$K2419=""),"",ROUND(MAX(0,($K2419-$J2419)-IF($H2419="",0,$H2419))/60,2))</f>
        <v/>
      </c>
      <c r="J2419" s="41" t="str">
        <f>IF($F2419="","",IF($F2419&lt;1,ROUND($F2419*1440,0),INT($F2419/100)*60+MOD($F2419,100)))</f>
        <v/>
      </c>
      <c r="K2419" s="41" t="str">
        <f>IF($G2419="","",IF($G2419&lt;1,ROUND($G2419*1440,0),INT($G2419/100)*60+MOD($G2419,100)))</f>
        <v/>
      </c>
    </row>
    <row r="2420" ht="15" customHeight="1" s="26">
      <c r="A2420" s="34" t="n"/>
      <c r="B2420" s="32" t="n"/>
      <c r="C2420" s="33" t="n"/>
      <c r="D2420" s="37" t="str">
        <f>IF($C2420="","",IFERROR(INDEX(프로젝트목록!$B$3:$B$62,MATCH($C2420,프로젝트목록!$A$3:$A$62,0)),"미등록코드"))</f>
        <v/>
      </c>
      <c r="E2420" s="32" t="n"/>
      <c r="F2420" s="38" t="n"/>
      <c r="G2420" s="38" t="n"/>
      <c r="H2420" s="39" t="n"/>
      <c r="I2420" s="40" t="str">
        <f>IF(OR($J2420="",$K2420=""),"",ROUND(MAX(0,($K2420-$J2420)-IF($H2420="",0,$H2420))/60,2))</f>
        <v/>
      </c>
      <c r="J2420" s="41" t="str">
        <f>IF($F2420="","",IF($F2420&lt;1,ROUND($F2420*1440,0),INT($F2420/100)*60+MOD($F2420,100)))</f>
        <v/>
      </c>
      <c r="K2420" s="41" t="str">
        <f>IF($G2420="","",IF($G2420&lt;1,ROUND($G2420*1440,0),INT($G2420/100)*60+MOD($G2420,100)))</f>
        <v/>
      </c>
    </row>
    <row r="2421" ht="15" customHeight="1" s="26">
      <c r="A2421" s="34" t="n"/>
      <c r="B2421" s="32" t="n"/>
      <c r="C2421" s="33" t="n"/>
      <c r="D2421" s="37" t="str">
        <f>IF($C2421="","",IFERROR(INDEX(프로젝트목록!$B$3:$B$62,MATCH($C2421,프로젝트목록!$A$3:$A$62,0)),"미등록코드"))</f>
        <v/>
      </c>
      <c r="E2421" s="32" t="n"/>
      <c r="F2421" s="38" t="n"/>
      <c r="G2421" s="38" t="n"/>
      <c r="H2421" s="39" t="n"/>
      <c r="I2421" s="40" t="str">
        <f>IF(OR($J2421="",$K2421=""),"",ROUND(MAX(0,($K2421-$J2421)-IF($H2421="",0,$H2421))/60,2))</f>
        <v/>
      </c>
      <c r="J2421" s="41" t="str">
        <f>IF($F2421="","",IF($F2421&lt;1,ROUND($F2421*1440,0),INT($F2421/100)*60+MOD($F2421,100)))</f>
        <v/>
      </c>
      <c r="K2421" s="41" t="str">
        <f>IF($G2421="","",IF($G2421&lt;1,ROUND($G2421*1440,0),INT($G2421/100)*60+MOD($G2421,100)))</f>
        <v/>
      </c>
    </row>
    <row r="2422" ht="15" customHeight="1" s="26">
      <c r="A2422" s="34" t="n"/>
      <c r="B2422" s="32" t="n"/>
      <c r="C2422" s="33" t="n"/>
      <c r="D2422" s="37" t="str">
        <f>IF($C2422="","",IFERROR(INDEX(프로젝트목록!$B$3:$B$62,MATCH($C2422,프로젝트목록!$A$3:$A$62,0)),"미등록코드"))</f>
        <v/>
      </c>
      <c r="E2422" s="32" t="n"/>
      <c r="F2422" s="38" t="n"/>
      <c r="G2422" s="38" t="n"/>
      <c r="H2422" s="39" t="n"/>
      <c r="I2422" s="40" t="str">
        <f>IF(OR($J2422="",$K2422=""),"",ROUND(MAX(0,($K2422-$J2422)-IF($H2422="",0,$H2422))/60,2))</f>
        <v/>
      </c>
      <c r="J2422" s="41" t="str">
        <f>IF($F2422="","",IF($F2422&lt;1,ROUND($F2422*1440,0),INT($F2422/100)*60+MOD($F2422,100)))</f>
        <v/>
      </c>
      <c r="K2422" s="41" t="str">
        <f>IF($G2422="","",IF($G2422&lt;1,ROUND($G2422*1440,0),INT($G2422/100)*60+MOD($G2422,100)))</f>
        <v/>
      </c>
    </row>
    <row r="2423" ht="15" customHeight="1" s="26">
      <c r="A2423" s="34" t="n"/>
      <c r="B2423" s="32" t="n"/>
      <c r="C2423" s="33" t="n"/>
      <c r="D2423" s="37" t="str">
        <f>IF($C2423="","",IFERROR(INDEX(프로젝트목록!$B$3:$B$62,MATCH($C2423,프로젝트목록!$A$3:$A$62,0)),"미등록코드"))</f>
        <v/>
      </c>
      <c r="E2423" s="32" t="n"/>
      <c r="F2423" s="38" t="n"/>
      <c r="G2423" s="38" t="n"/>
      <c r="H2423" s="39" t="n"/>
      <c r="I2423" s="40" t="str">
        <f>IF(OR($J2423="",$K2423=""),"",ROUND(MAX(0,($K2423-$J2423)-IF($H2423="",0,$H2423))/60,2))</f>
        <v/>
      </c>
      <c r="J2423" s="41" t="str">
        <f>IF($F2423="","",IF($F2423&lt;1,ROUND($F2423*1440,0),INT($F2423/100)*60+MOD($F2423,100)))</f>
        <v/>
      </c>
      <c r="K2423" s="41" t="str">
        <f>IF($G2423="","",IF($G2423&lt;1,ROUND($G2423*1440,0),INT($G2423/100)*60+MOD($G2423,100)))</f>
        <v/>
      </c>
    </row>
    <row r="2424" ht="15" customHeight="1" s="26">
      <c r="A2424" s="34" t="n"/>
      <c r="B2424" s="32" t="n"/>
      <c r="C2424" s="33" t="n"/>
      <c r="D2424" s="37" t="str">
        <f>IF($C2424="","",IFERROR(INDEX(프로젝트목록!$B$3:$B$62,MATCH($C2424,프로젝트목록!$A$3:$A$62,0)),"미등록코드"))</f>
        <v/>
      </c>
      <c r="E2424" s="32" t="n"/>
      <c r="F2424" s="38" t="n"/>
      <c r="G2424" s="38" t="n"/>
      <c r="H2424" s="39" t="n"/>
      <c r="I2424" s="40" t="str">
        <f>IF(OR($J2424="",$K2424=""),"",ROUND(MAX(0,($K2424-$J2424)-IF($H2424="",0,$H2424))/60,2))</f>
        <v/>
      </c>
      <c r="J2424" s="41" t="str">
        <f>IF($F2424="","",IF($F2424&lt;1,ROUND($F2424*1440,0),INT($F2424/100)*60+MOD($F2424,100)))</f>
        <v/>
      </c>
      <c r="K2424" s="41" t="str">
        <f>IF($G2424="","",IF($G2424&lt;1,ROUND($G2424*1440,0),INT($G2424/100)*60+MOD($G2424,100)))</f>
        <v/>
      </c>
    </row>
    <row r="2425" ht="15" customHeight="1" s="26">
      <c r="A2425" s="34" t="n"/>
      <c r="B2425" s="32" t="n"/>
      <c r="C2425" s="33" t="n"/>
      <c r="D2425" s="37" t="str">
        <f>IF($C2425="","",IFERROR(INDEX(프로젝트목록!$B$3:$B$62,MATCH($C2425,프로젝트목록!$A$3:$A$62,0)),"미등록코드"))</f>
        <v/>
      </c>
      <c r="E2425" s="32" t="n"/>
      <c r="F2425" s="38" t="n"/>
      <c r="G2425" s="38" t="n"/>
      <c r="H2425" s="39" t="n"/>
      <c r="I2425" s="40" t="str">
        <f>IF(OR($J2425="",$K2425=""),"",ROUND(MAX(0,($K2425-$J2425)-IF($H2425="",0,$H2425))/60,2))</f>
        <v/>
      </c>
      <c r="J2425" s="41" t="str">
        <f>IF($F2425="","",IF($F2425&lt;1,ROUND($F2425*1440,0),INT($F2425/100)*60+MOD($F2425,100)))</f>
        <v/>
      </c>
      <c r="K2425" s="41" t="str">
        <f>IF($G2425="","",IF($G2425&lt;1,ROUND($G2425*1440,0),INT($G2425/100)*60+MOD($G2425,100)))</f>
        <v/>
      </c>
    </row>
    <row r="2426" ht="15" customHeight="1" s="26">
      <c r="A2426" s="34" t="n"/>
      <c r="B2426" s="32" t="n"/>
      <c r="C2426" s="33" t="n"/>
      <c r="D2426" s="37" t="str">
        <f>IF($C2426="","",IFERROR(INDEX(프로젝트목록!$B$3:$B$62,MATCH($C2426,프로젝트목록!$A$3:$A$62,0)),"미등록코드"))</f>
        <v/>
      </c>
      <c r="E2426" s="32" t="n"/>
      <c r="F2426" s="38" t="n"/>
      <c r="G2426" s="38" t="n"/>
      <c r="H2426" s="39" t="n"/>
      <c r="I2426" s="40" t="str">
        <f>IF(OR($J2426="",$K2426=""),"",ROUND(MAX(0,($K2426-$J2426)-IF($H2426="",0,$H2426))/60,2))</f>
        <v/>
      </c>
      <c r="J2426" s="41" t="str">
        <f>IF($F2426="","",IF($F2426&lt;1,ROUND($F2426*1440,0),INT($F2426/100)*60+MOD($F2426,100)))</f>
        <v/>
      </c>
      <c r="K2426" s="41" t="str">
        <f>IF($G2426="","",IF($G2426&lt;1,ROUND($G2426*1440,0),INT($G2426/100)*60+MOD($G2426,100)))</f>
        <v/>
      </c>
    </row>
    <row r="2427" ht="15" customHeight="1" s="26">
      <c r="A2427" s="34" t="n"/>
      <c r="B2427" s="32" t="n"/>
      <c r="C2427" s="33" t="n"/>
      <c r="D2427" s="37" t="str">
        <f>IF($C2427="","",IFERROR(INDEX(프로젝트목록!$B$3:$B$62,MATCH($C2427,프로젝트목록!$A$3:$A$62,0)),"미등록코드"))</f>
        <v/>
      </c>
      <c r="E2427" s="32" t="n"/>
      <c r="F2427" s="38" t="n"/>
      <c r="G2427" s="38" t="n"/>
      <c r="H2427" s="39" t="n"/>
      <c r="I2427" s="40" t="str">
        <f>IF(OR($J2427="",$K2427=""),"",ROUND(MAX(0,($K2427-$J2427)-IF($H2427="",0,$H2427))/60,2))</f>
        <v/>
      </c>
      <c r="J2427" s="41" t="str">
        <f>IF($F2427="","",IF($F2427&lt;1,ROUND($F2427*1440,0),INT($F2427/100)*60+MOD($F2427,100)))</f>
        <v/>
      </c>
      <c r="K2427" s="41" t="str">
        <f>IF($G2427="","",IF($G2427&lt;1,ROUND($G2427*1440,0),INT($G2427/100)*60+MOD($G2427,100)))</f>
        <v/>
      </c>
    </row>
    <row r="2428" ht="15" customHeight="1" s="26">
      <c r="A2428" s="34" t="n"/>
      <c r="B2428" s="32" t="n"/>
      <c r="C2428" s="33" t="n"/>
      <c r="D2428" s="37" t="str">
        <f>IF($C2428="","",IFERROR(INDEX(프로젝트목록!$B$3:$B$62,MATCH($C2428,프로젝트목록!$A$3:$A$62,0)),"미등록코드"))</f>
        <v/>
      </c>
      <c r="E2428" s="32" t="n"/>
      <c r="F2428" s="38" t="n"/>
      <c r="G2428" s="38" t="n"/>
      <c r="H2428" s="39" t="n"/>
      <c r="I2428" s="40" t="str">
        <f>IF(OR($J2428="",$K2428=""),"",ROUND(MAX(0,($K2428-$J2428)-IF($H2428="",0,$H2428))/60,2))</f>
        <v/>
      </c>
      <c r="J2428" s="41" t="str">
        <f>IF($F2428="","",IF($F2428&lt;1,ROUND($F2428*1440,0),INT($F2428/100)*60+MOD($F2428,100)))</f>
        <v/>
      </c>
      <c r="K2428" s="41" t="str">
        <f>IF($G2428="","",IF($G2428&lt;1,ROUND($G2428*1440,0),INT($G2428/100)*60+MOD($G2428,100)))</f>
        <v/>
      </c>
    </row>
    <row r="2429" ht="15" customHeight="1" s="26">
      <c r="A2429" s="34" t="n"/>
      <c r="B2429" s="32" t="n"/>
      <c r="C2429" s="33" t="n"/>
      <c r="D2429" s="37" t="str">
        <f>IF($C2429="","",IFERROR(INDEX(프로젝트목록!$B$3:$B$62,MATCH($C2429,프로젝트목록!$A$3:$A$62,0)),"미등록코드"))</f>
        <v/>
      </c>
      <c r="E2429" s="32" t="n"/>
      <c r="F2429" s="38" t="n"/>
      <c r="G2429" s="38" t="n"/>
      <c r="H2429" s="39" t="n"/>
      <c r="I2429" s="40" t="str">
        <f>IF(OR($J2429="",$K2429=""),"",ROUND(MAX(0,($K2429-$J2429)-IF($H2429="",0,$H2429))/60,2))</f>
        <v/>
      </c>
      <c r="J2429" s="41" t="str">
        <f>IF($F2429="","",IF($F2429&lt;1,ROUND($F2429*1440,0),INT($F2429/100)*60+MOD($F2429,100)))</f>
        <v/>
      </c>
      <c r="K2429" s="41" t="str">
        <f>IF($G2429="","",IF($G2429&lt;1,ROUND($G2429*1440,0),INT($G2429/100)*60+MOD($G2429,100)))</f>
        <v/>
      </c>
    </row>
    <row r="2430" ht="15" customHeight="1" s="26">
      <c r="A2430" s="34" t="n"/>
      <c r="B2430" s="32" t="n"/>
      <c r="C2430" s="33" t="n"/>
      <c r="D2430" s="37" t="str">
        <f>IF($C2430="","",IFERROR(INDEX(프로젝트목록!$B$3:$B$62,MATCH($C2430,프로젝트목록!$A$3:$A$62,0)),"미등록코드"))</f>
        <v/>
      </c>
      <c r="E2430" s="32" t="n"/>
      <c r="F2430" s="38" t="n"/>
      <c r="G2430" s="38" t="n"/>
      <c r="H2430" s="39" t="n"/>
      <c r="I2430" s="40" t="str">
        <f>IF(OR($J2430="",$K2430=""),"",ROUND(MAX(0,($K2430-$J2430)-IF($H2430="",0,$H2430))/60,2))</f>
        <v/>
      </c>
      <c r="J2430" s="41" t="str">
        <f>IF($F2430="","",IF($F2430&lt;1,ROUND($F2430*1440,0),INT($F2430/100)*60+MOD($F2430,100)))</f>
        <v/>
      </c>
      <c r="K2430" s="41" t="str">
        <f>IF($G2430="","",IF($G2430&lt;1,ROUND($G2430*1440,0),INT($G2430/100)*60+MOD($G2430,100)))</f>
        <v/>
      </c>
    </row>
    <row r="2431" ht="15" customHeight="1" s="26">
      <c r="A2431" s="34" t="n"/>
      <c r="B2431" s="32" t="n"/>
      <c r="C2431" s="33" t="n"/>
      <c r="D2431" s="37" t="str">
        <f>IF($C2431="","",IFERROR(INDEX(프로젝트목록!$B$3:$B$62,MATCH($C2431,프로젝트목록!$A$3:$A$62,0)),"미등록코드"))</f>
        <v/>
      </c>
      <c r="E2431" s="32" t="n"/>
      <c r="F2431" s="38" t="n"/>
      <c r="G2431" s="38" t="n"/>
      <c r="H2431" s="39" t="n"/>
      <c r="I2431" s="40" t="str">
        <f>IF(OR($J2431="",$K2431=""),"",ROUND(MAX(0,($K2431-$J2431)-IF($H2431="",0,$H2431))/60,2))</f>
        <v/>
      </c>
      <c r="J2431" s="41" t="str">
        <f>IF($F2431="","",IF($F2431&lt;1,ROUND($F2431*1440,0),INT($F2431/100)*60+MOD($F2431,100)))</f>
        <v/>
      </c>
      <c r="K2431" s="41" t="str">
        <f>IF($G2431="","",IF($G2431&lt;1,ROUND($G2431*1440,0),INT($G2431/100)*60+MOD($G2431,100)))</f>
        <v/>
      </c>
    </row>
    <row r="2432" ht="15" customHeight="1" s="26">
      <c r="A2432" s="34" t="n"/>
      <c r="B2432" s="32" t="n"/>
      <c r="C2432" s="33" t="n"/>
      <c r="D2432" s="37" t="str">
        <f>IF($C2432="","",IFERROR(INDEX(프로젝트목록!$B$3:$B$62,MATCH($C2432,프로젝트목록!$A$3:$A$62,0)),"미등록코드"))</f>
        <v/>
      </c>
      <c r="E2432" s="32" t="n"/>
      <c r="F2432" s="38" t="n"/>
      <c r="G2432" s="38" t="n"/>
      <c r="H2432" s="39" t="n"/>
      <c r="I2432" s="40" t="str">
        <f>IF(OR($J2432="",$K2432=""),"",ROUND(MAX(0,($K2432-$J2432)-IF($H2432="",0,$H2432))/60,2))</f>
        <v/>
      </c>
      <c r="J2432" s="41" t="str">
        <f>IF($F2432="","",IF($F2432&lt;1,ROUND($F2432*1440,0),INT($F2432/100)*60+MOD($F2432,100)))</f>
        <v/>
      </c>
      <c r="K2432" s="41" t="str">
        <f>IF($G2432="","",IF($G2432&lt;1,ROUND($G2432*1440,0),INT($G2432/100)*60+MOD($G2432,100)))</f>
        <v/>
      </c>
    </row>
    <row r="2433" ht="15" customHeight="1" s="26">
      <c r="A2433" s="34" t="n"/>
      <c r="B2433" s="32" t="n"/>
      <c r="C2433" s="33" t="n"/>
      <c r="D2433" s="37" t="str">
        <f>IF($C2433="","",IFERROR(INDEX(프로젝트목록!$B$3:$B$62,MATCH($C2433,프로젝트목록!$A$3:$A$62,0)),"미등록코드"))</f>
        <v/>
      </c>
      <c r="E2433" s="32" t="n"/>
      <c r="F2433" s="38" t="n"/>
      <c r="G2433" s="38" t="n"/>
      <c r="H2433" s="39" t="n"/>
      <c r="I2433" s="40" t="str">
        <f>IF(OR($J2433="",$K2433=""),"",ROUND(MAX(0,($K2433-$J2433)-IF($H2433="",0,$H2433))/60,2))</f>
        <v/>
      </c>
      <c r="J2433" s="41" t="str">
        <f>IF($F2433="","",IF($F2433&lt;1,ROUND($F2433*1440,0),INT($F2433/100)*60+MOD($F2433,100)))</f>
        <v/>
      </c>
      <c r="K2433" s="41" t="str">
        <f>IF($G2433="","",IF($G2433&lt;1,ROUND($G2433*1440,0),INT($G2433/100)*60+MOD($G2433,100)))</f>
        <v/>
      </c>
    </row>
    <row r="2434" ht="15" customHeight="1" s="26">
      <c r="A2434" s="34" t="n"/>
      <c r="B2434" s="32" t="n"/>
      <c r="C2434" s="33" t="n"/>
      <c r="D2434" s="37" t="str">
        <f>IF($C2434="","",IFERROR(INDEX(프로젝트목록!$B$3:$B$62,MATCH($C2434,프로젝트목록!$A$3:$A$62,0)),"미등록코드"))</f>
        <v/>
      </c>
      <c r="E2434" s="32" t="n"/>
      <c r="F2434" s="38" t="n"/>
      <c r="G2434" s="38" t="n"/>
      <c r="H2434" s="39" t="n"/>
      <c r="I2434" s="40" t="str">
        <f>IF(OR($J2434="",$K2434=""),"",ROUND(MAX(0,($K2434-$J2434)-IF($H2434="",0,$H2434))/60,2))</f>
        <v/>
      </c>
      <c r="J2434" s="41" t="str">
        <f>IF($F2434="","",IF($F2434&lt;1,ROUND($F2434*1440,0),INT($F2434/100)*60+MOD($F2434,100)))</f>
        <v/>
      </c>
      <c r="K2434" s="41" t="str">
        <f>IF($G2434="","",IF($G2434&lt;1,ROUND($G2434*1440,0),INT($G2434/100)*60+MOD($G2434,100)))</f>
        <v/>
      </c>
    </row>
    <row r="2435" ht="15" customHeight="1" s="26">
      <c r="A2435" s="34" t="n"/>
      <c r="B2435" s="32" t="n"/>
      <c r="C2435" s="33" t="n"/>
      <c r="D2435" s="37" t="str">
        <f>IF($C2435="","",IFERROR(INDEX(프로젝트목록!$B$3:$B$62,MATCH($C2435,프로젝트목록!$A$3:$A$62,0)),"미등록코드"))</f>
        <v/>
      </c>
      <c r="E2435" s="32" t="n"/>
      <c r="F2435" s="38" t="n"/>
      <c r="G2435" s="38" t="n"/>
      <c r="H2435" s="39" t="n"/>
      <c r="I2435" s="40" t="str">
        <f>IF(OR($J2435="",$K2435=""),"",ROUND(MAX(0,($K2435-$J2435)-IF($H2435="",0,$H2435))/60,2))</f>
        <v/>
      </c>
      <c r="J2435" s="41" t="str">
        <f>IF($F2435="","",IF($F2435&lt;1,ROUND($F2435*1440,0),INT($F2435/100)*60+MOD($F2435,100)))</f>
        <v/>
      </c>
      <c r="K2435" s="41" t="str">
        <f>IF($G2435="","",IF($G2435&lt;1,ROUND($G2435*1440,0),INT($G2435/100)*60+MOD($G2435,100)))</f>
        <v/>
      </c>
    </row>
    <row r="2436" ht="15" customHeight="1" s="26">
      <c r="A2436" s="34" t="n"/>
      <c r="B2436" s="32" t="n"/>
      <c r="C2436" s="33" t="n"/>
      <c r="D2436" s="37" t="str">
        <f>IF($C2436="","",IFERROR(INDEX(프로젝트목록!$B$3:$B$62,MATCH($C2436,프로젝트목록!$A$3:$A$62,0)),"미등록코드"))</f>
        <v/>
      </c>
      <c r="E2436" s="32" t="n"/>
      <c r="F2436" s="38" t="n"/>
      <c r="G2436" s="38" t="n"/>
      <c r="H2436" s="39" t="n"/>
      <c r="I2436" s="40" t="str">
        <f>IF(OR($J2436="",$K2436=""),"",ROUND(MAX(0,($K2436-$J2436)-IF($H2436="",0,$H2436))/60,2))</f>
        <v/>
      </c>
      <c r="J2436" s="41" t="str">
        <f>IF($F2436="","",IF($F2436&lt;1,ROUND($F2436*1440,0),INT($F2436/100)*60+MOD($F2436,100)))</f>
        <v/>
      </c>
      <c r="K2436" s="41" t="str">
        <f>IF($G2436="","",IF($G2436&lt;1,ROUND($G2436*1440,0),INT($G2436/100)*60+MOD($G2436,100)))</f>
        <v/>
      </c>
    </row>
    <row r="2437" ht="15" customHeight="1" s="26">
      <c r="A2437" s="34" t="n"/>
      <c r="B2437" s="32" t="n"/>
      <c r="C2437" s="33" t="n"/>
      <c r="D2437" s="37" t="str">
        <f>IF($C2437="","",IFERROR(INDEX(프로젝트목록!$B$3:$B$62,MATCH($C2437,프로젝트목록!$A$3:$A$62,0)),"미등록코드"))</f>
        <v/>
      </c>
      <c r="E2437" s="32" t="n"/>
      <c r="F2437" s="38" t="n"/>
      <c r="G2437" s="38" t="n"/>
      <c r="H2437" s="39" t="n"/>
      <c r="I2437" s="40" t="str">
        <f>IF(OR($J2437="",$K2437=""),"",ROUND(MAX(0,($K2437-$J2437)-IF($H2437="",0,$H2437))/60,2))</f>
        <v/>
      </c>
      <c r="J2437" s="41" t="str">
        <f>IF($F2437="","",IF($F2437&lt;1,ROUND($F2437*1440,0),INT($F2437/100)*60+MOD($F2437,100)))</f>
        <v/>
      </c>
      <c r="K2437" s="41" t="str">
        <f>IF($G2437="","",IF($G2437&lt;1,ROUND($G2437*1440,0),INT($G2437/100)*60+MOD($G2437,100)))</f>
        <v/>
      </c>
    </row>
    <row r="2438" ht="15" customHeight="1" s="26">
      <c r="A2438" s="34" t="n"/>
      <c r="B2438" s="32" t="n"/>
      <c r="C2438" s="33" t="n"/>
      <c r="D2438" s="37" t="str">
        <f>IF($C2438="","",IFERROR(INDEX(프로젝트목록!$B$3:$B$62,MATCH($C2438,프로젝트목록!$A$3:$A$62,0)),"미등록코드"))</f>
        <v/>
      </c>
      <c r="E2438" s="32" t="n"/>
      <c r="F2438" s="38" t="n"/>
      <c r="G2438" s="38" t="n"/>
      <c r="H2438" s="39" t="n"/>
      <c r="I2438" s="40" t="str">
        <f>IF(OR($J2438="",$K2438=""),"",ROUND(MAX(0,($K2438-$J2438)-IF($H2438="",0,$H2438))/60,2))</f>
        <v/>
      </c>
      <c r="J2438" s="41" t="str">
        <f>IF($F2438="","",IF($F2438&lt;1,ROUND($F2438*1440,0),INT($F2438/100)*60+MOD($F2438,100)))</f>
        <v/>
      </c>
      <c r="K2438" s="41" t="str">
        <f>IF($G2438="","",IF($G2438&lt;1,ROUND($G2438*1440,0),INT($G2438/100)*60+MOD($G2438,100)))</f>
        <v/>
      </c>
    </row>
    <row r="2439" ht="15" customHeight="1" s="26">
      <c r="A2439" s="34" t="n"/>
      <c r="B2439" s="32" t="n"/>
      <c r="C2439" s="33" t="n"/>
      <c r="D2439" s="37" t="str">
        <f>IF($C2439="","",IFERROR(INDEX(프로젝트목록!$B$3:$B$62,MATCH($C2439,프로젝트목록!$A$3:$A$62,0)),"미등록코드"))</f>
        <v/>
      </c>
      <c r="E2439" s="32" t="n"/>
      <c r="F2439" s="38" t="n"/>
      <c r="G2439" s="38" t="n"/>
      <c r="H2439" s="39" t="n"/>
      <c r="I2439" s="40" t="str">
        <f>IF(OR($J2439="",$K2439=""),"",ROUND(MAX(0,($K2439-$J2439)-IF($H2439="",0,$H2439))/60,2))</f>
        <v/>
      </c>
      <c r="J2439" s="41" t="str">
        <f>IF($F2439="","",IF($F2439&lt;1,ROUND($F2439*1440,0),INT($F2439/100)*60+MOD($F2439,100)))</f>
        <v/>
      </c>
      <c r="K2439" s="41" t="str">
        <f>IF($G2439="","",IF($G2439&lt;1,ROUND($G2439*1440,0),INT($G2439/100)*60+MOD($G2439,100)))</f>
        <v/>
      </c>
    </row>
    <row r="2440" ht="15" customHeight="1" s="26">
      <c r="A2440" s="34" t="n"/>
      <c r="B2440" s="32" t="n"/>
      <c r="C2440" s="33" t="n"/>
      <c r="D2440" s="37" t="str">
        <f>IF($C2440="","",IFERROR(INDEX(프로젝트목록!$B$3:$B$62,MATCH($C2440,프로젝트목록!$A$3:$A$62,0)),"미등록코드"))</f>
        <v/>
      </c>
      <c r="E2440" s="32" t="n"/>
      <c r="F2440" s="38" t="n"/>
      <c r="G2440" s="38" t="n"/>
      <c r="H2440" s="39" t="n"/>
      <c r="I2440" s="40" t="str">
        <f>IF(OR($J2440="",$K2440=""),"",ROUND(MAX(0,($K2440-$J2440)-IF($H2440="",0,$H2440))/60,2))</f>
        <v/>
      </c>
      <c r="J2440" s="41" t="str">
        <f>IF($F2440="","",IF($F2440&lt;1,ROUND($F2440*1440,0),INT($F2440/100)*60+MOD($F2440,100)))</f>
        <v/>
      </c>
      <c r="K2440" s="41" t="str">
        <f>IF($G2440="","",IF($G2440&lt;1,ROUND($G2440*1440,0),INT($G2440/100)*60+MOD($G2440,100)))</f>
        <v/>
      </c>
    </row>
    <row r="2441" ht="15" customHeight="1" s="26">
      <c r="A2441" s="34" t="n"/>
      <c r="B2441" s="32" t="n"/>
      <c r="C2441" s="33" t="n"/>
      <c r="D2441" s="37" t="str">
        <f>IF($C2441="","",IFERROR(INDEX(프로젝트목록!$B$3:$B$62,MATCH($C2441,프로젝트목록!$A$3:$A$62,0)),"미등록코드"))</f>
        <v/>
      </c>
      <c r="E2441" s="32" t="n"/>
      <c r="F2441" s="38" t="n"/>
      <c r="G2441" s="38" t="n"/>
      <c r="H2441" s="39" t="n"/>
      <c r="I2441" s="40" t="str">
        <f>IF(OR($J2441="",$K2441=""),"",ROUND(MAX(0,($K2441-$J2441)-IF($H2441="",0,$H2441))/60,2))</f>
        <v/>
      </c>
      <c r="J2441" s="41" t="str">
        <f>IF($F2441="","",IF($F2441&lt;1,ROUND($F2441*1440,0),INT($F2441/100)*60+MOD($F2441,100)))</f>
        <v/>
      </c>
      <c r="K2441" s="41" t="str">
        <f>IF($G2441="","",IF($G2441&lt;1,ROUND($G2441*1440,0),INT($G2441/100)*60+MOD($G2441,100)))</f>
        <v/>
      </c>
    </row>
    <row r="2442" ht="15" customHeight="1" s="26">
      <c r="A2442" s="34" t="n"/>
      <c r="B2442" s="32" t="n"/>
      <c r="C2442" s="33" t="n"/>
      <c r="D2442" s="37" t="str">
        <f>IF($C2442="","",IFERROR(INDEX(프로젝트목록!$B$3:$B$62,MATCH($C2442,프로젝트목록!$A$3:$A$62,0)),"미등록코드"))</f>
        <v/>
      </c>
      <c r="E2442" s="32" t="n"/>
      <c r="F2442" s="38" t="n"/>
      <c r="G2442" s="38" t="n"/>
      <c r="H2442" s="39" t="n"/>
      <c r="I2442" s="40" t="str">
        <f>IF(OR($J2442="",$K2442=""),"",ROUND(MAX(0,($K2442-$J2442)-IF($H2442="",0,$H2442))/60,2))</f>
        <v/>
      </c>
      <c r="J2442" s="41" t="str">
        <f>IF($F2442="","",IF($F2442&lt;1,ROUND($F2442*1440,0),INT($F2442/100)*60+MOD($F2442,100)))</f>
        <v/>
      </c>
      <c r="K2442" s="41" t="str">
        <f>IF($G2442="","",IF($G2442&lt;1,ROUND($G2442*1440,0),INT($G2442/100)*60+MOD($G2442,100)))</f>
        <v/>
      </c>
    </row>
    <row r="2443" ht="15" customHeight="1" s="26">
      <c r="A2443" s="34" t="n"/>
      <c r="B2443" s="32" t="n"/>
      <c r="C2443" s="33" t="n"/>
      <c r="D2443" s="37" t="str">
        <f>IF($C2443="","",IFERROR(INDEX(프로젝트목록!$B$3:$B$62,MATCH($C2443,프로젝트목록!$A$3:$A$62,0)),"미등록코드"))</f>
        <v/>
      </c>
      <c r="E2443" s="32" t="n"/>
      <c r="F2443" s="38" t="n"/>
      <c r="G2443" s="38" t="n"/>
      <c r="H2443" s="39" t="n"/>
      <c r="I2443" s="40" t="str">
        <f>IF(OR($J2443="",$K2443=""),"",ROUND(MAX(0,($K2443-$J2443)-IF($H2443="",0,$H2443))/60,2))</f>
        <v/>
      </c>
      <c r="J2443" s="41" t="str">
        <f>IF($F2443="","",IF($F2443&lt;1,ROUND($F2443*1440,0),INT($F2443/100)*60+MOD($F2443,100)))</f>
        <v/>
      </c>
      <c r="K2443" s="41" t="str">
        <f>IF($G2443="","",IF($G2443&lt;1,ROUND($G2443*1440,0),INT($G2443/100)*60+MOD($G2443,100)))</f>
        <v/>
      </c>
    </row>
    <row r="2444" ht="15" customHeight="1" s="26">
      <c r="A2444" s="34" t="n"/>
      <c r="B2444" s="32" t="n"/>
      <c r="C2444" s="33" t="n"/>
      <c r="D2444" s="37" t="str">
        <f>IF($C2444="","",IFERROR(INDEX(프로젝트목록!$B$3:$B$62,MATCH($C2444,프로젝트목록!$A$3:$A$62,0)),"미등록코드"))</f>
        <v/>
      </c>
      <c r="E2444" s="32" t="n"/>
      <c r="F2444" s="38" t="n"/>
      <c r="G2444" s="38" t="n"/>
      <c r="H2444" s="39" t="n"/>
      <c r="I2444" s="40" t="str">
        <f>IF(OR($J2444="",$K2444=""),"",ROUND(MAX(0,($K2444-$J2444)-IF($H2444="",0,$H2444))/60,2))</f>
        <v/>
      </c>
      <c r="J2444" s="41" t="str">
        <f>IF($F2444="","",IF($F2444&lt;1,ROUND($F2444*1440,0),INT($F2444/100)*60+MOD($F2444,100)))</f>
        <v/>
      </c>
      <c r="K2444" s="41" t="str">
        <f>IF($G2444="","",IF($G2444&lt;1,ROUND($G2444*1440,0),INT($G2444/100)*60+MOD($G2444,100)))</f>
        <v/>
      </c>
    </row>
    <row r="2445" ht="15" customHeight="1" s="26">
      <c r="A2445" s="34" t="n"/>
      <c r="B2445" s="32" t="n"/>
      <c r="C2445" s="33" t="n"/>
      <c r="D2445" s="37" t="str">
        <f>IF($C2445="","",IFERROR(INDEX(프로젝트목록!$B$3:$B$62,MATCH($C2445,프로젝트목록!$A$3:$A$62,0)),"미등록코드"))</f>
        <v/>
      </c>
      <c r="E2445" s="32" t="n"/>
      <c r="F2445" s="38" t="n"/>
      <c r="G2445" s="38" t="n"/>
      <c r="H2445" s="39" t="n"/>
      <c r="I2445" s="40" t="str">
        <f>IF(OR($J2445="",$K2445=""),"",ROUND(MAX(0,($K2445-$J2445)-IF($H2445="",0,$H2445))/60,2))</f>
        <v/>
      </c>
      <c r="J2445" s="41" t="str">
        <f>IF($F2445="","",IF($F2445&lt;1,ROUND($F2445*1440,0),INT($F2445/100)*60+MOD($F2445,100)))</f>
        <v/>
      </c>
      <c r="K2445" s="41" t="str">
        <f>IF($G2445="","",IF($G2445&lt;1,ROUND($G2445*1440,0),INT($G2445/100)*60+MOD($G2445,100)))</f>
        <v/>
      </c>
    </row>
    <row r="2446" ht="15" customHeight="1" s="26">
      <c r="A2446" s="34" t="n"/>
      <c r="B2446" s="32" t="n"/>
      <c r="C2446" s="33" t="n"/>
      <c r="D2446" s="37" t="str">
        <f>IF($C2446="","",IFERROR(INDEX(프로젝트목록!$B$3:$B$62,MATCH($C2446,프로젝트목록!$A$3:$A$62,0)),"미등록코드"))</f>
        <v/>
      </c>
      <c r="E2446" s="32" t="n"/>
      <c r="F2446" s="38" t="n"/>
      <c r="G2446" s="38" t="n"/>
      <c r="H2446" s="39" t="n"/>
      <c r="I2446" s="40" t="str">
        <f>IF(OR($J2446="",$K2446=""),"",ROUND(MAX(0,($K2446-$J2446)-IF($H2446="",0,$H2446))/60,2))</f>
        <v/>
      </c>
      <c r="J2446" s="41" t="str">
        <f>IF($F2446="","",IF($F2446&lt;1,ROUND($F2446*1440,0),INT($F2446/100)*60+MOD($F2446,100)))</f>
        <v/>
      </c>
      <c r="K2446" s="41" t="str">
        <f>IF($G2446="","",IF($G2446&lt;1,ROUND($G2446*1440,0),INT($G2446/100)*60+MOD($G2446,100)))</f>
        <v/>
      </c>
    </row>
    <row r="2447" ht="15" customHeight="1" s="26">
      <c r="A2447" s="34" t="n"/>
      <c r="B2447" s="32" t="n"/>
      <c r="C2447" s="33" t="n"/>
      <c r="D2447" s="37" t="str">
        <f>IF($C2447="","",IFERROR(INDEX(프로젝트목록!$B$3:$B$62,MATCH($C2447,프로젝트목록!$A$3:$A$62,0)),"미등록코드"))</f>
        <v/>
      </c>
      <c r="E2447" s="32" t="n"/>
      <c r="F2447" s="38" t="n"/>
      <c r="G2447" s="38" t="n"/>
      <c r="H2447" s="39" t="n"/>
      <c r="I2447" s="40" t="str">
        <f>IF(OR($J2447="",$K2447=""),"",ROUND(MAX(0,($K2447-$J2447)-IF($H2447="",0,$H2447))/60,2))</f>
        <v/>
      </c>
      <c r="J2447" s="41" t="str">
        <f>IF($F2447="","",IF($F2447&lt;1,ROUND($F2447*1440,0),INT($F2447/100)*60+MOD($F2447,100)))</f>
        <v/>
      </c>
      <c r="K2447" s="41" t="str">
        <f>IF($G2447="","",IF($G2447&lt;1,ROUND($G2447*1440,0),INT($G2447/100)*60+MOD($G2447,100)))</f>
        <v/>
      </c>
    </row>
    <row r="2448" ht="15" customHeight="1" s="26">
      <c r="A2448" s="34" t="n"/>
      <c r="B2448" s="32" t="n"/>
      <c r="C2448" s="33" t="n"/>
      <c r="D2448" s="37" t="str">
        <f>IF($C2448="","",IFERROR(INDEX(프로젝트목록!$B$3:$B$62,MATCH($C2448,프로젝트목록!$A$3:$A$62,0)),"미등록코드"))</f>
        <v/>
      </c>
      <c r="E2448" s="32" t="n"/>
      <c r="F2448" s="38" t="n"/>
      <c r="G2448" s="38" t="n"/>
      <c r="H2448" s="39" t="n"/>
      <c r="I2448" s="40" t="str">
        <f>IF(OR($J2448="",$K2448=""),"",ROUND(MAX(0,($K2448-$J2448)-IF($H2448="",0,$H2448))/60,2))</f>
        <v/>
      </c>
      <c r="J2448" s="41" t="str">
        <f>IF($F2448="","",IF($F2448&lt;1,ROUND($F2448*1440,0),INT($F2448/100)*60+MOD($F2448,100)))</f>
        <v/>
      </c>
      <c r="K2448" s="41" t="str">
        <f>IF($G2448="","",IF($G2448&lt;1,ROUND($G2448*1440,0),INT($G2448/100)*60+MOD($G2448,100)))</f>
        <v/>
      </c>
    </row>
    <row r="2449" ht="15" customHeight="1" s="26">
      <c r="A2449" s="34" t="n"/>
      <c r="B2449" s="32" t="n"/>
      <c r="C2449" s="33" t="n"/>
      <c r="D2449" s="37" t="str">
        <f>IF($C2449="","",IFERROR(INDEX(프로젝트목록!$B$3:$B$62,MATCH($C2449,프로젝트목록!$A$3:$A$62,0)),"미등록코드"))</f>
        <v/>
      </c>
      <c r="E2449" s="32" t="n"/>
      <c r="F2449" s="38" t="n"/>
      <c r="G2449" s="38" t="n"/>
      <c r="H2449" s="39" t="n"/>
      <c r="I2449" s="40" t="str">
        <f>IF(OR($J2449="",$K2449=""),"",ROUND(MAX(0,($K2449-$J2449)-IF($H2449="",0,$H2449))/60,2))</f>
        <v/>
      </c>
      <c r="J2449" s="41" t="str">
        <f>IF($F2449="","",IF($F2449&lt;1,ROUND($F2449*1440,0),INT($F2449/100)*60+MOD($F2449,100)))</f>
        <v/>
      </c>
      <c r="K2449" s="41" t="str">
        <f>IF($G2449="","",IF($G2449&lt;1,ROUND($G2449*1440,0),INT($G2449/100)*60+MOD($G2449,100)))</f>
        <v/>
      </c>
    </row>
    <row r="2450" ht="15" customHeight="1" s="26">
      <c r="A2450" s="34" t="n"/>
      <c r="B2450" s="32" t="n"/>
      <c r="C2450" s="33" t="n"/>
      <c r="D2450" s="37" t="str">
        <f>IF($C2450="","",IFERROR(INDEX(프로젝트목록!$B$3:$B$62,MATCH($C2450,프로젝트목록!$A$3:$A$62,0)),"미등록코드"))</f>
        <v/>
      </c>
      <c r="E2450" s="32" t="n"/>
      <c r="F2450" s="38" t="n"/>
      <c r="G2450" s="38" t="n"/>
      <c r="H2450" s="39" t="n"/>
      <c r="I2450" s="40" t="str">
        <f>IF(OR($J2450="",$K2450=""),"",ROUND(MAX(0,($K2450-$J2450)-IF($H2450="",0,$H2450))/60,2))</f>
        <v/>
      </c>
      <c r="J2450" s="41" t="str">
        <f>IF($F2450="","",IF($F2450&lt;1,ROUND($F2450*1440,0),INT($F2450/100)*60+MOD($F2450,100)))</f>
        <v/>
      </c>
      <c r="K2450" s="41" t="str">
        <f>IF($G2450="","",IF($G2450&lt;1,ROUND($G2450*1440,0),INT($G2450/100)*60+MOD($G2450,100)))</f>
        <v/>
      </c>
    </row>
    <row r="2451" ht="15" customHeight="1" s="26">
      <c r="A2451" s="34" t="n"/>
      <c r="B2451" s="32" t="n"/>
      <c r="C2451" s="33" t="n"/>
      <c r="D2451" s="37" t="str">
        <f>IF($C2451="","",IFERROR(INDEX(프로젝트목록!$B$3:$B$62,MATCH($C2451,프로젝트목록!$A$3:$A$62,0)),"미등록코드"))</f>
        <v/>
      </c>
      <c r="E2451" s="32" t="n"/>
      <c r="F2451" s="38" t="n"/>
      <c r="G2451" s="38" t="n"/>
      <c r="H2451" s="39" t="n"/>
      <c r="I2451" s="40" t="str">
        <f>IF(OR($J2451="",$K2451=""),"",ROUND(MAX(0,($K2451-$J2451)-IF($H2451="",0,$H2451))/60,2))</f>
        <v/>
      </c>
      <c r="J2451" s="41" t="str">
        <f>IF($F2451="","",IF($F2451&lt;1,ROUND($F2451*1440,0),INT($F2451/100)*60+MOD($F2451,100)))</f>
        <v/>
      </c>
      <c r="K2451" s="41" t="str">
        <f>IF($G2451="","",IF($G2451&lt;1,ROUND($G2451*1440,0),INT($G2451/100)*60+MOD($G2451,100)))</f>
        <v/>
      </c>
    </row>
    <row r="2452" ht="15" customHeight="1" s="26">
      <c r="A2452" s="34" t="n"/>
      <c r="B2452" s="32" t="n"/>
      <c r="C2452" s="33" t="n"/>
      <c r="D2452" s="37" t="str">
        <f>IF($C2452="","",IFERROR(INDEX(프로젝트목록!$B$3:$B$62,MATCH($C2452,프로젝트목록!$A$3:$A$62,0)),"미등록코드"))</f>
        <v/>
      </c>
      <c r="E2452" s="32" t="n"/>
      <c r="F2452" s="38" t="n"/>
      <c r="G2452" s="38" t="n"/>
      <c r="H2452" s="39" t="n"/>
      <c r="I2452" s="40" t="str">
        <f>IF(OR($J2452="",$K2452=""),"",ROUND(MAX(0,($K2452-$J2452)-IF($H2452="",0,$H2452))/60,2))</f>
        <v/>
      </c>
      <c r="J2452" s="41" t="str">
        <f>IF($F2452="","",IF($F2452&lt;1,ROUND($F2452*1440,0),INT($F2452/100)*60+MOD($F2452,100)))</f>
        <v/>
      </c>
      <c r="K2452" s="41" t="str">
        <f>IF($G2452="","",IF($G2452&lt;1,ROUND($G2452*1440,0),INT($G2452/100)*60+MOD($G2452,100)))</f>
        <v/>
      </c>
    </row>
    <row r="2453" ht="15" customHeight="1" s="26">
      <c r="A2453" s="34" t="n"/>
      <c r="B2453" s="32" t="n"/>
      <c r="C2453" s="33" t="n"/>
      <c r="D2453" s="37" t="str">
        <f>IF($C2453="","",IFERROR(INDEX(프로젝트목록!$B$3:$B$62,MATCH($C2453,프로젝트목록!$A$3:$A$62,0)),"미등록코드"))</f>
        <v/>
      </c>
      <c r="E2453" s="32" t="n"/>
      <c r="F2453" s="38" t="n"/>
      <c r="G2453" s="38" t="n"/>
      <c r="H2453" s="39" t="n"/>
      <c r="I2453" s="40" t="str">
        <f>IF(OR($J2453="",$K2453=""),"",ROUND(MAX(0,($K2453-$J2453)-IF($H2453="",0,$H2453))/60,2))</f>
        <v/>
      </c>
      <c r="J2453" s="41" t="str">
        <f>IF($F2453="","",IF($F2453&lt;1,ROUND($F2453*1440,0),INT($F2453/100)*60+MOD($F2453,100)))</f>
        <v/>
      </c>
      <c r="K2453" s="41" t="str">
        <f>IF($G2453="","",IF($G2453&lt;1,ROUND($G2453*1440,0),INT($G2453/100)*60+MOD($G2453,100)))</f>
        <v/>
      </c>
    </row>
    <row r="2454" ht="15" customHeight="1" s="26">
      <c r="A2454" s="34" t="n"/>
      <c r="B2454" s="32" t="n"/>
      <c r="C2454" s="33" t="n"/>
      <c r="D2454" s="37" t="str">
        <f>IF($C2454="","",IFERROR(INDEX(프로젝트목록!$B$3:$B$62,MATCH($C2454,프로젝트목록!$A$3:$A$62,0)),"미등록코드"))</f>
        <v/>
      </c>
      <c r="E2454" s="32" t="n"/>
      <c r="F2454" s="38" t="n"/>
      <c r="G2454" s="38" t="n"/>
      <c r="H2454" s="39" t="n"/>
      <c r="I2454" s="40" t="str">
        <f>IF(OR($J2454="",$K2454=""),"",ROUND(MAX(0,($K2454-$J2454)-IF($H2454="",0,$H2454))/60,2))</f>
        <v/>
      </c>
      <c r="J2454" s="41" t="str">
        <f>IF($F2454="","",IF($F2454&lt;1,ROUND($F2454*1440,0),INT($F2454/100)*60+MOD($F2454,100)))</f>
        <v/>
      </c>
      <c r="K2454" s="41" t="str">
        <f>IF($G2454="","",IF($G2454&lt;1,ROUND($G2454*1440,0),INT($G2454/100)*60+MOD($G2454,100)))</f>
        <v/>
      </c>
    </row>
    <row r="2455" ht="15" customHeight="1" s="26">
      <c r="A2455" s="34" t="n"/>
      <c r="B2455" s="32" t="n"/>
      <c r="C2455" s="33" t="n"/>
      <c r="D2455" s="37" t="str">
        <f>IF($C2455="","",IFERROR(INDEX(프로젝트목록!$B$3:$B$62,MATCH($C2455,프로젝트목록!$A$3:$A$62,0)),"미등록코드"))</f>
        <v/>
      </c>
      <c r="E2455" s="32" t="n"/>
      <c r="F2455" s="38" t="n"/>
      <c r="G2455" s="38" t="n"/>
      <c r="H2455" s="39" t="n"/>
      <c r="I2455" s="40" t="str">
        <f>IF(OR($J2455="",$K2455=""),"",ROUND(MAX(0,($K2455-$J2455)-IF($H2455="",0,$H2455))/60,2))</f>
        <v/>
      </c>
      <c r="J2455" s="41" t="str">
        <f>IF($F2455="","",IF($F2455&lt;1,ROUND($F2455*1440,0),INT($F2455/100)*60+MOD($F2455,100)))</f>
        <v/>
      </c>
      <c r="K2455" s="41" t="str">
        <f>IF($G2455="","",IF($G2455&lt;1,ROUND($G2455*1440,0),INT($G2455/100)*60+MOD($G2455,100)))</f>
        <v/>
      </c>
    </row>
    <row r="2456" ht="15" customHeight="1" s="26">
      <c r="A2456" s="34" t="n"/>
      <c r="B2456" s="32" t="n"/>
      <c r="C2456" s="33" t="n"/>
      <c r="D2456" s="37" t="str">
        <f>IF($C2456="","",IFERROR(INDEX(프로젝트목록!$B$3:$B$62,MATCH($C2456,프로젝트목록!$A$3:$A$62,0)),"미등록코드"))</f>
        <v/>
      </c>
      <c r="E2456" s="32" t="n"/>
      <c r="F2456" s="38" t="n"/>
      <c r="G2456" s="38" t="n"/>
      <c r="H2456" s="39" t="n"/>
      <c r="I2456" s="40" t="str">
        <f>IF(OR($J2456="",$K2456=""),"",ROUND(MAX(0,($K2456-$J2456)-IF($H2456="",0,$H2456))/60,2))</f>
        <v/>
      </c>
      <c r="J2456" s="41" t="str">
        <f>IF($F2456="","",IF($F2456&lt;1,ROUND($F2456*1440,0),INT($F2456/100)*60+MOD($F2456,100)))</f>
        <v/>
      </c>
      <c r="K2456" s="41" t="str">
        <f>IF($G2456="","",IF($G2456&lt;1,ROUND($G2456*1440,0),INT($G2456/100)*60+MOD($G2456,100)))</f>
        <v/>
      </c>
    </row>
    <row r="2457" ht="15" customHeight="1" s="26">
      <c r="A2457" s="34" t="n"/>
      <c r="B2457" s="32" t="n"/>
      <c r="C2457" s="33" t="n"/>
      <c r="D2457" s="37" t="str">
        <f>IF($C2457="","",IFERROR(INDEX(프로젝트목록!$B$3:$B$62,MATCH($C2457,프로젝트목록!$A$3:$A$62,0)),"미등록코드"))</f>
        <v/>
      </c>
      <c r="E2457" s="32" t="n"/>
      <c r="F2457" s="38" t="n"/>
      <c r="G2457" s="38" t="n"/>
      <c r="H2457" s="39" t="n"/>
      <c r="I2457" s="40" t="str">
        <f>IF(OR($J2457="",$K2457=""),"",ROUND(MAX(0,($K2457-$J2457)-IF($H2457="",0,$H2457))/60,2))</f>
        <v/>
      </c>
      <c r="J2457" s="41" t="str">
        <f>IF($F2457="","",IF($F2457&lt;1,ROUND($F2457*1440,0),INT($F2457/100)*60+MOD($F2457,100)))</f>
        <v/>
      </c>
      <c r="K2457" s="41" t="str">
        <f>IF($G2457="","",IF($G2457&lt;1,ROUND($G2457*1440,0),INT($G2457/100)*60+MOD($G2457,100)))</f>
        <v/>
      </c>
    </row>
    <row r="2458" ht="15" customHeight="1" s="26">
      <c r="A2458" s="34" t="n"/>
      <c r="B2458" s="32" t="n"/>
      <c r="C2458" s="33" t="n"/>
      <c r="D2458" s="37" t="str">
        <f>IF($C2458="","",IFERROR(INDEX(프로젝트목록!$B$3:$B$62,MATCH($C2458,프로젝트목록!$A$3:$A$62,0)),"미등록코드"))</f>
        <v/>
      </c>
      <c r="E2458" s="32" t="n"/>
      <c r="F2458" s="38" t="n"/>
      <c r="G2458" s="38" t="n"/>
      <c r="H2458" s="39" t="n"/>
      <c r="I2458" s="40" t="str">
        <f>IF(OR($J2458="",$K2458=""),"",ROUND(MAX(0,($K2458-$J2458)-IF($H2458="",0,$H2458))/60,2))</f>
        <v/>
      </c>
      <c r="J2458" s="41" t="str">
        <f>IF($F2458="","",IF($F2458&lt;1,ROUND($F2458*1440,0),INT($F2458/100)*60+MOD($F2458,100)))</f>
        <v/>
      </c>
      <c r="K2458" s="41" t="str">
        <f>IF($G2458="","",IF($G2458&lt;1,ROUND($G2458*1440,0),INT($G2458/100)*60+MOD($G2458,100)))</f>
        <v/>
      </c>
    </row>
    <row r="2459" ht="15" customHeight="1" s="26">
      <c r="A2459" s="34" t="n"/>
      <c r="B2459" s="32" t="n"/>
      <c r="C2459" s="33" t="n"/>
      <c r="D2459" s="37" t="str">
        <f>IF($C2459="","",IFERROR(INDEX(프로젝트목록!$B$3:$B$62,MATCH($C2459,프로젝트목록!$A$3:$A$62,0)),"미등록코드"))</f>
        <v/>
      </c>
      <c r="E2459" s="32" t="n"/>
      <c r="F2459" s="38" t="n"/>
      <c r="G2459" s="38" t="n"/>
      <c r="H2459" s="39" t="n"/>
      <c r="I2459" s="40" t="str">
        <f>IF(OR($J2459="",$K2459=""),"",ROUND(MAX(0,($K2459-$J2459)-IF($H2459="",0,$H2459))/60,2))</f>
        <v/>
      </c>
      <c r="J2459" s="41" t="str">
        <f>IF($F2459="","",IF($F2459&lt;1,ROUND($F2459*1440,0),INT($F2459/100)*60+MOD($F2459,100)))</f>
        <v/>
      </c>
      <c r="K2459" s="41" t="str">
        <f>IF($G2459="","",IF($G2459&lt;1,ROUND($G2459*1440,0),INT($G2459/100)*60+MOD($G2459,100)))</f>
        <v/>
      </c>
    </row>
    <row r="2460" ht="15" customHeight="1" s="26">
      <c r="A2460" s="34" t="n"/>
      <c r="B2460" s="32" t="n"/>
      <c r="C2460" s="33" t="n"/>
      <c r="D2460" s="37" t="str">
        <f>IF($C2460="","",IFERROR(INDEX(프로젝트목록!$B$3:$B$62,MATCH($C2460,프로젝트목록!$A$3:$A$62,0)),"미등록코드"))</f>
        <v/>
      </c>
      <c r="E2460" s="32" t="n"/>
      <c r="F2460" s="38" t="n"/>
      <c r="G2460" s="38" t="n"/>
      <c r="H2460" s="39" t="n"/>
      <c r="I2460" s="40" t="str">
        <f>IF(OR($J2460="",$K2460=""),"",ROUND(MAX(0,($K2460-$J2460)-IF($H2460="",0,$H2460))/60,2))</f>
        <v/>
      </c>
      <c r="J2460" s="41" t="str">
        <f>IF($F2460="","",IF($F2460&lt;1,ROUND($F2460*1440,0),INT($F2460/100)*60+MOD($F2460,100)))</f>
        <v/>
      </c>
      <c r="K2460" s="41" t="str">
        <f>IF($G2460="","",IF($G2460&lt;1,ROUND($G2460*1440,0),INT($G2460/100)*60+MOD($G2460,100)))</f>
        <v/>
      </c>
    </row>
    <row r="2461" ht="15" customHeight="1" s="26">
      <c r="A2461" s="34" t="n"/>
      <c r="B2461" s="32" t="n"/>
      <c r="C2461" s="33" t="n"/>
      <c r="D2461" s="37" t="str">
        <f>IF($C2461="","",IFERROR(INDEX(프로젝트목록!$B$3:$B$62,MATCH($C2461,프로젝트목록!$A$3:$A$62,0)),"미등록코드"))</f>
        <v/>
      </c>
      <c r="E2461" s="32" t="n"/>
      <c r="F2461" s="38" t="n"/>
      <c r="G2461" s="38" t="n"/>
      <c r="H2461" s="39" t="n"/>
      <c r="I2461" s="40" t="str">
        <f>IF(OR($J2461="",$K2461=""),"",ROUND(MAX(0,($K2461-$J2461)-IF($H2461="",0,$H2461))/60,2))</f>
        <v/>
      </c>
      <c r="J2461" s="41" t="str">
        <f>IF($F2461="","",IF($F2461&lt;1,ROUND($F2461*1440,0),INT($F2461/100)*60+MOD($F2461,100)))</f>
        <v/>
      </c>
      <c r="K2461" s="41" t="str">
        <f>IF($G2461="","",IF($G2461&lt;1,ROUND($G2461*1440,0),INT($G2461/100)*60+MOD($G2461,100)))</f>
        <v/>
      </c>
    </row>
    <row r="2462" ht="15" customHeight="1" s="26">
      <c r="A2462" s="34" t="n"/>
      <c r="B2462" s="32" t="n"/>
      <c r="C2462" s="33" t="n"/>
      <c r="D2462" s="37" t="str">
        <f>IF($C2462="","",IFERROR(INDEX(프로젝트목록!$B$3:$B$62,MATCH($C2462,프로젝트목록!$A$3:$A$62,0)),"미등록코드"))</f>
        <v/>
      </c>
      <c r="E2462" s="32" t="n"/>
      <c r="F2462" s="38" t="n"/>
      <c r="G2462" s="38" t="n"/>
      <c r="H2462" s="39" t="n"/>
      <c r="I2462" s="40" t="str">
        <f>IF(OR($J2462="",$K2462=""),"",ROUND(MAX(0,($K2462-$J2462)-IF($H2462="",0,$H2462))/60,2))</f>
        <v/>
      </c>
      <c r="J2462" s="41" t="str">
        <f>IF($F2462="","",IF($F2462&lt;1,ROUND($F2462*1440,0),INT($F2462/100)*60+MOD($F2462,100)))</f>
        <v/>
      </c>
      <c r="K2462" s="41" t="str">
        <f>IF($G2462="","",IF($G2462&lt;1,ROUND($G2462*1440,0),INT($G2462/100)*60+MOD($G2462,100)))</f>
        <v/>
      </c>
    </row>
    <row r="2463" ht="15" customHeight="1" s="26">
      <c r="A2463" s="34" t="n"/>
      <c r="B2463" s="32" t="n"/>
      <c r="C2463" s="33" t="n"/>
      <c r="D2463" s="37" t="str">
        <f>IF($C2463="","",IFERROR(INDEX(프로젝트목록!$B$3:$B$62,MATCH($C2463,프로젝트목록!$A$3:$A$62,0)),"미등록코드"))</f>
        <v/>
      </c>
      <c r="E2463" s="32" t="n"/>
      <c r="F2463" s="38" t="n"/>
      <c r="G2463" s="38" t="n"/>
      <c r="H2463" s="39" t="n"/>
      <c r="I2463" s="40" t="str">
        <f>IF(OR($J2463="",$K2463=""),"",ROUND(MAX(0,($K2463-$J2463)-IF($H2463="",0,$H2463))/60,2))</f>
        <v/>
      </c>
      <c r="J2463" s="41" t="str">
        <f>IF($F2463="","",IF($F2463&lt;1,ROUND($F2463*1440,0),INT($F2463/100)*60+MOD($F2463,100)))</f>
        <v/>
      </c>
      <c r="K2463" s="41" t="str">
        <f>IF($G2463="","",IF($G2463&lt;1,ROUND($G2463*1440,0),INT($G2463/100)*60+MOD($G2463,100)))</f>
        <v/>
      </c>
    </row>
    <row r="2464" ht="15" customHeight="1" s="26">
      <c r="A2464" s="34" t="n"/>
      <c r="B2464" s="32" t="n"/>
      <c r="C2464" s="33" t="n"/>
      <c r="D2464" s="37" t="str">
        <f>IF($C2464="","",IFERROR(INDEX(프로젝트목록!$B$3:$B$62,MATCH($C2464,프로젝트목록!$A$3:$A$62,0)),"미등록코드"))</f>
        <v/>
      </c>
      <c r="E2464" s="32" t="n"/>
      <c r="F2464" s="38" t="n"/>
      <c r="G2464" s="38" t="n"/>
      <c r="H2464" s="39" t="n"/>
      <c r="I2464" s="40" t="str">
        <f>IF(OR($J2464="",$K2464=""),"",ROUND(MAX(0,($K2464-$J2464)-IF($H2464="",0,$H2464))/60,2))</f>
        <v/>
      </c>
      <c r="J2464" s="41" t="str">
        <f>IF($F2464="","",IF($F2464&lt;1,ROUND($F2464*1440,0),INT($F2464/100)*60+MOD($F2464,100)))</f>
        <v/>
      </c>
      <c r="K2464" s="41" t="str">
        <f>IF($G2464="","",IF($G2464&lt;1,ROUND($G2464*1440,0),INT($G2464/100)*60+MOD($G2464,100)))</f>
        <v/>
      </c>
    </row>
    <row r="2465" ht="15" customHeight="1" s="26">
      <c r="A2465" s="34" t="n"/>
      <c r="B2465" s="32" t="n"/>
      <c r="C2465" s="33" t="n"/>
      <c r="D2465" s="37" t="str">
        <f>IF($C2465="","",IFERROR(INDEX(프로젝트목록!$B$3:$B$62,MATCH($C2465,프로젝트목록!$A$3:$A$62,0)),"미등록코드"))</f>
        <v/>
      </c>
      <c r="E2465" s="32" t="n"/>
      <c r="F2465" s="38" t="n"/>
      <c r="G2465" s="38" t="n"/>
      <c r="H2465" s="39" t="n"/>
      <c r="I2465" s="40" t="str">
        <f>IF(OR($J2465="",$K2465=""),"",ROUND(MAX(0,($K2465-$J2465)-IF($H2465="",0,$H2465))/60,2))</f>
        <v/>
      </c>
      <c r="J2465" s="41" t="str">
        <f>IF($F2465="","",IF($F2465&lt;1,ROUND($F2465*1440,0),INT($F2465/100)*60+MOD($F2465,100)))</f>
        <v/>
      </c>
      <c r="K2465" s="41" t="str">
        <f>IF($G2465="","",IF($G2465&lt;1,ROUND($G2465*1440,0),INT($G2465/100)*60+MOD($G2465,100)))</f>
        <v/>
      </c>
    </row>
    <row r="2466" ht="15" customHeight="1" s="26">
      <c r="A2466" s="34" t="n"/>
      <c r="B2466" s="32" t="n"/>
      <c r="C2466" s="33" t="n"/>
      <c r="D2466" s="37" t="str">
        <f>IF($C2466="","",IFERROR(INDEX(프로젝트목록!$B$3:$B$62,MATCH($C2466,프로젝트목록!$A$3:$A$62,0)),"미등록코드"))</f>
        <v/>
      </c>
      <c r="E2466" s="32" t="n"/>
      <c r="F2466" s="38" t="n"/>
      <c r="G2466" s="38" t="n"/>
      <c r="H2466" s="39" t="n"/>
      <c r="I2466" s="40" t="str">
        <f>IF(OR($J2466="",$K2466=""),"",ROUND(MAX(0,($K2466-$J2466)-IF($H2466="",0,$H2466))/60,2))</f>
        <v/>
      </c>
      <c r="J2466" s="41" t="str">
        <f>IF($F2466="","",IF($F2466&lt;1,ROUND($F2466*1440,0),INT($F2466/100)*60+MOD($F2466,100)))</f>
        <v/>
      </c>
      <c r="K2466" s="41" t="str">
        <f>IF($G2466="","",IF($G2466&lt;1,ROUND($G2466*1440,0),INT($G2466/100)*60+MOD($G2466,100)))</f>
        <v/>
      </c>
    </row>
    <row r="2467" ht="15" customHeight="1" s="26">
      <c r="A2467" s="34" t="n"/>
      <c r="B2467" s="32" t="n"/>
      <c r="C2467" s="33" t="n"/>
      <c r="D2467" s="37" t="str">
        <f>IF($C2467="","",IFERROR(INDEX(프로젝트목록!$B$3:$B$62,MATCH($C2467,프로젝트목록!$A$3:$A$62,0)),"미등록코드"))</f>
        <v/>
      </c>
      <c r="E2467" s="32" t="n"/>
      <c r="F2467" s="38" t="n"/>
      <c r="G2467" s="38" t="n"/>
      <c r="H2467" s="39" t="n"/>
      <c r="I2467" s="40" t="str">
        <f>IF(OR($J2467="",$K2467=""),"",ROUND(MAX(0,($K2467-$J2467)-IF($H2467="",0,$H2467))/60,2))</f>
        <v/>
      </c>
      <c r="J2467" s="41" t="str">
        <f>IF($F2467="","",IF($F2467&lt;1,ROUND($F2467*1440,0),INT($F2467/100)*60+MOD($F2467,100)))</f>
        <v/>
      </c>
      <c r="K2467" s="41" t="str">
        <f>IF($G2467="","",IF($G2467&lt;1,ROUND($G2467*1440,0),INT($G2467/100)*60+MOD($G2467,100)))</f>
        <v/>
      </c>
    </row>
    <row r="2468" ht="15" customHeight="1" s="26">
      <c r="A2468" s="34" t="n"/>
      <c r="B2468" s="32" t="n"/>
      <c r="C2468" s="33" t="n"/>
      <c r="D2468" s="37" t="str">
        <f>IF($C2468="","",IFERROR(INDEX(프로젝트목록!$B$3:$B$62,MATCH($C2468,프로젝트목록!$A$3:$A$62,0)),"미등록코드"))</f>
        <v/>
      </c>
      <c r="E2468" s="32" t="n"/>
      <c r="F2468" s="38" t="n"/>
      <c r="G2468" s="38" t="n"/>
      <c r="H2468" s="39" t="n"/>
      <c r="I2468" s="40" t="str">
        <f>IF(OR($J2468="",$K2468=""),"",ROUND(MAX(0,($K2468-$J2468)-IF($H2468="",0,$H2468))/60,2))</f>
        <v/>
      </c>
      <c r="J2468" s="41" t="str">
        <f>IF($F2468="","",IF($F2468&lt;1,ROUND($F2468*1440,0),INT($F2468/100)*60+MOD($F2468,100)))</f>
        <v/>
      </c>
      <c r="K2468" s="41" t="str">
        <f>IF($G2468="","",IF($G2468&lt;1,ROUND($G2468*1440,0),INT($G2468/100)*60+MOD($G2468,100)))</f>
        <v/>
      </c>
    </row>
    <row r="2469" ht="15" customHeight="1" s="26">
      <c r="A2469" s="34" t="n"/>
      <c r="B2469" s="32" t="n"/>
      <c r="C2469" s="33" t="n"/>
      <c r="D2469" s="37" t="str">
        <f>IF($C2469="","",IFERROR(INDEX(프로젝트목록!$B$3:$B$62,MATCH($C2469,프로젝트목록!$A$3:$A$62,0)),"미등록코드"))</f>
        <v/>
      </c>
      <c r="E2469" s="32" t="n"/>
      <c r="F2469" s="38" t="n"/>
      <c r="G2469" s="38" t="n"/>
      <c r="H2469" s="39" t="n"/>
      <c r="I2469" s="40" t="str">
        <f>IF(OR($J2469="",$K2469=""),"",ROUND(MAX(0,($K2469-$J2469)-IF($H2469="",0,$H2469))/60,2))</f>
        <v/>
      </c>
      <c r="J2469" s="41" t="str">
        <f>IF($F2469="","",IF($F2469&lt;1,ROUND($F2469*1440,0),INT($F2469/100)*60+MOD($F2469,100)))</f>
        <v/>
      </c>
      <c r="K2469" s="41" t="str">
        <f>IF($G2469="","",IF($G2469&lt;1,ROUND($G2469*1440,0),INT($G2469/100)*60+MOD($G2469,100)))</f>
        <v/>
      </c>
    </row>
    <row r="2470" ht="15" customHeight="1" s="26">
      <c r="A2470" s="34" t="n"/>
      <c r="B2470" s="32" t="n"/>
      <c r="C2470" s="33" t="n"/>
      <c r="D2470" s="37" t="str">
        <f>IF($C2470="","",IFERROR(INDEX(프로젝트목록!$B$3:$B$62,MATCH($C2470,프로젝트목록!$A$3:$A$62,0)),"미등록코드"))</f>
        <v/>
      </c>
      <c r="E2470" s="32" t="n"/>
      <c r="F2470" s="38" t="n"/>
      <c r="G2470" s="38" t="n"/>
      <c r="H2470" s="39" t="n"/>
      <c r="I2470" s="40" t="str">
        <f>IF(OR($J2470="",$K2470=""),"",ROUND(MAX(0,($K2470-$J2470)-IF($H2470="",0,$H2470))/60,2))</f>
        <v/>
      </c>
      <c r="J2470" s="41" t="str">
        <f>IF($F2470="","",IF($F2470&lt;1,ROUND($F2470*1440,0),INT($F2470/100)*60+MOD($F2470,100)))</f>
        <v/>
      </c>
      <c r="K2470" s="41" t="str">
        <f>IF($G2470="","",IF($G2470&lt;1,ROUND($G2470*1440,0),INT($G2470/100)*60+MOD($G2470,100)))</f>
        <v/>
      </c>
    </row>
    <row r="2471" ht="15" customHeight="1" s="26">
      <c r="A2471" s="34" t="n"/>
      <c r="B2471" s="32" t="n"/>
      <c r="C2471" s="33" t="n"/>
      <c r="D2471" s="37" t="str">
        <f>IF($C2471="","",IFERROR(INDEX(프로젝트목록!$B$3:$B$62,MATCH($C2471,프로젝트목록!$A$3:$A$62,0)),"미등록코드"))</f>
        <v/>
      </c>
      <c r="E2471" s="32" t="n"/>
      <c r="F2471" s="38" t="n"/>
      <c r="G2471" s="38" t="n"/>
      <c r="H2471" s="39" t="n"/>
      <c r="I2471" s="40" t="str">
        <f>IF(OR($J2471="",$K2471=""),"",ROUND(MAX(0,($K2471-$J2471)-IF($H2471="",0,$H2471))/60,2))</f>
        <v/>
      </c>
      <c r="J2471" s="41" t="str">
        <f>IF($F2471="","",IF($F2471&lt;1,ROUND($F2471*1440,0),INT($F2471/100)*60+MOD($F2471,100)))</f>
        <v/>
      </c>
      <c r="K2471" s="41" t="str">
        <f>IF($G2471="","",IF($G2471&lt;1,ROUND($G2471*1440,0),INT($G2471/100)*60+MOD($G2471,100)))</f>
        <v/>
      </c>
    </row>
    <row r="2472" ht="15" customHeight="1" s="26">
      <c r="A2472" s="34" t="n"/>
      <c r="B2472" s="32" t="n"/>
      <c r="C2472" s="33" t="n"/>
      <c r="D2472" s="37" t="str">
        <f>IF($C2472="","",IFERROR(INDEX(프로젝트목록!$B$3:$B$62,MATCH($C2472,프로젝트목록!$A$3:$A$62,0)),"미등록코드"))</f>
        <v/>
      </c>
      <c r="E2472" s="32" t="n"/>
      <c r="F2472" s="38" t="n"/>
      <c r="G2472" s="38" t="n"/>
      <c r="H2472" s="39" t="n"/>
      <c r="I2472" s="40" t="str">
        <f>IF(OR($J2472="",$K2472=""),"",ROUND(MAX(0,($K2472-$J2472)-IF($H2472="",0,$H2472))/60,2))</f>
        <v/>
      </c>
      <c r="J2472" s="41" t="str">
        <f>IF($F2472="","",IF($F2472&lt;1,ROUND($F2472*1440,0),INT($F2472/100)*60+MOD($F2472,100)))</f>
        <v/>
      </c>
      <c r="K2472" s="41" t="str">
        <f>IF($G2472="","",IF($G2472&lt;1,ROUND($G2472*1440,0),INT($G2472/100)*60+MOD($G2472,100)))</f>
        <v/>
      </c>
    </row>
    <row r="2473" ht="15" customHeight="1" s="26">
      <c r="A2473" s="34" t="n"/>
      <c r="B2473" s="32" t="n"/>
      <c r="C2473" s="33" t="n"/>
      <c r="D2473" s="37" t="str">
        <f>IF($C2473="","",IFERROR(INDEX(프로젝트목록!$B$3:$B$62,MATCH($C2473,프로젝트목록!$A$3:$A$62,0)),"미등록코드"))</f>
        <v/>
      </c>
      <c r="E2473" s="32" t="n"/>
      <c r="F2473" s="38" t="n"/>
      <c r="G2473" s="38" t="n"/>
      <c r="H2473" s="39" t="n"/>
      <c r="I2473" s="40" t="str">
        <f>IF(OR($J2473="",$K2473=""),"",ROUND(MAX(0,($K2473-$J2473)-IF($H2473="",0,$H2473))/60,2))</f>
        <v/>
      </c>
      <c r="J2473" s="41" t="str">
        <f>IF($F2473="","",IF($F2473&lt;1,ROUND($F2473*1440,0),INT($F2473/100)*60+MOD($F2473,100)))</f>
        <v/>
      </c>
      <c r="K2473" s="41" t="str">
        <f>IF($G2473="","",IF($G2473&lt;1,ROUND($G2473*1440,0),INT($G2473/100)*60+MOD($G2473,100)))</f>
        <v/>
      </c>
    </row>
    <row r="2474" ht="15" customHeight="1" s="26">
      <c r="A2474" s="34" t="n"/>
      <c r="B2474" s="32" t="n"/>
      <c r="C2474" s="33" t="n"/>
      <c r="D2474" s="37" t="str">
        <f>IF($C2474="","",IFERROR(INDEX(프로젝트목록!$B$3:$B$62,MATCH($C2474,프로젝트목록!$A$3:$A$62,0)),"미등록코드"))</f>
        <v/>
      </c>
      <c r="E2474" s="32" t="n"/>
      <c r="F2474" s="38" t="n"/>
      <c r="G2474" s="38" t="n"/>
      <c r="H2474" s="39" t="n"/>
      <c r="I2474" s="40" t="str">
        <f>IF(OR($J2474="",$K2474=""),"",ROUND(MAX(0,($K2474-$J2474)-IF($H2474="",0,$H2474))/60,2))</f>
        <v/>
      </c>
      <c r="J2474" s="41" t="str">
        <f>IF($F2474="","",IF($F2474&lt;1,ROUND($F2474*1440,0),INT($F2474/100)*60+MOD($F2474,100)))</f>
        <v/>
      </c>
      <c r="K2474" s="41" t="str">
        <f>IF($G2474="","",IF($G2474&lt;1,ROUND($G2474*1440,0),INT($G2474/100)*60+MOD($G2474,100)))</f>
        <v/>
      </c>
    </row>
    <row r="2475" ht="15" customHeight="1" s="26">
      <c r="A2475" s="34" t="n"/>
      <c r="B2475" s="32" t="n"/>
      <c r="C2475" s="33" t="n"/>
      <c r="D2475" s="37" t="str">
        <f>IF($C2475="","",IFERROR(INDEX(프로젝트목록!$B$3:$B$62,MATCH($C2475,프로젝트목록!$A$3:$A$62,0)),"미등록코드"))</f>
        <v/>
      </c>
      <c r="E2475" s="32" t="n"/>
      <c r="F2475" s="38" t="n"/>
      <c r="G2475" s="38" t="n"/>
      <c r="H2475" s="39" t="n"/>
      <c r="I2475" s="40" t="str">
        <f>IF(OR($J2475="",$K2475=""),"",ROUND(MAX(0,($K2475-$J2475)-IF($H2475="",0,$H2475))/60,2))</f>
        <v/>
      </c>
      <c r="J2475" s="41" t="str">
        <f>IF($F2475="","",IF($F2475&lt;1,ROUND($F2475*1440,0),INT($F2475/100)*60+MOD($F2475,100)))</f>
        <v/>
      </c>
      <c r="K2475" s="41" t="str">
        <f>IF($G2475="","",IF($G2475&lt;1,ROUND($G2475*1440,0),INT($G2475/100)*60+MOD($G2475,100)))</f>
        <v/>
      </c>
    </row>
    <row r="2476" ht="15" customHeight="1" s="26">
      <c r="A2476" s="34" t="n"/>
      <c r="B2476" s="32" t="n"/>
      <c r="C2476" s="33" t="n"/>
      <c r="D2476" s="37" t="str">
        <f>IF($C2476="","",IFERROR(INDEX(프로젝트목록!$B$3:$B$62,MATCH($C2476,프로젝트목록!$A$3:$A$62,0)),"미등록코드"))</f>
        <v/>
      </c>
      <c r="E2476" s="32" t="n"/>
      <c r="F2476" s="38" t="n"/>
      <c r="G2476" s="38" t="n"/>
      <c r="H2476" s="39" t="n"/>
      <c r="I2476" s="40" t="str">
        <f>IF(OR($J2476="",$K2476=""),"",ROUND(MAX(0,($K2476-$J2476)-IF($H2476="",0,$H2476))/60,2))</f>
        <v/>
      </c>
      <c r="J2476" s="41" t="str">
        <f>IF($F2476="","",IF($F2476&lt;1,ROUND($F2476*1440,0),INT($F2476/100)*60+MOD($F2476,100)))</f>
        <v/>
      </c>
      <c r="K2476" s="41" t="str">
        <f>IF($G2476="","",IF($G2476&lt;1,ROUND($G2476*1440,0),INT($G2476/100)*60+MOD($G2476,100)))</f>
        <v/>
      </c>
    </row>
    <row r="2477" ht="15" customHeight="1" s="26">
      <c r="A2477" s="34" t="n"/>
      <c r="B2477" s="32" t="n"/>
      <c r="C2477" s="33" t="n"/>
      <c r="D2477" s="37" t="str">
        <f>IF($C2477="","",IFERROR(INDEX(프로젝트목록!$B$3:$B$62,MATCH($C2477,프로젝트목록!$A$3:$A$62,0)),"미등록코드"))</f>
        <v/>
      </c>
      <c r="E2477" s="32" t="n"/>
      <c r="F2477" s="38" t="n"/>
      <c r="G2477" s="38" t="n"/>
      <c r="H2477" s="39" t="n"/>
      <c r="I2477" s="40" t="str">
        <f>IF(OR($J2477="",$K2477=""),"",ROUND(MAX(0,($K2477-$J2477)-IF($H2477="",0,$H2477))/60,2))</f>
        <v/>
      </c>
      <c r="J2477" s="41" t="str">
        <f>IF($F2477="","",IF($F2477&lt;1,ROUND($F2477*1440,0),INT($F2477/100)*60+MOD($F2477,100)))</f>
        <v/>
      </c>
      <c r="K2477" s="41" t="str">
        <f>IF($G2477="","",IF($G2477&lt;1,ROUND($G2477*1440,0),INT($G2477/100)*60+MOD($G2477,100)))</f>
        <v/>
      </c>
    </row>
    <row r="2478" ht="15" customHeight="1" s="26">
      <c r="A2478" s="34" t="n"/>
      <c r="B2478" s="32" t="n"/>
      <c r="C2478" s="33" t="n"/>
      <c r="D2478" s="37" t="str">
        <f>IF($C2478="","",IFERROR(INDEX(프로젝트목록!$B$3:$B$62,MATCH($C2478,프로젝트목록!$A$3:$A$62,0)),"미등록코드"))</f>
        <v/>
      </c>
      <c r="E2478" s="32" t="n"/>
      <c r="F2478" s="38" t="n"/>
      <c r="G2478" s="38" t="n"/>
      <c r="H2478" s="39" t="n"/>
      <c r="I2478" s="40" t="str">
        <f>IF(OR($J2478="",$K2478=""),"",ROUND(MAX(0,($K2478-$J2478)-IF($H2478="",0,$H2478))/60,2))</f>
        <v/>
      </c>
      <c r="J2478" s="41" t="str">
        <f>IF($F2478="","",IF($F2478&lt;1,ROUND($F2478*1440,0),INT($F2478/100)*60+MOD($F2478,100)))</f>
        <v/>
      </c>
      <c r="K2478" s="41" t="str">
        <f>IF($G2478="","",IF($G2478&lt;1,ROUND($G2478*1440,0),INT($G2478/100)*60+MOD($G2478,100)))</f>
        <v/>
      </c>
    </row>
    <row r="2479" ht="15" customHeight="1" s="26">
      <c r="A2479" s="34" t="n"/>
      <c r="B2479" s="32" t="n"/>
      <c r="C2479" s="33" t="n"/>
      <c r="D2479" s="37" t="str">
        <f>IF($C2479="","",IFERROR(INDEX(프로젝트목록!$B$3:$B$62,MATCH($C2479,프로젝트목록!$A$3:$A$62,0)),"미등록코드"))</f>
        <v/>
      </c>
      <c r="E2479" s="32" t="n"/>
      <c r="F2479" s="38" t="n"/>
      <c r="G2479" s="38" t="n"/>
      <c r="H2479" s="39" t="n"/>
      <c r="I2479" s="40" t="str">
        <f>IF(OR($J2479="",$K2479=""),"",ROUND(MAX(0,($K2479-$J2479)-IF($H2479="",0,$H2479))/60,2))</f>
        <v/>
      </c>
      <c r="J2479" s="41" t="str">
        <f>IF($F2479="","",IF($F2479&lt;1,ROUND($F2479*1440,0),INT($F2479/100)*60+MOD($F2479,100)))</f>
        <v/>
      </c>
      <c r="K2479" s="41" t="str">
        <f>IF($G2479="","",IF($G2479&lt;1,ROUND($G2479*1440,0),INT($G2479/100)*60+MOD($G2479,100)))</f>
        <v/>
      </c>
    </row>
    <row r="2480" ht="15" customHeight="1" s="26">
      <c r="A2480" s="34" t="n"/>
      <c r="B2480" s="32" t="n"/>
      <c r="C2480" s="33" t="n"/>
      <c r="D2480" s="37" t="str">
        <f>IF($C2480="","",IFERROR(INDEX(프로젝트목록!$B$3:$B$62,MATCH($C2480,프로젝트목록!$A$3:$A$62,0)),"미등록코드"))</f>
        <v/>
      </c>
      <c r="E2480" s="32" t="n"/>
      <c r="F2480" s="38" t="n"/>
      <c r="G2480" s="38" t="n"/>
      <c r="H2480" s="39" t="n"/>
      <c r="I2480" s="40" t="str">
        <f>IF(OR($J2480="",$K2480=""),"",ROUND(MAX(0,($K2480-$J2480)-IF($H2480="",0,$H2480))/60,2))</f>
        <v/>
      </c>
      <c r="J2480" s="41" t="str">
        <f>IF($F2480="","",IF($F2480&lt;1,ROUND($F2480*1440,0),INT($F2480/100)*60+MOD($F2480,100)))</f>
        <v/>
      </c>
      <c r="K2480" s="41" t="str">
        <f>IF($G2480="","",IF($G2480&lt;1,ROUND($G2480*1440,0),INT($G2480/100)*60+MOD($G2480,100)))</f>
        <v/>
      </c>
    </row>
    <row r="2481" ht="15" customHeight="1" s="26">
      <c r="A2481" s="34" t="n"/>
      <c r="B2481" s="32" t="n"/>
      <c r="C2481" s="33" t="n"/>
      <c r="D2481" s="37" t="str">
        <f>IF($C2481="","",IFERROR(INDEX(프로젝트목록!$B$3:$B$62,MATCH($C2481,프로젝트목록!$A$3:$A$62,0)),"미등록코드"))</f>
        <v/>
      </c>
      <c r="E2481" s="32" t="n"/>
      <c r="F2481" s="38" t="n"/>
      <c r="G2481" s="38" t="n"/>
      <c r="H2481" s="39" t="n"/>
      <c r="I2481" s="40" t="str">
        <f>IF(OR($J2481="",$K2481=""),"",ROUND(MAX(0,($K2481-$J2481)-IF($H2481="",0,$H2481))/60,2))</f>
        <v/>
      </c>
      <c r="J2481" s="41" t="str">
        <f>IF($F2481="","",IF($F2481&lt;1,ROUND($F2481*1440,0),INT($F2481/100)*60+MOD($F2481,100)))</f>
        <v/>
      </c>
      <c r="K2481" s="41" t="str">
        <f>IF($G2481="","",IF($G2481&lt;1,ROUND($G2481*1440,0),INT($G2481/100)*60+MOD($G2481,100)))</f>
        <v/>
      </c>
    </row>
    <row r="2482" ht="15" customHeight="1" s="26">
      <c r="A2482" s="34" t="n"/>
      <c r="B2482" s="32" t="n"/>
      <c r="C2482" s="33" t="n"/>
      <c r="D2482" s="37" t="str">
        <f>IF($C2482="","",IFERROR(INDEX(프로젝트목록!$B$3:$B$62,MATCH($C2482,프로젝트목록!$A$3:$A$62,0)),"미등록코드"))</f>
        <v/>
      </c>
      <c r="E2482" s="32" t="n"/>
      <c r="F2482" s="38" t="n"/>
      <c r="G2482" s="38" t="n"/>
      <c r="H2482" s="39" t="n"/>
      <c r="I2482" s="40" t="str">
        <f>IF(OR($J2482="",$K2482=""),"",ROUND(MAX(0,($K2482-$J2482)-IF($H2482="",0,$H2482))/60,2))</f>
        <v/>
      </c>
      <c r="J2482" s="41" t="str">
        <f>IF($F2482="","",IF($F2482&lt;1,ROUND($F2482*1440,0),INT($F2482/100)*60+MOD($F2482,100)))</f>
        <v/>
      </c>
      <c r="K2482" s="41" t="str">
        <f>IF($G2482="","",IF($G2482&lt;1,ROUND($G2482*1440,0),INT($G2482/100)*60+MOD($G2482,100)))</f>
        <v/>
      </c>
    </row>
    <row r="2483" ht="15" customHeight="1" s="26">
      <c r="A2483" s="34" t="n"/>
      <c r="B2483" s="32" t="n"/>
      <c r="C2483" s="33" t="n"/>
      <c r="D2483" s="37" t="str">
        <f>IF($C2483="","",IFERROR(INDEX(프로젝트목록!$B$3:$B$62,MATCH($C2483,프로젝트목록!$A$3:$A$62,0)),"미등록코드"))</f>
        <v/>
      </c>
      <c r="E2483" s="32" t="n"/>
      <c r="F2483" s="38" t="n"/>
      <c r="G2483" s="38" t="n"/>
      <c r="H2483" s="39" t="n"/>
      <c r="I2483" s="40" t="str">
        <f>IF(OR($J2483="",$K2483=""),"",ROUND(MAX(0,($K2483-$J2483)-IF($H2483="",0,$H2483))/60,2))</f>
        <v/>
      </c>
      <c r="J2483" s="41" t="str">
        <f>IF($F2483="","",IF($F2483&lt;1,ROUND($F2483*1440,0),INT($F2483/100)*60+MOD($F2483,100)))</f>
        <v/>
      </c>
      <c r="K2483" s="41" t="str">
        <f>IF($G2483="","",IF($G2483&lt;1,ROUND($G2483*1440,0),INT($G2483/100)*60+MOD($G2483,100)))</f>
        <v/>
      </c>
    </row>
    <row r="2484" ht="15" customHeight="1" s="26">
      <c r="A2484" s="34" t="n"/>
      <c r="B2484" s="32" t="n"/>
      <c r="C2484" s="33" t="n"/>
      <c r="D2484" s="37" t="str">
        <f>IF($C2484="","",IFERROR(INDEX(프로젝트목록!$B$3:$B$62,MATCH($C2484,프로젝트목록!$A$3:$A$62,0)),"미등록코드"))</f>
        <v/>
      </c>
      <c r="E2484" s="32" t="n"/>
      <c r="F2484" s="38" t="n"/>
      <c r="G2484" s="38" t="n"/>
      <c r="H2484" s="39" t="n"/>
      <c r="I2484" s="40" t="str">
        <f>IF(OR($J2484="",$K2484=""),"",ROUND(MAX(0,($K2484-$J2484)-IF($H2484="",0,$H2484))/60,2))</f>
        <v/>
      </c>
      <c r="J2484" s="41" t="str">
        <f>IF($F2484="","",IF($F2484&lt;1,ROUND($F2484*1440,0),INT($F2484/100)*60+MOD($F2484,100)))</f>
        <v/>
      </c>
      <c r="K2484" s="41" t="str">
        <f>IF($G2484="","",IF($G2484&lt;1,ROUND($G2484*1440,0),INT($G2484/100)*60+MOD($G2484,100)))</f>
        <v/>
      </c>
    </row>
    <row r="2485" ht="15" customHeight="1" s="26">
      <c r="A2485" s="34" t="n"/>
      <c r="B2485" s="32" t="n"/>
      <c r="C2485" s="33" t="n"/>
      <c r="D2485" s="37" t="str">
        <f>IF($C2485="","",IFERROR(INDEX(프로젝트목록!$B$3:$B$62,MATCH($C2485,프로젝트목록!$A$3:$A$62,0)),"미등록코드"))</f>
        <v/>
      </c>
      <c r="E2485" s="32" t="n"/>
      <c r="F2485" s="38" t="n"/>
      <c r="G2485" s="38" t="n"/>
      <c r="H2485" s="39" t="n"/>
      <c r="I2485" s="40" t="str">
        <f>IF(OR($J2485="",$K2485=""),"",ROUND(MAX(0,($K2485-$J2485)-IF($H2485="",0,$H2485))/60,2))</f>
        <v/>
      </c>
      <c r="J2485" s="41" t="str">
        <f>IF($F2485="","",IF($F2485&lt;1,ROUND($F2485*1440,0),INT($F2485/100)*60+MOD($F2485,100)))</f>
        <v/>
      </c>
      <c r="K2485" s="41" t="str">
        <f>IF($G2485="","",IF($G2485&lt;1,ROUND($G2485*1440,0),INT($G2485/100)*60+MOD($G2485,100)))</f>
        <v/>
      </c>
    </row>
    <row r="2486" ht="15" customHeight="1" s="26">
      <c r="A2486" s="34" t="n"/>
      <c r="B2486" s="32" t="n"/>
      <c r="C2486" s="33" t="n"/>
      <c r="D2486" s="37" t="str">
        <f>IF($C2486="","",IFERROR(INDEX(프로젝트목록!$B$3:$B$62,MATCH($C2486,프로젝트목록!$A$3:$A$62,0)),"미등록코드"))</f>
        <v/>
      </c>
      <c r="E2486" s="32" t="n"/>
      <c r="F2486" s="38" t="n"/>
      <c r="G2486" s="38" t="n"/>
      <c r="H2486" s="39" t="n"/>
      <c r="I2486" s="40" t="str">
        <f>IF(OR($J2486="",$K2486=""),"",ROUND(MAX(0,($K2486-$J2486)-IF($H2486="",0,$H2486))/60,2))</f>
        <v/>
      </c>
      <c r="J2486" s="41" t="str">
        <f>IF($F2486="","",IF($F2486&lt;1,ROUND($F2486*1440,0),INT($F2486/100)*60+MOD($F2486,100)))</f>
        <v/>
      </c>
      <c r="K2486" s="41" t="str">
        <f>IF($G2486="","",IF($G2486&lt;1,ROUND($G2486*1440,0),INT($G2486/100)*60+MOD($G2486,100)))</f>
        <v/>
      </c>
    </row>
    <row r="2487" ht="15" customHeight="1" s="26">
      <c r="A2487" s="34" t="n"/>
      <c r="B2487" s="32" t="n"/>
      <c r="C2487" s="33" t="n"/>
      <c r="D2487" s="37" t="str">
        <f>IF($C2487="","",IFERROR(INDEX(프로젝트목록!$B$3:$B$62,MATCH($C2487,프로젝트목록!$A$3:$A$62,0)),"미등록코드"))</f>
        <v/>
      </c>
      <c r="E2487" s="32" t="n"/>
      <c r="F2487" s="38" t="n"/>
      <c r="G2487" s="38" t="n"/>
      <c r="H2487" s="39" t="n"/>
      <c r="I2487" s="40" t="str">
        <f>IF(OR($J2487="",$K2487=""),"",ROUND(MAX(0,($K2487-$J2487)-IF($H2487="",0,$H2487))/60,2))</f>
        <v/>
      </c>
      <c r="J2487" s="41" t="str">
        <f>IF($F2487="","",IF($F2487&lt;1,ROUND($F2487*1440,0),INT($F2487/100)*60+MOD($F2487,100)))</f>
        <v/>
      </c>
      <c r="K2487" s="41" t="str">
        <f>IF($G2487="","",IF($G2487&lt;1,ROUND($G2487*1440,0),INT($G2487/100)*60+MOD($G2487,100)))</f>
        <v/>
      </c>
    </row>
    <row r="2488" ht="15" customHeight="1" s="26">
      <c r="A2488" s="34" t="n"/>
      <c r="B2488" s="32" t="n"/>
      <c r="C2488" s="33" t="n"/>
      <c r="D2488" s="37" t="str">
        <f>IF($C2488="","",IFERROR(INDEX(프로젝트목록!$B$3:$B$62,MATCH($C2488,프로젝트목록!$A$3:$A$62,0)),"미등록코드"))</f>
        <v/>
      </c>
      <c r="E2488" s="32" t="n"/>
      <c r="F2488" s="38" t="n"/>
      <c r="G2488" s="38" t="n"/>
      <c r="H2488" s="39" t="n"/>
      <c r="I2488" s="40" t="str">
        <f>IF(OR($J2488="",$K2488=""),"",ROUND(MAX(0,($K2488-$J2488)-IF($H2488="",0,$H2488))/60,2))</f>
        <v/>
      </c>
      <c r="J2488" s="41" t="str">
        <f>IF($F2488="","",IF($F2488&lt;1,ROUND($F2488*1440,0),INT($F2488/100)*60+MOD($F2488,100)))</f>
        <v/>
      </c>
      <c r="K2488" s="41" t="str">
        <f>IF($G2488="","",IF($G2488&lt;1,ROUND($G2488*1440,0),INT($G2488/100)*60+MOD($G2488,100)))</f>
        <v/>
      </c>
    </row>
    <row r="2489" ht="15" customHeight="1" s="26">
      <c r="A2489" s="34" t="n"/>
      <c r="B2489" s="32" t="n"/>
      <c r="C2489" s="33" t="n"/>
      <c r="D2489" s="37" t="str">
        <f>IF($C2489="","",IFERROR(INDEX(프로젝트목록!$B$3:$B$62,MATCH($C2489,프로젝트목록!$A$3:$A$62,0)),"미등록코드"))</f>
        <v/>
      </c>
      <c r="E2489" s="32" t="n"/>
      <c r="F2489" s="38" t="n"/>
      <c r="G2489" s="38" t="n"/>
      <c r="H2489" s="39" t="n"/>
      <c r="I2489" s="40" t="str">
        <f>IF(OR($J2489="",$K2489=""),"",ROUND(MAX(0,($K2489-$J2489)-IF($H2489="",0,$H2489))/60,2))</f>
        <v/>
      </c>
      <c r="J2489" s="41" t="str">
        <f>IF($F2489="","",IF($F2489&lt;1,ROUND($F2489*1440,0),INT($F2489/100)*60+MOD($F2489,100)))</f>
        <v/>
      </c>
      <c r="K2489" s="41" t="str">
        <f>IF($G2489="","",IF($G2489&lt;1,ROUND($G2489*1440,0),INT($G2489/100)*60+MOD($G2489,100)))</f>
        <v/>
      </c>
    </row>
    <row r="2490" ht="15" customHeight="1" s="26">
      <c r="A2490" s="34" t="n"/>
      <c r="B2490" s="32" t="n"/>
      <c r="C2490" s="33" t="n"/>
      <c r="D2490" s="37" t="str">
        <f>IF($C2490="","",IFERROR(INDEX(프로젝트목록!$B$3:$B$62,MATCH($C2490,프로젝트목록!$A$3:$A$62,0)),"미등록코드"))</f>
        <v/>
      </c>
      <c r="E2490" s="32" t="n"/>
      <c r="F2490" s="38" t="n"/>
      <c r="G2490" s="38" t="n"/>
      <c r="H2490" s="39" t="n"/>
      <c r="I2490" s="40" t="str">
        <f>IF(OR($J2490="",$K2490=""),"",ROUND(MAX(0,($K2490-$J2490)-IF($H2490="",0,$H2490))/60,2))</f>
        <v/>
      </c>
      <c r="J2490" s="41" t="str">
        <f>IF($F2490="","",IF($F2490&lt;1,ROUND($F2490*1440,0),INT($F2490/100)*60+MOD($F2490,100)))</f>
        <v/>
      </c>
      <c r="K2490" s="41" t="str">
        <f>IF($G2490="","",IF($G2490&lt;1,ROUND($G2490*1440,0),INT($G2490/100)*60+MOD($G2490,100)))</f>
        <v/>
      </c>
    </row>
    <row r="2491" ht="15" customHeight="1" s="26">
      <c r="A2491" s="34" t="n"/>
      <c r="B2491" s="32" t="n"/>
      <c r="C2491" s="33" t="n"/>
      <c r="D2491" s="37" t="str">
        <f>IF($C2491="","",IFERROR(INDEX(프로젝트목록!$B$3:$B$62,MATCH($C2491,프로젝트목록!$A$3:$A$62,0)),"미등록코드"))</f>
        <v/>
      </c>
      <c r="E2491" s="32" t="n"/>
      <c r="F2491" s="38" t="n"/>
      <c r="G2491" s="38" t="n"/>
      <c r="H2491" s="39" t="n"/>
      <c r="I2491" s="40" t="str">
        <f>IF(OR($J2491="",$K2491=""),"",ROUND(MAX(0,($K2491-$J2491)-IF($H2491="",0,$H2491))/60,2))</f>
        <v/>
      </c>
      <c r="J2491" s="41" t="str">
        <f>IF($F2491="","",IF($F2491&lt;1,ROUND($F2491*1440,0),INT($F2491/100)*60+MOD($F2491,100)))</f>
        <v/>
      </c>
      <c r="K2491" s="41" t="str">
        <f>IF($G2491="","",IF($G2491&lt;1,ROUND($G2491*1440,0),INT($G2491/100)*60+MOD($G2491,100)))</f>
        <v/>
      </c>
    </row>
    <row r="2492" ht="15" customHeight="1" s="26">
      <c r="A2492" s="34" t="n"/>
      <c r="B2492" s="32" t="n"/>
      <c r="C2492" s="33" t="n"/>
      <c r="D2492" s="37" t="str">
        <f>IF($C2492="","",IFERROR(INDEX(프로젝트목록!$B$3:$B$62,MATCH($C2492,프로젝트목록!$A$3:$A$62,0)),"미등록코드"))</f>
        <v/>
      </c>
      <c r="E2492" s="32" t="n"/>
      <c r="F2492" s="38" t="n"/>
      <c r="G2492" s="38" t="n"/>
      <c r="H2492" s="39" t="n"/>
      <c r="I2492" s="40" t="str">
        <f>IF(OR($J2492="",$K2492=""),"",ROUND(MAX(0,($K2492-$J2492)-IF($H2492="",0,$H2492))/60,2))</f>
        <v/>
      </c>
      <c r="J2492" s="41" t="str">
        <f>IF($F2492="","",IF($F2492&lt;1,ROUND($F2492*1440,0),INT($F2492/100)*60+MOD($F2492,100)))</f>
        <v/>
      </c>
      <c r="K2492" s="41" t="str">
        <f>IF($G2492="","",IF($G2492&lt;1,ROUND($G2492*1440,0),INT($G2492/100)*60+MOD($G2492,100)))</f>
        <v/>
      </c>
    </row>
    <row r="2493" ht="15" customHeight="1" s="26">
      <c r="A2493" s="34" t="n"/>
      <c r="B2493" s="32" t="n"/>
      <c r="C2493" s="33" t="n"/>
      <c r="D2493" s="37" t="str">
        <f>IF($C2493="","",IFERROR(INDEX(프로젝트목록!$B$3:$B$62,MATCH($C2493,프로젝트목록!$A$3:$A$62,0)),"미등록코드"))</f>
        <v/>
      </c>
      <c r="E2493" s="32" t="n"/>
      <c r="F2493" s="38" t="n"/>
      <c r="G2493" s="38" t="n"/>
      <c r="H2493" s="39" t="n"/>
      <c r="I2493" s="40" t="str">
        <f>IF(OR($J2493="",$K2493=""),"",ROUND(MAX(0,($K2493-$J2493)-IF($H2493="",0,$H2493))/60,2))</f>
        <v/>
      </c>
      <c r="J2493" s="41" t="str">
        <f>IF($F2493="","",IF($F2493&lt;1,ROUND($F2493*1440,0),INT($F2493/100)*60+MOD($F2493,100)))</f>
        <v/>
      </c>
      <c r="K2493" s="41" t="str">
        <f>IF($G2493="","",IF($G2493&lt;1,ROUND($G2493*1440,0),INT($G2493/100)*60+MOD($G2493,100)))</f>
        <v/>
      </c>
    </row>
    <row r="2494" ht="15" customHeight="1" s="26">
      <c r="A2494" s="34" t="n"/>
      <c r="B2494" s="32" t="n"/>
      <c r="C2494" s="33" t="n"/>
      <c r="D2494" s="37" t="str">
        <f>IF($C2494="","",IFERROR(INDEX(프로젝트목록!$B$3:$B$62,MATCH($C2494,프로젝트목록!$A$3:$A$62,0)),"미등록코드"))</f>
        <v/>
      </c>
      <c r="E2494" s="32" t="n"/>
      <c r="F2494" s="38" t="n"/>
      <c r="G2494" s="38" t="n"/>
      <c r="H2494" s="39" t="n"/>
      <c r="I2494" s="40" t="str">
        <f>IF(OR($J2494="",$K2494=""),"",ROUND(MAX(0,($K2494-$J2494)-IF($H2494="",0,$H2494))/60,2))</f>
        <v/>
      </c>
      <c r="J2494" s="41" t="str">
        <f>IF($F2494="","",IF($F2494&lt;1,ROUND($F2494*1440,0),INT($F2494/100)*60+MOD($F2494,100)))</f>
        <v/>
      </c>
      <c r="K2494" s="41" t="str">
        <f>IF($G2494="","",IF($G2494&lt;1,ROUND($G2494*1440,0),INT($G2494/100)*60+MOD($G2494,100)))</f>
        <v/>
      </c>
    </row>
    <row r="2495" ht="15" customHeight="1" s="26">
      <c r="A2495" s="34" t="n"/>
      <c r="B2495" s="32" t="n"/>
      <c r="C2495" s="33" t="n"/>
      <c r="D2495" s="37" t="str">
        <f>IF($C2495="","",IFERROR(INDEX(프로젝트목록!$B$3:$B$62,MATCH($C2495,프로젝트목록!$A$3:$A$62,0)),"미등록코드"))</f>
        <v/>
      </c>
      <c r="E2495" s="32" t="n"/>
      <c r="F2495" s="38" t="n"/>
      <c r="G2495" s="38" t="n"/>
      <c r="H2495" s="39" t="n"/>
      <c r="I2495" s="40" t="str">
        <f>IF(OR($J2495="",$K2495=""),"",ROUND(MAX(0,($K2495-$J2495)-IF($H2495="",0,$H2495))/60,2))</f>
        <v/>
      </c>
      <c r="J2495" s="41" t="str">
        <f>IF($F2495="","",IF($F2495&lt;1,ROUND($F2495*1440,0),INT($F2495/100)*60+MOD($F2495,100)))</f>
        <v/>
      </c>
      <c r="K2495" s="41" t="str">
        <f>IF($G2495="","",IF($G2495&lt;1,ROUND($G2495*1440,0),INT($G2495/100)*60+MOD($G2495,100)))</f>
        <v/>
      </c>
    </row>
    <row r="2496" ht="15" customHeight="1" s="26">
      <c r="A2496" s="34" t="n"/>
      <c r="B2496" s="32" t="n"/>
      <c r="C2496" s="33" t="n"/>
      <c r="D2496" s="37" t="str">
        <f>IF($C2496="","",IFERROR(INDEX(프로젝트목록!$B$3:$B$62,MATCH($C2496,프로젝트목록!$A$3:$A$62,0)),"미등록코드"))</f>
        <v/>
      </c>
      <c r="E2496" s="32" t="n"/>
      <c r="F2496" s="38" t="n"/>
      <c r="G2496" s="38" t="n"/>
      <c r="H2496" s="39" t="n"/>
      <c r="I2496" s="40" t="str">
        <f>IF(OR($J2496="",$K2496=""),"",ROUND(MAX(0,($K2496-$J2496)-IF($H2496="",0,$H2496))/60,2))</f>
        <v/>
      </c>
      <c r="J2496" s="41" t="str">
        <f>IF($F2496="","",IF($F2496&lt;1,ROUND($F2496*1440,0),INT($F2496/100)*60+MOD($F2496,100)))</f>
        <v/>
      </c>
      <c r="K2496" s="41" t="str">
        <f>IF($G2496="","",IF($G2496&lt;1,ROUND($G2496*1440,0),INT($G2496/100)*60+MOD($G2496,100)))</f>
        <v/>
      </c>
    </row>
    <row r="2497" ht="15" customHeight="1" s="26">
      <c r="A2497" s="34" t="n"/>
      <c r="B2497" s="32" t="n"/>
      <c r="C2497" s="33" t="n"/>
      <c r="D2497" s="37" t="str">
        <f>IF($C2497="","",IFERROR(INDEX(프로젝트목록!$B$3:$B$62,MATCH($C2497,프로젝트목록!$A$3:$A$62,0)),"미등록코드"))</f>
        <v/>
      </c>
      <c r="E2497" s="32" t="n"/>
      <c r="F2497" s="38" t="n"/>
      <c r="G2497" s="38" t="n"/>
      <c r="H2497" s="39" t="n"/>
      <c r="I2497" s="40" t="str">
        <f>IF(OR($J2497="",$K2497=""),"",ROUND(MAX(0,($K2497-$J2497)-IF($H2497="",0,$H2497))/60,2))</f>
        <v/>
      </c>
      <c r="J2497" s="41" t="str">
        <f>IF($F2497="","",IF($F2497&lt;1,ROUND($F2497*1440,0),INT($F2497/100)*60+MOD($F2497,100)))</f>
        <v/>
      </c>
      <c r="K2497" s="41" t="str">
        <f>IF($G2497="","",IF($G2497&lt;1,ROUND($G2497*1440,0),INT($G2497/100)*60+MOD($G2497,100)))</f>
        <v/>
      </c>
    </row>
    <row r="2498" ht="15" customHeight="1" s="26">
      <c r="A2498" s="34" t="n"/>
      <c r="B2498" s="32" t="n"/>
      <c r="C2498" s="33" t="n"/>
      <c r="D2498" s="37" t="str">
        <f>IF($C2498="","",IFERROR(INDEX(프로젝트목록!$B$3:$B$62,MATCH($C2498,프로젝트목록!$A$3:$A$62,0)),"미등록코드"))</f>
        <v/>
      </c>
      <c r="E2498" s="32" t="n"/>
      <c r="F2498" s="38" t="n"/>
      <c r="G2498" s="38" t="n"/>
      <c r="H2498" s="39" t="n"/>
      <c r="I2498" s="40" t="str">
        <f>IF(OR($J2498="",$K2498=""),"",ROUND(MAX(0,($K2498-$J2498)-IF($H2498="",0,$H2498))/60,2))</f>
        <v/>
      </c>
      <c r="J2498" s="41" t="str">
        <f>IF($F2498="","",IF($F2498&lt;1,ROUND($F2498*1440,0),INT($F2498/100)*60+MOD($F2498,100)))</f>
        <v/>
      </c>
      <c r="K2498" s="41" t="str">
        <f>IF($G2498="","",IF($G2498&lt;1,ROUND($G2498*1440,0),INT($G2498/100)*60+MOD($G2498,100)))</f>
        <v/>
      </c>
    </row>
    <row r="2499" ht="15" customHeight="1" s="26">
      <c r="A2499" s="34" t="n"/>
      <c r="B2499" s="32" t="n"/>
      <c r="C2499" s="33" t="n"/>
      <c r="D2499" s="37" t="str">
        <f>IF($C2499="","",IFERROR(INDEX(프로젝트목록!$B$3:$B$62,MATCH($C2499,프로젝트목록!$A$3:$A$62,0)),"미등록코드"))</f>
        <v/>
      </c>
      <c r="E2499" s="32" t="n"/>
      <c r="F2499" s="38" t="n"/>
      <c r="G2499" s="38" t="n"/>
      <c r="H2499" s="39" t="n"/>
      <c r="I2499" s="40" t="str">
        <f>IF(OR($J2499="",$K2499=""),"",ROUND(MAX(0,($K2499-$J2499)-IF($H2499="",0,$H2499))/60,2))</f>
        <v/>
      </c>
      <c r="J2499" s="41" t="str">
        <f>IF($F2499="","",IF($F2499&lt;1,ROUND($F2499*1440,0),INT($F2499/100)*60+MOD($F2499,100)))</f>
        <v/>
      </c>
      <c r="K2499" s="41" t="str">
        <f>IF($G2499="","",IF($G2499&lt;1,ROUND($G2499*1440,0),INT($G2499/100)*60+MOD($G2499,100)))</f>
        <v/>
      </c>
    </row>
    <row r="2500" ht="15" customHeight="1" s="26">
      <c r="A2500" s="34" t="n"/>
      <c r="B2500" s="32" t="n"/>
      <c r="C2500" s="33" t="n"/>
      <c r="D2500" s="37" t="str">
        <f>IF($C2500="","",IFERROR(INDEX(프로젝트목록!$B$3:$B$62,MATCH($C2500,프로젝트목록!$A$3:$A$62,0)),"미등록코드"))</f>
        <v/>
      </c>
      <c r="E2500" s="32" t="n"/>
      <c r="F2500" s="38" t="n"/>
      <c r="G2500" s="38" t="n"/>
      <c r="H2500" s="39" t="n"/>
      <c r="I2500" s="40" t="str">
        <f>IF(OR($J2500="",$K2500=""),"",ROUND(MAX(0,($K2500-$J2500)-IF($H2500="",0,$H2500))/60,2))</f>
        <v/>
      </c>
      <c r="J2500" s="41" t="str">
        <f>IF($F2500="","",IF($F2500&lt;1,ROUND($F2500*1440,0),INT($F2500/100)*60+MOD($F2500,100)))</f>
        <v/>
      </c>
      <c r="K2500" s="41" t="str">
        <f>IF($G2500="","",IF($G2500&lt;1,ROUND($G2500*1440,0),INT($G2500/100)*60+MOD($G2500,100)))</f>
        <v/>
      </c>
    </row>
    <row r="2501" ht="15" customHeight="1" s="26">
      <c r="A2501" s="34" t="n"/>
      <c r="B2501" s="32" t="n"/>
      <c r="C2501" s="33" t="n"/>
      <c r="D2501" s="37" t="str">
        <f>IF($C2501="","",IFERROR(INDEX(프로젝트목록!$B$3:$B$62,MATCH($C2501,프로젝트목록!$A$3:$A$62,0)),"미등록코드"))</f>
        <v/>
      </c>
      <c r="E2501" s="32" t="n"/>
      <c r="F2501" s="38" t="n"/>
      <c r="G2501" s="38" t="n"/>
      <c r="H2501" s="39" t="n"/>
      <c r="I2501" s="40" t="str">
        <f>IF(OR($J2501="",$K2501=""),"",ROUND(MAX(0,($K2501-$J2501)-IF($H2501="",0,$H2501))/60,2))</f>
        <v/>
      </c>
      <c r="J2501" s="41" t="str">
        <f>IF($F2501="","",IF($F2501&lt;1,ROUND($F2501*1440,0),INT($F2501/100)*60+MOD($F2501,100)))</f>
        <v/>
      </c>
      <c r="K2501" s="41" t="str">
        <f>IF($G2501="","",IF($G2501&lt;1,ROUND($G2501*1440,0),INT($G2501/100)*60+MOD($G2501,100)))</f>
        <v/>
      </c>
    </row>
    <row r="2502" ht="15" customHeight="1" s="26">
      <c r="A2502" s="34" t="n"/>
      <c r="B2502" s="32" t="n"/>
      <c r="C2502" s="33" t="n"/>
      <c r="D2502" s="37" t="str">
        <f>IF($C2502="","",IFERROR(INDEX(프로젝트목록!$B$3:$B$62,MATCH($C2502,프로젝트목록!$A$3:$A$62,0)),"미등록코드"))</f>
        <v/>
      </c>
      <c r="E2502" s="32" t="n"/>
      <c r="F2502" s="38" t="n"/>
      <c r="G2502" s="38" t="n"/>
      <c r="H2502" s="39" t="n"/>
      <c r="I2502" s="40" t="str">
        <f>IF(OR($J2502="",$K2502=""),"",ROUND(MAX(0,($K2502-$J2502)-IF($H2502="",0,$H2502))/60,2))</f>
        <v/>
      </c>
      <c r="J2502" s="41" t="str">
        <f>IF($F2502="","",IF($F2502&lt;1,ROUND($F2502*1440,0),INT($F2502/100)*60+MOD($F2502,100)))</f>
        <v/>
      </c>
      <c r="K2502" s="41" t="str">
        <f>IF($G2502="","",IF($G2502&lt;1,ROUND($G2502*1440,0),INT($G2502/100)*60+MOD($G2502,100)))</f>
        <v/>
      </c>
    </row>
    <row r="2503" ht="15" customHeight="1" s="26">
      <c r="A2503" s="34" t="n"/>
      <c r="B2503" s="32" t="n"/>
      <c r="C2503" s="33" t="n"/>
      <c r="D2503" s="37" t="str">
        <f>IF($C2503="","",IFERROR(INDEX(프로젝트목록!$B$3:$B$62,MATCH($C2503,프로젝트목록!$A$3:$A$62,0)),"미등록코드"))</f>
        <v/>
      </c>
      <c r="E2503" s="32" t="n"/>
      <c r="F2503" s="38" t="n"/>
      <c r="G2503" s="38" t="n"/>
      <c r="H2503" s="39" t="n"/>
      <c r="I2503" s="40" t="str">
        <f>IF(OR($J2503="",$K2503=""),"",ROUND(MAX(0,($K2503-$J2503)-IF($H2503="",0,$H2503))/60,2))</f>
        <v/>
      </c>
      <c r="J2503" s="41" t="str">
        <f>IF($F2503="","",IF($F2503&lt;1,ROUND($F2503*1440,0),INT($F2503/100)*60+MOD($F2503,100)))</f>
        <v/>
      </c>
      <c r="K2503" s="41" t="str">
        <f>IF($G2503="","",IF($G2503&lt;1,ROUND($G2503*1440,0),INT($G2503/100)*60+MOD($G2503,100)))</f>
        <v/>
      </c>
    </row>
    <row r="2504" ht="15" customHeight="1" s="26">
      <c r="A2504" s="34" t="n"/>
      <c r="B2504" s="32" t="n"/>
      <c r="C2504" s="33" t="n"/>
      <c r="D2504" s="37" t="str">
        <f>IF($C2504="","",IFERROR(INDEX(프로젝트목록!$B$3:$B$62,MATCH($C2504,프로젝트목록!$A$3:$A$62,0)),"미등록코드"))</f>
        <v/>
      </c>
      <c r="E2504" s="32" t="n"/>
      <c r="F2504" s="38" t="n"/>
      <c r="G2504" s="38" t="n"/>
      <c r="H2504" s="39" t="n"/>
      <c r="I2504" s="40" t="str">
        <f>IF(OR($J2504="",$K2504=""),"",ROUND(MAX(0,($K2504-$J2504)-IF($H2504="",0,$H2504))/60,2))</f>
        <v/>
      </c>
      <c r="J2504" s="41" t="str">
        <f>IF($F2504="","",IF($F2504&lt;1,ROUND($F2504*1440,0),INT($F2504/100)*60+MOD($F2504,100)))</f>
        <v/>
      </c>
      <c r="K2504" s="41" t="str">
        <f>IF($G2504="","",IF($G2504&lt;1,ROUND($G2504*1440,0),INT($G2504/100)*60+MOD($G2504,100)))</f>
        <v/>
      </c>
    </row>
    <row r="2505" ht="15" customHeight="1" s="26">
      <c r="A2505" s="34" t="n"/>
      <c r="B2505" s="32" t="n"/>
      <c r="C2505" s="33" t="n"/>
      <c r="D2505" s="37" t="str">
        <f>IF($C2505="","",IFERROR(INDEX(프로젝트목록!$B$3:$B$62,MATCH($C2505,프로젝트목록!$A$3:$A$62,0)),"미등록코드"))</f>
        <v/>
      </c>
      <c r="E2505" s="32" t="n"/>
      <c r="F2505" s="38" t="n"/>
      <c r="G2505" s="38" t="n"/>
      <c r="H2505" s="39" t="n"/>
      <c r="I2505" s="40" t="str">
        <f>IF(OR($J2505="",$K2505=""),"",ROUND(MAX(0,($K2505-$J2505)-IF($H2505="",0,$H2505))/60,2))</f>
        <v/>
      </c>
      <c r="J2505" s="41" t="str">
        <f>IF($F2505="","",IF($F2505&lt;1,ROUND($F2505*1440,0),INT($F2505/100)*60+MOD($F2505,100)))</f>
        <v/>
      </c>
      <c r="K2505" s="41" t="str">
        <f>IF($G2505="","",IF($G2505&lt;1,ROUND($G2505*1440,0),INT($G2505/100)*60+MOD($G2505,100)))</f>
        <v/>
      </c>
    </row>
    <row r="2506" ht="15" customHeight="1" s="26">
      <c r="A2506" s="34" t="n"/>
      <c r="B2506" s="32" t="n"/>
      <c r="C2506" s="33" t="n"/>
      <c r="D2506" s="37" t="str">
        <f>IF($C2506="","",IFERROR(INDEX(프로젝트목록!$B$3:$B$62,MATCH($C2506,프로젝트목록!$A$3:$A$62,0)),"미등록코드"))</f>
        <v/>
      </c>
      <c r="E2506" s="32" t="n"/>
      <c r="F2506" s="38" t="n"/>
      <c r="G2506" s="38" t="n"/>
      <c r="H2506" s="39" t="n"/>
      <c r="I2506" s="40" t="str">
        <f>IF(OR($J2506="",$K2506=""),"",ROUND(MAX(0,($K2506-$J2506)-IF($H2506="",0,$H2506))/60,2))</f>
        <v/>
      </c>
      <c r="J2506" s="41" t="str">
        <f>IF($F2506="","",IF($F2506&lt;1,ROUND($F2506*1440,0),INT($F2506/100)*60+MOD($F2506,100)))</f>
        <v/>
      </c>
      <c r="K2506" s="41" t="str">
        <f>IF($G2506="","",IF($G2506&lt;1,ROUND($G2506*1440,0),INT($G2506/100)*60+MOD($G2506,100)))</f>
        <v/>
      </c>
    </row>
    <row r="2507" ht="15" customHeight="1" s="26">
      <c r="A2507" s="34" t="n"/>
      <c r="B2507" s="32" t="n"/>
      <c r="C2507" s="33" t="n"/>
      <c r="D2507" s="37" t="str">
        <f>IF($C2507="","",IFERROR(INDEX(프로젝트목록!$B$3:$B$62,MATCH($C2507,프로젝트목록!$A$3:$A$62,0)),"미등록코드"))</f>
        <v/>
      </c>
      <c r="E2507" s="32" t="n"/>
      <c r="F2507" s="38" t="n"/>
      <c r="G2507" s="38" t="n"/>
      <c r="H2507" s="39" t="n"/>
      <c r="I2507" s="40" t="str">
        <f>IF(OR($J2507="",$K2507=""),"",ROUND(MAX(0,($K2507-$J2507)-IF($H2507="",0,$H2507))/60,2))</f>
        <v/>
      </c>
      <c r="J2507" s="41" t="str">
        <f>IF($F2507="","",IF($F2507&lt;1,ROUND($F2507*1440,0),INT($F2507/100)*60+MOD($F2507,100)))</f>
        <v/>
      </c>
      <c r="K2507" s="41" t="str">
        <f>IF($G2507="","",IF($G2507&lt;1,ROUND($G2507*1440,0),INT($G2507/100)*60+MOD($G2507,100)))</f>
        <v/>
      </c>
    </row>
    <row r="2508" ht="15" customHeight="1" s="26">
      <c r="A2508" s="34" t="n"/>
      <c r="B2508" s="32" t="n"/>
      <c r="C2508" s="33" t="n"/>
      <c r="D2508" s="37" t="str">
        <f>IF($C2508="","",IFERROR(INDEX(프로젝트목록!$B$3:$B$62,MATCH($C2508,프로젝트목록!$A$3:$A$62,0)),"미등록코드"))</f>
        <v/>
      </c>
      <c r="E2508" s="32" t="n"/>
      <c r="F2508" s="38" t="n"/>
      <c r="G2508" s="38" t="n"/>
      <c r="H2508" s="39" t="n"/>
      <c r="I2508" s="40" t="str">
        <f>IF(OR($J2508="",$K2508=""),"",ROUND(MAX(0,($K2508-$J2508)-IF($H2508="",0,$H2508))/60,2))</f>
        <v/>
      </c>
      <c r="J2508" s="41" t="str">
        <f>IF($F2508="","",IF($F2508&lt;1,ROUND($F2508*1440,0),INT($F2508/100)*60+MOD($F2508,100)))</f>
        <v/>
      </c>
      <c r="K2508" s="41" t="str">
        <f>IF($G2508="","",IF($G2508&lt;1,ROUND($G2508*1440,0),INT($G2508/100)*60+MOD($G2508,100)))</f>
        <v/>
      </c>
    </row>
    <row r="2509" ht="15" customHeight="1" s="26">
      <c r="A2509" s="34" t="n"/>
      <c r="B2509" s="32" t="n"/>
      <c r="C2509" s="33" t="n"/>
      <c r="D2509" s="37" t="str">
        <f>IF($C2509="","",IFERROR(INDEX(프로젝트목록!$B$3:$B$62,MATCH($C2509,프로젝트목록!$A$3:$A$62,0)),"미등록코드"))</f>
        <v/>
      </c>
      <c r="E2509" s="32" t="n"/>
      <c r="F2509" s="38" t="n"/>
      <c r="G2509" s="38" t="n"/>
      <c r="H2509" s="39" t="n"/>
      <c r="I2509" s="40" t="str">
        <f>IF(OR($J2509="",$K2509=""),"",ROUND(MAX(0,($K2509-$J2509)-IF($H2509="",0,$H2509))/60,2))</f>
        <v/>
      </c>
      <c r="J2509" s="41" t="str">
        <f>IF($F2509="","",IF($F2509&lt;1,ROUND($F2509*1440,0),INT($F2509/100)*60+MOD($F2509,100)))</f>
        <v/>
      </c>
      <c r="K2509" s="41" t="str">
        <f>IF($G2509="","",IF($G2509&lt;1,ROUND($G2509*1440,0),INT($G2509/100)*60+MOD($G2509,100)))</f>
        <v/>
      </c>
    </row>
    <row r="2510" ht="15" customHeight="1" s="26">
      <c r="A2510" s="34" t="n"/>
      <c r="B2510" s="32" t="n"/>
      <c r="C2510" s="33" t="n"/>
      <c r="D2510" s="37" t="str">
        <f>IF($C2510="","",IFERROR(INDEX(프로젝트목록!$B$3:$B$62,MATCH($C2510,프로젝트목록!$A$3:$A$62,0)),"미등록코드"))</f>
        <v/>
      </c>
      <c r="E2510" s="32" t="n"/>
      <c r="F2510" s="38" t="n"/>
      <c r="G2510" s="38" t="n"/>
      <c r="H2510" s="39" t="n"/>
      <c r="I2510" s="40" t="str">
        <f>IF(OR($J2510="",$K2510=""),"",ROUND(MAX(0,($K2510-$J2510)-IF($H2510="",0,$H2510))/60,2))</f>
        <v/>
      </c>
      <c r="J2510" s="41" t="str">
        <f>IF($F2510="","",IF($F2510&lt;1,ROUND($F2510*1440,0),INT($F2510/100)*60+MOD($F2510,100)))</f>
        <v/>
      </c>
      <c r="K2510" s="41" t="str">
        <f>IF($G2510="","",IF($G2510&lt;1,ROUND($G2510*1440,0),INT($G2510/100)*60+MOD($G2510,100)))</f>
        <v/>
      </c>
    </row>
    <row r="2511" ht="15" customHeight="1" s="26">
      <c r="A2511" s="34" t="n"/>
      <c r="B2511" s="32" t="n"/>
      <c r="C2511" s="33" t="n"/>
      <c r="D2511" s="37" t="str">
        <f>IF($C2511="","",IFERROR(INDEX(프로젝트목록!$B$3:$B$62,MATCH($C2511,프로젝트목록!$A$3:$A$62,0)),"미등록코드"))</f>
        <v/>
      </c>
      <c r="E2511" s="32" t="n"/>
      <c r="F2511" s="38" t="n"/>
      <c r="G2511" s="38" t="n"/>
      <c r="H2511" s="39" t="n"/>
      <c r="I2511" s="40" t="str">
        <f>IF(OR($J2511="",$K2511=""),"",ROUND(MAX(0,($K2511-$J2511)-IF($H2511="",0,$H2511))/60,2))</f>
        <v/>
      </c>
      <c r="J2511" s="41" t="str">
        <f>IF($F2511="","",IF($F2511&lt;1,ROUND($F2511*1440,0),INT($F2511/100)*60+MOD($F2511,100)))</f>
        <v/>
      </c>
      <c r="K2511" s="41" t="str">
        <f>IF($G2511="","",IF($G2511&lt;1,ROUND($G2511*1440,0),INT($G2511/100)*60+MOD($G2511,100)))</f>
        <v/>
      </c>
    </row>
    <row r="2512" ht="15" customHeight="1" s="26">
      <c r="A2512" s="34" t="n"/>
      <c r="B2512" s="32" t="n"/>
      <c r="C2512" s="33" t="n"/>
      <c r="D2512" s="37" t="str">
        <f>IF($C2512="","",IFERROR(INDEX(프로젝트목록!$B$3:$B$62,MATCH($C2512,프로젝트목록!$A$3:$A$62,0)),"미등록코드"))</f>
        <v/>
      </c>
      <c r="E2512" s="32" t="n"/>
      <c r="F2512" s="38" t="n"/>
      <c r="G2512" s="38" t="n"/>
      <c r="H2512" s="39" t="n"/>
      <c r="I2512" s="40" t="str">
        <f>IF(OR($J2512="",$K2512=""),"",ROUND(MAX(0,($K2512-$J2512)-IF($H2512="",0,$H2512))/60,2))</f>
        <v/>
      </c>
      <c r="J2512" s="41" t="str">
        <f>IF($F2512="","",IF($F2512&lt;1,ROUND($F2512*1440,0),INT($F2512/100)*60+MOD($F2512,100)))</f>
        <v/>
      </c>
      <c r="K2512" s="41" t="str">
        <f>IF($G2512="","",IF($G2512&lt;1,ROUND($G2512*1440,0),INT($G2512/100)*60+MOD($G2512,100)))</f>
        <v/>
      </c>
    </row>
    <row r="2513" ht="15" customHeight="1" s="26">
      <c r="A2513" s="34" t="n"/>
      <c r="B2513" s="32" t="n"/>
      <c r="C2513" s="33" t="n"/>
      <c r="D2513" s="37" t="str">
        <f>IF($C2513="","",IFERROR(INDEX(프로젝트목록!$B$3:$B$62,MATCH($C2513,프로젝트목록!$A$3:$A$62,0)),"미등록코드"))</f>
        <v/>
      </c>
      <c r="E2513" s="32" t="n"/>
      <c r="F2513" s="38" t="n"/>
      <c r="G2513" s="38" t="n"/>
      <c r="H2513" s="39" t="n"/>
      <c r="I2513" s="40" t="str">
        <f>IF(OR($J2513="",$K2513=""),"",ROUND(MAX(0,($K2513-$J2513)-IF($H2513="",0,$H2513))/60,2))</f>
        <v/>
      </c>
      <c r="J2513" s="41" t="str">
        <f>IF($F2513="","",IF($F2513&lt;1,ROUND($F2513*1440,0),INT($F2513/100)*60+MOD($F2513,100)))</f>
        <v/>
      </c>
      <c r="K2513" s="41" t="str">
        <f>IF($G2513="","",IF($G2513&lt;1,ROUND($G2513*1440,0),INT($G2513/100)*60+MOD($G2513,100)))</f>
        <v/>
      </c>
    </row>
    <row r="2514" ht="15" customHeight="1" s="26">
      <c r="A2514" s="34" t="n"/>
      <c r="B2514" s="32" t="n"/>
      <c r="C2514" s="33" t="n"/>
      <c r="D2514" s="37" t="str">
        <f>IF($C2514="","",IFERROR(INDEX(프로젝트목록!$B$3:$B$62,MATCH($C2514,프로젝트목록!$A$3:$A$62,0)),"미등록코드"))</f>
        <v/>
      </c>
      <c r="E2514" s="32" t="n"/>
      <c r="F2514" s="38" t="n"/>
      <c r="G2514" s="38" t="n"/>
      <c r="H2514" s="39" t="n"/>
      <c r="I2514" s="40" t="str">
        <f>IF(OR($J2514="",$K2514=""),"",ROUND(MAX(0,($K2514-$J2514)-IF($H2514="",0,$H2514))/60,2))</f>
        <v/>
      </c>
      <c r="J2514" s="41" t="str">
        <f>IF($F2514="","",IF($F2514&lt;1,ROUND($F2514*1440,0),INT($F2514/100)*60+MOD($F2514,100)))</f>
        <v/>
      </c>
      <c r="K2514" s="41" t="str">
        <f>IF($G2514="","",IF($G2514&lt;1,ROUND($G2514*1440,0),INT($G2514/100)*60+MOD($G2514,100)))</f>
        <v/>
      </c>
    </row>
    <row r="2515" ht="15" customHeight="1" s="26">
      <c r="A2515" s="34" t="n"/>
      <c r="B2515" s="32" t="n"/>
      <c r="C2515" s="33" t="n"/>
      <c r="D2515" s="37" t="str">
        <f>IF($C2515="","",IFERROR(INDEX(프로젝트목록!$B$3:$B$62,MATCH($C2515,프로젝트목록!$A$3:$A$62,0)),"미등록코드"))</f>
        <v/>
      </c>
      <c r="E2515" s="32" t="n"/>
      <c r="F2515" s="38" t="n"/>
      <c r="G2515" s="38" t="n"/>
      <c r="H2515" s="39" t="n"/>
      <c r="I2515" s="40" t="str">
        <f>IF(OR($J2515="",$K2515=""),"",ROUND(MAX(0,($K2515-$J2515)-IF($H2515="",0,$H2515))/60,2))</f>
        <v/>
      </c>
      <c r="J2515" s="41" t="str">
        <f>IF($F2515="","",IF($F2515&lt;1,ROUND($F2515*1440,0),INT($F2515/100)*60+MOD($F2515,100)))</f>
        <v/>
      </c>
      <c r="K2515" s="41" t="str">
        <f>IF($G2515="","",IF($G2515&lt;1,ROUND($G2515*1440,0),INT($G2515/100)*60+MOD($G2515,100)))</f>
        <v/>
      </c>
    </row>
    <row r="2516" ht="15" customHeight="1" s="26">
      <c r="A2516" s="34" t="n"/>
      <c r="B2516" s="32" t="n"/>
      <c r="C2516" s="33" t="n"/>
      <c r="D2516" s="37" t="str">
        <f>IF($C2516="","",IFERROR(INDEX(프로젝트목록!$B$3:$B$62,MATCH($C2516,프로젝트목록!$A$3:$A$62,0)),"미등록코드"))</f>
        <v/>
      </c>
      <c r="E2516" s="32" t="n"/>
      <c r="F2516" s="38" t="n"/>
      <c r="G2516" s="38" t="n"/>
      <c r="H2516" s="39" t="n"/>
      <c r="I2516" s="40" t="str">
        <f>IF(OR($J2516="",$K2516=""),"",ROUND(MAX(0,($K2516-$J2516)-IF($H2516="",0,$H2516))/60,2))</f>
        <v/>
      </c>
      <c r="J2516" s="41" t="str">
        <f>IF($F2516="","",IF($F2516&lt;1,ROUND($F2516*1440,0),INT($F2516/100)*60+MOD($F2516,100)))</f>
        <v/>
      </c>
      <c r="K2516" s="41" t="str">
        <f>IF($G2516="","",IF($G2516&lt;1,ROUND($G2516*1440,0),INT($G2516/100)*60+MOD($G2516,100)))</f>
        <v/>
      </c>
    </row>
    <row r="2517" ht="15" customHeight="1" s="26">
      <c r="A2517" s="34" t="n"/>
      <c r="B2517" s="32" t="n"/>
      <c r="C2517" s="33" t="n"/>
      <c r="D2517" s="37" t="str">
        <f>IF($C2517="","",IFERROR(INDEX(프로젝트목록!$B$3:$B$62,MATCH($C2517,프로젝트목록!$A$3:$A$62,0)),"미등록코드"))</f>
        <v/>
      </c>
      <c r="E2517" s="32" t="n"/>
      <c r="F2517" s="38" t="n"/>
      <c r="G2517" s="38" t="n"/>
      <c r="H2517" s="39" t="n"/>
      <c r="I2517" s="40" t="str">
        <f>IF(OR($J2517="",$K2517=""),"",ROUND(MAX(0,($K2517-$J2517)-IF($H2517="",0,$H2517))/60,2))</f>
        <v/>
      </c>
      <c r="J2517" s="41" t="str">
        <f>IF($F2517="","",IF($F2517&lt;1,ROUND($F2517*1440,0),INT($F2517/100)*60+MOD($F2517,100)))</f>
        <v/>
      </c>
      <c r="K2517" s="41" t="str">
        <f>IF($G2517="","",IF($G2517&lt;1,ROUND($G2517*1440,0),INT($G2517/100)*60+MOD($G2517,100)))</f>
        <v/>
      </c>
    </row>
    <row r="2518" ht="15" customHeight="1" s="26">
      <c r="A2518" s="34" t="n"/>
      <c r="B2518" s="32" t="n"/>
      <c r="C2518" s="33" t="n"/>
      <c r="D2518" s="37" t="str">
        <f>IF($C2518="","",IFERROR(INDEX(프로젝트목록!$B$3:$B$62,MATCH($C2518,프로젝트목록!$A$3:$A$62,0)),"미등록코드"))</f>
        <v/>
      </c>
      <c r="E2518" s="32" t="n"/>
      <c r="F2518" s="38" t="n"/>
      <c r="G2518" s="38" t="n"/>
      <c r="H2518" s="39" t="n"/>
      <c r="I2518" s="40" t="str">
        <f>IF(OR($J2518="",$K2518=""),"",ROUND(MAX(0,($K2518-$J2518)-IF($H2518="",0,$H2518))/60,2))</f>
        <v/>
      </c>
      <c r="J2518" s="41" t="str">
        <f>IF($F2518="","",IF($F2518&lt;1,ROUND($F2518*1440,0),INT($F2518/100)*60+MOD($F2518,100)))</f>
        <v/>
      </c>
      <c r="K2518" s="41" t="str">
        <f>IF($G2518="","",IF($G2518&lt;1,ROUND($G2518*1440,0),INT($G2518/100)*60+MOD($G2518,100)))</f>
        <v/>
      </c>
    </row>
    <row r="2519" ht="15" customHeight="1" s="26">
      <c r="A2519" s="34" t="n"/>
      <c r="B2519" s="32" t="n"/>
      <c r="C2519" s="33" t="n"/>
      <c r="D2519" s="37" t="str">
        <f>IF($C2519="","",IFERROR(INDEX(프로젝트목록!$B$3:$B$62,MATCH($C2519,프로젝트목록!$A$3:$A$62,0)),"미등록코드"))</f>
        <v/>
      </c>
      <c r="E2519" s="32" t="n"/>
      <c r="F2519" s="38" t="n"/>
      <c r="G2519" s="38" t="n"/>
      <c r="H2519" s="39" t="n"/>
      <c r="I2519" s="40" t="str">
        <f>IF(OR($J2519="",$K2519=""),"",ROUND(MAX(0,($K2519-$J2519)-IF($H2519="",0,$H2519))/60,2))</f>
        <v/>
      </c>
      <c r="J2519" s="41" t="str">
        <f>IF($F2519="","",IF($F2519&lt;1,ROUND($F2519*1440,0),INT($F2519/100)*60+MOD($F2519,100)))</f>
        <v/>
      </c>
      <c r="K2519" s="41" t="str">
        <f>IF($G2519="","",IF($G2519&lt;1,ROUND($G2519*1440,0),INT($G2519/100)*60+MOD($G2519,100)))</f>
        <v/>
      </c>
    </row>
    <row r="2520" ht="15" customHeight="1" s="26">
      <c r="A2520" s="34" t="n"/>
      <c r="B2520" s="32" t="n"/>
      <c r="C2520" s="33" t="n"/>
      <c r="D2520" s="37" t="str">
        <f>IF($C2520="","",IFERROR(INDEX(프로젝트목록!$B$3:$B$62,MATCH($C2520,프로젝트목록!$A$3:$A$62,0)),"미등록코드"))</f>
        <v/>
      </c>
      <c r="E2520" s="32" t="n"/>
      <c r="F2520" s="38" t="n"/>
      <c r="G2520" s="38" t="n"/>
      <c r="H2520" s="39" t="n"/>
      <c r="I2520" s="40" t="str">
        <f>IF(OR($J2520="",$K2520=""),"",ROUND(MAX(0,($K2520-$J2520)-IF($H2520="",0,$H2520))/60,2))</f>
        <v/>
      </c>
      <c r="J2520" s="41" t="str">
        <f>IF($F2520="","",IF($F2520&lt;1,ROUND($F2520*1440,0),INT($F2520/100)*60+MOD($F2520,100)))</f>
        <v/>
      </c>
      <c r="K2520" s="41" t="str">
        <f>IF($G2520="","",IF($G2520&lt;1,ROUND($G2520*1440,0),INT($G2520/100)*60+MOD($G2520,100)))</f>
        <v/>
      </c>
    </row>
    <row r="2521" ht="15" customHeight="1" s="26">
      <c r="A2521" s="34" t="n"/>
      <c r="B2521" s="32" t="n"/>
      <c r="C2521" s="33" t="n"/>
      <c r="D2521" s="37" t="str">
        <f>IF($C2521="","",IFERROR(INDEX(프로젝트목록!$B$3:$B$62,MATCH($C2521,프로젝트목록!$A$3:$A$62,0)),"미등록코드"))</f>
        <v/>
      </c>
      <c r="E2521" s="32" t="n"/>
      <c r="F2521" s="38" t="n"/>
      <c r="G2521" s="38" t="n"/>
      <c r="H2521" s="39" t="n"/>
      <c r="I2521" s="40" t="str">
        <f>IF(OR($J2521="",$K2521=""),"",ROUND(MAX(0,($K2521-$J2521)-IF($H2521="",0,$H2521))/60,2))</f>
        <v/>
      </c>
      <c r="J2521" s="41" t="str">
        <f>IF($F2521="","",IF($F2521&lt;1,ROUND($F2521*1440,0),INT($F2521/100)*60+MOD($F2521,100)))</f>
        <v/>
      </c>
      <c r="K2521" s="41" t="str">
        <f>IF($G2521="","",IF($G2521&lt;1,ROUND($G2521*1440,0),INT($G2521/100)*60+MOD($G2521,100)))</f>
        <v/>
      </c>
    </row>
    <row r="2522" ht="15" customHeight="1" s="26">
      <c r="A2522" s="34" t="n"/>
      <c r="B2522" s="32" t="n"/>
      <c r="C2522" s="33" t="n"/>
      <c r="D2522" s="37" t="str">
        <f>IF($C2522="","",IFERROR(INDEX(프로젝트목록!$B$3:$B$62,MATCH($C2522,프로젝트목록!$A$3:$A$62,0)),"미등록코드"))</f>
        <v/>
      </c>
      <c r="E2522" s="32" t="n"/>
      <c r="F2522" s="38" t="n"/>
      <c r="G2522" s="38" t="n"/>
      <c r="H2522" s="39" t="n"/>
      <c r="I2522" s="40" t="str">
        <f>IF(OR($J2522="",$K2522=""),"",ROUND(MAX(0,($K2522-$J2522)-IF($H2522="",0,$H2522))/60,2))</f>
        <v/>
      </c>
      <c r="J2522" s="41" t="str">
        <f>IF($F2522="","",IF($F2522&lt;1,ROUND($F2522*1440,0),INT($F2522/100)*60+MOD($F2522,100)))</f>
        <v/>
      </c>
      <c r="K2522" s="41" t="str">
        <f>IF($G2522="","",IF($G2522&lt;1,ROUND($G2522*1440,0),INT($G2522/100)*60+MOD($G2522,100)))</f>
        <v/>
      </c>
    </row>
    <row r="2523" ht="15" customHeight="1" s="26">
      <c r="A2523" s="34" t="n"/>
      <c r="B2523" s="32" t="n"/>
      <c r="C2523" s="33" t="n"/>
      <c r="D2523" s="37" t="str">
        <f>IF($C2523="","",IFERROR(INDEX(프로젝트목록!$B$3:$B$62,MATCH($C2523,프로젝트목록!$A$3:$A$62,0)),"미등록코드"))</f>
        <v/>
      </c>
      <c r="E2523" s="32" t="n"/>
      <c r="F2523" s="38" t="n"/>
      <c r="G2523" s="38" t="n"/>
      <c r="H2523" s="39" t="n"/>
      <c r="I2523" s="40" t="str">
        <f>IF(OR($J2523="",$K2523=""),"",ROUND(MAX(0,($K2523-$J2523)-IF($H2523="",0,$H2523))/60,2))</f>
        <v/>
      </c>
      <c r="J2523" s="41" t="str">
        <f>IF($F2523="","",IF($F2523&lt;1,ROUND($F2523*1440,0),INT($F2523/100)*60+MOD($F2523,100)))</f>
        <v/>
      </c>
      <c r="K2523" s="41" t="str">
        <f>IF($G2523="","",IF($G2523&lt;1,ROUND($G2523*1440,0),INT($G2523/100)*60+MOD($G2523,100)))</f>
        <v/>
      </c>
    </row>
    <row r="2524" ht="15" customHeight="1" s="26">
      <c r="A2524" s="34" t="n"/>
      <c r="B2524" s="32" t="n"/>
      <c r="C2524" s="33" t="n"/>
      <c r="D2524" s="37" t="str">
        <f>IF($C2524="","",IFERROR(INDEX(프로젝트목록!$B$3:$B$62,MATCH($C2524,프로젝트목록!$A$3:$A$62,0)),"미등록코드"))</f>
        <v/>
      </c>
      <c r="E2524" s="32" t="n"/>
      <c r="F2524" s="38" t="n"/>
      <c r="G2524" s="38" t="n"/>
      <c r="H2524" s="39" t="n"/>
      <c r="I2524" s="40" t="str">
        <f>IF(OR($J2524="",$K2524=""),"",ROUND(MAX(0,($K2524-$J2524)-IF($H2524="",0,$H2524))/60,2))</f>
        <v/>
      </c>
      <c r="J2524" s="41" t="str">
        <f>IF($F2524="","",IF($F2524&lt;1,ROUND($F2524*1440,0),INT($F2524/100)*60+MOD($F2524,100)))</f>
        <v/>
      </c>
      <c r="K2524" s="41" t="str">
        <f>IF($G2524="","",IF($G2524&lt;1,ROUND($G2524*1440,0),INT($G2524/100)*60+MOD($G2524,100)))</f>
        <v/>
      </c>
    </row>
    <row r="2525" ht="15" customHeight="1" s="26">
      <c r="A2525" s="34" t="n"/>
      <c r="B2525" s="32" t="n"/>
      <c r="C2525" s="33" t="n"/>
      <c r="D2525" s="37" t="str">
        <f>IF($C2525="","",IFERROR(INDEX(프로젝트목록!$B$3:$B$62,MATCH($C2525,프로젝트목록!$A$3:$A$62,0)),"미등록코드"))</f>
        <v/>
      </c>
      <c r="E2525" s="32" t="n"/>
      <c r="F2525" s="38" t="n"/>
      <c r="G2525" s="38" t="n"/>
      <c r="H2525" s="39" t="n"/>
      <c r="I2525" s="40" t="str">
        <f>IF(OR($J2525="",$K2525=""),"",ROUND(MAX(0,($K2525-$J2525)-IF($H2525="",0,$H2525))/60,2))</f>
        <v/>
      </c>
      <c r="J2525" s="41" t="str">
        <f>IF($F2525="","",IF($F2525&lt;1,ROUND($F2525*1440,0),INT($F2525/100)*60+MOD($F2525,100)))</f>
        <v/>
      </c>
      <c r="K2525" s="41" t="str">
        <f>IF($G2525="","",IF($G2525&lt;1,ROUND($G2525*1440,0),INT($G2525/100)*60+MOD($G2525,100)))</f>
        <v/>
      </c>
    </row>
    <row r="2526" ht="15" customHeight="1" s="26">
      <c r="A2526" s="34" t="n"/>
      <c r="B2526" s="32" t="n"/>
      <c r="C2526" s="33" t="n"/>
      <c r="D2526" s="37" t="str">
        <f>IF($C2526="","",IFERROR(INDEX(프로젝트목록!$B$3:$B$62,MATCH($C2526,프로젝트목록!$A$3:$A$62,0)),"미등록코드"))</f>
        <v/>
      </c>
      <c r="E2526" s="32" t="n"/>
      <c r="F2526" s="38" t="n"/>
      <c r="G2526" s="38" t="n"/>
      <c r="H2526" s="39" t="n"/>
      <c r="I2526" s="40" t="str">
        <f>IF(OR($J2526="",$K2526=""),"",ROUND(MAX(0,($K2526-$J2526)-IF($H2526="",0,$H2526))/60,2))</f>
        <v/>
      </c>
      <c r="J2526" s="41" t="str">
        <f>IF($F2526="","",IF($F2526&lt;1,ROUND($F2526*1440,0),INT($F2526/100)*60+MOD($F2526,100)))</f>
        <v/>
      </c>
      <c r="K2526" s="41" t="str">
        <f>IF($G2526="","",IF($G2526&lt;1,ROUND($G2526*1440,0),INT($G2526/100)*60+MOD($G2526,100)))</f>
        <v/>
      </c>
    </row>
    <row r="2527" ht="15" customHeight="1" s="26">
      <c r="A2527" s="34" t="n"/>
      <c r="B2527" s="32" t="n"/>
      <c r="C2527" s="33" t="n"/>
      <c r="D2527" s="37" t="str">
        <f>IF($C2527="","",IFERROR(INDEX(프로젝트목록!$B$3:$B$62,MATCH($C2527,프로젝트목록!$A$3:$A$62,0)),"미등록코드"))</f>
        <v/>
      </c>
      <c r="E2527" s="32" t="n"/>
      <c r="F2527" s="38" t="n"/>
      <c r="G2527" s="38" t="n"/>
      <c r="H2527" s="39" t="n"/>
      <c r="I2527" s="40" t="str">
        <f>IF(OR($J2527="",$K2527=""),"",ROUND(MAX(0,($K2527-$J2527)-IF($H2527="",0,$H2527))/60,2))</f>
        <v/>
      </c>
      <c r="J2527" s="41" t="str">
        <f>IF($F2527="","",IF($F2527&lt;1,ROUND($F2527*1440,0),INT($F2527/100)*60+MOD($F2527,100)))</f>
        <v/>
      </c>
      <c r="K2527" s="41" t="str">
        <f>IF($G2527="","",IF($G2527&lt;1,ROUND($G2527*1440,0),INT($G2527/100)*60+MOD($G2527,100)))</f>
        <v/>
      </c>
    </row>
    <row r="2528" ht="15" customHeight="1" s="26">
      <c r="A2528" s="34" t="n"/>
      <c r="B2528" s="32" t="n"/>
      <c r="C2528" s="33" t="n"/>
      <c r="D2528" s="37" t="str">
        <f>IF($C2528="","",IFERROR(INDEX(프로젝트목록!$B$3:$B$62,MATCH($C2528,프로젝트목록!$A$3:$A$62,0)),"미등록코드"))</f>
        <v/>
      </c>
      <c r="E2528" s="32" t="n"/>
      <c r="F2528" s="38" t="n"/>
      <c r="G2528" s="38" t="n"/>
      <c r="H2528" s="39" t="n"/>
      <c r="I2528" s="40" t="str">
        <f>IF(OR($J2528="",$K2528=""),"",ROUND(MAX(0,($K2528-$J2528)-IF($H2528="",0,$H2528))/60,2))</f>
        <v/>
      </c>
      <c r="J2528" s="41" t="str">
        <f>IF($F2528="","",IF($F2528&lt;1,ROUND($F2528*1440,0),INT($F2528/100)*60+MOD($F2528,100)))</f>
        <v/>
      </c>
      <c r="K2528" s="41" t="str">
        <f>IF($G2528="","",IF($G2528&lt;1,ROUND($G2528*1440,0),INT($G2528/100)*60+MOD($G2528,100)))</f>
        <v/>
      </c>
    </row>
    <row r="2529" ht="15" customHeight="1" s="26">
      <c r="A2529" s="34" t="n"/>
      <c r="B2529" s="32" t="n"/>
      <c r="C2529" s="33" t="n"/>
      <c r="D2529" s="37" t="str">
        <f>IF($C2529="","",IFERROR(INDEX(프로젝트목록!$B$3:$B$62,MATCH($C2529,프로젝트목록!$A$3:$A$62,0)),"미등록코드"))</f>
        <v/>
      </c>
      <c r="E2529" s="32" t="n"/>
      <c r="F2529" s="38" t="n"/>
      <c r="G2529" s="38" t="n"/>
      <c r="H2529" s="39" t="n"/>
      <c r="I2529" s="40" t="str">
        <f>IF(OR($J2529="",$K2529=""),"",ROUND(MAX(0,($K2529-$J2529)-IF($H2529="",0,$H2529))/60,2))</f>
        <v/>
      </c>
      <c r="J2529" s="41" t="str">
        <f>IF($F2529="","",IF($F2529&lt;1,ROUND($F2529*1440,0),INT($F2529/100)*60+MOD($F2529,100)))</f>
        <v/>
      </c>
      <c r="K2529" s="41" t="str">
        <f>IF($G2529="","",IF($G2529&lt;1,ROUND($G2529*1440,0),INT($G2529/100)*60+MOD($G2529,100)))</f>
        <v/>
      </c>
    </row>
    <row r="2530" ht="15" customHeight="1" s="26">
      <c r="A2530" s="34" t="n"/>
      <c r="B2530" s="32" t="n"/>
      <c r="C2530" s="33" t="n"/>
      <c r="D2530" s="37" t="str">
        <f>IF($C2530="","",IFERROR(INDEX(프로젝트목록!$B$3:$B$62,MATCH($C2530,프로젝트목록!$A$3:$A$62,0)),"미등록코드"))</f>
        <v/>
      </c>
      <c r="E2530" s="32" t="n"/>
      <c r="F2530" s="38" t="n"/>
      <c r="G2530" s="38" t="n"/>
      <c r="H2530" s="39" t="n"/>
      <c r="I2530" s="40" t="str">
        <f>IF(OR($J2530="",$K2530=""),"",ROUND(MAX(0,($K2530-$J2530)-IF($H2530="",0,$H2530))/60,2))</f>
        <v/>
      </c>
      <c r="J2530" s="41" t="str">
        <f>IF($F2530="","",IF($F2530&lt;1,ROUND($F2530*1440,0),INT($F2530/100)*60+MOD($F2530,100)))</f>
        <v/>
      </c>
      <c r="K2530" s="41" t="str">
        <f>IF($G2530="","",IF($G2530&lt;1,ROUND($G2530*1440,0),INT($G2530/100)*60+MOD($G2530,100)))</f>
        <v/>
      </c>
    </row>
    <row r="2531" ht="15" customHeight="1" s="26">
      <c r="A2531" s="34" t="n"/>
      <c r="B2531" s="32" t="n"/>
      <c r="C2531" s="33" t="n"/>
      <c r="D2531" s="37" t="str">
        <f>IF($C2531="","",IFERROR(INDEX(프로젝트목록!$B$3:$B$62,MATCH($C2531,프로젝트목록!$A$3:$A$62,0)),"미등록코드"))</f>
        <v/>
      </c>
      <c r="E2531" s="32" t="n"/>
      <c r="F2531" s="38" t="n"/>
      <c r="G2531" s="38" t="n"/>
      <c r="H2531" s="39" t="n"/>
      <c r="I2531" s="40" t="str">
        <f>IF(OR($J2531="",$K2531=""),"",ROUND(MAX(0,($K2531-$J2531)-IF($H2531="",0,$H2531))/60,2))</f>
        <v/>
      </c>
      <c r="J2531" s="41" t="str">
        <f>IF($F2531="","",IF($F2531&lt;1,ROUND($F2531*1440,0),INT($F2531/100)*60+MOD($F2531,100)))</f>
        <v/>
      </c>
      <c r="K2531" s="41" t="str">
        <f>IF($G2531="","",IF($G2531&lt;1,ROUND($G2531*1440,0),INT($G2531/100)*60+MOD($G2531,100)))</f>
        <v/>
      </c>
    </row>
    <row r="2532" ht="15" customHeight="1" s="26">
      <c r="A2532" s="34" t="n"/>
      <c r="B2532" s="32" t="n"/>
      <c r="C2532" s="33" t="n"/>
      <c r="D2532" s="37" t="str">
        <f>IF($C2532="","",IFERROR(INDEX(프로젝트목록!$B$3:$B$62,MATCH($C2532,프로젝트목록!$A$3:$A$62,0)),"미등록코드"))</f>
        <v/>
      </c>
      <c r="E2532" s="32" t="n"/>
      <c r="F2532" s="38" t="n"/>
      <c r="G2532" s="38" t="n"/>
      <c r="H2532" s="39" t="n"/>
      <c r="I2532" s="40" t="str">
        <f>IF(OR($J2532="",$K2532=""),"",ROUND(MAX(0,($K2532-$J2532)-IF($H2532="",0,$H2532))/60,2))</f>
        <v/>
      </c>
      <c r="J2532" s="41" t="str">
        <f>IF($F2532="","",IF($F2532&lt;1,ROUND($F2532*1440,0),INT($F2532/100)*60+MOD($F2532,100)))</f>
        <v/>
      </c>
      <c r="K2532" s="41" t="str">
        <f>IF($G2532="","",IF($G2532&lt;1,ROUND($G2532*1440,0),INT($G2532/100)*60+MOD($G2532,100)))</f>
        <v/>
      </c>
    </row>
    <row r="2533" ht="15" customHeight="1" s="26">
      <c r="A2533" s="34" t="n"/>
      <c r="B2533" s="32" t="n"/>
      <c r="C2533" s="33" t="n"/>
      <c r="D2533" s="37" t="str">
        <f>IF($C2533="","",IFERROR(INDEX(프로젝트목록!$B$3:$B$62,MATCH($C2533,프로젝트목록!$A$3:$A$62,0)),"미등록코드"))</f>
        <v/>
      </c>
      <c r="E2533" s="32" t="n"/>
      <c r="F2533" s="38" t="n"/>
      <c r="G2533" s="38" t="n"/>
      <c r="H2533" s="39" t="n"/>
      <c r="I2533" s="40" t="str">
        <f>IF(OR($J2533="",$K2533=""),"",ROUND(MAX(0,($K2533-$J2533)-IF($H2533="",0,$H2533))/60,2))</f>
        <v/>
      </c>
      <c r="J2533" s="41" t="str">
        <f>IF($F2533="","",IF($F2533&lt;1,ROUND($F2533*1440,0),INT($F2533/100)*60+MOD($F2533,100)))</f>
        <v/>
      </c>
      <c r="K2533" s="41" t="str">
        <f>IF($G2533="","",IF($G2533&lt;1,ROUND($G2533*1440,0),INT($G2533/100)*60+MOD($G2533,100)))</f>
        <v/>
      </c>
    </row>
    <row r="2534" ht="15" customHeight="1" s="26">
      <c r="A2534" s="34" t="n"/>
      <c r="B2534" s="32" t="n"/>
      <c r="C2534" s="33" t="n"/>
      <c r="D2534" s="37" t="str">
        <f>IF($C2534="","",IFERROR(INDEX(프로젝트목록!$B$3:$B$62,MATCH($C2534,프로젝트목록!$A$3:$A$62,0)),"미등록코드"))</f>
        <v/>
      </c>
      <c r="E2534" s="32" t="n"/>
      <c r="F2534" s="38" t="n"/>
      <c r="G2534" s="38" t="n"/>
      <c r="H2534" s="39" t="n"/>
      <c r="I2534" s="40" t="str">
        <f>IF(OR($J2534="",$K2534=""),"",ROUND(MAX(0,($K2534-$J2534)-IF($H2534="",0,$H2534))/60,2))</f>
        <v/>
      </c>
      <c r="J2534" s="41" t="str">
        <f>IF($F2534="","",IF($F2534&lt;1,ROUND($F2534*1440,0),INT($F2534/100)*60+MOD($F2534,100)))</f>
        <v/>
      </c>
      <c r="K2534" s="41" t="str">
        <f>IF($G2534="","",IF($G2534&lt;1,ROUND($G2534*1440,0),INT($G2534/100)*60+MOD($G2534,100)))</f>
        <v/>
      </c>
    </row>
    <row r="2535" ht="15" customHeight="1" s="26">
      <c r="A2535" s="34" t="n"/>
      <c r="B2535" s="32" t="n"/>
      <c r="C2535" s="33" t="n"/>
      <c r="D2535" s="37" t="str">
        <f>IF($C2535="","",IFERROR(INDEX(프로젝트목록!$B$3:$B$62,MATCH($C2535,프로젝트목록!$A$3:$A$62,0)),"미등록코드"))</f>
        <v/>
      </c>
      <c r="E2535" s="32" t="n"/>
      <c r="F2535" s="38" t="n"/>
      <c r="G2535" s="38" t="n"/>
      <c r="H2535" s="39" t="n"/>
      <c r="I2535" s="40" t="str">
        <f>IF(OR($J2535="",$K2535=""),"",ROUND(MAX(0,($K2535-$J2535)-IF($H2535="",0,$H2535))/60,2))</f>
        <v/>
      </c>
      <c r="J2535" s="41" t="str">
        <f>IF($F2535="","",IF($F2535&lt;1,ROUND($F2535*1440,0),INT($F2535/100)*60+MOD($F2535,100)))</f>
        <v/>
      </c>
      <c r="K2535" s="41" t="str">
        <f>IF($G2535="","",IF($G2535&lt;1,ROUND($G2535*1440,0),INT($G2535/100)*60+MOD($G2535,100)))</f>
        <v/>
      </c>
    </row>
    <row r="2536" ht="15" customHeight="1" s="26">
      <c r="A2536" s="34" t="n"/>
      <c r="B2536" s="32" t="n"/>
      <c r="C2536" s="33" t="n"/>
      <c r="D2536" s="37" t="str">
        <f>IF($C2536="","",IFERROR(INDEX(프로젝트목록!$B$3:$B$62,MATCH($C2536,프로젝트목록!$A$3:$A$62,0)),"미등록코드"))</f>
        <v/>
      </c>
      <c r="E2536" s="32" t="n"/>
      <c r="F2536" s="38" t="n"/>
      <c r="G2536" s="38" t="n"/>
      <c r="H2536" s="39" t="n"/>
      <c r="I2536" s="40" t="str">
        <f>IF(OR($J2536="",$K2536=""),"",ROUND(MAX(0,($K2536-$J2536)-IF($H2536="",0,$H2536))/60,2))</f>
        <v/>
      </c>
      <c r="J2536" s="41" t="str">
        <f>IF($F2536="","",IF($F2536&lt;1,ROUND($F2536*1440,0),INT($F2536/100)*60+MOD($F2536,100)))</f>
        <v/>
      </c>
      <c r="K2536" s="41" t="str">
        <f>IF($G2536="","",IF($G2536&lt;1,ROUND($G2536*1440,0),INT($G2536/100)*60+MOD($G2536,100)))</f>
        <v/>
      </c>
    </row>
    <row r="2537" ht="15" customHeight="1" s="26">
      <c r="A2537" s="34" t="n"/>
      <c r="B2537" s="32" t="n"/>
      <c r="C2537" s="33" t="n"/>
      <c r="D2537" s="37" t="str">
        <f>IF($C2537="","",IFERROR(INDEX(프로젝트목록!$B$3:$B$62,MATCH($C2537,프로젝트목록!$A$3:$A$62,0)),"미등록코드"))</f>
        <v/>
      </c>
      <c r="E2537" s="32" t="n"/>
      <c r="F2537" s="38" t="n"/>
      <c r="G2537" s="38" t="n"/>
      <c r="H2537" s="39" t="n"/>
      <c r="I2537" s="40" t="str">
        <f>IF(OR($J2537="",$K2537=""),"",ROUND(MAX(0,($K2537-$J2537)-IF($H2537="",0,$H2537))/60,2))</f>
        <v/>
      </c>
      <c r="J2537" s="41" t="str">
        <f>IF($F2537="","",IF($F2537&lt;1,ROUND($F2537*1440,0),INT($F2537/100)*60+MOD($F2537,100)))</f>
        <v/>
      </c>
      <c r="K2537" s="41" t="str">
        <f>IF($G2537="","",IF($G2537&lt;1,ROUND($G2537*1440,0),INT($G2537/100)*60+MOD($G2537,100)))</f>
        <v/>
      </c>
    </row>
    <row r="2538" ht="15" customHeight="1" s="26">
      <c r="A2538" s="34" t="n"/>
      <c r="B2538" s="32" t="n"/>
      <c r="C2538" s="33" t="n"/>
      <c r="D2538" s="37" t="str">
        <f>IF($C2538="","",IFERROR(INDEX(프로젝트목록!$B$3:$B$62,MATCH($C2538,프로젝트목록!$A$3:$A$62,0)),"미등록코드"))</f>
        <v/>
      </c>
      <c r="E2538" s="32" t="n"/>
      <c r="F2538" s="38" t="n"/>
      <c r="G2538" s="38" t="n"/>
      <c r="H2538" s="39" t="n"/>
      <c r="I2538" s="40" t="str">
        <f>IF(OR($J2538="",$K2538=""),"",ROUND(MAX(0,($K2538-$J2538)-IF($H2538="",0,$H2538))/60,2))</f>
        <v/>
      </c>
      <c r="J2538" s="41" t="str">
        <f>IF($F2538="","",IF($F2538&lt;1,ROUND($F2538*1440,0),INT($F2538/100)*60+MOD($F2538,100)))</f>
        <v/>
      </c>
      <c r="K2538" s="41" t="str">
        <f>IF($G2538="","",IF($G2538&lt;1,ROUND($G2538*1440,0),INT($G2538/100)*60+MOD($G2538,100)))</f>
        <v/>
      </c>
    </row>
    <row r="2539" ht="15" customHeight="1" s="26">
      <c r="A2539" s="34" t="n"/>
      <c r="B2539" s="32" t="n"/>
      <c r="C2539" s="33" t="n"/>
      <c r="D2539" s="37" t="str">
        <f>IF($C2539="","",IFERROR(INDEX(프로젝트목록!$B$3:$B$62,MATCH($C2539,프로젝트목록!$A$3:$A$62,0)),"미등록코드"))</f>
        <v/>
      </c>
      <c r="E2539" s="32" t="n"/>
      <c r="F2539" s="38" t="n"/>
      <c r="G2539" s="38" t="n"/>
      <c r="H2539" s="39" t="n"/>
      <c r="I2539" s="40" t="str">
        <f>IF(OR($J2539="",$K2539=""),"",ROUND(MAX(0,($K2539-$J2539)-IF($H2539="",0,$H2539))/60,2))</f>
        <v/>
      </c>
      <c r="J2539" s="41" t="str">
        <f>IF($F2539="","",IF($F2539&lt;1,ROUND($F2539*1440,0),INT($F2539/100)*60+MOD($F2539,100)))</f>
        <v/>
      </c>
      <c r="K2539" s="41" t="str">
        <f>IF($G2539="","",IF($G2539&lt;1,ROUND($G2539*1440,0),INT($G2539/100)*60+MOD($G2539,100)))</f>
        <v/>
      </c>
    </row>
    <row r="2540" ht="15" customHeight="1" s="26">
      <c r="A2540" s="34" t="n"/>
      <c r="B2540" s="32" t="n"/>
      <c r="C2540" s="33" t="n"/>
      <c r="D2540" s="37" t="str">
        <f>IF($C2540="","",IFERROR(INDEX(프로젝트목록!$B$3:$B$62,MATCH($C2540,프로젝트목록!$A$3:$A$62,0)),"미등록코드"))</f>
        <v/>
      </c>
      <c r="E2540" s="32" t="n"/>
      <c r="F2540" s="38" t="n"/>
      <c r="G2540" s="38" t="n"/>
      <c r="H2540" s="39" t="n"/>
      <c r="I2540" s="40" t="str">
        <f>IF(OR($J2540="",$K2540=""),"",ROUND(MAX(0,($K2540-$J2540)-IF($H2540="",0,$H2540))/60,2))</f>
        <v/>
      </c>
      <c r="J2540" s="41" t="str">
        <f>IF($F2540="","",IF($F2540&lt;1,ROUND($F2540*1440,0),INT($F2540/100)*60+MOD($F2540,100)))</f>
        <v/>
      </c>
      <c r="K2540" s="41" t="str">
        <f>IF($G2540="","",IF($G2540&lt;1,ROUND($G2540*1440,0),INT($G2540/100)*60+MOD($G2540,100)))</f>
        <v/>
      </c>
    </row>
    <row r="2541" ht="15" customHeight="1" s="26">
      <c r="A2541" s="34" t="n"/>
      <c r="B2541" s="32" t="n"/>
      <c r="C2541" s="33" t="n"/>
      <c r="D2541" s="37" t="str">
        <f>IF($C2541="","",IFERROR(INDEX(프로젝트목록!$B$3:$B$62,MATCH($C2541,프로젝트목록!$A$3:$A$62,0)),"미등록코드"))</f>
        <v/>
      </c>
      <c r="E2541" s="32" t="n"/>
      <c r="F2541" s="38" t="n"/>
      <c r="G2541" s="38" t="n"/>
      <c r="H2541" s="39" t="n"/>
      <c r="I2541" s="40" t="str">
        <f>IF(OR($J2541="",$K2541=""),"",ROUND(MAX(0,($K2541-$J2541)-IF($H2541="",0,$H2541))/60,2))</f>
        <v/>
      </c>
      <c r="J2541" s="41" t="str">
        <f>IF($F2541="","",IF($F2541&lt;1,ROUND($F2541*1440,0),INT($F2541/100)*60+MOD($F2541,100)))</f>
        <v/>
      </c>
      <c r="K2541" s="41" t="str">
        <f>IF($G2541="","",IF($G2541&lt;1,ROUND($G2541*1440,0),INT($G2541/100)*60+MOD($G2541,100)))</f>
        <v/>
      </c>
    </row>
    <row r="2542" ht="15" customHeight="1" s="26">
      <c r="A2542" s="34" t="n"/>
      <c r="B2542" s="32" t="n"/>
      <c r="C2542" s="33" t="n"/>
      <c r="D2542" s="37" t="str">
        <f>IF($C2542="","",IFERROR(INDEX(프로젝트목록!$B$3:$B$62,MATCH($C2542,프로젝트목록!$A$3:$A$62,0)),"미등록코드"))</f>
        <v/>
      </c>
      <c r="E2542" s="32" t="n"/>
      <c r="F2542" s="38" t="n"/>
      <c r="G2542" s="38" t="n"/>
      <c r="H2542" s="39" t="n"/>
      <c r="I2542" s="40" t="str">
        <f>IF(OR($J2542="",$K2542=""),"",ROUND(MAX(0,($K2542-$J2542)-IF($H2542="",0,$H2542))/60,2))</f>
        <v/>
      </c>
      <c r="J2542" s="41" t="str">
        <f>IF($F2542="","",IF($F2542&lt;1,ROUND($F2542*1440,0),INT($F2542/100)*60+MOD($F2542,100)))</f>
        <v/>
      </c>
      <c r="K2542" s="41" t="str">
        <f>IF($G2542="","",IF($G2542&lt;1,ROUND($G2542*1440,0),INT($G2542/100)*60+MOD($G2542,100)))</f>
        <v/>
      </c>
    </row>
    <row r="2543" ht="15" customHeight="1" s="26">
      <c r="A2543" s="34" t="n"/>
      <c r="B2543" s="32" t="n"/>
      <c r="C2543" s="33" t="n"/>
      <c r="D2543" s="37" t="str">
        <f>IF($C2543="","",IFERROR(INDEX(프로젝트목록!$B$3:$B$62,MATCH($C2543,프로젝트목록!$A$3:$A$62,0)),"미등록코드"))</f>
        <v/>
      </c>
      <c r="E2543" s="32" t="n"/>
      <c r="F2543" s="38" t="n"/>
      <c r="G2543" s="38" t="n"/>
      <c r="H2543" s="39" t="n"/>
      <c r="I2543" s="40" t="str">
        <f>IF(OR($J2543="",$K2543=""),"",ROUND(MAX(0,($K2543-$J2543)-IF($H2543="",0,$H2543))/60,2))</f>
        <v/>
      </c>
      <c r="J2543" s="41" t="str">
        <f>IF($F2543="","",IF($F2543&lt;1,ROUND($F2543*1440,0),INT($F2543/100)*60+MOD($F2543,100)))</f>
        <v/>
      </c>
      <c r="K2543" s="41" t="str">
        <f>IF($G2543="","",IF($G2543&lt;1,ROUND($G2543*1440,0),INT($G2543/100)*60+MOD($G2543,100)))</f>
        <v/>
      </c>
    </row>
    <row r="2544" ht="15" customHeight="1" s="26">
      <c r="A2544" s="34" t="n"/>
      <c r="B2544" s="32" t="n"/>
      <c r="C2544" s="33" t="n"/>
      <c r="D2544" s="37" t="str">
        <f>IF($C2544="","",IFERROR(INDEX(프로젝트목록!$B$3:$B$62,MATCH($C2544,프로젝트목록!$A$3:$A$62,0)),"미등록코드"))</f>
        <v/>
      </c>
      <c r="E2544" s="32" t="n"/>
      <c r="F2544" s="38" t="n"/>
      <c r="G2544" s="38" t="n"/>
      <c r="H2544" s="39" t="n"/>
      <c r="I2544" s="40" t="str">
        <f>IF(OR($J2544="",$K2544=""),"",ROUND(MAX(0,($K2544-$J2544)-IF($H2544="",0,$H2544))/60,2))</f>
        <v/>
      </c>
      <c r="J2544" s="41" t="str">
        <f>IF($F2544="","",IF($F2544&lt;1,ROUND($F2544*1440,0),INT($F2544/100)*60+MOD($F2544,100)))</f>
        <v/>
      </c>
      <c r="K2544" s="41" t="str">
        <f>IF($G2544="","",IF($G2544&lt;1,ROUND($G2544*1440,0),INT($G2544/100)*60+MOD($G2544,100)))</f>
        <v/>
      </c>
    </row>
    <row r="2545" ht="15" customHeight="1" s="26">
      <c r="A2545" s="34" t="n"/>
      <c r="B2545" s="32" t="n"/>
      <c r="C2545" s="33" t="n"/>
      <c r="D2545" s="37" t="str">
        <f>IF($C2545="","",IFERROR(INDEX(프로젝트목록!$B$3:$B$62,MATCH($C2545,프로젝트목록!$A$3:$A$62,0)),"미등록코드"))</f>
        <v/>
      </c>
      <c r="E2545" s="32" t="n"/>
      <c r="F2545" s="38" t="n"/>
      <c r="G2545" s="38" t="n"/>
      <c r="H2545" s="39" t="n"/>
      <c r="I2545" s="40" t="str">
        <f>IF(OR($J2545="",$K2545=""),"",ROUND(MAX(0,($K2545-$J2545)-IF($H2545="",0,$H2545))/60,2))</f>
        <v/>
      </c>
      <c r="J2545" s="41" t="str">
        <f>IF($F2545="","",IF($F2545&lt;1,ROUND($F2545*1440,0),INT($F2545/100)*60+MOD($F2545,100)))</f>
        <v/>
      </c>
      <c r="K2545" s="41" t="str">
        <f>IF($G2545="","",IF($G2545&lt;1,ROUND($G2545*1440,0),INT($G2545/100)*60+MOD($G2545,100)))</f>
        <v/>
      </c>
    </row>
    <row r="2546" ht="15" customHeight="1" s="26">
      <c r="A2546" s="34" t="n"/>
      <c r="B2546" s="32" t="n"/>
      <c r="C2546" s="33" t="n"/>
      <c r="D2546" s="37" t="str">
        <f>IF($C2546="","",IFERROR(INDEX(프로젝트목록!$B$3:$B$62,MATCH($C2546,프로젝트목록!$A$3:$A$62,0)),"미등록코드"))</f>
        <v/>
      </c>
      <c r="E2546" s="32" t="n"/>
      <c r="F2546" s="38" t="n"/>
      <c r="G2546" s="38" t="n"/>
      <c r="H2546" s="39" t="n"/>
      <c r="I2546" s="40" t="str">
        <f>IF(OR($J2546="",$K2546=""),"",ROUND(MAX(0,($K2546-$J2546)-IF($H2546="",0,$H2546))/60,2))</f>
        <v/>
      </c>
      <c r="J2546" s="41" t="str">
        <f>IF($F2546="","",IF($F2546&lt;1,ROUND($F2546*1440,0),INT($F2546/100)*60+MOD($F2546,100)))</f>
        <v/>
      </c>
      <c r="K2546" s="41" t="str">
        <f>IF($G2546="","",IF($G2546&lt;1,ROUND($G2546*1440,0),INT($G2546/100)*60+MOD($G2546,100)))</f>
        <v/>
      </c>
    </row>
    <row r="2547" ht="15" customHeight="1" s="26">
      <c r="A2547" s="34" t="n"/>
      <c r="B2547" s="32" t="n"/>
      <c r="C2547" s="33" t="n"/>
      <c r="D2547" s="37" t="str">
        <f>IF($C2547="","",IFERROR(INDEX(프로젝트목록!$B$3:$B$62,MATCH($C2547,프로젝트목록!$A$3:$A$62,0)),"미등록코드"))</f>
        <v/>
      </c>
      <c r="E2547" s="32" t="n"/>
      <c r="F2547" s="38" t="n"/>
      <c r="G2547" s="38" t="n"/>
      <c r="H2547" s="39" t="n"/>
      <c r="I2547" s="40" t="str">
        <f>IF(OR($J2547="",$K2547=""),"",ROUND(MAX(0,($K2547-$J2547)-IF($H2547="",0,$H2547))/60,2))</f>
        <v/>
      </c>
      <c r="J2547" s="41" t="str">
        <f>IF($F2547="","",IF($F2547&lt;1,ROUND($F2547*1440,0),INT($F2547/100)*60+MOD($F2547,100)))</f>
        <v/>
      </c>
      <c r="K2547" s="41" t="str">
        <f>IF($G2547="","",IF($G2547&lt;1,ROUND($G2547*1440,0),INT($G2547/100)*60+MOD($G2547,100)))</f>
        <v/>
      </c>
    </row>
    <row r="2548" ht="15" customHeight="1" s="26">
      <c r="A2548" s="34" t="n"/>
      <c r="B2548" s="32" t="n"/>
      <c r="C2548" s="33" t="n"/>
      <c r="D2548" s="37" t="str">
        <f>IF($C2548="","",IFERROR(INDEX(프로젝트목록!$B$3:$B$62,MATCH($C2548,프로젝트목록!$A$3:$A$62,0)),"미등록코드"))</f>
        <v/>
      </c>
      <c r="E2548" s="32" t="n"/>
      <c r="F2548" s="38" t="n"/>
      <c r="G2548" s="38" t="n"/>
      <c r="H2548" s="39" t="n"/>
      <c r="I2548" s="40" t="str">
        <f>IF(OR($J2548="",$K2548=""),"",ROUND(MAX(0,($K2548-$J2548)-IF($H2548="",0,$H2548))/60,2))</f>
        <v/>
      </c>
      <c r="J2548" s="41" t="str">
        <f>IF($F2548="","",IF($F2548&lt;1,ROUND($F2548*1440,0),INT($F2548/100)*60+MOD($F2548,100)))</f>
        <v/>
      </c>
      <c r="K2548" s="41" t="str">
        <f>IF($G2548="","",IF($G2548&lt;1,ROUND($G2548*1440,0),INT($G2548/100)*60+MOD($G2548,100)))</f>
        <v/>
      </c>
    </row>
    <row r="2549" ht="15" customHeight="1" s="26">
      <c r="A2549" s="34" t="n"/>
      <c r="B2549" s="32" t="n"/>
      <c r="C2549" s="33" t="n"/>
      <c r="D2549" s="37" t="str">
        <f>IF($C2549="","",IFERROR(INDEX(프로젝트목록!$B$3:$B$62,MATCH($C2549,프로젝트목록!$A$3:$A$62,0)),"미등록코드"))</f>
        <v/>
      </c>
      <c r="E2549" s="32" t="n"/>
      <c r="F2549" s="38" t="n"/>
      <c r="G2549" s="38" t="n"/>
      <c r="H2549" s="39" t="n"/>
      <c r="I2549" s="40" t="str">
        <f>IF(OR($J2549="",$K2549=""),"",ROUND(MAX(0,($K2549-$J2549)-IF($H2549="",0,$H2549))/60,2))</f>
        <v/>
      </c>
      <c r="J2549" s="41" t="str">
        <f>IF($F2549="","",IF($F2549&lt;1,ROUND($F2549*1440,0),INT($F2549/100)*60+MOD($F2549,100)))</f>
        <v/>
      </c>
      <c r="K2549" s="41" t="str">
        <f>IF($G2549="","",IF($G2549&lt;1,ROUND($G2549*1440,0),INT($G2549/100)*60+MOD($G2549,100)))</f>
        <v/>
      </c>
    </row>
    <row r="2550" ht="15" customHeight="1" s="26">
      <c r="A2550" s="34" t="n"/>
      <c r="B2550" s="32" t="n"/>
      <c r="C2550" s="33" t="n"/>
      <c r="D2550" s="37" t="str">
        <f>IF($C2550="","",IFERROR(INDEX(프로젝트목록!$B$3:$B$62,MATCH($C2550,프로젝트목록!$A$3:$A$62,0)),"미등록코드"))</f>
        <v/>
      </c>
      <c r="E2550" s="32" t="n"/>
      <c r="F2550" s="38" t="n"/>
      <c r="G2550" s="38" t="n"/>
      <c r="H2550" s="39" t="n"/>
      <c r="I2550" s="40" t="str">
        <f>IF(OR($J2550="",$K2550=""),"",ROUND(MAX(0,($K2550-$J2550)-IF($H2550="",0,$H2550))/60,2))</f>
        <v/>
      </c>
      <c r="J2550" s="41" t="str">
        <f>IF($F2550="","",IF($F2550&lt;1,ROUND($F2550*1440,0),INT($F2550/100)*60+MOD($F2550,100)))</f>
        <v/>
      </c>
      <c r="K2550" s="41" t="str">
        <f>IF($G2550="","",IF($G2550&lt;1,ROUND($G2550*1440,0),INT($G2550/100)*60+MOD($G2550,100)))</f>
        <v/>
      </c>
    </row>
    <row r="2551" ht="15" customHeight="1" s="26">
      <c r="A2551" s="34" t="n"/>
      <c r="B2551" s="32" t="n"/>
      <c r="C2551" s="33" t="n"/>
      <c r="D2551" s="37" t="str">
        <f>IF($C2551="","",IFERROR(INDEX(프로젝트목록!$B$3:$B$62,MATCH($C2551,프로젝트목록!$A$3:$A$62,0)),"미등록코드"))</f>
        <v/>
      </c>
      <c r="E2551" s="32" t="n"/>
      <c r="F2551" s="38" t="n"/>
      <c r="G2551" s="38" t="n"/>
      <c r="H2551" s="39" t="n"/>
      <c r="I2551" s="40" t="str">
        <f>IF(OR($J2551="",$K2551=""),"",ROUND(MAX(0,($K2551-$J2551)-IF($H2551="",0,$H2551))/60,2))</f>
        <v/>
      </c>
      <c r="J2551" s="41" t="str">
        <f>IF($F2551="","",IF($F2551&lt;1,ROUND($F2551*1440,0),INT($F2551/100)*60+MOD($F2551,100)))</f>
        <v/>
      </c>
      <c r="K2551" s="41" t="str">
        <f>IF($G2551="","",IF($G2551&lt;1,ROUND($G2551*1440,0),INT($G2551/100)*60+MOD($G2551,100)))</f>
        <v/>
      </c>
    </row>
    <row r="2552" ht="15" customHeight="1" s="26">
      <c r="A2552" s="34" t="n"/>
      <c r="B2552" s="32" t="n"/>
      <c r="C2552" s="33" t="n"/>
      <c r="D2552" s="37" t="str">
        <f>IF($C2552="","",IFERROR(INDEX(프로젝트목록!$B$3:$B$62,MATCH($C2552,프로젝트목록!$A$3:$A$62,0)),"미등록코드"))</f>
        <v/>
      </c>
      <c r="E2552" s="32" t="n"/>
      <c r="F2552" s="38" t="n"/>
      <c r="G2552" s="38" t="n"/>
      <c r="H2552" s="39" t="n"/>
      <c r="I2552" s="40" t="str">
        <f>IF(OR($J2552="",$K2552=""),"",ROUND(MAX(0,($K2552-$J2552)-IF($H2552="",0,$H2552))/60,2))</f>
        <v/>
      </c>
      <c r="J2552" s="41" t="str">
        <f>IF($F2552="","",IF($F2552&lt;1,ROUND($F2552*1440,0),INT($F2552/100)*60+MOD($F2552,100)))</f>
        <v/>
      </c>
      <c r="K2552" s="41" t="str">
        <f>IF($G2552="","",IF($G2552&lt;1,ROUND($G2552*1440,0),INT($G2552/100)*60+MOD($G2552,100)))</f>
        <v/>
      </c>
    </row>
    <row r="2553" ht="15" customHeight="1" s="26">
      <c r="A2553" s="34" t="n"/>
      <c r="B2553" s="32" t="n"/>
      <c r="C2553" s="33" t="n"/>
      <c r="D2553" s="37" t="str">
        <f>IF($C2553="","",IFERROR(INDEX(프로젝트목록!$B$3:$B$62,MATCH($C2553,프로젝트목록!$A$3:$A$62,0)),"미등록코드"))</f>
        <v/>
      </c>
      <c r="E2553" s="32" t="n"/>
      <c r="F2553" s="38" t="n"/>
      <c r="G2553" s="38" t="n"/>
      <c r="H2553" s="39" t="n"/>
      <c r="I2553" s="40" t="str">
        <f>IF(OR($J2553="",$K2553=""),"",ROUND(MAX(0,($K2553-$J2553)-IF($H2553="",0,$H2553))/60,2))</f>
        <v/>
      </c>
      <c r="J2553" s="41" t="str">
        <f>IF($F2553="","",IF($F2553&lt;1,ROUND($F2553*1440,0),INT($F2553/100)*60+MOD($F2553,100)))</f>
        <v/>
      </c>
      <c r="K2553" s="41" t="str">
        <f>IF($G2553="","",IF($G2553&lt;1,ROUND($G2553*1440,0),INT($G2553/100)*60+MOD($G2553,100)))</f>
        <v/>
      </c>
    </row>
    <row r="2554" ht="15" customHeight="1" s="26">
      <c r="A2554" s="34" t="n"/>
      <c r="B2554" s="32" t="n"/>
      <c r="C2554" s="33" t="n"/>
      <c r="D2554" s="37" t="str">
        <f>IF($C2554="","",IFERROR(INDEX(프로젝트목록!$B$3:$B$62,MATCH($C2554,프로젝트목록!$A$3:$A$62,0)),"미등록코드"))</f>
        <v/>
      </c>
      <c r="E2554" s="32" t="n"/>
      <c r="F2554" s="38" t="n"/>
      <c r="G2554" s="38" t="n"/>
      <c r="H2554" s="39" t="n"/>
      <c r="I2554" s="40" t="str">
        <f>IF(OR($J2554="",$K2554=""),"",ROUND(MAX(0,($K2554-$J2554)-IF($H2554="",0,$H2554))/60,2))</f>
        <v/>
      </c>
      <c r="J2554" s="41" t="str">
        <f>IF($F2554="","",IF($F2554&lt;1,ROUND($F2554*1440,0),INT($F2554/100)*60+MOD($F2554,100)))</f>
        <v/>
      </c>
      <c r="K2554" s="41" t="str">
        <f>IF($G2554="","",IF($G2554&lt;1,ROUND($G2554*1440,0),INT($G2554/100)*60+MOD($G2554,100)))</f>
        <v/>
      </c>
    </row>
    <row r="2555" ht="15" customHeight="1" s="26">
      <c r="A2555" s="34" t="n"/>
      <c r="B2555" s="32" t="n"/>
      <c r="C2555" s="33" t="n"/>
      <c r="D2555" s="37" t="str">
        <f>IF($C2555="","",IFERROR(INDEX(프로젝트목록!$B$3:$B$62,MATCH($C2555,프로젝트목록!$A$3:$A$62,0)),"미등록코드"))</f>
        <v/>
      </c>
      <c r="E2555" s="32" t="n"/>
      <c r="F2555" s="38" t="n"/>
      <c r="G2555" s="38" t="n"/>
      <c r="H2555" s="39" t="n"/>
      <c r="I2555" s="40" t="str">
        <f>IF(OR($J2555="",$K2555=""),"",ROUND(MAX(0,($K2555-$J2555)-IF($H2555="",0,$H2555))/60,2))</f>
        <v/>
      </c>
      <c r="J2555" s="41" t="str">
        <f>IF($F2555="","",IF($F2555&lt;1,ROUND($F2555*1440,0),INT($F2555/100)*60+MOD($F2555,100)))</f>
        <v/>
      </c>
      <c r="K2555" s="41" t="str">
        <f>IF($G2555="","",IF($G2555&lt;1,ROUND($G2555*1440,0),INT($G2555/100)*60+MOD($G2555,100)))</f>
        <v/>
      </c>
    </row>
    <row r="2556" ht="15" customHeight="1" s="26">
      <c r="A2556" s="34" t="n"/>
      <c r="B2556" s="32" t="n"/>
      <c r="C2556" s="33" t="n"/>
      <c r="D2556" s="37" t="str">
        <f>IF($C2556="","",IFERROR(INDEX(프로젝트목록!$B$3:$B$62,MATCH($C2556,프로젝트목록!$A$3:$A$62,0)),"미등록코드"))</f>
        <v/>
      </c>
      <c r="E2556" s="32" t="n"/>
      <c r="F2556" s="38" t="n"/>
      <c r="G2556" s="38" t="n"/>
      <c r="H2556" s="39" t="n"/>
      <c r="I2556" s="40" t="str">
        <f>IF(OR($J2556="",$K2556=""),"",ROUND(MAX(0,($K2556-$J2556)-IF($H2556="",0,$H2556))/60,2))</f>
        <v/>
      </c>
      <c r="J2556" s="41" t="str">
        <f>IF($F2556="","",IF($F2556&lt;1,ROUND($F2556*1440,0),INT($F2556/100)*60+MOD($F2556,100)))</f>
        <v/>
      </c>
      <c r="K2556" s="41" t="str">
        <f>IF($G2556="","",IF($G2556&lt;1,ROUND($G2556*1440,0),INT($G2556/100)*60+MOD($G2556,100)))</f>
        <v/>
      </c>
    </row>
    <row r="2557" ht="15" customHeight="1" s="26">
      <c r="A2557" s="34" t="n"/>
      <c r="B2557" s="32" t="n"/>
      <c r="C2557" s="33" t="n"/>
      <c r="D2557" s="37" t="str">
        <f>IF($C2557="","",IFERROR(INDEX(프로젝트목록!$B$3:$B$62,MATCH($C2557,프로젝트목록!$A$3:$A$62,0)),"미등록코드"))</f>
        <v/>
      </c>
      <c r="E2557" s="32" t="n"/>
      <c r="F2557" s="38" t="n"/>
      <c r="G2557" s="38" t="n"/>
      <c r="H2557" s="39" t="n"/>
      <c r="I2557" s="40" t="str">
        <f>IF(OR($J2557="",$K2557=""),"",ROUND(MAX(0,($K2557-$J2557)-IF($H2557="",0,$H2557))/60,2))</f>
        <v/>
      </c>
      <c r="J2557" s="41" t="str">
        <f>IF($F2557="","",IF($F2557&lt;1,ROUND($F2557*1440,0),INT($F2557/100)*60+MOD($F2557,100)))</f>
        <v/>
      </c>
      <c r="K2557" s="41" t="str">
        <f>IF($G2557="","",IF($G2557&lt;1,ROUND($G2557*1440,0),INT($G2557/100)*60+MOD($G2557,100)))</f>
        <v/>
      </c>
    </row>
    <row r="2558" ht="15" customHeight="1" s="26">
      <c r="A2558" s="34" t="n"/>
      <c r="B2558" s="32" t="n"/>
      <c r="C2558" s="33" t="n"/>
      <c r="D2558" s="37" t="str">
        <f>IF($C2558="","",IFERROR(INDEX(프로젝트목록!$B$3:$B$62,MATCH($C2558,프로젝트목록!$A$3:$A$62,0)),"미등록코드"))</f>
        <v/>
      </c>
      <c r="E2558" s="32" t="n"/>
      <c r="F2558" s="38" t="n"/>
      <c r="G2558" s="38" t="n"/>
      <c r="H2558" s="39" t="n"/>
      <c r="I2558" s="40" t="str">
        <f>IF(OR($J2558="",$K2558=""),"",ROUND(MAX(0,($K2558-$J2558)-IF($H2558="",0,$H2558))/60,2))</f>
        <v/>
      </c>
      <c r="J2558" s="41" t="str">
        <f>IF($F2558="","",IF($F2558&lt;1,ROUND($F2558*1440,0),INT($F2558/100)*60+MOD($F2558,100)))</f>
        <v/>
      </c>
      <c r="K2558" s="41" t="str">
        <f>IF($G2558="","",IF($G2558&lt;1,ROUND($G2558*1440,0),INT($G2558/100)*60+MOD($G2558,100)))</f>
        <v/>
      </c>
    </row>
    <row r="2559" ht="15" customHeight="1" s="26">
      <c r="A2559" s="34" t="n"/>
      <c r="B2559" s="32" t="n"/>
      <c r="C2559" s="33" t="n"/>
      <c r="D2559" s="37" t="str">
        <f>IF($C2559="","",IFERROR(INDEX(프로젝트목록!$B$3:$B$62,MATCH($C2559,프로젝트목록!$A$3:$A$62,0)),"미등록코드"))</f>
        <v/>
      </c>
      <c r="E2559" s="32" t="n"/>
      <c r="F2559" s="38" t="n"/>
      <c r="G2559" s="38" t="n"/>
      <c r="H2559" s="39" t="n"/>
      <c r="I2559" s="40" t="str">
        <f>IF(OR($J2559="",$K2559=""),"",ROUND(MAX(0,($K2559-$J2559)-IF($H2559="",0,$H2559))/60,2))</f>
        <v/>
      </c>
      <c r="J2559" s="41" t="str">
        <f>IF($F2559="","",IF($F2559&lt;1,ROUND($F2559*1440,0),INT($F2559/100)*60+MOD($F2559,100)))</f>
        <v/>
      </c>
      <c r="K2559" s="41" t="str">
        <f>IF($G2559="","",IF($G2559&lt;1,ROUND($G2559*1440,0),INT($G2559/100)*60+MOD($G2559,100)))</f>
        <v/>
      </c>
    </row>
    <row r="2560" ht="15" customHeight="1" s="26">
      <c r="A2560" s="34" t="n"/>
      <c r="B2560" s="32" t="n"/>
      <c r="C2560" s="33" t="n"/>
      <c r="D2560" s="37" t="str">
        <f>IF($C2560="","",IFERROR(INDEX(프로젝트목록!$B$3:$B$62,MATCH($C2560,프로젝트목록!$A$3:$A$62,0)),"미등록코드"))</f>
        <v/>
      </c>
      <c r="E2560" s="32" t="n"/>
      <c r="F2560" s="38" t="n"/>
      <c r="G2560" s="38" t="n"/>
      <c r="H2560" s="39" t="n"/>
      <c r="I2560" s="40" t="str">
        <f>IF(OR($J2560="",$K2560=""),"",ROUND(MAX(0,($K2560-$J2560)-IF($H2560="",0,$H2560))/60,2))</f>
        <v/>
      </c>
      <c r="J2560" s="41" t="str">
        <f>IF($F2560="","",IF($F2560&lt;1,ROUND($F2560*1440,0),INT($F2560/100)*60+MOD($F2560,100)))</f>
        <v/>
      </c>
      <c r="K2560" s="41" t="str">
        <f>IF($G2560="","",IF($G2560&lt;1,ROUND($G2560*1440,0),INT($G2560/100)*60+MOD($G2560,100)))</f>
        <v/>
      </c>
    </row>
    <row r="2561" ht="15" customHeight="1" s="26">
      <c r="A2561" s="34" t="n"/>
      <c r="B2561" s="32" t="n"/>
      <c r="C2561" s="33" t="n"/>
      <c r="D2561" s="37" t="str">
        <f>IF($C2561="","",IFERROR(INDEX(프로젝트목록!$B$3:$B$62,MATCH($C2561,프로젝트목록!$A$3:$A$62,0)),"미등록코드"))</f>
        <v/>
      </c>
      <c r="E2561" s="32" t="n"/>
      <c r="F2561" s="38" t="n"/>
      <c r="G2561" s="38" t="n"/>
      <c r="H2561" s="39" t="n"/>
      <c r="I2561" s="40" t="str">
        <f>IF(OR($J2561="",$K2561=""),"",ROUND(MAX(0,($K2561-$J2561)-IF($H2561="",0,$H2561))/60,2))</f>
        <v/>
      </c>
      <c r="J2561" s="41" t="str">
        <f>IF($F2561="","",IF($F2561&lt;1,ROUND($F2561*1440,0),INT($F2561/100)*60+MOD($F2561,100)))</f>
        <v/>
      </c>
      <c r="K2561" s="41" t="str">
        <f>IF($G2561="","",IF($G2561&lt;1,ROUND($G2561*1440,0),INT($G2561/100)*60+MOD($G2561,100)))</f>
        <v/>
      </c>
    </row>
    <row r="2562" ht="15" customHeight="1" s="26">
      <c r="A2562" s="34" t="n"/>
      <c r="B2562" s="32" t="n"/>
      <c r="C2562" s="33" t="n"/>
      <c r="D2562" s="37" t="str">
        <f>IF($C2562="","",IFERROR(INDEX(프로젝트목록!$B$3:$B$62,MATCH($C2562,프로젝트목록!$A$3:$A$62,0)),"미등록코드"))</f>
        <v/>
      </c>
      <c r="E2562" s="32" t="n"/>
      <c r="F2562" s="38" t="n"/>
      <c r="G2562" s="38" t="n"/>
      <c r="H2562" s="39" t="n"/>
      <c r="I2562" s="40" t="str">
        <f>IF(OR($J2562="",$K2562=""),"",ROUND(MAX(0,($K2562-$J2562)-IF($H2562="",0,$H2562))/60,2))</f>
        <v/>
      </c>
      <c r="J2562" s="41" t="str">
        <f>IF($F2562="","",IF($F2562&lt;1,ROUND($F2562*1440,0),INT($F2562/100)*60+MOD($F2562,100)))</f>
        <v/>
      </c>
      <c r="K2562" s="41" t="str">
        <f>IF($G2562="","",IF($G2562&lt;1,ROUND($G2562*1440,0),INT($G2562/100)*60+MOD($G2562,100)))</f>
        <v/>
      </c>
    </row>
    <row r="2563" ht="15" customHeight="1" s="26">
      <c r="A2563" s="34" t="n"/>
      <c r="B2563" s="32" t="n"/>
      <c r="C2563" s="33" t="n"/>
      <c r="D2563" s="37" t="str">
        <f>IF($C2563="","",IFERROR(INDEX(프로젝트목록!$B$3:$B$62,MATCH($C2563,프로젝트목록!$A$3:$A$62,0)),"미등록코드"))</f>
        <v/>
      </c>
      <c r="E2563" s="32" t="n"/>
      <c r="F2563" s="38" t="n"/>
      <c r="G2563" s="38" t="n"/>
      <c r="H2563" s="39" t="n"/>
      <c r="I2563" s="40" t="str">
        <f>IF(OR($J2563="",$K2563=""),"",ROUND(MAX(0,($K2563-$J2563)-IF($H2563="",0,$H2563))/60,2))</f>
        <v/>
      </c>
      <c r="J2563" s="41" t="str">
        <f>IF($F2563="","",IF($F2563&lt;1,ROUND($F2563*1440,0),INT($F2563/100)*60+MOD($F2563,100)))</f>
        <v/>
      </c>
      <c r="K2563" s="41" t="str">
        <f>IF($G2563="","",IF($G2563&lt;1,ROUND($G2563*1440,0),INT($G2563/100)*60+MOD($G2563,100)))</f>
        <v/>
      </c>
    </row>
    <row r="2564" ht="15" customHeight="1" s="26">
      <c r="A2564" s="34" t="n"/>
      <c r="B2564" s="32" t="n"/>
      <c r="C2564" s="33" t="n"/>
      <c r="D2564" s="37" t="str">
        <f>IF($C2564="","",IFERROR(INDEX(프로젝트목록!$B$3:$B$62,MATCH($C2564,프로젝트목록!$A$3:$A$62,0)),"미등록코드"))</f>
        <v/>
      </c>
      <c r="E2564" s="32" t="n"/>
      <c r="F2564" s="38" t="n"/>
      <c r="G2564" s="38" t="n"/>
      <c r="H2564" s="39" t="n"/>
      <c r="I2564" s="40" t="str">
        <f>IF(OR($J2564="",$K2564=""),"",ROUND(MAX(0,($K2564-$J2564)-IF($H2564="",0,$H2564))/60,2))</f>
        <v/>
      </c>
      <c r="J2564" s="41" t="str">
        <f>IF($F2564="","",IF($F2564&lt;1,ROUND($F2564*1440,0),INT($F2564/100)*60+MOD($F2564,100)))</f>
        <v/>
      </c>
      <c r="K2564" s="41" t="str">
        <f>IF($G2564="","",IF($G2564&lt;1,ROUND($G2564*1440,0),INT($G2564/100)*60+MOD($G2564,100)))</f>
        <v/>
      </c>
    </row>
    <row r="2565" ht="15" customHeight="1" s="26">
      <c r="A2565" s="34" t="n"/>
      <c r="B2565" s="32" t="n"/>
      <c r="C2565" s="33" t="n"/>
      <c r="D2565" s="37" t="str">
        <f>IF($C2565="","",IFERROR(INDEX(프로젝트목록!$B$3:$B$62,MATCH($C2565,프로젝트목록!$A$3:$A$62,0)),"미등록코드"))</f>
        <v/>
      </c>
      <c r="E2565" s="32" t="n"/>
      <c r="F2565" s="38" t="n"/>
      <c r="G2565" s="38" t="n"/>
      <c r="H2565" s="39" t="n"/>
      <c r="I2565" s="40" t="str">
        <f>IF(OR($J2565="",$K2565=""),"",ROUND(MAX(0,($K2565-$J2565)-IF($H2565="",0,$H2565))/60,2))</f>
        <v/>
      </c>
      <c r="J2565" s="41" t="str">
        <f>IF($F2565="","",IF($F2565&lt;1,ROUND($F2565*1440,0),INT($F2565/100)*60+MOD($F2565,100)))</f>
        <v/>
      </c>
      <c r="K2565" s="41" t="str">
        <f>IF($G2565="","",IF($G2565&lt;1,ROUND($G2565*1440,0),INT($G2565/100)*60+MOD($G2565,100)))</f>
        <v/>
      </c>
    </row>
    <row r="2566" ht="15" customHeight="1" s="26">
      <c r="A2566" s="34" t="n"/>
      <c r="B2566" s="32" t="n"/>
      <c r="C2566" s="33" t="n"/>
      <c r="D2566" s="37" t="str">
        <f>IF($C2566="","",IFERROR(INDEX(프로젝트목록!$B$3:$B$62,MATCH($C2566,프로젝트목록!$A$3:$A$62,0)),"미등록코드"))</f>
        <v/>
      </c>
      <c r="E2566" s="32" t="n"/>
      <c r="F2566" s="38" t="n"/>
      <c r="G2566" s="38" t="n"/>
      <c r="H2566" s="39" t="n"/>
      <c r="I2566" s="40" t="str">
        <f>IF(OR($J2566="",$K2566=""),"",ROUND(MAX(0,($K2566-$J2566)-IF($H2566="",0,$H2566))/60,2))</f>
        <v/>
      </c>
      <c r="J2566" s="41" t="str">
        <f>IF($F2566="","",IF($F2566&lt;1,ROUND($F2566*1440,0),INT($F2566/100)*60+MOD($F2566,100)))</f>
        <v/>
      </c>
      <c r="K2566" s="41" t="str">
        <f>IF($G2566="","",IF($G2566&lt;1,ROUND($G2566*1440,0),INT($G2566/100)*60+MOD($G2566,100)))</f>
        <v/>
      </c>
    </row>
    <row r="2567" ht="15" customHeight="1" s="26">
      <c r="A2567" s="34" t="n"/>
      <c r="B2567" s="32" t="n"/>
      <c r="C2567" s="33" t="n"/>
      <c r="D2567" s="37" t="str">
        <f>IF($C2567="","",IFERROR(INDEX(프로젝트목록!$B$3:$B$62,MATCH($C2567,프로젝트목록!$A$3:$A$62,0)),"미등록코드"))</f>
        <v/>
      </c>
      <c r="E2567" s="32" t="n"/>
      <c r="F2567" s="38" t="n"/>
      <c r="G2567" s="38" t="n"/>
      <c r="H2567" s="39" t="n"/>
      <c r="I2567" s="40" t="str">
        <f>IF(OR($J2567="",$K2567=""),"",ROUND(MAX(0,($K2567-$J2567)-IF($H2567="",0,$H2567))/60,2))</f>
        <v/>
      </c>
      <c r="J2567" s="41" t="str">
        <f>IF($F2567="","",IF($F2567&lt;1,ROUND($F2567*1440,0),INT($F2567/100)*60+MOD($F2567,100)))</f>
        <v/>
      </c>
      <c r="K2567" s="41" t="str">
        <f>IF($G2567="","",IF($G2567&lt;1,ROUND($G2567*1440,0),INT($G2567/100)*60+MOD($G2567,100)))</f>
        <v/>
      </c>
    </row>
    <row r="2568" ht="15" customHeight="1" s="26">
      <c r="A2568" s="34" t="n"/>
      <c r="B2568" s="32" t="n"/>
      <c r="C2568" s="33" t="n"/>
      <c r="D2568" s="37" t="str">
        <f>IF($C2568="","",IFERROR(INDEX(프로젝트목록!$B$3:$B$62,MATCH($C2568,프로젝트목록!$A$3:$A$62,0)),"미등록코드"))</f>
        <v/>
      </c>
      <c r="E2568" s="32" t="n"/>
      <c r="F2568" s="38" t="n"/>
      <c r="G2568" s="38" t="n"/>
      <c r="H2568" s="39" t="n"/>
      <c r="I2568" s="40" t="str">
        <f>IF(OR($J2568="",$K2568=""),"",ROUND(MAX(0,($K2568-$J2568)-IF($H2568="",0,$H2568))/60,2))</f>
        <v/>
      </c>
      <c r="J2568" s="41" t="str">
        <f>IF($F2568="","",IF($F2568&lt;1,ROUND($F2568*1440,0),INT($F2568/100)*60+MOD($F2568,100)))</f>
        <v/>
      </c>
      <c r="K2568" s="41" t="str">
        <f>IF($G2568="","",IF($G2568&lt;1,ROUND($G2568*1440,0),INT($G2568/100)*60+MOD($G2568,100)))</f>
        <v/>
      </c>
    </row>
    <row r="2569" ht="15" customHeight="1" s="26">
      <c r="A2569" s="34" t="n"/>
      <c r="B2569" s="32" t="n"/>
      <c r="C2569" s="33" t="n"/>
      <c r="D2569" s="37" t="str">
        <f>IF($C2569="","",IFERROR(INDEX(프로젝트목록!$B$3:$B$62,MATCH($C2569,프로젝트목록!$A$3:$A$62,0)),"미등록코드"))</f>
        <v/>
      </c>
      <c r="E2569" s="32" t="n"/>
      <c r="F2569" s="38" t="n"/>
      <c r="G2569" s="38" t="n"/>
      <c r="H2569" s="39" t="n"/>
      <c r="I2569" s="40" t="str">
        <f>IF(OR($J2569="",$K2569=""),"",ROUND(MAX(0,($K2569-$J2569)-IF($H2569="",0,$H2569))/60,2))</f>
        <v/>
      </c>
      <c r="J2569" s="41" t="str">
        <f>IF($F2569="","",IF($F2569&lt;1,ROUND($F2569*1440,0),INT($F2569/100)*60+MOD($F2569,100)))</f>
        <v/>
      </c>
      <c r="K2569" s="41" t="str">
        <f>IF($G2569="","",IF($G2569&lt;1,ROUND($G2569*1440,0),INT($G2569/100)*60+MOD($G2569,100)))</f>
        <v/>
      </c>
    </row>
    <row r="2570" ht="15" customHeight="1" s="26">
      <c r="A2570" s="34" t="n"/>
      <c r="B2570" s="32" t="n"/>
      <c r="C2570" s="33" t="n"/>
      <c r="D2570" s="37" t="str">
        <f>IF($C2570="","",IFERROR(INDEX(프로젝트목록!$B$3:$B$62,MATCH($C2570,프로젝트목록!$A$3:$A$62,0)),"미등록코드"))</f>
        <v/>
      </c>
      <c r="E2570" s="32" t="n"/>
      <c r="F2570" s="38" t="n"/>
      <c r="G2570" s="38" t="n"/>
      <c r="H2570" s="39" t="n"/>
      <c r="I2570" s="40" t="str">
        <f>IF(OR($J2570="",$K2570=""),"",ROUND(MAX(0,($K2570-$J2570)-IF($H2570="",0,$H2570))/60,2))</f>
        <v/>
      </c>
      <c r="J2570" s="41" t="str">
        <f>IF($F2570="","",IF($F2570&lt;1,ROUND($F2570*1440,0),INT($F2570/100)*60+MOD($F2570,100)))</f>
        <v/>
      </c>
      <c r="K2570" s="41" t="str">
        <f>IF($G2570="","",IF($G2570&lt;1,ROUND($G2570*1440,0),INT($G2570/100)*60+MOD($G2570,100)))</f>
        <v/>
      </c>
    </row>
    <row r="2571" ht="15" customHeight="1" s="26">
      <c r="A2571" s="34" t="n"/>
      <c r="B2571" s="32" t="n"/>
      <c r="C2571" s="33" t="n"/>
      <c r="D2571" s="37" t="str">
        <f>IF($C2571="","",IFERROR(INDEX(프로젝트목록!$B$3:$B$62,MATCH($C2571,프로젝트목록!$A$3:$A$62,0)),"미등록코드"))</f>
        <v/>
      </c>
      <c r="E2571" s="32" t="n"/>
      <c r="F2571" s="38" t="n"/>
      <c r="G2571" s="38" t="n"/>
      <c r="H2571" s="39" t="n"/>
      <c r="I2571" s="40" t="str">
        <f>IF(OR($J2571="",$K2571=""),"",ROUND(MAX(0,($K2571-$J2571)-IF($H2571="",0,$H2571))/60,2))</f>
        <v/>
      </c>
      <c r="J2571" s="41" t="str">
        <f>IF($F2571="","",IF($F2571&lt;1,ROUND($F2571*1440,0),INT($F2571/100)*60+MOD($F2571,100)))</f>
        <v/>
      </c>
      <c r="K2571" s="41" t="str">
        <f>IF($G2571="","",IF($G2571&lt;1,ROUND($G2571*1440,0),INT($G2571/100)*60+MOD($G2571,100)))</f>
        <v/>
      </c>
    </row>
    <row r="2572" ht="15" customHeight="1" s="26">
      <c r="A2572" s="34" t="n"/>
      <c r="B2572" s="32" t="n"/>
      <c r="C2572" s="33" t="n"/>
      <c r="D2572" s="37" t="str">
        <f>IF($C2572="","",IFERROR(INDEX(프로젝트목록!$B$3:$B$62,MATCH($C2572,프로젝트목록!$A$3:$A$62,0)),"미등록코드"))</f>
        <v/>
      </c>
      <c r="E2572" s="32" t="n"/>
      <c r="F2572" s="38" t="n"/>
      <c r="G2572" s="38" t="n"/>
      <c r="H2572" s="39" t="n"/>
      <c r="I2572" s="40" t="str">
        <f>IF(OR($J2572="",$K2572=""),"",ROUND(MAX(0,($K2572-$J2572)-IF($H2572="",0,$H2572))/60,2))</f>
        <v/>
      </c>
      <c r="J2572" s="41" t="str">
        <f>IF($F2572="","",IF($F2572&lt;1,ROUND($F2572*1440,0),INT($F2572/100)*60+MOD($F2572,100)))</f>
        <v/>
      </c>
      <c r="K2572" s="41" t="str">
        <f>IF($G2572="","",IF($G2572&lt;1,ROUND($G2572*1440,0),INT($G2572/100)*60+MOD($G2572,100)))</f>
        <v/>
      </c>
    </row>
    <row r="2573" ht="15" customHeight="1" s="26">
      <c r="A2573" s="34" t="n"/>
      <c r="B2573" s="32" t="n"/>
      <c r="C2573" s="33" t="n"/>
      <c r="D2573" s="37" t="str">
        <f>IF($C2573="","",IFERROR(INDEX(프로젝트목록!$B$3:$B$62,MATCH($C2573,프로젝트목록!$A$3:$A$62,0)),"미등록코드"))</f>
        <v/>
      </c>
      <c r="E2573" s="32" t="n"/>
      <c r="F2573" s="38" t="n"/>
      <c r="G2573" s="38" t="n"/>
      <c r="H2573" s="39" t="n"/>
      <c r="I2573" s="40" t="str">
        <f>IF(OR($J2573="",$K2573=""),"",ROUND(MAX(0,($K2573-$J2573)-IF($H2573="",0,$H2573))/60,2))</f>
        <v/>
      </c>
      <c r="J2573" s="41" t="str">
        <f>IF($F2573="","",IF($F2573&lt;1,ROUND($F2573*1440,0),INT($F2573/100)*60+MOD($F2573,100)))</f>
        <v/>
      </c>
      <c r="K2573" s="41" t="str">
        <f>IF($G2573="","",IF($G2573&lt;1,ROUND($G2573*1440,0),INT($G2573/100)*60+MOD($G2573,100)))</f>
        <v/>
      </c>
    </row>
    <row r="2574" ht="15" customHeight="1" s="26">
      <c r="A2574" s="34" t="n"/>
      <c r="B2574" s="32" t="n"/>
      <c r="C2574" s="33" t="n"/>
      <c r="D2574" s="37" t="str">
        <f>IF($C2574="","",IFERROR(INDEX(프로젝트목록!$B$3:$B$62,MATCH($C2574,프로젝트목록!$A$3:$A$62,0)),"미등록코드"))</f>
        <v/>
      </c>
      <c r="E2574" s="32" t="n"/>
      <c r="F2574" s="38" t="n"/>
      <c r="G2574" s="38" t="n"/>
      <c r="H2574" s="39" t="n"/>
      <c r="I2574" s="40" t="str">
        <f>IF(OR($J2574="",$K2574=""),"",ROUND(MAX(0,($K2574-$J2574)-IF($H2574="",0,$H2574))/60,2))</f>
        <v/>
      </c>
      <c r="J2574" s="41" t="str">
        <f>IF($F2574="","",IF($F2574&lt;1,ROUND($F2574*1440,0),INT($F2574/100)*60+MOD($F2574,100)))</f>
        <v/>
      </c>
      <c r="K2574" s="41" t="str">
        <f>IF($G2574="","",IF($G2574&lt;1,ROUND($G2574*1440,0),INT($G2574/100)*60+MOD($G2574,100)))</f>
        <v/>
      </c>
    </row>
    <row r="2575" ht="15" customHeight="1" s="26">
      <c r="A2575" s="34" t="n"/>
      <c r="B2575" s="32" t="n"/>
      <c r="C2575" s="33" t="n"/>
      <c r="D2575" s="37" t="str">
        <f>IF($C2575="","",IFERROR(INDEX(프로젝트목록!$B$3:$B$62,MATCH($C2575,프로젝트목록!$A$3:$A$62,0)),"미등록코드"))</f>
        <v/>
      </c>
      <c r="E2575" s="32" t="n"/>
      <c r="F2575" s="38" t="n"/>
      <c r="G2575" s="38" t="n"/>
      <c r="H2575" s="39" t="n"/>
      <c r="I2575" s="40" t="str">
        <f>IF(OR($J2575="",$K2575=""),"",ROUND(MAX(0,($K2575-$J2575)-IF($H2575="",0,$H2575))/60,2))</f>
        <v/>
      </c>
      <c r="J2575" s="41" t="str">
        <f>IF($F2575="","",IF($F2575&lt;1,ROUND($F2575*1440,0),INT($F2575/100)*60+MOD($F2575,100)))</f>
        <v/>
      </c>
      <c r="K2575" s="41" t="str">
        <f>IF($G2575="","",IF($G2575&lt;1,ROUND($G2575*1440,0),INT($G2575/100)*60+MOD($G2575,100)))</f>
        <v/>
      </c>
    </row>
    <row r="2576" ht="15" customHeight="1" s="26">
      <c r="A2576" s="34" t="n"/>
      <c r="B2576" s="32" t="n"/>
      <c r="C2576" s="33" t="n"/>
      <c r="D2576" s="37" t="str">
        <f>IF($C2576="","",IFERROR(INDEX(프로젝트목록!$B$3:$B$62,MATCH($C2576,프로젝트목록!$A$3:$A$62,0)),"미등록코드"))</f>
        <v/>
      </c>
      <c r="E2576" s="32" t="n"/>
      <c r="F2576" s="38" t="n"/>
      <c r="G2576" s="38" t="n"/>
      <c r="H2576" s="39" t="n"/>
      <c r="I2576" s="40" t="str">
        <f>IF(OR($J2576="",$K2576=""),"",ROUND(MAX(0,($K2576-$J2576)-IF($H2576="",0,$H2576))/60,2))</f>
        <v/>
      </c>
      <c r="J2576" s="41" t="str">
        <f>IF($F2576="","",IF($F2576&lt;1,ROUND($F2576*1440,0),INT($F2576/100)*60+MOD($F2576,100)))</f>
        <v/>
      </c>
      <c r="K2576" s="41" t="str">
        <f>IF($G2576="","",IF($G2576&lt;1,ROUND($G2576*1440,0),INT($G2576/100)*60+MOD($G2576,100)))</f>
        <v/>
      </c>
    </row>
    <row r="2577" ht="15" customHeight="1" s="26">
      <c r="A2577" s="34" t="n"/>
      <c r="B2577" s="32" t="n"/>
      <c r="C2577" s="33" t="n"/>
      <c r="D2577" s="37" t="str">
        <f>IF($C2577="","",IFERROR(INDEX(프로젝트목록!$B$3:$B$62,MATCH($C2577,프로젝트목록!$A$3:$A$62,0)),"미등록코드"))</f>
        <v/>
      </c>
      <c r="E2577" s="32" t="n"/>
      <c r="F2577" s="38" t="n"/>
      <c r="G2577" s="38" t="n"/>
      <c r="H2577" s="39" t="n"/>
      <c r="I2577" s="40" t="str">
        <f>IF(OR($J2577="",$K2577=""),"",ROUND(MAX(0,($K2577-$J2577)-IF($H2577="",0,$H2577))/60,2))</f>
        <v/>
      </c>
      <c r="J2577" s="41" t="str">
        <f>IF($F2577="","",IF($F2577&lt;1,ROUND($F2577*1440,0),INT($F2577/100)*60+MOD($F2577,100)))</f>
        <v/>
      </c>
      <c r="K2577" s="41" t="str">
        <f>IF($G2577="","",IF($G2577&lt;1,ROUND($G2577*1440,0),INT($G2577/100)*60+MOD($G2577,100)))</f>
        <v/>
      </c>
    </row>
    <row r="2578" ht="15" customHeight="1" s="26">
      <c r="A2578" s="34" t="n"/>
      <c r="B2578" s="32" t="n"/>
      <c r="C2578" s="33" t="n"/>
      <c r="D2578" s="37" t="str">
        <f>IF($C2578="","",IFERROR(INDEX(프로젝트목록!$B$3:$B$62,MATCH($C2578,프로젝트목록!$A$3:$A$62,0)),"미등록코드"))</f>
        <v/>
      </c>
      <c r="E2578" s="32" t="n"/>
      <c r="F2578" s="38" t="n"/>
      <c r="G2578" s="38" t="n"/>
      <c r="H2578" s="39" t="n"/>
      <c r="I2578" s="40" t="str">
        <f>IF(OR($J2578="",$K2578=""),"",ROUND(MAX(0,($K2578-$J2578)-IF($H2578="",0,$H2578))/60,2))</f>
        <v/>
      </c>
      <c r="J2578" s="41" t="str">
        <f>IF($F2578="","",IF($F2578&lt;1,ROUND($F2578*1440,0),INT($F2578/100)*60+MOD($F2578,100)))</f>
        <v/>
      </c>
      <c r="K2578" s="41" t="str">
        <f>IF($G2578="","",IF($G2578&lt;1,ROUND($G2578*1440,0),INT($G2578/100)*60+MOD($G2578,100)))</f>
        <v/>
      </c>
    </row>
    <row r="2579" ht="15" customHeight="1" s="26">
      <c r="A2579" s="34" t="n"/>
      <c r="B2579" s="32" t="n"/>
      <c r="C2579" s="33" t="n"/>
      <c r="D2579" s="37" t="str">
        <f>IF($C2579="","",IFERROR(INDEX(프로젝트목록!$B$3:$B$62,MATCH($C2579,프로젝트목록!$A$3:$A$62,0)),"미등록코드"))</f>
        <v/>
      </c>
      <c r="E2579" s="32" t="n"/>
      <c r="F2579" s="38" t="n"/>
      <c r="G2579" s="38" t="n"/>
      <c r="H2579" s="39" t="n"/>
      <c r="I2579" s="40" t="str">
        <f>IF(OR($J2579="",$K2579=""),"",ROUND(MAX(0,($K2579-$J2579)-IF($H2579="",0,$H2579))/60,2))</f>
        <v/>
      </c>
      <c r="J2579" s="41" t="str">
        <f>IF($F2579="","",IF($F2579&lt;1,ROUND($F2579*1440,0),INT($F2579/100)*60+MOD($F2579,100)))</f>
        <v/>
      </c>
      <c r="K2579" s="41" t="str">
        <f>IF($G2579="","",IF($G2579&lt;1,ROUND($G2579*1440,0),INT($G2579/100)*60+MOD($G2579,100)))</f>
        <v/>
      </c>
    </row>
    <row r="2580" ht="15" customHeight="1" s="26">
      <c r="A2580" s="34" t="n"/>
      <c r="B2580" s="32" t="n"/>
      <c r="C2580" s="33" t="n"/>
      <c r="D2580" s="37" t="str">
        <f>IF($C2580="","",IFERROR(INDEX(프로젝트목록!$B$3:$B$62,MATCH($C2580,프로젝트목록!$A$3:$A$62,0)),"미등록코드"))</f>
        <v/>
      </c>
      <c r="E2580" s="32" t="n"/>
      <c r="F2580" s="38" t="n"/>
      <c r="G2580" s="38" t="n"/>
      <c r="H2580" s="39" t="n"/>
      <c r="I2580" s="40" t="str">
        <f>IF(OR($J2580="",$K2580=""),"",ROUND(MAX(0,($K2580-$J2580)-IF($H2580="",0,$H2580))/60,2))</f>
        <v/>
      </c>
      <c r="J2580" s="41" t="str">
        <f>IF($F2580="","",IF($F2580&lt;1,ROUND($F2580*1440,0),INT($F2580/100)*60+MOD($F2580,100)))</f>
        <v/>
      </c>
      <c r="K2580" s="41" t="str">
        <f>IF($G2580="","",IF($G2580&lt;1,ROUND($G2580*1440,0),INT($G2580/100)*60+MOD($G2580,100)))</f>
        <v/>
      </c>
    </row>
    <row r="2581" ht="15" customHeight="1" s="26">
      <c r="A2581" s="34" t="n"/>
      <c r="B2581" s="32" t="n"/>
      <c r="C2581" s="33" t="n"/>
      <c r="D2581" s="37" t="str">
        <f>IF($C2581="","",IFERROR(INDEX(프로젝트목록!$B$3:$B$62,MATCH($C2581,프로젝트목록!$A$3:$A$62,0)),"미등록코드"))</f>
        <v/>
      </c>
      <c r="E2581" s="32" t="n"/>
      <c r="F2581" s="38" t="n"/>
      <c r="G2581" s="38" t="n"/>
      <c r="H2581" s="39" t="n"/>
      <c r="I2581" s="40" t="str">
        <f>IF(OR($J2581="",$K2581=""),"",ROUND(MAX(0,($K2581-$J2581)-IF($H2581="",0,$H2581))/60,2))</f>
        <v/>
      </c>
      <c r="J2581" s="41" t="str">
        <f>IF($F2581="","",IF($F2581&lt;1,ROUND($F2581*1440,0),INT($F2581/100)*60+MOD($F2581,100)))</f>
        <v/>
      </c>
      <c r="K2581" s="41" t="str">
        <f>IF($G2581="","",IF($G2581&lt;1,ROUND($G2581*1440,0),INT($G2581/100)*60+MOD($G2581,100)))</f>
        <v/>
      </c>
    </row>
    <row r="2582" ht="15" customHeight="1" s="26">
      <c r="A2582" s="34" t="n"/>
      <c r="B2582" s="32" t="n"/>
      <c r="C2582" s="33" t="n"/>
      <c r="D2582" s="37" t="str">
        <f>IF($C2582="","",IFERROR(INDEX(프로젝트목록!$B$3:$B$62,MATCH($C2582,프로젝트목록!$A$3:$A$62,0)),"미등록코드"))</f>
        <v/>
      </c>
      <c r="E2582" s="32" t="n"/>
      <c r="F2582" s="38" t="n"/>
      <c r="G2582" s="38" t="n"/>
      <c r="H2582" s="39" t="n"/>
      <c r="I2582" s="40" t="str">
        <f>IF(OR($J2582="",$K2582=""),"",ROUND(MAX(0,($K2582-$J2582)-IF($H2582="",0,$H2582))/60,2))</f>
        <v/>
      </c>
      <c r="J2582" s="41" t="str">
        <f>IF($F2582="","",IF($F2582&lt;1,ROUND($F2582*1440,0),INT($F2582/100)*60+MOD($F2582,100)))</f>
        <v/>
      </c>
      <c r="K2582" s="41" t="str">
        <f>IF($G2582="","",IF($G2582&lt;1,ROUND($G2582*1440,0),INT($G2582/100)*60+MOD($G2582,100)))</f>
        <v/>
      </c>
    </row>
    <row r="2583" ht="15" customHeight="1" s="26">
      <c r="A2583" s="34" t="n"/>
      <c r="B2583" s="32" t="n"/>
      <c r="C2583" s="33" t="n"/>
      <c r="D2583" s="37" t="str">
        <f>IF($C2583="","",IFERROR(INDEX(프로젝트목록!$B$3:$B$62,MATCH($C2583,프로젝트목록!$A$3:$A$62,0)),"미등록코드"))</f>
        <v/>
      </c>
      <c r="E2583" s="32" t="n"/>
      <c r="F2583" s="38" t="n"/>
      <c r="G2583" s="38" t="n"/>
      <c r="H2583" s="39" t="n"/>
      <c r="I2583" s="40" t="str">
        <f>IF(OR($J2583="",$K2583=""),"",ROUND(MAX(0,($K2583-$J2583)-IF($H2583="",0,$H2583))/60,2))</f>
        <v/>
      </c>
      <c r="J2583" s="41" t="str">
        <f>IF($F2583="","",IF($F2583&lt;1,ROUND($F2583*1440,0),INT($F2583/100)*60+MOD($F2583,100)))</f>
        <v/>
      </c>
      <c r="K2583" s="41" t="str">
        <f>IF($G2583="","",IF($G2583&lt;1,ROUND($G2583*1440,0),INT($G2583/100)*60+MOD($G2583,100)))</f>
        <v/>
      </c>
    </row>
    <row r="2584" ht="15" customHeight="1" s="26">
      <c r="A2584" s="34" t="n"/>
      <c r="B2584" s="32" t="n"/>
      <c r="C2584" s="33" t="n"/>
      <c r="D2584" s="37" t="str">
        <f>IF($C2584="","",IFERROR(INDEX(프로젝트목록!$B$3:$B$62,MATCH($C2584,프로젝트목록!$A$3:$A$62,0)),"미등록코드"))</f>
        <v/>
      </c>
      <c r="E2584" s="32" t="n"/>
      <c r="F2584" s="38" t="n"/>
      <c r="G2584" s="38" t="n"/>
      <c r="H2584" s="39" t="n"/>
      <c r="I2584" s="40" t="str">
        <f>IF(OR($J2584="",$K2584=""),"",ROUND(MAX(0,($K2584-$J2584)-IF($H2584="",0,$H2584))/60,2))</f>
        <v/>
      </c>
      <c r="J2584" s="41" t="str">
        <f>IF($F2584="","",IF($F2584&lt;1,ROUND($F2584*1440,0),INT($F2584/100)*60+MOD($F2584,100)))</f>
        <v/>
      </c>
      <c r="K2584" s="41" t="str">
        <f>IF($G2584="","",IF($G2584&lt;1,ROUND($G2584*1440,0),INT($G2584/100)*60+MOD($G2584,100)))</f>
        <v/>
      </c>
    </row>
    <row r="2585" ht="15" customHeight="1" s="26">
      <c r="A2585" s="34" t="n"/>
      <c r="B2585" s="32" t="n"/>
      <c r="C2585" s="33" t="n"/>
      <c r="D2585" s="37" t="str">
        <f>IF($C2585="","",IFERROR(INDEX(프로젝트목록!$B$3:$B$62,MATCH($C2585,프로젝트목록!$A$3:$A$62,0)),"미등록코드"))</f>
        <v/>
      </c>
      <c r="E2585" s="32" t="n"/>
      <c r="F2585" s="38" t="n"/>
      <c r="G2585" s="38" t="n"/>
      <c r="H2585" s="39" t="n"/>
      <c r="I2585" s="40" t="str">
        <f>IF(OR($J2585="",$K2585=""),"",ROUND(MAX(0,($K2585-$J2585)-IF($H2585="",0,$H2585))/60,2))</f>
        <v/>
      </c>
      <c r="J2585" s="41" t="str">
        <f>IF($F2585="","",IF($F2585&lt;1,ROUND($F2585*1440,0),INT($F2585/100)*60+MOD($F2585,100)))</f>
        <v/>
      </c>
      <c r="K2585" s="41" t="str">
        <f>IF($G2585="","",IF($G2585&lt;1,ROUND($G2585*1440,0),INT($G2585/100)*60+MOD($G2585,100)))</f>
        <v/>
      </c>
    </row>
    <row r="2586" ht="15" customHeight="1" s="26">
      <c r="A2586" s="34" t="n"/>
      <c r="B2586" s="32" t="n"/>
      <c r="C2586" s="33" t="n"/>
      <c r="D2586" s="37" t="str">
        <f>IF($C2586="","",IFERROR(INDEX(프로젝트목록!$B$3:$B$62,MATCH($C2586,프로젝트목록!$A$3:$A$62,0)),"미등록코드"))</f>
        <v/>
      </c>
      <c r="E2586" s="32" t="n"/>
      <c r="F2586" s="38" t="n"/>
      <c r="G2586" s="38" t="n"/>
      <c r="H2586" s="39" t="n"/>
      <c r="I2586" s="40" t="str">
        <f>IF(OR($J2586="",$K2586=""),"",ROUND(MAX(0,($K2586-$J2586)-IF($H2586="",0,$H2586))/60,2))</f>
        <v/>
      </c>
      <c r="J2586" s="41" t="str">
        <f>IF($F2586="","",IF($F2586&lt;1,ROUND($F2586*1440,0),INT($F2586/100)*60+MOD($F2586,100)))</f>
        <v/>
      </c>
      <c r="K2586" s="41" t="str">
        <f>IF($G2586="","",IF($G2586&lt;1,ROUND($G2586*1440,0),INT($G2586/100)*60+MOD($G2586,100)))</f>
        <v/>
      </c>
    </row>
    <row r="2587" ht="15" customHeight="1" s="26">
      <c r="A2587" s="34" t="n"/>
      <c r="B2587" s="32" t="n"/>
      <c r="C2587" s="33" t="n"/>
      <c r="D2587" s="37" t="str">
        <f>IF($C2587="","",IFERROR(INDEX(프로젝트목록!$B$3:$B$62,MATCH($C2587,프로젝트목록!$A$3:$A$62,0)),"미등록코드"))</f>
        <v/>
      </c>
      <c r="E2587" s="32" t="n"/>
      <c r="F2587" s="38" t="n"/>
      <c r="G2587" s="38" t="n"/>
      <c r="H2587" s="39" t="n"/>
      <c r="I2587" s="40" t="str">
        <f>IF(OR($J2587="",$K2587=""),"",ROUND(MAX(0,($K2587-$J2587)-IF($H2587="",0,$H2587))/60,2))</f>
        <v/>
      </c>
      <c r="J2587" s="41" t="str">
        <f>IF($F2587="","",IF($F2587&lt;1,ROUND($F2587*1440,0),INT($F2587/100)*60+MOD($F2587,100)))</f>
        <v/>
      </c>
      <c r="K2587" s="41" t="str">
        <f>IF($G2587="","",IF($G2587&lt;1,ROUND($G2587*1440,0),INT($G2587/100)*60+MOD($G2587,100)))</f>
        <v/>
      </c>
    </row>
    <row r="2588" ht="15" customHeight="1" s="26">
      <c r="A2588" s="34" t="n"/>
      <c r="B2588" s="32" t="n"/>
      <c r="C2588" s="33" t="n"/>
      <c r="D2588" s="37" t="str">
        <f>IF($C2588="","",IFERROR(INDEX(프로젝트목록!$B$3:$B$62,MATCH($C2588,프로젝트목록!$A$3:$A$62,0)),"미등록코드"))</f>
        <v/>
      </c>
      <c r="E2588" s="32" t="n"/>
      <c r="F2588" s="38" t="n"/>
      <c r="G2588" s="38" t="n"/>
      <c r="H2588" s="39" t="n"/>
      <c r="I2588" s="40" t="str">
        <f>IF(OR($J2588="",$K2588=""),"",ROUND(MAX(0,($K2588-$J2588)-IF($H2588="",0,$H2588))/60,2))</f>
        <v/>
      </c>
      <c r="J2588" s="41" t="str">
        <f>IF($F2588="","",IF($F2588&lt;1,ROUND($F2588*1440,0),INT($F2588/100)*60+MOD($F2588,100)))</f>
        <v/>
      </c>
      <c r="K2588" s="41" t="str">
        <f>IF($G2588="","",IF($G2588&lt;1,ROUND($G2588*1440,0),INT($G2588/100)*60+MOD($G2588,100)))</f>
        <v/>
      </c>
    </row>
    <row r="2589" ht="15" customHeight="1" s="26">
      <c r="A2589" s="34" t="n"/>
      <c r="B2589" s="32" t="n"/>
      <c r="C2589" s="33" t="n"/>
      <c r="D2589" s="37" t="str">
        <f>IF($C2589="","",IFERROR(INDEX(프로젝트목록!$B$3:$B$62,MATCH($C2589,프로젝트목록!$A$3:$A$62,0)),"미등록코드"))</f>
        <v/>
      </c>
      <c r="E2589" s="32" t="n"/>
      <c r="F2589" s="38" t="n"/>
      <c r="G2589" s="38" t="n"/>
      <c r="H2589" s="39" t="n"/>
      <c r="I2589" s="40" t="str">
        <f>IF(OR($J2589="",$K2589=""),"",ROUND(MAX(0,($K2589-$J2589)-IF($H2589="",0,$H2589))/60,2))</f>
        <v/>
      </c>
      <c r="J2589" s="41" t="str">
        <f>IF($F2589="","",IF($F2589&lt;1,ROUND($F2589*1440,0),INT($F2589/100)*60+MOD($F2589,100)))</f>
        <v/>
      </c>
      <c r="K2589" s="41" t="str">
        <f>IF($G2589="","",IF($G2589&lt;1,ROUND($G2589*1440,0),INT($G2589/100)*60+MOD($G2589,100)))</f>
        <v/>
      </c>
    </row>
    <row r="2590" ht="15" customHeight="1" s="26">
      <c r="A2590" s="34" t="n"/>
      <c r="B2590" s="32" t="n"/>
      <c r="C2590" s="33" t="n"/>
      <c r="D2590" s="37" t="str">
        <f>IF($C2590="","",IFERROR(INDEX(프로젝트목록!$B$3:$B$62,MATCH($C2590,프로젝트목록!$A$3:$A$62,0)),"미등록코드"))</f>
        <v/>
      </c>
      <c r="E2590" s="32" t="n"/>
      <c r="F2590" s="38" t="n"/>
      <c r="G2590" s="38" t="n"/>
      <c r="H2590" s="39" t="n"/>
      <c r="I2590" s="40" t="str">
        <f>IF(OR($J2590="",$K2590=""),"",ROUND(MAX(0,($K2590-$J2590)-IF($H2590="",0,$H2590))/60,2))</f>
        <v/>
      </c>
      <c r="J2590" s="41" t="str">
        <f>IF($F2590="","",IF($F2590&lt;1,ROUND($F2590*1440,0),INT($F2590/100)*60+MOD($F2590,100)))</f>
        <v/>
      </c>
      <c r="K2590" s="41" t="str">
        <f>IF($G2590="","",IF($G2590&lt;1,ROUND($G2590*1440,0),INT($G2590/100)*60+MOD($G2590,100)))</f>
        <v/>
      </c>
    </row>
    <row r="2591" ht="15" customHeight="1" s="26">
      <c r="A2591" s="34" t="n"/>
      <c r="B2591" s="32" t="n"/>
      <c r="C2591" s="33" t="n"/>
      <c r="D2591" s="37" t="str">
        <f>IF($C2591="","",IFERROR(INDEX(프로젝트목록!$B$3:$B$62,MATCH($C2591,프로젝트목록!$A$3:$A$62,0)),"미등록코드"))</f>
        <v/>
      </c>
      <c r="E2591" s="32" t="n"/>
      <c r="F2591" s="38" t="n"/>
      <c r="G2591" s="38" t="n"/>
      <c r="H2591" s="39" t="n"/>
      <c r="I2591" s="40" t="str">
        <f>IF(OR($J2591="",$K2591=""),"",ROUND(MAX(0,($K2591-$J2591)-IF($H2591="",0,$H2591))/60,2))</f>
        <v/>
      </c>
      <c r="J2591" s="41" t="str">
        <f>IF($F2591="","",IF($F2591&lt;1,ROUND($F2591*1440,0),INT($F2591/100)*60+MOD($F2591,100)))</f>
        <v/>
      </c>
      <c r="K2591" s="41" t="str">
        <f>IF($G2591="","",IF($G2591&lt;1,ROUND($G2591*1440,0),INT($G2591/100)*60+MOD($G2591,100)))</f>
        <v/>
      </c>
    </row>
    <row r="2592" ht="15" customHeight="1" s="26">
      <c r="A2592" s="34" t="n"/>
      <c r="B2592" s="32" t="n"/>
      <c r="C2592" s="33" t="n"/>
      <c r="D2592" s="37" t="str">
        <f>IF($C2592="","",IFERROR(INDEX(프로젝트목록!$B$3:$B$62,MATCH($C2592,프로젝트목록!$A$3:$A$62,0)),"미등록코드"))</f>
        <v/>
      </c>
      <c r="E2592" s="32" t="n"/>
      <c r="F2592" s="38" t="n"/>
      <c r="G2592" s="38" t="n"/>
      <c r="H2592" s="39" t="n"/>
      <c r="I2592" s="40" t="str">
        <f>IF(OR($J2592="",$K2592=""),"",ROUND(MAX(0,($K2592-$J2592)-IF($H2592="",0,$H2592))/60,2))</f>
        <v/>
      </c>
      <c r="J2592" s="41" t="str">
        <f>IF($F2592="","",IF($F2592&lt;1,ROUND($F2592*1440,0),INT($F2592/100)*60+MOD($F2592,100)))</f>
        <v/>
      </c>
      <c r="K2592" s="41" t="str">
        <f>IF($G2592="","",IF($G2592&lt;1,ROUND($G2592*1440,0),INT($G2592/100)*60+MOD($G2592,100)))</f>
        <v/>
      </c>
    </row>
    <row r="2593" ht="15" customHeight="1" s="26">
      <c r="A2593" s="34" t="n"/>
      <c r="B2593" s="32" t="n"/>
      <c r="C2593" s="33" t="n"/>
      <c r="D2593" s="37" t="str">
        <f>IF($C2593="","",IFERROR(INDEX(프로젝트목록!$B$3:$B$62,MATCH($C2593,프로젝트목록!$A$3:$A$62,0)),"미등록코드"))</f>
        <v/>
      </c>
      <c r="E2593" s="32" t="n"/>
      <c r="F2593" s="38" t="n"/>
      <c r="G2593" s="38" t="n"/>
      <c r="H2593" s="39" t="n"/>
      <c r="I2593" s="40" t="str">
        <f>IF(OR($J2593="",$K2593=""),"",ROUND(MAX(0,($K2593-$J2593)-IF($H2593="",0,$H2593))/60,2))</f>
        <v/>
      </c>
      <c r="J2593" s="41" t="str">
        <f>IF($F2593="","",IF($F2593&lt;1,ROUND($F2593*1440,0),INT($F2593/100)*60+MOD($F2593,100)))</f>
        <v/>
      </c>
      <c r="K2593" s="41" t="str">
        <f>IF($G2593="","",IF($G2593&lt;1,ROUND($G2593*1440,0),INT($G2593/100)*60+MOD($G2593,100)))</f>
        <v/>
      </c>
    </row>
    <row r="2594" ht="15" customHeight="1" s="26">
      <c r="A2594" s="34" t="n"/>
      <c r="B2594" s="32" t="n"/>
      <c r="C2594" s="33" t="n"/>
      <c r="D2594" s="37" t="str">
        <f>IF($C2594="","",IFERROR(INDEX(프로젝트목록!$B$3:$B$62,MATCH($C2594,프로젝트목록!$A$3:$A$62,0)),"미등록코드"))</f>
        <v/>
      </c>
      <c r="E2594" s="32" t="n"/>
      <c r="F2594" s="38" t="n"/>
      <c r="G2594" s="38" t="n"/>
      <c r="H2594" s="39" t="n"/>
      <c r="I2594" s="40" t="str">
        <f>IF(OR($J2594="",$K2594=""),"",ROUND(MAX(0,($K2594-$J2594)-IF($H2594="",0,$H2594))/60,2))</f>
        <v/>
      </c>
      <c r="J2594" s="41" t="str">
        <f>IF($F2594="","",IF($F2594&lt;1,ROUND($F2594*1440,0),INT($F2594/100)*60+MOD($F2594,100)))</f>
        <v/>
      </c>
      <c r="K2594" s="41" t="str">
        <f>IF($G2594="","",IF($G2594&lt;1,ROUND($G2594*1440,0),INT($G2594/100)*60+MOD($G2594,100)))</f>
        <v/>
      </c>
    </row>
    <row r="2595" ht="15" customHeight="1" s="26">
      <c r="A2595" s="34" t="n"/>
      <c r="B2595" s="32" t="n"/>
      <c r="C2595" s="33" t="n"/>
      <c r="D2595" s="37" t="str">
        <f>IF($C2595="","",IFERROR(INDEX(프로젝트목록!$B$3:$B$62,MATCH($C2595,프로젝트목록!$A$3:$A$62,0)),"미등록코드"))</f>
        <v/>
      </c>
      <c r="E2595" s="32" t="n"/>
      <c r="F2595" s="38" t="n"/>
      <c r="G2595" s="38" t="n"/>
      <c r="H2595" s="39" t="n"/>
      <c r="I2595" s="40" t="str">
        <f>IF(OR($J2595="",$K2595=""),"",ROUND(MAX(0,($K2595-$J2595)-IF($H2595="",0,$H2595))/60,2))</f>
        <v/>
      </c>
      <c r="J2595" s="41" t="str">
        <f>IF($F2595="","",IF($F2595&lt;1,ROUND($F2595*1440,0),INT($F2595/100)*60+MOD($F2595,100)))</f>
        <v/>
      </c>
      <c r="K2595" s="41" t="str">
        <f>IF($G2595="","",IF($G2595&lt;1,ROUND($G2595*1440,0),INT($G2595/100)*60+MOD($G2595,100)))</f>
        <v/>
      </c>
    </row>
    <row r="2596" ht="15" customHeight="1" s="26">
      <c r="A2596" s="34" t="n"/>
      <c r="B2596" s="32" t="n"/>
      <c r="C2596" s="33" t="n"/>
      <c r="D2596" s="37" t="str">
        <f>IF($C2596="","",IFERROR(INDEX(프로젝트목록!$B$3:$B$62,MATCH($C2596,프로젝트목록!$A$3:$A$62,0)),"미등록코드"))</f>
        <v/>
      </c>
      <c r="E2596" s="32" t="n"/>
      <c r="F2596" s="38" t="n"/>
      <c r="G2596" s="38" t="n"/>
      <c r="H2596" s="39" t="n"/>
      <c r="I2596" s="40" t="str">
        <f>IF(OR($J2596="",$K2596=""),"",ROUND(MAX(0,($K2596-$J2596)-IF($H2596="",0,$H2596))/60,2))</f>
        <v/>
      </c>
      <c r="J2596" s="41" t="str">
        <f>IF($F2596="","",IF($F2596&lt;1,ROUND($F2596*1440,0),INT($F2596/100)*60+MOD($F2596,100)))</f>
        <v/>
      </c>
      <c r="K2596" s="41" t="str">
        <f>IF($G2596="","",IF($G2596&lt;1,ROUND($G2596*1440,0),INT($G2596/100)*60+MOD($G2596,100)))</f>
        <v/>
      </c>
    </row>
    <row r="2597" ht="15" customHeight="1" s="26">
      <c r="A2597" s="34" t="n"/>
      <c r="B2597" s="32" t="n"/>
      <c r="C2597" s="33" t="n"/>
      <c r="D2597" s="37" t="str">
        <f>IF($C2597="","",IFERROR(INDEX(프로젝트목록!$B$3:$B$62,MATCH($C2597,프로젝트목록!$A$3:$A$62,0)),"미등록코드"))</f>
        <v/>
      </c>
      <c r="E2597" s="32" t="n"/>
      <c r="F2597" s="38" t="n"/>
      <c r="G2597" s="38" t="n"/>
      <c r="H2597" s="39" t="n"/>
      <c r="I2597" s="40" t="str">
        <f>IF(OR($J2597="",$K2597=""),"",ROUND(MAX(0,($K2597-$J2597)-IF($H2597="",0,$H2597))/60,2))</f>
        <v/>
      </c>
      <c r="J2597" s="41" t="str">
        <f>IF($F2597="","",IF($F2597&lt;1,ROUND($F2597*1440,0),INT($F2597/100)*60+MOD($F2597,100)))</f>
        <v/>
      </c>
      <c r="K2597" s="41" t="str">
        <f>IF($G2597="","",IF($G2597&lt;1,ROUND($G2597*1440,0),INT($G2597/100)*60+MOD($G2597,100)))</f>
        <v/>
      </c>
    </row>
    <row r="2598" ht="15" customHeight="1" s="26">
      <c r="A2598" s="34" t="n"/>
      <c r="B2598" s="32" t="n"/>
      <c r="C2598" s="33" t="n"/>
      <c r="D2598" s="37" t="str">
        <f>IF($C2598="","",IFERROR(INDEX(프로젝트목록!$B$3:$B$62,MATCH($C2598,프로젝트목록!$A$3:$A$62,0)),"미등록코드"))</f>
        <v/>
      </c>
      <c r="E2598" s="32" t="n"/>
      <c r="F2598" s="38" t="n"/>
      <c r="G2598" s="38" t="n"/>
      <c r="H2598" s="39" t="n"/>
      <c r="I2598" s="40" t="str">
        <f>IF(OR($J2598="",$K2598=""),"",ROUND(MAX(0,($K2598-$J2598)-IF($H2598="",0,$H2598))/60,2))</f>
        <v/>
      </c>
      <c r="J2598" s="41" t="str">
        <f>IF($F2598="","",IF($F2598&lt;1,ROUND($F2598*1440,0),INT($F2598/100)*60+MOD($F2598,100)))</f>
        <v/>
      </c>
      <c r="K2598" s="41" t="str">
        <f>IF($G2598="","",IF($G2598&lt;1,ROUND($G2598*1440,0),INT($G2598/100)*60+MOD($G2598,100)))</f>
        <v/>
      </c>
    </row>
    <row r="2599" ht="15" customHeight="1" s="26">
      <c r="A2599" s="34" t="n"/>
      <c r="B2599" s="32" t="n"/>
      <c r="C2599" s="33" t="n"/>
      <c r="D2599" s="37" t="str">
        <f>IF($C2599="","",IFERROR(INDEX(프로젝트목록!$B$3:$B$62,MATCH($C2599,프로젝트목록!$A$3:$A$62,0)),"미등록코드"))</f>
        <v/>
      </c>
      <c r="E2599" s="32" t="n"/>
      <c r="F2599" s="38" t="n"/>
      <c r="G2599" s="38" t="n"/>
      <c r="H2599" s="39" t="n"/>
      <c r="I2599" s="40" t="str">
        <f>IF(OR($J2599="",$K2599=""),"",ROUND(MAX(0,($K2599-$J2599)-IF($H2599="",0,$H2599))/60,2))</f>
        <v/>
      </c>
      <c r="J2599" s="41" t="str">
        <f>IF($F2599="","",IF($F2599&lt;1,ROUND($F2599*1440,0),INT($F2599/100)*60+MOD($F2599,100)))</f>
        <v/>
      </c>
      <c r="K2599" s="41" t="str">
        <f>IF($G2599="","",IF($G2599&lt;1,ROUND($G2599*1440,0),INT($G2599/100)*60+MOD($G2599,100)))</f>
        <v/>
      </c>
    </row>
    <row r="2600" ht="15" customHeight="1" s="26">
      <c r="A2600" s="34" t="n"/>
      <c r="B2600" s="32" t="n"/>
      <c r="C2600" s="33" t="n"/>
      <c r="D2600" s="37" t="str">
        <f>IF($C2600="","",IFERROR(INDEX(프로젝트목록!$B$3:$B$62,MATCH($C2600,프로젝트목록!$A$3:$A$62,0)),"미등록코드"))</f>
        <v/>
      </c>
      <c r="E2600" s="32" t="n"/>
      <c r="F2600" s="38" t="n"/>
      <c r="G2600" s="38" t="n"/>
      <c r="H2600" s="39" t="n"/>
      <c r="I2600" s="40" t="str">
        <f>IF(OR($J2600="",$K2600=""),"",ROUND(MAX(0,($K2600-$J2600)-IF($H2600="",0,$H2600))/60,2))</f>
        <v/>
      </c>
      <c r="J2600" s="41" t="str">
        <f>IF($F2600="","",IF($F2600&lt;1,ROUND($F2600*1440,0),INT($F2600/100)*60+MOD($F2600,100)))</f>
        <v/>
      </c>
      <c r="K2600" s="41" t="str">
        <f>IF($G2600="","",IF($G2600&lt;1,ROUND($G2600*1440,0),INT($G2600/100)*60+MOD($G2600,100)))</f>
        <v/>
      </c>
    </row>
    <row r="2601" ht="15" customHeight="1" s="26">
      <c r="A2601" s="34" t="n"/>
      <c r="B2601" s="32" t="n"/>
      <c r="C2601" s="33" t="n"/>
      <c r="D2601" s="37" t="str">
        <f>IF($C2601="","",IFERROR(INDEX(프로젝트목록!$B$3:$B$62,MATCH($C2601,프로젝트목록!$A$3:$A$62,0)),"미등록코드"))</f>
        <v/>
      </c>
      <c r="E2601" s="32" t="n"/>
      <c r="F2601" s="38" t="n"/>
      <c r="G2601" s="38" t="n"/>
      <c r="H2601" s="39" t="n"/>
      <c r="I2601" s="40" t="str">
        <f>IF(OR($J2601="",$K2601=""),"",ROUND(MAX(0,($K2601-$J2601)-IF($H2601="",0,$H2601))/60,2))</f>
        <v/>
      </c>
      <c r="J2601" s="41" t="str">
        <f>IF($F2601="","",IF($F2601&lt;1,ROUND($F2601*1440,0),INT($F2601/100)*60+MOD($F2601,100)))</f>
        <v/>
      </c>
      <c r="K2601" s="41" t="str">
        <f>IF($G2601="","",IF($G2601&lt;1,ROUND($G2601*1440,0),INT($G2601/100)*60+MOD($G2601,100)))</f>
        <v/>
      </c>
    </row>
    <row r="2602" ht="15" customHeight="1" s="26">
      <c r="A2602" s="34" t="n"/>
      <c r="B2602" s="32" t="n"/>
      <c r="C2602" s="33" t="n"/>
      <c r="D2602" s="37" t="str">
        <f>IF($C2602="","",IFERROR(INDEX(프로젝트목록!$B$3:$B$62,MATCH($C2602,프로젝트목록!$A$3:$A$62,0)),"미등록코드"))</f>
        <v/>
      </c>
      <c r="E2602" s="32" t="n"/>
      <c r="F2602" s="38" t="n"/>
      <c r="G2602" s="38" t="n"/>
      <c r="H2602" s="39" t="n"/>
      <c r="I2602" s="40" t="str">
        <f>IF(OR($J2602="",$K2602=""),"",ROUND(MAX(0,($K2602-$J2602)-IF($H2602="",0,$H2602))/60,2))</f>
        <v/>
      </c>
      <c r="J2602" s="41" t="str">
        <f>IF($F2602="","",IF($F2602&lt;1,ROUND($F2602*1440,0),INT($F2602/100)*60+MOD($F2602,100)))</f>
        <v/>
      </c>
      <c r="K2602" s="41" t="str">
        <f>IF($G2602="","",IF($G2602&lt;1,ROUND($G2602*1440,0),INT($G2602/100)*60+MOD($G2602,100)))</f>
        <v/>
      </c>
    </row>
    <row r="2603" ht="15" customHeight="1" s="26">
      <c r="A2603" s="34" t="n"/>
      <c r="B2603" s="32" t="n"/>
      <c r="C2603" s="33" t="n"/>
      <c r="D2603" s="37" t="str">
        <f>IF($C2603="","",IFERROR(INDEX(프로젝트목록!$B$3:$B$62,MATCH($C2603,프로젝트목록!$A$3:$A$62,0)),"미등록코드"))</f>
        <v/>
      </c>
      <c r="E2603" s="32" t="n"/>
      <c r="F2603" s="38" t="n"/>
      <c r="G2603" s="38" t="n"/>
      <c r="H2603" s="39" t="n"/>
      <c r="I2603" s="40" t="str">
        <f>IF(OR($J2603="",$K2603=""),"",ROUND(MAX(0,($K2603-$J2603)-IF($H2603="",0,$H2603))/60,2))</f>
        <v/>
      </c>
      <c r="J2603" s="41" t="str">
        <f>IF($F2603="","",IF($F2603&lt;1,ROUND($F2603*1440,0),INT($F2603/100)*60+MOD($F2603,100)))</f>
        <v/>
      </c>
      <c r="K2603" s="41" t="str">
        <f>IF($G2603="","",IF($G2603&lt;1,ROUND($G2603*1440,0),INT($G2603/100)*60+MOD($G2603,100)))</f>
        <v/>
      </c>
    </row>
    <row r="2604" ht="15" customHeight="1" s="26">
      <c r="A2604" s="34" t="n"/>
      <c r="B2604" s="32" t="n"/>
      <c r="C2604" s="33" t="n"/>
      <c r="D2604" s="37" t="str">
        <f>IF($C2604="","",IFERROR(INDEX(프로젝트목록!$B$3:$B$62,MATCH($C2604,프로젝트목록!$A$3:$A$62,0)),"미등록코드"))</f>
        <v/>
      </c>
      <c r="E2604" s="32" t="n"/>
      <c r="F2604" s="38" t="n"/>
      <c r="G2604" s="38" t="n"/>
      <c r="H2604" s="39" t="n"/>
      <c r="I2604" s="40" t="str">
        <f>IF(OR($J2604="",$K2604=""),"",ROUND(MAX(0,($K2604-$J2604)-IF($H2604="",0,$H2604))/60,2))</f>
        <v/>
      </c>
      <c r="J2604" s="41" t="str">
        <f>IF($F2604="","",IF($F2604&lt;1,ROUND($F2604*1440,0),INT($F2604/100)*60+MOD($F2604,100)))</f>
        <v/>
      </c>
      <c r="K2604" s="41" t="str">
        <f>IF($G2604="","",IF($G2604&lt;1,ROUND($G2604*1440,0),INT($G2604/100)*60+MOD($G2604,100)))</f>
        <v/>
      </c>
    </row>
    <row r="2605" ht="15" customHeight="1" s="26">
      <c r="A2605" s="34" t="n"/>
      <c r="B2605" s="32" t="n"/>
      <c r="C2605" s="33" t="n"/>
      <c r="D2605" s="37" t="str">
        <f>IF($C2605="","",IFERROR(INDEX(프로젝트목록!$B$3:$B$62,MATCH($C2605,프로젝트목록!$A$3:$A$62,0)),"미등록코드"))</f>
        <v/>
      </c>
      <c r="E2605" s="32" t="n"/>
      <c r="F2605" s="38" t="n"/>
      <c r="G2605" s="38" t="n"/>
      <c r="H2605" s="39" t="n"/>
      <c r="I2605" s="40" t="str">
        <f>IF(OR($J2605="",$K2605=""),"",ROUND(MAX(0,($K2605-$J2605)-IF($H2605="",0,$H2605))/60,2))</f>
        <v/>
      </c>
      <c r="J2605" s="41" t="str">
        <f>IF($F2605="","",IF($F2605&lt;1,ROUND($F2605*1440,0),INT($F2605/100)*60+MOD($F2605,100)))</f>
        <v/>
      </c>
      <c r="K2605" s="41" t="str">
        <f>IF($G2605="","",IF($G2605&lt;1,ROUND($G2605*1440,0),INT($G2605/100)*60+MOD($G2605,100)))</f>
        <v/>
      </c>
    </row>
    <row r="2606" ht="15" customHeight="1" s="26">
      <c r="A2606" s="34" t="n"/>
      <c r="B2606" s="32" t="n"/>
      <c r="C2606" s="33" t="n"/>
      <c r="D2606" s="37" t="str">
        <f>IF($C2606="","",IFERROR(INDEX(프로젝트목록!$B$3:$B$62,MATCH($C2606,프로젝트목록!$A$3:$A$62,0)),"미등록코드"))</f>
        <v/>
      </c>
      <c r="E2606" s="32" t="n"/>
      <c r="F2606" s="38" t="n"/>
      <c r="G2606" s="38" t="n"/>
      <c r="H2606" s="39" t="n"/>
      <c r="I2606" s="40" t="str">
        <f>IF(OR($J2606="",$K2606=""),"",ROUND(MAX(0,($K2606-$J2606)-IF($H2606="",0,$H2606))/60,2))</f>
        <v/>
      </c>
      <c r="J2606" s="41" t="str">
        <f>IF($F2606="","",IF($F2606&lt;1,ROUND($F2606*1440,0),INT($F2606/100)*60+MOD($F2606,100)))</f>
        <v/>
      </c>
      <c r="K2606" s="41" t="str">
        <f>IF($G2606="","",IF($G2606&lt;1,ROUND($G2606*1440,0),INT($G2606/100)*60+MOD($G2606,100)))</f>
        <v/>
      </c>
    </row>
    <row r="2607" ht="15" customHeight="1" s="26">
      <c r="A2607" s="34" t="n"/>
      <c r="B2607" s="32" t="n"/>
      <c r="C2607" s="33" t="n"/>
      <c r="D2607" s="37" t="str">
        <f>IF($C2607="","",IFERROR(INDEX(프로젝트목록!$B$3:$B$62,MATCH($C2607,프로젝트목록!$A$3:$A$62,0)),"미등록코드"))</f>
        <v/>
      </c>
      <c r="E2607" s="32" t="n"/>
      <c r="F2607" s="38" t="n"/>
      <c r="G2607" s="38" t="n"/>
      <c r="H2607" s="39" t="n"/>
      <c r="I2607" s="40" t="str">
        <f>IF(OR($J2607="",$K2607=""),"",ROUND(MAX(0,($K2607-$J2607)-IF($H2607="",0,$H2607))/60,2))</f>
        <v/>
      </c>
      <c r="J2607" s="41" t="str">
        <f>IF($F2607="","",IF($F2607&lt;1,ROUND($F2607*1440,0),INT($F2607/100)*60+MOD($F2607,100)))</f>
        <v/>
      </c>
      <c r="K2607" s="41" t="str">
        <f>IF($G2607="","",IF($G2607&lt;1,ROUND($G2607*1440,0),INT($G2607/100)*60+MOD($G2607,100)))</f>
        <v/>
      </c>
    </row>
    <row r="2608" ht="15" customHeight="1" s="26">
      <c r="A2608" s="34" t="n"/>
      <c r="B2608" s="32" t="n"/>
      <c r="C2608" s="33" t="n"/>
      <c r="D2608" s="37" t="str">
        <f>IF($C2608="","",IFERROR(INDEX(프로젝트목록!$B$3:$B$62,MATCH($C2608,프로젝트목록!$A$3:$A$62,0)),"미등록코드"))</f>
        <v/>
      </c>
      <c r="E2608" s="32" t="n"/>
      <c r="F2608" s="38" t="n"/>
      <c r="G2608" s="38" t="n"/>
      <c r="H2608" s="39" t="n"/>
      <c r="I2608" s="40" t="str">
        <f>IF(OR($J2608="",$K2608=""),"",ROUND(MAX(0,($K2608-$J2608)-IF($H2608="",0,$H2608))/60,2))</f>
        <v/>
      </c>
      <c r="J2608" s="41" t="str">
        <f>IF($F2608="","",IF($F2608&lt;1,ROUND($F2608*1440,0),INT($F2608/100)*60+MOD($F2608,100)))</f>
        <v/>
      </c>
      <c r="K2608" s="41" t="str">
        <f>IF($G2608="","",IF($G2608&lt;1,ROUND($G2608*1440,0),INT($G2608/100)*60+MOD($G2608,100)))</f>
        <v/>
      </c>
    </row>
    <row r="2609" ht="15" customHeight="1" s="26">
      <c r="A2609" s="34" t="n"/>
      <c r="B2609" s="32" t="n"/>
      <c r="C2609" s="33" t="n"/>
      <c r="D2609" s="37" t="str">
        <f>IF($C2609="","",IFERROR(INDEX(프로젝트목록!$B$3:$B$62,MATCH($C2609,프로젝트목록!$A$3:$A$62,0)),"미등록코드"))</f>
        <v/>
      </c>
      <c r="E2609" s="32" t="n"/>
      <c r="F2609" s="38" t="n"/>
      <c r="G2609" s="38" t="n"/>
      <c r="H2609" s="39" t="n"/>
      <c r="I2609" s="40" t="str">
        <f>IF(OR($J2609="",$K2609=""),"",ROUND(MAX(0,($K2609-$J2609)-IF($H2609="",0,$H2609))/60,2))</f>
        <v/>
      </c>
      <c r="J2609" s="41" t="str">
        <f>IF($F2609="","",IF($F2609&lt;1,ROUND($F2609*1440,0),INT($F2609/100)*60+MOD($F2609,100)))</f>
        <v/>
      </c>
      <c r="K2609" s="41" t="str">
        <f>IF($G2609="","",IF($G2609&lt;1,ROUND($G2609*1440,0),INT($G2609/100)*60+MOD($G2609,100)))</f>
        <v/>
      </c>
    </row>
    <row r="2610" ht="15" customHeight="1" s="26">
      <c r="A2610" s="34" t="n"/>
      <c r="B2610" s="32" t="n"/>
      <c r="C2610" s="33" t="n"/>
      <c r="D2610" s="37" t="str">
        <f>IF($C2610="","",IFERROR(INDEX(프로젝트목록!$B$3:$B$62,MATCH($C2610,프로젝트목록!$A$3:$A$62,0)),"미등록코드"))</f>
        <v/>
      </c>
      <c r="E2610" s="32" t="n"/>
      <c r="F2610" s="38" t="n"/>
      <c r="G2610" s="38" t="n"/>
      <c r="H2610" s="39" t="n"/>
      <c r="I2610" s="40" t="str">
        <f>IF(OR($J2610="",$K2610=""),"",ROUND(MAX(0,($K2610-$J2610)-IF($H2610="",0,$H2610))/60,2))</f>
        <v/>
      </c>
      <c r="J2610" s="41" t="str">
        <f>IF($F2610="","",IF($F2610&lt;1,ROUND($F2610*1440,0),INT($F2610/100)*60+MOD($F2610,100)))</f>
        <v/>
      </c>
      <c r="K2610" s="41" t="str">
        <f>IF($G2610="","",IF($G2610&lt;1,ROUND($G2610*1440,0),INT($G2610/100)*60+MOD($G2610,100)))</f>
        <v/>
      </c>
    </row>
    <row r="2611" ht="15" customHeight="1" s="26">
      <c r="A2611" s="34" t="n"/>
      <c r="B2611" s="32" t="n"/>
      <c r="C2611" s="33" t="n"/>
      <c r="D2611" s="37" t="str">
        <f>IF($C2611="","",IFERROR(INDEX(프로젝트목록!$B$3:$B$62,MATCH($C2611,프로젝트목록!$A$3:$A$62,0)),"미등록코드"))</f>
        <v/>
      </c>
      <c r="E2611" s="32" t="n"/>
      <c r="F2611" s="38" t="n"/>
      <c r="G2611" s="38" t="n"/>
      <c r="H2611" s="39" t="n"/>
      <c r="I2611" s="40" t="str">
        <f>IF(OR($J2611="",$K2611=""),"",ROUND(MAX(0,($K2611-$J2611)-IF($H2611="",0,$H2611))/60,2))</f>
        <v/>
      </c>
      <c r="J2611" s="41" t="str">
        <f>IF($F2611="","",IF($F2611&lt;1,ROUND($F2611*1440,0),INT($F2611/100)*60+MOD($F2611,100)))</f>
        <v/>
      </c>
      <c r="K2611" s="41" t="str">
        <f>IF($G2611="","",IF($G2611&lt;1,ROUND($G2611*1440,0),INT($G2611/100)*60+MOD($G2611,100)))</f>
        <v/>
      </c>
    </row>
    <row r="2612" ht="15" customHeight="1" s="26">
      <c r="A2612" s="34" t="n"/>
      <c r="B2612" s="32" t="n"/>
      <c r="C2612" s="33" t="n"/>
      <c r="D2612" s="37" t="str">
        <f>IF($C2612="","",IFERROR(INDEX(프로젝트목록!$B$3:$B$62,MATCH($C2612,프로젝트목록!$A$3:$A$62,0)),"미등록코드"))</f>
        <v/>
      </c>
      <c r="E2612" s="32" t="n"/>
      <c r="F2612" s="38" t="n"/>
      <c r="G2612" s="38" t="n"/>
      <c r="H2612" s="39" t="n"/>
      <c r="I2612" s="40" t="str">
        <f>IF(OR($J2612="",$K2612=""),"",ROUND(MAX(0,($K2612-$J2612)-IF($H2612="",0,$H2612))/60,2))</f>
        <v/>
      </c>
      <c r="J2612" s="41" t="str">
        <f>IF($F2612="","",IF($F2612&lt;1,ROUND($F2612*1440,0),INT($F2612/100)*60+MOD($F2612,100)))</f>
        <v/>
      </c>
      <c r="K2612" s="41" t="str">
        <f>IF($G2612="","",IF($G2612&lt;1,ROUND($G2612*1440,0),INT($G2612/100)*60+MOD($G2612,100)))</f>
        <v/>
      </c>
    </row>
    <row r="2613" ht="15" customHeight="1" s="26">
      <c r="A2613" s="34" t="n"/>
      <c r="B2613" s="32" t="n"/>
      <c r="C2613" s="33" t="n"/>
      <c r="D2613" s="37" t="str">
        <f>IF($C2613="","",IFERROR(INDEX(프로젝트목록!$B$3:$B$62,MATCH($C2613,프로젝트목록!$A$3:$A$62,0)),"미등록코드"))</f>
        <v/>
      </c>
      <c r="E2613" s="32" t="n"/>
      <c r="F2613" s="38" t="n"/>
      <c r="G2613" s="38" t="n"/>
      <c r="H2613" s="39" t="n"/>
      <c r="I2613" s="40" t="str">
        <f>IF(OR($J2613="",$K2613=""),"",ROUND(MAX(0,($K2613-$J2613)-IF($H2613="",0,$H2613))/60,2))</f>
        <v/>
      </c>
      <c r="J2613" s="41" t="str">
        <f>IF($F2613="","",IF($F2613&lt;1,ROUND($F2613*1440,0),INT($F2613/100)*60+MOD($F2613,100)))</f>
        <v/>
      </c>
      <c r="K2613" s="41" t="str">
        <f>IF($G2613="","",IF($G2613&lt;1,ROUND($G2613*1440,0),INT($G2613/100)*60+MOD($G2613,100)))</f>
        <v/>
      </c>
    </row>
    <row r="2614" ht="15" customHeight="1" s="26">
      <c r="A2614" s="34" t="n"/>
      <c r="B2614" s="32" t="n"/>
      <c r="C2614" s="33" t="n"/>
      <c r="D2614" s="37" t="str">
        <f>IF($C2614="","",IFERROR(INDEX(프로젝트목록!$B$3:$B$62,MATCH($C2614,프로젝트목록!$A$3:$A$62,0)),"미등록코드"))</f>
        <v/>
      </c>
      <c r="E2614" s="32" t="n"/>
      <c r="F2614" s="38" t="n"/>
      <c r="G2614" s="38" t="n"/>
      <c r="H2614" s="39" t="n"/>
      <c r="I2614" s="40" t="str">
        <f>IF(OR($J2614="",$K2614=""),"",ROUND(MAX(0,($K2614-$J2614)-IF($H2614="",0,$H2614))/60,2))</f>
        <v/>
      </c>
      <c r="J2614" s="41" t="str">
        <f>IF($F2614="","",IF($F2614&lt;1,ROUND($F2614*1440,0),INT($F2614/100)*60+MOD($F2614,100)))</f>
        <v/>
      </c>
      <c r="K2614" s="41" t="str">
        <f>IF($G2614="","",IF($G2614&lt;1,ROUND($G2614*1440,0),INT($G2614/100)*60+MOD($G2614,100)))</f>
        <v/>
      </c>
    </row>
    <row r="2615" ht="15" customHeight="1" s="26">
      <c r="A2615" s="34" t="n"/>
      <c r="B2615" s="32" t="n"/>
      <c r="C2615" s="33" t="n"/>
      <c r="D2615" s="37" t="str">
        <f>IF($C2615="","",IFERROR(INDEX(프로젝트목록!$B$3:$B$62,MATCH($C2615,프로젝트목록!$A$3:$A$62,0)),"미등록코드"))</f>
        <v/>
      </c>
      <c r="E2615" s="32" t="n"/>
      <c r="F2615" s="38" t="n"/>
      <c r="G2615" s="38" t="n"/>
      <c r="H2615" s="39" t="n"/>
      <c r="I2615" s="40" t="str">
        <f>IF(OR($J2615="",$K2615=""),"",ROUND(MAX(0,($K2615-$J2615)-IF($H2615="",0,$H2615))/60,2))</f>
        <v/>
      </c>
      <c r="J2615" s="41" t="str">
        <f>IF($F2615="","",IF($F2615&lt;1,ROUND($F2615*1440,0),INT($F2615/100)*60+MOD($F2615,100)))</f>
        <v/>
      </c>
      <c r="K2615" s="41" t="str">
        <f>IF($G2615="","",IF($G2615&lt;1,ROUND($G2615*1440,0),INT($G2615/100)*60+MOD($G2615,100)))</f>
        <v/>
      </c>
    </row>
    <row r="2616" ht="15" customHeight="1" s="26">
      <c r="A2616" s="34" t="n"/>
      <c r="B2616" s="32" t="n"/>
      <c r="C2616" s="33" t="n"/>
      <c r="D2616" s="37" t="str">
        <f>IF($C2616="","",IFERROR(INDEX(프로젝트목록!$B$3:$B$62,MATCH($C2616,프로젝트목록!$A$3:$A$62,0)),"미등록코드"))</f>
        <v/>
      </c>
      <c r="E2616" s="32" t="n"/>
      <c r="F2616" s="38" t="n"/>
      <c r="G2616" s="38" t="n"/>
      <c r="H2616" s="39" t="n"/>
      <c r="I2616" s="40" t="str">
        <f>IF(OR($J2616="",$K2616=""),"",ROUND(MAX(0,($K2616-$J2616)-IF($H2616="",0,$H2616))/60,2))</f>
        <v/>
      </c>
      <c r="J2616" s="41" t="str">
        <f>IF($F2616="","",IF($F2616&lt;1,ROUND($F2616*1440,0),INT($F2616/100)*60+MOD($F2616,100)))</f>
        <v/>
      </c>
      <c r="K2616" s="41" t="str">
        <f>IF($G2616="","",IF($G2616&lt;1,ROUND($G2616*1440,0),INT($G2616/100)*60+MOD($G2616,100)))</f>
        <v/>
      </c>
    </row>
    <row r="2617" ht="15" customHeight="1" s="26">
      <c r="A2617" s="34" t="n"/>
      <c r="B2617" s="32" t="n"/>
      <c r="C2617" s="33" t="n"/>
      <c r="D2617" s="37" t="str">
        <f>IF($C2617="","",IFERROR(INDEX(프로젝트목록!$B$3:$B$62,MATCH($C2617,프로젝트목록!$A$3:$A$62,0)),"미등록코드"))</f>
        <v/>
      </c>
      <c r="E2617" s="32" t="n"/>
      <c r="F2617" s="38" t="n"/>
      <c r="G2617" s="38" t="n"/>
      <c r="H2617" s="39" t="n"/>
      <c r="I2617" s="40" t="str">
        <f>IF(OR($J2617="",$K2617=""),"",ROUND(MAX(0,($K2617-$J2617)-IF($H2617="",0,$H2617))/60,2))</f>
        <v/>
      </c>
      <c r="J2617" s="41" t="str">
        <f>IF($F2617="","",IF($F2617&lt;1,ROUND($F2617*1440,0),INT($F2617/100)*60+MOD($F2617,100)))</f>
        <v/>
      </c>
      <c r="K2617" s="41" t="str">
        <f>IF($G2617="","",IF($G2617&lt;1,ROUND($G2617*1440,0),INT($G2617/100)*60+MOD($G2617,100)))</f>
        <v/>
      </c>
    </row>
    <row r="2618" ht="15" customHeight="1" s="26">
      <c r="A2618" s="34" t="n"/>
      <c r="B2618" s="32" t="n"/>
      <c r="C2618" s="33" t="n"/>
      <c r="D2618" s="37" t="str">
        <f>IF($C2618="","",IFERROR(INDEX(프로젝트목록!$B$3:$B$62,MATCH($C2618,프로젝트목록!$A$3:$A$62,0)),"미등록코드"))</f>
        <v/>
      </c>
      <c r="E2618" s="32" t="n"/>
      <c r="F2618" s="38" t="n"/>
      <c r="G2618" s="38" t="n"/>
      <c r="H2618" s="39" t="n"/>
      <c r="I2618" s="40" t="str">
        <f>IF(OR($J2618="",$K2618=""),"",ROUND(MAX(0,($K2618-$J2618)-IF($H2618="",0,$H2618))/60,2))</f>
        <v/>
      </c>
      <c r="J2618" s="41" t="str">
        <f>IF($F2618="","",IF($F2618&lt;1,ROUND($F2618*1440,0),INT($F2618/100)*60+MOD($F2618,100)))</f>
        <v/>
      </c>
      <c r="K2618" s="41" t="str">
        <f>IF($G2618="","",IF($G2618&lt;1,ROUND($G2618*1440,0),INT($G2618/100)*60+MOD($G2618,100)))</f>
        <v/>
      </c>
    </row>
    <row r="2619" ht="15" customHeight="1" s="26">
      <c r="A2619" s="34" t="n"/>
      <c r="B2619" s="32" t="n"/>
      <c r="C2619" s="33" t="n"/>
      <c r="D2619" s="37" t="str">
        <f>IF($C2619="","",IFERROR(INDEX(프로젝트목록!$B$3:$B$62,MATCH($C2619,프로젝트목록!$A$3:$A$62,0)),"미등록코드"))</f>
        <v/>
      </c>
      <c r="E2619" s="32" t="n"/>
      <c r="F2619" s="38" t="n"/>
      <c r="G2619" s="38" t="n"/>
      <c r="H2619" s="39" t="n"/>
      <c r="I2619" s="40" t="str">
        <f>IF(OR($J2619="",$K2619=""),"",ROUND(MAX(0,($K2619-$J2619)-IF($H2619="",0,$H2619))/60,2))</f>
        <v/>
      </c>
      <c r="J2619" s="41" t="str">
        <f>IF($F2619="","",IF($F2619&lt;1,ROUND($F2619*1440,0),INT($F2619/100)*60+MOD($F2619,100)))</f>
        <v/>
      </c>
      <c r="K2619" s="41" t="str">
        <f>IF($G2619="","",IF($G2619&lt;1,ROUND($G2619*1440,0),INT($G2619/100)*60+MOD($G2619,100)))</f>
        <v/>
      </c>
    </row>
    <row r="2620" ht="15" customHeight="1" s="26">
      <c r="A2620" s="34" t="n"/>
      <c r="B2620" s="32" t="n"/>
      <c r="C2620" s="33" t="n"/>
      <c r="D2620" s="37" t="str">
        <f>IF($C2620="","",IFERROR(INDEX(프로젝트목록!$B$3:$B$62,MATCH($C2620,프로젝트목록!$A$3:$A$62,0)),"미등록코드"))</f>
        <v/>
      </c>
      <c r="E2620" s="32" t="n"/>
      <c r="F2620" s="38" t="n"/>
      <c r="G2620" s="38" t="n"/>
      <c r="H2620" s="39" t="n"/>
      <c r="I2620" s="40" t="str">
        <f>IF(OR($J2620="",$K2620=""),"",ROUND(MAX(0,($K2620-$J2620)-IF($H2620="",0,$H2620))/60,2))</f>
        <v/>
      </c>
      <c r="J2620" s="41" t="str">
        <f>IF($F2620="","",IF($F2620&lt;1,ROUND($F2620*1440,0),INT($F2620/100)*60+MOD($F2620,100)))</f>
        <v/>
      </c>
      <c r="K2620" s="41" t="str">
        <f>IF($G2620="","",IF($G2620&lt;1,ROUND($G2620*1440,0),INT($G2620/100)*60+MOD($G2620,100)))</f>
        <v/>
      </c>
    </row>
    <row r="2621" ht="15" customHeight="1" s="26">
      <c r="A2621" s="34" t="n"/>
      <c r="B2621" s="32" t="n"/>
      <c r="C2621" s="33" t="n"/>
      <c r="D2621" s="37" t="str">
        <f>IF($C2621="","",IFERROR(INDEX(프로젝트목록!$B$3:$B$62,MATCH($C2621,프로젝트목록!$A$3:$A$62,0)),"미등록코드"))</f>
        <v/>
      </c>
      <c r="E2621" s="32" t="n"/>
      <c r="F2621" s="38" t="n"/>
      <c r="G2621" s="38" t="n"/>
      <c r="H2621" s="39" t="n"/>
      <c r="I2621" s="40" t="str">
        <f>IF(OR($J2621="",$K2621=""),"",ROUND(MAX(0,($K2621-$J2621)-IF($H2621="",0,$H2621))/60,2))</f>
        <v/>
      </c>
      <c r="J2621" s="41" t="str">
        <f>IF($F2621="","",IF($F2621&lt;1,ROUND($F2621*1440,0),INT($F2621/100)*60+MOD($F2621,100)))</f>
        <v/>
      </c>
      <c r="K2621" s="41" t="str">
        <f>IF($G2621="","",IF($G2621&lt;1,ROUND($G2621*1440,0),INT($G2621/100)*60+MOD($G2621,100)))</f>
        <v/>
      </c>
    </row>
    <row r="2622" ht="15" customHeight="1" s="26">
      <c r="A2622" s="34" t="n"/>
      <c r="B2622" s="32" t="n"/>
      <c r="C2622" s="33" t="n"/>
      <c r="D2622" s="37" t="str">
        <f>IF($C2622="","",IFERROR(INDEX(프로젝트목록!$B$3:$B$62,MATCH($C2622,프로젝트목록!$A$3:$A$62,0)),"미등록코드"))</f>
        <v/>
      </c>
      <c r="E2622" s="32" t="n"/>
      <c r="F2622" s="38" t="n"/>
      <c r="G2622" s="38" t="n"/>
      <c r="H2622" s="39" t="n"/>
      <c r="I2622" s="40" t="str">
        <f>IF(OR($J2622="",$K2622=""),"",ROUND(MAX(0,($K2622-$J2622)-IF($H2622="",0,$H2622))/60,2))</f>
        <v/>
      </c>
      <c r="J2622" s="41" t="str">
        <f>IF($F2622="","",IF($F2622&lt;1,ROUND($F2622*1440,0),INT($F2622/100)*60+MOD($F2622,100)))</f>
        <v/>
      </c>
      <c r="K2622" s="41" t="str">
        <f>IF($G2622="","",IF($G2622&lt;1,ROUND($G2622*1440,0),INT($G2622/100)*60+MOD($G2622,100)))</f>
        <v/>
      </c>
    </row>
    <row r="2623" ht="15" customHeight="1" s="26">
      <c r="A2623" s="34" t="n"/>
      <c r="B2623" s="32" t="n"/>
      <c r="C2623" s="33" t="n"/>
      <c r="D2623" s="37" t="str">
        <f>IF($C2623="","",IFERROR(INDEX(프로젝트목록!$B$3:$B$62,MATCH($C2623,프로젝트목록!$A$3:$A$62,0)),"미등록코드"))</f>
        <v/>
      </c>
      <c r="E2623" s="32" t="n"/>
      <c r="F2623" s="38" t="n"/>
      <c r="G2623" s="38" t="n"/>
      <c r="H2623" s="39" t="n"/>
      <c r="I2623" s="40" t="str">
        <f>IF(OR($J2623="",$K2623=""),"",ROUND(MAX(0,($K2623-$J2623)-IF($H2623="",0,$H2623))/60,2))</f>
        <v/>
      </c>
      <c r="J2623" s="41" t="str">
        <f>IF($F2623="","",IF($F2623&lt;1,ROUND($F2623*1440,0),INT($F2623/100)*60+MOD($F2623,100)))</f>
        <v/>
      </c>
      <c r="K2623" s="41" t="str">
        <f>IF($G2623="","",IF($G2623&lt;1,ROUND($G2623*1440,0),INT($G2623/100)*60+MOD($G2623,100)))</f>
        <v/>
      </c>
    </row>
    <row r="2624" ht="15" customHeight="1" s="26">
      <c r="A2624" s="34" t="n"/>
      <c r="B2624" s="32" t="n"/>
      <c r="C2624" s="33" t="n"/>
      <c r="D2624" s="37" t="str">
        <f>IF($C2624="","",IFERROR(INDEX(프로젝트목록!$B$3:$B$62,MATCH($C2624,프로젝트목록!$A$3:$A$62,0)),"미등록코드"))</f>
        <v/>
      </c>
      <c r="E2624" s="32" t="n"/>
      <c r="F2624" s="38" t="n"/>
      <c r="G2624" s="38" t="n"/>
      <c r="H2624" s="39" t="n"/>
      <c r="I2624" s="40" t="str">
        <f>IF(OR($J2624="",$K2624=""),"",ROUND(MAX(0,($K2624-$J2624)-IF($H2624="",0,$H2624))/60,2))</f>
        <v/>
      </c>
      <c r="J2624" s="41" t="str">
        <f>IF($F2624="","",IF($F2624&lt;1,ROUND($F2624*1440,0),INT($F2624/100)*60+MOD($F2624,100)))</f>
        <v/>
      </c>
      <c r="K2624" s="41" t="str">
        <f>IF($G2624="","",IF($G2624&lt;1,ROUND($G2624*1440,0),INT($G2624/100)*60+MOD($G2624,100)))</f>
        <v/>
      </c>
    </row>
    <row r="2625" ht="15" customHeight="1" s="26">
      <c r="A2625" s="34" t="n"/>
      <c r="B2625" s="32" t="n"/>
      <c r="C2625" s="33" t="n"/>
      <c r="D2625" s="37" t="str">
        <f>IF($C2625="","",IFERROR(INDEX(프로젝트목록!$B$3:$B$62,MATCH($C2625,프로젝트목록!$A$3:$A$62,0)),"미등록코드"))</f>
        <v/>
      </c>
      <c r="E2625" s="32" t="n"/>
      <c r="F2625" s="38" t="n"/>
      <c r="G2625" s="38" t="n"/>
      <c r="H2625" s="39" t="n"/>
      <c r="I2625" s="40" t="str">
        <f>IF(OR($J2625="",$K2625=""),"",ROUND(MAX(0,($K2625-$J2625)-IF($H2625="",0,$H2625))/60,2))</f>
        <v/>
      </c>
      <c r="J2625" s="41" t="str">
        <f>IF($F2625="","",IF($F2625&lt;1,ROUND($F2625*1440,0),INT($F2625/100)*60+MOD($F2625,100)))</f>
        <v/>
      </c>
      <c r="K2625" s="41" t="str">
        <f>IF($G2625="","",IF($G2625&lt;1,ROUND($G2625*1440,0),INT($G2625/100)*60+MOD($G2625,100)))</f>
        <v/>
      </c>
    </row>
    <row r="2626" ht="15" customHeight="1" s="26">
      <c r="A2626" s="34" t="n"/>
      <c r="B2626" s="32" t="n"/>
      <c r="C2626" s="33" t="n"/>
      <c r="D2626" s="37" t="str">
        <f>IF($C2626="","",IFERROR(INDEX(프로젝트목록!$B$3:$B$62,MATCH($C2626,프로젝트목록!$A$3:$A$62,0)),"미등록코드"))</f>
        <v/>
      </c>
      <c r="E2626" s="32" t="n"/>
      <c r="F2626" s="38" t="n"/>
      <c r="G2626" s="38" t="n"/>
      <c r="H2626" s="39" t="n"/>
      <c r="I2626" s="40" t="str">
        <f>IF(OR($J2626="",$K2626=""),"",ROUND(MAX(0,($K2626-$J2626)-IF($H2626="",0,$H2626))/60,2))</f>
        <v/>
      </c>
      <c r="J2626" s="41" t="str">
        <f>IF($F2626="","",IF($F2626&lt;1,ROUND($F2626*1440,0),INT($F2626/100)*60+MOD($F2626,100)))</f>
        <v/>
      </c>
      <c r="K2626" s="41" t="str">
        <f>IF($G2626="","",IF($G2626&lt;1,ROUND($G2626*1440,0),INT($G2626/100)*60+MOD($G2626,100)))</f>
        <v/>
      </c>
    </row>
    <row r="2627" ht="15" customHeight="1" s="26">
      <c r="A2627" s="34" t="n"/>
      <c r="B2627" s="32" t="n"/>
      <c r="C2627" s="33" t="n"/>
      <c r="D2627" s="37" t="str">
        <f>IF($C2627="","",IFERROR(INDEX(프로젝트목록!$B$3:$B$62,MATCH($C2627,프로젝트목록!$A$3:$A$62,0)),"미등록코드"))</f>
        <v/>
      </c>
      <c r="E2627" s="32" t="n"/>
      <c r="F2627" s="38" t="n"/>
      <c r="G2627" s="38" t="n"/>
      <c r="H2627" s="39" t="n"/>
      <c r="I2627" s="40" t="str">
        <f>IF(OR($J2627="",$K2627=""),"",ROUND(MAX(0,($K2627-$J2627)-IF($H2627="",0,$H2627))/60,2))</f>
        <v/>
      </c>
      <c r="J2627" s="41" t="str">
        <f>IF($F2627="","",IF($F2627&lt;1,ROUND($F2627*1440,0),INT($F2627/100)*60+MOD($F2627,100)))</f>
        <v/>
      </c>
      <c r="K2627" s="41" t="str">
        <f>IF($G2627="","",IF($G2627&lt;1,ROUND($G2627*1440,0),INT($G2627/100)*60+MOD($G2627,100)))</f>
        <v/>
      </c>
    </row>
    <row r="2628" ht="15" customHeight="1" s="26">
      <c r="A2628" s="34" t="n"/>
      <c r="B2628" s="32" t="n"/>
      <c r="C2628" s="33" t="n"/>
      <c r="D2628" s="37" t="str">
        <f>IF($C2628="","",IFERROR(INDEX(프로젝트목록!$B$3:$B$62,MATCH($C2628,프로젝트목록!$A$3:$A$62,0)),"미등록코드"))</f>
        <v/>
      </c>
      <c r="E2628" s="32" t="n"/>
      <c r="F2628" s="38" t="n"/>
      <c r="G2628" s="38" t="n"/>
      <c r="H2628" s="39" t="n"/>
      <c r="I2628" s="40" t="str">
        <f>IF(OR($J2628="",$K2628=""),"",ROUND(MAX(0,($K2628-$J2628)-IF($H2628="",0,$H2628))/60,2))</f>
        <v/>
      </c>
      <c r="J2628" s="41" t="str">
        <f>IF($F2628="","",IF($F2628&lt;1,ROUND($F2628*1440,0),INT($F2628/100)*60+MOD($F2628,100)))</f>
        <v/>
      </c>
      <c r="K2628" s="41" t="str">
        <f>IF($G2628="","",IF($G2628&lt;1,ROUND($G2628*1440,0),INT($G2628/100)*60+MOD($G2628,100)))</f>
        <v/>
      </c>
    </row>
    <row r="2629" ht="15" customHeight="1" s="26">
      <c r="A2629" s="34" t="n"/>
      <c r="B2629" s="32" t="n"/>
      <c r="C2629" s="33" t="n"/>
      <c r="D2629" s="37" t="str">
        <f>IF($C2629="","",IFERROR(INDEX(프로젝트목록!$B$3:$B$62,MATCH($C2629,프로젝트목록!$A$3:$A$62,0)),"미등록코드"))</f>
        <v/>
      </c>
      <c r="E2629" s="32" t="n"/>
      <c r="F2629" s="38" t="n"/>
      <c r="G2629" s="38" t="n"/>
      <c r="H2629" s="39" t="n"/>
      <c r="I2629" s="40" t="str">
        <f>IF(OR($J2629="",$K2629=""),"",ROUND(MAX(0,($K2629-$J2629)-IF($H2629="",0,$H2629))/60,2))</f>
        <v/>
      </c>
      <c r="J2629" s="41" t="str">
        <f>IF($F2629="","",IF($F2629&lt;1,ROUND($F2629*1440,0),INT($F2629/100)*60+MOD($F2629,100)))</f>
        <v/>
      </c>
      <c r="K2629" s="41" t="str">
        <f>IF($G2629="","",IF($G2629&lt;1,ROUND($G2629*1440,0),INT($G2629/100)*60+MOD($G2629,100)))</f>
        <v/>
      </c>
    </row>
    <row r="2630" ht="15" customHeight="1" s="26">
      <c r="A2630" s="34" t="n"/>
      <c r="B2630" s="32" t="n"/>
      <c r="C2630" s="33" t="n"/>
      <c r="D2630" s="37" t="str">
        <f>IF($C2630="","",IFERROR(INDEX(프로젝트목록!$B$3:$B$62,MATCH($C2630,프로젝트목록!$A$3:$A$62,0)),"미등록코드"))</f>
        <v/>
      </c>
      <c r="E2630" s="32" t="n"/>
      <c r="F2630" s="38" t="n"/>
      <c r="G2630" s="38" t="n"/>
      <c r="H2630" s="39" t="n"/>
      <c r="I2630" s="40" t="str">
        <f>IF(OR($J2630="",$K2630=""),"",ROUND(MAX(0,($K2630-$J2630)-IF($H2630="",0,$H2630))/60,2))</f>
        <v/>
      </c>
      <c r="J2630" s="41" t="str">
        <f>IF($F2630="","",IF($F2630&lt;1,ROUND($F2630*1440,0),INT($F2630/100)*60+MOD($F2630,100)))</f>
        <v/>
      </c>
      <c r="K2630" s="41" t="str">
        <f>IF($G2630="","",IF($G2630&lt;1,ROUND($G2630*1440,0),INT($G2630/100)*60+MOD($G2630,100)))</f>
        <v/>
      </c>
    </row>
    <row r="2631" ht="15" customHeight="1" s="26">
      <c r="A2631" s="34" t="n"/>
      <c r="B2631" s="32" t="n"/>
      <c r="C2631" s="33" t="n"/>
      <c r="D2631" s="37" t="str">
        <f>IF($C2631="","",IFERROR(INDEX(프로젝트목록!$B$3:$B$62,MATCH($C2631,프로젝트목록!$A$3:$A$62,0)),"미등록코드"))</f>
        <v/>
      </c>
      <c r="E2631" s="32" t="n"/>
      <c r="F2631" s="38" t="n"/>
      <c r="G2631" s="38" t="n"/>
      <c r="H2631" s="39" t="n"/>
      <c r="I2631" s="40" t="str">
        <f>IF(OR($J2631="",$K2631=""),"",ROUND(MAX(0,($K2631-$J2631)-IF($H2631="",0,$H2631))/60,2))</f>
        <v/>
      </c>
      <c r="J2631" s="41" t="str">
        <f>IF($F2631="","",IF($F2631&lt;1,ROUND($F2631*1440,0),INT($F2631/100)*60+MOD($F2631,100)))</f>
        <v/>
      </c>
      <c r="K2631" s="41" t="str">
        <f>IF($G2631="","",IF($G2631&lt;1,ROUND($G2631*1440,0),INT($G2631/100)*60+MOD($G2631,100)))</f>
        <v/>
      </c>
    </row>
    <row r="2632" ht="15" customHeight="1" s="26">
      <c r="A2632" s="34" t="n"/>
      <c r="B2632" s="32" t="n"/>
      <c r="C2632" s="33" t="n"/>
      <c r="D2632" s="37" t="str">
        <f>IF($C2632="","",IFERROR(INDEX(프로젝트목록!$B$3:$B$62,MATCH($C2632,프로젝트목록!$A$3:$A$62,0)),"미등록코드"))</f>
        <v/>
      </c>
      <c r="E2632" s="32" t="n"/>
      <c r="F2632" s="38" t="n"/>
      <c r="G2632" s="38" t="n"/>
      <c r="H2632" s="39" t="n"/>
      <c r="I2632" s="40" t="str">
        <f>IF(OR($J2632="",$K2632=""),"",ROUND(MAX(0,($K2632-$J2632)-IF($H2632="",0,$H2632))/60,2))</f>
        <v/>
      </c>
      <c r="J2632" s="41" t="str">
        <f>IF($F2632="","",IF($F2632&lt;1,ROUND($F2632*1440,0),INT($F2632/100)*60+MOD($F2632,100)))</f>
        <v/>
      </c>
      <c r="K2632" s="41" t="str">
        <f>IF($G2632="","",IF($G2632&lt;1,ROUND($G2632*1440,0),INT($G2632/100)*60+MOD($G2632,100)))</f>
        <v/>
      </c>
    </row>
    <row r="2633" ht="15" customHeight="1" s="26">
      <c r="A2633" s="34" t="n"/>
      <c r="B2633" s="32" t="n"/>
      <c r="C2633" s="33" t="n"/>
      <c r="D2633" s="37" t="str">
        <f>IF($C2633="","",IFERROR(INDEX(프로젝트목록!$B$3:$B$62,MATCH($C2633,프로젝트목록!$A$3:$A$62,0)),"미등록코드"))</f>
        <v/>
      </c>
      <c r="E2633" s="32" t="n"/>
      <c r="F2633" s="38" t="n"/>
      <c r="G2633" s="38" t="n"/>
      <c r="H2633" s="39" t="n"/>
      <c r="I2633" s="40" t="str">
        <f>IF(OR($J2633="",$K2633=""),"",ROUND(MAX(0,($K2633-$J2633)-IF($H2633="",0,$H2633))/60,2))</f>
        <v/>
      </c>
      <c r="J2633" s="41" t="str">
        <f>IF($F2633="","",IF($F2633&lt;1,ROUND($F2633*1440,0),INT($F2633/100)*60+MOD($F2633,100)))</f>
        <v/>
      </c>
      <c r="K2633" s="41" t="str">
        <f>IF($G2633="","",IF($G2633&lt;1,ROUND($G2633*1440,0),INT($G2633/100)*60+MOD($G2633,100)))</f>
        <v/>
      </c>
    </row>
    <row r="2634" ht="15" customHeight="1" s="26">
      <c r="A2634" s="34" t="n"/>
      <c r="B2634" s="32" t="n"/>
      <c r="C2634" s="33" t="n"/>
      <c r="D2634" s="37" t="str">
        <f>IF($C2634="","",IFERROR(INDEX(프로젝트목록!$B$3:$B$62,MATCH($C2634,프로젝트목록!$A$3:$A$62,0)),"미등록코드"))</f>
        <v/>
      </c>
      <c r="E2634" s="32" t="n"/>
      <c r="F2634" s="38" t="n"/>
      <c r="G2634" s="38" t="n"/>
      <c r="H2634" s="39" t="n"/>
      <c r="I2634" s="40" t="str">
        <f>IF(OR($J2634="",$K2634=""),"",ROUND(MAX(0,($K2634-$J2634)-IF($H2634="",0,$H2634))/60,2))</f>
        <v/>
      </c>
      <c r="J2634" s="41" t="str">
        <f>IF($F2634="","",IF($F2634&lt;1,ROUND($F2634*1440,0),INT($F2634/100)*60+MOD($F2634,100)))</f>
        <v/>
      </c>
      <c r="K2634" s="41" t="str">
        <f>IF($G2634="","",IF($G2634&lt;1,ROUND($G2634*1440,0),INT($G2634/100)*60+MOD($G2634,100)))</f>
        <v/>
      </c>
    </row>
    <row r="2635" ht="15" customHeight="1" s="26">
      <c r="A2635" s="34" t="n"/>
      <c r="B2635" s="32" t="n"/>
      <c r="C2635" s="33" t="n"/>
      <c r="D2635" s="37" t="str">
        <f>IF($C2635="","",IFERROR(INDEX(프로젝트목록!$B$3:$B$62,MATCH($C2635,프로젝트목록!$A$3:$A$62,0)),"미등록코드"))</f>
        <v/>
      </c>
      <c r="E2635" s="32" t="n"/>
      <c r="F2635" s="38" t="n"/>
      <c r="G2635" s="38" t="n"/>
      <c r="H2635" s="39" t="n"/>
      <c r="I2635" s="40" t="str">
        <f>IF(OR($J2635="",$K2635=""),"",ROUND(MAX(0,($K2635-$J2635)-IF($H2635="",0,$H2635))/60,2))</f>
        <v/>
      </c>
      <c r="J2635" s="41" t="str">
        <f>IF($F2635="","",IF($F2635&lt;1,ROUND($F2635*1440,0),INT($F2635/100)*60+MOD($F2635,100)))</f>
        <v/>
      </c>
      <c r="K2635" s="41" t="str">
        <f>IF($G2635="","",IF($G2635&lt;1,ROUND($G2635*1440,0),INT($G2635/100)*60+MOD($G2635,100)))</f>
        <v/>
      </c>
    </row>
    <row r="2636" ht="15" customHeight="1" s="26">
      <c r="A2636" s="34" t="n"/>
      <c r="B2636" s="32" t="n"/>
      <c r="C2636" s="33" t="n"/>
      <c r="D2636" s="37" t="str">
        <f>IF($C2636="","",IFERROR(INDEX(프로젝트목록!$B$3:$B$62,MATCH($C2636,프로젝트목록!$A$3:$A$62,0)),"미등록코드"))</f>
        <v/>
      </c>
      <c r="E2636" s="32" t="n"/>
      <c r="F2636" s="38" t="n"/>
      <c r="G2636" s="38" t="n"/>
      <c r="H2636" s="39" t="n"/>
      <c r="I2636" s="40" t="str">
        <f>IF(OR($J2636="",$K2636=""),"",ROUND(MAX(0,($K2636-$J2636)-IF($H2636="",0,$H2636))/60,2))</f>
        <v/>
      </c>
      <c r="J2636" s="41" t="str">
        <f>IF($F2636="","",IF($F2636&lt;1,ROUND($F2636*1440,0),INT($F2636/100)*60+MOD($F2636,100)))</f>
        <v/>
      </c>
      <c r="K2636" s="41" t="str">
        <f>IF($G2636="","",IF($G2636&lt;1,ROUND($G2636*1440,0),INT($G2636/100)*60+MOD($G2636,100)))</f>
        <v/>
      </c>
    </row>
    <row r="2637" ht="15" customHeight="1" s="26">
      <c r="A2637" s="34" t="n"/>
      <c r="B2637" s="32" t="n"/>
      <c r="C2637" s="33" t="n"/>
      <c r="D2637" s="37" t="str">
        <f>IF($C2637="","",IFERROR(INDEX(프로젝트목록!$B$3:$B$62,MATCH($C2637,프로젝트목록!$A$3:$A$62,0)),"미등록코드"))</f>
        <v/>
      </c>
      <c r="E2637" s="32" t="n"/>
      <c r="F2637" s="38" t="n"/>
      <c r="G2637" s="38" t="n"/>
      <c r="H2637" s="39" t="n"/>
      <c r="I2637" s="40" t="str">
        <f>IF(OR($J2637="",$K2637=""),"",ROUND(MAX(0,($K2637-$J2637)-IF($H2637="",0,$H2637))/60,2))</f>
        <v/>
      </c>
      <c r="J2637" s="41" t="str">
        <f>IF($F2637="","",IF($F2637&lt;1,ROUND($F2637*1440,0),INT($F2637/100)*60+MOD($F2637,100)))</f>
        <v/>
      </c>
      <c r="K2637" s="41" t="str">
        <f>IF($G2637="","",IF($G2637&lt;1,ROUND($G2637*1440,0),INT($G2637/100)*60+MOD($G2637,100)))</f>
        <v/>
      </c>
    </row>
    <row r="2638" ht="15" customHeight="1" s="26">
      <c r="A2638" s="34" t="n"/>
      <c r="B2638" s="32" t="n"/>
      <c r="C2638" s="33" t="n"/>
      <c r="D2638" s="37" t="str">
        <f>IF($C2638="","",IFERROR(INDEX(프로젝트목록!$B$3:$B$62,MATCH($C2638,프로젝트목록!$A$3:$A$62,0)),"미등록코드"))</f>
        <v/>
      </c>
      <c r="E2638" s="32" t="n"/>
      <c r="F2638" s="38" t="n"/>
      <c r="G2638" s="38" t="n"/>
      <c r="H2638" s="39" t="n"/>
      <c r="I2638" s="40" t="str">
        <f>IF(OR($J2638="",$K2638=""),"",ROUND(MAX(0,($K2638-$J2638)-IF($H2638="",0,$H2638))/60,2))</f>
        <v/>
      </c>
      <c r="J2638" s="41" t="str">
        <f>IF($F2638="","",IF($F2638&lt;1,ROUND($F2638*1440,0),INT($F2638/100)*60+MOD($F2638,100)))</f>
        <v/>
      </c>
      <c r="K2638" s="41" t="str">
        <f>IF($G2638="","",IF($G2638&lt;1,ROUND($G2638*1440,0),INT($G2638/100)*60+MOD($G2638,100)))</f>
        <v/>
      </c>
    </row>
    <row r="2639" ht="15" customHeight="1" s="26">
      <c r="A2639" s="34" t="n"/>
      <c r="B2639" s="32" t="n"/>
      <c r="C2639" s="33" t="n"/>
      <c r="D2639" s="37" t="str">
        <f>IF($C2639="","",IFERROR(INDEX(프로젝트목록!$B$3:$B$62,MATCH($C2639,프로젝트목록!$A$3:$A$62,0)),"미등록코드"))</f>
        <v/>
      </c>
      <c r="E2639" s="32" t="n"/>
      <c r="F2639" s="38" t="n"/>
      <c r="G2639" s="38" t="n"/>
      <c r="H2639" s="39" t="n"/>
      <c r="I2639" s="40" t="str">
        <f>IF(OR($J2639="",$K2639=""),"",ROUND(MAX(0,($K2639-$J2639)-IF($H2639="",0,$H2639))/60,2))</f>
        <v/>
      </c>
      <c r="J2639" s="41" t="str">
        <f>IF($F2639="","",IF($F2639&lt;1,ROUND($F2639*1440,0),INT($F2639/100)*60+MOD($F2639,100)))</f>
        <v/>
      </c>
      <c r="K2639" s="41" t="str">
        <f>IF($G2639="","",IF($G2639&lt;1,ROUND($G2639*1440,0),INT($G2639/100)*60+MOD($G2639,100)))</f>
        <v/>
      </c>
    </row>
    <row r="2640" ht="15" customHeight="1" s="26">
      <c r="A2640" s="34" t="n"/>
      <c r="B2640" s="32" t="n"/>
      <c r="C2640" s="33" t="n"/>
      <c r="D2640" s="37" t="str">
        <f>IF($C2640="","",IFERROR(INDEX(프로젝트목록!$B$3:$B$62,MATCH($C2640,프로젝트목록!$A$3:$A$62,0)),"미등록코드"))</f>
        <v/>
      </c>
      <c r="E2640" s="32" t="n"/>
      <c r="F2640" s="38" t="n"/>
      <c r="G2640" s="38" t="n"/>
      <c r="H2640" s="39" t="n"/>
      <c r="I2640" s="40" t="str">
        <f>IF(OR($J2640="",$K2640=""),"",ROUND(MAX(0,($K2640-$J2640)-IF($H2640="",0,$H2640))/60,2))</f>
        <v/>
      </c>
      <c r="J2640" s="41" t="str">
        <f>IF($F2640="","",IF($F2640&lt;1,ROUND($F2640*1440,0),INT($F2640/100)*60+MOD($F2640,100)))</f>
        <v/>
      </c>
      <c r="K2640" s="41" t="str">
        <f>IF($G2640="","",IF($G2640&lt;1,ROUND($G2640*1440,0),INT($G2640/100)*60+MOD($G2640,100)))</f>
        <v/>
      </c>
    </row>
    <row r="2641" ht="15" customHeight="1" s="26">
      <c r="A2641" s="34" t="n"/>
      <c r="B2641" s="32" t="n"/>
      <c r="C2641" s="33" t="n"/>
      <c r="D2641" s="37" t="str">
        <f>IF($C2641="","",IFERROR(INDEX(프로젝트목록!$B$3:$B$62,MATCH($C2641,프로젝트목록!$A$3:$A$62,0)),"미등록코드"))</f>
        <v/>
      </c>
      <c r="E2641" s="32" t="n"/>
      <c r="F2641" s="38" t="n"/>
      <c r="G2641" s="38" t="n"/>
      <c r="H2641" s="39" t="n"/>
      <c r="I2641" s="40" t="str">
        <f>IF(OR($J2641="",$K2641=""),"",ROUND(MAX(0,($K2641-$J2641)-IF($H2641="",0,$H2641))/60,2))</f>
        <v/>
      </c>
      <c r="J2641" s="41" t="str">
        <f>IF($F2641="","",IF($F2641&lt;1,ROUND($F2641*1440,0),INT($F2641/100)*60+MOD($F2641,100)))</f>
        <v/>
      </c>
      <c r="K2641" s="41" t="str">
        <f>IF($G2641="","",IF($G2641&lt;1,ROUND($G2641*1440,0),INT($G2641/100)*60+MOD($G2641,100)))</f>
        <v/>
      </c>
    </row>
    <row r="2642" ht="15" customHeight="1" s="26">
      <c r="A2642" s="34" t="n"/>
      <c r="B2642" s="32" t="n"/>
      <c r="C2642" s="33" t="n"/>
      <c r="D2642" s="37" t="str">
        <f>IF($C2642="","",IFERROR(INDEX(프로젝트목록!$B$3:$B$62,MATCH($C2642,프로젝트목록!$A$3:$A$62,0)),"미등록코드"))</f>
        <v/>
      </c>
      <c r="E2642" s="32" t="n"/>
      <c r="F2642" s="38" t="n"/>
      <c r="G2642" s="38" t="n"/>
      <c r="H2642" s="39" t="n"/>
      <c r="I2642" s="40" t="str">
        <f>IF(OR($J2642="",$K2642=""),"",ROUND(MAX(0,($K2642-$J2642)-IF($H2642="",0,$H2642))/60,2))</f>
        <v/>
      </c>
      <c r="J2642" s="41" t="str">
        <f>IF($F2642="","",IF($F2642&lt;1,ROUND($F2642*1440,0),INT($F2642/100)*60+MOD($F2642,100)))</f>
        <v/>
      </c>
      <c r="K2642" s="41" t="str">
        <f>IF($G2642="","",IF($G2642&lt;1,ROUND($G2642*1440,0),INT($G2642/100)*60+MOD($G2642,100)))</f>
        <v/>
      </c>
    </row>
    <row r="2643" ht="15" customHeight="1" s="26">
      <c r="A2643" s="34" t="n"/>
      <c r="B2643" s="32" t="n"/>
      <c r="C2643" s="33" t="n"/>
      <c r="D2643" s="37" t="str">
        <f>IF($C2643="","",IFERROR(INDEX(프로젝트목록!$B$3:$B$62,MATCH($C2643,프로젝트목록!$A$3:$A$62,0)),"미등록코드"))</f>
        <v/>
      </c>
      <c r="E2643" s="32" t="n"/>
      <c r="F2643" s="38" t="n"/>
      <c r="G2643" s="38" t="n"/>
      <c r="H2643" s="39" t="n"/>
      <c r="I2643" s="40" t="str">
        <f>IF(OR($J2643="",$K2643=""),"",ROUND(MAX(0,($K2643-$J2643)-IF($H2643="",0,$H2643))/60,2))</f>
        <v/>
      </c>
      <c r="J2643" s="41" t="str">
        <f>IF($F2643="","",IF($F2643&lt;1,ROUND($F2643*1440,0),INT($F2643/100)*60+MOD($F2643,100)))</f>
        <v/>
      </c>
      <c r="K2643" s="41" t="str">
        <f>IF($G2643="","",IF($G2643&lt;1,ROUND($G2643*1440,0),INT($G2643/100)*60+MOD($G2643,100)))</f>
        <v/>
      </c>
    </row>
    <row r="2644" ht="15" customHeight="1" s="26">
      <c r="A2644" s="34" t="n"/>
      <c r="B2644" s="32" t="n"/>
      <c r="C2644" s="33" t="n"/>
      <c r="D2644" s="37" t="str">
        <f>IF($C2644="","",IFERROR(INDEX(프로젝트목록!$B$3:$B$62,MATCH($C2644,프로젝트목록!$A$3:$A$62,0)),"미등록코드"))</f>
        <v/>
      </c>
      <c r="E2644" s="32" t="n"/>
      <c r="F2644" s="38" t="n"/>
      <c r="G2644" s="38" t="n"/>
      <c r="H2644" s="39" t="n"/>
      <c r="I2644" s="40" t="str">
        <f>IF(OR($J2644="",$K2644=""),"",ROUND(MAX(0,($K2644-$J2644)-IF($H2644="",0,$H2644))/60,2))</f>
        <v/>
      </c>
      <c r="J2644" s="41" t="str">
        <f>IF($F2644="","",IF($F2644&lt;1,ROUND($F2644*1440,0),INT($F2644/100)*60+MOD($F2644,100)))</f>
        <v/>
      </c>
      <c r="K2644" s="41" t="str">
        <f>IF($G2644="","",IF($G2644&lt;1,ROUND($G2644*1440,0),INT($G2644/100)*60+MOD($G2644,100)))</f>
        <v/>
      </c>
    </row>
    <row r="2645" ht="15" customHeight="1" s="26">
      <c r="A2645" s="34" t="n"/>
      <c r="B2645" s="32" t="n"/>
      <c r="C2645" s="33" t="n"/>
      <c r="D2645" s="37" t="str">
        <f>IF($C2645="","",IFERROR(INDEX(프로젝트목록!$B$3:$B$62,MATCH($C2645,프로젝트목록!$A$3:$A$62,0)),"미등록코드"))</f>
        <v/>
      </c>
      <c r="E2645" s="32" t="n"/>
      <c r="F2645" s="38" t="n"/>
      <c r="G2645" s="38" t="n"/>
      <c r="H2645" s="39" t="n"/>
      <c r="I2645" s="40" t="str">
        <f>IF(OR($J2645="",$K2645=""),"",ROUND(MAX(0,($K2645-$J2645)-IF($H2645="",0,$H2645))/60,2))</f>
        <v/>
      </c>
      <c r="J2645" s="41" t="str">
        <f>IF($F2645="","",IF($F2645&lt;1,ROUND($F2645*1440,0),INT($F2645/100)*60+MOD($F2645,100)))</f>
        <v/>
      </c>
      <c r="K2645" s="41" t="str">
        <f>IF($G2645="","",IF($G2645&lt;1,ROUND($G2645*1440,0),INT($G2645/100)*60+MOD($G2645,100)))</f>
        <v/>
      </c>
    </row>
    <row r="2646" ht="15" customHeight="1" s="26">
      <c r="A2646" s="34" t="n"/>
      <c r="B2646" s="32" t="n"/>
      <c r="C2646" s="33" t="n"/>
      <c r="D2646" s="37" t="str">
        <f>IF($C2646="","",IFERROR(INDEX(프로젝트목록!$B$3:$B$62,MATCH($C2646,프로젝트목록!$A$3:$A$62,0)),"미등록코드"))</f>
        <v/>
      </c>
      <c r="E2646" s="32" t="n"/>
      <c r="F2646" s="38" t="n"/>
      <c r="G2646" s="38" t="n"/>
      <c r="H2646" s="39" t="n"/>
      <c r="I2646" s="40" t="str">
        <f>IF(OR($J2646="",$K2646=""),"",ROUND(MAX(0,($K2646-$J2646)-IF($H2646="",0,$H2646))/60,2))</f>
        <v/>
      </c>
      <c r="J2646" s="41" t="str">
        <f>IF($F2646="","",IF($F2646&lt;1,ROUND($F2646*1440,0),INT($F2646/100)*60+MOD($F2646,100)))</f>
        <v/>
      </c>
      <c r="K2646" s="41" t="str">
        <f>IF($G2646="","",IF($G2646&lt;1,ROUND($G2646*1440,0),INT($G2646/100)*60+MOD($G2646,100)))</f>
        <v/>
      </c>
    </row>
    <row r="2647" ht="15" customHeight="1" s="26">
      <c r="A2647" s="34" t="n"/>
      <c r="B2647" s="32" t="n"/>
      <c r="C2647" s="33" t="n"/>
      <c r="D2647" s="37" t="str">
        <f>IF($C2647="","",IFERROR(INDEX(프로젝트목록!$B$3:$B$62,MATCH($C2647,프로젝트목록!$A$3:$A$62,0)),"미등록코드"))</f>
        <v/>
      </c>
      <c r="E2647" s="32" t="n"/>
      <c r="F2647" s="38" t="n"/>
      <c r="G2647" s="38" t="n"/>
      <c r="H2647" s="39" t="n"/>
      <c r="I2647" s="40" t="str">
        <f>IF(OR($J2647="",$K2647=""),"",ROUND(MAX(0,($K2647-$J2647)-IF($H2647="",0,$H2647))/60,2))</f>
        <v/>
      </c>
      <c r="J2647" s="41" t="str">
        <f>IF($F2647="","",IF($F2647&lt;1,ROUND($F2647*1440,0),INT($F2647/100)*60+MOD($F2647,100)))</f>
        <v/>
      </c>
      <c r="K2647" s="41" t="str">
        <f>IF($G2647="","",IF($G2647&lt;1,ROUND($G2647*1440,0),INT($G2647/100)*60+MOD($G2647,100)))</f>
        <v/>
      </c>
    </row>
    <row r="2648" ht="15" customHeight="1" s="26">
      <c r="A2648" s="34" t="n"/>
      <c r="B2648" s="32" t="n"/>
      <c r="C2648" s="33" t="n"/>
      <c r="D2648" s="37" t="str">
        <f>IF($C2648="","",IFERROR(INDEX(프로젝트목록!$B$3:$B$62,MATCH($C2648,프로젝트목록!$A$3:$A$62,0)),"미등록코드"))</f>
        <v/>
      </c>
      <c r="E2648" s="32" t="n"/>
      <c r="F2648" s="38" t="n"/>
      <c r="G2648" s="38" t="n"/>
      <c r="H2648" s="39" t="n"/>
      <c r="I2648" s="40" t="str">
        <f>IF(OR($J2648="",$K2648=""),"",ROUND(MAX(0,($K2648-$J2648)-IF($H2648="",0,$H2648))/60,2))</f>
        <v/>
      </c>
      <c r="J2648" s="41" t="str">
        <f>IF($F2648="","",IF($F2648&lt;1,ROUND($F2648*1440,0),INT($F2648/100)*60+MOD($F2648,100)))</f>
        <v/>
      </c>
      <c r="K2648" s="41" t="str">
        <f>IF($G2648="","",IF($G2648&lt;1,ROUND($G2648*1440,0),INT($G2648/100)*60+MOD($G2648,100)))</f>
        <v/>
      </c>
    </row>
    <row r="2649" ht="15" customHeight="1" s="26">
      <c r="A2649" s="34" t="n"/>
      <c r="B2649" s="32" t="n"/>
      <c r="C2649" s="33" t="n"/>
      <c r="D2649" s="37" t="str">
        <f>IF($C2649="","",IFERROR(INDEX(프로젝트목록!$B$3:$B$62,MATCH($C2649,프로젝트목록!$A$3:$A$62,0)),"미등록코드"))</f>
        <v/>
      </c>
      <c r="E2649" s="32" t="n"/>
      <c r="F2649" s="38" t="n"/>
      <c r="G2649" s="38" t="n"/>
      <c r="H2649" s="39" t="n"/>
      <c r="I2649" s="40" t="str">
        <f>IF(OR($J2649="",$K2649=""),"",ROUND(MAX(0,($K2649-$J2649)-IF($H2649="",0,$H2649))/60,2))</f>
        <v/>
      </c>
      <c r="J2649" s="41" t="str">
        <f>IF($F2649="","",IF($F2649&lt;1,ROUND($F2649*1440,0),INT($F2649/100)*60+MOD($F2649,100)))</f>
        <v/>
      </c>
      <c r="K2649" s="41" t="str">
        <f>IF($G2649="","",IF($G2649&lt;1,ROUND($G2649*1440,0),INT($G2649/100)*60+MOD($G2649,100)))</f>
        <v/>
      </c>
    </row>
    <row r="2650" ht="15" customHeight="1" s="26">
      <c r="A2650" s="34" t="n"/>
      <c r="B2650" s="32" t="n"/>
      <c r="C2650" s="33" t="n"/>
      <c r="D2650" s="37" t="str">
        <f>IF($C2650="","",IFERROR(INDEX(프로젝트목록!$B$3:$B$62,MATCH($C2650,프로젝트목록!$A$3:$A$62,0)),"미등록코드"))</f>
        <v/>
      </c>
      <c r="E2650" s="32" t="n"/>
      <c r="F2650" s="38" t="n"/>
      <c r="G2650" s="38" t="n"/>
      <c r="H2650" s="39" t="n"/>
      <c r="I2650" s="40" t="str">
        <f>IF(OR($J2650="",$K2650=""),"",ROUND(MAX(0,($K2650-$J2650)-IF($H2650="",0,$H2650))/60,2))</f>
        <v/>
      </c>
      <c r="J2650" s="41" t="str">
        <f>IF($F2650="","",IF($F2650&lt;1,ROUND($F2650*1440,0),INT($F2650/100)*60+MOD($F2650,100)))</f>
        <v/>
      </c>
      <c r="K2650" s="41" t="str">
        <f>IF($G2650="","",IF($G2650&lt;1,ROUND($G2650*1440,0),INT($G2650/100)*60+MOD($G2650,100)))</f>
        <v/>
      </c>
    </row>
    <row r="2651" ht="15" customHeight="1" s="26">
      <c r="A2651" s="34" t="n"/>
      <c r="B2651" s="32" t="n"/>
      <c r="C2651" s="33" t="n"/>
      <c r="D2651" s="37" t="str">
        <f>IF($C2651="","",IFERROR(INDEX(프로젝트목록!$B$3:$B$62,MATCH($C2651,프로젝트목록!$A$3:$A$62,0)),"미등록코드"))</f>
        <v/>
      </c>
      <c r="E2651" s="32" t="n"/>
      <c r="F2651" s="38" t="n"/>
      <c r="G2651" s="38" t="n"/>
      <c r="H2651" s="39" t="n"/>
      <c r="I2651" s="40" t="str">
        <f>IF(OR($J2651="",$K2651=""),"",ROUND(MAX(0,($K2651-$J2651)-IF($H2651="",0,$H2651))/60,2))</f>
        <v/>
      </c>
      <c r="J2651" s="41" t="str">
        <f>IF($F2651="","",IF($F2651&lt;1,ROUND($F2651*1440,0),INT($F2651/100)*60+MOD($F2651,100)))</f>
        <v/>
      </c>
      <c r="K2651" s="41" t="str">
        <f>IF($G2651="","",IF($G2651&lt;1,ROUND($G2651*1440,0),INT($G2651/100)*60+MOD($G2651,100)))</f>
        <v/>
      </c>
    </row>
    <row r="2652" ht="15" customHeight="1" s="26">
      <c r="A2652" s="34" t="n"/>
      <c r="B2652" s="32" t="n"/>
      <c r="C2652" s="33" t="n"/>
      <c r="D2652" s="37" t="str">
        <f>IF($C2652="","",IFERROR(INDEX(프로젝트목록!$B$3:$B$62,MATCH($C2652,프로젝트목록!$A$3:$A$62,0)),"미등록코드"))</f>
        <v/>
      </c>
      <c r="E2652" s="32" t="n"/>
      <c r="F2652" s="38" t="n"/>
      <c r="G2652" s="38" t="n"/>
      <c r="H2652" s="39" t="n"/>
      <c r="I2652" s="40" t="str">
        <f>IF(OR($J2652="",$K2652=""),"",ROUND(MAX(0,($K2652-$J2652)-IF($H2652="",0,$H2652))/60,2))</f>
        <v/>
      </c>
      <c r="J2652" s="41" t="str">
        <f>IF($F2652="","",IF($F2652&lt;1,ROUND($F2652*1440,0),INT($F2652/100)*60+MOD($F2652,100)))</f>
        <v/>
      </c>
      <c r="K2652" s="41" t="str">
        <f>IF($G2652="","",IF($G2652&lt;1,ROUND($G2652*1440,0),INT($G2652/100)*60+MOD($G2652,100)))</f>
        <v/>
      </c>
    </row>
    <row r="2653" ht="15" customHeight="1" s="26">
      <c r="A2653" s="34" t="n"/>
      <c r="B2653" s="32" t="n"/>
      <c r="C2653" s="33" t="n"/>
      <c r="D2653" s="37" t="str">
        <f>IF($C2653="","",IFERROR(INDEX(프로젝트목록!$B$3:$B$62,MATCH($C2653,프로젝트목록!$A$3:$A$62,0)),"미등록코드"))</f>
        <v/>
      </c>
      <c r="E2653" s="32" t="n"/>
      <c r="F2653" s="38" t="n"/>
      <c r="G2653" s="38" t="n"/>
      <c r="H2653" s="39" t="n"/>
      <c r="I2653" s="40" t="str">
        <f>IF(OR($J2653="",$K2653=""),"",ROUND(MAX(0,($K2653-$J2653)-IF($H2653="",0,$H2653))/60,2))</f>
        <v/>
      </c>
      <c r="J2653" s="41" t="str">
        <f>IF($F2653="","",IF($F2653&lt;1,ROUND($F2653*1440,0),INT($F2653/100)*60+MOD($F2653,100)))</f>
        <v/>
      </c>
      <c r="K2653" s="41" t="str">
        <f>IF($G2653="","",IF($G2653&lt;1,ROUND($G2653*1440,0),INT($G2653/100)*60+MOD($G2653,100)))</f>
        <v/>
      </c>
    </row>
    <row r="2654" ht="15" customHeight="1" s="26">
      <c r="A2654" s="34" t="n"/>
      <c r="B2654" s="32" t="n"/>
      <c r="C2654" s="33" t="n"/>
      <c r="D2654" s="37" t="str">
        <f>IF($C2654="","",IFERROR(INDEX(프로젝트목록!$B$3:$B$62,MATCH($C2654,프로젝트목록!$A$3:$A$62,0)),"미등록코드"))</f>
        <v/>
      </c>
      <c r="E2654" s="32" t="n"/>
      <c r="F2654" s="38" t="n"/>
      <c r="G2654" s="38" t="n"/>
      <c r="H2654" s="39" t="n"/>
      <c r="I2654" s="40" t="str">
        <f>IF(OR($J2654="",$K2654=""),"",ROUND(MAX(0,($K2654-$J2654)-IF($H2654="",0,$H2654))/60,2))</f>
        <v/>
      </c>
      <c r="J2654" s="41" t="str">
        <f>IF($F2654="","",IF($F2654&lt;1,ROUND($F2654*1440,0),INT($F2654/100)*60+MOD($F2654,100)))</f>
        <v/>
      </c>
      <c r="K2654" s="41" t="str">
        <f>IF($G2654="","",IF($G2654&lt;1,ROUND($G2654*1440,0),INT($G2654/100)*60+MOD($G2654,100)))</f>
        <v/>
      </c>
    </row>
    <row r="2655" ht="15" customHeight="1" s="26">
      <c r="A2655" s="34" t="n"/>
      <c r="B2655" s="32" t="n"/>
      <c r="C2655" s="33" t="n"/>
      <c r="D2655" s="37" t="str">
        <f>IF($C2655="","",IFERROR(INDEX(프로젝트목록!$B$3:$B$62,MATCH($C2655,프로젝트목록!$A$3:$A$62,0)),"미등록코드"))</f>
        <v/>
      </c>
      <c r="E2655" s="32" t="n"/>
      <c r="F2655" s="38" t="n"/>
      <c r="G2655" s="38" t="n"/>
      <c r="H2655" s="39" t="n"/>
      <c r="I2655" s="40" t="str">
        <f>IF(OR($J2655="",$K2655=""),"",ROUND(MAX(0,($K2655-$J2655)-IF($H2655="",0,$H2655))/60,2))</f>
        <v/>
      </c>
      <c r="J2655" s="41" t="str">
        <f>IF($F2655="","",IF($F2655&lt;1,ROUND($F2655*1440,0),INT($F2655/100)*60+MOD($F2655,100)))</f>
        <v/>
      </c>
      <c r="K2655" s="41" t="str">
        <f>IF($G2655="","",IF($G2655&lt;1,ROUND($G2655*1440,0),INT($G2655/100)*60+MOD($G2655,100)))</f>
        <v/>
      </c>
    </row>
    <row r="2656" ht="15" customHeight="1" s="26">
      <c r="A2656" s="34" t="n"/>
      <c r="B2656" s="32" t="n"/>
      <c r="C2656" s="33" t="n"/>
      <c r="D2656" s="37" t="str">
        <f>IF($C2656="","",IFERROR(INDEX(프로젝트목록!$B$3:$B$62,MATCH($C2656,프로젝트목록!$A$3:$A$62,0)),"미등록코드"))</f>
        <v/>
      </c>
      <c r="E2656" s="32" t="n"/>
      <c r="F2656" s="38" t="n"/>
      <c r="G2656" s="38" t="n"/>
      <c r="H2656" s="39" t="n"/>
      <c r="I2656" s="40" t="str">
        <f>IF(OR($J2656="",$K2656=""),"",ROUND(MAX(0,($K2656-$J2656)-IF($H2656="",0,$H2656))/60,2))</f>
        <v/>
      </c>
      <c r="J2656" s="41" t="str">
        <f>IF($F2656="","",IF($F2656&lt;1,ROUND($F2656*1440,0),INT($F2656/100)*60+MOD($F2656,100)))</f>
        <v/>
      </c>
      <c r="K2656" s="41" t="str">
        <f>IF($G2656="","",IF($G2656&lt;1,ROUND($G2656*1440,0),INT($G2656/100)*60+MOD($G2656,100)))</f>
        <v/>
      </c>
    </row>
    <row r="2657" ht="15" customHeight="1" s="26">
      <c r="A2657" s="34" t="n"/>
      <c r="B2657" s="32" t="n"/>
      <c r="C2657" s="33" t="n"/>
      <c r="D2657" s="37" t="str">
        <f>IF($C2657="","",IFERROR(INDEX(프로젝트목록!$B$3:$B$62,MATCH($C2657,프로젝트목록!$A$3:$A$62,0)),"미등록코드"))</f>
        <v/>
      </c>
      <c r="E2657" s="32" t="n"/>
      <c r="F2657" s="38" t="n"/>
      <c r="G2657" s="38" t="n"/>
      <c r="H2657" s="39" t="n"/>
      <c r="I2657" s="40" t="str">
        <f>IF(OR($J2657="",$K2657=""),"",ROUND(MAX(0,($K2657-$J2657)-IF($H2657="",0,$H2657))/60,2))</f>
        <v/>
      </c>
      <c r="J2657" s="41" t="str">
        <f>IF($F2657="","",IF($F2657&lt;1,ROUND($F2657*1440,0),INT($F2657/100)*60+MOD($F2657,100)))</f>
        <v/>
      </c>
      <c r="K2657" s="41" t="str">
        <f>IF($G2657="","",IF($G2657&lt;1,ROUND($G2657*1440,0),INT($G2657/100)*60+MOD($G2657,100)))</f>
        <v/>
      </c>
    </row>
    <row r="2658" ht="15" customHeight="1" s="26">
      <c r="A2658" s="34" t="n"/>
      <c r="B2658" s="32" t="n"/>
      <c r="C2658" s="33" t="n"/>
      <c r="D2658" s="37" t="str">
        <f>IF($C2658="","",IFERROR(INDEX(프로젝트목록!$B$3:$B$62,MATCH($C2658,프로젝트목록!$A$3:$A$62,0)),"미등록코드"))</f>
        <v/>
      </c>
      <c r="E2658" s="32" t="n"/>
      <c r="F2658" s="38" t="n"/>
      <c r="G2658" s="38" t="n"/>
      <c r="H2658" s="39" t="n"/>
      <c r="I2658" s="40" t="str">
        <f>IF(OR($J2658="",$K2658=""),"",ROUND(MAX(0,($K2658-$J2658)-IF($H2658="",0,$H2658))/60,2))</f>
        <v/>
      </c>
      <c r="J2658" s="41" t="str">
        <f>IF($F2658="","",IF($F2658&lt;1,ROUND($F2658*1440,0),INT($F2658/100)*60+MOD($F2658,100)))</f>
        <v/>
      </c>
      <c r="K2658" s="41" t="str">
        <f>IF($G2658="","",IF($G2658&lt;1,ROUND($G2658*1440,0),INT($G2658/100)*60+MOD($G2658,100)))</f>
        <v/>
      </c>
    </row>
    <row r="2659" ht="15" customHeight="1" s="26">
      <c r="A2659" s="34" t="n"/>
      <c r="B2659" s="32" t="n"/>
      <c r="C2659" s="33" t="n"/>
      <c r="D2659" s="37" t="str">
        <f>IF($C2659="","",IFERROR(INDEX(프로젝트목록!$B$3:$B$62,MATCH($C2659,프로젝트목록!$A$3:$A$62,0)),"미등록코드"))</f>
        <v/>
      </c>
      <c r="E2659" s="32" t="n"/>
      <c r="F2659" s="38" t="n"/>
      <c r="G2659" s="38" t="n"/>
      <c r="H2659" s="39" t="n"/>
      <c r="I2659" s="40" t="str">
        <f>IF(OR($J2659="",$K2659=""),"",ROUND(MAX(0,($K2659-$J2659)-IF($H2659="",0,$H2659))/60,2))</f>
        <v/>
      </c>
      <c r="J2659" s="41" t="str">
        <f>IF($F2659="","",IF($F2659&lt;1,ROUND($F2659*1440,0),INT($F2659/100)*60+MOD($F2659,100)))</f>
        <v/>
      </c>
      <c r="K2659" s="41" t="str">
        <f>IF($G2659="","",IF($G2659&lt;1,ROUND($G2659*1440,0),INT($G2659/100)*60+MOD($G2659,100)))</f>
        <v/>
      </c>
    </row>
    <row r="2660" ht="15" customHeight="1" s="26">
      <c r="A2660" s="34" t="n"/>
      <c r="B2660" s="32" t="n"/>
      <c r="C2660" s="33" t="n"/>
      <c r="D2660" s="37" t="str">
        <f>IF($C2660="","",IFERROR(INDEX(프로젝트목록!$B$3:$B$62,MATCH($C2660,프로젝트목록!$A$3:$A$62,0)),"미등록코드"))</f>
        <v/>
      </c>
      <c r="E2660" s="32" t="n"/>
      <c r="F2660" s="38" t="n"/>
      <c r="G2660" s="38" t="n"/>
      <c r="H2660" s="39" t="n"/>
      <c r="I2660" s="40" t="str">
        <f>IF(OR($J2660="",$K2660=""),"",ROUND(MAX(0,($K2660-$J2660)-IF($H2660="",0,$H2660))/60,2))</f>
        <v/>
      </c>
      <c r="J2660" s="41" t="str">
        <f>IF($F2660="","",IF($F2660&lt;1,ROUND($F2660*1440,0),INT($F2660/100)*60+MOD($F2660,100)))</f>
        <v/>
      </c>
      <c r="K2660" s="41" t="str">
        <f>IF($G2660="","",IF($G2660&lt;1,ROUND($G2660*1440,0),INT($G2660/100)*60+MOD($G2660,100)))</f>
        <v/>
      </c>
    </row>
    <row r="2661" ht="15" customHeight="1" s="26">
      <c r="A2661" s="34" t="n"/>
      <c r="B2661" s="32" t="n"/>
      <c r="C2661" s="33" t="n"/>
      <c r="D2661" s="37" t="str">
        <f>IF($C2661="","",IFERROR(INDEX(프로젝트목록!$B$3:$B$62,MATCH($C2661,프로젝트목록!$A$3:$A$62,0)),"미등록코드"))</f>
        <v/>
      </c>
      <c r="E2661" s="32" t="n"/>
      <c r="F2661" s="38" t="n"/>
      <c r="G2661" s="38" t="n"/>
      <c r="H2661" s="39" t="n"/>
      <c r="I2661" s="40" t="str">
        <f>IF(OR($J2661="",$K2661=""),"",ROUND(MAX(0,($K2661-$J2661)-IF($H2661="",0,$H2661))/60,2))</f>
        <v/>
      </c>
      <c r="J2661" s="41" t="str">
        <f>IF($F2661="","",IF($F2661&lt;1,ROUND($F2661*1440,0),INT($F2661/100)*60+MOD($F2661,100)))</f>
        <v/>
      </c>
      <c r="K2661" s="41" t="str">
        <f>IF($G2661="","",IF($G2661&lt;1,ROUND($G2661*1440,0),INT($G2661/100)*60+MOD($G2661,100)))</f>
        <v/>
      </c>
    </row>
    <row r="2662" ht="15" customHeight="1" s="26">
      <c r="A2662" s="34" t="n"/>
      <c r="B2662" s="32" t="n"/>
      <c r="C2662" s="33" t="n"/>
      <c r="D2662" s="37" t="str">
        <f>IF($C2662="","",IFERROR(INDEX(프로젝트목록!$B$3:$B$62,MATCH($C2662,프로젝트목록!$A$3:$A$62,0)),"미등록코드"))</f>
        <v/>
      </c>
      <c r="E2662" s="32" t="n"/>
      <c r="F2662" s="38" t="n"/>
      <c r="G2662" s="38" t="n"/>
      <c r="H2662" s="39" t="n"/>
      <c r="I2662" s="40" t="str">
        <f>IF(OR($J2662="",$K2662=""),"",ROUND(MAX(0,($K2662-$J2662)-IF($H2662="",0,$H2662))/60,2))</f>
        <v/>
      </c>
      <c r="J2662" s="41" t="str">
        <f>IF($F2662="","",IF($F2662&lt;1,ROUND($F2662*1440,0),INT($F2662/100)*60+MOD($F2662,100)))</f>
        <v/>
      </c>
      <c r="K2662" s="41" t="str">
        <f>IF($G2662="","",IF($G2662&lt;1,ROUND($G2662*1440,0),INT($G2662/100)*60+MOD($G2662,100)))</f>
        <v/>
      </c>
    </row>
    <row r="2663" ht="15" customHeight="1" s="26">
      <c r="A2663" s="34" t="n"/>
      <c r="B2663" s="32" t="n"/>
      <c r="C2663" s="33" t="n"/>
      <c r="D2663" s="37" t="str">
        <f>IF($C2663="","",IFERROR(INDEX(프로젝트목록!$B$3:$B$62,MATCH($C2663,프로젝트목록!$A$3:$A$62,0)),"미등록코드"))</f>
        <v/>
      </c>
      <c r="E2663" s="32" t="n"/>
      <c r="F2663" s="38" t="n"/>
      <c r="G2663" s="38" t="n"/>
      <c r="H2663" s="39" t="n"/>
      <c r="I2663" s="40" t="str">
        <f>IF(OR($J2663="",$K2663=""),"",ROUND(MAX(0,($K2663-$J2663)-IF($H2663="",0,$H2663))/60,2))</f>
        <v/>
      </c>
      <c r="J2663" s="41" t="str">
        <f>IF($F2663="","",IF($F2663&lt;1,ROUND($F2663*1440,0),INT($F2663/100)*60+MOD($F2663,100)))</f>
        <v/>
      </c>
      <c r="K2663" s="41" t="str">
        <f>IF($G2663="","",IF($G2663&lt;1,ROUND($G2663*1440,0),INT($G2663/100)*60+MOD($G2663,100)))</f>
        <v/>
      </c>
    </row>
    <row r="2664" ht="15" customHeight="1" s="26">
      <c r="A2664" s="34" t="n"/>
      <c r="B2664" s="32" t="n"/>
      <c r="C2664" s="33" t="n"/>
      <c r="D2664" s="37" t="str">
        <f>IF($C2664="","",IFERROR(INDEX(프로젝트목록!$B$3:$B$62,MATCH($C2664,프로젝트목록!$A$3:$A$62,0)),"미등록코드"))</f>
        <v/>
      </c>
      <c r="E2664" s="32" t="n"/>
      <c r="F2664" s="38" t="n"/>
      <c r="G2664" s="38" t="n"/>
      <c r="H2664" s="39" t="n"/>
      <c r="I2664" s="40" t="str">
        <f>IF(OR($J2664="",$K2664=""),"",ROUND(MAX(0,($K2664-$J2664)-IF($H2664="",0,$H2664))/60,2))</f>
        <v/>
      </c>
      <c r="J2664" s="41" t="str">
        <f>IF($F2664="","",IF($F2664&lt;1,ROUND($F2664*1440,0),INT($F2664/100)*60+MOD($F2664,100)))</f>
        <v/>
      </c>
      <c r="K2664" s="41" t="str">
        <f>IF($G2664="","",IF($G2664&lt;1,ROUND($G2664*1440,0),INT($G2664/100)*60+MOD($G2664,100)))</f>
        <v/>
      </c>
    </row>
    <row r="2665" ht="15" customHeight="1" s="26">
      <c r="A2665" s="34" t="n"/>
      <c r="B2665" s="32" t="n"/>
      <c r="C2665" s="33" t="n"/>
      <c r="D2665" s="37" t="str">
        <f>IF($C2665="","",IFERROR(INDEX(프로젝트목록!$B$3:$B$62,MATCH($C2665,프로젝트목록!$A$3:$A$62,0)),"미등록코드"))</f>
        <v/>
      </c>
      <c r="E2665" s="32" t="n"/>
      <c r="F2665" s="38" t="n"/>
      <c r="G2665" s="38" t="n"/>
      <c r="H2665" s="39" t="n"/>
      <c r="I2665" s="40" t="str">
        <f>IF(OR($J2665="",$K2665=""),"",ROUND(MAX(0,($K2665-$J2665)-IF($H2665="",0,$H2665))/60,2))</f>
        <v/>
      </c>
      <c r="J2665" s="41" t="str">
        <f>IF($F2665="","",IF($F2665&lt;1,ROUND($F2665*1440,0),INT($F2665/100)*60+MOD($F2665,100)))</f>
        <v/>
      </c>
      <c r="K2665" s="41" t="str">
        <f>IF($G2665="","",IF($G2665&lt;1,ROUND($G2665*1440,0),INT($G2665/100)*60+MOD($G2665,100)))</f>
        <v/>
      </c>
    </row>
    <row r="2666" ht="15" customHeight="1" s="26">
      <c r="A2666" s="34" t="n"/>
      <c r="B2666" s="32" t="n"/>
      <c r="C2666" s="33" t="n"/>
      <c r="D2666" s="37" t="str">
        <f>IF($C2666="","",IFERROR(INDEX(프로젝트목록!$B$3:$B$62,MATCH($C2666,프로젝트목록!$A$3:$A$62,0)),"미등록코드"))</f>
        <v/>
      </c>
      <c r="E2666" s="32" t="n"/>
      <c r="F2666" s="38" t="n"/>
      <c r="G2666" s="38" t="n"/>
      <c r="H2666" s="39" t="n"/>
      <c r="I2666" s="40" t="str">
        <f>IF(OR($J2666="",$K2666=""),"",ROUND(MAX(0,($K2666-$J2666)-IF($H2666="",0,$H2666))/60,2))</f>
        <v/>
      </c>
      <c r="J2666" s="41" t="str">
        <f>IF($F2666="","",IF($F2666&lt;1,ROUND($F2666*1440,0),INT($F2666/100)*60+MOD($F2666,100)))</f>
        <v/>
      </c>
      <c r="K2666" s="41" t="str">
        <f>IF($G2666="","",IF($G2666&lt;1,ROUND($G2666*1440,0),INT($G2666/100)*60+MOD($G2666,100)))</f>
        <v/>
      </c>
    </row>
    <row r="2667" ht="15" customHeight="1" s="26">
      <c r="A2667" s="34" t="n"/>
      <c r="B2667" s="32" t="n"/>
      <c r="C2667" s="33" t="n"/>
      <c r="D2667" s="37" t="str">
        <f>IF($C2667="","",IFERROR(INDEX(프로젝트목록!$B$3:$B$62,MATCH($C2667,프로젝트목록!$A$3:$A$62,0)),"미등록코드"))</f>
        <v/>
      </c>
      <c r="E2667" s="32" t="n"/>
      <c r="F2667" s="38" t="n"/>
      <c r="G2667" s="38" t="n"/>
      <c r="H2667" s="39" t="n"/>
      <c r="I2667" s="40" t="str">
        <f>IF(OR($J2667="",$K2667=""),"",ROUND(MAX(0,($K2667-$J2667)-IF($H2667="",0,$H2667))/60,2))</f>
        <v/>
      </c>
      <c r="J2667" s="41" t="str">
        <f>IF($F2667="","",IF($F2667&lt;1,ROUND($F2667*1440,0),INT($F2667/100)*60+MOD($F2667,100)))</f>
        <v/>
      </c>
      <c r="K2667" s="41" t="str">
        <f>IF($G2667="","",IF($G2667&lt;1,ROUND($G2667*1440,0),INT($G2667/100)*60+MOD($G2667,100)))</f>
        <v/>
      </c>
    </row>
    <row r="2668" ht="15" customHeight="1" s="26">
      <c r="A2668" s="34" t="n"/>
      <c r="B2668" s="32" t="n"/>
      <c r="C2668" s="33" t="n"/>
      <c r="D2668" s="37" t="str">
        <f>IF($C2668="","",IFERROR(INDEX(프로젝트목록!$B$3:$B$62,MATCH($C2668,프로젝트목록!$A$3:$A$62,0)),"미등록코드"))</f>
        <v/>
      </c>
      <c r="E2668" s="32" t="n"/>
      <c r="F2668" s="38" t="n"/>
      <c r="G2668" s="38" t="n"/>
      <c r="H2668" s="39" t="n"/>
      <c r="I2668" s="40" t="str">
        <f>IF(OR($J2668="",$K2668=""),"",ROUND(MAX(0,($K2668-$J2668)-IF($H2668="",0,$H2668))/60,2))</f>
        <v/>
      </c>
      <c r="J2668" s="41" t="str">
        <f>IF($F2668="","",IF($F2668&lt;1,ROUND($F2668*1440,0),INT($F2668/100)*60+MOD($F2668,100)))</f>
        <v/>
      </c>
      <c r="K2668" s="41" t="str">
        <f>IF($G2668="","",IF($G2668&lt;1,ROUND($G2668*1440,0),INT($G2668/100)*60+MOD($G2668,100)))</f>
        <v/>
      </c>
    </row>
    <row r="2669" ht="15" customHeight="1" s="26">
      <c r="A2669" s="34" t="n"/>
      <c r="B2669" s="32" t="n"/>
      <c r="C2669" s="33" t="n"/>
      <c r="D2669" s="37" t="str">
        <f>IF($C2669="","",IFERROR(INDEX(프로젝트목록!$B$3:$B$62,MATCH($C2669,프로젝트목록!$A$3:$A$62,0)),"미등록코드"))</f>
        <v/>
      </c>
      <c r="E2669" s="32" t="n"/>
      <c r="F2669" s="38" t="n"/>
      <c r="G2669" s="38" t="n"/>
      <c r="H2669" s="39" t="n"/>
      <c r="I2669" s="40" t="str">
        <f>IF(OR($J2669="",$K2669=""),"",ROUND(MAX(0,($K2669-$J2669)-IF($H2669="",0,$H2669))/60,2))</f>
        <v/>
      </c>
      <c r="J2669" s="41" t="str">
        <f>IF($F2669="","",IF($F2669&lt;1,ROUND($F2669*1440,0),INT($F2669/100)*60+MOD($F2669,100)))</f>
        <v/>
      </c>
      <c r="K2669" s="41" t="str">
        <f>IF($G2669="","",IF($G2669&lt;1,ROUND($G2669*1440,0),INT($G2669/100)*60+MOD($G2669,100)))</f>
        <v/>
      </c>
    </row>
    <row r="2670" ht="15" customHeight="1" s="26">
      <c r="A2670" s="34" t="n"/>
      <c r="B2670" s="32" t="n"/>
      <c r="C2670" s="33" t="n"/>
      <c r="D2670" s="37" t="str">
        <f>IF($C2670="","",IFERROR(INDEX(프로젝트목록!$B$3:$B$62,MATCH($C2670,프로젝트목록!$A$3:$A$62,0)),"미등록코드"))</f>
        <v/>
      </c>
      <c r="E2670" s="32" t="n"/>
      <c r="F2670" s="38" t="n"/>
      <c r="G2670" s="38" t="n"/>
      <c r="H2670" s="39" t="n"/>
      <c r="I2670" s="40" t="str">
        <f>IF(OR($J2670="",$K2670=""),"",ROUND(MAX(0,($K2670-$J2670)-IF($H2670="",0,$H2670))/60,2))</f>
        <v/>
      </c>
      <c r="J2670" s="41" t="str">
        <f>IF($F2670="","",IF($F2670&lt;1,ROUND($F2670*1440,0),INT($F2670/100)*60+MOD($F2670,100)))</f>
        <v/>
      </c>
      <c r="K2670" s="41" t="str">
        <f>IF($G2670="","",IF($G2670&lt;1,ROUND($G2670*1440,0),INT($G2670/100)*60+MOD($G2670,100)))</f>
        <v/>
      </c>
    </row>
    <row r="2671" ht="15" customHeight="1" s="26">
      <c r="A2671" s="34" t="n"/>
      <c r="B2671" s="32" t="n"/>
      <c r="C2671" s="33" t="n"/>
      <c r="D2671" s="37" t="str">
        <f>IF($C2671="","",IFERROR(INDEX(프로젝트목록!$B$3:$B$62,MATCH($C2671,프로젝트목록!$A$3:$A$62,0)),"미등록코드"))</f>
        <v/>
      </c>
      <c r="E2671" s="32" t="n"/>
      <c r="F2671" s="38" t="n"/>
      <c r="G2671" s="38" t="n"/>
      <c r="H2671" s="39" t="n"/>
      <c r="I2671" s="40" t="str">
        <f>IF(OR($J2671="",$K2671=""),"",ROUND(MAX(0,($K2671-$J2671)-IF($H2671="",0,$H2671))/60,2))</f>
        <v/>
      </c>
      <c r="J2671" s="41" t="str">
        <f>IF($F2671="","",IF($F2671&lt;1,ROUND($F2671*1440,0),INT($F2671/100)*60+MOD($F2671,100)))</f>
        <v/>
      </c>
      <c r="K2671" s="41" t="str">
        <f>IF($G2671="","",IF($G2671&lt;1,ROUND($G2671*1440,0),INT($G2671/100)*60+MOD($G2671,100)))</f>
        <v/>
      </c>
    </row>
    <row r="2672" ht="15" customHeight="1" s="26">
      <c r="A2672" s="34" t="n"/>
      <c r="B2672" s="32" t="n"/>
      <c r="C2672" s="33" t="n"/>
      <c r="D2672" s="37" t="str">
        <f>IF($C2672="","",IFERROR(INDEX(프로젝트목록!$B$3:$B$62,MATCH($C2672,프로젝트목록!$A$3:$A$62,0)),"미등록코드"))</f>
        <v/>
      </c>
      <c r="E2672" s="32" t="n"/>
      <c r="F2672" s="38" t="n"/>
      <c r="G2672" s="38" t="n"/>
      <c r="H2672" s="39" t="n"/>
      <c r="I2672" s="40" t="str">
        <f>IF(OR($J2672="",$K2672=""),"",ROUND(MAX(0,($K2672-$J2672)-IF($H2672="",0,$H2672))/60,2))</f>
        <v/>
      </c>
      <c r="J2672" s="41" t="str">
        <f>IF($F2672="","",IF($F2672&lt;1,ROUND($F2672*1440,0),INT($F2672/100)*60+MOD($F2672,100)))</f>
        <v/>
      </c>
      <c r="K2672" s="41" t="str">
        <f>IF($G2672="","",IF($G2672&lt;1,ROUND($G2672*1440,0),INT($G2672/100)*60+MOD($G2672,100)))</f>
        <v/>
      </c>
    </row>
    <row r="2673" ht="15" customHeight="1" s="26">
      <c r="A2673" s="34" t="n"/>
      <c r="B2673" s="32" t="n"/>
      <c r="C2673" s="33" t="n"/>
      <c r="D2673" s="37" t="str">
        <f>IF($C2673="","",IFERROR(INDEX(프로젝트목록!$B$3:$B$62,MATCH($C2673,프로젝트목록!$A$3:$A$62,0)),"미등록코드"))</f>
        <v/>
      </c>
      <c r="E2673" s="32" t="n"/>
      <c r="F2673" s="38" t="n"/>
      <c r="G2673" s="38" t="n"/>
      <c r="H2673" s="39" t="n"/>
      <c r="I2673" s="40" t="str">
        <f>IF(OR($J2673="",$K2673=""),"",ROUND(MAX(0,($K2673-$J2673)-IF($H2673="",0,$H2673))/60,2))</f>
        <v/>
      </c>
      <c r="J2673" s="41" t="str">
        <f>IF($F2673="","",IF($F2673&lt;1,ROUND($F2673*1440,0),INT($F2673/100)*60+MOD($F2673,100)))</f>
        <v/>
      </c>
      <c r="K2673" s="41" t="str">
        <f>IF($G2673="","",IF($G2673&lt;1,ROUND($G2673*1440,0),INT($G2673/100)*60+MOD($G2673,100)))</f>
        <v/>
      </c>
    </row>
    <row r="2674" ht="15" customHeight="1" s="26">
      <c r="A2674" s="34" t="n"/>
      <c r="B2674" s="32" t="n"/>
      <c r="C2674" s="33" t="n"/>
      <c r="D2674" s="37" t="str">
        <f>IF($C2674="","",IFERROR(INDEX(프로젝트목록!$B$3:$B$62,MATCH($C2674,프로젝트목록!$A$3:$A$62,0)),"미등록코드"))</f>
        <v/>
      </c>
      <c r="E2674" s="32" t="n"/>
      <c r="F2674" s="38" t="n"/>
      <c r="G2674" s="38" t="n"/>
      <c r="H2674" s="39" t="n"/>
      <c r="I2674" s="40" t="str">
        <f>IF(OR($J2674="",$K2674=""),"",ROUND(MAX(0,($K2674-$J2674)-IF($H2674="",0,$H2674))/60,2))</f>
        <v/>
      </c>
      <c r="J2674" s="41" t="str">
        <f>IF($F2674="","",IF($F2674&lt;1,ROUND($F2674*1440,0),INT($F2674/100)*60+MOD($F2674,100)))</f>
        <v/>
      </c>
      <c r="K2674" s="41" t="str">
        <f>IF($G2674="","",IF($G2674&lt;1,ROUND($G2674*1440,0),INT($G2674/100)*60+MOD($G2674,100)))</f>
        <v/>
      </c>
    </row>
    <row r="2675" ht="15" customHeight="1" s="26">
      <c r="A2675" s="34" t="n"/>
      <c r="B2675" s="32" t="n"/>
      <c r="C2675" s="33" t="n"/>
      <c r="D2675" s="37" t="str">
        <f>IF($C2675="","",IFERROR(INDEX(프로젝트목록!$B$3:$B$62,MATCH($C2675,프로젝트목록!$A$3:$A$62,0)),"미등록코드"))</f>
        <v/>
      </c>
      <c r="E2675" s="32" t="n"/>
      <c r="F2675" s="38" t="n"/>
      <c r="G2675" s="38" t="n"/>
      <c r="H2675" s="39" t="n"/>
      <c r="I2675" s="40" t="str">
        <f>IF(OR($J2675="",$K2675=""),"",ROUND(MAX(0,($K2675-$J2675)-IF($H2675="",0,$H2675))/60,2))</f>
        <v/>
      </c>
      <c r="J2675" s="41" t="str">
        <f>IF($F2675="","",IF($F2675&lt;1,ROUND($F2675*1440,0),INT($F2675/100)*60+MOD($F2675,100)))</f>
        <v/>
      </c>
      <c r="K2675" s="41" t="str">
        <f>IF($G2675="","",IF($G2675&lt;1,ROUND($G2675*1440,0),INT($G2675/100)*60+MOD($G2675,100)))</f>
        <v/>
      </c>
    </row>
    <row r="2676" ht="15" customHeight="1" s="26">
      <c r="A2676" s="34" t="n"/>
      <c r="B2676" s="32" t="n"/>
      <c r="C2676" s="33" t="n"/>
      <c r="D2676" s="37" t="str">
        <f>IF($C2676="","",IFERROR(INDEX(프로젝트목록!$B$3:$B$62,MATCH($C2676,프로젝트목록!$A$3:$A$62,0)),"미등록코드"))</f>
        <v/>
      </c>
      <c r="E2676" s="32" t="n"/>
      <c r="F2676" s="38" t="n"/>
      <c r="G2676" s="38" t="n"/>
      <c r="H2676" s="39" t="n"/>
      <c r="I2676" s="40" t="str">
        <f>IF(OR($J2676="",$K2676=""),"",ROUND(MAX(0,($K2676-$J2676)-IF($H2676="",0,$H2676))/60,2))</f>
        <v/>
      </c>
      <c r="J2676" s="41" t="str">
        <f>IF($F2676="","",IF($F2676&lt;1,ROUND($F2676*1440,0),INT($F2676/100)*60+MOD($F2676,100)))</f>
        <v/>
      </c>
      <c r="K2676" s="41" t="str">
        <f>IF($G2676="","",IF($G2676&lt;1,ROUND($G2676*1440,0),INT($G2676/100)*60+MOD($G2676,100)))</f>
        <v/>
      </c>
    </row>
    <row r="2677" ht="15" customHeight="1" s="26">
      <c r="A2677" s="34" t="n"/>
      <c r="B2677" s="32" t="n"/>
      <c r="C2677" s="33" t="n"/>
      <c r="D2677" s="37" t="str">
        <f>IF($C2677="","",IFERROR(INDEX(프로젝트목록!$B$3:$B$62,MATCH($C2677,프로젝트목록!$A$3:$A$62,0)),"미등록코드"))</f>
        <v/>
      </c>
      <c r="E2677" s="32" t="n"/>
      <c r="F2677" s="38" t="n"/>
      <c r="G2677" s="38" t="n"/>
      <c r="H2677" s="39" t="n"/>
      <c r="I2677" s="40" t="str">
        <f>IF(OR($J2677="",$K2677=""),"",ROUND(MAX(0,($K2677-$J2677)-IF($H2677="",0,$H2677))/60,2))</f>
        <v/>
      </c>
      <c r="J2677" s="41" t="str">
        <f>IF($F2677="","",IF($F2677&lt;1,ROUND($F2677*1440,0),INT($F2677/100)*60+MOD($F2677,100)))</f>
        <v/>
      </c>
      <c r="K2677" s="41" t="str">
        <f>IF($G2677="","",IF($G2677&lt;1,ROUND($G2677*1440,0),INT($G2677/100)*60+MOD($G2677,100)))</f>
        <v/>
      </c>
    </row>
    <row r="2678" ht="15" customHeight="1" s="26">
      <c r="A2678" s="34" t="n"/>
      <c r="B2678" s="32" t="n"/>
      <c r="C2678" s="33" t="n"/>
      <c r="D2678" s="37" t="str">
        <f>IF($C2678="","",IFERROR(INDEX(프로젝트목록!$B$3:$B$62,MATCH($C2678,프로젝트목록!$A$3:$A$62,0)),"미등록코드"))</f>
        <v/>
      </c>
      <c r="E2678" s="32" t="n"/>
      <c r="F2678" s="38" t="n"/>
      <c r="G2678" s="38" t="n"/>
      <c r="H2678" s="39" t="n"/>
      <c r="I2678" s="40" t="str">
        <f>IF(OR($J2678="",$K2678=""),"",ROUND(MAX(0,($K2678-$J2678)-IF($H2678="",0,$H2678))/60,2))</f>
        <v/>
      </c>
      <c r="J2678" s="41" t="str">
        <f>IF($F2678="","",IF($F2678&lt;1,ROUND($F2678*1440,0),INT($F2678/100)*60+MOD($F2678,100)))</f>
        <v/>
      </c>
      <c r="K2678" s="41" t="str">
        <f>IF($G2678="","",IF($G2678&lt;1,ROUND($G2678*1440,0),INT($G2678/100)*60+MOD($G2678,100)))</f>
        <v/>
      </c>
    </row>
    <row r="2679" ht="15" customHeight="1" s="26">
      <c r="A2679" s="34" t="n"/>
      <c r="B2679" s="32" t="n"/>
      <c r="C2679" s="33" t="n"/>
      <c r="D2679" s="37" t="str">
        <f>IF($C2679="","",IFERROR(INDEX(프로젝트목록!$B$3:$B$62,MATCH($C2679,프로젝트목록!$A$3:$A$62,0)),"미등록코드"))</f>
        <v/>
      </c>
      <c r="E2679" s="32" t="n"/>
      <c r="F2679" s="38" t="n"/>
      <c r="G2679" s="38" t="n"/>
      <c r="H2679" s="39" t="n"/>
      <c r="I2679" s="40" t="str">
        <f>IF(OR($J2679="",$K2679=""),"",ROUND(MAX(0,($K2679-$J2679)-IF($H2679="",0,$H2679))/60,2))</f>
        <v/>
      </c>
      <c r="J2679" s="41" t="str">
        <f>IF($F2679="","",IF($F2679&lt;1,ROUND($F2679*1440,0),INT($F2679/100)*60+MOD($F2679,100)))</f>
        <v/>
      </c>
      <c r="K2679" s="41" t="str">
        <f>IF($G2679="","",IF($G2679&lt;1,ROUND($G2679*1440,0),INT($G2679/100)*60+MOD($G2679,100)))</f>
        <v/>
      </c>
    </row>
    <row r="2680" ht="15" customHeight="1" s="26">
      <c r="A2680" s="34" t="n"/>
      <c r="B2680" s="32" t="n"/>
      <c r="C2680" s="33" t="n"/>
      <c r="D2680" s="37" t="str">
        <f>IF($C2680="","",IFERROR(INDEX(프로젝트목록!$B$3:$B$62,MATCH($C2680,프로젝트목록!$A$3:$A$62,0)),"미등록코드"))</f>
        <v/>
      </c>
      <c r="E2680" s="32" t="n"/>
      <c r="F2680" s="38" t="n"/>
      <c r="G2680" s="38" t="n"/>
      <c r="H2680" s="39" t="n"/>
      <c r="I2680" s="40" t="str">
        <f>IF(OR($J2680="",$K2680=""),"",ROUND(MAX(0,($K2680-$J2680)-IF($H2680="",0,$H2680))/60,2))</f>
        <v/>
      </c>
      <c r="J2680" s="41" t="str">
        <f>IF($F2680="","",IF($F2680&lt;1,ROUND($F2680*1440,0),INT($F2680/100)*60+MOD($F2680,100)))</f>
        <v/>
      </c>
      <c r="K2680" s="41" t="str">
        <f>IF($G2680="","",IF($G2680&lt;1,ROUND($G2680*1440,0),INT($G2680/100)*60+MOD($G2680,100)))</f>
        <v/>
      </c>
    </row>
    <row r="2681" ht="15" customHeight="1" s="26">
      <c r="A2681" s="34" t="n"/>
      <c r="B2681" s="32" t="n"/>
      <c r="C2681" s="33" t="n"/>
      <c r="D2681" s="37" t="str">
        <f>IF($C2681="","",IFERROR(INDEX(프로젝트목록!$B$3:$B$62,MATCH($C2681,프로젝트목록!$A$3:$A$62,0)),"미등록코드"))</f>
        <v/>
      </c>
      <c r="E2681" s="32" t="n"/>
      <c r="F2681" s="38" t="n"/>
      <c r="G2681" s="38" t="n"/>
      <c r="H2681" s="39" t="n"/>
      <c r="I2681" s="40" t="str">
        <f>IF(OR($J2681="",$K2681=""),"",ROUND(MAX(0,($K2681-$J2681)-IF($H2681="",0,$H2681))/60,2))</f>
        <v/>
      </c>
      <c r="J2681" s="41" t="str">
        <f>IF($F2681="","",IF($F2681&lt;1,ROUND($F2681*1440,0),INT($F2681/100)*60+MOD($F2681,100)))</f>
        <v/>
      </c>
      <c r="K2681" s="41" t="str">
        <f>IF($G2681="","",IF($G2681&lt;1,ROUND($G2681*1440,0),INT($G2681/100)*60+MOD($G2681,100)))</f>
        <v/>
      </c>
    </row>
    <row r="2682" ht="15" customHeight="1" s="26">
      <c r="A2682" s="34" t="n"/>
      <c r="B2682" s="32" t="n"/>
      <c r="C2682" s="33" t="n"/>
      <c r="D2682" s="37" t="str">
        <f>IF($C2682="","",IFERROR(INDEX(프로젝트목록!$B$3:$B$62,MATCH($C2682,프로젝트목록!$A$3:$A$62,0)),"미등록코드"))</f>
        <v/>
      </c>
      <c r="E2682" s="32" t="n"/>
      <c r="F2682" s="38" t="n"/>
      <c r="G2682" s="38" t="n"/>
      <c r="H2682" s="39" t="n"/>
      <c r="I2682" s="40" t="str">
        <f>IF(OR($J2682="",$K2682=""),"",ROUND(MAX(0,($K2682-$J2682)-IF($H2682="",0,$H2682))/60,2))</f>
        <v/>
      </c>
      <c r="J2682" s="41" t="str">
        <f>IF($F2682="","",IF($F2682&lt;1,ROUND($F2682*1440,0),INT($F2682/100)*60+MOD($F2682,100)))</f>
        <v/>
      </c>
      <c r="K2682" s="41" t="str">
        <f>IF($G2682="","",IF($G2682&lt;1,ROUND($G2682*1440,0),INT($G2682/100)*60+MOD($G2682,100)))</f>
        <v/>
      </c>
    </row>
    <row r="2683" ht="15" customHeight="1" s="26">
      <c r="A2683" s="34" t="n"/>
      <c r="B2683" s="32" t="n"/>
      <c r="C2683" s="33" t="n"/>
      <c r="D2683" s="37" t="str">
        <f>IF($C2683="","",IFERROR(INDEX(프로젝트목록!$B$3:$B$62,MATCH($C2683,프로젝트목록!$A$3:$A$62,0)),"미등록코드"))</f>
        <v/>
      </c>
      <c r="E2683" s="32" t="n"/>
      <c r="F2683" s="38" t="n"/>
      <c r="G2683" s="38" t="n"/>
      <c r="H2683" s="39" t="n"/>
      <c r="I2683" s="40" t="str">
        <f>IF(OR($J2683="",$K2683=""),"",ROUND(MAX(0,($K2683-$J2683)-IF($H2683="",0,$H2683))/60,2))</f>
        <v/>
      </c>
      <c r="J2683" s="41" t="str">
        <f>IF($F2683="","",IF($F2683&lt;1,ROUND($F2683*1440,0),INT($F2683/100)*60+MOD($F2683,100)))</f>
        <v/>
      </c>
      <c r="K2683" s="41" t="str">
        <f>IF($G2683="","",IF($G2683&lt;1,ROUND($G2683*1440,0),INT($G2683/100)*60+MOD($G2683,100)))</f>
        <v/>
      </c>
    </row>
    <row r="2684" ht="15" customHeight="1" s="26">
      <c r="A2684" s="34" t="n"/>
      <c r="B2684" s="32" t="n"/>
      <c r="C2684" s="33" t="n"/>
      <c r="D2684" s="37" t="str">
        <f>IF($C2684="","",IFERROR(INDEX(프로젝트목록!$B$3:$B$62,MATCH($C2684,프로젝트목록!$A$3:$A$62,0)),"미등록코드"))</f>
        <v/>
      </c>
      <c r="E2684" s="32" t="n"/>
      <c r="F2684" s="38" t="n"/>
      <c r="G2684" s="38" t="n"/>
      <c r="H2684" s="39" t="n"/>
      <c r="I2684" s="40" t="str">
        <f>IF(OR($J2684="",$K2684=""),"",ROUND(MAX(0,($K2684-$J2684)-IF($H2684="",0,$H2684))/60,2))</f>
        <v/>
      </c>
      <c r="J2684" s="41" t="str">
        <f>IF($F2684="","",IF($F2684&lt;1,ROUND($F2684*1440,0),INT($F2684/100)*60+MOD($F2684,100)))</f>
        <v/>
      </c>
      <c r="K2684" s="41" t="str">
        <f>IF($G2684="","",IF($G2684&lt;1,ROUND($G2684*1440,0),INT($G2684/100)*60+MOD($G2684,100)))</f>
        <v/>
      </c>
    </row>
    <row r="2685" ht="15" customHeight="1" s="26">
      <c r="A2685" s="34" t="n"/>
      <c r="B2685" s="32" t="n"/>
      <c r="C2685" s="33" t="n"/>
      <c r="D2685" s="37" t="str">
        <f>IF($C2685="","",IFERROR(INDEX(프로젝트목록!$B$3:$B$62,MATCH($C2685,프로젝트목록!$A$3:$A$62,0)),"미등록코드"))</f>
        <v/>
      </c>
      <c r="E2685" s="32" t="n"/>
      <c r="F2685" s="38" t="n"/>
      <c r="G2685" s="38" t="n"/>
      <c r="H2685" s="39" t="n"/>
      <c r="I2685" s="40" t="str">
        <f>IF(OR($J2685="",$K2685=""),"",ROUND(MAX(0,($K2685-$J2685)-IF($H2685="",0,$H2685))/60,2))</f>
        <v/>
      </c>
      <c r="J2685" s="41" t="str">
        <f>IF($F2685="","",IF($F2685&lt;1,ROUND($F2685*1440,0),INT($F2685/100)*60+MOD($F2685,100)))</f>
        <v/>
      </c>
      <c r="K2685" s="41" t="str">
        <f>IF($G2685="","",IF($G2685&lt;1,ROUND($G2685*1440,0),INT($G2685/100)*60+MOD($G2685,100)))</f>
        <v/>
      </c>
    </row>
    <row r="2686" ht="15" customHeight="1" s="26">
      <c r="A2686" s="34" t="n"/>
      <c r="B2686" s="32" t="n"/>
      <c r="C2686" s="33" t="n"/>
      <c r="D2686" s="37" t="str">
        <f>IF($C2686="","",IFERROR(INDEX(프로젝트목록!$B$3:$B$62,MATCH($C2686,프로젝트목록!$A$3:$A$62,0)),"미등록코드"))</f>
        <v/>
      </c>
      <c r="E2686" s="32" t="n"/>
      <c r="F2686" s="38" t="n"/>
      <c r="G2686" s="38" t="n"/>
      <c r="H2686" s="39" t="n"/>
      <c r="I2686" s="40" t="str">
        <f>IF(OR($J2686="",$K2686=""),"",ROUND(MAX(0,($K2686-$J2686)-IF($H2686="",0,$H2686))/60,2))</f>
        <v/>
      </c>
      <c r="J2686" s="41" t="str">
        <f>IF($F2686="","",IF($F2686&lt;1,ROUND($F2686*1440,0),INT($F2686/100)*60+MOD($F2686,100)))</f>
        <v/>
      </c>
      <c r="K2686" s="41" t="str">
        <f>IF($G2686="","",IF($G2686&lt;1,ROUND($G2686*1440,0),INT($G2686/100)*60+MOD($G2686,100)))</f>
        <v/>
      </c>
    </row>
    <row r="2687" ht="15" customHeight="1" s="26">
      <c r="A2687" s="34" t="n"/>
      <c r="B2687" s="32" t="n"/>
      <c r="C2687" s="33" t="n"/>
      <c r="D2687" s="37" t="str">
        <f>IF($C2687="","",IFERROR(INDEX(프로젝트목록!$B$3:$B$62,MATCH($C2687,프로젝트목록!$A$3:$A$62,0)),"미등록코드"))</f>
        <v/>
      </c>
      <c r="E2687" s="32" t="n"/>
      <c r="F2687" s="38" t="n"/>
      <c r="G2687" s="38" t="n"/>
      <c r="H2687" s="39" t="n"/>
      <c r="I2687" s="40" t="str">
        <f>IF(OR($J2687="",$K2687=""),"",ROUND(MAX(0,($K2687-$J2687)-IF($H2687="",0,$H2687))/60,2))</f>
        <v/>
      </c>
      <c r="J2687" s="41" t="str">
        <f>IF($F2687="","",IF($F2687&lt;1,ROUND($F2687*1440,0),INT($F2687/100)*60+MOD($F2687,100)))</f>
        <v/>
      </c>
      <c r="K2687" s="41" t="str">
        <f>IF($G2687="","",IF($G2687&lt;1,ROUND($G2687*1440,0),INT($G2687/100)*60+MOD($G2687,100)))</f>
        <v/>
      </c>
    </row>
    <row r="2688" ht="15" customHeight="1" s="26">
      <c r="A2688" s="34" t="n"/>
      <c r="B2688" s="32" t="n"/>
      <c r="C2688" s="33" t="n"/>
      <c r="D2688" s="37" t="str">
        <f>IF($C2688="","",IFERROR(INDEX(프로젝트목록!$B$3:$B$62,MATCH($C2688,프로젝트목록!$A$3:$A$62,0)),"미등록코드"))</f>
        <v/>
      </c>
      <c r="E2688" s="32" t="n"/>
      <c r="F2688" s="38" t="n"/>
      <c r="G2688" s="38" t="n"/>
      <c r="H2688" s="39" t="n"/>
      <c r="I2688" s="40" t="str">
        <f>IF(OR($J2688="",$K2688=""),"",ROUND(MAX(0,($K2688-$J2688)-IF($H2688="",0,$H2688))/60,2))</f>
        <v/>
      </c>
      <c r="J2688" s="41" t="str">
        <f>IF($F2688="","",IF($F2688&lt;1,ROUND($F2688*1440,0),INT($F2688/100)*60+MOD($F2688,100)))</f>
        <v/>
      </c>
      <c r="K2688" s="41" t="str">
        <f>IF($G2688="","",IF($G2688&lt;1,ROUND($G2688*1440,0),INT($G2688/100)*60+MOD($G2688,100)))</f>
        <v/>
      </c>
    </row>
    <row r="2689" ht="15" customHeight="1" s="26">
      <c r="A2689" s="34" t="n"/>
      <c r="B2689" s="32" t="n"/>
      <c r="C2689" s="33" t="n"/>
      <c r="D2689" s="37" t="str">
        <f>IF($C2689="","",IFERROR(INDEX(프로젝트목록!$B$3:$B$62,MATCH($C2689,프로젝트목록!$A$3:$A$62,0)),"미등록코드"))</f>
        <v/>
      </c>
      <c r="E2689" s="32" t="n"/>
      <c r="F2689" s="38" t="n"/>
      <c r="G2689" s="38" t="n"/>
      <c r="H2689" s="39" t="n"/>
      <c r="I2689" s="40" t="str">
        <f>IF(OR($J2689="",$K2689=""),"",ROUND(MAX(0,($K2689-$J2689)-IF($H2689="",0,$H2689))/60,2))</f>
        <v/>
      </c>
      <c r="J2689" s="41" t="str">
        <f>IF($F2689="","",IF($F2689&lt;1,ROUND($F2689*1440,0),INT($F2689/100)*60+MOD($F2689,100)))</f>
        <v/>
      </c>
      <c r="K2689" s="41" t="str">
        <f>IF($G2689="","",IF($G2689&lt;1,ROUND($G2689*1440,0),INT($G2689/100)*60+MOD($G2689,100)))</f>
        <v/>
      </c>
    </row>
    <row r="2690" ht="15" customHeight="1" s="26">
      <c r="A2690" s="34" t="n"/>
      <c r="B2690" s="32" t="n"/>
      <c r="C2690" s="33" t="n"/>
      <c r="D2690" s="37" t="str">
        <f>IF($C2690="","",IFERROR(INDEX(프로젝트목록!$B$3:$B$62,MATCH($C2690,프로젝트목록!$A$3:$A$62,0)),"미등록코드"))</f>
        <v/>
      </c>
      <c r="E2690" s="32" t="n"/>
      <c r="F2690" s="38" t="n"/>
      <c r="G2690" s="38" t="n"/>
      <c r="H2690" s="39" t="n"/>
      <c r="I2690" s="40" t="str">
        <f>IF(OR($J2690="",$K2690=""),"",ROUND(MAX(0,($K2690-$J2690)-IF($H2690="",0,$H2690))/60,2))</f>
        <v/>
      </c>
      <c r="J2690" s="41" t="str">
        <f>IF($F2690="","",IF($F2690&lt;1,ROUND($F2690*1440,0),INT($F2690/100)*60+MOD($F2690,100)))</f>
        <v/>
      </c>
      <c r="K2690" s="41" t="str">
        <f>IF($G2690="","",IF($G2690&lt;1,ROUND($G2690*1440,0),INT($G2690/100)*60+MOD($G2690,100)))</f>
        <v/>
      </c>
    </row>
    <row r="2691" ht="15" customHeight="1" s="26">
      <c r="A2691" s="34" t="n"/>
      <c r="B2691" s="32" t="n"/>
      <c r="C2691" s="33" t="n"/>
      <c r="D2691" s="37" t="str">
        <f>IF($C2691="","",IFERROR(INDEX(프로젝트목록!$B$3:$B$62,MATCH($C2691,프로젝트목록!$A$3:$A$62,0)),"미등록코드"))</f>
        <v/>
      </c>
      <c r="E2691" s="32" t="n"/>
      <c r="F2691" s="38" t="n"/>
      <c r="G2691" s="38" t="n"/>
      <c r="H2691" s="39" t="n"/>
      <c r="I2691" s="40" t="str">
        <f>IF(OR($J2691="",$K2691=""),"",ROUND(MAX(0,($K2691-$J2691)-IF($H2691="",0,$H2691))/60,2))</f>
        <v/>
      </c>
      <c r="J2691" s="41" t="str">
        <f>IF($F2691="","",IF($F2691&lt;1,ROUND($F2691*1440,0),INT($F2691/100)*60+MOD($F2691,100)))</f>
        <v/>
      </c>
      <c r="K2691" s="41" t="str">
        <f>IF($G2691="","",IF($G2691&lt;1,ROUND($G2691*1440,0),INT($G2691/100)*60+MOD($G2691,100)))</f>
        <v/>
      </c>
    </row>
    <row r="2692" ht="15" customHeight="1" s="26">
      <c r="A2692" s="34" t="n"/>
      <c r="B2692" s="32" t="n"/>
      <c r="C2692" s="33" t="n"/>
      <c r="D2692" s="37" t="str">
        <f>IF($C2692="","",IFERROR(INDEX(프로젝트목록!$B$3:$B$62,MATCH($C2692,프로젝트목록!$A$3:$A$62,0)),"미등록코드"))</f>
        <v/>
      </c>
      <c r="E2692" s="32" t="n"/>
      <c r="F2692" s="38" t="n"/>
      <c r="G2692" s="38" t="n"/>
      <c r="H2692" s="39" t="n"/>
      <c r="I2692" s="40" t="str">
        <f>IF(OR($J2692="",$K2692=""),"",ROUND(MAX(0,($K2692-$J2692)-IF($H2692="",0,$H2692))/60,2))</f>
        <v/>
      </c>
      <c r="J2692" s="41" t="str">
        <f>IF($F2692="","",IF($F2692&lt;1,ROUND($F2692*1440,0),INT($F2692/100)*60+MOD($F2692,100)))</f>
        <v/>
      </c>
      <c r="K2692" s="41" t="str">
        <f>IF($G2692="","",IF($G2692&lt;1,ROUND($G2692*1440,0),INT($G2692/100)*60+MOD($G2692,100)))</f>
        <v/>
      </c>
    </row>
    <row r="2693" ht="15" customHeight="1" s="26">
      <c r="A2693" s="34" t="n"/>
      <c r="B2693" s="32" t="n"/>
      <c r="C2693" s="33" t="n"/>
      <c r="D2693" s="37" t="str">
        <f>IF($C2693="","",IFERROR(INDEX(프로젝트목록!$B$3:$B$62,MATCH($C2693,프로젝트목록!$A$3:$A$62,0)),"미등록코드"))</f>
        <v/>
      </c>
      <c r="E2693" s="32" t="n"/>
      <c r="F2693" s="38" t="n"/>
      <c r="G2693" s="38" t="n"/>
      <c r="H2693" s="39" t="n"/>
      <c r="I2693" s="40" t="str">
        <f>IF(OR($J2693="",$K2693=""),"",ROUND(MAX(0,($K2693-$J2693)-IF($H2693="",0,$H2693))/60,2))</f>
        <v/>
      </c>
      <c r="J2693" s="41" t="str">
        <f>IF($F2693="","",IF($F2693&lt;1,ROUND($F2693*1440,0),INT($F2693/100)*60+MOD($F2693,100)))</f>
        <v/>
      </c>
      <c r="K2693" s="41" t="str">
        <f>IF($G2693="","",IF($G2693&lt;1,ROUND($G2693*1440,0),INT($G2693/100)*60+MOD($G2693,100)))</f>
        <v/>
      </c>
    </row>
    <row r="2694" ht="15" customHeight="1" s="26">
      <c r="A2694" s="34" t="n"/>
      <c r="B2694" s="32" t="n"/>
      <c r="C2694" s="33" t="n"/>
      <c r="D2694" s="37" t="str">
        <f>IF($C2694="","",IFERROR(INDEX(프로젝트목록!$B$3:$B$62,MATCH($C2694,프로젝트목록!$A$3:$A$62,0)),"미등록코드"))</f>
        <v/>
      </c>
      <c r="E2694" s="32" t="n"/>
      <c r="F2694" s="38" t="n"/>
      <c r="G2694" s="38" t="n"/>
      <c r="H2694" s="39" t="n"/>
      <c r="I2694" s="40" t="str">
        <f>IF(OR($J2694="",$K2694=""),"",ROUND(MAX(0,($K2694-$J2694)-IF($H2694="",0,$H2694))/60,2))</f>
        <v/>
      </c>
      <c r="J2694" s="41" t="str">
        <f>IF($F2694="","",IF($F2694&lt;1,ROUND($F2694*1440,0),INT($F2694/100)*60+MOD($F2694,100)))</f>
        <v/>
      </c>
      <c r="K2694" s="41" t="str">
        <f>IF($G2694="","",IF($G2694&lt;1,ROUND($G2694*1440,0),INT($G2694/100)*60+MOD($G2694,100)))</f>
        <v/>
      </c>
    </row>
    <row r="2695" ht="15" customHeight="1" s="26">
      <c r="A2695" s="34" t="n"/>
      <c r="B2695" s="32" t="n"/>
      <c r="C2695" s="33" t="n"/>
      <c r="D2695" s="37" t="str">
        <f>IF($C2695="","",IFERROR(INDEX(프로젝트목록!$B$3:$B$62,MATCH($C2695,프로젝트목록!$A$3:$A$62,0)),"미등록코드"))</f>
        <v/>
      </c>
      <c r="E2695" s="32" t="n"/>
      <c r="F2695" s="38" t="n"/>
      <c r="G2695" s="38" t="n"/>
      <c r="H2695" s="39" t="n"/>
      <c r="I2695" s="40" t="str">
        <f>IF(OR($J2695="",$K2695=""),"",ROUND(MAX(0,($K2695-$J2695)-IF($H2695="",0,$H2695))/60,2))</f>
        <v/>
      </c>
      <c r="J2695" s="41" t="str">
        <f>IF($F2695="","",IF($F2695&lt;1,ROUND($F2695*1440,0),INT($F2695/100)*60+MOD($F2695,100)))</f>
        <v/>
      </c>
      <c r="K2695" s="41" t="str">
        <f>IF($G2695="","",IF($G2695&lt;1,ROUND($G2695*1440,0),INT($G2695/100)*60+MOD($G2695,100)))</f>
        <v/>
      </c>
    </row>
    <row r="2696" ht="15" customHeight="1" s="26">
      <c r="A2696" s="34" t="n"/>
      <c r="B2696" s="32" t="n"/>
      <c r="C2696" s="33" t="n"/>
      <c r="D2696" s="37" t="str">
        <f>IF($C2696="","",IFERROR(INDEX(프로젝트목록!$B$3:$B$62,MATCH($C2696,프로젝트목록!$A$3:$A$62,0)),"미등록코드"))</f>
        <v/>
      </c>
      <c r="E2696" s="32" t="n"/>
      <c r="F2696" s="38" t="n"/>
      <c r="G2696" s="38" t="n"/>
      <c r="H2696" s="39" t="n"/>
      <c r="I2696" s="40" t="str">
        <f>IF(OR($J2696="",$K2696=""),"",ROUND(MAX(0,($K2696-$J2696)-IF($H2696="",0,$H2696))/60,2))</f>
        <v/>
      </c>
      <c r="J2696" s="41" t="str">
        <f>IF($F2696="","",IF($F2696&lt;1,ROUND($F2696*1440,0),INT($F2696/100)*60+MOD($F2696,100)))</f>
        <v/>
      </c>
      <c r="K2696" s="41" t="str">
        <f>IF($G2696="","",IF($G2696&lt;1,ROUND($G2696*1440,0),INT($G2696/100)*60+MOD($G2696,100)))</f>
        <v/>
      </c>
    </row>
    <row r="2697" ht="15" customHeight="1" s="26">
      <c r="A2697" s="34" t="n"/>
      <c r="B2697" s="32" t="n"/>
      <c r="C2697" s="33" t="n"/>
      <c r="D2697" s="37" t="str">
        <f>IF($C2697="","",IFERROR(INDEX(프로젝트목록!$B$3:$B$62,MATCH($C2697,프로젝트목록!$A$3:$A$62,0)),"미등록코드"))</f>
        <v/>
      </c>
      <c r="E2697" s="32" t="n"/>
      <c r="F2697" s="38" t="n"/>
      <c r="G2697" s="38" t="n"/>
      <c r="H2697" s="39" t="n"/>
      <c r="I2697" s="40" t="str">
        <f>IF(OR($J2697="",$K2697=""),"",ROUND(MAX(0,($K2697-$J2697)-IF($H2697="",0,$H2697))/60,2))</f>
        <v/>
      </c>
      <c r="J2697" s="41" t="str">
        <f>IF($F2697="","",IF($F2697&lt;1,ROUND($F2697*1440,0),INT($F2697/100)*60+MOD($F2697,100)))</f>
        <v/>
      </c>
      <c r="K2697" s="41" t="str">
        <f>IF($G2697="","",IF($G2697&lt;1,ROUND($G2697*1440,0),INT($G2697/100)*60+MOD($G2697,100)))</f>
        <v/>
      </c>
    </row>
    <row r="2698" ht="15" customHeight="1" s="26">
      <c r="A2698" s="34" t="n"/>
      <c r="B2698" s="32" t="n"/>
      <c r="C2698" s="33" t="n"/>
      <c r="D2698" s="37" t="str">
        <f>IF($C2698="","",IFERROR(INDEX(프로젝트목록!$B$3:$B$62,MATCH($C2698,프로젝트목록!$A$3:$A$62,0)),"미등록코드"))</f>
        <v/>
      </c>
      <c r="E2698" s="32" t="n"/>
      <c r="F2698" s="38" t="n"/>
      <c r="G2698" s="38" t="n"/>
      <c r="H2698" s="39" t="n"/>
      <c r="I2698" s="40" t="str">
        <f>IF(OR($J2698="",$K2698=""),"",ROUND(MAX(0,($K2698-$J2698)-IF($H2698="",0,$H2698))/60,2))</f>
        <v/>
      </c>
      <c r="J2698" s="41" t="str">
        <f>IF($F2698="","",IF($F2698&lt;1,ROUND($F2698*1440,0),INT($F2698/100)*60+MOD($F2698,100)))</f>
        <v/>
      </c>
      <c r="K2698" s="41" t="str">
        <f>IF($G2698="","",IF($G2698&lt;1,ROUND($G2698*1440,0),INT($G2698/100)*60+MOD($G2698,100)))</f>
        <v/>
      </c>
    </row>
    <row r="2699" ht="15" customHeight="1" s="26">
      <c r="A2699" s="34" t="n"/>
      <c r="B2699" s="32" t="n"/>
      <c r="C2699" s="33" t="n"/>
      <c r="D2699" s="37" t="str">
        <f>IF($C2699="","",IFERROR(INDEX(프로젝트목록!$B$3:$B$62,MATCH($C2699,프로젝트목록!$A$3:$A$62,0)),"미등록코드"))</f>
        <v/>
      </c>
      <c r="E2699" s="32" t="n"/>
      <c r="F2699" s="38" t="n"/>
      <c r="G2699" s="38" t="n"/>
      <c r="H2699" s="39" t="n"/>
      <c r="I2699" s="40" t="str">
        <f>IF(OR($J2699="",$K2699=""),"",ROUND(MAX(0,($K2699-$J2699)-IF($H2699="",0,$H2699))/60,2))</f>
        <v/>
      </c>
      <c r="J2699" s="41" t="str">
        <f>IF($F2699="","",IF($F2699&lt;1,ROUND($F2699*1440,0),INT($F2699/100)*60+MOD($F2699,100)))</f>
        <v/>
      </c>
      <c r="K2699" s="41" t="str">
        <f>IF($G2699="","",IF($G2699&lt;1,ROUND($G2699*1440,0),INT($G2699/100)*60+MOD($G2699,100)))</f>
        <v/>
      </c>
    </row>
    <row r="2700" ht="15" customHeight="1" s="26">
      <c r="A2700" s="34" t="n"/>
      <c r="B2700" s="32" t="n"/>
      <c r="C2700" s="33" t="n"/>
      <c r="D2700" s="37" t="str">
        <f>IF($C2700="","",IFERROR(INDEX(프로젝트목록!$B$3:$B$62,MATCH($C2700,프로젝트목록!$A$3:$A$62,0)),"미등록코드"))</f>
        <v/>
      </c>
      <c r="E2700" s="32" t="n"/>
      <c r="F2700" s="38" t="n"/>
      <c r="G2700" s="38" t="n"/>
      <c r="H2700" s="39" t="n"/>
      <c r="I2700" s="40" t="str">
        <f>IF(OR($J2700="",$K2700=""),"",ROUND(MAX(0,($K2700-$J2700)-IF($H2700="",0,$H2700))/60,2))</f>
        <v/>
      </c>
      <c r="J2700" s="41" t="str">
        <f>IF($F2700="","",IF($F2700&lt;1,ROUND($F2700*1440,0),INT($F2700/100)*60+MOD($F2700,100)))</f>
        <v/>
      </c>
      <c r="K2700" s="41" t="str">
        <f>IF($G2700="","",IF($G2700&lt;1,ROUND($G2700*1440,0),INT($G2700/100)*60+MOD($G2700,100)))</f>
        <v/>
      </c>
    </row>
    <row r="2701" ht="15" customHeight="1" s="26">
      <c r="A2701" s="34" t="n"/>
      <c r="B2701" s="32" t="n"/>
      <c r="C2701" s="33" t="n"/>
      <c r="D2701" s="37" t="str">
        <f>IF($C2701="","",IFERROR(INDEX(프로젝트목록!$B$3:$B$62,MATCH($C2701,프로젝트목록!$A$3:$A$62,0)),"미등록코드"))</f>
        <v/>
      </c>
      <c r="E2701" s="32" t="n"/>
      <c r="F2701" s="38" t="n"/>
      <c r="G2701" s="38" t="n"/>
      <c r="H2701" s="39" t="n"/>
      <c r="I2701" s="40" t="str">
        <f>IF(OR($J2701="",$K2701=""),"",ROUND(MAX(0,($K2701-$J2701)-IF($H2701="",0,$H2701))/60,2))</f>
        <v/>
      </c>
      <c r="J2701" s="41" t="str">
        <f>IF($F2701="","",IF($F2701&lt;1,ROUND($F2701*1440,0),INT($F2701/100)*60+MOD($F2701,100)))</f>
        <v/>
      </c>
      <c r="K2701" s="41" t="str">
        <f>IF($G2701="","",IF($G2701&lt;1,ROUND($G2701*1440,0),INT($G2701/100)*60+MOD($G2701,100)))</f>
        <v/>
      </c>
    </row>
    <row r="2702" ht="15" customHeight="1" s="26">
      <c r="A2702" s="34" t="n"/>
      <c r="B2702" s="32" t="n"/>
      <c r="C2702" s="33" t="n"/>
      <c r="D2702" s="37" t="str">
        <f>IF($C2702="","",IFERROR(INDEX(프로젝트목록!$B$3:$B$62,MATCH($C2702,프로젝트목록!$A$3:$A$62,0)),"미등록코드"))</f>
        <v/>
      </c>
      <c r="E2702" s="32" t="n"/>
      <c r="F2702" s="38" t="n"/>
      <c r="G2702" s="38" t="n"/>
      <c r="H2702" s="39" t="n"/>
      <c r="I2702" s="40" t="str">
        <f>IF(OR($J2702="",$K2702=""),"",ROUND(MAX(0,($K2702-$J2702)-IF($H2702="",0,$H2702))/60,2))</f>
        <v/>
      </c>
      <c r="J2702" s="41" t="str">
        <f>IF($F2702="","",IF($F2702&lt;1,ROUND($F2702*1440,0),INT($F2702/100)*60+MOD($F2702,100)))</f>
        <v/>
      </c>
      <c r="K2702" s="41" t="str">
        <f>IF($G2702="","",IF($G2702&lt;1,ROUND($G2702*1440,0),INT($G2702/100)*60+MOD($G2702,100)))</f>
        <v/>
      </c>
    </row>
    <row r="2703" ht="15" customHeight="1" s="26">
      <c r="A2703" s="34" t="n"/>
      <c r="B2703" s="32" t="n"/>
      <c r="C2703" s="33" t="n"/>
      <c r="D2703" s="37" t="str">
        <f>IF($C2703="","",IFERROR(INDEX(프로젝트목록!$B$3:$B$62,MATCH($C2703,프로젝트목록!$A$3:$A$62,0)),"미등록코드"))</f>
        <v/>
      </c>
      <c r="E2703" s="32" t="n"/>
      <c r="F2703" s="38" t="n"/>
      <c r="G2703" s="38" t="n"/>
      <c r="H2703" s="39" t="n"/>
      <c r="I2703" s="40" t="str">
        <f>IF(OR($J2703="",$K2703=""),"",ROUND(MAX(0,($K2703-$J2703)-IF($H2703="",0,$H2703))/60,2))</f>
        <v/>
      </c>
      <c r="J2703" s="41" t="str">
        <f>IF($F2703="","",IF($F2703&lt;1,ROUND($F2703*1440,0),INT($F2703/100)*60+MOD($F2703,100)))</f>
        <v/>
      </c>
      <c r="K2703" s="41" t="str">
        <f>IF($G2703="","",IF($G2703&lt;1,ROUND($G2703*1440,0),INT($G2703/100)*60+MOD($G2703,100)))</f>
        <v/>
      </c>
    </row>
    <row r="2704" ht="15" customHeight="1" s="26">
      <c r="A2704" s="34" t="n"/>
      <c r="B2704" s="32" t="n"/>
      <c r="C2704" s="33" t="n"/>
      <c r="D2704" s="37" t="str">
        <f>IF($C2704="","",IFERROR(INDEX(프로젝트목록!$B$3:$B$62,MATCH($C2704,프로젝트목록!$A$3:$A$62,0)),"미등록코드"))</f>
        <v/>
      </c>
      <c r="E2704" s="32" t="n"/>
      <c r="F2704" s="38" t="n"/>
      <c r="G2704" s="38" t="n"/>
      <c r="H2704" s="39" t="n"/>
      <c r="I2704" s="40" t="str">
        <f>IF(OR($J2704="",$K2704=""),"",ROUND(MAX(0,($K2704-$J2704)-IF($H2704="",0,$H2704))/60,2))</f>
        <v/>
      </c>
      <c r="J2704" s="41" t="str">
        <f>IF($F2704="","",IF($F2704&lt;1,ROUND($F2704*1440,0),INT($F2704/100)*60+MOD($F2704,100)))</f>
        <v/>
      </c>
      <c r="K2704" s="41" t="str">
        <f>IF($G2704="","",IF($G2704&lt;1,ROUND($G2704*1440,0),INT($G2704/100)*60+MOD($G2704,100)))</f>
        <v/>
      </c>
    </row>
    <row r="2705" ht="15" customHeight="1" s="26">
      <c r="A2705" s="34" t="n"/>
      <c r="B2705" s="32" t="n"/>
      <c r="C2705" s="33" t="n"/>
      <c r="D2705" s="37" t="str">
        <f>IF($C2705="","",IFERROR(INDEX(프로젝트목록!$B$3:$B$62,MATCH($C2705,프로젝트목록!$A$3:$A$62,0)),"미등록코드"))</f>
        <v/>
      </c>
      <c r="E2705" s="32" t="n"/>
      <c r="F2705" s="38" t="n"/>
      <c r="G2705" s="38" t="n"/>
      <c r="H2705" s="39" t="n"/>
      <c r="I2705" s="40" t="str">
        <f>IF(OR($J2705="",$K2705=""),"",ROUND(MAX(0,($K2705-$J2705)-IF($H2705="",0,$H2705))/60,2))</f>
        <v/>
      </c>
      <c r="J2705" s="41" t="str">
        <f>IF($F2705="","",IF($F2705&lt;1,ROUND($F2705*1440,0),INT($F2705/100)*60+MOD($F2705,100)))</f>
        <v/>
      </c>
      <c r="K2705" s="41" t="str">
        <f>IF($G2705="","",IF($G2705&lt;1,ROUND($G2705*1440,0),INT($G2705/100)*60+MOD($G2705,100)))</f>
        <v/>
      </c>
    </row>
    <row r="2706" ht="15" customHeight="1" s="26">
      <c r="A2706" s="34" t="n"/>
      <c r="B2706" s="32" t="n"/>
      <c r="C2706" s="33" t="n"/>
      <c r="D2706" s="37" t="str">
        <f>IF($C2706="","",IFERROR(INDEX(프로젝트목록!$B$3:$B$62,MATCH($C2706,프로젝트목록!$A$3:$A$62,0)),"미등록코드"))</f>
        <v/>
      </c>
      <c r="E2706" s="32" t="n"/>
      <c r="F2706" s="38" t="n"/>
      <c r="G2706" s="38" t="n"/>
      <c r="H2706" s="39" t="n"/>
      <c r="I2706" s="40" t="str">
        <f>IF(OR($J2706="",$K2706=""),"",ROUND(MAX(0,($K2706-$J2706)-IF($H2706="",0,$H2706))/60,2))</f>
        <v/>
      </c>
      <c r="J2706" s="41" t="str">
        <f>IF($F2706="","",IF($F2706&lt;1,ROUND($F2706*1440,0),INT($F2706/100)*60+MOD($F2706,100)))</f>
        <v/>
      </c>
      <c r="K2706" s="41" t="str">
        <f>IF($G2706="","",IF($G2706&lt;1,ROUND($G2706*1440,0),INT($G2706/100)*60+MOD($G2706,100)))</f>
        <v/>
      </c>
    </row>
    <row r="2707" ht="15" customHeight="1" s="26">
      <c r="A2707" s="34" t="n"/>
      <c r="B2707" s="32" t="n"/>
      <c r="C2707" s="33" t="n"/>
      <c r="D2707" s="37" t="str">
        <f>IF($C2707="","",IFERROR(INDEX(프로젝트목록!$B$3:$B$62,MATCH($C2707,프로젝트목록!$A$3:$A$62,0)),"미등록코드"))</f>
        <v/>
      </c>
      <c r="E2707" s="32" t="n"/>
      <c r="F2707" s="38" t="n"/>
      <c r="G2707" s="38" t="n"/>
      <c r="H2707" s="39" t="n"/>
      <c r="I2707" s="40" t="str">
        <f>IF(OR($J2707="",$K2707=""),"",ROUND(MAX(0,($K2707-$J2707)-IF($H2707="",0,$H2707))/60,2))</f>
        <v/>
      </c>
      <c r="J2707" s="41" t="str">
        <f>IF($F2707="","",IF($F2707&lt;1,ROUND($F2707*1440,0),INT($F2707/100)*60+MOD($F2707,100)))</f>
        <v/>
      </c>
      <c r="K2707" s="41" t="str">
        <f>IF($G2707="","",IF($G2707&lt;1,ROUND($G2707*1440,0),INT($G2707/100)*60+MOD($G2707,100)))</f>
        <v/>
      </c>
    </row>
    <row r="2708" ht="15" customHeight="1" s="26">
      <c r="A2708" s="34" t="n"/>
      <c r="B2708" s="32" t="n"/>
      <c r="C2708" s="33" t="n"/>
      <c r="D2708" s="37" t="str">
        <f>IF($C2708="","",IFERROR(INDEX(프로젝트목록!$B$3:$B$62,MATCH($C2708,프로젝트목록!$A$3:$A$62,0)),"미등록코드"))</f>
        <v/>
      </c>
      <c r="E2708" s="32" t="n"/>
      <c r="F2708" s="38" t="n"/>
      <c r="G2708" s="38" t="n"/>
      <c r="H2708" s="39" t="n"/>
      <c r="I2708" s="40" t="str">
        <f>IF(OR($J2708="",$K2708=""),"",ROUND(MAX(0,($K2708-$J2708)-IF($H2708="",0,$H2708))/60,2))</f>
        <v/>
      </c>
      <c r="J2708" s="41" t="str">
        <f>IF($F2708="","",IF($F2708&lt;1,ROUND($F2708*1440,0),INT($F2708/100)*60+MOD($F2708,100)))</f>
        <v/>
      </c>
      <c r="K2708" s="41" t="str">
        <f>IF($G2708="","",IF($G2708&lt;1,ROUND($G2708*1440,0),INT($G2708/100)*60+MOD($G2708,100)))</f>
        <v/>
      </c>
    </row>
    <row r="2709" ht="15" customHeight="1" s="26">
      <c r="A2709" s="34" t="n"/>
      <c r="B2709" s="32" t="n"/>
      <c r="C2709" s="33" t="n"/>
      <c r="D2709" s="37" t="str">
        <f>IF($C2709="","",IFERROR(INDEX(프로젝트목록!$B$3:$B$62,MATCH($C2709,프로젝트목록!$A$3:$A$62,0)),"미등록코드"))</f>
        <v/>
      </c>
      <c r="E2709" s="32" t="n"/>
      <c r="F2709" s="38" t="n"/>
      <c r="G2709" s="38" t="n"/>
      <c r="H2709" s="39" t="n"/>
      <c r="I2709" s="40" t="str">
        <f>IF(OR($J2709="",$K2709=""),"",ROUND(MAX(0,($K2709-$J2709)-IF($H2709="",0,$H2709))/60,2))</f>
        <v/>
      </c>
      <c r="J2709" s="41" t="str">
        <f>IF($F2709="","",IF($F2709&lt;1,ROUND($F2709*1440,0),INT($F2709/100)*60+MOD($F2709,100)))</f>
        <v/>
      </c>
      <c r="K2709" s="41" t="str">
        <f>IF($G2709="","",IF($G2709&lt;1,ROUND($G2709*1440,0),INT($G2709/100)*60+MOD($G2709,100)))</f>
        <v/>
      </c>
    </row>
    <row r="2710" ht="15" customHeight="1" s="26">
      <c r="A2710" s="34" t="n"/>
      <c r="B2710" s="32" t="n"/>
      <c r="C2710" s="33" t="n"/>
      <c r="D2710" s="37" t="str">
        <f>IF($C2710="","",IFERROR(INDEX(프로젝트목록!$B$3:$B$62,MATCH($C2710,프로젝트목록!$A$3:$A$62,0)),"미등록코드"))</f>
        <v/>
      </c>
      <c r="E2710" s="32" t="n"/>
      <c r="F2710" s="38" t="n"/>
      <c r="G2710" s="38" t="n"/>
      <c r="H2710" s="39" t="n"/>
      <c r="I2710" s="40" t="str">
        <f>IF(OR($J2710="",$K2710=""),"",ROUND(MAX(0,($K2710-$J2710)-IF($H2710="",0,$H2710))/60,2))</f>
        <v/>
      </c>
      <c r="J2710" s="41" t="str">
        <f>IF($F2710="","",IF($F2710&lt;1,ROUND($F2710*1440,0),INT($F2710/100)*60+MOD($F2710,100)))</f>
        <v/>
      </c>
      <c r="K2710" s="41" t="str">
        <f>IF($G2710="","",IF($G2710&lt;1,ROUND($G2710*1440,0),INT($G2710/100)*60+MOD($G2710,100)))</f>
        <v/>
      </c>
    </row>
    <row r="2711" ht="15" customHeight="1" s="26">
      <c r="A2711" s="34" t="n"/>
      <c r="B2711" s="32" t="n"/>
      <c r="C2711" s="33" t="n"/>
      <c r="D2711" s="37" t="str">
        <f>IF($C2711="","",IFERROR(INDEX(프로젝트목록!$B$3:$B$62,MATCH($C2711,프로젝트목록!$A$3:$A$62,0)),"미등록코드"))</f>
        <v/>
      </c>
      <c r="E2711" s="32" t="n"/>
      <c r="F2711" s="38" t="n"/>
      <c r="G2711" s="38" t="n"/>
      <c r="H2711" s="39" t="n"/>
      <c r="I2711" s="40" t="str">
        <f>IF(OR($J2711="",$K2711=""),"",ROUND(MAX(0,($K2711-$J2711)-IF($H2711="",0,$H2711))/60,2))</f>
        <v/>
      </c>
      <c r="J2711" s="41" t="str">
        <f>IF($F2711="","",IF($F2711&lt;1,ROUND($F2711*1440,0),INT($F2711/100)*60+MOD($F2711,100)))</f>
        <v/>
      </c>
      <c r="K2711" s="41" t="str">
        <f>IF($G2711="","",IF($G2711&lt;1,ROUND($G2711*1440,0),INT($G2711/100)*60+MOD($G2711,100)))</f>
        <v/>
      </c>
    </row>
    <row r="2712" ht="15" customHeight="1" s="26">
      <c r="A2712" s="34" t="n"/>
      <c r="B2712" s="32" t="n"/>
      <c r="C2712" s="33" t="n"/>
      <c r="D2712" s="37" t="str">
        <f>IF($C2712="","",IFERROR(INDEX(프로젝트목록!$B$3:$B$62,MATCH($C2712,프로젝트목록!$A$3:$A$62,0)),"미등록코드"))</f>
        <v/>
      </c>
      <c r="E2712" s="32" t="n"/>
      <c r="F2712" s="38" t="n"/>
      <c r="G2712" s="38" t="n"/>
      <c r="H2712" s="39" t="n"/>
      <c r="I2712" s="40" t="str">
        <f>IF(OR($J2712="",$K2712=""),"",ROUND(MAX(0,($K2712-$J2712)-IF($H2712="",0,$H2712))/60,2))</f>
        <v/>
      </c>
      <c r="J2712" s="41" t="str">
        <f>IF($F2712="","",IF($F2712&lt;1,ROUND($F2712*1440,0),INT($F2712/100)*60+MOD($F2712,100)))</f>
        <v/>
      </c>
      <c r="K2712" s="41" t="str">
        <f>IF($G2712="","",IF($G2712&lt;1,ROUND($G2712*1440,0),INT($G2712/100)*60+MOD($G2712,100)))</f>
        <v/>
      </c>
    </row>
    <row r="2713" ht="15" customHeight="1" s="26">
      <c r="A2713" s="34" t="n"/>
      <c r="B2713" s="32" t="n"/>
      <c r="C2713" s="33" t="n"/>
      <c r="D2713" s="37" t="str">
        <f>IF($C2713="","",IFERROR(INDEX(프로젝트목록!$B$3:$B$62,MATCH($C2713,프로젝트목록!$A$3:$A$62,0)),"미등록코드"))</f>
        <v/>
      </c>
      <c r="E2713" s="32" t="n"/>
      <c r="F2713" s="38" t="n"/>
      <c r="G2713" s="38" t="n"/>
      <c r="H2713" s="39" t="n"/>
      <c r="I2713" s="40" t="str">
        <f>IF(OR($J2713="",$K2713=""),"",ROUND(MAX(0,($K2713-$J2713)-IF($H2713="",0,$H2713))/60,2))</f>
        <v/>
      </c>
      <c r="J2713" s="41" t="str">
        <f>IF($F2713="","",IF($F2713&lt;1,ROUND($F2713*1440,0),INT($F2713/100)*60+MOD($F2713,100)))</f>
        <v/>
      </c>
      <c r="K2713" s="41" t="str">
        <f>IF($G2713="","",IF($G2713&lt;1,ROUND($G2713*1440,0),INT($G2713/100)*60+MOD($G2713,100)))</f>
        <v/>
      </c>
    </row>
    <row r="2714" ht="15" customHeight="1" s="26">
      <c r="A2714" s="34" t="n"/>
      <c r="B2714" s="32" t="n"/>
      <c r="C2714" s="33" t="n"/>
      <c r="D2714" s="37" t="str">
        <f>IF($C2714="","",IFERROR(INDEX(프로젝트목록!$B$3:$B$62,MATCH($C2714,프로젝트목록!$A$3:$A$62,0)),"미등록코드"))</f>
        <v/>
      </c>
      <c r="E2714" s="32" t="n"/>
      <c r="F2714" s="38" t="n"/>
      <c r="G2714" s="38" t="n"/>
      <c r="H2714" s="39" t="n"/>
      <c r="I2714" s="40" t="str">
        <f>IF(OR($J2714="",$K2714=""),"",ROUND(MAX(0,($K2714-$J2714)-IF($H2714="",0,$H2714))/60,2))</f>
        <v/>
      </c>
      <c r="J2714" s="41" t="str">
        <f>IF($F2714="","",IF($F2714&lt;1,ROUND($F2714*1440,0),INT($F2714/100)*60+MOD($F2714,100)))</f>
        <v/>
      </c>
      <c r="K2714" s="41" t="str">
        <f>IF($G2714="","",IF($G2714&lt;1,ROUND($G2714*1440,0),INT($G2714/100)*60+MOD($G2714,100)))</f>
        <v/>
      </c>
    </row>
    <row r="2715" ht="15" customHeight="1" s="26">
      <c r="A2715" s="34" t="n"/>
      <c r="B2715" s="32" t="n"/>
      <c r="C2715" s="33" t="n"/>
      <c r="D2715" s="37" t="str">
        <f>IF($C2715="","",IFERROR(INDEX(프로젝트목록!$B$3:$B$62,MATCH($C2715,프로젝트목록!$A$3:$A$62,0)),"미등록코드"))</f>
        <v/>
      </c>
      <c r="E2715" s="32" t="n"/>
      <c r="F2715" s="38" t="n"/>
      <c r="G2715" s="38" t="n"/>
      <c r="H2715" s="39" t="n"/>
      <c r="I2715" s="40" t="str">
        <f>IF(OR($J2715="",$K2715=""),"",ROUND(MAX(0,($K2715-$J2715)-IF($H2715="",0,$H2715))/60,2))</f>
        <v/>
      </c>
      <c r="J2715" s="41" t="str">
        <f>IF($F2715="","",IF($F2715&lt;1,ROUND($F2715*1440,0),INT($F2715/100)*60+MOD($F2715,100)))</f>
        <v/>
      </c>
      <c r="K2715" s="41" t="str">
        <f>IF($G2715="","",IF($G2715&lt;1,ROUND($G2715*1440,0),INT($G2715/100)*60+MOD($G2715,100)))</f>
        <v/>
      </c>
    </row>
    <row r="2716" ht="15" customHeight="1" s="26">
      <c r="A2716" s="34" t="n"/>
      <c r="B2716" s="32" t="n"/>
      <c r="C2716" s="33" t="n"/>
      <c r="D2716" s="37" t="str">
        <f>IF($C2716="","",IFERROR(INDEX(프로젝트목록!$B$3:$B$62,MATCH($C2716,프로젝트목록!$A$3:$A$62,0)),"미등록코드"))</f>
        <v/>
      </c>
      <c r="E2716" s="32" t="n"/>
      <c r="F2716" s="38" t="n"/>
      <c r="G2716" s="38" t="n"/>
      <c r="H2716" s="39" t="n"/>
      <c r="I2716" s="40" t="str">
        <f>IF(OR($J2716="",$K2716=""),"",ROUND(MAX(0,($K2716-$J2716)-IF($H2716="",0,$H2716))/60,2))</f>
        <v/>
      </c>
      <c r="J2716" s="41" t="str">
        <f>IF($F2716="","",IF($F2716&lt;1,ROUND($F2716*1440,0),INT($F2716/100)*60+MOD($F2716,100)))</f>
        <v/>
      </c>
      <c r="K2716" s="41" t="str">
        <f>IF($G2716="","",IF($G2716&lt;1,ROUND($G2716*1440,0),INT($G2716/100)*60+MOD($G2716,100)))</f>
        <v/>
      </c>
    </row>
    <row r="2717" ht="15" customHeight="1" s="26">
      <c r="A2717" s="34" t="n"/>
      <c r="B2717" s="32" t="n"/>
      <c r="C2717" s="33" t="n"/>
      <c r="D2717" s="37" t="str">
        <f>IF($C2717="","",IFERROR(INDEX(프로젝트목록!$B$3:$B$62,MATCH($C2717,프로젝트목록!$A$3:$A$62,0)),"미등록코드"))</f>
        <v/>
      </c>
      <c r="E2717" s="32" t="n"/>
      <c r="F2717" s="38" t="n"/>
      <c r="G2717" s="38" t="n"/>
      <c r="H2717" s="39" t="n"/>
      <c r="I2717" s="40" t="str">
        <f>IF(OR($J2717="",$K2717=""),"",ROUND(MAX(0,($K2717-$J2717)-IF($H2717="",0,$H2717))/60,2))</f>
        <v/>
      </c>
      <c r="J2717" s="41" t="str">
        <f>IF($F2717="","",IF($F2717&lt;1,ROUND($F2717*1440,0),INT($F2717/100)*60+MOD($F2717,100)))</f>
        <v/>
      </c>
      <c r="K2717" s="41" t="str">
        <f>IF($G2717="","",IF($G2717&lt;1,ROUND($G2717*1440,0),INT($G2717/100)*60+MOD($G2717,100)))</f>
        <v/>
      </c>
    </row>
    <row r="2718" ht="15" customHeight="1" s="26">
      <c r="A2718" s="34" t="n"/>
      <c r="B2718" s="32" t="n"/>
      <c r="C2718" s="33" t="n"/>
      <c r="D2718" s="37" t="str">
        <f>IF($C2718="","",IFERROR(INDEX(프로젝트목록!$B$3:$B$62,MATCH($C2718,프로젝트목록!$A$3:$A$62,0)),"미등록코드"))</f>
        <v/>
      </c>
      <c r="E2718" s="32" t="n"/>
      <c r="F2718" s="38" t="n"/>
      <c r="G2718" s="38" t="n"/>
      <c r="H2718" s="39" t="n"/>
      <c r="I2718" s="40" t="str">
        <f>IF(OR($J2718="",$K2718=""),"",ROUND(MAX(0,($K2718-$J2718)-IF($H2718="",0,$H2718))/60,2))</f>
        <v/>
      </c>
      <c r="J2718" s="41" t="str">
        <f>IF($F2718="","",IF($F2718&lt;1,ROUND($F2718*1440,0),INT($F2718/100)*60+MOD($F2718,100)))</f>
        <v/>
      </c>
      <c r="K2718" s="41" t="str">
        <f>IF($G2718="","",IF($G2718&lt;1,ROUND($G2718*1440,0),INT($G2718/100)*60+MOD($G2718,100)))</f>
        <v/>
      </c>
    </row>
    <row r="2719" ht="15" customHeight="1" s="26">
      <c r="A2719" s="34" t="n"/>
      <c r="B2719" s="32" t="n"/>
      <c r="C2719" s="33" t="n"/>
      <c r="D2719" s="37" t="str">
        <f>IF($C2719="","",IFERROR(INDEX(프로젝트목록!$B$3:$B$62,MATCH($C2719,프로젝트목록!$A$3:$A$62,0)),"미등록코드"))</f>
        <v/>
      </c>
      <c r="E2719" s="32" t="n"/>
      <c r="F2719" s="38" t="n"/>
      <c r="G2719" s="38" t="n"/>
      <c r="H2719" s="39" t="n"/>
      <c r="I2719" s="40" t="str">
        <f>IF(OR($J2719="",$K2719=""),"",ROUND(MAX(0,($K2719-$J2719)-IF($H2719="",0,$H2719))/60,2))</f>
        <v/>
      </c>
      <c r="J2719" s="41" t="str">
        <f>IF($F2719="","",IF($F2719&lt;1,ROUND($F2719*1440,0),INT($F2719/100)*60+MOD($F2719,100)))</f>
        <v/>
      </c>
      <c r="K2719" s="41" t="str">
        <f>IF($G2719="","",IF($G2719&lt;1,ROUND($G2719*1440,0),INT($G2719/100)*60+MOD($G2719,100)))</f>
        <v/>
      </c>
    </row>
    <row r="2720" ht="15" customHeight="1" s="26">
      <c r="A2720" s="34" t="n"/>
      <c r="B2720" s="32" t="n"/>
      <c r="C2720" s="33" t="n"/>
      <c r="D2720" s="37" t="str">
        <f>IF($C2720="","",IFERROR(INDEX(프로젝트목록!$B$3:$B$62,MATCH($C2720,프로젝트목록!$A$3:$A$62,0)),"미등록코드"))</f>
        <v/>
      </c>
      <c r="E2720" s="32" t="n"/>
      <c r="F2720" s="38" t="n"/>
      <c r="G2720" s="38" t="n"/>
      <c r="H2720" s="39" t="n"/>
      <c r="I2720" s="40" t="str">
        <f>IF(OR($J2720="",$K2720=""),"",ROUND(MAX(0,($K2720-$J2720)-IF($H2720="",0,$H2720))/60,2))</f>
        <v/>
      </c>
      <c r="J2720" s="41" t="str">
        <f>IF($F2720="","",IF($F2720&lt;1,ROUND($F2720*1440,0),INT($F2720/100)*60+MOD($F2720,100)))</f>
        <v/>
      </c>
      <c r="K2720" s="41" t="str">
        <f>IF($G2720="","",IF($G2720&lt;1,ROUND($G2720*1440,0),INT($G2720/100)*60+MOD($G2720,100)))</f>
        <v/>
      </c>
    </row>
    <row r="2721" ht="15" customHeight="1" s="26">
      <c r="A2721" s="34" t="n"/>
      <c r="B2721" s="32" t="n"/>
      <c r="C2721" s="33" t="n"/>
      <c r="D2721" s="37" t="str">
        <f>IF($C2721="","",IFERROR(INDEX(프로젝트목록!$B$3:$B$62,MATCH($C2721,프로젝트목록!$A$3:$A$62,0)),"미등록코드"))</f>
        <v/>
      </c>
      <c r="E2721" s="32" t="n"/>
      <c r="F2721" s="38" t="n"/>
      <c r="G2721" s="38" t="n"/>
      <c r="H2721" s="39" t="n"/>
      <c r="I2721" s="40" t="str">
        <f>IF(OR($J2721="",$K2721=""),"",ROUND(MAX(0,($K2721-$J2721)-IF($H2721="",0,$H2721))/60,2))</f>
        <v/>
      </c>
      <c r="J2721" s="41" t="str">
        <f>IF($F2721="","",IF($F2721&lt;1,ROUND($F2721*1440,0),INT($F2721/100)*60+MOD($F2721,100)))</f>
        <v/>
      </c>
      <c r="K2721" s="41" t="str">
        <f>IF($G2721="","",IF($G2721&lt;1,ROUND($G2721*1440,0),INT($G2721/100)*60+MOD($G2721,100)))</f>
        <v/>
      </c>
    </row>
    <row r="2722" ht="15" customHeight="1" s="26">
      <c r="A2722" s="34" t="n"/>
      <c r="B2722" s="32" t="n"/>
      <c r="C2722" s="33" t="n"/>
      <c r="D2722" s="37" t="str">
        <f>IF($C2722="","",IFERROR(INDEX(프로젝트목록!$B$3:$B$62,MATCH($C2722,프로젝트목록!$A$3:$A$62,0)),"미등록코드"))</f>
        <v/>
      </c>
      <c r="E2722" s="32" t="n"/>
      <c r="F2722" s="38" t="n"/>
      <c r="G2722" s="38" t="n"/>
      <c r="H2722" s="39" t="n"/>
      <c r="I2722" s="40" t="str">
        <f>IF(OR($J2722="",$K2722=""),"",ROUND(MAX(0,($K2722-$J2722)-IF($H2722="",0,$H2722))/60,2))</f>
        <v/>
      </c>
      <c r="J2722" s="41" t="str">
        <f>IF($F2722="","",IF($F2722&lt;1,ROUND($F2722*1440,0),INT($F2722/100)*60+MOD($F2722,100)))</f>
        <v/>
      </c>
      <c r="K2722" s="41" t="str">
        <f>IF($G2722="","",IF($G2722&lt;1,ROUND($G2722*1440,0),INT($G2722/100)*60+MOD($G2722,100)))</f>
        <v/>
      </c>
    </row>
    <row r="2723" ht="15" customHeight="1" s="26">
      <c r="A2723" s="34" t="n"/>
      <c r="B2723" s="32" t="n"/>
      <c r="C2723" s="33" t="n"/>
      <c r="D2723" s="37" t="str">
        <f>IF($C2723="","",IFERROR(INDEX(프로젝트목록!$B$3:$B$62,MATCH($C2723,프로젝트목록!$A$3:$A$62,0)),"미등록코드"))</f>
        <v/>
      </c>
      <c r="E2723" s="32" t="n"/>
      <c r="F2723" s="38" t="n"/>
      <c r="G2723" s="38" t="n"/>
      <c r="H2723" s="39" t="n"/>
      <c r="I2723" s="40" t="str">
        <f>IF(OR($J2723="",$K2723=""),"",ROUND(MAX(0,($K2723-$J2723)-IF($H2723="",0,$H2723))/60,2))</f>
        <v/>
      </c>
      <c r="J2723" s="41" t="str">
        <f>IF($F2723="","",IF($F2723&lt;1,ROUND($F2723*1440,0),INT($F2723/100)*60+MOD($F2723,100)))</f>
        <v/>
      </c>
      <c r="K2723" s="41" t="str">
        <f>IF($G2723="","",IF($G2723&lt;1,ROUND($G2723*1440,0),INT($G2723/100)*60+MOD($G2723,100)))</f>
        <v/>
      </c>
    </row>
    <row r="2724" ht="15" customHeight="1" s="26">
      <c r="A2724" s="34" t="n"/>
      <c r="B2724" s="32" t="n"/>
      <c r="C2724" s="33" t="n"/>
      <c r="D2724" s="37" t="str">
        <f>IF($C2724="","",IFERROR(INDEX(프로젝트목록!$B$3:$B$62,MATCH($C2724,프로젝트목록!$A$3:$A$62,0)),"미등록코드"))</f>
        <v/>
      </c>
      <c r="E2724" s="32" t="n"/>
      <c r="F2724" s="38" t="n"/>
      <c r="G2724" s="38" t="n"/>
      <c r="H2724" s="39" t="n"/>
      <c r="I2724" s="40" t="str">
        <f>IF(OR($J2724="",$K2724=""),"",ROUND(MAX(0,($K2724-$J2724)-IF($H2724="",0,$H2724))/60,2))</f>
        <v/>
      </c>
      <c r="J2724" s="41" t="str">
        <f>IF($F2724="","",IF($F2724&lt;1,ROUND($F2724*1440,0),INT($F2724/100)*60+MOD($F2724,100)))</f>
        <v/>
      </c>
      <c r="K2724" s="41" t="str">
        <f>IF($G2724="","",IF($G2724&lt;1,ROUND($G2724*1440,0),INT($G2724/100)*60+MOD($G2724,100)))</f>
        <v/>
      </c>
    </row>
    <row r="2725" ht="15" customHeight="1" s="26">
      <c r="A2725" s="34" t="n"/>
      <c r="B2725" s="32" t="n"/>
      <c r="C2725" s="33" t="n"/>
      <c r="D2725" s="37" t="str">
        <f>IF($C2725="","",IFERROR(INDEX(프로젝트목록!$B$3:$B$62,MATCH($C2725,프로젝트목록!$A$3:$A$62,0)),"미등록코드"))</f>
        <v/>
      </c>
      <c r="E2725" s="32" t="n"/>
      <c r="F2725" s="38" t="n"/>
      <c r="G2725" s="38" t="n"/>
      <c r="H2725" s="39" t="n"/>
      <c r="I2725" s="40" t="str">
        <f>IF(OR($J2725="",$K2725=""),"",ROUND(MAX(0,($K2725-$J2725)-IF($H2725="",0,$H2725))/60,2))</f>
        <v/>
      </c>
      <c r="J2725" s="41" t="str">
        <f>IF($F2725="","",IF($F2725&lt;1,ROUND($F2725*1440,0),INT($F2725/100)*60+MOD($F2725,100)))</f>
        <v/>
      </c>
      <c r="K2725" s="41" t="str">
        <f>IF($G2725="","",IF($G2725&lt;1,ROUND($G2725*1440,0),INT($G2725/100)*60+MOD($G2725,100)))</f>
        <v/>
      </c>
    </row>
    <row r="2726" ht="15" customHeight="1" s="26">
      <c r="A2726" s="34" t="n"/>
      <c r="B2726" s="32" t="n"/>
      <c r="C2726" s="33" t="n"/>
      <c r="D2726" s="37" t="str">
        <f>IF($C2726="","",IFERROR(INDEX(프로젝트목록!$B$3:$B$62,MATCH($C2726,프로젝트목록!$A$3:$A$62,0)),"미등록코드"))</f>
        <v/>
      </c>
      <c r="E2726" s="32" t="n"/>
      <c r="F2726" s="38" t="n"/>
      <c r="G2726" s="38" t="n"/>
      <c r="H2726" s="39" t="n"/>
      <c r="I2726" s="40" t="str">
        <f>IF(OR($J2726="",$K2726=""),"",ROUND(MAX(0,($K2726-$J2726)-IF($H2726="",0,$H2726))/60,2))</f>
        <v/>
      </c>
      <c r="J2726" s="41" t="str">
        <f>IF($F2726="","",IF($F2726&lt;1,ROUND($F2726*1440,0),INT($F2726/100)*60+MOD($F2726,100)))</f>
        <v/>
      </c>
      <c r="K2726" s="41" t="str">
        <f>IF($G2726="","",IF($G2726&lt;1,ROUND($G2726*1440,0),INT($G2726/100)*60+MOD($G2726,100)))</f>
        <v/>
      </c>
    </row>
    <row r="2727" ht="15" customHeight="1" s="26">
      <c r="A2727" s="34" t="n"/>
      <c r="B2727" s="32" t="n"/>
      <c r="C2727" s="33" t="n"/>
      <c r="D2727" s="37" t="str">
        <f>IF($C2727="","",IFERROR(INDEX(프로젝트목록!$B$3:$B$62,MATCH($C2727,프로젝트목록!$A$3:$A$62,0)),"미등록코드"))</f>
        <v/>
      </c>
      <c r="E2727" s="32" t="n"/>
      <c r="F2727" s="38" t="n"/>
      <c r="G2727" s="38" t="n"/>
      <c r="H2727" s="39" t="n"/>
      <c r="I2727" s="40" t="str">
        <f>IF(OR($J2727="",$K2727=""),"",ROUND(MAX(0,($K2727-$J2727)-IF($H2727="",0,$H2727))/60,2))</f>
        <v/>
      </c>
      <c r="J2727" s="41" t="str">
        <f>IF($F2727="","",IF($F2727&lt;1,ROUND($F2727*1440,0),INT($F2727/100)*60+MOD($F2727,100)))</f>
        <v/>
      </c>
      <c r="K2727" s="41" t="str">
        <f>IF($G2727="","",IF($G2727&lt;1,ROUND($G2727*1440,0),INT($G2727/100)*60+MOD($G2727,100)))</f>
        <v/>
      </c>
    </row>
    <row r="2728" ht="15" customHeight="1" s="26">
      <c r="A2728" s="34" t="n"/>
      <c r="B2728" s="32" t="n"/>
      <c r="C2728" s="33" t="n"/>
      <c r="D2728" s="37" t="str">
        <f>IF($C2728="","",IFERROR(INDEX(프로젝트목록!$B$3:$B$62,MATCH($C2728,프로젝트목록!$A$3:$A$62,0)),"미등록코드"))</f>
        <v/>
      </c>
      <c r="E2728" s="32" t="n"/>
      <c r="F2728" s="38" t="n"/>
      <c r="G2728" s="38" t="n"/>
      <c r="H2728" s="39" t="n"/>
      <c r="I2728" s="40" t="str">
        <f>IF(OR($J2728="",$K2728=""),"",ROUND(MAX(0,($K2728-$J2728)-IF($H2728="",0,$H2728))/60,2))</f>
        <v/>
      </c>
      <c r="J2728" s="41" t="str">
        <f>IF($F2728="","",IF($F2728&lt;1,ROUND($F2728*1440,0),INT($F2728/100)*60+MOD($F2728,100)))</f>
        <v/>
      </c>
      <c r="K2728" s="41" t="str">
        <f>IF($G2728="","",IF($G2728&lt;1,ROUND($G2728*1440,0),INT($G2728/100)*60+MOD($G2728,100)))</f>
        <v/>
      </c>
    </row>
    <row r="2729" ht="15" customHeight="1" s="26">
      <c r="A2729" s="34" t="n"/>
      <c r="B2729" s="32" t="n"/>
      <c r="C2729" s="33" t="n"/>
      <c r="D2729" s="37" t="str">
        <f>IF($C2729="","",IFERROR(INDEX(프로젝트목록!$B$3:$B$62,MATCH($C2729,프로젝트목록!$A$3:$A$62,0)),"미등록코드"))</f>
        <v/>
      </c>
      <c r="E2729" s="32" t="n"/>
      <c r="F2729" s="38" t="n"/>
      <c r="G2729" s="38" t="n"/>
      <c r="H2729" s="39" t="n"/>
      <c r="I2729" s="40" t="str">
        <f>IF(OR($J2729="",$K2729=""),"",ROUND(MAX(0,($K2729-$J2729)-IF($H2729="",0,$H2729))/60,2))</f>
        <v/>
      </c>
      <c r="J2729" s="41" t="str">
        <f>IF($F2729="","",IF($F2729&lt;1,ROUND($F2729*1440,0),INT($F2729/100)*60+MOD($F2729,100)))</f>
        <v/>
      </c>
      <c r="K2729" s="41" t="str">
        <f>IF($G2729="","",IF($G2729&lt;1,ROUND($G2729*1440,0),INT($G2729/100)*60+MOD($G2729,100)))</f>
        <v/>
      </c>
    </row>
    <row r="2730" ht="15" customHeight="1" s="26">
      <c r="A2730" s="34" t="n"/>
      <c r="B2730" s="32" t="n"/>
      <c r="C2730" s="33" t="n"/>
      <c r="D2730" s="37" t="str">
        <f>IF($C2730="","",IFERROR(INDEX(프로젝트목록!$B$3:$B$62,MATCH($C2730,프로젝트목록!$A$3:$A$62,0)),"미등록코드"))</f>
        <v/>
      </c>
      <c r="E2730" s="32" t="n"/>
      <c r="F2730" s="38" t="n"/>
      <c r="G2730" s="38" t="n"/>
      <c r="H2730" s="39" t="n"/>
      <c r="I2730" s="40" t="str">
        <f>IF(OR($J2730="",$K2730=""),"",ROUND(MAX(0,($K2730-$J2730)-IF($H2730="",0,$H2730))/60,2))</f>
        <v/>
      </c>
      <c r="J2730" s="41" t="str">
        <f>IF($F2730="","",IF($F2730&lt;1,ROUND($F2730*1440,0),INT($F2730/100)*60+MOD($F2730,100)))</f>
        <v/>
      </c>
      <c r="K2730" s="41" t="str">
        <f>IF($G2730="","",IF($G2730&lt;1,ROUND($G2730*1440,0),INT($G2730/100)*60+MOD($G2730,100)))</f>
        <v/>
      </c>
    </row>
    <row r="2731" ht="15" customHeight="1" s="26">
      <c r="A2731" s="34" t="n"/>
      <c r="B2731" s="32" t="n"/>
      <c r="C2731" s="33" t="n"/>
      <c r="D2731" s="37" t="str">
        <f>IF($C2731="","",IFERROR(INDEX(프로젝트목록!$B$3:$B$62,MATCH($C2731,프로젝트목록!$A$3:$A$62,0)),"미등록코드"))</f>
        <v/>
      </c>
      <c r="E2731" s="32" t="n"/>
      <c r="F2731" s="38" t="n"/>
      <c r="G2731" s="38" t="n"/>
      <c r="H2731" s="39" t="n"/>
      <c r="I2731" s="40" t="str">
        <f>IF(OR($J2731="",$K2731=""),"",ROUND(MAX(0,($K2731-$J2731)-IF($H2731="",0,$H2731))/60,2))</f>
        <v/>
      </c>
      <c r="J2731" s="41" t="str">
        <f>IF($F2731="","",IF($F2731&lt;1,ROUND($F2731*1440,0),INT($F2731/100)*60+MOD($F2731,100)))</f>
        <v/>
      </c>
      <c r="K2731" s="41" t="str">
        <f>IF($G2731="","",IF($G2731&lt;1,ROUND($G2731*1440,0),INT($G2731/100)*60+MOD($G2731,100)))</f>
        <v/>
      </c>
    </row>
    <row r="2732" ht="15" customHeight="1" s="26">
      <c r="A2732" s="34" t="n"/>
      <c r="B2732" s="32" t="n"/>
      <c r="C2732" s="33" t="n"/>
      <c r="D2732" s="37" t="str">
        <f>IF($C2732="","",IFERROR(INDEX(프로젝트목록!$B$3:$B$62,MATCH($C2732,프로젝트목록!$A$3:$A$62,0)),"미등록코드"))</f>
        <v/>
      </c>
      <c r="E2732" s="32" t="n"/>
      <c r="F2732" s="38" t="n"/>
      <c r="G2732" s="38" t="n"/>
      <c r="H2732" s="39" t="n"/>
      <c r="I2732" s="40" t="str">
        <f>IF(OR($J2732="",$K2732=""),"",ROUND(MAX(0,($K2732-$J2732)-IF($H2732="",0,$H2732))/60,2))</f>
        <v/>
      </c>
      <c r="J2732" s="41" t="str">
        <f>IF($F2732="","",IF($F2732&lt;1,ROUND($F2732*1440,0),INT($F2732/100)*60+MOD($F2732,100)))</f>
        <v/>
      </c>
      <c r="K2732" s="41" t="str">
        <f>IF($G2732="","",IF($G2732&lt;1,ROUND($G2732*1440,0),INT($G2732/100)*60+MOD($G2732,100)))</f>
        <v/>
      </c>
    </row>
    <row r="2733" ht="15" customHeight="1" s="26">
      <c r="A2733" s="34" t="n"/>
      <c r="B2733" s="32" t="n"/>
      <c r="C2733" s="33" t="n"/>
      <c r="D2733" s="37" t="str">
        <f>IF($C2733="","",IFERROR(INDEX(프로젝트목록!$B$3:$B$62,MATCH($C2733,프로젝트목록!$A$3:$A$62,0)),"미등록코드"))</f>
        <v/>
      </c>
      <c r="E2733" s="32" t="n"/>
      <c r="F2733" s="38" t="n"/>
      <c r="G2733" s="38" t="n"/>
      <c r="H2733" s="39" t="n"/>
      <c r="I2733" s="40" t="str">
        <f>IF(OR($J2733="",$K2733=""),"",ROUND(MAX(0,($K2733-$J2733)-IF($H2733="",0,$H2733))/60,2))</f>
        <v/>
      </c>
      <c r="J2733" s="41" t="str">
        <f>IF($F2733="","",IF($F2733&lt;1,ROUND($F2733*1440,0),INT($F2733/100)*60+MOD($F2733,100)))</f>
        <v/>
      </c>
      <c r="K2733" s="41" t="str">
        <f>IF($G2733="","",IF($G2733&lt;1,ROUND($G2733*1440,0),INT($G2733/100)*60+MOD($G2733,100)))</f>
        <v/>
      </c>
    </row>
    <row r="2734" ht="15" customHeight="1" s="26">
      <c r="A2734" s="34" t="n"/>
      <c r="B2734" s="32" t="n"/>
      <c r="C2734" s="33" t="n"/>
      <c r="D2734" s="37" t="str">
        <f>IF($C2734="","",IFERROR(INDEX(프로젝트목록!$B$3:$B$62,MATCH($C2734,프로젝트목록!$A$3:$A$62,0)),"미등록코드"))</f>
        <v/>
      </c>
      <c r="E2734" s="32" t="n"/>
      <c r="F2734" s="38" t="n"/>
      <c r="G2734" s="38" t="n"/>
      <c r="H2734" s="39" t="n"/>
      <c r="I2734" s="40" t="str">
        <f>IF(OR($J2734="",$K2734=""),"",ROUND(MAX(0,($K2734-$J2734)-IF($H2734="",0,$H2734))/60,2))</f>
        <v/>
      </c>
      <c r="J2734" s="41" t="str">
        <f>IF($F2734="","",IF($F2734&lt;1,ROUND($F2734*1440,0),INT($F2734/100)*60+MOD($F2734,100)))</f>
        <v/>
      </c>
      <c r="K2734" s="41" t="str">
        <f>IF($G2734="","",IF($G2734&lt;1,ROUND($G2734*1440,0),INT($G2734/100)*60+MOD($G2734,100)))</f>
        <v/>
      </c>
    </row>
    <row r="2735" ht="15" customHeight="1" s="26">
      <c r="A2735" s="34" t="n"/>
      <c r="B2735" s="32" t="n"/>
      <c r="C2735" s="33" t="n"/>
      <c r="D2735" s="37" t="str">
        <f>IF($C2735="","",IFERROR(INDEX(프로젝트목록!$B$3:$B$62,MATCH($C2735,프로젝트목록!$A$3:$A$62,0)),"미등록코드"))</f>
        <v/>
      </c>
      <c r="E2735" s="32" t="n"/>
      <c r="F2735" s="38" t="n"/>
      <c r="G2735" s="38" t="n"/>
      <c r="H2735" s="39" t="n"/>
      <c r="I2735" s="40" t="str">
        <f>IF(OR($J2735="",$K2735=""),"",ROUND(MAX(0,($K2735-$J2735)-IF($H2735="",0,$H2735))/60,2))</f>
        <v/>
      </c>
      <c r="J2735" s="41" t="str">
        <f>IF($F2735="","",IF($F2735&lt;1,ROUND($F2735*1440,0),INT($F2735/100)*60+MOD($F2735,100)))</f>
        <v/>
      </c>
      <c r="K2735" s="41" t="str">
        <f>IF($G2735="","",IF($G2735&lt;1,ROUND($G2735*1440,0),INT($G2735/100)*60+MOD($G2735,100)))</f>
        <v/>
      </c>
    </row>
    <row r="2736" ht="15" customHeight="1" s="26">
      <c r="A2736" s="34" t="n"/>
      <c r="B2736" s="32" t="n"/>
      <c r="C2736" s="33" t="n"/>
      <c r="D2736" s="37" t="str">
        <f>IF($C2736="","",IFERROR(INDEX(프로젝트목록!$B$3:$B$62,MATCH($C2736,프로젝트목록!$A$3:$A$62,0)),"미등록코드"))</f>
        <v/>
      </c>
      <c r="E2736" s="32" t="n"/>
      <c r="F2736" s="38" t="n"/>
      <c r="G2736" s="38" t="n"/>
      <c r="H2736" s="39" t="n"/>
      <c r="I2736" s="40" t="str">
        <f>IF(OR($J2736="",$K2736=""),"",ROUND(MAX(0,($K2736-$J2736)-IF($H2736="",0,$H2736))/60,2))</f>
        <v/>
      </c>
      <c r="J2736" s="41" t="str">
        <f>IF($F2736="","",IF($F2736&lt;1,ROUND($F2736*1440,0),INT($F2736/100)*60+MOD($F2736,100)))</f>
        <v/>
      </c>
      <c r="K2736" s="41" t="str">
        <f>IF($G2736="","",IF($G2736&lt;1,ROUND($G2736*1440,0),INT($G2736/100)*60+MOD($G2736,100)))</f>
        <v/>
      </c>
    </row>
    <row r="2737" ht="15" customHeight="1" s="26">
      <c r="A2737" s="34" t="n"/>
      <c r="B2737" s="32" t="n"/>
      <c r="C2737" s="33" t="n"/>
      <c r="D2737" s="37" t="str">
        <f>IF($C2737="","",IFERROR(INDEX(프로젝트목록!$B$3:$B$62,MATCH($C2737,프로젝트목록!$A$3:$A$62,0)),"미등록코드"))</f>
        <v/>
      </c>
      <c r="E2737" s="32" t="n"/>
      <c r="F2737" s="38" t="n"/>
      <c r="G2737" s="38" t="n"/>
      <c r="H2737" s="39" t="n"/>
      <c r="I2737" s="40" t="str">
        <f>IF(OR($J2737="",$K2737=""),"",ROUND(MAX(0,($K2737-$J2737)-IF($H2737="",0,$H2737))/60,2))</f>
        <v/>
      </c>
      <c r="J2737" s="41" t="str">
        <f>IF($F2737="","",IF($F2737&lt;1,ROUND($F2737*1440,0),INT($F2737/100)*60+MOD($F2737,100)))</f>
        <v/>
      </c>
      <c r="K2737" s="41" t="str">
        <f>IF($G2737="","",IF($G2737&lt;1,ROUND($G2737*1440,0),INT($G2737/100)*60+MOD($G2737,100)))</f>
        <v/>
      </c>
    </row>
    <row r="2738" ht="15" customHeight="1" s="26">
      <c r="A2738" s="34" t="n"/>
      <c r="B2738" s="32" t="n"/>
      <c r="C2738" s="33" t="n"/>
      <c r="D2738" s="37" t="str">
        <f>IF($C2738="","",IFERROR(INDEX(프로젝트목록!$B$3:$B$62,MATCH($C2738,프로젝트목록!$A$3:$A$62,0)),"미등록코드"))</f>
        <v/>
      </c>
      <c r="E2738" s="32" t="n"/>
      <c r="F2738" s="38" t="n"/>
      <c r="G2738" s="38" t="n"/>
      <c r="H2738" s="39" t="n"/>
      <c r="I2738" s="40" t="str">
        <f>IF(OR($J2738="",$K2738=""),"",ROUND(MAX(0,($K2738-$J2738)-IF($H2738="",0,$H2738))/60,2))</f>
        <v/>
      </c>
      <c r="J2738" s="41" t="str">
        <f>IF($F2738="","",IF($F2738&lt;1,ROUND($F2738*1440,0),INT($F2738/100)*60+MOD($F2738,100)))</f>
        <v/>
      </c>
      <c r="K2738" s="41" t="str">
        <f>IF($G2738="","",IF($G2738&lt;1,ROUND($G2738*1440,0),INT($G2738/100)*60+MOD($G2738,100)))</f>
        <v/>
      </c>
    </row>
    <row r="2739" ht="15" customHeight="1" s="26">
      <c r="A2739" s="34" t="n"/>
      <c r="B2739" s="32" t="n"/>
      <c r="C2739" s="33" t="n"/>
      <c r="D2739" s="37" t="str">
        <f>IF($C2739="","",IFERROR(INDEX(프로젝트목록!$B$3:$B$62,MATCH($C2739,프로젝트목록!$A$3:$A$62,0)),"미등록코드"))</f>
        <v/>
      </c>
      <c r="E2739" s="32" t="n"/>
      <c r="F2739" s="38" t="n"/>
      <c r="G2739" s="38" t="n"/>
      <c r="H2739" s="39" t="n"/>
      <c r="I2739" s="40" t="str">
        <f>IF(OR($J2739="",$K2739=""),"",ROUND(MAX(0,($K2739-$J2739)-IF($H2739="",0,$H2739))/60,2))</f>
        <v/>
      </c>
      <c r="J2739" s="41" t="str">
        <f>IF($F2739="","",IF($F2739&lt;1,ROUND($F2739*1440,0),INT($F2739/100)*60+MOD($F2739,100)))</f>
        <v/>
      </c>
      <c r="K2739" s="41" t="str">
        <f>IF($G2739="","",IF($G2739&lt;1,ROUND($G2739*1440,0),INT($G2739/100)*60+MOD($G2739,100)))</f>
        <v/>
      </c>
    </row>
    <row r="2740" ht="15" customHeight="1" s="26">
      <c r="A2740" s="34" t="n"/>
      <c r="B2740" s="32" t="n"/>
      <c r="C2740" s="33" t="n"/>
      <c r="D2740" s="37" t="str">
        <f>IF($C2740="","",IFERROR(INDEX(프로젝트목록!$B$3:$B$62,MATCH($C2740,프로젝트목록!$A$3:$A$62,0)),"미등록코드"))</f>
        <v/>
      </c>
      <c r="E2740" s="32" t="n"/>
      <c r="F2740" s="38" t="n"/>
      <c r="G2740" s="38" t="n"/>
      <c r="H2740" s="39" t="n"/>
      <c r="I2740" s="40" t="str">
        <f>IF(OR($J2740="",$K2740=""),"",ROUND(MAX(0,($K2740-$J2740)-IF($H2740="",0,$H2740))/60,2))</f>
        <v/>
      </c>
      <c r="J2740" s="41" t="str">
        <f>IF($F2740="","",IF($F2740&lt;1,ROUND($F2740*1440,0),INT($F2740/100)*60+MOD($F2740,100)))</f>
        <v/>
      </c>
      <c r="K2740" s="41" t="str">
        <f>IF($G2740="","",IF($G2740&lt;1,ROUND($G2740*1440,0),INT($G2740/100)*60+MOD($G2740,100)))</f>
        <v/>
      </c>
    </row>
    <row r="2741" ht="15" customHeight="1" s="26">
      <c r="A2741" s="34" t="n"/>
      <c r="B2741" s="32" t="n"/>
      <c r="C2741" s="33" t="n"/>
      <c r="D2741" s="37" t="str">
        <f>IF($C2741="","",IFERROR(INDEX(프로젝트목록!$B$3:$B$62,MATCH($C2741,프로젝트목록!$A$3:$A$62,0)),"미등록코드"))</f>
        <v/>
      </c>
      <c r="E2741" s="32" t="n"/>
      <c r="F2741" s="38" t="n"/>
      <c r="G2741" s="38" t="n"/>
      <c r="H2741" s="39" t="n"/>
      <c r="I2741" s="40" t="str">
        <f>IF(OR($J2741="",$K2741=""),"",ROUND(MAX(0,($K2741-$J2741)-IF($H2741="",0,$H2741))/60,2))</f>
        <v/>
      </c>
      <c r="J2741" s="41" t="str">
        <f>IF($F2741="","",IF($F2741&lt;1,ROUND($F2741*1440,0),INT($F2741/100)*60+MOD($F2741,100)))</f>
        <v/>
      </c>
      <c r="K2741" s="41" t="str">
        <f>IF($G2741="","",IF($G2741&lt;1,ROUND($G2741*1440,0),INT($G2741/100)*60+MOD($G2741,100)))</f>
        <v/>
      </c>
    </row>
    <row r="2742" ht="15" customHeight="1" s="26">
      <c r="A2742" s="34" t="n"/>
      <c r="B2742" s="32" t="n"/>
      <c r="C2742" s="33" t="n"/>
      <c r="D2742" s="37" t="str">
        <f>IF($C2742="","",IFERROR(INDEX(프로젝트목록!$B$3:$B$62,MATCH($C2742,프로젝트목록!$A$3:$A$62,0)),"미등록코드"))</f>
        <v/>
      </c>
      <c r="E2742" s="32" t="n"/>
      <c r="F2742" s="38" t="n"/>
      <c r="G2742" s="38" t="n"/>
      <c r="H2742" s="39" t="n"/>
      <c r="I2742" s="40" t="str">
        <f>IF(OR($J2742="",$K2742=""),"",ROUND(MAX(0,($K2742-$J2742)-IF($H2742="",0,$H2742))/60,2))</f>
        <v/>
      </c>
      <c r="J2742" s="41" t="str">
        <f>IF($F2742="","",IF($F2742&lt;1,ROUND($F2742*1440,0),INT($F2742/100)*60+MOD($F2742,100)))</f>
        <v/>
      </c>
      <c r="K2742" s="41" t="str">
        <f>IF($G2742="","",IF($G2742&lt;1,ROUND($G2742*1440,0),INT($G2742/100)*60+MOD($G2742,100)))</f>
        <v/>
      </c>
    </row>
    <row r="2743" ht="15" customHeight="1" s="26">
      <c r="A2743" s="34" t="n"/>
      <c r="B2743" s="32" t="n"/>
      <c r="C2743" s="33" t="n"/>
      <c r="D2743" s="37" t="str">
        <f>IF($C2743="","",IFERROR(INDEX(프로젝트목록!$B$3:$B$62,MATCH($C2743,프로젝트목록!$A$3:$A$62,0)),"미등록코드"))</f>
        <v/>
      </c>
      <c r="E2743" s="32" t="n"/>
      <c r="F2743" s="38" t="n"/>
      <c r="G2743" s="38" t="n"/>
      <c r="H2743" s="39" t="n"/>
      <c r="I2743" s="40" t="str">
        <f>IF(OR($J2743="",$K2743=""),"",ROUND(MAX(0,($K2743-$J2743)-IF($H2743="",0,$H2743))/60,2))</f>
        <v/>
      </c>
      <c r="J2743" s="41" t="str">
        <f>IF($F2743="","",IF($F2743&lt;1,ROUND($F2743*1440,0),INT($F2743/100)*60+MOD($F2743,100)))</f>
        <v/>
      </c>
      <c r="K2743" s="41" t="str">
        <f>IF($G2743="","",IF($G2743&lt;1,ROUND($G2743*1440,0),INT($G2743/100)*60+MOD($G2743,100)))</f>
        <v/>
      </c>
    </row>
    <row r="2744" ht="15" customHeight="1" s="26">
      <c r="A2744" s="34" t="n"/>
      <c r="B2744" s="32" t="n"/>
      <c r="C2744" s="33" t="n"/>
      <c r="D2744" s="37" t="str">
        <f>IF($C2744="","",IFERROR(INDEX(프로젝트목록!$B$3:$B$62,MATCH($C2744,프로젝트목록!$A$3:$A$62,0)),"미등록코드"))</f>
        <v/>
      </c>
      <c r="E2744" s="32" t="n"/>
      <c r="F2744" s="38" t="n"/>
      <c r="G2744" s="38" t="n"/>
      <c r="H2744" s="39" t="n"/>
      <c r="I2744" s="40" t="str">
        <f>IF(OR($J2744="",$K2744=""),"",ROUND(MAX(0,($K2744-$J2744)-IF($H2744="",0,$H2744))/60,2))</f>
        <v/>
      </c>
      <c r="J2744" s="41" t="str">
        <f>IF($F2744="","",IF($F2744&lt;1,ROUND($F2744*1440,0),INT($F2744/100)*60+MOD($F2744,100)))</f>
        <v/>
      </c>
      <c r="K2744" s="41" t="str">
        <f>IF($G2744="","",IF($G2744&lt;1,ROUND($G2744*1440,0),INT($G2744/100)*60+MOD($G2744,100)))</f>
        <v/>
      </c>
    </row>
    <row r="2745" ht="15" customHeight="1" s="26">
      <c r="A2745" s="34" t="n"/>
      <c r="B2745" s="32" t="n"/>
      <c r="C2745" s="33" t="n"/>
      <c r="D2745" s="37" t="str">
        <f>IF($C2745="","",IFERROR(INDEX(프로젝트목록!$B$3:$B$62,MATCH($C2745,프로젝트목록!$A$3:$A$62,0)),"미등록코드"))</f>
        <v/>
      </c>
      <c r="E2745" s="32" t="n"/>
      <c r="F2745" s="38" t="n"/>
      <c r="G2745" s="38" t="n"/>
      <c r="H2745" s="39" t="n"/>
      <c r="I2745" s="40" t="str">
        <f>IF(OR($J2745="",$K2745=""),"",ROUND(MAX(0,($K2745-$J2745)-IF($H2745="",0,$H2745))/60,2))</f>
        <v/>
      </c>
      <c r="J2745" s="41" t="str">
        <f>IF($F2745="","",IF($F2745&lt;1,ROUND($F2745*1440,0),INT($F2745/100)*60+MOD($F2745,100)))</f>
        <v/>
      </c>
      <c r="K2745" s="41" t="str">
        <f>IF($G2745="","",IF($G2745&lt;1,ROUND($G2745*1440,0),INT($G2745/100)*60+MOD($G2745,100)))</f>
        <v/>
      </c>
    </row>
    <row r="2746" ht="15" customHeight="1" s="26">
      <c r="A2746" s="34" t="n"/>
      <c r="B2746" s="32" t="n"/>
      <c r="C2746" s="33" t="n"/>
      <c r="D2746" s="37" t="str">
        <f>IF($C2746="","",IFERROR(INDEX(프로젝트목록!$B$3:$B$62,MATCH($C2746,프로젝트목록!$A$3:$A$62,0)),"미등록코드"))</f>
        <v/>
      </c>
      <c r="E2746" s="32" t="n"/>
      <c r="F2746" s="38" t="n"/>
      <c r="G2746" s="38" t="n"/>
      <c r="H2746" s="39" t="n"/>
      <c r="I2746" s="40" t="str">
        <f>IF(OR($J2746="",$K2746=""),"",ROUND(MAX(0,($K2746-$J2746)-IF($H2746="",0,$H2746))/60,2))</f>
        <v/>
      </c>
      <c r="J2746" s="41" t="str">
        <f>IF($F2746="","",IF($F2746&lt;1,ROUND($F2746*1440,0),INT($F2746/100)*60+MOD($F2746,100)))</f>
        <v/>
      </c>
      <c r="K2746" s="41" t="str">
        <f>IF($G2746="","",IF($G2746&lt;1,ROUND($G2746*1440,0),INT($G2746/100)*60+MOD($G2746,100)))</f>
        <v/>
      </c>
    </row>
    <row r="2747" ht="15" customHeight="1" s="26">
      <c r="A2747" s="34" t="n"/>
      <c r="B2747" s="32" t="n"/>
      <c r="C2747" s="33" t="n"/>
      <c r="D2747" s="37" t="str">
        <f>IF($C2747="","",IFERROR(INDEX(프로젝트목록!$B$3:$B$62,MATCH($C2747,프로젝트목록!$A$3:$A$62,0)),"미등록코드"))</f>
        <v/>
      </c>
      <c r="E2747" s="32" t="n"/>
      <c r="F2747" s="38" t="n"/>
      <c r="G2747" s="38" t="n"/>
      <c r="H2747" s="39" t="n"/>
      <c r="I2747" s="40" t="str">
        <f>IF(OR($J2747="",$K2747=""),"",ROUND(MAX(0,($K2747-$J2747)-IF($H2747="",0,$H2747))/60,2))</f>
        <v/>
      </c>
      <c r="J2747" s="41" t="str">
        <f>IF($F2747="","",IF($F2747&lt;1,ROUND($F2747*1440,0),INT($F2747/100)*60+MOD($F2747,100)))</f>
        <v/>
      </c>
      <c r="K2747" s="41" t="str">
        <f>IF($G2747="","",IF($G2747&lt;1,ROUND($G2747*1440,0),INT($G2747/100)*60+MOD($G2747,100)))</f>
        <v/>
      </c>
    </row>
    <row r="2748" ht="15" customHeight="1" s="26">
      <c r="A2748" s="34" t="n"/>
      <c r="B2748" s="32" t="n"/>
      <c r="C2748" s="33" t="n"/>
      <c r="D2748" s="37" t="str">
        <f>IF($C2748="","",IFERROR(INDEX(프로젝트목록!$B$3:$B$62,MATCH($C2748,프로젝트목록!$A$3:$A$62,0)),"미등록코드"))</f>
        <v/>
      </c>
      <c r="E2748" s="32" t="n"/>
      <c r="F2748" s="38" t="n"/>
      <c r="G2748" s="38" t="n"/>
      <c r="H2748" s="39" t="n"/>
      <c r="I2748" s="40" t="str">
        <f>IF(OR($J2748="",$K2748=""),"",ROUND(MAX(0,($K2748-$J2748)-IF($H2748="",0,$H2748))/60,2))</f>
        <v/>
      </c>
      <c r="J2748" s="41" t="str">
        <f>IF($F2748="","",IF($F2748&lt;1,ROUND($F2748*1440,0),INT($F2748/100)*60+MOD($F2748,100)))</f>
        <v/>
      </c>
      <c r="K2748" s="41" t="str">
        <f>IF($G2748="","",IF($G2748&lt;1,ROUND($G2748*1440,0),INT($G2748/100)*60+MOD($G2748,100)))</f>
        <v/>
      </c>
    </row>
    <row r="2749" ht="15" customHeight="1" s="26">
      <c r="A2749" s="34" t="n"/>
      <c r="B2749" s="32" t="n"/>
      <c r="C2749" s="33" t="n"/>
      <c r="D2749" s="37" t="str">
        <f>IF($C2749="","",IFERROR(INDEX(프로젝트목록!$B$3:$B$62,MATCH($C2749,프로젝트목록!$A$3:$A$62,0)),"미등록코드"))</f>
        <v/>
      </c>
      <c r="E2749" s="32" t="n"/>
      <c r="F2749" s="38" t="n"/>
      <c r="G2749" s="38" t="n"/>
      <c r="H2749" s="39" t="n"/>
      <c r="I2749" s="40" t="str">
        <f>IF(OR($J2749="",$K2749=""),"",ROUND(MAX(0,($K2749-$J2749)-IF($H2749="",0,$H2749))/60,2))</f>
        <v/>
      </c>
      <c r="J2749" s="41" t="str">
        <f>IF($F2749="","",IF($F2749&lt;1,ROUND($F2749*1440,0),INT($F2749/100)*60+MOD($F2749,100)))</f>
        <v/>
      </c>
      <c r="K2749" s="41" t="str">
        <f>IF($G2749="","",IF($G2749&lt;1,ROUND($G2749*1440,0),INT($G2749/100)*60+MOD($G2749,100)))</f>
        <v/>
      </c>
    </row>
    <row r="2750" ht="15" customHeight="1" s="26">
      <c r="A2750" s="34" t="n"/>
      <c r="B2750" s="32" t="n"/>
      <c r="C2750" s="33" t="n"/>
      <c r="D2750" s="37" t="str">
        <f>IF($C2750="","",IFERROR(INDEX(프로젝트목록!$B$3:$B$62,MATCH($C2750,프로젝트목록!$A$3:$A$62,0)),"미등록코드"))</f>
        <v/>
      </c>
      <c r="E2750" s="32" t="n"/>
      <c r="F2750" s="38" t="n"/>
      <c r="G2750" s="38" t="n"/>
      <c r="H2750" s="39" t="n"/>
      <c r="I2750" s="40" t="str">
        <f>IF(OR($J2750="",$K2750=""),"",ROUND(MAX(0,($K2750-$J2750)-IF($H2750="",0,$H2750))/60,2))</f>
        <v/>
      </c>
      <c r="J2750" s="41" t="str">
        <f>IF($F2750="","",IF($F2750&lt;1,ROUND($F2750*1440,0),INT($F2750/100)*60+MOD($F2750,100)))</f>
        <v/>
      </c>
      <c r="K2750" s="41" t="str">
        <f>IF($G2750="","",IF($G2750&lt;1,ROUND($G2750*1440,0),INT($G2750/100)*60+MOD($G2750,100)))</f>
        <v/>
      </c>
    </row>
    <row r="2751" ht="15" customHeight="1" s="26">
      <c r="A2751" s="34" t="n"/>
      <c r="B2751" s="32" t="n"/>
      <c r="C2751" s="33" t="n"/>
      <c r="D2751" s="37" t="str">
        <f>IF($C2751="","",IFERROR(INDEX(프로젝트목록!$B$3:$B$62,MATCH($C2751,프로젝트목록!$A$3:$A$62,0)),"미등록코드"))</f>
        <v/>
      </c>
      <c r="E2751" s="32" t="n"/>
      <c r="F2751" s="38" t="n"/>
      <c r="G2751" s="38" t="n"/>
      <c r="H2751" s="39" t="n"/>
      <c r="I2751" s="40" t="str">
        <f>IF(OR($J2751="",$K2751=""),"",ROUND(MAX(0,($K2751-$J2751)-IF($H2751="",0,$H2751))/60,2))</f>
        <v/>
      </c>
      <c r="J2751" s="41" t="str">
        <f>IF($F2751="","",IF($F2751&lt;1,ROUND($F2751*1440,0),INT($F2751/100)*60+MOD($F2751,100)))</f>
        <v/>
      </c>
      <c r="K2751" s="41" t="str">
        <f>IF($G2751="","",IF($G2751&lt;1,ROUND($G2751*1440,0),INT($G2751/100)*60+MOD($G2751,100)))</f>
        <v/>
      </c>
    </row>
    <row r="2752" ht="15" customHeight="1" s="26">
      <c r="A2752" s="34" t="n"/>
      <c r="B2752" s="32" t="n"/>
      <c r="C2752" s="33" t="n"/>
      <c r="D2752" s="37" t="str">
        <f>IF($C2752="","",IFERROR(INDEX(프로젝트목록!$B$3:$B$62,MATCH($C2752,프로젝트목록!$A$3:$A$62,0)),"미등록코드"))</f>
        <v/>
      </c>
      <c r="E2752" s="32" t="n"/>
      <c r="F2752" s="38" t="n"/>
      <c r="G2752" s="38" t="n"/>
      <c r="H2752" s="39" t="n"/>
      <c r="I2752" s="40" t="str">
        <f>IF(OR($J2752="",$K2752=""),"",ROUND(MAX(0,($K2752-$J2752)-IF($H2752="",0,$H2752))/60,2))</f>
        <v/>
      </c>
      <c r="J2752" s="41" t="str">
        <f>IF($F2752="","",IF($F2752&lt;1,ROUND($F2752*1440,0),INT($F2752/100)*60+MOD($F2752,100)))</f>
        <v/>
      </c>
      <c r="K2752" s="41" t="str">
        <f>IF($G2752="","",IF($G2752&lt;1,ROUND($G2752*1440,0),INT($G2752/100)*60+MOD($G2752,100)))</f>
        <v/>
      </c>
    </row>
    <row r="2753" ht="15" customHeight="1" s="26">
      <c r="A2753" s="34" t="n"/>
      <c r="B2753" s="32" t="n"/>
      <c r="C2753" s="33" t="n"/>
      <c r="D2753" s="37" t="str">
        <f>IF($C2753="","",IFERROR(INDEX(프로젝트목록!$B$3:$B$62,MATCH($C2753,프로젝트목록!$A$3:$A$62,0)),"미등록코드"))</f>
        <v/>
      </c>
      <c r="E2753" s="32" t="n"/>
      <c r="F2753" s="38" t="n"/>
      <c r="G2753" s="38" t="n"/>
      <c r="H2753" s="39" t="n"/>
      <c r="I2753" s="40" t="str">
        <f>IF(OR($J2753="",$K2753=""),"",ROUND(MAX(0,($K2753-$J2753)-IF($H2753="",0,$H2753))/60,2))</f>
        <v/>
      </c>
      <c r="J2753" s="41" t="str">
        <f>IF($F2753="","",IF($F2753&lt;1,ROUND($F2753*1440,0),INT($F2753/100)*60+MOD($F2753,100)))</f>
        <v/>
      </c>
      <c r="K2753" s="41" t="str">
        <f>IF($G2753="","",IF($G2753&lt;1,ROUND($G2753*1440,0),INT($G2753/100)*60+MOD($G2753,100)))</f>
        <v/>
      </c>
    </row>
    <row r="2754" ht="15" customHeight="1" s="26">
      <c r="A2754" s="34" t="n"/>
      <c r="B2754" s="32" t="n"/>
      <c r="C2754" s="33" t="n"/>
      <c r="D2754" s="37" t="str">
        <f>IF($C2754="","",IFERROR(INDEX(프로젝트목록!$B$3:$B$62,MATCH($C2754,프로젝트목록!$A$3:$A$62,0)),"미등록코드"))</f>
        <v/>
      </c>
      <c r="E2754" s="32" t="n"/>
      <c r="F2754" s="38" t="n"/>
      <c r="G2754" s="38" t="n"/>
      <c r="H2754" s="39" t="n"/>
      <c r="I2754" s="40" t="str">
        <f>IF(OR($J2754="",$K2754=""),"",ROUND(MAX(0,($K2754-$J2754)-IF($H2754="",0,$H2754))/60,2))</f>
        <v/>
      </c>
      <c r="J2754" s="41" t="str">
        <f>IF($F2754="","",IF($F2754&lt;1,ROUND($F2754*1440,0),INT($F2754/100)*60+MOD($F2754,100)))</f>
        <v/>
      </c>
      <c r="K2754" s="41" t="str">
        <f>IF($G2754="","",IF($G2754&lt;1,ROUND($G2754*1440,0),INT($G2754/100)*60+MOD($G2754,100)))</f>
        <v/>
      </c>
    </row>
    <row r="2755" ht="15" customHeight="1" s="26">
      <c r="A2755" s="34" t="n"/>
      <c r="B2755" s="32" t="n"/>
      <c r="C2755" s="33" t="n"/>
      <c r="D2755" s="37" t="str">
        <f>IF($C2755="","",IFERROR(INDEX(프로젝트목록!$B$3:$B$62,MATCH($C2755,프로젝트목록!$A$3:$A$62,0)),"미등록코드"))</f>
        <v/>
      </c>
      <c r="E2755" s="32" t="n"/>
      <c r="F2755" s="38" t="n"/>
      <c r="G2755" s="38" t="n"/>
      <c r="H2755" s="39" t="n"/>
      <c r="I2755" s="40" t="str">
        <f>IF(OR($J2755="",$K2755=""),"",ROUND(MAX(0,($K2755-$J2755)-IF($H2755="",0,$H2755))/60,2))</f>
        <v/>
      </c>
      <c r="J2755" s="41" t="str">
        <f>IF($F2755="","",IF($F2755&lt;1,ROUND($F2755*1440,0),INT($F2755/100)*60+MOD($F2755,100)))</f>
        <v/>
      </c>
      <c r="K2755" s="41" t="str">
        <f>IF($G2755="","",IF($G2755&lt;1,ROUND($G2755*1440,0),INT($G2755/100)*60+MOD($G2755,100)))</f>
        <v/>
      </c>
    </row>
    <row r="2756" ht="15" customHeight="1" s="26">
      <c r="A2756" s="34" t="n"/>
      <c r="B2756" s="32" t="n"/>
      <c r="C2756" s="33" t="n"/>
      <c r="D2756" s="37" t="str">
        <f>IF($C2756="","",IFERROR(INDEX(프로젝트목록!$B$3:$B$62,MATCH($C2756,프로젝트목록!$A$3:$A$62,0)),"미등록코드"))</f>
        <v/>
      </c>
      <c r="E2756" s="32" t="n"/>
      <c r="F2756" s="38" t="n"/>
      <c r="G2756" s="38" t="n"/>
      <c r="H2756" s="39" t="n"/>
      <c r="I2756" s="40" t="str">
        <f>IF(OR($J2756="",$K2756=""),"",ROUND(MAX(0,($K2756-$J2756)-IF($H2756="",0,$H2756))/60,2))</f>
        <v/>
      </c>
      <c r="J2756" s="41" t="str">
        <f>IF($F2756="","",IF($F2756&lt;1,ROUND($F2756*1440,0),INT($F2756/100)*60+MOD($F2756,100)))</f>
        <v/>
      </c>
      <c r="K2756" s="41" t="str">
        <f>IF($G2756="","",IF($G2756&lt;1,ROUND($G2756*1440,0),INT($G2756/100)*60+MOD($G2756,100)))</f>
        <v/>
      </c>
    </row>
    <row r="2757" ht="15" customHeight="1" s="26">
      <c r="A2757" s="34" t="n"/>
      <c r="B2757" s="32" t="n"/>
      <c r="C2757" s="33" t="n"/>
      <c r="D2757" s="37" t="str">
        <f>IF($C2757="","",IFERROR(INDEX(프로젝트목록!$B$3:$B$62,MATCH($C2757,프로젝트목록!$A$3:$A$62,0)),"미등록코드"))</f>
        <v/>
      </c>
      <c r="E2757" s="32" t="n"/>
      <c r="F2757" s="38" t="n"/>
      <c r="G2757" s="38" t="n"/>
      <c r="H2757" s="39" t="n"/>
      <c r="I2757" s="40" t="str">
        <f>IF(OR($J2757="",$K2757=""),"",ROUND(MAX(0,($K2757-$J2757)-IF($H2757="",0,$H2757))/60,2))</f>
        <v/>
      </c>
      <c r="J2757" s="41" t="str">
        <f>IF($F2757="","",IF($F2757&lt;1,ROUND($F2757*1440,0),INT($F2757/100)*60+MOD($F2757,100)))</f>
        <v/>
      </c>
      <c r="K2757" s="41" t="str">
        <f>IF($G2757="","",IF($G2757&lt;1,ROUND($G2757*1440,0),INT($G2757/100)*60+MOD($G2757,100)))</f>
        <v/>
      </c>
    </row>
    <row r="2758" ht="15" customHeight="1" s="26">
      <c r="A2758" s="34" t="n"/>
      <c r="B2758" s="32" t="n"/>
      <c r="C2758" s="33" t="n"/>
      <c r="D2758" s="37" t="str">
        <f>IF($C2758="","",IFERROR(INDEX(프로젝트목록!$B$3:$B$62,MATCH($C2758,프로젝트목록!$A$3:$A$62,0)),"미등록코드"))</f>
        <v/>
      </c>
      <c r="E2758" s="32" t="n"/>
      <c r="F2758" s="38" t="n"/>
      <c r="G2758" s="38" t="n"/>
      <c r="H2758" s="39" t="n"/>
      <c r="I2758" s="40" t="str">
        <f>IF(OR($J2758="",$K2758=""),"",ROUND(MAX(0,($K2758-$J2758)-IF($H2758="",0,$H2758))/60,2))</f>
        <v/>
      </c>
      <c r="J2758" s="41" t="str">
        <f>IF($F2758="","",IF($F2758&lt;1,ROUND($F2758*1440,0),INT($F2758/100)*60+MOD($F2758,100)))</f>
        <v/>
      </c>
      <c r="K2758" s="41" t="str">
        <f>IF($G2758="","",IF($G2758&lt;1,ROUND($G2758*1440,0),INT($G2758/100)*60+MOD($G2758,100)))</f>
        <v/>
      </c>
    </row>
    <row r="2759" ht="15" customHeight="1" s="26">
      <c r="A2759" s="34" t="n"/>
      <c r="B2759" s="32" t="n"/>
      <c r="C2759" s="33" t="n"/>
      <c r="D2759" s="37" t="str">
        <f>IF($C2759="","",IFERROR(INDEX(프로젝트목록!$B$3:$B$62,MATCH($C2759,프로젝트목록!$A$3:$A$62,0)),"미등록코드"))</f>
        <v/>
      </c>
      <c r="E2759" s="32" t="n"/>
      <c r="F2759" s="38" t="n"/>
      <c r="G2759" s="38" t="n"/>
      <c r="H2759" s="39" t="n"/>
      <c r="I2759" s="40" t="str">
        <f>IF(OR($J2759="",$K2759=""),"",ROUND(MAX(0,($K2759-$J2759)-IF($H2759="",0,$H2759))/60,2))</f>
        <v/>
      </c>
      <c r="J2759" s="41" t="str">
        <f>IF($F2759="","",IF($F2759&lt;1,ROUND($F2759*1440,0),INT($F2759/100)*60+MOD($F2759,100)))</f>
        <v/>
      </c>
      <c r="K2759" s="41" t="str">
        <f>IF($G2759="","",IF($G2759&lt;1,ROUND($G2759*1440,0),INT($G2759/100)*60+MOD($G2759,100)))</f>
        <v/>
      </c>
    </row>
    <row r="2760" ht="15" customHeight="1" s="26">
      <c r="A2760" s="34" t="n"/>
      <c r="B2760" s="32" t="n"/>
      <c r="C2760" s="33" t="n"/>
      <c r="D2760" s="37" t="str">
        <f>IF($C2760="","",IFERROR(INDEX(프로젝트목록!$B$3:$B$62,MATCH($C2760,프로젝트목록!$A$3:$A$62,0)),"미등록코드"))</f>
        <v/>
      </c>
      <c r="E2760" s="32" t="n"/>
      <c r="F2760" s="38" t="n"/>
      <c r="G2760" s="38" t="n"/>
      <c r="H2760" s="39" t="n"/>
      <c r="I2760" s="40" t="str">
        <f>IF(OR($J2760="",$K2760=""),"",ROUND(MAX(0,($K2760-$J2760)-IF($H2760="",0,$H2760))/60,2))</f>
        <v/>
      </c>
      <c r="J2760" s="41" t="str">
        <f>IF($F2760="","",IF($F2760&lt;1,ROUND($F2760*1440,0),INT($F2760/100)*60+MOD($F2760,100)))</f>
        <v/>
      </c>
      <c r="K2760" s="41" t="str">
        <f>IF($G2760="","",IF($G2760&lt;1,ROUND($G2760*1440,0),INT($G2760/100)*60+MOD($G2760,100)))</f>
        <v/>
      </c>
    </row>
    <row r="2761" ht="15" customHeight="1" s="26">
      <c r="A2761" s="34" t="n"/>
      <c r="B2761" s="32" t="n"/>
      <c r="C2761" s="33" t="n"/>
      <c r="D2761" s="37" t="str">
        <f>IF($C2761="","",IFERROR(INDEX(프로젝트목록!$B$3:$B$62,MATCH($C2761,프로젝트목록!$A$3:$A$62,0)),"미등록코드"))</f>
        <v/>
      </c>
      <c r="E2761" s="32" t="n"/>
      <c r="F2761" s="38" t="n"/>
      <c r="G2761" s="38" t="n"/>
      <c r="H2761" s="39" t="n"/>
      <c r="I2761" s="40" t="str">
        <f>IF(OR($J2761="",$K2761=""),"",ROUND(MAX(0,($K2761-$J2761)-IF($H2761="",0,$H2761))/60,2))</f>
        <v/>
      </c>
      <c r="J2761" s="41" t="str">
        <f>IF($F2761="","",IF($F2761&lt;1,ROUND($F2761*1440,0),INT($F2761/100)*60+MOD($F2761,100)))</f>
        <v/>
      </c>
      <c r="K2761" s="41" t="str">
        <f>IF($G2761="","",IF($G2761&lt;1,ROUND($G2761*1440,0),INT($G2761/100)*60+MOD($G2761,100)))</f>
        <v/>
      </c>
    </row>
    <row r="2762" ht="15" customHeight="1" s="26">
      <c r="A2762" s="34" t="n"/>
      <c r="B2762" s="32" t="n"/>
      <c r="C2762" s="33" t="n"/>
      <c r="D2762" s="37" t="str">
        <f>IF($C2762="","",IFERROR(INDEX(프로젝트목록!$B$3:$B$62,MATCH($C2762,프로젝트목록!$A$3:$A$62,0)),"미등록코드"))</f>
        <v/>
      </c>
      <c r="E2762" s="32" t="n"/>
      <c r="F2762" s="38" t="n"/>
      <c r="G2762" s="38" t="n"/>
      <c r="H2762" s="39" t="n"/>
      <c r="I2762" s="40" t="str">
        <f>IF(OR($J2762="",$K2762=""),"",ROUND(MAX(0,($K2762-$J2762)-IF($H2762="",0,$H2762))/60,2))</f>
        <v/>
      </c>
      <c r="J2762" s="41" t="str">
        <f>IF($F2762="","",IF($F2762&lt;1,ROUND($F2762*1440,0),INT($F2762/100)*60+MOD($F2762,100)))</f>
        <v/>
      </c>
      <c r="K2762" s="41" t="str">
        <f>IF($G2762="","",IF($G2762&lt;1,ROUND($G2762*1440,0),INT($G2762/100)*60+MOD($G2762,100)))</f>
        <v/>
      </c>
    </row>
    <row r="2763" ht="15" customHeight="1" s="26">
      <c r="A2763" s="34" t="n"/>
      <c r="B2763" s="32" t="n"/>
      <c r="C2763" s="33" t="n"/>
      <c r="D2763" s="37" t="str">
        <f>IF($C2763="","",IFERROR(INDEX(프로젝트목록!$B$3:$B$62,MATCH($C2763,프로젝트목록!$A$3:$A$62,0)),"미등록코드"))</f>
        <v/>
      </c>
      <c r="E2763" s="32" t="n"/>
      <c r="F2763" s="38" t="n"/>
      <c r="G2763" s="38" t="n"/>
      <c r="H2763" s="39" t="n"/>
      <c r="I2763" s="40" t="str">
        <f>IF(OR($J2763="",$K2763=""),"",ROUND(MAX(0,($K2763-$J2763)-IF($H2763="",0,$H2763))/60,2))</f>
        <v/>
      </c>
      <c r="J2763" s="41" t="str">
        <f>IF($F2763="","",IF($F2763&lt;1,ROUND($F2763*1440,0),INT($F2763/100)*60+MOD($F2763,100)))</f>
        <v/>
      </c>
      <c r="K2763" s="41" t="str">
        <f>IF($G2763="","",IF($G2763&lt;1,ROUND($G2763*1440,0),INT($G2763/100)*60+MOD($G2763,100)))</f>
        <v/>
      </c>
    </row>
    <row r="2764" ht="15" customHeight="1" s="26">
      <c r="A2764" s="34" t="n"/>
      <c r="B2764" s="32" t="n"/>
      <c r="C2764" s="33" t="n"/>
      <c r="D2764" s="37" t="str">
        <f>IF($C2764="","",IFERROR(INDEX(프로젝트목록!$B$3:$B$62,MATCH($C2764,프로젝트목록!$A$3:$A$62,0)),"미등록코드"))</f>
        <v/>
      </c>
      <c r="E2764" s="32" t="n"/>
      <c r="F2764" s="38" t="n"/>
      <c r="G2764" s="38" t="n"/>
      <c r="H2764" s="39" t="n"/>
      <c r="I2764" s="40" t="str">
        <f>IF(OR($J2764="",$K2764=""),"",ROUND(MAX(0,($K2764-$J2764)-IF($H2764="",0,$H2764))/60,2))</f>
        <v/>
      </c>
      <c r="J2764" s="41" t="str">
        <f>IF($F2764="","",IF($F2764&lt;1,ROUND($F2764*1440,0),INT($F2764/100)*60+MOD($F2764,100)))</f>
        <v/>
      </c>
      <c r="K2764" s="41" t="str">
        <f>IF($G2764="","",IF($G2764&lt;1,ROUND($G2764*1440,0),INT($G2764/100)*60+MOD($G2764,100)))</f>
        <v/>
      </c>
    </row>
    <row r="2765" ht="15" customHeight="1" s="26">
      <c r="A2765" s="34" t="n"/>
      <c r="B2765" s="32" t="n"/>
      <c r="C2765" s="33" t="n"/>
      <c r="D2765" s="37" t="str">
        <f>IF($C2765="","",IFERROR(INDEX(프로젝트목록!$B$3:$B$62,MATCH($C2765,프로젝트목록!$A$3:$A$62,0)),"미등록코드"))</f>
        <v/>
      </c>
      <c r="E2765" s="32" t="n"/>
      <c r="F2765" s="38" t="n"/>
      <c r="G2765" s="38" t="n"/>
      <c r="H2765" s="39" t="n"/>
      <c r="I2765" s="40" t="str">
        <f>IF(OR($J2765="",$K2765=""),"",ROUND(MAX(0,($K2765-$J2765)-IF($H2765="",0,$H2765))/60,2))</f>
        <v/>
      </c>
      <c r="J2765" s="41" t="str">
        <f>IF($F2765="","",IF($F2765&lt;1,ROUND($F2765*1440,0),INT($F2765/100)*60+MOD($F2765,100)))</f>
        <v/>
      </c>
      <c r="K2765" s="41" t="str">
        <f>IF($G2765="","",IF($G2765&lt;1,ROUND($G2765*1440,0),INT($G2765/100)*60+MOD($G2765,100)))</f>
        <v/>
      </c>
    </row>
    <row r="2766" ht="15" customHeight="1" s="26">
      <c r="A2766" s="34" t="n"/>
      <c r="B2766" s="32" t="n"/>
      <c r="C2766" s="33" t="n"/>
      <c r="D2766" s="37" t="str">
        <f>IF($C2766="","",IFERROR(INDEX(프로젝트목록!$B$3:$B$62,MATCH($C2766,프로젝트목록!$A$3:$A$62,0)),"미등록코드"))</f>
        <v/>
      </c>
      <c r="E2766" s="32" t="n"/>
      <c r="F2766" s="38" t="n"/>
      <c r="G2766" s="38" t="n"/>
      <c r="H2766" s="39" t="n"/>
      <c r="I2766" s="40" t="str">
        <f>IF(OR($J2766="",$K2766=""),"",ROUND(MAX(0,($K2766-$J2766)-IF($H2766="",0,$H2766))/60,2))</f>
        <v/>
      </c>
      <c r="J2766" s="41" t="str">
        <f>IF($F2766="","",IF($F2766&lt;1,ROUND($F2766*1440,0),INT($F2766/100)*60+MOD($F2766,100)))</f>
        <v/>
      </c>
      <c r="K2766" s="41" t="str">
        <f>IF($G2766="","",IF($G2766&lt;1,ROUND($G2766*1440,0),INT($G2766/100)*60+MOD($G2766,100)))</f>
        <v/>
      </c>
    </row>
    <row r="2767" ht="15" customHeight="1" s="26">
      <c r="A2767" s="34" t="n"/>
      <c r="B2767" s="32" t="n"/>
      <c r="C2767" s="33" t="n"/>
      <c r="D2767" s="37" t="str">
        <f>IF($C2767="","",IFERROR(INDEX(프로젝트목록!$B$3:$B$62,MATCH($C2767,프로젝트목록!$A$3:$A$62,0)),"미등록코드"))</f>
        <v/>
      </c>
      <c r="E2767" s="32" t="n"/>
      <c r="F2767" s="38" t="n"/>
      <c r="G2767" s="38" t="n"/>
      <c r="H2767" s="39" t="n"/>
      <c r="I2767" s="40" t="str">
        <f>IF(OR($J2767="",$K2767=""),"",ROUND(MAX(0,($K2767-$J2767)-IF($H2767="",0,$H2767))/60,2))</f>
        <v/>
      </c>
      <c r="J2767" s="41" t="str">
        <f>IF($F2767="","",IF($F2767&lt;1,ROUND($F2767*1440,0),INT($F2767/100)*60+MOD($F2767,100)))</f>
        <v/>
      </c>
      <c r="K2767" s="41" t="str">
        <f>IF($G2767="","",IF($G2767&lt;1,ROUND($G2767*1440,0),INT($G2767/100)*60+MOD($G2767,100)))</f>
        <v/>
      </c>
    </row>
    <row r="2768" ht="15" customHeight="1" s="26">
      <c r="A2768" s="34" t="n"/>
      <c r="B2768" s="32" t="n"/>
      <c r="C2768" s="33" t="n"/>
      <c r="D2768" s="37" t="str">
        <f>IF($C2768="","",IFERROR(INDEX(프로젝트목록!$B$3:$B$62,MATCH($C2768,프로젝트목록!$A$3:$A$62,0)),"미등록코드"))</f>
        <v/>
      </c>
      <c r="E2768" s="32" t="n"/>
      <c r="F2768" s="38" t="n"/>
      <c r="G2768" s="38" t="n"/>
      <c r="H2768" s="39" t="n"/>
      <c r="I2768" s="40" t="str">
        <f>IF(OR($J2768="",$K2768=""),"",ROUND(MAX(0,($K2768-$J2768)-IF($H2768="",0,$H2768))/60,2))</f>
        <v/>
      </c>
      <c r="J2768" s="41" t="str">
        <f>IF($F2768="","",IF($F2768&lt;1,ROUND($F2768*1440,0),INT($F2768/100)*60+MOD($F2768,100)))</f>
        <v/>
      </c>
      <c r="K2768" s="41" t="str">
        <f>IF($G2768="","",IF($G2768&lt;1,ROUND($G2768*1440,0),INT($G2768/100)*60+MOD($G2768,100)))</f>
        <v/>
      </c>
    </row>
    <row r="2769" ht="15" customHeight="1" s="26">
      <c r="A2769" s="34" t="n"/>
      <c r="B2769" s="32" t="n"/>
      <c r="C2769" s="33" t="n"/>
      <c r="D2769" s="37" t="str">
        <f>IF($C2769="","",IFERROR(INDEX(프로젝트목록!$B$3:$B$62,MATCH($C2769,프로젝트목록!$A$3:$A$62,0)),"미등록코드"))</f>
        <v/>
      </c>
      <c r="E2769" s="32" t="n"/>
      <c r="F2769" s="38" t="n"/>
      <c r="G2769" s="38" t="n"/>
      <c r="H2769" s="39" t="n"/>
      <c r="I2769" s="40" t="str">
        <f>IF(OR($J2769="",$K2769=""),"",ROUND(MAX(0,($K2769-$J2769)-IF($H2769="",0,$H2769))/60,2))</f>
        <v/>
      </c>
      <c r="J2769" s="41" t="str">
        <f>IF($F2769="","",IF($F2769&lt;1,ROUND($F2769*1440,0),INT($F2769/100)*60+MOD($F2769,100)))</f>
        <v/>
      </c>
      <c r="K2769" s="41" t="str">
        <f>IF($G2769="","",IF($G2769&lt;1,ROUND($G2769*1440,0),INT($G2769/100)*60+MOD($G2769,100)))</f>
        <v/>
      </c>
    </row>
    <row r="2770" ht="15" customHeight="1" s="26">
      <c r="A2770" s="34" t="n"/>
      <c r="B2770" s="32" t="n"/>
      <c r="C2770" s="33" t="n"/>
      <c r="D2770" s="37" t="str">
        <f>IF($C2770="","",IFERROR(INDEX(프로젝트목록!$B$3:$B$62,MATCH($C2770,프로젝트목록!$A$3:$A$62,0)),"미등록코드"))</f>
        <v/>
      </c>
      <c r="E2770" s="32" t="n"/>
      <c r="F2770" s="38" t="n"/>
      <c r="G2770" s="38" t="n"/>
      <c r="H2770" s="39" t="n"/>
      <c r="I2770" s="40" t="str">
        <f>IF(OR($J2770="",$K2770=""),"",ROUND(MAX(0,($K2770-$J2770)-IF($H2770="",0,$H2770))/60,2))</f>
        <v/>
      </c>
      <c r="J2770" s="41" t="str">
        <f>IF($F2770="","",IF($F2770&lt;1,ROUND($F2770*1440,0),INT($F2770/100)*60+MOD($F2770,100)))</f>
        <v/>
      </c>
      <c r="K2770" s="41" t="str">
        <f>IF($G2770="","",IF($G2770&lt;1,ROUND($G2770*1440,0),INT($G2770/100)*60+MOD($G2770,100)))</f>
        <v/>
      </c>
    </row>
    <row r="2771" ht="15" customHeight="1" s="26">
      <c r="A2771" s="34" t="n"/>
      <c r="B2771" s="32" t="n"/>
      <c r="C2771" s="33" t="n"/>
      <c r="D2771" s="37" t="str">
        <f>IF($C2771="","",IFERROR(INDEX(프로젝트목록!$B$3:$B$62,MATCH($C2771,프로젝트목록!$A$3:$A$62,0)),"미등록코드"))</f>
        <v/>
      </c>
      <c r="E2771" s="32" t="n"/>
      <c r="F2771" s="38" t="n"/>
      <c r="G2771" s="38" t="n"/>
      <c r="H2771" s="39" t="n"/>
      <c r="I2771" s="40" t="str">
        <f>IF(OR($J2771="",$K2771=""),"",ROUND(MAX(0,($K2771-$J2771)-IF($H2771="",0,$H2771))/60,2))</f>
        <v/>
      </c>
      <c r="J2771" s="41" t="str">
        <f>IF($F2771="","",IF($F2771&lt;1,ROUND($F2771*1440,0),INT($F2771/100)*60+MOD($F2771,100)))</f>
        <v/>
      </c>
      <c r="K2771" s="41" t="str">
        <f>IF($G2771="","",IF($G2771&lt;1,ROUND($G2771*1440,0),INT($G2771/100)*60+MOD($G2771,100)))</f>
        <v/>
      </c>
    </row>
    <row r="2772" ht="15" customHeight="1" s="26">
      <c r="A2772" s="34" t="n"/>
      <c r="B2772" s="32" t="n"/>
      <c r="C2772" s="33" t="n"/>
      <c r="D2772" s="37" t="str">
        <f>IF($C2772="","",IFERROR(INDEX(프로젝트목록!$B$3:$B$62,MATCH($C2772,프로젝트목록!$A$3:$A$62,0)),"미등록코드"))</f>
        <v/>
      </c>
      <c r="E2772" s="32" t="n"/>
      <c r="F2772" s="38" t="n"/>
      <c r="G2772" s="38" t="n"/>
      <c r="H2772" s="39" t="n"/>
      <c r="I2772" s="40" t="str">
        <f>IF(OR($J2772="",$K2772=""),"",ROUND(MAX(0,($K2772-$J2772)-IF($H2772="",0,$H2772))/60,2))</f>
        <v/>
      </c>
      <c r="J2772" s="41" t="str">
        <f>IF($F2772="","",IF($F2772&lt;1,ROUND($F2772*1440,0),INT($F2772/100)*60+MOD($F2772,100)))</f>
        <v/>
      </c>
      <c r="K2772" s="41" t="str">
        <f>IF($G2772="","",IF($G2772&lt;1,ROUND($G2772*1440,0),INT($G2772/100)*60+MOD($G2772,100)))</f>
        <v/>
      </c>
    </row>
    <row r="2773" ht="15" customHeight="1" s="26">
      <c r="A2773" s="34" t="n"/>
      <c r="B2773" s="32" t="n"/>
      <c r="C2773" s="33" t="n"/>
      <c r="D2773" s="37" t="str">
        <f>IF($C2773="","",IFERROR(INDEX(프로젝트목록!$B$3:$B$62,MATCH($C2773,프로젝트목록!$A$3:$A$62,0)),"미등록코드"))</f>
        <v/>
      </c>
      <c r="E2773" s="32" t="n"/>
      <c r="F2773" s="38" t="n"/>
      <c r="G2773" s="38" t="n"/>
      <c r="H2773" s="39" t="n"/>
      <c r="I2773" s="40" t="str">
        <f>IF(OR($J2773="",$K2773=""),"",ROUND(MAX(0,($K2773-$J2773)-IF($H2773="",0,$H2773))/60,2))</f>
        <v/>
      </c>
      <c r="J2773" s="41" t="str">
        <f>IF($F2773="","",IF($F2773&lt;1,ROUND($F2773*1440,0),INT($F2773/100)*60+MOD($F2773,100)))</f>
        <v/>
      </c>
      <c r="K2773" s="41" t="str">
        <f>IF($G2773="","",IF($G2773&lt;1,ROUND($G2773*1440,0),INT($G2773/100)*60+MOD($G2773,100)))</f>
        <v/>
      </c>
    </row>
    <row r="2774" ht="15" customHeight="1" s="26">
      <c r="A2774" s="34" t="n"/>
      <c r="B2774" s="32" t="n"/>
      <c r="C2774" s="33" t="n"/>
      <c r="D2774" s="37" t="str">
        <f>IF($C2774="","",IFERROR(INDEX(프로젝트목록!$B$3:$B$62,MATCH($C2774,프로젝트목록!$A$3:$A$62,0)),"미등록코드"))</f>
        <v/>
      </c>
      <c r="E2774" s="32" t="n"/>
      <c r="F2774" s="38" t="n"/>
      <c r="G2774" s="38" t="n"/>
      <c r="H2774" s="39" t="n"/>
      <c r="I2774" s="40" t="str">
        <f>IF(OR($J2774="",$K2774=""),"",ROUND(MAX(0,($K2774-$J2774)-IF($H2774="",0,$H2774))/60,2))</f>
        <v/>
      </c>
      <c r="J2774" s="41" t="str">
        <f>IF($F2774="","",IF($F2774&lt;1,ROUND($F2774*1440,0),INT($F2774/100)*60+MOD($F2774,100)))</f>
        <v/>
      </c>
      <c r="K2774" s="41" t="str">
        <f>IF($G2774="","",IF($G2774&lt;1,ROUND($G2774*1440,0),INT($G2774/100)*60+MOD($G2774,100)))</f>
        <v/>
      </c>
    </row>
    <row r="2775" ht="15" customHeight="1" s="26">
      <c r="A2775" s="34" t="n"/>
      <c r="B2775" s="32" t="n"/>
      <c r="C2775" s="33" t="n"/>
      <c r="D2775" s="37" t="str">
        <f>IF($C2775="","",IFERROR(INDEX(프로젝트목록!$B$3:$B$62,MATCH($C2775,프로젝트목록!$A$3:$A$62,0)),"미등록코드"))</f>
        <v/>
      </c>
      <c r="E2775" s="32" t="n"/>
      <c r="F2775" s="38" t="n"/>
      <c r="G2775" s="38" t="n"/>
      <c r="H2775" s="39" t="n"/>
      <c r="I2775" s="40" t="str">
        <f>IF(OR($J2775="",$K2775=""),"",ROUND(MAX(0,($K2775-$J2775)-IF($H2775="",0,$H2775))/60,2))</f>
        <v/>
      </c>
      <c r="J2775" s="41" t="str">
        <f>IF($F2775="","",IF($F2775&lt;1,ROUND($F2775*1440,0),INT($F2775/100)*60+MOD($F2775,100)))</f>
        <v/>
      </c>
      <c r="K2775" s="41" t="str">
        <f>IF($G2775="","",IF($G2775&lt;1,ROUND($G2775*1440,0),INT($G2775/100)*60+MOD($G2775,100)))</f>
        <v/>
      </c>
    </row>
    <row r="2776" ht="15" customHeight="1" s="26">
      <c r="A2776" s="34" t="n"/>
      <c r="B2776" s="32" t="n"/>
      <c r="C2776" s="33" t="n"/>
      <c r="D2776" s="37" t="str">
        <f>IF($C2776="","",IFERROR(INDEX(프로젝트목록!$B$3:$B$62,MATCH($C2776,프로젝트목록!$A$3:$A$62,0)),"미등록코드"))</f>
        <v/>
      </c>
      <c r="E2776" s="32" t="n"/>
      <c r="F2776" s="38" t="n"/>
      <c r="G2776" s="38" t="n"/>
      <c r="H2776" s="39" t="n"/>
      <c r="I2776" s="40" t="str">
        <f>IF(OR($J2776="",$K2776=""),"",ROUND(MAX(0,($K2776-$J2776)-IF($H2776="",0,$H2776))/60,2))</f>
        <v/>
      </c>
      <c r="J2776" s="41" t="str">
        <f>IF($F2776="","",IF($F2776&lt;1,ROUND($F2776*1440,0),INT($F2776/100)*60+MOD($F2776,100)))</f>
        <v/>
      </c>
      <c r="K2776" s="41" t="str">
        <f>IF($G2776="","",IF($G2776&lt;1,ROUND($G2776*1440,0),INT($G2776/100)*60+MOD($G2776,100)))</f>
        <v/>
      </c>
    </row>
    <row r="2777" ht="15" customHeight="1" s="26">
      <c r="A2777" s="34" t="n"/>
      <c r="B2777" s="32" t="n"/>
      <c r="C2777" s="33" t="n"/>
      <c r="D2777" s="37" t="str">
        <f>IF($C2777="","",IFERROR(INDEX(프로젝트목록!$B$3:$B$62,MATCH($C2777,프로젝트목록!$A$3:$A$62,0)),"미등록코드"))</f>
        <v/>
      </c>
      <c r="E2777" s="32" t="n"/>
      <c r="F2777" s="38" t="n"/>
      <c r="G2777" s="38" t="n"/>
      <c r="H2777" s="39" t="n"/>
      <c r="I2777" s="40" t="str">
        <f>IF(OR($J2777="",$K2777=""),"",ROUND(MAX(0,($K2777-$J2777)-IF($H2777="",0,$H2777))/60,2))</f>
        <v/>
      </c>
      <c r="J2777" s="41" t="str">
        <f>IF($F2777="","",IF($F2777&lt;1,ROUND($F2777*1440,0),INT($F2777/100)*60+MOD($F2777,100)))</f>
        <v/>
      </c>
      <c r="K2777" s="41" t="str">
        <f>IF($G2777="","",IF($G2777&lt;1,ROUND($G2777*1440,0),INT($G2777/100)*60+MOD($G2777,100)))</f>
        <v/>
      </c>
    </row>
    <row r="2778" ht="15" customHeight="1" s="26">
      <c r="A2778" s="34" t="n"/>
      <c r="B2778" s="32" t="n"/>
      <c r="C2778" s="33" t="n"/>
      <c r="D2778" s="37" t="str">
        <f>IF($C2778="","",IFERROR(INDEX(프로젝트목록!$B$3:$B$62,MATCH($C2778,프로젝트목록!$A$3:$A$62,0)),"미등록코드"))</f>
        <v/>
      </c>
      <c r="E2778" s="32" t="n"/>
      <c r="F2778" s="38" t="n"/>
      <c r="G2778" s="38" t="n"/>
      <c r="H2778" s="39" t="n"/>
      <c r="I2778" s="40" t="str">
        <f>IF(OR($J2778="",$K2778=""),"",ROUND(MAX(0,($K2778-$J2778)-IF($H2778="",0,$H2778))/60,2))</f>
        <v/>
      </c>
      <c r="J2778" s="41" t="str">
        <f>IF($F2778="","",IF($F2778&lt;1,ROUND($F2778*1440,0),INT($F2778/100)*60+MOD($F2778,100)))</f>
        <v/>
      </c>
      <c r="K2778" s="41" t="str">
        <f>IF($G2778="","",IF($G2778&lt;1,ROUND($G2778*1440,0),INT($G2778/100)*60+MOD($G2778,100)))</f>
        <v/>
      </c>
    </row>
    <row r="2779" ht="15" customHeight="1" s="26">
      <c r="A2779" s="34" t="n"/>
      <c r="B2779" s="32" t="n"/>
      <c r="C2779" s="33" t="n"/>
      <c r="D2779" s="37" t="str">
        <f>IF($C2779="","",IFERROR(INDEX(프로젝트목록!$B$3:$B$62,MATCH($C2779,프로젝트목록!$A$3:$A$62,0)),"미등록코드"))</f>
        <v/>
      </c>
      <c r="E2779" s="32" t="n"/>
      <c r="F2779" s="38" t="n"/>
      <c r="G2779" s="38" t="n"/>
      <c r="H2779" s="39" t="n"/>
      <c r="I2779" s="40" t="str">
        <f>IF(OR($J2779="",$K2779=""),"",ROUND(MAX(0,($K2779-$J2779)-IF($H2779="",0,$H2779))/60,2))</f>
        <v/>
      </c>
      <c r="J2779" s="41" t="str">
        <f>IF($F2779="","",IF($F2779&lt;1,ROUND($F2779*1440,0),INT($F2779/100)*60+MOD($F2779,100)))</f>
        <v/>
      </c>
      <c r="K2779" s="41" t="str">
        <f>IF($G2779="","",IF($G2779&lt;1,ROUND($G2779*1440,0),INT($G2779/100)*60+MOD($G2779,100)))</f>
        <v/>
      </c>
    </row>
    <row r="2780" ht="15" customHeight="1" s="26">
      <c r="A2780" s="34" t="n"/>
      <c r="B2780" s="32" t="n"/>
      <c r="C2780" s="33" t="n"/>
      <c r="D2780" s="37" t="str">
        <f>IF($C2780="","",IFERROR(INDEX(프로젝트목록!$B$3:$B$62,MATCH($C2780,프로젝트목록!$A$3:$A$62,0)),"미등록코드"))</f>
        <v/>
      </c>
      <c r="E2780" s="32" t="n"/>
      <c r="F2780" s="38" t="n"/>
      <c r="G2780" s="38" t="n"/>
      <c r="H2780" s="39" t="n"/>
      <c r="I2780" s="40" t="str">
        <f>IF(OR($J2780="",$K2780=""),"",ROUND(MAX(0,($K2780-$J2780)-IF($H2780="",0,$H2780))/60,2))</f>
        <v/>
      </c>
      <c r="J2780" s="41" t="str">
        <f>IF($F2780="","",IF($F2780&lt;1,ROUND($F2780*1440,0),INT($F2780/100)*60+MOD($F2780,100)))</f>
        <v/>
      </c>
      <c r="K2780" s="41" t="str">
        <f>IF($G2780="","",IF($G2780&lt;1,ROUND($G2780*1440,0),INT($G2780/100)*60+MOD($G2780,100)))</f>
        <v/>
      </c>
    </row>
    <row r="2781" ht="15" customHeight="1" s="26">
      <c r="A2781" s="34" t="n"/>
      <c r="B2781" s="32" t="n"/>
      <c r="C2781" s="33" t="n"/>
      <c r="D2781" s="37" t="str">
        <f>IF($C2781="","",IFERROR(INDEX(프로젝트목록!$B$3:$B$62,MATCH($C2781,프로젝트목록!$A$3:$A$62,0)),"미등록코드"))</f>
        <v/>
      </c>
      <c r="E2781" s="32" t="n"/>
      <c r="F2781" s="38" t="n"/>
      <c r="G2781" s="38" t="n"/>
      <c r="H2781" s="39" t="n"/>
      <c r="I2781" s="40" t="str">
        <f>IF(OR($J2781="",$K2781=""),"",ROUND(MAX(0,($K2781-$J2781)-IF($H2781="",0,$H2781))/60,2))</f>
        <v/>
      </c>
      <c r="J2781" s="41" t="str">
        <f>IF($F2781="","",IF($F2781&lt;1,ROUND($F2781*1440,0),INT($F2781/100)*60+MOD($F2781,100)))</f>
        <v/>
      </c>
      <c r="K2781" s="41" t="str">
        <f>IF($G2781="","",IF($G2781&lt;1,ROUND($G2781*1440,0),INT($G2781/100)*60+MOD($G2781,100)))</f>
        <v/>
      </c>
    </row>
    <row r="2782" ht="15" customHeight="1" s="26">
      <c r="A2782" s="34" t="n"/>
      <c r="B2782" s="32" t="n"/>
      <c r="C2782" s="33" t="n"/>
      <c r="D2782" s="37" t="str">
        <f>IF($C2782="","",IFERROR(INDEX(프로젝트목록!$B$3:$B$62,MATCH($C2782,프로젝트목록!$A$3:$A$62,0)),"미등록코드"))</f>
        <v/>
      </c>
      <c r="E2782" s="32" t="n"/>
      <c r="F2782" s="38" t="n"/>
      <c r="G2782" s="38" t="n"/>
      <c r="H2782" s="39" t="n"/>
      <c r="I2782" s="40" t="str">
        <f>IF(OR($J2782="",$K2782=""),"",ROUND(MAX(0,($K2782-$J2782)-IF($H2782="",0,$H2782))/60,2))</f>
        <v/>
      </c>
      <c r="J2782" s="41" t="str">
        <f>IF($F2782="","",IF($F2782&lt;1,ROUND($F2782*1440,0),INT($F2782/100)*60+MOD($F2782,100)))</f>
        <v/>
      </c>
      <c r="K2782" s="41" t="str">
        <f>IF($G2782="","",IF($G2782&lt;1,ROUND($G2782*1440,0),INT($G2782/100)*60+MOD($G2782,100)))</f>
        <v/>
      </c>
    </row>
    <row r="2783" ht="15" customHeight="1" s="26">
      <c r="A2783" s="34" t="n"/>
      <c r="B2783" s="32" t="n"/>
      <c r="C2783" s="33" t="n"/>
      <c r="D2783" s="37" t="str">
        <f>IF($C2783="","",IFERROR(INDEX(프로젝트목록!$B$3:$B$62,MATCH($C2783,프로젝트목록!$A$3:$A$62,0)),"미등록코드"))</f>
        <v/>
      </c>
      <c r="E2783" s="32" t="n"/>
      <c r="F2783" s="38" t="n"/>
      <c r="G2783" s="38" t="n"/>
      <c r="H2783" s="39" t="n"/>
      <c r="I2783" s="40" t="str">
        <f>IF(OR($J2783="",$K2783=""),"",ROUND(MAX(0,($K2783-$J2783)-IF($H2783="",0,$H2783))/60,2))</f>
        <v/>
      </c>
      <c r="J2783" s="41" t="str">
        <f>IF($F2783="","",IF($F2783&lt;1,ROUND($F2783*1440,0),INT($F2783/100)*60+MOD($F2783,100)))</f>
        <v/>
      </c>
      <c r="K2783" s="41" t="str">
        <f>IF($G2783="","",IF($G2783&lt;1,ROUND($G2783*1440,0),INT($G2783/100)*60+MOD($G2783,100)))</f>
        <v/>
      </c>
    </row>
    <row r="2784" ht="15" customHeight="1" s="26">
      <c r="A2784" s="34" t="n"/>
      <c r="B2784" s="32" t="n"/>
      <c r="C2784" s="33" t="n"/>
      <c r="D2784" s="37" t="str">
        <f>IF($C2784="","",IFERROR(INDEX(프로젝트목록!$B$3:$B$62,MATCH($C2784,프로젝트목록!$A$3:$A$62,0)),"미등록코드"))</f>
        <v/>
      </c>
      <c r="E2784" s="32" t="n"/>
      <c r="F2784" s="38" t="n"/>
      <c r="G2784" s="38" t="n"/>
      <c r="H2784" s="39" t="n"/>
      <c r="I2784" s="40" t="str">
        <f>IF(OR($J2784="",$K2784=""),"",ROUND(MAX(0,($K2784-$J2784)-IF($H2784="",0,$H2784))/60,2))</f>
        <v/>
      </c>
      <c r="J2784" s="41" t="str">
        <f>IF($F2784="","",IF($F2784&lt;1,ROUND($F2784*1440,0),INT($F2784/100)*60+MOD($F2784,100)))</f>
        <v/>
      </c>
      <c r="K2784" s="41" t="str">
        <f>IF($G2784="","",IF($G2784&lt;1,ROUND($G2784*1440,0),INT($G2784/100)*60+MOD($G2784,100)))</f>
        <v/>
      </c>
    </row>
    <row r="2785" ht="15" customHeight="1" s="26">
      <c r="A2785" s="34" t="n"/>
      <c r="B2785" s="32" t="n"/>
      <c r="C2785" s="33" t="n"/>
      <c r="D2785" s="37" t="str">
        <f>IF($C2785="","",IFERROR(INDEX(프로젝트목록!$B$3:$B$62,MATCH($C2785,프로젝트목록!$A$3:$A$62,0)),"미등록코드"))</f>
        <v/>
      </c>
      <c r="E2785" s="32" t="n"/>
      <c r="F2785" s="38" t="n"/>
      <c r="G2785" s="38" t="n"/>
      <c r="H2785" s="39" t="n"/>
      <c r="I2785" s="40" t="str">
        <f>IF(OR($J2785="",$K2785=""),"",ROUND(MAX(0,($K2785-$J2785)-IF($H2785="",0,$H2785))/60,2))</f>
        <v/>
      </c>
      <c r="J2785" s="41" t="str">
        <f>IF($F2785="","",IF($F2785&lt;1,ROUND($F2785*1440,0),INT($F2785/100)*60+MOD($F2785,100)))</f>
        <v/>
      </c>
      <c r="K2785" s="41" t="str">
        <f>IF($G2785="","",IF($G2785&lt;1,ROUND($G2785*1440,0),INT($G2785/100)*60+MOD($G2785,100)))</f>
        <v/>
      </c>
    </row>
    <row r="2786" ht="15" customHeight="1" s="26">
      <c r="A2786" s="34" t="n"/>
      <c r="B2786" s="32" t="n"/>
      <c r="C2786" s="33" t="n"/>
      <c r="D2786" s="37" t="str">
        <f>IF($C2786="","",IFERROR(INDEX(프로젝트목록!$B$3:$B$62,MATCH($C2786,프로젝트목록!$A$3:$A$62,0)),"미등록코드"))</f>
        <v/>
      </c>
      <c r="E2786" s="32" t="n"/>
      <c r="F2786" s="38" t="n"/>
      <c r="G2786" s="38" t="n"/>
      <c r="H2786" s="39" t="n"/>
      <c r="I2786" s="40" t="str">
        <f>IF(OR($J2786="",$K2786=""),"",ROUND(MAX(0,($K2786-$J2786)-IF($H2786="",0,$H2786))/60,2))</f>
        <v/>
      </c>
      <c r="J2786" s="41" t="str">
        <f>IF($F2786="","",IF($F2786&lt;1,ROUND($F2786*1440,0),INT($F2786/100)*60+MOD($F2786,100)))</f>
        <v/>
      </c>
      <c r="K2786" s="41" t="str">
        <f>IF($G2786="","",IF($G2786&lt;1,ROUND($G2786*1440,0),INT($G2786/100)*60+MOD($G2786,100)))</f>
        <v/>
      </c>
    </row>
    <row r="2787" ht="15" customHeight="1" s="26">
      <c r="A2787" s="34" t="n"/>
      <c r="B2787" s="32" t="n"/>
      <c r="C2787" s="33" t="n"/>
      <c r="D2787" s="37" t="str">
        <f>IF($C2787="","",IFERROR(INDEX(프로젝트목록!$B$3:$B$62,MATCH($C2787,프로젝트목록!$A$3:$A$62,0)),"미등록코드"))</f>
        <v/>
      </c>
      <c r="E2787" s="32" t="n"/>
      <c r="F2787" s="38" t="n"/>
      <c r="G2787" s="38" t="n"/>
      <c r="H2787" s="39" t="n"/>
      <c r="I2787" s="40" t="str">
        <f>IF(OR($J2787="",$K2787=""),"",ROUND(MAX(0,($K2787-$J2787)-IF($H2787="",0,$H2787))/60,2))</f>
        <v/>
      </c>
      <c r="J2787" s="41" t="str">
        <f>IF($F2787="","",IF($F2787&lt;1,ROUND($F2787*1440,0),INT($F2787/100)*60+MOD($F2787,100)))</f>
        <v/>
      </c>
      <c r="K2787" s="41" t="str">
        <f>IF($G2787="","",IF($G2787&lt;1,ROUND($G2787*1440,0),INT($G2787/100)*60+MOD($G2787,100)))</f>
        <v/>
      </c>
    </row>
    <row r="2788" ht="15" customHeight="1" s="26">
      <c r="A2788" s="34" t="n"/>
      <c r="B2788" s="32" t="n"/>
      <c r="C2788" s="33" t="n"/>
      <c r="D2788" s="37" t="str">
        <f>IF($C2788="","",IFERROR(INDEX(프로젝트목록!$B$3:$B$62,MATCH($C2788,프로젝트목록!$A$3:$A$62,0)),"미등록코드"))</f>
        <v/>
      </c>
      <c r="E2788" s="32" t="n"/>
      <c r="F2788" s="38" t="n"/>
      <c r="G2788" s="38" t="n"/>
      <c r="H2788" s="39" t="n"/>
      <c r="I2788" s="40" t="str">
        <f>IF(OR($J2788="",$K2788=""),"",ROUND(MAX(0,($K2788-$J2788)-IF($H2788="",0,$H2788))/60,2))</f>
        <v/>
      </c>
      <c r="J2788" s="41" t="str">
        <f>IF($F2788="","",IF($F2788&lt;1,ROUND($F2788*1440,0),INT($F2788/100)*60+MOD($F2788,100)))</f>
        <v/>
      </c>
      <c r="K2788" s="41" t="str">
        <f>IF($G2788="","",IF($G2788&lt;1,ROUND($G2788*1440,0),INT($G2788/100)*60+MOD($G2788,100)))</f>
        <v/>
      </c>
    </row>
    <row r="2789" ht="15" customHeight="1" s="26">
      <c r="A2789" s="34" t="n"/>
      <c r="B2789" s="32" t="n"/>
      <c r="C2789" s="33" t="n"/>
      <c r="D2789" s="37" t="str">
        <f>IF($C2789="","",IFERROR(INDEX(프로젝트목록!$B$3:$B$62,MATCH($C2789,프로젝트목록!$A$3:$A$62,0)),"미등록코드"))</f>
        <v/>
      </c>
      <c r="E2789" s="32" t="n"/>
      <c r="F2789" s="38" t="n"/>
      <c r="G2789" s="38" t="n"/>
      <c r="H2789" s="39" t="n"/>
      <c r="I2789" s="40" t="str">
        <f>IF(OR($J2789="",$K2789=""),"",ROUND(MAX(0,($K2789-$J2789)-IF($H2789="",0,$H2789))/60,2))</f>
        <v/>
      </c>
      <c r="J2789" s="41" t="str">
        <f>IF($F2789="","",IF($F2789&lt;1,ROUND($F2789*1440,0),INT($F2789/100)*60+MOD($F2789,100)))</f>
        <v/>
      </c>
      <c r="K2789" s="41" t="str">
        <f>IF($G2789="","",IF($G2789&lt;1,ROUND($G2789*1440,0),INT($G2789/100)*60+MOD($G2789,100)))</f>
        <v/>
      </c>
    </row>
    <row r="2790" ht="15" customHeight="1" s="26">
      <c r="A2790" s="34" t="n"/>
      <c r="B2790" s="32" t="n"/>
      <c r="C2790" s="33" t="n"/>
      <c r="D2790" s="37" t="str">
        <f>IF($C2790="","",IFERROR(INDEX(프로젝트목록!$B$3:$B$62,MATCH($C2790,프로젝트목록!$A$3:$A$62,0)),"미등록코드"))</f>
        <v/>
      </c>
      <c r="E2790" s="32" t="n"/>
      <c r="F2790" s="38" t="n"/>
      <c r="G2790" s="38" t="n"/>
      <c r="H2790" s="39" t="n"/>
      <c r="I2790" s="40" t="str">
        <f>IF(OR($J2790="",$K2790=""),"",ROUND(MAX(0,($K2790-$J2790)-IF($H2790="",0,$H2790))/60,2))</f>
        <v/>
      </c>
      <c r="J2790" s="41" t="str">
        <f>IF($F2790="","",IF($F2790&lt;1,ROUND($F2790*1440,0),INT($F2790/100)*60+MOD($F2790,100)))</f>
        <v/>
      </c>
      <c r="K2790" s="41" t="str">
        <f>IF($G2790="","",IF($G2790&lt;1,ROUND($G2790*1440,0),INT($G2790/100)*60+MOD($G2790,100)))</f>
        <v/>
      </c>
    </row>
    <row r="2791" ht="15" customHeight="1" s="26">
      <c r="A2791" s="34" t="n"/>
      <c r="B2791" s="32" t="n"/>
      <c r="C2791" s="33" t="n"/>
      <c r="D2791" s="37" t="str">
        <f>IF($C2791="","",IFERROR(INDEX(프로젝트목록!$B$3:$B$62,MATCH($C2791,프로젝트목록!$A$3:$A$62,0)),"미등록코드"))</f>
        <v/>
      </c>
      <c r="E2791" s="32" t="n"/>
      <c r="F2791" s="38" t="n"/>
      <c r="G2791" s="38" t="n"/>
      <c r="H2791" s="39" t="n"/>
      <c r="I2791" s="40" t="str">
        <f>IF(OR($J2791="",$K2791=""),"",ROUND(MAX(0,($K2791-$J2791)-IF($H2791="",0,$H2791))/60,2))</f>
        <v/>
      </c>
      <c r="J2791" s="41" t="str">
        <f>IF($F2791="","",IF($F2791&lt;1,ROUND($F2791*1440,0),INT($F2791/100)*60+MOD($F2791,100)))</f>
        <v/>
      </c>
      <c r="K2791" s="41" t="str">
        <f>IF($G2791="","",IF($G2791&lt;1,ROUND($G2791*1440,0),INT($G2791/100)*60+MOD($G2791,100)))</f>
        <v/>
      </c>
    </row>
    <row r="2792" ht="15" customHeight="1" s="26">
      <c r="A2792" s="34" t="n"/>
      <c r="B2792" s="32" t="n"/>
      <c r="C2792" s="33" t="n"/>
      <c r="D2792" s="37" t="str">
        <f>IF($C2792="","",IFERROR(INDEX(프로젝트목록!$B$3:$B$62,MATCH($C2792,프로젝트목록!$A$3:$A$62,0)),"미등록코드"))</f>
        <v/>
      </c>
      <c r="E2792" s="32" t="n"/>
      <c r="F2792" s="38" t="n"/>
      <c r="G2792" s="38" t="n"/>
      <c r="H2792" s="39" t="n"/>
      <c r="I2792" s="40" t="str">
        <f>IF(OR($J2792="",$K2792=""),"",ROUND(MAX(0,($K2792-$J2792)-IF($H2792="",0,$H2792))/60,2))</f>
        <v/>
      </c>
      <c r="J2792" s="41" t="str">
        <f>IF($F2792="","",IF($F2792&lt;1,ROUND($F2792*1440,0),INT($F2792/100)*60+MOD($F2792,100)))</f>
        <v/>
      </c>
      <c r="K2792" s="41" t="str">
        <f>IF($G2792="","",IF($G2792&lt;1,ROUND($G2792*1440,0),INT($G2792/100)*60+MOD($G2792,100)))</f>
        <v/>
      </c>
    </row>
    <row r="2793" ht="15" customHeight="1" s="26">
      <c r="A2793" s="34" t="n"/>
      <c r="B2793" s="32" t="n"/>
      <c r="C2793" s="33" t="n"/>
      <c r="D2793" s="37" t="str">
        <f>IF($C2793="","",IFERROR(INDEX(프로젝트목록!$B$3:$B$62,MATCH($C2793,프로젝트목록!$A$3:$A$62,0)),"미등록코드"))</f>
        <v/>
      </c>
      <c r="E2793" s="32" t="n"/>
      <c r="F2793" s="38" t="n"/>
      <c r="G2793" s="38" t="n"/>
      <c r="H2793" s="39" t="n"/>
      <c r="I2793" s="40" t="str">
        <f>IF(OR($J2793="",$K2793=""),"",ROUND(MAX(0,($K2793-$J2793)-IF($H2793="",0,$H2793))/60,2))</f>
        <v/>
      </c>
      <c r="J2793" s="41" t="str">
        <f>IF($F2793="","",IF($F2793&lt;1,ROUND($F2793*1440,0),INT($F2793/100)*60+MOD($F2793,100)))</f>
        <v/>
      </c>
      <c r="K2793" s="41" t="str">
        <f>IF($G2793="","",IF($G2793&lt;1,ROUND($G2793*1440,0),INT($G2793/100)*60+MOD($G2793,100)))</f>
        <v/>
      </c>
    </row>
    <row r="2794" ht="15" customHeight="1" s="26">
      <c r="A2794" s="34" t="n"/>
      <c r="B2794" s="32" t="n"/>
      <c r="C2794" s="33" t="n"/>
      <c r="D2794" s="37" t="str">
        <f>IF($C2794="","",IFERROR(INDEX(프로젝트목록!$B$3:$B$62,MATCH($C2794,프로젝트목록!$A$3:$A$62,0)),"미등록코드"))</f>
        <v/>
      </c>
      <c r="E2794" s="32" t="n"/>
      <c r="F2794" s="38" t="n"/>
      <c r="G2794" s="38" t="n"/>
      <c r="H2794" s="39" t="n"/>
      <c r="I2794" s="40" t="str">
        <f>IF(OR($J2794="",$K2794=""),"",ROUND(MAX(0,($K2794-$J2794)-IF($H2794="",0,$H2794))/60,2))</f>
        <v/>
      </c>
      <c r="J2794" s="41" t="str">
        <f>IF($F2794="","",IF($F2794&lt;1,ROUND($F2794*1440,0),INT($F2794/100)*60+MOD($F2794,100)))</f>
        <v/>
      </c>
      <c r="K2794" s="41" t="str">
        <f>IF($G2794="","",IF($G2794&lt;1,ROUND($G2794*1440,0),INT($G2794/100)*60+MOD($G2794,100)))</f>
        <v/>
      </c>
    </row>
    <row r="2795" ht="15" customHeight="1" s="26">
      <c r="A2795" s="34" t="n"/>
      <c r="B2795" s="32" t="n"/>
      <c r="C2795" s="33" t="n"/>
      <c r="D2795" s="37" t="str">
        <f>IF($C2795="","",IFERROR(INDEX(프로젝트목록!$B$3:$B$62,MATCH($C2795,프로젝트목록!$A$3:$A$62,0)),"미등록코드"))</f>
        <v/>
      </c>
      <c r="E2795" s="32" t="n"/>
      <c r="F2795" s="38" t="n"/>
      <c r="G2795" s="38" t="n"/>
      <c r="H2795" s="39" t="n"/>
      <c r="I2795" s="40" t="str">
        <f>IF(OR($J2795="",$K2795=""),"",ROUND(MAX(0,($K2795-$J2795)-IF($H2795="",0,$H2795))/60,2))</f>
        <v/>
      </c>
      <c r="J2795" s="41" t="str">
        <f>IF($F2795="","",IF($F2795&lt;1,ROUND($F2795*1440,0),INT($F2795/100)*60+MOD($F2795,100)))</f>
        <v/>
      </c>
      <c r="K2795" s="41" t="str">
        <f>IF($G2795="","",IF($G2795&lt;1,ROUND($G2795*1440,0),INT($G2795/100)*60+MOD($G2795,100)))</f>
        <v/>
      </c>
    </row>
    <row r="2796" ht="15" customHeight="1" s="26">
      <c r="A2796" s="34" t="n"/>
      <c r="B2796" s="32" t="n"/>
      <c r="C2796" s="33" t="n"/>
      <c r="D2796" s="37" t="str">
        <f>IF($C2796="","",IFERROR(INDEX(프로젝트목록!$B$3:$B$62,MATCH($C2796,프로젝트목록!$A$3:$A$62,0)),"미등록코드"))</f>
        <v/>
      </c>
      <c r="E2796" s="32" t="n"/>
      <c r="F2796" s="38" t="n"/>
      <c r="G2796" s="38" t="n"/>
      <c r="H2796" s="39" t="n"/>
      <c r="I2796" s="40" t="str">
        <f>IF(OR($J2796="",$K2796=""),"",ROUND(MAX(0,($K2796-$J2796)-IF($H2796="",0,$H2796))/60,2))</f>
        <v/>
      </c>
      <c r="J2796" s="41" t="str">
        <f>IF($F2796="","",IF($F2796&lt;1,ROUND($F2796*1440,0),INT($F2796/100)*60+MOD($F2796,100)))</f>
        <v/>
      </c>
      <c r="K2796" s="41" t="str">
        <f>IF($G2796="","",IF($G2796&lt;1,ROUND($G2796*1440,0),INT($G2796/100)*60+MOD($G2796,100)))</f>
        <v/>
      </c>
    </row>
    <row r="2797" ht="15" customHeight="1" s="26">
      <c r="A2797" s="34" t="n"/>
      <c r="B2797" s="32" t="n"/>
      <c r="C2797" s="33" t="n"/>
      <c r="D2797" s="37" t="str">
        <f>IF($C2797="","",IFERROR(INDEX(프로젝트목록!$B$3:$B$62,MATCH($C2797,프로젝트목록!$A$3:$A$62,0)),"미등록코드"))</f>
        <v/>
      </c>
      <c r="E2797" s="32" t="n"/>
      <c r="F2797" s="38" t="n"/>
      <c r="G2797" s="38" t="n"/>
      <c r="H2797" s="39" t="n"/>
      <c r="I2797" s="40" t="str">
        <f>IF(OR($J2797="",$K2797=""),"",ROUND(MAX(0,($K2797-$J2797)-IF($H2797="",0,$H2797))/60,2))</f>
        <v/>
      </c>
      <c r="J2797" s="41" t="str">
        <f>IF($F2797="","",IF($F2797&lt;1,ROUND($F2797*1440,0),INT($F2797/100)*60+MOD($F2797,100)))</f>
        <v/>
      </c>
      <c r="K2797" s="41" t="str">
        <f>IF($G2797="","",IF($G2797&lt;1,ROUND($G2797*1440,0),INT($G2797/100)*60+MOD($G2797,100)))</f>
        <v/>
      </c>
    </row>
    <row r="2798" ht="15" customHeight="1" s="26">
      <c r="A2798" s="34" t="n"/>
      <c r="B2798" s="32" t="n"/>
      <c r="C2798" s="33" t="n"/>
      <c r="D2798" s="37" t="str">
        <f>IF($C2798="","",IFERROR(INDEX(프로젝트목록!$B$3:$B$62,MATCH($C2798,프로젝트목록!$A$3:$A$62,0)),"미등록코드"))</f>
        <v/>
      </c>
      <c r="E2798" s="32" t="n"/>
      <c r="F2798" s="38" t="n"/>
      <c r="G2798" s="38" t="n"/>
      <c r="H2798" s="39" t="n"/>
      <c r="I2798" s="40" t="str">
        <f>IF(OR($J2798="",$K2798=""),"",ROUND(MAX(0,($K2798-$J2798)-IF($H2798="",0,$H2798))/60,2))</f>
        <v/>
      </c>
      <c r="J2798" s="41" t="str">
        <f>IF($F2798="","",IF($F2798&lt;1,ROUND($F2798*1440,0),INT($F2798/100)*60+MOD($F2798,100)))</f>
        <v/>
      </c>
      <c r="K2798" s="41" t="str">
        <f>IF($G2798="","",IF($G2798&lt;1,ROUND($G2798*1440,0),INT($G2798/100)*60+MOD($G2798,100)))</f>
        <v/>
      </c>
    </row>
    <row r="2799" ht="15" customHeight="1" s="26">
      <c r="A2799" s="34" t="n"/>
      <c r="B2799" s="32" t="n"/>
      <c r="C2799" s="33" t="n"/>
      <c r="D2799" s="37" t="str">
        <f>IF($C2799="","",IFERROR(INDEX(프로젝트목록!$B$3:$B$62,MATCH($C2799,프로젝트목록!$A$3:$A$62,0)),"미등록코드"))</f>
        <v/>
      </c>
      <c r="E2799" s="32" t="n"/>
      <c r="F2799" s="38" t="n"/>
      <c r="G2799" s="38" t="n"/>
      <c r="H2799" s="39" t="n"/>
      <c r="I2799" s="40" t="str">
        <f>IF(OR($J2799="",$K2799=""),"",ROUND(MAX(0,($K2799-$J2799)-IF($H2799="",0,$H2799))/60,2))</f>
        <v/>
      </c>
      <c r="J2799" s="41" t="str">
        <f>IF($F2799="","",IF($F2799&lt;1,ROUND($F2799*1440,0),INT($F2799/100)*60+MOD($F2799,100)))</f>
        <v/>
      </c>
      <c r="K2799" s="41" t="str">
        <f>IF($G2799="","",IF($G2799&lt;1,ROUND($G2799*1440,0),INT($G2799/100)*60+MOD($G2799,100)))</f>
        <v/>
      </c>
    </row>
    <row r="2800" ht="15" customHeight="1" s="26">
      <c r="A2800" s="34" t="n"/>
      <c r="B2800" s="32" t="n"/>
      <c r="C2800" s="33" t="n"/>
      <c r="D2800" s="37" t="str">
        <f>IF($C2800="","",IFERROR(INDEX(프로젝트목록!$B$3:$B$62,MATCH($C2800,프로젝트목록!$A$3:$A$62,0)),"미등록코드"))</f>
        <v/>
      </c>
      <c r="E2800" s="32" t="n"/>
      <c r="F2800" s="38" t="n"/>
      <c r="G2800" s="38" t="n"/>
      <c r="H2800" s="39" t="n"/>
      <c r="I2800" s="40" t="str">
        <f>IF(OR($J2800="",$K2800=""),"",ROUND(MAX(0,($K2800-$J2800)-IF($H2800="",0,$H2800))/60,2))</f>
        <v/>
      </c>
      <c r="J2800" s="41" t="str">
        <f>IF($F2800="","",IF($F2800&lt;1,ROUND($F2800*1440,0),INT($F2800/100)*60+MOD($F2800,100)))</f>
        <v/>
      </c>
      <c r="K2800" s="41" t="str">
        <f>IF($G2800="","",IF($G2800&lt;1,ROUND($G2800*1440,0),INT($G2800/100)*60+MOD($G2800,100)))</f>
        <v/>
      </c>
    </row>
    <row r="2801" ht="15" customHeight="1" s="26">
      <c r="A2801" s="34" t="n"/>
      <c r="B2801" s="32" t="n"/>
      <c r="C2801" s="33" t="n"/>
      <c r="D2801" s="37" t="str">
        <f>IF($C2801="","",IFERROR(INDEX(프로젝트목록!$B$3:$B$62,MATCH($C2801,프로젝트목록!$A$3:$A$62,0)),"미등록코드"))</f>
        <v/>
      </c>
      <c r="E2801" s="32" t="n"/>
      <c r="F2801" s="38" t="n"/>
      <c r="G2801" s="38" t="n"/>
      <c r="H2801" s="39" t="n"/>
      <c r="I2801" s="40" t="str">
        <f>IF(OR($J2801="",$K2801=""),"",ROUND(MAX(0,($K2801-$J2801)-IF($H2801="",0,$H2801))/60,2))</f>
        <v/>
      </c>
      <c r="J2801" s="41" t="str">
        <f>IF($F2801="","",IF($F2801&lt;1,ROUND($F2801*1440,0),INT($F2801/100)*60+MOD($F2801,100)))</f>
        <v/>
      </c>
      <c r="K2801" s="41" t="str">
        <f>IF($G2801="","",IF($G2801&lt;1,ROUND($G2801*1440,0),INT($G2801/100)*60+MOD($G2801,100)))</f>
        <v/>
      </c>
    </row>
    <row r="2802" ht="15" customHeight="1" s="26">
      <c r="A2802" s="34" t="n"/>
      <c r="B2802" s="32" t="n"/>
      <c r="C2802" s="33" t="n"/>
      <c r="D2802" s="37" t="str">
        <f>IF($C2802="","",IFERROR(INDEX(프로젝트목록!$B$3:$B$62,MATCH($C2802,프로젝트목록!$A$3:$A$62,0)),"미등록코드"))</f>
        <v/>
      </c>
      <c r="E2802" s="32" t="n"/>
      <c r="F2802" s="38" t="n"/>
      <c r="G2802" s="38" t="n"/>
      <c r="H2802" s="39" t="n"/>
      <c r="I2802" s="40" t="str">
        <f>IF(OR($J2802="",$K2802=""),"",ROUND(MAX(0,($K2802-$J2802)-IF($H2802="",0,$H2802))/60,2))</f>
        <v/>
      </c>
      <c r="J2802" s="41" t="str">
        <f>IF($F2802="","",IF($F2802&lt;1,ROUND($F2802*1440,0),INT($F2802/100)*60+MOD($F2802,100)))</f>
        <v/>
      </c>
      <c r="K2802" s="41" t="str">
        <f>IF($G2802="","",IF($G2802&lt;1,ROUND($G2802*1440,0),INT($G2802/100)*60+MOD($G2802,100)))</f>
        <v/>
      </c>
    </row>
    <row r="2803" ht="15" customHeight="1" s="26">
      <c r="A2803" s="34" t="n"/>
      <c r="B2803" s="32" t="n"/>
      <c r="C2803" s="33" t="n"/>
      <c r="D2803" s="37" t="str">
        <f>IF($C2803="","",IFERROR(INDEX(프로젝트목록!$B$3:$B$62,MATCH($C2803,프로젝트목록!$A$3:$A$62,0)),"미등록코드"))</f>
        <v/>
      </c>
      <c r="E2803" s="32" t="n"/>
      <c r="F2803" s="38" t="n"/>
      <c r="G2803" s="38" t="n"/>
      <c r="H2803" s="39" t="n"/>
      <c r="I2803" s="40" t="str">
        <f>IF(OR($J2803="",$K2803=""),"",ROUND(MAX(0,($K2803-$J2803)-IF($H2803="",0,$H2803))/60,2))</f>
        <v/>
      </c>
      <c r="J2803" s="41" t="str">
        <f>IF($F2803="","",IF($F2803&lt;1,ROUND($F2803*1440,0),INT($F2803/100)*60+MOD($F2803,100)))</f>
        <v/>
      </c>
      <c r="K2803" s="41" t="str">
        <f>IF($G2803="","",IF($G2803&lt;1,ROUND($G2803*1440,0),INT($G2803/100)*60+MOD($G2803,100)))</f>
        <v/>
      </c>
    </row>
    <row r="2804" ht="15" customHeight="1" s="26">
      <c r="A2804" s="34" t="n"/>
      <c r="B2804" s="32" t="n"/>
      <c r="C2804" s="33" t="n"/>
      <c r="D2804" s="37" t="str">
        <f>IF($C2804="","",IFERROR(INDEX(프로젝트목록!$B$3:$B$62,MATCH($C2804,프로젝트목록!$A$3:$A$62,0)),"미등록코드"))</f>
        <v/>
      </c>
      <c r="E2804" s="32" t="n"/>
      <c r="F2804" s="38" t="n"/>
      <c r="G2804" s="38" t="n"/>
      <c r="H2804" s="39" t="n"/>
      <c r="I2804" s="40" t="str">
        <f>IF(OR($J2804="",$K2804=""),"",ROUND(MAX(0,($K2804-$J2804)-IF($H2804="",0,$H2804))/60,2))</f>
        <v/>
      </c>
      <c r="J2804" s="41" t="str">
        <f>IF($F2804="","",IF($F2804&lt;1,ROUND($F2804*1440,0),INT($F2804/100)*60+MOD($F2804,100)))</f>
        <v/>
      </c>
      <c r="K2804" s="41" t="str">
        <f>IF($G2804="","",IF($G2804&lt;1,ROUND($G2804*1440,0),INT($G2804/100)*60+MOD($G2804,100)))</f>
        <v/>
      </c>
    </row>
    <row r="2805" ht="15" customHeight="1" s="26">
      <c r="A2805" s="34" t="n"/>
      <c r="B2805" s="32" t="n"/>
      <c r="C2805" s="33" t="n"/>
      <c r="D2805" s="37" t="str">
        <f>IF($C2805="","",IFERROR(INDEX(프로젝트목록!$B$3:$B$62,MATCH($C2805,프로젝트목록!$A$3:$A$62,0)),"미등록코드"))</f>
        <v/>
      </c>
      <c r="E2805" s="32" t="n"/>
      <c r="F2805" s="38" t="n"/>
      <c r="G2805" s="38" t="n"/>
      <c r="H2805" s="39" t="n"/>
      <c r="I2805" s="40" t="str">
        <f>IF(OR($J2805="",$K2805=""),"",ROUND(MAX(0,($K2805-$J2805)-IF($H2805="",0,$H2805))/60,2))</f>
        <v/>
      </c>
      <c r="J2805" s="41" t="str">
        <f>IF($F2805="","",IF($F2805&lt;1,ROUND($F2805*1440,0),INT($F2805/100)*60+MOD($F2805,100)))</f>
        <v/>
      </c>
      <c r="K2805" s="41" t="str">
        <f>IF($G2805="","",IF($G2805&lt;1,ROUND($G2805*1440,0),INT($G2805/100)*60+MOD($G2805,100)))</f>
        <v/>
      </c>
    </row>
    <row r="2806" ht="15" customHeight="1" s="26">
      <c r="A2806" s="34" t="n"/>
      <c r="B2806" s="32" t="n"/>
      <c r="C2806" s="33" t="n"/>
      <c r="D2806" s="37" t="str">
        <f>IF($C2806="","",IFERROR(INDEX(프로젝트목록!$B$3:$B$62,MATCH($C2806,프로젝트목록!$A$3:$A$62,0)),"미등록코드"))</f>
        <v/>
      </c>
      <c r="E2806" s="32" t="n"/>
      <c r="F2806" s="38" t="n"/>
      <c r="G2806" s="38" t="n"/>
      <c r="H2806" s="39" t="n"/>
      <c r="I2806" s="40" t="str">
        <f>IF(OR($J2806="",$K2806=""),"",ROUND(MAX(0,($K2806-$J2806)-IF($H2806="",0,$H2806))/60,2))</f>
        <v/>
      </c>
      <c r="J2806" s="41" t="str">
        <f>IF($F2806="","",IF($F2806&lt;1,ROUND($F2806*1440,0),INT($F2806/100)*60+MOD($F2806,100)))</f>
        <v/>
      </c>
      <c r="K2806" s="41" t="str">
        <f>IF($G2806="","",IF($G2806&lt;1,ROUND($G2806*1440,0),INT($G2806/100)*60+MOD($G2806,100)))</f>
        <v/>
      </c>
    </row>
    <row r="2807" ht="15" customHeight="1" s="26">
      <c r="A2807" s="34" t="n"/>
      <c r="B2807" s="32" t="n"/>
      <c r="C2807" s="33" t="n"/>
      <c r="D2807" s="37" t="str">
        <f>IF($C2807="","",IFERROR(INDEX(프로젝트목록!$B$3:$B$62,MATCH($C2807,프로젝트목록!$A$3:$A$62,0)),"미등록코드"))</f>
        <v/>
      </c>
      <c r="E2807" s="32" t="n"/>
      <c r="F2807" s="38" t="n"/>
      <c r="G2807" s="38" t="n"/>
      <c r="H2807" s="39" t="n"/>
      <c r="I2807" s="40" t="str">
        <f>IF(OR($J2807="",$K2807=""),"",ROUND(MAX(0,($K2807-$J2807)-IF($H2807="",0,$H2807))/60,2))</f>
        <v/>
      </c>
      <c r="J2807" s="41" t="str">
        <f>IF($F2807="","",IF($F2807&lt;1,ROUND($F2807*1440,0),INT($F2807/100)*60+MOD($F2807,100)))</f>
        <v/>
      </c>
      <c r="K2807" s="41" t="str">
        <f>IF($G2807="","",IF($G2807&lt;1,ROUND($G2807*1440,0),INT($G2807/100)*60+MOD($G2807,100)))</f>
        <v/>
      </c>
    </row>
    <row r="2808" ht="15" customHeight="1" s="26">
      <c r="A2808" s="34" t="n"/>
      <c r="B2808" s="32" t="n"/>
      <c r="C2808" s="33" t="n"/>
      <c r="D2808" s="37" t="str">
        <f>IF($C2808="","",IFERROR(INDEX(프로젝트목록!$B$3:$B$62,MATCH($C2808,프로젝트목록!$A$3:$A$62,0)),"미등록코드"))</f>
        <v/>
      </c>
      <c r="E2808" s="32" t="n"/>
      <c r="F2808" s="38" t="n"/>
      <c r="G2808" s="38" t="n"/>
      <c r="H2808" s="39" t="n"/>
      <c r="I2808" s="40" t="str">
        <f>IF(OR($J2808="",$K2808=""),"",ROUND(MAX(0,($K2808-$J2808)-IF($H2808="",0,$H2808))/60,2))</f>
        <v/>
      </c>
      <c r="J2808" s="41" t="str">
        <f>IF($F2808="","",IF($F2808&lt;1,ROUND($F2808*1440,0),INT($F2808/100)*60+MOD($F2808,100)))</f>
        <v/>
      </c>
      <c r="K2808" s="41" t="str">
        <f>IF($G2808="","",IF($G2808&lt;1,ROUND($G2808*1440,0),INT($G2808/100)*60+MOD($G2808,100)))</f>
        <v/>
      </c>
    </row>
    <row r="2809" ht="15" customHeight="1" s="26">
      <c r="A2809" s="34" t="n"/>
      <c r="B2809" s="32" t="n"/>
      <c r="C2809" s="33" t="n"/>
      <c r="D2809" s="37" t="str">
        <f>IF($C2809="","",IFERROR(INDEX(프로젝트목록!$B$3:$B$62,MATCH($C2809,프로젝트목록!$A$3:$A$62,0)),"미등록코드"))</f>
        <v/>
      </c>
      <c r="E2809" s="32" t="n"/>
      <c r="F2809" s="38" t="n"/>
      <c r="G2809" s="38" t="n"/>
      <c r="H2809" s="39" t="n"/>
      <c r="I2809" s="40" t="str">
        <f>IF(OR($J2809="",$K2809=""),"",ROUND(MAX(0,($K2809-$J2809)-IF($H2809="",0,$H2809))/60,2))</f>
        <v/>
      </c>
      <c r="J2809" s="41" t="str">
        <f>IF($F2809="","",IF($F2809&lt;1,ROUND($F2809*1440,0),INT($F2809/100)*60+MOD($F2809,100)))</f>
        <v/>
      </c>
      <c r="K2809" s="41" t="str">
        <f>IF($G2809="","",IF($G2809&lt;1,ROUND($G2809*1440,0),INT($G2809/100)*60+MOD($G2809,100)))</f>
        <v/>
      </c>
    </row>
    <row r="2810" ht="15" customHeight="1" s="26">
      <c r="A2810" s="34" t="n"/>
      <c r="B2810" s="32" t="n"/>
      <c r="C2810" s="33" t="n"/>
      <c r="D2810" s="37" t="str">
        <f>IF($C2810="","",IFERROR(INDEX(프로젝트목록!$B$3:$B$62,MATCH($C2810,프로젝트목록!$A$3:$A$62,0)),"미등록코드"))</f>
        <v/>
      </c>
      <c r="E2810" s="32" t="n"/>
      <c r="F2810" s="38" t="n"/>
      <c r="G2810" s="38" t="n"/>
      <c r="H2810" s="39" t="n"/>
      <c r="I2810" s="40" t="str">
        <f>IF(OR($J2810="",$K2810=""),"",ROUND(MAX(0,($K2810-$J2810)-IF($H2810="",0,$H2810))/60,2))</f>
        <v/>
      </c>
      <c r="J2810" s="41" t="str">
        <f>IF($F2810="","",IF($F2810&lt;1,ROUND($F2810*1440,0),INT($F2810/100)*60+MOD($F2810,100)))</f>
        <v/>
      </c>
      <c r="K2810" s="41" t="str">
        <f>IF($G2810="","",IF($G2810&lt;1,ROUND($G2810*1440,0),INT($G2810/100)*60+MOD($G2810,100)))</f>
        <v/>
      </c>
    </row>
    <row r="2811" ht="15" customHeight="1" s="26">
      <c r="A2811" s="34" t="n"/>
      <c r="B2811" s="32" t="n"/>
      <c r="C2811" s="33" t="n"/>
      <c r="D2811" s="37" t="str">
        <f>IF($C2811="","",IFERROR(INDEX(프로젝트목록!$B$3:$B$62,MATCH($C2811,프로젝트목록!$A$3:$A$62,0)),"미등록코드"))</f>
        <v/>
      </c>
      <c r="E2811" s="32" t="n"/>
      <c r="F2811" s="38" t="n"/>
      <c r="G2811" s="38" t="n"/>
      <c r="H2811" s="39" t="n"/>
      <c r="I2811" s="40" t="str">
        <f>IF(OR($J2811="",$K2811=""),"",ROUND(MAX(0,($K2811-$J2811)-IF($H2811="",0,$H2811))/60,2))</f>
        <v/>
      </c>
      <c r="J2811" s="41" t="str">
        <f>IF($F2811="","",IF($F2811&lt;1,ROUND($F2811*1440,0),INT($F2811/100)*60+MOD($F2811,100)))</f>
        <v/>
      </c>
      <c r="K2811" s="41" t="str">
        <f>IF($G2811="","",IF($G2811&lt;1,ROUND($G2811*1440,0),INT($G2811/100)*60+MOD($G2811,100)))</f>
        <v/>
      </c>
    </row>
    <row r="2812" ht="15" customHeight="1" s="26">
      <c r="A2812" s="34" t="n"/>
      <c r="B2812" s="32" t="n"/>
      <c r="C2812" s="33" t="n"/>
      <c r="D2812" s="37" t="str">
        <f>IF($C2812="","",IFERROR(INDEX(프로젝트목록!$B$3:$B$62,MATCH($C2812,프로젝트목록!$A$3:$A$62,0)),"미등록코드"))</f>
        <v/>
      </c>
      <c r="E2812" s="32" t="n"/>
      <c r="F2812" s="38" t="n"/>
      <c r="G2812" s="38" t="n"/>
      <c r="H2812" s="39" t="n"/>
      <c r="I2812" s="40" t="str">
        <f>IF(OR($J2812="",$K2812=""),"",ROUND(MAX(0,($K2812-$J2812)-IF($H2812="",0,$H2812))/60,2))</f>
        <v/>
      </c>
      <c r="J2812" s="41" t="str">
        <f>IF($F2812="","",IF($F2812&lt;1,ROUND($F2812*1440,0),INT($F2812/100)*60+MOD($F2812,100)))</f>
        <v/>
      </c>
      <c r="K2812" s="41" t="str">
        <f>IF($G2812="","",IF($G2812&lt;1,ROUND($G2812*1440,0),INT($G2812/100)*60+MOD($G2812,100)))</f>
        <v/>
      </c>
    </row>
    <row r="2813" ht="15" customHeight="1" s="26">
      <c r="A2813" s="34" t="n"/>
      <c r="B2813" s="32" t="n"/>
      <c r="C2813" s="33" t="n"/>
      <c r="D2813" s="37" t="str">
        <f>IF($C2813="","",IFERROR(INDEX(프로젝트목록!$B$3:$B$62,MATCH($C2813,프로젝트목록!$A$3:$A$62,0)),"미등록코드"))</f>
        <v/>
      </c>
      <c r="E2813" s="32" t="n"/>
      <c r="F2813" s="38" t="n"/>
      <c r="G2813" s="38" t="n"/>
      <c r="H2813" s="39" t="n"/>
      <c r="I2813" s="40" t="str">
        <f>IF(OR($J2813="",$K2813=""),"",ROUND(MAX(0,($K2813-$J2813)-IF($H2813="",0,$H2813))/60,2))</f>
        <v/>
      </c>
      <c r="J2813" s="41" t="str">
        <f>IF($F2813="","",IF($F2813&lt;1,ROUND($F2813*1440,0),INT($F2813/100)*60+MOD($F2813,100)))</f>
        <v/>
      </c>
      <c r="K2813" s="41" t="str">
        <f>IF($G2813="","",IF($G2813&lt;1,ROUND($G2813*1440,0),INT($G2813/100)*60+MOD($G2813,100)))</f>
        <v/>
      </c>
    </row>
    <row r="2814" ht="15" customHeight="1" s="26">
      <c r="A2814" s="34" t="n"/>
      <c r="B2814" s="32" t="n"/>
      <c r="C2814" s="33" t="n"/>
      <c r="D2814" s="37" t="str">
        <f>IF($C2814="","",IFERROR(INDEX(프로젝트목록!$B$3:$B$62,MATCH($C2814,프로젝트목록!$A$3:$A$62,0)),"미등록코드"))</f>
        <v/>
      </c>
      <c r="E2814" s="32" t="n"/>
      <c r="F2814" s="38" t="n"/>
      <c r="G2814" s="38" t="n"/>
      <c r="H2814" s="39" t="n"/>
      <c r="I2814" s="40" t="str">
        <f>IF(OR($J2814="",$K2814=""),"",ROUND(MAX(0,($K2814-$J2814)-IF($H2814="",0,$H2814))/60,2))</f>
        <v/>
      </c>
      <c r="J2814" s="41" t="str">
        <f>IF($F2814="","",IF($F2814&lt;1,ROUND($F2814*1440,0),INT($F2814/100)*60+MOD($F2814,100)))</f>
        <v/>
      </c>
      <c r="K2814" s="41" t="str">
        <f>IF($G2814="","",IF($G2814&lt;1,ROUND($G2814*1440,0),INT($G2814/100)*60+MOD($G2814,100)))</f>
        <v/>
      </c>
    </row>
    <row r="2815" ht="15" customHeight="1" s="26">
      <c r="A2815" s="34" t="n"/>
      <c r="B2815" s="32" t="n"/>
      <c r="C2815" s="33" t="n"/>
      <c r="D2815" s="37" t="str">
        <f>IF($C2815="","",IFERROR(INDEX(프로젝트목록!$B$3:$B$62,MATCH($C2815,프로젝트목록!$A$3:$A$62,0)),"미등록코드"))</f>
        <v/>
      </c>
      <c r="E2815" s="32" t="n"/>
      <c r="F2815" s="38" t="n"/>
      <c r="G2815" s="38" t="n"/>
      <c r="H2815" s="39" t="n"/>
      <c r="I2815" s="40" t="str">
        <f>IF(OR($J2815="",$K2815=""),"",ROUND(MAX(0,($K2815-$J2815)-IF($H2815="",0,$H2815))/60,2))</f>
        <v/>
      </c>
      <c r="J2815" s="41" t="str">
        <f>IF($F2815="","",IF($F2815&lt;1,ROUND($F2815*1440,0),INT($F2815/100)*60+MOD($F2815,100)))</f>
        <v/>
      </c>
      <c r="K2815" s="41" t="str">
        <f>IF($G2815="","",IF($G2815&lt;1,ROUND($G2815*1440,0),INT($G2815/100)*60+MOD($G2815,100)))</f>
        <v/>
      </c>
    </row>
    <row r="2816" ht="15" customHeight="1" s="26">
      <c r="A2816" s="34" t="n"/>
      <c r="B2816" s="32" t="n"/>
      <c r="C2816" s="33" t="n"/>
      <c r="D2816" s="37" t="str">
        <f>IF($C2816="","",IFERROR(INDEX(프로젝트목록!$B$3:$B$62,MATCH($C2816,프로젝트목록!$A$3:$A$62,0)),"미등록코드"))</f>
        <v/>
      </c>
      <c r="E2816" s="32" t="n"/>
      <c r="F2816" s="38" t="n"/>
      <c r="G2816" s="38" t="n"/>
      <c r="H2816" s="39" t="n"/>
      <c r="I2816" s="40" t="str">
        <f>IF(OR($J2816="",$K2816=""),"",ROUND(MAX(0,($K2816-$J2816)-IF($H2816="",0,$H2816))/60,2))</f>
        <v/>
      </c>
      <c r="J2816" s="41" t="str">
        <f>IF($F2816="","",IF($F2816&lt;1,ROUND($F2816*1440,0),INT($F2816/100)*60+MOD($F2816,100)))</f>
        <v/>
      </c>
      <c r="K2816" s="41" t="str">
        <f>IF($G2816="","",IF($G2816&lt;1,ROUND($G2816*1440,0),INT($G2816/100)*60+MOD($G2816,100)))</f>
        <v/>
      </c>
    </row>
    <row r="2817" ht="15" customHeight="1" s="26">
      <c r="A2817" s="34" t="n"/>
      <c r="B2817" s="32" t="n"/>
      <c r="C2817" s="33" t="n"/>
      <c r="D2817" s="37" t="str">
        <f>IF($C2817="","",IFERROR(INDEX(프로젝트목록!$B$3:$B$62,MATCH($C2817,프로젝트목록!$A$3:$A$62,0)),"미등록코드"))</f>
        <v/>
      </c>
      <c r="E2817" s="32" t="n"/>
      <c r="F2817" s="38" t="n"/>
      <c r="G2817" s="38" t="n"/>
      <c r="H2817" s="39" t="n"/>
      <c r="I2817" s="40" t="str">
        <f>IF(OR($J2817="",$K2817=""),"",ROUND(MAX(0,($K2817-$J2817)-IF($H2817="",0,$H2817))/60,2))</f>
        <v/>
      </c>
      <c r="J2817" s="41" t="str">
        <f>IF($F2817="","",IF($F2817&lt;1,ROUND($F2817*1440,0),INT($F2817/100)*60+MOD($F2817,100)))</f>
        <v/>
      </c>
      <c r="K2817" s="41" t="str">
        <f>IF($G2817="","",IF($G2817&lt;1,ROUND($G2817*1440,0),INT($G2817/100)*60+MOD($G2817,100)))</f>
        <v/>
      </c>
    </row>
    <row r="2818" ht="15" customHeight="1" s="26">
      <c r="A2818" s="34" t="n"/>
      <c r="B2818" s="32" t="n"/>
      <c r="C2818" s="33" t="n"/>
      <c r="D2818" s="37" t="str">
        <f>IF($C2818="","",IFERROR(INDEX(프로젝트목록!$B$3:$B$62,MATCH($C2818,프로젝트목록!$A$3:$A$62,0)),"미등록코드"))</f>
        <v/>
      </c>
      <c r="E2818" s="32" t="n"/>
      <c r="F2818" s="38" t="n"/>
      <c r="G2818" s="38" t="n"/>
      <c r="H2818" s="39" t="n"/>
      <c r="I2818" s="40" t="str">
        <f>IF(OR($J2818="",$K2818=""),"",ROUND(MAX(0,($K2818-$J2818)-IF($H2818="",0,$H2818))/60,2))</f>
        <v/>
      </c>
      <c r="J2818" s="41" t="str">
        <f>IF($F2818="","",IF($F2818&lt;1,ROUND($F2818*1440,0),INT($F2818/100)*60+MOD($F2818,100)))</f>
        <v/>
      </c>
      <c r="K2818" s="41" t="str">
        <f>IF($G2818="","",IF($G2818&lt;1,ROUND($G2818*1440,0),INT($G2818/100)*60+MOD($G2818,100)))</f>
        <v/>
      </c>
    </row>
    <row r="2819" ht="15" customHeight="1" s="26">
      <c r="A2819" s="34" t="n"/>
      <c r="B2819" s="32" t="n"/>
      <c r="C2819" s="33" t="n"/>
      <c r="D2819" s="37" t="str">
        <f>IF($C2819="","",IFERROR(INDEX(프로젝트목록!$B$3:$B$62,MATCH($C2819,프로젝트목록!$A$3:$A$62,0)),"미등록코드"))</f>
        <v/>
      </c>
      <c r="E2819" s="32" t="n"/>
      <c r="F2819" s="38" t="n"/>
      <c r="G2819" s="38" t="n"/>
      <c r="H2819" s="39" t="n"/>
      <c r="I2819" s="40" t="str">
        <f>IF(OR($J2819="",$K2819=""),"",ROUND(MAX(0,($K2819-$J2819)-IF($H2819="",0,$H2819))/60,2))</f>
        <v/>
      </c>
      <c r="J2819" s="41" t="str">
        <f>IF($F2819="","",IF($F2819&lt;1,ROUND($F2819*1440,0),INT($F2819/100)*60+MOD($F2819,100)))</f>
        <v/>
      </c>
      <c r="K2819" s="41" t="str">
        <f>IF($G2819="","",IF($G2819&lt;1,ROUND($G2819*1440,0),INT($G2819/100)*60+MOD($G2819,100)))</f>
        <v/>
      </c>
    </row>
    <row r="2820" ht="15" customHeight="1" s="26">
      <c r="A2820" s="34" t="n"/>
      <c r="B2820" s="32" t="n"/>
      <c r="C2820" s="33" t="n"/>
      <c r="D2820" s="37" t="str">
        <f>IF($C2820="","",IFERROR(INDEX(프로젝트목록!$B$3:$B$62,MATCH($C2820,프로젝트목록!$A$3:$A$62,0)),"미등록코드"))</f>
        <v/>
      </c>
      <c r="E2820" s="32" t="n"/>
      <c r="F2820" s="38" t="n"/>
      <c r="G2820" s="38" t="n"/>
      <c r="H2820" s="39" t="n"/>
      <c r="I2820" s="40" t="str">
        <f>IF(OR($J2820="",$K2820=""),"",ROUND(MAX(0,($K2820-$J2820)-IF($H2820="",0,$H2820))/60,2))</f>
        <v/>
      </c>
      <c r="J2820" s="41" t="str">
        <f>IF($F2820="","",IF($F2820&lt;1,ROUND($F2820*1440,0),INT($F2820/100)*60+MOD($F2820,100)))</f>
        <v/>
      </c>
      <c r="K2820" s="41" t="str">
        <f>IF($G2820="","",IF($G2820&lt;1,ROUND($G2820*1440,0),INT($G2820/100)*60+MOD($G2820,100)))</f>
        <v/>
      </c>
    </row>
    <row r="2821" ht="15" customHeight="1" s="26">
      <c r="A2821" s="34" t="n"/>
      <c r="B2821" s="32" t="n"/>
      <c r="C2821" s="33" t="n"/>
      <c r="D2821" s="37" t="str">
        <f>IF($C2821="","",IFERROR(INDEX(프로젝트목록!$B$3:$B$62,MATCH($C2821,프로젝트목록!$A$3:$A$62,0)),"미등록코드"))</f>
        <v/>
      </c>
      <c r="E2821" s="32" t="n"/>
      <c r="F2821" s="38" t="n"/>
      <c r="G2821" s="38" t="n"/>
      <c r="H2821" s="39" t="n"/>
      <c r="I2821" s="40" t="str">
        <f>IF(OR($J2821="",$K2821=""),"",ROUND(MAX(0,($K2821-$J2821)-IF($H2821="",0,$H2821))/60,2))</f>
        <v/>
      </c>
      <c r="J2821" s="41" t="str">
        <f>IF($F2821="","",IF($F2821&lt;1,ROUND($F2821*1440,0),INT($F2821/100)*60+MOD($F2821,100)))</f>
        <v/>
      </c>
      <c r="K2821" s="41" t="str">
        <f>IF($G2821="","",IF($G2821&lt;1,ROUND($G2821*1440,0),INT($G2821/100)*60+MOD($G2821,100)))</f>
        <v/>
      </c>
    </row>
    <row r="2822" ht="15" customHeight="1" s="26">
      <c r="A2822" s="34" t="n"/>
      <c r="B2822" s="32" t="n"/>
      <c r="C2822" s="33" t="n"/>
      <c r="D2822" s="37" t="str">
        <f>IF($C2822="","",IFERROR(INDEX(프로젝트목록!$B$3:$B$62,MATCH($C2822,프로젝트목록!$A$3:$A$62,0)),"미등록코드"))</f>
        <v/>
      </c>
      <c r="E2822" s="32" t="n"/>
      <c r="F2822" s="38" t="n"/>
      <c r="G2822" s="38" t="n"/>
      <c r="H2822" s="39" t="n"/>
      <c r="I2822" s="40" t="str">
        <f>IF(OR($J2822="",$K2822=""),"",ROUND(MAX(0,($K2822-$J2822)-IF($H2822="",0,$H2822))/60,2))</f>
        <v/>
      </c>
      <c r="J2822" s="41" t="str">
        <f>IF($F2822="","",IF($F2822&lt;1,ROUND($F2822*1440,0),INT($F2822/100)*60+MOD($F2822,100)))</f>
        <v/>
      </c>
      <c r="K2822" s="41" t="str">
        <f>IF($G2822="","",IF($G2822&lt;1,ROUND($G2822*1440,0),INT($G2822/100)*60+MOD($G2822,100)))</f>
        <v/>
      </c>
    </row>
    <row r="2823" ht="15" customHeight="1" s="26">
      <c r="A2823" s="34" t="n"/>
      <c r="B2823" s="32" t="n"/>
      <c r="C2823" s="33" t="n"/>
      <c r="D2823" s="37" t="str">
        <f>IF($C2823="","",IFERROR(INDEX(프로젝트목록!$B$3:$B$62,MATCH($C2823,프로젝트목록!$A$3:$A$62,0)),"미등록코드"))</f>
        <v/>
      </c>
      <c r="E2823" s="32" t="n"/>
      <c r="F2823" s="38" t="n"/>
      <c r="G2823" s="38" t="n"/>
      <c r="H2823" s="39" t="n"/>
      <c r="I2823" s="40" t="str">
        <f>IF(OR($J2823="",$K2823=""),"",ROUND(MAX(0,($K2823-$J2823)-IF($H2823="",0,$H2823))/60,2))</f>
        <v/>
      </c>
      <c r="J2823" s="41" t="str">
        <f>IF($F2823="","",IF($F2823&lt;1,ROUND($F2823*1440,0),INT($F2823/100)*60+MOD($F2823,100)))</f>
        <v/>
      </c>
      <c r="K2823" s="41" t="str">
        <f>IF($G2823="","",IF($G2823&lt;1,ROUND($G2823*1440,0),INT($G2823/100)*60+MOD($G2823,100)))</f>
        <v/>
      </c>
    </row>
    <row r="2824" ht="15" customHeight="1" s="26">
      <c r="A2824" s="34" t="n"/>
      <c r="B2824" s="32" t="n"/>
      <c r="C2824" s="33" t="n"/>
      <c r="D2824" s="37" t="str">
        <f>IF($C2824="","",IFERROR(INDEX(프로젝트목록!$B$3:$B$62,MATCH($C2824,프로젝트목록!$A$3:$A$62,0)),"미등록코드"))</f>
        <v/>
      </c>
      <c r="E2824" s="32" t="n"/>
      <c r="F2824" s="38" t="n"/>
      <c r="G2824" s="38" t="n"/>
      <c r="H2824" s="39" t="n"/>
      <c r="I2824" s="40" t="str">
        <f>IF(OR($J2824="",$K2824=""),"",ROUND(MAX(0,($K2824-$J2824)-IF($H2824="",0,$H2824))/60,2))</f>
        <v/>
      </c>
      <c r="J2824" s="41" t="str">
        <f>IF($F2824="","",IF($F2824&lt;1,ROUND($F2824*1440,0),INT($F2824/100)*60+MOD($F2824,100)))</f>
        <v/>
      </c>
      <c r="K2824" s="41" t="str">
        <f>IF($G2824="","",IF($G2824&lt;1,ROUND($G2824*1440,0),INT($G2824/100)*60+MOD($G2824,100)))</f>
        <v/>
      </c>
    </row>
    <row r="2825" ht="15" customHeight="1" s="26">
      <c r="A2825" s="34" t="n"/>
      <c r="B2825" s="32" t="n"/>
      <c r="C2825" s="33" t="n"/>
      <c r="D2825" s="37" t="str">
        <f>IF($C2825="","",IFERROR(INDEX(프로젝트목록!$B$3:$B$62,MATCH($C2825,프로젝트목록!$A$3:$A$62,0)),"미등록코드"))</f>
        <v/>
      </c>
      <c r="E2825" s="32" t="n"/>
      <c r="F2825" s="38" t="n"/>
      <c r="G2825" s="38" t="n"/>
      <c r="H2825" s="39" t="n"/>
      <c r="I2825" s="40" t="str">
        <f>IF(OR($J2825="",$K2825=""),"",ROUND(MAX(0,($K2825-$J2825)-IF($H2825="",0,$H2825))/60,2))</f>
        <v/>
      </c>
      <c r="J2825" s="41" t="str">
        <f>IF($F2825="","",IF($F2825&lt;1,ROUND($F2825*1440,0),INT($F2825/100)*60+MOD($F2825,100)))</f>
        <v/>
      </c>
      <c r="K2825" s="41" t="str">
        <f>IF($G2825="","",IF($G2825&lt;1,ROUND($G2825*1440,0),INT($G2825/100)*60+MOD($G2825,100)))</f>
        <v/>
      </c>
    </row>
    <row r="2826" ht="15" customHeight="1" s="26">
      <c r="A2826" s="34" t="n"/>
      <c r="B2826" s="32" t="n"/>
      <c r="C2826" s="33" t="n"/>
      <c r="D2826" s="37" t="str">
        <f>IF($C2826="","",IFERROR(INDEX(프로젝트목록!$B$3:$B$62,MATCH($C2826,프로젝트목록!$A$3:$A$62,0)),"미등록코드"))</f>
        <v/>
      </c>
      <c r="E2826" s="32" t="n"/>
      <c r="F2826" s="38" t="n"/>
      <c r="G2826" s="38" t="n"/>
      <c r="H2826" s="39" t="n"/>
      <c r="I2826" s="40" t="str">
        <f>IF(OR($J2826="",$K2826=""),"",ROUND(MAX(0,($K2826-$J2826)-IF($H2826="",0,$H2826))/60,2))</f>
        <v/>
      </c>
      <c r="J2826" s="41" t="str">
        <f>IF($F2826="","",IF($F2826&lt;1,ROUND($F2826*1440,0),INT($F2826/100)*60+MOD($F2826,100)))</f>
        <v/>
      </c>
      <c r="K2826" s="41" t="str">
        <f>IF($G2826="","",IF($G2826&lt;1,ROUND($G2826*1440,0),INT($G2826/100)*60+MOD($G2826,100)))</f>
        <v/>
      </c>
    </row>
    <row r="2827" ht="15" customHeight="1" s="26">
      <c r="A2827" s="34" t="n"/>
      <c r="B2827" s="32" t="n"/>
      <c r="C2827" s="33" t="n"/>
      <c r="D2827" s="37" t="str">
        <f>IF($C2827="","",IFERROR(INDEX(프로젝트목록!$B$3:$B$62,MATCH($C2827,프로젝트목록!$A$3:$A$62,0)),"미등록코드"))</f>
        <v/>
      </c>
      <c r="E2827" s="32" t="n"/>
      <c r="F2827" s="38" t="n"/>
      <c r="G2827" s="38" t="n"/>
      <c r="H2827" s="39" t="n"/>
      <c r="I2827" s="40" t="str">
        <f>IF(OR($J2827="",$K2827=""),"",ROUND(MAX(0,($K2827-$J2827)-IF($H2827="",0,$H2827))/60,2))</f>
        <v/>
      </c>
      <c r="J2827" s="41" t="str">
        <f>IF($F2827="","",IF($F2827&lt;1,ROUND($F2827*1440,0),INT($F2827/100)*60+MOD($F2827,100)))</f>
        <v/>
      </c>
      <c r="K2827" s="41" t="str">
        <f>IF($G2827="","",IF($G2827&lt;1,ROUND($G2827*1440,0),INT($G2827/100)*60+MOD($G2827,100)))</f>
        <v/>
      </c>
    </row>
    <row r="2828" ht="15" customHeight="1" s="26">
      <c r="A2828" s="34" t="n"/>
      <c r="B2828" s="32" t="n"/>
      <c r="C2828" s="33" t="n"/>
      <c r="D2828" s="37" t="str">
        <f>IF($C2828="","",IFERROR(INDEX(프로젝트목록!$B$3:$B$62,MATCH($C2828,프로젝트목록!$A$3:$A$62,0)),"미등록코드"))</f>
        <v/>
      </c>
      <c r="E2828" s="32" t="n"/>
      <c r="F2828" s="38" t="n"/>
      <c r="G2828" s="38" t="n"/>
      <c r="H2828" s="39" t="n"/>
      <c r="I2828" s="40" t="str">
        <f>IF(OR($J2828="",$K2828=""),"",ROUND(MAX(0,($K2828-$J2828)-IF($H2828="",0,$H2828))/60,2))</f>
        <v/>
      </c>
      <c r="J2828" s="41" t="str">
        <f>IF($F2828="","",IF($F2828&lt;1,ROUND($F2828*1440,0),INT($F2828/100)*60+MOD($F2828,100)))</f>
        <v/>
      </c>
      <c r="K2828" s="41" t="str">
        <f>IF($G2828="","",IF($G2828&lt;1,ROUND($G2828*1440,0),INT($G2828/100)*60+MOD($G2828,100)))</f>
        <v/>
      </c>
    </row>
    <row r="2829" ht="15" customHeight="1" s="26">
      <c r="A2829" s="34" t="n"/>
      <c r="B2829" s="32" t="n"/>
      <c r="C2829" s="33" t="n"/>
      <c r="D2829" s="37" t="str">
        <f>IF($C2829="","",IFERROR(INDEX(프로젝트목록!$B$3:$B$62,MATCH($C2829,프로젝트목록!$A$3:$A$62,0)),"미등록코드"))</f>
        <v/>
      </c>
      <c r="E2829" s="32" t="n"/>
      <c r="F2829" s="38" t="n"/>
      <c r="G2829" s="38" t="n"/>
      <c r="H2829" s="39" t="n"/>
      <c r="I2829" s="40" t="str">
        <f>IF(OR($J2829="",$K2829=""),"",ROUND(MAX(0,($K2829-$J2829)-IF($H2829="",0,$H2829))/60,2))</f>
        <v/>
      </c>
      <c r="J2829" s="41" t="str">
        <f>IF($F2829="","",IF($F2829&lt;1,ROUND($F2829*1440,0),INT($F2829/100)*60+MOD($F2829,100)))</f>
        <v/>
      </c>
      <c r="K2829" s="41" t="str">
        <f>IF($G2829="","",IF($G2829&lt;1,ROUND($G2829*1440,0),INT($G2829/100)*60+MOD($G2829,100)))</f>
        <v/>
      </c>
    </row>
    <row r="2830" ht="15" customHeight="1" s="26">
      <c r="A2830" s="34" t="n"/>
      <c r="B2830" s="32" t="n"/>
      <c r="C2830" s="33" t="n"/>
      <c r="D2830" s="37" t="str">
        <f>IF($C2830="","",IFERROR(INDEX(프로젝트목록!$B$3:$B$62,MATCH($C2830,프로젝트목록!$A$3:$A$62,0)),"미등록코드"))</f>
        <v/>
      </c>
      <c r="E2830" s="32" t="n"/>
      <c r="F2830" s="38" t="n"/>
      <c r="G2830" s="38" t="n"/>
      <c r="H2830" s="39" t="n"/>
      <c r="I2830" s="40" t="str">
        <f>IF(OR($J2830="",$K2830=""),"",ROUND(MAX(0,($K2830-$J2830)-IF($H2830="",0,$H2830))/60,2))</f>
        <v/>
      </c>
      <c r="J2830" s="41" t="str">
        <f>IF($F2830="","",IF($F2830&lt;1,ROUND($F2830*1440,0),INT($F2830/100)*60+MOD($F2830,100)))</f>
        <v/>
      </c>
      <c r="K2830" s="41" t="str">
        <f>IF($G2830="","",IF($G2830&lt;1,ROUND($G2830*1440,0),INT($G2830/100)*60+MOD($G2830,100)))</f>
        <v/>
      </c>
    </row>
    <row r="2831" ht="15" customHeight="1" s="26">
      <c r="A2831" s="34" t="n"/>
      <c r="B2831" s="32" t="n"/>
      <c r="C2831" s="33" t="n"/>
      <c r="D2831" s="37" t="str">
        <f>IF($C2831="","",IFERROR(INDEX(프로젝트목록!$B$3:$B$62,MATCH($C2831,프로젝트목록!$A$3:$A$62,0)),"미등록코드"))</f>
        <v/>
      </c>
      <c r="E2831" s="32" t="n"/>
      <c r="F2831" s="38" t="n"/>
      <c r="G2831" s="38" t="n"/>
      <c r="H2831" s="39" t="n"/>
      <c r="I2831" s="40" t="str">
        <f>IF(OR($J2831="",$K2831=""),"",ROUND(MAX(0,($K2831-$J2831)-IF($H2831="",0,$H2831))/60,2))</f>
        <v/>
      </c>
      <c r="J2831" s="41" t="str">
        <f>IF($F2831="","",IF($F2831&lt;1,ROUND($F2831*1440,0),INT($F2831/100)*60+MOD($F2831,100)))</f>
        <v/>
      </c>
      <c r="K2831" s="41" t="str">
        <f>IF($G2831="","",IF($G2831&lt;1,ROUND($G2831*1440,0),INT($G2831/100)*60+MOD($G2831,100)))</f>
        <v/>
      </c>
    </row>
    <row r="2832" ht="15" customHeight="1" s="26">
      <c r="A2832" s="34" t="n"/>
      <c r="B2832" s="32" t="n"/>
      <c r="C2832" s="33" t="n"/>
      <c r="D2832" s="37" t="str">
        <f>IF($C2832="","",IFERROR(INDEX(프로젝트목록!$B$3:$B$62,MATCH($C2832,프로젝트목록!$A$3:$A$62,0)),"미등록코드"))</f>
        <v/>
      </c>
      <c r="E2832" s="32" t="n"/>
      <c r="F2832" s="38" t="n"/>
      <c r="G2832" s="38" t="n"/>
      <c r="H2832" s="39" t="n"/>
      <c r="I2832" s="40" t="str">
        <f>IF(OR($J2832="",$K2832=""),"",ROUND(MAX(0,($K2832-$J2832)-IF($H2832="",0,$H2832))/60,2))</f>
        <v/>
      </c>
      <c r="J2832" s="41" t="str">
        <f>IF($F2832="","",IF($F2832&lt;1,ROUND($F2832*1440,0),INT($F2832/100)*60+MOD($F2832,100)))</f>
        <v/>
      </c>
      <c r="K2832" s="41" t="str">
        <f>IF($G2832="","",IF($G2832&lt;1,ROUND($G2832*1440,0),INT($G2832/100)*60+MOD($G2832,100)))</f>
        <v/>
      </c>
    </row>
    <row r="2833" ht="15" customHeight="1" s="26">
      <c r="A2833" s="34" t="n"/>
      <c r="B2833" s="32" t="n"/>
      <c r="C2833" s="33" t="n"/>
      <c r="D2833" s="37" t="str">
        <f>IF($C2833="","",IFERROR(INDEX(프로젝트목록!$B$3:$B$62,MATCH($C2833,프로젝트목록!$A$3:$A$62,0)),"미등록코드"))</f>
        <v/>
      </c>
      <c r="E2833" s="32" t="n"/>
      <c r="F2833" s="38" t="n"/>
      <c r="G2833" s="38" t="n"/>
      <c r="H2833" s="39" t="n"/>
      <c r="I2833" s="40" t="str">
        <f>IF(OR($J2833="",$K2833=""),"",ROUND(MAX(0,($K2833-$J2833)-IF($H2833="",0,$H2833))/60,2))</f>
        <v/>
      </c>
      <c r="J2833" s="41" t="str">
        <f>IF($F2833="","",IF($F2833&lt;1,ROUND($F2833*1440,0),INT($F2833/100)*60+MOD($F2833,100)))</f>
        <v/>
      </c>
      <c r="K2833" s="41" t="str">
        <f>IF($G2833="","",IF($G2833&lt;1,ROUND($G2833*1440,0),INT($G2833/100)*60+MOD($G2833,100)))</f>
        <v/>
      </c>
    </row>
    <row r="2834" ht="15" customHeight="1" s="26">
      <c r="A2834" s="34" t="n"/>
      <c r="B2834" s="32" t="n"/>
      <c r="C2834" s="33" t="n"/>
      <c r="D2834" s="37" t="str">
        <f>IF($C2834="","",IFERROR(INDEX(프로젝트목록!$B$3:$B$62,MATCH($C2834,프로젝트목록!$A$3:$A$62,0)),"미등록코드"))</f>
        <v/>
      </c>
      <c r="E2834" s="32" t="n"/>
      <c r="F2834" s="38" t="n"/>
      <c r="G2834" s="38" t="n"/>
      <c r="H2834" s="39" t="n"/>
      <c r="I2834" s="40" t="str">
        <f>IF(OR($J2834="",$K2834=""),"",ROUND(MAX(0,($K2834-$J2834)-IF($H2834="",0,$H2834))/60,2))</f>
        <v/>
      </c>
      <c r="J2834" s="41" t="str">
        <f>IF($F2834="","",IF($F2834&lt;1,ROUND($F2834*1440,0),INT($F2834/100)*60+MOD($F2834,100)))</f>
        <v/>
      </c>
      <c r="K2834" s="41" t="str">
        <f>IF($G2834="","",IF($G2834&lt;1,ROUND($G2834*1440,0),INT($G2834/100)*60+MOD($G2834,100)))</f>
        <v/>
      </c>
    </row>
    <row r="2835" ht="15" customHeight="1" s="26">
      <c r="A2835" s="34" t="n"/>
      <c r="B2835" s="32" t="n"/>
      <c r="C2835" s="33" t="n"/>
      <c r="D2835" s="37" t="str">
        <f>IF($C2835="","",IFERROR(INDEX(프로젝트목록!$B$3:$B$62,MATCH($C2835,프로젝트목록!$A$3:$A$62,0)),"미등록코드"))</f>
        <v/>
      </c>
      <c r="E2835" s="32" t="n"/>
      <c r="F2835" s="38" t="n"/>
      <c r="G2835" s="38" t="n"/>
      <c r="H2835" s="39" t="n"/>
      <c r="I2835" s="40" t="str">
        <f>IF(OR($J2835="",$K2835=""),"",ROUND(MAX(0,($K2835-$J2835)-IF($H2835="",0,$H2835))/60,2))</f>
        <v/>
      </c>
      <c r="J2835" s="41" t="str">
        <f>IF($F2835="","",IF($F2835&lt;1,ROUND($F2835*1440,0),INT($F2835/100)*60+MOD($F2835,100)))</f>
        <v/>
      </c>
      <c r="K2835" s="41" t="str">
        <f>IF($G2835="","",IF($G2835&lt;1,ROUND($G2835*1440,0),INT($G2835/100)*60+MOD($G2835,100)))</f>
        <v/>
      </c>
    </row>
    <row r="2836" ht="15" customHeight="1" s="26">
      <c r="A2836" s="34" t="n"/>
      <c r="B2836" s="32" t="n"/>
      <c r="C2836" s="33" t="n"/>
      <c r="D2836" s="37" t="str">
        <f>IF($C2836="","",IFERROR(INDEX(프로젝트목록!$B$3:$B$62,MATCH($C2836,프로젝트목록!$A$3:$A$62,0)),"미등록코드"))</f>
        <v/>
      </c>
      <c r="E2836" s="32" t="n"/>
      <c r="F2836" s="38" t="n"/>
      <c r="G2836" s="38" t="n"/>
      <c r="H2836" s="39" t="n"/>
      <c r="I2836" s="40" t="str">
        <f>IF(OR($J2836="",$K2836=""),"",ROUND(MAX(0,($K2836-$J2836)-IF($H2836="",0,$H2836))/60,2))</f>
        <v/>
      </c>
      <c r="J2836" s="41" t="str">
        <f>IF($F2836="","",IF($F2836&lt;1,ROUND($F2836*1440,0),INT($F2836/100)*60+MOD($F2836,100)))</f>
        <v/>
      </c>
      <c r="K2836" s="41" t="str">
        <f>IF($G2836="","",IF($G2836&lt;1,ROUND($G2836*1440,0),INT($G2836/100)*60+MOD($G2836,100)))</f>
        <v/>
      </c>
    </row>
    <row r="2837" ht="15" customHeight="1" s="26">
      <c r="A2837" s="34" t="n"/>
      <c r="B2837" s="32" t="n"/>
      <c r="C2837" s="33" t="n"/>
      <c r="D2837" s="37" t="str">
        <f>IF($C2837="","",IFERROR(INDEX(프로젝트목록!$B$3:$B$62,MATCH($C2837,프로젝트목록!$A$3:$A$62,0)),"미등록코드"))</f>
        <v/>
      </c>
      <c r="E2837" s="32" t="n"/>
      <c r="F2837" s="38" t="n"/>
      <c r="G2837" s="38" t="n"/>
      <c r="H2837" s="39" t="n"/>
      <c r="I2837" s="40" t="str">
        <f>IF(OR($J2837="",$K2837=""),"",ROUND(MAX(0,($K2837-$J2837)-IF($H2837="",0,$H2837))/60,2))</f>
        <v/>
      </c>
      <c r="J2837" s="41" t="str">
        <f>IF($F2837="","",IF($F2837&lt;1,ROUND($F2837*1440,0),INT($F2837/100)*60+MOD($F2837,100)))</f>
        <v/>
      </c>
      <c r="K2837" s="41" t="str">
        <f>IF($G2837="","",IF($G2837&lt;1,ROUND($G2837*1440,0),INT($G2837/100)*60+MOD($G2837,100)))</f>
        <v/>
      </c>
    </row>
    <row r="2838" ht="15" customHeight="1" s="26">
      <c r="A2838" s="34" t="n"/>
      <c r="B2838" s="32" t="n"/>
      <c r="C2838" s="33" t="n"/>
      <c r="D2838" s="37" t="str">
        <f>IF($C2838="","",IFERROR(INDEX(프로젝트목록!$B$3:$B$62,MATCH($C2838,프로젝트목록!$A$3:$A$62,0)),"미등록코드"))</f>
        <v/>
      </c>
      <c r="E2838" s="32" t="n"/>
      <c r="F2838" s="38" t="n"/>
      <c r="G2838" s="38" t="n"/>
      <c r="H2838" s="39" t="n"/>
      <c r="I2838" s="40" t="str">
        <f>IF(OR($J2838="",$K2838=""),"",ROUND(MAX(0,($K2838-$J2838)-IF($H2838="",0,$H2838))/60,2))</f>
        <v/>
      </c>
      <c r="J2838" s="41" t="str">
        <f>IF($F2838="","",IF($F2838&lt;1,ROUND($F2838*1440,0),INT($F2838/100)*60+MOD($F2838,100)))</f>
        <v/>
      </c>
      <c r="K2838" s="41" t="str">
        <f>IF($G2838="","",IF($G2838&lt;1,ROUND($G2838*1440,0),INT($G2838/100)*60+MOD($G2838,100)))</f>
        <v/>
      </c>
    </row>
    <row r="2839" ht="15" customHeight="1" s="26">
      <c r="A2839" s="34" t="n"/>
      <c r="B2839" s="32" t="n"/>
      <c r="C2839" s="33" t="n"/>
      <c r="D2839" s="37" t="str">
        <f>IF($C2839="","",IFERROR(INDEX(프로젝트목록!$B$3:$B$62,MATCH($C2839,프로젝트목록!$A$3:$A$62,0)),"미등록코드"))</f>
        <v/>
      </c>
      <c r="E2839" s="32" t="n"/>
      <c r="F2839" s="38" t="n"/>
      <c r="G2839" s="38" t="n"/>
      <c r="H2839" s="39" t="n"/>
      <c r="I2839" s="40" t="str">
        <f>IF(OR($J2839="",$K2839=""),"",ROUND(MAX(0,($K2839-$J2839)-IF($H2839="",0,$H2839))/60,2))</f>
        <v/>
      </c>
      <c r="J2839" s="41" t="str">
        <f>IF($F2839="","",IF($F2839&lt;1,ROUND($F2839*1440,0),INT($F2839/100)*60+MOD($F2839,100)))</f>
        <v/>
      </c>
      <c r="K2839" s="41" t="str">
        <f>IF($G2839="","",IF($G2839&lt;1,ROUND($G2839*1440,0),INT($G2839/100)*60+MOD($G2839,100)))</f>
        <v/>
      </c>
    </row>
    <row r="2840" ht="15" customHeight="1" s="26">
      <c r="A2840" s="34" t="n"/>
      <c r="B2840" s="32" t="n"/>
      <c r="C2840" s="33" t="n"/>
      <c r="D2840" s="37" t="str">
        <f>IF($C2840="","",IFERROR(INDEX(프로젝트목록!$B$3:$B$62,MATCH($C2840,프로젝트목록!$A$3:$A$62,0)),"미등록코드"))</f>
        <v/>
      </c>
      <c r="E2840" s="32" t="n"/>
      <c r="F2840" s="38" t="n"/>
      <c r="G2840" s="38" t="n"/>
      <c r="H2840" s="39" t="n"/>
      <c r="I2840" s="40" t="str">
        <f>IF(OR($J2840="",$K2840=""),"",ROUND(MAX(0,($K2840-$J2840)-IF($H2840="",0,$H2840))/60,2))</f>
        <v/>
      </c>
      <c r="J2840" s="41" t="str">
        <f>IF($F2840="","",IF($F2840&lt;1,ROUND($F2840*1440,0),INT($F2840/100)*60+MOD($F2840,100)))</f>
        <v/>
      </c>
      <c r="K2840" s="41" t="str">
        <f>IF($G2840="","",IF($G2840&lt;1,ROUND($G2840*1440,0),INT($G2840/100)*60+MOD($G2840,100)))</f>
        <v/>
      </c>
    </row>
    <row r="2841" ht="15" customHeight="1" s="26">
      <c r="A2841" s="34" t="n"/>
      <c r="B2841" s="32" t="n"/>
      <c r="C2841" s="33" t="n"/>
      <c r="D2841" s="37" t="str">
        <f>IF($C2841="","",IFERROR(INDEX(프로젝트목록!$B$3:$B$62,MATCH($C2841,프로젝트목록!$A$3:$A$62,0)),"미등록코드"))</f>
        <v/>
      </c>
      <c r="E2841" s="32" t="n"/>
      <c r="F2841" s="38" t="n"/>
      <c r="G2841" s="38" t="n"/>
      <c r="H2841" s="39" t="n"/>
      <c r="I2841" s="40" t="str">
        <f>IF(OR($J2841="",$K2841=""),"",ROUND(MAX(0,($K2841-$J2841)-IF($H2841="",0,$H2841))/60,2))</f>
        <v/>
      </c>
      <c r="J2841" s="41" t="str">
        <f>IF($F2841="","",IF($F2841&lt;1,ROUND($F2841*1440,0),INT($F2841/100)*60+MOD($F2841,100)))</f>
        <v/>
      </c>
      <c r="K2841" s="41" t="str">
        <f>IF($G2841="","",IF($G2841&lt;1,ROUND($G2841*1440,0),INT($G2841/100)*60+MOD($G2841,100)))</f>
        <v/>
      </c>
    </row>
    <row r="2842" ht="15" customHeight="1" s="26">
      <c r="A2842" s="34" t="n"/>
      <c r="B2842" s="32" t="n"/>
      <c r="C2842" s="33" t="n"/>
      <c r="D2842" s="37" t="str">
        <f>IF($C2842="","",IFERROR(INDEX(프로젝트목록!$B$3:$B$62,MATCH($C2842,프로젝트목록!$A$3:$A$62,0)),"미등록코드"))</f>
        <v/>
      </c>
      <c r="E2842" s="32" t="n"/>
      <c r="F2842" s="38" t="n"/>
      <c r="G2842" s="38" t="n"/>
      <c r="H2842" s="39" t="n"/>
      <c r="I2842" s="40" t="str">
        <f>IF(OR($J2842="",$K2842=""),"",ROUND(MAX(0,($K2842-$J2842)-IF($H2842="",0,$H2842))/60,2))</f>
        <v/>
      </c>
      <c r="J2842" s="41" t="str">
        <f>IF($F2842="","",IF($F2842&lt;1,ROUND($F2842*1440,0),INT($F2842/100)*60+MOD($F2842,100)))</f>
        <v/>
      </c>
      <c r="K2842" s="41" t="str">
        <f>IF($G2842="","",IF($G2842&lt;1,ROUND($G2842*1440,0),INT($G2842/100)*60+MOD($G2842,100)))</f>
        <v/>
      </c>
    </row>
    <row r="2843" ht="15" customHeight="1" s="26">
      <c r="A2843" s="34" t="n"/>
      <c r="B2843" s="32" t="n"/>
      <c r="C2843" s="33" t="n"/>
      <c r="D2843" s="37" t="str">
        <f>IF($C2843="","",IFERROR(INDEX(프로젝트목록!$B$3:$B$62,MATCH($C2843,프로젝트목록!$A$3:$A$62,0)),"미등록코드"))</f>
        <v/>
      </c>
      <c r="E2843" s="32" t="n"/>
      <c r="F2843" s="38" t="n"/>
      <c r="G2843" s="38" t="n"/>
      <c r="H2843" s="39" t="n"/>
      <c r="I2843" s="40" t="str">
        <f>IF(OR($J2843="",$K2843=""),"",ROUND(MAX(0,($K2843-$J2843)-IF($H2843="",0,$H2843))/60,2))</f>
        <v/>
      </c>
      <c r="J2843" s="41" t="str">
        <f>IF($F2843="","",IF($F2843&lt;1,ROUND($F2843*1440,0),INT($F2843/100)*60+MOD($F2843,100)))</f>
        <v/>
      </c>
      <c r="K2843" s="41" t="str">
        <f>IF($G2843="","",IF($G2843&lt;1,ROUND($G2843*1440,0),INT($G2843/100)*60+MOD($G2843,100)))</f>
        <v/>
      </c>
    </row>
    <row r="2844" ht="15" customHeight="1" s="26">
      <c r="A2844" s="34" t="n"/>
      <c r="B2844" s="32" t="n"/>
      <c r="C2844" s="33" t="n"/>
      <c r="D2844" s="37" t="str">
        <f>IF($C2844="","",IFERROR(INDEX(프로젝트목록!$B$3:$B$62,MATCH($C2844,프로젝트목록!$A$3:$A$62,0)),"미등록코드"))</f>
        <v/>
      </c>
      <c r="E2844" s="32" t="n"/>
      <c r="F2844" s="38" t="n"/>
      <c r="G2844" s="38" t="n"/>
      <c r="H2844" s="39" t="n"/>
      <c r="I2844" s="40" t="str">
        <f>IF(OR($J2844="",$K2844=""),"",ROUND(MAX(0,($K2844-$J2844)-IF($H2844="",0,$H2844))/60,2))</f>
        <v/>
      </c>
      <c r="J2844" s="41" t="str">
        <f>IF($F2844="","",IF($F2844&lt;1,ROUND($F2844*1440,0),INT($F2844/100)*60+MOD($F2844,100)))</f>
        <v/>
      </c>
      <c r="K2844" s="41" t="str">
        <f>IF($G2844="","",IF($G2844&lt;1,ROUND($G2844*1440,0),INT($G2844/100)*60+MOD($G2844,100)))</f>
        <v/>
      </c>
    </row>
    <row r="2845" ht="15" customHeight="1" s="26">
      <c r="A2845" s="34" t="n"/>
      <c r="B2845" s="32" t="n"/>
      <c r="C2845" s="33" t="n"/>
      <c r="D2845" s="37" t="str">
        <f>IF($C2845="","",IFERROR(INDEX(프로젝트목록!$B$3:$B$62,MATCH($C2845,프로젝트목록!$A$3:$A$62,0)),"미등록코드"))</f>
        <v/>
      </c>
      <c r="E2845" s="32" t="n"/>
      <c r="F2845" s="38" t="n"/>
      <c r="G2845" s="38" t="n"/>
      <c r="H2845" s="39" t="n"/>
      <c r="I2845" s="40" t="str">
        <f>IF(OR($J2845="",$K2845=""),"",ROUND(MAX(0,($K2845-$J2845)-IF($H2845="",0,$H2845))/60,2))</f>
        <v/>
      </c>
      <c r="J2845" s="41" t="str">
        <f>IF($F2845="","",IF($F2845&lt;1,ROUND($F2845*1440,0),INT($F2845/100)*60+MOD($F2845,100)))</f>
        <v/>
      </c>
      <c r="K2845" s="41" t="str">
        <f>IF($G2845="","",IF($G2845&lt;1,ROUND($G2845*1440,0),INT($G2845/100)*60+MOD($G2845,100)))</f>
        <v/>
      </c>
    </row>
    <row r="2846" ht="15" customHeight="1" s="26">
      <c r="A2846" s="34" t="n"/>
      <c r="B2846" s="32" t="n"/>
      <c r="C2846" s="33" t="n"/>
      <c r="D2846" s="37" t="str">
        <f>IF($C2846="","",IFERROR(INDEX(프로젝트목록!$B$3:$B$62,MATCH($C2846,프로젝트목록!$A$3:$A$62,0)),"미등록코드"))</f>
        <v/>
      </c>
      <c r="E2846" s="32" t="n"/>
      <c r="F2846" s="38" t="n"/>
      <c r="G2846" s="38" t="n"/>
      <c r="H2846" s="39" t="n"/>
      <c r="I2846" s="40" t="str">
        <f>IF(OR($J2846="",$K2846=""),"",ROUND(MAX(0,($K2846-$J2846)-IF($H2846="",0,$H2846))/60,2))</f>
        <v/>
      </c>
      <c r="J2846" s="41" t="str">
        <f>IF($F2846="","",IF($F2846&lt;1,ROUND($F2846*1440,0),INT($F2846/100)*60+MOD($F2846,100)))</f>
        <v/>
      </c>
      <c r="K2846" s="41" t="str">
        <f>IF($G2846="","",IF($G2846&lt;1,ROUND($G2846*1440,0),INT($G2846/100)*60+MOD($G2846,100)))</f>
        <v/>
      </c>
    </row>
    <row r="2847" ht="15" customHeight="1" s="26">
      <c r="A2847" s="34" t="n"/>
      <c r="B2847" s="32" t="n"/>
      <c r="C2847" s="33" t="n"/>
      <c r="D2847" s="37" t="str">
        <f>IF($C2847="","",IFERROR(INDEX(프로젝트목록!$B$3:$B$62,MATCH($C2847,프로젝트목록!$A$3:$A$62,0)),"미등록코드"))</f>
        <v/>
      </c>
      <c r="E2847" s="32" t="n"/>
      <c r="F2847" s="38" t="n"/>
      <c r="G2847" s="38" t="n"/>
      <c r="H2847" s="39" t="n"/>
      <c r="I2847" s="40" t="str">
        <f>IF(OR($J2847="",$K2847=""),"",ROUND(MAX(0,($K2847-$J2847)-IF($H2847="",0,$H2847))/60,2))</f>
        <v/>
      </c>
      <c r="J2847" s="41" t="str">
        <f>IF($F2847="","",IF($F2847&lt;1,ROUND($F2847*1440,0),INT($F2847/100)*60+MOD($F2847,100)))</f>
        <v/>
      </c>
      <c r="K2847" s="41" t="str">
        <f>IF($G2847="","",IF($G2847&lt;1,ROUND($G2847*1440,0),INT($G2847/100)*60+MOD($G2847,100)))</f>
        <v/>
      </c>
    </row>
    <row r="2848" ht="15" customHeight="1" s="26">
      <c r="A2848" s="34" t="n"/>
      <c r="B2848" s="32" t="n"/>
      <c r="C2848" s="33" t="n"/>
      <c r="D2848" s="37" t="str">
        <f>IF($C2848="","",IFERROR(INDEX(프로젝트목록!$B$3:$B$62,MATCH($C2848,프로젝트목록!$A$3:$A$62,0)),"미등록코드"))</f>
        <v/>
      </c>
      <c r="E2848" s="32" t="n"/>
      <c r="F2848" s="38" t="n"/>
      <c r="G2848" s="38" t="n"/>
      <c r="H2848" s="39" t="n"/>
      <c r="I2848" s="40" t="str">
        <f>IF(OR($J2848="",$K2848=""),"",ROUND(MAX(0,($K2848-$J2848)-IF($H2848="",0,$H2848))/60,2))</f>
        <v/>
      </c>
      <c r="J2848" s="41" t="str">
        <f>IF($F2848="","",IF($F2848&lt;1,ROUND($F2848*1440,0),INT($F2848/100)*60+MOD($F2848,100)))</f>
        <v/>
      </c>
      <c r="K2848" s="41" t="str">
        <f>IF($G2848="","",IF($G2848&lt;1,ROUND($G2848*1440,0),INT($G2848/100)*60+MOD($G2848,100)))</f>
        <v/>
      </c>
    </row>
    <row r="2849" ht="15" customHeight="1" s="26">
      <c r="A2849" s="34" t="n"/>
      <c r="B2849" s="32" t="n"/>
      <c r="C2849" s="33" t="n"/>
      <c r="D2849" s="37" t="str">
        <f>IF($C2849="","",IFERROR(INDEX(프로젝트목록!$B$3:$B$62,MATCH($C2849,프로젝트목록!$A$3:$A$62,0)),"미등록코드"))</f>
        <v/>
      </c>
      <c r="E2849" s="32" t="n"/>
      <c r="F2849" s="38" t="n"/>
      <c r="G2849" s="38" t="n"/>
      <c r="H2849" s="39" t="n"/>
      <c r="I2849" s="40" t="str">
        <f>IF(OR($J2849="",$K2849=""),"",ROUND(MAX(0,($K2849-$J2849)-IF($H2849="",0,$H2849))/60,2))</f>
        <v/>
      </c>
      <c r="J2849" s="41" t="str">
        <f>IF($F2849="","",IF($F2849&lt;1,ROUND($F2849*1440,0),INT($F2849/100)*60+MOD($F2849,100)))</f>
        <v/>
      </c>
      <c r="K2849" s="41" t="str">
        <f>IF($G2849="","",IF($G2849&lt;1,ROUND($G2849*1440,0),INT($G2849/100)*60+MOD($G2849,100)))</f>
        <v/>
      </c>
    </row>
    <row r="2850" ht="15" customHeight="1" s="26">
      <c r="A2850" s="34" t="n"/>
      <c r="B2850" s="32" t="n"/>
      <c r="C2850" s="33" t="n"/>
      <c r="D2850" s="37" t="str">
        <f>IF($C2850="","",IFERROR(INDEX(프로젝트목록!$B$3:$B$62,MATCH($C2850,프로젝트목록!$A$3:$A$62,0)),"미등록코드"))</f>
        <v/>
      </c>
      <c r="E2850" s="32" t="n"/>
      <c r="F2850" s="38" t="n"/>
      <c r="G2850" s="38" t="n"/>
      <c r="H2850" s="39" t="n"/>
      <c r="I2850" s="40" t="str">
        <f>IF(OR($J2850="",$K2850=""),"",ROUND(MAX(0,($K2850-$J2850)-IF($H2850="",0,$H2850))/60,2))</f>
        <v/>
      </c>
      <c r="J2850" s="41" t="str">
        <f>IF($F2850="","",IF($F2850&lt;1,ROUND($F2850*1440,0),INT($F2850/100)*60+MOD($F2850,100)))</f>
        <v/>
      </c>
      <c r="K2850" s="41" t="str">
        <f>IF($G2850="","",IF($G2850&lt;1,ROUND($G2850*1440,0),INT($G2850/100)*60+MOD($G2850,100)))</f>
        <v/>
      </c>
    </row>
    <row r="2851" ht="15" customHeight="1" s="26">
      <c r="A2851" s="34" t="n"/>
      <c r="B2851" s="32" t="n"/>
      <c r="C2851" s="33" t="n"/>
      <c r="D2851" s="37" t="str">
        <f>IF($C2851="","",IFERROR(INDEX(프로젝트목록!$B$3:$B$62,MATCH($C2851,프로젝트목록!$A$3:$A$62,0)),"미등록코드"))</f>
        <v/>
      </c>
      <c r="E2851" s="32" t="n"/>
      <c r="F2851" s="38" t="n"/>
      <c r="G2851" s="38" t="n"/>
      <c r="H2851" s="39" t="n"/>
      <c r="I2851" s="40" t="str">
        <f>IF(OR($J2851="",$K2851=""),"",ROUND(MAX(0,($K2851-$J2851)-IF($H2851="",0,$H2851))/60,2))</f>
        <v/>
      </c>
      <c r="J2851" s="41" t="str">
        <f>IF($F2851="","",IF($F2851&lt;1,ROUND($F2851*1440,0),INT($F2851/100)*60+MOD($F2851,100)))</f>
        <v/>
      </c>
      <c r="K2851" s="41" t="str">
        <f>IF($G2851="","",IF($G2851&lt;1,ROUND($G2851*1440,0),INT($G2851/100)*60+MOD($G2851,100)))</f>
        <v/>
      </c>
    </row>
    <row r="2852" ht="15" customHeight="1" s="26">
      <c r="A2852" s="34" t="n"/>
      <c r="B2852" s="32" t="n"/>
      <c r="C2852" s="33" t="n"/>
      <c r="D2852" s="37" t="str">
        <f>IF($C2852="","",IFERROR(INDEX(프로젝트목록!$B$3:$B$62,MATCH($C2852,프로젝트목록!$A$3:$A$62,0)),"미등록코드"))</f>
        <v/>
      </c>
      <c r="E2852" s="32" t="n"/>
      <c r="F2852" s="38" t="n"/>
      <c r="G2852" s="38" t="n"/>
      <c r="H2852" s="39" t="n"/>
      <c r="I2852" s="40" t="str">
        <f>IF(OR($J2852="",$K2852=""),"",ROUND(MAX(0,($K2852-$J2852)-IF($H2852="",0,$H2852))/60,2))</f>
        <v/>
      </c>
      <c r="J2852" s="41" t="str">
        <f>IF($F2852="","",IF($F2852&lt;1,ROUND($F2852*1440,0),INT($F2852/100)*60+MOD($F2852,100)))</f>
        <v/>
      </c>
      <c r="K2852" s="41" t="str">
        <f>IF($G2852="","",IF($G2852&lt;1,ROUND($G2852*1440,0),INT($G2852/100)*60+MOD($G2852,100)))</f>
        <v/>
      </c>
    </row>
    <row r="2853" ht="15" customHeight="1" s="26">
      <c r="A2853" s="34" t="n"/>
      <c r="B2853" s="32" t="n"/>
      <c r="C2853" s="33" t="n"/>
      <c r="D2853" s="37" t="str">
        <f>IF($C2853="","",IFERROR(INDEX(프로젝트목록!$B$3:$B$62,MATCH($C2853,프로젝트목록!$A$3:$A$62,0)),"미등록코드"))</f>
        <v/>
      </c>
      <c r="E2853" s="32" t="n"/>
      <c r="F2853" s="38" t="n"/>
      <c r="G2853" s="38" t="n"/>
      <c r="H2853" s="39" t="n"/>
      <c r="I2853" s="40" t="str">
        <f>IF(OR($J2853="",$K2853=""),"",ROUND(MAX(0,($K2853-$J2853)-IF($H2853="",0,$H2853))/60,2))</f>
        <v/>
      </c>
      <c r="J2853" s="41" t="str">
        <f>IF($F2853="","",IF($F2853&lt;1,ROUND($F2853*1440,0),INT($F2853/100)*60+MOD($F2853,100)))</f>
        <v/>
      </c>
      <c r="K2853" s="41" t="str">
        <f>IF($G2853="","",IF($G2853&lt;1,ROUND($G2853*1440,0),INT($G2853/100)*60+MOD($G2853,100)))</f>
        <v/>
      </c>
    </row>
    <row r="2854" ht="15" customHeight="1" s="26">
      <c r="A2854" s="34" t="n"/>
      <c r="B2854" s="32" t="n"/>
      <c r="C2854" s="33" t="n"/>
      <c r="D2854" s="37" t="str">
        <f>IF($C2854="","",IFERROR(INDEX(프로젝트목록!$B$3:$B$62,MATCH($C2854,프로젝트목록!$A$3:$A$62,0)),"미등록코드"))</f>
        <v/>
      </c>
      <c r="E2854" s="32" t="n"/>
      <c r="F2854" s="38" t="n"/>
      <c r="G2854" s="38" t="n"/>
      <c r="H2854" s="39" t="n"/>
      <c r="I2854" s="40" t="str">
        <f>IF(OR($J2854="",$K2854=""),"",ROUND(MAX(0,($K2854-$J2854)-IF($H2854="",0,$H2854))/60,2))</f>
        <v/>
      </c>
      <c r="J2854" s="41" t="str">
        <f>IF($F2854="","",IF($F2854&lt;1,ROUND($F2854*1440,0),INT($F2854/100)*60+MOD($F2854,100)))</f>
        <v/>
      </c>
      <c r="K2854" s="41" t="str">
        <f>IF($G2854="","",IF($G2854&lt;1,ROUND($G2854*1440,0),INT($G2854/100)*60+MOD($G2854,100)))</f>
        <v/>
      </c>
    </row>
    <row r="2855" ht="15" customHeight="1" s="26">
      <c r="A2855" s="34" t="n"/>
      <c r="B2855" s="32" t="n"/>
      <c r="C2855" s="33" t="n"/>
      <c r="D2855" s="37" t="str">
        <f>IF($C2855="","",IFERROR(INDEX(프로젝트목록!$B$3:$B$62,MATCH($C2855,프로젝트목록!$A$3:$A$62,0)),"미등록코드"))</f>
        <v/>
      </c>
      <c r="E2855" s="32" t="n"/>
      <c r="F2855" s="38" t="n"/>
      <c r="G2855" s="38" t="n"/>
      <c r="H2855" s="39" t="n"/>
      <c r="I2855" s="40" t="str">
        <f>IF(OR($J2855="",$K2855=""),"",ROUND(MAX(0,($K2855-$J2855)-IF($H2855="",0,$H2855))/60,2))</f>
        <v/>
      </c>
      <c r="J2855" s="41" t="str">
        <f>IF($F2855="","",IF($F2855&lt;1,ROUND($F2855*1440,0),INT($F2855/100)*60+MOD($F2855,100)))</f>
        <v/>
      </c>
      <c r="K2855" s="41" t="str">
        <f>IF($G2855="","",IF($G2855&lt;1,ROUND($G2855*1440,0),INT($G2855/100)*60+MOD($G2855,100)))</f>
        <v/>
      </c>
    </row>
    <row r="2856" ht="15" customHeight="1" s="26">
      <c r="A2856" s="34" t="n"/>
      <c r="B2856" s="32" t="n"/>
      <c r="C2856" s="33" t="n"/>
      <c r="D2856" s="37" t="str">
        <f>IF($C2856="","",IFERROR(INDEX(프로젝트목록!$B$3:$B$62,MATCH($C2856,프로젝트목록!$A$3:$A$62,0)),"미등록코드"))</f>
        <v/>
      </c>
      <c r="E2856" s="32" t="n"/>
      <c r="F2856" s="38" t="n"/>
      <c r="G2856" s="38" t="n"/>
      <c r="H2856" s="39" t="n"/>
      <c r="I2856" s="40" t="str">
        <f>IF(OR($J2856="",$K2856=""),"",ROUND(MAX(0,($K2856-$J2856)-IF($H2856="",0,$H2856))/60,2))</f>
        <v/>
      </c>
      <c r="J2856" s="41" t="str">
        <f>IF($F2856="","",IF($F2856&lt;1,ROUND($F2856*1440,0),INT($F2856/100)*60+MOD($F2856,100)))</f>
        <v/>
      </c>
      <c r="K2856" s="41" t="str">
        <f>IF($G2856="","",IF($G2856&lt;1,ROUND($G2856*1440,0),INT($G2856/100)*60+MOD($G2856,100)))</f>
        <v/>
      </c>
    </row>
    <row r="2857" ht="15" customHeight="1" s="26">
      <c r="A2857" s="34" t="n"/>
      <c r="B2857" s="32" t="n"/>
      <c r="C2857" s="33" t="n"/>
      <c r="D2857" s="37" t="str">
        <f>IF($C2857="","",IFERROR(INDEX(프로젝트목록!$B$3:$B$62,MATCH($C2857,프로젝트목록!$A$3:$A$62,0)),"미등록코드"))</f>
        <v/>
      </c>
      <c r="E2857" s="32" t="n"/>
      <c r="F2857" s="38" t="n"/>
      <c r="G2857" s="38" t="n"/>
      <c r="H2857" s="39" t="n"/>
      <c r="I2857" s="40" t="str">
        <f>IF(OR($J2857="",$K2857=""),"",ROUND(MAX(0,($K2857-$J2857)-IF($H2857="",0,$H2857))/60,2))</f>
        <v/>
      </c>
      <c r="J2857" s="41" t="str">
        <f>IF($F2857="","",IF($F2857&lt;1,ROUND($F2857*1440,0),INT($F2857/100)*60+MOD($F2857,100)))</f>
        <v/>
      </c>
      <c r="K2857" s="41" t="str">
        <f>IF($G2857="","",IF($G2857&lt;1,ROUND($G2857*1440,0),INT($G2857/100)*60+MOD($G2857,100)))</f>
        <v/>
      </c>
    </row>
    <row r="2858" ht="15" customHeight="1" s="26">
      <c r="A2858" s="34" t="n"/>
      <c r="B2858" s="32" t="n"/>
      <c r="C2858" s="33" t="n"/>
      <c r="D2858" s="37" t="str">
        <f>IF($C2858="","",IFERROR(INDEX(프로젝트목록!$B$3:$B$62,MATCH($C2858,프로젝트목록!$A$3:$A$62,0)),"미등록코드"))</f>
        <v/>
      </c>
      <c r="E2858" s="32" t="n"/>
      <c r="F2858" s="38" t="n"/>
      <c r="G2858" s="38" t="n"/>
      <c r="H2858" s="39" t="n"/>
      <c r="I2858" s="40" t="str">
        <f>IF(OR($J2858="",$K2858=""),"",ROUND(MAX(0,($K2858-$J2858)-IF($H2858="",0,$H2858))/60,2))</f>
        <v/>
      </c>
      <c r="J2858" s="41" t="str">
        <f>IF($F2858="","",IF($F2858&lt;1,ROUND($F2858*1440,0),INT($F2858/100)*60+MOD($F2858,100)))</f>
        <v/>
      </c>
      <c r="K2858" s="41" t="str">
        <f>IF($G2858="","",IF($G2858&lt;1,ROUND($G2858*1440,0),INT($G2858/100)*60+MOD($G2858,100)))</f>
        <v/>
      </c>
    </row>
    <row r="2859" ht="15" customHeight="1" s="26">
      <c r="A2859" s="34" t="n"/>
      <c r="B2859" s="32" t="n"/>
      <c r="C2859" s="33" t="n"/>
      <c r="D2859" s="37" t="str">
        <f>IF($C2859="","",IFERROR(INDEX(프로젝트목록!$B$3:$B$62,MATCH($C2859,프로젝트목록!$A$3:$A$62,0)),"미등록코드"))</f>
        <v/>
      </c>
      <c r="E2859" s="32" t="n"/>
      <c r="F2859" s="38" t="n"/>
      <c r="G2859" s="38" t="n"/>
      <c r="H2859" s="39" t="n"/>
      <c r="I2859" s="40" t="str">
        <f>IF(OR($J2859="",$K2859=""),"",ROUND(MAX(0,($K2859-$J2859)-IF($H2859="",0,$H2859))/60,2))</f>
        <v/>
      </c>
      <c r="J2859" s="41" t="str">
        <f>IF($F2859="","",IF($F2859&lt;1,ROUND($F2859*1440,0),INT($F2859/100)*60+MOD($F2859,100)))</f>
        <v/>
      </c>
      <c r="K2859" s="41" t="str">
        <f>IF($G2859="","",IF($G2859&lt;1,ROUND($G2859*1440,0),INT($G2859/100)*60+MOD($G2859,100)))</f>
        <v/>
      </c>
    </row>
    <row r="2860" ht="15" customHeight="1" s="26">
      <c r="A2860" s="34" t="n"/>
      <c r="B2860" s="32" t="n"/>
      <c r="C2860" s="33" t="n"/>
      <c r="D2860" s="37" t="str">
        <f>IF($C2860="","",IFERROR(INDEX(프로젝트목록!$B$3:$B$62,MATCH($C2860,프로젝트목록!$A$3:$A$62,0)),"미등록코드"))</f>
        <v/>
      </c>
      <c r="E2860" s="32" t="n"/>
      <c r="F2860" s="38" t="n"/>
      <c r="G2860" s="38" t="n"/>
      <c r="H2860" s="39" t="n"/>
      <c r="I2860" s="40" t="str">
        <f>IF(OR($J2860="",$K2860=""),"",ROUND(MAX(0,($K2860-$J2860)-IF($H2860="",0,$H2860))/60,2))</f>
        <v/>
      </c>
      <c r="J2860" s="41" t="str">
        <f>IF($F2860="","",IF($F2860&lt;1,ROUND($F2860*1440,0),INT($F2860/100)*60+MOD($F2860,100)))</f>
        <v/>
      </c>
      <c r="K2860" s="41" t="str">
        <f>IF($G2860="","",IF($G2860&lt;1,ROUND($G2860*1440,0),INT($G2860/100)*60+MOD($G2860,100)))</f>
        <v/>
      </c>
    </row>
    <row r="2861" ht="15" customHeight="1" s="26">
      <c r="A2861" s="34" t="n"/>
      <c r="B2861" s="32" t="n"/>
      <c r="C2861" s="33" t="n"/>
      <c r="D2861" s="37" t="str">
        <f>IF($C2861="","",IFERROR(INDEX(프로젝트목록!$B$3:$B$62,MATCH($C2861,프로젝트목록!$A$3:$A$62,0)),"미등록코드"))</f>
        <v/>
      </c>
      <c r="E2861" s="32" t="n"/>
      <c r="F2861" s="38" t="n"/>
      <c r="G2861" s="38" t="n"/>
      <c r="H2861" s="39" t="n"/>
      <c r="I2861" s="40" t="str">
        <f>IF(OR($J2861="",$K2861=""),"",ROUND(MAX(0,($K2861-$J2861)-IF($H2861="",0,$H2861))/60,2))</f>
        <v/>
      </c>
      <c r="J2861" s="41" t="str">
        <f>IF($F2861="","",IF($F2861&lt;1,ROUND($F2861*1440,0),INT($F2861/100)*60+MOD($F2861,100)))</f>
        <v/>
      </c>
      <c r="K2861" s="41" t="str">
        <f>IF($G2861="","",IF($G2861&lt;1,ROUND($G2861*1440,0),INT($G2861/100)*60+MOD($G2861,100)))</f>
        <v/>
      </c>
    </row>
    <row r="2862" ht="15" customHeight="1" s="26">
      <c r="A2862" s="34" t="n"/>
      <c r="B2862" s="32" t="n"/>
      <c r="C2862" s="33" t="n"/>
      <c r="D2862" s="37" t="str">
        <f>IF($C2862="","",IFERROR(INDEX(프로젝트목록!$B$3:$B$62,MATCH($C2862,프로젝트목록!$A$3:$A$62,0)),"미등록코드"))</f>
        <v/>
      </c>
      <c r="E2862" s="32" t="n"/>
      <c r="F2862" s="38" t="n"/>
      <c r="G2862" s="38" t="n"/>
      <c r="H2862" s="39" t="n"/>
      <c r="I2862" s="40" t="str">
        <f>IF(OR($J2862="",$K2862=""),"",ROUND(MAX(0,($K2862-$J2862)-IF($H2862="",0,$H2862))/60,2))</f>
        <v/>
      </c>
      <c r="J2862" s="41" t="str">
        <f>IF($F2862="","",IF($F2862&lt;1,ROUND($F2862*1440,0),INT($F2862/100)*60+MOD($F2862,100)))</f>
        <v/>
      </c>
      <c r="K2862" s="41" t="str">
        <f>IF($G2862="","",IF($G2862&lt;1,ROUND($G2862*1440,0),INT($G2862/100)*60+MOD($G2862,100)))</f>
        <v/>
      </c>
    </row>
    <row r="2863" ht="15" customHeight="1" s="26">
      <c r="A2863" s="34" t="n"/>
      <c r="B2863" s="32" t="n"/>
      <c r="C2863" s="33" t="n"/>
      <c r="D2863" s="37" t="str">
        <f>IF($C2863="","",IFERROR(INDEX(프로젝트목록!$B$3:$B$62,MATCH($C2863,프로젝트목록!$A$3:$A$62,0)),"미등록코드"))</f>
        <v/>
      </c>
      <c r="E2863" s="32" t="n"/>
      <c r="F2863" s="38" t="n"/>
      <c r="G2863" s="38" t="n"/>
      <c r="H2863" s="39" t="n"/>
      <c r="I2863" s="40" t="str">
        <f>IF(OR($J2863="",$K2863=""),"",ROUND(MAX(0,($K2863-$J2863)-IF($H2863="",0,$H2863))/60,2))</f>
        <v/>
      </c>
      <c r="J2863" s="41" t="str">
        <f>IF($F2863="","",IF($F2863&lt;1,ROUND($F2863*1440,0),INT($F2863/100)*60+MOD($F2863,100)))</f>
        <v/>
      </c>
      <c r="K2863" s="41" t="str">
        <f>IF($G2863="","",IF($G2863&lt;1,ROUND($G2863*1440,0),INT($G2863/100)*60+MOD($G2863,100)))</f>
        <v/>
      </c>
    </row>
    <row r="2864" ht="15" customHeight="1" s="26">
      <c r="A2864" s="34" t="n"/>
      <c r="B2864" s="32" t="n"/>
      <c r="C2864" s="33" t="n"/>
      <c r="D2864" s="37" t="str">
        <f>IF($C2864="","",IFERROR(INDEX(프로젝트목록!$B$3:$B$62,MATCH($C2864,프로젝트목록!$A$3:$A$62,0)),"미등록코드"))</f>
        <v/>
      </c>
      <c r="E2864" s="32" t="n"/>
      <c r="F2864" s="38" t="n"/>
      <c r="G2864" s="38" t="n"/>
      <c r="H2864" s="39" t="n"/>
      <c r="I2864" s="40" t="str">
        <f>IF(OR($J2864="",$K2864=""),"",ROUND(MAX(0,($K2864-$J2864)-IF($H2864="",0,$H2864))/60,2))</f>
        <v/>
      </c>
      <c r="J2864" s="41" t="str">
        <f>IF($F2864="","",IF($F2864&lt;1,ROUND($F2864*1440,0),INT($F2864/100)*60+MOD($F2864,100)))</f>
        <v/>
      </c>
      <c r="K2864" s="41" t="str">
        <f>IF($G2864="","",IF($G2864&lt;1,ROUND($G2864*1440,0),INT($G2864/100)*60+MOD($G2864,100)))</f>
        <v/>
      </c>
    </row>
    <row r="2865" ht="15" customHeight="1" s="26">
      <c r="A2865" s="34" t="n"/>
      <c r="B2865" s="32" t="n"/>
      <c r="C2865" s="33" t="n"/>
      <c r="D2865" s="37" t="str">
        <f>IF($C2865="","",IFERROR(INDEX(프로젝트목록!$B$3:$B$62,MATCH($C2865,프로젝트목록!$A$3:$A$62,0)),"미등록코드"))</f>
        <v/>
      </c>
      <c r="E2865" s="32" t="n"/>
      <c r="F2865" s="38" t="n"/>
      <c r="G2865" s="38" t="n"/>
      <c r="H2865" s="39" t="n"/>
      <c r="I2865" s="40" t="str">
        <f>IF(OR($J2865="",$K2865=""),"",ROUND(MAX(0,($K2865-$J2865)-IF($H2865="",0,$H2865))/60,2))</f>
        <v/>
      </c>
      <c r="J2865" s="41" t="str">
        <f>IF($F2865="","",IF($F2865&lt;1,ROUND($F2865*1440,0),INT($F2865/100)*60+MOD($F2865,100)))</f>
        <v/>
      </c>
      <c r="K2865" s="41" t="str">
        <f>IF($G2865="","",IF($G2865&lt;1,ROUND($G2865*1440,0),INT($G2865/100)*60+MOD($G2865,100)))</f>
        <v/>
      </c>
    </row>
    <row r="2866" ht="15" customHeight="1" s="26">
      <c r="A2866" s="34" t="n"/>
      <c r="B2866" s="32" t="n"/>
      <c r="C2866" s="33" t="n"/>
      <c r="D2866" s="37" t="str">
        <f>IF($C2866="","",IFERROR(INDEX(프로젝트목록!$B$3:$B$62,MATCH($C2866,프로젝트목록!$A$3:$A$62,0)),"미등록코드"))</f>
        <v/>
      </c>
      <c r="E2866" s="32" t="n"/>
      <c r="F2866" s="38" t="n"/>
      <c r="G2866" s="38" t="n"/>
      <c r="H2866" s="39" t="n"/>
      <c r="I2866" s="40" t="str">
        <f>IF(OR($J2866="",$K2866=""),"",ROUND(MAX(0,($K2866-$J2866)-IF($H2866="",0,$H2866))/60,2))</f>
        <v/>
      </c>
      <c r="J2866" s="41" t="str">
        <f>IF($F2866="","",IF($F2866&lt;1,ROUND($F2866*1440,0),INT($F2866/100)*60+MOD($F2866,100)))</f>
        <v/>
      </c>
      <c r="K2866" s="41" t="str">
        <f>IF($G2866="","",IF($G2866&lt;1,ROUND($G2866*1440,0),INT($G2866/100)*60+MOD($G2866,100)))</f>
        <v/>
      </c>
    </row>
    <row r="2867" ht="15" customHeight="1" s="26">
      <c r="A2867" s="34" t="n"/>
      <c r="B2867" s="32" t="n"/>
      <c r="C2867" s="33" t="n"/>
      <c r="D2867" s="37" t="str">
        <f>IF($C2867="","",IFERROR(INDEX(프로젝트목록!$B$3:$B$62,MATCH($C2867,프로젝트목록!$A$3:$A$62,0)),"미등록코드"))</f>
        <v/>
      </c>
      <c r="E2867" s="32" t="n"/>
      <c r="F2867" s="38" t="n"/>
      <c r="G2867" s="38" t="n"/>
      <c r="H2867" s="39" t="n"/>
      <c r="I2867" s="40" t="str">
        <f>IF(OR($J2867="",$K2867=""),"",ROUND(MAX(0,($K2867-$J2867)-IF($H2867="",0,$H2867))/60,2))</f>
        <v/>
      </c>
      <c r="J2867" s="41" t="str">
        <f>IF($F2867="","",IF($F2867&lt;1,ROUND($F2867*1440,0),INT($F2867/100)*60+MOD($F2867,100)))</f>
        <v/>
      </c>
      <c r="K2867" s="41" t="str">
        <f>IF($G2867="","",IF($G2867&lt;1,ROUND($G2867*1440,0),INT($G2867/100)*60+MOD($G2867,100)))</f>
        <v/>
      </c>
    </row>
    <row r="2868" ht="15" customHeight="1" s="26">
      <c r="A2868" s="34" t="n"/>
      <c r="B2868" s="32" t="n"/>
      <c r="C2868" s="33" t="n"/>
      <c r="D2868" s="37" t="str">
        <f>IF($C2868="","",IFERROR(INDEX(프로젝트목록!$B$3:$B$62,MATCH($C2868,프로젝트목록!$A$3:$A$62,0)),"미등록코드"))</f>
        <v/>
      </c>
      <c r="E2868" s="32" t="n"/>
      <c r="F2868" s="38" t="n"/>
      <c r="G2868" s="38" t="n"/>
      <c r="H2868" s="39" t="n"/>
      <c r="I2868" s="40" t="str">
        <f>IF(OR($J2868="",$K2868=""),"",ROUND(MAX(0,($K2868-$J2868)-IF($H2868="",0,$H2868))/60,2))</f>
        <v/>
      </c>
      <c r="J2868" s="41" t="str">
        <f>IF($F2868="","",IF($F2868&lt;1,ROUND($F2868*1440,0),INT($F2868/100)*60+MOD($F2868,100)))</f>
        <v/>
      </c>
      <c r="K2868" s="41" t="str">
        <f>IF($G2868="","",IF($G2868&lt;1,ROUND($G2868*1440,0),INT($G2868/100)*60+MOD($G2868,100)))</f>
        <v/>
      </c>
    </row>
    <row r="2869" ht="15" customHeight="1" s="26">
      <c r="A2869" s="34" t="n"/>
      <c r="B2869" s="32" t="n"/>
      <c r="C2869" s="33" t="n"/>
      <c r="D2869" s="37" t="str">
        <f>IF($C2869="","",IFERROR(INDEX(프로젝트목록!$B$3:$B$62,MATCH($C2869,프로젝트목록!$A$3:$A$62,0)),"미등록코드"))</f>
        <v/>
      </c>
      <c r="E2869" s="32" t="n"/>
      <c r="F2869" s="38" t="n"/>
      <c r="G2869" s="38" t="n"/>
      <c r="H2869" s="39" t="n"/>
      <c r="I2869" s="40" t="str">
        <f>IF(OR($J2869="",$K2869=""),"",ROUND(MAX(0,($K2869-$J2869)-IF($H2869="",0,$H2869))/60,2))</f>
        <v/>
      </c>
      <c r="J2869" s="41" t="str">
        <f>IF($F2869="","",IF($F2869&lt;1,ROUND($F2869*1440,0),INT($F2869/100)*60+MOD($F2869,100)))</f>
        <v/>
      </c>
      <c r="K2869" s="41" t="str">
        <f>IF($G2869="","",IF($G2869&lt;1,ROUND($G2869*1440,0),INT($G2869/100)*60+MOD($G2869,100)))</f>
        <v/>
      </c>
    </row>
    <row r="2870" ht="15" customHeight="1" s="26">
      <c r="A2870" s="34" t="n"/>
      <c r="B2870" s="32" t="n"/>
      <c r="C2870" s="33" t="n"/>
      <c r="D2870" s="37" t="str">
        <f>IF($C2870="","",IFERROR(INDEX(프로젝트목록!$B$3:$B$62,MATCH($C2870,프로젝트목록!$A$3:$A$62,0)),"미등록코드"))</f>
        <v/>
      </c>
      <c r="E2870" s="32" t="n"/>
      <c r="F2870" s="38" t="n"/>
      <c r="G2870" s="38" t="n"/>
      <c r="H2870" s="39" t="n"/>
      <c r="I2870" s="40" t="str">
        <f>IF(OR($J2870="",$K2870=""),"",ROUND(MAX(0,($K2870-$J2870)-IF($H2870="",0,$H2870))/60,2))</f>
        <v/>
      </c>
      <c r="J2870" s="41" t="str">
        <f>IF($F2870="","",IF($F2870&lt;1,ROUND($F2870*1440,0),INT($F2870/100)*60+MOD($F2870,100)))</f>
        <v/>
      </c>
      <c r="K2870" s="41" t="str">
        <f>IF($G2870="","",IF($G2870&lt;1,ROUND($G2870*1440,0),INT($G2870/100)*60+MOD($G2870,100)))</f>
        <v/>
      </c>
    </row>
    <row r="2871" ht="15" customHeight="1" s="26">
      <c r="A2871" s="34" t="n"/>
      <c r="B2871" s="32" t="n"/>
      <c r="C2871" s="33" t="n"/>
      <c r="D2871" s="37" t="str">
        <f>IF($C2871="","",IFERROR(INDEX(프로젝트목록!$B$3:$B$62,MATCH($C2871,프로젝트목록!$A$3:$A$62,0)),"미등록코드"))</f>
        <v/>
      </c>
      <c r="E2871" s="32" t="n"/>
      <c r="F2871" s="38" t="n"/>
      <c r="G2871" s="38" t="n"/>
      <c r="H2871" s="39" t="n"/>
      <c r="I2871" s="40" t="str">
        <f>IF(OR($J2871="",$K2871=""),"",ROUND(MAX(0,($K2871-$J2871)-IF($H2871="",0,$H2871))/60,2))</f>
        <v/>
      </c>
      <c r="J2871" s="41" t="str">
        <f>IF($F2871="","",IF($F2871&lt;1,ROUND($F2871*1440,0),INT($F2871/100)*60+MOD($F2871,100)))</f>
        <v/>
      </c>
      <c r="K2871" s="41" t="str">
        <f>IF($G2871="","",IF($G2871&lt;1,ROUND($G2871*1440,0),INT($G2871/100)*60+MOD($G2871,100)))</f>
        <v/>
      </c>
    </row>
    <row r="2872" ht="15" customHeight="1" s="26">
      <c r="A2872" s="34" t="n"/>
      <c r="B2872" s="32" t="n"/>
      <c r="C2872" s="33" t="n"/>
      <c r="D2872" s="37" t="str">
        <f>IF($C2872="","",IFERROR(INDEX(프로젝트목록!$B$3:$B$62,MATCH($C2872,프로젝트목록!$A$3:$A$62,0)),"미등록코드"))</f>
        <v/>
      </c>
      <c r="E2872" s="32" t="n"/>
      <c r="F2872" s="38" t="n"/>
      <c r="G2872" s="38" t="n"/>
      <c r="H2872" s="39" t="n"/>
      <c r="I2872" s="40" t="str">
        <f>IF(OR($J2872="",$K2872=""),"",ROUND(MAX(0,($K2872-$J2872)-IF($H2872="",0,$H2872))/60,2))</f>
        <v/>
      </c>
      <c r="J2872" s="41" t="str">
        <f>IF($F2872="","",IF($F2872&lt;1,ROUND($F2872*1440,0),INT($F2872/100)*60+MOD($F2872,100)))</f>
        <v/>
      </c>
      <c r="K2872" s="41" t="str">
        <f>IF($G2872="","",IF($G2872&lt;1,ROUND($G2872*1440,0),INT($G2872/100)*60+MOD($G2872,100)))</f>
        <v/>
      </c>
    </row>
    <row r="2873" ht="15" customHeight="1" s="26">
      <c r="A2873" s="34" t="n"/>
      <c r="B2873" s="32" t="n"/>
      <c r="C2873" s="33" t="n"/>
      <c r="D2873" s="37" t="str">
        <f>IF($C2873="","",IFERROR(INDEX(프로젝트목록!$B$3:$B$62,MATCH($C2873,프로젝트목록!$A$3:$A$62,0)),"미등록코드"))</f>
        <v/>
      </c>
      <c r="E2873" s="32" t="n"/>
      <c r="F2873" s="38" t="n"/>
      <c r="G2873" s="38" t="n"/>
      <c r="H2873" s="39" t="n"/>
      <c r="I2873" s="40" t="str">
        <f>IF(OR($J2873="",$K2873=""),"",ROUND(MAX(0,($K2873-$J2873)-IF($H2873="",0,$H2873))/60,2))</f>
        <v/>
      </c>
      <c r="J2873" s="41" t="str">
        <f>IF($F2873="","",IF($F2873&lt;1,ROUND($F2873*1440,0),INT($F2873/100)*60+MOD($F2873,100)))</f>
        <v/>
      </c>
      <c r="K2873" s="41" t="str">
        <f>IF($G2873="","",IF($G2873&lt;1,ROUND($G2873*1440,0),INT($G2873/100)*60+MOD($G2873,100)))</f>
        <v/>
      </c>
    </row>
    <row r="2874" ht="15" customHeight="1" s="26">
      <c r="A2874" s="34" t="n"/>
      <c r="B2874" s="32" t="n"/>
      <c r="C2874" s="33" t="n"/>
      <c r="D2874" s="37" t="str">
        <f>IF($C2874="","",IFERROR(INDEX(프로젝트목록!$B$3:$B$62,MATCH($C2874,프로젝트목록!$A$3:$A$62,0)),"미등록코드"))</f>
        <v/>
      </c>
      <c r="E2874" s="32" t="n"/>
      <c r="F2874" s="38" t="n"/>
      <c r="G2874" s="38" t="n"/>
      <c r="H2874" s="39" t="n"/>
      <c r="I2874" s="40" t="str">
        <f>IF(OR($J2874="",$K2874=""),"",ROUND(MAX(0,($K2874-$J2874)-IF($H2874="",0,$H2874))/60,2))</f>
        <v/>
      </c>
      <c r="J2874" s="41" t="str">
        <f>IF($F2874="","",IF($F2874&lt;1,ROUND($F2874*1440,0),INT($F2874/100)*60+MOD($F2874,100)))</f>
        <v/>
      </c>
      <c r="K2874" s="41" t="str">
        <f>IF($G2874="","",IF($G2874&lt;1,ROUND($G2874*1440,0),INT($G2874/100)*60+MOD($G2874,100)))</f>
        <v/>
      </c>
    </row>
    <row r="2875" ht="15" customHeight="1" s="26">
      <c r="A2875" s="34" t="n"/>
      <c r="B2875" s="32" t="n"/>
      <c r="C2875" s="33" t="n"/>
      <c r="D2875" s="37" t="str">
        <f>IF($C2875="","",IFERROR(INDEX(프로젝트목록!$B$3:$B$62,MATCH($C2875,프로젝트목록!$A$3:$A$62,0)),"미등록코드"))</f>
        <v/>
      </c>
      <c r="E2875" s="32" t="n"/>
      <c r="F2875" s="38" t="n"/>
      <c r="G2875" s="38" t="n"/>
      <c r="H2875" s="39" t="n"/>
      <c r="I2875" s="40" t="str">
        <f>IF(OR($J2875="",$K2875=""),"",ROUND(MAX(0,($K2875-$J2875)-IF($H2875="",0,$H2875))/60,2))</f>
        <v/>
      </c>
      <c r="J2875" s="41" t="str">
        <f>IF($F2875="","",IF($F2875&lt;1,ROUND($F2875*1440,0),INT($F2875/100)*60+MOD($F2875,100)))</f>
        <v/>
      </c>
      <c r="K2875" s="41" t="str">
        <f>IF($G2875="","",IF($G2875&lt;1,ROUND($G2875*1440,0),INT($G2875/100)*60+MOD($G2875,100)))</f>
        <v/>
      </c>
    </row>
    <row r="2876" ht="15" customHeight="1" s="26">
      <c r="A2876" s="34" t="n"/>
      <c r="B2876" s="32" t="n"/>
      <c r="C2876" s="33" t="n"/>
      <c r="D2876" s="37" t="str">
        <f>IF($C2876="","",IFERROR(INDEX(프로젝트목록!$B$3:$B$62,MATCH($C2876,프로젝트목록!$A$3:$A$62,0)),"미등록코드"))</f>
        <v/>
      </c>
      <c r="E2876" s="32" t="n"/>
      <c r="F2876" s="38" t="n"/>
      <c r="G2876" s="38" t="n"/>
      <c r="H2876" s="39" t="n"/>
      <c r="I2876" s="40" t="str">
        <f>IF(OR($J2876="",$K2876=""),"",ROUND(MAX(0,($K2876-$J2876)-IF($H2876="",0,$H2876))/60,2))</f>
        <v/>
      </c>
      <c r="J2876" s="41" t="str">
        <f>IF($F2876="","",IF($F2876&lt;1,ROUND($F2876*1440,0),INT($F2876/100)*60+MOD($F2876,100)))</f>
        <v/>
      </c>
      <c r="K2876" s="41" t="str">
        <f>IF($G2876="","",IF($G2876&lt;1,ROUND($G2876*1440,0),INT($G2876/100)*60+MOD($G2876,100)))</f>
        <v/>
      </c>
    </row>
    <row r="2877" ht="15" customHeight="1" s="26">
      <c r="A2877" s="34" t="n"/>
      <c r="B2877" s="32" t="n"/>
      <c r="C2877" s="33" t="n"/>
      <c r="D2877" s="37" t="str">
        <f>IF($C2877="","",IFERROR(INDEX(프로젝트목록!$B$3:$B$62,MATCH($C2877,프로젝트목록!$A$3:$A$62,0)),"미등록코드"))</f>
        <v/>
      </c>
      <c r="E2877" s="32" t="n"/>
      <c r="F2877" s="38" t="n"/>
      <c r="G2877" s="38" t="n"/>
      <c r="H2877" s="39" t="n"/>
      <c r="I2877" s="40" t="str">
        <f>IF(OR($J2877="",$K2877=""),"",ROUND(MAX(0,($K2877-$J2877)-IF($H2877="",0,$H2877))/60,2))</f>
        <v/>
      </c>
      <c r="J2877" s="41" t="str">
        <f>IF($F2877="","",IF($F2877&lt;1,ROUND($F2877*1440,0),INT($F2877/100)*60+MOD($F2877,100)))</f>
        <v/>
      </c>
      <c r="K2877" s="41" t="str">
        <f>IF($G2877="","",IF($G2877&lt;1,ROUND($G2877*1440,0),INT($G2877/100)*60+MOD($G2877,100)))</f>
        <v/>
      </c>
    </row>
    <row r="2878" ht="15" customHeight="1" s="26">
      <c r="A2878" s="34" t="n"/>
      <c r="B2878" s="32" t="n"/>
      <c r="C2878" s="33" t="n"/>
      <c r="D2878" s="37" t="str">
        <f>IF($C2878="","",IFERROR(INDEX(프로젝트목록!$B$3:$B$62,MATCH($C2878,프로젝트목록!$A$3:$A$62,0)),"미등록코드"))</f>
        <v/>
      </c>
      <c r="E2878" s="32" t="n"/>
      <c r="F2878" s="38" t="n"/>
      <c r="G2878" s="38" t="n"/>
      <c r="H2878" s="39" t="n"/>
      <c r="I2878" s="40" t="str">
        <f>IF(OR($J2878="",$K2878=""),"",ROUND(MAX(0,($K2878-$J2878)-IF($H2878="",0,$H2878))/60,2))</f>
        <v/>
      </c>
      <c r="J2878" s="41" t="str">
        <f>IF($F2878="","",IF($F2878&lt;1,ROUND($F2878*1440,0),INT($F2878/100)*60+MOD($F2878,100)))</f>
        <v/>
      </c>
      <c r="K2878" s="41" t="str">
        <f>IF($G2878="","",IF($G2878&lt;1,ROUND($G2878*1440,0),INT($G2878/100)*60+MOD($G2878,100)))</f>
        <v/>
      </c>
    </row>
    <row r="2879" ht="15" customHeight="1" s="26">
      <c r="A2879" s="34" t="n"/>
      <c r="B2879" s="32" t="n"/>
      <c r="C2879" s="33" t="n"/>
      <c r="D2879" s="37" t="str">
        <f>IF($C2879="","",IFERROR(INDEX(프로젝트목록!$B$3:$B$62,MATCH($C2879,프로젝트목록!$A$3:$A$62,0)),"미등록코드"))</f>
        <v/>
      </c>
      <c r="E2879" s="32" t="n"/>
      <c r="F2879" s="38" t="n"/>
      <c r="G2879" s="38" t="n"/>
      <c r="H2879" s="39" t="n"/>
      <c r="I2879" s="40" t="str">
        <f>IF(OR($J2879="",$K2879=""),"",ROUND(MAX(0,($K2879-$J2879)-IF($H2879="",0,$H2879))/60,2))</f>
        <v/>
      </c>
      <c r="J2879" s="41" t="str">
        <f>IF($F2879="","",IF($F2879&lt;1,ROUND($F2879*1440,0),INT($F2879/100)*60+MOD($F2879,100)))</f>
        <v/>
      </c>
      <c r="K2879" s="41" t="str">
        <f>IF($G2879="","",IF($G2879&lt;1,ROUND($G2879*1440,0),INT($G2879/100)*60+MOD($G2879,100)))</f>
        <v/>
      </c>
    </row>
    <row r="2880" ht="15" customHeight="1" s="26">
      <c r="A2880" s="34" t="n"/>
      <c r="B2880" s="32" t="n"/>
      <c r="C2880" s="33" t="n"/>
      <c r="D2880" s="37" t="str">
        <f>IF($C2880="","",IFERROR(INDEX(프로젝트목록!$B$3:$B$62,MATCH($C2880,프로젝트목록!$A$3:$A$62,0)),"미등록코드"))</f>
        <v/>
      </c>
      <c r="E2880" s="32" t="n"/>
      <c r="F2880" s="38" t="n"/>
      <c r="G2880" s="38" t="n"/>
      <c r="H2880" s="39" t="n"/>
      <c r="I2880" s="40" t="str">
        <f>IF(OR($J2880="",$K2880=""),"",ROUND(MAX(0,($K2880-$J2880)-IF($H2880="",0,$H2880))/60,2))</f>
        <v/>
      </c>
      <c r="J2880" s="41" t="str">
        <f>IF($F2880="","",IF($F2880&lt;1,ROUND($F2880*1440,0),INT($F2880/100)*60+MOD($F2880,100)))</f>
        <v/>
      </c>
      <c r="K2880" s="41" t="str">
        <f>IF($G2880="","",IF($G2880&lt;1,ROUND($G2880*1440,0),INT($G2880/100)*60+MOD($G2880,100)))</f>
        <v/>
      </c>
    </row>
    <row r="2881" ht="15" customHeight="1" s="26">
      <c r="A2881" s="34" t="n"/>
      <c r="B2881" s="32" t="n"/>
      <c r="C2881" s="33" t="n"/>
      <c r="D2881" s="37" t="str">
        <f>IF($C2881="","",IFERROR(INDEX(프로젝트목록!$B$3:$B$62,MATCH($C2881,프로젝트목록!$A$3:$A$62,0)),"미등록코드"))</f>
        <v/>
      </c>
      <c r="E2881" s="32" t="n"/>
      <c r="F2881" s="38" t="n"/>
      <c r="G2881" s="38" t="n"/>
      <c r="H2881" s="39" t="n"/>
      <c r="I2881" s="40" t="str">
        <f>IF(OR($J2881="",$K2881=""),"",ROUND(MAX(0,($K2881-$J2881)-IF($H2881="",0,$H2881))/60,2))</f>
        <v/>
      </c>
      <c r="J2881" s="41" t="str">
        <f>IF($F2881="","",IF($F2881&lt;1,ROUND($F2881*1440,0),INT($F2881/100)*60+MOD($F2881,100)))</f>
        <v/>
      </c>
      <c r="K2881" s="41" t="str">
        <f>IF($G2881="","",IF($G2881&lt;1,ROUND($G2881*1440,0),INT($G2881/100)*60+MOD($G2881,100)))</f>
        <v/>
      </c>
    </row>
    <row r="2882" ht="15" customHeight="1" s="26">
      <c r="A2882" s="34" t="n"/>
      <c r="B2882" s="32" t="n"/>
      <c r="C2882" s="33" t="n"/>
      <c r="D2882" s="37" t="str">
        <f>IF($C2882="","",IFERROR(INDEX(프로젝트목록!$B$3:$B$62,MATCH($C2882,프로젝트목록!$A$3:$A$62,0)),"미등록코드"))</f>
        <v/>
      </c>
      <c r="E2882" s="32" t="n"/>
      <c r="F2882" s="38" t="n"/>
      <c r="G2882" s="38" t="n"/>
      <c r="H2882" s="39" t="n"/>
      <c r="I2882" s="40" t="str">
        <f>IF(OR($J2882="",$K2882=""),"",ROUND(MAX(0,($K2882-$J2882)-IF($H2882="",0,$H2882))/60,2))</f>
        <v/>
      </c>
      <c r="J2882" s="41" t="str">
        <f>IF($F2882="","",IF($F2882&lt;1,ROUND($F2882*1440,0),INT($F2882/100)*60+MOD($F2882,100)))</f>
        <v/>
      </c>
      <c r="K2882" s="41" t="str">
        <f>IF($G2882="","",IF($G2882&lt;1,ROUND($G2882*1440,0),INT($G2882/100)*60+MOD($G2882,100)))</f>
        <v/>
      </c>
    </row>
    <row r="2883" ht="15" customHeight="1" s="26">
      <c r="A2883" s="34" t="n"/>
      <c r="B2883" s="32" t="n"/>
      <c r="C2883" s="33" t="n"/>
      <c r="D2883" s="37" t="str">
        <f>IF($C2883="","",IFERROR(INDEX(프로젝트목록!$B$3:$B$62,MATCH($C2883,프로젝트목록!$A$3:$A$62,0)),"미등록코드"))</f>
        <v/>
      </c>
      <c r="E2883" s="32" t="n"/>
      <c r="F2883" s="38" t="n"/>
      <c r="G2883" s="38" t="n"/>
      <c r="H2883" s="39" t="n"/>
      <c r="I2883" s="40" t="str">
        <f>IF(OR($J2883="",$K2883=""),"",ROUND(MAX(0,($K2883-$J2883)-IF($H2883="",0,$H2883))/60,2))</f>
        <v/>
      </c>
      <c r="J2883" s="41" t="str">
        <f>IF($F2883="","",IF($F2883&lt;1,ROUND($F2883*1440,0),INT($F2883/100)*60+MOD($F2883,100)))</f>
        <v/>
      </c>
      <c r="K2883" s="41" t="str">
        <f>IF($G2883="","",IF($G2883&lt;1,ROUND($G2883*1440,0),INT($G2883/100)*60+MOD($G2883,100)))</f>
        <v/>
      </c>
    </row>
    <row r="2884" ht="15" customHeight="1" s="26">
      <c r="A2884" s="34" t="n"/>
      <c r="B2884" s="32" t="n"/>
      <c r="C2884" s="33" t="n"/>
      <c r="D2884" s="37" t="str">
        <f>IF($C2884="","",IFERROR(INDEX(프로젝트목록!$B$3:$B$62,MATCH($C2884,프로젝트목록!$A$3:$A$62,0)),"미등록코드"))</f>
        <v/>
      </c>
      <c r="E2884" s="32" t="n"/>
      <c r="F2884" s="38" t="n"/>
      <c r="G2884" s="38" t="n"/>
      <c r="H2884" s="39" t="n"/>
      <c r="I2884" s="40" t="str">
        <f>IF(OR($J2884="",$K2884=""),"",ROUND(MAX(0,($K2884-$J2884)-IF($H2884="",0,$H2884))/60,2))</f>
        <v/>
      </c>
      <c r="J2884" s="41" t="str">
        <f>IF($F2884="","",IF($F2884&lt;1,ROUND($F2884*1440,0),INT($F2884/100)*60+MOD($F2884,100)))</f>
        <v/>
      </c>
      <c r="K2884" s="41" t="str">
        <f>IF($G2884="","",IF($G2884&lt;1,ROUND($G2884*1440,0),INT($G2884/100)*60+MOD($G2884,100)))</f>
        <v/>
      </c>
    </row>
    <row r="2885" ht="15" customHeight="1" s="26">
      <c r="A2885" s="34" t="n"/>
      <c r="B2885" s="32" t="n"/>
      <c r="C2885" s="33" t="n"/>
      <c r="D2885" s="37" t="str">
        <f>IF($C2885="","",IFERROR(INDEX(프로젝트목록!$B$3:$B$62,MATCH($C2885,프로젝트목록!$A$3:$A$62,0)),"미등록코드"))</f>
        <v/>
      </c>
      <c r="E2885" s="32" t="n"/>
      <c r="F2885" s="38" t="n"/>
      <c r="G2885" s="38" t="n"/>
      <c r="H2885" s="39" t="n"/>
      <c r="I2885" s="40" t="str">
        <f>IF(OR($J2885="",$K2885=""),"",ROUND(MAX(0,($K2885-$J2885)-IF($H2885="",0,$H2885))/60,2))</f>
        <v/>
      </c>
      <c r="J2885" s="41" t="str">
        <f>IF($F2885="","",IF($F2885&lt;1,ROUND($F2885*1440,0),INT($F2885/100)*60+MOD($F2885,100)))</f>
        <v/>
      </c>
      <c r="K2885" s="41" t="str">
        <f>IF($G2885="","",IF($G2885&lt;1,ROUND($G2885*1440,0),INT($G2885/100)*60+MOD($G2885,100)))</f>
        <v/>
      </c>
    </row>
    <row r="2886" ht="15" customHeight="1" s="26">
      <c r="A2886" s="34" t="n"/>
      <c r="B2886" s="32" t="n"/>
      <c r="C2886" s="33" t="n"/>
      <c r="D2886" s="37" t="str">
        <f>IF($C2886="","",IFERROR(INDEX(프로젝트목록!$B$3:$B$62,MATCH($C2886,프로젝트목록!$A$3:$A$62,0)),"미등록코드"))</f>
        <v/>
      </c>
      <c r="E2886" s="32" t="n"/>
      <c r="F2886" s="38" t="n"/>
      <c r="G2886" s="38" t="n"/>
      <c r="H2886" s="39" t="n"/>
      <c r="I2886" s="40" t="str">
        <f>IF(OR($J2886="",$K2886=""),"",ROUND(MAX(0,($K2886-$J2886)-IF($H2886="",0,$H2886))/60,2))</f>
        <v/>
      </c>
      <c r="J2886" s="41" t="str">
        <f>IF($F2886="","",IF($F2886&lt;1,ROUND($F2886*1440,0),INT($F2886/100)*60+MOD($F2886,100)))</f>
        <v/>
      </c>
      <c r="K2886" s="41" t="str">
        <f>IF($G2886="","",IF($G2886&lt;1,ROUND($G2886*1440,0),INT($G2886/100)*60+MOD($G2886,100)))</f>
        <v/>
      </c>
    </row>
    <row r="2887" ht="15" customHeight="1" s="26">
      <c r="A2887" s="34" t="n"/>
      <c r="B2887" s="32" t="n"/>
      <c r="C2887" s="33" t="n"/>
      <c r="D2887" s="37" t="str">
        <f>IF($C2887="","",IFERROR(INDEX(프로젝트목록!$B$3:$B$62,MATCH($C2887,프로젝트목록!$A$3:$A$62,0)),"미등록코드"))</f>
        <v/>
      </c>
      <c r="E2887" s="32" t="n"/>
      <c r="F2887" s="38" t="n"/>
      <c r="G2887" s="38" t="n"/>
      <c r="H2887" s="39" t="n"/>
      <c r="I2887" s="40" t="str">
        <f>IF(OR($J2887="",$K2887=""),"",ROUND(MAX(0,($K2887-$J2887)-IF($H2887="",0,$H2887))/60,2))</f>
        <v/>
      </c>
      <c r="J2887" s="41" t="str">
        <f>IF($F2887="","",IF($F2887&lt;1,ROUND($F2887*1440,0),INT($F2887/100)*60+MOD($F2887,100)))</f>
        <v/>
      </c>
      <c r="K2887" s="41" t="str">
        <f>IF($G2887="","",IF($G2887&lt;1,ROUND($G2887*1440,0),INT($G2887/100)*60+MOD($G2887,100)))</f>
        <v/>
      </c>
    </row>
    <row r="2888" ht="15" customHeight="1" s="26">
      <c r="A2888" s="34" t="n"/>
      <c r="B2888" s="32" t="n"/>
      <c r="C2888" s="33" t="n"/>
      <c r="D2888" s="37" t="str">
        <f>IF($C2888="","",IFERROR(INDEX(프로젝트목록!$B$3:$B$62,MATCH($C2888,프로젝트목록!$A$3:$A$62,0)),"미등록코드"))</f>
        <v/>
      </c>
      <c r="E2888" s="32" t="n"/>
      <c r="F2888" s="38" t="n"/>
      <c r="G2888" s="38" t="n"/>
      <c r="H2888" s="39" t="n"/>
      <c r="I2888" s="40" t="str">
        <f>IF(OR($J2888="",$K2888=""),"",ROUND(MAX(0,($K2888-$J2888)-IF($H2888="",0,$H2888))/60,2))</f>
        <v/>
      </c>
      <c r="J2888" s="41" t="str">
        <f>IF($F2888="","",IF($F2888&lt;1,ROUND($F2888*1440,0),INT($F2888/100)*60+MOD($F2888,100)))</f>
        <v/>
      </c>
      <c r="K2888" s="41" t="str">
        <f>IF($G2888="","",IF($G2888&lt;1,ROUND($G2888*1440,0),INT($G2888/100)*60+MOD($G2888,100)))</f>
        <v/>
      </c>
    </row>
    <row r="2889" ht="15" customHeight="1" s="26">
      <c r="A2889" s="34" t="n"/>
      <c r="B2889" s="32" t="n"/>
      <c r="C2889" s="33" t="n"/>
      <c r="D2889" s="37" t="str">
        <f>IF($C2889="","",IFERROR(INDEX(프로젝트목록!$B$3:$B$62,MATCH($C2889,프로젝트목록!$A$3:$A$62,0)),"미등록코드"))</f>
        <v/>
      </c>
      <c r="E2889" s="32" t="n"/>
      <c r="F2889" s="38" t="n"/>
      <c r="G2889" s="38" t="n"/>
      <c r="H2889" s="39" t="n"/>
      <c r="I2889" s="40" t="str">
        <f>IF(OR($J2889="",$K2889=""),"",ROUND(MAX(0,($K2889-$J2889)-IF($H2889="",0,$H2889))/60,2))</f>
        <v/>
      </c>
      <c r="J2889" s="41" t="str">
        <f>IF($F2889="","",IF($F2889&lt;1,ROUND($F2889*1440,0),INT($F2889/100)*60+MOD($F2889,100)))</f>
        <v/>
      </c>
      <c r="K2889" s="41" t="str">
        <f>IF($G2889="","",IF($G2889&lt;1,ROUND($G2889*1440,0),INT($G2889/100)*60+MOD($G2889,100)))</f>
        <v/>
      </c>
    </row>
    <row r="2890" ht="15" customHeight="1" s="26">
      <c r="A2890" s="34" t="n"/>
      <c r="B2890" s="32" t="n"/>
      <c r="C2890" s="33" t="n"/>
      <c r="D2890" s="37" t="str">
        <f>IF($C2890="","",IFERROR(INDEX(프로젝트목록!$B$3:$B$62,MATCH($C2890,프로젝트목록!$A$3:$A$62,0)),"미등록코드"))</f>
        <v/>
      </c>
      <c r="E2890" s="32" t="n"/>
      <c r="F2890" s="38" t="n"/>
      <c r="G2890" s="38" t="n"/>
      <c r="H2890" s="39" t="n"/>
      <c r="I2890" s="40" t="str">
        <f>IF(OR($J2890="",$K2890=""),"",ROUND(MAX(0,($K2890-$J2890)-IF($H2890="",0,$H2890))/60,2))</f>
        <v/>
      </c>
      <c r="J2890" s="41" t="str">
        <f>IF($F2890="","",IF($F2890&lt;1,ROUND($F2890*1440,0),INT($F2890/100)*60+MOD($F2890,100)))</f>
        <v/>
      </c>
      <c r="K2890" s="41" t="str">
        <f>IF($G2890="","",IF($G2890&lt;1,ROUND($G2890*1440,0),INT($G2890/100)*60+MOD($G2890,100)))</f>
        <v/>
      </c>
    </row>
    <row r="2891" ht="15" customHeight="1" s="26">
      <c r="A2891" s="34" t="n"/>
      <c r="B2891" s="32" t="n"/>
      <c r="C2891" s="33" t="n"/>
      <c r="D2891" s="37" t="str">
        <f>IF($C2891="","",IFERROR(INDEX(프로젝트목록!$B$3:$B$62,MATCH($C2891,프로젝트목록!$A$3:$A$62,0)),"미등록코드"))</f>
        <v/>
      </c>
      <c r="E2891" s="32" t="n"/>
      <c r="F2891" s="38" t="n"/>
      <c r="G2891" s="38" t="n"/>
      <c r="H2891" s="39" t="n"/>
      <c r="I2891" s="40" t="str">
        <f>IF(OR($J2891="",$K2891=""),"",ROUND(MAX(0,($K2891-$J2891)-IF($H2891="",0,$H2891))/60,2))</f>
        <v/>
      </c>
      <c r="J2891" s="41" t="str">
        <f>IF($F2891="","",IF($F2891&lt;1,ROUND($F2891*1440,0),INT($F2891/100)*60+MOD($F2891,100)))</f>
        <v/>
      </c>
      <c r="K2891" s="41" t="str">
        <f>IF($G2891="","",IF($G2891&lt;1,ROUND($G2891*1440,0),INT($G2891/100)*60+MOD($G2891,100)))</f>
        <v/>
      </c>
    </row>
    <row r="2892" ht="15" customHeight="1" s="26">
      <c r="A2892" s="34" t="n"/>
      <c r="B2892" s="32" t="n"/>
      <c r="C2892" s="33" t="n"/>
      <c r="D2892" s="37" t="str">
        <f>IF($C2892="","",IFERROR(INDEX(프로젝트목록!$B$3:$B$62,MATCH($C2892,프로젝트목록!$A$3:$A$62,0)),"미등록코드"))</f>
        <v/>
      </c>
      <c r="E2892" s="32" t="n"/>
      <c r="F2892" s="38" t="n"/>
      <c r="G2892" s="38" t="n"/>
      <c r="H2892" s="39" t="n"/>
      <c r="I2892" s="40" t="str">
        <f>IF(OR($J2892="",$K2892=""),"",ROUND(MAX(0,($K2892-$J2892)-IF($H2892="",0,$H2892))/60,2))</f>
        <v/>
      </c>
      <c r="J2892" s="41" t="str">
        <f>IF($F2892="","",IF($F2892&lt;1,ROUND($F2892*1440,0),INT($F2892/100)*60+MOD($F2892,100)))</f>
        <v/>
      </c>
      <c r="K2892" s="41" t="str">
        <f>IF($G2892="","",IF($G2892&lt;1,ROUND($G2892*1440,0),INT($G2892/100)*60+MOD($G2892,100)))</f>
        <v/>
      </c>
    </row>
    <row r="2893" ht="15" customHeight="1" s="26">
      <c r="A2893" s="34" t="n"/>
      <c r="B2893" s="32" t="n"/>
      <c r="C2893" s="33" t="n"/>
      <c r="D2893" s="37" t="str">
        <f>IF($C2893="","",IFERROR(INDEX(프로젝트목록!$B$3:$B$62,MATCH($C2893,프로젝트목록!$A$3:$A$62,0)),"미등록코드"))</f>
        <v/>
      </c>
      <c r="E2893" s="32" t="n"/>
      <c r="F2893" s="38" t="n"/>
      <c r="G2893" s="38" t="n"/>
      <c r="H2893" s="39" t="n"/>
      <c r="I2893" s="40" t="str">
        <f>IF(OR($J2893="",$K2893=""),"",ROUND(MAX(0,($K2893-$J2893)-IF($H2893="",0,$H2893))/60,2))</f>
        <v/>
      </c>
      <c r="J2893" s="41" t="str">
        <f>IF($F2893="","",IF($F2893&lt;1,ROUND($F2893*1440,0),INT($F2893/100)*60+MOD($F2893,100)))</f>
        <v/>
      </c>
      <c r="K2893" s="41" t="str">
        <f>IF($G2893="","",IF($G2893&lt;1,ROUND($G2893*1440,0),INT($G2893/100)*60+MOD($G2893,100)))</f>
        <v/>
      </c>
    </row>
    <row r="2894" ht="15" customHeight="1" s="26">
      <c r="A2894" s="34" t="n"/>
      <c r="B2894" s="32" t="n"/>
      <c r="C2894" s="33" t="n"/>
      <c r="D2894" s="37" t="str">
        <f>IF($C2894="","",IFERROR(INDEX(프로젝트목록!$B$3:$B$62,MATCH($C2894,프로젝트목록!$A$3:$A$62,0)),"미등록코드"))</f>
        <v/>
      </c>
      <c r="E2894" s="32" t="n"/>
      <c r="F2894" s="38" t="n"/>
      <c r="G2894" s="38" t="n"/>
      <c r="H2894" s="39" t="n"/>
      <c r="I2894" s="40" t="str">
        <f>IF(OR($J2894="",$K2894=""),"",ROUND(MAX(0,($K2894-$J2894)-IF($H2894="",0,$H2894))/60,2))</f>
        <v/>
      </c>
      <c r="J2894" s="41" t="str">
        <f>IF($F2894="","",IF($F2894&lt;1,ROUND($F2894*1440,0),INT($F2894/100)*60+MOD($F2894,100)))</f>
        <v/>
      </c>
      <c r="K2894" s="41" t="str">
        <f>IF($G2894="","",IF($G2894&lt;1,ROUND($G2894*1440,0),INT($G2894/100)*60+MOD($G2894,100)))</f>
        <v/>
      </c>
    </row>
    <row r="2895" ht="15" customHeight="1" s="26">
      <c r="A2895" s="34" t="n"/>
      <c r="B2895" s="32" t="n"/>
      <c r="C2895" s="33" t="n"/>
      <c r="D2895" s="37" t="str">
        <f>IF($C2895="","",IFERROR(INDEX(프로젝트목록!$B$3:$B$62,MATCH($C2895,프로젝트목록!$A$3:$A$62,0)),"미등록코드"))</f>
        <v/>
      </c>
      <c r="E2895" s="32" t="n"/>
      <c r="F2895" s="38" t="n"/>
      <c r="G2895" s="38" t="n"/>
      <c r="H2895" s="39" t="n"/>
      <c r="I2895" s="40" t="str">
        <f>IF(OR($J2895="",$K2895=""),"",ROUND(MAX(0,($K2895-$J2895)-IF($H2895="",0,$H2895))/60,2))</f>
        <v/>
      </c>
      <c r="J2895" s="41" t="str">
        <f>IF($F2895="","",IF($F2895&lt;1,ROUND($F2895*1440,0),INT($F2895/100)*60+MOD($F2895,100)))</f>
        <v/>
      </c>
      <c r="K2895" s="41" t="str">
        <f>IF($G2895="","",IF($G2895&lt;1,ROUND($G2895*1440,0),INT($G2895/100)*60+MOD($G2895,100)))</f>
        <v/>
      </c>
    </row>
    <row r="2896" ht="15" customHeight="1" s="26">
      <c r="A2896" s="34" t="n"/>
      <c r="B2896" s="32" t="n"/>
      <c r="C2896" s="33" t="n"/>
      <c r="D2896" s="37" t="str">
        <f>IF($C2896="","",IFERROR(INDEX(프로젝트목록!$B$3:$B$62,MATCH($C2896,프로젝트목록!$A$3:$A$62,0)),"미등록코드"))</f>
        <v/>
      </c>
      <c r="E2896" s="32" t="n"/>
      <c r="F2896" s="38" t="n"/>
      <c r="G2896" s="38" t="n"/>
      <c r="H2896" s="39" t="n"/>
      <c r="I2896" s="40" t="str">
        <f>IF(OR($J2896="",$K2896=""),"",ROUND(MAX(0,($K2896-$J2896)-IF($H2896="",0,$H2896))/60,2))</f>
        <v/>
      </c>
      <c r="J2896" s="41" t="str">
        <f>IF($F2896="","",IF($F2896&lt;1,ROUND($F2896*1440,0),INT($F2896/100)*60+MOD($F2896,100)))</f>
        <v/>
      </c>
      <c r="K2896" s="41" t="str">
        <f>IF($G2896="","",IF($G2896&lt;1,ROUND($G2896*1440,0),INT($G2896/100)*60+MOD($G2896,100)))</f>
        <v/>
      </c>
    </row>
    <row r="2897" ht="15" customHeight="1" s="26">
      <c r="A2897" s="34" t="n"/>
      <c r="B2897" s="32" t="n"/>
      <c r="C2897" s="33" t="n"/>
      <c r="D2897" s="37" t="str">
        <f>IF($C2897="","",IFERROR(INDEX(프로젝트목록!$B$3:$B$62,MATCH($C2897,프로젝트목록!$A$3:$A$62,0)),"미등록코드"))</f>
        <v/>
      </c>
      <c r="E2897" s="32" t="n"/>
      <c r="F2897" s="38" t="n"/>
      <c r="G2897" s="38" t="n"/>
      <c r="H2897" s="39" t="n"/>
      <c r="I2897" s="40" t="str">
        <f>IF(OR($J2897="",$K2897=""),"",ROUND(MAX(0,($K2897-$J2897)-IF($H2897="",0,$H2897))/60,2))</f>
        <v/>
      </c>
      <c r="J2897" s="41" t="str">
        <f>IF($F2897="","",IF($F2897&lt;1,ROUND($F2897*1440,0),INT($F2897/100)*60+MOD($F2897,100)))</f>
        <v/>
      </c>
      <c r="K2897" s="41" t="str">
        <f>IF($G2897="","",IF($G2897&lt;1,ROUND($G2897*1440,0),INT($G2897/100)*60+MOD($G2897,100)))</f>
        <v/>
      </c>
    </row>
    <row r="2898" ht="15" customHeight="1" s="26">
      <c r="A2898" s="34" t="n"/>
      <c r="B2898" s="32" t="n"/>
      <c r="C2898" s="33" t="n"/>
      <c r="D2898" s="37" t="str">
        <f>IF($C2898="","",IFERROR(INDEX(프로젝트목록!$B$3:$B$62,MATCH($C2898,프로젝트목록!$A$3:$A$62,0)),"미등록코드"))</f>
        <v/>
      </c>
      <c r="E2898" s="32" t="n"/>
      <c r="F2898" s="38" t="n"/>
      <c r="G2898" s="38" t="n"/>
      <c r="H2898" s="39" t="n"/>
      <c r="I2898" s="40" t="str">
        <f>IF(OR($J2898="",$K2898=""),"",ROUND(MAX(0,($K2898-$J2898)-IF($H2898="",0,$H2898))/60,2))</f>
        <v/>
      </c>
      <c r="J2898" s="41" t="str">
        <f>IF($F2898="","",IF($F2898&lt;1,ROUND($F2898*1440,0),INT($F2898/100)*60+MOD($F2898,100)))</f>
        <v/>
      </c>
      <c r="K2898" s="41" t="str">
        <f>IF($G2898="","",IF($G2898&lt;1,ROUND($G2898*1440,0),INT($G2898/100)*60+MOD($G2898,100)))</f>
        <v/>
      </c>
    </row>
    <row r="2899" ht="15" customHeight="1" s="26">
      <c r="A2899" s="34" t="n"/>
      <c r="B2899" s="32" t="n"/>
      <c r="C2899" s="33" t="n"/>
      <c r="D2899" s="37" t="str">
        <f>IF($C2899="","",IFERROR(INDEX(프로젝트목록!$B$3:$B$62,MATCH($C2899,프로젝트목록!$A$3:$A$62,0)),"미등록코드"))</f>
        <v/>
      </c>
      <c r="E2899" s="32" t="n"/>
      <c r="F2899" s="38" t="n"/>
      <c r="G2899" s="38" t="n"/>
      <c r="H2899" s="39" t="n"/>
      <c r="I2899" s="40" t="str">
        <f>IF(OR($J2899="",$K2899=""),"",ROUND(MAX(0,($K2899-$J2899)-IF($H2899="",0,$H2899))/60,2))</f>
        <v/>
      </c>
      <c r="J2899" s="41" t="str">
        <f>IF($F2899="","",IF($F2899&lt;1,ROUND($F2899*1440,0),INT($F2899/100)*60+MOD($F2899,100)))</f>
        <v/>
      </c>
      <c r="K2899" s="41" t="str">
        <f>IF($G2899="","",IF($G2899&lt;1,ROUND($G2899*1440,0),INT($G2899/100)*60+MOD($G2899,100)))</f>
        <v/>
      </c>
    </row>
    <row r="2900" ht="15" customHeight="1" s="26">
      <c r="A2900" s="34" t="n"/>
      <c r="B2900" s="32" t="n"/>
      <c r="C2900" s="33" t="n"/>
      <c r="D2900" s="37" t="str">
        <f>IF($C2900="","",IFERROR(INDEX(프로젝트목록!$B$3:$B$62,MATCH($C2900,프로젝트목록!$A$3:$A$62,0)),"미등록코드"))</f>
        <v/>
      </c>
      <c r="E2900" s="32" t="n"/>
      <c r="F2900" s="38" t="n"/>
      <c r="G2900" s="38" t="n"/>
      <c r="H2900" s="39" t="n"/>
      <c r="I2900" s="40" t="str">
        <f>IF(OR($J2900="",$K2900=""),"",ROUND(MAX(0,($K2900-$J2900)-IF($H2900="",0,$H2900))/60,2))</f>
        <v/>
      </c>
      <c r="J2900" s="41" t="str">
        <f>IF($F2900="","",IF($F2900&lt;1,ROUND($F2900*1440,0),INT($F2900/100)*60+MOD($F2900,100)))</f>
        <v/>
      </c>
      <c r="K2900" s="41" t="str">
        <f>IF($G2900="","",IF($G2900&lt;1,ROUND($G2900*1440,0),INT($G2900/100)*60+MOD($G2900,100)))</f>
        <v/>
      </c>
    </row>
    <row r="2901" ht="15" customHeight="1" s="26">
      <c r="A2901" s="34" t="n"/>
      <c r="B2901" s="32" t="n"/>
      <c r="C2901" s="33" t="n"/>
      <c r="D2901" s="37" t="str">
        <f>IF($C2901="","",IFERROR(INDEX(프로젝트목록!$B$3:$B$62,MATCH($C2901,프로젝트목록!$A$3:$A$62,0)),"미등록코드"))</f>
        <v/>
      </c>
      <c r="E2901" s="32" t="n"/>
      <c r="F2901" s="38" t="n"/>
      <c r="G2901" s="38" t="n"/>
      <c r="H2901" s="39" t="n"/>
      <c r="I2901" s="40" t="str">
        <f>IF(OR($J2901="",$K2901=""),"",ROUND(MAX(0,($K2901-$J2901)-IF($H2901="",0,$H2901))/60,2))</f>
        <v/>
      </c>
      <c r="J2901" s="41" t="str">
        <f>IF($F2901="","",IF($F2901&lt;1,ROUND($F2901*1440,0),INT($F2901/100)*60+MOD($F2901,100)))</f>
        <v/>
      </c>
      <c r="K2901" s="41" t="str">
        <f>IF($G2901="","",IF($G2901&lt;1,ROUND($G2901*1440,0),INT($G2901/100)*60+MOD($G2901,100)))</f>
        <v/>
      </c>
    </row>
    <row r="2902" ht="15" customHeight="1" s="26">
      <c r="A2902" s="34" t="n"/>
      <c r="B2902" s="32" t="n"/>
      <c r="C2902" s="33" t="n"/>
      <c r="D2902" s="37" t="str">
        <f>IF($C2902="","",IFERROR(INDEX(프로젝트목록!$B$3:$B$62,MATCH($C2902,프로젝트목록!$A$3:$A$62,0)),"미등록코드"))</f>
        <v/>
      </c>
      <c r="E2902" s="32" t="n"/>
      <c r="F2902" s="38" t="n"/>
      <c r="G2902" s="38" t="n"/>
      <c r="H2902" s="39" t="n"/>
      <c r="I2902" s="40" t="str">
        <f>IF(OR($J2902="",$K2902=""),"",ROUND(MAX(0,($K2902-$J2902)-IF($H2902="",0,$H2902))/60,2))</f>
        <v/>
      </c>
      <c r="J2902" s="41" t="str">
        <f>IF($F2902="","",IF($F2902&lt;1,ROUND($F2902*1440,0),INT($F2902/100)*60+MOD($F2902,100)))</f>
        <v/>
      </c>
      <c r="K2902" s="41" t="str">
        <f>IF($G2902="","",IF($G2902&lt;1,ROUND($G2902*1440,0),INT($G2902/100)*60+MOD($G2902,100)))</f>
        <v/>
      </c>
    </row>
    <row r="2903" ht="15" customHeight="1" s="26">
      <c r="A2903" s="34" t="n"/>
      <c r="B2903" s="32" t="n"/>
      <c r="C2903" s="33" t="n"/>
      <c r="D2903" s="37" t="str">
        <f>IF($C2903="","",IFERROR(INDEX(프로젝트목록!$B$3:$B$62,MATCH($C2903,프로젝트목록!$A$3:$A$62,0)),"미등록코드"))</f>
        <v/>
      </c>
      <c r="E2903" s="32" t="n"/>
      <c r="F2903" s="38" t="n"/>
      <c r="G2903" s="38" t="n"/>
      <c r="H2903" s="39" t="n"/>
      <c r="I2903" s="40" t="str">
        <f>IF(OR($J2903="",$K2903=""),"",ROUND(MAX(0,($K2903-$J2903)-IF($H2903="",0,$H2903))/60,2))</f>
        <v/>
      </c>
      <c r="J2903" s="41" t="str">
        <f>IF($F2903="","",IF($F2903&lt;1,ROUND($F2903*1440,0),INT($F2903/100)*60+MOD($F2903,100)))</f>
        <v/>
      </c>
      <c r="K2903" s="41" t="str">
        <f>IF($G2903="","",IF($G2903&lt;1,ROUND($G2903*1440,0),INT($G2903/100)*60+MOD($G2903,100)))</f>
        <v/>
      </c>
    </row>
    <row r="2904" ht="15" customHeight="1" s="26">
      <c r="A2904" s="34" t="n"/>
      <c r="B2904" s="32" t="n"/>
      <c r="C2904" s="33" t="n"/>
      <c r="D2904" s="37" t="str">
        <f>IF($C2904="","",IFERROR(INDEX(프로젝트목록!$B$3:$B$62,MATCH($C2904,프로젝트목록!$A$3:$A$62,0)),"미등록코드"))</f>
        <v/>
      </c>
      <c r="E2904" s="32" t="n"/>
      <c r="F2904" s="38" t="n"/>
      <c r="G2904" s="38" t="n"/>
      <c r="H2904" s="39" t="n"/>
      <c r="I2904" s="40" t="str">
        <f>IF(OR($J2904="",$K2904=""),"",ROUND(MAX(0,($K2904-$J2904)-IF($H2904="",0,$H2904))/60,2))</f>
        <v/>
      </c>
      <c r="J2904" s="41" t="str">
        <f>IF($F2904="","",IF($F2904&lt;1,ROUND($F2904*1440,0),INT($F2904/100)*60+MOD($F2904,100)))</f>
        <v/>
      </c>
      <c r="K2904" s="41" t="str">
        <f>IF($G2904="","",IF($G2904&lt;1,ROUND($G2904*1440,0),INT($G2904/100)*60+MOD($G2904,100)))</f>
        <v/>
      </c>
    </row>
    <row r="2905" ht="15" customHeight="1" s="26">
      <c r="A2905" s="34" t="n"/>
      <c r="B2905" s="32" t="n"/>
      <c r="C2905" s="33" t="n"/>
      <c r="D2905" s="37" t="str">
        <f>IF($C2905="","",IFERROR(INDEX(프로젝트목록!$B$3:$B$62,MATCH($C2905,프로젝트목록!$A$3:$A$62,0)),"미등록코드"))</f>
        <v/>
      </c>
      <c r="E2905" s="32" t="n"/>
      <c r="F2905" s="38" t="n"/>
      <c r="G2905" s="38" t="n"/>
      <c r="H2905" s="39" t="n"/>
      <c r="I2905" s="40" t="str">
        <f>IF(OR($J2905="",$K2905=""),"",ROUND(MAX(0,($K2905-$J2905)-IF($H2905="",0,$H2905))/60,2))</f>
        <v/>
      </c>
      <c r="J2905" s="41" t="str">
        <f>IF($F2905="","",IF($F2905&lt;1,ROUND($F2905*1440,0),INT($F2905/100)*60+MOD($F2905,100)))</f>
        <v/>
      </c>
      <c r="K2905" s="41" t="str">
        <f>IF($G2905="","",IF($G2905&lt;1,ROUND($G2905*1440,0),INT($G2905/100)*60+MOD($G2905,100)))</f>
        <v/>
      </c>
    </row>
    <row r="2906" ht="15" customHeight="1" s="26">
      <c r="A2906" s="34" t="n"/>
      <c r="B2906" s="32" t="n"/>
      <c r="C2906" s="33" t="n"/>
      <c r="D2906" s="37" t="str">
        <f>IF($C2906="","",IFERROR(INDEX(프로젝트목록!$B$3:$B$62,MATCH($C2906,프로젝트목록!$A$3:$A$62,0)),"미등록코드"))</f>
        <v/>
      </c>
      <c r="E2906" s="32" t="n"/>
      <c r="F2906" s="38" t="n"/>
      <c r="G2906" s="38" t="n"/>
      <c r="H2906" s="39" t="n"/>
      <c r="I2906" s="40" t="str">
        <f>IF(OR($J2906="",$K2906=""),"",ROUND(MAX(0,($K2906-$J2906)-IF($H2906="",0,$H2906))/60,2))</f>
        <v/>
      </c>
      <c r="J2906" s="41" t="str">
        <f>IF($F2906="","",IF($F2906&lt;1,ROUND($F2906*1440,0),INT($F2906/100)*60+MOD($F2906,100)))</f>
        <v/>
      </c>
      <c r="K2906" s="41" t="str">
        <f>IF($G2906="","",IF($G2906&lt;1,ROUND($G2906*1440,0),INT($G2906/100)*60+MOD($G2906,100)))</f>
        <v/>
      </c>
    </row>
    <row r="2907" ht="15" customHeight="1" s="26">
      <c r="A2907" s="34" t="n"/>
      <c r="B2907" s="32" t="n"/>
      <c r="C2907" s="33" t="n"/>
      <c r="D2907" s="37" t="str">
        <f>IF($C2907="","",IFERROR(INDEX(프로젝트목록!$B$3:$B$62,MATCH($C2907,프로젝트목록!$A$3:$A$62,0)),"미등록코드"))</f>
        <v/>
      </c>
      <c r="E2907" s="32" t="n"/>
      <c r="F2907" s="38" t="n"/>
      <c r="G2907" s="38" t="n"/>
      <c r="H2907" s="39" t="n"/>
      <c r="I2907" s="40" t="str">
        <f>IF(OR($J2907="",$K2907=""),"",ROUND(MAX(0,($K2907-$J2907)-IF($H2907="",0,$H2907))/60,2))</f>
        <v/>
      </c>
      <c r="J2907" s="41" t="str">
        <f>IF($F2907="","",IF($F2907&lt;1,ROUND($F2907*1440,0),INT($F2907/100)*60+MOD($F2907,100)))</f>
        <v/>
      </c>
      <c r="K2907" s="41" t="str">
        <f>IF($G2907="","",IF($G2907&lt;1,ROUND($G2907*1440,0),INT($G2907/100)*60+MOD($G2907,100)))</f>
        <v/>
      </c>
    </row>
    <row r="2908" ht="15" customHeight="1" s="26">
      <c r="A2908" s="34" t="n"/>
      <c r="B2908" s="32" t="n"/>
      <c r="C2908" s="33" t="n"/>
      <c r="D2908" s="37" t="str">
        <f>IF($C2908="","",IFERROR(INDEX(프로젝트목록!$B$3:$B$62,MATCH($C2908,프로젝트목록!$A$3:$A$62,0)),"미등록코드"))</f>
        <v/>
      </c>
      <c r="E2908" s="32" t="n"/>
      <c r="F2908" s="38" t="n"/>
      <c r="G2908" s="38" t="n"/>
      <c r="H2908" s="39" t="n"/>
      <c r="I2908" s="40" t="str">
        <f>IF(OR($J2908="",$K2908=""),"",ROUND(MAX(0,($K2908-$J2908)-IF($H2908="",0,$H2908))/60,2))</f>
        <v/>
      </c>
      <c r="J2908" s="41" t="str">
        <f>IF($F2908="","",IF($F2908&lt;1,ROUND($F2908*1440,0),INT($F2908/100)*60+MOD($F2908,100)))</f>
        <v/>
      </c>
      <c r="K2908" s="41" t="str">
        <f>IF($G2908="","",IF($G2908&lt;1,ROUND($G2908*1440,0),INT($G2908/100)*60+MOD($G2908,100)))</f>
        <v/>
      </c>
    </row>
    <row r="2909" ht="15" customHeight="1" s="26">
      <c r="A2909" s="34" t="n"/>
      <c r="B2909" s="32" t="n"/>
      <c r="C2909" s="33" t="n"/>
      <c r="D2909" s="37" t="str">
        <f>IF($C2909="","",IFERROR(INDEX(프로젝트목록!$B$3:$B$62,MATCH($C2909,프로젝트목록!$A$3:$A$62,0)),"미등록코드"))</f>
        <v/>
      </c>
      <c r="E2909" s="32" t="n"/>
      <c r="F2909" s="38" t="n"/>
      <c r="G2909" s="38" t="n"/>
      <c r="H2909" s="39" t="n"/>
      <c r="I2909" s="40" t="str">
        <f>IF(OR($J2909="",$K2909=""),"",ROUND(MAX(0,($K2909-$J2909)-IF($H2909="",0,$H2909))/60,2))</f>
        <v/>
      </c>
      <c r="J2909" s="41" t="str">
        <f>IF($F2909="","",IF($F2909&lt;1,ROUND($F2909*1440,0),INT($F2909/100)*60+MOD($F2909,100)))</f>
        <v/>
      </c>
      <c r="K2909" s="41" t="str">
        <f>IF($G2909="","",IF($G2909&lt;1,ROUND($G2909*1440,0),INT($G2909/100)*60+MOD($G2909,100)))</f>
        <v/>
      </c>
    </row>
    <row r="2910" ht="15" customHeight="1" s="26">
      <c r="A2910" s="34" t="n"/>
      <c r="B2910" s="32" t="n"/>
      <c r="C2910" s="33" t="n"/>
      <c r="D2910" s="37" t="str">
        <f>IF($C2910="","",IFERROR(INDEX(프로젝트목록!$B$3:$B$62,MATCH($C2910,프로젝트목록!$A$3:$A$62,0)),"미등록코드"))</f>
        <v/>
      </c>
      <c r="E2910" s="32" t="n"/>
      <c r="F2910" s="38" t="n"/>
      <c r="G2910" s="38" t="n"/>
      <c r="H2910" s="39" t="n"/>
      <c r="I2910" s="40" t="str">
        <f>IF(OR($J2910="",$K2910=""),"",ROUND(MAX(0,($K2910-$J2910)-IF($H2910="",0,$H2910))/60,2))</f>
        <v/>
      </c>
      <c r="J2910" s="41" t="str">
        <f>IF($F2910="","",IF($F2910&lt;1,ROUND($F2910*1440,0),INT($F2910/100)*60+MOD($F2910,100)))</f>
        <v/>
      </c>
      <c r="K2910" s="41" t="str">
        <f>IF($G2910="","",IF($G2910&lt;1,ROUND($G2910*1440,0),INT($G2910/100)*60+MOD($G2910,100)))</f>
        <v/>
      </c>
    </row>
    <row r="2911" ht="15" customHeight="1" s="26">
      <c r="A2911" s="34" t="n"/>
      <c r="B2911" s="32" t="n"/>
      <c r="C2911" s="33" t="n"/>
      <c r="D2911" s="37" t="str">
        <f>IF($C2911="","",IFERROR(INDEX(프로젝트목록!$B$3:$B$62,MATCH($C2911,프로젝트목록!$A$3:$A$62,0)),"미등록코드"))</f>
        <v/>
      </c>
      <c r="E2911" s="32" t="n"/>
      <c r="F2911" s="38" t="n"/>
      <c r="G2911" s="38" t="n"/>
      <c r="H2911" s="39" t="n"/>
      <c r="I2911" s="40" t="str">
        <f>IF(OR($J2911="",$K2911=""),"",ROUND(MAX(0,($K2911-$J2911)-IF($H2911="",0,$H2911))/60,2))</f>
        <v/>
      </c>
      <c r="J2911" s="41" t="str">
        <f>IF($F2911="","",IF($F2911&lt;1,ROUND($F2911*1440,0),INT($F2911/100)*60+MOD($F2911,100)))</f>
        <v/>
      </c>
      <c r="K2911" s="41" t="str">
        <f>IF($G2911="","",IF($G2911&lt;1,ROUND($G2911*1440,0),INT($G2911/100)*60+MOD($G2911,100)))</f>
        <v/>
      </c>
    </row>
    <row r="2912" ht="15" customHeight="1" s="26">
      <c r="A2912" s="34" t="n"/>
      <c r="B2912" s="32" t="n"/>
      <c r="C2912" s="33" t="n"/>
      <c r="D2912" s="37" t="str">
        <f>IF($C2912="","",IFERROR(INDEX(프로젝트목록!$B$3:$B$62,MATCH($C2912,프로젝트목록!$A$3:$A$62,0)),"미등록코드"))</f>
        <v/>
      </c>
      <c r="E2912" s="32" t="n"/>
      <c r="F2912" s="38" t="n"/>
      <c r="G2912" s="38" t="n"/>
      <c r="H2912" s="39" t="n"/>
      <c r="I2912" s="40" t="str">
        <f>IF(OR($J2912="",$K2912=""),"",ROUND(MAX(0,($K2912-$J2912)-IF($H2912="",0,$H2912))/60,2))</f>
        <v/>
      </c>
      <c r="J2912" s="41" t="str">
        <f>IF($F2912="","",IF($F2912&lt;1,ROUND($F2912*1440,0),INT($F2912/100)*60+MOD($F2912,100)))</f>
        <v/>
      </c>
      <c r="K2912" s="41" t="str">
        <f>IF($G2912="","",IF($G2912&lt;1,ROUND($G2912*1440,0),INT($G2912/100)*60+MOD($G2912,100)))</f>
        <v/>
      </c>
    </row>
    <row r="2913" ht="15" customHeight="1" s="26">
      <c r="A2913" s="34" t="n"/>
      <c r="B2913" s="32" t="n"/>
      <c r="C2913" s="33" t="n"/>
      <c r="D2913" s="37" t="str">
        <f>IF($C2913="","",IFERROR(INDEX(프로젝트목록!$B$3:$B$62,MATCH($C2913,프로젝트목록!$A$3:$A$62,0)),"미등록코드"))</f>
        <v/>
      </c>
      <c r="E2913" s="32" t="n"/>
      <c r="F2913" s="38" t="n"/>
      <c r="G2913" s="38" t="n"/>
      <c r="H2913" s="39" t="n"/>
      <c r="I2913" s="40" t="str">
        <f>IF(OR($J2913="",$K2913=""),"",ROUND(MAX(0,($K2913-$J2913)-IF($H2913="",0,$H2913))/60,2))</f>
        <v/>
      </c>
      <c r="J2913" s="41" t="str">
        <f>IF($F2913="","",IF($F2913&lt;1,ROUND($F2913*1440,0),INT($F2913/100)*60+MOD($F2913,100)))</f>
        <v/>
      </c>
      <c r="K2913" s="41" t="str">
        <f>IF($G2913="","",IF($G2913&lt;1,ROUND($G2913*1440,0),INT($G2913/100)*60+MOD($G2913,100)))</f>
        <v/>
      </c>
    </row>
    <row r="2914" ht="15" customHeight="1" s="26">
      <c r="A2914" s="34" t="n"/>
      <c r="B2914" s="32" t="n"/>
      <c r="C2914" s="33" t="n"/>
      <c r="D2914" s="37" t="str">
        <f>IF($C2914="","",IFERROR(INDEX(프로젝트목록!$B$3:$B$62,MATCH($C2914,프로젝트목록!$A$3:$A$62,0)),"미등록코드"))</f>
        <v/>
      </c>
      <c r="E2914" s="32" t="n"/>
      <c r="F2914" s="38" t="n"/>
      <c r="G2914" s="38" t="n"/>
      <c r="H2914" s="39" t="n"/>
      <c r="I2914" s="40" t="str">
        <f>IF(OR($J2914="",$K2914=""),"",ROUND(MAX(0,($K2914-$J2914)-IF($H2914="",0,$H2914))/60,2))</f>
        <v/>
      </c>
      <c r="J2914" s="41" t="str">
        <f>IF($F2914="","",IF($F2914&lt;1,ROUND($F2914*1440,0),INT($F2914/100)*60+MOD($F2914,100)))</f>
        <v/>
      </c>
      <c r="K2914" s="41" t="str">
        <f>IF($G2914="","",IF($G2914&lt;1,ROUND($G2914*1440,0),INT($G2914/100)*60+MOD($G2914,100)))</f>
        <v/>
      </c>
    </row>
    <row r="2915" ht="15" customHeight="1" s="26">
      <c r="A2915" s="34" t="n"/>
      <c r="B2915" s="32" t="n"/>
      <c r="C2915" s="33" t="n"/>
      <c r="D2915" s="37" t="str">
        <f>IF($C2915="","",IFERROR(INDEX(프로젝트목록!$B$3:$B$62,MATCH($C2915,프로젝트목록!$A$3:$A$62,0)),"미등록코드"))</f>
        <v/>
      </c>
      <c r="E2915" s="32" t="n"/>
      <c r="F2915" s="38" t="n"/>
      <c r="G2915" s="38" t="n"/>
      <c r="H2915" s="39" t="n"/>
      <c r="I2915" s="40" t="str">
        <f>IF(OR($J2915="",$K2915=""),"",ROUND(MAX(0,($K2915-$J2915)-IF($H2915="",0,$H2915))/60,2))</f>
        <v/>
      </c>
      <c r="J2915" s="41" t="str">
        <f>IF($F2915="","",IF($F2915&lt;1,ROUND($F2915*1440,0),INT($F2915/100)*60+MOD($F2915,100)))</f>
        <v/>
      </c>
      <c r="K2915" s="41" t="str">
        <f>IF($G2915="","",IF($G2915&lt;1,ROUND($G2915*1440,0),INT($G2915/100)*60+MOD($G2915,100)))</f>
        <v/>
      </c>
    </row>
    <row r="2916" ht="15" customHeight="1" s="26">
      <c r="A2916" s="34" t="n"/>
      <c r="B2916" s="32" t="n"/>
      <c r="C2916" s="33" t="n"/>
      <c r="D2916" s="37" t="str">
        <f>IF($C2916="","",IFERROR(INDEX(프로젝트목록!$B$3:$B$62,MATCH($C2916,프로젝트목록!$A$3:$A$62,0)),"미등록코드"))</f>
        <v/>
      </c>
      <c r="E2916" s="32" t="n"/>
      <c r="F2916" s="38" t="n"/>
      <c r="G2916" s="38" t="n"/>
      <c r="H2916" s="39" t="n"/>
      <c r="I2916" s="40" t="str">
        <f>IF(OR($J2916="",$K2916=""),"",ROUND(MAX(0,($K2916-$J2916)-IF($H2916="",0,$H2916))/60,2))</f>
        <v/>
      </c>
      <c r="J2916" s="41" t="str">
        <f>IF($F2916="","",IF($F2916&lt;1,ROUND($F2916*1440,0),INT($F2916/100)*60+MOD($F2916,100)))</f>
        <v/>
      </c>
      <c r="K2916" s="41" t="str">
        <f>IF($G2916="","",IF($G2916&lt;1,ROUND($G2916*1440,0),INT($G2916/100)*60+MOD($G2916,100)))</f>
        <v/>
      </c>
    </row>
    <row r="2917" ht="15" customHeight="1" s="26">
      <c r="A2917" s="34" t="n"/>
      <c r="B2917" s="32" t="n"/>
      <c r="C2917" s="33" t="n"/>
      <c r="D2917" s="37" t="str">
        <f>IF($C2917="","",IFERROR(INDEX(프로젝트목록!$B$3:$B$62,MATCH($C2917,프로젝트목록!$A$3:$A$62,0)),"미등록코드"))</f>
        <v/>
      </c>
      <c r="E2917" s="32" t="n"/>
      <c r="F2917" s="38" t="n"/>
      <c r="G2917" s="38" t="n"/>
      <c r="H2917" s="39" t="n"/>
      <c r="I2917" s="40" t="str">
        <f>IF(OR($J2917="",$K2917=""),"",ROUND(MAX(0,($K2917-$J2917)-IF($H2917="",0,$H2917))/60,2))</f>
        <v/>
      </c>
      <c r="J2917" s="41" t="str">
        <f>IF($F2917="","",IF($F2917&lt;1,ROUND($F2917*1440,0),INT($F2917/100)*60+MOD($F2917,100)))</f>
        <v/>
      </c>
      <c r="K2917" s="41" t="str">
        <f>IF($G2917="","",IF($G2917&lt;1,ROUND($G2917*1440,0),INT($G2917/100)*60+MOD($G2917,100)))</f>
        <v/>
      </c>
    </row>
    <row r="2918" ht="15" customHeight="1" s="26">
      <c r="A2918" s="34" t="n"/>
      <c r="B2918" s="32" t="n"/>
      <c r="C2918" s="33" t="n"/>
      <c r="D2918" s="37" t="str">
        <f>IF($C2918="","",IFERROR(INDEX(프로젝트목록!$B$3:$B$62,MATCH($C2918,프로젝트목록!$A$3:$A$62,0)),"미등록코드"))</f>
        <v/>
      </c>
      <c r="E2918" s="32" t="n"/>
      <c r="F2918" s="38" t="n"/>
      <c r="G2918" s="38" t="n"/>
      <c r="H2918" s="39" t="n"/>
      <c r="I2918" s="40" t="str">
        <f>IF(OR($J2918="",$K2918=""),"",ROUND(MAX(0,($K2918-$J2918)-IF($H2918="",0,$H2918))/60,2))</f>
        <v/>
      </c>
      <c r="J2918" s="41" t="str">
        <f>IF($F2918="","",IF($F2918&lt;1,ROUND($F2918*1440,0),INT($F2918/100)*60+MOD($F2918,100)))</f>
        <v/>
      </c>
      <c r="K2918" s="41" t="str">
        <f>IF($G2918="","",IF($G2918&lt;1,ROUND($G2918*1440,0),INT($G2918/100)*60+MOD($G2918,100)))</f>
        <v/>
      </c>
    </row>
    <row r="2919" ht="15" customHeight="1" s="26">
      <c r="A2919" s="34" t="n"/>
      <c r="B2919" s="32" t="n"/>
      <c r="C2919" s="33" t="n"/>
      <c r="D2919" s="37" t="str">
        <f>IF($C2919="","",IFERROR(INDEX(프로젝트목록!$B$3:$B$62,MATCH($C2919,프로젝트목록!$A$3:$A$62,0)),"미등록코드"))</f>
        <v/>
      </c>
      <c r="E2919" s="32" t="n"/>
      <c r="F2919" s="38" t="n"/>
      <c r="G2919" s="38" t="n"/>
      <c r="H2919" s="39" t="n"/>
      <c r="I2919" s="40" t="str">
        <f>IF(OR($J2919="",$K2919=""),"",ROUND(MAX(0,($K2919-$J2919)-IF($H2919="",0,$H2919))/60,2))</f>
        <v/>
      </c>
      <c r="J2919" s="41" t="str">
        <f>IF($F2919="","",IF($F2919&lt;1,ROUND($F2919*1440,0),INT($F2919/100)*60+MOD($F2919,100)))</f>
        <v/>
      </c>
      <c r="K2919" s="41" t="str">
        <f>IF($G2919="","",IF($G2919&lt;1,ROUND($G2919*1440,0),INT($G2919/100)*60+MOD($G2919,100)))</f>
        <v/>
      </c>
    </row>
    <row r="2920" ht="15" customHeight="1" s="26">
      <c r="A2920" s="34" t="n"/>
      <c r="B2920" s="32" t="n"/>
      <c r="C2920" s="33" t="n"/>
      <c r="D2920" s="37" t="str">
        <f>IF($C2920="","",IFERROR(INDEX(프로젝트목록!$B$3:$B$62,MATCH($C2920,프로젝트목록!$A$3:$A$62,0)),"미등록코드"))</f>
        <v/>
      </c>
      <c r="E2920" s="32" t="n"/>
      <c r="F2920" s="38" t="n"/>
      <c r="G2920" s="38" t="n"/>
      <c r="H2920" s="39" t="n"/>
      <c r="I2920" s="40" t="str">
        <f>IF(OR($J2920="",$K2920=""),"",ROUND(MAX(0,($K2920-$J2920)-IF($H2920="",0,$H2920))/60,2))</f>
        <v/>
      </c>
      <c r="J2920" s="41" t="str">
        <f>IF($F2920="","",IF($F2920&lt;1,ROUND($F2920*1440,0),INT($F2920/100)*60+MOD($F2920,100)))</f>
        <v/>
      </c>
      <c r="K2920" s="41" t="str">
        <f>IF($G2920="","",IF($G2920&lt;1,ROUND($G2920*1440,0),INT($G2920/100)*60+MOD($G2920,100)))</f>
        <v/>
      </c>
    </row>
    <row r="2921" ht="15" customHeight="1" s="26">
      <c r="A2921" s="34" t="n"/>
      <c r="B2921" s="32" t="n"/>
      <c r="C2921" s="33" t="n"/>
      <c r="D2921" s="37" t="str">
        <f>IF($C2921="","",IFERROR(INDEX(프로젝트목록!$B$3:$B$62,MATCH($C2921,프로젝트목록!$A$3:$A$62,0)),"미등록코드"))</f>
        <v/>
      </c>
      <c r="E2921" s="32" t="n"/>
      <c r="F2921" s="38" t="n"/>
      <c r="G2921" s="38" t="n"/>
      <c r="H2921" s="39" t="n"/>
      <c r="I2921" s="40" t="str">
        <f>IF(OR($J2921="",$K2921=""),"",ROUND(MAX(0,($K2921-$J2921)-IF($H2921="",0,$H2921))/60,2))</f>
        <v/>
      </c>
      <c r="J2921" s="41" t="str">
        <f>IF($F2921="","",IF($F2921&lt;1,ROUND($F2921*1440,0),INT($F2921/100)*60+MOD($F2921,100)))</f>
        <v/>
      </c>
      <c r="K2921" s="41" t="str">
        <f>IF($G2921="","",IF($G2921&lt;1,ROUND($G2921*1440,0),INT($G2921/100)*60+MOD($G2921,100)))</f>
        <v/>
      </c>
    </row>
    <row r="2922" ht="15" customHeight="1" s="26">
      <c r="A2922" s="34" t="n"/>
      <c r="B2922" s="32" t="n"/>
      <c r="C2922" s="33" t="n"/>
      <c r="D2922" s="37" t="str">
        <f>IF($C2922="","",IFERROR(INDEX(프로젝트목록!$B$3:$B$62,MATCH($C2922,프로젝트목록!$A$3:$A$62,0)),"미등록코드"))</f>
        <v/>
      </c>
      <c r="E2922" s="32" t="n"/>
      <c r="F2922" s="38" t="n"/>
      <c r="G2922" s="38" t="n"/>
      <c r="H2922" s="39" t="n"/>
      <c r="I2922" s="40" t="str">
        <f>IF(OR($J2922="",$K2922=""),"",ROUND(MAX(0,($K2922-$J2922)-IF($H2922="",0,$H2922))/60,2))</f>
        <v/>
      </c>
      <c r="J2922" s="41" t="str">
        <f>IF($F2922="","",IF($F2922&lt;1,ROUND($F2922*1440,0),INT($F2922/100)*60+MOD($F2922,100)))</f>
        <v/>
      </c>
      <c r="K2922" s="41" t="str">
        <f>IF($G2922="","",IF($G2922&lt;1,ROUND($G2922*1440,0),INT($G2922/100)*60+MOD($G2922,100)))</f>
        <v/>
      </c>
    </row>
    <row r="2923" ht="15" customHeight="1" s="26">
      <c r="A2923" s="34" t="n"/>
      <c r="B2923" s="32" t="n"/>
      <c r="C2923" s="33" t="n"/>
      <c r="D2923" s="37" t="str">
        <f>IF($C2923="","",IFERROR(INDEX(프로젝트목록!$B$3:$B$62,MATCH($C2923,프로젝트목록!$A$3:$A$62,0)),"미등록코드"))</f>
        <v/>
      </c>
      <c r="E2923" s="32" t="n"/>
      <c r="F2923" s="38" t="n"/>
      <c r="G2923" s="38" t="n"/>
      <c r="H2923" s="39" t="n"/>
      <c r="I2923" s="40" t="str">
        <f>IF(OR($J2923="",$K2923=""),"",ROUND(MAX(0,($K2923-$J2923)-IF($H2923="",0,$H2923))/60,2))</f>
        <v/>
      </c>
      <c r="J2923" s="41" t="str">
        <f>IF($F2923="","",IF($F2923&lt;1,ROUND($F2923*1440,0),INT($F2923/100)*60+MOD($F2923,100)))</f>
        <v/>
      </c>
      <c r="K2923" s="41" t="str">
        <f>IF($G2923="","",IF($G2923&lt;1,ROUND($G2923*1440,0),INT($G2923/100)*60+MOD($G2923,100)))</f>
        <v/>
      </c>
    </row>
    <row r="2924" ht="15" customHeight="1" s="26">
      <c r="A2924" s="34" t="n"/>
      <c r="B2924" s="32" t="n"/>
      <c r="C2924" s="33" t="n"/>
      <c r="D2924" s="37" t="str">
        <f>IF($C2924="","",IFERROR(INDEX(프로젝트목록!$B$3:$B$62,MATCH($C2924,프로젝트목록!$A$3:$A$62,0)),"미등록코드"))</f>
        <v/>
      </c>
      <c r="E2924" s="32" t="n"/>
      <c r="F2924" s="38" t="n"/>
      <c r="G2924" s="38" t="n"/>
      <c r="H2924" s="39" t="n"/>
      <c r="I2924" s="40" t="str">
        <f>IF(OR($J2924="",$K2924=""),"",ROUND(MAX(0,($K2924-$J2924)-IF($H2924="",0,$H2924))/60,2))</f>
        <v/>
      </c>
      <c r="J2924" s="41" t="str">
        <f>IF($F2924="","",IF($F2924&lt;1,ROUND($F2924*1440,0),INT($F2924/100)*60+MOD($F2924,100)))</f>
        <v/>
      </c>
      <c r="K2924" s="41" t="str">
        <f>IF($G2924="","",IF($G2924&lt;1,ROUND($G2924*1440,0),INT($G2924/100)*60+MOD($G2924,100)))</f>
        <v/>
      </c>
    </row>
    <row r="2925" ht="15" customHeight="1" s="26">
      <c r="A2925" s="34" t="n"/>
      <c r="B2925" s="32" t="n"/>
      <c r="C2925" s="33" t="n"/>
      <c r="D2925" s="37" t="str">
        <f>IF($C2925="","",IFERROR(INDEX(프로젝트목록!$B$3:$B$62,MATCH($C2925,프로젝트목록!$A$3:$A$62,0)),"미등록코드"))</f>
        <v/>
      </c>
      <c r="E2925" s="32" t="n"/>
      <c r="F2925" s="38" t="n"/>
      <c r="G2925" s="38" t="n"/>
      <c r="H2925" s="39" t="n"/>
      <c r="I2925" s="40" t="str">
        <f>IF(OR($J2925="",$K2925=""),"",ROUND(MAX(0,($K2925-$J2925)-IF($H2925="",0,$H2925))/60,2))</f>
        <v/>
      </c>
      <c r="J2925" s="41" t="str">
        <f>IF($F2925="","",IF($F2925&lt;1,ROUND($F2925*1440,0),INT($F2925/100)*60+MOD($F2925,100)))</f>
        <v/>
      </c>
      <c r="K2925" s="41" t="str">
        <f>IF($G2925="","",IF($G2925&lt;1,ROUND($G2925*1440,0),INT($G2925/100)*60+MOD($G2925,100)))</f>
        <v/>
      </c>
    </row>
    <row r="2926" ht="15" customHeight="1" s="26">
      <c r="A2926" s="34" t="n"/>
      <c r="B2926" s="32" t="n"/>
      <c r="C2926" s="33" t="n"/>
      <c r="D2926" s="37" t="str">
        <f>IF($C2926="","",IFERROR(INDEX(프로젝트목록!$B$3:$B$62,MATCH($C2926,프로젝트목록!$A$3:$A$62,0)),"미등록코드"))</f>
        <v/>
      </c>
      <c r="E2926" s="32" t="n"/>
      <c r="F2926" s="38" t="n"/>
      <c r="G2926" s="38" t="n"/>
      <c r="H2926" s="39" t="n"/>
      <c r="I2926" s="40" t="str">
        <f>IF(OR($J2926="",$K2926=""),"",ROUND(MAX(0,($K2926-$J2926)-IF($H2926="",0,$H2926))/60,2))</f>
        <v/>
      </c>
      <c r="J2926" s="41" t="str">
        <f>IF($F2926="","",IF($F2926&lt;1,ROUND($F2926*1440,0),INT($F2926/100)*60+MOD($F2926,100)))</f>
        <v/>
      </c>
      <c r="K2926" s="41" t="str">
        <f>IF($G2926="","",IF($G2926&lt;1,ROUND($G2926*1440,0),INT($G2926/100)*60+MOD($G2926,100)))</f>
        <v/>
      </c>
    </row>
    <row r="2927" ht="15" customHeight="1" s="26">
      <c r="A2927" s="34" t="n"/>
      <c r="B2927" s="32" t="n"/>
      <c r="C2927" s="33" t="n"/>
      <c r="D2927" s="37" t="str">
        <f>IF($C2927="","",IFERROR(INDEX(프로젝트목록!$B$3:$B$62,MATCH($C2927,프로젝트목록!$A$3:$A$62,0)),"미등록코드"))</f>
        <v/>
      </c>
      <c r="E2927" s="32" t="n"/>
      <c r="F2927" s="38" t="n"/>
      <c r="G2927" s="38" t="n"/>
      <c r="H2927" s="39" t="n"/>
      <c r="I2927" s="40" t="str">
        <f>IF(OR($J2927="",$K2927=""),"",ROUND(MAX(0,($K2927-$J2927)-IF($H2927="",0,$H2927))/60,2))</f>
        <v/>
      </c>
      <c r="J2927" s="41" t="str">
        <f>IF($F2927="","",IF($F2927&lt;1,ROUND($F2927*1440,0),INT($F2927/100)*60+MOD($F2927,100)))</f>
        <v/>
      </c>
      <c r="K2927" s="41" t="str">
        <f>IF($G2927="","",IF($G2927&lt;1,ROUND($G2927*1440,0),INT($G2927/100)*60+MOD($G2927,100)))</f>
        <v/>
      </c>
    </row>
    <row r="2928" ht="15" customHeight="1" s="26">
      <c r="A2928" s="34" t="n"/>
      <c r="B2928" s="32" t="n"/>
      <c r="C2928" s="33" t="n"/>
      <c r="D2928" s="37" t="str">
        <f>IF($C2928="","",IFERROR(INDEX(프로젝트목록!$B$3:$B$62,MATCH($C2928,프로젝트목록!$A$3:$A$62,0)),"미등록코드"))</f>
        <v/>
      </c>
      <c r="E2928" s="32" t="n"/>
      <c r="F2928" s="38" t="n"/>
      <c r="G2928" s="38" t="n"/>
      <c r="H2928" s="39" t="n"/>
      <c r="I2928" s="40" t="str">
        <f>IF(OR($J2928="",$K2928=""),"",ROUND(MAX(0,($K2928-$J2928)-IF($H2928="",0,$H2928))/60,2))</f>
        <v/>
      </c>
      <c r="J2928" s="41" t="str">
        <f>IF($F2928="","",IF($F2928&lt;1,ROUND($F2928*1440,0),INT($F2928/100)*60+MOD($F2928,100)))</f>
        <v/>
      </c>
      <c r="K2928" s="41" t="str">
        <f>IF($G2928="","",IF($G2928&lt;1,ROUND($G2928*1440,0),INT($G2928/100)*60+MOD($G2928,100)))</f>
        <v/>
      </c>
    </row>
    <row r="2929" ht="15" customHeight="1" s="26">
      <c r="A2929" s="34" t="n"/>
      <c r="B2929" s="32" t="n"/>
      <c r="C2929" s="33" t="n"/>
      <c r="D2929" s="37" t="str">
        <f>IF($C2929="","",IFERROR(INDEX(프로젝트목록!$B$3:$B$62,MATCH($C2929,프로젝트목록!$A$3:$A$62,0)),"미등록코드"))</f>
        <v/>
      </c>
      <c r="E2929" s="32" t="n"/>
      <c r="F2929" s="38" t="n"/>
      <c r="G2929" s="38" t="n"/>
      <c r="H2929" s="39" t="n"/>
      <c r="I2929" s="40" t="str">
        <f>IF(OR($J2929="",$K2929=""),"",ROUND(MAX(0,($K2929-$J2929)-IF($H2929="",0,$H2929))/60,2))</f>
        <v/>
      </c>
      <c r="J2929" s="41" t="str">
        <f>IF($F2929="","",IF($F2929&lt;1,ROUND($F2929*1440,0),INT($F2929/100)*60+MOD($F2929,100)))</f>
        <v/>
      </c>
      <c r="K2929" s="41" t="str">
        <f>IF($G2929="","",IF($G2929&lt;1,ROUND($G2929*1440,0),INT($G2929/100)*60+MOD($G2929,100)))</f>
        <v/>
      </c>
    </row>
    <row r="2930" ht="15" customHeight="1" s="26">
      <c r="A2930" s="34" t="n"/>
      <c r="B2930" s="32" t="n"/>
      <c r="C2930" s="33" t="n"/>
      <c r="D2930" s="37" t="str">
        <f>IF($C2930="","",IFERROR(INDEX(프로젝트목록!$B$3:$B$62,MATCH($C2930,프로젝트목록!$A$3:$A$62,0)),"미등록코드"))</f>
        <v/>
      </c>
      <c r="E2930" s="32" t="n"/>
      <c r="F2930" s="38" t="n"/>
      <c r="G2930" s="38" t="n"/>
      <c r="H2930" s="39" t="n"/>
      <c r="I2930" s="40" t="str">
        <f>IF(OR($J2930="",$K2930=""),"",ROUND(MAX(0,($K2930-$J2930)-IF($H2930="",0,$H2930))/60,2))</f>
        <v/>
      </c>
      <c r="J2930" s="41" t="str">
        <f>IF($F2930="","",IF($F2930&lt;1,ROUND($F2930*1440,0),INT($F2930/100)*60+MOD($F2930,100)))</f>
        <v/>
      </c>
      <c r="K2930" s="41" t="str">
        <f>IF($G2930="","",IF($G2930&lt;1,ROUND($G2930*1440,0),INT($G2930/100)*60+MOD($G2930,100)))</f>
        <v/>
      </c>
    </row>
    <row r="2931" ht="15" customHeight="1" s="26">
      <c r="A2931" s="34" t="n"/>
      <c r="B2931" s="32" t="n"/>
      <c r="C2931" s="33" t="n"/>
      <c r="D2931" s="37" t="str">
        <f>IF($C2931="","",IFERROR(INDEX(프로젝트목록!$B$3:$B$62,MATCH($C2931,프로젝트목록!$A$3:$A$62,0)),"미등록코드"))</f>
        <v/>
      </c>
      <c r="E2931" s="32" t="n"/>
      <c r="F2931" s="38" t="n"/>
      <c r="G2931" s="38" t="n"/>
      <c r="H2931" s="39" t="n"/>
      <c r="I2931" s="40" t="str">
        <f>IF(OR($J2931="",$K2931=""),"",ROUND(MAX(0,($K2931-$J2931)-IF($H2931="",0,$H2931))/60,2))</f>
        <v/>
      </c>
      <c r="J2931" s="41" t="str">
        <f>IF($F2931="","",IF($F2931&lt;1,ROUND($F2931*1440,0),INT($F2931/100)*60+MOD($F2931,100)))</f>
        <v/>
      </c>
      <c r="K2931" s="41" t="str">
        <f>IF($G2931="","",IF($G2931&lt;1,ROUND($G2931*1440,0),INT($G2931/100)*60+MOD($G2931,100)))</f>
        <v/>
      </c>
    </row>
    <row r="2932" ht="15" customHeight="1" s="26">
      <c r="A2932" s="34" t="n"/>
      <c r="B2932" s="32" t="n"/>
      <c r="C2932" s="33" t="n"/>
      <c r="D2932" s="37" t="str">
        <f>IF($C2932="","",IFERROR(INDEX(프로젝트목록!$B$3:$B$62,MATCH($C2932,프로젝트목록!$A$3:$A$62,0)),"미등록코드"))</f>
        <v/>
      </c>
      <c r="E2932" s="32" t="n"/>
      <c r="F2932" s="38" t="n"/>
      <c r="G2932" s="38" t="n"/>
      <c r="H2932" s="39" t="n"/>
      <c r="I2932" s="40" t="str">
        <f>IF(OR($J2932="",$K2932=""),"",ROUND(MAX(0,($K2932-$J2932)-IF($H2932="",0,$H2932))/60,2))</f>
        <v/>
      </c>
      <c r="J2932" s="41" t="str">
        <f>IF($F2932="","",IF($F2932&lt;1,ROUND($F2932*1440,0),INT($F2932/100)*60+MOD($F2932,100)))</f>
        <v/>
      </c>
      <c r="K2932" s="41" t="str">
        <f>IF($G2932="","",IF($G2932&lt;1,ROUND($G2932*1440,0),INT($G2932/100)*60+MOD($G2932,100)))</f>
        <v/>
      </c>
    </row>
    <row r="2933" ht="15" customHeight="1" s="26">
      <c r="A2933" s="34" t="n"/>
      <c r="B2933" s="32" t="n"/>
      <c r="C2933" s="33" t="n"/>
      <c r="D2933" s="37" t="str">
        <f>IF($C2933="","",IFERROR(INDEX(프로젝트목록!$B$3:$B$62,MATCH($C2933,프로젝트목록!$A$3:$A$62,0)),"미등록코드"))</f>
        <v/>
      </c>
      <c r="E2933" s="32" t="n"/>
      <c r="F2933" s="38" t="n"/>
      <c r="G2933" s="38" t="n"/>
      <c r="H2933" s="39" t="n"/>
      <c r="I2933" s="40" t="str">
        <f>IF(OR($J2933="",$K2933=""),"",ROUND(MAX(0,($K2933-$J2933)-IF($H2933="",0,$H2933))/60,2))</f>
        <v/>
      </c>
      <c r="J2933" s="41" t="str">
        <f>IF($F2933="","",IF($F2933&lt;1,ROUND($F2933*1440,0),INT($F2933/100)*60+MOD($F2933,100)))</f>
        <v/>
      </c>
      <c r="K2933" s="41" t="str">
        <f>IF($G2933="","",IF($G2933&lt;1,ROUND($G2933*1440,0),INT($G2933/100)*60+MOD($G2933,100)))</f>
        <v/>
      </c>
    </row>
    <row r="2934" ht="15" customHeight="1" s="26">
      <c r="A2934" s="34" t="n"/>
      <c r="B2934" s="32" t="n"/>
      <c r="C2934" s="33" t="n"/>
      <c r="D2934" s="37" t="str">
        <f>IF($C2934="","",IFERROR(INDEX(프로젝트목록!$B$3:$B$62,MATCH($C2934,프로젝트목록!$A$3:$A$62,0)),"미등록코드"))</f>
        <v/>
      </c>
      <c r="E2934" s="32" t="n"/>
      <c r="F2934" s="38" t="n"/>
      <c r="G2934" s="38" t="n"/>
      <c r="H2934" s="39" t="n"/>
      <c r="I2934" s="40" t="str">
        <f>IF(OR($J2934="",$K2934=""),"",ROUND(MAX(0,($K2934-$J2934)-IF($H2934="",0,$H2934))/60,2))</f>
        <v/>
      </c>
      <c r="J2934" s="41" t="str">
        <f>IF($F2934="","",IF($F2934&lt;1,ROUND($F2934*1440,0),INT($F2934/100)*60+MOD($F2934,100)))</f>
        <v/>
      </c>
      <c r="K2934" s="41" t="str">
        <f>IF($G2934="","",IF($G2934&lt;1,ROUND($G2934*1440,0),INT($G2934/100)*60+MOD($G2934,100)))</f>
        <v/>
      </c>
    </row>
    <row r="2935" ht="15" customHeight="1" s="26">
      <c r="A2935" s="34" t="n"/>
      <c r="B2935" s="32" t="n"/>
      <c r="C2935" s="33" t="n"/>
      <c r="D2935" s="37" t="str">
        <f>IF($C2935="","",IFERROR(INDEX(프로젝트목록!$B$3:$B$62,MATCH($C2935,프로젝트목록!$A$3:$A$62,0)),"미등록코드"))</f>
        <v/>
      </c>
      <c r="E2935" s="32" t="n"/>
      <c r="F2935" s="38" t="n"/>
      <c r="G2935" s="38" t="n"/>
      <c r="H2935" s="39" t="n"/>
      <c r="I2935" s="40" t="str">
        <f>IF(OR($J2935="",$K2935=""),"",ROUND(MAX(0,($K2935-$J2935)-IF($H2935="",0,$H2935))/60,2))</f>
        <v/>
      </c>
      <c r="J2935" s="41" t="str">
        <f>IF($F2935="","",IF($F2935&lt;1,ROUND($F2935*1440,0),INT($F2935/100)*60+MOD($F2935,100)))</f>
        <v/>
      </c>
      <c r="K2935" s="41" t="str">
        <f>IF($G2935="","",IF($G2935&lt;1,ROUND($G2935*1440,0),INT($G2935/100)*60+MOD($G2935,100)))</f>
        <v/>
      </c>
    </row>
    <row r="2936" ht="15" customHeight="1" s="26">
      <c r="A2936" s="34" t="n"/>
      <c r="B2936" s="32" t="n"/>
      <c r="C2936" s="33" t="n"/>
      <c r="D2936" s="37" t="str">
        <f>IF($C2936="","",IFERROR(INDEX(프로젝트목록!$B$3:$B$62,MATCH($C2936,프로젝트목록!$A$3:$A$62,0)),"미등록코드"))</f>
        <v/>
      </c>
      <c r="E2936" s="32" t="n"/>
      <c r="F2936" s="38" t="n"/>
      <c r="G2936" s="38" t="n"/>
      <c r="H2936" s="39" t="n"/>
      <c r="I2936" s="40" t="str">
        <f>IF(OR($J2936="",$K2936=""),"",ROUND(MAX(0,($K2936-$J2936)-IF($H2936="",0,$H2936))/60,2))</f>
        <v/>
      </c>
      <c r="J2936" s="41" t="str">
        <f>IF($F2936="","",IF($F2936&lt;1,ROUND($F2936*1440,0),INT($F2936/100)*60+MOD($F2936,100)))</f>
        <v/>
      </c>
      <c r="K2936" s="41" t="str">
        <f>IF($G2936="","",IF($G2936&lt;1,ROUND($G2936*1440,0),INT($G2936/100)*60+MOD($G2936,100)))</f>
        <v/>
      </c>
    </row>
    <row r="2937" ht="15" customHeight="1" s="26">
      <c r="A2937" s="34" t="n"/>
      <c r="B2937" s="32" t="n"/>
      <c r="C2937" s="33" t="n"/>
      <c r="D2937" s="37" t="str">
        <f>IF($C2937="","",IFERROR(INDEX(프로젝트목록!$B$3:$B$62,MATCH($C2937,프로젝트목록!$A$3:$A$62,0)),"미등록코드"))</f>
        <v/>
      </c>
      <c r="E2937" s="32" t="n"/>
      <c r="F2937" s="38" t="n"/>
      <c r="G2937" s="38" t="n"/>
      <c r="H2937" s="39" t="n"/>
      <c r="I2937" s="40" t="str">
        <f>IF(OR($J2937="",$K2937=""),"",ROUND(MAX(0,($K2937-$J2937)-IF($H2937="",0,$H2937))/60,2))</f>
        <v/>
      </c>
      <c r="J2937" s="41" t="str">
        <f>IF($F2937="","",IF($F2937&lt;1,ROUND($F2937*1440,0),INT($F2937/100)*60+MOD($F2937,100)))</f>
        <v/>
      </c>
      <c r="K2937" s="41" t="str">
        <f>IF($G2937="","",IF($G2937&lt;1,ROUND($G2937*1440,0),INT($G2937/100)*60+MOD($G2937,100)))</f>
        <v/>
      </c>
    </row>
    <row r="2938" ht="15" customHeight="1" s="26">
      <c r="A2938" s="34" t="n"/>
      <c r="B2938" s="32" t="n"/>
      <c r="C2938" s="33" t="n"/>
      <c r="D2938" s="37" t="str">
        <f>IF($C2938="","",IFERROR(INDEX(프로젝트목록!$B$3:$B$62,MATCH($C2938,프로젝트목록!$A$3:$A$62,0)),"미등록코드"))</f>
        <v/>
      </c>
      <c r="E2938" s="32" t="n"/>
      <c r="F2938" s="38" t="n"/>
      <c r="G2938" s="38" t="n"/>
      <c r="H2938" s="39" t="n"/>
      <c r="I2938" s="40" t="str">
        <f>IF(OR($J2938="",$K2938=""),"",ROUND(MAX(0,($K2938-$J2938)-IF($H2938="",0,$H2938))/60,2))</f>
        <v/>
      </c>
      <c r="J2938" s="41" t="str">
        <f>IF($F2938="","",IF($F2938&lt;1,ROUND($F2938*1440,0),INT($F2938/100)*60+MOD($F2938,100)))</f>
        <v/>
      </c>
      <c r="K2938" s="41" t="str">
        <f>IF($G2938="","",IF($G2938&lt;1,ROUND($G2938*1440,0),INT($G2938/100)*60+MOD($G2938,100)))</f>
        <v/>
      </c>
    </row>
    <row r="2939" ht="15" customHeight="1" s="26">
      <c r="A2939" s="34" t="n"/>
      <c r="B2939" s="32" t="n"/>
      <c r="C2939" s="33" t="n"/>
      <c r="D2939" s="37" t="str">
        <f>IF($C2939="","",IFERROR(INDEX(프로젝트목록!$B$3:$B$62,MATCH($C2939,프로젝트목록!$A$3:$A$62,0)),"미등록코드"))</f>
        <v/>
      </c>
      <c r="E2939" s="32" t="n"/>
      <c r="F2939" s="38" t="n"/>
      <c r="G2939" s="38" t="n"/>
      <c r="H2939" s="39" t="n"/>
      <c r="I2939" s="40" t="str">
        <f>IF(OR($J2939="",$K2939=""),"",ROUND(MAX(0,($K2939-$J2939)-IF($H2939="",0,$H2939))/60,2))</f>
        <v/>
      </c>
      <c r="J2939" s="41" t="str">
        <f>IF($F2939="","",IF($F2939&lt;1,ROUND($F2939*1440,0),INT($F2939/100)*60+MOD($F2939,100)))</f>
        <v/>
      </c>
      <c r="K2939" s="41" t="str">
        <f>IF($G2939="","",IF($G2939&lt;1,ROUND($G2939*1440,0),INT($G2939/100)*60+MOD($G2939,100)))</f>
        <v/>
      </c>
    </row>
    <row r="2940" ht="15" customHeight="1" s="26">
      <c r="A2940" s="34" t="n"/>
      <c r="B2940" s="32" t="n"/>
      <c r="C2940" s="33" t="n"/>
      <c r="D2940" s="37" t="str">
        <f>IF($C2940="","",IFERROR(INDEX(프로젝트목록!$B$3:$B$62,MATCH($C2940,프로젝트목록!$A$3:$A$62,0)),"미등록코드"))</f>
        <v/>
      </c>
      <c r="E2940" s="32" t="n"/>
      <c r="F2940" s="38" t="n"/>
      <c r="G2940" s="38" t="n"/>
      <c r="H2940" s="39" t="n"/>
      <c r="I2940" s="40" t="str">
        <f>IF(OR($J2940="",$K2940=""),"",ROUND(MAX(0,($K2940-$J2940)-IF($H2940="",0,$H2940))/60,2))</f>
        <v/>
      </c>
      <c r="J2940" s="41" t="str">
        <f>IF($F2940="","",IF($F2940&lt;1,ROUND($F2940*1440,0),INT($F2940/100)*60+MOD($F2940,100)))</f>
        <v/>
      </c>
      <c r="K2940" s="41" t="str">
        <f>IF($G2940="","",IF($G2940&lt;1,ROUND($G2940*1440,0),INT($G2940/100)*60+MOD($G2940,100)))</f>
        <v/>
      </c>
    </row>
    <row r="2941" ht="15" customHeight="1" s="26">
      <c r="A2941" s="34" t="n"/>
      <c r="B2941" s="32" t="n"/>
      <c r="C2941" s="33" t="n"/>
      <c r="D2941" s="37" t="str">
        <f>IF($C2941="","",IFERROR(INDEX(프로젝트목록!$B$3:$B$62,MATCH($C2941,프로젝트목록!$A$3:$A$62,0)),"미등록코드"))</f>
        <v/>
      </c>
      <c r="E2941" s="32" t="n"/>
      <c r="F2941" s="38" t="n"/>
      <c r="G2941" s="38" t="n"/>
      <c r="H2941" s="39" t="n"/>
      <c r="I2941" s="40" t="str">
        <f>IF(OR($J2941="",$K2941=""),"",ROUND(MAX(0,($K2941-$J2941)-IF($H2941="",0,$H2941))/60,2))</f>
        <v/>
      </c>
      <c r="J2941" s="41" t="str">
        <f>IF($F2941="","",IF($F2941&lt;1,ROUND($F2941*1440,0),INT($F2941/100)*60+MOD($F2941,100)))</f>
        <v/>
      </c>
      <c r="K2941" s="41" t="str">
        <f>IF($G2941="","",IF($G2941&lt;1,ROUND($G2941*1440,0),INT($G2941/100)*60+MOD($G2941,100)))</f>
        <v/>
      </c>
    </row>
    <row r="2942" ht="15" customHeight="1" s="26">
      <c r="A2942" s="34" t="n"/>
      <c r="B2942" s="32" t="n"/>
      <c r="C2942" s="33" t="n"/>
      <c r="D2942" s="37" t="str">
        <f>IF($C2942="","",IFERROR(INDEX(프로젝트목록!$B$3:$B$62,MATCH($C2942,프로젝트목록!$A$3:$A$62,0)),"미등록코드"))</f>
        <v/>
      </c>
      <c r="E2942" s="32" t="n"/>
      <c r="F2942" s="38" t="n"/>
      <c r="G2942" s="38" t="n"/>
      <c r="H2942" s="39" t="n"/>
      <c r="I2942" s="40" t="str">
        <f>IF(OR($J2942="",$K2942=""),"",ROUND(MAX(0,($K2942-$J2942)-IF($H2942="",0,$H2942))/60,2))</f>
        <v/>
      </c>
      <c r="J2942" s="41" t="str">
        <f>IF($F2942="","",IF($F2942&lt;1,ROUND($F2942*1440,0),INT($F2942/100)*60+MOD($F2942,100)))</f>
        <v/>
      </c>
      <c r="K2942" s="41" t="str">
        <f>IF($G2942="","",IF($G2942&lt;1,ROUND($G2942*1440,0),INT($G2942/100)*60+MOD($G2942,100)))</f>
        <v/>
      </c>
    </row>
    <row r="2943" ht="15" customHeight="1" s="26">
      <c r="A2943" s="34" t="n"/>
      <c r="B2943" s="32" t="n"/>
      <c r="C2943" s="33" t="n"/>
      <c r="D2943" s="37" t="str">
        <f>IF($C2943="","",IFERROR(INDEX(프로젝트목록!$B$3:$B$62,MATCH($C2943,프로젝트목록!$A$3:$A$62,0)),"미등록코드"))</f>
        <v/>
      </c>
      <c r="E2943" s="32" t="n"/>
      <c r="F2943" s="38" t="n"/>
      <c r="G2943" s="38" t="n"/>
      <c r="H2943" s="39" t="n"/>
      <c r="I2943" s="40" t="str">
        <f>IF(OR($J2943="",$K2943=""),"",ROUND(MAX(0,($K2943-$J2943)-IF($H2943="",0,$H2943))/60,2))</f>
        <v/>
      </c>
      <c r="J2943" s="41" t="str">
        <f>IF($F2943="","",IF($F2943&lt;1,ROUND($F2943*1440,0),INT($F2943/100)*60+MOD($F2943,100)))</f>
        <v/>
      </c>
      <c r="K2943" s="41" t="str">
        <f>IF($G2943="","",IF($G2943&lt;1,ROUND($G2943*1440,0),INT($G2943/100)*60+MOD($G2943,100)))</f>
        <v/>
      </c>
    </row>
    <row r="2944" ht="15" customHeight="1" s="26">
      <c r="A2944" s="34" t="n"/>
      <c r="B2944" s="32" t="n"/>
      <c r="C2944" s="33" t="n"/>
      <c r="D2944" s="37" t="str">
        <f>IF($C2944="","",IFERROR(INDEX(프로젝트목록!$B$3:$B$62,MATCH($C2944,프로젝트목록!$A$3:$A$62,0)),"미등록코드"))</f>
        <v/>
      </c>
      <c r="E2944" s="32" t="n"/>
      <c r="F2944" s="38" t="n"/>
      <c r="G2944" s="38" t="n"/>
      <c r="H2944" s="39" t="n"/>
      <c r="I2944" s="40" t="str">
        <f>IF(OR($J2944="",$K2944=""),"",ROUND(MAX(0,($K2944-$J2944)-IF($H2944="",0,$H2944))/60,2))</f>
        <v/>
      </c>
      <c r="J2944" s="41" t="str">
        <f>IF($F2944="","",IF($F2944&lt;1,ROUND($F2944*1440,0),INT($F2944/100)*60+MOD($F2944,100)))</f>
        <v/>
      </c>
      <c r="K2944" s="41" t="str">
        <f>IF($G2944="","",IF($G2944&lt;1,ROUND($G2944*1440,0),INT($G2944/100)*60+MOD($G2944,100)))</f>
        <v/>
      </c>
    </row>
    <row r="2945" ht="15" customHeight="1" s="26">
      <c r="A2945" s="34" t="n"/>
      <c r="B2945" s="32" t="n"/>
      <c r="C2945" s="33" t="n"/>
      <c r="D2945" s="37" t="str">
        <f>IF($C2945="","",IFERROR(INDEX(프로젝트목록!$B$3:$B$62,MATCH($C2945,프로젝트목록!$A$3:$A$62,0)),"미등록코드"))</f>
        <v/>
      </c>
      <c r="E2945" s="32" t="n"/>
      <c r="F2945" s="38" t="n"/>
      <c r="G2945" s="38" t="n"/>
      <c r="H2945" s="39" t="n"/>
      <c r="I2945" s="40" t="str">
        <f>IF(OR($J2945="",$K2945=""),"",ROUND(MAX(0,($K2945-$J2945)-IF($H2945="",0,$H2945))/60,2))</f>
        <v/>
      </c>
      <c r="J2945" s="41" t="str">
        <f>IF($F2945="","",IF($F2945&lt;1,ROUND($F2945*1440,0),INT($F2945/100)*60+MOD($F2945,100)))</f>
        <v/>
      </c>
      <c r="K2945" s="41" t="str">
        <f>IF($G2945="","",IF($G2945&lt;1,ROUND($G2945*1440,0),INT($G2945/100)*60+MOD($G2945,100)))</f>
        <v/>
      </c>
    </row>
    <row r="2946" ht="15" customHeight="1" s="26">
      <c r="A2946" s="34" t="n"/>
      <c r="B2946" s="32" t="n"/>
      <c r="C2946" s="33" t="n"/>
      <c r="D2946" s="37" t="str">
        <f>IF($C2946="","",IFERROR(INDEX(프로젝트목록!$B$3:$B$62,MATCH($C2946,프로젝트목록!$A$3:$A$62,0)),"미등록코드"))</f>
        <v/>
      </c>
      <c r="E2946" s="32" t="n"/>
      <c r="F2946" s="38" t="n"/>
      <c r="G2946" s="38" t="n"/>
      <c r="H2946" s="39" t="n"/>
      <c r="I2946" s="40" t="str">
        <f>IF(OR($J2946="",$K2946=""),"",ROUND(MAX(0,($K2946-$J2946)-IF($H2946="",0,$H2946))/60,2))</f>
        <v/>
      </c>
      <c r="J2946" s="41" t="str">
        <f>IF($F2946="","",IF($F2946&lt;1,ROUND($F2946*1440,0),INT($F2946/100)*60+MOD($F2946,100)))</f>
        <v/>
      </c>
      <c r="K2946" s="41" t="str">
        <f>IF($G2946="","",IF($G2946&lt;1,ROUND($G2946*1440,0),INT($G2946/100)*60+MOD($G2946,100)))</f>
        <v/>
      </c>
    </row>
    <row r="2947" ht="15" customHeight="1" s="26">
      <c r="A2947" s="34" t="n"/>
      <c r="B2947" s="32" t="n"/>
      <c r="C2947" s="33" t="n"/>
      <c r="D2947" s="37" t="str">
        <f>IF($C2947="","",IFERROR(INDEX(프로젝트목록!$B$3:$B$62,MATCH($C2947,프로젝트목록!$A$3:$A$62,0)),"미등록코드"))</f>
        <v/>
      </c>
      <c r="E2947" s="32" t="n"/>
      <c r="F2947" s="38" t="n"/>
      <c r="G2947" s="38" t="n"/>
      <c r="H2947" s="39" t="n"/>
      <c r="I2947" s="40" t="str">
        <f>IF(OR($J2947="",$K2947=""),"",ROUND(MAX(0,($K2947-$J2947)-IF($H2947="",0,$H2947))/60,2))</f>
        <v/>
      </c>
      <c r="J2947" s="41" t="str">
        <f>IF($F2947="","",IF($F2947&lt;1,ROUND($F2947*1440,0),INT($F2947/100)*60+MOD($F2947,100)))</f>
        <v/>
      </c>
      <c r="K2947" s="41" t="str">
        <f>IF($G2947="","",IF($G2947&lt;1,ROUND($G2947*1440,0),INT($G2947/100)*60+MOD($G2947,100)))</f>
        <v/>
      </c>
    </row>
    <row r="2948" ht="15" customHeight="1" s="26">
      <c r="A2948" s="34" t="n"/>
      <c r="B2948" s="32" t="n"/>
      <c r="C2948" s="33" t="n"/>
      <c r="D2948" s="37" t="str">
        <f>IF($C2948="","",IFERROR(INDEX(프로젝트목록!$B$3:$B$62,MATCH($C2948,프로젝트목록!$A$3:$A$62,0)),"미등록코드"))</f>
        <v/>
      </c>
      <c r="E2948" s="32" t="n"/>
      <c r="F2948" s="38" t="n"/>
      <c r="G2948" s="38" t="n"/>
      <c r="H2948" s="39" t="n"/>
      <c r="I2948" s="40" t="str">
        <f>IF(OR($J2948="",$K2948=""),"",ROUND(MAX(0,($K2948-$J2948)-IF($H2948="",0,$H2948))/60,2))</f>
        <v/>
      </c>
      <c r="J2948" s="41" t="str">
        <f>IF($F2948="","",IF($F2948&lt;1,ROUND($F2948*1440,0),INT($F2948/100)*60+MOD($F2948,100)))</f>
        <v/>
      </c>
      <c r="K2948" s="41" t="str">
        <f>IF($G2948="","",IF($G2948&lt;1,ROUND($G2948*1440,0),INT($G2948/100)*60+MOD($G2948,100)))</f>
        <v/>
      </c>
    </row>
    <row r="2949" ht="15" customHeight="1" s="26">
      <c r="A2949" s="34" t="n"/>
      <c r="B2949" s="32" t="n"/>
      <c r="C2949" s="33" t="n"/>
      <c r="D2949" s="37" t="str">
        <f>IF($C2949="","",IFERROR(INDEX(프로젝트목록!$B$3:$B$62,MATCH($C2949,프로젝트목록!$A$3:$A$62,0)),"미등록코드"))</f>
        <v/>
      </c>
      <c r="E2949" s="32" t="n"/>
      <c r="F2949" s="38" t="n"/>
      <c r="G2949" s="38" t="n"/>
      <c r="H2949" s="39" t="n"/>
      <c r="I2949" s="40" t="str">
        <f>IF(OR($J2949="",$K2949=""),"",ROUND(MAX(0,($K2949-$J2949)-IF($H2949="",0,$H2949))/60,2))</f>
        <v/>
      </c>
      <c r="J2949" s="41" t="str">
        <f>IF($F2949="","",IF($F2949&lt;1,ROUND($F2949*1440,0),INT($F2949/100)*60+MOD($F2949,100)))</f>
        <v/>
      </c>
      <c r="K2949" s="41" t="str">
        <f>IF($G2949="","",IF($G2949&lt;1,ROUND($G2949*1440,0),INT($G2949/100)*60+MOD($G2949,100)))</f>
        <v/>
      </c>
    </row>
    <row r="2950" ht="15" customHeight="1" s="26">
      <c r="A2950" s="34" t="n"/>
      <c r="B2950" s="32" t="n"/>
      <c r="C2950" s="33" t="n"/>
      <c r="D2950" s="37" t="str">
        <f>IF($C2950="","",IFERROR(INDEX(프로젝트목록!$B$3:$B$62,MATCH($C2950,프로젝트목록!$A$3:$A$62,0)),"미등록코드"))</f>
        <v/>
      </c>
      <c r="E2950" s="32" t="n"/>
      <c r="F2950" s="38" t="n"/>
      <c r="G2950" s="38" t="n"/>
      <c r="H2950" s="39" t="n"/>
      <c r="I2950" s="40" t="str">
        <f>IF(OR($J2950="",$K2950=""),"",ROUND(MAX(0,($K2950-$J2950)-IF($H2950="",0,$H2950))/60,2))</f>
        <v/>
      </c>
      <c r="J2950" s="41" t="str">
        <f>IF($F2950="","",IF($F2950&lt;1,ROUND($F2950*1440,0),INT($F2950/100)*60+MOD($F2950,100)))</f>
        <v/>
      </c>
      <c r="K2950" s="41" t="str">
        <f>IF($G2950="","",IF($G2950&lt;1,ROUND($G2950*1440,0),INT($G2950/100)*60+MOD($G2950,100)))</f>
        <v/>
      </c>
    </row>
    <row r="2951" ht="15" customHeight="1" s="26">
      <c r="A2951" s="34" t="n"/>
      <c r="B2951" s="32" t="n"/>
      <c r="C2951" s="33" t="n"/>
      <c r="D2951" s="37" t="str">
        <f>IF($C2951="","",IFERROR(INDEX(프로젝트목록!$B$3:$B$62,MATCH($C2951,프로젝트목록!$A$3:$A$62,0)),"미등록코드"))</f>
        <v/>
      </c>
      <c r="E2951" s="32" t="n"/>
      <c r="F2951" s="38" t="n"/>
      <c r="G2951" s="38" t="n"/>
      <c r="H2951" s="39" t="n"/>
      <c r="I2951" s="40" t="str">
        <f>IF(OR($J2951="",$K2951=""),"",ROUND(MAX(0,($K2951-$J2951)-IF($H2951="",0,$H2951))/60,2))</f>
        <v/>
      </c>
      <c r="J2951" s="41" t="str">
        <f>IF($F2951="","",IF($F2951&lt;1,ROUND($F2951*1440,0),INT($F2951/100)*60+MOD($F2951,100)))</f>
        <v/>
      </c>
      <c r="K2951" s="41" t="str">
        <f>IF($G2951="","",IF($G2951&lt;1,ROUND($G2951*1440,0),INT($G2951/100)*60+MOD($G2951,100)))</f>
        <v/>
      </c>
    </row>
    <row r="2952" ht="15" customHeight="1" s="26">
      <c r="A2952" s="34" t="n"/>
      <c r="B2952" s="32" t="n"/>
      <c r="C2952" s="33" t="n"/>
      <c r="D2952" s="37" t="str">
        <f>IF($C2952="","",IFERROR(INDEX(프로젝트목록!$B$3:$B$62,MATCH($C2952,프로젝트목록!$A$3:$A$62,0)),"미등록코드"))</f>
        <v/>
      </c>
      <c r="E2952" s="32" t="n"/>
      <c r="F2952" s="38" t="n"/>
      <c r="G2952" s="38" t="n"/>
      <c r="H2952" s="39" t="n"/>
      <c r="I2952" s="40" t="str">
        <f>IF(OR($J2952="",$K2952=""),"",ROUND(MAX(0,($K2952-$J2952)-IF($H2952="",0,$H2952))/60,2))</f>
        <v/>
      </c>
      <c r="J2952" s="41" t="str">
        <f>IF($F2952="","",IF($F2952&lt;1,ROUND($F2952*1440,0),INT($F2952/100)*60+MOD($F2952,100)))</f>
        <v/>
      </c>
      <c r="K2952" s="41" t="str">
        <f>IF($G2952="","",IF($G2952&lt;1,ROUND($G2952*1440,0),INT($G2952/100)*60+MOD($G2952,100)))</f>
        <v/>
      </c>
    </row>
    <row r="2953" ht="15" customHeight="1" s="26">
      <c r="A2953" s="34" t="n"/>
      <c r="B2953" s="32" t="n"/>
      <c r="C2953" s="33" t="n"/>
      <c r="D2953" s="37" t="str">
        <f>IF($C2953="","",IFERROR(INDEX(프로젝트목록!$B$3:$B$62,MATCH($C2953,프로젝트목록!$A$3:$A$62,0)),"미등록코드"))</f>
        <v/>
      </c>
      <c r="E2953" s="32" t="n"/>
      <c r="F2953" s="38" t="n"/>
      <c r="G2953" s="38" t="n"/>
      <c r="H2953" s="39" t="n"/>
      <c r="I2953" s="40" t="str">
        <f>IF(OR($J2953="",$K2953=""),"",ROUND(MAX(0,($K2953-$J2953)-IF($H2953="",0,$H2953))/60,2))</f>
        <v/>
      </c>
      <c r="J2953" s="41" t="str">
        <f>IF($F2953="","",IF($F2953&lt;1,ROUND($F2953*1440,0),INT($F2953/100)*60+MOD($F2953,100)))</f>
        <v/>
      </c>
      <c r="K2953" s="41" t="str">
        <f>IF($G2953="","",IF($G2953&lt;1,ROUND($G2953*1440,0),INT($G2953/100)*60+MOD($G2953,100)))</f>
        <v/>
      </c>
    </row>
    <row r="2954" ht="15" customHeight="1" s="26">
      <c r="A2954" s="34" t="n"/>
      <c r="B2954" s="32" t="n"/>
      <c r="C2954" s="33" t="n"/>
      <c r="D2954" s="37" t="str">
        <f>IF($C2954="","",IFERROR(INDEX(프로젝트목록!$B$3:$B$62,MATCH($C2954,프로젝트목록!$A$3:$A$62,0)),"미등록코드"))</f>
        <v/>
      </c>
      <c r="E2954" s="32" t="n"/>
      <c r="F2954" s="38" t="n"/>
      <c r="G2954" s="38" t="n"/>
      <c r="H2954" s="39" t="n"/>
      <c r="I2954" s="40" t="str">
        <f>IF(OR($J2954="",$K2954=""),"",ROUND(MAX(0,($K2954-$J2954)-IF($H2954="",0,$H2954))/60,2))</f>
        <v/>
      </c>
      <c r="J2954" s="41" t="str">
        <f>IF($F2954="","",IF($F2954&lt;1,ROUND($F2954*1440,0),INT($F2954/100)*60+MOD($F2954,100)))</f>
        <v/>
      </c>
      <c r="K2954" s="41" t="str">
        <f>IF($G2954="","",IF($G2954&lt;1,ROUND($G2954*1440,0),INT($G2954/100)*60+MOD($G2954,100)))</f>
        <v/>
      </c>
    </row>
    <row r="2955" ht="15" customHeight="1" s="26">
      <c r="A2955" s="34" t="n"/>
      <c r="B2955" s="32" t="n"/>
      <c r="C2955" s="33" t="n"/>
      <c r="D2955" s="37" t="str">
        <f>IF($C2955="","",IFERROR(INDEX(프로젝트목록!$B$3:$B$62,MATCH($C2955,프로젝트목록!$A$3:$A$62,0)),"미등록코드"))</f>
        <v/>
      </c>
      <c r="E2955" s="32" t="n"/>
      <c r="F2955" s="38" t="n"/>
      <c r="G2955" s="38" t="n"/>
      <c r="H2955" s="39" t="n"/>
      <c r="I2955" s="40" t="str">
        <f>IF(OR($J2955="",$K2955=""),"",ROUND(MAX(0,($K2955-$J2955)-IF($H2955="",0,$H2955))/60,2))</f>
        <v/>
      </c>
      <c r="J2955" s="41" t="str">
        <f>IF($F2955="","",IF($F2955&lt;1,ROUND($F2955*1440,0),INT($F2955/100)*60+MOD($F2955,100)))</f>
        <v/>
      </c>
      <c r="K2955" s="41" t="str">
        <f>IF($G2955="","",IF($G2955&lt;1,ROUND($G2955*1440,0),INT($G2955/100)*60+MOD($G2955,100)))</f>
        <v/>
      </c>
    </row>
    <row r="2956" ht="15" customHeight="1" s="26">
      <c r="A2956" s="34" t="n"/>
      <c r="B2956" s="32" t="n"/>
      <c r="C2956" s="33" t="n"/>
      <c r="D2956" s="37" t="str">
        <f>IF($C2956="","",IFERROR(INDEX(프로젝트목록!$B$3:$B$62,MATCH($C2956,프로젝트목록!$A$3:$A$62,0)),"미등록코드"))</f>
        <v/>
      </c>
      <c r="E2956" s="32" t="n"/>
      <c r="F2956" s="38" t="n"/>
      <c r="G2956" s="38" t="n"/>
      <c r="H2956" s="39" t="n"/>
      <c r="I2956" s="40" t="str">
        <f>IF(OR($J2956="",$K2956=""),"",ROUND(MAX(0,($K2956-$J2956)-IF($H2956="",0,$H2956))/60,2))</f>
        <v/>
      </c>
      <c r="J2956" s="41" t="str">
        <f>IF($F2956="","",IF($F2956&lt;1,ROUND($F2956*1440,0),INT($F2956/100)*60+MOD($F2956,100)))</f>
        <v/>
      </c>
      <c r="K2956" s="41" t="str">
        <f>IF($G2956="","",IF($G2956&lt;1,ROUND($G2956*1440,0),INT($G2956/100)*60+MOD($G2956,100)))</f>
        <v/>
      </c>
    </row>
    <row r="2957" ht="15" customHeight="1" s="26">
      <c r="A2957" s="34" t="n"/>
      <c r="B2957" s="32" t="n"/>
      <c r="C2957" s="33" t="n"/>
      <c r="D2957" s="37" t="str">
        <f>IF($C2957="","",IFERROR(INDEX(프로젝트목록!$B$3:$B$62,MATCH($C2957,프로젝트목록!$A$3:$A$62,0)),"미등록코드"))</f>
        <v/>
      </c>
      <c r="E2957" s="32" t="n"/>
      <c r="F2957" s="38" t="n"/>
      <c r="G2957" s="38" t="n"/>
      <c r="H2957" s="39" t="n"/>
      <c r="I2957" s="40" t="str">
        <f>IF(OR($J2957="",$K2957=""),"",ROUND(MAX(0,($K2957-$J2957)-IF($H2957="",0,$H2957))/60,2))</f>
        <v/>
      </c>
      <c r="J2957" s="41" t="str">
        <f>IF($F2957="","",IF($F2957&lt;1,ROUND($F2957*1440,0),INT($F2957/100)*60+MOD($F2957,100)))</f>
        <v/>
      </c>
      <c r="K2957" s="41" t="str">
        <f>IF($G2957="","",IF($G2957&lt;1,ROUND($G2957*1440,0),INT($G2957/100)*60+MOD($G2957,100)))</f>
        <v/>
      </c>
    </row>
    <row r="2958" ht="15" customHeight="1" s="26">
      <c r="A2958" s="34" t="n"/>
      <c r="B2958" s="32" t="n"/>
      <c r="C2958" s="33" t="n"/>
      <c r="D2958" s="37" t="str">
        <f>IF($C2958="","",IFERROR(INDEX(프로젝트목록!$B$3:$B$62,MATCH($C2958,프로젝트목록!$A$3:$A$62,0)),"미등록코드"))</f>
        <v/>
      </c>
      <c r="E2958" s="32" t="n"/>
      <c r="F2958" s="38" t="n"/>
      <c r="G2958" s="38" t="n"/>
      <c r="H2958" s="39" t="n"/>
      <c r="I2958" s="40" t="str">
        <f>IF(OR($J2958="",$K2958=""),"",ROUND(MAX(0,($K2958-$J2958)-IF($H2958="",0,$H2958))/60,2))</f>
        <v/>
      </c>
      <c r="J2958" s="41" t="str">
        <f>IF($F2958="","",IF($F2958&lt;1,ROUND($F2958*1440,0),INT($F2958/100)*60+MOD($F2958,100)))</f>
        <v/>
      </c>
      <c r="K2958" s="41" t="str">
        <f>IF($G2958="","",IF($G2958&lt;1,ROUND($G2958*1440,0),INT($G2958/100)*60+MOD($G2958,100)))</f>
        <v/>
      </c>
    </row>
    <row r="2959" ht="15" customHeight="1" s="26">
      <c r="A2959" s="34" t="n"/>
      <c r="B2959" s="32" t="n"/>
      <c r="C2959" s="33" t="n"/>
      <c r="D2959" s="37" t="str">
        <f>IF($C2959="","",IFERROR(INDEX(프로젝트목록!$B$3:$B$62,MATCH($C2959,프로젝트목록!$A$3:$A$62,0)),"미등록코드"))</f>
        <v/>
      </c>
      <c r="E2959" s="32" t="n"/>
      <c r="F2959" s="38" t="n"/>
      <c r="G2959" s="38" t="n"/>
      <c r="H2959" s="39" t="n"/>
      <c r="I2959" s="40" t="str">
        <f>IF(OR($J2959="",$K2959=""),"",ROUND(MAX(0,($K2959-$J2959)-IF($H2959="",0,$H2959))/60,2))</f>
        <v/>
      </c>
      <c r="J2959" s="41" t="str">
        <f>IF($F2959="","",IF($F2959&lt;1,ROUND($F2959*1440,0),INT($F2959/100)*60+MOD($F2959,100)))</f>
        <v/>
      </c>
      <c r="K2959" s="41" t="str">
        <f>IF($G2959="","",IF($G2959&lt;1,ROUND($G2959*1440,0),INT($G2959/100)*60+MOD($G2959,100)))</f>
        <v/>
      </c>
    </row>
    <row r="2960" ht="15" customHeight="1" s="26">
      <c r="A2960" s="34" t="n"/>
      <c r="B2960" s="32" t="n"/>
      <c r="C2960" s="33" t="n"/>
      <c r="D2960" s="37" t="str">
        <f>IF($C2960="","",IFERROR(INDEX(프로젝트목록!$B$3:$B$62,MATCH($C2960,프로젝트목록!$A$3:$A$62,0)),"미등록코드"))</f>
        <v/>
      </c>
      <c r="E2960" s="32" t="n"/>
      <c r="F2960" s="38" t="n"/>
      <c r="G2960" s="38" t="n"/>
      <c r="H2960" s="39" t="n"/>
      <c r="I2960" s="40" t="str">
        <f>IF(OR($J2960="",$K2960=""),"",ROUND(MAX(0,($K2960-$J2960)-IF($H2960="",0,$H2960))/60,2))</f>
        <v/>
      </c>
      <c r="J2960" s="41" t="str">
        <f>IF($F2960="","",IF($F2960&lt;1,ROUND($F2960*1440,0),INT($F2960/100)*60+MOD($F2960,100)))</f>
        <v/>
      </c>
      <c r="K2960" s="41" t="str">
        <f>IF($G2960="","",IF($G2960&lt;1,ROUND($G2960*1440,0),INT($G2960/100)*60+MOD($G2960,100)))</f>
        <v/>
      </c>
    </row>
    <row r="2961" ht="15" customHeight="1" s="26">
      <c r="A2961" s="34" t="n"/>
      <c r="B2961" s="32" t="n"/>
      <c r="C2961" s="33" t="n"/>
      <c r="D2961" s="37" t="str">
        <f>IF($C2961="","",IFERROR(INDEX(프로젝트목록!$B$3:$B$62,MATCH($C2961,프로젝트목록!$A$3:$A$62,0)),"미등록코드"))</f>
        <v/>
      </c>
      <c r="E2961" s="32" t="n"/>
      <c r="F2961" s="38" t="n"/>
      <c r="G2961" s="38" t="n"/>
      <c r="H2961" s="39" t="n"/>
      <c r="I2961" s="40" t="str">
        <f>IF(OR($J2961="",$K2961=""),"",ROUND(MAX(0,($K2961-$J2961)-IF($H2961="",0,$H2961))/60,2))</f>
        <v/>
      </c>
      <c r="J2961" s="41" t="str">
        <f>IF($F2961="","",IF($F2961&lt;1,ROUND($F2961*1440,0),INT($F2961/100)*60+MOD($F2961,100)))</f>
        <v/>
      </c>
      <c r="K2961" s="41" t="str">
        <f>IF($G2961="","",IF($G2961&lt;1,ROUND($G2961*1440,0),INT($G2961/100)*60+MOD($G2961,100)))</f>
        <v/>
      </c>
    </row>
    <row r="2962" ht="15" customHeight="1" s="26">
      <c r="A2962" s="34" t="n"/>
      <c r="B2962" s="32" t="n"/>
      <c r="C2962" s="33" t="n"/>
      <c r="D2962" s="37" t="str">
        <f>IF($C2962="","",IFERROR(INDEX(프로젝트목록!$B$3:$B$62,MATCH($C2962,프로젝트목록!$A$3:$A$62,0)),"미등록코드"))</f>
        <v/>
      </c>
      <c r="E2962" s="32" t="n"/>
      <c r="F2962" s="38" t="n"/>
      <c r="G2962" s="38" t="n"/>
      <c r="H2962" s="39" t="n"/>
      <c r="I2962" s="40" t="str">
        <f>IF(OR($J2962="",$K2962=""),"",ROUND(MAX(0,($K2962-$J2962)-IF($H2962="",0,$H2962))/60,2))</f>
        <v/>
      </c>
      <c r="J2962" s="41" t="str">
        <f>IF($F2962="","",IF($F2962&lt;1,ROUND($F2962*1440,0),INT($F2962/100)*60+MOD($F2962,100)))</f>
        <v/>
      </c>
      <c r="K2962" s="41" t="str">
        <f>IF($G2962="","",IF($G2962&lt;1,ROUND($G2962*1440,0),INT($G2962/100)*60+MOD($G2962,100)))</f>
        <v/>
      </c>
    </row>
    <row r="2963" ht="15" customHeight="1" s="26">
      <c r="A2963" s="34" t="n"/>
      <c r="B2963" s="32" t="n"/>
      <c r="C2963" s="33" t="n"/>
      <c r="D2963" s="37" t="str">
        <f>IF($C2963="","",IFERROR(INDEX(프로젝트목록!$B$3:$B$62,MATCH($C2963,프로젝트목록!$A$3:$A$62,0)),"미등록코드"))</f>
        <v/>
      </c>
      <c r="E2963" s="32" t="n"/>
      <c r="F2963" s="38" t="n"/>
      <c r="G2963" s="38" t="n"/>
      <c r="H2963" s="39" t="n"/>
      <c r="I2963" s="40" t="str">
        <f>IF(OR($J2963="",$K2963=""),"",ROUND(MAX(0,($K2963-$J2963)-IF($H2963="",0,$H2963))/60,2))</f>
        <v/>
      </c>
      <c r="J2963" s="41" t="str">
        <f>IF($F2963="","",IF($F2963&lt;1,ROUND($F2963*1440,0),INT($F2963/100)*60+MOD($F2963,100)))</f>
        <v/>
      </c>
      <c r="K2963" s="41" t="str">
        <f>IF($G2963="","",IF($G2963&lt;1,ROUND($G2963*1440,0),INT($G2963/100)*60+MOD($G2963,100)))</f>
        <v/>
      </c>
    </row>
    <row r="2964" ht="15" customHeight="1" s="26">
      <c r="A2964" s="34" t="n"/>
      <c r="B2964" s="32" t="n"/>
      <c r="C2964" s="33" t="n"/>
      <c r="D2964" s="37" t="str">
        <f>IF($C2964="","",IFERROR(INDEX(프로젝트목록!$B$3:$B$62,MATCH($C2964,프로젝트목록!$A$3:$A$62,0)),"미등록코드"))</f>
        <v/>
      </c>
      <c r="E2964" s="32" t="n"/>
      <c r="F2964" s="38" t="n"/>
      <c r="G2964" s="38" t="n"/>
      <c r="H2964" s="39" t="n"/>
      <c r="I2964" s="40" t="str">
        <f>IF(OR($J2964="",$K2964=""),"",ROUND(MAX(0,($K2964-$J2964)-IF($H2964="",0,$H2964))/60,2))</f>
        <v/>
      </c>
      <c r="J2964" s="41" t="str">
        <f>IF($F2964="","",IF($F2964&lt;1,ROUND($F2964*1440,0),INT($F2964/100)*60+MOD($F2964,100)))</f>
        <v/>
      </c>
      <c r="K2964" s="41" t="str">
        <f>IF($G2964="","",IF($G2964&lt;1,ROUND($G2964*1440,0),INT($G2964/100)*60+MOD($G2964,100)))</f>
        <v/>
      </c>
    </row>
    <row r="2965" ht="15" customHeight="1" s="26">
      <c r="A2965" s="34" t="n"/>
      <c r="B2965" s="32" t="n"/>
      <c r="C2965" s="33" t="n"/>
      <c r="D2965" s="37" t="str">
        <f>IF($C2965="","",IFERROR(INDEX(프로젝트목록!$B$3:$B$62,MATCH($C2965,프로젝트목록!$A$3:$A$62,0)),"미등록코드"))</f>
        <v/>
      </c>
      <c r="E2965" s="32" t="n"/>
      <c r="F2965" s="38" t="n"/>
      <c r="G2965" s="38" t="n"/>
      <c r="H2965" s="39" t="n"/>
      <c r="I2965" s="40" t="str">
        <f>IF(OR($J2965="",$K2965=""),"",ROUND(MAX(0,($K2965-$J2965)-IF($H2965="",0,$H2965))/60,2))</f>
        <v/>
      </c>
      <c r="J2965" s="41" t="str">
        <f>IF($F2965="","",IF($F2965&lt;1,ROUND($F2965*1440,0),INT($F2965/100)*60+MOD($F2965,100)))</f>
        <v/>
      </c>
      <c r="K2965" s="41" t="str">
        <f>IF($G2965="","",IF($G2965&lt;1,ROUND($G2965*1440,0),INT($G2965/100)*60+MOD($G2965,100)))</f>
        <v/>
      </c>
    </row>
    <row r="2966" ht="15" customHeight="1" s="26">
      <c r="A2966" s="34" t="n"/>
      <c r="B2966" s="32" t="n"/>
      <c r="C2966" s="33" t="n"/>
      <c r="D2966" s="37" t="str">
        <f>IF($C2966="","",IFERROR(INDEX(프로젝트목록!$B$3:$B$62,MATCH($C2966,프로젝트목록!$A$3:$A$62,0)),"미등록코드"))</f>
        <v/>
      </c>
      <c r="E2966" s="32" t="n"/>
      <c r="F2966" s="38" t="n"/>
      <c r="G2966" s="38" t="n"/>
      <c r="H2966" s="39" t="n"/>
      <c r="I2966" s="40" t="str">
        <f>IF(OR($J2966="",$K2966=""),"",ROUND(MAX(0,($K2966-$J2966)-IF($H2966="",0,$H2966))/60,2))</f>
        <v/>
      </c>
      <c r="J2966" s="41" t="str">
        <f>IF($F2966="","",IF($F2966&lt;1,ROUND($F2966*1440,0),INT($F2966/100)*60+MOD($F2966,100)))</f>
        <v/>
      </c>
      <c r="K2966" s="41" t="str">
        <f>IF($G2966="","",IF($G2966&lt;1,ROUND($G2966*1440,0),INT($G2966/100)*60+MOD($G2966,100)))</f>
        <v/>
      </c>
    </row>
    <row r="2967" ht="15" customHeight="1" s="26">
      <c r="A2967" s="34" t="n"/>
      <c r="B2967" s="32" t="n"/>
      <c r="C2967" s="33" t="n"/>
      <c r="D2967" s="37" t="str">
        <f>IF($C2967="","",IFERROR(INDEX(프로젝트목록!$B$3:$B$62,MATCH($C2967,프로젝트목록!$A$3:$A$62,0)),"미등록코드"))</f>
        <v/>
      </c>
      <c r="E2967" s="32" t="n"/>
      <c r="F2967" s="38" t="n"/>
      <c r="G2967" s="38" t="n"/>
      <c r="H2967" s="39" t="n"/>
      <c r="I2967" s="40" t="str">
        <f>IF(OR($J2967="",$K2967=""),"",ROUND(MAX(0,($K2967-$J2967)-IF($H2967="",0,$H2967))/60,2))</f>
        <v/>
      </c>
      <c r="J2967" s="41" t="str">
        <f>IF($F2967="","",IF($F2967&lt;1,ROUND($F2967*1440,0),INT($F2967/100)*60+MOD($F2967,100)))</f>
        <v/>
      </c>
      <c r="K2967" s="41" t="str">
        <f>IF($G2967="","",IF($G2967&lt;1,ROUND($G2967*1440,0),INT($G2967/100)*60+MOD($G2967,100)))</f>
        <v/>
      </c>
    </row>
    <row r="2968" ht="15" customHeight="1" s="26">
      <c r="A2968" s="34" t="n"/>
      <c r="B2968" s="32" t="n"/>
      <c r="C2968" s="33" t="n"/>
      <c r="D2968" s="37" t="str">
        <f>IF($C2968="","",IFERROR(INDEX(프로젝트목록!$B$3:$B$62,MATCH($C2968,프로젝트목록!$A$3:$A$62,0)),"미등록코드"))</f>
        <v/>
      </c>
      <c r="E2968" s="32" t="n"/>
      <c r="F2968" s="38" t="n"/>
      <c r="G2968" s="38" t="n"/>
      <c r="H2968" s="39" t="n"/>
      <c r="I2968" s="40" t="str">
        <f>IF(OR($J2968="",$K2968=""),"",ROUND(MAX(0,($K2968-$J2968)-IF($H2968="",0,$H2968))/60,2))</f>
        <v/>
      </c>
      <c r="J2968" s="41" t="str">
        <f>IF($F2968="","",IF($F2968&lt;1,ROUND($F2968*1440,0),INT($F2968/100)*60+MOD($F2968,100)))</f>
        <v/>
      </c>
      <c r="K2968" s="41" t="str">
        <f>IF($G2968="","",IF($G2968&lt;1,ROUND($G2968*1440,0),INT($G2968/100)*60+MOD($G2968,100)))</f>
        <v/>
      </c>
    </row>
    <row r="2969" ht="15" customHeight="1" s="26">
      <c r="A2969" s="34" t="n"/>
      <c r="B2969" s="32" t="n"/>
      <c r="C2969" s="33" t="n"/>
      <c r="D2969" s="37" t="str">
        <f>IF($C2969="","",IFERROR(INDEX(프로젝트목록!$B$3:$B$62,MATCH($C2969,프로젝트목록!$A$3:$A$62,0)),"미등록코드"))</f>
        <v/>
      </c>
      <c r="E2969" s="32" t="n"/>
      <c r="F2969" s="38" t="n"/>
      <c r="G2969" s="38" t="n"/>
      <c r="H2969" s="39" t="n"/>
      <c r="I2969" s="40" t="str">
        <f>IF(OR($J2969="",$K2969=""),"",ROUND(MAX(0,($K2969-$J2969)-IF($H2969="",0,$H2969))/60,2))</f>
        <v/>
      </c>
      <c r="J2969" s="41" t="str">
        <f>IF($F2969="","",IF($F2969&lt;1,ROUND($F2969*1440,0),INT($F2969/100)*60+MOD($F2969,100)))</f>
        <v/>
      </c>
      <c r="K2969" s="41" t="str">
        <f>IF($G2969="","",IF($G2969&lt;1,ROUND($G2969*1440,0),INT($G2969/100)*60+MOD($G2969,100)))</f>
        <v/>
      </c>
    </row>
    <row r="2970" ht="15" customHeight="1" s="26">
      <c r="A2970" s="34" t="n"/>
      <c r="B2970" s="32" t="n"/>
      <c r="C2970" s="33" t="n"/>
      <c r="D2970" s="37" t="str">
        <f>IF($C2970="","",IFERROR(INDEX(프로젝트목록!$B$3:$B$62,MATCH($C2970,프로젝트목록!$A$3:$A$62,0)),"미등록코드"))</f>
        <v/>
      </c>
      <c r="E2970" s="32" t="n"/>
      <c r="F2970" s="38" t="n"/>
      <c r="G2970" s="38" t="n"/>
      <c r="H2970" s="39" t="n"/>
      <c r="I2970" s="40" t="str">
        <f>IF(OR($J2970="",$K2970=""),"",ROUND(MAX(0,($K2970-$J2970)-IF($H2970="",0,$H2970))/60,2))</f>
        <v/>
      </c>
      <c r="J2970" s="41" t="str">
        <f>IF($F2970="","",IF($F2970&lt;1,ROUND($F2970*1440,0),INT($F2970/100)*60+MOD($F2970,100)))</f>
        <v/>
      </c>
      <c r="K2970" s="41" t="str">
        <f>IF($G2970="","",IF($G2970&lt;1,ROUND($G2970*1440,0),INT($G2970/100)*60+MOD($G2970,100)))</f>
        <v/>
      </c>
    </row>
    <row r="2971" ht="15" customHeight="1" s="26">
      <c r="A2971" s="34" t="n"/>
      <c r="B2971" s="32" t="n"/>
      <c r="C2971" s="33" t="n"/>
      <c r="D2971" s="37" t="str">
        <f>IF($C2971="","",IFERROR(INDEX(프로젝트목록!$B$3:$B$62,MATCH($C2971,프로젝트목록!$A$3:$A$62,0)),"미등록코드"))</f>
        <v/>
      </c>
      <c r="E2971" s="32" t="n"/>
      <c r="F2971" s="38" t="n"/>
      <c r="G2971" s="38" t="n"/>
      <c r="H2971" s="39" t="n"/>
      <c r="I2971" s="40" t="str">
        <f>IF(OR($J2971="",$K2971=""),"",ROUND(MAX(0,($K2971-$J2971)-IF($H2971="",0,$H2971))/60,2))</f>
        <v/>
      </c>
      <c r="J2971" s="41" t="str">
        <f>IF($F2971="","",IF($F2971&lt;1,ROUND($F2971*1440,0),INT($F2971/100)*60+MOD($F2971,100)))</f>
        <v/>
      </c>
      <c r="K2971" s="41" t="str">
        <f>IF($G2971="","",IF($G2971&lt;1,ROUND($G2971*1440,0),INT($G2971/100)*60+MOD($G2971,100)))</f>
        <v/>
      </c>
    </row>
    <row r="2972" ht="15" customHeight="1" s="26">
      <c r="A2972" s="34" t="n"/>
      <c r="B2972" s="32" t="n"/>
      <c r="C2972" s="33" t="n"/>
      <c r="D2972" s="37" t="str">
        <f>IF($C2972="","",IFERROR(INDEX(프로젝트목록!$B$3:$B$62,MATCH($C2972,프로젝트목록!$A$3:$A$62,0)),"미등록코드"))</f>
        <v/>
      </c>
      <c r="E2972" s="32" t="n"/>
      <c r="F2972" s="38" t="n"/>
      <c r="G2972" s="38" t="n"/>
      <c r="H2972" s="39" t="n"/>
      <c r="I2972" s="40" t="str">
        <f>IF(OR($J2972="",$K2972=""),"",ROUND(MAX(0,($K2972-$J2972)-IF($H2972="",0,$H2972))/60,2))</f>
        <v/>
      </c>
      <c r="J2972" s="41" t="str">
        <f>IF($F2972="","",IF($F2972&lt;1,ROUND($F2972*1440,0),INT($F2972/100)*60+MOD($F2972,100)))</f>
        <v/>
      </c>
      <c r="K2972" s="41" t="str">
        <f>IF($G2972="","",IF($G2972&lt;1,ROUND($G2972*1440,0),INT($G2972/100)*60+MOD($G2972,100)))</f>
        <v/>
      </c>
    </row>
    <row r="2973" ht="15" customHeight="1" s="26">
      <c r="A2973" s="34" t="n"/>
      <c r="B2973" s="32" t="n"/>
      <c r="C2973" s="33" t="n"/>
      <c r="D2973" s="37" t="str">
        <f>IF($C2973="","",IFERROR(INDEX(프로젝트목록!$B$3:$B$62,MATCH($C2973,프로젝트목록!$A$3:$A$62,0)),"미등록코드"))</f>
        <v/>
      </c>
      <c r="E2973" s="32" t="n"/>
      <c r="F2973" s="38" t="n"/>
      <c r="G2973" s="38" t="n"/>
      <c r="H2973" s="39" t="n"/>
      <c r="I2973" s="40" t="str">
        <f>IF(OR($J2973="",$K2973=""),"",ROUND(MAX(0,($K2973-$J2973)-IF($H2973="",0,$H2973))/60,2))</f>
        <v/>
      </c>
      <c r="J2973" s="41" t="str">
        <f>IF($F2973="","",IF($F2973&lt;1,ROUND($F2973*1440,0),INT($F2973/100)*60+MOD($F2973,100)))</f>
        <v/>
      </c>
      <c r="K2973" s="41" t="str">
        <f>IF($G2973="","",IF($G2973&lt;1,ROUND($G2973*1440,0),INT($G2973/100)*60+MOD($G2973,100)))</f>
        <v/>
      </c>
    </row>
    <row r="2974" ht="15" customHeight="1" s="26">
      <c r="A2974" s="34" t="n"/>
      <c r="B2974" s="32" t="n"/>
      <c r="C2974" s="33" t="n"/>
      <c r="D2974" s="37" t="str">
        <f>IF($C2974="","",IFERROR(INDEX(프로젝트목록!$B$3:$B$62,MATCH($C2974,프로젝트목록!$A$3:$A$62,0)),"미등록코드"))</f>
        <v/>
      </c>
      <c r="E2974" s="32" t="n"/>
      <c r="F2974" s="38" t="n"/>
      <c r="G2974" s="38" t="n"/>
      <c r="H2974" s="39" t="n"/>
      <c r="I2974" s="40" t="str">
        <f>IF(OR($J2974="",$K2974=""),"",ROUND(MAX(0,($K2974-$J2974)-IF($H2974="",0,$H2974))/60,2))</f>
        <v/>
      </c>
      <c r="J2974" s="41" t="str">
        <f>IF($F2974="","",IF($F2974&lt;1,ROUND($F2974*1440,0),INT($F2974/100)*60+MOD($F2974,100)))</f>
        <v/>
      </c>
      <c r="K2974" s="41" t="str">
        <f>IF($G2974="","",IF($G2974&lt;1,ROUND($G2974*1440,0),INT($G2974/100)*60+MOD($G2974,100)))</f>
        <v/>
      </c>
    </row>
    <row r="2975" ht="15" customHeight="1" s="26">
      <c r="A2975" s="34" t="n"/>
      <c r="B2975" s="32" t="n"/>
      <c r="C2975" s="33" t="n"/>
      <c r="D2975" s="37" t="str">
        <f>IF($C2975="","",IFERROR(INDEX(프로젝트목록!$B$3:$B$62,MATCH($C2975,프로젝트목록!$A$3:$A$62,0)),"미등록코드"))</f>
        <v/>
      </c>
      <c r="E2975" s="32" t="n"/>
      <c r="F2975" s="38" t="n"/>
      <c r="G2975" s="38" t="n"/>
      <c r="H2975" s="39" t="n"/>
      <c r="I2975" s="40" t="str">
        <f>IF(OR($J2975="",$K2975=""),"",ROUND(MAX(0,($K2975-$J2975)-IF($H2975="",0,$H2975))/60,2))</f>
        <v/>
      </c>
      <c r="J2975" s="41" t="str">
        <f>IF($F2975="","",IF($F2975&lt;1,ROUND($F2975*1440,0),INT($F2975/100)*60+MOD($F2975,100)))</f>
        <v/>
      </c>
      <c r="K2975" s="41" t="str">
        <f>IF($G2975="","",IF($G2975&lt;1,ROUND($G2975*1440,0),INT($G2975/100)*60+MOD($G2975,100)))</f>
        <v/>
      </c>
    </row>
    <row r="2976" ht="15" customHeight="1" s="26">
      <c r="A2976" s="34" t="n"/>
      <c r="B2976" s="32" t="n"/>
      <c r="C2976" s="33" t="n"/>
      <c r="D2976" s="37" t="str">
        <f>IF($C2976="","",IFERROR(INDEX(프로젝트목록!$B$3:$B$62,MATCH($C2976,프로젝트목록!$A$3:$A$62,0)),"미등록코드"))</f>
        <v/>
      </c>
      <c r="E2976" s="32" t="n"/>
      <c r="F2976" s="38" t="n"/>
      <c r="G2976" s="38" t="n"/>
      <c r="H2976" s="39" t="n"/>
      <c r="I2976" s="40" t="str">
        <f>IF(OR($J2976="",$K2976=""),"",ROUND(MAX(0,($K2976-$J2976)-IF($H2976="",0,$H2976))/60,2))</f>
        <v/>
      </c>
      <c r="J2976" s="41" t="str">
        <f>IF($F2976="","",IF($F2976&lt;1,ROUND($F2976*1440,0),INT($F2976/100)*60+MOD($F2976,100)))</f>
        <v/>
      </c>
      <c r="K2976" s="41" t="str">
        <f>IF($G2976="","",IF($G2976&lt;1,ROUND($G2976*1440,0),INT($G2976/100)*60+MOD($G2976,100)))</f>
        <v/>
      </c>
    </row>
    <row r="2977" ht="15" customHeight="1" s="26">
      <c r="A2977" s="34" t="n"/>
      <c r="B2977" s="32" t="n"/>
      <c r="C2977" s="33" t="n"/>
      <c r="D2977" s="37" t="str">
        <f>IF($C2977="","",IFERROR(INDEX(프로젝트목록!$B$3:$B$62,MATCH($C2977,프로젝트목록!$A$3:$A$62,0)),"미등록코드"))</f>
        <v/>
      </c>
      <c r="E2977" s="32" t="n"/>
      <c r="F2977" s="38" t="n"/>
      <c r="G2977" s="38" t="n"/>
      <c r="H2977" s="39" t="n"/>
      <c r="I2977" s="40" t="str">
        <f>IF(OR($J2977="",$K2977=""),"",ROUND(MAX(0,($K2977-$J2977)-IF($H2977="",0,$H2977))/60,2))</f>
        <v/>
      </c>
      <c r="J2977" s="41" t="str">
        <f>IF($F2977="","",IF($F2977&lt;1,ROUND($F2977*1440,0),INT($F2977/100)*60+MOD($F2977,100)))</f>
        <v/>
      </c>
      <c r="K2977" s="41" t="str">
        <f>IF($G2977="","",IF($G2977&lt;1,ROUND($G2977*1440,0),INT($G2977/100)*60+MOD($G2977,100)))</f>
        <v/>
      </c>
    </row>
    <row r="2978" ht="15" customHeight="1" s="26">
      <c r="A2978" s="34" t="n"/>
      <c r="B2978" s="32" t="n"/>
      <c r="C2978" s="33" t="n"/>
      <c r="D2978" s="37" t="str">
        <f>IF($C2978="","",IFERROR(INDEX(프로젝트목록!$B$3:$B$62,MATCH($C2978,프로젝트목록!$A$3:$A$62,0)),"미등록코드"))</f>
        <v/>
      </c>
      <c r="E2978" s="32" t="n"/>
      <c r="F2978" s="38" t="n"/>
      <c r="G2978" s="38" t="n"/>
      <c r="H2978" s="39" t="n"/>
      <c r="I2978" s="40" t="str">
        <f>IF(OR($J2978="",$K2978=""),"",ROUND(MAX(0,($K2978-$J2978)-IF($H2978="",0,$H2978))/60,2))</f>
        <v/>
      </c>
      <c r="J2978" s="41" t="str">
        <f>IF($F2978="","",IF($F2978&lt;1,ROUND($F2978*1440,0),INT($F2978/100)*60+MOD($F2978,100)))</f>
        <v/>
      </c>
      <c r="K2978" s="41" t="str">
        <f>IF($G2978="","",IF($G2978&lt;1,ROUND($G2978*1440,0),INT($G2978/100)*60+MOD($G2978,100)))</f>
        <v/>
      </c>
    </row>
    <row r="2979" ht="15" customHeight="1" s="26">
      <c r="A2979" s="34" t="n"/>
      <c r="B2979" s="32" t="n"/>
      <c r="C2979" s="33" t="n"/>
      <c r="D2979" s="37" t="str">
        <f>IF($C2979="","",IFERROR(INDEX(프로젝트목록!$B$3:$B$62,MATCH($C2979,프로젝트목록!$A$3:$A$62,0)),"미등록코드"))</f>
        <v/>
      </c>
      <c r="E2979" s="32" t="n"/>
      <c r="F2979" s="38" t="n"/>
      <c r="G2979" s="38" t="n"/>
      <c r="H2979" s="39" t="n"/>
      <c r="I2979" s="40" t="str">
        <f>IF(OR($J2979="",$K2979=""),"",ROUND(MAX(0,($K2979-$J2979)-IF($H2979="",0,$H2979))/60,2))</f>
        <v/>
      </c>
      <c r="J2979" s="41" t="str">
        <f>IF($F2979="","",IF($F2979&lt;1,ROUND($F2979*1440,0),INT($F2979/100)*60+MOD($F2979,100)))</f>
        <v/>
      </c>
      <c r="K2979" s="41" t="str">
        <f>IF($G2979="","",IF($G2979&lt;1,ROUND($G2979*1440,0),INT($G2979/100)*60+MOD($G2979,100)))</f>
        <v/>
      </c>
    </row>
    <row r="2980" ht="15" customHeight="1" s="26">
      <c r="A2980" s="34" t="n"/>
      <c r="B2980" s="32" t="n"/>
      <c r="C2980" s="33" t="n"/>
      <c r="D2980" s="37" t="str">
        <f>IF($C2980="","",IFERROR(INDEX(프로젝트목록!$B$3:$B$62,MATCH($C2980,프로젝트목록!$A$3:$A$62,0)),"미등록코드"))</f>
        <v/>
      </c>
      <c r="E2980" s="32" t="n"/>
      <c r="F2980" s="38" t="n"/>
      <c r="G2980" s="38" t="n"/>
      <c r="H2980" s="39" t="n"/>
      <c r="I2980" s="40" t="str">
        <f>IF(OR($J2980="",$K2980=""),"",ROUND(MAX(0,($K2980-$J2980)-IF($H2980="",0,$H2980))/60,2))</f>
        <v/>
      </c>
      <c r="J2980" s="41" t="str">
        <f>IF($F2980="","",IF($F2980&lt;1,ROUND($F2980*1440,0),INT($F2980/100)*60+MOD($F2980,100)))</f>
        <v/>
      </c>
      <c r="K2980" s="41" t="str">
        <f>IF($G2980="","",IF($G2980&lt;1,ROUND($G2980*1440,0),INT($G2980/100)*60+MOD($G2980,100)))</f>
        <v/>
      </c>
    </row>
    <row r="2981" ht="15" customHeight="1" s="26">
      <c r="A2981" s="34" t="n"/>
      <c r="B2981" s="32" t="n"/>
      <c r="C2981" s="33" t="n"/>
      <c r="D2981" s="37" t="str">
        <f>IF($C2981="","",IFERROR(INDEX(프로젝트목록!$B$3:$B$62,MATCH($C2981,프로젝트목록!$A$3:$A$62,0)),"미등록코드"))</f>
        <v/>
      </c>
      <c r="E2981" s="32" t="n"/>
      <c r="F2981" s="38" t="n"/>
      <c r="G2981" s="38" t="n"/>
      <c r="H2981" s="39" t="n"/>
      <c r="I2981" s="40" t="str">
        <f>IF(OR($J2981="",$K2981=""),"",ROUND(MAX(0,($K2981-$J2981)-IF($H2981="",0,$H2981))/60,2))</f>
        <v/>
      </c>
      <c r="J2981" s="41" t="str">
        <f>IF($F2981="","",IF($F2981&lt;1,ROUND($F2981*1440,0),INT($F2981/100)*60+MOD($F2981,100)))</f>
        <v/>
      </c>
      <c r="K2981" s="41" t="str">
        <f>IF($G2981="","",IF($G2981&lt;1,ROUND($G2981*1440,0),INT($G2981/100)*60+MOD($G2981,100)))</f>
        <v/>
      </c>
    </row>
    <row r="2982" ht="15" customHeight="1" s="26">
      <c r="A2982" s="34" t="n"/>
      <c r="B2982" s="32" t="n"/>
      <c r="C2982" s="33" t="n"/>
      <c r="D2982" s="37" t="str">
        <f>IF($C2982="","",IFERROR(INDEX(프로젝트목록!$B$3:$B$62,MATCH($C2982,프로젝트목록!$A$3:$A$62,0)),"미등록코드"))</f>
        <v/>
      </c>
      <c r="E2982" s="32" t="n"/>
      <c r="F2982" s="38" t="n"/>
      <c r="G2982" s="38" t="n"/>
      <c r="H2982" s="39" t="n"/>
      <c r="I2982" s="40" t="str">
        <f>IF(OR($J2982="",$K2982=""),"",ROUND(MAX(0,($K2982-$J2982)-IF($H2982="",0,$H2982))/60,2))</f>
        <v/>
      </c>
      <c r="J2982" s="41" t="str">
        <f>IF($F2982="","",IF($F2982&lt;1,ROUND($F2982*1440,0),INT($F2982/100)*60+MOD($F2982,100)))</f>
        <v/>
      </c>
      <c r="K2982" s="41" t="str">
        <f>IF($G2982="","",IF($G2982&lt;1,ROUND($G2982*1440,0),INT($G2982/100)*60+MOD($G2982,100)))</f>
        <v/>
      </c>
    </row>
    <row r="2983" ht="15" customHeight="1" s="26">
      <c r="A2983" s="34" t="n"/>
      <c r="B2983" s="32" t="n"/>
      <c r="C2983" s="33" t="n"/>
      <c r="D2983" s="37" t="str">
        <f>IF($C2983="","",IFERROR(INDEX(프로젝트목록!$B$3:$B$62,MATCH($C2983,프로젝트목록!$A$3:$A$62,0)),"미등록코드"))</f>
        <v/>
      </c>
      <c r="E2983" s="32" t="n"/>
      <c r="F2983" s="38" t="n"/>
      <c r="G2983" s="38" t="n"/>
      <c r="H2983" s="39" t="n"/>
      <c r="I2983" s="40" t="str">
        <f>IF(OR($J2983="",$K2983=""),"",ROUND(MAX(0,($K2983-$J2983)-IF($H2983="",0,$H2983))/60,2))</f>
        <v/>
      </c>
      <c r="J2983" s="41" t="str">
        <f>IF($F2983="","",IF($F2983&lt;1,ROUND($F2983*1440,0),INT($F2983/100)*60+MOD($F2983,100)))</f>
        <v/>
      </c>
      <c r="K2983" s="41" t="str">
        <f>IF($G2983="","",IF($G2983&lt;1,ROUND($G2983*1440,0),INT($G2983/100)*60+MOD($G2983,100)))</f>
        <v/>
      </c>
    </row>
    <row r="2984" ht="15" customHeight="1" s="26">
      <c r="A2984" s="34" t="n"/>
      <c r="B2984" s="32" t="n"/>
      <c r="C2984" s="33" t="n"/>
      <c r="D2984" s="37" t="str">
        <f>IF($C2984="","",IFERROR(INDEX(프로젝트목록!$B$3:$B$62,MATCH($C2984,프로젝트목록!$A$3:$A$62,0)),"미등록코드"))</f>
        <v/>
      </c>
      <c r="E2984" s="32" t="n"/>
      <c r="F2984" s="38" t="n"/>
      <c r="G2984" s="38" t="n"/>
      <c r="H2984" s="39" t="n"/>
      <c r="I2984" s="40" t="str">
        <f>IF(OR($J2984="",$K2984=""),"",ROUND(MAX(0,($K2984-$J2984)-IF($H2984="",0,$H2984))/60,2))</f>
        <v/>
      </c>
      <c r="J2984" s="41" t="str">
        <f>IF($F2984="","",IF($F2984&lt;1,ROUND($F2984*1440,0),INT($F2984/100)*60+MOD($F2984,100)))</f>
        <v/>
      </c>
      <c r="K2984" s="41" t="str">
        <f>IF($G2984="","",IF($G2984&lt;1,ROUND($G2984*1440,0),INT($G2984/100)*60+MOD($G2984,100)))</f>
        <v/>
      </c>
    </row>
    <row r="2985" ht="15" customHeight="1" s="26">
      <c r="A2985" s="34" t="n"/>
      <c r="B2985" s="32" t="n"/>
      <c r="C2985" s="33" t="n"/>
      <c r="D2985" s="37" t="str">
        <f>IF($C2985="","",IFERROR(INDEX(프로젝트목록!$B$3:$B$62,MATCH($C2985,프로젝트목록!$A$3:$A$62,0)),"미등록코드"))</f>
        <v/>
      </c>
      <c r="E2985" s="32" t="n"/>
      <c r="F2985" s="38" t="n"/>
      <c r="G2985" s="38" t="n"/>
      <c r="H2985" s="39" t="n"/>
      <c r="I2985" s="40" t="str">
        <f>IF(OR($J2985="",$K2985=""),"",ROUND(MAX(0,($K2985-$J2985)-IF($H2985="",0,$H2985))/60,2))</f>
        <v/>
      </c>
      <c r="J2985" s="41" t="str">
        <f>IF($F2985="","",IF($F2985&lt;1,ROUND($F2985*1440,0),INT($F2985/100)*60+MOD($F2985,100)))</f>
        <v/>
      </c>
      <c r="K2985" s="41" t="str">
        <f>IF($G2985="","",IF($G2985&lt;1,ROUND($G2985*1440,0),INT($G2985/100)*60+MOD($G2985,100)))</f>
        <v/>
      </c>
    </row>
    <row r="2986" ht="15" customHeight="1" s="26">
      <c r="A2986" s="34" t="n"/>
      <c r="B2986" s="32" t="n"/>
      <c r="C2986" s="33" t="n"/>
      <c r="D2986" s="37" t="str">
        <f>IF($C2986="","",IFERROR(INDEX(프로젝트목록!$B$3:$B$62,MATCH($C2986,프로젝트목록!$A$3:$A$62,0)),"미등록코드"))</f>
        <v/>
      </c>
      <c r="E2986" s="32" t="n"/>
      <c r="F2986" s="38" t="n"/>
      <c r="G2986" s="38" t="n"/>
      <c r="H2986" s="39" t="n"/>
      <c r="I2986" s="40" t="str">
        <f>IF(OR($J2986="",$K2986=""),"",ROUND(MAX(0,($K2986-$J2986)-IF($H2986="",0,$H2986))/60,2))</f>
        <v/>
      </c>
      <c r="J2986" s="41" t="str">
        <f>IF($F2986="","",IF($F2986&lt;1,ROUND($F2986*1440,0),INT($F2986/100)*60+MOD($F2986,100)))</f>
        <v/>
      </c>
      <c r="K2986" s="41" t="str">
        <f>IF($G2986="","",IF($G2986&lt;1,ROUND($G2986*1440,0),INT($G2986/100)*60+MOD($G2986,100)))</f>
        <v/>
      </c>
    </row>
    <row r="2987" ht="15" customHeight="1" s="26">
      <c r="A2987" s="34" t="n"/>
      <c r="B2987" s="32" t="n"/>
      <c r="C2987" s="33" t="n"/>
      <c r="D2987" s="37" t="str">
        <f>IF($C2987="","",IFERROR(INDEX(프로젝트목록!$B$3:$B$62,MATCH($C2987,프로젝트목록!$A$3:$A$62,0)),"미등록코드"))</f>
        <v/>
      </c>
      <c r="E2987" s="32" t="n"/>
      <c r="F2987" s="38" t="n"/>
      <c r="G2987" s="38" t="n"/>
      <c r="H2987" s="39" t="n"/>
      <c r="I2987" s="40" t="str">
        <f>IF(OR($J2987="",$K2987=""),"",ROUND(MAX(0,($K2987-$J2987)-IF($H2987="",0,$H2987))/60,2))</f>
        <v/>
      </c>
      <c r="J2987" s="41" t="str">
        <f>IF($F2987="","",IF($F2987&lt;1,ROUND($F2987*1440,0),INT($F2987/100)*60+MOD($F2987,100)))</f>
        <v/>
      </c>
      <c r="K2987" s="41" t="str">
        <f>IF($G2987="","",IF($G2987&lt;1,ROUND($G2987*1440,0),INT($G2987/100)*60+MOD($G2987,100)))</f>
        <v/>
      </c>
    </row>
    <row r="2988" ht="15" customHeight="1" s="26">
      <c r="A2988" s="34" t="n"/>
      <c r="B2988" s="32" t="n"/>
      <c r="C2988" s="33" t="n"/>
      <c r="D2988" s="37" t="str">
        <f>IF($C2988="","",IFERROR(INDEX(프로젝트목록!$B$3:$B$62,MATCH($C2988,프로젝트목록!$A$3:$A$62,0)),"미등록코드"))</f>
        <v/>
      </c>
      <c r="E2988" s="32" t="n"/>
      <c r="F2988" s="38" t="n"/>
      <c r="G2988" s="38" t="n"/>
      <c r="H2988" s="39" t="n"/>
      <c r="I2988" s="40" t="str">
        <f>IF(OR($J2988="",$K2988=""),"",ROUND(MAX(0,($K2988-$J2988)-IF($H2988="",0,$H2988))/60,2))</f>
        <v/>
      </c>
      <c r="J2988" s="41" t="str">
        <f>IF($F2988="","",IF($F2988&lt;1,ROUND($F2988*1440,0),INT($F2988/100)*60+MOD($F2988,100)))</f>
        <v/>
      </c>
      <c r="K2988" s="41" t="str">
        <f>IF($G2988="","",IF($G2988&lt;1,ROUND($G2988*1440,0),INT($G2988/100)*60+MOD($G2988,100)))</f>
        <v/>
      </c>
    </row>
    <row r="2989" ht="15" customHeight="1" s="26">
      <c r="A2989" s="34" t="n"/>
      <c r="B2989" s="32" t="n"/>
      <c r="C2989" s="33" t="n"/>
      <c r="D2989" s="37" t="str">
        <f>IF($C2989="","",IFERROR(INDEX(프로젝트목록!$B$3:$B$62,MATCH($C2989,프로젝트목록!$A$3:$A$62,0)),"미등록코드"))</f>
        <v/>
      </c>
      <c r="E2989" s="32" t="n"/>
      <c r="F2989" s="38" t="n"/>
      <c r="G2989" s="38" t="n"/>
      <c r="H2989" s="39" t="n"/>
      <c r="I2989" s="40" t="str">
        <f>IF(OR($J2989="",$K2989=""),"",ROUND(MAX(0,($K2989-$J2989)-IF($H2989="",0,$H2989))/60,2))</f>
        <v/>
      </c>
      <c r="J2989" s="41" t="str">
        <f>IF($F2989="","",IF($F2989&lt;1,ROUND($F2989*1440,0),INT($F2989/100)*60+MOD($F2989,100)))</f>
        <v/>
      </c>
      <c r="K2989" s="41" t="str">
        <f>IF($G2989="","",IF($G2989&lt;1,ROUND($G2989*1440,0),INT($G2989/100)*60+MOD($G2989,100)))</f>
        <v/>
      </c>
    </row>
    <row r="2990" ht="15" customHeight="1" s="26">
      <c r="A2990" s="34" t="n"/>
      <c r="B2990" s="32" t="n"/>
      <c r="C2990" s="33" t="n"/>
      <c r="D2990" s="37" t="str">
        <f>IF($C2990="","",IFERROR(INDEX(프로젝트목록!$B$3:$B$62,MATCH($C2990,프로젝트목록!$A$3:$A$62,0)),"미등록코드"))</f>
        <v/>
      </c>
      <c r="E2990" s="32" t="n"/>
      <c r="F2990" s="38" t="n"/>
      <c r="G2990" s="38" t="n"/>
      <c r="H2990" s="39" t="n"/>
      <c r="I2990" s="40" t="str">
        <f>IF(OR($J2990="",$K2990=""),"",ROUND(MAX(0,($K2990-$J2990)-IF($H2990="",0,$H2990))/60,2))</f>
        <v/>
      </c>
      <c r="J2990" s="41" t="str">
        <f>IF($F2990="","",IF($F2990&lt;1,ROUND($F2990*1440,0),INT($F2990/100)*60+MOD($F2990,100)))</f>
        <v/>
      </c>
      <c r="K2990" s="41" t="str">
        <f>IF($G2990="","",IF($G2990&lt;1,ROUND($G2990*1440,0),INT($G2990/100)*60+MOD($G2990,100)))</f>
        <v/>
      </c>
    </row>
    <row r="2991" ht="15" customHeight="1" s="26">
      <c r="A2991" s="34" t="n"/>
      <c r="B2991" s="32" t="n"/>
      <c r="C2991" s="33" t="n"/>
      <c r="D2991" s="37" t="str">
        <f>IF($C2991="","",IFERROR(INDEX(프로젝트목록!$B$3:$B$62,MATCH($C2991,프로젝트목록!$A$3:$A$62,0)),"미등록코드"))</f>
        <v/>
      </c>
      <c r="E2991" s="32" t="n"/>
      <c r="F2991" s="38" t="n"/>
      <c r="G2991" s="38" t="n"/>
      <c r="H2991" s="39" t="n"/>
      <c r="I2991" s="40" t="str">
        <f>IF(OR($J2991="",$K2991=""),"",ROUND(MAX(0,($K2991-$J2991)-IF($H2991="",0,$H2991))/60,2))</f>
        <v/>
      </c>
      <c r="J2991" s="41" t="str">
        <f>IF($F2991="","",IF($F2991&lt;1,ROUND($F2991*1440,0),INT($F2991/100)*60+MOD($F2991,100)))</f>
        <v/>
      </c>
      <c r="K2991" s="41" t="str">
        <f>IF($G2991="","",IF($G2991&lt;1,ROUND($G2991*1440,0),INT($G2991/100)*60+MOD($G2991,100)))</f>
        <v/>
      </c>
    </row>
    <row r="2992" ht="15" customHeight="1" s="26">
      <c r="A2992" s="34" t="n"/>
      <c r="B2992" s="32" t="n"/>
      <c r="C2992" s="33" t="n"/>
      <c r="D2992" s="37" t="str">
        <f>IF($C2992="","",IFERROR(INDEX(프로젝트목록!$B$3:$B$62,MATCH($C2992,프로젝트목록!$A$3:$A$62,0)),"미등록코드"))</f>
        <v/>
      </c>
      <c r="E2992" s="32" t="n"/>
      <c r="F2992" s="38" t="n"/>
      <c r="G2992" s="38" t="n"/>
      <c r="H2992" s="39" t="n"/>
      <c r="I2992" s="40" t="str">
        <f>IF(OR($J2992="",$K2992=""),"",ROUND(MAX(0,($K2992-$J2992)-IF($H2992="",0,$H2992))/60,2))</f>
        <v/>
      </c>
      <c r="J2992" s="41" t="str">
        <f>IF($F2992="","",IF($F2992&lt;1,ROUND($F2992*1440,0),INT($F2992/100)*60+MOD($F2992,100)))</f>
        <v/>
      </c>
      <c r="K2992" s="41" t="str">
        <f>IF($G2992="","",IF($G2992&lt;1,ROUND($G2992*1440,0),INT($G2992/100)*60+MOD($G2992,100)))</f>
        <v/>
      </c>
    </row>
    <row r="2993" ht="15" customHeight="1" s="26">
      <c r="A2993" s="34" t="n"/>
      <c r="B2993" s="32" t="n"/>
      <c r="C2993" s="33" t="n"/>
      <c r="D2993" s="37" t="str">
        <f>IF($C2993="","",IFERROR(INDEX(프로젝트목록!$B$3:$B$62,MATCH($C2993,프로젝트목록!$A$3:$A$62,0)),"미등록코드"))</f>
        <v/>
      </c>
      <c r="E2993" s="32" t="n"/>
      <c r="F2993" s="38" t="n"/>
      <c r="G2993" s="38" t="n"/>
      <c r="H2993" s="39" t="n"/>
      <c r="I2993" s="40" t="str">
        <f>IF(OR($J2993="",$K2993=""),"",ROUND(MAX(0,($K2993-$J2993)-IF($H2993="",0,$H2993))/60,2))</f>
        <v/>
      </c>
      <c r="J2993" s="41" t="str">
        <f>IF($F2993="","",IF($F2993&lt;1,ROUND($F2993*1440,0),INT($F2993/100)*60+MOD($F2993,100)))</f>
        <v/>
      </c>
      <c r="K2993" s="41" t="str">
        <f>IF($G2993="","",IF($G2993&lt;1,ROUND($G2993*1440,0),INT($G2993/100)*60+MOD($G2993,100)))</f>
        <v/>
      </c>
    </row>
    <row r="2994" ht="15" customHeight="1" s="26">
      <c r="A2994" s="34" t="n"/>
      <c r="B2994" s="32" t="n"/>
      <c r="C2994" s="33" t="n"/>
      <c r="D2994" s="37" t="str">
        <f>IF($C2994="","",IFERROR(INDEX(프로젝트목록!$B$3:$B$62,MATCH($C2994,프로젝트목록!$A$3:$A$62,0)),"미등록코드"))</f>
        <v/>
      </c>
      <c r="E2994" s="32" t="n"/>
      <c r="F2994" s="38" t="n"/>
      <c r="G2994" s="38" t="n"/>
      <c r="H2994" s="39" t="n"/>
      <c r="I2994" s="40" t="str">
        <f>IF(OR($J2994="",$K2994=""),"",ROUND(MAX(0,($K2994-$J2994)-IF($H2994="",0,$H2994))/60,2))</f>
        <v/>
      </c>
      <c r="J2994" s="41" t="str">
        <f>IF($F2994="","",IF($F2994&lt;1,ROUND($F2994*1440,0),INT($F2994/100)*60+MOD($F2994,100)))</f>
        <v/>
      </c>
      <c r="K2994" s="41" t="str">
        <f>IF($G2994="","",IF($G2994&lt;1,ROUND($G2994*1440,0),INT($G2994/100)*60+MOD($G2994,100)))</f>
        <v/>
      </c>
    </row>
    <row r="2995" ht="15" customHeight="1" s="26">
      <c r="A2995" s="34" t="n"/>
      <c r="B2995" s="32" t="n"/>
      <c r="C2995" s="33" t="n"/>
      <c r="D2995" s="37" t="str">
        <f>IF($C2995="","",IFERROR(INDEX(프로젝트목록!$B$3:$B$62,MATCH($C2995,프로젝트목록!$A$3:$A$62,0)),"미등록코드"))</f>
        <v/>
      </c>
      <c r="E2995" s="32" t="n"/>
      <c r="F2995" s="38" t="n"/>
      <c r="G2995" s="38" t="n"/>
      <c r="H2995" s="39" t="n"/>
      <c r="I2995" s="40" t="str">
        <f>IF(OR($J2995="",$K2995=""),"",ROUND(MAX(0,($K2995-$J2995)-IF($H2995="",0,$H2995))/60,2))</f>
        <v/>
      </c>
      <c r="J2995" s="41" t="str">
        <f>IF($F2995="","",IF($F2995&lt;1,ROUND($F2995*1440,0),INT($F2995/100)*60+MOD($F2995,100)))</f>
        <v/>
      </c>
      <c r="K2995" s="41" t="str">
        <f>IF($G2995="","",IF($G2995&lt;1,ROUND($G2995*1440,0),INT($G2995/100)*60+MOD($G2995,100)))</f>
        <v/>
      </c>
    </row>
    <row r="2996" ht="15" customHeight="1" s="26">
      <c r="A2996" s="34" t="n"/>
      <c r="B2996" s="32" t="n"/>
      <c r="C2996" s="33" t="n"/>
      <c r="D2996" s="37" t="str">
        <f>IF($C2996="","",IFERROR(INDEX(프로젝트목록!$B$3:$B$62,MATCH($C2996,프로젝트목록!$A$3:$A$62,0)),"미등록코드"))</f>
        <v/>
      </c>
      <c r="E2996" s="32" t="n"/>
      <c r="F2996" s="38" t="n"/>
      <c r="G2996" s="38" t="n"/>
      <c r="H2996" s="39" t="n"/>
      <c r="I2996" s="40" t="str">
        <f>IF(OR($J2996="",$K2996=""),"",ROUND(MAX(0,($K2996-$J2996)-IF($H2996="",0,$H2996))/60,2))</f>
        <v/>
      </c>
      <c r="J2996" s="41" t="str">
        <f>IF($F2996="","",IF($F2996&lt;1,ROUND($F2996*1440,0),INT($F2996/100)*60+MOD($F2996,100)))</f>
        <v/>
      </c>
      <c r="K2996" s="41" t="str">
        <f>IF($G2996="","",IF($G2996&lt;1,ROUND($G2996*1440,0),INT($G2996/100)*60+MOD($G2996,100)))</f>
        <v/>
      </c>
    </row>
    <row r="2997" ht="15" customHeight="1" s="26">
      <c r="A2997" s="34" t="n"/>
      <c r="B2997" s="32" t="n"/>
      <c r="C2997" s="33" t="n"/>
      <c r="D2997" s="37" t="str">
        <f>IF($C2997="","",IFERROR(INDEX(프로젝트목록!$B$3:$B$62,MATCH($C2997,프로젝트목록!$A$3:$A$62,0)),"미등록코드"))</f>
        <v/>
      </c>
      <c r="E2997" s="32" t="n"/>
      <c r="F2997" s="38" t="n"/>
      <c r="G2997" s="38" t="n"/>
      <c r="H2997" s="39" t="n"/>
      <c r="I2997" s="40" t="str">
        <f>IF(OR($J2997="",$K2997=""),"",ROUND(MAX(0,($K2997-$J2997)-IF($H2997="",0,$H2997))/60,2))</f>
        <v/>
      </c>
      <c r="J2997" s="41" t="str">
        <f>IF($F2997="","",IF($F2997&lt;1,ROUND($F2997*1440,0),INT($F2997/100)*60+MOD($F2997,100)))</f>
        <v/>
      </c>
      <c r="K2997" s="41" t="str">
        <f>IF($G2997="","",IF($G2997&lt;1,ROUND($G2997*1440,0),INT($G2997/100)*60+MOD($G2997,100)))</f>
        <v/>
      </c>
    </row>
    <row r="2998" ht="15" customHeight="1" s="26">
      <c r="A2998" s="34" t="n"/>
      <c r="B2998" s="32" t="n"/>
      <c r="C2998" s="33" t="n"/>
      <c r="D2998" s="37" t="str">
        <f>IF($C2998="","",IFERROR(INDEX(프로젝트목록!$B$3:$B$62,MATCH($C2998,프로젝트목록!$A$3:$A$62,0)),"미등록코드"))</f>
        <v/>
      </c>
      <c r="E2998" s="32" t="n"/>
      <c r="F2998" s="38" t="n"/>
      <c r="G2998" s="38" t="n"/>
      <c r="H2998" s="39" t="n"/>
      <c r="I2998" s="40" t="str">
        <f>IF(OR($J2998="",$K2998=""),"",ROUND(MAX(0,($K2998-$J2998)-IF($H2998="",0,$H2998))/60,2))</f>
        <v/>
      </c>
      <c r="J2998" s="41" t="str">
        <f>IF($F2998="","",IF($F2998&lt;1,ROUND($F2998*1440,0),INT($F2998/100)*60+MOD($F2998,100)))</f>
        <v/>
      </c>
      <c r="K2998" s="41" t="str">
        <f>IF($G2998="","",IF($G2998&lt;1,ROUND($G2998*1440,0),INT($G2998/100)*60+MOD($G2998,100)))</f>
        <v/>
      </c>
    </row>
    <row r="2999" ht="15" customHeight="1" s="26">
      <c r="A2999" s="34" t="n"/>
      <c r="B2999" s="32" t="n"/>
      <c r="C2999" s="33" t="n"/>
      <c r="D2999" s="37" t="str">
        <f>IF($C2999="","",IFERROR(INDEX(프로젝트목록!$B$3:$B$62,MATCH($C2999,프로젝트목록!$A$3:$A$62,0)),"미등록코드"))</f>
        <v/>
      </c>
      <c r="E2999" s="32" t="n"/>
      <c r="F2999" s="38" t="n"/>
      <c r="G2999" s="38" t="n"/>
      <c r="H2999" s="39" t="n"/>
      <c r="I2999" s="40" t="str">
        <f>IF(OR($J2999="",$K2999=""),"",ROUND(MAX(0,($K2999-$J2999)-IF($H2999="",0,$H2999))/60,2))</f>
        <v/>
      </c>
      <c r="J2999" s="41" t="str">
        <f>IF($F2999="","",IF($F2999&lt;1,ROUND($F2999*1440,0),INT($F2999/100)*60+MOD($F2999,100)))</f>
        <v/>
      </c>
      <c r="K2999" s="41" t="str">
        <f>IF($G2999="","",IF($G2999&lt;1,ROUND($G2999*1440,0),INT($G2999/100)*60+MOD($G2999,100)))</f>
        <v/>
      </c>
    </row>
    <row r="3000" ht="15" customHeight="1" s="26">
      <c r="A3000" s="34" t="n"/>
      <c r="B3000" s="32" t="n"/>
      <c r="C3000" s="33" t="n"/>
      <c r="D3000" s="37" t="str">
        <f>IF($C3000="","",IFERROR(INDEX(프로젝트목록!$B$3:$B$62,MATCH($C3000,프로젝트목록!$A$3:$A$62,0)),"미등록코드"))</f>
        <v/>
      </c>
      <c r="E3000" s="32" t="n"/>
      <c r="F3000" s="38" t="n"/>
      <c r="G3000" s="38" t="n"/>
      <c r="H3000" s="39" t="n"/>
      <c r="I3000" s="40" t="str">
        <f>IF(OR($J3000="",$K3000=""),"",ROUND(MAX(0,($K3000-$J3000)-IF($H3000="",0,$H3000))/60,2))</f>
        <v/>
      </c>
      <c r="J3000" s="41" t="str">
        <f>IF($F3000="","",IF($F3000&lt;1,ROUND($F3000*1440,0),INT($F3000/100)*60+MOD($F3000,100)))</f>
        <v/>
      </c>
      <c r="K3000" s="41" t="str">
        <f>IF($G3000="","",IF($G3000&lt;1,ROUND($G3000*1440,0),INT($G3000/100)*60+MOD($G3000,100)))</f>
        <v/>
      </c>
    </row>
    <row r="3001" ht="15" customHeight="1" s="26">
      <c r="A3001" s="34" t="n"/>
      <c r="B3001" s="32" t="n"/>
      <c r="C3001" s="33" t="n"/>
      <c r="D3001" s="37" t="str">
        <f>IF($C3001="","",IFERROR(INDEX(프로젝트목록!$B$3:$B$62,MATCH($C3001,프로젝트목록!$A$3:$A$62,0)),"미등록코드"))</f>
        <v/>
      </c>
      <c r="E3001" s="32" t="n"/>
      <c r="F3001" s="38" t="n"/>
      <c r="G3001" s="38" t="n"/>
      <c r="H3001" s="39" t="n"/>
      <c r="I3001" s="40" t="str">
        <f>IF(OR($J3001="",$K3001=""),"",ROUND(MAX(0,($K3001-$J3001)-IF($H3001="",0,$H3001))/60,2))</f>
        <v/>
      </c>
      <c r="J3001" s="41" t="str">
        <f>IF($F3001="","",IF($F3001&lt;1,ROUND($F3001*1440,0),INT($F3001/100)*60+MOD($F3001,100)))</f>
        <v/>
      </c>
      <c r="K3001" s="41" t="str">
        <f>IF($G3001="","",IF($G3001&lt;1,ROUND($G3001*1440,0),INT($G3001/100)*60+MOD($G3001,100)))</f>
        <v/>
      </c>
    </row>
    <row r="3002" ht="15" customHeight="1" s="26">
      <c r="A3002" s="34" t="n"/>
      <c r="B3002" s="32" t="n"/>
      <c r="C3002" s="33" t="n"/>
      <c r="D3002" s="37" t="str">
        <f>IF($C3002="","",IFERROR(INDEX(프로젝트목록!$B$3:$B$62,MATCH($C3002,프로젝트목록!$A$3:$A$62,0)),"미등록코드"))</f>
        <v/>
      </c>
      <c r="E3002" s="32" t="n"/>
      <c r="F3002" s="38" t="n"/>
      <c r="G3002" s="38" t="n"/>
      <c r="H3002" s="39" t="n"/>
      <c r="I3002" s="40" t="str">
        <f>IF(OR($J3002="",$K3002=""),"",ROUND(MAX(0,($K3002-$J3002)-IF($H3002="",0,$H3002))/60,2))</f>
        <v/>
      </c>
      <c r="J3002" s="41" t="str">
        <f>IF($F3002="","",IF($F3002&lt;1,ROUND($F3002*1440,0),INT($F3002/100)*60+MOD($F3002,100)))</f>
        <v/>
      </c>
      <c r="K3002" s="41" t="str">
        <f>IF($G3002="","",IF($G3002&lt;1,ROUND($G3002*1440,0),INT($G3002/100)*60+MOD($G3002,100)))</f>
        <v/>
      </c>
    </row>
  </sheetData>
  <mergeCells count="1">
    <mergeCell ref="A1:K1"/>
  </mergeCells>
  <dataValidations count="3">
    <dataValidation sqref="B3:B3002" showDropDown="0" showInputMessage="0" showErrorMessage="0" allowBlank="1" type="list" errorStyle="stop" operator="between">
      <formula1>구성원목록!$A$3:$A$42</formula1>
      <formula2>0</formula2>
    </dataValidation>
    <dataValidation sqref="C3:C3002" showDropDown="0" showInputMessage="0" showErrorMessage="0" allowBlank="1" type="list" errorStyle="stop" operator="between">
      <formula1>프로젝트목록!$A$3:$A$62</formula1>
      <formula2>0</formula2>
    </dataValidation>
    <dataValidation sqref="F3:G3002" showDropDown="0" showInputMessage="1" showErrorMessage="1" allowBlank="1" errorTitle="시각 입력 형식" error="콜론(:) 없이 숫자 네 자리로 입력하세요.&#10;오전 9시 → 900&#10;오후 6시 → 1800" promptTitle="시각 입력" prompt="예) 1800 = 18시 00분" type="whole" errorStyle="stop" operator="between">
      <formula1>0</formula1>
      <formula2>2359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5" min="1" max="1"/>
    <col width="30" customWidth="1" style="25" min="2" max="2"/>
    <col width="12" customWidth="1" style="25" min="3" max="3"/>
    <col width="14" customWidth="1" style="25" min="4" max="5"/>
    <col width="13" customWidth="1" style="26" min="5" max="5"/>
    <col width="13" customWidth="1" style="25" min="6" max="6"/>
    <col width="12" customWidth="1" style="25" min="7" max="7"/>
    <col width="13" customWidth="1" style="25" min="8" max="8"/>
  </cols>
  <sheetData>
    <row r="1" ht="25.5" customHeight="1" s="26">
      <c r="A1" s="27" t="inlineStr">
        <is>
          <t>프로젝트별집계</t>
        </is>
      </c>
    </row>
    <row r="2"/>
    <row r="3" ht="15" customHeight="1" s="26">
      <c r="A3" s="31" t="inlineStr">
        <is>
          <t>코드</t>
        </is>
      </c>
      <c r="B3" s="31" t="inlineStr">
        <is>
          <t>프로젝트명</t>
        </is>
      </c>
      <c r="C3" s="31" t="inlineStr">
        <is>
          <t>상태</t>
        </is>
      </c>
      <c r="D3" s="31" t="inlineStr">
        <is>
          <t>예상시간</t>
        </is>
      </c>
      <c r="E3" s="31" t="inlineStr">
        <is>
          <t>투입시간</t>
        </is>
      </c>
      <c r="F3" s="31" t="inlineStr">
        <is>
          <t>잔여</t>
        </is>
      </c>
      <c r="G3" s="31" t="inlineStr">
        <is>
          <t>소진율</t>
        </is>
      </c>
      <c r="H3" s="31" t="inlineStr">
        <is>
          <t>참여 인원</t>
        </is>
      </c>
    </row>
    <row r="4" ht="15" customHeight="1" s="26">
      <c r="A4" s="37" t="str">
        <f>IF(프로젝트목록!$A3="","",프로젝트목록!$A3)</f>
        <v>PJ01</v>
      </c>
      <c r="B4" s="37" t="str">
        <f>IF($A4="","",프로젝트목록!$B3)</f>
        <v>OO운영사업</v>
      </c>
      <c r="C4" s="37" t="str">
        <f>IF($A4="","",프로젝트목록!$F3)</f>
        <v>진행</v>
      </c>
      <c r="D4" s="40" t="n">
        <f>IF($A4="","",IF(프로젝트목록!$E3="",0,프로젝트목록!$E3))</f>
        <v>800</v>
      </c>
      <c r="E4" s="40" t="n">
        <f>IF($A4="","",ROUND(SUMIFS(업무일지!$I$3:$I$3002,업무일지!$C$3:$C$3002,$A4),2))</f>
        <v>51.5</v>
      </c>
      <c r="F4" s="40" t="n">
        <f>IF($A4="","",ROUND($D4-$E4,2))</f>
        <v>748.5</v>
      </c>
      <c r="G4" s="42" t="n">
        <f>IF($A4="","",IF($D4=0,"",$E4/$D4))</f>
        <v>0.064375</v>
      </c>
      <c r="H4" s="41" t="n">
        <f>IF($A4="","",SUMPRODUCT((구성원목록!$A$3:$A$42&lt;&gt;"")*(COUNTIFS(업무일지!$C$3:$C$3002,$A4,업무일지!$B$3:$B$3002,구성원목록!$A$3:$A$42)&gt;0)))</f>
        <v>1</v>
      </c>
    </row>
    <row r="5" ht="15" customHeight="1" s="26">
      <c r="A5" s="37" t="str">
        <f>IF(프로젝트목록!$A4="","",프로젝트목록!$A4)</f>
        <v>PJ02</v>
      </c>
      <c r="B5" s="37" t="str">
        <f>IF($A5="","",프로젝트목록!$B4)</f>
        <v>신규 앱 개발</v>
      </c>
      <c r="C5" s="37" t="str">
        <f>IF($A5="","",프로젝트목록!$F4)</f>
        <v>진행</v>
      </c>
      <c r="D5" s="40" t="n">
        <f>IF($A5="","",IF(프로젝트목록!$E4="",0,프로젝트목록!$E4))</f>
        <v>1200</v>
      </c>
      <c r="E5" s="40" t="n">
        <f>IF($A5="","",ROUND(SUMIFS(업무일지!$I$3:$I$3002,업무일지!$C$3:$C$3002,$A5),2))</f>
        <v>52.5</v>
      </c>
      <c r="F5" s="40" t="n">
        <f>IF($A5="","",ROUND($D5-$E5,2))</f>
        <v>1147.5</v>
      </c>
      <c r="G5" s="42" t="n">
        <f>IF($A5="","",IF($D5=0,"",$E5/$D5))</f>
        <v>0.04375</v>
      </c>
      <c r="H5" s="41" t="n">
        <f>IF($A5="","",SUMPRODUCT((구성원목록!$A$3:$A$42&lt;&gt;"")*(COUNTIFS(업무일지!$C$3:$C$3002,$A5,업무일지!$B$3:$B$3002,구성원목록!$A$3:$A$42)&gt;0)))</f>
        <v>1</v>
      </c>
    </row>
    <row r="6" ht="15" customHeight="1" s="26">
      <c r="A6" s="37" t="str">
        <f>IF(프로젝트목록!$A5="","",프로젝트목록!$A5)</f>
        <v>PJ03</v>
      </c>
      <c r="B6" s="37" t="str">
        <f>IF($A6="","",프로젝트목록!$B5)</f>
        <v>홈페이지 개편</v>
      </c>
      <c r="C6" s="37" t="str">
        <f>IF($A6="","",프로젝트목록!$F5)</f>
        <v>진행</v>
      </c>
      <c r="D6" s="40" t="n">
        <f>IF($A6="","",IF(프로젝트목록!$E5="",0,프로젝트목록!$E5))</f>
        <v>300</v>
      </c>
      <c r="E6" s="40" t="n">
        <f>IF($A6="","",ROUND(SUMIFS(업무일지!$I$3:$I$3002,업무일지!$C$3:$C$3002,$A6),2))</f>
        <v>36.5</v>
      </c>
      <c r="F6" s="40" t="n">
        <f>IF($A6="","",ROUND($D6-$E6,2))</f>
        <v>263.5</v>
      </c>
      <c r="G6" s="42" t="n">
        <f>IF($A6="","",IF($D6=0,"",$E6/$D6))</f>
        <v>0.121666666666667</v>
      </c>
      <c r="H6" s="41" t="n">
        <f>IF($A6="","",SUMPRODUCT((구성원목록!$A$3:$A$42&lt;&gt;"")*(COUNTIFS(업무일지!$C$3:$C$3002,$A6,업무일지!$B$3:$B$3002,구성원목록!$A$3:$A$42)&gt;0)))</f>
        <v>2</v>
      </c>
    </row>
    <row r="7" ht="15" customHeight="1" s="26">
      <c r="A7" s="37" t="str">
        <f>IF(프로젝트목록!$A6="","",프로젝트목록!$A6)</f>
        <v/>
      </c>
      <c r="B7" s="37" t="str">
        <f>IF($A7="","",프로젝트목록!$B6)</f>
        <v/>
      </c>
      <c r="C7" s="37" t="str">
        <f>IF($A7="","",프로젝트목록!$F6)</f>
        <v/>
      </c>
      <c r="D7" s="40" t="str">
        <f>IF($A7="","",IF(프로젝트목록!$E6="",0,프로젝트목록!$E6))</f>
        <v/>
      </c>
      <c r="E7" s="40" t="str">
        <f>IF($A7="","",ROUND(SUMIFS(업무일지!$I$3:$I$3002,업무일지!$C$3:$C$3002,$A7),2))</f>
        <v/>
      </c>
      <c r="F7" s="40" t="str">
        <f>IF($A7="","",ROUND($D7-$E7,2))</f>
        <v/>
      </c>
      <c r="G7" s="42" t="str">
        <f>IF($A7="","",IF($D7=0,"",$E7/$D7))</f>
        <v/>
      </c>
      <c r="H7" s="41" t="str">
        <f>IF($A7="","",SUMPRODUCT((구성원목록!$A$3:$A$42&lt;&gt;"")*(COUNTIFS(업무일지!$C$3:$C$3002,$A7,업무일지!$B$3:$B$3002,구성원목록!$A$3:$A$42)&gt;0)))</f>
        <v/>
      </c>
    </row>
    <row r="8" ht="15" customHeight="1" s="26">
      <c r="A8" s="37" t="str">
        <f>IF(프로젝트목록!$A7="","",프로젝트목록!$A7)</f>
        <v/>
      </c>
      <c r="B8" s="37" t="str">
        <f>IF($A8="","",프로젝트목록!$B7)</f>
        <v/>
      </c>
      <c r="C8" s="37" t="str">
        <f>IF($A8="","",프로젝트목록!$F7)</f>
        <v/>
      </c>
      <c r="D8" s="40" t="str">
        <f>IF($A8="","",IF(프로젝트목록!$E7="",0,프로젝트목록!$E7))</f>
        <v/>
      </c>
      <c r="E8" s="40" t="str">
        <f>IF($A8="","",ROUND(SUMIFS(업무일지!$I$3:$I$3002,업무일지!$C$3:$C$3002,$A8),2))</f>
        <v/>
      </c>
      <c r="F8" s="40" t="str">
        <f>IF($A8="","",ROUND($D8-$E8,2))</f>
        <v/>
      </c>
      <c r="G8" s="42" t="str">
        <f>IF($A8="","",IF($D8=0,"",$E8/$D8))</f>
        <v/>
      </c>
      <c r="H8" s="41" t="str">
        <f>IF($A8="","",SUMPRODUCT((구성원목록!$A$3:$A$42&lt;&gt;"")*(COUNTIFS(업무일지!$C$3:$C$3002,$A8,업무일지!$B$3:$B$3002,구성원목록!$A$3:$A$42)&gt;0)))</f>
        <v/>
      </c>
    </row>
    <row r="9" ht="15" customHeight="1" s="26">
      <c r="A9" s="37" t="str">
        <f>IF(프로젝트목록!$A8="","",프로젝트목록!$A8)</f>
        <v/>
      </c>
      <c r="B9" s="37" t="str">
        <f>IF($A9="","",프로젝트목록!$B8)</f>
        <v/>
      </c>
      <c r="C9" s="37" t="str">
        <f>IF($A9="","",프로젝트목록!$F8)</f>
        <v/>
      </c>
      <c r="D9" s="40" t="str">
        <f>IF($A9="","",IF(프로젝트목록!$E8="",0,프로젝트목록!$E8))</f>
        <v/>
      </c>
      <c r="E9" s="40" t="str">
        <f>IF($A9="","",ROUND(SUMIFS(업무일지!$I$3:$I$3002,업무일지!$C$3:$C$3002,$A9),2))</f>
        <v/>
      </c>
      <c r="F9" s="40" t="str">
        <f>IF($A9="","",ROUND($D9-$E9,2))</f>
        <v/>
      </c>
      <c r="G9" s="42" t="str">
        <f>IF($A9="","",IF($D9=0,"",$E9/$D9))</f>
        <v/>
      </c>
      <c r="H9" s="41" t="str">
        <f>IF($A9="","",SUMPRODUCT((구성원목록!$A$3:$A$42&lt;&gt;"")*(COUNTIFS(업무일지!$C$3:$C$3002,$A9,업무일지!$B$3:$B$3002,구성원목록!$A$3:$A$42)&gt;0)))</f>
        <v/>
      </c>
    </row>
    <row r="10" ht="15" customHeight="1" s="26">
      <c r="A10" s="37" t="str">
        <f>IF(프로젝트목록!$A9="","",프로젝트목록!$A9)</f>
        <v/>
      </c>
      <c r="B10" s="37" t="str">
        <f>IF($A10="","",프로젝트목록!$B9)</f>
        <v/>
      </c>
      <c r="C10" s="37" t="str">
        <f>IF($A10="","",프로젝트목록!$F9)</f>
        <v/>
      </c>
      <c r="D10" s="40" t="str">
        <f>IF($A10="","",IF(프로젝트목록!$E9="",0,프로젝트목록!$E9))</f>
        <v/>
      </c>
      <c r="E10" s="40" t="str">
        <f>IF($A10="","",ROUND(SUMIFS(업무일지!$I$3:$I$3002,업무일지!$C$3:$C$3002,$A10),2))</f>
        <v/>
      </c>
      <c r="F10" s="40" t="str">
        <f>IF($A10="","",ROUND($D10-$E10,2))</f>
        <v/>
      </c>
      <c r="G10" s="42" t="str">
        <f>IF($A10="","",IF($D10=0,"",$E10/$D10))</f>
        <v/>
      </c>
      <c r="H10" s="41" t="str">
        <f>IF($A10="","",SUMPRODUCT((구성원목록!$A$3:$A$42&lt;&gt;"")*(COUNTIFS(업무일지!$C$3:$C$3002,$A10,업무일지!$B$3:$B$3002,구성원목록!$A$3:$A$42)&gt;0)))</f>
        <v/>
      </c>
    </row>
    <row r="11" ht="15" customHeight="1" s="26">
      <c r="A11" s="37" t="str">
        <f>IF(프로젝트목록!$A10="","",프로젝트목록!$A10)</f>
        <v/>
      </c>
      <c r="B11" s="37" t="str">
        <f>IF($A11="","",프로젝트목록!$B10)</f>
        <v/>
      </c>
      <c r="C11" s="37" t="str">
        <f>IF($A11="","",프로젝트목록!$F10)</f>
        <v/>
      </c>
      <c r="D11" s="40" t="str">
        <f>IF($A11="","",IF(프로젝트목록!$E10="",0,프로젝트목록!$E10))</f>
        <v/>
      </c>
      <c r="E11" s="40" t="str">
        <f>IF($A11="","",ROUND(SUMIFS(업무일지!$I$3:$I$3002,업무일지!$C$3:$C$3002,$A11),2))</f>
        <v/>
      </c>
      <c r="F11" s="40" t="str">
        <f>IF($A11="","",ROUND($D11-$E11,2))</f>
        <v/>
      </c>
      <c r="G11" s="42" t="str">
        <f>IF($A11="","",IF($D11=0,"",$E11/$D11))</f>
        <v/>
      </c>
      <c r="H11" s="41" t="str">
        <f>IF($A11="","",SUMPRODUCT((구성원목록!$A$3:$A$42&lt;&gt;"")*(COUNTIFS(업무일지!$C$3:$C$3002,$A11,업무일지!$B$3:$B$3002,구성원목록!$A$3:$A$42)&gt;0)))</f>
        <v/>
      </c>
    </row>
    <row r="12" ht="15" customHeight="1" s="26">
      <c r="A12" s="37" t="str">
        <f>IF(프로젝트목록!$A11="","",프로젝트목록!$A11)</f>
        <v/>
      </c>
      <c r="B12" s="37" t="str">
        <f>IF($A12="","",프로젝트목록!$B11)</f>
        <v/>
      </c>
      <c r="C12" s="37" t="str">
        <f>IF($A12="","",프로젝트목록!$F11)</f>
        <v/>
      </c>
      <c r="D12" s="40" t="str">
        <f>IF($A12="","",IF(프로젝트목록!$E11="",0,프로젝트목록!$E11))</f>
        <v/>
      </c>
      <c r="E12" s="40" t="str">
        <f>IF($A12="","",ROUND(SUMIFS(업무일지!$I$3:$I$3002,업무일지!$C$3:$C$3002,$A12),2))</f>
        <v/>
      </c>
      <c r="F12" s="40" t="str">
        <f>IF($A12="","",ROUND($D12-$E12,2))</f>
        <v/>
      </c>
      <c r="G12" s="42" t="str">
        <f>IF($A12="","",IF($D12=0,"",$E12/$D12))</f>
        <v/>
      </c>
      <c r="H12" s="41" t="str">
        <f>IF($A12="","",SUMPRODUCT((구성원목록!$A$3:$A$42&lt;&gt;"")*(COUNTIFS(업무일지!$C$3:$C$3002,$A12,업무일지!$B$3:$B$3002,구성원목록!$A$3:$A$42)&gt;0)))</f>
        <v/>
      </c>
    </row>
    <row r="13" ht="15" customHeight="1" s="26">
      <c r="A13" s="37" t="str">
        <f>IF(프로젝트목록!$A12="","",프로젝트목록!$A12)</f>
        <v/>
      </c>
      <c r="B13" s="37" t="str">
        <f>IF($A13="","",프로젝트목록!$B12)</f>
        <v/>
      </c>
      <c r="C13" s="37" t="str">
        <f>IF($A13="","",프로젝트목록!$F12)</f>
        <v/>
      </c>
      <c r="D13" s="40" t="str">
        <f>IF($A13="","",IF(프로젝트목록!$E12="",0,프로젝트목록!$E12))</f>
        <v/>
      </c>
      <c r="E13" s="40" t="str">
        <f>IF($A13="","",ROUND(SUMIFS(업무일지!$I$3:$I$3002,업무일지!$C$3:$C$3002,$A13),2))</f>
        <v/>
      </c>
      <c r="F13" s="40" t="str">
        <f>IF($A13="","",ROUND($D13-$E13,2))</f>
        <v/>
      </c>
      <c r="G13" s="42" t="str">
        <f>IF($A13="","",IF($D13=0,"",$E13/$D13))</f>
        <v/>
      </c>
      <c r="H13" s="41" t="str">
        <f>IF($A13="","",SUMPRODUCT((구성원목록!$A$3:$A$42&lt;&gt;"")*(COUNTIFS(업무일지!$C$3:$C$3002,$A13,업무일지!$B$3:$B$3002,구성원목록!$A$3:$A$42)&gt;0)))</f>
        <v/>
      </c>
    </row>
    <row r="14" ht="15" customHeight="1" s="26">
      <c r="A14" s="37" t="str">
        <f>IF(프로젝트목록!$A13="","",프로젝트목록!$A13)</f>
        <v/>
      </c>
      <c r="B14" s="37" t="str">
        <f>IF($A14="","",프로젝트목록!$B13)</f>
        <v/>
      </c>
      <c r="C14" s="37" t="str">
        <f>IF($A14="","",프로젝트목록!$F13)</f>
        <v/>
      </c>
      <c r="D14" s="40" t="str">
        <f>IF($A14="","",IF(프로젝트목록!$E13="",0,프로젝트목록!$E13))</f>
        <v/>
      </c>
      <c r="E14" s="40" t="str">
        <f>IF($A14="","",ROUND(SUMIFS(업무일지!$I$3:$I$3002,업무일지!$C$3:$C$3002,$A14),2))</f>
        <v/>
      </c>
      <c r="F14" s="40" t="str">
        <f>IF($A14="","",ROUND($D14-$E14,2))</f>
        <v/>
      </c>
      <c r="G14" s="42" t="str">
        <f>IF($A14="","",IF($D14=0,"",$E14/$D14))</f>
        <v/>
      </c>
      <c r="H14" s="41" t="str">
        <f>IF($A14="","",SUMPRODUCT((구성원목록!$A$3:$A$42&lt;&gt;"")*(COUNTIFS(업무일지!$C$3:$C$3002,$A14,업무일지!$B$3:$B$3002,구성원목록!$A$3:$A$42)&gt;0)))</f>
        <v/>
      </c>
    </row>
    <row r="15" ht="15" customHeight="1" s="26">
      <c r="A15" s="37" t="str">
        <f>IF(프로젝트목록!$A14="","",프로젝트목록!$A14)</f>
        <v/>
      </c>
      <c r="B15" s="37" t="str">
        <f>IF($A15="","",프로젝트목록!$B14)</f>
        <v/>
      </c>
      <c r="C15" s="37" t="str">
        <f>IF($A15="","",프로젝트목록!$F14)</f>
        <v/>
      </c>
      <c r="D15" s="40" t="str">
        <f>IF($A15="","",IF(프로젝트목록!$E14="",0,프로젝트목록!$E14))</f>
        <v/>
      </c>
      <c r="E15" s="40" t="str">
        <f>IF($A15="","",ROUND(SUMIFS(업무일지!$I$3:$I$3002,업무일지!$C$3:$C$3002,$A15),2))</f>
        <v/>
      </c>
      <c r="F15" s="40" t="str">
        <f>IF($A15="","",ROUND($D15-$E15,2))</f>
        <v/>
      </c>
      <c r="G15" s="42" t="str">
        <f>IF($A15="","",IF($D15=0,"",$E15/$D15))</f>
        <v/>
      </c>
      <c r="H15" s="41" t="str">
        <f>IF($A15="","",SUMPRODUCT((구성원목록!$A$3:$A$42&lt;&gt;"")*(COUNTIFS(업무일지!$C$3:$C$3002,$A15,업무일지!$B$3:$B$3002,구성원목록!$A$3:$A$42)&gt;0)))</f>
        <v/>
      </c>
    </row>
    <row r="16" ht="15" customHeight="1" s="26">
      <c r="A16" s="37" t="str">
        <f>IF(프로젝트목록!$A15="","",프로젝트목록!$A15)</f>
        <v/>
      </c>
      <c r="B16" s="37" t="str">
        <f>IF($A16="","",프로젝트목록!$B15)</f>
        <v/>
      </c>
      <c r="C16" s="37" t="str">
        <f>IF($A16="","",프로젝트목록!$F15)</f>
        <v/>
      </c>
      <c r="D16" s="40" t="str">
        <f>IF($A16="","",IF(프로젝트목록!$E15="",0,프로젝트목록!$E15))</f>
        <v/>
      </c>
      <c r="E16" s="40" t="str">
        <f>IF($A16="","",ROUND(SUMIFS(업무일지!$I$3:$I$3002,업무일지!$C$3:$C$3002,$A16),2))</f>
        <v/>
      </c>
      <c r="F16" s="40" t="str">
        <f>IF($A16="","",ROUND($D16-$E16,2))</f>
        <v/>
      </c>
      <c r="G16" s="42" t="str">
        <f>IF($A16="","",IF($D16=0,"",$E16/$D16))</f>
        <v/>
      </c>
      <c r="H16" s="41" t="str">
        <f>IF($A16="","",SUMPRODUCT((구성원목록!$A$3:$A$42&lt;&gt;"")*(COUNTIFS(업무일지!$C$3:$C$3002,$A16,업무일지!$B$3:$B$3002,구성원목록!$A$3:$A$42)&gt;0)))</f>
        <v/>
      </c>
    </row>
    <row r="17" ht="15" customHeight="1" s="26">
      <c r="A17" s="37" t="str">
        <f>IF(프로젝트목록!$A16="","",프로젝트목록!$A16)</f>
        <v/>
      </c>
      <c r="B17" s="37" t="str">
        <f>IF($A17="","",프로젝트목록!$B16)</f>
        <v/>
      </c>
      <c r="C17" s="37" t="str">
        <f>IF($A17="","",프로젝트목록!$F16)</f>
        <v/>
      </c>
      <c r="D17" s="40" t="str">
        <f>IF($A17="","",IF(프로젝트목록!$E16="",0,프로젝트목록!$E16))</f>
        <v/>
      </c>
      <c r="E17" s="40" t="str">
        <f>IF($A17="","",ROUND(SUMIFS(업무일지!$I$3:$I$3002,업무일지!$C$3:$C$3002,$A17),2))</f>
        <v/>
      </c>
      <c r="F17" s="40" t="str">
        <f>IF($A17="","",ROUND($D17-$E17,2))</f>
        <v/>
      </c>
      <c r="G17" s="42" t="str">
        <f>IF($A17="","",IF($D17=0,"",$E17/$D17))</f>
        <v/>
      </c>
      <c r="H17" s="41" t="str">
        <f>IF($A17="","",SUMPRODUCT((구성원목록!$A$3:$A$42&lt;&gt;"")*(COUNTIFS(업무일지!$C$3:$C$3002,$A17,업무일지!$B$3:$B$3002,구성원목록!$A$3:$A$42)&gt;0)))</f>
        <v/>
      </c>
    </row>
    <row r="18" ht="15" customHeight="1" s="26">
      <c r="A18" s="37" t="str">
        <f>IF(프로젝트목록!$A17="","",프로젝트목록!$A17)</f>
        <v/>
      </c>
      <c r="B18" s="37" t="str">
        <f>IF($A18="","",프로젝트목록!$B17)</f>
        <v/>
      </c>
      <c r="C18" s="37" t="str">
        <f>IF($A18="","",프로젝트목록!$F17)</f>
        <v/>
      </c>
      <c r="D18" s="40" t="str">
        <f>IF($A18="","",IF(프로젝트목록!$E17="",0,프로젝트목록!$E17))</f>
        <v/>
      </c>
      <c r="E18" s="40" t="str">
        <f>IF($A18="","",ROUND(SUMIFS(업무일지!$I$3:$I$3002,업무일지!$C$3:$C$3002,$A18),2))</f>
        <v/>
      </c>
      <c r="F18" s="40" t="str">
        <f>IF($A18="","",ROUND($D18-$E18,2))</f>
        <v/>
      </c>
      <c r="G18" s="42" t="str">
        <f>IF($A18="","",IF($D18=0,"",$E18/$D18))</f>
        <v/>
      </c>
      <c r="H18" s="41" t="str">
        <f>IF($A18="","",SUMPRODUCT((구성원목록!$A$3:$A$42&lt;&gt;"")*(COUNTIFS(업무일지!$C$3:$C$3002,$A18,업무일지!$B$3:$B$3002,구성원목록!$A$3:$A$42)&gt;0)))</f>
        <v/>
      </c>
    </row>
    <row r="19" ht="15" customHeight="1" s="26">
      <c r="A19" s="37" t="str">
        <f>IF(프로젝트목록!$A18="","",프로젝트목록!$A18)</f>
        <v/>
      </c>
      <c r="B19" s="37" t="str">
        <f>IF($A19="","",프로젝트목록!$B18)</f>
        <v/>
      </c>
      <c r="C19" s="37" t="str">
        <f>IF($A19="","",프로젝트목록!$F18)</f>
        <v/>
      </c>
      <c r="D19" s="40" t="str">
        <f>IF($A19="","",IF(프로젝트목록!$E18="",0,프로젝트목록!$E18))</f>
        <v/>
      </c>
      <c r="E19" s="40" t="str">
        <f>IF($A19="","",ROUND(SUMIFS(업무일지!$I$3:$I$3002,업무일지!$C$3:$C$3002,$A19),2))</f>
        <v/>
      </c>
      <c r="F19" s="40" t="str">
        <f>IF($A19="","",ROUND($D19-$E19,2))</f>
        <v/>
      </c>
      <c r="G19" s="42" t="str">
        <f>IF($A19="","",IF($D19=0,"",$E19/$D19))</f>
        <v/>
      </c>
      <c r="H19" s="41" t="str">
        <f>IF($A19="","",SUMPRODUCT((구성원목록!$A$3:$A$42&lt;&gt;"")*(COUNTIFS(업무일지!$C$3:$C$3002,$A19,업무일지!$B$3:$B$3002,구성원목록!$A$3:$A$42)&gt;0)))</f>
        <v/>
      </c>
    </row>
    <row r="20" ht="15" customHeight="1" s="26">
      <c r="A20" s="37" t="str">
        <f>IF(프로젝트목록!$A19="","",프로젝트목록!$A19)</f>
        <v/>
      </c>
      <c r="B20" s="37" t="str">
        <f>IF($A20="","",프로젝트목록!$B19)</f>
        <v/>
      </c>
      <c r="C20" s="37" t="str">
        <f>IF($A20="","",프로젝트목록!$F19)</f>
        <v/>
      </c>
      <c r="D20" s="40" t="str">
        <f>IF($A20="","",IF(프로젝트목록!$E19="",0,프로젝트목록!$E19))</f>
        <v/>
      </c>
      <c r="E20" s="40" t="str">
        <f>IF($A20="","",ROUND(SUMIFS(업무일지!$I$3:$I$3002,업무일지!$C$3:$C$3002,$A20),2))</f>
        <v/>
      </c>
      <c r="F20" s="40" t="str">
        <f>IF($A20="","",ROUND($D20-$E20,2))</f>
        <v/>
      </c>
      <c r="G20" s="42" t="str">
        <f>IF($A20="","",IF($D20=0,"",$E20/$D20))</f>
        <v/>
      </c>
      <c r="H20" s="41" t="str">
        <f>IF($A20="","",SUMPRODUCT((구성원목록!$A$3:$A$42&lt;&gt;"")*(COUNTIFS(업무일지!$C$3:$C$3002,$A20,업무일지!$B$3:$B$3002,구성원목록!$A$3:$A$42)&gt;0)))</f>
        <v/>
      </c>
    </row>
    <row r="21" ht="15" customHeight="1" s="26">
      <c r="A21" s="37" t="str">
        <f>IF(프로젝트목록!$A20="","",프로젝트목록!$A20)</f>
        <v/>
      </c>
      <c r="B21" s="37" t="str">
        <f>IF($A21="","",프로젝트목록!$B20)</f>
        <v/>
      </c>
      <c r="C21" s="37" t="str">
        <f>IF($A21="","",프로젝트목록!$F20)</f>
        <v/>
      </c>
      <c r="D21" s="40" t="str">
        <f>IF($A21="","",IF(프로젝트목록!$E20="",0,프로젝트목록!$E20))</f>
        <v/>
      </c>
      <c r="E21" s="40" t="str">
        <f>IF($A21="","",ROUND(SUMIFS(업무일지!$I$3:$I$3002,업무일지!$C$3:$C$3002,$A21),2))</f>
        <v/>
      </c>
      <c r="F21" s="40" t="str">
        <f>IF($A21="","",ROUND($D21-$E21,2))</f>
        <v/>
      </c>
      <c r="G21" s="42" t="str">
        <f>IF($A21="","",IF($D21=0,"",$E21/$D21))</f>
        <v/>
      </c>
      <c r="H21" s="41" t="str">
        <f>IF($A21="","",SUMPRODUCT((구성원목록!$A$3:$A$42&lt;&gt;"")*(COUNTIFS(업무일지!$C$3:$C$3002,$A21,업무일지!$B$3:$B$3002,구성원목록!$A$3:$A$42)&gt;0)))</f>
        <v/>
      </c>
    </row>
    <row r="22" ht="15" customHeight="1" s="26">
      <c r="A22" s="37" t="str">
        <f>IF(프로젝트목록!$A21="","",프로젝트목록!$A21)</f>
        <v/>
      </c>
      <c r="B22" s="37" t="str">
        <f>IF($A22="","",프로젝트목록!$B21)</f>
        <v/>
      </c>
      <c r="C22" s="37" t="str">
        <f>IF($A22="","",프로젝트목록!$F21)</f>
        <v/>
      </c>
      <c r="D22" s="40" t="str">
        <f>IF($A22="","",IF(프로젝트목록!$E21="",0,프로젝트목록!$E21))</f>
        <v/>
      </c>
      <c r="E22" s="40" t="str">
        <f>IF($A22="","",ROUND(SUMIFS(업무일지!$I$3:$I$3002,업무일지!$C$3:$C$3002,$A22),2))</f>
        <v/>
      </c>
      <c r="F22" s="40" t="str">
        <f>IF($A22="","",ROUND($D22-$E22,2))</f>
        <v/>
      </c>
      <c r="G22" s="42" t="str">
        <f>IF($A22="","",IF($D22=0,"",$E22/$D22))</f>
        <v/>
      </c>
      <c r="H22" s="41" t="str">
        <f>IF($A22="","",SUMPRODUCT((구성원목록!$A$3:$A$42&lt;&gt;"")*(COUNTIFS(업무일지!$C$3:$C$3002,$A22,업무일지!$B$3:$B$3002,구성원목록!$A$3:$A$42)&gt;0)))</f>
        <v/>
      </c>
    </row>
    <row r="23" ht="15" customHeight="1" s="26">
      <c r="A23" s="37" t="str">
        <f>IF(프로젝트목록!$A22="","",프로젝트목록!$A22)</f>
        <v/>
      </c>
      <c r="B23" s="37" t="str">
        <f>IF($A23="","",프로젝트목록!$B22)</f>
        <v/>
      </c>
      <c r="C23" s="37" t="str">
        <f>IF($A23="","",프로젝트목록!$F22)</f>
        <v/>
      </c>
      <c r="D23" s="40" t="str">
        <f>IF($A23="","",IF(프로젝트목록!$E22="",0,프로젝트목록!$E22))</f>
        <v/>
      </c>
      <c r="E23" s="40" t="str">
        <f>IF($A23="","",ROUND(SUMIFS(업무일지!$I$3:$I$3002,업무일지!$C$3:$C$3002,$A23),2))</f>
        <v/>
      </c>
      <c r="F23" s="40" t="str">
        <f>IF($A23="","",ROUND($D23-$E23,2))</f>
        <v/>
      </c>
      <c r="G23" s="42" t="str">
        <f>IF($A23="","",IF($D23=0,"",$E23/$D23))</f>
        <v/>
      </c>
      <c r="H23" s="41" t="str">
        <f>IF($A23="","",SUMPRODUCT((구성원목록!$A$3:$A$42&lt;&gt;"")*(COUNTIFS(업무일지!$C$3:$C$3002,$A23,업무일지!$B$3:$B$3002,구성원목록!$A$3:$A$42)&gt;0)))</f>
        <v/>
      </c>
    </row>
    <row r="24" ht="15" customHeight="1" s="26">
      <c r="A24" s="37" t="str">
        <f>IF(프로젝트목록!$A23="","",프로젝트목록!$A23)</f>
        <v/>
      </c>
      <c r="B24" s="37" t="str">
        <f>IF($A24="","",프로젝트목록!$B23)</f>
        <v/>
      </c>
      <c r="C24" s="37" t="str">
        <f>IF($A24="","",프로젝트목록!$F23)</f>
        <v/>
      </c>
      <c r="D24" s="40" t="str">
        <f>IF($A24="","",IF(프로젝트목록!$E23="",0,프로젝트목록!$E23))</f>
        <v/>
      </c>
      <c r="E24" s="40" t="str">
        <f>IF($A24="","",ROUND(SUMIFS(업무일지!$I$3:$I$3002,업무일지!$C$3:$C$3002,$A24),2))</f>
        <v/>
      </c>
      <c r="F24" s="40" t="str">
        <f>IF($A24="","",ROUND($D24-$E24,2))</f>
        <v/>
      </c>
      <c r="G24" s="42" t="str">
        <f>IF($A24="","",IF($D24=0,"",$E24/$D24))</f>
        <v/>
      </c>
      <c r="H24" s="41" t="str">
        <f>IF($A24="","",SUMPRODUCT((구성원목록!$A$3:$A$42&lt;&gt;"")*(COUNTIFS(업무일지!$C$3:$C$3002,$A24,업무일지!$B$3:$B$3002,구성원목록!$A$3:$A$42)&gt;0)))</f>
        <v/>
      </c>
    </row>
    <row r="25" ht="15" customHeight="1" s="26">
      <c r="A25" s="37" t="str">
        <f>IF(프로젝트목록!$A24="","",프로젝트목록!$A24)</f>
        <v/>
      </c>
      <c r="B25" s="37" t="str">
        <f>IF($A25="","",프로젝트목록!$B24)</f>
        <v/>
      </c>
      <c r="C25" s="37" t="str">
        <f>IF($A25="","",프로젝트목록!$F24)</f>
        <v/>
      </c>
      <c r="D25" s="40" t="str">
        <f>IF($A25="","",IF(프로젝트목록!$E24="",0,프로젝트목록!$E24))</f>
        <v/>
      </c>
      <c r="E25" s="40" t="str">
        <f>IF($A25="","",ROUND(SUMIFS(업무일지!$I$3:$I$3002,업무일지!$C$3:$C$3002,$A25),2))</f>
        <v/>
      </c>
      <c r="F25" s="40" t="str">
        <f>IF($A25="","",ROUND($D25-$E25,2))</f>
        <v/>
      </c>
      <c r="G25" s="42" t="str">
        <f>IF($A25="","",IF($D25=0,"",$E25/$D25))</f>
        <v/>
      </c>
      <c r="H25" s="41" t="str">
        <f>IF($A25="","",SUMPRODUCT((구성원목록!$A$3:$A$42&lt;&gt;"")*(COUNTIFS(업무일지!$C$3:$C$3002,$A25,업무일지!$B$3:$B$3002,구성원목록!$A$3:$A$42)&gt;0)))</f>
        <v/>
      </c>
    </row>
    <row r="26" ht="15" customHeight="1" s="26">
      <c r="A26" s="37" t="str">
        <f>IF(프로젝트목록!$A25="","",프로젝트목록!$A25)</f>
        <v/>
      </c>
      <c r="B26" s="37" t="str">
        <f>IF($A26="","",프로젝트목록!$B25)</f>
        <v/>
      </c>
      <c r="C26" s="37" t="str">
        <f>IF($A26="","",프로젝트목록!$F25)</f>
        <v/>
      </c>
      <c r="D26" s="40" t="str">
        <f>IF($A26="","",IF(프로젝트목록!$E25="",0,프로젝트목록!$E25))</f>
        <v/>
      </c>
      <c r="E26" s="40" t="str">
        <f>IF($A26="","",ROUND(SUMIFS(업무일지!$I$3:$I$3002,업무일지!$C$3:$C$3002,$A26),2))</f>
        <v/>
      </c>
      <c r="F26" s="40" t="str">
        <f>IF($A26="","",ROUND($D26-$E26,2))</f>
        <v/>
      </c>
      <c r="G26" s="42" t="str">
        <f>IF($A26="","",IF($D26=0,"",$E26/$D26))</f>
        <v/>
      </c>
      <c r="H26" s="41" t="str">
        <f>IF($A26="","",SUMPRODUCT((구성원목록!$A$3:$A$42&lt;&gt;"")*(COUNTIFS(업무일지!$C$3:$C$3002,$A26,업무일지!$B$3:$B$3002,구성원목록!$A$3:$A$42)&gt;0)))</f>
        <v/>
      </c>
    </row>
    <row r="27" ht="15" customHeight="1" s="26">
      <c r="A27" s="37" t="str">
        <f>IF(프로젝트목록!$A26="","",프로젝트목록!$A26)</f>
        <v/>
      </c>
      <c r="B27" s="37" t="str">
        <f>IF($A27="","",프로젝트목록!$B26)</f>
        <v/>
      </c>
      <c r="C27" s="37" t="str">
        <f>IF($A27="","",프로젝트목록!$F26)</f>
        <v/>
      </c>
      <c r="D27" s="40" t="str">
        <f>IF($A27="","",IF(프로젝트목록!$E26="",0,프로젝트목록!$E26))</f>
        <v/>
      </c>
      <c r="E27" s="40" t="str">
        <f>IF($A27="","",ROUND(SUMIFS(업무일지!$I$3:$I$3002,업무일지!$C$3:$C$3002,$A27),2))</f>
        <v/>
      </c>
      <c r="F27" s="40" t="str">
        <f>IF($A27="","",ROUND($D27-$E27,2))</f>
        <v/>
      </c>
      <c r="G27" s="42" t="str">
        <f>IF($A27="","",IF($D27=0,"",$E27/$D27))</f>
        <v/>
      </c>
      <c r="H27" s="41" t="str">
        <f>IF($A27="","",SUMPRODUCT((구성원목록!$A$3:$A$42&lt;&gt;"")*(COUNTIFS(업무일지!$C$3:$C$3002,$A27,업무일지!$B$3:$B$3002,구성원목록!$A$3:$A$42)&gt;0)))</f>
        <v/>
      </c>
    </row>
    <row r="28" ht="15" customHeight="1" s="26">
      <c r="A28" s="37" t="str">
        <f>IF(프로젝트목록!$A27="","",프로젝트목록!$A27)</f>
        <v/>
      </c>
      <c r="B28" s="37" t="str">
        <f>IF($A28="","",프로젝트목록!$B27)</f>
        <v/>
      </c>
      <c r="C28" s="37" t="str">
        <f>IF($A28="","",프로젝트목록!$F27)</f>
        <v/>
      </c>
      <c r="D28" s="40" t="str">
        <f>IF($A28="","",IF(프로젝트목록!$E27="",0,프로젝트목록!$E27))</f>
        <v/>
      </c>
      <c r="E28" s="40" t="str">
        <f>IF($A28="","",ROUND(SUMIFS(업무일지!$I$3:$I$3002,업무일지!$C$3:$C$3002,$A28),2))</f>
        <v/>
      </c>
      <c r="F28" s="40" t="str">
        <f>IF($A28="","",ROUND($D28-$E28,2))</f>
        <v/>
      </c>
      <c r="G28" s="42" t="str">
        <f>IF($A28="","",IF($D28=0,"",$E28/$D28))</f>
        <v/>
      </c>
      <c r="H28" s="41" t="str">
        <f>IF($A28="","",SUMPRODUCT((구성원목록!$A$3:$A$42&lt;&gt;"")*(COUNTIFS(업무일지!$C$3:$C$3002,$A28,업무일지!$B$3:$B$3002,구성원목록!$A$3:$A$42)&gt;0)))</f>
        <v/>
      </c>
    </row>
    <row r="29" ht="15" customHeight="1" s="26">
      <c r="A29" s="37" t="str">
        <f>IF(프로젝트목록!$A28="","",프로젝트목록!$A28)</f>
        <v/>
      </c>
      <c r="B29" s="37" t="str">
        <f>IF($A29="","",프로젝트목록!$B28)</f>
        <v/>
      </c>
      <c r="C29" s="37" t="str">
        <f>IF($A29="","",프로젝트목록!$F28)</f>
        <v/>
      </c>
      <c r="D29" s="40" t="str">
        <f>IF($A29="","",IF(프로젝트목록!$E28="",0,프로젝트목록!$E28))</f>
        <v/>
      </c>
      <c r="E29" s="40" t="str">
        <f>IF($A29="","",ROUND(SUMIFS(업무일지!$I$3:$I$3002,업무일지!$C$3:$C$3002,$A29),2))</f>
        <v/>
      </c>
      <c r="F29" s="40" t="str">
        <f>IF($A29="","",ROUND($D29-$E29,2))</f>
        <v/>
      </c>
      <c r="G29" s="42" t="str">
        <f>IF($A29="","",IF($D29=0,"",$E29/$D29))</f>
        <v/>
      </c>
      <c r="H29" s="41" t="str">
        <f>IF($A29="","",SUMPRODUCT((구성원목록!$A$3:$A$42&lt;&gt;"")*(COUNTIFS(업무일지!$C$3:$C$3002,$A29,업무일지!$B$3:$B$3002,구성원목록!$A$3:$A$42)&gt;0)))</f>
        <v/>
      </c>
    </row>
    <row r="30" ht="15" customHeight="1" s="26">
      <c r="A30" s="37" t="str">
        <f>IF(프로젝트목록!$A29="","",프로젝트목록!$A29)</f>
        <v/>
      </c>
      <c r="B30" s="37" t="str">
        <f>IF($A30="","",프로젝트목록!$B29)</f>
        <v/>
      </c>
      <c r="C30" s="37" t="str">
        <f>IF($A30="","",프로젝트목록!$F29)</f>
        <v/>
      </c>
      <c r="D30" s="40" t="str">
        <f>IF($A30="","",IF(프로젝트목록!$E29="",0,프로젝트목록!$E29))</f>
        <v/>
      </c>
      <c r="E30" s="40" t="str">
        <f>IF($A30="","",ROUND(SUMIFS(업무일지!$I$3:$I$3002,업무일지!$C$3:$C$3002,$A30),2))</f>
        <v/>
      </c>
      <c r="F30" s="40" t="str">
        <f>IF($A30="","",ROUND($D30-$E30,2))</f>
        <v/>
      </c>
      <c r="G30" s="42" t="str">
        <f>IF($A30="","",IF($D30=0,"",$E30/$D30))</f>
        <v/>
      </c>
      <c r="H30" s="41" t="str">
        <f>IF($A30="","",SUMPRODUCT((구성원목록!$A$3:$A$42&lt;&gt;"")*(COUNTIFS(업무일지!$C$3:$C$3002,$A30,업무일지!$B$3:$B$3002,구성원목록!$A$3:$A$42)&gt;0)))</f>
        <v/>
      </c>
    </row>
    <row r="31" ht="15" customHeight="1" s="26">
      <c r="A31" s="37" t="str">
        <f>IF(프로젝트목록!$A30="","",프로젝트목록!$A30)</f>
        <v/>
      </c>
      <c r="B31" s="37" t="str">
        <f>IF($A31="","",프로젝트목록!$B30)</f>
        <v/>
      </c>
      <c r="C31" s="37" t="str">
        <f>IF($A31="","",프로젝트목록!$F30)</f>
        <v/>
      </c>
      <c r="D31" s="40" t="str">
        <f>IF($A31="","",IF(프로젝트목록!$E30="",0,프로젝트목록!$E30))</f>
        <v/>
      </c>
      <c r="E31" s="40" t="str">
        <f>IF($A31="","",ROUND(SUMIFS(업무일지!$I$3:$I$3002,업무일지!$C$3:$C$3002,$A31),2))</f>
        <v/>
      </c>
      <c r="F31" s="40" t="str">
        <f>IF($A31="","",ROUND($D31-$E31,2))</f>
        <v/>
      </c>
      <c r="G31" s="42" t="str">
        <f>IF($A31="","",IF($D31=0,"",$E31/$D31))</f>
        <v/>
      </c>
      <c r="H31" s="41" t="str">
        <f>IF($A31="","",SUMPRODUCT((구성원목록!$A$3:$A$42&lt;&gt;"")*(COUNTIFS(업무일지!$C$3:$C$3002,$A31,업무일지!$B$3:$B$3002,구성원목록!$A$3:$A$42)&gt;0)))</f>
        <v/>
      </c>
    </row>
    <row r="32" ht="15" customHeight="1" s="26">
      <c r="A32" s="37" t="str">
        <f>IF(프로젝트목록!$A31="","",프로젝트목록!$A31)</f>
        <v/>
      </c>
      <c r="B32" s="37" t="str">
        <f>IF($A32="","",프로젝트목록!$B31)</f>
        <v/>
      </c>
      <c r="C32" s="37" t="str">
        <f>IF($A32="","",프로젝트목록!$F31)</f>
        <v/>
      </c>
      <c r="D32" s="40" t="str">
        <f>IF($A32="","",IF(프로젝트목록!$E31="",0,프로젝트목록!$E31))</f>
        <v/>
      </c>
      <c r="E32" s="40" t="str">
        <f>IF($A32="","",ROUND(SUMIFS(업무일지!$I$3:$I$3002,업무일지!$C$3:$C$3002,$A32),2))</f>
        <v/>
      </c>
      <c r="F32" s="40" t="str">
        <f>IF($A32="","",ROUND($D32-$E32,2))</f>
        <v/>
      </c>
      <c r="G32" s="42" t="str">
        <f>IF($A32="","",IF($D32=0,"",$E32/$D32))</f>
        <v/>
      </c>
      <c r="H32" s="41" t="str">
        <f>IF($A32="","",SUMPRODUCT((구성원목록!$A$3:$A$42&lt;&gt;"")*(COUNTIFS(업무일지!$C$3:$C$3002,$A32,업무일지!$B$3:$B$3002,구성원목록!$A$3:$A$42)&gt;0)))</f>
        <v/>
      </c>
    </row>
    <row r="33" ht="15" customHeight="1" s="26">
      <c r="A33" s="37" t="str">
        <f>IF(프로젝트목록!$A32="","",프로젝트목록!$A32)</f>
        <v/>
      </c>
      <c r="B33" s="37" t="str">
        <f>IF($A33="","",프로젝트목록!$B32)</f>
        <v/>
      </c>
      <c r="C33" s="37" t="str">
        <f>IF($A33="","",프로젝트목록!$F32)</f>
        <v/>
      </c>
      <c r="D33" s="40" t="str">
        <f>IF($A33="","",IF(프로젝트목록!$E32="",0,프로젝트목록!$E32))</f>
        <v/>
      </c>
      <c r="E33" s="40" t="str">
        <f>IF($A33="","",ROUND(SUMIFS(업무일지!$I$3:$I$3002,업무일지!$C$3:$C$3002,$A33),2))</f>
        <v/>
      </c>
      <c r="F33" s="40" t="str">
        <f>IF($A33="","",ROUND($D33-$E33,2))</f>
        <v/>
      </c>
      <c r="G33" s="42" t="str">
        <f>IF($A33="","",IF($D33=0,"",$E33/$D33))</f>
        <v/>
      </c>
      <c r="H33" s="41" t="str">
        <f>IF($A33="","",SUMPRODUCT((구성원목록!$A$3:$A$42&lt;&gt;"")*(COUNTIFS(업무일지!$C$3:$C$3002,$A33,업무일지!$B$3:$B$3002,구성원목록!$A$3:$A$42)&gt;0)))</f>
        <v/>
      </c>
    </row>
    <row r="34" ht="15" customHeight="1" s="26">
      <c r="A34" s="37" t="str">
        <f>IF(프로젝트목록!$A33="","",프로젝트목록!$A33)</f>
        <v/>
      </c>
      <c r="B34" s="37" t="str">
        <f>IF($A34="","",프로젝트목록!$B33)</f>
        <v/>
      </c>
      <c r="C34" s="37" t="str">
        <f>IF($A34="","",프로젝트목록!$F33)</f>
        <v/>
      </c>
      <c r="D34" s="40" t="str">
        <f>IF($A34="","",IF(프로젝트목록!$E33="",0,프로젝트목록!$E33))</f>
        <v/>
      </c>
      <c r="E34" s="40" t="str">
        <f>IF($A34="","",ROUND(SUMIFS(업무일지!$I$3:$I$3002,업무일지!$C$3:$C$3002,$A34),2))</f>
        <v/>
      </c>
      <c r="F34" s="40" t="str">
        <f>IF($A34="","",ROUND($D34-$E34,2))</f>
        <v/>
      </c>
      <c r="G34" s="42" t="str">
        <f>IF($A34="","",IF($D34=0,"",$E34/$D34))</f>
        <v/>
      </c>
      <c r="H34" s="41" t="str">
        <f>IF($A34="","",SUMPRODUCT((구성원목록!$A$3:$A$42&lt;&gt;"")*(COUNTIFS(업무일지!$C$3:$C$3002,$A34,업무일지!$B$3:$B$3002,구성원목록!$A$3:$A$42)&gt;0)))</f>
        <v/>
      </c>
    </row>
    <row r="35" ht="15" customHeight="1" s="26">
      <c r="A35" s="37" t="str">
        <f>IF(프로젝트목록!$A34="","",프로젝트목록!$A34)</f>
        <v/>
      </c>
      <c r="B35" s="37" t="str">
        <f>IF($A35="","",프로젝트목록!$B34)</f>
        <v/>
      </c>
      <c r="C35" s="37" t="str">
        <f>IF($A35="","",프로젝트목록!$F34)</f>
        <v/>
      </c>
      <c r="D35" s="40" t="str">
        <f>IF($A35="","",IF(프로젝트목록!$E34="",0,프로젝트목록!$E34))</f>
        <v/>
      </c>
      <c r="E35" s="40" t="str">
        <f>IF($A35="","",ROUND(SUMIFS(업무일지!$I$3:$I$3002,업무일지!$C$3:$C$3002,$A35),2))</f>
        <v/>
      </c>
      <c r="F35" s="40" t="str">
        <f>IF($A35="","",ROUND($D35-$E35,2))</f>
        <v/>
      </c>
      <c r="G35" s="42" t="str">
        <f>IF($A35="","",IF($D35=0,"",$E35/$D35))</f>
        <v/>
      </c>
      <c r="H35" s="41" t="str">
        <f>IF($A35="","",SUMPRODUCT((구성원목록!$A$3:$A$42&lt;&gt;"")*(COUNTIFS(업무일지!$C$3:$C$3002,$A35,업무일지!$B$3:$B$3002,구성원목록!$A$3:$A$42)&gt;0)))</f>
        <v/>
      </c>
    </row>
    <row r="36" ht="15" customHeight="1" s="26">
      <c r="A36" s="37" t="str">
        <f>IF(프로젝트목록!$A35="","",프로젝트목록!$A35)</f>
        <v/>
      </c>
      <c r="B36" s="37" t="str">
        <f>IF($A36="","",프로젝트목록!$B35)</f>
        <v/>
      </c>
      <c r="C36" s="37" t="str">
        <f>IF($A36="","",프로젝트목록!$F35)</f>
        <v/>
      </c>
      <c r="D36" s="40" t="str">
        <f>IF($A36="","",IF(프로젝트목록!$E35="",0,프로젝트목록!$E35))</f>
        <v/>
      </c>
      <c r="E36" s="40" t="str">
        <f>IF($A36="","",ROUND(SUMIFS(업무일지!$I$3:$I$3002,업무일지!$C$3:$C$3002,$A36),2))</f>
        <v/>
      </c>
      <c r="F36" s="40" t="str">
        <f>IF($A36="","",ROUND($D36-$E36,2))</f>
        <v/>
      </c>
      <c r="G36" s="42" t="str">
        <f>IF($A36="","",IF($D36=0,"",$E36/$D36))</f>
        <v/>
      </c>
      <c r="H36" s="41" t="str">
        <f>IF($A36="","",SUMPRODUCT((구성원목록!$A$3:$A$42&lt;&gt;"")*(COUNTIFS(업무일지!$C$3:$C$3002,$A36,업무일지!$B$3:$B$3002,구성원목록!$A$3:$A$42)&gt;0)))</f>
        <v/>
      </c>
    </row>
    <row r="37" ht="15" customHeight="1" s="26">
      <c r="A37" s="37" t="str">
        <f>IF(프로젝트목록!$A36="","",프로젝트목록!$A36)</f>
        <v/>
      </c>
      <c r="B37" s="37" t="str">
        <f>IF($A37="","",프로젝트목록!$B36)</f>
        <v/>
      </c>
      <c r="C37" s="37" t="str">
        <f>IF($A37="","",프로젝트목록!$F36)</f>
        <v/>
      </c>
      <c r="D37" s="40" t="str">
        <f>IF($A37="","",IF(프로젝트목록!$E36="",0,프로젝트목록!$E36))</f>
        <v/>
      </c>
      <c r="E37" s="40" t="str">
        <f>IF($A37="","",ROUND(SUMIFS(업무일지!$I$3:$I$3002,업무일지!$C$3:$C$3002,$A37),2))</f>
        <v/>
      </c>
      <c r="F37" s="40" t="str">
        <f>IF($A37="","",ROUND($D37-$E37,2))</f>
        <v/>
      </c>
      <c r="G37" s="42" t="str">
        <f>IF($A37="","",IF($D37=0,"",$E37/$D37))</f>
        <v/>
      </c>
      <c r="H37" s="41" t="str">
        <f>IF($A37="","",SUMPRODUCT((구성원목록!$A$3:$A$42&lt;&gt;"")*(COUNTIFS(업무일지!$C$3:$C$3002,$A37,업무일지!$B$3:$B$3002,구성원목록!$A$3:$A$42)&gt;0)))</f>
        <v/>
      </c>
    </row>
    <row r="38" ht="15" customHeight="1" s="26">
      <c r="A38" s="37" t="str">
        <f>IF(프로젝트목록!$A37="","",프로젝트목록!$A37)</f>
        <v/>
      </c>
      <c r="B38" s="37" t="str">
        <f>IF($A38="","",프로젝트목록!$B37)</f>
        <v/>
      </c>
      <c r="C38" s="37" t="str">
        <f>IF($A38="","",프로젝트목록!$F37)</f>
        <v/>
      </c>
      <c r="D38" s="40" t="str">
        <f>IF($A38="","",IF(프로젝트목록!$E37="",0,프로젝트목록!$E37))</f>
        <v/>
      </c>
      <c r="E38" s="40" t="str">
        <f>IF($A38="","",ROUND(SUMIFS(업무일지!$I$3:$I$3002,업무일지!$C$3:$C$3002,$A38),2))</f>
        <v/>
      </c>
      <c r="F38" s="40" t="str">
        <f>IF($A38="","",ROUND($D38-$E38,2))</f>
        <v/>
      </c>
      <c r="G38" s="42" t="str">
        <f>IF($A38="","",IF($D38=0,"",$E38/$D38))</f>
        <v/>
      </c>
      <c r="H38" s="41" t="str">
        <f>IF($A38="","",SUMPRODUCT((구성원목록!$A$3:$A$42&lt;&gt;"")*(COUNTIFS(업무일지!$C$3:$C$3002,$A38,업무일지!$B$3:$B$3002,구성원목록!$A$3:$A$42)&gt;0)))</f>
        <v/>
      </c>
    </row>
    <row r="39" ht="15" customHeight="1" s="26">
      <c r="A39" s="37" t="str">
        <f>IF(프로젝트목록!$A38="","",프로젝트목록!$A38)</f>
        <v/>
      </c>
      <c r="B39" s="37" t="str">
        <f>IF($A39="","",프로젝트목록!$B38)</f>
        <v/>
      </c>
      <c r="C39" s="37" t="str">
        <f>IF($A39="","",프로젝트목록!$F38)</f>
        <v/>
      </c>
      <c r="D39" s="40" t="str">
        <f>IF($A39="","",IF(프로젝트목록!$E38="",0,프로젝트목록!$E38))</f>
        <v/>
      </c>
      <c r="E39" s="40" t="str">
        <f>IF($A39="","",ROUND(SUMIFS(업무일지!$I$3:$I$3002,업무일지!$C$3:$C$3002,$A39),2))</f>
        <v/>
      </c>
      <c r="F39" s="40" t="str">
        <f>IF($A39="","",ROUND($D39-$E39,2))</f>
        <v/>
      </c>
      <c r="G39" s="42" t="str">
        <f>IF($A39="","",IF($D39=0,"",$E39/$D39))</f>
        <v/>
      </c>
      <c r="H39" s="41" t="str">
        <f>IF($A39="","",SUMPRODUCT((구성원목록!$A$3:$A$42&lt;&gt;"")*(COUNTIFS(업무일지!$C$3:$C$3002,$A39,업무일지!$B$3:$B$3002,구성원목록!$A$3:$A$42)&gt;0)))</f>
        <v/>
      </c>
    </row>
    <row r="40" ht="15" customHeight="1" s="26">
      <c r="A40" s="37" t="str">
        <f>IF(프로젝트목록!$A39="","",프로젝트목록!$A39)</f>
        <v/>
      </c>
      <c r="B40" s="37" t="str">
        <f>IF($A40="","",프로젝트목록!$B39)</f>
        <v/>
      </c>
      <c r="C40" s="37" t="str">
        <f>IF($A40="","",프로젝트목록!$F39)</f>
        <v/>
      </c>
      <c r="D40" s="40" t="str">
        <f>IF($A40="","",IF(프로젝트목록!$E39="",0,프로젝트목록!$E39))</f>
        <v/>
      </c>
      <c r="E40" s="40" t="str">
        <f>IF($A40="","",ROUND(SUMIFS(업무일지!$I$3:$I$3002,업무일지!$C$3:$C$3002,$A40),2))</f>
        <v/>
      </c>
      <c r="F40" s="40" t="str">
        <f>IF($A40="","",ROUND($D40-$E40,2))</f>
        <v/>
      </c>
      <c r="G40" s="42" t="str">
        <f>IF($A40="","",IF($D40=0,"",$E40/$D40))</f>
        <v/>
      </c>
      <c r="H40" s="41" t="str">
        <f>IF($A40="","",SUMPRODUCT((구성원목록!$A$3:$A$42&lt;&gt;"")*(COUNTIFS(업무일지!$C$3:$C$3002,$A40,업무일지!$B$3:$B$3002,구성원목록!$A$3:$A$42)&gt;0)))</f>
        <v/>
      </c>
    </row>
    <row r="41" ht="15" customHeight="1" s="26">
      <c r="A41" s="37" t="str">
        <f>IF(프로젝트목록!$A40="","",프로젝트목록!$A40)</f>
        <v/>
      </c>
      <c r="B41" s="37" t="str">
        <f>IF($A41="","",프로젝트목록!$B40)</f>
        <v/>
      </c>
      <c r="C41" s="37" t="str">
        <f>IF($A41="","",프로젝트목록!$F40)</f>
        <v/>
      </c>
      <c r="D41" s="40" t="str">
        <f>IF($A41="","",IF(프로젝트목록!$E40="",0,프로젝트목록!$E40))</f>
        <v/>
      </c>
      <c r="E41" s="40" t="str">
        <f>IF($A41="","",ROUND(SUMIFS(업무일지!$I$3:$I$3002,업무일지!$C$3:$C$3002,$A41),2))</f>
        <v/>
      </c>
      <c r="F41" s="40" t="str">
        <f>IF($A41="","",ROUND($D41-$E41,2))</f>
        <v/>
      </c>
      <c r="G41" s="42" t="str">
        <f>IF($A41="","",IF($D41=0,"",$E41/$D41))</f>
        <v/>
      </c>
      <c r="H41" s="41" t="str">
        <f>IF($A41="","",SUMPRODUCT((구성원목록!$A$3:$A$42&lt;&gt;"")*(COUNTIFS(업무일지!$C$3:$C$3002,$A41,업무일지!$B$3:$B$3002,구성원목록!$A$3:$A$42)&gt;0)))</f>
        <v/>
      </c>
    </row>
    <row r="42" ht="15" customHeight="1" s="26">
      <c r="A42" s="37" t="str">
        <f>IF(프로젝트목록!$A41="","",프로젝트목록!$A41)</f>
        <v/>
      </c>
      <c r="B42" s="37" t="str">
        <f>IF($A42="","",프로젝트목록!$B41)</f>
        <v/>
      </c>
      <c r="C42" s="37" t="str">
        <f>IF($A42="","",프로젝트목록!$F41)</f>
        <v/>
      </c>
      <c r="D42" s="40" t="str">
        <f>IF($A42="","",IF(프로젝트목록!$E41="",0,프로젝트목록!$E41))</f>
        <v/>
      </c>
      <c r="E42" s="40" t="str">
        <f>IF($A42="","",ROUND(SUMIFS(업무일지!$I$3:$I$3002,업무일지!$C$3:$C$3002,$A42),2))</f>
        <v/>
      </c>
      <c r="F42" s="40" t="str">
        <f>IF($A42="","",ROUND($D42-$E42,2))</f>
        <v/>
      </c>
      <c r="G42" s="42" t="str">
        <f>IF($A42="","",IF($D42=0,"",$E42/$D42))</f>
        <v/>
      </c>
      <c r="H42" s="41" t="str">
        <f>IF($A42="","",SUMPRODUCT((구성원목록!$A$3:$A$42&lt;&gt;"")*(COUNTIFS(업무일지!$C$3:$C$3002,$A42,업무일지!$B$3:$B$3002,구성원목록!$A$3:$A$42)&gt;0)))</f>
        <v/>
      </c>
    </row>
    <row r="43" ht="15" customHeight="1" s="26">
      <c r="A43" s="37" t="str">
        <f>IF(프로젝트목록!$A42="","",프로젝트목록!$A42)</f>
        <v/>
      </c>
      <c r="B43" s="37" t="str">
        <f>IF($A43="","",프로젝트목록!$B42)</f>
        <v/>
      </c>
      <c r="C43" s="37" t="str">
        <f>IF($A43="","",프로젝트목록!$F42)</f>
        <v/>
      </c>
      <c r="D43" s="40" t="str">
        <f>IF($A43="","",IF(프로젝트목록!$E42="",0,프로젝트목록!$E42))</f>
        <v/>
      </c>
      <c r="E43" s="40" t="str">
        <f>IF($A43="","",ROUND(SUMIFS(업무일지!$I$3:$I$3002,업무일지!$C$3:$C$3002,$A43),2))</f>
        <v/>
      </c>
      <c r="F43" s="40" t="str">
        <f>IF($A43="","",ROUND($D43-$E43,2))</f>
        <v/>
      </c>
      <c r="G43" s="42" t="str">
        <f>IF($A43="","",IF($D43=0,"",$E43/$D43))</f>
        <v/>
      </c>
      <c r="H43" s="41" t="str">
        <f>IF($A43="","",SUMPRODUCT((구성원목록!$A$3:$A$42&lt;&gt;"")*(COUNTIFS(업무일지!$C$3:$C$3002,$A43,업무일지!$B$3:$B$3002,구성원목록!$A$3:$A$42)&gt;0)))</f>
        <v/>
      </c>
    </row>
    <row r="44" ht="15" customHeight="1" s="26">
      <c r="A44" s="37" t="str">
        <f>IF(프로젝트목록!$A43="","",프로젝트목록!$A43)</f>
        <v/>
      </c>
      <c r="B44" s="37" t="str">
        <f>IF($A44="","",프로젝트목록!$B43)</f>
        <v/>
      </c>
      <c r="C44" s="37" t="str">
        <f>IF($A44="","",프로젝트목록!$F43)</f>
        <v/>
      </c>
      <c r="D44" s="40" t="str">
        <f>IF($A44="","",IF(프로젝트목록!$E43="",0,프로젝트목록!$E43))</f>
        <v/>
      </c>
      <c r="E44" s="40" t="str">
        <f>IF($A44="","",ROUND(SUMIFS(업무일지!$I$3:$I$3002,업무일지!$C$3:$C$3002,$A44),2))</f>
        <v/>
      </c>
      <c r="F44" s="40" t="str">
        <f>IF($A44="","",ROUND($D44-$E44,2))</f>
        <v/>
      </c>
      <c r="G44" s="42" t="str">
        <f>IF($A44="","",IF($D44=0,"",$E44/$D44))</f>
        <v/>
      </c>
      <c r="H44" s="41" t="str">
        <f>IF($A44="","",SUMPRODUCT((구성원목록!$A$3:$A$42&lt;&gt;"")*(COUNTIFS(업무일지!$C$3:$C$3002,$A44,업무일지!$B$3:$B$3002,구성원목록!$A$3:$A$42)&gt;0)))</f>
        <v/>
      </c>
    </row>
    <row r="45" ht="15" customHeight="1" s="26">
      <c r="A45" s="37" t="str">
        <f>IF(프로젝트목록!$A44="","",프로젝트목록!$A44)</f>
        <v/>
      </c>
      <c r="B45" s="37" t="str">
        <f>IF($A45="","",프로젝트목록!$B44)</f>
        <v/>
      </c>
      <c r="C45" s="37" t="str">
        <f>IF($A45="","",프로젝트목록!$F44)</f>
        <v/>
      </c>
      <c r="D45" s="40" t="str">
        <f>IF($A45="","",IF(프로젝트목록!$E44="",0,프로젝트목록!$E44))</f>
        <v/>
      </c>
      <c r="E45" s="40" t="str">
        <f>IF($A45="","",ROUND(SUMIFS(업무일지!$I$3:$I$3002,업무일지!$C$3:$C$3002,$A45),2))</f>
        <v/>
      </c>
      <c r="F45" s="40" t="str">
        <f>IF($A45="","",ROUND($D45-$E45,2))</f>
        <v/>
      </c>
      <c r="G45" s="42" t="str">
        <f>IF($A45="","",IF($D45=0,"",$E45/$D45))</f>
        <v/>
      </c>
      <c r="H45" s="41" t="str">
        <f>IF($A45="","",SUMPRODUCT((구성원목록!$A$3:$A$42&lt;&gt;"")*(COUNTIFS(업무일지!$C$3:$C$3002,$A45,업무일지!$B$3:$B$3002,구성원목록!$A$3:$A$42)&gt;0)))</f>
        <v/>
      </c>
    </row>
    <row r="46" ht="15" customHeight="1" s="26">
      <c r="A46" s="37" t="str">
        <f>IF(프로젝트목록!$A45="","",프로젝트목록!$A45)</f>
        <v/>
      </c>
      <c r="B46" s="37" t="str">
        <f>IF($A46="","",프로젝트목록!$B45)</f>
        <v/>
      </c>
      <c r="C46" s="37" t="str">
        <f>IF($A46="","",프로젝트목록!$F45)</f>
        <v/>
      </c>
      <c r="D46" s="40" t="str">
        <f>IF($A46="","",IF(프로젝트목록!$E45="",0,프로젝트목록!$E45))</f>
        <v/>
      </c>
      <c r="E46" s="40" t="str">
        <f>IF($A46="","",ROUND(SUMIFS(업무일지!$I$3:$I$3002,업무일지!$C$3:$C$3002,$A46),2))</f>
        <v/>
      </c>
      <c r="F46" s="40" t="str">
        <f>IF($A46="","",ROUND($D46-$E46,2))</f>
        <v/>
      </c>
      <c r="G46" s="42" t="str">
        <f>IF($A46="","",IF($D46=0,"",$E46/$D46))</f>
        <v/>
      </c>
      <c r="H46" s="41" t="str">
        <f>IF($A46="","",SUMPRODUCT((구성원목록!$A$3:$A$42&lt;&gt;"")*(COUNTIFS(업무일지!$C$3:$C$3002,$A46,업무일지!$B$3:$B$3002,구성원목록!$A$3:$A$42)&gt;0)))</f>
        <v/>
      </c>
    </row>
    <row r="47" ht="15" customHeight="1" s="26">
      <c r="A47" s="37" t="str">
        <f>IF(프로젝트목록!$A46="","",프로젝트목록!$A46)</f>
        <v/>
      </c>
      <c r="B47" s="37" t="str">
        <f>IF($A47="","",프로젝트목록!$B46)</f>
        <v/>
      </c>
      <c r="C47" s="37" t="str">
        <f>IF($A47="","",프로젝트목록!$F46)</f>
        <v/>
      </c>
      <c r="D47" s="40" t="str">
        <f>IF($A47="","",IF(프로젝트목록!$E46="",0,프로젝트목록!$E46))</f>
        <v/>
      </c>
      <c r="E47" s="40" t="str">
        <f>IF($A47="","",ROUND(SUMIFS(업무일지!$I$3:$I$3002,업무일지!$C$3:$C$3002,$A47),2))</f>
        <v/>
      </c>
      <c r="F47" s="40" t="str">
        <f>IF($A47="","",ROUND($D47-$E47,2))</f>
        <v/>
      </c>
      <c r="G47" s="42" t="str">
        <f>IF($A47="","",IF($D47=0,"",$E47/$D47))</f>
        <v/>
      </c>
      <c r="H47" s="41" t="str">
        <f>IF($A47="","",SUMPRODUCT((구성원목록!$A$3:$A$42&lt;&gt;"")*(COUNTIFS(업무일지!$C$3:$C$3002,$A47,업무일지!$B$3:$B$3002,구성원목록!$A$3:$A$42)&gt;0)))</f>
        <v/>
      </c>
    </row>
    <row r="48" ht="15" customHeight="1" s="26">
      <c r="A48" s="37" t="str">
        <f>IF(프로젝트목록!$A47="","",프로젝트목록!$A47)</f>
        <v/>
      </c>
      <c r="B48" s="37" t="str">
        <f>IF($A48="","",프로젝트목록!$B47)</f>
        <v/>
      </c>
      <c r="C48" s="37" t="str">
        <f>IF($A48="","",프로젝트목록!$F47)</f>
        <v/>
      </c>
      <c r="D48" s="40" t="str">
        <f>IF($A48="","",IF(프로젝트목록!$E47="",0,프로젝트목록!$E47))</f>
        <v/>
      </c>
      <c r="E48" s="40" t="str">
        <f>IF($A48="","",ROUND(SUMIFS(업무일지!$I$3:$I$3002,업무일지!$C$3:$C$3002,$A48),2))</f>
        <v/>
      </c>
      <c r="F48" s="40" t="str">
        <f>IF($A48="","",ROUND($D48-$E48,2))</f>
        <v/>
      </c>
      <c r="G48" s="42" t="str">
        <f>IF($A48="","",IF($D48=0,"",$E48/$D48))</f>
        <v/>
      </c>
      <c r="H48" s="41" t="str">
        <f>IF($A48="","",SUMPRODUCT((구성원목록!$A$3:$A$42&lt;&gt;"")*(COUNTIFS(업무일지!$C$3:$C$3002,$A48,업무일지!$B$3:$B$3002,구성원목록!$A$3:$A$42)&gt;0)))</f>
        <v/>
      </c>
    </row>
    <row r="49" ht="15" customHeight="1" s="26">
      <c r="A49" s="37" t="str">
        <f>IF(프로젝트목록!$A48="","",프로젝트목록!$A48)</f>
        <v/>
      </c>
      <c r="B49" s="37" t="str">
        <f>IF($A49="","",프로젝트목록!$B48)</f>
        <v/>
      </c>
      <c r="C49" s="37" t="str">
        <f>IF($A49="","",프로젝트목록!$F48)</f>
        <v/>
      </c>
      <c r="D49" s="40" t="str">
        <f>IF($A49="","",IF(프로젝트목록!$E48="",0,프로젝트목록!$E48))</f>
        <v/>
      </c>
      <c r="E49" s="40" t="str">
        <f>IF($A49="","",ROUND(SUMIFS(업무일지!$I$3:$I$3002,업무일지!$C$3:$C$3002,$A49),2))</f>
        <v/>
      </c>
      <c r="F49" s="40" t="str">
        <f>IF($A49="","",ROUND($D49-$E49,2))</f>
        <v/>
      </c>
      <c r="G49" s="42" t="str">
        <f>IF($A49="","",IF($D49=0,"",$E49/$D49))</f>
        <v/>
      </c>
      <c r="H49" s="41" t="str">
        <f>IF($A49="","",SUMPRODUCT((구성원목록!$A$3:$A$42&lt;&gt;"")*(COUNTIFS(업무일지!$C$3:$C$3002,$A49,업무일지!$B$3:$B$3002,구성원목록!$A$3:$A$42)&gt;0)))</f>
        <v/>
      </c>
    </row>
    <row r="50" ht="15" customHeight="1" s="26">
      <c r="A50" s="37" t="str">
        <f>IF(프로젝트목록!$A49="","",프로젝트목록!$A49)</f>
        <v/>
      </c>
      <c r="B50" s="37" t="str">
        <f>IF($A50="","",프로젝트목록!$B49)</f>
        <v/>
      </c>
      <c r="C50" s="37" t="str">
        <f>IF($A50="","",프로젝트목록!$F49)</f>
        <v/>
      </c>
      <c r="D50" s="40" t="str">
        <f>IF($A50="","",IF(프로젝트목록!$E49="",0,프로젝트목록!$E49))</f>
        <v/>
      </c>
      <c r="E50" s="40" t="str">
        <f>IF($A50="","",ROUND(SUMIFS(업무일지!$I$3:$I$3002,업무일지!$C$3:$C$3002,$A50),2))</f>
        <v/>
      </c>
      <c r="F50" s="40" t="str">
        <f>IF($A50="","",ROUND($D50-$E50,2))</f>
        <v/>
      </c>
      <c r="G50" s="42" t="str">
        <f>IF($A50="","",IF($D50=0,"",$E50/$D50))</f>
        <v/>
      </c>
      <c r="H50" s="41" t="str">
        <f>IF($A50="","",SUMPRODUCT((구성원목록!$A$3:$A$42&lt;&gt;"")*(COUNTIFS(업무일지!$C$3:$C$3002,$A50,업무일지!$B$3:$B$3002,구성원목록!$A$3:$A$42)&gt;0)))</f>
        <v/>
      </c>
    </row>
    <row r="51" ht="15" customHeight="1" s="26">
      <c r="A51" s="37" t="str">
        <f>IF(프로젝트목록!$A50="","",프로젝트목록!$A50)</f>
        <v/>
      </c>
      <c r="B51" s="37" t="str">
        <f>IF($A51="","",프로젝트목록!$B50)</f>
        <v/>
      </c>
      <c r="C51" s="37" t="str">
        <f>IF($A51="","",프로젝트목록!$F50)</f>
        <v/>
      </c>
      <c r="D51" s="40" t="str">
        <f>IF($A51="","",IF(프로젝트목록!$E50="",0,프로젝트목록!$E50))</f>
        <v/>
      </c>
      <c r="E51" s="40" t="str">
        <f>IF($A51="","",ROUND(SUMIFS(업무일지!$I$3:$I$3002,업무일지!$C$3:$C$3002,$A51),2))</f>
        <v/>
      </c>
      <c r="F51" s="40" t="str">
        <f>IF($A51="","",ROUND($D51-$E51,2))</f>
        <v/>
      </c>
      <c r="G51" s="42" t="str">
        <f>IF($A51="","",IF($D51=0,"",$E51/$D51))</f>
        <v/>
      </c>
      <c r="H51" s="41" t="str">
        <f>IF($A51="","",SUMPRODUCT((구성원목록!$A$3:$A$42&lt;&gt;"")*(COUNTIFS(업무일지!$C$3:$C$3002,$A51,업무일지!$B$3:$B$3002,구성원목록!$A$3:$A$42)&gt;0)))</f>
        <v/>
      </c>
    </row>
    <row r="52" ht="15" customHeight="1" s="26">
      <c r="A52" s="37" t="str">
        <f>IF(프로젝트목록!$A51="","",프로젝트목록!$A51)</f>
        <v/>
      </c>
      <c r="B52" s="37" t="str">
        <f>IF($A52="","",프로젝트목록!$B51)</f>
        <v/>
      </c>
      <c r="C52" s="37" t="str">
        <f>IF($A52="","",프로젝트목록!$F51)</f>
        <v/>
      </c>
      <c r="D52" s="40" t="str">
        <f>IF($A52="","",IF(프로젝트목록!$E51="",0,프로젝트목록!$E51))</f>
        <v/>
      </c>
      <c r="E52" s="40" t="str">
        <f>IF($A52="","",ROUND(SUMIFS(업무일지!$I$3:$I$3002,업무일지!$C$3:$C$3002,$A52),2))</f>
        <v/>
      </c>
      <c r="F52" s="40" t="str">
        <f>IF($A52="","",ROUND($D52-$E52,2))</f>
        <v/>
      </c>
      <c r="G52" s="42" t="str">
        <f>IF($A52="","",IF($D52=0,"",$E52/$D52))</f>
        <v/>
      </c>
      <c r="H52" s="41" t="str">
        <f>IF($A52="","",SUMPRODUCT((구성원목록!$A$3:$A$42&lt;&gt;"")*(COUNTIFS(업무일지!$C$3:$C$3002,$A52,업무일지!$B$3:$B$3002,구성원목록!$A$3:$A$42)&gt;0)))</f>
        <v/>
      </c>
    </row>
    <row r="53" ht="15" customHeight="1" s="26">
      <c r="A53" s="37" t="str">
        <f>IF(프로젝트목록!$A52="","",프로젝트목록!$A52)</f>
        <v/>
      </c>
      <c r="B53" s="37" t="str">
        <f>IF($A53="","",프로젝트목록!$B52)</f>
        <v/>
      </c>
      <c r="C53" s="37" t="str">
        <f>IF($A53="","",프로젝트목록!$F52)</f>
        <v/>
      </c>
      <c r="D53" s="40" t="str">
        <f>IF($A53="","",IF(프로젝트목록!$E52="",0,프로젝트목록!$E52))</f>
        <v/>
      </c>
      <c r="E53" s="40" t="str">
        <f>IF($A53="","",ROUND(SUMIFS(업무일지!$I$3:$I$3002,업무일지!$C$3:$C$3002,$A53),2))</f>
        <v/>
      </c>
      <c r="F53" s="40" t="str">
        <f>IF($A53="","",ROUND($D53-$E53,2))</f>
        <v/>
      </c>
      <c r="G53" s="42" t="str">
        <f>IF($A53="","",IF($D53=0,"",$E53/$D53))</f>
        <v/>
      </c>
      <c r="H53" s="41" t="str">
        <f>IF($A53="","",SUMPRODUCT((구성원목록!$A$3:$A$42&lt;&gt;"")*(COUNTIFS(업무일지!$C$3:$C$3002,$A53,업무일지!$B$3:$B$3002,구성원목록!$A$3:$A$42)&gt;0)))</f>
        <v/>
      </c>
    </row>
    <row r="54" ht="15" customHeight="1" s="26">
      <c r="A54" s="37" t="str">
        <f>IF(프로젝트목록!$A53="","",프로젝트목록!$A53)</f>
        <v/>
      </c>
      <c r="B54" s="37" t="str">
        <f>IF($A54="","",프로젝트목록!$B53)</f>
        <v/>
      </c>
      <c r="C54" s="37" t="str">
        <f>IF($A54="","",프로젝트목록!$F53)</f>
        <v/>
      </c>
      <c r="D54" s="40" t="str">
        <f>IF($A54="","",IF(프로젝트목록!$E53="",0,프로젝트목록!$E53))</f>
        <v/>
      </c>
      <c r="E54" s="40" t="str">
        <f>IF($A54="","",ROUND(SUMIFS(업무일지!$I$3:$I$3002,업무일지!$C$3:$C$3002,$A54),2))</f>
        <v/>
      </c>
      <c r="F54" s="40" t="str">
        <f>IF($A54="","",ROUND($D54-$E54,2))</f>
        <v/>
      </c>
      <c r="G54" s="42" t="str">
        <f>IF($A54="","",IF($D54=0,"",$E54/$D54))</f>
        <v/>
      </c>
      <c r="H54" s="41" t="str">
        <f>IF($A54="","",SUMPRODUCT((구성원목록!$A$3:$A$42&lt;&gt;"")*(COUNTIFS(업무일지!$C$3:$C$3002,$A54,업무일지!$B$3:$B$3002,구성원목록!$A$3:$A$42)&gt;0)))</f>
        <v/>
      </c>
    </row>
    <row r="55" ht="15" customHeight="1" s="26">
      <c r="A55" s="37" t="str">
        <f>IF(프로젝트목록!$A54="","",프로젝트목록!$A54)</f>
        <v/>
      </c>
      <c r="B55" s="37" t="str">
        <f>IF($A55="","",프로젝트목록!$B54)</f>
        <v/>
      </c>
      <c r="C55" s="37" t="str">
        <f>IF($A55="","",프로젝트목록!$F54)</f>
        <v/>
      </c>
      <c r="D55" s="40" t="str">
        <f>IF($A55="","",IF(프로젝트목록!$E54="",0,프로젝트목록!$E54))</f>
        <v/>
      </c>
      <c r="E55" s="40" t="str">
        <f>IF($A55="","",ROUND(SUMIFS(업무일지!$I$3:$I$3002,업무일지!$C$3:$C$3002,$A55),2))</f>
        <v/>
      </c>
      <c r="F55" s="40" t="str">
        <f>IF($A55="","",ROUND($D55-$E55,2))</f>
        <v/>
      </c>
      <c r="G55" s="42" t="str">
        <f>IF($A55="","",IF($D55=0,"",$E55/$D55))</f>
        <v/>
      </c>
      <c r="H55" s="41" t="str">
        <f>IF($A55="","",SUMPRODUCT((구성원목록!$A$3:$A$42&lt;&gt;"")*(COUNTIFS(업무일지!$C$3:$C$3002,$A55,업무일지!$B$3:$B$3002,구성원목록!$A$3:$A$42)&gt;0)))</f>
        <v/>
      </c>
    </row>
    <row r="56" ht="15" customHeight="1" s="26">
      <c r="A56" s="37" t="str">
        <f>IF(프로젝트목록!$A55="","",프로젝트목록!$A55)</f>
        <v/>
      </c>
      <c r="B56" s="37" t="str">
        <f>IF($A56="","",프로젝트목록!$B55)</f>
        <v/>
      </c>
      <c r="C56" s="37" t="str">
        <f>IF($A56="","",프로젝트목록!$F55)</f>
        <v/>
      </c>
      <c r="D56" s="40" t="str">
        <f>IF($A56="","",IF(프로젝트목록!$E55="",0,프로젝트목록!$E55))</f>
        <v/>
      </c>
      <c r="E56" s="40" t="str">
        <f>IF($A56="","",ROUND(SUMIFS(업무일지!$I$3:$I$3002,업무일지!$C$3:$C$3002,$A56),2))</f>
        <v/>
      </c>
      <c r="F56" s="40" t="str">
        <f>IF($A56="","",ROUND($D56-$E56,2))</f>
        <v/>
      </c>
      <c r="G56" s="42" t="str">
        <f>IF($A56="","",IF($D56=0,"",$E56/$D56))</f>
        <v/>
      </c>
      <c r="H56" s="41" t="str">
        <f>IF($A56="","",SUMPRODUCT((구성원목록!$A$3:$A$42&lt;&gt;"")*(COUNTIFS(업무일지!$C$3:$C$3002,$A56,업무일지!$B$3:$B$3002,구성원목록!$A$3:$A$42)&gt;0)))</f>
        <v/>
      </c>
    </row>
    <row r="57" ht="15" customHeight="1" s="26">
      <c r="A57" s="37" t="str">
        <f>IF(프로젝트목록!$A56="","",프로젝트목록!$A56)</f>
        <v/>
      </c>
      <c r="B57" s="37" t="str">
        <f>IF($A57="","",프로젝트목록!$B56)</f>
        <v/>
      </c>
      <c r="C57" s="37" t="str">
        <f>IF($A57="","",프로젝트목록!$F56)</f>
        <v/>
      </c>
      <c r="D57" s="40" t="str">
        <f>IF($A57="","",IF(프로젝트목록!$E56="",0,프로젝트목록!$E56))</f>
        <v/>
      </c>
      <c r="E57" s="40" t="str">
        <f>IF($A57="","",ROUND(SUMIFS(업무일지!$I$3:$I$3002,업무일지!$C$3:$C$3002,$A57),2))</f>
        <v/>
      </c>
      <c r="F57" s="40" t="str">
        <f>IF($A57="","",ROUND($D57-$E57,2))</f>
        <v/>
      </c>
      <c r="G57" s="42" t="str">
        <f>IF($A57="","",IF($D57=0,"",$E57/$D57))</f>
        <v/>
      </c>
      <c r="H57" s="41" t="str">
        <f>IF($A57="","",SUMPRODUCT((구성원목록!$A$3:$A$42&lt;&gt;"")*(COUNTIFS(업무일지!$C$3:$C$3002,$A57,업무일지!$B$3:$B$3002,구성원목록!$A$3:$A$42)&gt;0)))</f>
        <v/>
      </c>
    </row>
    <row r="58" ht="15" customHeight="1" s="26">
      <c r="A58" s="37" t="str">
        <f>IF(프로젝트목록!$A57="","",프로젝트목록!$A57)</f>
        <v/>
      </c>
      <c r="B58" s="37" t="str">
        <f>IF($A58="","",프로젝트목록!$B57)</f>
        <v/>
      </c>
      <c r="C58" s="37" t="str">
        <f>IF($A58="","",프로젝트목록!$F57)</f>
        <v/>
      </c>
      <c r="D58" s="40" t="str">
        <f>IF($A58="","",IF(프로젝트목록!$E57="",0,프로젝트목록!$E57))</f>
        <v/>
      </c>
      <c r="E58" s="40" t="str">
        <f>IF($A58="","",ROUND(SUMIFS(업무일지!$I$3:$I$3002,업무일지!$C$3:$C$3002,$A58),2))</f>
        <v/>
      </c>
      <c r="F58" s="40" t="str">
        <f>IF($A58="","",ROUND($D58-$E58,2))</f>
        <v/>
      </c>
      <c r="G58" s="42" t="str">
        <f>IF($A58="","",IF($D58=0,"",$E58/$D58))</f>
        <v/>
      </c>
      <c r="H58" s="41" t="str">
        <f>IF($A58="","",SUMPRODUCT((구성원목록!$A$3:$A$42&lt;&gt;"")*(COUNTIFS(업무일지!$C$3:$C$3002,$A58,업무일지!$B$3:$B$3002,구성원목록!$A$3:$A$42)&gt;0)))</f>
        <v/>
      </c>
    </row>
    <row r="59" ht="15" customHeight="1" s="26">
      <c r="A59" s="37" t="str">
        <f>IF(프로젝트목록!$A58="","",프로젝트목록!$A58)</f>
        <v/>
      </c>
      <c r="B59" s="37" t="str">
        <f>IF($A59="","",프로젝트목록!$B58)</f>
        <v/>
      </c>
      <c r="C59" s="37" t="str">
        <f>IF($A59="","",프로젝트목록!$F58)</f>
        <v/>
      </c>
      <c r="D59" s="40" t="str">
        <f>IF($A59="","",IF(프로젝트목록!$E58="",0,프로젝트목록!$E58))</f>
        <v/>
      </c>
      <c r="E59" s="40" t="str">
        <f>IF($A59="","",ROUND(SUMIFS(업무일지!$I$3:$I$3002,업무일지!$C$3:$C$3002,$A59),2))</f>
        <v/>
      </c>
      <c r="F59" s="40" t="str">
        <f>IF($A59="","",ROUND($D59-$E59,2))</f>
        <v/>
      </c>
      <c r="G59" s="42" t="str">
        <f>IF($A59="","",IF($D59=0,"",$E59/$D59))</f>
        <v/>
      </c>
      <c r="H59" s="41" t="str">
        <f>IF($A59="","",SUMPRODUCT((구성원목록!$A$3:$A$42&lt;&gt;"")*(COUNTIFS(업무일지!$C$3:$C$3002,$A59,업무일지!$B$3:$B$3002,구성원목록!$A$3:$A$42)&gt;0)))</f>
        <v/>
      </c>
    </row>
    <row r="60" ht="15" customHeight="1" s="26">
      <c r="A60" s="37" t="str">
        <f>IF(프로젝트목록!$A59="","",프로젝트목록!$A59)</f>
        <v/>
      </c>
      <c r="B60" s="37" t="str">
        <f>IF($A60="","",프로젝트목록!$B59)</f>
        <v/>
      </c>
      <c r="C60" s="37" t="str">
        <f>IF($A60="","",프로젝트목록!$F59)</f>
        <v/>
      </c>
      <c r="D60" s="40" t="str">
        <f>IF($A60="","",IF(프로젝트목록!$E59="",0,프로젝트목록!$E59))</f>
        <v/>
      </c>
      <c r="E60" s="40" t="str">
        <f>IF($A60="","",ROUND(SUMIFS(업무일지!$I$3:$I$3002,업무일지!$C$3:$C$3002,$A60),2))</f>
        <v/>
      </c>
      <c r="F60" s="40" t="str">
        <f>IF($A60="","",ROUND($D60-$E60,2))</f>
        <v/>
      </c>
      <c r="G60" s="42" t="str">
        <f>IF($A60="","",IF($D60=0,"",$E60/$D60))</f>
        <v/>
      </c>
      <c r="H60" s="41" t="str">
        <f>IF($A60="","",SUMPRODUCT((구성원목록!$A$3:$A$42&lt;&gt;"")*(COUNTIFS(업무일지!$C$3:$C$3002,$A60,업무일지!$B$3:$B$3002,구성원목록!$A$3:$A$42)&gt;0)))</f>
        <v/>
      </c>
    </row>
    <row r="61" ht="15" customHeight="1" s="26">
      <c r="A61" s="37" t="str">
        <f>IF(프로젝트목록!$A60="","",프로젝트목록!$A60)</f>
        <v/>
      </c>
      <c r="B61" s="37" t="str">
        <f>IF($A61="","",프로젝트목록!$B60)</f>
        <v/>
      </c>
      <c r="C61" s="37" t="str">
        <f>IF($A61="","",프로젝트목록!$F60)</f>
        <v/>
      </c>
      <c r="D61" s="40" t="str">
        <f>IF($A61="","",IF(프로젝트목록!$E60="",0,프로젝트목록!$E60))</f>
        <v/>
      </c>
      <c r="E61" s="40" t="str">
        <f>IF($A61="","",ROUND(SUMIFS(업무일지!$I$3:$I$3002,업무일지!$C$3:$C$3002,$A61),2))</f>
        <v/>
      </c>
      <c r="F61" s="40" t="str">
        <f>IF($A61="","",ROUND($D61-$E61,2))</f>
        <v/>
      </c>
      <c r="G61" s="42" t="str">
        <f>IF($A61="","",IF($D61=0,"",$E61/$D61))</f>
        <v/>
      </c>
      <c r="H61" s="41" t="str">
        <f>IF($A61="","",SUMPRODUCT((구성원목록!$A$3:$A$42&lt;&gt;"")*(COUNTIFS(업무일지!$C$3:$C$3002,$A61,업무일지!$B$3:$B$3002,구성원목록!$A$3:$A$42)&gt;0)))</f>
        <v/>
      </c>
    </row>
    <row r="62" ht="15" customHeight="1" s="26">
      <c r="A62" s="37" t="str">
        <f>IF(프로젝트목록!$A61="","",프로젝트목록!$A61)</f>
        <v/>
      </c>
      <c r="B62" s="37" t="str">
        <f>IF($A62="","",프로젝트목록!$B61)</f>
        <v/>
      </c>
      <c r="C62" s="37" t="str">
        <f>IF($A62="","",프로젝트목록!$F61)</f>
        <v/>
      </c>
      <c r="D62" s="40" t="str">
        <f>IF($A62="","",IF(프로젝트목록!$E61="",0,프로젝트목록!$E61))</f>
        <v/>
      </c>
      <c r="E62" s="40" t="str">
        <f>IF($A62="","",ROUND(SUMIFS(업무일지!$I$3:$I$3002,업무일지!$C$3:$C$3002,$A62),2))</f>
        <v/>
      </c>
      <c r="F62" s="40" t="str">
        <f>IF($A62="","",ROUND($D62-$E62,2))</f>
        <v/>
      </c>
      <c r="G62" s="42" t="str">
        <f>IF($A62="","",IF($D62=0,"",$E62/$D62))</f>
        <v/>
      </c>
      <c r="H62" s="41" t="str">
        <f>IF($A62="","",SUMPRODUCT((구성원목록!$A$3:$A$42&lt;&gt;"")*(COUNTIFS(업무일지!$C$3:$C$3002,$A62,업무일지!$B$3:$B$3002,구성원목록!$A$3:$A$42)&gt;0)))</f>
        <v/>
      </c>
    </row>
    <row r="63" ht="15" customHeight="1" s="26">
      <c r="A63" s="37" t="str">
        <f>IF(프로젝트목록!$A62="","",프로젝트목록!$A62)</f>
        <v/>
      </c>
      <c r="B63" s="37" t="str">
        <f>IF($A63="","",프로젝트목록!$B62)</f>
        <v/>
      </c>
      <c r="C63" s="37" t="str">
        <f>IF($A63="","",프로젝트목록!$F62)</f>
        <v/>
      </c>
      <c r="D63" s="40" t="str">
        <f>IF($A63="","",IF(프로젝트목록!$E62="",0,프로젝트목록!$E62))</f>
        <v/>
      </c>
      <c r="E63" s="40" t="str">
        <f>IF($A63="","",ROUND(SUMIFS(업무일지!$I$3:$I$3002,업무일지!$C$3:$C$3002,$A63),2))</f>
        <v/>
      </c>
      <c r="F63" s="40" t="str">
        <f>IF($A63="","",ROUND($D63-$E63,2))</f>
        <v/>
      </c>
      <c r="G63" s="42" t="str">
        <f>IF($A63="","",IF($D63=0,"",$E63/$D63))</f>
        <v/>
      </c>
      <c r="H63" s="41" t="str">
        <f>IF($A63="","",SUMPRODUCT((구성원목록!$A$3:$A$42&lt;&gt;"")*(COUNTIFS(업무일지!$C$3:$C$3002,$A63,업무일지!$B$3:$B$3002,구성원목록!$A$3:$A$42)&gt;0)))</f>
        <v/>
      </c>
    </row>
    <row r="65" ht="15" customHeight="1" s="26">
      <c r="B65" s="43" t="inlineStr">
        <is>
          <t>합계</t>
        </is>
      </c>
      <c r="D65" s="44" t="n">
        <f>ROUND(SUM(D4:D63),2)</f>
        <v>2300</v>
      </c>
      <c r="E65" s="44" t="n">
        <f>ROUND(SUM(E4:E63),2)</f>
        <v>140.5</v>
      </c>
      <c r="F65" s="44" t="n">
        <f>ROUND(SUM(F4:F63),2)</f>
        <v>2159.5</v>
      </c>
    </row>
  </sheetData>
  <mergeCells count="1">
    <mergeCell ref="A1:H1"/>
  </mergeCells>
  <conditionalFormatting sqref="A4:H63">
    <cfRule type="expression" rank="0" priority="2" equalAverage="0" aboveAverage="0" dxfId="0" text="" percent="0" bottom="0">
      <formula>AND($A4&lt;&gt;"",$G4&lt;&gt;"",$G4&gt;1)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20" customWidth="1" style="25" min="2" max="2"/>
    <col width="17" customWidth="1" style="25" min="3" max="3"/>
    <col width="15" customWidth="1" style="25" min="4" max="5"/>
    <col width="15" customWidth="1" style="26" min="5" max="5"/>
    <col width="13" customWidth="1" style="25" min="6" max="6"/>
  </cols>
  <sheetData>
    <row r="1" ht="25.5" customHeight="1" s="26">
      <c r="A1" s="27" t="inlineStr">
        <is>
          <t>담당자별집계</t>
        </is>
      </c>
    </row>
    <row r="2"/>
    <row r="3" ht="15" customHeight="1" s="26">
      <c r="A3" s="28" t="inlineStr">
        <is>
          <t>대상 연도</t>
        </is>
      </c>
      <c r="B3" s="45" t="n">
        <v>2026</v>
      </c>
      <c r="C3" s="28" t="inlineStr">
        <is>
          <t>대상 월(0=연간)</t>
        </is>
      </c>
      <c r="D3" s="45" t="n">
        <v>0</v>
      </c>
    </row>
    <row r="4"/>
    <row r="5" ht="15" customHeight="1" s="26">
      <c r="A5" s="31" t="inlineStr">
        <is>
          <t>이름</t>
        </is>
      </c>
      <c r="B5" s="31" t="inlineStr">
        <is>
          <t>소속</t>
        </is>
      </c>
      <c r="C5" s="31" t="inlineStr">
        <is>
          <t>작업일수</t>
        </is>
      </c>
      <c r="D5" s="31" t="inlineStr">
        <is>
          <t>총 투입시간</t>
        </is>
      </c>
      <c r="E5" s="31" t="inlineStr">
        <is>
          <t>참여 프로젝트</t>
        </is>
      </c>
      <c r="F5" s="31" t="inlineStr">
        <is>
          <t>일평균</t>
        </is>
      </c>
    </row>
    <row r="6" ht="15" customHeight="1" s="26">
      <c r="A6" s="37" t="str">
        <f>IF(구성원목록!$A3="","",구성원목록!$A3)</f>
        <v>김담당</v>
      </c>
      <c r="B6" s="37" t="str">
        <f>IF($A6="","",구성원목록!$B3)</f>
        <v>기획팀</v>
      </c>
      <c r="C6" s="41" t="n">
        <f>IF($A6="","",COUNTIFS(업무일지!$B$3:$B$3002,$A6,업무일지!$A$3:$A$3002,"&gt;="&amp;IF($D$3=0,DATE($B$3,1,1),DATE($B$3,$D$3,1)),업무일지!$A$3:$A$3002,"&lt;="&amp;IF($D$3=0,DATE($B$3,12,31),EOMONTH(DATE($B$3,$D$3,1),0))))</f>
        <v>9</v>
      </c>
      <c r="D6" s="40" t="n">
        <f>IF($A6="","",ROUND(SUMIFS(업무일지!$I$3:$I$3002,업무일지!$B$3:$B$3002,$A6,업무일지!$A$3:$A$3002,"&gt;="&amp;IF($D$3=0,DATE($B$3,1,1),DATE($B$3,$D$3,1)),업무일지!$A$3:$A$3002,"&lt;="&amp;IF($D$3=0,DATE($B$3,12,31),EOMONTH(DATE($B$3,$D$3,1),0))),2))</f>
        <v>56.5</v>
      </c>
      <c r="E6" s="41" t="n">
        <f>IF($A6="","",SUMPRODUCT((프로젝트목록!$A$3:$A$62&lt;&gt;"")*(COUNTIFS(업무일지!$B$3:$B$3002,$A6,업무일지!$C$3:$C$3002,프로젝트목록!$A$3:$A$62,업무일지!$A$3:$A$3002,"&gt;="&amp;IF($D$3=0,DATE($B$3,1,1),DATE($B$3,$D$3,1)),업무일지!$A$3:$A$3002,"&lt;="&amp;IF($D$3=0,DATE($B$3,12,31),EOMONTH(DATE($B$3,$D$3,1),0)))&gt;0)))</f>
        <v>2</v>
      </c>
      <c r="F6" s="40" t="n">
        <f>IF($A6="","",IF($C6=0,0,ROUND($D6/$C6,2)))</f>
        <v>6.28</v>
      </c>
    </row>
    <row r="7" ht="15" customHeight="1" s="26">
      <c r="A7" s="37" t="str">
        <f>IF(구성원목록!$A4="","",구성원목록!$A4)</f>
        <v>이담당</v>
      </c>
      <c r="B7" s="37" t="str">
        <f>IF($A7="","",구성원목록!$B4)</f>
        <v>개발팀</v>
      </c>
      <c r="C7" s="41" t="n">
        <f>IF($A7="","",COUNTIFS(업무일지!$B$3:$B$3002,$A7,업무일지!$A$3:$A$3002,"&gt;="&amp;IF($D$3=0,DATE($B$3,1,1),DATE($B$3,$D$3,1)),업무일지!$A$3:$A$3002,"&lt;="&amp;IF($D$3=0,DATE($B$3,12,31),EOMONTH(DATE($B$3,$D$3,1),0))))</f>
        <v>6</v>
      </c>
      <c r="D7" s="40" t="n">
        <f>IF($A7="","",ROUND(SUMIFS(업무일지!$I$3:$I$3002,업무일지!$B$3:$B$3002,$A7,업무일지!$A$3:$A$3002,"&gt;="&amp;IF($D$3=0,DATE($B$3,1,1),DATE($B$3,$D$3,1)),업무일지!$A$3:$A$3002,"&lt;="&amp;IF($D$3=0,DATE($B$3,12,31),EOMONTH(DATE($B$3,$D$3,1),0))),2))</f>
        <v>52.5</v>
      </c>
      <c r="E7" s="41" t="n">
        <f>IF($A7="","",SUMPRODUCT((프로젝트목록!$A$3:$A$62&lt;&gt;"")*(COUNTIFS(업무일지!$B$3:$B$3002,$A7,업무일지!$C$3:$C$3002,프로젝트목록!$A$3:$A$62,업무일지!$A$3:$A$3002,"&gt;="&amp;IF($D$3=0,DATE($B$3,1,1),DATE($B$3,$D$3,1)),업무일지!$A$3:$A$3002,"&lt;="&amp;IF($D$3=0,DATE($B$3,12,31),EOMONTH(DATE($B$3,$D$3,1),0)))&gt;0)))</f>
        <v>1</v>
      </c>
      <c r="F7" s="40" t="n">
        <f>IF($A7="","",IF($C7=0,0,ROUND($D7/$C7,2)))</f>
        <v>8.75</v>
      </c>
    </row>
    <row r="8" ht="15" customHeight="1" s="26">
      <c r="A8" s="37" t="str">
        <f>IF(구성원목록!$A5="","",구성원목록!$A5)</f>
        <v>박담당</v>
      </c>
      <c r="B8" s="37" t="str">
        <f>IF($A8="","",구성원목록!$B5)</f>
        <v>디자인팀</v>
      </c>
      <c r="C8" s="41" t="n">
        <f>IF($A8="","",COUNTIFS(업무일지!$B$3:$B$3002,$A8,업무일지!$A$3:$A$3002,"&gt;="&amp;IF($D$3=0,DATE($B$3,1,1),DATE($B$3,$D$3,1)),업무일지!$A$3:$A$3002,"&lt;="&amp;IF($D$3=0,DATE($B$3,12,31),EOMONTH(DATE($B$3,$D$3,1),0))))</f>
        <v>4</v>
      </c>
      <c r="D8" s="40" t="n">
        <f>IF($A8="","",ROUND(SUMIFS(업무일지!$I$3:$I$3002,업무일지!$B$3:$B$3002,$A8,업무일지!$A$3:$A$3002,"&gt;="&amp;IF($D$3=0,DATE($B$3,1,1),DATE($B$3,$D$3,1)),업무일지!$A$3:$A$3002,"&lt;="&amp;IF($D$3=0,DATE($B$3,12,31),EOMONTH(DATE($B$3,$D$3,1),0))),2))</f>
        <v>31.5</v>
      </c>
      <c r="E8" s="41" t="n">
        <f>IF($A8="","",SUMPRODUCT((프로젝트목록!$A$3:$A$62&lt;&gt;"")*(COUNTIFS(업무일지!$B$3:$B$3002,$A8,업무일지!$C$3:$C$3002,프로젝트목록!$A$3:$A$62,업무일지!$A$3:$A$3002,"&gt;="&amp;IF($D$3=0,DATE($B$3,1,1),DATE($B$3,$D$3,1)),업무일지!$A$3:$A$3002,"&lt;="&amp;IF($D$3=0,DATE($B$3,12,31),EOMONTH(DATE($B$3,$D$3,1),0)))&gt;0)))</f>
        <v>1</v>
      </c>
      <c r="F8" s="40" t="n">
        <f>IF($A8="","",IF($C8=0,0,ROUND($D8/$C8,2)))</f>
        <v>7.88</v>
      </c>
    </row>
    <row r="9" ht="15" customHeight="1" s="26">
      <c r="A9" s="37" t="str">
        <f>IF(구성원목록!$A6="","",구성원목록!$A6)</f>
        <v/>
      </c>
      <c r="B9" s="37" t="str">
        <f>IF($A9="","",구성원목록!$B6)</f>
        <v/>
      </c>
      <c r="C9" s="41" t="str">
        <f>IF($A9="","",COUNTIFS(업무일지!$B$3:$B$3002,$A9,업무일지!$A$3:$A$3002,"&gt;="&amp;IF($D$3=0,DATE($B$3,1,1),DATE($B$3,$D$3,1)),업무일지!$A$3:$A$3002,"&lt;="&amp;IF($D$3=0,DATE($B$3,12,31),EOMONTH(DATE($B$3,$D$3,1),0))))</f>
        <v/>
      </c>
      <c r="D9" s="40" t="str">
        <f>IF($A9="","",ROUND(SUMIFS(업무일지!$I$3:$I$3002,업무일지!$B$3:$B$3002,$A9,업무일지!$A$3:$A$3002,"&gt;="&amp;IF($D$3=0,DATE($B$3,1,1),DATE($B$3,$D$3,1)),업무일지!$A$3:$A$3002,"&lt;="&amp;IF($D$3=0,DATE($B$3,12,31),EOMONTH(DATE($B$3,$D$3,1),0))),2))</f>
        <v/>
      </c>
      <c r="E9" s="41" t="str">
        <f>IF($A9="","",SUMPRODUCT((프로젝트목록!$A$3:$A$62&lt;&gt;"")*(COUNTIFS(업무일지!$B$3:$B$3002,$A9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9" s="40" t="str">
        <f>IF($A9="","",IF($C9=0,0,ROUND($D9/$C9,2)))</f>
        <v/>
      </c>
    </row>
    <row r="10" ht="15" customHeight="1" s="26">
      <c r="A10" s="37" t="str">
        <f>IF(구성원목록!$A7="","",구성원목록!$A7)</f>
        <v/>
      </c>
      <c r="B10" s="37" t="str">
        <f>IF($A10="","",구성원목록!$B7)</f>
        <v/>
      </c>
      <c r="C10" s="41" t="str">
        <f>IF($A10="","",COUNTIFS(업무일지!$B$3:$B$3002,$A10,업무일지!$A$3:$A$3002,"&gt;="&amp;IF($D$3=0,DATE($B$3,1,1),DATE($B$3,$D$3,1)),업무일지!$A$3:$A$3002,"&lt;="&amp;IF($D$3=0,DATE($B$3,12,31),EOMONTH(DATE($B$3,$D$3,1),0))))</f>
        <v/>
      </c>
      <c r="D10" s="40" t="str">
        <f>IF($A10="","",ROUND(SUMIFS(업무일지!$I$3:$I$3002,업무일지!$B$3:$B$3002,$A10,업무일지!$A$3:$A$3002,"&gt;="&amp;IF($D$3=0,DATE($B$3,1,1),DATE($B$3,$D$3,1)),업무일지!$A$3:$A$3002,"&lt;="&amp;IF($D$3=0,DATE($B$3,12,31),EOMONTH(DATE($B$3,$D$3,1),0))),2))</f>
        <v/>
      </c>
      <c r="E10" s="41" t="str">
        <f>IF($A10="","",SUMPRODUCT((프로젝트목록!$A$3:$A$62&lt;&gt;"")*(COUNTIFS(업무일지!$B$3:$B$3002,$A10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0" s="40" t="str">
        <f>IF($A10="","",IF($C10=0,0,ROUND($D10/$C10,2)))</f>
        <v/>
      </c>
    </row>
    <row r="11" ht="15" customHeight="1" s="26">
      <c r="A11" s="37" t="str">
        <f>IF(구성원목록!$A8="","",구성원목록!$A8)</f>
        <v/>
      </c>
      <c r="B11" s="37" t="str">
        <f>IF($A11="","",구성원목록!$B8)</f>
        <v/>
      </c>
      <c r="C11" s="41" t="str">
        <f>IF($A11="","",COUNTIFS(업무일지!$B$3:$B$3002,$A11,업무일지!$A$3:$A$3002,"&gt;="&amp;IF($D$3=0,DATE($B$3,1,1),DATE($B$3,$D$3,1)),업무일지!$A$3:$A$3002,"&lt;="&amp;IF($D$3=0,DATE($B$3,12,31),EOMONTH(DATE($B$3,$D$3,1),0))))</f>
        <v/>
      </c>
      <c r="D11" s="40" t="str">
        <f>IF($A11="","",ROUND(SUMIFS(업무일지!$I$3:$I$3002,업무일지!$B$3:$B$3002,$A11,업무일지!$A$3:$A$3002,"&gt;="&amp;IF($D$3=0,DATE($B$3,1,1),DATE($B$3,$D$3,1)),업무일지!$A$3:$A$3002,"&lt;="&amp;IF($D$3=0,DATE($B$3,12,31),EOMONTH(DATE($B$3,$D$3,1),0))),2))</f>
        <v/>
      </c>
      <c r="E11" s="41" t="str">
        <f>IF($A11="","",SUMPRODUCT((프로젝트목록!$A$3:$A$62&lt;&gt;"")*(COUNTIFS(업무일지!$B$3:$B$3002,$A11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1" s="40" t="str">
        <f>IF($A11="","",IF($C11=0,0,ROUND($D11/$C11,2)))</f>
        <v/>
      </c>
    </row>
    <row r="12" ht="15" customHeight="1" s="26">
      <c r="A12" s="37" t="str">
        <f>IF(구성원목록!$A9="","",구성원목록!$A9)</f>
        <v/>
      </c>
      <c r="B12" s="37" t="str">
        <f>IF($A12="","",구성원목록!$B9)</f>
        <v/>
      </c>
      <c r="C12" s="41" t="str">
        <f>IF($A12="","",COUNTIFS(업무일지!$B$3:$B$3002,$A12,업무일지!$A$3:$A$3002,"&gt;="&amp;IF($D$3=0,DATE($B$3,1,1),DATE($B$3,$D$3,1)),업무일지!$A$3:$A$3002,"&lt;="&amp;IF($D$3=0,DATE($B$3,12,31),EOMONTH(DATE($B$3,$D$3,1),0))))</f>
        <v/>
      </c>
      <c r="D12" s="40" t="str">
        <f>IF($A12="","",ROUND(SUMIFS(업무일지!$I$3:$I$3002,업무일지!$B$3:$B$3002,$A12,업무일지!$A$3:$A$3002,"&gt;="&amp;IF($D$3=0,DATE($B$3,1,1),DATE($B$3,$D$3,1)),업무일지!$A$3:$A$3002,"&lt;="&amp;IF($D$3=0,DATE($B$3,12,31),EOMONTH(DATE($B$3,$D$3,1),0))),2))</f>
        <v/>
      </c>
      <c r="E12" s="41" t="str">
        <f>IF($A12="","",SUMPRODUCT((프로젝트목록!$A$3:$A$62&lt;&gt;"")*(COUNTIFS(업무일지!$B$3:$B$3002,$A12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2" s="40" t="str">
        <f>IF($A12="","",IF($C12=0,0,ROUND($D12/$C12,2)))</f>
        <v/>
      </c>
    </row>
    <row r="13" ht="15" customHeight="1" s="26">
      <c r="A13" s="37" t="str">
        <f>IF(구성원목록!$A10="","",구성원목록!$A10)</f>
        <v/>
      </c>
      <c r="B13" s="37" t="str">
        <f>IF($A13="","",구성원목록!$B10)</f>
        <v/>
      </c>
      <c r="C13" s="41" t="str">
        <f>IF($A13="","",COUNTIFS(업무일지!$B$3:$B$3002,$A13,업무일지!$A$3:$A$3002,"&gt;="&amp;IF($D$3=0,DATE($B$3,1,1),DATE($B$3,$D$3,1)),업무일지!$A$3:$A$3002,"&lt;="&amp;IF($D$3=0,DATE($B$3,12,31),EOMONTH(DATE($B$3,$D$3,1),0))))</f>
        <v/>
      </c>
      <c r="D13" s="40" t="str">
        <f>IF($A13="","",ROUND(SUMIFS(업무일지!$I$3:$I$3002,업무일지!$B$3:$B$3002,$A13,업무일지!$A$3:$A$3002,"&gt;="&amp;IF($D$3=0,DATE($B$3,1,1),DATE($B$3,$D$3,1)),업무일지!$A$3:$A$3002,"&lt;="&amp;IF($D$3=0,DATE($B$3,12,31),EOMONTH(DATE($B$3,$D$3,1),0))),2))</f>
        <v/>
      </c>
      <c r="E13" s="41" t="str">
        <f>IF($A13="","",SUMPRODUCT((프로젝트목록!$A$3:$A$62&lt;&gt;"")*(COUNTIFS(업무일지!$B$3:$B$3002,$A13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3" s="40" t="str">
        <f>IF($A13="","",IF($C13=0,0,ROUND($D13/$C13,2)))</f>
        <v/>
      </c>
    </row>
    <row r="14" ht="15" customHeight="1" s="26">
      <c r="A14" s="37" t="str">
        <f>IF(구성원목록!$A11="","",구성원목록!$A11)</f>
        <v/>
      </c>
      <c r="B14" s="37" t="str">
        <f>IF($A14="","",구성원목록!$B11)</f>
        <v/>
      </c>
      <c r="C14" s="41" t="str">
        <f>IF($A14="","",COUNTIFS(업무일지!$B$3:$B$3002,$A14,업무일지!$A$3:$A$3002,"&gt;="&amp;IF($D$3=0,DATE($B$3,1,1),DATE($B$3,$D$3,1)),업무일지!$A$3:$A$3002,"&lt;="&amp;IF($D$3=0,DATE($B$3,12,31),EOMONTH(DATE($B$3,$D$3,1),0))))</f>
        <v/>
      </c>
      <c r="D14" s="40" t="str">
        <f>IF($A14="","",ROUND(SUMIFS(업무일지!$I$3:$I$3002,업무일지!$B$3:$B$3002,$A14,업무일지!$A$3:$A$3002,"&gt;="&amp;IF($D$3=0,DATE($B$3,1,1),DATE($B$3,$D$3,1)),업무일지!$A$3:$A$3002,"&lt;="&amp;IF($D$3=0,DATE($B$3,12,31),EOMONTH(DATE($B$3,$D$3,1),0))),2))</f>
        <v/>
      </c>
      <c r="E14" s="41" t="str">
        <f>IF($A14="","",SUMPRODUCT((프로젝트목록!$A$3:$A$62&lt;&gt;"")*(COUNTIFS(업무일지!$B$3:$B$3002,$A14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4" s="40" t="str">
        <f>IF($A14="","",IF($C14=0,0,ROUND($D14/$C14,2)))</f>
        <v/>
      </c>
    </row>
    <row r="15" ht="15" customHeight="1" s="26">
      <c r="A15" s="37" t="str">
        <f>IF(구성원목록!$A12="","",구성원목록!$A12)</f>
        <v/>
      </c>
      <c r="B15" s="37" t="str">
        <f>IF($A15="","",구성원목록!$B12)</f>
        <v/>
      </c>
      <c r="C15" s="41" t="str">
        <f>IF($A15="","",COUNTIFS(업무일지!$B$3:$B$3002,$A15,업무일지!$A$3:$A$3002,"&gt;="&amp;IF($D$3=0,DATE($B$3,1,1),DATE($B$3,$D$3,1)),업무일지!$A$3:$A$3002,"&lt;="&amp;IF($D$3=0,DATE($B$3,12,31),EOMONTH(DATE($B$3,$D$3,1),0))))</f>
        <v/>
      </c>
      <c r="D15" s="40" t="str">
        <f>IF($A15="","",ROUND(SUMIFS(업무일지!$I$3:$I$3002,업무일지!$B$3:$B$3002,$A15,업무일지!$A$3:$A$3002,"&gt;="&amp;IF($D$3=0,DATE($B$3,1,1),DATE($B$3,$D$3,1)),업무일지!$A$3:$A$3002,"&lt;="&amp;IF($D$3=0,DATE($B$3,12,31),EOMONTH(DATE($B$3,$D$3,1),0))),2))</f>
        <v/>
      </c>
      <c r="E15" s="41" t="str">
        <f>IF($A15="","",SUMPRODUCT((프로젝트목록!$A$3:$A$62&lt;&gt;"")*(COUNTIFS(업무일지!$B$3:$B$3002,$A15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5" s="40" t="str">
        <f>IF($A15="","",IF($C15=0,0,ROUND($D15/$C15,2)))</f>
        <v/>
      </c>
    </row>
    <row r="16" ht="15" customHeight="1" s="26">
      <c r="A16" s="37" t="str">
        <f>IF(구성원목록!$A13="","",구성원목록!$A13)</f>
        <v/>
      </c>
      <c r="B16" s="37" t="str">
        <f>IF($A16="","",구성원목록!$B13)</f>
        <v/>
      </c>
      <c r="C16" s="41" t="str">
        <f>IF($A16="","",COUNTIFS(업무일지!$B$3:$B$3002,$A16,업무일지!$A$3:$A$3002,"&gt;="&amp;IF($D$3=0,DATE($B$3,1,1),DATE($B$3,$D$3,1)),업무일지!$A$3:$A$3002,"&lt;="&amp;IF($D$3=0,DATE($B$3,12,31),EOMONTH(DATE($B$3,$D$3,1),0))))</f>
        <v/>
      </c>
      <c r="D16" s="40" t="str">
        <f>IF($A16="","",ROUND(SUMIFS(업무일지!$I$3:$I$3002,업무일지!$B$3:$B$3002,$A16,업무일지!$A$3:$A$3002,"&gt;="&amp;IF($D$3=0,DATE($B$3,1,1),DATE($B$3,$D$3,1)),업무일지!$A$3:$A$3002,"&lt;="&amp;IF($D$3=0,DATE($B$3,12,31),EOMONTH(DATE($B$3,$D$3,1),0))),2))</f>
        <v/>
      </c>
      <c r="E16" s="41" t="str">
        <f>IF($A16="","",SUMPRODUCT((프로젝트목록!$A$3:$A$62&lt;&gt;"")*(COUNTIFS(업무일지!$B$3:$B$3002,$A16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6" s="40" t="str">
        <f>IF($A16="","",IF($C16=0,0,ROUND($D16/$C16,2)))</f>
        <v/>
      </c>
    </row>
    <row r="17" ht="15" customHeight="1" s="26">
      <c r="A17" s="37" t="str">
        <f>IF(구성원목록!$A14="","",구성원목록!$A14)</f>
        <v/>
      </c>
      <c r="B17" s="37" t="str">
        <f>IF($A17="","",구성원목록!$B14)</f>
        <v/>
      </c>
      <c r="C17" s="41" t="str">
        <f>IF($A17="","",COUNTIFS(업무일지!$B$3:$B$3002,$A17,업무일지!$A$3:$A$3002,"&gt;="&amp;IF($D$3=0,DATE($B$3,1,1),DATE($B$3,$D$3,1)),업무일지!$A$3:$A$3002,"&lt;="&amp;IF($D$3=0,DATE($B$3,12,31),EOMONTH(DATE($B$3,$D$3,1),0))))</f>
        <v/>
      </c>
      <c r="D17" s="40" t="str">
        <f>IF($A17="","",ROUND(SUMIFS(업무일지!$I$3:$I$3002,업무일지!$B$3:$B$3002,$A17,업무일지!$A$3:$A$3002,"&gt;="&amp;IF($D$3=0,DATE($B$3,1,1),DATE($B$3,$D$3,1)),업무일지!$A$3:$A$3002,"&lt;="&amp;IF($D$3=0,DATE($B$3,12,31),EOMONTH(DATE($B$3,$D$3,1),0))),2))</f>
        <v/>
      </c>
      <c r="E17" s="41" t="str">
        <f>IF($A17="","",SUMPRODUCT((프로젝트목록!$A$3:$A$62&lt;&gt;"")*(COUNTIFS(업무일지!$B$3:$B$3002,$A17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7" s="40" t="str">
        <f>IF($A17="","",IF($C17=0,0,ROUND($D17/$C17,2)))</f>
        <v/>
      </c>
    </row>
    <row r="18" ht="15" customHeight="1" s="26">
      <c r="A18" s="37" t="str">
        <f>IF(구성원목록!$A15="","",구성원목록!$A15)</f>
        <v/>
      </c>
      <c r="B18" s="37" t="str">
        <f>IF($A18="","",구성원목록!$B15)</f>
        <v/>
      </c>
      <c r="C18" s="41" t="str">
        <f>IF($A18="","",COUNTIFS(업무일지!$B$3:$B$3002,$A18,업무일지!$A$3:$A$3002,"&gt;="&amp;IF($D$3=0,DATE($B$3,1,1),DATE($B$3,$D$3,1)),업무일지!$A$3:$A$3002,"&lt;="&amp;IF($D$3=0,DATE($B$3,12,31),EOMONTH(DATE($B$3,$D$3,1),0))))</f>
        <v/>
      </c>
      <c r="D18" s="40" t="str">
        <f>IF($A18="","",ROUND(SUMIFS(업무일지!$I$3:$I$3002,업무일지!$B$3:$B$3002,$A18,업무일지!$A$3:$A$3002,"&gt;="&amp;IF($D$3=0,DATE($B$3,1,1),DATE($B$3,$D$3,1)),업무일지!$A$3:$A$3002,"&lt;="&amp;IF($D$3=0,DATE($B$3,12,31),EOMONTH(DATE($B$3,$D$3,1),0))),2))</f>
        <v/>
      </c>
      <c r="E18" s="41" t="str">
        <f>IF($A18="","",SUMPRODUCT((프로젝트목록!$A$3:$A$62&lt;&gt;"")*(COUNTIFS(업무일지!$B$3:$B$3002,$A18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8" s="40" t="str">
        <f>IF($A18="","",IF($C18=0,0,ROUND($D18/$C18,2)))</f>
        <v/>
      </c>
    </row>
    <row r="19" ht="15" customHeight="1" s="26">
      <c r="A19" s="37" t="str">
        <f>IF(구성원목록!$A16="","",구성원목록!$A16)</f>
        <v/>
      </c>
      <c r="B19" s="37" t="str">
        <f>IF($A19="","",구성원목록!$B16)</f>
        <v/>
      </c>
      <c r="C19" s="41" t="str">
        <f>IF($A19="","",COUNTIFS(업무일지!$B$3:$B$3002,$A19,업무일지!$A$3:$A$3002,"&gt;="&amp;IF($D$3=0,DATE($B$3,1,1),DATE($B$3,$D$3,1)),업무일지!$A$3:$A$3002,"&lt;="&amp;IF($D$3=0,DATE($B$3,12,31),EOMONTH(DATE($B$3,$D$3,1),0))))</f>
        <v/>
      </c>
      <c r="D19" s="40" t="str">
        <f>IF($A19="","",ROUND(SUMIFS(업무일지!$I$3:$I$3002,업무일지!$B$3:$B$3002,$A19,업무일지!$A$3:$A$3002,"&gt;="&amp;IF($D$3=0,DATE($B$3,1,1),DATE($B$3,$D$3,1)),업무일지!$A$3:$A$3002,"&lt;="&amp;IF($D$3=0,DATE($B$3,12,31),EOMONTH(DATE($B$3,$D$3,1),0))),2))</f>
        <v/>
      </c>
      <c r="E19" s="41" t="str">
        <f>IF($A19="","",SUMPRODUCT((프로젝트목록!$A$3:$A$62&lt;&gt;"")*(COUNTIFS(업무일지!$B$3:$B$3002,$A19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19" s="40" t="str">
        <f>IF($A19="","",IF($C19=0,0,ROUND($D19/$C19,2)))</f>
        <v/>
      </c>
    </row>
    <row r="20" ht="15" customHeight="1" s="26">
      <c r="A20" s="37" t="str">
        <f>IF(구성원목록!$A17="","",구성원목록!$A17)</f>
        <v/>
      </c>
      <c r="B20" s="37" t="str">
        <f>IF($A20="","",구성원목록!$B17)</f>
        <v/>
      </c>
      <c r="C20" s="41" t="str">
        <f>IF($A20="","",COUNTIFS(업무일지!$B$3:$B$3002,$A20,업무일지!$A$3:$A$3002,"&gt;="&amp;IF($D$3=0,DATE($B$3,1,1),DATE($B$3,$D$3,1)),업무일지!$A$3:$A$3002,"&lt;="&amp;IF($D$3=0,DATE($B$3,12,31),EOMONTH(DATE($B$3,$D$3,1),0))))</f>
        <v/>
      </c>
      <c r="D20" s="40" t="str">
        <f>IF($A20="","",ROUND(SUMIFS(업무일지!$I$3:$I$3002,업무일지!$B$3:$B$3002,$A20,업무일지!$A$3:$A$3002,"&gt;="&amp;IF($D$3=0,DATE($B$3,1,1),DATE($B$3,$D$3,1)),업무일지!$A$3:$A$3002,"&lt;="&amp;IF($D$3=0,DATE($B$3,12,31),EOMONTH(DATE($B$3,$D$3,1),0))),2))</f>
        <v/>
      </c>
      <c r="E20" s="41" t="str">
        <f>IF($A20="","",SUMPRODUCT((프로젝트목록!$A$3:$A$62&lt;&gt;"")*(COUNTIFS(업무일지!$B$3:$B$3002,$A20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0" s="40" t="str">
        <f>IF($A20="","",IF($C20=0,0,ROUND($D20/$C20,2)))</f>
        <v/>
      </c>
    </row>
    <row r="21" ht="15" customHeight="1" s="26">
      <c r="A21" s="37" t="str">
        <f>IF(구성원목록!$A18="","",구성원목록!$A18)</f>
        <v/>
      </c>
      <c r="B21" s="37" t="str">
        <f>IF($A21="","",구성원목록!$B18)</f>
        <v/>
      </c>
      <c r="C21" s="41" t="str">
        <f>IF($A21="","",COUNTIFS(업무일지!$B$3:$B$3002,$A21,업무일지!$A$3:$A$3002,"&gt;="&amp;IF($D$3=0,DATE($B$3,1,1),DATE($B$3,$D$3,1)),업무일지!$A$3:$A$3002,"&lt;="&amp;IF($D$3=0,DATE($B$3,12,31),EOMONTH(DATE($B$3,$D$3,1),0))))</f>
        <v/>
      </c>
      <c r="D21" s="40" t="str">
        <f>IF($A21="","",ROUND(SUMIFS(업무일지!$I$3:$I$3002,업무일지!$B$3:$B$3002,$A21,업무일지!$A$3:$A$3002,"&gt;="&amp;IF($D$3=0,DATE($B$3,1,1),DATE($B$3,$D$3,1)),업무일지!$A$3:$A$3002,"&lt;="&amp;IF($D$3=0,DATE($B$3,12,31),EOMONTH(DATE($B$3,$D$3,1),0))),2))</f>
        <v/>
      </c>
      <c r="E21" s="41" t="str">
        <f>IF($A21="","",SUMPRODUCT((프로젝트목록!$A$3:$A$62&lt;&gt;"")*(COUNTIFS(업무일지!$B$3:$B$3002,$A21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1" s="40" t="str">
        <f>IF($A21="","",IF($C21=0,0,ROUND($D21/$C21,2)))</f>
        <v/>
      </c>
    </row>
    <row r="22" ht="15" customHeight="1" s="26">
      <c r="A22" s="37" t="str">
        <f>IF(구성원목록!$A19="","",구성원목록!$A19)</f>
        <v/>
      </c>
      <c r="B22" s="37" t="str">
        <f>IF($A22="","",구성원목록!$B19)</f>
        <v/>
      </c>
      <c r="C22" s="41" t="str">
        <f>IF($A22="","",COUNTIFS(업무일지!$B$3:$B$3002,$A22,업무일지!$A$3:$A$3002,"&gt;="&amp;IF($D$3=0,DATE($B$3,1,1),DATE($B$3,$D$3,1)),업무일지!$A$3:$A$3002,"&lt;="&amp;IF($D$3=0,DATE($B$3,12,31),EOMONTH(DATE($B$3,$D$3,1),0))))</f>
        <v/>
      </c>
      <c r="D22" s="40" t="str">
        <f>IF($A22="","",ROUND(SUMIFS(업무일지!$I$3:$I$3002,업무일지!$B$3:$B$3002,$A22,업무일지!$A$3:$A$3002,"&gt;="&amp;IF($D$3=0,DATE($B$3,1,1),DATE($B$3,$D$3,1)),업무일지!$A$3:$A$3002,"&lt;="&amp;IF($D$3=0,DATE($B$3,12,31),EOMONTH(DATE($B$3,$D$3,1),0))),2))</f>
        <v/>
      </c>
      <c r="E22" s="41" t="str">
        <f>IF($A22="","",SUMPRODUCT((프로젝트목록!$A$3:$A$62&lt;&gt;"")*(COUNTIFS(업무일지!$B$3:$B$3002,$A22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2" s="40" t="str">
        <f>IF($A22="","",IF($C22=0,0,ROUND($D22/$C22,2)))</f>
        <v/>
      </c>
    </row>
    <row r="23" ht="15" customHeight="1" s="26">
      <c r="A23" s="37" t="str">
        <f>IF(구성원목록!$A20="","",구성원목록!$A20)</f>
        <v/>
      </c>
      <c r="B23" s="37" t="str">
        <f>IF($A23="","",구성원목록!$B20)</f>
        <v/>
      </c>
      <c r="C23" s="41" t="str">
        <f>IF($A23="","",COUNTIFS(업무일지!$B$3:$B$3002,$A23,업무일지!$A$3:$A$3002,"&gt;="&amp;IF($D$3=0,DATE($B$3,1,1),DATE($B$3,$D$3,1)),업무일지!$A$3:$A$3002,"&lt;="&amp;IF($D$3=0,DATE($B$3,12,31),EOMONTH(DATE($B$3,$D$3,1),0))))</f>
        <v/>
      </c>
      <c r="D23" s="40" t="str">
        <f>IF($A23="","",ROUND(SUMIFS(업무일지!$I$3:$I$3002,업무일지!$B$3:$B$3002,$A23,업무일지!$A$3:$A$3002,"&gt;="&amp;IF($D$3=0,DATE($B$3,1,1),DATE($B$3,$D$3,1)),업무일지!$A$3:$A$3002,"&lt;="&amp;IF($D$3=0,DATE($B$3,12,31),EOMONTH(DATE($B$3,$D$3,1),0))),2))</f>
        <v/>
      </c>
      <c r="E23" s="41" t="str">
        <f>IF($A23="","",SUMPRODUCT((프로젝트목록!$A$3:$A$62&lt;&gt;"")*(COUNTIFS(업무일지!$B$3:$B$3002,$A23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3" s="40" t="str">
        <f>IF($A23="","",IF($C23=0,0,ROUND($D23/$C23,2)))</f>
        <v/>
      </c>
    </row>
    <row r="24" ht="15" customHeight="1" s="26">
      <c r="A24" s="37" t="str">
        <f>IF(구성원목록!$A21="","",구성원목록!$A21)</f>
        <v/>
      </c>
      <c r="B24" s="37" t="str">
        <f>IF($A24="","",구성원목록!$B21)</f>
        <v/>
      </c>
      <c r="C24" s="41" t="str">
        <f>IF($A24="","",COUNTIFS(업무일지!$B$3:$B$3002,$A24,업무일지!$A$3:$A$3002,"&gt;="&amp;IF($D$3=0,DATE($B$3,1,1),DATE($B$3,$D$3,1)),업무일지!$A$3:$A$3002,"&lt;="&amp;IF($D$3=0,DATE($B$3,12,31),EOMONTH(DATE($B$3,$D$3,1),0))))</f>
        <v/>
      </c>
      <c r="D24" s="40" t="str">
        <f>IF($A24="","",ROUND(SUMIFS(업무일지!$I$3:$I$3002,업무일지!$B$3:$B$3002,$A24,업무일지!$A$3:$A$3002,"&gt;="&amp;IF($D$3=0,DATE($B$3,1,1),DATE($B$3,$D$3,1)),업무일지!$A$3:$A$3002,"&lt;="&amp;IF($D$3=0,DATE($B$3,12,31),EOMONTH(DATE($B$3,$D$3,1),0))),2))</f>
        <v/>
      </c>
      <c r="E24" s="41" t="str">
        <f>IF($A24="","",SUMPRODUCT((프로젝트목록!$A$3:$A$62&lt;&gt;"")*(COUNTIFS(업무일지!$B$3:$B$3002,$A24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4" s="40" t="str">
        <f>IF($A24="","",IF($C24=0,0,ROUND($D24/$C24,2)))</f>
        <v/>
      </c>
    </row>
    <row r="25" ht="15" customHeight="1" s="26">
      <c r="A25" s="37" t="str">
        <f>IF(구성원목록!$A22="","",구성원목록!$A22)</f>
        <v/>
      </c>
      <c r="B25" s="37" t="str">
        <f>IF($A25="","",구성원목록!$B22)</f>
        <v/>
      </c>
      <c r="C25" s="41" t="str">
        <f>IF($A25="","",COUNTIFS(업무일지!$B$3:$B$3002,$A25,업무일지!$A$3:$A$3002,"&gt;="&amp;IF($D$3=0,DATE($B$3,1,1),DATE($B$3,$D$3,1)),업무일지!$A$3:$A$3002,"&lt;="&amp;IF($D$3=0,DATE($B$3,12,31),EOMONTH(DATE($B$3,$D$3,1),0))))</f>
        <v/>
      </c>
      <c r="D25" s="40" t="str">
        <f>IF($A25="","",ROUND(SUMIFS(업무일지!$I$3:$I$3002,업무일지!$B$3:$B$3002,$A25,업무일지!$A$3:$A$3002,"&gt;="&amp;IF($D$3=0,DATE($B$3,1,1),DATE($B$3,$D$3,1)),업무일지!$A$3:$A$3002,"&lt;="&amp;IF($D$3=0,DATE($B$3,12,31),EOMONTH(DATE($B$3,$D$3,1),0))),2))</f>
        <v/>
      </c>
      <c r="E25" s="41" t="str">
        <f>IF($A25="","",SUMPRODUCT((프로젝트목록!$A$3:$A$62&lt;&gt;"")*(COUNTIFS(업무일지!$B$3:$B$3002,$A25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5" s="40" t="str">
        <f>IF($A25="","",IF($C25=0,0,ROUND($D25/$C25,2)))</f>
        <v/>
      </c>
    </row>
    <row r="26" ht="15" customHeight="1" s="26">
      <c r="A26" s="37" t="str">
        <f>IF(구성원목록!$A23="","",구성원목록!$A23)</f>
        <v/>
      </c>
      <c r="B26" s="37" t="str">
        <f>IF($A26="","",구성원목록!$B23)</f>
        <v/>
      </c>
      <c r="C26" s="41" t="str">
        <f>IF($A26="","",COUNTIFS(업무일지!$B$3:$B$3002,$A26,업무일지!$A$3:$A$3002,"&gt;="&amp;IF($D$3=0,DATE($B$3,1,1),DATE($B$3,$D$3,1)),업무일지!$A$3:$A$3002,"&lt;="&amp;IF($D$3=0,DATE($B$3,12,31),EOMONTH(DATE($B$3,$D$3,1),0))))</f>
        <v/>
      </c>
      <c r="D26" s="40" t="str">
        <f>IF($A26="","",ROUND(SUMIFS(업무일지!$I$3:$I$3002,업무일지!$B$3:$B$3002,$A26,업무일지!$A$3:$A$3002,"&gt;="&amp;IF($D$3=0,DATE($B$3,1,1),DATE($B$3,$D$3,1)),업무일지!$A$3:$A$3002,"&lt;="&amp;IF($D$3=0,DATE($B$3,12,31),EOMONTH(DATE($B$3,$D$3,1),0))),2))</f>
        <v/>
      </c>
      <c r="E26" s="41" t="str">
        <f>IF($A26="","",SUMPRODUCT((프로젝트목록!$A$3:$A$62&lt;&gt;"")*(COUNTIFS(업무일지!$B$3:$B$3002,$A26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6" s="40" t="str">
        <f>IF($A26="","",IF($C26=0,0,ROUND($D26/$C26,2)))</f>
        <v/>
      </c>
    </row>
    <row r="27" ht="15" customHeight="1" s="26">
      <c r="A27" s="37" t="str">
        <f>IF(구성원목록!$A24="","",구성원목록!$A24)</f>
        <v/>
      </c>
      <c r="B27" s="37" t="str">
        <f>IF($A27="","",구성원목록!$B24)</f>
        <v/>
      </c>
      <c r="C27" s="41" t="str">
        <f>IF($A27="","",COUNTIFS(업무일지!$B$3:$B$3002,$A27,업무일지!$A$3:$A$3002,"&gt;="&amp;IF($D$3=0,DATE($B$3,1,1),DATE($B$3,$D$3,1)),업무일지!$A$3:$A$3002,"&lt;="&amp;IF($D$3=0,DATE($B$3,12,31),EOMONTH(DATE($B$3,$D$3,1),0))))</f>
        <v/>
      </c>
      <c r="D27" s="40" t="str">
        <f>IF($A27="","",ROUND(SUMIFS(업무일지!$I$3:$I$3002,업무일지!$B$3:$B$3002,$A27,업무일지!$A$3:$A$3002,"&gt;="&amp;IF($D$3=0,DATE($B$3,1,1),DATE($B$3,$D$3,1)),업무일지!$A$3:$A$3002,"&lt;="&amp;IF($D$3=0,DATE($B$3,12,31),EOMONTH(DATE($B$3,$D$3,1),0))),2))</f>
        <v/>
      </c>
      <c r="E27" s="41" t="str">
        <f>IF($A27="","",SUMPRODUCT((프로젝트목록!$A$3:$A$62&lt;&gt;"")*(COUNTIFS(업무일지!$B$3:$B$3002,$A27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7" s="40" t="str">
        <f>IF($A27="","",IF($C27=0,0,ROUND($D27/$C27,2)))</f>
        <v/>
      </c>
    </row>
    <row r="28" ht="15" customHeight="1" s="26">
      <c r="A28" s="37" t="str">
        <f>IF(구성원목록!$A25="","",구성원목록!$A25)</f>
        <v/>
      </c>
      <c r="B28" s="37" t="str">
        <f>IF($A28="","",구성원목록!$B25)</f>
        <v/>
      </c>
      <c r="C28" s="41" t="str">
        <f>IF($A28="","",COUNTIFS(업무일지!$B$3:$B$3002,$A28,업무일지!$A$3:$A$3002,"&gt;="&amp;IF($D$3=0,DATE($B$3,1,1),DATE($B$3,$D$3,1)),업무일지!$A$3:$A$3002,"&lt;="&amp;IF($D$3=0,DATE($B$3,12,31),EOMONTH(DATE($B$3,$D$3,1),0))))</f>
        <v/>
      </c>
      <c r="D28" s="40" t="str">
        <f>IF($A28="","",ROUND(SUMIFS(업무일지!$I$3:$I$3002,업무일지!$B$3:$B$3002,$A28,업무일지!$A$3:$A$3002,"&gt;="&amp;IF($D$3=0,DATE($B$3,1,1),DATE($B$3,$D$3,1)),업무일지!$A$3:$A$3002,"&lt;="&amp;IF($D$3=0,DATE($B$3,12,31),EOMONTH(DATE($B$3,$D$3,1),0))),2))</f>
        <v/>
      </c>
      <c r="E28" s="41" t="str">
        <f>IF($A28="","",SUMPRODUCT((프로젝트목록!$A$3:$A$62&lt;&gt;"")*(COUNTIFS(업무일지!$B$3:$B$3002,$A28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8" s="40" t="str">
        <f>IF($A28="","",IF($C28=0,0,ROUND($D28/$C28,2)))</f>
        <v/>
      </c>
    </row>
    <row r="29" ht="15" customHeight="1" s="26">
      <c r="A29" s="37" t="str">
        <f>IF(구성원목록!$A26="","",구성원목록!$A26)</f>
        <v/>
      </c>
      <c r="B29" s="37" t="str">
        <f>IF($A29="","",구성원목록!$B26)</f>
        <v/>
      </c>
      <c r="C29" s="41" t="str">
        <f>IF($A29="","",COUNTIFS(업무일지!$B$3:$B$3002,$A29,업무일지!$A$3:$A$3002,"&gt;="&amp;IF($D$3=0,DATE($B$3,1,1),DATE($B$3,$D$3,1)),업무일지!$A$3:$A$3002,"&lt;="&amp;IF($D$3=0,DATE($B$3,12,31),EOMONTH(DATE($B$3,$D$3,1),0))))</f>
        <v/>
      </c>
      <c r="D29" s="40" t="str">
        <f>IF($A29="","",ROUND(SUMIFS(업무일지!$I$3:$I$3002,업무일지!$B$3:$B$3002,$A29,업무일지!$A$3:$A$3002,"&gt;="&amp;IF($D$3=0,DATE($B$3,1,1),DATE($B$3,$D$3,1)),업무일지!$A$3:$A$3002,"&lt;="&amp;IF($D$3=0,DATE($B$3,12,31),EOMONTH(DATE($B$3,$D$3,1),0))),2))</f>
        <v/>
      </c>
      <c r="E29" s="41" t="str">
        <f>IF($A29="","",SUMPRODUCT((프로젝트목록!$A$3:$A$62&lt;&gt;"")*(COUNTIFS(업무일지!$B$3:$B$3002,$A29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29" s="40" t="str">
        <f>IF($A29="","",IF($C29=0,0,ROUND($D29/$C29,2)))</f>
        <v/>
      </c>
    </row>
    <row r="30" ht="15" customHeight="1" s="26">
      <c r="A30" s="37" t="str">
        <f>IF(구성원목록!$A27="","",구성원목록!$A27)</f>
        <v/>
      </c>
      <c r="B30" s="37" t="str">
        <f>IF($A30="","",구성원목록!$B27)</f>
        <v/>
      </c>
      <c r="C30" s="41" t="str">
        <f>IF($A30="","",COUNTIFS(업무일지!$B$3:$B$3002,$A30,업무일지!$A$3:$A$3002,"&gt;="&amp;IF($D$3=0,DATE($B$3,1,1),DATE($B$3,$D$3,1)),업무일지!$A$3:$A$3002,"&lt;="&amp;IF($D$3=0,DATE($B$3,12,31),EOMONTH(DATE($B$3,$D$3,1),0))))</f>
        <v/>
      </c>
      <c r="D30" s="40" t="str">
        <f>IF($A30="","",ROUND(SUMIFS(업무일지!$I$3:$I$3002,업무일지!$B$3:$B$3002,$A30,업무일지!$A$3:$A$3002,"&gt;="&amp;IF($D$3=0,DATE($B$3,1,1),DATE($B$3,$D$3,1)),업무일지!$A$3:$A$3002,"&lt;="&amp;IF($D$3=0,DATE($B$3,12,31),EOMONTH(DATE($B$3,$D$3,1),0))),2))</f>
        <v/>
      </c>
      <c r="E30" s="41" t="str">
        <f>IF($A30="","",SUMPRODUCT((프로젝트목록!$A$3:$A$62&lt;&gt;"")*(COUNTIFS(업무일지!$B$3:$B$3002,$A30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0" s="40" t="str">
        <f>IF($A30="","",IF($C30=0,0,ROUND($D30/$C30,2)))</f>
        <v/>
      </c>
    </row>
    <row r="31" ht="15" customHeight="1" s="26">
      <c r="A31" s="37" t="str">
        <f>IF(구성원목록!$A28="","",구성원목록!$A28)</f>
        <v/>
      </c>
      <c r="B31" s="37" t="str">
        <f>IF($A31="","",구성원목록!$B28)</f>
        <v/>
      </c>
      <c r="C31" s="41" t="str">
        <f>IF($A31="","",COUNTIFS(업무일지!$B$3:$B$3002,$A31,업무일지!$A$3:$A$3002,"&gt;="&amp;IF($D$3=0,DATE($B$3,1,1),DATE($B$3,$D$3,1)),업무일지!$A$3:$A$3002,"&lt;="&amp;IF($D$3=0,DATE($B$3,12,31),EOMONTH(DATE($B$3,$D$3,1),0))))</f>
        <v/>
      </c>
      <c r="D31" s="40" t="str">
        <f>IF($A31="","",ROUND(SUMIFS(업무일지!$I$3:$I$3002,업무일지!$B$3:$B$3002,$A31,업무일지!$A$3:$A$3002,"&gt;="&amp;IF($D$3=0,DATE($B$3,1,1),DATE($B$3,$D$3,1)),업무일지!$A$3:$A$3002,"&lt;="&amp;IF($D$3=0,DATE($B$3,12,31),EOMONTH(DATE($B$3,$D$3,1),0))),2))</f>
        <v/>
      </c>
      <c r="E31" s="41" t="str">
        <f>IF($A31="","",SUMPRODUCT((프로젝트목록!$A$3:$A$62&lt;&gt;"")*(COUNTIFS(업무일지!$B$3:$B$3002,$A31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1" s="40" t="str">
        <f>IF($A31="","",IF($C31=0,0,ROUND($D31/$C31,2)))</f>
        <v/>
      </c>
    </row>
    <row r="32" ht="15" customHeight="1" s="26">
      <c r="A32" s="37" t="str">
        <f>IF(구성원목록!$A29="","",구성원목록!$A29)</f>
        <v/>
      </c>
      <c r="B32" s="37" t="str">
        <f>IF($A32="","",구성원목록!$B29)</f>
        <v/>
      </c>
      <c r="C32" s="41" t="str">
        <f>IF($A32="","",COUNTIFS(업무일지!$B$3:$B$3002,$A32,업무일지!$A$3:$A$3002,"&gt;="&amp;IF($D$3=0,DATE($B$3,1,1),DATE($B$3,$D$3,1)),업무일지!$A$3:$A$3002,"&lt;="&amp;IF($D$3=0,DATE($B$3,12,31),EOMONTH(DATE($B$3,$D$3,1),0))))</f>
        <v/>
      </c>
      <c r="D32" s="40" t="str">
        <f>IF($A32="","",ROUND(SUMIFS(업무일지!$I$3:$I$3002,업무일지!$B$3:$B$3002,$A32,업무일지!$A$3:$A$3002,"&gt;="&amp;IF($D$3=0,DATE($B$3,1,1),DATE($B$3,$D$3,1)),업무일지!$A$3:$A$3002,"&lt;="&amp;IF($D$3=0,DATE($B$3,12,31),EOMONTH(DATE($B$3,$D$3,1),0))),2))</f>
        <v/>
      </c>
      <c r="E32" s="41" t="str">
        <f>IF($A32="","",SUMPRODUCT((프로젝트목록!$A$3:$A$62&lt;&gt;"")*(COUNTIFS(업무일지!$B$3:$B$3002,$A32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2" s="40" t="str">
        <f>IF($A32="","",IF($C32=0,0,ROUND($D32/$C32,2)))</f>
        <v/>
      </c>
    </row>
    <row r="33" ht="15" customHeight="1" s="26">
      <c r="A33" s="37" t="str">
        <f>IF(구성원목록!$A30="","",구성원목록!$A30)</f>
        <v/>
      </c>
      <c r="B33" s="37" t="str">
        <f>IF($A33="","",구성원목록!$B30)</f>
        <v/>
      </c>
      <c r="C33" s="41" t="str">
        <f>IF($A33="","",COUNTIFS(업무일지!$B$3:$B$3002,$A33,업무일지!$A$3:$A$3002,"&gt;="&amp;IF($D$3=0,DATE($B$3,1,1),DATE($B$3,$D$3,1)),업무일지!$A$3:$A$3002,"&lt;="&amp;IF($D$3=0,DATE($B$3,12,31),EOMONTH(DATE($B$3,$D$3,1),0))))</f>
        <v/>
      </c>
      <c r="D33" s="40" t="str">
        <f>IF($A33="","",ROUND(SUMIFS(업무일지!$I$3:$I$3002,업무일지!$B$3:$B$3002,$A33,업무일지!$A$3:$A$3002,"&gt;="&amp;IF($D$3=0,DATE($B$3,1,1),DATE($B$3,$D$3,1)),업무일지!$A$3:$A$3002,"&lt;="&amp;IF($D$3=0,DATE($B$3,12,31),EOMONTH(DATE($B$3,$D$3,1),0))),2))</f>
        <v/>
      </c>
      <c r="E33" s="41" t="str">
        <f>IF($A33="","",SUMPRODUCT((프로젝트목록!$A$3:$A$62&lt;&gt;"")*(COUNTIFS(업무일지!$B$3:$B$3002,$A33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3" s="40" t="str">
        <f>IF($A33="","",IF($C33=0,0,ROUND($D33/$C33,2)))</f>
        <v/>
      </c>
    </row>
    <row r="34" ht="15" customHeight="1" s="26">
      <c r="A34" s="37" t="str">
        <f>IF(구성원목록!$A31="","",구성원목록!$A31)</f>
        <v/>
      </c>
      <c r="B34" s="37" t="str">
        <f>IF($A34="","",구성원목록!$B31)</f>
        <v/>
      </c>
      <c r="C34" s="41" t="str">
        <f>IF($A34="","",COUNTIFS(업무일지!$B$3:$B$3002,$A34,업무일지!$A$3:$A$3002,"&gt;="&amp;IF($D$3=0,DATE($B$3,1,1),DATE($B$3,$D$3,1)),업무일지!$A$3:$A$3002,"&lt;="&amp;IF($D$3=0,DATE($B$3,12,31),EOMONTH(DATE($B$3,$D$3,1),0))))</f>
        <v/>
      </c>
      <c r="D34" s="40" t="str">
        <f>IF($A34="","",ROUND(SUMIFS(업무일지!$I$3:$I$3002,업무일지!$B$3:$B$3002,$A34,업무일지!$A$3:$A$3002,"&gt;="&amp;IF($D$3=0,DATE($B$3,1,1),DATE($B$3,$D$3,1)),업무일지!$A$3:$A$3002,"&lt;="&amp;IF($D$3=0,DATE($B$3,12,31),EOMONTH(DATE($B$3,$D$3,1),0))),2))</f>
        <v/>
      </c>
      <c r="E34" s="41" t="str">
        <f>IF($A34="","",SUMPRODUCT((프로젝트목록!$A$3:$A$62&lt;&gt;"")*(COUNTIFS(업무일지!$B$3:$B$3002,$A34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4" s="40" t="str">
        <f>IF($A34="","",IF($C34=0,0,ROUND($D34/$C34,2)))</f>
        <v/>
      </c>
    </row>
    <row r="35" ht="15" customHeight="1" s="26">
      <c r="A35" s="37" t="str">
        <f>IF(구성원목록!$A32="","",구성원목록!$A32)</f>
        <v/>
      </c>
      <c r="B35" s="37" t="str">
        <f>IF($A35="","",구성원목록!$B32)</f>
        <v/>
      </c>
      <c r="C35" s="41" t="str">
        <f>IF($A35="","",COUNTIFS(업무일지!$B$3:$B$3002,$A35,업무일지!$A$3:$A$3002,"&gt;="&amp;IF($D$3=0,DATE($B$3,1,1),DATE($B$3,$D$3,1)),업무일지!$A$3:$A$3002,"&lt;="&amp;IF($D$3=0,DATE($B$3,12,31),EOMONTH(DATE($B$3,$D$3,1),0))))</f>
        <v/>
      </c>
      <c r="D35" s="40" t="str">
        <f>IF($A35="","",ROUND(SUMIFS(업무일지!$I$3:$I$3002,업무일지!$B$3:$B$3002,$A35,업무일지!$A$3:$A$3002,"&gt;="&amp;IF($D$3=0,DATE($B$3,1,1),DATE($B$3,$D$3,1)),업무일지!$A$3:$A$3002,"&lt;="&amp;IF($D$3=0,DATE($B$3,12,31),EOMONTH(DATE($B$3,$D$3,1),0))),2))</f>
        <v/>
      </c>
      <c r="E35" s="41" t="str">
        <f>IF($A35="","",SUMPRODUCT((프로젝트목록!$A$3:$A$62&lt;&gt;"")*(COUNTIFS(업무일지!$B$3:$B$3002,$A35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5" s="40" t="str">
        <f>IF($A35="","",IF($C35=0,0,ROUND($D35/$C35,2)))</f>
        <v/>
      </c>
    </row>
    <row r="36" ht="15" customHeight="1" s="26">
      <c r="A36" s="37" t="str">
        <f>IF(구성원목록!$A33="","",구성원목록!$A33)</f>
        <v/>
      </c>
      <c r="B36" s="37" t="str">
        <f>IF($A36="","",구성원목록!$B33)</f>
        <v/>
      </c>
      <c r="C36" s="41" t="str">
        <f>IF($A36="","",COUNTIFS(업무일지!$B$3:$B$3002,$A36,업무일지!$A$3:$A$3002,"&gt;="&amp;IF($D$3=0,DATE($B$3,1,1),DATE($B$3,$D$3,1)),업무일지!$A$3:$A$3002,"&lt;="&amp;IF($D$3=0,DATE($B$3,12,31),EOMONTH(DATE($B$3,$D$3,1),0))))</f>
        <v/>
      </c>
      <c r="D36" s="40" t="str">
        <f>IF($A36="","",ROUND(SUMIFS(업무일지!$I$3:$I$3002,업무일지!$B$3:$B$3002,$A36,업무일지!$A$3:$A$3002,"&gt;="&amp;IF($D$3=0,DATE($B$3,1,1),DATE($B$3,$D$3,1)),업무일지!$A$3:$A$3002,"&lt;="&amp;IF($D$3=0,DATE($B$3,12,31),EOMONTH(DATE($B$3,$D$3,1),0))),2))</f>
        <v/>
      </c>
      <c r="E36" s="41" t="str">
        <f>IF($A36="","",SUMPRODUCT((프로젝트목록!$A$3:$A$62&lt;&gt;"")*(COUNTIFS(업무일지!$B$3:$B$3002,$A36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6" s="40" t="str">
        <f>IF($A36="","",IF($C36=0,0,ROUND($D36/$C36,2)))</f>
        <v/>
      </c>
    </row>
    <row r="37" ht="15" customHeight="1" s="26">
      <c r="A37" s="37" t="str">
        <f>IF(구성원목록!$A34="","",구성원목록!$A34)</f>
        <v/>
      </c>
      <c r="B37" s="37" t="str">
        <f>IF($A37="","",구성원목록!$B34)</f>
        <v/>
      </c>
      <c r="C37" s="41" t="str">
        <f>IF($A37="","",COUNTIFS(업무일지!$B$3:$B$3002,$A37,업무일지!$A$3:$A$3002,"&gt;="&amp;IF($D$3=0,DATE($B$3,1,1),DATE($B$3,$D$3,1)),업무일지!$A$3:$A$3002,"&lt;="&amp;IF($D$3=0,DATE($B$3,12,31),EOMONTH(DATE($B$3,$D$3,1),0))))</f>
        <v/>
      </c>
      <c r="D37" s="40" t="str">
        <f>IF($A37="","",ROUND(SUMIFS(업무일지!$I$3:$I$3002,업무일지!$B$3:$B$3002,$A37,업무일지!$A$3:$A$3002,"&gt;="&amp;IF($D$3=0,DATE($B$3,1,1),DATE($B$3,$D$3,1)),업무일지!$A$3:$A$3002,"&lt;="&amp;IF($D$3=0,DATE($B$3,12,31),EOMONTH(DATE($B$3,$D$3,1),0))),2))</f>
        <v/>
      </c>
      <c r="E37" s="41" t="str">
        <f>IF($A37="","",SUMPRODUCT((프로젝트목록!$A$3:$A$62&lt;&gt;"")*(COUNTIFS(업무일지!$B$3:$B$3002,$A37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7" s="40" t="str">
        <f>IF($A37="","",IF($C37=0,0,ROUND($D37/$C37,2)))</f>
        <v/>
      </c>
    </row>
    <row r="38" ht="15" customHeight="1" s="26">
      <c r="A38" s="37" t="str">
        <f>IF(구성원목록!$A35="","",구성원목록!$A35)</f>
        <v/>
      </c>
      <c r="B38" s="37" t="str">
        <f>IF($A38="","",구성원목록!$B35)</f>
        <v/>
      </c>
      <c r="C38" s="41" t="str">
        <f>IF($A38="","",COUNTIFS(업무일지!$B$3:$B$3002,$A38,업무일지!$A$3:$A$3002,"&gt;="&amp;IF($D$3=0,DATE($B$3,1,1),DATE($B$3,$D$3,1)),업무일지!$A$3:$A$3002,"&lt;="&amp;IF($D$3=0,DATE($B$3,12,31),EOMONTH(DATE($B$3,$D$3,1),0))))</f>
        <v/>
      </c>
      <c r="D38" s="40" t="str">
        <f>IF($A38="","",ROUND(SUMIFS(업무일지!$I$3:$I$3002,업무일지!$B$3:$B$3002,$A38,업무일지!$A$3:$A$3002,"&gt;="&amp;IF($D$3=0,DATE($B$3,1,1),DATE($B$3,$D$3,1)),업무일지!$A$3:$A$3002,"&lt;="&amp;IF($D$3=0,DATE($B$3,12,31),EOMONTH(DATE($B$3,$D$3,1),0))),2))</f>
        <v/>
      </c>
      <c r="E38" s="41" t="str">
        <f>IF($A38="","",SUMPRODUCT((프로젝트목록!$A$3:$A$62&lt;&gt;"")*(COUNTIFS(업무일지!$B$3:$B$3002,$A38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8" s="40" t="str">
        <f>IF($A38="","",IF($C38=0,0,ROUND($D38/$C38,2)))</f>
        <v/>
      </c>
    </row>
    <row r="39" ht="15" customHeight="1" s="26">
      <c r="A39" s="37" t="str">
        <f>IF(구성원목록!$A36="","",구성원목록!$A36)</f>
        <v/>
      </c>
      <c r="B39" s="37" t="str">
        <f>IF($A39="","",구성원목록!$B36)</f>
        <v/>
      </c>
      <c r="C39" s="41" t="str">
        <f>IF($A39="","",COUNTIFS(업무일지!$B$3:$B$3002,$A39,업무일지!$A$3:$A$3002,"&gt;="&amp;IF($D$3=0,DATE($B$3,1,1),DATE($B$3,$D$3,1)),업무일지!$A$3:$A$3002,"&lt;="&amp;IF($D$3=0,DATE($B$3,12,31),EOMONTH(DATE($B$3,$D$3,1),0))))</f>
        <v/>
      </c>
      <c r="D39" s="40" t="str">
        <f>IF($A39="","",ROUND(SUMIFS(업무일지!$I$3:$I$3002,업무일지!$B$3:$B$3002,$A39,업무일지!$A$3:$A$3002,"&gt;="&amp;IF($D$3=0,DATE($B$3,1,1),DATE($B$3,$D$3,1)),업무일지!$A$3:$A$3002,"&lt;="&amp;IF($D$3=0,DATE($B$3,12,31),EOMONTH(DATE($B$3,$D$3,1),0))),2))</f>
        <v/>
      </c>
      <c r="E39" s="41" t="str">
        <f>IF($A39="","",SUMPRODUCT((프로젝트목록!$A$3:$A$62&lt;&gt;"")*(COUNTIFS(업무일지!$B$3:$B$3002,$A39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39" s="40" t="str">
        <f>IF($A39="","",IF($C39=0,0,ROUND($D39/$C39,2)))</f>
        <v/>
      </c>
    </row>
    <row r="40" ht="15" customHeight="1" s="26">
      <c r="A40" s="37" t="str">
        <f>IF(구성원목록!$A37="","",구성원목록!$A37)</f>
        <v/>
      </c>
      <c r="B40" s="37" t="str">
        <f>IF($A40="","",구성원목록!$B37)</f>
        <v/>
      </c>
      <c r="C40" s="41" t="str">
        <f>IF($A40="","",COUNTIFS(업무일지!$B$3:$B$3002,$A40,업무일지!$A$3:$A$3002,"&gt;="&amp;IF($D$3=0,DATE($B$3,1,1),DATE($B$3,$D$3,1)),업무일지!$A$3:$A$3002,"&lt;="&amp;IF($D$3=0,DATE($B$3,12,31),EOMONTH(DATE($B$3,$D$3,1),0))))</f>
        <v/>
      </c>
      <c r="D40" s="40" t="str">
        <f>IF($A40="","",ROUND(SUMIFS(업무일지!$I$3:$I$3002,업무일지!$B$3:$B$3002,$A40,업무일지!$A$3:$A$3002,"&gt;="&amp;IF($D$3=0,DATE($B$3,1,1),DATE($B$3,$D$3,1)),업무일지!$A$3:$A$3002,"&lt;="&amp;IF($D$3=0,DATE($B$3,12,31),EOMONTH(DATE($B$3,$D$3,1),0))),2))</f>
        <v/>
      </c>
      <c r="E40" s="41" t="str">
        <f>IF($A40="","",SUMPRODUCT((프로젝트목록!$A$3:$A$62&lt;&gt;"")*(COUNTIFS(업무일지!$B$3:$B$3002,$A40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0" s="40" t="str">
        <f>IF($A40="","",IF($C40=0,0,ROUND($D40/$C40,2)))</f>
        <v/>
      </c>
    </row>
    <row r="41" ht="15" customHeight="1" s="26">
      <c r="A41" s="37" t="str">
        <f>IF(구성원목록!$A38="","",구성원목록!$A38)</f>
        <v/>
      </c>
      <c r="B41" s="37" t="str">
        <f>IF($A41="","",구성원목록!$B38)</f>
        <v/>
      </c>
      <c r="C41" s="41" t="str">
        <f>IF($A41="","",COUNTIFS(업무일지!$B$3:$B$3002,$A41,업무일지!$A$3:$A$3002,"&gt;="&amp;IF($D$3=0,DATE($B$3,1,1),DATE($B$3,$D$3,1)),업무일지!$A$3:$A$3002,"&lt;="&amp;IF($D$3=0,DATE($B$3,12,31),EOMONTH(DATE($B$3,$D$3,1),0))))</f>
        <v/>
      </c>
      <c r="D41" s="40" t="str">
        <f>IF($A41="","",ROUND(SUMIFS(업무일지!$I$3:$I$3002,업무일지!$B$3:$B$3002,$A41,업무일지!$A$3:$A$3002,"&gt;="&amp;IF($D$3=0,DATE($B$3,1,1),DATE($B$3,$D$3,1)),업무일지!$A$3:$A$3002,"&lt;="&amp;IF($D$3=0,DATE($B$3,12,31),EOMONTH(DATE($B$3,$D$3,1),0))),2))</f>
        <v/>
      </c>
      <c r="E41" s="41" t="str">
        <f>IF($A41="","",SUMPRODUCT((프로젝트목록!$A$3:$A$62&lt;&gt;"")*(COUNTIFS(업무일지!$B$3:$B$3002,$A41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1" s="40" t="str">
        <f>IF($A41="","",IF($C41=0,0,ROUND($D41/$C41,2)))</f>
        <v/>
      </c>
    </row>
    <row r="42" ht="15" customHeight="1" s="26">
      <c r="A42" s="37" t="str">
        <f>IF(구성원목록!$A39="","",구성원목록!$A39)</f>
        <v/>
      </c>
      <c r="B42" s="37" t="str">
        <f>IF($A42="","",구성원목록!$B39)</f>
        <v/>
      </c>
      <c r="C42" s="41" t="str">
        <f>IF($A42="","",COUNTIFS(업무일지!$B$3:$B$3002,$A42,업무일지!$A$3:$A$3002,"&gt;="&amp;IF($D$3=0,DATE($B$3,1,1),DATE($B$3,$D$3,1)),업무일지!$A$3:$A$3002,"&lt;="&amp;IF($D$3=0,DATE($B$3,12,31),EOMONTH(DATE($B$3,$D$3,1),0))))</f>
        <v/>
      </c>
      <c r="D42" s="40" t="str">
        <f>IF($A42="","",ROUND(SUMIFS(업무일지!$I$3:$I$3002,업무일지!$B$3:$B$3002,$A42,업무일지!$A$3:$A$3002,"&gt;="&amp;IF($D$3=0,DATE($B$3,1,1),DATE($B$3,$D$3,1)),업무일지!$A$3:$A$3002,"&lt;="&amp;IF($D$3=0,DATE($B$3,12,31),EOMONTH(DATE($B$3,$D$3,1),0))),2))</f>
        <v/>
      </c>
      <c r="E42" s="41" t="str">
        <f>IF($A42="","",SUMPRODUCT((프로젝트목록!$A$3:$A$62&lt;&gt;"")*(COUNTIFS(업무일지!$B$3:$B$3002,$A42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2" s="40" t="str">
        <f>IF($A42="","",IF($C42=0,0,ROUND($D42/$C42,2)))</f>
        <v/>
      </c>
    </row>
    <row r="43" ht="15" customHeight="1" s="26">
      <c r="A43" s="37" t="str">
        <f>IF(구성원목록!$A40="","",구성원목록!$A40)</f>
        <v/>
      </c>
      <c r="B43" s="37" t="str">
        <f>IF($A43="","",구성원목록!$B40)</f>
        <v/>
      </c>
      <c r="C43" s="41" t="str">
        <f>IF($A43="","",COUNTIFS(업무일지!$B$3:$B$3002,$A43,업무일지!$A$3:$A$3002,"&gt;="&amp;IF($D$3=0,DATE($B$3,1,1),DATE($B$3,$D$3,1)),업무일지!$A$3:$A$3002,"&lt;="&amp;IF($D$3=0,DATE($B$3,12,31),EOMONTH(DATE($B$3,$D$3,1),0))))</f>
        <v/>
      </c>
      <c r="D43" s="40" t="str">
        <f>IF($A43="","",ROUND(SUMIFS(업무일지!$I$3:$I$3002,업무일지!$B$3:$B$3002,$A43,업무일지!$A$3:$A$3002,"&gt;="&amp;IF($D$3=0,DATE($B$3,1,1),DATE($B$3,$D$3,1)),업무일지!$A$3:$A$3002,"&lt;="&amp;IF($D$3=0,DATE($B$3,12,31),EOMONTH(DATE($B$3,$D$3,1),0))),2))</f>
        <v/>
      </c>
      <c r="E43" s="41" t="str">
        <f>IF($A43="","",SUMPRODUCT((프로젝트목록!$A$3:$A$62&lt;&gt;"")*(COUNTIFS(업무일지!$B$3:$B$3002,$A43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3" s="40" t="str">
        <f>IF($A43="","",IF($C43=0,0,ROUND($D43/$C43,2)))</f>
        <v/>
      </c>
    </row>
    <row r="44" ht="15" customHeight="1" s="26">
      <c r="A44" s="37" t="str">
        <f>IF(구성원목록!$A41="","",구성원목록!$A41)</f>
        <v/>
      </c>
      <c r="B44" s="37" t="str">
        <f>IF($A44="","",구성원목록!$B41)</f>
        <v/>
      </c>
      <c r="C44" s="41" t="str">
        <f>IF($A44="","",COUNTIFS(업무일지!$B$3:$B$3002,$A44,업무일지!$A$3:$A$3002,"&gt;="&amp;IF($D$3=0,DATE($B$3,1,1),DATE($B$3,$D$3,1)),업무일지!$A$3:$A$3002,"&lt;="&amp;IF($D$3=0,DATE($B$3,12,31),EOMONTH(DATE($B$3,$D$3,1),0))))</f>
        <v/>
      </c>
      <c r="D44" s="40" t="str">
        <f>IF($A44="","",ROUND(SUMIFS(업무일지!$I$3:$I$3002,업무일지!$B$3:$B$3002,$A44,업무일지!$A$3:$A$3002,"&gt;="&amp;IF($D$3=0,DATE($B$3,1,1),DATE($B$3,$D$3,1)),업무일지!$A$3:$A$3002,"&lt;="&amp;IF($D$3=0,DATE($B$3,12,31),EOMONTH(DATE($B$3,$D$3,1),0))),2))</f>
        <v/>
      </c>
      <c r="E44" s="41" t="str">
        <f>IF($A44="","",SUMPRODUCT((프로젝트목록!$A$3:$A$62&lt;&gt;"")*(COUNTIFS(업무일지!$B$3:$B$3002,$A44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4" s="40" t="str">
        <f>IF($A44="","",IF($C44=0,0,ROUND($D44/$C44,2)))</f>
        <v/>
      </c>
    </row>
    <row r="45" ht="15" customHeight="1" s="26">
      <c r="A45" s="37" t="str">
        <f>IF(구성원목록!$A42="","",구성원목록!$A42)</f>
        <v/>
      </c>
      <c r="B45" s="37" t="str">
        <f>IF($A45="","",구성원목록!$B42)</f>
        <v/>
      </c>
      <c r="C45" s="41" t="str">
        <f>IF($A45="","",COUNTIFS(업무일지!$B$3:$B$3002,$A45,업무일지!$A$3:$A$3002,"&gt;="&amp;IF($D$3=0,DATE($B$3,1,1),DATE($B$3,$D$3,1)),업무일지!$A$3:$A$3002,"&lt;="&amp;IF($D$3=0,DATE($B$3,12,31),EOMONTH(DATE($B$3,$D$3,1),0))))</f>
        <v/>
      </c>
      <c r="D45" s="40" t="str">
        <f>IF($A45="","",ROUND(SUMIFS(업무일지!$I$3:$I$3002,업무일지!$B$3:$B$3002,$A45,업무일지!$A$3:$A$3002,"&gt;="&amp;IF($D$3=0,DATE($B$3,1,1),DATE($B$3,$D$3,1)),업무일지!$A$3:$A$3002,"&lt;="&amp;IF($D$3=0,DATE($B$3,12,31),EOMONTH(DATE($B$3,$D$3,1),0))),2))</f>
        <v/>
      </c>
      <c r="E45" s="41" t="str">
        <f>IF($A45="","",SUMPRODUCT((프로젝트목록!$A$3:$A$62&lt;&gt;"")*(COUNTIFS(업무일지!$B$3:$B$3002,$A45,업무일지!$C$3:$C$3002,프로젝트목록!$A$3:$A$62,업무일지!$A$3:$A$3002,"&gt;="&amp;IF($D$3=0,DATE($B$3,1,1),DATE($B$3,$D$3,1)),업무일지!$A$3:$A$3002,"&lt;="&amp;IF($D$3=0,DATE($B$3,12,31),EOMONTH(DATE($B$3,$D$3,1),0)))&gt;0)))</f>
        <v/>
      </c>
      <c r="F45" s="40" t="str">
        <f>IF($A45="","",IF($C45=0,0,ROUND($D45/$C45,2)))</f>
        <v/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25" min="1" max="1"/>
    <col width="13" customWidth="1" style="25" min="2" max="2"/>
    <col width="15" customWidth="1" style="25" min="3" max="3"/>
    <col width="13" customWidth="1" style="25" min="4" max="4"/>
    <col width="14" customWidth="1" style="25" min="5" max="5"/>
  </cols>
  <sheetData>
    <row r="1" ht="25.5" customHeight="1" s="26">
      <c r="A1" s="27" t="inlineStr">
        <is>
          <t>월별집계</t>
        </is>
      </c>
    </row>
    <row r="2"/>
    <row r="3" ht="15" customHeight="1" s="26">
      <c r="A3" s="28" t="inlineStr">
        <is>
          <t>대상 연도</t>
        </is>
      </c>
      <c r="B3" s="45" t="n">
        <v>2026</v>
      </c>
    </row>
    <row r="4"/>
    <row r="5" ht="15" customHeight="1" s="26">
      <c r="A5" s="31" t="inlineStr">
        <is>
          <t>월</t>
        </is>
      </c>
      <c r="B5" s="31" t="inlineStr">
        <is>
          <t>작업 건수</t>
        </is>
      </c>
      <c r="C5" s="31" t="inlineStr">
        <is>
          <t>총 투입시간</t>
        </is>
      </c>
      <c r="D5" s="31" t="inlineStr">
        <is>
          <t>참여 인원</t>
        </is>
      </c>
      <c r="E5" s="31" t="inlineStr">
        <is>
          <t>프로젝트 수</t>
        </is>
      </c>
    </row>
    <row r="6" ht="15" customHeight="1" s="26">
      <c r="A6" s="41" t="n">
        <v>1</v>
      </c>
      <c r="B6" s="41" t="n">
        <f>COUNTIFS(업무일지!$A$3:$A$3002,"&gt;="&amp;DATE($B$3,1,1),업무일지!$A$3:$A$3002,"&lt;="&amp;EOMONTH(DATE($B$3,1,1),0))</f>
        <v>0</v>
      </c>
      <c r="C6" s="40" t="n">
        <f>ROUND(SUMIFS(업무일지!$I$3:$I$3002,업무일지!$A$3:$A$3002,"&gt;="&amp;DATE($B$3,1,1),업무일지!$A$3:$A$3002,"&lt;="&amp;EOMONTH(DATE($B$3,1,1),0)),2)</f>
        <v>0</v>
      </c>
      <c r="D6" s="41" t="n">
        <f>SUMPRODUCT((구성원목록!$A$3:$A$42&lt;&gt;"")*(COUNTIFS(업무일지!$B$3:$B$3002,구성원목록!$A$3:$A$42,업무일지!$A$3:$A$3002,"&gt;="&amp;DATE($B$3,1,1),업무일지!$A$3:$A$3002,"&lt;="&amp;EOMONTH(DATE($B$3,1,1),0))&gt;0))</f>
        <v>0</v>
      </c>
      <c r="E6" s="41" t="n">
        <f>SUMPRODUCT((프로젝트목록!$A$3:$A$62&lt;&gt;"")*(COUNTIFS(업무일지!$C$3:$C$3002,프로젝트목록!$A$3:$A$62,업무일지!$A$3:$A$3002,"&gt;="&amp;DATE($B$3,1,1),업무일지!$A$3:$A$3002,"&lt;="&amp;EOMONTH(DATE($B$3,1,1),0))&gt;0))</f>
        <v>0</v>
      </c>
    </row>
    <row r="7" ht="15" customHeight="1" s="26">
      <c r="A7" s="41" t="n">
        <v>2</v>
      </c>
      <c r="B7" s="41" t="n">
        <f>COUNTIFS(업무일지!$A$3:$A$3002,"&gt;="&amp;DATE($B$3,2,1),업무일지!$A$3:$A$3002,"&lt;="&amp;EOMONTH(DATE($B$3,2,1),0))</f>
        <v>0</v>
      </c>
      <c r="C7" s="40" t="n">
        <f>ROUND(SUMIFS(업무일지!$I$3:$I$3002,업무일지!$A$3:$A$3002,"&gt;="&amp;DATE($B$3,2,1),업무일지!$A$3:$A$3002,"&lt;="&amp;EOMONTH(DATE($B$3,2,1),0)),2)</f>
        <v>0</v>
      </c>
      <c r="D7" s="41" t="n">
        <f>SUMPRODUCT((구성원목록!$A$3:$A$42&lt;&gt;"")*(COUNTIFS(업무일지!$B$3:$B$3002,구성원목록!$A$3:$A$42,업무일지!$A$3:$A$3002,"&gt;="&amp;DATE($B$3,2,1),업무일지!$A$3:$A$3002,"&lt;="&amp;EOMONTH(DATE($B$3,2,1),0))&gt;0))</f>
        <v>0</v>
      </c>
      <c r="E7" s="41" t="n">
        <f>SUMPRODUCT((프로젝트목록!$A$3:$A$62&lt;&gt;"")*(COUNTIFS(업무일지!$C$3:$C$3002,프로젝트목록!$A$3:$A$62,업무일지!$A$3:$A$3002,"&gt;="&amp;DATE($B$3,2,1),업무일지!$A$3:$A$3002,"&lt;="&amp;EOMONTH(DATE($B$3,2,1),0))&gt;0))</f>
        <v>0</v>
      </c>
    </row>
    <row r="8" ht="15" customHeight="1" s="26">
      <c r="A8" s="41" t="n">
        <v>3</v>
      </c>
      <c r="B8" s="41" t="n">
        <f>COUNTIFS(업무일지!$A$3:$A$3002,"&gt;="&amp;DATE($B$3,3,1),업무일지!$A$3:$A$3002,"&lt;="&amp;EOMONTH(DATE($B$3,3,1),0))</f>
        <v>0</v>
      </c>
      <c r="C8" s="40" t="n">
        <f>ROUND(SUMIFS(업무일지!$I$3:$I$3002,업무일지!$A$3:$A$3002,"&gt;="&amp;DATE($B$3,3,1),업무일지!$A$3:$A$3002,"&lt;="&amp;EOMONTH(DATE($B$3,3,1),0)),2)</f>
        <v>0</v>
      </c>
      <c r="D8" s="41" t="n">
        <f>SUMPRODUCT((구성원목록!$A$3:$A$42&lt;&gt;"")*(COUNTIFS(업무일지!$B$3:$B$3002,구성원목록!$A$3:$A$42,업무일지!$A$3:$A$3002,"&gt;="&amp;DATE($B$3,3,1),업무일지!$A$3:$A$3002,"&lt;="&amp;EOMONTH(DATE($B$3,3,1),0))&gt;0))</f>
        <v>0</v>
      </c>
      <c r="E8" s="41" t="n">
        <f>SUMPRODUCT((프로젝트목록!$A$3:$A$62&lt;&gt;"")*(COUNTIFS(업무일지!$C$3:$C$3002,프로젝트목록!$A$3:$A$62,업무일지!$A$3:$A$3002,"&gt;="&amp;DATE($B$3,3,1),업무일지!$A$3:$A$3002,"&lt;="&amp;EOMONTH(DATE($B$3,3,1),0))&gt;0))</f>
        <v>0</v>
      </c>
    </row>
    <row r="9" ht="15" customHeight="1" s="26">
      <c r="A9" s="41" t="n">
        <v>4</v>
      </c>
      <c r="B9" s="41" t="n">
        <f>COUNTIFS(업무일지!$A$3:$A$3002,"&gt;="&amp;DATE($B$3,4,1),업무일지!$A$3:$A$3002,"&lt;="&amp;EOMONTH(DATE($B$3,4,1),0))</f>
        <v>0</v>
      </c>
      <c r="C9" s="40" t="n">
        <f>ROUND(SUMIFS(업무일지!$I$3:$I$3002,업무일지!$A$3:$A$3002,"&gt;="&amp;DATE($B$3,4,1),업무일지!$A$3:$A$3002,"&lt;="&amp;EOMONTH(DATE($B$3,4,1),0)),2)</f>
        <v>0</v>
      </c>
      <c r="D9" s="41" t="n">
        <f>SUMPRODUCT((구성원목록!$A$3:$A$42&lt;&gt;"")*(COUNTIFS(업무일지!$B$3:$B$3002,구성원목록!$A$3:$A$42,업무일지!$A$3:$A$3002,"&gt;="&amp;DATE($B$3,4,1),업무일지!$A$3:$A$3002,"&lt;="&amp;EOMONTH(DATE($B$3,4,1),0))&gt;0))</f>
        <v>0</v>
      </c>
      <c r="E9" s="41" t="n">
        <f>SUMPRODUCT((프로젝트목록!$A$3:$A$62&lt;&gt;"")*(COUNTIFS(업무일지!$C$3:$C$3002,프로젝트목록!$A$3:$A$62,업무일지!$A$3:$A$3002,"&gt;="&amp;DATE($B$3,4,1),업무일지!$A$3:$A$3002,"&lt;="&amp;EOMONTH(DATE($B$3,4,1),0))&gt;0))</f>
        <v>0</v>
      </c>
    </row>
    <row r="10" ht="15" customHeight="1" s="26">
      <c r="A10" s="41" t="n">
        <v>5</v>
      </c>
      <c r="B10" s="41" t="n">
        <f>COUNTIFS(업무일지!$A$3:$A$3002,"&gt;="&amp;DATE($B$3,5,1),업무일지!$A$3:$A$3002,"&lt;="&amp;EOMONTH(DATE($B$3,5,1),0))</f>
        <v>0</v>
      </c>
      <c r="C10" s="40" t="n">
        <f>ROUND(SUMIFS(업무일지!$I$3:$I$3002,업무일지!$A$3:$A$3002,"&gt;="&amp;DATE($B$3,5,1),업무일지!$A$3:$A$3002,"&lt;="&amp;EOMONTH(DATE($B$3,5,1),0)),2)</f>
        <v>0</v>
      </c>
      <c r="D10" s="41" t="n">
        <f>SUMPRODUCT((구성원목록!$A$3:$A$42&lt;&gt;"")*(COUNTIFS(업무일지!$B$3:$B$3002,구성원목록!$A$3:$A$42,업무일지!$A$3:$A$3002,"&gt;="&amp;DATE($B$3,5,1),업무일지!$A$3:$A$3002,"&lt;="&amp;EOMONTH(DATE($B$3,5,1),0))&gt;0))</f>
        <v>0</v>
      </c>
      <c r="E10" s="41" t="n">
        <f>SUMPRODUCT((프로젝트목록!$A$3:$A$62&lt;&gt;"")*(COUNTIFS(업무일지!$C$3:$C$3002,프로젝트목록!$A$3:$A$62,업무일지!$A$3:$A$3002,"&gt;="&amp;DATE($B$3,5,1),업무일지!$A$3:$A$3002,"&lt;="&amp;EOMONTH(DATE($B$3,5,1),0))&gt;0))</f>
        <v>0</v>
      </c>
    </row>
    <row r="11" ht="15" customHeight="1" s="26">
      <c r="A11" s="41" t="n">
        <v>6</v>
      </c>
      <c r="B11" s="41" t="n">
        <f>COUNTIFS(업무일지!$A$3:$A$3002,"&gt;="&amp;DATE($B$3,6,1),업무일지!$A$3:$A$3002,"&lt;="&amp;EOMONTH(DATE($B$3,6,1),0))</f>
        <v>0</v>
      </c>
      <c r="C11" s="40" t="n">
        <f>ROUND(SUMIFS(업무일지!$I$3:$I$3002,업무일지!$A$3:$A$3002,"&gt;="&amp;DATE($B$3,6,1),업무일지!$A$3:$A$3002,"&lt;="&amp;EOMONTH(DATE($B$3,6,1),0)),2)</f>
        <v>0</v>
      </c>
      <c r="D11" s="41" t="n">
        <f>SUMPRODUCT((구성원목록!$A$3:$A$42&lt;&gt;"")*(COUNTIFS(업무일지!$B$3:$B$3002,구성원목록!$A$3:$A$42,업무일지!$A$3:$A$3002,"&gt;="&amp;DATE($B$3,6,1),업무일지!$A$3:$A$3002,"&lt;="&amp;EOMONTH(DATE($B$3,6,1),0))&gt;0))</f>
        <v>0</v>
      </c>
      <c r="E11" s="41" t="n">
        <f>SUMPRODUCT((프로젝트목록!$A$3:$A$62&lt;&gt;"")*(COUNTIFS(업무일지!$C$3:$C$3002,프로젝트목록!$A$3:$A$62,업무일지!$A$3:$A$3002,"&gt;="&amp;DATE($B$3,6,1),업무일지!$A$3:$A$3002,"&lt;="&amp;EOMONTH(DATE($B$3,6,1),0))&gt;0))</f>
        <v>0</v>
      </c>
    </row>
    <row r="12" ht="15" customHeight="1" s="26">
      <c r="A12" s="41" t="n">
        <v>7</v>
      </c>
      <c r="B12" s="41" t="n">
        <f>COUNTIFS(업무일지!$A$3:$A$3002,"&gt;="&amp;DATE($B$3,7,1),업무일지!$A$3:$A$3002,"&lt;="&amp;EOMONTH(DATE($B$3,7,1),0))</f>
        <v>0</v>
      </c>
      <c r="C12" s="40" t="n">
        <f>ROUND(SUMIFS(업무일지!$I$3:$I$3002,업무일지!$A$3:$A$3002,"&gt;="&amp;DATE($B$3,7,1),업무일지!$A$3:$A$3002,"&lt;="&amp;EOMONTH(DATE($B$3,7,1),0)),2)</f>
        <v>0</v>
      </c>
      <c r="D12" s="41" t="n">
        <f>SUMPRODUCT((구성원목록!$A$3:$A$42&lt;&gt;"")*(COUNTIFS(업무일지!$B$3:$B$3002,구성원목록!$A$3:$A$42,업무일지!$A$3:$A$3002,"&gt;="&amp;DATE($B$3,7,1),업무일지!$A$3:$A$3002,"&lt;="&amp;EOMONTH(DATE($B$3,7,1),0))&gt;0))</f>
        <v>0</v>
      </c>
      <c r="E12" s="41" t="n">
        <f>SUMPRODUCT((프로젝트목록!$A$3:$A$62&lt;&gt;"")*(COUNTIFS(업무일지!$C$3:$C$3002,프로젝트목록!$A$3:$A$62,업무일지!$A$3:$A$3002,"&gt;="&amp;DATE($B$3,7,1),업무일지!$A$3:$A$3002,"&lt;="&amp;EOMONTH(DATE($B$3,7,1),0))&gt;0))</f>
        <v>0</v>
      </c>
    </row>
    <row r="13" ht="15" customHeight="1" s="26">
      <c r="A13" s="41" t="n">
        <v>8</v>
      </c>
      <c r="B13" s="41" t="n">
        <f>COUNTIFS(업무일지!$A$3:$A$3002,"&gt;="&amp;DATE($B$3,8,1),업무일지!$A$3:$A$3002,"&lt;="&amp;EOMONTH(DATE($B$3,8,1),0))</f>
        <v>6</v>
      </c>
      <c r="C13" s="40" t="n">
        <f>ROUND(SUMIFS(업무일지!$I$3:$I$3002,업무일지!$A$3:$A$3002,"&gt;="&amp;DATE($B$3,8,1),업무일지!$A$3:$A$3002,"&lt;="&amp;EOMONTH(DATE($B$3,8,1),0)),2)</f>
        <v>47.5</v>
      </c>
      <c r="D13" s="41" t="n">
        <f>SUMPRODUCT((구성원목록!$A$3:$A$42&lt;&gt;"")*(COUNTIFS(업무일지!$B$3:$B$3002,구성원목록!$A$3:$A$42,업무일지!$A$3:$A$3002,"&gt;="&amp;DATE($B$3,8,1),업무일지!$A$3:$A$3002,"&lt;="&amp;EOMONTH(DATE($B$3,8,1),0))&gt;0))</f>
        <v>3</v>
      </c>
      <c r="E13" s="41" t="n">
        <f>SUMPRODUCT((프로젝트목록!$A$3:$A$62&lt;&gt;"")*(COUNTIFS(업무일지!$C$3:$C$3002,프로젝트목록!$A$3:$A$62,업무일지!$A$3:$A$3002,"&gt;="&amp;DATE($B$3,8,1),업무일지!$A$3:$A$3002,"&lt;="&amp;EOMONTH(DATE($B$3,8,1),0))&gt;0))</f>
        <v>3</v>
      </c>
    </row>
    <row r="14" ht="15" customHeight="1" s="26">
      <c r="A14" s="41" t="n">
        <v>9</v>
      </c>
      <c r="B14" s="41" t="n">
        <f>COUNTIFS(업무일지!$A$3:$A$3002,"&gt;="&amp;DATE($B$3,9,1),업무일지!$A$3:$A$3002,"&lt;="&amp;EOMONTH(DATE($B$3,9,1),0))</f>
        <v>13</v>
      </c>
      <c r="C14" s="40" t="n">
        <f>ROUND(SUMIFS(업무일지!$I$3:$I$3002,업무일지!$A$3:$A$3002,"&gt;="&amp;DATE($B$3,9,1),업무일지!$A$3:$A$3002,"&lt;="&amp;EOMONTH(DATE($B$3,9,1),0)),2)</f>
        <v>93</v>
      </c>
      <c r="D14" s="41" t="n">
        <f>SUMPRODUCT((구성원목록!$A$3:$A$42&lt;&gt;"")*(COUNTIFS(업무일지!$B$3:$B$3002,구성원목록!$A$3:$A$42,업무일지!$A$3:$A$3002,"&gt;="&amp;DATE($B$3,9,1),업무일지!$A$3:$A$3002,"&lt;="&amp;EOMONTH(DATE($B$3,9,1),0))&gt;0))</f>
        <v>3</v>
      </c>
      <c r="E14" s="41" t="n">
        <f>SUMPRODUCT((프로젝트목록!$A$3:$A$62&lt;&gt;"")*(COUNTIFS(업무일지!$C$3:$C$3002,프로젝트목록!$A$3:$A$62,업무일지!$A$3:$A$3002,"&gt;="&amp;DATE($B$3,9,1),업무일지!$A$3:$A$3002,"&lt;="&amp;EOMONTH(DATE($B$3,9,1),0))&gt;0))</f>
        <v>3</v>
      </c>
    </row>
    <row r="15" ht="15" customHeight="1" s="26">
      <c r="A15" s="41" t="n">
        <v>10</v>
      </c>
      <c r="B15" s="41" t="n">
        <f>COUNTIFS(업무일지!$A$3:$A$3002,"&gt;="&amp;DATE($B$3,10,1),업무일지!$A$3:$A$3002,"&lt;="&amp;EOMONTH(DATE($B$3,10,1),0))</f>
        <v>0</v>
      </c>
      <c r="C15" s="40" t="n">
        <f>ROUND(SUMIFS(업무일지!$I$3:$I$3002,업무일지!$A$3:$A$3002,"&gt;="&amp;DATE($B$3,10,1),업무일지!$A$3:$A$3002,"&lt;="&amp;EOMONTH(DATE($B$3,10,1),0)),2)</f>
        <v>0</v>
      </c>
      <c r="D15" s="41" t="n">
        <f>SUMPRODUCT((구성원목록!$A$3:$A$42&lt;&gt;"")*(COUNTIFS(업무일지!$B$3:$B$3002,구성원목록!$A$3:$A$42,업무일지!$A$3:$A$3002,"&gt;="&amp;DATE($B$3,10,1),업무일지!$A$3:$A$3002,"&lt;="&amp;EOMONTH(DATE($B$3,10,1),0))&gt;0))</f>
        <v>0</v>
      </c>
      <c r="E15" s="41" t="n">
        <f>SUMPRODUCT((프로젝트목록!$A$3:$A$62&lt;&gt;"")*(COUNTIFS(업무일지!$C$3:$C$3002,프로젝트목록!$A$3:$A$62,업무일지!$A$3:$A$3002,"&gt;="&amp;DATE($B$3,10,1),업무일지!$A$3:$A$3002,"&lt;="&amp;EOMONTH(DATE($B$3,10,1),0))&gt;0))</f>
        <v>0</v>
      </c>
    </row>
    <row r="16" ht="15" customHeight="1" s="26">
      <c r="A16" s="41" t="n">
        <v>11</v>
      </c>
      <c r="B16" s="41" t="n">
        <f>COUNTIFS(업무일지!$A$3:$A$3002,"&gt;="&amp;DATE($B$3,11,1),업무일지!$A$3:$A$3002,"&lt;="&amp;EOMONTH(DATE($B$3,11,1),0))</f>
        <v>0</v>
      </c>
      <c r="C16" s="40" t="n">
        <f>ROUND(SUMIFS(업무일지!$I$3:$I$3002,업무일지!$A$3:$A$3002,"&gt;="&amp;DATE($B$3,11,1),업무일지!$A$3:$A$3002,"&lt;="&amp;EOMONTH(DATE($B$3,11,1),0)),2)</f>
        <v>0</v>
      </c>
      <c r="D16" s="41" t="n">
        <f>SUMPRODUCT((구성원목록!$A$3:$A$42&lt;&gt;"")*(COUNTIFS(업무일지!$B$3:$B$3002,구성원목록!$A$3:$A$42,업무일지!$A$3:$A$3002,"&gt;="&amp;DATE($B$3,11,1),업무일지!$A$3:$A$3002,"&lt;="&amp;EOMONTH(DATE($B$3,11,1),0))&gt;0))</f>
        <v>0</v>
      </c>
      <c r="E16" s="41" t="n">
        <f>SUMPRODUCT((프로젝트목록!$A$3:$A$62&lt;&gt;"")*(COUNTIFS(업무일지!$C$3:$C$3002,프로젝트목록!$A$3:$A$62,업무일지!$A$3:$A$3002,"&gt;="&amp;DATE($B$3,11,1),업무일지!$A$3:$A$3002,"&lt;="&amp;EOMONTH(DATE($B$3,11,1),0))&gt;0))</f>
        <v>0</v>
      </c>
    </row>
    <row r="17" ht="15" customHeight="1" s="26">
      <c r="A17" s="41" t="n">
        <v>12</v>
      </c>
      <c r="B17" s="41" t="n">
        <f>COUNTIFS(업무일지!$A$3:$A$3002,"&gt;="&amp;DATE($B$3,12,1),업무일지!$A$3:$A$3002,"&lt;="&amp;EOMONTH(DATE($B$3,12,1),0))</f>
        <v>0</v>
      </c>
      <c r="C17" s="40" t="n">
        <f>ROUND(SUMIFS(업무일지!$I$3:$I$3002,업무일지!$A$3:$A$3002,"&gt;="&amp;DATE($B$3,12,1),업무일지!$A$3:$A$3002,"&lt;="&amp;EOMONTH(DATE($B$3,12,1),0)),2)</f>
        <v>0</v>
      </c>
      <c r="D17" s="41" t="n">
        <f>SUMPRODUCT((구성원목록!$A$3:$A$42&lt;&gt;"")*(COUNTIFS(업무일지!$B$3:$B$3002,구성원목록!$A$3:$A$42,업무일지!$A$3:$A$3002,"&gt;="&amp;DATE($B$3,12,1),업무일지!$A$3:$A$3002,"&lt;="&amp;EOMONTH(DATE($B$3,12,1),0))&gt;0))</f>
        <v>0</v>
      </c>
      <c r="E17" s="41" t="n">
        <f>SUMPRODUCT((프로젝트목록!$A$3:$A$62&lt;&gt;"")*(COUNTIFS(업무일지!$C$3:$C$3002,프로젝트목록!$A$3:$A$62,업무일지!$A$3:$A$3002,"&gt;="&amp;DATE($B$3,12,1),업무일지!$A$3:$A$3002,"&lt;="&amp;EOMONTH(DATE($B$3,12,1),0))&gt;0))</f>
        <v>0</v>
      </c>
    </row>
    <row r="18" ht="15" customHeight="1" s="26">
      <c r="A18" s="46" t="inlineStr">
        <is>
          <t>합계</t>
        </is>
      </c>
      <c r="B18" s="47" t="n">
        <f>ROUND(SUM(B6:B17),2)</f>
        <v>19</v>
      </c>
      <c r="C18" s="44" t="n">
        <f>ROUND(SUM(C6:C17),2)</f>
        <v>140.5</v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42" customWidth="1" style="25" min="2" max="8"/>
    <col width="42" customWidth="1" style="26" min="3" max="3"/>
    <col width="42" customWidth="1" style="26" min="4" max="4"/>
    <col width="42" customWidth="1" style="26" min="5" max="5"/>
    <col width="42" customWidth="1" style="26" min="6" max="6"/>
    <col width="42" customWidth="1" style="26" min="7" max="7"/>
    <col width="42" customWidth="1" style="26" min="8" max="8"/>
    <col width="44" customWidth="1" style="25" min="9" max="11"/>
    <col width="44" customWidth="1" style="26" min="10" max="10"/>
    <col width="44" customWidth="1" style="26" min="11" max="11"/>
    <col width="13" customWidth="1" style="25" min="12" max="12"/>
  </cols>
  <sheetData>
    <row r="1" ht="25.5" customHeight="1" s="26">
      <c r="A1" s="27" t="inlineStr">
        <is>
          <t>교차집계  (프로젝트 × 담당자)</t>
        </is>
      </c>
    </row>
    <row r="2"/>
    <row r="3" ht="15" customHeight="1" s="26">
      <c r="A3" s="28" t="inlineStr">
        <is>
          <t>대상 연도</t>
        </is>
      </c>
      <c r="B3" s="45" t="n">
        <v>2026</v>
      </c>
    </row>
    <row r="4"/>
    <row r="5" ht="15" customHeight="1" s="26">
      <c r="A5" s="48" t="inlineStr">
        <is>
          <t>프로젝트 \ 담당자</t>
        </is>
      </c>
      <c r="B5" s="48" t="str">
        <f>IF(구성원목록!$A3="","",구성원목록!$A3)</f>
        <v>김담당</v>
      </c>
      <c r="C5" s="48" t="str">
        <f>IF(구성원목록!$A4="","",구성원목록!$A4)</f>
        <v>이담당</v>
      </c>
      <c r="D5" s="48" t="str">
        <f>IF(구성원목록!$A5="","",구성원목록!$A5)</f>
        <v>박담당</v>
      </c>
      <c r="E5" s="48" t="str">
        <f>IF(구성원목록!$A6="","",구성원목록!$A6)</f>
        <v/>
      </c>
      <c r="F5" s="48" t="str">
        <f>IF(구성원목록!$A7="","",구성원목록!$A7)</f>
        <v/>
      </c>
      <c r="G5" s="48" t="str">
        <f>IF(구성원목록!$A8="","",구성원목록!$A8)</f>
        <v/>
      </c>
      <c r="H5" s="48" t="str">
        <f>IF(구성원목록!$A9="","",구성원목록!$A9)</f>
        <v/>
      </c>
      <c r="I5" s="48" t="str">
        <f>IF(구성원목록!$A10="","",구성원목록!$A10)</f>
        <v/>
      </c>
      <c r="J5" s="48" t="str">
        <f>IF(구성원목록!$A11="","",구성원목록!$A11)</f>
        <v/>
      </c>
      <c r="K5" s="48" t="str">
        <f>IF(구성원목록!$A12="","",구성원목록!$A12)</f>
        <v/>
      </c>
      <c r="L5" s="49" t="inlineStr">
        <is>
          <t>합계</t>
        </is>
      </c>
    </row>
    <row r="6" ht="15" customHeight="1" s="26">
      <c r="A6" s="37" t="str">
        <f>IF(프로젝트목록!$A3="","",프로젝트목록!$B3)</f>
        <v>OO운영사업</v>
      </c>
      <c r="B6" s="40" t="n">
        <f>IF(OR($A6="",B$5=""),"",ROUND(SUMIFS(업무일지!$I$3:$I$3002,업무일지!$C$3:$C$3002,프로젝트목록!$A3,업무일지!$B$3:$B$3002,B$5,업무일지!$A$3:$A$3002,"&gt;="&amp;DATE($B$3,1,1),업무일지!$A$3:$A$3002,"&lt;="&amp;DATE($B$3,12,31)),2))</f>
        <v>51.5</v>
      </c>
      <c r="C6" s="40" t="n">
        <f>IF(OR($A6="",C$5=""),"",ROUND(SUMIFS(업무일지!$I$3:$I$3002,업무일지!$C$3:$C$3002,프로젝트목록!$A3,업무일지!$B$3:$B$3002,C$5,업무일지!$A$3:$A$3002,"&gt;="&amp;DATE($B$3,1,1),업무일지!$A$3:$A$3002,"&lt;="&amp;DATE($B$3,12,31)),2))</f>
        <v>0</v>
      </c>
      <c r="D6" s="40" t="n">
        <f>IF(OR($A6="",D$5=""),"",ROUND(SUMIFS(업무일지!$I$3:$I$3002,업무일지!$C$3:$C$3002,프로젝트목록!$A3,업무일지!$B$3:$B$3002,D$5,업무일지!$A$3:$A$3002,"&gt;="&amp;DATE($B$3,1,1),업무일지!$A$3:$A$3002,"&lt;="&amp;DATE($B$3,12,31)),2))</f>
        <v>0</v>
      </c>
      <c r="E6" s="40" t="str">
        <f>IF(OR($A6="",E$5=""),"",ROUND(SUMIFS(업무일지!$I$3:$I$3002,업무일지!$C$3:$C$3002,프로젝트목록!$A3,업무일지!$B$3:$B$3002,E$5,업무일지!$A$3:$A$3002,"&gt;="&amp;DATE($B$3,1,1),업무일지!$A$3:$A$3002,"&lt;="&amp;DATE($B$3,12,31)),2))</f>
        <v/>
      </c>
      <c r="F6" s="40" t="str">
        <f>IF(OR($A6="",F$5=""),"",ROUND(SUMIFS(업무일지!$I$3:$I$3002,업무일지!$C$3:$C$3002,프로젝트목록!$A3,업무일지!$B$3:$B$3002,F$5,업무일지!$A$3:$A$3002,"&gt;="&amp;DATE($B$3,1,1),업무일지!$A$3:$A$3002,"&lt;="&amp;DATE($B$3,12,31)),2))</f>
        <v/>
      </c>
      <c r="G6" s="40" t="str">
        <f>IF(OR($A6="",G$5=""),"",ROUND(SUMIFS(업무일지!$I$3:$I$3002,업무일지!$C$3:$C$3002,프로젝트목록!$A3,업무일지!$B$3:$B$3002,G$5,업무일지!$A$3:$A$3002,"&gt;="&amp;DATE($B$3,1,1),업무일지!$A$3:$A$3002,"&lt;="&amp;DATE($B$3,12,31)),2))</f>
        <v/>
      </c>
      <c r="H6" s="40" t="str">
        <f>IF(OR($A6="",H$5=""),"",ROUND(SUMIFS(업무일지!$I$3:$I$3002,업무일지!$C$3:$C$3002,프로젝트목록!$A3,업무일지!$B$3:$B$3002,H$5,업무일지!$A$3:$A$3002,"&gt;="&amp;DATE($B$3,1,1),업무일지!$A$3:$A$3002,"&lt;="&amp;DATE($B$3,12,31)),2))</f>
        <v/>
      </c>
      <c r="I6" s="40" t="str">
        <f>IF(OR($A6="",I$5=""),"",ROUND(SUMIFS(업무일지!$I$3:$I$3002,업무일지!$C$3:$C$3002,프로젝트목록!$A3,업무일지!$B$3:$B$3002,I$5,업무일지!$A$3:$A$3002,"&gt;="&amp;DATE($B$3,1,1),업무일지!$A$3:$A$3002,"&lt;="&amp;DATE($B$3,12,31)),2))</f>
        <v/>
      </c>
      <c r="J6" s="40" t="str">
        <f>IF(OR($A6="",J$5=""),"",ROUND(SUMIFS(업무일지!$I$3:$I$3002,업무일지!$C$3:$C$3002,프로젝트목록!$A3,업무일지!$B$3:$B$3002,J$5,업무일지!$A$3:$A$3002,"&gt;="&amp;DATE($B$3,1,1),업무일지!$A$3:$A$3002,"&lt;="&amp;DATE($B$3,12,31)),2))</f>
        <v/>
      </c>
      <c r="K6" s="40" t="str">
        <f>IF(OR($A6="",K$5=""),"",ROUND(SUMIFS(업무일지!$I$3:$I$3002,업무일지!$C$3:$C$3002,프로젝트목록!$A3,업무일지!$B$3:$B$3002,K$5,업무일지!$A$3:$A$3002,"&gt;="&amp;DATE($B$3,1,1),업무일지!$A$3:$A$3002,"&lt;="&amp;DATE($B$3,12,31)),2))</f>
        <v/>
      </c>
      <c r="L6" s="44" t="n">
        <f>IF($A6="","",ROUND(SUM(B6:K6),2))</f>
        <v>51.5</v>
      </c>
    </row>
    <row r="7" ht="15" customHeight="1" s="26">
      <c r="A7" s="37" t="str">
        <f>IF(프로젝트목록!$A4="","",프로젝트목록!$B4)</f>
        <v>신규 앱 개발</v>
      </c>
      <c r="B7" s="40" t="n">
        <f>IF(OR($A7="",B$5=""),"",ROUND(SUMIFS(업무일지!$I$3:$I$3002,업무일지!$C$3:$C$3002,프로젝트목록!$A4,업무일지!$B$3:$B$3002,B$5,업무일지!$A$3:$A$3002,"&gt;="&amp;DATE($B$3,1,1),업무일지!$A$3:$A$3002,"&lt;="&amp;DATE($B$3,12,31)),2))</f>
        <v>0</v>
      </c>
      <c r="C7" s="40" t="n">
        <f>IF(OR($A7="",C$5=""),"",ROUND(SUMIFS(업무일지!$I$3:$I$3002,업무일지!$C$3:$C$3002,프로젝트목록!$A4,업무일지!$B$3:$B$3002,C$5,업무일지!$A$3:$A$3002,"&gt;="&amp;DATE($B$3,1,1),업무일지!$A$3:$A$3002,"&lt;="&amp;DATE($B$3,12,31)),2))</f>
        <v>52.5</v>
      </c>
      <c r="D7" s="40" t="n">
        <f>IF(OR($A7="",D$5=""),"",ROUND(SUMIFS(업무일지!$I$3:$I$3002,업무일지!$C$3:$C$3002,프로젝트목록!$A4,업무일지!$B$3:$B$3002,D$5,업무일지!$A$3:$A$3002,"&gt;="&amp;DATE($B$3,1,1),업무일지!$A$3:$A$3002,"&lt;="&amp;DATE($B$3,12,31)),2))</f>
        <v>0</v>
      </c>
      <c r="E7" s="40" t="str">
        <f>IF(OR($A7="",E$5=""),"",ROUND(SUMIFS(업무일지!$I$3:$I$3002,업무일지!$C$3:$C$3002,프로젝트목록!$A4,업무일지!$B$3:$B$3002,E$5,업무일지!$A$3:$A$3002,"&gt;="&amp;DATE($B$3,1,1),업무일지!$A$3:$A$3002,"&lt;="&amp;DATE($B$3,12,31)),2))</f>
        <v/>
      </c>
      <c r="F7" s="40" t="str">
        <f>IF(OR($A7="",F$5=""),"",ROUND(SUMIFS(업무일지!$I$3:$I$3002,업무일지!$C$3:$C$3002,프로젝트목록!$A4,업무일지!$B$3:$B$3002,F$5,업무일지!$A$3:$A$3002,"&gt;="&amp;DATE($B$3,1,1),업무일지!$A$3:$A$3002,"&lt;="&amp;DATE($B$3,12,31)),2))</f>
        <v/>
      </c>
      <c r="G7" s="40" t="str">
        <f>IF(OR($A7="",G$5=""),"",ROUND(SUMIFS(업무일지!$I$3:$I$3002,업무일지!$C$3:$C$3002,프로젝트목록!$A4,업무일지!$B$3:$B$3002,G$5,업무일지!$A$3:$A$3002,"&gt;="&amp;DATE($B$3,1,1),업무일지!$A$3:$A$3002,"&lt;="&amp;DATE($B$3,12,31)),2))</f>
        <v/>
      </c>
      <c r="H7" s="40" t="str">
        <f>IF(OR($A7="",H$5=""),"",ROUND(SUMIFS(업무일지!$I$3:$I$3002,업무일지!$C$3:$C$3002,프로젝트목록!$A4,업무일지!$B$3:$B$3002,H$5,업무일지!$A$3:$A$3002,"&gt;="&amp;DATE($B$3,1,1),업무일지!$A$3:$A$3002,"&lt;="&amp;DATE($B$3,12,31)),2))</f>
        <v/>
      </c>
      <c r="I7" s="40" t="str">
        <f>IF(OR($A7="",I$5=""),"",ROUND(SUMIFS(업무일지!$I$3:$I$3002,업무일지!$C$3:$C$3002,프로젝트목록!$A4,업무일지!$B$3:$B$3002,I$5,업무일지!$A$3:$A$3002,"&gt;="&amp;DATE($B$3,1,1),업무일지!$A$3:$A$3002,"&lt;="&amp;DATE($B$3,12,31)),2))</f>
        <v/>
      </c>
      <c r="J7" s="40" t="str">
        <f>IF(OR($A7="",J$5=""),"",ROUND(SUMIFS(업무일지!$I$3:$I$3002,업무일지!$C$3:$C$3002,프로젝트목록!$A4,업무일지!$B$3:$B$3002,J$5,업무일지!$A$3:$A$3002,"&gt;="&amp;DATE($B$3,1,1),업무일지!$A$3:$A$3002,"&lt;="&amp;DATE($B$3,12,31)),2))</f>
        <v/>
      </c>
      <c r="K7" s="40" t="str">
        <f>IF(OR($A7="",K$5=""),"",ROUND(SUMIFS(업무일지!$I$3:$I$3002,업무일지!$C$3:$C$3002,프로젝트목록!$A4,업무일지!$B$3:$B$3002,K$5,업무일지!$A$3:$A$3002,"&gt;="&amp;DATE($B$3,1,1),업무일지!$A$3:$A$3002,"&lt;="&amp;DATE($B$3,12,31)),2))</f>
        <v/>
      </c>
      <c r="L7" s="44" t="n">
        <f>IF($A7="","",ROUND(SUM(B7:K7),2))</f>
        <v>52.5</v>
      </c>
    </row>
    <row r="8" ht="15" customHeight="1" s="26">
      <c r="A8" s="37" t="str">
        <f>IF(프로젝트목록!$A5="","",프로젝트목록!$B5)</f>
        <v>홈페이지 개편</v>
      </c>
      <c r="B8" s="40" t="n">
        <f>IF(OR($A8="",B$5=""),"",ROUND(SUMIFS(업무일지!$I$3:$I$3002,업무일지!$C$3:$C$3002,프로젝트목록!$A5,업무일지!$B$3:$B$3002,B$5,업무일지!$A$3:$A$3002,"&gt;="&amp;DATE($B$3,1,1),업무일지!$A$3:$A$3002,"&lt;="&amp;DATE($B$3,12,31)),2))</f>
        <v>5</v>
      </c>
      <c r="C8" s="40" t="n">
        <f>IF(OR($A8="",C$5=""),"",ROUND(SUMIFS(업무일지!$I$3:$I$3002,업무일지!$C$3:$C$3002,프로젝트목록!$A5,업무일지!$B$3:$B$3002,C$5,업무일지!$A$3:$A$3002,"&gt;="&amp;DATE($B$3,1,1),업무일지!$A$3:$A$3002,"&lt;="&amp;DATE($B$3,12,31)),2))</f>
        <v>0</v>
      </c>
      <c r="D8" s="40" t="n">
        <f>IF(OR($A8="",D$5=""),"",ROUND(SUMIFS(업무일지!$I$3:$I$3002,업무일지!$C$3:$C$3002,프로젝트목록!$A5,업무일지!$B$3:$B$3002,D$5,업무일지!$A$3:$A$3002,"&gt;="&amp;DATE($B$3,1,1),업무일지!$A$3:$A$3002,"&lt;="&amp;DATE($B$3,12,31)),2))</f>
        <v>31.5</v>
      </c>
      <c r="E8" s="40" t="str">
        <f>IF(OR($A8="",E$5=""),"",ROUND(SUMIFS(업무일지!$I$3:$I$3002,업무일지!$C$3:$C$3002,프로젝트목록!$A5,업무일지!$B$3:$B$3002,E$5,업무일지!$A$3:$A$3002,"&gt;="&amp;DATE($B$3,1,1),업무일지!$A$3:$A$3002,"&lt;="&amp;DATE($B$3,12,31)),2))</f>
        <v/>
      </c>
      <c r="F8" s="40" t="str">
        <f>IF(OR($A8="",F$5=""),"",ROUND(SUMIFS(업무일지!$I$3:$I$3002,업무일지!$C$3:$C$3002,프로젝트목록!$A5,업무일지!$B$3:$B$3002,F$5,업무일지!$A$3:$A$3002,"&gt;="&amp;DATE($B$3,1,1),업무일지!$A$3:$A$3002,"&lt;="&amp;DATE($B$3,12,31)),2))</f>
        <v/>
      </c>
      <c r="G8" s="40" t="str">
        <f>IF(OR($A8="",G$5=""),"",ROUND(SUMIFS(업무일지!$I$3:$I$3002,업무일지!$C$3:$C$3002,프로젝트목록!$A5,업무일지!$B$3:$B$3002,G$5,업무일지!$A$3:$A$3002,"&gt;="&amp;DATE($B$3,1,1),업무일지!$A$3:$A$3002,"&lt;="&amp;DATE($B$3,12,31)),2))</f>
        <v/>
      </c>
      <c r="H8" s="40" t="str">
        <f>IF(OR($A8="",H$5=""),"",ROUND(SUMIFS(업무일지!$I$3:$I$3002,업무일지!$C$3:$C$3002,프로젝트목록!$A5,업무일지!$B$3:$B$3002,H$5,업무일지!$A$3:$A$3002,"&gt;="&amp;DATE($B$3,1,1),업무일지!$A$3:$A$3002,"&lt;="&amp;DATE($B$3,12,31)),2))</f>
        <v/>
      </c>
      <c r="I8" s="40" t="str">
        <f>IF(OR($A8="",I$5=""),"",ROUND(SUMIFS(업무일지!$I$3:$I$3002,업무일지!$C$3:$C$3002,프로젝트목록!$A5,업무일지!$B$3:$B$3002,I$5,업무일지!$A$3:$A$3002,"&gt;="&amp;DATE($B$3,1,1),업무일지!$A$3:$A$3002,"&lt;="&amp;DATE($B$3,12,31)),2))</f>
        <v/>
      </c>
      <c r="J8" s="40" t="str">
        <f>IF(OR($A8="",J$5=""),"",ROUND(SUMIFS(업무일지!$I$3:$I$3002,업무일지!$C$3:$C$3002,프로젝트목록!$A5,업무일지!$B$3:$B$3002,J$5,업무일지!$A$3:$A$3002,"&gt;="&amp;DATE($B$3,1,1),업무일지!$A$3:$A$3002,"&lt;="&amp;DATE($B$3,12,31)),2))</f>
        <v/>
      </c>
      <c r="K8" s="40" t="str">
        <f>IF(OR($A8="",K$5=""),"",ROUND(SUMIFS(업무일지!$I$3:$I$3002,업무일지!$C$3:$C$3002,프로젝트목록!$A5,업무일지!$B$3:$B$3002,K$5,업무일지!$A$3:$A$3002,"&gt;="&amp;DATE($B$3,1,1),업무일지!$A$3:$A$3002,"&lt;="&amp;DATE($B$3,12,31)),2))</f>
        <v/>
      </c>
      <c r="L8" s="44" t="n">
        <f>IF($A8="","",ROUND(SUM(B8:K8),2))</f>
        <v>36.5</v>
      </c>
    </row>
    <row r="9" ht="15" customHeight="1" s="26">
      <c r="A9" s="37" t="str">
        <f>IF(프로젝트목록!$A6="","",프로젝트목록!$B6)</f>
        <v/>
      </c>
      <c r="B9" s="40" t="str">
        <f>IF(OR($A9="",B$5=""),"",ROUND(SUMIFS(업무일지!$I$3:$I$3002,업무일지!$C$3:$C$3002,프로젝트목록!$A6,업무일지!$B$3:$B$3002,B$5,업무일지!$A$3:$A$3002,"&gt;="&amp;DATE($B$3,1,1),업무일지!$A$3:$A$3002,"&lt;="&amp;DATE($B$3,12,31)),2))</f>
        <v/>
      </c>
      <c r="C9" s="40" t="str">
        <f>IF(OR($A9="",C$5=""),"",ROUND(SUMIFS(업무일지!$I$3:$I$3002,업무일지!$C$3:$C$3002,프로젝트목록!$A6,업무일지!$B$3:$B$3002,C$5,업무일지!$A$3:$A$3002,"&gt;="&amp;DATE($B$3,1,1),업무일지!$A$3:$A$3002,"&lt;="&amp;DATE($B$3,12,31)),2))</f>
        <v/>
      </c>
      <c r="D9" s="40" t="str">
        <f>IF(OR($A9="",D$5=""),"",ROUND(SUMIFS(업무일지!$I$3:$I$3002,업무일지!$C$3:$C$3002,프로젝트목록!$A6,업무일지!$B$3:$B$3002,D$5,업무일지!$A$3:$A$3002,"&gt;="&amp;DATE($B$3,1,1),업무일지!$A$3:$A$3002,"&lt;="&amp;DATE($B$3,12,31)),2))</f>
        <v/>
      </c>
      <c r="E9" s="40" t="str">
        <f>IF(OR($A9="",E$5=""),"",ROUND(SUMIFS(업무일지!$I$3:$I$3002,업무일지!$C$3:$C$3002,프로젝트목록!$A6,업무일지!$B$3:$B$3002,E$5,업무일지!$A$3:$A$3002,"&gt;="&amp;DATE($B$3,1,1),업무일지!$A$3:$A$3002,"&lt;="&amp;DATE($B$3,12,31)),2))</f>
        <v/>
      </c>
      <c r="F9" s="40" t="str">
        <f>IF(OR($A9="",F$5=""),"",ROUND(SUMIFS(업무일지!$I$3:$I$3002,업무일지!$C$3:$C$3002,프로젝트목록!$A6,업무일지!$B$3:$B$3002,F$5,업무일지!$A$3:$A$3002,"&gt;="&amp;DATE($B$3,1,1),업무일지!$A$3:$A$3002,"&lt;="&amp;DATE($B$3,12,31)),2))</f>
        <v/>
      </c>
      <c r="G9" s="40" t="str">
        <f>IF(OR($A9="",G$5=""),"",ROUND(SUMIFS(업무일지!$I$3:$I$3002,업무일지!$C$3:$C$3002,프로젝트목록!$A6,업무일지!$B$3:$B$3002,G$5,업무일지!$A$3:$A$3002,"&gt;="&amp;DATE($B$3,1,1),업무일지!$A$3:$A$3002,"&lt;="&amp;DATE($B$3,12,31)),2))</f>
        <v/>
      </c>
      <c r="H9" s="40" t="str">
        <f>IF(OR($A9="",H$5=""),"",ROUND(SUMIFS(업무일지!$I$3:$I$3002,업무일지!$C$3:$C$3002,프로젝트목록!$A6,업무일지!$B$3:$B$3002,H$5,업무일지!$A$3:$A$3002,"&gt;="&amp;DATE($B$3,1,1),업무일지!$A$3:$A$3002,"&lt;="&amp;DATE($B$3,12,31)),2))</f>
        <v/>
      </c>
      <c r="I9" s="40" t="str">
        <f>IF(OR($A9="",I$5=""),"",ROUND(SUMIFS(업무일지!$I$3:$I$3002,업무일지!$C$3:$C$3002,프로젝트목록!$A6,업무일지!$B$3:$B$3002,I$5,업무일지!$A$3:$A$3002,"&gt;="&amp;DATE($B$3,1,1),업무일지!$A$3:$A$3002,"&lt;="&amp;DATE($B$3,12,31)),2))</f>
        <v/>
      </c>
      <c r="J9" s="40" t="str">
        <f>IF(OR($A9="",J$5=""),"",ROUND(SUMIFS(업무일지!$I$3:$I$3002,업무일지!$C$3:$C$3002,프로젝트목록!$A6,업무일지!$B$3:$B$3002,J$5,업무일지!$A$3:$A$3002,"&gt;="&amp;DATE($B$3,1,1),업무일지!$A$3:$A$3002,"&lt;="&amp;DATE($B$3,12,31)),2))</f>
        <v/>
      </c>
      <c r="K9" s="40" t="str">
        <f>IF(OR($A9="",K$5=""),"",ROUND(SUMIFS(업무일지!$I$3:$I$3002,업무일지!$C$3:$C$3002,프로젝트목록!$A6,업무일지!$B$3:$B$3002,K$5,업무일지!$A$3:$A$3002,"&gt;="&amp;DATE($B$3,1,1),업무일지!$A$3:$A$3002,"&lt;="&amp;DATE($B$3,12,31)),2))</f>
        <v/>
      </c>
      <c r="L9" s="44" t="str">
        <f>IF($A9="","",ROUND(SUM(B9:K9),2))</f>
        <v/>
      </c>
    </row>
    <row r="10" ht="15" customHeight="1" s="26">
      <c r="A10" s="37" t="str">
        <f>IF(프로젝트목록!$A7="","",프로젝트목록!$B7)</f>
        <v/>
      </c>
      <c r="B10" s="40" t="str">
        <f>IF(OR($A10="",B$5=""),"",ROUND(SUMIFS(업무일지!$I$3:$I$3002,업무일지!$C$3:$C$3002,프로젝트목록!$A7,업무일지!$B$3:$B$3002,B$5,업무일지!$A$3:$A$3002,"&gt;="&amp;DATE($B$3,1,1),업무일지!$A$3:$A$3002,"&lt;="&amp;DATE($B$3,12,31)),2))</f>
        <v/>
      </c>
      <c r="C10" s="40" t="str">
        <f>IF(OR($A10="",C$5=""),"",ROUND(SUMIFS(업무일지!$I$3:$I$3002,업무일지!$C$3:$C$3002,프로젝트목록!$A7,업무일지!$B$3:$B$3002,C$5,업무일지!$A$3:$A$3002,"&gt;="&amp;DATE($B$3,1,1),업무일지!$A$3:$A$3002,"&lt;="&amp;DATE($B$3,12,31)),2))</f>
        <v/>
      </c>
      <c r="D10" s="40" t="str">
        <f>IF(OR($A10="",D$5=""),"",ROUND(SUMIFS(업무일지!$I$3:$I$3002,업무일지!$C$3:$C$3002,프로젝트목록!$A7,업무일지!$B$3:$B$3002,D$5,업무일지!$A$3:$A$3002,"&gt;="&amp;DATE($B$3,1,1),업무일지!$A$3:$A$3002,"&lt;="&amp;DATE($B$3,12,31)),2))</f>
        <v/>
      </c>
      <c r="E10" s="40" t="str">
        <f>IF(OR($A10="",E$5=""),"",ROUND(SUMIFS(업무일지!$I$3:$I$3002,업무일지!$C$3:$C$3002,프로젝트목록!$A7,업무일지!$B$3:$B$3002,E$5,업무일지!$A$3:$A$3002,"&gt;="&amp;DATE($B$3,1,1),업무일지!$A$3:$A$3002,"&lt;="&amp;DATE($B$3,12,31)),2))</f>
        <v/>
      </c>
      <c r="F10" s="40" t="str">
        <f>IF(OR($A10="",F$5=""),"",ROUND(SUMIFS(업무일지!$I$3:$I$3002,업무일지!$C$3:$C$3002,프로젝트목록!$A7,업무일지!$B$3:$B$3002,F$5,업무일지!$A$3:$A$3002,"&gt;="&amp;DATE($B$3,1,1),업무일지!$A$3:$A$3002,"&lt;="&amp;DATE($B$3,12,31)),2))</f>
        <v/>
      </c>
      <c r="G10" s="40" t="str">
        <f>IF(OR($A10="",G$5=""),"",ROUND(SUMIFS(업무일지!$I$3:$I$3002,업무일지!$C$3:$C$3002,프로젝트목록!$A7,업무일지!$B$3:$B$3002,G$5,업무일지!$A$3:$A$3002,"&gt;="&amp;DATE($B$3,1,1),업무일지!$A$3:$A$3002,"&lt;="&amp;DATE($B$3,12,31)),2))</f>
        <v/>
      </c>
      <c r="H10" s="40" t="str">
        <f>IF(OR($A10="",H$5=""),"",ROUND(SUMIFS(업무일지!$I$3:$I$3002,업무일지!$C$3:$C$3002,프로젝트목록!$A7,업무일지!$B$3:$B$3002,H$5,업무일지!$A$3:$A$3002,"&gt;="&amp;DATE($B$3,1,1),업무일지!$A$3:$A$3002,"&lt;="&amp;DATE($B$3,12,31)),2))</f>
        <v/>
      </c>
      <c r="I10" s="40" t="str">
        <f>IF(OR($A10="",I$5=""),"",ROUND(SUMIFS(업무일지!$I$3:$I$3002,업무일지!$C$3:$C$3002,프로젝트목록!$A7,업무일지!$B$3:$B$3002,I$5,업무일지!$A$3:$A$3002,"&gt;="&amp;DATE($B$3,1,1),업무일지!$A$3:$A$3002,"&lt;="&amp;DATE($B$3,12,31)),2))</f>
        <v/>
      </c>
      <c r="J10" s="40" t="str">
        <f>IF(OR($A10="",J$5=""),"",ROUND(SUMIFS(업무일지!$I$3:$I$3002,업무일지!$C$3:$C$3002,프로젝트목록!$A7,업무일지!$B$3:$B$3002,J$5,업무일지!$A$3:$A$3002,"&gt;="&amp;DATE($B$3,1,1),업무일지!$A$3:$A$3002,"&lt;="&amp;DATE($B$3,12,31)),2))</f>
        <v/>
      </c>
      <c r="K10" s="40" t="str">
        <f>IF(OR($A10="",K$5=""),"",ROUND(SUMIFS(업무일지!$I$3:$I$3002,업무일지!$C$3:$C$3002,프로젝트목록!$A7,업무일지!$B$3:$B$3002,K$5,업무일지!$A$3:$A$3002,"&gt;="&amp;DATE($B$3,1,1),업무일지!$A$3:$A$3002,"&lt;="&amp;DATE($B$3,12,31)),2))</f>
        <v/>
      </c>
      <c r="L10" s="44" t="str">
        <f>IF($A10="","",ROUND(SUM(B10:K10),2))</f>
        <v/>
      </c>
    </row>
    <row r="11" ht="15" customHeight="1" s="26">
      <c r="A11" s="37" t="str">
        <f>IF(프로젝트목록!$A8="","",프로젝트목록!$B8)</f>
        <v/>
      </c>
      <c r="B11" s="40" t="str">
        <f>IF(OR($A11="",B$5=""),"",ROUND(SUMIFS(업무일지!$I$3:$I$3002,업무일지!$C$3:$C$3002,프로젝트목록!$A8,업무일지!$B$3:$B$3002,B$5,업무일지!$A$3:$A$3002,"&gt;="&amp;DATE($B$3,1,1),업무일지!$A$3:$A$3002,"&lt;="&amp;DATE($B$3,12,31)),2))</f>
        <v/>
      </c>
      <c r="C11" s="40" t="str">
        <f>IF(OR($A11="",C$5=""),"",ROUND(SUMIFS(업무일지!$I$3:$I$3002,업무일지!$C$3:$C$3002,프로젝트목록!$A8,업무일지!$B$3:$B$3002,C$5,업무일지!$A$3:$A$3002,"&gt;="&amp;DATE($B$3,1,1),업무일지!$A$3:$A$3002,"&lt;="&amp;DATE($B$3,12,31)),2))</f>
        <v/>
      </c>
      <c r="D11" s="40" t="str">
        <f>IF(OR($A11="",D$5=""),"",ROUND(SUMIFS(업무일지!$I$3:$I$3002,업무일지!$C$3:$C$3002,프로젝트목록!$A8,업무일지!$B$3:$B$3002,D$5,업무일지!$A$3:$A$3002,"&gt;="&amp;DATE($B$3,1,1),업무일지!$A$3:$A$3002,"&lt;="&amp;DATE($B$3,12,31)),2))</f>
        <v/>
      </c>
      <c r="E11" s="40" t="str">
        <f>IF(OR($A11="",E$5=""),"",ROUND(SUMIFS(업무일지!$I$3:$I$3002,업무일지!$C$3:$C$3002,프로젝트목록!$A8,업무일지!$B$3:$B$3002,E$5,업무일지!$A$3:$A$3002,"&gt;="&amp;DATE($B$3,1,1),업무일지!$A$3:$A$3002,"&lt;="&amp;DATE($B$3,12,31)),2))</f>
        <v/>
      </c>
      <c r="F11" s="40" t="str">
        <f>IF(OR($A11="",F$5=""),"",ROUND(SUMIFS(업무일지!$I$3:$I$3002,업무일지!$C$3:$C$3002,프로젝트목록!$A8,업무일지!$B$3:$B$3002,F$5,업무일지!$A$3:$A$3002,"&gt;="&amp;DATE($B$3,1,1),업무일지!$A$3:$A$3002,"&lt;="&amp;DATE($B$3,12,31)),2))</f>
        <v/>
      </c>
      <c r="G11" s="40" t="str">
        <f>IF(OR($A11="",G$5=""),"",ROUND(SUMIFS(업무일지!$I$3:$I$3002,업무일지!$C$3:$C$3002,프로젝트목록!$A8,업무일지!$B$3:$B$3002,G$5,업무일지!$A$3:$A$3002,"&gt;="&amp;DATE($B$3,1,1),업무일지!$A$3:$A$3002,"&lt;="&amp;DATE($B$3,12,31)),2))</f>
        <v/>
      </c>
      <c r="H11" s="40" t="str">
        <f>IF(OR($A11="",H$5=""),"",ROUND(SUMIFS(업무일지!$I$3:$I$3002,업무일지!$C$3:$C$3002,프로젝트목록!$A8,업무일지!$B$3:$B$3002,H$5,업무일지!$A$3:$A$3002,"&gt;="&amp;DATE($B$3,1,1),업무일지!$A$3:$A$3002,"&lt;="&amp;DATE($B$3,12,31)),2))</f>
        <v/>
      </c>
      <c r="I11" s="40" t="str">
        <f>IF(OR($A11="",I$5=""),"",ROUND(SUMIFS(업무일지!$I$3:$I$3002,업무일지!$C$3:$C$3002,프로젝트목록!$A8,업무일지!$B$3:$B$3002,I$5,업무일지!$A$3:$A$3002,"&gt;="&amp;DATE($B$3,1,1),업무일지!$A$3:$A$3002,"&lt;="&amp;DATE($B$3,12,31)),2))</f>
        <v/>
      </c>
      <c r="J11" s="40" t="str">
        <f>IF(OR($A11="",J$5=""),"",ROUND(SUMIFS(업무일지!$I$3:$I$3002,업무일지!$C$3:$C$3002,프로젝트목록!$A8,업무일지!$B$3:$B$3002,J$5,업무일지!$A$3:$A$3002,"&gt;="&amp;DATE($B$3,1,1),업무일지!$A$3:$A$3002,"&lt;="&amp;DATE($B$3,12,31)),2))</f>
        <v/>
      </c>
      <c r="K11" s="40" t="str">
        <f>IF(OR($A11="",K$5=""),"",ROUND(SUMIFS(업무일지!$I$3:$I$3002,업무일지!$C$3:$C$3002,프로젝트목록!$A8,업무일지!$B$3:$B$3002,K$5,업무일지!$A$3:$A$3002,"&gt;="&amp;DATE($B$3,1,1),업무일지!$A$3:$A$3002,"&lt;="&amp;DATE($B$3,12,31)),2))</f>
        <v/>
      </c>
      <c r="L11" s="44" t="str">
        <f>IF($A11="","",ROUND(SUM(B11:K11),2))</f>
        <v/>
      </c>
    </row>
    <row r="12" ht="15" customHeight="1" s="26">
      <c r="A12" s="37" t="str">
        <f>IF(프로젝트목록!$A9="","",프로젝트목록!$B9)</f>
        <v/>
      </c>
      <c r="B12" s="40" t="str">
        <f>IF(OR($A12="",B$5=""),"",ROUND(SUMIFS(업무일지!$I$3:$I$3002,업무일지!$C$3:$C$3002,프로젝트목록!$A9,업무일지!$B$3:$B$3002,B$5,업무일지!$A$3:$A$3002,"&gt;="&amp;DATE($B$3,1,1),업무일지!$A$3:$A$3002,"&lt;="&amp;DATE($B$3,12,31)),2))</f>
        <v/>
      </c>
      <c r="C12" s="40" t="str">
        <f>IF(OR($A12="",C$5=""),"",ROUND(SUMIFS(업무일지!$I$3:$I$3002,업무일지!$C$3:$C$3002,프로젝트목록!$A9,업무일지!$B$3:$B$3002,C$5,업무일지!$A$3:$A$3002,"&gt;="&amp;DATE($B$3,1,1),업무일지!$A$3:$A$3002,"&lt;="&amp;DATE($B$3,12,31)),2))</f>
        <v/>
      </c>
      <c r="D12" s="40" t="str">
        <f>IF(OR($A12="",D$5=""),"",ROUND(SUMIFS(업무일지!$I$3:$I$3002,업무일지!$C$3:$C$3002,프로젝트목록!$A9,업무일지!$B$3:$B$3002,D$5,업무일지!$A$3:$A$3002,"&gt;="&amp;DATE($B$3,1,1),업무일지!$A$3:$A$3002,"&lt;="&amp;DATE($B$3,12,31)),2))</f>
        <v/>
      </c>
      <c r="E12" s="40" t="str">
        <f>IF(OR($A12="",E$5=""),"",ROUND(SUMIFS(업무일지!$I$3:$I$3002,업무일지!$C$3:$C$3002,프로젝트목록!$A9,업무일지!$B$3:$B$3002,E$5,업무일지!$A$3:$A$3002,"&gt;="&amp;DATE($B$3,1,1),업무일지!$A$3:$A$3002,"&lt;="&amp;DATE($B$3,12,31)),2))</f>
        <v/>
      </c>
      <c r="F12" s="40" t="str">
        <f>IF(OR($A12="",F$5=""),"",ROUND(SUMIFS(업무일지!$I$3:$I$3002,업무일지!$C$3:$C$3002,프로젝트목록!$A9,업무일지!$B$3:$B$3002,F$5,업무일지!$A$3:$A$3002,"&gt;="&amp;DATE($B$3,1,1),업무일지!$A$3:$A$3002,"&lt;="&amp;DATE($B$3,12,31)),2))</f>
        <v/>
      </c>
      <c r="G12" s="40" t="str">
        <f>IF(OR($A12="",G$5=""),"",ROUND(SUMIFS(업무일지!$I$3:$I$3002,업무일지!$C$3:$C$3002,프로젝트목록!$A9,업무일지!$B$3:$B$3002,G$5,업무일지!$A$3:$A$3002,"&gt;="&amp;DATE($B$3,1,1),업무일지!$A$3:$A$3002,"&lt;="&amp;DATE($B$3,12,31)),2))</f>
        <v/>
      </c>
      <c r="H12" s="40" t="str">
        <f>IF(OR($A12="",H$5=""),"",ROUND(SUMIFS(업무일지!$I$3:$I$3002,업무일지!$C$3:$C$3002,프로젝트목록!$A9,업무일지!$B$3:$B$3002,H$5,업무일지!$A$3:$A$3002,"&gt;="&amp;DATE($B$3,1,1),업무일지!$A$3:$A$3002,"&lt;="&amp;DATE($B$3,12,31)),2))</f>
        <v/>
      </c>
      <c r="I12" s="40" t="str">
        <f>IF(OR($A12="",I$5=""),"",ROUND(SUMIFS(업무일지!$I$3:$I$3002,업무일지!$C$3:$C$3002,프로젝트목록!$A9,업무일지!$B$3:$B$3002,I$5,업무일지!$A$3:$A$3002,"&gt;="&amp;DATE($B$3,1,1),업무일지!$A$3:$A$3002,"&lt;="&amp;DATE($B$3,12,31)),2))</f>
        <v/>
      </c>
      <c r="J12" s="40" t="str">
        <f>IF(OR($A12="",J$5=""),"",ROUND(SUMIFS(업무일지!$I$3:$I$3002,업무일지!$C$3:$C$3002,프로젝트목록!$A9,업무일지!$B$3:$B$3002,J$5,업무일지!$A$3:$A$3002,"&gt;="&amp;DATE($B$3,1,1),업무일지!$A$3:$A$3002,"&lt;="&amp;DATE($B$3,12,31)),2))</f>
        <v/>
      </c>
      <c r="K12" s="40" t="str">
        <f>IF(OR($A12="",K$5=""),"",ROUND(SUMIFS(업무일지!$I$3:$I$3002,업무일지!$C$3:$C$3002,프로젝트목록!$A9,업무일지!$B$3:$B$3002,K$5,업무일지!$A$3:$A$3002,"&gt;="&amp;DATE($B$3,1,1),업무일지!$A$3:$A$3002,"&lt;="&amp;DATE($B$3,12,31)),2))</f>
        <v/>
      </c>
      <c r="L12" s="44" t="str">
        <f>IF($A12="","",ROUND(SUM(B12:K12),2))</f>
        <v/>
      </c>
    </row>
    <row r="13" ht="15" customHeight="1" s="26">
      <c r="A13" s="37" t="str">
        <f>IF(프로젝트목록!$A10="","",프로젝트목록!$B10)</f>
        <v/>
      </c>
      <c r="B13" s="40" t="str">
        <f>IF(OR($A13="",B$5=""),"",ROUND(SUMIFS(업무일지!$I$3:$I$3002,업무일지!$C$3:$C$3002,프로젝트목록!$A10,업무일지!$B$3:$B$3002,B$5,업무일지!$A$3:$A$3002,"&gt;="&amp;DATE($B$3,1,1),업무일지!$A$3:$A$3002,"&lt;="&amp;DATE($B$3,12,31)),2))</f>
        <v/>
      </c>
      <c r="C13" s="40" t="str">
        <f>IF(OR($A13="",C$5=""),"",ROUND(SUMIFS(업무일지!$I$3:$I$3002,업무일지!$C$3:$C$3002,프로젝트목록!$A10,업무일지!$B$3:$B$3002,C$5,업무일지!$A$3:$A$3002,"&gt;="&amp;DATE($B$3,1,1),업무일지!$A$3:$A$3002,"&lt;="&amp;DATE($B$3,12,31)),2))</f>
        <v/>
      </c>
      <c r="D13" s="40" t="str">
        <f>IF(OR($A13="",D$5=""),"",ROUND(SUMIFS(업무일지!$I$3:$I$3002,업무일지!$C$3:$C$3002,프로젝트목록!$A10,업무일지!$B$3:$B$3002,D$5,업무일지!$A$3:$A$3002,"&gt;="&amp;DATE($B$3,1,1),업무일지!$A$3:$A$3002,"&lt;="&amp;DATE($B$3,12,31)),2))</f>
        <v/>
      </c>
      <c r="E13" s="40" t="str">
        <f>IF(OR($A13="",E$5=""),"",ROUND(SUMIFS(업무일지!$I$3:$I$3002,업무일지!$C$3:$C$3002,프로젝트목록!$A10,업무일지!$B$3:$B$3002,E$5,업무일지!$A$3:$A$3002,"&gt;="&amp;DATE($B$3,1,1),업무일지!$A$3:$A$3002,"&lt;="&amp;DATE($B$3,12,31)),2))</f>
        <v/>
      </c>
      <c r="F13" s="40" t="str">
        <f>IF(OR($A13="",F$5=""),"",ROUND(SUMIFS(업무일지!$I$3:$I$3002,업무일지!$C$3:$C$3002,프로젝트목록!$A10,업무일지!$B$3:$B$3002,F$5,업무일지!$A$3:$A$3002,"&gt;="&amp;DATE($B$3,1,1),업무일지!$A$3:$A$3002,"&lt;="&amp;DATE($B$3,12,31)),2))</f>
        <v/>
      </c>
      <c r="G13" s="40" t="str">
        <f>IF(OR($A13="",G$5=""),"",ROUND(SUMIFS(업무일지!$I$3:$I$3002,업무일지!$C$3:$C$3002,프로젝트목록!$A10,업무일지!$B$3:$B$3002,G$5,업무일지!$A$3:$A$3002,"&gt;="&amp;DATE($B$3,1,1),업무일지!$A$3:$A$3002,"&lt;="&amp;DATE($B$3,12,31)),2))</f>
        <v/>
      </c>
      <c r="H13" s="40" t="str">
        <f>IF(OR($A13="",H$5=""),"",ROUND(SUMIFS(업무일지!$I$3:$I$3002,업무일지!$C$3:$C$3002,프로젝트목록!$A10,업무일지!$B$3:$B$3002,H$5,업무일지!$A$3:$A$3002,"&gt;="&amp;DATE($B$3,1,1),업무일지!$A$3:$A$3002,"&lt;="&amp;DATE($B$3,12,31)),2))</f>
        <v/>
      </c>
      <c r="I13" s="40" t="str">
        <f>IF(OR($A13="",I$5=""),"",ROUND(SUMIFS(업무일지!$I$3:$I$3002,업무일지!$C$3:$C$3002,프로젝트목록!$A10,업무일지!$B$3:$B$3002,I$5,업무일지!$A$3:$A$3002,"&gt;="&amp;DATE($B$3,1,1),업무일지!$A$3:$A$3002,"&lt;="&amp;DATE($B$3,12,31)),2))</f>
        <v/>
      </c>
      <c r="J13" s="40" t="str">
        <f>IF(OR($A13="",J$5=""),"",ROUND(SUMIFS(업무일지!$I$3:$I$3002,업무일지!$C$3:$C$3002,프로젝트목록!$A10,업무일지!$B$3:$B$3002,J$5,업무일지!$A$3:$A$3002,"&gt;="&amp;DATE($B$3,1,1),업무일지!$A$3:$A$3002,"&lt;="&amp;DATE($B$3,12,31)),2))</f>
        <v/>
      </c>
      <c r="K13" s="40" t="str">
        <f>IF(OR($A13="",K$5=""),"",ROUND(SUMIFS(업무일지!$I$3:$I$3002,업무일지!$C$3:$C$3002,프로젝트목록!$A10,업무일지!$B$3:$B$3002,K$5,업무일지!$A$3:$A$3002,"&gt;="&amp;DATE($B$3,1,1),업무일지!$A$3:$A$3002,"&lt;="&amp;DATE($B$3,12,31)),2))</f>
        <v/>
      </c>
      <c r="L13" s="44" t="str">
        <f>IF($A13="","",ROUND(SUM(B13:K13),2))</f>
        <v/>
      </c>
    </row>
    <row r="14" ht="15" customHeight="1" s="26">
      <c r="A14" s="37" t="str">
        <f>IF(프로젝트목록!$A11="","",프로젝트목록!$B11)</f>
        <v/>
      </c>
      <c r="B14" s="40" t="str">
        <f>IF(OR($A14="",B$5=""),"",ROUND(SUMIFS(업무일지!$I$3:$I$3002,업무일지!$C$3:$C$3002,프로젝트목록!$A11,업무일지!$B$3:$B$3002,B$5,업무일지!$A$3:$A$3002,"&gt;="&amp;DATE($B$3,1,1),업무일지!$A$3:$A$3002,"&lt;="&amp;DATE($B$3,12,31)),2))</f>
        <v/>
      </c>
      <c r="C14" s="40" t="str">
        <f>IF(OR($A14="",C$5=""),"",ROUND(SUMIFS(업무일지!$I$3:$I$3002,업무일지!$C$3:$C$3002,프로젝트목록!$A11,업무일지!$B$3:$B$3002,C$5,업무일지!$A$3:$A$3002,"&gt;="&amp;DATE($B$3,1,1),업무일지!$A$3:$A$3002,"&lt;="&amp;DATE($B$3,12,31)),2))</f>
        <v/>
      </c>
      <c r="D14" s="40" t="str">
        <f>IF(OR($A14="",D$5=""),"",ROUND(SUMIFS(업무일지!$I$3:$I$3002,업무일지!$C$3:$C$3002,프로젝트목록!$A11,업무일지!$B$3:$B$3002,D$5,업무일지!$A$3:$A$3002,"&gt;="&amp;DATE($B$3,1,1),업무일지!$A$3:$A$3002,"&lt;="&amp;DATE($B$3,12,31)),2))</f>
        <v/>
      </c>
      <c r="E14" s="40" t="str">
        <f>IF(OR($A14="",E$5=""),"",ROUND(SUMIFS(업무일지!$I$3:$I$3002,업무일지!$C$3:$C$3002,프로젝트목록!$A11,업무일지!$B$3:$B$3002,E$5,업무일지!$A$3:$A$3002,"&gt;="&amp;DATE($B$3,1,1),업무일지!$A$3:$A$3002,"&lt;="&amp;DATE($B$3,12,31)),2))</f>
        <v/>
      </c>
      <c r="F14" s="40" t="str">
        <f>IF(OR($A14="",F$5=""),"",ROUND(SUMIFS(업무일지!$I$3:$I$3002,업무일지!$C$3:$C$3002,프로젝트목록!$A11,업무일지!$B$3:$B$3002,F$5,업무일지!$A$3:$A$3002,"&gt;="&amp;DATE($B$3,1,1),업무일지!$A$3:$A$3002,"&lt;="&amp;DATE($B$3,12,31)),2))</f>
        <v/>
      </c>
      <c r="G14" s="40" t="str">
        <f>IF(OR($A14="",G$5=""),"",ROUND(SUMIFS(업무일지!$I$3:$I$3002,업무일지!$C$3:$C$3002,프로젝트목록!$A11,업무일지!$B$3:$B$3002,G$5,업무일지!$A$3:$A$3002,"&gt;="&amp;DATE($B$3,1,1),업무일지!$A$3:$A$3002,"&lt;="&amp;DATE($B$3,12,31)),2))</f>
        <v/>
      </c>
      <c r="H14" s="40" t="str">
        <f>IF(OR($A14="",H$5=""),"",ROUND(SUMIFS(업무일지!$I$3:$I$3002,업무일지!$C$3:$C$3002,프로젝트목록!$A11,업무일지!$B$3:$B$3002,H$5,업무일지!$A$3:$A$3002,"&gt;="&amp;DATE($B$3,1,1),업무일지!$A$3:$A$3002,"&lt;="&amp;DATE($B$3,12,31)),2))</f>
        <v/>
      </c>
      <c r="I14" s="40" t="str">
        <f>IF(OR($A14="",I$5=""),"",ROUND(SUMIFS(업무일지!$I$3:$I$3002,업무일지!$C$3:$C$3002,프로젝트목록!$A11,업무일지!$B$3:$B$3002,I$5,업무일지!$A$3:$A$3002,"&gt;="&amp;DATE($B$3,1,1),업무일지!$A$3:$A$3002,"&lt;="&amp;DATE($B$3,12,31)),2))</f>
        <v/>
      </c>
      <c r="J14" s="40" t="str">
        <f>IF(OR($A14="",J$5=""),"",ROUND(SUMIFS(업무일지!$I$3:$I$3002,업무일지!$C$3:$C$3002,프로젝트목록!$A11,업무일지!$B$3:$B$3002,J$5,업무일지!$A$3:$A$3002,"&gt;="&amp;DATE($B$3,1,1),업무일지!$A$3:$A$3002,"&lt;="&amp;DATE($B$3,12,31)),2))</f>
        <v/>
      </c>
      <c r="K14" s="40" t="str">
        <f>IF(OR($A14="",K$5=""),"",ROUND(SUMIFS(업무일지!$I$3:$I$3002,업무일지!$C$3:$C$3002,프로젝트목록!$A11,업무일지!$B$3:$B$3002,K$5,업무일지!$A$3:$A$3002,"&gt;="&amp;DATE($B$3,1,1),업무일지!$A$3:$A$3002,"&lt;="&amp;DATE($B$3,12,31)),2))</f>
        <v/>
      </c>
      <c r="L14" s="44" t="str">
        <f>IF($A14="","",ROUND(SUM(B14:K14),2))</f>
        <v/>
      </c>
    </row>
    <row r="15" ht="15" customHeight="1" s="26">
      <c r="A15" s="37" t="str">
        <f>IF(프로젝트목록!$A12="","",프로젝트목록!$B12)</f>
        <v/>
      </c>
      <c r="B15" s="40" t="str">
        <f>IF(OR($A15="",B$5=""),"",ROUND(SUMIFS(업무일지!$I$3:$I$3002,업무일지!$C$3:$C$3002,프로젝트목록!$A12,업무일지!$B$3:$B$3002,B$5,업무일지!$A$3:$A$3002,"&gt;="&amp;DATE($B$3,1,1),업무일지!$A$3:$A$3002,"&lt;="&amp;DATE($B$3,12,31)),2))</f>
        <v/>
      </c>
      <c r="C15" s="40" t="str">
        <f>IF(OR($A15="",C$5=""),"",ROUND(SUMIFS(업무일지!$I$3:$I$3002,업무일지!$C$3:$C$3002,프로젝트목록!$A12,업무일지!$B$3:$B$3002,C$5,업무일지!$A$3:$A$3002,"&gt;="&amp;DATE($B$3,1,1),업무일지!$A$3:$A$3002,"&lt;="&amp;DATE($B$3,12,31)),2))</f>
        <v/>
      </c>
      <c r="D15" s="40" t="str">
        <f>IF(OR($A15="",D$5=""),"",ROUND(SUMIFS(업무일지!$I$3:$I$3002,업무일지!$C$3:$C$3002,프로젝트목록!$A12,업무일지!$B$3:$B$3002,D$5,업무일지!$A$3:$A$3002,"&gt;="&amp;DATE($B$3,1,1),업무일지!$A$3:$A$3002,"&lt;="&amp;DATE($B$3,12,31)),2))</f>
        <v/>
      </c>
      <c r="E15" s="40" t="str">
        <f>IF(OR($A15="",E$5=""),"",ROUND(SUMIFS(업무일지!$I$3:$I$3002,업무일지!$C$3:$C$3002,프로젝트목록!$A12,업무일지!$B$3:$B$3002,E$5,업무일지!$A$3:$A$3002,"&gt;="&amp;DATE($B$3,1,1),업무일지!$A$3:$A$3002,"&lt;="&amp;DATE($B$3,12,31)),2))</f>
        <v/>
      </c>
      <c r="F15" s="40" t="str">
        <f>IF(OR($A15="",F$5=""),"",ROUND(SUMIFS(업무일지!$I$3:$I$3002,업무일지!$C$3:$C$3002,프로젝트목록!$A12,업무일지!$B$3:$B$3002,F$5,업무일지!$A$3:$A$3002,"&gt;="&amp;DATE($B$3,1,1),업무일지!$A$3:$A$3002,"&lt;="&amp;DATE($B$3,12,31)),2))</f>
        <v/>
      </c>
      <c r="G15" s="40" t="str">
        <f>IF(OR($A15="",G$5=""),"",ROUND(SUMIFS(업무일지!$I$3:$I$3002,업무일지!$C$3:$C$3002,프로젝트목록!$A12,업무일지!$B$3:$B$3002,G$5,업무일지!$A$3:$A$3002,"&gt;="&amp;DATE($B$3,1,1),업무일지!$A$3:$A$3002,"&lt;="&amp;DATE($B$3,12,31)),2))</f>
        <v/>
      </c>
      <c r="H15" s="40" t="str">
        <f>IF(OR($A15="",H$5=""),"",ROUND(SUMIFS(업무일지!$I$3:$I$3002,업무일지!$C$3:$C$3002,프로젝트목록!$A12,업무일지!$B$3:$B$3002,H$5,업무일지!$A$3:$A$3002,"&gt;="&amp;DATE($B$3,1,1),업무일지!$A$3:$A$3002,"&lt;="&amp;DATE($B$3,12,31)),2))</f>
        <v/>
      </c>
      <c r="I15" s="40" t="str">
        <f>IF(OR($A15="",I$5=""),"",ROUND(SUMIFS(업무일지!$I$3:$I$3002,업무일지!$C$3:$C$3002,프로젝트목록!$A12,업무일지!$B$3:$B$3002,I$5,업무일지!$A$3:$A$3002,"&gt;="&amp;DATE($B$3,1,1),업무일지!$A$3:$A$3002,"&lt;="&amp;DATE($B$3,12,31)),2))</f>
        <v/>
      </c>
      <c r="J15" s="40" t="str">
        <f>IF(OR($A15="",J$5=""),"",ROUND(SUMIFS(업무일지!$I$3:$I$3002,업무일지!$C$3:$C$3002,프로젝트목록!$A12,업무일지!$B$3:$B$3002,J$5,업무일지!$A$3:$A$3002,"&gt;="&amp;DATE($B$3,1,1),업무일지!$A$3:$A$3002,"&lt;="&amp;DATE($B$3,12,31)),2))</f>
        <v/>
      </c>
      <c r="K15" s="40" t="str">
        <f>IF(OR($A15="",K$5=""),"",ROUND(SUMIFS(업무일지!$I$3:$I$3002,업무일지!$C$3:$C$3002,프로젝트목록!$A12,업무일지!$B$3:$B$3002,K$5,업무일지!$A$3:$A$3002,"&gt;="&amp;DATE($B$3,1,1),업무일지!$A$3:$A$3002,"&lt;="&amp;DATE($B$3,12,31)),2))</f>
        <v/>
      </c>
      <c r="L15" s="44" t="str">
        <f>IF($A15="","",ROUND(SUM(B15:K15),2))</f>
        <v/>
      </c>
    </row>
    <row r="16" ht="15" customHeight="1" s="26">
      <c r="A16" s="37" t="str">
        <f>IF(프로젝트목록!$A13="","",프로젝트목록!$B13)</f>
        <v/>
      </c>
      <c r="B16" s="40" t="str">
        <f>IF(OR($A16="",B$5=""),"",ROUND(SUMIFS(업무일지!$I$3:$I$3002,업무일지!$C$3:$C$3002,프로젝트목록!$A13,업무일지!$B$3:$B$3002,B$5,업무일지!$A$3:$A$3002,"&gt;="&amp;DATE($B$3,1,1),업무일지!$A$3:$A$3002,"&lt;="&amp;DATE($B$3,12,31)),2))</f>
        <v/>
      </c>
      <c r="C16" s="40" t="str">
        <f>IF(OR($A16="",C$5=""),"",ROUND(SUMIFS(업무일지!$I$3:$I$3002,업무일지!$C$3:$C$3002,프로젝트목록!$A13,업무일지!$B$3:$B$3002,C$5,업무일지!$A$3:$A$3002,"&gt;="&amp;DATE($B$3,1,1),업무일지!$A$3:$A$3002,"&lt;="&amp;DATE($B$3,12,31)),2))</f>
        <v/>
      </c>
      <c r="D16" s="40" t="str">
        <f>IF(OR($A16="",D$5=""),"",ROUND(SUMIFS(업무일지!$I$3:$I$3002,업무일지!$C$3:$C$3002,프로젝트목록!$A13,업무일지!$B$3:$B$3002,D$5,업무일지!$A$3:$A$3002,"&gt;="&amp;DATE($B$3,1,1),업무일지!$A$3:$A$3002,"&lt;="&amp;DATE($B$3,12,31)),2))</f>
        <v/>
      </c>
      <c r="E16" s="40" t="str">
        <f>IF(OR($A16="",E$5=""),"",ROUND(SUMIFS(업무일지!$I$3:$I$3002,업무일지!$C$3:$C$3002,프로젝트목록!$A13,업무일지!$B$3:$B$3002,E$5,업무일지!$A$3:$A$3002,"&gt;="&amp;DATE($B$3,1,1),업무일지!$A$3:$A$3002,"&lt;="&amp;DATE($B$3,12,31)),2))</f>
        <v/>
      </c>
      <c r="F16" s="40" t="str">
        <f>IF(OR($A16="",F$5=""),"",ROUND(SUMIFS(업무일지!$I$3:$I$3002,업무일지!$C$3:$C$3002,프로젝트목록!$A13,업무일지!$B$3:$B$3002,F$5,업무일지!$A$3:$A$3002,"&gt;="&amp;DATE($B$3,1,1),업무일지!$A$3:$A$3002,"&lt;="&amp;DATE($B$3,12,31)),2))</f>
        <v/>
      </c>
      <c r="G16" s="40" t="str">
        <f>IF(OR($A16="",G$5=""),"",ROUND(SUMIFS(업무일지!$I$3:$I$3002,업무일지!$C$3:$C$3002,프로젝트목록!$A13,업무일지!$B$3:$B$3002,G$5,업무일지!$A$3:$A$3002,"&gt;="&amp;DATE($B$3,1,1),업무일지!$A$3:$A$3002,"&lt;="&amp;DATE($B$3,12,31)),2))</f>
        <v/>
      </c>
      <c r="H16" s="40" t="str">
        <f>IF(OR($A16="",H$5=""),"",ROUND(SUMIFS(업무일지!$I$3:$I$3002,업무일지!$C$3:$C$3002,프로젝트목록!$A13,업무일지!$B$3:$B$3002,H$5,업무일지!$A$3:$A$3002,"&gt;="&amp;DATE($B$3,1,1),업무일지!$A$3:$A$3002,"&lt;="&amp;DATE($B$3,12,31)),2))</f>
        <v/>
      </c>
      <c r="I16" s="40" t="str">
        <f>IF(OR($A16="",I$5=""),"",ROUND(SUMIFS(업무일지!$I$3:$I$3002,업무일지!$C$3:$C$3002,프로젝트목록!$A13,업무일지!$B$3:$B$3002,I$5,업무일지!$A$3:$A$3002,"&gt;="&amp;DATE($B$3,1,1),업무일지!$A$3:$A$3002,"&lt;="&amp;DATE($B$3,12,31)),2))</f>
        <v/>
      </c>
      <c r="J16" s="40" t="str">
        <f>IF(OR($A16="",J$5=""),"",ROUND(SUMIFS(업무일지!$I$3:$I$3002,업무일지!$C$3:$C$3002,프로젝트목록!$A13,업무일지!$B$3:$B$3002,J$5,업무일지!$A$3:$A$3002,"&gt;="&amp;DATE($B$3,1,1),업무일지!$A$3:$A$3002,"&lt;="&amp;DATE($B$3,12,31)),2))</f>
        <v/>
      </c>
      <c r="K16" s="40" t="str">
        <f>IF(OR($A16="",K$5=""),"",ROUND(SUMIFS(업무일지!$I$3:$I$3002,업무일지!$C$3:$C$3002,프로젝트목록!$A13,업무일지!$B$3:$B$3002,K$5,업무일지!$A$3:$A$3002,"&gt;="&amp;DATE($B$3,1,1),업무일지!$A$3:$A$3002,"&lt;="&amp;DATE($B$3,12,31)),2))</f>
        <v/>
      </c>
      <c r="L16" s="44" t="str">
        <f>IF($A16="","",ROUND(SUM(B16:K16),2))</f>
        <v/>
      </c>
    </row>
    <row r="17" ht="15" customHeight="1" s="26">
      <c r="A17" s="37" t="str">
        <f>IF(프로젝트목록!$A14="","",프로젝트목록!$B14)</f>
        <v/>
      </c>
      <c r="B17" s="40" t="str">
        <f>IF(OR($A17="",B$5=""),"",ROUND(SUMIFS(업무일지!$I$3:$I$3002,업무일지!$C$3:$C$3002,프로젝트목록!$A14,업무일지!$B$3:$B$3002,B$5,업무일지!$A$3:$A$3002,"&gt;="&amp;DATE($B$3,1,1),업무일지!$A$3:$A$3002,"&lt;="&amp;DATE($B$3,12,31)),2))</f>
        <v/>
      </c>
      <c r="C17" s="40" t="str">
        <f>IF(OR($A17="",C$5=""),"",ROUND(SUMIFS(업무일지!$I$3:$I$3002,업무일지!$C$3:$C$3002,프로젝트목록!$A14,업무일지!$B$3:$B$3002,C$5,업무일지!$A$3:$A$3002,"&gt;="&amp;DATE($B$3,1,1),업무일지!$A$3:$A$3002,"&lt;="&amp;DATE($B$3,12,31)),2))</f>
        <v/>
      </c>
      <c r="D17" s="40" t="str">
        <f>IF(OR($A17="",D$5=""),"",ROUND(SUMIFS(업무일지!$I$3:$I$3002,업무일지!$C$3:$C$3002,프로젝트목록!$A14,업무일지!$B$3:$B$3002,D$5,업무일지!$A$3:$A$3002,"&gt;="&amp;DATE($B$3,1,1),업무일지!$A$3:$A$3002,"&lt;="&amp;DATE($B$3,12,31)),2))</f>
        <v/>
      </c>
      <c r="E17" s="40" t="str">
        <f>IF(OR($A17="",E$5=""),"",ROUND(SUMIFS(업무일지!$I$3:$I$3002,업무일지!$C$3:$C$3002,프로젝트목록!$A14,업무일지!$B$3:$B$3002,E$5,업무일지!$A$3:$A$3002,"&gt;="&amp;DATE($B$3,1,1),업무일지!$A$3:$A$3002,"&lt;="&amp;DATE($B$3,12,31)),2))</f>
        <v/>
      </c>
      <c r="F17" s="40" t="str">
        <f>IF(OR($A17="",F$5=""),"",ROUND(SUMIFS(업무일지!$I$3:$I$3002,업무일지!$C$3:$C$3002,프로젝트목록!$A14,업무일지!$B$3:$B$3002,F$5,업무일지!$A$3:$A$3002,"&gt;="&amp;DATE($B$3,1,1),업무일지!$A$3:$A$3002,"&lt;="&amp;DATE($B$3,12,31)),2))</f>
        <v/>
      </c>
      <c r="G17" s="40" t="str">
        <f>IF(OR($A17="",G$5=""),"",ROUND(SUMIFS(업무일지!$I$3:$I$3002,업무일지!$C$3:$C$3002,프로젝트목록!$A14,업무일지!$B$3:$B$3002,G$5,업무일지!$A$3:$A$3002,"&gt;="&amp;DATE($B$3,1,1),업무일지!$A$3:$A$3002,"&lt;="&amp;DATE($B$3,12,31)),2))</f>
        <v/>
      </c>
      <c r="H17" s="40" t="str">
        <f>IF(OR($A17="",H$5=""),"",ROUND(SUMIFS(업무일지!$I$3:$I$3002,업무일지!$C$3:$C$3002,프로젝트목록!$A14,업무일지!$B$3:$B$3002,H$5,업무일지!$A$3:$A$3002,"&gt;="&amp;DATE($B$3,1,1),업무일지!$A$3:$A$3002,"&lt;="&amp;DATE($B$3,12,31)),2))</f>
        <v/>
      </c>
      <c r="I17" s="40" t="str">
        <f>IF(OR($A17="",I$5=""),"",ROUND(SUMIFS(업무일지!$I$3:$I$3002,업무일지!$C$3:$C$3002,프로젝트목록!$A14,업무일지!$B$3:$B$3002,I$5,업무일지!$A$3:$A$3002,"&gt;="&amp;DATE($B$3,1,1),업무일지!$A$3:$A$3002,"&lt;="&amp;DATE($B$3,12,31)),2))</f>
        <v/>
      </c>
      <c r="J17" s="40" t="str">
        <f>IF(OR($A17="",J$5=""),"",ROUND(SUMIFS(업무일지!$I$3:$I$3002,업무일지!$C$3:$C$3002,프로젝트목록!$A14,업무일지!$B$3:$B$3002,J$5,업무일지!$A$3:$A$3002,"&gt;="&amp;DATE($B$3,1,1),업무일지!$A$3:$A$3002,"&lt;="&amp;DATE($B$3,12,31)),2))</f>
        <v/>
      </c>
      <c r="K17" s="40" t="str">
        <f>IF(OR($A17="",K$5=""),"",ROUND(SUMIFS(업무일지!$I$3:$I$3002,업무일지!$C$3:$C$3002,프로젝트목록!$A14,업무일지!$B$3:$B$3002,K$5,업무일지!$A$3:$A$3002,"&gt;="&amp;DATE($B$3,1,1),업무일지!$A$3:$A$3002,"&lt;="&amp;DATE($B$3,12,31)),2))</f>
        <v/>
      </c>
      <c r="L17" s="44" t="str">
        <f>IF($A17="","",ROUND(SUM(B17:K17),2))</f>
        <v/>
      </c>
    </row>
    <row r="18" ht="15" customHeight="1" s="26">
      <c r="A18" s="37" t="str">
        <f>IF(프로젝트목록!$A15="","",프로젝트목록!$B15)</f>
        <v/>
      </c>
      <c r="B18" s="40" t="str">
        <f>IF(OR($A18="",B$5=""),"",ROUND(SUMIFS(업무일지!$I$3:$I$3002,업무일지!$C$3:$C$3002,프로젝트목록!$A15,업무일지!$B$3:$B$3002,B$5,업무일지!$A$3:$A$3002,"&gt;="&amp;DATE($B$3,1,1),업무일지!$A$3:$A$3002,"&lt;="&amp;DATE($B$3,12,31)),2))</f>
        <v/>
      </c>
      <c r="C18" s="40" t="str">
        <f>IF(OR($A18="",C$5=""),"",ROUND(SUMIFS(업무일지!$I$3:$I$3002,업무일지!$C$3:$C$3002,프로젝트목록!$A15,업무일지!$B$3:$B$3002,C$5,업무일지!$A$3:$A$3002,"&gt;="&amp;DATE($B$3,1,1),업무일지!$A$3:$A$3002,"&lt;="&amp;DATE($B$3,12,31)),2))</f>
        <v/>
      </c>
      <c r="D18" s="40" t="str">
        <f>IF(OR($A18="",D$5=""),"",ROUND(SUMIFS(업무일지!$I$3:$I$3002,업무일지!$C$3:$C$3002,프로젝트목록!$A15,업무일지!$B$3:$B$3002,D$5,업무일지!$A$3:$A$3002,"&gt;="&amp;DATE($B$3,1,1),업무일지!$A$3:$A$3002,"&lt;="&amp;DATE($B$3,12,31)),2))</f>
        <v/>
      </c>
      <c r="E18" s="40" t="str">
        <f>IF(OR($A18="",E$5=""),"",ROUND(SUMIFS(업무일지!$I$3:$I$3002,업무일지!$C$3:$C$3002,프로젝트목록!$A15,업무일지!$B$3:$B$3002,E$5,업무일지!$A$3:$A$3002,"&gt;="&amp;DATE($B$3,1,1),업무일지!$A$3:$A$3002,"&lt;="&amp;DATE($B$3,12,31)),2))</f>
        <v/>
      </c>
      <c r="F18" s="40" t="str">
        <f>IF(OR($A18="",F$5=""),"",ROUND(SUMIFS(업무일지!$I$3:$I$3002,업무일지!$C$3:$C$3002,프로젝트목록!$A15,업무일지!$B$3:$B$3002,F$5,업무일지!$A$3:$A$3002,"&gt;="&amp;DATE($B$3,1,1),업무일지!$A$3:$A$3002,"&lt;="&amp;DATE($B$3,12,31)),2))</f>
        <v/>
      </c>
      <c r="G18" s="40" t="str">
        <f>IF(OR($A18="",G$5=""),"",ROUND(SUMIFS(업무일지!$I$3:$I$3002,업무일지!$C$3:$C$3002,프로젝트목록!$A15,업무일지!$B$3:$B$3002,G$5,업무일지!$A$3:$A$3002,"&gt;="&amp;DATE($B$3,1,1),업무일지!$A$3:$A$3002,"&lt;="&amp;DATE($B$3,12,31)),2))</f>
        <v/>
      </c>
      <c r="H18" s="40" t="str">
        <f>IF(OR($A18="",H$5=""),"",ROUND(SUMIFS(업무일지!$I$3:$I$3002,업무일지!$C$3:$C$3002,프로젝트목록!$A15,업무일지!$B$3:$B$3002,H$5,업무일지!$A$3:$A$3002,"&gt;="&amp;DATE($B$3,1,1),업무일지!$A$3:$A$3002,"&lt;="&amp;DATE($B$3,12,31)),2))</f>
        <v/>
      </c>
      <c r="I18" s="40" t="str">
        <f>IF(OR($A18="",I$5=""),"",ROUND(SUMIFS(업무일지!$I$3:$I$3002,업무일지!$C$3:$C$3002,프로젝트목록!$A15,업무일지!$B$3:$B$3002,I$5,업무일지!$A$3:$A$3002,"&gt;="&amp;DATE($B$3,1,1),업무일지!$A$3:$A$3002,"&lt;="&amp;DATE($B$3,12,31)),2))</f>
        <v/>
      </c>
      <c r="J18" s="40" t="str">
        <f>IF(OR($A18="",J$5=""),"",ROUND(SUMIFS(업무일지!$I$3:$I$3002,업무일지!$C$3:$C$3002,프로젝트목록!$A15,업무일지!$B$3:$B$3002,J$5,업무일지!$A$3:$A$3002,"&gt;="&amp;DATE($B$3,1,1),업무일지!$A$3:$A$3002,"&lt;="&amp;DATE($B$3,12,31)),2))</f>
        <v/>
      </c>
      <c r="K18" s="40" t="str">
        <f>IF(OR($A18="",K$5=""),"",ROUND(SUMIFS(업무일지!$I$3:$I$3002,업무일지!$C$3:$C$3002,프로젝트목록!$A15,업무일지!$B$3:$B$3002,K$5,업무일지!$A$3:$A$3002,"&gt;="&amp;DATE($B$3,1,1),업무일지!$A$3:$A$3002,"&lt;="&amp;DATE($B$3,12,31)),2))</f>
        <v/>
      </c>
      <c r="L18" s="44" t="str">
        <f>IF($A18="","",ROUND(SUM(B18:K18),2))</f>
        <v/>
      </c>
    </row>
    <row r="19" ht="15" customHeight="1" s="26">
      <c r="A19" s="37" t="str">
        <f>IF(프로젝트목록!$A16="","",프로젝트목록!$B16)</f>
        <v/>
      </c>
      <c r="B19" s="40" t="str">
        <f>IF(OR($A19="",B$5=""),"",ROUND(SUMIFS(업무일지!$I$3:$I$3002,업무일지!$C$3:$C$3002,프로젝트목록!$A16,업무일지!$B$3:$B$3002,B$5,업무일지!$A$3:$A$3002,"&gt;="&amp;DATE($B$3,1,1),업무일지!$A$3:$A$3002,"&lt;="&amp;DATE($B$3,12,31)),2))</f>
        <v/>
      </c>
      <c r="C19" s="40" t="str">
        <f>IF(OR($A19="",C$5=""),"",ROUND(SUMIFS(업무일지!$I$3:$I$3002,업무일지!$C$3:$C$3002,프로젝트목록!$A16,업무일지!$B$3:$B$3002,C$5,업무일지!$A$3:$A$3002,"&gt;="&amp;DATE($B$3,1,1),업무일지!$A$3:$A$3002,"&lt;="&amp;DATE($B$3,12,31)),2))</f>
        <v/>
      </c>
      <c r="D19" s="40" t="str">
        <f>IF(OR($A19="",D$5=""),"",ROUND(SUMIFS(업무일지!$I$3:$I$3002,업무일지!$C$3:$C$3002,프로젝트목록!$A16,업무일지!$B$3:$B$3002,D$5,업무일지!$A$3:$A$3002,"&gt;="&amp;DATE($B$3,1,1),업무일지!$A$3:$A$3002,"&lt;="&amp;DATE($B$3,12,31)),2))</f>
        <v/>
      </c>
      <c r="E19" s="40" t="str">
        <f>IF(OR($A19="",E$5=""),"",ROUND(SUMIFS(업무일지!$I$3:$I$3002,업무일지!$C$3:$C$3002,프로젝트목록!$A16,업무일지!$B$3:$B$3002,E$5,업무일지!$A$3:$A$3002,"&gt;="&amp;DATE($B$3,1,1),업무일지!$A$3:$A$3002,"&lt;="&amp;DATE($B$3,12,31)),2))</f>
        <v/>
      </c>
      <c r="F19" s="40" t="str">
        <f>IF(OR($A19="",F$5=""),"",ROUND(SUMIFS(업무일지!$I$3:$I$3002,업무일지!$C$3:$C$3002,프로젝트목록!$A16,업무일지!$B$3:$B$3002,F$5,업무일지!$A$3:$A$3002,"&gt;="&amp;DATE($B$3,1,1),업무일지!$A$3:$A$3002,"&lt;="&amp;DATE($B$3,12,31)),2))</f>
        <v/>
      </c>
      <c r="G19" s="40" t="str">
        <f>IF(OR($A19="",G$5=""),"",ROUND(SUMIFS(업무일지!$I$3:$I$3002,업무일지!$C$3:$C$3002,프로젝트목록!$A16,업무일지!$B$3:$B$3002,G$5,업무일지!$A$3:$A$3002,"&gt;="&amp;DATE($B$3,1,1),업무일지!$A$3:$A$3002,"&lt;="&amp;DATE($B$3,12,31)),2))</f>
        <v/>
      </c>
      <c r="H19" s="40" t="str">
        <f>IF(OR($A19="",H$5=""),"",ROUND(SUMIFS(업무일지!$I$3:$I$3002,업무일지!$C$3:$C$3002,프로젝트목록!$A16,업무일지!$B$3:$B$3002,H$5,업무일지!$A$3:$A$3002,"&gt;="&amp;DATE($B$3,1,1),업무일지!$A$3:$A$3002,"&lt;="&amp;DATE($B$3,12,31)),2))</f>
        <v/>
      </c>
      <c r="I19" s="40" t="str">
        <f>IF(OR($A19="",I$5=""),"",ROUND(SUMIFS(업무일지!$I$3:$I$3002,업무일지!$C$3:$C$3002,프로젝트목록!$A16,업무일지!$B$3:$B$3002,I$5,업무일지!$A$3:$A$3002,"&gt;="&amp;DATE($B$3,1,1),업무일지!$A$3:$A$3002,"&lt;="&amp;DATE($B$3,12,31)),2))</f>
        <v/>
      </c>
      <c r="J19" s="40" t="str">
        <f>IF(OR($A19="",J$5=""),"",ROUND(SUMIFS(업무일지!$I$3:$I$3002,업무일지!$C$3:$C$3002,프로젝트목록!$A16,업무일지!$B$3:$B$3002,J$5,업무일지!$A$3:$A$3002,"&gt;="&amp;DATE($B$3,1,1),업무일지!$A$3:$A$3002,"&lt;="&amp;DATE($B$3,12,31)),2))</f>
        <v/>
      </c>
      <c r="K19" s="40" t="str">
        <f>IF(OR($A19="",K$5=""),"",ROUND(SUMIFS(업무일지!$I$3:$I$3002,업무일지!$C$3:$C$3002,프로젝트목록!$A16,업무일지!$B$3:$B$3002,K$5,업무일지!$A$3:$A$3002,"&gt;="&amp;DATE($B$3,1,1),업무일지!$A$3:$A$3002,"&lt;="&amp;DATE($B$3,12,31)),2))</f>
        <v/>
      </c>
      <c r="L19" s="44" t="str">
        <f>IF($A19="","",ROUND(SUM(B19:K19),2))</f>
        <v/>
      </c>
    </row>
    <row r="20" ht="15" customHeight="1" s="26">
      <c r="A20" s="37" t="str">
        <f>IF(프로젝트목록!$A17="","",프로젝트목록!$B17)</f>
        <v/>
      </c>
      <c r="B20" s="40" t="str">
        <f>IF(OR($A20="",B$5=""),"",ROUND(SUMIFS(업무일지!$I$3:$I$3002,업무일지!$C$3:$C$3002,프로젝트목록!$A17,업무일지!$B$3:$B$3002,B$5,업무일지!$A$3:$A$3002,"&gt;="&amp;DATE($B$3,1,1),업무일지!$A$3:$A$3002,"&lt;="&amp;DATE($B$3,12,31)),2))</f>
        <v/>
      </c>
      <c r="C20" s="40" t="str">
        <f>IF(OR($A20="",C$5=""),"",ROUND(SUMIFS(업무일지!$I$3:$I$3002,업무일지!$C$3:$C$3002,프로젝트목록!$A17,업무일지!$B$3:$B$3002,C$5,업무일지!$A$3:$A$3002,"&gt;="&amp;DATE($B$3,1,1),업무일지!$A$3:$A$3002,"&lt;="&amp;DATE($B$3,12,31)),2))</f>
        <v/>
      </c>
      <c r="D20" s="40" t="str">
        <f>IF(OR($A20="",D$5=""),"",ROUND(SUMIFS(업무일지!$I$3:$I$3002,업무일지!$C$3:$C$3002,프로젝트목록!$A17,업무일지!$B$3:$B$3002,D$5,업무일지!$A$3:$A$3002,"&gt;="&amp;DATE($B$3,1,1),업무일지!$A$3:$A$3002,"&lt;="&amp;DATE($B$3,12,31)),2))</f>
        <v/>
      </c>
      <c r="E20" s="40" t="str">
        <f>IF(OR($A20="",E$5=""),"",ROUND(SUMIFS(업무일지!$I$3:$I$3002,업무일지!$C$3:$C$3002,프로젝트목록!$A17,업무일지!$B$3:$B$3002,E$5,업무일지!$A$3:$A$3002,"&gt;="&amp;DATE($B$3,1,1),업무일지!$A$3:$A$3002,"&lt;="&amp;DATE($B$3,12,31)),2))</f>
        <v/>
      </c>
      <c r="F20" s="40" t="str">
        <f>IF(OR($A20="",F$5=""),"",ROUND(SUMIFS(업무일지!$I$3:$I$3002,업무일지!$C$3:$C$3002,프로젝트목록!$A17,업무일지!$B$3:$B$3002,F$5,업무일지!$A$3:$A$3002,"&gt;="&amp;DATE($B$3,1,1),업무일지!$A$3:$A$3002,"&lt;="&amp;DATE($B$3,12,31)),2))</f>
        <v/>
      </c>
      <c r="G20" s="40" t="str">
        <f>IF(OR($A20="",G$5=""),"",ROUND(SUMIFS(업무일지!$I$3:$I$3002,업무일지!$C$3:$C$3002,프로젝트목록!$A17,업무일지!$B$3:$B$3002,G$5,업무일지!$A$3:$A$3002,"&gt;="&amp;DATE($B$3,1,1),업무일지!$A$3:$A$3002,"&lt;="&amp;DATE($B$3,12,31)),2))</f>
        <v/>
      </c>
      <c r="H20" s="40" t="str">
        <f>IF(OR($A20="",H$5=""),"",ROUND(SUMIFS(업무일지!$I$3:$I$3002,업무일지!$C$3:$C$3002,프로젝트목록!$A17,업무일지!$B$3:$B$3002,H$5,업무일지!$A$3:$A$3002,"&gt;="&amp;DATE($B$3,1,1),업무일지!$A$3:$A$3002,"&lt;="&amp;DATE($B$3,12,31)),2))</f>
        <v/>
      </c>
      <c r="I20" s="40" t="str">
        <f>IF(OR($A20="",I$5=""),"",ROUND(SUMIFS(업무일지!$I$3:$I$3002,업무일지!$C$3:$C$3002,프로젝트목록!$A17,업무일지!$B$3:$B$3002,I$5,업무일지!$A$3:$A$3002,"&gt;="&amp;DATE($B$3,1,1),업무일지!$A$3:$A$3002,"&lt;="&amp;DATE($B$3,12,31)),2))</f>
        <v/>
      </c>
      <c r="J20" s="40" t="str">
        <f>IF(OR($A20="",J$5=""),"",ROUND(SUMIFS(업무일지!$I$3:$I$3002,업무일지!$C$3:$C$3002,프로젝트목록!$A17,업무일지!$B$3:$B$3002,J$5,업무일지!$A$3:$A$3002,"&gt;="&amp;DATE($B$3,1,1),업무일지!$A$3:$A$3002,"&lt;="&amp;DATE($B$3,12,31)),2))</f>
        <v/>
      </c>
      <c r="K20" s="40" t="str">
        <f>IF(OR($A20="",K$5=""),"",ROUND(SUMIFS(업무일지!$I$3:$I$3002,업무일지!$C$3:$C$3002,프로젝트목록!$A17,업무일지!$B$3:$B$3002,K$5,업무일지!$A$3:$A$3002,"&gt;="&amp;DATE($B$3,1,1),업무일지!$A$3:$A$3002,"&lt;="&amp;DATE($B$3,12,31)),2))</f>
        <v/>
      </c>
      <c r="L20" s="44" t="str">
        <f>IF($A20="","",ROUND(SUM(B20:K20),2))</f>
        <v/>
      </c>
    </row>
    <row r="21" ht="15" customHeight="1" s="26">
      <c r="A21" s="37" t="str">
        <f>IF(프로젝트목록!$A18="","",프로젝트목록!$B18)</f>
        <v/>
      </c>
      <c r="B21" s="40" t="str">
        <f>IF(OR($A21="",B$5=""),"",ROUND(SUMIFS(업무일지!$I$3:$I$3002,업무일지!$C$3:$C$3002,프로젝트목록!$A18,업무일지!$B$3:$B$3002,B$5,업무일지!$A$3:$A$3002,"&gt;="&amp;DATE($B$3,1,1),업무일지!$A$3:$A$3002,"&lt;="&amp;DATE($B$3,12,31)),2))</f>
        <v/>
      </c>
      <c r="C21" s="40" t="str">
        <f>IF(OR($A21="",C$5=""),"",ROUND(SUMIFS(업무일지!$I$3:$I$3002,업무일지!$C$3:$C$3002,프로젝트목록!$A18,업무일지!$B$3:$B$3002,C$5,업무일지!$A$3:$A$3002,"&gt;="&amp;DATE($B$3,1,1),업무일지!$A$3:$A$3002,"&lt;="&amp;DATE($B$3,12,31)),2))</f>
        <v/>
      </c>
      <c r="D21" s="40" t="str">
        <f>IF(OR($A21="",D$5=""),"",ROUND(SUMIFS(업무일지!$I$3:$I$3002,업무일지!$C$3:$C$3002,프로젝트목록!$A18,업무일지!$B$3:$B$3002,D$5,업무일지!$A$3:$A$3002,"&gt;="&amp;DATE($B$3,1,1),업무일지!$A$3:$A$3002,"&lt;="&amp;DATE($B$3,12,31)),2))</f>
        <v/>
      </c>
      <c r="E21" s="40" t="str">
        <f>IF(OR($A21="",E$5=""),"",ROUND(SUMIFS(업무일지!$I$3:$I$3002,업무일지!$C$3:$C$3002,프로젝트목록!$A18,업무일지!$B$3:$B$3002,E$5,업무일지!$A$3:$A$3002,"&gt;="&amp;DATE($B$3,1,1),업무일지!$A$3:$A$3002,"&lt;="&amp;DATE($B$3,12,31)),2))</f>
        <v/>
      </c>
      <c r="F21" s="40" t="str">
        <f>IF(OR($A21="",F$5=""),"",ROUND(SUMIFS(업무일지!$I$3:$I$3002,업무일지!$C$3:$C$3002,프로젝트목록!$A18,업무일지!$B$3:$B$3002,F$5,업무일지!$A$3:$A$3002,"&gt;="&amp;DATE($B$3,1,1),업무일지!$A$3:$A$3002,"&lt;="&amp;DATE($B$3,12,31)),2))</f>
        <v/>
      </c>
      <c r="G21" s="40" t="str">
        <f>IF(OR($A21="",G$5=""),"",ROUND(SUMIFS(업무일지!$I$3:$I$3002,업무일지!$C$3:$C$3002,프로젝트목록!$A18,업무일지!$B$3:$B$3002,G$5,업무일지!$A$3:$A$3002,"&gt;="&amp;DATE($B$3,1,1),업무일지!$A$3:$A$3002,"&lt;="&amp;DATE($B$3,12,31)),2))</f>
        <v/>
      </c>
      <c r="H21" s="40" t="str">
        <f>IF(OR($A21="",H$5=""),"",ROUND(SUMIFS(업무일지!$I$3:$I$3002,업무일지!$C$3:$C$3002,프로젝트목록!$A18,업무일지!$B$3:$B$3002,H$5,업무일지!$A$3:$A$3002,"&gt;="&amp;DATE($B$3,1,1),업무일지!$A$3:$A$3002,"&lt;="&amp;DATE($B$3,12,31)),2))</f>
        <v/>
      </c>
      <c r="I21" s="40" t="str">
        <f>IF(OR($A21="",I$5=""),"",ROUND(SUMIFS(업무일지!$I$3:$I$3002,업무일지!$C$3:$C$3002,프로젝트목록!$A18,업무일지!$B$3:$B$3002,I$5,업무일지!$A$3:$A$3002,"&gt;="&amp;DATE($B$3,1,1),업무일지!$A$3:$A$3002,"&lt;="&amp;DATE($B$3,12,31)),2))</f>
        <v/>
      </c>
      <c r="J21" s="40" t="str">
        <f>IF(OR($A21="",J$5=""),"",ROUND(SUMIFS(업무일지!$I$3:$I$3002,업무일지!$C$3:$C$3002,프로젝트목록!$A18,업무일지!$B$3:$B$3002,J$5,업무일지!$A$3:$A$3002,"&gt;="&amp;DATE($B$3,1,1),업무일지!$A$3:$A$3002,"&lt;="&amp;DATE($B$3,12,31)),2))</f>
        <v/>
      </c>
      <c r="K21" s="40" t="str">
        <f>IF(OR($A21="",K$5=""),"",ROUND(SUMIFS(업무일지!$I$3:$I$3002,업무일지!$C$3:$C$3002,프로젝트목록!$A18,업무일지!$B$3:$B$3002,K$5,업무일지!$A$3:$A$3002,"&gt;="&amp;DATE($B$3,1,1),업무일지!$A$3:$A$3002,"&lt;="&amp;DATE($B$3,12,31)),2))</f>
        <v/>
      </c>
      <c r="L21" s="44" t="str">
        <f>IF($A21="","",ROUND(SUM(B21:K21),2))</f>
        <v/>
      </c>
    </row>
    <row r="22" ht="15" customHeight="1" s="26">
      <c r="A22" s="37" t="str">
        <f>IF(프로젝트목록!$A19="","",프로젝트목록!$B19)</f>
        <v/>
      </c>
      <c r="B22" s="40" t="str">
        <f>IF(OR($A22="",B$5=""),"",ROUND(SUMIFS(업무일지!$I$3:$I$3002,업무일지!$C$3:$C$3002,프로젝트목록!$A19,업무일지!$B$3:$B$3002,B$5,업무일지!$A$3:$A$3002,"&gt;="&amp;DATE($B$3,1,1),업무일지!$A$3:$A$3002,"&lt;="&amp;DATE($B$3,12,31)),2))</f>
        <v/>
      </c>
      <c r="C22" s="40" t="str">
        <f>IF(OR($A22="",C$5=""),"",ROUND(SUMIFS(업무일지!$I$3:$I$3002,업무일지!$C$3:$C$3002,프로젝트목록!$A19,업무일지!$B$3:$B$3002,C$5,업무일지!$A$3:$A$3002,"&gt;="&amp;DATE($B$3,1,1),업무일지!$A$3:$A$3002,"&lt;="&amp;DATE($B$3,12,31)),2))</f>
        <v/>
      </c>
      <c r="D22" s="40" t="str">
        <f>IF(OR($A22="",D$5=""),"",ROUND(SUMIFS(업무일지!$I$3:$I$3002,업무일지!$C$3:$C$3002,프로젝트목록!$A19,업무일지!$B$3:$B$3002,D$5,업무일지!$A$3:$A$3002,"&gt;="&amp;DATE($B$3,1,1),업무일지!$A$3:$A$3002,"&lt;="&amp;DATE($B$3,12,31)),2))</f>
        <v/>
      </c>
      <c r="E22" s="40" t="str">
        <f>IF(OR($A22="",E$5=""),"",ROUND(SUMIFS(업무일지!$I$3:$I$3002,업무일지!$C$3:$C$3002,프로젝트목록!$A19,업무일지!$B$3:$B$3002,E$5,업무일지!$A$3:$A$3002,"&gt;="&amp;DATE($B$3,1,1),업무일지!$A$3:$A$3002,"&lt;="&amp;DATE($B$3,12,31)),2))</f>
        <v/>
      </c>
      <c r="F22" s="40" t="str">
        <f>IF(OR($A22="",F$5=""),"",ROUND(SUMIFS(업무일지!$I$3:$I$3002,업무일지!$C$3:$C$3002,프로젝트목록!$A19,업무일지!$B$3:$B$3002,F$5,업무일지!$A$3:$A$3002,"&gt;="&amp;DATE($B$3,1,1),업무일지!$A$3:$A$3002,"&lt;="&amp;DATE($B$3,12,31)),2))</f>
        <v/>
      </c>
      <c r="G22" s="40" t="str">
        <f>IF(OR($A22="",G$5=""),"",ROUND(SUMIFS(업무일지!$I$3:$I$3002,업무일지!$C$3:$C$3002,프로젝트목록!$A19,업무일지!$B$3:$B$3002,G$5,업무일지!$A$3:$A$3002,"&gt;="&amp;DATE($B$3,1,1),업무일지!$A$3:$A$3002,"&lt;="&amp;DATE($B$3,12,31)),2))</f>
        <v/>
      </c>
      <c r="H22" s="40" t="str">
        <f>IF(OR($A22="",H$5=""),"",ROUND(SUMIFS(업무일지!$I$3:$I$3002,업무일지!$C$3:$C$3002,프로젝트목록!$A19,업무일지!$B$3:$B$3002,H$5,업무일지!$A$3:$A$3002,"&gt;="&amp;DATE($B$3,1,1),업무일지!$A$3:$A$3002,"&lt;="&amp;DATE($B$3,12,31)),2))</f>
        <v/>
      </c>
      <c r="I22" s="40" t="str">
        <f>IF(OR($A22="",I$5=""),"",ROUND(SUMIFS(업무일지!$I$3:$I$3002,업무일지!$C$3:$C$3002,프로젝트목록!$A19,업무일지!$B$3:$B$3002,I$5,업무일지!$A$3:$A$3002,"&gt;="&amp;DATE($B$3,1,1),업무일지!$A$3:$A$3002,"&lt;="&amp;DATE($B$3,12,31)),2))</f>
        <v/>
      </c>
      <c r="J22" s="40" t="str">
        <f>IF(OR($A22="",J$5=""),"",ROUND(SUMIFS(업무일지!$I$3:$I$3002,업무일지!$C$3:$C$3002,프로젝트목록!$A19,업무일지!$B$3:$B$3002,J$5,업무일지!$A$3:$A$3002,"&gt;="&amp;DATE($B$3,1,1),업무일지!$A$3:$A$3002,"&lt;="&amp;DATE($B$3,12,31)),2))</f>
        <v/>
      </c>
      <c r="K22" s="40" t="str">
        <f>IF(OR($A22="",K$5=""),"",ROUND(SUMIFS(업무일지!$I$3:$I$3002,업무일지!$C$3:$C$3002,프로젝트목록!$A19,업무일지!$B$3:$B$3002,K$5,업무일지!$A$3:$A$3002,"&gt;="&amp;DATE($B$3,1,1),업무일지!$A$3:$A$3002,"&lt;="&amp;DATE($B$3,12,31)),2))</f>
        <v/>
      </c>
      <c r="L22" s="44" t="str">
        <f>IF($A22="","",ROUND(SUM(B22:K22),2))</f>
        <v/>
      </c>
    </row>
    <row r="23" ht="15" customHeight="1" s="26">
      <c r="A23" s="37" t="str">
        <f>IF(프로젝트목록!$A20="","",프로젝트목록!$B20)</f>
        <v/>
      </c>
      <c r="B23" s="40" t="str">
        <f>IF(OR($A23="",B$5=""),"",ROUND(SUMIFS(업무일지!$I$3:$I$3002,업무일지!$C$3:$C$3002,프로젝트목록!$A20,업무일지!$B$3:$B$3002,B$5,업무일지!$A$3:$A$3002,"&gt;="&amp;DATE($B$3,1,1),업무일지!$A$3:$A$3002,"&lt;="&amp;DATE($B$3,12,31)),2))</f>
        <v/>
      </c>
      <c r="C23" s="40" t="str">
        <f>IF(OR($A23="",C$5=""),"",ROUND(SUMIFS(업무일지!$I$3:$I$3002,업무일지!$C$3:$C$3002,프로젝트목록!$A20,업무일지!$B$3:$B$3002,C$5,업무일지!$A$3:$A$3002,"&gt;="&amp;DATE($B$3,1,1),업무일지!$A$3:$A$3002,"&lt;="&amp;DATE($B$3,12,31)),2))</f>
        <v/>
      </c>
      <c r="D23" s="40" t="str">
        <f>IF(OR($A23="",D$5=""),"",ROUND(SUMIFS(업무일지!$I$3:$I$3002,업무일지!$C$3:$C$3002,프로젝트목록!$A20,업무일지!$B$3:$B$3002,D$5,업무일지!$A$3:$A$3002,"&gt;="&amp;DATE($B$3,1,1),업무일지!$A$3:$A$3002,"&lt;="&amp;DATE($B$3,12,31)),2))</f>
        <v/>
      </c>
      <c r="E23" s="40" t="str">
        <f>IF(OR($A23="",E$5=""),"",ROUND(SUMIFS(업무일지!$I$3:$I$3002,업무일지!$C$3:$C$3002,프로젝트목록!$A20,업무일지!$B$3:$B$3002,E$5,업무일지!$A$3:$A$3002,"&gt;="&amp;DATE($B$3,1,1),업무일지!$A$3:$A$3002,"&lt;="&amp;DATE($B$3,12,31)),2))</f>
        <v/>
      </c>
      <c r="F23" s="40" t="str">
        <f>IF(OR($A23="",F$5=""),"",ROUND(SUMIFS(업무일지!$I$3:$I$3002,업무일지!$C$3:$C$3002,프로젝트목록!$A20,업무일지!$B$3:$B$3002,F$5,업무일지!$A$3:$A$3002,"&gt;="&amp;DATE($B$3,1,1),업무일지!$A$3:$A$3002,"&lt;="&amp;DATE($B$3,12,31)),2))</f>
        <v/>
      </c>
      <c r="G23" s="40" t="str">
        <f>IF(OR($A23="",G$5=""),"",ROUND(SUMIFS(업무일지!$I$3:$I$3002,업무일지!$C$3:$C$3002,프로젝트목록!$A20,업무일지!$B$3:$B$3002,G$5,업무일지!$A$3:$A$3002,"&gt;="&amp;DATE($B$3,1,1),업무일지!$A$3:$A$3002,"&lt;="&amp;DATE($B$3,12,31)),2))</f>
        <v/>
      </c>
      <c r="H23" s="40" t="str">
        <f>IF(OR($A23="",H$5=""),"",ROUND(SUMIFS(업무일지!$I$3:$I$3002,업무일지!$C$3:$C$3002,프로젝트목록!$A20,업무일지!$B$3:$B$3002,H$5,업무일지!$A$3:$A$3002,"&gt;="&amp;DATE($B$3,1,1),업무일지!$A$3:$A$3002,"&lt;="&amp;DATE($B$3,12,31)),2))</f>
        <v/>
      </c>
      <c r="I23" s="40" t="str">
        <f>IF(OR($A23="",I$5=""),"",ROUND(SUMIFS(업무일지!$I$3:$I$3002,업무일지!$C$3:$C$3002,프로젝트목록!$A20,업무일지!$B$3:$B$3002,I$5,업무일지!$A$3:$A$3002,"&gt;="&amp;DATE($B$3,1,1),업무일지!$A$3:$A$3002,"&lt;="&amp;DATE($B$3,12,31)),2))</f>
        <v/>
      </c>
      <c r="J23" s="40" t="str">
        <f>IF(OR($A23="",J$5=""),"",ROUND(SUMIFS(업무일지!$I$3:$I$3002,업무일지!$C$3:$C$3002,프로젝트목록!$A20,업무일지!$B$3:$B$3002,J$5,업무일지!$A$3:$A$3002,"&gt;="&amp;DATE($B$3,1,1),업무일지!$A$3:$A$3002,"&lt;="&amp;DATE($B$3,12,31)),2))</f>
        <v/>
      </c>
      <c r="K23" s="40" t="str">
        <f>IF(OR($A23="",K$5=""),"",ROUND(SUMIFS(업무일지!$I$3:$I$3002,업무일지!$C$3:$C$3002,프로젝트목록!$A20,업무일지!$B$3:$B$3002,K$5,업무일지!$A$3:$A$3002,"&gt;="&amp;DATE($B$3,1,1),업무일지!$A$3:$A$3002,"&lt;="&amp;DATE($B$3,12,31)),2))</f>
        <v/>
      </c>
      <c r="L23" s="44" t="str">
        <f>IF($A23="","",ROUND(SUM(B23:K23),2))</f>
        <v/>
      </c>
    </row>
    <row r="24" ht="15" customHeight="1" s="26">
      <c r="A24" s="37" t="str">
        <f>IF(프로젝트목록!$A21="","",프로젝트목록!$B21)</f>
        <v/>
      </c>
      <c r="B24" s="40" t="str">
        <f>IF(OR($A24="",B$5=""),"",ROUND(SUMIFS(업무일지!$I$3:$I$3002,업무일지!$C$3:$C$3002,프로젝트목록!$A21,업무일지!$B$3:$B$3002,B$5,업무일지!$A$3:$A$3002,"&gt;="&amp;DATE($B$3,1,1),업무일지!$A$3:$A$3002,"&lt;="&amp;DATE($B$3,12,31)),2))</f>
        <v/>
      </c>
      <c r="C24" s="40" t="str">
        <f>IF(OR($A24="",C$5=""),"",ROUND(SUMIFS(업무일지!$I$3:$I$3002,업무일지!$C$3:$C$3002,프로젝트목록!$A21,업무일지!$B$3:$B$3002,C$5,업무일지!$A$3:$A$3002,"&gt;="&amp;DATE($B$3,1,1),업무일지!$A$3:$A$3002,"&lt;="&amp;DATE($B$3,12,31)),2))</f>
        <v/>
      </c>
      <c r="D24" s="40" t="str">
        <f>IF(OR($A24="",D$5=""),"",ROUND(SUMIFS(업무일지!$I$3:$I$3002,업무일지!$C$3:$C$3002,프로젝트목록!$A21,업무일지!$B$3:$B$3002,D$5,업무일지!$A$3:$A$3002,"&gt;="&amp;DATE($B$3,1,1),업무일지!$A$3:$A$3002,"&lt;="&amp;DATE($B$3,12,31)),2))</f>
        <v/>
      </c>
      <c r="E24" s="40" t="str">
        <f>IF(OR($A24="",E$5=""),"",ROUND(SUMIFS(업무일지!$I$3:$I$3002,업무일지!$C$3:$C$3002,프로젝트목록!$A21,업무일지!$B$3:$B$3002,E$5,업무일지!$A$3:$A$3002,"&gt;="&amp;DATE($B$3,1,1),업무일지!$A$3:$A$3002,"&lt;="&amp;DATE($B$3,12,31)),2))</f>
        <v/>
      </c>
      <c r="F24" s="40" t="str">
        <f>IF(OR($A24="",F$5=""),"",ROUND(SUMIFS(업무일지!$I$3:$I$3002,업무일지!$C$3:$C$3002,프로젝트목록!$A21,업무일지!$B$3:$B$3002,F$5,업무일지!$A$3:$A$3002,"&gt;="&amp;DATE($B$3,1,1),업무일지!$A$3:$A$3002,"&lt;="&amp;DATE($B$3,12,31)),2))</f>
        <v/>
      </c>
      <c r="G24" s="40" t="str">
        <f>IF(OR($A24="",G$5=""),"",ROUND(SUMIFS(업무일지!$I$3:$I$3002,업무일지!$C$3:$C$3002,프로젝트목록!$A21,업무일지!$B$3:$B$3002,G$5,업무일지!$A$3:$A$3002,"&gt;="&amp;DATE($B$3,1,1),업무일지!$A$3:$A$3002,"&lt;="&amp;DATE($B$3,12,31)),2))</f>
        <v/>
      </c>
      <c r="H24" s="40" t="str">
        <f>IF(OR($A24="",H$5=""),"",ROUND(SUMIFS(업무일지!$I$3:$I$3002,업무일지!$C$3:$C$3002,프로젝트목록!$A21,업무일지!$B$3:$B$3002,H$5,업무일지!$A$3:$A$3002,"&gt;="&amp;DATE($B$3,1,1),업무일지!$A$3:$A$3002,"&lt;="&amp;DATE($B$3,12,31)),2))</f>
        <v/>
      </c>
      <c r="I24" s="40" t="str">
        <f>IF(OR($A24="",I$5=""),"",ROUND(SUMIFS(업무일지!$I$3:$I$3002,업무일지!$C$3:$C$3002,프로젝트목록!$A21,업무일지!$B$3:$B$3002,I$5,업무일지!$A$3:$A$3002,"&gt;="&amp;DATE($B$3,1,1),업무일지!$A$3:$A$3002,"&lt;="&amp;DATE($B$3,12,31)),2))</f>
        <v/>
      </c>
      <c r="J24" s="40" t="str">
        <f>IF(OR($A24="",J$5=""),"",ROUND(SUMIFS(업무일지!$I$3:$I$3002,업무일지!$C$3:$C$3002,프로젝트목록!$A21,업무일지!$B$3:$B$3002,J$5,업무일지!$A$3:$A$3002,"&gt;="&amp;DATE($B$3,1,1),업무일지!$A$3:$A$3002,"&lt;="&amp;DATE($B$3,12,31)),2))</f>
        <v/>
      </c>
      <c r="K24" s="40" t="str">
        <f>IF(OR($A24="",K$5=""),"",ROUND(SUMIFS(업무일지!$I$3:$I$3002,업무일지!$C$3:$C$3002,프로젝트목록!$A21,업무일지!$B$3:$B$3002,K$5,업무일지!$A$3:$A$3002,"&gt;="&amp;DATE($B$3,1,1),업무일지!$A$3:$A$3002,"&lt;="&amp;DATE($B$3,12,31)),2))</f>
        <v/>
      </c>
      <c r="L24" s="44" t="str">
        <f>IF($A24="","",ROUND(SUM(B24:K24),2))</f>
        <v/>
      </c>
    </row>
    <row r="25" ht="15" customHeight="1" s="26">
      <c r="A25" s="37" t="str">
        <f>IF(프로젝트목록!$A22="","",프로젝트목록!$B22)</f>
        <v/>
      </c>
      <c r="B25" s="40" t="str">
        <f>IF(OR($A25="",B$5=""),"",ROUND(SUMIFS(업무일지!$I$3:$I$3002,업무일지!$C$3:$C$3002,프로젝트목록!$A22,업무일지!$B$3:$B$3002,B$5,업무일지!$A$3:$A$3002,"&gt;="&amp;DATE($B$3,1,1),업무일지!$A$3:$A$3002,"&lt;="&amp;DATE($B$3,12,31)),2))</f>
        <v/>
      </c>
      <c r="C25" s="40" t="str">
        <f>IF(OR($A25="",C$5=""),"",ROUND(SUMIFS(업무일지!$I$3:$I$3002,업무일지!$C$3:$C$3002,프로젝트목록!$A22,업무일지!$B$3:$B$3002,C$5,업무일지!$A$3:$A$3002,"&gt;="&amp;DATE($B$3,1,1),업무일지!$A$3:$A$3002,"&lt;="&amp;DATE($B$3,12,31)),2))</f>
        <v/>
      </c>
      <c r="D25" s="40" t="str">
        <f>IF(OR($A25="",D$5=""),"",ROUND(SUMIFS(업무일지!$I$3:$I$3002,업무일지!$C$3:$C$3002,프로젝트목록!$A22,업무일지!$B$3:$B$3002,D$5,업무일지!$A$3:$A$3002,"&gt;="&amp;DATE($B$3,1,1),업무일지!$A$3:$A$3002,"&lt;="&amp;DATE($B$3,12,31)),2))</f>
        <v/>
      </c>
      <c r="E25" s="40" t="str">
        <f>IF(OR($A25="",E$5=""),"",ROUND(SUMIFS(업무일지!$I$3:$I$3002,업무일지!$C$3:$C$3002,프로젝트목록!$A22,업무일지!$B$3:$B$3002,E$5,업무일지!$A$3:$A$3002,"&gt;="&amp;DATE($B$3,1,1),업무일지!$A$3:$A$3002,"&lt;="&amp;DATE($B$3,12,31)),2))</f>
        <v/>
      </c>
      <c r="F25" s="40" t="str">
        <f>IF(OR($A25="",F$5=""),"",ROUND(SUMIFS(업무일지!$I$3:$I$3002,업무일지!$C$3:$C$3002,프로젝트목록!$A22,업무일지!$B$3:$B$3002,F$5,업무일지!$A$3:$A$3002,"&gt;="&amp;DATE($B$3,1,1),업무일지!$A$3:$A$3002,"&lt;="&amp;DATE($B$3,12,31)),2))</f>
        <v/>
      </c>
      <c r="G25" s="40" t="str">
        <f>IF(OR($A25="",G$5=""),"",ROUND(SUMIFS(업무일지!$I$3:$I$3002,업무일지!$C$3:$C$3002,프로젝트목록!$A22,업무일지!$B$3:$B$3002,G$5,업무일지!$A$3:$A$3002,"&gt;="&amp;DATE($B$3,1,1),업무일지!$A$3:$A$3002,"&lt;="&amp;DATE($B$3,12,31)),2))</f>
        <v/>
      </c>
      <c r="H25" s="40" t="str">
        <f>IF(OR($A25="",H$5=""),"",ROUND(SUMIFS(업무일지!$I$3:$I$3002,업무일지!$C$3:$C$3002,프로젝트목록!$A22,업무일지!$B$3:$B$3002,H$5,업무일지!$A$3:$A$3002,"&gt;="&amp;DATE($B$3,1,1),업무일지!$A$3:$A$3002,"&lt;="&amp;DATE($B$3,12,31)),2))</f>
        <v/>
      </c>
      <c r="I25" s="40" t="str">
        <f>IF(OR($A25="",I$5=""),"",ROUND(SUMIFS(업무일지!$I$3:$I$3002,업무일지!$C$3:$C$3002,프로젝트목록!$A22,업무일지!$B$3:$B$3002,I$5,업무일지!$A$3:$A$3002,"&gt;="&amp;DATE($B$3,1,1),업무일지!$A$3:$A$3002,"&lt;="&amp;DATE($B$3,12,31)),2))</f>
        <v/>
      </c>
      <c r="J25" s="40" t="str">
        <f>IF(OR($A25="",J$5=""),"",ROUND(SUMIFS(업무일지!$I$3:$I$3002,업무일지!$C$3:$C$3002,프로젝트목록!$A22,업무일지!$B$3:$B$3002,J$5,업무일지!$A$3:$A$3002,"&gt;="&amp;DATE($B$3,1,1),업무일지!$A$3:$A$3002,"&lt;="&amp;DATE($B$3,12,31)),2))</f>
        <v/>
      </c>
      <c r="K25" s="40" t="str">
        <f>IF(OR($A25="",K$5=""),"",ROUND(SUMIFS(업무일지!$I$3:$I$3002,업무일지!$C$3:$C$3002,프로젝트목록!$A22,업무일지!$B$3:$B$3002,K$5,업무일지!$A$3:$A$3002,"&gt;="&amp;DATE($B$3,1,1),업무일지!$A$3:$A$3002,"&lt;="&amp;DATE($B$3,12,31)),2))</f>
        <v/>
      </c>
      <c r="L25" s="44" t="str">
        <f>IF($A25="","",ROUND(SUM(B25:K25),2))</f>
        <v/>
      </c>
    </row>
    <row r="26" ht="15" customHeight="1" s="26">
      <c r="A26" s="37" t="str">
        <f>IF(프로젝트목록!$A23="","",프로젝트목록!$B23)</f>
        <v/>
      </c>
      <c r="B26" s="40" t="str">
        <f>IF(OR($A26="",B$5=""),"",ROUND(SUMIFS(업무일지!$I$3:$I$3002,업무일지!$C$3:$C$3002,프로젝트목록!$A23,업무일지!$B$3:$B$3002,B$5,업무일지!$A$3:$A$3002,"&gt;="&amp;DATE($B$3,1,1),업무일지!$A$3:$A$3002,"&lt;="&amp;DATE($B$3,12,31)),2))</f>
        <v/>
      </c>
      <c r="C26" s="40" t="str">
        <f>IF(OR($A26="",C$5=""),"",ROUND(SUMIFS(업무일지!$I$3:$I$3002,업무일지!$C$3:$C$3002,프로젝트목록!$A23,업무일지!$B$3:$B$3002,C$5,업무일지!$A$3:$A$3002,"&gt;="&amp;DATE($B$3,1,1),업무일지!$A$3:$A$3002,"&lt;="&amp;DATE($B$3,12,31)),2))</f>
        <v/>
      </c>
      <c r="D26" s="40" t="str">
        <f>IF(OR($A26="",D$5=""),"",ROUND(SUMIFS(업무일지!$I$3:$I$3002,업무일지!$C$3:$C$3002,프로젝트목록!$A23,업무일지!$B$3:$B$3002,D$5,업무일지!$A$3:$A$3002,"&gt;="&amp;DATE($B$3,1,1),업무일지!$A$3:$A$3002,"&lt;="&amp;DATE($B$3,12,31)),2))</f>
        <v/>
      </c>
      <c r="E26" s="40" t="str">
        <f>IF(OR($A26="",E$5=""),"",ROUND(SUMIFS(업무일지!$I$3:$I$3002,업무일지!$C$3:$C$3002,프로젝트목록!$A23,업무일지!$B$3:$B$3002,E$5,업무일지!$A$3:$A$3002,"&gt;="&amp;DATE($B$3,1,1),업무일지!$A$3:$A$3002,"&lt;="&amp;DATE($B$3,12,31)),2))</f>
        <v/>
      </c>
      <c r="F26" s="40" t="str">
        <f>IF(OR($A26="",F$5=""),"",ROUND(SUMIFS(업무일지!$I$3:$I$3002,업무일지!$C$3:$C$3002,프로젝트목록!$A23,업무일지!$B$3:$B$3002,F$5,업무일지!$A$3:$A$3002,"&gt;="&amp;DATE($B$3,1,1),업무일지!$A$3:$A$3002,"&lt;="&amp;DATE($B$3,12,31)),2))</f>
        <v/>
      </c>
      <c r="G26" s="40" t="str">
        <f>IF(OR($A26="",G$5=""),"",ROUND(SUMIFS(업무일지!$I$3:$I$3002,업무일지!$C$3:$C$3002,프로젝트목록!$A23,업무일지!$B$3:$B$3002,G$5,업무일지!$A$3:$A$3002,"&gt;="&amp;DATE($B$3,1,1),업무일지!$A$3:$A$3002,"&lt;="&amp;DATE($B$3,12,31)),2))</f>
        <v/>
      </c>
      <c r="H26" s="40" t="str">
        <f>IF(OR($A26="",H$5=""),"",ROUND(SUMIFS(업무일지!$I$3:$I$3002,업무일지!$C$3:$C$3002,프로젝트목록!$A23,업무일지!$B$3:$B$3002,H$5,업무일지!$A$3:$A$3002,"&gt;="&amp;DATE($B$3,1,1),업무일지!$A$3:$A$3002,"&lt;="&amp;DATE($B$3,12,31)),2))</f>
        <v/>
      </c>
      <c r="I26" s="40" t="str">
        <f>IF(OR($A26="",I$5=""),"",ROUND(SUMIFS(업무일지!$I$3:$I$3002,업무일지!$C$3:$C$3002,프로젝트목록!$A23,업무일지!$B$3:$B$3002,I$5,업무일지!$A$3:$A$3002,"&gt;="&amp;DATE($B$3,1,1),업무일지!$A$3:$A$3002,"&lt;="&amp;DATE($B$3,12,31)),2))</f>
        <v/>
      </c>
      <c r="J26" s="40" t="str">
        <f>IF(OR($A26="",J$5=""),"",ROUND(SUMIFS(업무일지!$I$3:$I$3002,업무일지!$C$3:$C$3002,프로젝트목록!$A23,업무일지!$B$3:$B$3002,J$5,업무일지!$A$3:$A$3002,"&gt;="&amp;DATE($B$3,1,1),업무일지!$A$3:$A$3002,"&lt;="&amp;DATE($B$3,12,31)),2))</f>
        <v/>
      </c>
      <c r="K26" s="40" t="str">
        <f>IF(OR($A26="",K$5=""),"",ROUND(SUMIFS(업무일지!$I$3:$I$3002,업무일지!$C$3:$C$3002,프로젝트목록!$A23,업무일지!$B$3:$B$3002,K$5,업무일지!$A$3:$A$3002,"&gt;="&amp;DATE($B$3,1,1),업무일지!$A$3:$A$3002,"&lt;="&amp;DATE($B$3,12,31)),2))</f>
        <v/>
      </c>
      <c r="L26" s="44" t="str">
        <f>IF($A26="","",ROUND(SUM(B26:K26),2))</f>
        <v/>
      </c>
    </row>
    <row r="27" ht="15" customHeight="1" s="26">
      <c r="A27" s="37" t="str">
        <f>IF(프로젝트목록!$A24="","",프로젝트목록!$B24)</f>
        <v/>
      </c>
      <c r="B27" s="40" t="str">
        <f>IF(OR($A27="",B$5=""),"",ROUND(SUMIFS(업무일지!$I$3:$I$3002,업무일지!$C$3:$C$3002,프로젝트목록!$A24,업무일지!$B$3:$B$3002,B$5,업무일지!$A$3:$A$3002,"&gt;="&amp;DATE($B$3,1,1),업무일지!$A$3:$A$3002,"&lt;="&amp;DATE($B$3,12,31)),2))</f>
        <v/>
      </c>
      <c r="C27" s="40" t="str">
        <f>IF(OR($A27="",C$5=""),"",ROUND(SUMIFS(업무일지!$I$3:$I$3002,업무일지!$C$3:$C$3002,프로젝트목록!$A24,업무일지!$B$3:$B$3002,C$5,업무일지!$A$3:$A$3002,"&gt;="&amp;DATE($B$3,1,1),업무일지!$A$3:$A$3002,"&lt;="&amp;DATE($B$3,12,31)),2))</f>
        <v/>
      </c>
      <c r="D27" s="40" t="str">
        <f>IF(OR($A27="",D$5=""),"",ROUND(SUMIFS(업무일지!$I$3:$I$3002,업무일지!$C$3:$C$3002,프로젝트목록!$A24,업무일지!$B$3:$B$3002,D$5,업무일지!$A$3:$A$3002,"&gt;="&amp;DATE($B$3,1,1),업무일지!$A$3:$A$3002,"&lt;="&amp;DATE($B$3,12,31)),2))</f>
        <v/>
      </c>
      <c r="E27" s="40" t="str">
        <f>IF(OR($A27="",E$5=""),"",ROUND(SUMIFS(업무일지!$I$3:$I$3002,업무일지!$C$3:$C$3002,프로젝트목록!$A24,업무일지!$B$3:$B$3002,E$5,업무일지!$A$3:$A$3002,"&gt;="&amp;DATE($B$3,1,1),업무일지!$A$3:$A$3002,"&lt;="&amp;DATE($B$3,12,31)),2))</f>
        <v/>
      </c>
      <c r="F27" s="40" t="str">
        <f>IF(OR($A27="",F$5=""),"",ROUND(SUMIFS(업무일지!$I$3:$I$3002,업무일지!$C$3:$C$3002,프로젝트목록!$A24,업무일지!$B$3:$B$3002,F$5,업무일지!$A$3:$A$3002,"&gt;="&amp;DATE($B$3,1,1),업무일지!$A$3:$A$3002,"&lt;="&amp;DATE($B$3,12,31)),2))</f>
        <v/>
      </c>
      <c r="G27" s="40" t="str">
        <f>IF(OR($A27="",G$5=""),"",ROUND(SUMIFS(업무일지!$I$3:$I$3002,업무일지!$C$3:$C$3002,프로젝트목록!$A24,업무일지!$B$3:$B$3002,G$5,업무일지!$A$3:$A$3002,"&gt;="&amp;DATE($B$3,1,1),업무일지!$A$3:$A$3002,"&lt;="&amp;DATE($B$3,12,31)),2))</f>
        <v/>
      </c>
      <c r="H27" s="40" t="str">
        <f>IF(OR($A27="",H$5=""),"",ROUND(SUMIFS(업무일지!$I$3:$I$3002,업무일지!$C$3:$C$3002,프로젝트목록!$A24,업무일지!$B$3:$B$3002,H$5,업무일지!$A$3:$A$3002,"&gt;="&amp;DATE($B$3,1,1),업무일지!$A$3:$A$3002,"&lt;="&amp;DATE($B$3,12,31)),2))</f>
        <v/>
      </c>
      <c r="I27" s="40" t="str">
        <f>IF(OR($A27="",I$5=""),"",ROUND(SUMIFS(업무일지!$I$3:$I$3002,업무일지!$C$3:$C$3002,프로젝트목록!$A24,업무일지!$B$3:$B$3002,I$5,업무일지!$A$3:$A$3002,"&gt;="&amp;DATE($B$3,1,1),업무일지!$A$3:$A$3002,"&lt;="&amp;DATE($B$3,12,31)),2))</f>
        <v/>
      </c>
      <c r="J27" s="40" t="str">
        <f>IF(OR($A27="",J$5=""),"",ROUND(SUMIFS(업무일지!$I$3:$I$3002,업무일지!$C$3:$C$3002,프로젝트목록!$A24,업무일지!$B$3:$B$3002,J$5,업무일지!$A$3:$A$3002,"&gt;="&amp;DATE($B$3,1,1),업무일지!$A$3:$A$3002,"&lt;="&amp;DATE($B$3,12,31)),2))</f>
        <v/>
      </c>
      <c r="K27" s="40" t="str">
        <f>IF(OR($A27="",K$5=""),"",ROUND(SUMIFS(업무일지!$I$3:$I$3002,업무일지!$C$3:$C$3002,프로젝트목록!$A24,업무일지!$B$3:$B$3002,K$5,업무일지!$A$3:$A$3002,"&gt;="&amp;DATE($B$3,1,1),업무일지!$A$3:$A$3002,"&lt;="&amp;DATE($B$3,12,31)),2))</f>
        <v/>
      </c>
      <c r="L27" s="44" t="str">
        <f>IF($A27="","",ROUND(SUM(B27:K27),2))</f>
        <v/>
      </c>
    </row>
    <row r="28" ht="15" customHeight="1" s="26">
      <c r="A28" s="37" t="str">
        <f>IF(프로젝트목록!$A25="","",프로젝트목록!$B25)</f>
        <v/>
      </c>
      <c r="B28" s="40" t="str">
        <f>IF(OR($A28="",B$5=""),"",ROUND(SUMIFS(업무일지!$I$3:$I$3002,업무일지!$C$3:$C$3002,프로젝트목록!$A25,업무일지!$B$3:$B$3002,B$5,업무일지!$A$3:$A$3002,"&gt;="&amp;DATE($B$3,1,1),업무일지!$A$3:$A$3002,"&lt;="&amp;DATE($B$3,12,31)),2))</f>
        <v/>
      </c>
      <c r="C28" s="40" t="str">
        <f>IF(OR($A28="",C$5=""),"",ROUND(SUMIFS(업무일지!$I$3:$I$3002,업무일지!$C$3:$C$3002,프로젝트목록!$A25,업무일지!$B$3:$B$3002,C$5,업무일지!$A$3:$A$3002,"&gt;="&amp;DATE($B$3,1,1),업무일지!$A$3:$A$3002,"&lt;="&amp;DATE($B$3,12,31)),2))</f>
        <v/>
      </c>
      <c r="D28" s="40" t="str">
        <f>IF(OR($A28="",D$5=""),"",ROUND(SUMIFS(업무일지!$I$3:$I$3002,업무일지!$C$3:$C$3002,프로젝트목록!$A25,업무일지!$B$3:$B$3002,D$5,업무일지!$A$3:$A$3002,"&gt;="&amp;DATE($B$3,1,1),업무일지!$A$3:$A$3002,"&lt;="&amp;DATE($B$3,12,31)),2))</f>
        <v/>
      </c>
      <c r="E28" s="40" t="str">
        <f>IF(OR($A28="",E$5=""),"",ROUND(SUMIFS(업무일지!$I$3:$I$3002,업무일지!$C$3:$C$3002,프로젝트목록!$A25,업무일지!$B$3:$B$3002,E$5,업무일지!$A$3:$A$3002,"&gt;="&amp;DATE($B$3,1,1),업무일지!$A$3:$A$3002,"&lt;="&amp;DATE($B$3,12,31)),2))</f>
        <v/>
      </c>
      <c r="F28" s="40" t="str">
        <f>IF(OR($A28="",F$5=""),"",ROUND(SUMIFS(업무일지!$I$3:$I$3002,업무일지!$C$3:$C$3002,프로젝트목록!$A25,업무일지!$B$3:$B$3002,F$5,업무일지!$A$3:$A$3002,"&gt;="&amp;DATE($B$3,1,1),업무일지!$A$3:$A$3002,"&lt;="&amp;DATE($B$3,12,31)),2))</f>
        <v/>
      </c>
      <c r="G28" s="40" t="str">
        <f>IF(OR($A28="",G$5=""),"",ROUND(SUMIFS(업무일지!$I$3:$I$3002,업무일지!$C$3:$C$3002,프로젝트목록!$A25,업무일지!$B$3:$B$3002,G$5,업무일지!$A$3:$A$3002,"&gt;="&amp;DATE($B$3,1,1),업무일지!$A$3:$A$3002,"&lt;="&amp;DATE($B$3,12,31)),2))</f>
        <v/>
      </c>
      <c r="H28" s="40" t="str">
        <f>IF(OR($A28="",H$5=""),"",ROUND(SUMIFS(업무일지!$I$3:$I$3002,업무일지!$C$3:$C$3002,프로젝트목록!$A25,업무일지!$B$3:$B$3002,H$5,업무일지!$A$3:$A$3002,"&gt;="&amp;DATE($B$3,1,1),업무일지!$A$3:$A$3002,"&lt;="&amp;DATE($B$3,12,31)),2))</f>
        <v/>
      </c>
      <c r="I28" s="40" t="str">
        <f>IF(OR($A28="",I$5=""),"",ROUND(SUMIFS(업무일지!$I$3:$I$3002,업무일지!$C$3:$C$3002,프로젝트목록!$A25,업무일지!$B$3:$B$3002,I$5,업무일지!$A$3:$A$3002,"&gt;="&amp;DATE($B$3,1,1),업무일지!$A$3:$A$3002,"&lt;="&amp;DATE($B$3,12,31)),2))</f>
        <v/>
      </c>
      <c r="J28" s="40" t="str">
        <f>IF(OR($A28="",J$5=""),"",ROUND(SUMIFS(업무일지!$I$3:$I$3002,업무일지!$C$3:$C$3002,프로젝트목록!$A25,업무일지!$B$3:$B$3002,J$5,업무일지!$A$3:$A$3002,"&gt;="&amp;DATE($B$3,1,1),업무일지!$A$3:$A$3002,"&lt;="&amp;DATE($B$3,12,31)),2))</f>
        <v/>
      </c>
      <c r="K28" s="40" t="str">
        <f>IF(OR($A28="",K$5=""),"",ROUND(SUMIFS(업무일지!$I$3:$I$3002,업무일지!$C$3:$C$3002,프로젝트목록!$A25,업무일지!$B$3:$B$3002,K$5,업무일지!$A$3:$A$3002,"&gt;="&amp;DATE($B$3,1,1),업무일지!$A$3:$A$3002,"&lt;="&amp;DATE($B$3,12,31)),2))</f>
        <v/>
      </c>
      <c r="L28" s="44" t="str">
        <f>IF($A28="","",ROUND(SUM(B28:K28),2))</f>
        <v/>
      </c>
    </row>
    <row r="29" ht="15" customHeight="1" s="26">
      <c r="A29" s="37" t="str">
        <f>IF(프로젝트목록!$A26="","",프로젝트목록!$B26)</f>
        <v/>
      </c>
      <c r="B29" s="40" t="str">
        <f>IF(OR($A29="",B$5=""),"",ROUND(SUMIFS(업무일지!$I$3:$I$3002,업무일지!$C$3:$C$3002,프로젝트목록!$A26,업무일지!$B$3:$B$3002,B$5,업무일지!$A$3:$A$3002,"&gt;="&amp;DATE($B$3,1,1),업무일지!$A$3:$A$3002,"&lt;="&amp;DATE($B$3,12,31)),2))</f>
        <v/>
      </c>
      <c r="C29" s="40" t="str">
        <f>IF(OR($A29="",C$5=""),"",ROUND(SUMIFS(업무일지!$I$3:$I$3002,업무일지!$C$3:$C$3002,프로젝트목록!$A26,업무일지!$B$3:$B$3002,C$5,업무일지!$A$3:$A$3002,"&gt;="&amp;DATE($B$3,1,1),업무일지!$A$3:$A$3002,"&lt;="&amp;DATE($B$3,12,31)),2))</f>
        <v/>
      </c>
      <c r="D29" s="40" t="str">
        <f>IF(OR($A29="",D$5=""),"",ROUND(SUMIFS(업무일지!$I$3:$I$3002,업무일지!$C$3:$C$3002,프로젝트목록!$A26,업무일지!$B$3:$B$3002,D$5,업무일지!$A$3:$A$3002,"&gt;="&amp;DATE($B$3,1,1),업무일지!$A$3:$A$3002,"&lt;="&amp;DATE($B$3,12,31)),2))</f>
        <v/>
      </c>
      <c r="E29" s="40" t="str">
        <f>IF(OR($A29="",E$5=""),"",ROUND(SUMIFS(업무일지!$I$3:$I$3002,업무일지!$C$3:$C$3002,프로젝트목록!$A26,업무일지!$B$3:$B$3002,E$5,업무일지!$A$3:$A$3002,"&gt;="&amp;DATE($B$3,1,1),업무일지!$A$3:$A$3002,"&lt;="&amp;DATE($B$3,12,31)),2))</f>
        <v/>
      </c>
      <c r="F29" s="40" t="str">
        <f>IF(OR($A29="",F$5=""),"",ROUND(SUMIFS(업무일지!$I$3:$I$3002,업무일지!$C$3:$C$3002,프로젝트목록!$A26,업무일지!$B$3:$B$3002,F$5,업무일지!$A$3:$A$3002,"&gt;="&amp;DATE($B$3,1,1),업무일지!$A$3:$A$3002,"&lt;="&amp;DATE($B$3,12,31)),2))</f>
        <v/>
      </c>
      <c r="G29" s="40" t="str">
        <f>IF(OR($A29="",G$5=""),"",ROUND(SUMIFS(업무일지!$I$3:$I$3002,업무일지!$C$3:$C$3002,프로젝트목록!$A26,업무일지!$B$3:$B$3002,G$5,업무일지!$A$3:$A$3002,"&gt;="&amp;DATE($B$3,1,1),업무일지!$A$3:$A$3002,"&lt;="&amp;DATE($B$3,12,31)),2))</f>
        <v/>
      </c>
      <c r="H29" s="40" t="str">
        <f>IF(OR($A29="",H$5=""),"",ROUND(SUMIFS(업무일지!$I$3:$I$3002,업무일지!$C$3:$C$3002,프로젝트목록!$A26,업무일지!$B$3:$B$3002,H$5,업무일지!$A$3:$A$3002,"&gt;="&amp;DATE($B$3,1,1),업무일지!$A$3:$A$3002,"&lt;="&amp;DATE($B$3,12,31)),2))</f>
        <v/>
      </c>
      <c r="I29" s="40" t="str">
        <f>IF(OR($A29="",I$5=""),"",ROUND(SUMIFS(업무일지!$I$3:$I$3002,업무일지!$C$3:$C$3002,프로젝트목록!$A26,업무일지!$B$3:$B$3002,I$5,업무일지!$A$3:$A$3002,"&gt;="&amp;DATE($B$3,1,1),업무일지!$A$3:$A$3002,"&lt;="&amp;DATE($B$3,12,31)),2))</f>
        <v/>
      </c>
      <c r="J29" s="40" t="str">
        <f>IF(OR($A29="",J$5=""),"",ROUND(SUMIFS(업무일지!$I$3:$I$3002,업무일지!$C$3:$C$3002,프로젝트목록!$A26,업무일지!$B$3:$B$3002,J$5,업무일지!$A$3:$A$3002,"&gt;="&amp;DATE($B$3,1,1),업무일지!$A$3:$A$3002,"&lt;="&amp;DATE($B$3,12,31)),2))</f>
        <v/>
      </c>
      <c r="K29" s="40" t="str">
        <f>IF(OR($A29="",K$5=""),"",ROUND(SUMIFS(업무일지!$I$3:$I$3002,업무일지!$C$3:$C$3002,프로젝트목록!$A26,업무일지!$B$3:$B$3002,K$5,업무일지!$A$3:$A$3002,"&gt;="&amp;DATE($B$3,1,1),업무일지!$A$3:$A$3002,"&lt;="&amp;DATE($B$3,12,31)),2))</f>
        <v/>
      </c>
      <c r="L29" s="44" t="str">
        <f>IF($A29="","",ROUND(SUM(B29:K29),2))</f>
        <v/>
      </c>
    </row>
    <row r="30" ht="15" customHeight="1" s="26">
      <c r="A30" s="37" t="str">
        <f>IF(프로젝트목록!$A27="","",프로젝트목록!$B27)</f>
        <v/>
      </c>
      <c r="B30" s="40" t="str">
        <f>IF(OR($A30="",B$5=""),"",ROUND(SUMIFS(업무일지!$I$3:$I$3002,업무일지!$C$3:$C$3002,프로젝트목록!$A27,업무일지!$B$3:$B$3002,B$5,업무일지!$A$3:$A$3002,"&gt;="&amp;DATE($B$3,1,1),업무일지!$A$3:$A$3002,"&lt;="&amp;DATE($B$3,12,31)),2))</f>
        <v/>
      </c>
      <c r="C30" s="40" t="str">
        <f>IF(OR($A30="",C$5=""),"",ROUND(SUMIFS(업무일지!$I$3:$I$3002,업무일지!$C$3:$C$3002,프로젝트목록!$A27,업무일지!$B$3:$B$3002,C$5,업무일지!$A$3:$A$3002,"&gt;="&amp;DATE($B$3,1,1),업무일지!$A$3:$A$3002,"&lt;="&amp;DATE($B$3,12,31)),2))</f>
        <v/>
      </c>
      <c r="D30" s="40" t="str">
        <f>IF(OR($A30="",D$5=""),"",ROUND(SUMIFS(업무일지!$I$3:$I$3002,업무일지!$C$3:$C$3002,프로젝트목록!$A27,업무일지!$B$3:$B$3002,D$5,업무일지!$A$3:$A$3002,"&gt;="&amp;DATE($B$3,1,1),업무일지!$A$3:$A$3002,"&lt;="&amp;DATE($B$3,12,31)),2))</f>
        <v/>
      </c>
      <c r="E30" s="40" t="str">
        <f>IF(OR($A30="",E$5=""),"",ROUND(SUMIFS(업무일지!$I$3:$I$3002,업무일지!$C$3:$C$3002,프로젝트목록!$A27,업무일지!$B$3:$B$3002,E$5,업무일지!$A$3:$A$3002,"&gt;="&amp;DATE($B$3,1,1),업무일지!$A$3:$A$3002,"&lt;="&amp;DATE($B$3,12,31)),2))</f>
        <v/>
      </c>
      <c r="F30" s="40" t="str">
        <f>IF(OR($A30="",F$5=""),"",ROUND(SUMIFS(업무일지!$I$3:$I$3002,업무일지!$C$3:$C$3002,프로젝트목록!$A27,업무일지!$B$3:$B$3002,F$5,업무일지!$A$3:$A$3002,"&gt;="&amp;DATE($B$3,1,1),업무일지!$A$3:$A$3002,"&lt;="&amp;DATE($B$3,12,31)),2))</f>
        <v/>
      </c>
      <c r="G30" s="40" t="str">
        <f>IF(OR($A30="",G$5=""),"",ROUND(SUMIFS(업무일지!$I$3:$I$3002,업무일지!$C$3:$C$3002,프로젝트목록!$A27,업무일지!$B$3:$B$3002,G$5,업무일지!$A$3:$A$3002,"&gt;="&amp;DATE($B$3,1,1),업무일지!$A$3:$A$3002,"&lt;="&amp;DATE($B$3,12,31)),2))</f>
        <v/>
      </c>
      <c r="H30" s="40" t="str">
        <f>IF(OR($A30="",H$5=""),"",ROUND(SUMIFS(업무일지!$I$3:$I$3002,업무일지!$C$3:$C$3002,프로젝트목록!$A27,업무일지!$B$3:$B$3002,H$5,업무일지!$A$3:$A$3002,"&gt;="&amp;DATE($B$3,1,1),업무일지!$A$3:$A$3002,"&lt;="&amp;DATE($B$3,12,31)),2))</f>
        <v/>
      </c>
      <c r="I30" s="40" t="str">
        <f>IF(OR($A30="",I$5=""),"",ROUND(SUMIFS(업무일지!$I$3:$I$3002,업무일지!$C$3:$C$3002,프로젝트목록!$A27,업무일지!$B$3:$B$3002,I$5,업무일지!$A$3:$A$3002,"&gt;="&amp;DATE($B$3,1,1),업무일지!$A$3:$A$3002,"&lt;="&amp;DATE($B$3,12,31)),2))</f>
        <v/>
      </c>
      <c r="J30" s="40" t="str">
        <f>IF(OR($A30="",J$5=""),"",ROUND(SUMIFS(업무일지!$I$3:$I$3002,업무일지!$C$3:$C$3002,프로젝트목록!$A27,업무일지!$B$3:$B$3002,J$5,업무일지!$A$3:$A$3002,"&gt;="&amp;DATE($B$3,1,1),업무일지!$A$3:$A$3002,"&lt;="&amp;DATE($B$3,12,31)),2))</f>
        <v/>
      </c>
      <c r="K30" s="40" t="str">
        <f>IF(OR($A30="",K$5=""),"",ROUND(SUMIFS(업무일지!$I$3:$I$3002,업무일지!$C$3:$C$3002,프로젝트목록!$A27,업무일지!$B$3:$B$3002,K$5,업무일지!$A$3:$A$3002,"&gt;="&amp;DATE($B$3,1,1),업무일지!$A$3:$A$3002,"&lt;="&amp;DATE($B$3,12,31)),2))</f>
        <v/>
      </c>
      <c r="L30" s="44" t="str">
        <f>IF($A30="","",ROUND(SUM(B30:K30),2))</f>
        <v/>
      </c>
    </row>
    <row r="31" ht="15" customHeight="1" s="26">
      <c r="A31" s="37" t="str">
        <f>IF(프로젝트목록!$A28="","",프로젝트목록!$B28)</f>
        <v/>
      </c>
      <c r="B31" s="40" t="str">
        <f>IF(OR($A31="",B$5=""),"",ROUND(SUMIFS(업무일지!$I$3:$I$3002,업무일지!$C$3:$C$3002,프로젝트목록!$A28,업무일지!$B$3:$B$3002,B$5,업무일지!$A$3:$A$3002,"&gt;="&amp;DATE($B$3,1,1),업무일지!$A$3:$A$3002,"&lt;="&amp;DATE($B$3,12,31)),2))</f>
        <v/>
      </c>
      <c r="C31" s="40" t="str">
        <f>IF(OR($A31="",C$5=""),"",ROUND(SUMIFS(업무일지!$I$3:$I$3002,업무일지!$C$3:$C$3002,프로젝트목록!$A28,업무일지!$B$3:$B$3002,C$5,업무일지!$A$3:$A$3002,"&gt;="&amp;DATE($B$3,1,1),업무일지!$A$3:$A$3002,"&lt;="&amp;DATE($B$3,12,31)),2))</f>
        <v/>
      </c>
      <c r="D31" s="40" t="str">
        <f>IF(OR($A31="",D$5=""),"",ROUND(SUMIFS(업무일지!$I$3:$I$3002,업무일지!$C$3:$C$3002,프로젝트목록!$A28,업무일지!$B$3:$B$3002,D$5,업무일지!$A$3:$A$3002,"&gt;="&amp;DATE($B$3,1,1),업무일지!$A$3:$A$3002,"&lt;="&amp;DATE($B$3,12,31)),2))</f>
        <v/>
      </c>
      <c r="E31" s="40" t="str">
        <f>IF(OR($A31="",E$5=""),"",ROUND(SUMIFS(업무일지!$I$3:$I$3002,업무일지!$C$3:$C$3002,프로젝트목록!$A28,업무일지!$B$3:$B$3002,E$5,업무일지!$A$3:$A$3002,"&gt;="&amp;DATE($B$3,1,1),업무일지!$A$3:$A$3002,"&lt;="&amp;DATE($B$3,12,31)),2))</f>
        <v/>
      </c>
      <c r="F31" s="40" t="str">
        <f>IF(OR($A31="",F$5=""),"",ROUND(SUMIFS(업무일지!$I$3:$I$3002,업무일지!$C$3:$C$3002,프로젝트목록!$A28,업무일지!$B$3:$B$3002,F$5,업무일지!$A$3:$A$3002,"&gt;="&amp;DATE($B$3,1,1),업무일지!$A$3:$A$3002,"&lt;="&amp;DATE($B$3,12,31)),2))</f>
        <v/>
      </c>
      <c r="G31" s="40" t="str">
        <f>IF(OR($A31="",G$5=""),"",ROUND(SUMIFS(업무일지!$I$3:$I$3002,업무일지!$C$3:$C$3002,프로젝트목록!$A28,업무일지!$B$3:$B$3002,G$5,업무일지!$A$3:$A$3002,"&gt;="&amp;DATE($B$3,1,1),업무일지!$A$3:$A$3002,"&lt;="&amp;DATE($B$3,12,31)),2))</f>
        <v/>
      </c>
      <c r="H31" s="40" t="str">
        <f>IF(OR($A31="",H$5=""),"",ROUND(SUMIFS(업무일지!$I$3:$I$3002,업무일지!$C$3:$C$3002,프로젝트목록!$A28,업무일지!$B$3:$B$3002,H$5,업무일지!$A$3:$A$3002,"&gt;="&amp;DATE($B$3,1,1),업무일지!$A$3:$A$3002,"&lt;="&amp;DATE($B$3,12,31)),2))</f>
        <v/>
      </c>
      <c r="I31" s="40" t="str">
        <f>IF(OR($A31="",I$5=""),"",ROUND(SUMIFS(업무일지!$I$3:$I$3002,업무일지!$C$3:$C$3002,프로젝트목록!$A28,업무일지!$B$3:$B$3002,I$5,업무일지!$A$3:$A$3002,"&gt;="&amp;DATE($B$3,1,1),업무일지!$A$3:$A$3002,"&lt;="&amp;DATE($B$3,12,31)),2))</f>
        <v/>
      </c>
      <c r="J31" s="40" t="str">
        <f>IF(OR($A31="",J$5=""),"",ROUND(SUMIFS(업무일지!$I$3:$I$3002,업무일지!$C$3:$C$3002,프로젝트목록!$A28,업무일지!$B$3:$B$3002,J$5,업무일지!$A$3:$A$3002,"&gt;="&amp;DATE($B$3,1,1),업무일지!$A$3:$A$3002,"&lt;="&amp;DATE($B$3,12,31)),2))</f>
        <v/>
      </c>
      <c r="K31" s="40" t="str">
        <f>IF(OR($A31="",K$5=""),"",ROUND(SUMIFS(업무일지!$I$3:$I$3002,업무일지!$C$3:$C$3002,프로젝트목록!$A28,업무일지!$B$3:$B$3002,K$5,업무일지!$A$3:$A$3002,"&gt;="&amp;DATE($B$3,1,1),업무일지!$A$3:$A$3002,"&lt;="&amp;DATE($B$3,12,31)),2))</f>
        <v/>
      </c>
      <c r="L31" s="44" t="str">
        <f>IF($A31="","",ROUND(SUM(B31:K31),2))</f>
        <v/>
      </c>
    </row>
    <row r="32" ht="15" customHeight="1" s="26">
      <c r="A32" s="37" t="str">
        <f>IF(프로젝트목록!$A29="","",프로젝트목록!$B29)</f>
        <v/>
      </c>
      <c r="B32" s="40" t="str">
        <f>IF(OR($A32="",B$5=""),"",ROUND(SUMIFS(업무일지!$I$3:$I$3002,업무일지!$C$3:$C$3002,프로젝트목록!$A29,업무일지!$B$3:$B$3002,B$5,업무일지!$A$3:$A$3002,"&gt;="&amp;DATE($B$3,1,1),업무일지!$A$3:$A$3002,"&lt;="&amp;DATE($B$3,12,31)),2))</f>
        <v/>
      </c>
      <c r="C32" s="40" t="str">
        <f>IF(OR($A32="",C$5=""),"",ROUND(SUMIFS(업무일지!$I$3:$I$3002,업무일지!$C$3:$C$3002,프로젝트목록!$A29,업무일지!$B$3:$B$3002,C$5,업무일지!$A$3:$A$3002,"&gt;="&amp;DATE($B$3,1,1),업무일지!$A$3:$A$3002,"&lt;="&amp;DATE($B$3,12,31)),2))</f>
        <v/>
      </c>
      <c r="D32" s="40" t="str">
        <f>IF(OR($A32="",D$5=""),"",ROUND(SUMIFS(업무일지!$I$3:$I$3002,업무일지!$C$3:$C$3002,프로젝트목록!$A29,업무일지!$B$3:$B$3002,D$5,업무일지!$A$3:$A$3002,"&gt;="&amp;DATE($B$3,1,1),업무일지!$A$3:$A$3002,"&lt;="&amp;DATE($B$3,12,31)),2))</f>
        <v/>
      </c>
      <c r="E32" s="40" t="str">
        <f>IF(OR($A32="",E$5=""),"",ROUND(SUMIFS(업무일지!$I$3:$I$3002,업무일지!$C$3:$C$3002,프로젝트목록!$A29,업무일지!$B$3:$B$3002,E$5,업무일지!$A$3:$A$3002,"&gt;="&amp;DATE($B$3,1,1),업무일지!$A$3:$A$3002,"&lt;="&amp;DATE($B$3,12,31)),2))</f>
        <v/>
      </c>
      <c r="F32" s="40" t="str">
        <f>IF(OR($A32="",F$5=""),"",ROUND(SUMIFS(업무일지!$I$3:$I$3002,업무일지!$C$3:$C$3002,프로젝트목록!$A29,업무일지!$B$3:$B$3002,F$5,업무일지!$A$3:$A$3002,"&gt;="&amp;DATE($B$3,1,1),업무일지!$A$3:$A$3002,"&lt;="&amp;DATE($B$3,12,31)),2))</f>
        <v/>
      </c>
      <c r="G32" s="40" t="str">
        <f>IF(OR($A32="",G$5=""),"",ROUND(SUMIFS(업무일지!$I$3:$I$3002,업무일지!$C$3:$C$3002,프로젝트목록!$A29,업무일지!$B$3:$B$3002,G$5,업무일지!$A$3:$A$3002,"&gt;="&amp;DATE($B$3,1,1),업무일지!$A$3:$A$3002,"&lt;="&amp;DATE($B$3,12,31)),2))</f>
        <v/>
      </c>
      <c r="H32" s="40" t="str">
        <f>IF(OR($A32="",H$5=""),"",ROUND(SUMIFS(업무일지!$I$3:$I$3002,업무일지!$C$3:$C$3002,프로젝트목록!$A29,업무일지!$B$3:$B$3002,H$5,업무일지!$A$3:$A$3002,"&gt;="&amp;DATE($B$3,1,1),업무일지!$A$3:$A$3002,"&lt;="&amp;DATE($B$3,12,31)),2))</f>
        <v/>
      </c>
      <c r="I32" s="40" t="str">
        <f>IF(OR($A32="",I$5=""),"",ROUND(SUMIFS(업무일지!$I$3:$I$3002,업무일지!$C$3:$C$3002,프로젝트목록!$A29,업무일지!$B$3:$B$3002,I$5,업무일지!$A$3:$A$3002,"&gt;="&amp;DATE($B$3,1,1),업무일지!$A$3:$A$3002,"&lt;="&amp;DATE($B$3,12,31)),2))</f>
        <v/>
      </c>
      <c r="J32" s="40" t="str">
        <f>IF(OR($A32="",J$5=""),"",ROUND(SUMIFS(업무일지!$I$3:$I$3002,업무일지!$C$3:$C$3002,프로젝트목록!$A29,업무일지!$B$3:$B$3002,J$5,업무일지!$A$3:$A$3002,"&gt;="&amp;DATE($B$3,1,1),업무일지!$A$3:$A$3002,"&lt;="&amp;DATE($B$3,12,31)),2))</f>
        <v/>
      </c>
      <c r="K32" s="40" t="str">
        <f>IF(OR($A32="",K$5=""),"",ROUND(SUMIFS(업무일지!$I$3:$I$3002,업무일지!$C$3:$C$3002,프로젝트목록!$A29,업무일지!$B$3:$B$3002,K$5,업무일지!$A$3:$A$3002,"&gt;="&amp;DATE($B$3,1,1),업무일지!$A$3:$A$3002,"&lt;="&amp;DATE($B$3,12,31)),2))</f>
        <v/>
      </c>
      <c r="L32" s="44" t="str">
        <f>IF($A32="","",ROUND(SUM(B32:K32),2))</f>
        <v/>
      </c>
    </row>
    <row r="33" ht="15" customHeight="1" s="26">
      <c r="A33" s="37" t="str">
        <f>IF(프로젝트목록!$A30="","",프로젝트목록!$B30)</f>
        <v/>
      </c>
      <c r="B33" s="40" t="str">
        <f>IF(OR($A33="",B$5=""),"",ROUND(SUMIFS(업무일지!$I$3:$I$3002,업무일지!$C$3:$C$3002,프로젝트목록!$A30,업무일지!$B$3:$B$3002,B$5,업무일지!$A$3:$A$3002,"&gt;="&amp;DATE($B$3,1,1),업무일지!$A$3:$A$3002,"&lt;="&amp;DATE($B$3,12,31)),2))</f>
        <v/>
      </c>
      <c r="C33" s="40" t="str">
        <f>IF(OR($A33="",C$5=""),"",ROUND(SUMIFS(업무일지!$I$3:$I$3002,업무일지!$C$3:$C$3002,프로젝트목록!$A30,업무일지!$B$3:$B$3002,C$5,업무일지!$A$3:$A$3002,"&gt;="&amp;DATE($B$3,1,1),업무일지!$A$3:$A$3002,"&lt;="&amp;DATE($B$3,12,31)),2))</f>
        <v/>
      </c>
      <c r="D33" s="40" t="str">
        <f>IF(OR($A33="",D$5=""),"",ROUND(SUMIFS(업무일지!$I$3:$I$3002,업무일지!$C$3:$C$3002,프로젝트목록!$A30,업무일지!$B$3:$B$3002,D$5,업무일지!$A$3:$A$3002,"&gt;="&amp;DATE($B$3,1,1),업무일지!$A$3:$A$3002,"&lt;="&amp;DATE($B$3,12,31)),2))</f>
        <v/>
      </c>
      <c r="E33" s="40" t="str">
        <f>IF(OR($A33="",E$5=""),"",ROUND(SUMIFS(업무일지!$I$3:$I$3002,업무일지!$C$3:$C$3002,프로젝트목록!$A30,업무일지!$B$3:$B$3002,E$5,업무일지!$A$3:$A$3002,"&gt;="&amp;DATE($B$3,1,1),업무일지!$A$3:$A$3002,"&lt;="&amp;DATE($B$3,12,31)),2))</f>
        <v/>
      </c>
      <c r="F33" s="40" t="str">
        <f>IF(OR($A33="",F$5=""),"",ROUND(SUMIFS(업무일지!$I$3:$I$3002,업무일지!$C$3:$C$3002,프로젝트목록!$A30,업무일지!$B$3:$B$3002,F$5,업무일지!$A$3:$A$3002,"&gt;="&amp;DATE($B$3,1,1),업무일지!$A$3:$A$3002,"&lt;="&amp;DATE($B$3,12,31)),2))</f>
        <v/>
      </c>
      <c r="G33" s="40" t="str">
        <f>IF(OR($A33="",G$5=""),"",ROUND(SUMIFS(업무일지!$I$3:$I$3002,업무일지!$C$3:$C$3002,프로젝트목록!$A30,업무일지!$B$3:$B$3002,G$5,업무일지!$A$3:$A$3002,"&gt;="&amp;DATE($B$3,1,1),업무일지!$A$3:$A$3002,"&lt;="&amp;DATE($B$3,12,31)),2))</f>
        <v/>
      </c>
      <c r="H33" s="40" t="str">
        <f>IF(OR($A33="",H$5=""),"",ROUND(SUMIFS(업무일지!$I$3:$I$3002,업무일지!$C$3:$C$3002,프로젝트목록!$A30,업무일지!$B$3:$B$3002,H$5,업무일지!$A$3:$A$3002,"&gt;="&amp;DATE($B$3,1,1),업무일지!$A$3:$A$3002,"&lt;="&amp;DATE($B$3,12,31)),2))</f>
        <v/>
      </c>
      <c r="I33" s="40" t="str">
        <f>IF(OR($A33="",I$5=""),"",ROUND(SUMIFS(업무일지!$I$3:$I$3002,업무일지!$C$3:$C$3002,프로젝트목록!$A30,업무일지!$B$3:$B$3002,I$5,업무일지!$A$3:$A$3002,"&gt;="&amp;DATE($B$3,1,1),업무일지!$A$3:$A$3002,"&lt;="&amp;DATE($B$3,12,31)),2))</f>
        <v/>
      </c>
      <c r="J33" s="40" t="str">
        <f>IF(OR($A33="",J$5=""),"",ROUND(SUMIFS(업무일지!$I$3:$I$3002,업무일지!$C$3:$C$3002,프로젝트목록!$A30,업무일지!$B$3:$B$3002,J$5,업무일지!$A$3:$A$3002,"&gt;="&amp;DATE($B$3,1,1),업무일지!$A$3:$A$3002,"&lt;="&amp;DATE($B$3,12,31)),2))</f>
        <v/>
      </c>
      <c r="K33" s="40" t="str">
        <f>IF(OR($A33="",K$5=""),"",ROUND(SUMIFS(업무일지!$I$3:$I$3002,업무일지!$C$3:$C$3002,프로젝트목록!$A30,업무일지!$B$3:$B$3002,K$5,업무일지!$A$3:$A$3002,"&gt;="&amp;DATE($B$3,1,1),업무일지!$A$3:$A$3002,"&lt;="&amp;DATE($B$3,12,31)),2))</f>
        <v/>
      </c>
      <c r="L33" s="44" t="str">
        <f>IF($A33="","",ROUND(SUM(B33:K33),2))</f>
        <v/>
      </c>
    </row>
    <row r="34" ht="15" customHeight="1" s="26">
      <c r="A34" s="37" t="str">
        <f>IF(프로젝트목록!$A31="","",프로젝트목록!$B31)</f>
        <v/>
      </c>
      <c r="B34" s="40" t="str">
        <f>IF(OR($A34="",B$5=""),"",ROUND(SUMIFS(업무일지!$I$3:$I$3002,업무일지!$C$3:$C$3002,프로젝트목록!$A31,업무일지!$B$3:$B$3002,B$5,업무일지!$A$3:$A$3002,"&gt;="&amp;DATE($B$3,1,1),업무일지!$A$3:$A$3002,"&lt;="&amp;DATE($B$3,12,31)),2))</f>
        <v/>
      </c>
      <c r="C34" s="40" t="str">
        <f>IF(OR($A34="",C$5=""),"",ROUND(SUMIFS(업무일지!$I$3:$I$3002,업무일지!$C$3:$C$3002,프로젝트목록!$A31,업무일지!$B$3:$B$3002,C$5,업무일지!$A$3:$A$3002,"&gt;="&amp;DATE($B$3,1,1),업무일지!$A$3:$A$3002,"&lt;="&amp;DATE($B$3,12,31)),2))</f>
        <v/>
      </c>
      <c r="D34" s="40" t="str">
        <f>IF(OR($A34="",D$5=""),"",ROUND(SUMIFS(업무일지!$I$3:$I$3002,업무일지!$C$3:$C$3002,프로젝트목록!$A31,업무일지!$B$3:$B$3002,D$5,업무일지!$A$3:$A$3002,"&gt;="&amp;DATE($B$3,1,1),업무일지!$A$3:$A$3002,"&lt;="&amp;DATE($B$3,12,31)),2))</f>
        <v/>
      </c>
      <c r="E34" s="40" t="str">
        <f>IF(OR($A34="",E$5=""),"",ROUND(SUMIFS(업무일지!$I$3:$I$3002,업무일지!$C$3:$C$3002,프로젝트목록!$A31,업무일지!$B$3:$B$3002,E$5,업무일지!$A$3:$A$3002,"&gt;="&amp;DATE($B$3,1,1),업무일지!$A$3:$A$3002,"&lt;="&amp;DATE($B$3,12,31)),2))</f>
        <v/>
      </c>
      <c r="F34" s="40" t="str">
        <f>IF(OR($A34="",F$5=""),"",ROUND(SUMIFS(업무일지!$I$3:$I$3002,업무일지!$C$3:$C$3002,프로젝트목록!$A31,업무일지!$B$3:$B$3002,F$5,업무일지!$A$3:$A$3002,"&gt;="&amp;DATE($B$3,1,1),업무일지!$A$3:$A$3002,"&lt;="&amp;DATE($B$3,12,31)),2))</f>
        <v/>
      </c>
      <c r="G34" s="40" t="str">
        <f>IF(OR($A34="",G$5=""),"",ROUND(SUMIFS(업무일지!$I$3:$I$3002,업무일지!$C$3:$C$3002,프로젝트목록!$A31,업무일지!$B$3:$B$3002,G$5,업무일지!$A$3:$A$3002,"&gt;="&amp;DATE($B$3,1,1),업무일지!$A$3:$A$3002,"&lt;="&amp;DATE($B$3,12,31)),2))</f>
        <v/>
      </c>
      <c r="H34" s="40" t="str">
        <f>IF(OR($A34="",H$5=""),"",ROUND(SUMIFS(업무일지!$I$3:$I$3002,업무일지!$C$3:$C$3002,프로젝트목록!$A31,업무일지!$B$3:$B$3002,H$5,업무일지!$A$3:$A$3002,"&gt;="&amp;DATE($B$3,1,1),업무일지!$A$3:$A$3002,"&lt;="&amp;DATE($B$3,12,31)),2))</f>
        <v/>
      </c>
      <c r="I34" s="40" t="str">
        <f>IF(OR($A34="",I$5=""),"",ROUND(SUMIFS(업무일지!$I$3:$I$3002,업무일지!$C$3:$C$3002,프로젝트목록!$A31,업무일지!$B$3:$B$3002,I$5,업무일지!$A$3:$A$3002,"&gt;="&amp;DATE($B$3,1,1),업무일지!$A$3:$A$3002,"&lt;="&amp;DATE($B$3,12,31)),2))</f>
        <v/>
      </c>
      <c r="J34" s="40" t="str">
        <f>IF(OR($A34="",J$5=""),"",ROUND(SUMIFS(업무일지!$I$3:$I$3002,업무일지!$C$3:$C$3002,프로젝트목록!$A31,업무일지!$B$3:$B$3002,J$5,업무일지!$A$3:$A$3002,"&gt;="&amp;DATE($B$3,1,1),업무일지!$A$3:$A$3002,"&lt;="&amp;DATE($B$3,12,31)),2))</f>
        <v/>
      </c>
      <c r="K34" s="40" t="str">
        <f>IF(OR($A34="",K$5=""),"",ROUND(SUMIFS(업무일지!$I$3:$I$3002,업무일지!$C$3:$C$3002,프로젝트목록!$A31,업무일지!$B$3:$B$3002,K$5,업무일지!$A$3:$A$3002,"&gt;="&amp;DATE($B$3,1,1),업무일지!$A$3:$A$3002,"&lt;="&amp;DATE($B$3,12,31)),2))</f>
        <v/>
      </c>
      <c r="L34" s="44" t="str">
        <f>IF($A34="","",ROUND(SUM(B34:K34),2))</f>
        <v/>
      </c>
    </row>
    <row r="35" ht="15" customHeight="1" s="26">
      <c r="A35" s="37" t="str">
        <f>IF(프로젝트목록!$A32="","",프로젝트목록!$B32)</f>
        <v/>
      </c>
      <c r="B35" s="40" t="str">
        <f>IF(OR($A35="",B$5=""),"",ROUND(SUMIFS(업무일지!$I$3:$I$3002,업무일지!$C$3:$C$3002,프로젝트목록!$A32,업무일지!$B$3:$B$3002,B$5,업무일지!$A$3:$A$3002,"&gt;="&amp;DATE($B$3,1,1),업무일지!$A$3:$A$3002,"&lt;="&amp;DATE($B$3,12,31)),2))</f>
        <v/>
      </c>
      <c r="C35" s="40" t="str">
        <f>IF(OR($A35="",C$5=""),"",ROUND(SUMIFS(업무일지!$I$3:$I$3002,업무일지!$C$3:$C$3002,프로젝트목록!$A32,업무일지!$B$3:$B$3002,C$5,업무일지!$A$3:$A$3002,"&gt;="&amp;DATE($B$3,1,1),업무일지!$A$3:$A$3002,"&lt;="&amp;DATE($B$3,12,31)),2))</f>
        <v/>
      </c>
      <c r="D35" s="40" t="str">
        <f>IF(OR($A35="",D$5=""),"",ROUND(SUMIFS(업무일지!$I$3:$I$3002,업무일지!$C$3:$C$3002,프로젝트목록!$A32,업무일지!$B$3:$B$3002,D$5,업무일지!$A$3:$A$3002,"&gt;="&amp;DATE($B$3,1,1),업무일지!$A$3:$A$3002,"&lt;="&amp;DATE($B$3,12,31)),2))</f>
        <v/>
      </c>
      <c r="E35" s="40" t="str">
        <f>IF(OR($A35="",E$5=""),"",ROUND(SUMIFS(업무일지!$I$3:$I$3002,업무일지!$C$3:$C$3002,프로젝트목록!$A32,업무일지!$B$3:$B$3002,E$5,업무일지!$A$3:$A$3002,"&gt;="&amp;DATE($B$3,1,1),업무일지!$A$3:$A$3002,"&lt;="&amp;DATE($B$3,12,31)),2))</f>
        <v/>
      </c>
      <c r="F35" s="40" t="str">
        <f>IF(OR($A35="",F$5=""),"",ROUND(SUMIFS(업무일지!$I$3:$I$3002,업무일지!$C$3:$C$3002,프로젝트목록!$A32,업무일지!$B$3:$B$3002,F$5,업무일지!$A$3:$A$3002,"&gt;="&amp;DATE($B$3,1,1),업무일지!$A$3:$A$3002,"&lt;="&amp;DATE($B$3,12,31)),2))</f>
        <v/>
      </c>
      <c r="G35" s="40" t="str">
        <f>IF(OR($A35="",G$5=""),"",ROUND(SUMIFS(업무일지!$I$3:$I$3002,업무일지!$C$3:$C$3002,프로젝트목록!$A32,업무일지!$B$3:$B$3002,G$5,업무일지!$A$3:$A$3002,"&gt;="&amp;DATE($B$3,1,1),업무일지!$A$3:$A$3002,"&lt;="&amp;DATE($B$3,12,31)),2))</f>
        <v/>
      </c>
      <c r="H35" s="40" t="str">
        <f>IF(OR($A35="",H$5=""),"",ROUND(SUMIFS(업무일지!$I$3:$I$3002,업무일지!$C$3:$C$3002,프로젝트목록!$A32,업무일지!$B$3:$B$3002,H$5,업무일지!$A$3:$A$3002,"&gt;="&amp;DATE($B$3,1,1),업무일지!$A$3:$A$3002,"&lt;="&amp;DATE($B$3,12,31)),2))</f>
        <v/>
      </c>
      <c r="I35" s="40" t="str">
        <f>IF(OR($A35="",I$5=""),"",ROUND(SUMIFS(업무일지!$I$3:$I$3002,업무일지!$C$3:$C$3002,프로젝트목록!$A32,업무일지!$B$3:$B$3002,I$5,업무일지!$A$3:$A$3002,"&gt;="&amp;DATE($B$3,1,1),업무일지!$A$3:$A$3002,"&lt;="&amp;DATE($B$3,12,31)),2))</f>
        <v/>
      </c>
      <c r="J35" s="40" t="str">
        <f>IF(OR($A35="",J$5=""),"",ROUND(SUMIFS(업무일지!$I$3:$I$3002,업무일지!$C$3:$C$3002,프로젝트목록!$A32,업무일지!$B$3:$B$3002,J$5,업무일지!$A$3:$A$3002,"&gt;="&amp;DATE($B$3,1,1),업무일지!$A$3:$A$3002,"&lt;="&amp;DATE($B$3,12,31)),2))</f>
        <v/>
      </c>
      <c r="K35" s="40" t="str">
        <f>IF(OR($A35="",K$5=""),"",ROUND(SUMIFS(업무일지!$I$3:$I$3002,업무일지!$C$3:$C$3002,프로젝트목록!$A32,업무일지!$B$3:$B$3002,K$5,업무일지!$A$3:$A$3002,"&gt;="&amp;DATE($B$3,1,1),업무일지!$A$3:$A$3002,"&lt;="&amp;DATE($B$3,12,31)),2))</f>
        <v/>
      </c>
      <c r="L35" s="44" t="str">
        <f>IF($A35="","",ROUND(SUM(B35:K35),2))</f>
        <v/>
      </c>
    </row>
    <row r="37" ht="15" customHeight="1" s="26">
      <c r="A37" s="43" t="inlineStr">
        <is>
          <t>합계</t>
        </is>
      </c>
      <c r="B37" s="44" t="n">
        <f>ROUND(SUM(B6:B35),2)</f>
        <v>56.5</v>
      </c>
      <c r="C37" s="44" t="n">
        <f>ROUND(SUM(C6:C35),2)</f>
        <v>52.5</v>
      </c>
      <c r="D37" s="44" t="n">
        <f>ROUND(SUM(D6:D35),2)</f>
        <v>31.5</v>
      </c>
      <c r="E37" s="44" t="n">
        <f>ROUND(SUM(E6:E35),2)</f>
        <v>0</v>
      </c>
      <c r="F37" s="44" t="n">
        <f>ROUND(SUM(F6:F35),2)</f>
        <v>0</v>
      </c>
      <c r="G37" s="44" t="n">
        <f>ROUND(SUM(G6:G35),2)</f>
        <v>0</v>
      </c>
      <c r="H37" s="44" t="n">
        <f>ROUND(SUM(H6:H35),2)</f>
        <v>0</v>
      </c>
      <c r="I37" s="44" t="n">
        <f>ROUND(SUM(I6:I35),2)</f>
        <v>0</v>
      </c>
      <c r="J37" s="44" t="n">
        <f>ROUND(SUM(J6:J35),2)</f>
        <v>0</v>
      </c>
      <c r="K37" s="44" t="n">
        <f>ROUND(SUM(K6:K35),2)</f>
        <v>0</v>
      </c>
      <c r="L37" s="44" t="n">
        <f>ROUND(SUM(L6:L35),2)</f>
        <v>140.5</v>
      </c>
    </row>
    <row r="39" ht="15" customHeight="1" s="26">
      <c r="A39" s="30" t="inlineStr">
        <is>
          <t>※ 구성원 10명 / 프로젝트 30개까지 표시됩니다.</t>
        </is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2026-09-14T10:19:07Z</dcterms:created>
  <dcterms:modified xmlns:dcterms="http://purl.org/dc/terms/" xmlns:xsi="http://www.w3.org/2001/XMLSchema-instance" xsi:type="dcterms:W3CDTF">2026-09-14T10:24:56Z</dcterms:modified>
  <cp:revision>0</cp:revision>
</cp:coreProperties>
</file>