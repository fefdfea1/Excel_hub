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품목마스터" sheetId="2" state="visible" r:id="rId4"/>
    <sheet name="거래처마스터" sheetId="3" state="visible" r:id="rId5"/>
    <sheet name="검수내역" sheetId="4" state="visible" r:id="rId6"/>
    <sheet name="출고내역" sheetId="5" state="visible" r:id="rId7"/>
    <sheet name="재고조정" sheetId="6" state="visible" r:id="rId8"/>
    <sheet name="종합집계표" sheetId="7" state="visible" r:id="rId9"/>
    <sheet name="대리점요약" sheetId="8" state="visible" r:id="rId10"/>
    <sheet name="월별집계" sheetId="9" state="visible" r:id="rId11"/>
  </sheets>
  <definedNames>
    <definedName function="false" hidden="false" localSheetId="7" name="_xlnm.Print_Area" vbProcedure="false">대리점요약!$A$1:$G$45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<sst xmlns="http://schemas.openxmlformats.org/spreadsheetml/2006/main" count="138" uniqueCount="103">
  <si>
    <t xml:space="preserve">검수 · 출고 · 재고 통합관리</t>
  </si>
  <si>
    <t xml:space="preserve">핵심</t>
  </si>
  <si>
    <t xml:space="preserve">검수(입고)와 출고를 각각 입력하면 품번 기준으로 자동 매칭되어 예상재고가 나옵니다.</t>
  </si>
  <si>
    <t xml:space="preserve">입력 규칙</t>
  </si>
  <si>
    <t xml:space="preserve">파란색 글씨 칸만 입력하세요. 검은색은 자동 계산입니다.</t>
  </si>
  <si>
    <t xml:space="preserve">① 품목마스터</t>
  </si>
  <si>
    <t xml:space="preserve">품번·품목명·단위·기초재고를 등록합니다. 품번이 모든 집계의 기준입니다.</t>
  </si>
  <si>
    <t xml:space="preserve">② 거래처마스터</t>
  </si>
  <si>
    <t xml:space="preserve">거래처코드·거래처명을 등록합니다.</t>
  </si>
  <si>
    <t xml:space="preserve">③ 검수내역</t>
  </si>
  <si>
    <t xml:space="preserve">농협 eSCM 검수 데이터를 붙여넣습니다. 이것이 입고입니다.</t>
  </si>
  <si>
    <t xml:space="preserve">④ 출고내역</t>
  </si>
  <si>
    <t xml:space="preserve">대리점 출고를 기록합니다. 정상수량과 덤수량을 나눠서 넣으세요.</t>
  </si>
  <si>
    <t xml:space="preserve">덤은 재고에서는 빠지지만 정산금액에는 잡히지 않습니다.</t>
  </si>
  <si>
    <t xml:space="preserve">행사·인상으로 단가가 달라지면 [구분] 칸에 표시하세요. 필터로 걸러낼 수 있습니다.</t>
  </si>
  <si>
    <t xml:space="preserve">⑤ 재고조정</t>
  </si>
  <si>
    <t xml:space="preserve">반품·파손·샘플처럼 정상 입출고가 아닌 것을 여기에 수기로 넣습니다.</t>
  </si>
  <si>
    <t xml:space="preserve">⑥ 종합집계표</t>
  </si>
  <si>
    <t xml:space="preserve">품목별 입고·출고·덤·조정·예상재고가 자동으로 나옵니다.</t>
  </si>
  <si>
    <t xml:space="preserve">⑦ 대리점요약</t>
  </si>
  <si>
    <t xml:space="preserve">거래처를 고르면 그 거래처의 검수·출고가 한 페이지로 나옵니다. 인쇄용입니다.</t>
  </si>
  <si>
    <t xml:space="preserve">⑧ 월별집계</t>
  </si>
  <si>
    <t xml:space="preserve">월별 입고·출고 수량과 정산금액이 나옵니다.</t>
  </si>
  <si>
    <t xml:space="preserve">※ 예상재고 = 기초재고 + 검수입고 − (출고 정상수량 + 덤수량) + 재고조정</t>
  </si>
  <si>
    <t xml:space="preserve">※ 실사 재고와 차이가 나면 [재고조정]에 사유와 함께 기록하세요.</t>
  </si>
  <si>
    <t xml:space="preserve">※ 선입선출(FIFO) 원가는 계산하지 않습니다. 정산금액은 출고 시 입력한 단가로만 계산됩니다.</t>
  </si>
  <si>
    <t xml:space="preserve">품목마스터  (품번이 기준입니다)</t>
  </si>
  <si>
    <t xml:space="preserve">품번</t>
  </si>
  <si>
    <t xml:space="preserve">품목명</t>
  </si>
  <si>
    <t xml:space="preserve">규격</t>
  </si>
  <si>
    <t xml:space="preserve">단위</t>
  </si>
  <si>
    <t xml:space="preserve">기초재고</t>
  </si>
  <si>
    <t xml:space="preserve">비고</t>
  </si>
  <si>
    <t xml:space="preserve">P001</t>
  </si>
  <si>
    <t xml:space="preserve">홍삼즙 30포</t>
  </si>
  <si>
    <t xml:space="preserve">3g×30</t>
  </si>
  <si>
    <t xml:space="preserve">박스</t>
  </si>
  <si>
    <t xml:space="preserve">P002</t>
  </si>
  <si>
    <t xml:space="preserve">홍삼정 240g</t>
  </si>
  <si>
    <t xml:space="preserve">240g</t>
  </si>
  <si>
    <t xml:space="preserve">EA</t>
  </si>
  <si>
    <t xml:space="preserve">P003</t>
  </si>
  <si>
    <t xml:space="preserve">선물세트 A</t>
  </si>
  <si>
    <t xml:space="preserve">즙5+정1</t>
  </si>
  <si>
    <t xml:space="preserve">SET</t>
  </si>
  <si>
    <t xml:space="preserve">거래처마스터</t>
  </si>
  <si>
    <t xml:space="preserve">거래처코드</t>
  </si>
  <si>
    <t xml:space="preserve">거래처명</t>
  </si>
  <si>
    <t xml:space="preserve">구분</t>
  </si>
  <si>
    <t xml:space="preserve">C001</t>
  </si>
  <si>
    <t xml:space="preserve">○○대리점</t>
  </si>
  <si>
    <t xml:space="preserve">대리점</t>
  </si>
  <si>
    <t xml:space="preserve">C002</t>
  </si>
  <si>
    <t xml:space="preserve">농협 eSCM</t>
  </si>
  <si>
    <t xml:space="preserve">매입처</t>
  </si>
  <si>
    <t xml:space="preserve">C003</t>
  </si>
  <si>
    <t xml:space="preserve">△△대리점</t>
  </si>
  <si>
    <t xml:space="preserve">검수내역 (입고)  ─ 농협 eSCM 데이터를 붙여넣으세요</t>
  </si>
  <si>
    <t xml:space="preserve">검수일</t>
  </si>
  <si>
    <t xml:space="preserve">거래처명(자동)</t>
  </si>
  <si>
    <t xml:space="preserve">품목명(자동)</t>
  </si>
  <si>
    <t xml:space="preserve">단위(자동)</t>
  </si>
  <si>
    <t xml:space="preserve">검수수량</t>
  </si>
  <si>
    <t xml:space="preserve">단가</t>
  </si>
  <si>
    <t xml:space="preserve">금액(자동)</t>
  </si>
  <si>
    <t xml:space="preserve">출고내역 (대리점)  ─ 정상수량과 덤수량을 나눠서 입력</t>
  </si>
  <si>
    <t xml:space="preserve">출고일</t>
  </si>
  <si>
    <t xml:space="preserve">정상수량</t>
  </si>
  <si>
    <t xml:space="preserve">덤수량</t>
  </si>
  <si>
    <t xml:space="preserve">정산금액(자동)</t>
  </si>
  <si>
    <t xml:space="preserve">총출고수량(자동)</t>
  </si>
  <si>
    <t xml:space="preserve">재고조정  (반품·파손·샘플 등 정상 입출고가 아닌 건)</t>
  </si>
  <si>
    <t xml:space="preserve">조정일</t>
  </si>
  <si>
    <t xml:space="preserve">조정구분</t>
  </si>
  <si>
    <t xml:space="preserve">조정수량(+/-)</t>
  </si>
  <si>
    <t xml:space="preserve">사유</t>
  </si>
  <si>
    <t xml:space="preserve">※ 반품입고처럼 재고가 늘면 양수(+), 파손·샘플처럼 줄면 음수(-)로 입력하세요.</t>
  </si>
  <si>
    <t xml:space="preserve">종합집계표  (품목별 입출고 및 예상재고)</t>
  </si>
  <si>
    <t xml:space="preserve">기간</t>
  </si>
  <si>
    <t xml:space="preserve">전체</t>
  </si>
  <si>
    <t xml:space="preserve">※ 예상재고는 전체 기간 누적 기준입니다.</t>
  </si>
  <si>
    <t xml:space="preserve">검수입고</t>
  </si>
  <si>
    <t xml:space="preserve">출고(정상)</t>
  </si>
  <si>
    <t xml:space="preserve">출고(덤)</t>
  </si>
  <si>
    <t xml:space="preserve">총출고</t>
  </si>
  <si>
    <t xml:space="preserve">재고조정</t>
  </si>
  <si>
    <t xml:space="preserve">예상재고</t>
  </si>
  <si>
    <t xml:space="preserve">정산금액</t>
  </si>
  <si>
    <t xml:space="preserve">합계</t>
  </si>
  <si>
    <t xml:space="preserve">※ 예상재고가 음수인 품목은 빨간 배경으로 표시됩니다. 입력 누락을 확인하세요.</t>
  </si>
  <si>
    <t xml:space="preserve">대 리 점  거 래 요 약</t>
  </si>
  <si>
    <t xml:space="preserve">출력일</t>
  </si>
  <si>
    <t xml:space="preserve">요약</t>
  </si>
  <si>
    <t xml:space="preserve">검수 건수</t>
  </si>
  <si>
    <t xml:space="preserve">검수 금액</t>
  </si>
  <si>
    <t xml:space="preserve">출고 건수</t>
  </si>
  <si>
    <t xml:space="preserve">정산 금액</t>
  </si>
  <si>
    <t xml:space="preserve">덤 수량 합계</t>
  </si>
  <si>
    <t xml:space="preserve">※ 덤 수량은 재고에서는 차감되지만 정산금액에는 포함되지 않습니다.</t>
  </si>
  <si>
    <t xml:space="preserve">월별집계</t>
  </si>
  <si>
    <t xml:space="preserve">대상 연도</t>
  </si>
  <si>
    <t xml:space="preserve">월</t>
  </si>
  <si>
    <t xml:space="preserve">검수금액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</si>
</sst>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yyyy\-mm\-dd"/>
    <numFmt numFmtId="167" formatCode="#,##0;[RED]\-#,##0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20"/>
      <name val="Noto Sans CJK SC"/>
      <family val="2"/>
      <charset val="1"/>
    </font>
    <font>
      <b val="true"/>
      <sz val="11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2F2F2"/>
        <bgColor rgb="FFFCE4E4"/>
      </patternFill>
    </fill>
    <fill>
      <patternFill patternType="solid">
        <fgColor rgb="FFFFF2CC"/>
        <bgColor rgb="FFFCE4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F2CC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/>
      <c r="C10" s="4" t="s">
        <v>13</v>
      </c>
    </row>
    <row r="11" customFormat="false" ht="15" hidden="false" customHeight="true" outlineLevel="0" collapsed="false">
      <c r="B11" s="3"/>
      <c r="C11" s="4" t="s">
        <v>14</v>
      </c>
    </row>
    <row r="12" customFormat="false" ht="15" hidden="false" customHeight="true" outlineLevel="0" collapsed="false">
      <c r="B12" s="3" t="s">
        <v>15</v>
      </c>
      <c r="C12" s="4" t="s">
        <v>16</v>
      </c>
    </row>
    <row r="13" customFormat="false" ht="15" hidden="false" customHeight="true" outlineLevel="0" collapsed="false">
      <c r="B13" s="3" t="s">
        <v>17</v>
      </c>
      <c r="C13" s="4" t="s">
        <v>18</v>
      </c>
    </row>
    <row r="14" customFormat="false" ht="15" hidden="false" customHeight="true" outlineLevel="0" collapsed="false">
      <c r="B14" s="3" t="s">
        <v>19</v>
      </c>
      <c r="C14" s="4" t="s">
        <v>20</v>
      </c>
    </row>
    <row r="15" customFormat="false" ht="15" hidden="false" customHeight="true" outlineLevel="0" collapsed="false">
      <c r="B15" s="3" t="s">
        <v>21</v>
      </c>
      <c r="C15" s="4" t="s">
        <v>22</v>
      </c>
    </row>
    <row r="17" customFormat="false" ht="15" hidden="false" customHeight="true" outlineLevel="0" collapsed="false">
      <c r="B17" s="5" t="s">
        <v>23</v>
      </c>
    </row>
    <row r="18" customFormat="false" ht="15" hidden="false" customHeight="true" outlineLevel="0" collapsed="false">
      <c r="B18" s="5" t="s">
        <v>24</v>
      </c>
    </row>
    <row r="19" customFormat="false" ht="15" hidden="false" customHeight="true" outlineLevel="0" collapsed="false">
      <c r="B19" s="5" t="s">
        <v>25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" t="s">
        <v>26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</row>
    <row r="3" customFormat="false" ht="15" hidden="false" customHeight="true" outlineLevel="0" collapsed="false">
      <c r="A3" s="7" t="s">
        <v>33</v>
      </c>
      <c r="B3" s="8" t="s">
        <v>34</v>
      </c>
      <c r="C3" s="7" t="s">
        <v>35</v>
      </c>
      <c r="D3" s="8" t="s">
        <v>36</v>
      </c>
      <c r="E3" s="9" t="n">
        <v>120</v>
      </c>
      <c r="F3" s="7"/>
    </row>
    <row r="4" customFormat="false" ht="15" hidden="false" customHeight="true" outlineLevel="0" collapsed="false">
      <c r="A4" s="7" t="s">
        <v>37</v>
      </c>
      <c r="B4" s="8" t="s">
        <v>38</v>
      </c>
      <c r="C4" s="7" t="s">
        <v>39</v>
      </c>
      <c r="D4" s="7" t="s">
        <v>40</v>
      </c>
      <c r="E4" s="9" t="n">
        <v>80</v>
      </c>
      <c r="F4" s="7"/>
    </row>
    <row r="5" customFormat="false" ht="15" hidden="false" customHeight="true" outlineLevel="0" collapsed="false">
      <c r="A5" s="7" t="s">
        <v>41</v>
      </c>
      <c r="B5" s="8" t="s">
        <v>42</v>
      </c>
      <c r="C5" s="8" t="s">
        <v>43</v>
      </c>
      <c r="D5" s="7" t="s">
        <v>44</v>
      </c>
      <c r="E5" s="9" t="n">
        <v>40</v>
      </c>
      <c r="F5" s="7"/>
    </row>
    <row r="6" customFormat="false" ht="15" hidden="false" customHeight="true" outlineLevel="0" collapsed="false">
      <c r="A6" s="7"/>
      <c r="B6" s="7"/>
      <c r="C6" s="7"/>
      <c r="D6" s="7"/>
      <c r="E6" s="9"/>
      <c r="F6" s="7"/>
    </row>
    <row r="7" customFormat="false" ht="15" hidden="false" customHeight="true" outlineLevel="0" collapsed="false">
      <c r="A7" s="7"/>
      <c r="B7" s="7"/>
      <c r="C7" s="7"/>
      <c r="D7" s="7"/>
      <c r="E7" s="9"/>
      <c r="F7" s="7"/>
    </row>
    <row r="8" customFormat="false" ht="15" hidden="false" customHeight="true" outlineLevel="0" collapsed="false">
      <c r="A8" s="7"/>
      <c r="B8" s="7"/>
      <c r="C8" s="7"/>
      <c r="D8" s="7"/>
      <c r="E8" s="9"/>
      <c r="F8" s="7"/>
    </row>
    <row r="9" customFormat="false" ht="15" hidden="false" customHeight="true" outlineLevel="0" collapsed="false">
      <c r="A9" s="7"/>
      <c r="B9" s="7"/>
      <c r="C9" s="7"/>
      <c r="D9" s="7"/>
      <c r="E9" s="9"/>
      <c r="F9" s="7"/>
    </row>
    <row r="10" customFormat="false" ht="15" hidden="false" customHeight="true" outlineLevel="0" collapsed="false">
      <c r="A10" s="7"/>
      <c r="B10" s="7"/>
      <c r="C10" s="7"/>
      <c r="D10" s="7"/>
      <c r="E10" s="9"/>
      <c r="F10" s="7"/>
    </row>
    <row r="11" customFormat="false" ht="15" hidden="false" customHeight="true" outlineLevel="0" collapsed="false">
      <c r="A11" s="7"/>
      <c r="B11" s="7"/>
      <c r="C11" s="7"/>
      <c r="D11" s="7"/>
      <c r="E11" s="9"/>
      <c r="F11" s="7"/>
    </row>
    <row r="12" customFormat="false" ht="15" hidden="false" customHeight="true" outlineLevel="0" collapsed="false">
      <c r="A12" s="7"/>
      <c r="B12" s="7"/>
      <c r="C12" s="7"/>
      <c r="D12" s="7"/>
      <c r="E12" s="9"/>
      <c r="F12" s="7"/>
    </row>
    <row r="13" customFormat="false" ht="15" hidden="false" customHeight="true" outlineLevel="0" collapsed="false">
      <c r="A13" s="7"/>
      <c r="B13" s="7"/>
      <c r="C13" s="7"/>
      <c r="D13" s="7"/>
      <c r="E13" s="9"/>
      <c r="F13" s="7"/>
    </row>
    <row r="14" customFormat="false" ht="15" hidden="false" customHeight="true" outlineLevel="0" collapsed="false">
      <c r="A14" s="7"/>
      <c r="B14" s="7"/>
      <c r="C14" s="7"/>
      <c r="D14" s="7"/>
      <c r="E14" s="9"/>
      <c r="F14" s="7"/>
    </row>
    <row r="15" customFormat="false" ht="15" hidden="false" customHeight="true" outlineLevel="0" collapsed="false">
      <c r="A15" s="7"/>
      <c r="B15" s="7"/>
      <c r="C15" s="7"/>
      <c r="D15" s="7"/>
      <c r="E15" s="9"/>
      <c r="F15" s="7"/>
    </row>
    <row r="16" customFormat="false" ht="15" hidden="false" customHeight="true" outlineLevel="0" collapsed="false">
      <c r="A16" s="7"/>
      <c r="B16" s="7"/>
      <c r="C16" s="7"/>
      <c r="D16" s="7"/>
      <c r="E16" s="9"/>
      <c r="F16" s="7"/>
    </row>
    <row r="17" customFormat="false" ht="15" hidden="false" customHeight="true" outlineLevel="0" collapsed="false">
      <c r="A17" s="7"/>
      <c r="B17" s="7"/>
      <c r="C17" s="7"/>
      <c r="D17" s="7"/>
      <c r="E17" s="9"/>
      <c r="F17" s="7"/>
    </row>
    <row r="18" customFormat="false" ht="15" hidden="false" customHeight="true" outlineLevel="0" collapsed="false">
      <c r="A18" s="7"/>
      <c r="B18" s="7"/>
      <c r="C18" s="7"/>
      <c r="D18" s="7"/>
      <c r="E18" s="9"/>
      <c r="F18" s="7"/>
    </row>
    <row r="19" customFormat="false" ht="15" hidden="false" customHeight="true" outlineLevel="0" collapsed="false">
      <c r="A19" s="7"/>
      <c r="B19" s="7"/>
      <c r="C19" s="7"/>
      <c r="D19" s="7"/>
      <c r="E19" s="9"/>
      <c r="F19" s="7"/>
    </row>
    <row r="20" customFormat="false" ht="15" hidden="false" customHeight="true" outlineLevel="0" collapsed="false">
      <c r="A20" s="7"/>
      <c r="B20" s="7"/>
      <c r="C20" s="7"/>
      <c r="D20" s="7"/>
      <c r="E20" s="9"/>
      <c r="F20" s="7"/>
    </row>
    <row r="21" customFormat="false" ht="15" hidden="false" customHeight="true" outlineLevel="0" collapsed="false">
      <c r="A21" s="7"/>
      <c r="B21" s="7"/>
      <c r="C21" s="7"/>
      <c r="D21" s="7"/>
      <c r="E21" s="9"/>
      <c r="F21" s="7"/>
    </row>
    <row r="22" customFormat="false" ht="15" hidden="false" customHeight="true" outlineLevel="0" collapsed="false">
      <c r="A22" s="7"/>
      <c r="B22" s="7"/>
      <c r="C22" s="7"/>
      <c r="D22" s="7"/>
      <c r="E22" s="9"/>
      <c r="F22" s="7"/>
    </row>
    <row r="23" customFormat="false" ht="15" hidden="false" customHeight="true" outlineLevel="0" collapsed="false">
      <c r="A23" s="7"/>
      <c r="B23" s="7"/>
      <c r="C23" s="7"/>
      <c r="D23" s="7"/>
      <c r="E23" s="9"/>
      <c r="F23" s="7"/>
    </row>
    <row r="24" customFormat="false" ht="15" hidden="false" customHeight="true" outlineLevel="0" collapsed="false">
      <c r="A24" s="7"/>
      <c r="B24" s="7"/>
      <c r="C24" s="7"/>
      <c r="D24" s="7"/>
      <c r="E24" s="9"/>
      <c r="F24" s="7"/>
    </row>
    <row r="25" customFormat="false" ht="15" hidden="false" customHeight="true" outlineLevel="0" collapsed="false">
      <c r="A25" s="7"/>
      <c r="B25" s="7"/>
      <c r="C25" s="7"/>
      <c r="D25" s="7"/>
      <c r="E25" s="9"/>
      <c r="F25" s="7"/>
    </row>
    <row r="26" customFormat="false" ht="15" hidden="false" customHeight="true" outlineLevel="0" collapsed="false">
      <c r="A26" s="7"/>
      <c r="B26" s="7"/>
      <c r="C26" s="7"/>
      <c r="D26" s="7"/>
      <c r="E26" s="9"/>
      <c r="F26" s="7"/>
    </row>
    <row r="27" customFormat="false" ht="15" hidden="false" customHeight="true" outlineLevel="0" collapsed="false">
      <c r="A27" s="7"/>
      <c r="B27" s="7"/>
      <c r="C27" s="7"/>
      <c r="D27" s="7"/>
      <c r="E27" s="9"/>
      <c r="F27" s="7"/>
    </row>
    <row r="28" customFormat="false" ht="15" hidden="false" customHeight="true" outlineLevel="0" collapsed="false">
      <c r="A28" s="7"/>
      <c r="B28" s="7"/>
      <c r="C28" s="7"/>
      <c r="D28" s="7"/>
      <c r="E28" s="9"/>
      <c r="F28" s="7"/>
    </row>
    <row r="29" customFormat="false" ht="15" hidden="false" customHeight="true" outlineLevel="0" collapsed="false">
      <c r="A29" s="7"/>
      <c r="B29" s="7"/>
      <c r="C29" s="7"/>
      <c r="D29" s="7"/>
      <c r="E29" s="9"/>
      <c r="F29" s="7"/>
    </row>
    <row r="30" customFormat="false" ht="15" hidden="false" customHeight="true" outlineLevel="0" collapsed="false">
      <c r="A30" s="7"/>
      <c r="B30" s="7"/>
      <c r="C30" s="7"/>
      <c r="D30" s="7"/>
      <c r="E30" s="9"/>
      <c r="F30" s="7"/>
    </row>
    <row r="31" customFormat="false" ht="15" hidden="false" customHeight="true" outlineLevel="0" collapsed="false">
      <c r="A31" s="7"/>
      <c r="B31" s="7"/>
      <c r="C31" s="7"/>
      <c r="D31" s="7"/>
      <c r="E31" s="9"/>
      <c r="F31" s="7"/>
    </row>
    <row r="32" customFormat="false" ht="15" hidden="false" customHeight="true" outlineLevel="0" collapsed="false">
      <c r="A32" s="7"/>
      <c r="B32" s="7"/>
      <c r="C32" s="7"/>
      <c r="D32" s="7"/>
      <c r="E32" s="9"/>
      <c r="F32" s="7"/>
    </row>
    <row r="33" customFormat="false" ht="15" hidden="false" customHeight="true" outlineLevel="0" collapsed="false">
      <c r="A33" s="7"/>
      <c r="B33" s="7"/>
      <c r="C33" s="7"/>
      <c r="D33" s="7"/>
      <c r="E33" s="9"/>
      <c r="F33" s="7"/>
    </row>
    <row r="34" customFormat="false" ht="15" hidden="false" customHeight="true" outlineLevel="0" collapsed="false">
      <c r="A34" s="7"/>
      <c r="B34" s="7"/>
      <c r="C34" s="7"/>
      <c r="D34" s="7"/>
      <c r="E34" s="9"/>
      <c r="F34" s="7"/>
    </row>
    <row r="35" customFormat="false" ht="15" hidden="false" customHeight="true" outlineLevel="0" collapsed="false">
      <c r="A35" s="7"/>
      <c r="B35" s="7"/>
      <c r="C35" s="7"/>
      <c r="D35" s="7"/>
      <c r="E35" s="9"/>
      <c r="F35" s="7"/>
    </row>
    <row r="36" customFormat="false" ht="15" hidden="false" customHeight="true" outlineLevel="0" collapsed="false">
      <c r="A36" s="7"/>
      <c r="B36" s="7"/>
      <c r="C36" s="7"/>
      <c r="D36" s="7"/>
      <c r="E36" s="9"/>
      <c r="F36" s="7"/>
    </row>
    <row r="37" customFormat="false" ht="15" hidden="false" customHeight="true" outlineLevel="0" collapsed="false">
      <c r="A37" s="7"/>
      <c r="B37" s="7"/>
      <c r="C37" s="7"/>
      <c r="D37" s="7"/>
      <c r="E37" s="9"/>
      <c r="F37" s="7"/>
    </row>
    <row r="38" customFormat="false" ht="15" hidden="false" customHeight="true" outlineLevel="0" collapsed="false">
      <c r="A38" s="7"/>
      <c r="B38" s="7"/>
      <c r="C38" s="7"/>
      <c r="D38" s="7"/>
      <c r="E38" s="9"/>
      <c r="F38" s="7"/>
    </row>
    <row r="39" customFormat="false" ht="15" hidden="false" customHeight="true" outlineLevel="0" collapsed="false">
      <c r="A39" s="7"/>
      <c r="B39" s="7"/>
      <c r="C39" s="7"/>
      <c r="D39" s="7"/>
      <c r="E39" s="9"/>
      <c r="F39" s="7"/>
    </row>
    <row r="40" customFormat="false" ht="15" hidden="false" customHeight="true" outlineLevel="0" collapsed="false">
      <c r="A40" s="7"/>
      <c r="B40" s="7"/>
      <c r="C40" s="7"/>
      <c r="D40" s="7"/>
      <c r="E40" s="9"/>
      <c r="F40" s="7"/>
    </row>
    <row r="41" customFormat="false" ht="15" hidden="false" customHeight="true" outlineLevel="0" collapsed="false">
      <c r="A41" s="7"/>
      <c r="B41" s="7"/>
      <c r="C41" s="7"/>
      <c r="D41" s="7"/>
      <c r="E41" s="9"/>
      <c r="F41" s="7"/>
    </row>
    <row r="42" customFormat="false" ht="15" hidden="false" customHeight="true" outlineLevel="0" collapsed="false">
      <c r="A42" s="7"/>
      <c r="B42" s="7"/>
      <c r="C42" s="7"/>
      <c r="D42" s="7"/>
      <c r="E42" s="9"/>
      <c r="F42" s="7"/>
    </row>
    <row r="43" customFormat="false" ht="15" hidden="false" customHeight="true" outlineLevel="0" collapsed="false">
      <c r="A43" s="7"/>
      <c r="B43" s="7"/>
      <c r="C43" s="7"/>
      <c r="D43" s="7"/>
      <c r="E43" s="9"/>
      <c r="F43" s="7"/>
    </row>
    <row r="44" customFormat="false" ht="15" hidden="false" customHeight="true" outlineLevel="0" collapsed="false">
      <c r="A44" s="7"/>
      <c r="B44" s="7"/>
      <c r="C44" s="7"/>
      <c r="D44" s="7"/>
      <c r="E44" s="9"/>
      <c r="F44" s="7"/>
    </row>
    <row r="45" customFormat="false" ht="15" hidden="false" customHeight="true" outlineLevel="0" collapsed="false">
      <c r="A45" s="7"/>
      <c r="B45" s="7"/>
      <c r="C45" s="7"/>
      <c r="D45" s="7"/>
      <c r="E45" s="9"/>
      <c r="F45" s="7"/>
    </row>
    <row r="46" customFormat="false" ht="15" hidden="false" customHeight="true" outlineLevel="0" collapsed="false">
      <c r="A46" s="7"/>
      <c r="B46" s="7"/>
      <c r="C46" s="7"/>
      <c r="D46" s="7"/>
      <c r="E46" s="9"/>
      <c r="F46" s="7"/>
    </row>
    <row r="47" customFormat="false" ht="15" hidden="false" customHeight="true" outlineLevel="0" collapsed="false">
      <c r="A47" s="7"/>
      <c r="B47" s="7"/>
      <c r="C47" s="7"/>
      <c r="D47" s="7"/>
      <c r="E47" s="9"/>
      <c r="F47" s="7"/>
    </row>
    <row r="48" customFormat="false" ht="15" hidden="false" customHeight="true" outlineLevel="0" collapsed="false">
      <c r="A48" s="7"/>
      <c r="B48" s="7"/>
      <c r="C48" s="7"/>
      <c r="D48" s="7"/>
      <c r="E48" s="9"/>
      <c r="F48" s="7"/>
    </row>
    <row r="49" customFormat="false" ht="15" hidden="false" customHeight="true" outlineLevel="0" collapsed="false">
      <c r="A49" s="7"/>
      <c r="B49" s="7"/>
      <c r="C49" s="7"/>
      <c r="D49" s="7"/>
      <c r="E49" s="9"/>
      <c r="F49" s="7"/>
    </row>
    <row r="50" customFormat="false" ht="15" hidden="false" customHeight="true" outlineLevel="0" collapsed="false">
      <c r="A50" s="7"/>
      <c r="B50" s="7"/>
      <c r="C50" s="7"/>
      <c r="D50" s="7"/>
      <c r="E50" s="9"/>
      <c r="F50" s="7"/>
    </row>
    <row r="51" customFormat="false" ht="15" hidden="false" customHeight="true" outlineLevel="0" collapsed="false">
      <c r="A51" s="7"/>
      <c r="B51" s="7"/>
      <c r="C51" s="7"/>
      <c r="D51" s="7"/>
      <c r="E51" s="9"/>
      <c r="F51" s="7"/>
    </row>
    <row r="52" customFormat="false" ht="15" hidden="false" customHeight="true" outlineLevel="0" collapsed="false">
      <c r="A52" s="7"/>
      <c r="B52" s="7"/>
      <c r="C52" s="7"/>
      <c r="D52" s="7"/>
      <c r="E52" s="9"/>
      <c r="F52" s="7"/>
    </row>
    <row r="53" customFormat="false" ht="15" hidden="false" customHeight="true" outlineLevel="0" collapsed="false">
      <c r="A53" s="7"/>
      <c r="B53" s="7"/>
      <c r="C53" s="7"/>
      <c r="D53" s="7"/>
      <c r="E53" s="9"/>
      <c r="F53" s="7"/>
    </row>
    <row r="54" customFormat="false" ht="15" hidden="false" customHeight="true" outlineLevel="0" collapsed="false">
      <c r="A54" s="7"/>
      <c r="B54" s="7"/>
      <c r="C54" s="7"/>
      <c r="D54" s="7"/>
      <c r="E54" s="9"/>
      <c r="F54" s="7"/>
    </row>
    <row r="55" customFormat="false" ht="15" hidden="false" customHeight="true" outlineLevel="0" collapsed="false">
      <c r="A55" s="7"/>
      <c r="B55" s="7"/>
      <c r="C55" s="7"/>
      <c r="D55" s="7"/>
      <c r="E55" s="9"/>
      <c r="F55" s="7"/>
    </row>
    <row r="56" customFormat="false" ht="15" hidden="false" customHeight="true" outlineLevel="0" collapsed="false">
      <c r="A56" s="7"/>
      <c r="B56" s="7"/>
      <c r="C56" s="7"/>
      <c r="D56" s="7"/>
      <c r="E56" s="9"/>
      <c r="F56" s="7"/>
    </row>
    <row r="57" customFormat="false" ht="15" hidden="false" customHeight="true" outlineLevel="0" collapsed="false">
      <c r="A57" s="7"/>
      <c r="B57" s="7"/>
      <c r="C57" s="7"/>
      <c r="D57" s="7"/>
      <c r="E57" s="9"/>
      <c r="F57" s="7"/>
    </row>
    <row r="58" customFormat="false" ht="15" hidden="false" customHeight="true" outlineLevel="0" collapsed="false">
      <c r="A58" s="7"/>
      <c r="B58" s="7"/>
      <c r="C58" s="7"/>
      <c r="D58" s="7"/>
      <c r="E58" s="9"/>
      <c r="F58" s="7"/>
    </row>
    <row r="59" customFormat="false" ht="15" hidden="false" customHeight="true" outlineLevel="0" collapsed="false">
      <c r="A59" s="7"/>
      <c r="B59" s="7"/>
      <c r="C59" s="7"/>
      <c r="D59" s="7"/>
      <c r="E59" s="9"/>
      <c r="F59" s="7"/>
    </row>
    <row r="60" customFormat="false" ht="15" hidden="false" customHeight="true" outlineLevel="0" collapsed="false">
      <c r="A60" s="7"/>
      <c r="B60" s="7"/>
      <c r="C60" s="7"/>
      <c r="D60" s="7"/>
      <c r="E60" s="9"/>
      <c r="F60" s="7"/>
    </row>
    <row r="61" customFormat="false" ht="15" hidden="false" customHeight="true" outlineLevel="0" collapsed="false">
      <c r="A61" s="7"/>
      <c r="B61" s="7"/>
      <c r="C61" s="7"/>
      <c r="D61" s="7"/>
      <c r="E61" s="9"/>
      <c r="F61" s="7"/>
    </row>
    <row r="62" customFormat="false" ht="15" hidden="false" customHeight="true" outlineLevel="0" collapsed="false">
      <c r="A62" s="7"/>
      <c r="B62" s="7"/>
      <c r="C62" s="7"/>
      <c r="D62" s="7"/>
      <c r="E62" s="9"/>
      <c r="F62" s="7"/>
    </row>
    <row r="63" customFormat="false" ht="15" hidden="false" customHeight="true" outlineLevel="0" collapsed="false">
      <c r="A63" s="7"/>
      <c r="B63" s="7"/>
      <c r="C63" s="7"/>
      <c r="D63" s="7"/>
      <c r="E63" s="9"/>
      <c r="F63" s="7"/>
    </row>
    <row r="64" customFormat="false" ht="15" hidden="false" customHeight="true" outlineLevel="0" collapsed="false">
      <c r="A64" s="7"/>
      <c r="B64" s="7"/>
      <c r="C64" s="7"/>
      <c r="D64" s="7"/>
      <c r="E64" s="9"/>
      <c r="F64" s="7"/>
    </row>
    <row r="65" customFormat="false" ht="15" hidden="false" customHeight="true" outlineLevel="0" collapsed="false">
      <c r="A65" s="7"/>
      <c r="B65" s="7"/>
      <c r="C65" s="7"/>
      <c r="D65" s="7"/>
      <c r="E65" s="9"/>
      <c r="F65" s="7"/>
    </row>
    <row r="66" customFormat="false" ht="15" hidden="false" customHeight="true" outlineLevel="0" collapsed="false">
      <c r="A66" s="7"/>
      <c r="B66" s="7"/>
      <c r="C66" s="7"/>
      <c r="D66" s="7"/>
      <c r="E66" s="9"/>
      <c r="F66" s="7"/>
    </row>
    <row r="67" customFormat="false" ht="15" hidden="false" customHeight="true" outlineLevel="0" collapsed="false">
      <c r="A67" s="7"/>
      <c r="B67" s="7"/>
      <c r="C67" s="7"/>
      <c r="D67" s="7"/>
      <c r="E67" s="9"/>
      <c r="F67" s="7"/>
    </row>
    <row r="68" customFormat="false" ht="15" hidden="false" customHeight="true" outlineLevel="0" collapsed="false">
      <c r="A68" s="7"/>
      <c r="B68" s="7"/>
      <c r="C68" s="7"/>
      <c r="D68" s="7"/>
      <c r="E68" s="9"/>
      <c r="F68" s="7"/>
    </row>
    <row r="69" customFormat="false" ht="15" hidden="false" customHeight="true" outlineLevel="0" collapsed="false">
      <c r="A69" s="7"/>
      <c r="B69" s="7"/>
      <c r="C69" s="7"/>
      <c r="D69" s="7"/>
      <c r="E69" s="9"/>
      <c r="F69" s="7"/>
    </row>
    <row r="70" customFormat="false" ht="15" hidden="false" customHeight="true" outlineLevel="0" collapsed="false">
      <c r="A70" s="7"/>
      <c r="B70" s="7"/>
      <c r="C70" s="7"/>
      <c r="D70" s="7"/>
      <c r="E70" s="9"/>
      <c r="F70" s="7"/>
    </row>
    <row r="71" customFormat="false" ht="15" hidden="false" customHeight="true" outlineLevel="0" collapsed="false">
      <c r="A71" s="7"/>
      <c r="B71" s="7"/>
      <c r="C71" s="7"/>
      <c r="D71" s="7"/>
      <c r="E71" s="9"/>
      <c r="F71" s="7"/>
    </row>
    <row r="72" customFormat="false" ht="15" hidden="false" customHeight="true" outlineLevel="0" collapsed="false">
      <c r="A72" s="7"/>
      <c r="B72" s="7"/>
      <c r="C72" s="7"/>
      <c r="D72" s="7"/>
      <c r="E72" s="9"/>
      <c r="F72" s="7"/>
    </row>
    <row r="73" customFormat="false" ht="15" hidden="false" customHeight="true" outlineLevel="0" collapsed="false">
      <c r="A73" s="7"/>
      <c r="B73" s="7"/>
      <c r="C73" s="7"/>
      <c r="D73" s="7"/>
      <c r="E73" s="9"/>
      <c r="F73" s="7"/>
    </row>
    <row r="74" customFormat="false" ht="15" hidden="false" customHeight="true" outlineLevel="0" collapsed="false">
      <c r="A74" s="7"/>
      <c r="B74" s="7"/>
      <c r="C74" s="7"/>
      <c r="D74" s="7"/>
      <c r="E74" s="9"/>
      <c r="F74" s="7"/>
    </row>
    <row r="75" customFormat="false" ht="15" hidden="false" customHeight="true" outlineLevel="0" collapsed="false">
      <c r="A75" s="7"/>
      <c r="B75" s="7"/>
      <c r="C75" s="7"/>
      <c r="D75" s="7"/>
      <c r="E75" s="9"/>
      <c r="F75" s="7"/>
    </row>
    <row r="76" customFormat="false" ht="15" hidden="false" customHeight="true" outlineLevel="0" collapsed="false">
      <c r="A76" s="7"/>
      <c r="B76" s="7"/>
      <c r="C76" s="7"/>
      <c r="D76" s="7"/>
      <c r="E76" s="9"/>
      <c r="F76" s="7"/>
    </row>
    <row r="77" customFormat="false" ht="15" hidden="false" customHeight="true" outlineLevel="0" collapsed="false">
      <c r="A77" s="7"/>
      <c r="B77" s="7"/>
      <c r="C77" s="7"/>
      <c r="D77" s="7"/>
      <c r="E77" s="9"/>
      <c r="F77" s="7"/>
    </row>
    <row r="78" customFormat="false" ht="15" hidden="false" customHeight="true" outlineLevel="0" collapsed="false">
      <c r="A78" s="7"/>
      <c r="B78" s="7"/>
      <c r="C78" s="7"/>
      <c r="D78" s="7"/>
      <c r="E78" s="9"/>
      <c r="F78" s="7"/>
    </row>
    <row r="79" customFormat="false" ht="15" hidden="false" customHeight="true" outlineLevel="0" collapsed="false">
      <c r="A79" s="7"/>
      <c r="B79" s="7"/>
      <c r="C79" s="7"/>
      <c r="D79" s="7"/>
      <c r="E79" s="9"/>
      <c r="F79" s="7"/>
    </row>
    <row r="80" customFormat="false" ht="15" hidden="false" customHeight="true" outlineLevel="0" collapsed="false">
      <c r="A80" s="7"/>
      <c r="B80" s="7"/>
      <c r="C80" s="7"/>
      <c r="D80" s="7"/>
      <c r="E80" s="9"/>
      <c r="F80" s="7"/>
    </row>
    <row r="81" customFormat="false" ht="15" hidden="false" customHeight="true" outlineLevel="0" collapsed="false">
      <c r="A81" s="7"/>
      <c r="B81" s="7"/>
      <c r="C81" s="7"/>
      <c r="D81" s="7"/>
      <c r="E81" s="9"/>
      <c r="F81" s="7"/>
    </row>
    <row r="82" customFormat="false" ht="15" hidden="false" customHeight="true" outlineLevel="0" collapsed="false">
      <c r="A82" s="7"/>
      <c r="B82" s="7"/>
      <c r="C82" s="7"/>
      <c r="D82" s="7"/>
      <c r="E82" s="9"/>
      <c r="F82" s="7"/>
    </row>
    <row r="83" customFormat="false" ht="15" hidden="false" customHeight="true" outlineLevel="0" collapsed="false">
      <c r="A83" s="7"/>
      <c r="B83" s="7"/>
      <c r="C83" s="7"/>
      <c r="D83" s="7"/>
      <c r="E83" s="9"/>
      <c r="F83" s="7"/>
    </row>
    <row r="84" customFormat="false" ht="15" hidden="false" customHeight="true" outlineLevel="0" collapsed="false">
      <c r="A84" s="7"/>
      <c r="B84" s="7"/>
      <c r="C84" s="7"/>
      <c r="D84" s="7"/>
      <c r="E84" s="9"/>
      <c r="F84" s="7"/>
    </row>
    <row r="85" customFormat="false" ht="15" hidden="false" customHeight="true" outlineLevel="0" collapsed="false">
      <c r="A85" s="7"/>
      <c r="B85" s="7"/>
      <c r="C85" s="7"/>
      <c r="D85" s="7"/>
      <c r="E85" s="9"/>
      <c r="F85" s="7"/>
    </row>
    <row r="86" customFormat="false" ht="15" hidden="false" customHeight="true" outlineLevel="0" collapsed="false">
      <c r="A86" s="7"/>
      <c r="B86" s="7"/>
      <c r="C86" s="7"/>
      <c r="D86" s="7"/>
      <c r="E86" s="9"/>
      <c r="F86" s="7"/>
    </row>
    <row r="87" customFormat="false" ht="15" hidden="false" customHeight="true" outlineLevel="0" collapsed="false">
      <c r="A87" s="7"/>
      <c r="B87" s="7"/>
      <c r="C87" s="7"/>
      <c r="D87" s="7"/>
      <c r="E87" s="9"/>
      <c r="F87" s="7"/>
    </row>
    <row r="88" customFormat="false" ht="15" hidden="false" customHeight="true" outlineLevel="0" collapsed="false">
      <c r="A88" s="7"/>
      <c r="B88" s="7"/>
      <c r="C88" s="7"/>
      <c r="D88" s="7"/>
      <c r="E88" s="9"/>
      <c r="F88" s="7"/>
    </row>
    <row r="89" customFormat="false" ht="15" hidden="false" customHeight="true" outlineLevel="0" collapsed="false">
      <c r="A89" s="7"/>
      <c r="B89" s="7"/>
      <c r="C89" s="7"/>
      <c r="D89" s="7"/>
      <c r="E89" s="9"/>
      <c r="F89" s="7"/>
    </row>
    <row r="90" customFormat="false" ht="15" hidden="false" customHeight="true" outlineLevel="0" collapsed="false">
      <c r="A90" s="7"/>
      <c r="B90" s="7"/>
      <c r="C90" s="7"/>
      <c r="D90" s="7"/>
      <c r="E90" s="9"/>
      <c r="F90" s="7"/>
    </row>
    <row r="91" customFormat="false" ht="15" hidden="false" customHeight="true" outlineLevel="0" collapsed="false">
      <c r="A91" s="7"/>
      <c r="B91" s="7"/>
      <c r="C91" s="7"/>
      <c r="D91" s="7"/>
      <c r="E91" s="9"/>
      <c r="F91" s="7"/>
    </row>
    <row r="92" customFormat="false" ht="15" hidden="false" customHeight="true" outlineLevel="0" collapsed="false">
      <c r="A92" s="7"/>
      <c r="B92" s="7"/>
      <c r="C92" s="7"/>
      <c r="D92" s="7"/>
      <c r="E92" s="9"/>
      <c r="F92" s="7"/>
    </row>
    <row r="93" customFormat="false" ht="15" hidden="false" customHeight="true" outlineLevel="0" collapsed="false">
      <c r="A93" s="7"/>
      <c r="B93" s="7"/>
      <c r="C93" s="7"/>
      <c r="D93" s="7"/>
      <c r="E93" s="9"/>
      <c r="F93" s="7"/>
    </row>
    <row r="94" customFormat="false" ht="15" hidden="false" customHeight="true" outlineLevel="0" collapsed="false">
      <c r="A94" s="7"/>
      <c r="B94" s="7"/>
      <c r="C94" s="7"/>
      <c r="D94" s="7"/>
      <c r="E94" s="9"/>
      <c r="F94" s="7"/>
    </row>
    <row r="95" customFormat="false" ht="15" hidden="false" customHeight="true" outlineLevel="0" collapsed="false">
      <c r="A95" s="7"/>
      <c r="B95" s="7"/>
      <c r="C95" s="7"/>
      <c r="D95" s="7"/>
      <c r="E95" s="9"/>
      <c r="F95" s="7"/>
    </row>
    <row r="96" customFormat="false" ht="15" hidden="false" customHeight="true" outlineLevel="0" collapsed="false">
      <c r="A96" s="7"/>
      <c r="B96" s="7"/>
      <c r="C96" s="7"/>
      <c r="D96" s="7"/>
      <c r="E96" s="9"/>
      <c r="F96" s="7"/>
    </row>
    <row r="97" customFormat="false" ht="15" hidden="false" customHeight="true" outlineLevel="0" collapsed="false">
      <c r="A97" s="7"/>
      <c r="B97" s="7"/>
      <c r="C97" s="7"/>
      <c r="D97" s="7"/>
      <c r="E97" s="9"/>
      <c r="F97" s="7"/>
    </row>
    <row r="98" customFormat="false" ht="15" hidden="false" customHeight="true" outlineLevel="0" collapsed="false">
      <c r="A98" s="7"/>
      <c r="B98" s="7"/>
      <c r="C98" s="7"/>
      <c r="D98" s="7"/>
      <c r="E98" s="9"/>
      <c r="F98" s="7"/>
    </row>
    <row r="99" customFormat="false" ht="15" hidden="false" customHeight="true" outlineLevel="0" collapsed="false">
      <c r="A99" s="7"/>
      <c r="B99" s="7"/>
      <c r="C99" s="7"/>
      <c r="D99" s="7"/>
      <c r="E99" s="9"/>
      <c r="F99" s="7"/>
    </row>
    <row r="100" customFormat="false" ht="15" hidden="false" customHeight="true" outlineLevel="0" collapsed="false">
      <c r="A100" s="7"/>
      <c r="B100" s="7"/>
      <c r="C100" s="7"/>
      <c r="D100" s="7"/>
      <c r="E100" s="9"/>
      <c r="F100" s="7"/>
    </row>
    <row r="101" customFormat="false" ht="15" hidden="false" customHeight="true" outlineLevel="0" collapsed="false">
      <c r="A101" s="7"/>
      <c r="B101" s="7"/>
      <c r="C101" s="7"/>
      <c r="D101" s="7"/>
      <c r="E101" s="9"/>
      <c r="F101" s="7"/>
    </row>
    <row r="102" customFormat="false" ht="15" hidden="false" customHeight="true" outlineLevel="0" collapsed="false">
      <c r="A102" s="7"/>
      <c r="B102" s="7"/>
      <c r="C102" s="7"/>
      <c r="D102" s="7"/>
      <c r="E102" s="9"/>
      <c r="F102" s="7"/>
    </row>
    <row r="103" customFormat="false" ht="15" hidden="false" customHeight="true" outlineLevel="0" collapsed="false">
      <c r="A103" s="7"/>
      <c r="B103" s="7"/>
      <c r="C103" s="7"/>
      <c r="D103" s="7"/>
      <c r="E103" s="9"/>
      <c r="F103" s="7"/>
    </row>
    <row r="104" customFormat="false" ht="15" hidden="false" customHeight="true" outlineLevel="0" collapsed="false">
      <c r="A104" s="7"/>
      <c r="B104" s="7"/>
      <c r="C104" s="7"/>
      <c r="D104" s="7"/>
      <c r="E104" s="9"/>
      <c r="F104" s="7"/>
    </row>
    <row r="105" customFormat="false" ht="15" hidden="false" customHeight="true" outlineLevel="0" collapsed="false">
      <c r="A105" s="7"/>
      <c r="B105" s="7"/>
      <c r="C105" s="7"/>
      <c r="D105" s="7"/>
      <c r="E105" s="9"/>
      <c r="F105" s="7"/>
    </row>
    <row r="106" customFormat="false" ht="15" hidden="false" customHeight="true" outlineLevel="0" collapsed="false">
      <c r="A106" s="7"/>
      <c r="B106" s="7"/>
      <c r="C106" s="7"/>
      <c r="D106" s="7"/>
      <c r="E106" s="9"/>
      <c r="F106" s="7"/>
    </row>
    <row r="107" customFormat="false" ht="15" hidden="false" customHeight="true" outlineLevel="0" collapsed="false">
      <c r="A107" s="7"/>
      <c r="B107" s="7"/>
      <c r="C107" s="7"/>
      <c r="D107" s="7"/>
      <c r="E107" s="9"/>
      <c r="F107" s="7"/>
    </row>
    <row r="108" customFormat="false" ht="15" hidden="false" customHeight="true" outlineLevel="0" collapsed="false">
      <c r="A108" s="7"/>
      <c r="B108" s="7"/>
      <c r="C108" s="7"/>
      <c r="D108" s="7"/>
      <c r="E108" s="9"/>
      <c r="F108" s="7"/>
    </row>
    <row r="109" customFormat="false" ht="15" hidden="false" customHeight="true" outlineLevel="0" collapsed="false">
      <c r="A109" s="7"/>
      <c r="B109" s="7"/>
      <c r="C109" s="7"/>
      <c r="D109" s="7"/>
      <c r="E109" s="9"/>
      <c r="F109" s="7"/>
    </row>
    <row r="110" customFormat="false" ht="15" hidden="false" customHeight="true" outlineLevel="0" collapsed="false">
      <c r="A110" s="7"/>
      <c r="B110" s="7"/>
      <c r="C110" s="7"/>
      <c r="D110" s="7"/>
      <c r="E110" s="9"/>
      <c r="F110" s="7"/>
    </row>
    <row r="111" customFormat="false" ht="15" hidden="false" customHeight="true" outlineLevel="0" collapsed="false">
      <c r="A111" s="7"/>
      <c r="B111" s="7"/>
      <c r="C111" s="7"/>
      <c r="D111" s="7"/>
      <c r="E111" s="9"/>
      <c r="F111" s="7"/>
    </row>
    <row r="112" customFormat="false" ht="15" hidden="false" customHeight="true" outlineLevel="0" collapsed="false">
      <c r="A112" s="7"/>
      <c r="B112" s="7"/>
      <c r="C112" s="7"/>
      <c r="D112" s="7"/>
      <c r="E112" s="9"/>
      <c r="F112" s="7"/>
    </row>
    <row r="113" customFormat="false" ht="15" hidden="false" customHeight="true" outlineLevel="0" collapsed="false">
      <c r="A113" s="7"/>
      <c r="B113" s="7"/>
      <c r="C113" s="7"/>
      <c r="D113" s="7"/>
      <c r="E113" s="9"/>
      <c r="F113" s="7"/>
    </row>
    <row r="114" customFormat="false" ht="15" hidden="false" customHeight="true" outlineLevel="0" collapsed="false">
      <c r="A114" s="7"/>
      <c r="B114" s="7"/>
      <c r="C114" s="7"/>
      <c r="D114" s="7"/>
      <c r="E114" s="9"/>
      <c r="F114" s="7"/>
    </row>
    <row r="115" customFormat="false" ht="15" hidden="false" customHeight="true" outlineLevel="0" collapsed="false">
      <c r="A115" s="7"/>
      <c r="B115" s="7"/>
      <c r="C115" s="7"/>
      <c r="D115" s="7"/>
      <c r="E115" s="9"/>
      <c r="F115" s="7"/>
    </row>
    <row r="116" customFormat="false" ht="15" hidden="false" customHeight="true" outlineLevel="0" collapsed="false">
      <c r="A116" s="7"/>
      <c r="B116" s="7"/>
      <c r="C116" s="7"/>
      <c r="D116" s="7"/>
      <c r="E116" s="9"/>
      <c r="F116" s="7"/>
    </row>
    <row r="117" customFormat="false" ht="15" hidden="false" customHeight="true" outlineLevel="0" collapsed="false">
      <c r="A117" s="7"/>
      <c r="B117" s="7"/>
      <c r="C117" s="7"/>
      <c r="D117" s="7"/>
      <c r="E117" s="9"/>
      <c r="F117" s="7"/>
    </row>
    <row r="118" customFormat="false" ht="15" hidden="false" customHeight="true" outlineLevel="0" collapsed="false">
      <c r="A118" s="7"/>
      <c r="B118" s="7"/>
      <c r="C118" s="7"/>
      <c r="D118" s="7"/>
      <c r="E118" s="9"/>
      <c r="F118" s="7"/>
    </row>
    <row r="119" customFormat="false" ht="15" hidden="false" customHeight="true" outlineLevel="0" collapsed="false">
      <c r="A119" s="7"/>
      <c r="B119" s="7"/>
      <c r="C119" s="7"/>
      <c r="D119" s="7"/>
      <c r="E119" s="9"/>
      <c r="F119" s="7"/>
    </row>
    <row r="120" customFormat="false" ht="15" hidden="false" customHeight="true" outlineLevel="0" collapsed="false">
      <c r="A120" s="7"/>
      <c r="B120" s="7"/>
      <c r="C120" s="7"/>
      <c r="D120" s="7"/>
      <c r="E120" s="9"/>
      <c r="F120" s="7"/>
    </row>
    <row r="121" customFormat="false" ht="15" hidden="false" customHeight="true" outlineLevel="0" collapsed="false">
      <c r="A121" s="7"/>
      <c r="B121" s="7"/>
      <c r="C121" s="7"/>
      <c r="D121" s="7"/>
      <c r="E121" s="9"/>
      <c r="F121" s="7"/>
    </row>
    <row r="122" customFormat="false" ht="15" hidden="false" customHeight="true" outlineLevel="0" collapsed="false">
      <c r="A122" s="7"/>
      <c r="B122" s="7"/>
      <c r="C122" s="7"/>
      <c r="D122" s="7"/>
      <c r="E122" s="9"/>
      <c r="F122" s="7"/>
    </row>
    <row r="123" customFormat="false" ht="15" hidden="false" customHeight="true" outlineLevel="0" collapsed="false">
      <c r="A123" s="7"/>
      <c r="B123" s="7"/>
      <c r="C123" s="7"/>
      <c r="D123" s="7"/>
      <c r="E123" s="9"/>
      <c r="F123" s="7"/>
    </row>
    <row r="124" customFormat="false" ht="15" hidden="false" customHeight="true" outlineLevel="0" collapsed="false">
      <c r="A124" s="7"/>
      <c r="B124" s="7"/>
      <c r="C124" s="7"/>
      <c r="D124" s="7"/>
      <c r="E124" s="9"/>
      <c r="F124" s="7"/>
    </row>
    <row r="125" customFormat="false" ht="15" hidden="false" customHeight="true" outlineLevel="0" collapsed="false">
      <c r="A125" s="7"/>
      <c r="B125" s="7"/>
      <c r="C125" s="7"/>
      <c r="D125" s="7"/>
      <c r="E125" s="9"/>
      <c r="F125" s="7"/>
    </row>
    <row r="126" customFormat="false" ht="15" hidden="false" customHeight="true" outlineLevel="0" collapsed="false">
      <c r="A126" s="7"/>
      <c r="B126" s="7"/>
      <c r="C126" s="7"/>
      <c r="D126" s="7"/>
      <c r="E126" s="9"/>
      <c r="F126" s="7"/>
    </row>
    <row r="127" customFormat="false" ht="15" hidden="false" customHeight="true" outlineLevel="0" collapsed="false">
      <c r="A127" s="7"/>
      <c r="B127" s="7"/>
      <c r="C127" s="7"/>
      <c r="D127" s="7"/>
      <c r="E127" s="9"/>
      <c r="F127" s="7"/>
    </row>
    <row r="128" customFormat="false" ht="15" hidden="false" customHeight="true" outlineLevel="0" collapsed="false">
      <c r="A128" s="7"/>
      <c r="B128" s="7"/>
      <c r="C128" s="7"/>
      <c r="D128" s="7"/>
      <c r="E128" s="9"/>
      <c r="F128" s="7"/>
    </row>
    <row r="129" customFormat="false" ht="15" hidden="false" customHeight="true" outlineLevel="0" collapsed="false">
      <c r="A129" s="7"/>
      <c r="B129" s="7"/>
      <c r="C129" s="7"/>
      <c r="D129" s="7"/>
      <c r="E129" s="9"/>
      <c r="F129" s="7"/>
    </row>
    <row r="130" customFormat="false" ht="15" hidden="false" customHeight="true" outlineLevel="0" collapsed="false">
      <c r="A130" s="7"/>
      <c r="B130" s="7"/>
      <c r="C130" s="7"/>
      <c r="D130" s="7"/>
      <c r="E130" s="9"/>
      <c r="F130" s="7"/>
    </row>
    <row r="131" customFormat="false" ht="15" hidden="false" customHeight="true" outlineLevel="0" collapsed="false">
      <c r="A131" s="7"/>
      <c r="B131" s="7"/>
      <c r="C131" s="7"/>
      <c r="D131" s="7"/>
      <c r="E131" s="9"/>
      <c r="F131" s="7"/>
    </row>
    <row r="132" customFormat="false" ht="15" hidden="false" customHeight="true" outlineLevel="0" collapsed="false">
      <c r="A132" s="7"/>
      <c r="B132" s="7"/>
      <c r="C132" s="7"/>
      <c r="D132" s="7"/>
      <c r="E132" s="9"/>
      <c r="F132" s="7"/>
    </row>
    <row r="133" customFormat="false" ht="15" hidden="false" customHeight="true" outlineLevel="0" collapsed="false">
      <c r="A133" s="7"/>
      <c r="B133" s="7"/>
      <c r="C133" s="7"/>
      <c r="D133" s="7"/>
      <c r="E133" s="9"/>
      <c r="F133" s="7"/>
    </row>
    <row r="134" customFormat="false" ht="15" hidden="false" customHeight="true" outlineLevel="0" collapsed="false">
      <c r="A134" s="7"/>
      <c r="B134" s="7"/>
      <c r="C134" s="7"/>
      <c r="D134" s="7"/>
      <c r="E134" s="9"/>
      <c r="F134" s="7"/>
    </row>
    <row r="135" customFormat="false" ht="15" hidden="false" customHeight="true" outlineLevel="0" collapsed="false">
      <c r="A135" s="7"/>
      <c r="B135" s="7"/>
      <c r="C135" s="7"/>
      <c r="D135" s="7"/>
      <c r="E135" s="9"/>
      <c r="F135" s="7"/>
    </row>
    <row r="136" customFormat="false" ht="15" hidden="false" customHeight="true" outlineLevel="0" collapsed="false">
      <c r="A136" s="7"/>
      <c r="B136" s="7"/>
      <c r="C136" s="7"/>
      <c r="D136" s="7"/>
      <c r="E136" s="9"/>
      <c r="F136" s="7"/>
    </row>
    <row r="137" customFormat="false" ht="15" hidden="false" customHeight="true" outlineLevel="0" collapsed="false">
      <c r="A137" s="7"/>
      <c r="B137" s="7"/>
      <c r="C137" s="7"/>
      <c r="D137" s="7"/>
      <c r="E137" s="9"/>
      <c r="F137" s="7"/>
    </row>
    <row r="138" customFormat="false" ht="15" hidden="false" customHeight="true" outlineLevel="0" collapsed="false">
      <c r="A138" s="7"/>
      <c r="B138" s="7"/>
      <c r="C138" s="7"/>
      <c r="D138" s="7"/>
      <c r="E138" s="9"/>
      <c r="F138" s="7"/>
    </row>
    <row r="139" customFormat="false" ht="15" hidden="false" customHeight="true" outlineLevel="0" collapsed="false">
      <c r="A139" s="7"/>
      <c r="B139" s="7"/>
      <c r="C139" s="7"/>
      <c r="D139" s="7"/>
      <c r="E139" s="9"/>
      <c r="F139" s="7"/>
    </row>
    <row r="140" customFormat="false" ht="15" hidden="false" customHeight="true" outlineLevel="0" collapsed="false">
      <c r="A140" s="7"/>
      <c r="B140" s="7"/>
      <c r="C140" s="7"/>
      <c r="D140" s="7"/>
      <c r="E140" s="9"/>
      <c r="F140" s="7"/>
    </row>
    <row r="141" customFormat="false" ht="15" hidden="false" customHeight="true" outlineLevel="0" collapsed="false">
      <c r="A141" s="7"/>
      <c r="B141" s="7"/>
      <c r="C141" s="7"/>
      <c r="D141" s="7"/>
      <c r="E141" s="9"/>
      <c r="F141" s="7"/>
    </row>
    <row r="142" customFormat="false" ht="15" hidden="false" customHeight="true" outlineLevel="0" collapsed="false">
      <c r="A142" s="7"/>
      <c r="B142" s="7"/>
      <c r="C142" s="7"/>
      <c r="D142" s="7"/>
      <c r="E142" s="9"/>
      <c r="F142" s="7"/>
    </row>
    <row r="143" customFormat="false" ht="15" hidden="false" customHeight="true" outlineLevel="0" collapsed="false">
      <c r="A143" s="7"/>
      <c r="B143" s="7"/>
      <c r="C143" s="7"/>
      <c r="D143" s="7"/>
      <c r="E143" s="9"/>
      <c r="F143" s="7"/>
    </row>
    <row r="144" customFormat="false" ht="15" hidden="false" customHeight="true" outlineLevel="0" collapsed="false">
      <c r="A144" s="7"/>
      <c r="B144" s="7"/>
      <c r="C144" s="7"/>
      <c r="D144" s="7"/>
      <c r="E144" s="9"/>
      <c r="F144" s="7"/>
    </row>
    <row r="145" customFormat="false" ht="15" hidden="false" customHeight="true" outlineLevel="0" collapsed="false">
      <c r="A145" s="7"/>
      <c r="B145" s="7"/>
      <c r="C145" s="7"/>
      <c r="D145" s="7"/>
      <c r="E145" s="9"/>
      <c r="F145" s="7"/>
    </row>
    <row r="146" customFormat="false" ht="15" hidden="false" customHeight="true" outlineLevel="0" collapsed="false">
      <c r="A146" s="7"/>
      <c r="B146" s="7"/>
      <c r="C146" s="7"/>
      <c r="D146" s="7"/>
      <c r="E146" s="9"/>
      <c r="F146" s="7"/>
    </row>
    <row r="147" customFormat="false" ht="15" hidden="false" customHeight="true" outlineLevel="0" collapsed="false">
      <c r="A147" s="7"/>
      <c r="B147" s="7"/>
      <c r="C147" s="7"/>
      <c r="D147" s="7"/>
      <c r="E147" s="9"/>
      <c r="F147" s="7"/>
    </row>
    <row r="148" customFormat="false" ht="15" hidden="false" customHeight="true" outlineLevel="0" collapsed="false">
      <c r="A148" s="7"/>
      <c r="B148" s="7"/>
      <c r="C148" s="7"/>
      <c r="D148" s="7"/>
      <c r="E148" s="9"/>
      <c r="F148" s="7"/>
    </row>
    <row r="149" customFormat="false" ht="15" hidden="false" customHeight="true" outlineLevel="0" collapsed="false">
      <c r="A149" s="7"/>
      <c r="B149" s="7"/>
      <c r="C149" s="7"/>
      <c r="D149" s="7"/>
      <c r="E149" s="9"/>
      <c r="F149" s="7"/>
    </row>
    <row r="150" customFormat="false" ht="15" hidden="false" customHeight="true" outlineLevel="0" collapsed="false">
      <c r="A150" s="7"/>
      <c r="B150" s="7"/>
      <c r="C150" s="7"/>
      <c r="D150" s="7"/>
      <c r="E150" s="9"/>
      <c r="F150" s="7"/>
    </row>
    <row r="151" customFormat="false" ht="15" hidden="false" customHeight="true" outlineLevel="0" collapsed="false">
      <c r="A151" s="7"/>
      <c r="B151" s="7"/>
      <c r="C151" s="7"/>
      <c r="D151" s="7"/>
      <c r="E151" s="9"/>
      <c r="F151" s="7"/>
    </row>
    <row r="152" customFormat="false" ht="15" hidden="false" customHeight="true" outlineLevel="0" collapsed="false">
      <c r="A152" s="7"/>
      <c r="B152" s="7"/>
      <c r="C152" s="7"/>
      <c r="D152" s="7"/>
      <c r="E152" s="9"/>
      <c r="F152" s="7"/>
    </row>
    <row r="153" customFormat="false" ht="15" hidden="false" customHeight="true" outlineLevel="0" collapsed="false">
      <c r="A153" s="7"/>
      <c r="B153" s="7"/>
      <c r="C153" s="7"/>
      <c r="D153" s="7"/>
      <c r="E153" s="9"/>
      <c r="F153" s="7"/>
    </row>
    <row r="154" customFormat="false" ht="15" hidden="false" customHeight="true" outlineLevel="0" collapsed="false">
      <c r="A154" s="7"/>
      <c r="B154" s="7"/>
      <c r="C154" s="7"/>
      <c r="D154" s="7"/>
      <c r="E154" s="9"/>
      <c r="F154" s="7"/>
    </row>
    <row r="155" customFormat="false" ht="15" hidden="false" customHeight="true" outlineLevel="0" collapsed="false">
      <c r="A155" s="7"/>
      <c r="B155" s="7"/>
      <c r="C155" s="7"/>
      <c r="D155" s="7"/>
      <c r="E155" s="9"/>
      <c r="F155" s="7"/>
    </row>
    <row r="156" customFormat="false" ht="15" hidden="false" customHeight="true" outlineLevel="0" collapsed="false">
      <c r="A156" s="7"/>
      <c r="B156" s="7"/>
      <c r="C156" s="7"/>
      <c r="D156" s="7"/>
      <c r="E156" s="9"/>
      <c r="F156" s="7"/>
    </row>
    <row r="157" customFormat="false" ht="15" hidden="false" customHeight="true" outlineLevel="0" collapsed="false">
      <c r="A157" s="7"/>
      <c r="B157" s="7"/>
      <c r="C157" s="7"/>
      <c r="D157" s="7"/>
      <c r="E157" s="9"/>
      <c r="F157" s="7"/>
    </row>
    <row r="158" customFormat="false" ht="15" hidden="false" customHeight="true" outlineLevel="0" collapsed="false">
      <c r="A158" s="7"/>
      <c r="B158" s="7"/>
      <c r="C158" s="7"/>
      <c r="D158" s="7"/>
      <c r="E158" s="9"/>
      <c r="F158" s="7"/>
    </row>
    <row r="159" customFormat="false" ht="15" hidden="false" customHeight="true" outlineLevel="0" collapsed="false">
      <c r="A159" s="7"/>
      <c r="B159" s="7"/>
      <c r="C159" s="7"/>
      <c r="D159" s="7"/>
      <c r="E159" s="9"/>
      <c r="F159" s="7"/>
    </row>
    <row r="160" customFormat="false" ht="15" hidden="false" customHeight="true" outlineLevel="0" collapsed="false">
      <c r="A160" s="7"/>
      <c r="B160" s="7"/>
      <c r="C160" s="7"/>
      <c r="D160" s="7"/>
      <c r="E160" s="9"/>
      <c r="F160" s="7"/>
    </row>
    <row r="161" customFormat="false" ht="15" hidden="false" customHeight="true" outlineLevel="0" collapsed="false">
      <c r="A161" s="7"/>
      <c r="B161" s="7"/>
      <c r="C161" s="7"/>
      <c r="D161" s="7"/>
      <c r="E161" s="9"/>
      <c r="F161" s="7"/>
    </row>
    <row r="162" customFormat="false" ht="15" hidden="false" customHeight="true" outlineLevel="0" collapsed="false">
      <c r="A162" s="7"/>
      <c r="B162" s="7"/>
      <c r="C162" s="7"/>
      <c r="D162" s="7"/>
      <c r="E162" s="9"/>
      <c r="F162" s="7"/>
    </row>
    <row r="163" customFormat="false" ht="15" hidden="false" customHeight="true" outlineLevel="0" collapsed="false">
      <c r="A163" s="7"/>
      <c r="B163" s="7"/>
      <c r="C163" s="7"/>
      <c r="D163" s="7"/>
      <c r="E163" s="9"/>
      <c r="F163" s="7"/>
    </row>
    <row r="164" customFormat="false" ht="15" hidden="false" customHeight="true" outlineLevel="0" collapsed="false">
      <c r="A164" s="7"/>
      <c r="B164" s="7"/>
      <c r="C164" s="7"/>
      <c r="D164" s="7"/>
      <c r="E164" s="9"/>
      <c r="F164" s="7"/>
    </row>
    <row r="165" customFormat="false" ht="15" hidden="false" customHeight="true" outlineLevel="0" collapsed="false">
      <c r="A165" s="7"/>
      <c r="B165" s="7"/>
      <c r="C165" s="7"/>
      <c r="D165" s="7"/>
      <c r="E165" s="9"/>
      <c r="F165" s="7"/>
    </row>
    <row r="166" customFormat="false" ht="15" hidden="false" customHeight="true" outlineLevel="0" collapsed="false">
      <c r="A166" s="7"/>
      <c r="B166" s="7"/>
      <c r="C166" s="7"/>
      <c r="D166" s="7"/>
      <c r="E166" s="9"/>
      <c r="F166" s="7"/>
    </row>
    <row r="167" customFormat="false" ht="15" hidden="false" customHeight="true" outlineLevel="0" collapsed="false">
      <c r="A167" s="7"/>
      <c r="B167" s="7"/>
      <c r="C167" s="7"/>
      <c r="D167" s="7"/>
      <c r="E167" s="9"/>
      <c r="F167" s="7"/>
    </row>
    <row r="168" customFormat="false" ht="15" hidden="false" customHeight="true" outlineLevel="0" collapsed="false">
      <c r="A168" s="7"/>
      <c r="B168" s="7"/>
      <c r="C168" s="7"/>
      <c r="D168" s="7"/>
      <c r="E168" s="9"/>
      <c r="F168" s="7"/>
    </row>
    <row r="169" customFormat="false" ht="15" hidden="false" customHeight="true" outlineLevel="0" collapsed="false">
      <c r="A169" s="7"/>
      <c r="B169" s="7"/>
      <c r="C169" s="7"/>
      <c r="D169" s="7"/>
      <c r="E169" s="9"/>
      <c r="F169" s="7"/>
    </row>
    <row r="170" customFormat="false" ht="15" hidden="false" customHeight="true" outlineLevel="0" collapsed="false">
      <c r="A170" s="7"/>
      <c r="B170" s="7"/>
      <c r="C170" s="7"/>
      <c r="D170" s="7"/>
      <c r="E170" s="9"/>
      <c r="F170" s="7"/>
    </row>
    <row r="171" customFormat="false" ht="15" hidden="false" customHeight="true" outlineLevel="0" collapsed="false">
      <c r="A171" s="7"/>
      <c r="B171" s="7"/>
      <c r="C171" s="7"/>
      <c r="D171" s="7"/>
      <c r="E171" s="9"/>
      <c r="F171" s="7"/>
    </row>
    <row r="172" customFormat="false" ht="15" hidden="false" customHeight="true" outlineLevel="0" collapsed="false">
      <c r="A172" s="7"/>
      <c r="B172" s="7"/>
      <c r="C172" s="7"/>
      <c r="D172" s="7"/>
      <c r="E172" s="9"/>
      <c r="F172" s="7"/>
    </row>
    <row r="173" customFormat="false" ht="15" hidden="false" customHeight="true" outlineLevel="0" collapsed="false">
      <c r="A173" s="7"/>
      <c r="B173" s="7"/>
      <c r="C173" s="7"/>
      <c r="D173" s="7"/>
      <c r="E173" s="9"/>
      <c r="F173" s="7"/>
    </row>
    <row r="174" customFormat="false" ht="15" hidden="false" customHeight="true" outlineLevel="0" collapsed="false">
      <c r="A174" s="7"/>
      <c r="B174" s="7"/>
      <c r="C174" s="7"/>
      <c r="D174" s="7"/>
      <c r="E174" s="9"/>
      <c r="F174" s="7"/>
    </row>
    <row r="175" customFormat="false" ht="15" hidden="false" customHeight="true" outlineLevel="0" collapsed="false">
      <c r="A175" s="7"/>
      <c r="B175" s="7"/>
      <c r="C175" s="7"/>
      <c r="D175" s="7"/>
      <c r="E175" s="9"/>
      <c r="F175" s="7"/>
    </row>
    <row r="176" customFormat="false" ht="15" hidden="false" customHeight="true" outlineLevel="0" collapsed="false">
      <c r="A176" s="7"/>
      <c r="B176" s="7"/>
      <c r="C176" s="7"/>
      <c r="D176" s="7"/>
      <c r="E176" s="9"/>
      <c r="F176" s="7"/>
    </row>
    <row r="177" customFormat="false" ht="15" hidden="false" customHeight="true" outlineLevel="0" collapsed="false">
      <c r="A177" s="7"/>
      <c r="B177" s="7"/>
      <c r="C177" s="7"/>
      <c r="D177" s="7"/>
      <c r="E177" s="9"/>
      <c r="F177" s="7"/>
    </row>
    <row r="178" customFormat="false" ht="15" hidden="false" customHeight="true" outlineLevel="0" collapsed="false">
      <c r="A178" s="7"/>
      <c r="B178" s="7"/>
      <c r="C178" s="7"/>
      <c r="D178" s="7"/>
      <c r="E178" s="9"/>
      <c r="F178" s="7"/>
    </row>
    <row r="179" customFormat="false" ht="15" hidden="false" customHeight="true" outlineLevel="0" collapsed="false">
      <c r="A179" s="7"/>
      <c r="B179" s="7"/>
      <c r="C179" s="7"/>
      <c r="D179" s="7"/>
      <c r="E179" s="9"/>
      <c r="F179" s="7"/>
    </row>
    <row r="180" customFormat="false" ht="15" hidden="false" customHeight="true" outlineLevel="0" collapsed="false">
      <c r="A180" s="7"/>
      <c r="B180" s="7"/>
      <c r="C180" s="7"/>
      <c r="D180" s="7"/>
      <c r="E180" s="9"/>
      <c r="F180" s="7"/>
    </row>
    <row r="181" customFormat="false" ht="15" hidden="false" customHeight="true" outlineLevel="0" collapsed="false">
      <c r="A181" s="7"/>
      <c r="B181" s="7"/>
      <c r="C181" s="7"/>
      <c r="D181" s="7"/>
      <c r="E181" s="9"/>
      <c r="F181" s="7"/>
    </row>
    <row r="182" customFormat="false" ht="15" hidden="false" customHeight="true" outlineLevel="0" collapsed="false">
      <c r="A182" s="7"/>
      <c r="B182" s="7"/>
      <c r="C182" s="7"/>
      <c r="D182" s="7"/>
      <c r="E182" s="9"/>
      <c r="F182" s="7"/>
    </row>
    <row r="183" customFormat="false" ht="15" hidden="false" customHeight="true" outlineLevel="0" collapsed="false">
      <c r="A183" s="7"/>
      <c r="B183" s="7"/>
      <c r="C183" s="7"/>
      <c r="D183" s="7"/>
      <c r="E183" s="9"/>
      <c r="F183" s="7"/>
    </row>
    <row r="184" customFormat="false" ht="15" hidden="false" customHeight="true" outlineLevel="0" collapsed="false">
      <c r="A184" s="7"/>
      <c r="B184" s="7"/>
      <c r="C184" s="7"/>
      <c r="D184" s="7"/>
      <c r="E184" s="9"/>
      <c r="F184" s="7"/>
    </row>
    <row r="185" customFormat="false" ht="15" hidden="false" customHeight="true" outlineLevel="0" collapsed="false">
      <c r="A185" s="7"/>
      <c r="B185" s="7"/>
      <c r="C185" s="7"/>
      <c r="D185" s="7"/>
      <c r="E185" s="9"/>
      <c r="F185" s="7"/>
    </row>
    <row r="186" customFormat="false" ht="15" hidden="false" customHeight="true" outlineLevel="0" collapsed="false">
      <c r="A186" s="7"/>
      <c r="B186" s="7"/>
      <c r="C186" s="7"/>
      <c r="D186" s="7"/>
      <c r="E186" s="9"/>
      <c r="F186" s="7"/>
    </row>
    <row r="187" customFormat="false" ht="15" hidden="false" customHeight="true" outlineLevel="0" collapsed="false">
      <c r="A187" s="7"/>
      <c r="B187" s="7"/>
      <c r="C187" s="7"/>
      <c r="D187" s="7"/>
      <c r="E187" s="9"/>
      <c r="F187" s="7"/>
    </row>
    <row r="188" customFormat="false" ht="15" hidden="false" customHeight="true" outlineLevel="0" collapsed="false">
      <c r="A188" s="7"/>
      <c r="B188" s="7"/>
      <c r="C188" s="7"/>
      <c r="D188" s="7"/>
      <c r="E188" s="9"/>
      <c r="F188" s="7"/>
    </row>
    <row r="189" customFormat="false" ht="15" hidden="false" customHeight="true" outlineLevel="0" collapsed="false">
      <c r="A189" s="7"/>
      <c r="B189" s="7"/>
      <c r="C189" s="7"/>
      <c r="D189" s="7"/>
      <c r="E189" s="9"/>
      <c r="F189" s="7"/>
    </row>
    <row r="190" customFormat="false" ht="15" hidden="false" customHeight="true" outlineLevel="0" collapsed="false">
      <c r="A190" s="7"/>
      <c r="B190" s="7"/>
      <c r="C190" s="7"/>
      <c r="D190" s="7"/>
      <c r="E190" s="9"/>
      <c r="F190" s="7"/>
    </row>
    <row r="191" customFormat="false" ht="15" hidden="false" customHeight="true" outlineLevel="0" collapsed="false">
      <c r="A191" s="7"/>
      <c r="B191" s="7"/>
      <c r="C191" s="7"/>
      <c r="D191" s="7"/>
      <c r="E191" s="9"/>
      <c r="F191" s="7"/>
    </row>
    <row r="192" customFormat="false" ht="15" hidden="false" customHeight="true" outlineLevel="0" collapsed="false">
      <c r="A192" s="7"/>
      <c r="B192" s="7"/>
      <c r="C192" s="7"/>
      <c r="D192" s="7"/>
      <c r="E192" s="9"/>
      <c r="F192" s="7"/>
    </row>
    <row r="193" customFormat="false" ht="15" hidden="false" customHeight="true" outlineLevel="0" collapsed="false">
      <c r="A193" s="7"/>
      <c r="B193" s="7"/>
      <c r="C193" s="7"/>
      <c r="D193" s="7"/>
      <c r="E193" s="9"/>
      <c r="F193" s="7"/>
    </row>
    <row r="194" customFormat="false" ht="15" hidden="false" customHeight="true" outlineLevel="0" collapsed="false">
      <c r="A194" s="7"/>
      <c r="B194" s="7"/>
      <c r="C194" s="7"/>
      <c r="D194" s="7"/>
      <c r="E194" s="9"/>
      <c r="F194" s="7"/>
    </row>
    <row r="195" customFormat="false" ht="15" hidden="false" customHeight="true" outlineLevel="0" collapsed="false">
      <c r="A195" s="7"/>
      <c r="B195" s="7"/>
      <c r="C195" s="7"/>
      <c r="D195" s="7"/>
      <c r="E195" s="9"/>
      <c r="F195" s="7"/>
    </row>
    <row r="196" customFormat="false" ht="15" hidden="false" customHeight="true" outlineLevel="0" collapsed="false">
      <c r="A196" s="7"/>
      <c r="B196" s="7"/>
      <c r="C196" s="7"/>
      <c r="D196" s="7"/>
      <c r="E196" s="9"/>
      <c r="F196" s="7"/>
    </row>
    <row r="197" customFormat="false" ht="15" hidden="false" customHeight="true" outlineLevel="0" collapsed="false">
      <c r="A197" s="7"/>
      <c r="B197" s="7"/>
      <c r="C197" s="7"/>
      <c r="D197" s="7"/>
      <c r="E197" s="9"/>
      <c r="F197" s="7"/>
    </row>
    <row r="198" customFormat="false" ht="15" hidden="false" customHeight="true" outlineLevel="0" collapsed="false">
      <c r="A198" s="7"/>
      <c r="B198" s="7"/>
      <c r="C198" s="7"/>
      <c r="D198" s="7"/>
      <c r="E198" s="9"/>
      <c r="F198" s="7"/>
    </row>
    <row r="199" customFormat="false" ht="15" hidden="false" customHeight="true" outlineLevel="0" collapsed="false">
      <c r="A199" s="7"/>
      <c r="B199" s="7"/>
      <c r="C199" s="7"/>
      <c r="D199" s="7"/>
      <c r="E199" s="9"/>
      <c r="F199" s="7"/>
    </row>
    <row r="200" customFormat="false" ht="15" hidden="false" customHeight="true" outlineLevel="0" collapsed="false">
      <c r="A200" s="7"/>
      <c r="B200" s="7"/>
      <c r="C200" s="7"/>
      <c r="D200" s="7"/>
      <c r="E200" s="9"/>
      <c r="F200" s="7"/>
    </row>
    <row r="201" customFormat="false" ht="15" hidden="false" customHeight="true" outlineLevel="0" collapsed="false">
      <c r="A201" s="7"/>
      <c r="B201" s="7"/>
      <c r="C201" s="7"/>
      <c r="D201" s="7"/>
      <c r="E201" s="9"/>
      <c r="F201" s="7"/>
    </row>
    <row r="202" customFormat="false" ht="15" hidden="false" customHeight="true" outlineLevel="0" collapsed="false">
      <c r="A202" s="7"/>
      <c r="B202" s="7"/>
      <c r="C202" s="7"/>
      <c r="D202" s="7"/>
      <c r="E202" s="9"/>
      <c r="F202" s="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24"/>
  </cols>
  <sheetData>
    <row r="1" customFormat="false" ht="25.5" hidden="false" customHeight="true" outlineLevel="0" collapsed="false">
      <c r="A1" s="2" t="s">
        <v>45</v>
      </c>
      <c r="B1" s="2"/>
      <c r="C1" s="2"/>
      <c r="D1" s="2"/>
    </row>
    <row r="2" customFormat="false" ht="15" hidden="false" customHeight="true" outlineLevel="0" collapsed="false">
      <c r="A2" s="6" t="s">
        <v>46</v>
      </c>
      <c r="B2" s="6" t="s">
        <v>47</v>
      </c>
      <c r="C2" s="6" t="s">
        <v>48</v>
      </c>
      <c r="D2" s="6" t="s">
        <v>32</v>
      </c>
    </row>
    <row r="3" customFormat="false" ht="15" hidden="false" customHeight="true" outlineLevel="0" collapsed="false">
      <c r="A3" s="7" t="s">
        <v>49</v>
      </c>
      <c r="B3" s="8" t="s">
        <v>50</v>
      </c>
      <c r="C3" s="8" t="s">
        <v>51</v>
      </c>
      <c r="D3" s="7"/>
    </row>
    <row r="4" customFormat="false" ht="15" hidden="false" customHeight="true" outlineLevel="0" collapsed="false">
      <c r="A4" s="7" t="s">
        <v>52</v>
      </c>
      <c r="B4" s="8" t="s">
        <v>53</v>
      </c>
      <c r="C4" s="8" t="s">
        <v>54</v>
      </c>
      <c r="D4" s="7"/>
    </row>
    <row r="5" customFormat="false" ht="15" hidden="false" customHeight="true" outlineLevel="0" collapsed="false">
      <c r="A5" s="7" t="s">
        <v>55</v>
      </c>
      <c r="B5" s="8" t="s">
        <v>56</v>
      </c>
      <c r="C5" s="8" t="s">
        <v>51</v>
      </c>
      <c r="D5" s="7"/>
    </row>
    <row r="6" customFormat="false" ht="15" hidden="false" customHeight="true" outlineLevel="0" collapsed="false">
      <c r="A6" s="7"/>
      <c r="B6" s="7"/>
      <c r="C6" s="8"/>
      <c r="D6" s="7"/>
    </row>
    <row r="7" customFormat="false" ht="15" hidden="false" customHeight="true" outlineLevel="0" collapsed="false">
      <c r="A7" s="7"/>
      <c r="B7" s="7"/>
      <c r="C7" s="8"/>
      <c r="D7" s="7"/>
    </row>
    <row r="8" customFormat="false" ht="15" hidden="false" customHeight="true" outlineLevel="0" collapsed="false">
      <c r="A8" s="7"/>
      <c r="B8" s="7"/>
      <c r="C8" s="8"/>
      <c r="D8" s="7"/>
    </row>
    <row r="9" customFormat="false" ht="15" hidden="false" customHeight="true" outlineLevel="0" collapsed="false">
      <c r="A9" s="7"/>
      <c r="B9" s="7"/>
      <c r="C9" s="8"/>
      <c r="D9" s="7"/>
    </row>
    <row r="10" customFormat="false" ht="15" hidden="false" customHeight="true" outlineLevel="0" collapsed="false">
      <c r="A10" s="7"/>
      <c r="B10" s="7"/>
      <c r="C10" s="8"/>
      <c r="D10" s="7"/>
    </row>
    <row r="11" customFormat="false" ht="15" hidden="false" customHeight="true" outlineLevel="0" collapsed="false">
      <c r="A11" s="7"/>
      <c r="B11" s="7"/>
      <c r="C11" s="8"/>
      <c r="D11" s="7"/>
    </row>
    <row r="12" customFormat="false" ht="15" hidden="false" customHeight="true" outlineLevel="0" collapsed="false">
      <c r="A12" s="7"/>
      <c r="B12" s="7"/>
      <c r="C12" s="8"/>
      <c r="D12" s="7"/>
    </row>
    <row r="13" customFormat="false" ht="15" hidden="false" customHeight="true" outlineLevel="0" collapsed="false">
      <c r="A13" s="7"/>
      <c r="B13" s="7"/>
      <c r="C13" s="8"/>
      <c r="D13" s="7"/>
    </row>
    <row r="14" customFormat="false" ht="15" hidden="false" customHeight="true" outlineLevel="0" collapsed="false">
      <c r="A14" s="7"/>
      <c r="B14" s="7"/>
      <c r="C14" s="8"/>
      <c r="D14" s="7"/>
    </row>
    <row r="15" customFormat="false" ht="15" hidden="false" customHeight="true" outlineLevel="0" collapsed="false">
      <c r="A15" s="7"/>
      <c r="B15" s="7"/>
      <c r="C15" s="8"/>
      <c r="D15" s="7"/>
    </row>
    <row r="16" customFormat="false" ht="15" hidden="false" customHeight="true" outlineLevel="0" collapsed="false">
      <c r="A16" s="7"/>
      <c r="B16" s="7"/>
      <c r="C16" s="8"/>
      <c r="D16" s="7"/>
    </row>
    <row r="17" customFormat="false" ht="15" hidden="false" customHeight="true" outlineLevel="0" collapsed="false">
      <c r="A17" s="7"/>
      <c r="B17" s="7"/>
      <c r="C17" s="8"/>
      <c r="D17" s="7"/>
    </row>
    <row r="18" customFormat="false" ht="15" hidden="false" customHeight="true" outlineLevel="0" collapsed="false">
      <c r="A18" s="7"/>
      <c r="B18" s="7"/>
      <c r="C18" s="8"/>
      <c r="D18" s="7"/>
    </row>
    <row r="19" customFormat="false" ht="15" hidden="false" customHeight="true" outlineLevel="0" collapsed="false">
      <c r="A19" s="7"/>
      <c r="B19" s="7"/>
      <c r="C19" s="8"/>
      <c r="D19" s="7"/>
    </row>
    <row r="20" customFormat="false" ht="15" hidden="false" customHeight="true" outlineLevel="0" collapsed="false">
      <c r="A20" s="7"/>
      <c r="B20" s="7"/>
      <c r="C20" s="8"/>
      <c r="D20" s="7"/>
    </row>
    <row r="21" customFormat="false" ht="15" hidden="false" customHeight="true" outlineLevel="0" collapsed="false">
      <c r="A21" s="7"/>
      <c r="B21" s="7"/>
      <c r="C21" s="8"/>
      <c r="D21" s="7"/>
    </row>
    <row r="22" customFormat="false" ht="15" hidden="false" customHeight="true" outlineLevel="0" collapsed="false">
      <c r="A22" s="7"/>
      <c r="B22" s="7"/>
      <c r="C22" s="8"/>
      <c r="D22" s="7"/>
    </row>
    <row r="23" customFormat="false" ht="15" hidden="false" customHeight="true" outlineLevel="0" collapsed="false">
      <c r="A23" s="7"/>
      <c r="B23" s="7"/>
      <c r="C23" s="8"/>
      <c r="D23" s="7"/>
    </row>
    <row r="24" customFormat="false" ht="15" hidden="false" customHeight="true" outlineLevel="0" collapsed="false">
      <c r="A24" s="7"/>
      <c r="B24" s="7"/>
      <c r="C24" s="8"/>
      <c r="D24" s="7"/>
    </row>
    <row r="25" customFormat="false" ht="15" hidden="false" customHeight="true" outlineLevel="0" collapsed="false">
      <c r="A25" s="7"/>
      <c r="B25" s="7"/>
      <c r="C25" s="8"/>
      <c r="D25" s="7"/>
    </row>
    <row r="26" customFormat="false" ht="15" hidden="false" customHeight="true" outlineLevel="0" collapsed="false">
      <c r="A26" s="7"/>
      <c r="B26" s="7"/>
      <c r="C26" s="8"/>
      <c r="D26" s="7"/>
    </row>
    <row r="27" customFormat="false" ht="15" hidden="false" customHeight="true" outlineLevel="0" collapsed="false">
      <c r="A27" s="7"/>
      <c r="B27" s="7"/>
      <c r="C27" s="8"/>
      <c r="D27" s="7"/>
    </row>
    <row r="28" customFormat="false" ht="15" hidden="false" customHeight="true" outlineLevel="0" collapsed="false">
      <c r="A28" s="7"/>
      <c r="B28" s="7"/>
      <c r="C28" s="8"/>
      <c r="D28" s="7"/>
    </row>
    <row r="29" customFormat="false" ht="15" hidden="false" customHeight="true" outlineLevel="0" collapsed="false">
      <c r="A29" s="7"/>
      <c r="B29" s="7"/>
      <c r="C29" s="8"/>
      <c r="D29" s="7"/>
    </row>
    <row r="30" customFormat="false" ht="15" hidden="false" customHeight="true" outlineLevel="0" collapsed="false">
      <c r="A30" s="7"/>
      <c r="B30" s="7"/>
      <c r="C30" s="8"/>
      <c r="D30" s="7"/>
    </row>
    <row r="31" customFormat="false" ht="15" hidden="false" customHeight="true" outlineLevel="0" collapsed="false">
      <c r="A31" s="7"/>
      <c r="B31" s="7"/>
      <c r="C31" s="8"/>
      <c r="D31" s="7"/>
    </row>
    <row r="32" customFormat="false" ht="15" hidden="false" customHeight="true" outlineLevel="0" collapsed="false">
      <c r="A32" s="7"/>
      <c r="B32" s="7"/>
      <c r="C32" s="8"/>
      <c r="D32" s="7"/>
    </row>
    <row r="33" customFormat="false" ht="15" hidden="false" customHeight="true" outlineLevel="0" collapsed="false">
      <c r="A33" s="7"/>
      <c r="B33" s="7"/>
      <c r="C33" s="8"/>
      <c r="D33" s="7"/>
    </row>
    <row r="34" customFormat="false" ht="15" hidden="false" customHeight="true" outlineLevel="0" collapsed="false">
      <c r="A34" s="7"/>
      <c r="B34" s="7"/>
      <c r="C34" s="8"/>
      <c r="D34" s="7"/>
    </row>
    <row r="35" customFormat="false" ht="15" hidden="false" customHeight="true" outlineLevel="0" collapsed="false">
      <c r="A35" s="7"/>
      <c r="B35" s="7"/>
      <c r="C35" s="8"/>
      <c r="D35" s="7"/>
    </row>
    <row r="36" customFormat="false" ht="15" hidden="false" customHeight="true" outlineLevel="0" collapsed="false">
      <c r="A36" s="7"/>
      <c r="B36" s="7"/>
      <c r="C36" s="8"/>
      <c r="D36" s="7"/>
    </row>
    <row r="37" customFormat="false" ht="15" hidden="false" customHeight="true" outlineLevel="0" collapsed="false">
      <c r="A37" s="7"/>
      <c r="B37" s="7"/>
      <c r="C37" s="8"/>
      <c r="D37" s="7"/>
    </row>
    <row r="38" customFormat="false" ht="15" hidden="false" customHeight="true" outlineLevel="0" collapsed="false">
      <c r="A38" s="7"/>
      <c r="B38" s="7"/>
      <c r="C38" s="8"/>
      <c r="D38" s="7"/>
    </row>
    <row r="39" customFormat="false" ht="15" hidden="false" customHeight="true" outlineLevel="0" collapsed="false">
      <c r="A39" s="7"/>
      <c r="B39" s="7"/>
      <c r="C39" s="8"/>
      <c r="D39" s="7"/>
    </row>
    <row r="40" customFormat="false" ht="15" hidden="false" customHeight="true" outlineLevel="0" collapsed="false">
      <c r="A40" s="7"/>
      <c r="B40" s="7"/>
      <c r="C40" s="8"/>
      <c r="D40" s="7"/>
    </row>
    <row r="41" customFormat="false" ht="15" hidden="false" customHeight="true" outlineLevel="0" collapsed="false">
      <c r="A41" s="7"/>
      <c r="B41" s="7"/>
      <c r="C41" s="8"/>
      <c r="D41" s="7"/>
    </row>
    <row r="42" customFormat="false" ht="15" hidden="false" customHeight="true" outlineLevel="0" collapsed="false">
      <c r="A42" s="7"/>
      <c r="B42" s="7"/>
      <c r="C42" s="8"/>
      <c r="D42" s="7"/>
    </row>
    <row r="43" customFormat="false" ht="15" hidden="false" customHeight="true" outlineLevel="0" collapsed="false">
      <c r="A43" s="7"/>
      <c r="B43" s="7"/>
      <c r="C43" s="8"/>
      <c r="D43" s="7"/>
    </row>
    <row r="44" customFormat="false" ht="15" hidden="false" customHeight="true" outlineLevel="0" collapsed="false">
      <c r="A44" s="7"/>
      <c r="B44" s="7"/>
      <c r="C44" s="8"/>
      <c r="D44" s="7"/>
    </row>
    <row r="45" customFormat="false" ht="15" hidden="false" customHeight="true" outlineLevel="0" collapsed="false">
      <c r="A45" s="7"/>
      <c r="B45" s="7"/>
      <c r="C45" s="8"/>
      <c r="D45" s="7"/>
    </row>
    <row r="46" customFormat="false" ht="15" hidden="false" customHeight="true" outlineLevel="0" collapsed="false">
      <c r="A46" s="7"/>
      <c r="B46" s="7"/>
      <c r="C46" s="8"/>
      <c r="D46" s="7"/>
    </row>
    <row r="47" customFormat="false" ht="15" hidden="false" customHeight="true" outlineLevel="0" collapsed="false">
      <c r="A47" s="7"/>
      <c r="B47" s="7"/>
      <c r="C47" s="8"/>
      <c r="D47" s="7"/>
    </row>
    <row r="48" customFormat="false" ht="15" hidden="false" customHeight="true" outlineLevel="0" collapsed="false">
      <c r="A48" s="7"/>
      <c r="B48" s="7"/>
      <c r="C48" s="8"/>
      <c r="D48" s="7"/>
    </row>
    <row r="49" customFormat="false" ht="15" hidden="false" customHeight="true" outlineLevel="0" collapsed="false">
      <c r="A49" s="7"/>
      <c r="B49" s="7"/>
      <c r="C49" s="8"/>
      <c r="D49" s="7"/>
    </row>
    <row r="50" customFormat="false" ht="15" hidden="false" customHeight="true" outlineLevel="0" collapsed="false">
      <c r="A50" s="7"/>
      <c r="B50" s="7"/>
      <c r="C50" s="8"/>
      <c r="D50" s="7"/>
    </row>
    <row r="51" customFormat="false" ht="15" hidden="false" customHeight="true" outlineLevel="0" collapsed="false">
      <c r="A51" s="7"/>
      <c r="B51" s="7"/>
      <c r="C51" s="8"/>
      <c r="D51" s="7"/>
    </row>
    <row r="52" customFormat="false" ht="15" hidden="false" customHeight="true" outlineLevel="0" collapsed="false">
      <c r="A52" s="7"/>
      <c r="B52" s="7"/>
      <c r="C52" s="8"/>
      <c r="D52" s="7"/>
    </row>
    <row r="53" customFormat="false" ht="15" hidden="false" customHeight="true" outlineLevel="0" collapsed="false">
      <c r="A53" s="7"/>
      <c r="B53" s="7"/>
      <c r="C53" s="8"/>
      <c r="D53" s="7"/>
    </row>
    <row r="54" customFormat="false" ht="15" hidden="false" customHeight="true" outlineLevel="0" collapsed="false">
      <c r="A54" s="7"/>
      <c r="B54" s="7"/>
      <c r="C54" s="8"/>
      <c r="D54" s="7"/>
    </row>
    <row r="55" customFormat="false" ht="15" hidden="false" customHeight="true" outlineLevel="0" collapsed="false">
      <c r="A55" s="7"/>
      <c r="B55" s="7"/>
      <c r="C55" s="8"/>
      <c r="D55" s="7"/>
    </row>
    <row r="56" customFormat="false" ht="15" hidden="false" customHeight="true" outlineLevel="0" collapsed="false">
      <c r="A56" s="7"/>
      <c r="B56" s="7"/>
      <c r="C56" s="8"/>
      <c r="D56" s="7"/>
    </row>
    <row r="57" customFormat="false" ht="15" hidden="false" customHeight="true" outlineLevel="0" collapsed="false">
      <c r="A57" s="7"/>
      <c r="B57" s="7"/>
      <c r="C57" s="8"/>
      <c r="D57" s="7"/>
    </row>
    <row r="58" customFormat="false" ht="15" hidden="false" customHeight="true" outlineLevel="0" collapsed="false">
      <c r="A58" s="7"/>
      <c r="B58" s="7"/>
      <c r="C58" s="8"/>
      <c r="D58" s="7"/>
    </row>
    <row r="59" customFormat="false" ht="15" hidden="false" customHeight="true" outlineLevel="0" collapsed="false">
      <c r="A59" s="7"/>
      <c r="B59" s="7"/>
      <c r="C59" s="8"/>
      <c r="D59" s="7"/>
    </row>
    <row r="60" customFormat="false" ht="15" hidden="false" customHeight="true" outlineLevel="0" collapsed="false">
      <c r="A60" s="7"/>
      <c r="B60" s="7"/>
      <c r="C60" s="8"/>
      <c r="D60" s="7"/>
    </row>
    <row r="61" customFormat="false" ht="15" hidden="false" customHeight="true" outlineLevel="0" collapsed="false">
      <c r="A61" s="7"/>
      <c r="B61" s="7"/>
      <c r="C61" s="8"/>
      <c r="D61" s="7"/>
    </row>
    <row r="62" customFormat="false" ht="15" hidden="false" customHeight="true" outlineLevel="0" collapsed="false">
      <c r="A62" s="7"/>
      <c r="B62" s="7"/>
      <c r="C62" s="8"/>
      <c r="D62" s="7"/>
    </row>
    <row r="63" customFormat="false" ht="15" hidden="false" customHeight="true" outlineLevel="0" collapsed="false">
      <c r="A63" s="7"/>
      <c r="B63" s="7"/>
      <c r="C63" s="8"/>
      <c r="D63" s="7"/>
    </row>
    <row r="64" customFormat="false" ht="15" hidden="false" customHeight="true" outlineLevel="0" collapsed="false">
      <c r="A64" s="7"/>
      <c r="B64" s="7"/>
      <c r="C64" s="8"/>
      <c r="D64" s="7"/>
    </row>
    <row r="65" customFormat="false" ht="15" hidden="false" customHeight="true" outlineLevel="0" collapsed="false">
      <c r="A65" s="7"/>
      <c r="B65" s="7"/>
      <c r="C65" s="8"/>
      <c r="D65" s="7"/>
    </row>
    <row r="66" customFormat="false" ht="15" hidden="false" customHeight="true" outlineLevel="0" collapsed="false">
      <c r="A66" s="7"/>
      <c r="B66" s="7"/>
      <c r="C66" s="8"/>
      <c r="D66" s="7"/>
    </row>
    <row r="67" customFormat="false" ht="15" hidden="false" customHeight="true" outlineLevel="0" collapsed="false">
      <c r="A67" s="7"/>
      <c r="B67" s="7"/>
      <c r="C67" s="8"/>
      <c r="D67" s="7"/>
    </row>
    <row r="68" customFormat="false" ht="15" hidden="false" customHeight="true" outlineLevel="0" collapsed="false">
      <c r="A68" s="7"/>
      <c r="B68" s="7"/>
      <c r="C68" s="8"/>
      <c r="D68" s="7"/>
    </row>
    <row r="69" customFormat="false" ht="15" hidden="false" customHeight="true" outlineLevel="0" collapsed="false">
      <c r="A69" s="7"/>
      <c r="B69" s="7"/>
      <c r="C69" s="8"/>
      <c r="D69" s="7"/>
    </row>
    <row r="70" customFormat="false" ht="15" hidden="false" customHeight="true" outlineLevel="0" collapsed="false">
      <c r="A70" s="7"/>
      <c r="B70" s="7"/>
      <c r="C70" s="8"/>
      <c r="D70" s="7"/>
    </row>
    <row r="71" customFormat="false" ht="15" hidden="false" customHeight="true" outlineLevel="0" collapsed="false">
      <c r="A71" s="7"/>
      <c r="B71" s="7"/>
      <c r="C71" s="8"/>
      <c r="D71" s="7"/>
    </row>
    <row r="72" customFormat="false" ht="15" hidden="false" customHeight="true" outlineLevel="0" collapsed="false">
      <c r="A72" s="7"/>
      <c r="B72" s="7"/>
      <c r="C72" s="8"/>
      <c r="D72" s="7"/>
    </row>
    <row r="73" customFormat="false" ht="15" hidden="false" customHeight="true" outlineLevel="0" collapsed="false">
      <c r="A73" s="7"/>
      <c r="B73" s="7"/>
      <c r="C73" s="8"/>
      <c r="D73" s="7"/>
    </row>
    <row r="74" customFormat="false" ht="15" hidden="false" customHeight="true" outlineLevel="0" collapsed="false">
      <c r="A74" s="7"/>
      <c r="B74" s="7"/>
      <c r="C74" s="8"/>
      <c r="D74" s="7"/>
    </row>
    <row r="75" customFormat="false" ht="15" hidden="false" customHeight="true" outlineLevel="0" collapsed="false">
      <c r="A75" s="7"/>
      <c r="B75" s="7"/>
      <c r="C75" s="8"/>
      <c r="D75" s="7"/>
    </row>
    <row r="76" customFormat="false" ht="15" hidden="false" customHeight="true" outlineLevel="0" collapsed="false">
      <c r="A76" s="7"/>
      <c r="B76" s="7"/>
      <c r="C76" s="8"/>
      <c r="D76" s="7"/>
    </row>
    <row r="77" customFormat="false" ht="15" hidden="false" customHeight="true" outlineLevel="0" collapsed="false">
      <c r="A77" s="7"/>
      <c r="B77" s="7"/>
      <c r="C77" s="8"/>
      <c r="D77" s="7"/>
    </row>
    <row r="78" customFormat="false" ht="15" hidden="false" customHeight="true" outlineLevel="0" collapsed="false">
      <c r="A78" s="7"/>
      <c r="B78" s="7"/>
      <c r="C78" s="8"/>
      <c r="D78" s="7"/>
    </row>
    <row r="79" customFormat="false" ht="15" hidden="false" customHeight="true" outlineLevel="0" collapsed="false">
      <c r="A79" s="7"/>
      <c r="B79" s="7"/>
      <c r="C79" s="8"/>
      <c r="D79" s="7"/>
    </row>
    <row r="80" customFormat="false" ht="15" hidden="false" customHeight="true" outlineLevel="0" collapsed="false">
      <c r="A80" s="7"/>
      <c r="B80" s="7"/>
      <c r="C80" s="8"/>
      <c r="D80" s="7"/>
    </row>
    <row r="81" customFormat="false" ht="15" hidden="false" customHeight="true" outlineLevel="0" collapsed="false">
      <c r="A81" s="7"/>
      <c r="B81" s="7"/>
      <c r="C81" s="8"/>
      <c r="D81" s="7"/>
    </row>
    <row r="82" customFormat="false" ht="15" hidden="false" customHeight="true" outlineLevel="0" collapsed="false">
      <c r="A82" s="7"/>
      <c r="B82" s="7"/>
      <c r="C82" s="8"/>
      <c r="D82" s="7"/>
    </row>
    <row r="83" customFormat="false" ht="15" hidden="false" customHeight="true" outlineLevel="0" collapsed="false">
      <c r="A83" s="7"/>
      <c r="B83" s="7"/>
      <c r="C83" s="8"/>
      <c r="D83" s="7"/>
    </row>
    <row r="84" customFormat="false" ht="15" hidden="false" customHeight="true" outlineLevel="0" collapsed="false">
      <c r="A84" s="7"/>
      <c r="B84" s="7"/>
      <c r="C84" s="8"/>
      <c r="D84" s="7"/>
    </row>
    <row r="85" customFormat="false" ht="15" hidden="false" customHeight="true" outlineLevel="0" collapsed="false">
      <c r="A85" s="7"/>
      <c r="B85" s="7"/>
      <c r="C85" s="8"/>
      <c r="D85" s="7"/>
    </row>
    <row r="86" customFormat="false" ht="15" hidden="false" customHeight="true" outlineLevel="0" collapsed="false">
      <c r="A86" s="7"/>
      <c r="B86" s="7"/>
      <c r="C86" s="8"/>
      <c r="D86" s="7"/>
    </row>
    <row r="87" customFormat="false" ht="15" hidden="false" customHeight="true" outlineLevel="0" collapsed="false">
      <c r="A87" s="7"/>
      <c r="B87" s="7"/>
      <c r="C87" s="8"/>
      <c r="D87" s="7"/>
    </row>
    <row r="88" customFormat="false" ht="15" hidden="false" customHeight="true" outlineLevel="0" collapsed="false">
      <c r="A88" s="7"/>
      <c r="B88" s="7"/>
      <c r="C88" s="8"/>
      <c r="D88" s="7"/>
    </row>
    <row r="89" customFormat="false" ht="15" hidden="false" customHeight="true" outlineLevel="0" collapsed="false">
      <c r="A89" s="7"/>
      <c r="B89" s="7"/>
      <c r="C89" s="8"/>
      <c r="D89" s="7"/>
    </row>
    <row r="90" customFormat="false" ht="15" hidden="false" customHeight="true" outlineLevel="0" collapsed="false">
      <c r="A90" s="7"/>
      <c r="B90" s="7"/>
      <c r="C90" s="8"/>
      <c r="D90" s="7"/>
    </row>
    <row r="91" customFormat="false" ht="15" hidden="false" customHeight="true" outlineLevel="0" collapsed="false">
      <c r="A91" s="7"/>
      <c r="B91" s="7"/>
      <c r="C91" s="8"/>
      <c r="D91" s="7"/>
    </row>
    <row r="92" customFormat="false" ht="15" hidden="false" customHeight="true" outlineLevel="0" collapsed="false">
      <c r="A92" s="7"/>
      <c r="B92" s="7"/>
      <c r="C92" s="8"/>
      <c r="D92" s="7"/>
    </row>
    <row r="93" customFormat="false" ht="15" hidden="false" customHeight="true" outlineLevel="0" collapsed="false">
      <c r="A93" s="7"/>
      <c r="B93" s="7"/>
      <c r="C93" s="8"/>
      <c r="D93" s="7"/>
    </row>
    <row r="94" customFormat="false" ht="15" hidden="false" customHeight="true" outlineLevel="0" collapsed="false">
      <c r="A94" s="7"/>
      <c r="B94" s="7"/>
      <c r="C94" s="8"/>
      <c r="D94" s="7"/>
    </row>
    <row r="95" customFormat="false" ht="15" hidden="false" customHeight="true" outlineLevel="0" collapsed="false">
      <c r="A95" s="7"/>
      <c r="B95" s="7"/>
      <c r="C95" s="8"/>
      <c r="D95" s="7"/>
    </row>
    <row r="96" customFormat="false" ht="15" hidden="false" customHeight="true" outlineLevel="0" collapsed="false">
      <c r="A96" s="7"/>
      <c r="B96" s="7"/>
      <c r="C96" s="8"/>
      <c r="D96" s="7"/>
    </row>
    <row r="97" customFormat="false" ht="15" hidden="false" customHeight="true" outlineLevel="0" collapsed="false">
      <c r="A97" s="7"/>
      <c r="B97" s="7"/>
      <c r="C97" s="8"/>
      <c r="D97" s="7"/>
    </row>
    <row r="98" customFormat="false" ht="15" hidden="false" customHeight="true" outlineLevel="0" collapsed="false">
      <c r="A98" s="7"/>
      <c r="B98" s="7"/>
      <c r="C98" s="8"/>
      <c r="D98" s="7"/>
    </row>
    <row r="99" customFormat="false" ht="15" hidden="false" customHeight="true" outlineLevel="0" collapsed="false">
      <c r="A99" s="7"/>
      <c r="B99" s="7"/>
      <c r="C99" s="8"/>
      <c r="D99" s="7"/>
    </row>
    <row r="100" customFormat="false" ht="15" hidden="false" customHeight="true" outlineLevel="0" collapsed="false">
      <c r="A100" s="7"/>
      <c r="B100" s="7"/>
      <c r="C100" s="8"/>
      <c r="D100" s="7"/>
    </row>
    <row r="101" customFormat="false" ht="15" hidden="false" customHeight="true" outlineLevel="0" collapsed="false">
      <c r="A101" s="7"/>
      <c r="B101" s="7"/>
      <c r="C101" s="8"/>
      <c r="D101" s="7"/>
    </row>
    <row r="102" customFormat="false" ht="15" hidden="false" customHeight="true" outlineLevel="0" collapsed="false">
      <c r="A102" s="7"/>
      <c r="B102" s="7"/>
      <c r="C102" s="8"/>
      <c r="D102" s="7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C3:C102" type="list">
      <formula1>"대리점,매입처,직거래,기타"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7" min="6" style="1" width="12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20"/>
  </cols>
  <sheetData>
    <row r="1" customFormat="false" ht="25.5" hidden="false" customHeight="true" outlineLevel="0" collapsed="false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58</v>
      </c>
      <c r="B2" s="6" t="s">
        <v>46</v>
      </c>
      <c r="C2" s="10" t="s">
        <v>59</v>
      </c>
      <c r="D2" s="6" t="s">
        <v>27</v>
      </c>
      <c r="E2" s="10" t="s">
        <v>60</v>
      </c>
      <c r="F2" s="10" t="s">
        <v>61</v>
      </c>
      <c r="G2" s="6" t="s">
        <v>62</v>
      </c>
      <c r="H2" s="6" t="s">
        <v>63</v>
      </c>
      <c r="I2" s="10" t="s">
        <v>64</v>
      </c>
      <c r="J2" s="6" t="s">
        <v>32</v>
      </c>
    </row>
    <row r="3" customFormat="false" ht="15" hidden="false" customHeight="true" outlineLevel="0" collapsed="false">
      <c r="A3" s="11" t="n">
        <v>46266</v>
      </c>
      <c r="B3" s="7" t="inlineStr">
        <is>
          <t>C002</t>
        </is>
      </c>
      <c r="C3" s="12" t="str">
        <f aca="false">IF($B3="","",IFERROR(INDEX(거래처마스터!$B$3:$B$102,MATCH($B3,거래처마스터!$A$3:$A$102,0)),"미등록"))</f>
        <v>농협 eSCM</v>
      </c>
      <c r="D3" s="7" t="inlineStr">
        <is>
          <t>P001</t>
        </is>
      </c>
      <c r="E3" s="12" t="str">
        <f aca="false">IF($D3="","",IFERROR(INDEX(품목마스터!$B$3:$B$202,MATCH($D3,품목마스터!$A$3:$A$202,0)),"미등록품번"))</f>
        <v>홍삼즙 30포</v>
      </c>
      <c r="F3" s="12" t="str">
        <f aca="false">IF($D3="","",IFERROR(INDEX(품목마스터!$D$3:$D$202,MATCH($D3,품목마스터!$A$3:$A$202,0)),""))</f>
        <v>박스</v>
      </c>
      <c r="G3" s="9" t="n">
        <v>200</v>
      </c>
      <c r="H3" s="9" t="n">
        <v>18000</v>
      </c>
      <c r="I3" s="13" t="n">
        <f aca="false">IF(OR($G3="",$H3=""),"",ROUND($G3*$H3,0))</f>
        <v>3600000</v>
      </c>
      <c r="J3" s="7" t="inlineStr">
        <is>
          <t>← 예시 행입니다. 지우고 쓰세요.</t>
        </is>
      </c>
    </row>
    <row r="4" customFormat="false" ht="15" hidden="false" customHeight="true" outlineLevel="0" collapsed="false">
      <c r="A4" s="11" t="n">
        <v>46266</v>
      </c>
      <c r="B4" s="7" t="inlineStr">
        <is>
          <t>C002</t>
        </is>
      </c>
      <c r="C4" s="12" t="str">
        <f aca="false">IF($B4="","",IFERROR(INDEX(거래처마스터!$B$3:$B$102,MATCH($B4,거래처마스터!$A$3:$A$102,0)),"미등록"))</f>
        <v>농협 eSCM</v>
      </c>
      <c r="D4" s="7" t="inlineStr">
        <is>
          <t>P002</t>
        </is>
      </c>
      <c r="E4" s="12" t="str">
        <f aca="false">IF($D4="","",IFERROR(INDEX(품목마스터!$B$3:$B$202,MATCH($D4,품목마스터!$A$3:$A$202,0)),"미등록품번"))</f>
        <v>홍삼정 240g</v>
      </c>
      <c r="F4" s="12" t="str">
        <f aca="false">IF($D4="","",IFERROR(INDEX(품목마스터!$D$3:$D$202,MATCH($D4,품목마스터!$A$3:$A$202,0)),""))</f>
        <v>EA</v>
      </c>
      <c r="G4" s="9" t="n">
        <v>120</v>
      </c>
      <c r="H4" s="9" t="n">
        <v>26000</v>
      </c>
      <c r="I4" s="13" t="n">
        <f aca="false">IF(OR($G4="",$H4=""),"",ROUND($G4*$H4,0))</f>
        <v>3120000</v>
      </c>
      <c r="J4" s="7"/>
    </row>
    <row r="5" customFormat="false" ht="15" hidden="false" customHeight="true" outlineLevel="0" collapsed="false">
      <c r="A5" s="11" t="n">
        <v>46273</v>
      </c>
      <c r="B5" s="7" t="inlineStr">
        <is>
          <t>C002</t>
        </is>
      </c>
      <c r="C5" s="12" t="str">
        <f aca="false">IF($B5="","",IFERROR(INDEX(거래처마스터!$B$3:$B$102,MATCH($B5,거래처마스터!$A$3:$A$102,0)),"미등록"))</f>
        <v>농협 eSCM</v>
      </c>
      <c r="D5" s="7" t="inlineStr">
        <is>
          <t>P003</t>
        </is>
      </c>
      <c r="E5" s="12" t="str">
        <f aca="false">IF($D5="","",IFERROR(INDEX(품목마스터!$B$3:$B$202,MATCH($D5,품목마스터!$A$3:$A$202,0)),"미등록품번"))</f>
        <v>선물세트 A</v>
      </c>
      <c r="F5" s="12" t="str">
        <f aca="false">IF($D5="","",IFERROR(INDEX(품목마스터!$D$3:$D$202,MATCH($D5,품목마스터!$A$3:$A$202,0)),""))</f>
        <v>SET</v>
      </c>
      <c r="G5" s="9" t="n">
        <v>60</v>
      </c>
      <c r="H5" s="9" t="n">
        <v>52000</v>
      </c>
      <c r="I5" s="13" t="n">
        <f aca="false">IF(OR($G5="",$H5=""),"",ROUND($G5*$H5,0))</f>
        <v>3120000</v>
      </c>
      <c r="J5" s="7"/>
    </row>
    <row r="6" customFormat="false" ht="15" hidden="false" customHeight="true" outlineLevel="0" collapsed="false">
      <c r="A6" s="11"/>
      <c r="B6" s="7"/>
      <c r="C6" s="12" t="str">
        <f aca="false">IF($B6="","",IFERROR(INDEX(거래처마스터!$B$3:$B$102,MATCH($B6,거래처마스터!$A$3:$A$102,0)),"미등록"))</f>
        <v/>
      </c>
      <c r="D6" s="7"/>
      <c r="E6" s="12" t="str">
        <f aca="false">IF($D6="","",IFERROR(INDEX(품목마스터!$B$3:$B$202,MATCH($D6,품목마스터!$A$3:$A$202,0)),"미등록품번"))</f>
        <v/>
      </c>
      <c r="F6" s="12" t="str">
        <f aca="false">IF($D6="","",IFERROR(INDEX(품목마스터!$D$3:$D$202,MATCH($D6,품목마스터!$A$3:$A$202,0)),""))</f>
        <v/>
      </c>
      <c r="G6" s="9"/>
      <c r="H6" s="9"/>
      <c r="I6" s="13" t="str">
        <f aca="false">IF(OR($G6="",$H6=""),"",ROUND($G6*$H6,0))</f>
        <v/>
      </c>
      <c r="J6" s="7"/>
    </row>
    <row r="7" customFormat="false" ht="15" hidden="false" customHeight="true" outlineLevel="0" collapsed="false">
      <c r="A7" s="11"/>
      <c r="B7" s="7"/>
      <c r="C7" s="12" t="str">
        <f aca="false">IF($B7="","",IFERROR(INDEX(거래처마스터!$B$3:$B$102,MATCH($B7,거래처마스터!$A$3:$A$102,0)),"미등록"))</f>
        <v/>
      </c>
      <c r="D7" s="7"/>
      <c r="E7" s="12" t="str">
        <f aca="false">IF($D7="","",IFERROR(INDEX(품목마스터!$B$3:$B$202,MATCH($D7,품목마스터!$A$3:$A$202,0)),"미등록품번"))</f>
        <v/>
      </c>
      <c r="F7" s="12" t="str">
        <f aca="false">IF($D7="","",IFERROR(INDEX(품목마스터!$D$3:$D$202,MATCH($D7,품목마스터!$A$3:$A$202,0)),""))</f>
        <v/>
      </c>
      <c r="G7" s="9"/>
      <c r="H7" s="9"/>
      <c r="I7" s="13" t="str">
        <f aca="false">IF(OR($G7="",$H7=""),"",ROUND($G7*$H7,0))</f>
        <v/>
      </c>
      <c r="J7" s="7"/>
    </row>
    <row r="8" customFormat="false" ht="15" hidden="false" customHeight="true" outlineLevel="0" collapsed="false">
      <c r="A8" s="11"/>
      <c r="B8" s="7"/>
      <c r="C8" s="12" t="str">
        <f aca="false">IF($B8="","",IFERROR(INDEX(거래처마스터!$B$3:$B$102,MATCH($B8,거래처마스터!$A$3:$A$102,0)),"미등록"))</f>
        <v/>
      </c>
      <c r="D8" s="7"/>
      <c r="E8" s="12" t="str">
        <f aca="false">IF($D8="","",IFERROR(INDEX(품목마스터!$B$3:$B$202,MATCH($D8,품목마스터!$A$3:$A$202,0)),"미등록품번"))</f>
        <v/>
      </c>
      <c r="F8" s="12" t="str">
        <f aca="false">IF($D8="","",IFERROR(INDEX(품목마스터!$D$3:$D$202,MATCH($D8,품목마스터!$A$3:$A$202,0)),""))</f>
        <v/>
      </c>
      <c r="G8" s="9"/>
      <c r="H8" s="9"/>
      <c r="I8" s="13" t="str">
        <f aca="false">IF(OR($G8="",$H8=""),"",ROUND($G8*$H8,0))</f>
        <v/>
      </c>
      <c r="J8" s="7"/>
    </row>
    <row r="9" customFormat="false" ht="15" hidden="false" customHeight="true" outlineLevel="0" collapsed="false">
      <c r="A9" s="11"/>
      <c r="B9" s="7"/>
      <c r="C9" s="12" t="str">
        <f aca="false">IF($B9="","",IFERROR(INDEX(거래처마스터!$B$3:$B$102,MATCH($B9,거래처마스터!$A$3:$A$102,0)),"미등록"))</f>
        <v/>
      </c>
      <c r="D9" s="7"/>
      <c r="E9" s="12" t="str">
        <f aca="false">IF($D9="","",IFERROR(INDEX(품목마스터!$B$3:$B$202,MATCH($D9,품목마스터!$A$3:$A$202,0)),"미등록품번"))</f>
        <v/>
      </c>
      <c r="F9" s="12" t="str">
        <f aca="false">IF($D9="","",IFERROR(INDEX(품목마스터!$D$3:$D$202,MATCH($D9,품목마스터!$A$3:$A$202,0)),""))</f>
        <v/>
      </c>
      <c r="G9" s="9"/>
      <c r="H9" s="9"/>
      <c r="I9" s="13" t="str">
        <f aca="false">IF(OR($G9="",$H9=""),"",ROUND($G9*$H9,0))</f>
        <v/>
      </c>
      <c r="J9" s="7"/>
    </row>
    <row r="10" customFormat="false" ht="15" hidden="false" customHeight="true" outlineLevel="0" collapsed="false">
      <c r="A10" s="11"/>
      <c r="B10" s="7"/>
      <c r="C10" s="12" t="str">
        <f aca="false">IF($B10="","",IFERROR(INDEX(거래처마스터!$B$3:$B$102,MATCH($B10,거래처마스터!$A$3:$A$102,0)),"미등록"))</f>
        <v/>
      </c>
      <c r="D10" s="7"/>
      <c r="E10" s="12" t="str">
        <f aca="false">IF($D10="","",IFERROR(INDEX(품목마스터!$B$3:$B$202,MATCH($D10,품목마스터!$A$3:$A$202,0)),"미등록품번"))</f>
        <v/>
      </c>
      <c r="F10" s="12" t="str">
        <f aca="false">IF($D10="","",IFERROR(INDEX(품목마스터!$D$3:$D$202,MATCH($D10,품목마스터!$A$3:$A$202,0)),""))</f>
        <v/>
      </c>
      <c r="G10" s="9"/>
      <c r="H10" s="9"/>
      <c r="I10" s="13" t="str">
        <f aca="false">IF(OR($G10="",$H10=""),"",ROUND($G10*$H10,0))</f>
        <v/>
      </c>
      <c r="J10" s="7"/>
    </row>
    <row r="11" customFormat="false" ht="15" hidden="false" customHeight="true" outlineLevel="0" collapsed="false">
      <c r="A11" s="11"/>
      <c r="B11" s="7"/>
      <c r="C11" s="12" t="str">
        <f aca="false">IF($B11="","",IFERROR(INDEX(거래처마스터!$B$3:$B$102,MATCH($B11,거래처마스터!$A$3:$A$102,0)),"미등록"))</f>
        <v/>
      </c>
      <c r="D11" s="7"/>
      <c r="E11" s="12" t="str">
        <f aca="false">IF($D11="","",IFERROR(INDEX(품목마스터!$B$3:$B$202,MATCH($D11,품목마스터!$A$3:$A$202,0)),"미등록품번"))</f>
        <v/>
      </c>
      <c r="F11" s="12" t="str">
        <f aca="false">IF($D11="","",IFERROR(INDEX(품목마스터!$D$3:$D$202,MATCH($D11,품목마스터!$A$3:$A$202,0)),""))</f>
        <v/>
      </c>
      <c r="G11" s="9"/>
      <c r="H11" s="9"/>
      <c r="I11" s="13" t="str">
        <f aca="false">IF(OR($G11="",$H11=""),"",ROUND($G11*$H11,0))</f>
        <v/>
      </c>
      <c r="J11" s="7"/>
    </row>
    <row r="12" customFormat="false" ht="15" hidden="false" customHeight="true" outlineLevel="0" collapsed="false">
      <c r="A12" s="11"/>
      <c r="B12" s="7"/>
      <c r="C12" s="12" t="str">
        <f aca="false">IF($B12="","",IFERROR(INDEX(거래처마스터!$B$3:$B$102,MATCH($B12,거래처마스터!$A$3:$A$102,0)),"미등록"))</f>
        <v/>
      </c>
      <c r="D12" s="7"/>
      <c r="E12" s="12" t="str">
        <f aca="false">IF($D12="","",IFERROR(INDEX(품목마스터!$B$3:$B$202,MATCH($D12,품목마스터!$A$3:$A$202,0)),"미등록품번"))</f>
        <v/>
      </c>
      <c r="F12" s="12" t="str">
        <f aca="false">IF($D12="","",IFERROR(INDEX(품목마스터!$D$3:$D$202,MATCH($D12,품목마스터!$A$3:$A$202,0)),""))</f>
        <v/>
      </c>
      <c r="G12" s="9"/>
      <c r="H12" s="9"/>
      <c r="I12" s="13" t="str">
        <f aca="false">IF(OR($G12="",$H12=""),"",ROUND($G12*$H12,0))</f>
        <v/>
      </c>
      <c r="J12" s="7"/>
    </row>
    <row r="13" customFormat="false" ht="15" hidden="false" customHeight="true" outlineLevel="0" collapsed="false">
      <c r="A13" s="11"/>
      <c r="B13" s="7"/>
      <c r="C13" s="12" t="str">
        <f aca="false">IF($B13="","",IFERROR(INDEX(거래처마스터!$B$3:$B$102,MATCH($B13,거래처마스터!$A$3:$A$102,0)),"미등록"))</f>
        <v/>
      </c>
      <c r="D13" s="7"/>
      <c r="E13" s="12" t="str">
        <f aca="false">IF($D13="","",IFERROR(INDEX(품목마스터!$B$3:$B$202,MATCH($D13,품목마스터!$A$3:$A$202,0)),"미등록품번"))</f>
        <v/>
      </c>
      <c r="F13" s="12" t="str">
        <f aca="false">IF($D13="","",IFERROR(INDEX(품목마스터!$D$3:$D$202,MATCH($D13,품목마스터!$A$3:$A$202,0)),""))</f>
        <v/>
      </c>
      <c r="G13" s="9"/>
      <c r="H13" s="9"/>
      <c r="I13" s="13" t="str">
        <f aca="false">IF(OR($G13="",$H13=""),"",ROUND($G13*$H13,0))</f>
        <v/>
      </c>
      <c r="J13" s="7"/>
    </row>
    <row r="14" customFormat="false" ht="15" hidden="false" customHeight="true" outlineLevel="0" collapsed="false">
      <c r="A14" s="11"/>
      <c r="B14" s="7"/>
      <c r="C14" s="12" t="str">
        <f aca="false">IF($B14="","",IFERROR(INDEX(거래처마스터!$B$3:$B$102,MATCH($B14,거래처마스터!$A$3:$A$102,0)),"미등록"))</f>
        <v/>
      </c>
      <c r="D14" s="7"/>
      <c r="E14" s="12" t="str">
        <f aca="false">IF($D14="","",IFERROR(INDEX(품목마스터!$B$3:$B$202,MATCH($D14,품목마스터!$A$3:$A$202,0)),"미등록품번"))</f>
        <v/>
      </c>
      <c r="F14" s="12" t="str">
        <f aca="false">IF($D14="","",IFERROR(INDEX(품목마스터!$D$3:$D$202,MATCH($D14,품목마스터!$A$3:$A$202,0)),""))</f>
        <v/>
      </c>
      <c r="G14" s="9"/>
      <c r="H14" s="9"/>
      <c r="I14" s="13" t="str">
        <f aca="false">IF(OR($G14="",$H14=""),"",ROUND($G14*$H14,0))</f>
        <v/>
      </c>
      <c r="J14" s="7"/>
    </row>
    <row r="15" customFormat="false" ht="15" hidden="false" customHeight="true" outlineLevel="0" collapsed="false">
      <c r="A15" s="11"/>
      <c r="B15" s="7"/>
      <c r="C15" s="12" t="str">
        <f aca="false">IF($B15="","",IFERROR(INDEX(거래처마스터!$B$3:$B$102,MATCH($B15,거래처마스터!$A$3:$A$102,0)),"미등록"))</f>
        <v/>
      </c>
      <c r="D15" s="7"/>
      <c r="E15" s="12" t="str">
        <f aca="false">IF($D15="","",IFERROR(INDEX(품목마스터!$B$3:$B$202,MATCH($D15,품목마스터!$A$3:$A$202,0)),"미등록품번"))</f>
        <v/>
      </c>
      <c r="F15" s="12" t="str">
        <f aca="false">IF($D15="","",IFERROR(INDEX(품목마스터!$D$3:$D$202,MATCH($D15,품목마스터!$A$3:$A$202,0)),""))</f>
        <v/>
      </c>
      <c r="G15" s="9"/>
      <c r="H15" s="9"/>
      <c r="I15" s="13" t="str">
        <f aca="false">IF(OR($G15="",$H15=""),"",ROUND($G15*$H15,0))</f>
        <v/>
      </c>
      <c r="J15" s="7"/>
    </row>
    <row r="16" customFormat="false" ht="15" hidden="false" customHeight="true" outlineLevel="0" collapsed="false">
      <c r="A16" s="11"/>
      <c r="B16" s="7"/>
      <c r="C16" s="12" t="str">
        <f aca="false">IF($B16="","",IFERROR(INDEX(거래처마스터!$B$3:$B$102,MATCH($B16,거래처마스터!$A$3:$A$102,0)),"미등록"))</f>
        <v/>
      </c>
      <c r="D16" s="7"/>
      <c r="E16" s="12" t="str">
        <f aca="false">IF($D16="","",IFERROR(INDEX(품목마스터!$B$3:$B$202,MATCH($D16,품목마스터!$A$3:$A$202,0)),"미등록품번"))</f>
        <v/>
      </c>
      <c r="F16" s="12" t="str">
        <f aca="false">IF($D16="","",IFERROR(INDEX(품목마스터!$D$3:$D$202,MATCH($D16,품목마스터!$A$3:$A$202,0)),""))</f>
        <v/>
      </c>
      <c r="G16" s="9"/>
      <c r="H16" s="9"/>
      <c r="I16" s="13" t="str">
        <f aca="false">IF(OR($G16="",$H16=""),"",ROUND($G16*$H16,0))</f>
        <v/>
      </c>
      <c r="J16" s="7"/>
    </row>
    <row r="17" customFormat="false" ht="15" hidden="false" customHeight="true" outlineLevel="0" collapsed="false">
      <c r="A17" s="11"/>
      <c r="B17" s="7"/>
      <c r="C17" s="12" t="str">
        <f aca="false">IF($B17="","",IFERROR(INDEX(거래처마스터!$B$3:$B$102,MATCH($B17,거래처마스터!$A$3:$A$102,0)),"미등록"))</f>
        <v/>
      </c>
      <c r="D17" s="7"/>
      <c r="E17" s="12" t="str">
        <f aca="false">IF($D17="","",IFERROR(INDEX(품목마스터!$B$3:$B$202,MATCH($D17,품목마스터!$A$3:$A$202,0)),"미등록품번"))</f>
        <v/>
      </c>
      <c r="F17" s="12" t="str">
        <f aca="false">IF($D17="","",IFERROR(INDEX(품목마스터!$D$3:$D$202,MATCH($D17,품목마스터!$A$3:$A$202,0)),""))</f>
        <v/>
      </c>
      <c r="G17" s="9"/>
      <c r="H17" s="9"/>
      <c r="I17" s="13" t="str">
        <f aca="false">IF(OR($G17="",$H17=""),"",ROUND($G17*$H17,0))</f>
        <v/>
      </c>
      <c r="J17" s="7"/>
    </row>
    <row r="18" customFormat="false" ht="15" hidden="false" customHeight="true" outlineLevel="0" collapsed="false">
      <c r="A18" s="11"/>
      <c r="B18" s="7"/>
      <c r="C18" s="12" t="str">
        <f aca="false">IF($B18="","",IFERROR(INDEX(거래처마스터!$B$3:$B$102,MATCH($B18,거래처마스터!$A$3:$A$102,0)),"미등록"))</f>
        <v/>
      </c>
      <c r="D18" s="7"/>
      <c r="E18" s="12" t="str">
        <f aca="false">IF($D18="","",IFERROR(INDEX(품목마스터!$B$3:$B$202,MATCH($D18,품목마스터!$A$3:$A$202,0)),"미등록품번"))</f>
        <v/>
      </c>
      <c r="F18" s="12" t="str">
        <f aca="false">IF($D18="","",IFERROR(INDEX(품목마스터!$D$3:$D$202,MATCH($D18,품목마스터!$A$3:$A$202,0)),""))</f>
        <v/>
      </c>
      <c r="G18" s="9"/>
      <c r="H18" s="9"/>
      <c r="I18" s="13" t="str">
        <f aca="false">IF(OR($G18="",$H18=""),"",ROUND($G18*$H18,0))</f>
        <v/>
      </c>
      <c r="J18" s="7"/>
    </row>
    <row r="19" customFormat="false" ht="15" hidden="false" customHeight="true" outlineLevel="0" collapsed="false">
      <c r="A19" s="11"/>
      <c r="B19" s="7"/>
      <c r="C19" s="12" t="str">
        <f aca="false">IF($B19="","",IFERROR(INDEX(거래처마스터!$B$3:$B$102,MATCH($B19,거래처마스터!$A$3:$A$102,0)),"미등록"))</f>
        <v/>
      </c>
      <c r="D19" s="7"/>
      <c r="E19" s="12" t="str">
        <f aca="false">IF($D19="","",IFERROR(INDEX(품목마스터!$B$3:$B$202,MATCH($D19,품목마스터!$A$3:$A$202,0)),"미등록품번"))</f>
        <v/>
      </c>
      <c r="F19" s="12" t="str">
        <f aca="false">IF($D19="","",IFERROR(INDEX(품목마스터!$D$3:$D$202,MATCH($D19,품목마스터!$A$3:$A$202,0)),""))</f>
        <v/>
      </c>
      <c r="G19" s="9"/>
      <c r="H19" s="9"/>
      <c r="I19" s="13" t="str">
        <f aca="false">IF(OR($G19="",$H19=""),"",ROUND($G19*$H19,0))</f>
        <v/>
      </c>
      <c r="J19" s="7"/>
    </row>
    <row r="20" customFormat="false" ht="15" hidden="false" customHeight="true" outlineLevel="0" collapsed="false">
      <c r="A20" s="11"/>
      <c r="B20" s="7"/>
      <c r="C20" s="12" t="str">
        <f aca="false">IF($B20="","",IFERROR(INDEX(거래처마스터!$B$3:$B$102,MATCH($B20,거래처마스터!$A$3:$A$102,0)),"미등록"))</f>
        <v/>
      </c>
      <c r="D20" s="7"/>
      <c r="E20" s="12" t="str">
        <f aca="false">IF($D20="","",IFERROR(INDEX(품목마스터!$B$3:$B$202,MATCH($D20,품목마스터!$A$3:$A$202,0)),"미등록품번"))</f>
        <v/>
      </c>
      <c r="F20" s="12" t="str">
        <f aca="false">IF($D20="","",IFERROR(INDEX(품목마스터!$D$3:$D$202,MATCH($D20,품목마스터!$A$3:$A$202,0)),""))</f>
        <v/>
      </c>
      <c r="G20" s="9"/>
      <c r="H20" s="9"/>
      <c r="I20" s="13" t="str">
        <f aca="false">IF(OR($G20="",$H20=""),"",ROUND($G20*$H20,0))</f>
        <v/>
      </c>
      <c r="J20" s="7"/>
    </row>
    <row r="21" customFormat="false" ht="15" hidden="false" customHeight="true" outlineLevel="0" collapsed="false">
      <c r="A21" s="11"/>
      <c r="B21" s="7"/>
      <c r="C21" s="12" t="str">
        <f aca="false">IF($B21="","",IFERROR(INDEX(거래처마스터!$B$3:$B$102,MATCH($B21,거래처마스터!$A$3:$A$102,0)),"미등록"))</f>
        <v/>
      </c>
      <c r="D21" s="7"/>
      <c r="E21" s="12" t="str">
        <f aca="false">IF($D21="","",IFERROR(INDEX(품목마스터!$B$3:$B$202,MATCH($D21,품목마스터!$A$3:$A$202,0)),"미등록품번"))</f>
        <v/>
      </c>
      <c r="F21" s="12" t="str">
        <f aca="false">IF($D21="","",IFERROR(INDEX(품목마스터!$D$3:$D$202,MATCH($D21,품목마스터!$A$3:$A$202,0)),""))</f>
        <v/>
      </c>
      <c r="G21" s="9"/>
      <c r="H21" s="9"/>
      <c r="I21" s="13" t="str">
        <f aca="false">IF(OR($G21="",$H21=""),"",ROUND($G21*$H21,0))</f>
        <v/>
      </c>
      <c r="J21" s="7"/>
    </row>
    <row r="22" customFormat="false" ht="15" hidden="false" customHeight="true" outlineLevel="0" collapsed="false">
      <c r="A22" s="11"/>
      <c r="B22" s="7"/>
      <c r="C22" s="12" t="str">
        <f aca="false">IF($B22="","",IFERROR(INDEX(거래처마스터!$B$3:$B$102,MATCH($B22,거래처마스터!$A$3:$A$102,0)),"미등록"))</f>
        <v/>
      </c>
      <c r="D22" s="7"/>
      <c r="E22" s="12" t="str">
        <f aca="false">IF($D22="","",IFERROR(INDEX(품목마스터!$B$3:$B$202,MATCH($D22,품목마스터!$A$3:$A$202,0)),"미등록품번"))</f>
        <v/>
      </c>
      <c r="F22" s="12" t="str">
        <f aca="false">IF($D22="","",IFERROR(INDEX(품목마스터!$D$3:$D$202,MATCH($D22,품목마스터!$A$3:$A$202,0)),""))</f>
        <v/>
      </c>
      <c r="G22" s="9"/>
      <c r="H22" s="9"/>
      <c r="I22" s="13" t="str">
        <f aca="false">IF(OR($G22="",$H22=""),"",ROUND($G22*$H22,0))</f>
        <v/>
      </c>
      <c r="J22" s="7"/>
    </row>
    <row r="23" customFormat="false" ht="15" hidden="false" customHeight="true" outlineLevel="0" collapsed="false">
      <c r="A23" s="11"/>
      <c r="B23" s="7"/>
      <c r="C23" s="12" t="str">
        <f aca="false">IF($B23="","",IFERROR(INDEX(거래처마스터!$B$3:$B$102,MATCH($B23,거래처마스터!$A$3:$A$102,0)),"미등록"))</f>
        <v/>
      </c>
      <c r="D23" s="7"/>
      <c r="E23" s="12" t="str">
        <f aca="false">IF($D23="","",IFERROR(INDEX(품목마스터!$B$3:$B$202,MATCH($D23,품목마스터!$A$3:$A$202,0)),"미등록품번"))</f>
        <v/>
      </c>
      <c r="F23" s="12" t="str">
        <f aca="false">IF($D23="","",IFERROR(INDEX(품목마스터!$D$3:$D$202,MATCH($D23,품목마스터!$A$3:$A$202,0)),""))</f>
        <v/>
      </c>
      <c r="G23" s="9"/>
      <c r="H23" s="9"/>
      <c r="I23" s="13" t="str">
        <f aca="false">IF(OR($G23="",$H23=""),"",ROUND($G23*$H23,0))</f>
        <v/>
      </c>
      <c r="J23" s="7"/>
    </row>
    <row r="24" customFormat="false" ht="15" hidden="false" customHeight="true" outlineLevel="0" collapsed="false">
      <c r="A24" s="11"/>
      <c r="B24" s="7"/>
      <c r="C24" s="12" t="str">
        <f aca="false">IF($B24="","",IFERROR(INDEX(거래처마스터!$B$3:$B$102,MATCH($B24,거래처마스터!$A$3:$A$102,0)),"미등록"))</f>
        <v/>
      </c>
      <c r="D24" s="7"/>
      <c r="E24" s="12" t="str">
        <f aca="false">IF($D24="","",IFERROR(INDEX(품목마스터!$B$3:$B$202,MATCH($D24,품목마스터!$A$3:$A$202,0)),"미등록품번"))</f>
        <v/>
      </c>
      <c r="F24" s="12" t="str">
        <f aca="false">IF($D24="","",IFERROR(INDEX(품목마스터!$D$3:$D$202,MATCH($D24,품목마스터!$A$3:$A$202,0)),""))</f>
        <v/>
      </c>
      <c r="G24" s="9"/>
      <c r="H24" s="9"/>
      <c r="I24" s="13" t="str">
        <f aca="false">IF(OR($G24="",$H24=""),"",ROUND($G24*$H24,0))</f>
        <v/>
      </c>
      <c r="J24" s="7"/>
    </row>
    <row r="25" customFormat="false" ht="15" hidden="false" customHeight="true" outlineLevel="0" collapsed="false">
      <c r="A25" s="11"/>
      <c r="B25" s="7"/>
      <c r="C25" s="12" t="str">
        <f aca="false">IF($B25="","",IFERROR(INDEX(거래처마스터!$B$3:$B$102,MATCH($B25,거래처마스터!$A$3:$A$102,0)),"미등록"))</f>
        <v/>
      </c>
      <c r="D25" s="7"/>
      <c r="E25" s="12" t="str">
        <f aca="false">IF($D25="","",IFERROR(INDEX(품목마스터!$B$3:$B$202,MATCH($D25,품목마스터!$A$3:$A$202,0)),"미등록품번"))</f>
        <v/>
      </c>
      <c r="F25" s="12" t="str">
        <f aca="false">IF($D25="","",IFERROR(INDEX(품목마스터!$D$3:$D$202,MATCH($D25,품목마스터!$A$3:$A$202,0)),""))</f>
        <v/>
      </c>
      <c r="G25" s="9"/>
      <c r="H25" s="9"/>
      <c r="I25" s="13" t="str">
        <f aca="false">IF(OR($G25="",$H25=""),"",ROUND($G25*$H25,0))</f>
        <v/>
      </c>
      <c r="J25" s="7"/>
    </row>
    <row r="26" customFormat="false" ht="15" hidden="false" customHeight="true" outlineLevel="0" collapsed="false">
      <c r="A26" s="11"/>
      <c r="B26" s="7"/>
      <c r="C26" s="12" t="str">
        <f aca="false">IF($B26="","",IFERROR(INDEX(거래처마스터!$B$3:$B$102,MATCH($B26,거래처마스터!$A$3:$A$102,0)),"미등록"))</f>
        <v/>
      </c>
      <c r="D26" s="7"/>
      <c r="E26" s="12" t="str">
        <f aca="false">IF($D26="","",IFERROR(INDEX(품목마스터!$B$3:$B$202,MATCH($D26,품목마스터!$A$3:$A$202,0)),"미등록품번"))</f>
        <v/>
      </c>
      <c r="F26" s="12" t="str">
        <f aca="false">IF($D26="","",IFERROR(INDEX(품목마스터!$D$3:$D$202,MATCH($D26,품목마스터!$A$3:$A$202,0)),""))</f>
        <v/>
      </c>
      <c r="G26" s="9"/>
      <c r="H26" s="9"/>
      <c r="I26" s="13" t="str">
        <f aca="false">IF(OR($G26="",$H26=""),"",ROUND($G26*$H26,0))</f>
        <v/>
      </c>
      <c r="J26" s="7"/>
    </row>
    <row r="27" customFormat="false" ht="15" hidden="false" customHeight="true" outlineLevel="0" collapsed="false">
      <c r="A27" s="11"/>
      <c r="B27" s="7"/>
      <c r="C27" s="12" t="str">
        <f aca="false">IF($B27="","",IFERROR(INDEX(거래처마스터!$B$3:$B$102,MATCH($B27,거래처마스터!$A$3:$A$102,0)),"미등록"))</f>
        <v/>
      </c>
      <c r="D27" s="7"/>
      <c r="E27" s="12" t="str">
        <f aca="false">IF($D27="","",IFERROR(INDEX(품목마스터!$B$3:$B$202,MATCH($D27,품목마스터!$A$3:$A$202,0)),"미등록품번"))</f>
        <v/>
      </c>
      <c r="F27" s="12" t="str">
        <f aca="false">IF($D27="","",IFERROR(INDEX(품목마스터!$D$3:$D$202,MATCH($D27,품목마스터!$A$3:$A$202,0)),""))</f>
        <v/>
      </c>
      <c r="G27" s="9"/>
      <c r="H27" s="9"/>
      <c r="I27" s="13" t="str">
        <f aca="false">IF(OR($G27="",$H27=""),"",ROUND($G27*$H27,0))</f>
        <v/>
      </c>
      <c r="J27" s="7"/>
    </row>
    <row r="28" customFormat="false" ht="15" hidden="false" customHeight="true" outlineLevel="0" collapsed="false">
      <c r="A28" s="11"/>
      <c r="B28" s="7"/>
      <c r="C28" s="12" t="str">
        <f aca="false">IF($B28="","",IFERROR(INDEX(거래처마스터!$B$3:$B$102,MATCH($B28,거래처마스터!$A$3:$A$102,0)),"미등록"))</f>
        <v/>
      </c>
      <c r="D28" s="7"/>
      <c r="E28" s="12" t="str">
        <f aca="false">IF($D28="","",IFERROR(INDEX(품목마스터!$B$3:$B$202,MATCH($D28,품목마스터!$A$3:$A$202,0)),"미등록품번"))</f>
        <v/>
      </c>
      <c r="F28" s="12" t="str">
        <f aca="false">IF($D28="","",IFERROR(INDEX(품목마스터!$D$3:$D$202,MATCH($D28,품목마스터!$A$3:$A$202,0)),""))</f>
        <v/>
      </c>
      <c r="G28" s="9"/>
      <c r="H28" s="9"/>
      <c r="I28" s="13" t="str">
        <f aca="false">IF(OR($G28="",$H28=""),"",ROUND($G28*$H28,0))</f>
        <v/>
      </c>
      <c r="J28" s="7"/>
    </row>
    <row r="29" customFormat="false" ht="15" hidden="false" customHeight="true" outlineLevel="0" collapsed="false">
      <c r="A29" s="11"/>
      <c r="B29" s="7"/>
      <c r="C29" s="12" t="str">
        <f aca="false">IF($B29="","",IFERROR(INDEX(거래처마스터!$B$3:$B$102,MATCH($B29,거래처마스터!$A$3:$A$102,0)),"미등록"))</f>
        <v/>
      </c>
      <c r="D29" s="7"/>
      <c r="E29" s="12" t="str">
        <f aca="false">IF($D29="","",IFERROR(INDEX(품목마스터!$B$3:$B$202,MATCH($D29,품목마스터!$A$3:$A$202,0)),"미등록품번"))</f>
        <v/>
      </c>
      <c r="F29" s="12" t="str">
        <f aca="false">IF($D29="","",IFERROR(INDEX(품목마스터!$D$3:$D$202,MATCH($D29,품목마스터!$A$3:$A$202,0)),""))</f>
        <v/>
      </c>
      <c r="G29" s="9"/>
      <c r="H29" s="9"/>
      <c r="I29" s="13" t="str">
        <f aca="false">IF(OR($G29="",$H29=""),"",ROUND($G29*$H29,0))</f>
        <v/>
      </c>
      <c r="J29" s="7"/>
    </row>
    <row r="30" customFormat="false" ht="15" hidden="false" customHeight="true" outlineLevel="0" collapsed="false">
      <c r="A30" s="11"/>
      <c r="B30" s="7"/>
      <c r="C30" s="12" t="str">
        <f aca="false">IF($B30="","",IFERROR(INDEX(거래처마스터!$B$3:$B$102,MATCH($B30,거래처마스터!$A$3:$A$102,0)),"미등록"))</f>
        <v/>
      </c>
      <c r="D30" s="7"/>
      <c r="E30" s="12" t="str">
        <f aca="false">IF($D30="","",IFERROR(INDEX(품목마스터!$B$3:$B$202,MATCH($D30,품목마스터!$A$3:$A$202,0)),"미등록품번"))</f>
        <v/>
      </c>
      <c r="F30" s="12" t="str">
        <f aca="false">IF($D30="","",IFERROR(INDEX(품목마스터!$D$3:$D$202,MATCH($D30,품목마스터!$A$3:$A$202,0)),""))</f>
        <v/>
      </c>
      <c r="G30" s="9"/>
      <c r="H30" s="9"/>
      <c r="I30" s="13" t="str">
        <f aca="false">IF(OR($G30="",$H30=""),"",ROUND($G30*$H30,0))</f>
        <v/>
      </c>
      <c r="J30" s="7"/>
    </row>
    <row r="31" customFormat="false" ht="15" hidden="false" customHeight="true" outlineLevel="0" collapsed="false">
      <c r="A31" s="11"/>
      <c r="B31" s="7"/>
      <c r="C31" s="12" t="str">
        <f aca="false">IF($B31="","",IFERROR(INDEX(거래처마스터!$B$3:$B$102,MATCH($B31,거래처마스터!$A$3:$A$102,0)),"미등록"))</f>
        <v/>
      </c>
      <c r="D31" s="7"/>
      <c r="E31" s="12" t="str">
        <f aca="false">IF($D31="","",IFERROR(INDEX(품목마스터!$B$3:$B$202,MATCH($D31,품목마스터!$A$3:$A$202,0)),"미등록품번"))</f>
        <v/>
      </c>
      <c r="F31" s="12" t="str">
        <f aca="false">IF($D31="","",IFERROR(INDEX(품목마스터!$D$3:$D$202,MATCH($D31,품목마스터!$A$3:$A$202,0)),""))</f>
        <v/>
      </c>
      <c r="G31" s="9"/>
      <c r="H31" s="9"/>
      <c r="I31" s="13" t="str">
        <f aca="false">IF(OR($G31="",$H31=""),"",ROUND($G31*$H31,0))</f>
        <v/>
      </c>
      <c r="J31" s="7"/>
    </row>
    <row r="32" customFormat="false" ht="15" hidden="false" customHeight="true" outlineLevel="0" collapsed="false">
      <c r="A32" s="11"/>
      <c r="B32" s="7"/>
      <c r="C32" s="12" t="str">
        <f aca="false">IF($B32="","",IFERROR(INDEX(거래처마스터!$B$3:$B$102,MATCH($B32,거래처마스터!$A$3:$A$102,0)),"미등록"))</f>
        <v/>
      </c>
      <c r="D32" s="7"/>
      <c r="E32" s="12" t="str">
        <f aca="false">IF($D32="","",IFERROR(INDEX(품목마스터!$B$3:$B$202,MATCH($D32,품목마스터!$A$3:$A$202,0)),"미등록품번"))</f>
        <v/>
      </c>
      <c r="F32" s="12" t="str">
        <f aca="false">IF($D32="","",IFERROR(INDEX(품목마스터!$D$3:$D$202,MATCH($D32,품목마스터!$A$3:$A$202,0)),""))</f>
        <v/>
      </c>
      <c r="G32" s="9"/>
      <c r="H32" s="9"/>
      <c r="I32" s="13" t="str">
        <f aca="false">IF(OR($G32="",$H32=""),"",ROUND($G32*$H32,0))</f>
        <v/>
      </c>
      <c r="J32" s="7"/>
    </row>
    <row r="33" customFormat="false" ht="15" hidden="false" customHeight="true" outlineLevel="0" collapsed="false">
      <c r="A33" s="11"/>
      <c r="B33" s="7"/>
      <c r="C33" s="12" t="str">
        <f aca="false">IF($B33="","",IFERROR(INDEX(거래처마스터!$B$3:$B$102,MATCH($B33,거래처마스터!$A$3:$A$102,0)),"미등록"))</f>
        <v/>
      </c>
      <c r="D33" s="7"/>
      <c r="E33" s="12" t="str">
        <f aca="false">IF($D33="","",IFERROR(INDEX(품목마스터!$B$3:$B$202,MATCH($D33,품목마스터!$A$3:$A$202,0)),"미등록품번"))</f>
        <v/>
      </c>
      <c r="F33" s="12" t="str">
        <f aca="false">IF($D33="","",IFERROR(INDEX(품목마스터!$D$3:$D$202,MATCH($D33,품목마스터!$A$3:$A$202,0)),""))</f>
        <v/>
      </c>
      <c r="G33" s="9"/>
      <c r="H33" s="9"/>
      <c r="I33" s="13" t="str">
        <f aca="false">IF(OR($G33="",$H33=""),"",ROUND($G33*$H33,0))</f>
        <v/>
      </c>
      <c r="J33" s="7"/>
    </row>
    <row r="34" customFormat="false" ht="15" hidden="false" customHeight="true" outlineLevel="0" collapsed="false">
      <c r="A34" s="11"/>
      <c r="B34" s="7"/>
      <c r="C34" s="12" t="str">
        <f aca="false">IF($B34="","",IFERROR(INDEX(거래처마스터!$B$3:$B$102,MATCH($B34,거래처마스터!$A$3:$A$102,0)),"미등록"))</f>
        <v/>
      </c>
      <c r="D34" s="7"/>
      <c r="E34" s="12" t="str">
        <f aca="false">IF($D34="","",IFERROR(INDEX(품목마스터!$B$3:$B$202,MATCH($D34,품목마스터!$A$3:$A$202,0)),"미등록품번"))</f>
        <v/>
      </c>
      <c r="F34" s="12" t="str">
        <f aca="false">IF($D34="","",IFERROR(INDEX(품목마스터!$D$3:$D$202,MATCH($D34,품목마스터!$A$3:$A$202,0)),""))</f>
        <v/>
      </c>
      <c r="G34" s="9"/>
      <c r="H34" s="9"/>
      <c r="I34" s="13" t="str">
        <f aca="false">IF(OR($G34="",$H34=""),"",ROUND($G34*$H34,0))</f>
        <v/>
      </c>
      <c r="J34" s="7"/>
    </row>
    <row r="35" customFormat="false" ht="15" hidden="false" customHeight="true" outlineLevel="0" collapsed="false">
      <c r="A35" s="11"/>
      <c r="B35" s="7"/>
      <c r="C35" s="12" t="str">
        <f aca="false">IF($B35="","",IFERROR(INDEX(거래처마스터!$B$3:$B$102,MATCH($B35,거래처마스터!$A$3:$A$102,0)),"미등록"))</f>
        <v/>
      </c>
      <c r="D35" s="7"/>
      <c r="E35" s="12" t="str">
        <f aca="false">IF($D35="","",IFERROR(INDEX(품목마스터!$B$3:$B$202,MATCH($D35,품목마스터!$A$3:$A$202,0)),"미등록품번"))</f>
        <v/>
      </c>
      <c r="F35" s="12" t="str">
        <f aca="false">IF($D35="","",IFERROR(INDEX(품목마스터!$D$3:$D$202,MATCH($D35,품목마스터!$A$3:$A$202,0)),""))</f>
        <v/>
      </c>
      <c r="G35" s="9"/>
      <c r="H35" s="9"/>
      <c r="I35" s="13" t="str">
        <f aca="false">IF(OR($G35="",$H35=""),"",ROUND($G35*$H35,0))</f>
        <v/>
      </c>
      <c r="J35" s="7"/>
    </row>
    <row r="36" customFormat="false" ht="15" hidden="false" customHeight="true" outlineLevel="0" collapsed="false">
      <c r="A36" s="11"/>
      <c r="B36" s="7"/>
      <c r="C36" s="12" t="str">
        <f aca="false">IF($B36="","",IFERROR(INDEX(거래처마스터!$B$3:$B$102,MATCH($B36,거래처마스터!$A$3:$A$102,0)),"미등록"))</f>
        <v/>
      </c>
      <c r="D36" s="7"/>
      <c r="E36" s="12" t="str">
        <f aca="false">IF($D36="","",IFERROR(INDEX(품목마스터!$B$3:$B$202,MATCH($D36,품목마스터!$A$3:$A$202,0)),"미등록품번"))</f>
        <v/>
      </c>
      <c r="F36" s="12" t="str">
        <f aca="false">IF($D36="","",IFERROR(INDEX(품목마스터!$D$3:$D$202,MATCH($D36,품목마스터!$A$3:$A$202,0)),""))</f>
        <v/>
      </c>
      <c r="G36" s="9"/>
      <c r="H36" s="9"/>
      <c r="I36" s="13" t="str">
        <f aca="false">IF(OR($G36="",$H36=""),"",ROUND($G36*$H36,0))</f>
        <v/>
      </c>
      <c r="J36" s="7"/>
    </row>
    <row r="37" customFormat="false" ht="15" hidden="false" customHeight="true" outlineLevel="0" collapsed="false">
      <c r="A37" s="11"/>
      <c r="B37" s="7"/>
      <c r="C37" s="12" t="str">
        <f aca="false">IF($B37="","",IFERROR(INDEX(거래처마스터!$B$3:$B$102,MATCH($B37,거래처마스터!$A$3:$A$102,0)),"미등록"))</f>
        <v/>
      </c>
      <c r="D37" s="7"/>
      <c r="E37" s="12" t="str">
        <f aca="false">IF($D37="","",IFERROR(INDEX(품목마스터!$B$3:$B$202,MATCH($D37,품목마스터!$A$3:$A$202,0)),"미등록품번"))</f>
        <v/>
      </c>
      <c r="F37" s="12" t="str">
        <f aca="false">IF($D37="","",IFERROR(INDEX(품목마스터!$D$3:$D$202,MATCH($D37,품목마스터!$A$3:$A$202,0)),""))</f>
        <v/>
      </c>
      <c r="G37" s="9"/>
      <c r="H37" s="9"/>
      <c r="I37" s="13" t="str">
        <f aca="false">IF(OR($G37="",$H37=""),"",ROUND($G37*$H37,0))</f>
        <v/>
      </c>
      <c r="J37" s="7"/>
    </row>
    <row r="38" customFormat="false" ht="15" hidden="false" customHeight="true" outlineLevel="0" collapsed="false">
      <c r="A38" s="11"/>
      <c r="B38" s="7"/>
      <c r="C38" s="12" t="str">
        <f aca="false">IF($B38="","",IFERROR(INDEX(거래처마스터!$B$3:$B$102,MATCH($B38,거래처마스터!$A$3:$A$102,0)),"미등록"))</f>
        <v/>
      </c>
      <c r="D38" s="7"/>
      <c r="E38" s="12" t="str">
        <f aca="false">IF($D38="","",IFERROR(INDEX(품목마스터!$B$3:$B$202,MATCH($D38,품목마스터!$A$3:$A$202,0)),"미등록품번"))</f>
        <v/>
      </c>
      <c r="F38" s="12" t="str">
        <f aca="false">IF($D38="","",IFERROR(INDEX(품목마스터!$D$3:$D$202,MATCH($D38,품목마스터!$A$3:$A$202,0)),""))</f>
        <v/>
      </c>
      <c r="G38" s="9"/>
      <c r="H38" s="9"/>
      <c r="I38" s="13" t="str">
        <f aca="false">IF(OR($G38="",$H38=""),"",ROUND($G38*$H38,0))</f>
        <v/>
      </c>
      <c r="J38" s="7"/>
    </row>
    <row r="39" customFormat="false" ht="15" hidden="false" customHeight="true" outlineLevel="0" collapsed="false">
      <c r="A39" s="11"/>
      <c r="B39" s="7"/>
      <c r="C39" s="12" t="str">
        <f aca="false">IF($B39="","",IFERROR(INDEX(거래처마스터!$B$3:$B$102,MATCH($B39,거래처마스터!$A$3:$A$102,0)),"미등록"))</f>
        <v/>
      </c>
      <c r="D39" s="7"/>
      <c r="E39" s="12" t="str">
        <f aca="false">IF($D39="","",IFERROR(INDEX(품목마스터!$B$3:$B$202,MATCH($D39,품목마스터!$A$3:$A$202,0)),"미등록품번"))</f>
        <v/>
      </c>
      <c r="F39" s="12" t="str">
        <f aca="false">IF($D39="","",IFERROR(INDEX(품목마스터!$D$3:$D$202,MATCH($D39,품목마스터!$A$3:$A$202,0)),""))</f>
        <v/>
      </c>
      <c r="G39" s="9"/>
      <c r="H39" s="9"/>
      <c r="I39" s="13" t="str">
        <f aca="false">IF(OR($G39="",$H39=""),"",ROUND($G39*$H39,0))</f>
        <v/>
      </c>
      <c r="J39" s="7"/>
    </row>
    <row r="40" customFormat="false" ht="15" hidden="false" customHeight="true" outlineLevel="0" collapsed="false">
      <c r="A40" s="11"/>
      <c r="B40" s="7"/>
      <c r="C40" s="12" t="str">
        <f aca="false">IF($B40="","",IFERROR(INDEX(거래처마스터!$B$3:$B$102,MATCH($B40,거래처마스터!$A$3:$A$102,0)),"미등록"))</f>
        <v/>
      </c>
      <c r="D40" s="7"/>
      <c r="E40" s="12" t="str">
        <f aca="false">IF($D40="","",IFERROR(INDEX(품목마스터!$B$3:$B$202,MATCH($D40,품목마스터!$A$3:$A$202,0)),"미등록품번"))</f>
        <v/>
      </c>
      <c r="F40" s="12" t="str">
        <f aca="false">IF($D40="","",IFERROR(INDEX(품목마스터!$D$3:$D$202,MATCH($D40,품목마스터!$A$3:$A$202,0)),""))</f>
        <v/>
      </c>
      <c r="G40" s="9"/>
      <c r="H40" s="9"/>
      <c r="I40" s="13" t="str">
        <f aca="false">IF(OR($G40="",$H40=""),"",ROUND($G40*$H40,0))</f>
        <v/>
      </c>
      <c r="J40" s="7"/>
    </row>
    <row r="41" customFormat="false" ht="15" hidden="false" customHeight="true" outlineLevel="0" collapsed="false">
      <c r="A41" s="11"/>
      <c r="B41" s="7"/>
      <c r="C41" s="12" t="str">
        <f aca="false">IF($B41="","",IFERROR(INDEX(거래처마스터!$B$3:$B$102,MATCH($B41,거래처마스터!$A$3:$A$102,0)),"미등록"))</f>
        <v/>
      </c>
      <c r="D41" s="7"/>
      <c r="E41" s="12" t="str">
        <f aca="false">IF($D41="","",IFERROR(INDEX(품목마스터!$B$3:$B$202,MATCH($D41,품목마스터!$A$3:$A$202,0)),"미등록품번"))</f>
        <v/>
      </c>
      <c r="F41" s="12" t="str">
        <f aca="false">IF($D41="","",IFERROR(INDEX(품목마스터!$D$3:$D$202,MATCH($D41,품목마스터!$A$3:$A$202,0)),""))</f>
        <v/>
      </c>
      <c r="G41" s="9"/>
      <c r="H41" s="9"/>
      <c r="I41" s="13" t="str">
        <f aca="false">IF(OR($G41="",$H41=""),"",ROUND($G41*$H41,0))</f>
        <v/>
      </c>
      <c r="J41" s="7"/>
    </row>
    <row r="42" customFormat="false" ht="15" hidden="false" customHeight="true" outlineLevel="0" collapsed="false">
      <c r="A42" s="11"/>
      <c r="B42" s="7"/>
      <c r="C42" s="12" t="str">
        <f aca="false">IF($B42="","",IFERROR(INDEX(거래처마스터!$B$3:$B$102,MATCH($B42,거래처마스터!$A$3:$A$102,0)),"미등록"))</f>
        <v/>
      </c>
      <c r="D42" s="7"/>
      <c r="E42" s="12" t="str">
        <f aca="false">IF($D42="","",IFERROR(INDEX(품목마스터!$B$3:$B$202,MATCH($D42,품목마스터!$A$3:$A$202,0)),"미등록품번"))</f>
        <v/>
      </c>
      <c r="F42" s="12" t="str">
        <f aca="false">IF($D42="","",IFERROR(INDEX(품목마스터!$D$3:$D$202,MATCH($D42,품목마스터!$A$3:$A$202,0)),""))</f>
        <v/>
      </c>
      <c r="G42" s="9"/>
      <c r="H42" s="9"/>
      <c r="I42" s="13" t="str">
        <f aca="false">IF(OR($G42="",$H42=""),"",ROUND($G42*$H42,0))</f>
        <v/>
      </c>
      <c r="J42" s="7"/>
    </row>
    <row r="43" customFormat="false" ht="15" hidden="false" customHeight="true" outlineLevel="0" collapsed="false">
      <c r="A43" s="11"/>
      <c r="B43" s="7"/>
      <c r="C43" s="12" t="str">
        <f aca="false">IF($B43="","",IFERROR(INDEX(거래처마스터!$B$3:$B$102,MATCH($B43,거래처마스터!$A$3:$A$102,0)),"미등록"))</f>
        <v/>
      </c>
      <c r="D43" s="7"/>
      <c r="E43" s="12" t="str">
        <f aca="false">IF($D43="","",IFERROR(INDEX(품목마스터!$B$3:$B$202,MATCH($D43,품목마스터!$A$3:$A$202,0)),"미등록품번"))</f>
        <v/>
      </c>
      <c r="F43" s="12" t="str">
        <f aca="false">IF($D43="","",IFERROR(INDEX(품목마스터!$D$3:$D$202,MATCH($D43,품목마스터!$A$3:$A$202,0)),""))</f>
        <v/>
      </c>
      <c r="G43" s="9"/>
      <c r="H43" s="9"/>
      <c r="I43" s="13" t="str">
        <f aca="false">IF(OR($G43="",$H43=""),"",ROUND($G43*$H43,0))</f>
        <v/>
      </c>
      <c r="J43" s="7"/>
    </row>
    <row r="44" customFormat="false" ht="15" hidden="false" customHeight="true" outlineLevel="0" collapsed="false">
      <c r="A44" s="11"/>
      <c r="B44" s="7"/>
      <c r="C44" s="12" t="str">
        <f aca="false">IF($B44="","",IFERROR(INDEX(거래처마스터!$B$3:$B$102,MATCH($B44,거래처마스터!$A$3:$A$102,0)),"미등록"))</f>
        <v/>
      </c>
      <c r="D44" s="7"/>
      <c r="E44" s="12" t="str">
        <f aca="false">IF($D44="","",IFERROR(INDEX(품목마스터!$B$3:$B$202,MATCH($D44,품목마스터!$A$3:$A$202,0)),"미등록품번"))</f>
        <v/>
      </c>
      <c r="F44" s="12" t="str">
        <f aca="false">IF($D44="","",IFERROR(INDEX(품목마스터!$D$3:$D$202,MATCH($D44,품목마스터!$A$3:$A$202,0)),""))</f>
        <v/>
      </c>
      <c r="G44" s="9"/>
      <c r="H44" s="9"/>
      <c r="I44" s="13" t="str">
        <f aca="false">IF(OR($G44="",$H44=""),"",ROUND($G44*$H44,0))</f>
        <v/>
      </c>
      <c r="J44" s="7"/>
    </row>
    <row r="45" customFormat="false" ht="15" hidden="false" customHeight="true" outlineLevel="0" collapsed="false">
      <c r="A45" s="11"/>
      <c r="B45" s="7"/>
      <c r="C45" s="12" t="str">
        <f aca="false">IF($B45="","",IFERROR(INDEX(거래처마스터!$B$3:$B$102,MATCH($B45,거래처마스터!$A$3:$A$102,0)),"미등록"))</f>
        <v/>
      </c>
      <c r="D45" s="7"/>
      <c r="E45" s="12" t="str">
        <f aca="false">IF($D45="","",IFERROR(INDEX(품목마스터!$B$3:$B$202,MATCH($D45,품목마스터!$A$3:$A$202,0)),"미등록품번"))</f>
        <v/>
      </c>
      <c r="F45" s="12" t="str">
        <f aca="false">IF($D45="","",IFERROR(INDEX(품목마스터!$D$3:$D$202,MATCH($D45,품목마스터!$A$3:$A$202,0)),""))</f>
        <v/>
      </c>
      <c r="G45" s="9"/>
      <c r="H45" s="9"/>
      <c r="I45" s="13" t="str">
        <f aca="false">IF(OR($G45="",$H45=""),"",ROUND($G45*$H45,0))</f>
        <v/>
      </c>
      <c r="J45" s="7"/>
    </row>
    <row r="46" customFormat="false" ht="15" hidden="false" customHeight="true" outlineLevel="0" collapsed="false">
      <c r="A46" s="11"/>
      <c r="B46" s="7"/>
      <c r="C46" s="12" t="str">
        <f aca="false">IF($B46="","",IFERROR(INDEX(거래처마스터!$B$3:$B$102,MATCH($B46,거래처마스터!$A$3:$A$102,0)),"미등록"))</f>
        <v/>
      </c>
      <c r="D46" s="7"/>
      <c r="E46" s="12" t="str">
        <f aca="false">IF($D46="","",IFERROR(INDEX(품목마스터!$B$3:$B$202,MATCH($D46,품목마스터!$A$3:$A$202,0)),"미등록품번"))</f>
        <v/>
      </c>
      <c r="F46" s="12" t="str">
        <f aca="false">IF($D46="","",IFERROR(INDEX(품목마스터!$D$3:$D$202,MATCH($D46,품목마스터!$A$3:$A$202,0)),""))</f>
        <v/>
      </c>
      <c r="G46" s="9"/>
      <c r="H46" s="9"/>
      <c r="I46" s="13" t="str">
        <f aca="false">IF(OR($G46="",$H46=""),"",ROUND($G46*$H46,0))</f>
        <v/>
      </c>
      <c r="J46" s="7"/>
    </row>
    <row r="47" customFormat="false" ht="15" hidden="false" customHeight="true" outlineLevel="0" collapsed="false">
      <c r="A47" s="11"/>
      <c r="B47" s="7"/>
      <c r="C47" s="12" t="str">
        <f aca="false">IF($B47="","",IFERROR(INDEX(거래처마스터!$B$3:$B$102,MATCH($B47,거래처마스터!$A$3:$A$102,0)),"미등록"))</f>
        <v/>
      </c>
      <c r="D47" s="7"/>
      <c r="E47" s="12" t="str">
        <f aca="false">IF($D47="","",IFERROR(INDEX(품목마스터!$B$3:$B$202,MATCH($D47,품목마스터!$A$3:$A$202,0)),"미등록품번"))</f>
        <v/>
      </c>
      <c r="F47" s="12" t="str">
        <f aca="false">IF($D47="","",IFERROR(INDEX(품목마스터!$D$3:$D$202,MATCH($D47,품목마스터!$A$3:$A$202,0)),""))</f>
        <v/>
      </c>
      <c r="G47" s="9"/>
      <c r="H47" s="9"/>
      <c r="I47" s="13" t="str">
        <f aca="false">IF(OR($G47="",$H47=""),"",ROUND($G47*$H47,0))</f>
        <v/>
      </c>
      <c r="J47" s="7"/>
    </row>
    <row r="48" customFormat="false" ht="15" hidden="false" customHeight="true" outlineLevel="0" collapsed="false">
      <c r="A48" s="11"/>
      <c r="B48" s="7"/>
      <c r="C48" s="12" t="str">
        <f aca="false">IF($B48="","",IFERROR(INDEX(거래처마스터!$B$3:$B$102,MATCH($B48,거래처마스터!$A$3:$A$102,0)),"미등록"))</f>
        <v/>
      </c>
      <c r="D48" s="7"/>
      <c r="E48" s="12" t="str">
        <f aca="false">IF($D48="","",IFERROR(INDEX(품목마스터!$B$3:$B$202,MATCH($D48,품목마스터!$A$3:$A$202,0)),"미등록품번"))</f>
        <v/>
      </c>
      <c r="F48" s="12" t="str">
        <f aca="false">IF($D48="","",IFERROR(INDEX(품목마스터!$D$3:$D$202,MATCH($D48,품목마스터!$A$3:$A$202,0)),""))</f>
        <v/>
      </c>
      <c r="G48" s="9"/>
      <c r="H48" s="9"/>
      <c r="I48" s="13" t="str">
        <f aca="false">IF(OR($G48="",$H48=""),"",ROUND($G48*$H48,0))</f>
        <v/>
      </c>
      <c r="J48" s="7"/>
    </row>
    <row r="49" customFormat="false" ht="15" hidden="false" customHeight="true" outlineLevel="0" collapsed="false">
      <c r="A49" s="11"/>
      <c r="B49" s="7"/>
      <c r="C49" s="12" t="str">
        <f aca="false">IF($B49="","",IFERROR(INDEX(거래처마스터!$B$3:$B$102,MATCH($B49,거래처마스터!$A$3:$A$102,0)),"미등록"))</f>
        <v/>
      </c>
      <c r="D49" s="7"/>
      <c r="E49" s="12" t="str">
        <f aca="false">IF($D49="","",IFERROR(INDEX(품목마스터!$B$3:$B$202,MATCH($D49,품목마스터!$A$3:$A$202,0)),"미등록품번"))</f>
        <v/>
      </c>
      <c r="F49" s="12" t="str">
        <f aca="false">IF($D49="","",IFERROR(INDEX(품목마스터!$D$3:$D$202,MATCH($D49,품목마스터!$A$3:$A$202,0)),""))</f>
        <v/>
      </c>
      <c r="G49" s="9"/>
      <c r="H49" s="9"/>
      <c r="I49" s="13" t="str">
        <f aca="false">IF(OR($G49="",$H49=""),"",ROUND($G49*$H49,0))</f>
        <v/>
      </c>
      <c r="J49" s="7"/>
    </row>
    <row r="50" customFormat="false" ht="15" hidden="false" customHeight="true" outlineLevel="0" collapsed="false">
      <c r="A50" s="11"/>
      <c r="B50" s="7"/>
      <c r="C50" s="12" t="str">
        <f aca="false">IF($B50="","",IFERROR(INDEX(거래처마스터!$B$3:$B$102,MATCH($B50,거래처마스터!$A$3:$A$102,0)),"미등록"))</f>
        <v/>
      </c>
      <c r="D50" s="7"/>
      <c r="E50" s="12" t="str">
        <f aca="false">IF($D50="","",IFERROR(INDEX(품목마스터!$B$3:$B$202,MATCH($D50,품목마스터!$A$3:$A$202,0)),"미등록품번"))</f>
        <v/>
      </c>
      <c r="F50" s="12" t="str">
        <f aca="false">IF($D50="","",IFERROR(INDEX(품목마스터!$D$3:$D$202,MATCH($D50,품목마스터!$A$3:$A$202,0)),""))</f>
        <v/>
      </c>
      <c r="G50" s="9"/>
      <c r="H50" s="9"/>
      <c r="I50" s="13" t="str">
        <f aca="false">IF(OR($G50="",$H50=""),"",ROUND($G50*$H50,0))</f>
        <v/>
      </c>
      <c r="J50" s="7"/>
    </row>
    <row r="51" customFormat="false" ht="15" hidden="false" customHeight="true" outlineLevel="0" collapsed="false">
      <c r="A51" s="11"/>
      <c r="B51" s="7"/>
      <c r="C51" s="12" t="str">
        <f aca="false">IF($B51="","",IFERROR(INDEX(거래처마스터!$B$3:$B$102,MATCH($B51,거래처마스터!$A$3:$A$102,0)),"미등록"))</f>
        <v/>
      </c>
      <c r="D51" s="7"/>
      <c r="E51" s="12" t="str">
        <f aca="false">IF($D51="","",IFERROR(INDEX(품목마스터!$B$3:$B$202,MATCH($D51,품목마스터!$A$3:$A$202,0)),"미등록품번"))</f>
        <v/>
      </c>
      <c r="F51" s="12" t="str">
        <f aca="false">IF($D51="","",IFERROR(INDEX(품목마스터!$D$3:$D$202,MATCH($D51,품목마스터!$A$3:$A$202,0)),""))</f>
        <v/>
      </c>
      <c r="G51" s="9"/>
      <c r="H51" s="9"/>
      <c r="I51" s="13" t="str">
        <f aca="false">IF(OR($G51="",$H51=""),"",ROUND($G51*$H51,0))</f>
        <v/>
      </c>
      <c r="J51" s="7"/>
    </row>
    <row r="52" customFormat="false" ht="15" hidden="false" customHeight="true" outlineLevel="0" collapsed="false">
      <c r="A52" s="11"/>
      <c r="B52" s="7"/>
      <c r="C52" s="12" t="str">
        <f aca="false">IF($B52="","",IFERROR(INDEX(거래처마스터!$B$3:$B$102,MATCH($B52,거래처마스터!$A$3:$A$102,0)),"미등록"))</f>
        <v/>
      </c>
      <c r="D52" s="7"/>
      <c r="E52" s="12" t="str">
        <f aca="false">IF($D52="","",IFERROR(INDEX(품목마스터!$B$3:$B$202,MATCH($D52,품목마스터!$A$3:$A$202,0)),"미등록품번"))</f>
        <v/>
      </c>
      <c r="F52" s="12" t="str">
        <f aca="false">IF($D52="","",IFERROR(INDEX(품목마스터!$D$3:$D$202,MATCH($D52,품목마스터!$A$3:$A$202,0)),""))</f>
        <v/>
      </c>
      <c r="G52" s="9"/>
      <c r="H52" s="9"/>
      <c r="I52" s="13" t="str">
        <f aca="false">IF(OR($G52="",$H52=""),"",ROUND($G52*$H52,0))</f>
        <v/>
      </c>
      <c r="J52" s="7"/>
    </row>
    <row r="53" customFormat="false" ht="15" hidden="false" customHeight="true" outlineLevel="0" collapsed="false">
      <c r="A53" s="11"/>
      <c r="B53" s="7"/>
      <c r="C53" s="12" t="str">
        <f aca="false">IF($B53="","",IFERROR(INDEX(거래처마스터!$B$3:$B$102,MATCH($B53,거래처마스터!$A$3:$A$102,0)),"미등록"))</f>
        <v/>
      </c>
      <c r="D53" s="7"/>
      <c r="E53" s="12" t="str">
        <f aca="false">IF($D53="","",IFERROR(INDEX(품목마스터!$B$3:$B$202,MATCH($D53,품목마스터!$A$3:$A$202,0)),"미등록품번"))</f>
        <v/>
      </c>
      <c r="F53" s="12" t="str">
        <f aca="false">IF($D53="","",IFERROR(INDEX(품목마스터!$D$3:$D$202,MATCH($D53,품목마스터!$A$3:$A$202,0)),""))</f>
        <v/>
      </c>
      <c r="G53" s="9"/>
      <c r="H53" s="9"/>
      <c r="I53" s="13" t="str">
        <f aca="false">IF(OR($G53="",$H53=""),"",ROUND($G53*$H53,0))</f>
        <v/>
      </c>
      <c r="J53" s="7"/>
    </row>
    <row r="54" customFormat="false" ht="15" hidden="false" customHeight="true" outlineLevel="0" collapsed="false">
      <c r="A54" s="11"/>
      <c r="B54" s="7"/>
      <c r="C54" s="12" t="str">
        <f aca="false">IF($B54="","",IFERROR(INDEX(거래처마스터!$B$3:$B$102,MATCH($B54,거래처마스터!$A$3:$A$102,0)),"미등록"))</f>
        <v/>
      </c>
      <c r="D54" s="7"/>
      <c r="E54" s="12" t="str">
        <f aca="false">IF($D54="","",IFERROR(INDEX(품목마스터!$B$3:$B$202,MATCH($D54,품목마스터!$A$3:$A$202,0)),"미등록품번"))</f>
        <v/>
      </c>
      <c r="F54" s="12" t="str">
        <f aca="false">IF($D54="","",IFERROR(INDEX(품목마스터!$D$3:$D$202,MATCH($D54,품목마스터!$A$3:$A$202,0)),""))</f>
        <v/>
      </c>
      <c r="G54" s="9"/>
      <c r="H54" s="9"/>
      <c r="I54" s="13" t="str">
        <f aca="false">IF(OR($G54="",$H54=""),"",ROUND($G54*$H54,0))</f>
        <v/>
      </c>
      <c r="J54" s="7"/>
    </row>
    <row r="55" customFormat="false" ht="15" hidden="false" customHeight="true" outlineLevel="0" collapsed="false">
      <c r="A55" s="11"/>
      <c r="B55" s="7"/>
      <c r="C55" s="12" t="str">
        <f aca="false">IF($B55="","",IFERROR(INDEX(거래처마스터!$B$3:$B$102,MATCH($B55,거래처마스터!$A$3:$A$102,0)),"미등록"))</f>
        <v/>
      </c>
      <c r="D55" s="7"/>
      <c r="E55" s="12" t="str">
        <f aca="false">IF($D55="","",IFERROR(INDEX(품목마스터!$B$3:$B$202,MATCH($D55,품목마스터!$A$3:$A$202,0)),"미등록품번"))</f>
        <v/>
      </c>
      <c r="F55" s="12" t="str">
        <f aca="false">IF($D55="","",IFERROR(INDEX(품목마스터!$D$3:$D$202,MATCH($D55,품목마스터!$A$3:$A$202,0)),""))</f>
        <v/>
      </c>
      <c r="G55" s="9"/>
      <c r="H55" s="9"/>
      <c r="I55" s="13" t="str">
        <f aca="false">IF(OR($G55="",$H55=""),"",ROUND($G55*$H55,0))</f>
        <v/>
      </c>
      <c r="J55" s="7"/>
    </row>
    <row r="56" customFormat="false" ht="15" hidden="false" customHeight="true" outlineLevel="0" collapsed="false">
      <c r="A56" s="11"/>
      <c r="B56" s="7"/>
      <c r="C56" s="12" t="str">
        <f aca="false">IF($B56="","",IFERROR(INDEX(거래처마스터!$B$3:$B$102,MATCH($B56,거래처마스터!$A$3:$A$102,0)),"미등록"))</f>
        <v/>
      </c>
      <c r="D56" s="7"/>
      <c r="E56" s="12" t="str">
        <f aca="false">IF($D56="","",IFERROR(INDEX(품목마스터!$B$3:$B$202,MATCH($D56,품목마스터!$A$3:$A$202,0)),"미등록품번"))</f>
        <v/>
      </c>
      <c r="F56" s="12" t="str">
        <f aca="false">IF($D56="","",IFERROR(INDEX(품목마스터!$D$3:$D$202,MATCH($D56,품목마스터!$A$3:$A$202,0)),""))</f>
        <v/>
      </c>
      <c r="G56" s="9"/>
      <c r="H56" s="9"/>
      <c r="I56" s="13" t="str">
        <f aca="false">IF(OR($G56="",$H56=""),"",ROUND($G56*$H56,0))</f>
        <v/>
      </c>
      <c r="J56" s="7"/>
    </row>
    <row r="57" customFormat="false" ht="15" hidden="false" customHeight="true" outlineLevel="0" collapsed="false">
      <c r="A57" s="11"/>
      <c r="B57" s="7"/>
      <c r="C57" s="12" t="str">
        <f aca="false">IF($B57="","",IFERROR(INDEX(거래처마스터!$B$3:$B$102,MATCH($B57,거래처마스터!$A$3:$A$102,0)),"미등록"))</f>
        <v/>
      </c>
      <c r="D57" s="7"/>
      <c r="E57" s="12" t="str">
        <f aca="false">IF($D57="","",IFERROR(INDEX(품목마스터!$B$3:$B$202,MATCH($D57,품목마스터!$A$3:$A$202,0)),"미등록품번"))</f>
        <v/>
      </c>
      <c r="F57" s="12" t="str">
        <f aca="false">IF($D57="","",IFERROR(INDEX(품목마스터!$D$3:$D$202,MATCH($D57,품목마스터!$A$3:$A$202,0)),""))</f>
        <v/>
      </c>
      <c r="G57" s="9"/>
      <c r="H57" s="9"/>
      <c r="I57" s="13" t="str">
        <f aca="false">IF(OR($G57="",$H57=""),"",ROUND($G57*$H57,0))</f>
        <v/>
      </c>
      <c r="J57" s="7"/>
    </row>
    <row r="58" customFormat="false" ht="15" hidden="false" customHeight="true" outlineLevel="0" collapsed="false">
      <c r="A58" s="11"/>
      <c r="B58" s="7"/>
      <c r="C58" s="12" t="str">
        <f aca="false">IF($B58="","",IFERROR(INDEX(거래처마스터!$B$3:$B$102,MATCH($B58,거래처마스터!$A$3:$A$102,0)),"미등록"))</f>
        <v/>
      </c>
      <c r="D58" s="7"/>
      <c r="E58" s="12" t="str">
        <f aca="false">IF($D58="","",IFERROR(INDEX(품목마스터!$B$3:$B$202,MATCH($D58,품목마스터!$A$3:$A$202,0)),"미등록품번"))</f>
        <v/>
      </c>
      <c r="F58" s="12" t="str">
        <f aca="false">IF($D58="","",IFERROR(INDEX(품목마스터!$D$3:$D$202,MATCH($D58,품목마스터!$A$3:$A$202,0)),""))</f>
        <v/>
      </c>
      <c r="G58" s="9"/>
      <c r="H58" s="9"/>
      <c r="I58" s="13" t="str">
        <f aca="false">IF(OR($G58="",$H58=""),"",ROUND($G58*$H58,0))</f>
        <v/>
      </c>
      <c r="J58" s="7"/>
    </row>
    <row r="59" customFormat="false" ht="15" hidden="false" customHeight="true" outlineLevel="0" collapsed="false">
      <c r="A59" s="11"/>
      <c r="B59" s="7"/>
      <c r="C59" s="12" t="str">
        <f aca="false">IF($B59="","",IFERROR(INDEX(거래처마스터!$B$3:$B$102,MATCH($B59,거래처마스터!$A$3:$A$102,0)),"미등록"))</f>
        <v/>
      </c>
      <c r="D59" s="7"/>
      <c r="E59" s="12" t="str">
        <f aca="false">IF($D59="","",IFERROR(INDEX(품목마스터!$B$3:$B$202,MATCH($D59,품목마스터!$A$3:$A$202,0)),"미등록품번"))</f>
        <v/>
      </c>
      <c r="F59" s="12" t="str">
        <f aca="false">IF($D59="","",IFERROR(INDEX(품목마스터!$D$3:$D$202,MATCH($D59,품목마스터!$A$3:$A$202,0)),""))</f>
        <v/>
      </c>
      <c r="G59" s="9"/>
      <c r="H59" s="9"/>
      <c r="I59" s="13" t="str">
        <f aca="false">IF(OR($G59="",$H59=""),"",ROUND($G59*$H59,0))</f>
        <v/>
      </c>
      <c r="J59" s="7"/>
    </row>
    <row r="60" customFormat="false" ht="15" hidden="false" customHeight="true" outlineLevel="0" collapsed="false">
      <c r="A60" s="11"/>
      <c r="B60" s="7"/>
      <c r="C60" s="12" t="str">
        <f aca="false">IF($B60="","",IFERROR(INDEX(거래처마스터!$B$3:$B$102,MATCH($B60,거래처마스터!$A$3:$A$102,0)),"미등록"))</f>
        <v/>
      </c>
      <c r="D60" s="7"/>
      <c r="E60" s="12" t="str">
        <f aca="false">IF($D60="","",IFERROR(INDEX(품목마스터!$B$3:$B$202,MATCH($D60,품목마스터!$A$3:$A$202,0)),"미등록품번"))</f>
        <v/>
      </c>
      <c r="F60" s="12" t="str">
        <f aca="false">IF($D60="","",IFERROR(INDEX(품목마스터!$D$3:$D$202,MATCH($D60,품목마스터!$A$3:$A$202,0)),""))</f>
        <v/>
      </c>
      <c r="G60" s="9"/>
      <c r="H60" s="9"/>
      <c r="I60" s="13" t="str">
        <f aca="false">IF(OR($G60="",$H60=""),"",ROUND($G60*$H60,0))</f>
        <v/>
      </c>
      <c r="J60" s="7"/>
    </row>
    <row r="61" customFormat="false" ht="15" hidden="false" customHeight="true" outlineLevel="0" collapsed="false">
      <c r="A61" s="11"/>
      <c r="B61" s="7"/>
      <c r="C61" s="12" t="str">
        <f aca="false">IF($B61="","",IFERROR(INDEX(거래처마스터!$B$3:$B$102,MATCH($B61,거래처마스터!$A$3:$A$102,0)),"미등록"))</f>
        <v/>
      </c>
      <c r="D61" s="7"/>
      <c r="E61" s="12" t="str">
        <f aca="false">IF($D61="","",IFERROR(INDEX(품목마스터!$B$3:$B$202,MATCH($D61,품목마스터!$A$3:$A$202,0)),"미등록품번"))</f>
        <v/>
      </c>
      <c r="F61" s="12" t="str">
        <f aca="false">IF($D61="","",IFERROR(INDEX(품목마스터!$D$3:$D$202,MATCH($D61,품목마스터!$A$3:$A$202,0)),""))</f>
        <v/>
      </c>
      <c r="G61" s="9"/>
      <c r="H61" s="9"/>
      <c r="I61" s="13" t="str">
        <f aca="false">IF(OR($G61="",$H61=""),"",ROUND($G61*$H61,0))</f>
        <v/>
      </c>
      <c r="J61" s="7"/>
    </row>
    <row r="62" customFormat="false" ht="15" hidden="false" customHeight="true" outlineLevel="0" collapsed="false">
      <c r="A62" s="11"/>
      <c r="B62" s="7"/>
      <c r="C62" s="12" t="str">
        <f aca="false">IF($B62="","",IFERROR(INDEX(거래처마스터!$B$3:$B$102,MATCH($B62,거래처마스터!$A$3:$A$102,0)),"미등록"))</f>
        <v/>
      </c>
      <c r="D62" s="7"/>
      <c r="E62" s="12" t="str">
        <f aca="false">IF($D62="","",IFERROR(INDEX(품목마스터!$B$3:$B$202,MATCH($D62,품목마스터!$A$3:$A$202,0)),"미등록품번"))</f>
        <v/>
      </c>
      <c r="F62" s="12" t="str">
        <f aca="false">IF($D62="","",IFERROR(INDEX(품목마스터!$D$3:$D$202,MATCH($D62,품목마스터!$A$3:$A$202,0)),""))</f>
        <v/>
      </c>
      <c r="G62" s="9"/>
      <c r="H62" s="9"/>
      <c r="I62" s="13" t="str">
        <f aca="false">IF(OR($G62="",$H62=""),"",ROUND($G62*$H62,0))</f>
        <v/>
      </c>
      <c r="J62" s="7"/>
    </row>
    <row r="63" customFormat="false" ht="15" hidden="false" customHeight="true" outlineLevel="0" collapsed="false">
      <c r="A63" s="11"/>
      <c r="B63" s="7"/>
      <c r="C63" s="12" t="str">
        <f aca="false">IF($B63="","",IFERROR(INDEX(거래처마스터!$B$3:$B$102,MATCH($B63,거래처마스터!$A$3:$A$102,0)),"미등록"))</f>
        <v/>
      </c>
      <c r="D63" s="7"/>
      <c r="E63" s="12" t="str">
        <f aca="false">IF($D63="","",IFERROR(INDEX(품목마스터!$B$3:$B$202,MATCH($D63,품목마스터!$A$3:$A$202,0)),"미등록품번"))</f>
        <v/>
      </c>
      <c r="F63" s="12" t="str">
        <f aca="false">IF($D63="","",IFERROR(INDEX(품목마스터!$D$3:$D$202,MATCH($D63,품목마스터!$A$3:$A$202,0)),""))</f>
        <v/>
      </c>
      <c r="G63" s="9"/>
      <c r="H63" s="9"/>
      <c r="I63" s="13" t="str">
        <f aca="false">IF(OR($G63="",$H63=""),"",ROUND($G63*$H63,0))</f>
        <v/>
      </c>
      <c r="J63" s="7"/>
    </row>
    <row r="64" customFormat="false" ht="15" hidden="false" customHeight="true" outlineLevel="0" collapsed="false">
      <c r="A64" s="11"/>
      <c r="B64" s="7"/>
      <c r="C64" s="12" t="str">
        <f aca="false">IF($B64="","",IFERROR(INDEX(거래처마스터!$B$3:$B$102,MATCH($B64,거래처마스터!$A$3:$A$102,0)),"미등록"))</f>
        <v/>
      </c>
      <c r="D64" s="7"/>
      <c r="E64" s="12" t="str">
        <f aca="false">IF($D64="","",IFERROR(INDEX(품목마스터!$B$3:$B$202,MATCH($D64,품목마스터!$A$3:$A$202,0)),"미등록품번"))</f>
        <v/>
      </c>
      <c r="F64" s="12" t="str">
        <f aca="false">IF($D64="","",IFERROR(INDEX(품목마스터!$D$3:$D$202,MATCH($D64,품목마스터!$A$3:$A$202,0)),""))</f>
        <v/>
      </c>
      <c r="G64" s="9"/>
      <c r="H64" s="9"/>
      <c r="I64" s="13" t="str">
        <f aca="false">IF(OR($G64="",$H64=""),"",ROUND($G64*$H64,0))</f>
        <v/>
      </c>
      <c r="J64" s="7"/>
    </row>
    <row r="65" customFormat="false" ht="15" hidden="false" customHeight="true" outlineLevel="0" collapsed="false">
      <c r="A65" s="11"/>
      <c r="B65" s="7"/>
      <c r="C65" s="12" t="str">
        <f aca="false">IF($B65="","",IFERROR(INDEX(거래처마스터!$B$3:$B$102,MATCH($B65,거래처마스터!$A$3:$A$102,0)),"미등록"))</f>
        <v/>
      </c>
      <c r="D65" s="7"/>
      <c r="E65" s="12" t="str">
        <f aca="false">IF($D65="","",IFERROR(INDEX(품목마스터!$B$3:$B$202,MATCH($D65,품목마스터!$A$3:$A$202,0)),"미등록품번"))</f>
        <v/>
      </c>
      <c r="F65" s="12" t="str">
        <f aca="false">IF($D65="","",IFERROR(INDEX(품목마스터!$D$3:$D$202,MATCH($D65,품목마스터!$A$3:$A$202,0)),""))</f>
        <v/>
      </c>
      <c r="G65" s="9"/>
      <c r="H65" s="9"/>
      <c r="I65" s="13" t="str">
        <f aca="false">IF(OR($G65="",$H65=""),"",ROUND($G65*$H65,0))</f>
        <v/>
      </c>
      <c r="J65" s="7"/>
    </row>
    <row r="66" customFormat="false" ht="15" hidden="false" customHeight="true" outlineLevel="0" collapsed="false">
      <c r="A66" s="11"/>
      <c r="B66" s="7"/>
      <c r="C66" s="12" t="str">
        <f aca="false">IF($B66="","",IFERROR(INDEX(거래처마스터!$B$3:$B$102,MATCH($B66,거래처마스터!$A$3:$A$102,0)),"미등록"))</f>
        <v/>
      </c>
      <c r="D66" s="7"/>
      <c r="E66" s="12" t="str">
        <f aca="false">IF($D66="","",IFERROR(INDEX(품목마스터!$B$3:$B$202,MATCH($D66,품목마스터!$A$3:$A$202,0)),"미등록품번"))</f>
        <v/>
      </c>
      <c r="F66" s="12" t="str">
        <f aca="false">IF($D66="","",IFERROR(INDEX(품목마스터!$D$3:$D$202,MATCH($D66,품목마스터!$A$3:$A$202,0)),""))</f>
        <v/>
      </c>
      <c r="G66" s="9"/>
      <c r="H66" s="9"/>
      <c r="I66" s="13" t="str">
        <f aca="false">IF(OR($G66="",$H66=""),"",ROUND($G66*$H66,0))</f>
        <v/>
      </c>
      <c r="J66" s="7"/>
    </row>
    <row r="67" customFormat="false" ht="15" hidden="false" customHeight="true" outlineLevel="0" collapsed="false">
      <c r="A67" s="11"/>
      <c r="B67" s="7"/>
      <c r="C67" s="12" t="str">
        <f aca="false">IF($B67="","",IFERROR(INDEX(거래처마스터!$B$3:$B$102,MATCH($B67,거래처마스터!$A$3:$A$102,0)),"미등록"))</f>
        <v/>
      </c>
      <c r="D67" s="7"/>
      <c r="E67" s="12" t="str">
        <f aca="false">IF($D67="","",IFERROR(INDEX(품목마스터!$B$3:$B$202,MATCH($D67,품목마스터!$A$3:$A$202,0)),"미등록품번"))</f>
        <v/>
      </c>
      <c r="F67" s="12" t="str">
        <f aca="false">IF($D67="","",IFERROR(INDEX(품목마스터!$D$3:$D$202,MATCH($D67,품목마스터!$A$3:$A$202,0)),""))</f>
        <v/>
      </c>
      <c r="G67" s="9"/>
      <c r="H67" s="9"/>
      <c r="I67" s="13" t="str">
        <f aca="false">IF(OR($G67="",$H67=""),"",ROUND($G67*$H67,0))</f>
        <v/>
      </c>
      <c r="J67" s="7"/>
    </row>
    <row r="68" customFormat="false" ht="15" hidden="false" customHeight="true" outlineLevel="0" collapsed="false">
      <c r="A68" s="11"/>
      <c r="B68" s="7"/>
      <c r="C68" s="12" t="str">
        <f aca="false">IF($B68="","",IFERROR(INDEX(거래처마스터!$B$3:$B$102,MATCH($B68,거래처마스터!$A$3:$A$102,0)),"미등록"))</f>
        <v/>
      </c>
      <c r="D68" s="7"/>
      <c r="E68" s="12" t="str">
        <f aca="false">IF($D68="","",IFERROR(INDEX(품목마스터!$B$3:$B$202,MATCH($D68,품목마스터!$A$3:$A$202,0)),"미등록품번"))</f>
        <v/>
      </c>
      <c r="F68" s="12" t="str">
        <f aca="false">IF($D68="","",IFERROR(INDEX(품목마스터!$D$3:$D$202,MATCH($D68,품목마스터!$A$3:$A$202,0)),""))</f>
        <v/>
      </c>
      <c r="G68" s="9"/>
      <c r="H68" s="9"/>
      <c r="I68" s="13" t="str">
        <f aca="false">IF(OR($G68="",$H68=""),"",ROUND($G68*$H68,0))</f>
        <v/>
      </c>
      <c r="J68" s="7"/>
    </row>
    <row r="69" customFormat="false" ht="15" hidden="false" customHeight="true" outlineLevel="0" collapsed="false">
      <c r="A69" s="11"/>
      <c r="B69" s="7"/>
      <c r="C69" s="12" t="str">
        <f aca="false">IF($B69="","",IFERROR(INDEX(거래처마스터!$B$3:$B$102,MATCH($B69,거래처마스터!$A$3:$A$102,0)),"미등록"))</f>
        <v/>
      </c>
      <c r="D69" s="7"/>
      <c r="E69" s="12" t="str">
        <f aca="false">IF($D69="","",IFERROR(INDEX(품목마스터!$B$3:$B$202,MATCH($D69,품목마스터!$A$3:$A$202,0)),"미등록품번"))</f>
        <v/>
      </c>
      <c r="F69" s="12" t="str">
        <f aca="false">IF($D69="","",IFERROR(INDEX(품목마스터!$D$3:$D$202,MATCH($D69,품목마스터!$A$3:$A$202,0)),""))</f>
        <v/>
      </c>
      <c r="G69" s="9"/>
      <c r="H69" s="9"/>
      <c r="I69" s="13" t="str">
        <f aca="false">IF(OR($G69="",$H69=""),"",ROUND($G69*$H69,0))</f>
        <v/>
      </c>
      <c r="J69" s="7"/>
    </row>
    <row r="70" customFormat="false" ht="15" hidden="false" customHeight="true" outlineLevel="0" collapsed="false">
      <c r="A70" s="11"/>
      <c r="B70" s="7"/>
      <c r="C70" s="12" t="str">
        <f aca="false">IF($B70="","",IFERROR(INDEX(거래처마스터!$B$3:$B$102,MATCH($B70,거래처마스터!$A$3:$A$102,0)),"미등록"))</f>
        <v/>
      </c>
      <c r="D70" s="7"/>
      <c r="E70" s="12" t="str">
        <f aca="false">IF($D70="","",IFERROR(INDEX(품목마스터!$B$3:$B$202,MATCH($D70,품목마스터!$A$3:$A$202,0)),"미등록품번"))</f>
        <v/>
      </c>
      <c r="F70" s="12" t="str">
        <f aca="false">IF($D70="","",IFERROR(INDEX(품목마스터!$D$3:$D$202,MATCH($D70,품목마스터!$A$3:$A$202,0)),""))</f>
        <v/>
      </c>
      <c r="G70" s="9"/>
      <c r="H70" s="9"/>
      <c r="I70" s="13" t="str">
        <f aca="false">IF(OR($G70="",$H70=""),"",ROUND($G70*$H70,0))</f>
        <v/>
      </c>
      <c r="J70" s="7"/>
    </row>
    <row r="71" customFormat="false" ht="15" hidden="false" customHeight="true" outlineLevel="0" collapsed="false">
      <c r="A71" s="11"/>
      <c r="B71" s="7"/>
      <c r="C71" s="12" t="str">
        <f aca="false">IF($B71="","",IFERROR(INDEX(거래처마스터!$B$3:$B$102,MATCH($B71,거래처마스터!$A$3:$A$102,0)),"미등록"))</f>
        <v/>
      </c>
      <c r="D71" s="7"/>
      <c r="E71" s="12" t="str">
        <f aca="false">IF($D71="","",IFERROR(INDEX(품목마스터!$B$3:$B$202,MATCH($D71,품목마스터!$A$3:$A$202,0)),"미등록품번"))</f>
        <v/>
      </c>
      <c r="F71" s="12" t="str">
        <f aca="false">IF($D71="","",IFERROR(INDEX(품목마스터!$D$3:$D$202,MATCH($D71,품목마스터!$A$3:$A$202,0)),""))</f>
        <v/>
      </c>
      <c r="G71" s="9"/>
      <c r="H71" s="9"/>
      <c r="I71" s="13" t="str">
        <f aca="false">IF(OR($G71="",$H71=""),"",ROUND($G71*$H71,0))</f>
        <v/>
      </c>
      <c r="J71" s="7"/>
    </row>
    <row r="72" customFormat="false" ht="15" hidden="false" customHeight="true" outlineLevel="0" collapsed="false">
      <c r="A72" s="11"/>
      <c r="B72" s="7"/>
      <c r="C72" s="12" t="str">
        <f aca="false">IF($B72="","",IFERROR(INDEX(거래처마스터!$B$3:$B$102,MATCH($B72,거래처마스터!$A$3:$A$102,0)),"미등록"))</f>
        <v/>
      </c>
      <c r="D72" s="7"/>
      <c r="E72" s="12" t="str">
        <f aca="false">IF($D72="","",IFERROR(INDEX(품목마스터!$B$3:$B$202,MATCH($D72,품목마스터!$A$3:$A$202,0)),"미등록품번"))</f>
        <v/>
      </c>
      <c r="F72" s="12" t="str">
        <f aca="false">IF($D72="","",IFERROR(INDEX(품목마스터!$D$3:$D$202,MATCH($D72,품목마스터!$A$3:$A$202,0)),""))</f>
        <v/>
      </c>
      <c r="G72" s="9"/>
      <c r="H72" s="9"/>
      <c r="I72" s="13" t="str">
        <f aca="false">IF(OR($G72="",$H72=""),"",ROUND($G72*$H72,0))</f>
        <v/>
      </c>
      <c r="J72" s="7"/>
    </row>
    <row r="73" customFormat="false" ht="15" hidden="false" customHeight="true" outlineLevel="0" collapsed="false">
      <c r="A73" s="11"/>
      <c r="B73" s="7"/>
      <c r="C73" s="12" t="str">
        <f aca="false">IF($B73="","",IFERROR(INDEX(거래처마스터!$B$3:$B$102,MATCH($B73,거래처마스터!$A$3:$A$102,0)),"미등록"))</f>
        <v/>
      </c>
      <c r="D73" s="7"/>
      <c r="E73" s="12" t="str">
        <f aca="false">IF($D73="","",IFERROR(INDEX(품목마스터!$B$3:$B$202,MATCH($D73,품목마스터!$A$3:$A$202,0)),"미등록품번"))</f>
        <v/>
      </c>
      <c r="F73" s="12" t="str">
        <f aca="false">IF($D73="","",IFERROR(INDEX(품목마스터!$D$3:$D$202,MATCH($D73,품목마스터!$A$3:$A$202,0)),""))</f>
        <v/>
      </c>
      <c r="G73" s="9"/>
      <c r="H73" s="9"/>
      <c r="I73" s="13" t="str">
        <f aca="false">IF(OR($G73="",$H73=""),"",ROUND($G73*$H73,0))</f>
        <v/>
      </c>
      <c r="J73" s="7"/>
    </row>
    <row r="74" customFormat="false" ht="15" hidden="false" customHeight="true" outlineLevel="0" collapsed="false">
      <c r="A74" s="11"/>
      <c r="B74" s="7"/>
      <c r="C74" s="12" t="str">
        <f aca="false">IF($B74="","",IFERROR(INDEX(거래처마스터!$B$3:$B$102,MATCH($B74,거래처마스터!$A$3:$A$102,0)),"미등록"))</f>
        <v/>
      </c>
      <c r="D74" s="7"/>
      <c r="E74" s="12" t="str">
        <f aca="false">IF($D74="","",IFERROR(INDEX(품목마스터!$B$3:$B$202,MATCH($D74,품목마스터!$A$3:$A$202,0)),"미등록품번"))</f>
        <v/>
      </c>
      <c r="F74" s="12" t="str">
        <f aca="false">IF($D74="","",IFERROR(INDEX(품목마스터!$D$3:$D$202,MATCH($D74,품목마스터!$A$3:$A$202,0)),""))</f>
        <v/>
      </c>
      <c r="G74" s="9"/>
      <c r="H74" s="9"/>
      <c r="I74" s="13" t="str">
        <f aca="false">IF(OR($G74="",$H74=""),"",ROUND($G74*$H74,0))</f>
        <v/>
      </c>
      <c r="J74" s="7"/>
    </row>
    <row r="75" customFormat="false" ht="15" hidden="false" customHeight="true" outlineLevel="0" collapsed="false">
      <c r="A75" s="11"/>
      <c r="B75" s="7"/>
      <c r="C75" s="12" t="str">
        <f aca="false">IF($B75="","",IFERROR(INDEX(거래처마스터!$B$3:$B$102,MATCH($B75,거래처마스터!$A$3:$A$102,0)),"미등록"))</f>
        <v/>
      </c>
      <c r="D75" s="7"/>
      <c r="E75" s="12" t="str">
        <f aca="false">IF($D75="","",IFERROR(INDEX(품목마스터!$B$3:$B$202,MATCH($D75,품목마스터!$A$3:$A$202,0)),"미등록품번"))</f>
        <v/>
      </c>
      <c r="F75" s="12" t="str">
        <f aca="false">IF($D75="","",IFERROR(INDEX(품목마스터!$D$3:$D$202,MATCH($D75,품목마스터!$A$3:$A$202,0)),""))</f>
        <v/>
      </c>
      <c r="G75" s="9"/>
      <c r="H75" s="9"/>
      <c r="I75" s="13" t="str">
        <f aca="false">IF(OR($G75="",$H75=""),"",ROUND($G75*$H75,0))</f>
        <v/>
      </c>
      <c r="J75" s="7"/>
    </row>
    <row r="76" customFormat="false" ht="15" hidden="false" customHeight="true" outlineLevel="0" collapsed="false">
      <c r="A76" s="11"/>
      <c r="B76" s="7"/>
      <c r="C76" s="12" t="str">
        <f aca="false">IF($B76="","",IFERROR(INDEX(거래처마스터!$B$3:$B$102,MATCH($B76,거래처마스터!$A$3:$A$102,0)),"미등록"))</f>
        <v/>
      </c>
      <c r="D76" s="7"/>
      <c r="E76" s="12" t="str">
        <f aca="false">IF($D76="","",IFERROR(INDEX(품목마스터!$B$3:$B$202,MATCH($D76,품목마스터!$A$3:$A$202,0)),"미등록품번"))</f>
        <v/>
      </c>
      <c r="F76" s="12" t="str">
        <f aca="false">IF($D76="","",IFERROR(INDEX(품목마스터!$D$3:$D$202,MATCH($D76,품목마스터!$A$3:$A$202,0)),""))</f>
        <v/>
      </c>
      <c r="G76" s="9"/>
      <c r="H76" s="9"/>
      <c r="I76" s="13" t="str">
        <f aca="false">IF(OR($G76="",$H76=""),"",ROUND($G76*$H76,0))</f>
        <v/>
      </c>
      <c r="J76" s="7"/>
    </row>
    <row r="77" customFormat="false" ht="15" hidden="false" customHeight="true" outlineLevel="0" collapsed="false">
      <c r="A77" s="11"/>
      <c r="B77" s="7"/>
      <c r="C77" s="12" t="str">
        <f aca="false">IF($B77="","",IFERROR(INDEX(거래처마스터!$B$3:$B$102,MATCH($B77,거래처마스터!$A$3:$A$102,0)),"미등록"))</f>
        <v/>
      </c>
      <c r="D77" s="7"/>
      <c r="E77" s="12" t="str">
        <f aca="false">IF($D77="","",IFERROR(INDEX(품목마스터!$B$3:$B$202,MATCH($D77,품목마스터!$A$3:$A$202,0)),"미등록품번"))</f>
        <v/>
      </c>
      <c r="F77" s="12" t="str">
        <f aca="false">IF($D77="","",IFERROR(INDEX(품목마스터!$D$3:$D$202,MATCH($D77,품목마스터!$A$3:$A$202,0)),""))</f>
        <v/>
      </c>
      <c r="G77" s="9"/>
      <c r="H77" s="9"/>
      <c r="I77" s="13" t="str">
        <f aca="false">IF(OR($G77="",$H77=""),"",ROUND($G77*$H77,0))</f>
        <v/>
      </c>
      <c r="J77" s="7"/>
    </row>
    <row r="78" customFormat="false" ht="15" hidden="false" customHeight="true" outlineLevel="0" collapsed="false">
      <c r="A78" s="11"/>
      <c r="B78" s="7"/>
      <c r="C78" s="12" t="str">
        <f aca="false">IF($B78="","",IFERROR(INDEX(거래처마스터!$B$3:$B$102,MATCH($B78,거래처마스터!$A$3:$A$102,0)),"미등록"))</f>
        <v/>
      </c>
      <c r="D78" s="7"/>
      <c r="E78" s="12" t="str">
        <f aca="false">IF($D78="","",IFERROR(INDEX(품목마스터!$B$3:$B$202,MATCH($D78,품목마스터!$A$3:$A$202,0)),"미등록품번"))</f>
        <v/>
      </c>
      <c r="F78" s="12" t="str">
        <f aca="false">IF($D78="","",IFERROR(INDEX(품목마스터!$D$3:$D$202,MATCH($D78,품목마스터!$A$3:$A$202,0)),""))</f>
        <v/>
      </c>
      <c r="G78" s="9"/>
      <c r="H78" s="9"/>
      <c r="I78" s="13" t="str">
        <f aca="false">IF(OR($G78="",$H78=""),"",ROUND($G78*$H78,0))</f>
        <v/>
      </c>
      <c r="J78" s="7"/>
    </row>
    <row r="79" customFormat="false" ht="15" hidden="false" customHeight="true" outlineLevel="0" collapsed="false">
      <c r="A79" s="11"/>
      <c r="B79" s="7"/>
      <c r="C79" s="12" t="str">
        <f aca="false">IF($B79="","",IFERROR(INDEX(거래처마스터!$B$3:$B$102,MATCH($B79,거래처마스터!$A$3:$A$102,0)),"미등록"))</f>
        <v/>
      </c>
      <c r="D79" s="7"/>
      <c r="E79" s="12" t="str">
        <f aca="false">IF($D79="","",IFERROR(INDEX(품목마스터!$B$3:$B$202,MATCH($D79,품목마스터!$A$3:$A$202,0)),"미등록품번"))</f>
        <v/>
      </c>
      <c r="F79" s="12" t="str">
        <f aca="false">IF($D79="","",IFERROR(INDEX(품목마스터!$D$3:$D$202,MATCH($D79,품목마스터!$A$3:$A$202,0)),""))</f>
        <v/>
      </c>
      <c r="G79" s="9"/>
      <c r="H79" s="9"/>
      <c r="I79" s="13" t="str">
        <f aca="false">IF(OR($G79="",$H79=""),"",ROUND($G79*$H79,0))</f>
        <v/>
      </c>
      <c r="J79" s="7"/>
    </row>
    <row r="80" customFormat="false" ht="15" hidden="false" customHeight="true" outlineLevel="0" collapsed="false">
      <c r="A80" s="11"/>
      <c r="B80" s="7"/>
      <c r="C80" s="12" t="str">
        <f aca="false">IF($B80="","",IFERROR(INDEX(거래처마스터!$B$3:$B$102,MATCH($B80,거래처마스터!$A$3:$A$102,0)),"미등록"))</f>
        <v/>
      </c>
      <c r="D80" s="7"/>
      <c r="E80" s="12" t="str">
        <f aca="false">IF($D80="","",IFERROR(INDEX(품목마스터!$B$3:$B$202,MATCH($D80,품목마스터!$A$3:$A$202,0)),"미등록품번"))</f>
        <v/>
      </c>
      <c r="F80" s="12" t="str">
        <f aca="false">IF($D80="","",IFERROR(INDEX(품목마스터!$D$3:$D$202,MATCH($D80,품목마스터!$A$3:$A$202,0)),""))</f>
        <v/>
      </c>
      <c r="G80" s="9"/>
      <c r="H80" s="9"/>
      <c r="I80" s="13" t="str">
        <f aca="false">IF(OR($G80="",$H80=""),"",ROUND($G80*$H80,0))</f>
        <v/>
      </c>
      <c r="J80" s="7"/>
    </row>
    <row r="81" customFormat="false" ht="15" hidden="false" customHeight="true" outlineLevel="0" collapsed="false">
      <c r="A81" s="11"/>
      <c r="B81" s="7"/>
      <c r="C81" s="12" t="str">
        <f aca="false">IF($B81="","",IFERROR(INDEX(거래처마스터!$B$3:$B$102,MATCH($B81,거래처마스터!$A$3:$A$102,0)),"미등록"))</f>
        <v/>
      </c>
      <c r="D81" s="7"/>
      <c r="E81" s="12" t="str">
        <f aca="false">IF($D81="","",IFERROR(INDEX(품목마스터!$B$3:$B$202,MATCH($D81,품목마스터!$A$3:$A$202,0)),"미등록품번"))</f>
        <v/>
      </c>
      <c r="F81" s="12" t="str">
        <f aca="false">IF($D81="","",IFERROR(INDEX(품목마스터!$D$3:$D$202,MATCH($D81,품목마스터!$A$3:$A$202,0)),""))</f>
        <v/>
      </c>
      <c r="G81" s="9"/>
      <c r="H81" s="9"/>
      <c r="I81" s="13" t="str">
        <f aca="false">IF(OR($G81="",$H81=""),"",ROUND($G81*$H81,0))</f>
        <v/>
      </c>
      <c r="J81" s="7"/>
    </row>
    <row r="82" customFormat="false" ht="15" hidden="false" customHeight="true" outlineLevel="0" collapsed="false">
      <c r="A82" s="11"/>
      <c r="B82" s="7"/>
      <c r="C82" s="12" t="str">
        <f aca="false">IF($B82="","",IFERROR(INDEX(거래처마스터!$B$3:$B$102,MATCH($B82,거래처마스터!$A$3:$A$102,0)),"미등록"))</f>
        <v/>
      </c>
      <c r="D82" s="7"/>
      <c r="E82" s="12" t="str">
        <f aca="false">IF($D82="","",IFERROR(INDEX(품목마스터!$B$3:$B$202,MATCH($D82,품목마스터!$A$3:$A$202,0)),"미등록품번"))</f>
        <v/>
      </c>
      <c r="F82" s="12" t="str">
        <f aca="false">IF($D82="","",IFERROR(INDEX(품목마스터!$D$3:$D$202,MATCH($D82,품목마스터!$A$3:$A$202,0)),""))</f>
        <v/>
      </c>
      <c r="G82" s="9"/>
      <c r="H82" s="9"/>
      <c r="I82" s="13" t="str">
        <f aca="false">IF(OR($G82="",$H82=""),"",ROUND($G82*$H82,0))</f>
        <v/>
      </c>
      <c r="J82" s="7"/>
    </row>
    <row r="83" customFormat="false" ht="15" hidden="false" customHeight="true" outlineLevel="0" collapsed="false">
      <c r="A83" s="11"/>
      <c r="B83" s="7"/>
      <c r="C83" s="12" t="str">
        <f aca="false">IF($B83="","",IFERROR(INDEX(거래처마스터!$B$3:$B$102,MATCH($B83,거래처마스터!$A$3:$A$102,0)),"미등록"))</f>
        <v/>
      </c>
      <c r="D83" s="7"/>
      <c r="E83" s="12" t="str">
        <f aca="false">IF($D83="","",IFERROR(INDEX(품목마스터!$B$3:$B$202,MATCH($D83,품목마스터!$A$3:$A$202,0)),"미등록품번"))</f>
        <v/>
      </c>
      <c r="F83" s="12" t="str">
        <f aca="false">IF($D83="","",IFERROR(INDEX(품목마스터!$D$3:$D$202,MATCH($D83,품목마스터!$A$3:$A$202,0)),""))</f>
        <v/>
      </c>
      <c r="G83" s="9"/>
      <c r="H83" s="9"/>
      <c r="I83" s="13" t="str">
        <f aca="false">IF(OR($G83="",$H83=""),"",ROUND($G83*$H83,0))</f>
        <v/>
      </c>
      <c r="J83" s="7"/>
    </row>
    <row r="84" customFormat="false" ht="15" hidden="false" customHeight="true" outlineLevel="0" collapsed="false">
      <c r="A84" s="11"/>
      <c r="B84" s="7"/>
      <c r="C84" s="12" t="str">
        <f aca="false">IF($B84="","",IFERROR(INDEX(거래처마스터!$B$3:$B$102,MATCH($B84,거래처마스터!$A$3:$A$102,0)),"미등록"))</f>
        <v/>
      </c>
      <c r="D84" s="7"/>
      <c r="E84" s="12" t="str">
        <f aca="false">IF($D84="","",IFERROR(INDEX(품목마스터!$B$3:$B$202,MATCH($D84,품목마스터!$A$3:$A$202,0)),"미등록품번"))</f>
        <v/>
      </c>
      <c r="F84" s="12" t="str">
        <f aca="false">IF($D84="","",IFERROR(INDEX(품목마스터!$D$3:$D$202,MATCH($D84,품목마스터!$A$3:$A$202,0)),""))</f>
        <v/>
      </c>
      <c r="G84" s="9"/>
      <c r="H84" s="9"/>
      <c r="I84" s="13" t="str">
        <f aca="false">IF(OR($G84="",$H84=""),"",ROUND($G84*$H84,0))</f>
        <v/>
      </c>
      <c r="J84" s="7"/>
    </row>
    <row r="85" customFormat="false" ht="15" hidden="false" customHeight="true" outlineLevel="0" collapsed="false">
      <c r="A85" s="11"/>
      <c r="B85" s="7"/>
      <c r="C85" s="12" t="str">
        <f aca="false">IF($B85="","",IFERROR(INDEX(거래처마스터!$B$3:$B$102,MATCH($B85,거래처마스터!$A$3:$A$102,0)),"미등록"))</f>
        <v/>
      </c>
      <c r="D85" s="7"/>
      <c r="E85" s="12" t="str">
        <f aca="false">IF($D85="","",IFERROR(INDEX(품목마스터!$B$3:$B$202,MATCH($D85,품목마스터!$A$3:$A$202,0)),"미등록품번"))</f>
        <v/>
      </c>
      <c r="F85" s="12" t="str">
        <f aca="false">IF($D85="","",IFERROR(INDEX(품목마스터!$D$3:$D$202,MATCH($D85,품목마스터!$A$3:$A$202,0)),""))</f>
        <v/>
      </c>
      <c r="G85" s="9"/>
      <c r="H85" s="9"/>
      <c r="I85" s="13" t="str">
        <f aca="false">IF(OR($G85="",$H85=""),"",ROUND($G85*$H85,0))</f>
        <v/>
      </c>
      <c r="J85" s="7"/>
    </row>
    <row r="86" customFormat="false" ht="15" hidden="false" customHeight="true" outlineLevel="0" collapsed="false">
      <c r="A86" s="11"/>
      <c r="B86" s="7"/>
      <c r="C86" s="12" t="str">
        <f aca="false">IF($B86="","",IFERROR(INDEX(거래처마스터!$B$3:$B$102,MATCH($B86,거래처마스터!$A$3:$A$102,0)),"미등록"))</f>
        <v/>
      </c>
      <c r="D86" s="7"/>
      <c r="E86" s="12" t="str">
        <f aca="false">IF($D86="","",IFERROR(INDEX(품목마스터!$B$3:$B$202,MATCH($D86,품목마스터!$A$3:$A$202,0)),"미등록품번"))</f>
        <v/>
      </c>
      <c r="F86" s="12" t="str">
        <f aca="false">IF($D86="","",IFERROR(INDEX(품목마스터!$D$3:$D$202,MATCH($D86,품목마스터!$A$3:$A$202,0)),""))</f>
        <v/>
      </c>
      <c r="G86" s="9"/>
      <c r="H86" s="9"/>
      <c r="I86" s="13" t="str">
        <f aca="false">IF(OR($G86="",$H86=""),"",ROUND($G86*$H86,0))</f>
        <v/>
      </c>
      <c r="J86" s="7"/>
    </row>
    <row r="87" customFormat="false" ht="15" hidden="false" customHeight="true" outlineLevel="0" collapsed="false">
      <c r="A87" s="11"/>
      <c r="B87" s="7"/>
      <c r="C87" s="12" t="str">
        <f aca="false">IF($B87="","",IFERROR(INDEX(거래처마스터!$B$3:$B$102,MATCH($B87,거래처마스터!$A$3:$A$102,0)),"미등록"))</f>
        <v/>
      </c>
      <c r="D87" s="7"/>
      <c r="E87" s="12" t="str">
        <f aca="false">IF($D87="","",IFERROR(INDEX(품목마스터!$B$3:$B$202,MATCH($D87,품목마스터!$A$3:$A$202,0)),"미등록품번"))</f>
        <v/>
      </c>
      <c r="F87" s="12" t="str">
        <f aca="false">IF($D87="","",IFERROR(INDEX(품목마스터!$D$3:$D$202,MATCH($D87,품목마스터!$A$3:$A$202,0)),""))</f>
        <v/>
      </c>
      <c r="G87" s="9"/>
      <c r="H87" s="9"/>
      <c r="I87" s="13" t="str">
        <f aca="false">IF(OR($G87="",$H87=""),"",ROUND($G87*$H87,0))</f>
        <v/>
      </c>
      <c r="J87" s="7"/>
    </row>
    <row r="88" customFormat="false" ht="15" hidden="false" customHeight="true" outlineLevel="0" collapsed="false">
      <c r="A88" s="11"/>
      <c r="B88" s="7"/>
      <c r="C88" s="12" t="str">
        <f aca="false">IF($B88="","",IFERROR(INDEX(거래처마스터!$B$3:$B$102,MATCH($B88,거래처마스터!$A$3:$A$102,0)),"미등록"))</f>
        <v/>
      </c>
      <c r="D88" s="7"/>
      <c r="E88" s="12" t="str">
        <f aca="false">IF($D88="","",IFERROR(INDEX(품목마스터!$B$3:$B$202,MATCH($D88,품목마스터!$A$3:$A$202,0)),"미등록품번"))</f>
        <v/>
      </c>
      <c r="F88" s="12" t="str">
        <f aca="false">IF($D88="","",IFERROR(INDEX(품목마스터!$D$3:$D$202,MATCH($D88,품목마스터!$A$3:$A$202,0)),""))</f>
        <v/>
      </c>
      <c r="G88" s="9"/>
      <c r="H88" s="9"/>
      <c r="I88" s="13" t="str">
        <f aca="false">IF(OR($G88="",$H88=""),"",ROUND($G88*$H88,0))</f>
        <v/>
      </c>
      <c r="J88" s="7"/>
    </row>
    <row r="89" customFormat="false" ht="15" hidden="false" customHeight="true" outlineLevel="0" collapsed="false">
      <c r="A89" s="11"/>
      <c r="B89" s="7"/>
      <c r="C89" s="12" t="str">
        <f aca="false">IF($B89="","",IFERROR(INDEX(거래처마스터!$B$3:$B$102,MATCH($B89,거래처마스터!$A$3:$A$102,0)),"미등록"))</f>
        <v/>
      </c>
      <c r="D89" s="7"/>
      <c r="E89" s="12" t="str">
        <f aca="false">IF($D89="","",IFERROR(INDEX(품목마스터!$B$3:$B$202,MATCH($D89,품목마스터!$A$3:$A$202,0)),"미등록품번"))</f>
        <v/>
      </c>
      <c r="F89" s="12" t="str">
        <f aca="false">IF($D89="","",IFERROR(INDEX(품목마스터!$D$3:$D$202,MATCH($D89,품목마스터!$A$3:$A$202,0)),""))</f>
        <v/>
      </c>
      <c r="G89" s="9"/>
      <c r="H89" s="9"/>
      <c r="I89" s="13" t="str">
        <f aca="false">IF(OR($G89="",$H89=""),"",ROUND($G89*$H89,0))</f>
        <v/>
      </c>
      <c r="J89" s="7"/>
    </row>
    <row r="90" customFormat="false" ht="15" hidden="false" customHeight="true" outlineLevel="0" collapsed="false">
      <c r="A90" s="11"/>
      <c r="B90" s="7"/>
      <c r="C90" s="12" t="str">
        <f aca="false">IF($B90="","",IFERROR(INDEX(거래처마스터!$B$3:$B$102,MATCH($B90,거래처마스터!$A$3:$A$102,0)),"미등록"))</f>
        <v/>
      </c>
      <c r="D90" s="7"/>
      <c r="E90" s="12" t="str">
        <f aca="false">IF($D90="","",IFERROR(INDEX(품목마스터!$B$3:$B$202,MATCH($D90,품목마스터!$A$3:$A$202,0)),"미등록품번"))</f>
        <v/>
      </c>
      <c r="F90" s="12" t="str">
        <f aca="false">IF($D90="","",IFERROR(INDEX(품목마스터!$D$3:$D$202,MATCH($D90,품목마스터!$A$3:$A$202,0)),""))</f>
        <v/>
      </c>
      <c r="G90" s="9"/>
      <c r="H90" s="9"/>
      <c r="I90" s="13" t="str">
        <f aca="false">IF(OR($G90="",$H90=""),"",ROUND($G90*$H90,0))</f>
        <v/>
      </c>
      <c r="J90" s="7"/>
    </row>
    <row r="91" customFormat="false" ht="15" hidden="false" customHeight="true" outlineLevel="0" collapsed="false">
      <c r="A91" s="11"/>
      <c r="B91" s="7"/>
      <c r="C91" s="12" t="str">
        <f aca="false">IF($B91="","",IFERROR(INDEX(거래처마스터!$B$3:$B$102,MATCH($B91,거래처마스터!$A$3:$A$102,0)),"미등록"))</f>
        <v/>
      </c>
      <c r="D91" s="7"/>
      <c r="E91" s="12" t="str">
        <f aca="false">IF($D91="","",IFERROR(INDEX(품목마스터!$B$3:$B$202,MATCH($D91,품목마스터!$A$3:$A$202,0)),"미등록품번"))</f>
        <v/>
      </c>
      <c r="F91" s="12" t="str">
        <f aca="false">IF($D91="","",IFERROR(INDEX(품목마스터!$D$3:$D$202,MATCH($D91,품목마스터!$A$3:$A$202,0)),""))</f>
        <v/>
      </c>
      <c r="G91" s="9"/>
      <c r="H91" s="9"/>
      <c r="I91" s="13" t="str">
        <f aca="false">IF(OR($G91="",$H91=""),"",ROUND($G91*$H91,0))</f>
        <v/>
      </c>
      <c r="J91" s="7"/>
    </row>
    <row r="92" customFormat="false" ht="15" hidden="false" customHeight="true" outlineLevel="0" collapsed="false">
      <c r="A92" s="11"/>
      <c r="B92" s="7"/>
      <c r="C92" s="12" t="str">
        <f aca="false">IF($B92="","",IFERROR(INDEX(거래처마스터!$B$3:$B$102,MATCH($B92,거래처마스터!$A$3:$A$102,0)),"미등록"))</f>
        <v/>
      </c>
      <c r="D92" s="7"/>
      <c r="E92" s="12" t="str">
        <f aca="false">IF($D92="","",IFERROR(INDEX(품목마스터!$B$3:$B$202,MATCH($D92,품목마스터!$A$3:$A$202,0)),"미등록품번"))</f>
        <v/>
      </c>
      <c r="F92" s="12" t="str">
        <f aca="false">IF($D92="","",IFERROR(INDEX(품목마스터!$D$3:$D$202,MATCH($D92,품목마스터!$A$3:$A$202,0)),""))</f>
        <v/>
      </c>
      <c r="G92" s="9"/>
      <c r="H92" s="9"/>
      <c r="I92" s="13" t="str">
        <f aca="false">IF(OR($G92="",$H92=""),"",ROUND($G92*$H92,0))</f>
        <v/>
      </c>
      <c r="J92" s="7"/>
    </row>
    <row r="93" customFormat="false" ht="15" hidden="false" customHeight="true" outlineLevel="0" collapsed="false">
      <c r="A93" s="11"/>
      <c r="B93" s="7"/>
      <c r="C93" s="12" t="str">
        <f aca="false">IF($B93="","",IFERROR(INDEX(거래처마스터!$B$3:$B$102,MATCH($B93,거래처마스터!$A$3:$A$102,0)),"미등록"))</f>
        <v/>
      </c>
      <c r="D93" s="7"/>
      <c r="E93" s="12" t="str">
        <f aca="false">IF($D93="","",IFERROR(INDEX(품목마스터!$B$3:$B$202,MATCH($D93,품목마스터!$A$3:$A$202,0)),"미등록품번"))</f>
        <v/>
      </c>
      <c r="F93" s="12" t="str">
        <f aca="false">IF($D93="","",IFERROR(INDEX(품목마스터!$D$3:$D$202,MATCH($D93,품목마스터!$A$3:$A$202,0)),""))</f>
        <v/>
      </c>
      <c r="G93" s="9"/>
      <c r="H93" s="9"/>
      <c r="I93" s="13" t="str">
        <f aca="false">IF(OR($G93="",$H93=""),"",ROUND($G93*$H93,0))</f>
        <v/>
      </c>
      <c r="J93" s="7"/>
    </row>
    <row r="94" customFormat="false" ht="15" hidden="false" customHeight="true" outlineLevel="0" collapsed="false">
      <c r="A94" s="11"/>
      <c r="B94" s="7"/>
      <c r="C94" s="12" t="str">
        <f aca="false">IF($B94="","",IFERROR(INDEX(거래처마스터!$B$3:$B$102,MATCH($B94,거래처마스터!$A$3:$A$102,0)),"미등록"))</f>
        <v/>
      </c>
      <c r="D94" s="7"/>
      <c r="E94" s="12" t="str">
        <f aca="false">IF($D94="","",IFERROR(INDEX(품목마스터!$B$3:$B$202,MATCH($D94,품목마스터!$A$3:$A$202,0)),"미등록품번"))</f>
        <v/>
      </c>
      <c r="F94" s="12" t="str">
        <f aca="false">IF($D94="","",IFERROR(INDEX(품목마스터!$D$3:$D$202,MATCH($D94,품목마스터!$A$3:$A$202,0)),""))</f>
        <v/>
      </c>
      <c r="G94" s="9"/>
      <c r="H94" s="9"/>
      <c r="I94" s="13" t="str">
        <f aca="false">IF(OR($G94="",$H94=""),"",ROUND($G94*$H94,0))</f>
        <v/>
      </c>
      <c r="J94" s="7"/>
    </row>
    <row r="95" customFormat="false" ht="15" hidden="false" customHeight="true" outlineLevel="0" collapsed="false">
      <c r="A95" s="11"/>
      <c r="B95" s="7"/>
      <c r="C95" s="12" t="str">
        <f aca="false">IF($B95="","",IFERROR(INDEX(거래처마스터!$B$3:$B$102,MATCH($B95,거래처마스터!$A$3:$A$102,0)),"미등록"))</f>
        <v/>
      </c>
      <c r="D95" s="7"/>
      <c r="E95" s="12" t="str">
        <f aca="false">IF($D95="","",IFERROR(INDEX(품목마스터!$B$3:$B$202,MATCH($D95,품목마스터!$A$3:$A$202,0)),"미등록품번"))</f>
        <v/>
      </c>
      <c r="F95" s="12" t="str">
        <f aca="false">IF($D95="","",IFERROR(INDEX(품목마스터!$D$3:$D$202,MATCH($D95,품목마스터!$A$3:$A$202,0)),""))</f>
        <v/>
      </c>
      <c r="G95" s="9"/>
      <c r="H95" s="9"/>
      <c r="I95" s="13" t="str">
        <f aca="false">IF(OR($G95="",$H95=""),"",ROUND($G95*$H95,0))</f>
        <v/>
      </c>
      <c r="J95" s="7"/>
    </row>
    <row r="96" customFormat="false" ht="15" hidden="false" customHeight="true" outlineLevel="0" collapsed="false">
      <c r="A96" s="11"/>
      <c r="B96" s="7"/>
      <c r="C96" s="12" t="str">
        <f aca="false">IF($B96="","",IFERROR(INDEX(거래처마스터!$B$3:$B$102,MATCH($B96,거래처마스터!$A$3:$A$102,0)),"미등록"))</f>
        <v/>
      </c>
      <c r="D96" s="7"/>
      <c r="E96" s="12" t="str">
        <f aca="false">IF($D96="","",IFERROR(INDEX(품목마스터!$B$3:$B$202,MATCH($D96,품목마스터!$A$3:$A$202,0)),"미등록품번"))</f>
        <v/>
      </c>
      <c r="F96" s="12" t="str">
        <f aca="false">IF($D96="","",IFERROR(INDEX(품목마스터!$D$3:$D$202,MATCH($D96,품목마스터!$A$3:$A$202,0)),""))</f>
        <v/>
      </c>
      <c r="G96" s="9"/>
      <c r="H96" s="9"/>
      <c r="I96" s="13" t="str">
        <f aca="false">IF(OR($G96="",$H96=""),"",ROUND($G96*$H96,0))</f>
        <v/>
      </c>
      <c r="J96" s="7"/>
    </row>
    <row r="97" customFormat="false" ht="15" hidden="false" customHeight="true" outlineLevel="0" collapsed="false">
      <c r="A97" s="11"/>
      <c r="B97" s="7"/>
      <c r="C97" s="12" t="str">
        <f aca="false">IF($B97="","",IFERROR(INDEX(거래처마스터!$B$3:$B$102,MATCH($B97,거래처마스터!$A$3:$A$102,0)),"미등록"))</f>
        <v/>
      </c>
      <c r="D97" s="7"/>
      <c r="E97" s="12" t="str">
        <f aca="false">IF($D97="","",IFERROR(INDEX(품목마스터!$B$3:$B$202,MATCH($D97,품목마스터!$A$3:$A$202,0)),"미등록품번"))</f>
        <v/>
      </c>
      <c r="F97" s="12" t="str">
        <f aca="false">IF($D97="","",IFERROR(INDEX(품목마스터!$D$3:$D$202,MATCH($D97,품목마스터!$A$3:$A$202,0)),""))</f>
        <v/>
      </c>
      <c r="G97" s="9"/>
      <c r="H97" s="9"/>
      <c r="I97" s="13" t="str">
        <f aca="false">IF(OR($G97="",$H97=""),"",ROUND($G97*$H97,0))</f>
        <v/>
      </c>
      <c r="J97" s="7"/>
    </row>
    <row r="98" customFormat="false" ht="15" hidden="false" customHeight="true" outlineLevel="0" collapsed="false">
      <c r="A98" s="11"/>
      <c r="B98" s="7"/>
      <c r="C98" s="12" t="str">
        <f aca="false">IF($B98="","",IFERROR(INDEX(거래처마스터!$B$3:$B$102,MATCH($B98,거래처마스터!$A$3:$A$102,0)),"미등록"))</f>
        <v/>
      </c>
      <c r="D98" s="7"/>
      <c r="E98" s="12" t="str">
        <f aca="false">IF($D98="","",IFERROR(INDEX(품목마스터!$B$3:$B$202,MATCH($D98,품목마스터!$A$3:$A$202,0)),"미등록품번"))</f>
        <v/>
      </c>
      <c r="F98" s="12" t="str">
        <f aca="false">IF($D98="","",IFERROR(INDEX(품목마스터!$D$3:$D$202,MATCH($D98,품목마스터!$A$3:$A$202,0)),""))</f>
        <v/>
      </c>
      <c r="G98" s="9"/>
      <c r="H98" s="9"/>
      <c r="I98" s="13" t="str">
        <f aca="false">IF(OR($G98="",$H98=""),"",ROUND($G98*$H98,0))</f>
        <v/>
      </c>
      <c r="J98" s="7"/>
    </row>
    <row r="99" customFormat="false" ht="15" hidden="false" customHeight="true" outlineLevel="0" collapsed="false">
      <c r="A99" s="11"/>
      <c r="B99" s="7"/>
      <c r="C99" s="12" t="str">
        <f aca="false">IF($B99="","",IFERROR(INDEX(거래처마스터!$B$3:$B$102,MATCH($B99,거래처마스터!$A$3:$A$102,0)),"미등록"))</f>
        <v/>
      </c>
      <c r="D99" s="7"/>
      <c r="E99" s="12" t="str">
        <f aca="false">IF($D99="","",IFERROR(INDEX(품목마스터!$B$3:$B$202,MATCH($D99,품목마스터!$A$3:$A$202,0)),"미등록품번"))</f>
        <v/>
      </c>
      <c r="F99" s="12" t="str">
        <f aca="false">IF($D99="","",IFERROR(INDEX(품목마스터!$D$3:$D$202,MATCH($D99,품목마스터!$A$3:$A$202,0)),""))</f>
        <v/>
      </c>
      <c r="G99" s="9"/>
      <c r="H99" s="9"/>
      <c r="I99" s="13" t="str">
        <f aca="false">IF(OR($G99="",$H99=""),"",ROUND($G99*$H99,0))</f>
        <v/>
      </c>
      <c r="J99" s="7"/>
    </row>
    <row r="100" customFormat="false" ht="15" hidden="false" customHeight="true" outlineLevel="0" collapsed="false">
      <c r="A100" s="11"/>
      <c r="B100" s="7"/>
      <c r="C100" s="12" t="str">
        <f aca="false">IF($B100="","",IFERROR(INDEX(거래처마스터!$B$3:$B$102,MATCH($B100,거래처마스터!$A$3:$A$102,0)),"미등록"))</f>
        <v/>
      </c>
      <c r="D100" s="7"/>
      <c r="E100" s="12" t="str">
        <f aca="false">IF($D100="","",IFERROR(INDEX(품목마스터!$B$3:$B$202,MATCH($D100,품목마스터!$A$3:$A$202,0)),"미등록품번"))</f>
        <v/>
      </c>
      <c r="F100" s="12" t="str">
        <f aca="false">IF($D100="","",IFERROR(INDEX(품목마스터!$D$3:$D$202,MATCH($D100,품목마스터!$A$3:$A$202,0)),""))</f>
        <v/>
      </c>
      <c r="G100" s="9"/>
      <c r="H100" s="9"/>
      <c r="I100" s="13" t="str">
        <f aca="false">IF(OR($G100="",$H100=""),"",ROUND($G100*$H100,0))</f>
        <v/>
      </c>
      <c r="J100" s="7"/>
    </row>
    <row r="101" customFormat="false" ht="15" hidden="false" customHeight="true" outlineLevel="0" collapsed="false">
      <c r="A101" s="11"/>
      <c r="B101" s="7"/>
      <c r="C101" s="12" t="str">
        <f aca="false">IF($B101="","",IFERROR(INDEX(거래처마스터!$B$3:$B$102,MATCH($B101,거래처마스터!$A$3:$A$102,0)),"미등록"))</f>
        <v/>
      </c>
      <c r="D101" s="7"/>
      <c r="E101" s="12" t="str">
        <f aca="false">IF($D101="","",IFERROR(INDEX(품목마스터!$B$3:$B$202,MATCH($D101,품목마스터!$A$3:$A$202,0)),"미등록품번"))</f>
        <v/>
      </c>
      <c r="F101" s="12" t="str">
        <f aca="false">IF($D101="","",IFERROR(INDEX(품목마스터!$D$3:$D$202,MATCH($D101,품목마스터!$A$3:$A$202,0)),""))</f>
        <v/>
      </c>
      <c r="G101" s="9"/>
      <c r="H101" s="9"/>
      <c r="I101" s="13" t="str">
        <f aca="false">IF(OR($G101="",$H101=""),"",ROUND($G101*$H101,0))</f>
        <v/>
      </c>
      <c r="J101" s="7"/>
    </row>
    <row r="102" customFormat="false" ht="15" hidden="false" customHeight="true" outlineLevel="0" collapsed="false">
      <c r="A102" s="11"/>
      <c r="B102" s="7"/>
      <c r="C102" s="12" t="str">
        <f aca="false">IF($B102="","",IFERROR(INDEX(거래처마스터!$B$3:$B$102,MATCH($B102,거래처마스터!$A$3:$A$102,0)),"미등록"))</f>
        <v/>
      </c>
      <c r="D102" s="7"/>
      <c r="E102" s="12" t="str">
        <f aca="false">IF($D102="","",IFERROR(INDEX(품목마스터!$B$3:$B$202,MATCH($D102,품목마스터!$A$3:$A$202,0)),"미등록품번"))</f>
        <v/>
      </c>
      <c r="F102" s="12" t="str">
        <f aca="false">IF($D102="","",IFERROR(INDEX(품목마스터!$D$3:$D$202,MATCH($D102,품목마스터!$A$3:$A$202,0)),""))</f>
        <v/>
      </c>
      <c r="G102" s="9"/>
      <c r="H102" s="9"/>
      <c r="I102" s="13" t="str">
        <f aca="false">IF(OR($G102="",$H102=""),"",ROUND($G102*$H102,0))</f>
        <v/>
      </c>
      <c r="J102" s="7"/>
    </row>
    <row r="103" customFormat="false" ht="15" hidden="false" customHeight="true" outlineLevel="0" collapsed="false">
      <c r="A103" s="11"/>
      <c r="B103" s="7"/>
      <c r="C103" s="12" t="str">
        <f aca="false">IF($B103="","",IFERROR(INDEX(거래처마스터!$B$3:$B$102,MATCH($B103,거래처마스터!$A$3:$A$102,0)),"미등록"))</f>
        <v/>
      </c>
      <c r="D103" s="7"/>
      <c r="E103" s="12" t="str">
        <f aca="false">IF($D103="","",IFERROR(INDEX(품목마스터!$B$3:$B$202,MATCH($D103,품목마스터!$A$3:$A$202,0)),"미등록품번"))</f>
        <v/>
      </c>
      <c r="F103" s="12" t="str">
        <f aca="false">IF($D103="","",IFERROR(INDEX(품목마스터!$D$3:$D$202,MATCH($D103,품목마스터!$A$3:$A$202,0)),""))</f>
        <v/>
      </c>
      <c r="G103" s="9"/>
      <c r="H103" s="9"/>
      <c r="I103" s="13" t="str">
        <f aca="false">IF(OR($G103="",$H103=""),"",ROUND($G103*$H103,0))</f>
        <v/>
      </c>
      <c r="J103" s="7"/>
    </row>
    <row r="104" customFormat="false" ht="15" hidden="false" customHeight="true" outlineLevel="0" collapsed="false">
      <c r="A104" s="11"/>
      <c r="B104" s="7"/>
      <c r="C104" s="12" t="str">
        <f aca="false">IF($B104="","",IFERROR(INDEX(거래처마스터!$B$3:$B$102,MATCH($B104,거래처마스터!$A$3:$A$102,0)),"미등록"))</f>
        <v/>
      </c>
      <c r="D104" s="7"/>
      <c r="E104" s="12" t="str">
        <f aca="false">IF($D104="","",IFERROR(INDEX(품목마스터!$B$3:$B$202,MATCH($D104,품목마스터!$A$3:$A$202,0)),"미등록품번"))</f>
        <v/>
      </c>
      <c r="F104" s="12" t="str">
        <f aca="false">IF($D104="","",IFERROR(INDEX(품목마스터!$D$3:$D$202,MATCH($D104,품목마스터!$A$3:$A$202,0)),""))</f>
        <v/>
      </c>
      <c r="G104" s="9"/>
      <c r="H104" s="9"/>
      <c r="I104" s="13" t="str">
        <f aca="false">IF(OR($G104="",$H104=""),"",ROUND($G104*$H104,0))</f>
        <v/>
      </c>
      <c r="J104" s="7"/>
    </row>
    <row r="105" customFormat="false" ht="15" hidden="false" customHeight="true" outlineLevel="0" collapsed="false">
      <c r="A105" s="11"/>
      <c r="B105" s="7"/>
      <c r="C105" s="12" t="str">
        <f aca="false">IF($B105="","",IFERROR(INDEX(거래처마스터!$B$3:$B$102,MATCH($B105,거래처마스터!$A$3:$A$102,0)),"미등록"))</f>
        <v/>
      </c>
      <c r="D105" s="7"/>
      <c r="E105" s="12" t="str">
        <f aca="false">IF($D105="","",IFERROR(INDEX(품목마스터!$B$3:$B$202,MATCH($D105,품목마스터!$A$3:$A$202,0)),"미등록품번"))</f>
        <v/>
      </c>
      <c r="F105" s="12" t="str">
        <f aca="false">IF($D105="","",IFERROR(INDEX(품목마스터!$D$3:$D$202,MATCH($D105,품목마스터!$A$3:$A$202,0)),""))</f>
        <v/>
      </c>
      <c r="G105" s="9"/>
      <c r="H105" s="9"/>
      <c r="I105" s="13" t="str">
        <f aca="false">IF(OR($G105="",$H105=""),"",ROUND($G105*$H105,0))</f>
        <v/>
      </c>
      <c r="J105" s="7"/>
    </row>
    <row r="106" customFormat="false" ht="15" hidden="false" customHeight="true" outlineLevel="0" collapsed="false">
      <c r="A106" s="11"/>
      <c r="B106" s="7"/>
      <c r="C106" s="12" t="str">
        <f aca="false">IF($B106="","",IFERROR(INDEX(거래처마스터!$B$3:$B$102,MATCH($B106,거래처마스터!$A$3:$A$102,0)),"미등록"))</f>
        <v/>
      </c>
      <c r="D106" s="7"/>
      <c r="E106" s="12" t="str">
        <f aca="false">IF($D106="","",IFERROR(INDEX(품목마스터!$B$3:$B$202,MATCH($D106,품목마스터!$A$3:$A$202,0)),"미등록품번"))</f>
        <v/>
      </c>
      <c r="F106" s="12" t="str">
        <f aca="false">IF($D106="","",IFERROR(INDEX(품목마스터!$D$3:$D$202,MATCH($D106,품목마스터!$A$3:$A$202,0)),""))</f>
        <v/>
      </c>
      <c r="G106" s="9"/>
      <c r="H106" s="9"/>
      <c r="I106" s="13" t="str">
        <f aca="false">IF(OR($G106="",$H106=""),"",ROUND($G106*$H106,0))</f>
        <v/>
      </c>
      <c r="J106" s="7"/>
    </row>
    <row r="107" customFormat="false" ht="15" hidden="false" customHeight="true" outlineLevel="0" collapsed="false">
      <c r="A107" s="11"/>
      <c r="B107" s="7"/>
      <c r="C107" s="12" t="str">
        <f aca="false">IF($B107="","",IFERROR(INDEX(거래처마스터!$B$3:$B$102,MATCH($B107,거래처마스터!$A$3:$A$102,0)),"미등록"))</f>
        <v/>
      </c>
      <c r="D107" s="7"/>
      <c r="E107" s="12" t="str">
        <f aca="false">IF($D107="","",IFERROR(INDEX(품목마스터!$B$3:$B$202,MATCH($D107,품목마스터!$A$3:$A$202,0)),"미등록품번"))</f>
        <v/>
      </c>
      <c r="F107" s="12" t="str">
        <f aca="false">IF($D107="","",IFERROR(INDEX(품목마스터!$D$3:$D$202,MATCH($D107,품목마스터!$A$3:$A$202,0)),""))</f>
        <v/>
      </c>
      <c r="G107" s="9"/>
      <c r="H107" s="9"/>
      <c r="I107" s="13" t="str">
        <f aca="false">IF(OR($G107="",$H107=""),"",ROUND($G107*$H107,0))</f>
        <v/>
      </c>
      <c r="J107" s="7"/>
    </row>
    <row r="108" customFormat="false" ht="15" hidden="false" customHeight="true" outlineLevel="0" collapsed="false">
      <c r="A108" s="11"/>
      <c r="B108" s="7"/>
      <c r="C108" s="12" t="str">
        <f aca="false">IF($B108="","",IFERROR(INDEX(거래처마스터!$B$3:$B$102,MATCH($B108,거래처마스터!$A$3:$A$102,0)),"미등록"))</f>
        <v/>
      </c>
      <c r="D108" s="7"/>
      <c r="E108" s="12" t="str">
        <f aca="false">IF($D108="","",IFERROR(INDEX(품목마스터!$B$3:$B$202,MATCH($D108,품목마스터!$A$3:$A$202,0)),"미등록품번"))</f>
        <v/>
      </c>
      <c r="F108" s="12" t="str">
        <f aca="false">IF($D108="","",IFERROR(INDEX(품목마스터!$D$3:$D$202,MATCH($D108,품목마스터!$A$3:$A$202,0)),""))</f>
        <v/>
      </c>
      <c r="G108" s="9"/>
      <c r="H108" s="9"/>
      <c r="I108" s="13" t="str">
        <f aca="false">IF(OR($G108="",$H108=""),"",ROUND($G108*$H108,0))</f>
        <v/>
      </c>
      <c r="J108" s="7"/>
    </row>
    <row r="109" customFormat="false" ht="15" hidden="false" customHeight="true" outlineLevel="0" collapsed="false">
      <c r="A109" s="11"/>
      <c r="B109" s="7"/>
      <c r="C109" s="12" t="str">
        <f aca="false">IF($B109="","",IFERROR(INDEX(거래처마스터!$B$3:$B$102,MATCH($B109,거래처마스터!$A$3:$A$102,0)),"미등록"))</f>
        <v/>
      </c>
      <c r="D109" s="7"/>
      <c r="E109" s="12" t="str">
        <f aca="false">IF($D109="","",IFERROR(INDEX(품목마스터!$B$3:$B$202,MATCH($D109,품목마스터!$A$3:$A$202,0)),"미등록품번"))</f>
        <v/>
      </c>
      <c r="F109" s="12" t="str">
        <f aca="false">IF($D109="","",IFERROR(INDEX(품목마스터!$D$3:$D$202,MATCH($D109,품목마스터!$A$3:$A$202,0)),""))</f>
        <v/>
      </c>
      <c r="G109" s="9"/>
      <c r="H109" s="9"/>
      <c r="I109" s="13" t="str">
        <f aca="false">IF(OR($G109="",$H109=""),"",ROUND($G109*$H109,0))</f>
        <v/>
      </c>
      <c r="J109" s="7"/>
    </row>
    <row r="110" customFormat="false" ht="15" hidden="false" customHeight="true" outlineLevel="0" collapsed="false">
      <c r="A110" s="11"/>
      <c r="B110" s="7"/>
      <c r="C110" s="12" t="str">
        <f aca="false">IF($B110="","",IFERROR(INDEX(거래처마스터!$B$3:$B$102,MATCH($B110,거래처마스터!$A$3:$A$102,0)),"미등록"))</f>
        <v/>
      </c>
      <c r="D110" s="7"/>
      <c r="E110" s="12" t="str">
        <f aca="false">IF($D110="","",IFERROR(INDEX(품목마스터!$B$3:$B$202,MATCH($D110,품목마스터!$A$3:$A$202,0)),"미등록품번"))</f>
        <v/>
      </c>
      <c r="F110" s="12" t="str">
        <f aca="false">IF($D110="","",IFERROR(INDEX(품목마스터!$D$3:$D$202,MATCH($D110,품목마스터!$A$3:$A$202,0)),""))</f>
        <v/>
      </c>
      <c r="G110" s="9"/>
      <c r="H110" s="9"/>
      <c r="I110" s="13" t="str">
        <f aca="false">IF(OR($G110="",$H110=""),"",ROUND($G110*$H110,0))</f>
        <v/>
      </c>
      <c r="J110" s="7"/>
    </row>
    <row r="111" customFormat="false" ht="15" hidden="false" customHeight="true" outlineLevel="0" collapsed="false">
      <c r="A111" s="11"/>
      <c r="B111" s="7"/>
      <c r="C111" s="12" t="str">
        <f aca="false">IF($B111="","",IFERROR(INDEX(거래처마스터!$B$3:$B$102,MATCH($B111,거래처마스터!$A$3:$A$102,0)),"미등록"))</f>
        <v/>
      </c>
      <c r="D111" s="7"/>
      <c r="E111" s="12" t="str">
        <f aca="false">IF($D111="","",IFERROR(INDEX(품목마스터!$B$3:$B$202,MATCH($D111,품목마스터!$A$3:$A$202,0)),"미등록품번"))</f>
        <v/>
      </c>
      <c r="F111" s="12" t="str">
        <f aca="false">IF($D111="","",IFERROR(INDEX(품목마스터!$D$3:$D$202,MATCH($D111,품목마스터!$A$3:$A$202,0)),""))</f>
        <v/>
      </c>
      <c r="G111" s="9"/>
      <c r="H111" s="9"/>
      <c r="I111" s="13" t="str">
        <f aca="false">IF(OR($G111="",$H111=""),"",ROUND($G111*$H111,0))</f>
        <v/>
      </c>
      <c r="J111" s="7"/>
    </row>
    <row r="112" customFormat="false" ht="15" hidden="false" customHeight="true" outlineLevel="0" collapsed="false">
      <c r="A112" s="11"/>
      <c r="B112" s="7"/>
      <c r="C112" s="12" t="str">
        <f aca="false">IF($B112="","",IFERROR(INDEX(거래처마스터!$B$3:$B$102,MATCH($B112,거래처마스터!$A$3:$A$102,0)),"미등록"))</f>
        <v/>
      </c>
      <c r="D112" s="7"/>
      <c r="E112" s="12" t="str">
        <f aca="false">IF($D112="","",IFERROR(INDEX(품목마스터!$B$3:$B$202,MATCH($D112,품목마스터!$A$3:$A$202,0)),"미등록품번"))</f>
        <v/>
      </c>
      <c r="F112" s="12" t="str">
        <f aca="false">IF($D112="","",IFERROR(INDEX(품목마스터!$D$3:$D$202,MATCH($D112,품목마스터!$A$3:$A$202,0)),""))</f>
        <v/>
      </c>
      <c r="G112" s="9"/>
      <c r="H112" s="9"/>
      <c r="I112" s="13" t="str">
        <f aca="false">IF(OR($G112="",$H112=""),"",ROUND($G112*$H112,0))</f>
        <v/>
      </c>
      <c r="J112" s="7"/>
    </row>
    <row r="113" customFormat="false" ht="15" hidden="false" customHeight="true" outlineLevel="0" collapsed="false">
      <c r="A113" s="11"/>
      <c r="B113" s="7"/>
      <c r="C113" s="12" t="str">
        <f aca="false">IF($B113="","",IFERROR(INDEX(거래처마스터!$B$3:$B$102,MATCH($B113,거래처마스터!$A$3:$A$102,0)),"미등록"))</f>
        <v/>
      </c>
      <c r="D113" s="7"/>
      <c r="E113" s="12" t="str">
        <f aca="false">IF($D113="","",IFERROR(INDEX(품목마스터!$B$3:$B$202,MATCH($D113,품목마스터!$A$3:$A$202,0)),"미등록품번"))</f>
        <v/>
      </c>
      <c r="F113" s="12" t="str">
        <f aca="false">IF($D113="","",IFERROR(INDEX(품목마스터!$D$3:$D$202,MATCH($D113,품목마스터!$A$3:$A$202,0)),""))</f>
        <v/>
      </c>
      <c r="G113" s="9"/>
      <c r="H113" s="9"/>
      <c r="I113" s="13" t="str">
        <f aca="false">IF(OR($G113="",$H113=""),"",ROUND($G113*$H113,0))</f>
        <v/>
      </c>
      <c r="J113" s="7"/>
    </row>
    <row r="114" customFormat="false" ht="15" hidden="false" customHeight="true" outlineLevel="0" collapsed="false">
      <c r="A114" s="11"/>
      <c r="B114" s="7"/>
      <c r="C114" s="12" t="str">
        <f aca="false">IF($B114="","",IFERROR(INDEX(거래처마스터!$B$3:$B$102,MATCH($B114,거래처마스터!$A$3:$A$102,0)),"미등록"))</f>
        <v/>
      </c>
      <c r="D114" s="7"/>
      <c r="E114" s="12" t="str">
        <f aca="false">IF($D114="","",IFERROR(INDEX(품목마스터!$B$3:$B$202,MATCH($D114,품목마스터!$A$3:$A$202,0)),"미등록품번"))</f>
        <v/>
      </c>
      <c r="F114" s="12" t="str">
        <f aca="false">IF($D114="","",IFERROR(INDEX(품목마스터!$D$3:$D$202,MATCH($D114,품목마스터!$A$3:$A$202,0)),""))</f>
        <v/>
      </c>
      <c r="G114" s="9"/>
      <c r="H114" s="9"/>
      <c r="I114" s="13" t="str">
        <f aca="false">IF(OR($G114="",$H114=""),"",ROUND($G114*$H114,0))</f>
        <v/>
      </c>
      <c r="J114" s="7"/>
    </row>
    <row r="115" customFormat="false" ht="15" hidden="false" customHeight="true" outlineLevel="0" collapsed="false">
      <c r="A115" s="11"/>
      <c r="B115" s="7"/>
      <c r="C115" s="12" t="str">
        <f aca="false">IF($B115="","",IFERROR(INDEX(거래처마스터!$B$3:$B$102,MATCH($B115,거래처마스터!$A$3:$A$102,0)),"미등록"))</f>
        <v/>
      </c>
      <c r="D115" s="7"/>
      <c r="E115" s="12" t="str">
        <f aca="false">IF($D115="","",IFERROR(INDEX(품목마스터!$B$3:$B$202,MATCH($D115,품목마스터!$A$3:$A$202,0)),"미등록품번"))</f>
        <v/>
      </c>
      <c r="F115" s="12" t="str">
        <f aca="false">IF($D115="","",IFERROR(INDEX(품목마스터!$D$3:$D$202,MATCH($D115,품목마스터!$A$3:$A$202,0)),""))</f>
        <v/>
      </c>
      <c r="G115" s="9"/>
      <c r="H115" s="9"/>
      <c r="I115" s="13" t="str">
        <f aca="false">IF(OR($G115="",$H115=""),"",ROUND($G115*$H115,0))</f>
        <v/>
      </c>
      <c r="J115" s="7"/>
    </row>
    <row r="116" customFormat="false" ht="15" hidden="false" customHeight="true" outlineLevel="0" collapsed="false">
      <c r="A116" s="11"/>
      <c r="B116" s="7"/>
      <c r="C116" s="12" t="str">
        <f aca="false">IF($B116="","",IFERROR(INDEX(거래처마스터!$B$3:$B$102,MATCH($B116,거래처마스터!$A$3:$A$102,0)),"미등록"))</f>
        <v/>
      </c>
      <c r="D116" s="7"/>
      <c r="E116" s="12" t="str">
        <f aca="false">IF($D116="","",IFERROR(INDEX(품목마스터!$B$3:$B$202,MATCH($D116,품목마스터!$A$3:$A$202,0)),"미등록품번"))</f>
        <v/>
      </c>
      <c r="F116" s="12" t="str">
        <f aca="false">IF($D116="","",IFERROR(INDEX(품목마스터!$D$3:$D$202,MATCH($D116,품목마스터!$A$3:$A$202,0)),""))</f>
        <v/>
      </c>
      <c r="G116" s="9"/>
      <c r="H116" s="9"/>
      <c r="I116" s="13" t="str">
        <f aca="false">IF(OR($G116="",$H116=""),"",ROUND($G116*$H116,0))</f>
        <v/>
      </c>
      <c r="J116" s="7"/>
    </row>
    <row r="117" customFormat="false" ht="15" hidden="false" customHeight="true" outlineLevel="0" collapsed="false">
      <c r="A117" s="11"/>
      <c r="B117" s="7"/>
      <c r="C117" s="12" t="str">
        <f aca="false">IF($B117="","",IFERROR(INDEX(거래처마스터!$B$3:$B$102,MATCH($B117,거래처마스터!$A$3:$A$102,0)),"미등록"))</f>
        <v/>
      </c>
      <c r="D117" s="7"/>
      <c r="E117" s="12" t="str">
        <f aca="false">IF($D117="","",IFERROR(INDEX(품목마스터!$B$3:$B$202,MATCH($D117,품목마스터!$A$3:$A$202,0)),"미등록품번"))</f>
        <v/>
      </c>
      <c r="F117" s="12" t="str">
        <f aca="false">IF($D117="","",IFERROR(INDEX(품목마스터!$D$3:$D$202,MATCH($D117,품목마스터!$A$3:$A$202,0)),""))</f>
        <v/>
      </c>
      <c r="G117" s="9"/>
      <c r="H117" s="9"/>
      <c r="I117" s="13" t="str">
        <f aca="false">IF(OR($G117="",$H117=""),"",ROUND($G117*$H117,0))</f>
        <v/>
      </c>
      <c r="J117" s="7"/>
    </row>
    <row r="118" customFormat="false" ht="15" hidden="false" customHeight="true" outlineLevel="0" collapsed="false">
      <c r="A118" s="11"/>
      <c r="B118" s="7"/>
      <c r="C118" s="12" t="str">
        <f aca="false">IF($B118="","",IFERROR(INDEX(거래처마스터!$B$3:$B$102,MATCH($B118,거래처마스터!$A$3:$A$102,0)),"미등록"))</f>
        <v/>
      </c>
      <c r="D118" s="7"/>
      <c r="E118" s="12" t="str">
        <f aca="false">IF($D118="","",IFERROR(INDEX(품목마스터!$B$3:$B$202,MATCH($D118,품목마스터!$A$3:$A$202,0)),"미등록품번"))</f>
        <v/>
      </c>
      <c r="F118" s="12" t="str">
        <f aca="false">IF($D118="","",IFERROR(INDEX(품목마스터!$D$3:$D$202,MATCH($D118,품목마스터!$A$3:$A$202,0)),""))</f>
        <v/>
      </c>
      <c r="G118" s="9"/>
      <c r="H118" s="9"/>
      <c r="I118" s="13" t="str">
        <f aca="false">IF(OR($G118="",$H118=""),"",ROUND($G118*$H118,0))</f>
        <v/>
      </c>
      <c r="J118" s="7"/>
    </row>
    <row r="119" customFormat="false" ht="15" hidden="false" customHeight="true" outlineLevel="0" collapsed="false">
      <c r="A119" s="11"/>
      <c r="B119" s="7"/>
      <c r="C119" s="12" t="str">
        <f aca="false">IF($B119="","",IFERROR(INDEX(거래처마스터!$B$3:$B$102,MATCH($B119,거래처마스터!$A$3:$A$102,0)),"미등록"))</f>
        <v/>
      </c>
      <c r="D119" s="7"/>
      <c r="E119" s="12" t="str">
        <f aca="false">IF($D119="","",IFERROR(INDEX(품목마스터!$B$3:$B$202,MATCH($D119,품목마스터!$A$3:$A$202,0)),"미등록품번"))</f>
        <v/>
      </c>
      <c r="F119" s="12" t="str">
        <f aca="false">IF($D119="","",IFERROR(INDEX(품목마스터!$D$3:$D$202,MATCH($D119,품목마스터!$A$3:$A$202,0)),""))</f>
        <v/>
      </c>
      <c r="G119" s="9"/>
      <c r="H119" s="9"/>
      <c r="I119" s="13" t="str">
        <f aca="false">IF(OR($G119="",$H119=""),"",ROUND($G119*$H119,0))</f>
        <v/>
      </c>
      <c r="J119" s="7"/>
    </row>
    <row r="120" customFormat="false" ht="15" hidden="false" customHeight="true" outlineLevel="0" collapsed="false">
      <c r="A120" s="11"/>
      <c r="B120" s="7"/>
      <c r="C120" s="12" t="str">
        <f aca="false">IF($B120="","",IFERROR(INDEX(거래처마스터!$B$3:$B$102,MATCH($B120,거래처마스터!$A$3:$A$102,0)),"미등록"))</f>
        <v/>
      </c>
      <c r="D120" s="7"/>
      <c r="E120" s="12" t="str">
        <f aca="false">IF($D120="","",IFERROR(INDEX(품목마스터!$B$3:$B$202,MATCH($D120,품목마스터!$A$3:$A$202,0)),"미등록품번"))</f>
        <v/>
      </c>
      <c r="F120" s="12" t="str">
        <f aca="false">IF($D120="","",IFERROR(INDEX(품목마스터!$D$3:$D$202,MATCH($D120,품목마스터!$A$3:$A$202,0)),""))</f>
        <v/>
      </c>
      <c r="G120" s="9"/>
      <c r="H120" s="9"/>
      <c r="I120" s="13" t="str">
        <f aca="false">IF(OR($G120="",$H120=""),"",ROUND($G120*$H120,0))</f>
        <v/>
      </c>
      <c r="J120" s="7"/>
    </row>
    <row r="121" customFormat="false" ht="15" hidden="false" customHeight="true" outlineLevel="0" collapsed="false">
      <c r="A121" s="11"/>
      <c r="B121" s="7"/>
      <c r="C121" s="12" t="str">
        <f aca="false">IF($B121="","",IFERROR(INDEX(거래처마스터!$B$3:$B$102,MATCH($B121,거래처마스터!$A$3:$A$102,0)),"미등록"))</f>
        <v/>
      </c>
      <c r="D121" s="7"/>
      <c r="E121" s="12" t="str">
        <f aca="false">IF($D121="","",IFERROR(INDEX(품목마스터!$B$3:$B$202,MATCH($D121,품목마스터!$A$3:$A$202,0)),"미등록품번"))</f>
        <v/>
      </c>
      <c r="F121" s="12" t="str">
        <f aca="false">IF($D121="","",IFERROR(INDEX(품목마스터!$D$3:$D$202,MATCH($D121,품목마스터!$A$3:$A$202,0)),""))</f>
        <v/>
      </c>
      <c r="G121" s="9"/>
      <c r="H121" s="9"/>
      <c r="I121" s="13" t="str">
        <f aca="false">IF(OR($G121="",$H121=""),"",ROUND($G121*$H121,0))</f>
        <v/>
      </c>
      <c r="J121" s="7"/>
    </row>
    <row r="122" customFormat="false" ht="15" hidden="false" customHeight="true" outlineLevel="0" collapsed="false">
      <c r="A122" s="11"/>
      <c r="B122" s="7"/>
      <c r="C122" s="12" t="str">
        <f aca="false">IF($B122="","",IFERROR(INDEX(거래처마스터!$B$3:$B$102,MATCH($B122,거래처마스터!$A$3:$A$102,0)),"미등록"))</f>
        <v/>
      </c>
      <c r="D122" s="7"/>
      <c r="E122" s="12" t="str">
        <f aca="false">IF($D122="","",IFERROR(INDEX(품목마스터!$B$3:$B$202,MATCH($D122,품목마스터!$A$3:$A$202,0)),"미등록품번"))</f>
        <v/>
      </c>
      <c r="F122" s="12" t="str">
        <f aca="false">IF($D122="","",IFERROR(INDEX(품목마스터!$D$3:$D$202,MATCH($D122,품목마스터!$A$3:$A$202,0)),""))</f>
        <v/>
      </c>
      <c r="G122" s="9"/>
      <c r="H122" s="9"/>
      <c r="I122" s="13" t="str">
        <f aca="false">IF(OR($G122="",$H122=""),"",ROUND($G122*$H122,0))</f>
        <v/>
      </c>
      <c r="J122" s="7"/>
    </row>
    <row r="123" customFormat="false" ht="15" hidden="false" customHeight="true" outlineLevel="0" collapsed="false">
      <c r="A123" s="11"/>
      <c r="B123" s="7"/>
      <c r="C123" s="12" t="str">
        <f aca="false">IF($B123="","",IFERROR(INDEX(거래처마스터!$B$3:$B$102,MATCH($B123,거래처마스터!$A$3:$A$102,0)),"미등록"))</f>
        <v/>
      </c>
      <c r="D123" s="7"/>
      <c r="E123" s="12" t="str">
        <f aca="false">IF($D123="","",IFERROR(INDEX(품목마스터!$B$3:$B$202,MATCH($D123,품목마스터!$A$3:$A$202,0)),"미등록품번"))</f>
        <v/>
      </c>
      <c r="F123" s="12" t="str">
        <f aca="false">IF($D123="","",IFERROR(INDEX(품목마스터!$D$3:$D$202,MATCH($D123,품목마스터!$A$3:$A$202,0)),""))</f>
        <v/>
      </c>
      <c r="G123" s="9"/>
      <c r="H123" s="9"/>
      <c r="I123" s="13" t="str">
        <f aca="false">IF(OR($G123="",$H123=""),"",ROUND($G123*$H123,0))</f>
        <v/>
      </c>
      <c r="J123" s="7"/>
    </row>
    <row r="124" customFormat="false" ht="15" hidden="false" customHeight="true" outlineLevel="0" collapsed="false">
      <c r="A124" s="11"/>
      <c r="B124" s="7"/>
      <c r="C124" s="12" t="str">
        <f aca="false">IF($B124="","",IFERROR(INDEX(거래처마스터!$B$3:$B$102,MATCH($B124,거래처마스터!$A$3:$A$102,0)),"미등록"))</f>
        <v/>
      </c>
      <c r="D124" s="7"/>
      <c r="E124" s="12" t="str">
        <f aca="false">IF($D124="","",IFERROR(INDEX(품목마스터!$B$3:$B$202,MATCH($D124,품목마스터!$A$3:$A$202,0)),"미등록품번"))</f>
        <v/>
      </c>
      <c r="F124" s="12" t="str">
        <f aca="false">IF($D124="","",IFERROR(INDEX(품목마스터!$D$3:$D$202,MATCH($D124,품목마스터!$A$3:$A$202,0)),""))</f>
        <v/>
      </c>
      <c r="G124" s="9"/>
      <c r="H124" s="9"/>
      <c r="I124" s="13" t="str">
        <f aca="false">IF(OR($G124="",$H124=""),"",ROUND($G124*$H124,0))</f>
        <v/>
      </c>
      <c r="J124" s="7"/>
    </row>
    <row r="125" customFormat="false" ht="15" hidden="false" customHeight="true" outlineLevel="0" collapsed="false">
      <c r="A125" s="11"/>
      <c r="B125" s="7"/>
      <c r="C125" s="12" t="str">
        <f aca="false">IF($B125="","",IFERROR(INDEX(거래처마스터!$B$3:$B$102,MATCH($B125,거래처마스터!$A$3:$A$102,0)),"미등록"))</f>
        <v/>
      </c>
      <c r="D125" s="7"/>
      <c r="E125" s="12" t="str">
        <f aca="false">IF($D125="","",IFERROR(INDEX(품목마스터!$B$3:$B$202,MATCH($D125,품목마스터!$A$3:$A$202,0)),"미등록품번"))</f>
        <v/>
      </c>
      <c r="F125" s="12" t="str">
        <f aca="false">IF($D125="","",IFERROR(INDEX(품목마스터!$D$3:$D$202,MATCH($D125,품목마스터!$A$3:$A$202,0)),""))</f>
        <v/>
      </c>
      <c r="G125" s="9"/>
      <c r="H125" s="9"/>
      <c r="I125" s="13" t="str">
        <f aca="false">IF(OR($G125="",$H125=""),"",ROUND($G125*$H125,0))</f>
        <v/>
      </c>
      <c r="J125" s="7"/>
    </row>
    <row r="126" customFormat="false" ht="15" hidden="false" customHeight="true" outlineLevel="0" collapsed="false">
      <c r="A126" s="11"/>
      <c r="B126" s="7"/>
      <c r="C126" s="12" t="str">
        <f aca="false">IF($B126="","",IFERROR(INDEX(거래처마스터!$B$3:$B$102,MATCH($B126,거래처마스터!$A$3:$A$102,0)),"미등록"))</f>
        <v/>
      </c>
      <c r="D126" s="7"/>
      <c r="E126" s="12" t="str">
        <f aca="false">IF($D126="","",IFERROR(INDEX(품목마스터!$B$3:$B$202,MATCH($D126,품목마스터!$A$3:$A$202,0)),"미등록품번"))</f>
        <v/>
      </c>
      <c r="F126" s="12" t="str">
        <f aca="false">IF($D126="","",IFERROR(INDEX(품목마스터!$D$3:$D$202,MATCH($D126,품목마스터!$A$3:$A$202,0)),""))</f>
        <v/>
      </c>
      <c r="G126" s="9"/>
      <c r="H126" s="9"/>
      <c r="I126" s="13" t="str">
        <f aca="false">IF(OR($G126="",$H126=""),"",ROUND($G126*$H126,0))</f>
        <v/>
      </c>
      <c r="J126" s="7"/>
    </row>
    <row r="127" customFormat="false" ht="15" hidden="false" customHeight="true" outlineLevel="0" collapsed="false">
      <c r="A127" s="11"/>
      <c r="B127" s="7"/>
      <c r="C127" s="12" t="str">
        <f aca="false">IF($B127="","",IFERROR(INDEX(거래처마스터!$B$3:$B$102,MATCH($B127,거래처마스터!$A$3:$A$102,0)),"미등록"))</f>
        <v/>
      </c>
      <c r="D127" s="7"/>
      <c r="E127" s="12" t="str">
        <f aca="false">IF($D127="","",IFERROR(INDEX(품목마스터!$B$3:$B$202,MATCH($D127,품목마스터!$A$3:$A$202,0)),"미등록품번"))</f>
        <v/>
      </c>
      <c r="F127" s="12" t="str">
        <f aca="false">IF($D127="","",IFERROR(INDEX(품목마스터!$D$3:$D$202,MATCH($D127,품목마스터!$A$3:$A$202,0)),""))</f>
        <v/>
      </c>
      <c r="G127" s="9"/>
      <c r="H127" s="9"/>
      <c r="I127" s="13" t="str">
        <f aca="false">IF(OR($G127="",$H127=""),"",ROUND($G127*$H127,0))</f>
        <v/>
      </c>
      <c r="J127" s="7"/>
    </row>
    <row r="128" customFormat="false" ht="15" hidden="false" customHeight="true" outlineLevel="0" collapsed="false">
      <c r="A128" s="11"/>
      <c r="B128" s="7"/>
      <c r="C128" s="12" t="str">
        <f aca="false">IF($B128="","",IFERROR(INDEX(거래처마스터!$B$3:$B$102,MATCH($B128,거래처마스터!$A$3:$A$102,0)),"미등록"))</f>
        <v/>
      </c>
      <c r="D128" s="7"/>
      <c r="E128" s="12" t="str">
        <f aca="false">IF($D128="","",IFERROR(INDEX(품목마스터!$B$3:$B$202,MATCH($D128,품목마스터!$A$3:$A$202,0)),"미등록품번"))</f>
        <v/>
      </c>
      <c r="F128" s="12" t="str">
        <f aca="false">IF($D128="","",IFERROR(INDEX(품목마스터!$D$3:$D$202,MATCH($D128,품목마스터!$A$3:$A$202,0)),""))</f>
        <v/>
      </c>
      <c r="G128" s="9"/>
      <c r="H128" s="9"/>
      <c r="I128" s="13" t="str">
        <f aca="false">IF(OR($G128="",$H128=""),"",ROUND($G128*$H128,0))</f>
        <v/>
      </c>
      <c r="J128" s="7"/>
    </row>
    <row r="129" customFormat="false" ht="15" hidden="false" customHeight="true" outlineLevel="0" collapsed="false">
      <c r="A129" s="11"/>
      <c r="B129" s="7"/>
      <c r="C129" s="12" t="str">
        <f aca="false">IF($B129="","",IFERROR(INDEX(거래처마스터!$B$3:$B$102,MATCH($B129,거래처마스터!$A$3:$A$102,0)),"미등록"))</f>
        <v/>
      </c>
      <c r="D129" s="7"/>
      <c r="E129" s="12" t="str">
        <f aca="false">IF($D129="","",IFERROR(INDEX(품목마스터!$B$3:$B$202,MATCH($D129,품목마스터!$A$3:$A$202,0)),"미등록품번"))</f>
        <v/>
      </c>
      <c r="F129" s="12" t="str">
        <f aca="false">IF($D129="","",IFERROR(INDEX(품목마스터!$D$3:$D$202,MATCH($D129,품목마스터!$A$3:$A$202,0)),""))</f>
        <v/>
      </c>
      <c r="G129" s="9"/>
      <c r="H129" s="9"/>
      <c r="I129" s="13" t="str">
        <f aca="false">IF(OR($G129="",$H129=""),"",ROUND($G129*$H129,0))</f>
        <v/>
      </c>
      <c r="J129" s="7"/>
    </row>
    <row r="130" customFormat="false" ht="15" hidden="false" customHeight="true" outlineLevel="0" collapsed="false">
      <c r="A130" s="11"/>
      <c r="B130" s="7"/>
      <c r="C130" s="12" t="str">
        <f aca="false">IF($B130="","",IFERROR(INDEX(거래처마스터!$B$3:$B$102,MATCH($B130,거래처마스터!$A$3:$A$102,0)),"미등록"))</f>
        <v/>
      </c>
      <c r="D130" s="7"/>
      <c r="E130" s="12" t="str">
        <f aca="false">IF($D130="","",IFERROR(INDEX(품목마스터!$B$3:$B$202,MATCH($D130,품목마스터!$A$3:$A$202,0)),"미등록품번"))</f>
        <v/>
      </c>
      <c r="F130" s="12" t="str">
        <f aca="false">IF($D130="","",IFERROR(INDEX(품목마스터!$D$3:$D$202,MATCH($D130,품목마스터!$A$3:$A$202,0)),""))</f>
        <v/>
      </c>
      <c r="G130" s="9"/>
      <c r="H130" s="9"/>
      <c r="I130" s="13" t="str">
        <f aca="false">IF(OR($G130="",$H130=""),"",ROUND($G130*$H130,0))</f>
        <v/>
      </c>
      <c r="J130" s="7"/>
    </row>
    <row r="131" customFormat="false" ht="15" hidden="false" customHeight="true" outlineLevel="0" collapsed="false">
      <c r="A131" s="11"/>
      <c r="B131" s="7"/>
      <c r="C131" s="12" t="str">
        <f aca="false">IF($B131="","",IFERROR(INDEX(거래처마스터!$B$3:$B$102,MATCH($B131,거래처마스터!$A$3:$A$102,0)),"미등록"))</f>
        <v/>
      </c>
      <c r="D131" s="7"/>
      <c r="E131" s="12" t="str">
        <f aca="false">IF($D131="","",IFERROR(INDEX(품목마스터!$B$3:$B$202,MATCH($D131,품목마스터!$A$3:$A$202,0)),"미등록품번"))</f>
        <v/>
      </c>
      <c r="F131" s="12" t="str">
        <f aca="false">IF($D131="","",IFERROR(INDEX(품목마스터!$D$3:$D$202,MATCH($D131,품목마스터!$A$3:$A$202,0)),""))</f>
        <v/>
      </c>
      <c r="G131" s="9"/>
      <c r="H131" s="9"/>
      <c r="I131" s="13" t="str">
        <f aca="false">IF(OR($G131="",$H131=""),"",ROUND($G131*$H131,0))</f>
        <v/>
      </c>
      <c r="J131" s="7"/>
    </row>
    <row r="132" customFormat="false" ht="15" hidden="false" customHeight="true" outlineLevel="0" collapsed="false">
      <c r="A132" s="11"/>
      <c r="B132" s="7"/>
      <c r="C132" s="12" t="str">
        <f aca="false">IF($B132="","",IFERROR(INDEX(거래처마스터!$B$3:$B$102,MATCH($B132,거래처마스터!$A$3:$A$102,0)),"미등록"))</f>
        <v/>
      </c>
      <c r="D132" s="7"/>
      <c r="E132" s="12" t="str">
        <f aca="false">IF($D132="","",IFERROR(INDEX(품목마스터!$B$3:$B$202,MATCH($D132,품목마스터!$A$3:$A$202,0)),"미등록품번"))</f>
        <v/>
      </c>
      <c r="F132" s="12" t="str">
        <f aca="false">IF($D132="","",IFERROR(INDEX(품목마스터!$D$3:$D$202,MATCH($D132,품목마스터!$A$3:$A$202,0)),""))</f>
        <v/>
      </c>
      <c r="G132" s="9"/>
      <c r="H132" s="9"/>
      <c r="I132" s="13" t="str">
        <f aca="false">IF(OR($G132="",$H132=""),"",ROUND($G132*$H132,0))</f>
        <v/>
      </c>
      <c r="J132" s="7"/>
    </row>
    <row r="133" customFormat="false" ht="15" hidden="false" customHeight="true" outlineLevel="0" collapsed="false">
      <c r="A133" s="11"/>
      <c r="B133" s="7"/>
      <c r="C133" s="12" t="str">
        <f aca="false">IF($B133="","",IFERROR(INDEX(거래처마스터!$B$3:$B$102,MATCH($B133,거래처마스터!$A$3:$A$102,0)),"미등록"))</f>
        <v/>
      </c>
      <c r="D133" s="7"/>
      <c r="E133" s="12" t="str">
        <f aca="false">IF($D133="","",IFERROR(INDEX(품목마스터!$B$3:$B$202,MATCH($D133,품목마스터!$A$3:$A$202,0)),"미등록품번"))</f>
        <v/>
      </c>
      <c r="F133" s="12" t="str">
        <f aca="false">IF($D133="","",IFERROR(INDEX(품목마스터!$D$3:$D$202,MATCH($D133,품목마스터!$A$3:$A$202,0)),""))</f>
        <v/>
      </c>
      <c r="G133" s="9"/>
      <c r="H133" s="9"/>
      <c r="I133" s="13" t="str">
        <f aca="false">IF(OR($G133="",$H133=""),"",ROUND($G133*$H133,0))</f>
        <v/>
      </c>
      <c r="J133" s="7"/>
    </row>
    <row r="134" customFormat="false" ht="15" hidden="false" customHeight="true" outlineLevel="0" collapsed="false">
      <c r="A134" s="11"/>
      <c r="B134" s="7"/>
      <c r="C134" s="12" t="str">
        <f aca="false">IF($B134="","",IFERROR(INDEX(거래처마스터!$B$3:$B$102,MATCH($B134,거래처마스터!$A$3:$A$102,0)),"미등록"))</f>
        <v/>
      </c>
      <c r="D134" s="7"/>
      <c r="E134" s="12" t="str">
        <f aca="false">IF($D134="","",IFERROR(INDEX(품목마스터!$B$3:$B$202,MATCH($D134,품목마스터!$A$3:$A$202,0)),"미등록품번"))</f>
        <v/>
      </c>
      <c r="F134" s="12" t="str">
        <f aca="false">IF($D134="","",IFERROR(INDEX(품목마스터!$D$3:$D$202,MATCH($D134,품목마스터!$A$3:$A$202,0)),""))</f>
        <v/>
      </c>
      <c r="G134" s="9"/>
      <c r="H134" s="9"/>
      <c r="I134" s="13" t="str">
        <f aca="false">IF(OR($G134="",$H134=""),"",ROUND($G134*$H134,0))</f>
        <v/>
      </c>
      <c r="J134" s="7"/>
    </row>
    <row r="135" customFormat="false" ht="15" hidden="false" customHeight="true" outlineLevel="0" collapsed="false">
      <c r="A135" s="11"/>
      <c r="B135" s="7"/>
      <c r="C135" s="12" t="str">
        <f aca="false">IF($B135="","",IFERROR(INDEX(거래처마스터!$B$3:$B$102,MATCH($B135,거래처마스터!$A$3:$A$102,0)),"미등록"))</f>
        <v/>
      </c>
      <c r="D135" s="7"/>
      <c r="E135" s="12" t="str">
        <f aca="false">IF($D135="","",IFERROR(INDEX(품목마스터!$B$3:$B$202,MATCH($D135,품목마스터!$A$3:$A$202,0)),"미등록품번"))</f>
        <v/>
      </c>
      <c r="F135" s="12" t="str">
        <f aca="false">IF($D135="","",IFERROR(INDEX(품목마스터!$D$3:$D$202,MATCH($D135,품목마스터!$A$3:$A$202,0)),""))</f>
        <v/>
      </c>
      <c r="G135" s="9"/>
      <c r="H135" s="9"/>
      <c r="I135" s="13" t="str">
        <f aca="false">IF(OR($G135="",$H135=""),"",ROUND($G135*$H135,0))</f>
        <v/>
      </c>
      <c r="J135" s="7"/>
    </row>
    <row r="136" customFormat="false" ht="15" hidden="false" customHeight="true" outlineLevel="0" collapsed="false">
      <c r="A136" s="11"/>
      <c r="B136" s="7"/>
      <c r="C136" s="12" t="str">
        <f aca="false">IF($B136="","",IFERROR(INDEX(거래처마스터!$B$3:$B$102,MATCH($B136,거래처마스터!$A$3:$A$102,0)),"미등록"))</f>
        <v/>
      </c>
      <c r="D136" s="7"/>
      <c r="E136" s="12" t="str">
        <f aca="false">IF($D136="","",IFERROR(INDEX(품목마스터!$B$3:$B$202,MATCH($D136,품목마스터!$A$3:$A$202,0)),"미등록품번"))</f>
        <v/>
      </c>
      <c r="F136" s="12" t="str">
        <f aca="false">IF($D136="","",IFERROR(INDEX(품목마스터!$D$3:$D$202,MATCH($D136,품목마스터!$A$3:$A$202,0)),""))</f>
        <v/>
      </c>
      <c r="G136" s="9"/>
      <c r="H136" s="9"/>
      <c r="I136" s="13" t="str">
        <f aca="false">IF(OR($G136="",$H136=""),"",ROUND($G136*$H136,0))</f>
        <v/>
      </c>
      <c r="J136" s="7"/>
    </row>
    <row r="137" customFormat="false" ht="15" hidden="false" customHeight="true" outlineLevel="0" collapsed="false">
      <c r="A137" s="11"/>
      <c r="B137" s="7"/>
      <c r="C137" s="12" t="str">
        <f aca="false">IF($B137="","",IFERROR(INDEX(거래처마스터!$B$3:$B$102,MATCH($B137,거래처마스터!$A$3:$A$102,0)),"미등록"))</f>
        <v/>
      </c>
      <c r="D137" s="7"/>
      <c r="E137" s="12" t="str">
        <f aca="false">IF($D137="","",IFERROR(INDEX(품목마스터!$B$3:$B$202,MATCH($D137,품목마스터!$A$3:$A$202,0)),"미등록품번"))</f>
        <v/>
      </c>
      <c r="F137" s="12" t="str">
        <f aca="false">IF($D137="","",IFERROR(INDEX(품목마스터!$D$3:$D$202,MATCH($D137,품목마스터!$A$3:$A$202,0)),""))</f>
        <v/>
      </c>
      <c r="G137" s="9"/>
      <c r="H137" s="9"/>
      <c r="I137" s="13" t="str">
        <f aca="false">IF(OR($G137="",$H137=""),"",ROUND($G137*$H137,0))</f>
        <v/>
      </c>
      <c r="J137" s="7"/>
    </row>
    <row r="138" customFormat="false" ht="15" hidden="false" customHeight="true" outlineLevel="0" collapsed="false">
      <c r="A138" s="11"/>
      <c r="B138" s="7"/>
      <c r="C138" s="12" t="str">
        <f aca="false">IF($B138="","",IFERROR(INDEX(거래처마스터!$B$3:$B$102,MATCH($B138,거래처마스터!$A$3:$A$102,0)),"미등록"))</f>
        <v/>
      </c>
      <c r="D138" s="7"/>
      <c r="E138" s="12" t="str">
        <f aca="false">IF($D138="","",IFERROR(INDEX(품목마스터!$B$3:$B$202,MATCH($D138,품목마스터!$A$3:$A$202,0)),"미등록품번"))</f>
        <v/>
      </c>
      <c r="F138" s="12" t="str">
        <f aca="false">IF($D138="","",IFERROR(INDEX(품목마스터!$D$3:$D$202,MATCH($D138,품목마스터!$A$3:$A$202,0)),""))</f>
        <v/>
      </c>
      <c r="G138" s="9"/>
      <c r="H138" s="9"/>
      <c r="I138" s="13" t="str">
        <f aca="false">IF(OR($G138="",$H138=""),"",ROUND($G138*$H138,0))</f>
        <v/>
      </c>
      <c r="J138" s="7"/>
    </row>
    <row r="139" customFormat="false" ht="15" hidden="false" customHeight="true" outlineLevel="0" collapsed="false">
      <c r="A139" s="11"/>
      <c r="B139" s="7"/>
      <c r="C139" s="12" t="str">
        <f aca="false">IF($B139="","",IFERROR(INDEX(거래처마스터!$B$3:$B$102,MATCH($B139,거래처마스터!$A$3:$A$102,0)),"미등록"))</f>
        <v/>
      </c>
      <c r="D139" s="7"/>
      <c r="E139" s="12" t="str">
        <f aca="false">IF($D139="","",IFERROR(INDEX(품목마스터!$B$3:$B$202,MATCH($D139,품목마스터!$A$3:$A$202,0)),"미등록품번"))</f>
        <v/>
      </c>
      <c r="F139" s="12" t="str">
        <f aca="false">IF($D139="","",IFERROR(INDEX(품목마스터!$D$3:$D$202,MATCH($D139,품목마스터!$A$3:$A$202,0)),""))</f>
        <v/>
      </c>
      <c r="G139" s="9"/>
      <c r="H139" s="9"/>
      <c r="I139" s="13" t="str">
        <f aca="false">IF(OR($G139="",$H139=""),"",ROUND($G139*$H139,0))</f>
        <v/>
      </c>
      <c r="J139" s="7"/>
    </row>
    <row r="140" customFormat="false" ht="15" hidden="false" customHeight="true" outlineLevel="0" collapsed="false">
      <c r="A140" s="11"/>
      <c r="B140" s="7"/>
      <c r="C140" s="12" t="str">
        <f aca="false">IF($B140="","",IFERROR(INDEX(거래처마스터!$B$3:$B$102,MATCH($B140,거래처마스터!$A$3:$A$102,0)),"미등록"))</f>
        <v/>
      </c>
      <c r="D140" s="7"/>
      <c r="E140" s="12" t="str">
        <f aca="false">IF($D140="","",IFERROR(INDEX(품목마스터!$B$3:$B$202,MATCH($D140,품목마스터!$A$3:$A$202,0)),"미등록품번"))</f>
        <v/>
      </c>
      <c r="F140" s="12" t="str">
        <f aca="false">IF($D140="","",IFERROR(INDEX(품목마스터!$D$3:$D$202,MATCH($D140,품목마스터!$A$3:$A$202,0)),""))</f>
        <v/>
      </c>
      <c r="G140" s="9"/>
      <c r="H140" s="9"/>
      <c r="I140" s="13" t="str">
        <f aca="false">IF(OR($G140="",$H140=""),"",ROUND($G140*$H140,0))</f>
        <v/>
      </c>
      <c r="J140" s="7"/>
    </row>
    <row r="141" customFormat="false" ht="15" hidden="false" customHeight="true" outlineLevel="0" collapsed="false">
      <c r="A141" s="11"/>
      <c r="B141" s="7"/>
      <c r="C141" s="12" t="str">
        <f aca="false">IF($B141="","",IFERROR(INDEX(거래처마스터!$B$3:$B$102,MATCH($B141,거래처마스터!$A$3:$A$102,0)),"미등록"))</f>
        <v/>
      </c>
      <c r="D141" s="7"/>
      <c r="E141" s="12" t="str">
        <f aca="false">IF($D141="","",IFERROR(INDEX(품목마스터!$B$3:$B$202,MATCH($D141,품목마스터!$A$3:$A$202,0)),"미등록품번"))</f>
        <v/>
      </c>
      <c r="F141" s="12" t="str">
        <f aca="false">IF($D141="","",IFERROR(INDEX(품목마스터!$D$3:$D$202,MATCH($D141,품목마스터!$A$3:$A$202,0)),""))</f>
        <v/>
      </c>
      <c r="G141" s="9"/>
      <c r="H141" s="9"/>
      <c r="I141" s="13" t="str">
        <f aca="false">IF(OR($G141="",$H141=""),"",ROUND($G141*$H141,0))</f>
        <v/>
      </c>
      <c r="J141" s="7"/>
    </row>
    <row r="142" customFormat="false" ht="15" hidden="false" customHeight="true" outlineLevel="0" collapsed="false">
      <c r="A142" s="11"/>
      <c r="B142" s="7"/>
      <c r="C142" s="12" t="str">
        <f aca="false">IF($B142="","",IFERROR(INDEX(거래처마스터!$B$3:$B$102,MATCH($B142,거래처마스터!$A$3:$A$102,0)),"미등록"))</f>
        <v/>
      </c>
      <c r="D142" s="7"/>
      <c r="E142" s="12" t="str">
        <f aca="false">IF($D142="","",IFERROR(INDEX(품목마스터!$B$3:$B$202,MATCH($D142,품목마스터!$A$3:$A$202,0)),"미등록품번"))</f>
        <v/>
      </c>
      <c r="F142" s="12" t="str">
        <f aca="false">IF($D142="","",IFERROR(INDEX(품목마스터!$D$3:$D$202,MATCH($D142,품목마스터!$A$3:$A$202,0)),""))</f>
        <v/>
      </c>
      <c r="G142" s="9"/>
      <c r="H142" s="9"/>
      <c r="I142" s="13" t="str">
        <f aca="false">IF(OR($G142="",$H142=""),"",ROUND($G142*$H142,0))</f>
        <v/>
      </c>
      <c r="J142" s="7"/>
    </row>
    <row r="143" customFormat="false" ht="15" hidden="false" customHeight="true" outlineLevel="0" collapsed="false">
      <c r="A143" s="11"/>
      <c r="B143" s="7"/>
      <c r="C143" s="12" t="str">
        <f aca="false">IF($B143="","",IFERROR(INDEX(거래처마스터!$B$3:$B$102,MATCH($B143,거래처마스터!$A$3:$A$102,0)),"미등록"))</f>
        <v/>
      </c>
      <c r="D143" s="7"/>
      <c r="E143" s="12" t="str">
        <f aca="false">IF($D143="","",IFERROR(INDEX(품목마스터!$B$3:$B$202,MATCH($D143,품목마스터!$A$3:$A$202,0)),"미등록품번"))</f>
        <v/>
      </c>
      <c r="F143" s="12" t="str">
        <f aca="false">IF($D143="","",IFERROR(INDEX(품목마스터!$D$3:$D$202,MATCH($D143,품목마스터!$A$3:$A$202,0)),""))</f>
        <v/>
      </c>
      <c r="G143" s="9"/>
      <c r="H143" s="9"/>
      <c r="I143" s="13" t="str">
        <f aca="false">IF(OR($G143="",$H143=""),"",ROUND($G143*$H143,0))</f>
        <v/>
      </c>
      <c r="J143" s="7"/>
    </row>
    <row r="144" customFormat="false" ht="15" hidden="false" customHeight="true" outlineLevel="0" collapsed="false">
      <c r="A144" s="11"/>
      <c r="B144" s="7"/>
      <c r="C144" s="12" t="str">
        <f aca="false">IF($B144="","",IFERROR(INDEX(거래처마스터!$B$3:$B$102,MATCH($B144,거래처마스터!$A$3:$A$102,0)),"미등록"))</f>
        <v/>
      </c>
      <c r="D144" s="7"/>
      <c r="E144" s="12" t="str">
        <f aca="false">IF($D144="","",IFERROR(INDEX(품목마스터!$B$3:$B$202,MATCH($D144,품목마스터!$A$3:$A$202,0)),"미등록품번"))</f>
        <v/>
      </c>
      <c r="F144" s="12" t="str">
        <f aca="false">IF($D144="","",IFERROR(INDEX(품목마스터!$D$3:$D$202,MATCH($D144,품목마스터!$A$3:$A$202,0)),""))</f>
        <v/>
      </c>
      <c r="G144" s="9"/>
      <c r="H144" s="9"/>
      <c r="I144" s="13" t="str">
        <f aca="false">IF(OR($G144="",$H144=""),"",ROUND($G144*$H144,0))</f>
        <v/>
      </c>
      <c r="J144" s="7"/>
    </row>
    <row r="145" customFormat="false" ht="15" hidden="false" customHeight="true" outlineLevel="0" collapsed="false">
      <c r="A145" s="11"/>
      <c r="B145" s="7"/>
      <c r="C145" s="12" t="str">
        <f aca="false">IF($B145="","",IFERROR(INDEX(거래처마스터!$B$3:$B$102,MATCH($B145,거래처마스터!$A$3:$A$102,0)),"미등록"))</f>
        <v/>
      </c>
      <c r="D145" s="7"/>
      <c r="E145" s="12" t="str">
        <f aca="false">IF($D145="","",IFERROR(INDEX(품목마스터!$B$3:$B$202,MATCH($D145,품목마스터!$A$3:$A$202,0)),"미등록품번"))</f>
        <v/>
      </c>
      <c r="F145" s="12" t="str">
        <f aca="false">IF($D145="","",IFERROR(INDEX(품목마스터!$D$3:$D$202,MATCH($D145,품목마스터!$A$3:$A$202,0)),""))</f>
        <v/>
      </c>
      <c r="G145" s="9"/>
      <c r="H145" s="9"/>
      <c r="I145" s="13" t="str">
        <f aca="false">IF(OR($G145="",$H145=""),"",ROUND($G145*$H145,0))</f>
        <v/>
      </c>
      <c r="J145" s="7"/>
    </row>
    <row r="146" customFormat="false" ht="15" hidden="false" customHeight="true" outlineLevel="0" collapsed="false">
      <c r="A146" s="11"/>
      <c r="B146" s="7"/>
      <c r="C146" s="12" t="str">
        <f aca="false">IF($B146="","",IFERROR(INDEX(거래처마스터!$B$3:$B$102,MATCH($B146,거래처마스터!$A$3:$A$102,0)),"미등록"))</f>
        <v/>
      </c>
      <c r="D146" s="7"/>
      <c r="E146" s="12" t="str">
        <f aca="false">IF($D146="","",IFERROR(INDEX(품목마스터!$B$3:$B$202,MATCH($D146,품목마스터!$A$3:$A$202,0)),"미등록품번"))</f>
        <v/>
      </c>
      <c r="F146" s="12" t="str">
        <f aca="false">IF($D146="","",IFERROR(INDEX(품목마스터!$D$3:$D$202,MATCH($D146,품목마스터!$A$3:$A$202,0)),""))</f>
        <v/>
      </c>
      <c r="G146" s="9"/>
      <c r="H146" s="9"/>
      <c r="I146" s="13" t="str">
        <f aca="false">IF(OR($G146="",$H146=""),"",ROUND($G146*$H146,0))</f>
        <v/>
      </c>
      <c r="J146" s="7"/>
    </row>
    <row r="147" customFormat="false" ht="15" hidden="false" customHeight="true" outlineLevel="0" collapsed="false">
      <c r="A147" s="11"/>
      <c r="B147" s="7"/>
      <c r="C147" s="12" t="str">
        <f aca="false">IF($B147="","",IFERROR(INDEX(거래처마스터!$B$3:$B$102,MATCH($B147,거래처마스터!$A$3:$A$102,0)),"미등록"))</f>
        <v/>
      </c>
      <c r="D147" s="7"/>
      <c r="E147" s="12" t="str">
        <f aca="false">IF($D147="","",IFERROR(INDEX(품목마스터!$B$3:$B$202,MATCH($D147,품목마스터!$A$3:$A$202,0)),"미등록품번"))</f>
        <v/>
      </c>
      <c r="F147" s="12" t="str">
        <f aca="false">IF($D147="","",IFERROR(INDEX(품목마스터!$D$3:$D$202,MATCH($D147,품목마스터!$A$3:$A$202,0)),""))</f>
        <v/>
      </c>
      <c r="G147" s="9"/>
      <c r="H147" s="9"/>
      <c r="I147" s="13" t="str">
        <f aca="false">IF(OR($G147="",$H147=""),"",ROUND($G147*$H147,0))</f>
        <v/>
      </c>
      <c r="J147" s="7"/>
    </row>
    <row r="148" customFormat="false" ht="15" hidden="false" customHeight="true" outlineLevel="0" collapsed="false">
      <c r="A148" s="11"/>
      <c r="B148" s="7"/>
      <c r="C148" s="12" t="str">
        <f aca="false">IF($B148="","",IFERROR(INDEX(거래처마스터!$B$3:$B$102,MATCH($B148,거래처마스터!$A$3:$A$102,0)),"미등록"))</f>
        <v/>
      </c>
      <c r="D148" s="7"/>
      <c r="E148" s="12" t="str">
        <f aca="false">IF($D148="","",IFERROR(INDEX(품목마스터!$B$3:$B$202,MATCH($D148,품목마스터!$A$3:$A$202,0)),"미등록품번"))</f>
        <v/>
      </c>
      <c r="F148" s="12" t="str">
        <f aca="false">IF($D148="","",IFERROR(INDEX(품목마스터!$D$3:$D$202,MATCH($D148,품목마스터!$A$3:$A$202,0)),""))</f>
        <v/>
      </c>
      <c r="G148" s="9"/>
      <c r="H148" s="9"/>
      <c r="I148" s="13" t="str">
        <f aca="false">IF(OR($G148="",$H148=""),"",ROUND($G148*$H148,0))</f>
        <v/>
      </c>
      <c r="J148" s="7"/>
    </row>
    <row r="149" customFormat="false" ht="15" hidden="false" customHeight="true" outlineLevel="0" collapsed="false">
      <c r="A149" s="11"/>
      <c r="B149" s="7"/>
      <c r="C149" s="12" t="str">
        <f aca="false">IF($B149="","",IFERROR(INDEX(거래처마스터!$B$3:$B$102,MATCH($B149,거래처마스터!$A$3:$A$102,0)),"미등록"))</f>
        <v/>
      </c>
      <c r="D149" s="7"/>
      <c r="E149" s="12" t="str">
        <f aca="false">IF($D149="","",IFERROR(INDEX(품목마스터!$B$3:$B$202,MATCH($D149,품목마스터!$A$3:$A$202,0)),"미등록품번"))</f>
        <v/>
      </c>
      <c r="F149" s="12" t="str">
        <f aca="false">IF($D149="","",IFERROR(INDEX(품목마스터!$D$3:$D$202,MATCH($D149,품목마스터!$A$3:$A$202,0)),""))</f>
        <v/>
      </c>
      <c r="G149" s="9"/>
      <c r="H149" s="9"/>
      <c r="I149" s="13" t="str">
        <f aca="false">IF(OR($G149="",$H149=""),"",ROUND($G149*$H149,0))</f>
        <v/>
      </c>
      <c r="J149" s="7"/>
    </row>
    <row r="150" customFormat="false" ht="15" hidden="false" customHeight="true" outlineLevel="0" collapsed="false">
      <c r="A150" s="11"/>
      <c r="B150" s="7"/>
      <c r="C150" s="12" t="str">
        <f aca="false">IF($B150="","",IFERROR(INDEX(거래처마스터!$B$3:$B$102,MATCH($B150,거래처마스터!$A$3:$A$102,0)),"미등록"))</f>
        <v/>
      </c>
      <c r="D150" s="7"/>
      <c r="E150" s="12" t="str">
        <f aca="false">IF($D150="","",IFERROR(INDEX(품목마스터!$B$3:$B$202,MATCH($D150,품목마스터!$A$3:$A$202,0)),"미등록품번"))</f>
        <v/>
      </c>
      <c r="F150" s="12" t="str">
        <f aca="false">IF($D150="","",IFERROR(INDEX(품목마스터!$D$3:$D$202,MATCH($D150,품목마스터!$A$3:$A$202,0)),""))</f>
        <v/>
      </c>
      <c r="G150" s="9"/>
      <c r="H150" s="9"/>
      <c r="I150" s="13" t="str">
        <f aca="false">IF(OR($G150="",$H150=""),"",ROUND($G150*$H150,0))</f>
        <v/>
      </c>
      <c r="J150" s="7"/>
    </row>
    <row r="151" customFormat="false" ht="15" hidden="false" customHeight="true" outlineLevel="0" collapsed="false">
      <c r="A151" s="11"/>
      <c r="B151" s="7"/>
      <c r="C151" s="12" t="str">
        <f aca="false">IF($B151="","",IFERROR(INDEX(거래처마스터!$B$3:$B$102,MATCH($B151,거래처마스터!$A$3:$A$102,0)),"미등록"))</f>
        <v/>
      </c>
      <c r="D151" s="7"/>
      <c r="E151" s="12" t="str">
        <f aca="false">IF($D151="","",IFERROR(INDEX(품목마스터!$B$3:$B$202,MATCH($D151,품목마스터!$A$3:$A$202,0)),"미등록품번"))</f>
        <v/>
      </c>
      <c r="F151" s="12" t="str">
        <f aca="false">IF($D151="","",IFERROR(INDEX(품목마스터!$D$3:$D$202,MATCH($D151,품목마스터!$A$3:$A$202,0)),""))</f>
        <v/>
      </c>
      <c r="G151" s="9"/>
      <c r="H151" s="9"/>
      <c r="I151" s="13" t="str">
        <f aca="false">IF(OR($G151="",$H151=""),"",ROUND($G151*$H151,0))</f>
        <v/>
      </c>
      <c r="J151" s="7"/>
    </row>
    <row r="152" customFormat="false" ht="15" hidden="false" customHeight="true" outlineLevel="0" collapsed="false">
      <c r="A152" s="11"/>
      <c r="B152" s="7"/>
      <c r="C152" s="12" t="str">
        <f aca="false">IF($B152="","",IFERROR(INDEX(거래처마스터!$B$3:$B$102,MATCH($B152,거래처마스터!$A$3:$A$102,0)),"미등록"))</f>
        <v/>
      </c>
      <c r="D152" s="7"/>
      <c r="E152" s="12" t="str">
        <f aca="false">IF($D152="","",IFERROR(INDEX(품목마스터!$B$3:$B$202,MATCH($D152,품목마스터!$A$3:$A$202,0)),"미등록품번"))</f>
        <v/>
      </c>
      <c r="F152" s="12" t="str">
        <f aca="false">IF($D152="","",IFERROR(INDEX(품목마스터!$D$3:$D$202,MATCH($D152,품목마스터!$A$3:$A$202,0)),""))</f>
        <v/>
      </c>
      <c r="G152" s="9"/>
      <c r="H152" s="9"/>
      <c r="I152" s="13" t="str">
        <f aca="false">IF(OR($G152="",$H152=""),"",ROUND($G152*$H152,0))</f>
        <v/>
      </c>
      <c r="J152" s="7"/>
    </row>
    <row r="153" customFormat="false" ht="15" hidden="false" customHeight="true" outlineLevel="0" collapsed="false">
      <c r="A153" s="11"/>
      <c r="B153" s="7"/>
      <c r="C153" s="12" t="str">
        <f aca="false">IF($B153="","",IFERROR(INDEX(거래처마스터!$B$3:$B$102,MATCH($B153,거래처마스터!$A$3:$A$102,0)),"미등록"))</f>
        <v/>
      </c>
      <c r="D153" s="7"/>
      <c r="E153" s="12" t="str">
        <f aca="false">IF($D153="","",IFERROR(INDEX(품목마스터!$B$3:$B$202,MATCH($D153,품목마스터!$A$3:$A$202,0)),"미등록품번"))</f>
        <v/>
      </c>
      <c r="F153" s="12" t="str">
        <f aca="false">IF($D153="","",IFERROR(INDEX(품목마스터!$D$3:$D$202,MATCH($D153,품목마스터!$A$3:$A$202,0)),""))</f>
        <v/>
      </c>
      <c r="G153" s="9"/>
      <c r="H153" s="9"/>
      <c r="I153" s="13" t="str">
        <f aca="false">IF(OR($G153="",$H153=""),"",ROUND($G153*$H153,0))</f>
        <v/>
      </c>
      <c r="J153" s="7"/>
    </row>
    <row r="154" customFormat="false" ht="15" hidden="false" customHeight="true" outlineLevel="0" collapsed="false">
      <c r="A154" s="11"/>
      <c r="B154" s="7"/>
      <c r="C154" s="12" t="str">
        <f aca="false">IF($B154="","",IFERROR(INDEX(거래처마스터!$B$3:$B$102,MATCH($B154,거래처마스터!$A$3:$A$102,0)),"미등록"))</f>
        <v/>
      </c>
      <c r="D154" s="7"/>
      <c r="E154" s="12" t="str">
        <f aca="false">IF($D154="","",IFERROR(INDEX(품목마스터!$B$3:$B$202,MATCH($D154,품목마스터!$A$3:$A$202,0)),"미등록품번"))</f>
        <v/>
      </c>
      <c r="F154" s="12" t="str">
        <f aca="false">IF($D154="","",IFERROR(INDEX(품목마스터!$D$3:$D$202,MATCH($D154,품목마스터!$A$3:$A$202,0)),""))</f>
        <v/>
      </c>
      <c r="G154" s="9"/>
      <c r="H154" s="9"/>
      <c r="I154" s="13" t="str">
        <f aca="false">IF(OR($G154="",$H154=""),"",ROUND($G154*$H154,0))</f>
        <v/>
      </c>
      <c r="J154" s="7"/>
    </row>
    <row r="155" customFormat="false" ht="15" hidden="false" customHeight="true" outlineLevel="0" collapsed="false">
      <c r="A155" s="11"/>
      <c r="B155" s="7"/>
      <c r="C155" s="12" t="str">
        <f aca="false">IF($B155="","",IFERROR(INDEX(거래처마스터!$B$3:$B$102,MATCH($B155,거래처마스터!$A$3:$A$102,0)),"미등록"))</f>
        <v/>
      </c>
      <c r="D155" s="7"/>
      <c r="E155" s="12" t="str">
        <f aca="false">IF($D155="","",IFERROR(INDEX(품목마스터!$B$3:$B$202,MATCH($D155,품목마스터!$A$3:$A$202,0)),"미등록품번"))</f>
        <v/>
      </c>
      <c r="F155" s="12" t="str">
        <f aca="false">IF($D155="","",IFERROR(INDEX(품목마스터!$D$3:$D$202,MATCH($D155,품목마스터!$A$3:$A$202,0)),""))</f>
        <v/>
      </c>
      <c r="G155" s="9"/>
      <c r="H155" s="9"/>
      <c r="I155" s="13" t="str">
        <f aca="false">IF(OR($G155="",$H155=""),"",ROUND($G155*$H155,0))</f>
        <v/>
      </c>
      <c r="J155" s="7"/>
    </row>
    <row r="156" customFormat="false" ht="15" hidden="false" customHeight="true" outlineLevel="0" collapsed="false">
      <c r="A156" s="11"/>
      <c r="B156" s="7"/>
      <c r="C156" s="12" t="str">
        <f aca="false">IF($B156="","",IFERROR(INDEX(거래처마스터!$B$3:$B$102,MATCH($B156,거래처마스터!$A$3:$A$102,0)),"미등록"))</f>
        <v/>
      </c>
      <c r="D156" s="7"/>
      <c r="E156" s="12" t="str">
        <f aca="false">IF($D156="","",IFERROR(INDEX(품목마스터!$B$3:$B$202,MATCH($D156,품목마스터!$A$3:$A$202,0)),"미등록품번"))</f>
        <v/>
      </c>
      <c r="F156" s="12" t="str">
        <f aca="false">IF($D156="","",IFERROR(INDEX(품목마스터!$D$3:$D$202,MATCH($D156,품목마스터!$A$3:$A$202,0)),""))</f>
        <v/>
      </c>
      <c r="G156" s="9"/>
      <c r="H156" s="9"/>
      <c r="I156" s="13" t="str">
        <f aca="false">IF(OR($G156="",$H156=""),"",ROUND($G156*$H156,0))</f>
        <v/>
      </c>
      <c r="J156" s="7"/>
    </row>
    <row r="157" customFormat="false" ht="15" hidden="false" customHeight="true" outlineLevel="0" collapsed="false">
      <c r="A157" s="11"/>
      <c r="B157" s="7"/>
      <c r="C157" s="12" t="str">
        <f aca="false">IF($B157="","",IFERROR(INDEX(거래처마스터!$B$3:$B$102,MATCH($B157,거래처마스터!$A$3:$A$102,0)),"미등록"))</f>
        <v/>
      </c>
      <c r="D157" s="7"/>
      <c r="E157" s="12" t="str">
        <f aca="false">IF($D157="","",IFERROR(INDEX(품목마스터!$B$3:$B$202,MATCH($D157,품목마스터!$A$3:$A$202,0)),"미등록품번"))</f>
        <v/>
      </c>
      <c r="F157" s="12" t="str">
        <f aca="false">IF($D157="","",IFERROR(INDEX(품목마스터!$D$3:$D$202,MATCH($D157,품목마스터!$A$3:$A$202,0)),""))</f>
        <v/>
      </c>
      <c r="G157" s="9"/>
      <c r="H157" s="9"/>
      <c r="I157" s="13" t="str">
        <f aca="false">IF(OR($G157="",$H157=""),"",ROUND($G157*$H157,0))</f>
        <v/>
      </c>
      <c r="J157" s="7"/>
    </row>
    <row r="158" customFormat="false" ht="15" hidden="false" customHeight="true" outlineLevel="0" collapsed="false">
      <c r="A158" s="11"/>
      <c r="B158" s="7"/>
      <c r="C158" s="12" t="str">
        <f aca="false">IF($B158="","",IFERROR(INDEX(거래처마스터!$B$3:$B$102,MATCH($B158,거래처마스터!$A$3:$A$102,0)),"미등록"))</f>
        <v/>
      </c>
      <c r="D158" s="7"/>
      <c r="E158" s="12" t="str">
        <f aca="false">IF($D158="","",IFERROR(INDEX(품목마스터!$B$3:$B$202,MATCH($D158,품목마스터!$A$3:$A$202,0)),"미등록품번"))</f>
        <v/>
      </c>
      <c r="F158" s="12" t="str">
        <f aca="false">IF($D158="","",IFERROR(INDEX(품목마스터!$D$3:$D$202,MATCH($D158,품목마스터!$A$3:$A$202,0)),""))</f>
        <v/>
      </c>
      <c r="G158" s="9"/>
      <c r="H158" s="9"/>
      <c r="I158" s="13" t="str">
        <f aca="false">IF(OR($G158="",$H158=""),"",ROUND($G158*$H158,0))</f>
        <v/>
      </c>
      <c r="J158" s="7"/>
    </row>
    <row r="159" customFormat="false" ht="15" hidden="false" customHeight="true" outlineLevel="0" collapsed="false">
      <c r="A159" s="11"/>
      <c r="B159" s="7"/>
      <c r="C159" s="12" t="str">
        <f aca="false">IF($B159="","",IFERROR(INDEX(거래처마스터!$B$3:$B$102,MATCH($B159,거래처마스터!$A$3:$A$102,0)),"미등록"))</f>
        <v/>
      </c>
      <c r="D159" s="7"/>
      <c r="E159" s="12" t="str">
        <f aca="false">IF($D159="","",IFERROR(INDEX(품목마스터!$B$3:$B$202,MATCH($D159,품목마스터!$A$3:$A$202,0)),"미등록품번"))</f>
        <v/>
      </c>
      <c r="F159" s="12" t="str">
        <f aca="false">IF($D159="","",IFERROR(INDEX(품목마스터!$D$3:$D$202,MATCH($D159,품목마스터!$A$3:$A$202,0)),""))</f>
        <v/>
      </c>
      <c r="G159" s="9"/>
      <c r="H159" s="9"/>
      <c r="I159" s="13" t="str">
        <f aca="false">IF(OR($G159="",$H159=""),"",ROUND($G159*$H159,0))</f>
        <v/>
      </c>
      <c r="J159" s="7"/>
    </row>
    <row r="160" customFormat="false" ht="15" hidden="false" customHeight="true" outlineLevel="0" collapsed="false">
      <c r="A160" s="11"/>
      <c r="B160" s="7"/>
      <c r="C160" s="12" t="str">
        <f aca="false">IF($B160="","",IFERROR(INDEX(거래처마스터!$B$3:$B$102,MATCH($B160,거래처마스터!$A$3:$A$102,0)),"미등록"))</f>
        <v/>
      </c>
      <c r="D160" s="7"/>
      <c r="E160" s="12" t="str">
        <f aca="false">IF($D160="","",IFERROR(INDEX(품목마스터!$B$3:$B$202,MATCH($D160,품목마스터!$A$3:$A$202,0)),"미등록품번"))</f>
        <v/>
      </c>
      <c r="F160" s="12" t="str">
        <f aca="false">IF($D160="","",IFERROR(INDEX(품목마스터!$D$3:$D$202,MATCH($D160,품목마스터!$A$3:$A$202,0)),""))</f>
        <v/>
      </c>
      <c r="G160" s="9"/>
      <c r="H160" s="9"/>
      <c r="I160" s="13" t="str">
        <f aca="false">IF(OR($G160="",$H160=""),"",ROUND($G160*$H160,0))</f>
        <v/>
      </c>
      <c r="J160" s="7"/>
    </row>
    <row r="161" customFormat="false" ht="15" hidden="false" customHeight="true" outlineLevel="0" collapsed="false">
      <c r="A161" s="11"/>
      <c r="B161" s="7"/>
      <c r="C161" s="12" t="str">
        <f aca="false">IF($B161="","",IFERROR(INDEX(거래처마스터!$B$3:$B$102,MATCH($B161,거래처마스터!$A$3:$A$102,0)),"미등록"))</f>
        <v/>
      </c>
      <c r="D161" s="7"/>
      <c r="E161" s="12" t="str">
        <f aca="false">IF($D161="","",IFERROR(INDEX(품목마스터!$B$3:$B$202,MATCH($D161,품목마스터!$A$3:$A$202,0)),"미등록품번"))</f>
        <v/>
      </c>
      <c r="F161" s="12" t="str">
        <f aca="false">IF($D161="","",IFERROR(INDEX(품목마스터!$D$3:$D$202,MATCH($D161,품목마스터!$A$3:$A$202,0)),""))</f>
        <v/>
      </c>
      <c r="G161" s="9"/>
      <c r="H161" s="9"/>
      <c r="I161" s="13" t="str">
        <f aca="false">IF(OR($G161="",$H161=""),"",ROUND($G161*$H161,0))</f>
        <v/>
      </c>
      <c r="J161" s="7"/>
    </row>
    <row r="162" customFormat="false" ht="15" hidden="false" customHeight="true" outlineLevel="0" collapsed="false">
      <c r="A162" s="11"/>
      <c r="B162" s="7"/>
      <c r="C162" s="12" t="str">
        <f aca="false">IF($B162="","",IFERROR(INDEX(거래처마스터!$B$3:$B$102,MATCH($B162,거래처마스터!$A$3:$A$102,0)),"미등록"))</f>
        <v/>
      </c>
      <c r="D162" s="7"/>
      <c r="E162" s="12" t="str">
        <f aca="false">IF($D162="","",IFERROR(INDEX(품목마스터!$B$3:$B$202,MATCH($D162,품목마스터!$A$3:$A$202,0)),"미등록품번"))</f>
        <v/>
      </c>
      <c r="F162" s="12" t="str">
        <f aca="false">IF($D162="","",IFERROR(INDEX(품목마스터!$D$3:$D$202,MATCH($D162,품목마스터!$A$3:$A$202,0)),""))</f>
        <v/>
      </c>
      <c r="G162" s="9"/>
      <c r="H162" s="9"/>
      <c r="I162" s="13" t="str">
        <f aca="false">IF(OR($G162="",$H162=""),"",ROUND($G162*$H162,0))</f>
        <v/>
      </c>
      <c r="J162" s="7"/>
    </row>
    <row r="163" customFormat="false" ht="15" hidden="false" customHeight="true" outlineLevel="0" collapsed="false">
      <c r="A163" s="11"/>
      <c r="B163" s="7"/>
      <c r="C163" s="12" t="str">
        <f aca="false">IF($B163="","",IFERROR(INDEX(거래처마스터!$B$3:$B$102,MATCH($B163,거래처마스터!$A$3:$A$102,0)),"미등록"))</f>
        <v/>
      </c>
      <c r="D163" s="7"/>
      <c r="E163" s="12" t="str">
        <f aca="false">IF($D163="","",IFERROR(INDEX(품목마스터!$B$3:$B$202,MATCH($D163,품목마스터!$A$3:$A$202,0)),"미등록품번"))</f>
        <v/>
      </c>
      <c r="F163" s="12" t="str">
        <f aca="false">IF($D163="","",IFERROR(INDEX(품목마스터!$D$3:$D$202,MATCH($D163,품목마스터!$A$3:$A$202,0)),""))</f>
        <v/>
      </c>
      <c r="G163" s="9"/>
      <c r="H163" s="9"/>
      <c r="I163" s="13" t="str">
        <f aca="false">IF(OR($G163="",$H163=""),"",ROUND($G163*$H163,0))</f>
        <v/>
      </c>
      <c r="J163" s="7"/>
    </row>
    <row r="164" customFormat="false" ht="15" hidden="false" customHeight="true" outlineLevel="0" collapsed="false">
      <c r="A164" s="11"/>
      <c r="B164" s="7"/>
      <c r="C164" s="12" t="str">
        <f aca="false">IF($B164="","",IFERROR(INDEX(거래처마스터!$B$3:$B$102,MATCH($B164,거래처마스터!$A$3:$A$102,0)),"미등록"))</f>
        <v/>
      </c>
      <c r="D164" s="7"/>
      <c r="E164" s="12" t="str">
        <f aca="false">IF($D164="","",IFERROR(INDEX(품목마스터!$B$3:$B$202,MATCH($D164,품목마스터!$A$3:$A$202,0)),"미등록품번"))</f>
        <v/>
      </c>
      <c r="F164" s="12" t="str">
        <f aca="false">IF($D164="","",IFERROR(INDEX(품목마스터!$D$3:$D$202,MATCH($D164,품목마스터!$A$3:$A$202,0)),""))</f>
        <v/>
      </c>
      <c r="G164" s="9"/>
      <c r="H164" s="9"/>
      <c r="I164" s="13" t="str">
        <f aca="false">IF(OR($G164="",$H164=""),"",ROUND($G164*$H164,0))</f>
        <v/>
      </c>
      <c r="J164" s="7"/>
    </row>
    <row r="165" customFormat="false" ht="15" hidden="false" customHeight="true" outlineLevel="0" collapsed="false">
      <c r="A165" s="11"/>
      <c r="B165" s="7"/>
      <c r="C165" s="12" t="str">
        <f aca="false">IF($B165="","",IFERROR(INDEX(거래처마스터!$B$3:$B$102,MATCH($B165,거래처마스터!$A$3:$A$102,0)),"미등록"))</f>
        <v/>
      </c>
      <c r="D165" s="7"/>
      <c r="E165" s="12" t="str">
        <f aca="false">IF($D165="","",IFERROR(INDEX(품목마스터!$B$3:$B$202,MATCH($D165,품목마스터!$A$3:$A$202,0)),"미등록품번"))</f>
        <v/>
      </c>
      <c r="F165" s="12" t="str">
        <f aca="false">IF($D165="","",IFERROR(INDEX(품목마스터!$D$3:$D$202,MATCH($D165,품목마스터!$A$3:$A$202,0)),""))</f>
        <v/>
      </c>
      <c r="G165" s="9"/>
      <c r="H165" s="9"/>
      <c r="I165" s="13" t="str">
        <f aca="false">IF(OR($G165="",$H165=""),"",ROUND($G165*$H165,0))</f>
        <v/>
      </c>
      <c r="J165" s="7"/>
    </row>
    <row r="166" customFormat="false" ht="15" hidden="false" customHeight="true" outlineLevel="0" collapsed="false">
      <c r="A166" s="11"/>
      <c r="B166" s="7"/>
      <c r="C166" s="12" t="str">
        <f aca="false">IF($B166="","",IFERROR(INDEX(거래처마스터!$B$3:$B$102,MATCH($B166,거래처마스터!$A$3:$A$102,0)),"미등록"))</f>
        <v/>
      </c>
      <c r="D166" s="7"/>
      <c r="E166" s="12" t="str">
        <f aca="false">IF($D166="","",IFERROR(INDEX(품목마스터!$B$3:$B$202,MATCH($D166,품목마스터!$A$3:$A$202,0)),"미등록품번"))</f>
        <v/>
      </c>
      <c r="F166" s="12" t="str">
        <f aca="false">IF($D166="","",IFERROR(INDEX(품목마스터!$D$3:$D$202,MATCH($D166,품목마스터!$A$3:$A$202,0)),""))</f>
        <v/>
      </c>
      <c r="G166" s="9"/>
      <c r="H166" s="9"/>
      <c r="I166" s="13" t="str">
        <f aca="false">IF(OR($G166="",$H166=""),"",ROUND($G166*$H166,0))</f>
        <v/>
      </c>
      <c r="J166" s="7"/>
    </row>
    <row r="167" customFormat="false" ht="15" hidden="false" customHeight="true" outlineLevel="0" collapsed="false">
      <c r="A167" s="11"/>
      <c r="B167" s="7"/>
      <c r="C167" s="12" t="str">
        <f aca="false">IF($B167="","",IFERROR(INDEX(거래처마스터!$B$3:$B$102,MATCH($B167,거래처마스터!$A$3:$A$102,0)),"미등록"))</f>
        <v/>
      </c>
      <c r="D167" s="7"/>
      <c r="E167" s="12" t="str">
        <f aca="false">IF($D167="","",IFERROR(INDEX(품목마스터!$B$3:$B$202,MATCH($D167,품목마스터!$A$3:$A$202,0)),"미등록품번"))</f>
        <v/>
      </c>
      <c r="F167" s="12" t="str">
        <f aca="false">IF($D167="","",IFERROR(INDEX(품목마스터!$D$3:$D$202,MATCH($D167,품목마스터!$A$3:$A$202,0)),""))</f>
        <v/>
      </c>
      <c r="G167" s="9"/>
      <c r="H167" s="9"/>
      <c r="I167" s="13" t="str">
        <f aca="false">IF(OR($G167="",$H167=""),"",ROUND($G167*$H167,0))</f>
        <v/>
      </c>
      <c r="J167" s="7"/>
    </row>
    <row r="168" customFormat="false" ht="15" hidden="false" customHeight="true" outlineLevel="0" collapsed="false">
      <c r="A168" s="11"/>
      <c r="B168" s="7"/>
      <c r="C168" s="12" t="str">
        <f aca="false">IF($B168="","",IFERROR(INDEX(거래처마스터!$B$3:$B$102,MATCH($B168,거래처마스터!$A$3:$A$102,0)),"미등록"))</f>
        <v/>
      </c>
      <c r="D168" s="7"/>
      <c r="E168" s="12" t="str">
        <f aca="false">IF($D168="","",IFERROR(INDEX(품목마스터!$B$3:$B$202,MATCH($D168,품목마스터!$A$3:$A$202,0)),"미등록품번"))</f>
        <v/>
      </c>
      <c r="F168" s="12" t="str">
        <f aca="false">IF($D168="","",IFERROR(INDEX(품목마스터!$D$3:$D$202,MATCH($D168,품목마스터!$A$3:$A$202,0)),""))</f>
        <v/>
      </c>
      <c r="G168" s="9"/>
      <c r="H168" s="9"/>
      <c r="I168" s="13" t="str">
        <f aca="false">IF(OR($G168="",$H168=""),"",ROUND($G168*$H168,0))</f>
        <v/>
      </c>
      <c r="J168" s="7"/>
    </row>
    <row r="169" customFormat="false" ht="15" hidden="false" customHeight="true" outlineLevel="0" collapsed="false">
      <c r="A169" s="11"/>
      <c r="B169" s="7"/>
      <c r="C169" s="12" t="str">
        <f aca="false">IF($B169="","",IFERROR(INDEX(거래처마스터!$B$3:$B$102,MATCH($B169,거래처마스터!$A$3:$A$102,0)),"미등록"))</f>
        <v/>
      </c>
      <c r="D169" s="7"/>
      <c r="E169" s="12" t="str">
        <f aca="false">IF($D169="","",IFERROR(INDEX(품목마스터!$B$3:$B$202,MATCH($D169,품목마스터!$A$3:$A$202,0)),"미등록품번"))</f>
        <v/>
      </c>
      <c r="F169" s="12" t="str">
        <f aca="false">IF($D169="","",IFERROR(INDEX(품목마스터!$D$3:$D$202,MATCH($D169,품목마스터!$A$3:$A$202,0)),""))</f>
        <v/>
      </c>
      <c r="G169" s="9"/>
      <c r="H169" s="9"/>
      <c r="I169" s="13" t="str">
        <f aca="false">IF(OR($G169="",$H169=""),"",ROUND($G169*$H169,0))</f>
        <v/>
      </c>
      <c r="J169" s="7"/>
    </row>
    <row r="170" customFormat="false" ht="15" hidden="false" customHeight="true" outlineLevel="0" collapsed="false">
      <c r="A170" s="11"/>
      <c r="B170" s="7"/>
      <c r="C170" s="12" t="str">
        <f aca="false">IF($B170="","",IFERROR(INDEX(거래처마스터!$B$3:$B$102,MATCH($B170,거래처마스터!$A$3:$A$102,0)),"미등록"))</f>
        <v/>
      </c>
      <c r="D170" s="7"/>
      <c r="E170" s="12" t="str">
        <f aca="false">IF($D170="","",IFERROR(INDEX(품목마스터!$B$3:$B$202,MATCH($D170,품목마스터!$A$3:$A$202,0)),"미등록품번"))</f>
        <v/>
      </c>
      <c r="F170" s="12" t="str">
        <f aca="false">IF($D170="","",IFERROR(INDEX(품목마스터!$D$3:$D$202,MATCH($D170,품목마스터!$A$3:$A$202,0)),""))</f>
        <v/>
      </c>
      <c r="G170" s="9"/>
      <c r="H170" s="9"/>
      <c r="I170" s="13" t="str">
        <f aca="false">IF(OR($G170="",$H170=""),"",ROUND($G170*$H170,0))</f>
        <v/>
      </c>
      <c r="J170" s="7"/>
    </row>
    <row r="171" customFormat="false" ht="15" hidden="false" customHeight="true" outlineLevel="0" collapsed="false">
      <c r="A171" s="11"/>
      <c r="B171" s="7"/>
      <c r="C171" s="12" t="str">
        <f aca="false">IF($B171="","",IFERROR(INDEX(거래처마스터!$B$3:$B$102,MATCH($B171,거래처마스터!$A$3:$A$102,0)),"미등록"))</f>
        <v/>
      </c>
      <c r="D171" s="7"/>
      <c r="E171" s="12" t="str">
        <f aca="false">IF($D171="","",IFERROR(INDEX(품목마스터!$B$3:$B$202,MATCH($D171,품목마스터!$A$3:$A$202,0)),"미등록품번"))</f>
        <v/>
      </c>
      <c r="F171" s="12" t="str">
        <f aca="false">IF($D171="","",IFERROR(INDEX(품목마스터!$D$3:$D$202,MATCH($D171,품목마스터!$A$3:$A$202,0)),""))</f>
        <v/>
      </c>
      <c r="G171" s="9"/>
      <c r="H171" s="9"/>
      <c r="I171" s="13" t="str">
        <f aca="false">IF(OR($G171="",$H171=""),"",ROUND($G171*$H171,0))</f>
        <v/>
      </c>
      <c r="J171" s="7"/>
    </row>
    <row r="172" customFormat="false" ht="15" hidden="false" customHeight="true" outlineLevel="0" collapsed="false">
      <c r="A172" s="11"/>
      <c r="B172" s="7"/>
      <c r="C172" s="12" t="str">
        <f aca="false">IF($B172="","",IFERROR(INDEX(거래처마스터!$B$3:$B$102,MATCH($B172,거래처마스터!$A$3:$A$102,0)),"미등록"))</f>
        <v/>
      </c>
      <c r="D172" s="7"/>
      <c r="E172" s="12" t="str">
        <f aca="false">IF($D172="","",IFERROR(INDEX(품목마스터!$B$3:$B$202,MATCH($D172,품목마스터!$A$3:$A$202,0)),"미등록품번"))</f>
        <v/>
      </c>
      <c r="F172" s="12" t="str">
        <f aca="false">IF($D172="","",IFERROR(INDEX(품목마스터!$D$3:$D$202,MATCH($D172,품목마스터!$A$3:$A$202,0)),""))</f>
        <v/>
      </c>
      <c r="G172" s="9"/>
      <c r="H172" s="9"/>
      <c r="I172" s="13" t="str">
        <f aca="false">IF(OR($G172="",$H172=""),"",ROUND($G172*$H172,0))</f>
        <v/>
      </c>
      <c r="J172" s="7"/>
    </row>
    <row r="173" customFormat="false" ht="15" hidden="false" customHeight="true" outlineLevel="0" collapsed="false">
      <c r="A173" s="11"/>
      <c r="B173" s="7"/>
      <c r="C173" s="12" t="str">
        <f aca="false">IF($B173="","",IFERROR(INDEX(거래처마스터!$B$3:$B$102,MATCH($B173,거래처마스터!$A$3:$A$102,0)),"미등록"))</f>
        <v/>
      </c>
      <c r="D173" s="7"/>
      <c r="E173" s="12" t="str">
        <f aca="false">IF($D173="","",IFERROR(INDEX(품목마스터!$B$3:$B$202,MATCH($D173,품목마스터!$A$3:$A$202,0)),"미등록품번"))</f>
        <v/>
      </c>
      <c r="F173" s="12" t="str">
        <f aca="false">IF($D173="","",IFERROR(INDEX(품목마스터!$D$3:$D$202,MATCH($D173,품목마스터!$A$3:$A$202,0)),""))</f>
        <v/>
      </c>
      <c r="G173" s="9"/>
      <c r="H173" s="9"/>
      <c r="I173" s="13" t="str">
        <f aca="false">IF(OR($G173="",$H173=""),"",ROUND($G173*$H173,0))</f>
        <v/>
      </c>
      <c r="J173" s="7"/>
    </row>
    <row r="174" customFormat="false" ht="15" hidden="false" customHeight="true" outlineLevel="0" collapsed="false">
      <c r="A174" s="11"/>
      <c r="B174" s="7"/>
      <c r="C174" s="12" t="str">
        <f aca="false">IF($B174="","",IFERROR(INDEX(거래처마스터!$B$3:$B$102,MATCH($B174,거래처마스터!$A$3:$A$102,0)),"미등록"))</f>
        <v/>
      </c>
      <c r="D174" s="7"/>
      <c r="E174" s="12" t="str">
        <f aca="false">IF($D174="","",IFERROR(INDEX(품목마스터!$B$3:$B$202,MATCH($D174,품목마스터!$A$3:$A$202,0)),"미등록품번"))</f>
        <v/>
      </c>
      <c r="F174" s="12" t="str">
        <f aca="false">IF($D174="","",IFERROR(INDEX(품목마스터!$D$3:$D$202,MATCH($D174,품목마스터!$A$3:$A$202,0)),""))</f>
        <v/>
      </c>
      <c r="G174" s="9"/>
      <c r="H174" s="9"/>
      <c r="I174" s="13" t="str">
        <f aca="false">IF(OR($G174="",$H174=""),"",ROUND($G174*$H174,0))</f>
        <v/>
      </c>
      <c r="J174" s="7"/>
    </row>
    <row r="175" customFormat="false" ht="15" hidden="false" customHeight="true" outlineLevel="0" collapsed="false">
      <c r="A175" s="11"/>
      <c r="B175" s="7"/>
      <c r="C175" s="12" t="str">
        <f aca="false">IF($B175="","",IFERROR(INDEX(거래처마스터!$B$3:$B$102,MATCH($B175,거래처마스터!$A$3:$A$102,0)),"미등록"))</f>
        <v/>
      </c>
      <c r="D175" s="7"/>
      <c r="E175" s="12" t="str">
        <f aca="false">IF($D175="","",IFERROR(INDEX(품목마스터!$B$3:$B$202,MATCH($D175,품목마스터!$A$3:$A$202,0)),"미등록품번"))</f>
        <v/>
      </c>
      <c r="F175" s="12" t="str">
        <f aca="false">IF($D175="","",IFERROR(INDEX(품목마스터!$D$3:$D$202,MATCH($D175,품목마스터!$A$3:$A$202,0)),""))</f>
        <v/>
      </c>
      <c r="G175" s="9"/>
      <c r="H175" s="9"/>
      <c r="I175" s="13" t="str">
        <f aca="false">IF(OR($G175="",$H175=""),"",ROUND($G175*$H175,0))</f>
        <v/>
      </c>
      <c r="J175" s="7"/>
    </row>
    <row r="176" customFormat="false" ht="15" hidden="false" customHeight="true" outlineLevel="0" collapsed="false">
      <c r="A176" s="11"/>
      <c r="B176" s="7"/>
      <c r="C176" s="12" t="str">
        <f aca="false">IF($B176="","",IFERROR(INDEX(거래처마스터!$B$3:$B$102,MATCH($B176,거래처마스터!$A$3:$A$102,0)),"미등록"))</f>
        <v/>
      </c>
      <c r="D176" s="7"/>
      <c r="E176" s="12" t="str">
        <f aca="false">IF($D176="","",IFERROR(INDEX(품목마스터!$B$3:$B$202,MATCH($D176,품목마스터!$A$3:$A$202,0)),"미등록품번"))</f>
        <v/>
      </c>
      <c r="F176" s="12" t="str">
        <f aca="false">IF($D176="","",IFERROR(INDEX(품목마스터!$D$3:$D$202,MATCH($D176,품목마스터!$A$3:$A$202,0)),""))</f>
        <v/>
      </c>
      <c r="G176" s="9"/>
      <c r="H176" s="9"/>
      <c r="I176" s="13" t="str">
        <f aca="false">IF(OR($G176="",$H176=""),"",ROUND($G176*$H176,0))</f>
        <v/>
      </c>
      <c r="J176" s="7"/>
    </row>
    <row r="177" customFormat="false" ht="15" hidden="false" customHeight="true" outlineLevel="0" collapsed="false">
      <c r="A177" s="11"/>
      <c r="B177" s="7"/>
      <c r="C177" s="12" t="str">
        <f aca="false">IF($B177="","",IFERROR(INDEX(거래처마스터!$B$3:$B$102,MATCH($B177,거래처마스터!$A$3:$A$102,0)),"미등록"))</f>
        <v/>
      </c>
      <c r="D177" s="7"/>
      <c r="E177" s="12" t="str">
        <f aca="false">IF($D177="","",IFERROR(INDEX(품목마스터!$B$3:$B$202,MATCH($D177,품목마스터!$A$3:$A$202,0)),"미등록품번"))</f>
        <v/>
      </c>
      <c r="F177" s="12" t="str">
        <f aca="false">IF($D177="","",IFERROR(INDEX(품목마스터!$D$3:$D$202,MATCH($D177,품목마스터!$A$3:$A$202,0)),""))</f>
        <v/>
      </c>
      <c r="G177" s="9"/>
      <c r="H177" s="9"/>
      <c r="I177" s="13" t="str">
        <f aca="false">IF(OR($G177="",$H177=""),"",ROUND($G177*$H177,0))</f>
        <v/>
      </c>
      <c r="J177" s="7"/>
    </row>
    <row r="178" customFormat="false" ht="15" hidden="false" customHeight="true" outlineLevel="0" collapsed="false">
      <c r="A178" s="11"/>
      <c r="B178" s="7"/>
      <c r="C178" s="12" t="str">
        <f aca="false">IF($B178="","",IFERROR(INDEX(거래처마스터!$B$3:$B$102,MATCH($B178,거래처마스터!$A$3:$A$102,0)),"미등록"))</f>
        <v/>
      </c>
      <c r="D178" s="7"/>
      <c r="E178" s="12" t="str">
        <f aca="false">IF($D178="","",IFERROR(INDEX(품목마스터!$B$3:$B$202,MATCH($D178,품목마스터!$A$3:$A$202,0)),"미등록품번"))</f>
        <v/>
      </c>
      <c r="F178" s="12" t="str">
        <f aca="false">IF($D178="","",IFERROR(INDEX(품목마스터!$D$3:$D$202,MATCH($D178,품목마스터!$A$3:$A$202,0)),""))</f>
        <v/>
      </c>
      <c r="G178" s="9"/>
      <c r="H178" s="9"/>
      <c r="I178" s="13" t="str">
        <f aca="false">IF(OR($G178="",$H178=""),"",ROUND($G178*$H178,0))</f>
        <v/>
      </c>
      <c r="J178" s="7"/>
    </row>
    <row r="179" customFormat="false" ht="15" hidden="false" customHeight="true" outlineLevel="0" collapsed="false">
      <c r="A179" s="11"/>
      <c r="B179" s="7"/>
      <c r="C179" s="12" t="str">
        <f aca="false">IF($B179="","",IFERROR(INDEX(거래처마스터!$B$3:$B$102,MATCH($B179,거래처마스터!$A$3:$A$102,0)),"미등록"))</f>
        <v/>
      </c>
      <c r="D179" s="7"/>
      <c r="E179" s="12" t="str">
        <f aca="false">IF($D179="","",IFERROR(INDEX(품목마스터!$B$3:$B$202,MATCH($D179,품목마스터!$A$3:$A$202,0)),"미등록품번"))</f>
        <v/>
      </c>
      <c r="F179" s="12" t="str">
        <f aca="false">IF($D179="","",IFERROR(INDEX(품목마스터!$D$3:$D$202,MATCH($D179,품목마스터!$A$3:$A$202,0)),""))</f>
        <v/>
      </c>
      <c r="G179" s="9"/>
      <c r="H179" s="9"/>
      <c r="I179" s="13" t="str">
        <f aca="false">IF(OR($G179="",$H179=""),"",ROUND($G179*$H179,0))</f>
        <v/>
      </c>
      <c r="J179" s="7"/>
    </row>
    <row r="180" customFormat="false" ht="15" hidden="false" customHeight="true" outlineLevel="0" collapsed="false">
      <c r="A180" s="11"/>
      <c r="B180" s="7"/>
      <c r="C180" s="12" t="str">
        <f aca="false">IF($B180="","",IFERROR(INDEX(거래처마스터!$B$3:$B$102,MATCH($B180,거래처마스터!$A$3:$A$102,0)),"미등록"))</f>
        <v/>
      </c>
      <c r="D180" s="7"/>
      <c r="E180" s="12" t="str">
        <f aca="false">IF($D180="","",IFERROR(INDEX(품목마스터!$B$3:$B$202,MATCH($D180,품목마스터!$A$3:$A$202,0)),"미등록품번"))</f>
        <v/>
      </c>
      <c r="F180" s="12" t="str">
        <f aca="false">IF($D180="","",IFERROR(INDEX(품목마스터!$D$3:$D$202,MATCH($D180,품목마스터!$A$3:$A$202,0)),""))</f>
        <v/>
      </c>
      <c r="G180" s="9"/>
      <c r="H180" s="9"/>
      <c r="I180" s="13" t="str">
        <f aca="false">IF(OR($G180="",$H180=""),"",ROUND($G180*$H180,0))</f>
        <v/>
      </c>
      <c r="J180" s="7"/>
    </row>
    <row r="181" customFormat="false" ht="15" hidden="false" customHeight="true" outlineLevel="0" collapsed="false">
      <c r="A181" s="11"/>
      <c r="B181" s="7"/>
      <c r="C181" s="12" t="str">
        <f aca="false">IF($B181="","",IFERROR(INDEX(거래처마스터!$B$3:$B$102,MATCH($B181,거래처마스터!$A$3:$A$102,0)),"미등록"))</f>
        <v/>
      </c>
      <c r="D181" s="7"/>
      <c r="E181" s="12" t="str">
        <f aca="false">IF($D181="","",IFERROR(INDEX(품목마스터!$B$3:$B$202,MATCH($D181,품목마스터!$A$3:$A$202,0)),"미등록품번"))</f>
        <v/>
      </c>
      <c r="F181" s="12" t="str">
        <f aca="false">IF($D181="","",IFERROR(INDEX(품목마스터!$D$3:$D$202,MATCH($D181,품목마스터!$A$3:$A$202,0)),""))</f>
        <v/>
      </c>
      <c r="G181" s="9"/>
      <c r="H181" s="9"/>
      <c r="I181" s="13" t="str">
        <f aca="false">IF(OR($G181="",$H181=""),"",ROUND($G181*$H181,0))</f>
        <v/>
      </c>
      <c r="J181" s="7"/>
    </row>
    <row r="182" customFormat="false" ht="15" hidden="false" customHeight="true" outlineLevel="0" collapsed="false">
      <c r="A182" s="11"/>
      <c r="B182" s="7"/>
      <c r="C182" s="12" t="str">
        <f aca="false">IF($B182="","",IFERROR(INDEX(거래처마스터!$B$3:$B$102,MATCH($B182,거래처마스터!$A$3:$A$102,0)),"미등록"))</f>
        <v/>
      </c>
      <c r="D182" s="7"/>
      <c r="E182" s="12" t="str">
        <f aca="false">IF($D182="","",IFERROR(INDEX(품목마스터!$B$3:$B$202,MATCH($D182,품목마스터!$A$3:$A$202,0)),"미등록품번"))</f>
        <v/>
      </c>
      <c r="F182" s="12" t="str">
        <f aca="false">IF($D182="","",IFERROR(INDEX(품목마스터!$D$3:$D$202,MATCH($D182,품목마스터!$A$3:$A$202,0)),""))</f>
        <v/>
      </c>
      <c r="G182" s="9"/>
      <c r="H182" s="9"/>
      <c r="I182" s="13" t="str">
        <f aca="false">IF(OR($G182="",$H182=""),"",ROUND($G182*$H182,0))</f>
        <v/>
      </c>
      <c r="J182" s="7"/>
    </row>
    <row r="183" customFormat="false" ht="15" hidden="false" customHeight="true" outlineLevel="0" collapsed="false">
      <c r="A183" s="11"/>
      <c r="B183" s="7"/>
      <c r="C183" s="12" t="str">
        <f aca="false">IF($B183="","",IFERROR(INDEX(거래처마스터!$B$3:$B$102,MATCH($B183,거래처마스터!$A$3:$A$102,0)),"미등록"))</f>
        <v/>
      </c>
      <c r="D183" s="7"/>
      <c r="E183" s="12" t="str">
        <f aca="false">IF($D183="","",IFERROR(INDEX(품목마스터!$B$3:$B$202,MATCH($D183,품목마스터!$A$3:$A$202,0)),"미등록품번"))</f>
        <v/>
      </c>
      <c r="F183" s="12" t="str">
        <f aca="false">IF($D183="","",IFERROR(INDEX(품목마스터!$D$3:$D$202,MATCH($D183,품목마스터!$A$3:$A$202,0)),""))</f>
        <v/>
      </c>
      <c r="G183" s="9"/>
      <c r="H183" s="9"/>
      <c r="I183" s="13" t="str">
        <f aca="false">IF(OR($G183="",$H183=""),"",ROUND($G183*$H183,0))</f>
        <v/>
      </c>
      <c r="J183" s="7"/>
    </row>
    <row r="184" customFormat="false" ht="15" hidden="false" customHeight="true" outlineLevel="0" collapsed="false">
      <c r="A184" s="11"/>
      <c r="B184" s="7"/>
      <c r="C184" s="12" t="str">
        <f aca="false">IF($B184="","",IFERROR(INDEX(거래처마스터!$B$3:$B$102,MATCH($B184,거래처마스터!$A$3:$A$102,0)),"미등록"))</f>
        <v/>
      </c>
      <c r="D184" s="7"/>
      <c r="E184" s="12" t="str">
        <f aca="false">IF($D184="","",IFERROR(INDEX(품목마스터!$B$3:$B$202,MATCH($D184,품목마스터!$A$3:$A$202,0)),"미등록품번"))</f>
        <v/>
      </c>
      <c r="F184" s="12" t="str">
        <f aca="false">IF($D184="","",IFERROR(INDEX(품목마스터!$D$3:$D$202,MATCH($D184,품목마스터!$A$3:$A$202,0)),""))</f>
        <v/>
      </c>
      <c r="G184" s="9"/>
      <c r="H184" s="9"/>
      <c r="I184" s="13" t="str">
        <f aca="false">IF(OR($G184="",$H184=""),"",ROUND($G184*$H184,0))</f>
        <v/>
      </c>
      <c r="J184" s="7"/>
    </row>
    <row r="185" customFormat="false" ht="15" hidden="false" customHeight="true" outlineLevel="0" collapsed="false">
      <c r="A185" s="11"/>
      <c r="B185" s="7"/>
      <c r="C185" s="12" t="str">
        <f aca="false">IF($B185="","",IFERROR(INDEX(거래처마스터!$B$3:$B$102,MATCH($B185,거래처마스터!$A$3:$A$102,0)),"미등록"))</f>
        <v/>
      </c>
      <c r="D185" s="7"/>
      <c r="E185" s="12" t="str">
        <f aca="false">IF($D185="","",IFERROR(INDEX(품목마스터!$B$3:$B$202,MATCH($D185,품목마스터!$A$3:$A$202,0)),"미등록품번"))</f>
        <v/>
      </c>
      <c r="F185" s="12" t="str">
        <f aca="false">IF($D185="","",IFERROR(INDEX(품목마스터!$D$3:$D$202,MATCH($D185,품목마스터!$A$3:$A$202,0)),""))</f>
        <v/>
      </c>
      <c r="G185" s="9"/>
      <c r="H185" s="9"/>
      <c r="I185" s="13" t="str">
        <f aca="false">IF(OR($G185="",$H185=""),"",ROUND($G185*$H185,0))</f>
        <v/>
      </c>
      <c r="J185" s="7"/>
    </row>
    <row r="186" customFormat="false" ht="15" hidden="false" customHeight="true" outlineLevel="0" collapsed="false">
      <c r="A186" s="11"/>
      <c r="B186" s="7"/>
      <c r="C186" s="12" t="str">
        <f aca="false">IF($B186="","",IFERROR(INDEX(거래처마스터!$B$3:$B$102,MATCH($B186,거래처마스터!$A$3:$A$102,0)),"미등록"))</f>
        <v/>
      </c>
      <c r="D186" s="7"/>
      <c r="E186" s="12" t="str">
        <f aca="false">IF($D186="","",IFERROR(INDEX(품목마스터!$B$3:$B$202,MATCH($D186,품목마스터!$A$3:$A$202,0)),"미등록품번"))</f>
        <v/>
      </c>
      <c r="F186" s="12" t="str">
        <f aca="false">IF($D186="","",IFERROR(INDEX(품목마스터!$D$3:$D$202,MATCH($D186,품목마스터!$A$3:$A$202,0)),""))</f>
        <v/>
      </c>
      <c r="G186" s="9"/>
      <c r="H186" s="9"/>
      <c r="I186" s="13" t="str">
        <f aca="false">IF(OR($G186="",$H186=""),"",ROUND($G186*$H186,0))</f>
        <v/>
      </c>
      <c r="J186" s="7"/>
    </row>
    <row r="187" customFormat="false" ht="15" hidden="false" customHeight="true" outlineLevel="0" collapsed="false">
      <c r="A187" s="11"/>
      <c r="B187" s="7"/>
      <c r="C187" s="12" t="str">
        <f aca="false">IF($B187="","",IFERROR(INDEX(거래처마스터!$B$3:$B$102,MATCH($B187,거래처마스터!$A$3:$A$102,0)),"미등록"))</f>
        <v/>
      </c>
      <c r="D187" s="7"/>
      <c r="E187" s="12" t="str">
        <f aca="false">IF($D187="","",IFERROR(INDEX(품목마스터!$B$3:$B$202,MATCH($D187,품목마스터!$A$3:$A$202,0)),"미등록품번"))</f>
        <v/>
      </c>
      <c r="F187" s="12" t="str">
        <f aca="false">IF($D187="","",IFERROR(INDEX(품목마스터!$D$3:$D$202,MATCH($D187,품목마스터!$A$3:$A$202,0)),""))</f>
        <v/>
      </c>
      <c r="G187" s="9"/>
      <c r="H187" s="9"/>
      <c r="I187" s="13" t="str">
        <f aca="false">IF(OR($G187="",$H187=""),"",ROUND($G187*$H187,0))</f>
        <v/>
      </c>
      <c r="J187" s="7"/>
    </row>
    <row r="188" customFormat="false" ht="15" hidden="false" customHeight="true" outlineLevel="0" collapsed="false">
      <c r="A188" s="11"/>
      <c r="B188" s="7"/>
      <c r="C188" s="12" t="str">
        <f aca="false">IF($B188="","",IFERROR(INDEX(거래처마스터!$B$3:$B$102,MATCH($B188,거래처마스터!$A$3:$A$102,0)),"미등록"))</f>
        <v/>
      </c>
      <c r="D188" s="7"/>
      <c r="E188" s="12" t="str">
        <f aca="false">IF($D188="","",IFERROR(INDEX(품목마스터!$B$3:$B$202,MATCH($D188,품목마스터!$A$3:$A$202,0)),"미등록품번"))</f>
        <v/>
      </c>
      <c r="F188" s="12" t="str">
        <f aca="false">IF($D188="","",IFERROR(INDEX(품목마스터!$D$3:$D$202,MATCH($D188,품목마스터!$A$3:$A$202,0)),""))</f>
        <v/>
      </c>
      <c r="G188" s="9"/>
      <c r="H188" s="9"/>
      <c r="I188" s="13" t="str">
        <f aca="false">IF(OR($G188="",$H188=""),"",ROUND($G188*$H188,0))</f>
        <v/>
      </c>
      <c r="J188" s="7"/>
    </row>
    <row r="189" customFormat="false" ht="15" hidden="false" customHeight="true" outlineLevel="0" collapsed="false">
      <c r="A189" s="11"/>
      <c r="B189" s="7"/>
      <c r="C189" s="12" t="str">
        <f aca="false">IF($B189="","",IFERROR(INDEX(거래처마스터!$B$3:$B$102,MATCH($B189,거래처마스터!$A$3:$A$102,0)),"미등록"))</f>
        <v/>
      </c>
      <c r="D189" s="7"/>
      <c r="E189" s="12" t="str">
        <f aca="false">IF($D189="","",IFERROR(INDEX(품목마스터!$B$3:$B$202,MATCH($D189,품목마스터!$A$3:$A$202,0)),"미등록품번"))</f>
        <v/>
      </c>
      <c r="F189" s="12" t="str">
        <f aca="false">IF($D189="","",IFERROR(INDEX(품목마스터!$D$3:$D$202,MATCH($D189,품목마스터!$A$3:$A$202,0)),""))</f>
        <v/>
      </c>
      <c r="G189" s="9"/>
      <c r="H189" s="9"/>
      <c r="I189" s="13" t="str">
        <f aca="false">IF(OR($G189="",$H189=""),"",ROUND($G189*$H189,0))</f>
        <v/>
      </c>
      <c r="J189" s="7"/>
    </row>
    <row r="190" customFormat="false" ht="15" hidden="false" customHeight="true" outlineLevel="0" collapsed="false">
      <c r="A190" s="11"/>
      <c r="B190" s="7"/>
      <c r="C190" s="12" t="str">
        <f aca="false">IF($B190="","",IFERROR(INDEX(거래처마스터!$B$3:$B$102,MATCH($B190,거래처마스터!$A$3:$A$102,0)),"미등록"))</f>
        <v/>
      </c>
      <c r="D190" s="7"/>
      <c r="E190" s="12" t="str">
        <f aca="false">IF($D190="","",IFERROR(INDEX(품목마스터!$B$3:$B$202,MATCH($D190,품목마스터!$A$3:$A$202,0)),"미등록품번"))</f>
        <v/>
      </c>
      <c r="F190" s="12" t="str">
        <f aca="false">IF($D190="","",IFERROR(INDEX(품목마스터!$D$3:$D$202,MATCH($D190,품목마스터!$A$3:$A$202,0)),""))</f>
        <v/>
      </c>
      <c r="G190" s="9"/>
      <c r="H190" s="9"/>
      <c r="I190" s="13" t="str">
        <f aca="false">IF(OR($G190="",$H190=""),"",ROUND($G190*$H190,0))</f>
        <v/>
      </c>
      <c r="J190" s="7"/>
    </row>
    <row r="191" customFormat="false" ht="15" hidden="false" customHeight="true" outlineLevel="0" collapsed="false">
      <c r="A191" s="11"/>
      <c r="B191" s="7"/>
      <c r="C191" s="12" t="str">
        <f aca="false">IF($B191="","",IFERROR(INDEX(거래처마스터!$B$3:$B$102,MATCH($B191,거래처마스터!$A$3:$A$102,0)),"미등록"))</f>
        <v/>
      </c>
      <c r="D191" s="7"/>
      <c r="E191" s="12" t="str">
        <f aca="false">IF($D191="","",IFERROR(INDEX(품목마스터!$B$3:$B$202,MATCH($D191,품목마스터!$A$3:$A$202,0)),"미등록품번"))</f>
        <v/>
      </c>
      <c r="F191" s="12" t="str">
        <f aca="false">IF($D191="","",IFERROR(INDEX(품목마스터!$D$3:$D$202,MATCH($D191,품목마스터!$A$3:$A$202,0)),""))</f>
        <v/>
      </c>
      <c r="G191" s="9"/>
      <c r="H191" s="9"/>
      <c r="I191" s="13" t="str">
        <f aca="false">IF(OR($G191="",$H191=""),"",ROUND($G191*$H191,0))</f>
        <v/>
      </c>
      <c r="J191" s="7"/>
    </row>
    <row r="192" customFormat="false" ht="15" hidden="false" customHeight="true" outlineLevel="0" collapsed="false">
      <c r="A192" s="11"/>
      <c r="B192" s="7"/>
      <c r="C192" s="12" t="str">
        <f aca="false">IF($B192="","",IFERROR(INDEX(거래처마스터!$B$3:$B$102,MATCH($B192,거래처마스터!$A$3:$A$102,0)),"미등록"))</f>
        <v/>
      </c>
      <c r="D192" s="7"/>
      <c r="E192" s="12" t="str">
        <f aca="false">IF($D192="","",IFERROR(INDEX(품목마스터!$B$3:$B$202,MATCH($D192,품목마스터!$A$3:$A$202,0)),"미등록품번"))</f>
        <v/>
      </c>
      <c r="F192" s="12" t="str">
        <f aca="false">IF($D192="","",IFERROR(INDEX(품목마스터!$D$3:$D$202,MATCH($D192,품목마스터!$A$3:$A$202,0)),""))</f>
        <v/>
      </c>
      <c r="G192" s="9"/>
      <c r="H192" s="9"/>
      <c r="I192" s="13" t="str">
        <f aca="false">IF(OR($G192="",$H192=""),"",ROUND($G192*$H192,0))</f>
        <v/>
      </c>
      <c r="J192" s="7"/>
    </row>
    <row r="193" customFormat="false" ht="15" hidden="false" customHeight="true" outlineLevel="0" collapsed="false">
      <c r="A193" s="11"/>
      <c r="B193" s="7"/>
      <c r="C193" s="12" t="str">
        <f aca="false">IF($B193="","",IFERROR(INDEX(거래처마스터!$B$3:$B$102,MATCH($B193,거래처마스터!$A$3:$A$102,0)),"미등록"))</f>
        <v/>
      </c>
      <c r="D193" s="7"/>
      <c r="E193" s="12" t="str">
        <f aca="false">IF($D193="","",IFERROR(INDEX(품목마스터!$B$3:$B$202,MATCH($D193,품목마스터!$A$3:$A$202,0)),"미등록품번"))</f>
        <v/>
      </c>
      <c r="F193" s="12" t="str">
        <f aca="false">IF($D193="","",IFERROR(INDEX(품목마스터!$D$3:$D$202,MATCH($D193,품목마스터!$A$3:$A$202,0)),""))</f>
        <v/>
      </c>
      <c r="G193" s="9"/>
      <c r="H193" s="9"/>
      <c r="I193" s="13" t="str">
        <f aca="false">IF(OR($G193="",$H193=""),"",ROUND($G193*$H193,0))</f>
        <v/>
      </c>
      <c r="J193" s="7"/>
    </row>
    <row r="194" customFormat="false" ht="15" hidden="false" customHeight="true" outlineLevel="0" collapsed="false">
      <c r="A194" s="11"/>
      <c r="B194" s="7"/>
      <c r="C194" s="12" t="str">
        <f aca="false">IF($B194="","",IFERROR(INDEX(거래처마스터!$B$3:$B$102,MATCH($B194,거래처마스터!$A$3:$A$102,0)),"미등록"))</f>
        <v/>
      </c>
      <c r="D194" s="7"/>
      <c r="E194" s="12" t="str">
        <f aca="false">IF($D194="","",IFERROR(INDEX(품목마스터!$B$3:$B$202,MATCH($D194,품목마스터!$A$3:$A$202,0)),"미등록품번"))</f>
        <v/>
      </c>
      <c r="F194" s="12" t="str">
        <f aca="false">IF($D194="","",IFERROR(INDEX(품목마스터!$D$3:$D$202,MATCH($D194,품목마스터!$A$3:$A$202,0)),""))</f>
        <v/>
      </c>
      <c r="G194" s="9"/>
      <c r="H194" s="9"/>
      <c r="I194" s="13" t="str">
        <f aca="false">IF(OR($G194="",$H194=""),"",ROUND($G194*$H194,0))</f>
        <v/>
      </c>
      <c r="J194" s="7"/>
    </row>
    <row r="195" customFormat="false" ht="15" hidden="false" customHeight="true" outlineLevel="0" collapsed="false">
      <c r="A195" s="11"/>
      <c r="B195" s="7"/>
      <c r="C195" s="12" t="str">
        <f aca="false">IF($B195="","",IFERROR(INDEX(거래처마스터!$B$3:$B$102,MATCH($B195,거래처마스터!$A$3:$A$102,0)),"미등록"))</f>
        <v/>
      </c>
      <c r="D195" s="7"/>
      <c r="E195" s="12" t="str">
        <f aca="false">IF($D195="","",IFERROR(INDEX(품목마스터!$B$3:$B$202,MATCH($D195,품목마스터!$A$3:$A$202,0)),"미등록품번"))</f>
        <v/>
      </c>
      <c r="F195" s="12" t="str">
        <f aca="false">IF($D195="","",IFERROR(INDEX(품목마스터!$D$3:$D$202,MATCH($D195,품목마스터!$A$3:$A$202,0)),""))</f>
        <v/>
      </c>
      <c r="G195" s="9"/>
      <c r="H195" s="9"/>
      <c r="I195" s="13" t="str">
        <f aca="false">IF(OR($G195="",$H195=""),"",ROUND($G195*$H195,0))</f>
        <v/>
      </c>
      <c r="J195" s="7"/>
    </row>
    <row r="196" customFormat="false" ht="15" hidden="false" customHeight="true" outlineLevel="0" collapsed="false">
      <c r="A196" s="11"/>
      <c r="B196" s="7"/>
      <c r="C196" s="12" t="str">
        <f aca="false">IF($B196="","",IFERROR(INDEX(거래처마스터!$B$3:$B$102,MATCH($B196,거래처마스터!$A$3:$A$102,0)),"미등록"))</f>
        <v/>
      </c>
      <c r="D196" s="7"/>
      <c r="E196" s="12" t="str">
        <f aca="false">IF($D196="","",IFERROR(INDEX(품목마스터!$B$3:$B$202,MATCH($D196,품목마스터!$A$3:$A$202,0)),"미등록품번"))</f>
        <v/>
      </c>
      <c r="F196" s="12" t="str">
        <f aca="false">IF($D196="","",IFERROR(INDEX(품목마스터!$D$3:$D$202,MATCH($D196,품목마스터!$A$3:$A$202,0)),""))</f>
        <v/>
      </c>
      <c r="G196" s="9"/>
      <c r="H196" s="9"/>
      <c r="I196" s="13" t="str">
        <f aca="false">IF(OR($G196="",$H196=""),"",ROUND($G196*$H196,0))</f>
        <v/>
      </c>
      <c r="J196" s="7"/>
    </row>
    <row r="197" customFormat="false" ht="15" hidden="false" customHeight="true" outlineLevel="0" collapsed="false">
      <c r="A197" s="11"/>
      <c r="B197" s="7"/>
      <c r="C197" s="12" t="str">
        <f aca="false">IF($B197="","",IFERROR(INDEX(거래처마스터!$B$3:$B$102,MATCH($B197,거래처마스터!$A$3:$A$102,0)),"미등록"))</f>
        <v/>
      </c>
      <c r="D197" s="7"/>
      <c r="E197" s="12" t="str">
        <f aca="false">IF($D197="","",IFERROR(INDEX(품목마스터!$B$3:$B$202,MATCH($D197,품목마스터!$A$3:$A$202,0)),"미등록품번"))</f>
        <v/>
      </c>
      <c r="F197" s="12" t="str">
        <f aca="false">IF($D197="","",IFERROR(INDEX(품목마스터!$D$3:$D$202,MATCH($D197,품목마스터!$A$3:$A$202,0)),""))</f>
        <v/>
      </c>
      <c r="G197" s="9"/>
      <c r="H197" s="9"/>
      <c r="I197" s="13" t="str">
        <f aca="false">IF(OR($G197="",$H197=""),"",ROUND($G197*$H197,0))</f>
        <v/>
      </c>
      <c r="J197" s="7"/>
    </row>
    <row r="198" customFormat="false" ht="15" hidden="false" customHeight="true" outlineLevel="0" collapsed="false">
      <c r="A198" s="11"/>
      <c r="B198" s="7"/>
      <c r="C198" s="12" t="str">
        <f aca="false">IF($B198="","",IFERROR(INDEX(거래처마스터!$B$3:$B$102,MATCH($B198,거래처마스터!$A$3:$A$102,0)),"미등록"))</f>
        <v/>
      </c>
      <c r="D198" s="7"/>
      <c r="E198" s="12" t="str">
        <f aca="false">IF($D198="","",IFERROR(INDEX(품목마스터!$B$3:$B$202,MATCH($D198,품목마스터!$A$3:$A$202,0)),"미등록품번"))</f>
        <v/>
      </c>
      <c r="F198" s="12" t="str">
        <f aca="false">IF($D198="","",IFERROR(INDEX(품목마스터!$D$3:$D$202,MATCH($D198,품목마스터!$A$3:$A$202,0)),""))</f>
        <v/>
      </c>
      <c r="G198" s="9"/>
      <c r="H198" s="9"/>
      <c r="I198" s="13" t="str">
        <f aca="false">IF(OR($G198="",$H198=""),"",ROUND($G198*$H198,0))</f>
        <v/>
      </c>
      <c r="J198" s="7"/>
    </row>
    <row r="199" customFormat="false" ht="15" hidden="false" customHeight="true" outlineLevel="0" collapsed="false">
      <c r="A199" s="11"/>
      <c r="B199" s="7"/>
      <c r="C199" s="12" t="str">
        <f aca="false">IF($B199="","",IFERROR(INDEX(거래처마스터!$B$3:$B$102,MATCH($B199,거래처마스터!$A$3:$A$102,0)),"미등록"))</f>
        <v/>
      </c>
      <c r="D199" s="7"/>
      <c r="E199" s="12" t="str">
        <f aca="false">IF($D199="","",IFERROR(INDEX(품목마스터!$B$3:$B$202,MATCH($D199,품목마스터!$A$3:$A$202,0)),"미등록품번"))</f>
        <v/>
      </c>
      <c r="F199" s="12" t="str">
        <f aca="false">IF($D199="","",IFERROR(INDEX(품목마스터!$D$3:$D$202,MATCH($D199,품목마스터!$A$3:$A$202,0)),""))</f>
        <v/>
      </c>
      <c r="G199" s="9"/>
      <c r="H199" s="9"/>
      <c r="I199" s="13" t="str">
        <f aca="false">IF(OR($G199="",$H199=""),"",ROUND($G199*$H199,0))</f>
        <v/>
      </c>
      <c r="J199" s="7"/>
    </row>
    <row r="200" customFormat="false" ht="15" hidden="false" customHeight="true" outlineLevel="0" collapsed="false">
      <c r="A200" s="11"/>
      <c r="B200" s="7"/>
      <c r="C200" s="12" t="str">
        <f aca="false">IF($B200="","",IFERROR(INDEX(거래처마스터!$B$3:$B$102,MATCH($B200,거래처마스터!$A$3:$A$102,0)),"미등록"))</f>
        <v/>
      </c>
      <c r="D200" s="7"/>
      <c r="E200" s="12" t="str">
        <f aca="false">IF($D200="","",IFERROR(INDEX(품목마스터!$B$3:$B$202,MATCH($D200,품목마스터!$A$3:$A$202,0)),"미등록품번"))</f>
        <v/>
      </c>
      <c r="F200" s="12" t="str">
        <f aca="false">IF($D200="","",IFERROR(INDEX(품목마스터!$D$3:$D$202,MATCH($D200,품목마스터!$A$3:$A$202,0)),""))</f>
        <v/>
      </c>
      <c r="G200" s="9"/>
      <c r="H200" s="9"/>
      <c r="I200" s="13" t="str">
        <f aca="false">IF(OR($G200="",$H200=""),"",ROUND($G200*$H200,0))</f>
        <v/>
      </c>
      <c r="J200" s="7"/>
    </row>
    <row r="201" customFormat="false" ht="15" hidden="false" customHeight="true" outlineLevel="0" collapsed="false">
      <c r="A201" s="11"/>
      <c r="B201" s="7"/>
      <c r="C201" s="12" t="str">
        <f aca="false">IF($B201="","",IFERROR(INDEX(거래처마스터!$B$3:$B$102,MATCH($B201,거래처마스터!$A$3:$A$102,0)),"미등록"))</f>
        <v/>
      </c>
      <c r="D201" s="7"/>
      <c r="E201" s="12" t="str">
        <f aca="false">IF($D201="","",IFERROR(INDEX(품목마스터!$B$3:$B$202,MATCH($D201,품목마스터!$A$3:$A$202,0)),"미등록품번"))</f>
        <v/>
      </c>
      <c r="F201" s="12" t="str">
        <f aca="false">IF($D201="","",IFERROR(INDEX(품목마스터!$D$3:$D$202,MATCH($D201,품목마스터!$A$3:$A$202,0)),""))</f>
        <v/>
      </c>
      <c r="G201" s="9"/>
      <c r="H201" s="9"/>
      <c r="I201" s="13" t="str">
        <f aca="false">IF(OR($G201="",$H201=""),"",ROUND($G201*$H201,0))</f>
        <v/>
      </c>
      <c r="J201" s="7"/>
    </row>
    <row r="202" customFormat="false" ht="15" hidden="false" customHeight="true" outlineLevel="0" collapsed="false">
      <c r="A202" s="11"/>
      <c r="B202" s="7"/>
      <c r="C202" s="12" t="str">
        <f aca="false">IF($B202="","",IFERROR(INDEX(거래처마스터!$B$3:$B$102,MATCH($B202,거래처마스터!$A$3:$A$102,0)),"미등록"))</f>
        <v/>
      </c>
      <c r="D202" s="7"/>
      <c r="E202" s="12" t="str">
        <f aca="false">IF($D202="","",IFERROR(INDEX(품목마스터!$B$3:$B$202,MATCH($D202,품목마스터!$A$3:$A$202,0)),"미등록품번"))</f>
        <v/>
      </c>
      <c r="F202" s="12" t="str">
        <f aca="false">IF($D202="","",IFERROR(INDEX(품목마스터!$D$3:$D$202,MATCH($D202,품목마스터!$A$3:$A$202,0)),""))</f>
        <v/>
      </c>
      <c r="G202" s="9"/>
      <c r="H202" s="9"/>
      <c r="I202" s="13" t="str">
        <f aca="false">IF(OR($G202="",$H202=""),"",ROUND($G202*$H202,0))</f>
        <v/>
      </c>
      <c r="J202" s="7"/>
    </row>
    <row r="203" customFormat="false" ht="15" hidden="false" customHeight="true" outlineLevel="0" collapsed="false">
      <c r="A203" s="11"/>
      <c r="B203" s="7"/>
      <c r="C203" s="12" t="str">
        <f aca="false">IF($B203="","",IFERROR(INDEX(거래처마스터!$B$3:$B$102,MATCH($B203,거래처마스터!$A$3:$A$102,0)),"미등록"))</f>
        <v/>
      </c>
      <c r="D203" s="7"/>
      <c r="E203" s="12" t="str">
        <f aca="false">IF($D203="","",IFERROR(INDEX(품목마스터!$B$3:$B$202,MATCH($D203,품목마스터!$A$3:$A$202,0)),"미등록품번"))</f>
        <v/>
      </c>
      <c r="F203" s="12" t="str">
        <f aca="false">IF($D203="","",IFERROR(INDEX(품목마스터!$D$3:$D$202,MATCH($D203,품목마스터!$A$3:$A$202,0)),""))</f>
        <v/>
      </c>
      <c r="G203" s="9"/>
      <c r="H203" s="9"/>
      <c r="I203" s="13" t="str">
        <f aca="false">IF(OR($G203="",$H203=""),"",ROUND($G203*$H203,0))</f>
        <v/>
      </c>
      <c r="J203" s="7"/>
    </row>
    <row r="204" customFormat="false" ht="15" hidden="false" customHeight="true" outlineLevel="0" collapsed="false">
      <c r="A204" s="11"/>
      <c r="B204" s="7"/>
      <c r="C204" s="12" t="str">
        <f aca="false">IF($B204="","",IFERROR(INDEX(거래처마스터!$B$3:$B$102,MATCH($B204,거래처마스터!$A$3:$A$102,0)),"미등록"))</f>
        <v/>
      </c>
      <c r="D204" s="7"/>
      <c r="E204" s="12" t="str">
        <f aca="false">IF($D204="","",IFERROR(INDEX(품목마스터!$B$3:$B$202,MATCH($D204,품목마스터!$A$3:$A$202,0)),"미등록품번"))</f>
        <v/>
      </c>
      <c r="F204" s="12" t="str">
        <f aca="false">IF($D204="","",IFERROR(INDEX(품목마스터!$D$3:$D$202,MATCH($D204,품목마스터!$A$3:$A$202,0)),""))</f>
        <v/>
      </c>
      <c r="G204" s="9"/>
      <c r="H204" s="9"/>
      <c r="I204" s="13" t="str">
        <f aca="false">IF(OR($G204="",$H204=""),"",ROUND($G204*$H204,0))</f>
        <v/>
      </c>
      <c r="J204" s="7"/>
    </row>
    <row r="205" customFormat="false" ht="15" hidden="false" customHeight="true" outlineLevel="0" collapsed="false">
      <c r="A205" s="11"/>
      <c r="B205" s="7"/>
      <c r="C205" s="12" t="str">
        <f aca="false">IF($B205="","",IFERROR(INDEX(거래처마스터!$B$3:$B$102,MATCH($B205,거래처마스터!$A$3:$A$102,0)),"미등록"))</f>
        <v/>
      </c>
      <c r="D205" s="7"/>
      <c r="E205" s="12" t="str">
        <f aca="false">IF($D205="","",IFERROR(INDEX(품목마스터!$B$3:$B$202,MATCH($D205,품목마스터!$A$3:$A$202,0)),"미등록품번"))</f>
        <v/>
      </c>
      <c r="F205" s="12" t="str">
        <f aca="false">IF($D205="","",IFERROR(INDEX(품목마스터!$D$3:$D$202,MATCH($D205,품목마스터!$A$3:$A$202,0)),""))</f>
        <v/>
      </c>
      <c r="G205" s="9"/>
      <c r="H205" s="9"/>
      <c r="I205" s="13" t="str">
        <f aca="false">IF(OR($G205="",$H205=""),"",ROUND($G205*$H205,0))</f>
        <v/>
      </c>
      <c r="J205" s="7"/>
    </row>
    <row r="206" customFormat="false" ht="15" hidden="false" customHeight="true" outlineLevel="0" collapsed="false">
      <c r="A206" s="11"/>
      <c r="B206" s="7"/>
      <c r="C206" s="12" t="str">
        <f aca="false">IF($B206="","",IFERROR(INDEX(거래처마스터!$B$3:$B$102,MATCH($B206,거래처마스터!$A$3:$A$102,0)),"미등록"))</f>
        <v/>
      </c>
      <c r="D206" s="7"/>
      <c r="E206" s="12" t="str">
        <f aca="false">IF($D206="","",IFERROR(INDEX(품목마스터!$B$3:$B$202,MATCH($D206,품목마스터!$A$3:$A$202,0)),"미등록품번"))</f>
        <v/>
      </c>
      <c r="F206" s="12" t="str">
        <f aca="false">IF($D206="","",IFERROR(INDEX(품목마스터!$D$3:$D$202,MATCH($D206,품목마스터!$A$3:$A$202,0)),""))</f>
        <v/>
      </c>
      <c r="G206" s="9"/>
      <c r="H206" s="9"/>
      <c r="I206" s="13" t="str">
        <f aca="false">IF(OR($G206="",$H206=""),"",ROUND($G206*$H206,0))</f>
        <v/>
      </c>
      <c r="J206" s="7"/>
    </row>
    <row r="207" customFormat="false" ht="15" hidden="false" customHeight="true" outlineLevel="0" collapsed="false">
      <c r="A207" s="11"/>
      <c r="B207" s="7"/>
      <c r="C207" s="12" t="str">
        <f aca="false">IF($B207="","",IFERROR(INDEX(거래처마스터!$B$3:$B$102,MATCH($B207,거래처마스터!$A$3:$A$102,0)),"미등록"))</f>
        <v/>
      </c>
      <c r="D207" s="7"/>
      <c r="E207" s="12" t="str">
        <f aca="false">IF($D207="","",IFERROR(INDEX(품목마스터!$B$3:$B$202,MATCH($D207,품목마스터!$A$3:$A$202,0)),"미등록품번"))</f>
        <v/>
      </c>
      <c r="F207" s="12" t="str">
        <f aca="false">IF($D207="","",IFERROR(INDEX(품목마스터!$D$3:$D$202,MATCH($D207,품목마스터!$A$3:$A$202,0)),""))</f>
        <v/>
      </c>
      <c r="G207" s="9"/>
      <c r="H207" s="9"/>
      <c r="I207" s="13" t="str">
        <f aca="false">IF(OR($G207="",$H207=""),"",ROUND($G207*$H207,0))</f>
        <v/>
      </c>
      <c r="J207" s="7"/>
    </row>
    <row r="208" customFormat="false" ht="15" hidden="false" customHeight="true" outlineLevel="0" collapsed="false">
      <c r="A208" s="11"/>
      <c r="B208" s="7"/>
      <c r="C208" s="12" t="str">
        <f aca="false">IF($B208="","",IFERROR(INDEX(거래처마스터!$B$3:$B$102,MATCH($B208,거래처마스터!$A$3:$A$102,0)),"미등록"))</f>
        <v/>
      </c>
      <c r="D208" s="7"/>
      <c r="E208" s="12" t="str">
        <f aca="false">IF($D208="","",IFERROR(INDEX(품목마스터!$B$3:$B$202,MATCH($D208,품목마스터!$A$3:$A$202,0)),"미등록품번"))</f>
        <v/>
      </c>
      <c r="F208" s="12" t="str">
        <f aca="false">IF($D208="","",IFERROR(INDEX(품목마스터!$D$3:$D$202,MATCH($D208,품목마스터!$A$3:$A$202,0)),""))</f>
        <v/>
      </c>
      <c r="G208" s="9"/>
      <c r="H208" s="9"/>
      <c r="I208" s="13" t="str">
        <f aca="false">IF(OR($G208="",$H208=""),"",ROUND($G208*$H208,0))</f>
        <v/>
      </c>
      <c r="J208" s="7"/>
    </row>
    <row r="209" customFormat="false" ht="15" hidden="false" customHeight="true" outlineLevel="0" collapsed="false">
      <c r="A209" s="11"/>
      <c r="B209" s="7"/>
      <c r="C209" s="12" t="str">
        <f aca="false">IF($B209="","",IFERROR(INDEX(거래처마스터!$B$3:$B$102,MATCH($B209,거래처마스터!$A$3:$A$102,0)),"미등록"))</f>
        <v/>
      </c>
      <c r="D209" s="7"/>
      <c r="E209" s="12" t="str">
        <f aca="false">IF($D209="","",IFERROR(INDEX(품목마스터!$B$3:$B$202,MATCH($D209,품목마스터!$A$3:$A$202,0)),"미등록품번"))</f>
        <v/>
      </c>
      <c r="F209" s="12" t="str">
        <f aca="false">IF($D209="","",IFERROR(INDEX(품목마스터!$D$3:$D$202,MATCH($D209,품목마스터!$A$3:$A$202,0)),""))</f>
        <v/>
      </c>
      <c r="G209" s="9"/>
      <c r="H209" s="9"/>
      <c r="I209" s="13" t="str">
        <f aca="false">IF(OR($G209="",$H209=""),"",ROUND($G209*$H209,0))</f>
        <v/>
      </c>
      <c r="J209" s="7"/>
    </row>
    <row r="210" customFormat="false" ht="15" hidden="false" customHeight="true" outlineLevel="0" collapsed="false">
      <c r="A210" s="11"/>
      <c r="B210" s="7"/>
      <c r="C210" s="12" t="str">
        <f aca="false">IF($B210="","",IFERROR(INDEX(거래처마스터!$B$3:$B$102,MATCH($B210,거래처마스터!$A$3:$A$102,0)),"미등록"))</f>
        <v/>
      </c>
      <c r="D210" s="7"/>
      <c r="E210" s="12" t="str">
        <f aca="false">IF($D210="","",IFERROR(INDEX(품목마스터!$B$3:$B$202,MATCH($D210,품목마스터!$A$3:$A$202,0)),"미등록품번"))</f>
        <v/>
      </c>
      <c r="F210" s="12" t="str">
        <f aca="false">IF($D210="","",IFERROR(INDEX(품목마스터!$D$3:$D$202,MATCH($D210,품목마스터!$A$3:$A$202,0)),""))</f>
        <v/>
      </c>
      <c r="G210" s="9"/>
      <c r="H210" s="9"/>
      <c r="I210" s="13" t="str">
        <f aca="false">IF(OR($G210="",$H210=""),"",ROUND($G210*$H210,0))</f>
        <v/>
      </c>
      <c r="J210" s="7"/>
    </row>
    <row r="211" customFormat="false" ht="15" hidden="false" customHeight="true" outlineLevel="0" collapsed="false">
      <c r="A211" s="11"/>
      <c r="B211" s="7"/>
      <c r="C211" s="12" t="str">
        <f aca="false">IF($B211="","",IFERROR(INDEX(거래처마스터!$B$3:$B$102,MATCH($B211,거래처마스터!$A$3:$A$102,0)),"미등록"))</f>
        <v/>
      </c>
      <c r="D211" s="7"/>
      <c r="E211" s="12" t="str">
        <f aca="false">IF($D211="","",IFERROR(INDEX(품목마스터!$B$3:$B$202,MATCH($D211,품목마스터!$A$3:$A$202,0)),"미등록품번"))</f>
        <v/>
      </c>
      <c r="F211" s="12" t="str">
        <f aca="false">IF($D211="","",IFERROR(INDEX(품목마스터!$D$3:$D$202,MATCH($D211,품목마스터!$A$3:$A$202,0)),""))</f>
        <v/>
      </c>
      <c r="G211" s="9"/>
      <c r="H211" s="9"/>
      <c r="I211" s="13" t="str">
        <f aca="false">IF(OR($G211="",$H211=""),"",ROUND($G211*$H211,0))</f>
        <v/>
      </c>
      <c r="J211" s="7"/>
    </row>
    <row r="212" customFormat="false" ht="15" hidden="false" customHeight="true" outlineLevel="0" collapsed="false">
      <c r="A212" s="11"/>
      <c r="B212" s="7"/>
      <c r="C212" s="12" t="str">
        <f aca="false">IF($B212="","",IFERROR(INDEX(거래처마스터!$B$3:$B$102,MATCH($B212,거래처마스터!$A$3:$A$102,0)),"미등록"))</f>
        <v/>
      </c>
      <c r="D212" s="7"/>
      <c r="E212" s="12" t="str">
        <f aca="false">IF($D212="","",IFERROR(INDEX(품목마스터!$B$3:$B$202,MATCH($D212,품목마스터!$A$3:$A$202,0)),"미등록품번"))</f>
        <v/>
      </c>
      <c r="F212" s="12" t="str">
        <f aca="false">IF($D212="","",IFERROR(INDEX(품목마스터!$D$3:$D$202,MATCH($D212,품목마스터!$A$3:$A$202,0)),""))</f>
        <v/>
      </c>
      <c r="G212" s="9"/>
      <c r="H212" s="9"/>
      <c r="I212" s="13" t="str">
        <f aca="false">IF(OR($G212="",$H212=""),"",ROUND($G212*$H212,0))</f>
        <v/>
      </c>
      <c r="J212" s="7"/>
    </row>
    <row r="213" customFormat="false" ht="15" hidden="false" customHeight="true" outlineLevel="0" collapsed="false">
      <c r="A213" s="11"/>
      <c r="B213" s="7"/>
      <c r="C213" s="12" t="str">
        <f aca="false">IF($B213="","",IFERROR(INDEX(거래처마스터!$B$3:$B$102,MATCH($B213,거래처마스터!$A$3:$A$102,0)),"미등록"))</f>
        <v/>
      </c>
      <c r="D213" s="7"/>
      <c r="E213" s="12" t="str">
        <f aca="false">IF($D213="","",IFERROR(INDEX(품목마스터!$B$3:$B$202,MATCH($D213,품목마스터!$A$3:$A$202,0)),"미등록품번"))</f>
        <v/>
      </c>
      <c r="F213" s="12" t="str">
        <f aca="false">IF($D213="","",IFERROR(INDEX(품목마스터!$D$3:$D$202,MATCH($D213,품목마스터!$A$3:$A$202,0)),""))</f>
        <v/>
      </c>
      <c r="G213" s="9"/>
      <c r="H213" s="9"/>
      <c r="I213" s="13" t="str">
        <f aca="false">IF(OR($G213="",$H213=""),"",ROUND($G213*$H213,0))</f>
        <v/>
      </c>
      <c r="J213" s="7"/>
    </row>
    <row r="214" customFormat="false" ht="15" hidden="false" customHeight="true" outlineLevel="0" collapsed="false">
      <c r="A214" s="11"/>
      <c r="B214" s="7"/>
      <c r="C214" s="12" t="str">
        <f aca="false">IF($B214="","",IFERROR(INDEX(거래처마스터!$B$3:$B$102,MATCH($B214,거래처마스터!$A$3:$A$102,0)),"미등록"))</f>
        <v/>
      </c>
      <c r="D214" s="7"/>
      <c r="E214" s="12" t="str">
        <f aca="false">IF($D214="","",IFERROR(INDEX(품목마스터!$B$3:$B$202,MATCH($D214,품목마스터!$A$3:$A$202,0)),"미등록품번"))</f>
        <v/>
      </c>
      <c r="F214" s="12" t="str">
        <f aca="false">IF($D214="","",IFERROR(INDEX(품목마스터!$D$3:$D$202,MATCH($D214,품목마스터!$A$3:$A$202,0)),""))</f>
        <v/>
      </c>
      <c r="G214" s="9"/>
      <c r="H214" s="9"/>
      <c r="I214" s="13" t="str">
        <f aca="false">IF(OR($G214="",$H214=""),"",ROUND($G214*$H214,0))</f>
        <v/>
      </c>
      <c r="J214" s="7"/>
    </row>
    <row r="215" customFormat="false" ht="15" hidden="false" customHeight="true" outlineLevel="0" collapsed="false">
      <c r="A215" s="11"/>
      <c r="B215" s="7"/>
      <c r="C215" s="12" t="str">
        <f aca="false">IF($B215="","",IFERROR(INDEX(거래처마스터!$B$3:$B$102,MATCH($B215,거래처마스터!$A$3:$A$102,0)),"미등록"))</f>
        <v/>
      </c>
      <c r="D215" s="7"/>
      <c r="E215" s="12" t="str">
        <f aca="false">IF($D215="","",IFERROR(INDEX(품목마스터!$B$3:$B$202,MATCH($D215,품목마스터!$A$3:$A$202,0)),"미등록품번"))</f>
        <v/>
      </c>
      <c r="F215" s="12" t="str">
        <f aca="false">IF($D215="","",IFERROR(INDEX(품목마스터!$D$3:$D$202,MATCH($D215,품목마스터!$A$3:$A$202,0)),""))</f>
        <v/>
      </c>
      <c r="G215" s="9"/>
      <c r="H215" s="9"/>
      <c r="I215" s="13" t="str">
        <f aca="false">IF(OR($G215="",$H215=""),"",ROUND($G215*$H215,0))</f>
        <v/>
      </c>
      <c r="J215" s="7"/>
    </row>
    <row r="216" customFormat="false" ht="15" hidden="false" customHeight="true" outlineLevel="0" collapsed="false">
      <c r="A216" s="11"/>
      <c r="B216" s="7"/>
      <c r="C216" s="12" t="str">
        <f aca="false">IF($B216="","",IFERROR(INDEX(거래처마스터!$B$3:$B$102,MATCH($B216,거래처마스터!$A$3:$A$102,0)),"미등록"))</f>
        <v/>
      </c>
      <c r="D216" s="7"/>
      <c r="E216" s="12" t="str">
        <f aca="false">IF($D216="","",IFERROR(INDEX(품목마스터!$B$3:$B$202,MATCH($D216,품목마스터!$A$3:$A$202,0)),"미등록품번"))</f>
        <v/>
      </c>
      <c r="F216" s="12" t="str">
        <f aca="false">IF($D216="","",IFERROR(INDEX(품목마스터!$D$3:$D$202,MATCH($D216,품목마스터!$A$3:$A$202,0)),""))</f>
        <v/>
      </c>
      <c r="G216" s="9"/>
      <c r="H216" s="9"/>
      <c r="I216" s="13" t="str">
        <f aca="false">IF(OR($G216="",$H216=""),"",ROUND($G216*$H216,0))</f>
        <v/>
      </c>
      <c r="J216" s="7"/>
    </row>
    <row r="217" customFormat="false" ht="15" hidden="false" customHeight="true" outlineLevel="0" collapsed="false">
      <c r="A217" s="11"/>
      <c r="B217" s="7"/>
      <c r="C217" s="12" t="str">
        <f aca="false">IF($B217="","",IFERROR(INDEX(거래처마스터!$B$3:$B$102,MATCH($B217,거래처마스터!$A$3:$A$102,0)),"미등록"))</f>
        <v/>
      </c>
      <c r="D217" s="7"/>
      <c r="E217" s="12" t="str">
        <f aca="false">IF($D217="","",IFERROR(INDEX(품목마스터!$B$3:$B$202,MATCH($D217,품목마스터!$A$3:$A$202,0)),"미등록품번"))</f>
        <v/>
      </c>
      <c r="F217" s="12" t="str">
        <f aca="false">IF($D217="","",IFERROR(INDEX(품목마스터!$D$3:$D$202,MATCH($D217,품목마스터!$A$3:$A$202,0)),""))</f>
        <v/>
      </c>
      <c r="G217" s="9"/>
      <c r="H217" s="9"/>
      <c r="I217" s="13" t="str">
        <f aca="false">IF(OR($G217="",$H217=""),"",ROUND($G217*$H217,0))</f>
        <v/>
      </c>
      <c r="J217" s="7"/>
    </row>
    <row r="218" customFormat="false" ht="15" hidden="false" customHeight="true" outlineLevel="0" collapsed="false">
      <c r="A218" s="11"/>
      <c r="B218" s="7"/>
      <c r="C218" s="12" t="str">
        <f aca="false">IF($B218="","",IFERROR(INDEX(거래처마스터!$B$3:$B$102,MATCH($B218,거래처마스터!$A$3:$A$102,0)),"미등록"))</f>
        <v/>
      </c>
      <c r="D218" s="7"/>
      <c r="E218" s="12" t="str">
        <f aca="false">IF($D218="","",IFERROR(INDEX(품목마스터!$B$3:$B$202,MATCH($D218,품목마스터!$A$3:$A$202,0)),"미등록품번"))</f>
        <v/>
      </c>
      <c r="F218" s="12" t="str">
        <f aca="false">IF($D218="","",IFERROR(INDEX(품목마스터!$D$3:$D$202,MATCH($D218,품목마스터!$A$3:$A$202,0)),""))</f>
        <v/>
      </c>
      <c r="G218" s="9"/>
      <c r="H218" s="9"/>
      <c r="I218" s="13" t="str">
        <f aca="false">IF(OR($G218="",$H218=""),"",ROUND($G218*$H218,0))</f>
        <v/>
      </c>
      <c r="J218" s="7"/>
    </row>
    <row r="219" customFormat="false" ht="15" hidden="false" customHeight="true" outlineLevel="0" collapsed="false">
      <c r="A219" s="11"/>
      <c r="B219" s="7"/>
      <c r="C219" s="12" t="str">
        <f aca="false">IF($B219="","",IFERROR(INDEX(거래처마스터!$B$3:$B$102,MATCH($B219,거래처마스터!$A$3:$A$102,0)),"미등록"))</f>
        <v/>
      </c>
      <c r="D219" s="7"/>
      <c r="E219" s="12" t="str">
        <f aca="false">IF($D219="","",IFERROR(INDEX(품목마스터!$B$3:$B$202,MATCH($D219,품목마스터!$A$3:$A$202,0)),"미등록품번"))</f>
        <v/>
      </c>
      <c r="F219" s="12" t="str">
        <f aca="false">IF($D219="","",IFERROR(INDEX(품목마스터!$D$3:$D$202,MATCH($D219,품목마스터!$A$3:$A$202,0)),""))</f>
        <v/>
      </c>
      <c r="G219" s="9"/>
      <c r="H219" s="9"/>
      <c r="I219" s="13" t="str">
        <f aca="false">IF(OR($G219="",$H219=""),"",ROUND($G219*$H219,0))</f>
        <v/>
      </c>
      <c r="J219" s="7"/>
    </row>
    <row r="220" customFormat="false" ht="15" hidden="false" customHeight="true" outlineLevel="0" collapsed="false">
      <c r="A220" s="11"/>
      <c r="B220" s="7"/>
      <c r="C220" s="12" t="str">
        <f aca="false">IF($B220="","",IFERROR(INDEX(거래처마스터!$B$3:$B$102,MATCH($B220,거래처마스터!$A$3:$A$102,0)),"미등록"))</f>
        <v/>
      </c>
      <c r="D220" s="7"/>
      <c r="E220" s="12" t="str">
        <f aca="false">IF($D220="","",IFERROR(INDEX(품목마스터!$B$3:$B$202,MATCH($D220,품목마스터!$A$3:$A$202,0)),"미등록품번"))</f>
        <v/>
      </c>
      <c r="F220" s="12" t="str">
        <f aca="false">IF($D220="","",IFERROR(INDEX(품목마스터!$D$3:$D$202,MATCH($D220,품목마스터!$A$3:$A$202,0)),""))</f>
        <v/>
      </c>
      <c r="G220" s="9"/>
      <c r="H220" s="9"/>
      <c r="I220" s="13" t="str">
        <f aca="false">IF(OR($G220="",$H220=""),"",ROUND($G220*$H220,0))</f>
        <v/>
      </c>
      <c r="J220" s="7"/>
    </row>
    <row r="221" customFormat="false" ht="15" hidden="false" customHeight="true" outlineLevel="0" collapsed="false">
      <c r="A221" s="11"/>
      <c r="B221" s="7"/>
      <c r="C221" s="12" t="str">
        <f aca="false">IF($B221="","",IFERROR(INDEX(거래처마스터!$B$3:$B$102,MATCH($B221,거래처마스터!$A$3:$A$102,0)),"미등록"))</f>
        <v/>
      </c>
      <c r="D221" s="7"/>
      <c r="E221" s="12" t="str">
        <f aca="false">IF($D221="","",IFERROR(INDEX(품목마스터!$B$3:$B$202,MATCH($D221,품목마스터!$A$3:$A$202,0)),"미등록품번"))</f>
        <v/>
      </c>
      <c r="F221" s="12" t="str">
        <f aca="false">IF($D221="","",IFERROR(INDEX(품목마스터!$D$3:$D$202,MATCH($D221,품목마스터!$A$3:$A$202,0)),""))</f>
        <v/>
      </c>
      <c r="G221" s="9"/>
      <c r="H221" s="9"/>
      <c r="I221" s="13" t="str">
        <f aca="false">IF(OR($G221="",$H221=""),"",ROUND($G221*$H221,0))</f>
        <v/>
      </c>
      <c r="J221" s="7"/>
    </row>
    <row r="222" customFormat="false" ht="15" hidden="false" customHeight="true" outlineLevel="0" collapsed="false">
      <c r="A222" s="11"/>
      <c r="B222" s="7"/>
      <c r="C222" s="12" t="str">
        <f aca="false">IF($B222="","",IFERROR(INDEX(거래처마스터!$B$3:$B$102,MATCH($B222,거래처마스터!$A$3:$A$102,0)),"미등록"))</f>
        <v/>
      </c>
      <c r="D222" s="7"/>
      <c r="E222" s="12" t="str">
        <f aca="false">IF($D222="","",IFERROR(INDEX(품목마스터!$B$3:$B$202,MATCH($D222,품목마스터!$A$3:$A$202,0)),"미등록품번"))</f>
        <v/>
      </c>
      <c r="F222" s="12" t="str">
        <f aca="false">IF($D222="","",IFERROR(INDEX(품목마스터!$D$3:$D$202,MATCH($D222,품목마스터!$A$3:$A$202,0)),""))</f>
        <v/>
      </c>
      <c r="G222" s="9"/>
      <c r="H222" s="9"/>
      <c r="I222" s="13" t="str">
        <f aca="false">IF(OR($G222="",$H222=""),"",ROUND($G222*$H222,0))</f>
        <v/>
      </c>
      <c r="J222" s="7"/>
    </row>
    <row r="223" customFormat="false" ht="15" hidden="false" customHeight="true" outlineLevel="0" collapsed="false">
      <c r="A223" s="11"/>
      <c r="B223" s="7"/>
      <c r="C223" s="12" t="str">
        <f aca="false">IF($B223="","",IFERROR(INDEX(거래처마스터!$B$3:$B$102,MATCH($B223,거래처마스터!$A$3:$A$102,0)),"미등록"))</f>
        <v/>
      </c>
      <c r="D223" s="7"/>
      <c r="E223" s="12" t="str">
        <f aca="false">IF($D223="","",IFERROR(INDEX(품목마스터!$B$3:$B$202,MATCH($D223,품목마스터!$A$3:$A$202,0)),"미등록품번"))</f>
        <v/>
      </c>
      <c r="F223" s="12" t="str">
        <f aca="false">IF($D223="","",IFERROR(INDEX(품목마스터!$D$3:$D$202,MATCH($D223,품목마스터!$A$3:$A$202,0)),""))</f>
        <v/>
      </c>
      <c r="G223" s="9"/>
      <c r="H223" s="9"/>
      <c r="I223" s="13" t="str">
        <f aca="false">IF(OR($G223="",$H223=""),"",ROUND($G223*$H223,0))</f>
        <v/>
      </c>
      <c r="J223" s="7"/>
    </row>
    <row r="224" customFormat="false" ht="15" hidden="false" customHeight="true" outlineLevel="0" collapsed="false">
      <c r="A224" s="11"/>
      <c r="B224" s="7"/>
      <c r="C224" s="12" t="str">
        <f aca="false">IF($B224="","",IFERROR(INDEX(거래처마스터!$B$3:$B$102,MATCH($B224,거래처마스터!$A$3:$A$102,0)),"미등록"))</f>
        <v/>
      </c>
      <c r="D224" s="7"/>
      <c r="E224" s="12" t="str">
        <f aca="false">IF($D224="","",IFERROR(INDEX(품목마스터!$B$3:$B$202,MATCH($D224,품목마스터!$A$3:$A$202,0)),"미등록품번"))</f>
        <v/>
      </c>
      <c r="F224" s="12" t="str">
        <f aca="false">IF($D224="","",IFERROR(INDEX(품목마스터!$D$3:$D$202,MATCH($D224,품목마스터!$A$3:$A$202,0)),""))</f>
        <v/>
      </c>
      <c r="G224" s="9"/>
      <c r="H224" s="9"/>
      <c r="I224" s="13" t="str">
        <f aca="false">IF(OR($G224="",$H224=""),"",ROUND($G224*$H224,0))</f>
        <v/>
      </c>
      <c r="J224" s="7"/>
    </row>
    <row r="225" customFormat="false" ht="15" hidden="false" customHeight="true" outlineLevel="0" collapsed="false">
      <c r="A225" s="11"/>
      <c r="B225" s="7"/>
      <c r="C225" s="12" t="str">
        <f aca="false">IF($B225="","",IFERROR(INDEX(거래처마스터!$B$3:$B$102,MATCH($B225,거래처마스터!$A$3:$A$102,0)),"미등록"))</f>
        <v/>
      </c>
      <c r="D225" s="7"/>
      <c r="E225" s="12" t="str">
        <f aca="false">IF($D225="","",IFERROR(INDEX(품목마스터!$B$3:$B$202,MATCH($D225,품목마스터!$A$3:$A$202,0)),"미등록품번"))</f>
        <v/>
      </c>
      <c r="F225" s="12" t="str">
        <f aca="false">IF($D225="","",IFERROR(INDEX(품목마스터!$D$3:$D$202,MATCH($D225,품목마스터!$A$3:$A$202,0)),""))</f>
        <v/>
      </c>
      <c r="G225" s="9"/>
      <c r="H225" s="9"/>
      <c r="I225" s="13" t="str">
        <f aca="false">IF(OR($G225="",$H225=""),"",ROUND($G225*$H225,0))</f>
        <v/>
      </c>
      <c r="J225" s="7"/>
    </row>
    <row r="226" customFormat="false" ht="15" hidden="false" customHeight="true" outlineLevel="0" collapsed="false">
      <c r="A226" s="11"/>
      <c r="B226" s="7"/>
      <c r="C226" s="12" t="str">
        <f aca="false">IF($B226="","",IFERROR(INDEX(거래처마스터!$B$3:$B$102,MATCH($B226,거래처마스터!$A$3:$A$102,0)),"미등록"))</f>
        <v/>
      </c>
      <c r="D226" s="7"/>
      <c r="E226" s="12" t="str">
        <f aca="false">IF($D226="","",IFERROR(INDEX(품목마스터!$B$3:$B$202,MATCH($D226,품목마스터!$A$3:$A$202,0)),"미등록품번"))</f>
        <v/>
      </c>
      <c r="F226" s="12" t="str">
        <f aca="false">IF($D226="","",IFERROR(INDEX(품목마스터!$D$3:$D$202,MATCH($D226,품목마스터!$A$3:$A$202,0)),""))</f>
        <v/>
      </c>
      <c r="G226" s="9"/>
      <c r="H226" s="9"/>
      <c r="I226" s="13" t="str">
        <f aca="false">IF(OR($G226="",$H226=""),"",ROUND($G226*$H226,0))</f>
        <v/>
      </c>
      <c r="J226" s="7"/>
    </row>
    <row r="227" customFormat="false" ht="15" hidden="false" customHeight="true" outlineLevel="0" collapsed="false">
      <c r="A227" s="11"/>
      <c r="B227" s="7"/>
      <c r="C227" s="12" t="str">
        <f aca="false">IF($B227="","",IFERROR(INDEX(거래처마스터!$B$3:$B$102,MATCH($B227,거래처마스터!$A$3:$A$102,0)),"미등록"))</f>
        <v/>
      </c>
      <c r="D227" s="7"/>
      <c r="E227" s="12" t="str">
        <f aca="false">IF($D227="","",IFERROR(INDEX(품목마스터!$B$3:$B$202,MATCH($D227,품목마스터!$A$3:$A$202,0)),"미등록품번"))</f>
        <v/>
      </c>
      <c r="F227" s="12" t="str">
        <f aca="false">IF($D227="","",IFERROR(INDEX(품목마스터!$D$3:$D$202,MATCH($D227,품목마스터!$A$3:$A$202,0)),""))</f>
        <v/>
      </c>
      <c r="G227" s="9"/>
      <c r="H227" s="9"/>
      <c r="I227" s="13" t="str">
        <f aca="false">IF(OR($G227="",$H227=""),"",ROUND($G227*$H227,0))</f>
        <v/>
      </c>
      <c r="J227" s="7"/>
    </row>
    <row r="228" customFormat="false" ht="15" hidden="false" customHeight="true" outlineLevel="0" collapsed="false">
      <c r="A228" s="11"/>
      <c r="B228" s="7"/>
      <c r="C228" s="12" t="str">
        <f aca="false">IF($B228="","",IFERROR(INDEX(거래처마스터!$B$3:$B$102,MATCH($B228,거래처마스터!$A$3:$A$102,0)),"미등록"))</f>
        <v/>
      </c>
      <c r="D228" s="7"/>
      <c r="E228" s="12" t="str">
        <f aca="false">IF($D228="","",IFERROR(INDEX(품목마스터!$B$3:$B$202,MATCH($D228,품목마스터!$A$3:$A$202,0)),"미등록품번"))</f>
        <v/>
      </c>
      <c r="F228" s="12" t="str">
        <f aca="false">IF($D228="","",IFERROR(INDEX(품목마스터!$D$3:$D$202,MATCH($D228,품목마스터!$A$3:$A$202,0)),""))</f>
        <v/>
      </c>
      <c r="G228" s="9"/>
      <c r="H228" s="9"/>
      <c r="I228" s="13" t="str">
        <f aca="false">IF(OR($G228="",$H228=""),"",ROUND($G228*$H228,0))</f>
        <v/>
      </c>
      <c r="J228" s="7"/>
    </row>
    <row r="229" customFormat="false" ht="15" hidden="false" customHeight="true" outlineLevel="0" collapsed="false">
      <c r="A229" s="11"/>
      <c r="B229" s="7"/>
      <c r="C229" s="12" t="str">
        <f aca="false">IF($B229="","",IFERROR(INDEX(거래처마스터!$B$3:$B$102,MATCH($B229,거래처마스터!$A$3:$A$102,0)),"미등록"))</f>
        <v/>
      </c>
      <c r="D229" s="7"/>
      <c r="E229" s="12" t="str">
        <f aca="false">IF($D229="","",IFERROR(INDEX(품목마스터!$B$3:$B$202,MATCH($D229,품목마스터!$A$3:$A$202,0)),"미등록품번"))</f>
        <v/>
      </c>
      <c r="F229" s="12" t="str">
        <f aca="false">IF($D229="","",IFERROR(INDEX(품목마스터!$D$3:$D$202,MATCH($D229,품목마스터!$A$3:$A$202,0)),""))</f>
        <v/>
      </c>
      <c r="G229" s="9"/>
      <c r="H229" s="9"/>
      <c r="I229" s="13" t="str">
        <f aca="false">IF(OR($G229="",$H229=""),"",ROUND($G229*$H229,0))</f>
        <v/>
      </c>
      <c r="J229" s="7"/>
    </row>
    <row r="230" customFormat="false" ht="15" hidden="false" customHeight="true" outlineLevel="0" collapsed="false">
      <c r="A230" s="11"/>
      <c r="B230" s="7"/>
      <c r="C230" s="12" t="str">
        <f aca="false">IF($B230="","",IFERROR(INDEX(거래처마스터!$B$3:$B$102,MATCH($B230,거래처마스터!$A$3:$A$102,0)),"미등록"))</f>
        <v/>
      </c>
      <c r="D230" s="7"/>
      <c r="E230" s="12" t="str">
        <f aca="false">IF($D230="","",IFERROR(INDEX(품목마스터!$B$3:$B$202,MATCH($D230,품목마스터!$A$3:$A$202,0)),"미등록품번"))</f>
        <v/>
      </c>
      <c r="F230" s="12" t="str">
        <f aca="false">IF($D230="","",IFERROR(INDEX(품목마스터!$D$3:$D$202,MATCH($D230,품목마스터!$A$3:$A$202,0)),""))</f>
        <v/>
      </c>
      <c r="G230" s="9"/>
      <c r="H230" s="9"/>
      <c r="I230" s="13" t="str">
        <f aca="false">IF(OR($G230="",$H230=""),"",ROUND($G230*$H230,0))</f>
        <v/>
      </c>
      <c r="J230" s="7"/>
    </row>
    <row r="231" customFormat="false" ht="15" hidden="false" customHeight="true" outlineLevel="0" collapsed="false">
      <c r="A231" s="11"/>
      <c r="B231" s="7"/>
      <c r="C231" s="12" t="str">
        <f aca="false">IF($B231="","",IFERROR(INDEX(거래처마스터!$B$3:$B$102,MATCH($B231,거래처마스터!$A$3:$A$102,0)),"미등록"))</f>
        <v/>
      </c>
      <c r="D231" s="7"/>
      <c r="E231" s="12" t="str">
        <f aca="false">IF($D231="","",IFERROR(INDEX(품목마스터!$B$3:$B$202,MATCH($D231,품목마스터!$A$3:$A$202,0)),"미등록품번"))</f>
        <v/>
      </c>
      <c r="F231" s="12" t="str">
        <f aca="false">IF($D231="","",IFERROR(INDEX(품목마스터!$D$3:$D$202,MATCH($D231,품목마스터!$A$3:$A$202,0)),""))</f>
        <v/>
      </c>
      <c r="G231" s="9"/>
      <c r="H231" s="9"/>
      <c r="I231" s="13" t="str">
        <f aca="false">IF(OR($G231="",$H231=""),"",ROUND($G231*$H231,0))</f>
        <v/>
      </c>
      <c r="J231" s="7"/>
    </row>
    <row r="232" customFormat="false" ht="15" hidden="false" customHeight="true" outlineLevel="0" collapsed="false">
      <c r="A232" s="11"/>
      <c r="B232" s="7"/>
      <c r="C232" s="12" t="str">
        <f aca="false">IF($B232="","",IFERROR(INDEX(거래처마스터!$B$3:$B$102,MATCH($B232,거래처마스터!$A$3:$A$102,0)),"미등록"))</f>
        <v/>
      </c>
      <c r="D232" s="7"/>
      <c r="E232" s="12" t="str">
        <f aca="false">IF($D232="","",IFERROR(INDEX(품목마스터!$B$3:$B$202,MATCH($D232,품목마스터!$A$3:$A$202,0)),"미등록품번"))</f>
        <v/>
      </c>
      <c r="F232" s="12" t="str">
        <f aca="false">IF($D232="","",IFERROR(INDEX(품목마스터!$D$3:$D$202,MATCH($D232,품목마스터!$A$3:$A$202,0)),""))</f>
        <v/>
      </c>
      <c r="G232" s="9"/>
      <c r="H232" s="9"/>
      <c r="I232" s="13" t="str">
        <f aca="false">IF(OR($G232="",$H232=""),"",ROUND($G232*$H232,0))</f>
        <v/>
      </c>
      <c r="J232" s="7"/>
    </row>
    <row r="233" customFormat="false" ht="15" hidden="false" customHeight="true" outlineLevel="0" collapsed="false">
      <c r="A233" s="11"/>
      <c r="B233" s="7"/>
      <c r="C233" s="12" t="str">
        <f aca="false">IF($B233="","",IFERROR(INDEX(거래처마스터!$B$3:$B$102,MATCH($B233,거래처마스터!$A$3:$A$102,0)),"미등록"))</f>
        <v/>
      </c>
      <c r="D233" s="7"/>
      <c r="E233" s="12" t="str">
        <f aca="false">IF($D233="","",IFERROR(INDEX(품목마스터!$B$3:$B$202,MATCH($D233,품목마스터!$A$3:$A$202,0)),"미등록품번"))</f>
        <v/>
      </c>
      <c r="F233" s="12" t="str">
        <f aca="false">IF($D233="","",IFERROR(INDEX(품목마스터!$D$3:$D$202,MATCH($D233,품목마스터!$A$3:$A$202,0)),""))</f>
        <v/>
      </c>
      <c r="G233" s="9"/>
      <c r="H233" s="9"/>
      <c r="I233" s="13" t="str">
        <f aca="false">IF(OR($G233="",$H233=""),"",ROUND($G233*$H233,0))</f>
        <v/>
      </c>
      <c r="J233" s="7"/>
    </row>
    <row r="234" customFormat="false" ht="15" hidden="false" customHeight="true" outlineLevel="0" collapsed="false">
      <c r="A234" s="11"/>
      <c r="B234" s="7"/>
      <c r="C234" s="12" t="str">
        <f aca="false">IF($B234="","",IFERROR(INDEX(거래처마스터!$B$3:$B$102,MATCH($B234,거래처마스터!$A$3:$A$102,0)),"미등록"))</f>
        <v/>
      </c>
      <c r="D234" s="7"/>
      <c r="E234" s="12" t="str">
        <f aca="false">IF($D234="","",IFERROR(INDEX(품목마스터!$B$3:$B$202,MATCH($D234,품목마스터!$A$3:$A$202,0)),"미등록품번"))</f>
        <v/>
      </c>
      <c r="F234" s="12" t="str">
        <f aca="false">IF($D234="","",IFERROR(INDEX(품목마스터!$D$3:$D$202,MATCH($D234,품목마스터!$A$3:$A$202,0)),""))</f>
        <v/>
      </c>
      <c r="G234" s="9"/>
      <c r="H234" s="9"/>
      <c r="I234" s="13" t="str">
        <f aca="false">IF(OR($G234="",$H234=""),"",ROUND($G234*$H234,0))</f>
        <v/>
      </c>
      <c r="J234" s="7"/>
    </row>
    <row r="235" customFormat="false" ht="15" hidden="false" customHeight="true" outlineLevel="0" collapsed="false">
      <c r="A235" s="11"/>
      <c r="B235" s="7"/>
      <c r="C235" s="12" t="str">
        <f aca="false">IF($B235="","",IFERROR(INDEX(거래처마스터!$B$3:$B$102,MATCH($B235,거래처마스터!$A$3:$A$102,0)),"미등록"))</f>
        <v/>
      </c>
      <c r="D235" s="7"/>
      <c r="E235" s="12" t="str">
        <f aca="false">IF($D235="","",IFERROR(INDEX(품목마스터!$B$3:$B$202,MATCH($D235,품목마스터!$A$3:$A$202,0)),"미등록품번"))</f>
        <v/>
      </c>
      <c r="F235" s="12" t="str">
        <f aca="false">IF($D235="","",IFERROR(INDEX(품목마스터!$D$3:$D$202,MATCH($D235,품목마스터!$A$3:$A$202,0)),""))</f>
        <v/>
      </c>
      <c r="G235" s="9"/>
      <c r="H235" s="9"/>
      <c r="I235" s="13" t="str">
        <f aca="false">IF(OR($G235="",$H235=""),"",ROUND($G235*$H235,0))</f>
        <v/>
      </c>
      <c r="J235" s="7"/>
    </row>
    <row r="236" customFormat="false" ht="15" hidden="false" customHeight="true" outlineLevel="0" collapsed="false">
      <c r="A236" s="11"/>
      <c r="B236" s="7"/>
      <c r="C236" s="12" t="str">
        <f aca="false">IF($B236="","",IFERROR(INDEX(거래처마스터!$B$3:$B$102,MATCH($B236,거래처마스터!$A$3:$A$102,0)),"미등록"))</f>
        <v/>
      </c>
      <c r="D236" s="7"/>
      <c r="E236" s="12" t="str">
        <f aca="false">IF($D236="","",IFERROR(INDEX(품목마스터!$B$3:$B$202,MATCH($D236,품목마스터!$A$3:$A$202,0)),"미등록품번"))</f>
        <v/>
      </c>
      <c r="F236" s="12" t="str">
        <f aca="false">IF($D236="","",IFERROR(INDEX(품목마스터!$D$3:$D$202,MATCH($D236,품목마스터!$A$3:$A$202,0)),""))</f>
        <v/>
      </c>
      <c r="G236" s="9"/>
      <c r="H236" s="9"/>
      <c r="I236" s="13" t="str">
        <f aca="false">IF(OR($G236="",$H236=""),"",ROUND($G236*$H236,0))</f>
        <v/>
      </c>
      <c r="J236" s="7"/>
    </row>
    <row r="237" customFormat="false" ht="15" hidden="false" customHeight="true" outlineLevel="0" collapsed="false">
      <c r="A237" s="11"/>
      <c r="B237" s="7"/>
      <c r="C237" s="12" t="str">
        <f aca="false">IF($B237="","",IFERROR(INDEX(거래처마스터!$B$3:$B$102,MATCH($B237,거래처마스터!$A$3:$A$102,0)),"미등록"))</f>
        <v/>
      </c>
      <c r="D237" s="7"/>
      <c r="E237" s="12" t="str">
        <f aca="false">IF($D237="","",IFERROR(INDEX(품목마스터!$B$3:$B$202,MATCH($D237,품목마스터!$A$3:$A$202,0)),"미등록품번"))</f>
        <v/>
      </c>
      <c r="F237" s="12" t="str">
        <f aca="false">IF($D237="","",IFERROR(INDEX(품목마스터!$D$3:$D$202,MATCH($D237,품목마스터!$A$3:$A$202,0)),""))</f>
        <v/>
      </c>
      <c r="G237" s="9"/>
      <c r="H237" s="9"/>
      <c r="I237" s="13" t="str">
        <f aca="false">IF(OR($G237="",$H237=""),"",ROUND($G237*$H237,0))</f>
        <v/>
      </c>
      <c r="J237" s="7"/>
    </row>
    <row r="238" customFormat="false" ht="15" hidden="false" customHeight="true" outlineLevel="0" collapsed="false">
      <c r="A238" s="11"/>
      <c r="B238" s="7"/>
      <c r="C238" s="12" t="str">
        <f aca="false">IF($B238="","",IFERROR(INDEX(거래처마스터!$B$3:$B$102,MATCH($B238,거래처마스터!$A$3:$A$102,0)),"미등록"))</f>
        <v/>
      </c>
      <c r="D238" s="7"/>
      <c r="E238" s="12" t="str">
        <f aca="false">IF($D238="","",IFERROR(INDEX(품목마스터!$B$3:$B$202,MATCH($D238,품목마스터!$A$3:$A$202,0)),"미등록품번"))</f>
        <v/>
      </c>
      <c r="F238" s="12" t="str">
        <f aca="false">IF($D238="","",IFERROR(INDEX(품목마스터!$D$3:$D$202,MATCH($D238,품목마스터!$A$3:$A$202,0)),""))</f>
        <v/>
      </c>
      <c r="G238" s="9"/>
      <c r="H238" s="9"/>
      <c r="I238" s="13" t="str">
        <f aca="false">IF(OR($G238="",$H238=""),"",ROUND($G238*$H238,0))</f>
        <v/>
      </c>
      <c r="J238" s="7"/>
    </row>
    <row r="239" customFormat="false" ht="15" hidden="false" customHeight="true" outlineLevel="0" collapsed="false">
      <c r="A239" s="11"/>
      <c r="B239" s="7"/>
      <c r="C239" s="12" t="str">
        <f aca="false">IF($B239="","",IFERROR(INDEX(거래처마스터!$B$3:$B$102,MATCH($B239,거래처마스터!$A$3:$A$102,0)),"미등록"))</f>
        <v/>
      </c>
      <c r="D239" s="7"/>
      <c r="E239" s="12" t="str">
        <f aca="false">IF($D239="","",IFERROR(INDEX(품목마스터!$B$3:$B$202,MATCH($D239,품목마스터!$A$3:$A$202,0)),"미등록품번"))</f>
        <v/>
      </c>
      <c r="F239" s="12" t="str">
        <f aca="false">IF($D239="","",IFERROR(INDEX(품목마스터!$D$3:$D$202,MATCH($D239,품목마스터!$A$3:$A$202,0)),""))</f>
        <v/>
      </c>
      <c r="G239" s="9"/>
      <c r="H239" s="9"/>
      <c r="I239" s="13" t="str">
        <f aca="false">IF(OR($G239="",$H239=""),"",ROUND($G239*$H239,0))</f>
        <v/>
      </c>
      <c r="J239" s="7"/>
    </row>
    <row r="240" customFormat="false" ht="15" hidden="false" customHeight="true" outlineLevel="0" collapsed="false">
      <c r="A240" s="11"/>
      <c r="B240" s="7"/>
      <c r="C240" s="12" t="str">
        <f aca="false">IF($B240="","",IFERROR(INDEX(거래처마스터!$B$3:$B$102,MATCH($B240,거래처마스터!$A$3:$A$102,0)),"미등록"))</f>
        <v/>
      </c>
      <c r="D240" s="7"/>
      <c r="E240" s="12" t="str">
        <f aca="false">IF($D240="","",IFERROR(INDEX(품목마스터!$B$3:$B$202,MATCH($D240,품목마스터!$A$3:$A$202,0)),"미등록품번"))</f>
        <v/>
      </c>
      <c r="F240" s="12" t="str">
        <f aca="false">IF($D240="","",IFERROR(INDEX(품목마스터!$D$3:$D$202,MATCH($D240,품목마스터!$A$3:$A$202,0)),""))</f>
        <v/>
      </c>
      <c r="G240" s="9"/>
      <c r="H240" s="9"/>
      <c r="I240" s="13" t="str">
        <f aca="false">IF(OR($G240="",$H240=""),"",ROUND($G240*$H240,0))</f>
        <v/>
      </c>
      <c r="J240" s="7"/>
    </row>
    <row r="241" customFormat="false" ht="15" hidden="false" customHeight="true" outlineLevel="0" collapsed="false">
      <c r="A241" s="11"/>
      <c r="B241" s="7"/>
      <c r="C241" s="12" t="str">
        <f aca="false">IF($B241="","",IFERROR(INDEX(거래처마스터!$B$3:$B$102,MATCH($B241,거래처마스터!$A$3:$A$102,0)),"미등록"))</f>
        <v/>
      </c>
      <c r="D241" s="7"/>
      <c r="E241" s="12" t="str">
        <f aca="false">IF($D241="","",IFERROR(INDEX(품목마스터!$B$3:$B$202,MATCH($D241,품목마스터!$A$3:$A$202,0)),"미등록품번"))</f>
        <v/>
      </c>
      <c r="F241" s="12" t="str">
        <f aca="false">IF($D241="","",IFERROR(INDEX(품목마스터!$D$3:$D$202,MATCH($D241,품목마스터!$A$3:$A$202,0)),""))</f>
        <v/>
      </c>
      <c r="G241" s="9"/>
      <c r="H241" s="9"/>
      <c r="I241" s="13" t="str">
        <f aca="false">IF(OR($G241="",$H241=""),"",ROUND($G241*$H241,0))</f>
        <v/>
      </c>
      <c r="J241" s="7"/>
    </row>
    <row r="242" customFormat="false" ht="15" hidden="false" customHeight="true" outlineLevel="0" collapsed="false">
      <c r="A242" s="11"/>
      <c r="B242" s="7"/>
      <c r="C242" s="12" t="str">
        <f aca="false">IF($B242="","",IFERROR(INDEX(거래처마스터!$B$3:$B$102,MATCH($B242,거래처마스터!$A$3:$A$102,0)),"미등록"))</f>
        <v/>
      </c>
      <c r="D242" s="7"/>
      <c r="E242" s="12" t="str">
        <f aca="false">IF($D242="","",IFERROR(INDEX(품목마스터!$B$3:$B$202,MATCH($D242,품목마스터!$A$3:$A$202,0)),"미등록품번"))</f>
        <v/>
      </c>
      <c r="F242" s="12" t="str">
        <f aca="false">IF($D242="","",IFERROR(INDEX(품목마스터!$D$3:$D$202,MATCH($D242,품목마스터!$A$3:$A$202,0)),""))</f>
        <v/>
      </c>
      <c r="G242" s="9"/>
      <c r="H242" s="9"/>
      <c r="I242" s="13" t="str">
        <f aca="false">IF(OR($G242="",$H242=""),"",ROUND($G242*$H242,0))</f>
        <v/>
      </c>
      <c r="J242" s="7"/>
    </row>
    <row r="243" customFormat="false" ht="15" hidden="false" customHeight="true" outlineLevel="0" collapsed="false">
      <c r="A243" s="11"/>
      <c r="B243" s="7"/>
      <c r="C243" s="12" t="str">
        <f aca="false">IF($B243="","",IFERROR(INDEX(거래처마스터!$B$3:$B$102,MATCH($B243,거래처마스터!$A$3:$A$102,0)),"미등록"))</f>
        <v/>
      </c>
      <c r="D243" s="7"/>
      <c r="E243" s="12" t="str">
        <f aca="false">IF($D243="","",IFERROR(INDEX(품목마스터!$B$3:$B$202,MATCH($D243,품목마스터!$A$3:$A$202,0)),"미등록품번"))</f>
        <v/>
      </c>
      <c r="F243" s="12" t="str">
        <f aca="false">IF($D243="","",IFERROR(INDEX(품목마스터!$D$3:$D$202,MATCH($D243,품목마스터!$A$3:$A$202,0)),""))</f>
        <v/>
      </c>
      <c r="G243" s="9"/>
      <c r="H243" s="9"/>
      <c r="I243" s="13" t="str">
        <f aca="false">IF(OR($G243="",$H243=""),"",ROUND($G243*$H243,0))</f>
        <v/>
      </c>
      <c r="J243" s="7"/>
    </row>
    <row r="244" customFormat="false" ht="15" hidden="false" customHeight="true" outlineLevel="0" collapsed="false">
      <c r="A244" s="11"/>
      <c r="B244" s="7"/>
      <c r="C244" s="12" t="str">
        <f aca="false">IF($B244="","",IFERROR(INDEX(거래처마스터!$B$3:$B$102,MATCH($B244,거래처마스터!$A$3:$A$102,0)),"미등록"))</f>
        <v/>
      </c>
      <c r="D244" s="7"/>
      <c r="E244" s="12" t="str">
        <f aca="false">IF($D244="","",IFERROR(INDEX(품목마스터!$B$3:$B$202,MATCH($D244,품목마스터!$A$3:$A$202,0)),"미등록품번"))</f>
        <v/>
      </c>
      <c r="F244" s="12" t="str">
        <f aca="false">IF($D244="","",IFERROR(INDEX(품목마스터!$D$3:$D$202,MATCH($D244,품목마스터!$A$3:$A$202,0)),""))</f>
        <v/>
      </c>
      <c r="G244" s="9"/>
      <c r="H244" s="9"/>
      <c r="I244" s="13" t="str">
        <f aca="false">IF(OR($G244="",$H244=""),"",ROUND($G244*$H244,0))</f>
        <v/>
      </c>
      <c r="J244" s="7"/>
    </row>
    <row r="245" customFormat="false" ht="15" hidden="false" customHeight="true" outlineLevel="0" collapsed="false">
      <c r="A245" s="11"/>
      <c r="B245" s="7"/>
      <c r="C245" s="12" t="str">
        <f aca="false">IF($B245="","",IFERROR(INDEX(거래처마스터!$B$3:$B$102,MATCH($B245,거래처마스터!$A$3:$A$102,0)),"미등록"))</f>
        <v/>
      </c>
      <c r="D245" s="7"/>
      <c r="E245" s="12" t="str">
        <f aca="false">IF($D245="","",IFERROR(INDEX(품목마스터!$B$3:$B$202,MATCH($D245,품목마스터!$A$3:$A$202,0)),"미등록품번"))</f>
        <v/>
      </c>
      <c r="F245" s="12" t="str">
        <f aca="false">IF($D245="","",IFERROR(INDEX(품목마스터!$D$3:$D$202,MATCH($D245,품목마스터!$A$3:$A$202,0)),""))</f>
        <v/>
      </c>
      <c r="G245" s="9"/>
      <c r="H245" s="9"/>
      <c r="I245" s="13" t="str">
        <f aca="false">IF(OR($G245="",$H245=""),"",ROUND($G245*$H245,0))</f>
        <v/>
      </c>
      <c r="J245" s="7"/>
    </row>
    <row r="246" customFormat="false" ht="15" hidden="false" customHeight="true" outlineLevel="0" collapsed="false">
      <c r="A246" s="11"/>
      <c r="B246" s="7"/>
      <c r="C246" s="12" t="str">
        <f aca="false">IF($B246="","",IFERROR(INDEX(거래처마스터!$B$3:$B$102,MATCH($B246,거래처마스터!$A$3:$A$102,0)),"미등록"))</f>
        <v/>
      </c>
      <c r="D246" s="7"/>
      <c r="E246" s="12" t="str">
        <f aca="false">IF($D246="","",IFERROR(INDEX(품목마스터!$B$3:$B$202,MATCH($D246,품목마스터!$A$3:$A$202,0)),"미등록품번"))</f>
        <v/>
      </c>
      <c r="F246" s="12" t="str">
        <f aca="false">IF($D246="","",IFERROR(INDEX(품목마스터!$D$3:$D$202,MATCH($D246,품목마스터!$A$3:$A$202,0)),""))</f>
        <v/>
      </c>
      <c r="G246" s="9"/>
      <c r="H246" s="9"/>
      <c r="I246" s="13" t="str">
        <f aca="false">IF(OR($G246="",$H246=""),"",ROUND($G246*$H246,0))</f>
        <v/>
      </c>
      <c r="J246" s="7"/>
    </row>
    <row r="247" customFormat="false" ht="15" hidden="false" customHeight="true" outlineLevel="0" collapsed="false">
      <c r="A247" s="11"/>
      <c r="B247" s="7"/>
      <c r="C247" s="12" t="str">
        <f aca="false">IF($B247="","",IFERROR(INDEX(거래처마스터!$B$3:$B$102,MATCH($B247,거래처마스터!$A$3:$A$102,0)),"미등록"))</f>
        <v/>
      </c>
      <c r="D247" s="7"/>
      <c r="E247" s="12" t="str">
        <f aca="false">IF($D247="","",IFERROR(INDEX(품목마스터!$B$3:$B$202,MATCH($D247,품목마스터!$A$3:$A$202,0)),"미등록품번"))</f>
        <v/>
      </c>
      <c r="F247" s="12" t="str">
        <f aca="false">IF($D247="","",IFERROR(INDEX(품목마스터!$D$3:$D$202,MATCH($D247,품목마스터!$A$3:$A$202,0)),""))</f>
        <v/>
      </c>
      <c r="G247" s="9"/>
      <c r="H247" s="9"/>
      <c r="I247" s="13" t="str">
        <f aca="false">IF(OR($G247="",$H247=""),"",ROUND($G247*$H247,0))</f>
        <v/>
      </c>
      <c r="J247" s="7"/>
    </row>
    <row r="248" customFormat="false" ht="15" hidden="false" customHeight="true" outlineLevel="0" collapsed="false">
      <c r="A248" s="11"/>
      <c r="B248" s="7"/>
      <c r="C248" s="12" t="str">
        <f aca="false">IF($B248="","",IFERROR(INDEX(거래처마스터!$B$3:$B$102,MATCH($B248,거래처마스터!$A$3:$A$102,0)),"미등록"))</f>
        <v/>
      </c>
      <c r="D248" s="7"/>
      <c r="E248" s="12" t="str">
        <f aca="false">IF($D248="","",IFERROR(INDEX(품목마스터!$B$3:$B$202,MATCH($D248,품목마스터!$A$3:$A$202,0)),"미등록품번"))</f>
        <v/>
      </c>
      <c r="F248" s="12" t="str">
        <f aca="false">IF($D248="","",IFERROR(INDEX(품목마스터!$D$3:$D$202,MATCH($D248,품목마스터!$A$3:$A$202,0)),""))</f>
        <v/>
      </c>
      <c r="G248" s="9"/>
      <c r="H248" s="9"/>
      <c r="I248" s="13" t="str">
        <f aca="false">IF(OR($G248="",$H248=""),"",ROUND($G248*$H248,0))</f>
        <v/>
      </c>
      <c r="J248" s="7"/>
    </row>
    <row r="249" customFormat="false" ht="15" hidden="false" customHeight="true" outlineLevel="0" collapsed="false">
      <c r="A249" s="11"/>
      <c r="B249" s="7"/>
      <c r="C249" s="12" t="str">
        <f aca="false">IF($B249="","",IFERROR(INDEX(거래처마스터!$B$3:$B$102,MATCH($B249,거래처마스터!$A$3:$A$102,0)),"미등록"))</f>
        <v/>
      </c>
      <c r="D249" s="7"/>
      <c r="E249" s="12" t="str">
        <f aca="false">IF($D249="","",IFERROR(INDEX(품목마스터!$B$3:$B$202,MATCH($D249,품목마스터!$A$3:$A$202,0)),"미등록품번"))</f>
        <v/>
      </c>
      <c r="F249" s="12" t="str">
        <f aca="false">IF($D249="","",IFERROR(INDEX(품목마스터!$D$3:$D$202,MATCH($D249,품목마스터!$A$3:$A$202,0)),""))</f>
        <v/>
      </c>
      <c r="G249" s="9"/>
      <c r="H249" s="9"/>
      <c r="I249" s="13" t="str">
        <f aca="false">IF(OR($G249="",$H249=""),"",ROUND($G249*$H249,0))</f>
        <v/>
      </c>
      <c r="J249" s="7"/>
    </row>
    <row r="250" customFormat="false" ht="15" hidden="false" customHeight="true" outlineLevel="0" collapsed="false">
      <c r="A250" s="11"/>
      <c r="B250" s="7"/>
      <c r="C250" s="12" t="str">
        <f aca="false">IF($B250="","",IFERROR(INDEX(거래처마스터!$B$3:$B$102,MATCH($B250,거래처마스터!$A$3:$A$102,0)),"미등록"))</f>
        <v/>
      </c>
      <c r="D250" s="7"/>
      <c r="E250" s="12" t="str">
        <f aca="false">IF($D250="","",IFERROR(INDEX(품목마스터!$B$3:$B$202,MATCH($D250,품목마스터!$A$3:$A$202,0)),"미등록품번"))</f>
        <v/>
      </c>
      <c r="F250" s="12" t="str">
        <f aca="false">IF($D250="","",IFERROR(INDEX(품목마스터!$D$3:$D$202,MATCH($D250,품목마스터!$A$3:$A$202,0)),""))</f>
        <v/>
      </c>
      <c r="G250" s="9"/>
      <c r="H250" s="9"/>
      <c r="I250" s="13" t="str">
        <f aca="false">IF(OR($G250="",$H250=""),"",ROUND($G250*$H250,0))</f>
        <v/>
      </c>
      <c r="J250" s="7"/>
    </row>
    <row r="251" customFormat="false" ht="15" hidden="false" customHeight="true" outlineLevel="0" collapsed="false">
      <c r="A251" s="11"/>
      <c r="B251" s="7"/>
      <c r="C251" s="12" t="str">
        <f aca="false">IF($B251="","",IFERROR(INDEX(거래처마스터!$B$3:$B$102,MATCH($B251,거래처마스터!$A$3:$A$102,0)),"미등록"))</f>
        <v/>
      </c>
      <c r="D251" s="7"/>
      <c r="E251" s="12" t="str">
        <f aca="false">IF($D251="","",IFERROR(INDEX(품목마스터!$B$3:$B$202,MATCH($D251,품목마스터!$A$3:$A$202,0)),"미등록품번"))</f>
        <v/>
      </c>
      <c r="F251" s="12" t="str">
        <f aca="false">IF($D251="","",IFERROR(INDEX(품목마스터!$D$3:$D$202,MATCH($D251,품목마스터!$A$3:$A$202,0)),""))</f>
        <v/>
      </c>
      <c r="G251" s="9"/>
      <c r="H251" s="9"/>
      <c r="I251" s="13" t="str">
        <f aca="false">IF(OR($G251="",$H251=""),"",ROUND($G251*$H251,0))</f>
        <v/>
      </c>
      <c r="J251" s="7"/>
    </row>
    <row r="252" customFormat="false" ht="15" hidden="false" customHeight="true" outlineLevel="0" collapsed="false">
      <c r="A252" s="11"/>
      <c r="B252" s="7"/>
      <c r="C252" s="12" t="str">
        <f aca="false">IF($B252="","",IFERROR(INDEX(거래처마스터!$B$3:$B$102,MATCH($B252,거래처마스터!$A$3:$A$102,0)),"미등록"))</f>
        <v/>
      </c>
      <c r="D252" s="7"/>
      <c r="E252" s="12" t="str">
        <f aca="false">IF($D252="","",IFERROR(INDEX(품목마스터!$B$3:$B$202,MATCH($D252,품목마스터!$A$3:$A$202,0)),"미등록품번"))</f>
        <v/>
      </c>
      <c r="F252" s="12" t="str">
        <f aca="false">IF($D252="","",IFERROR(INDEX(품목마스터!$D$3:$D$202,MATCH($D252,품목마스터!$A$3:$A$202,0)),""))</f>
        <v/>
      </c>
      <c r="G252" s="9"/>
      <c r="H252" s="9"/>
      <c r="I252" s="13" t="str">
        <f aca="false">IF(OR($G252="",$H252=""),"",ROUND($G252*$H252,0))</f>
        <v/>
      </c>
      <c r="J252" s="7"/>
    </row>
    <row r="253" customFormat="false" ht="15" hidden="false" customHeight="true" outlineLevel="0" collapsed="false">
      <c r="A253" s="11"/>
      <c r="B253" s="7"/>
      <c r="C253" s="12" t="str">
        <f aca="false">IF($B253="","",IFERROR(INDEX(거래처마스터!$B$3:$B$102,MATCH($B253,거래처마스터!$A$3:$A$102,0)),"미등록"))</f>
        <v/>
      </c>
      <c r="D253" s="7"/>
      <c r="E253" s="12" t="str">
        <f aca="false">IF($D253="","",IFERROR(INDEX(품목마스터!$B$3:$B$202,MATCH($D253,품목마스터!$A$3:$A$202,0)),"미등록품번"))</f>
        <v/>
      </c>
      <c r="F253" s="12" t="str">
        <f aca="false">IF($D253="","",IFERROR(INDEX(품목마스터!$D$3:$D$202,MATCH($D253,품목마스터!$A$3:$A$202,0)),""))</f>
        <v/>
      </c>
      <c r="G253" s="9"/>
      <c r="H253" s="9"/>
      <c r="I253" s="13" t="str">
        <f aca="false">IF(OR($G253="",$H253=""),"",ROUND($G253*$H253,0))</f>
        <v/>
      </c>
      <c r="J253" s="7"/>
    </row>
    <row r="254" customFormat="false" ht="15" hidden="false" customHeight="true" outlineLevel="0" collapsed="false">
      <c r="A254" s="11"/>
      <c r="B254" s="7"/>
      <c r="C254" s="12" t="str">
        <f aca="false">IF($B254="","",IFERROR(INDEX(거래처마스터!$B$3:$B$102,MATCH($B254,거래처마스터!$A$3:$A$102,0)),"미등록"))</f>
        <v/>
      </c>
      <c r="D254" s="7"/>
      <c r="E254" s="12" t="str">
        <f aca="false">IF($D254="","",IFERROR(INDEX(품목마스터!$B$3:$B$202,MATCH($D254,품목마스터!$A$3:$A$202,0)),"미등록품번"))</f>
        <v/>
      </c>
      <c r="F254" s="12" t="str">
        <f aca="false">IF($D254="","",IFERROR(INDEX(품목마스터!$D$3:$D$202,MATCH($D254,품목마스터!$A$3:$A$202,0)),""))</f>
        <v/>
      </c>
      <c r="G254" s="9"/>
      <c r="H254" s="9"/>
      <c r="I254" s="13" t="str">
        <f aca="false">IF(OR($G254="",$H254=""),"",ROUND($G254*$H254,0))</f>
        <v/>
      </c>
      <c r="J254" s="7"/>
    </row>
    <row r="255" customFormat="false" ht="15" hidden="false" customHeight="true" outlineLevel="0" collapsed="false">
      <c r="A255" s="11"/>
      <c r="B255" s="7"/>
      <c r="C255" s="12" t="str">
        <f aca="false">IF($B255="","",IFERROR(INDEX(거래처마스터!$B$3:$B$102,MATCH($B255,거래처마스터!$A$3:$A$102,0)),"미등록"))</f>
        <v/>
      </c>
      <c r="D255" s="7"/>
      <c r="E255" s="12" t="str">
        <f aca="false">IF($D255="","",IFERROR(INDEX(품목마스터!$B$3:$B$202,MATCH($D255,품목마스터!$A$3:$A$202,0)),"미등록품번"))</f>
        <v/>
      </c>
      <c r="F255" s="12" t="str">
        <f aca="false">IF($D255="","",IFERROR(INDEX(품목마스터!$D$3:$D$202,MATCH($D255,품목마스터!$A$3:$A$202,0)),""))</f>
        <v/>
      </c>
      <c r="G255" s="9"/>
      <c r="H255" s="9"/>
      <c r="I255" s="13" t="str">
        <f aca="false">IF(OR($G255="",$H255=""),"",ROUND($G255*$H255,0))</f>
        <v/>
      </c>
      <c r="J255" s="7"/>
    </row>
    <row r="256" customFormat="false" ht="15" hidden="false" customHeight="true" outlineLevel="0" collapsed="false">
      <c r="A256" s="11"/>
      <c r="B256" s="7"/>
      <c r="C256" s="12" t="str">
        <f aca="false">IF($B256="","",IFERROR(INDEX(거래처마스터!$B$3:$B$102,MATCH($B256,거래처마스터!$A$3:$A$102,0)),"미등록"))</f>
        <v/>
      </c>
      <c r="D256" s="7"/>
      <c r="E256" s="12" t="str">
        <f aca="false">IF($D256="","",IFERROR(INDEX(품목마스터!$B$3:$B$202,MATCH($D256,품목마스터!$A$3:$A$202,0)),"미등록품번"))</f>
        <v/>
      </c>
      <c r="F256" s="12" t="str">
        <f aca="false">IF($D256="","",IFERROR(INDEX(품목마스터!$D$3:$D$202,MATCH($D256,품목마스터!$A$3:$A$202,0)),""))</f>
        <v/>
      </c>
      <c r="G256" s="9"/>
      <c r="H256" s="9"/>
      <c r="I256" s="13" t="str">
        <f aca="false">IF(OR($G256="",$H256=""),"",ROUND($G256*$H256,0))</f>
        <v/>
      </c>
      <c r="J256" s="7"/>
    </row>
    <row r="257" customFormat="false" ht="15" hidden="false" customHeight="true" outlineLevel="0" collapsed="false">
      <c r="A257" s="11"/>
      <c r="B257" s="7"/>
      <c r="C257" s="12" t="str">
        <f aca="false">IF($B257="","",IFERROR(INDEX(거래처마스터!$B$3:$B$102,MATCH($B257,거래처마스터!$A$3:$A$102,0)),"미등록"))</f>
        <v/>
      </c>
      <c r="D257" s="7"/>
      <c r="E257" s="12" t="str">
        <f aca="false">IF($D257="","",IFERROR(INDEX(품목마스터!$B$3:$B$202,MATCH($D257,품목마스터!$A$3:$A$202,0)),"미등록품번"))</f>
        <v/>
      </c>
      <c r="F257" s="12" t="str">
        <f aca="false">IF($D257="","",IFERROR(INDEX(품목마스터!$D$3:$D$202,MATCH($D257,품목마스터!$A$3:$A$202,0)),""))</f>
        <v/>
      </c>
      <c r="G257" s="9"/>
      <c r="H257" s="9"/>
      <c r="I257" s="13" t="str">
        <f aca="false">IF(OR($G257="",$H257=""),"",ROUND($G257*$H257,0))</f>
        <v/>
      </c>
      <c r="J257" s="7"/>
    </row>
    <row r="258" customFormat="false" ht="15" hidden="false" customHeight="true" outlineLevel="0" collapsed="false">
      <c r="A258" s="11"/>
      <c r="B258" s="7"/>
      <c r="C258" s="12" t="str">
        <f aca="false">IF($B258="","",IFERROR(INDEX(거래처마스터!$B$3:$B$102,MATCH($B258,거래처마스터!$A$3:$A$102,0)),"미등록"))</f>
        <v/>
      </c>
      <c r="D258" s="7"/>
      <c r="E258" s="12" t="str">
        <f aca="false">IF($D258="","",IFERROR(INDEX(품목마스터!$B$3:$B$202,MATCH($D258,품목마스터!$A$3:$A$202,0)),"미등록품번"))</f>
        <v/>
      </c>
      <c r="F258" s="12" t="str">
        <f aca="false">IF($D258="","",IFERROR(INDEX(품목마스터!$D$3:$D$202,MATCH($D258,품목마스터!$A$3:$A$202,0)),""))</f>
        <v/>
      </c>
      <c r="G258" s="9"/>
      <c r="H258" s="9"/>
      <c r="I258" s="13" t="str">
        <f aca="false">IF(OR($G258="",$H258=""),"",ROUND($G258*$H258,0))</f>
        <v/>
      </c>
      <c r="J258" s="7"/>
    </row>
    <row r="259" customFormat="false" ht="15" hidden="false" customHeight="true" outlineLevel="0" collapsed="false">
      <c r="A259" s="11"/>
      <c r="B259" s="7"/>
      <c r="C259" s="12" t="str">
        <f aca="false">IF($B259="","",IFERROR(INDEX(거래처마스터!$B$3:$B$102,MATCH($B259,거래처마스터!$A$3:$A$102,0)),"미등록"))</f>
        <v/>
      </c>
      <c r="D259" s="7"/>
      <c r="E259" s="12" t="str">
        <f aca="false">IF($D259="","",IFERROR(INDEX(품목마스터!$B$3:$B$202,MATCH($D259,품목마스터!$A$3:$A$202,0)),"미등록품번"))</f>
        <v/>
      </c>
      <c r="F259" s="12" t="str">
        <f aca="false">IF($D259="","",IFERROR(INDEX(품목마스터!$D$3:$D$202,MATCH($D259,품목마스터!$A$3:$A$202,0)),""))</f>
        <v/>
      </c>
      <c r="G259" s="9"/>
      <c r="H259" s="9"/>
      <c r="I259" s="13" t="str">
        <f aca="false">IF(OR($G259="",$H259=""),"",ROUND($G259*$H259,0))</f>
        <v/>
      </c>
      <c r="J259" s="7"/>
    </row>
    <row r="260" customFormat="false" ht="15" hidden="false" customHeight="true" outlineLevel="0" collapsed="false">
      <c r="A260" s="11"/>
      <c r="B260" s="7"/>
      <c r="C260" s="12" t="str">
        <f aca="false">IF($B260="","",IFERROR(INDEX(거래처마스터!$B$3:$B$102,MATCH($B260,거래처마스터!$A$3:$A$102,0)),"미등록"))</f>
        <v/>
      </c>
      <c r="D260" s="7"/>
      <c r="E260" s="12" t="str">
        <f aca="false">IF($D260="","",IFERROR(INDEX(품목마스터!$B$3:$B$202,MATCH($D260,품목마스터!$A$3:$A$202,0)),"미등록품번"))</f>
        <v/>
      </c>
      <c r="F260" s="12" t="str">
        <f aca="false">IF($D260="","",IFERROR(INDEX(품목마스터!$D$3:$D$202,MATCH($D260,품목마스터!$A$3:$A$202,0)),""))</f>
        <v/>
      </c>
      <c r="G260" s="9"/>
      <c r="H260" s="9"/>
      <c r="I260" s="13" t="str">
        <f aca="false">IF(OR($G260="",$H260=""),"",ROUND($G260*$H260,0))</f>
        <v/>
      </c>
      <c r="J260" s="7"/>
    </row>
    <row r="261" customFormat="false" ht="15" hidden="false" customHeight="true" outlineLevel="0" collapsed="false">
      <c r="A261" s="11"/>
      <c r="B261" s="7"/>
      <c r="C261" s="12" t="str">
        <f aca="false">IF($B261="","",IFERROR(INDEX(거래처마스터!$B$3:$B$102,MATCH($B261,거래처마스터!$A$3:$A$102,0)),"미등록"))</f>
        <v/>
      </c>
      <c r="D261" s="7"/>
      <c r="E261" s="12" t="str">
        <f aca="false">IF($D261="","",IFERROR(INDEX(품목마스터!$B$3:$B$202,MATCH($D261,품목마스터!$A$3:$A$202,0)),"미등록품번"))</f>
        <v/>
      </c>
      <c r="F261" s="12" t="str">
        <f aca="false">IF($D261="","",IFERROR(INDEX(품목마스터!$D$3:$D$202,MATCH($D261,품목마스터!$A$3:$A$202,0)),""))</f>
        <v/>
      </c>
      <c r="G261" s="9"/>
      <c r="H261" s="9"/>
      <c r="I261" s="13" t="str">
        <f aca="false">IF(OR($G261="",$H261=""),"",ROUND($G261*$H261,0))</f>
        <v/>
      </c>
      <c r="J261" s="7"/>
    </row>
    <row r="262" customFormat="false" ht="15" hidden="false" customHeight="true" outlineLevel="0" collapsed="false">
      <c r="A262" s="11"/>
      <c r="B262" s="7"/>
      <c r="C262" s="12" t="str">
        <f aca="false">IF($B262="","",IFERROR(INDEX(거래처마스터!$B$3:$B$102,MATCH($B262,거래처마스터!$A$3:$A$102,0)),"미등록"))</f>
        <v/>
      </c>
      <c r="D262" s="7"/>
      <c r="E262" s="12" t="str">
        <f aca="false">IF($D262="","",IFERROR(INDEX(품목마스터!$B$3:$B$202,MATCH($D262,품목마스터!$A$3:$A$202,0)),"미등록품번"))</f>
        <v/>
      </c>
      <c r="F262" s="12" t="str">
        <f aca="false">IF($D262="","",IFERROR(INDEX(품목마스터!$D$3:$D$202,MATCH($D262,품목마스터!$A$3:$A$202,0)),""))</f>
        <v/>
      </c>
      <c r="G262" s="9"/>
      <c r="H262" s="9"/>
      <c r="I262" s="13" t="str">
        <f aca="false">IF(OR($G262="",$H262=""),"",ROUND($G262*$H262,0))</f>
        <v/>
      </c>
      <c r="J262" s="7"/>
    </row>
    <row r="263" customFormat="false" ht="15" hidden="false" customHeight="true" outlineLevel="0" collapsed="false">
      <c r="A263" s="11"/>
      <c r="B263" s="7"/>
      <c r="C263" s="12" t="str">
        <f aca="false">IF($B263="","",IFERROR(INDEX(거래처마스터!$B$3:$B$102,MATCH($B263,거래처마스터!$A$3:$A$102,0)),"미등록"))</f>
        <v/>
      </c>
      <c r="D263" s="7"/>
      <c r="E263" s="12" t="str">
        <f aca="false">IF($D263="","",IFERROR(INDEX(품목마스터!$B$3:$B$202,MATCH($D263,품목마스터!$A$3:$A$202,0)),"미등록품번"))</f>
        <v/>
      </c>
      <c r="F263" s="12" t="str">
        <f aca="false">IF($D263="","",IFERROR(INDEX(품목마스터!$D$3:$D$202,MATCH($D263,품목마스터!$A$3:$A$202,0)),""))</f>
        <v/>
      </c>
      <c r="G263" s="9"/>
      <c r="H263" s="9"/>
      <c r="I263" s="13" t="str">
        <f aca="false">IF(OR($G263="",$H263=""),"",ROUND($G263*$H263,0))</f>
        <v/>
      </c>
      <c r="J263" s="7"/>
    </row>
    <row r="264" customFormat="false" ht="15" hidden="false" customHeight="true" outlineLevel="0" collapsed="false">
      <c r="A264" s="11"/>
      <c r="B264" s="7"/>
      <c r="C264" s="12" t="str">
        <f aca="false">IF($B264="","",IFERROR(INDEX(거래처마스터!$B$3:$B$102,MATCH($B264,거래처마스터!$A$3:$A$102,0)),"미등록"))</f>
        <v/>
      </c>
      <c r="D264" s="7"/>
      <c r="E264" s="12" t="str">
        <f aca="false">IF($D264="","",IFERROR(INDEX(품목마스터!$B$3:$B$202,MATCH($D264,품목마스터!$A$3:$A$202,0)),"미등록품번"))</f>
        <v/>
      </c>
      <c r="F264" s="12" t="str">
        <f aca="false">IF($D264="","",IFERROR(INDEX(품목마스터!$D$3:$D$202,MATCH($D264,품목마스터!$A$3:$A$202,0)),""))</f>
        <v/>
      </c>
      <c r="G264" s="9"/>
      <c r="H264" s="9"/>
      <c r="I264" s="13" t="str">
        <f aca="false">IF(OR($G264="",$H264=""),"",ROUND($G264*$H264,0))</f>
        <v/>
      </c>
      <c r="J264" s="7"/>
    </row>
    <row r="265" customFormat="false" ht="15" hidden="false" customHeight="true" outlineLevel="0" collapsed="false">
      <c r="A265" s="11"/>
      <c r="B265" s="7"/>
      <c r="C265" s="12" t="str">
        <f aca="false">IF($B265="","",IFERROR(INDEX(거래처마스터!$B$3:$B$102,MATCH($B265,거래처마스터!$A$3:$A$102,0)),"미등록"))</f>
        <v/>
      </c>
      <c r="D265" s="7"/>
      <c r="E265" s="12" t="str">
        <f aca="false">IF($D265="","",IFERROR(INDEX(품목마스터!$B$3:$B$202,MATCH($D265,품목마스터!$A$3:$A$202,0)),"미등록품번"))</f>
        <v/>
      </c>
      <c r="F265" s="12" t="str">
        <f aca="false">IF($D265="","",IFERROR(INDEX(품목마스터!$D$3:$D$202,MATCH($D265,품목마스터!$A$3:$A$202,0)),""))</f>
        <v/>
      </c>
      <c r="G265" s="9"/>
      <c r="H265" s="9"/>
      <c r="I265" s="13" t="str">
        <f aca="false">IF(OR($G265="",$H265=""),"",ROUND($G265*$H265,0))</f>
        <v/>
      </c>
      <c r="J265" s="7"/>
    </row>
    <row r="266" customFormat="false" ht="15" hidden="false" customHeight="true" outlineLevel="0" collapsed="false">
      <c r="A266" s="11"/>
      <c r="B266" s="7"/>
      <c r="C266" s="12" t="str">
        <f aca="false">IF($B266="","",IFERROR(INDEX(거래처마스터!$B$3:$B$102,MATCH($B266,거래처마스터!$A$3:$A$102,0)),"미등록"))</f>
        <v/>
      </c>
      <c r="D266" s="7"/>
      <c r="E266" s="12" t="str">
        <f aca="false">IF($D266="","",IFERROR(INDEX(품목마스터!$B$3:$B$202,MATCH($D266,품목마스터!$A$3:$A$202,0)),"미등록품번"))</f>
        <v/>
      </c>
      <c r="F266" s="12" t="str">
        <f aca="false">IF($D266="","",IFERROR(INDEX(품목마스터!$D$3:$D$202,MATCH($D266,품목마스터!$A$3:$A$202,0)),""))</f>
        <v/>
      </c>
      <c r="G266" s="9"/>
      <c r="H266" s="9"/>
      <c r="I266" s="13" t="str">
        <f aca="false">IF(OR($G266="",$H266=""),"",ROUND($G266*$H266,0))</f>
        <v/>
      </c>
      <c r="J266" s="7"/>
    </row>
    <row r="267" customFormat="false" ht="15" hidden="false" customHeight="true" outlineLevel="0" collapsed="false">
      <c r="A267" s="11"/>
      <c r="B267" s="7"/>
      <c r="C267" s="12" t="str">
        <f aca="false">IF($B267="","",IFERROR(INDEX(거래처마스터!$B$3:$B$102,MATCH($B267,거래처마스터!$A$3:$A$102,0)),"미등록"))</f>
        <v/>
      </c>
      <c r="D267" s="7"/>
      <c r="E267" s="12" t="str">
        <f aca="false">IF($D267="","",IFERROR(INDEX(품목마스터!$B$3:$B$202,MATCH($D267,품목마스터!$A$3:$A$202,0)),"미등록품번"))</f>
        <v/>
      </c>
      <c r="F267" s="12" t="str">
        <f aca="false">IF($D267="","",IFERROR(INDEX(품목마스터!$D$3:$D$202,MATCH($D267,품목마스터!$A$3:$A$202,0)),""))</f>
        <v/>
      </c>
      <c r="G267" s="9"/>
      <c r="H267" s="9"/>
      <c r="I267" s="13" t="str">
        <f aca="false">IF(OR($G267="",$H267=""),"",ROUND($G267*$H267,0))</f>
        <v/>
      </c>
      <c r="J267" s="7"/>
    </row>
    <row r="268" customFormat="false" ht="15" hidden="false" customHeight="true" outlineLevel="0" collapsed="false">
      <c r="A268" s="11"/>
      <c r="B268" s="7"/>
      <c r="C268" s="12" t="str">
        <f aca="false">IF($B268="","",IFERROR(INDEX(거래처마스터!$B$3:$B$102,MATCH($B268,거래처마스터!$A$3:$A$102,0)),"미등록"))</f>
        <v/>
      </c>
      <c r="D268" s="7"/>
      <c r="E268" s="12" t="str">
        <f aca="false">IF($D268="","",IFERROR(INDEX(품목마스터!$B$3:$B$202,MATCH($D268,품목마스터!$A$3:$A$202,0)),"미등록품번"))</f>
        <v/>
      </c>
      <c r="F268" s="12" t="str">
        <f aca="false">IF($D268="","",IFERROR(INDEX(품목마스터!$D$3:$D$202,MATCH($D268,품목마스터!$A$3:$A$202,0)),""))</f>
        <v/>
      </c>
      <c r="G268" s="9"/>
      <c r="H268" s="9"/>
      <c r="I268" s="13" t="str">
        <f aca="false">IF(OR($G268="",$H268=""),"",ROUND($G268*$H268,0))</f>
        <v/>
      </c>
      <c r="J268" s="7"/>
    </row>
    <row r="269" customFormat="false" ht="15" hidden="false" customHeight="true" outlineLevel="0" collapsed="false">
      <c r="A269" s="11"/>
      <c r="B269" s="7"/>
      <c r="C269" s="12" t="str">
        <f aca="false">IF($B269="","",IFERROR(INDEX(거래처마스터!$B$3:$B$102,MATCH($B269,거래처마스터!$A$3:$A$102,0)),"미등록"))</f>
        <v/>
      </c>
      <c r="D269" s="7"/>
      <c r="E269" s="12" t="str">
        <f aca="false">IF($D269="","",IFERROR(INDEX(품목마스터!$B$3:$B$202,MATCH($D269,품목마스터!$A$3:$A$202,0)),"미등록품번"))</f>
        <v/>
      </c>
      <c r="F269" s="12" t="str">
        <f aca="false">IF($D269="","",IFERROR(INDEX(품목마스터!$D$3:$D$202,MATCH($D269,품목마스터!$A$3:$A$202,0)),""))</f>
        <v/>
      </c>
      <c r="G269" s="9"/>
      <c r="H269" s="9"/>
      <c r="I269" s="13" t="str">
        <f aca="false">IF(OR($G269="",$H269=""),"",ROUND($G269*$H269,0))</f>
        <v/>
      </c>
      <c r="J269" s="7"/>
    </row>
    <row r="270" customFormat="false" ht="15" hidden="false" customHeight="true" outlineLevel="0" collapsed="false">
      <c r="A270" s="11"/>
      <c r="B270" s="7"/>
      <c r="C270" s="12" t="str">
        <f aca="false">IF($B270="","",IFERROR(INDEX(거래처마스터!$B$3:$B$102,MATCH($B270,거래처마스터!$A$3:$A$102,0)),"미등록"))</f>
        <v/>
      </c>
      <c r="D270" s="7"/>
      <c r="E270" s="12" t="str">
        <f aca="false">IF($D270="","",IFERROR(INDEX(품목마스터!$B$3:$B$202,MATCH($D270,품목마스터!$A$3:$A$202,0)),"미등록품번"))</f>
        <v/>
      </c>
      <c r="F270" s="12" t="str">
        <f aca="false">IF($D270="","",IFERROR(INDEX(품목마스터!$D$3:$D$202,MATCH($D270,품목마스터!$A$3:$A$202,0)),""))</f>
        <v/>
      </c>
      <c r="G270" s="9"/>
      <c r="H270" s="9"/>
      <c r="I270" s="13" t="str">
        <f aca="false">IF(OR($G270="",$H270=""),"",ROUND($G270*$H270,0))</f>
        <v/>
      </c>
      <c r="J270" s="7"/>
    </row>
    <row r="271" customFormat="false" ht="15" hidden="false" customHeight="true" outlineLevel="0" collapsed="false">
      <c r="A271" s="11"/>
      <c r="B271" s="7"/>
      <c r="C271" s="12" t="str">
        <f aca="false">IF($B271="","",IFERROR(INDEX(거래처마스터!$B$3:$B$102,MATCH($B271,거래처마스터!$A$3:$A$102,0)),"미등록"))</f>
        <v/>
      </c>
      <c r="D271" s="7"/>
      <c r="E271" s="12" t="str">
        <f aca="false">IF($D271="","",IFERROR(INDEX(품목마스터!$B$3:$B$202,MATCH($D271,품목마스터!$A$3:$A$202,0)),"미등록품번"))</f>
        <v/>
      </c>
      <c r="F271" s="12" t="str">
        <f aca="false">IF($D271="","",IFERROR(INDEX(품목마스터!$D$3:$D$202,MATCH($D271,품목마스터!$A$3:$A$202,0)),""))</f>
        <v/>
      </c>
      <c r="G271" s="9"/>
      <c r="H271" s="9"/>
      <c r="I271" s="13" t="str">
        <f aca="false">IF(OR($G271="",$H271=""),"",ROUND($G271*$H271,0))</f>
        <v/>
      </c>
      <c r="J271" s="7"/>
    </row>
    <row r="272" customFormat="false" ht="15" hidden="false" customHeight="true" outlineLevel="0" collapsed="false">
      <c r="A272" s="11"/>
      <c r="B272" s="7"/>
      <c r="C272" s="12" t="str">
        <f aca="false">IF($B272="","",IFERROR(INDEX(거래처마스터!$B$3:$B$102,MATCH($B272,거래처마스터!$A$3:$A$102,0)),"미등록"))</f>
        <v/>
      </c>
      <c r="D272" s="7"/>
      <c r="E272" s="12" t="str">
        <f aca="false">IF($D272="","",IFERROR(INDEX(품목마스터!$B$3:$B$202,MATCH($D272,품목마스터!$A$3:$A$202,0)),"미등록품번"))</f>
        <v/>
      </c>
      <c r="F272" s="12" t="str">
        <f aca="false">IF($D272="","",IFERROR(INDEX(품목마스터!$D$3:$D$202,MATCH($D272,품목마스터!$A$3:$A$202,0)),""))</f>
        <v/>
      </c>
      <c r="G272" s="9"/>
      <c r="H272" s="9"/>
      <c r="I272" s="13" t="str">
        <f aca="false">IF(OR($G272="",$H272=""),"",ROUND($G272*$H272,0))</f>
        <v/>
      </c>
      <c r="J272" s="7"/>
    </row>
    <row r="273" customFormat="false" ht="15" hidden="false" customHeight="true" outlineLevel="0" collapsed="false">
      <c r="A273" s="11"/>
      <c r="B273" s="7"/>
      <c r="C273" s="12" t="str">
        <f aca="false">IF($B273="","",IFERROR(INDEX(거래처마스터!$B$3:$B$102,MATCH($B273,거래처마스터!$A$3:$A$102,0)),"미등록"))</f>
        <v/>
      </c>
      <c r="D273" s="7"/>
      <c r="E273" s="12" t="str">
        <f aca="false">IF($D273="","",IFERROR(INDEX(품목마스터!$B$3:$B$202,MATCH($D273,품목마스터!$A$3:$A$202,0)),"미등록품번"))</f>
        <v/>
      </c>
      <c r="F273" s="12" t="str">
        <f aca="false">IF($D273="","",IFERROR(INDEX(품목마스터!$D$3:$D$202,MATCH($D273,품목마스터!$A$3:$A$202,0)),""))</f>
        <v/>
      </c>
      <c r="G273" s="9"/>
      <c r="H273" s="9"/>
      <c r="I273" s="13" t="str">
        <f aca="false">IF(OR($G273="",$H273=""),"",ROUND($G273*$H273,0))</f>
        <v/>
      </c>
      <c r="J273" s="7"/>
    </row>
    <row r="274" customFormat="false" ht="15" hidden="false" customHeight="true" outlineLevel="0" collapsed="false">
      <c r="A274" s="11"/>
      <c r="B274" s="7"/>
      <c r="C274" s="12" t="str">
        <f aca="false">IF($B274="","",IFERROR(INDEX(거래처마스터!$B$3:$B$102,MATCH($B274,거래처마스터!$A$3:$A$102,0)),"미등록"))</f>
        <v/>
      </c>
      <c r="D274" s="7"/>
      <c r="E274" s="12" t="str">
        <f aca="false">IF($D274="","",IFERROR(INDEX(품목마스터!$B$3:$B$202,MATCH($D274,품목마스터!$A$3:$A$202,0)),"미등록품번"))</f>
        <v/>
      </c>
      <c r="F274" s="12" t="str">
        <f aca="false">IF($D274="","",IFERROR(INDEX(품목마스터!$D$3:$D$202,MATCH($D274,품목마스터!$A$3:$A$202,0)),""))</f>
        <v/>
      </c>
      <c r="G274" s="9"/>
      <c r="H274" s="9"/>
      <c r="I274" s="13" t="str">
        <f aca="false">IF(OR($G274="",$H274=""),"",ROUND($G274*$H274,0))</f>
        <v/>
      </c>
      <c r="J274" s="7"/>
    </row>
    <row r="275" customFormat="false" ht="15" hidden="false" customHeight="true" outlineLevel="0" collapsed="false">
      <c r="A275" s="11"/>
      <c r="B275" s="7"/>
      <c r="C275" s="12" t="str">
        <f aca="false">IF($B275="","",IFERROR(INDEX(거래처마스터!$B$3:$B$102,MATCH($B275,거래처마스터!$A$3:$A$102,0)),"미등록"))</f>
        <v/>
      </c>
      <c r="D275" s="7"/>
      <c r="E275" s="12" t="str">
        <f aca="false">IF($D275="","",IFERROR(INDEX(품목마스터!$B$3:$B$202,MATCH($D275,품목마스터!$A$3:$A$202,0)),"미등록품번"))</f>
        <v/>
      </c>
      <c r="F275" s="12" t="str">
        <f aca="false">IF($D275="","",IFERROR(INDEX(품목마스터!$D$3:$D$202,MATCH($D275,품목마스터!$A$3:$A$202,0)),""))</f>
        <v/>
      </c>
      <c r="G275" s="9"/>
      <c r="H275" s="9"/>
      <c r="I275" s="13" t="str">
        <f aca="false">IF(OR($G275="",$H275=""),"",ROUND($G275*$H275,0))</f>
        <v/>
      </c>
      <c r="J275" s="7"/>
    </row>
    <row r="276" customFormat="false" ht="15" hidden="false" customHeight="true" outlineLevel="0" collapsed="false">
      <c r="A276" s="11"/>
      <c r="B276" s="7"/>
      <c r="C276" s="12" t="str">
        <f aca="false">IF($B276="","",IFERROR(INDEX(거래처마스터!$B$3:$B$102,MATCH($B276,거래처마스터!$A$3:$A$102,0)),"미등록"))</f>
        <v/>
      </c>
      <c r="D276" s="7"/>
      <c r="E276" s="12" t="str">
        <f aca="false">IF($D276="","",IFERROR(INDEX(품목마스터!$B$3:$B$202,MATCH($D276,품목마스터!$A$3:$A$202,0)),"미등록품번"))</f>
        <v/>
      </c>
      <c r="F276" s="12" t="str">
        <f aca="false">IF($D276="","",IFERROR(INDEX(품목마스터!$D$3:$D$202,MATCH($D276,품목마스터!$A$3:$A$202,0)),""))</f>
        <v/>
      </c>
      <c r="G276" s="9"/>
      <c r="H276" s="9"/>
      <c r="I276" s="13" t="str">
        <f aca="false">IF(OR($G276="",$H276=""),"",ROUND($G276*$H276,0))</f>
        <v/>
      </c>
      <c r="J276" s="7"/>
    </row>
    <row r="277" customFormat="false" ht="15" hidden="false" customHeight="true" outlineLevel="0" collapsed="false">
      <c r="A277" s="11"/>
      <c r="B277" s="7"/>
      <c r="C277" s="12" t="str">
        <f aca="false">IF($B277="","",IFERROR(INDEX(거래처마스터!$B$3:$B$102,MATCH($B277,거래처마스터!$A$3:$A$102,0)),"미등록"))</f>
        <v/>
      </c>
      <c r="D277" s="7"/>
      <c r="E277" s="12" t="str">
        <f aca="false">IF($D277="","",IFERROR(INDEX(품목마스터!$B$3:$B$202,MATCH($D277,품목마스터!$A$3:$A$202,0)),"미등록품번"))</f>
        <v/>
      </c>
      <c r="F277" s="12" t="str">
        <f aca="false">IF($D277="","",IFERROR(INDEX(품목마스터!$D$3:$D$202,MATCH($D277,품목마스터!$A$3:$A$202,0)),""))</f>
        <v/>
      </c>
      <c r="G277" s="9"/>
      <c r="H277" s="9"/>
      <c r="I277" s="13" t="str">
        <f aca="false">IF(OR($G277="",$H277=""),"",ROUND($G277*$H277,0))</f>
        <v/>
      </c>
      <c r="J277" s="7"/>
    </row>
    <row r="278" customFormat="false" ht="15" hidden="false" customHeight="true" outlineLevel="0" collapsed="false">
      <c r="A278" s="11"/>
      <c r="B278" s="7"/>
      <c r="C278" s="12" t="str">
        <f aca="false">IF($B278="","",IFERROR(INDEX(거래처마스터!$B$3:$B$102,MATCH($B278,거래처마스터!$A$3:$A$102,0)),"미등록"))</f>
        <v/>
      </c>
      <c r="D278" s="7"/>
      <c r="E278" s="12" t="str">
        <f aca="false">IF($D278="","",IFERROR(INDEX(품목마스터!$B$3:$B$202,MATCH($D278,품목마스터!$A$3:$A$202,0)),"미등록품번"))</f>
        <v/>
      </c>
      <c r="F278" s="12" t="str">
        <f aca="false">IF($D278="","",IFERROR(INDEX(품목마스터!$D$3:$D$202,MATCH($D278,품목마스터!$A$3:$A$202,0)),""))</f>
        <v/>
      </c>
      <c r="G278" s="9"/>
      <c r="H278" s="9"/>
      <c r="I278" s="13" t="str">
        <f aca="false">IF(OR($G278="",$H278=""),"",ROUND($G278*$H278,0))</f>
        <v/>
      </c>
      <c r="J278" s="7"/>
    </row>
    <row r="279" customFormat="false" ht="15" hidden="false" customHeight="true" outlineLevel="0" collapsed="false">
      <c r="A279" s="11"/>
      <c r="B279" s="7"/>
      <c r="C279" s="12" t="str">
        <f aca="false">IF($B279="","",IFERROR(INDEX(거래처마스터!$B$3:$B$102,MATCH($B279,거래처마스터!$A$3:$A$102,0)),"미등록"))</f>
        <v/>
      </c>
      <c r="D279" s="7"/>
      <c r="E279" s="12" t="str">
        <f aca="false">IF($D279="","",IFERROR(INDEX(품목마스터!$B$3:$B$202,MATCH($D279,품목마스터!$A$3:$A$202,0)),"미등록품번"))</f>
        <v/>
      </c>
      <c r="F279" s="12" t="str">
        <f aca="false">IF($D279="","",IFERROR(INDEX(품목마스터!$D$3:$D$202,MATCH($D279,품목마스터!$A$3:$A$202,0)),""))</f>
        <v/>
      </c>
      <c r="G279" s="9"/>
      <c r="H279" s="9"/>
      <c r="I279" s="13" t="str">
        <f aca="false">IF(OR($G279="",$H279=""),"",ROUND($G279*$H279,0))</f>
        <v/>
      </c>
      <c r="J279" s="7"/>
    </row>
    <row r="280" customFormat="false" ht="15" hidden="false" customHeight="true" outlineLevel="0" collapsed="false">
      <c r="A280" s="11"/>
      <c r="B280" s="7"/>
      <c r="C280" s="12" t="str">
        <f aca="false">IF($B280="","",IFERROR(INDEX(거래처마스터!$B$3:$B$102,MATCH($B280,거래처마스터!$A$3:$A$102,0)),"미등록"))</f>
        <v/>
      </c>
      <c r="D280" s="7"/>
      <c r="E280" s="12" t="str">
        <f aca="false">IF($D280="","",IFERROR(INDEX(품목마스터!$B$3:$B$202,MATCH($D280,품목마스터!$A$3:$A$202,0)),"미등록품번"))</f>
        <v/>
      </c>
      <c r="F280" s="12" t="str">
        <f aca="false">IF($D280="","",IFERROR(INDEX(품목마스터!$D$3:$D$202,MATCH($D280,품목마스터!$A$3:$A$202,0)),""))</f>
        <v/>
      </c>
      <c r="G280" s="9"/>
      <c r="H280" s="9"/>
      <c r="I280" s="13" t="str">
        <f aca="false">IF(OR($G280="",$H280=""),"",ROUND($G280*$H280,0))</f>
        <v/>
      </c>
      <c r="J280" s="7"/>
    </row>
    <row r="281" customFormat="false" ht="15" hidden="false" customHeight="true" outlineLevel="0" collapsed="false">
      <c r="A281" s="11"/>
      <c r="B281" s="7"/>
      <c r="C281" s="12" t="str">
        <f aca="false">IF($B281="","",IFERROR(INDEX(거래처마스터!$B$3:$B$102,MATCH($B281,거래처마스터!$A$3:$A$102,0)),"미등록"))</f>
        <v/>
      </c>
      <c r="D281" s="7"/>
      <c r="E281" s="12" t="str">
        <f aca="false">IF($D281="","",IFERROR(INDEX(품목마스터!$B$3:$B$202,MATCH($D281,품목마스터!$A$3:$A$202,0)),"미등록품번"))</f>
        <v/>
      </c>
      <c r="F281" s="12" t="str">
        <f aca="false">IF($D281="","",IFERROR(INDEX(품목마스터!$D$3:$D$202,MATCH($D281,품목마스터!$A$3:$A$202,0)),""))</f>
        <v/>
      </c>
      <c r="G281" s="9"/>
      <c r="H281" s="9"/>
      <c r="I281" s="13" t="str">
        <f aca="false">IF(OR($G281="",$H281=""),"",ROUND($G281*$H281,0))</f>
        <v/>
      </c>
      <c r="J281" s="7"/>
    </row>
    <row r="282" customFormat="false" ht="15" hidden="false" customHeight="true" outlineLevel="0" collapsed="false">
      <c r="A282" s="11"/>
      <c r="B282" s="7"/>
      <c r="C282" s="12" t="str">
        <f aca="false">IF($B282="","",IFERROR(INDEX(거래처마스터!$B$3:$B$102,MATCH($B282,거래처마스터!$A$3:$A$102,0)),"미등록"))</f>
        <v/>
      </c>
      <c r="D282" s="7"/>
      <c r="E282" s="12" t="str">
        <f aca="false">IF($D282="","",IFERROR(INDEX(품목마스터!$B$3:$B$202,MATCH($D282,품목마스터!$A$3:$A$202,0)),"미등록품번"))</f>
        <v/>
      </c>
      <c r="F282" s="12" t="str">
        <f aca="false">IF($D282="","",IFERROR(INDEX(품목마스터!$D$3:$D$202,MATCH($D282,품목마스터!$A$3:$A$202,0)),""))</f>
        <v/>
      </c>
      <c r="G282" s="9"/>
      <c r="H282" s="9"/>
      <c r="I282" s="13" t="str">
        <f aca="false">IF(OR($G282="",$H282=""),"",ROUND($G282*$H282,0))</f>
        <v/>
      </c>
      <c r="J282" s="7"/>
    </row>
    <row r="283" customFormat="false" ht="15" hidden="false" customHeight="true" outlineLevel="0" collapsed="false">
      <c r="A283" s="11"/>
      <c r="B283" s="7"/>
      <c r="C283" s="12" t="str">
        <f aca="false">IF($B283="","",IFERROR(INDEX(거래처마스터!$B$3:$B$102,MATCH($B283,거래처마스터!$A$3:$A$102,0)),"미등록"))</f>
        <v/>
      </c>
      <c r="D283" s="7"/>
      <c r="E283" s="12" t="str">
        <f aca="false">IF($D283="","",IFERROR(INDEX(품목마스터!$B$3:$B$202,MATCH($D283,품목마스터!$A$3:$A$202,0)),"미등록품번"))</f>
        <v/>
      </c>
      <c r="F283" s="12" t="str">
        <f aca="false">IF($D283="","",IFERROR(INDEX(품목마스터!$D$3:$D$202,MATCH($D283,품목마스터!$A$3:$A$202,0)),""))</f>
        <v/>
      </c>
      <c r="G283" s="9"/>
      <c r="H283" s="9"/>
      <c r="I283" s="13" t="str">
        <f aca="false">IF(OR($G283="",$H283=""),"",ROUND($G283*$H283,0))</f>
        <v/>
      </c>
      <c r="J283" s="7"/>
    </row>
    <row r="284" customFormat="false" ht="15" hidden="false" customHeight="true" outlineLevel="0" collapsed="false">
      <c r="A284" s="11"/>
      <c r="B284" s="7"/>
      <c r="C284" s="12" t="str">
        <f aca="false">IF($B284="","",IFERROR(INDEX(거래처마스터!$B$3:$B$102,MATCH($B284,거래처마스터!$A$3:$A$102,0)),"미등록"))</f>
        <v/>
      </c>
      <c r="D284" s="7"/>
      <c r="E284" s="12" t="str">
        <f aca="false">IF($D284="","",IFERROR(INDEX(품목마스터!$B$3:$B$202,MATCH($D284,품목마스터!$A$3:$A$202,0)),"미등록품번"))</f>
        <v/>
      </c>
      <c r="F284" s="12" t="str">
        <f aca="false">IF($D284="","",IFERROR(INDEX(품목마스터!$D$3:$D$202,MATCH($D284,품목마스터!$A$3:$A$202,0)),""))</f>
        <v/>
      </c>
      <c r="G284" s="9"/>
      <c r="H284" s="9"/>
      <c r="I284" s="13" t="str">
        <f aca="false">IF(OR($G284="",$H284=""),"",ROUND($G284*$H284,0))</f>
        <v/>
      </c>
      <c r="J284" s="7"/>
    </row>
    <row r="285" customFormat="false" ht="15" hidden="false" customHeight="true" outlineLevel="0" collapsed="false">
      <c r="A285" s="11"/>
      <c r="B285" s="7"/>
      <c r="C285" s="12" t="str">
        <f aca="false">IF($B285="","",IFERROR(INDEX(거래처마스터!$B$3:$B$102,MATCH($B285,거래처마스터!$A$3:$A$102,0)),"미등록"))</f>
        <v/>
      </c>
      <c r="D285" s="7"/>
      <c r="E285" s="12" t="str">
        <f aca="false">IF($D285="","",IFERROR(INDEX(품목마스터!$B$3:$B$202,MATCH($D285,품목마스터!$A$3:$A$202,0)),"미등록품번"))</f>
        <v/>
      </c>
      <c r="F285" s="12" t="str">
        <f aca="false">IF($D285="","",IFERROR(INDEX(품목마스터!$D$3:$D$202,MATCH($D285,품목마스터!$A$3:$A$202,0)),""))</f>
        <v/>
      </c>
      <c r="G285" s="9"/>
      <c r="H285" s="9"/>
      <c r="I285" s="13" t="str">
        <f aca="false">IF(OR($G285="",$H285=""),"",ROUND($G285*$H285,0))</f>
        <v/>
      </c>
      <c r="J285" s="7"/>
    </row>
    <row r="286" customFormat="false" ht="15" hidden="false" customHeight="true" outlineLevel="0" collapsed="false">
      <c r="A286" s="11"/>
      <c r="B286" s="7"/>
      <c r="C286" s="12" t="str">
        <f aca="false">IF($B286="","",IFERROR(INDEX(거래처마스터!$B$3:$B$102,MATCH($B286,거래처마스터!$A$3:$A$102,0)),"미등록"))</f>
        <v/>
      </c>
      <c r="D286" s="7"/>
      <c r="E286" s="12" t="str">
        <f aca="false">IF($D286="","",IFERROR(INDEX(품목마스터!$B$3:$B$202,MATCH($D286,품목마스터!$A$3:$A$202,0)),"미등록품번"))</f>
        <v/>
      </c>
      <c r="F286" s="12" t="str">
        <f aca="false">IF($D286="","",IFERROR(INDEX(품목마스터!$D$3:$D$202,MATCH($D286,품목마스터!$A$3:$A$202,0)),""))</f>
        <v/>
      </c>
      <c r="G286" s="9"/>
      <c r="H286" s="9"/>
      <c r="I286" s="13" t="str">
        <f aca="false">IF(OR($G286="",$H286=""),"",ROUND($G286*$H286,0))</f>
        <v/>
      </c>
      <c r="J286" s="7"/>
    </row>
    <row r="287" customFormat="false" ht="15" hidden="false" customHeight="true" outlineLevel="0" collapsed="false">
      <c r="A287" s="11"/>
      <c r="B287" s="7"/>
      <c r="C287" s="12" t="str">
        <f aca="false">IF($B287="","",IFERROR(INDEX(거래처마스터!$B$3:$B$102,MATCH($B287,거래처마스터!$A$3:$A$102,0)),"미등록"))</f>
        <v/>
      </c>
      <c r="D287" s="7"/>
      <c r="E287" s="12" t="str">
        <f aca="false">IF($D287="","",IFERROR(INDEX(품목마스터!$B$3:$B$202,MATCH($D287,품목마스터!$A$3:$A$202,0)),"미등록품번"))</f>
        <v/>
      </c>
      <c r="F287" s="12" t="str">
        <f aca="false">IF($D287="","",IFERROR(INDEX(품목마스터!$D$3:$D$202,MATCH($D287,품목마스터!$A$3:$A$202,0)),""))</f>
        <v/>
      </c>
      <c r="G287" s="9"/>
      <c r="H287" s="9"/>
      <c r="I287" s="13" t="str">
        <f aca="false">IF(OR($G287="",$H287=""),"",ROUND($G287*$H287,0))</f>
        <v/>
      </c>
      <c r="J287" s="7"/>
    </row>
    <row r="288" customFormat="false" ht="15" hidden="false" customHeight="true" outlineLevel="0" collapsed="false">
      <c r="A288" s="11"/>
      <c r="B288" s="7"/>
      <c r="C288" s="12" t="str">
        <f aca="false">IF($B288="","",IFERROR(INDEX(거래처마스터!$B$3:$B$102,MATCH($B288,거래처마스터!$A$3:$A$102,0)),"미등록"))</f>
        <v/>
      </c>
      <c r="D288" s="7"/>
      <c r="E288" s="12" t="str">
        <f aca="false">IF($D288="","",IFERROR(INDEX(품목마스터!$B$3:$B$202,MATCH($D288,품목마스터!$A$3:$A$202,0)),"미등록품번"))</f>
        <v/>
      </c>
      <c r="F288" s="12" t="str">
        <f aca="false">IF($D288="","",IFERROR(INDEX(품목마스터!$D$3:$D$202,MATCH($D288,품목마스터!$A$3:$A$202,0)),""))</f>
        <v/>
      </c>
      <c r="G288" s="9"/>
      <c r="H288" s="9"/>
      <c r="I288" s="13" t="str">
        <f aca="false">IF(OR($G288="",$H288=""),"",ROUND($G288*$H288,0))</f>
        <v/>
      </c>
      <c r="J288" s="7"/>
    </row>
    <row r="289" customFormat="false" ht="15" hidden="false" customHeight="true" outlineLevel="0" collapsed="false">
      <c r="A289" s="11"/>
      <c r="B289" s="7"/>
      <c r="C289" s="12" t="str">
        <f aca="false">IF($B289="","",IFERROR(INDEX(거래처마스터!$B$3:$B$102,MATCH($B289,거래처마스터!$A$3:$A$102,0)),"미등록"))</f>
        <v/>
      </c>
      <c r="D289" s="7"/>
      <c r="E289" s="12" t="str">
        <f aca="false">IF($D289="","",IFERROR(INDEX(품목마스터!$B$3:$B$202,MATCH($D289,품목마스터!$A$3:$A$202,0)),"미등록품번"))</f>
        <v/>
      </c>
      <c r="F289" s="12" t="str">
        <f aca="false">IF($D289="","",IFERROR(INDEX(품목마스터!$D$3:$D$202,MATCH($D289,품목마스터!$A$3:$A$202,0)),""))</f>
        <v/>
      </c>
      <c r="G289" s="9"/>
      <c r="H289" s="9"/>
      <c r="I289" s="13" t="str">
        <f aca="false">IF(OR($G289="",$H289=""),"",ROUND($G289*$H289,0))</f>
        <v/>
      </c>
      <c r="J289" s="7"/>
    </row>
    <row r="290" customFormat="false" ht="15" hidden="false" customHeight="true" outlineLevel="0" collapsed="false">
      <c r="A290" s="11"/>
      <c r="B290" s="7"/>
      <c r="C290" s="12" t="str">
        <f aca="false">IF($B290="","",IFERROR(INDEX(거래처마스터!$B$3:$B$102,MATCH($B290,거래처마스터!$A$3:$A$102,0)),"미등록"))</f>
        <v/>
      </c>
      <c r="D290" s="7"/>
      <c r="E290" s="12" t="str">
        <f aca="false">IF($D290="","",IFERROR(INDEX(품목마스터!$B$3:$B$202,MATCH($D290,품목마스터!$A$3:$A$202,0)),"미등록품번"))</f>
        <v/>
      </c>
      <c r="F290" s="12" t="str">
        <f aca="false">IF($D290="","",IFERROR(INDEX(품목마스터!$D$3:$D$202,MATCH($D290,품목마스터!$A$3:$A$202,0)),""))</f>
        <v/>
      </c>
      <c r="G290" s="9"/>
      <c r="H290" s="9"/>
      <c r="I290" s="13" t="str">
        <f aca="false">IF(OR($G290="",$H290=""),"",ROUND($G290*$H290,0))</f>
        <v/>
      </c>
      <c r="J290" s="7"/>
    </row>
    <row r="291" customFormat="false" ht="15" hidden="false" customHeight="true" outlineLevel="0" collapsed="false">
      <c r="A291" s="11"/>
      <c r="B291" s="7"/>
      <c r="C291" s="12" t="str">
        <f aca="false">IF($B291="","",IFERROR(INDEX(거래처마스터!$B$3:$B$102,MATCH($B291,거래처마스터!$A$3:$A$102,0)),"미등록"))</f>
        <v/>
      </c>
      <c r="D291" s="7"/>
      <c r="E291" s="12" t="str">
        <f aca="false">IF($D291="","",IFERROR(INDEX(품목마스터!$B$3:$B$202,MATCH($D291,품목마스터!$A$3:$A$202,0)),"미등록품번"))</f>
        <v/>
      </c>
      <c r="F291" s="12" t="str">
        <f aca="false">IF($D291="","",IFERROR(INDEX(품목마스터!$D$3:$D$202,MATCH($D291,품목마스터!$A$3:$A$202,0)),""))</f>
        <v/>
      </c>
      <c r="G291" s="9"/>
      <c r="H291" s="9"/>
      <c r="I291" s="13" t="str">
        <f aca="false">IF(OR($G291="",$H291=""),"",ROUND($G291*$H291,0))</f>
        <v/>
      </c>
      <c r="J291" s="7"/>
    </row>
    <row r="292" customFormat="false" ht="15" hidden="false" customHeight="true" outlineLevel="0" collapsed="false">
      <c r="A292" s="11"/>
      <c r="B292" s="7"/>
      <c r="C292" s="12" t="str">
        <f aca="false">IF($B292="","",IFERROR(INDEX(거래처마스터!$B$3:$B$102,MATCH($B292,거래처마스터!$A$3:$A$102,0)),"미등록"))</f>
        <v/>
      </c>
      <c r="D292" s="7"/>
      <c r="E292" s="12" t="str">
        <f aca="false">IF($D292="","",IFERROR(INDEX(품목마스터!$B$3:$B$202,MATCH($D292,품목마스터!$A$3:$A$202,0)),"미등록품번"))</f>
        <v/>
      </c>
      <c r="F292" s="12" t="str">
        <f aca="false">IF($D292="","",IFERROR(INDEX(품목마스터!$D$3:$D$202,MATCH($D292,품목마스터!$A$3:$A$202,0)),""))</f>
        <v/>
      </c>
      <c r="G292" s="9"/>
      <c r="H292" s="9"/>
      <c r="I292" s="13" t="str">
        <f aca="false">IF(OR($G292="",$H292=""),"",ROUND($G292*$H292,0))</f>
        <v/>
      </c>
      <c r="J292" s="7"/>
    </row>
    <row r="293" customFormat="false" ht="15" hidden="false" customHeight="true" outlineLevel="0" collapsed="false">
      <c r="A293" s="11"/>
      <c r="B293" s="7"/>
      <c r="C293" s="12" t="str">
        <f aca="false">IF($B293="","",IFERROR(INDEX(거래처마스터!$B$3:$B$102,MATCH($B293,거래처마스터!$A$3:$A$102,0)),"미등록"))</f>
        <v/>
      </c>
      <c r="D293" s="7"/>
      <c r="E293" s="12" t="str">
        <f aca="false">IF($D293="","",IFERROR(INDEX(품목마스터!$B$3:$B$202,MATCH($D293,품목마스터!$A$3:$A$202,0)),"미등록품번"))</f>
        <v/>
      </c>
      <c r="F293" s="12" t="str">
        <f aca="false">IF($D293="","",IFERROR(INDEX(품목마스터!$D$3:$D$202,MATCH($D293,품목마스터!$A$3:$A$202,0)),""))</f>
        <v/>
      </c>
      <c r="G293" s="9"/>
      <c r="H293" s="9"/>
      <c r="I293" s="13" t="str">
        <f aca="false">IF(OR($G293="",$H293=""),"",ROUND($G293*$H293,0))</f>
        <v/>
      </c>
      <c r="J293" s="7"/>
    </row>
    <row r="294" customFormat="false" ht="15" hidden="false" customHeight="true" outlineLevel="0" collapsed="false">
      <c r="A294" s="11"/>
      <c r="B294" s="7"/>
      <c r="C294" s="12" t="str">
        <f aca="false">IF($B294="","",IFERROR(INDEX(거래처마스터!$B$3:$B$102,MATCH($B294,거래처마스터!$A$3:$A$102,0)),"미등록"))</f>
        <v/>
      </c>
      <c r="D294" s="7"/>
      <c r="E294" s="12" t="str">
        <f aca="false">IF($D294="","",IFERROR(INDEX(품목마스터!$B$3:$B$202,MATCH($D294,품목마스터!$A$3:$A$202,0)),"미등록품번"))</f>
        <v/>
      </c>
      <c r="F294" s="12" t="str">
        <f aca="false">IF($D294="","",IFERROR(INDEX(품목마스터!$D$3:$D$202,MATCH($D294,품목마스터!$A$3:$A$202,0)),""))</f>
        <v/>
      </c>
      <c r="G294" s="9"/>
      <c r="H294" s="9"/>
      <c r="I294" s="13" t="str">
        <f aca="false">IF(OR($G294="",$H294=""),"",ROUND($G294*$H294,0))</f>
        <v/>
      </c>
      <c r="J294" s="7"/>
    </row>
    <row r="295" customFormat="false" ht="15" hidden="false" customHeight="true" outlineLevel="0" collapsed="false">
      <c r="A295" s="11"/>
      <c r="B295" s="7"/>
      <c r="C295" s="12" t="str">
        <f aca="false">IF($B295="","",IFERROR(INDEX(거래처마스터!$B$3:$B$102,MATCH($B295,거래처마스터!$A$3:$A$102,0)),"미등록"))</f>
        <v/>
      </c>
      <c r="D295" s="7"/>
      <c r="E295" s="12" t="str">
        <f aca="false">IF($D295="","",IFERROR(INDEX(품목마스터!$B$3:$B$202,MATCH($D295,품목마스터!$A$3:$A$202,0)),"미등록품번"))</f>
        <v/>
      </c>
      <c r="F295" s="12" t="str">
        <f aca="false">IF($D295="","",IFERROR(INDEX(품목마스터!$D$3:$D$202,MATCH($D295,품목마스터!$A$3:$A$202,0)),""))</f>
        <v/>
      </c>
      <c r="G295" s="9"/>
      <c r="H295" s="9"/>
      <c r="I295" s="13" t="str">
        <f aca="false">IF(OR($G295="",$H295=""),"",ROUND($G295*$H295,0))</f>
        <v/>
      </c>
      <c r="J295" s="7"/>
    </row>
    <row r="296" customFormat="false" ht="15" hidden="false" customHeight="true" outlineLevel="0" collapsed="false">
      <c r="A296" s="11"/>
      <c r="B296" s="7"/>
      <c r="C296" s="12" t="str">
        <f aca="false">IF($B296="","",IFERROR(INDEX(거래처마스터!$B$3:$B$102,MATCH($B296,거래처마스터!$A$3:$A$102,0)),"미등록"))</f>
        <v/>
      </c>
      <c r="D296" s="7"/>
      <c r="E296" s="12" t="str">
        <f aca="false">IF($D296="","",IFERROR(INDEX(품목마스터!$B$3:$B$202,MATCH($D296,품목마스터!$A$3:$A$202,0)),"미등록품번"))</f>
        <v/>
      </c>
      <c r="F296" s="12" t="str">
        <f aca="false">IF($D296="","",IFERROR(INDEX(품목마스터!$D$3:$D$202,MATCH($D296,품목마스터!$A$3:$A$202,0)),""))</f>
        <v/>
      </c>
      <c r="G296" s="9"/>
      <c r="H296" s="9"/>
      <c r="I296" s="13" t="str">
        <f aca="false">IF(OR($G296="",$H296=""),"",ROUND($G296*$H296,0))</f>
        <v/>
      </c>
      <c r="J296" s="7"/>
    </row>
    <row r="297" customFormat="false" ht="15" hidden="false" customHeight="true" outlineLevel="0" collapsed="false">
      <c r="A297" s="11"/>
      <c r="B297" s="7"/>
      <c r="C297" s="12" t="str">
        <f aca="false">IF($B297="","",IFERROR(INDEX(거래처마스터!$B$3:$B$102,MATCH($B297,거래처마스터!$A$3:$A$102,0)),"미등록"))</f>
        <v/>
      </c>
      <c r="D297" s="7"/>
      <c r="E297" s="12" t="str">
        <f aca="false">IF($D297="","",IFERROR(INDEX(품목마스터!$B$3:$B$202,MATCH($D297,품목마스터!$A$3:$A$202,0)),"미등록품번"))</f>
        <v/>
      </c>
      <c r="F297" s="12" t="str">
        <f aca="false">IF($D297="","",IFERROR(INDEX(품목마스터!$D$3:$D$202,MATCH($D297,품목마스터!$A$3:$A$202,0)),""))</f>
        <v/>
      </c>
      <c r="G297" s="9"/>
      <c r="H297" s="9"/>
      <c r="I297" s="13" t="str">
        <f aca="false">IF(OR($G297="",$H297=""),"",ROUND($G297*$H297,0))</f>
        <v/>
      </c>
      <c r="J297" s="7"/>
    </row>
    <row r="298" customFormat="false" ht="15" hidden="false" customHeight="true" outlineLevel="0" collapsed="false">
      <c r="A298" s="11"/>
      <c r="B298" s="7"/>
      <c r="C298" s="12" t="str">
        <f aca="false">IF($B298="","",IFERROR(INDEX(거래처마스터!$B$3:$B$102,MATCH($B298,거래처마스터!$A$3:$A$102,0)),"미등록"))</f>
        <v/>
      </c>
      <c r="D298" s="7"/>
      <c r="E298" s="12" t="str">
        <f aca="false">IF($D298="","",IFERROR(INDEX(품목마스터!$B$3:$B$202,MATCH($D298,품목마스터!$A$3:$A$202,0)),"미등록품번"))</f>
        <v/>
      </c>
      <c r="F298" s="12" t="str">
        <f aca="false">IF($D298="","",IFERROR(INDEX(품목마스터!$D$3:$D$202,MATCH($D298,품목마스터!$A$3:$A$202,0)),""))</f>
        <v/>
      </c>
      <c r="G298" s="9"/>
      <c r="H298" s="9"/>
      <c r="I298" s="13" t="str">
        <f aca="false">IF(OR($G298="",$H298=""),"",ROUND($G298*$H298,0))</f>
        <v/>
      </c>
      <c r="J298" s="7"/>
    </row>
    <row r="299" customFormat="false" ht="15" hidden="false" customHeight="true" outlineLevel="0" collapsed="false">
      <c r="A299" s="11"/>
      <c r="B299" s="7"/>
      <c r="C299" s="12" t="str">
        <f aca="false">IF($B299="","",IFERROR(INDEX(거래처마스터!$B$3:$B$102,MATCH($B299,거래처마스터!$A$3:$A$102,0)),"미등록"))</f>
        <v/>
      </c>
      <c r="D299" s="7"/>
      <c r="E299" s="12" t="str">
        <f aca="false">IF($D299="","",IFERROR(INDEX(품목마스터!$B$3:$B$202,MATCH($D299,품목마스터!$A$3:$A$202,0)),"미등록품번"))</f>
        <v/>
      </c>
      <c r="F299" s="12" t="str">
        <f aca="false">IF($D299="","",IFERROR(INDEX(품목마스터!$D$3:$D$202,MATCH($D299,품목마스터!$A$3:$A$202,0)),""))</f>
        <v/>
      </c>
      <c r="G299" s="9"/>
      <c r="H299" s="9"/>
      <c r="I299" s="13" t="str">
        <f aca="false">IF(OR($G299="",$H299=""),"",ROUND($G299*$H299,0))</f>
        <v/>
      </c>
      <c r="J299" s="7"/>
    </row>
    <row r="300" customFormat="false" ht="15" hidden="false" customHeight="true" outlineLevel="0" collapsed="false">
      <c r="A300" s="11"/>
      <c r="B300" s="7"/>
      <c r="C300" s="12" t="str">
        <f aca="false">IF($B300="","",IFERROR(INDEX(거래처마스터!$B$3:$B$102,MATCH($B300,거래처마스터!$A$3:$A$102,0)),"미등록"))</f>
        <v/>
      </c>
      <c r="D300" s="7"/>
      <c r="E300" s="12" t="str">
        <f aca="false">IF($D300="","",IFERROR(INDEX(품목마스터!$B$3:$B$202,MATCH($D300,품목마스터!$A$3:$A$202,0)),"미등록품번"))</f>
        <v/>
      </c>
      <c r="F300" s="12" t="str">
        <f aca="false">IF($D300="","",IFERROR(INDEX(품목마스터!$D$3:$D$202,MATCH($D300,품목마스터!$A$3:$A$202,0)),""))</f>
        <v/>
      </c>
      <c r="G300" s="9"/>
      <c r="H300" s="9"/>
      <c r="I300" s="13" t="str">
        <f aca="false">IF(OR($G300="",$H300=""),"",ROUND($G300*$H300,0))</f>
        <v/>
      </c>
      <c r="J300" s="7"/>
    </row>
    <row r="301" customFormat="false" ht="15" hidden="false" customHeight="true" outlineLevel="0" collapsed="false">
      <c r="A301" s="11"/>
      <c r="B301" s="7"/>
      <c r="C301" s="12" t="str">
        <f aca="false">IF($B301="","",IFERROR(INDEX(거래처마스터!$B$3:$B$102,MATCH($B301,거래처마스터!$A$3:$A$102,0)),"미등록"))</f>
        <v/>
      </c>
      <c r="D301" s="7"/>
      <c r="E301" s="12" t="str">
        <f aca="false">IF($D301="","",IFERROR(INDEX(품목마스터!$B$3:$B$202,MATCH($D301,품목마스터!$A$3:$A$202,0)),"미등록품번"))</f>
        <v/>
      </c>
      <c r="F301" s="12" t="str">
        <f aca="false">IF($D301="","",IFERROR(INDEX(품목마스터!$D$3:$D$202,MATCH($D301,품목마스터!$A$3:$A$202,0)),""))</f>
        <v/>
      </c>
      <c r="G301" s="9"/>
      <c r="H301" s="9"/>
      <c r="I301" s="13" t="str">
        <f aca="false">IF(OR($G301="",$H301=""),"",ROUND($G301*$H301,0))</f>
        <v/>
      </c>
      <c r="J301" s="7"/>
    </row>
    <row r="302" customFormat="false" ht="15" hidden="false" customHeight="true" outlineLevel="0" collapsed="false">
      <c r="A302" s="11"/>
      <c r="B302" s="7"/>
      <c r="C302" s="12" t="str">
        <f aca="false">IF($B302="","",IFERROR(INDEX(거래처마스터!$B$3:$B$102,MATCH($B302,거래처마스터!$A$3:$A$102,0)),"미등록"))</f>
        <v/>
      </c>
      <c r="D302" s="7"/>
      <c r="E302" s="12" t="str">
        <f aca="false">IF($D302="","",IFERROR(INDEX(품목마스터!$B$3:$B$202,MATCH($D302,품목마스터!$A$3:$A$202,0)),"미등록품번"))</f>
        <v/>
      </c>
      <c r="F302" s="12" t="str">
        <f aca="false">IF($D302="","",IFERROR(INDEX(품목마스터!$D$3:$D$202,MATCH($D302,품목마스터!$A$3:$A$202,0)),""))</f>
        <v/>
      </c>
      <c r="G302" s="9"/>
      <c r="H302" s="9"/>
      <c r="I302" s="13" t="str">
        <f aca="false">IF(OR($G302="",$H302=""),"",ROUND($G302*$H302,0))</f>
        <v/>
      </c>
      <c r="J302" s="7"/>
    </row>
    <row r="303" customFormat="false" ht="15" hidden="false" customHeight="true" outlineLevel="0" collapsed="false">
      <c r="A303" s="11"/>
      <c r="B303" s="7"/>
      <c r="C303" s="12" t="str">
        <f aca="false">IF($B303="","",IFERROR(INDEX(거래처마스터!$B$3:$B$102,MATCH($B303,거래처마스터!$A$3:$A$102,0)),"미등록"))</f>
        <v/>
      </c>
      <c r="D303" s="7"/>
      <c r="E303" s="12" t="str">
        <f aca="false">IF($D303="","",IFERROR(INDEX(품목마스터!$B$3:$B$202,MATCH($D303,품목마스터!$A$3:$A$202,0)),"미등록품번"))</f>
        <v/>
      </c>
      <c r="F303" s="12" t="str">
        <f aca="false">IF($D303="","",IFERROR(INDEX(품목마스터!$D$3:$D$202,MATCH($D303,품목마스터!$A$3:$A$202,0)),""))</f>
        <v/>
      </c>
      <c r="G303" s="9"/>
      <c r="H303" s="9"/>
      <c r="I303" s="13" t="str">
        <f aca="false">IF(OR($G303="",$H303=""),"",ROUND($G303*$H303,0))</f>
        <v/>
      </c>
      <c r="J303" s="7"/>
    </row>
    <row r="304" customFormat="false" ht="15" hidden="false" customHeight="true" outlineLevel="0" collapsed="false">
      <c r="A304" s="11"/>
      <c r="B304" s="7"/>
      <c r="C304" s="12" t="str">
        <f aca="false">IF($B304="","",IFERROR(INDEX(거래처마스터!$B$3:$B$102,MATCH($B304,거래처마스터!$A$3:$A$102,0)),"미등록"))</f>
        <v/>
      </c>
      <c r="D304" s="7"/>
      <c r="E304" s="12" t="str">
        <f aca="false">IF($D304="","",IFERROR(INDEX(품목마스터!$B$3:$B$202,MATCH($D304,품목마스터!$A$3:$A$202,0)),"미등록품번"))</f>
        <v/>
      </c>
      <c r="F304" s="12" t="str">
        <f aca="false">IF($D304="","",IFERROR(INDEX(품목마스터!$D$3:$D$202,MATCH($D304,품목마스터!$A$3:$A$202,0)),""))</f>
        <v/>
      </c>
      <c r="G304" s="9"/>
      <c r="H304" s="9"/>
      <c r="I304" s="13" t="str">
        <f aca="false">IF(OR($G304="",$H304=""),"",ROUND($G304*$H304,0))</f>
        <v/>
      </c>
      <c r="J304" s="7"/>
    </row>
    <row r="305" customFormat="false" ht="15" hidden="false" customHeight="true" outlineLevel="0" collapsed="false">
      <c r="A305" s="11"/>
      <c r="B305" s="7"/>
      <c r="C305" s="12" t="str">
        <f aca="false">IF($B305="","",IFERROR(INDEX(거래처마스터!$B$3:$B$102,MATCH($B305,거래처마스터!$A$3:$A$102,0)),"미등록"))</f>
        <v/>
      </c>
      <c r="D305" s="7"/>
      <c r="E305" s="12" t="str">
        <f aca="false">IF($D305="","",IFERROR(INDEX(품목마스터!$B$3:$B$202,MATCH($D305,품목마스터!$A$3:$A$202,0)),"미등록품번"))</f>
        <v/>
      </c>
      <c r="F305" s="12" t="str">
        <f aca="false">IF($D305="","",IFERROR(INDEX(품목마스터!$D$3:$D$202,MATCH($D305,품목마스터!$A$3:$A$202,0)),""))</f>
        <v/>
      </c>
      <c r="G305" s="9"/>
      <c r="H305" s="9"/>
      <c r="I305" s="13" t="str">
        <f aca="false">IF(OR($G305="",$H305=""),"",ROUND($G305*$H305,0))</f>
        <v/>
      </c>
      <c r="J305" s="7"/>
    </row>
    <row r="306" customFormat="false" ht="15" hidden="false" customHeight="true" outlineLevel="0" collapsed="false">
      <c r="A306" s="11"/>
      <c r="B306" s="7"/>
      <c r="C306" s="12" t="str">
        <f aca="false">IF($B306="","",IFERROR(INDEX(거래처마스터!$B$3:$B$102,MATCH($B306,거래처마스터!$A$3:$A$102,0)),"미등록"))</f>
        <v/>
      </c>
      <c r="D306" s="7"/>
      <c r="E306" s="12" t="str">
        <f aca="false">IF($D306="","",IFERROR(INDEX(품목마스터!$B$3:$B$202,MATCH($D306,품목마스터!$A$3:$A$202,0)),"미등록품번"))</f>
        <v/>
      </c>
      <c r="F306" s="12" t="str">
        <f aca="false">IF($D306="","",IFERROR(INDEX(품목마스터!$D$3:$D$202,MATCH($D306,품목마스터!$A$3:$A$202,0)),""))</f>
        <v/>
      </c>
      <c r="G306" s="9"/>
      <c r="H306" s="9"/>
      <c r="I306" s="13" t="str">
        <f aca="false">IF(OR($G306="",$H306=""),"",ROUND($G306*$H306,0))</f>
        <v/>
      </c>
      <c r="J306" s="7"/>
    </row>
    <row r="307" customFormat="false" ht="15" hidden="false" customHeight="true" outlineLevel="0" collapsed="false">
      <c r="A307" s="11"/>
      <c r="B307" s="7"/>
      <c r="C307" s="12" t="str">
        <f aca="false">IF($B307="","",IFERROR(INDEX(거래처마스터!$B$3:$B$102,MATCH($B307,거래처마스터!$A$3:$A$102,0)),"미등록"))</f>
        <v/>
      </c>
      <c r="D307" s="7"/>
      <c r="E307" s="12" t="str">
        <f aca="false">IF($D307="","",IFERROR(INDEX(품목마스터!$B$3:$B$202,MATCH($D307,품목마스터!$A$3:$A$202,0)),"미등록품번"))</f>
        <v/>
      </c>
      <c r="F307" s="12" t="str">
        <f aca="false">IF($D307="","",IFERROR(INDEX(품목마스터!$D$3:$D$202,MATCH($D307,품목마스터!$A$3:$A$202,0)),""))</f>
        <v/>
      </c>
      <c r="G307" s="9"/>
      <c r="H307" s="9"/>
      <c r="I307" s="13" t="str">
        <f aca="false">IF(OR($G307="",$H307=""),"",ROUND($G307*$H307,0))</f>
        <v/>
      </c>
      <c r="J307" s="7"/>
    </row>
    <row r="308" customFormat="false" ht="15" hidden="false" customHeight="true" outlineLevel="0" collapsed="false">
      <c r="A308" s="11"/>
      <c r="B308" s="7"/>
      <c r="C308" s="12" t="str">
        <f aca="false">IF($B308="","",IFERROR(INDEX(거래처마스터!$B$3:$B$102,MATCH($B308,거래처마스터!$A$3:$A$102,0)),"미등록"))</f>
        <v/>
      </c>
      <c r="D308" s="7"/>
      <c r="E308" s="12" t="str">
        <f aca="false">IF($D308="","",IFERROR(INDEX(품목마스터!$B$3:$B$202,MATCH($D308,품목마스터!$A$3:$A$202,0)),"미등록품번"))</f>
        <v/>
      </c>
      <c r="F308" s="12" t="str">
        <f aca="false">IF($D308="","",IFERROR(INDEX(품목마스터!$D$3:$D$202,MATCH($D308,품목마스터!$A$3:$A$202,0)),""))</f>
        <v/>
      </c>
      <c r="G308" s="9"/>
      <c r="H308" s="9"/>
      <c r="I308" s="13" t="str">
        <f aca="false">IF(OR($G308="",$H308=""),"",ROUND($G308*$H308,0))</f>
        <v/>
      </c>
      <c r="J308" s="7"/>
    </row>
    <row r="309" customFormat="false" ht="15" hidden="false" customHeight="true" outlineLevel="0" collapsed="false">
      <c r="A309" s="11"/>
      <c r="B309" s="7"/>
      <c r="C309" s="12" t="str">
        <f aca="false">IF($B309="","",IFERROR(INDEX(거래처마스터!$B$3:$B$102,MATCH($B309,거래처마스터!$A$3:$A$102,0)),"미등록"))</f>
        <v/>
      </c>
      <c r="D309" s="7"/>
      <c r="E309" s="12" t="str">
        <f aca="false">IF($D309="","",IFERROR(INDEX(품목마스터!$B$3:$B$202,MATCH($D309,품목마스터!$A$3:$A$202,0)),"미등록품번"))</f>
        <v/>
      </c>
      <c r="F309" s="12" t="str">
        <f aca="false">IF($D309="","",IFERROR(INDEX(품목마스터!$D$3:$D$202,MATCH($D309,품목마스터!$A$3:$A$202,0)),""))</f>
        <v/>
      </c>
      <c r="G309" s="9"/>
      <c r="H309" s="9"/>
      <c r="I309" s="13" t="str">
        <f aca="false">IF(OR($G309="",$H309=""),"",ROUND($G309*$H309,0))</f>
        <v/>
      </c>
      <c r="J309" s="7"/>
    </row>
    <row r="310" customFormat="false" ht="15" hidden="false" customHeight="true" outlineLevel="0" collapsed="false">
      <c r="A310" s="11"/>
      <c r="B310" s="7"/>
      <c r="C310" s="12" t="str">
        <f aca="false">IF($B310="","",IFERROR(INDEX(거래처마스터!$B$3:$B$102,MATCH($B310,거래처마스터!$A$3:$A$102,0)),"미등록"))</f>
        <v/>
      </c>
      <c r="D310" s="7"/>
      <c r="E310" s="12" t="str">
        <f aca="false">IF($D310="","",IFERROR(INDEX(품목마스터!$B$3:$B$202,MATCH($D310,품목마스터!$A$3:$A$202,0)),"미등록품번"))</f>
        <v/>
      </c>
      <c r="F310" s="12" t="str">
        <f aca="false">IF($D310="","",IFERROR(INDEX(품목마스터!$D$3:$D$202,MATCH($D310,품목마스터!$A$3:$A$202,0)),""))</f>
        <v/>
      </c>
      <c r="G310" s="9"/>
      <c r="H310" s="9"/>
      <c r="I310" s="13" t="str">
        <f aca="false">IF(OR($G310="",$H310=""),"",ROUND($G310*$H310,0))</f>
        <v/>
      </c>
      <c r="J310" s="7"/>
    </row>
    <row r="311" customFormat="false" ht="15" hidden="false" customHeight="true" outlineLevel="0" collapsed="false">
      <c r="A311" s="11"/>
      <c r="B311" s="7"/>
      <c r="C311" s="12" t="str">
        <f aca="false">IF($B311="","",IFERROR(INDEX(거래처마스터!$B$3:$B$102,MATCH($B311,거래처마스터!$A$3:$A$102,0)),"미등록"))</f>
        <v/>
      </c>
      <c r="D311" s="7"/>
      <c r="E311" s="12" t="str">
        <f aca="false">IF($D311="","",IFERROR(INDEX(품목마스터!$B$3:$B$202,MATCH($D311,품목마스터!$A$3:$A$202,0)),"미등록품번"))</f>
        <v/>
      </c>
      <c r="F311" s="12" t="str">
        <f aca="false">IF($D311="","",IFERROR(INDEX(품목마스터!$D$3:$D$202,MATCH($D311,품목마스터!$A$3:$A$202,0)),""))</f>
        <v/>
      </c>
      <c r="G311" s="9"/>
      <c r="H311" s="9"/>
      <c r="I311" s="13" t="str">
        <f aca="false">IF(OR($G311="",$H311=""),"",ROUND($G311*$H311,0))</f>
        <v/>
      </c>
      <c r="J311" s="7"/>
    </row>
    <row r="312" customFormat="false" ht="15" hidden="false" customHeight="true" outlineLevel="0" collapsed="false">
      <c r="A312" s="11"/>
      <c r="B312" s="7"/>
      <c r="C312" s="12" t="str">
        <f aca="false">IF($B312="","",IFERROR(INDEX(거래처마스터!$B$3:$B$102,MATCH($B312,거래처마스터!$A$3:$A$102,0)),"미등록"))</f>
        <v/>
      </c>
      <c r="D312" s="7"/>
      <c r="E312" s="12" t="str">
        <f aca="false">IF($D312="","",IFERROR(INDEX(품목마스터!$B$3:$B$202,MATCH($D312,품목마스터!$A$3:$A$202,0)),"미등록품번"))</f>
        <v/>
      </c>
      <c r="F312" s="12" t="str">
        <f aca="false">IF($D312="","",IFERROR(INDEX(품목마스터!$D$3:$D$202,MATCH($D312,품목마스터!$A$3:$A$202,0)),""))</f>
        <v/>
      </c>
      <c r="G312" s="9"/>
      <c r="H312" s="9"/>
      <c r="I312" s="13" t="str">
        <f aca="false">IF(OR($G312="",$H312=""),"",ROUND($G312*$H312,0))</f>
        <v/>
      </c>
      <c r="J312" s="7"/>
    </row>
    <row r="313" customFormat="false" ht="15" hidden="false" customHeight="true" outlineLevel="0" collapsed="false">
      <c r="A313" s="11"/>
      <c r="B313" s="7"/>
      <c r="C313" s="12" t="str">
        <f aca="false">IF($B313="","",IFERROR(INDEX(거래처마스터!$B$3:$B$102,MATCH($B313,거래처마스터!$A$3:$A$102,0)),"미등록"))</f>
        <v/>
      </c>
      <c r="D313" s="7"/>
      <c r="E313" s="12" t="str">
        <f aca="false">IF($D313="","",IFERROR(INDEX(품목마스터!$B$3:$B$202,MATCH($D313,품목마스터!$A$3:$A$202,0)),"미등록품번"))</f>
        <v/>
      </c>
      <c r="F313" s="12" t="str">
        <f aca="false">IF($D313="","",IFERROR(INDEX(품목마스터!$D$3:$D$202,MATCH($D313,품목마스터!$A$3:$A$202,0)),""))</f>
        <v/>
      </c>
      <c r="G313" s="9"/>
      <c r="H313" s="9"/>
      <c r="I313" s="13" t="str">
        <f aca="false">IF(OR($G313="",$H313=""),"",ROUND($G313*$H313,0))</f>
        <v/>
      </c>
      <c r="J313" s="7"/>
    </row>
    <row r="314" customFormat="false" ht="15" hidden="false" customHeight="true" outlineLevel="0" collapsed="false">
      <c r="A314" s="11"/>
      <c r="B314" s="7"/>
      <c r="C314" s="12" t="str">
        <f aca="false">IF($B314="","",IFERROR(INDEX(거래처마스터!$B$3:$B$102,MATCH($B314,거래처마스터!$A$3:$A$102,0)),"미등록"))</f>
        <v/>
      </c>
      <c r="D314" s="7"/>
      <c r="E314" s="12" t="str">
        <f aca="false">IF($D314="","",IFERROR(INDEX(품목마스터!$B$3:$B$202,MATCH($D314,품목마스터!$A$3:$A$202,0)),"미등록품번"))</f>
        <v/>
      </c>
      <c r="F314" s="12" t="str">
        <f aca="false">IF($D314="","",IFERROR(INDEX(품목마스터!$D$3:$D$202,MATCH($D314,품목마스터!$A$3:$A$202,0)),""))</f>
        <v/>
      </c>
      <c r="G314" s="9"/>
      <c r="H314" s="9"/>
      <c r="I314" s="13" t="str">
        <f aca="false">IF(OR($G314="",$H314=""),"",ROUND($G314*$H314,0))</f>
        <v/>
      </c>
      <c r="J314" s="7"/>
    </row>
    <row r="315" customFormat="false" ht="15" hidden="false" customHeight="true" outlineLevel="0" collapsed="false">
      <c r="A315" s="11"/>
      <c r="B315" s="7"/>
      <c r="C315" s="12" t="str">
        <f aca="false">IF($B315="","",IFERROR(INDEX(거래처마스터!$B$3:$B$102,MATCH($B315,거래처마스터!$A$3:$A$102,0)),"미등록"))</f>
        <v/>
      </c>
      <c r="D315" s="7"/>
      <c r="E315" s="12" t="str">
        <f aca="false">IF($D315="","",IFERROR(INDEX(품목마스터!$B$3:$B$202,MATCH($D315,품목마스터!$A$3:$A$202,0)),"미등록품번"))</f>
        <v/>
      </c>
      <c r="F315" s="12" t="str">
        <f aca="false">IF($D315="","",IFERROR(INDEX(품목마스터!$D$3:$D$202,MATCH($D315,품목마스터!$A$3:$A$202,0)),""))</f>
        <v/>
      </c>
      <c r="G315" s="9"/>
      <c r="H315" s="9"/>
      <c r="I315" s="13" t="str">
        <f aca="false">IF(OR($G315="",$H315=""),"",ROUND($G315*$H315,0))</f>
        <v/>
      </c>
      <c r="J315" s="7"/>
    </row>
    <row r="316" customFormat="false" ht="15" hidden="false" customHeight="true" outlineLevel="0" collapsed="false">
      <c r="A316" s="11"/>
      <c r="B316" s="7"/>
      <c r="C316" s="12" t="str">
        <f aca="false">IF($B316="","",IFERROR(INDEX(거래처마스터!$B$3:$B$102,MATCH($B316,거래처마스터!$A$3:$A$102,0)),"미등록"))</f>
        <v/>
      </c>
      <c r="D316" s="7"/>
      <c r="E316" s="12" t="str">
        <f aca="false">IF($D316="","",IFERROR(INDEX(품목마스터!$B$3:$B$202,MATCH($D316,품목마스터!$A$3:$A$202,0)),"미등록품번"))</f>
        <v/>
      </c>
      <c r="F316" s="12" t="str">
        <f aca="false">IF($D316="","",IFERROR(INDEX(품목마스터!$D$3:$D$202,MATCH($D316,품목마스터!$A$3:$A$202,0)),""))</f>
        <v/>
      </c>
      <c r="G316" s="9"/>
      <c r="H316" s="9"/>
      <c r="I316" s="13" t="str">
        <f aca="false">IF(OR($G316="",$H316=""),"",ROUND($G316*$H316,0))</f>
        <v/>
      </c>
      <c r="J316" s="7"/>
    </row>
    <row r="317" customFormat="false" ht="15" hidden="false" customHeight="true" outlineLevel="0" collapsed="false">
      <c r="A317" s="11"/>
      <c r="B317" s="7"/>
      <c r="C317" s="12" t="str">
        <f aca="false">IF($B317="","",IFERROR(INDEX(거래처마스터!$B$3:$B$102,MATCH($B317,거래처마스터!$A$3:$A$102,0)),"미등록"))</f>
        <v/>
      </c>
      <c r="D317" s="7"/>
      <c r="E317" s="12" t="str">
        <f aca="false">IF($D317="","",IFERROR(INDEX(품목마스터!$B$3:$B$202,MATCH($D317,품목마스터!$A$3:$A$202,0)),"미등록품번"))</f>
        <v/>
      </c>
      <c r="F317" s="12" t="str">
        <f aca="false">IF($D317="","",IFERROR(INDEX(품목마스터!$D$3:$D$202,MATCH($D317,품목마스터!$A$3:$A$202,0)),""))</f>
        <v/>
      </c>
      <c r="G317" s="9"/>
      <c r="H317" s="9"/>
      <c r="I317" s="13" t="str">
        <f aca="false">IF(OR($G317="",$H317=""),"",ROUND($G317*$H317,0))</f>
        <v/>
      </c>
      <c r="J317" s="7"/>
    </row>
    <row r="318" customFormat="false" ht="15" hidden="false" customHeight="true" outlineLevel="0" collapsed="false">
      <c r="A318" s="11"/>
      <c r="B318" s="7"/>
      <c r="C318" s="12" t="str">
        <f aca="false">IF($B318="","",IFERROR(INDEX(거래처마스터!$B$3:$B$102,MATCH($B318,거래처마스터!$A$3:$A$102,0)),"미등록"))</f>
        <v/>
      </c>
      <c r="D318" s="7"/>
      <c r="E318" s="12" t="str">
        <f aca="false">IF($D318="","",IFERROR(INDEX(품목마스터!$B$3:$B$202,MATCH($D318,품목마스터!$A$3:$A$202,0)),"미등록품번"))</f>
        <v/>
      </c>
      <c r="F318" s="12" t="str">
        <f aca="false">IF($D318="","",IFERROR(INDEX(품목마스터!$D$3:$D$202,MATCH($D318,품목마스터!$A$3:$A$202,0)),""))</f>
        <v/>
      </c>
      <c r="G318" s="9"/>
      <c r="H318" s="9"/>
      <c r="I318" s="13" t="str">
        <f aca="false">IF(OR($G318="",$H318=""),"",ROUND($G318*$H318,0))</f>
        <v/>
      </c>
      <c r="J318" s="7"/>
    </row>
    <row r="319" customFormat="false" ht="15" hidden="false" customHeight="true" outlineLevel="0" collapsed="false">
      <c r="A319" s="11"/>
      <c r="B319" s="7"/>
      <c r="C319" s="12" t="str">
        <f aca="false">IF($B319="","",IFERROR(INDEX(거래처마스터!$B$3:$B$102,MATCH($B319,거래처마스터!$A$3:$A$102,0)),"미등록"))</f>
        <v/>
      </c>
      <c r="D319" s="7"/>
      <c r="E319" s="12" t="str">
        <f aca="false">IF($D319="","",IFERROR(INDEX(품목마스터!$B$3:$B$202,MATCH($D319,품목마스터!$A$3:$A$202,0)),"미등록품번"))</f>
        <v/>
      </c>
      <c r="F319" s="12" t="str">
        <f aca="false">IF($D319="","",IFERROR(INDEX(품목마스터!$D$3:$D$202,MATCH($D319,품목마스터!$A$3:$A$202,0)),""))</f>
        <v/>
      </c>
      <c r="G319" s="9"/>
      <c r="H319" s="9"/>
      <c r="I319" s="13" t="str">
        <f aca="false">IF(OR($G319="",$H319=""),"",ROUND($G319*$H319,0))</f>
        <v/>
      </c>
      <c r="J319" s="7"/>
    </row>
    <row r="320" customFormat="false" ht="15" hidden="false" customHeight="true" outlineLevel="0" collapsed="false">
      <c r="A320" s="11"/>
      <c r="B320" s="7"/>
      <c r="C320" s="12" t="str">
        <f aca="false">IF($B320="","",IFERROR(INDEX(거래처마스터!$B$3:$B$102,MATCH($B320,거래처마스터!$A$3:$A$102,0)),"미등록"))</f>
        <v/>
      </c>
      <c r="D320" s="7"/>
      <c r="E320" s="12" t="str">
        <f aca="false">IF($D320="","",IFERROR(INDEX(품목마스터!$B$3:$B$202,MATCH($D320,품목마스터!$A$3:$A$202,0)),"미등록품번"))</f>
        <v/>
      </c>
      <c r="F320" s="12" t="str">
        <f aca="false">IF($D320="","",IFERROR(INDEX(품목마스터!$D$3:$D$202,MATCH($D320,품목마스터!$A$3:$A$202,0)),""))</f>
        <v/>
      </c>
      <c r="G320" s="9"/>
      <c r="H320" s="9"/>
      <c r="I320" s="13" t="str">
        <f aca="false">IF(OR($G320="",$H320=""),"",ROUND($G320*$H320,0))</f>
        <v/>
      </c>
      <c r="J320" s="7"/>
    </row>
    <row r="321" customFormat="false" ht="15" hidden="false" customHeight="true" outlineLevel="0" collapsed="false">
      <c r="A321" s="11"/>
      <c r="B321" s="7"/>
      <c r="C321" s="12" t="str">
        <f aca="false">IF($B321="","",IFERROR(INDEX(거래처마스터!$B$3:$B$102,MATCH($B321,거래처마스터!$A$3:$A$102,0)),"미등록"))</f>
        <v/>
      </c>
      <c r="D321" s="7"/>
      <c r="E321" s="12" t="str">
        <f aca="false">IF($D321="","",IFERROR(INDEX(품목마스터!$B$3:$B$202,MATCH($D321,품목마스터!$A$3:$A$202,0)),"미등록품번"))</f>
        <v/>
      </c>
      <c r="F321" s="12" t="str">
        <f aca="false">IF($D321="","",IFERROR(INDEX(품목마스터!$D$3:$D$202,MATCH($D321,품목마스터!$A$3:$A$202,0)),""))</f>
        <v/>
      </c>
      <c r="G321" s="9"/>
      <c r="H321" s="9"/>
      <c r="I321" s="13" t="str">
        <f aca="false">IF(OR($G321="",$H321=""),"",ROUND($G321*$H321,0))</f>
        <v/>
      </c>
      <c r="J321" s="7"/>
    </row>
    <row r="322" customFormat="false" ht="15" hidden="false" customHeight="true" outlineLevel="0" collapsed="false">
      <c r="A322" s="11"/>
      <c r="B322" s="7"/>
      <c r="C322" s="12" t="str">
        <f aca="false">IF($B322="","",IFERROR(INDEX(거래처마스터!$B$3:$B$102,MATCH($B322,거래처마스터!$A$3:$A$102,0)),"미등록"))</f>
        <v/>
      </c>
      <c r="D322" s="7"/>
      <c r="E322" s="12" t="str">
        <f aca="false">IF($D322="","",IFERROR(INDEX(품목마스터!$B$3:$B$202,MATCH($D322,품목마스터!$A$3:$A$202,0)),"미등록품번"))</f>
        <v/>
      </c>
      <c r="F322" s="12" t="str">
        <f aca="false">IF($D322="","",IFERROR(INDEX(품목마스터!$D$3:$D$202,MATCH($D322,품목마스터!$A$3:$A$202,0)),""))</f>
        <v/>
      </c>
      <c r="G322" s="9"/>
      <c r="H322" s="9"/>
      <c r="I322" s="13" t="str">
        <f aca="false">IF(OR($G322="",$H322=""),"",ROUND($G322*$H322,0))</f>
        <v/>
      </c>
      <c r="J322" s="7"/>
    </row>
    <row r="323" customFormat="false" ht="15" hidden="false" customHeight="true" outlineLevel="0" collapsed="false">
      <c r="A323" s="11"/>
      <c r="B323" s="7"/>
      <c r="C323" s="12" t="str">
        <f aca="false">IF($B323="","",IFERROR(INDEX(거래처마스터!$B$3:$B$102,MATCH($B323,거래처마스터!$A$3:$A$102,0)),"미등록"))</f>
        <v/>
      </c>
      <c r="D323" s="7"/>
      <c r="E323" s="12" t="str">
        <f aca="false">IF($D323="","",IFERROR(INDEX(품목마스터!$B$3:$B$202,MATCH($D323,품목마스터!$A$3:$A$202,0)),"미등록품번"))</f>
        <v/>
      </c>
      <c r="F323" s="12" t="str">
        <f aca="false">IF($D323="","",IFERROR(INDEX(품목마스터!$D$3:$D$202,MATCH($D323,품목마스터!$A$3:$A$202,0)),""))</f>
        <v/>
      </c>
      <c r="G323" s="9"/>
      <c r="H323" s="9"/>
      <c r="I323" s="13" t="str">
        <f aca="false">IF(OR($G323="",$H323=""),"",ROUND($G323*$H323,0))</f>
        <v/>
      </c>
      <c r="J323" s="7"/>
    </row>
    <row r="324" customFormat="false" ht="15" hidden="false" customHeight="true" outlineLevel="0" collapsed="false">
      <c r="A324" s="11"/>
      <c r="B324" s="7"/>
      <c r="C324" s="12" t="str">
        <f aca="false">IF($B324="","",IFERROR(INDEX(거래처마스터!$B$3:$B$102,MATCH($B324,거래처마스터!$A$3:$A$102,0)),"미등록"))</f>
        <v/>
      </c>
      <c r="D324" s="7"/>
      <c r="E324" s="12" t="str">
        <f aca="false">IF($D324="","",IFERROR(INDEX(품목마스터!$B$3:$B$202,MATCH($D324,품목마스터!$A$3:$A$202,0)),"미등록품번"))</f>
        <v/>
      </c>
      <c r="F324" s="12" t="str">
        <f aca="false">IF($D324="","",IFERROR(INDEX(품목마스터!$D$3:$D$202,MATCH($D324,품목마스터!$A$3:$A$202,0)),""))</f>
        <v/>
      </c>
      <c r="G324" s="9"/>
      <c r="H324" s="9"/>
      <c r="I324" s="13" t="str">
        <f aca="false">IF(OR($G324="",$H324=""),"",ROUND($G324*$H324,0))</f>
        <v/>
      </c>
      <c r="J324" s="7"/>
    </row>
    <row r="325" customFormat="false" ht="15" hidden="false" customHeight="true" outlineLevel="0" collapsed="false">
      <c r="A325" s="11"/>
      <c r="B325" s="7"/>
      <c r="C325" s="12" t="str">
        <f aca="false">IF($B325="","",IFERROR(INDEX(거래처마스터!$B$3:$B$102,MATCH($B325,거래처마스터!$A$3:$A$102,0)),"미등록"))</f>
        <v/>
      </c>
      <c r="D325" s="7"/>
      <c r="E325" s="12" t="str">
        <f aca="false">IF($D325="","",IFERROR(INDEX(품목마스터!$B$3:$B$202,MATCH($D325,품목마스터!$A$3:$A$202,0)),"미등록품번"))</f>
        <v/>
      </c>
      <c r="F325" s="12" t="str">
        <f aca="false">IF($D325="","",IFERROR(INDEX(품목마스터!$D$3:$D$202,MATCH($D325,품목마스터!$A$3:$A$202,0)),""))</f>
        <v/>
      </c>
      <c r="G325" s="9"/>
      <c r="H325" s="9"/>
      <c r="I325" s="13" t="str">
        <f aca="false">IF(OR($G325="",$H325=""),"",ROUND($G325*$H325,0))</f>
        <v/>
      </c>
      <c r="J325" s="7"/>
    </row>
    <row r="326" customFormat="false" ht="15" hidden="false" customHeight="true" outlineLevel="0" collapsed="false">
      <c r="A326" s="11"/>
      <c r="B326" s="7"/>
      <c r="C326" s="12" t="str">
        <f aca="false">IF($B326="","",IFERROR(INDEX(거래처마스터!$B$3:$B$102,MATCH($B326,거래처마스터!$A$3:$A$102,0)),"미등록"))</f>
        <v/>
      </c>
      <c r="D326" s="7"/>
      <c r="E326" s="12" t="str">
        <f aca="false">IF($D326="","",IFERROR(INDEX(품목마스터!$B$3:$B$202,MATCH($D326,품목마스터!$A$3:$A$202,0)),"미등록품번"))</f>
        <v/>
      </c>
      <c r="F326" s="12" t="str">
        <f aca="false">IF($D326="","",IFERROR(INDEX(품목마스터!$D$3:$D$202,MATCH($D326,품목마스터!$A$3:$A$202,0)),""))</f>
        <v/>
      </c>
      <c r="G326" s="9"/>
      <c r="H326" s="9"/>
      <c r="I326" s="13" t="str">
        <f aca="false">IF(OR($G326="",$H326=""),"",ROUND($G326*$H326,0))</f>
        <v/>
      </c>
      <c r="J326" s="7"/>
    </row>
    <row r="327" customFormat="false" ht="15" hidden="false" customHeight="true" outlineLevel="0" collapsed="false">
      <c r="A327" s="11"/>
      <c r="B327" s="7"/>
      <c r="C327" s="12" t="str">
        <f aca="false">IF($B327="","",IFERROR(INDEX(거래처마스터!$B$3:$B$102,MATCH($B327,거래처마스터!$A$3:$A$102,0)),"미등록"))</f>
        <v/>
      </c>
      <c r="D327" s="7"/>
      <c r="E327" s="12" t="str">
        <f aca="false">IF($D327="","",IFERROR(INDEX(품목마스터!$B$3:$B$202,MATCH($D327,품목마스터!$A$3:$A$202,0)),"미등록품번"))</f>
        <v/>
      </c>
      <c r="F327" s="12" t="str">
        <f aca="false">IF($D327="","",IFERROR(INDEX(품목마스터!$D$3:$D$202,MATCH($D327,품목마스터!$A$3:$A$202,0)),""))</f>
        <v/>
      </c>
      <c r="G327" s="9"/>
      <c r="H327" s="9"/>
      <c r="I327" s="13" t="str">
        <f aca="false">IF(OR($G327="",$H327=""),"",ROUND($G327*$H327,0))</f>
        <v/>
      </c>
      <c r="J327" s="7"/>
    </row>
    <row r="328" customFormat="false" ht="15" hidden="false" customHeight="true" outlineLevel="0" collapsed="false">
      <c r="A328" s="11"/>
      <c r="B328" s="7"/>
      <c r="C328" s="12" t="str">
        <f aca="false">IF($B328="","",IFERROR(INDEX(거래처마스터!$B$3:$B$102,MATCH($B328,거래처마스터!$A$3:$A$102,0)),"미등록"))</f>
        <v/>
      </c>
      <c r="D328" s="7"/>
      <c r="E328" s="12" t="str">
        <f aca="false">IF($D328="","",IFERROR(INDEX(품목마스터!$B$3:$B$202,MATCH($D328,품목마스터!$A$3:$A$202,0)),"미등록품번"))</f>
        <v/>
      </c>
      <c r="F328" s="12" t="str">
        <f aca="false">IF($D328="","",IFERROR(INDEX(품목마스터!$D$3:$D$202,MATCH($D328,품목마스터!$A$3:$A$202,0)),""))</f>
        <v/>
      </c>
      <c r="G328" s="9"/>
      <c r="H328" s="9"/>
      <c r="I328" s="13" t="str">
        <f aca="false">IF(OR($G328="",$H328=""),"",ROUND($G328*$H328,0))</f>
        <v/>
      </c>
      <c r="J328" s="7"/>
    </row>
    <row r="329" customFormat="false" ht="15" hidden="false" customHeight="true" outlineLevel="0" collapsed="false">
      <c r="A329" s="11"/>
      <c r="B329" s="7"/>
      <c r="C329" s="12" t="str">
        <f aca="false">IF($B329="","",IFERROR(INDEX(거래처마스터!$B$3:$B$102,MATCH($B329,거래처마스터!$A$3:$A$102,0)),"미등록"))</f>
        <v/>
      </c>
      <c r="D329" s="7"/>
      <c r="E329" s="12" t="str">
        <f aca="false">IF($D329="","",IFERROR(INDEX(품목마스터!$B$3:$B$202,MATCH($D329,품목마스터!$A$3:$A$202,0)),"미등록품번"))</f>
        <v/>
      </c>
      <c r="F329" s="12" t="str">
        <f aca="false">IF($D329="","",IFERROR(INDEX(품목마스터!$D$3:$D$202,MATCH($D329,품목마스터!$A$3:$A$202,0)),""))</f>
        <v/>
      </c>
      <c r="G329" s="9"/>
      <c r="H329" s="9"/>
      <c r="I329" s="13" t="str">
        <f aca="false">IF(OR($G329="",$H329=""),"",ROUND($G329*$H329,0))</f>
        <v/>
      </c>
      <c r="J329" s="7"/>
    </row>
    <row r="330" customFormat="false" ht="15" hidden="false" customHeight="true" outlineLevel="0" collapsed="false">
      <c r="A330" s="11"/>
      <c r="B330" s="7"/>
      <c r="C330" s="12" t="str">
        <f aca="false">IF($B330="","",IFERROR(INDEX(거래처마스터!$B$3:$B$102,MATCH($B330,거래처마스터!$A$3:$A$102,0)),"미등록"))</f>
        <v/>
      </c>
      <c r="D330" s="7"/>
      <c r="E330" s="12" t="str">
        <f aca="false">IF($D330="","",IFERROR(INDEX(품목마스터!$B$3:$B$202,MATCH($D330,품목마스터!$A$3:$A$202,0)),"미등록품번"))</f>
        <v/>
      </c>
      <c r="F330" s="12" t="str">
        <f aca="false">IF($D330="","",IFERROR(INDEX(품목마스터!$D$3:$D$202,MATCH($D330,품목마스터!$A$3:$A$202,0)),""))</f>
        <v/>
      </c>
      <c r="G330" s="9"/>
      <c r="H330" s="9"/>
      <c r="I330" s="13" t="str">
        <f aca="false">IF(OR($G330="",$H330=""),"",ROUND($G330*$H330,0))</f>
        <v/>
      </c>
      <c r="J330" s="7"/>
    </row>
    <row r="331" customFormat="false" ht="15" hidden="false" customHeight="true" outlineLevel="0" collapsed="false">
      <c r="A331" s="11"/>
      <c r="B331" s="7"/>
      <c r="C331" s="12" t="str">
        <f aca="false">IF($B331="","",IFERROR(INDEX(거래처마스터!$B$3:$B$102,MATCH($B331,거래처마스터!$A$3:$A$102,0)),"미등록"))</f>
        <v/>
      </c>
      <c r="D331" s="7"/>
      <c r="E331" s="12" t="str">
        <f aca="false">IF($D331="","",IFERROR(INDEX(품목마스터!$B$3:$B$202,MATCH($D331,품목마스터!$A$3:$A$202,0)),"미등록품번"))</f>
        <v/>
      </c>
      <c r="F331" s="12" t="str">
        <f aca="false">IF($D331="","",IFERROR(INDEX(품목마스터!$D$3:$D$202,MATCH($D331,품목마스터!$A$3:$A$202,0)),""))</f>
        <v/>
      </c>
      <c r="G331" s="9"/>
      <c r="H331" s="9"/>
      <c r="I331" s="13" t="str">
        <f aca="false">IF(OR($G331="",$H331=""),"",ROUND($G331*$H331,0))</f>
        <v/>
      </c>
      <c r="J331" s="7"/>
    </row>
    <row r="332" customFormat="false" ht="15" hidden="false" customHeight="true" outlineLevel="0" collapsed="false">
      <c r="A332" s="11"/>
      <c r="B332" s="7"/>
      <c r="C332" s="12" t="str">
        <f aca="false">IF($B332="","",IFERROR(INDEX(거래처마스터!$B$3:$B$102,MATCH($B332,거래처마스터!$A$3:$A$102,0)),"미등록"))</f>
        <v/>
      </c>
      <c r="D332" s="7"/>
      <c r="E332" s="12" t="str">
        <f aca="false">IF($D332="","",IFERROR(INDEX(품목마스터!$B$3:$B$202,MATCH($D332,품목마스터!$A$3:$A$202,0)),"미등록품번"))</f>
        <v/>
      </c>
      <c r="F332" s="12" t="str">
        <f aca="false">IF($D332="","",IFERROR(INDEX(품목마스터!$D$3:$D$202,MATCH($D332,품목마스터!$A$3:$A$202,0)),""))</f>
        <v/>
      </c>
      <c r="G332" s="9"/>
      <c r="H332" s="9"/>
      <c r="I332" s="13" t="str">
        <f aca="false">IF(OR($G332="",$H332=""),"",ROUND($G332*$H332,0))</f>
        <v/>
      </c>
      <c r="J332" s="7"/>
    </row>
    <row r="333" customFormat="false" ht="15" hidden="false" customHeight="true" outlineLevel="0" collapsed="false">
      <c r="A333" s="11"/>
      <c r="B333" s="7"/>
      <c r="C333" s="12" t="str">
        <f aca="false">IF($B333="","",IFERROR(INDEX(거래처마스터!$B$3:$B$102,MATCH($B333,거래처마스터!$A$3:$A$102,0)),"미등록"))</f>
        <v/>
      </c>
      <c r="D333" s="7"/>
      <c r="E333" s="12" t="str">
        <f aca="false">IF($D333="","",IFERROR(INDEX(품목마스터!$B$3:$B$202,MATCH($D333,품목마스터!$A$3:$A$202,0)),"미등록품번"))</f>
        <v/>
      </c>
      <c r="F333" s="12" t="str">
        <f aca="false">IF($D333="","",IFERROR(INDEX(품목마스터!$D$3:$D$202,MATCH($D333,품목마스터!$A$3:$A$202,0)),""))</f>
        <v/>
      </c>
      <c r="G333" s="9"/>
      <c r="H333" s="9"/>
      <c r="I333" s="13" t="str">
        <f aca="false">IF(OR($G333="",$H333=""),"",ROUND($G333*$H333,0))</f>
        <v/>
      </c>
      <c r="J333" s="7"/>
    </row>
    <row r="334" customFormat="false" ht="15" hidden="false" customHeight="true" outlineLevel="0" collapsed="false">
      <c r="A334" s="11"/>
      <c r="B334" s="7"/>
      <c r="C334" s="12" t="str">
        <f aca="false">IF($B334="","",IFERROR(INDEX(거래처마스터!$B$3:$B$102,MATCH($B334,거래처마스터!$A$3:$A$102,0)),"미등록"))</f>
        <v/>
      </c>
      <c r="D334" s="7"/>
      <c r="E334" s="12" t="str">
        <f aca="false">IF($D334="","",IFERROR(INDEX(품목마스터!$B$3:$B$202,MATCH($D334,품목마스터!$A$3:$A$202,0)),"미등록품번"))</f>
        <v/>
      </c>
      <c r="F334" s="12" t="str">
        <f aca="false">IF($D334="","",IFERROR(INDEX(품목마스터!$D$3:$D$202,MATCH($D334,품목마스터!$A$3:$A$202,0)),""))</f>
        <v/>
      </c>
      <c r="G334" s="9"/>
      <c r="H334" s="9"/>
      <c r="I334" s="13" t="str">
        <f aca="false">IF(OR($G334="",$H334=""),"",ROUND($G334*$H334,0))</f>
        <v/>
      </c>
      <c r="J334" s="7"/>
    </row>
    <row r="335" customFormat="false" ht="15" hidden="false" customHeight="true" outlineLevel="0" collapsed="false">
      <c r="A335" s="11"/>
      <c r="B335" s="7"/>
      <c r="C335" s="12" t="str">
        <f aca="false">IF($B335="","",IFERROR(INDEX(거래처마스터!$B$3:$B$102,MATCH($B335,거래처마스터!$A$3:$A$102,0)),"미등록"))</f>
        <v/>
      </c>
      <c r="D335" s="7"/>
      <c r="E335" s="12" t="str">
        <f aca="false">IF($D335="","",IFERROR(INDEX(품목마스터!$B$3:$B$202,MATCH($D335,품목마스터!$A$3:$A$202,0)),"미등록품번"))</f>
        <v/>
      </c>
      <c r="F335" s="12" t="str">
        <f aca="false">IF($D335="","",IFERROR(INDEX(품목마스터!$D$3:$D$202,MATCH($D335,품목마스터!$A$3:$A$202,0)),""))</f>
        <v/>
      </c>
      <c r="G335" s="9"/>
      <c r="H335" s="9"/>
      <c r="I335" s="13" t="str">
        <f aca="false">IF(OR($G335="",$H335=""),"",ROUND($G335*$H335,0))</f>
        <v/>
      </c>
      <c r="J335" s="7"/>
    </row>
    <row r="336" customFormat="false" ht="15" hidden="false" customHeight="true" outlineLevel="0" collapsed="false">
      <c r="A336" s="11"/>
      <c r="B336" s="7"/>
      <c r="C336" s="12" t="str">
        <f aca="false">IF($B336="","",IFERROR(INDEX(거래처마스터!$B$3:$B$102,MATCH($B336,거래처마스터!$A$3:$A$102,0)),"미등록"))</f>
        <v/>
      </c>
      <c r="D336" s="7"/>
      <c r="E336" s="12" t="str">
        <f aca="false">IF($D336="","",IFERROR(INDEX(품목마스터!$B$3:$B$202,MATCH($D336,품목마스터!$A$3:$A$202,0)),"미등록품번"))</f>
        <v/>
      </c>
      <c r="F336" s="12" t="str">
        <f aca="false">IF($D336="","",IFERROR(INDEX(품목마스터!$D$3:$D$202,MATCH($D336,품목마스터!$A$3:$A$202,0)),""))</f>
        <v/>
      </c>
      <c r="G336" s="9"/>
      <c r="H336" s="9"/>
      <c r="I336" s="13" t="str">
        <f aca="false">IF(OR($G336="",$H336=""),"",ROUND($G336*$H336,0))</f>
        <v/>
      </c>
      <c r="J336" s="7"/>
    </row>
    <row r="337" customFormat="false" ht="15" hidden="false" customHeight="true" outlineLevel="0" collapsed="false">
      <c r="A337" s="11"/>
      <c r="B337" s="7"/>
      <c r="C337" s="12" t="str">
        <f aca="false">IF($B337="","",IFERROR(INDEX(거래처마스터!$B$3:$B$102,MATCH($B337,거래처마스터!$A$3:$A$102,0)),"미등록"))</f>
        <v/>
      </c>
      <c r="D337" s="7"/>
      <c r="E337" s="12" t="str">
        <f aca="false">IF($D337="","",IFERROR(INDEX(품목마스터!$B$3:$B$202,MATCH($D337,품목마스터!$A$3:$A$202,0)),"미등록품번"))</f>
        <v/>
      </c>
      <c r="F337" s="12" t="str">
        <f aca="false">IF($D337="","",IFERROR(INDEX(품목마스터!$D$3:$D$202,MATCH($D337,품목마스터!$A$3:$A$202,0)),""))</f>
        <v/>
      </c>
      <c r="G337" s="9"/>
      <c r="H337" s="9"/>
      <c r="I337" s="13" t="str">
        <f aca="false">IF(OR($G337="",$H337=""),"",ROUND($G337*$H337,0))</f>
        <v/>
      </c>
      <c r="J337" s="7"/>
    </row>
    <row r="338" customFormat="false" ht="15" hidden="false" customHeight="true" outlineLevel="0" collapsed="false">
      <c r="A338" s="11"/>
      <c r="B338" s="7"/>
      <c r="C338" s="12" t="str">
        <f aca="false">IF($B338="","",IFERROR(INDEX(거래처마스터!$B$3:$B$102,MATCH($B338,거래처마스터!$A$3:$A$102,0)),"미등록"))</f>
        <v/>
      </c>
      <c r="D338" s="7"/>
      <c r="E338" s="12" t="str">
        <f aca="false">IF($D338="","",IFERROR(INDEX(품목마스터!$B$3:$B$202,MATCH($D338,품목마스터!$A$3:$A$202,0)),"미등록품번"))</f>
        <v/>
      </c>
      <c r="F338" s="12" t="str">
        <f aca="false">IF($D338="","",IFERROR(INDEX(품목마스터!$D$3:$D$202,MATCH($D338,품목마스터!$A$3:$A$202,0)),""))</f>
        <v/>
      </c>
      <c r="G338" s="9"/>
      <c r="H338" s="9"/>
      <c r="I338" s="13" t="str">
        <f aca="false">IF(OR($G338="",$H338=""),"",ROUND($G338*$H338,0))</f>
        <v/>
      </c>
      <c r="J338" s="7"/>
    </row>
    <row r="339" customFormat="false" ht="15" hidden="false" customHeight="true" outlineLevel="0" collapsed="false">
      <c r="A339" s="11"/>
      <c r="B339" s="7"/>
      <c r="C339" s="12" t="str">
        <f aca="false">IF($B339="","",IFERROR(INDEX(거래처마스터!$B$3:$B$102,MATCH($B339,거래처마스터!$A$3:$A$102,0)),"미등록"))</f>
        <v/>
      </c>
      <c r="D339" s="7"/>
      <c r="E339" s="12" t="str">
        <f aca="false">IF($D339="","",IFERROR(INDEX(품목마스터!$B$3:$B$202,MATCH($D339,품목마스터!$A$3:$A$202,0)),"미등록품번"))</f>
        <v/>
      </c>
      <c r="F339" s="12" t="str">
        <f aca="false">IF($D339="","",IFERROR(INDEX(품목마스터!$D$3:$D$202,MATCH($D339,품목마스터!$A$3:$A$202,0)),""))</f>
        <v/>
      </c>
      <c r="G339" s="9"/>
      <c r="H339" s="9"/>
      <c r="I339" s="13" t="str">
        <f aca="false">IF(OR($G339="",$H339=""),"",ROUND($G339*$H339,0))</f>
        <v/>
      </c>
      <c r="J339" s="7"/>
    </row>
    <row r="340" customFormat="false" ht="15" hidden="false" customHeight="true" outlineLevel="0" collapsed="false">
      <c r="A340" s="11"/>
      <c r="B340" s="7"/>
      <c r="C340" s="12" t="str">
        <f aca="false">IF($B340="","",IFERROR(INDEX(거래처마스터!$B$3:$B$102,MATCH($B340,거래처마스터!$A$3:$A$102,0)),"미등록"))</f>
        <v/>
      </c>
      <c r="D340" s="7"/>
      <c r="E340" s="12" t="str">
        <f aca="false">IF($D340="","",IFERROR(INDEX(품목마스터!$B$3:$B$202,MATCH($D340,품목마스터!$A$3:$A$202,0)),"미등록품번"))</f>
        <v/>
      </c>
      <c r="F340" s="12" t="str">
        <f aca="false">IF($D340="","",IFERROR(INDEX(품목마스터!$D$3:$D$202,MATCH($D340,품목마스터!$A$3:$A$202,0)),""))</f>
        <v/>
      </c>
      <c r="G340" s="9"/>
      <c r="H340" s="9"/>
      <c r="I340" s="13" t="str">
        <f aca="false">IF(OR($G340="",$H340=""),"",ROUND($G340*$H340,0))</f>
        <v/>
      </c>
      <c r="J340" s="7"/>
    </row>
    <row r="341" customFormat="false" ht="15" hidden="false" customHeight="true" outlineLevel="0" collapsed="false">
      <c r="A341" s="11"/>
      <c r="B341" s="7"/>
      <c r="C341" s="12" t="str">
        <f aca="false">IF($B341="","",IFERROR(INDEX(거래처마스터!$B$3:$B$102,MATCH($B341,거래처마스터!$A$3:$A$102,0)),"미등록"))</f>
        <v/>
      </c>
      <c r="D341" s="7"/>
      <c r="E341" s="12" t="str">
        <f aca="false">IF($D341="","",IFERROR(INDEX(품목마스터!$B$3:$B$202,MATCH($D341,품목마스터!$A$3:$A$202,0)),"미등록품번"))</f>
        <v/>
      </c>
      <c r="F341" s="12" t="str">
        <f aca="false">IF($D341="","",IFERROR(INDEX(품목마스터!$D$3:$D$202,MATCH($D341,품목마스터!$A$3:$A$202,0)),""))</f>
        <v/>
      </c>
      <c r="G341" s="9"/>
      <c r="H341" s="9"/>
      <c r="I341" s="13" t="str">
        <f aca="false">IF(OR($G341="",$H341=""),"",ROUND($G341*$H341,0))</f>
        <v/>
      </c>
      <c r="J341" s="7"/>
    </row>
    <row r="342" customFormat="false" ht="15" hidden="false" customHeight="true" outlineLevel="0" collapsed="false">
      <c r="A342" s="11"/>
      <c r="B342" s="7"/>
      <c r="C342" s="12" t="str">
        <f aca="false">IF($B342="","",IFERROR(INDEX(거래처마스터!$B$3:$B$102,MATCH($B342,거래처마스터!$A$3:$A$102,0)),"미등록"))</f>
        <v/>
      </c>
      <c r="D342" s="7"/>
      <c r="E342" s="12" t="str">
        <f aca="false">IF($D342="","",IFERROR(INDEX(품목마스터!$B$3:$B$202,MATCH($D342,품목마스터!$A$3:$A$202,0)),"미등록품번"))</f>
        <v/>
      </c>
      <c r="F342" s="12" t="str">
        <f aca="false">IF($D342="","",IFERROR(INDEX(품목마스터!$D$3:$D$202,MATCH($D342,품목마스터!$A$3:$A$202,0)),""))</f>
        <v/>
      </c>
      <c r="G342" s="9"/>
      <c r="H342" s="9"/>
      <c r="I342" s="13" t="str">
        <f aca="false">IF(OR($G342="",$H342=""),"",ROUND($G342*$H342,0))</f>
        <v/>
      </c>
      <c r="J342" s="7"/>
    </row>
    <row r="343" customFormat="false" ht="15" hidden="false" customHeight="true" outlineLevel="0" collapsed="false">
      <c r="A343" s="11"/>
      <c r="B343" s="7"/>
      <c r="C343" s="12" t="str">
        <f aca="false">IF($B343="","",IFERROR(INDEX(거래처마스터!$B$3:$B$102,MATCH($B343,거래처마스터!$A$3:$A$102,0)),"미등록"))</f>
        <v/>
      </c>
      <c r="D343" s="7"/>
      <c r="E343" s="12" t="str">
        <f aca="false">IF($D343="","",IFERROR(INDEX(품목마스터!$B$3:$B$202,MATCH($D343,품목마스터!$A$3:$A$202,0)),"미등록품번"))</f>
        <v/>
      </c>
      <c r="F343" s="12" t="str">
        <f aca="false">IF($D343="","",IFERROR(INDEX(품목마스터!$D$3:$D$202,MATCH($D343,품목마스터!$A$3:$A$202,0)),""))</f>
        <v/>
      </c>
      <c r="G343" s="9"/>
      <c r="H343" s="9"/>
      <c r="I343" s="13" t="str">
        <f aca="false">IF(OR($G343="",$H343=""),"",ROUND($G343*$H343,0))</f>
        <v/>
      </c>
      <c r="J343" s="7"/>
    </row>
    <row r="344" customFormat="false" ht="15" hidden="false" customHeight="true" outlineLevel="0" collapsed="false">
      <c r="A344" s="11"/>
      <c r="B344" s="7"/>
      <c r="C344" s="12" t="str">
        <f aca="false">IF($B344="","",IFERROR(INDEX(거래처마스터!$B$3:$B$102,MATCH($B344,거래처마스터!$A$3:$A$102,0)),"미등록"))</f>
        <v/>
      </c>
      <c r="D344" s="7"/>
      <c r="E344" s="12" t="str">
        <f aca="false">IF($D344="","",IFERROR(INDEX(품목마스터!$B$3:$B$202,MATCH($D344,품목마스터!$A$3:$A$202,0)),"미등록품번"))</f>
        <v/>
      </c>
      <c r="F344" s="12" t="str">
        <f aca="false">IF($D344="","",IFERROR(INDEX(품목마스터!$D$3:$D$202,MATCH($D344,품목마스터!$A$3:$A$202,0)),""))</f>
        <v/>
      </c>
      <c r="G344" s="9"/>
      <c r="H344" s="9"/>
      <c r="I344" s="13" t="str">
        <f aca="false">IF(OR($G344="",$H344=""),"",ROUND($G344*$H344,0))</f>
        <v/>
      </c>
      <c r="J344" s="7"/>
    </row>
    <row r="345" customFormat="false" ht="15" hidden="false" customHeight="true" outlineLevel="0" collapsed="false">
      <c r="A345" s="11"/>
      <c r="B345" s="7"/>
      <c r="C345" s="12" t="str">
        <f aca="false">IF($B345="","",IFERROR(INDEX(거래처마스터!$B$3:$B$102,MATCH($B345,거래처마스터!$A$3:$A$102,0)),"미등록"))</f>
        <v/>
      </c>
      <c r="D345" s="7"/>
      <c r="E345" s="12" t="str">
        <f aca="false">IF($D345="","",IFERROR(INDEX(품목마스터!$B$3:$B$202,MATCH($D345,품목마스터!$A$3:$A$202,0)),"미등록품번"))</f>
        <v/>
      </c>
      <c r="F345" s="12" t="str">
        <f aca="false">IF($D345="","",IFERROR(INDEX(품목마스터!$D$3:$D$202,MATCH($D345,품목마스터!$A$3:$A$202,0)),""))</f>
        <v/>
      </c>
      <c r="G345" s="9"/>
      <c r="H345" s="9"/>
      <c r="I345" s="13" t="str">
        <f aca="false">IF(OR($G345="",$H345=""),"",ROUND($G345*$H345,0))</f>
        <v/>
      </c>
      <c r="J345" s="7"/>
    </row>
    <row r="346" customFormat="false" ht="15" hidden="false" customHeight="true" outlineLevel="0" collapsed="false">
      <c r="A346" s="11"/>
      <c r="B346" s="7"/>
      <c r="C346" s="12" t="str">
        <f aca="false">IF($B346="","",IFERROR(INDEX(거래처마스터!$B$3:$B$102,MATCH($B346,거래처마스터!$A$3:$A$102,0)),"미등록"))</f>
        <v/>
      </c>
      <c r="D346" s="7"/>
      <c r="E346" s="12" t="str">
        <f aca="false">IF($D346="","",IFERROR(INDEX(품목마스터!$B$3:$B$202,MATCH($D346,품목마스터!$A$3:$A$202,0)),"미등록품번"))</f>
        <v/>
      </c>
      <c r="F346" s="12" t="str">
        <f aca="false">IF($D346="","",IFERROR(INDEX(품목마스터!$D$3:$D$202,MATCH($D346,품목마스터!$A$3:$A$202,0)),""))</f>
        <v/>
      </c>
      <c r="G346" s="9"/>
      <c r="H346" s="9"/>
      <c r="I346" s="13" t="str">
        <f aca="false">IF(OR($G346="",$H346=""),"",ROUND($G346*$H346,0))</f>
        <v/>
      </c>
      <c r="J346" s="7"/>
    </row>
    <row r="347" customFormat="false" ht="15" hidden="false" customHeight="true" outlineLevel="0" collapsed="false">
      <c r="A347" s="11"/>
      <c r="B347" s="7"/>
      <c r="C347" s="12" t="str">
        <f aca="false">IF($B347="","",IFERROR(INDEX(거래처마스터!$B$3:$B$102,MATCH($B347,거래처마스터!$A$3:$A$102,0)),"미등록"))</f>
        <v/>
      </c>
      <c r="D347" s="7"/>
      <c r="E347" s="12" t="str">
        <f aca="false">IF($D347="","",IFERROR(INDEX(품목마스터!$B$3:$B$202,MATCH($D347,품목마스터!$A$3:$A$202,0)),"미등록품번"))</f>
        <v/>
      </c>
      <c r="F347" s="12" t="str">
        <f aca="false">IF($D347="","",IFERROR(INDEX(품목마스터!$D$3:$D$202,MATCH($D347,품목마스터!$A$3:$A$202,0)),""))</f>
        <v/>
      </c>
      <c r="G347" s="9"/>
      <c r="H347" s="9"/>
      <c r="I347" s="13" t="str">
        <f aca="false">IF(OR($G347="",$H347=""),"",ROUND($G347*$H347,0))</f>
        <v/>
      </c>
      <c r="J347" s="7"/>
    </row>
    <row r="348" customFormat="false" ht="15" hidden="false" customHeight="true" outlineLevel="0" collapsed="false">
      <c r="A348" s="11"/>
      <c r="B348" s="7"/>
      <c r="C348" s="12" t="str">
        <f aca="false">IF($B348="","",IFERROR(INDEX(거래처마스터!$B$3:$B$102,MATCH($B348,거래처마스터!$A$3:$A$102,0)),"미등록"))</f>
        <v/>
      </c>
      <c r="D348" s="7"/>
      <c r="E348" s="12" t="str">
        <f aca="false">IF($D348="","",IFERROR(INDEX(품목마스터!$B$3:$B$202,MATCH($D348,품목마스터!$A$3:$A$202,0)),"미등록품번"))</f>
        <v/>
      </c>
      <c r="F348" s="12" t="str">
        <f aca="false">IF($D348="","",IFERROR(INDEX(품목마스터!$D$3:$D$202,MATCH($D348,품목마스터!$A$3:$A$202,0)),""))</f>
        <v/>
      </c>
      <c r="G348" s="9"/>
      <c r="H348" s="9"/>
      <c r="I348" s="13" t="str">
        <f aca="false">IF(OR($G348="",$H348=""),"",ROUND($G348*$H348,0))</f>
        <v/>
      </c>
      <c r="J348" s="7"/>
    </row>
    <row r="349" customFormat="false" ht="15" hidden="false" customHeight="true" outlineLevel="0" collapsed="false">
      <c r="A349" s="11"/>
      <c r="B349" s="7"/>
      <c r="C349" s="12" t="str">
        <f aca="false">IF($B349="","",IFERROR(INDEX(거래처마스터!$B$3:$B$102,MATCH($B349,거래처마스터!$A$3:$A$102,0)),"미등록"))</f>
        <v/>
      </c>
      <c r="D349" s="7"/>
      <c r="E349" s="12" t="str">
        <f aca="false">IF($D349="","",IFERROR(INDEX(품목마스터!$B$3:$B$202,MATCH($D349,품목마스터!$A$3:$A$202,0)),"미등록품번"))</f>
        <v/>
      </c>
      <c r="F349" s="12" t="str">
        <f aca="false">IF($D349="","",IFERROR(INDEX(품목마스터!$D$3:$D$202,MATCH($D349,품목마스터!$A$3:$A$202,0)),""))</f>
        <v/>
      </c>
      <c r="G349" s="9"/>
      <c r="H349" s="9"/>
      <c r="I349" s="13" t="str">
        <f aca="false">IF(OR($G349="",$H349=""),"",ROUND($G349*$H349,0))</f>
        <v/>
      </c>
      <c r="J349" s="7"/>
    </row>
    <row r="350" customFormat="false" ht="15" hidden="false" customHeight="true" outlineLevel="0" collapsed="false">
      <c r="A350" s="11"/>
      <c r="B350" s="7"/>
      <c r="C350" s="12" t="str">
        <f aca="false">IF($B350="","",IFERROR(INDEX(거래처마스터!$B$3:$B$102,MATCH($B350,거래처마스터!$A$3:$A$102,0)),"미등록"))</f>
        <v/>
      </c>
      <c r="D350" s="7"/>
      <c r="E350" s="12" t="str">
        <f aca="false">IF($D350="","",IFERROR(INDEX(품목마스터!$B$3:$B$202,MATCH($D350,품목마스터!$A$3:$A$202,0)),"미등록품번"))</f>
        <v/>
      </c>
      <c r="F350" s="12" t="str">
        <f aca="false">IF($D350="","",IFERROR(INDEX(품목마스터!$D$3:$D$202,MATCH($D350,품목마스터!$A$3:$A$202,0)),""))</f>
        <v/>
      </c>
      <c r="G350" s="9"/>
      <c r="H350" s="9"/>
      <c r="I350" s="13" t="str">
        <f aca="false">IF(OR($G350="",$H350=""),"",ROUND($G350*$H350,0))</f>
        <v/>
      </c>
      <c r="J350" s="7"/>
    </row>
    <row r="351" customFormat="false" ht="15" hidden="false" customHeight="true" outlineLevel="0" collapsed="false">
      <c r="A351" s="11"/>
      <c r="B351" s="7"/>
      <c r="C351" s="12" t="str">
        <f aca="false">IF($B351="","",IFERROR(INDEX(거래처마스터!$B$3:$B$102,MATCH($B351,거래처마스터!$A$3:$A$102,0)),"미등록"))</f>
        <v/>
      </c>
      <c r="D351" s="7"/>
      <c r="E351" s="12" t="str">
        <f aca="false">IF($D351="","",IFERROR(INDEX(품목마스터!$B$3:$B$202,MATCH($D351,품목마스터!$A$3:$A$202,0)),"미등록품번"))</f>
        <v/>
      </c>
      <c r="F351" s="12" t="str">
        <f aca="false">IF($D351="","",IFERROR(INDEX(품목마스터!$D$3:$D$202,MATCH($D351,품목마스터!$A$3:$A$202,0)),""))</f>
        <v/>
      </c>
      <c r="G351" s="9"/>
      <c r="H351" s="9"/>
      <c r="I351" s="13" t="str">
        <f aca="false">IF(OR($G351="",$H351=""),"",ROUND($G351*$H351,0))</f>
        <v/>
      </c>
      <c r="J351" s="7"/>
    </row>
    <row r="352" customFormat="false" ht="15" hidden="false" customHeight="true" outlineLevel="0" collapsed="false">
      <c r="A352" s="11"/>
      <c r="B352" s="7"/>
      <c r="C352" s="12" t="str">
        <f aca="false">IF($B352="","",IFERROR(INDEX(거래처마스터!$B$3:$B$102,MATCH($B352,거래처마스터!$A$3:$A$102,0)),"미등록"))</f>
        <v/>
      </c>
      <c r="D352" s="7"/>
      <c r="E352" s="12" t="str">
        <f aca="false">IF($D352="","",IFERROR(INDEX(품목마스터!$B$3:$B$202,MATCH($D352,품목마스터!$A$3:$A$202,0)),"미등록품번"))</f>
        <v/>
      </c>
      <c r="F352" s="12" t="str">
        <f aca="false">IF($D352="","",IFERROR(INDEX(품목마스터!$D$3:$D$202,MATCH($D352,품목마스터!$A$3:$A$202,0)),""))</f>
        <v/>
      </c>
      <c r="G352" s="9"/>
      <c r="H352" s="9"/>
      <c r="I352" s="13" t="str">
        <f aca="false">IF(OR($G352="",$H352=""),"",ROUND($G352*$H352,0))</f>
        <v/>
      </c>
      <c r="J352" s="7"/>
    </row>
    <row r="353" customFormat="false" ht="15" hidden="false" customHeight="true" outlineLevel="0" collapsed="false">
      <c r="A353" s="11"/>
      <c r="B353" s="7"/>
      <c r="C353" s="12" t="str">
        <f aca="false">IF($B353="","",IFERROR(INDEX(거래처마스터!$B$3:$B$102,MATCH($B353,거래처마스터!$A$3:$A$102,0)),"미등록"))</f>
        <v/>
      </c>
      <c r="D353" s="7"/>
      <c r="E353" s="12" t="str">
        <f aca="false">IF($D353="","",IFERROR(INDEX(품목마스터!$B$3:$B$202,MATCH($D353,품목마스터!$A$3:$A$202,0)),"미등록품번"))</f>
        <v/>
      </c>
      <c r="F353" s="12" t="str">
        <f aca="false">IF($D353="","",IFERROR(INDEX(품목마스터!$D$3:$D$202,MATCH($D353,품목마스터!$A$3:$A$202,0)),""))</f>
        <v/>
      </c>
      <c r="G353" s="9"/>
      <c r="H353" s="9"/>
      <c r="I353" s="13" t="str">
        <f aca="false">IF(OR($G353="",$H353=""),"",ROUND($G353*$H353,0))</f>
        <v/>
      </c>
      <c r="J353" s="7"/>
    </row>
    <row r="354" customFormat="false" ht="15" hidden="false" customHeight="true" outlineLevel="0" collapsed="false">
      <c r="A354" s="11"/>
      <c r="B354" s="7"/>
      <c r="C354" s="12" t="str">
        <f aca="false">IF($B354="","",IFERROR(INDEX(거래처마스터!$B$3:$B$102,MATCH($B354,거래처마스터!$A$3:$A$102,0)),"미등록"))</f>
        <v/>
      </c>
      <c r="D354" s="7"/>
      <c r="E354" s="12" t="str">
        <f aca="false">IF($D354="","",IFERROR(INDEX(품목마스터!$B$3:$B$202,MATCH($D354,품목마스터!$A$3:$A$202,0)),"미등록품번"))</f>
        <v/>
      </c>
      <c r="F354" s="12" t="str">
        <f aca="false">IF($D354="","",IFERROR(INDEX(품목마스터!$D$3:$D$202,MATCH($D354,품목마스터!$A$3:$A$202,0)),""))</f>
        <v/>
      </c>
      <c r="G354" s="9"/>
      <c r="H354" s="9"/>
      <c r="I354" s="13" t="str">
        <f aca="false">IF(OR($G354="",$H354=""),"",ROUND($G354*$H354,0))</f>
        <v/>
      </c>
      <c r="J354" s="7"/>
    </row>
    <row r="355" customFormat="false" ht="15" hidden="false" customHeight="true" outlineLevel="0" collapsed="false">
      <c r="A355" s="11"/>
      <c r="B355" s="7"/>
      <c r="C355" s="12" t="str">
        <f aca="false">IF($B355="","",IFERROR(INDEX(거래처마스터!$B$3:$B$102,MATCH($B355,거래처마스터!$A$3:$A$102,0)),"미등록"))</f>
        <v/>
      </c>
      <c r="D355" s="7"/>
      <c r="E355" s="12" t="str">
        <f aca="false">IF($D355="","",IFERROR(INDEX(품목마스터!$B$3:$B$202,MATCH($D355,품목마스터!$A$3:$A$202,0)),"미등록품번"))</f>
        <v/>
      </c>
      <c r="F355" s="12" t="str">
        <f aca="false">IF($D355="","",IFERROR(INDEX(품목마스터!$D$3:$D$202,MATCH($D355,품목마스터!$A$3:$A$202,0)),""))</f>
        <v/>
      </c>
      <c r="G355" s="9"/>
      <c r="H355" s="9"/>
      <c r="I355" s="13" t="str">
        <f aca="false">IF(OR($G355="",$H355=""),"",ROUND($G355*$H355,0))</f>
        <v/>
      </c>
      <c r="J355" s="7"/>
    </row>
    <row r="356" customFormat="false" ht="15" hidden="false" customHeight="true" outlineLevel="0" collapsed="false">
      <c r="A356" s="11"/>
      <c r="B356" s="7"/>
      <c r="C356" s="12" t="str">
        <f aca="false">IF($B356="","",IFERROR(INDEX(거래처마스터!$B$3:$B$102,MATCH($B356,거래처마스터!$A$3:$A$102,0)),"미등록"))</f>
        <v/>
      </c>
      <c r="D356" s="7"/>
      <c r="E356" s="12" t="str">
        <f aca="false">IF($D356="","",IFERROR(INDEX(품목마스터!$B$3:$B$202,MATCH($D356,품목마스터!$A$3:$A$202,0)),"미등록품번"))</f>
        <v/>
      </c>
      <c r="F356" s="12" t="str">
        <f aca="false">IF($D356="","",IFERROR(INDEX(품목마스터!$D$3:$D$202,MATCH($D356,품목마스터!$A$3:$A$202,0)),""))</f>
        <v/>
      </c>
      <c r="G356" s="9"/>
      <c r="H356" s="9"/>
      <c r="I356" s="13" t="str">
        <f aca="false">IF(OR($G356="",$H356=""),"",ROUND($G356*$H356,0))</f>
        <v/>
      </c>
      <c r="J356" s="7"/>
    </row>
    <row r="357" customFormat="false" ht="15" hidden="false" customHeight="true" outlineLevel="0" collapsed="false">
      <c r="A357" s="11"/>
      <c r="B357" s="7"/>
      <c r="C357" s="12" t="str">
        <f aca="false">IF($B357="","",IFERROR(INDEX(거래처마스터!$B$3:$B$102,MATCH($B357,거래처마스터!$A$3:$A$102,0)),"미등록"))</f>
        <v/>
      </c>
      <c r="D357" s="7"/>
      <c r="E357" s="12" t="str">
        <f aca="false">IF($D357="","",IFERROR(INDEX(품목마스터!$B$3:$B$202,MATCH($D357,품목마스터!$A$3:$A$202,0)),"미등록품번"))</f>
        <v/>
      </c>
      <c r="F357" s="12" t="str">
        <f aca="false">IF($D357="","",IFERROR(INDEX(품목마스터!$D$3:$D$202,MATCH($D357,품목마스터!$A$3:$A$202,0)),""))</f>
        <v/>
      </c>
      <c r="G357" s="9"/>
      <c r="H357" s="9"/>
      <c r="I357" s="13" t="str">
        <f aca="false">IF(OR($G357="",$H357=""),"",ROUND($G357*$H357,0))</f>
        <v/>
      </c>
      <c r="J357" s="7"/>
    </row>
    <row r="358" customFormat="false" ht="15" hidden="false" customHeight="true" outlineLevel="0" collapsed="false">
      <c r="A358" s="11"/>
      <c r="B358" s="7"/>
      <c r="C358" s="12" t="str">
        <f aca="false">IF($B358="","",IFERROR(INDEX(거래처마스터!$B$3:$B$102,MATCH($B358,거래처마스터!$A$3:$A$102,0)),"미등록"))</f>
        <v/>
      </c>
      <c r="D358" s="7"/>
      <c r="E358" s="12" t="str">
        <f aca="false">IF($D358="","",IFERROR(INDEX(품목마스터!$B$3:$B$202,MATCH($D358,품목마스터!$A$3:$A$202,0)),"미등록품번"))</f>
        <v/>
      </c>
      <c r="F358" s="12" t="str">
        <f aca="false">IF($D358="","",IFERROR(INDEX(품목마스터!$D$3:$D$202,MATCH($D358,품목마스터!$A$3:$A$202,0)),""))</f>
        <v/>
      </c>
      <c r="G358" s="9"/>
      <c r="H358" s="9"/>
      <c r="I358" s="13" t="str">
        <f aca="false">IF(OR($G358="",$H358=""),"",ROUND($G358*$H358,0))</f>
        <v/>
      </c>
      <c r="J358" s="7"/>
    </row>
    <row r="359" customFormat="false" ht="15" hidden="false" customHeight="true" outlineLevel="0" collapsed="false">
      <c r="A359" s="11"/>
      <c r="B359" s="7"/>
      <c r="C359" s="12" t="str">
        <f aca="false">IF($B359="","",IFERROR(INDEX(거래처마스터!$B$3:$B$102,MATCH($B359,거래처마스터!$A$3:$A$102,0)),"미등록"))</f>
        <v/>
      </c>
      <c r="D359" s="7"/>
      <c r="E359" s="12" t="str">
        <f aca="false">IF($D359="","",IFERROR(INDEX(품목마스터!$B$3:$B$202,MATCH($D359,품목마스터!$A$3:$A$202,0)),"미등록품번"))</f>
        <v/>
      </c>
      <c r="F359" s="12" t="str">
        <f aca="false">IF($D359="","",IFERROR(INDEX(품목마스터!$D$3:$D$202,MATCH($D359,품목마스터!$A$3:$A$202,0)),""))</f>
        <v/>
      </c>
      <c r="G359" s="9"/>
      <c r="H359" s="9"/>
      <c r="I359" s="13" t="str">
        <f aca="false">IF(OR($G359="",$H359=""),"",ROUND($G359*$H359,0))</f>
        <v/>
      </c>
      <c r="J359" s="7"/>
    </row>
    <row r="360" customFormat="false" ht="15" hidden="false" customHeight="true" outlineLevel="0" collapsed="false">
      <c r="A360" s="11"/>
      <c r="B360" s="7"/>
      <c r="C360" s="12" t="str">
        <f aca="false">IF($B360="","",IFERROR(INDEX(거래처마스터!$B$3:$B$102,MATCH($B360,거래처마스터!$A$3:$A$102,0)),"미등록"))</f>
        <v/>
      </c>
      <c r="D360" s="7"/>
      <c r="E360" s="12" t="str">
        <f aca="false">IF($D360="","",IFERROR(INDEX(품목마스터!$B$3:$B$202,MATCH($D360,품목마스터!$A$3:$A$202,0)),"미등록품번"))</f>
        <v/>
      </c>
      <c r="F360" s="12" t="str">
        <f aca="false">IF($D360="","",IFERROR(INDEX(품목마스터!$D$3:$D$202,MATCH($D360,품목마스터!$A$3:$A$202,0)),""))</f>
        <v/>
      </c>
      <c r="G360" s="9"/>
      <c r="H360" s="9"/>
      <c r="I360" s="13" t="str">
        <f aca="false">IF(OR($G360="",$H360=""),"",ROUND($G360*$H360,0))</f>
        <v/>
      </c>
      <c r="J360" s="7"/>
    </row>
    <row r="361" customFormat="false" ht="15" hidden="false" customHeight="true" outlineLevel="0" collapsed="false">
      <c r="A361" s="11"/>
      <c r="B361" s="7"/>
      <c r="C361" s="12" t="str">
        <f aca="false">IF($B361="","",IFERROR(INDEX(거래처마스터!$B$3:$B$102,MATCH($B361,거래처마스터!$A$3:$A$102,0)),"미등록"))</f>
        <v/>
      </c>
      <c r="D361" s="7"/>
      <c r="E361" s="12" t="str">
        <f aca="false">IF($D361="","",IFERROR(INDEX(품목마스터!$B$3:$B$202,MATCH($D361,품목마스터!$A$3:$A$202,0)),"미등록품번"))</f>
        <v/>
      </c>
      <c r="F361" s="12" t="str">
        <f aca="false">IF($D361="","",IFERROR(INDEX(품목마스터!$D$3:$D$202,MATCH($D361,품목마스터!$A$3:$A$202,0)),""))</f>
        <v/>
      </c>
      <c r="G361" s="9"/>
      <c r="H361" s="9"/>
      <c r="I361" s="13" t="str">
        <f aca="false">IF(OR($G361="",$H361=""),"",ROUND($G361*$H361,0))</f>
        <v/>
      </c>
      <c r="J361" s="7"/>
    </row>
    <row r="362" customFormat="false" ht="15" hidden="false" customHeight="true" outlineLevel="0" collapsed="false">
      <c r="A362" s="11"/>
      <c r="B362" s="7"/>
      <c r="C362" s="12" t="str">
        <f aca="false">IF($B362="","",IFERROR(INDEX(거래처마스터!$B$3:$B$102,MATCH($B362,거래처마스터!$A$3:$A$102,0)),"미등록"))</f>
        <v/>
      </c>
      <c r="D362" s="7"/>
      <c r="E362" s="12" t="str">
        <f aca="false">IF($D362="","",IFERROR(INDEX(품목마스터!$B$3:$B$202,MATCH($D362,품목마스터!$A$3:$A$202,0)),"미등록품번"))</f>
        <v/>
      </c>
      <c r="F362" s="12" t="str">
        <f aca="false">IF($D362="","",IFERROR(INDEX(품목마스터!$D$3:$D$202,MATCH($D362,품목마스터!$A$3:$A$202,0)),""))</f>
        <v/>
      </c>
      <c r="G362" s="9"/>
      <c r="H362" s="9"/>
      <c r="I362" s="13" t="str">
        <f aca="false">IF(OR($G362="",$H362=""),"",ROUND($G362*$H362,0))</f>
        <v/>
      </c>
      <c r="J362" s="7"/>
    </row>
    <row r="363" customFormat="false" ht="15" hidden="false" customHeight="true" outlineLevel="0" collapsed="false">
      <c r="A363" s="11"/>
      <c r="B363" s="7"/>
      <c r="C363" s="12" t="str">
        <f aca="false">IF($B363="","",IFERROR(INDEX(거래처마스터!$B$3:$B$102,MATCH($B363,거래처마스터!$A$3:$A$102,0)),"미등록"))</f>
        <v/>
      </c>
      <c r="D363" s="7"/>
      <c r="E363" s="12" t="str">
        <f aca="false">IF($D363="","",IFERROR(INDEX(품목마스터!$B$3:$B$202,MATCH($D363,품목마스터!$A$3:$A$202,0)),"미등록품번"))</f>
        <v/>
      </c>
      <c r="F363" s="12" t="str">
        <f aca="false">IF($D363="","",IFERROR(INDEX(품목마스터!$D$3:$D$202,MATCH($D363,품목마스터!$A$3:$A$202,0)),""))</f>
        <v/>
      </c>
      <c r="G363" s="9"/>
      <c r="H363" s="9"/>
      <c r="I363" s="13" t="str">
        <f aca="false">IF(OR($G363="",$H363=""),"",ROUND($G363*$H363,0))</f>
        <v/>
      </c>
      <c r="J363" s="7"/>
    </row>
    <row r="364" customFormat="false" ht="15" hidden="false" customHeight="true" outlineLevel="0" collapsed="false">
      <c r="A364" s="11"/>
      <c r="B364" s="7"/>
      <c r="C364" s="12" t="str">
        <f aca="false">IF($B364="","",IFERROR(INDEX(거래처마스터!$B$3:$B$102,MATCH($B364,거래처마스터!$A$3:$A$102,0)),"미등록"))</f>
        <v/>
      </c>
      <c r="D364" s="7"/>
      <c r="E364" s="12" t="str">
        <f aca="false">IF($D364="","",IFERROR(INDEX(품목마스터!$B$3:$B$202,MATCH($D364,품목마스터!$A$3:$A$202,0)),"미등록품번"))</f>
        <v/>
      </c>
      <c r="F364" s="12" t="str">
        <f aca="false">IF($D364="","",IFERROR(INDEX(품목마스터!$D$3:$D$202,MATCH($D364,품목마스터!$A$3:$A$202,0)),""))</f>
        <v/>
      </c>
      <c r="G364" s="9"/>
      <c r="H364" s="9"/>
      <c r="I364" s="13" t="str">
        <f aca="false">IF(OR($G364="",$H364=""),"",ROUND($G364*$H364,0))</f>
        <v/>
      </c>
      <c r="J364" s="7"/>
    </row>
    <row r="365" customFormat="false" ht="15" hidden="false" customHeight="true" outlineLevel="0" collapsed="false">
      <c r="A365" s="11"/>
      <c r="B365" s="7"/>
      <c r="C365" s="12" t="str">
        <f aca="false">IF($B365="","",IFERROR(INDEX(거래처마스터!$B$3:$B$102,MATCH($B365,거래처마스터!$A$3:$A$102,0)),"미등록"))</f>
        <v/>
      </c>
      <c r="D365" s="7"/>
      <c r="E365" s="12" t="str">
        <f aca="false">IF($D365="","",IFERROR(INDEX(품목마스터!$B$3:$B$202,MATCH($D365,품목마스터!$A$3:$A$202,0)),"미등록품번"))</f>
        <v/>
      </c>
      <c r="F365" s="12" t="str">
        <f aca="false">IF($D365="","",IFERROR(INDEX(품목마스터!$D$3:$D$202,MATCH($D365,품목마스터!$A$3:$A$202,0)),""))</f>
        <v/>
      </c>
      <c r="G365" s="9"/>
      <c r="H365" s="9"/>
      <c r="I365" s="13" t="str">
        <f aca="false">IF(OR($G365="",$H365=""),"",ROUND($G365*$H365,0))</f>
        <v/>
      </c>
      <c r="J365" s="7"/>
    </row>
    <row r="366" customFormat="false" ht="15" hidden="false" customHeight="true" outlineLevel="0" collapsed="false">
      <c r="A366" s="11"/>
      <c r="B366" s="7"/>
      <c r="C366" s="12" t="str">
        <f aca="false">IF($B366="","",IFERROR(INDEX(거래처마스터!$B$3:$B$102,MATCH($B366,거래처마스터!$A$3:$A$102,0)),"미등록"))</f>
        <v/>
      </c>
      <c r="D366" s="7"/>
      <c r="E366" s="12" t="str">
        <f aca="false">IF($D366="","",IFERROR(INDEX(품목마스터!$B$3:$B$202,MATCH($D366,품목마스터!$A$3:$A$202,0)),"미등록품번"))</f>
        <v/>
      </c>
      <c r="F366" s="12" t="str">
        <f aca="false">IF($D366="","",IFERROR(INDEX(품목마스터!$D$3:$D$202,MATCH($D366,품목마스터!$A$3:$A$202,0)),""))</f>
        <v/>
      </c>
      <c r="G366" s="9"/>
      <c r="H366" s="9"/>
      <c r="I366" s="13" t="str">
        <f aca="false">IF(OR($G366="",$H366=""),"",ROUND($G366*$H366,0))</f>
        <v/>
      </c>
      <c r="J366" s="7"/>
    </row>
    <row r="367" customFormat="false" ht="15" hidden="false" customHeight="true" outlineLevel="0" collapsed="false">
      <c r="A367" s="11"/>
      <c r="B367" s="7"/>
      <c r="C367" s="12" t="str">
        <f aca="false">IF($B367="","",IFERROR(INDEX(거래처마스터!$B$3:$B$102,MATCH($B367,거래처마스터!$A$3:$A$102,0)),"미등록"))</f>
        <v/>
      </c>
      <c r="D367" s="7"/>
      <c r="E367" s="12" t="str">
        <f aca="false">IF($D367="","",IFERROR(INDEX(품목마스터!$B$3:$B$202,MATCH($D367,품목마스터!$A$3:$A$202,0)),"미등록품번"))</f>
        <v/>
      </c>
      <c r="F367" s="12" t="str">
        <f aca="false">IF($D367="","",IFERROR(INDEX(품목마스터!$D$3:$D$202,MATCH($D367,품목마스터!$A$3:$A$202,0)),""))</f>
        <v/>
      </c>
      <c r="G367" s="9"/>
      <c r="H367" s="9"/>
      <c r="I367" s="13" t="str">
        <f aca="false">IF(OR($G367="",$H367=""),"",ROUND($G367*$H367,0))</f>
        <v/>
      </c>
      <c r="J367" s="7"/>
    </row>
    <row r="368" customFormat="false" ht="15" hidden="false" customHeight="true" outlineLevel="0" collapsed="false">
      <c r="A368" s="11"/>
      <c r="B368" s="7"/>
      <c r="C368" s="12" t="str">
        <f aca="false">IF($B368="","",IFERROR(INDEX(거래처마스터!$B$3:$B$102,MATCH($B368,거래처마스터!$A$3:$A$102,0)),"미등록"))</f>
        <v/>
      </c>
      <c r="D368" s="7"/>
      <c r="E368" s="12" t="str">
        <f aca="false">IF($D368="","",IFERROR(INDEX(품목마스터!$B$3:$B$202,MATCH($D368,품목마스터!$A$3:$A$202,0)),"미등록품번"))</f>
        <v/>
      </c>
      <c r="F368" s="12" t="str">
        <f aca="false">IF($D368="","",IFERROR(INDEX(품목마스터!$D$3:$D$202,MATCH($D368,품목마스터!$A$3:$A$202,0)),""))</f>
        <v/>
      </c>
      <c r="G368" s="9"/>
      <c r="H368" s="9"/>
      <c r="I368" s="13" t="str">
        <f aca="false">IF(OR($G368="",$H368=""),"",ROUND($G368*$H368,0))</f>
        <v/>
      </c>
      <c r="J368" s="7"/>
    </row>
    <row r="369" customFormat="false" ht="15" hidden="false" customHeight="true" outlineLevel="0" collapsed="false">
      <c r="A369" s="11"/>
      <c r="B369" s="7"/>
      <c r="C369" s="12" t="str">
        <f aca="false">IF($B369="","",IFERROR(INDEX(거래처마스터!$B$3:$B$102,MATCH($B369,거래처마스터!$A$3:$A$102,0)),"미등록"))</f>
        <v/>
      </c>
      <c r="D369" s="7"/>
      <c r="E369" s="12" t="str">
        <f aca="false">IF($D369="","",IFERROR(INDEX(품목마스터!$B$3:$B$202,MATCH($D369,품목마스터!$A$3:$A$202,0)),"미등록품번"))</f>
        <v/>
      </c>
      <c r="F369" s="12" t="str">
        <f aca="false">IF($D369="","",IFERROR(INDEX(품목마스터!$D$3:$D$202,MATCH($D369,품목마스터!$A$3:$A$202,0)),""))</f>
        <v/>
      </c>
      <c r="G369" s="9"/>
      <c r="H369" s="9"/>
      <c r="I369" s="13" t="str">
        <f aca="false">IF(OR($G369="",$H369=""),"",ROUND($G369*$H369,0))</f>
        <v/>
      </c>
      <c r="J369" s="7"/>
    </row>
    <row r="370" customFormat="false" ht="15" hidden="false" customHeight="true" outlineLevel="0" collapsed="false">
      <c r="A370" s="11"/>
      <c r="B370" s="7"/>
      <c r="C370" s="12" t="str">
        <f aca="false">IF($B370="","",IFERROR(INDEX(거래처마스터!$B$3:$B$102,MATCH($B370,거래처마스터!$A$3:$A$102,0)),"미등록"))</f>
        <v/>
      </c>
      <c r="D370" s="7"/>
      <c r="E370" s="12" t="str">
        <f aca="false">IF($D370="","",IFERROR(INDEX(품목마스터!$B$3:$B$202,MATCH($D370,품목마스터!$A$3:$A$202,0)),"미등록품번"))</f>
        <v/>
      </c>
      <c r="F370" s="12" t="str">
        <f aca="false">IF($D370="","",IFERROR(INDEX(품목마스터!$D$3:$D$202,MATCH($D370,품목마스터!$A$3:$A$202,0)),""))</f>
        <v/>
      </c>
      <c r="G370" s="9"/>
      <c r="H370" s="9"/>
      <c r="I370" s="13" t="str">
        <f aca="false">IF(OR($G370="",$H370=""),"",ROUND($G370*$H370,0))</f>
        <v/>
      </c>
      <c r="J370" s="7"/>
    </row>
    <row r="371" customFormat="false" ht="15" hidden="false" customHeight="true" outlineLevel="0" collapsed="false">
      <c r="A371" s="11"/>
      <c r="B371" s="7"/>
      <c r="C371" s="12" t="str">
        <f aca="false">IF($B371="","",IFERROR(INDEX(거래처마스터!$B$3:$B$102,MATCH($B371,거래처마스터!$A$3:$A$102,0)),"미등록"))</f>
        <v/>
      </c>
      <c r="D371" s="7"/>
      <c r="E371" s="12" t="str">
        <f aca="false">IF($D371="","",IFERROR(INDEX(품목마스터!$B$3:$B$202,MATCH($D371,품목마스터!$A$3:$A$202,0)),"미등록품번"))</f>
        <v/>
      </c>
      <c r="F371" s="12" t="str">
        <f aca="false">IF($D371="","",IFERROR(INDEX(품목마스터!$D$3:$D$202,MATCH($D371,품목마스터!$A$3:$A$202,0)),""))</f>
        <v/>
      </c>
      <c r="G371" s="9"/>
      <c r="H371" s="9"/>
      <c r="I371" s="13" t="str">
        <f aca="false">IF(OR($G371="",$H371=""),"",ROUND($G371*$H371,0))</f>
        <v/>
      </c>
      <c r="J371" s="7"/>
    </row>
    <row r="372" customFormat="false" ht="15" hidden="false" customHeight="true" outlineLevel="0" collapsed="false">
      <c r="A372" s="11"/>
      <c r="B372" s="7"/>
      <c r="C372" s="12" t="str">
        <f aca="false">IF($B372="","",IFERROR(INDEX(거래처마스터!$B$3:$B$102,MATCH($B372,거래처마스터!$A$3:$A$102,0)),"미등록"))</f>
        <v/>
      </c>
      <c r="D372" s="7"/>
      <c r="E372" s="12" t="str">
        <f aca="false">IF($D372="","",IFERROR(INDEX(품목마스터!$B$3:$B$202,MATCH($D372,품목마스터!$A$3:$A$202,0)),"미등록품번"))</f>
        <v/>
      </c>
      <c r="F372" s="12" t="str">
        <f aca="false">IF($D372="","",IFERROR(INDEX(품목마스터!$D$3:$D$202,MATCH($D372,품목마스터!$A$3:$A$202,0)),""))</f>
        <v/>
      </c>
      <c r="G372" s="9"/>
      <c r="H372" s="9"/>
      <c r="I372" s="13" t="str">
        <f aca="false">IF(OR($G372="",$H372=""),"",ROUND($G372*$H372,0))</f>
        <v/>
      </c>
      <c r="J372" s="7"/>
    </row>
    <row r="373" customFormat="false" ht="15" hidden="false" customHeight="true" outlineLevel="0" collapsed="false">
      <c r="A373" s="11"/>
      <c r="B373" s="7"/>
      <c r="C373" s="12" t="str">
        <f aca="false">IF($B373="","",IFERROR(INDEX(거래처마스터!$B$3:$B$102,MATCH($B373,거래처마스터!$A$3:$A$102,0)),"미등록"))</f>
        <v/>
      </c>
      <c r="D373" s="7"/>
      <c r="E373" s="12" t="str">
        <f aca="false">IF($D373="","",IFERROR(INDEX(품목마스터!$B$3:$B$202,MATCH($D373,품목마스터!$A$3:$A$202,0)),"미등록품번"))</f>
        <v/>
      </c>
      <c r="F373" s="12" t="str">
        <f aca="false">IF($D373="","",IFERROR(INDEX(품목마스터!$D$3:$D$202,MATCH($D373,품목마스터!$A$3:$A$202,0)),""))</f>
        <v/>
      </c>
      <c r="G373" s="9"/>
      <c r="H373" s="9"/>
      <c r="I373" s="13" t="str">
        <f aca="false">IF(OR($G373="",$H373=""),"",ROUND($G373*$H373,0))</f>
        <v/>
      </c>
      <c r="J373" s="7"/>
    </row>
    <row r="374" customFormat="false" ht="15" hidden="false" customHeight="true" outlineLevel="0" collapsed="false">
      <c r="A374" s="11"/>
      <c r="B374" s="7"/>
      <c r="C374" s="12" t="str">
        <f aca="false">IF($B374="","",IFERROR(INDEX(거래처마스터!$B$3:$B$102,MATCH($B374,거래처마스터!$A$3:$A$102,0)),"미등록"))</f>
        <v/>
      </c>
      <c r="D374" s="7"/>
      <c r="E374" s="12" t="str">
        <f aca="false">IF($D374="","",IFERROR(INDEX(품목마스터!$B$3:$B$202,MATCH($D374,품목마스터!$A$3:$A$202,0)),"미등록품번"))</f>
        <v/>
      </c>
      <c r="F374" s="12" t="str">
        <f aca="false">IF($D374="","",IFERROR(INDEX(품목마스터!$D$3:$D$202,MATCH($D374,품목마스터!$A$3:$A$202,0)),""))</f>
        <v/>
      </c>
      <c r="G374" s="9"/>
      <c r="H374" s="9"/>
      <c r="I374" s="13" t="str">
        <f aca="false">IF(OR($G374="",$H374=""),"",ROUND($G374*$H374,0))</f>
        <v/>
      </c>
      <c r="J374" s="7"/>
    </row>
    <row r="375" customFormat="false" ht="15" hidden="false" customHeight="true" outlineLevel="0" collapsed="false">
      <c r="A375" s="11"/>
      <c r="B375" s="7"/>
      <c r="C375" s="12" t="str">
        <f aca="false">IF($B375="","",IFERROR(INDEX(거래처마스터!$B$3:$B$102,MATCH($B375,거래처마스터!$A$3:$A$102,0)),"미등록"))</f>
        <v/>
      </c>
      <c r="D375" s="7"/>
      <c r="E375" s="12" t="str">
        <f aca="false">IF($D375="","",IFERROR(INDEX(품목마스터!$B$3:$B$202,MATCH($D375,품목마스터!$A$3:$A$202,0)),"미등록품번"))</f>
        <v/>
      </c>
      <c r="F375" s="12" t="str">
        <f aca="false">IF($D375="","",IFERROR(INDEX(품목마스터!$D$3:$D$202,MATCH($D375,품목마스터!$A$3:$A$202,0)),""))</f>
        <v/>
      </c>
      <c r="G375" s="9"/>
      <c r="H375" s="9"/>
      <c r="I375" s="13" t="str">
        <f aca="false">IF(OR($G375="",$H375=""),"",ROUND($G375*$H375,0))</f>
        <v/>
      </c>
      <c r="J375" s="7"/>
    </row>
    <row r="376" customFormat="false" ht="15" hidden="false" customHeight="true" outlineLevel="0" collapsed="false">
      <c r="A376" s="11"/>
      <c r="B376" s="7"/>
      <c r="C376" s="12" t="str">
        <f aca="false">IF($B376="","",IFERROR(INDEX(거래처마스터!$B$3:$B$102,MATCH($B376,거래처마스터!$A$3:$A$102,0)),"미등록"))</f>
        <v/>
      </c>
      <c r="D376" s="7"/>
      <c r="E376" s="12" t="str">
        <f aca="false">IF($D376="","",IFERROR(INDEX(품목마스터!$B$3:$B$202,MATCH($D376,품목마스터!$A$3:$A$202,0)),"미등록품번"))</f>
        <v/>
      </c>
      <c r="F376" s="12" t="str">
        <f aca="false">IF($D376="","",IFERROR(INDEX(품목마스터!$D$3:$D$202,MATCH($D376,품목마스터!$A$3:$A$202,0)),""))</f>
        <v/>
      </c>
      <c r="G376" s="9"/>
      <c r="H376" s="9"/>
      <c r="I376" s="13" t="str">
        <f aca="false">IF(OR($G376="",$H376=""),"",ROUND($G376*$H376,0))</f>
        <v/>
      </c>
      <c r="J376" s="7"/>
    </row>
    <row r="377" customFormat="false" ht="15" hidden="false" customHeight="true" outlineLevel="0" collapsed="false">
      <c r="A377" s="11"/>
      <c r="B377" s="7"/>
      <c r="C377" s="12" t="str">
        <f aca="false">IF($B377="","",IFERROR(INDEX(거래처마스터!$B$3:$B$102,MATCH($B377,거래처마스터!$A$3:$A$102,0)),"미등록"))</f>
        <v/>
      </c>
      <c r="D377" s="7"/>
      <c r="E377" s="12" t="str">
        <f aca="false">IF($D377="","",IFERROR(INDEX(품목마스터!$B$3:$B$202,MATCH($D377,품목마스터!$A$3:$A$202,0)),"미등록품번"))</f>
        <v/>
      </c>
      <c r="F377" s="12" t="str">
        <f aca="false">IF($D377="","",IFERROR(INDEX(품목마스터!$D$3:$D$202,MATCH($D377,품목마스터!$A$3:$A$202,0)),""))</f>
        <v/>
      </c>
      <c r="G377" s="9"/>
      <c r="H377" s="9"/>
      <c r="I377" s="13" t="str">
        <f aca="false">IF(OR($G377="",$H377=""),"",ROUND($G377*$H377,0))</f>
        <v/>
      </c>
      <c r="J377" s="7"/>
    </row>
    <row r="378" customFormat="false" ht="15" hidden="false" customHeight="true" outlineLevel="0" collapsed="false">
      <c r="A378" s="11"/>
      <c r="B378" s="7"/>
      <c r="C378" s="12" t="str">
        <f aca="false">IF($B378="","",IFERROR(INDEX(거래처마스터!$B$3:$B$102,MATCH($B378,거래처마스터!$A$3:$A$102,0)),"미등록"))</f>
        <v/>
      </c>
      <c r="D378" s="7"/>
      <c r="E378" s="12" t="str">
        <f aca="false">IF($D378="","",IFERROR(INDEX(품목마스터!$B$3:$B$202,MATCH($D378,품목마스터!$A$3:$A$202,0)),"미등록품번"))</f>
        <v/>
      </c>
      <c r="F378" s="12" t="str">
        <f aca="false">IF($D378="","",IFERROR(INDEX(품목마스터!$D$3:$D$202,MATCH($D378,품목마스터!$A$3:$A$202,0)),""))</f>
        <v/>
      </c>
      <c r="G378" s="9"/>
      <c r="H378" s="9"/>
      <c r="I378" s="13" t="str">
        <f aca="false">IF(OR($G378="",$H378=""),"",ROUND($G378*$H378,0))</f>
        <v/>
      </c>
      <c r="J378" s="7"/>
    </row>
    <row r="379" customFormat="false" ht="15" hidden="false" customHeight="true" outlineLevel="0" collapsed="false">
      <c r="A379" s="11"/>
      <c r="B379" s="7"/>
      <c r="C379" s="12" t="str">
        <f aca="false">IF($B379="","",IFERROR(INDEX(거래처마스터!$B$3:$B$102,MATCH($B379,거래처마스터!$A$3:$A$102,0)),"미등록"))</f>
        <v/>
      </c>
      <c r="D379" s="7"/>
      <c r="E379" s="12" t="str">
        <f aca="false">IF($D379="","",IFERROR(INDEX(품목마스터!$B$3:$B$202,MATCH($D379,품목마스터!$A$3:$A$202,0)),"미등록품번"))</f>
        <v/>
      </c>
      <c r="F379" s="12" t="str">
        <f aca="false">IF($D379="","",IFERROR(INDEX(품목마스터!$D$3:$D$202,MATCH($D379,품목마스터!$A$3:$A$202,0)),""))</f>
        <v/>
      </c>
      <c r="G379" s="9"/>
      <c r="H379" s="9"/>
      <c r="I379" s="13" t="str">
        <f aca="false">IF(OR($G379="",$H379=""),"",ROUND($G379*$H379,0))</f>
        <v/>
      </c>
      <c r="J379" s="7"/>
    </row>
    <row r="380" customFormat="false" ht="15" hidden="false" customHeight="true" outlineLevel="0" collapsed="false">
      <c r="A380" s="11"/>
      <c r="B380" s="7"/>
      <c r="C380" s="12" t="str">
        <f aca="false">IF($B380="","",IFERROR(INDEX(거래처마스터!$B$3:$B$102,MATCH($B380,거래처마스터!$A$3:$A$102,0)),"미등록"))</f>
        <v/>
      </c>
      <c r="D380" s="7"/>
      <c r="E380" s="12" t="str">
        <f aca="false">IF($D380="","",IFERROR(INDEX(품목마스터!$B$3:$B$202,MATCH($D380,품목마스터!$A$3:$A$202,0)),"미등록품번"))</f>
        <v/>
      </c>
      <c r="F380" s="12" t="str">
        <f aca="false">IF($D380="","",IFERROR(INDEX(품목마스터!$D$3:$D$202,MATCH($D380,품목마스터!$A$3:$A$202,0)),""))</f>
        <v/>
      </c>
      <c r="G380" s="9"/>
      <c r="H380" s="9"/>
      <c r="I380" s="13" t="str">
        <f aca="false">IF(OR($G380="",$H380=""),"",ROUND($G380*$H380,0))</f>
        <v/>
      </c>
      <c r="J380" s="7"/>
    </row>
    <row r="381" customFormat="false" ht="15" hidden="false" customHeight="true" outlineLevel="0" collapsed="false">
      <c r="A381" s="11"/>
      <c r="B381" s="7"/>
      <c r="C381" s="12" t="str">
        <f aca="false">IF($B381="","",IFERROR(INDEX(거래처마스터!$B$3:$B$102,MATCH($B381,거래처마스터!$A$3:$A$102,0)),"미등록"))</f>
        <v/>
      </c>
      <c r="D381" s="7"/>
      <c r="E381" s="12" t="str">
        <f aca="false">IF($D381="","",IFERROR(INDEX(품목마스터!$B$3:$B$202,MATCH($D381,품목마스터!$A$3:$A$202,0)),"미등록품번"))</f>
        <v/>
      </c>
      <c r="F381" s="12" t="str">
        <f aca="false">IF($D381="","",IFERROR(INDEX(품목마스터!$D$3:$D$202,MATCH($D381,품목마스터!$A$3:$A$202,0)),""))</f>
        <v/>
      </c>
      <c r="G381" s="9"/>
      <c r="H381" s="9"/>
      <c r="I381" s="13" t="str">
        <f aca="false">IF(OR($G381="",$H381=""),"",ROUND($G381*$H381,0))</f>
        <v/>
      </c>
      <c r="J381" s="7"/>
    </row>
    <row r="382" customFormat="false" ht="15" hidden="false" customHeight="true" outlineLevel="0" collapsed="false">
      <c r="A382" s="11"/>
      <c r="B382" s="7"/>
      <c r="C382" s="12" t="str">
        <f aca="false">IF($B382="","",IFERROR(INDEX(거래처마스터!$B$3:$B$102,MATCH($B382,거래처마스터!$A$3:$A$102,0)),"미등록"))</f>
        <v/>
      </c>
      <c r="D382" s="7"/>
      <c r="E382" s="12" t="str">
        <f aca="false">IF($D382="","",IFERROR(INDEX(품목마스터!$B$3:$B$202,MATCH($D382,품목마스터!$A$3:$A$202,0)),"미등록품번"))</f>
        <v/>
      </c>
      <c r="F382" s="12" t="str">
        <f aca="false">IF($D382="","",IFERROR(INDEX(품목마스터!$D$3:$D$202,MATCH($D382,품목마스터!$A$3:$A$202,0)),""))</f>
        <v/>
      </c>
      <c r="G382" s="9"/>
      <c r="H382" s="9"/>
      <c r="I382" s="13" t="str">
        <f aca="false">IF(OR($G382="",$H382=""),"",ROUND($G382*$H382,0))</f>
        <v/>
      </c>
      <c r="J382" s="7"/>
    </row>
    <row r="383" customFormat="false" ht="15" hidden="false" customHeight="true" outlineLevel="0" collapsed="false">
      <c r="A383" s="11"/>
      <c r="B383" s="7"/>
      <c r="C383" s="12" t="str">
        <f aca="false">IF($B383="","",IFERROR(INDEX(거래처마스터!$B$3:$B$102,MATCH($B383,거래처마스터!$A$3:$A$102,0)),"미등록"))</f>
        <v/>
      </c>
      <c r="D383" s="7"/>
      <c r="E383" s="12" t="str">
        <f aca="false">IF($D383="","",IFERROR(INDEX(품목마스터!$B$3:$B$202,MATCH($D383,품목마스터!$A$3:$A$202,0)),"미등록품번"))</f>
        <v/>
      </c>
      <c r="F383" s="12" t="str">
        <f aca="false">IF($D383="","",IFERROR(INDEX(품목마스터!$D$3:$D$202,MATCH($D383,품목마스터!$A$3:$A$202,0)),""))</f>
        <v/>
      </c>
      <c r="G383" s="9"/>
      <c r="H383" s="9"/>
      <c r="I383" s="13" t="str">
        <f aca="false">IF(OR($G383="",$H383=""),"",ROUND($G383*$H383,0))</f>
        <v/>
      </c>
      <c r="J383" s="7"/>
    </row>
    <row r="384" customFormat="false" ht="15" hidden="false" customHeight="true" outlineLevel="0" collapsed="false">
      <c r="A384" s="11"/>
      <c r="B384" s="7"/>
      <c r="C384" s="12" t="str">
        <f aca="false">IF($B384="","",IFERROR(INDEX(거래처마스터!$B$3:$B$102,MATCH($B384,거래처마스터!$A$3:$A$102,0)),"미등록"))</f>
        <v/>
      </c>
      <c r="D384" s="7"/>
      <c r="E384" s="12" t="str">
        <f aca="false">IF($D384="","",IFERROR(INDEX(품목마스터!$B$3:$B$202,MATCH($D384,품목마스터!$A$3:$A$202,0)),"미등록품번"))</f>
        <v/>
      </c>
      <c r="F384" s="12" t="str">
        <f aca="false">IF($D384="","",IFERROR(INDEX(품목마스터!$D$3:$D$202,MATCH($D384,품목마스터!$A$3:$A$202,0)),""))</f>
        <v/>
      </c>
      <c r="G384" s="9"/>
      <c r="H384" s="9"/>
      <c r="I384" s="13" t="str">
        <f aca="false">IF(OR($G384="",$H384=""),"",ROUND($G384*$H384,0))</f>
        <v/>
      </c>
      <c r="J384" s="7"/>
    </row>
    <row r="385" customFormat="false" ht="15" hidden="false" customHeight="true" outlineLevel="0" collapsed="false">
      <c r="A385" s="11"/>
      <c r="B385" s="7"/>
      <c r="C385" s="12" t="str">
        <f aca="false">IF($B385="","",IFERROR(INDEX(거래처마스터!$B$3:$B$102,MATCH($B385,거래처마스터!$A$3:$A$102,0)),"미등록"))</f>
        <v/>
      </c>
      <c r="D385" s="7"/>
      <c r="E385" s="12" t="str">
        <f aca="false">IF($D385="","",IFERROR(INDEX(품목마스터!$B$3:$B$202,MATCH($D385,품목마스터!$A$3:$A$202,0)),"미등록품번"))</f>
        <v/>
      </c>
      <c r="F385" s="12" t="str">
        <f aca="false">IF($D385="","",IFERROR(INDEX(품목마스터!$D$3:$D$202,MATCH($D385,품목마스터!$A$3:$A$202,0)),""))</f>
        <v/>
      </c>
      <c r="G385" s="9"/>
      <c r="H385" s="9"/>
      <c r="I385" s="13" t="str">
        <f aca="false">IF(OR($G385="",$H385=""),"",ROUND($G385*$H385,0))</f>
        <v/>
      </c>
      <c r="J385" s="7"/>
    </row>
    <row r="386" customFormat="false" ht="15" hidden="false" customHeight="true" outlineLevel="0" collapsed="false">
      <c r="A386" s="11"/>
      <c r="B386" s="7"/>
      <c r="C386" s="12" t="str">
        <f aca="false">IF($B386="","",IFERROR(INDEX(거래처마스터!$B$3:$B$102,MATCH($B386,거래처마스터!$A$3:$A$102,0)),"미등록"))</f>
        <v/>
      </c>
      <c r="D386" s="7"/>
      <c r="E386" s="12" t="str">
        <f aca="false">IF($D386="","",IFERROR(INDEX(품목마스터!$B$3:$B$202,MATCH($D386,품목마스터!$A$3:$A$202,0)),"미등록품번"))</f>
        <v/>
      </c>
      <c r="F386" s="12" t="str">
        <f aca="false">IF($D386="","",IFERROR(INDEX(품목마스터!$D$3:$D$202,MATCH($D386,품목마스터!$A$3:$A$202,0)),""))</f>
        <v/>
      </c>
      <c r="G386" s="9"/>
      <c r="H386" s="9"/>
      <c r="I386" s="13" t="str">
        <f aca="false">IF(OR($G386="",$H386=""),"",ROUND($G386*$H386,0))</f>
        <v/>
      </c>
      <c r="J386" s="7"/>
    </row>
    <row r="387" customFormat="false" ht="15" hidden="false" customHeight="true" outlineLevel="0" collapsed="false">
      <c r="A387" s="11"/>
      <c r="B387" s="7"/>
      <c r="C387" s="12" t="str">
        <f aca="false">IF($B387="","",IFERROR(INDEX(거래처마스터!$B$3:$B$102,MATCH($B387,거래처마스터!$A$3:$A$102,0)),"미등록"))</f>
        <v/>
      </c>
      <c r="D387" s="7"/>
      <c r="E387" s="12" t="str">
        <f aca="false">IF($D387="","",IFERROR(INDEX(품목마스터!$B$3:$B$202,MATCH($D387,품목마스터!$A$3:$A$202,0)),"미등록품번"))</f>
        <v/>
      </c>
      <c r="F387" s="12" t="str">
        <f aca="false">IF($D387="","",IFERROR(INDEX(품목마스터!$D$3:$D$202,MATCH($D387,품목마스터!$A$3:$A$202,0)),""))</f>
        <v/>
      </c>
      <c r="G387" s="9"/>
      <c r="H387" s="9"/>
      <c r="I387" s="13" t="str">
        <f aca="false">IF(OR($G387="",$H387=""),"",ROUND($G387*$H387,0))</f>
        <v/>
      </c>
      <c r="J387" s="7"/>
    </row>
    <row r="388" customFormat="false" ht="15" hidden="false" customHeight="true" outlineLevel="0" collapsed="false">
      <c r="A388" s="11"/>
      <c r="B388" s="7"/>
      <c r="C388" s="12" t="str">
        <f aca="false">IF($B388="","",IFERROR(INDEX(거래처마스터!$B$3:$B$102,MATCH($B388,거래처마스터!$A$3:$A$102,0)),"미등록"))</f>
        <v/>
      </c>
      <c r="D388" s="7"/>
      <c r="E388" s="12" t="str">
        <f aca="false">IF($D388="","",IFERROR(INDEX(품목마스터!$B$3:$B$202,MATCH($D388,품목마스터!$A$3:$A$202,0)),"미등록품번"))</f>
        <v/>
      </c>
      <c r="F388" s="12" t="str">
        <f aca="false">IF($D388="","",IFERROR(INDEX(품목마스터!$D$3:$D$202,MATCH($D388,품목마스터!$A$3:$A$202,0)),""))</f>
        <v/>
      </c>
      <c r="G388" s="9"/>
      <c r="H388" s="9"/>
      <c r="I388" s="13" t="str">
        <f aca="false">IF(OR($G388="",$H388=""),"",ROUND($G388*$H388,0))</f>
        <v/>
      </c>
      <c r="J388" s="7"/>
    </row>
    <row r="389" customFormat="false" ht="15" hidden="false" customHeight="true" outlineLevel="0" collapsed="false">
      <c r="A389" s="11"/>
      <c r="B389" s="7"/>
      <c r="C389" s="12" t="str">
        <f aca="false">IF($B389="","",IFERROR(INDEX(거래처마스터!$B$3:$B$102,MATCH($B389,거래처마스터!$A$3:$A$102,0)),"미등록"))</f>
        <v/>
      </c>
      <c r="D389" s="7"/>
      <c r="E389" s="12" t="str">
        <f aca="false">IF($D389="","",IFERROR(INDEX(품목마스터!$B$3:$B$202,MATCH($D389,품목마스터!$A$3:$A$202,0)),"미등록품번"))</f>
        <v/>
      </c>
      <c r="F389" s="12" t="str">
        <f aca="false">IF($D389="","",IFERROR(INDEX(품목마스터!$D$3:$D$202,MATCH($D389,품목마스터!$A$3:$A$202,0)),""))</f>
        <v/>
      </c>
      <c r="G389" s="9"/>
      <c r="H389" s="9"/>
      <c r="I389" s="13" t="str">
        <f aca="false">IF(OR($G389="",$H389=""),"",ROUND($G389*$H389,0))</f>
        <v/>
      </c>
      <c r="J389" s="7"/>
    </row>
    <row r="390" customFormat="false" ht="15" hidden="false" customHeight="true" outlineLevel="0" collapsed="false">
      <c r="A390" s="11"/>
      <c r="B390" s="7"/>
      <c r="C390" s="12" t="str">
        <f aca="false">IF($B390="","",IFERROR(INDEX(거래처마스터!$B$3:$B$102,MATCH($B390,거래처마스터!$A$3:$A$102,0)),"미등록"))</f>
        <v/>
      </c>
      <c r="D390" s="7"/>
      <c r="E390" s="12" t="str">
        <f aca="false">IF($D390="","",IFERROR(INDEX(품목마스터!$B$3:$B$202,MATCH($D390,품목마스터!$A$3:$A$202,0)),"미등록품번"))</f>
        <v/>
      </c>
      <c r="F390" s="12" t="str">
        <f aca="false">IF($D390="","",IFERROR(INDEX(품목마스터!$D$3:$D$202,MATCH($D390,품목마스터!$A$3:$A$202,0)),""))</f>
        <v/>
      </c>
      <c r="G390" s="9"/>
      <c r="H390" s="9"/>
      <c r="I390" s="13" t="str">
        <f aca="false">IF(OR($G390="",$H390=""),"",ROUND($G390*$H390,0))</f>
        <v/>
      </c>
      <c r="J390" s="7"/>
    </row>
    <row r="391" customFormat="false" ht="15" hidden="false" customHeight="true" outlineLevel="0" collapsed="false">
      <c r="A391" s="11"/>
      <c r="B391" s="7"/>
      <c r="C391" s="12" t="str">
        <f aca="false">IF($B391="","",IFERROR(INDEX(거래처마스터!$B$3:$B$102,MATCH($B391,거래처마스터!$A$3:$A$102,0)),"미등록"))</f>
        <v/>
      </c>
      <c r="D391" s="7"/>
      <c r="E391" s="12" t="str">
        <f aca="false">IF($D391="","",IFERROR(INDEX(품목마스터!$B$3:$B$202,MATCH($D391,품목마스터!$A$3:$A$202,0)),"미등록품번"))</f>
        <v/>
      </c>
      <c r="F391" s="12" t="str">
        <f aca="false">IF($D391="","",IFERROR(INDEX(품목마스터!$D$3:$D$202,MATCH($D391,품목마스터!$A$3:$A$202,0)),""))</f>
        <v/>
      </c>
      <c r="G391" s="9"/>
      <c r="H391" s="9"/>
      <c r="I391" s="13" t="str">
        <f aca="false">IF(OR($G391="",$H391=""),"",ROUND($G391*$H391,0))</f>
        <v/>
      </c>
      <c r="J391" s="7"/>
    </row>
    <row r="392" customFormat="false" ht="15" hidden="false" customHeight="true" outlineLevel="0" collapsed="false">
      <c r="A392" s="11"/>
      <c r="B392" s="7"/>
      <c r="C392" s="12" t="str">
        <f aca="false">IF($B392="","",IFERROR(INDEX(거래처마스터!$B$3:$B$102,MATCH($B392,거래처마스터!$A$3:$A$102,0)),"미등록"))</f>
        <v/>
      </c>
      <c r="D392" s="7"/>
      <c r="E392" s="12" t="str">
        <f aca="false">IF($D392="","",IFERROR(INDEX(품목마스터!$B$3:$B$202,MATCH($D392,품목마스터!$A$3:$A$202,0)),"미등록품번"))</f>
        <v/>
      </c>
      <c r="F392" s="12" t="str">
        <f aca="false">IF($D392="","",IFERROR(INDEX(품목마스터!$D$3:$D$202,MATCH($D392,품목마스터!$A$3:$A$202,0)),""))</f>
        <v/>
      </c>
      <c r="G392" s="9"/>
      <c r="H392" s="9"/>
      <c r="I392" s="13" t="str">
        <f aca="false">IF(OR($G392="",$H392=""),"",ROUND($G392*$H392,0))</f>
        <v/>
      </c>
      <c r="J392" s="7"/>
    </row>
    <row r="393" customFormat="false" ht="15" hidden="false" customHeight="true" outlineLevel="0" collapsed="false">
      <c r="A393" s="11"/>
      <c r="B393" s="7"/>
      <c r="C393" s="12" t="str">
        <f aca="false">IF($B393="","",IFERROR(INDEX(거래처마스터!$B$3:$B$102,MATCH($B393,거래처마스터!$A$3:$A$102,0)),"미등록"))</f>
        <v/>
      </c>
      <c r="D393" s="7"/>
      <c r="E393" s="12" t="str">
        <f aca="false">IF($D393="","",IFERROR(INDEX(품목마스터!$B$3:$B$202,MATCH($D393,품목마스터!$A$3:$A$202,0)),"미등록품번"))</f>
        <v/>
      </c>
      <c r="F393" s="12" t="str">
        <f aca="false">IF($D393="","",IFERROR(INDEX(품목마스터!$D$3:$D$202,MATCH($D393,품목마스터!$A$3:$A$202,0)),""))</f>
        <v/>
      </c>
      <c r="G393" s="9"/>
      <c r="H393" s="9"/>
      <c r="I393" s="13" t="str">
        <f aca="false">IF(OR($G393="",$H393=""),"",ROUND($G393*$H393,0))</f>
        <v/>
      </c>
      <c r="J393" s="7"/>
    </row>
    <row r="394" customFormat="false" ht="15" hidden="false" customHeight="true" outlineLevel="0" collapsed="false">
      <c r="A394" s="11"/>
      <c r="B394" s="7"/>
      <c r="C394" s="12" t="str">
        <f aca="false">IF($B394="","",IFERROR(INDEX(거래처마스터!$B$3:$B$102,MATCH($B394,거래처마스터!$A$3:$A$102,0)),"미등록"))</f>
        <v/>
      </c>
      <c r="D394" s="7"/>
      <c r="E394" s="12" t="str">
        <f aca="false">IF($D394="","",IFERROR(INDEX(품목마스터!$B$3:$B$202,MATCH($D394,품목마스터!$A$3:$A$202,0)),"미등록품번"))</f>
        <v/>
      </c>
      <c r="F394" s="12" t="str">
        <f aca="false">IF($D394="","",IFERROR(INDEX(품목마스터!$D$3:$D$202,MATCH($D394,품목마스터!$A$3:$A$202,0)),""))</f>
        <v/>
      </c>
      <c r="G394" s="9"/>
      <c r="H394" s="9"/>
      <c r="I394" s="13" t="str">
        <f aca="false">IF(OR($G394="",$H394=""),"",ROUND($G394*$H394,0))</f>
        <v/>
      </c>
      <c r="J394" s="7"/>
    </row>
    <row r="395" customFormat="false" ht="15" hidden="false" customHeight="true" outlineLevel="0" collapsed="false">
      <c r="A395" s="11"/>
      <c r="B395" s="7"/>
      <c r="C395" s="12" t="str">
        <f aca="false">IF($B395="","",IFERROR(INDEX(거래처마스터!$B$3:$B$102,MATCH($B395,거래처마스터!$A$3:$A$102,0)),"미등록"))</f>
        <v/>
      </c>
      <c r="D395" s="7"/>
      <c r="E395" s="12" t="str">
        <f aca="false">IF($D395="","",IFERROR(INDEX(품목마스터!$B$3:$B$202,MATCH($D395,품목마스터!$A$3:$A$202,0)),"미등록품번"))</f>
        <v/>
      </c>
      <c r="F395" s="12" t="str">
        <f aca="false">IF($D395="","",IFERROR(INDEX(품목마스터!$D$3:$D$202,MATCH($D395,품목마스터!$A$3:$A$202,0)),""))</f>
        <v/>
      </c>
      <c r="G395" s="9"/>
      <c r="H395" s="9"/>
      <c r="I395" s="13" t="str">
        <f aca="false">IF(OR($G395="",$H395=""),"",ROUND($G395*$H395,0))</f>
        <v/>
      </c>
      <c r="J395" s="7"/>
    </row>
    <row r="396" customFormat="false" ht="15" hidden="false" customHeight="true" outlineLevel="0" collapsed="false">
      <c r="A396" s="11"/>
      <c r="B396" s="7"/>
      <c r="C396" s="12" t="str">
        <f aca="false">IF($B396="","",IFERROR(INDEX(거래처마스터!$B$3:$B$102,MATCH($B396,거래처마스터!$A$3:$A$102,0)),"미등록"))</f>
        <v/>
      </c>
      <c r="D396" s="7"/>
      <c r="E396" s="12" t="str">
        <f aca="false">IF($D396="","",IFERROR(INDEX(품목마스터!$B$3:$B$202,MATCH($D396,품목마스터!$A$3:$A$202,0)),"미등록품번"))</f>
        <v/>
      </c>
      <c r="F396" s="12" t="str">
        <f aca="false">IF($D396="","",IFERROR(INDEX(품목마스터!$D$3:$D$202,MATCH($D396,품목마스터!$A$3:$A$202,0)),""))</f>
        <v/>
      </c>
      <c r="G396" s="9"/>
      <c r="H396" s="9"/>
      <c r="I396" s="13" t="str">
        <f aca="false">IF(OR($G396="",$H396=""),"",ROUND($G396*$H396,0))</f>
        <v/>
      </c>
      <c r="J396" s="7"/>
    </row>
    <row r="397" customFormat="false" ht="15" hidden="false" customHeight="true" outlineLevel="0" collapsed="false">
      <c r="A397" s="11"/>
      <c r="B397" s="7"/>
      <c r="C397" s="12" t="str">
        <f aca="false">IF($B397="","",IFERROR(INDEX(거래처마스터!$B$3:$B$102,MATCH($B397,거래처마스터!$A$3:$A$102,0)),"미등록"))</f>
        <v/>
      </c>
      <c r="D397" s="7"/>
      <c r="E397" s="12" t="str">
        <f aca="false">IF($D397="","",IFERROR(INDEX(품목마스터!$B$3:$B$202,MATCH($D397,품목마스터!$A$3:$A$202,0)),"미등록품번"))</f>
        <v/>
      </c>
      <c r="F397" s="12" t="str">
        <f aca="false">IF($D397="","",IFERROR(INDEX(품목마스터!$D$3:$D$202,MATCH($D397,품목마스터!$A$3:$A$202,0)),""))</f>
        <v/>
      </c>
      <c r="G397" s="9"/>
      <c r="H397" s="9"/>
      <c r="I397" s="13" t="str">
        <f aca="false">IF(OR($G397="",$H397=""),"",ROUND($G397*$H397,0))</f>
        <v/>
      </c>
      <c r="J397" s="7"/>
    </row>
    <row r="398" customFormat="false" ht="15" hidden="false" customHeight="true" outlineLevel="0" collapsed="false">
      <c r="A398" s="11"/>
      <c r="B398" s="7"/>
      <c r="C398" s="12" t="str">
        <f aca="false">IF($B398="","",IFERROR(INDEX(거래처마스터!$B$3:$B$102,MATCH($B398,거래처마스터!$A$3:$A$102,0)),"미등록"))</f>
        <v/>
      </c>
      <c r="D398" s="7"/>
      <c r="E398" s="12" t="str">
        <f aca="false">IF($D398="","",IFERROR(INDEX(품목마스터!$B$3:$B$202,MATCH($D398,품목마스터!$A$3:$A$202,0)),"미등록품번"))</f>
        <v/>
      </c>
      <c r="F398" s="12" t="str">
        <f aca="false">IF($D398="","",IFERROR(INDEX(품목마스터!$D$3:$D$202,MATCH($D398,품목마스터!$A$3:$A$202,0)),""))</f>
        <v/>
      </c>
      <c r="G398" s="9"/>
      <c r="H398" s="9"/>
      <c r="I398" s="13" t="str">
        <f aca="false">IF(OR($G398="",$H398=""),"",ROUND($G398*$H398,0))</f>
        <v/>
      </c>
      <c r="J398" s="7"/>
    </row>
    <row r="399" customFormat="false" ht="15" hidden="false" customHeight="true" outlineLevel="0" collapsed="false">
      <c r="A399" s="11"/>
      <c r="B399" s="7"/>
      <c r="C399" s="12" t="str">
        <f aca="false">IF($B399="","",IFERROR(INDEX(거래처마스터!$B$3:$B$102,MATCH($B399,거래처마스터!$A$3:$A$102,0)),"미등록"))</f>
        <v/>
      </c>
      <c r="D399" s="7"/>
      <c r="E399" s="12" t="str">
        <f aca="false">IF($D399="","",IFERROR(INDEX(품목마스터!$B$3:$B$202,MATCH($D399,품목마스터!$A$3:$A$202,0)),"미등록품번"))</f>
        <v/>
      </c>
      <c r="F399" s="12" t="str">
        <f aca="false">IF($D399="","",IFERROR(INDEX(품목마스터!$D$3:$D$202,MATCH($D399,품목마스터!$A$3:$A$202,0)),""))</f>
        <v/>
      </c>
      <c r="G399" s="9"/>
      <c r="H399" s="9"/>
      <c r="I399" s="13" t="str">
        <f aca="false">IF(OR($G399="",$H399=""),"",ROUND($G399*$H399,0))</f>
        <v/>
      </c>
      <c r="J399" s="7"/>
    </row>
    <row r="400" customFormat="false" ht="15" hidden="false" customHeight="true" outlineLevel="0" collapsed="false">
      <c r="A400" s="11"/>
      <c r="B400" s="7"/>
      <c r="C400" s="12" t="str">
        <f aca="false">IF($B400="","",IFERROR(INDEX(거래처마스터!$B$3:$B$102,MATCH($B400,거래처마스터!$A$3:$A$102,0)),"미등록"))</f>
        <v/>
      </c>
      <c r="D400" s="7"/>
      <c r="E400" s="12" t="str">
        <f aca="false">IF($D400="","",IFERROR(INDEX(품목마스터!$B$3:$B$202,MATCH($D400,품목마스터!$A$3:$A$202,0)),"미등록품번"))</f>
        <v/>
      </c>
      <c r="F400" s="12" t="str">
        <f aca="false">IF($D400="","",IFERROR(INDEX(품목마스터!$D$3:$D$202,MATCH($D400,품목마스터!$A$3:$A$202,0)),""))</f>
        <v/>
      </c>
      <c r="G400" s="9"/>
      <c r="H400" s="9"/>
      <c r="I400" s="13" t="str">
        <f aca="false">IF(OR($G400="",$H400=""),"",ROUND($G400*$H400,0))</f>
        <v/>
      </c>
      <c r="J400" s="7"/>
    </row>
    <row r="401" customFormat="false" ht="15" hidden="false" customHeight="true" outlineLevel="0" collapsed="false">
      <c r="A401" s="11"/>
      <c r="B401" s="7"/>
      <c r="C401" s="12" t="str">
        <f aca="false">IF($B401="","",IFERROR(INDEX(거래처마스터!$B$3:$B$102,MATCH($B401,거래처마스터!$A$3:$A$102,0)),"미등록"))</f>
        <v/>
      </c>
      <c r="D401" s="7"/>
      <c r="E401" s="12" t="str">
        <f aca="false">IF($D401="","",IFERROR(INDEX(품목마스터!$B$3:$B$202,MATCH($D401,품목마스터!$A$3:$A$202,0)),"미등록품번"))</f>
        <v/>
      </c>
      <c r="F401" s="12" t="str">
        <f aca="false">IF($D401="","",IFERROR(INDEX(품목마스터!$D$3:$D$202,MATCH($D401,품목마스터!$A$3:$A$202,0)),""))</f>
        <v/>
      </c>
      <c r="G401" s="9"/>
      <c r="H401" s="9"/>
      <c r="I401" s="13" t="str">
        <f aca="false">IF(OR($G401="",$H401=""),"",ROUND($G401*$H401,0))</f>
        <v/>
      </c>
      <c r="J401" s="7"/>
    </row>
    <row r="402" customFormat="false" ht="15" hidden="false" customHeight="true" outlineLevel="0" collapsed="false">
      <c r="A402" s="11"/>
      <c r="B402" s="7"/>
      <c r="C402" s="12" t="str">
        <f aca="false">IF($B402="","",IFERROR(INDEX(거래처마스터!$B$3:$B$102,MATCH($B402,거래처마스터!$A$3:$A$102,0)),"미등록"))</f>
        <v/>
      </c>
      <c r="D402" s="7"/>
      <c r="E402" s="12" t="str">
        <f aca="false">IF($D402="","",IFERROR(INDEX(품목마스터!$B$3:$B$202,MATCH($D402,품목마스터!$A$3:$A$202,0)),"미등록품번"))</f>
        <v/>
      </c>
      <c r="F402" s="12" t="str">
        <f aca="false">IF($D402="","",IFERROR(INDEX(품목마스터!$D$3:$D$202,MATCH($D402,품목마스터!$A$3:$A$202,0)),""))</f>
        <v/>
      </c>
      <c r="G402" s="9"/>
      <c r="H402" s="9"/>
      <c r="I402" s="13" t="str">
        <f aca="false">IF(OR($G402="",$H402=""),"",ROUND($G402*$H402,0))</f>
        <v/>
      </c>
      <c r="J402" s="7"/>
    </row>
    <row r="403" customFormat="false" ht="15" hidden="false" customHeight="true" outlineLevel="0" collapsed="false">
      <c r="A403" s="11"/>
      <c r="B403" s="7"/>
      <c r="C403" s="12" t="str">
        <f aca="false">IF($B403="","",IFERROR(INDEX(거래처마스터!$B$3:$B$102,MATCH($B403,거래처마스터!$A$3:$A$102,0)),"미등록"))</f>
        <v/>
      </c>
      <c r="D403" s="7"/>
      <c r="E403" s="12" t="str">
        <f aca="false">IF($D403="","",IFERROR(INDEX(품목마스터!$B$3:$B$202,MATCH($D403,품목마스터!$A$3:$A$202,0)),"미등록품번"))</f>
        <v/>
      </c>
      <c r="F403" s="12" t="str">
        <f aca="false">IF($D403="","",IFERROR(INDEX(품목마스터!$D$3:$D$202,MATCH($D403,품목마스터!$A$3:$A$202,0)),""))</f>
        <v/>
      </c>
      <c r="G403" s="9"/>
      <c r="H403" s="9"/>
      <c r="I403" s="13" t="str">
        <f aca="false">IF(OR($G403="",$H403=""),"",ROUND($G403*$H403,0))</f>
        <v/>
      </c>
      <c r="J403" s="7"/>
    </row>
    <row r="404" customFormat="false" ht="15" hidden="false" customHeight="true" outlineLevel="0" collapsed="false">
      <c r="A404" s="11"/>
      <c r="B404" s="7"/>
      <c r="C404" s="12" t="str">
        <f aca="false">IF($B404="","",IFERROR(INDEX(거래처마스터!$B$3:$B$102,MATCH($B404,거래처마스터!$A$3:$A$102,0)),"미등록"))</f>
        <v/>
      </c>
      <c r="D404" s="7"/>
      <c r="E404" s="12" t="str">
        <f aca="false">IF($D404="","",IFERROR(INDEX(품목마스터!$B$3:$B$202,MATCH($D404,품목마스터!$A$3:$A$202,0)),"미등록품번"))</f>
        <v/>
      </c>
      <c r="F404" s="12" t="str">
        <f aca="false">IF($D404="","",IFERROR(INDEX(품목마스터!$D$3:$D$202,MATCH($D404,품목마스터!$A$3:$A$202,0)),""))</f>
        <v/>
      </c>
      <c r="G404" s="9"/>
      <c r="H404" s="9"/>
      <c r="I404" s="13" t="str">
        <f aca="false">IF(OR($G404="",$H404=""),"",ROUND($G404*$H404,0))</f>
        <v/>
      </c>
      <c r="J404" s="7"/>
    </row>
    <row r="405" customFormat="false" ht="15" hidden="false" customHeight="true" outlineLevel="0" collapsed="false">
      <c r="A405" s="11"/>
      <c r="B405" s="7"/>
      <c r="C405" s="12" t="str">
        <f aca="false">IF($B405="","",IFERROR(INDEX(거래처마스터!$B$3:$B$102,MATCH($B405,거래처마스터!$A$3:$A$102,0)),"미등록"))</f>
        <v/>
      </c>
      <c r="D405" s="7"/>
      <c r="E405" s="12" t="str">
        <f aca="false">IF($D405="","",IFERROR(INDEX(품목마스터!$B$3:$B$202,MATCH($D405,품목마스터!$A$3:$A$202,0)),"미등록품번"))</f>
        <v/>
      </c>
      <c r="F405" s="12" t="str">
        <f aca="false">IF($D405="","",IFERROR(INDEX(품목마스터!$D$3:$D$202,MATCH($D405,품목마스터!$A$3:$A$202,0)),""))</f>
        <v/>
      </c>
      <c r="G405" s="9"/>
      <c r="H405" s="9"/>
      <c r="I405" s="13" t="str">
        <f aca="false">IF(OR($G405="",$H405=""),"",ROUND($G405*$H405,0))</f>
        <v/>
      </c>
      <c r="J405" s="7"/>
    </row>
    <row r="406" customFormat="false" ht="15" hidden="false" customHeight="true" outlineLevel="0" collapsed="false">
      <c r="A406" s="11"/>
      <c r="B406" s="7"/>
      <c r="C406" s="12" t="str">
        <f aca="false">IF($B406="","",IFERROR(INDEX(거래처마스터!$B$3:$B$102,MATCH($B406,거래처마스터!$A$3:$A$102,0)),"미등록"))</f>
        <v/>
      </c>
      <c r="D406" s="7"/>
      <c r="E406" s="12" t="str">
        <f aca="false">IF($D406="","",IFERROR(INDEX(품목마스터!$B$3:$B$202,MATCH($D406,품목마스터!$A$3:$A$202,0)),"미등록품번"))</f>
        <v/>
      </c>
      <c r="F406" s="12" t="str">
        <f aca="false">IF($D406="","",IFERROR(INDEX(품목마스터!$D$3:$D$202,MATCH($D406,품목마스터!$A$3:$A$202,0)),""))</f>
        <v/>
      </c>
      <c r="G406" s="9"/>
      <c r="H406" s="9"/>
      <c r="I406" s="13" t="str">
        <f aca="false">IF(OR($G406="",$H406=""),"",ROUND($G406*$H406,0))</f>
        <v/>
      </c>
      <c r="J406" s="7"/>
    </row>
    <row r="407" customFormat="false" ht="15" hidden="false" customHeight="true" outlineLevel="0" collapsed="false">
      <c r="A407" s="11"/>
      <c r="B407" s="7"/>
      <c r="C407" s="12" t="str">
        <f aca="false">IF($B407="","",IFERROR(INDEX(거래처마스터!$B$3:$B$102,MATCH($B407,거래처마스터!$A$3:$A$102,0)),"미등록"))</f>
        <v/>
      </c>
      <c r="D407" s="7"/>
      <c r="E407" s="12" t="str">
        <f aca="false">IF($D407="","",IFERROR(INDEX(품목마스터!$B$3:$B$202,MATCH($D407,품목마스터!$A$3:$A$202,0)),"미등록품번"))</f>
        <v/>
      </c>
      <c r="F407" s="12" t="str">
        <f aca="false">IF($D407="","",IFERROR(INDEX(품목마스터!$D$3:$D$202,MATCH($D407,품목마스터!$A$3:$A$202,0)),""))</f>
        <v/>
      </c>
      <c r="G407" s="9"/>
      <c r="H407" s="9"/>
      <c r="I407" s="13" t="str">
        <f aca="false">IF(OR($G407="",$H407=""),"",ROUND($G407*$H407,0))</f>
        <v/>
      </c>
      <c r="J407" s="7"/>
    </row>
    <row r="408" customFormat="false" ht="15" hidden="false" customHeight="true" outlineLevel="0" collapsed="false">
      <c r="A408" s="11"/>
      <c r="B408" s="7"/>
      <c r="C408" s="12" t="str">
        <f aca="false">IF($B408="","",IFERROR(INDEX(거래처마스터!$B$3:$B$102,MATCH($B408,거래처마스터!$A$3:$A$102,0)),"미등록"))</f>
        <v/>
      </c>
      <c r="D408" s="7"/>
      <c r="E408" s="12" t="str">
        <f aca="false">IF($D408="","",IFERROR(INDEX(품목마스터!$B$3:$B$202,MATCH($D408,품목마스터!$A$3:$A$202,0)),"미등록품번"))</f>
        <v/>
      </c>
      <c r="F408" s="12" t="str">
        <f aca="false">IF($D408="","",IFERROR(INDEX(품목마스터!$D$3:$D$202,MATCH($D408,품목마스터!$A$3:$A$202,0)),""))</f>
        <v/>
      </c>
      <c r="G408" s="9"/>
      <c r="H408" s="9"/>
      <c r="I408" s="13" t="str">
        <f aca="false">IF(OR($G408="",$H408=""),"",ROUND($G408*$H408,0))</f>
        <v/>
      </c>
      <c r="J408" s="7"/>
    </row>
    <row r="409" customFormat="false" ht="15" hidden="false" customHeight="true" outlineLevel="0" collapsed="false">
      <c r="A409" s="11"/>
      <c r="B409" s="7"/>
      <c r="C409" s="12" t="str">
        <f aca="false">IF($B409="","",IFERROR(INDEX(거래처마스터!$B$3:$B$102,MATCH($B409,거래처마스터!$A$3:$A$102,0)),"미등록"))</f>
        <v/>
      </c>
      <c r="D409" s="7"/>
      <c r="E409" s="12" t="str">
        <f aca="false">IF($D409="","",IFERROR(INDEX(품목마스터!$B$3:$B$202,MATCH($D409,품목마스터!$A$3:$A$202,0)),"미등록품번"))</f>
        <v/>
      </c>
      <c r="F409" s="12" t="str">
        <f aca="false">IF($D409="","",IFERROR(INDEX(품목마스터!$D$3:$D$202,MATCH($D409,품목마스터!$A$3:$A$202,0)),""))</f>
        <v/>
      </c>
      <c r="G409" s="9"/>
      <c r="H409" s="9"/>
      <c r="I409" s="13" t="str">
        <f aca="false">IF(OR($G409="",$H409=""),"",ROUND($G409*$H409,0))</f>
        <v/>
      </c>
      <c r="J409" s="7"/>
    </row>
    <row r="410" customFormat="false" ht="15" hidden="false" customHeight="true" outlineLevel="0" collapsed="false">
      <c r="A410" s="11"/>
      <c r="B410" s="7"/>
      <c r="C410" s="12" t="str">
        <f aca="false">IF($B410="","",IFERROR(INDEX(거래처마스터!$B$3:$B$102,MATCH($B410,거래처마스터!$A$3:$A$102,0)),"미등록"))</f>
        <v/>
      </c>
      <c r="D410" s="7"/>
      <c r="E410" s="12" t="str">
        <f aca="false">IF($D410="","",IFERROR(INDEX(품목마스터!$B$3:$B$202,MATCH($D410,품목마스터!$A$3:$A$202,0)),"미등록품번"))</f>
        <v/>
      </c>
      <c r="F410" s="12" t="str">
        <f aca="false">IF($D410="","",IFERROR(INDEX(품목마스터!$D$3:$D$202,MATCH($D410,품목마스터!$A$3:$A$202,0)),""))</f>
        <v/>
      </c>
      <c r="G410" s="9"/>
      <c r="H410" s="9"/>
      <c r="I410" s="13" t="str">
        <f aca="false">IF(OR($G410="",$H410=""),"",ROUND($G410*$H410,0))</f>
        <v/>
      </c>
      <c r="J410" s="7"/>
    </row>
    <row r="411" customFormat="false" ht="15" hidden="false" customHeight="true" outlineLevel="0" collapsed="false">
      <c r="A411" s="11"/>
      <c r="B411" s="7"/>
      <c r="C411" s="12" t="str">
        <f aca="false">IF($B411="","",IFERROR(INDEX(거래처마스터!$B$3:$B$102,MATCH($B411,거래처마스터!$A$3:$A$102,0)),"미등록"))</f>
        <v/>
      </c>
      <c r="D411" s="7"/>
      <c r="E411" s="12" t="str">
        <f aca="false">IF($D411="","",IFERROR(INDEX(품목마스터!$B$3:$B$202,MATCH($D411,품목마스터!$A$3:$A$202,0)),"미등록품번"))</f>
        <v/>
      </c>
      <c r="F411" s="12" t="str">
        <f aca="false">IF($D411="","",IFERROR(INDEX(품목마스터!$D$3:$D$202,MATCH($D411,품목마스터!$A$3:$A$202,0)),""))</f>
        <v/>
      </c>
      <c r="G411" s="9"/>
      <c r="H411" s="9"/>
      <c r="I411" s="13" t="str">
        <f aca="false">IF(OR($G411="",$H411=""),"",ROUND($G411*$H411,0))</f>
        <v/>
      </c>
      <c r="J411" s="7"/>
    </row>
    <row r="412" customFormat="false" ht="15" hidden="false" customHeight="true" outlineLevel="0" collapsed="false">
      <c r="A412" s="11"/>
      <c r="B412" s="7"/>
      <c r="C412" s="12" t="str">
        <f aca="false">IF($B412="","",IFERROR(INDEX(거래처마스터!$B$3:$B$102,MATCH($B412,거래처마스터!$A$3:$A$102,0)),"미등록"))</f>
        <v/>
      </c>
      <c r="D412" s="7"/>
      <c r="E412" s="12" t="str">
        <f aca="false">IF($D412="","",IFERROR(INDEX(품목마스터!$B$3:$B$202,MATCH($D412,품목마스터!$A$3:$A$202,0)),"미등록품번"))</f>
        <v/>
      </c>
      <c r="F412" s="12" t="str">
        <f aca="false">IF($D412="","",IFERROR(INDEX(품목마스터!$D$3:$D$202,MATCH($D412,품목마스터!$A$3:$A$202,0)),""))</f>
        <v/>
      </c>
      <c r="G412" s="9"/>
      <c r="H412" s="9"/>
      <c r="I412" s="13" t="str">
        <f aca="false">IF(OR($G412="",$H412=""),"",ROUND($G412*$H412,0))</f>
        <v/>
      </c>
      <c r="J412" s="7"/>
    </row>
    <row r="413" customFormat="false" ht="15" hidden="false" customHeight="true" outlineLevel="0" collapsed="false">
      <c r="A413" s="11"/>
      <c r="B413" s="7"/>
      <c r="C413" s="12" t="str">
        <f aca="false">IF($B413="","",IFERROR(INDEX(거래처마스터!$B$3:$B$102,MATCH($B413,거래처마스터!$A$3:$A$102,0)),"미등록"))</f>
        <v/>
      </c>
      <c r="D413" s="7"/>
      <c r="E413" s="12" t="str">
        <f aca="false">IF($D413="","",IFERROR(INDEX(품목마스터!$B$3:$B$202,MATCH($D413,품목마스터!$A$3:$A$202,0)),"미등록품번"))</f>
        <v/>
      </c>
      <c r="F413" s="12" t="str">
        <f aca="false">IF($D413="","",IFERROR(INDEX(품목마스터!$D$3:$D$202,MATCH($D413,품목마스터!$A$3:$A$202,0)),""))</f>
        <v/>
      </c>
      <c r="G413" s="9"/>
      <c r="H413" s="9"/>
      <c r="I413" s="13" t="str">
        <f aca="false">IF(OR($G413="",$H413=""),"",ROUND($G413*$H413,0))</f>
        <v/>
      </c>
      <c r="J413" s="7"/>
    </row>
    <row r="414" customFormat="false" ht="15" hidden="false" customHeight="true" outlineLevel="0" collapsed="false">
      <c r="A414" s="11"/>
      <c r="B414" s="7"/>
      <c r="C414" s="12" t="str">
        <f aca="false">IF($B414="","",IFERROR(INDEX(거래처마스터!$B$3:$B$102,MATCH($B414,거래처마스터!$A$3:$A$102,0)),"미등록"))</f>
        <v/>
      </c>
      <c r="D414" s="7"/>
      <c r="E414" s="12" t="str">
        <f aca="false">IF($D414="","",IFERROR(INDEX(품목마스터!$B$3:$B$202,MATCH($D414,품목마스터!$A$3:$A$202,0)),"미등록품번"))</f>
        <v/>
      </c>
      <c r="F414" s="12" t="str">
        <f aca="false">IF($D414="","",IFERROR(INDEX(품목마스터!$D$3:$D$202,MATCH($D414,품목마스터!$A$3:$A$202,0)),""))</f>
        <v/>
      </c>
      <c r="G414" s="9"/>
      <c r="H414" s="9"/>
      <c r="I414" s="13" t="str">
        <f aca="false">IF(OR($G414="",$H414=""),"",ROUND($G414*$H414,0))</f>
        <v/>
      </c>
      <c r="J414" s="7"/>
    </row>
    <row r="415" customFormat="false" ht="15" hidden="false" customHeight="true" outlineLevel="0" collapsed="false">
      <c r="A415" s="11"/>
      <c r="B415" s="7"/>
      <c r="C415" s="12" t="str">
        <f aca="false">IF($B415="","",IFERROR(INDEX(거래처마스터!$B$3:$B$102,MATCH($B415,거래처마스터!$A$3:$A$102,0)),"미등록"))</f>
        <v/>
      </c>
      <c r="D415" s="7"/>
      <c r="E415" s="12" t="str">
        <f aca="false">IF($D415="","",IFERROR(INDEX(품목마스터!$B$3:$B$202,MATCH($D415,품목마스터!$A$3:$A$202,0)),"미등록품번"))</f>
        <v/>
      </c>
      <c r="F415" s="12" t="str">
        <f aca="false">IF($D415="","",IFERROR(INDEX(품목마스터!$D$3:$D$202,MATCH($D415,품목마스터!$A$3:$A$202,0)),""))</f>
        <v/>
      </c>
      <c r="G415" s="9"/>
      <c r="H415" s="9"/>
      <c r="I415" s="13" t="str">
        <f aca="false">IF(OR($G415="",$H415=""),"",ROUND($G415*$H415,0))</f>
        <v/>
      </c>
      <c r="J415" s="7"/>
    </row>
    <row r="416" customFormat="false" ht="15" hidden="false" customHeight="true" outlineLevel="0" collapsed="false">
      <c r="A416" s="11"/>
      <c r="B416" s="7"/>
      <c r="C416" s="12" t="str">
        <f aca="false">IF($B416="","",IFERROR(INDEX(거래처마스터!$B$3:$B$102,MATCH($B416,거래처마스터!$A$3:$A$102,0)),"미등록"))</f>
        <v/>
      </c>
      <c r="D416" s="7"/>
      <c r="E416" s="12" t="str">
        <f aca="false">IF($D416="","",IFERROR(INDEX(품목마스터!$B$3:$B$202,MATCH($D416,품목마스터!$A$3:$A$202,0)),"미등록품번"))</f>
        <v/>
      </c>
      <c r="F416" s="12" t="str">
        <f aca="false">IF($D416="","",IFERROR(INDEX(품목마스터!$D$3:$D$202,MATCH($D416,품목마스터!$A$3:$A$202,0)),""))</f>
        <v/>
      </c>
      <c r="G416" s="9"/>
      <c r="H416" s="9"/>
      <c r="I416" s="13" t="str">
        <f aca="false">IF(OR($G416="",$H416=""),"",ROUND($G416*$H416,0))</f>
        <v/>
      </c>
      <c r="J416" s="7"/>
    </row>
    <row r="417" customFormat="false" ht="15" hidden="false" customHeight="true" outlineLevel="0" collapsed="false">
      <c r="A417" s="11"/>
      <c r="B417" s="7"/>
      <c r="C417" s="12" t="str">
        <f aca="false">IF($B417="","",IFERROR(INDEX(거래처마스터!$B$3:$B$102,MATCH($B417,거래처마스터!$A$3:$A$102,0)),"미등록"))</f>
        <v/>
      </c>
      <c r="D417" s="7"/>
      <c r="E417" s="12" t="str">
        <f aca="false">IF($D417="","",IFERROR(INDEX(품목마스터!$B$3:$B$202,MATCH($D417,품목마스터!$A$3:$A$202,0)),"미등록품번"))</f>
        <v/>
      </c>
      <c r="F417" s="12" t="str">
        <f aca="false">IF($D417="","",IFERROR(INDEX(품목마스터!$D$3:$D$202,MATCH($D417,품목마스터!$A$3:$A$202,0)),""))</f>
        <v/>
      </c>
      <c r="G417" s="9"/>
      <c r="H417" s="9"/>
      <c r="I417" s="13" t="str">
        <f aca="false">IF(OR($G417="",$H417=""),"",ROUND($G417*$H417,0))</f>
        <v/>
      </c>
      <c r="J417" s="7"/>
    </row>
    <row r="418" customFormat="false" ht="15" hidden="false" customHeight="true" outlineLevel="0" collapsed="false">
      <c r="A418" s="11"/>
      <c r="B418" s="7"/>
      <c r="C418" s="12" t="str">
        <f aca="false">IF($B418="","",IFERROR(INDEX(거래처마스터!$B$3:$B$102,MATCH($B418,거래처마스터!$A$3:$A$102,0)),"미등록"))</f>
        <v/>
      </c>
      <c r="D418" s="7"/>
      <c r="E418" s="12" t="str">
        <f aca="false">IF($D418="","",IFERROR(INDEX(품목마스터!$B$3:$B$202,MATCH($D418,품목마스터!$A$3:$A$202,0)),"미등록품번"))</f>
        <v/>
      </c>
      <c r="F418" s="12" t="str">
        <f aca="false">IF($D418="","",IFERROR(INDEX(품목마스터!$D$3:$D$202,MATCH($D418,품목마스터!$A$3:$A$202,0)),""))</f>
        <v/>
      </c>
      <c r="G418" s="9"/>
      <c r="H418" s="9"/>
      <c r="I418" s="13" t="str">
        <f aca="false">IF(OR($G418="",$H418=""),"",ROUND($G418*$H418,0))</f>
        <v/>
      </c>
      <c r="J418" s="7"/>
    </row>
    <row r="419" customFormat="false" ht="15" hidden="false" customHeight="true" outlineLevel="0" collapsed="false">
      <c r="A419" s="11"/>
      <c r="B419" s="7"/>
      <c r="C419" s="12" t="str">
        <f aca="false">IF($B419="","",IFERROR(INDEX(거래처마스터!$B$3:$B$102,MATCH($B419,거래처마스터!$A$3:$A$102,0)),"미등록"))</f>
        <v/>
      </c>
      <c r="D419" s="7"/>
      <c r="E419" s="12" t="str">
        <f aca="false">IF($D419="","",IFERROR(INDEX(품목마스터!$B$3:$B$202,MATCH($D419,품목마스터!$A$3:$A$202,0)),"미등록품번"))</f>
        <v/>
      </c>
      <c r="F419" s="12" t="str">
        <f aca="false">IF($D419="","",IFERROR(INDEX(품목마스터!$D$3:$D$202,MATCH($D419,품목마스터!$A$3:$A$202,0)),""))</f>
        <v/>
      </c>
      <c r="G419" s="9"/>
      <c r="H419" s="9"/>
      <c r="I419" s="13" t="str">
        <f aca="false">IF(OR($G419="",$H419=""),"",ROUND($G419*$H419,0))</f>
        <v/>
      </c>
      <c r="J419" s="7"/>
    </row>
    <row r="420" customFormat="false" ht="15" hidden="false" customHeight="true" outlineLevel="0" collapsed="false">
      <c r="A420" s="11"/>
      <c r="B420" s="7"/>
      <c r="C420" s="12" t="str">
        <f aca="false">IF($B420="","",IFERROR(INDEX(거래처마스터!$B$3:$B$102,MATCH($B420,거래처마스터!$A$3:$A$102,0)),"미등록"))</f>
        <v/>
      </c>
      <c r="D420" s="7"/>
      <c r="E420" s="12" t="str">
        <f aca="false">IF($D420="","",IFERROR(INDEX(품목마스터!$B$3:$B$202,MATCH($D420,품목마스터!$A$3:$A$202,0)),"미등록품번"))</f>
        <v/>
      </c>
      <c r="F420" s="12" t="str">
        <f aca="false">IF($D420="","",IFERROR(INDEX(품목마스터!$D$3:$D$202,MATCH($D420,품목마스터!$A$3:$A$202,0)),""))</f>
        <v/>
      </c>
      <c r="G420" s="9"/>
      <c r="H420" s="9"/>
      <c r="I420" s="13" t="str">
        <f aca="false">IF(OR($G420="",$H420=""),"",ROUND($G420*$H420,0))</f>
        <v/>
      </c>
      <c r="J420" s="7"/>
    </row>
    <row r="421" customFormat="false" ht="15" hidden="false" customHeight="true" outlineLevel="0" collapsed="false">
      <c r="A421" s="11"/>
      <c r="B421" s="7"/>
      <c r="C421" s="12" t="str">
        <f aca="false">IF($B421="","",IFERROR(INDEX(거래처마스터!$B$3:$B$102,MATCH($B421,거래처마스터!$A$3:$A$102,0)),"미등록"))</f>
        <v/>
      </c>
      <c r="D421" s="7"/>
      <c r="E421" s="12" t="str">
        <f aca="false">IF($D421="","",IFERROR(INDEX(품목마스터!$B$3:$B$202,MATCH($D421,품목마스터!$A$3:$A$202,0)),"미등록품번"))</f>
        <v/>
      </c>
      <c r="F421" s="12" t="str">
        <f aca="false">IF($D421="","",IFERROR(INDEX(품목마스터!$D$3:$D$202,MATCH($D421,품목마스터!$A$3:$A$202,0)),""))</f>
        <v/>
      </c>
      <c r="G421" s="9"/>
      <c r="H421" s="9"/>
      <c r="I421" s="13" t="str">
        <f aca="false">IF(OR($G421="",$H421=""),"",ROUND($G421*$H421,0))</f>
        <v/>
      </c>
      <c r="J421" s="7"/>
    </row>
    <row r="422" customFormat="false" ht="15" hidden="false" customHeight="true" outlineLevel="0" collapsed="false">
      <c r="A422" s="11"/>
      <c r="B422" s="7"/>
      <c r="C422" s="12" t="str">
        <f aca="false">IF($B422="","",IFERROR(INDEX(거래처마스터!$B$3:$B$102,MATCH($B422,거래처마스터!$A$3:$A$102,0)),"미등록"))</f>
        <v/>
      </c>
      <c r="D422" s="7"/>
      <c r="E422" s="12" t="str">
        <f aca="false">IF($D422="","",IFERROR(INDEX(품목마스터!$B$3:$B$202,MATCH($D422,품목마스터!$A$3:$A$202,0)),"미등록품번"))</f>
        <v/>
      </c>
      <c r="F422" s="12" t="str">
        <f aca="false">IF($D422="","",IFERROR(INDEX(품목마스터!$D$3:$D$202,MATCH($D422,품목마스터!$A$3:$A$202,0)),""))</f>
        <v/>
      </c>
      <c r="G422" s="9"/>
      <c r="H422" s="9"/>
      <c r="I422" s="13" t="str">
        <f aca="false">IF(OR($G422="",$H422=""),"",ROUND($G422*$H422,0))</f>
        <v/>
      </c>
      <c r="J422" s="7"/>
    </row>
    <row r="423" customFormat="false" ht="15" hidden="false" customHeight="true" outlineLevel="0" collapsed="false">
      <c r="A423" s="11"/>
      <c r="B423" s="7"/>
      <c r="C423" s="12" t="str">
        <f aca="false">IF($B423="","",IFERROR(INDEX(거래처마스터!$B$3:$B$102,MATCH($B423,거래처마스터!$A$3:$A$102,0)),"미등록"))</f>
        <v/>
      </c>
      <c r="D423" s="7"/>
      <c r="E423" s="12" t="str">
        <f aca="false">IF($D423="","",IFERROR(INDEX(품목마스터!$B$3:$B$202,MATCH($D423,품목마스터!$A$3:$A$202,0)),"미등록품번"))</f>
        <v/>
      </c>
      <c r="F423" s="12" t="str">
        <f aca="false">IF($D423="","",IFERROR(INDEX(품목마스터!$D$3:$D$202,MATCH($D423,품목마스터!$A$3:$A$202,0)),""))</f>
        <v/>
      </c>
      <c r="G423" s="9"/>
      <c r="H423" s="9"/>
      <c r="I423" s="13" t="str">
        <f aca="false">IF(OR($G423="",$H423=""),"",ROUND($G423*$H423,0))</f>
        <v/>
      </c>
      <c r="J423" s="7"/>
    </row>
    <row r="424" customFormat="false" ht="15" hidden="false" customHeight="true" outlineLevel="0" collapsed="false">
      <c r="A424" s="11"/>
      <c r="B424" s="7"/>
      <c r="C424" s="12" t="str">
        <f aca="false">IF($B424="","",IFERROR(INDEX(거래처마스터!$B$3:$B$102,MATCH($B424,거래처마스터!$A$3:$A$102,0)),"미등록"))</f>
        <v/>
      </c>
      <c r="D424" s="7"/>
      <c r="E424" s="12" t="str">
        <f aca="false">IF($D424="","",IFERROR(INDEX(품목마스터!$B$3:$B$202,MATCH($D424,품목마스터!$A$3:$A$202,0)),"미등록품번"))</f>
        <v/>
      </c>
      <c r="F424" s="12" t="str">
        <f aca="false">IF($D424="","",IFERROR(INDEX(품목마스터!$D$3:$D$202,MATCH($D424,품목마스터!$A$3:$A$202,0)),""))</f>
        <v/>
      </c>
      <c r="G424" s="9"/>
      <c r="H424" s="9"/>
      <c r="I424" s="13" t="str">
        <f aca="false">IF(OR($G424="",$H424=""),"",ROUND($G424*$H424,0))</f>
        <v/>
      </c>
      <c r="J424" s="7"/>
    </row>
    <row r="425" customFormat="false" ht="15" hidden="false" customHeight="true" outlineLevel="0" collapsed="false">
      <c r="A425" s="11"/>
      <c r="B425" s="7"/>
      <c r="C425" s="12" t="str">
        <f aca="false">IF($B425="","",IFERROR(INDEX(거래처마스터!$B$3:$B$102,MATCH($B425,거래처마스터!$A$3:$A$102,0)),"미등록"))</f>
        <v/>
      </c>
      <c r="D425" s="7"/>
      <c r="E425" s="12" t="str">
        <f aca="false">IF($D425="","",IFERROR(INDEX(품목마스터!$B$3:$B$202,MATCH($D425,품목마스터!$A$3:$A$202,0)),"미등록품번"))</f>
        <v/>
      </c>
      <c r="F425" s="12" t="str">
        <f aca="false">IF($D425="","",IFERROR(INDEX(품목마스터!$D$3:$D$202,MATCH($D425,품목마스터!$A$3:$A$202,0)),""))</f>
        <v/>
      </c>
      <c r="G425" s="9"/>
      <c r="H425" s="9"/>
      <c r="I425" s="13" t="str">
        <f aca="false">IF(OR($G425="",$H425=""),"",ROUND($G425*$H425,0))</f>
        <v/>
      </c>
      <c r="J425" s="7"/>
    </row>
    <row r="426" customFormat="false" ht="15" hidden="false" customHeight="true" outlineLevel="0" collapsed="false">
      <c r="A426" s="11"/>
      <c r="B426" s="7"/>
      <c r="C426" s="12" t="str">
        <f aca="false">IF($B426="","",IFERROR(INDEX(거래처마스터!$B$3:$B$102,MATCH($B426,거래처마스터!$A$3:$A$102,0)),"미등록"))</f>
        <v/>
      </c>
      <c r="D426" s="7"/>
      <c r="E426" s="12" t="str">
        <f aca="false">IF($D426="","",IFERROR(INDEX(품목마스터!$B$3:$B$202,MATCH($D426,품목마스터!$A$3:$A$202,0)),"미등록품번"))</f>
        <v/>
      </c>
      <c r="F426" s="12" t="str">
        <f aca="false">IF($D426="","",IFERROR(INDEX(품목마스터!$D$3:$D$202,MATCH($D426,품목마스터!$A$3:$A$202,0)),""))</f>
        <v/>
      </c>
      <c r="G426" s="9"/>
      <c r="H426" s="9"/>
      <c r="I426" s="13" t="str">
        <f aca="false">IF(OR($G426="",$H426=""),"",ROUND($G426*$H426,0))</f>
        <v/>
      </c>
      <c r="J426" s="7"/>
    </row>
    <row r="427" customFormat="false" ht="15" hidden="false" customHeight="true" outlineLevel="0" collapsed="false">
      <c r="A427" s="11"/>
      <c r="B427" s="7"/>
      <c r="C427" s="12" t="str">
        <f aca="false">IF($B427="","",IFERROR(INDEX(거래처마스터!$B$3:$B$102,MATCH($B427,거래처마스터!$A$3:$A$102,0)),"미등록"))</f>
        <v/>
      </c>
      <c r="D427" s="7"/>
      <c r="E427" s="12" t="str">
        <f aca="false">IF($D427="","",IFERROR(INDEX(품목마스터!$B$3:$B$202,MATCH($D427,품목마스터!$A$3:$A$202,0)),"미등록품번"))</f>
        <v/>
      </c>
      <c r="F427" s="12" t="str">
        <f aca="false">IF($D427="","",IFERROR(INDEX(품목마스터!$D$3:$D$202,MATCH($D427,품목마스터!$A$3:$A$202,0)),""))</f>
        <v/>
      </c>
      <c r="G427" s="9"/>
      <c r="H427" s="9"/>
      <c r="I427" s="13" t="str">
        <f aca="false">IF(OR($G427="",$H427=""),"",ROUND($G427*$H427,0))</f>
        <v/>
      </c>
      <c r="J427" s="7"/>
    </row>
    <row r="428" customFormat="false" ht="15" hidden="false" customHeight="true" outlineLevel="0" collapsed="false">
      <c r="A428" s="11"/>
      <c r="B428" s="7"/>
      <c r="C428" s="12" t="str">
        <f aca="false">IF($B428="","",IFERROR(INDEX(거래처마스터!$B$3:$B$102,MATCH($B428,거래처마스터!$A$3:$A$102,0)),"미등록"))</f>
        <v/>
      </c>
      <c r="D428" s="7"/>
      <c r="E428" s="12" t="str">
        <f aca="false">IF($D428="","",IFERROR(INDEX(품목마스터!$B$3:$B$202,MATCH($D428,품목마스터!$A$3:$A$202,0)),"미등록품번"))</f>
        <v/>
      </c>
      <c r="F428" s="12" t="str">
        <f aca="false">IF($D428="","",IFERROR(INDEX(품목마스터!$D$3:$D$202,MATCH($D428,품목마스터!$A$3:$A$202,0)),""))</f>
        <v/>
      </c>
      <c r="G428" s="9"/>
      <c r="H428" s="9"/>
      <c r="I428" s="13" t="str">
        <f aca="false">IF(OR($G428="",$H428=""),"",ROUND($G428*$H428,0))</f>
        <v/>
      </c>
      <c r="J428" s="7"/>
    </row>
    <row r="429" customFormat="false" ht="15" hidden="false" customHeight="true" outlineLevel="0" collapsed="false">
      <c r="A429" s="11"/>
      <c r="B429" s="7"/>
      <c r="C429" s="12" t="str">
        <f aca="false">IF($B429="","",IFERROR(INDEX(거래처마스터!$B$3:$B$102,MATCH($B429,거래처마스터!$A$3:$A$102,0)),"미등록"))</f>
        <v/>
      </c>
      <c r="D429" s="7"/>
      <c r="E429" s="12" t="str">
        <f aca="false">IF($D429="","",IFERROR(INDEX(품목마스터!$B$3:$B$202,MATCH($D429,품목마스터!$A$3:$A$202,0)),"미등록품번"))</f>
        <v/>
      </c>
      <c r="F429" s="12" t="str">
        <f aca="false">IF($D429="","",IFERROR(INDEX(품목마스터!$D$3:$D$202,MATCH($D429,품목마스터!$A$3:$A$202,0)),""))</f>
        <v/>
      </c>
      <c r="G429" s="9"/>
      <c r="H429" s="9"/>
      <c r="I429" s="13" t="str">
        <f aca="false">IF(OR($G429="",$H429=""),"",ROUND($G429*$H429,0))</f>
        <v/>
      </c>
      <c r="J429" s="7"/>
    </row>
    <row r="430" customFormat="false" ht="15" hidden="false" customHeight="true" outlineLevel="0" collapsed="false">
      <c r="A430" s="11"/>
      <c r="B430" s="7"/>
      <c r="C430" s="12" t="str">
        <f aca="false">IF($B430="","",IFERROR(INDEX(거래처마스터!$B$3:$B$102,MATCH($B430,거래처마스터!$A$3:$A$102,0)),"미등록"))</f>
        <v/>
      </c>
      <c r="D430" s="7"/>
      <c r="E430" s="12" t="str">
        <f aca="false">IF($D430="","",IFERROR(INDEX(품목마스터!$B$3:$B$202,MATCH($D430,품목마스터!$A$3:$A$202,0)),"미등록품번"))</f>
        <v/>
      </c>
      <c r="F430" s="12" t="str">
        <f aca="false">IF($D430="","",IFERROR(INDEX(품목마스터!$D$3:$D$202,MATCH($D430,품목마스터!$A$3:$A$202,0)),""))</f>
        <v/>
      </c>
      <c r="G430" s="9"/>
      <c r="H430" s="9"/>
      <c r="I430" s="13" t="str">
        <f aca="false">IF(OR($G430="",$H430=""),"",ROUND($G430*$H430,0))</f>
        <v/>
      </c>
      <c r="J430" s="7"/>
    </row>
    <row r="431" customFormat="false" ht="15" hidden="false" customHeight="true" outlineLevel="0" collapsed="false">
      <c r="A431" s="11"/>
      <c r="B431" s="7"/>
      <c r="C431" s="12" t="str">
        <f aca="false">IF($B431="","",IFERROR(INDEX(거래처마스터!$B$3:$B$102,MATCH($B431,거래처마스터!$A$3:$A$102,0)),"미등록"))</f>
        <v/>
      </c>
      <c r="D431" s="7"/>
      <c r="E431" s="12" t="str">
        <f aca="false">IF($D431="","",IFERROR(INDEX(품목마스터!$B$3:$B$202,MATCH($D431,품목마스터!$A$3:$A$202,0)),"미등록품번"))</f>
        <v/>
      </c>
      <c r="F431" s="12" t="str">
        <f aca="false">IF($D431="","",IFERROR(INDEX(품목마스터!$D$3:$D$202,MATCH($D431,품목마스터!$A$3:$A$202,0)),""))</f>
        <v/>
      </c>
      <c r="G431" s="9"/>
      <c r="H431" s="9"/>
      <c r="I431" s="13" t="str">
        <f aca="false">IF(OR($G431="",$H431=""),"",ROUND($G431*$H431,0))</f>
        <v/>
      </c>
      <c r="J431" s="7"/>
    </row>
    <row r="432" customFormat="false" ht="15" hidden="false" customHeight="true" outlineLevel="0" collapsed="false">
      <c r="A432" s="11"/>
      <c r="B432" s="7"/>
      <c r="C432" s="12" t="str">
        <f aca="false">IF($B432="","",IFERROR(INDEX(거래처마스터!$B$3:$B$102,MATCH($B432,거래처마스터!$A$3:$A$102,0)),"미등록"))</f>
        <v/>
      </c>
      <c r="D432" s="7"/>
      <c r="E432" s="12" t="str">
        <f aca="false">IF($D432="","",IFERROR(INDEX(품목마스터!$B$3:$B$202,MATCH($D432,품목마스터!$A$3:$A$202,0)),"미등록품번"))</f>
        <v/>
      </c>
      <c r="F432" s="12" t="str">
        <f aca="false">IF($D432="","",IFERROR(INDEX(품목마스터!$D$3:$D$202,MATCH($D432,품목마스터!$A$3:$A$202,0)),""))</f>
        <v/>
      </c>
      <c r="G432" s="9"/>
      <c r="H432" s="9"/>
      <c r="I432" s="13" t="str">
        <f aca="false">IF(OR($G432="",$H432=""),"",ROUND($G432*$H432,0))</f>
        <v/>
      </c>
      <c r="J432" s="7"/>
    </row>
    <row r="433" customFormat="false" ht="15" hidden="false" customHeight="true" outlineLevel="0" collapsed="false">
      <c r="A433" s="11"/>
      <c r="B433" s="7"/>
      <c r="C433" s="12" t="str">
        <f aca="false">IF($B433="","",IFERROR(INDEX(거래처마스터!$B$3:$B$102,MATCH($B433,거래처마스터!$A$3:$A$102,0)),"미등록"))</f>
        <v/>
      </c>
      <c r="D433" s="7"/>
      <c r="E433" s="12" t="str">
        <f aca="false">IF($D433="","",IFERROR(INDEX(품목마스터!$B$3:$B$202,MATCH($D433,품목마스터!$A$3:$A$202,0)),"미등록품번"))</f>
        <v/>
      </c>
      <c r="F433" s="12" t="str">
        <f aca="false">IF($D433="","",IFERROR(INDEX(품목마스터!$D$3:$D$202,MATCH($D433,품목마스터!$A$3:$A$202,0)),""))</f>
        <v/>
      </c>
      <c r="G433" s="9"/>
      <c r="H433" s="9"/>
      <c r="I433" s="13" t="str">
        <f aca="false">IF(OR($G433="",$H433=""),"",ROUND($G433*$H433,0))</f>
        <v/>
      </c>
      <c r="J433" s="7"/>
    </row>
    <row r="434" customFormat="false" ht="15" hidden="false" customHeight="true" outlineLevel="0" collapsed="false">
      <c r="A434" s="11"/>
      <c r="B434" s="7"/>
      <c r="C434" s="12" t="str">
        <f aca="false">IF($B434="","",IFERROR(INDEX(거래처마스터!$B$3:$B$102,MATCH($B434,거래처마스터!$A$3:$A$102,0)),"미등록"))</f>
        <v/>
      </c>
      <c r="D434" s="7"/>
      <c r="E434" s="12" t="str">
        <f aca="false">IF($D434="","",IFERROR(INDEX(품목마스터!$B$3:$B$202,MATCH($D434,품목마스터!$A$3:$A$202,0)),"미등록품번"))</f>
        <v/>
      </c>
      <c r="F434" s="12" t="str">
        <f aca="false">IF($D434="","",IFERROR(INDEX(품목마스터!$D$3:$D$202,MATCH($D434,품목마스터!$A$3:$A$202,0)),""))</f>
        <v/>
      </c>
      <c r="G434" s="9"/>
      <c r="H434" s="9"/>
      <c r="I434" s="13" t="str">
        <f aca="false">IF(OR($G434="",$H434=""),"",ROUND($G434*$H434,0))</f>
        <v/>
      </c>
      <c r="J434" s="7"/>
    </row>
    <row r="435" customFormat="false" ht="15" hidden="false" customHeight="true" outlineLevel="0" collapsed="false">
      <c r="A435" s="11"/>
      <c r="B435" s="7"/>
      <c r="C435" s="12" t="str">
        <f aca="false">IF($B435="","",IFERROR(INDEX(거래처마스터!$B$3:$B$102,MATCH($B435,거래처마스터!$A$3:$A$102,0)),"미등록"))</f>
        <v/>
      </c>
      <c r="D435" s="7"/>
      <c r="E435" s="12" t="str">
        <f aca="false">IF($D435="","",IFERROR(INDEX(품목마스터!$B$3:$B$202,MATCH($D435,품목마스터!$A$3:$A$202,0)),"미등록품번"))</f>
        <v/>
      </c>
      <c r="F435" s="12" t="str">
        <f aca="false">IF($D435="","",IFERROR(INDEX(품목마스터!$D$3:$D$202,MATCH($D435,품목마스터!$A$3:$A$202,0)),""))</f>
        <v/>
      </c>
      <c r="G435" s="9"/>
      <c r="H435" s="9"/>
      <c r="I435" s="13" t="str">
        <f aca="false">IF(OR($G435="",$H435=""),"",ROUND($G435*$H435,0))</f>
        <v/>
      </c>
      <c r="J435" s="7"/>
    </row>
    <row r="436" customFormat="false" ht="15" hidden="false" customHeight="true" outlineLevel="0" collapsed="false">
      <c r="A436" s="11"/>
      <c r="B436" s="7"/>
      <c r="C436" s="12" t="str">
        <f aca="false">IF($B436="","",IFERROR(INDEX(거래처마스터!$B$3:$B$102,MATCH($B436,거래처마스터!$A$3:$A$102,0)),"미등록"))</f>
        <v/>
      </c>
      <c r="D436" s="7"/>
      <c r="E436" s="12" t="str">
        <f aca="false">IF($D436="","",IFERROR(INDEX(품목마스터!$B$3:$B$202,MATCH($D436,품목마스터!$A$3:$A$202,0)),"미등록품번"))</f>
        <v/>
      </c>
      <c r="F436" s="12" t="str">
        <f aca="false">IF($D436="","",IFERROR(INDEX(품목마스터!$D$3:$D$202,MATCH($D436,품목마스터!$A$3:$A$202,0)),""))</f>
        <v/>
      </c>
      <c r="G436" s="9"/>
      <c r="H436" s="9"/>
      <c r="I436" s="13" t="str">
        <f aca="false">IF(OR($G436="",$H436=""),"",ROUND($G436*$H436,0))</f>
        <v/>
      </c>
      <c r="J436" s="7"/>
    </row>
    <row r="437" customFormat="false" ht="15" hidden="false" customHeight="true" outlineLevel="0" collapsed="false">
      <c r="A437" s="11"/>
      <c r="B437" s="7"/>
      <c r="C437" s="12" t="str">
        <f aca="false">IF($B437="","",IFERROR(INDEX(거래처마스터!$B$3:$B$102,MATCH($B437,거래처마스터!$A$3:$A$102,0)),"미등록"))</f>
        <v/>
      </c>
      <c r="D437" s="7"/>
      <c r="E437" s="12" t="str">
        <f aca="false">IF($D437="","",IFERROR(INDEX(품목마스터!$B$3:$B$202,MATCH($D437,품목마스터!$A$3:$A$202,0)),"미등록품번"))</f>
        <v/>
      </c>
      <c r="F437" s="12" t="str">
        <f aca="false">IF($D437="","",IFERROR(INDEX(품목마스터!$D$3:$D$202,MATCH($D437,품목마스터!$A$3:$A$202,0)),""))</f>
        <v/>
      </c>
      <c r="G437" s="9"/>
      <c r="H437" s="9"/>
      <c r="I437" s="13" t="str">
        <f aca="false">IF(OR($G437="",$H437=""),"",ROUND($G437*$H437,0))</f>
        <v/>
      </c>
      <c r="J437" s="7"/>
    </row>
    <row r="438" customFormat="false" ht="15" hidden="false" customHeight="true" outlineLevel="0" collapsed="false">
      <c r="A438" s="11"/>
      <c r="B438" s="7"/>
      <c r="C438" s="12" t="str">
        <f aca="false">IF($B438="","",IFERROR(INDEX(거래처마스터!$B$3:$B$102,MATCH($B438,거래처마스터!$A$3:$A$102,0)),"미등록"))</f>
        <v/>
      </c>
      <c r="D438" s="7"/>
      <c r="E438" s="12" t="str">
        <f aca="false">IF($D438="","",IFERROR(INDEX(품목마스터!$B$3:$B$202,MATCH($D438,품목마스터!$A$3:$A$202,0)),"미등록품번"))</f>
        <v/>
      </c>
      <c r="F438" s="12" t="str">
        <f aca="false">IF($D438="","",IFERROR(INDEX(품목마스터!$D$3:$D$202,MATCH($D438,품목마스터!$A$3:$A$202,0)),""))</f>
        <v/>
      </c>
      <c r="G438" s="9"/>
      <c r="H438" s="9"/>
      <c r="I438" s="13" t="str">
        <f aca="false">IF(OR($G438="",$H438=""),"",ROUND($G438*$H438,0))</f>
        <v/>
      </c>
      <c r="J438" s="7"/>
    </row>
    <row r="439" customFormat="false" ht="15" hidden="false" customHeight="true" outlineLevel="0" collapsed="false">
      <c r="A439" s="11"/>
      <c r="B439" s="7"/>
      <c r="C439" s="12" t="str">
        <f aca="false">IF($B439="","",IFERROR(INDEX(거래처마스터!$B$3:$B$102,MATCH($B439,거래처마스터!$A$3:$A$102,0)),"미등록"))</f>
        <v/>
      </c>
      <c r="D439" s="7"/>
      <c r="E439" s="12" t="str">
        <f aca="false">IF($D439="","",IFERROR(INDEX(품목마스터!$B$3:$B$202,MATCH($D439,품목마스터!$A$3:$A$202,0)),"미등록품번"))</f>
        <v/>
      </c>
      <c r="F439" s="12" t="str">
        <f aca="false">IF($D439="","",IFERROR(INDEX(품목마스터!$D$3:$D$202,MATCH($D439,품목마스터!$A$3:$A$202,0)),""))</f>
        <v/>
      </c>
      <c r="G439" s="9"/>
      <c r="H439" s="9"/>
      <c r="I439" s="13" t="str">
        <f aca="false">IF(OR($G439="",$H439=""),"",ROUND($G439*$H439,0))</f>
        <v/>
      </c>
      <c r="J439" s="7"/>
    </row>
    <row r="440" customFormat="false" ht="15" hidden="false" customHeight="true" outlineLevel="0" collapsed="false">
      <c r="A440" s="11"/>
      <c r="B440" s="7"/>
      <c r="C440" s="12" t="str">
        <f aca="false">IF($B440="","",IFERROR(INDEX(거래처마스터!$B$3:$B$102,MATCH($B440,거래처마스터!$A$3:$A$102,0)),"미등록"))</f>
        <v/>
      </c>
      <c r="D440" s="7"/>
      <c r="E440" s="12" t="str">
        <f aca="false">IF($D440="","",IFERROR(INDEX(품목마스터!$B$3:$B$202,MATCH($D440,품목마스터!$A$3:$A$202,0)),"미등록품번"))</f>
        <v/>
      </c>
      <c r="F440" s="12" t="str">
        <f aca="false">IF($D440="","",IFERROR(INDEX(품목마스터!$D$3:$D$202,MATCH($D440,품목마스터!$A$3:$A$202,0)),""))</f>
        <v/>
      </c>
      <c r="G440" s="9"/>
      <c r="H440" s="9"/>
      <c r="I440" s="13" t="str">
        <f aca="false">IF(OR($G440="",$H440=""),"",ROUND($G440*$H440,0))</f>
        <v/>
      </c>
      <c r="J440" s="7"/>
    </row>
    <row r="441" customFormat="false" ht="15" hidden="false" customHeight="true" outlineLevel="0" collapsed="false">
      <c r="A441" s="11"/>
      <c r="B441" s="7"/>
      <c r="C441" s="12" t="str">
        <f aca="false">IF($B441="","",IFERROR(INDEX(거래처마스터!$B$3:$B$102,MATCH($B441,거래처마스터!$A$3:$A$102,0)),"미등록"))</f>
        <v/>
      </c>
      <c r="D441" s="7"/>
      <c r="E441" s="12" t="str">
        <f aca="false">IF($D441="","",IFERROR(INDEX(품목마스터!$B$3:$B$202,MATCH($D441,품목마스터!$A$3:$A$202,0)),"미등록품번"))</f>
        <v/>
      </c>
      <c r="F441" s="12" t="str">
        <f aca="false">IF($D441="","",IFERROR(INDEX(품목마스터!$D$3:$D$202,MATCH($D441,품목마스터!$A$3:$A$202,0)),""))</f>
        <v/>
      </c>
      <c r="G441" s="9"/>
      <c r="H441" s="9"/>
      <c r="I441" s="13" t="str">
        <f aca="false">IF(OR($G441="",$H441=""),"",ROUND($G441*$H441,0))</f>
        <v/>
      </c>
      <c r="J441" s="7"/>
    </row>
    <row r="442" customFormat="false" ht="15" hidden="false" customHeight="true" outlineLevel="0" collapsed="false">
      <c r="A442" s="11"/>
      <c r="B442" s="7"/>
      <c r="C442" s="12" t="str">
        <f aca="false">IF($B442="","",IFERROR(INDEX(거래처마스터!$B$3:$B$102,MATCH($B442,거래처마스터!$A$3:$A$102,0)),"미등록"))</f>
        <v/>
      </c>
      <c r="D442" s="7"/>
      <c r="E442" s="12" t="str">
        <f aca="false">IF($D442="","",IFERROR(INDEX(품목마스터!$B$3:$B$202,MATCH($D442,품목마스터!$A$3:$A$202,0)),"미등록품번"))</f>
        <v/>
      </c>
      <c r="F442" s="12" t="str">
        <f aca="false">IF($D442="","",IFERROR(INDEX(품목마스터!$D$3:$D$202,MATCH($D442,품목마스터!$A$3:$A$202,0)),""))</f>
        <v/>
      </c>
      <c r="G442" s="9"/>
      <c r="H442" s="9"/>
      <c r="I442" s="13" t="str">
        <f aca="false">IF(OR($G442="",$H442=""),"",ROUND($G442*$H442,0))</f>
        <v/>
      </c>
      <c r="J442" s="7"/>
    </row>
    <row r="443" customFormat="false" ht="15" hidden="false" customHeight="true" outlineLevel="0" collapsed="false">
      <c r="A443" s="11"/>
      <c r="B443" s="7"/>
      <c r="C443" s="12" t="str">
        <f aca="false">IF($B443="","",IFERROR(INDEX(거래처마스터!$B$3:$B$102,MATCH($B443,거래처마스터!$A$3:$A$102,0)),"미등록"))</f>
        <v/>
      </c>
      <c r="D443" s="7"/>
      <c r="E443" s="12" t="str">
        <f aca="false">IF($D443="","",IFERROR(INDEX(품목마스터!$B$3:$B$202,MATCH($D443,품목마스터!$A$3:$A$202,0)),"미등록품번"))</f>
        <v/>
      </c>
      <c r="F443" s="12" t="str">
        <f aca="false">IF($D443="","",IFERROR(INDEX(품목마스터!$D$3:$D$202,MATCH($D443,품목마스터!$A$3:$A$202,0)),""))</f>
        <v/>
      </c>
      <c r="G443" s="9"/>
      <c r="H443" s="9"/>
      <c r="I443" s="13" t="str">
        <f aca="false">IF(OR($G443="",$H443=""),"",ROUND($G443*$H443,0))</f>
        <v/>
      </c>
      <c r="J443" s="7"/>
    </row>
    <row r="444" customFormat="false" ht="15" hidden="false" customHeight="true" outlineLevel="0" collapsed="false">
      <c r="A444" s="11"/>
      <c r="B444" s="7"/>
      <c r="C444" s="12" t="str">
        <f aca="false">IF($B444="","",IFERROR(INDEX(거래처마스터!$B$3:$B$102,MATCH($B444,거래처마스터!$A$3:$A$102,0)),"미등록"))</f>
        <v/>
      </c>
      <c r="D444" s="7"/>
      <c r="E444" s="12" t="str">
        <f aca="false">IF($D444="","",IFERROR(INDEX(품목마스터!$B$3:$B$202,MATCH($D444,품목마스터!$A$3:$A$202,0)),"미등록품번"))</f>
        <v/>
      </c>
      <c r="F444" s="12" t="str">
        <f aca="false">IF($D444="","",IFERROR(INDEX(품목마스터!$D$3:$D$202,MATCH($D444,품목마스터!$A$3:$A$202,0)),""))</f>
        <v/>
      </c>
      <c r="G444" s="9"/>
      <c r="H444" s="9"/>
      <c r="I444" s="13" t="str">
        <f aca="false">IF(OR($G444="",$H444=""),"",ROUND($G444*$H444,0))</f>
        <v/>
      </c>
      <c r="J444" s="7"/>
    </row>
    <row r="445" customFormat="false" ht="15" hidden="false" customHeight="true" outlineLevel="0" collapsed="false">
      <c r="A445" s="11"/>
      <c r="B445" s="7"/>
      <c r="C445" s="12" t="str">
        <f aca="false">IF($B445="","",IFERROR(INDEX(거래처마스터!$B$3:$B$102,MATCH($B445,거래처마스터!$A$3:$A$102,0)),"미등록"))</f>
        <v/>
      </c>
      <c r="D445" s="7"/>
      <c r="E445" s="12" t="str">
        <f aca="false">IF($D445="","",IFERROR(INDEX(품목마스터!$B$3:$B$202,MATCH($D445,품목마스터!$A$3:$A$202,0)),"미등록품번"))</f>
        <v/>
      </c>
      <c r="F445" s="12" t="str">
        <f aca="false">IF($D445="","",IFERROR(INDEX(품목마스터!$D$3:$D$202,MATCH($D445,품목마스터!$A$3:$A$202,0)),""))</f>
        <v/>
      </c>
      <c r="G445" s="9"/>
      <c r="H445" s="9"/>
      <c r="I445" s="13" t="str">
        <f aca="false">IF(OR($G445="",$H445=""),"",ROUND($G445*$H445,0))</f>
        <v/>
      </c>
      <c r="J445" s="7"/>
    </row>
    <row r="446" customFormat="false" ht="15" hidden="false" customHeight="true" outlineLevel="0" collapsed="false">
      <c r="A446" s="11"/>
      <c r="B446" s="7"/>
      <c r="C446" s="12" t="str">
        <f aca="false">IF($B446="","",IFERROR(INDEX(거래처마스터!$B$3:$B$102,MATCH($B446,거래처마스터!$A$3:$A$102,0)),"미등록"))</f>
        <v/>
      </c>
      <c r="D446" s="7"/>
      <c r="E446" s="12" t="str">
        <f aca="false">IF($D446="","",IFERROR(INDEX(품목마스터!$B$3:$B$202,MATCH($D446,품목마스터!$A$3:$A$202,0)),"미등록품번"))</f>
        <v/>
      </c>
      <c r="F446" s="12" t="str">
        <f aca="false">IF($D446="","",IFERROR(INDEX(품목마스터!$D$3:$D$202,MATCH($D446,품목마스터!$A$3:$A$202,0)),""))</f>
        <v/>
      </c>
      <c r="G446" s="9"/>
      <c r="H446" s="9"/>
      <c r="I446" s="13" t="str">
        <f aca="false">IF(OR($G446="",$H446=""),"",ROUND($G446*$H446,0))</f>
        <v/>
      </c>
      <c r="J446" s="7"/>
    </row>
    <row r="447" customFormat="false" ht="15" hidden="false" customHeight="true" outlineLevel="0" collapsed="false">
      <c r="A447" s="11"/>
      <c r="B447" s="7"/>
      <c r="C447" s="12" t="str">
        <f aca="false">IF($B447="","",IFERROR(INDEX(거래처마스터!$B$3:$B$102,MATCH($B447,거래처마스터!$A$3:$A$102,0)),"미등록"))</f>
        <v/>
      </c>
      <c r="D447" s="7"/>
      <c r="E447" s="12" t="str">
        <f aca="false">IF($D447="","",IFERROR(INDEX(품목마스터!$B$3:$B$202,MATCH($D447,품목마스터!$A$3:$A$202,0)),"미등록품번"))</f>
        <v/>
      </c>
      <c r="F447" s="12" t="str">
        <f aca="false">IF($D447="","",IFERROR(INDEX(품목마스터!$D$3:$D$202,MATCH($D447,품목마스터!$A$3:$A$202,0)),""))</f>
        <v/>
      </c>
      <c r="G447" s="9"/>
      <c r="H447" s="9"/>
      <c r="I447" s="13" t="str">
        <f aca="false">IF(OR($G447="",$H447=""),"",ROUND($G447*$H447,0))</f>
        <v/>
      </c>
      <c r="J447" s="7"/>
    </row>
    <row r="448" customFormat="false" ht="15" hidden="false" customHeight="true" outlineLevel="0" collapsed="false">
      <c r="A448" s="11"/>
      <c r="B448" s="7"/>
      <c r="C448" s="12" t="str">
        <f aca="false">IF($B448="","",IFERROR(INDEX(거래처마스터!$B$3:$B$102,MATCH($B448,거래처마스터!$A$3:$A$102,0)),"미등록"))</f>
        <v/>
      </c>
      <c r="D448" s="7"/>
      <c r="E448" s="12" t="str">
        <f aca="false">IF($D448="","",IFERROR(INDEX(품목마스터!$B$3:$B$202,MATCH($D448,품목마스터!$A$3:$A$202,0)),"미등록품번"))</f>
        <v/>
      </c>
      <c r="F448" s="12" t="str">
        <f aca="false">IF($D448="","",IFERROR(INDEX(품목마스터!$D$3:$D$202,MATCH($D448,품목마스터!$A$3:$A$202,0)),""))</f>
        <v/>
      </c>
      <c r="G448" s="9"/>
      <c r="H448" s="9"/>
      <c r="I448" s="13" t="str">
        <f aca="false">IF(OR($G448="",$H448=""),"",ROUND($G448*$H448,0))</f>
        <v/>
      </c>
      <c r="J448" s="7"/>
    </row>
    <row r="449" customFormat="false" ht="15" hidden="false" customHeight="true" outlineLevel="0" collapsed="false">
      <c r="A449" s="11"/>
      <c r="B449" s="7"/>
      <c r="C449" s="12" t="str">
        <f aca="false">IF($B449="","",IFERROR(INDEX(거래처마스터!$B$3:$B$102,MATCH($B449,거래처마스터!$A$3:$A$102,0)),"미등록"))</f>
        <v/>
      </c>
      <c r="D449" s="7"/>
      <c r="E449" s="12" t="str">
        <f aca="false">IF($D449="","",IFERROR(INDEX(품목마스터!$B$3:$B$202,MATCH($D449,품목마스터!$A$3:$A$202,0)),"미등록품번"))</f>
        <v/>
      </c>
      <c r="F449" s="12" t="str">
        <f aca="false">IF($D449="","",IFERROR(INDEX(품목마스터!$D$3:$D$202,MATCH($D449,품목마스터!$A$3:$A$202,0)),""))</f>
        <v/>
      </c>
      <c r="G449" s="9"/>
      <c r="H449" s="9"/>
      <c r="I449" s="13" t="str">
        <f aca="false">IF(OR($G449="",$H449=""),"",ROUND($G449*$H449,0))</f>
        <v/>
      </c>
      <c r="J449" s="7"/>
    </row>
    <row r="450" customFormat="false" ht="15" hidden="false" customHeight="true" outlineLevel="0" collapsed="false">
      <c r="A450" s="11"/>
      <c r="B450" s="7"/>
      <c r="C450" s="12" t="str">
        <f aca="false">IF($B450="","",IFERROR(INDEX(거래처마스터!$B$3:$B$102,MATCH($B450,거래처마스터!$A$3:$A$102,0)),"미등록"))</f>
        <v/>
      </c>
      <c r="D450" s="7"/>
      <c r="E450" s="12" t="str">
        <f aca="false">IF($D450="","",IFERROR(INDEX(품목마스터!$B$3:$B$202,MATCH($D450,품목마스터!$A$3:$A$202,0)),"미등록품번"))</f>
        <v/>
      </c>
      <c r="F450" s="12" t="str">
        <f aca="false">IF($D450="","",IFERROR(INDEX(품목마스터!$D$3:$D$202,MATCH($D450,품목마스터!$A$3:$A$202,0)),""))</f>
        <v/>
      </c>
      <c r="G450" s="9"/>
      <c r="H450" s="9"/>
      <c r="I450" s="13" t="str">
        <f aca="false">IF(OR($G450="",$H450=""),"",ROUND($G450*$H450,0))</f>
        <v/>
      </c>
      <c r="J450" s="7"/>
    </row>
    <row r="451" customFormat="false" ht="15" hidden="false" customHeight="true" outlineLevel="0" collapsed="false">
      <c r="A451" s="11"/>
      <c r="B451" s="7"/>
      <c r="C451" s="12" t="str">
        <f aca="false">IF($B451="","",IFERROR(INDEX(거래처마스터!$B$3:$B$102,MATCH($B451,거래처마스터!$A$3:$A$102,0)),"미등록"))</f>
        <v/>
      </c>
      <c r="D451" s="7"/>
      <c r="E451" s="12" t="str">
        <f aca="false">IF($D451="","",IFERROR(INDEX(품목마스터!$B$3:$B$202,MATCH($D451,품목마스터!$A$3:$A$202,0)),"미등록품번"))</f>
        <v/>
      </c>
      <c r="F451" s="12" t="str">
        <f aca="false">IF($D451="","",IFERROR(INDEX(품목마스터!$D$3:$D$202,MATCH($D451,품목마스터!$A$3:$A$202,0)),""))</f>
        <v/>
      </c>
      <c r="G451" s="9"/>
      <c r="H451" s="9"/>
      <c r="I451" s="13" t="str">
        <f aca="false">IF(OR($G451="",$H451=""),"",ROUND($G451*$H451,0))</f>
        <v/>
      </c>
      <c r="J451" s="7"/>
    </row>
    <row r="452" customFormat="false" ht="15" hidden="false" customHeight="true" outlineLevel="0" collapsed="false">
      <c r="A452" s="11"/>
      <c r="B452" s="7"/>
      <c r="C452" s="12" t="str">
        <f aca="false">IF($B452="","",IFERROR(INDEX(거래처마스터!$B$3:$B$102,MATCH($B452,거래처마스터!$A$3:$A$102,0)),"미등록"))</f>
        <v/>
      </c>
      <c r="D452" s="7"/>
      <c r="E452" s="12" t="str">
        <f aca="false">IF($D452="","",IFERROR(INDEX(품목마스터!$B$3:$B$202,MATCH($D452,품목마스터!$A$3:$A$202,0)),"미등록품번"))</f>
        <v/>
      </c>
      <c r="F452" s="12" t="str">
        <f aca="false">IF($D452="","",IFERROR(INDEX(품목마스터!$D$3:$D$202,MATCH($D452,품목마스터!$A$3:$A$202,0)),""))</f>
        <v/>
      </c>
      <c r="G452" s="9"/>
      <c r="H452" s="9"/>
      <c r="I452" s="13" t="str">
        <f aca="false">IF(OR($G452="",$H452=""),"",ROUND($G452*$H452,0))</f>
        <v/>
      </c>
      <c r="J452" s="7"/>
    </row>
    <row r="453" customFormat="false" ht="15" hidden="false" customHeight="true" outlineLevel="0" collapsed="false">
      <c r="A453" s="11"/>
      <c r="B453" s="7"/>
      <c r="C453" s="12" t="str">
        <f aca="false">IF($B453="","",IFERROR(INDEX(거래처마스터!$B$3:$B$102,MATCH($B453,거래처마스터!$A$3:$A$102,0)),"미등록"))</f>
        <v/>
      </c>
      <c r="D453" s="7"/>
      <c r="E453" s="12" t="str">
        <f aca="false">IF($D453="","",IFERROR(INDEX(품목마스터!$B$3:$B$202,MATCH($D453,품목마스터!$A$3:$A$202,0)),"미등록품번"))</f>
        <v/>
      </c>
      <c r="F453" s="12" t="str">
        <f aca="false">IF($D453="","",IFERROR(INDEX(품목마스터!$D$3:$D$202,MATCH($D453,품목마스터!$A$3:$A$202,0)),""))</f>
        <v/>
      </c>
      <c r="G453" s="9"/>
      <c r="H453" s="9"/>
      <c r="I453" s="13" t="str">
        <f aca="false">IF(OR($G453="",$H453=""),"",ROUND($G453*$H453,0))</f>
        <v/>
      </c>
      <c r="J453" s="7"/>
    </row>
    <row r="454" customFormat="false" ht="15" hidden="false" customHeight="true" outlineLevel="0" collapsed="false">
      <c r="A454" s="11"/>
      <c r="B454" s="7"/>
      <c r="C454" s="12" t="str">
        <f aca="false">IF($B454="","",IFERROR(INDEX(거래처마스터!$B$3:$B$102,MATCH($B454,거래처마스터!$A$3:$A$102,0)),"미등록"))</f>
        <v/>
      </c>
      <c r="D454" s="7"/>
      <c r="E454" s="12" t="str">
        <f aca="false">IF($D454="","",IFERROR(INDEX(품목마스터!$B$3:$B$202,MATCH($D454,품목마스터!$A$3:$A$202,0)),"미등록품번"))</f>
        <v/>
      </c>
      <c r="F454" s="12" t="str">
        <f aca="false">IF($D454="","",IFERROR(INDEX(품목마스터!$D$3:$D$202,MATCH($D454,품목마스터!$A$3:$A$202,0)),""))</f>
        <v/>
      </c>
      <c r="G454" s="9"/>
      <c r="H454" s="9"/>
      <c r="I454" s="13" t="str">
        <f aca="false">IF(OR($G454="",$H454=""),"",ROUND($G454*$H454,0))</f>
        <v/>
      </c>
      <c r="J454" s="7"/>
    </row>
    <row r="455" customFormat="false" ht="15" hidden="false" customHeight="true" outlineLevel="0" collapsed="false">
      <c r="A455" s="11"/>
      <c r="B455" s="7"/>
      <c r="C455" s="12" t="str">
        <f aca="false">IF($B455="","",IFERROR(INDEX(거래처마스터!$B$3:$B$102,MATCH($B455,거래처마스터!$A$3:$A$102,0)),"미등록"))</f>
        <v/>
      </c>
      <c r="D455" s="7"/>
      <c r="E455" s="12" t="str">
        <f aca="false">IF($D455="","",IFERROR(INDEX(품목마스터!$B$3:$B$202,MATCH($D455,품목마스터!$A$3:$A$202,0)),"미등록품번"))</f>
        <v/>
      </c>
      <c r="F455" s="12" t="str">
        <f aca="false">IF($D455="","",IFERROR(INDEX(품목마스터!$D$3:$D$202,MATCH($D455,품목마스터!$A$3:$A$202,0)),""))</f>
        <v/>
      </c>
      <c r="G455" s="9"/>
      <c r="H455" s="9"/>
      <c r="I455" s="13" t="str">
        <f aca="false">IF(OR($G455="",$H455=""),"",ROUND($G455*$H455,0))</f>
        <v/>
      </c>
      <c r="J455" s="7"/>
    </row>
    <row r="456" customFormat="false" ht="15" hidden="false" customHeight="true" outlineLevel="0" collapsed="false">
      <c r="A456" s="11"/>
      <c r="B456" s="7"/>
      <c r="C456" s="12" t="str">
        <f aca="false">IF($B456="","",IFERROR(INDEX(거래처마스터!$B$3:$B$102,MATCH($B456,거래처마스터!$A$3:$A$102,0)),"미등록"))</f>
        <v/>
      </c>
      <c r="D456" s="7"/>
      <c r="E456" s="12" t="str">
        <f aca="false">IF($D456="","",IFERROR(INDEX(품목마스터!$B$3:$B$202,MATCH($D456,품목마스터!$A$3:$A$202,0)),"미등록품번"))</f>
        <v/>
      </c>
      <c r="F456" s="12" t="str">
        <f aca="false">IF($D456="","",IFERROR(INDEX(품목마스터!$D$3:$D$202,MATCH($D456,품목마스터!$A$3:$A$202,0)),""))</f>
        <v/>
      </c>
      <c r="G456" s="9"/>
      <c r="H456" s="9"/>
      <c r="I456" s="13" t="str">
        <f aca="false">IF(OR($G456="",$H456=""),"",ROUND($G456*$H456,0))</f>
        <v/>
      </c>
      <c r="J456" s="7"/>
    </row>
    <row r="457" customFormat="false" ht="15" hidden="false" customHeight="true" outlineLevel="0" collapsed="false">
      <c r="A457" s="11"/>
      <c r="B457" s="7"/>
      <c r="C457" s="12" t="str">
        <f aca="false">IF($B457="","",IFERROR(INDEX(거래처마스터!$B$3:$B$102,MATCH($B457,거래처마스터!$A$3:$A$102,0)),"미등록"))</f>
        <v/>
      </c>
      <c r="D457" s="7"/>
      <c r="E457" s="12" t="str">
        <f aca="false">IF($D457="","",IFERROR(INDEX(품목마스터!$B$3:$B$202,MATCH($D457,품목마스터!$A$3:$A$202,0)),"미등록품번"))</f>
        <v/>
      </c>
      <c r="F457" s="12" t="str">
        <f aca="false">IF($D457="","",IFERROR(INDEX(품목마스터!$D$3:$D$202,MATCH($D457,품목마스터!$A$3:$A$202,0)),""))</f>
        <v/>
      </c>
      <c r="G457" s="9"/>
      <c r="H457" s="9"/>
      <c r="I457" s="13" t="str">
        <f aca="false">IF(OR($G457="",$H457=""),"",ROUND($G457*$H457,0))</f>
        <v/>
      </c>
      <c r="J457" s="7"/>
    </row>
    <row r="458" customFormat="false" ht="15" hidden="false" customHeight="true" outlineLevel="0" collapsed="false">
      <c r="A458" s="11"/>
      <c r="B458" s="7"/>
      <c r="C458" s="12" t="str">
        <f aca="false">IF($B458="","",IFERROR(INDEX(거래처마스터!$B$3:$B$102,MATCH($B458,거래처마스터!$A$3:$A$102,0)),"미등록"))</f>
        <v/>
      </c>
      <c r="D458" s="7"/>
      <c r="E458" s="12" t="str">
        <f aca="false">IF($D458="","",IFERROR(INDEX(품목마스터!$B$3:$B$202,MATCH($D458,품목마스터!$A$3:$A$202,0)),"미등록품번"))</f>
        <v/>
      </c>
      <c r="F458" s="12" t="str">
        <f aca="false">IF($D458="","",IFERROR(INDEX(품목마스터!$D$3:$D$202,MATCH($D458,품목마스터!$A$3:$A$202,0)),""))</f>
        <v/>
      </c>
      <c r="G458" s="9"/>
      <c r="H458" s="9"/>
      <c r="I458" s="13" t="str">
        <f aca="false">IF(OR($G458="",$H458=""),"",ROUND($G458*$H458,0))</f>
        <v/>
      </c>
      <c r="J458" s="7"/>
    </row>
    <row r="459" customFormat="false" ht="15" hidden="false" customHeight="true" outlineLevel="0" collapsed="false">
      <c r="A459" s="11"/>
      <c r="B459" s="7"/>
      <c r="C459" s="12" t="str">
        <f aca="false">IF($B459="","",IFERROR(INDEX(거래처마스터!$B$3:$B$102,MATCH($B459,거래처마스터!$A$3:$A$102,0)),"미등록"))</f>
        <v/>
      </c>
      <c r="D459" s="7"/>
      <c r="E459" s="12" t="str">
        <f aca="false">IF($D459="","",IFERROR(INDEX(품목마스터!$B$3:$B$202,MATCH($D459,품목마스터!$A$3:$A$202,0)),"미등록품번"))</f>
        <v/>
      </c>
      <c r="F459" s="12" t="str">
        <f aca="false">IF($D459="","",IFERROR(INDEX(품목마스터!$D$3:$D$202,MATCH($D459,품목마스터!$A$3:$A$202,0)),""))</f>
        <v/>
      </c>
      <c r="G459" s="9"/>
      <c r="H459" s="9"/>
      <c r="I459" s="13" t="str">
        <f aca="false">IF(OR($G459="",$H459=""),"",ROUND($G459*$H459,0))</f>
        <v/>
      </c>
      <c r="J459" s="7"/>
    </row>
    <row r="460" customFormat="false" ht="15" hidden="false" customHeight="true" outlineLevel="0" collapsed="false">
      <c r="A460" s="11"/>
      <c r="B460" s="7"/>
      <c r="C460" s="12" t="str">
        <f aca="false">IF($B460="","",IFERROR(INDEX(거래처마스터!$B$3:$B$102,MATCH($B460,거래처마스터!$A$3:$A$102,0)),"미등록"))</f>
        <v/>
      </c>
      <c r="D460" s="7"/>
      <c r="E460" s="12" t="str">
        <f aca="false">IF($D460="","",IFERROR(INDEX(품목마스터!$B$3:$B$202,MATCH($D460,품목마스터!$A$3:$A$202,0)),"미등록품번"))</f>
        <v/>
      </c>
      <c r="F460" s="12" t="str">
        <f aca="false">IF($D460="","",IFERROR(INDEX(품목마스터!$D$3:$D$202,MATCH($D460,품목마스터!$A$3:$A$202,0)),""))</f>
        <v/>
      </c>
      <c r="G460" s="9"/>
      <c r="H460" s="9"/>
      <c r="I460" s="13" t="str">
        <f aca="false">IF(OR($G460="",$H460=""),"",ROUND($G460*$H460,0))</f>
        <v/>
      </c>
      <c r="J460" s="7"/>
    </row>
    <row r="461" customFormat="false" ht="15" hidden="false" customHeight="true" outlineLevel="0" collapsed="false">
      <c r="A461" s="11"/>
      <c r="B461" s="7"/>
      <c r="C461" s="12" t="str">
        <f aca="false">IF($B461="","",IFERROR(INDEX(거래처마스터!$B$3:$B$102,MATCH($B461,거래처마스터!$A$3:$A$102,0)),"미등록"))</f>
        <v/>
      </c>
      <c r="D461" s="7"/>
      <c r="E461" s="12" t="str">
        <f aca="false">IF($D461="","",IFERROR(INDEX(품목마스터!$B$3:$B$202,MATCH($D461,품목마스터!$A$3:$A$202,0)),"미등록품번"))</f>
        <v/>
      </c>
      <c r="F461" s="12" t="str">
        <f aca="false">IF($D461="","",IFERROR(INDEX(품목마스터!$D$3:$D$202,MATCH($D461,품목마스터!$A$3:$A$202,0)),""))</f>
        <v/>
      </c>
      <c r="G461" s="9"/>
      <c r="H461" s="9"/>
      <c r="I461" s="13" t="str">
        <f aca="false">IF(OR($G461="",$H461=""),"",ROUND($G461*$H461,0))</f>
        <v/>
      </c>
      <c r="J461" s="7"/>
    </row>
    <row r="462" customFormat="false" ht="15" hidden="false" customHeight="true" outlineLevel="0" collapsed="false">
      <c r="A462" s="11"/>
      <c r="B462" s="7"/>
      <c r="C462" s="12" t="str">
        <f aca="false">IF($B462="","",IFERROR(INDEX(거래처마스터!$B$3:$B$102,MATCH($B462,거래처마스터!$A$3:$A$102,0)),"미등록"))</f>
        <v/>
      </c>
      <c r="D462" s="7"/>
      <c r="E462" s="12" t="str">
        <f aca="false">IF($D462="","",IFERROR(INDEX(품목마스터!$B$3:$B$202,MATCH($D462,품목마스터!$A$3:$A$202,0)),"미등록품번"))</f>
        <v/>
      </c>
      <c r="F462" s="12" t="str">
        <f aca="false">IF($D462="","",IFERROR(INDEX(품목마스터!$D$3:$D$202,MATCH($D462,품목마스터!$A$3:$A$202,0)),""))</f>
        <v/>
      </c>
      <c r="G462" s="9"/>
      <c r="H462" s="9"/>
      <c r="I462" s="13" t="str">
        <f aca="false">IF(OR($G462="",$H462=""),"",ROUND($G462*$H462,0))</f>
        <v/>
      </c>
      <c r="J462" s="7"/>
    </row>
    <row r="463" customFormat="false" ht="15" hidden="false" customHeight="true" outlineLevel="0" collapsed="false">
      <c r="A463" s="11"/>
      <c r="B463" s="7"/>
      <c r="C463" s="12" t="str">
        <f aca="false">IF($B463="","",IFERROR(INDEX(거래처마스터!$B$3:$B$102,MATCH($B463,거래처마스터!$A$3:$A$102,0)),"미등록"))</f>
        <v/>
      </c>
      <c r="D463" s="7"/>
      <c r="E463" s="12" t="str">
        <f aca="false">IF($D463="","",IFERROR(INDEX(품목마스터!$B$3:$B$202,MATCH($D463,품목마스터!$A$3:$A$202,0)),"미등록품번"))</f>
        <v/>
      </c>
      <c r="F463" s="12" t="str">
        <f aca="false">IF($D463="","",IFERROR(INDEX(품목마스터!$D$3:$D$202,MATCH($D463,품목마스터!$A$3:$A$202,0)),""))</f>
        <v/>
      </c>
      <c r="G463" s="9"/>
      <c r="H463" s="9"/>
      <c r="I463" s="13" t="str">
        <f aca="false">IF(OR($G463="",$H463=""),"",ROUND($G463*$H463,0))</f>
        <v/>
      </c>
      <c r="J463" s="7"/>
    </row>
    <row r="464" customFormat="false" ht="15" hidden="false" customHeight="true" outlineLevel="0" collapsed="false">
      <c r="A464" s="11"/>
      <c r="B464" s="7"/>
      <c r="C464" s="12" t="str">
        <f aca="false">IF($B464="","",IFERROR(INDEX(거래처마스터!$B$3:$B$102,MATCH($B464,거래처마스터!$A$3:$A$102,0)),"미등록"))</f>
        <v/>
      </c>
      <c r="D464" s="7"/>
      <c r="E464" s="12" t="str">
        <f aca="false">IF($D464="","",IFERROR(INDEX(품목마스터!$B$3:$B$202,MATCH($D464,품목마스터!$A$3:$A$202,0)),"미등록품번"))</f>
        <v/>
      </c>
      <c r="F464" s="12" t="str">
        <f aca="false">IF($D464="","",IFERROR(INDEX(품목마스터!$D$3:$D$202,MATCH($D464,품목마스터!$A$3:$A$202,0)),""))</f>
        <v/>
      </c>
      <c r="G464" s="9"/>
      <c r="H464" s="9"/>
      <c r="I464" s="13" t="str">
        <f aca="false">IF(OR($G464="",$H464=""),"",ROUND($G464*$H464,0))</f>
        <v/>
      </c>
      <c r="J464" s="7"/>
    </row>
    <row r="465" customFormat="false" ht="15" hidden="false" customHeight="true" outlineLevel="0" collapsed="false">
      <c r="A465" s="11"/>
      <c r="B465" s="7"/>
      <c r="C465" s="12" t="str">
        <f aca="false">IF($B465="","",IFERROR(INDEX(거래처마스터!$B$3:$B$102,MATCH($B465,거래처마스터!$A$3:$A$102,0)),"미등록"))</f>
        <v/>
      </c>
      <c r="D465" s="7"/>
      <c r="E465" s="12" t="str">
        <f aca="false">IF($D465="","",IFERROR(INDEX(품목마스터!$B$3:$B$202,MATCH($D465,품목마스터!$A$3:$A$202,0)),"미등록품번"))</f>
        <v/>
      </c>
      <c r="F465" s="12" t="str">
        <f aca="false">IF($D465="","",IFERROR(INDEX(품목마스터!$D$3:$D$202,MATCH($D465,품목마스터!$A$3:$A$202,0)),""))</f>
        <v/>
      </c>
      <c r="G465" s="9"/>
      <c r="H465" s="9"/>
      <c r="I465" s="13" t="str">
        <f aca="false">IF(OR($G465="",$H465=""),"",ROUND($G465*$H465,0))</f>
        <v/>
      </c>
      <c r="J465" s="7"/>
    </row>
    <row r="466" customFormat="false" ht="15" hidden="false" customHeight="true" outlineLevel="0" collapsed="false">
      <c r="A466" s="11"/>
      <c r="B466" s="7"/>
      <c r="C466" s="12" t="str">
        <f aca="false">IF($B466="","",IFERROR(INDEX(거래처마스터!$B$3:$B$102,MATCH($B466,거래처마스터!$A$3:$A$102,0)),"미등록"))</f>
        <v/>
      </c>
      <c r="D466" s="7"/>
      <c r="E466" s="12" t="str">
        <f aca="false">IF($D466="","",IFERROR(INDEX(품목마스터!$B$3:$B$202,MATCH($D466,품목마스터!$A$3:$A$202,0)),"미등록품번"))</f>
        <v/>
      </c>
      <c r="F466" s="12" t="str">
        <f aca="false">IF($D466="","",IFERROR(INDEX(품목마스터!$D$3:$D$202,MATCH($D466,품목마스터!$A$3:$A$202,0)),""))</f>
        <v/>
      </c>
      <c r="G466" s="9"/>
      <c r="H466" s="9"/>
      <c r="I466" s="13" t="str">
        <f aca="false">IF(OR($G466="",$H466=""),"",ROUND($G466*$H466,0))</f>
        <v/>
      </c>
      <c r="J466" s="7"/>
    </row>
    <row r="467" customFormat="false" ht="15" hidden="false" customHeight="true" outlineLevel="0" collapsed="false">
      <c r="A467" s="11"/>
      <c r="B467" s="7"/>
      <c r="C467" s="12" t="str">
        <f aca="false">IF($B467="","",IFERROR(INDEX(거래처마스터!$B$3:$B$102,MATCH($B467,거래처마스터!$A$3:$A$102,0)),"미등록"))</f>
        <v/>
      </c>
      <c r="D467" s="7"/>
      <c r="E467" s="12" t="str">
        <f aca="false">IF($D467="","",IFERROR(INDEX(품목마스터!$B$3:$B$202,MATCH($D467,품목마스터!$A$3:$A$202,0)),"미등록품번"))</f>
        <v/>
      </c>
      <c r="F467" s="12" t="str">
        <f aca="false">IF($D467="","",IFERROR(INDEX(품목마스터!$D$3:$D$202,MATCH($D467,품목마스터!$A$3:$A$202,0)),""))</f>
        <v/>
      </c>
      <c r="G467" s="9"/>
      <c r="H467" s="9"/>
      <c r="I467" s="13" t="str">
        <f aca="false">IF(OR($G467="",$H467=""),"",ROUND($G467*$H467,0))</f>
        <v/>
      </c>
      <c r="J467" s="7"/>
    </row>
    <row r="468" customFormat="false" ht="15" hidden="false" customHeight="true" outlineLevel="0" collapsed="false">
      <c r="A468" s="11"/>
      <c r="B468" s="7"/>
      <c r="C468" s="12" t="str">
        <f aca="false">IF($B468="","",IFERROR(INDEX(거래처마스터!$B$3:$B$102,MATCH($B468,거래처마스터!$A$3:$A$102,0)),"미등록"))</f>
        <v/>
      </c>
      <c r="D468" s="7"/>
      <c r="E468" s="12" t="str">
        <f aca="false">IF($D468="","",IFERROR(INDEX(품목마스터!$B$3:$B$202,MATCH($D468,품목마스터!$A$3:$A$202,0)),"미등록품번"))</f>
        <v/>
      </c>
      <c r="F468" s="12" t="str">
        <f aca="false">IF($D468="","",IFERROR(INDEX(품목마스터!$D$3:$D$202,MATCH($D468,품목마스터!$A$3:$A$202,0)),""))</f>
        <v/>
      </c>
      <c r="G468" s="9"/>
      <c r="H468" s="9"/>
      <c r="I468" s="13" t="str">
        <f aca="false">IF(OR($G468="",$H468=""),"",ROUND($G468*$H468,0))</f>
        <v/>
      </c>
      <c r="J468" s="7"/>
    </row>
    <row r="469" customFormat="false" ht="15" hidden="false" customHeight="true" outlineLevel="0" collapsed="false">
      <c r="A469" s="11"/>
      <c r="B469" s="7"/>
      <c r="C469" s="12" t="str">
        <f aca="false">IF($B469="","",IFERROR(INDEX(거래처마스터!$B$3:$B$102,MATCH($B469,거래처마스터!$A$3:$A$102,0)),"미등록"))</f>
        <v/>
      </c>
      <c r="D469" s="7"/>
      <c r="E469" s="12" t="str">
        <f aca="false">IF($D469="","",IFERROR(INDEX(품목마스터!$B$3:$B$202,MATCH($D469,품목마스터!$A$3:$A$202,0)),"미등록품번"))</f>
        <v/>
      </c>
      <c r="F469" s="12" t="str">
        <f aca="false">IF($D469="","",IFERROR(INDEX(품목마스터!$D$3:$D$202,MATCH($D469,품목마스터!$A$3:$A$202,0)),""))</f>
        <v/>
      </c>
      <c r="G469" s="9"/>
      <c r="H469" s="9"/>
      <c r="I469" s="13" t="str">
        <f aca="false">IF(OR($G469="",$H469=""),"",ROUND($G469*$H469,0))</f>
        <v/>
      </c>
      <c r="J469" s="7"/>
    </row>
    <row r="470" customFormat="false" ht="15" hidden="false" customHeight="true" outlineLevel="0" collapsed="false">
      <c r="A470" s="11"/>
      <c r="B470" s="7"/>
      <c r="C470" s="12" t="str">
        <f aca="false">IF($B470="","",IFERROR(INDEX(거래처마스터!$B$3:$B$102,MATCH($B470,거래처마스터!$A$3:$A$102,0)),"미등록"))</f>
        <v/>
      </c>
      <c r="D470" s="7"/>
      <c r="E470" s="12" t="str">
        <f aca="false">IF($D470="","",IFERROR(INDEX(품목마스터!$B$3:$B$202,MATCH($D470,품목마스터!$A$3:$A$202,0)),"미등록품번"))</f>
        <v/>
      </c>
      <c r="F470" s="12" t="str">
        <f aca="false">IF($D470="","",IFERROR(INDEX(품목마스터!$D$3:$D$202,MATCH($D470,품목마스터!$A$3:$A$202,0)),""))</f>
        <v/>
      </c>
      <c r="G470" s="9"/>
      <c r="H470" s="9"/>
      <c r="I470" s="13" t="str">
        <f aca="false">IF(OR($G470="",$H470=""),"",ROUND($G470*$H470,0))</f>
        <v/>
      </c>
      <c r="J470" s="7"/>
    </row>
    <row r="471" customFormat="false" ht="15" hidden="false" customHeight="true" outlineLevel="0" collapsed="false">
      <c r="A471" s="11"/>
      <c r="B471" s="7"/>
      <c r="C471" s="12" t="str">
        <f aca="false">IF($B471="","",IFERROR(INDEX(거래처마스터!$B$3:$B$102,MATCH($B471,거래처마스터!$A$3:$A$102,0)),"미등록"))</f>
        <v/>
      </c>
      <c r="D471" s="7"/>
      <c r="E471" s="12" t="str">
        <f aca="false">IF($D471="","",IFERROR(INDEX(품목마스터!$B$3:$B$202,MATCH($D471,품목마스터!$A$3:$A$202,0)),"미등록품번"))</f>
        <v/>
      </c>
      <c r="F471" s="12" t="str">
        <f aca="false">IF($D471="","",IFERROR(INDEX(품목마스터!$D$3:$D$202,MATCH($D471,품목마스터!$A$3:$A$202,0)),""))</f>
        <v/>
      </c>
      <c r="G471" s="9"/>
      <c r="H471" s="9"/>
      <c r="I471" s="13" t="str">
        <f aca="false">IF(OR($G471="",$H471=""),"",ROUND($G471*$H471,0))</f>
        <v/>
      </c>
      <c r="J471" s="7"/>
    </row>
    <row r="472" customFormat="false" ht="15" hidden="false" customHeight="true" outlineLevel="0" collapsed="false">
      <c r="A472" s="11"/>
      <c r="B472" s="7"/>
      <c r="C472" s="12" t="str">
        <f aca="false">IF($B472="","",IFERROR(INDEX(거래처마스터!$B$3:$B$102,MATCH($B472,거래처마스터!$A$3:$A$102,0)),"미등록"))</f>
        <v/>
      </c>
      <c r="D472" s="7"/>
      <c r="E472" s="12" t="str">
        <f aca="false">IF($D472="","",IFERROR(INDEX(품목마스터!$B$3:$B$202,MATCH($D472,품목마스터!$A$3:$A$202,0)),"미등록품번"))</f>
        <v/>
      </c>
      <c r="F472" s="12" t="str">
        <f aca="false">IF($D472="","",IFERROR(INDEX(품목마스터!$D$3:$D$202,MATCH($D472,품목마스터!$A$3:$A$202,0)),""))</f>
        <v/>
      </c>
      <c r="G472" s="9"/>
      <c r="H472" s="9"/>
      <c r="I472" s="13" t="str">
        <f aca="false">IF(OR($G472="",$H472=""),"",ROUND($G472*$H472,0))</f>
        <v/>
      </c>
      <c r="J472" s="7"/>
    </row>
    <row r="473" customFormat="false" ht="15" hidden="false" customHeight="true" outlineLevel="0" collapsed="false">
      <c r="A473" s="11"/>
      <c r="B473" s="7"/>
      <c r="C473" s="12" t="str">
        <f aca="false">IF($B473="","",IFERROR(INDEX(거래처마스터!$B$3:$B$102,MATCH($B473,거래처마스터!$A$3:$A$102,0)),"미등록"))</f>
        <v/>
      </c>
      <c r="D473" s="7"/>
      <c r="E473" s="12" t="str">
        <f aca="false">IF($D473="","",IFERROR(INDEX(품목마스터!$B$3:$B$202,MATCH($D473,품목마스터!$A$3:$A$202,0)),"미등록품번"))</f>
        <v/>
      </c>
      <c r="F473" s="12" t="str">
        <f aca="false">IF($D473="","",IFERROR(INDEX(품목마스터!$D$3:$D$202,MATCH($D473,품목마스터!$A$3:$A$202,0)),""))</f>
        <v/>
      </c>
      <c r="G473" s="9"/>
      <c r="H473" s="9"/>
      <c r="I473" s="13" t="str">
        <f aca="false">IF(OR($G473="",$H473=""),"",ROUND($G473*$H473,0))</f>
        <v/>
      </c>
      <c r="J473" s="7"/>
    </row>
    <row r="474" customFormat="false" ht="15" hidden="false" customHeight="true" outlineLevel="0" collapsed="false">
      <c r="A474" s="11"/>
      <c r="B474" s="7"/>
      <c r="C474" s="12" t="str">
        <f aca="false">IF($B474="","",IFERROR(INDEX(거래처마스터!$B$3:$B$102,MATCH($B474,거래처마스터!$A$3:$A$102,0)),"미등록"))</f>
        <v/>
      </c>
      <c r="D474" s="7"/>
      <c r="E474" s="12" t="str">
        <f aca="false">IF($D474="","",IFERROR(INDEX(품목마스터!$B$3:$B$202,MATCH($D474,품목마스터!$A$3:$A$202,0)),"미등록품번"))</f>
        <v/>
      </c>
      <c r="F474" s="12" t="str">
        <f aca="false">IF($D474="","",IFERROR(INDEX(품목마스터!$D$3:$D$202,MATCH($D474,품목마스터!$A$3:$A$202,0)),""))</f>
        <v/>
      </c>
      <c r="G474" s="9"/>
      <c r="H474" s="9"/>
      <c r="I474" s="13" t="str">
        <f aca="false">IF(OR($G474="",$H474=""),"",ROUND($G474*$H474,0))</f>
        <v/>
      </c>
      <c r="J474" s="7"/>
    </row>
    <row r="475" customFormat="false" ht="15" hidden="false" customHeight="true" outlineLevel="0" collapsed="false">
      <c r="A475" s="11"/>
      <c r="B475" s="7"/>
      <c r="C475" s="12" t="str">
        <f aca="false">IF($B475="","",IFERROR(INDEX(거래처마스터!$B$3:$B$102,MATCH($B475,거래처마스터!$A$3:$A$102,0)),"미등록"))</f>
        <v/>
      </c>
      <c r="D475" s="7"/>
      <c r="E475" s="12" t="str">
        <f aca="false">IF($D475="","",IFERROR(INDEX(품목마스터!$B$3:$B$202,MATCH($D475,품목마스터!$A$3:$A$202,0)),"미등록품번"))</f>
        <v/>
      </c>
      <c r="F475" s="12" t="str">
        <f aca="false">IF($D475="","",IFERROR(INDEX(품목마스터!$D$3:$D$202,MATCH($D475,품목마스터!$A$3:$A$202,0)),""))</f>
        <v/>
      </c>
      <c r="G475" s="9"/>
      <c r="H475" s="9"/>
      <c r="I475" s="13" t="str">
        <f aca="false">IF(OR($G475="",$H475=""),"",ROUND($G475*$H475,0))</f>
        <v/>
      </c>
      <c r="J475" s="7"/>
    </row>
    <row r="476" customFormat="false" ht="15" hidden="false" customHeight="true" outlineLevel="0" collapsed="false">
      <c r="A476" s="11"/>
      <c r="B476" s="7"/>
      <c r="C476" s="12" t="str">
        <f aca="false">IF($B476="","",IFERROR(INDEX(거래처마스터!$B$3:$B$102,MATCH($B476,거래처마스터!$A$3:$A$102,0)),"미등록"))</f>
        <v/>
      </c>
      <c r="D476" s="7"/>
      <c r="E476" s="12" t="str">
        <f aca="false">IF($D476="","",IFERROR(INDEX(품목마스터!$B$3:$B$202,MATCH($D476,품목마스터!$A$3:$A$202,0)),"미등록품번"))</f>
        <v/>
      </c>
      <c r="F476" s="12" t="str">
        <f aca="false">IF($D476="","",IFERROR(INDEX(품목마스터!$D$3:$D$202,MATCH($D476,품목마스터!$A$3:$A$202,0)),""))</f>
        <v/>
      </c>
      <c r="G476" s="9"/>
      <c r="H476" s="9"/>
      <c r="I476" s="13" t="str">
        <f aca="false">IF(OR($G476="",$H476=""),"",ROUND($G476*$H476,0))</f>
        <v/>
      </c>
      <c r="J476" s="7"/>
    </row>
    <row r="477" customFormat="false" ht="15" hidden="false" customHeight="true" outlineLevel="0" collapsed="false">
      <c r="A477" s="11"/>
      <c r="B477" s="7"/>
      <c r="C477" s="12" t="str">
        <f aca="false">IF($B477="","",IFERROR(INDEX(거래처마스터!$B$3:$B$102,MATCH($B477,거래처마스터!$A$3:$A$102,0)),"미등록"))</f>
        <v/>
      </c>
      <c r="D477" s="7"/>
      <c r="E477" s="12" t="str">
        <f aca="false">IF($D477="","",IFERROR(INDEX(품목마스터!$B$3:$B$202,MATCH($D477,품목마스터!$A$3:$A$202,0)),"미등록품번"))</f>
        <v/>
      </c>
      <c r="F477" s="12" t="str">
        <f aca="false">IF($D477="","",IFERROR(INDEX(품목마스터!$D$3:$D$202,MATCH($D477,품목마스터!$A$3:$A$202,0)),""))</f>
        <v/>
      </c>
      <c r="G477" s="9"/>
      <c r="H477" s="9"/>
      <c r="I477" s="13" t="str">
        <f aca="false">IF(OR($G477="",$H477=""),"",ROUND($G477*$H477,0))</f>
        <v/>
      </c>
      <c r="J477" s="7"/>
    </row>
    <row r="478" customFormat="false" ht="15" hidden="false" customHeight="true" outlineLevel="0" collapsed="false">
      <c r="A478" s="11"/>
      <c r="B478" s="7"/>
      <c r="C478" s="12" t="str">
        <f aca="false">IF($B478="","",IFERROR(INDEX(거래처마스터!$B$3:$B$102,MATCH($B478,거래처마스터!$A$3:$A$102,0)),"미등록"))</f>
        <v/>
      </c>
      <c r="D478" s="7"/>
      <c r="E478" s="12" t="str">
        <f aca="false">IF($D478="","",IFERROR(INDEX(품목마스터!$B$3:$B$202,MATCH($D478,품목마스터!$A$3:$A$202,0)),"미등록품번"))</f>
        <v/>
      </c>
      <c r="F478" s="12" t="str">
        <f aca="false">IF($D478="","",IFERROR(INDEX(품목마스터!$D$3:$D$202,MATCH($D478,품목마스터!$A$3:$A$202,0)),""))</f>
        <v/>
      </c>
      <c r="G478" s="9"/>
      <c r="H478" s="9"/>
      <c r="I478" s="13" t="str">
        <f aca="false">IF(OR($G478="",$H478=""),"",ROUND($G478*$H478,0))</f>
        <v/>
      </c>
      <c r="J478" s="7"/>
    </row>
    <row r="479" customFormat="false" ht="15" hidden="false" customHeight="true" outlineLevel="0" collapsed="false">
      <c r="A479" s="11"/>
      <c r="B479" s="7"/>
      <c r="C479" s="12" t="str">
        <f aca="false">IF($B479="","",IFERROR(INDEX(거래처마스터!$B$3:$B$102,MATCH($B479,거래처마스터!$A$3:$A$102,0)),"미등록"))</f>
        <v/>
      </c>
      <c r="D479" s="7"/>
      <c r="E479" s="12" t="str">
        <f aca="false">IF($D479="","",IFERROR(INDEX(품목마스터!$B$3:$B$202,MATCH($D479,품목마스터!$A$3:$A$202,0)),"미등록품번"))</f>
        <v/>
      </c>
      <c r="F479" s="12" t="str">
        <f aca="false">IF($D479="","",IFERROR(INDEX(품목마스터!$D$3:$D$202,MATCH($D479,품목마스터!$A$3:$A$202,0)),""))</f>
        <v/>
      </c>
      <c r="G479" s="9"/>
      <c r="H479" s="9"/>
      <c r="I479" s="13" t="str">
        <f aca="false">IF(OR($G479="",$H479=""),"",ROUND($G479*$H479,0))</f>
        <v/>
      </c>
      <c r="J479" s="7"/>
    </row>
    <row r="480" customFormat="false" ht="15" hidden="false" customHeight="true" outlineLevel="0" collapsed="false">
      <c r="A480" s="11"/>
      <c r="B480" s="7"/>
      <c r="C480" s="12" t="str">
        <f aca="false">IF($B480="","",IFERROR(INDEX(거래처마스터!$B$3:$B$102,MATCH($B480,거래처마스터!$A$3:$A$102,0)),"미등록"))</f>
        <v/>
      </c>
      <c r="D480" s="7"/>
      <c r="E480" s="12" t="str">
        <f aca="false">IF($D480="","",IFERROR(INDEX(품목마스터!$B$3:$B$202,MATCH($D480,품목마스터!$A$3:$A$202,0)),"미등록품번"))</f>
        <v/>
      </c>
      <c r="F480" s="12" t="str">
        <f aca="false">IF($D480="","",IFERROR(INDEX(품목마스터!$D$3:$D$202,MATCH($D480,품목마스터!$A$3:$A$202,0)),""))</f>
        <v/>
      </c>
      <c r="G480" s="9"/>
      <c r="H480" s="9"/>
      <c r="I480" s="13" t="str">
        <f aca="false">IF(OR($G480="",$H480=""),"",ROUND($G480*$H480,0))</f>
        <v/>
      </c>
      <c r="J480" s="7"/>
    </row>
    <row r="481" customFormat="false" ht="15" hidden="false" customHeight="true" outlineLevel="0" collapsed="false">
      <c r="A481" s="11"/>
      <c r="B481" s="7"/>
      <c r="C481" s="12" t="str">
        <f aca="false">IF($B481="","",IFERROR(INDEX(거래처마스터!$B$3:$B$102,MATCH($B481,거래처마스터!$A$3:$A$102,0)),"미등록"))</f>
        <v/>
      </c>
      <c r="D481" s="7"/>
      <c r="E481" s="12" t="str">
        <f aca="false">IF($D481="","",IFERROR(INDEX(품목마스터!$B$3:$B$202,MATCH($D481,품목마스터!$A$3:$A$202,0)),"미등록품번"))</f>
        <v/>
      </c>
      <c r="F481" s="12" t="str">
        <f aca="false">IF($D481="","",IFERROR(INDEX(품목마스터!$D$3:$D$202,MATCH($D481,품목마스터!$A$3:$A$202,0)),""))</f>
        <v/>
      </c>
      <c r="G481" s="9"/>
      <c r="H481" s="9"/>
      <c r="I481" s="13" t="str">
        <f aca="false">IF(OR($G481="",$H481=""),"",ROUND($G481*$H481,0))</f>
        <v/>
      </c>
      <c r="J481" s="7"/>
    </row>
    <row r="482" customFormat="false" ht="15" hidden="false" customHeight="true" outlineLevel="0" collapsed="false">
      <c r="A482" s="11"/>
      <c r="B482" s="7"/>
      <c r="C482" s="12" t="str">
        <f aca="false">IF($B482="","",IFERROR(INDEX(거래처마스터!$B$3:$B$102,MATCH($B482,거래처마스터!$A$3:$A$102,0)),"미등록"))</f>
        <v/>
      </c>
      <c r="D482" s="7"/>
      <c r="E482" s="12" t="str">
        <f aca="false">IF($D482="","",IFERROR(INDEX(품목마스터!$B$3:$B$202,MATCH($D482,품목마스터!$A$3:$A$202,0)),"미등록품번"))</f>
        <v/>
      </c>
      <c r="F482" s="12" t="str">
        <f aca="false">IF($D482="","",IFERROR(INDEX(품목마스터!$D$3:$D$202,MATCH($D482,품목마스터!$A$3:$A$202,0)),""))</f>
        <v/>
      </c>
      <c r="G482" s="9"/>
      <c r="H482" s="9"/>
      <c r="I482" s="13" t="str">
        <f aca="false">IF(OR($G482="",$H482=""),"",ROUND($G482*$H482,0))</f>
        <v/>
      </c>
      <c r="J482" s="7"/>
    </row>
    <row r="483" customFormat="false" ht="15" hidden="false" customHeight="true" outlineLevel="0" collapsed="false">
      <c r="A483" s="11"/>
      <c r="B483" s="7"/>
      <c r="C483" s="12" t="str">
        <f aca="false">IF($B483="","",IFERROR(INDEX(거래처마스터!$B$3:$B$102,MATCH($B483,거래처마스터!$A$3:$A$102,0)),"미등록"))</f>
        <v/>
      </c>
      <c r="D483" s="7"/>
      <c r="E483" s="12" t="str">
        <f aca="false">IF($D483="","",IFERROR(INDEX(품목마스터!$B$3:$B$202,MATCH($D483,품목마스터!$A$3:$A$202,0)),"미등록품번"))</f>
        <v/>
      </c>
      <c r="F483" s="12" t="str">
        <f aca="false">IF($D483="","",IFERROR(INDEX(품목마스터!$D$3:$D$202,MATCH($D483,품목마스터!$A$3:$A$202,0)),""))</f>
        <v/>
      </c>
      <c r="G483" s="9"/>
      <c r="H483" s="9"/>
      <c r="I483" s="13" t="str">
        <f aca="false">IF(OR($G483="",$H483=""),"",ROUND($G483*$H483,0))</f>
        <v/>
      </c>
      <c r="J483" s="7"/>
    </row>
    <row r="484" customFormat="false" ht="15" hidden="false" customHeight="true" outlineLevel="0" collapsed="false">
      <c r="A484" s="11"/>
      <c r="B484" s="7"/>
      <c r="C484" s="12" t="str">
        <f aca="false">IF($B484="","",IFERROR(INDEX(거래처마스터!$B$3:$B$102,MATCH($B484,거래처마스터!$A$3:$A$102,0)),"미등록"))</f>
        <v/>
      </c>
      <c r="D484" s="7"/>
      <c r="E484" s="12" t="str">
        <f aca="false">IF($D484="","",IFERROR(INDEX(품목마스터!$B$3:$B$202,MATCH($D484,품목마스터!$A$3:$A$202,0)),"미등록품번"))</f>
        <v/>
      </c>
      <c r="F484" s="12" t="str">
        <f aca="false">IF($D484="","",IFERROR(INDEX(품목마스터!$D$3:$D$202,MATCH($D484,품목마스터!$A$3:$A$202,0)),""))</f>
        <v/>
      </c>
      <c r="G484" s="9"/>
      <c r="H484" s="9"/>
      <c r="I484" s="13" t="str">
        <f aca="false">IF(OR($G484="",$H484=""),"",ROUND($G484*$H484,0))</f>
        <v/>
      </c>
      <c r="J484" s="7"/>
    </row>
    <row r="485" customFormat="false" ht="15" hidden="false" customHeight="true" outlineLevel="0" collapsed="false">
      <c r="A485" s="11"/>
      <c r="B485" s="7"/>
      <c r="C485" s="12" t="str">
        <f aca="false">IF($B485="","",IFERROR(INDEX(거래처마스터!$B$3:$B$102,MATCH($B485,거래처마스터!$A$3:$A$102,0)),"미등록"))</f>
        <v/>
      </c>
      <c r="D485" s="7"/>
      <c r="E485" s="12" t="str">
        <f aca="false">IF($D485="","",IFERROR(INDEX(품목마스터!$B$3:$B$202,MATCH($D485,품목마스터!$A$3:$A$202,0)),"미등록품번"))</f>
        <v/>
      </c>
      <c r="F485" s="12" t="str">
        <f aca="false">IF($D485="","",IFERROR(INDEX(품목마스터!$D$3:$D$202,MATCH($D485,품목마스터!$A$3:$A$202,0)),""))</f>
        <v/>
      </c>
      <c r="G485" s="9"/>
      <c r="H485" s="9"/>
      <c r="I485" s="13" t="str">
        <f aca="false">IF(OR($G485="",$H485=""),"",ROUND($G485*$H485,0))</f>
        <v/>
      </c>
      <c r="J485" s="7"/>
    </row>
    <row r="486" customFormat="false" ht="15" hidden="false" customHeight="true" outlineLevel="0" collapsed="false">
      <c r="A486" s="11"/>
      <c r="B486" s="7"/>
      <c r="C486" s="12" t="str">
        <f aca="false">IF($B486="","",IFERROR(INDEX(거래처마스터!$B$3:$B$102,MATCH($B486,거래처마스터!$A$3:$A$102,0)),"미등록"))</f>
        <v/>
      </c>
      <c r="D486" s="7"/>
      <c r="E486" s="12" t="str">
        <f aca="false">IF($D486="","",IFERROR(INDEX(품목마스터!$B$3:$B$202,MATCH($D486,품목마스터!$A$3:$A$202,0)),"미등록품번"))</f>
        <v/>
      </c>
      <c r="F486" s="12" t="str">
        <f aca="false">IF($D486="","",IFERROR(INDEX(품목마스터!$D$3:$D$202,MATCH($D486,품목마스터!$A$3:$A$202,0)),""))</f>
        <v/>
      </c>
      <c r="G486" s="9"/>
      <c r="H486" s="9"/>
      <c r="I486" s="13" t="str">
        <f aca="false">IF(OR($G486="",$H486=""),"",ROUND($G486*$H486,0))</f>
        <v/>
      </c>
      <c r="J486" s="7"/>
    </row>
    <row r="487" customFormat="false" ht="15" hidden="false" customHeight="true" outlineLevel="0" collapsed="false">
      <c r="A487" s="11"/>
      <c r="B487" s="7"/>
      <c r="C487" s="12" t="str">
        <f aca="false">IF($B487="","",IFERROR(INDEX(거래처마스터!$B$3:$B$102,MATCH($B487,거래처마스터!$A$3:$A$102,0)),"미등록"))</f>
        <v/>
      </c>
      <c r="D487" s="7"/>
      <c r="E487" s="12" t="str">
        <f aca="false">IF($D487="","",IFERROR(INDEX(품목마스터!$B$3:$B$202,MATCH($D487,품목마스터!$A$3:$A$202,0)),"미등록품번"))</f>
        <v/>
      </c>
      <c r="F487" s="12" t="str">
        <f aca="false">IF($D487="","",IFERROR(INDEX(품목마스터!$D$3:$D$202,MATCH($D487,품목마스터!$A$3:$A$202,0)),""))</f>
        <v/>
      </c>
      <c r="G487" s="9"/>
      <c r="H487" s="9"/>
      <c r="I487" s="13" t="str">
        <f aca="false">IF(OR($G487="",$H487=""),"",ROUND($G487*$H487,0))</f>
        <v/>
      </c>
      <c r="J487" s="7"/>
    </row>
    <row r="488" customFormat="false" ht="15" hidden="false" customHeight="true" outlineLevel="0" collapsed="false">
      <c r="A488" s="11"/>
      <c r="B488" s="7"/>
      <c r="C488" s="12" t="str">
        <f aca="false">IF($B488="","",IFERROR(INDEX(거래처마스터!$B$3:$B$102,MATCH($B488,거래처마스터!$A$3:$A$102,0)),"미등록"))</f>
        <v/>
      </c>
      <c r="D488" s="7"/>
      <c r="E488" s="12" t="str">
        <f aca="false">IF($D488="","",IFERROR(INDEX(품목마스터!$B$3:$B$202,MATCH($D488,품목마스터!$A$3:$A$202,0)),"미등록품번"))</f>
        <v/>
      </c>
      <c r="F488" s="12" t="str">
        <f aca="false">IF($D488="","",IFERROR(INDEX(품목마스터!$D$3:$D$202,MATCH($D488,품목마스터!$A$3:$A$202,0)),""))</f>
        <v/>
      </c>
      <c r="G488" s="9"/>
      <c r="H488" s="9"/>
      <c r="I488" s="13" t="str">
        <f aca="false">IF(OR($G488="",$H488=""),"",ROUND($G488*$H488,0))</f>
        <v/>
      </c>
      <c r="J488" s="7"/>
    </row>
    <row r="489" customFormat="false" ht="15" hidden="false" customHeight="true" outlineLevel="0" collapsed="false">
      <c r="A489" s="11"/>
      <c r="B489" s="7"/>
      <c r="C489" s="12" t="str">
        <f aca="false">IF($B489="","",IFERROR(INDEX(거래처마스터!$B$3:$B$102,MATCH($B489,거래처마스터!$A$3:$A$102,0)),"미등록"))</f>
        <v/>
      </c>
      <c r="D489" s="7"/>
      <c r="E489" s="12" t="str">
        <f aca="false">IF($D489="","",IFERROR(INDEX(품목마스터!$B$3:$B$202,MATCH($D489,품목마스터!$A$3:$A$202,0)),"미등록품번"))</f>
        <v/>
      </c>
      <c r="F489" s="12" t="str">
        <f aca="false">IF($D489="","",IFERROR(INDEX(품목마스터!$D$3:$D$202,MATCH($D489,품목마스터!$A$3:$A$202,0)),""))</f>
        <v/>
      </c>
      <c r="G489" s="9"/>
      <c r="H489" s="9"/>
      <c r="I489" s="13" t="str">
        <f aca="false">IF(OR($G489="",$H489=""),"",ROUND($G489*$H489,0))</f>
        <v/>
      </c>
      <c r="J489" s="7"/>
    </row>
    <row r="490" customFormat="false" ht="15" hidden="false" customHeight="true" outlineLevel="0" collapsed="false">
      <c r="A490" s="11"/>
      <c r="B490" s="7"/>
      <c r="C490" s="12" t="str">
        <f aca="false">IF($B490="","",IFERROR(INDEX(거래처마스터!$B$3:$B$102,MATCH($B490,거래처마스터!$A$3:$A$102,0)),"미등록"))</f>
        <v/>
      </c>
      <c r="D490" s="7"/>
      <c r="E490" s="12" t="str">
        <f aca="false">IF($D490="","",IFERROR(INDEX(품목마스터!$B$3:$B$202,MATCH($D490,품목마스터!$A$3:$A$202,0)),"미등록품번"))</f>
        <v/>
      </c>
      <c r="F490" s="12" t="str">
        <f aca="false">IF($D490="","",IFERROR(INDEX(품목마스터!$D$3:$D$202,MATCH($D490,품목마스터!$A$3:$A$202,0)),""))</f>
        <v/>
      </c>
      <c r="G490" s="9"/>
      <c r="H490" s="9"/>
      <c r="I490" s="13" t="str">
        <f aca="false">IF(OR($G490="",$H490=""),"",ROUND($G490*$H490,0))</f>
        <v/>
      </c>
      <c r="J490" s="7"/>
    </row>
    <row r="491" customFormat="false" ht="15" hidden="false" customHeight="true" outlineLevel="0" collapsed="false">
      <c r="A491" s="11"/>
      <c r="B491" s="7"/>
      <c r="C491" s="12" t="str">
        <f aca="false">IF($B491="","",IFERROR(INDEX(거래처마스터!$B$3:$B$102,MATCH($B491,거래처마스터!$A$3:$A$102,0)),"미등록"))</f>
        <v/>
      </c>
      <c r="D491" s="7"/>
      <c r="E491" s="12" t="str">
        <f aca="false">IF($D491="","",IFERROR(INDEX(품목마스터!$B$3:$B$202,MATCH($D491,품목마스터!$A$3:$A$202,0)),"미등록품번"))</f>
        <v/>
      </c>
      <c r="F491" s="12" t="str">
        <f aca="false">IF($D491="","",IFERROR(INDEX(품목마스터!$D$3:$D$202,MATCH($D491,품목마스터!$A$3:$A$202,0)),""))</f>
        <v/>
      </c>
      <c r="G491" s="9"/>
      <c r="H491" s="9"/>
      <c r="I491" s="13" t="str">
        <f aca="false">IF(OR($G491="",$H491=""),"",ROUND($G491*$H491,0))</f>
        <v/>
      </c>
      <c r="J491" s="7"/>
    </row>
    <row r="492" customFormat="false" ht="15" hidden="false" customHeight="true" outlineLevel="0" collapsed="false">
      <c r="A492" s="11"/>
      <c r="B492" s="7"/>
      <c r="C492" s="12" t="str">
        <f aca="false">IF($B492="","",IFERROR(INDEX(거래처마스터!$B$3:$B$102,MATCH($B492,거래처마스터!$A$3:$A$102,0)),"미등록"))</f>
        <v/>
      </c>
      <c r="D492" s="7"/>
      <c r="E492" s="12" t="str">
        <f aca="false">IF($D492="","",IFERROR(INDEX(품목마스터!$B$3:$B$202,MATCH($D492,품목마스터!$A$3:$A$202,0)),"미등록품번"))</f>
        <v/>
      </c>
      <c r="F492" s="12" t="str">
        <f aca="false">IF($D492="","",IFERROR(INDEX(품목마스터!$D$3:$D$202,MATCH($D492,품목마스터!$A$3:$A$202,0)),""))</f>
        <v/>
      </c>
      <c r="G492" s="9"/>
      <c r="H492" s="9"/>
      <c r="I492" s="13" t="str">
        <f aca="false">IF(OR($G492="",$H492=""),"",ROUND($G492*$H492,0))</f>
        <v/>
      </c>
      <c r="J492" s="7"/>
    </row>
    <row r="493" customFormat="false" ht="15" hidden="false" customHeight="true" outlineLevel="0" collapsed="false">
      <c r="A493" s="11"/>
      <c r="B493" s="7"/>
      <c r="C493" s="12" t="str">
        <f aca="false">IF($B493="","",IFERROR(INDEX(거래처마스터!$B$3:$B$102,MATCH($B493,거래처마스터!$A$3:$A$102,0)),"미등록"))</f>
        <v/>
      </c>
      <c r="D493" s="7"/>
      <c r="E493" s="12" t="str">
        <f aca="false">IF($D493="","",IFERROR(INDEX(품목마스터!$B$3:$B$202,MATCH($D493,품목마스터!$A$3:$A$202,0)),"미등록품번"))</f>
        <v/>
      </c>
      <c r="F493" s="12" t="str">
        <f aca="false">IF($D493="","",IFERROR(INDEX(품목마스터!$D$3:$D$202,MATCH($D493,품목마스터!$A$3:$A$202,0)),""))</f>
        <v/>
      </c>
      <c r="G493" s="9"/>
      <c r="H493" s="9"/>
      <c r="I493" s="13" t="str">
        <f aca="false">IF(OR($G493="",$H493=""),"",ROUND($G493*$H493,0))</f>
        <v/>
      </c>
      <c r="J493" s="7"/>
    </row>
    <row r="494" customFormat="false" ht="15" hidden="false" customHeight="true" outlineLevel="0" collapsed="false">
      <c r="A494" s="11"/>
      <c r="B494" s="7"/>
      <c r="C494" s="12" t="str">
        <f aca="false">IF($B494="","",IFERROR(INDEX(거래처마스터!$B$3:$B$102,MATCH($B494,거래처마스터!$A$3:$A$102,0)),"미등록"))</f>
        <v/>
      </c>
      <c r="D494" s="7"/>
      <c r="E494" s="12" t="str">
        <f aca="false">IF($D494="","",IFERROR(INDEX(품목마스터!$B$3:$B$202,MATCH($D494,품목마스터!$A$3:$A$202,0)),"미등록품번"))</f>
        <v/>
      </c>
      <c r="F494" s="12" t="str">
        <f aca="false">IF($D494="","",IFERROR(INDEX(품목마스터!$D$3:$D$202,MATCH($D494,품목마스터!$A$3:$A$202,0)),""))</f>
        <v/>
      </c>
      <c r="G494" s="9"/>
      <c r="H494" s="9"/>
      <c r="I494" s="13" t="str">
        <f aca="false">IF(OR($G494="",$H494=""),"",ROUND($G494*$H494,0))</f>
        <v/>
      </c>
      <c r="J494" s="7"/>
    </row>
    <row r="495" customFormat="false" ht="15" hidden="false" customHeight="true" outlineLevel="0" collapsed="false">
      <c r="A495" s="11"/>
      <c r="B495" s="7"/>
      <c r="C495" s="12" t="str">
        <f aca="false">IF($B495="","",IFERROR(INDEX(거래처마스터!$B$3:$B$102,MATCH($B495,거래처마스터!$A$3:$A$102,0)),"미등록"))</f>
        <v/>
      </c>
      <c r="D495" s="7"/>
      <c r="E495" s="12" t="str">
        <f aca="false">IF($D495="","",IFERROR(INDEX(품목마스터!$B$3:$B$202,MATCH($D495,품목마스터!$A$3:$A$202,0)),"미등록품번"))</f>
        <v/>
      </c>
      <c r="F495" s="12" t="str">
        <f aca="false">IF($D495="","",IFERROR(INDEX(품목마스터!$D$3:$D$202,MATCH($D495,품목마스터!$A$3:$A$202,0)),""))</f>
        <v/>
      </c>
      <c r="G495" s="9"/>
      <c r="H495" s="9"/>
      <c r="I495" s="13" t="str">
        <f aca="false">IF(OR($G495="",$H495=""),"",ROUND($G495*$H495,0))</f>
        <v/>
      </c>
      <c r="J495" s="7"/>
    </row>
    <row r="496" customFormat="false" ht="15" hidden="false" customHeight="true" outlineLevel="0" collapsed="false">
      <c r="A496" s="11"/>
      <c r="B496" s="7"/>
      <c r="C496" s="12" t="str">
        <f aca="false">IF($B496="","",IFERROR(INDEX(거래처마스터!$B$3:$B$102,MATCH($B496,거래처마스터!$A$3:$A$102,0)),"미등록"))</f>
        <v/>
      </c>
      <c r="D496" s="7"/>
      <c r="E496" s="12" t="str">
        <f aca="false">IF($D496="","",IFERROR(INDEX(품목마스터!$B$3:$B$202,MATCH($D496,품목마스터!$A$3:$A$202,0)),"미등록품번"))</f>
        <v/>
      </c>
      <c r="F496" s="12" t="str">
        <f aca="false">IF($D496="","",IFERROR(INDEX(품목마스터!$D$3:$D$202,MATCH($D496,품목마스터!$A$3:$A$202,0)),""))</f>
        <v/>
      </c>
      <c r="G496" s="9"/>
      <c r="H496" s="9"/>
      <c r="I496" s="13" t="str">
        <f aca="false">IF(OR($G496="",$H496=""),"",ROUND($G496*$H496,0))</f>
        <v/>
      </c>
      <c r="J496" s="7"/>
    </row>
    <row r="497" customFormat="false" ht="15" hidden="false" customHeight="true" outlineLevel="0" collapsed="false">
      <c r="A497" s="11"/>
      <c r="B497" s="7"/>
      <c r="C497" s="12" t="str">
        <f aca="false">IF($B497="","",IFERROR(INDEX(거래처마스터!$B$3:$B$102,MATCH($B497,거래처마스터!$A$3:$A$102,0)),"미등록"))</f>
        <v/>
      </c>
      <c r="D497" s="7"/>
      <c r="E497" s="12" t="str">
        <f aca="false">IF($D497="","",IFERROR(INDEX(품목마스터!$B$3:$B$202,MATCH($D497,품목마스터!$A$3:$A$202,0)),"미등록품번"))</f>
        <v/>
      </c>
      <c r="F497" s="12" t="str">
        <f aca="false">IF($D497="","",IFERROR(INDEX(품목마스터!$D$3:$D$202,MATCH($D497,품목마스터!$A$3:$A$202,0)),""))</f>
        <v/>
      </c>
      <c r="G497" s="9"/>
      <c r="H497" s="9"/>
      <c r="I497" s="13" t="str">
        <f aca="false">IF(OR($G497="",$H497=""),"",ROUND($G497*$H497,0))</f>
        <v/>
      </c>
      <c r="J497" s="7"/>
    </row>
    <row r="498" customFormat="false" ht="15" hidden="false" customHeight="true" outlineLevel="0" collapsed="false">
      <c r="A498" s="11"/>
      <c r="B498" s="7"/>
      <c r="C498" s="12" t="str">
        <f aca="false">IF($B498="","",IFERROR(INDEX(거래처마스터!$B$3:$B$102,MATCH($B498,거래처마스터!$A$3:$A$102,0)),"미등록"))</f>
        <v/>
      </c>
      <c r="D498" s="7"/>
      <c r="E498" s="12" t="str">
        <f aca="false">IF($D498="","",IFERROR(INDEX(품목마스터!$B$3:$B$202,MATCH($D498,품목마스터!$A$3:$A$202,0)),"미등록품번"))</f>
        <v/>
      </c>
      <c r="F498" s="12" t="str">
        <f aca="false">IF($D498="","",IFERROR(INDEX(품목마스터!$D$3:$D$202,MATCH($D498,품목마스터!$A$3:$A$202,0)),""))</f>
        <v/>
      </c>
      <c r="G498" s="9"/>
      <c r="H498" s="9"/>
      <c r="I498" s="13" t="str">
        <f aca="false">IF(OR($G498="",$H498=""),"",ROUND($G498*$H498,0))</f>
        <v/>
      </c>
      <c r="J498" s="7"/>
    </row>
    <row r="499" customFormat="false" ht="15" hidden="false" customHeight="true" outlineLevel="0" collapsed="false">
      <c r="A499" s="11"/>
      <c r="B499" s="7"/>
      <c r="C499" s="12" t="str">
        <f aca="false">IF($B499="","",IFERROR(INDEX(거래처마스터!$B$3:$B$102,MATCH($B499,거래처마스터!$A$3:$A$102,0)),"미등록"))</f>
        <v/>
      </c>
      <c r="D499" s="7"/>
      <c r="E499" s="12" t="str">
        <f aca="false">IF($D499="","",IFERROR(INDEX(품목마스터!$B$3:$B$202,MATCH($D499,품목마스터!$A$3:$A$202,0)),"미등록품번"))</f>
        <v/>
      </c>
      <c r="F499" s="12" t="str">
        <f aca="false">IF($D499="","",IFERROR(INDEX(품목마스터!$D$3:$D$202,MATCH($D499,품목마스터!$A$3:$A$202,0)),""))</f>
        <v/>
      </c>
      <c r="G499" s="9"/>
      <c r="H499" s="9"/>
      <c r="I499" s="13" t="str">
        <f aca="false">IF(OR($G499="",$H499=""),"",ROUND($G499*$H499,0))</f>
        <v/>
      </c>
      <c r="J499" s="7"/>
    </row>
    <row r="500" customFormat="false" ht="15" hidden="false" customHeight="true" outlineLevel="0" collapsed="false">
      <c r="A500" s="11"/>
      <c r="B500" s="7"/>
      <c r="C500" s="12" t="str">
        <f aca="false">IF($B500="","",IFERROR(INDEX(거래처마스터!$B$3:$B$102,MATCH($B500,거래처마스터!$A$3:$A$102,0)),"미등록"))</f>
        <v/>
      </c>
      <c r="D500" s="7"/>
      <c r="E500" s="12" t="str">
        <f aca="false">IF($D500="","",IFERROR(INDEX(품목마스터!$B$3:$B$202,MATCH($D500,품목마스터!$A$3:$A$202,0)),"미등록품번"))</f>
        <v/>
      </c>
      <c r="F500" s="12" t="str">
        <f aca="false">IF($D500="","",IFERROR(INDEX(품목마스터!$D$3:$D$202,MATCH($D500,품목마스터!$A$3:$A$202,0)),""))</f>
        <v/>
      </c>
      <c r="G500" s="9"/>
      <c r="H500" s="9"/>
      <c r="I500" s="13" t="str">
        <f aca="false">IF(OR($G500="",$H500=""),"",ROUND($G500*$H500,0))</f>
        <v/>
      </c>
      <c r="J500" s="7"/>
    </row>
    <row r="501" customFormat="false" ht="15" hidden="false" customHeight="true" outlineLevel="0" collapsed="false">
      <c r="A501" s="11"/>
      <c r="B501" s="7"/>
      <c r="C501" s="12" t="str">
        <f aca="false">IF($B501="","",IFERROR(INDEX(거래처마스터!$B$3:$B$102,MATCH($B501,거래처마스터!$A$3:$A$102,0)),"미등록"))</f>
        <v/>
      </c>
      <c r="D501" s="7"/>
      <c r="E501" s="12" t="str">
        <f aca="false">IF($D501="","",IFERROR(INDEX(품목마스터!$B$3:$B$202,MATCH($D501,품목마스터!$A$3:$A$202,0)),"미등록품번"))</f>
        <v/>
      </c>
      <c r="F501" s="12" t="str">
        <f aca="false">IF($D501="","",IFERROR(INDEX(품목마스터!$D$3:$D$202,MATCH($D501,품목마스터!$A$3:$A$202,0)),""))</f>
        <v/>
      </c>
      <c r="G501" s="9"/>
      <c r="H501" s="9"/>
      <c r="I501" s="13" t="str">
        <f aca="false">IF(OR($G501="",$H501=""),"",ROUND($G501*$H501,0))</f>
        <v/>
      </c>
      <c r="J501" s="7"/>
    </row>
    <row r="502" customFormat="false" ht="15" hidden="false" customHeight="true" outlineLevel="0" collapsed="false">
      <c r="A502" s="11"/>
      <c r="B502" s="7"/>
      <c r="C502" s="12" t="str">
        <f aca="false">IF($B502="","",IFERROR(INDEX(거래처마스터!$B$3:$B$102,MATCH($B502,거래처마스터!$A$3:$A$102,0)),"미등록"))</f>
        <v/>
      </c>
      <c r="D502" s="7"/>
      <c r="E502" s="12" t="str">
        <f aca="false">IF($D502="","",IFERROR(INDEX(품목마스터!$B$3:$B$202,MATCH($D502,품목마스터!$A$3:$A$202,0)),"미등록품번"))</f>
        <v/>
      </c>
      <c r="F502" s="12" t="str">
        <f aca="false">IF($D502="","",IFERROR(INDEX(품목마스터!$D$3:$D$202,MATCH($D502,품목마스터!$A$3:$A$202,0)),""))</f>
        <v/>
      </c>
      <c r="G502" s="9"/>
      <c r="H502" s="9"/>
      <c r="I502" s="13" t="str">
        <f aca="false">IF(OR($G502="",$H502=""),"",ROUND($G502*$H502,0))</f>
        <v/>
      </c>
      <c r="J502" s="7"/>
    </row>
    <row r="503" customFormat="false" ht="15" hidden="false" customHeight="true" outlineLevel="0" collapsed="false">
      <c r="A503" s="11"/>
      <c r="B503" s="7"/>
      <c r="C503" s="12" t="str">
        <f aca="false">IF($B503="","",IFERROR(INDEX(거래처마스터!$B$3:$B$102,MATCH($B503,거래처마스터!$A$3:$A$102,0)),"미등록"))</f>
        <v/>
      </c>
      <c r="D503" s="7"/>
      <c r="E503" s="12" t="str">
        <f aca="false">IF($D503="","",IFERROR(INDEX(품목마스터!$B$3:$B$202,MATCH($D503,품목마스터!$A$3:$A$202,0)),"미등록품번"))</f>
        <v/>
      </c>
      <c r="F503" s="12" t="str">
        <f aca="false">IF($D503="","",IFERROR(INDEX(품목마스터!$D$3:$D$202,MATCH($D503,품목마스터!$A$3:$A$202,0)),""))</f>
        <v/>
      </c>
      <c r="G503" s="9"/>
      <c r="H503" s="9"/>
      <c r="I503" s="13" t="str">
        <f aca="false">IF(OR($G503="",$H503=""),"",ROUND($G503*$H503,0))</f>
        <v/>
      </c>
      <c r="J503" s="7"/>
    </row>
    <row r="504" customFormat="false" ht="15" hidden="false" customHeight="true" outlineLevel="0" collapsed="false">
      <c r="A504" s="11"/>
      <c r="B504" s="7"/>
      <c r="C504" s="12" t="str">
        <f aca="false">IF($B504="","",IFERROR(INDEX(거래처마스터!$B$3:$B$102,MATCH($B504,거래처마스터!$A$3:$A$102,0)),"미등록"))</f>
        <v/>
      </c>
      <c r="D504" s="7"/>
      <c r="E504" s="12" t="str">
        <f aca="false">IF($D504="","",IFERROR(INDEX(품목마스터!$B$3:$B$202,MATCH($D504,품목마스터!$A$3:$A$202,0)),"미등록품번"))</f>
        <v/>
      </c>
      <c r="F504" s="12" t="str">
        <f aca="false">IF($D504="","",IFERROR(INDEX(품목마스터!$D$3:$D$202,MATCH($D504,품목마스터!$A$3:$A$202,0)),""))</f>
        <v/>
      </c>
      <c r="G504" s="9"/>
      <c r="H504" s="9"/>
      <c r="I504" s="13" t="str">
        <f aca="false">IF(OR($G504="",$H504=""),"",ROUND($G504*$H504,0))</f>
        <v/>
      </c>
      <c r="J504" s="7"/>
    </row>
    <row r="505" customFormat="false" ht="15" hidden="false" customHeight="true" outlineLevel="0" collapsed="false">
      <c r="A505" s="11"/>
      <c r="B505" s="7"/>
      <c r="C505" s="12" t="str">
        <f aca="false">IF($B505="","",IFERROR(INDEX(거래처마스터!$B$3:$B$102,MATCH($B505,거래처마스터!$A$3:$A$102,0)),"미등록"))</f>
        <v/>
      </c>
      <c r="D505" s="7"/>
      <c r="E505" s="12" t="str">
        <f aca="false">IF($D505="","",IFERROR(INDEX(품목마스터!$B$3:$B$202,MATCH($D505,품목마스터!$A$3:$A$202,0)),"미등록품번"))</f>
        <v/>
      </c>
      <c r="F505" s="12" t="str">
        <f aca="false">IF($D505="","",IFERROR(INDEX(품목마스터!$D$3:$D$202,MATCH($D505,품목마스터!$A$3:$A$202,0)),""))</f>
        <v/>
      </c>
      <c r="G505" s="9"/>
      <c r="H505" s="9"/>
      <c r="I505" s="13" t="str">
        <f aca="false">IF(OR($G505="",$H505=""),"",ROUND($G505*$H505,0))</f>
        <v/>
      </c>
      <c r="J505" s="7"/>
    </row>
    <row r="506" customFormat="false" ht="15" hidden="false" customHeight="true" outlineLevel="0" collapsed="false">
      <c r="A506" s="11"/>
      <c r="B506" s="7"/>
      <c r="C506" s="12" t="str">
        <f aca="false">IF($B506="","",IFERROR(INDEX(거래처마스터!$B$3:$B$102,MATCH($B506,거래처마스터!$A$3:$A$102,0)),"미등록"))</f>
        <v/>
      </c>
      <c r="D506" s="7"/>
      <c r="E506" s="12" t="str">
        <f aca="false">IF($D506="","",IFERROR(INDEX(품목마스터!$B$3:$B$202,MATCH($D506,품목마스터!$A$3:$A$202,0)),"미등록품번"))</f>
        <v/>
      </c>
      <c r="F506" s="12" t="str">
        <f aca="false">IF($D506="","",IFERROR(INDEX(품목마스터!$D$3:$D$202,MATCH($D506,품목마스터!$A$3:$A$202,0)),""))</f>
        <v/>
      </c>
      <c r="G506" s="9"/>
      <c r="H506" s="9"/>
      <c r="I506" s="13" t="str">
        <f aca="false">IF(OR($G506="",$H506=""),"",ROUND($G506*$H506,0))</f>
        <v/>
      </c>
      <c r="J506" s="7"/>
    </row>
    <row r="507" customFormat="false" ht="15" hidden="false" customHeight="true" outlineLevel="0" collapsed="false">
      <c r="A507" s="11"/>
      <c r="B507" s="7"/>
      <c r="C507" s="12" t="str">
        <f aca="false">IF($B507="","",IFERROR(INDEX(거래처마스터!$B$3:$B$102,MATCH($B507,거래처마스터!$A$3:$A$102,0)),"미등록"))</f>
        <v/>
      </c>
      <c r="D507" s="7"/>
      <c r="E507" s="12" t="str">
        <f aca="false">IF($D507="","",IFERROR(INDEX(품목마스터!$B$3:$B$202,MATCH($D507,품목마스터!$A$3:$A$202,0)),"미등록품번"))</f>
        <v/>
      </c>
      <c r="F507" s="12" t="str">
        <f aca="false">IF($D507="","",IFERROR(INDEX(품목마스터!$D$3:$D$202,MATCH($D507,품목마스터!$A$3:$A$202,0)),""))</f>
        <v/>
      </c>
      <c r="G507" s="9"/>
      <c r="H507" s="9"/>
      <c r="I507" s="13" t="str">
        <f aca="false">IF(OR($G507="",$H507=""),"",ROUND($G507*$H507,0))</f>
        <v/>
      </c>
      <c r="J507" s="7"/>
    </row>
    <row r="508" customFormat="false" ht="15" hidden="false" customHeight="true" outlineLevel="0" collapsed="false">
      <c r="A508" s="11"/>
      <c r="B508" s="7"/>
      <c r="C508" s="12" t="str">
        <f aca="false">IF($B508="","",IFERROR(INDEX(거래처마스터!$B$3:$B$102,MATCH($B508,거래처마스터!$A$3:$A$102,0)),"미등록"))</f>
        <v/>
      </c>
      <c r="D508" s="7"/>
      <c r="E508" s="12" t="str">
        <f aca="false">IF($D508="","",IFERROR(INDEX(품목마스터!$B$3:$B$202,MATCH($D508,품목마스터!$A$3:$A$202,0)),"미등록품번"))</f>
        <v/>
      </c>
      <c r="F508" s="12" t="str">
        <f aca="false">IF($D508="","",IFERROR(INDEX(품목마스터!$D$3:$D$202,MATCH($D508,품목마스터!$A$3:$A$202,0)),""))</f>
        <v/>
      </c>
      <c r="G508" s="9"/>
      <c r="H508" s="9"/>
      <c r="I508" s="13" t="str">
        <f aca="false">IF(OR($G508="",$H508=""),"",ROUND($G508*$H508,0))</f>
        <v/>
      </c>
      <c r="J508" s="7"/>
    </row>
    <row r="509" customFormat="false" ht="15" hidden="false" customHeight="true" outlineLevel="0" collapsed="false">
      <c r="A509" s="11"/>
      <c r="B509" s="7"/>
      <c r="C509" s="12" t="str">
        <f aca="false">IF($B509="","",IFERROR(INDEX(거래처마스터!$B$3:$B$102,MATCH($B509,거래처마스터!$A$3:$A$102,0)),"미등록"))</f>
        <v/>
      </c>
      <c r="D509" s="7"/>
      <c r="E509" s="12" t="str">
        <f aca="false">IF($D509="","",IFERROR(INDEX(품목마스터!$B$3:$B$202,MATCH($D509,품목마스터!$A$3:$A$202,0)),"미등록품번"))</f>
        <v/>
      </c>
      <c r="F509" s="12" t="str">
        <f aca="false">IF($D509="","",IFERROR(INDEX(품목마스터!$D$3:$D$202,MATCH($D509,품목마스터!$A$3:$A$202,0)),""))</f>
        <v/>
      </c>
      <c r="G509" s="9"/>
      <c r="H509" s="9"/>
      <c r="I509" s="13" t="str">
        <f aca="false">IF(OR($G509="",$H509=""),"",ROUND($G509*$H509,0))</f>
        <v/>
      </c>
      <c r="J509" s="7"/>
    </row>
    <row r="510" customFormat="false" ht="15" hidden="false" customHeight="true" outlineLevel="0" collapsed="false">
      <c r="A510" s="11"/>
      <c r="B510" s="7"/>
      <c r="C510" s="12" t="str">
        <f aca="false">IF($B510="","",IFERROR(INDEX(거래처마스터!$B$3:$B$102,MATCH($B510,거래처마스터!$A$3:$A$102,0)),"미등록"))</f>
        <v/>
      </c>
      <c r="D510" s="7"/>
      <c r="E510" s="12" t="str">
        <f aca="false">IF($D510="","",IFERROR(INDEX(품목마스터!$B$3:$B$202,MATCH($D510,품목마스터!$A$3:$A$202,0)),"미등록품번"))</f>
        <v/>
      </c>
      <c r="F510" s="12" t="str">
        <f aca="false">IF($D510="","",IFERROR(INDEX(품목마스터!$D$3:$D$202,MATCH($D510,품목마스터!$A$3:$A$202,0)),""))</f>
        <v/>
      </c>
      <c r="G510" s="9"/>
      <c r="H510" s="9"/>
      <c r="I510" s="13" t="str">
        <f aca="false">IF(OR($G510="",$H510=""),"",ROUND($G510*$H510,0))</f>
        <v/>
      </c>
      <c r="J510" s="7"/>
    </row>
    <row r="511" customFormat="false" ht="15" hidden="false" customHeight="true" outlineLevel="0" collapsed="false">
      <c r="A511" s="11"/>
      <c r="B511" s="7"/>
      <c r="C511" s="12" t="str">
        <f aca="false">IF($B511="","",IFERROR(INDEX(거래처마스터!$B$3:$B$102,MATCH($B511,거래처마스터!$A$3:$A$102,0)),"미등록"))</f>
        <v/>
      </c>
      <c r="D511" s="7"/>
      <c r="E511" s="12" t="str">
        <f aca="false">IF($D511="","",IFERROR(INDEX(품목마스터!$B$3:$B$202,MATCH($D511,품목마스터!$A$3:$A$202,0)),"미등록품번"))</f>
        <v/>
      </c>
      <c r="F511" s="12" t="str">
        <f aca="false">IF($D511="","",IFERROR(INDEX(품목마스터!$D$3:$D$202,MATCH($D511,품목마스터!$A$3:$A$202,0)),""))</f>
        <v/>
      </c>
      <c r="G511" s="9"/>
      <c r="H511" s="9"/>
      <c r="I511" s="13" t="str">
        <f aca="false">IF(OR($G511="",$H511=""),"",ROUND($G511*$H511,0))</f>
        <v/>
      </c>
      <c r="J511" s="7"/>
    </row>
    <row r="512" customFormat="false" ht="15" hidden="false" customHeight="true" outlineLevel="0" collapsed="false">
      <c r="A512" s="11"/>
      <c r="B512" s="7"/>
      <c r="C512" s="12" t="str">
        <f aca="false">IF($B512="","",IFERROR(INDEX(거래처마스터!$B$3:$B$102,MATCH($B512,거래처마스터!$A$3:$A$102,0)),"미등록"))</f>
        <v/>
      </c>
      <c r="D512" s="7"/>
      <c r="E512" s="12" t="str">
        <f aca="false">IF($D512="","",IFERROR(INDEX(품목마스터!$B$3:$B$202,MATCH($D512,품목마스터!$A$3:$A$202,0)),"미등록품번"))</f>
        <v/>
      </c>
      <c r="F512" s="12" t="str">
        <f aca="false">IF($D512="","",IFERROR(INDEX(품목마스터!$D$3:$D$202,MATCH($D512,품목마스터!$A$3:$A$202,0)),""))</f>
        <v/>
      </c>
      <c r="G512" s="9"/>
      <c r="H512" s="9"/>
      <c r="I512" s="13" t="str">
        <f aca="false">IF(OR($G512="",$H512=""),"",ROUND($G512*$H512,0))</f>
        <v/>
      </c>
      <c r="J512" s="7"/>
    </row>
    <row r="513" customFormat="false" ht="15" hidden="false" customHeight="true" outlineLevel="0" collapsed="false">
      <c r="A513" s="11"/>
      <c r="B513" s="7"/>
      <c r="C513" s="12" t="str">
        <f aca="false">IF($B513="","",IFERROR(INDEX(거래처마스터!$B$3:$B$102,MATCH($B513,거래처마스터!$A$3:$A$102,0)),"미등록"))</f>
        <v/>
      </c>
      <c r="D513" s="7"/>
      <c r="E513" s="12" t="str">
        <f aca="false">IF($D513="","",IFERROR(INDEX(품목마스터!$B$3:$B$202,MATCH($D513,품목마스터!$A$3:$A$202,0)),"미등록품번"))</f>
        <v/>
      </c>
      <c r="F513" s="12" t="str">
        <f aca="false">IF($D513="","",IFERROR(INDEX(품목마스터!$D$3:$D$202,MATCH($D513,품목마스터!$A$3:$A$202,0)),""))</f>
        <v/>
      </c>
      <c r="G513" s="9"/>
      <c r="H513" s="9"/>
      <c r="I513" s="13" t="str">
        <f aca="false">IF(OR($G513="",$H513=""),"",ROUND($G513*$H513,0))</f>
        <v/>
      </c>
      <c r="J513" s="7"/>
    </row>
    <row r="514" customFormat="false" ht="15" hidden="false" customHeight="true" outlineLevel="0" collapsed="false">
      <c r="A514" s="11"/>
      <c r="B514" s="7"/>
      <c r="C514" s="12" t="str">
        <f aca="false">IF($B514="","",IFERROR(INDEX(거래처마스터!$B$3:$B$102,MATCH($B514,거래처마스터!$A$3:$A$102,0)),"미등록"))</f>
        <v/>
      </c>
      <c r="D514" s="7"/>
      <c r="E514" s="12" t="str">
        <f aca="false">IF($D514="","",IFERROR(INDEX(품목마스터!$B$3:$B$202,MATCH($D514,품목마스터!$A$3:$A$202,0)),"미등록품번"))</f>
        <v/>
      </c>
      <c r="F514" s="12" t="str">
        <f aca="false">IF($D514="","",IFERROR(INDEX(품목마스터!$D$3:$D$202,MATCH($D514,품목마스터!$A$3:$A$202,0)),""))</f>
        <v/>
      </c>
      <c r="G514" s="9"/>
      <c r="H514" s="9"/>
      <c r="I514" s="13" t="str">
        <f aca="false">IF(OR($G514="",$H514=""),"",ROUND($G514*$H514,0))</f>
        <v/>
      </c>
      <c r="J514" s="7"/>
    </row>
    <row r="515" customFormat="false" ht="15" hidden="false" customHeight="true" outlineLevel="0" collapsed="false">
      <c r="A515" s="11"/>
      <c r="B515" s="7"/>
      <c r="C515" s="12" t="str">
        <f aca="false">IF($B515="","",IFERROR(INDEX(거래처마스터!$B$3:$B$102,MATCH($B515,거래처마스터!$A$3:$A$102,0)),"미등록"))</f>
        <v/>
      </c>
      <c r="D515" s="7"/>
      <c r="E515" s="12" t="str">
        <f aca="false">IF($D515="","",IFERROR(INDEX(품목마스터!$B$3:$B$202,MATCH($D515,품목마스터!$A$3:$A$202,0)),"미등록품번"))</f>
        <v/>
      </c>
      <c r="F515" s="12" t="str">
        <f aca="false">IF($D515="","",IFERROR(INDEX(품목마스터!$D$3:$D$202,MATCH($D515,품목마스터!$A$3:$A$202,0)),""))</f>
        <v/>
      </c>
      <c r="G515" s="9"/>
      <c r="H515" s="9"/>
      <c r="I515" s="13" t="str">
        <f aca="false">IF(OR($G515="",$H515=""),"",ROUND($G515*$H515,0))</f>
        <v/>
      </c>
      <c r="J515" s="7"/>
    </row>
    <row r="516" customFormat="false" ht="15" hidden="false" customHeight="true" outlineLevel="0" collapsed="false">
      <c r="A516" s="11"/>
      <c r="B516" s="7"/>
      <c r="C516" s="12" t="str">
        <f aca="false">IF($B516="","",IFERROR(INDEX(거래처마스터!$B$3:$B$102,MATCH($B516,거래처마스터!$A$3:$A$102,0)),"미등록"))</f>
        <v/>
      </c>
      <c r="D516" s="7"/>
      <c r="E516" s="12" t="str">
        <f aca="false">IF($D516="","",IFERROR(INDEX(품목마스터!$B$3:$B$202,MATCH($D516,품목마스터!$A$3:$A$202,0)),"미등록품번"))</f>
        <v/>
      </c>
      <c r="F516" s="12" t="str">
        <f aca="false">IF($D516="","",IFERROR(INDEX(품목마스터!$D$3:$D$202,MATCH($D516,품목마스터!$A$3:$A$202,0)),""))</f>
        <v/>
      </c>
      <c r="G516" s="9"/>
      <c r="H516" s="9"/>
      <c r="I516" s="13" t="str">
        <f aca="false">IF(OR($G516="",$H516=""),"",ROUND($G516*$H516,0))</f>
        <v/>
      </c>
      <c r="J516" s="7"/>
    </row>
    <row r="517" customFormat="false" ht="15" hidden="false" customHeight="true" outlineLevel="0" collapsed="false">
      <c r="A517" s="11"/>
      <c r="B517" s="7"/>
      <c r="C517" s="12" t="str">
        <f aca="false">IF($B517="","",IFERROR(INDEX(거래처마스터!$B$3:$B$102,MATCH($B517,거래처마스터!$A$3:$A$102,0)),"미등록"))</f>
        <v/>
      </c>
      <c r="D517" s="7"/>
      <c r="E517" s="12" t="str">
        <f aca="false">IF($D517="","",IFERROR(INDEX(품목마스터!$B$3:$B$202,MATCH($D517,품목마스터!$A$3:$A$202,0)),"미등록품번"))</f>
        <v/>
      </c>
      <c r="F517" s="12" t="str">
        <f aca="false">IF($D517="","",IFERROR(INDEX(품목마스터!$D$3:$D$202,MATCH($D517,품목마스터!$A$3:$A$202,0)),""))</f>
        <v/>
      </c>
      <c r="G517" s="9"/>
      <c r="H517" s="9"/>
      <c r="I517" s="13" t="str">
        <f aca="false">IF(OR($G517="",$H517=""),"",ROUND($G517*$H517,0))</f>
        <v/>
      </c>
      <c r="J517" s="7"/>
    </row>
    <row r="518" customFormat="false" ht="15" hidden="false" customHeight="true" outlineLevel="0" collapsed="false">
      <c r="A518" s="11"/>
      <c r="B518" s="7"/>
      <c r="C518" s="12" t="str">
        <f aca="false">IF($B518="","",IFERROR(INDEX(거래처마스터!$B$3:$B$102,MATCH($B518,거래처마스터!$A$3:$A$102,0)),"미등록"))</f>
        <v/>
      </c>
      <c r="D518" s="7"/>
      <c r="E518" s="12" t="str">
        <f aca="false">IF($D518="","",IFERROR(INDEX(품목마스터!$B$3:$B$202,MATCH($D518,품목마스터!$A$3:$A$202,0)),"미등록품번"))</f>
        <v/>
      </c>
      <c r="F518" s="12" t="str">
        <f aca="false">IF($D518="","",IFERROR(INDEX(품목마스터!$D$3:$D$202,MATCH($D518,품목마스터!$A$3:$A$202,0)),""))</f>
        <v/>
      </c>
      <c r="G518" s="9"/>
      <c r="H518" s="9"/>
      <c r="I518" s="13" t="str">
        <f aca="false">IF(OR($G518="",$H518=""),"",ROUND($G518*$H518,0))</f>
        <v/>
      </c>
      <c r="J518" s="7"/>
    </row>
    <row r="519" customFormat="false" ht="15" hidden="false" customHeight="true" outlineLevel="0" collapsed="false">
      <c r="A519" s="11"/>
      <c r="B519" s="7"/>
      <c r="C519" s="12" t="str">
        <f aca="false">IF($B519="","",IFERROR(INDEX(거래처마스터!$B$3:$B$102,MATCH($B519,거래처마스터!$A$3:$A$102,0)),"미등록"))</f>
        <v/>
      </c>
      <c r="D519" s="7"/>
      <c r="E519" s="12" t="str">
        <f aca="false">IF($D519="","",IFERROR(INDEX(품목마스터!$B$3:$B$202,MATCH($D519,품목마스터!$A$3:$A$202,0)),"미등록품번"))</f>
        <v/>
      </c>
      <c r="F519" s="12" t="str">
        <f aca="false">IF($D519="","",IFERROR(INDEX(품목마스터!$D$3:$D$202,MATCH($D519,품목마스터!$A$3:$A$202,0)),""))</f>
        <v/>
      </c>
      <c r="G519" s="9"/>
      <c r="H519" s="9"/>
      <c r="I519" s="13" t="str">
        <f aca="false">IF(OR($G519="",$H519=""),"",ROUND($G519*$H519,0))</f>
        <v/>
      </c>
      <c r="J519" s="7"/>
    </row>
    <row r="520" customFormat="false" ht="15" hidden="false" customHeight="true" outlineLevel="0" collapsed="false">
      <c r="A520" s="11"/>
      <c r="B520" s="7"/>
      <c r="C520" s="12" t="str">
        <f aca="false">IF($B520="","",IFERROR(INDEX(거래처마스터!$B$3:$B$102,MATCH($B520,거래처마스터!$A$3:$A$102,0)),"미등록"))</f>
        <v/>
      </c>
      <c r="D520" s="7"/>
      <c r="E520" s="12" t="str">
        <f aca="false">IF($D520="","",IFERROR(INDEX(품목마스터!$B$3:$B$202,MATCH($D520,품목마스터!$A$3:$A$202,0)),"미등록품번"))</f>
        <v/>
      </c>
      <c r="F520" s="12" t="str">
        <f aca="false">IF($D520="","",IFERROR(INDEX(품목마스터!$D$3:$D$202,MATCH($D520,품목마스터!$A$3:$A$202,0)),""))</f>
        <v/>
      </c>
      <c r="G520" s="9"/>
      <c r="H520" s="9"/>
      <c r="I520" s="13" t="str">
        <f aca="false">IF(OR($G520="",$H520=""),"",ROUND($G520*$H520,0))</f>
        <v/>
      </c>
      <c r="J520" s="7"/>
    </row>
    <row r="521" customFormat="false" ht="15" hidden="false" customHeight="true" outlineLevel="0" collapsed="false">
      <c r="A521" s="11"/>
      <c r="B521" s="7"/>
      <c r="C521" s="12" t="str">
        <f aca="false">IF($B521="","",IFERROR(INDEX(거래처마스터!$B$3:$B$102,MATCH($B521,거래처마스터!$A$3:$A$102,0)),"미등록"))</f>
        <v/>
      </c>
      <c r="D521" s="7"/>
      <c r="E521" s="12" t="str">
        <f aca="false">IF($D521="","",IFERROR(INDEX(품목마스터!$B$3:$B$202,MATCH($D521,품목마스터!$A$3:$A$202,0)),"미등록품번"))</f>
        <v/>
      </c>
      <c r="F521" s="12" t="str">
        <f aca="false">IF($D521="","",IFERROR(INDEX(품목마스터!$D$3:$D$202,MATCH($D521,품목마스터!$A$3:$A$202,0)),""))</f>
        <v/>
      </c>
      <c r="G521" s="9"/>
      <c r="H521" s="9"/>
      <c r="I521" s="13" t="str">
        <f aca="false">IF(OR($G521="",$H521=""),"",ROUND($G521*$H521,0))</f>
        <v/>
      </c>
      <c r="J521" s="7"/>
    </row>
    <row r="522" customFormat="false" ht="15" hidden="false" customHeight="true" outlineLevel="0" collapsed="false">
      <c r="A522" s="11"/>
      <c r="B522" s="7"/>
      <c r="C522" s="12" t="str">
        <f aca="false">IF($B522="","",IFERROR(INDEX(거래처마스터!$B$3:$B$102,MATCH($B522,거래처마스터!$A$3:$A$102,0)),"미등록"))</f>
        <v/>
      </c>
      <c r="D522" s="7"/>
      <c r="E522" s="12" t="str">
        <f aca="false">IF($D522="","",IFERROR(INDEX(품목마스터!$B$3:$B$202,MATCH($D522,품목마스터!$A$3:$A$202,0)),"미등록품번"))</f>
        <v/>
      </c>
      <c r="F522" s="12" t="str">
        <f aca="false">IF($D522="","",IFERROR(INDEX(품목마스터!$D$3:$D$202,MATCH($D522,품목마스터!$A$3:$A$202,0)),""))</f>
        <v/>
      </c>
      <c r="G522" s="9"/>
      <c r="H522" s="9"/>
      <c r="I522" s="13" t="str">
        <f aca="false">IF(OR($G522="",$H522=""),"",ROUND($G522*$H522,0))</f>
        <v/>
      </c>
      <c r="J522" s="7"/>
    </row>
    <row r="523" customFormat="false" ht="15" hidden="false" customHeight="true" outlineLevel="0" collapsed="false">
      <c r="A523" s="11"/>
      <c r="B523" s="7"/>
      <c r="C523" s="12" t="str">
        <f aca="false">IF($B523="","",IFERROR(INDEX(거래처마스터!$B$3:$B$102,MATCH($B523,거래처마스터!$A$3:$A$102,0)),"미등록"))</f>
        <v/>
      </c>
      <c r="D523" s="7"/>
      <c r="E523" s="12" t="str">
        <f aca="false">IF($D523="","",IFERROR(INDEX(품목마스터!$B$3:$B$202,MATCH($D523,품목마스터!$A$3:$A$202,0)),"미등록품번"))</f>
        <v/>
      </c>
      <c r="F523" s="12" t="str">
        <f aca="false">IF($D523="","",IFERROR(INDEX(품목마스터!$D$3:$D$202,MATCH($D523,품목마스터!$A$3:$A$202,0)),""))</f>
        <v/>
      </c>
      <c r="G523" s="9"/>
      <c r="H523" s="9"/>
      <c r="I523" s="13" t="str">
        <f aca="false">IF(OR($G523="",$H523=""),"",ROUND($G523*$H523,0))</f>
        <v/>
      </c>
      <c r="J523" s="7"/>
    </row>
    <row r="524" customFormat="false" ht="15" hidden="false" customHeight="true" outlineLevel="0" collapsed="false">
      <c r="A524" s="11"/>
      <c r="B524" s="7"/>
      <c r="C524" s="12" t="str">
        <f aca="false">IF($B524="","",IFERROR(INDEX(거래처마스터!$B$3:$B$102,MATCH($B524,거래처마스터!$A$3:$A$102,0)),"미등록"))</f>
        <v/>
      </c>
      <c r="D524" s="7"/>
      <c r="E524" s="12" t="str">
        <f aca="false">IF($D524="","",IFERROR(INDEX(품목마스터!$B$3:$B$202,MATCH($D524,품목마스터!$A$3:$A$202,0)),"미등록품번"))</f>
        <v/>
      </c>
      <c r="F524" s="12" t="str">
        <f aca="false">IF($D524="","",IFERROR(INDEX(품목마스터!$D$3:$D$202,MATCH($D524,품목마스터!$A$3:$A$202,0)),""))</f>
        <v/>
      </c>
      <c r="G524" s="9"/>
      <c r="H524" s="9"/>
      <c r="I524" s="13" t="str">
        <f aca="false">IF(OR($G524="",$H524=""),"",ROUND($G524*$H524,0))</f>
        <v/>
      </c>
      <c r="J524" s="7"/>
    </row>
    <row r="525" customFormat="false" ht="15" hidden="false" customHeight="true" outlineLevel="0" collapsed="false">
      <c r="A525" s="11"/>
      <c r="B525" s="7"/>
      <c r="C525" s="12" t="str">
        <f aca="false">IF($B525="","",IFERROR(INDEX(거래처마스터!$B$3:$B$102,MATCH($B525,거래처마스터!$A$3:$A$102,0)),"미등록"))</f>
        <v/>
      </c>
      <c r="D525" s="7"/>
      <c r="E525" s="12" t="str">
        <f aca="false">IF($D525="","",IFERROR(INDEX(품목마스터!$B$3:$B$202,MATCH($D525,품목마스터!$A$3:$A$202,0)),"미등록품번"))</f>
        <v/>
      </c>
      <c r="F525" s="12" t="str">
        <f aca="false">IF($D525="","",IFERROR(INDEX(품목마스터!$D$3:$D$202,MATCH($D525,품목마스터!$A$3:$A$202,0)),""))</f>
        <v/>
      </c>
      <c r="G525" s="9"/>
      <c r="H525" s="9"/>
      <c r="I525" s="13" t="str">
        <f aca="false">IF(OR($G525="",$H525=""),"",ROUND($G525*$H525,0))</f>
        <v/>
      </c>
      <c r="J525" s="7"/>
    </row>
    <row r="526" customFormat="false" ht="15" hidden="false" customHeight="true" outlineLevel="0" collapsed="false">
      <c r="A526" s="11"/>
      <c r="B526" s="7"/>
      <c r="C526" s="12" t="str">
        <f aca="false">IF($B526="","",IFERROR(INDEX(거래처마스터!$B$3:$B$102,MATCH($B526,거래처마스터!$A$3:$A$102,0)),"미등록"))</f>
        <v/>
      </c>
      <c r="D526" s="7"/>
      <c r="E526" s="12" t="str">
        <f aca="false">IF($D526="","",IFERROR(INDEX(품목마스터!$B$3:$B$202,MATCH($D526,품목마스터!$A$3:$A$202,0)),"미등록품번"))</f>
        <v/>
      </c>
      <c r="F526" s="12" t="str">
        <f aca="false">IF($D526="","",IFERROR(INDEX(품목마스터!$D$3:$D$202,MATCH($D526,품목마스터!$A$3:$A$202,0)),""))</f>
        <v/>
      </c>
      <c r="G526" s="9"/>
      <c r="H526" s="9"/>
      <c r="I526" s="13" t="str">
        <f aca="false">IF(OR($G526="",$H526=""),"",ROUND($G526*$H526,0))</f>
        <v/>
      </c>
      <c r="J526" s="7"/>
    </row>
    <row r="527" customFormat="false" ht="15" hidden="false" customHeight="true" outlineLevel="0" collapsed="false">
      <c r="A527" s="11"/>
      <c r="B527" s="7"/>
      <c r="C527" s="12" t="str">
        <f aca="false">IF($B527="","",IFERROR(INDEX(거래처마스터!$B$3:$B$102,MATCH($B527,거래처마스터!$A$3:$A$102,0)),"미등록"))</f>
        <v/>
      </c>
      <c r="D527" s="7"/>
      <c r="E527" s="12" t="str">
        <f aca="false">IF($D527="","",IFERROR(INDEX(품목마스터!$B$3:$B$202,MATCH($D527,품목마스터!$A$3:$A$202,0)),"미등록품번"))</f>
        <v/>
      </c>
      <c r="F527" s="12" t="str">
        <f aca="false">IF($D527="","",IFERROR(INDEX(품목마스터!$D$3:$D$202,MATCH($D527,품목마스터!$A$3:$A$202,0)),""))</f>
        <v/>
      </c>
      <c r="G527" s="9"/>
      <c r="H527" s="9"/>
      <c r="I527" s="13" t="str">
        <f aca="false">IF(OR($G527="",$H527=""),"",ROUND($G527*$H527,0))</f>
        <v/>
      </c>
      <c r="J527" s="7"/>
    </row>
    <row r="528" customFormat="false" ht="15" hidden="false" customHeight="true" outlineLevel="0" collapsed="false">
      <c r="A528" s="11"/>
      <c r="B528" s="7"/>
      <c r="C528" s="12" t="str">
        <f aca="false">IF($B528="","",IFERROR(INDEX(거래처마스터!$B$3:$B$102,MATCH($B528,거래처마스터!$A$3:$A$102,0)),"미등록"))</f>
        <v/>
      </c>
      <c r="D528" s="7"/>
      <c r="E528" s="12" t="str">
        <f aca="false">IF($D528="","",IFERROR(INDEX(품목마스터!$B$3:$B$202,MATCH($D528,품목마스터!$A$3:$A$202,0)),"미등록품번"))</f>
        <v/>
      </c>
      <c r="F528" s="12" t="str">
        <f aca="false">IF($D528="","",IFERROR(INDEX(품목마스터!$D$3:$D$202,MATCH($D528,품목마스터!$A$3:$A$202,0)),""))</f>
        <v/>
      </c>
      <c r="G528" s="9"/>
      <c r="H528" s="9"/>
      <c r="I528" s="13" t="str">
        <f aca="false">IF(OR($G528="",$H528=""),"",ROUND($G528*$H528,0))</f>
        <v/>
      </c>
      <c r="J528" s="7"/>
    </row>
    <row r="529" customFormat="false" ht="15" hidden="false" customHeight="true" outlineLevel="0" collapsed="false">
      <c r="A529" s="11"/>
      <c r="B529" s="7"/>
      <c r="C529" s="12" t="str">
        <f aca="false">IF($B529="","",IFERROR(INDEX(거래처마스터!$B$3:$B$102,MATCH($B529,거래처마스터!$A$3:$A$102,0)),"미등록"))</f>
        <v/>
      </c>
      <c r="D529" s="7"/>
      <c r="E529" s="12" t="str">
        <f aca="false">IF($D529="","",IFERROR(INDEX(품목마스터!$B$3:$B$202,MATCH($D529,품목마스터!$A$3:$A$202,0)),"미등록품번"))</f>
        <v/>
      </c>
      <c r="F529" s="12" t="str">
        <f aca="false">IF($D529="","",IFERROR(INDEX(품목마스터!$D$3:$D$202,MATCH($D529,품목마스터!$A$3:$A$202,0)),""))</f>
        <v/>
      </c>
      <c r="G529" s="9"/>
      <c r="H529" s="9"/>
      <c r="I529" s="13" t="str">
        <f aca="false">IF(OR($G529="",$H529=""),"",ROUND($G529*$H529,0))</f>
        <v/>
      </c>
      <c r="J529" s="7"/>
    </row>
    <row r="530" customFormat="false" ht="15" hidden="false" customHeight="true" outlineLevel="0" collapsed="false">
      <c r="A530" s="11"/>
      <c r="B530" s="7"/>
      <c r="C530" s="12" t="str">
        <f aca="false">IF($B530="","",IFERROR(INDEX(거래처마스터!$B$3:$B$102,MATCH($B530,거래처마스터!$A$3:$A$102,0)),"미등록"))</f>
        <v/>
      </c>
      <c r="D530" s="7"/>
      <c r="E530" s="12" t="str">
        <f aca="false">IF($D530="","",IFERROR(INDEX(품목마스터!$B$3:$B$202,MATCH($D530,품목마스터!$A$3:$A$202,0)),"미등록품번"))</f>
        <v/>
      </c>
      <c r="F530" s="12" t="str">
        <f aca="false">IF($D530="","",IFERROR(INDEX(품목마스터!$D$3:$D$202,MATCH($D530,품목마스터!$A$3:$A$202,0)),""))</f>
        <v/>
      </c>
      <c r="G530" s="9"/>
      <c r="H530" s="9"/>
      <c r="I530" s="13" t="str">
        <f aca="false">IF(OR($G530="",$H530=""),"",ROUND($G530*$H530,0))</f>
        <v/>
      </c>
      <c r="J530" s="7"/>
    </row>
    <row r="531" customFormat="false" ht="15" hidden="false" customHeight="true" outlineLevel="0" collapsed="false">
      <c r="A531" s="11"/>
      <c r="B531" s="7"/>
      <c r="C531" s="12" t="str">
        <f aca="false">IF($B531="","",IFERROR(INDEX(거래처마스터!$B$3:$B$102,MATCH($B531,거래처마스터!$A$3:$A$102,0)),"미등록"))</f>
        <v/>
      </c>
      <c r="D531" s="7"/>
      <c r="E531" s="12" t="str">
        <f aca="false">IF($D531="","",IFERROR(INDEX(품목마스터!$B$3:$B$202,MATCH($D531,품목마스터!$A$3:$A$202,0)),"미등록품번"))</f>
        <v/>
      </c>
      <c r="F531" s="12" t="str">
        <f aca="false">IF($D531="","",IFERROR(INDEX(품목마스터!$D$3:$D$202,MATCH($D531,품목마스터!$A$3:$A$202,0)),""))</f>
        <v/>
      </c>
      <c r="G531" s="9"/>
      <c r="H531" s="9"/>
      <c r="I531" s="13" t="str">
        <f aca="false">IF(OR($G531="",$H531=""),"",ROUND($G531*$H531,0))</f>
        <v/>
      </c>
      <c r="J531" s="7"/>
    </row>
    <row r="532" customFormat="false" ht="15" hidden="false" customHeight="true" outlineLevel="0" collapsed="false">
      <c r="A532" s="11"/>
      <c r="B532" s="7"/>
      <c r="C532" s="12" t="str">
        <f aca="false">IF($B532="","",IFERROR(INDEX(거래처마스터!$B$3:$B$102,MATCH($B532,거래처마스터!$A$3:$A$102,0)),"미등록"))</f>
        <v/>
      </c>
      <c r="D532" s="7"/>
      <c r="E532" s="12" t="str">
        <f aca="false">IF($D532="","",IFERROR(INDEX(품목마스터!$B$3:$B$202,MATCH($D532,품목마스터!$A$3:$A$202,0)),"미등록품번"))</f>
        <v/>
      </c>
      <c r="F532" s="12" t="str">
        <f aca="false">IF($D532="","",IFERROR(INDEX(품목마스터!$D$3:$D$202,MATCH($D532,품목마스터!$A$3:$A$202,0)),""))</f>
        <v/>
      </c>
      <c r="G532" s="9"/>
      <c r="H532" s="9"/>
      <c r="I532" s="13" t="str">
        <f aca="false">IF(OR($G532="",$H532=""),"",ROUND($G532*$H532,0))</f>
        <v/>
      </c>
      <c r="J532" s="7"/>
    </row>
    <row r="533" customFormat="false" ht="15" hidden="false" customHeight="true" outlineLevel="0" collapsed="false">
      <c r="A533" s="11"/>
      <c r="B533" s="7"/>
      <c r="C533" s="12" t="str">
        <f aca="false">IF($B533="","",IFERROR(INDEX(거래처마스터!$B$3:$B$102,MATCH($B533,거래처마스터!$A$3:$A$102,0)),"미등록"))</f>
        <v/>
      </c>
      <c r="D533" s="7"/>
      <c r="E533" s="12" t="str">
        <f aca="false">IF($D533="","",IFERROR(INDEX(품목마스터!$B$3:$B$202,MATCH($D533,품목마스터!$A$3:$A$202,0)),"미등록품번"))</f>
        <v/>
      </c>
      <c r="F533" s="12" t="str">
        <f aca="false">IF($D533="","",IFERROR(INDEX(품목마스터!$D$3:$D$202,MATCH($D533,품목마스터!$A$3:$A$202,0)),""))</f>
        <v/>
      </c>
      <c r="G533" s="9"/>
      <c r="H533" s="9"/>
      <c r="I533" s="13" t="str">
        <f aca="false">IF(OR($G533="",$H533=""),"",ROUND($G533*$H533,0))</f>
        <v/>
      </c>
      <c r="J533" s="7"/>
    </row>
    <row r="534" customFormat="false" ht="15" hidden="false" customHeight="true" outlineLevel="0" collapsed="false">
      <c r="A534" s="11"/>
      <c r="B534" s="7"/>
      <c r="C534" s="12" t="str">
        <f aca="false">IF($B534="","",IFERROR(INDEX(거래처마스터!$B$3:$B$102,MATCH($B534,거래처마스터!$A$3:$A$102,0)),"미등록"))</f>
        <v/>
      </c>
      <c r="D534" s="7"/>
      <c r="E534" s="12" t="str">
        <f aca="false">IF($D534="","",IFERROR(INDEX(품목마스터!$B$3:$B$202,MATCH($D534,품목마스터!$A$3:$A$202,0)),"미등록품번"))</f>
        <v/>
      </c>
      <c r="F534" s="12" t="str">
        <f aca="false">IF($D534="","",IFERROR(INDEX(품목마스터!$D$3:$D$202,MATCH($D534,품목마스터!$A$3:$A$202,0)),""))</f>
        <v/>
      </c>
      <c r="G534" s="9"/>
      <c r="H534" s="9"/>
      <c r="I534" s="13" t="str">
        <f aca="false">IF(OR($G534="",$H534=""),"",ROUND($G534*$H534,0))</f>
        <v/>
      </c>
      <c r="J534" s="7"/>
    </row>
    <row r="535" customFormat="false" ht="15" hidden="false" customHeight="true" outlineLevel="0" collapsed="false">
      <c r="A535" s="11"/>
      <c r="B535" s="7"/>
      <c r="C535" s="12" t="str">
        <f aca="false">IF($B535="","",IFERROR(INDEX(거래처마스터!$B$3:$B$102,MATCH($B535,거래처마스터!$A$3:$A$102,0)),"미등록"))</f>
        <v/>
      </c>
      <c r="D535" s="7"/>
      <c r="E535" s="12" t="str">
        <f aca="false">IF($D535="","",IFERROR(INDEX(품목마스터!$B$3:$B$202,MATCH($D535,품목마스터!$A$3:$A$202,0)),"미등록품번"))</f>
        <v/>
      </c>
      <c r="F535" s="12" t="str">
        <f aca="false">IF($D535="","",IFERROR(INDEX(품목마스터!$D$3:$D$202,MATCH($D535,품목마스터!$A$3:$A$202,0)),""))</f>
        <v/>
      </c>
      <c r="G535" s="9"/>
      <c r="H535" s="9"/>
      <c r="I535" s="13" t="str">
        <f aca="false">IF(OR($G535="",$H535=""),"",ROUND($G535*$H535,0))</f>
        <v/>
      </c>
      <c r="J535" s="7"/>
    </row>
    <row r="536" customFormat="false" ht="15" hidden="false" customHeight="true" outlineLevel="0" collapsed="false">
      <c r="A536" s="11"/>
      <c r="B536" s="7"/>
      <c r="C536" s="12" t="str">
        <f aca="false">IF($B536="","",IFERROR(INDEX(거래처마스터!$B$3:$B$102,MATCH($B536,거래처마스터!$A$3:$A$102,0)),"미등록"))</f>
        <v/>
      </c>
      <c r="D536" s="7"/>
      <c r="E536" s="12" t="str">
        <f aca="false">IF($D536="","",IFERROR(INDEX(품목마스터!$B$3:$B$202,MATCH($D536,품목마스터!$A$3:$A$202,0)),"미등록품번"))</f>
        <v/>
      </c>
      <c r="F536" s="12" t="str">
        <f aca="false">IF($D536="","",IFERROR(INDEX(품목마스터!$D$3:$D$202,MATCH($D536,품목마스터!$A$3:$A$202,0)),""))</f>
        <v/>
      </c>
      <c r="G536" s="9"/>
      <c r="H536" s="9"/>
      <c r="I536" s="13" t="str">
        <f aca="false">IF(OR($G536="",$H536=""),"",ROUND($G536*$H536,0))</f>
        <v/>
      </c>
      <c r="J536" s="7"/>
    </row>
    <row r="537" customFormat="false" ht="15" hidden="false" customHeight="true" outlineLevel="0" collapsed="false">
      <c r="A537" s="11"/>
      <c r="B537" s="7"/>
      <c r="C537" s="12" t="str">
        <f aca="false">IF($B537="","",IFERROR(INDEX(거래처마스터!$B$3:$B$102,MATCH($B537,거래처마스터!$A$3:$A$102,0)),"미등록"))</f>
        <v/>
      </c>
      <c r="D537" s="7"/>
      <c r="E537" s="12" t="str">
        <f aca="false">IF($D537="","",IFERROR(INDEX(품목마스터!$B$3:$B$202,MATCH($D537,품목마스터!$A$3:$A$202,0)),"미등록품번"))</f>
        <v/>
      </c>
      <c r="F537" s="12" t="str">
        <f aca="false">IF($D537="","",IFERROR(INDEX(품목마스터!$D$3:$D$202,MATCH($D537,품목마스터!$A$3:$A$202,0)),""))</f>
        <v/>
      </c>
      <c r="G537" s="9"/>
      <c r="H537" s="9"/>
      <c r="I537" s="13" t="str">
        <f aca="false">IF(OR($G537="",$H537=""),"",ROUND($G537*$H537,0))</f>
        <v/>
      </c>
      <c r="J537" s="7"/>
    </row>
    <row r="538" customFormat="false" ht="15" hidden="false" customHeight="true" outlineLevel="0" collapsed="false">
      <c r="A538" s="11"/>
      <c r="B538" s="7"/>
      <c r="C538" s="12" t="str">
        <f aca="false">IF($B538="","",IFERROR(INDEX(거래처마스터!$B$3:$B$102,MATCH($B538,거래처마스터!$A$3:$A$102,0)),"미등록"))</f>
        <v/>
      </c>
      <c r="D538" s="7"/>
      <c r="E538" s="12" t="str">
        <f aca="false">IF($D538="","",IFERROR(INDEX(품목마스터!$B$3:$B$202,MATCH($D538,품목마스터!$A$3:$A$202,0)),"미등록품번"))</f>
        <v/>
      </c>
      <c r="F538" s="12" t="str">
        <f aca="false">IF($D538="","",IFERROR(INDEX(품목마스터!$D$3:$D$202,MATCH($D538,품목마스터!$A$3:$A$202,0)),""))</f>
        <v/>
      </c>
      <c r="G538" s="9"/>
      <c r="H538" s="9"/>
      <c r="I538" s="13" t="str">
        <f aca="false">IF(OR($G538="",$H538=""),"",ROUND($G538*$H538,0))</f>
        <v/>
      </c>
      <c r="J538" s="7"/>
    </row>
    <row r="539" customFormat="false" ht="15" hidden="false" customHeight="true" outlineLevel="0" collapsed="false">
      <c r="A539" s="11"/>
      <c r="B539" s="7"/>
      <c r="C539" s="12" t="str">
        <f aca="false">IF($B539="","",IFERROR(INDEX(거래처마스터!$B$3:$B$102,MATCH($B539,거래처마스터!$A$3:$A$102,0)),"미등록"))</f>
        <v/>
      </c>
      <c r="D539" s="7"/>
      <c r="E539" s="12" t="str">
        <f aca="false">IF($D539="","",IFERROR(INDEX(품목마스터!$B$3:$B$202,MATCH($D539,품목마스터!$A$3:$A$202,0)),"미등록품번"))</f>
        <v/>
      </c>
      <c r="F539" s="12" t="str">
        <f aca="false">IF($D539="","",IFERROR(INDEX(품목마스터!$D$3:$D$202,MATCH($D539,품목마스터!$A$3:$A$202,0)),""))</f>
        <v/>
      </c>
      <c r="G539" s="9"/>
      <c r="H539" s="9"/>
      <c r="I539" s="13" t="str">
        <f aca="false">IF(OR($G539="",$H539=""),"",ROUND($G539*$H539,0))</f>
        <v/>
      </c>
      <c r="J539" s="7"/>
    </row>
    <row r="540" customFormat="false" ht="15" hidden="false" customHeight="true" outlineLevel="0" collapsed="false">
      <c r="A540" s="11"/>
      <c r="B540" s="7"/>
      <c r="C540" s="12" t="str">
        <f aca="false">IF($B540="","",IFERROR(INDEX(거래처마스터!$B$3:$B$102,MATCH($B540,거래처마스터!$A$3:$A$102,0)),"미등록"))</f>
        <v/>
      </c>
      <c r="D540" s="7"/>
      <c r="E540" s="12" t="str">
        <f aca="false">IF($D540="","",IFERROR(INDEX(품목마스터!$B$3:$B$202,MATCH($D540,품목마스터!$A$3:$A$202,0)),"미등록품번"))</f>
        <v/>
      </c>
      <c r="F540" s="12" t="str">
        <f aca="false">IF($D540="","",IFERROR(INDEX(품목마스터!$D$3:$D$202,MATCH($D540,품목마스터!$A$3:$A$202,0)),""))</f>
        <v/>
      </c>
      <c r="G540" s="9"/>
      <c r="H540" s="9"/>
      <c r="I540" s="13" t="str">
        <f aca="false">IF(OR($G540="",$H540=""),"",ROUND($G540*$H540,0))</f>
        <v/>
      </c>
      <c r="J540" s="7"/>
    </row>
    <row r="541" customFormat="false" ht="15" hidden="false" customHeight="true" outlineLevel="0" collapsed="false">
      <c r="A541" s="11"/>
      <c r="B541" s="7"/>
      <c r="C541" s="12" t="str">
        <f aca="false">IF($B541="","",IFERROR(INDEX(거래처마스터!$B$3:$B$102,MATCH($B541,거래처마스터!$A$3:$A$102,0)),"미등록"))</f>
        <v/>
      </c>
      <c r="D541" s="7"/>
      <c r="E541" s="12" t="str">
        <f aca="false">IF($D541="","",IFERROR(INDEX(품목마스터!$B$3:$B$202,MATCH($D541,품목마스터!$A$3:$A$202,0)),"미등록품번"))</f>
        <v/>
      </c>
      <c r="F541" s="12" t="str">
        <f aca="false">IF($D541="","",IFERROR(INDEX(품목마스터!$D$3:$D$202,MATCH($D541,품목마스터!$A$3:$A$202,0)),""))</f>
        <v/>
      </c>
      <c r="G541" s="9"/>
      <c r="H541" s="9"/>
      <c r="I541" s="13" t="str">
        <f aca="false">IF(OR($G541="",$H541=""),"",ROUND($G541*$H541,0))</f>
        <v/>
      </c>
      <c r="J541" s="7"/>
    </row>
    <row r="542" customFormat="false" ht="15" hidden="false" customHeight="true" outlineLevel="0" collapsed="false">
      <c r="A542" s="11"/>
      <c r="B542" s="7"/>
      <c r="C542" s="12" t="str">
        <f aca="false">IF($B542="","",IFERROR(INDEX(거래처마스터!$B$3:$B$102,MATCH($B542,거래처마스터!$A$3:$A$102,0)),"미등록"))</f>
        <v/>
      </c>
      <c r="D542" s="7"/>
      <c r="E542" s="12" t="str">
        <f aca="false">IF($D542="","",IFERROR(INDEX(품목마스터!$B$3:$B$202,MATCH($D542,품목마스터!$A$3:$A$202,0)),"미등록품번"))</f>
        <v/>
      </c>
      <c r="F542" s="12" t="str">
        <f aca="false">IF($D542="","",IFERROR(INDEX(품목마스터!$D$3:$D$202,MATCH($D542,품목마스터!$A$3:$A$202,0)),""))</f>
        <v/>
      </c>
      <c r="G542" s="9"/>
      <c r="H542" s="9"/>
      <c r="I542" s="13" t="str">
        <f aca="false">IF(OR($G542="",$H542=""),"",ROUND($G542*$H542,0))</f>
        <v/>
      </c>
      <c r="J542" s="7"/>
    </row>
    <row r="543" customFormat="false" ht="15" hidden="false" customHeight="true" outlineLevel="0" collapsed="false">
      <c r="A543" s="11"/>
      <c r="B543" s="7"/>
      <c r="C543" s="12" t="str">
        <f aca="false">IF($B543="","",IFERROR(INDEX(거래처마스터!$B$3:$B$102,MATCH($B543,거래처마스터!$A$3:$A$102,0)),"미등록"))</f>
        <v/>
      </c>
      <c r="D543" s="7"/>
      <c r="E543" s="12" t="str">
        <f aca="false">IF($D543="","",IFERROR(INDEX(품목마스터!$B$3:$B$202,MATCH($D543,품목마스터!$A$3:$A$202,0)),"미등록품번"))</f>
        <v/>
      </c>
      <c r="F543" s="12" t="str">
        <f aca="false">IF($D543="","",IFERROR(INDEX(품목마스터!$D$3:$D$202,MATCH($D543,품목마스터!$A$3:$A$202,0)),""))</f>
        <v/>
      </c>
      <c r="G543" s="9"/>
      <c r="H543" s="9"/>
      <c r="I543" s="13" t="str">
        <f aca="false">IF(OR($G543="",$H543=""),"",ROUND($G543*$H543,0))</f>
        <v/>
      </c>
      <c r="J543" s="7"/>
    </row>
    <row r="544" customFormat="false" ht="15" hidden="false" customHeight="true" outlineLevel="0" collapsed="false">
      <c r="A544" s="11"/>
      <c r="B544" s="7"/>
      <c r="C544" s="12" t="str">
        <f aca="false">IF($B544="","",IFERROR(INDEX(거래처마스터!$B$3:$B$102,MATCH($B544,거래처마스터!$A$3:$A$102,0)),"미등록"))</f>
        <v/>
      </c>
      <c r="D544" s="7"/>
      <c r="E544" s="12" t="str">
        <f aca="false">IF($D544="","",IFERROR(INDEX(품목마스터!$B$3:$B$202,MATCH($D544,품목마스터!$A$3:$A$202,0)),"미등록품번"))</f>
        <v/>
      </c>
      <c r="F544" s="12" t="str">
        <f aca="false">IF($D544="","",IFERROR(INDEX(품목마스터!$D$3:$D$202,MATCH($D544,품목마스터!$A$3:$A$202,0)),""))</f>
        <v/>
      </c>
      <c r="G544" s="9"/>
      <c r="H544" s="9"/>
      <c r="I544" s="13" t="str">
        <f aca="false">IF(OR($G544="",$H544=""),"",ROUND($G544*$H544,0))</f>
        <v/>
      </c>
      <c r="J544" s="7"/>
    </row>
    <row r="545" customFormat="false" ht="15" hidden="false" customHeight="true" outlineLevel="0" collapsed="false">
      <c r="A545" s="11"/>
      <c r="B545" s="7"/>
      <c r="C545" s="12" t="str">
        <f aca="false">IF($B545="","",IFERROR(INDEX(거래처마스터!$B$3:$B$102,MATCH($B545,거래처마스터!$A$3:$A$102,0)),"미등록"))</f>
        <v/>
      </c>
      <c r="D545" s="7"/>
      <c r="E545" s="12" t="str">
        <f aca="false">IF($D545="","",IFERROR(INDEX(품목마스터!$B$3:$B$202,MATCH($D545,품목마스터!$A$3:$A$202,0)),"미등록품번"))</f>
        <v/>
      </c>
      <c r="F545" s="12" t="str">
        <f aca="false">IF($D545="","",IFERROR(INDEX(품목마스터!$D$3:$D$202,MATCH($D545,품목마스터!$A$3:$A$202,0)),""))</f>
        <v/>
      </c>
      <c r="G545" s="9"/>
      <c r="H545" s="9"/>
      <c r="I545" s="13" t="str">
        <f aca="false">IF(OR($G545="",$H545=""),"",ROUND($G545*$H545,0))</f>
        <v/>
      </c>
      <c r="J545" s="7"/>
    </row>
    <row r="546" customFormat="false" ht="15" hidden="false" customHeight="true" outlineLevel="0" collapsed="false">
      <c r="A546" s="11"/>
      <c r="B546" s="7"/>
      <c r="C546" s="12" t="str">
        <f aca="false">IF($B546="","",IFERROR(INDEX(거래처마스터!$B$3:$B$102,MATCH($B546,거래처마스터!$A$3:$A$102,0)),"미등록"))</f>
        <v/>
      </c>
      <c r="D546" s="7"/>
      <c r="E546" s="12" t="str">
        <f aca="false">IF($D546="","",IFERROR(INDEX(품목마스터!$B$3:$B$202,MATCH($D546,품목마스터!$A$3:$A$202,0)),"미등록품번"))</f>
        <v/>
      </c>
      <c r="F546" s="12" t="str">
        <f aca="false">IF($D546="","",IFERROR(INDEX(품목마스터!$D$3:$D$202,MATCH($D546,품목마스터!$A$3:$A$202,0)),""))</f>
        <v/>
      </c>
      <c r="G546" s="9"/>
      <c r="H546" s="9"/>
      <c r="I546" s="13" t="str">
        <f aca="false">IF(OR($G546="",$H546=""),"",ROUND($G546*$H546,0))</f>
        <v/>
      </c>
      <c r="J546" s="7"/>
    </row>
    <row r="547" customFormat="false" ht="15" hidden="false" customHeight="true" outlineLevel="0" collapsed="false">
      <c r="A547" s="11"/>
      <c r="B547" s="7"/>
      <c r="C547" s="12" t="str">
        <f aca="false">IF($B547="","",IFERROR(INDEX(거래처마스터!$B$3:$B$102,MATCH($B547,거래처마스터!$A$3:$A$102,0)),"미등록"))</f>
        <v/>
      </c>
      <c r="D547" s="7"/>
      <c r="E547" s="12" t="str">
        <f aca="false">IF($D547="","",IFERROR(INDEX(품목마스터!$B$3:$B$202,MATCH($D547,품목마스터!$A$3:$A$202,0)),"미등록품번"))</f>
        <v/>
      </c>
      <c r="F547" s="12" t="str">
        <f aca="false">IF($D547="","",IFERROR(INDEX(품목마스터!$D$3:$D$202,MATCH($D547,품목마스터!$A$3:$A$202,0)),""))</f>
        <v/>
      </c>
      <c r="G547" s="9"/>
      <c r="H547" s="9"/>
      <c r="I547" s="13" t="str">
        <f aca="false">IF(OR($G547="",$H547=""),"",ROUND($G547*$H547,0))</f>
        <v/>
      </c>
      <c r="J547" s="7"/>
    </row>
    <row r="548" customFormat="false" ht="15" hidden="false" customHeight="true" outlineLevel="0" collapsed="false">
      <c r="A548" s="11"/>
      <c r="B548" s="7"/>
      <c r="C548" s="12" t="str">
        <f aca="false">IF($B548="","",IFERROR(INDEX(거래처마스터!$B$3:$B$102,MATCH($B548,거래처마스터!$A$3:$A$102,0)),"미등록"))</f>
        <v/>
      </c>
      <c r="D548" s="7"/>
      <c r="E548" s="12" t="str">
        <f aca="false">IF($D548="","",IFERROR(INDEX(품목마스터!$B$3:$B$202,MATCH($D548,품목마스터!$A$3:$A$202,0)),"미등록품번"))</f>
        <v/>
      </c>
      <c r="F548" s="12" t="str">
        <f aca="false">IF($D548="","",IFERROR(INDEX(품목마스터!$D$3:$D$202,MATCH($D548,품목마스터!$A$3:$A$202,0)),""))</f>
        <v/>
      </c>
      <c r="G548" s="9"/>
      <c r="H548" s="9"/>
      <c r="I548" s="13" t="str">
        <f aca="false">IF(OR($G548="",$H548=""),"",ROUND($G548*$H548,0))</f>
        <v/>
      </c>
      <c r="J548" s="7"/>
    </row>
    <row r="549" customFormat="false" ht="15" hidden="false" customHeight="true" outlineLevel="0" collapsed="false">
      <c r="A549" s="11"/>
      <c r="B549" s="7"/>
      <c r="C549" s="12" t="str">
        <f aca="false">IF($B549="","",IFERROR(INDEX(거래처마스터!$B$3:$B$102,MATCH($B549,거래처마스터!$A$3:$A$102,0)),"미등록"))</f>
        <v/>
      </c>
      <c r="D549" s="7"/>
      <c r="E549" s="12" t="str">
        <f aca="false">IF($D549="","",IFERROR(INDEX(품목마스터!$B$3:$B$202,MATCH($D549,품목마스터!$A$3:$A$202,0)),"미등록품번"))</f>
        <v/>
      </c>
      <c r="F549" s="12" t="str">
        <f aca="false">IF($D549="","",IFERROR(INDEX(품목마스터!$D$3:$D$202,MATCH($D549,품목마스터!$A$3:$A$202,0)),""))</f>
        <v/>
      </c>
      <c r="G549" s="9"/>
      <c r="H549" s="9"/>
      <c r="I549" s="13" t="str">
        <f aca="false">IF(OR($G549="",$H549=""),"",ROUND($G549*$H549,0))</f>
        <v/>
      </c>
      <c r="J549" s="7"/>
    </row>
    <row r="550" customFormat="false" ht="15" hidden="false" customHeight="true" outlineLevel="0" collapsed="false">
      <c r="A550" s="11"/>
      <c r="B550" s="7"/>
      <c r="C550" s="12" t="str">
        <f aca="false">IF($B550="","",IFERROR(INDEX(거래처마스터!$B$3:$B$102,MATCH($B550,거래처마스터!$A$3:$A$102,0)),"미등록"))</f>
        <v/>
      </c>
      <c r="D550" s="7"/>
      <c r="E550" s="12" t="str">
        <f aca="false">IF($D550="","",IFERROR(INDEX(품목마스터!$B$3:$B$202,MATCH($D550,품목마스터!$A$3:$A$202,0)),"미등록품번"))</f>
        <v/>
      </c>
      <c r="F550" s="12" t="str">
        <f aca="false">IF($D550="","",IFERROR(INDEX(품목마스터!$D$3:$D$202,MATCH($D550,품목마스터!$A$3:$A$202,0)),""))</f>
        <v/>
      </c>
      <c r="G550" s="9"/>
      <c r="H550" s="9"/>
      <c r="I550" s="13" t="str">
        <f aca="false">IF(OR($G550="",$H550=""),"",ROUND($G550*$H550,0))</f>
        <v/>
      </c>
      <c r="J550" s="7"/>
    </row>
    <row r="551" customFormat="false" ht="15" hidden="false" customHeight="true" outlineLevel="0" collapsed="false">
      <c r="A551" s="11"/>
      <c r="B551" s="7"/>
      <c r="C551" s="12" t="str">
        <f aca="false">IF($B551="","",IFERROR(INDEX(거래처마스터!$B$3:$B$102,MATCH($B551,거래처마스터!$A$3:$A$102,0)),"미등록"))</f>
        <v/>
      </c>
      <c r="D551" s="7"/>
      <c r="E551" s="12" t="str">
        <f aca="false">IF($D551="","",IFERROR(INDEX(품목마스터!$B$3:$B$202,MATCH($D551,품목마스터!$A$3:$A$202,0)),"미등록품번"))</f>
        <v/>
      </c>
      <c r="F551" s="12" t="str">
        <f aca="false">IF($D551="","",IFERROR(INDEX(품목마스터!$D$3:$D$202,MATCH($D551,품목마스터!$A$3:$A$202,0)),""))</f>
        <v/>
      </c>
      <c r="G551" s="9"/>
      <c r="H551" s="9"/>
      <c r="I551" s="13" t="str">
        <f aca="false">IF(OR($G551="",$H551=""),"",ROUND($G551*$H551,0))</f>
        <v/>
      </c>
      <c r="J551" s="7"/>
    </row>
    <row r="552" customFormat="false" ht="15" hidden="false" customHeight="true" outlineLevel="0" collapsed="false">
      <c r="A552" s="11"/>
      <c r="B552" s="7"/>
      <c r="C552" s="12" t="str">
        <f aca="false">IF($B552="","",IFERROR(INDEX(거래처마스터!$B$3:$B$102,MATCH($B552,거래처마스터!$A$3:$A$102,0)),"미등록"))</f>
        <v/>
      </c>
      <c r="D552" s="7"/>
      <c r="E552" s="12" t="str">
        <f aca="false">IF($D552="","",IFERROR(INDEX(품목마스터!$B$3:$B$202,MATCH($D552,품목마스터!$A$3:$A$202,0)),"미등록품번"))</f>
        <v/>
      </c>
      <c r="F552" s="12" t="str">
        <f aca="false">IF($D552="","",IFERROR(INDEX(품목마스터!$D$3:$D$202,MATCH($D552,품목마스터!$A$3:$A$202,0)),""))</f>
        <v/>
      </c>
      <c r="G552" s="9"/>
      <c r="H552" s="9"/>
      <c r="I552" s="13" t="str">
        <f aca="false">IF(OR($G552="",$H552=""),"",ROUND($G552*$H552,0))</f>
        <v/>
      </c>
      <c r="J552" s="7"/>
    </row>
    <row r="553" customFormat="false" ht="15" hidden="false" customHeight="true" outlineLevel="0" collapsed="false">
      <c r="A553" s="11"/>
      <c r="B553" s="7"/>
      <c r="C553" s="12" t="str">
        <f aca="false">IF($B553="","",IFERROR(INDEX(거래처마스터!$B$3:$B$102,MATCH($B553,거래처마스터!$A$3:$A$102,0)),"미등록"))</f>
        <v/>
      </c>
      <c r="D553" s="7"/>
      <c r="E553" s="12" t="str">
        <f aca="false">IF($D553="","",IFERROR(INDEX(품목마스터!$B$3:$B$202,MATCH($D553,품목마스터!$A$3:$A$202,0)),"미등록품번"))</f>
        <v/>
      </c>
      <c r="F553" s="12" t="str">
        <f aca="false">IF($D553="","",IFERROR(INDEX(품목마스터!$D$3:$D$202,MATCH($D553,품목마스터!$A$3:$A$202,0)),""))</f>
        <v/>
      </c>
      <c r="G553" s="9"/>
      <c r="H553" s="9"/>
      <c r="I553" s="13" t="str">
        <f aca="false">IF(OR($G553="",$H553=""),"",ROUND($G553*$H553,0))</f>
        <v/>
      </c>
      <c r="J553" s="7"/>
    </row>
    <row r="554" customFormat="false" ht="15" hidden="false" customHeight="true" outlineLevel="0" collapsed="false">
      <c r="A554" s="11"/>
      <c r="B554" s="7"/>
      <c r="C554" s="12" t="str">
        <f aca="false">IF($B554="","",IFERROR(INDEX(거래처마스터!$B$3:$B$102,MATCH($B554,거래처마스터!$A$3:$A$102,0)),"미등록"))</f>
        <v/>
      </c>
      <c r="D554" s="7"/>
      <c r="E554" s="12" t="str">
        <f aca="false">IF($D554="","",IFERROR(INDEX(품목마스터!$B$3:$B$202,MATCH($D554,품목마스터!$A$3:$A$202,0)),"미등록품번"))</f>
        <v/>
      </c>
      <c r="F554" s="12" t="str">
        <f aca="false">IF($D554="","",IFERROR(INDEX(품목마스터!$D$3:$D$202,MATCH($D554,품목마스터!$A$3:$A$202,0)),""))</f>
        <v/>
      </c>
      <c r="G554" s="9"/>
      <c r="H554" s="9"/>
      <c r="I554" s="13" t="str">
        <f aca="false">IF(OR($G554="",$H554=""),"",ROUND($G554*$H554,0))</f>
        <v/>
      </c>
      <c r="J554" s="7"/>
    </row>
    <row r="555" customFormat="false" ht="15" hidden="false" customHeight="true" outlineLevel="0" collapsed="false">
      <c r="A555" s="11"/>
      <c r="B555" s="7"/>
      <c r="C555" s="12" t="str">
        <f aca="false">IF($B555="","",IFERROR(INDEX(거래처마스터!$B$3:$B$102,MATCH($B555,거래처마스터!$A$3:$A$102,0)),"미등록"))</f>
        <v/>
      </c>
      <c r="D555" s="7"/>
      <c r="E555" s="12" t="str">
        <f aca="false">IF($D555="","",IFERROR(INDEX(품목마스터!$B$3:$B$202,MATCH($D555,품목마스터!$A$3:$A$202,0)),"미등록품번"))</f>
        <v/>
      </c>
      <c r="F555" s="12" t="str">
        <f aca="false">IF($D555="","",IFERROR(INDEX(품목마스터!$D$3:$D$202,MATCH($D555,품목마스터!$A$3:$A$202,0)),""))</f>
        <v/>
      </c>
      <c r="G555" s="9"/>
      <c r="H555" s="9"/>
      <c r="I555" s="13" t="str">
        <f aca="false">IF(OR($G555="",$H555=""),"",ROUND($G555*$H555,0))</f>
        <v/>
      </c>
      <c r="J555" s="7"/>
    </row>
    <row r="556" customFormat="false" ht="15" hidden="false" customHeight="true" outlineLevel="0" collapsed="false">
      <c r="A556" s="11"/>
      <c r="B556" s="7"/>
      <c r="C556" s="12" t="str">
        <f aca="false">IF($B556="","",IFERROR(INDEX(거래처마스터!$B$3:$B$102,MATCH($B556,거래처마스터!$A$3:$A$102,0)),"미등록"))</f>
        <v/>
      </c>
      <c r="D556" s="7"/>
      <c r="E556" s="12" t="str">
        <f aca="false">IF($D556="","",IFERROR(INDEX(품목마스터!$B$3:$B$202,MATCH($D556,품목마스터!$A$3:$A$202,0)),"미등록품번"))</f>
        <v/>
      </c>
      <c r="F556" s="12" t="str">
        <f aca="false">IF($D556="","",IFERROR(INDEX(품목마스터!$D$3:$D$202,MATCH($D556,품목마스터!$A$3:$A$202,0)),""))</f>
        <v/>
      </c>
      <c r="G556" s="9"/>
      <c r="H556" s="9"/>
      <c r="I556" s="13" t="str">
        <f aca="false">IF(OR($G556="",$H556=""),"",ROUND($G556*$H556,0))</f>
        <v/>
      </c>
      <c r="J556" s="7"/>
    </row>
    <row r="557" customFormat="false" ht="15" hidden="false" customHeight="true" outlineLevel="0" collapsed="false">
      <c r="A557" s="11"/>
      <c r="B557" s="7"/>
      <c r="C557" s="12" t="str">
        <f aca="false">IF($B557="","",IFERROR(INDEX(거래처마스터!$B$3:$B$102,MATCH($B557,거래처마스터!$A$3:$A$102,0)),"미등록"))</f>
        <v/>
      </c>
      <c r="D557" s="7"/>
      <c r="E557" s="12" t="str">
        <f aca="false">IF($D557="","",IFERROR(INDEX(품목마스터!$B$3:$B$202,MATCH($D557,품목마스터!$A$3:$A$202,0)),"미등록품번"))</f>
        <v/>
      </c>
      <c r="F557" s="12" t="str">
        <f aca="false">IF($D557="","",IFERROR(INDEX(품목마스터!$D$3:$D$202,MATCH($D557,품목마스터!$A$3:$A$202,0)),""))</f>
        <v/>
      </c>
      <c r="G557" s="9"/>
      <c r="H557" s="9"/>
      <c r="I557" s="13" t="str">
        <f aca="false">IF(OR($G557="",$H557=""),"",ROUND($G557*$H557,0))</f>
        <v/>
      </c>
      <c r="J557" s="7"/>
    </row>
    <row r="558" customFormat="false" ht="15" hidden="false" customHeight="true" outlineLevel="0" collapsed="false">
      <c r="A558" s="11"/>
      <c r="B558" s="7"/>
      <c r="C558" s="12" t="str">
        <f aca="false">IF($B558="","",IFERROR(INDEX(거래처마스터!$B$3:$B$102,MATCH($B558,거래처마스터!$A$3:$A$102,0)),"미등록"))</f>
        <v/>
      </c>
      <c r="D558" s="7"/>
      <c r="E558" s="12" t="str">
        <f aca="false">IF($D558="","",IFERROR(INDEX(품목마스터!$B$3:$B$202,MATCH($D558,품목마스터!$A$3:$A$202,0)),"미등록품번"))</f>
        <v/>
      </c>
      <c r="F558" s="12" t="str">
        <f aca="false">IF($D558="","",IFERROR(INDEX(품목마스터!$D$3:$D$202,MATCH($D558,품목마스터!$A$3:$A$202,0)),""))</f>
        <v/>
      </c>
      <c r="G558" s="9"/>
      <c r="H558" s="9"/>
      <c r="I558" s="13" t="str">
        <f aca="false">IF(OR($G558="",$H558=""),"",ROUND($G558*$H558,0))</f>
        <v/>
      </c>
      <c r="J558" s="7"/>
    </row>
    <row r="559" customFormat="false" ht="15" hidden="false" customHeight="true" outlineLevel="0" collapsed="false">
      <c r="A559" s="11"/>
      <c r="B559" s="7"/>
      <c r="C559" s="12" t="str">
        <f aca="false">IF($B559="","",IFERROR(INDEX(거래처마스터!$B$3:$B$102,MATCH($B559,거래처마스터!$A$3:$A$102,0)),"미등록"))</f>
        <v/>
      </c>
      <c r="D559" s="7"/>
      <c r="E559" s="12" t="str">
        <f aca="false">IF($D559="","",IFERROR(INDEX(품목마스터!$B$3:$B$202,MATCH($D559,품목마스터!$A$3:$A$202,0)),"미등록품번"))</f>
        <v/>
      </c>
      <c r="F559" s="12" t="str">
        <f aca="false">IF($D559="","",IFERROR(INDEX(품목마스터!$D$3:$D$202,MATCH($D559,품목마스터!$A$3:$A$202,0)),""))</f>
        <v/>
      </c>
      <c r="G559" s="9"/>
      <c r="H559" s="9"/>
      <c r="I559" s="13" t="str">
        <f aca="false">IF(OR($G559="",$H559=""),"",ROUND($G559*$H559,0))</f>
        <v/>
      </c>
      <c r="J559" s="7"/>
    </row>
    <row r="560" customFormat="false" ht="15" hidden="false" customHeight="true" outlineLevel="0" collapsed="false">
      <c r="A560" s="11"/>
      <c r="B560" s="7"/>
      <c r="C560" s="12" t="str">
        <f aca="false">IF($B560="","",IFERROR(INDEX(거래처마스터!$B$3:$B$102,MATCH($B560,거래처마스터!$A$3:$A$102,0)),"미등록"))</f>
        <v/>
      </c>
      <c r="D560" s="7"/>
      <c r="E560" s="12" t="str">
        <f aca="false">IF($D560="","",IFERROR(INDEX(품목마스터!$B$3:$B$202,MATCH($D560,품목마스터!$A$3:$A$202,0)),"미등록품번"))</f>
        <v/>
      </c>
      <c r="F560" s="12" t="str">
        <f aca="false">IF($D560="","",IFERROR(INDEX(품목마스터!$D$3:$D$202,MATCH($D560,품목마스터!$A$3:$A$202,0)),""))</f>
        <v/>
      </c>
      <c r="G560" s="9"/>
      <c r="H560" s="9"/>
      <c r="I560" s="13" t="str">
        <f aca="false">IF(OR($G560="",$H560=""),"",ROUND($G560*$H560,0))</f>
        <v/>
      </c>
      <c r="J560" s="7"/>
    </row>
    <row r="561" customFormat="false" ht="15" hidden="false" customHeight="true" outlineLevel="0" collapsed="false">
      <c r="A561" s="11"/>
      <c r="B561" s="7"/>
      <c r="C561" s="12" t="str">
        <f aca="false">IF($B561="","",IFERROR(INDEX(거래처마스터!$B$3:$B$102,MATCH($B561,거래처마스터!$A$3:$A$102,0)),"미등록"))</f>
        <v/>
      </c>
      <c r="D561" s="7"/>
      <c r="E561" s="12" t="str">
        <f aca="false">IF($D561="","",IFERROR(INDEX(품목마스터!$B$3:$B$202,MATCH($D561,품목마스터!$A$3:$A$202,0)),"미등록품번"))</f>
        <v/>
      </c>
      <c r="F561" s="12" t="str">
        <f aca="false">IF($D561="","",IFERROR(INDEX(품목마스터!$D$3:$D$202,MATCH($D561,품목마스터!$A$3:$A$202,0)),""))</f>
        <v/>
      </c>
      <c r="G561" s="9"/>
      <c r="H561" s="9"/>
      <c r="I561" s="13" t="str">
        <f aca="false">IF(OR($G561="",$H561=""),"",ROUND($G561*$H561,0))</f>
        <v/>
      </c>
      <c r="J561" s="7"/>
    </row>
    <row r="562" customFormat="false" ht="15" hidden="false" customHeight="true" outlineLevel="0" collapsed="false">
      <c r="A562" s="11"/>
      <c r="B562" s="7"/>
      <c r="C562" s="12" t="str">
        <f aca="false">IF($B562="","",IFERROR(INDEX(거래처마스터!$B$3:$B$102,MATCH($B562,거래처마스터!$A$3:$A$102,0)),"미등록"))</f>
        <v/>
      </c>
      <c r="D562" s="7"/>
      <c r="E562" s="12" t="str">
        <f aca="false">IF($D562="","",IFERROR(INDEX(품목마스터!$B$3:$B$202,MATCH($D562,품목마스터!$A$3:$A$202,0)),"미등록품번"))</f>
        <v/>
      </c>
      <c r="F562" s="12" t="str">
        <f aca="false">IF($D562="","",IFERROR(INDEX(품목마스터!$D$3:$D$202,MATCH($D562,품목마스터!$A$3:$A$202,0)),""))</f>
        <v/>
      </c>
      <c r="G562" s="9"/>
      <c r="H562" s="9"/>
      <c r="I562" s="13" t="str">
        <f aca="false">IF(OR($G562="",$H562=""),"",ROUND($G562*$H562,0))</f>
        <v/>
      </c>
      <c r="J562" s="7"/>
    </row>
    <row r="563" customFormat="false" ht="15" hidden="false" customHeight="true" outlineLevel="0" collapsed="false">
      <c r="A563" s="11"/>
      <c r="B563" s="7"/>
      <c r="C563" s="12" t="str">
        <f aca="false">IF($B563="","",IFERROR(INDEX(거래처마스터!$B$3:$B$102,MATCH($B563,거래처마스터!$A$3:$A$102,0)),"미등록"))</f>
        <v/>
      </c>
      <c r="D563" s="7"/>
      <c r="E563" s="12" t="str">
        <f aca="false">IF($D563="","",IFERROR(INDEX(품목마스터!$B$3:$B$202,MATCH($D563,품목마스터!$A$3:$A$202,0)),"미등록품번"))</f>
        <v/>
      </c>
      <c r="F563" s="12" t="str">
        <f aca="false">IF($D563="","",IFERROR(INDEX(품목마스터!$D$3:$D$202,MATCH($D563,품목마스터!$A$3:$A$202,0)),""))</f>
        <v/>
      </c>
      <c r="G563" s="9"/>
      <c r="H563" s="9"/>
      <c r="I563" s="13" t="str">
        <f aca="false">IF(OR($G563="",$H563=""),"",ROUND($G563*$H563,0))</f>
        <v/>
      </c>
      <c r="J563" s="7"/>
    </row>
    <row r="564" customFormat="false" ht="15" hidden="false" customHeight="true" outlineLevel="0" collapsed="false">
      <c r="A564" s="11"/>
      <c r="B564" s="7"/>
      <c r="C564" s="12" t="str">
        <f aca="false">IF($B564="","",IFERROR(INDEX(거래처마스터!$B$3:$B$102,MATCH($B564,거래처마스터!$A$3:$A$102,0)),"미등록"))</f>
        <v/>
      </c>
      <c r="D564" s="7"/>
      <c r="E564" s="12" t="str">
        <f aca="false">IF($D564="","",IFERROR(INDEX(품목마스터!$B$3:$B$202,MATCH($D564,품목마스터!$A$3:$A$202,0)),"미등록품번"))</f>
        <v/>
      </c>
      <c r="F564" s="12" t="str">
        <f aca="false">IF($D564="","",IFERROR(INDEX(품목마스터!$D$3:$D$202,MATCH($D564,품목마스터!$A$3:$A$202,0)),""))</f>
        <v/>
      </c>
      <c r="G564" s="9"/>
      <c r="H564" s="9"/>
      <c r="I564" s="13" t="str">
        <f aca="false">IF(OR($G564="",$H564=""),"",ROUND($G564*$H564,0))</f>
        <v/>
      </c>
      <c r="J564" s="7"/>
    </row>
    <row r="565" customFormat="false" ht="15" hidden="false" customHeight="true" outlineLevel="0" collapsed="false">
      <c r="A565" s="11"/>
      <c r="B565" s="7"/>
      <c r="C565" s="12" t="str">
        <f aca="false">IF($B565="","",IFERROR(INDEX(거래처마스터!$B$3:$B$102,MATCH($B565,거래처마스터!$A$3:$A$102,0)),"미등록"))</f>
        <v/>
      </c>
      <c r="D565" s="7"/>
      <c r="E565" s="12" t="str">
        <f aca="false">IF($D565="","",IFERROR(INDEX(품목마스터!$B$3:$B$202,MATCH($D565,품목마스터!$A$3:$A$202,0)),"미등록품번"))</f>
        <v/>
      </c>
      <c r="F565" s="12" t="str">
        <f aca="false">IF($D565="","",IFERROR(INDEX(품목마스터!$D$3:$D$202,MATCH($D565,품목마스터!$A$3:$A$202,0)),""))</f>
        <v/>
      </c>
      <c r="G565" s="9"/>
      <c r="H565" s="9"/>
      <c r="I565" s="13" t="str">
        <f aca="false">IF(OR($G565="",$H565=""),"",ROUND($G565*$H565,0))</f>
        <v/>
      </c>
      <c r="J565" s="7"/>
    </row>
    <row r="566" customFormat="false" ht="15" hidden="false" customHeight="true" outlineLevel="0" collapsed="false">
      <c r="A566" s="11"/>
      <c r="B566" s="7"/>
      <c r="C566" s="12" t="str">
        <f aca="false">IF($B566="","",IFERROR(INDEX(거래처마스터!$B$3:$B$102,MATCH($B566,거래처마스터!$A$3:$A$102,0)),"미등록"))</f>
        <v/>
      </c>
      <c r="D566" s="7"/>
      <c r="E566" s="12" t="str">
        <f aca="false">IF($D566="","",IFERROR(INDEX(품목마스터!$B$3:$B$202,MATCH($D566,품목마스터!$A$3:$A$202,0)),"미등록품번"))</f>
        <v/>
      </c>
      <c r="F566" s="12" t="str">
        <f aca="false">IF($D566="","",IFERROR(INDEX(품목마스터!$D$3:$D$202,MATCH($D566,품목마스터!$A$3:$A$202,0)),""))</f>
        <v/>
      </c>
      <c r="G566" s="9"/>
      <c r="H566" s="9"/>
      <c r="I566" s="13" t="str">
        <f aca="false">IF(OR($G566="",$H566=""),"",ROUND($G566*$H566,0))</f>
        <v/>
      </c>
      <c r="J566" s="7"/>
    </row>
    <row r="567" customFormat="false" ht="15" hidden="false" customHeight="true" outlineLevel="0" collapsed="false">
      <c r="A567" s="11"/>
      <c r="B567" s="7"/>
      <c r="C567" s="12" t="str">
        <f aca="false">IF($B567="","",IFERROR(INDEX(거래처마스터!$B$3:$B$102,MATCH($B567,거래처마스터!$A$3:$A$102,0)),"미등록"))</f>
        <v/>
      </c>
      <c r="D567" s="7"/>
      <c r="E567" s="12" t="str">
        <f aca="false">IF($D567="","",IFERROR(INDEX(품목마스터!$B$3:$B$202,MATCH($D567,품목마스터!$A$3:$A$202,0)),"미등록품번"))</f>
        <v/>
      </c>
      <c r="F567" s="12" t="str">
        <f aca="false">IF($D567="","",IFERROR(INDEX(품목마스터!$D$3:$D$202,MATCH($D567,품목마스터!$A$3:$A$202,0)),""))</f>
        <v/>
      </c>
      <c r="G567" s="9"/>
      <c r="H567" s="9"/>
      <c r="I567" s="13" t="str">
        <f aca="false">IF(OR($G567="",$H567=""),"",ROUND($G567*$H567,0))</f>
        <v/>
      </c>
      <c r="J567" s="7"/>
    </row>
    <row r="568" customFormat="false" ht="15" hidden="false" customHeight="true" outlineLevel="0" collapsed="false">
      <c r="A568" s="11"/>
      <c r="B568" s="7"/>
      <c r="C568" s="12" t="str">
        <f aca="false">IF($B568="","",IFERROR(INDEX(거래처마스터!$B$3:$B$102,MATCH($B568,거래처마스터!$A$3:$A$102,0)),"미등록"))</f>
        <v/>
      </c>
      <c r="D568" s="7"/>
      <c r="E568" s="12" t="str">
        <f aca="false">IF($D568="","",IFERROR(INDEX(품목마스터!$B$3:$B$202,MATCH($D568,품목마스터!$A$3:$A$202,0)),"미등록품번"))</f>
        <v/>
      </c>
      <c r="F568" s="12" t="str">
        <f aca="false">IF($D568="","",IFERROR(INDEX(품목마스터!$D$3:$D$202,MATCH($D568,품목마스터!$A$3:$A$202,0)),""))</f>
        <v/>
      </c>
      <c r="G568" s="9"/>
      <c r="H568" s="9"/>
      <c r="I568" s="13" t="str">
        <f aca="false">IF(OR($G568="",$H568=""),"",ROUND($G568*$H568,0))</f>
        <v/>
      </c>
      <c r="J568" s="7"/>
    </row>
    <row r="569" customFormat="false" ht="15" hidden="false" customHeight="true" outlineLevel="0" collapsed="false">
      <c r="A569" s="11"/>
      <c r="B569" s="7"/>
      <c r="C569" s="12" t="str">
        <f aca="false">IF($B569="","",IFERROR(INDEX(거래처마스터!$B$3:$B$102,MATCH($B569,거래처마스터!$A$3:$A$102,0)),"미등록"))</f>
        <v/>
      </c>
      <c r="D569" s="7"/>
      <c r="E569" s="12" t="str">
        <f aca="false">IF($D569="","",IFERROR(INDEX(품목마스터!$B$3:$B$202,MATCH($D569,품목마스터!$A$3:$A$202,0)),"미등록품번"))</f>
        <v/>
      </c>
      <c r="F569" s="12" t="str">
        <f aca="false">IF($D569="","",IFERROR(INDEX(품목마스터!$D$3:$D$202,MATCH($D569,품목마스터!$A$3:$A$202,0)),""))</f>
        <v/>
      </c>
      <c r="G569" s="9"/>
      <c r="H569" s="9"/>
      <c r="I569" s="13" t="str">
        <f aca="false">IF(OR($G569="",$H569=""),"",ROUND($G569*$H569,0))</f>
        <v/>
      </c>
      <c r="J569" s="7"/>
    </row>
    <row r="570" customFormat="false" ht="15" hidden="false" customHeight="true" outlineLevel="0" collapsed="false">
      <c r="A570" s="11"/>
      <c r="B570" s="7"/>
      <c r="C570" s="12" t="str">
        <f aca="false">IF($B570="","",IFERROR(INDEX(거래처마스터!$B$3:$B$102,MATCH($B570,거래처마스터!$A$3:$A$102,0)),"미등록"))</f>
        <v/>
      </c>
      <c r="D570" s="7"/>
      <c r="E570" s="12" t="str">
        <f aca="false">IF($D570="","",IFERROR(INDEX(품목마스터!$B$3:$B$202,MATCH($D570,품목마스터!$A$3:$A$202,0)),"미등록품번"))</f>
        <v/>
      </c>
      <c r="F570" s="12" t="str">
        <f aca="false">IF($D570="","",IFERROR(INDEX(품목마스터!$D$3:$D$202,MATCH($D570,품목마스터!$A$3:$A$202,0)),""))</f>
        <v/>
      </c>
      <c r="G570" s="9"/>
      <c r="H570" s="9"/>
      <c r="I570" s="13" t="str">
        <f aca="false">IF(OR($G570="",$H570=""),"",ROUND($G570*$H570,0))</f>
        <v/>
      </c>
      <c r="J570" s="7"/>
    </row>
    <row r="571" customFormat="false" ht="15" hidden="false" customHeight="true" outlineLevel="0" collapsed="false">
      <c r="A571" s="11"/>
      <c r="B571" s="7"/>
      <c r="C571" s="12" t="str">
        <f aca="false">IF($B571="","",IFERROR(INDEX(거래처마스터!$B$3:$B$102,MATCH($B571,거래처마스터!$A$3:$A$102,0)),"미등록"))</f>
        <v/>
      </c>
      <c r="D571" s="7"/>
      <c r="E571" s="12" t="str">
        <f aca="false">IF($D571="","",IFERROR(INDEX(품목마스터!$B$3:$B$202,MATCH($D571,품목마스터!$A$3:$A$202,0)),"미등록품번"))</f>
        <v/>
      </c>
      <c r="F571" s="12" t="str">
        <f aca="false">IF($D571="","",IFERROR(INDEX(품목마스터!$D$3:$D$202,MATCH($D571,품목마스터!$A$3:$A$202,0)),""))</f>
        <v/>
      </c>
      <c r="G571" s="9"/>
      <c r="H571" s="9"/>
      <c r="I571" s="13" t="str">
        <f aca="false">IF(OR($G571="",$H571=""),"",ROUND($G571*$H571,0))</f>
        <v/>
      </c>
      <c r="J571" s="7"/>
    </row>
    <row r="572" customFormat="false" ht="15" hidden="false" customHeight="true" outlineLevel="0" collapsed="false">
      <c r="A572" s="11"/>
      <c r="B572" s="7"/>
      <c r="C572" s="12" t="str">
        <f aca="false">IF($B572="","",IFERROR(INDEX(거래처마스터!$B$3:$B$102,MATCH($B572,거래처마스터!$A$3:$A$102,0)),"미등록"))</f>
        <v/>
      </c>
      <c r="D572" s="7"/>
      <c r="E572" s="12" t="str">
        <f aca="false">IF($D572="","",IFERROR(INDEX(품목마스터!$B$3:$B$202,MATCH($D572,품목마스터!$A$3:$A$202,0)),"미등록품번"))</f>
        <v/>
      </c>
      <c r="F572" s="12" t="str">
        <f aca="false">IF($D572="","",IFERROR(INDEX(품목마스터!$D$3:$D$202,MATCH($D572,품목마스터!$A$3:$A$202,0)),""))</f>
        <v/>
      </c>
      <c r="G572" s="9"/>
      <c r="H572" s="9"/>
      <c r="I572" s="13" t="str">
        <f aca="false">IF(OR($G572="",$H572=""),"",ROUND($G572*$H572,0))</f>
        <v/>
      </c>
      <c r="J572" s="7"/>
    </row>
    <row r="573" customFormat="false" ht="15" hidden="false" customHeight="true" outlineLevel="0" collapsed="false">
      <c r="A573" s="11"/>
      <c r="B573" s="7"/>
      <c r="C573" s="12" t="str">
        <f aca="false">IF($B573="","",IFERROR(INDEX(거래처마스터!$B$3:$B$102,MATCH($B573,거래처마스터!$A$3:$A$102,0)),"미등록"))</f>
        <v/>
      </c>
      <c r="D573" s="7"/>
      <c r="E573" s="12" t="str">
        <f aca="false">IF($D573="","",IFERROR(INDEX(품목마스터!$B$3:$B$202,MATCH($D573,품목마스터!$A$3:$A$202,0)),"미등록품번"))</f>
        <v/>
      </c>
      <c r="F573" s="12" t="str">
        <f aca="false">IF($D573="","",IFERROR(INDEX(품목마스터!$D$3:$D$202,MATCH($D573,품목마스터!$A$3:$A$202,0)),""))</f>
        <v/>
      </c>
      <c r="G573" s="9"/>
      <c r="H573" s="9"/>
      <c r="I573" s="13" t="str">
        <f aca="false">IF(OR($G573="",$H573=""),"",ROUND($G573*$H573,0))</f>
        <v/>
      </c>
      <c r="J573" s="7"/>
    </row>
    <row r="574" customFormat="false" ht="15" hidden="false" customHeight="true" outlineLevel="0" collapsed="false">
      <c r="A574" s="11"/>
      <c r="B574" s="7"/>
      <c r="C574" s="12" t="str">
        <f aca="false">IF($B574="","",IFERROR(INDEX(거래처마스터!$B$3:$B$102,MATCH($B574,거래처마스터!$A$3:$A$102,0)),"미등록"))</f>
        <v/>
      </c>
      <c r="D574" s="7"/>
      <c r="E574" s="12" t="str">
        <f aca="false">IF($D574="","",IFERROR(INDEX(품목마스터!$B$3:$B$202,MATCH($D574,품목마스터!$A$3:$A$202,0)),"미등록품번"))</f>
        <v/>
      </c>
      <c r="F574" s="12" t="str">
        <f aca="false">IF($D574="","",IFERROR(INDEX(품목마스터!$D$3:$D$202,MATCH($D574,품목마스터!$A$3:$A$202,0)),""))</f>
        <v/>
      </c>
      <c r="G574" s="9"/>
      <c r="H574" s="9"/>
      <c r="I574" s="13" t="str">
        <f aca="false">IF(OR($G574="",$H574=""),"",ROUND($G574*$H574,0))</f>
        <v/>
      </c>
      <c r="J574" s="7"/>
    </row>
    <row r="575" customFormat="false" ht="15" hidden="false" customHeight="true" outlineLevel="0" collapsed="false">
      <c r="A575" s="11"/>
      <c r="B575" s="7"/>
      <c r="C575" s="12" t="str">
        <f aca="false">IF($B575="","",IFERROR(INDEX(거래처마스터!$B$3:$B$102,MATCH($B575,거래처마스터!$A$3:$A$102,0)),"미등록"))</f>
        <v/>
      </c>
      <c r="D575" s="7"/>
      <c r="E575" s="12" t="str">
        <f aca="false">IF($D575="","",IFERROR(INDEX(품목마스터!$B$3:$B$202,MATCH($D575,품목마스터!$A$3:$A$202,0)),"미등록품번"))</f>
        <v/>
      </c>
      <c r="F575" s="12" t="str">
        <f aca="false">IF($D575="","",IFERROR(INDEX(품목마스터!$D$3:$D$202,MATCH($D575,품목마스터!$A$3:$A$202,0)),""))</f>
        <v/>
      </c>
      <c r="G575" s="9"/>
      <c r="H575" s="9"/>
      <c r="I575" s="13" t="str">
        <f aca="false">IF(OR($G575="",$H575=""),"",ROUND($G575*$H575,0))</f>
        <v/>
      </c>
      <c r="J575" s="7"/>
    </row>
    <row r="576" customFormat="false" ht="15" hidden="false" customHeight="true" outlineLevel="0" collapsed="false">
      <c r="A576" s="11"/>
      <c r="B576" s="7"/>
      <c r="C576" s="12" t="str">
        <f aca="false">IF($B576="","",IFERROR(INDEX(거래처마스터!$B$3:$B$102,MATCH($B576,거래처마스터!$A$3:$A$102,0)),"미등록"))</f>
        <v/>
      </c>
      <c r="D576" s="7"/>
      <c r="E576" s="12" t="str">
        <f aca="false">IF($D576="","",IFERROR(INDEX(품목마스터!$B$3:$B$202,MATCH($D576,품목마스터!$A$3:$A$202,0)),"미등록품번"))</f>
        <v/>
      </c>
      <c r="F576" s="12" t="str">
        <f aca="false">IF($D576="","",IFERROR(INDEX(품목마스터!$D$3:$D$202,MATCH($D576,품목마스터!$A$3:$A$202,0)),""))</f>
        <v/>
      </c>
      <c r="G576" s="9"/>
      <c r="H576" s="9"/>
      <c r="I576" s="13" t="str">
        <f aca="false">IF(OR($G576="",$H576=""),"",ROUND($G576*$H576,0))</f>
        <v/>
      </c>
      <c r="J576" s="7"/>
    </row>
    <row r="577" customFormat="false" ht="15" hidden="false" customHeight="true" outlineLevel="0" collapsed="false">
      <c r="A577" s="11"/>
      <c r="B577" s="7"/>
      <c r="C577" s="12" t="str">
        <f aca="false">IF($B577="","",IFERROR(INDEX(거래처마스터!$B$3:$B$102,MATCH($B577,거래처마스터!$A$3:$A$102,0)),"미등록"))</f>
        <v/>
      </c>
      <c r="D577" s="7"/>
      <c r="E577" s="12" t="str">
        <f aca="false">IF($D577="","",IFERROR(INDEX(품목마스터!$B$3:$B$202,MATCH($D577,품목마스터!$A$3:$A$202,0)),"미등록품번"))</f>
        <v/>
      </c>
      <c r="F577" s="12" t="str">
        <f aca="false">IF($D577="","",IFERROR(INDEX(품목마스터!$D$3:$D$202,MATCH($D577,품목마스터!$A$3:$A$202,0)),""))</f>
        <v/>
      </c>
      <c r="G577" s="9"/>
      <c r="H577" s="9"/>
      <c r="I577" s="13" t="str">
        <f aca="false">IF(OR($G577="",$H577=""),"",ROUND($G577*$H577,0))</f>
        <v/>
      </c>
      <c r="J577" s="7"/>
    </row>
    <row r="578" customFormat="false" ht="15" hidden="false" customHeight="true" outlineLevel="0" collapsed="false">
      <c r="A578" s="11"/>
      <c r="B578" s="7"/>
      <c r="C578" s="12" t="str">
        <f aca="false">IF($B578="","",IFERROR(INDEX(거래처마스터!$B$3:$B$102,MATCH($B578,거래처마스터!$A$3:$A$102,0)),"미등록"))</f>
        <v/>
      </c>
      <c r="D578" s="7"/>
      <c r="E578" s="12" t="str">
        <f aca="false">IF($D578="","",IFERROR(INDEX(품목마스터!$B$3:$B$202,MATCH($D578,품목마스터!$A$3:$A$202,0)),"미등록품번"))</f>
        <v/>
      </c>
      <c r="F578" s="12" t="str">
        <f aca="false">IF($D578="","",IFERROR(INDEX(품목마스터!$D$3:$D$202,MATCH($D578,품목마스터!$A$3:$A$202,0)),""))</f>
        <v/>
      </c>
      <c r="G578" s="9"/>
      <c r="H578" s="9"/>
      <c r="I578" s="13" t="str">
        <f aca="false">IF(OR($G578="",$H578=""),"",ROUND($G578*$H578,0))</f>
        <v/>
      </c>
      <c r="J578" s="7"/>
    </row>
    <row r="579" customFormat="false" ht="15" hidden="false" customHeight="true" outlineLevel="0" collapsed="false">
      <c r="A579" s="11"/>
      <c r="B579" s="7"/>
      <c r="C579" s="12" t="str">
        <f aca="false">IF($B579="","",IFERROR(INDEX(거래처마스터!$B$3:$B$102,MATCH($B579,거래처마스터!$A$3:$A$102,0)),"미등록"))</f>
        <v/>
      </c>
      <c r="D579" s="7"/>
      <c r="E579" s="12" t="str">
        <f aca="false">IF($D579="","",IFERROR(INDEX(품목마스터!$B$3:$B$202,MATCH($D579,품목마스터!$A$3:$A$202,0)),"미등록품번"))</f>
        <v/>
      </c>
      <c r="F579" s="12" t="str">
        <f aca="false">IF($D579="","",IFERROR(INDEX(품목마스터!$D$3:$D$202,MATCH($D579,품목마스터!$A$3:$A$202,0)),""))</f>
        <v/>
      </c>
      <c r="G579" s="9"/>
      <c r="H579" s="9"/>
      <c r="I579" s="13" t="str">
        <f aca="false">IF(OR($G579="",$H579=""),"",ROUND($G579*$H579,0))</f>
        <v/>
      </c>
      <c r="J579" s="7"/>
    </row>
    <row r="580" customFormat="false" ht="15" hidden="false" customHeight="true" outlineLevel="0" collapsed="false">
      <c r="A580" s="11"/>
      <c r="B580" s="7"/>
      <c r="C580" s="12" t="str">
        <f aca="false">IF($B580="","",IFERROR(INDEX(거래처마스터!$B$3:$B$102,MATCH($B580,거래처마스터!$A$3:$A$102,0)),"미등록"))</f>
        <v/>
      </c>
      <c r="D580" s="7"/>
      <c r="E580" s="12" t="str">
        <f aca="false">IF($D580="","",IFERROR(INDEX(품목마스터!$B$3:$B$202,MATCH($D580,품목마스터!$A$3:$A$202,0)),"미등록품번"))</f>
        <v/>
      </c>
      <c r="F580" s="12" t="str">
        <f aca="false">IF($D580="","",IFERROR(INDEX(품목마스터!$D$3:$D$202,MATCH($D580,품목마스터!$A$3:$A$202,0)),""))</f>
        <v/>
      </c>
      <c r="G580" s="9"/>
      <c r="H580" s="9"/>
      <c r="I580" s="13" t="str">
        <f aca="false">IF(OR($G580="",$H580=""),"",ROUND($G580*$H580,0))</f>
        <v/>
      </c>
      <c r="J580" s="7"/>
    </row>
    <row r="581" customFormat="false" ht="15" hidden="false" customHeight="true" outlineLevel="0" collapsed="false">
      <c r="A581" s="11"/>
      <c r="B581" s="7"/>
      <c r="C581" s="12" t="str">
        <f aca="false">IF($B581="","",IFERROR(INDEX(거래처마스터!$B$3:$B$102,MATCH($B581,거래처마스터!$A$3:$A$102,0)),"미등록"))</f>
        <v/>
      </c>
      <c r="D581" s="7"/>
      <c r="E581" s="12" t="str">
        <f aca="false">IF($D581="","",IFERROR(INDEX(품목마스터!$B$3:$B$202,MATCH($D581,품목마스터!$A$3:$A$202,0)),"미등록품번"))</f>
        <v/>
      </c>
      <c r="F581" s="12" t="str">
        <f aca="false">IF($D581="","",IFERROR(INDEX(품목마스터!$D$3:$D$202,MATCH($D581,품목마스터!$A$3:$A$202,0)),""))</f>
        <v/>
      </c>
      <c r="G581" s="9"/>
      <c r="H581" s="9"/>
      <c r="I581" s="13" t="str">
        <f aca="false">IF(OR($G581="",$H581=""),"",ROUND($G581*$H581,0))</f>
        <v/>
      </c>
      <c r="J581" s="7"/>
    </row>
    <row r="582" customFormat="false" ht="15" hidden="false" customHeight="true" outlineLevel="0" collapsed="false">
      <c r="A582" s="11"/>
      <c r="B582" s="7"/>
      <c r="C582" s="12" t="str">
        <f aca="false">IF($B582="","",IFERROR(INDEX(거래처마스터!$B$3:$B$102,MATCH($B582,거래처마스터!$A$3:$A$102,0)),"미등록"))</f>
        <v/>
      </c>
      <c r="D582" s="7"/>
      <c r="E582" s="12" t="str">
        <f aca="false">IF($D582="","",IFERROR(INDEX(품목마스터!$B$3:$B$202,MATCH($D582,품목마스터!$A$3:$A$202,0)),"미등록품번"))</f>
        <v/>
      </c>
      <c r="F582" s="12" t="str">
        <f aca="false">IF($D582="","",IFERROR(INDEX(품목마스터!$D$3:$D$202,MATCH($D582,품목마스터!$A$3:$A$202,0)),""))</f>
        <v/>
      </c>
      <c r="G582" s="9"/>
      <c r="H582" s="9"/>
      <c r="I582" s="13" t="str">
        <f aca="false">IF(OR($G582="",$H582=""),"",ROUND($G582*$H582,0))</f>
        <v/>
      </c>
      <c r="J582" s="7"/>
    </row>
    <row r="583" customFormat="false" ht="15" hidden="false" customHeight="true" outlineLevel="0" collapsed="false">
      <c r="A583" s="11"/>
      <c r="B583" s="7"/>
      <c r="C583" s="12" t="str">
        <f aca="false">IF($B583="","",IFERROR(INDEX(거래처마스터!$B$3:$B$102,MATCH($B583,거래처마스터!$A$3:$A$102,0)),"미등록"))</f>
        <v/>
      </c>
      <c r="D583" s="7"/>
      <c r="E583" s="12" t="str">
        <f aca="false">IF($D583="","",IFERROR(INDEX(품목마스터!$B$3:$B$202,MATCH($D583,품목마스터!$A$3:$A$202,0)),"미등록품번"))</f>
        <v/>
      </c>
      <c r="F583" s="12" t="str">
        <f aca="false">IF($D583="","",IFERROR(INDEX(품목마스터!$D$3:$D$202,MATCH($D583,품목마스터!$A$3:$A$202,0)),""))</f>
        <v/>
      </c>
      <c r="G583" s="9"/>
      <c r="H583" s="9"/>
      <c r="I583" s="13" t="str">
        <f aca="false">IF(OR($G583="",$H583=""),"",ROUND($G583*$H583,0))</f>
        <v/>
      </c>
      <c r="J583" s="7"/>
    </row>
    <row r="584" customFormat="false" ht="15" hidden="false" customHeight="true" outlineLevel="0" collapsed="false">
      <c r="A584" s="11"/>
      <c r="B584" s="7"/>
      <c r="C584" s="12" t="str">
        <f aca="false">IF($B584="","",IFERROR(INDEX(거래처마스터!$B$3:$B$102,MATCH($B584,거래처마스터!$A$3:$A$102,0)),"미등록"))</f>
        <v/>
      </c>
      <c r="D584" s="7"/>
      <c r="E584" s="12" t="str">
        <f aca="false">IF($D584="","",IFERROR(INDEX(품목마스터!$B$3:$B$202,MATCH($D584,품목마스터!$A$3:$A$202,0)),"미등록품번"))</f>
        <v/>
      </c>
      <c r="F584" s="12" t="str">
        <f aca="false">IF($D584="","",IFERROR(INDEX(품목마스터!$D$3:$D$202,MATCH($D584,품목마스터!$A$3:$A$202,0)),""))</f>
        <v/>
      </c>
      <c r="G584" s="9"/>
      <c r="H584" s="9"/>
      <c r="I584" s="13" t="str">
        <f aca="false">IF(OR($G584="",$H584=""),"",ROUND($G584*$H584,0))</f>
        <v/>
      </c>
      <c r="J584" s="7"/>
    </row>
    <row r="585" customFormat="false" ht="15" hidden="false" customHeight="true" outlineLevel="0" collapsed="false">
      <c r="A585" s="11"/>
      <c r="B585" s="7"/>
      <c r="C585" s="12" t="str">
        <f aca="false">IF($B585="","",IFERROR(INDEX(거래처마스터!$B$3:$B$102,MATCH($B585,거래처마스터!$A$3:$A$102,0)),"미등록"))</f>
        <v/>
      </c>
      <c r="D585" s="7"/>
      <c r="E585" s="12" t="str">
        <f aca="false">IF($D585="","",IFERROR(INDEX(품목마스터!$B$3:$B$202,MATCH($D585,품목마스터!$A$3:$A$202,0)),"미등록품번"))</f>
        <v/>
      </c>
      <c r="F585" s="12" t="str">
        <f aca="false">IF($D585="","",IFERROR(INDEX(품목마스터!$D$3:$D$202,MATCH($D585,품목마스터!$A$3:$A$202,0)),""))</f>
        <v/>
      </c>
      <c r="G585" s="9"/>
      <c r="H585" s="9"/>
      <c r="I585" s="13" t="str">
        <f aca="false">IF(OR($G585="",$H585=""),"",ROUND($G585*$H585,0))</f>
        <v/>
      </c>
      <c r="J585" s="7"/>
    </row>
    <row r="586" customFormat="false" ht="15" hidden="false" customHeight="true" outlineLevel="0" collapsed="false">
      <c r="A586" s="11"/>
      <c r="B586" s="7"/>
      <c r="C586" s="12" t="str">
        <f aca="false">IF($B586="","",IFERROR(INDEX(거래처마스터!$B$3:$B$102,MATCH($B586,거래처마스터!$A$3:$A$102,0)),"미등록"))</f>
        <v/>
      </c>
      <c r="D586" s="7"/>
      <c r="E586" s="12" t="str">
        <f aca="false">IF($D586="","",IFERROR(INDEX(품목마스터!$B$3:$B$202,MATCH($D586,품목마스터!$A$3:$A$202,0)),"미등록품번"))</f>
        <v/>
      </c>
      <c r="F586" s="12" t="str">
        <f aca="false">IF($D586="","",IFERROR(INDEX(품목마스터!$D$3:$D$202,MATCH($D586,품목마스터!$A$3:$A$202,0)),""))</f>
        <v/>
      </c>
      <c r="G586" s="9"/>
      <c r="H586" s="9"/>
      <c r="I586" s="13" t="str">
        <f aca="false">IF(OR($G586="",$H586=""),"",ROUND($G586*$H586,0))</f>
        <v/>
      </c>
      <c r="J586" s="7"/>
    </row>
    <row r="587" customFormat="false" ht="15" hidden="false" customHeight="true" outlineLevel="0" collapsed="false">
      <c r="A587" s="11"/>
      <c r="B587" s="7"/>
      <c r="C587" s="12" t="str">
        <f aca="false">IF($B587="","",IFERROR(INDEX(거래처마스터!$B$3:$B$102,MATCH($B587,거래처마스터!$A$3:$A$102,0)),"미등록"))</f>
        <v/>
      </c>
      <c r="D587" s="7"/>
      <c r="E587" s="12" t="str">
        <f aca="false">IF($D587="","",IFERROR(INDEX(품목마스터!$B$3:$B$202,MATCH($D587,품목마스터!$A$3:$A$202,0)),"미등록품번"))</f>
        <v/>
      </c>
      <c r="F587" s="12" t="str">
        <f aca="false">IF($D587="","",IFERROR(INDEX(품목마스터!$D$3:$D$202,MATCH($D587,품목마스터!$A$3:$A$202,0)),""))</f>
        <v/>
      </c>
      <c r="G587" s="9"/>
      <c r="H587" s="9"/>
      <c r="I587" s="13" t="str">
        <f aca="false">IF(OR($G587="",$H587=""),"",ROUND($G587*$H587,0))</f>
        <v/>
      </c>
      <c r="J587" s="7"/>
    </row>
    <row r="588" customFormat="false" ht="15" hidden="false" customHeight="true" outlineLevel="0" collapsed="false">
      <c r="A588" s="11"/>
      <c r="B588" s="7"/>
      <c r="C588" s="12" t="str">
        <f aca="false">IF($B588="","",IFERROR(INDEX(거래처마스터!$B$3:$B$102,MATCH($B588,거래처마스터!$A$3:$A$102,0)),"미등록"))</f>
        <v/>
      </c>
      <c r="D588" s="7"/>
      <c r="E588" s="12" t="str">
        <f aca="false">IF($D588="","",IFERROR(INDEX(품목마스터!$B$3:$B$202,MATCH($D588,품목마스터!$A$3:$A$202,0)),"미등록품번"))</f>
        <v/>
      </c>
      <c r="F588" s="12" t="str">
        <f aca="false">IF($D588="","",IFERROR(INDEX(품목마스터!$D$3:$D$202,MATCH($D588,품목마스터!$A$3:$A$202,0)),""))</f>
        <v/>
      </c>
      <c r="G588" s="9"/>
      <c r="H588" s="9"/>
      <c r="I588" s="13" t="str">
        <f aca="false">IF(OR($G588="",$H588=""),"",ROUND($G588*$H588,0))</f>
        <v/>
      </c>
      <c r="J588" s="7"/>
    </row>
    <row r="589" customFormat="false" ht="15" hidden="false" customHeight="true" outlineLevel="0" collapsed="false">
      <c r="A589" s="11"/>
      <c r="B589" s="7"/>
      <c r="C589" s="12" t="str">
        <f aca="false">IF($B589="","",IFERROR(INDEX(거래처마스터!$B$3:$B$102,MATCH($B589,거래처마스터!$A$3:$A$102,0)),"미등록"))</f>
        <v/>
      </c>
      <c r="D589" s="7"/>
      <c r="E589" s="12" t="str">
        <f aca="false">IF($D589="","",IFERROR(INDEX(품목마스터!$B$3:$B$202,MATCH($D589,품목마스터!$A$3:$A$202,0)),"미등록품번"))</f>
        <v/>
      </c>
      <c r="F589" s="12" t="str">
        <f aca="false">IF($D589="","",IFERROR(INDEX(품목마스터!$D$3:$D$202,MATCH($D589,품목마스터!$A$3:$A$202,0)),""))</f>
        <v/>
      </c>
      <c r="G589" s="9"/>
      <c r="H589" s="9"/>
      <c r="I589" s="13" t="str">
        <f aca="false">IF(OR($G589="",$H589=""),"",ROUND($G589*$H589,0))</f>
        <v/>
      </c>
      <c r="J589" s="7"/>
    </row>
    <row r="590" customFormat="false" ht="15" hidden="false" customHeight="true" outlineLevel="0" collapsed="false">
      <c r="A590" s="11"/>
      <c r="B590" s="7"/>
      <c r="C590" s="12" t="str">
        <f aca="false">IF($B590="","",IFERROR(INDEX(거래처마스터!$B$3:$B$102,MATCH($B590,거래처마스터!$A$3:$A$102,0)),"미등록"))</f>
        <v/>
      </c>
      <c r="D590" s="7"/>
      <c r="E590" s="12" t="str">
        <f aca="false">IF($D590="","",IFERROR(INDEX(품목마스터!$B$3:$B$202,MATCH($D590,품목마스터!$A$3:$A$202,0)),"미등록품번"))</f>
        <v/>
      </c>
      <c r="F590" s="12" t="str">
        <f aca="false">IF($D590="","",IFERROR(INDEX(품목마스터!$D$3:$D$202,MATCH($D590,품목마스터!$A$3:$A$202,0)),""))</f>
        <v/>
      </c>
      <c r="G590" s="9"/>
      <c r="H590" s="9"/>
      <c r="I590" s="13" t="str">
        <f aca="false">IF(OR($G590="",$H590=""),"",ROUND($G590*$H590,0))</f>
        <v/>
      </c>
      <c r="J590" s="7"/>
    </row>
    <row r="591" customFormat="false" ht="15" hidden="false" customHeight="true" outlineLevel="0" collapsed="false">
      <c r="A591" s="11"/>
      <c r="B591" s="7"/>
      <c r="C591" s="12" t="str">
        <f aca="false">IF($B591="","",IFERROR(INDEX(거래처마스터!$B$3:$B$102,MATCH($B591,거래처마스터!$A$3:$A$102,0)),"미등록"))</f>
        <v/>
      </c>
      <c r="D591" s="7"/>
      <c r="E591" s="12" t="str">
        <f aca="false">IF($D591="","",IFERROR(INDEX(품목마스터!$B$3:$B$202,MATCH($D591,품목마스터!$A$3:$A$202,0)),"미등록품번"))</f>
        <v/>
      </c>
      <c r="F591" s="12" t="str">
        <f aca="false">IF($D591="","",IFERROR(INDEX(품목마스터!$D$3:$D$202,MATCH($D591,품목마스터!$A$3:$A$202,0)),""))</f>
        <v/>
      </c>
      <c r="G591" s="9"/>
      <c r="H591" s="9"/>
      <c r="I591" s="13" t="str">
        <f aca="false">IF(OR($G591="",$H591=""),"",ROUND($G591*$H591,0))</f>
        <v/>
      </c>
      <c r="J591" s="7"/>
    </row>
    <row r="592" customFormat="false" ht="15" hidden="false" customHeight="true" outlineLevel="0" collapsed="false">
      <c r="A592" s="11"/>
      <c r="B592" s="7"/>
      <c r="C592" s="12" t="str">
        <f aca="false">IF($B592="","",IFERROR(INDEX(거래처마스터!$B$3:$B$102,MATCH($B592,거래처마스터!$A$3:$A$102,0)),"미등록"))</f>
        <v/>
      </c>
      <c r="D592" s="7"/>
      <c r="E592" s="12" t="str">
        <f aca="false">IF($D592="","",IFERROR(INDEX(품목마스터!$B$3:$B$202,MATCH($D592,품목마스터!$A$3:$A$202,0)),"미등록품번"))</f>
        <v/>
      </c>
      <c r="F592" s="12" t="str">
        <f aca="false">IF($D592="","",IFERROR(INDEX(품목마스터!$D$3:$D$202,MATCH($D592,품목마스터!$A$3:$A$202,0)),""))</f>
        <v/>
      </c>
      <c r="G592" s="9"/>
      <c r="H592" s="9"/>
      <c r="I592" s="13" t="str">
        <f aca="false">IF(OR($G592="",$H592=""),"",ROUND($G592*$H592,0))</f>
        <v/>
      </c>
      <c r="J592" s="7"/>
    </row>
    <row r="593" customFormat="false" ht="15" hidden="false" customHeight="true" outlineLevel="0" collapsed="false">
      <c r="A593" s="11"/>
      <c r="B593" s="7"/>
      <c r="C593" s="12" t="str">
        <f aca="false">IF($B593="","",IFERROR(INDEX(거래처마스터!$B$3:$B$102,MATCH($B593,거래처마스터!$A$3:$A$102,0)),"미등록"))</f>
        <v/>
      </c>
      <c r="D593" s="7"/>
      <c r="E593" s="12" t="str">
        <f aca="false">IF($D593="","",IFERROR(INDEX(품목마스터!$B$3:$B$202,MATCH($D593,품목마스터!$A$3:$A$202,0)),"미등록품번"))</f>
        <v/>
      </c>
      <c r="F593" s="12" t="str">
        <f aca="false">IF($D593="","",IFERROR(INDEX(품목마스터!$D$3:$D$202,MATCH($D593,품목마스터!$A$3:$A$202,0)),""))</f>
        <v/>
      </c>
      <c r="G593" s="9"/>
      <c r="H593" s="9"/>
      <c r="I593" s="13" t="str">
        <f aca="false">IF(OR($G593="",$H593=""),"",ROUND($G593*$H593,0))</f>
        <v/>
      </c>
      <c r="J593" s="7"/>
    </row>
    <row r="594" customFormat="false" ht="15" hidden="false" customHeight="true" outlineLevel="0" collapsed="false">
      <c r="A594" s="11"/>
      <c r="B594" s="7"/>
      <c r="C594" s="12" t="str">
        <f aca="false">IF($B594="","",IFERROR(INDEX(거래처마스터!$B$3:$B$102,MATCH($B594,거래처마스터!$A$3:$A$102,0)),"미등록"))</f>
        <v/>
      </c>
      <c r="D594" s="7"/>
      <c r="E594" s="12" t="str">
        <f aca="false">IF($D594="","",IFERROR(INDEX(품목마스터!$B$3:$B$202,MATCH($D594,품목마스터!$A$3:$A$202,0)),"미등록품번"))</f>
        <v/>
      </c>
      <c r="F594" s="12" t="str">
        <f aca="false">IF($D594="","",IFERROR(INDEX(품목마스터!$D$3:$D$202,MATCH($D594,품목마스터!$A$3:$A$202,0)),""))</f>
        <v/>
      </c>
      <c r="G594" s="9"/>
      <c r="H594" s="9"/>
      <c r="I594" s="13" t="str">
        <f aca="false">IF(OR($G594="",$H594=""),"",ROUND($G594*$H594,0))</f>
        <v/>
      </c>
      <c r="J594" s="7"/>
    </row>
    <row r="595" customFormat="false" ht="15" hidden="false" customHeight="true" outlineLevel="0" collapsed="false">
      <c r="A595" s="11"/>
      <c r="B595" s="7"/>
      <c r="C595" s="12" t="str">
        <f aca="false">IF($B595="","",IFERROR(INDEX(거래처마스터!$B$3:$B$102,MATCH($B595,거래처마스터!$A$3:$A$102,0)),"미등록"))</f>
        <v/>
      </c>
      <c r="D595" s="7"/>
      <c r="E595" s="12" t="str">
        <f aca="false">IF($D595="","",IFERROR(INDEX(품목마스터!$B$3:$B$202,MATCH($D595,품목마스터!$A$3:$A$202,0)),"미등록품번"))</f>
        <v/>
      </c>
      <c r="F595" s="12" t="str">
        <f aca="false">IF($D595="","",IFERROR(INDEX(품목마스터!$D$3:$D$202,MATCH($D595,품목마스터!$A$3:$A$202,0)),""))</f>
        <v/>
      </c>
      <c r="G595" s="9"/>
      <c r="H595" s="9"/>
      <c r="I595" s="13" t="str">
        <f aca="false">IF(OR($G595="",$H595=""),"",ROUND($G595*$H595,0))</f>
        <v/>
      </c>
      <c r="J595" s="7"/>
    </row>
    <row r="596" customFormat="false" ht="15" hidden="false" customHeight="true" outlineLevel="0" collapsed="false">
      <c r="A596" s="11"/>
      <c r="B596" s="7"/>
      <c r="C596" s="12" t="str">
        <f aca="false">IF($B596="","",IFERROR(INDEX(거래처마스터!$B$3:$B$102,MATCH($B596,거래처마스터!$A$3:$A$102,0)),"미등록"))</f>
        <v/>
      </c>
      <c r="D596" s="7"/>
      <c r="E596" s="12" t="str">
        <f aca="false">IF($D596="","",IFERROR(INDEX(품목마스터!$B$3:$B$202,MATCH($D596,품목마스터!$A$3:$A$202,0)),"미등록품번"))</f>
        <v/>
      </c>
      <c r="F596" s="12" t="str">
        <f aca="false">IF($D596="","",IFERROR(INDEX(품목마스터!$D$3:$D$202,MATCH($D596,품목마스터!$A$3:$A$202,0)),""))</f>
        <v/>
      </c>
      <c r="G596" s="9"/>
      <c r="H596" s="9"/>
      <c r="I596" s="13" t="str">
        <f aca="false">IF(OR($G596="",$H596=""),"",ROUND($G596*$H596,0))</f>
        <v/>
      </c>
      <c r="J596" s="7"/>
    </row>
    <row r="597" customFormat="false" ht="15" hidden="false" customHeight="true" outlineLevel="0" collapsed="false">
      <c r="A597" s="11"/>
      <c r="B597" s="7"/>
      <c r="C597" s="12" t="str">
        <f aca="false">IF($B597="","",IFERROR(INDEX(거래처마스터!$B$3:$B$102,MATCH($B597,거래처마스터!$A$3:$A$102,0)),"미등록"))</f>
        <v/>
      </c>
      <c r="D597" s="7"/>
      <c r="E597" s="12" t="str">
        <f aca="false">IF($D597="","",IFERROR(INDEX(품목마스터!$B$3:$B$202,MATCH($D597,품목마스터!$A$3:$A$202,0)),"미등록품번"))</f>
        <v/>
      </c>
      <c r="F597" s="12" t="str">
        <f aca="false">IF($D597="","",IFERROR(INDEX(품목마스터!$D$3:$D$202,MATCH($D597,품목마스터!$A$3:$A$202,0)),""))</f>
        <v/>
      </c>
      <c r="G597" s="9"/>
      <c r="H597" s="9"/>
      <c r="I597" s="13" t="str">
        <f aca="false">IF(OR($G597="",$H597=""),"",ROUND($G597*$H597,0))</f>
        <v/>
      </c>
      <c r="J597" s="7"/>
    </row>
    <row r="598" customFormat="false" ht="15" hidden="false" customHeight="true" outlineLevel="0" collapsed="false">
      <c r="A598" s="11"/>
      <c r="B598" s="7"/>
      <c r="C598" s="12" t="str">
        <f aca="false">IF($B598="","",IFERROR(INDEX(거래처마스터!$B$3:$B$102,MATCH($B598,거래처마스터!$A$3:$A$102,0)),"미등록"))</f>
        <v/>
      </c>
      <c r="D598" s="7"/>
      <c r="E598" s="12" t="str">
        <f aca="false">IF($D598="","",IFERROR(INDEX(품목마스터!$B$3:$B$202,MATCH($D598,품목마스터!$A$3:$A$202,0)),"미등록품번"))</f>
        <v/>
      </c>
      <c r="F598" s="12" t="str">
        <f aca="false">IF($D598="","",IFERROR(INDEX(품목마스터!$D$3:$D$202,MATCH($D598,품목마스터!$A$3:$A$202,0)),""))</f>
        <v/>
      </c>
      <c r="G598" s="9"/>
      <c r="H598" s="9"/>
      <c r="I598" s="13" t="str">
        <f aca="false">IF(OR($G598="",$H598=""),"",ROUND($G598*$H598,0))</f>
        <v/>
      </c>
      <c r="J598" s="7"/>
    </row>
    <row r="599" customFormat="false" ht="15" hidden="false" customHeight="true" outlineLevel="0" collapsed="false">
      <c r="A599" s="11"/>
      <c r="B599" s="7"/>
      <c r="C599" s="12" t="str">
        <f aca="false">IF($B599="","",IFERROR(INDEX(거래처마스터!$B$3:$B$102,MATCH($B599,거래처마스터!$A$3:$A$102,0)),"미등록"))</f>
        <v/>
      </c>
      <c r="D599" s="7"/>
      <c r="E599" s="12" t="str">
        <f aca="false">IF($D599="","",IFERROR(INDEX(품목마스터!$B$3:$B$202,MATCH($D599,품목마스터!$A$3:$A$202,0)),"미등록품번"))</f>
        <v/>
      </c>
      <c r="F599" s="12" t="str">
        <f aca="false">IF($D599="","",IFERROR(INDEX(품목마스터!$D$3:$D$202,MATCH($D599,품목마스터!$A$3:$A$202,0)),""))</f>
        <v/>
      </c>
      <c r="G599" s="9"/>
      <c r="H599" s="9"/>
      <c r="I599" s="13" t="str">
        <f aca="false">IF(OR($G599="",$H599=""),"",ROUND($G599*$H599,0))</f>
        <v/>
      </c>
      <c r="J599" s="7"/>
    </row>
    <row r="600" customFormat="false" ht="15" hidden="false" customHeight="true" outlineLevel="0" collapsed="false">
      <c r="A600" s="11"/>
      <c r="B600" s="7"/>
      <c r="C600" s="12" t="str">
        <f aca="false">IF($B600="","",IFERROR(INDEX(거래처마스터!$B$3:$B$102,MATCH($B600,거래처마스터!$A$3:$A$102,0)),"미등록"))</f>
        <v/>
      </c>
      <c r="D600" s="7"/>
      <c r="E600" s="12" t="str">
        <f aca="false">IF($D600="","",IFERROR(INDEX(품목마스터!$B$3:$B$202,MATCH($D600,품목마스터!$A$3:$A$202,0)),"미등록품번"))</f>
        <v/>
      </c>
      <c r="F600" s="12" t="str">
        <f aca="false">IF($D600="","",IFERROR(INDEX(품목마스터!$D$3:$D$202,MATCH($D600,품목마스터!$A$3:$A$202,0)),""))</f>
        <v/>
      </c>
      <c r="G600" s="9"/>
      <c r="H600" s="9"/>
      <c r="I600" s="13" t="str">
        <f aca="false">IF(OR($G600="",$H600=""),"",ROUND($G600*$H600,0))</f>
        <v/>
      </c>
      <c r="J600" s="7"/>
    </row>
    <row r="601" customFormat="false" ht="15" hidden="false" customHeight="true" outlineLevel="0" collapsed="false">
      <c r="A601" s="11"/>
      <c r="B601" s="7"/>
      <c r="C601" s="12" t="str">
        <f aca="false">IF($B601="","",IFERROR(INDEX(거래처마스터!$B$3:$B$102,MATCH($B601,거래처마스터!$A$3:$A$102,0)),"미등록"))</f>
        <v/>
      </c>
      <c r="D601" s="7"/>
      <c r="E601" s="12" t="str">
        <f aca="false">IF($D601="","",IFERROR(INDEX(품목마스터!$B$3:$B$202,MATCH($D601,품목마스터!$A$3:$A$202,0)),"미등록품번"))</f>
        <v/>
      </c>
      <c r="F601" s="12" t="str">
        <f aca="false">IF($D601="","",IFERROR(INDEX(품목마스터!$D$3:$D$202,MATCH($D601,품목마스터!$A$3:$A$202,0)),""))</f>
        <v/>
      </c>
      <c r="G601" s="9"/>
      <c r="H601" s="9"/>
      <c r="I601" s="13" t="str">
        <f aca="false">IF(OR($G601="",$H601=""),"",ROUND($G601*$H601,0))</f>
        <v/>
      </c>
      <c r="J601" s="7"/>
    </row>
    <row r="602" customFormat="false" ht="15" hidden="false" customHeight="true" outlineLevel="0" collapsed="false">
      <c r="A602" s="11"/>
      <c r="B602" s="7"/>
      <c r="C602" s="12" t="str">
        <f aca="false">IF($B602="","",IFERROR(INDEX(거래처마스터!$B$3:$B$102,MATCH($B602,거래처마스터!$A$3:$A$102,0)),"미등록"))</f>
        <v/>
      </c>
      <c r="D602" s="7"/>
      <c r="E602" s="12" t="str">
        <f aca="false">IF($D602="","",IFERROR(INDEX(품목마스터!$B$3:$B$202,MATCH($D602,품목마스터!$A$3:$A$202,0)),"미등록품번"))</f>
        <v/>
      </c>
      <c r="F602" s="12" t="str">
        <f aca="false">IF($D602="","",IFERROR(INDEX(품목마스터!$D$3:$D$202,MATCH($D602,품목마스터!$A$3:$A$202,0)),""))</f>
        <v/>
      </c>
      <c r="G602" s="9"/>
      <c r="H602" s="9"/>
      <c r="I602" s="13" t="str">
        <f aca="false">IF(OR($G602="",$H602=""),"",ROUND($G602*$H602,0))</f>
        <v/>
      </c>
      <c r="J602" s="7"/>
    </row>
    <row r="603" customFormat="false" ht="15" hidden="false" customHeight="true" outlineLevel="0" collapsed="false">
      <c r="A603" s="11"/>
      <c r="B603" s="7"/>
      <c r="C603" s="12" t="str">
        <f aca="false">IF($B603="","",IFERROR(INDEX(거래처마스터!$B$3:$B$102,MATCH($B603,거래처마스터!$A$3:$A$102,0)),"미등록"))</f>
        <v/>
      </c>
      <c r="D603" s="7"/>
      <c r="E603" s="12" t="str">
        <f aca="false">IF($D603="","",IFERROR(INDEX(품목마스터!$B$3:$B$202,MATCH($D603,품목마스터!$A$3:$A$202,0)),"미등록품번"))</f>
        <v/>
      </c>
      <c r="F603" s="12" t="str">
        <f aca="false">IF($D603="","",IFERROR(INDEX(품목마스터!$D$3:$D$202,MATCH($D603,품목마스터!$A$3:$A$202,0)),""))</f>
        <v/>
      </c>
      <c r="G603" s="9"/>
      <c r="H603" s="9"/>
      <c r="I603" s="13" t="str">
        <f aca="false">IF(OR($G603="",$H603=""),"",ROUND($G603*$H603,0))</f>
        <v/>
      </c>
      <c r="J603" s="7"/>
    </row>
    <row r="604" customFormat="false" ht="15" hidden="false" customHeight="true" outlineLevel="0" collapsed="false">
      <c r="A604" s="11"/>
      <c r="B604" s="7"/>
      <c r="C604" s="12" t="str">
        <f aca="false">IF($B604="","",IFERROR(INDEX(거래처마스터!$B$3:$B$102,MATCH($B604,거래처마스터!$A$3:$A$102,0)),"미등록"))</f>
        <v/>
      </c>
      <c r="D604" s="7"/>
      <c r="E604" s="12" t="str">
        <f aca="false">IF($D604="","",IFERROR(INDEX(품목마스터!$B$3:$B$202,MATCH($D604,품목마스터!$A$3:$A$202,0)),"미등록품번"))</f>
        <v/>
      </c>
      <c r="F604" s="12" t="str">
        <f aca="false">IF($D604="","",IFERROR(INDEX(품목마스터!$D$3:$D$202,MATCH($D604,품목마스터!$A$3:$A$202,0)),""))</f>
        <v/>
      </c>
      <c r="G604" s="9"/>
      <c r="H604" s="9"/>
      <c r="I604" s="13" t="str">
        <f aca="false">IF(OR($G604="",$H604=""),"",ROUND($G604*$H604,0))</f>
        <v/>
      </c>
      <c r="J604" s="7"/>
    </row>
    <row r="605" customFormat="false" ht="15" hidden="false" customHeight="true" outlineLevel="0" collapsed="false">
      <c r="A605" s="11"/>
      <c r="B605" s="7"/>
      <c r="C605" s="12" t="str">
        <f aca="false">IF($B605="","",IFERROR(INDEX(거래처마스터!$B$3:$B$102,MATCH($B605,거래처마스터!$A$3:$A$102,0)),"미등록"))</f>
        <v/>
      </c>
      <c r="D605" s="7"/>
      <c r="E605" s="12" t="str">
        <f aca="false">IF($D605="","",IFERROR(INDEX(품목마스터!$B$3:$B$202,MATCH($D605,품목마스터!$A$3:$A$202,0)),"미등록품번"))</f>
        <v/>
      </c>
      <c r="F605" s="12" t="str">
        <f aca="false">IF($D605="","",IFERROR(INDEX(품목마스터!$D$3:$D$202,MATCH($D605,품목마스터!$A$3:$A$202,0)),""))</f>
        <v/>
      </c>
      <c r="G605" s="9"/>
      <c r="H605" s="9"/>
      <c r="I605" s="13" t="str">
        <f aca="false">IF(OR($G605="",$H605=""),"",ROUND($G605*$H605,0))</f>
        <v/>
      </c>
      <c r="J605" s="7"/>
    </row>
    <row r="606" customFormat="false" ht="15" hidden="false" customHeight="true" outlineLevel="0" collapsed="false">
      <c r="A606" s="11"/>
      <c r="B606" s="7"/>
      <c r="C606" s="12" t="str">
        <f aca="false">IF($B606="","",IFERROR(INDEX(거래처마스터!$B$3:$B$102,MATCH($B606,거래처마스터!$A$3:$A$102,0)),"미등록"))</f>
        <v/>
      </c>
      <c r="D606" s="7"/>
      <c r="E606" s="12" t="str">
        <f aca="false">IF($D606="","",IFERROR(INDEX(품목마스터!$B$3:$B$202,MATCH($D606,품목마스터!$A$3:$A$202,0)),"미등록품번"))</f>
        <v/>
      </c>
      <c r="F606" s="12" t="str">
        <f aca="false">IF($D606="","",IFERROR(INDEX(품목마스터!$D$3:$D$202,MATCH($D606,품목마스터!$A$3:$A$202,0)),""))</f>
        <v/>
      </c>
      <c r="G606" s="9"/>
      <c r="H606" s="9"/>
      <c r="I606" s="13" t="str">
        <f aca="false">IF(OR($G606="",$H606=""),"",ROUND($G606*$H606,0))</f>
        <v/>
      </c>
      <c r="J606" s="7"/>
    </row>
    <row r="607" customFormat="false" ht="15" hidden="false" customHeight="true" outlineLevel="0" collapsed="false">
      <c r="A607" s="11"/>
      <c r="B607" s="7"/>
      <c r="C607" s="12" t="str">
        <f aca="false">IF($B607="","",IFERROR(INDEX(거래처마스터!$B$3:$B$102,MATCH($B607,거래처마스터!$A$3:$A$102,0)),"미등록"))</f>
        <v/>
      </c>
      <c r="D607" s="7"/>
      <c r="E607" s="12" t="str">
        <f aca="false">IF($D607="","",IFERROR(INDEX(품목마스터!$B$3:$B$202,MATCH($D607,품목마스터!$A$3:$A$202,0)),"미등록품번"))</f>
        <v/>
      </c>
      <c r="F607" s="12" t="str">
        <f aca="false">IF($D607="","",IFERROR(INDEX(품목마스터!$D$3:$D$202,MATCH($D607,품목마스터!$A$3:$A$202,0)),""))</f>
        <v/>
      </c>
      <c r="G607" s="9"/>
      <c r="H607" s="9"/>
      <c r="I607" s="13" t="str">
        <f aca="false">IF(OR($G607="",$H607=""),"",ROUND($G607*$H607,0))</f>
        <v/>
      </c>
      <c r="J607" s="7"/>
    </row>
    <row r="608" customFormat="false" ht="15" hidden="false" customHeight="true" outlineLevel="0" collapsed="false">
      <c r="A608" s="11"/>
      <c r="B608" s="7"/>
      <c r="C608" s="12" t="str">
        <f aca="false">IF($B608="","",IFERROR(INDEX(거래처마스터!$B$3:$B$102,MATCH($B608,거래처마스터!$A$3:$A$102,0)),"미등록"))</f>
        <v/>
      </c>
      <c r="D608" s="7"/>
      <c r="E608" s="12" t="str">
        <f aca="false">IF($D608="","",IFERROR(INDEX(품목마스터!$B$3:$B$202,MATCH($D608,품목마스터!$A$3:$A$202,0)),"미등록품번"))</f>
        <v/>
      </c>
      <c r="F608" s="12" t="str">
        <f aca="false">IF($D608="","",IFERROR(INDEX(품목마스터!$D$3:$D$202,MATCH($D608,품목마스터!$A$3:$A$202,0)),""))</f>
        <v/>
      </c>
      <c r="G608" s="9"/>
      <c r="H608" s="9"/>
      <c r="I608" s="13" t="str">
        <f aca="false">IF(OR($G608="",$H608=""),"",ROUND($G608*$H608,0))</f>
        <v/>
      </c>
      <c r="J608" s="7"/>
    </row>
    <row r="609" customFormat="false" ht="15" hidden="false" customHeight="true" outlineLevel="0" collapsed="false">
      <c r="A609" s="11"/>
      <c r="B609" s="7"/>
      <c r="C609" s="12" t="str">
        <f aca="false">IF($B609="","",IFERROR(INDEX(거래처마스터!$B$3:$B$102,MATCH($B609,거래처마스터!$A$3:$A$102,0)),"미등록"))</f>
        <v/>
      </c>
      <c r="D609" s="7"/>
      <c r="E609" s="12" t="str">
        <f aca="false">IF($D609="","",IFERROR(INDEX(품목마스터!$B$3:$B$202,MATCH($D609,품목마스터!$A$3:$A$202,0)),"미등록품번"))</f>
        <v/>
      </c>
      <c r="F609" s="12" t="str">
        <f aca="false">IF($D609="","",IFERROR(INDEX(품목마스터!$D$3:$D$202,MATCH($D609,품목마스터!$A$3:$A$202,0)),""))</f>
        <v/>
      </c>
      <c r="G609" s="9"/>
      <c r="H609" s="9"/>
      <c r="I609" s="13" t="str">
        <f aca="false">IF(OR($G609="",$H609=""),"",ROUND($G609*$H609,0))</f>
        <v/>
      </c>
      <c r="J609" s="7"/>
    </row>
    <row r="610" customFormat="false" ht="15" hidden="false" customHeight="true" outlineLevel="0" collapsed="false">
      <c r="A610" s="11"/>
      <c r="B610" s="7"/>
      <c r="C610" s="12" t="str">
        <f aca="false">IF($B610="","",IFERROR(INDEX(거래처마스터!$B$3:$B$102,MATCH($B610,거래처마스터!$A$3:$A$102,0)),"미등록"))</f>
        <v/>
      </c>
      <c r="D610" s="7"/>
      <c r="E610" s="12" t="str">
        <f aca="false">IF($D610="","",IFERROR(INDEX(품목마스터!$B$3:$B$202,MATCH($D610,품목마스터!$A$3:$A$202,0)),"미등록품번"))</f>
        <v/>
      </c>
      <c r="F610" s="12" t="str">
        <f aca="false">IF($D610="","",IFERROR(INDEX(품목마스터!$D$3:$D$202,MATCH($D610,품목마스터!$A$3:$A$202,0)),""))</f>
        <v/>
      </c>
      <c r="G610" s="9"/>
      <c r="H610" s="9"/>
      <c r="I610" s="13" t="str">
        <f aca="false">IF(OR($G610="",$H610=""),"",ROUND($G610*$H610,0))</f>
        <v/>
      </c>
      <c r="J610" s="7"/>
    </row>
    <row r="611" customFormat="false" ht="15" hidden="false" customHeight="true" outlineLevel="0" collapsed="false">
      <c r="A611" s="11"/>
      <c r="B611" s="7"/>
      <c r="C611" s="12" t="str">
        <f aca="false">IF($B611="","",IFERROR(INDEX(거래처마스터!$B$3:$B$102,MATCH($B611,거래처마스터!$A$3:$A$102,0)),"미등록"))</f>
        <v/>
      </c>
      <c r="D611" s="7"/>
      <c r="E611" s="12" t="str">
        <f aca="false">IF($D611="","",IFERROR(INDEX(품목마스터!$B$3:$B$202,MATCH($D611,품목마스터!$A$3:$A$202,0)),"미등록품번"))</f>
        <v/>
      </c>
      <c r="F611" s="12" t="str">
        <f aca="false">IF($D611="","",IFERROR(INDEX(품목마스터!$D$3:$D$202,MATCH($D611,품목마스터!$A$3:$A$202,0)),""))</f>
        <v/>
      </c>
      <c r="G611" s="9"/>
      <c r="H611" s="9"/>
      <c r="I611" s="13" t="str">
        <f aca="false">IF(OR($G611="",$H611=""),"",ROUND($G611*$H611,0))</f>
        <v/>
      </c>
      <c r="J611" s="7"/>
    </row>
    <row r="612" customFormat="false" ht="15" hidden="false" customHeight="true" outlineLevel="0" collapsed="false">
      <c r="A612" s="11"/>
      <c r="B612" s="7"/>
      <c r="C612" s="12" t="str">
        <f aca="false">IF($B612="","",IFERROR(INDEX(거래처마스터!$B$3:$B$102,MATCH($B612,거래처마스터!$A$3:$A$102,0)),"미등록"))</f>
        <v/>
      </c>
      <c r="D612" s="7"/>
      <c r="E612" s="12" t="str">
        <f aca="false">IF($D612="","",IFERROR(INDEX(품목마스터!$B$3:$B$202,MATCH($D612,품목마스터!$A$3:$A$202,0)),"미등록품번"))</f>
        <v/>
      </c>
      <c r="F612" s="12" t="str">
        <f aca="false">IF($D612="","",IFERROR(INDEX(품목마스터!$D$3:$D$202,MATCH($D612,품목마스터!$A$3:$A$202,0)),""))</f>
        <v/>
      </c>
      <c r="G612" s="9"/>
      <c r="H612" s="9"/>
      <c r="I612" s="13" t="str">
        <f aca="false">IF(OR($G612="",$H612=""),"",ROUND($G612*$H612,0))</f>
        <v/>
      </c>
      <c r="J612" s="7"/>
    </row>
    <row r="613" customFormat="false" ht="15" hidden="false" customHeight="true" outlineLevel="0" collapsed="false">
      <c r="A613" s="11"/>
      <c r="B613" s="7"/>
      <c r="C613" s="12" t="str">
        <f aca="false">IF($B613="","",IFERROR(INDEX(거래처마스터!$B$3:$B$102,MATCH($B613,거래처마스터!$A$3:$A$102,0)),"미등록"))</f>
        <v/>
      </c>
      <c r="D613" s="7"/>
      <c r="E613" s="12" t="str">
        <f aca="false">IF($D613="","",IFERROR(INDEX(품목마스터!$B$3:$B$202,MATCH($D613,품목마스터!$A$3:$A$202,0)),"미등록품번"))</f>
        <v/>
      </c>
      <c r="F613" s="12" t="str">
        <f aca="false">IF($D613="","",IFERROR(INDEX(품목마스터!$D$3:$D$202,MATCH($D613,품목마스터!$A$3:$A$202,0)),""))</f>
        <v/>
      </c>
      <c r="G613" s="9"/>
      <c r="H613" s="9"/>
      <c r="I613" s="13" t="str">
        <f aca="false">IF(OR($G613="",$H613=""),"",ROUND($G613*$H613,0))</f>
        <v/>
      </c>
      <c r="J613" s="7"/>
    </row>
    <row r="614" customFormat="false" ht="15" hidden="false" customHeight="true" outlineLevel="0" collapsed="false">
      <c r="A614" s="11"/>
      <c r="B614" s="7"/>
      <c r="C614" s="12" t="str">
        <f aca="false">IF($B614="","",IFERROR(INDEX(거래처마스터!$B$3:$B$102,MATCH($B614,거래처마스터!$A$3:$A$102,0)),"미등록"))</f>
        <v/>
      </c>
      <c r="D614" s="7"/>
      <c r="E614" s="12" t="str">
        <f aca="false">IF($D614="","",IFERROR(INDEX(품목마스터!$B$3:$B$202,MATCH($D614,품목마스터!$A$3:$A$202,0)),"미등록품번"))</f>
        <v/>
      </c>
      <c r="F614" s="12" t="str">
        <f aca="false">IF($D614="","",IFERROR(INDEX(품목마스터!$D$3:$D$202,MATCH($D614,품목마스터!$A$3:$A$202,0)),""))</f>
        <v/>
      </c>
      <c r="G614" s="9"/>
      <c r="H614" s="9"/>
      <c r="I614" s="13" t="str">
        <f aca="false">IF(OR($G614="",$H614=""),"",ROUND($G614*$H614,0))</f>
        <v/>
      </c>
      <c r="J614" s="7"/>
    </row>
    <row r="615" customFormat="false" ht="15" hidden="false" customHeight="true" outlineLevel="0" collapsed="false">
      <c r="A615" s="11"/>
      <c r="B615" s="7"/>
      <c r="C615" s="12" t="str">
        <f aca="false">IF($B615="","",IFERROR(INDEX(거래처마스터!$B$3:$B$102,MATCH($B615,거래처마스터!$A$3:$A$102,0)),"미등록"))</f>
        <v/>
      </c>
      <c r="D615" s="7"/>
      <c r="E615" s="12" t="str">
        <f aca="false">IF($D615="","",IFERROR(INDEX(품목마스터!$B$3:$B$202,MATCH($D615,품목마스터!$A$3:$A$202,0)),"미등록품번"))</f>
        <v/>
      </c>
      <c r="F615" s="12" t="str">
        <f aca="false">IF($D615="","",IFERROR(INDEX(품목마스터!$D$3:$D$202,MATCH($D615,품목마스터!$A$3:$A$202,0)),""))</f>
        <v/>
      </c>
      <c r="G615" s="9"/>
      <c r="H615" s="9"/>
      <c r="I615" s="13" t="str">
        <f aca="false">IF(OR($G615="",$H615=""),"",ROUND($G615*$H615,0))</f>
        <v/>
      </c>
      <c r="J615" s="7"/>
    </row>
    <row r="616" customFormat="false" ht="15" hidden="false" customHeight="true" outlineLevel="0" collapsed="false">
      <c r="A616" s="11"/>
      <c r="B616" s="7"/>
      <c r="C616" s="12" t="str">
        <f aca="false">IF($B616="","",IFERROR(INDEX(거래처마스터!$B$3:$B$102,MATCH($B616,거래처마스터!$A$3:$A$102,0)),"미등록"))</f>
        <v/>
      </c>
      <c r="D616" s="7"/>
      <c r="E616" s="12" t="str">
        <f aca="false">IF($D616="","",IFERROR(INDEX(품목마스터!$B$3:$B$202,MATCH($D616,품목마스터!$A$3:$A$202,0)),"미등록품번"))</f>
        <v/>
      </c>
      <c r="F616" s="12" t="str">
        <f aca="false">IF($D616="","",IFERROR(INDEX(품목마스터!$D$3:$D$202,MATCH($D616,품목마스터!$A$3:$A$202,0)),""))</f>
        <v/>
      </c>
      <c r="G616" s="9"/>
      <c r="H616" s="9"/>
      <c r="I616" s="13" t="str">
        <f aca="false">IF(OR($G616="",$H616=""),"",ROUND($G616*$H616,0))</f>
        <v/>
      </c>
      <c r="J616" s="7"/>
    </row>
    <row r="617" customFormat="false" ht="15" hidden="false" customHeight="true" outlineLevel="0" collapsed="false">
      <c r="A617" s="11"/>
      <c r="B617" s="7"/>
      <c r="C617" s="12" t="str">
        <f aca="false">IF($B617="","",IFERROR(INDEX(거래처마스터!$B$3:$B$102,MATCH($B617,거래처마스터!$A$3:$A$102,0)),"미등록"))</f>
        <v/>
      </c>
      <c r="D617" s="7"/>
      <c r="E617" s="12" t="str">
        <f aca="false">IF($D617="","",IFERROR(INDEX(품목마스터!$B$3:$B$202,MATCH($D617,품목마스터!$A$3:$A$202,0)),"미등록품번"))</f>
        <v/>
      </c>
      <c r="F617" s="12" t="str">
        <f aca="false">IF($D617="","",IFERROR(INDEX(품목마스터!$D$3:$D$202,MATCH($D617,품목마스터!$A$3:$A$202,0)),""))</f>
        <v/>
      </c>
      <c r="G617" s="9"/>
      <c r="H617" s="9"/>
      <c r="I617" s="13" t="str">
        <f aca="false">IF(OR($G617="",$H617=""),"",ROUND($G617*$H617,0))</f>
        <v/>
      </c>
      <c r="J617" s="7"/>
    </row>
    <row r="618" customFormat="false" ht="15" hidden="false" customHeight="true" outlineLevel="0" collapsed="false">
      <c r="A618" s="11"/>
      <c r="B618" s="7"/>
      <c r="C618" s="12" t="str">
        <f aca="false">IF($B618="","",IFERROR(INDEX(거래처마스터!$B$3:$B$102,MATCH($B618,거래처마스터!$A$3:$A$102,0)),"미등록"))</f>
        <v/>
      </c>
      <c r="D618" s="7"/>
      <c r="E618" s="12" t="str">
        <f aca="false">IF($D618="","",IFERROR(INDEX(품목마스터!$B$3:$B$202,MATCH($D618,품목마스터!$A$3:$A$202,0)),"미등록품번"))</f>
        <v/>
      </c>
      <c r="F618" s="12" t="str">
        <f aca="false">IF($D618="","",IFERROR(INDEX(품목마스터!$D$3:$D$202,MATCH($D618,품목마스터!$A$3:$A$202,0)),""))</f>
        <v/>
      </c>
      <c r="G618" s="9"/>
      <c r="H618" s="9"/>
      <c r="I618" s="13" t="str">
        <f aca="false">IF(OR($G618="",$H618=""),"",ROUND($G618*$H618,0))</f>
        <v/>
      </c>
      <c r="J618" s="7"/>
    </row>
    <row r="619" customFormat="false" ht="15" hidden="false" customHeight="true" outlineLevel="0" collapsed="false">
      <c r="A619" s="11"/>
      <c r="B619" s="7"/>
      <c r="C619" s="12" t="str">
        <f aca="false">IF($B619="","",IFERROR(INDEX(거래처마스터!$B$3:$B$102,MATCH($B619,거래처마스터!$A$3:$A$102,0)),"미등록"))</f>
        <v/>
      </c>
      <c r="D619" s="7"/>
      <c r="E619" s="12" t="str">
        <f aca="false">IF($D619="","",IFERROR(INDEX(품목마스터!$B$3:$B$202,MATCH($D619,품목마스터!$A$3:$A$202,0)),"미등록품번"))</f>
        <v/>
      </c>
      <c r="F619" s="12" t="str">
        <f aca="false">IF($D619="","",IFERROR(INDEX(품목마스터!$D$3:$D$202,MATCH($D619,품목마스터!$A$3:$A$202,0)),""))</f>
        <v/>
      </c>
      <c r="G619" s="9"/>
      <c r="H619" s="9"/>
      <c r="I619" s="13" t="str">
        <f aca="false">IF(OR($G619="",$H619=""),"",ROUND($G619*$H619,0))</f>
        <v/>
      </c>
      <c r="J619" s="7"/>
    </row>
    <row r="620" customFormat="false" ht="15" hidden="false" customHeight="true" outlineLevel="0" collapsed="false">
      <c r="A620" s="11"/>
      <c r="B620" s="7"/>
      <c r="C620" s="12" t="str">
        <f aca="false">IF($B620="","",IFERROR(INDEX(거래처마스터!$B$3:$B$102,MATCH($B620,거래처마스터!$A$3:$A$102,0)),"미등록"))</f>
        <v/>
      </c>
      <c r="D620" s="7"/>
      <c r="E620" s="12" t="str">
        <f aca="false">IF($D620="","",IFERROR(INDEX(품목마스터!$B$3:$B$202,MATCH($D620,품목마스터!$A$3:$A$202,0)),"미등록품번"))</f>
        <v/>
      </c>
      <c r="F620" s="12" t="str">
        <f aca="false">IF($D620="","",IFERROR(INDEX(품목마스터!$D$3:$D$202,MATCH($D620,품목마스터!$A$3:$A$202,0)),""))</f>
        <v/>
      </c>
      <c r="G620" s="9"/>
      <c r="H620" s="9"/>
      <c r="I620" s="13" t="str">
        <f aca="false">IF(OR($G620="",$H620=""),"",ROUND($G620*$H620,0))</f>
        <v/>
      </c>
      <c r="J620" s="7"/>
    </row>
    <row r="621" customFormat="false" ht="15" hidden="false" customHeight="true" outlineLevel="0" collapsed="false">
      <c r="A621" s="11"/>
      <c r="B621" s="7"/>
      <c r="C621" s="12" t="str">
        <f aca="false">IF($B621="","",IFERROR(INDEX(거래처마스터!$B$3:$B$102,MATCH($B621,거래처마스터!$A$3:$A$102,0)),"미등록"))</f>
        <v/>
      </c>
      <c r="D621" s="7"/>
      <c r="E621" s="12" t="str">
        <f aca="false">IF($D621="","",IFERROR(INDEX(품목마스터!$B$3:$B$202,MATCH($D621,품목마스터!$A$3:$A$202,0)),"미등록품번"))</f>
        <v/>
      </c>
      <c r="F621" s="12" t="str">
        <f aca="false">IF($D621="","",IFERROR(INDEX(품목마스터!$D$3:$D$202,MATCH($D621,품목마스터!$A$3:$A$202,0)),""))</f>
        <v/>
      </c>
      <c r="G621" s="9"/>
      <c r="H621" s="9"/>
      <c r="I621" s="13" t="str">
        <f aca="false">IF(OR($G621="",$H621=""),"",ROUND($G621*$H621,0))</f>
        <v/>
      </c>
      <c r="J621" s="7"/>
    </row>
    <row r="622" customFormat="false" ht="15" hidden="false" customHeight="true" outlineLevel="0" collapsed="false">
      <c r="A622" s="11"/>
      <c r="B622" s="7"/>
      <c r="C622" s="12" t="str">
        <f aca="false">IF($B622="","",IFERROR(INDEX(거래처마스터!$B$3:$B$102,MATCH($B622,거래처마스터!$A$3:$A$102,0)),"미등록"))</f>
        <v/>
      </c>
      <c r="D622" s="7"/>
      <c r="E622" s="12" t="str">
        <f aca="false">IF($D622="","",IFERROR(INDEX(품목마스터!$B$3:$B$202,MATCH($D622,품목마스터!$A$3:$A$202,0)),"미등록품번"))</f>
        <v/>
      </c>
      <c r="F622" s="12" t="str">
        <f aca="false">IF($D622="","",IFERROR(INDEX(품목마스터!$D$3:$D$202,MATCH($D622,품목마스터!$A$3:$A$202,0)),""))</f>
        <v/>
      </c>
      <c r="G622" s="9"/>
      <c r="H622" s="9"/>
      <c r="I622" s="13" t="str">
        <f aca="false">IF(OR($G622="",$H622=""),"",ROUND($G622*$H622,0))</f>
        <v/>
      </c>
      <c r="J622" s="7"/>
    </row>
    <row r="623" customFormat="false" ht="15" hidden="false" customHeight="true" outlineLevel="0" collapsed="false">
      <c r="A623" s="11"/>
      <c r="B623" s="7"/>
      <c r="C623" s="12" t="str">
        <f aca="false">IF($B623="","",IFERROR(INDEX(거래처마스터!$B$3:$B$102,MATCH($B623,거래처마스터!$A$3:$A$102,0)),"미등록"))</f>
        <v/>
      </c>
      <c r="D623" s="7"/>
      <c r="E623" s="12" t="str">
        <f aca="false">IF($D623="","",IFERROR(INDEX(품목마스터!$B$3:$B$202,MATCH($D623,품목마스터!$A$3:$A$202,0)),"미등록품번"))</f>
        <v/>
      </c>
      <c r="F623" s="12" t="str">
        <f aca="false">IF($D623="","",IFERROR(INDEX(품목마스터!$D$3:$D$202,MATCH($D623,품목마스터!$A$3:$A$202,0)),""))</f>
        <v/>
      </c>
      <c r="G623" s="9"/>
      <c r="H623" s="9"/>
      <c r="I623" s="13" t="str">
        <f aca="false">IF(OR($G623="",$H623=""),"",ROUND($G623*$H623,0))</f>
        <v/>
      </c>
      <c r="J623" s="7"/>
    </row>
    <row r="624" customFormat="false" ht="15" hidden="false" customHeight="true" outlineLevel="0" collapsed="false">
      <c r="A624" s="11"/>
      <c r="B624" s="7"/>
      <c r="C624" s="12" t="str">
        <f aca="false">IF($B624="","",IFERROR(INDEX(거래처마스터!$B$3:$B$102,MATCH($B624,거래처마스터!$A$3:$A$102,0)),"미등록"))</f>
        <v/>
      </c>
      <c r="D624" s="7"/>
      <c r="E624" s="12" t="str">
        <f aca="false">IF($D624="","",IFERROR(INDEX(품목마스터!$B$3:$B$202,MATCH($D624,품목마스터!$A$3:$A$202,0)),"미등록품번"))</f>
        <v/>
      </c>
      <c r="F624" s="12" t="str">
        <f aca="false">IF($D624="","",IFERROR(INDEX(품목마스터!$D$3:$D$202,MATCH($D624,품목마스터!$A$3:$A$202,0)),""))</f>
        <v/>
      </c>
      <c r="G624" s="9"/>
      <c r="H624" s="9"/>
      <c r="I624" s="13" t="str">
        <f aca="false">IF(OR($G624="",$H624=""),"",ROUND($G624*$H624,0))</f>
        <v/>
      </c>
      <c r="J624" s="7"/>
    </row>
    <row r="625" customFormat="false" ht="15" hidden="false" customHeight="true" outlineLevel="0" collapsed="false">
      <c r="A625" s="11"/>
      <c r="B625" s="7"/>
      <c r="C625" s="12" t="str">
        <f aca="false">IF($B625="","",IFERROR(INDEX(거래처마스터!$B$3:$B$102,MATCH($B625,거래처마스터!$A$3:$A$102,0)),"미등록"))</f>
        <v/>
      </c>
      <c r="D625" s="7"/>
      <c r="E625" s="12" t="str">
        <f aca="false">IF($D625="","",IFERROR(INDEX(품목마스터!$B$3:$B$202,MATCH($D625,품목마스터!$A$3:$A$202,0)),"미등록품번"))</f>
        <v/>
      </c>
      <c r="F625" s="12" t="str">
        <f aca="false">IF($D625="","",IFERROR(INDEX(품목마스터!$D$3:$D$202,MATCH($D625,품목마스터!$A$3:$A$202,0)),""))</f>
        <v/>
      </c>
      <c r="G625" s="9"/>
      <c r="H625" s="9"/>
      <c r="I625" s="13" t="str">
        <f aca="false">IF(OR($G625="",$H625=""),"",ROUND($G625*$H625,0))</f>
        <v/>
      </c>
      <c r="J625" s="7"/>
    </row>
    <row r="626" customFormat="false" ht="15" hidden="false" customHeight="true" outlineLevel="0" collapsed="false">
      <c r="A626" s="11"/>
      <c r="B626" s="7"/>
      <c r="C626" s="12" t="str">
        <f aca="false">IF($B626="","",IFERROR(INDEX(거래처마스터!$B$3:$B$102,MATCH($B626,거래처마스터!$A$3:$A$102,0)),"미등록"))</f>
        <v/>
      </c>
      <c r="D626" s="7"/>
      <c r="E626" s="12" t="str">
        <f aca="false">IF($D626="","",IFERROR(INDEX(품목마스터!$B$3:$B$202,MATCH($D626,품목마스터!$A$3:$A$202,0)),"미등록품번"))</f>
        <v/>
      </c>
      <c r="F626" s="12" t="str">
        <f aca="false">IF($D626="","",IFERROR(INDEX(품목마스터!$D$3:$D$202,MATCH($D626,품목마스터!$A$3:$A$202,0)),""))</f>
        <v/>
      </c>
      <c r="G626" s="9"/>
      <c r="H626" s="9"/>
      <c r="I626" s="13" t="str">
        <f aca="false">IF(OR($G626="",$H626=""),"",ROUND($G626*$H626,0))</f>
        <v/>
      </c>
      <c r="J626" s="7"/>
    </row>
    <row r="627" customFormat="false" ht="15" hidden="false" customHeight="true" outlineLevel="0" collapsed="false">
      <c r="A627" s="11"/>
      <c r="B627" s="7"/>
      <c r="C627" s="12" t="str">
        <f aca="false">IF($B627="","",IFERROR(INDEX(거래처마스터!$B$3:$B$102,MATCH($B627,거래처마스터!$A$3:$A$102,0)),"미등록"))</f>
        <v/>
      </c>
      <c r="D627" s="7"/>
      <c r="E627" s="12" t="str">
        <f aca="false">IF($D627="","",IFERROR(INDEX(품목마스터!$B$3:$B$202,MATCH($D627,품목마스터!$A$3:$A$202,0)),"미등록품번"))</f>
        <v/>
      </c>
      <c r="F627" s="12" t="str">
        <f aca="false">IF($D627="","",IFERROR(INDEX(품목마스터!$D$3:$D$202,MATCH($D627,품목마스터!$A$3:$A$202,0)),""))</f>
        <v/>
      </c>
      <c r="G627" s="9"/>
      <c r="H627" s="9"/>
      <c r="I627" s="13" t="str">
        <f aca="false">IF(OR($G627="",$H627=""),"",ROUND($G627*$H627,0))</f>
        <v/>
      </c>
      <c r="J627" s="7"/>
    </row>
    <row r="628" customFormat="false" ht="15" hidden="false" customHeight="true" outlineLevel="0" collapsed="false">
      <c r="A628" s="11"/>
      <c r="B628" s="7"/>
      <c r="C628" s="12" t="str">
        <f aca="false">IF($B628="","",IFERROR(INDEX(거래처마스터!$B$3:$B$102,MATCH($B628,거래처마스터!$A$3:$A$102,0)),"미등록"))</f>
        <v/>
      </c>
      <c r="D628" s="7"/>
      <c r="E628" s="12" t="str">
        <f aca="false">IF($D628="","",IFERROR(INDEX(품목마스터!$B$3:$B$202,MATCH($D628,품목마스터!$A$3:$A$202,0)),"미등록품번"))</f>
        <v/>
      </c>
      <c r="F628" s="12" t="str">
        <f aca="false">IF($D628="","",IFERROR(INDEX(품목마스터!$D$3:$D$202,MATCH($D628,품목마스터!$A$3:$A$202,0)),""))</f>
        <v/>
      </c>
      <c r="G628" s="9"/>
      <c r="H628" s="9"/>
      <c r="I628" s="13" t="str">
        <f aca="false">IF(OR($G628="",$H628=""),"",ROUND($G628*$H628,0))</f>
        <v/>
      </c>
      <c r="J628" s="7"/>
    </row>
    <row r="629" customFormat="false" ht="15" hidden="false" customHeight="true" outlineLevel="0" collapsed="false">
      <c r="A629" s="11"/>
      <c r="B629" s="7"/>
      <c r="C629" s="12" t="str">
        <f aca="false">IF($B629="","",IFERROR(INDEX(거래처마스터!$B$3:$B$102,MATCH($B629,거래처마스터!$A$3:$A$102,0)),"미등록"))</f>
        <v/>
      </c>
      <c r="D629" s="7"/>
      <c r="E629" s="12" t="str">
        <f aca="false">IF($D629="","",IFERROR(INDEX(품목마스터!$B$3:$B$202,MATCH($D629,품목마스터!$A$3:$A$202,0)),"미등록품번"))</f>
        <v/>
      </c>
      <c r="F629" s="12" t="str">
        <f aca="false">IF($D629="","",IFERROR(INDEX(품목마스터!$D$3:$D$202,MATCH($D629,품목마스터!$A$3:$A$202,0)),""))</f>
        <v/>
      </c>
      <c r="G629" s="9"/>
      <c r="H629" s="9"/>
      <c r="I629" s="13" t="str">
        <f aca="false">IF(OR($G629="",$H629=""),"",ROUND($G629*$H629,0))</f>
        <v/>
      </c>
      <c r="J629" s="7"/>
    </row>
    <row r="630" customFormat="false" ht="15" hidden="false" customHeight="true" outlineLevel="0" collapsed="false">
      <c r="A630" s="11"/>
      <c r="B630" s="7"/>
      <c r="C630" s="12" t="str">
        <f aca="false">IF($B630="","",IFERROR(INDEX(거래처마스터!$B$3:$B$102,MATCH($B630,거래처마스터!$A$3:$A$102,0)),"미등록"))</f>
        <v/>
      </c>
      <c r="D630" s="7"/>
      <c r="E630" s="12" t="str">
        <f aca="false">IF($D630="","",IFERROR(INDEX(품목마스터!$B$3:$B$202,MATCH($D630,품목마스터!$A$3:$A$202,0)),"미등록품번"))</f>
        <v/>
      </c>
      <c r="F630" s="12" t="str">
        <f aca="false">IF($D630="","",IFERROR(INDEX(품목마스터!$D$3:$D$202,MATCH($D630,품목마스터!$A$3:$A$202,0)),""))</f>
        <v/>
      </c>
      <c r="G630" s="9"/>
      <c r="H630" s="9"/>
      <c r="I630" s="13" t="str">
        <f aca="false">IF(OR($G630="",$H630=""),"",ROUND($G630*$H630,0))</f>
        <v/>
      </c>
      <c r="J630" s="7"/>
    </row>
    <row r="631" customFormat="false" ht="15" hidden="false" customHeight="true" outlineLevel="0" collapsed="false">
      <c r="A631" s="11"/>
      <c r="B631" s="7"/>
      <c r="C631" s="12" t="str">
        <f aca="false">IF($B631="","",IFERROR(INDEX(거래처마스터!$B$3:$B$102,MATCH($B631,거래처마스터!$A$3:$A$102,0)),"미등록"))</f>
        <v/>
      </c>
      <c r="D631" s="7"/>
      <c r="E631" s="12" t="str">
        <f aca="false">IF($D631="","",IFERROR(INDEX(품목마스터!$B$3:$B$202,MATCH($D631,품목마스터!$A$3:$A$202,0)),"미등록품번"))</f>
        <v/>
      </c>
      <c r="F631" s="12" t="str">
        <f aca="false">IF($D631="","",IFERROR(INDEX(품목마스터!$D$3:$D$202,MATCH($D631,품목마스터!$A$3:$A$202,0)),""))</f>
        <v/>
      </c>
      <c r="G631" s="9"/>
      <c r="H631" s="9"/>
      <c r="I631" s="13" t="str">
        <f aca="false">IF(OR($G631="",$H631=""),"",ROUND($G631*$H631,0))</f>
        <v/>
      </c>
      <c r="J631" s="7"/>
    </row>
    <row r="632" customFormat="false" ht="15" hidden="false" customHeight="true" outlineLevel="0" collapsed="false">
      <c r="A632" s="11"/>
      <c r="B632" s="7"/>
      <c r="C632" s="12" t="str">
        <f aca="false">IF($B632="","",IFERROR(INDEX(거래처마스터!$B$3:$B$102,MATCH($B632,거래처마스터!$A$3:$A$102,0)),"미등록"))</f>
        <v/>
      </c>
      <c r="D632" s="7"/>
      <c r="E632" s="12" t="str">
        <f aca="false">IF($D632="","",IFERROR(INDEX(품목마스터!$B$3:$B$202,MATCH($D632,품목마스터!$A$3:$A$202,0)),"미등록품번"))</f>
        <v/>
      </c>
      <c r="F632" s="12" t="str">
        <f aca="false">IF($D632="","",IFERROR(INDEX(품목마스터!$D$3:$D$202,MATCH($D632,품목마스터!$A$3:$A$202,0)),""))</f>
        <v/>
      </c>
      <c r="G632" s="9"/>
      <c r="H632" s="9"/>
      <c r="I632" s="13" t="str">
        <f aca="false">IF(OR($G632="",$H632=""),"",ROUND($G632*$H632,0))</f>
        <v/>
      </c>
      <c r="J632" s="7"/>
    </row>
    <row r="633" customFormat="false" ht="15" hidden="false" customHeight="true" outlineLevel="0" collapsed="false">
      <c r="A633" s="11"/>
      <c r="B633" s="7"/>
      <c r="C633" s="12" t="str">
        <f aca="false">IF($B633="","",IFERROR(INDEX(거래처마스터!$B$3:$B$102,MATCH($B633,거래처마스터!$A$3:$A$102,0)),"미등록"))</f>
        <v/>
      </c>
      <c r="D633" s="7"/>
      <c r="E633" s="12" t="str">
        <f aca="false">IF($D633="","",IFERROR(INDEX(품목마스터!$B$3:$B$202,MATCH($D633,품목마스터!$A$3:$A$202,0)),"미등록품번"))</f>
        <v/>
      </c>
      <c r="F633" s="12" t="str">
        <f aca="false">IF($D633="","",IFERROR(INDEX(품목마스터!$D$3:$D$202,MATCH($D633,품목마스터!$A$3:$A$202,0)),""))</f>
        <v/>
      </c>
      <c r="G633" s="9"/>
      <c r="H633" s="9"/>
      <c r="I633" s="13" t="str">
        <f aca="false">IF(OR($G633="",$H633=""),"",ROUND($G633*$H633,0))</f>
        <v/>
      </c>
      <c r="J633" s="7"/>
    </row>
    <row r="634" customFormat="false" ht="15" hidden="false" customHeight="true" outlineLevel="0" collapsed="false">
      <c r="A634" s="11"/>
      <c r="B634" s="7"/>
      <c r="C634" s="12" t="str">
        <f aca="false">IF($B634="","",IFERROR(INDEX(거래처마스터!$B$3:$B$102,MATCH($B634,거래처마스터!$A$3:$A$102,0)),"미등록"))</f>
        <v/>
      </c>
      <c r="D634" s="7"/>
      <c r="E634" s="12" t="str">
        <f aca="false">IF($D634="","",IFERROR(INDEX(품목마스터!$B$3:$B$202,MATCH($D634,품목마스터!$A$3:$A$202,0)),"미등록품번"))</f>
        <v/>
      </c>
      <c r="F634" s="12" t="str">
        <f aca="false">IF($D634="","",IFERROR(INDEX(품목마스터!$D$3:$D$202,MATCH($D634,품목마스터!$A$3:$A$202,0)),""))</f>
        <v/>
      </c>
      <c r="G634" s="9"/>
      <c r="H634" s="9"/>
      <c r="I634" s="13" t="str">
        <f aca="false">IF(OR($G634="",$H634=""),"",ROUND($G634*$H634,0))</f>
        <v/>
      </c>
      <c r="J634" s="7"/>
    </row>
    <row r="635" customFormat="false" ht="15" hidden="false" customHeight="true" outlineLevel="0" collapsed="false">
      <c r="A635" s="11"/>
      <c r="B635" s="7"/>
      <c r="C635" s="12" t="str">
        <f aca="false">IF($B635="","",IFERROR(INDEX(거래처마스터!$B$3:$B$102,MATCH($B635,거래처마스터!$A$3:$A$102,0)),"미등록"))</f>
        <v/>
      </c>
      <c r="D635" s="7"/>
      <c r="E635" s="12" t="str">
        <f aca="false">IF($D635="","",IFERROR(INDEX(품목마스터!$B$3:$B$202,MATCH($D635,품목마스터!$A$3:$A$202,0)),"미등록품번"))</f>
        <v/>
      </c>
      <c r="F635" s="12" t="str">
        <f aca="false">IF($D635="","",IFERROR(INDEX(품목마스터!$D$3:$D$202,MATCH($D635,품목마스터!$A$3:$A$202,0)),""))</f>
        <v/>
      </c>
      <c r="G635" s="9"/>
      <c r="H635" s="9"/>
      <c r="I635" s="13" t="str">
        <f aca="false">IF(OR($G635="",$H635=""),"",ROUND($G635*$H635,0))</f>
        <v/>
      </c>
      <c r="J635" s="7"/>
    </row>
    <row r="636" customFormat="false" ht="15" hidden="false" customHeight="true" outlineLevel="0" collapsed="false">
      <c r="A636" s="11"/>
      <c r="B636" s="7"/>
      <c r="C636" s="12" t="str">
        <f aca="false">IF($B636="","",IFERROR(INDEX(거래처마스터!$B$3:$B$102,MATCH($B636,거래처마스터!$A$3:$A$102,0)),"미등록"))</f>
        <v/>
      </c>
      <c r="D636" s="7"/>
      <c r="E636" s="12" t="str">
        <f aca="false">IF($D636="","",IFERROR(INDEX(품목마스터!$B$3:$B$202,MATCH($D636,품목마스터!$A$3:$A$202,0)),"미등록품번"))</f>
        <v/>
      </c>
      <c r="F636" s="12" t="str">
        <f aca="false">IF($D636="","",IFERROR(INDEX(품목마스터!$D$3:$D$202,MATCH($D636,품목마스터!$A$3:$A$202,0)),""))</f>
        <v/>
      </c>
      <c r="G636" s="9"/>
      <c r="H636" s="9"/>
      <c r="I636" s="13" t="str">
        <f aca="false">IF(OR($G636="",$H636=""),"",ROUND($G636*$H636,0))</f>
        <v/>
      </c>
      <c r="J636" s="7"/>
    </row>
    <row r="637" customFormat="false" ht="15" hidden="false" customHeight="true" outlineLevel="0" collapsed="false">
      <c r="A637" s="11"/>
      <c r="B637" s="7"/>
      <c r="C637" s="12" t="str">
        <f aca="false">IF($B637="","",IFERROR(INDEX(거래처마스터!$B$3:$B$102,MATCH($B637,거래처마스터!$A$3:$A$102,0)),"미등록"))</f>
        <v/>
      </c>
      <c r="D637" s="7"/>
      <c r="E637" s="12" t="str">
        <f aca="false">IF($D637="","",IFERROR(INDEX(품목마스터!$B$3:$B$202,MATCH($D637,품목마스터!$A$3:$A$202,0)),"미등록품번"))</f>
        <v/>
      </c>
      <c r="F637" s="12" t="str">
        <f aca="false">IF($D637="","",IFERROR(INDEX(품목마스터!$D$3:$D$202,MATCH($D637,품목마스터!$A$3:$A$202,0)),""))</f>
        <v/>
      </c>
      <c r="G637" s="9"/>
      <c r="H637" s="9"/>
      <c r="I637" s="13" t="str">
        <f aca="false">IF(OR($G637="",$H637=""),"",ROUND($G637*$H637,0))</f>
        <v/>
      </c>
      <c r="J637" s="7"/>
    </row>
    <row r="638" customFormat="false" ht="15" hidden="false" customHeight="true" outlineLevel="0" collapsed="false">
      <c r="A638" s="11"/>
      <c r="B638" s="7"/>
      <c r="C638" s="12" t="str">
        <f aca="false">IF($B638="","",IFERROR(INDEX(거래처마스터!$B$3:$B$102,MATCH($B638,거래처마스터!$A$3:$A$102,0)),"미등록"))</f>
        <v/>
      </c>
      <c r="D638" s="7"/>
      <c r="E638" s="12" t="str">
        <f aca="false">IF($D638="","",IFERROR(INDEX(품목마스터!$B$3:$B$202,MATCH($D638,품목마스터!$A$3:$A$202,0)),"미등록품번"))</f>
        <v/>
      </c>
      <c r="F638" s="12" t="str">
        <f aca="false">IF($D638="","",IFERROR(INDEX(품목마스터!$D$3:$D$202,MATCH($D638,품목마스터!$A$3:$A$202,0)),""))</f>
        <v/>
      </c>
      <c r="G638" s="9"/>
      <c r="H638" s="9"/>
      <c r="I638" s="13" t="str">
        <f aca="false">IF(OR($G638="",$H638=""),"",ROUND($G638*$H638,0))</f>
        <v/>
      </c>
      <c r="J638" s="7"/>
    </row>
    <row r="639" customFormat="false" ht="15" hidden="false" customHeight="true" outlineLevel="0" collapsed="false">
      <c r="A639" s="11"/>
      <c r="B639" s="7"/>
      <c r="C639" s="12" t="str">
        <f aca="false">IF($B639="","",IFERROR(INDEX(거래처마스터!$B$3:$B$102,MATCH($B639,거래처마스터!$A$3:$A$102,0)),"미등록"))</f>
        <v/>
      </c>
      <c r="D639" s="7"/>
      <c r="E639" s="12" t="str">
        <f aca="false">IF($D639="","",IFERROR(INDEX(품목마스터!$B$3:$B$202,MATCH($D639,품목마스터!$A$3:$A$202,0)),"미등록품번"))</f>
        <v/>
      </c>
      <c r="F639" s="12" t="str">
        <f aca="false">IF($D639="","",IFERROR(INDEX(품목마스터!$D$3:$D$202,MATCH($D639,품목마스터!$A$3:$A$202,0)),""))</f>
        <v/>
      </c>
      <c r="G639" s="9"/>
      <c r="H639" s="9"/>
      <c r="I639" s="13" t="str">
        <f aca="false">IF(OR($G639="",$H639=""),"",ROUND($G639*$H639,0))</f>
        <v/>
      </c>
      <c r="J639" s="7"/>
    </row>
    <row r="640" customFormat="false" ht="15" hidden="false" customHeight="true" outlineLevel="0" collapsed="false">
      <c r="A640" s="11"/>
      <c r="B640" s="7"/>
      <c r="C640" s="12" t="str">
        <f aca="false">IF($B640="","",IFERROR(INDEX(거래처마스터!$B$3:$B$102,MATCH($B640,거래처마스터!$A$3:$A$102,0)),"미등록"))</f>
        <v/>
      </c>
      <c r="D640" s="7"/>
      <c r="E640" s="12" t="str">
        <f aca="false">IF($D640="","",IFERROR(INDEX(품목마스터!$B$3:$B$202,MATCH($D640,품목마스터!$A$3:$A$202,0)),"미등록품번"))</f>
        <v/>
      </c>
      <c r="F640" s="12" t="str">
        <f aca="false">IF($D640="","",IFERROR(INDEX(품목마스터!$D$3:$D$202,MATCH($D640,품목마스터!$A$3:$A$202,0)),""))</f>
        <v/>
      </c>
      <c r="G640" s="9"/>
      <c r="H640" s="9"/>
      <c r="I640" s="13" t="str">
        <f aca="false">IF(OR($G640="",$H640=""),"",ROUND($G640*$H640,0))</f>
        <v/>
      </c>
      <c r="J640" s="7"/>
    </row>
    <row r="641" customFormat="false" ht="15" hidden="false" customHeight="true" outlineLevel="0" collapsed="false">
      <c r="A641" s="11"/>
      <c r="B641" s="7"/>
      <c r="C641" s="12" t="str">
        <f aca="false">IF($B641="","",IFERROR(INDEX(거래처마스터!$B$3:$B$102,MATCH($B641,거래처마스터!$A$3:$A$102,0)),"미등록"))</f>
        <v/>
      </c>
      <c r="D641" s="7"/>
      <c r="E641" s="12" t="str">
        <f aca="false">IF($D641="","",IFERROR(INDEX(품목마스터!$B$3:$B$202,MATCH($D641,품목마스터!$A$3:$A$202,0)),"미등록품번"))</f>
        <v/>
      </c>
      <c r="F641" s="12" t="str">
        <f aca="false">IF($D641="","",IFERROR(INDEX(품목마스터!$D$3:$D$202,MATCH($D641,품목마스터!$A$3:$A$202,0)),""))</f>
        <v/>
      </c>
      <c r="G641" s="9"/>
      <c r="H641" s="9"/>
      <c r="I641" s="13" t="str">
        <f aca="false">IF(OR($G641="",$H641=""),"",ROUND($G641*$H641,0))</f>
        <v/>
      </c>
      <c r="J641" s="7"/>
    </row>
    <row r="642" customFormat="false" ht="15" hidden="false" customHeight="true" outlineLevel="0" collapsed="false">
      <c r="A642" s="11"/>
      <c r="B642" s="7"/>
      <c r="C642" s="12" t="str">
        <f aca="false">IF($B642="","",IFERROR(INDEX(거래처마스터!$B$3:$B$102,MATCH($B642,거래처마스터!$A$3:$A$102,0)),"미등록"))</f>
        <v/>
      </c>
      <c r="D642" s="7"/>
      <c r="E642" s="12" t="str">
        <f aca="false">IF($D642="","",IFERROR(INDEX(품목마스터!$B$3:$B$202,MATCH($D642,품목마스터!$A$3:$A$202,0)),"미등록품번"))</f>
        <v/>
      </c>
      <c r="F642" s="12" t="str">
        <f aca="false">IF($D642="","",IFERROR(INDEX(품목마스터!$D$3:$D$202,MATCH($D642,품목마스터!$A$3:$A$202,0)),""))</f>
        <v/>
      </c>
      <c r="G642" s="9"/>
      <c r="H642" s="9"/>
      <c r="I642" s="13" t="str">
        <f aca="false">IF(OR($G642="",$H642=""),"",ROUND($G642*$H642,0))</f>
        <v/>
      </c>
      <c r="J642" s="7"/>
    </row>
    <row r="643" customFormat="false" ht="15" hidden="false" customHeight="true" outlineLevel="0" collapsed="false">
      <c r="A643" s="11"/>
      <c r="B643" s="7"/>
      <c r="C643" s="12" t="str">
        <f aca="false">IF($B643="","",IFERROR(INDEX(거래처마스터!$B$3:$B$102,MATCH($B643,거래처마스터!$A$3:$A$102,0)),"미등록"))</f>
        <v/>
      </c>
      <c r="D643" s="7"/>
      <c r="E643" s="12" t="str">
        <f aca="false">IF($D643="","",IFERROR(INDEX(품목마스터!$B$3:$B$202,MATCH($D643,품목마스터!$A$3:$A$202,0)),"미등록품번"))</f>
        <v/>
      </c>
      <c r="F643" s="12" t="str">
        <f aca="false">IF($D643="","",IFERROR(INDEX(품목마스터!$D$3:$D$202,MATCH($D643,품목마스터!$A$3:$A$202,0)),""))</f>
        <v/>
      </c>
      <c r="G643" s="9"/>
      <c r="H643" s="9"/>
      <c r="I643" s="13" t="str">
        <f aca="false">IF(OR($G643="",$H643=""),"",ROUND($G643*$H643,0))</f>
        <v/>
      </c>
      <c r="J643" s="7"/>
    </row>
    <row r="644" customFormat="false" ht="15" hidden="false" customHeight="true" outlineLevel="0" collapsed="false">
      <c r="A644" s="11"/>
      <c r="B644" s="7"/>
      <c r="C644" s="12" t="str">
        <f aca="false">IF($B644="","",IFERROR(INDEX(거래처마스터!$B$3:$B$102,MATCH($B644,거래처마스터!$A$3:$A$102,0)),"미등록"))</f>
        <v/>
      </c>
      <c r="D644" s="7"/>
      <c r="E644" s="12" t="str">
        <f aca="false">IF($D644="","",IFERROR(INDEX(품목마스터!$B$3:$B$202,MATCH($D644,품목마스터!$A$3:$A$202,0)),"미등록품번"))</f>
        <v/>
      </c>
      <c r="F644" s="12" t="str">
        <f aca="false">IF($D644="","",IFERROR(INDEX(품목마스터!$D$3:$D$202,MATCH($D644,품목마스터!$A$3:$A$202,0)),""))</f>
        <v/>
      </c>
      <c r="G644" s="9"/>
      <c r="H644" s="9"/>
      <c r="I644" s="13" t="str">
        <f aca="false">IF(OR($G644="",$H644=""),"",ROUND($G644*$H644,0))</f>
        <v/>
      </c>
      <c r="J644" s="7"/>
    </row>
    <row r="645" customFormat="false" ht="15" hidden="false" customHeight="true" outlineLevel="0" collapsed="false">
      <c r="A645" s="11"/>
      <c r="B645" s="7"/>
      <c r="C645" s="12" t="str">
        <f aca="false">IF($B645="","",IFERROR(INDEX(거래처마스터!$B$3:$B$102,MATCH($B645,거래처마스터!$A$3:$A$102,0)),"미등록"))</f>
        <v/>
      </c>
      <c r="D645" s="7"/>
      <c r="E645" s="12" t="str">
        <f aca="false">IF($D645="","",IFERROR(INDEX(품목마스터!$B$3:$B$202,MATCH($D645,품목마스터!$A$3:$A$202,0)),"미등록품번"))</f>
        <v/>
      </c>
      <c r="F645" s="12" t="str">
        <f aca="false">IF($D645="","",IFERROR(INDEX(품목마스터!$D$3:$D$202,MATCH($D645,품목마스터!$A$3:$A$202,0)),""))</f>
        <v/>
      </c>
      <c r="G645" s="9"/>
      <c r="H645" s="9"/>
      <c r="I645" s="13" t="str">
        <f aca="false">IF(OR($G645="",$H645=""),"",ROUND($G645*$H645,0))</f>
        <v/>
      </c>
      <c r="J645" s="7"/>
    </row>
    <row r="646" customFormat="false" ht="15" hidden="false" customHeight="true" outlineLevel="0" collapsed="false">
      <c r="A646" s="11"/>
      <c r="B646" s="7"/>
      <c r="C646" s="12" t="str">
        <f aca="false">IF($B646="","",IFERROR(INDEX(거래처마스터!$B$3:$B$102,MATCH($B646,거래처마스터!$A$3:$A$102,0)),"미등록"))</f>
        <v/>
      </c>
      <c r="D646" s="7"/>
      <c r="E646" s="12" t="str">
        <f aca="false">IF($D646="","",IFERROR(INDEX(품목마스터!$B$3:$B$202,MATCH($D646,품목마스터!$A$3:$A$202,0)),"미등록품번"))</f>
        <v/>
      </c>
      <c r="F646" s="12" t="str">
        <f aca="false">IF($D646="","",IFERROR(INDEX(품목마스터!$D$3:$D$202,MATCH($D646,품목마스터!$A$3:$A$202,0)),""))</f>
        <v/>
      </c>
      <c r="G646" s="9"/>
      <c r="H646" s="9"/>
      <c r="I646" s="13" t="str">
        <f aca="false">IF(OR($G646="",$H646=""),"",ROUND($G646*$H646,0))</f>
        <v/>
      </c>
      <c r="J646" s="7"/>
    </row>
    <row r="647" customFormat="false" ht="15" hidden="false" customHeight="true" outlineLevel="0" collapsed="false">
      <c r="A647" s="11"/>
      <c r="B647" s="7"/>
      <c r="C647" s="12" t="str">
        <f aca="false">IF($B647="","",IFERROR(INDEX(거래처마스터!$B$3:$B$102,MATCH($B647,거래처마스터!$A$3:$A$102,0)),"미등록"))</f>
        <v/>
      </c>
      <c r="D647" s="7"/>
      <c r="E647" s="12" t="str">
        <f aca="false">IF($D647="","",IFERROR(INDEX(품목마스터!$B$3:$B$202,MATCH($D647,품목마스터!$A$3:$A$202,0)),"미등록품번"))</f>
        <v/>
      </c>
      <c r="F647" s="12" t="str">
        <f aca="false">IF($D647="","",IFERROR(INDEX(품목마스터!$D$3:$D$202,MATCH($D647,품목마스터!$A$3:$A$202,0)),""))</f>
        <v/>
      </c>
      <c r="G647" s="9"/>
      <c r="H647" s="9"/>
      <c r="I647" s="13" t="str">
        <f aca="false">IF(OR($G647="",$H647=""),"",ROUND($G647*$H647,0))</f>
        <v/>
      </c>
      <c r="J647" s="7"/>
    </row>
    <row r="648" customFormat="false" ht="15" hidden="false" customHeight="true" outlineLevel="0" collapsed="false">
      <c r="A648" s="11"/>
      <c r="B648" s="7"/>
      <c r="C648" s="12" t="str">
        <f aca="false">IF($B648="","",IFERROR(INDEX(거래처마스터!$B$3:$B$102,MATCH($B648,거래처마스터!$A$3:$A$102,0)),"미등록"))</f>
        <v/>
      </c>
      <c r="D648" s="7"/>
      <c r="E648" s="12" t="str">
        <f aca="false">IF($D648="","",IFERROR(INDEX(품목마스터!$B$3:$B$202,MATCH($D648,품목마스터!$A$3:$A$202,0)),"미등록품번"))</f>
        <v/>
      </c>
      <c r="F648" s="12" t="str">
        <f aca="false">IF($D648="","",IFERROR(INDEX(품목마스터!$D$3:$D$202,MATCH($D648,품목마스터!$A$3:$A$202,0)),""))</f>
        <v/>
      </c>
      <c r="G648" s="9"/>
      <c r="H648" s="9"/>
      <c r="I648" s="13" t="str">
        <f aca="false">IF(OR($G648="",$H648=""),"",ROUND($G648*$H648,0))</f>
        <v/>
      </c>
      <c r="J648" s="7"/>
    </row>
    <row r="649" customFormat="false" ht="15" hidden="false" customHeight="true" outlineLevel="0" collapsed="false">
      <c r="A649" s="11"/>
      <c r="B649" s="7"/>
      <c r="C649" s="12" t="str">
        <f aca="false">IF($B649="","",IFERROR(INDEX(거래처마스터!$B$3:$B$102,MATCH($B649,거래처마스터!$A$3:$A$102,0)),"미등록"))</f>
        <v/>
      </c>
      <c r="D649" s="7"/>
      <c r="E649" s="12" t="str">
        <f aca="false">IF($D649="","",IFERROR(INDEX(품목마스터!$B$3:$B$202,MATCH($D649,품목마스터!$A$3:$A$202,0)),"미등록품번"))</f>
        <v/>
      </c>
      <c r="F649" s="12" t="str">
        <f aca="false">IF($D649="","",IFERROR(INDEX(품목마스터!$D$3:$D$202,MATCH($D649,품목마스터!$A$3:$A$202,0)),""))</f>
        <v/>
      </c>
      <c r="G649" s="9"/>
      <c r="H649" s="9"/>
      <c r="I649" s="13" t="str">
        <f aca="false">IF(OR($G649="",$H649=""),"",ROUND($G649*$H649,0))</f>
        <v/>
      </c>
      <c r="J649" s="7"/>
    </row>
    <row r="650" customFormat="false" ht="15" hidden="false" customHeight="true" outlineLevel="0" collapsed="false">
      <c r="A650" s="11"/>
      <c r="B650" s="7"/>
      <c r="C650" s="12" t="str">
        <f aca="false">IF($B650="","",IFERROR(INDEX(거래처마스터!$B$3:$B$102,MATCH($B650,거래처마스터!$A$3:$A$102,0)),"미등록"))</f>
        <v/>
      </c>
      <c r="D650" s="7"/>
      <c r="E650" s="12" t="str">
        <f aca="false">IF($D650="","",IFERROR(INDEX(품목마스터!$B$3:$B$202,MATCH($D650,품목마스터!$A$3:$A$202,0)),"미등록품번"))</f>
        <v/>
      </c>
      <c r="F650" s="12" t="str">
        <f aca="false">IF($D650="","",IFERROR(INDEX(품목마스터!$D$3:$D$202,MATCH($D650,품목마스터!$A$3:$A$202,0)),""))</f>
        <v/>
      </c>
      <c r="G650" s="9"/>
      <c r="H650" s="9"/>
      <c r="I650" s="13" t="str">
        <f aca="false">IF(OR($G650="",$H650=""),"",ROUND($G650*$H650,0))</f>
        <v/>
      </c>
      <c r="J650" s="7"/>
    </row>
    <row r="651" customFormat="false" ht="15" hidden="false" customHeight="true" outlineLevel="0" collapsed="false">
      <c r="A651" s="11"/>
      <c r="B651" s="7"/>
      <c r="C651" s="12" t="str">
        <f aca="false">IF($B651="","",IFERROR(INDEX(거래처마스터!$B$3:$B$102,MATCH($B651,거래처마스터!$A$3:$A$102,0)),"미등록"))</f>
        <v/>
      </c>
      <c r="D651" s="7"/>
      <c r="E651" s="12" t="str">
        <f aca="false">IF($D651="","",IFERROR(INDEX(품목마스터!$B$3:$B$202,MATCH($D651,품목마스터!$A$3:$A$202,0)),"미등록품번"))</f>
        <v/>
      </c>
      <c r="F651" s="12" t="str">
        <f aca="false">IF($D651="","",IFERROR(INDEX(품목마스터!$D$3:$D$202,MATCH($D651,품목마스터!$A$3:$A$202,0)),""))</f>
        <v/>
      </c>
      <c r="G651" s="9"/>
      <c r="H651" s="9"/>
      <c r="I651" s="13" t="str">
        <f aca="false">IF(OR($G651="",$H651=""),"",ROUND($G651*$H651,0))</f>
        <v/>
      </c>
      <c r="J651" s="7"/>
    </row>
    <row r="652" customFormat="false" ht="15" hidden="false" customHeight="true" outlineLevel="0" collapsed="false">
      <c r="A652" s="11"/>
      <c r="B652" s="7"/>
      <c r="C652" s="12" t="str">
        <f aca="false">IF($B652="","",IFERROR(INDEX(거래처마스터!$B$3:$B$102,MATCH($B652,거래처마스터!$A$3:$A$102,0)),"미등록"))</f>
        <v/>
      </c>
      <c r="D652" s="7"/>
      <c r="E652" s="12" t="str">
        <f aca="false">IF($D652="","",IFERROR(INDEX(품목마스터!$B$3:$B$202,MATCH($D652,품목마스터!$A$3:$A$202,0)),"미등록품번"))</f>
        <v/>
      </c>
      <c r="F652" s="12" t="str">
        <f aca="false">IF($D652="","",IFERROR(INDEX(품목마스터!$D$3:$D$202,MATCH($D652,품목마스터!$A$3:$A$202,0)),""))</f>
        <v/>
      </c>
      <c r="G652" s="9"/>
      <c r="H652" s="9"/>
      <c r="I652" s="13" t="str">
        <f aca="false">IF(OR($G652="",$H652=""),"",ROUND($G652*$H652,0))</f>
        <v/>
      </c>
      <c r="J652" s="7"/>
    </row>
    <row r="653" customFormat="false" ht="15" hidden="false" customHeight="true" outlineLevel="0" collapsed="false">
      <c r="A653" s="11"/>
      <c r="B653" s="7"/>
      <c r="C653" s="12" t="str">
        <f aca="false">IF($B653="","",IFERROR(INDEX(거래처마스터!$B$3:$B$102,MATCH($B653,거래처마스터!$A$3:$A$102,0)),"미등록"))</f>
        <v/>
      </c>
      <c r="D653" s="7"/>
      <c r="E653" s="12" t="str">
        <f aca="false">IF($D653="","",IFERROR(INDEX(품목마스터!$B$3:$B$202,MATCH($D653,품목마스터!$A$3:$A$202,0)),"미등록품번"))</f>
        <v/>
      </c>
      <c r="F653" s="12" t="str">
        <f aca="false">IF($D653="","",IFERROR(INDEX(품목마스터!$D$3:$D$202,MATCH($D653,품목마스터!$A$3:$A$202,0)),""))</f>
        <v/>
      </c>
      <c r="G653" s="9"/>
      <c r="H653" s="9"/>
      <c r="I653" s="13" t="str">
        <f aca="false">IF(OR($G653="",$H653=""),"",ROUND($G653*$H653,0))</f>
        <v/>
      </c>
      <c r="J653" s="7"/>
    </row>
    <row r="654" customFormat="false" ht="15" hidden="false" customHeight="true" outlineLevel="0" collapsed="false">
      <c r="A654" s="11"/>
      <c r="B654" s="7"/>
      <c r="C654" s="12" t="str">
        <f aca="false">IF($B654="","",IFERROR(INDEX(거래처마스터!$B$3:$B$102,MATCH($B654,거래처마스터!$A$3:$A$102,0)),"미등록"))</f>
        <v/>
      </c>
      <c r="D654" s="7"/>
      <c r="E654" s="12" t="str">
        <f aca="false">IF($D654="","",IFERROR(INDEX(품목마스터!$B$3:$B$202,MATCH($D654,품목마스터!$A$3:$A$202,0)),"미등록품번"))</f>
        <v/>
      </c>
      <c r="F654" s="12" t="str">
        <f aca="false">IF($D654="","",IFERROR(INDEX(품목마스터!$D$3:$D$202,MATCH($D654,품목마스터!$A$3:$A$202,0)),""))</f>
        <v/>
      </c>
      <c r="G654" s="9"/>
      <c r="H654" s="9"/>
      <c r="I654" s="13" t="str">
        <f aca="false">IF(OR($G654="",$H654=""),"",ROUND($G654*$H654,0))</f>
        <v/>
      </c>
      <c r="J654" s="7"/>
    </row>
    <row r="655" customFormat="false" ht="15" hidden="false" customHeight="true" outlineLevel="0" collapsed="false">
      <c r="A655" s="11"/>
      <c r="B655" s="7"/>
      <c r="C655" s="12" t="str">
        <f aca="false">IF($B655="","",IFERROR(INDEX(거래처마스터!$B$3:$B$102,MATCH($B655,거래처마스터!$A$3:$A$102,0)),"미등록"))</f>
        <v/>
      </c>
      <c r="D655" s="7"/>
      <c r="E655" s="12" t="str">
        <f aca="false">IF($D655="","",IFERROR(INDEX(품목마스터!$B$3:$B$202,MATCH($D655,품목마스터!$A$3:$A$202,0)),"미등록품번"))</f>
        <v/>
      </c>
      <c r="F655" s="12" t="str">
        <f aca="false">IF($D655="","",IFERROR(INDEX(품목마스터!$D$3:$D$202,MATCH($D655,품목마스터!$A$3:$A$202,0)),""))</f>
        <v/>
      </c>
      <c r="G655" s="9"/>
      <c r="H655" s="9"/>
      <c r="I655" s="13" t="str">
        <f aca="false">IF(OR($G655="",$H655=""),"",ROUND($G655*$H655,0))</f>
        <v/>
      </c>
      <c r="J655" s="7"/>
    </row>
    <row r="656" customFormat="false" ht="15" hidden="false" customHeight="true" outlineLevel="0" collapsed="false">
      <c r="A656" s="11"/>
      <c r="B656" s="7"/>
      <c r="C656" s="12" t="str">
        <f aca="false">IF($B656="","",IFERROR(INDEX(거래처마스터!$B$3:$B$102,MATCH($B656,거래처마스터!$A$3:$A$102,0)),"미등록"))</f>
        <v/>
      </c>
      <c r="D656" s="7"/>
      <c r="E656" s="12" t="str">
        <f aca="false">IF($D656="","",IFERROR(INDEX(품목마스터!$B$3:$B$202,MATCH($D656,품목마스터!$A$3:$A$202,0)),"미등록품번"))</f>
        <v/>
      </c>
      <c r="F656" s="12" t="str">
        <f aca="false">IF($D656="","",IFERROR(INDEX(품목마스터!$D$3:$D$202,MATCH($D656,품목마스터!$A$3:$A$202,0)),""))</f>
        <v/>
      </c>
      <c r="G656" s="9"/>
      <c r="H656" s="9"/>
      <c r="I656" s="13" t="str">
        <f aca="false">IF(OR($G656="",$H656=""),"",ROUND($G656*$H656,0))</f>
        <v/>
      </c>
      <c r="J656" s="7"/>
    </row>
    <row r="657" customFormat="false" ht="15" hidden="false" customHeight="true" outlineLevel="0" collapsed="false">
      <c r="A657" s="11"/>
      <c r="B657" s="7"/>
      <c r="C657" s="12" t="str">
        <f aca="false">IF($B657="","",IFERROR(INDEX(거래처마스터!$B$3:$B$102,MATCH($B657,거래처마스터!$A$3:$A$102,0)),"미등록"))</f>
        <v/>
      </c>
      <c r="D657" s="7"/>
      <c r="E657" s="12" t="str">
        <f aca="false">IF($D657="","",IFERROR(INDEX(품목마스터!$B$3:$B$202,MATCH($D657,품목마스터!$A$3:$A$202,0)),"미등록품번"))</f>
        <v/>
      </c>
      <c r="F657" s="12" t="str">
        <f aca="false">IF($D657="","",IFERROR(INDEX(품목마스터!$D$3:$D$202,MATCH($D657,품목마스터!$A$3:$A$202,0)),""))</f>
        <v/>
      </c>
      <c r="G657" s="9"/>
      <c r="H657" s="9"/>
      <c r="I657" s="13" t="str">
        <f aca="false">IF(OR($G657="",$H657=""),"",ROUND($G657*$H657,0))</f>
        <v/>
      </c>
      <c r="J657" s="7"/>
    </row>
    <row r="658" customFormat="false" ht="15" hidden="false" customHeight="true" outlineLevel="0" collapsed="false">
      <c r="A658" s="11"/>
      <c r="B658" s="7"/>
      <c r="C658" s="12" t="str">
        <f aca="false">IF($B658="","",IFERROR(INDEX(거래처마스터!$B$3:$B$102,MATCH($B658,거래처마스터!$A$3:$A$102,0)),"미등록"))</f>
        <v/>
      </c>
      <c r="D658" s="7"/>
      <c r="E658" s="12" t="str">
        <f aca="false">IF($D658="","",IFERROR(INDEX(품목마스터!$B$3:$B$202,MATCH($D658,품목마스터!$A$3:$A$202,0)),"미등록품번"))</f>
        <v/>
      </c>
      <c r="F658" s="12" t="str">
        <f aca="false">IF($D658="","",IFERROR(INDEX(품목마스터!$D$3:$D$202,MATCH($D658,품목마스터!$A$3:$A$202,0)),""))</f>
        <v/>
      </c>
      <c r="G658" s="9"/>
      <c r="H658" s="9"/>
      <c r="I658" s="13" t="str">
        <f aca="false">IF(OR($G658="",$H658=""),"",ROUND($G658*$H658,0))</f>
        <v/>
      </c>
      <c r="J658" s="7"/>
    </row>
    <row r="659" customFormat="false" ht="15" hidden="false" customHeight="true" outlineLevel="0" collapsed="false">
      <c r="A659" s="11"/>
      <c r="B659" s="7"/>
      <c r="C659" s="12" t="str">
        <f aca="false">IF($B659="","",IFERROR(INDEX(거래처마스터!$B$3:$B$102,MATCH($B659,거래처마스터!$A$3:$A$102,0)),"미등록"))</f>
        <v/>
      </c>
      <c r="D659" s="7"/>
      <c r="E659" s="12" t="str">
        <f aca="false">IF($D659="","",IFERROR(INDEX(품목마스터!$B$3:$B$202,MATCH($D659,품목마스터!$A$3:$A$202,0)),"미등록품번"))</f>
        <v/>
      </c>
      <c r="F659" s="12" t="str">
        <f aca="false">IF($D659="","",IFERROR(INDEX(품목마스터!$D$3:$D$202,MATCH($D659,품목마스터!$A$3:$A$202,0)),""))</f>
        <v/>
      </c>
      <c r="G659" s="9"/>
      <c r="H659" s="9"/>
      <c r="I659" s="13" t="str">
        <f aca="false">IF(OR($G659="",$H659=""),"",ROUND($G659*$H659,0))</f>
        <v/>
      </c>
      <c r="J659" s="7"/>
    </row>
    <row r="660" customFormat="false" ht="15" hidden="false" customHeight="true" outlineLevel="0" collapsed="false">
      <c r="A660" s="11"/>
      <c r="B660" s="7"/>
      <c r="C660" s="12" t="str">
        <f aca="false">IF($B660="","",IFERROR(INDEX(거래처마스터!$B$3:$B$102,MATCH($B660,거래처마스터!$A$3:$A$102,0)),"미등록"))</f>
        <v/>
      </c>
      <c r="D660" s="7"/>
      <c r="E660" s="12" t="str">
        <f aca="false">IF($D660="","",IFERROR(INDEX(품목마스터!$B$3:$B$202,MATCH($D660,품목마스터!$A$3:$A$202,0)),"미등록품번"))</f>
        <v/>
      </c>
      <c r="F660" s="12" t="str">
        <f aca="false">IF($D660="","",IFERROR(INDEX(품목마스터!$D$3:$D$202,MATCH($D660,품목마스터!$A$3:$A$202,0)),""))</f>
        <v/>
      </c>
      <c r="G660" s="9"/>
      <c r="H660" s="9"/>
      <c r="I660" s="13" t="str">
        <f aca="false">IF(OR($G660="",$H660=""),"",ROUND($G660*$H660,0))</f>
        <v/>
      </c>
      <c r="J660" s="7"/>
    </row>
    <row r="661" customFormat="false" ht="15" hidden="false" customHeight="true" outlineLevel="0" collapsed="false">
      <c r="A661" s="11"/>
      <c r="B661" s="7"/>
      <c r="C661" s="12" t="str">
        <f aca="false">IF($B661="","",IFERROR(INDEX(거래처마스터!$B$3:$B$102,MATCH($B661,거래처마스터!$A$3:$A$102,0)),"미등록"))</f>
        <v/>
      </c>
      <c r="D661" s="7"/>
      <c r="E661" s="12" t="str">
        <f aca="false">IF($D661="","",IFERROR(INDEX(품목마스터!$B$3:$B$202,MATCH($D661,품목마스터!$A$3:$A$202,0)),"미등록품번"))</f>
        <v/>
      </c>
      <c r="F661" s="12" t="str">
        <f aca="false">IF($D661="","",IFERROR(INDEX(품목마스터!$D$3:$D$202,MATCH($D661,품목마스터!$A$3:$A$202,0)),""))</f>
        <v/>
      </c>
      <c r="G661" s="9"/>
      <c r="H661" s="9"/>
      <c r="I661" s="13" t="str">
        <f aca="false">IF(OR($G661="",$H661=""),"",ROUND($G661*$H661,0))</f>
        <v/>
      </c>
      <c r="J661" s="7"/>
    </row>
    <row r="662" customFormat="false" ht="15" hidden="false" customHeight="true" outlineLevel="0" collapsed="false">
      <c r="A662" s="11"/>
      <c r="B662" s="7"/>
      <c r="C662" s="12" t="str">
        <f aca="false">IF($B662="","",IFERROR(INDEX(거래처마스터!$B$3:$B$102,MATCH($B662,거래처마스터!$A$3:$A$102,0)),"미등록"))</f>
        <v/>
      </c>
      <c r="D662" s="7"/>
      <c r="E662" s="12" t="str">
        <f aca="false">IF($D662="","",IFERROR(INDEX(품목마스터!$B$3:$B$202,MATCH($D662,품목마스터!$A$3:$A$202,0)),"미등록품번"))</f>
        <v/>
      </c>
      <c r="F662" s="12" t="str">
        <f aca="false">IF($D662="","",IFERROR(INDEX(품목마스터!$D$3:$D$202,MATCH($D662,품목마스터!$A$3:$A$202,0)),""))</f>
        <v/>
      </c>
      <c r="G662" s="9"/>
      <c r="H662" s="9"/>
      <c r="I662" s="13" t="str">
        <f aca="false">IF(OR($G662="",$H662=""),"",ROUND($G662*$H662,0))</f>
        <v/>
      </c>
      <c r="J662" s="7"/>
    </row>
    <row r="663" customFormat="false" ht="15" hidden="false" customHeight="true" outlineLevel="0" collapsed="false">
      <c r="A663" s="11"/>
      <c r="B663" s="7"/>
      <c r="C663" s="12" t="str">
        <f aca="false">IF($B663="","",IFERROR(INDEX(거래처마스터!$B$3:$B$102,MATCH($B663,거래처마스터!$A$3:$A$102,0)),"미등록"))</f>
        <v/>
      </c>
      <c r="D663" s="7"/>
      <c r="E663" s="12" t="str">
        <f aca="false">IF($D663="","",IFERROR(INDEX(품목마스터!$B$3:$B$202,MATCH($D663,품목마스터!$A$3:$A$202,0)),"미등록품번"))</f>
        <v/>
      </c>
      <c r="F663" s="12" t="str">
        <f aca="false">IF($D663="","",IFERROR(INDEX(품목마스터!$D$3:$D$202,MATCH($D663,품목마스터!$A$3:$A$202,0)),""))</f>
        <v/>
      </c>
      <c r="G663" s="9"/>
      <c r="H663" s="9"/>
      <c r="I663" s="13" t="str">
        <f aca="false">IF(OR($G663="",$H663=""),"",ROUND($G663*$H663,0))</f>
        <v/>
      </c>
      <c r="J663" s="7"/>
    </row>
    <row r="664" customFormat="false" ht="15" hidden="false" customHeight="true" outlineLevel="0" collapsed="false">
      <c r="A664" s="11"/>
      <c r="B664" s="7"/>
      <c r="C664" s="12" t="str">
        <f aca="false">IF($B664="","",IFERROR(INDEX(거래처마스터!$B$3:$B$102,MATCH($B664,거래처마스터!$A$3:$A$102,0)),"미등록"))</f>
        <v/>
      </c>
      <c r="D664" s="7"/>
      <c r="E664" s="12" t="str">
        <f aca="false">IF($D664="","",IFERROR(INDEX(품목마스터!$B$3:$B$202,MATCH($D664,품목마스터!$A$3:$A$202,0)),"미등록품번"))</f>
        <v/>
      </c>
      <c r="F664" s="12" t="str">
        <f aca="false">IF($D664="","",IFERROR(INDEX(품목마스터!$D$3:$D$202,MATCH($D664,품목마스터!$A$3:$A$202,0)),""))</f>
        <v/>
      </c>
      <c r="G664" s="9"/>
      <c r="H664" s="9"/>
      <c r="I664" s="13" t="str">
        <f aca="false">IF(OR($G664="",$H664=""),"",ROUND($G664*$H664,0))</f>
        <v/>
      </c>
      <c r="J664" s="7"/>
    </row>
    <row r="665" customFormat="false" ht="15" hidden="false" customHeight="true" outlineLevel="0" collapsed="false">
      <c r="A665" s="11"/>
      <c r="B665" s="7"/>
      <c r="C665" s="12" t="str">
        <f aca="false">IF($B665="","",IFERROR(INDEX(거래처마스터!$B$3:$B$102,MATCH($B665,거래처마스터!$A$3:$A$102,0)),"미등록"))</f>
        <v/>
      </c>
      <c r="D665" s="7"/>
      <c r="E665" s="12" t="str">
        <f aca="false">IF($D665="","",IFERROR(INDEX(품목마스터!$B$3:$B$202,MATCH($D665,품목마스터!$A$3:$A$202,0)),"미등록품번"))</f>
        <v/>
      </c>
      <c r="F665" s="12" t="str">
        <f aca="false">IF($D665="","",IFERROR(INDEX(품목마스터!$D$3:$D$202,MATCH($D665,품목마스터!$A$3:$A$202,0)),""))</f>
        <v/>
      </c>
      <c r="G665" s="9"/>
      <c r="H665" s="9"/>
      <c r="I665" s="13" t="str">
        <f aca="false">IF(OR($G665="",$H665=""),"",ROUND($G665*$H665,0))</f>
        <v/>
      </c>
      <c r="J665" s="7"/>
    </row>
    <row r="666" customFormat="false" ht="15" hidden="false" customHeight="true" outlineLevel="0" collapsed="false">
      <c r="A666" s="11"/>
      <c r="B666" s="7"/>
      <c r="C666" s="12" t="str">
        <f aca="false">IF($B666="","",IFERROR(INDEX(거래처마스터!$B$3:$B$102,MATCH($B666,거래처마스터!$A$3:$A$102,0)),"미등록"))</f>
        <v/>
      </c>
      <c r="D666" s="7"/>
      <c r="E666" s="12" t="str">
        <f aca="false">IF($D666="","",IFERROR(INDEX(품목마스터!$B$3:$B$202,MATCH($D666,품목마스터!$A$3:$A$202,0)),"미등록품번"))</f>
        <v/>
      </c>
      <c r="F666" s="12" t="str">
        <f aca="false">IF($D666="","",IFERROR(INDEX(품목마스터!$D$3:$D$202,MATCH($D666,품목마스터!$A$3:$A$202,0)),""))</f>
        <v/>
      </c>
      <c r="G666" s="9"/>
      <c r="H666" s="9"/>
      <c r="I666" s="13" t="str">
        <f aca="false">IF(OR($G666="",$H666=""),"",ROUND($G666*$H666,0))</f>
        <v/>
      </c>
      <c r="J666" s="7"/>
    </row>
    <row r="667" customFormat="false" ht="15" hidden="false" customHeight="true" outlineLevel="0" collapsed="false">
      <c r="A667" s="11"/>
      <c r="B667" s="7"/>
      <c r="C667" s="12" t="str">
        <f aca="false">IF($B667="","",IFERROR(INDEX(거래처마스터!$B$3:$B$102,MATCH($B667,거래처마스터!$A$3:$A$102,0)),"미등록"))</f>
        <v/>
      </c>
      <c r="D667" s="7"/>
      <c r="E667" s="12" t="str">
        <f aca="false">IF($D667="","",IFERROR(INDEX(품목마스터!$B$3:$B$202,MATCH($D667,품목마스터!$A$3:$A$202,0)),"미등록품번"))</f>
        <v/>
      </c>
      <c r="F667" s="12" t="str">
        <f aca="false">IF($D667="","",IFERROR(INDEX(품목마스터!$D$3:$D$202,MATCH($D667,품목마스터!$A$3:$A$202,0)),""))</f>
        <v/>
      </c>
      <c r="G667" s="9"/>
      <c r="H667" s="9"/>
      <c r="I667" s="13" t="str">
        <f aca="false">IF(OR($G667="",$H667=""),"",ROUND($G667*$H667,0))</f>
        <v/>
      </c>
      <c r="J667" s="7"/>
    </row>
    <row r="668" customFormat="false" ht="15" hidden="false" customHeight="true" outlineLevel="0" collapsed="false">
      <c r="A668" s="11"/>
      <c r="B668" s="7"/>
      <c r="C668" s="12" t="str">
        <f aca="false">IF($B668="","",IFERROR(INDEX(거래처마스터!$B$3:$B$102,MATCH($B668,거래처마스터!$A$3:$A$102,0)),"미등록"))</f>
        <v/>
      </c>
      <c r="D668" s="7"/>
      <c r="E668" s="12" t="str">
        <f aca="false">IF($D668="","",IFERROR(INDEX(품목마스터!$B$3:$B$202,MATCH($D668,품목마스터!$A$3:$A$202,0)),"미등록품번"))</f>
        <v/>
      </c>
      <c r="F668" s="12" t="str">
        <f aca="false">IF($D668="","",IFERROR(INDEX(품목마스터!$D$3:$D$202,MATCH($D668,품목마스터!$A$3:$A$202,0)),""))</f>
        <v/>
      </c>
      <c r="G668" s="9"/>
      <c r="H668" s="9"/>
      <c r="I668" s="13" t="str">
        <f aca="false">IF(OR($G668="",$H668=""),"",ROUND($G668*$H668,0))</f>
        <v/>
      </c>
      <c r="J668" s="7"/>
    </row>
    <row r="669" customFormat="false" ht="15" hidden="false" customHeight="true" outlineLevel="0" collapsed="false">
      <c r="A669" s="11"/>
      <c r="B669" s="7"/>
      <c r="C669" s="12" t="str">
        <f aca="false">IF($B669="","",IFERROR(INDEX(거래처마스터!$B$3:$B$102,MATCH($B669,거래처마스터!$A$3:$A$102,0)),"미등록"))</f>
        <v/>
      </c>
      <c r="D669" s="7"/>
      <c r="E669" s="12" t="str">
        <f aca="false">IF($D669="","",IFERROR(INDEX(품목마스터!$B$3:$B$202,MATCH($D669,품목마스터!$A$3:$A$202,0)),"미등록품번"))</f>
        <v/>
      </c>
      <c r="F669" s="12" t="str">
        <f aca="false">IF($D669="","",IFERROR(INDEX(품목마스터!$D$3:$D$202,MATCH($D669,품목마스터!$A$3:$A$202,0)),""))</f>
        <v/>
      </c>
      <c r="G669" s="9"/>
      <c r="H669" s="9"/>
      <c r="I669" s="13" t="str">
        <f aca="false">IF(OR($G669="",$H669=""),"",ROUND($G669*$H669,0))</f>
        <v/>
      </c>
      <c r="J669" s="7"/>
    </row>
    <row r="670" customFormat="false" ht="15" hidden="false" customHeight="true" outlineLevel="0" collapsed="false">
      <c r="A670" s="11"/>
      <c r="B670" s="7"/>
      <c r="C670" s="12" t="str">
        <f aca="false">IF($B670="","",IFERROR(INDEX(거래처마스터!$B$3:$B$102,MATCH($B670,거래처마스터!$A$3:$A$102,0)),"미등록"))</f>
        <v/>
      </c>
      <c r="D670" s="7"/>
      <c r="E670" s="12" t="str">
        <f aca="false">IF($D670="","",IFERROR(INDEX(품목마스터!$B$3:$B$202,MATCH($D670,품목마스터!$A$3:$A$202,0)),"미등록품번"))</f>
        <v/>
      </c>
      <c r="F670" s="12" t="str">
        <f aca="false">IF($D670="","",IFERROR(INDEX(품목마스터!$D$3:$D$202,MATCH($D670,품목마스터!$A$3:$A$202,0)),""))</f>
        <v/>
      </c>
      <c r="G670" s="9"/>
      <c r="H670" s="9"/>
      <c r="I670" s="13" t="str">
        <f aca="false">IF(OR($G670="",$H670=""),"",ROUND($G670*$H670,0))</f>
        <v/>
      </c>
      <c r="J670" s="7"/>
    </row>
    <row r="671" customFormat="false" ht="15" hidden="false" customHeight="true" outlineLevel="0" collapsed="false">
      <c r="A671" s="11"/>
      <c r="B671" s="7"/>
      <c r="C671" s="12" t="str">
        <f aca="false">IF($B671="","",IFERROR(INDEX(거래처마스터!$B$3:$B$102,MATCH($B671,거래처마스터!$A$3:$A$102,0)),"미등록"))</f>
        <v/>
      </c>
      <c r="D671" s="7"/>
      <c r="E671" s="12" t="str">
        <f aca="false">IF($D671="","",IFERROR(INDEX(품목마스터!$B$3:$B$202,MATCH($D671,품목마스터!$A$3:$A$202,0)),"미등록품번"))</f>
        <v/>
      </c>
      <c r="F671" s="12" t="str">
        <f aca="false">IF($D671="","",IFERROR(INDEX(품목마스터!$D$3:$D$202,MATCH($D671,품목마스터!$A$3:$A$202,0)),""))</f>
        <v/>
      </c>
      <c r="G671" s="9"/>
      <c r="H671" s="9"/>
      <c r="I671" s="13" t="str">
        <f aca="false">IF(OR($G671="",$H671=""),"",ROUND($G671*$H671,0))</f>
        <v/>
      </c>
      <c r="J671" s="7"/>
    </row>
    <row r="672" customFormat="false" ht="15" hidden="false" customHeight="true" outlineLevel="0" collapsed="false">
      <c r="A672" s="11"/>
      <c r="B672" s="7"/>
      <c r="C672" s="12" t="str">
        <f aca="false">IF($B672="","",IFERROR(INDEX(거래처마스터!$B$3:$B$102,MATCH($B672,거래처마스터!$A$3:$A$102,0)),"미등록"))</f>
        <v/>
      </c>
      <c r="D672" s="7"/>
      <c r="E672" s="12" t="str">
        <f aca="false">IF($D672="","",IFERROR(INDEX(품목마스터!$B$3:$B$202,MATCH($D672,품목마스터!$A$3:$A$202,0)),"미등록품번"))</f>
        <v/>
      </c>
      <c r="F672" s="12" t="str">
        <f aca="false">IF($D672="","",IFERROR(INDEX(품목마스터!$D$3:$D$202,MATCH($D672,품목마스터!$A$3:$A$202,0)),""))</f>
        <v/>
      </c>
      <c r="G672" s="9"/>
      <c r="H672" s="9"/>
      <c r="I672" s="13" t="str">
        <f aca="false">IF(OR($G672="",$H672=""),"",ROUND($G672*$H672,0))</f>
        <v/>
      </c>
      <c r="J672" s="7"/>
    </row>
    <row r="673" customFormat="false" ht="15" hidden="false" customHeight="true" outlineLevel="0" collapsed="false">
      <c r="A673" s="11"/>
      <c r="B673" s="7"/>
      <c r="C673" s="12" t="str">
        <f aca="false">IF($B673="","",IFERROR(INDEX(거래처마스터!$B$3:$B$102,MATCH($B673,거래처마스터!$A$3:$A$102,0)),"미등록"))</f>
        <v/>
      </c>
      <c r="D673" s="7"/>
      <c r="E673" s="12" t="str">
        <f aca="false">IF($D673="","",IFERROR(INDEX(품목마스터!$B$3:$B$202,MATCH($D673,품목마스터!$A$3:$A$202,0)),"미등록품번"))</f>
        <v/>
      </c>
      <c r="F673" s="12" t="str">
        <f aca="false">IF($D673="","",IFERROR(INDEX(품목마스터!$D$3:$D$202,MATCH($D673,품목마스터!$A$3:$A$202,0)),""))</f>
        <v/>
      </c>
      <c r="G673" s="9"/>
      <c r="H673" s="9"/>
      <c r="I673" s="13" t="str">
        <f aca="false">IF(OR($G673="",$H673=""),"",ROUND($G673*$H673,0))</f>
        <v/>
      </c>
      <c r="J673" s="7"/>
    </row>
    <row r="674" customFormat="false" ht="15" hidden="false" customHeight="true" outlineLevel="0" collapsed="false">
      <c r="A674" s="11"/>
      <c r="B674" s="7"/>
      <c r="C674" s="12" t="str">
        <f aca="false">IF($B674="","",IFERROR(INDEX(거래처마스터!$B$3:$B$102,MATCH($B674,거래처마스터!$A$3:$A$102,0)),"미등록"))</f>
        <v/>
      </c>
      <c r="D674" s="7"/>
      <c r="E674" s="12" t="str">
        <f aca="false">IF($D674="","",IFERROR(INDEX(품목마스터!$B$3:$B$202,MATCH($D674,품목마스터!$A$3:$A$202,0)),"미등록품번"))</f>
        <v/>
      </c>
      <c r="F674" s="12" t="str">
        <f aca="false">IF($D674="","",IFERROR(INDEX(품목마스터!$D$3:$D$202,MATCH($D674,품목마스터!$A$3:$A$202,0)),""))</f>
        <v/>
      </c>
      <c r="G674" s="9"/>
      <c r="H674" s="9"/>
      <c r="I674" s="13" t="str">
        <f aca="false">IF(OR($G674="",$H674=""),"",ROUND($G674*$H674,0))</f>
        <v/>
      </c>
      <c r="J674" s="7"/>
    </row>
    <row r="675" customFormat="false" ht="15" hidden="false" customHeight="true" outlineLevel="0" collapsed="false">
      <c r="A675" s="11"/>
      <c r="B675" s="7"/>
      <c r="C675" s="12" t="str">
        <f aca="false">IF($B675="","",IFERROR(INDEX(거래처마스터!$B$3:$B$102,MATCH($B675,거래처마스터!$A$3:$A$102,0)),"미등록"))</f>
        <v/>
      </c>
      <c r="D675" s="7"/>
      <c r="E675" s="12" t="str">
        <f aca="false">IF($D675="","",IFERROR(INDEX(품목마스터!$B$3:$B$202,MATCH($D675,품목마스터!$A$3:$A$202,0)),"미등록품번"))</f>
        <v/>
      </c>
      <c r="F675" s="12" t="str">
        <f aca="false">IF($D675="","",IFERROR(INDEX(품목마스터!$D$3:$D$202,MATCH($D675,품목마스터!$A$3:$A$202,0)),""))</f>
        <v/>
      </c>
      <c r="G675" s="9"/>
      <c r="H675" s="9"/>
      <c r="I675" s="13" t="str">
        <f aca="false">IF(OR($G675="",$H675=""),"",ROUND($G675*$H675,0))</f>
        <v/>
      </c>
      <c r="J675" s="7"/>
    </row>
    <row r="676" customFormat="false" ht="15" hidden="false" customHeight="true" outlineLevel="0" collapsed="false">
      <c r="A676" s="11"/>
      <c r="B676" s="7"/>
      <c r="C676" s="12" t="str">
        <f aca="false">IF($B676="","",IFERROR(INDEX(거래처마스터!$B$3:$B$102,MATCH($B676,거래처마스터!$A$3:$A$102,0)),"미등록"))</f>
        <v/>
      </c>
      <c r="D676" s="7"/>
      <c r="E676" s="12" t="str">
        <f aca="false">IF($D676="","",IFERROR(INDEX(품목마스터!$B$3:$B$202,MATCH($D676,품목마스터!$A$3:$A$202,0)),"미등록품번"))</f>
        <v/>
      </c>
      <c r="F676" s="12" t="str">
        <f aca="false">IF($D676="","",IFERROR(INDEX(품목마스터!$D$3:$D$202,MATCH($D676,품목마스터!$A$3:$A$202,0)),""))</f>
        <v/>
      </c>
      <c r="G676" s="9"/>
      <c r="H676" s="9"/>
      <c r="I676" s="13" t="str">
        <f aca="false">IF(OR($G676="",$H676=""),"",ROUND($G676*$H676,0))</f>
        <v/>
      </c>
      <c r="J676" s="7"/>
    </row>
    <row r="677" customFormat="false" ht="15" hidden="false" customHeight="true" outlineLevel="0" collapsed="false">
      <c r="A677" s="11"/>
      <c r="B677" s="7"/>
      <c r="C677" s="12" t="str">
        <f aca="false">IF($B677="","",IFERROR(INDEX(거래처마스터!$B$3:$B$102,MATCH($B677,거래처마스터!$A$3:$A$102,0)),"미등록"))</f>
        <v/>
      </c>
      <c r="D677" s="7"/>
      <c r="E677" s="12" t="str">
        <f aca="false">IF($D677="","",IFERROR(INDEX(품목마스터!$B$3:$B$202,MATCH($D677,품목마스터!$A$3:$A$202,0)),"미등록품번"))</f>
        <v/>
      </c>
      <c r="F677" s="12" t="str">
        <f aca="false">IF($D677="","",IFERROR(INDEX(품목마스터!$D$3:$D$202,MATCH($D677,품목마스터!$A$3:$A$202,0)),""))</f>
        <v/>
      </c>
      <c r="G677" s="9"/>
      <c r="H677" s="9"/>
      <c r="I677" s="13" t="str">
        <f aca="false">IF(OR($G677="",$H677=""),"",ROUND($G677*$H677,0))</f>
        <v/>
      </c>
      <c r="J677" s="7"/>
    </row>
    <row r="678" customFormat="false" ht="15" hidden="false" customHeight="true" outlineLevel="0" collapsed="false">
      <c r="A678" s="11"/>
      <c r="B678" s="7"/>
      <c r="C678" s="12" t="str">
        <f aca="false">IF($B678="","",IFERROR(INDEX(거래처마스터!$B$3:$B$102,MATCH($B678,거래처마스터!$A$3:$A$102,0)),"미등록"))</f>
        <v/>
      </c>
      <c r="D678" s="7"/>
      <c r="E678" s="12" t="str">
        <f aca="false">IF($D678="","",IFERROR(INDEX(품목마스터!$B$3:$B$202,MATCH($D678,품목마스터!$A$3:$A$202,0)),"미등록품번"))</f>
        <v/>
      </c>
      <c r="F678" s="12" t="str">
        <f aca="false">IF($D678="","",IFERROR(INDEX(품목마스터!$D$3:$D$202,MATCH($D678,품목마스터!$A$3:$A$202,0)),""))</f>
        <v/>
      </c>
      <c r="G678" s="9"/>
      <c r="H678" s="9"/>
      <c r="I678" s="13" t="str">
        <f aca="false">IF(OR($G678="",$H678=""),"",ROUND($G678*$H678,0))</f>
        <v/>
      </c>
      <c r="J678" s="7"/>
    </row>
    <row r="679" customFormat="false" ht="15" hidden="false" customHeight="true" outlineLevel="0" collapsed="false">
      <c r="A679" s="11"/>
      <c r="B679" s="7"/>
      <c r="C679" s="12" t="str">
        <f aca="false">IF($B679="","",IFERROR(INDEX(거래처마스터!$B$3:$B$102,MATCH($B679,거래처마스터!$A$3:$A$102,0)),"미등록"))</f>
        <v/>
      </c>
      <c r="D679" s="7"/>
      <c r="E679" s="12" t="str">
        <f aca="false">IF($D679="","",IFERROR(INDEX(품목마스터!$B$3:$B$202,MATCH($D679,품목마스터!$A$3:$A$202,0)),"미등록품번"))</f>
        <v/>
      </c>
      <c r="F679" s="12" t="str">
        <f aca="false">IF($D679="","",IFERROR(INDEX(품목마스터!$D$3:$D$202,MATCH($D679,품목마스터!$A$3:$A$202,0)),""))</f>
        <v/>
      </c>
      <c r="G679" s="9"/>
      <c r="H679" s="9"/>
      <c r="I679" s="13" t="str">
        <f aca="false">IF(OR($G679="",$H679=""),"",ROUND($G679*$H679,0))</f>
        <v/>
      </c>
      <c r="J679" s="7"/>
    </row>
    <row r="680" customFormat="false" ht="15" hidden="false" customHeight="true" outlineLevel="0" collapsed="false">
      <c r="A680" s="11"/>
      <c r="B680" s="7"/>
      <c r="C680" s="12" t="str">
        <f aca="false">IF($B680="","",IFERROR(INDEX(거래처마스터!$B$3:$B$102,MATCH($B680,거래처마스터!$A$3:$A$102,0)),"미등록"))</f>
        <v/>
      </c>
      <c r="D680" s="7"/>
      <c r="E680" s="12" t="str">
        <f aca="false">IF($D680="","",IFERROR(INDEX(품목마스터!$B$3:$B$202,MATCH($D680,품목마스터!$A$3:$A$202,0)),"미등록품번"))</f>
        <v/>
      </c>
      <c r="F680" s="12" t="str">
        <f aca="false">IF($D680="","",IFERROR(INDEX(품목마스터!$D$3:$D$202,MATCH($D680,품목마스터!$A$3:$A$202,0)),""))</f>
        <v/>
      </c>
      <c r="G680" s="9"/>
      <c r="H680" s="9"/>
      <c r="I680" s="13" t="str">
        <f aca="false">IF(OR($G680="",$H680=""),"",ROUND($G680*$H680,0))</f>
        <v/>
      </c>
      <c r="J680" s="7"/>
    </row>
    <row r="681" customFormat="false" ht="15" hidden="false" customHeight="true" outlineLevel="0" collapsed="false">
      <c r="A681" s="11"/>
      <c r="B681" s="7"/>
      <c r="C681" s="12" t="str">
        <f aca="false">IF($B681="","",IFERROR(INDEX(거래처마스터!$B$3:$B$102,MATCH($B681,거래처마스터!$A$3:$A$102,0)),"미등록"))</f>
        <v/>
      </c>
      <c r="D681" s="7"/>
      <c r="E681" s="12" t="str">
        <f aca="false">IF($D681="","",IFERROR(INDEX(품목마스터!$B$3:$B$202,MATCH($D681,품목마스터!$A$3:$A$202,0)),"미등록품번"))</f>
        <v/>
      </c>
      <c r="F681" s="12" t="str">
        <f aca="false">IF($D681="","",IFERROR(INDEX(품목마스터!$D$3:$D$202,MATCH($D681,품목마스터!$A$3:$A$202,0)),""))</f>
        <v/>
      </c>
      <c r="G681" s="9"/>
      <c r="H681" s="9"/>
      <c r="I681" s="13" t="str">
        <f aca="false">IF(OR($G681="",$H681=""),"",ROUND($G681*$H681,0))</f>
        <v/>
      </c>
      <c r="J681" s="7"/>
    </row>
    <row r="682" customFormat="false" ht="15" hidden="false" customHeight="true" outlineLevel="0" collapsed="false">
      <c r="A682" s="11"/>
      <c r="B682" s="7"/>
      <c r="C682" s="12" t="str">
        <f aca="false">IF($B682="","",IFERROR(INDEX(거래처마스터!$B$3:$B$102,MATCH($B682,거래처마스터!$A$3:$A$102,0)),"미등록"))</f>
        <v/>
      </c>
      <c r="D682" s="7"/>
      <c r="E682" s="12" t="str">
        <f aca="false">IF($D682="","",IFERROR(INDEX(품목마스터!$B$3:$B$202,MATCH($D682,품목마스터!$A$3:$A$202,0)),"미등록품번"))</f>
        <v/>
      </c>
      <c r="F682" s="12" t="str">
        <f aca="false">IF($D682="","",IFERROR(INDEX(품목마스터!$D$3:$D$202,MATCH($D682,품목마스터!$A$3:$A$202,0)),""))</f>
        <v/>
      </c>
      <c r="G682" s="9"/>
      <c r="H682" s="9"/>
      <c r="I682" s="13" t="str">
        <f aca="false">IF(OR($G682="",$H682=""),"",ROUND($G682*$H682,0))</f>
        <v/>
      </c>
      <c r="J682" s="7"/>
    </row>
    <row r="683" customFormat="false" ht="15" hidden="false" customHeight="true" outlineLevel="0" collapsed="false">
      <c r="A683" s="11"/>
      <c r="B683" s="7"/>
      <c r="C683" s="12" t="str">
        <f aca="false">IF($B683="","",IFERROR(INDEX(거래처마스터!$B$3:$B$102,MATCH($B683,거래처마스터!$A$3:$A$102,0)),"미등록"))</f>
        <v/>
      </c>
      <c r="D683" s="7"/>
      <c r="E683" s="12" t="str">
        <f aca="false">IF($D683="","",IFERROR(INDEX(품목마스터!$B$3:$B$202,MATCH($D683,품목마스터!$A$3:$A$202,0)),"미등록품번"))</f>
        <v/>
      </c>
      <c r="F683" s="12" t="str">
        <f aca="false">IF($D683="","",IFERROR(INDEX(품목마스터!$D$3:$D$202,MATCH($D683,품목마스터!$A$3:$A$202,0)),""))</f>
        <v/>
      </c>
      <c r="G683" s="9"/>
      <c r="H683" s="9"/>
      <c r="I683" s="13" t="str">
        <f aca="false">IF(OR($G683="",$H683=""),"",ROUND($G683*$H683,0))</f>
        <v/>
      </c>
      <c r="J683" s="7"/>
    </row>
    <row r="684" customFormat="false" ht="15" hidden="false" customHeight="true" outlineLevel="0" collapsed="false">
      <c r="A684" s="11"/>
      <c r="B684" s="7"/>
      <c r="C684" s="12" t="str">
        <f aca="false">IF($B684="","",IFERROR(INDEX(거래처마스터!$B$3:$B$102,MATCH($B684,거래처마스터!$A$3:$A$102,0)),"미등록"))</f>
        <v/>
      </c>
      <c r="D684" s="7"/>
      <c r="E684" s="12" t="str">
        <f aca="false">IF($D684="","",IFERROR(INDEX(품목마스터!$B$3:$B$202,MATCH($D684,품목마스터!$A$3:$A$202,0)),"미등록품번"))</f>
        <v/>
      </c>
      <c r="F684" s="12" t="str">
        <f aca="false">IF($D684="","",IFERROR(INDEX(품목마스터!$D$3:$D$202,MATCH($D684,품목마스터!$A$3:$A$202,0)),""))</f>
        <v/>
      </c>
      <c r="G684" s="9"/>
      <c r="H684" s="9"/>
      <c r="I684" s="13" t="str">
        <f aca="false">IF(OR($G684="",$H684=""),"",ROUND($G684*$H684,0))</f>
        <v/>
      </c>
      <c r="J684" s="7"/>
    </row>
    <row r="685" customFormat="false" ht="15" hidden="false" customHeight="true" outlineLevel="0" collapsed="false">
      <c r="A685" s="11"/>
      <c r="B685" s="7"/>
      <c r="C685" s="12" t="str">
        <f aca="false">IF($B685="","",IFERROR(INDEX(거래처마스터!$B$3:$B$102,MATCH($B685,거래처마스터!$A$3:$A$102,0)),"미등록"))</f>
        <v/>
      </c>
      <c r="D685" s="7"/>
      <c r="E685" s="12" t="str">
        <f aca="false">IF($D685="","",IFERROR(INDEX(품목마스터!$B$3:$B$202,MATCH($D685,품목마스터!$A$3:$A$202,0)),"미등록품번"))</f>
        <v/>
      </c>
      <c r="F685" s="12" t="str">
        <f aca="false">IF($D685="","",IFERROR(INDEX(품목마스터!$D$3:$D$202,MATCH($D685,품목마스터!$A$3:$A$202,0)),""))</f>
        <v/>
      </c>
      <c r="G685" s="9"/>
      <c r="H685" s="9"/>
      <c r="I685" s="13" t="str">
        <f aca="false">IF(OR($G685="",$H685=""),"",ROUND($G685*$H685,0))</f>
        <v/>
      </c>
      <c r="J685" s="7"/>
    </row>
    <row r="686" customFormat="false" ht="15" hidden="false" customHeight="true" outlineLevel="0" collapsed="false">
      <c r="A686" s="11"/>
      <c r="B686" s="7"/>
      <c r="C686" s="12" t="str">
        <f aca="false">IF($B686="","",IFERROR(INDEX(거래처마스터!$B$3:$B$102,MATCH($B686,거래처마스터!$A$3:$A$102,0)),"미등록"))</f>
        <v/>
      </c>
      <c r="D686" s="7"/>
      <c r="E686" s="12" t="str">
        <f aca="false">IF($D686="","",IFERROR(INDEX(품목마스터!$B$3:$B$202,MATCH($D686,품목마스터!$A$3:$A$202,0)),"미등록품번"))</f>
        <v/>
      </c>
      <c r="F686" s="12" t="str">
        <f aca="false">IF($D686="","",IFERROR(INDEX(품목마스터!$D$3:$D$202,MATCH($D686,품목마스터!$A$3:$A$202,0)),""))</f>
        <v/>
      </c>
      <c r="G686" s="9"/>
      <c r="H686" s="9"/>
      <c r="I686" s="13" t="str">
        <f aca="false">IF(OR($G686="",$H686=""),"",ROUND($G686*$H686,0))</f>
        <v/>
      </c>
      <c r="J686" s="7"/>
    </row>
    <row r="687" customFormat="false" ht="15" hidden="false" customHeight="true" outlineLevel="0" collapsed="false">
      <c r="A687" s="11"/>
      <c r="B687" s="7"/>
      <c r="C687" s="12" t="str">
        <f aca="false">IF($B687="","",IFERROR(INDEX(거래처마스터!$B$3:$B$102,MATCH($B687,거래처마스터!$A$3:$A$102,0)),"미등록"))</f>
        <v/>
      </c>
      <c r="D687" s="7"/>
      <c r="E687" s="12" t="str">
        <f aca="false">IF($D687="","",IFERROR(INDEX(품목마스터!$B$3:$B$202,MATCH($D687,품목마스터!$A$3:$A$202,0)),"미등록품번"))</f>
        <v/>
      </c>
      <c r="F687" s="12" t="str">
        <f aca="false">IF($D687="","",IFERROR(INDEX(품목마스터!$D$3:$D$202,MATCH($D687,품목마스터!$A$3:$A$202,0)),""))</f>
        <v/>
      </c>
      <c r="G687" s="9"/>
      <c r="H687" s="9"/>
      <c r="I687" s="13" t="str">
        <f aca="false">IF(OR($G687="",$H687=""),"",ROUND($G687*$H687,0))</f>
        <v/>
      </c>
      <c r="J687" s="7"/>
    </row>
    <row r="688" customFormat="false" ht="15" hidden="false" customHeight="true" outlineLevel="0" collapsed="false">
      <c r="A688" s="11"/>
      <c r="B688" s="7"/>
      <c r="C688" s="12" t="str">
        <f aca="false">IF($B688="","",IFERROR(INDEX(거래처마스터!$B$3:$B$102,MATCH($B688,거래처마스터!$A$3:$A$102,0)),"미등록"))</f>
        <v/>
      </c>
      <c r="D688" s="7"/>
      <c r="E688" s="12" t="str">
        <f aca="false">IF($D688="","",IFERROR(INDEX(품목마스터!$B$3:$B$202,MATCH($D688,품목마스터!$A$3:$A$202,0)),"미등록품번"))</f>
        <v/>
      </c>
      <c r="F688" s="12" t="str">
        <f aca="false">IF($D688="","",IFERROR(INDEX(품목마스터!$D$3:$D$202,MATCH($D688,품목마스터!$A$3:$A$202,0)),""))</f>
        <v/>
      </c>
      <c r="G688" s="9"/>
      <c r="H688" s="9"/>
      <c r="I688" s="13" t="str">
        <f aca="false">IF(OR($G688="",$H688=""),"",ROUND($G688*$H688,0))</f>
        <v/>
      </c>
      <c r="J688" s="7"/>
    </row>
    <row r="689" customFormat="false" ht="15" hidden="false" customHeight="true" outlineLevel="0" collapsed="false">
      <c r="A689" s="11"/>
      <c r="B689" s="7"/>
      <c r="C689" s="12" t="str">
        <f aca="false">IF($B689="","",IFERROR(INDEX(거래처마스터!$B$3:$B$102,MATCH($B689,거래처마스터!$A$3:$A$102,0)),"미등록"))</f>
        <v/>
      </c>
      <c r="D689" s="7"/>
      <c r="E689" s="12" t="str">
        <f aca="false">IF($D689="","",IFERROR(INDEX(품목마스터!$B$3:$B$202,MATCH($D689,품목마스터!$A$3:$A$202,0)),"미등록품번"))</f>
        <v/>
      </c>
      <c r="F689" s="12" t="str">
        <f aca="false">IF($D689="","",IFERROR(INDEX(품목마스터!$D$3:$D$202,MATCH($D689,품목마스터!$A$3:$A$202,0)),""))</f>
        <v/>
      </c>
      <c r="G689" s="9"/>
      <c r="H689" s="9"/>
      <c r="I689" s="13" t="str">
        <f aca="false">IF(OR($G689="",$H689=""),"",ROUND($G689*$H689,0))</f>
        <v/>
      </c>
      <c r="J689" s="7"/>
    </row>
    <row r="690" customFormat="false" ht="15" hidden="false" customHeight="true" outlineLevel="0" collapsed="false">
      <c r="A690" s="11"/>
      <c r="B690" s="7"/>
      <c r="C690" s="12" t="str">
        <f aca="false">IF($B690="","",IFERROR(INDEX(거래처마스터!$B$3:$B$102,MATCH($B690,거래처마스터!$A$3:$A$102,0)),"미등록"))</f>
        <v/>
      </c>
      <c r="D690" s="7"/>
      <c r="E690" s="12" t="str">
        <f aca="false">IF($D690="","",IFERROR(INDEX(품목마스터!$B$3:$B$202,MATCH($D690,품목마스터!$A$3:$A$202,0)),"미등록품번"))</f>
        <v/>
      </c>
      <c r="F690" s="12" t="str">
        <f aca="false">IF($D690="","",IFERROR(INDEX(품목마스터!$D$3:$D$202,MATCH($D690,품목마스터!$A$3:$A$202,0)),""))</f>
        <v/>
      </c>
      <c r="G690" s="9"/>
      <c r="H690" s="9"/>
      <c r="I690" s="13" t="str">
        <f aca="false">IF(OR($G690="",$H690=""),"",ROUND($G690*$H690,0))</f>
        <v/>
      </c>
      <c r="J690" s="7"/>
    </row>
    <row r="691" customFormat="false" ht="15" hidden="false" customHeight="true" outlineLevel="0" collapsed="false">
      <c r="A691" s="11"/>
      <c r="B691" s="7"/>
      <c r="C691" s="12" t="str">
        <f aca="false">IF($B691="","",IFERROR(INDEX(거래처마스터!$B$3:$B$102,MATCH($B691,거래처마스터!$A$3:$A$102,0)),"미등록"))</f>
        <v/>
      </c>
      <c r="D691" s="7"/>
      <c r="E691" s="12" t="str">
        <f aca="false">IF($D691="","",IFERROR(INDEX(품목마스터!$B$3:$B$202,MATCH($D691,품목마스터!$A$3:$A$202,0)),"미등록품번"))</f>
        <v/>
      </c>
      <c r="F691" s="12" t="str">
        <f aca="false">IF($D691="","",IFERROR(INDEX(품목마스터!$D$3:$D$202,MATCH($D691,품목마스터!$A$3:$A$202,0)),""))</f>
        <v/>
      </c>
      <c r="G691" s="9"/>
      <c r="H691" s="9"/>
      <c r="I691" s="13" t="str">
        <f aca="false">IF(OR($G691="",$H691=""),"",ROUND($G691*$H691,0))</f>
        <v/>
      </c>
      <c r="J691" s="7"/>
    </row>
    <row r="692" customFormat="false" ht="15" hidden="false" customHeight="true" outlineLevel="0" collapsed="false">
      <c r="A692" s="11"/>
      <c r="B692" s="7"/>
      <c r="C692" s="12" t="str">
        <f aca="false">IF($B692="","",IFERROR(INDEX(거래처마스터!$B$3:$B$102,MATCH($B692,거래처마스터!$A$3:$A$102,0)),"미등록"))</f>
        <v/>
      </c>
      <c r="D692" s="7"/>
      <c r="E692" s="12" t="str">
        <f aca="false">IF($D692="","",IFERROR(INDEX(품목마스터!$B$3:$B$202,MATCH($D692,품목마스터!$A$3:$A$202,0)),"미등록품번"))</f>
        <v/>
      </c>
      <c r="F692" s="12" t="str">
        <f aca="false">IF($D692="","",IFERROR(INDEX(품목마스터!$D$3:$D$202,MATCH($D692,품목마스터!$A$3:$A$202,0)),""))</f>
        <v/>
      </c>
      <c r="G692" s="9"/>
      <c r="H692" s="9"/>
      <c r="I692" s="13" t="str">
        <f aca="false">IF(OR($G692="",$H692=""),"",ROUND($G692*$H692,0))</f>
        <v/>
      </c>
      <c r="J692" s="7"/>
    </row>
    <row r="693" customFormat="false" ht="15" hidden="false" customHeight="true" outlineLevel="0" collapsed="false">
      <c r="A693" s="11"/>
      <c r="B693" s="7"/>
      <c r="C693" s="12" t="str">
        <f aca="false">IF($B693="","",IFERROR(INDEX(거래처마스터!$B$3:$B$102,MATCH($B693,거래처마스터!$A$3:$A$102,0)),"미등록"))</f>
        <v/>
      </c>
      <c r="D693" s="7"/>
      <c r="E693" s="12" t="str">
        <f aca="false">IF($D693="","",IFERROR(INDEX(품목마스터!$B$3:$B$202,MATCH($D693,품목마스터!$A$3:$A$202,0)),"미등록품번"))</f>
        <v/>
      </c>
      <c r="F693" s="12" t="str">
        <f aca="false">IF($D693="","",IFERROR(INDEX(품목마스터!$D$3:$D$202,MATCH($D693,품목마스터!$A$3:$A$202,0)),""))</f>
        <v/>
      </c>
      <c r="G693" s="9"/>
      <c r="H693" s="9"/>
      <c r="I693" s="13" t="str">
        <f aca="false">IF(OR($G693="",$H693=""),"",ROUND($G693*$H693,0))</f>
        <v/>
      </c>
      <c r="J693" s="7"/>
    </row>
    <row r="694" customFormat="false" ht="15" hidden="false" customHeight="true" outlineLevel="0" collapsed="false">
      <c r="A694" s="11"/>
      <c r="B694" s="7"/>
      <c r="C694" s="12" t="str">
        <f aca="false">IF($B694="","",IFERROR(INDEX(거래처마스터!$B$3:$B$102,MATCH($B694,거래처마스터!$A$3:$A$102,0)),"미등록"))</f>
        <v/>
      </c>
      <c r="D694" s="7"/>
      <c r="E694" s="12" t="str">
        <f aca="false">IF($D694="","",IFERROR(INDEX(품목마스터!$B$3:$B$202,MATCH($D694,품목마스터!$A$3:$A$202,0)),"미등록품번"))</f>
        <v/>
      </c>
      <c r="F694" s="12" t="str">
        <f aca="false">IF($D694="","",IFERROR(INDEX(품목마스터!$D$3:$D$202,MATCH($D694,품목마스터!$A$3:$A$202,0)),""))</f>
        <v/>
      </c>
      <c r="G694" s="9"/>
      <c r="H694" s="9"/>
      <c r="I694" s="13" t="str">
        <f aca="false">IF(OR($G694="",$H694=""),"",ROUND($G694*$H694,0))</f>
        <v/>
      </c>
      <c r="J694" s="7"/>
    </row>
    <row r="695" customFormat="false" ht="15" hidden="false" customHeight="true" outlineLevel="0" collapsed="false">
      <c r="A695" s="11"/>
      <c r="B695" s="7"/>
      <c r="C695" s="12" t="str">
        <f aca="false">IF($B695="","",IFERROR(INDEX(거래처마스터!$B$3:$B$102,MATCH($B695,거래처마스터!$A$3:$A$102,0)),"미등록"))</f>
        <v/>
      </c>
      <c r="D695" s="7"/>
      <c r="E695" s="12" t="str">
        <f aca="false">IF($D695="","",IFERROR(INDEX(품목마스터!$B$3:$B$202,MATCH($D695,품목마스터!$A$3:$A$202,0)),"미등록품번"))</f>
        <v/>
      </c>
      <c r="F695" s="12" t="str">
        <f aca="false">IF($D695="","",IFERROR(INDEX(품목마스터!$D$3:$D$202,MATCH($D695,품목마스터!$A$3:$A$202,0)),""))</f>
        <v/>
      </c>
      <c r="G695" s="9"/>
      <c r="H695" s="9"/>
      <c r="I695" s="13" t="str">
        <f aca="false">IF(OR($G695="",$H695=""),"",ROUND($G695*$H695,0))</f>
        <v/>
      </c>
      <c r="J695" s="7"/>
    </row>
    <row r="696" customFormat="false" ht="15" hidden="false" customHeight="true" outlineLevel="0" collapsed="false">
      <c r="A696" s="11"/>
      <c r="B696" s="7"/>
      <c r="C696" s="12" t="str">
        <f aca="false">IF($B696="","",IFERROR(INDEX(거래처마스터!$B$3:$B$102,MATCH($B696,거래처마스터!$A$3:$A$102,0)),"미등록"))</f>
        <v/>
      </c>
      <c r="D696" s="7"/>
      <c r="E696" s="12" t="str">
        <f aca="false">IF($D696="","",IFERROR(INDEX(품목마스터!$B$3:$B$202,MATCH($D696,품목마스터!$A$3:$A$202,0)),"미등록품번"))</f>
        <v/>
      </c>
      <c r="F696" s="12" t="str">
        <f aca="false">IF($D696="","",IFERROR(INDEX(품목마스터!$D$3:$D$202,MATCH($D696,품목마스터!$A$3:$A$202,0)),""))</f>
        <v/>
      </c>
      <c r="G696" s="9"/>
      <c r="H696" s="9"/>
      <c r="I696" s="13" t="str">
        <f aca="false">IF(OR($G696="",$H696=""),"",ROUND($G696*$H696,0))</f>
        <v/>
      </c>
      <c r="J696" s="7"/>
    </row>
    <row r="697" customFormat="false" ht="15" hidden="false" customHeight="true" outlineLevel="0" collapsed="false">
      <c r="A697" s="11"/>
      <c r="B697" s="7"/>
      <c r="C697" s="12" t="str">
        <f aca="false">IF($B697="","",IFERROR(INDEX(거래처마스터!$B$3:$B$102,MATCH($B697,거래처마스터!$A$3:$A$102,0)),"미등록"))</f>
        <v/>
      </c>
      <c r="D697" s="7"/>
      <c r="E697" s="12" t="str">
        <f aca="false">IF($D697="","",IFERROR(INDEX(품목마스터!$B$3:$B$202,MATCH($D697,품목마스터!$A$3:$A$202,0)),"미등록품번"))</f>
        <v/>
      </c>
      <c r="F697" s="12" t="str">
        <f aca="false">IF($D697="","",IFERROR(INDEX(품목마스터!$D$3:$D$202,MATCH($D697,품목마스터!$A$3:$A$202,0)),""))</f>
        <v/>
      </c>
      <c r="G697" s="9"/>
      <c r="H697" s="9"/>
      <c r="I697" s="13" t="str">
        <f aca="false">IF(OR($G697="",$H697=""),"",ROUND($G697*$H697,0))</f>
        <v/>
      </c>
      <c r="J697" s="7"/>
    </row>
    <row r="698" customFormat="false" ht="15" hidden="false" customHeight="true" outlineLevel="0" collapsed="false">
      <c r="A698" s="11"/>
      <c r="B698" s="7"/>
      <c r="C698" s="12" t="str">
        <f aca="false">IF($B698="","",IFERROR(INDEX(거래처마스터!$B$3:$B$102,MATCH($B698,거래처마스터!$A$3:$A$102,0)),"미등록"))</f>
        <v/>
      </c>
      <c r="D698" s="7"/>
      <c r="E698" s="12" t="str">
        <f aca="false">IF($D698="","",IFERROR(INDEX(품목마스터!$B$3:$B$202,MATCH($D698,품목마스터!$A$3:$A$202,0)),"미등록품번"))</f>
        <v/>
      </c>
      <c r="F698" s="12" t="str">
        <f aca="false">IF($D698="","",IFERROR(INDEX(품목마스터!$D$3:$D$202,MATCH($D698,품목마스터!$A$3:$A$202,0)),""))</f>
        <v/>
      </c>
      <c r="G698" s="9"/>
      <c r="H698" s="9"/>
      <c r="I698" s="13" t="str">
        <f aca="false">IF(OR($G698="",$H698=""),"",ROUND($G698*$H698,0))</f>
        <v/>
      </c>
      <c r="J698" s="7"/>
    </row>
    <row r="699" customFormat="false" ht="15" hidden="false" customHeight="true" outlineLevel="0" collapsed="false">
      <c r="A699" s="11"/>
      <c r="B699" s="7"/>
      <c r="C699" s="12" t="str">
        <f aca="false">IF($B699="","",IFERROR(INDEX(거래처마스터!$B$3:$B$102,MATCH($B699,거래처마스터!$A$3:$A$102,0)),"미등록"))</f>
        <v/>
      </c>
      <c r="D699" s="7"/>
      <c r="E699" s="12" t="str">
        <f aca="false">IF($D699="","",IFERROR(INDEX(품목마스터!$B$3:$B$202,MATCH($D699,품목마스터!$A$3:$A$202,0)),"미등록품번"))</f>
        <v/>
      </c>
      <c r="F699" s="12" t="str">
        <f aca="false">IF($D699="","",IFERROR(INDEX(품목마스터!$D$3:$D$202,MATCH($D699,품목마스터!$A$3:$A$202,0)),""))</f>
        <v/>
      </c>
      <c r="G699" s="9"/>
      <c r="H699" s="9"/>
      <c r="I699" s="13" t="str">
        <f aca="false">IF(OR($G699="",$H699=""),"",ROUND($G699*$H699,0))</f>
        <v/>
      </c>
      <c r="J699" s="7"/>
    </row>
    <row r="700" customFormat="false" ht="15" hidden="false" customHeight="true" outlineLevel="0" collapsed="false">
      <c r="A700" s="11"/>
      <c r="B700" s="7"/>
      <c r="C700" s="12" t="str">
        <f aca="false">IF($B700="","",IFERROR(INDEX(거래처마스터!$B$3:$B$102,MATCH($B700,거래처마스터!$A$3:$A$102,0)),"미등록"))</f>
        <v/>
      </c>
      <c r="D700" s="7"/>
      <c r="E700" s="12" t="str">
        <f aca="false">IF($D700="","",IFERROR(INDEX(품목마스터!$B$3:$B$202,MATCH($D700,품목마스터!$A$3:$A$202,0)),"미등록품번"))</f>
        <v/>
      </c>
      <c r="F700" s="12" t="str">
        <f aca="false">IF($D700="","",IFERROR(INDEX(품목마스터!$D$3:$D$202,MATCH($D700,품목마스터!$A$3:$A$202,0)),""))</f>
        <v/>
      </c>
      <c r="G700" s="9"/>
      <c r="H700" s="9"/>
      <c r="I700" s="13" t="str">
        <f aca="false">IF(OR($G700="",$H700=""),"",ROUND($G700*$H700,0))</f>
        <v/>
      </c>
      <c r="J700" s="7"/>
    </row>
    <row r="701" customFormat="false" ht="15" hidden="false" customHeight="true" outlineLevel="0" collapsed="false">
      <c r="A701" s="11"/>
      <c r="B701" s="7"/>
      <c r="C701" s="12" t="str">
        <f aca="false">IF($B701="","",IFERROR(INDEX(거래처마스터!$B$3:$B$102,MATCH($B701,거래처마스터!$A$3:$A$102,0)),"미등록"))</f>
        <v/>
      </c>
      <c r="D701" s="7"/>
      <c r="E701" s="12" t="str">
        <f aca="false">IF($D701="","",IFERROR(INDEX(품목마스터!$B$3:$B$202,MATCH($D701,품목마스터!$A$3:$A$202,0)),"미등록품번"))</f>
        <v/>
      </c>
      <c r="F701" s="12" t="str">
        <f aca="false">IF($D701="","",IFERROR(INDEX(품목마스터!$D$3:$D$202,MATCH($D701,품목마스터!$A$3:$A$202,0)),""))</f>
        <v/>
      </c>
      <c r="G701" s="9"/>
      <c r="H701" s="9"/>
      <c r="I701" s="13" t="str">
        <f aca="false">IF(OR($G701="",$H701=""),"",ROUND($G701*$H701,0))</f>
        <v/>
      </c>
      <c r="J701" s="7"/>
    </row>
    <row r="702" customFormat="false" ht="15" hidden="false" customHeight="true" outlineLevel="0" collapsed="false">
      <c r="A702" s="11"/>
      <c r="B702" s="7"/>
      <c r="C702" s="12" t="str">
        <f aca="false">IF($B702="","",IFERROR(INDEX(거래처마스터!$B$3:$B$102,MATCH($B702,거래처마스터!$A$3:$A$102,0)),"미등록"))</f>
        <v/>
      </c>
      <c r="D702" s="7"/>
      <c r="E702" s="12" t="str">
        <f aca="false">IF($D702="","",IFERROR(INDEX(품목마스터!$B$3:$B$202,MATCH($D702,품목마스터!$A$3:$A$202,0)),"미등록품번"))</f>
        <v/>
      </c>
      <c r="F702" s="12" t="str">
        <f aca="false">IF($D702="","",IFERROR(INDEX(품목마스터!$D$3:$D$202,MATCH($D702,품목마스터!$A$3:$A$202,0)),""))</f>
        <v/>
      </c>
      <c r="G702" s="9"/>
      <c r="H702" s="9"/>
      <c r="I702" s="13" t="str">
        <f aca="false">IF(OR($G702="",$H702=""),"",ROUND($G702*$H702,0))</f>
        <v/>
      </c>
      <c r="J702" s="7"/>
    </row>
    <row r="703" customFormat="false" ht="15" hidden="false" customHeight="true" outlineLevel="0" collapsed="false">
      <c r="A703" s="11"/>
      <c r="B703" s="7"/>
      <c r="C703" s="12" t="str">
        <f aca="false">IF($B703="","",IFERROR(INDEX(거래처마스터!$B$3:$B$102,MATCH($B703,거래처마스터!$A$3:$A$102,0)),"미등록"))</f>
        <v/>
      </c>
      <c r="D703" s="7"/>
      <c r="E703" s="12" t="str">
        <f aca="false">IF($D703="","",IFERROR(INDEX(품목마스터!$B$3:$B$202,MATCH($D703,품목마스터!$A$3:$A$202,0)),"미등록품번"))</f>
        <v/>
      </c>
      <c r="F703" s="12" t="str">
        <f aca="false">IF($D703="","",IFERROR(INDEX(품목마스터!$D$3:$D$202,MATCH($D703,품목마스터!$A$3:$A$202,0)),""))</f>
        <v/>
      </c>
      <c r="G703" s="9"/>
      <c r="H703" s="9"/>
      <c r="I703" s="13" t="str">
        <f aca="false">IF(OR($G703="",$H703=""),"",ROUND($G703*$H703,0))</f>
        <v/>
      </c>
      <c r="J703" s="7"/>
    </row>
    <row r="704" customFormat="false" ht="15" hidden="false" customHeight="true" outlineLevel="0" collapsed="false">
      <c r="A704" s="11"/>
      <c r="B704" s="7"/>
      <c r="C704" s="12" t="str">
        <f aca="false">IF($B704="","",IFERROR(INDEX(거래처마스터!$B$3:$B$102,MATCH($B704,거래처마스터!$A$3:$A$102,0)),"미등록"))</f>
        <v/>
      </c>
      <c r="D704" s="7"/>
      <c r="E704" s="12" t="str">
        <f aca="false">IF($D704="","",IFERROR(INDEX(품목마스터!$B$3:$B$202,MATCH($D704,품목마스터!$A$3:$A$202,0)),"미등록품번"))</f>
        <v/>
      </c>
      <c r="F704" s="12" t="str">
        <f aca="false">IF($D704="","",IFERROR(INDEX(품목마스터!$D$3:$D$202,MATCH($D704,품목마스터!$A$3:$A$202,0)),""))</f>
        <v/>
      </c>
      <c r="G704" s="9"/>
      <c r="H704" s="9"/>
      <c r="I704" s="13" t="str">
        <f aca="false">IF(OR($G704="",$H704=""),"",ROUND($G704*$H704,0))</f>
        <v/>
      </c>
      <c r="J704" s="7"/>
    </row>
    <row r="705" customFormat="false" ht="15" hidden="false" customHeight="true" outlineLevel="0" collapsed="false">
      <c r="A705" s="11"/>
      <c r="B705" s="7"/>
      <c r="C705" s="12" t="str">
        <f aca="false">IF($B705="","",IFERROR(INDEX(거래처마스터!$B$3:$B$102,MATCH($B705,거래처마스터!$A$3:$A$102,0)),"미등록"))</f>
        <v/>
      </c>
      <c r="D705" s="7"/>
      <c r="E705" s="12" t="str">
        <f aca="false">IF($D705="","",IFERROR(INDEX(품목마스터!$B$3:$B$202,MATCH($D705,품목마스터!$A$3:$A$202,0)),"미등록품번"))</f>
        <v/>
      </c>
      <c r="F705" s="12" t="str">
        <f aca="false">IF($D705="","",IFERROR(INDEX(품목마스터!$D$3:$D$202,MATCH($D705,품목마스터!$A$3:$A$202,0)),""))</f>
        <v/>
      </c>
      <c r="G705" s="9"/>
      <c r="H705" s="9"/>
      <c r="I705" s="13" t="str">
        <f aca="false">IF(OR($G705="",$H705=""),"",ROUND($G705*$H705,0))</f>
        <v/>
      </c>
      <c r="J705" s="7"/>
    </row>
    <row r="706" customFormat="false" ht="15" hidden="false" customHeight="true" outlineLevel="0" collapsed="false">
      <c r="A706" s="11"/>
      <c r="B706" s="7"/>
      <c r="C706" s="12" t="str">
        <f aca="false">IF($B706="","",IFERROR(INDEX(거래처마스터!$B$3:$B$102,MATCH($B706,거래처마스터!$A$3:$A$102,0)),"미등록"))</f>
        <v/>
      </c>
      <c r="D706" s="7"/>
      <c r="E706" s="12" t="str">
        <f aca="false">IF($D706="","",IFERROR(INDEX(품목마스터!$B$3:$B$202,MATCH($D706,품목마스터!$A$3:$A$202,0)),"미등록품번"))</f>
        <v/>
      </c>
      <c r="F706" s="12" t="str">
        <f aca="false">IF($D706="","",IFERROR(INDEX(품목마스터!$D$3:$D$202,MATCH($D706,품목마스터!$A$3:$A$202,0)),""))</f>
        <v/>
      </c>
      <c r="G706" s="9"/>
      <c r="H706" s="9"/>
      <c r="I706" s="13" t="str">
        <f aca="false">IF(OR($G706="",$H706=""),"",ROUND($G706*$H706,0))</f>
        <v/>
      </c>
      <c r="J706" s="7"/>
    </row>
    <row r="707" customFormat="false" ht="15" hidden="false" customHeight="true" outlineLevel="0" collapsed="false">
      <c r="A707" s="11"/>
      <c r="B707" s="7"/>
      <c r="C707" s="12" t="str">
        <f aca="false">IF($B707="","",IFERROR(INDEX(거래처마스터!$B$3:$B$102,MATCH($B707,거래처마스터!$A$3:$A$102,0)),"미등록"))</f>
        <v/>
      </c>
      <c r="D707" s="7"/>
      <c r="E707" s="12" t="str">
        <f aca="false">IF($D707="","",IFERROR(INDEX(품목마스터!$B$3:$B$202,MATCH($D707,품목마스터!$A$3:$A$202,0)),"미등록품번"))</f>
        <v/>
      </c>
      <c r="F707" s="12" t="str">
        <f aca="false">IF($D707="","",IFERROR(INDEX(품목마스터!$D$3:$D$202,MATCH($D707,품목마스터!$A$3:$A$202,0)),""))</f>
        <v/>
      </c>
      <c r="G707" s="9"/>
      <c r="H707" s="9"/>
      <c r="I707" s="13" t="str">
        <f aca="false">IF(OR($G707="",$H707=""),"",ROUND($G707*$H707,0))</f>
        <v/>
      </c>
      <c r="J707" s="7"/>
    </row>
    <row r="708" customFormat="false" ht="15" hidden="false" customHeight="true" outlineLevel="0" collapsed="false">
      <c r="A708" s="11"/>
      <c r="B708" s="7"/>
      <c r="C708" s="12" t="str">
        <f aca="false">IF($B708="","",IFERROR(INDEX(거래처마스터!$B$3:$B$102,MATCH($B708,거래처마스터!$A$3:$A$102,0)),"미등록"))</f>
        <v/>
      </c>
      <c r="D708" s="7"/>
      <c r="E708" s="12" t="str">
        <f aca="false">IF($D708="","",IFERROR(INDEX(품목마스터!$B$3:$B$202,MATCH($D708,품목마스터!$A$3:$A$202,0)),"미등록품번"))</f>
        <v/>
      </c>
      <c r="F708" s="12" t="str">
        <f aca="false">IF($D708="","",IFERROR(INDEX(품목마스터!$D$3:$D$202,MATCH($D708,품목마스터!$A$3:$A$202,0)),""))</f>
        <v/>
      </c>
      <c r="G708" s="9"/>
      <c r="H708" s="9"/>
      <c r="I708" s="13" t="str">
        <f aca="false">IF(OR($G708="",$H708=""),"",ROUND($G708*$H708,0))</f>
        <v/>
      </c>
      <c r="J708" s="7"/>
    </row>
    <row r="709" customFormat="false" ht="15" hidden="false" customHeight="true" outlineLevel="0" collapsed="false">
      <c r="A709" s="11"/>
      <c r="B709" s="7"/>
      <c r="C709" s="12" t="str">
        <f aca="false">IF($B709="","",IFERROR(INDEX(거래처마스터!$B$3:$B$102,MATCH($B709,거래처마스터!$A$3:$A$102,0)),"미등록"))</f>
        <v/>
      </c>
      <c r="D709" s="7"/>
      <c r="E709" s="12" t="str">
        <f aca="false">IF($D709="","",IFERROR(INDEX(품목마스터!$B$3:$B$202,MATCH($D709,품목마스터!$A$3:$A$202,0)),"미등록품번"))</f>
        <v/>
      </c>
      <c r="F709" s="12" t="str">
        <f aca="false">IF($D709="","",IFERROR(INDEX(품목마스터!$D$3:$D$202,MATCH($D709,품목마스터!$A$3:$A$202,0)),""))</f>
        <v/>
      </c>
      <c r="G709" s="9"/>
      <c r="H709" s="9"/>
      <c r="I709" s="13" t="str">
        <f aca="false">IF(OR($G709="",$H709=""),"",ROUND($G709*$H709,0))</f>
        <v/>
      </c>
      <c r="J709" s="7"/>
    </row>
    <row r="710" customFormat="false" ht="15" hidden="false" customHeight="true" outlineLevel="0" collapsed="false">
      <c r="A710" s="11"/>
      <c r="B710" s="7"/>
      <c r="C710" s="12" t="str">
        <f aca="false">IF($B710="","",IFERROR(INDEX(거래처마스터!$B$3:$B$102,MATCH($B710,거래처마스터!$A$3:$A$102,0)),"미등록"))</f>
        <v/>
      </c>
      <c r="D710" s="7"/>
      <c r="E710" s="12" t="str">
        <f aca="false">IF($D710="","",IFERROR(INDEX(품목마스터!$B$3:$B$202,MATCH($D710,품목마스터!$A$3:$A$202,0)),"미등록품번"))</f>
        <v/>
      </c>
      <c r="F710" s="12" t="str">
        <f aca="false">IF($D710="","",IFERROR(INDEX(품목마스터!$D$3:$D$202,MATCH($D710,품목마스터!$A$3:$A$202,0)),""))</f>
        <v/>
      </c>
      <c r="G710" s="9"/>
      <c r="H710" s="9"/>
      <c r="I710" s="13" t="str">
        <f aca="false">IF(OR($G710="",$H710=""),"",ROUND($G710*$H710,0))</f>
        <v/>
      </c>
      <c r="J710" s="7"/>
    </row>
    <row r="711" customFormat="false" ht="15" hidden="false" customHeight="true" outlineLevel="0" collapsed="false">
      <c r="A711" s="11"/>
      <c r="B711" s="7"/>
      <c r="C711" s="12" t="str">
        <f aca="false">IF($B711="","",IFERROR(INDEX(거래처마스터!$B$3:$B$102,MATCH($B711,거래처마스터!$A$3:$A$102,0)),"미등록"))</f>
        <v/>
      </c>
      <c r="D711" s="7"/>
      <c r="E711" s="12" t="str">
        <f aca="false">IF($D711="","",IFERROR(INDEX(품목마스터!$B$3:$B$202,MATCH($D711,품목마스터!$A$3:$A$202,0)),"미등록품번"))</f>
        <v/>
      </c>
      <c r="F711" s="12" t="str">
        <f aca="false">IF($D711="","",IFERROR(INDEX(품목마스터!$D$3:$D$202,MATCH($D711,품목마스터!$A$3:$A$202,0)),""))</f>
        <v/>
      </c>
      <c r="G711" s="9"/>
      <c r="H711" s="9"/>
      <c r="I711" s="13" t="str">
        <f aca="false">IF(OR($G711="",$H711=""),"",ROUND($G711*$H711,0))</f>
        <v/>
      </c>
      <c r="J711" s="7"/>
    </row>
    <row r="712" customFormat="false" ht="15" hidden="false" customHeight="true" outlineLevel="0" collapsed="false">
      <c r="A712" s="11"/>
      <c r="B712" s="7"/>
      <c r="C712" s="12" t="str">
        <f aca="false">IF($B712="","",IFERROR(INDEX(거래처마스터!$B$3:$B$102,MATCH($B712,거래처마스터!$A$3:$A$102,0)),"미등록"))</f>
        <v/>
      </c>
      <c r="D712" s="7"/>
      <c r="E712" s="12" t="str">
        <f aca="false">IF($D712="","",IFERROR(INDEX(품목마스터!$B$3:$B$202,MATCH($D712,품목마스터!$A$3:$A$202,0)),"미등록품번"))</f>
        <v/>
      </c>
      <c r="F712" s="12" t="str">
        <f aca="false">IF($D712="","",IFERROR(INDEX(품목마스터!$D$3:$D$202,MATCH($D712,품목마스터!$A$3:$A$202,0)),""))</f>
        <v/>
      </c>
      <c r="G712" s="9"/>
      <c r="H712" s="9"/>
      <c r="I712" s="13" t="str">
        <f aca="false">IF(OR($G712="",$H712=""),"",ROUND($G712*$H712,0))</f>
        <v/>
      </c>
      <c r="J712" s="7"/>
    </row>
    <row r="713" customFormat="false" ht="15" hidden="false" customHeight="true" outlineLevel="0" collapsed="false">
      <c r="A713" s="11"/>
      <c r="B713" s="7"/>
      <c r="C713" s="12" t="str">
        <f aca="false">IF($B713="","",IFERROR(INDEX(거래처마스터!$B$3:$B$102,MATCH($B713,거래처마스터!$A$3:$A$102,0)),"미등록"))</f>
        <v/>
      </c>
      <c r="D713" s="7"/>
      <c r="E713" s="12" t="str">
        <f aca="false">IF($D713="","",IFERROR(INDEX(품목마스터!$B$3:$B$202,MATCH($D713,품목마스터!$A$3:$A$202,0)),"미등록품번"))</f>
        <v/>
      </c>
      <c r="F713" s="12" t="str">
        <f aca="false">IF($D713="","",IFERROR(INDEX(품목마스터!$D$3:$D$202,MATCH($D713,품목마스터!$A$3:$A$202,0)),""))</f>
        <v/>
      </c>
      <c r="G713" s="9"/>
      <c r="H713" s="9"/>
      <c r="I713" s="13" t="str">
        <f aca="false">IF(OR($G713="",$H713=""),"",ROUND($G713*$H713,0))</f>
        <v/>
      </c>
      <c r="J713" s="7"/>
    </row>
    <row r="714" customFormat="false" ht="15" hidden="false" customHeight="true" outlineLevel="0" collapsed="false">
      <c r="A714" s="11"/>
      <c r="B714" s="7"/>
      <c r="C714" s="12" t="str">
        <f aca="false">IF($B714="","",IFERROR(INDEX(거래처마스터!$B$3:$B$102,MATCH($B714,거래처마스터!$A$3:$A$102,0)),"미등록"))</f>
        <v/>
      </c>
      <c r="D714" s="7"/>
      <c r="E714" s="12" t="str">
        <f aca="false">IF($D714="","",IFERROR(INDEX(품목마스터!$B$3:$B$202,MATCH($D714,품목마스터!$A$3:$A$202,0)),"미등록품번"))</f>
        <v/>
      </c>
      <c r="F714" s="12" t="str">
        <f aca="false">IF($D714="","",IFERROR(INDEX(품목마스터!$D$3:$D$202,MATCH($D714,품목마스터!$A$3:$A$202,0)),""))</f>
        <v/>
      </c>
      <c r="G714" s="9"/>
      <c r="H714" s="9"/>
      <c r="I714" s="13" t="str">
        <f aca="false">IF(OR($G714="",$H714=""),"",ROUND($G714*$H714,0))</f>
        <v/>
      </c>
      <c r="J714" s="7"/>
    </row>
    <row r="715" customFormat="false" ht="15" hidden="false" customHeight="true" outlineLevel="0" collapsed="false">
      <c r="A715" s="11"/>
      <c r="B715" s="7"/>
      <c r="C715" s="12" t="str">
        <f aca="false">IF($B715="","",IFERROR(INDEX(거래처마스터!$B$3:$B$102,MATCH($B715,거래처마스터!$A$3:$A$102,0)),"미등록"))</f>
        <v/>
      </c>
      <c r="D715" s="7"/>
      <c r="E715" s="12" t="str">
        <f aca="false">IF($D715="","",IFERROR(INDEX(품목마스터!$B$3:$B$202,MATCH($D715,품목마스터!$A$3:$A$202,0)),"미등록품번"))</f>
        <v/>
      </c>
      <c r="F715" s="12" t="str">
        <f aca="false">IF($D715="","",IFERROR(INDEX(품목마스터!$D$3:$D$202,MATCH($D715,품목마스터!$A$3:$A$202,0)),""))</f>
        <v/>
      </c>
      <c r="G715" s="9"/>
      <c r="H715" s="9"/>
      <c r="I715" s="13" t="str">
        <f aca="false">IF(OR($G715="",$H715=""),"",ROUND($G715*$H715,0))</f>
        <v/>
      </c>
      <c r="J715" s="7"/>
    </row>
    <row r="716" customFormat="false" ht="15" hidden="false" customHeight="true" outlineLevel="0" collapsed="false">
      <c r="A716" s="11"/>
      <c r="B716" s="7"/>
      <c r="C716" s="12" t="str">
        <f aca="false">IF($B716="","",IFERROR(INDEX(거래처마스터!$B$3:$B$102,MATCH($B716,거래처마스터!$A$3:$A$102,0)),"미등록"))</f>
        <v/>
      </c>
      <c r="D716" s="7"/>
      <c r="E716" s="12" t="str">
        <f aca="false">IF($D716="","",IFERROR(INDEX(품목마스터!$B$3:$B$202,MATCH($D716,품목마스터!$A$3:$A$202,0)),"미등록품번"))</f>
        <v/>
      </c>
      <c r="F716" s="12" t="str">
        <f aca="false">IF($D716="","",IFERROR(INDEX(품목마스터!$D$3:$D$202,MATCH($D716,품목마스터!$A$3:$A$202,0)),""))</f>
        <v/>
      </c>
      <c r="G716" s="9"/>
      <c r="H716" s="9"/>
      <c r="I716" s="13" t="str">
        <f aca="false">IF(OR($G716="",$H716=""),"",ROUND($G716*$H716,0))</f>
        <v/>
      </c>
      <c r="J716" s="7"/>
    </row>
    <row r="717" customFormat="false" ht="15" hidden="false" customHeight="true" outlineLevel="0" collapsed="false">
      <c r="A717" s="11"/>
      <c r="B717" s="7"/>
      <c r="C717" s="12" t="str">
        <f aca="false">IF($B717="","",IFERROR(INDEX(거래처마스터!$B$3:$B$102,MATCH($B717,거래처마스터!$A$3:$A$102,0)),"미등록"))</f>
        <v/>
      </c>
      <c r="D717" s="7"/>
      <c r="E717" s="12" t="str">
        <f aca="false">IF($D717="","",IFERROR(INDEX(품목마스터!$B$3:$B$202,MATCH($D717,품목마스터!$A$3:$A$202,0)),"미등록품번"))</f>
        <v/>
      </c>
      <c r="F717" s="12" t="str">
        <f aca="false">IF($D717="","",IFERROR(INDEX(품목마스터!$D$3:$D$202,MATCH($D717,품목마스터!$A$3:$A$202,0)),""))</f>
        <v/>
      </c>
      <c r="G717" s="9"/>
      <c r="H717" s="9"/>
      <c r="I717" s="13" t="str">
        <f aca="false">IF(OR($G717="",$H717=""),"",ROUND($G717*$H717,0))</f>
        <v/>
      </c>
      <c r="J717" s="7"/>
    </row>
    <row r="718" customFormat="false" ht="15" hidden="false" customHeight="true" outlineLevel="0" collapsed="false">
      <c r="A718" s="11"/>
      <c r="B718" s="7"/>
      <c r="C718" s="12" t="str">
        <f aca="false">IF($B718="","",IFERROR(INDEX(거래처마스터!$B$3:$B$102,MATCH($B718,거래처마스터!$A$3:$A$102,0)),"미등록"))</f>
        <v/>
      </c>
      <c r="D718" s="7"/>
      <c r="E718" s="12" t="str">
        <f aca="false">IF($D718="","",IFERROR(INDEX(품목마스터!$B$3:$B$202,MATCH($D718,품목마스터!$A$3:$A$202,0)),"미등록품번"))</f>
        <v/>
      </c>
      <c r="F718" s="12" t="str">
        <f aca="false">IF($D718="","",IFERROR(INDEX(품목마스터!$D$3:$D$202,MATCH($D718,품목마스터!$A$3:$A$202,0)),""))</f>
        <v/>
      </c>
      <c r="G718" s="9"/>
      <c r="H718" s="9"/>
      <c r="I718" s="13" t="str">
        <f aca="false">IF(OR($G718="",$H718=""),"",ROUND($G718*$H718,0))</f>
        <v/>
      </c>
      <c r="J718" s="7"/>
    </row>
    <row r="719" customFormat="false" ht="15" hidden="false" customHeight="true" outlineLevel="0" collapsed="false">
      <c r="A719" s="11"/>
      <c r="B719" s="7"/>
      <c r="C719" s="12" t="str">
        <f aca="false">IF($B719="","",IFERROR(INDEX(거래처마스터!$B$3:$B$102,MATCH($B719,거래처마스터!$A$3:$A$102,0)),"미등록"))</f>
        <v/>
      </c>
      <c r="D719" s="7"/>
      <c r="E719" s="12" t="str">
        <f aca="false">IF($D719="","",IFERROR(INDEX(품목마스터!$B$3:$B$202,MATCH($D719,품목마스터!$A$3:$A$202,0)),"미등록품번"))</f>
        <v/>
      </c>
      <c r="F719" s="12" t="str">
        <f aca="false">IF($D719="","",IFERROR(INDEX(품목마스터!$D$3:$D$202,MATCH($D719,품목마스터!$A$3:$A$202,0)),""))</f>
        <v/>
      </c>
      <c r="G719" s="9"/>
      <c r="H719" s="9"/>
      <c r="I719" s="13" t="str">
        <f aca="false">IF(OR($G719="",$H719=""),"",ROUND($G719*$H719,0))</f>
        <v/>
      </c>
      <c r="J719" s="7"/>
    </row>
    <row r="720" customFormat="false" ht="15" hidden="false" customHeight="true" outlineLevel="0" collapsed="false">
      <c r="A720" s="11"/>
      <c r="B720" s="7"/>
      <c r="C720" s="12" t="str">
        <f aca="false">IF($B720="","",IFERROR(INDEX(거래처마스터!$B$3:$B$102,MATCH($B720,거래처마스터!$A$3:$A$102,0)),"미등록"))</f>
        <v/>
      </c>
      <c r="D720" s="7"/>
      <c r="E720" s="12" t="str">
        <f aca="false">IF($D720="","",IFERROR(INDEX(품목마스터!$B$3:$B$202,MATCH($D720,품목마스터!$A$3:$A$202,0)),"미등록품번"))</f>
        <v/>
      </c>
      <c r="F720" s="12" t="str">
        <f aca="false">IF($D720="","",IFERROR(INDEX(품목마스터!$D$3:$D$202,MATCH($D720,품목마스터!$A$3:$A$202,0)),""))</f>
        <v/>
      </c>
      <c r="G720" s="9"/>
      <c r="H720" s="9"/>
      <c r="I720" s="13" t="str">
        <f aca="false">IF(OR($G720="",$H720=""),"",ROUND($G720*$H720,0))</f>
        <v/>
      </c>
      <c r="J720" s="7"/>
    </row>
    <row r="721" customFormat="false" ht="15" hidden="false" customHeight="true" outlineLevel="0" collapsed="false">
      <c r="A721" s="11"/>
      <c r="B721" s="7"/>
      <c r="C721" s="12" t="str">
        <f aca="false">IF($B721="","",IFERROR(INDEX(거래처마스터!$B$3:$B$102,MATCH($B721,거래처마스터!$A$3:$A$102,0)),"미등록"))</f>
        <v/>
      </c>
      <c r="D721" s="7"/>
      <c r="E721" s="12" t="str">
        <f aca="false">IF($D721="","",IFERROR(INDEX(품목마스터!$B$3:$B$202,MATCH($D721,품목마스터!$A$3:$A$202,0)),"미등록품번"))</f>
        <v/>
      </c>
      <c r="F721" s="12" t="str">
        <f aca="false">IF($D721="","",IFERROR(INDEX(품목마스터!$D$3:$D$202,MATCH($D721,품목마스터!$A$3:$A$202,0)),""))</f>
        <v/>
      </c>
      <c r="G721" s="9"/>
      <c r="H721" s="9"/>
      <c r="I721" s="13" t="str">
        <f aca="false">IF(OR($G721="",$H721=""),"",ROUND($G721*$H721,0))</f>
        <v/>
      </c>
      <c r="J721" s="7"/>
    </row>
    <row r="722" customFormat="false" ht="15" hidden="false" customHeight="true" outlineLevel="0" collapsed="false">
      <c r="A722" s="11"/>
      <c r="B722" s="7"/>
      <c r="C722" s="12" t="str">
        <f aca="false">IF($B722="","",IFERROR(INDEX(거래처마스터!$B$3:$B$102,MATCH($B722,거래처마스터!$A$3:$A$102,0)),"미등록"))</f>
        <v/>
      </c>
      <c r="D722" s="7"/>
      <c r="E722" s="12" t="str">
        <f aca="false">IF($D722="","",IFERROR(INDEX(품목마스터!$B$3:$B$202,MATCH($D722,품목마스터!$A$3:$A$202,0)),"미등록품번"))</f>
        <v/>
      </c>
      <c r="F722" s="12" t="str">
        <f aca="false">IF($D722="","",IFERROR(INDEX(품목마스터!$D$3:$D$202,MATCH($D722,품목마스터!$A$3:$A$202,0)),""))</f>
        <v/>
      </c>
      <c r="G722" s="9"/>
      <c r="H722" s="9"/>
      <c r="I722" s="13" t="str">
        <f aca="false">IF(OR($G722="",$H722=""),"",ROUND($G722*$H722,0))</f>
        <v/>
      </c>
      <c r="J722" s="7"/>
    </row>
    <row r="723" customFormat="false" ht="15" hidden="false" customHeight="true" outlineLevel="0" collapsed="false">
      <c r="A723" s="11"/>
      <c r="B723" s="7"/>
      <c r="C723" s="12" t="str">
        <f aca="false">IF($B723="","",IFERROR(INDEX(거래처마스터!$B$3:$B$102,MATCH($B723,거래처마스터!$A$3:$A$102,0)),"미등록"))</f>
        <v/>
      </c>
      <c r="D723" s="7"/>
      <c r="E723" s="12" t="str">
        <f aca="false">IF($D723="","",IFERROR(INDEX(품목마스터!$B$3:$B$202,MATCH($D723,품목마스터!$A$3:$A$202,0)),"미등록품번"))</f>
        <v/>
      </c>
      <c r="F723" s="12" t="str">
        <f aca="false">IF($D723="","",IFERROR(INDEX(품목마스터!$D$3:$D$202,MATCH($D723,품목마스터!$A$3:$A$202,0)),""))</f>
        <v/>
      </c>
      <c r="G723" s="9"/>
      <c r="H723" s="9"/>
      <c r="I723" s="13" t="str">
        <f aca="false">IF(OR($G723="",$H723=""),"",ROUND($G723*$H723,0))</f>
        <v/>
      </c>
      <c r="J723" s="7"/>
    </row>
    <row r="724" customFormat="false" ht="15" hidden="false" customHeight="true" outlineLevel="0" collapsed="false">
      <c r="A724" s="11"/>
      <c r="B724" s="7"/>
      <c r="C724" s="12" t="str">
        <f aca="false">IF($B724="","",IFERROR(INDEX(거래처마스터!$B$3:$B$102,MATCH($B724,거래처마스터!$A$3:$A$102,0)),"미등록"))</f>
        <v/>
      </c>
      <c r="D724" s="7"/>
      <c r="E724" s="12" t="str">
        <f aca="false">IF($D724="","",IFERROR(INDEX(품목마스터!$B$3:$B$202,MATCH($D724,품목마스터!$A$3:$A$202,0)),"미등록품번"))</f>
        <v/>
      </c>
      <c r="F724" s="12" t="str">
        <f aca="false">IF($D724="","",IFERROR(INDEX(품목마스터!$D$3:$D$202,MATCH($D724,품목마스터!$A$3:$A$202,0)),""))</f>
        <v/>
      </c>
      <c r="G724" s="9"/>
      <c r="H724" s="9"/>
      <c r="I724" s="13" t="str">
        <f aca="false">IF(OR($G724="",$H724=""),"",ROUND($G724*$H724,0))</f>
        <v/>
      </c>
      <c r="J724" s="7"/>
    </row>
    <row r="725" customFormat="false" ht="15" hidden="false" customHeight="true" outlineLevel="0" collapsed="false">
      <c r="A725" s="11"/>
      <c r="B725" s="7"/>
      <c r="C725" s="12" t="str">
        <f aca="false">IF($B725="","",IFERROR(INDEX(거래처마스터!$B$3:$B$102,MATCH($B725,거래처마스터!$A$3:$A$102,0)),"미등록"))</f>
        <v/>
      </c>
      <c r="D725" s="7"/>
      <c r="E725" s="12" t="str">
        <f aca="false">IF($D725="","",IFERROR(INDEX(품목마스터!$B$3:$B$202,MATCH($D725,품목마스터!$A$3:$A$202,0)),"미등록품번"))</f>
        <v/>
      </c>
      <c r="F725" s="12" t="str">
        <f aca="false">IF($D725="","",IFERROR(INDEX(품목마스터!$D$3:$D$202,MATCH($D725,품목마스터!$A$3:$A$202,0)),""))</f>
        <v/>
      </c>
      <c r="G725" s="9"/>
      <c r="H725" s="9"/>
      <c r="I725" s="13" t="str">
        <f aca="false">IF(OR($G725="",$H725=""),"",ROUND($G725*$H725,0))</f>
        <v/>
      </c>
      <c r="J725" s="7"/>
    </row>
    <row r="726" customFormat="false" ht="15" hidden="false" customHeight="true" outlineLevel="0" collapsed="false">
      <c r="A726" s="11"/>
      <c r="B726" s="7"/>
      <c r="C726" s="12" t="str">
        <f aca="false">IF($B726="","",IFERROR(INDEX(거래처마스터!$B$3:$B$102,MATCH($B726,거래처마스터!$A$3:$A$102,0)),"미등록"))</f>
        <v/>
      </c>
      <c r="D726" s="7"/>
      <c r="E726" s="12" t="str">
        <f aca="false">IF($D726="","",IFERROR(INDEX(품목마스터!$B$3:$B$202,MATCH($D726,품목마스터!$A$3:$A$202,0)),"미등록품번"))</f>
        <v/>
      </c>
      <c r="F726" s="12" t="str">
        <f aca="false">IF($D726="","",IFERROR(INDEX(품목마스터!$D$3:$D$202,MATCH($D726,품목마스터!$A$3:$A$202,0)),""))</f>
        <v/>
      </c>
      <c r="G726" s="9"/>
      <c r="H726" s="9"/>
      <c r="I726" s="13" t="str">
        <f aca="false">IF(OR($G726="",$H726=""),"",ROUND($G726*$H726,0))</f>
        <v/>
      </c>
      <c r="J726" s="7"/>
    </row>
    <row r="727" customFormat="false" ht="15" hidden="false" customHeight="true" outlineLevel="0" collapsed="false">
      <c r="A727" s="11"/>
      <c r="B727" s="7"/>
      <c r="C727" s="12" t="str">
        <f aca="false">IF($B727="","",IFERROR(INDEX(거래처마스터!$B$3:$B$102,MATCH($B727,거래처마스터!$A$3:$A$102,0)),"미등록"))</f>
        <v/>
      </c>
      <c r="D727" s="7"/>
      <c r="E727" s="12" t="str">
        <f aca="false">IF($D727="","",IFERROR(INDEX(품목마스터!$B$3:$B$202,MATCH($D727,품목마스터!$A$3:$A$202,0)),"미등록품번"))</f>
        <v/>
      </c>
      <c r="F727" s="12" t="str">
        <f aca="false">IF($D727="","",IFERROR(INDEX(품목마스터!$D$3:$D$202,MATCH($D727,품목마스터!$A$3:$A$202,0)),""))</f>
        <v/>
      </c>
      <c r="G727" s="9"/>
      <c r="H727" s="9"/>
      <c r="I727" s="13" t="str">
        <f aca="false">IF(OR($G727="",$H727=""),"",ROUND($G727*$H727,0))</f>
        <v/>
      </c>
      <c r="J727" s="7"/>
    </row>
    <row r="728" customFormat="false" ht="15" hidden="false" customHeight="true" outlineLevel="0" collapsed="false">
      <c r="A728" s="11"/>
      <c r="B728" s="7"/>
      <c r="C728" s="12" t="str">
        <f aca="false">IF($B728="","",IFERROR(INDEX(거래처마스터!$B$3:$B$102,MATCH($B728,거래처마스터!$A$3:$A$102,0)),"미등록"))</f>
        <v/>
      </c>
      <c r="D728" s="7"/>
      <c r="E728" s="12" t="str">
        <f aca="false">IF($D728="","",IFERROR(INDEX(품목마스터!$B$3:$B$202,MATCH($D728,품목마스터!$A$3:$A$202,0)),"미등록품번"))</f>
        <v/>
      </c>
      <c r="F728" s="12" t="str">
        <f aca="false">IF($D728="","",IFERROR(INDEX(품목마스터!$D$3:$D$202,MATCH($D728,품목마스터!$A$3:$A$202,0)),""))</f>
        <v/>
      </c>
      <c r="G728" s="9"/>
      <c r="H728" s="9"/>
      <c r="I728" s="13" t="str">
        <f aca="false">IF(OR($G728="",$H728=""),"",ROUND($G728*$H728,0))</f>
        <v/>
      </c>
      <c r="J728" s="7"/>
    </row>
    <row r="729" customFormat="false" ht="15" hidden="false" customHeight="true" outlineLevel="0" collapsed="false">
      <c r="A729" s="11"/>
      <c r="B729" s="7"/>
      <c r="C729" s="12" t="str">
        <f aca="false">IF($B729="","",IFERROR(INDEX(거래처마스터!$B$3:$B$102,MATCH($B729,거래처마스터!$A$3:$A$102,0)),"미등록"))</f>
        <v/>
      </c>
      <c r="D729" s="7"/>
      <c r="E729" s="12" t="str">
        <f aca="false">IF($D729="","",IFERROR(INDEX(품목마스터!$B$3:$B$202,MATCH($D729,품목마스터!$A$3:$A$202,0)),"미등록품번"))</f>
        <v/>
      </c>
      <c r="F729" s="12" t="str">
        <f aca="false">IF($D729="","",IFERROR(INDEX(품목마스터!$D$3:$D$202,MATCH($D729,품목마스터!$A$3:$A$202,0)),""))</f>
        <v/>
      </c>
      <c r="G729" s="9"/>
      <c r="H729" s="9"/>
      <c r="I729" s="13" t="str">
        <f aca="false">IF(OR($G729="",$H729=""),"",ROUND($G729*$H729,0))</f>
        <v/>
      </c>
      <c r="J729" s="7"/>
    </row>
    <row r="730" customFormat="false" ht="15" hidden="false" customHeight="true" outlineLevel="0" collapsed="false">
      <c r="A730" s="11"/>
      <c r="B730" s="7"/>
      <c r="C730" s="12" t="str">
        <f aca="false">IF($B730="","",IFERROR(INDEX(거래처마스터!$B$3:$B$102,MATCH($B730,거래처마스터!$A$3:$A$102,0)),"미등록"))</f>
        <v/>
      </c>
      <c r="D730" s="7"/>
      <c r="E730" s="12" t="str">
        <f aca="false">IF($D730="","",IFERROR(INDEX(품목마스터!$B$3:$B$202,MATCH($D730,품목마스터!$A$3:$A$202,0)),"미등록품번"))</f>
        <v/>
      </c>
      <c r="F730" s="12" t="str">
        <f aca="false">IF($D730="","",IFERROR(INDEX(품목마스터!$D$3:$D$202,MATCH($D730,품목마스터!$A$3:$A$202,0)),""))</f>
        <v/>
      </c>
      <c r="G730" s="9"/>
      <c r="H730" s="9"/>
      <c r="I730" s="13" t="str">
        <f aca="false">IF(OR($G730="",$H730=""),"",ROUND($G730*$H730,0))</f>
        <v/>
      </c>
      <c r="J730" s="7"/>
    </row>
    <row r="731" customFormat="false" ht="15" hidden="false" customHeight="true" outlineLevel="0" collapsed="false">
      <c r="A731" s="11"/>
      <c r="B731" s="7"/>
      <c r="C731" s="12" t="str">
        <f aca="false">IF($B731="","",IFERROR(INDEX(거래처마스터!$B$3:$B$102,MATCH($B731,거래처마스터!$A$3:$A$102,0)),"미등록"))</f>
        <v/>
      </c>
      <c r="D731" s="7"/>
      <c r="E731" s="12" t="str">
        <f aca="false">IF($D731="","",IFERROR(INDEX(품목마스터!$B$3:$B$202,MATCH($D731,품목마스터!$A$3:$A$202,0)),"미등록품번"))</f>
        <v/>
      </c>
      <c r="F731" s="12" t="str">
        <f aca="false">IF($D731="","",IFERROR(INDEX(품목마스터!$D$3:$D$202,MATCH($D731,품목마스터!$A$3:$A$202,0)),""))</f>
        <v/>
      </c>
      <c r="G731" s="9"/>
      <c r="H731" s="9"/>
      <c r="I731" s="13" t="str">
        <f aca="false">IF(OR($G731="",$H731=""),"",ROUND($G731*$H731,0))</f>
        <v/>
      </c>
      <c r="J731" s="7"/>
    </row>
    <row r="732" customFormat="false" ht="15" hidden="false" customHeight="true" outlineLevel="0" collapsed="false">
      <c r="A732" s="11"/>
      <c r="B732" s="7"/>
      <c r="C732" s="12" t="str">
        <f aca="false">IF($B732="","",IFERROR(INDEX(거래처마스터!$B$3:$B$102,MATCH($B732,거래처마스터!$A$3:$A$102,0)),"미등록"))</f>
        <v/>
      </c>
      <c r="D732" s="7"/>
      <c r="E732" s="12" t="str">
        <f aca="false">IF($D732="","",IFERROR(INDEX(품목마스터!$B$3:$B$202,MATCH($D732,품목마스터!$A$3:$A$202,0)),"미등록품번"))</f>
        <v/>
      </c>
      <c r="F732" s="12" t="str">
        <f aca="false">IF($D732="","",IFERROR(INDEX(품목마스터!$D$3:$D$202,MATCH($D732,품목마스터!$A$3:$A$202,0)),""))</f>
        <v/>
      </c>
      <c r="G732" s="9"/>
      <c r="H732" s="9"/>
      <c r="I732" s="13" t="str">
        <f aca="false">IF(OR($G732="",$H732=""),"",ROUND($G732*$H732,0))</f>
        <v/>
      </c>
      <c r="J732" s="7"/>
    </row>
    <row r="733" customFormat="false" ht="15" hidden="false" customHeight="true" outlineLevel="0" collapsed="false">
      <c r="A733" s="11"/>
      <c r="B733" s="7"/>
      <c r="C733" s="12" t="str">
        <f aca="false">IF($B733="","",IFERROR(INDEX(거래처마스터!$B$3:$B$102,MATCH($B733,거래처마스터!$A$3:$A$102,0)),"미등록"))</f>
        <v/>
      </c>
      <c r="D733" s="7"/>
      <c r="E733" s="12" t="str">
        <f aca="false">IF($D733="","",IFERROR(INDEX(품목마스터!$B$3:$B$202,MATCH($D733,품목마스터!$A$3:$A$202,0)),"미등록품번"))</f>
        <v/>
      </c>
      <c r="F733" s="12" t="str">
        <f aca="false">IF($D733="","",IFERROR(INDEX(품목마스터!$D$3:$D$202,MATCH($D733,품목마스터!$A$3:$A$202,0)),""))</f>
        <v/>
      </c>
      <c r="G733" s="9"/>
      <c r="H733" s="9"/>
      <c r="I733" s="13" t="str">
        <f aca="false">IF(OR($G733="",$H733=""),"",ROUND($G733*$H733,0))</f>
        <v/>
      </c>
      <c r="J733" s="7"/>
    </row>
    <row r="734" customFormat="false" ht="15" hidden="false" customHeight="true" outlineLevel="0" collapsed="false">
      <c r="A734" s="11"/>
      <c r="B734" s="7"/>
      <c r="C734" s="12" t="str">
        <f aca="false">IF($B734="","",IFERROR(INDEX(거래처마스터!$B$3:$B$102,MATCH($B734,거래처마스터!$A$3:$A$102,0)),"미등록"))</f>
        <v/>
      </c>
      <c r="D734" s="7"/>
      <c r="E734" s="12" t="str">
        <f aca="false">IF($D734="","",IFERROR(INDEX(품목마스터!$B$3:$B$202,MATCH($D734,품목마스터!$A$3:$A$202,0)),"미등록품번"))</f>
        <v/>
      </c>
      <c r="F734" s="12" t="str">
        <f aca="false">IF($D734="","",IFERROR(INDEX(품목마스터!$D$3:$D$202,MATCH($D734,품목마스터!$A$3:$A$202,0)),""))</f>
        <v/>
      </c>
      <c r="G734" s="9"/>
      <c r="H734" s="9"/>
      <c r="I734" s="13" t="str">
        <f aca="false">IF(OR($G734="",$H734=""),"",ROUND($G734*$H734,0))</f>
        <v/>
      </c>
      <c r="J734" s="7"/>
    </row>
    <row r="735" customFormat="false" ht="15" hidden="false" customHeight="true" outlineLevel="0" collapsed="false">
      <c r="A735" s="11"/>
      <c r="B735" s="7"/>
      <c r="C735" s="12" t="str">
        <f aca="false">IF($B735="","",IFERROR(INDEX(거래처마스터!$B$3:$B$102,MATCH($B735,거래처마스터!$A$3:$A$102,0)),"미등록"))</f>
        <v/>
      </c>
      <c r="D735" s="7"/>
      <c r="E735" s="12" t="str">
        <f aca="false">IF($D735="","",IFERROR(INDEX(품목마스터!$B$3:$B$202,MATCH($D735,품목마스터!$A$3:$A$202,0)),"미등록품번"))</f>
        <v/>
      </c>
      <c r="F735" s="12" t="str">
        <f aca="false">IF($D735="","",IFERROR(INDEX(품목마스터!$D$3:$D$202,MATCH($D735,품목마스터!$A$3:$A$202,0)),""))</f>
        <v/>
      </c>
      <c r="G735" s="9"/>
      <c r="H735" s="9"/>
      <c r="I735" s="13" t="str">
        <f aca="false">IF(OR($G735="",$H735=""),"",ROUND($G735*$H735,0))</f>
        <v/>
      </c>
      <c r="J735" s="7"/>
    </row>
    <row r="736" customFormat="false" ht="15" hidden="false" customHeight="true" outlineLevel="0" collapsed="false">
      <c r="A736" s="11"/>
      <c r="B736" s="7"/>
      <c r="C736" s="12" t="str">
        <f aca="false">IF($B736="","",IFERROR(INDEX(거래처마스터!$B$3:$B$102,MATCH($B736,거래처마스터!$A$3:$A$102,0)),"미등록"))</f>
        <v/>
      </c>
      <c r="D736" s="7"/>
      <c r="E736" s="12" t="str">
        <f aca="false">IF($D736="","",IFERROR(INDEX(품목마스터!$B$3:$B$202,MATCH($D736,품목마스터!$A$3:$A$202,0)),"미등록품번"))</f>
        <v/>
      </c>
      <c r="F736" s="12" t="str">
        <f aca="false">IF($D736="","",IFERROR(INDEX(품목마스터!$D$3:$D$202,MATCH($D736,품목마스터!$A$3:$A$202,0)),""))</f>
        <v/>
      </c>
      <c r="G736" s="9"/>
      <c r="H736" s="9"/>
      <c r="I736" s="13" t="str">
        <f aca="false">IF(OR($G736="",$H736=""),"",ROUND($G736*$H736,0))</f>
        <v/>
      </c>
      <c r="J736" s="7"/>
    </row>
    <row r="737" customFormat="false" ht="15" hidden="false" customHeight="true" outlineLevel="0" collapsed="false">
      <c r="A737" s="11"/>
      <c r="B737" s="7"/>
      <c r="C737" s="12" t="str">
        <f aca="false">IF($B737="","",IFERROR(INDEX(거래처마스터!$B$3:$B$102,MATCH($B737,거래처마스터!$A$3:$A$102,0)),"미등록"))</f>
        <v/>
      </c>
      <c r="D737" s="7"/>
      <c r="E737" s="12" t="str">
        <f aca="false">IF($D737="","",IFERROR(INDEX(품목마스터!$B$3:$B$202,MATCH($D737,품목마스터!$A$3:$A$202,0)),"미등록품번"))</f>
        <v/>
      </c>
      <c r="F737" s="12" t="str">
        <f aca="false">IF($D737="","",IFERROR(INDEX(품목마스터!$D$3:$D$202,MATCH($D737,품목마스터!$A$3:$A$202,0)),""))</f>
        <v/>
      </c>
      <c r="G737" s="9"/>
      <c r="H737" s="9"/>
      <c r="I737" s="13" t="str">
        <f aca="false">IF(OR($G737="",$H737=""),"",ROUND($G737*$H737,0))</f>
        <v/>
      </c>
      <c r="J737" s="7"/>
    </row>
    <row r="738" customFormat="false" ht="15" hidden="false" customHeight="true" outlineLevel="0" collapsed="false">
      <c r="A738" s="11"/>
      <c r="B738" s="7"/>
      <c r="C738" s="12" t="str">
        <f aca="false">IF($B738="","",IFERROR(INDEX(거래처마스터!$B$3:$B$102,MATCH($B738,거래처마스터!$A$3:$A$102,0)),"미등록"))</f>
        <v/>
      </c>
      <c r="D738" s="7"/>
      <c r="E738" s="12" t="str">
        <f aca="false">IF($D738="","",IFERROR(INDEX(품목마스터!$B$3:$B$202,MATCH($D738,품목마스터!$A$3:$A$202,0)),"미등록품번"))</f>
        <v/>
      </c>
      <c r="F738" s="12" t="str">
        <f aca="false">IF($D738="","",IFERROR(INDEX(품목마스터!$D$3:$D$202,MATCH($D738,품목마스터!$A$3:$A$202,0)),""))</f>
        <v/>
      </c>
      <c r="G738" s="9"/>
      <c r="H738" s="9"/>
      <c r="I738" s="13" t="str">
        <f aca="false">IF(OR($G738="",$H738=""),"",ROUND($G738*$H738,0))</f>
        <v/>
      </c>
      <c r="J738" s="7"/>
    </row>
    <row r="739" customFormat="false" ht="15" hidden="false" customHeight="true" outlineLevel="0" collapsed="false">
      <c r="A739" s="11"/>
      <c r="B739" s="7"/>
      <c r="C739" s="12" t="str">
        <f aca="false">IF($B739="","",IFERROR(INDEX(거래처마스터!$B$3:$B$102,MATCH($B739,거래처마스터!$A$3:$A$102,0)),"미등록"))</f>
        <v/>
      </c>
      <c r="D739" s="7"/>
      <c r="E739" s="12" t="str">
        <f aca="false">IF($D739="","",IFERROR(INDEX(품목마스터!$B$3:$B$202,MATCH($D739,품목마스터!$A$3:$A$202,0)),"미등록품번"))</f>
        <v/>
      </c>
      <c r="F739" s="12" t="str">
        <f aca="false">IF($D739="","",IFERROR(INDEX(품목마스터!$D$3:$D$202,MATCH($D739,품목마스터!$A$3:$A$202,0)),""))</f>
        <v/>
      </c>
      <c r="G739" s="9"/>
      <c r="H739" s="9"/>
      <c r="I739" s="13" t="str">
        <f aca="false">IF(OR($G739="",$H739=""),"",ROUND($G739*$H739,0))</f>
        <v/>
      </c>
      <c r="J739" s="7"/>
    </row>
    <row r="740" customFormat="false" ht="15" hidden="false" customHeight="true" outlineLevel="0" collapsed="false">
      <c r="A740" s="11"/>
      <c r="B740" s="7"/>
      <c r="C740" s="12" t="str">
        <f aca="false">IF($B740="","",IFERROR(INDEX(거래처마스터!$B$3:$B$102,MATCH($B740,거래처마스터!$A$3:$A$102,0)),"미등록"))</f>
        <v/>
      </c>
      <c r="D740" s="7"/>
      <c r="E740" s="12" t="str">
        <f aca="false">IF($D740="","",IFERROR(INDEX(품목마스터!$B$3:$B$202,MATCH($D740,품목마스터!$A$3:$A$202,0)),"미등록품번"))</f>
        <v/>
      </c>
      <c r="F740" s="12" t="str">
        <f aca="false">IF($D740="","",IFERROR(INDEX(품목마스터!$D$3:$D$202,MATCH($D740,품목마스터!$A$3:$A$202,0)),""))</f>
        <v/>
      </c>
      <c r="G740" s="9"/>
      <c r="H740" s="9"/>
      <c r="I740" s="13" t="str">
        <f aca="false">IF(OR($G740="",$H740=""),"",ROUND($G740*$H740,0))</f>
        <v/>
      </c>
      <c r="J740" s="7"/>
    </row>
    <row r="741" customFormat="false" ht="15" hidden="false" customHeight="true" outlineLevel="0" collapsed="false">
      <c r="A741" s="11"/>
      <c r="B741" s="7"/>
      <c r="C741" s="12" t="str">
        <f aca="false">IF($B741="","",IFERROR(INDEX(거래처마스터!$B$3:$B$102,MATCH($B741,거래처마스터!$A$3:$A$102,0)),"미등록"))</f>
        <v/>
      </c>
      <c r="D741" s="7"/>
      <c r="E741" s="12" t="str">
        <f aca="false">IF($D741="","",IFERROR(INDEX(품목마스터!$B$3:$B$202,MATCH($D741,품목마스터!$A$3:$A$202,0)),"미등록품번"))</f>
        <v/>
      </c>
      <c r="F741" s="12" t="str">
        <f aca="false">IF($D741="","",IFERROR(INDEX(품목마스터!$D$3:$D$202,MATCH($D741,품목마스터!$A$3:$A$202,0)),""))</f>
        <v/>
      </c>
      <c r="G741" s="9"/>
      <c r="H741" s="9"/>
      <c r="I741" s="13" t="str">
        <f aca="false">IF(OR($G741="",$H741=""),"",ROUND($G741*$H741,0))</f>
        <v/>
      </c>
      <c r="J741" s="7"/>
    </row>
    <row r="742" customFormat="false" ht="15" hidden="false" customHeight="true" outlineLevel="0" collapsed="false">
      <c r="A742" s="11"/>
      <c r="B742" s="7"/>
      <c r="C742" s="12" t="str">
        <f aca="false">IF($B742="","",IFERROR(INDEX(거래처마스터!$B$3:$B$102,MATCH($B742,거래처마스터!$A$3:$A$102,0)),"미등록"))</f>
        <v/>
      </c>
      <c r="D742" s="7"/>
      <c r="E742" s="12" t="str">
        <f aca="false">IF($D742="","",IFERROR(INDEX(품목마스터!$B$3:$B$202,MATCH($D742,품목마스터!$A$3:$A$202,0)),"미등록품번"))</f>
        <v/>
      </c>
      <c r="F742" s="12" t="str">
        <f aca="false">IF($D742="","",IFERROR(INDEX(품목마스터!$D$3:$D$202,MATCH($D742,품목마스터!$A$3:$A$202,0)),""))</f>
        <v/>
      </c>
      <c r="G742" s="9"/>
      <c r="H742" s="9"/>
      <c r="I742" s="13" t="str">
        <f aca="false">IF(OR($G742="",$H742=""),"",ROUND($G742*$H742,0))</f>
        <v/>
      </c>
      <c r="J742" s="7"/>
    </row>
    <row r="743" customFormat="false" ht="15" hidden="false" customHeight="true" outlineLevel="0" collapsed="false">
      <c r="A743" s="11"/>
      <c r="B743" s="7"/>
      <c r="C743" s="12" t="str">
        <f aca="false">IF($B743="","",IFERROR(INDEX(거래처마스터!$B$3:$B$102,MATCH($B743,거래처마스터!$A$3:$A$102,0)),"미등록"))</f>
        <v/>
      </c>
      <c r="D743" s="7"/>
      <c r="E743" s="12" t="str">
        <f aca="false">IF($D743="","",IFERROR(INDEX(품목마스터!$B$3:$B$202,MATCH($D743,품목마스터!$A$3:$A$202,0)),"미등록품번"))</f>
        <v/>
      </c>
      <c r="F743" s="12" t="str">
        <f aca="false">IF($D743="","",IFERROR(INDEX(품목마스터!$D$3:$D$202,MATCH($D743,품목마스터!$A$3:$A$202,0)),""))</f>
        <v/>
      </c>
      <c r="G743" s="9"/>
      <c r="H743" s="9"/>
      <c r="I743" s="13" t="str">
        <f aca="false">IF(OR($G743="",$H743=""),"",ROUND($G743*$H743,0))</f>
        <v/>
      </c>
      <c r="J743" s="7"/>
    </row>
    <row r="744" customFormat="false" ht="15" hidden="false" customHeight="true" outlineLevel="0" collapsed="false">
      <c r="A744" s="11"/>
      <c r="B744" s="7"/>
      <c r="C744" s="12" t="str">
        <f aca="false">IF($B744="","",IFERROR(INDEX(거래처마스터!$B$3:$B$102,MATCH($B744,거래처마스터!$A$3:$A$102,0)),"미등록"))</f>
        <v/>
      </c>
      <c r="D744" s="7"/>
      <c r="E744" s="12" t="str">
        <f aca="false">IF($D744="","",IFERROR(INDEX(품목마스터!$B$3:$B$202,MATCH($D744,품목마스터!$A$3:$A$202,0)),"미등록품번"))</f>
        <v/>
      </c>
      <c r="F744" s="12" t="str">
        <f aca="false">IF($D744="","",IFERROR(INDEX(품목마스터!$D$3:$D$202,MATCH($D744,품목마스터!$A$3:$A$202,0)),""))</f>
        <v/>
      </c>
      <c r="G744" s="9"/>
      <c r="H744" s="9"/>
      <c r="I744" s="13" t="str">
        <f aca="false">IF(OR($G744="",$H744=""),"",ROUND($G744*$H744,0))</f>
        <v/>
      </c>
      <c r="J744" s="7"/>
    </row>
    <row r="745" customFormat="false" ht="15" hidden="false" customHeight="true" outlineLevel="0" collapsed="false">
      <c r="A745" s="11"/>
      <c r="B745" s="7"/>
      <c r="C745" s="12" t="str">
        <f aca="false">IF($B745="","",IFERROR(INDEX(거래처마스터!$B$3:$B$102,MATCH($B745,거래처마스터!$A$3:$A$102,0)),"미등록"))</f>
        <v/>
      </c>
      <c r="D745" s="7"/>
      <c r="E745" s="12" t="str">
        <f aca="false">IF($D745="","",IFERROR(INDEX(품목마스터!$B$3:$B$202,MATCH($D745,품목마스터!$A$3:$A$202,0)),"미등록품번"))</f>
        <v/>
      </c>
      <c r="F745" s="12" t="str">
        <f aca="false">IF($D745="","",IFERROR(INDEX(품목마스터!$D$3:$D$202,MATCH($D745,품목마스터!$A$3:$A$202,0)),""))</f>
        <v/>
      </c>
      <c r="G745" s="9"/>
      <c r="H745" s="9"/>
      <c r="I745" s="13" t="str">
        <f aca="false">IF(OR($G745="",$H745=""),"",ROUND($G745*$H745,0))</f>
        <v/>
      </c>
      <c r="J745" s="7"/>
    </row>
    <row r="746" customFormat="false" ht="15" hidden="false" customHeight="true" outlineLevel="0" collapsed="false">
      <c r="A746" s="11"/>
      <c r="B746" s="7"/>
      <c r="C746" s="12" t="str">
        <f aca="false">IF($B746="","",IFERROR(INDEX(거래처마스터!$B$3:$B$102,MATCH($B746,거래처마스터!$A$3:$A$102,0)),"미등록"))</f>
        <v/>
      </c>
      <c r="D746" s="7"/>
      <c r="E746" s="12" t="str">
        <f aca="false">IF($D746="","",IFERROR(INDEX(품목마스터!$B$3:$B$202,MATCH($D746,품목마스터!$A$3:$A$202,0)),"미등록품번"))</f>
        <v/>
      </c>
      <c r="F746" s="12" t="str">
        <f aca="false">IF($D746="","",IFERROR(INDEX(품목마스터!$D$3:$D$202,MATCH($D746,품목마스터!$A$3:$A$202,0)),""))</f>
        <v/>
      </c>
      <c r="G746" s="9"/>
      <c r="H746" s="9"/>
      <c r="I746" s="13" t="str">
        <f aca="false">IF(OR($G746="",$H746=""),"",ROUND($G746*$H746,0))</f>
        <v/>
      </c>
      <c r="J746" s="7"/>
    </row>
    <row r="747" customFormat="false" ht="15" hidden="false" customHeight="true" outlineLevel="0" collapsed="false">
      <c r="A747" s="11"/>
      <c r="B747" s="7"/>
      <c r="C747" s="12" t="str">
        <f aca="false">IF($B747="","",IFERROR(INDEX(거래처마스터!$B$3:$B$102,MATCH($B747,거래처마스터!$A$3:$A$102,0)),"미등록"))</f>
        <v/>
      </c>
      <c r="D747" s="7"/>
      <c r="E747" s="12" t="str">
        <f aca="false">IF($D747="","",IFERROR(INDEX(품목마스터!$B$3:$B$202,MATCH($D747,품목마스터!$A$3:$A$202,0)),"미등록품번"))</f>
        <v/>
      </c>
      <c r="F747" s="12" t="str">
        <f aca="false">IF($D747="","",IFERROR(INDEX(품목마스터!$D$3:$D$202,MATCH($D747,품목마스터!$A$3:$A$202,0)),""))</f>
        <v/>
      </c>
      <c r="G747" s="9"/>
      <c r="H747" s="9"/>
      <c r="I747" s="13" t="str">
        <f aca="false">IF(OR($G747="",$H747=""),"",ROUND($G747*$H747,0))</f>
        <v/>
      </c>
      <c r="J747" s="7"/>
    </row>
    <row r="748" customFormat="false" ht="15" hidden="false" customHeight="true" outlineLevel="0" collapsed="false">
      <c r="A748" s="11"/>
      <c r="B748" s="7"/>
      <c r="C748" s="12" t="str">
        <f aca="false">IF($B748="","",IFERROR(INDEX(거래처마스터!$B$3:$B$102,MATCH($B748,거래처마스터!$A$3:$A$102,0)),"미등록"))</f>
        <v/>
      </c>
      <c r="D748" s="7"/>
      <c r="E748" s="12" t="str">
        <f aca="false">IF($D748="","",IFERROR(INDEX(품목마스터!$B$3:$B$202,MATCH($D748,품목마스터!$A$3:$A$202,0)),"미등록품번"))</f>
        <v/>
      </c>
      <c r="F748" s="12" t="str">
        <f aca="false">IF($D748="","",IFERROR(INDEX(품목마스터!$D$3:$D$202,MATCH($D748,품목마스터!$A$3:$A$202,0)),""))</f>
        <v/>
      </c>
      <c r="G748" s="9"/>
      <c r="H748" s="9"/>
      <c r="I748" s="13" t="str">
        <f aca="false">IF(OR($G748="",$H748=""),"",ROUND($G748*$H748,0))</f>
        <v/>
      </c>
      <c r="J748" s="7"/>
    </row>
    <row r="749" customFormat="false" ht="15" hidden="false" customHeight="true" outlineLevel="0" collapsed="false">
      <c r="A749" s="11"/>
      <c r="B749" s="7"/>
      <c r="C749" s="12" t="str">
        <f aca="false">IF($B749="","",IFERROR(INDEX(거래처마스터!$B$3:$B$102,MATCH($B749,거래처마스터!$A$3:$A$102,0)),"미등록"))</f>
        <v/>
      </c>
      <c r="D749" s="7"/>
      <c r="E749" s="12" t="str">
        <f aca="false">IF($D749="","",IFERROR(INDEX(품목마스터!$B$3:$B$202,MATCH($D749,품목마스터!$A$3:$A$202,0)),"미등록품번"))</f>
        <v/>
      </c>
      <c r="F749" s="12" t="str">
        <f aca="false">IF($D749="","",IFERROR(INDEX(품목마스터!$D$3:$D$202,MATCH($D749,품목마스터!$A$3:$A$202,0)),""))</f>
        <v/>
      </c>
      <c r="G749" s="9"/>
      <c r="H749" s="9"/>
      <c r="I749" s="13" t="str">
        <f aca="false">IF(OR($G749="",$H749=""),"",ROUND($G749*$H749,0))</f>
        <v/>
      </c>
      <c r="J749" s="7"/>
    </row>
    <row r="750" customFormat="false" ht="15" hidden="false" customHeight="true" outlineLevel="0" collapsed="false">
      <c r="A750" s="11"/>
      <c r="B750" s="7"/>
      <c r="C750" s="12" t="str">
        <f aca="false">IF($B750="","",IFERROR(INDEX(거래처마스터!$B$3:$B$102,MATCH($B750,거래처마스터!$A$3:$A$102,0)),"미등록"))</f>
        <v/>
      </c>
      <c r="D750" s="7"/>
      <c r="E750" s="12" t="str">
        <f aca="false">IF($D750="","",IFERROR(INDEX(품목마스터!$B$3:$B$202,MATCH($D750,품목마스터!$A$3:$A$202,0)),"미등록품번"))</f>
        <v/>
      </c>
      <c r="F750" s="12" t="str">
        <f aca="false">IF($D750="","",IFERROR(INDEX(품목마스터!$D$3:$D$202,MATCH($D750,품목마스터!$A$3:$A$202,0)),""))</f>
        <v/>
      </c>
      <c r="G750" s="9"/>
      <c r="H750" s="9"/>
      <c r="I750" s="13" t="str">
        <f aca="false">IF(OR($G750="",$H750=""),"",ROUND($G750*$H750,0))</f>
        <v/>
      </c>
      <c r="J750" s="7"/>
    </row>
    <row r="751" customFormat="false" ht="15" hidden="false" customHeight="true" outlineLevel="0" collapsed="false">
      <c r="A751" s="11"/>
      <c r="B751" s="7"/>
      <c r="C751" s="12" t="str">
        <f aca="false">IF($B751="","",IFERROR(INDEX(거래처마스터!$B$3:$B$102,MATCH($B751,거래처마스터!$A$3:$A$102,0)),"미등록"))</f>
        <v/>
      </c>
      <c r="D751" s="7"/>
      <c r="E751" s="12" t="str">
        <f aca="false">IF($D751="","",IFERROR(INDEX(품목마스터!$B$3:$B$202,MATCH($D751,품목마스터!$A$3:$A$202,0)),"미등록품번"))</f>
        <v/>
      </c>
      <c r="F751" s="12" t="str">
        <f aca="false">IF($D751="","",IFERROR(INDEX(품목마스터!$D$3:$D$202,MATCH($D751,품목마스터!$A$3:$A$202,0)),""))</f>
        <v/>
      </c>
      <c r="G751" s="9"/>
      <c r="H751" s="9"/>
      <c r="I751" s="13" t="str">
        <f aca="false">IF(OR($G751="",$H751=""),"",ROUND($G751*$H751,0))</f>
        <v/>
      </c>
      <c r="J751" s="7"/>
    </row>
    <row r="752" customFormat="false" ht="15" hidden="false" customHeight="true" outlineLevel="0" collapsed="false">
      <c r="A752" s="11"/>
      <c r="B752" s="7"/>
      <c r="C752" s="12" t="str">
        <f aca="false">IF($B752="","",IFERROR(INDEX(거래처마스터!$B$3:$B$102,MATCH($B752,거래처마스터!$A$3:$A$102,0)),"미등록"))</f>
        <v/>
      </c>
      <c r="D752" s="7"/>
      <c r="E752" s="12" t="str">
        <f aca="false">IF($D752="","",IFERROR(INDEX(품목마스터!$B$3:$B$202,MATCH($D752,품목마스터!$A$3:$A$202,0)),"미등록품번"))</f>
        <v/>
      </c>
      <c r="F752" s="12" t="str">
        <f aca="false">IF($D752="","",IFERROR(INDEX(품목마스터!$D$3:$D$202,MATCH($D752,품목마스터!$A$3:$A$202,0)),""))</f>
        <v/>
      </c>
      <c r="G752" s="9"/>
      <c r="H752" s="9"/>
      <c r="I752" s="13" t="str">
        <f aca="false">IF(OR($G752="",$H752=""),"",ROUND($G752*$H752,0))</f>
        <v/>
      </c>
      <c r="J752" s="7"/>
    </row>
    <row r="753" customFormat="false" ht="15" hidden="false" customHeight="true" outlineLevel="0" collapsed="false">
      <c r="A753" s="11"/>
      <c r="B753" s="7"/>
      <c r="C753" s="12" t="str">
        <f aca="false">IF($B753="","",IFERROR(INDEX(거래처마스터!$B$3:$B$102,MATCH($B753,거래처마스터!$A$3:$A$102,0)),"미등록"))</f>
        <v/>
      </c>
      <c r="D753" s="7"/>
      <c r="E753" s="12" t="str">
        <f aca="false">IF($D753="","",IFERROR(INDEX(품목마스터!$B$3:$B$202,MATCH($D753,품목마스터!$A$3:$A$202,0)),"미등록품번"))</f>
        <v/>
      </c>
      <c r="F753" s="12" t="str">
        <f aca="false">IF($D753="","",IFERROR(INDEX(품목마스터!$D$3:$D$202,MATCH($D753,품목마스터!$A$3:$A$202,0)),""))</f>
        <v/>
      </c>
      <c r="G753" s="9"/>
      <c r="H753" s="9"/>
      <c r="I753" s="13" t="str">
        <f aca="false">IF(OR($G753="",$H753=""),"",ROUND($G753*$H753,0))</f>
        <v/>
      </c>
      <c r="J753" s="7"/>
    </row>
    <row r="754" customFormat="false" ht="15" hidden="false" customHeight="true" outlineLevel="0" collapsed="false">
      <c r="A754" s="11"/>
      <c r="B754" s="7"/>
      <c r="C754" s="12" t="str">
        <f aca="false">IF($B754="","",IFERROR(INDEX(거래처마스터!$B$3:$B$102,MATCH($B754,거래처마스터!$A$3:$A$102,0)),"미등록"))</f>
        <v/>
      </c>
      <c r="D754" s="7"/>
      <c r="E754" s="12" t="str">
        <f aca="false">IF($D754="","",IFERROR(INDEX(품목마스터!$B$3:$B$202,MATCH($D754,품목마스터!$A$3:$A$202,0)),"미등록품번"))</f>
        <v/>
      </c>
      <c r="F754" s="12" t="str">
        <f aca="false">IF($D754="","",IFERROR(INDEX(품목마스터!$D$3:$D$202,MATCH($D754,품목마스터!$A$3:$A$202,0)),""))</f>
        <v/>
      </c>
      <c r="G754" s="9"/>
      <c r="H754" s="9"/>
      <c r="I754" s="13" t="str">
        <f aca="false">IF(OR($G754="",$H754=""),"",ROUND($G754*$H754,0))</f>
        <v/>
      </c>
      <c r="J754" s="7"/>
    </row>
    <row r="755" customFormat="false" ht="15" hidden="false" customHeight="true" outlineLevel="0" collapsed="false">
      <c r="A755" s="11"/>
      <c r="B755" s="7"/>
      <c r="C755" s="12" t="str">
        <f aca="false">IF($B755="","",IFERROR(INDEX(거래처마스터!$B$3:$B$102,MATCH($B755,거래처마스터!$A$3:$A$102,0)),"미등록"))</f>
        <v/>
      </c>
      <c r="D755" s="7"/>
      <c r="E755" s="12" t="str">
        <f aca="false">IF($D755="","",IFERROR(INDEX(품목마스터!$B$3:$B$202,MATCH($D755,품목마스터!$A$3:$A$202,0)),"미등록품번"))</f>
        <v/>
      </c>
      <c r="F755" s="12" t="str">
        <f aca="false">IF($D755="","",IFERROR(INDEX(품목마스터!$D$3:$D$202,MATCH($D755,품목마스터!$A$3:$A$202,0)),""))</f>
        <v/>
      </c>
      <c r="G755" s="9"/>
      <c r="H755" s="9"/>
      <c r="I755" s="13" t="str">
        <f aca="false">IF(OR($G755="",$H755=""),"",ROUND($G755*$H755,0))</f>
        <v/>
      </c>
      <c r="J755" s="7"/>
    </row>
    <row r="756" customFormat="false" ht="15" hidden="false" customHeight="true" outlineLevel="0" collapsed="false">
      <c r="A756" s="11"/>
      <c r="B756" s="7"/>
      <c r="C756" s="12" t="str">
        <f aca="false">IF($B756="","",IFERROR(INDEX(거래처마스터!$B$3:$B$102,MATCH($B756,거래처마스터!$A$3:$A$102,0)),"미등록"))</f>
        <v/>
      </c>
      <c r="D756" s="7"/>
      <c r="E756" s="12" t="str">
        <f aca="false">IF($D756="","",IFERROR(INDEX(품목마스터!$B$3:$B$202,MATCH($D756,품목마스터!$A$3:$A$202,0)),"미등록품번"))</f>
        <v/>
      </c>
      <c r="F756" s="12" t="str">
        <f aca="false">IF($D756="","",IFERROR(INDEX(품목마스터!$D$3:$D$202,MATCH($D756,품목마스터!$A$3:$A$202,0)),""))</f>
        <v/>
      </c>
      <c r="G756" s="9"/>
      <c r="H756" s="9"/>
      <c r="I756" s="13" t="str">
        <f aca="false">IF(OR($G756="",$H756=""),"",ROUND($G756*$H756,0))</f>
        <v/>
      </c>
      <c r="J756" s="7"/>
    </row>
    <row r="757" customFormat="false" ht="15" hidden="false" customHeight="true" outlineLevel="0" collapsed="false">
      <c r="A757" s="11"/>
      <c r="B757" s="7"/>
      <c r="C757" s="12" t="str">
        <f aca="false">IF($B757="","",IFERROR(INDEX(거래처마스터!$B$3:$B$102,MATCH($B757,거래처마스터!$A$3:$A$102,0)),"미등록"))</f>
        <v/>
      </c>
      <c r="D757" s="7"/>
      <c r="E757" s="12" t="str">
        <f aca="false">IF($D757="","",IFERROR(INDEX(품목마스터!$B$3:$B$202,MATCH($D757,품목마스터!$A$3:$A$202,0)),"미등록품번"))</f>
        <v/>
      </c>
      <c r="F757" s="12" t="str">
        <f aca="false">IF($D757="","",IFERROR(INDEX(품목마스터!$D$3:$D$202,MATCH($D757,품목마스터!$A$3:$A$202,0)),""))</f>
        <v/>
      </c>
      <c r="G757" s="9"/>
      <c r="H757" s="9"/>
      <c r="I757" s="13" t="str">
        <f aca="false">IF(OR($G757="",$H757=""),"",ROUND($G757*$H757,0))</f>
        <v/>
      </c>
      <c r="J757" s="7"/>
    </row>
    <row r="758" customFormat="false" ht="15" hidden="false" customHeight="true" outlineLevel="0" collapsed="false">
      <c r="A758" s="11"/>
      <c r="B758" s="7"/>
      <c r="C758" s="12" t="str">
        <f aca="false">IF($B758="","",IFERROR(INDEX(거래처마스터!$B$3:$B$102,MATCH($B758,거래처마스터!$A$3:$A$102,0)),"미등록"))</f>
        <v/>
      </c>
      <c r="D758" s="7"/>
      <c r="E758" s="12" t="str">
        <f aca="false">IF($D758="","",IFERROR(INDEX(품목마스터!$B$3:$B$202,MATCH($D758,품목마스터!$A$3:$A$202,0)),"미등록품번"))</f>
        <v/>
      </c>
      <c r="F758" s="12" t="str">
        <f aca="false">IF($D758="","",IFERROR(INDEX(품목마스터!$D$3:$D$202,MATCH($D758,품목마스터!$A$3:$A$202,0)),""))</f>
        <v/>
      </c>
      <c r="G758" s="9"/>
      <c r="H758" s="9"/>
      <c r="I758" s="13" t="str">
        <f aca="false">IF(OR($G758="",$H758=""),"",ROUND($G758*$H758,0))</f>
        <v/>
      </c>
      <c r="J758" s="7"/>
    </row>
    <row r="759" customFormat="false" ht="15" hidden="false" customHeight="true" outlineLevel="0" collapsed="false">
      <c r="A759" s="11"/>
      <c r="B759" s="7"/>
      <c r="C759" s="12" t="str">
        <f aca="false">IF($B759="","",IFERROR(INDEX(거래처마스터!$B$3:$B$102,MATCH($B759,거래처마스터!$A$3:$A$102,0)),"미등록"))</f>
        <v/>
      </c>
      <c r="D759" s="7"/>
      <c r="E759" s="12" t="str">
        <f aca="false">IF($D759="","",IFERROR(INDEX(품목마스터!$B$3:$B$202,MATCH($D759,품목마스터!$A$3:$A$202,0)),"미등록품번"))</f>
        <v/>
      </c>
      <c r="F759" s="12" t="str">
        <f aca="false">IF($D759="","",IFERROR(INDEX(품목마스터!$D$3:$D$202,MATCH($D759,품목마스터!$A$3:$A$202,0)),""))</f>
        <v/>
      </c>
      <c r="G759" s="9"/>
      <c r="H759" s="9"/>
      <c r="I759" s="13" t="str">
        <f aca="false">IF(OR($G759="",$H759=""),"",ROUND($G759*$H759,0))</f>
        <v/>
      </c>
      <c r="J759" s="7"/>
    </row>
    <row r="760" customFormat="false" ht="15" hidden="false" customHeight="true" outlineLevel="0" collapsed="false">
      <c r="A760" s="11"/>
      <c r="B760" s="7"/>
      <c r="C760" s="12" t="str">
        <f aca="false">IF($B760="","",IFERROR(INDEX(거래처마스터!$B$3:$B$102,MATCH($B760,거래처마스터!$A$3:$A$102,0)),"미등록"))</f>
        <v/>
      </c>
      <c r="D760" s="7"/>
      <c r="E760" s="12" t="str">
        <f aca="false">IF($D760="","",IFERROR(INDEX(품목마스터!$B$3:$B$202,MATCH($D760,품목마스터!$A$3:$A$202,0)),"미등록품번"))</f>
        <v/>
      </c>
      <c r="F760" s="12" t="str">
        <f aca="false">IF($D760="","",IFERROR(INDEX(품목마스터!$D$3:$D$202,MATCH($D760,품목마스터!$A$3:$A$202,0)),""))</f>
        <v/>
      </c>
      <c r="G760" s="9"/>
      <c r="H760" s="9"/>
      <c r="I760" s="13" t="str">
        <f aca="false">IF(OR($G760="",$H760=""),"",ROUND($G760*$H760,0))</f>
        <v/>
      </c>
      <c r="J760" s="7"/>
    </row>
    <row r="761" customFormat="false" ht="15" hidden="false" customHeight="true" outlineLevel="0" collapsed="false">
      <c r="A761" s="11"/>
      <c r="B761" s="7"/>
      <c r="C761" s="12" t="str">
        <f aca="false">IF($B761="","",IFERROR(INDEX(거래처마스터!$B$3:$B$102,MATCH($B761,거래처마스터!$A$3:$A$102,0)),"미등록"))</f>
        <v/>
      </c>
      <c r="D761" s="7"/>
      <c r="E761" s="12" t="str">
        <f aca="false">IF($D761="","",IFERROR(INDEX(품목마스터!$B$3:$B$202,MATCH($D761,품목마스터!$A$3:$A$202,0)),"미등록품번"))</f>
        <v/>
      </c>
      <c r="F761" s="12" t="str">
        <f aca="false">IF($D761="","",IFERROR(INDEX(품목마스터!$D$3:$D$202,MATCH($D761,품목마스터!$A$3:$A$202,0)),""))</f>
        <v/>
      </c>
      <c r="G761" s="9"/>
      <c r="H761" s="9"/>
      <c r="I761" s="13" t="str">
        <f aca="false">IF(OR($G761="",$H761=""),"",ROUND($G761*$H761,0))</f>
        <v/>
      </c>
      <c r="J761" s="7"/>
    </row>
    <row r="762" customFormat="false" ht="15" hidden="false" customHeight="true" outlineLevel="0" collapsed="false">
      <c r="A762" s="11"/>
      <c r="B762" s="7"/>
      <c r="C762" s="12" t="str">
        <f aca="false">IF($B762="","",IFERROR(INDEX(거래처마스터!$B$3:$B$102,MATCH($B762,거래처마스터!$A$3:$A$102,0)),"미등록"))</f>
        <v/>
      </c>
      <c r="D762" s="7"/>
      <c r="E762" s="12" t="str">
        <f aca="false">IF($D762="","",IFERROR(INDEX(품목마스터!$B$3:$B$202,MATCH($D762,품목마스터!$A$3:$A$202,0)),"미등록품번"))</f>
        <v/>
      </c>
      <c r="F762" s="12" t="str">
        <f aca="false">IF($D762="","",IFERROR(INDEX(품목마스터!$D$3:$D$202,MATCH($D762,품목마스터!$A$3:$A$202,0)),""))</f>
        <v/>
      </c>
      <c r="G762" s="9"/>
      <c r="H762" s="9"/>
      <c r="I762" s="13" t="str">
        <f aca="false">IF(OR($G762="",$H762=""),"",ROUND($G762*$H762,0))</f>
        <v/>
      </c>
      <c r="J762" s="7"/>
    </row>
    <row r="763" customFormat="false" ht="15" hidden="false" customHeight="true" outlineLevel="0" collapsed="false">
      <c r="A763" s="11"/>
      <c r="B763" s="7"/>
      <c r="C763" s="12" t="str">
        <f aca="false">IF($B763="","",IFERROR(INDEX(거래처마스터!$B$3:$B$102,MATCH($B763,거래처마스터!$A$3:$A$102,0)),"미등록"))</f>
        <v/>
      </c>
      <c r="D763" s="7"/>
      <c r="E763" s="12" t="str">
        <f aca="false">IF($D763="","",IFERROR(INDEX(품목마스터!$B$3:$B$202,MATCH($D763,품목마스터!$A$3:$A$202,0)),"미등록품번"))</f>
        <v/>
      </c>
      <c r="F763" s="12" t="str">
        <f aca="false">IF($D763="","",IFERROR(INDEX(품목마스터!$D$3:$D$202,MATCH($D763,품목마스터!$A$3:$A$202,0)),""))</f>
        <v/>
      </c>
      <c r="G763" s="9"/>
      <c r="H763" s="9"/>
      <c r="I763" s="13" t="str">
        <f aca="false">IF(OR($G763="",$H763=""),"",ROUND($G763*$H763,0))</f>
        <v/>
      </c>
      <c r="J763" s="7"/>
    </row>
    <row r="764" customFormat="false" ht="15" hidden="false" customHeight="true" outlineLevel="0" collapsed="false">
      <c r="A764" s="11"/>
      <c r="B764" s="7"/>
      <c r="C764" s="12" t="str">
        <f aca="false">IF($B764="","",IFERROR(INDEX(거래처마스터!$B$3:$B$102,MATCH($B764,거래처마스터!$A$3:$A$102,0)),"미등록"))</f>
        <v/>
      </c>
      <c r="D764" s="7"/>
      <c r="E764" s="12" t="str">
        <f aca="false">IF($D764="","",IFERROR(INDEX(품목마스터!$B$3:$B$202,MATCH($D764,품목마스터!$A$3:$A$202,0)),"미등록품번"))</f>
        <v/>
      </c>
      <c r="F764" s="12" t="str">
        <f aca="false">IF($D764="","",IFERROR(INDEX(품목마스터!$D$3:$D$202,MATCH($D764,품목마스터!$A$3:$A$202,0)),""))</f>
        <v/>
      </c>
      <c r="G764" s="9"/>
      <c r="H764" s="9"/>
      <c r="I764" s="13" t="str">
        <f aca="false">IF(OR($G764="",$H764=""),"",ROUND($G764*$H764,0))</f>
        <v/>
      </c>
      <c r="J764" s="7"/>
    </row>
    <row r="765" customFormat="false" ht="15" hidden="false" customHeight="true" outlineLevel="0" collapsed="false">
      <c r="A765" s="11"/>
      <c r="B765" s="7"/>
      <c r="C765" s="12" t="str">
        <f aca="false">IF($B765="","",IFERROR(INDEX(거래처마스터!$B$3:$B$102,MATCH($B765,거래처마스터!$A$3:$A$102,0)),"미등록"))</f>
        <v/>
      </c>
      <c r="D765" s="7"/>
      <c r="E765" s="12" t="str">
        <f aca="false">IF($D765="","",IFERROR(INDEX(품목마스터!$B$3:$B$202,MATCH($D765,품목마스터!$A$3:$A$202,0)),"미등록품번"))</f>
        <v/>
      </c>
      <c r="F765" s="12" t="str">
        <f aca="false">IF($D765="","",IFERROR(INDEX(품목마스터!$D$3:$D$202,MATCH($D765,품목마스터!$A$3:$A$202,0)),""))</f>
        <v/>
      </c>
      <c r="G765" s="9"/>
      <c r="H765" s="9"/>
      <c r="I765" s="13" t="str">
        <f aca="false">IF(OR($G765="",$H765=""),"",ROUND($G765*$H765,0))</f>
        <v/>
      </c>
      <c r="J765" s="7"/>
    </row>
    <row r="766" customFormat="false" ht="15" hidden="false" customHeight="true" outlineLevel="0" collapsed="false">
      <c r="A766" s="11"/>
      <c r="B766" s="7"/>
      <c r="C766" s="12" t="str">
        <f aca="false">IF($B766="","",IFERROR(INDEX(거래처마스터!$B$3:$B$102,MATCH($B766,거래처마스터!$A$3:$A$102,0)),"미등록"))</f>
        <v/>
      </c>
      <c r="D766" s="7"/>
      <c r="E766" s="12" t="str">
        <f aca="false">IF($D766="","",IFERROR(INDEX(품목마스터!$B$3:$B$202,MATCH($D766,품목마스터!$A$3:$A$202,0)),"미등록품번"))</f>
        <v/>
      </c>
      <c r="F766" s="12" t="str">
        <f aca="false">IF($D766="","",IFERROR(INDEX(품목마스터!$D$3:$D$202,MATCH($D766,품목마스터!$A$3:$A$202,0)),""))</f>
        <v/>
      </c>
      <c r="G766" s="9"/>
      <c r="H766" s="9"/>
      <c r="I766" s="13" t="str">
        <f aca="false">IF(OR($G766="",$H766=""),"",ROUND($G766*$H766,0))</f>
        <v/>
      </c>
      <c r="J766" s="7"/>
    </row>
    <row r="767" customFormat="false" ht="15" hidden="false" customHeight="true" outlineLevel="0" collapsed="false">
      <c r="A767" s="11"/>
      <c r="B767" s="7"/>
      <c r="C767" s="12" t="str">
        <f aca="false">IF($B767="","",IFERROR(INDEX(거래처마스터!$B$3:$B$102,MATCH($B767,거래처마스터!$A$3:$A$102,0)),"미등록"))</f>
        <v/>
      </c>
      <c r="D767" s="7"/>
      <c r="E767" s="12" t="str">
        <f aca="false">IF($D767="","",IFERROR(INDEX(품목마스터!$B$3:$B$202,MATCH($D767,품목마스터!$A$3:$A$202,0)),"미등록품번"))</f>
        <v/>
      </c>
      <c r="F767" s="12" t="str">
        <f aca="false">IF($D767="","",IFERROR(INDEX(품목마스터!$D$3:$D$202,MATCH($D767,품목마스터!$A$3:$A$202,0)),""))</f>
        <v/>
      </c>
      <c r="G767" s="9"/>
      <c r="H767" s="9"/>
      <c r="I767" s="13" t="str">
        <f aca="false">IF(OR($G767="",$H767=""),"",ROUND($G767*$H767,0))</f>
        <v/>
      </c>
      <c r="J767" s="7"/>
    </row>
    <row r="768" customFormat="false" ht="15" hidden="false" customHeight="true" outlineLevel="0" collapsed="false">
      <c r="A768" s="11"/>
      <c r="B768" s="7"/>
      <c r="C768" s="12" t="str">
        <f aca="false">IF($B768="","",IFERROR(INDEX(거래처마스터!$B$3:$B$102,MATCH($B768,거래처마스터!$A$3:$A$102,0)),"미등록"))</f>
        <v/>
      </c>
      <c r="D768" s="7"/>
      <c r="E768" s="12" t="str">
        <f aca="false">IF($D768="","",IFERROR(INDEX(품목마스터!$B$3:$B$202,MATCH($D768,품목마스터!$A$3:$A$202,0)),"미등록품번"))</f>
        <v/>
      </c>
      <c r="F768" s="12" t="str">
        <f aca="false">IF($D768="","",IFERROR(INDEX(품목마스터!$D$3:$D$202,MATCH($D768,품목마스터!$A$3:$A$202,0)),""))</f>
        <v/>
      </c>
      <c r="G768" s="9"/>
      <c r="H768" s="9"/>
      <c r="I768" s="13" t="str">
        <f aca="false">IF(OR($G768="",$H768=""),"",ROUND($G768*$H768,0))</f>
        <v/>
      </c>
      <c r="J768" s="7"/>
    </row>
    <row r="769" customFormat="false" ht="15" hidden="false" customHeight="true" outlineLevel="0" collapsed="false">
      <c r="A769" s="11"/>
      <c r="B769" s="7"/>
      <c r="C769" s="12" t="str">
        <f aca="false">IF($B769="","",IFERROR(INDEX(거래처마스터!$B$3:$B$102,MATCH($B769,거래처마스터!$A$3:$A$102,0)),"미등록"))</f>
        <v/>
      </c>
      <c r="D769" s="7"/>
      <c r="E769" s="12" t="str">
        <f aca="false">IF($D769="","",IFERROR(INDEX(품목마스터!$B$3:$B$202,MATCH($D769,품목마스터!$A$3:$A$202,0)),"미등록품번"))</f>
        <v/>
      </c>
      <c r="F769" s="12" t="str">
        <f aca="false">IF($D769="","",IFERROR(INDEX(품목마스터!$D$3:$D$202,MATCH($D769,품목마스터!$A$3:$A$202,0)),""))</f>
        <v/>
      </c>
      <c r="G769" s="9"/>
      <c r="H769" s="9"/>
      <c r="I769" s="13" t="str">
        <f aca="false">IF(OR($G769="",$H769=""),"",ROUND($G769*$H769,0))</f>
        <v/>
      </c>
      <c r="J769" s="7"/>
    </row>
    <row r="770" customFormat="false" ht="15" hidden="false" customHeight="true" outlineLevel="0" collapsed="false">
      <c r="A770" s="11"/>
      <c r="B770" s="7"/>
      <c r="C770" s="12" t="str">
        <f aca="false">IF($B770="","",IFERROR(INDEX(거래처마스터!$B$3:$B$102,MATCH($B770,거래처마스터!$A$3:$A$102,0)),"미등록"))</f>
        <v/>
      </c>
      <c r="D770" s="7"/>
      <c r="E770" s="12" t="str">
        <f aca="false">IF($D770="","",IFERROR(INDEX(품목마스터!$B$3:$B$202,MATCH($D770,품목마스터!$A$3:$A$202,0)),"미등록품번"))</f>
        <v/>
      </c>
      <c r="F770" s="12" t="str">
        <f aca="false">IF($D770="","",IFERROR(INDEX(품목마스터!$D$3:$D$202,MATCH($D770,품목마스터!$A$3:$A$202,0)),""))</f>
        <v/>
      </c>
      <c r="G770" s="9"/>
      <c r="H770" s="9"/>
      <c r="I770" s="13" t="str">
        <f aca="false">IF(OR($G770="",$H770=""),"",ROUND($G770*$H770,0))</f>
        <v/>
      </c>
      <c r="J770" s="7"/>
    </row>
    <row r="771" customFormat="false" ht="15" hidden="false" customHeight="true" outlineLevel="0" collapsed="false">
      <c r="A771" s="11"/>
      <c r="B771" s="7"/>
      <c r="C771" s="12" t="str">
        <f aca="false">IF($B771="","",IFERROR(INDEX(거래처마스터!$B$3:$B$102,MATCH($B771,거래처마스터!$A$3:$A$102,0)),"미등록"))</f>
        <v/>
      </c>
      <c r="D771" s="7"/>
      <c r="E771" s="12" t="str">
        <f aca="false">IF($D771="","",IFERROR(INDEX(품목마스터!$B$3:$B$202,MATCH($D771,품목마스터!$A$3:$A$202,0)),"미등록품번"))</f>
        <v/>
      </c>
      <c r="F771" s="12" t="str">
        <f aca="false">IF($D771="","",IFERROR(INDEX(품목마스터!$D$3:$D$202,MATCH($D771,품목마스터!$A$3:$A$202,0)),""))</f>
        <v/>
      </c>
      <c r="G771" s="9"/>
      <c r="H771" s="9"/>
      <c r="I771" s="13" t="str">
        <f aca="false">IF(OR($G771="",$H771=""),"",ROUND($G771*$H771,0))</f>
        <v/>
      </c>
      <c r="J771" s="7"/>
    </row>
    <row r="772" customFormat="false" ht="15" hidden="false" customHeight="true" outlineLevel="0" collapsed="false">
      <c r="A772" s="11"/>
      <c r="B772" s="7"/>
      <c r="C772" s="12" t="str">
        <f aca="false">IF($B772="","",IFERROR(INDEX(거래처마스터!$B$3:$B$102,MATCH($B772,거래처마스터!$A$3:$A$102,0)),"미등록"))</f>
        <v/>
      </c>
      <c r="D772" s="7"/>
      <c r="E772" s="12" t="str">
        <f aca="false">IF($D772="","",IFERROR(INDEX(품목마스터!$B$3:$B$202,MATCH($D772,품목마스터!$A$3:$A$202,0)),"미등록품번"))</f>
        <v/>
      </c>
      <c r="F772" s="12" t="str">
        <f aca="false">IF($D772="","",IFERROR(INDEX(품목마스터!$D$3:$D$202,MATCH($D772,품목마스터!$A$3:$A$202,0)),""))</f>
        <v/>
      </c>
      <c r="G772" s="9"/>
      <c r="H772" s="9"/>
      <c r="I772" s="13" t="str">
        <f aca="false">IF(OR($G772="",$H772=""),"",ROUND($G772*$H772,0))</f>
        <v/>
      </c>
      <c r="J772" s="7"/>
    </row>
    <row r="773" customFormat="false" ht="15" hidden="false" customHeight="true" outlineLevel="0" collapsed="false">
      <c r="A773" s="11"/>
      <c r="B773" s="7"/>
      <c r="C773" s="12" t="str">
        <f aca="false">IF($B773="","",IFERROR(INDEX(거래처마스터!$B$3:$B$102,MATCH($B773,거래처마스터!$A$3:$A$102,0)),"미등록"))</f>
        <v/>
      </c>
      <c r="D773" s="7"/>
      <c r="E773" s="12" t="str">
        <f aca="false">IF($D773="","",IFERROR(INDEX(품목마스터!$B$3:$B$202,MATCH($D773,품목마스터!$A$3:$A$202,0)),"미등록품번"))</f>
        <v/>
      </c>
      <c r="F773" s="12" t="str">
        <f aca="false">IF($D773="","",IFERROR(INDEX(품목마스터!$D$3:$D$202,MATCH($D773,품목마스터!$A$3:$A$202,0)),""))</f>
        <v/>
      </c>
      <c r="G773" s="9"/>
      <c r="H773" s="9"/>
      <c r="I773" s="13" t="str">
        <f aca="false">IF(OR($G773="",$H773=""),"",ROUND($G773*$H773,0))</f>
        <v/>
      </c>
      <c r="J773" s="7"/>
    </row>
    <row r="774" customFormat="false" ht="15" hidden="false" customHeight="true" outlineLevel="0" collapsed="false">
      <c r="A774" s="11"/>
      <c r="B774" s="7"/>
      <c r="C774" s="12" t="str">
        <f aca="false">IF($B774="","",IFERROR(INDEX(거래처마스터!$B$3:$B$102,MATCH($B774,거래처마스터!$A$3:$A$102,0)),"미등록"))</f>
        <v/>
      </c>
      <c r="D774" s="7"/>
      <c r="E774" s="12" t="str">
        <f aca="false">IF($D774="","",IFERROR(INDEX(품목마스터!$B$3:$B$202,MATCH($D774,품목마스터!$A$3:$A$202,0)),"미등록품번"))</f>
        <v/>
      </c>
      <c r="F774" s="12" t="str">
        <f aca="false">IF($D774="","",IFERROR(INDEX(품목마스터!$D$3:$D$202,MATCH($D774,품목마스터!$A$3:$A$202,0)),""))</f>
        <v/>
      </c>
      <c r="G774" s="9"/>
      <c r="H774" s="9"/>
      <c r="I774" s="13" t="str">
        <f aca="false">IF(OR($G774="",$H774=""),"",ROUND($G774*$H774,0))</f>
        <v/>
      </c>
      <c r="J774" s="7"/>
    </row>
    <row r="775" customFormat="false" ht="15" hidden="false" customHeight="true" outlineLevel="0" collapsed="false">
      <c r="A775" s="11"/>
      <c r="B775" s="7"/>
      <c r="C775" s="12" t="str">
        <f aca="false">IF($B775="","",IFERROR(INDEX(거래처마스터!$B$3:$B$102,MATCH($B775,거래처마스터!$A$3:$A$102,0)),"미등록"))</f>
        <v/>
      </c>
      <c r="D775" s="7"/>
      <c r="E775" s="12" t="str">
        <f aca="false">IF($D775="","",IFERROR(INDEX(품목마스터!$B$3:$B$202,MATCH($D775,품목마스터!$A$3:$A$202,0)),"미등록품번"))</f>
        <v/>
      </c>
      <c r="F775" s="12" t="str">
        <f aca="false">IF($D775="","",IFERROR(INDEX(품목마스터!$D$3:$D$202,MATCH($D775,품목마스터!$A$3:$A$202,0)),""))</f>
        <v/>
      </c>
      <c r="G775" s="9"/>
      <c r="H775" s="9"/>
      <c r="I775" s="13" t="str">
        <f aca="false">IF(OR($G775="",$H775=""),"",ROUND($G775*$H775,0))</f>
        <v/>
      </c>
      <c r="J775" s="7"/>
    </row>
    <row r="776" customFormat="false" ht="15" hidden="false" customHeight="true" outlineLevel="0" collapsed="false">
      <c r="A776" s="11"/>
      <c r="B776" s="7"/>
      <c r="C776" s="12" t="str">
        <f aca="false">IF($B776="","",IFERROR(INDEX(거래처마스터!$B$3:$B$102,MATCH($B776,거래처마스터!$A$3:$A$102,0)),"미등록"))</f>
        <v/>
      </c>
      <c r="D776" s="7"/>
      <c r="E776" s="12" t="str">
        <f aca="false">IF($D776="","",IFERROR(INDEX(품목마스터!$B$3:$B$202,MATCH($D776,품목마스터!$A$3:$A$202,0)),"미등록품번"))</f>
        <v/>
      </c>
      <c r="F776" s="12" t="str">
        <f aca="false">IF($D776="","",IFERROR(INDEX(품목마스터!$D$3:$D$202,MATCH($D776,품목마스터!$A$3:$A$202,0)),""))</f>
        <v/>
      </c>
      <c r="G776" s="9"/>
      <c r="H776" s="9"/>
      <c r="I776" s="13" t="str">
        <f aca="false">IF(OR($G776="",$H776=""),"",ROUND($G776*$H776,0))</f>
        <v/>
      </c>
      <c r="J776" s="7"/>
    </row>
    <row r="777" customFormat="false" ht="15" hidden="false" customHeight="true" outlineLevel="0" collapsed="false">
      <c r="A777" s="11"/>
      <c r="B777" s="7"/>
      <c r="C777" s="12" t="str">
        <f aca="false">IF($B777="","",IFERROR(INDEX(거래처마스터!$B$3:$B$102,MATCH($B777,거래처마스터!$A$3:$A$102,0)),"미등록"))</f>
        <v/>
      </c>
      <c r="D777" s="7"/>
      <c r="E777" s="12" t="str">
        <f aca="false">IF($D777="","",IFERROR(INDEX(품목마스터!$B$3:$B$202,MATCH($D777,품목마스터!$A$3:$A$202,0)),"미등록품번"))</f>
        <v/>
      </c>
      <c r="F777" s="12" t="str">
        <f aca="false">IF($D777="","",IFERROR(INDEX(품목마스터!$D$3:$D$202,MATCH($D777,품목마스터!$A$3:$A$202,0)),""))</f>
        <v/>
      </c>
      <c r="G777" s="9"/>
      <c r="H777" s="9"/>
      <c r="I777" s="13" t="str">
        <f aca="false">IF(OR($G777="",$H777=""),"",ROUND($G777*$H777,0))</f>
        <v/>
      </c>
      <c r="J777" s="7"/>
    </row>
    <row r="778" customFormat="false" ht="15" hidden="false" customHeight="true" outlineLevel="0" collapsed="false">
      <c r="A778" s="11"/>
      <c r="B778" s="7"/>
      <c r="C778" s="12" t="str">
        <f aca="false">IF($B778="","",IFERROR(INDEX(거래처마스터!$B$3:$B$102,MATCH($B778,거래처마스터!$A$3:$A$102,0)),"미등록"))</f>
        <v/>
      </c>
      <c r="D778" s="7"/>
      <c r="E778" s="12" t="str">
        <f aca="false">IF($D778="","",IFERROR(INDEX(품목마스터!$B$3:$B$202,MATCH($D778,품목마스터!$A$3:$A$202,0)),"미등록품번"))</f>
        <v/>
      </c>
      <c r="F778" s="12" t="str">
        <f aca="false">IF($D778="","",IFERROR(INDEX(품목마스터!$D$3:$D$202,MATCH($D778,품목마스터!$A$3:$A$202,0)),""))</f>
        <v/>
      </c>
      <c r="G778" s="9"/>
      <c r="H778" s="9"/>
      <c r="I778" s="13" t="str">
        <f aca="false">IF(OR($G778="",$H778=""),"",ROUND($G778*$H778,0))</f>
        <v/>
      </c>
      <c r="J778" s="7"/>
    </row>
    <row r="779" customFormat="false" ht="15" hidden="false" customHeight="true" outlineLevel="0" collapsed="false">
      <c r="A779" s="11"/>
      <c r="B779" s="7"/>
      <c r="C779" s="12" t="str">
        <f aca="false">IF($B779="","",IFERROR(INDEX(거래처마스터!$B$3:$B$102,MATCH($B779,거래처마스터!$A$3:$A$102,0)),"미등록"))</f>
        <v/>
      </c>
      <c r="D779" s="7"/>
      <c r="E779" s="12" t="str">
        <f aca="false">IF($D779="","",IFERROR(INDEX(품목마스터!$B$3:$B$202,MATCH($D779,품목마스터!$A$3:$A$202,0)),"미등록품번"))</f>
        <v/>
      </c>
      <c r="F779" s="12" t="str">
        <f aca="false">IF($D779="","",IFERROR(INDEX(품목마스터!$D$3:$D$202,MATCH($D779,품목마스터!$A$3:$A$202,0)),""))</f>
        <v/>
      </c>
      <c r="G779" s="9"/>
      <c r="H779" s="9"/>
      <c r="I779" s="13" t="str">
        <f aca="false">IF(OR($G779="",$H779=""),"",ROUND($G779*$H779,0))</f>
        <v/>
      </c>
      <c r="J779" s="7"/>
    </row>
    <row r="780" customFormat="false" ht="15" hidden="false" customHeight="true" outlineLevel="0" collapsed="false">
      <c r="A780" s="11"/>
      <c r="B780" s="7"/>
      <c r="C780" s="12" t="str">
        <f aca="false">IF($B780="","",IFERROR(INDEX(거래처마스터!$B$3:$B$102,MATCH($B780,거래처마스터!$A$3:$A$102,0)),"미등록"))</f>
        <v/>
      </c>
      <c r="D780" s="7"/>
      <c r="E780" s="12" t="str">
        <f aca="false">IF($D780="","",IFERROR(INDEX(품목마스터!$B$3:$B$202,MATCH($D780,품목마스터!$A$3:$A$202,0)),"미등록품번"))</f>
        <v/>
      </c>
      <c r="F780" s="12" t="str">
        <f aca="false">IF($D780="","",IFERROR(INDEX(품목마스터!$D$3:$D$202,MATCH($D780,품목마스터!$A$3:$A$202,0)),""))</f>
        <v/>
      </c>
      <c r="G780" s="9"/>
      <c r="H780" s="9"/>
      <c r="I780" s="13" t="str">
        <f aca="false">IF(OR($G780="",$H780=""),"",ROUND($G780*$H780,0))</f>
        <v/>
      </c>
      <c r="J780" s="7"/>
    </row>
    <row r="781" customFormat="false" ht="15" hidden="false" customHeight="true" outlineLevel="0" collapsed="false">
      <c r="A781" s="11"/>
      <c r="B781" s="7"/>
      <c r="C781" s="12" t="str">
        <f aca="false">IF($B781="","",IFERROR(INDEX(거래처마스터!$B$3:$B$102,MATCH($B781,거래처마스터!$A$3:$A$102,0)),"미등록"))</f>
        <v/>
      </c>
      <c r="D781" s="7"/>
      <c r="E781" s="12" t="str">
        <f aca="false">IF($D781="","",IFERROR(INDEX(품목마스터!$B$3:$B$202,MATCH($D781,품목마스터!$A$3:$A$202,0)),"미등록품번"))</f>
        <v/>
      </c>
      <c r="F781" s="12" t="str">
        <f aca="false">IF($D781="","",IFERROR(INDEX(품목마스터!$D$3:$D$202,MATCH($D781,품목마스터!$A$3:$A$202,0)),""))</f>
        <v/>
      </c>
      <c r="G781" s="9"/>
      <c r="H781" s="9"/>
      <c r="I781" s="13" t="str">
        <f aca="false">IF(OR($G781="",$H781=""),"",ROUND($G781*$H781,0))</f>
        <v/>
      </c>
      <c r="J781" s="7"/>
    </row>
    <row r="782" customFormat="false" ht="15" hidden="false" customHeight="true" outlineLevel="0" collapsed="false">
      <c r="A782" s="11"/>
      <c r="B782" s="7"/>
      <c r="C782" s="12" t="str">
        <f aca="false">IF($B782="","",IFERROR(INDEX(거래처마스터!$B$3:$B$102,MATCH($B782,거래처마스터!$A$3:$A$102,0)),"미등록"))</f>
        <v/>
      </c>
      <c r="D782" s="7"/>
      <c r="E782" s="12" t="str">
        <f aca="false">IF($D782="","",IFERROR(INDEX(품목마스터!$B$3:$B$202,MATCH($D782,품목마스터!$A$3:$A$202,0)),"미등록품번"))</f>
        <v/>
      </c>
      <c r="F782" s="12" t="str">
        <f aca="false">IF($D782="","",IFERROR(INDEX(품목마스터!$D$3:$D$202,MATCH($D782,품목마스터!$A$3:$A$202,0)),""))</f>
        <v/>
      </c>
      <c r="G782" s="9"/>
      <c r="H782" s="9"/>
      <c r="I782" s="13" t="str">
        <f aca="false">IF(OR($G782="",$H782=""),"",ROUND($G782*$H782,0))</f>
        <v/>
      </c>
      <c r="J782" s="7"/>
    </row>
    <row r="783" customFormat="false" ht="15" hidden="false" customHeight="true" outlineLevel="0" collapsed="false">
      <c r="A783" s="11"/>
      <c r="B783" s="7"/>
      <c r="C783" s="12" t="str">
        <f aca="false">IF($B783="","",IFERROR(INDEX(거래처마스터!$B$3:$B$102,MATCH($B783,거래처마스터!$A$3:$A$102,0)),"미등록"))</f>
        <v/>
      </c>
      <c r="D783" s="7"/>
      <c r="E783" s="12" t="str">
        <f aca="false">IF($D783="","",IFERROR(INDEX(품목마스터!$B$3:$B$202,MATCH($D783,품목마스터!$A$3:$A$202,0)),"미등록품번"))</f>
        <v/>
      </c>
      <c r="F783" s="12" t="str">
        <f aca="false">IF($D783="","",IFERROR(INDEX(품목마스터!$D$3:$D$202,MATCH($D783,품목마스터!$A$3:$A$202,0)),""))</f>
        <v/>
      </c>
      <c r="G783" s="9"/>
      <c r="H783" s="9"/>
      <c r="I783" s="13" t="str">
        <f aca="false">IF(OR($G783="",$H783=""),"",ROUND($G783*$H783,0))</f>
        <v/>
      </c>
      <c r="J783" s="7"/>
    </row>
    <row r="784" customFormat="false" ht="15" hidden="false" customHeight="true" outlineLevel="0" collapsed="false">
      <c r="A784" s="11"/>
      <c r="B784" s="7"/>
      <c r="C784" s="12" t="str">
        <f aca="false">IF($B784="","",IFERROR(INDEX(거래처마스터!$B$3:$B$102,MATCH($B784,거래처마스터!$A$3:$A$102,0)),"미등록"))</f>
        <v/>
      </c>
      <c r="D784" s="7"/>
      <c r="E784" s="12" t="str">
        <f aca="false">IF($D784="","",IFERROR(INDEX(품목마스터!$B$3:$B$202,MATCH($D784,품목마스터!$A$3:$A$202,0)),"미등록품번"))</f>
        <v/>
      </c>
      <c r="F784" s="12" t="str">
        <f aca="false">IF($D784="","",IFERROR(INDEX(품목마스터!$D$3:$D$202,MATCH($D784,품목마스터!$A$3:$A$202,0)),""))</f>
        <v/>
      </c>
      <c r="G784" s="9"/>
      <c r="H784" s="9"/>
      <c r="I784" s="13" t="str">
        <f aca="false">IF(OR($G784="",$H784=""),"",ROUND($G784*$H784,0))</f>
        <v/>
      </c>
      <c r="J784" s="7"/>
    </row>
    <row r="785" customFormat="false" ht="15" hidden="false" customHeight="true" outlineLevel="0" collapsed="false">
      <c r="A785" s="11"/>
      <c r="B785" s="7"/>
      <c r="C785" s="12" t="str">
        <f aca="false">IF($B785="","",IFERROR(INDEX(거래처마스터!$B$3:$B$102,MATCH($B785,거래처마스터!$A$3:$A$102,0)),"미등록"))</f>
        <v/>
      </c>
      <c r="D785" s="7"/>
      <c r="E785" s="12" t="str">
        <f aca="false">IF($D785="","",IFERROR(INDEX(품목마스터!$B$3:$B$202,MATCH($D785,품목마스터!$A$3:$A$202,0)),"미등록품번"))</f>
        <v/>
      </c>
      <c r="F785" s="12" t="str">
        <f aca="false">IF($D785="","",IFERROR(INDEX(품목마스터!$D$3:$D$202,MATCH($D785,품목마스터!$A$3:$A$202,0)),""))</f>
        <v/>
      </c>
      <c r="G785" s="9"/>
      <c r="H785" s="9"/>
      <c r="I785" s="13" t="str">
        <f aca="false">IF(OR($G785="",$H785=""),"",ROUND($G785*$H785,0))</f>
        <v/>
      </c>
      <c r="J785" s="7"/>
    </row>
    <row r="786" customFormat="false" ht="15" hidden="false" customHeight="true" outlineLevel="0" collapsed="false">
      <c r="A786" s="11"/>
      <c r="B786" s="7"/>
      <c r="C786" s="12" t="str">
        <f aca="false">IF($B786="","",IFERROR(INDEX(거래처마스터!$B$3:$B$102,MATCH($B786,거래처마스터!$A$3:$A$102,0)),"미등록"))</f>
        <v/>
      </c>
      <c r="D786" s="7"/>
      <c r="E786" s="12" t="str">
        <f aca="false">IF($D786="","",IFERROR(INDEX(품목마스터!$B$3:$B$202,MATCH($D786,품목마스터!$A$3:$A$202,0)),"미등록품번"))</f>
        <v/>
      </c>
      <c r="F786" s="12" t="str">
        <f aca="false">IF($D786="","",IFERROR(INDEX(품목마스터!$D$3:$D$202,MATCH($D786,품목마스터!$A$3:$A$202,0)),""))</f>
        <v/>
      </c>
      <c r="G786" s="9"/>
      <c r="H786" s="9"/>
      <c r="I786" s="13" t="str">
        <f aca="false">IF(OR($G786="",$H786=""),"",ROUND($G786*$H786,0))</f>
        <v/>
      </c>
      <c r="J786" s="7"/>
    </row>
    <row r="787" customFormat="false" ht="15" hidden="false" customHeight="true" outlineLevel="0" collapsed="false">
      <c r="A787" s="11"/>
      <c r="B787" s="7"/>
      <c r="C787" s="12" t="str">
        <f aca="false">IF($B787="","",IFERROR(INDEX(거래처마스터!$B$3:$B$102,MATCH($B787,거래처마스터!$A$3:$A$102,0)),"미등록"))</f>
        <v/>
      </c>
      <c r="D787" s="7"/>
      <c r="E787" s="12" t="str">
        <f aca="false">IF($D787="","",IFERROR(INDEX(품목마스터!$B$3:$B$202,MATCH($D787,품목마스터!$A$3:$A$202,0)),"미등록품번"))</f>
        <v/>
      </c>
      <c r="F787" s="12" t="str">
        <f aca="false">IF($D787="","",IFERROR(INDEX(품목마스터!$D$3:$D$202,MATCH($D787,품목마스터!$A$3:$A$202,0)),""))</f>
        <v/>
      </c>
      <c r="G787" s="9"/>
      <c r="H787" s="9"/>
      <c r="I787" s="13" t="str">
        <f aca="false">IF(OR($G787="",$H787=""),"",ROUND($G787*$H787,0))</f>
        <v/>
      </c>
      <c r="J787" s="7"/>
    </row>
    <row r="788" customFormat="false" ht="15" hidden="false" customHeight="true" outlineLevel="0" collapsed="false">
      <c r="A788" s="11"/>
      <c r="B788" s="7"/>
      <c r="C788" s="12" t="str">
        <f aca="false">IF($B788="","",IFERROR(INDEX(거래처마스터!$B$3:$B$102,MATCH($B788,거래처마스터!$A$3:$A$102,0)),"미등록"))</f>
        <v/>
      </c>
      <c r="D788" s="7"/>
      <c r="E788" s="12" t="str">
        <f aca="false">IF($D788="","",IFERROR(INDEX(품목마스터!$B$3:$B$202,MATCH($D788,품목마스터!$A$3:$A$202,0)),"미등록품번"))</f>
        <v/>
      </c>
      <c r="F788" s="12" t="str">
        <f aca="false">IF($D788="","",IFERROR(INDEX(품목마스터!$D$3:$D$202,MATCH($D788,품목마스터!$A$3:$A$202,0)),""))</f>
        <v/>
      </c>
      <c r="G788" s="9"/>
      <c r="H788" s="9"/>
      <c r="I788" s="13" t="str">
        <f aca="false">IF(OR($G788="",$H788=""),"",ROUND($G788*$H788,0))</f>
        <v/>
      </c>
      <c r="J788" s="7"/>
    </row>
    <row r="789" customFormat="false" ht="15" hidden="false" customHeight="true" outlineLevel="0" collapsed="false">
      <c r="A789" s="11"/>
      <c r="B789" s="7"/>
      <c r="C789" s="12" t="str">
        <f aca="false">IF($B789="","",IFERROR(INDEX(거래처마스터!$B$3:$B$102,MATCH($B789,거래처마스터!$A$3:$A$102,0)),"미등록"))</f>
        <v/>
      </c>
      <c r="D789" s="7"/>
      <c r="E789" s="12" t="str">
        <f aca="false">IF($D789="","",IFERROR(INDEX(품목마스터!$B$3:$B$202,MATCH($D789,품목마스터!$A$3:$A$202,0)),"미등록품번"))</f>
        <v/>
      </c>
      <c r="F789" s="12" t="str">
        <f aca="false">IF($D789="","",IFERROR(INDEX(품목마스터!$D$3:$D$202,MATCH($D789,품목마스터!$A$3:$A$202,0)),""))</f>
        <v/>
      </c>
      <c r="G789" s="9"/>
      <c r="H789" s="9"/>
      <c r="I789" s="13" t="str">
        <f aca="false">IF(OR($G789="",$H789=""),"",ROUND($G789*$H789,0))</f>
        <v/>
      </c>
      <c r="J789" s="7"/>
    </row>
    <row r="790" customFormat="false" ht="15" hidden="false" customHeight="true" outlineLevel="0" collapsed="false">
      <c r="A790" s="11"/>
      <c r="B790" s="7"/>
      <c r="C790" s="12" t="str">
        <f aca="false">IF($B790="","",IFERROR(INDEX(거래처마스터!$B$3:$B$102,MATCH($B790,거래처마스터!$A$3:$A$102,0)),"미등록"))</f>
        <v/>
      </c>
      <c r="D790" s="7"/>
      <c r="E790" s="12" t="str">
        <f aca="false">IF($D790="","",IFERROR(INDEX(품목마스터!$B$3:$B$202,MATCH($D790,품목마스터!$A$3:$A$202,0)),"미등록품번"))</f>
        <v/>
      </c>
      <c r="F790" s="12" t="str">
        <f aca="false">IF($D790="","",IFERROR(INDEX(품목마스터!$D$3:$D$202,MATCH($D790,품목마스터!$A$3:$A$202,0)),""))</f>
        <v/>
      </c>
      <c r="G790" s="9"/>
      <c r="H790" s="9"/>
      <c r="I790" s="13" t="str">
        <f aca="false">IF(OR($G790="",$H790=""),"",ROUND($G790*$H790,0))</f>
        <v/>
      </c>
      <c r="J790" s="7"/>
    </row>
    <row r="791" customFormat="false" ht="15" hidden="false" customHeight="true" outlineLevel="0" collapsed="false">
      <c r="A791" s="11"/>
      <c r="B791" s="7"/>
      <c r="C791" s="12" t="str">
        <f aca="false">IF($B791="","",IFERROR(INDEX(거래처마스터!$B$3:$B$102,MATCH($B791,거래처마스터!$A$3:$A$102,0)),"미등록"))</f>
        <v/>
      </c>
      <c r="D791" s="7"/>
      <c r="E791" s="12" t="str">
        <f aca="false">IF($D791="","",IFERROR(INDEX(품목마스터!$B$3:$B$202,MATCH($D791,품목마스터!$A$3:$A$202,0)),"미등록품번"))</f>
        <v/>
      </c>
      <c r="F791" s="12" t="str">
        <f aca="false">IF($D791="","",IFERROR(INDEX(품목마스터!$D$3:$D$202,MATCH($D791,품목마스터!$A$3:$A$202,0)),""))</f>
        <v/>
      </c>
      <c r="G791" s="9"/>
      <c r="H791" s="9"/>
      <c r="I791" s="13" t="str">
        <f aca="false">IF(OR($G791="",$H791=""),"",ROUND($G791*$H791,0))</f>
        <v/>
      </c>
      <c r="J791" s="7"/>
    </row>
    <row r="792" customFormat="false" ht="15" hidden="false" customHeight="true" outlineLevel="0" collapsed="false">
      <c r="A792" s="11"/>
      <c r="B792" s="7"/>
      <c r="C792" s="12" t="str">
        <f aca="false">IF($B792="","",IFERROR(INDEX(거래처마스터!$B$3:$B$102,MATCH($B792,거래처마스터!$A$3:$A$102,0)),"미등록"))</f>
        <v/>
      </c>
      <c r="D792" s="7"/>
      <c r="E792" s="12" t="str">
        <f aca="false">IF($D792="","",IFERROR(INDEX(품목마스터!$B$3:$B$202,MATCH($D792,품목마스터!$A$3:$A$202,0)),"미등록품번"))</f>
        <v/>
      </c>
      <c r="F792" s="12" t="str">
        <f aca="false">IF($D792="","",IFERROR(INDEX(품목마스터!$D$3:$D$202,MATCH($D792,품목마스터!$A$3:$A$202,0)),""))</f>
        <v/>
      </c>
      <c r="G792" s="9"/>
      <c r="H792" s="9"/>
      <c r="I792" s="13" t="str">
        <f aca="false">IF(OR($G792="",$H792=""),"",ROUND($G792*$H792,0))</f>
        <v/>
      </c>
      <c r="J792" s="7"/>
    </row>
    <row r="793" customFormat="false" ht="15" hidden="false" customHeight="true" outlineLevel="0" collapsed="false">
      <c r="A793" s="11"/>
      <c r="B793" s="7"/>
      <c r="C793" s="12" t="str">
        <f aca="false">IF($B793="","",IFERROR(INDEX(거래처마스터!$B$3:$B$102,MATCH($B793,거래처마스터!$A$3:$A$102,0)),"미등록"))</f>
        <v/>
      </c>
      <c r="D793" s="7"/>
      <c r="E793" s="12" t="str">
        <f aca="false">IF($D793="","",IFERROR(INDEX(품목마스터!$B$3:$B$202,MATCH($D793,품목마스터!$A$3:$A$202,0)),"미등록품번"))</f>
        <v/>
      </c>
      <c r="F793" s="12" t="str">
        <f aca="false">IF($D793="","",IFERROR(INDEX(품목마스터!$D$3:$D$202,MATCH($D793,품목마스터!$A$3:$A$202,0)),""))</f>
        <v/>
      </c>
      <c r="G793" s="9"/>
      <c r="H793" s="9"/>
      <c r="I793" s="13" t="str">
        <f aca="false">IF(OR($G793="",$H793=""),"",ROUND($G793*$H793,0))</f>
        <v/>
      </c>
      <c r="J793" s="7"/>
    </row>
    <row r="794" customFormat="false" ht="15" hidden="false" customHeight="true" outlineLevel="0" collapsed="false">
      <c r="A794" s="11"/>
      <c r="B794" s="7"/>
      <c r="C794" s="12" t="str">
        <f aca="false">IF($B794="","",IFERROR(INDEX(거래처마스터!$B$3:$B$102,MATCH($B794,거래처마스터!$A$3:$A$102,0)),"미등록"))</f>
        <v/>
      </c>
      <c r="D794" s="7"/>
      <c r="E794" s="12" t="str">
        <f aca="false">IF($D794="","",IFERROR(INDEX(품목마스터!$B$3:$B$202,MATCH($D794,품목마스터!$A$3:$A$202,0)),"미등록품번"))</f>
        <v/>
      </c>
      <c r="F794" s="12" t="str">
        <f aca="false">IF($D794="","",IFERROR(INDEX(품목마스터!$D$3:$D$202,MATCH($D794,품목마스터!$A$3:$A$202,0)),""))</f>
        <v/>
      </c>
      <c r="G794" s="9"/>
      <c r="H794" s="9"/>
      <c r="I794" s="13" t="str">
        <f aca="false">IF(OR($G794="",$H794=""),"",ROUND($G794*$H794,0))</f>
        <v/>
      </c>
      <c r="J794" s="7"/>
    </row>
    <row r="795" customFormat="false" ht="15" hidden="false" customHeight="true" outlineLevel="0" collapsed="false">
      <c r="A795" s="11"/>
      <c r="B795" s="7"/>
      <c r="C795" s="12" t="str">
        <f aca="false">IF($B795="","",IFERROR(INDEX(거래처마스터!$B$3:$B$102,MATCH($B795,거래처마스터!$A$3:$A$102,0)),"미등록"))</f>
        <v/>
      </c>
      <c r="D795" s="7"/>
      <c r="E795" s="12" t="str">
        <f aca="false">IF($D795="","",IFERROR(INDEX(품목마스터!$B$3:$B$202,MATCH($D795,품목마스터!$A$3:$A$202,0)),"미등록품번"))</f>
        <v/>
      </c>
      <c r="F795" s="12" t="str">
        <f aca="false">IF($D795="","",IFERROR(INDEX(품목마스터!$D$3:$D$202,MATCH($D795,품목마스터!$A$3:$A$202,0)),""))</f>
        <v/>
      </c>
      <c r="G795" s="9"/>
      <c r="H795" s="9"/>
      <c r="I795" s="13" t="str">
        <f aca="false">IF(OR($G795="",$H795=""),"",ROUND($G795*$H795,0))</f>
        <v/>
      </c>
      <c r="J795" s="7"/>
    </row>
    <row r="796" customFormat="false" ht="15" hidden="false" customHeight="true" outlineLevel="0" collapsed="false">
      <c r="A796" s="11"/>
      <c r="B796" s="7"/>
      <c r="C796" s="12" t="str">
        <f aca="false">IF($B796="","",IFERROR(INDEX(거래처마스터!$B$3:$B$102,MATCH($B796,거래처마스터!$A$3:$A$102,0)),"미등록"))</f>
        <v/>
      </c>
      <c r="D796" s="7"/>
      <c r="E796" s="12" t="str">
        <f aca="false">IF($D796="","",IFERROR(INDEX(품목마스터!$B$3:$B$202,MATCH($D796,품목마스터!$A$3:$A$202,0)),"미등록품번"))</f>
        <v/>
      </c>
      <c r="F796" s="12" t="str">
        <f aca="false">IF($D796="","",IFERROR(INDEX(품목마스터!$D$3:$D$202,MATCH($D796,품목마스터!$A$3:$A$202,0)),""))</f>
        <v/>
      </c>
      <c r="G796" s="9"/>
      <c r="H796" s="9"/>
      <c r="I796" s="13" t="str">
        <f aca="false">IF(OR($G796="",$H796=""),"",ROUND($G796*$H796,0))</f>
        <v/>
      </c>
      <c r="J796" s="7"/>
    </row>
    <row r="797" customFormat="false" ht="15" hidden="false" customHeight="true" outlineLevel="0" collapsed="false">
      <c r="A797" s="11"/>
      <c r="B797" s="7"/>
      <c r="C797" s="12" t="str">
        <f aca="false">IF($B797="","",IFERROR(INDEX(거래처마스터!$B$3:$B$102,MATCH($B797,거래처마스터!$A$3:$A$102,0)),"미등록"))</f>
        <v/>
      </c>
      <c r="D797" s="7"/>
      <c r="E797" s="12" t="str">
        <f aca="false">IF($D797="","",IFERROR(INDEX(품목마스터!$B$3:$B$202,MATCH($D797,품목마스터!$A$3:$A$202,0)),"미등록품번"))</f>
        <v/>
      </c>
      <c r="F797" s="12" t="str">
        <f aca="false">IF($D797="","",IFERROR(INDEX(품목마스터!$D$3:$D$202,MATCH($D797,품목마스터!$A$3:$A$202,0)),""))</f>
        <v/>
      </c>
      <c r="G797" s="9"/>
      <c r="H797" s="9"/>
      <c r="I797" s="13" t="str">
        <f aca="false">IF(OR($G797="",$H797=""),"",ROUND($G797*$H797,0))</f>
        <v/>
      </c>
      <c r="J797" s="7"/>
    </row>
    <row r="798" customFormat="false" ht="15" hidden="false" customHeight="true" outlineLevel="0" collapsed="false">
      <c r="A798" s="11"/>
      <c r="B798" s="7"/>
      <c r="C798" s="12" t="str">
        <f aca="false">IF($B798="","",IFERROR(INDEX(거래처마스터!$B$3:$B$102,MATCH($B798,거래처마스터!$A$3:$A$102,0)),"미등록"))</f>
        <v/>
      </c>
      <c r="D798" s="7"/>
      <c r="E798" s="12" t="str">
        <f aca="false">IF($D798="","",IFERROR(INDEX(품목마스터!$B$3:$B$202,MATCH($D798,품목마스터!$A$3:$A$202,0)),"미등록품번"))</f>
        <v/>
      </c>
      <c r="F798" s="12" t="str">
        <f aca="false">IF($D798="","",IFERROR(INDEX(품목마스터!$D$3:$D$202,MATCH($D798,품목마스터!$A$3:$A$202,0)),""))</f>
        <v/>
      </c>
      <c r="G798" s="9"/>
      <c r="H798" s="9"/>
      <c r="I798" s="13" t="str">
        <f aca="false">IF(OR($G798="",$H798=""),"",ROUND($G798*$H798,0))</f>
        <v/>
      </c>
      <c r="J798" s="7"/>
    </row>
    <row r="799" customFormat="false" ht="15" hidden="false" customHeight="true" outlineLevel="0" collapsed="false">
      <c r="A799" s="11"/>
      <c r="B799" s="7"/>
      <c r="C799" s="12" t="str">
        <f aca="false">IF($B799="","",IFERROR(INDEX(거래처마스터!$B$3:$B$102,MATCH($B799,거래처마스터!$A$3:$A$102,0)),"미등록"))</f>
        <v/>
      </c>
      <c r="D799" s="7"/>
      <c r="E799" s="12" t="str">
        <f aca="false">IF($D799="","",IFERROR(INDEX(품목마스터!$B$3:$B$202,MATCH($D799,품목마스터!$A$3:$A$202,0)),"미등록품번"))</f>
        <v/>
      </c>
      <c r="F799" s="12" t="str">
        <f aca="false">IF($D799="","",IFERROR(INDEX(품목마스터!$D$3:$D$202,MATCH($D799,품목마스터!$A$3:$A$202,0)),""))</f>
        <v/>
      </c>
      <c r="G799" s="9"/>
      <c r="H799" s="9"/>
      <c r="I799" s="13" t="str">
        <f aca="false">IF(OR($G799="",$H799=""),"",ROUND($G799*$H799,0))</f>
        <v/>
      </c>
      <c r="J799" s="7"/>
    </row>
    <row r="800" customFormat="false" ht="15" hidden="false" customHeight="true" outlineLevel="0" collapsed="false">
      <c r="A800" s="11"/>
      <c r="B800" s="7"/>
      <c r="C800" s="12" t="str">
        <f aca="false">IF($B800="","",IFERROR(INDEX(거래처마스터!$B$3:$B$102,MATCH($B800,거래처마스터!$A$3:$A$102,0)),"미등록"))</f>
        <v/>
      </c>
      <c r="D800" s="7"/>
      <c r="E800" s="12" t="str">
        <f aca="false">IF($D800="","",IFERROR(INDEX(품목마스터!$B$3:$B$202,MATCH($D800,품목마스터!$A$3:$A$202,0)),"미등록품번"))</f>
        <v/>
      </c>
      <c r="F800" s="12" t="str">
        <f aca="false">IF($D800="","",IFERROR(INDEX(품목마스터!$D$3:$D$202,MATCH($D800,품목마스터!$A$3:$A$202,0)),""))</f>
        <v/>
      </c>
      <c r="G800" s="9"/>
      <c r="H800" s="9"/>
      <c r="I800" s="13" t="str">
        <f aca="false">IF(OR($G800="",$H800=""),"",ROUND($G800*$H800,0))</f>
        <v/>
      </c>
      <c r="J800" s="7"/>
    </row>
    <row r="801" customFormat="false" ht="15" hidden="false" customHeight="true" outlineLevel="0" collapsed="false">
      <c r="A801" s="11"/>
      <c r="B801" s="7"/>
      <c r="C801" s="12" t="str">
        <f aca="false">IF($B801="","",IFERROR(INDEX(거래처마스터!$B$3:$B$102,MATCH($B801,거래처마스터!$A$3:$A$102,0)),"미등록"))</f>
        <v/>
      </c>
      <c r="D801" s="7"/>
      <c r="E801" s="12" t="str">
        <f aca="false">IF($D801="","",IFERROR(INDEX(품목마스터!$B$3:$B$202,MATCH($D801,품목마스터!$A$3:$A$202,0)),"미등록품번"))</f>
        <v/>
      </c>
      <c r="F801" s="12" t="str">
        <f aca="false">IF($D801="","",IFERROR(INDEX(품목마스터!$D$3:$D$202,MATCH($D801,품목마스터!$A$3:$A$202,0)),""))</f>
        <v/>
      </c>
      <c r="G801" s="9"/>
      <c r="H801" s="9"/>
      <c r="I801" s="13" t="str">
        <f aca="false">IF(OR($G801="",$H801=""),"",ROUND($G801*$H801,0))</f>
        <v/>
      </c>
      <c r="J801" s="7"/>
    </row>
    <row r="802" customFormat="false" ht="15" hidden="false" customHeight="true" outlineLevel="0" collapsed="false">
      <c r="A802" s="11"/>
      <c r="B802" s="7"/>
      <c r="C802" s="12" t="str">
        <f aca="false">IF($B802="","",IFERROR(INDEX(거래처마스터!$B$3:$B$102,MATCH($B802,거래처마스터!$A$3:$A$102,0)),"미등록"))</f>
        <v/>
      </c>
      <c r="D802" s="7"/>
      <c r="E802" s="12" t="str">
        <f aca="false">IF($D802="","",IFERROR(INDEX(품목마스터!$B$3:$B$202,MATCH($D802,품목마스터!$A$3:$A$202,0)),"미등록품번"))</f>
        <v/>
      </c>
      <c r="F802" s="12" t="str">
        <f aca="false">IF($D802="","",IFERROR(INDEX(품목마스터!$D$3:$D$202,MATCH($D802,품목마스터!$A$3:$A$202,0)),""))</f>
        <v/>
      </c>
      <c r="G802" s="9"/>
      <c r="H802" s="9"/>
      <c r="I802" s="13" t="str">
        <f aca="false">IF(OR($G802="",$H802=""),"",ROUND($G802*$H802,0))</f>
        <v/>
      </c>
      <c r="J802" s="7"/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B3:B802" type="list">
      <formula1>거래처마스터!$A$3:$A$102</formula1>
      <formula2>0</formula2>
    </dataValidation>
    <dataValidation allowBlank="true" errorStyle="stop" operator="between" showDropDown="false" showErrorMessage="false" showInputMessage="false" sqref="D3:D802" type="list">
      <formula1>품목마스터!$A$3:$A$202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6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2" min="11" style="1" width="16"/>
    <col collapsed="false" customWidth="true" hidden="false" outlineLevel="0" max="13" min="13" style="1" width="18"/>
  </cols>
  <sheetData>
    <row r="1" customFormat="false" ht="25.5" hidden="false" customHeight="true" outlineLevel="0" collapsed="false">
      <c r="A1" s="2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6" t="s">
        <v>66</v>
      </c>
      <c r="B2" s="6" t="s">
        <v>46</v>
      </c>
      <c r="C2" s="10" t="s">
        <v>59</v>
      </c>
      <c r="D2" s="6" t="s">
        <v>27</v>
      </c>
      <c r="E2" s="10" t="s">
        <v>60</v>
      </c>
      <c r="F2" s="10" t="s">
        <v>61</v>
      </c>
      <c r="G2" s="6" t="s">
        <v>67</v>
      </c>
      <c r="H2" s="6" t="s">
        <v>68</v>
      </c>
      <c r="I2" s="6" t="s">
        <v>63</v>
      </c>
      <c r="J2" s="6" t="s">
        <v>48</v>
      </c>
      <c r="K2" s="10" t="s">
        <v>69</v>
      </c>
      <c r="L2" s="10" t="s">
        <v>70</v>
      </c>
      <c r="M2" s="6" t="s">
        <v>32</v>
      </c>
    </row>
    <row r="3" customFormat="false" ht="15" hidden="false" customHeight="true" outlineLevel="0" collapsed="false">
      <c r="A3" s="11" t="n">
        <v>46267</v>
      </c>
      <c r="B3" s="7" t="inlineStr">
        <is>
          <t>C001</t>
        </is>
      </c>
      <c r="C3" s="12" t="str">
        <f aca="false">IF($B3="","",IFERROR(INDEX(거래처마스터!$B$3:$B$102,MATCH($B3,거래처마스터!$A$3:$A$102,0)),"미등록"))</f>
        <v>○○대리점</v>
      </c>
      <c r="D3" s="7" t="inlineStr">
        <is>
          <t>P001</t>
        </is>
      </c>
      <c r="E3" s="12" t="str">
        <f aca="false">IF($D3="","",IFERROR(INDEX(품목마스터!$B$3:$B$202,MATCH($D3,품목마스터!$A$3:$A$202,0)),"미등록품번"))</f>
        <v>홍삼즙 30포</v>
      </c>
      <c r="F3" s="12" t="str">
        <f aca="false">IF($D3="","",IFERROR(INDEX(품목마스터!$D$3:$D$202,MATCH($D3,품목마스터!$A$3:$A$202,0)),""))</f>
        <v>박스</v>
      </c>
      <c r="G3" s="9" t="n">
        <v>80</v>
      </c>
      <c r="H3" s="9" t="n">
        <v>4</v>
      </c>
      <c r="I3" s="9" t="n">
        <v>22000</v>
      </c>
      <c r="J3" s="7" t="inlineStr">
        <is>
          <t>정상</t>
        </is>
      </c>
      <c r="K3" s="13" t="n">
        <f aca="false">IF(OR($G3="",$I3=""),"",ROUND($G3*$I3,0))</f>
        <v>1760000</v>
      </c>
      <c r="L3" s="13" t="n">
        <f aca="false">IF($D3="","",IF($G3="",0,$G3)+IF($H3="",0,$H3))</f>
        <v>84</v>
      </c>
      <c r="M3" s="7" t="inlineStr">
        <is>
          <t>← 예시 행입니다. 지우고 쓰세요.</t>
        </is>
      </c>
    </row>
    <row r="4" customFormat="false" ht="15" hidden="false" customHeight="true" outlineLevel="0" collapsed="false">
      <c r="A4" s="11" t="n">
        <v>46268</v>
      </c>
      <c r="B4" s="7" t="inlineStr">
        <is>
          <t>C003</t>
        </is>
      </c>
      <c r="C4" s="12" t="str">
        <f aca="false">IF($B4="","",IFERROR(INDEX(거래처마스터!$B$3:$B$102,MATCH($B4,거래처마스터!$A$3:$A$102,0)),"미등록"))</f>
        <v>△△대리점</v>
      </c>
      <c r="D4" s="7" t="inlineStr">
        <is>
          <t>P002</t>
        </is>
      </c>
      <c r="E4" s="12" t="str">
        <f aca="false">IF($D4="","",IFERROR(INDEX(품목마스터!$B$3:$B$202,MATCH($D4,품목마스터!$A$3:$A$202,0)),"미등록품번"))</f>
        <v>홍삼정 240g</v>
      </c>
      <c r="F4" s="12" t="str">
        <f aca="false">IF($D4="","",IFERROR(INDEX(품목마스터!$D$3:$D$202,MATCH($D4,품목마스터!$A$3:$A$202,0)),""))</f>
        <v>EA</v>
      </c>
      <c r="G4" s="9" t="n">
        <v>40</v>
      </c>
      <c r="H4" s="9" t="n">
        <v>2</v>
      </c>
      <c r="I4" s="9" t="n">
        <v>31000</v>
      </c>
      <c r="J4" s="7" t="inlineStr">
        <is>
          <t>정상</t>
        </is>
      </c>
      <c r="K4" s="13" t="n">
        <f aca="false">IF(OR($G4="",$I4=""),"",ROUND($G4*$I4,0))</f>
        <v>1240000</v>
      </c>
      <c r="L4" s="13" t="n">
        <f aca="false">IF($D4="","",IF($G4="",0,$G4)+IF($H4="",0,$H4))</f>
        <v>42</v>
      </c>
      <c r="M4" s="7"/>
    </row>
    <row r="5" customFormat="false" ht="15" hidden="false" customHeight="true" outlineLevel="0" collapsed="false">
      <c r="A5" s="11" t="n">
        <v>46274</v>
      </c>
      <c r="B5" s="7" t="inlineStr">
        <is>
          <t>C001</t>
        </is>
      </c>
      <c r="C5" s="12" t="str">
        <f aca="false">IF($B5="","",IFERROR(INDEX(거래처마스터!$B$3:$B$102,MATCH($B5,거래처마스터!$A$3:$A$102,0)),"미등록"))</f>
        <v>○○대리점</v>
      </c>
      <c r="D5" s="7" t="inlineStr">
        <is>
          <t>P003</t>
        </is>
      </c>
      <c r="E5" s="12" t="str">
        <f aca="false">IF($D5="","",IFERROR(INDEX(품목마스터!$B$3:$B$202,MATCH($D5,품목마스터!$A$3:$A$202,0)),"미등록품번"))</f>
        <v>선물세트 A</v>
      </c>
      <c r="F5" s="12" t="str">
        <f aca="false">IF($D5="","",IFERROR(INDEX(품목마스터!$D$3:$D$202,MATCH($D5,품목마스터!$A$3:$A$202,0)),""))</f>
        <v>SET</v>
      </c>
      <c r="G5" s="9" t="n">
        <v>25</v>
      </c>
      <c r="H5" s="9" t="n">
        <v>0</v>
      </c>
      <c r="I5" s="9" t="n">
        <v>62000</v>
      </c>
      <c r="J5" s="7" t="inlineStr">
        <is>
          <t>행사</t>
        </is>
      </c>
      <c r="K5" s="13" t="n">
        <f aca="false">IF(OR($G5="",$I5=""),"",ROUND($G5*$I5,0))</f>
        <v>1550000</v>
      </c>
      <c r="L5" s="13" t="n">
        <f aca="false">IF($D5="","",IF($G5="",0,$G5)+IF($H5="",0,$H5))</f>
        <v>25</v>
      </c>
      <c r="M5" s="7"/>
    </row>
    <row r="6" customFormat="false" ht="15" hidden="false" customHeight="true" outlineLevel="0" collapsed="false">
      <c r="A6" s="11" t="n">
        <v>46276</v>
      </c>
      <c r="B6" s="7" t="inlineStr">
        <is>
          <t>C001</t>
        </is>
      </c>
      <c r="C6" s="12" t="str">
        <f aca="false">IF($B6="","",IFERROR(INDEX(거래처마스터!$B$3:$B$102,MATCH($B6,거래처마스터!$A$3:$A$102,0)),"미등록"))</f>
        <v>○○대리점</v>
      </c>
      <c r="D6" s="7" t="inlineStr">
        <is>
          <t>P001</t>
        </is>
      </c>
      <c r="E6" s="12" t="str">
        <f aca="false">IF($D6="","",IFERROR(INDEX(품목마스터!$B$3:$B$202,MATCH($D6,품목마스터!$A$3:$A$202,0)),"미등록품번"))</f>
        <v>홍삼즙 30포</v>
      </c>
      <c r="F6" s="12" t="str">
        <f aca="false">IF($D6="","",IFERROR(INDEX(품목마스터!$D$3:$D$202,MATCH($D6,품목마스터!$A$3:$A$202,0)),""))</f>
        <v>박스</v>
      </c>
      <c r="G6" s="9" t="n">
        <v>60</v>
      </c>
      <c r="H6" s="9" t="n">
        <v>3</v>
      </c>
      <c r="I6" s="9" t="n">
        <v>22000</v>
      </c>
      <c r="J6" s="7" t="inlineStr">
        <is>
          <t>정상</t>
        </is>
      </c>
      <c r="K6" s="13" t="n">
        <f aca="false">IF(OR($G6="",$I6=""),"",ROUND($G6*$I6,0))</f>
        <v>1320000</v>
      </c>
      <c r="L6" s="13" t="n">
        <f aca="false">IF($D6="","",IF($G6="",0,$G6)+IF($H6="",0,$H6))</f>
        <v>63</v>
      </c>
      <c r="M6" s="7"/>
    </row>
    <row r="7" customFormat="false" ht="15" hidden="false" customHeight="true" outlineLevel="0" collapsed="false">
      <c r="A7" s="11"/>
      <c r="B7" s="7"/>
      <c r="C7" s="12" t="str">
        <f aca="false">IF($B7="","",IFERROR(INDEX(거래처마스터!$B$3:$B$102,MATCH($B7,거래처마스터!$A$3:$A$102,0)),"미등록"))</f>
        <v/>
      </c>
      <c r="D7" s="7"/>
      <c r="E7" s="12" t="str">
        <f aca="false">IF($D7="","",IFERROR(INDEX(품목마스터!$B$3:$B$202,MATCH($D7,품목마스터!$A$3:$A$202,0)),"미등록품번"))</f>
        <v/>
      </c>
      <c r="F7" s="12" t="str">
        <f aca="false">IF($D7="","",IFERROR(INDEX(품목마스터!$D$3:$D$202,MATCH($D7,품목마스터!$A$3:$A$202,0)),""))</f>
        <v/>
      </c>
      <c r="G7" s="9"/>
      <c r="H7" s="9"/>
      <c r="I7" s="9"/>
      <c r="J7" s="7"/>
      <c r="K7" s="13" t="str">
        <f aca="false">IF(OR($G7="",$I7=""),"",ROUND($G7*$I7,0))</f>
        <v/>
      </c>
      <c r="L7" s="13" t="str">
        <f aca="false">IF($D7="","",IF($G7="",0,$G7)+IF($H7="",0,$H7))</f>
        <v/>
      </c>
      <c r="M7" s="7"/>
    </row>
    <row r="8" customFormat="false" ht="15" hidden="false" customHeight="true" outlineLevel="0" collapsed="false">
      <c r="A8" s="11"/>
      <c r="B8" s="7"/>
      <c r="C8" s="12" t="str">
        <f aca="false">IF($B8="","",IFERROR(INDEX(거래처마스터!$B$3:$B$102,MATCH($B8,거래처마스터!$A$3:$A$102,0)),"미등록"))</f>
        <v/>
      </c>
      <c r="D8" s="7"/>
      <c r="E8" s="12" t="str">
        <f aca="false">IF($D8="","",IFERROR(INDEX(품목마스터!$B$3:$B$202,MATCH($D8,품목마스터!$A$3:$A$202,0)),"미등록품번"))</f>
        <v/>
      </c>
      <c r="F8" s="12" t="str">
        <f aca="false">IF($D8="","",IFERROR(INDEX(품목마스터!$D$3:$D$202,MATCH($D8,품목마스터!$A$3:$A$202,0)),""))</f>
        <v/>
      </c>
      <c r="G8" s="9"/>
      <c r="H8" s="9"/>
      <c r="I8" s="9"/>
      <c r="J8" s="7"/>
      <c r="K8" s="13" t="str">
        <f aca="false">IF(OR($G8="",$I8=""),"",ROUND($G8*$I8,0))</f>
        <v/>
      </c>
      <c r="L8" s="13" t="str">
        <f aca="false">IF($D8="","",IF($G8="",0,$G8)+IF($H8="",0,$H8))</f>
        <v/>
      </c>
      <c r="M8" s="7"/>
    </row>
    <row r="9" customFormat="false" ht="15" hidden="false" customHeight="true" outlineLevel="0" collapsed="false">
      <c r="A9" s="11"/>
      <c r="B9" s="7"/>
      <c r="C9" s="12" t="str">
        <f aca="false">IF($B9="","",IFERROR(INDEX(거래처마스터!$B$3:$B$102,MATCH($B9,거래처마스터!$A$3:$A$102,0)),"미등록"))</f>
        <v/>
      </c>
      <c r="D9" s="7"/>
      <c r="E9" s="12" t="str">
        <f aca="false">IF($D9="","",IFERROR(INDEX(품목마스터!$B$3:$B$202,MATCH($D9,품목마스터!$A$3:$A$202,0)),"미등록품번"))</f>
        <v/>
      </c>
      <c r="F9" s="12" t="str">
        <f aca="false">IF($D9="","",IFERROR(INDEX(품목마스터!$D$3:$D$202,MATCH($D9,품목마스터!$A$3:$A$202,0)),""))</f>
        <v/>
      </c>
      <c r="G9" s="9"/>
      <c r="H9" s="9"/>
      <c r="I9" s="9"/>
      <c r="J9" s="7"/>
      <c r="K9" s="13" t="str">
        <f aca="false">IF(OR($G9="",$I9=""),"",ROUND($G9*$I9,0))</f>
        <v/>
      </c>
      <c r="L9" s="13" t="str">
        <f aca="false">IF($D9="","",IF($G9="",0,$G9)+IF($H9="",0,$H9))</f>
        <v/>
      </c>
      <c r="M9" s="7"/>
    </row>
    <row r="10" customFormat="false" ht="15" hidden="false" customHeight="true" outlineLevel="0" collapsed="false">
      <c r="A10" s="11"/>
      <c r="B10" s="7"/>
      <c r="C10" s="12" t="str">
        <f aca="false">IF($B10="","",IFERROR(INDEX(거래처마스터!$B$3:$B$102,MATCH($B10,거래처마스터!$A$3:$A$102,0)),"미등록"))</f>
        <v/>
      </c>
      <c r="D10" s="7"/>
      <c r="E10" s="12" t="str">
        <f aca="false">IF($D10="","",IFERROR(INDEX(품목마스터!$B$3:$B$202,MATCH($D10,품목마스터!$A$3:$A$202,0)),"미등록품번"))</f>
        <v/>
      </c>
      <c r="F10" s="12" t="str">
        <f aca="false">IF($D10="","",IFERROR(INDEX(품목마스터!$D$3:$D$202,MATCH($D10,품목마스터!$A$3:$A$202,0)),""))</f>
        <v/>
      </c>
      <c r="G10" s="9"/>
      <c r="H10" s="9"/>
      <c r="I10" s="9"/>
      <c r="J10" s="7"/>
      <c r="K10" s="13" t="str">
        <f aca="false">IF(OR($G10="",$I10=""),"",ROUND($G10*$I10,0))</f>
        <v/>
      </c>
      <c r="L10" s="13" t="str">
        <f aca="false">IF($D10="","",IF($G10="",0,$G10)+IF($H10="",0,$H10))</f>
        <v/>
      </c>
      <c r="M10" s="7"/>
    </row>
    <row r="11" customFormat="false" ht="15" hidden="false" customHeight="true" outlineLevel="0" collapsed="false">
      <c r="A11" s="11"/>
      <c r="B11" s="7"/>
      <c r="C11" s="12" t="str">
        <f aca="false">IF($B11="","",IFERROR(INDEX(거래처마스터!$B$3:$B$102,MATCH($B11,거래처마스터!$A$3:$A$102,0)),"미등록"))</f>
        <v/>
      </c>
      <c r="D11" s="7"/>
      <c r="E11" s="12" t="str">
        <f aca="false">IF($D11="","",IFERROR(INDEX(품목마스터!$B$3:$B$202,MATCH($D11,품목마스터!$A$3:$A$202,0)),"미등록품번"))</f>
        <v/>
      </c>
      <c r="F11" s="12" t="str">
        <f aca="false">IF($D11="","",IFERROR(INDEX(품목마스터!$D$3:$D$202,MATCH($D11,품목마스터!$A$3:$A$202,0)),""))</f>
        <v/>
      </c>
      <c r="G11" s="9"/>
      <c r="H11" s="9"/>
      <c r="I11" s="9"/>
      <c r="J11" s="7"/>
      <c r="K11" s="13" t="str">
        <f aca="false">IF(OR($G11="",$I11=""),"",ROUND($G11*$I11,0))</f>
        <v/>
      </c>
      <c r="L11" s="13" t="str">
        <f aca="false">IF($D11="","",IF($G11="",0,$G11)+IF($H11="",0,$H11))</f>
        <v/>
      </c>
      <c r="M11" s="7"/>
    </row>
    <row r="12" customFormat="false" ht="15" hidden="false" customHeight="true" outlineLevel="0" collapsed="false">
      <c r="A12" s="11"/>
      <c r="B12" s="7"/>
      <c r="C12" s="12" t="str">
        <f aca="false">IF($B12="","",IFERROR(INDEX(거래처마스터!$B$3:$B$102,MATCH($B12,거래처마스터!$A$3:$A$102,0)),"미등록"))</f>
        <v/>
      </c>
      <c r="D12" s="7"/>
      <c r="E12" s="12" t="str">
        <f aca="false">IF($D12="","",IFERROR(INDEX(품목마스터!$B$3:$B$202,MATCH($D12,품목마스터!$A$3:$A$202,0)),"미등록품번"))</f>
        <v/>
      </c>
      <c r="F12" s="12" t="str">
        <f aca="false">IF($D12="","",IFERROR(INDEX(품목마스터!$D$3:$D$202,MATCH($D12,품목마스터!$A$3:$A$202,0)),""))</f>
        <v/>
      </c>
      <c r="G12" s="9"/>
      <c r="H12" s="9"/>
      <c r="I12" s="9"/>
      <c r="J12" s="7"/>
      <c r="K12" s="13" t="str">
        <f aca="false">IF(OR($G12="",$I12=""),"",ROUND($G12*$I12,0))</f>
        <v/>
      </c>
      <c r="L12" s="13" t="str">
        <f aca="false">IF($D12="","",IF($G12="",0,$G12)+IF($H12="",0,$H12))</f>
        <v/>
      </c>
      <c r="M12" s="7"/>
    </row>
    <row r="13" customFormat="false" ht="15" hidden="false" customHeight="true" outlineLevel="0" collapsed="false">
      <c r="A13" s="11"/>
      <c r="B13" s="7"/>
      <c r="C13" s="12" t="str">
        <f aca="false">IF($B13="","",IFERROR(INDEX(거래처마스터!$B$3:$B$102,MATCH($B13,거래처마스터!$A$3:$A$102,0)),"미등록"))</f>
        <v/>
      </c>
      <c r="D13" s="7"/>
      <c r="E13" s="12" t="str">
        <f aca="false">IF($D13="","",IFERROR(INDEX(품목마스터!$B$3:$B$202,MATCH($D13,품목마스터!$A$3:$A$202,0)),"미등록품번"))</f>
        <v/>
      </c>
      <c r="F13" s="12" t="str">
        <f aca="false">IF($D13="","",IFERROR(INDEX(품목마스터!$D$3:$D$202,MATCH($D13,품목마스터!$A$3:$A$202,0)),""))</f>
        <v/>
      </c>
      <c r="G13" s="9"/>
      <c r="H13" s="9"/>
      <c r="I13" s="9"/>
      <c r="J13" s="7"/>
      <c r="K13" s="13" t="str">
        <f aca="false">IF(OR($G13="",$I13=""),"",ROUND($G13*$I13,0))</f>
        <v/>
      </c>
      <c r="L13" s="13" t="str">
        <f aca="false">IF($D13="","",IF($G13="",0,$G13)+IF($H13="",0,$H13))</f>
        <v/>
      </c>
      <c r="M13" s="7"/>
    </row>
    <row r="14" customFormat="false" ht="15" hidden="false" customHeight="true" outlineLevel="0" collapsed="false">
      <c r="A14" s="11"/>
      <c r="B14" s="7"/>
      <c r="C14" s="12" t="str">
        <f aca="false">IF($B14="","",IFERROR(INDEX(거래처마스터!$B$3:$B$102,MATCH($B14,거래처마스터!$A$3:$A$102,0)),"미등록"))</f>
        <v/>
      </c>
      <c r="D14" s="7"/>
      <c r="E14" s="12" t="str">
        <f aca="false">IF($D14="","",IFERROR(INDEX(품목마스터!$B$3:$B$202,MATCH($D14,품목마스터!$A$3:$A$202,0)),"미등록품번"))</f>
        <v/>
      </c>
      <c r="F14" s="12" t="str">
        <f aca="false">IF($D14="","",IFERROR(INDEX(품목마스터!$D$3:$D$202,MATCH($D14,품목마스터!$A$3:$A$202,0)),""))</f>
        <v/>
      </c>
      <c r="G14" s="9"/>
      <c r="H14" s="9"/>
      <c r="I14" s="9"/>
      <c r="J14" s="7"/>
      <c r="K14" s="13" t="str">
        <f aca="false">IF(OR($G14="",$I14=""),"",ROUND($G14*$I14,0))</f>
        <v/>
      </c>
      <c r="L14" s="13" t="str">
        <f aca="false">IF($D14="","",IF($G14="",0,$G14)+IF($H14="",0,$H14))</f>
        <v/>
      </c>
      <c r="M14" s="7"/>
    </row>
    <row r="15" customFormat="false" ht="15" hidden="false" customHeight="true" outlineLevel="0" collapsed="false">
      <c r="A15" s="11"/>
      <c r="B15" s="7"/>
      <c r="C15" s="12" t="str">
        <f aca="false">IF($B15="","",IFERROR(INDEX(거래처마스터!$B$3:$B$102,MATCH($B15,거래처마스터!$A$3:$A$102,0)),"미등록"))</f>
        <v/>
      </c>
      <c r="D15" s="7"/>
      <c r="E15" s="12" t="str">
        <f aca="false">IF($D15="","",IFERROR(INDEX(품목마스터!$B$3:$B$202,MATCH($D15,품목마스터!$A$3:$A$202,0)),"미등록품번"))</f>
        <v/>
      </c>
      <c r="F15" s="12" t="str">
        <f aca="false">IF($D15="","",IFERROR(INDEX(품목마스터!$D$3:$D$202,MATCH($D15,품목마스터!$A$3:$A$202,0)),""))</f>
        <v/>
      </c>
      <c r="G15" s="9"/>
      <c r="H15" s="9"/>
      <c r="I15" s="9"/>
      <c r="J15" s="7"/>
      <c r="K15" s="13" t="str">
        <f aca="false">IF(OR($G15="",$I15=""),"",ROUND($G15*$I15,0))</f>
        <v/>
      </c>
      <c r="L15" s="13" t="str">
        <f aca="false">IF($D15="","",IF($G15="",0,$G15)+IF($H15="",0,$H15))</f>
        <v/>
      </c>
      <c r="M15" s="7"/>
    </row>
    <row r="16" customFormat="false" ht="15" hidden="false" customHeight="true" outlineLevel="0" collapsed="false">
      <c r="A16" s="11"/>
      <c r="B16" s="7"/>
      <c r="C16" s="12" t="str">
        <f aca="false">IF($B16="","",IFERROR(INDEX(거래처마스터!$B$3:$B$102,MATCH($B16,거래처마스터!$A$3:$A$102,0)),"미등록"))</f>
        <v/>
      </c>
      <c r="D16" s="7"/>
      <c r="E16" s="12" t="str">
        <f aca="false">IF($D16="","",IFERROR(INDEX(품목마스터!$B$3:$B$202,MATCH($D16,품목마스터!$A$3:$A$202,0)),"미등록품번"))</f>
        <v/>
      </c>
      <c r="F16" s="12" t="str">
        <f aca="false">IF($D16="","",IFERROR(INDEX(품목마스터!$D$3:$D$202,MATCH($D16,품목마스터!$A$3:$A$202,0)),""))</f>
        <v/>
      </c>
      <c r="G16" s="9"/>
      <c r="H16" s="9"/>
      <c r="I16" s="9"/>
      <c r="J16" s="7"/>
      <c r="K16" s="13" t="str">
        <f aca="false">IF(OR($G16="",$I16=""),"",ROUND($G16*$I16,0))</f>
        <v/>
      </c>
      <c r="L16" s="13" t="str">
        <f aca="false">IF($D16="","",IF($G16="",0,$G16)+IF($H16="",0,$H16))</f>
        <v/>
      </c>
      <c r="M16" s="7"/>
    </row>
    <row r="17" customFormat="false" ht="15" hidden="false" customHeight="true" outlineLevel="0" collapsed="false">
      <c r="A17" s="11"/>
      <c r="B17" s="7"/>
      <c r="C17" s="12" t="str">
        <f aca="false">IF($B17="","",IFERROR(INDEX(거래처마스터!$B$3:$B$102,MATCH($B17,거래처마스터!$A$3:$A$102,0)),"미등록"))</f>
        <v/>
      </c>
      <c r="D17" s="7"/>
      <c r="E17" s="12" t="str">
        <f aca="false">IF($D17="","",IFERROR(INDEX(품목마스터!$B$3:$B$202,MATCH($D17,품목마스터!$A$3:$A$202,0)),"미등록품번"))</f>
        <v/>
      </c>
      <c r="F17" s="12" t="str">
        <f aca="false">IF($D17="","",IFERROR(INDEX(품목마스터!$D$3:$D$202,MATCH($D17,품목마스터!$A$3:$A$202,0)),""))</f>
        <v/>
      </c>
      <c r="G17" s="9"/>
      <c r="H17" s="9"/>
      <c r="I17" s="9"/>
      <c r="J17" s="7"/>
      <c r="K17" s="13" t="str">
        <f aca="false">IF(OR($G17="",$I17=""),"",ROUND($G17*$I17,0))</f>
        <v/>
      </c>
      <c r="L17" s="13" t="str">
        <f aca="false">IF($D17="","",IF($G17="",0,$G17)+IF($H17="",0,$H17))</f>
        <v/>
      </c>
      <c r="M17" s="7"/>
    </row>
    <row r="18" customFormat="false" ht="15" hidden="false" customHeight="true" outlineLevel="0" collapsed="false">
      <c r="A18" s="11"/>
      <c r="B18" s="7"/>
      <c r="C18" s="12" t="str">
        <f aca="false">IF($B18="","",IFERROR(INDEX(거래처마스터!$B$3:$B$102,MATCH($B18,거래처마스터!$A$3:$A$102,0)),"미등록"))</f>
        <v/>
      </c>
      <c r="D18" s="7"/>
      <c r="E18" s="12" t="str">
        <f aca="false">IF($D18="","",IFERROR(INDEX(품목마스터!$B$3:$B$202,MATCH($D18,품목마스터!$A$3:$A$202,0)),"미등록품번"))</f>
        <v/>
      </c>
      <c r="F18" s="12" t="str">
        <f aca="false">IF($D18="","",IFERROR(INDEX(품목마스터!$D$3:$D$202,MATCH($D18,품목마스터!$A$3:$A$202,0)),""))</f>
        <v/>
      </c>
      <c r="G18" s="9"/>
      <c r="H18" s="9"/>
      <c r="I18" s="9"/>
      <c r="J18" s="7"/>
      <c r="K18" s="13" t="str">
        <f aca="false">IF(OR($G18="",$I18=""),"",ROUND($G18*$I18,0))</f>
        <v/>
      </c>
      <c r="L18" s="13" t="str">
        <f aca="false">IF($D18="","",IF($G18="",0,$G18)+IF($H18="",0,$H18))</f>
        <v/>
      </c>
      <c r="M18" s="7"/>
    </row>
    <row r="19" customFormat="false" ht="15" hidden="false" customHeight="true" outlineLevel="0" collapsed="false">
      <c r="A19" s="11"/>
      <c r="B19" s="7"/>
      <c r="C19" s="12" t="str">
        <f aca="false">IF($B19="","",IFERROR(INDEX(거래처마스터!$B$3:$B$102,MATCH($B19,거래처마스터!$A$3:$A$102,0)),"미등록"))</f>
        <v/>
      </c>
      <c r="D19" s="7"/>
      <c r="E19" s="12" t="str">
        <f aca="false">IF($D19="","",IFERROR(INDEX(품목마스터!$B$3:$B$202,MATCH($D19,품목마스터!$A$3:$A$202,0)),"미등록품번"))</f>
        <v/>
      </c>
      <c r="F19" s="12" t="str">
        <f aca="false">IF($D19="","",IFERROR(INDEX(품목마스터!$D$3:$D$202,MATCH($D19,품목마스터!$A$3:$A$202,0)),""))</f>
        <v/>
      </c>
      <c r="G19" s="9"/>
      <c r="H19" s="9"/>
      <c r="I19" s="9"/>
      <c r="J19" s="7"/>
      <c r="K19" s="13" t="str">
        <f aca="false">IF(OR($G19="",$I19=""),"",ROUND($G19*$I19,0))</f>
        <v/>
      </c>
      <c r="L19" s="13" t="str">
        <f aca="false">IF($D19="","",IF($G19="",0,$G19)+IF($H19="",0,$H19))</f>
        <v/>
      </c>
      <c r="M19" s="7"/>
    </row>
    <row r="20" customFormat="false" ht="15" hidden="false" customHeight="true" outlineLevel="0" collapsed="false">
      <c r="A20" s="11"/>
      <c r="B20" s="7"/>
      <c r="C20" s="12" t="str">
        <f aca="false">IF($B20="","",IFERROR(INDEX(거래처마스터!$B$3:$B$102,MATCH($B20,거래처마스터!$A$3:$A$102,0)),"미등록"))</f>
        <v/>
      </c>
      <c r="D20" s="7"/>
      <c r="E20" s="12" t="str">
        <f aca="false">IF($D20="","",IFERROR(INDEX(품목마스터!$B$3:$B$202,MATCH($D20,품목마스터!$A$3:$A$202,0)),"미등록품번"))</f>
        <v/>
      </c>
      <c r="F20" s="12" t="str">
        <f aca="false">IF($D20="","",IFERROR(INDEX(품목마스터!$D$3:$D$202,MATCH($D20,품목마스터!$A$3:$A$202,0)),""))</f>
        <v/>
      </c>
      <c r="G20" s="9"/>
      <c r="H20" s="9"/>
      <c r="I20" s="9"/>
      <c r="J20" s="7"/>
      <c r="K20" s="13" t="str">
        <f aca="false">IF(OR($G20="",$I20=""),"",ROUND($G20*$I20,0))</f>
        <v/>
      </c>
      <c r="L20" s="13" t="str">
        <f aca="false">IF($D20="","",IF($G20="",0,$G20)+IF($H20="",0,$H20))</f>
        <v/>
      </c>
      <c r="M20" s="7"/>
    </row>
    <row r="21" customFormat="false" ht="15" hidden="false" customHeight="true" outlineLevel="0" collapsed="false">
      <c r="A21" s="11"/>
      <c r="B21" s="7"/>
      <c r="C21" s="12" t="str">
        <f aca="false">IF($B21="","",IFERROR(INDEX(거래처마스터!$B$3:$B$102,MATCH($B21,거래처마스터!$A$3:$A$102,0)),"미등록"))</f>
        <v/>
      </c>
      <c r="D21" s="7"/>
      <c r="E21" s="12" t="str">
        <f aca="false">IF($D21="","",IFERROR(INDEX(품목마스터!$B$3:$B$202,MATCH($D21,품목마스터!$A$3:$A$202,0)),"미등록품번"))</f>
        <v/>
      </c>
      <c r="F21" s="12" t="str">
        <f aca="false">IF($D21="","",IFERROR(INDEX(품목마스터!$D$3:$D$202,MATCH($D21,품목마스터!$A$3:$A$202,0)),""))</f>
        <v/>
      </c>
      <c r="G21" s="9"/>
      <c r="H21" s="9"/>
      <c r="I21" s="9"/>
      <c r="J21" s="7"/>
      <c r="K21" s="13" t="str">
        <f aca="false">IF(OR($G21="",$I21=""),"",ROUND($G21*$I21,0))</f>
        <v/>
      </c>
      <c r="L21" s="13" t="str">
        <f aca="false">IF($D21="","",IF($G21="",0,$G21)+IF($H21="",0,$H21))</f>
        <v/>
      </c>
      <c r="M21" s="7"/>
    </row>
    <row r="22" customFormat="false" ht="15" hidden="false" customHeight="true" outlineLevel="0" collapsed="false">
      <c r="A22" s="11"/>
      <c r="B22" s="7"/>
      <c r="C22" s="12" t="str">
        <f aca="false">IF($B22="","",IFERROR(INDEX(거래처마스터!$B$3:$B$102,MATCH($B22,거래처마스터!$A$3:$A$102,0)),"미등록"))</f>
        <v/>
      </c>
      <c r="D22" s="7"/>
      <c r="E22" s="12" t="str">
        <f aca="false">IF($D22="","",IFERROR(INDEX(품목마스터!$B$3:$B$202,MATCH($D22,품목마스터!$A$3:$A$202,0)),"미등록품번"))</f>
        <v/>
      </c>
      <c r="F22" s="12" t="str">
        <f aca="false">IF($D22="","",IFERROR(INDEX(품목마스터!$D$3:$D$202,MATCH($D22,품목마스터!$A$3:$A$202,0)),""))</f>
        <v/>
      </c>
      <c r="G22" s="9"/>
      <c r="H22" s="9"/>
      <c r="I22" s="9"/>
      <c r="J22" s="7"/>
      <c r="K22" s="13" t="str">
        <f aca="false">IF(OR($G22="",$I22=""),"",ROUND($G22*$I22,0))</f>
        <v/>
      </c>
      <c r="L22" s="13" t="str">
        <f aca="false">IF($D22="","",IF($G22="",0,$G22)+IF($H22="",0,$H22))</f>
        <v/>
      </c>
      <c r="M22" s="7"/>
    </row>
    <row r="23" customFormat="false" ht="15" hidden="false" customHeight="true" outlineLevel="0" collapsed="false">
      <c r="A23" s="11"/>
      <c r="B23" s="7"/>
      <c r="C23" s="12" t="str">
        <f aca="false">IF($B23="","",IFERROR(INDEX(거래처마스터!$B$3:$B$102,MATCH($B23,거래처마스터!$A$3:$A$102,0)),"미등록"))</f>
        <v/>
      </c>
      <c r="D23" s="7"/>
      <c r="E23" s="12" t="str">
        <f aca="false">IF($D23="","",IFERROR(INDEX(품목마스터!$B$3:$B$202,MATCH($D23,품목마스터!$A$3:$A$202,0)),"미등록품번"))</f>
        <v/>
      </c>
      <c r="F23" s="12" t="str">
        <f aca="false">IF($D23="","",IFERROR(INDEX(품목마스터!$D$3:$D$202,MATCH($D23,품목마스터!$A$3:$A$202,0)),""))</f>
        <v/>
      </c>
      <c r="G23" s="9"/>
      <c r="H23" s="9"/>
      <c r="I23" s="9"/>
      <c r="J23" s="7"/>
      <c r="K23" s="13" t="str">
        <f aca="false">IF(OR($G23="",$I23=""),"",ROUND($G23*$I23,0))</f>
        <v/>
      </c>
      <c r="L23" s="13" t="str">
        <f aca="false">IF($D23="","",IF($G23="",0,$G23)+IF($H23="",0,$H23))</f>
        <v/>
      </c>
      <c r="M23" s="7"/>
    </row>
    <row r="24" customFormat="false" ht="15" hidden="false" customHeight="true" outlineLevel="0" collapsed="false">
      <c r="A24" s="11"/>
      <c r="B24" s="7"/>
      <c r="C24" s="12" t="str">
        <f aca="false">IF($B24="","",IFERROR(INDEX(거래처마스터!$B$3:$B$102,MATCH($B24,거래처마스터!$A$3:$A$102,0)),"미등록"))</f>
        <v/>
      </c>
      <c r="D24" s="7"/>
      <c r="E24" s="12" t="str">
        <f aca="false">IF($D24="","",IFERROR(INDEX(품목마스터!$B$3:$B$202,MATCH($D24,품목마스터!$A$3:$A$202,0)),"미등록품번"))</f>
        <v/>
      </c>
      <c r="F24" s="12" t="str">
        <f aca="false">IF($D24="","",IFERROR(INDEX(품목마스터!$D$3:$D$202,MATCH($D24,품목마스터!$A$3:$A$202,0)),""))</f>
        <v/>
      </c>
      <c r="G24" s="9"/>
      <c r="H24" s="9"/>
      <c r="I24" s="9"/>
      <c r="J24" s="7"/>
      <c r="K24" s="13" t="str">
        <f aca="false">IF(OR($G24="",$I24=""),"",ROUND($G24*$I24,0))</f>
        <v/>
      </c>
      <c r="L24" s="13" t="str">
        <f aca="false">IF($D24="","",IF($G24="",0,$G24)+IF($H24="",0,$H24))</f>
        <v/>
      </c>
      <c r="M24" s="7"/>
    </row>
    <row r="25" customFormat="false" ht="15" hidden="false" customHeight="true" outlineLevel="0" collapsed="false">
      <c r="A25" s="11"/>
      <c r="B25" s="7"/>
      <c r="C25" s="12" t="str">
        <f aca="false">IF($B25="","",IFERROR(INDEX(거래처마스터!$B$3:$B$102,MATCH($B25,거래처마스터!$A$3:$A$102,0)),"미등록"))</f>
        <v/>
      </c>
      <c r="D25" s="7"/>
      <c r="E25" s="12" t="str">
        <f aca="false">IF($D25="","",IFERROR(INDEX(품목마스터!$B$3:$B$202,MATCH($D25,품목마스터!$A$3:$A$202,0)),"미등록품번"))</f>
        <v/>
      </c>
      <c r="F25" s="12" t="str">
        <f aca="false">IF($D25="","",IFERROR(INDEX(품목마스터!$D$3:$D$202,MATCH($D25,품목마스터!$A$3:$A$202,0)),""))</f>
        <v/>
      </c>
      <c r="G25" s="9"/>
      <c r="H25" s="9"/>
      <c r="I25" s="9"/>
      <c r="J25" s="7"/>
      <c r="K25" s="13" t="str">
        <f aca="false">IF(OR($G25="",$I25=""),"",ROUND($G25*$I25,0))</f>
        <v/>
      </c>
      <c r="L25" s="13" t="str">
        <f aca="false">IF($D25="","",IF($G25="",0,$G25)+IF($H25="",0,$H25))</f>
        <v/>
      </c>
      <c r="M25" s="7"/>
    </row>
    <row r="26" customFormat="false" ht="15" hidden="false" customHeight="true" outlineLevel="0" collapsed="false">
      <c r="A26" s="11"/>
      <c r="B26" s="7"/>
      <c r="C26" s="12" t="str">
        <f aca="false">IF($B26="","",IFERROR(INDEX(거래처마스터!$B$3:$B$102,MATCH($B26,거래처마스터!$A$3:$A$102,0)),"미등록"))</f>
        <v/>
      </c>
      <c r="D26" s="7"/>
      <c r="E26" s="12" t="str">
        <f aca="false">IF($D26="","",IFERROR(INDEX(품목마스터!$B$3:$B$202,MATCH($D26,품목마스터!$A$3:$A$202,0)),"미등록품번"))</f>
        <v/>
      </c>
      <c r="F26" s="12" t="str">
        <f aca="false">IF($D26="","",IFERROR(INDEX(품목마스터!$D$3:$D$202,MATCH($D26,품목마스터!$A$3:$A$202,0)),""))</f>
        <v/>
      </c>
      <c r="G26" s="9"/>
      <c r="H26" s="9"/>
      <c r="I26" s="9"/>
      <c r="J26" s="7"/>
      <c r="K26" s="13" t="str">
        <f aca="false">IF(OR($G26="",$I26=""),"",ROUND($G26*$I26,0))</f>
        <v/>
      </c>
      <c r="L26" s="13" t="str">
        <f aca="false">IF($D26="","",IF($G26="",0,$G26)+IF($H26="",0,$H26))</f>
        <v/>
      </c>
      <c r="M26" s="7"/>
    </row>
    <row r="27" customFormat="false" ht="15" hidden="false" customHeight="true" outlineLevel="0" collapsed="false">
      <c r="A27" s="11"/>
      <c r="B27" s="7"/>
      <c r="C27" s="12" t="str">
        <f aca="false">IF($B27="","",IFERROR(INDEX(거래처마스터!$B$3:$B$102,MATCH($B27,거래처마스터!$A$3:$A$102,0)),"미등록"))</f>
        <v/>
      </c>
      <c r="D27" s="7"/>
      <c r="E27" s="12" t="str">
        <f aca="false">IF($D27="","",IFERROR(INDEX(품목마스터!$B$3:$B$202,MATCH($D27,품목마스터!$A$3:$A$202,0)),"미등록품번"))</f>
        <v/>
      </c>
      <c r="F27" s="12" t="str">
        <f aca="false">IF($D27="","",IFERROR(INDEX(품목마스터!$D$3:$D$202,MATCH($D27,품목마스터!$A$3:$A$202,0)),""))</f>
        <v/>
      </c>
      <c r="G27" s="9"/>
      <c r="H27" s="9"/>
      <c r="I27" s="9"/>
      <c r="J27" s="7"/>
      <c r="K27" s="13" t="str">
        <f aca="false">IF(OR($G27="",$I27=""),"",ROUND($G27*$I27,0))</f>
        <v/>
      </c>
      <c r="L27" s="13" t="str">
        <f aca="false">IF($D27="","",IF($G27="",0,$G27)+IF($H27="",0,$H27))</f>
        <v/>
      </c>
      <c r="M27" s="7"/>
    </row>
    <row r="28" customFormat="false" ht="15" hidden="false" customHeight="true" outlineLevel="0" collapsed="false">
      <c r="A28" s="11"/>
      <c r="B28" s="7"/>
      <c r="C28" s="12" t="str">
        <f aca="false">IF($B28="","",IFERROR(INDEX(거래처마스터!$B$3:$B$102,MATCH($B28,거래처마스터!$A$3:$A$102,0)),"미등록"))</f>
        <v/>
      </c>
      <c r="D28" s="7"/>
      <c r="E28" s="12" t="str">
        <f aca="false">IF($D28="","",IFERROR(INDEX(품목마스터!$B$3:$B$202,MATCH($D28,품목마스터!$A$3:$A$202,0)),"미등록품번"))</f>
        <v/>
      </c>
      <c r="F28" s="12" t="str">
        <f aca="false">IF($D28="","",IFERROR(INDEX(품목마스터!$D$3:$D$202,MATCH($D28,품목마스터!$A$3:$A$202,0)),""))</f>
        <v/>
      </c>
      <c r="G28" s="9"/>
      <c r="H28" s="9"/>
      <c r="I28" s="9"/>
      <c r="J28" s="7"/>
      <c r="K28" s="13" t="str">
        <f aca="false">IF(OR($G28="",$I28=""),"",ROUND($G28*$I28,0))</f>
        <v/>
      </c>
      <c r="L28" s="13" t="str">
        <f aca="false">IF($D28="","",IF($G28="",0,$G28)+IF($H28="",0,$H28))</f>
        <v/>
      </c>
      <c r="M28" s="7"/>
    </row>
    <row r="29" customFormat="false" ht="15" hidden="false" customHeight="true" outlineLevel="0" collapsed="false">
      <c r="A29" s="11"/>
      <c r="B29" s="7"/>
      <c r="C29" s="12" t="str">
        <f aca="false">IF($B29="","",IFERROR(INDEX(거래처마스터!$B$3:$B$102,MATCH($B29,거래처마스터!$A$3:$A$102,0)),"미등록"))</f>
        <v/>
      </c>
      <c r="D29" s="7"/>
      <c r="E29" s="12" t="str">
        <f aca="false">IF($D29="","",IFERROR(INDEX(품목마스터!$B$3:$B$202,MATCH($D29,품목마스터!$A$3:$A$202,0)),"미등록품번"))</f>
        <v/>
      </c>
      <c r="F29" s="12" t="str">
        <f aca="false">IF($D29="","",IFERROR(INDEX(품목마스터!$D$3:$D$202,MATCH($D29,품목마스터!$A$3:$A$202,0)),""))</f>
        <v/>
      </c>
      <c r="G29" s="9"/>
      <c r="H29" s="9"/>
      <c r="I29" s="9"/>
      <c r="J29" s="7"/>
      <c r="K29" s="13" t="str">
        <f aca="false">IF(OR($G29="",$I29=""),"",ROUND($G29*$I29,0))</f>
        <v/>
      </c>
      <c r="L29" s="13" t="str">
        <f aca="false">IF($D29="","",IF($G29="",0,$G29)+IF($H29="",0,$H29))</f>
        <v/>
      </c>
      <c r="M29" s="7"/>
    </row>
    <row r="30" customFormat="false" ht="15" hidden="false" customHeight="true" outlineLevel="0" collapsed="false">
      <c r="A30" s="11"/>
      <c r="B30" s="7"/>
      <c r="C30" s="12" t="str">
        <f aca="false">IF($B30="","",IFERROR(INDEX(거래처마스터!$B$3:$B$102,MATCH($B30,거래처마스터!$A$3:$A$102,0)),"미등록"))</f>
        <v/>
      </c>
      <c r="D30" s="7"/>
      <c r="E30" s="12" t="str">
        <f aca="false">IF($D30="","",IFERROR(INDEX(품목마스터!$B$3:$B$202,MATCH($D30,품목마스터!$A$3:$A$202,0)),"미등록품번"))</f>
        <v/>
      </c>
      <c r="F30" s="12" t="str">
        <f aca="false">IF($D30="","",IFERROR(INDEX(품목마스터!$D$3:$D$202,MATCH($D30,품목마스터!$A$3:$A$202,0)),""))</f>
        <v/>
      </c>
      <c r="G30" s="9"/>
      <c r="H30" s="9"/>
      <c r="I30" s="9"/>
      <c r="J30" s="7"/>
      <c r="K30" s="13" t="str">
        <f aca="false">IF(OR($G30="",$I30=""),"",ROUND($G30*$I30,0))</f>
        <v/>
      </c>
      <c r="L30" s="13" t="str">
        <f aca="false">IF($D30="","",IF($G30="",0,$G30)+IF($H30="",0,$H30))</f>
        <v/>
      </c>
      <c r="M30" s="7"/>
    </row>
    <row r="31" customFormat="false" ht="15" hidden="false" customHeight="true" outlineLevel="0" collapsed="false">
      <c r="A31" s="11"/>
      <c r="B31" s="7"/>
      <c r="C31" s="12" t="str">
        <f aca="false">IF($B31="","",IFERROR(INDEX(거래처마스터!$B$3:$B$102,MATCH($B31,거래처마스터!$A$3:$A$102,0)),"미등록"))</f>
        <v/>
      </c>
      <c r="D31" s="7"/>
      <c r="E31" s="12" t="str">
        <f aca="false">IF($D31="","",IFERROR(INDEX(품목마스터!$B$3:$B$202,MATCH($D31,품목마스터!$A$3:$A$202,0)),"미등록품번"))</f>
        <v/>
      </c>
      <c r="F31" s="12" t="str">
        <f aca="false">IF($D31="","",IFERROR(INDEX(품목마스터!$D$3:$D$202,MATCH($D31,품목마스터!$A$3:$A$202,0)),""))</f>
        <v/>
      </c>
      <c r="G31" s="9"/>
      <c r="H31" s="9"/>
      <c r="I31" s="9"/>
      <c r="J31" s="7"/>
      <c r="K31" s="13" t="str">
        <f aca="false">IF(OR($G31="",$I31=""),"",ROUND($G31*$I31,0))</f>
        <v/>
      </c>
      <c r="L31" s="13" t="str">
        <f aca="false">IF($D31="","",IF($G31="",0,$G31)+IF($H31="",0,$H31))</f>
        <v/>
      </c>
      <c r="M31" s="7"/>
    </row>
    <row r="32" customFormat="false" ht="15" hidden="false" customHeight="true" outlineLevel="0" collapsed="false">
      <c r="A32" s="11"/>
      <c r="B32" s="7"/>
      <c r="C32" s="12" t="str">
        <f aca="false">IF($B32="","",IFERROR(INDEX(거래처마스터!$B$3:$B$102,MATCH($B32,거래처마스터!$A$3:$A$102,0)),"미등록"))</f>
        <v/>
      </c>
      <c r="D32" s="7"/>
      <c r="E32" s="12" t="str">
        <f aca="false">IF($D32="","",IFERROR(INDEX(품목마스터!$B$3:$B$202,MATCH($D32,품목마스터!$A$3:$A$202,0)),"미등록품번"))</f>
        <v/>
      </c>
      <c r="F32" s="12" t="str">
        <f aca="false">IF($D32="","",IFERROR(INDEX(품목마스터!$D$3:$D$202,MATCH($D32,품목마스터!$A$3:$A$202,0)),""))</f>
        <v/>
      </c>
      <c r="G32" s="9"/>
      <c r="H32" s="9"/>
      <c r="I32" s="9"/>
      <c r="J32" s="7"/>
      <c r="K32" s="13" t="str">
        <f aca="false">IF(OR($G32="",$I32=""),"",ROUND($G32*$I32,0))</f>
        <v/>
      </c>
      <c r="L32" s="13" t="str">
        <f aca="false">IF($D32="","",IF($G32="",0,$G32)+IF($H32="",0,$H32))</f>
        <v/>
      </c>
      <c r="M32" s="7"/>
    </row>
    <row r="33" customFormat="false" ht="15" hidden="false" customHeight="true" outlineLevel="0" collapsed="false">
      <c r="A33" s="11"/>
      <c r="B33" s="7"/>
      <c r="C33" s="12" t="str">
        <f aca="false">IF($B33="","",IFERROR(INDEX(거래처마스터!$B$3:$B$102,MATCH($B33,거래처마스터!$A$3:$A$102,0)),"미등록"))</f>
        <v/>
      </c>
      <c r="D33" s="7"/>
      <c r="E33" s="12" t="str">
        <f aca="false">IF($D33="","",IFERROR(INDEX(품목마스터!$B$3:$B$202,MATCH($D33,품목마스터!$A$3:$A$202,0)),"미등록품번"))</f>
        <v/>
      </c>
      <c r="F33" s="12" t="str">
        <f aca="false">IF($D33="","",IFERROR(INDEX(품목마스터!$D$3:$D$202,MATCH($D33,품목마스터!$A$3:$A$202,0)),""))</f>
        <v/>
      </c>
      <c r="G33" s="9"/>
      <c r="H33" s="9"/>
      <c r="I33" s="9"/>
      <c r="J33" s="7"/>
      <c r="K33" s="13" t="str">
        <f aca="false">IF(OR($G33="",$I33=""),"",ROUND($G33*$I33,0))</f>
        <v/>
      </c>
      <c r="L33" s="13" t="str">
        <f aca="false">IF($D33="","",IF($G33="",0,$G33)+IF($H33="",0,$H33))</f>
        <v/>
      </c>
      <c r="M33" s="7"/>
    </row>
    <row r="34" customFormat="false" ht="15" hidden="false" customHeight="true" outlineLevel="0" collapsed="false">
      <c r="A34" s="11"/>
      <c r="B34" s="7"/>
      <c r="C34" s="12" t="str">
        <f aca="false">IF($B34="","",IFERROR(INDEX(거래처마스터!$B$3:$B$102,MATCH($B34,거래처마스터!$A$3:$A$102,0)),"미등록"))</f>
        <v/>
      </c>
      <c r="D34" s="7"/>
      <c r="E34" s="12" t="str">
        <f aca="false">IF($D34="","",IFERROR(INDEX(품목마스터!$B$3:$B$202,MATCH($D34,품목마스터!$A$3:$A$202,0)),"미등록품번"))</f>
        <v/>
      </c>
      <c r="F34" s="12" t="str">
        <f aca="false">IF($D34="","",IFERROR(INDEX(품목마스터!$D$3:$D$202,MATCH($D34,품목마스터!$A$3:$A$202,0)),""))</f>
        <v/>
      </c>
      <c r="G34" s="9"/>
      <c r="H34" s="9"/>
      <c r="I34" s="9"/>
      <c r="J34" s="7"/>
      <c r="K34" s="13" t="str">
        <f aca="false">IF(OR($G34="",$I34=""),"",ROUND($G34*$I34,0))</f>
        <v/>
      </c>
      <c r="L34" s="13" t="str">
        <f aca="false">IF($D34="","",IF($G34="",0,$G34)+IF($H34="",0,$H34))</f>
        <v/>
      </c>
      <c r="M34" s="7"/>
    </row>
    <row r="35" customFormat="false" ht="15" hidden="false" customHeight="true" outlineLevel="0" collapsed="false">
      <c r="A35" s="11"/>
      <c r="B35" s="7"/>
      <c r="C35" s="12" t="str">
        <f aca="false">IF($B35="","",IFERROR(INDEX(거래처마스터!$B$3:$B$102,MATCH($B35,거래처마스터!$A$3:$A$102,0)),"미등록"))</f>
        <v/>
      </c>
      <c r="D35" s="7"/>
      <c r="E35" s="12" t="str">
        <f aca="false">IF($D35="","",IFERROR(INDEX(품목마스터!$B$3:$B$202,MATCH($D35,품목마스터!$A$3:$A$202,0)),"미등록품번"))</f>
        <v/>
      </c>
      <c r="F35" s="12" t="str">
        <f aca="false">IF($D35="","",IFERROR(INDEX(품목마스터!$D$3:$D$202,MATCH($D35,품목마스터!$A$3:$A$202,0)),""))</f>
        <v/>
      </c>
      <c r="G35" s="9"/>
      <c r="H35" s="9"/>
      <c r="I35" s="9"/>
      <c r="J35" s="7"/>
      <c r="K35" s="13" t="str">
        <f aca="false">IF(OR($G35="",$I35=""),"",ROUND($G35*$I35,0))</f>
        <v/>
      </c>
      <c r="L35" s="13" t="str">
        <f aca="false">IF($D35="","",IF($G35="",0,$G35)+IF($H35="",0,$H35))</f>
        <v/>
      </c>
      <c r="M35" s="7"/>
    </row>
    <row r="36" customFormat="false" ht="15" hidden="false" customHeight="true" outlineLevel="0" collapsed="false">
      <c r="A36" s="11"/>
      <c r="B36" s="7"/>
      <c r="C36" s="12" t="str">
        <f aca="false">IF($B36="","",IFERROR(INDEX(거래처마스터!$B$3:$B$102,MATCH($B36,거래처마스터!$A$3:$A$102,0)),"미등록"))</f>
        <v/>
      </c>
      <c r="D36" s="7"/>
      <c r="E36" s="12" t="str">
        <f aca="false">IF($D36="","",IFERROR(INDEX(품목마스터!$B$3:$B$202,MATCH($D36,품목마스터!$A$3:$A$202,0)),"미등록품번"))</f>
        <v/>
      </c>
      <c r="F36" s="12" t="str">
        <f aca="false">IF($D36="","",IFERROR(INDEX(품목마스터!$D$3:$D$202,MATCH($D36,품목마스터!$A$3:$A$202,0)),""))</f>
        <v/>
      </c>
      <c r="G36" s="9"/>
      <c r="H36" s="9"/>
      <c r="I36" s="9"/>
      <c r="J36" s="7"/>
      <c r="K36" s="13" t="str">
        <f aca="false">IF(OR($G36="",$I36=""),"",ROUND($G36*$I36,0))</f>
        <v/>
      </c>
      <c r="L36" s="13" t="str">
        <f aca="false">IF($D36="","",IF($G36="",0,$G36)+IF($H36="",0,$H36))</f>
        <v/>
      </c>
      <c r="M36" s="7"/>
    </row>
    <row r="37" customFormat="false" ht="15" hidden="false" customHeight="true" outlineLevel="0" collapsed="false">
      <c r="A37" s="11"/>
      <c r="B37" s="7"/>
      <c r="C37" s="12" t="str">
        <f aca="false">IF($B37="","",IFERROR(INDEX(거래처마스터!$B$3:$B$102,MATCH($B37,거래처마스터!$A$3:$A$102,0)),"미등록"))</f>
        <v/>
      </c>
      <c r="D37" s="7"/>
      <c r="E37" s="12" t="str">
        <f aca="false">IF($D37="","",IFERROR(INDEX(품목마스터!$B$3:$B$202,MATCH($D37,품목마스터!$A$3:$A$202,0)),"미등록품번"))</f>
        <v/>
      </c>
      <c r="F37" s="12" t="str">
        <f aca="false">IF($D37="","",IFERROR(INDEX(품목마스터!$D$3:$D$202,MATCH($D37,품목마스터!$A$3:$A$202,0)),""))</f>
        <v/>
      </c>
      <c r="G37" s="9"/>
      <c r="H37" s="9"/>
      <c r="I37" s="9"/>
      <c r="J37" s="7"/>
      <c r="K37" s="13" t="str">
        <f aca="false">IF(OR($G37="",$I37=""),"",ROUND($G37*$I37,0))</f>
        <v/>
      </c>
      <c r="L37" s="13" t="str">
        <f aca="false">IF($D37="","",IF($G37="",0,$G37)+IF($H37="",0,$H37))</f>
        <v/>
      </c>
      <c r="M37" s="7"/>
    </row>
    <row r="38" customFormat="false" ht="15" hidden="false" customHeight="true" outlineLevel="0" collapsed="false">
      <c r="A38" s="11"/>
      <c r="B38" s="7"/>
      <c r="C38" s="12" t="str">
        <f aca="false">IF($B38="","",IFERROR(INDEX(거래처마스터!$B$3:$B$102,MATCH($B38,거래처마스터!$A$3:$A$102,0)),"미등록"))</f>
        <v/>
      </c>
      <c r="D38" s="7"/>
      <c r="E38" s="12" t="str">
        <f aca="false">IF($D38="","",IFERROR(INDEX(품목마스터!$B$3:$B$202,MATCH($D38,품목마스터!$A$3:$A$202,0)),"미등록품번"))</f>
        <v/>
      </c>
      <c r="F38" s="12" t="str">
        <f aca="false">IF($D38="","",IFERROR(INDEX(품목마스터!$D$3:$D$202,MATCH($D38,품목마스터!$A$3:$A$202,0)),""))</f>
        <v/>
      </c>
      <c r="G38" s="9"/>
      <c r="H38" s="9"/>
      <c r="I38" s="9"/>
      <c r="J38" s="7"/>
      <c r="K38" s="13" t="str">
        <f aca="false">IF(OR($G38="",$I38=""),"",ROUND($G38*$I38,0))</f>
        <v/>
      </c>
      <c r="L38" s="13" t="str">
        <f aca="false">IF($D38="","",IF($G38="",0,$G38)+IF($H38="",0,$H38))</f>
        <v/>
      </c>
      <c r="M38" s="7"/>
    </row>
    <row r="39" customFormat="false" ht="15" hidden="false" customHeight="true" outlineLevel="0" collapsed="false">
      <c r="A39" s="11"/>
      <c r="B39" s="7"/>
      <c r="C39" s="12" t="str">
        <f aca="false">IF($B39="","",IFERROR(INDEX(거래처마스터!$B$3:$B$102,MATCH($B39,거래처마스터!$A$3:$A$102,0)),"미등록"))</f>
        <v/>
      </c>
      <c r="D39" s="7"/>
      <c r="E39" s="12" t="str">
        <f aca="false">IF($D39="","",IFERROR(INDEX(품목마스터!$B$3:$B$202,MATCH($D39,품목마스터!$A$3:$A$202,0)),"미등록품번"))</f>
        <v/>
      </c>
      <c r="F39" s="12" t="str">
        <f aca="false">IF($D39="","",IFERROR(INDEX(품목마스터!$D$3:$D$202,MATCH($D39,품목마스터!$A$3:$A$202,0)),""))</f>
        <v/>
      </c>
      <c r="G39" s="9"/>
      <c r="H39" s="9"/>
      <c r="I39" s="9"/>
      <c r="J39" s="7"/>
      <c r="K39" s="13" t="str">
        <f aca="false">IF(OR($G39="",$I39=""),"",ROUND($G39*$I39,0))</f>
        <v/>
      </c>
      <c r="L39" s="13" t="str">
        <f aca="false">IF($D39="","",IF($G39="",0,$G39)+IF($H39="",0,$H39))</f>
        <v/>
      </c>
      <c r="M39" s="7"/>
    </row>
    <row r="40" customFormat="false" ht="15" hidden="false" customHeight="true" outlineLevel="0" collapsed="false">
      <c r="A40" s="11"/>
      <c r="B40" s="7"/>
      <c r="C40" s="12" t="str">
        <f aca="false">IF($B40="","",IFERROR(INDEX(거래처마스터!$B$3:$B$102,MATCH($B40,거래처마스터!$A$3:$A$102,0)),"미등록"))</f>
        <v/>
      </c>
      <c r="D40" s="7"/>
      <c r="E40" s="12" t="str">
        <f aca="false">IF($D40="","",IFERROR(INDEX(품목마스터!$B$3:$B$202,MATCH($D40,품목마스터!$A$3:$A$202,0)),"미등록품번"))</f>
        <v/>
      </c>
      <c r="F40" s="12" t="str">
        <f aca="false">IF($D40="","",IFERROR(INDEX(품목마스터!$D$3:$D$202,MATCH($D40,품목마스터!$A$3:$A$202,0)),""))</f>
        <v/>
      </c>
      <c r="G40" s="9"/>
      <c r="H40" s="9"/>
      <c r="I40" s="9"/>
      <c r="J40" s="7"/>
      <c r="K40" s="13" t="str">
        <f aca="false">IF(OR($G40="",$I40=""),"",ROUND($G40*$I40,0))</f>
        <v/>
      </c>
      <c r="L40" s="13" t="str">
        <f aca="false">IF($D40="","",IF($G40="",0,$G40)+IF($H40="",0,$H40))</f>
        <v/>
      </c>
      <c r="M40" s="7"/>
    </row>
    <row r="41" customFormat="false" ht="15" hidden="false" customHeight="true" outlineLevel="0" collapsed="false">
      <c r="A41" s="11"/>
      <c r="B41" s="7"/>
      <c r="C41" s="12" t="str">
        <f aca="false">IF($B41="","",IFERROR(INDEX(거래처마스터!$B$3:$B$102,MATCH($B41,거래처마스터!$A$3:$A$102,0)),"미등록"))</f>
        <v/>
      </c>
      <c r="D41" s="7"/>
      <c r="E41" s="12" t="str">
        <f aca="false">IF($D41="","",IFERROR(INDEX(품목마스터!$B$3:$B$202,MATCH($D41,품목마스터!$A$3:$A$202,0)),"미등록품번"))</f>
        <v/>
      </c>
      <c r="F41" s="12" t="str">
        <f aca="false">IF($D41="","",IFERROR(INDEX(품목마스터!$D$3:$D$202,MATCH($D41,품목마스터!$A$3:$A$202,0)),""))</f>
        <v/>
      </c>
      <c r="G41" s="9"/>
      <c r="H41" s="9"/>
      <c r="I41" s="9"/>
      <c r="J41" s="7"/>
      <c r="K41" s="13" t="str">
        <f aca="false">IF(OR($G41="",$I41=""),"",ROUND($G41*$I41,0))</f>
        <v/>
      </c>
      <c r="L41" s="13" t="str">
        <f aca="false">IF($D41="","",IF($G41="",0,$G41)+IF($H41="",0,$H41))</f>
        <v/>
      </c>
      <c r="M41" s="7"/>
    </row>
    <row r="42" customFormat="false" ht="15" hidden="false" customHeight="true" outlineLevel="0" collapsed="false">
      <c r="A42" s="11"/>
      <c r="B42" s="7"/>
      <c r="C42" s="12" t="str">
        <f aca="false">IF($B42="","",IFERROR(INDEX(거래처마스터!$B$3:$B$102,MATCH($B42,거래처마스터!$A$3:$A$102,0)),"미등록"))</f>
        <v/>
      </c>
      <c r="D42" s="7"/>
      <c r="E42" s="12" t="str">
        <f aca="false">IF($D42="","",IFERROR(INDEX(품목마스터!$B$3:$B$202,MATCH($D42,품목마스터!$A$3:$A$202,0)),"미등록품번"))</f>
        <v/>
      </c>
      <c r="F42" s="12" t="str">
        <f aca="false">IF($D42="","",IFERROR(INDEX(품목마스터!$D$3:$D$202,MATCH($D42,품목마스터!$A$3:$A$202,0)),""))</f>
        <v/>
      </c>
      <c r="G42" s="9"/>
      <c r="H42" s="9"/>
      <c r="I42" s="9"/>
      <c r="J42" s="7"/>
      <c r="K42" s="13" t="str">
        <f aca="false">IF(OR($G42="",$I42=""),"",ROUND($G42*$I42,0))</f>
        <v/>
      </c>
      <c r="L42" s="13" t="str">
        <f aca="false">IF($D42="","",IF($G42="",0,$G42)+IF($H42="",0,$H42))</f>
        <v/>
      </c>
      <c r="M42" s="7"/>
    </row>
    <row r="43" customFormat="false" ht="15" hidden="false" customHeight="true" outlineLevel="0" collapsed="false">
      <c r="A43" s="11"/>
      <c r="B43" s="7"/>
      <c r="C43" s="12" t="str">
        <f aca="false">IF($B43="","",IFERROR(INDEX(거래처마스터!$B$3:$B$102,MATCH($B43,거래처마스터!$A$3:$A$102,0)),"미등록"))</f>
        <v/>
      </c>
      <c r="D43" s="7"/>
      <c r="E43" s="12" t="str">
        <f aca="false">IF($D43="","",IFERROR(INDEX(품목마스터!$B$3:$B$202,MATCH($D43,품목마스터!$A$3:$A$202,0)),"미등록품번"))</f>
        <v/>
      </c>
      <c r="F43" s="12" t="str">
        <f aca="false">IF($D43="","",IFERROR(INDEX(품목마스터!$D$3:$D$202,MATCH($D43,품목마스터!$A$3:$A$202,0)),""))</f>
        <v/>
      </c>
      <c r="G43" s="9"/>
      <c r="H43" s="9"/>
      <c r="I43" s="9"/>
      <c r="J43" s="7"/>
      <c r="K43" s="13" t="str">
        <f aca="false">IF(OR($G43="",$I43=""),"",ROUND($G43*$I43,0))</f>
        <v/>
      </c>
      <c r="L43" s="13" t="str">
        <f aca="false">IF($D43="","",IF($G43="",0,$G43)+IF($H43="",0,$H43))</f>
        <v/>
      </c>
      <c r="M43" s="7"/>
    </row>
    <row r="44" customFormat="false" ht="15" hidden="false" customHeight="true" outlineLevel="0" collapsed="false">
      <c r="A44" s="11"/>
      <c r="B44" s="7"/>
      <c r="C44" s="12" t="str">
        <f aca="false">IF($B44="","",IFERROR(INDEX(거래처마스터!$B$3:$B$102,MATCH($B44,거래처마스터!$A$3:$A$102,0)),"미등록"))</f>
        <v/>
      </c>
      <c r="D44" s="7"/>
      <c r="E44" s="12" t="str">
        <f aca="false">IF($D44="","",IFERROR(INDEX(품목마스터!$B$3:$B$202,MATCH($D44,품목마스터!$A$3:$A$202,0)),"미등록품번"))</f>
        <v/>
      </c>
      <c r="F44" s="12" t="str">
        <f aca="false">IF($D44="","",IFERROR(INDEX(품목마스터!$D$3:$D$202,MATCH($D44,품목마스터!$A$3:$A$202,0)),""))</f>
        <v/>
      </c>
      <c r="G44" s="9"/>
      <c r="H44" s="9"/>
      <c r="I44" s="9"/>
      <c r="J44" s="7"/>
      <c r="K44" s="13" t="str">
        <f aca="false">IF(OR($G44="",$I44=""),"",ROUND($G44*$I44,0))</f>
        <v/>
      </c>
      <c r="L44" s="13" t="str">
        <f aca="false">IF($D44="","",IF($G44="",0,$G44)+IF($H44="",0,$H44))</f>
        <v/>
      </c>
      <c r="M44" s="7"/>
    </row>
    <row r="45" customFormat="false" ht="15" hidden="false" customHeight="true" outlineLevel="0" collapsed="false">
      <c r="A45" s="11"/>
      <c r="B45" s="7"/>
      <c r="C45" s="12" t="str">
        <f aca="false">IF($B45="","",IFERROR(INDEX(거래처마스터!$B$3:$B$102,MATCH($B45,거래처마스터!$A$3:$A$102,0)),"미등록"))</f>
        <v/>
      </c>
      <c r="D45" s="7"/>
      <c r="E45" s="12" t="str">
        <f aca="false">IF($D45="","",IFERROR(INDEX(품목마스터!$B$3:$B$202,MATCH($D45,품목마스터!$A$3:$A$202,0)),"미등록품번"))</f>
        <v/>
      </c>
      <c r="F45" s="12" t="str">
        <f aca="false">IF($D45="","",IFERROR(INDEX(품목마스터!$D$3:$D$202,MATCH($D45,품목마스터!$A$3:$A$202,0)),""))</f>
        <v/>
      </c>
      <c r="G45" s="9"/>
      <c r="H45" s="9"/>
      <c r="I45" s="9"/>
      <c r="J45" s="7"/>
      <c r="K45" s="13" t="str">
        <f aca="false">IF(OR($G45="",$I45=""),"",ROUND($G45*$I45,0))</f>
        <v/>
      </c>
      <c r="L45" s="13" t="str">
        <f aca="false">IF($D45="","",IF($G45="",0,$G45)+IF($H45="",0,$H45))</f>
        <v/>
      </c>
      <c r="M45" s="7"/>
    </row>
    <row r="46" customFormat="false" ht="15" hidden="false" customHeight="true" outlineLevel="0" collapsed="false">
      <c r="A46" s="11"/>
      <c r="B46" s="7"/>
      <c r="C46" s="12" t="str">
        <f aca="false">IF($B46="","",IFERROR(INDEX(거래처마스터!$B$3:$B$102,MATCH($B46,거래처마스터!$A$3:$A$102,0)),"미등록"))</f>
        <v/>
      </c>
      <c r="D46" s="7"/>
      <c r="E46" s="12" t="str">
        <f aca="false">IF($D46="","",IFERROR(INDEX(품목마스터!$B$3:$B$202,MATCH($D46,품목마스터!$A$3:$A$202,0)),"미등록품번"))</f>
        <v/>
      </c>
      <c r="F46" s="12" t="str">
        <f aca="false">IF($D46="","",IFERROR(INDEX(품목마스터!$D$3:$D$202,MATCH($D46,품목마스터!$A$3:$A$202,0)),""))</f>
        <v/>
      </c>
      <c r="G46" s="9"/>
      <c r="H46" s="9"/>
      <c r="I46" s="9"/>
      <c r="J46" s="7"/>
      <c r="K46" s="13" t="str">
        <f aca="false">IF(OR($G46="",$I46=""),"",ROUND($G46*$I46,0))</f>
        <v/>
      </c>
      <c r="L46" s="13" t="str">
        <f aca="false">IF($D46="","",IF($G46="",0,$G46)+IF($H46="",0,$H46))</f>
        <v/>
      </c>
      <c r="M46" s="7"/>
    </row>
    <row r="47" customFormat="false" ht="15" hidden="false" customHeight="true" outlineLevel="0" collapsed="false">
      <c r="A47" s="11"/>
      <c r="B47" s="7"/>
      <c r="C47" s="12" t="str">
        <f aca="false">IF($B47="","",IFERROR(INDEX(거래처마스터!$B$3:$B$102,MATCH($B47,거래처마스터!$A$3:$A$102,0)),"미등록"))</f>
        <v/>
      </c>
      <c r="D47" s="7"/>
      <c r="E47" s="12" t="str">
        <f aca="false">IF($D47="","",IFERROR(INDEX(품목마스터!$B$3:$B$202,MATCH($D47,품목마스터!$A$3:$A$202,0)),"미등록품번"))</f>
        <v/>
      </c>
      <c r="F47" s="12" t="str">
        <f aca="false">IF($D47="","",IFERROR(INDEX(품목마스터!$D$3:$D$202,MATCH($D47,품목마스터!$A$3:$A$202,0)),""))</f>
        <v/>
      </c>
      <c r="G47" s="9"/>
      <c r="H47" s="9"/>
      <c r="I47" s="9"/>
      <c r="J47" s="7"/>
      <c r="K47" s="13" t="str">
        <f aca="false">IF(OR($G47="",$I47=""),"",ROUND($G47*$I47,0))</f>
        <v/>
      </c>
      <c r="L47" s="13" t="str">
        <f aca="false">IF($D47="","",IF($G47="",0,$G47)+IF($H47="",0,$H47))</f>
        <v/>
      </c>
      <c r="M47" s="7"/>
    </row>
    <row r="48" customFormat="false" ht="15" hidden="false" customHeight="true" outlineLevel="0" collapsed="false">
      <c r="A48" s="11"/>
      <c r="B48" s="7"/>
      <c r="C48" s="12" t="str">
        <f aca="false">IF($B48="","",IFERROR(INDEX(거래처마스터!$B$3:$B$102,MATCH($B48,거래처마스터!$A$3:$A$102,0)),"미등록"))</f>
        <v/>
      </c>
      <c r="D48" s="7"/>
      <c r="E48" s="12" t="str">
        <f aca="false">IF($D48="","",IFERROR(INDEX(품목마스터!$B$3:$B$202,MATCH($D48,품목마스터!$A$3:$A$202,0)),"미등록품번"))</f>
        <v/>
      </c>
      <c r="F48" s="12" t="str">
        <f aca="false">IF($D48="","",IFERROR(INDEX(품목마스터!$D$3:$D$202,MATCH($D48,품목마스터!$A$3:$A$202,0)),""))</f>
        <v/>
      </c>
      <c r="G48" s="9"/>
      <c r="H48" s="9"/>
      <c r="I48" s="9"/>
      <c r="J48" s="7"/>
      <c r="K48" s="13" t="str">
        <f aca="false">IF(OR($G48="",$I48=""),"",ROUND($G48*$I48,0))</f>
        <v/>
      </c>
      <c r="L48" s="13" t="str">
        <f aca="false">IF($D48="","",IF($G48="",0,$G48)+IF($H48="",0,$H48))</f>
        <v/>
      </c>
      <c r="M48" s="7"/>
    </row>
    <row r="49" customFormat="false" ht="15" hidden="false" customHeight="true" outlineLevel="0" collapsed="false">
      <c r="A49" s="11"/>
      <c r="B49" s="7"/>
      <c r="C49" s="12" t="str">
        <f aca="false">IF($B49="","",IFERROR(INDEX(거래처마스터!$B$3:$B$102,MATCH($B49,거래처마스터!$A$3:$A$102,0)),"미등록"))</f>
        <v/>
      </c>
      <c r="D49" s="7"/>
      <c r="E49" s="12" t="str">
        <f aca="false">IF($D49="","",IFERROR(INDEX(품목마스터!$B$3:$B$202,MATCH($D49,품목마스터!$A$3:$A$202,0)),"미등록품번"))</f>
        <v/>
      </c>
      <c r="F49" s="12" t="str">
        <f aca="false">IF($D49="","",IFERROR(INDEX(품목마스터!$D$3:$D$202,MATCH($D49,품목마스터!$A$3:$A$202,0)),""))</f>
        <v/>
      </c>
      <c r="G49" s="9"/>
      <c r="H49" s="9"/>
      <c r="I49" s="9"/>
      <c r="J49" s="7"/>
      <c r="K49" s="13" t="str">
        <f aca="false">IF(OR($G49="",$I49=""),"",ROUND($G49*$I49,0))</f>
        <v/>
      </c>
      <c r="L49" s="13" t="str">
        <f aca="false">IF($D49="","",IF($G49="",0,$G49)+IF($H49="",0,$H49))</f>
        <v/>
      </c>
      <c r="M49" s="7"/>
    </row>
    <row r="50" customFormat="false" ht="15" hidden="false" customHeight="true" outlineLevel="0" collapsed="false">
      <c r="A50" s="11"/>
      <c r="B50" s="7"/>
      <c r="C50" s="12" t="str">
        <f aca="false">IF($B50="","",IFERROR(INDEX(거래처마스터!$B$3:$B$102,MATCH($B50,거래처마스터!$A$3:$A$102,0)),"미등록"))</f>
        <v/>
      </c>
      <c r="D50" s="7"/>
      <c r="E50" s="12" t="str">
        <f aca="false">IF($D50="","",IFERROR(INDEX(품목마스터!$B$3:$B$202,MATCH($D50,품목마스터!$A$3:$A$202,0)),"미등록품번"))</f>
        <v/>
      </c>
      <c r="F50" s="12" t="str">
        <f aca="false">IF($D50="","",IFERROR(INDEX(품목마스터!$D$3:$D$202,MATCH($D50,품목마스터!$A$3:$A$202,0)),""))</f>
        <v/>
      </c>
      <c r="G50" s="9"/>
      <c r="H50" s="9"/>
      <c r="I50" s="9"/>
      <c r="J50" s="7"/>
      <c r="K50" s="13" t="str">
        <f aca="false">IF(OR($G50="",$I50=""),"",ROUND($G50*$I50,0))</f>
        <v/>
      </c>
      <c r="L50" s="13" t="str">
        <f aca="false">IF($D50="","",IF($G50="",0,$G50)+IF($H50="",0,$H50))</f>
        <v/>
      </c>
      <c r="M50" s="7"/>
    </row>
    <row r="51" customFormat="false" ht="15" hidden="false" customHeight="true" outlineLevel="0" collapsed="false">
      <c r="A51" s="11"/>
      <c r="B51" s="7"/>
      <c r="C51" s="12" t="str">
        <f aca="false">IF($B51="","",IFERROR(INDEX(거래처마스터!$B$3:$B$102,MATCH($B51,거래처마스터!$A$3:$A$102,0)),"미등록"))</f>
        <v/>
      </c>
      <c r="D51" s="7"/>
      <c r="E51" s="12" t="str">
        <f aca="false">IF($D51="","",IFERROR(INDEX(품목마스터!$B$3:$B$202,MATCH($D51,품목마스터!$A$3:$A$202,0)),"미등록품번"))</f>
        <v/>
      </c>
      <c r="F51" s="12" t="str">
        <f aca="false">IF($D51="","",IFERROR(INDEX(품목마스터!$D$3:$D$202,MATCH($D51,품목마스터!$A$3:$A$202,0)),""))</f>
        <v/>
      </c>
      <c r="G51" s="9"/>
      <c r="H51" s="9"/>
      <c r="I51" s="9"/>
      <c r="J51" s="7"/>
      <c r="K51" s="13" t="str">
        <f aca="false">IF(OR($G51="",$I51=""),"",ROUND($G51*$I51,0))</f>
        <v/>
      </c>
      <c r="L51" s="13" t="str">
        <f aca="false">IF($D51="","",IF($G51="",0,$G51)+IF($H51="",0,$H51))</f>
        <v/>
      </c>
      <c r="M51" s="7"/>
    </row>
    <row r="52" customFormat="false" ht="15" hidden="false" customHeight="true" outlineLevel="0" collapsed="false">
      <c r="A52" s="11"/>
      <c r="B52" s="7"/>
      <c r="C52" s="12" t="str">
        <f aca="false">IF($B52="","",IFERROR(INDEX(거래처마스터!$B$3:$B$102,MATCH($B52,거래처마스터!$A$3:$A$102,0)),"미등록"))</f>
        <v/>
      </c>
      <c r="D52" s="7"/>
      <c r="E52" s="12" t="str">
        <f aca="false">IF($D52="","",IFERROR(INDEX(품목마스터!$B$3:$B$202,MATCH($D52,품목마스터!$A$3:$A$202,0)),"미등록품번"))</f>
        <v/>
      </c>
      <c r="F52" s="12" t="str">
        <f aca="false">IF($D52="","",IFERROR(INDEX(품목마스터!$D$3:$D$202,MATCH($D52,품목마스터!$A$3:$A$202,0)),""))</f>
        <v/>
      </c>
      <c r="G52" s="9"/>
      <c r="H52" s="9"/>
      <c r="I52" s="9"/>
      <c r="J52" s="7"/>
      <c r="K52" s="13" t="str">
        <f aca="false">IF(OR($G52="",$I52=""),"",ROUND($G52*$I52,0))</f>
        <v/>
      </c>
      <c r="L52" s="13" t="str">
        <f aca="false">IF($D52="","",IF($G52="",0,$G52)+IF($H52="",0,$H52))</f>
        <v/>
      </c>
      <c r="M52" s="7"/>
    </row>
    <row r="53" customFormat="false" ht="15" hidden="false" customHeight="true" outlineLevel="0" collapsed="false">
      <c r="A53" s="11"/>
      <c r="B53" s="7"/>
      <c r="C53" s="12" t="str">
        <f aca="false">IF($B53="","",IFERROR(INDEX(거래처마스터!$B$3:$B$102,MATCH($B53,거래처마스터!$A$3:$A$102,0)),"미등록"))</f>
        <v/>
      </c>
      <c r="D53" s="7"/>
      <c r="E53" s="12" t="str">
        <f aca="false">IF($D53="","",IFERROR(INDEX(품목마스터!$B$3:$B$202,MATCH($D53,품목마스터!$A$3:$A$202,0)),"미등록품번"))</f>
        <v/>
      </c>
      <c r="F53" s="12" t="str">
        <f aca="false">IF($D53="","",IFERROR(INDEX(품목마스터!$D$3:$D$202,MATCH($D53,품목마스터!$A$3:$A$202,0)),""))</f>
        <v/>
      </c>
      <c r="G53" s="9"/>
      <c r="H53" s="9"/>
      <c r="I53" s="9"/>
      <c r="J53" s="7"/>
      <c r="K53" s="13" t="str">
        <f aca="false">IF(OR($G53="",$I53=""),"",ROUND($G53*$I53,0))</f>
        <v/>
      </c>
      <c r="L53" s="13" t="str">
        <f aca="false">IF($D53="","",IF($G53="",0,$G53)+IF($H53="",0,$H53))</f>
        <v/>
      </c>
      <c r="M53" s="7"/>
    </row>
    <row r="54" customFormat="false" ht="15" hidden="false" customHeight="true" outlineLevel="0" collapsed="false">
      <c r="A54" s="11"/>
      <c r="B54" s="7"/>
      <c r="C54" s="12" t="str">
        <f aca="false">IF($B54="","",IFERROR(INDEX(거래처마스터!$B$3:$B$102,MATCH($B54,거래처마스터!$A$3:$A$102,0)),"미등록"))</f>
        <v/>
      </c>
      <c r="D54" s="7"/>
      <c r="E54" s="12" t="str">
        <f aca="false">IF($D54="","",IFERROR(INDEX(품목마스터!$B$3:$B$202,MATCH($D54,품목마스터!$A$3:$A$202,0)),"미등록품번"))</f>
        <v/>
      </c>
      <c r="F54" s="12" t="str">
        <f aca="false">IF($D54="","",IFERROR(INDEX(품목마스터!$D$3:$D$202,MATCH($D54,품목마스터!$A$3:$A$202,0)),""))</f>
        <v/>
      </c>
      <c r="G54" s="9"/>
      <c r="H54" s="9"/>
      <c r="I54" s="9"/>
      <c r="J54" s="7"/>
      <c r="K54" s="13" t="str">
        <f aca="false">IF(OR($G54="",$I54=""),"",ROUND($G54*$I54,0))</f>
        <v/>
      </c>
      <c r="L54" s="13" t="str">
        <f aca="false">IF($D54="","",IF($G54="",0,$G54)+IF($H54="",0,$H54))</f>
        <v/>
      </c>
      <c r="M54" s="7"/>
    </row>
    <row r="55" customFormat="false" ht="15" hidden="false" customHeight="true" outlineLevel="0" collapsed="false">
      <c r="A55" s="11"/>
      <c r="B55" s="7"/>
      <c r="C55" s="12" t="str">
        <f aca="false">IF($B55="","",IFERROR(INDEX(거래처마스터!$B$3:$B$102,MATCH($B55,거래처마스터!$A$3:$A$102,0)),"미등록"))</f>
        <v/>
      </c>
      <c r="D55" s="7"/>
      <c r="E55" s="12" t="str">
        <f aca="false">IF($D55="","",IFERROR(INDEX(품목마스터!$B$3:$B$202,MATCH($D55,품목마스터!$A$3:$A$202,0)),"미등록품번"))</f>
        <v/>
      </c>
      <c r="F55" s="12" t="str">
        <f aca="false">IF($D55="","",IFERROR(INDEX(품목마스터!$D$3:$D$202,MATCH($D55,품목마스터!$A$3:$A$202,0)),""))</f>
        <v/>
      </c>
      <c r="G55" s="9"/>
      <c r="H55" s="9"/>
      <c r="I55" s="9"/>
      <c r="J55" s="7"/>
      <c r="K55" s="13" t="str">
        <f aca="false">IF(OR($G55="",$I55=""),"",ROUND($G55*$I55,0))</f>
        <v/>
      </c>
      <c r="L55" s="13" t="str">
        <f aca="false">IF($D55="","",IF($G55="",0,$G55)+IF($H55="",0,$H55))</f>
        <v/>
      </c>
      <c r="M55" s="7"/>
    </row>
    <row r="56" customFormat="false" ht="15" hidden="false" customHeight="true" outlineLevel="0" collapsed="false">
      <c r="A56" s="11"/>
      <c r="B56" s="7"/>
      <c r="C56" s="12" t="str">
        <f aca="false">IF($B56="","",IFERROR(INDEX(거래처마스터!$B$3:$B$102,MATCH($B56,거래처마스터!$A$3:$A$102,0)),"미등록"))</f>
        <v/>
      </c>
      <c r="D56" s="7"/>
      <c r="E56" s="12" t="str">
        <f aca="false">IF($D56="","",IFERROR(INDEX(품목마스터!$B$3:$B$202,MATCH($D56,품목마스터!$A$3:$A$202,0)),"미등록품번"))</f>
        <v/>
      </c>
      <c r="F56" s="12" t="str">
        <f aca="false">IF($D56="","",IFERROR(INDEX(품목마스터!$D$3:$D$202,MATCH($D56,품목마스터!$A$3:$A$202,0)),""))</f>
        <v/>
      </c>
      <c r="G56" s="9"/>
      <c r="H56" s="9"/>
      <c r="I56" s="9"/>
      <c r="J56" s="7"/>
      <c r="K56" s="13" t="str">
        <f aca="false">IF(OR($G56="",$I56=""),"",ROUND($G56*$I56,0))</f>
        <v/>
      </c>
      <c r="L56" s="13" t="str">
        <f aca="false">IF($D56="","",IF($G56="",0,$G56)+IF($H56="",0,$H56))</f>
        <v/>
      </c>
      <c r="M56" s="7"/>
    </row>
    <row r="57" customFormat="false" ht="15" hidden="false" customHeight="true" outlineLevel="0" collapsed="false">
      <c r="A57" s="11"/>
      <c r="B57" s="7"/>
      <c r="C57" s="12" t="str">
        <f aca="false">IF($B57="","",IFERROR(INDEX(거래처마스터!$B$3:$B$102,MATCH($B57,거래처마스터!$A$3:$A$102,0)),"미등록"))</f>
        <v/>
      </c>
      <c r="D57" s="7"/>
      <c r="E57" s="12" t="str">
        <f aca="false">IF($D57="","",IFERROR(INDEX(품목마스터!$B$3:$B$202,MATCH($D57,품목마스터!$A$3:$A$202,0)),"미등록품번"))</f>
        <v/>
      </c>
      <c r="F57" s="12" t="str">
        <f aca="false">IF($D57="","",IFERROR(INDEX(품목마스터!$D$3:$D$202,MATCH($D57,품목마스터!$A$3:$A$202,0)),""))</f>
        <v/>
      </c>
      <c r="G57" s="9"/>
      <c r="H57" s="9"/>
      <c r="I57" s="9"/>
      <c r="J57" s="7"/>
      <c r="K57" s="13" t="str">
        <f aca="false">IF(OR($G57="",$I57=""),"",ROUND($G57*$I57,0))</f>
        <v/>
      </c>
      <c r="L57" s="13" t="str">
        <f aca="false">IF($D57="","",IF($G57="",0,$G57)+IF($H57="",0,$H57))</f>
        <v/>
      </c>
      <c r="M57" s="7"/>
    </row>
    <row r="58" customFormat="false" ht="15" hidden="false" customHeight="true" outlineLevel="0" collapsed="false">
      <c r="A58" s="11"/>
      <c r="B58" s="7"/>
      <c r="C58" s="12" t="str">
        <f aca="false">IF($B58="","",IFERROR(INDEX(거래처마스터!$B$3:$B$102,MATCH($B58,거래처마스터!$A$3:$A$102,0)),"미등록"))</f>
        <v/>
      </c>
      <c r="D58" s="7"/>
      <c r="E58" s="12" t="str">
        <f aca="false">IF($D58="","",IFERROR(INDEX(품목마스터!$B$3:$B$202,MATCH($D58,품목마스터!$A$3:$A$202,0)),"미등록품번"))</f>
        <v/>
      </c>
      <c r="F58" s="12" t="str">
        <f aca="false">IF($D58="","",IFERROR(INDEX(품목마스터!$D$3:$D$202,MATCH($D58,품목마스터!$A$3:$A$202,0)),""))</f>
        <v/>
      </c>
      <c r="G58" s="9"/>
      <c r="H58" s="9"/>
      <c r="I58" s="9"/>
      <c r="J58" s="7"/>
      <c r="K58" s="13" t="str">
        <f aca="false">IF(OR($G58="",$I58=""),"",ROUND($G58*$I58,0))</f>
        <v/>
      </c>
      <c r="L58" s="13" t="str">
        <f aca="false">IF($D58="","",IF($G58="",0,$G58)+IF($H58="",0,$H58))</f>
        <v/>
      </c>
      <c r="M58" s="7"/>
    </row>
    <row r="59" customFormat="false" ht="15" hidden="false" customHeight="true" outlineLevel="0" collapsed="false">
      <c r="A59" s="11"/>
      <c r="B59" s="7"/>
      <c r="C59" s="12" t="str">
        <f aca="false">IF($B59="","",IFERROR(INDEX(거래처마스터!$B$3:$B$102,MATCH($B59,거래처마스터!$A$3:$A$102,0)),"미등록"))</f>
        <v/>
      </c>
      <c r="D59" s="7"/>
      <c r="E59" s="12" t="str">
        <f aca="false">IF($D59="","",IFERROR(INDEX(품목마스터!$B$3:$B$202,MATCH($D59,품목마스터!$A$3:$A$202,0)),"미등록품번"))</f>
        <v/>
      </c>
      <c r="F59" s="12" t="str">
        <f aca="false">IF($D59="","",IFERROR(INDEX(품목마스터!$D$3:$D$202,MATCH($D59,품목마스터!$A$3:$A$202,0)),""))</f>
        <v/>
      </c>
      <c r="G59" s="9"/>
      <c r="H59" s="9"/>
      <c r="I59" s="9"/>
      <c r="J59" s="7"/>
      <c r="K59" s="13" t="str">
        <f aca="false">IF(OR($G59="",$I59=""),"",ROUND($G59*$I59,0))</f>
        <v/>
      </c>
      <c r="L59" s="13" t="str">
        <f aca="false">IF($D59="","",IF($G59="",0,$G59)+IF($H59="",0,$H59))</f>
        <v/>
      </c>
      <c r="M59" s="7"/>
    </row>
    <row r="60" customFormat="false" ht="15" hidden="false" customHeight="true" outlineLevel="0" collapsed="false">
      <c r="A60" s="11"/>
      <c r="B60" s="7"/>
      <c r="C60" s="12" t="str">
        <f aca="false">IF($B60="","",IFERROR(INDEX(거래처마스터!$B$3:$B$102,MATCH($B60,거래처마스터!$A$3:$A$102,0)),"미등록"))</f>
        <v/>
      </c>
      <c r="D60" s="7"/>
      <c r="E60" s="12" t="str">
        <f aca="false">IF($D60="","",IFERROR(INDEX(품목마스터!$B$3:$B$202,MATCH($D60,품목마스터!$A$3:$A$202,0)),"미등록품번"))</f>
        <v/>
      </c>
      <c r="F60" s="12" t="str">
        <f aca="false">IF($D60="","",IFERROR(INDEX(품목마스터!$D$3:$D$202,MATCH($D60,품목마스터!$A$3:$A$202,0)),""))</f>
        <v/>
      </c>
      <c r="G60" s="9"/>
      <c r="H60" s="9"/>
      <c r="I60" s="9"/>
      <c r="J60" s="7"/>
      <c r="K60" s="13" t="str">
        <f aca="false">IF(OR($G60="",$I60=""),"",ROUND($G60*$I60,0))</f>
        <v/>
      </c>
      <c r="L60" s="13" t="str">
        <f aca="false">IF($D60="","",IF($G60="",0,$G60)+IF($H60="",0,$H60))</f>
        <v/>
      </c>
      <c r="M60" s="7"/>
    </row>
    <row r="61" customFormat="false" ht="15" hidden="false" customHeight="true" outlineLevel="0" collapsed="false">
      <c r="A61" s="11"/>
      <c r="B61" s="7"/>
      <c r="C61" s="12" t="str">
        <f aca="false">IF($B61="","",IFERROR(INDEX(거래처마스터!$B$3:$B$102,MATCH($B61,거래처마스터!$A$3:$A$102,0)),"미등록"))</f>
        <v/>
      </c>
      <c r="D61" s="7"/>
      <c r="E61" s="12" t="str">
        <f aca="false">IF($D61="","",IFERROR(INDEX(품목마스터!$B$3:$B$202,MATCH($D61,품목마스터!$A$3:$A$202,0)),"미등록품번"))</f>
        <v/>
      </c>
      <c r="F61" s="12" t="str">
        <f aca="false">IF($D61="","",IFERROR(INDEX(품목마스터!$D$3:$D$202,MATCH($D61,품목마스터!$A$3:$A$202,0)),""))</f>
        <v/>
      </c>
      <c r="G61" s="9"/>
      <c r="H61" s="9"/>
      <c r="I61" s="9"/>
      <c r="J61" s="7"/>
      <c r="K61" s="13" t="str">
        <f aca="false">IF(OR($G61="",$I61=""),"",ROUND($G61*$I61,0))</f>
        <v/>
      </c>
      <c r="L61" s="13" t="str">
        <f aca="false">IF($D61="","",IF($G61="",0,$G61)+IF($H61="",0,$H61))</f>
        <v/>
      </c>
      <c r="M61" s="7"/>
    </row>
    <row r="62" customFormat="false" ht="15" hidden="false" customHeight="true" outlineLevel="0" collapsed="false">
      <c r="A62" s="11"/>
      <c r="B62" s="7"/>
      <c r="C62" s="12" t="str">
        <f aca="false">IF($B62="","",IFERROR(INDEX(거래처마스터!$B$3:$B$102,MATCH($B62,거래처마스터!$A$3:$A$102,0)),"미등록"))</f>
        <v/>
      </c>
      <c r="D62" s="7"/>
      <c r="E62" s="12" t="str">
        <f aca="false">IF($D62="","",IFERROR(INDEX(품목마스터!$B$3:$B$202,MATCH($D62,품목마스터!$A$3:$A$202,0)),"미등록품번"))</f>
        <v/>
      </c>
      <c r="F62" s="12" t="str">
        <f aca="false">IF($D62="","",IFERROR(INDEX(품목마스터!$D$3:$D$202,MATCH($D62,품목마스터!$A$3:$A$202,0)),""))</f>
        <v/>
      </c>
      <c r="G62" s="9"/>
      <c r="H62" s="9"/>
      <c r="I62" s="9"/>
      <c r="J62" s="7"/>
      <c r="K62" s="13" t="str">
        <f aca="false">IF(OR($G62="",$I62=""),"",ROUND($G62*$I62,0))</f>
        <v/>
      </c>
      <c r="L62" s="13" t="str">
        <f aca="false">IF($D62="","",IF($G62="",0,$G62)+IF($H62="",0,$H62))</f>
        <v/>
      </c>
      <c r="M62" s="7"/>
    </row>
    <row r="63" customFormat="false" ht="15" hidden="false" customHeight="true" outlineLevel="0" collapsed="false">
      <c r="A63" s="11"/>
      <c r="B63" s="7"/>
      <c r="C63" s="12" t="str">
        <f aca="false">IF($B63="","",IFERROR(INDEX(거래처마스터!$B$3:$B$102,MATCH($B63,거래처마스터!$A$3:$A$102,0)),"미등록"))</f>
        <v/>
      </c>
      <c r="D63" s="7"/>
      <c r="E63" s="12" t="str">
        <f aca="false">IF($D63="","",IFERROR(INDEX(품목마스터!$B$3:$B$202,MATCH($D63,품목마스터!$A$3:$A$202,0)),"미등록품번"))</f>
        <v/>
      </c>
      <c r="F63" s="12" t="str">
        <f aca="false">IF($D63="","",IFERROR(INDEX(품목마스터!$D$3:$D$202,MATCH($D63,품목마스터!$A$3:$A$202,0)),""))</f>
        <v/>
      </c>
      <c r="G63" s="9"/>
      <c r="H63" s="9"/>
      <c r="I63" s="9"/>
      <c r="J63" s="7"/>
      <c r="K63" s="13" t="str">
        <f aca="false">IF(OR($G63="",$I63=""),"",ROUND($G63*$I63,0))</f>
        <v/>
      </c>
      <c r="L63" s="13" t="str">
        <f aca="false">IF($D63="","",IF($G63="",0,$G63)+IF($H63="",0,$H63))</f>
        <v/>
      </c>
      <c r="M63" s="7"/>
    </row>
    <row r="64" customFormat="false" ht="15" hidden="false" customHeight="true" outlineLevel="0" collapsed="false">
      <c r="A64" s="11"/>
      <c r="B64" s="7"/>
      <c r="C64" s="12" t="str">
        <f aca="false">IF($B64="","",IFERROR(INDEX(거래처마스터!$B$3:$B$102,MATCH($B64,거래처마스터!$A$3:$A$102,0)),"미등록"))</f>
        <v/>
      </c>
      <c r="D64" s="7"/>
      <c r="E64" s="12" t="str">
        <f aca="false">IF($D64="","",IFERROR(INDEX(품목마스터!$B$3:$B$202,MATCH($D64,품목마스터!$A$3:$A$202,0)),"미등록품번"))</f>
        <v/>
      </c>
      <c r="F64" s="12" t="str">
        <f aca="false">IF($D64="","",IFERROR(INDEX(품목마스터!$D$3:$D$202,MATCH($D64,품목마스터!$A$3:$A$202,0)),""))</f>
        <v/>
      </c>
      <c r="G64" s="9"/>
      <c r="H64" s="9"/>
      <c r="I64" s="9"/>
      <c r="J64" s="7"/>
      <c r="K64" s="13" t="str">
        <f aca="false">IF(OR($G64="",$I64=""),"",ROUND($G64*$I64,0))</f>
        <v/>
      </c>
      <c r="L64" s="13" t="str">
        <f aca="false">IF($D64="","",IF($G64="",0,$G64)+IF($H64="",0,$H64))</f>
        <v/>
      </c>
      <c r="M64" s="7"/>
    </row>
    <row r="65" customFormat="false" ht="15" hidden="false" customHeight="true" outlineLevel="0" collapsed="false">
      <c r="A65" s="11"/>
      <c r="B65" s="7"/>
      <c r="C65" s="12" t="str">
        <f aca="false">IF($B65="","",IFERROR(INDEX(거래처마스터!$B$3:$B$102,MATCH($B65,거래처마스터!$A$3:$A$102,0)),"미등록"))</f>
        <v/>
      </c>
      <c r="D65" s="7"/>
      <c r="E65" s="12" t="str">
        <f aca="false">IF($D65="","",IFERROR(INDEX(품목마스터!$B$3:$B$202,MATCH($D65,품목마스터!$A$3:$A$202,0)),"미등록품번"))</f>
        <v/>
      </c>
      <c r="F65" s="12" t="str">
        <f aca="false">IF($D65="","",IFERROR(INDEX(품목마스터!$D$3:$D$202,MATCH($D65,품목마스터!$A$3:$A$202,0)),""))</f>
        <v/>
      </c>
      <c r="G65" s="9"/>
      <c r="H65" s="9"/>
      <c r="I65" s="9"/>
      <c r="J65" s="7"/>
      <c r="K65" s="13" t="str">
        <f aca="false">IF(OR($G65="",$I65=""),"",ROUND($G65*$I65,0))</f>
        <v/>
      </c>
      <c r="L65" s="13" t="str">
        <f aca="false">IF($D65="","",IF($G65="",0,$G65)+IF($H65="",0,$H65))</f>
        <v/>
      </c>
      <c r="M65" s="7"/>
    </row>
    <row r="66" customFormat="false" ht="15" hidden="false" customHeight="true" outlineLevel="0" collapsed="false">
      <c r="A66" s="11"/>
      <c r="B66" s="7"/>
      <c r="C66" s="12" t="str">
        <f aca="false">IF($B66="","",IFERROR(INDEX(거래처마스터!$B$3:$B$102,MATCH($B66,거래처마스터!$A$3:$A$102,0)),"미등록"))</f>
        <v/>
      </c>
      <c r="D66" s="7"/>
      <c r="E66" s="12" t="str">
        <f aca="false">IF($D66="","",IFERROR(INDEX(품목마스터!$B$3:$B$202,MATCH($D66,품목마스터!$A$3:$A$202,0)),"미등록품번"))</f>
        <v/>
      </c>
      <c r="F66" s="12" t="str">
        <f aca="false">IF($D66="","",IFERROR(INDEX(품목마스터!$D$3:$D$202,MATCH($D66,품목마스터!$A$3:$A$202,0)),""))</f>
        <v/>
      </c>
      <c r="G66" s="9"/>
      <c r="H66" s="9"/>
      <c r="I66" s="9"/>
      <c r="J66" s="7"/>
      <c r="K66" s="13" t="str">
        <f aca="false">IF(OR($G66="",$I66=""),"",ROUND($G66*$I66,0))</f>
        <v/>
      </c>
      <c r="L66" s="13" t="str">
        <f aca="false">IF($D66="","",IF($G66="",0,$G66)+IF($H66="",0,$H66))</f>
        <v/>
      </c>
      <c r="M66" s="7"/>
    </row>
    <row r="67" customFormat="false" ht="15" hidden="false" customHeight="true" outlineLevel="0" collapsed="false">
      <c r="A67" s="11"/>
      <c r="B67" s="7"/>
      <c r="C67" s="12" t="str">
        <f aca="false">IF($B67="","",IFERROR(INDEX(거래처마스터!$B$3:$B$102,MATCH($B67,거래처마스터!$A$3:$A$102,0)),"미등록"))</f>
        <v/>
      </c>
      <c r="D67" s="7"/>
      <c r="E67" s="12" t="str">
        <f aca="false">IF($D67="","",IFERROR(INDEX(품목마스터!$B$3:$B$202,MATCH($D67,품목마스터!$A$3:$A$202,0)),"미등록품번"))</f>
        <v/>
      </c>
      <c r="F67" s="12" t="str">
        <f aca="false">IF($D67="","",IFERROR(INDEX(품목마스터!$D$3:$D$202,MATCH($D67,품목마스터!$A$3:$A$202,0)),""))</f>
        <v/>
      </c>
      <c r="G67" s="9"/>
      <c r="H67" s="9"/>
      <c r="I67" s="9"/>
      <c r="J67" s="7"/>
      <c r="K67" s="13" t="str">
        <f aca="false">IF(OR($G67="",$I67=""),"",ROUND($G67*$I67,0))</f>
        <v/>
      </c>
      <c r="L67" s="13" t="str">
        <f aca="false">IF($D67="","",IF($G67="",0,$G67)+IF($H67="",0,$H67))</f>
        <v/>
      </c>
      <c r="M67" s="7"/>
    </row>
    <row r="68" customFormat="false" ht="15" hidden="false" customHeight="true" outlineLevel="0" collapsed="false">
      <c r="A68" s="11"/>
      <c r="B68" s="7"/>
      <c r="C68" s="12" t="str">
        <f aca="false">IF($B68="","",IFERROR(INDEX(거래처마스터!$B$3:$B$102,MATCH($B68,거래처마스터!$A$3:$A$102,0)),"미등록"))</f>
        <v/>
      </c>
      <c r="D68" s="7"/>
      <c r="E68" s="12" t="str">
        <f aca="false">IF($D68="","",IFERROR(INDEX(품목마스터!$B$3:$B$202,MATCH($D68,품목마스터!$A$3:$A$202,0)),"미등록품번"))</f>
        <v/>
      </c>
      <c r="F68" s="12" t="str">
        <f aca="false">IF($D68="","",IFERROR(INDEX(품목마스터!$D$3:$D$202,MATCH($D68,품목마스터!$A$3:$A$202,0)),""))</f>
        <v/>
      </c>
      <c r="G68" s="9"/>
      <c r="H68" s="9"/>
      <c r="I68" s="9"/>
      <c r="J68" s="7"/>
      <c r="K68" s="13" t="str">
        <f aca="false">IF(OR($G68="",$I68=""),"",ROUND($G68*$I68,0))</f>
        <v/>
      </c>
      <c r="L68" s="13" t="str">
        <f aca="false">IF($D68="","",IF($G68="",0,$G68)+IF($H68="",0,$H68))</f>
        <v/>
      </c>
      <c r="M68" s="7"/>
    </row>
    <row r="69" customFormat="false" ht="15" hidden="false" customHeight="true" outlineLevel="0" collapsed="false">
      <c r="A69" s="11"/>
      <c r="B69" s="7"/>
      <c r="C69" s="12" t="str">
        <f aca="false">IF($B69="","",IFERROR(INDEX(거래처마스터!$B$3:$B$102,MATCH($B69,거래처마스터!$A$3:$A$102,0)),"미등록"))</f>
        <v/>
      </c>
      <c r="D69" s="7"/>
      <c r="E69" s="12" t="str">
        <f aca="false">IF($D69="","",IFERROR(INDEX(품목마스터!$B$3:$B$202,MATCH($D69,품목마스터!$A$3:$A$202,0)),"미등록품번"))</f>
        <v/>
      </c>
      <c r="F69" s="12" t="str">
        <f aca="false">IF($D69="","",IFERROR(INDEX(품목마스터!$D$3:$D$202,MATCH($D69,품목마스터!$A$3:$A$202,0)),""))</f>
        <v/>
      </c>
      <c r="G69" s="9"/>
      <c r="H69" s="9"/>
      <c r="I69" s="9"/>
      <c r="J69" s="7"/>
      <c r="K69" s="13" t="str">
        <f aca="false">IF(OR($G69="",$I69=""),"",ROUND($G69*$I69,0))</f>
        <v/>
      </c>
      <c r="L69" s="13" t="str">
        <f aca="false">IF($D69="","",IF($G69="",0,$G69)+IF($H69="",0,$H69))</f>
        <v/>
      </c>
      <c r="M69" s="7"/>
    </row>
    <row r="70" customFormat="false" ht="15" hidden="false" customHeight="true" outlineLevel="0" collapsed="false">
      <c r="A70" s="11"/>
      <c r="B70" s="7"/>
      <c r="C70" s="12" t="str">
        <f aca="false">IF($B70="","",IFERROR(INDEX(거래처마스터!$B$3:$B$102,MATCH($B70,거래처마스터!$A$3:$A$102,0)),"미등록"))</f>
        <v/>
      </c>
      <c r="D70" s="7"/>
      <c r="E70" s="12" t="str">
        <f aca="false">IF($D70="","",IFERROR(INDEX(품목마스터!$B$3:$B$202,MATCH($D70,품목마스터!$A$3:$A$202,0)),"미등록품번"))</f>
        <v/>
      </c>
      <c r="F70" s="12" t="str">
        <f aca="false">IF($D70="","",IFERROR(INDEX(품목마스터!$D$3:$D$202,MATCH($D70,품목마스터!$A$3:$A$202,0)),""))</f>
        <v/>
      </c>
      <c r="G70" s="9"/>
      <c r="H70" s="9"/>
      <c r="I70" s="9"/>
      <c r="J70" s="7"/>
      <c r="K70" s="13" t="str">
        <f aca="false">IF(OR($G70="",$I70=""),"",ROUND($G70*$I70,0))</f>
        <v/>
      </c>
      <c r="L70" s="13" t="str">
        <f aca="false">IF($D70="","",IF($G70="",0,$G70)+IF($H70="",0,$H70))</f>
        <v/>
      </c>
      <c r="M70" s="7"/>
    </row>
    <row r="71" customFormat="false" ht="15" hidden="false" customHeight="true" outlineLevel="0" collapsed="false">
      <c r="A71" s="11"/>
      <c r="B71" s="7"/>
      <c r="C71" s="12" t="str">
        <f aca="false">IF($B71="","",IFERROR(INDEX(거래처마스터!$B$3:$B$102,MATCH($B71,거래처마스터!$A$3:$A$102,0)),"미등록"))</f>
        <v/>
      </c>
      <c r="D71" s="7"/>
      <c r="E71" s="12" t="str">
        <f aca="false">IF($D71="","",IFERROR(INDEX(품목마스터!$B$3:$B$202,MATCH($D71,품목마스터!$A$3:$A$202,0)),"미등록품번"))</f>
        <v/>
      </c>
      <c r="F71" s="12" t="str">
        <f aca="false">IF($D71="","",IFERROR(INDEX(품목마스터!$D$3:$D$202,MATCH($D71,품목마스터!$A$3:$A$202,0)),""))</f>
        <v/>
      </c>
      <c r="G71" s="9"/>
      <c r="H71" s="9"/>
      <c r="I71" s="9"/>
      <c r="J71" s="7"/>
      <c r="K71" s="13" t="str">
        <f aca="false">IF(OR($G71="",$I71=""),"",ROUND($G71*$I71,0))</f>
        <v/>
      </c>
      <c r="L71" s="13" t="str">
        <f aca="false">IF($D71="","",IF($G71="",0,$G71)+IF($H71="",0,$H71))</f>
        <v/>
      </c>
      <c r="M71" s="7"/>
    </row>
    <row r="72" customFormat="false" ht="15" hidden="false" customHeight="true" outlineLevel="0" collapsed="false">
      <c r="A72" s="11"/>
      <c r="B72" s="7"/>
      <c r="C72" s="12" t="str">
        <f aca="false">IF($B72="","",IFERROR(INDEX(거래처마스터!$B$3:$B$102,MATCH($B72,거래처마스터!$A$3:$A$102,0)),"미등록"))</f>
        <v/>
      </c>
      <c r="D72" s="7"/>
      <c r="E72" s="12" t="str">
        <f aca="false">IF($D72="","",IFERROR(INDEX(품목마스터!$B$3:$B$202,MATCH($D72,품목마스터!$A$3:$A$202,0)),"미등록품번"))</f>
        <v/>
      </c>
      <c r="F72" s="12" t="str">
        <f aca="false">IF($D72="","",IFERROR(INDEX(품목마스터!$D$3:$D$202,MATCH($D72,품목마스터!$A$3:$A$202,0)),""))</f>
        <v/>
      </c>
      <c r="G72" s="9"/>
      <c r="H72" s="9"/>
      <c r="I72" s="9"/>
      <c r="J72" s="7"/>
      <c r="K72" s="13" t="str">
        <f aca="false">IF(OR($G72="",$I72=""),"",ROUND($G72*$I72,0))</f>
        <v/>
      </c>
      <c r="L72" s="13" t="str">
        <f aca="false">IF($D72="","",IF($G72="",0,$G72)+IF($H72="",0,$H72))</f>
        <v/>
      </c>
      <c r="M72" s="7"/>
    </row>
    <row r="73" customFormat="false" ht="15" hidden="false" customHeight="true" outlineLevel="0" collapsed="false">
      <c r="A73" s="11"/>
      <c r="B73" s="7"/>
      <c r="C73" s="12" t="str">
        <f aca="false">IF($B73="","",IFERROR(INDEX(거래처마스터!$B$3:$B$102,MATCH($B73,거래처마스터!$A$3:$A$102,0)),"미등록"))</f>
        <v/>
      </c>
      <c r="D73" s="7"/>
      <c r="E73" s="12" t="str">
        <f aca="false">IF($D73="","",IFERROR(INDEX(품목마스터!$B$3:$B$202,MATCH($D73,품목마스터!$A$3:$A$202,0)),"미등록품번"))</f>
        <v/>
      </c>
      <c r="F73" s="12" t="str">
        <f aca="false">IF($D73="","",IFERROR(INDEX(품목마스터!$D$3:$D$202,MATCH($D73,품목마스터!$A$3:$A$202,0)),""))</f>
        <v/>
      </c>
      <c r="G73" s="9"/>
      <c r="H73" s="9"/>
      <c r="I73" s="9"/>
      <c r="J73" s="7"/>
      <c r="K73" s="13" t="str">
        <f aca="false">IF(OR($G73="",$I73=""),"",ROUND($G73*$I73,0))</f>
        <v/>
      </c>
      <c r="L73" s="13" t="str">
        <f aca="false">IF($D73="","",IF($G73="",0,$G73)+IF($H73="",0,$H73))</f>
        <v/>
      </c>
      <c r="M73" s="7"/>
    </row>
    <row r="74" customFormat="false" ht="15" hidden="false" customHeight="true" outlineLevel="0" collapsed="false">
      <c r="A74" s="11"/>
      <c r="B74" s="7"/>
      <c r="C74" s="12" t="str">
        <f aca="false">IF($B74="","",IFERROR(INDEX(거래처마스터!$B$3:$B$102,MATCH($B74,거래처마스터!$A$3:$A$102,0)),"미등록"))</f>
        <v/>
      </c>
      <c r="D74" s="7"/>
      <c r="E74" s="12" t="str">
        <f aca="false">IF($D74="","",IFERROR(INDEX(품목마스터!$B$3:$B$202,MATCH($D74,품목마스터!$A$3:$A$202,0)),"미등록품번"))</f>
        <v/>
      </c>
      <c r="F74" s="12" t="str">
        <f aca="false">IF($D74="","",IFERROR(INDEX(품목마스터!$D$3:$D$202,MATCH($D74,품목마스터!$A$3:$A$202,0)),""))</f>
        <v/>
      </c>
      <c r="G74" s="9"/>
      <c r="H74" s="9"/>
      <c r="I74" s="9"/>
      <c r="J74" s="7"/>
      <c r="K74" s="13" t="str">
        <f aca="false">IF(OR($G74="",$I74=""),"",ROUND($G74*$I74,0))</f>
        <v/>
      </c>
      <c r="L74" s="13" t="str">
        <f aca="false">IF($D74="","",IF($G74="",0,$G74)+IF($H74="",0,$H74))</f>
        <v/>
      </c>
      <c r="M74" s="7"/>
    </row>
    <row r="75" customFormat="false" ht="15" hidden="false" customHeight="true" outlineLevel="0" collapsed="false">
      <c r="A75" s="11"/>
      <c r="B75" s="7"/>
      <c r="C75" s="12" t="str">
        <f aca="false">IF($B75="","",IFERROR(INDEX(거래처마스터!$B$3:$B$102,MATCH($B75,거래처마스터!$A$3:$A$102,0)),"미등록"))</f>
        <v/>
      </c>
      <c r="D75" s="7"/>
      <c r="E75" s="12" t="str">
        <f aca="false">IF($D75="","",IFERROR(INDEX(품목마스터!$B$3:$B$202,MATCH($D75,품목마스터!$A$3:$A$202,0)),"미등록품번"))</f>
        <v/>
      </c>
      <c r="F75" s="12" t="str">
        <f aca="false">IF($D75="","",IFERROR(INDEX(품목마스터!$D$3:$D$202,MATCH($D75,품목마스터!$A$3:$A$202,0)),""))</f>
        <v/>
      </c>
      <c r="G75" s="9"/>
      <c r="H75" s="9"/>
      <c r="I75" s="9"/>
      <c r="J75" s="7"/>
      <c r="K75" s="13" t="str">
        <f aca="false">IF(OR($G75="",$I75=""),"",ROUND($G75*$I75,0))</f>
        <v/>
      </c>
      <c r="L75" s="13" t="str">
        <f aca="false">IF($D75="","",IF($G75="",0,$G75)+IF($H75="",0,$H75))</f>
        <v/>
      </c>
      <c r="M75" s="7"/>
    </row>
    <row r="76" customFormat="false" ht="15" hidden="false" customHeight="true" outlineLevel="0" collapsed="false">
      <c r="A76" s="11"/>
      <c r="B76" s="7"/>
      <c r="C76" s="12" t="str">
        <f aca="false">IF($B76="","",IFERROR(INDEX(거래처마스터!$B$3:$B$102,MATCH($B76,거래처마스터!$A$3:$A$102,0)),"미등록"))</f>
        <v/>
      </c>
      <c r="D76" s="7"/>
      <c r="E76" s="12" t="str">
        <f aca="false">IF($D76="","",IFERROR(INDEX(품목마스터!$B$3:$B$202,MATCH($D76,품목마스터!$A$3:$A$202,0)),"미등록품번"))</f>
        <v/>
      </c>
      <c r="F76" s="12" t="str">
        <f aca="false">IF($D76="","",IFERROR(INDEX(품목마스터!$D$3:$D$202,MATCH($D76,품목마스터!$A$3:$A$202,0)),""))</f>
        <v/>
      </c>
      <c r="G76" s="9"/>
      <c r="H76" s="9"/>
      <c r="I76" s="9"/>
      <c r="J76" s="7"/>
      <c r="K76" s="13" t="str">
        <f aca="false">IF(OR($G76="",$I76=""),"",ROUND($G76*$I76,0))</f>
        <v/>
      </c>
      <c r="L76" s="13" t="str">
        <f aca="false">IF($D76="","",IF($G76="",0,$G76)+IF($H76="",0,$H76))</f>
        <v/>
      </c>
      <c r="M76" s="7"/>
    </row>
    <row r="77" customFormat="false" ht="15" hidden="false" customHeight="true" outlineLevel="0" collapsed="false">
      <c r="A77" s="11"/>
      <c r="B77" s="7"/>
      <c r="C77" s="12" t="str">
        <f aca="false">IF($B77="","",IFERROR(INDEX(거래처마스터!$B$3:$B$102,MATCH($B77,거래처마스터!$A$3:$A$102,0)),"미등록"))</f>
        <v/>
      </c>
      <c r="D77" s="7"/>
      <c r="E77" s="12" t="str">
        <f aca="false">IF($D77="","",IFERROR(INDEX(품목마스터!$B$3:$B$202,MATCH($D77,품목마스터!$A$3:$A$202,0)),"미등록품번"))</f>
        <v/>
      </c>
      <c r="F77" s="12" t="str">
        <f aca="false">IF($D77="","",IFERROR(INDEX(품목마스터!$D$3:$D$202,MATCH($D77,품목마스터!$A$3:$A$202,0)),""))</f>
        <v/>
      </c>
      <c r="G77" s="9"/>
      <c r="H77" s="9"/>
      <c r="I77" s="9"/>
      <c r="J77" s="7"/>
      <c r="K77" s="13" t="str">
        <f aca="false">IF(OR($G77="",$I77=""),"",ROUND($G77*$I77,0))</f>
        <v/>
      </c>
      <c r="L77" s="13" t="str">
        <f aca="false">IF($D77="","",IF($G77="",0,$G77)+IF($H77="",0,$H77))</f>
        <v/>
      </c>
      <c r="M77" s="7"/>
    </row>
    <row r="78" customFormat="false" ht="15" hidden="false" customHeight="true" outlineLevel="0" collapsed="false">
      <c r="A78" s="11"/>
      <c r="B78" s="7"/>
      <c r="C78" s="12" t="str">
        <f aca="false">IF($B78="","",IFERROR(INDEX(거래처마스터!$B$3:$B$102,MATCH($B78,거래처마스터!$A$3:$A$102,0)),"미등록"))</f>
        <v/>
      </c>
      <c r="D78" s="7"/>
      <c r="E78" s="12" t="str">
        <f aca="false">IF($D78="","",IFERROR(INDEX(품목마스터!$B$3:$B$202,MATCH($D78,품목마스터!$A$3:$A$202,0)),"미등록품번"))</f>
        <v/>
      </c>
      <c r="F78" s="12" t="str">
        <f aca="false">IF($D78="","",IFERROR(INDEX(품목마스터!$D$3:$D$202,MATCH($D78,품목마스터!$A$3:$A$202,0)),""))</f>
        <v/>
      </c>
      <c r="G78" s="9"/>
      <c r="H78" s="9"/>
      <c r="I78" s="9"/>
      <c r="J78" s="7"/>
      <c r="K78" s="13" t="str">
        <f aca="false">IF(OR($G78="",$I78=""),"",ROUND($G78*$I78,0))</f>
        <v/>
      </c>
      <c r="L78" s="13" t="str">
        <f aca="false">IF($D78="","",IF($G78="",0,$G78)+IF($H78="",0,$H78))</f>
        <v/>
      </c>
      <c r="M78" s="7"/>
    </row>
    <row r="79" customFormat="false" ht="15" hidden="false" customHeight="true" outlineLevel="0" collapsed="false">
      <c r="A79" s="11"/>
      <c r="B79" s="7"/>
      <c r="C79" s="12" t="str">
        <f aca="false">IF($B79="","",IFERROR(INDEX(거래처마스터!$B$3:$B$102,MATCH($B79,거래처마스터!$A$3:$A$102,0)),"미등록"))</f>
        <v/>
      </c>
      <c r="D79" s="7"/>
      <c r="E79" s="12" t="str">
        <f aca="false">IF($D79="","",IFERROR(INDEX(품목마스터!$B$3:$B$202,MATCH($D79,품목마스터!$A$3:$A$202,0)),"미등록품번"))</f>
        <v/>
      </c>
      <c r="F79" s="12" t="str">
        <f aca="false">IF($D79="","",IFERROR(INDEX(품목마스터!$D$3:$D$202,MATCH($D79,품목마스터!$A$3:$A$202,0)),""))</f>
        <v/>
      </c>
      <c r="G79" s="9"/>
      <c r="H79" s="9"/>
      <c r="I79" s="9"/>
      <c r="J79" s="7"/>
      <c r="K79" s="13" t="str">
        <f aca="false">IF(OR($G79="",$I79=""),"",ROUND($G79*$I79,0))</f>
        <v/>
      </c>
      <c r="L79" s="13" t="str">
        <f aca="false">IF($D79="","",IF($G79="",0,$G79)+IF($H79="",0,$H79))</f>
        <v/>
      </c>
      <c r="M79" s="7"/>
    </row>
    <row r="80" customFormat="false" ht="15" hidden="false" customHeight="true" outlineLevel="0" collapsed="false">
      <c r="A80" s="11"/>
      <c r="B80" s="7"/>
      <c r="C80" s="12" t="str">
        <f aca="false">IF($B80="","",IFERROR(INDEX(거래처마스터!$B$3:$B$102,MATCH($B80,거래처마스터!$A$3:$A$102,0)),"미등록"))</f>
        <v/>
      </c>
      <c r="D80" s="7"/>
      <c r="E80" s="12" t="str">
        <f aca="false">IF($D80="","",IFERROR(INDEX(품목마스터!$B$3:$B$202,MATCH($D80,품목마스터!$A$3:$A$202,0)),"미등록품번"))</f>
        <v/>
      </c>
      <c r="F80" s="12" t="str">
        <f aca="false">IF($D80="","",IFERROR(INDEX(품목마스터!$D$3:$D$202,MATCH($D80,품목마스터!$A$3:$A$202,0)),""))</f>
        <v/>
      </c>
      <c r="G80" s="9"/>
      <c r="H80" s="9"/>
      <c r="I80" s="9"/>
      <c r="J80" s="7"/>
      <c r="K80" s="13" t="str">
        <f aca="false">IF(OR($G80="",$I80=""),"",ROUND($G80*$I80,0))</f>
        <v/>
      </c>
      <c r="L80" s="13" t="str">
        <f aca="false">IF($D80="","",IF($G80="",0,$G80)+IF($H80="",0,$H80))</f>
        <v/>
      </c>
      <c r="M80" s="7"/>
    </row>
    <row r="81" customFormat="false" ht="15" hidden="false" customHeight="true" outlineLevel="0" collapsed="false">
      <c r="A81" s="11"/>
      <c r="B81" s="7"/>
      <c r="C81" s="12" t="str">
        <f aca="false">IF($B81="","",IFERROR(INDEX(거래처마스터!$B$3:$B$102,MATCH($B81,거래처마스터!$A$3:$A$102,0)),"미등록"))</f>
        <v/>
      </c>
      <c r="D81" s="7"/>
      <c r="E81" s="12" t="str">
        <f aca="false">IF($D81="","",IFERROR(INDEX(품목마스터!$B$3:$B$202,MATCH($D81,품목마스터!$A$3:$A$202,0)),"미등록품번"))</f>
        <v/>
      </c>
      <c r="F81" s="12" t="str">
        <f aca="false">IF($D81="","",IFERROR(INDEX(품목마스터!$D$3:$D$202,MATCH($D81,품목마스터!$A$3:$A$202,0)),""))</f>
        <v/>
      </c>
      <c r="G81" s="9"/>
      <c r="H81" s="9"/>
      <c r="I81" s="9"/>
      <c r="J81" s="7"/>
      <c r="K81" s="13" t="str">
        <f aca="false">IF(OR($G81="",$I81=""),"",ROUND($G81*$I81,0))</f>
        <v/>
      </c>
      <c r="L81" s="13" t="str">
        <f aca="false">IF($D81="","",IF($G81="",0,$G81)+IF($H81="",0,$H81))</f>
        <v/>
      </c>
      <c r="M81" s="7"/>
    </row>
    <row r="82" customFormat="false" ht="15" hidden="false" customHeight="true" outlineLevel="0" collapsed="false">
      <c r="A82" s="11"/>
      <c r="B82" s="7"/>
      <c r="C82" s="12" t="str">
        <f aca="false">IF($B82="","",IFERROR(INDEX(거래처마스터!$B$3:$B$102,MATCH($B82,거래처마스터!$A$3:$A$102,0)),"미등록"))</f>
        <v/>
      </c>
      <c r="D82" s="7"/>
      <c r="E82" s="12" t="str">
        <f aca="false">IF($D82="","",IFERROR(INDEX(품목마스터!$B$3:$B$202,MATCH($D82,품목마스터!$A$3:$A$202,0)),"미등록품번"))</f>
        <v/>
      </c>
      <c r="F82" s="12" t="str">
        <f aca="false">IF($D82="","",IFERROR(INDEX(품목마스터!$D$3:$D$202,MATCH($D82,품목마스터!$A$3:$A$202,0)),""))</f>
        <v/>
      </c>
      <c r="G82" s="9"/>
      <c r="H82" s="9"/>
      <c r="I82" s="9"/>
      <c r="J82" s="7"/>
      <c r="K82" s="13" t="str">
        <f aca="false">IF(OR($G82="",$I82=""),"",ROUND($G82*$I82,0))</f>
        <v/>
      </c>
      <c r="L82" s="13" t="str">
        <f aca="false">IF($D82="","",IF($G82="",0,$G82)+IF($H82="",0,$H82))</f>
        <v/>
      </c>
      <c r="M82" s="7"/>
    </row>
    <row r="83" customFormat="false" ht="15" hidden="false" customHeight="true" outlineLevel="0" collapsed="false">
      <c r="A83" s="11"/>
      <c r="B83" s="7"/>
      <c r="C83" s="12" t="str">
        <f aca="false">IF($B83="","",IFERROR(INDEX(거래처마스터!$B$3:$B$102,MATCH($B83,거래처마스터!$A$3:$A$102,0)),"미등록"))</f>
        <v/>
      </c>
      <c r="D83" s="7"/>
      <c r="E83" s="12" t="str">
        <f aca="false">IF($D83="","",IFERROR(INDEX(품목마스터!$B$3:$B$202,MATCH($D83,품목마스터!$A$3:$A$202,0)),"미등록품번"))</f>
        <v/>
      </c>
      <c r="F83" s="12" t="str">
        <f aca="false">IF($D83="","",IFERROR(INDEX(품목마스터!$D$3:$D$202,MATCH($D83,품목마스터!$A$3:$A$202,0)),""))</f>
        <v/>
      </c>
      <c r="G83" s="9"/>
      <c r="H83" s="9"/>
      <c r="I83" s="9"/>
      <c r="J83" s="7"/>
      <c r="K83" s="13" t="str">
        <f aca="false">IF(OR($G83="",$I83=""),"",ROUND($G83*$I83,0))</f>
        <v/>
      </c>
      <c r="L83" s="13" t="str">
        <f aca="false">IF($D83="","",IF($G83="",0,$G83)+IF($H83="",0,$H83))</f>
        <v/>
      </c>
      <c r="M83" s="7"/>
    </row>
    <row r="84" customFormat="false" ht="15" hidden="false" customHeight="true" outlineLevel="0" collapsed="false">
      <c r="A84" s="11"/>
      <c r="B84" s="7"/>
      <c r="C84" s="12" t="str">
        <f aca="false">IF($B84="","",IFERROR(INDEX(거래처마스터!$B$3:$B$102,MATCH($B84,거래처마스터!$A$3:$A$102,0)),"미등록"))</f>
        <v/>
      </c>
      <c r="D84" s="7"/>
      <c r="E84" s="12" t="str">
        <f aca="false">IF($D84="","",IFERROR(INDEX(품목마스터!$B$3:$B$202,MATCH($D84,품목마스터!$A$3:$A$202,0)),"미등록품번"))</f>
        <v/>
      </c>
      <c r="F84" s="12" t="str">
        <f aca="false">IF($D84="","",IFERROR(INDEX(품목마스터!$D$3:$D$202,MATCH($D84,품목마스터!$A$3:$A$202,0)),""))</f>
        <v/>
      </c>
      <c r="G84" s="9"/>
      <c r="H84" s="9"/>
      <c r="I84" s="9"/>
      <c r="J84" s="7"/>
      <c r="K84" s="13" t="str">
        <f aca="false">IF(OR($G84="",$I84=""),"",ROUND($G84*$I84,0))</f>
        <v/>
      </c>
      <c r="L84" s="13" t="str">
        <f aca="false">IF($D84="","",IF($G84="",0,$G84)+IF($H84="",0,$H84))</f>
        <v/>
      </c>
      <c r="M84" s="7"/>
    </row>
    <row r="85" customFormat="false" ht="15" hidden="false" customHeight="true" outlineLevel="0" collapsed="false">
      <c r="A85" s="11"/>
      <c r="B85" s="7"/>
      <c r="C85" s="12" t="str">
        <f aca="false">IF($B85="","",IFERROR(INDEX(거래처마스터!$B$3:$B$102,MATCH($B85,거래처마스터!$A$3:$A$102,0)),"미등록"))</f>
        <v/>
      </c>
      <c r="D85" s="7"/>
      <c r="E85" s="12" t="str">
        <f aca="false">IF($D85="","",IFERROR(INDEX(품목마스터!$B$3:$B$202,MATCH($D85,품목마스터!$A$3:$A$202,0)),"미등록품번"))</f>
        <v/>
      </c>
      <c r="F85" s="12" t="str">
        <f aca="false">IF($D85="","",IFERROR(INDEX(품목마스터!$D$3:$D$202,MATCH($D85,품목마스터!$A$3:$A$202,0)),""))</f>
        <v/>
      </c>
      <c r="G85" s="9"/>
      <c r="H85" s="9"/>
      <c r="I85" s="9"/>
      <c r="J85" s="7"/>
      <c r="K85" s="13" t="str">
        <f aca="false">IF(OR($G85="",$I85=""),"",ROUND($G85*$I85,0))</f>
        <v/>
      </c>
      <c r="L85" s="13" t="str">
        <f aca="false">IF($D85="","",IF($G85="",0,$G85)+IF($H85="",0,$H85))</f>
        <v/>
      </c>
      <c r="M85" s="7"/>
    </row>
    <row r="86" customFormat="false" ht="15" hidden="false" customHeight="true" outlineLevel="0" collapsed="false">
      <c r="A86" s="11"/>
      <c r="B86" s="7"/>
      <c r="C86" s="12" t="str">
        <f aca="false">IF($B86="","",IFERROR(INDEX(거래처마스터!$B$3:$B$102,MATCH($B86,거래처마스터!$A$3:$A$102,0)),"미등록"))</f>
        <v/>
      </c>
      <c r="D86" s="7"/>
      <c r="E86" s="12" t="str">
        <f aca="false">IF($D86="","",IFERROR(INDEX(품목마스터!$B$3:$B$202,MATCH($D86,품목마스터!$A$3:$A$202,0)),"미등록품번"))</f>
        <v/>
      </c>
      <c r="F86" s="12" t="str">
        <f aca="false">IF($D86="","",IFERROR(INDEX(품목마스터!$D$3:$D$202,MATCH($D86,품목마스터!$A$3:$A$202,0)),""))</f>
        <v/>
      </c>
      <c r="G86" s="9"/>
      <c r="H86" s="9"/>
      <c r="I86" s="9"/>
      <c r="J86" s="7"/>
      <c r="K86" s="13" t="str">
        <f aca="false">IF(OR($G86="",$I86=""),"",ROUND($G86*$I86,0))</f>
        <v/>
      </c>
      <c r="L86" s="13" t="str">
        <f aca="false">IF($D86="","",IF($G86="",0,$G86)+IF($H86="",0,$H86))</f>
        <v/>
      </c>
      <c r="M86" s="7"/>
    </row>
    <row r="87" customFormat="false" ht="15" hidden="false" customHeight="true" outlineLevel="0" collapsed="false">
      <c r="A87" s="11"/>
      <c r="B87" s="7"/>
      <c r="C87" s="12" t="str">
        <f aca="false">IF($B87="","",IFERROR(INDEX(거래처마스터!$B$3:$B$102,MATCH($B87,거래처마스터!$A$3:$A$102,0)),"미등록"))</f>
        <v/>
      </c>
      <c r="D87" s="7"/>
      <c r="E87" s="12" t="str">
        <f aca="false">IF($D87="","",IFERROR(INDEX(품목마스터!$B$3:$B$202,MATCH($D87,품목마스터!$A$3:$A$202,0)),"미등록품번"))</f>
        <v/>
      </c>
      <c r="F87" s="12" t="str">
        <f aca="false">IF($D87="","",IFERROR(INDEX(품목마스터!$D$3:$D$202,MATCH($D87,품목마스터!$A$3:$A$202,0)),""))</f>
        <v/>
      </c>
      <c r="G87" s="9"/>
      <c r="H87" s="9"/>
      <c r="I87" s="9"/>
      <c r="J87" s="7"/>
      <c r="K87" s="13" t="str">
        <f aca="false">IF(OR($G87="",$I87=""),"",ROUND($G87*$I87,0))</f>
        <v/>
      </c>
      <c r="L87" s="13" t="str">
        <f aca="false">IF($D87="","",IF($G87="",0,$G87)+IF($H87="",0,$H87))</f>
        <v/>
      </c>
      <c r="M87" s="7"/>
    </row>
    <row r="88" customFormat="false" ht="15" hidden="false" customHeight="true" outlineLevel="0" collapsed="false">
      <c r="A88" s="11"/>
      <c r="B88" s="7"/>
      <c r="C88" s="12" t="str">
        <f aca="false">IF($B88="","",IFERROR(INDEX(거래처마스터!$B$3:$B$102,MATCH($B88,거래처마스터!$A$3:$A$102,0)),"미등록"))</f>
        <v/>
      </c>
      <c r="D88" s="7"/>
      <c r="E88" s="12" t="str">
        <f aca="false">IF($D88="","",IFERROR(INDEX(품목마스터!$B$3:$B$202,MATCH($D88,품목마스터!$A$3:$A$202,0)),"미등록품번"))</f>
        <v/>
      </c>
      <c r="F88" s="12" t="str">
        <f aca="false">IF($D88="","",IFERROR(INDEX(품목마스터!$D$3:$D$202,MATCH($D88,품목마스터!$A$3:$A$202,0)),""))</f>
        <v/>
      </c>
      <c r="G88" s="9"/>
      <c r="H88" s="9"/>
      <c r="I88" s="9"/>
      <c r="J88" s="7"/>
      <c r="K88" s="13" t="str">
        <f aca="false">IF(OR($G88="",$I88=""),"",ROUND($G88*$I88,0))</f>
        <v/>
      </c>
      <c r="L88" s="13" t="str">
        <f aca="false">IF($D88="","",IF($G88="",0,$G88)+IF($H88="",0,$H88))</f>
        <v/>
      </c>
      <c r="M88" s="7"/>
    </row>
    <row r="89" customFormat="false" ht="15" hidden="false" customHeight="true" outlineLevel="0" collapsed="false">
      <c r="A89" s="11"/>
      <c r="B89" s="7"/>
      <c r="C89" s="12" t="str">
        <f aca="false">IF($B89="","",IFERROR(INDEX(거래처마스터!$B$3:$B$102,MATCH($B89,거래처마스터!$A$3:$A$102,0)),"미등록"))</f>
        <v/>
      </c>
      <c r="D89" s="7"/>
      <c r="E89" s="12" t="str">
        <f aca="false">IF($D89="","",IFERROR(INDEX(품목마스터!$B$3:$B$202,MATCH($D89,품목마스터!$A$3:$A$202,0)),"미등록품번"))</f>
        <v/>
      </c>
      <c r="F89" s="12" t="str">
        <f aca="false">IF($D89="","",IFERROR(INDEX(품목마스터!$D$3:$D$202,MATCH($D89,품목마스터!$A$3:$A$202,0)),""))</f>
        <v/>
      </c>
      <c r="G89" s="9"/>
      <c r="H89" s="9"/>
      <c r="I89" s="9"/>
      <c r="J89" s="7"/>
      <c r="K89" s="13" t="str">
        <f aca="false">IF(OR($G89="",$I89=""),"",ROUND($G89*$I89,0))</f>
        <v/>
      </c>
      <c r="L89" s="13" t="str">
        <f aca="false">IF($D89="","",IF($G89="",0,$G89)+IF($H89="",0,$H89))</f>
        <v/>
      </c>
      <c r="M89" s="7"/>
    </row>
    <row r="90" customFormat="false" ht="15" hidden="false" customHeight="true" outlineLevel="0" collapsed="false">
      <c r="A90" s="11"/>
      <c r="B90" s="7"/>
      <c r="C90" s="12" t="str">
        <f aca="false">IF($B90="","",IFERROR(INDEX(거래처마스터!$B$3:$B$102,MATCH($B90,거래처마스터!$A$3:$A$102,0)),"미등록"))</f>
        <v/>
      </c>
      <c r="D90" s="7"/>
      <c r="E90" s="12" t="str">
        <f aca="false">IF($D90="","",IFERROR(INDEX(품목마스터!$B$3:$B$202,MATCH($D90,품목마스터!$A$3:$A$202,0)),"미등록품번"))</f>
        <v/>
      </c>
      <c r="F90" s="12" t="str">
        <f aca="false">IF($D90="","",IFERROR(INDEX(품목마스터!$D$3:$D$202,MATCH($D90,품목마스터!$A$3:$A$202,0)),""))</f>
        <v/>
      </c>
      <c r="G90" s="9"/>
      <c r="H90" s="9"/>
      <c r="I90" s="9"/>
      <c r="J90" s="7"/>
      <c r="K90" s="13" t="str">
        <f aca="false">IF(OR($G90="",$I90=""),"",ROUND($G90*$I90,0))</f>
        <v/>
      </c>
      <c r="L90" s="13" t="str">
        <f aca="false">IF($D90="","",IF($G90="",0,$G90)+IF($H90="",0,$H90))</f>
        <v/>
      </c>
      <c r="M90" s="7"/>
    </row>
    <row r="91" customFormat="false" ht="15" hidden="false" customHeight="true" outlineLevel="0" collapsed="false">
      <c r="A91" s="11"/>
      <c r="B91" s="7"/>
      <c r="C91" s="12" t="str">
        <f aca="false">IF($B91="","",IFERROR(INDEX(거래처마스터!$B$3:$B$102,MATCH($B91,거래처마스터!$A$3:$A$102,0)),"미등록"))</f>
        <v/>
      </c>
      <c r="D91" s="7"/>
      <c r="E91" s="12" t="str">
        <f aca="false">IF($D91="","",IFERROR(INDEX(품목마스터!$B$3:$B$202,MATCH($D91,품목마스터!$A$3:$A$202,0)),"미등록품번"))</f>
        <v/>
      </c>
      <c r="F91" s="12" t="str">
        <f aca="false">IF($D91="","",IFERROR(INDEX(품목마스터!$D$3:$D$202,MATCH($D91,품목마스터!$A$3:$A$202,0)),""))</f>
        <v/>
      </c>
      <c r="G91" s="9"/>
      <c r="H91" s="9"/>
      <c r="I91" s="9"/>
      <c r="J91" s="7"/>
      <c r="K91" s="13" t="str">
        <f aca="false">IF(OR($G91="",$I91=""),"",ROUND($G91*$I91,0))</f>
        <v/>
      </c>
      <c r="L91" s="13" t="str">
        <f aca="false">IF($D91="","",IF($G91="",0,$G91)+IF($H91="",0,$H91))</f>
        <v/>
      </c>
      <c r="M91" s="7"/>
    </row>
    <row r="92" customFormat="false" ht="15" hidden="false" customHeight="true" outlineLevel="0" collapsed="false">
      <c r="A92" s="11"/>
      <c r="B92" s="7"/>
      <c r="C92" s="12" t="str">
        <f aca="false">IF($B92="","",IFERROR(INDEX(거래처마스터!$B$3:$B$102,MATCH($B92,거래처마스터!$A$3:$A$102,0)),"미등록"))</f>
        <v/>
      </c>
      <c r="D92" s="7"/>
      <c r="E92" s="12" t="str">
        <f aca="false">IF($D92="","",IFERROR(INDEX(품목마스터!$B$3:$B$202,MATCH($D92,품목마스터!$A$3:$A$202,0)),"미등록품번"))</f>
        <v/>
      </c>
      <c r="F92" s="12" t="str">
        <f aca="false">IF($D92="","",IFERROR(INDEX(품목마스터!$D$3:$D$202,MATCH($D92,품목마스터!$A$3:$A$202,0)),""))</f>
        <v/>
      </c>
      <c r="G92" s="9"/>
      <c r="H92" s="9"/>
      <c r="I92" s="9"/>
      <c r="J92" s="7"/>
      <c r="K92" s="13" t="str">
        <f aca="false">IF(OR($G92="",$I92=""),"",ROUND($G92*$I92,0))</f>
        <v/>
      </c>
      <c r="L92" s="13" t="str">
        <f aca="false">IF($D92="","",IF($G92="",0,$G92)+IF($H92="",0,$H92))</f>
        <v/>
      </c>
      <c r="M92" s="7"/>
    </row>
    <row r="93" customFormat="false" ht="15" hidden="false" customHeight="true" outlineLevel="0" collapsed="false">
      <c r="A93" s="11"/>
      <c r="B93" s="7"/>
      <c r="C93" s="12" t="str">
        <f aca="false">IF($B93="","",IFERROR(INDEX(거래처마스터!$B$3:$B$102,MATCH($B93,거래처마스터!$A$3:$A$102,0)),"미등록"))</f>
        <v/>
      </c>
      <c r="D93" s="7"/>
      <c r="E93" s="12" t="str">
        <f aca="false">IF($D93="","",IFERROR(INDEX(품목마스터!$B$3:$B$202,MATCH($D93,품목마스터!$A$3:$A$202,0)),"미등록품번"))</f>
        <v/>
      </c>
      <c r="F93" s="12" t="str">
        <f aca="false">IF($D93="","",IFERROR(INDEX(품목마스터!$D$3:$D$202,MATCH($D93,품목마스터!$A$3:$A$202,0)),""))</f>
        <v/>
      </c>
      <c r="G93" s="9"/>
      <c r="H93" s="9"/>
      <c r="I93" s="9"/>
      <c r="J93" s="7"/>
      <c r="K93" s="13" t="str">
        <f aca="false">IF(OR($G93="",$I93=""),"",ROUND($G93*$I93,0))</f>
        <v/>
      </c>
      <c r="L93" s="13" t="str">
        <f aca="false">IF($D93="","",IF($G93="",0,$G93)+IF($H93="",0,$H93))</f>
        <v/>
      </c>
      <c r="M93" s="7"/>
    </row>
    <row r="94" customFormat="false" ht="15" hidden="false" customHeight="true" outlineLevel="0" collapsed="false">
      <c r="A94" s="11"/>
      <c r="B94" s="7"/>
      <c r="C94" s="12" t="str">
        <f aca="false">IF($B94="","",IFERROR(INDEX(거래처마스터!$B$3:$B$102,MATCH($B94,거래처마스터!$A$3:$A$102,0)),"미등록"))</f>
        <v/>
      </c>
      <c r="D94" s="7"/>
      <c r="E94" s="12" t="str">
        <f aca="false">IF($D94="","",IFERROR(INDEX(품목마스터!$B$3:$B$202,MATCH($D94,품목마스터!$A$3:$A$202,0)),"미등록품번"))</f>
        <v/>
      </c>
      <c r="F94" s="12" t="str">
        <f aca="false">IF($D94="","",IFERROR(INDEX(품목마스터!$D$3:$D$202,MATCH($D94,품목마스터!$A$3:$A$202,0)),""))</f>
        <v/>
      </c>
      <c r="G94" s="9"/>
      <c r="H94" s="9"/>
      <c r="I94" s="9"/>
      <c r="J94" s="7"/>
      <c r="K94" s="13" t="str">
        <f aca="false">IF(OR($G94="",$I94=""),"",ROUND($G94*$I94,0))</f>
        <v/>
      </c>
      <c r="L94" s="13" t="str">
        <f aca="false">IF($D94="","",IF($G94="",0,$G94)+IF($H94="",0,$H94))</f>
        <v/>
      </c>
      <c r="M94" s="7"/>
    </row>
    <row r="95" customFormat="false" ht="15" hidden="false" customHeight="true" outlineLevel="0" collapsed="false">
      <c r="A95" s="11"/>
      <c r="B95" s="7"/>
      <c r="C95" s="12" t="str">
        <f aca="false">IF($B95="","",IFERROR(INDEX(거래처마스터!$B$3:$B$102,MATCH($B95,거래처마스터!$A$3:$A$102,0)),"미등록"))</f>
        <v/>
      </c>
      <c r="D95" s="7"/>
      <c r="E95" s="12" t="str">
        <f aca="false">IF($D95="","",IFERROR(INDEX(품목마스터!$B$3:$B$202,MATCH($D95,품목마스터!$A$3:$A$202,0)),"미등록품번"))</f>
        <v/>
      </c>
      <c r="F95" s="12" t="str">
        <f aca="false">IF($D95="","",IFERROR(INDEX(품목마스터!$D$3:$D$202,MATCH($D95,품목마스터!$A$3:$A$202,0)),""))</f>
        <v/>
      </c>
      <c r="G95" s="9"/>
      <c r="H95" s="9"/>
      <c r="I95" s="9"/>
      <c r="J95" s="7"/>
      <c r="K95" s="13" t="str">
        <f aca="false">IF(OR($G95="",$I95=""),"",ROUND($G95*$I95,0))</f>
        <v/>
      </c>
      <c r="L95" s="13" t="str">
        <f aca="false">IF($D95="","",IF($G95="",0,$G95)+IF($H95="",0,$H95))</f>
        <v/>
      </c>
      <c r="M95" s="7"/>
    </row>
    <row r="96" customFormat="false" ht="15" hidden="false" customHeight="true" outlineLevel="0" collapsed="false">
      <c r="A96" s="11"/>
      <c r="B96" s="7"/>
      <c r="C96" s="12" t="str">
        <f aca="false">IF($B96="","",IFERROR(INDEX(거래처마스터!$B$3:$B$102,MATCH($B96,거래처마스터!$A$3:$A$102,0)),"미등록"))</f>
        <v/>
      </c>
      <c r="D96" s="7"/>
      <c r="E96" s="12" t="str">
        <f aca="false">IF($D96="","",IFERROR(INDEX(품목마스터!$B$3:$B$202,MATCH($D96,품목마스터!$A$3:$A$202,0)),"미등록품번"))</f>
        <v/>
      </c>
      <c r="F96" s="12" t="str">
        <f aca="false">IF($D96="","",IFERROR(INDEX(품목마스터!$D$3:$D$202,MATCH($D96,품목마스터!$A$3:$A$202,0)),""))</f>
        <v/>
      </c>
      <c r="G96" s="9"/>
      <c r="H96" s="9"/>
      <c r="I96" s="9"/>
      <c r="J96" s="7"/>
      <c r="K96" s="13" t="str">
        <f aca="false">IF(OR($G96="",$I96=""),"",ROUND($G96*$I96,0))</f>
        <v/>
      </c>
      <c r="L96" s="13" t="str">
        <f aca="false">IF($D96="","",IF($G96="",0,$G96)+IF($H96="",0,$H96))</f>
        <v/>
      </c>
      <c r="M96" s="7"/>
    </row>
    <row r="97" customFormat="false" ht="15" hidden="false" customHeight="true" outlineLevel="0" collapsed="false">
      <c r="A97" s="11"/>
      <c r="B97" s="7"/>
      <c r="C97" s="12" t="str">
        <f aca="false">IF($B97="","",IFERROR(INDEX(거래처마스터!$B$3:$B$102,MATCH($B97,거래처마스터!$A$3:$A$102,0)),"미등록"))</f>
        <v/>
      </c>
      <c r="D97" s="7"/>
      <c r="E97" s="12" t="str">
        <f aca="false">IF($D97="","",IFERROR(INDEX(품목마스터!$B$3:$B$202,MATCH($D97,품목마스터!$A$3:$A$202,0)),"미등록품번"))</f>
        <v/>
      </c>
      <c r="F97" s="12" t="str">
        <f aca="false">IF($D97="","",IFERROR(INDEX(품목마스터!$D$3:$D$202,MATCH($D97,품목마스터!$A$3:$A$202,0)),""))</f>
        <v/>
      </c>
      <c r="G97" s="9"/>
      <c r="H97" s="9"/>
      <c r="I97" s="9"/>
      <c r="J97" s="7"/>
      <c r="K97" s="13" t="str">
        <f aca="false">IF(OR($G97="",$I97=""),"",ROUND($G97*$I97,0))</f>
        <v/>
      </c>
      <c r="L97" s="13" t="str">
        <f aca="false">IF($D97="","",IF($G97="",0,$G97)+IF($H97="",0,$H97))</f>
        <v/>
      </c>
      <c r="M97" s="7"/>
    </row>
    <row r="98" customFormat="false" ht="15" hidden="false" customHeight="true" outlineLevel="0" collapsed="false">
      <c r="A98" s="11"/>
      <c r="B98" s="7"/>
      <c r="C98" s="12" t="str">
        <f aca="false">IF($B98="","",IFERROR(INDEX(거래처마스터!$B$3:$B$102,MATCH($B98,거래처마스터!$A$3:$A$102,0)),"미등록"))</f>
        <v/>
      </c>
      <c r="D98" s="7"/>
      <c r="E98" s="12" t="str">
        <f aca="false">IF($D98="","",IFERROR(INDEX(품목마스터!$B$3:$B$202,MATCH($D98,품목마스터!$A$3:$A$202,0)),"미등록품번"))</f>
        <v/>
      </c>
      <c r="F98" s="12" t="str">
        <f aca="false">IF($D98="","",IFERROR(INDEX(품목마스터!$D$3:$D$202,MATCH($D98,품목마스터!$A$3:$A$202,0)),""))</f>
        <v/>
      </c>
      <c r="G98" s="9"/>
      <c r="H98" s="9"/>
      <c r="I98" s="9"/>
      <c r="J98" s="7"/>
      <c r="K98" s="13" t="str">
        <f aca="false">IF(OR($G98="",$I98=""),"",ROUND($G98*$I98,0))</f>
        <v/>
      </c>
      <c r="L98" s="13" t="str">
        <f aca="false">IF($D98="","",IF($G98="",0,$G98)+IF($H98="",0,$H98))</f>
        <v/>
      </c>
      <c r="M98" s="7"/>
    </row>
    <row r="99" customFormat="false" ht="15" hidden="false" customHeight="true" outlineLevel="0" collapsed="false">
      <c r="A99" s="11"/>
      <c r="B99" s="7"/>
      <c r="C99" s="12" t="str">
        <f aca="false">IF($B99="","",IFERROR(INDEX(거래처마스터!$B$3:$B$102,MATCH($B99,거래처마스터!$A$3:$A$102,0)),"미등록"))</f>
        <v/>
      </c>
      <c r="D99" s="7"/>
      <c r="E99" s="12" t="str">
        <f aca="false">IF($D99="","",IFERROR(INDEX(품목마스터!$B$3:$B$202,MATCH($D99,품목마스터!$A$3:$A$202,0)),"미등록품번"))</f>
        <v/>
      </c>
      <c r="F99" s="12" t="str">
        <f aca="false">IF($D99="","",IFERROR(INDEX(품목마스터!$D$3:$D$202,MATCH($D99,품목마스터!$A$3:$A$202,0)),""))</f>
        <v/>
      </c>
      <c r="G99" s="9"/>
      <c r="H99" s="9"/>
      <c r="I99" s="9"/>
      <c r="J99" s="7"/>
      <c r="K99" s="13" t="str">
        <f aca="false">IF(OR($G99="",$I99=""),"",ROUND($G99*$I99,0))</f>
        <v/>
      </c>
      <c r="L99" s="13" t="str">
        <f aca="false">IF($D99="","",IF($G99="",0,$G99)+IF($H99="",0,$H99))</f>
        <v/>
      </c>
      <c r="M99" s="7"/>
    </row>
    <row r="100" customFormat="false" ht="15" hidden="false" customHeight="true" outlineLevel="0" collapsed="false">
      <c r="A100" s="11"/>
      <c r="B100" s="7"/>
      <c r="C100" s="12" t="str">
        <f aca="false">IF($B100="","",IFERROR(INDEX(거래처마스터!$B$3:$B$102,MATCH($B100,거래처마스터!$A$3:$A$102,0)),"미등록"))</f>
        <v/>
      </c>
      <c r="D100" s="7"/>
      <c r="E100" s="12" t="str">
        <f aca="false">IF($D100="","",IFERROR(INDEX(품목마스터!$B$3:$B$202,MATCH($D100,품목마스터!$A$3:$A$202,0)),"미등록품번"))</f>
        <v/>
      </c>
      <c r="F100" s="12" t="str">
        <f aca="false">IF($D100="","",IFERROR(INDEX(품목마스터!$D$3:$D$202,MATCH($D100,품목마스터!$A$3:$A$202,0)),""))</f>
        <v/>
      </c>
      <c r="G100" s="9"/>
      <c r="H100" s="9"/>
      <c r="I100" s="9"/>
      <c r="J100" s="7"/>
      <c r="K100" s="13" t="str">
        <f aca="false">IF(OR($G100="",$I100=""),"",ROUND($G100*$I100,0))</f>
        <v/>
      </c>
      <c r="L100" s="13" t="str">
        <f aca="false">IF($D100="","",IF($G100="",0,$G100)+IF($H100="",0,$H100))</f>
        <v/>
      </c>
      <c r="M100" s="7"/>
    </row>
    <row r="101" customFormat="false" ht="15" hidden="false" customHeight="true" outlineLevel="0" collapsed="false">
      <c r="A101" s="11"/>
      <c r="B101" s="7"/>
      <c r="C101" s="12" t="str">
        <f aca="false">IF($B101="","",IFERROR(INDEX(거래처마스터!$B$3:$B$102,MATCH($B101,거래처마스터!$A$3:$A$102,0)),"미등록"))</f>
        <v/>
      </c>
      <c r="D101" s="7"/>
      <c r="E101" s="12" t="str">
        <f aca="false">IF($D101="","",IFERROR(INDEX(품목마스터!$B$3:$B$202,MATCH($D101,품목마스터!$A$3:$A$202,0)),"미등록품번"))</f>
        <v/>
      </c>
      <c r="F101" s="12" t="str">
        <f aca="false">IF($D101="","",IFERROR(INDEX(품목마스터!$D$3:$D$202,MATCH($D101,품목마스터!$A$3:$A$202,0)),""))</f>
        <v/>
      </c>
      <c r="G101" s="9"/>
      <c r="H101" s="9"/>
      <c r="I101" s="9"/>
      <c r="J101" s="7"/>
      <c r="K101" s="13" t="str">
        <f aca="false">IF(OR($G101="",$I101=""),"",ROUND($G101*$I101,0))</f>
        <v/>
      </c>
      <c r="L101" s="13" t="str">
        <f aca="false">IF($D101="","",IF($G101="",0,$G101)+IF($H101="",0,$H101))</f>
        <v/>
      </c>
      <c r="M101" s="7"/>
    </row>
    <row r="102" customFormat="false" ht="15" hidden="false" customHeight="true" outlineLevel="0" collapsed="false">
      <c r="A102" s="11"/>
      <c r="B102" s="7"/>
      <c r="C102" s="12" t="str">
        <f aca="false">IF($B102="","",IFERROR(INDEX(거래처마스터!$B$3:$B$102,MATCH($B102,거래처마스터!$A$3:$A$102,0)),"미등록"))</f>
        <v/>
      </c>
      <c r="D102" s="7"/>
      <c r="E102" s="12" t="str">
        <f aca="false">IF($D102="","",IFERROR(INDEX(품목마스터!$B$3:$B$202,MATCH($D102,품목마스터!$A$3:$A$202,0)),"미등록품번"))</f>
        <v/>
      </c>
      <c r="F102" s="12" t="str">
        <f aca="false">IF($D102="","",IFERROR(INDEX(품목마스터!$D$3:$D$202,MATCH($D102,품목마스터!$A$3:$A$202,0)),""))</f>
        <v/>
      </c>
      <c r="G102" s="9"/>
      <c r="H102" s="9"/>
      <c r="I102" s="9"/>
      <c r="J102" s="7"/>
      <c r="K102" s="13" t="str">
        <f aca="false">IF(OR($G102="",$I102=""),"",ROUND($G102*$I102,0))</f>
        <v/>
      </c>
      <c r="L102" s="13" t="str">
        <f aca="false">IF($D102="","",IF($G102="",0,$G102)+IF($H102="",0,$H102))</f>
        <v/>
      </c>
      <c r="M102" s="7"/>
    </row>
    <row r="103" customFormat="false" ht="15" hidden="false" customHeight="true" outlineLevel="0" collapsed="false">
      <c r="A103" s="11"/>
      <c r="B103" s="7"/>
      <c r="C103" s="12" t="str">
        <f aca="false">IF($B103="","",IFERROR(INDEX(거래처마스터!$B$3:$B$102,MATCH($B103,거래처마스터!$A$3:$A$102,0)),"미등록"))</f>
        <v/>
      </c>
      <c r="D103" s="7"/>
      <c r="E103" s="12" t="str">
        <f aca="false">IF($D103="","",IFERROR(INDEX(품목마스터!$B$3:$B$202,MATCH($D103,품목마스터!$A$3:$A$202,0)),"미등록품번"))</f>
        <v/>
      </c>
      <c r="F103" s="12" t="str">
        <f aca="false">IF($D103="","",IFERROR(INDEX(품목마스터!$D$3:$D$202,MATCH($D103,품목마스터!$A$3:$A$202,0)),""))</f>
        <v/>
      </c>
      <c r="G103" s="9"/>
      <c r="H103" s="9"/>
      <c r="I103" s="9"/>
      <c r="J103" s="7"/>
      <c r="K103" s="13" t="str">
        <f aca="false">IF(OR($G103="",$I103=""),"",ROUND($G103*$I103,0))</f>
        <v/>
      </c>
      <c r="L103" s="13" t="str">
        <f aca="false">IF($D103="","",IF($G103="",0,$G103)+IF($H103="",0,$H103))</f>
        <v/>
      </c>
      <c r="M103" s="7"/>
    </row>
    <row r="104" customFormat="false" ht="15" hidden="false" customHeight="true" outlineLevel="0" collapsed="false">
      <c r="A104" s="11"/>
      <c r="B104" s="7"/>
      <c r="C104" s="12" t="str">
        <f aca="false">IF($B104="","",IFERROR(INDEX(거래처마스터!$B$3:$B$102,MATCH($B104,거래처마스터!$A$3:$A$102,0)),"미등록"))</f>
        <v/>
      </c>
      <c r="D104" s="7"/>
      <c r="E104" s="12" t="str">
        <f aca="false">IF($D104="","",IFERROR(INDEX(품목마스터!$B$3:$B$202,MATCH($D104,품목마스터!$A$3:$A$202,0)),"미등록품번"))</f>
        <v/>
      </c>
      <c r="F104" s="12" t="str">
        <f aca="false">IF($D104="","",IFERROR(INDEX(품목마스터!$D$3:$D$202,MATCH($D104,품목마스터!$A$3:$A$202,0)),""))</f>
        <v/>
      </c>
      <c r="G104" s="9"/>
      <c r="H104" s="9"/>
      <c r="I104" s="9"/>
      <c r="J104" s="7"/>
      <c r="K104" s="13" t="str">
        <f aca="false">IF(OR($G104="",$I104=""),"",ROUND($G104*$I104,0))</f>
        <v/>
      </c>
      <c r="L104" s="13" t="str">
        <f aca="false">IF($D104="","",IF($G104="",0,$G104)+IF($H104="",0,$H104))</f>
        <v/>
      </c>
      <c r="M104" s="7"/>
    </row>
    <row r="105" customFormat="false" ht="15" hidden="false" customHeight="true" outlineLevel="0" collapsed="false">
      <c r="A105" s="11"/>
      <c r="B105" s="7"/>
      <c r="C105" s="12" t="str">
        <f aca="false">IF($B105="","",IFERROR(INDEX(거래처마스터!$B$3:$B$102,MATCH($B105,거래처마스터!$A$3:$A$102,0)),"미등록"))</f>
        <v/>
      </c>
      <c r="D105" s="7"/>
      <c r="E105" s="12" t="str">
        <f aca="false">IF($D105="","",IFERROR(INDEX(품목마스터!$B$3:$B$202,MATCH($D105,품목마스터!$A$3:$A$202,0)),"미등록품번"))</f>
        <v/>
      </c>
      <c r="F105" s="12" t="str">
        <f aca="false">IF($D105="","",IFERROR(INDEX(품목마스터!$D$3:$D$202,MATCH($D105,품목마스터!$A$3:$A$202,0)),""))</f>
        <v/>
      </c>
      <c r="G105" s="9"/>
      <c r="H105" s="9"/>
      <c r="I105" s="9"/>
      <c r="J105" s="7"/>
      <c r="K105" s="13" t="str">
        <f aca="false">IF(OR($G105="",$I105=""),"",ROUND($G105*$I105,0))</f>
        <v/>
      </c>
      <c r="L105" s="13" t="str">
        <f aca="false">IF($D105="","",IF($G105="",0,$G105)+IF($H105="",0,$H105))</f>
        <v/>
      </c>
      <c r="M105" s="7"/>
    </row>
    <row r="106" customFormat="false" ht="15" hidden="false" customHeight="true" outlineLevel="0" collapsed="false">
      <c r="A106" s="11"/>
      <c r="B106" s="7"/>
      <c r="C106" s="12" t="str">
        <f aca="false">IF($B106="","",IFERROR(INDEX(거래처마스터!$B$3:$B$102,MATCH($B106,거래처마스터!$A$3:$A$102,0)),"미등록"))</f>
        <v/>
      </c>
      <c r="D106" s="7"/>
      <c r="E106" s="12" t="str">
        <f aca="false">IF($D106="","",IFERROR(INDEX(품목마스터!$B$3:$B$202,MATCH($D106,품목마스터!$A$3:$A$202,0)),"미등록품번"))</f>
        <v/>
      </c>
      <c r="F106" s="12" t="str">
        <f aca="false">IF($D106="","",IFERROR(INDEX(품목마스터!$D$3:$D$202,MATCH($D106,품목마스터!$A$3:$A$202,0)),""))</f>
        <v/>
      </c>
      <c r="G106" s="9"/>
      <c r="H106" s="9"/>
      <c r="I106" s="9"/>
      <c r="J106" s="7"/>
      <c r="K106" s="13" t="str">
        <f aca="false">IF(OR($G106="",$I106=""),"",ROUND($G106*$I106,0))</f>
        <v/>
      </c>
      <c r="L106" s="13" t="str">
        <f aca="false">IF($D106="","",IF($G106="",0,$G106)+IF($H106="",0,$H106))</f>
        <v/>
      </c>
      <c r="M106" s="7"/>
    </row>
    <row r="107" customFormat="false" ht="15" hidden="false" customHeight="true" outlineLevel="0" collapsed="false">
      <c r="A107" s="11"/>
      <c r="B107" s="7"/>
      <c r="C107" s="12" t="str">
        <f aca="false">IF($B107="","",IFERROR(INDEX(거래처마스터!$B$3:$B$102,MATCH($B107,거래처마스터!$A$3:$A$102,0)),"미등록"))</f>
        <v/>
      </c>
      <c r="D107" s="7"/>
      <c r="E107" s="12" t="str">
        <f aca="false">IF($D107="","",IFERROR(INDEX(품목마스터!$B$3:$B$202,MATCH($D107,품목마스터!$A$3:$A$202,0)),"미등록품번"))</f>
        <v/>
      </c>
      <c r="F107" s="12" t="str">
        <f aca="false">IF($D107="","",IFERROR(INDEX(품목마스터!$D$3:$D$202,MATCH($D107,품목마스터!$A$3:$A$202,0)),""))</f>
        <v/>
      </c>
      <c r="G107" s="9"/>
      <c r="H107" s="9"/>
      <c r="I107" s="9"/>
      <c r="J107" s="7"/>
      <c r="K107" s="13" t="str">
        <f aca="false">IF(OR($G107="",$I107=""),"",ROUND($G107*$I107,0))</f>
        <v/>
      </c>
      <c r="L107" s="13" t="str">
        <f aca="false">IF($D107="","",IF($G107="",0,$G107)+IF($H107="",0,$H107))</f>
        <v/>
      </c>
      <c r="M107" s="7"/>
    </row>
    <row r="108" customFormat="false" ht="15" hidden="false" customHeight="true" outlineLevel="0" collapsed="false">
      <c r="A108" s="11"/>
      <c r="B108" s="7"/>
      <c r="C108" s="12" t="str">
        <f aca="false">IF($B108="","",IFERROR(INDEX(거래처마스터!$B$3:$B$102,MATCH($B108,거래처마스터!$A$3:$A$102,0)),"미등록"))</f>
        <v/>
      </c>
      <c r="D108" s="7"/>
      <c r="E108" s="12" t="str">
        <f aca="false">IF($D108="","",IFERROR(INDEX(품목마스터!$B$3:$B$202,MATCH($D108,품목마스터!$A$3:$A$202,0)),"미등록품번"))</f>
        <v/>
      </c>
      <c r="F108" s="12" t="str">
        <f aca="false">IF($D108="","",IFERROR(INDEX(품목마스터!$D$3:$D$202,MATCH($D108,품목마스터!$A$3:$A$202,0)),""))</f>
        <v/>
      </c>
      <c r="G108" s="9"/>
      <c r="H108" s="9"/>
      <c r="I108" s="9"/>
      <c r="J108" s="7"/>
      <c r="K108" s="13" t="str">
        <f aca="false">IF(OR($G108="",$I108=""),"",ROUND($G108*$I108,0))</f>
        <v/>
      </c>
      <c r="L108" s="13" t="str">
        <f aca="false">IF($D108="","",IF($G108="",0,$G108)+IF($H108="",0,$H108))</f>
        <v/>
      </c>
      <c r="M108" s="7"/>
    </row>
    <row r="109" customFormat="false" ht="15" hidden="false" customHeight="true" outlineLevel="0" collapsed="false">
      <c r="A109" s="11"/>
      <c r="B109" s="7"/>
      <c r="C109" s="12" t="str">
        <f aca="false">IF($B109="","",IFERROR(INDEX(거래처마스터!$B$3:$B$102,MATCH($B109,거래처마스터!$A$3:$A$102,0)),"미등록"))</f>
        <v/>
      </c>
      <c r="D109" s="7"/>
      <c r="E109" s="12" t="str">
        <f aca="false">IF($D109="","",IFERROR(INDEX(품목마스터!$B$3:$B$202,MATCH($D109,품목마스터!$A$3:$A$202,0)),"미등록품번"))</f>
        <v/>
      </c>
      <c r="F109" s="12" t="str">
        <f aca="false">IF($D109="","",IFERROR(INDEX(품목마스터!$D$3:$D$202,MATCH($D109,품목마스터!$A$3:$A$202,0)),""))</f>
        <v/>
      </c>
      <c r="G109" s="9"/>
      <c r="H109" s="9"/>
      <c r="I109" s="9"/>
      <c r="J109" s="7"/>
      <c r="K109" s="13" t="str">
        <f aca="false">IF(OR($G109="",$I109=""),"",ROUND($G109*$I109,0))</f>
        <v/>
      </c>
      <c r="L109" s="13" t="str">
        <f aca="false">IF($D109="","",IF($G109="",0,$G109)+IF($H109="",0,$H109))</f>
        <v/>
      </c>
      <c r="M109" s="7"/>
    </row>
    <row r="110" customFormat="false" ht="15" hidden="false" customHeight="true" outlineLevel="0" collapsed="false">
      <c r="A110" s="11"/>
      <c r="B110" s="7"/>
      <c r="C110" s="12" t="str">
        <f aca="false">IF($B110="","",IFERROR(INDEX(거래처마스터!$B$3:$B$102,MATCH($B110,거래처마스터!$A$3:$A$102,0)),"미등록"))</f>
        <v/>
      </c>
      <c r="D110" s="7"/>
      <c r="E110" s="12" t="str">
        <f aca="false">IF($D110="","",IFERROR(INDEX(품목마스터!$B$3:$B$202,MATCH($D110,품목마스터!$A$3:$A$202,0)),"미등록품번"))</f>
        <v/>
      </c>
      <c r="F110" s="12" t="str">
        <f aca="false">IF($D110="","",IFERROR(INDEX(품목마스터!$D$3:$D$202,MATCH($D110,품목마스터!$A$3:$A$202,0)),""))</f>
        <v/>
      </c>
      <c r="G110" s="9"/>
      <c r="H110" s="9"/>
      <c r="I110" s="9"/>
      <c r="J110" s="7"/>
      <c r="K110" s="13" t="str">
        <f aca="false">IF(OR($G110="",$I110=""),"",ROUND($G110*$I110,0))</f>
        <v/>
      </c>
      <c r="L110" s="13" t="str">
        <f aca="false">IF($D110="","",IF($G110="",0,$G110)+IF($H110="",0,$H110))</f>
        <v/>
      </c>
      <c r="M110" s="7"/>
    </row>
    <row r="111" customFormat="false" ht="15" hidden="false" customHeight="true" outlineLevel="0" collapsed="false">
      <c r="A111" s="11"/>
      <c r="B111" s="7"/>
      <c r="C111" s="12" t="str">
        <f aca="false">IF($B111="","",IFERROR(INDEX(거래처마스터!$B$3:$B$102,MATCH($B111,거래처마스터!$A$3:$A$102,0)),"미등록"))</f>
        <v/>
      </c>
      <c r="D111" s="7"/>
      <c r="E111" s="12" t="str">
        <f aca="false">IF($D111="","",IFERROR(INDEX(품목마스터!$B$3:$B$202,MATCH($D111,품목마스터!$A$3:$A$202,0)),"미등록품번"))</f>
        <v/>
      </c>
      <c r="F111" s="12" t="str">
        <f aca="false">IF($D111="","",IFERROR(INDEX(품목마스터!$D$3:$D$202,MATCH($D111,품목마스터!$A$3:$A$202,0)),""))</f>
        <v/>
      </c>
      <c r="G111" s="9"/>
      <c r="H111" s="9"/>
      <c r="I111" s="9"/>
      <c r="J111" s="7"/>
      <c r="K111" s="13" t="str">
        <f aca="false">IF(OR($G111="",$I111=""),"",ROUND($G111*$I111,0))</f>
        <v/>
      </c>
      <c r="L111" s="13" t="str">
        <f aca="false">IF($D111="","",IF($G111="",0,$G111)+IF($H111="",0,$H111))</f>
        <v/>
      </c>
      <c r="M111" s="7"/>
    </row>
    <row r="112" customFormat="false" ht="15" hidden="false" customHeight="true" outlineLevel="0" collapsed="false">
      <c r="A112" s="11"/>
      <c r="B112" s="7"/>
      <c r="C112" s="12" t="str">
        <f aca="false">IF($B112="","",IFERROR(INDEX(거래처마스터!$B$3:$B$102,MATCH($B112,거래처마스터!$A$3:$A$102,0)),"미등록"))</f>
        <v/>
      </c>
      <c r="D112" s="7"/>
      <c r="E112" s="12" t="str">
        <f aca="false">IF($D112="","",IFERROR(INDEX(품목마스터!$B$3:$B$202,MATCH($D112,품목마스터!$A$3:$A$202,0)),"미등록품번"))</f>
        <v/>
      </c>
      <c r="F112" s="12" t="str">
        <f aca="false">IF($D112="","",IFERROR(INDEX(품목마스터!$D$3:$D$202,MATCH($D112,품목마스터!$A$3:$A$202,0)),""))</f>
        <v/>
      </c>
      <c r="G112" s="9"/>
      <c r="H112" s="9"/>
      <c r="I112" s="9"/>
      <c r="J112" s="7"/>
      <c r="K112" s="13" t="str">
        <f aca="false">IF(OR($G112="",$I112=""),"",ROUND($G112*$I112,0))</f>
        <v/>
      </c>
      <c r="L112" s="13" t="str">
        <f aca="false">IF($D112="","",IF($G112="",0,$G112)+IF($H112="",0,$H112))</f>
        <v/>
      </c>
      <c r="M112" s="7"/>
    </row>
    <row r="113" customFormat="false" ht="15" hidden="false" customHeight="true" outlineLevel="0" collapsed="false">
      <c r="A113" s="11"/>
      <c r="B113" s="7"/>
      <c r="C113" s="12" t="str">
        <f aca="false">IF($B113="","",IFERROR(INDEX(거래처마스터!$B$3:$B$102,MATCH($B113,거래처마스터!$A$3:$A$102,0)),"미등록"))</f>
        <v/>
      </c>
      <c r="D113" s="7"/>
      <c r="E113" s="12" t="str">
        <f aca="false">IF($D113="","",IFERROR(INDEX(품목마스터!$B$3:$B$202,MATCH($D113,품목마스터!$A$3:$A$202,0)),"미등록품번"))</f>
        <v/>
      </c>
      <c r="F113" s="12" t="str">
        <f aca="false">IF($D113="","",IFERROR(INDEX(품목마스터!$D$3:$D$202,MATCH($D113,품목마스터!$A$3:$A$202,0)),""))</f>
        <v/>
      </c>
      <c r="G113" s="9"/>
      <c r="H113" s="9"/>
      <c r="I113" s="9"/>
      <c r="J113" s="7"/>
      <c r="K113" s="13" t="str">
        <f aca="false">IF(OR($G113="",$I113=""),"",ROUND($G113*$I113,0))</f>
        <v/>
      </c>
      <c r="L113" s="13" t="str">
        <f aca="false">IF($D113="","",IF($G113="",0,$G113)+IF($H113="",0,$H113))</f>
        <v/>
      </c>
      <c r="M113" s="7"/>
    </row>
    <row r="114" customFormat="false" ht="15" hidden="false" customHeight="true" outlineLevel="0" collapsed="false">
      <c r="A114" s="11"/>
      <c r="B114" s="7"/>
      <c r="C114" s="12" t="str">
        <f aca="false">IF($B114="","",IFERROR(INDEX(거래처마스터!$B$3:$B$102,MATCH($B114,거래처마스터!$A$3:$A$102,0)),"미등록"))</f>
        <v/>
      </c>
      <c r="D114" s="7"/>
      <c r="E114" s="12" t="str">
        <f aca="false">IF($D114="","",IFERROR(INDEX(품목마스터!$B$3:$B$202,MATCH($D114,품목마스터!$A$3:$A$202,0)),"미등록품번"))</f>
        <v/>
      </c>
      <c r="F114" s="12" t="str">
        <f aca="false">IF($D114="","",IFERROR(INDEX(품목마스터!$D$3:$D$202,MATCH($D114,품목마스터!$A$3:$A$202,0)),""))</f>
        <v/>
      </c>
      <c r="G114" s="9"/>
      <c r="H114" s="9"/>
      <c r="I114" s="9"/>
      <c r="J114" s="7"/>
      <c r="K114" s="13" t="str">
        <f aca="false">IF(OR($G114="",$I114=""),"",ROUND($G114*$I114,0))</f>
        <v/>
      </c>
      <c r="L114" s="13" t="str">
        <f aca="false">IF($D114="","",IF($G114="",0,$G114)+IF($H114="",0,$H114))</f>
        <v/>
      </c>
      <c r="M114" s="7"/>
    </row>
    <row r="115" customFormat="false" ht="15" hidden="false" customHeight="true" outlineLevel="0" collapsed="false">
      <c r="A115" s="11"/>
      <c r="B115" s="7"/>
      <c r="C115" s="12" t="str">
        <f aca="false">IF($B115="","",IFERROR(INDEX(거래처마스터!$B$3:$B$102,MATCH($B115,거래처마스터!$A$3:$A$102,0)),"미등록"))</f>
        <v/>
      </c>
      <c r="D115" s="7"/>
      <c r="E115" s="12" t="str">
        <f aca="false">IF($D115="","",IFERROR(INDEX(품목마스터!$B$3:$B$202,MATCH($D115,품목마스터!$A$3:$A$202,0)),"미등록품번"))</f>
        <v/>
      </c>
      <c r="F115" s="12" t="str">
        <f aca="false">IF($D115="","",IFERROR(INDEX(품목마스터!$D$3:$D$202,MATCH($D115,품목마스터!$A$3:$A$202,0)),""))</f>
        <v/>
      </c>
      <c r="G115" s="9"/>
      <c r="H115" s="9"/>
      <c r="I115" s="9"/>
      <c r="J115" s="7"/>
      <c r="K115" s="13" t="str">
        <f aca="false">IF(OR($G115="",$I115=""),"",ROUND($G115*$I115,0))</f>
        <v/>
      </c>
      <c r="L115" s="13" t="str">
        <f aca="false">IF($D115="","",IF($G115="",0,$G115)+IF($H115="",0,$H115))</f>
        <v/>
      </c>
      <c r="M115" s="7"/>
    </row>
    <row r="116" customFormat="false" ht="15" hidden="false" customHeight="true" outlineLevel="0" collapsed="false">
      <c r="A116" s="11"/>
      <c r="B116" s="7"/>
      <c r="C116" s="12" t="str">
        <f aca="false">IF($B116="","",IFERROR(INDEX(거래처마스터!$B$3:$B$102,MATCH($B116,거래처마스터!$A$3:$A$102,0)),"미등록"))</f>
        <v/>
      </c>
      <c r="D116" s="7"/>
      <c r="E116" s="12" t="str">
        <f aca="false">IF($D116="","",IFERROR(INDEX(품목마스터!$B$3:$B$202,MATCH($D116,품목마스터!$A$3:$A$202,0)),"미등록품번"))</f>
        <v/>
      </c>
      <c r="F116" s="12" t="str">
        <f aca="false">IF($D116="","",IFERROR(INDEX(품목마스터!$D$3:$D$202,MATCH($D116,품목마스터!$A$3:$A$202,0)),""))</f>
        <v/>
      </c>
      <c r="G116" s="9"/>
      <c r="H116" s="9"/>
      <c r="I116" s="9"/>
      <c r="J116" s="7"/>
      <c r="K116" s="13" t="str">
        <f aca="false">IF(OR($G116="",$I116=""),"",ROUND($G116*$I116,0))</f>
        <v/>
      </c>
      <c r="L116" s="13" t="str">
        <f aca="false">IF($D116="","",IF($G116="",0,$G116)+IF($H116="",0,$H116))</f>
        <v/>
      </c>
      <c r="M116" s="7"/>
    </row>
    <row r="117" customFormat="false" ht="15" hidden="false" customHeight="true" outlineLevel="0" collapsed="false">
      <c r="A117" s="11"/>
      <c r="B117" s="7"/>
      <c r="C117" s="12" t="str">
        <f aca="false">IF($B117="","",IFERROR(INDEX(거래처마스터!$B$3:$B$102,MATCH($B117,거래처마스터!$A$3:$A$102,0)),"미등록"))</f>
        <v/>
      </c>
      <c r="D117" s="7"/>
      <c r="E117" s="12" t="str">
        <f aca="false">IF($D117="","",IFERROR(INDEX(품목마스터!$B$3:$B$202,MATCH($D117,품목마스터!$A$3:$A$202,0)),"미등록품번"))</f>
        <v/>
      </c>
      <c r="F117" s="12" t="str">
        <f aca="false">IF($D117="","",IFERROR(INDEX(품목마스터!$D$3:$D$202,MATCH($D117,품목마스터!$A$3:$A$202,0)),""))</f>
        <v/>
      </c>
      <c r="G117" s="9"/>
      <c r="H117" s="9"/>
      <c r="I117" s="9"/>
      <c r="J117" s="7"/>
      <c r="K117" s="13" t="str">
        <f aca="false">IF(OR($G117="",$I117=""),"",ROUND($G117*$I117,0))</f>
        <v/>
      </c>
      <c r="L117" s="13" t="str">
        <f aca="false">IF($D117="","",IF($G117="",0,$G117)+IF($H117="",0,$H117))</f>
        <v/>
      </c>
      <c r="M117" s="7"/>
    </row>
    <row r="118" customFormat="false" ht="15" hidden="false" customHeight="true" outlineLevel="0" collapsed="false">
      <c r="A118" s="11"/>
      <c r="B118" s="7"/>
      <c r="C118" s="12" t="str">
        <f aca="false">IF($B118="","",IFERROR(INDEX(거래처마스터!$B$3:$B$102,MATCH($B118,거래처마스터!$A$3:$A$102,0)),"미등록"))</f>
        <v/>
      </c>
      <c r="D118" s="7"/>
      <c r="E118" s="12" t="str">
        <f aca="false">IF($D118="","",IFERROR(INDEX(품목마스터!$B$3:$B$202,MATCH($D118,품목마스터!$A$3:$A$202,0)),"미등록품번"))</f>
        <v/>
      </c>
      <c r="F118" s="12" t="str">
        <f aca="false">IF($D118="","",IFERROR(INDEX(품목마스터!$D$3:$D$202,MATCH($D118,품목마스터!$A$3:$A$202,0)),""))</f>
        <v/>
      </c>
      <c r="G118" s="9"/>
      <c r="H118" s="9"/>
      <c r="I118" s="9"/>
      <c r="J118" s="7"/>
      <c r="K118" s="13" t="str">
        <f aca="false">IF(OR($G118="",$I118=""),"",ROUND($G118*$I118,0))</f>
        <v/>
      </c>
      <c r="L118" s="13" t="str">
        <f aca="false">IF($D118="","",IF($G118="",0,$G118)+IF($H118="",0,$H118))</f>
        <v/>
      </c>
      <c r="M118" s="7"/>
    </row>
    <row r="119" customFormat="false" ht="15" hidden="false" customHeight="true" outlineLevel="0" collapsed="false">
      <c r="A119" s="11"/>
      <c r="B119" s="7"/>
      <c r="C119" s="12" t="str">
        <f aca="false">IF($B119="","",IFERROR(INDEX(거래처마스터!$B$3:$B$102,MATCH($B119,거래처마스터!$A$3:$A$102,0)),"미등록"))</f>
        <v/>
      </c>
      <c r="D119" s="7"/>
      <c r="E119" s="12" t="str">
        <f aca="false">IF($D119="","",IFERROR(INDEX(품목마스터!$B$3:$B$202,MATCH($D119,품목마스터!$A$3:$A$202,0)),"미등록품번"))</f>
        <v/>
      </c>
      <c r="F119" s="12" t="str">
        <f aca="false">IF($D119="","",IFERROR(INDEX(품목마스터!$D$3:$D$202,MATCH($D119,품목마스터!$A$3:$A$202,0)),""))</f>
        <v/>
      </c>
      <c r="G119" s="9"/>
      <c r="H119" s="9"/>
      <c r="I119" s="9"/>
      <c r="J119" s="7"/>
      <c r="K119" s="13" t="str">
        <f aca="false">IF(OR($G119="",$I119=""),"",ROUND($G119*$I119,0))</f>
        <v/>
      </c>
      <c r="L119" s="13" t="str">
        <f aca="false">IF($D119="","",IF($G119="",0,$G119)+IF($H119="",0,$H119))</f>
        <v/>
      </c>
      <c r="M119" s="7"/>
    </row>
    <row r="120" customFormat="false" ht="15" hidden="false" customHeight="true" outlineLevel="0" collapsed="false">
      <c r="A120" s="11"/>
      <c r="B120" s="7"/>
      <c r="C120" s="12" t="str">
        <f aca="false">IF($B120="","",IFERROR(INDEX(거래처마스터!$B$3:$B$102,MATCH($B120,거래처마스터!$A$3:$A$102,0)),"미등록"))</f>
        <v/>
      </c>
      <c r="D120" s="7"/>
      <c r="E120" s="12" t="str">
        <f aca="false">IF($D120="","",IFERROR(INDEX(품목마스터!$B$3:$B$202,MATCH($D120,품목마스터!$A$3:$A$202,0)),"미등록품번"))</f>
        <v/>
      </c>
      <c r="F120" s="12" t="str">
        <f aca="false">IF($D120="","",IFERROR(INDEX(품목마스터!$D$3:$D$202,MATCH($D120,품목마스터!$A$3:$A$202,0)),""))</f>
        <v/>
      </c>
      <c r="G120" s="9"/>
      <c r="H120" s="9"/>
      <c r="I120" s="9"/>
      <c r="J120" s="7"/>
      <c r="K120" s="13" t="str">
        <f aca="false">IF(OR($G120="",$I120=""),"",ROUND($G120*$I120,0))</f>
        <v/>
      </c>
      <c r="L120" s="13" t="str">
        <f aca="false">IF($D120="","",IF($G120="",0,$G120)+IF($H120="",0,$H120))</f>
        <v/>
      </c>
      <c r="M120" s="7"/>
    </row>
    <row r="121" customFormat="false" ht="15" hidden="false" customHeight="true" outlineLevel="0" collapsed="false">
      <c r="A121" s="11"/>
      <c r="B121" s="7"/>
      <c r="C121" s="12" t="str">
        <f aca="false">IF($B121="","",IFERROR(INDEX(거래처마스터!$B$3:$B$102,MATCH($B121,거래처마스터!$A$3:$A$102,0)),"미등록"))</f>
        <v/>
      </c>
      <c r="D121" s="7"/>
      <c r="E121" s="12" t="str">
        <f aca="false">IF($D121="","",IFERROR(INDEX(품목마스터!$B$3:$B$202,MATCH($D121,품목마스터!$A$3:$A$202,0)),"미등록품번"))</f>
        <v/>
      </c>
      <c r="F121" s="12" t="str">
        <f aca="false">IF($D121="","",IFERROR(INDEX(품목마스터!$D$3:$D$202,MATCH($D121,품목마스터!$A$3:$A$202,0)),""))</f>
        <v/>
      </c>
      <c r="G121" s="9"/>
      <c r="H121" s="9"/>
      <c r="I121" s="9"/>
      <c r="J121" s="7"/>
      <c r="K121" s="13" t="str">
        <f aca="false">IF(OR($G121="",$I121=""),"",ROUND($G121*$I121,0))</f>
        <v/>
      </c>
      <c r="L121" s="13" t="str">
        <f aca="false">IF($D121="","",IF($G121="",0,$G121)+IF($H121="",0,$H121))</f>
        <v/>
      </c>
      <c r="M121" s="7"/>
    </row>
    <row r="122" customFormat="false" ht="15" hidden="false" customHeight="true" outlineLevel="0" collapsed="false">
      <c r="A122" s="11"/>
      <c r="B122" s="7"/>
      <c r="C122" s="12" t="str">
        <f aca="false">IF($B122="","",IFERROR(INDEX(거래처마스터!$B$3:$B$102,MATCH($B122,거래처마스터!$A$3:$A$102,0)),"미등록"))</f>
        <v/>
      </c>
      <c r="D122" s="7"/>
      <c r="E122" s="12" t="str">
        <f aca="false">IF($D122="","",IFERROR(INDEX(품목마스터!$B$3:$B$202,MATCH($D122,품목마스터!$A$3:$A$202,0)),"미등록품번"))</f>
        <v/>
      </c>
      <c r="F122" s="12" t="str">
        <f aca="false">IF($D122="","",IFERROR(INDEX(품목마스터!$D$3:$D$202,MATCH($D122,품목마스터!$A$3:$A$202,0)),""))</f>
        <v/>
      </c>
      <c r="G122" s="9"/>
      <c r="H122" s="9"/>
      <c r="I122" s="9"/>
      <c r="J122" s="7"/>
      <c r="K122" s="13" t="str">
        <f aca="false">IF(OR($G122="",$I122=""),"",ROUND($G122*$I122,0))</f>
        <v/>
      </c>
      <c r="L122" s="13" t="str">
        <f aca="false">IF($D122="","",IF($G122="",0,$G122)+IF($H122="",0,$H122))</f>
        <v/>
      </c>
      <c r="M122" s="7"/>
    </row>
    <row r="123" customFormat="false" ht="15" hidden="false" customHeight="true" outlineLevel="0" collapsed="false">
      <c r="A123" s="11"/>
      <c r="B123" s="7"/>
      <c r="C123" s="12" t="str">
        <f aca="false">IF($B123="","",IFERROR(INDEX(거래처마스터!$B$3:$B$102,MATCH($B123,거래처마스터!$A$3:$A$102,0)),"미등록"))</f>
        <v/>
      </c>
      <c r="D123" s="7"/>
      <c r="E123" s="12" t="str">
        <f aca="false">IF($D123="","",IFERROR(INDEX(품목마스터!$B$3:$B$202,MATCH($D123,품목마스터!$A$3:$A$202,0)),"미등록품번"))</f>
        <v/>
      </c>
      <c r="F123" s="12" t="str">
        <f aca="false">IF($D123="","",IFERROR(INDEX(품목마스터!$D$3:$D$202,MATCH($D123,품목마스터!$A$3:$A$202,0)),""))</f>
        <v/>
      </c>
      <c r="G123" s="9"/>
      <c r="H123" s="9"/>
      <c r="I123" s="9"/>
      <c r="J123" s="7"/>
      <c r="K123" s="13" t="str">
        <f aca="false">IF(OR($G123="",$I123=""),"",ROUND($G123*$I123,0))</f>
        <v/>
      </c>
      <c r="L123" s="13" t="str">
        <f aca="false">IF($D123="","",IF($G123="",0,$G123)+IF($H123="",0,$H123))</f>
        <v/>
      </c>
      <c r="M123" s="7"/>
    </row>
    <row r="124" customFormat="false" ht="15" hidden="false" customHeight="true" outlineLevel="0" collapsed="false">
      <c r="A124" s="11"/>
      <c r="B124" s="7"/>
      <c r="C124" s="12" t="str">
        <f aca="false">IF($B124="","",IFERROR(INDEX(거래처마스터!$B$3:$B$102,MATCH($B124,거래처마스터!$A$3:$A$102,0)),"미등록"))</f>
        <v/>
      </c>
      <c r="D124" s="7"/>
      <c r="E124" s="12" t="str">
        <f aca="false">IF($D124="","",IFERROR(INDEX(품목마스터!$B$3:$B$202,MATCH($D124,품목마스터!$A$3:$A$202,0)),"미등록품번"))</f>
        <v/>
      </c>
      <c r="F124" s="12" t="str">
        <f aca="false">IF($D124="","",IFERROR(INDEX(품목마스터!$D$3:$D$202,MATCH($D124,품목마스터!$A$3:$A$202,0)),""))</f>
        <v/>
      </c>
      <c r="G124" s="9"/>
      <c r="H124" s="9"/>
      <c r="I124" s="9"/>
      <c r="J124" s="7"/>
      <c r="K124" s="13" t="str">
        <f aca="false">IF(OR($G124="",$I124=""),"",ROUND($G124*$I124,0))</f>
        <v/>
      </c>
      <c r="L124" s="13" t="str">
        <f aca="false">IF($D124="","",IF($G124="",0,$G124)+IF($H124="",0,$H124))</f>
        <v/>
      </c>
      <c r="M124" s="7"/>
    </row>
    <row r="125" customFormat="false" ht="15" hidden="false" customHeight="true" outlineLevel="0" collapsed="false">
      <c r="A125" s="11"/>
      <c r="B125" s="7"/>
      <c r="C125" s="12" t="str">
        <f aca="false">IF($B125="","",IFERROR(INDEX(거래처마스터!$B$3:$B$102,MATCH($B125,거래처마스터!$A$3:$A$102,0)),"미등록"))</f>
        <v/>
      </c>
      <c r="D125" s="7"/>
      <c r="E125" s="12" t="str">
        <f aca="false">IF($D125="","",IFERROR(INDEX(품목마스터!$B$3:$B$202,MATCH($D125,품목마스터!$A$3:$A$202,0)),"미등록품번"))</f>
        <v/>
      </c>
      <c r="F125" s="12" t="str">
        <f aca="false">IF($D125="","",IFERROR(INDEX(품목마스터!$D$3:$D$202,MATCH($D125,품목마스터!$A$3:$A$202,0)),""))</f>
        <v/>
      </c>
      <c r="G125" s="9"/>
      <c r="H125" s="9"/>
      <c r="I125" s="9"/>
      <c r="J125" s="7"/>
      <c r="K125" s="13" t="str">
        <f aca="false">IF(OR($G125="",$I125=""),"",ROUND($G125*$I125,0))</f>
        <v/>
      </c>
      <c r="L125" s="13" t="str">
        <f aca="false">IF($D125="","",IF($G125="",0,$G125)+IF($H125="",0,$H125))</f>
        <v/>
      </c>
      <c r="M125" s="7"/>
    </row>
    <row r="126" customFormat="false" ht="15" hidden="false" customHeight="true" outlineLevel="0" collapsed="false">
      <c r="A126" s="11"/>
      <c r="B126" s="7"/>
      <c r="C126" s="12" t="str">
        <f aca="false">IF($B126="","",IFERROR(INDEX(거래처마스터!$B$3:$B$102,MATCH($B126,거래처마스터!$A$3:$A$102,0)),"미등록"))</f>
        <v/>
      </c>
      <c r="D126" s="7"/>
      <c r="E126" s="12" t="str">
        <f aca="false">IF($D126="","",IFERROR(INDEX(품목마스터!$B$3:$B$202,MATCH($D126,품목마스터!$A$3:$A$202,0)),"미등록품번"))</f>
        <v/>
      </c>
      <c r="F126" s="12" t="str">
        <f aca="false">IF($D126="","",IFERROR(INDEX(품목마스터!$D$3:$D$202,MATCH($D126,품목마스터!$A$3:$A$202,0)),""))</f>
        <v/>
      </c>
      <c r="G126" s="9"/>
      <c r="H126" s="9"/>
      <c r="I126" s="9"/>
      <c r="J126" s="7"/>
      <c r="K126" s="13" t="str">
        <f aca="false">IF(OR($G126="",$I126=""),"",ROUND($G126*$I126,0))</f>
        <v/>
      </c>
      <c r="L126" s="13" t="str">
        <f aca="false">IF($D126="","",IF($G126="",0,$G126)+IF($H126="",0,$H126))</f>
        <v/>
      </c>
      <c r="M126" s="7"/>
    </row>
    <row r="127" customFormat="false" ht="15" hidden="false" customHeight="true" outlineLevel="0" collapsed="false">
      <c r="A127" s="11"/>
      <c r="B127" s="7"/>
      <c r="C127" s="12" t="str">
        <f aca="false">IF($B127="","",IFERROR(INDEX(거래처마스터!$B$3:$B$102,MATCH($B127,거래처마스터!$A$3:$A$102,0)),"미등록"))</f>
        <v/>
      </c>
      <c r="D127" s="7"/>
      <c r="E127" s="12" t="str">
        <f aca="false">IF($D127="","",IFERROR(INDEX(품목마스터!$B$3:$B$202,MATCH($D127,품목마스터!$A$3:$A$202,0)),"미등록품번"))</f>
        <v/>
      </c>
      <c r="F127" s="12" t="str">
        <f aca="false">IF($D127="","",IFERROR(INDEX(품목마스터!$D$3:$D$202,MATCH($D127,품목마스터!$A$3:$A$202,0)),""))</f>
        <v/>
      </c>
      <c r="G127" s="9"/>
      <c r="H127" s="9"/>
      <c r="I127" s="9"/>
      <c r="J127" s="7"/>
      <c r="K127" s="13" t="str">
        <f aca="false">IF(OR($G127="",$I127=""),"",ROUND($G127*$I127,0))</f>
        <v/>
      </c>
      <c r="L127" s="13" t="str">
        <f aca="false">IF($D127="","",IF($G127="",0,$G127)+IF($H127="",0,$H127))</f>
        <v/>
      </c>
      <c r="M127" s="7"/>
    </row>
    <row r="128" customFormat="false" ht="15" hidden="false" customHeight="true" outlineLevel="0" collapsed="false">
      <c r="A128" s="11"/>
      <c r="B128" s="7"/>
      <c r="C128" s="12" t="str">
        <f aca="false">IF($B128="","",IFERROR(INDEX(거래처마스터!$B$3:$B$102,MATCH($B128,거래처마스터!$A$3:$A$102,0)),"미등록"))</f>
        <v/>
      </c>
      <c r="D128" s="7"/>
      <c r="E128" s="12" t="str">
        <f aca="false">IF($D128="","",IFERROR(INDEX(품목마스터!$B$3:$B$202,MATCH($D128,품목마스터!$A$3:$A$202,0)),"미등록품번"))</f>
        <v/>
      </c>
      <c r="F128" s="12" t="str">
        <f aca="false">IF($D128="","",IFERROR(INDEX(품목마스터!$D$3:$D$202,MATCH($D128,품목마스터!$A$3:$A$202,0)),""))</f>
        <v/>
      </c>
      <c r="G128" s="9"/>
      <c r="H128" s="9"/>
      <c r="I128" s="9"/>
      <c r="J128" s="7"/>
      <c r="K128" s="13" t="str">
        <f aca="false">IF(OR($G128="",$I128=""),"",ROUND($G128*$I128,0))</f>
        <v/>
      </c>
      <c r="L128" s="13" t="str">
        <f aca="false">IF($D128="","",IF($G128="",0,$G128)+IF($H128="",0,$H128))</f>
        <v/>
      </c>
      <c r="M128" s="7"/>
    </row>
    <row r="129" customFormat="false" ht="15" hidden="false" customHeight="true" outlineLevel="0" collapsed="false">
      <c r="A129" s="11"/>
      <c r="B129" s="7"/>
      <c r="C129" s="12" t="str">
        <f aca="false">IF($B129="","",IFERROR(INDEX(거래처마스터!$B$3:$B$102,MATCH($B129,거래처마스터!$A$3:$A$102,0)),"미등록"))</f>
        <v/>
      </c>
      <c r="D129" s="7"/>
      <c r="E129" s="12" t="str">
        <f aca="false">IF($D129="","",IFERROR(INDEX(품목마스터!$B$3:$B$202,MATCH($D129,품목마스터!$A$3:$A$202,0)),"미등록품번"))</f>
        <v/>
      </c>
      <c r="F129" s="12" t="str">
        <f aca="false">IF($D129="","",IFERROR(INDEX(품목마스터!$D$3:$D$202,MATCH($D129,품목마스터!$A$3:$A$202,0)),""))</f>
        <v/>
      </c>
      <c r="G129" s="9"/>
      <c r="H129" s="9"/>
      <c r="I129" s="9"/>
      <c r="J129" s="7"/>
      <c r="K129" s="13" t="str">
        <f aca="false">IF(OR($G129="",$I129=""),"",ROUND($G129*$I129,0))</f>
        <v/>
      </c>
      <c r="L129" s="13" t="str">
        <f aca="false">IF($D129="","",IF($G129="",0,$G129)+IF($H129="",0,$H129))</f>
        <v/>
      </c>
      <c r="M129" s="7"/>
    </row>
    <row r="130" customFormat="false" ht="15" hidden="false" customHeight="true" outlineLevel="0" collapsed="false">
      <c r="A130" s="11"/>
      <c r="B130" s="7"/>
      <c r="C130" s="12" t="str">
        <f aca="false">IF($B130="","",IFERROR(INDEX(거래처마스터!$B$3:$B$102,MATCH($B130,거래처마스터!$A$3:$A$102,0)),"미등록"))</f>
        <v/>
      </c>
      <c r="D130" s="7"/>
      <c r="E130" s="12" t="str">
        <f aca="false">IF($D130="","",IFERROR(INDEX(품목마스터!$B$3:$B$202,MATCH($D130,품목마스터!$A$3:$A$202,0)),"미등록품번"))</f>
        <v/>
      </c>
      <c r="F130" s="12" t="str">
        <f aca="false">IF($D130="","",IFERROR(INDEX(품목마스터!$D$3:$D$202,MATCH($D130,품목마스터!$A$3:$A$202,0)),""))</f>
        <v/>
      </c>
      <c r="G130" s="9"/>
      <c r="H130" s="9"/>
      <c r="I130" s="9"/>
      <c r="J130" s="7"/>
      <c r="K130" s="13" t="str">
        <f aca="false">IF(OR($G130="",$I130=""),"",ROUND($G130*$I130,0))</f>
        <v/>
      </c>
      <c r="L130" s="13" t="str">
        <f aca="false">IF($D130="","",IF($G130="",0,$G130)+IF($H130="",0,$H130))</f>
        <v/>
      </c>
      <c r="M130" s="7"/>
    </row>
    <row r="131" customFormat="false" ht="15" hidden="false" customHeight="true" outlineLevel="0" collapsed="false">
      <c r="A131" s="11"/>
      <c r="B131" s="7"/>
      <c r="C131" s="12" t="str">
        <f aca="false">IF($B131="","",IFERROR(INDEX(거래처마스터!$B$3:$B$102,MATCH($B131,거래처마스터!$A$3:$A$102,0)),"미등록"))</f>
        <v/>
      </c>
      <c r="D131" s="7"/>
      <c r="E131" s="12" t="str">
        <f aca="false">IF($D131="","",IFERROR(INDEX(품목마스터!$B$3:$B$202,MATCH($D131,품목마스터!$A$3:$A$202,0)),"미등록품번"))</f>
        <v/>
      </c>
      <c r="F131" s="12" t="str">
        <f aca="false">IF($D131="","",IFERROR(INDEX(품목마스터!$D$3:$D$202,MATCH($D131,품목마스터!$A$3:$A$202,0)),""))</f>
        <v/>
      </c>
      <c r="G131" s="9"/>
      <c r="H131" s="9"/>
      <c r="I131" s="9"/>
      <c r="J131" s="7"/>
      <c r="K131" s="13" t="str">
        <f aca="false">IF(OR($G131="",$I131=""),"",ROUND($G131*$I131,0))</f>
        <v/>
      </c>
      <c r="L131" s="13" t="str">
        <f aca="false">IF($D131="","",IF($G131="",0,$G131)+IF($H131="",0,$H131))</f>
        <v/>
      </c>
      <c r="M131" s="7"/>
    </row>
    <row r="132" customFormat="false" ht="15" hidden="false" customHeight="true" outlineLevel="0" collapsed="false">
      <c r="A132" s="11"/>
      <c r="B132" s="7"/>
      <c r="C132" s="12" t="str">
        <f aca="false">IF($B132="","",IFERROR(INDEX(거래처마스터!$B$3:$B$102,MATCH($B132,거래처마스터!$A$3:$A$102,0)),"미등록"))</f>
        <v/>
      </c>
      <c r="D132" s="7"/>
      <c r="E132" s="12" t="str">
        <f aca="false">IF($D132="","",IFERROR(INDEX(품목마스터!$B$3:$B$202,MATCH($D132,품목마스터!$A$3:$A$202,0)),"미등록품번"))</f>
        <v/>
      </c>
      <c r="F132" s="12" t="str">
        <f aca="false">IF($D132="","",IFERROR(INDEX(품목마스터!$D$3:$D$202,MATCH($D132,품목마스터!$A$3:$A$202,0)),""))</f>
        <v/>
      </c>
      <c r="G132" s="9"/>
      <c r="H132" s="9"/>
      <c r="I132" s="9"/>
      <c r="J132" s="7"/>
      <c r="K132" s="13" t="str">
        <f aca="false">IF(OR($G132="",$I132=""),"",ROUND($G132*$I132,0))</f>
        <v/>
      </c>
      <c r="L132" s="13" t="str">
        <f aca="false">IF($D132="","",IF($G132="",0,$G132)+IF($H132="",0,$H132))</f>
        <v/>
      </c>
      <c r="M132" s="7"/>
    </row>
    <row r="133" customFormat="false" ht="15" hidden="false" customHeight="true" outlineLevel="0" collapsed="false">
      <c r="A133" s="11"/>
      <c r="B133" s="7"/>
      <c r="C133" s="12" t="str">
        <f aca="false">IF($B133="","",IFERROR(INDEX(거래처마스터!$B$3:$B$102,MATCH($B133,거래처마스터!$A$3:$A$102,0)),"미등록"))</f>
        <v/>
      </c>
      <c r="D133" s="7"/>
      <c r="E133" s="12" t="str">
        <f aca="false">IF($D133="","",IFERROR(INDEX(품목마스터!$B$3:$B$202,MATCH($D133,품목마스터!$A$3:$A$202,0)),"미등록품번"))</f>
        <v/>
      </c>
      <c r="F133" s="12" t="str">
        <f aca="false">IF($D133="","",IFERROR(INDEX(품목마스터!$D$3:$D$202,MATCH($D133,품목마스터!$A$3:$A$202,0)),""))</f>
        <v/>
      </c>
      <c r="G133" s="9"/>
      <c r="H133" s="9"/>
      <c r="I133" s="9"/>
      <c r="J133" s="7"/>
      <c r="K133" s="13" t="str">
        <f aca="false">IF(OR($G133="",$I133=""),"",ROUND($G133*$I133,0))</f>
        <v/>
      </c>
      <c r="L133" s="13" t="str">
        <f aca="false">IF($D133="","",IF($G133="",0,$G133)+IF($H133="",0,$H133))</f>
        <v/>
      </c>
      <c r="M133" s="7"/>
    </row>
    <row r="134" customFormat="false" ht="15" hidden="false" customHeight="true" outlineLevel="0" collapsed="false">
      <c r="A134" s="11"/>
      <c r="B134" s="7"/>
      <c r="C134" s="12" t="str">
        <f aca="false">IF($B134="","",IFERROR(INDEX(거래처마스터!$B$3:$B$102,MATCH($B134,거래처마스터!$A$3:$A$102,0)),"미등록"))</f>
        <v/>
      </c>
      <c r="D134" s="7"/>
      <c r="E134" s="12" t="str">
        <f aca="false">IF($D134="","",IFERROR(INDEX(품목마스터!$B$3:$B$202,MATCH($D134,품목마스터!$A$3:$A$202,0)),"미등록품번"))</f>
        <v/>
      </c>
      <c r="F134" s="12" t="str">
        <f aca="false">IF($D134="","",IFERROR(INDEX(품목마스터!$D$3:$D$202,MATCH($D134,품목마스터!$A$3:$A$202,0)),""))</f>
        <v/>
      </c>
      <c r="G134" s="9"/>
      <c r="H134" s="9"/>
      <c r="I134" s="9"/>
      <c r="J134" s="7"/>
      <c r="K134" s="13" t="str">
        <f aca="false">IF(OR($G134="",$I134=""),"",ROUND($G134*$I134,0))</f>
        <v/>
      </c>
      <c r="L134" s="13" t="str">
        <f aca="false">IF($D134="","",IF($G134="",0,$G134)+IF($H134="",0,$H134))</f>
        <v/>
      </c>
      <c r="M134" s="7"/>
    </row>
    <row r="135" customFormat="false" ht="15" hidden="false" customHeight="true" outlineLevel="0" collapsed="false">
      <c r="A135" s="11"/>
      <c r="B135" s="7"/>
      <c r="C135" s="12" t="str">
        <f aca="false">IF($B135="","",IFERROR(INDEX(거래처마스터!$B$3:$B$102,MATCH($B135,거래처마스터!$A$3:$A$102,0)),"미등록"))</f>
        <v/>
      </c>
      <c r="D135" s="7"/>
      <c r="E135" s="12" t="str">
        <f aca="false">IF($D135="","",IFERROR(INDEX(품목마스터!$B$3:$B$202,MATCH($D135,품목마스터!$A$3:$A$202,0)),"미등록품번"))</f>
        <v/>
      </c>
      <c r="F135" s="12" t="str">
        <f aca="false">IF($D135="","",IFERROR(INDEX(품목마스터!$D$3:$D$202,MATCH($D135,품목마스터!$A$3:$A$202,0)),""))</f>
        <v/>
      </c>
      <c r="G135" s="9"/>
      <c r="H135" s="9"/>
      <c r="I135" s="9"/>
      <c r="J135" s="7"/>
      <c r="K135" s="13" t="str">
        <f aca="false">IF(OR($G135="",$I135=""),"",ROUND($G135*$I135,0))</f>
        <v/>
      </c>
      <c r="L135" s="13" t="str">
        <f aca="false">IF($D135="","",IF($G135="",0,$G135)+IF($H135="",0,$H135))</f>
        <v/>
      </c>
      <c r="M135" s="7"/>
    </row>
    <row r="136" customFormat="false" ht="15" hidden="false" customHeight="true" outlineLevel="0" collapsed="false">
      <c r="A136" s="11"/>
      <c r="B136" s="7"/>
      <c r="C136" s="12" t="str">
        <f aca="false">IF($B136="","",IFERROR(INDEX(거래처마스터!$B$3:$B$102,MATCH($B136,거래처마스터!$A$3:$A$102,0)),"미등록"))</f>
        <v/>
      </c>
      <c r="D136" s="7"/>
      <c r="E136" s="12" t="str">
        <f aca="false">IF($D136="","",IFERROR(INDEX(품목마스터!$B$3:$B$202,MATCH($D136,품목마스터!$A$3:$A$202,0)),"미등록품번"))</f>
        <v/>
      </c>
      <c r="F136" s="12" t="str">
        <f aca="false">IF($D136="","",IFERROR(INDEX(품목마스터!$D$3:$D$202,MATCH($D136,품목마스터!$A$3:$A$202,0)),""))</f>
        <v/>
      </c>
      <c r="G136" s="9"/>
      <c r="H136" s="9"/>
      <c r="I136" s="9"/>
      <c r="J136" s="7"/>
      <c r="K136" s="13" t="str">
        <f aca="false">IF(OR($G136="",$I136=""),"",ROUND($G136*$I136,0))</f>
        <v/>
      </c>
      <c r="L136" s="13" t="str">
        <f aca="false">IF($D136="","",IF($G136="",0,$G136)+IF($H136="",0,$H136))</f>
        <v/>
      </c>
      <c r="M136" s="7"/>
    </row>
    <row r="137" customFormat="false" ht="15" hidden="false" customHeight="true" outlineLevel="0" collapsed="false">
      <c r="A137" s="11"/>
      <c r="B137" s="7"/>
      <c r="C137" s="12" t="str">
        <f aca="false">IF($B137="","",IFERROR(INDEX(거래처마스터!$B$3:$B$102,MATCH($B137,거래처마스터!$A$3:$A$102,0)),"미등록"))</f>
        <v/>
      </c>
      <c r="D137" s="7"/>
      <c r="E137" s="12" t="str">
        <f aca="false">IF($D137="","",IFERROR(INDEX(품목마스터!$B$3:$B$202,MATCH($D137,품목마스터!$A$3:$A$202,0)),"미등록품번"))</f>
        <v/>
      </c>
      <c r="F137" s="12" t="str">
        <f aca="false">IF($D137="","",IFERROR(INDEX(품목마스터!$D$3:$D$202,MATCH($D137,품목마스터!$A$3:$A$202,0)),""))</f>
        <v/>
      </c>
      <c r="G137" s="9"/>
      <c r="H137" s="9"/>
      <c r="I137" s="9"/>
      <c r="J137" s="7"/>
      <c r="K137" s="13" t="str">
        <f aca="false">IF(OR($G137="",$I137=""),"",ROUND($G137*$I137,0))</f>
        <v/>
      </c>
      <c r="L137" s="13" t="str">
        <f aca="false">IF($D137="","",IF($G137="",0,$G137)+IF($H137="",0,$H137))</f>
        <v/>
      </c>
      <c r="M137" s="7"/>
    </row>
    <row r="138" customFormat="false" ht="15" hidden="false" customHeight="true" outlineLevel="0" collapsed="false">
      <c r="A138" s="11"/>
      <c r="B138" s="7"/>
      <c r="C138" s="12" t="str">
        <f aca="false">IF($B138="","",IFERROR(INDEX(거래처마스터!$B$3:$B$102,MATCH($B138,거래처마스터!$A$3:$A$102,0)),"미등록"))</f>
        <v/>
      </c>
      <c r="D138" s="7"/>
      <c r="E138" s="12" t="str">
        <f aca="false">IF($D138="","",IFERROR(INDEX(품목마스터!$B$3:$B$202,MATCH($D138,품목마스터!$A$3:$A$202,0)),"미등록품번"))</f>
        <v/>
      </c>
      <c r="F138" s="12" t="str">
        <f aca="false">IF($D138="","",IFERROR(INDEX(품목마스터!$D$3:$D$202,MATCH($D138,품목마스터!$A$3:$A$202,0)),""))</f>
        <v/>
      </c>
      <c r="G138" s="9"/>
      <c r="H138" s="9"/>
      <c r="I138" s="9"/>
      <c r="J138" s="7"/>
      <c r="K138" s="13" t="str">
        <f aca="false">IF(OR($G138="",$I138=""),"",ROUND($G138*$I138,0))</f>
        <v/>
      </c>
      <c r="L138" s="13" t="str">
        <f aca="false">IF($D138="","",IF($G138="",0,$G138)+IF($H138="",0,$H138))</f>
        <v/>
      </c>
      <c r="M138" s="7"/>
    </row>
    <row r="139" customFormat="false" ht="15" hidden="false" customHeight="true" outlineLevel="0" collapsed="false">
      <c r="A139" s="11"/>
      <c r="B139" s="7"/>
      <c r="C139" s="12" t="str">
        <f aca="false">IF($B139="","",IFERROR(INDEX(거래처마스터!$B$3:$B$102,MATCH($B139,거래처마스터!$A$3:$A$102,0)),"미등록"))</f>
        <v/>
      </c>
      <c r="D139" s="7"/>
      <c r="E139" s="12" t="str">
        <f aca="false">IF($D139="","",IFERROR(INDEX(품목마스터!$B$3:$B$202,MATCH($D139,품목마스터!$A$3:$A$202,0)),"미등록품번"))</f>
        <v/>
      </c>
      <c r="F139" s="12" t="str">
        <f aca="false">IF($D139="","",IFERROR(INDEX(품목마스터!$D$3:$D$202,MATCH($D139,품목마스터!$A$3:$A$202,0)),""))</f>
        <v/>
      </c>
      <c r="G139" s="9"/>
      <c r="H139" s="9"/>
      <c r="I139" s="9"/>
      <c r="J139" s="7"/>
      <c r="K139" s="13" t="str">
        <f aca="false">IF(OR($G139="",$I139=""),"",ROUND($G139*$I139,0))</f>
        <v/>
      </c>
      <c r="L139" s="13" t="str">
        <f aca="false">IF($D139="","",IF($G139="",0,$G139)+IF($H139="",0,$H139))</f>
        <v/>
      </c>
      <c r="M139" s="7"/>
    </row>
    <row r="140" customFormat="false" ht="15" hidden="false" customHeight="true" outlineLevel="0" collapsed="false">
      <c r="A140" s="11"/>
      <c r="B140" s="7"/>
      <c r="C140" s="12" t="str">
        <f aca="false">IF($B140="","",IFERROR(INDEX(거래처마스터!$B$3:$B$102,MATCH($B140,거래처마스터!$A$3:$A$102,0)),"미등록"))</f>
        <v/>
      </c>
      <c r="D140" s="7"/>
      <c r="E140" s="12" t="str">
        <f aca="false">IF($D140="","",IFERROR(INDEX(품목마스터!$B$3:$B$202,MATCH($D140,품목마스터!$A$3:$A$202,0)),"미등록품번"))</f>
        <v/>
      </c>
      <c r="F140" s="12" t="str">
        <f aca="false">IF($D140="","",IFERROR(INDEX(품목마스터!$D$3:$D$202,MATCH($D140,품목마스터!$A$3:$A$202,0)),""))</f>
        <v/>
      </c>
      <c r="G140" s="9"/>
      <c r="H140" s="9"/>
      <c r="I140" s="9"/>
      <c r="J140" s="7"/>
      <c r="K140" s="13" t="str">
        <f aca="false">IF(OR($G140="",$I140=""),"",ROUND($G140*$I140,0))</f>
        <v/>
      </c>
      <c r="L140" s="13" t="str">
        <f aca="false">IF($D140="","",IF($G140="",0,$G140)+IF($H140="",0,$H140))</f>
        <v/>
      </c>
      <c r="M140" s="7"/>
    </row>
    <row r="141" customFormat="false" ht="15" hidden="false" customHeight="true" outlineLevel="0" collapsed="false">
      <c r="A141" s="11"/>
      <c r="B141" s="7"/>
      <c r="C141" s="12" t="str">
        <f aca="false">IF($B141="","",IFERROR(INDEX(거래처마스터!$B$3:$B$102,MATCH($B141,거래처마스터!$A$3:$A$102,0)),"미등록"))</f>
        <v/>
      </c>
      <c r="D141" s="7"/>
      <c r="E141" s="12" t="str">
        <f aca="false">IF($D141="","",IFERROR(INDEX(품목마스터!$B$3:$B$202,MATCH($D141,품목마스터!$A$3:$A$202,0)),"미등록품번"))</f>
        <v/>
      </c>
      <c r="F141" s="12" t="str">
        <f aca="false">IF($D141="","",IFERROR(INDEX(품목마스터!$D$3:$D$202,MATCH($D141,품목마스터!$A$3:$A$202,0)),""))</f>
        <v/>
      </c>
      <c r="G141" s="9"/>
      <c r="H141" s="9"/>
      <c r="I141" s="9"/>
      <c r="J141" s="7"/>
      <c r="K141" s="13" t="str">
        <f aca="false">IF(OR($G141="",$I141=""),"",ROUND($G141*$I141,0))</f>
        <v/>
      </c>
      <c r="L141" s="13" t="str">
        <f aca="false">IF($D141="","",IF($G141="",0,$G141)+IF($H141="",0,$H141))</f>
        <v/>
      </c>
      <c r="M141" s="7"/>
    </row>
    <row r="142" customFormat="false" ht="15" hidden="false" customHeight="true" outlineLevel="0" collapsed="false">
      <c r="A142" s="11"/>
      <c r="B142" s="7"/>
      <c r="C142" s="12" t="str">
        <f aca="false">IF($B142="","",IFERROR(INDEX(거래처마스터!$B$3:$B$102,MATCH($B142,거래처마스터!$A$3:$A$102,0)),"미등록"))</f>
        <v/>
      </c>
      <c r="D142" s="7"/>
      <c r="E142" s="12" t="str">
        <f aca="false">IF($D142="","",IFERROR(INDEX(품목마스터!$B$3:$B$202,MATCH($D142,품목마스터!$A$3:$A$202,0)),"미등록품번"))</f>
        <v/>
      </c>
      <c r="F142" s="12" t="str">
        <f aca="false">IF($D142="","",IFERROR(INDEX(품목마스터!$D$3:$D$202,MATCH($D142,품목마스터!$A$3:$A$202,0)),""))</f>
        <v/>
      </c>
      <c r="G142" s="9"/>
      <c r="H142" s="9"/>
      <c r="I142" s="9"/>
      <c r="J142" s="7"/>
      <c r="K142" s="13" t="str">
        <f aca="false">IF(OR($G142="",$I142=""),"",ROUND($G142*$I142,0))</f>
        <v/>
      </c>
      <c r="L142" s="13" t="str">
        <f aca="false">IF($D142="","",IF($G142="",0,$G142)+IF($H142="",0,$H142))</f>
        <v/>
      </c>
      <c r="M142" s="7"/>
    </row>
    <row r="143" customFormat="false" ht="15" hidden="false" customHeight="true" outlineLevel="0" collapsed="false">
      <c r="A143" s="11"/>
      <c r="B143" s="7"/>
      <c r="C143" s="12" t="str">
        <f aca="false">IF($B143="","",IFERROR(INDEX(거래처마스터!$B$3:$B$102,MATCH($B143,거래처마스터!$A$3:$A$102,0)),"미등록"))</f>
        <v/>
      </c>
      <c r="D143" s="7"/>
      <c r="E143" s="12" t="str">
        <f aca="false">IF($D143="","",IFERROR(INDEX(품목마스터!$B$3:$B$202,MATCH($D143,품목마스터!$A$3:$A$202,0)),"미등록품번"))</f>
        <v/>
      </c>
      <c r="F143" s="12" t="str">
        <f aca="false">IF($D143="","",IFERROR(INDEX(품목마스터!$D$3:$D$202,MATCH($D143,품목마스터!$A$3:$A$202,0)),""))</f>
        <v/>
      </c>
      <c r="G143" s="9"/>
      <c r="H143" s="9"/>
      <c r="I143" s="9"/>
      <c r="J143" s="7"/>
      <c r="K143" s="13" t="str">
        <f aca="false">IF(OR($G143="",$I143=""),"",ROUND($G143*$I143,0))</f>
        <v/>
      </c>
      <c r="L143" s="13" t="str">
        <f aca="false">IF($D143="","",IF($G143="",0,$G143)+IF($H143="",0,$H143))</f>
        <v/>
      </c>
      <c r="M143" s="7"/>
    </row>
    <row r="144" customFormat="false" ht="15" hidden="false" customHeight="true" outlineLevel="0" collapsed="false">
      <c r="A144" s="11"/>
      <c r="B144" s="7"/>
      <c r="C144" s="12" t="str">
        <f aca="false">IF($B144="","",IFERROR(INDEX(거래처마스터!$B$3:$B$102,MATCH($B144,거래처마스터!$A$3:$A$102,0)),"미등록"))</f>
        <v/>
      </c>
      <c r="D144" s="7"/>
      <c r="E144" s="12" t="str">
        <f aca="false">IF($D144="","",IFERROR(INDEX(품목마스터!$B$3:$B$202,MATCH($D144,품목마스터!$A$3:$A$202,0)),"미등록품번"))</f>
        <v/>
      </c>
      <c r="F144" s="12" t="str">
        <f aca="false">IF($D144="","",IFERROR(INDEX(품목마스터!$D$3:$D$202,MATCH($D144,품목마스터!$A$3:$A$202,0)),""))</f>
        <v/>
      </c>
      <c r="G144" s="9"/>
      <c r="H144" s="9"/>
      <c r="I144" s="9"/>
      <c r="J144" s="7"/>
      <c r="K144" s="13" t="str">
        <f aca="false">IF(OR($G144="",$I144=""),"",ROUND($G144*$I144,0))</f>
        <v/>
      </c>
      <c r="L144" s="13" t="str">
        <f aca="false">IF($D144="","",IF($G144="",0,$G144)+IF($H144="",0,$H144))</f>
        <v/>
      </c>
      <c r="M144" s="7"/>
    </row>
    <row r="145" customFormat="false" ht="15" hidden="false" customHeight="true" outlineLevel="0" collapsed="false">
      <c r="A145" s="11"/>
      <c r="B145" s="7"/>
      <c r="C145" s="12" t="str">
        <f aca="false">IF($B145="","",IFERROR(INDEX(거래처마스터!$B$3:$B$102,MATCH($B145,거래처마스터!$A$3:$A$102,0)),"미등록"))</f>
        <v/>
      </c>
      <c r="D145" s="7"/>
      <c r="E145" s="12" t="str">
        <f aca="false">IF($D145="","",IFERROR(INDEX(품목마스터!$B$3:$B$202,MATCH($D145,품목마스터!$A$3:$A$202,0)),"미등록품번"))</f>
        <v/>
      </c>
      <c r="F145" s="12" t="str">
        <f aca="false">IF($D145="","",IFERROR(INDEX(품목마스터!$D$3:$D$202,MATCH($D145,품목마스터!$A$3:$A$202,0)),""))</f>
        <v/>
      </c>
      <c r="G145" s="9"/>
      <c r="H145" s="9"/>
      <c r="I145" s="9"/>
      <c r="J145" s="7"/>
      <c r="K145" s="13" t="str">
        <f aca="false">IF(OR($G145="",$I145=""),"",ROUND($G145*$I145,0))</f>
        <v/>
      </c>
      <c r="L145" s="13" t="str">
        <f aca="false">IF($D145="","",IF($G145="",0,$G145)+IF($H145="",0,$H145))</f>
        <v/>
      </c>
      <c r="M145" s="7"/>
    </row>
    <row r="146" customFormat="false" ht="15" hidden="false" customHeight="true" outlineLevel="0" collapsed="false">
      <c r="A146" s="11"/>
      <c r="B146" s="7"/>
      <c r="C146" s="12" t="str">
        <f aca="false">IF($B146="","",IFERROR(INDEX(거래처마스터!$B$3:$B$102,MATCH($B146,거래처마스터!$A$3:$A$102,0)),"미등록"))</f>
        <v/>
      </c>
      <c r="D146" s="7"/>
      <c r="E146" s="12" t="str">
        <f aca="false">IF($D146="","",IFERROR(INDEX(품목마스터!$B$3:$B$202,MATCH($D146,품목마스터!$A$3:$A$202,0)),"미등록품번"))</f>
        <v/>
      </c>
      <c r="F146" s="12" t="str">
        <f aca="false">IF($D146="","",IFERROR(INDEX(품목마스터!$D$3:$D$202,MATCH($D146,품목마스터!$A$3:$A$202,0)),""))</f>
        <v/>
      </c>
      <c r="G146" s="9"/>
      <c r="H146" s="9"/>
      <c r="I146" s="9"/>
      <c r="J146" s="7"/>
      <c r="K146" s="13" t="str">
        <f aca="false">IF(OR($G146="",$I146=""),"",ROUND($G146*$I146,0))</f>
        <v/>
      </c>
      <c r="L146" s="13" t="str">
        <f aca="false">IF($D146="","",IF($G146="",0,$G146)+IF($H146="",0,$H146))</f>
        <v/>
      </c>
      <c r="M146" s="7"/>
    </row>
    <row r="147" customFormat="false" ht="15" hidden="false" customHeight="true" outlineLevel="0" collapsed="false">
      <c r="A147" s="11"/>
      <c r="B147" s="7"/>
      <c r="C147" s="12" t="str">
        <f aca="false">IF($B147="","",IFERROR(INDEX(거래처마스터!$B$3:$B$102,MATCH($B147,거래처마스터!$A$3:$A$102,0)),"미등록"))</f>
        <v/>
      </c>
      <c r="D147" s="7"/>
      <c r="E147" s="12" t="str">
        <f aca="false">IF($D147="","",IFERROR(INDEX(품목마스터!$B$3:$B$202,MATCH($D147,품목마스터!$A$3:$A$202,0)),"미등록품번"))</f>
        <v/>
      </c>
      <c r="F147" s="12" t="str">
        <f aca="false">IF($D147="","",IFERROR(INDEX(품목마스터!$D$3:$D$202,MATCH($D147,품목마스터!$A$3:$A$202,0)),""))</f>
        <v/>
      </c>
      <c r="G147" s="9"/>
      <c r="H147" s="9"/>
      <c r="I147" s="9"/>
      <c r="J147" s="7"/>
      <c r="K147" s="13" t="str">
        <f aca="false">IF(OR($G147="",$I147=""),"",ROUND($G147*$I147,0))</f>
        <v/>
      </c>
      <c r="L147" s="13" t="str">
        <f aca="false">IF($D147="","",IF($G147="",0,$G147)+IF($H147="",0,$H147))</f>
        <v/>
      </c>
      <c r="M147" s="7"/>
    </row>
    <row r="148" customFormat="false" ht="15" hidden="false" customHeight="true" outlineLevel="0" collapsed="false">
      <c r="A148" s="11"/>
      <c r="B148" s="7"/>
      <c r="C148" s="12" t="str">
        <f aca="false">IF($B148="","",IFERROR(INDEX(거래처마스터!$B$3:$B$102,MATCH($B148,거래처마스터!$A$3:$A$102,0)),"미등록"))</f>
        <v/>
      </c>
      <c r="D148" s="7"/>
      <c r="E148" s="12" t="str">
        <f aca="false">IF($D148="","",IFERROR(INDEX(품목마스터!$B$3:$B$202,MATCH($D148,품목마스터!$A$3:$A$202,0)),"미등록품번"))</f>
        <v/>
      </c>
      <c r="F148" s="12" t="str">
        <f aca="false">IF($D148="","",IFERROR(INDEX(품목마스터!$D$3:$D$202,MATCH($D148,품목마스터!$A$3:$A$202,0)),""))</f>
        <v/>
      </c>
      <c r="G148" s="9"/>
      <c r="H148" s="9"/>
      <c r="I148" s="9"/>
      <c r="J148" s="7"/>
      <c r="K148" s="13" t="str">
        <f aca="false">IF(OR($G148="",$I148=""),"",ROUND($G148*$I148,0))</f>
        <v/>
      </c>
      <c r="L148" s="13" t="str">
        <f aca="false">IF($D148="","",IF($G148="",0,$G148)+IF($H148="",0,$H148))</f>
        <v/>
      </c>
      <c r="M148" s="7"/>
    </row>
    <row r="149" customFormat="false" ht="15" hidden="false" customHeight="true" outlineLevel="0" collapsed="false">
      <c r="A149" s="11"/>
      <c r="B149" s="7"/>
      <c r="C149" s="12" t="str">
        <f aca="false">IF($B149="","",IFERROR(INDEX(거래처마스터!$B$3:$B$102,MATCH($B149,거래처마스터!$A$3:$A$102,0)),"미등록"))</f>
        <v/>
      </c>
      <c r="D149" s="7"/>
      <c r="E149" s="12" t="str">
        <f aca="false">IF($D149="","",IFERROR(INDEX(품목마스터!$B$3:$B$202,MATCH($D149,품목마스터!$A$3:$A$202,0)),"미등록품번"))</f>
        <v/>
      </c>
      <c r="F149" s="12" t="str">
        <f aca="false">IF($D149="","",IFERROR(INDEX(품목마스터!$D$3:$D$202,MATCH($D149,품목마스터!$A$3:$A$202,0)),""))</f>
        <v/>
      </c>
      <c r="G149" s="9"/>
      <c r="H149" s="9"/>
      <c r="I149" s="9"/>
      <c r="J149" s="7"/>
      <c r="K149" s="13" t="str">
        <f aca="false">IF(OR($G149="",$I149=""),"",ROUND($G149*$I149,0))</f>
        <v/>
      </c>
      <c r="L149" s="13" t="str">
        <f aca="false">IF($D149="","",IF($G149="",0,$G149)+IF($H149="",0,$H149))</f>
        <v/>
      </c>
      <c r="M149" s="7"/>
    </row>
    <row r="150" customFormat="false" ht="15" hidden="false" customHeight="true" outlineLevel="0" collapsed="false">
      <c r="A150" s="11"/>
      <c r="B150" s="7"/>
      <c r="C150" s="12" t="str">
        <f aca="false">IF($B150="","",IFERROR(INDEX(거래처마스터!$B$3:$B$102,MATCH($B150,거래처마스터!$A$3:$A$102,0)),"미등록"))</f>
        <v/>
      </c>
      <c r="D150" s="7"/>
      <c r="E150" s="12" t="str">
        <f aca="false">IF($D150="","",IFERROR(INDEX(품목마스터!$B$3:$B$202,MATCH($D150,품목마스터!$A$3:$A$202,0)),"미등록품번"))</f>
        <v/>
      </c>
      <c r="F150" s="12" t="str">
        <f aca="false">IF($D150="","",IFERROR(INDEX(품목마스터!$D$3:$D$202,MATCH($D150,품목마스터!$A$3:$A$202,0)),""))</f>
        <v/>
      </c>
      <c r="G150" s="9"/>
      <c r="H150" s="9"/>
      <c r="I150" s="9"/>
      <c r="J150" s="7"/>
      <c r="K150" s="13" t="str">
        <f aca="false">IF(OR($G150="",$I150=""),"",ROUND($G150*$I150,0))</f>
        <v/>
      </c>
      <c r="L150" s="13" t="str">
        <f aca="false">IF($D150="","",IF($G150="",0,$G150)+IF($H150="",0,$H150))</f>
        <v/>
      </c>
      <c r="M150" s="7"/>
    </row>
    <row r="151" customFormat="false" ht="15" hidden="false" customHeight="true" outlineLevel="0" collapsed="false">
      <c r="A151" s="11"/>
      <c r="B151" s="7"/>
      <c r="C151" s="12" t="str">
        <f aca="false">IF($B151="","",IFERROR(INDEX(거래처마스터!$B$3:$B$102,MATCH($B151,거래처마스터!$A$3:$A$102,0)),"미등록"))</f>
        <v/>
      </c>
      <c r="D151" s="7"/>
      <c r="E151" s="12" t="str">
        <f aca="false">IF($D151="","",IFERROR(INDEX(품목마스터!$B$3:$B$202,MATCH($D151,품목마스터!$A$3:$A$202,0)),"미등록품번"))</f>
        <v/>
      </c>
      <c r="F151" s="12" t="str">
        <f aca="false">IF($D151="","",IFERROR(INDEX(품목마스터!$D$3:$D$202,MATCH($D151,품목마스터!$A$3:$A$202,0)),""))</f>
        <v/>
      </c>
      <c r="G151" s="9"/>
      <c r="H151" s="9"/>
      <c r="I151" s="9"/>
      <c r="J151" s="7"/>
      <c r="K151" s="13" t="str">
        <f aca="false">IF(OR($G151="",$I151=""),"",ROUND($G151*$I151,0))</f>
        <v/>
      </c>
      <c r="L151" s="13" t="str">
        <f aca="false">IF($D151="","",IF($G151="",0,$G151)+IF($H151="",0,$H151))</f>
        <v/>
      </c>
      <c r="M151" s="7"/>
    </row>
    <row r="152" customFormat="false" ht="15" hidden="false" customHeight="true" outlineLevel="0" collapsed="false">
      <c r="A152" s="11"/>
      <c r="B152" s="7"/>
      <c r="C152" s="12" t="str">
        <f aca="false">IF($B152="","",IFERROR(INDEX(거래처마스터!$B$3:$B$102,MATCH($B152,거래처마스터!$A$3:$A$102,0)),"미등록"))</f>
        <v/>
      </c>
      <c r="D152" s="7"/>
      <c r="E152" s="12" t="str">
        <f aca="false">IF($D152="","",IFERROR(INDEX(품목마스터!$B$3:$B$202,MATCH($D152,품목마스터!$A$3:$A$202,0)),"미등록품번"))</f>
        <v/>
      </c>
      <c r="F152" s="12" t="str">
        <f aca="false">IF($D152="","",IFERROR(INDEX(품목마스터!$D$3:$D$202,MATCH($D152,품목마스터!$A$3:$A$202,0)),""))</f>
        <v/>
      </c>
      <c r="G152" s="9"/>
      <c r="H152" s="9"/>
      <c r="I152" s="9"/>
      <c r="J152" s="7"/>
      <c r="K152" s="13" t="str">
        <f aca="false">IF(OR($G152="",$I152=""),"",ROUND($G152*$I152,0))</f>
        <v/>
      </c>
      <c r="L152" s="13" t="str">
        <f aca="false">IF($D152="","",IF($G152="",0,$G152)+IF($H152="",0,$H152))</f>
        <v/>
      </c>
      <c r="M152" s="7"/>
    </row>
    <row r="153" customFormat="false" ht="15" hidden="false" customHeight="true" outlineLevel="0" collapsed="false">
      <c r="A153" s="11"/>
      <c r="B153" s="7"/>
      <c r="C153" s="12" t="str">
        <f aca="false">IF($B153="","",IFERROR(INDEX(거래처마스터!$B$3:$B$102,MATCH($B153,거래처마스터!$A$3:$A$102,0)),"미등록"))</f>
        <v/>
      </c>
      <c r="D153" s="7"/>
      <c r="E153" s="12" t="str">
        <f aca="false">IF($D153="","",IFERROR(INDEX(품목마스터!$B$3:$B$202,MATCH($D153,품목마스터!$A$3:$A$202,0)),"미등록품번"))</f>
        <v/>
      </c>
      <c r="F153" s="12" t="str">
        <f aca="false">IF($D153="","",IFERROR(INDEX(품목마스터!$D$3:$D$202,MATCH($D153,품목마스터!$A$3:$A$202,0)),""))</f>
        <v/>
      </c>
      <c r="G153" s="9"/>
      <c r="H153" s="9"/>
      <c r="I153" s="9"/>
      <c r="J153" s="7"/>
      <c r="K153" s="13" t="str">
        <f aca="false">IF(OR($G153="",$I153=""),"",ROUND($G153*$I153,0))</f>
        <v/>
      </c>
      <c r="L153" s="13" t="str">
        <f aca="false">IF($D153="","",IF($G153="",0,$G153)+IF($H153="",0,$H153))</f>
        <v/>
      </c>
      <c r="M153" s="7"/>
    </row>
    <row r="154" customFormat="false" ht="15" hidden="false" customHeight="true" outlineLevel="0" collapsed="false">
      <c r="A154" s="11"/>
      <c r="B154" s="7"/>
      <c r="C154" s="12" t="str">
        <f aca="false">IF($B154="","",IFERROR(INDEX(거래처마스터!$B$3:$B$102,MATCH($B154,거래처마스터!$A$3:$A$102,0)),"미등록"))</f>
        <v/>
      </c>
      <c r="D154" s="7"/>
      <c r="E154" s="12" t="str">
        <f aca="false">IF($D154="","",IFERROR(INDEX(품목마스터!$B$3:$B$202,MATCH($D154,품목마스터!$A$3:$A$202,0)),"미등록품번"))</f>
        <v/>
      </c>
      <c r="F154" s="12" t="str">
        <f aca="false">IF($D154="","",IFERROR(INDEX(품목마스터!$D$3:$D$202,MATCH($D154,품목마스터!$A$3:$A$202,0)),""))</f>
        <v/>
      </c>
      <c r="G154" s="9"/>
      <c r="H154" s="9"/>
      <c r="I154" s="9"/>
      <c r="J154" s="7"/>
      <c r="K154" s="13" t="str">
        <f aca="false">IF(OR($G154="",$I154=""),"",ROUND($G154*$I154,0))</f>
        <v/>
      </c>
      <c r="L154" s="13" t="str">
        <f aca="false">IF($D154="","",IF($G154="",0,$G154)+IF($H154="",0,$H154))</f>
        <v/>
      </c>
      <c r="M154" s="7"/>
    </row>
    <row r="155" customFormat="false" ht="15" hidden="false" customHeight="true" outlineLevel="0" collapsed="false">
      <c r="A155" s="11"/>
      <c r="B155" s="7"/>
      <c r="C155" s="12" t="str">
        <f aca="false">IF($B155="","",IFERROR(INDEX(거래처마스터!$B$3:$B$102,MATCH($B155,거래처마스터!$A$3:$A$102,0)),"미등록"))</f>
        <v/>
      </c>
      <c r="D155" s="7"/>
      <c r="E155" s="12" t="str">
        <f aca="false">IF($D155="","",IFERROR(INDEX(품목마스터!$B$3:$B$202,MATCH($D155,품목마스터!$A$3:$A$202,0)),"미등록품번"))</f>
        <v/>
      </c>
      <c r="F155" s="12" t="str">
        <f aca="false">IF($D155="","",IFERROR(INDEX(품목마스터!$D$3:$D$202,MATCH($D155,품목마스터!$A$3:$A$202,0)),""))</f>
        <v/>
      </c>
      <c r="G155" s="9"/>
      <c r="H155" s="9"/>
      <c r="I155" s="9"/>
      <c r="J155" s="7"/>
      <c r="K155" s="13" t="str">
        <f aca="false">IF(OR($G155="",$I155=""),"",ROUND($G155*$I155,0))</f>
        <v/>
      </c>
      <c r="L155" s="13" t="str">
        <f aca="false">IF($D155="","",IF($G155="",0,$G155)+IF($H155="",0,$H155))</f>
        <v/>
      </c>
      <c r="M155" s="7"/>
    </row>
    <row r="156" customFormat="false" ht="15" hidden="false" customHeight="true" outlineLevel="0" collapsed="false">
      <c r="A156" s="11"/>
      <c r="B156" s="7"/>
      <c r="C156" s="12" t="str">
        <f aca="false">IF($B156="","",IFERROR(INDEX(거래처마스터!$B$3:$B$102,MATCH($B156,거래처마스터!$A$3:$A$102,0)),"미등록"))</f>
        <v/>
      </c>
      <c r="D156" s="7"/>
      <c r="E156" s="12" t="str">
        <f aca="false">IF($D156="","",IFERROR(INDEX(품목마스터!$B$3:$B$202,MATCH($D156,품목마스터!$A$3:$A$202,0)),"미등록품번"))</f>
        <v/>
      </c>
      <c r="F156" s="12" t="str">
        <f aca="false">IF($D156="","",IFERROR(INDEX(품목마스터!$D$3:$D$202,MATCH($D156,품목마스터!$A$3:$A$202,0)),""))</f>
        <v/>
      </c>
      <c r="G156" s="9"/>
      <c r="H156" s="9"/>
      <c r="I156" s="9"/>
      <c r="J156" s="7"/>
      <c r="K156" s="13" t="str">
        <f aca="false">IF(OR($G156="",$I156=""),"",ROUND($G156*$I156,0))</f>
        <v/>
      </c>
      <c r="L156" s="13" t="str">
        <f aca="false">IF($D156="","",IF($G156="",0,$G156)+IF($H156="",0,$H156))</f>
        <v/>
      </c>
      <c r="M156" s="7"/>
    </row>
    <row r="157" customFormat="false" ht="15" hidden="false" customHeight="true" outlineLevel="0" collapsed="false">
      <c r="A157" s="11"/>
      <c r="B157" s="7"/>
      <c r="C157" s="12" t="str">
        <f aca="false">IF($B157="","",IFERROR(INDEX(거래처마스터!$B$3:$B$102,MATCH($B157,거래처마스터!$A$3:$A$102,0)),"미등록"))</f>
        <v/>
      </c>
      <c r="D157" s="7"/>
      <c r="E157" s="12" t="str">
        <f aca="false">IF($D157="","",IFERROR(INDEX(품목마스터!$B$3:$B$202,MATCH($D157,품목마스터!$A$3:$A$202,0)),"미등록품번"))</f>
        <v/>
      </c>
      <c r="F157" s="12" t="str">
        <f aca="false">IF($D157="","",IFERROR(INDEX(품목마스터!$D$3:$D$202,MATCH($D157,품목마스터!$A$3:$A$202,0)),""))</f>
        <v/>
      </c>
      <c r="G157" s="9"/>
      <c r="H157" s="9"/>
      <c r="I157" s="9"/>
      <c r="J157" s="7"/>
      <c r="K157" s="13" t="str">
        <f aca="false">IF(OR($G157="",$I157=""),"",ROUND($G157*$I157,0))</f>
        <v/>
      </c>
      <c r="L157" s="13" t="str">
        <f aca="false">IF($D157="","",IF($G157="",0,$G157)+IF($H157="",0,$H157))</f>
        <v/>
      </c>
      <c r="M157" s="7"/>
    </row>
    <row r="158" customFormat="false" ht="15" hidden="false" customHeight="true" outlineLevel="0" collapsed="false">
      <c r="A158" s="11"/>
      <c r="B158" s="7"/>
      <c r="C158" s="12" t="str">
        <f aca="false">IF($B158="","",IFERROR(INDEX(거래처마스터!$B$3:$B$102,MATCH($B158,거래처마스터!$A$3:$A$102,0)),"미등록"))</f>
        <v/>
      </c>
      <c r="D158" s="7"/>
      <c r="E158" s="12" t="str">
        <f aca="false">IF($D158="","",IFERROR(INDEX(품목마스터!$B$3:$B$202,MATCH($D158,품목마스터!$A$3:$A$202,0)),"미등록품번"))</f>
        <v/>
      </c>
      <c r="F158" s="12" t="str">
        <f aca="false">IF($D158="","",IFERROR(INDEX(품목마스터!$D$3:$D$202,MATCH($D158,품목마스터!$A$3:$A$202,0)),""))</f>
        <v/>
      </c>
      <c r="G158" s="9"/>
      <c r="H158" s="9"/>
      <c r="I158" s="9"/>
      <c r="J158" s="7"/>
      <c r="K158" s="13" t="str">
        <f aca="false">IF(OR($G158="",$I158=""),"",ROUND($G158*$I158,0))</f>
        <v/>
      </c>
      <c r="L158" s="13" t="str">
        <f aca="false">IF($D158="","",IF($G158="",0,$G158)+IF($H158="",0,$H158))</f>
        <v/>
      </c>
      <c r="M158" s="7"/>
    </row>
    <row r="159" customFormat="false" ht="15" hidden="false" customHeight="true" outlineLevel="0" collapsed="false">
      <c r="A159" s="11"/>
      <c r="B159" s="7"/>
      <c r="C159" s="12" t="str">
        <f aca="false">IF($B159="","",IFERROR(INDEX(거래처마스터!$B$3:$B$102,MATCH($B159,거래처마스터!$A$3:$A$102,0)),"미등록"))</f>
        <v/>
      </c>
      <c r="D159" s="7"/>
      <c r="E159" s="12" t="str">
        <f aca="false">IF($D159="","",IFERROR(INDEX(품목마스터!$B$3:$B$202,MATCH($D159,품목마스터!$A$3:$A$202,0)),"미등록품번"))</f>
        <v/>
      </c>
      <c r="F159" s="12" t="str">
        <f aca="false">IF($D159="","",IFERROR(INDEX(품목마스터!$D$3:$D$202,MATCH($D159,품목마스터!$A$3:$A$202,0)),""))</f>
        <v/>
      </c>
      <c r="G159" s="9"/>
      <c r="H159" s="9"/>
      <c r="I159" s="9"/>
      <c r="J159" s="7"/>
      <c r="K159" s="13" t="str">
        <f aca="false">IF(OR($G159="",$I159=""),"",ROUND($G159*$I159,0))</f>
        <v/>
      </c>
      <c r="L159" s="13" t="str">
        <f aca="false">IF($D159="","",IF($G159="",0,$G159)+IF($H159="",0,$H159))</f>
        <v/>
      </c>
      <c r="M159" s="7"/>
    </row>
    <row r="160" customFormat="false" ht="15" hidden="false" customHeight="true" outlineLevel="0" collapsed="false">
      <c r="A160" s="11"/>
      <c r="B160" s="7"/>
      <c r="C160" s="12" t="str">
        <f aca="false">IF($B160="","",IFERROR(INDEX(거래처마스터!$B$3:$B$102,MATCH($B160,거래처마스터!$A$3:$A$102,0)),"미등록"))</f>
        <v/>
      </c>
      <c r="D160" s="7"/>
      <c r="E160" s="12" t="str">
        <f aca="false">IF($D160="","",IFERROR(INDEX(품목마스터!$B$3:$B$202,MATCH($D160,품목마스터!$A$3:$A$202,0)),"미등록품번"))</f>
        <v/>
      </c>
      <c r="F160" s="12" t="str">
        <f aca="false">IF($D160="","",IFERROR(INDEX(품목마스터!$D$3:$D$202,MATCH($D160,품목마스터!$A$3:$A$202,0)),""))</f>
        <v/>
      </c>
      <c r="G160" s="9"/>
      <c r="H160" s="9"/>
      <c r="I160" s="9"/>
      <c r="J160" s="7"/>
      <c r="K160" s="13" t="str">
        <f aca="false">IF(OR($G160="",$I160=""),"",ROUND($G160*$I160,0))</f>
        <v/>
      </c>
      <c r="L160" s="13" t="str">
        <f aca="false">IF($D160="","",IF($G160="",0,$G160)+IF($H160="",0,$H160))</f>
        <v/>
      </c>
      <c r="M160" s="7"/>
    </row>
    <row r="161" customFormat="false" ht="15" hidden="false" customHeight="true" outlineLevel="0" collapsed="false">
      <c r="A161" s="11"/>
      <c r="B161" s="7"/>
      <c r="C161" s="12" t="str">
        <f aca="false">IF($B161="","",IFERROR(INDEX(거래처마스터!$B$3:$B$102,MATCH($B161,거래처마스터!$A$3:$A$102,0)),"미등록"))</f>
        <v/>
      </c>
      <c r="D161" s="7"/>
      <c r="E161" s="12" t="str">
        <f aca="false">IF($D161="","",IFERROR(INDEX(품목마스터!$B$3:$B$202,MATCH($D161,품목마스터!$A$3:$A$202,0)),"미등록품번"))</f>
        <v/>
      </c>
      <c r="F161" s="12" t="str">
        <f aca="false">IF($D161="","",IFERROR(INDEX(품목마스터!$D$3:$D$202,MATCH($D161,품목마스터!$A$3:$A$202,0)),""))</f>
        <v/>
      </c>
      <c r="G161" s="9"/>
      <c r="H161" s="9"/>
      <c r="I161" s="9"/>
      <c r="J161" s="7"/>
      <c r="K161" s="13" t="str">
        <f aca="false">IF(OR($G161="",$I161=""),"",ROUND($G161*$I161,0))</f>
        <v/>
      </c>
      <c r="L161" s="13" t="str">
        <f aca="false">IF($D161="","",IF($G161="",0,$G161)+IF($H161="",0,$H161))</f>
        <v/>
      </c>
      <c r="M161" s="7"/>
    </row>
    <row r="162" customFormat="false" ht="15" hidden="false" customHeight="true" outlineLevel="0" collapsed="false">
      <c r="A162" s="11"/>
      <c r="B162" s="7"/>
      <c r="C162" s="12" t="str">
        <f aca="false">IF($B162="","",IFERROR(INDEX(거래처마스터!$B$3:$B$102,MATCH($B162,거래처마스터!$A$3:$A$102,0)),"미등록"))</f>
        <v/>
      </c>
      <c r="D162" s="7"/>
      <c r="E162" s="12" t="str">
        <f aca="false">IF($D162="","",IFERROR(INDEX(품목마스터!$B$3:$B$202,MATCH($D162,품목마스터!$A$3:$A$202,0)),"미등록품번"))</f>
        <v/>
      </c>
      <c r="F162" s="12" t="str">
        <f aca="false">IF($D162="","",IFERROR(INDEX(품목마스터!$D$3:$D$202,MATCH($D162,품목마스터!$A$3:$A$202,0)),""))</f>
        <v/>
      </c>
      <c r="G162" s="9"/>
      <c r="H162" s="9"/>
      <c r="I162" s="9"/>
      <c r="J162" s="7"/>
      <c r="K162" s="13" t="str">
        <f aca="false">IF(OR($G162="",$I162=""),"",ROUND($G162*$I162,0))</f>
        <v/>
      </c>
      <c r="L162" s="13" t="str">
        <f aca="false">IF($D162="","",IF($G162="",0,$G162)+IF($H162="",0,$H162))</f>
        <v/>
      </c>
      <c r="M162" s="7"/>
    </row>
    <row r="163" customFormat="false" ht="15" hidden="false" customHeight="true" outlineLevel="0" collapsed="false">
      <c r="A163" s="11"/>
      <c r="B163" s="7"/>
      <c r="C163" s="12" t="str">
        <f aca="false">IF($B163="","",IFERROR(INDEX(거래처마스터!$B$3:$B$102,MATCH($B163,거래처마스터!$A$3:$A$102,0)),"미등록"))</f>
        <v/>
      </c>
      <c r="D163" s="7"/>
      <c r="E163" s="12" t="str">
        <f aca="false">IF($D163="","",IFERROR(INDEX(품목마스터!$B$3:$B$202,MATCH($D163,품목마스터!$A$3:$A$202,0)),"미등록품번"))</f>
        <v/>
      </c>
      <c r="F163" s="12" t="str">
        <f aca="false">IF($D163="","",IFERROR(INDEX(품목마스터!$D$3:$D$202,MATCH($D163,품목마스터!$A$3:$A$202,0)),""))</f>
        <v/>
      </c>
      <c r="G163" s="9"/>
      <c r="H163" s="9"/>
      <c r="I163" s="9"/>
      <c r="J163" s="7"/>
      <c r="K163" s="13" t="str">
        <f aca="false">IF(OR($G163="",$I163=""),"",ROUND($G163*$I163,0))</f>
        <v/>
      </c>
      <c r="L163" s="13" t="str">
        <f aca="false">IF($D163="","",IF($G163="",0,$G163)+IF($H163="",0,$H163))</f>
        <v/>
      </c>
      <c r="M163" s="7"/>
    </row>
    <row r="164" customFormat="false" ht="15" hidden="false" customHeight="true" outlineLevel="0" collapsed="false">
      <c r="A164" s="11"/>
      <c r="B164" s="7"/>
      <c r="C164" s="12" t="str">
        <f aca="false">IF($B164="","",IFERROR(INDEX(거래처마스터!$B$3:$B$102,MATCH($B164,거래처마스터!$A$3:$A$102,0)),"미등록"))</f>
        <v/>
      </c>
      <c r="D164" s="7"/>
      <c r="E164" s="12" t="str">
        <f aca="false">IF($D164="","",IFERROR(INDEX(품목마스터!$B$3:$B$202,MATCH($D164,품목마스터!$A$3:$A$202,0)),"미등록품번"))</f>
        <v/>
      </c>
      <c r="F164" s="12" t="str">
        <f aca="false">IF($D164="","",IFERROR(INDEX(품목마스터!$D$3:$D$202,MATCH($D164,품목마스터!$A$3:$A$202,0)),""))</f>
        <v/>
      </c>
      <c r="G164" s="9"/>
      <c r="H164" s="9"/>
      <c r="I164" s="9"/>
      <c r="J164" s="7"/>
      <c r="K164" s="13" t="str">
        <f aca="false">IF(OR($G164="",$I164=""),"",ROUND($G164*$I164,0))</f>
        <v/>
      </c>
      <c r="L164" s="13" t="str">
        <f aca="false">IF($D164="","",IF($G164="",0,$G164)+IF($H164="",0,$H164))</f>
        <v/>
      </c>
      <c r="M164" s="7"/>
    </row>
    <row r="165" customFormat="false" ht="15" hidden="false" customHeight="true" outlineLevel="0" collapsed="false">
      <c r="A165" s="11"/>
      <c r="B165" s="7"/>
      <c r="C165" s="12" t="str">
        <f aca="false">IF($B165="","",IFERROR(INDEX(거래처마스터!$B$3:$B$102,MATCH($B165,거래처마스터!$A$3:$A$102,0)),"미등록"))</f>
        <v/>
      </c>
      <c r="D165" s="7"/>
      <c r="E165" s="12" t="str">
        <f aca="false">IF($D165="","",IFERROR(INDEX(품목마스터!$B$3:$B$202,MATCH($D165,품목마스터!$A$3:$A$202,0)),"미등록품번"))</f>
        <v/>
      </c>
      <c r="F165" s="12" t="str">
        <f aca="false">IF($D165="","",IFERROR(INDEX(품목마스터!$D$3:$D$202,MATCH($D165,품목마스터!$A$3:$A$202,0)),""))</f>
        <v/>
      </c>
      <c r="G165" s="9"/>
      <c r="H165" s="9"/>
      <c r="I165" s="9"/>
      <c r="J165" s="7"/>
      <c r="K165" s="13" t="str">
        <f aca="false">IF(OR($G165="",$I165=""),"",ROUND($G165*$I165,0))</f>
        <v/>
      </c>
      <c r="L165" s="13" t="str">
        <f aca="false">IF($D165="","",IF($G165="",0,$G165)+IF($H165="",0,$H165))</f>
        <v/>
      </c>
      <c r="M165" s="7"/>
    </row>
    <row r="166" customFormat="false" ht="15" hidden="false" customHeight="true" outlineLevel="0" collapsed="false">
      <c r="A166" s="11"/>
      <c r="B166" s="7"/>
      <c r="C166" s="12" t="str">
        <f aca="false">IF($B166="","",IFERROR(INDEX(거래처마스터!$B$3:$B$102,MATCH($B166,거래처마스터!$A$3:$A$102,0)),"미등록"))</f>
        <v/>
      </c>
      <c r="D166" s="7"/>
      <c r="E166" s="12" t="str">
        <f aca="false">IF($D166="","",IFERROR(INDEX(품목마스터!$B$3:$B$202,MATCH($D166,품목마스터!$A$3:$A$202,0)),"미등록품번"))</f>
        <v/>
      </c>
      <c r="F166" s="12" t="str">
        <f aca="false">IF($D166="","",IFERROR(INDEX(품목마스터!$D$3:$D$202,MATCH($D166,품목마스터!$A$3:$A$202,0)),""))</f>
        <v/>
      </c>
      <c r="G166" s="9"/>
      <c r="H166" s="9"/>
      <c r="I166" s="9"/>
      <c r="J166" s="7"/>
      <c r="K166" s="13" t="str">
        <f aca="false">IF(OR($G166="",$I166=""),"",ROUND($G166*$I166,0))</f>
        <v/>
      </c>
      <c r="L166" s="13" t="str">
        <f aca="false">IF($D166="","",IF($G166="",0,$G166)+IF($H166="",0,$H166))</f>
        <v/>
      </c>
      <c r="M166" s="7"/>
    </row>
    <row r="167" customFormat="false" ht="15" hidden="false" customHeight="true" outlineLevel="0" collapsed="false">
      <c r="A167" s="11"/>
      <c r="B167" s="7"/>
      <c r="C167" s="12" t="str">
        <f aca="false">IF($B167="","",IFERROR(INDEX(거래처마스터!$B$3:$B$102,MATCH($B167,거래처마스터!$A$3:$A$102,0)),"미등록"))</f>
        <v/>
      </c>
      <c r="D167" s="7"/>
      <c r="E167" s="12" t="str">
        <f aca="false">IF($D167="","",IFERROR(INDEX(품목마스터!$B$3:$B$202,MATCH($D167,품목마스터!$A$3:$A$202,0)),"미등록품번"))</f>
        <v/>
      </c>
      <c r="F167" s="12" t="str">
        <f aca="false">IF($D167="","",IFERROR(INDEX(품목마스터!$D$3:$D$202,MATCH($D167,품목마스터!$A$3:$A$202,0)),""))</f>
        <v/>
      </c>
      <c r="G167" s="9"/>
      <c r="H167" s="9"/>
      <c r="I167" s="9"/>
      <c r="J167" s="7"/>
      <c r="K167" s="13" t="str">
        <f aca="false">IF(OR($G167="",$I167=""),"",ROUND($G167*$I167,0))</f>
        <v/>
      </c>
      <c r="L167" s="13" t="str">
        <f aca="false">IF($D167="","",IF($G167="",0,$G167)+IF($H167="",0,$H167))</f>
        <v/>
      </c>
      <c r="M167" s="7"/>
    </row>
    <row r="168" customFormat="false" ht="15" hidden="false" customHeight="true" outlineLevel="0" collapsed="false">
      <c r="A168" s="11"/>
      <c r="B168" s="7"/>
      <c r="C168" s="12" t="str">
        <f aca="false">IF($B168="","",IFERROR(INDEX(거래처마스터!$B$3:$B$102,MATCH($B168,거래처마스터!$A$3:$A$102,0)),"미등록"))</f>
        <v/>
      </c>
      <c r="D168" s="7"/>
      <c r="E168" s="12" t="str">
        <f aca="false">IF($D168="","",IFERROR(INDEX(품목마스터!$B$3:$B$202,MATCH($D168,품목마스터!$A$3:$A$202,0)),"미등록품번"))</f>
        <v/>
      </c>
      <c r="F168" s="12" t="str">
        <f aca="false">IF($D168="","",IFERROR(INDEX(품목마스터!$D$3:$D$202,MATCH($D168,품목마스터!$A$3:$A$202,0)),""))</f>
        <v/>
      </c>
      <c r="G168" s="9"/>
      <c r="H168" s="9"/>
      <c r="I168" s="9"/>
      <c r="J168" s="7"/>
      <c r="K168" s="13" t="str">
        <f aca="false">IF(OR($G168="",$I168=""),"",ROUND($G168*$I168,0))</f>
        <v/>
      </c>
      <c r="L168" s="13" t="str">
        <f aca="false">IF($D168="","",IF($G168="",0,$G168)+IF($H168="",0,$H168))</f>
        <v/>
      </c>
      <c r="M168" s="7"/>
    </row>
    <row r="169" customFormat="false" ht="15" hidden="false" customHeight="true" outlineLevel="0" collapsed="false">
      <c r="A169" s="11"/>
      <c r="B169" s="7"/>
      <c r="C169" s="12" t="str">
        <f aca="false">IF($B169="","",IFERROR(INDEX(거래처마스터!$B$3:$B$102,MATCH($B169,거래처마스터!$A$3:$A$102,0)),"미등록"))</f>
        <v/>
      </c>
      <c r="D169" s="7"/>
      <c r="E169" s="12" t="str">
        <f aca="false">IF($D169="","",IFERROR(INDEX(품목마스터!$B$3:$B$202,MATCH($D169,품목마스터!$A$3:$A$202,0)),"미등록품번"))</f>
        <v/>
      </c>
      <c r="F169" s="12" t="str">
        <f aca="false">IF($D169="","",IFERROR(INDEX(품목마스터!$D$3:$D$202,MATCH($D169,품목마스터!$A$3:$A$202,0)),""))</f>
        <v/>
      </c>
      <c r="G169" s="9"/>
      <c r="H169" s="9"/>
      <c r="I169" s="9"/>
      <c r="J169" s="7"/>
      <c r="K169" s="13" t="str">
        <f aca="false">IF(OR($G169="",$I169=""),"",ROUND($G169*$I169,0))</f>
        <v/>
      </c>
      <c r="L169" s="13" t="str">
        <f aca="false">IF($D169="","",IF($G169="",0,$G169)+IF($H169="",0,$H169))</f>
        <v/>
      </c>
      <c r="M169" s="7"/>
    </row>
    <row r="170" customFormat="false" ht="15" hidden="false" customHeight="true" outlineLevel="0" collapsed="false">
      <c r="A170" s="11"/>
      <c r="B170" s="7"/>
      <c r="C170" s="12" t="str">
        <f aca="false">IF($B170="","",IFERROR(INDEX(거래처마스터!$B$3:$B$102,MATCH($B170,거래처마스터!$A$3:$A$102,0)),"미등록"))</f>
        <v/>
      </c>
      <c r="D170" s="7"/>
      <c r="E170" s="12" t="str">
        <f aca="false">IF($D170="","",IFERROR(INDEX(품목마스터!$B$3:$B$202,MATCH($D170,품목마스터!$A$3:$A$202,0)),"미등록품번"))</f>
        <v/>
      </c>
      <c r="F170" s="12" t="str">
        <f aca="false">IF($D170="","",IFERROR(INDEX(품목마스터!$D$3:$D$202,MATCH($D170,품목마스터!$A$3:$A$202,0)),""))</f>
        <v/>
      </c>
      <c r="G170" s="9"/>
      <c r="H170" s="9"/>
      <c r="I170" s="9"/>
      <c r="J170" s="7"/>
      <c r="K170" s="13" t="str">
        <f aca="false">IF(OR($G170="",$I170=""),"",ROUND($G170*$I170,0))</f>
        <v/>
      </c>
      <c r="L170" s="13" t="str">
        <f aca="false">IF($D170="","",IF($G170="",0,$G170)+IF($H170="",0,$H170))</f>
        <v/>
      </c>
      <c r="M170" s="7"/>
    </row>
    <row r="171" customFormat="false" ht="15" hidden="false" customHeight="true" outlineLevel="0" collapsed="false">
      <c r="A171" s="11"/>
      <c r="B171" s="7"/>
      <c r="C171" s="12" t="str">
        <f aca="false">IF($B171="","",IFERROR(INDEX(거래처마스터!$B$3:$B$102,MATCH($B171,거래처마스터!$A$3:$A$102,0)),"미등록"))</f>
        <v/>
      </c>
      <c r="D171" s="7"/>
      <c r="E171" s="12" t="str">
        <f aca="false">IF($D171="","",IFERROR(INDEX(품목마스터!$B$3:$B$202,MATCH($D171,품목마스터!$A$3:$A$202,0)),"미등록품번"))</f>
        <v/>
      </c>
      <c r="F171" s="12" t="str">
        <f aca="false">IF($D171="","",IFERROR(INDEX(품목마스터!$D$3:$D$202,MATCH($D171,품목마스터!$A$3:$A$202,0)),""))</f>
        <v/>
      </c>
      <c r="G171" s="9"/>
      <c r="H171" s="9"/>
      <c r="I171" s="9"/>
      <c r="J171" s="7"/>
      <c r="K171" s="13" t="str">
        <f aca="false">IF(OR($G171="",$I171=""),"",ROUND($G171*$I171,0))</f>
        <v/>
      </c>
      <c r="L171" s="13" t="str">
        <f aca="false">IF($D171="","",IF($G171="",0,$G171)+IF($H171="",0,$H171))</f>
        <v/>
      </c>
      <c r="M171" s="7"/>
    </row>
    <row r="172" customFormat="false" ht="15" hidden="false" customHeight="true" outlineLevel="0" collapsed="false">
      <c r="A172" s="11"/>
      <c r="B172" s="7"/>
      <c r="C172" s="12" t="str">
        <f aca="false">IF($B172="","",IFERROR(INDEX(거래처마스터!$B$3:$B$102,MATCH($B172,거래처마스터!$A$3:$A$102,0)),"미등록"))</f>
        <v/>
      </c>
      <c r="D172" s="7"/>
      <c r="E172" s="12" t="str">
        <f aca="false">IF($D172="","",IFERROR(INDEX(품목마스터!$B$3:$B$202,MATCH($D172,품목마스터!$A$3:$A$202,0)),"미등록품번"))</f>
        <v/>
      </c>
      <c r="F172" s="12" t="str">
        <f aca="false">IF($D172="","",IFERROR(INDEX(품목마스터!$D$3:$D$202,MATCH($D172,품목마스터!$A$3:$A$202,0)),""))</f>
        <v/>
      </c>
      <c r="G172" s="9"/>
      <c r="H172" s="9"/>
      <c r="I172" s="9"/>
      <c r="J172" s="7"/>
      <c r="K172" s="13" t="str">
        <f aca="false">IF(OR($G172="",$I172=""),"",ROUND($G172*$I172,0))</f>
        <v/>
      </c>
      <c r="L172" s="13" t="str">
        <f aca="false">IF($D172="","",IF($G172="",0,$G172)+IF($H172="",0,$H172))</f>
        <v/>
      </c>
      <c r="M172" s="7"/>
    </row>
    <row r="173" customFormat="false" ht="15" hidden="false" customHeight="true" outlineLevel="0" collapsed="false">
      <c r="A173" s="11"/>
      <c r="B173" s="7"/>
      <c r="C173" s="12" t="str">
        <f aca="false">IF($B173="","",IFERROR(INDEX(거래처마스터!$B$3:$B$102,MATCH($B173,거래처마스터!$A$3:$A$102,0)),"미등록"))</f>
        <v/>
      </c>
      <c r="D173" s="7"/>
      <c r="E173" s="12" t="str">
        <f aca="false">IF($D173="","",IFERROR(INDEX(품목마스터!$B$3:$B$202,MATCH($D173,품목마스터!$A$3:$A$202,0)),"미등록품번"))</f>
        <v/>
      </c>
      <c r="F173" s="12" t="str">
        <f aca="false">IF($D173="","",IFERROR(INDEX(품목마스터!$D$3:$D$202,MATCH($D173,품목마스터!$A$3:$A$202,0)),""))</f>
        <v/>
      </c>
      <c r="G173" s="9"/>
      <c r="H173" s="9"/>
      <c r="I173" s="9"/>
      <c r="J173" s="7"/>
      <c r="K173" s="13" t="str">
        <f aca="false">IF(OR($G173="",$I173=""),"",ROUND($G173*$I173,0))</f>
        <v/>
      </c>
      <c r="L173" s="13" t="str">
        <f aca="false">IF($D173="","",IF($G173="",0,$G173)+IF($H173="",0,$H173))</f>
        <v/>
      </c>
      <c r="M173" s="7"/>
    </row>
    <row r="174" customFormat="false" ht="15" hidden="false" customHeight="true" outlineLevel="0" collapsed="false">
      <c r="A174" s="11"/>
      <c r="B174" s="7"/>
      <c r="C174" s="12" t="str">
        <f aca="false">IF($B174="","",IFERROR(INDEX(거래처마스터!$B$3:$B$102,MATCH($B174,거래처마스터!$A$3:$A$102,0)),"미등록"))</f>
        <v/>
      </c>
      <c r="D174" s="7"/>
      <c r="E174" s="12" t="str">
        <f aca="false">IF($D174="","",IFERROR(INDEX(품목마스터!$B$3:$B$202,MATCH($D174,품목마스터!$A$3:$A$202,0)),"미등록품번"))</f>
        <v/>
      </c>
      <c r="F174" s="12" t="str">
        <f aca="false">IF($D174="","",IFERROR(INDEX(품목마스터!$D$3:$D$202,MATCH($D174,품목마스터!$A$3:$A$202,0)),""))</f>
        <v/>
      </c>
      <c r="G174" s="9"/>
      <c r="H174" s="9"/>
      <c r="I174" s="9"/>
      <c r="J174" s="7"/>
      <c r="K174" s="13" t="str">
        <f aca="false">IF(OR($G174="",$I174=""),"",ROUND($G174*$I174,0))</f>
        <v/>
      </c>
      <c r="L174" s="13" t="str">
        <f aca="false">IF($D174="","",IF($G174="",0,$G174)+IF($H174="",0,$H174))</f>
        <v/>
      </c>
      <c r="M174" s="7"/>
    </row>
    <row r="175" customFormat="false" ht="15" hidden="false" customHeight="true" outlineLevel="0" collapsed="false">
      <c r="A175" s="11"/>
      <c r="B175" s="7"/>
      <c r="C175" s="12" t="str">
        <f aca="false">IF($B175="","",IFERROR(INDEX(거래처마스터!$B$3:$B$102,MATCH($B175,거래처마스터!$A$3:$A$102,0)),"미등록"))</f>
        <v/>
      </c>
      <c r="D175" s="7"/>
      <c r="E175" s="12" t="str">
        <f aca="false">IF($D175="","",IFERROR(INDEX(품목마스터!$B$3:$B$202,MATCH($D175,품목마스터!$A$3:$A$202,0)),"미등록품번"))</f>
        <v/>
      </c>
      <c r="F175" s="12" t="str">
        <f aca="false">IF($D175="","",IFERROR(INDEX(품목마스터!$D$3:$D$202,MATCH($D175,품목마스터!$A$3:$A$202,0)),""))</f>
        <v/>
      </c>
      <c r="G175" s="9"/>
      <c r="H175" s="9"/>
      <c r="I175" s="9"/>
      <c r="J175" s="7"/>
      <c r="K175" s="13" t="str">
        <f aca="false">IF(OR($G175="",$I175=""),"",ROUND($G175*$I175,0))</f>
        <v/>
      </c>
      <c r="L175" s="13" t="str">
        <f aca="false">IF($D175="","",IF($G175="",0,$G175)+IF($H175="",0,$H175))</f>
        <v/>
      </c>
      <c r="M175" s="7"/>
    </row>
    <row r="176" customFormat="false" ht="15" hidden="false" customHeight="true" outlineLevel="0" collapsed="false">
      <c r="A176" s="11"/>
      <c r="B176" s="7"/>
      <c r="C176" s="12" t="str">
        <f aca="false">IF($B176="","",IFERROR(INDEX(거래처마스터!$B$3:$B$102,MATCH($B176,거래처마스터!$A$3:$A$102,0)),"미등록"))</f>
        <v/>
      </c>
      <c r="D176" s="7"/>
      <c r="E176" s="12" t="str">
        <f aca="false">IF($D176="","",IFERROR(INDEX(품목마스터!$B$3:$B$202,MATCH($D176,품목마스터!$A$3:$A$202,0)),"미등록품번"))</f>
        <v/>
      </c>
      <c r="F176" s="12" t="str">
        <f aca="false">IF($D176="","",IFERROR(INDEX(품목마스터!$D$3:$D$202,MATCH($D176,품목마스터!$A$3:$A$202,0)),""))</f>
        <v/>
      </c>
      <c r="G176" s="9"/>
      <c r="H176" s="9"/>
      <c r="I176" s="9"/>
      <c r="J176" s="7"/>
      <c r="K176" s="13" t="str">
        <f aca="false">IF(OR($G176="",$I176=""),"",ROUND($G176*$I176,0))</f>
        <v/>
      </c>
      <c r="L176" s="13" t="str">
        <f aca="false">IF($D176="","",IF($G176="",0,$G176)+IF($H176="",0,$H176))</f>
        <v/>
      </c>
      <c r="M176" s="7"/>
    </row>
    <row r="177" customFormat="false" ht="15" hidden="false" customHeight="true" outlineLevel="0" collapsed="false">
      <c r="A177" s="11"/>
      <c r="B177" s="7"/>
      <c r="C177" s="12" t="str">
        <f aca="false">IF($B177="","",IFERROR(INDEX(거래처마스터!$B$3:$B$102,MATCH($B177,거래처마스터!$A$3:$A$102,0)),"미등록"))</f>
        <v/>
      </c>
      <c r="D177" s="7"/>
      <c r="E177" s="12" t="str">
        <f aca="false">IF($D177="","",IFERROR(INDEX(품목마스터!$B$3:$B$202,MATCH($D177,품목마스터!$A$3:$A$202,0)),"미등록품번"))</f>
        <v/>
      </c>
      <c r="F177" s="12" t="str">
        <f aca="false">IF($D177="","",IFERROR(INDEX(품목마스터!$D$3:$D$202,MATCH($D177,품목마스터!$A$3:$A$202,0)),""))</f>
        <v/>
      </c>
      <c r="G177" s="9"/>
      <c r="H177" s="9"/>
      <c r="I177" s="9"/>
      <c r="J177" s="7"/>
      <c r="K177" s="13" t="str">
        <f aca="false">IF(OR($G177="",$I177=""),"",ROUND($G177*$I177,0))</f>
        <v/>
      </c>
      <c r="L177" s="13" t="str">
        <f aca="false">IF($D177="","",IF($G177="",0,$G177)+IF($H177="",0,$H177))</f>
        <v/>
      </c>
      <c r="M177" s="7"/>
    </row>
    <row r="178" customFormat="false" ht="15" hidden="false" customHeight="true" outlineLevel="0" collapsed="false">
      <c r="A178" s="11"/>
      <c r="B178" s="7"/>
      <c r="C178" s="12" t="str">
        <f aca="false">IF($B178="","",IFERROR(INDEX(거래처마스터!$B$3:$B$102,MATCH($B178,거래처마스터!$A$3:$A$102,0)),"미등록"))</f>
        <v/>
      </c>
      <c r="D178" s="7"/>
      <c r="E178" s="12" t="str">
        <f aca="false">IF($D178="","",IFERROR(INDEX(품목마스터!$B$3:$B$202,MATCH($D178,품목마스터!$A$3:$A$202,0)),"미등록품번"))</f>
        <v/>
      </c>
      <c r="F178" s="12" t="str">
        <f aca="false">IF($D178="","",IFERROR(INDEX(품목마스터!$D$3:$D$202,MATCH($D178,품목마스터!$A$3:$A$202,0)),""))</f>
        <v/>
      </c>
      <c r="G178" s="9"/>
      <c r="H178" s="9"/>
      <c r="I178" s="9"/>
      <c r="J178" s="7"/>
      <c r="K178" s="13" t="str">
        <f aca="false">IF(OR($G178="",$I178=""),"",ROUND($G178*$I178,0))</f>
        <v/>
      </c>
      <c r="L178" s="13" t="str">
        <f aca="false">IF($D178="","",IF($G178="",0,$G178)+IF($H178="",0,$H178))</f>
        <v/>
      </c>
      <c r="M178" s="7"/>
    </row>
    <row r="179" customFormat="false" ht="15" hidden="false" customHeight="true" outlineLevel="0" collapsed="false">
      <c r="A179" s="11"/>
      <c r="B179" s="7"/>
      <c r="C179" s="12" t="str">
        <f aca="false">IF($B179="","",IFERROR(INDEX(거래처마스터!$B$3:$B$102,MATCH($B179,거래처마스터!$A$3:$A$102,0)),"미등록"))</f>
        <v/>
      </c>
      <c r="D179" s="7"/>
      <c r="E179" s="12" t="str">
        <f aca="false">IF($D179="","",IFERROR(INDEX(품목마스터!$B$3:$B$202,MATCH($D179,품목마스터!$A$3:$A$202,0)),"미등록품번"))</f>
        <v/>
      </c>
      <c r="F179" s="12" t="str">
        <f aca="false">IF($D179="","",IFERROR(INDEX(품목마스터!$D$3:$D$202,MATCH($D179,품목마스터!$A$3:$A$202,0)),""))</f>
        <v/>
      </c>
      <c r="G179" s="9"/>
      <c r="H179" s="9"/>
      <c r="I179" s="9"/>
      <c r="J179" s="7"/>
      <c r="K179" s="13" t="str">
        <f aca="false">IF(OR($G179="",$I179=""),"",ROUND($G179*$I179,0))</f>
        <v/>
      </c>
      <c r="L179" s="13" t="str">
        <f aca="false">IF($D179="","",IF($G179="",0,$G179)+IF($H179="",0,$H179))</f>
        <v/>
      </c>
      <c r="M179" s="7"/>
    </row>
    <row r="180" customFormat="false" ht="15" hidden="false" customHeight="true" outlineLevel="0" collapsed="false">
      <c r="A180" s="11"/>
      <c r="B180" s="7"/>
      <c r="C180" s="12" t="str">
        <f aca="false">IF($B180="","",IFERROR(INDEX(거래처마스터!$B$3:$B$102,MATCH($B180,거래처마스터!$A$3:$A$102,0)),"미등록"))</f>
        <v/>
      </c>
      <c r="D180" s="7"/>
      <c r="E180" s="12" t="str">
        <f aca="false">IF($D180="","",IFERROR(INDEX(품목마스터!$B$3:$B$202,MATCH($D180,품목마스터!$A$3:$A$202,0)),"미등록품번"))</f>
        <v/>
      </c>
      <c r="F180" s="12" t="str">
        <f aca="false">IF($D180="","",IFERROR(INDEX(품목마스터!$D$3:$D$202,MATCH($D180,품목마스터!$A$3:$A$202,0)),""))</f>
        <v/>
      </c>
      <c r="G180" s="9"/>
      <c r="H180" s="9"/>
      <c r="I180" s="9"/>
      <c r="J180" s="7"/>
      <c r="K180" s="13" t="str">
        <f aca="false">IF(OR($G180="",$I180=""),"",ROUND($G180*$I180,0))</f>
        <v/>
      </c>
      <c r="L180" s="13" t="str">
        <f aca="false">IF($D180="","",IF($G180="",0,$G180)+IF($H180="",0,$H180))</f>
        <v/>
      </c>
      <c r="M180" s="7"/>
    </row>
    <row r="181" customFormat="false" ht="15" hidden="false" customHeight="true" outlineLevel="0" collapsed="false">
      <c r="A181" s="11"/>
      <c r="B181" s="7"/>
      <c r="C181" s="12" t="str">
        <f aca="false">IF($B181="","",IFERROR(INDEX(거래처마스터!$B$3:$B$102,MATCH($B181,거래처마스터!$A$3:$A$102,0)),"미등록"))</f>
        <v/>
      </c>
      <c r="D181" s="7"/>
      <c r="E181" s="12" t="str">
        <f aca="false">IF($D181="","",IFERROR(INDEX(품목마스터!$B$3:$B$202,MATCH($D181,품목마스터!$A$3:$A$202,0)),"미등록품번"))</f>
        <v/>
      </c>
      <c r="F181" s="12" t="str">
        <f aca="false">IF($D181="","",IFERROR(INDEX(품목마스터!$D$3:$D$202,MATCH($D181,품목마스터!$A$3:$A$202,0)),""))</f>
        <v/>
      </c>
      <c r="G181" s="9"/>
      <c r="H181" s="9"/>
      <c r="I181" s="9"/>
      <c r="J181" s="7"/>
      <c r="K181" s="13" t="str">
        <f aca="false">IF(OR($G181="",$I181=""),"",ROUND($G181*$I181,0))</f>
        <v/>
      </c>
      <c r="L181" s="13" t="str">
        <f aca="false">IF($D181="","",IF($G181="",0,$G181)+IF($H181="",0,$H181))</f>
        <v/>
      </c>
      <c r="M181" s="7"/>
    </row>
    <row r="182" customFormat="false" ht="15" hidden="false" customHeight="true" outlineLevel="0" collapsed="false">
      <c r="A182" s="11"/>
      <c r="B182" s="7"/>
      <c r="C182" s="12" t="str">
        <f aca="false">IF($B182="","",IFERROR(INDEX(거래처마스터!$B$3:$B$102,MATCH($B182,거래처마스터!$A$3:$A$102,0)),"미등록"))</f>
        <v/>
      </c>
      <c r="D182" s="7"/>
      <c r="E182" s="12" t="str">
        <f aca="false">IF($D182="","",IFERROR(INDEX(품목마스터!$B$3:$B$202,MATCH($D182,품목마스터!$A$3:$A$202,0)),"미등록품번"))</f>
        <v/>
      </c>
      <c r="F182" s="12" t="str">
        <f aca="false">IF($D182="","",IFERROR(INDEX(품목마스터!$D$3:$D$202,MATCH($D182,품목마스터!$A$3:$A$202,0)),""))</f>
        <v/>
      </c>
      <c r="G182" s="9"/>
      <c r="H182" s="9"/>
      <c r="I182" s="9"/>
      <c r="J182" s="7"/>
      <c r="K182" s="13" t="str">
        <f aca="false">IF(OR($G182="",$I182=""),"",ROUND($G182*$I182,0))</f>
        <v/>
      </c>
      <c r="L182" s="13" t="str">
        <f aca="false">IF($D182="","",IF($G182="",0,$G182)+IF($H182="",0,$H182))</f>
        <v/>
      </c>
      <c r="M182" s="7"/>
    </row>
    <row r="183" customFormat="false" ht="15" hidden="false" customHeight="true" outlineLevel="0" collapsed="false">
      <c r="A183" s="11"/>
      <c r="B183" s="7"/>
      <c r="C183" s="12" t="str">
        <f aca="false">IF($B183="","",IFERROR(INDEX(거래처마스터!$B$3:$B$102,MATCH($B183,거래처마스터!$A$3:$A$102,0)),"미등록"))</f>
        <v/>
      </c>
      <c r="D183" s="7"/>
      <c r="E183" s="12" t="str">
        <f aca="false">IF($D183="","",IFERROR(INDEX(품목마스터!$B$3:$B$202,MATCH($D183,품목마스터!$A$3:$A$202,0)),"미등록품번"))</f>
        <v/>
      </c>
      <c r="F183" s="12" t="str">
        <f aca="false">IF($D183="","",IFERROR(INDEX(품목마스터!$D$3:$D$202,MATCH($D183,품목마스터!$A$3:$A$202,0)),""))</f>
        <v/>
      </c>
      <c r="G183" s="9"/>
      <c r="H183" s="9"/>
      <c r="I183" s="9"/>
      <c r="J183" s="7"/>
      <c r="K183" s="13" t="str">
        <f aca="false">IF(OR($G183="",$I183=""),"",ROUND($G183*$I183,0))</f>
        <v/>
      </c>
      <c r="L183" s="13" t="str">
        <f aca="false">IF($D183="","",IF($G183="",0,$G183)+IF($H183="",0,$H183))</f>
        <v/>
      </c>
      <c r="M183" s="7"/>
    </row>
    <row r="184" customFormat="false" ht="15" hidden="false" customHeight="true" outlineLevel="0" collapsed="false">
      <c r="A184" s="11"/>
      <c r="B184" s="7"/>
      <c r="C184" s="12" t="str">
        <f aca="false">IF($B184="","",IFERROR(INDEX(거래처마스터!$B$3:$B$102,MATCH($B184,거래처마스터!$A$3:$A$102,0)),"미등록"))</f>
        <v/>
      </c>
      <c r="D184" s="7"/>
      <c r="E184" s="12" t="str">
        <f aca="false">IF($D184="","",IFERROR(INDEX(품목마스터!$B$3:$B$202,MATCH($D184,품목마스터!$A$3:$A$202,0)),"미등록품번"))</f>
        <v/>
      </c>
      <c r="F184" s="12" t="str">
        <f aca="false">IF($D184="","",IFERROR(INDEX(품목마스터!$D$3:$D$202,MATCH($D184,품목마스터!$A$3:$A$202,0)),""))</f>
        <v/>
      </c>
      <c r="G184" s="9"/>
      <c r="H184" s="9"/>
      <c r="I184" s="9"/>
      <c r="J184" s="7"/>
      <c r="K184" s="13" t="str">
        <f aca="false">IF(OR($G184="",$I184=""),"",ROUND($G184*$I184,0))</f>
        <v/>
      </c>
      <c r="L184" s="13" t="str">
        <f aca="false">IF($D184="","",IF($G184="",0,$G184)+IF($H184="",0,$H184))</f>
        <v/>
      </c>
      <c r="M184" s="7"/>
    </row>
    <row r="185" customFormat="false" ht="15" hidden="false" customHeight="true" outlineLevel="0" collapsed="false">
      <c r="A185" s="11"/>
      <c r="B185" s="7"/>
      <c r="C185" s="12" t="str">
        <f aca="false">IF($B185="","",IFERROR(INDEX(거래처마스터!$B$3:$B$102,MATCH($B185,거래처마스터!$A$3:$A$102,0)),"미등록"))</f>
        <v/>
      </c>
      <c r="D185" s="7"/>
      <c r="E185" s="12" t="str">
        <f aca="false">IF($D185="","",IFERROR(INDEX(품목마스터!$B$3:$B$202,MATCH($D185,품목마스터!$A$3:$A$202,0)),"미등록품번"))</f>
        <v/>
      </c>
      <c r="F185" s="12" t="str">
        <f aca="false">IF($D185="","",IFERROR(INDEX(품목마스터!$D$3:$D$202,MATCH($D185,품목마스터!$A$3:$A$202,0)),""))</f>
        <v/>
      </c>
      <c r="G185" s="9"/>
      <c r="H185" s="9"/>
      <c r="I185" s="9"/>
      <c r="J185" s="7"/>
      <c r="K185" s="13" t="str">
        <f aca="false">IF(OR($G185="",$I185=""),"",ROUND($G185*$I185,0))</f>
        <v/>
      </c>
      <c r="L185" s="13" t="str">
        <f aca="false">IF($D185="","",IF($G185="",0,$G185)+IF($H185="",0,$H185))</f>
        <v/>
      </c>
      <c r="M185" s="7"/>
    </row>
    <row r="186" customFormat="false" ht="15" hidden="false" customHeight="true" outlineLevel="0" collapsed="false">
      <c r="A186" s="11"/>
      <c r="B186" s="7"/>
      <c r="C186" s="12" t="str">
        <f aca="false">IF($B186="","",IFERROR(INDEX(거래처마스터!$B$3:$B$102,MATCH($B186,거래처마스터!$A$3:$A$102,0)),"미등록"))</f>
        <v/>
      </c>
      <c r="D186" s="7"/>
      <c r="E186" s="12" t="str">
        <f aca="false">IF($D186="","",IFERROR(INDEX(품목마스터!$B$3:$B$202,MATCH($D186,품목마스터!$A$3:$A$202,0)),"미등록품번"))</f>
        <v/>
      </c>
      <c r="F186" s="12" t="str">
        <f aca="false">IF($D186="","",IFERROR(INDEX(품목마스터!$D$3:$D$202,MATCH($D186,품목마스터!$A$3:$A$202,0)),""))</f>
        <v/>
      </c>
      <c r="G186" s="9"/>
      <c r="H186" s="9"/>
      <c r="I186" s="9"/>
      <c r="J186" s="7"/>
      <c r="K186" s="13" t="str">
        <f aca="false">IF(OR($G186="",$I186=""),"",ROUND($G186*$I186,0))</f>
        <v/>
      </c>
      <c r="L186" s="13" t="str">
        <f aca="false">IF($D186="","",IF($G186="",0,$G186)+IF($H186="",0,$H186))</f>
        <v/>
      </c>
      <c r="M186" s="7"/>
    </row>
    <row r="187" customFormat="false" ht="15" hidden="false" customHeight="true" outlineLevel="0" collapsed="false">
      <c r="A187" s="11"/>
      <c r="B187" s="7"/>
      <c r="C187" s="12" t="str">
        <f aca="false">IF($B187="","",IFERROR(INDEX(거래처마스터!$B$3:$B$102,MATCH($B187,거래처마스터!$A$3:$A$102,0)),"미등록"))</f>
        <v/>
      </c>
      <c r="D187" s="7"/>
      <c r="E187" s="12" t="str">
        <f aca="false">IF($D187="","",IFERROR(INDEX(품목마스터!$B$3:$B$202,MATCH($D187,품목마스터!$A$3:$A$202,0)),"미등록품번"))</f>
        <v/>
      </c>
      <c r="F187" s="12" t="str">
        <f aca="false">IF($D187="","",IFERROR(INDEX(품목마스터!$D$3:$D$202,MATCH($D187,품목마스터!$A$3:$A$202,0)),""))</f>
        <v/>
      </c>
      <c r="G187" s="9"/>
      <c r="H187" s="9"/>
      <c r="I187" s="9"/>
      <c r="J187" s="7"/>
      <c r="K187" s="13" t="str">
        <f aca="false">IF(OR($G187="",$I187=""),"",ROUND($G187*$I187,0))</f>
        <v/>
      </c>
      <c r="L187" s="13" t="str">
        <f aca="false">IF($D187="","",IF($G187="",0,$G187)+IF($H187="",0,$H187))</f>
        <v/>
      </c>
      <c r="M187" s="7"/>
    </row>
    <row r="188" customFormat="false" ht="15" hidden="false" customHeight="true" outlineLevel="0" collapsed="false">
      <c r="A188" s="11"/>
      <c r="B188" s="7"/>
      <c r="C188" s="12" t="str">
        <f aca="false">IF($B188="","",IFERROR(INDEX(거래처마스터!$B$3:$B$102,MATCH($B188,거래처마스터!$A$3:$A$102,0)),"미등록"))</f>
        <v/>
      </c>
      <c r="D188" s="7"/>
      <c r="E188" s="12" t="str">
        <f aca="false">IF($D188="","",IFERROR(INDEX(품목마스터!$B$3:$B$202,MATCH($D188,품목마스터!$A$3:$A$202,0)),"미등록품번"))</f>
        <v/>
      </c>
      <c r="F188" s="12" t="str">
        <f aca="false">IF($D188="","",IFERROR(INDEX(품목마스터!$D$3:$D$202,MATCH($D188,품목마스터!$A$3:$A$202,0)),""))</f>
        <v/>
      </c>
      <c r="G188" s="9"/>
      <c r="H188" s="9"/>
      <c r="I188" s="9"/>
      <c r="J188" s="7"/>
      <c r="K188" s="13" t="str">
        <f aca="false">IF(OR($G188="",$I188=""),"",ROUND($G188*$I188,0))</f>
        <v/>
      </c>
      <c r="L188" s="13" t="str">
        <f aca="false">IF($D188="","",IF($G188="",0,$G188)+IF($H188="",0,$H188))</f>
        <v/>
      </c>
      <c r="M188" s="7"/>
    </row>
    <row r="189" customFormat="false" ht="15" hidden="false" customHeight="true" outlineLevel="0" collapsed="false">
      <c r="A189" s="11"/>
      <c r="B189" s="7"/>
      <c r="C189" s="12" t="str">
        <f aca="false">IF($B189="","",IFERROR(INDEX(거래처마스터!$B$3:$B$102,MATCH($B189,거래처마스터!$A$3:$A$102,0)),"미등록"))</f>
        <v/>
      </c>
      <c r="D189" s="7"/>
      <c r="E189" s="12" t="str">
        <f aca="false">IF($D189="","",IFERROR(INDEX(품목마스터!$B$3:$B$202,MATCH($D189,품목마스터!$A$3:$A$202,0)),"미등록품번"))</f>
        <v/>
      </c>
      <c r="F189" s="12" t="str">
        <f aca="false">IF($D189="","",IFERROR(INDEX(품목마스터!$D$3:$D$202,MATCH($D189,품목마스터!$A$3:$A$202,0)),""))</f>
        <v/>
      </c>
      <c r="G189" s="9"/>
      <c r="H189" s="9"/>
      <c r="I189" s="9"/>
      <c r="J189" s="7"/>
      <c r="K189" s="13" t="str">
        <f aca="false">IF(OR($G189="",$I189=""),"",ROUND($G189*$I189,0))</f>
        <v/>
      </c>
      <c r="L189" s="13" t="str">
        <f aca="false">IF($D189="","",IF($G189="",0,$G189)+IF($H189="",0,$H189))</f>
        <v/>
      </c>
      <c r="M189" s="7"/>
    </row>
    <row r="190" customFormat="false" ht="15" hidden="false" customHeight="true" outlineLevel="0" collapsed="false">
      <c r="A190" s="11"/>
      <c r="B190" s="7"/>
      <c r="C190" s="12" t="str">
        <f aca="false">IF($B190="","",IFERROR(INDEX(거래처마스터!$B$3:$B$102,MATCH($B190,거래처마스터!$A$3:$A$102,0)),"미등록"))</f>
        <v/>
      </c>
      <c r="D190" s="7"/>
      <c r="E190" s="12" t="str">
        <f aca="false">IF($D190="","",IFERROR(INDEX(품목마스터!$B$3:$B$202,MATCH($D190,품목마스터!$A$3:$A$202,0)),"미등록품번"))</f>
        <v/>
      </c>
      <c r="F190" s="12" t="str">
        <f aca="false">IF($D190="","",IFERROR(INDEX(품목마스터!$D$3:$D$202,MATCH($D190,품목마스터!$A$3:$A$202,0)),""))</f>
        <v/>
      </c>
      <c r="G190" s="9"/>
      <c r="H190" s="9"/>
      <c r="I190" s="9"/>
      <c r="J190" s="7"/>
      <c r="K190" s="13" t="str">
        <f aca="false">IF(OR($G190="",$I190=""),"",ROUND($G190*$I190,0))</f>
        <v/>
      </c>
      <c r="L190" s="13" t="str">
        <f aca="false">IF($D190="","",IF($G190="",0,$G190)+IF($H190="",0,$H190))</f>
        <v/>
      </c>
      <c r="M190" s="7"/>
    </row>
    <row r="191" customFormat="false" ht="15" hidden="false" customHeight="true" outlineLevel="0" collapsed="false">
      <c r="A191" s="11"/>
      <c r="B191" s="7"/>
      <c r="C191" s="12" t="str">
        <f aca="false">IF($B191="","",IFERROR(INDEX(거래처마스터!$B$3:$B$102,MATCH($B191,거래처마스터!$A$3:$A$102,0)),"미등록"))</f>
        <v/>
      </c>
      <c r="D191" s="7"/>
      <c r="E191" s="12" t="str">
        <f aca="false">IF($D191="","",IFERROR(INDEX(품목마스터!$B$3:$B$202,MATCH($D191,품목마스터!$A$3:$A$202,0)),"미등록품번"))</f>
        <v/>
      </c>
      <c r="F191" s="12" t="str">
        <f aca="false">IF($D191="","",IFERROR(INDEX(품목마스터!$D$3:$D$202,MATCH($D191,품목마스터!$A$3:$A$202,0)),""))</f>
        <v/>
      </c>
      <c r="G191" s="9"/>
      <c r="H191" s="9"/>
      <c r="I191" s="9"/>
      <c r="J191" s="7"/>
      <c r="K191" s="13" t="str">
        <f aca="false">IF(OR($G191="",$I191=""),"",ROUND($G191*$I191,0))</f>
        <v/>
      </c>
      <c r="L191" s="13" t="str">
        <f aca="false">IF($D191="","",IF($G191="",0,$G191)+IF($H191="",0,$H191))</f>
        <v/>
      </c>
      <c r="M191" s="7"/>
    </row>
    <row r="192" customFormat="false" ht="15" hidden="false" customHeight="true" outlineLevel="0" collapsed="false">
      <c r="A192" s="11"/>
      <c r="B192" s="7"/>
      <c r="C192" s="12" t="str">
        <f aca="false">IF($B192="","",IFERROR(INDEX(거래처마스터!$B$3:$B$102,MATCH($B192,거래처마스터!$A$3:$A$102,0)),"미등록"))</f>
        <v/>
      </c>
      <c r="D192" s="7"/>
      <c r="E192" s="12" t="str">
        <f aca="false">IF($D192="","",IFERROR(INDEX(품목마스터!$B$3:$B$202,MATCH($D192,품목마스터!$A$3:$A$202,0)),"미등록품번"))</f>
        <v/>
      </c>
      <c r="F192" s="12" t="str">
        <f aca="false">IF($D192="","",IFERROR(INDEX(품목마스터!$D$3:$D$202,MATCH($D192,품목마스터!$A$3:$A$202,0)),""))</f>
        <v/>
      </c>
      <c r="G192" s="9"/>
      <c r="H192" s="9"/>
      <c r="I192" s="9"/>
      <c r="J192" s="7"/>
      <c r="K192" s="13" t="str">
        <f aca="false">IF(OR($G192="",$I192=""),"",ROUND($G192*$I192,0))</f>
        <v/>
      </c>
      <c r="L192" s="13" t="str">
        <f aca="false">IF($D192="","",IF($G192="",0,$G192)+IF($H192="",0,$H192))</f>
        <v/>
      </c>
      <c r="M192" s="7"/>
    </row>
    <row r="193" customFormat="false" ht="15" hidden="false" customHeight="true" outlineLevel="0" collapsed="false">
      <c r="A193" s="11"/>
      <c r="B193" s="7"/>
      <c r="C193" s="12" t="str">
        <f aca="false">IF($B193="","",IFERROR(INDEX(거래처마스터!$B$3:$B$102,MATCH($B193,거래처마스터!$A$3:$A$102,0)),"미등록"))</f>
        <v/>
      </c>
      <c r="D193" s="7"/>
      <c r="E193" s="12" t="str">
        <f aca="false">IF($D193="","",IFERROR(INDEX(품목마스터!$B$3:$B$202,MATCH($D193,품목마스터!$A$3:$A$202,0)),"미등록품번"))</f>
        <v/>
      </c>
      <c r="F193" s="12" t="str">
        <f aca="false">IF($D193="","",IFERROR(INDEX(품목마스터!$D$3:$D$202,MATCH($D193,품목마스터!$A$3:$A$202,0)),""))</f>
        <v/>
      </c>
      <c r="G193" s="9"/>
      <c r="H193" s="9"/>
      <c r="I193" s="9"/>
      <c r="J193" s="7"/>
      <c r="K193" s="13" t="str">
        <f aca="false">IF(OR($G193="",$I193=""),"",ROUND($G193*$I193,0))</f>
        <v/>
      </c>
      <c r="L193" s="13" t="str">
        <f aca="false">IF($D193="","",IF($G193="",0,$G193)+IF($H193="",0,$H193))</f>
        <v/>
      </c>
      <c r="M193" s="7"/>
    </row>
    <row r="194" customFormat="false" ht="15" hidden="false" customHeight="true" outlineLevel="0" collapsed="false">
      <c r="A194" s="11"/>
      <c r="B194" s="7"/>
      <c r="C194" s="12" t="str">
        <f aca="false">IF($B194="","",IFERROR(INDEX(거래처마스터!$B$3:$B$102,MATCH($B194,거래처마스터!$A$3:$A$102,0)),"미등록"))</f>
        <v/>
      </c>
      <c r="D194" s="7"/>
      <c r="E194" s="12" t="str">
        <f aca="false">IF($D194="","",IFERROR(INDEX(품목마스터!$B$3:$B$202,MATCH($D194,품목마스터!$A$3:$A$202,0)),"미등록품번"))</f>
        <v/>
      </c>
      <c r="F194" s="12" t="str">
        <f aca="false">IF($D194="","",IFERROR(INDEX(품목마스터!$D$3:$D$202,MATCH($D194,품목마스터!$A$3:$A$202,0)),""))</f>
        <v/>
      </c>
      <c r="G194" s="9"/>
      <c r="H194" s="9"/>
      <c r="I194" s="9"/>
      <c r="J194" s="7"/>
      <c r="K194" s="13" t="str">
        <f aca="false">IF(OR($G194="",$I194=""),"",ROUND($G194*$I194,0))</f>
        <v/>
      </c>
      <c r="L194" s="13" t="str">
        <f aca="false">IF($D194="","",IF($G194="",0,$G194)+IF($H194="",0,$H194))</f>
        <v/>
      </c>
      <c r="M194" s="7"/>
    </row>
    <row r="195" customFormat="false" ht="15" hidden="false" customHeight="true" outlineLevel="0" collapsed="false">
      <c r="A195" s="11"/>
      <c r="B195" s="7"/>
      <c r="C195" s="12" t="str">
        <f aca="false">IF($B195="","",IFERROR(INDEX(거래처마스터!$B$3:$B$102,MATCH($B195,거래처마스터!$A$3:$A$102,0)),"미등록"))</f>
        <v/>
      </c>
      <c r="D195" s="7"/>
      <c r="E195" s="12" t="str">
        <f aca="false">IF($D195="","",IFERROR(INDEX(품목마스터!$B$3:$B$202,MATCH($D195,품목마스터!$A$3:$A$202,0)),"미등록품번"))</f>
        <v/>
      </c>
      <c r="F195" s="12" t="str">
        <f aca="false">IF($D195="","",IFERROR(INDEX(품목마스터!$D$3:$D$202,MATCH($D195,품목마스터!$A$3:$A$202,0)),""))</f>
        <v/>
      </c>
      <c r="G195" s="9"/>
      <c r="H195" s="9"/>
      <c r="I195" s="9"/>
      <c r="J195" s="7"/>
      <c r="K195" s="13" t="str">
        <f aca="false">IF(OR($G195="",$I195=""),"",ROUND($G195*$I195,0))</f>
        <v/>
      </c>
      <c r="L195" s="13" t="str">
        <f aca="false">IF($D195="","",IF($G195="",0,$G195)+IF($H195="",0,$H195))</f>
        <v/>
      </c>
      <c r="M195" s="7"/>
    </row>
    <row r="196" customFormat="false" ht="15" hidden="false" customHeight="true" outlineLevel="0" collapsed="false">
      <c r="A196" s="11"/>
      <c r="B196" s="7"/>
      <c r="C196" s="12" t="str">
        <f aca="false">IF($B196="","",IFERROR(INDEX(거래처마스터!$B$3:$B$102,MATCH($B196,거래처마스터!$A$3:$A$102,0)),"미등록"))</f>
        <v/>
      </c>
      <c r="D196" s="7"/>
      <c r="E196" s="12" t="str">
        <f aca="false">IF($D196="","",IFERROR(INDEX(품목마스터!$B$3:$B$202,MATCH($D196,품목마스터!$A$3:$A$202,0)),"미등록품번"))</f>
        <v/>
      </c>
      <c r="F196" s="12" t="str">
        <f aca="false">IF($D196="","",IFERROR(INDEX(품목마스터!$D$3:$D$202,MATCH($D196,품목마스터!$A$3:$A$202,0)),""))</f>
        <v/>
      </c>
      <c r="G196" s="9"/>
      <c r="H196" s="9"/>
      <c r="I196" s="9"/>
      <c r="J196" s="7"/>
      <c r="K196" s="13" t="str">
        <f aca="false">IF(OR($G196="",$I196=""),"",ROUND($G196*$I196,0))</f>
        <v/>
      </c>
      <c r="L196" s="13" t="str">
        <f aca="false">IF($D196="","",IF($G196="",0,$G196)+IF($H196="",0,$H196))</f>
        <v/>
      </c>
      <c r="M196" s="7"/>
    </row>
    <row r="197" customFormat="false" ht="15" hidden="false" customHeight="true" outlineLevel="0" collapsed="false">
      <c r="A197" s="11"/>
      <c r="B197" s="7"/>
      <c r="C197" s="12" t="str">
        <f aca="false">IF($B197="","",IFERROR(INDEX(거래처마스터!$B$3:$B$102,MATCH($B197,거래처마스터!$A$3:$A$102,0)),"미등록"))</f>
        <v/>
      </c>
      <c r="D197" s="7"/>
      <c r="E197" s="12" t="str">
        <f aca="false">IF($D197="","",IFERROR(INDEX(품목마스터!$B$3:$B$202,MATCH($D197,품목마스터!$A$3:$A$202,0)),"미등록품번"))</f>
        <v/>
      </c>
      <c r="F197" s="12" t="str">
        <f aca="false">IF($D197="","",IFERROR(INDEX(품목마스터!$D$3:$D$202,MATCH($D197,품목마스터!$A$3:$A$202,0)),""))</f>
        <v/>
      </c>
      <c r="G197" s="9"/>
      <c r="H197" s="9"/>
      <c r="I197" s="9"/>
      <c r="J197" s="7"/>
      <c r="K197" s="13" t="str">
        <f aca="false">IF(OR($G197="",$I197=""),"",ROUND($G197*$I197,0))</f>
        <v/>
      </c>
      <c r="L197" s="13" t="str">
        <f aca="false">IF($D197="","",IF($G197="",0,$G197)+IF($H197="",0,$H197))</f>
        <v/>
      </c>
      <c r="M197" s="7"/>
    </row>
    <row r="198" customFormat="false" ht="15" hidden="false" customHeight="true" outlineLevel="0" collapsed="false">
      <c r="A198" s="11"/>
      <c r="B198" s="7"/>
      <c r="C198" s="12" t="str">
        <f aca="false">IF($B198="","",IFERROR(INDEX(거래처마스터!$B$3:$B$102,MATCH($B198,거래처마스터!$A$3:$A$102,0)),"미등록"))</f>
        <v/>
      </c>
      <c r="D198" s="7"/>
      <c r="E198" s="12" t="str">
        <f aca="false">IF($D198="","",IFERROR(INDEX(품목마스터!$B$3:$B$202,MATCH($D198,품목마스터!$A$3:$A$202,0)),"미등록품번"))</f>
        <v/>
      </c>
      <c r="F198" s="12" t="str">
        <f aca="false">IF($D198="","",IFERROR(INDEX(품목마스터!$D$3:$D$202,MATCH($D198,품목마스터!$A$3:$A$202,0)),""))</f>
        <v/>
      </c>
      <c r="G198" s="9"/>
      <c r="H198" s="9"/>
      <c r="I198" s="9"/>
      <c r="J198" s="7"/>
      <c r="K198" s="13" t="str">
        <f aca="false">IF(OR($G198="",$I198=""),"",ROUND($G198*$I198,0))</f>
        <v/>
      </c>
      <c r="L198" s="13" t="str">
        <f aca="false">IF($D198="","",IF($G198="",0,$G198)+IF($H198="",0,$H198))</f>
        <v/>
      </c>
      <c r="M198" s="7"/>
    </row>
    <row r="199" customFormat="false" ht="15" hidden="false" customHeight="true" outlineLevel="0" collapsed="false">
      <c r="A199" s="11"/>
      <c r="B199" s="7"/>
      <c r="C199" s="12" t="str">
        <f aca="false">IF($B199="","",IFERROR(INDEX(거래처마스터!$B$3:$B$102,MATCH($B199,거래처마스터!$A$3:$A$102,0)),"미등록"))</f>
        <v/>
      </c>
      <c r="D199" s="7"/>
      <c r="E199" s="12" t="str">
        <f aca="false">IF($D199="","",IFERROR(INDEX(품목마스터!$B$3:$B$202,MATCH($D199,품목마스터!$A$3:$A$202,0)),"미등록품번"))</f>
        <v/>
      </c>
      <c r="F199" s="12" t="str">
        <f aca="false">IF($D199="","",IFERROR(INDEX(품목마스터!$D$3:$D$202,MATCH($D199,품목마스터!$A$3:$A$202,0)),""))</f>
        <v/>
      </c>
      <c r="G199" s="9"/>
      <c r="H199" s="9"/>
      <c r="I199" s="9"/>
      <c r="J199" s="7"/>
      <c r="K199" s="13" t="str">
        <f aca="false">IF(OR($G199="",$I199=""),"",ROUND($G199*$I199,0))</f>
        <v/>
      </c>
      <c r="L199" s="13" t="str">
        <f aca="false">IF($D199="","",IF($G199="",0,$G199)+IF($H199="",0,$H199))</f>
        <v/>
      </c>
      <c r="M199" s="7"/>
    </row>
    <row r="200" customFormat="false" ht="15" hidden="false" customHeight="true" outlineLevel="0" collapsed="false">
      <c r="A200" s="11"/>
      <c r="B200" s="7"/>
      <c r="C200" s="12" t="str">
        <f aca="false">IF($B200="","",IFERROR(INDEX(거래처마스터!$B$3:$B$102,MATCH($B200,거래처마스터!$A$3:$A$102,0)),"미등록"))</f>
        <v/>
      </c>
      <c r="D200" s="7"/>
      <c r="E200" s="12" t="str">
        <f aca="false">IF($D200="","",IFERROR(INDEX(품목마스터!$B$3:$B$202,MATCH($D200,품목마스터!$A$3:$A$202,0)),"미등록품번"))</f>
        <v/>
      </c>
      <c r="F200" s="12" t="str">
        <f aca="false">IF($D200="","",IFERROR(INDEX(품목마스터!$D$3:$D$202,MATCH($D200,품목마스터!$A$3:$A$202,0)),""))</f>
        <v/>
      </c>
      <c r="G200" s="9"/>
      <c r="H200" s="9"/>
      <c r="I200" s="9"/>
      <c r="J200" s="7"/>
      <c r="K200" s="13" t="str">
        <f aca="false">IF(OR($G200="",$I200=""),"",ROUND($G200*$I200,0))</f>
        <v/>
      </c>
      <c r="L200" s="13" t="str">
        <f aca="false">IF($D200="","",IF($G200="",0,$G200)+IF($H200="",0,$H200))</f>
        <v/>
      </c>
      <c r="M200" s="7"/>
    </row>
    <row r="201" customFormat="false" ht="15" hidden="false" customHeight="true" outlineLevel="0" collapsed="false">
      <c r="A201" s="11"/>
      <c r="B201" s="7"/>
      <c r="C201" s="12" t="str">
        <f aca="false">IF($B201="","",IFERROR(INDEX(거래처마스터!$B$3:$B$102,MATCH($B201,거래처마스터!$A$3:$A$102,0)),"미등록"))</f>
        <v/>
      </c>
      <c r="D201" s="7"/>
      <c r="E201" s="12" t="str">
        <f aca="false">IF($D201="","",IFERROR(INDEX(품목마스터!$B$3:$B$202,MATCH($D201,품목마스터!$A$3:$A$202,0)),"미등록품번"))</f>
        <v/>
      </c>
      <c r="F201" s="12" t="str">
        <f aca="false">IF($D201="","",IFERROR(INDEX(품목마스터!$D$3:$D$202,MATCH($D201,품목마스터!$A$3:$A$202,0)),""))</f>
        <v/>
      </c>
      <c r="G201" s="9"/>
      <c r="H201" s="9"/>
      <c r="I201" s="9"/>
      <c r="J201" s="7"/>
      <c r="K201" s="13" t="str">
        <f aca="false">IF(OR($G201="",$I201=""),"",ROUND($G201*$I201,0))</f>
        <v/>
      </c>
      <c r="L201" s="13" t="str">
        <f aca="false">IF($D201="","",IF($G201="",0,$G201)+IF($H201="",0,$H201))</f>
        <v/>
      </c>
      <c r="M201" s="7"/>
    </row>
    <row r="202" customFormat="false" ht="15" hidden="false" customHeight="true" outlineLevel="0" collapsed="false">
      <c r="A202" s="11"/>
      <c r="B202" s="7"/>
      <c r="C202" s="12" t="str">
        <f aca="false">IF($B202="","",IFERROR(INDEX(거래처마스터!$B$3:$B$102,MATCH($B202,거래처마스터!$A$3:$A$102,0)),"미등록"))</f>
        <v/>
      </c>
      <c r="D202" s="7"/>
      <c r="E202" s="12" t="str">
        <f aca="false">IF($D202="","",IFERROR(INDEX(품목마스터!$B$3:$B$202,MATCH($D202,품목마스터!$A$3:$A$202,0)),"미등록품번"))</f>
        <v/>
      </c>
      <c r="F202" s="12" t="str">
        <f aca="false">IF($D202="","",IFERROR(INDEX(품목마스터!$D$3:$D$202,MATCH($D202,품목마스터!$A$3:$A$202,0)),""))</f>
        <v/>
      </c>
      <c r="G202" s="9"/>
      <c r="H202" s="9"/>
      <c r="I202" s="9"/>
      <c r="J202" s="7"/>
      <c r="K202" s="13" t="str">
        <f aca="false">IF(OR($G202="",$I202=""),"",ROUND($G202*$I202,0))</f>
        <v/>
      </c>
      <c r="L202" s="13" t="str">
        <f aca="false">IF($D202="","",IF($G202="",0,$G202)+IF($H202="",0,$H202))</f>
        <v/>
      </c>
      <c r="M202" s="7"/>
    </row>
    <row r="203" customFormat="false" ht="15" hidden="false" customHeight="true" outlineLevel="0" collapsed="false">
      <c r="A203" s="11"/>
      <c r="B203" s="7"/>
      <c r="C203" s="12" t="str">
        <f aca="false">IF($B203="","",IFERROR(INDEX(거래처마스터!$B$3:$B$102,MATCH($B203,거래처마스터!$A$3:$A$102,0)),"미등록"))</f>
        <v/>
      </c>
      <c r="D203" s="7"/>
      <c r="E203" s="12" t="str">
        <f aca="false">IF($D203="","",IFERROR(INDEX(품목마스터!$B$3:$B$202,MATCH($D203,품목마스터!$A$3:$A$202,0)),"미등록품번"))</f>
        <v/>
      </c>
      <c r="F203" s="12" t="str">
        <f aca="false">IF($D203="","",IFERROR(INDEX(품목마스터!$D$3:$D$202,MATCH($D203,품목마스터!$A$3:$A$202,0)),""))</f>
        <v/>
      </c>
      <c r="G203" s="9"/>
      <c r="H203" s="9"/>
      <c r="I203" s="9"/>
      <c r="J203" s="7"/>
      <c r="K203" s="13" t="str">
        <f aca="false">IF(OR($G203="",$I203=""),"",ROUND($G203*$I203,0))</f>
        <v/>
      </c>
      <c r="L203" s="13" t="str">
        <f aca="false">IF($D203="","",IF($G203="",0,$G203)+IF($H203="",0,$H203))</f>
        <v/>
      </c>
      <c r="M203" s="7"/>
    </row>
    <row r="204" customFormat="false" ht="15" hidden="false" customHeight="true" outlineLevel="0" collapsed="false">
      <c r="A204" s="11"/>
      <c r="B204" s="7"/>
      <c r="C204" s="12" t="str">
        <f aca="false">IF($B204="","",IFERROR(INDEX(거래처마스터!$B$3:$B$102,MATCH($B204,거래처마스터!$A$3:$A$102,0)),"미등록"))</f>
        <v/>
      </c>
      <c r="D204" s="7"/>
      <c r="E204" s="12" t="str">
        <f aca="false">IF($D204="","",IFERROR(INDEX(품목마스터!$B$3:$B$202,MATCH($D204,품목마스터!$A$3:$A$202,0)),"미등록품번"))</f>
        <v/>
      </c>
      <c r="F204" s="12" t="str">
        <f aca="false">IF($D204="","",IFERROR(INDEX(품목마스터!$D$3:$D$202,MATCH($D204,품목마스터!$A$3:$A$202,0)),""))</f>
        <v/>
      </c>
      <c r="G204" s="9"/>
      <c r="H204" s="9"/>
      <c r="I204" s="9"/>
      <c r="J204" s="7"/>
      <c r="K204" s="13" t="str">
        <f aca="false">IF(OR($G204="",$I204=""),"",ROUND($G204*$I204,0))</f>
        <v/>
      </c>
      <c r="L204" s="13" t="str">
        <f aca="false">IF($D204="","",IF($G204="",0,$G204)+IF($H204="",0,$H204))</f>
        <v/>
      </c>
      <c r="M204" s="7"/>
    </row>
    <row r="205" customFormat="false" ht="15" hidden="false" customHeight="true" outlineLevel="0" collapsed="false">
      <c r="A205" s="11"/>
      <c r="B205" s="7"/>
      <c r="C205" s="12" t="str">
        <f aca="false">IF($B205="","",IFERROR(INDEX(거래처마스터!$B$3:$B$102,MATCH($B205,거래처마스터!$A$3:$A$102,0)),"미등록"))</f>
        <v/>
      </c>
      <c r="D205" s="7"/>
      <c r="E205" s="12" t="str">
        <f aca="false">IF($D205="","",IFERROR(INDEX(품목마스터!$B$3:$B$202,MATCH($D205,품목마스터!$A$3:$A$202,0)),"미등록품번"))</f>
        <v/>
      </c>
      <c r="F205" s="12" t="str">
        <f aca="false">IF($D205="","",IFERROR(INDEX(품목마스터!$D$3:$D$202,MATCH($D205,품목마스터!$A$3:$A$202,0)),""))</f>
        <v/>
      </c>
      <c r="G205" s="9"/>
      <c r="H205" s="9"/>
      <c r="I205" s="9"/>
      <c r="J205" s="7"/>
      <c r="K205" s="13" t="str">
        <f aca="false">IF(OR($G205="",$I205=""),"",ROUND($G205*$I205,0))</f>
        <v/>
      </c>
      <c r="L205" s="13" t="str">
        <f aca="false">IF($D205="","",IF($G205="",0,$G205)+IF($H205="",0,$H205))</f>
        <v/>
      </c>
      <c r="M205" s="7"/>
    </row>
    <row r="206" customFormat="false" ht="15" hidden="false" customHeight="true" outlineLevel="0" collapsed="false">
      <c r="A206" s="11"/>
      <c r="B206" s="7"/>
      <c r="C206" s="12" t="str">
        <f aca="false">IF($B206="","",IFERROR(INDEX(거래처마스터!$B$3:$B$102,MATCH($B206,거래처마스터!$A$3:$A$102,0)),"미등록"))</f>
        <v/>
      </c>
      <c r="D206" s="7"/>
      <c r="E206" s="12" t="str">
        <f aca="false">IF($D206="","",IFERROR(INDEX(품목마스터!$B$3:$B$202,MATCH($D206,품목마스터!$A$3:$A$202,0)),"미등록품번"))</f>
        <v/>
      </c>
      <c r="F206" s="12" t="str">
        <f aca="false">IF($D206="","",IFERROR(INDEX(품목마스터!$D$3:$D$202,MATCH($D206,품목마스터!$A$3:$A$202,0)),""))</f>
        <v/>
      </c>
      <c r="G206" s="9"/>
      <c r="H206" s="9"/>
      <c r="I206" s="9"/>
      <c r="J206" s="7"/>
      <c r="K206" s="13" t="str">
        <f aca="false">IF(OR($G206="",$I206=""),"",ROUND($G206*$I206,0))</f>
        <v/>
      </c>
      <c r="L206" s="13" t="str">
        <f aca="false">IF($D206="","",IF($G206="",0,$G206)+IF($H206="",0,$H206))</f>
        <v/>
      </c>
      <c r="M206" s="7"/>
    </row>
    <row r="207" customFormat="false" ht="15" hidden="false" customHeight="true" outlineLevel="0" collapsed="false">
      <c r="A207" s="11"/>
      <c r="B207" s="7"/>
      <c r="C207" s="12" t="str">
        <f aca="false">IF($B207="","",IFERROR(INDEX(거래처마스터!$B$3:$B$102,MATCH($B207,거래처마스터!$A$3:$A$102,0)),"미등록"))</f>
        <v/>
      </c>
      <c r="D207" s="7"/>
      <c r="E207" s="12" t="str">
        <f aca="false">IF($D207="","",IFERROR(INDEX(품목마스터!$B$3:$B$202,MATCH($D207,품목마스터!$A$3:$A$202,0)),"미등록품번"))</f>
        <v/>
      </c>
      <c r="F207" s="12" t="str">
        <f aca="false">IF($D207="","",IFERROR(INDEX(품목마스터!$D$3:$D$202,MATCH($D207,품목마스터!$A$3:$A$202,0)),""))</f>
        <v/>
      </c>
      <c r="G207" s="9"/>
      <c r="H207" s="9"/>
      <c r="I207" s="9"/>
      <c r="J207" s="7"/>
      <c r="K207" s="13" t="str">
        <f aca="false">IF(OR($G207="",$I207=""),"",ROUND($G207*$I207,0))</f>
        <v/>
      </c>
      <c r="L207" s="13" t="str">
        <f aca="false">IF($D207="","",IF($G207="",0,$G207)+IF($H207="",0,$H207))</f>
        <v/>
      </c>
      <c r="M207" s="7"/>
    </row>
    <row r="208" customFormat="false" ht="15" hidden="false" customHeight="true" outlineLevel="0" collapsed="false">
      <c r="A208" s="11"/>
      <c r="B208" s="7"/>
      <c r="C208" s="12" t="str">
        <f aca="false">IF($B208="","",IFERROR(INDEX(거래처마스터!$B$3:$B$102,MATCH($B208,거래처마스터!$A$3:$A$102,0)),"미등록"))</f>
        <v/>
      </c>
      <c r="D208" s="7"/>
      <c r="E208" s="12" t="str">
        <f aca="false">IF($D208="","",IFERROR(INDEX(품목마스터!$B$3:$B$202,MATCH($D208,품목마스터!$A$3:$A$202,0)),"미등록품번"))</f>
        <v/>
      </c>
      <c r="F208" s="12" t="str">
        <f aca="false">IF($D208="","",IFERROR(INDEX(품목마스터!$D$3:$D$202,MATCH($D208,품목마스터!$A$3:$A$202,0)),""))</f>
        <v/>
      </c>
      <c r="G208" s="9"/>
      <c r="H208" s="9"/>
      <c r="I208" s="9"/>
      <c r="J208" s="7"/>
      <c r="K208" s="13" t="str">
        <f aca="false">IF(OR($G208="",$I208=""),"",ROUND($G208*$I208,0))</f>
        <v/>
      </c>
      <c r="L208" s="13" t="str">
        <f aca="false">IF($D208="","",IF($G208="",0,$G208)+IF($H208="",0,$H208))</f>
        <v/>
      </c>
      <c r="M208" s="7"/>
    </row>
    <row r="209" customFormat="false" ht="15" hidden="false" customHeight="true" outlineLevel="0" collapsed="false">
      <c r="A209" s="11"/>
      <c r="B209" s="7"/>
      <c r="C209" s="12" t="str">
        <f aca="false">IF($B209="","",IFERROR(INDEX(거래처마스터!$B$3:$B$102,MATCH($B209,거래처마스터!$A$3:$A$102,0)),"미등록"))</f>
        <v/>
      </c>
      <c r="D209" s="7"/>
      <c r="E209" s="12" t="str">
        <f aca="false">IF($D209="","",IFERROR(INDEX(품목마스터!$B$3:$B$202,MATCH($D209,품목마스터!$A$3:$A$202,0)),"미등록품번"))</f>
        <v/>
      </c>
      <c r="F209" s="12" t="str">
        <f aca="false">IF($D209="","",IFERROR(INDEX(품목마스터!$D$3:$D$202,MATCH($D209,품목마스터!$A$3:$A$202,0)),""))</f>
        <v/>
      </c>
      <c r="G209" s="9"/>
      <c r="H209" s="9"/>
      <c r="I209" s="9"/>
      <c r="J209" s="7"/>
      <c r="K209" s="13" t="str">
        <f aca="false">IF(OR($G209="",$I209=""),"",ROUND($G209*$I209,0))</f>
        <v/>
      </c>
      <c r="L209" s="13" t="str">
        <f aca="false">IF($D209="","",IF($G209="",0,$G209)+IF($H209="",0,$H209))</f>
        <v/>
      </c>
      <c r="M209" s="7"/>
    </row>
    <row r="210" customFormat="false" ht="15" hidden="false" customHeight="true" outlineLevel="0" collapsed="false">
      <c r="A210" s="11"/>
      <c r="B210" s="7"/>
      <c r="C210" s="12" t="str">
        <f aca="false">IF($B210="","",IFERROR(INDEX(거래처마스터!$B$3:$B$102,MATCH($B210,거래처마스터!$A$3:$A$102,0)),"미등록"))</f>
        <v/>
      </c>
      <c r="D210" s="7"/>
      <c r="E210" s="12" t="str">
        <f aca="false">IF($D210="","",IFERROR(INDEX(품목마스터!$B$3:$B$202,MATCH($D210,품목마스터!$A$3:$A$202,0)),"미등록품번"))</f>
        <v/>
      </c>
      <c r="F210" s="12" t="str">
        <f aca="false">IF($D210="","",IFERROR(INDEX(품목마스터!$D$3:$D$202,MATCH($D210,품목마스터!$A$3:$A$202,0)),""))</f>
        <v/>
      </c>
      <c r="G210" s="9"/>
      <c r="H210" s="9"/>
      <c r="I210" s="9"/>
      <c r="J210" s="7"/>
      <c r="K210" s="13" t="str">
        <f aca="false">IF(OR($G210="",$I210=""),"",ROUND($G210*$I210,0))</f>
        <v/>
      </c>
      <c r="L210" s="13" t="str">
        <f aca="false">IF($D210="","",IF($G210="",0,$G210)+IF($H210="",0,$H210))</f>
        <v/>
      </c>
      <c r="M210" s="7"/>
    </row>
    <row r="211" customFormat="false" ht="15" hidden="false" customHeight="true" outlineLevel="0" collapsed="false">
      <c r="A211" s="11"/>
      <c r="B211" s="7"/>
      <c r="C211" s="12" t="str">
        <f aca="false">IF($B211="","",IFERROR(INDEX(거래처마스터!$B$3:$B$102,MATCH($B211,거래처마스터!$A$3:$A$102,0)),"미등록"))</f>
        <v/>
      </c>
      <c r="D211" s="7"/>
      <c r="E211" s="12" t="str">
        <f aca="false">IF($D211="","",IFERROR(INDEX(품목마스터!$B$3:$B$202,MATCH($D211,품목마스터!$A$3:$A$202,0)),"미등록품번"))</f>
        <v/>
      </c>
      <c r="F211" s="12" t="str">
        <f aca="false">IF($D211="","",IFERROR(INDEX(품목마스터!$D$3:$D$202,MATCH($D211,품목마스터!$A$3:$A$202,0)),""))</f>
        <v/>
      </c>
      <c r="G211" s="9"/>
      <c r="H211" s="9"/>
      <c r="I211" s="9"/>
      <c r="J211" s="7"/>
      <c r="K211" s="13" t="str">
        <f aca="false">IF(OR($G211="",$I211=""),"",ROUND($G211*$I211,0))</f>
        <v/>
      </c>
      <c r="L211" s="13" t="str">
        <f aca="false">IF($D211="","",IF($G211="",0,$G211)+IF($H211="",0,$H211))</f>
        <v/>
      </c>
      <c r="M211" s="7"/>
    </row>
    <row r="212" customFormat="false" ht="15" hidden="false" customHeight="true" outlineLevel="0" collapsed="false">
      <c r="A212" s="11"/>
      <c r="B212" s="7"/>
      <c r="C212" s="12" t="str">
        <f aca="false">IF($B212="","",IFERROR(INDEX(거래처마스터!$B$3:$B$102,MATCH($B212,거래처마스터!$A$3:$A$102,0)),"미등록"))</f>
        <v/>
      </c>
      <c r="D212" s="7"/>
      <c r="E212" s="12" t="str">
        <f aca="false">IF($D212="","",IFERROR(INDEX(품목마스터!$B$3:$B$202,MATCH($D212,품목마스터!$A$3:$A$202,0)),"미등록품번"))</f>
        <v/>
      </c>
      <c r="F212" s="12" t="str">
        <f aca="false">IF($D212="","",IFERROR(INDEX(품목마스터!$D$3:$D$202,MATCH($D212,품목마스터!$A$3:$A$202,0)),""))</f>
        <v/>
      </c>
      <c r="G212" s="9"/>
      <c r="H212" s="9"/>
      <c r="I212" s="9"/>
      <c r="J212" s="7"/>
      <c r="K212" s="13" t="str">
        <f aca="false">IF(OR($G212="",$I212=""),"",ROUND($G212*$I212,0))</f>
        <v/>
      </c>
      <c r="L212" s="13" t="str">
        <f aca="false">IF($D212="","",IF($G212="",0,$G212)+IF($H212="",0,$H212))</f>
        <v/>
      </c>
      <c r="M212" s="7"/>
    </row>
    <row r="213" customFormat="false" ht="15" hidden="false" customHeight="true" outlineLevel="0" collapsed="false">
      <c r="A213" s="11"/>
      <c r="B213" s="7"/>
      <c r="C213" s="12" t="str">
        <f aca="false">IF($B213="","",IFERROR(INDEX(거래처마스터!$B$3:$B$102,MATCH($B213,거래처마스터!$A$3:$A$102,0)),"미등록"))</f>
        <v/>
      </c>
      <c r="D213" s="7"/>
      <c r="E213" s="12" t="str">
        <f aca="false">IF($D213="","",IFERROR(INDEX(품목마스터!$B$3:$B$202,MATCH($D213,품목마스터!$A$3:$A$202,0)),"미등록품번"))</f>
        <v/>
      </c>
      <c r="F213" s="12" t="str">
        <f aca="false">IF($D213="","",IFERROR(INDEX(품목마스터!$D$3:$D$202,MATCH($D213,품목마스터!$A$3:$A$202,0)),""))</f>
        <v/>
      </c>
      <c r="G213" s="9"/>
      <c r="H213" s="9"/>
      <c r="I213" s="9"/>
      <c r="J213" s="7"/>
      <c r="K213" s="13" t="str">
        <f aca="false">IF(OR($G213="",$I213=""),"",ROUND($G213*$I213,0))</f>
        <v/>
      </c>
      <c r="L213" s="13" t="str">
        <f aca="false">IF($D213="","",IF($G213="",0,$G213)+IF($H213="",0,$H213))</f>
        <v/>
      </c>
      <c r="M213" s="7"/>
    </row>
    <row r="214" customFormat="false" ht="15" hidden="false" customHeight="true" outlineLevel="0" collapsed="false">
      <c r="A214" s="11"/>
      <c r="B214" s="7"/>
      <c r="C214" s="12" t="str">
        <f aca="false">IF($B214="","",IFERROR(INDEX(거래처마스터!$B$3:$B$102,MATCH($B214,거래처마스터!$A$3:$A$102,0)),"미등록"))</f>
        <v/>
      </c>
      <c r="D214" s="7"/>
      <c r="E214" s="12" t="str">
        <f aca="false">IF($D214="","",IFERROR(INDEX(품목마스터!$B$3:$B$202,MATCH($D214,품목마스터!$A$3:$A$202,0)),"미등록품번"))</f>
        <v/>
      </c>
      <c r="F214" s="12" t="str">
        <f aca="false">IF($D214="","",IFERROR(INDEX(품목마스터!$D$3:$D$202,MATCH($D214,품목마스터!$A$3:$A$202,0)),""))</f>
        <v/>
      </c>
      <c r="G214" s="9"/>
      <c r="H214" s="9"/>
      <c r="I214" s="9"/>
      <c r="J214" s="7"/>
      <c r="K214" s="13" t="str">
        <f aca="false">IF(OR($G214="",$I214=""),"",ROUND($G214*$I214,0))</f>
        <v/>
      </c>
      <c r="L214" s="13" t="str">
        <f aca="false">IF($D214="","",IF($G214="",0,$G214)+IF($H214="",0,$H214))</f>
        <v/>
      </c>
      <c r="M214" s="7"/>
    </row>
    <row r="215" customFormat="false" ht="15" hidden="false" customHeight="true" outlineLevel="0" collapsed="false">
      <c r="A215" s="11"/>
      <c r="B215" s="7"/>
      <c r="C215" s="12" t="str">
        <f aca="false">IF($B215="","",IFERROR(INDEX(거래처마스터!$B$3:$B$102,MATCH($B215,거래처마스터!$A$3:$A$102,0)),"미등록"))</f>
        <v/>
      </c>
      <c r="D215" s="7"/>
      <c r="E215" s="12" t="str">
        <f aca="false">IF($D215="","",IFERROR(INDEX(품목마스터!$B$3:$B$202,MATCH($D215,품목마스터!$A$3:$A$202,0)),"미등록품번"))</f>
        <v/>
      </c>
      <c r="F215" s="12" t="str">
        <f aca="false">IF($D215="","",IFERROR(INDEX(품목마스터!$D$3:$D$202,MATCH($D215,품목마스터!$A$3:$A$202,0)),""))</f>
        <v/>
      </c>
      <c r="G215" s="9"/>
      <c r="H215" s="9"/>
      <c r="I215" s="9"/>
      <c r="J215" s="7"/>
      <c r="K215" s="13" t="str">
        <f aca="false">IF(OR($G215="",$I215=""),"",ROUND($G215*$I215,0))</f>
        <v/>
      </c>
      <c r="L215" s="13" t="str">
        <f aca="false">IF($D215="","",IF($G215="",0,$G215)+IF($H215="",0,$H215))</f>
        <v/>
      </c>
      <c r="M215" s="7"/>
    </row>
    <row r="216" customFormat="false" ht="15" hidden="false" customHeight="true" outlineLevel="0" collapsed="false">
      <c r="A216" s="11"/>
      <c r="B216" s="7"/>
      <c r="C216" s="12" t="str">
        <f aca="false">IF($B216="","",IFERROR(INDEX(거래처마스터!$B$3:$B$102,MATCH($B216,거래처마스터!$A$3:$A$102,0)),"미등록"))</f>
        <v/>
      </c>
      <c r="D216" s="7"/>
      <c r="E216" s="12" t="str">
        <f aca="false">IF($D216="","",IFERROR(INDEX(품목마스터!$B$3:$B$202,MATCH($D216,품목마스터!$A$3:$A$202,0)),"미등록품번"))</f>
        <v/>
      </c>
      <c r="F216" s="12" t="str">
        <f aca="false">IF($D216="","",IFERROR(INDEX(품목마스터!$D$3:$D$202,MATCH($D216,품목마스터!$A$3:$A$202,0)),""))</f>
        <v/>
      </c>
      <c r="G216" s="9"/>
      <c r="H216" s="9"/>
      <c r="I216" s="9"/>
      <c r="J216" s="7"/>
      <c r="K216" s="13" t="str">
        <f aca="false">IF(OR($G216="",$I216=""),"",ROUND($G216*$I216,0))</f>
        <v/>
      </c>
      <c r="L216" s="13" t="str">
        <f aca="false">IF($D216="","",IF($G216="",0,$G216)+IF($H216="",0,$H216))</f>
        <v/>
      </c>
      <c r="M216" s="7"/>
    </row>
    <row r="217" customFormat="false" ht="15" hidden="false" customHeight="true" outlineLevel="0" collapsed="false">
      <c r="A217" s="11"/>
      <c r="B217" s="7"/>
      <c r="C217" s="12" t="str">
        <f aca="false">IF($B217="","",IFERROR(INDEX(거래처마스터!$B$3:$B$102,MATCH($B217,거래처마스터!$A$3:$A$102,0)),"미등록"))</f>
        <v/>
      </c>
      <c r="D217" s="7"/>
      <c r="E217" s="12" t="str">
        <f aca="false">IF($D217="","",IFERROR(INDEX(품목마스터!$B$3:$B$202,MATCH($D217,품목마스터!$A$3:$A$202,0)),"미등록품번"))</f>
        <v/>
      </c>
      <c r="F217" s="12" t="str">
        <f aca="false">IF($D217="","",IFERROR(INDEX(품목마스터!$D$3:$D$202,MATCH($D217,품목마스터!$A$3:$A$202,0)),""))</f>
        <v/>
      </c>
      <c r="G217" s="9"/>
      <c r="H217" s="9"/>
      <c r="I217" s="9"/>
      <c r="J217" s="7"/>
      <c r="K217" s="13" t="str">
        <f aca="false">IF(OR($G217="",$I217=""),"",ROUND($G217*$I217,0))</f>
        <v/>
      </c>
      <c r="L217" s="13" t="str">
        <f aca="false">IF($D217="","",IF($G217="",0,$G217)+IF($H217="",0,$H217))</f>
        <v/>
      </c>
      <c r="M217" s="7"/>
    </row>
    <row r="218" customFormat="false" ht="15" hidden="false" customHeight="true" outlineLevel="0" collapsed="false">
      <c r="A218" s="11"/>
      <c r="B218" s="7"/>
      <c r="C218" s="12" t="str">
        <f aca="false">IF($B218="","",IFERROR(INDEX(거래처마스터!$B$3:$B$102,MATCH($B218,거래처마스터!$A$3:$A$102,0)),"미등록"))</f>
        <v/>
      </c>
      <c r="D218" s="7"/>
      <c r="E218" s="12" t="str">
        <f aca="false">IF($D218="","",IFERROR(INDEX(품목마스터!$B$3:$B$202,MATCH($D218,품목마스터!$A$3:$A$202,0)),"미등록품번"))</f>
        <v/>
      </c>
      <c r="F218" s="12" t="str">
        <f aca="false">IF($D218="","",IFERROR(INDEX(품목마스터!$D$3:$D$202,MATCH($D218,품목마스터!$A$3:$A$202,0)),""))</f>
        <v/>
      </c>
      <c r="G218" s="9"/>
      <c r="H218" s="9"/>
      <c r="I218" s="9"/>
      <c r="J218" s="7"/>
      <c r="K218" s="13" t="str">
        <f aca="false">IF(OR($G218="",$I218=""),"",ROUND($G218*$I218,0))</f>
        <v/>
      </c>
      <c r="L218" s="13" t="str">
        <f aca="false">IF($D218="","",IF($G218="",0,$G218)+IF($H218="",0,$H218))</f>
        <v/>
      </c>
      <c r="M218" s="7"/>
    </row>
    <row r="219" customFormat="false" ht="15" hidden="false" customHeight="true" outlineLevel="0" collapsed="false">
      <c r="A219" s="11"/>
      <c r="B219" s="7"/>
      <c r="C219" s="12" t="str">
        <f aca="false">IF($B219="","",IFERROR(INDEX(거래처마스터!$B$3:$B$102,MATCH($B219,거래처마스터!$A$3:$A$102,0)),"미등록"))</f>
        <v/>
      </c>
      <c r="D219" s="7"/>
      <c r="E219" s="12" t="str">
        <f aca="false">IF($D219="","",IFERROR(INDEX(품목마스터!$B$3:$B$202,MATCH($D219,품목마스터!$A$3:$A$202,0)),"미등록품번"))</f>
        <v/>
      </c>
      <c r="F219" s="12" t="str">
        <f aca="false">IF($D219="","",IFERROR(INDEX(품목마스터!$D$3:$D$202,MATCH($D219,품목마스터!$A$3:$A$202,0)),""))</f>
        <v/>
      </c>
      <c r="G219" s="9"/>
      <c r="H219" s="9"/>
      <c r="I219" s="9"/>
      <c r="J219" s="7"/>
      <c r="K219" s="13" t="str">
        <f aca="false">IF(OR($G219="",$I219=""),"",ROUND($G219*$I219,0))</f>
        <v/>
      </c>
      <c r="L219" s="13" t="str">
        <f aca="false">IF($D219="","",IF($G219="",0,$G219)+IF($H219="",0,$H219))</f>
        <v/>
      </c>
      <c r="M219" s="7"/>
    </row>
    <row r="220" customFormat="false" ht="15" hidden="false" customHeight="true" outlineLevel="0" collapsed="false">
      <c r="A220" s="11"/>
      <c r="B220" s="7"/>
      <c r="C220" s="12" t="str">
        <f aca="false">IF($B220="","",IFERROR(INDEX(거래처마스터!$B$3:$B$102,MATCH($B220,거래처마스터!$A$3:$A$102,0)),"미등록"))</f>
        <v/>
      </c>
      <c r="D220" s="7"/>
      <c r="E220" s="12" t="str">
        <f aca="false">IF($D220="","",IFERROR(INDEX(품목마스터!$B$3:$B$202,MATCH($D220,품목마스터!$A$3:$A$202,0)),"미등록품번"))</f>
        <v/>
      </c>
      <c r="F220" s="12" t="str">
        <f aca="false">IF($D220="","",IFERROR(INDEX(품목마스터!$D$3:$D$202,MATCH($D220,품목마스터!$A$3:$A$202,0)),""))</f>
        <v/>
      </c>
      <c r="G220" s="9"/>
      <c r="H220" s="9"/>
      <c r="I220" s="9"/>
      <c r="J220" s="7"/>
      <c r="K220" s="13" t="str">
        <f aca="false">IF(OR($G220="",$I220=""),"",ROUND($G220*$I220,0))</f>
        <v/>
      </c>
      <c r="L220" s="13" t="str">
        <f aca="false">IF($D220="","",IF($G220="",0,$G220)+IF($H220="",0,$H220))</f>
        <v/>
      </c>
      <c r="M220" s="7"/>
    </row>
    <row r="221" customFormat="false" ht="15" hidden="false" customHeight="true" outlineLevel="0" collapsed="false">
      <c r="A221" s="11"/>
      <c r="B221" s="7"/>
      <c r="C221" s="12" t="str">
        <f aca="false">IF($B221="","",IFERROR(INDEX(거래처마스터!$B$3:$B$102,MATCH($B221,거래처마스터!$A$3:$A$102,0)),"미등록"))</f>
        <v/>
      </c>
      <c r="D221" s="7"/>
      <c r="E221" s="12" t="str">
        <f aca="false">IF($D221="","",IFERROR(INDEX(품목마스터!$B$3:$B$202,MATCH($D221,품목마스터!$A$3:$A$202,0)),"미등록품번"))</f>
        <v/>
      </c>
      <c r="F221" s="12" t="str">
        <f aca="false">IF($D221="","",IFERROR(INDEX(품목마스터!$D$3:$D$202,MATCH($D221,품목마스터!$A$3:$A$202,0)),""))</f>
        <v/>
      </c>
      <c r="G221" s="9"/>
      <c r="H221" s="9"/>
      <c r="I221" s="9"/>
      <c r="J221" s="7"/>
      <c r="K221" s="13" t="str">
        <f aca="false">IF(OR($G221="",$I221=""),"",ROUND($G221*$I221,0))</f>
        <v/>
      </c>
      <c r="L221" s="13" t="str">
        <f aca="false">IF($D221="","",IF($G221="",0,$G221)+IF($H221="",0,$H221))</f>
        <v/>
      </c>
      <c r="M221" s="7"/>
    </row>
    <row r="222" customFormat="false" ht="15" hidden="false" customHeight="true" outlineLevel="0" collapsed="false">
      <c r="A222" s="11"/>
      <c r="B222" s="7"/>
      <c r="C222" s="12" t="str">
        <f aca="false">IF($B222="","",IFERROR(INDEX(거래처마스터!$B$3:$B$102,MATCH($B222,거래처마스터!$A$3:$A$102,0)),"미등록"))</f>
        <v/>
      </c>
      <c r="D222" s="7"/>
      <c r="E222" s="12" t="str">
        <f aca="false">IF($D222="","",IFERROR(INDEX(품목마스터!$B$3:$B$202,MATCH($D222,품목마스터!$A$3:$A$202,0)),"미등록품번"))</f>
        <v/>
      </c>
      <c r="F222" s="12" t="str">
        <f aca="false">IF($D222="","",IFERROR(INDEX(품목마스터!$D$3:$D$202,MATCH($D222,품목마스터!$A$3:$A$202,0)),""))</f>
        <v/>
      </c>
      <c r="G222" s="9"/>
      <c r="H222" s="9"/>
      <c r="I222" s="9"/>
      <c r="J222" s="7"/>
      <c r="K222" s="13" t="str">
        <f aca="false">IF(OR($G222="",$I222=""),"",ROUND($G222*$I222,0))</f>
        <v/>
      </c>
      <c r="L222" s="13" t="str">
        <f aca="false">IF($D222="","",IF($G222="",0,$G222)+IF($H222="",0,$H222))</f>
        <v/>
      </c>
      <c r="M222" s="7"/>
    </row>
    <row r="223" customFormat="false" ht="15" hidden="false" customHeight="true" outlineLevel="0" collapsed="false">
      <c r="A223" s="11"/>
      <c r="B223" s="7"/>
      <c r="C223" s="12" t="str">
        <f aca="false">IF($B223="","",IFERROR(INDEX(거래처마스터!$B$3:$B$102,MATCH($B223,거래처마스터!$A$3:$A$102,0)),"미등록"))</f>
        <v/>
      </c>
      <c r="D223" s="7"/>
      <c r="E223" s="12" t="str">
        <f aca="false">IF($D223="","",IFERROR(INDEX(품목마스터!$B$3:$B$202,MATCH($D223,품목마스터!$A$3:$A$202,0)),"미등록품번"))</f>
        <v/>
      </c>
      <c r="F223" s="12" t="str">
        <f aca="false">IF($D223="","",IFERROR(INDEX(품목마스터!$D$3:$D$202,MATCH($D223,품목마스터!$A$3:$A$202,0)),""))</f>
        <v/>
      </c>
      <c r="G223" s="9"/>
      <c r="H223" s="9"/>
      <c r="I223" s="9"/>
      <c r="J223" s="7"/>
      <c r="K223" s="13" t="str">
        <f aca="false">IF(OR($G223="",$I223=""),"",ROUND($G223*$I223,0))</f>
        <v/>
      </c>
      <c r="L223" s="13" t="str">
        <f aca="false">IF($D223="","",IF($G223="",0,$G223)+IF($H223="",0,$H223))</f>
        <v/>
      </c>
      <c r="M223" s="7"/>
    </row>
    <row r="224" customFormat="false" ht="15" hidden="false" customHeight="true" outlineLevel="0" collapsed="false">
      <c r="A224" s="11"/>
      <c r="B224" s="7"/>
      <c r="C224" s="12" t="str">
        <f aca="false">IF($B224="","",IFERROR(INDEX(거래처마스터!$B$3:$B$102,MATCH($B224,거래처마스터!$A$3:$A$102,0)),"미등록"))</f>
        <v/>
      </c>
      <c r="D224" s="7"/>
      <c r="E224" s="12" t="str">
        <f aca="false">IF($D224="","",IFERROR(INDEX(품목마스터!$B$3:$B$202,MATCH($D224,품목마스터!$A$3:$A$202,0)),"미등록품번"))</f>
        <v/>
      </c>
      <c r="F224" s="12" t="str">
        <f aca="false">IF($D224="","",IFERROR(INDEX(품목마스터!$D$3:$D$202,MATCH($D224,품목마스터!$A$3:$A$202,0)),""))</f>
        <v/>
      </c>
      <c r="G224" s="9"/>
      <c r="H224" s="9"/>
      <c r="I224" s="9"/>
      <c r="J224" s="7"/>
      <c r="K224" s="13" t="str">
        <f aca="false">IF(OR($G224="",$I224=""),"",ROUND($G224*$I224,0))</f>
        <v/>
      </c>
      <c r="L224" s="13" t="str">
        <f aca="false">IF($D224="","",IF($G224="",0,$G224)+IF($H224="",0,$H224))</f>
        <v/>
      </c>
      <c r="M224" s="7"/>
    </row>
    <row r="225" customFormat="false" ht="15" hidden="false" customHeight="true" outlineLevel="0" collapsed="false">
      <c r="A225" s="11"/>
      <c r="B225" s="7"/>
      <c r="C225" s="12" t="str">
        <f aca="false">IF($B225="","",IFERROR(INDEX(거래처마스터!$B$3:$B$102,MATCH($B225,거래처마스터!$A$3:$A$102,0)),"미등록"))</f>
        <v/>
      </c>
      <c r="D225" s="7"/>
      <c r="E225" s="12" t="str">
        <f aca="false">IF($D225="","",IFERROR(INDEX(품목마스터!$B$3:$B$202,MATCH($D225,품목마스터!$A$3:$A$202,0)),"미등록품번"))</f>
        <v/>
      </c>
      <c r="F225" s="12" t="str">
        <f aca="false">IF($D225="","",IFERROR(INDEX(품목마스터!$D$3:$D$202,MATCH($D225,품목마스터!$A$3:$A$202,0)),""))</f>
        <v/>
      </c>
      <c r="G225" s="9"/>
      <c r="H225" s="9"/>
      <c r="I225" s="9"/>
      <c r="J225" s="7"/>
      <c r="K225" s="13" t="str">
        <f aca="false">IF(OR($G225="",$I225=""),"",ROUND($G225*$I225,0))</f>
        <v/>
      </c>
      <c r="L225" s="13" t="str">
        <f aca="false">IF($D225="","",IF($G225="",0,$G225)+IF($H225="",0,$H225))</f>
        <v/>
      </c>
      <c r="M225" s="7"/>
    </row>
    <row r="226" customFormat="false" ht="15" hidden="false" customHeight="true" outlineLevel="0" collapsed="false">
      <c r="A226" s="11"/>
      <c r="B226" s="7"/>
      <c r="C226" s="12" t="str">
        <f aca="false">IF($B226="","",IFERROR(INDEX(거래처마스터!$B$3:$B$102,MATCH($B226,거래처마스터!$A$3:$A$102,0)),"미등록"))</f>
        <v/>
      </c>
      <c r="D226" s="7"/>
      <c r="E226" s="12" t="str">
        <f aca="false">IF($D226="","",IFERROR(INDEX(품목마스터!$B$3:$B$202,MATCH($D226,품목마스터!$A$3:$A$202,0)),"미등록품번"))</f>
        <v/>
      </c>
      <c r="F226" s="12" t="str">
        <f aca="false">IF($D226="","",IFERROR(INDEX(품목마스터!$D$3:$D$202,MATCH($D226,품목마스터!$A$3:$A$202,0)),""))</f>
        <v/>
      </c>
      <c r="G226" s="9"/>
      <c r="H226" s="9"/>
      <c r="I226" s="9"/>
      <c r="J226" s="7"/>
      <c r="K226" s="13" t="str">
        <f aca="false">IF(OR($G226="",$I226=""),"",ROUND($G226*$I226,0))</f>
        <v/>
      </c>
      <c r="L226" s="13" t="str">
        <f aca="false">IF($D226="","",IF($G226="",0,$G226)+IF($H226="",0,$H226))</f>
        <v/>
      </c>
      <c r="M226" s="7"/>
    </row>
    <row r="227" customFormat="false" ht="15" hidden="false" customHeight="true" outlineLevel="0" collapsed="false">
      <c r="A227" s="11"/>
      <c r="B227" s="7"/>
      <c r="C227" s="12" t="str">
        <f aca="false">IF($B227="","",IFERROR(INDEX(거래처마스터!$B$3:$B$102,MATCH($B227,거래처마스터!$A$3:$A$102,0)),"미등록"))</f>
        <v/>
      </c>
      <c r="D227" s="7"/>
      <c r="E227" s="12" t="str">
        <f aca="false">IF($D227="","",IFERROR(INDEX(품목마스터!$B$3:$B$202,MATCH($D227,품목마스터!$A$3:$A$202,0)),"미등록품번"))</f>
        <v/>
      </c>
      <c r="F227" s="12" t="str">
        <f aca="false">IF($D227="","",IFERROR(INDEX(품목마스터!$D$3:$D$202,MATCH($D227,품목마스터!$A$3:$A$202,0)),""))</f>
        <v/>
      </c>
      <c r="G227" s="9"/>
      <c r="H227" s="9"/>
      <c r="I227" s="9"/>
      <c r="J227" s="7"/>
      <c r="K227" s="13" t="str">
        <f aca="false">IF(OR($G227="",$I227=""),"",ROUND($G227*$I227,0))</f>
        <v/>
      </c>
      <c r="L227" s="13" t="str">
        <f aca="false">IF($D227="","",IF($G227="",0,$G227)+IF($H227="",0,$H227))</f>
        <v/>
      </c>
      <c r="M227" s="7"/>
    </row>
    <row r="228" customFormat="false" ht="15" hidden="false" customHeight="true" outlineLevel="0" collapsed="false">
      <c r="A228" s="11"/>
      <c r="B228" s="7"/>
      <c r="C228" s="12" t="str">
        <f aca="false">IF($B228="","",IFERROR(INDEX(거래처마스터!$B$3:$B$102,MATCH($B228,거래처마스터!$A$3:$A$102,0)),"미등록"))</f>
        <v/>
      </c>
      <c r="D228" s="7"/>
      <c r="E228" s="12" t="str">
        <f aca="false">IF($D228="","",IFERROR(INDEX(품목마스터!$B$3:$B$202,MATCH($D228,품목마스터!$A$3:$A$202,0)),"미등록품번"))</f>
        <v/>
      </c>
      <c r="F228" s="12" t="str">
        <f aca="false">IF($D228="","",IFERROR(INDEX(품목마스터!$D$3:$D$202,MATCH($D228,품목마스터!$A$3:$A$202,0)),""))</f>
        <v/>
      </c>
      <c r="G228" s="9"/>
      <c r="H228" s="9"/>
      <c r="I228" s="9"/>
      <c r="J228" s="7"/>
      <c r="K228" s="13" t="str">
        <f aca="false">IF(OR($G228="",$I228=""),"",ROUND($G228*$I228,0))</f>
        <v/>
      </c>
      <c r="L228" s="13" t="str">
        <f aca="false">IF($D228="","",IF($G228="",0,$G228)+IF($H228="",0,$H228))</f>
        <v/>
      </c>
      <c r="M228" s="7"/>
    </row>
    <row r="229" customFormat="false" ht="15" hidden="false" customHeight="true" outlineLevel="0" collapsed="false">
      <c r="A229" s="11"/>
      <c r="B229" s="7"/>
      <c r="C229" s="12" t="str">
        <f aca="false">IF($B229="","",IFERROR(INDEX(거래처마스터!$B$3:$B$102,MATCH($B229,거래처마스터!$A$3:$A$102,0)),"미등록"))</f>
        <v/>
      </c>
      <c r="D229" s="7"/>
      <c r="E229" s="12" t="str">
        <f aca="false">IF($D229="","",IFERROR(INDEX(품목마스터!$B$3:$B$202,MATCH($D229,품목마스터!$A$3:$A$202,0)),"미등록품번"))</f>
        <v/>
      </c>
      <c r="F229" s="12" t="str">
        <f aca="false">IF($D229="","",IFERROR(INDEX(품목마스터!$D$3:$D$202,MATCH($D229,품목마스터!$A$3:$A$202,0)),""))</f>
        <v/>
      </c>
      <c r="G229" s="9"/>
      <c r="H229" s="9"/>
      <c r="I229" s="9"/>
      <c r="J229" s="7"/>
      <c r="K229" s="13" t="str">
        <f aca="false">IF(OR($G229="",$I229=""),"",ROUND($G229*$I229,0))</f>
        <v/>
      </c>
      <c r="L229" s="13" t="str">
        <f aca="false">IF($D229="","",IF($G229="",0,$G229)+IF($H229="",0,$H229))</f>
        <v/>
      </c>
      <c r="M229" s="7"/>
    </row>
    <row r="230" customFormat="false" ht="15" hidden="false" customHeight="true" outlineLevel="0" collapsed="false">
      <c r="A230" s="11"/>
      <c r="B230" s="7"/>
      <c r="C230" s="12" t="str">
        <f aca="false">IF($B230="","",IFERROR(INDEX(거래처마스터!$B$3:$B$102,MATCH($B230,거래처마스터!$A$3:$A$102,0)),"미등록"))</f>
        <v/>
      </c>
      <c r="D230" s="7"/>
      <c r="E230" s="12" t="str">
        <f aca="false">IF($D230="","",IFERROR(INDEX(품목마스터!$B$3:$B$202,MATCH($D230,품목마스터!$A$3:$A$202,0)),"미등록품번"))</f>
        <v/>
      </c>
      <c r="F230" s="12" t="str">
        <f aca="false">IF($D230="","",IFERROR(INDEX(품목마스터!$D$3:$D$202,MATCH($D230,품목마스터!$A$3:$A$202,0)),""))</f>
        <v/>
      </c>
      <c r="G230" s="9"/>
      <c r="H230" s="9"/>
      <c r="I230" s="9"/>
      <c r="J230" s="7"/>
      <c r="K230" s="13" t="str">
        <f aca="false">IF(OR($G230="",$I230=""),"",ROUND($G230*$I230,0))</f>
        <v/>
      </c>
      <c r="L230" s="13" t="str">
        <f aca="false">IF($D230="","",IF($G230="",0,$G230)+IF($H230="",0,$H230))</f>
        <v/>
      </c>
      <c r="M230" s="7"/>
    </row>
    <row r="231" customFormat="false" ht="15" hidden="false" customHeight="true" outlineLevel="0" collapsed="false">
      <c r="A231" s="11"/>
      <c r="B231" s="7"/>
      <c r="C231" s="12" t="str">
        <f aca="false">IF($B231="","",IFERROR(INDEX(거래처마스터!$B$3:$B$102,MATCH($B231,거래처마스터!$A$3:$A$102,0)),"미등록"))</f>
        <v/>
      </c>
      <c r="D231" s="7"/>
      <c r="E231" s="12" t="str">
        <f aca="false">IF($D231="","",IFERROR(INDEX(품목마스터!$B$3:$B$202,MATCH($D231,품목마스터!$A$3:$A$202,0)),"미등록품번"))</f>
        <v/>
      </c>
      <c r="F231" s="12" t="str">
        <f aca="false">IF($D231="","",IFERROR(INDEX(품목마스터!$D$3:$D$202,MATCH($D231,품목마스터!$A$3:$A$202,0)),""))</f>
        <v/>
      </c>
      <c r="G231" s="9"/>
      <c r="H231" s="9"/>
      <c r="I231" s="9"/>
      <c r="J231" s="7"/>
      <c r="K231" s="13" t="str">
        <f aca="false">IF(OR($G231="",$I231=""),"",ROUND($G231*$I231,0))</f>
        <v/>
      </c>
      <c r="L231" s="13" t="str">
        <f aca="false">IF($D231="","",IF($G231="",0,$G231)+IF($H231="",0,$H231))</f>
        <v/>
      </c>
      <c r="M231" s="7"/>
    </row>
    <row r="232" customFormat="false" ht="15" hidden="false" customHeight="true" outlineLevel="0" collapsed="false">
      <c r="A232" s="11"/>
      <c r="B232" s="7"/>
      <c r="C232" s="12" t="str">
        <f aca="false">IF($B232="","",IFERROR(INDEX(거래처마스터!$B$3:$B$102,MATCH($B232,거래처마스터!$A$3:$A$102,0)),"미등록"))</f>
        <v/>
      </c>
      <c r="D232" s="7"/>
      <c r="E232" s="12" t="str">
        <f aca="false">IF($D232="","",IFERROR(INDEX(품목마스터!$B$3:$B$202,MATCH($D232,품목마스터!$A$3:$A$202,0)),"미등록품번"))</f>
        <v/>
      </c>
      <c r="F232" s="12" t="str">
        <f aca="false">IF($D232="","",IFERROR(INDEX(품목마스터!$D$3:$D$202,MATCH($D232,품목마스터!$A$3:$A$202,0)),""))</f>
        <v/>
      </c>
      <c r="G232" s="9"/>
      <c r="H232" s="9"/>
      <c r="I232" s="9"/>
      <c r="J232" s="7"/>
      <c r="K232" s="13" t="str">
        <f aca="false">IF(OR($G232="",$I232=""),"",ROUND($G232*$I232,0))</f>
        <v/>
      </c>
      <c r="L232" s="13" t="str">
        <f aca="false">IF($D232="","",IF($G232="",0,$G232)+IF($H232="",0,$H232))</f>
        <v/>
      </c>
      <c r="M232" s="7"/>
    </row>
    <row r="233" customFormat="false" ht="15" hidden="false" customHeight="true" outlineLevel="0" collapsed="false">
      <c r="A233" s="11"/>
      <c r="B233" s="7"/>
      <c r="C233" s="12" t="str">
        <f aca="false">IF($B233="","",IFERROR(INDEX(거래처마스터!$B$3:$B$102,MATCH($B233,거래처마스터!$A$3:$A$102,0)),"미등록"))</f>
        <v/>
      </c>
      <c r="D233" s="7"/>
      <c r="E233" s="12" t="str">
        <f aca="false">IF($D233="","",IFERROR(INDEX(품목마스터!$B$3:$B$202,MATCH($D233,품목마스터!$A$3:$A$202,0)),"미등록품번"))</f>
        <v/>
      </c>
      <c r="F233" s="12" t="str">
        <f aca="false">IF($D233="","",IFERROR(INDEX(품목마스터!$D$3:$D$202,MATCH($D233,품목마스터!$A$3:$A$202,0)),""))</f>
        <v/>
      </c>
      <c r="G233" s="9"/>
      <c r="H233" s="9"/>
      <c r="I233" s="9"/>
      <c r="J233" s="7"/>
      <c r="K233" s="13" t="str">
        <f aca="false">IF(OR($G233="",$I233=""),"",ROUND($G233*$I233,0))</f>
        <v/>
      </c>
      <c r="L233" s="13" t="str">
        <f aca="false">IF($D233="","",IF($G233="",0,$G233)+IF($H233="",0,$H233))</f>
        <v/>
      </c>
      <c r="M233" s="7"/>
    </row>
    <row r="234" customFormat="false" ht="15" hidden="false" customHeight="true" outlineLevel="0" collapsed="false">
      <c r="A234" s="11"/>
      <c r="B234" s="7"/>
      <c r="C234" s="12" t="str">
        <f aca="false">IF($B234="","",IFERROR(INDEX(거래처마스터!$B$3:$B$102,MATCH($B234,거래처마스터!$A$3:$A$102,0)),"미등록"))</f>
        <v/>
      </c>
      <c r="D234" s="7"/>
      <c r="E234" s="12" t="str">
        <f aca="false">IF($D234="","",IFERROR(INDEX(품목마스터!$B$3:$B$202,MATCH($D234,품목마스터!$A$3:$A$202,0)),"미등록품번"))</f>
        <v/>
      </c>
      <c r="F234" s="12" t="str">
        <f aca="false">IF($D234="","",IFERROR(INDEX(품목마스터!$D$3:$D$202,MATCH($D234,품목마스터!$A$3:$A$202,0)),""))</f>
        <v/>
      </c>
      <c r="G234" s="9"/>
      <c r="H234" s="9"/>
      <c r="I234" s="9"/>
      <c r="J234" s="7"/>
      <c r="K234" s="13" t="str">
        <f aca="false">IF(OR($G234="",$I234=""),"",ROUND($G234*$I234,0))</f>
        <v/>
      </c>
      <c r="L234" s="13" t="str">
        <f aca="false">IF($D234="","",IF($G234="",0,$G234)+IF($H234="",0,$H234))</f>
        <v/>
      </c>
      <c r="M234" s="7"/>
    </row>
    <row r="235" customFormat="false" ht="15" hidden="false" customHeight="true" outlineLevel="0" collapsed="false">
      <c r="A235" s="11"/>
      <c r="B235" s="7"/>
      <c r="C235" s="12" t="str">
        <f aca="false">IF($B235="","",IFERROR(INDEX(거래처마스터!$B$3:$B$102,MATCH($B235,거래처마스터!$A$3:$A$102,0)),"미등록"))</f>
        <v/>
      </c>
      <c r="D235" s="7"/>
      <c r="E235" s="12" t="str">
        <f aca="false">IF($D235="","",IFERROR(INDEX(품목마스터!$B$3:$B$202,MATCH($D235,품목마스터!$A$3:$A$202,0)),"미등록품번"))</f>
        <v/>
      </c>
      <c r="F235" s="12" t="str">
        <f aca="false">IF($D235="","",IFERROR(INDEX(품목마스터!$D$3:$D$202,MATCH($D235,품목마스터!$A$3:$A$202,0)),""))</f>
        <v/>
      </c>
      <c r="G235" s="9"/>
      <c r="H235" s="9"/>
      <c r="I235" s="9"/>
      <c r="J235" s="7"/>
      <c r="K235" s="13" t="str">
        <f aca="false">IF(OR($G235="",$I235=""),"",ROUND($G235*$I235,0))</f>
        <v/>
      </c>
      <c r="L235" s="13" t="str">
        <f aca="false">IF($D235="","",IF($G235="",0,$G235)+IF($H235="",0,$H235))</f>
        <v/>
      </c>
      <c r="M235" s="7"/>
    </row>
    <row r="236" customFormat="false" ht="15" hidden="false" customHeight="true" outlineLevel="0" collapsed="false">
      <c r="A236" s="11"/>
      <c r="B236" s="7"/>
      <c r="C236" s="12" t="str">
        <f aca="false">IF($B236="","",IFERROR(INDEX(거래처마스터!$B$3:$B$102,MATCH($B236,거래처마스터!$A$3:$A$102,0)),"미등록"))</f>
        <v/>
      </c>
      <c r="D236" s="7"/>
      <c r="E236" s="12" t="str">
        <f aca="false">IF($D236="","",IFERROR(INDEX(품목마스터!$B$3:$B$202,MATCH($D236,품목마스터!$A$3:$A$202,0)),"미등록품번"))</f>
        <v/>
      </c>
      <c r="F236" s="12" t="str">
        <f aca="false">IF($D236="","",IFERROR(INDEX(품목마스터!$D$3:$D$202,MATCH($D236,품목마스터!$A$3:$A$202,0)),""))</f>
        <v/>
      </c>
      <c r="G236" s="9"/>
      <c r="H236" s="9"/>
      <c r="I236" s="9"/>
      <c r="J236" s="7"/>
      <c r="K236" s="13" t="str">
        <f aca="false">IF(OR($G236="",$I236=""),"",ROUND($G236*$I236,0))</f>
        <v/>
      </c>
      <c r="L236" s="13" t="str">
        <f aca="false">IF($D236="","",IF($G236="",0,$G236)+IF($H236="",0,$H236))</f>
        <v/>
      </c>
      <c r="M236" s="7"/>
    </row>
    <row r="237" customFormat="false" ht="15" hidden="false" customHeight="true" outlineLevel="0" collapsed="false">
      <c r="A237" s="11"/>
      <c r="B237" s="7"/>
      <c r="C237" s="12" t="str">
        <f aca="false">IF($B237="","",IFERROR(INDEX(거래처마스터!$B$3:$B$102,MATCH($B237,거래처마스터!$A$3:$A$102,0)),"미등록"))</f>
        <v/>
      </c>
      <c r="D237" s="7"/>
      <c r="E237" s="12" t="str">
        <f aca="false">IF($D237="","",IFERROR(INDEX(품목마스터!$B$3:$B$202,MATCH($D237,품목마스터!$A$3:$A$202,0)),"미등록품번"))</f>
        <v/>
      </c>
      <c r="F237" s="12" t="str">
        <f aca="false">IF($D237="","",IFERROR(INDEX(품목마스터!$D$3:$D$202,MATCH($D237,품목마스터!$A$3:$A$202,0)),""))</f>
        <v/>
      </c>
      <c r="G237" s="9"/>
      <c r="H237" s="9"/>
      <c r="I237" s="9"/>
      <c r="J237" s="7"/>
      <c r="K237" s="13" t="str">
        <f aca="false">IF(OR($G237="",$I237=""),"",ROUND($G237*$I237,0))</f>
        <v/>
      </c>
      <c r="L237" s="13" t="str">
        <f aca="false">IF($D237="","",IF($G237="",0,$G237)+IF($H237="",0,$H237))</f>
        <v/>
      </c>
      <c r="M237" s="7"/>
    </row>
    <row r="238" customFormat="false" ht="15" hidden="false" customHeight="true" outlineLevel="0" collapsed="false">
      <c r="A238" s="11"/>
      <c r="B238" s="7"/>
      <c r="C238" s="12" t="str">
        <f aca="false">IF($B238="","",IFERROR(INDEX(거래처마스터!$B$3:$B$102,MATCH($B238,거래처마스터!$A$3:$A$102,0)),"미등록"))</f>
        <v/>
      </c>
      <c r="D238" s="7"/>
      <c r="E238" s="12" t="str">
        <f aca="false">IF($D238="","",IFERROR(INDEX(품목마스터!$B$3:$B$202,MATCH($D238,품목마스터!$A$3:$A$202,0)),"미등록품번"))</f>
        <v/>
      </c>
      <c r="F238" s="12" t="str">
        <f aca="false">IF($D238="","",IFERROR(INDEX(품목마스터!$D$3:$D$202,MATCH($D238,품목마스터!$A$3:$A$202,0)),""))</f>
        <v/>
      </c>
      <c r="G238" s="9"/>
      <c r="H238" s="9"/>
      <c r="I238" s="9"/>
      <c r="J238" s="7"/>
      <c r="K238" s="13" t="str">
        <f aca="false">IF(OR($G238="",$I238=""),"",ROUND($G238*$I238,0))</f>
        <v/>
      </c>
      <c r="L238" s="13" t="str">
        <f aca="false">IF($D238="","",IF($G238="",0,$G238)+IF($H238="",0,$H238))</f>
        <v/>
      </c>
      <c r="M238" s="7"/>
    </row>
    <row r="239" customFormat="false" ht="15" hidden="false" customHeight="true" outlineLevel="0" collapsed="false">
      <c r="A239" s="11"/>
      <c r="B239" s="7"/>
      <c r="C239" s="12" t="str">
        <f aca="false">IF($B239="","",IFERROR(INDEX(거래처마스터!$B$3:$B$102,MATCH($B239,거래처마스터!$A$3:$A$102,0)),"미등록"))</f>
        <v/>
      </c>
      <c r="D239" s="7"/>
      <c r="E239" s="12" t="str">
        <f aca="false">IF($D239="","",IFERROR(INDEX(품목마스터!$B$3:$B$202,MATCH($D239,품목마스터!$A$3:$A$202,0)),"미등록품번"))</f>
        <v/>
      </c>
      <c r="F239" s="12" t="str">
        <f aca="false">IF($D239="","",IFERROR(INDEX(품목마스터!$D$3:$D$202,MATCH($D239,품목마스터!$A$3:$A$202,0)),""))</f>
        <v/>
      </c>
      <c r="G239" s="9"/>
      <c r="H239" s="9"/>
      <c r="I239" s="9"/>
      <c r="J239" s="7"/>
      <c r="K239" s="13" t="str">
        <f aca="false">IF(OR($G239="",$I239=""),"",ROUND($G239*$I239,0))</f>
        <v/>
      </c>
      <c r="L239" s="13" t="str">
        <f aca="false">IF($D239="","",IF($G239="",0,$G239)+IF($H239="",0,$H239))</f>
        <v/>
      </c>
      <c r="M239" s="7"/>
    </row>
    <row r="240" customFormat="false" ht="15" hidden="false" customHeight="true" outlineLevel="0" collapsed="false">
      <c r="A240" s="11"/>
      <c r="B240" s="7"/>
      <c r="C240" s="12" t="str">
        <f aca="false">IF($B240="","",IFERROR(INDEX(거래처마스터!$B$3:$B$102,MATCH($B240,거래처마스터!$A$3:$A$102,0)),"미등록"))</f>
        <v/>
      </c>
      <c r="D240" s="7"/>
      <c r="E240" s="12" t="str">
        <f aca="false">IF($D240="","",IFERROR(INDEX(품목마스터!$B$3:$B$202,MATCH($D240,품목마스터!$A$3:$A$202,0)),"미등록품번"))</f>
        <v/>
      </c>
      <c r="F240" s="12" t="str">
        <f aca="false">IF($D240="","",IFERROR(INDEX(품목마스터!$D$3:$D$202,MATCH($D240,품목마스터!$A$3:$A$202,0)),""))</f>
        <v/>
      </c>
      <c r="G240" s="9"/>
      <c r="H240" s="9"/>
      <c r="I240" s="9"/>
      <c r="J240" s="7"/>
      <c r="K240" s="13" t="str">
        <f aca="false">IF(OR($G240="",$I240=""),"",ROUND($G240*$I240,0))</f>
        <v/>
      </c>
      <c r="L240" s="13" t="str">
        <f aca="false">IF($D240="","",IF($G240="",0,$G240)+IF($H240="",0,$H240))</f>
        <v/>
      </c>
      <c r="M240" s="7"/>
    </row>
    <row r="241" customFormat="false" ht="15" hidden="false" customHeight="true" outlineLevel="0" collapsed="false">
      <c r="A241" s="11"/>
      <c r="B241" s="7"/>
      <c r="C241" s="12" t="str">
        <f aca="false">IF($B241="","",IFERROR(INDEX(거래처마스터!$B$3:$B$102,MATCH($B241,거래처마스터!$A$3:$A$102,0)),"미등록"))</f>
        <v/>
      </c>
      <c r="D241" s="7"/>
      <c r="E241" s="12" t="str">
        <f aca="false">IF($D241="","",IFERROR(INDEX(품목마스터!$B$3:$B$202,MATCH($D241,품목마스터!$A$3:$A$202,0)),"미등록품번"))</f>
        <v/>
      </c>
      <c r="F241" s="12" t="str">
        <f aca="false">IF($D241="","",IFERROR(INDEX(품목마스터!$D$3:$D$202,MATCH($D241,품목마스터!$A$3:$A$202,0)),""))</f>
        <v/>
      </c>
      <c r="G241" s="9"/>
      <c r="H241" s="9"/>
      <c r="I241" s="9"/>
      <c r="J241" s="7"/>
      <c r="K241" s="13" t="str">
        <f aca="false">IF(OR($G241="",$I241=""),"",ROUND($G241*$I241,0))</f>
        <v/>
      </c>
      <c r="L241" s="13" t="str">
        <f aca="false">IF($D241="","",IF($G241="",0,$G241)+IF($H241="",0,$H241))</f>
        <v/>
      </c>
      <c r="M241" s="7"/>
    </row>
    <row r="242" customFormat="false" ht="15" hidden="false" customHeight="true" outlineLevel="0" collapsed="false">
      <c r="A242" s="11"/>
      <c r="B242" s="7"/>
      <c r="C242" s="12" t="str">
        <f aca="false">IF($B242="","",IFERROR(INDEX(거래처마스터!$B$3:$B$102,MATCH($B242,거래처마스터!$A$3:$A$102,0)),"미등록"))</f>
        <v/>
      </c>
      <c r="D242" s="7"/>
      <c r="E242" s="12" t="str">
        <f aca="false">IF($D242="","",IFERROR(INDEX(품목마스터!$B$3:$B$202,MATCH($D242,품목마스터!$A$3:$A$202,0)),"미등록품번"))</f>
        <v/>
      </c>
      <c r="F242" s="12" t="str">
        <f aca="false">IF($D242="","",IFERROR(INDEX(품목마스터!$D$3:$D$202,MATCH($D242,품목마스터!$A$3:$A$202,0)),""))</f>
        <v/>
      </c>
      <c r="G242" s="9"/>
      <c r="H242" s="9"/>
      <c r="I242" s="9"/>
      <c r="J242" s="7"/>
      <c r="K242" s="13" t="str">
        <f aca="false">IF(OR($G242="",$I242=""),"",ROUND($G242*$I242,0))</f>
        <v/>
      </c>
      <c r="L242" s="13" t="str">
        <f aca="false">IF($D242="","",IF($G242="",0,$G242)+IF($H242="",0,$H242))</f>
        <v/>
      </c>
      <c r="M242" s="7"/>
    </row>
    <row r="243" customFormat="false" ht="15" hidden="false" customHeight="true" outlineLevel="0" collapsed="false">
      <c r="A243" s="11"/>
      <c r="B243" s="7"/>
      <c r="C243" s="12" t="str">
        <f aca="false">IF($B243="","",IFERROR(INDEX(거래처마스터!$B$3:$B$102,MATCH($B243,거래처마스터!$A$3:$A$102,0)),"미등록"))</f>
        <v/>
      </c>
      <c r="D243" s="7"/>
      <c r="E243" s="12" t="str">
        <f aca="false">IF($D243="","",IFERROR(INDEX(품목마스터!$B$3:$B$202,MATCH($D243,품목마스터!$A$3:$A$202,0)),"미등록품번"))</f>
        <v/>
      </c>
      <c r="F243" s="12" t="str">
        <f aca="false">IF($D243="","",IFERROR(INDEX(품목마스터!$D$3:$D$202,MATCH($D243,품목마스터!$A$3:$A$202,0)),""))</f>
        <v/>
      </c>
      <c r="G243" s="9"/>
      <c r="H243" s="9"/>
      <c r="I243" s="9"/>
      <c r="J243" s="7"/>
      <c r="K243" s="13" t="str">
        <f aca="false">IF(OR($G243="",$I243=""),"",ROUND($G243*$I243,0))</f>
        <v/>
      </c>
      <c r="L243" s="13" t="str">
        <f aca="false">IF($D243="","",IF($G243="",0,$G243)+IF($H243="",0,$H243))</f>
        <v/>
      </c>
      <c r="M243" s="7"/>
    </row>
    <row r="244" customFormat="false" ht="15" hidden="false" customHeight="true" outlineLevel="0" collapsed="false">
      <c r="A244" s="11"/>
      <c r="B244" s="7"/>
      <c r="C244" s="12" t="str">
        <f aca="false">IF($B244="","",IFERROR(INDEX(거래처마스터!$B$3:$B$102,MATCH($B244,거래처마스터!$A$3:$A$102,0)),"미등록"))</f>
        <v/>
      </c>
      <c r="D244" s="7"/>
      <c r="E244" s="12" t="str">
        <f aca="false">IF($D244="","",IFERROR(INDEX(품목마스터!$B$3:$B$202,MATCH($D244,품목마스터!$A$3:$A$202,0)),"미등록품번"))</f>
        <v/>
      </c>
      <c r="F244" s="12" t="str">
        <f aca="false">IF($D244="","",IFERROR(INDEX(품목마스터!$D$3:$D$202,MATCH($D244,품목마스터!$A$3:$A$202,0)),""))</f>
        <v/>
      </c>
      <c r="G244" s="9"/>
      <c r="H244" s="9"/>
      <c r="I244" s="9"/>
      <c r="J244" s="7"/>
      <c r="K244" s="13" t="str">
        <f aca="false">IF(OR($G244="",$I244=""),"",ROUND($G244*$I244,0))</f>
        <v/>
      </c>
      <c r="L244" s="13" t="str">
        <f aca="false">IF($D244="","",IF($G244="",0,$G244)+IF($H244="",0,$H244))</f>
        <v/>
      </c>
      <c r="M244" s="7"/>
    </row>
    <row r="245" customFormat="false" ht="15" hidden="false" customHeight="true" outlineLevel="0" collapsed="false">
      <c r="A245" s="11"/>
      <c r="B245" s="7"/>
      <c r="C245" s="12" t="str">
        <f aca="false">IF($B245="","",IFERROR(INDEX(거래처마스터!$B$3:$B$102,MATCH($B245,거래처마스터!$A$3:$A$102,0)),"미등록"))</f>
        <v/>
      </c>
      <c r="D245" s="7"/>
      <c r="E245" s="12" t="str">
        <f aca="false">IF($D245="","",IFERROR(INDEX(품목마스터!$B$3:$B$202,MATCH($D245,품목마스터!$A$3:$A$202,0)),"미등록품번"))</f>
        <v/>
      </c>
      <c r="F245" s="12" t="str">
        <f aca="false">IF($D245="","",IFERROR(INDEX(품목마스터!$D$3:$D$202,MATCH($D245,품목마스터!$A$3:$A$202,0)),""))</f>
        <v/>
      </c>
      <c r="G245" s="9"/>
      <c r="H245" s="9"/>
      <c r="I245" s="9"/>
      <c r="J245" s="7"/>
      <c r="K245" s="13" t="str">
        <f aca="false">IF(OR($G245="",$I245=""),"",ROUND($G245*$I245,0))</f>
        <v/>
      </c>
      <c r="L245" s="13" t="str">
        <f aca="false">IF($D245="","",IF($G245="",0,$G245)+IF($H245="",0,$H245))</f>
        <v/>
      </c>
      <c r="M245" s="7"/>
    </row>
    <row r="246" customFormat="false" ht="15" hidden="false" customHeight="true" outlineLevel="0" collapsed="false">
      <c r="A246" s="11"/>
      <c r="B246" s="7"/>
      <c r="C246" s="12" t="str">
        <f aca="false">IF($B246="","",IFERROR(INDEX(거래처마스터!$B$3:$B$102,MATCH($B246,거래처마스터!$A$3:$A$102,0)),"미등록"))</f>
        <v/>
      </c>
      <c r="D246" s="7"/>
      <c r="E246" s="12" t="str">
        <f aca="false">IF($D246="","",IFERROR(INDEX(품목마스터!$B$3:$B$202,MATCH($D246,품목마스터!$A$3:$A$202,0)),"미등록품번"))</f>
        <v/>
      </c>
      <c r="F246" s="12" t="str">
        <f aca="false">IF($D246="","",IFERROR(INDEX(품목마스터!$D$3:$D$202,MATCH($D246,품목마스터!$A$3:$A$202,0)),""))</f>
        <v/>
      </c>
      <c r="G246" s="9"/>
      <c r="H246" s="9"/>
      <c r="I246" s="9"/>
      <c r="J246" s="7"/>
      <c r="K246" s="13" t="str">
        <f aca="false">IF(OR($G246="",$I246=""),"",ROUND($G246*$I246,0))</f>
        <v/>
      </c>
      <c r="L246" s="13" t="str">
        <f aca="false">IF($D246="","",IF($G246="",0,$G246)+IF($H246="",0,$H246))</f>
        <v/>
      </c>
      <c r="M246" s="7"/>
    </row>
    <row r="247" customFormat="false" ht="15" hidden="false" customHeight="true" outlineLevel="0" collapsed="false">
      <c r="A247" s="11"/>
      <c r="B247" s="7"/>
      <c r="C247" s="12" t="str">
        <f aca="false">IF($B247="","",IFERROR(INDEX(거래처마스터!$B$3:$B$102,MATCH($B247,거래처마스터!$A$3:$A$102,0)),"미등록"))</f>
        <v/>
      </c>
      <c r="D247" s="7"/>
      <c r="E247" s="12" t="str">
        <f aca="false">IF($D247="","",IFERROR(INDEX(품목마스터!$B$3:$B$202,MATCH($D247,품목마스터!$A$3:$A$202,0)),"미등록품번"))</f>
        <v/>
      </c>
      <c r="F247" s="12" t="str">
        <f aca="false">IF($D247="","",IFERROR(INDEX(품목마스터!$D$3:$D$202,MATCH($D247,품목마스터!$A$3:$A$202,0)),""))</f>
        <v/>
      </c>
      <c r="G247" s="9"/>
      <c r="H247" s="9"/>
      <c r="I247" s="9"/>
      <c r="J247" s="7"/>
      <c r="K247" s="13" t="str">
        <f aca="false">IF(OR($G247="",$I247=""),"",ROUND($G247*$I247,0))</f>
        <v/>
      </c>
      <c r="L247" s="13" t="str">
        <f aca="false">IF($D247="","",IF($G247="",0,$G247)+IF($H247="",0,$H247))</f>
        <v/>
      </c>
      <c r="M247" s="7"/>
    </row>
    <row r="248" customFormat="false" ht="15" hidden="false" customHeight="true" outlineLevel="0" collapsed="false">
      <c r="A248" s="11"/>
      <c r="B248" s="7"/>
      <c r="C248" s="12" t="str">
        <f aca="false">IF($B248="","",IFERROR(INDEX(거래처마스터!$B$3:$B$102,MATCH($B248,거래처마스터!$A$3:$A$102,0)),"미등록"))</f>
        <v/>
      </c>
      <c r="D248" s="7"/>
      <c r="E248" s="12" t="str">
        <f aca="false">IF($D248="","",IFERROR(INDEX(품목마스터!$B$3:$B$202,MATCH($D248,품목마스터!$A$3:$A$202,0)),"미등록품번"))</f>
        <v/>
      </c>
      <c r="F248" s="12" t="str">
        <f aca="false">IF($D248="","",IFERROR(INDEX(품목마스터!$D$3:$D$202,MATCH($D248,품목마스터!$A$3:$A$202,0)),""))</f>
        <v/>
      </c>
      <c r="G248" s="9"/>
      <c r="H248" s="9"/>
      <c r="I248" s="9"/>
      <c r="J248" s="7"/>
      <c r="K248" s="13" t="str">
        <f aca="false">IF(OR($G248="",$I248=""),"",ROUND($G248*$I248,0))</f>
        <v/>
      </c>
      <c r="L248" s="13" t="str">
        <f aca="false">IF($D248="","",IF($G248="",0,$G248)+IF($H248="",0,$H248))</f>
        <v/>
      </c>
      <c r="M248" s="7"/>
    </row>
    <row r="249" customFormat="false" ht="15" hidden="false" customHeight="true" outlineLevel="0" collapsed="false">
      <c r="A249" s="11"/>
      <c r="B249" s="7"/>
      <c r="C249" s="12" t="str">
        <f aca="false">IF($B249="","",IFERROR(INDEX(거래처마스터!$B$3:$B$102,MATCH($B249,거래처마스터!$A$3:$A$102,0)),"미등록"))</f>
        <v/>
      </c>
      <c r="D249" s="7"/>
      <c r="E249" s="12" t="str">
        <f aca="false">IF($D249="","",IFERROR(INDEX(품목마스터!$B$3:$B$202,MATCH($D249,품목마스터!$A$3:$A$202,0)),"미등록품번"))</f>
        <v/>
      </c>
      <c r="F249" s="12" t="str">
        <f aca="false">IF($D249="","",IFERROR(INDEX(품목마스터!$D$3:$D$202,MATCH($D249,품목마스터!$A$3:$A$202,0)),""))</f>
        <v/>
      </c>
      <c r="G249" s="9"/>
      <c r="H249" s="9"/>
      <c r="I249" s="9"/>
      <c r="J249" s="7"/>
      <c r="K249" s="13" t="str">
        <f aca="false">IF(OR($G249="",$I249=""),"",ROUND($G249*$I249,0))</f>
        <v/>
      </c>
      <c r="L249" s="13" t="str">
        <f aca="false">IF($D249="","",IF($G249="",0,$G249)+IF($H249="",0,$H249))</f>
        <v/>
      </c>
      <c r="M249" s="7"/>
    </row>
    <row r="250" customFormat="false" ht="15" hidden="false" customHeight="true" outlineLevel="0" collapsed="false">
      <c r="A250" s="11"/>
      <c r="B250" s="7"/>
      <c r="C250" s="12" t="str">
        <f aca="false">IF($B250="","",IFERROR(INDEX(거래처마스터!$B$3:$B$102,MATCH($B250,거래처마스터!$A$3:$A$102,0)),"미등록"))</f>
        <v/>
      </c>
      <c r="D250" s="7"/>
      <c r="E250" s="12" t="str">
        <f aca="false">IF($D250="","",IFERROR(INDEX(품목마스터!$B$3:$B$202,MATCH($D250,품목마스터!$A$3:$A$202,0)),"미등록품번"))</f>
        <v/>
      </c>
      <c r="F250" s="12" t="str">
        <f aca="false">IF($D250="","",IFERROR(INDEX(품목마스터!$D$3:$D$202,MATCH($D250,품목마스터!$A$3:$A$202,0)),""))</f>
        <v/>
      </c>
      <c r="G250" s="9"/>
      <c r="H250" s="9"/>
      <c r="I250" s="9"/>
      <c r="J250" s="7"/>
      <c r="K250" s="13" t="str">
        <f aca="false">IF(OR($G250="",$I250=""),"",ROUND($G250*$I250,0))</f>
        <v/>
      </c>
      <c r="L250" s="13" t="str">
        <f aca="false">IF($D250="","",IF($G250="",0,$G250)+IF($H250="",0,$H250))</f>
        <v/>
      </c>
      <c r="M250" s="7"/>
    </row>
    <row r="251" customFormat="false" ht="15" hidden="false" customHeight="true" outlineLevel="0" collapsed="false">
      <c r="A251" s="11"/>
      <c r="B251" s="7"/>
      <c r="C251" s="12" t="str">
        <f aca="false">IF($B251="","",IFERROR(INDEX(거래처마스터!$B$3:$B$102,MATCH($B251,거래처마스터!$A$3:$A$102,0)),"미등록"))</f>
        <v/>
      </c>
      <c r="D251" s="7"/>
      <c r="E251" s="12" t="str">
        <f aca="false">IF($D251="","",IFERROR(INDEX(품목마스터!$B$3:$B$202,MATCH($D251,품목마스터!$A$3:$A$202,0)),"미등록품번"))</f>
        <v/>
      </c>
      <c r="F251" s="12" t="str">
        <f aca="false">IF($D251="","",IFERROR(INDEX(품목마스터!$D$3:$D$202,MATCH($D251,품목마스터!$A$3:$A$202,0)),""))</f>
        <v/>
      </c>
      <c r="G251" s="9"/>
      <c r="H251" s="9"/>
      <c r="I251" s="9"/>
      <c r="J251" s="7"/>
      <c r="K251" s="13" t="str">
        <f aca="false">IF(OR($G251="",$I251=""),"",ROUND($G251*$I251,0))</f>
        <v/>
      </c>
      <c r="L251" s="13" t="str">
        <f aca="false">IF($D251="","",IF($G251="",0,$G251)+IF($H251="",0,$H251))</f>
        <v/>
      </c>
      <c r="M251" s="7"/>
    </row>
    <row r="252" customFormat="false" ht="15" hidden="false" customHeight="true" outlineLevel="0" collapsed="false">
      <c r="A252" s="11"/>
      <c r="B252" s="7"/>
      <c r="C252" s="12" t="str">
        <f aca="false">IF($B252="","",IFERROR(INDEX(거래처마스터!$B$3:$B$102,MATCH($B252,거래처마스터!$A$3:$A$102,0)),"미등록"))</f>
        <v/>
      </c>
      <c r="D252" s="7"/>
      <c r="E252" s="12" t="str">
        <f aca="false">IF($D252="","",IFERROR(INDEX(품목마스터!$B$3:$B$202,MATCH($D252,품목마스터!$A$3:$A$202,0)),"미등록품번"))</f>
        <v/>
      </c>
      <c r="F252" s="12" t="str">
        <f aca="false">IF($D252="","",IFERROR(INDEX(품목마스터!$D$3:$D$202,MATCH($D252,품목마스터!$A$3:$A$202,0)),""))</f>
        <v/>
      </c>
      <c r="G252" s="9"/>
      <c r="H252" s="9"/>
      <c r="I252" s="9"/>
      <c r="J252" s="7"/>
      <c r="K252" s="13" t="str">
        <f aca="false">IF(OR($G252="",$I252=""),"",ROUND($G252*$I252,0))</f>
        <v/>
      </c>
      <c r="L252" s="13" t="str">
        <f aca="false">IF($D252="","",IF($G252="",0,$G252)+IF($H252="",0,$H252))</f>
        <v/>
      </c>
      <c r="M252" s="7"/>
    </row>
    <row r="253" customFormat="false" ht="15" hidden="false" customHeight="true" outlineLevel="0" collapsed="false">
      <c r="A253" s="11"/>
      <c r="B253" s="7"/>
      <c r="C253" s="12" t="str">
        <f aca="false">IF($B253="","",IFERROR(INDEX(거래처마스터!$B$3:$B$102,MATCH($B253,거래처마스터!$A$3:$A$102,0)),"미등록"))</f>
        <v/>
      </c>
      <c r="D253" s="7"/>
      <c r="E253" s="12" t="str">
        <f aca="false">IF($D253="","",IFERROR(INDEX(품목마스터!$B$3:$B$202,MATCH($D253,품목마스터!$A$3:$A$202,0)),"미등록품번"))</f>
        <v/>
      </c>
      <c r="F253" s="12" t="str">
        <f aca="false">IF($D253="","",IFERROR(INDEX(품목마스터!$D$3:$D$202,MATCH($D253,품목마스터!$A$3:$A$202,0)),""))</f>
        <v/>
      </c>
      <c r="G253" s="9"/>
      <c r="H253" s="9"/>
      <c r="I253" s="9"/>
      <c r="J253" s="7"/>
      <c r="K253" s="13" t="str">
        <f aca="false">IF(OR($G253="",$I253=""),"",ROUND($G253*$I253,0))</f>
        <v/>
      </c>
      <c r="L253" s="13" t="str">
        <f aca="false">IF($D253="","",IF($G253="",0,$G253)+IF($H253="",0,$H253))</f>
        <v/>
      </c>
      <c r="M253" s="7"/>
    </row>
    <row r="254" customFormat="false" ht="15" hidden="false" customHeight="true" outlineLevel="0" collapsed="false">
      <c r="A254" s="11"/>
      <c r="B254" s="7"/>
      <c r="C254" s="12" t="str">
        <f aca="false">IF($B254="","",IFERROR(INDEX(거래처마스터!$B$3:$B$102,MATCH($B254,거래처마스터!$A$3:$A$102,0)),"미등록"))</f>
        <v/>
      </c>
      <c r="D254" s="7"/>
      <c r="E254" s="12" t="str">
        <f aca="false">IF($D254="","",IFERROR(INDEX(품목마스터!$B$3:$B$202,MATCH($D254,품목마스터!$A$3:$A$202,0)),"미등록품번"))</f>
        <v/>
      </c>
      <c r="F254" s="12" t="str">
        <f aca="false">IF($D254="","",IFERROR(INDEX(품목마스터!$D$3:$D$202,MATCH($D254,품목마스터!$A$3:$A$202,0)),""))</f>
        <v/>
      </c>
      <c r="G254" s="9"/>
      <c r="H254" s="9"/>
      <c r="I254" s="9"/>
      <c r="J254" s="7"/>
      <c r="K254" s="13" t="str">
        <f aca="false">IF(OR($G254="",$I254=""),"",ROUND($G254*$I254,0))</f>
        <v/>
      </c>
      <c r="L254" s="13" t="str">
        <f aca="false">IF($D254="","",IF($G254="",0,$G254)+IF($H254="",0,$H254))</f>
        <v/>
      </c>
      <c r="M254" s="7"/>
    </row>
    <row r="255" customFormat="false" ht="15" hidden="false" customHeight="true" outlineLevel="0" collapsed="false">
      <c r="A255" s="11"/>
      <c r="B255" s="7"/>
      <c r="C255" s="12" t="str">
        <f aca="false">IF($B255="","",IFERROR(INDEX(거래처마스터!$B$3:$B$102,MATCH($B255,거래처마스터!$A$3:$A$102,0)),"미등록"))</f>
        <v/>
      </c>
      <c r="D255" s="7"/>
      <c r="E255" s="12" t="str">
        <f aca="false">IF($D255="","",IFERROR(INDEX(품목마스터!$B$3:$B$202,MATCH($D255,품목마스터!$A$3:$A$202,0)),"미등록품번"))</f>
        <v/>
      </c>
      <c r="F255" s="12" t="str">
        <f aca="false">IF($D255="","",IFERROR(INDEX(품목마스터!$D$3:$D$202,MATCH($D255,품목마스터!$A$3:$A$202,0)),""))</f>
        <v/>
      </c>
      <c r="G255" s="9"/>
      <c r="H255" s="9"/>
      <c r="I255" s="9"/>
      <c r="J255" s="7"/>
      <c r="K255" s="13" t="str">
        <f aca="false">IF(OR($G255="",$I255=""),"",ROUND($G255*$I255,0))</f>
        <v/>
      </c>
      <c r="L255" s="13" t="str">
        <f aca="false">IF($D255="","",IF($G255="",0,$G255)+IF($H255="",0,$H255))</f>
        <v/>
      </c>
      <c r="M255" s="7"/>
    </row>
    <row r="256" customFormat="false" ht="15" hidden="false" customHeight="true" outlineLevel="0" collapsed="false">
      <c r="A256" s="11"/>
      <c r="B256" s="7"/>
      <c r="C256" s="12" t="str">
        <f aca="false">IF($B256="","",IFERROR(INDEX(거래처마스터!$B$3:$B$102,MATCH($B256,거래처마스터!$A$3:$A$102,0)),"미등록"))</f>
        <v/>
      </c>
      <c r="D256" s="7"/>
      <c r="E256" s="12" t="str">
        <f aca="false">IF($D256="","",IFERROR(INDEX(품목마스터!$B$3:$B$202,MATCH($D256,품목마스터!$A$3:$A$202,0)),"미등록품번"))</f>
        <v/>
      </c>
      <c r="F256" s="12" t="str">
        <f aca="false">IF($D256="","",IFERROR(INDEX(품목마스터!$D$3:$D$202,MATCH($D256,품목마스터!$A$3:$A$202,0)),""))</f>
        <v/>
      </c>
      <c r="G256" s="9"/>
      <c r="H256" s="9"/>
      <c r="I256" s="9"/>
      <c r="J256" s="7"/>
      <c r="K256" s="13" t="str">
        <f aca="false">IF(OR($G256="",$I256=""),"",ROUND($G256*$I256,0))</f>
        <v/>
      </c>
      <c r="L256" s="13" t="str">
        <f aca="false">IF($D256="","",IF($G256="",0,$G256)+IF($H256="",0,$H256))</f>
        <v/>
      </c>
      <c r="M256" s="7"/>
    </row>
    <row r="257" customFormat="false" ht="15" hidden="false" customHeight="true" outlineLevel="0" collapsed="false">
      <c r="A257" s="11"/>
      <c r="B257" s="7"/>
      <c r="C257" s="12" t="str">
        <f aca="false">IF($B257="","",IFERROR(INDEX(거래처마스터!$B$3:$B$102,MATCH($B257,거래처마스터!$A$3:$A$102,0)),"미등록"))</f>
        <v/>
      </c>
      <c r="D257" s="7"/>
      <c r="E257" s="12" t="str">
        <f aca="false">IF($D257="","",IFERROR(INDEX(품목마스터!$B$3:$B$202,MATCH($D257,품목마스터!$A$3:$A$202,0)),"미등록품번"))</f>
        <v/>
      </c>
      <c r="F257" s="12" t="str">
        <f aca="false">IF($D257="","",IFERROR(INDEX(품목마스터!$D$3:$D$202,MATCH($D257,품목마스터!$A$3:$A$202,0)),""))</f>
        <v/>
      </c>
      <c r="G257" s="9"/>
      <c r="H257" s="9"/>
      <c r="I257" s="9"/>
      <c r="J257" s="7"/>
      <c r="K257" s="13" t="str">
        <f aca="false">IF(OR($G257="",$I257=""),"",ROUND($G257*$I257,0))</f>
        <v/>
      </c>
      <c r="L257" s="13" t="str">
        <f aca="false">IF($D257="","",IF($G257="",0,$G257)+IF($H257="",0,$H257))</f>
        <v/>
      </c>
      <c r="M257" s="7"/>
    </row>
    <row r="258" customFormat="false" ht="15" hidden="false" customHeight="true" outlineLevel="0" collapsed="false">
      <c r="A258" s="11"/>
      <c r="B258" s="7"/>
      <c r="C258" s="12" t="str">
        <f aca="false">IF($B258="","",IFERROR(INDEX(거래처마스터!$B$3:$B$102,MATCH($B258,거래처마스터!$A$3:$A$102,0)),"미등록"))</f>
        <v/>
      </c>
      <c r="D258" s="7"/>
      <c r="E258" s="12" t="str">
        <f aca="false">IF($D258="","",IFERROR(INDEX(품목마스터!$B$3:$B$202,MATCH($D258,품목마스터!$A$3:$A$202,0)),"미등록품번"))</f>
        <v/>
      </c>
      <c r="F258" s="12" t="str">
        <f aca="false">IF($D258="","",IFERROR(INDEX(품목마스터!$D$3:$D$202,MATCH($D258,품목마스터!$A$3:$A$202,0)),""))</f>
        <v/>
      </c>
      <c r="G258" s="9"/>
      <c r="H258" s="9"/>
      <c r="I258" s="9"/>
      <c r="J258" s="7"/>
      <c r="K258" s="13" t="str">
        <f aca="false">IF(OR($G258="",$I258=""),"",ROUND($G258*$I258,0))</f>
        <v/>
      </c>
      <c r="L258" s="13" t="str">
        <f aca="false">IF($D258="","",IF($G258="",0,$G258)+IF($H258="",0,$H258))</f>
        <v/>
      </c>
      <c r="M258" s="7"/>
    </row>
    <row r="259" customFormat="false" ht="15" hidden="false" customHeight="true" outlineLevel="0" collapsed="false">
      <c r="A259" s="11"/>
      <c r="B259" s="7"/>
      <c r="C259" s="12" t="str">
        <f aca="false">IF($B259="","",IFERROR(INDEX(거래처마스터!$B$3:$B$102,MATCH($B259,거래처마스터!$A$3:$A$102,0)),"미등록"))</f>
        <v/>
      </c>
      <c r="D259" s="7"/>
      <c r="E259" s="12" t="str">
        <f aca="false">IF($D259="","",IFERROR(INDEX(품목마스터!$B$3:$B$202,MATCH($D259,품목마스터!$A$3:$A$202,0)),"미등록품번"))</f>
        <v/>
      </c>
      <c r="F259" s="12" t="str">
        <f aca="false">IF($D259="","",IFERROR(INDEX(품목마스터!$D$3:$D$202,MATCH($D259,품목마스터!$A$3:$A$202,0)),""))</f>
        <v/>
      </c>
      <c r="G259" s="9"/>
      <c r="H259" s="9"/>
      <c r="I259" s="9"/>
      <c r="J259" s="7"/>
      <c r="K259" s="13" t="str">
        <f aca="false">IF(OR($G259="",$I259=""),"",ROUND($G259*$I259,0))</f>
        <v/>
      </c>
      <c r="L259" s="13" t="str">
        <f aca="false">IF($D259="","",IF($G259="",0,$G259)+IF($H259="",0,$H259))</f>
        <v/>
      </c>
      <c r="M259" s="7"/>
    </row>
    <row r="260" customFormat="false" ht="15" hidden="false" customHeight="true" outlineLevel="0" collapsed="false">
      <c r="A260" s="11"/>
      <c r="B260" s="7"/>
      <c r="C260" s="12" t="str">
        <f aca="false">IF($B260="","",IFERROR(INDEX(거래처마스터!$B$3:$B$102,MATCH($B260,거래처마스터!$A$3:$A$102,0)),"미등록"))</f>
        <v/>
      </c>
      <c r="D260" s="7"/>
      <c r="E260" s="12" t="str">
        <f aca="false">IF($D260="","",IFERROR(INDEX(품목마스터!$B$3:$B$202,MATCH($D260,품목마스터!$A$3:$A$202,0)),"미등록품번"))</f>
        <v/>
      </c>
      <c r="F260" s="12" t="str">
        <f aca="false">IF($D260="","",IFERROR(INDEX(품목마스터!$D$3:$D$202,MATCH($D260,품목마스터!$A$3:$A$202,0)),""))</f>
        <v/>
      </c>
      <c r="G260" s="9"/>
      <c r="H260" s="9"/>
      <c r="I260" s="9"/>
      <c r="J260" s="7"/>
      <c r="K260" s="13" t="str">
        <f aca="false">IF(OR($G260="",$I260=""),"",ROUND($G260*$I260,0))</f>
        <v/>
      </c>
      <c r="L260" s="13" t="str">
        <f aca="false">IF($D260="","",IF($G260="",0,$G260)+IF($H260="",0,$H260))</f>
        <v/>
      </c>
      <c r="M260" s="7"/>
    </row>
    <row r="261" customFormat="false" ht="15" hidden="false" customHeight="true" outlineLevel="0" collapsed="false">
      <c r="A261" s="11"/>
      <c r="B261" s="7"/>
      <c r="C261" s="12" t="str">
        <f aca="false">IF($B261="","",IFERROR(INDEX(거래처마스터!$B$3:$B$102,MATCH($B261,거래처마스터!$A$3:$A$102,0)),"미등록"))</f>
        <v/>
      </c>
      <c r="D261" s="7"/>
      <c r="E261" s="12" t="str">
        <f aca="false">IF($D261="","",IFERROR(INDEX(품목마스터!$B$3:$B$202,MATCH($D261,품목마스터!$A$3:$A$202,0)),"미등록품번"))</f>
        <v/>
      </c>
      <c r="F261" s="12" t="str">
        <f aca="false">IF($D261="","",IFERROR(INDEX(품목마스터!$D$3:$D$202,MATCH($D261,품목마스터!$A$3:$A$202,0)),""))</f>
        <v/>
      </c>
      <c r="G261" s="9"/>
      <c r="H261" s="9"/>
      <c r="I261" s="9"/>
      <c r="J261" s="7"/>
      <c r="K261" s="13" t="str">
        <f aca="false">IF(OR($G261="",$I261=""),"",ROUND($G261*$I261,0))</f>
        <v/>
      </c>
      <c r="L261" s="13" t="str">
        <f aca="false">IF($D261="","",IF($G261="",0,$G261)+IF($H261="",0,$H261))</f>
        <v/>
      </c>
      <c r="M261" s="7"/>
    </row>
    <row r="262" customFormat="false" ht="15" hidden="false" customHeight="true" outlineLevel="0" collapsed="false">
      <c r="A262" s="11"/>
      <c r="B262" s="7"/>
      <c r="C262" s="12" t="str">
        <f aca="false">IF($B262="","",IFERROR(INDEX(거래처마스터!$B$3:$B$102,MATCH($B262,거래처마스터!$A$3:$A$102,0)),"미등록"))</f>
        <v/>
      </c>
      <c r="D262" s="7"/>
      <c r="E262" s="12" t="str">
        <f aca="false">IF($D262="","",IFERROR(INDEX(품목마스터!$B$3:$B$202,MATCH($D262,품목마스터!$A$3:$A$202,0)),"미등록품번"))</f>
        <v/>
      </c>
      <c r="F262" s="12" t="str">
        <f aca="false">IF($D262="","",IFERROR(INDEX(품목마스터!$D$3:$D$202,MATCH($D262,품목마스터!$A$3:$A$202,0)),""))</f>
        <v/>
      </c>
      <c r="G262" s="9"/>
      <c r="H262" s="9"/>
      <c r="I262" s="9"/>
      <c r="J262" s="7"/>
      <c r="K262" s="13" t="str">
        <f aca="false">IF(OR($G262="",$I262=""),"",ROUND($G262*$I262,0))</f>
        <v/>
      </c>
      <c r="L262" s="13" t="str">
        <f aca="false">IF($D262="","",IF($G262="",0,$G262)+IF($H262="",0,$H262))</f>
        <v/>
      </c>
      <c r="M262" s="7"/>
    </row>
    <row r="263" customFormat="false" ht="15" hidden="false" customHeight="true" outlineLevel="0" collapsed="false">
      <c r="A263" s="11"/>
      <c r="B263" s="7"/>
      <c r="C263" s="12" t="str">
        <f aca="false">IF($B263="","",IFERROR(INDEX(거래처마스터!$B$3:$B$102,MATCH($B263,거래처마스터!$A$3:$A$102,0)),"미등록"))</f>
        <v/>
      </c>
      <c r="D263" s="7"/>
      <c r="E263" s="12" t="str">
        <f aca="false">IF($D263="","",IFERROR(INDEX(품목마스터!$B$3:$B$202,MATCH($D263,품목마스터!$A$3:$A$202,0)),"미등록품번"))</f>
        <v/>
      </c>
      <c r="F263" s="12" t="str">
        <f aca="false">IF($D263="","",IFERROR(INDEX(품목마스터!$D$3:$D$202,MATCH($D263,품목마스터!$A$3:$A$202,0)),""))</f>
        <v/>
      </c>
      <c r="G263" s="9"/>
      <c r="H263" s="9"/>
      <c r="I263" s="9"/>
      <c r="J263" s="7"/>
      <c r="K263" s="13" t="str">
        <f aca="false">IF(OR($G263="",$I263=""),"",ROUND($G263*$I263,0))</f>
        <v/>
      </c>
      <c r="L263" s="13" t="str">
        <f aca="false">IF($D263="","",IF($G263="",0,$G263)+IF($H263="",0,$H263))</f>
        <v/>
      </c>
      <c r="M263" s="7"/>
    </row>
    <row r="264" customFormat="false" ht="15" hidden="false" customHeight="true" outlineLevel="0" collapsed="false">
      <c r="A264" s="11"/>
      <c r="B264" s="7"/>
      <c r="C264" s="12" t="str">
        <f aca="false">IF($B264="","",IFERROR(INDEX(거래처마스터!$B$3:$B$102,MATCH($B264,거래처마스터!$A$3:$A$102,0)),"미등록"))</f>
        <v/>
      </c>
      <c r="D264" s="7"/>
      <c r="E264" s="12" t="str">
        <f aca="false">IF($D264="","",IFERROR(INDEX(품목마스터!$B$3:$B$202,MATCH($D264,품목마스터!$A$3:$A$202,0)),"미등록품번"))</f>
        <v/>
      </c>
      <c r="F264" s="12" t="str">
        <f aca="false">IF($D264="","",IFERROR(INDEX(품목마스터!$D$3:$D$202,MATCH($D264,품목마스터!$A$3:$A$202,0)),""))</f>
        <v/>
      </c>
      <c r="G264" s="9"/>
      <c r="H264" s="9"/>
      <c r="I264" s="9"/>
      <c r="J264" s="7"/>
      <c r="K264" s="13" t="str">
        <f aca="false">IF(OR($G264="",$I264=""),"",ROUND($G264*$I264,0))</f>
        <v/>
      </c>
      <c r="L264" s="13" t="str">
        <f aca="false">IF($D264="","",IF($G264="",0,$G264)+IF($H264="",0,$H264))</f>
        <v/>
      </c>
      <c r="M264" s="7"/>
    </row>
    <row r="265" customFormat="false" ht="15" hidden="false" customHeight="true" outlineLevel="0" collapsed="false">
      <c r="A265" s="11"/>
      <c r="B265" s="7"/>
      <c r="C265" s="12" t="str">
        <f aca="false">IF($B265="","",IFERROR(INDEX(거래처마스터!$B$3:$B$102,MATCH($B265,거래처마스터!$A$3:$A$102,0)),"미등록"))</f>
        <v/>
      </c>
      <c r="D265" s="7"/>
      <c r="E265" s="12" t="str">
        <f aca="false">IF($D265="","",IFERROR(INDEX(품목마스터!$B$3:$B$202,MATCH($D265,품목마스터!$A$3:$A$202,0)),"미등록품번"))</f>
        <v/>
      </c>
      <c r="F265" s="12" t="str">
        <f aca="false">IF($D265="","",IFERROR(INDEX(품목마스터!$D$3:$D$202,MATCH($D265,품목마스터!$A$3:$A$202,0)),""))</f>
        <v/>
      </c>
      <c r="G265" s="9"/>
      <c r="H265" s="9"/>
      <c r="I265" s="9"/>
      <c r="J265" s="7"/>
      <c r="K265" s="13" t="str">
        <f aca="false">IF(OR($G265="",$I265=""),"",ROUND($G265*$I265,0))</f>
        <v/>
      </c>
      <c r="L265" s="13" t="str">
        <f aca="false">IF($D265="","",IF($G265="",0,$G265)+IF($H265="",0,$H265))</f>
        <v/>
      </c>
      <c r="M265" s="7"/>
    </row>
    <row r="266" customFormat="false" ht="15" hidden="false" customHeight="true" outlineLevel="0" collapsed="false">
      <c r="A266" s="11"/>
      <c r="B266" s="7"/>
      <c r="C266" s="12" t="str">
        <f aca="false">IF($B266="","",IFERROR(INDEX(거래처마스터!$B$3:$B$102,MATCH($B266,거래처마스터!$A$3:$A$102,0)),"미등록"))</f>
        <v/>
      </c>
      <c r="D266" s="7"/>
      <c r="E266" s="12" t="str">
        <f aca="false">IF($D266="","",IFERROR(INDEX(품목마스터!$B$3:$B$202,MATCH($D266,품목마스터!$A$3:$A$202,0)),"미등록품번"))</f>
        <v/>
      </c>
      <c r="F266" s="12" t="str">
        <f aca="false">IF($D266="","",IFERROR(INDEX(품목마스터!$D$3:$D$202,MATCH($D266,품목마스터!$A$3:$A$202,0)),""))</f>
        <v/>
      </c>
      <c r="G266" s="9"/>
      <c r="H266" s="9"/>
      <c r="I266" s="9"/>
      <c r="J266" s="7"/>
      <c r="K266" s="13" t="str">
        <f aca="false">IF(OR($G266="",$I266=""),"",ROUND($G266*$I266,0))</f>
        <v/>
      </c>
      <c r="L266" s="13" t="str">
        <f aca="false">IF($D266="","",IF($G266="",0,$G266)+IF($H266="",0,$H266))</f>
        <v/>
      </c>
      <c r="M266" s="7"/>
    </row>
    <row r="267" customFormat="false" ht="15" hidden="false" customHeight="true" outlineLevel="0" collapsed="false">
      <c r="A267" s="11"/>
      <c r="B267" s="7"/>
      <c r="C267" s="12" t="str">
        <f aca="false">IF($B267="","",IFERROR(INDEX(거래처마스터!$B$3:$B$102,MATCH($B267,거래처마스터!$A$3:$A$102,0)),"미등록"))</f>
        <v/>
      </c>
      <c r="D267" s="7"/>
      <c r="E267" s="12" t="str">
        <f aca="false">IF($D267="","",IFERROR(INDEX(품목마스터!$B$3:$B$202,MATCH($D267,품목마스터!$A$3:$A$202,0)),"미등록품번"))</f>
        <v/>
      </c>
      <c r="F267" s="12" t="str">
        <f aca="false">IF($D267="","",IFERROR(INDEX(품목마스터!$D$3:$D$202,MATCH($D267,품목마스터!$A$3:$A$202,0)),""))</f>
        <v/>
      </c>
      <c r="G267" s="9"/>
      <c r="H267" s="9"/>
      <c r="I267" s="9"/>
      <c r="J267" s="7"/>
      <c r="K267" s="13" t="str">
        <f aca="false">IF(OR($G267="",$I267=""),"",ROUND($G267*$I267,0))</f>
        <v/>
      </c>
      <c r="L267" s="13" t="str">
        <f aca="false">IF($D267="","",IF($G267="",0,$G267)+IF($H267="",0,$H267))</f>
        <v/>
      </c>
      <c r="M267" s="7"/>
    </row>
    <row r="268" customFormat="false" ht="15" hidden="false" customHeight="true" outlineLevel="0" collapsed="false">
      <c r="A268" s="11"/>
      <c r="B268" s="7"/>
      <c r="C268" s="12" t="str">
        <f aca="false">IF($B268="","",IFERROR(INDEX(거래처마스터!$B$3:$B$102,MATCH($B268,거래처마스터!$A$3:$A$102,0)),"미등록"))</f>
        <v/>
      </c>
      <c r="D268" s="7"/>
      <c r="E268" s="12" t="str">
        <f aca="false">IF($D268="","",IFERROR(INDEX(품목마스터!$B$3:$B$202,MATCH($D268,품목마스터!$A$3:$A$202,0)),"미등록품번"))</f>
        <v/>
      </c>
      <c r="F268" s="12" t="str">
        <f aca="false">IF($D268="","",IFERROR(INDEX(품목마스터!$D$3:$D$202,MATCH($D268,품목마스터!$A$3:$A$202,0)),""))</f>
        <v/>
      </c>
      <c r="G268" s="9"/>
      <c r="H268" s="9"/>
      <c r="I268" s="9"/>
      <c r="J268" s="7"/>
      <c r="K268" s="13" t="str">
        <f aca="false">IF(OR($G268="",$I268=""),"",ROUND($G268*$I268,0))</f>
        <v/>
      </c>
      <c r="L268" s="13" t="str">
        <f aca="false">IF($D268="","",IF($G268="",0,$G268)+IF($H268="",0,$H268))</f>
        <v/>
      </c>
      <c r="M268" s="7"/>
    </row>
    <row r="269" customFormat="false" ht="15" hidden="false" customHeight="true" outlineLevel="0" collapsed="false">
      <c r="A269" s="11"/>
      <c r="B269" s="7"/>
      <c r="C269" s="12" t="str">
        <f aca="false">IF($B269="","",IFERROR(INDEX(거래처마스터!$B$3:$B$102,MATCH($B269,거래처마스터!$A$3:$A$102,0)),"미등록"))</f>
        <v/>
      </c>
      <c r="D269" s="7"/>
      <c r="E269" s="12" t="str">
        <f aca="false">IF($D269="","",IFERROR(INDEX(품목마스터!$B$3:$B$202,MATCH($D269,품목마스터!$A$3:$A$202,0)),"미등록품번"))</f>
        <v/>
      </c>
      <c r="F269" s="12" t="str">
        <f aca="false">IF($D269="","",IFERROR(INDEX(품목마스터!$D$3:$D$202,MATCH($D269,품목마스터!$A$3:$A$202,0)),""))</f>
        <v/>
      </c>
      <c r="G269" s="9"/>
      <c r="H269" s="9"/>
      <c r="I269" s="9"/>
      <c r="J269" s="7"/>
      <c r="K269" s="13" t="str">
        <f aca="false">IF(OR($G269="",$I269=""),"",ROUND($G269*$I269,0))</f>
        <v/>
      </c>
      <c r="L269" s="13" t="str">
        <f aca="false">IF($D269="","",IF($G269="",0,$G269)+IF($H269="",0,$H269))</f>
        <v/>
      </c>
      <c r="M269" s="7"/>
    </row>
    <row r="270" customFormat="false" ht="15" hidden="false" customHeight="true" outlineLevel="0" collapsed="false">
      <c r="A270" s="11"/>
      <c r="B270" s="7"/>
      <c r="C270" s="12" t="str">
        <f aca="false">IF($B270="","",IFERROR(INDEX(거래처마스터!$B$3:$B$102,MATCH($B270,거래처마스터!$A$3:$A$102,0)),"미등록"))</f>
        <v/>
      </c>
      <c r="D270" s="7"/>
      <c r="E270" s="12" t="str">
        <f aca="false">IF($D270="","",IFERROR(INDEX(품목마스터!$B$3:$B$202,MATCH($D270,품목마스터!$A$3:$A$202,0)),"미등록품번"))</f>
        <v/>
      </c>
      <c r="F270" s="12" t="str">
        <f aca="false">IF($D270="","",IFERROR(INDEX(품목마스터!$D$3:$D$202,MATCH($D270,품목마스터!$A$3:$A$202,0)),""))</f>
        <v/>
      </c>
      <c r="G270" s="9"/>
      <c r="H270" s="9"/>
      <c r="I270" s="9"/>
      <c r="J270" s="7"/>
      <c r="K270" s="13" t="str">
        <f aca="false">IF(OR($G270="",$I270=""),"",ROUND($G270*$I270,0))</f>
        <v/>
      </c>
      <c r="L270" s="13" t="str">
        <f aca="false">IF($D270="","",IF($G270="",0,$G270)+IF($H270="",0,$H270))</f>
        <v/>
      </c>
      <c r="M270" s="7"/>
    </row>
    <row r="271" customFormat="false" ht="15" hidden="false" customHeight="true" outlineLevel="0" collapsed="false">
      <c r="A271" s="11"/>
      <c r="B271" s="7"/>
      <c r="C271" s="12" t="str">
        <f aca="false">IF($B271="","",IFERROR(INDEX(거래처마스터!$B$3:$B$102,MATCH($B271,거래처마스터!$A$3:$A$102,0)),"미등록"))</f>
        <v/>
      </c>
      <c r="D271" s="7"/>
      <c r="E271" s="12" t="str">
        <f aca="false">IF($D271="","",IFERROR(INDEX(품목마스터!$B$3:$B$202,MATCH($D271,품목마스터!$A$3:$A$202,0)),"미등록품번"))</f>
        <v/>
      </c>
      <c r="F271" s="12" t="str">
        <f aca="false">IF($D271="","",IFERROR(INDEX(품목마스터!$D$3:$D$202,MATCH($D271,품목마스터!$A$3:$A$202,0)),""))</f>
        <v/>
      </c>
      <c r="G271" s="9"/>
      <c r="H271" s="9"/>
      <c r="I271" s="9"/>
      <c r="J271" s="7"/>
      <c r="K271" s="13" t="str">
        <f aca="false">IF(OR($G271="",$I271=""),"",ROUND($G271*$I271,0))</f>
        <v/>
      </c>
      <c r="L271" s="13" t="str">
        <f aca="false">IF($D271="","",IF($G271="",0,$G271)+IF($H271="",0,$H271))</f>
        <v/>
      </c>
      <c r="M271" s="7"/>
    </row>
    <row r="272" customFormat="false" ht="15" hidden="false" customHeight="true" outlineLevel="0" collapsed="false">
      <c r="A272" s="11"/>
      <c r="B272" s="7"/>
      <c r="C272" s="12" t="str">
        <f aca="false">IF($B272="","",IFERROR(INDEX(거래처마스터!$B$3:$B$102,MATCH($B272,거래처마스터!$A$3:$A$102,0)),"미등록"))</f>
        <v/>
      </c>
      <c r="D272" s="7"/>
      <c r="E272" s="12" t="str">
        <f aca="false">IF($D272="","",IFERROR(INDEX(품목마스터!$B$3:$B$202,MATCH($D272,품목마스터!$A$3:$A$202,0)),"미등록품번"))</f>
        <v/>
      </c>
      <c r="F272" s="12" t="str">
        <f aca="false">IF($D272="","",IFERROR(INDEX(품목마스터!$D$3:$D$202,MATCH($D272,품목마스터!$A$3:$A$202,0)),""))</f>
        <v/>
      </c>
      <c r="G272" s="9"/>
      <c r="H272" s="9"/>
      <c r="I272" s="9"/>
      <c r="J272" s="7"/>
      <c r="K272" s="13" t="str">
        <f aca="false">IF(OR($G272="",$I272=""),"",ROUND($G272*$I272,0))</f>
        <v/>
      </c>
      <c r="L272" s="13" t="str">
        <f aca="false">IF($D272="","",IF($G272="",0,$G272)+IF($H272="",0,$H272))</f>
        <v/>
      </c>
      <c r="M272" s="7"/>
    </row>
    <row r="273" customFormat="false" ht="15" hidden="false" customHeight="true" outlineLevel="0" collapsed="false">
      <c r="A273" s="11"/>
      <c r="B273" s="7"/>
      <c r="C273" s="12" t="str">
        <f aca="false">IF($B273="","",IFERROR(INDEX(거래처마스터!$B$3:$B$102,MATCH($B273,거래처마스터!$A$3:$A$102,0)),"미등록"))</f>
        <v/>
      </c>
      <c r="D273" s="7"/>
      <c r="E273" s="12" t="str">
        <f aca="false">IF($D273="","",IFERROR(INDEX(품목마스터!$B$3:$B$202,MATCH($D273,품목마스터!$A$3:$A$202,0)),"미등록품번"))</f>
        <v/>
      </c>
      <c r="F273" s="12" t="str">
        <f aca="false">IF($D273="","",IFERROR(INDEX(품목마스터!$D$3:$D$202,MATCH($D273,품목마스터!$A$3:$A$202,0)),""))</f>
        <v/>
      </c>
      <c r="G273" s="9"/>
      <c r="H273" s="9"/>
      <c r="I273" s="9"/>
      <c r="J273" s="7"/>
      <c r="K273" s="13" t="str">
        <f aca="false">IF(OR($G273="",$I273=""),"",ROUND($G273*$I273,0))</f>
        <v/>
      </c>
      <c r="L273" s="13" t="str">
        <f aca="false">IF($D273="","",IF($G273="",0,$G273)+IF($H273="",0,$H273))</f>
        <v/>
      </c>
      <c r="M273" s="7"/>
    </row>
    <row r="274" customFormat="false" ht="15" hidden="false" customHeight="true" outlineLevel="0" collapsed="false">
      <c r="A274" s="11"/>
      <c r="B274" s="7"/>
      <c r="C274" s="12" t="str">
        <f aca="false">IF($B274="","",IFERROR(INDEX(거래처마스터!$B$3:$B$102,MATCH($B274,거래처마스터!$A$3:$A$102,0)),"미등록"))</f>
        <v/>
      </c>
      <c r="D274" s="7"/>
      <c r="E274" s="12" t="str">
        <f aca="false">IF($D274="","",IFERROR(INDEX(품목마스터!$B$3:$B$202,MATCH($D274,품목마스터!$A$3:$A$202,0)),"미등록품번"))</f>
        <v/>
      </c>
      <c r="F274" s="12" t="str">
        <f aca="false">IF($D274="","",IFERROR(INDEX(품목마스터!$D$3:$D$202,MATCH($D274,품목마스터!$A$3:$A$202,0)),""))</f>
        <v/>
      </c>
      <c r="G274" s="9"/>
      <c r="H274" s="9"/>
      <c r="I274" s="9"/>
      <c r="J274" s="7"/>
      <c r="K274" s="13" t="str">
        <f aca="false">IF(OR($G274="",$I274=""),"",ROUND($G274*$I274,0))</f>
        <v/>
      </c>
      <c r="L274" s="13" t="str">
        <f aca="false">IF($D274="","",IF($G274="",0,$G274)+IF($H274="",0,$H274))</f>
        <v/>
      </c>
      <c r="M274" s="7"/>
    </row>
    <row r="275" customFormat="false" ht="15" hidden="false" customHeight="true" outlineLevel="0" collapsed="false">
      <c r="A275" s="11"/>
      <c r="B275" s="7"/>
      <c r="C275" s="12" t="str">
        <f aca="false">IF($B275="","",IFERROR(INDEX(거래처마스터!$B$3:$B$102,MATCH($B275,거래처마스터!$A$3:$A$102,0)),"미등록"))</f>
        <v/>
      </c>
      <c r="D275" s="7"/>
      <c r="E275" s="12" t="str">
        <f aca="false">IF($D275="","",IFERROR(INDEX(품목마스터!$B$3:$B$202,MATCH($D275,품목마스터!$A$3:$A$202,0)),"미등록품번"))</f>
        <v/>
      </c>
      <c r="F275" s="12" t="str">
        <f aca="false">IF($D275="","",IFERROR(INDEX(품목마스터!$D$3:$D$202,MATCH($D275,품목마스터!$A$3:$A$202,0)),""))</f>
        <v/>
      </c>
      <c r="G275" s="9"/>
      <c r="H275" s="9"/>
      <c r="I275" s="9"/>
      <c r="J275" s="7"/>
      <c r="K275" s="13" t="str">
        <f aca="false">IF(OR($G275="",$I275=""),"",ROUND($G275*$I275,0))</f>
        <v/>
      </c>
      <c r="L275" s="13" t="str">
        <f aca="false">IF($D275="","",IF($G275="",0,$G275)+IF($H275="",0,$H275))</f>
        <v/>
      </c>
      <c r="M275" s="7"/>
    </row>
    <row r="276" customFormat="false" ht="15" hidden="false" customHeight="true" outlineLevel="0" collapsed="false">
      <c r="A276" s="11"/>
      <c r="B276" s="7"/>
      <c r="C276" s="12" t="str">
        <f aca="false">IF($B276="","",IFERROR(INDEX(거래처마스터!$B$3:$B$102,MATCH($B276,거래처마스터!$A$3:$A$102,0)),"미등록"))</f>
        <v/>
      </c>
      <c r="D276" s="7"/>
      <c r="E276" s="12" t="str">
        <f aca="false">IF($D276="","",IFERROR(INDEX(품목마스터!$B$3:$B$202,MATCH($D276,품목마스터!$A$3:$A$202,0)),"미등록품번"))</f>
        <v/>
      </c>
      <c r="F276" s="12" t="str">
        <f aca="false">IF($D276="","",IFERROR(INDEX(품목마스터!$D$3:$D$202,MATCH($D276,품목마스터!$A$3:$A$202,0)),""))</f>
        <v/>
      </c>
      <c r="G276" s="9"/>
      <c r="H276" s="9"/>
      <c r="I276" s="9"/>
      <c r="J276" s="7"/>
      <c r="K276" s="13" t="str">
        <f aca="false">IF(OR($G276="",$I276=""),"",ROUND($G276*$I276,0))</f>
        <v/>
      </c>
      <c r="L276" s="13" t="str">
        <f aca="false">IF($D276="","",IF($G276="",0,$G276)+IF($H276="",0,$H276))</f>
        <v/>
      </c>
      <c r="M276" s="7"/>
    </row>
    <row r="277" customFormat="false" ht="15" hidden="false" customHeight="true" outlineLevel="0" collapsed="false">
      <c r="A277" s="11"/>
      <c r="B277" s="7"/>
      <c r="C277" s="12" t="str">
        <f aca="false">IF($B277="","",IFERROR(INDEX(거래처마스터!$B$3:$B$102,MATCH($B277,거래처마스터!$A$3:$A$102,0)),"미등록"))</f>
        <v/>
      </c>
      <c r="D277" s="7"/>
      <c r="E277" s="12" t="str">
        <f aca="false">IF($D277="","",IFERROR(INDEX(품목마스터!$B$3:$B$202,MATCH($D277,품목마스터!$A$3:$A$202,0)),"미등록품번"))</f>
        <v/>
      </c>
      <c r="F277" s="12" t="str">
        <f aca="false">IF($D277="","",IFERROR(INDEX(품목마스터!$D$3:$D$202,MATCH($D277,품목마스터!$A$3:$A$202,0)),""))</f>
        <v/>
      </c>
      <c r="G277" s="9"/>
      <c r="H277" s="9"/>
      <c r="I277" s="9"/>
      <c r="J277" s="7"/>
      <c r="K277" s="13" t="str">
        <f aca="false">IF(OR($G277="",$I277=""),"",ROUND($G277*$I277,0))</f>
        <v/>
      </c>
      <c r="L277" s="13" t="str">
        <f aca="false">IF($D277="","",IF($G277="",0,$G277)+IF($H277="",0,$H277))</f>
        <v/>
      </c>
      <c r="M277" s="7"/>
    </row>
    <row r="278" customFormat="false" ht="15" hidden="false" customHeight="true" outlineLevel="0" collapsed="false">
      <c r="A278" s="11"/>
      <c r="B278" s="7"/>
      <c r="C278" s="12" t="str">
        <f aca="false">IF($B278="","",IFERROR(INDEX(거래처마스터!$B$3:$B$102,MATCH($B278,거래처마스터!$A$3:$A$102,0)),"미등록"))</f>
        <v/>
      </c>
      <c r="D278" s="7"/>
      <c r="E278" s="12" t="str">
        <f aca="false">IF($D278="","",IFERROR(INDEX(품목마스터!$B$3:$B$202,MATCH($D278,품목마스터!$A$3:$A$202,0)),"미등록품번"))</f>
        <v/>
      </c>
      <c r="F278" s="12" t="str">
        <f aca="false">IF($D278="","",IFERROR(INDEX(품목마스터!$D$3:$D$202,MATCH($D278,품목마스터!$A$3:$A$202,0)),""))</f>
        <v/>
      </c>
      <c r="G278" s="9"/>
      <c r="H278" s="9"/>
      <c r="I278" s="9"/>
      <c r="J278" s="7"/>
      <c r="K278" s="13" t="str">
        <f aca="false">IF(OR($G278="",$I278=""),"",ROUND($G278*$I278,0))</f>
        <v/>
      </c>
      <c r="L278" s="13" t="str">
        <f aca="false">IF($D278="","",IF($G278="",0,$G278)+IF($H278="",0,$H278))</f>
        <v/>
      </c>
      <c r="M278" s="7"/>
    </row>
    <row r="279" customFormat="false" ht="15" hidden="false" customHeight="true" outlineLevel="0" collapsed="false">
      <c r="A279" s="11"/>
      <c r="B279" s="7"/>
      <c r="C279" s="12" t="str">
        <f aca="false">IF($B279="","",IFERROR(INDEX(거래처마스터!$B$3:$B$102,MATCH($B279,거래처마스터!$A$3:$A$102,0)),"미등록"))</f>
        <v/>
      </c>
      <c r="D279" s="7"/>
      <c r="E279" s="12" t="str">
        <f aca="false">IF($D279="","",IFERROR(INDEX(품목마스터!$B$3:$B$202,MATCH($D279,품목마스터!$A$3:$A$202,0)),"미등록품번"))</f>
        <v/>
      </c>
      <c r="F279" s="12" t="str">
        <f aca="false">IF($D279="","",IFERROR(INDEX(품목마스터!$D$3:$D$202,MATCH($D279,품목마스터!$A$3:$A$202,0)),""))</f>
        <v/>
      </c>
      <c r="G279" s="9"/>
      <c r="H279" s="9"/>
      <c r="I279" s="9"/>
      <c r="J279" s="7"/>
      <c r="K279" s="13" t="str">
        <f aca="false">IF(OR($G279="",$I279=""),"",ROUND($G279*$I279,0))</f>
        <v/>
      </c>
      <c r="L279" s="13" t="str">
        <f aca="false">IF($D279="","",IF($G279="",0,$G279)+IF($H279="",0,$H279))</f>
        <v/>
      </c>
      <c r="M279" s="7"/>
    </row>
    <row r="280" customFormat="false" ht="15" hidden="false" customHeight="true" outlineLevel="0" collapsed="false">
      <c r="A280" s="11"/>
      <c r="B280" s="7"/>
      <c r="C280" s="12" t="str">
        <f aca="false">IF($B280="","",IFERROR(INDEX(거래처마스터!$B$3:$B$102,MATCH($B280,거래처마스터!$A$3:$A$102,0)),"미등록"))</f>
        <v/>
      </c>
      <c r="D280" s="7"/>
      <c r="E280" s="12" t="str">
        <f aca="false">IF($D280="","",IFERROR(INDEX(품목마스터!$B$3:$B$202,MATCH($D280,품목마스터!$A$3:$A$202,0)),"미등록품번"))</f>
        <v/>
      </c>
      <c r="F280" s="12" t="str">
        <f aca="false">IF($D280="","",IFERROR(INDEX(품목마스터!$D$3:$D$202,MATCH($D280,품목마스터!$A$3:$A$202,0)),""))</f>
        <v/>
      </c>
      <c r="G280" s="9"/>
      <c r="H280" s="9"/>
      <c r="I280" s="9"/>
      <c r="J280" s="7"/>
      <c r="K280" s="13" t="str">
        <f aca="false">IF(OR($G280="",$I280=""),"",ROUND($G280*$I280,0))</f>
        <v/>
      </c>
      <c r="L280" s="13" t="str">
        <f aca="false">IF($D280="","",IF($G280="",0,$G280)+IF($H280="",0,$H280))</f>
        <v/>
      </c>
      <c r="M280" s="7"/>
    </row>
    <row r="281" customFormat="false" ht="15" hidden="false" customHeight="true" outlineLevel="0" collapsed="false">
      <c r="A281" s="11"/>
      <c r="B281" s="7"/>
      <c r="C281" s="12" t="str">
        <f aca="false">IF($B281="","",IFERROR(INDEX(거래처마스터!$B$3:$B$102,MATCH($B281,거래처마스터!$A$3:$A$102,0)),"미등록"))</f>
        <v/>
      </c>
      <c r="D281" s="7"/>
      <c r="E281" s="12" t="str">
        <f aca="false">IF($D281="","",IFERROR(INDEX(품목마스터!$B$3:$B$202,MATCH($D281,품목마스터!$A$3:$A$202,0)),"미등록품번"))</f>
        <v/>
      </c>
      <c r="F281" s="12" t="str">
        <f aca="false">IF($D281="","",IFERROR(INDEX(품목마스터!$D$3:$D$202,MATCH($D281,품목마스터!$A$3:$A$202,0)),""))</f>
        <v/>
      </c>
      <c r="G281" s="9"/>
      <c r="H281" s="9"/>
      <c r="I281" s="9"/>
      <c r="J281" s="7"/>
      <c r="K281" s="13" t="str">
        <f aca="false">IF(OR($G281="",$I281=""),"",ROUND($G281*$I281,0))</f>
        <v/>
      </c>
      <c r="L281" s="13" t="str">
        <f aca="false">IF($D281="","",IF($G281="",0,$G281)+IF($H281="",0,$H281))</f>
        <v/>
      </c>
      <c r="M281" s="7"/>
    </row>
    <row r="282" customFormat="false" ht="15" hidden="false" customHeight="true" outlineLevel="0" collapsed="false">
      <c r="A282" s="11"/>
      <c r="B282" s="7"/>
      <c r="C282" s="12" t="str">
        <f aca="false">IF($B282="","",IFERROR(INDEX(거래처마스터!$B$3:$B$102,MATCH($B282,거래처마스터!$A$3:$A$102,0)),"미등록"))</f>
        <v/>
      </c>
      <c r="D282" s="7"/>
      <c r="E282" s="12" t="str">
        <f aca="false">IF($D282="","",IFERROR(INDEX(품목마스터!$B$3:$B$202,MATCH($D282,품목마스터!$A$3:$A$202,0)),"미등록품번"))</f>
        <v/>
      </c>
      <c r="F282" s="12" t="str">
        <f aca="false">IF($D282="","",IFERROR(INDEX(품목마스터!$D$3:$D$202,MATCH($D282,품목마스터!$A$3:$A$202,0)),""))</f>
        <v/>
      </c>
      <c r="G282" s="9"/>
      <c r="H282" s="9"/>
      <c r="I282" s="9"/>
      <c r="J282" s="7"/>
      <c r="K282" s="13" t="str">
        <f aca="false">IF(OR($G282="",$I282=""),"",ROUND($G282*$I282,0))</f>
        <v/>
      </c>
      <c r="L282" s="13" t="str">
        <f aca="false">IF($D282="","",IF($G282="",0,$G282)+IF($H282="",0,$H282))</f>
        <v/>
      </c>
      <c r="M282" s="7"/>
    </row>
    <row r="283" customFormat="false" ht="15" hidden="false" customHeight="true" outlineLevel="0" collapsed="false">
      <c r="A283" s="11"/>
      <c r="B283" s="7"/>
      <c r="C283" s="12" t="str">
        <f aca="false">IF($B283="","",IFERROR(INDEX(거래처마스터!$B$3:$B$102,MATCH($B283,거래처마스터!$A$3:$A$102,0)),"미등록"))</f>
        <v/>
      </c>
      <c r="D283" s="7"/>
      <c r="E283" s="12" t="str">
        <f aca="false">IF($D283="","",IFERROR(INDEX(품목마스터!$B$3:$B$202,MATCH($D283,품목마스터!$A$3:$A$202,0)),"미등록품번"))</f>
        <v/>
      </c>
      <c r="F283" s="12" t="str">
        <f aca="false">IF($D283="","",IFERROR(INDEX(품목마스터!$D$3:$D$202,MATCH($D283,품목마스터!$A$3:$A$202,0)),""))</f>
        <v/>
      </c>
      <c r="G283" s="9"/>
      <c r="H283" s="9"/>
      <c r="I283" s="9"/>
      <c r="J283" s="7"/>
      <c r="K283" s="13" t="str">
        <f aca="false">IF(OR($G283="",$I283=""),"",ROUND($G283*$I283,0))</f>
        <v/>
      </c>
      <c r="L283" s="13" t="str">
        <f aca="false">IF($D283="","",IF($G283="",0,$G283)+IF($H283="",0,$H283))</f>
        <v/>
      </c>
      <c r="M283" s="7"/>
    </row>
    <row r="284" customFormat="false" ht="15" hidden="false" customHeight="true" outlineLevel="0" collapsed="false">
      <c r="A284" s="11"/>
      <c r="B284" s="7"/>
      <c r="C284" s="12" t="str">
        <f aca="false">IF($B284="","",IFERROR(INDEX(거래처마스터!$B$3:$B$102,MATCH($B284,거래처마스터!$A$3:$A$102,0)),"미등록"))</f>
        <v/>
      </c>
      <c r="D284" s="7"/>
      <c r="E284" s="12" t="str">
        <f aca="false">IF($D284="","",IFERROR(INDEX(품목마스터!$B$3:$B$202,MATCH($D284,품목마스터!$A$3:$A$202,0)),"미등록품번"))</f>
        <v/>
      </c>
      <c r="F284" s="12" t="str">
        <f aca="false">IF($D284="","",IFERROR(INDEX(품목마스터!$D$3:$D$202,MATCH($D284,품목마스터!$A$3:$A$202,0)),""))</f>
        <v/>
      </c>
      <c r="G284" s="9"/>
      <c r="H284" s="9"/>
      <c r="I284" s="9"/>
      <c r="J284" s="7"/>
      <c r="K284" s="13" t="str">
        <f aca="false">IF(OR($G284="",$I284=""),"",ROUND($G284*$I284,0))</f>
        <v/>
      </c>
      <c r="L284" s="13" t="str">
        <f aca="false">IF($D284="","",IF($G284="",0,$G284)+IF($H284="",0,$H284))</f>
        <v/>
      </c>
      <c r="M284" s="7"/>
    </row>
    <row r="285" customFormat="false" ht="15" hidden="false" customHeight="true" outlineLevel="0" collapsed="false">
      <c r="A285" s="11"/>
      <c r="B285" s="7"/>
      <c r="C285" s="12" t="str">
        <f aca="false">IF($B285="","",IFERROR(INDEX(거래처마스터!$B$3:$B$102,MATCH($B285,거래처마스터!$A$3:$A$102,0)),"미등록"))</f>
        <v/>
      </c>
      <c r="D285" s="7"/>
      <c r="E285" s="12" t="str">
        <f aca="false">IF($D285="","",IFERROR(INDEX(품목마스터!$B$3:$B$202,MATCH($D285,품목마스터!$A$3:$A$202,0)),"미등록품번"))</f>
        <v/>
      </c>
      <c r="F285" s="12" t="str">
        <f aca="false">IF($D285="","",IFERROR(INDEX(품목마스터!$D$3:$D$202,MATCH($D285,품목마스터!$A$3:$A$202,0)),""))</f>
        <v/>
      </c>
      <c r="G285" s="9"/>
      <c r="H285" s="9"/>
      <c r="I285" s="9"/>
      <c r="J285" s="7"/>
      <c r="K285" s="13" t="str">
        <f aca="false">IF(OR($G285="",$I285=""),"",ROUND($G285*$I285,0))</f>
        <v/>
      </c>
      <c r="L285" s="13" t="str">
        <f aca="false">IF($D285="","",IF($G285="",0,$G285)+IF($H285="",0,$H285))</f>
        <v/>
      </c>
      <c r="M285" s="7"/>
    </row>
    <row r="286" customFormat="false" ht="15" hidden="false" customHeight="true" outlineLevel="0" collapsed="false">
      <c r="A286" s="11"/>
      <c r="B286" s="7"/>
      <c r="C286" s="12" t="str">
        <f aca="false">IF($B286="","",IFERROR(INDEX(거래처마스터!$B$3:$B$102,MATCH($B286,거래처마스터!$A$3:$A$102,0)),"미등록"))</f>
        <v/>
      </c>
      <c r="D286" s="7"/>
      <c r="E286" s="12" t="str">
        <f aca="false">IF($D286="","",IFERROR(INDEX(품목마스터!$B$3:$B$202,MATCH($D286,품목마스터!$A$3:$A$202,0)),"미등록품번"))</f>
        <v/>
      </c>
      <c r="F286" s="12" t="str">
        <f aca="false">IF($D286="","",IFERROR(INDEX(품목마스터!$D$3:$D$202,MATCH($D286,품목마스터!$A$3:$A$202,0)),""))</f>
        <v/>
      </c>
      <c r="G286" s="9"/>
      <c r="H286" s="9"/>
      <c r="I286" s="9"/>
      <c r="J286" s="7"/>
      <c r="K286" s="13" t="str">
        <f aca="false">IF(OR($G286="",$I286=""),"",ROUND($G286*$I286,0))</f>
        <v/>
      </c>
      <c r="L286" s="13" t="str">
        <f aca="false">IF($D286="","",IF($G286="",0,$G286)+IF($H286="",0,$H286))</f>
        <v/>
      </c>
      <c r="M286" s="7"/>
    </row>
    <row r="287" customFormat="false" ht="15" hidden="false" customHeight="true" outlineLevel="0" collapsed="false">
      <c r="A287" s="11"/>
      <c r="B287" s="7"/>
      <c r="C287" s="12" t="str">
        <f aca="false">IF($B287="","",IFERROR(INDEX(거래처마스터!$B$3:$B$102,MATCH($B287,거래처마스터!$A$3:$A$102,0)),"미등록"))</f>
        <v/>
      </c>
      <c r="D287" s="7"/>
      <c r="E287" s="12" t="str">
        <f aca="false">IF($D287="","",IFERROR(INDEX(품목마스터!$B$3:$B$202,MATCH($D287,품목마스터!$A$3:$A$202,0)),"미등록품번"))</f>
        <v/>
      </c>
      <c r="F287" s="12" t="str">
        <f aca="false">IF($D287="","",IFERROR(INDEX(품목마스터!$D$3:$D$202,MATCH($D287,품목마스터!$A$3:$A$202,0)),""))</f>
        <v/>
      </c>
      <c r="G287" s="9"/>
      <c r="H287" s="9"/>
      <c r="I287" s="9"/>
      <c r="J287" s="7"/>
      <c r="K287" s="13" t="str">
        <f aca="false">IF(OR($G287="",$I287=""),"",ROUND($G287*$I287,0))</f>
        <v/>
      </c>
      <c r="L287" s="13" t="str">
        <f aca="false">IF($D287="","",IF($G287="",0,$G287)+IF($H287="",0,$H287))</f>
        <v/>
      </c>
      <c r="M287" s="7"/>
    </row>
    <row r="288" customFormat="false" ht="15" hidden="false" customHeight="true" outlineLevel="0" collapsed="false">
      <c r="A288" s="11"/>
      <c r="B288" s="7"/>
      <c r="C288" s="12" t="str">
        <f aca="false">IF($B288="","",IFERROR(INDEX(거래처마스터!$B$3:$B$102,MATCH($B288,거래처마스터!$A$3:$A$102,0)),"미등록"))</f>
        <v/>
      </c>
      <c r="D288" s="7"/>
      <c r="E288" s="12" t="str">
        <f aca="false">IF($D288="","",IFERROR(INDEX(품목마스터!$B$3:$B$202,MATCH($D288,품목마스터!$A$3:$A$202,0)),"미등록품번"))</f>
        <v/>
      </c>
      <c r="F288" s="12" t="str">
        <f aca="false">IF($D288="","",IFERROR(INDEX(품목마스터!$D$3:$D$202,MATCH($D288,품목마스터!$A$3:$A$202,0)),""))</f>
        <v/>
      </c>
      <c r="G288" s="9"/>
      <c r="H288" s="9"/>
      <c r="I288" s="9"/>
      <c r="J288" s="7"/>
      <c r="K288" s="13" t="str">
        <f aca="false">IF(OR($G288="",$I288=""),"",ROUND($G288*$I288,0))</f>
        <v/>
      </c>
      <c r="L288" s="13" t="str">
        <f aca="false">IF($D288="","",IF($G288="",0,$G288)+IF($H288="",0,$H288))</f>
        <v/>
      </c>
      <c r="M288" s="7"/>
    </row>
    <row r="289" customFormat="false" ht="15" hidden="false" customHeight="true" outlineLevel="0" collapsed="false">
      <c r="A289" s="11"/>
      <c r="B289" s="7"/>
      <c r="C289" s="12" t="str">
        <f aca="false">IF($B289="","",IFERROR(INDEX(거래처마스터!$B$3:$B$102,MATCH($B289,거래처마스터!$A$3:$A$102,0)),"미등록"))</f>
        <v/>
      </c>
      <c r="D289" s="7"/>
      <c r="E289" s="12" t="str">
        <f aca="false">IF($D289="","",IFERROR(INDEX(품목마스터!$B$3:$B$202,MATCH($D289,품목마스터!$A$3:$A$202,0)),"미등록품번"))</f>
        <v/>
      </c>
      <c r="F289" s="12" t="str">
        <f aca="false">IF($D289="","",IFERROR(INDEX(품목마스터!$D$3:$D$202,MATCH($D289,품목마스터!$A$3:$A$202,0)),""))</f>
        <v/>
      </c>
      <c r="G289" s="9"/>
      <c r="H289" s="9"/>
      <c r="I289" s="9"/>
      <c r="J289" s="7"/>
      <c r="K289" s="13" t="str">
        <f aca="false">IF(OR($G289="",$I289=""),"",ROUND($G289*$I289,0))</f>
        <v/>
      </c>
      <c r="L289" s="13" t="str">
        <f aca="false">IF($D289="","",IF($G289="",0,$G289)+IF($H289="",0,$H289))</f>
        <v/>
      </c>
      <c r="M289" s="7"/>
    </row>
    <row r="290" customFormat="false" ht="15" hidden="false" customHeight="true" outlineLevel="0" collapsed="false">
      <c r="A290" s="11"/>
      <c r="B290" s="7"/>
      <c r="C290" s="12" t="str">
        <f aca="false">IF($B290="","",IFERROR(INDEX(거래처마스터!$B$3:$B$102,MATCH($B290,거래처마스터!$A$3:$A$102,0)),"미등록"))</f>
        <v/>
      </c>
      <c r="D290" s="7"/>
      <c r="E290" s="12" t="str">
        <f aca="false">IF($D290="","",IFERROR(INDEX(품목마스터!$B$3:$B$202,MATCH($D290,품목마스터!$A$3:$A$202,0)),"미등록품번"))</f>
        <v/>
      </c>
      <c r="F290" s="12" t="str">
        <f aca="false">IF($D290="","",IFERROR(INDEX(품목마스터!$D$3:$D$202,MATCH($D290,품목마스터!$A$3:$A$202,0)),""))</f>
        <v/>
      </c>
      <c r="G290" s="9"/>
      <c r="H290" s="9"/>
      <c r="I290" s="9"/>
      <c r="J290" s="7"/>
      <c r="K290" s="13" t="str">
        <f aca="false">IF(OR($G290="",$I290=""),"",ROUND($G290*$I290,0))</f>
        <v/>
      </c>
      <c r="L290" s="13" t="str">
        <f aca="false">IF($D290="","",IF($G290="",0,$G290)+IF($H290="",0,$H290))</f>
        <v/>
      </c>
      <c r="M290" s="7"/>
    </row>
    <row r="291" customFormat="false" ht="15" hidden="false" customHeight="true" outlineLevel="0" collapsed="false">
      <c r="A291" s="11"/>
      <c r="B291" s="7"/>
      <c r="C291" s="12" t="str">
        <f aca="false">IF($B291="","",IFERROR(INDEX(거래처마스터!$B$3:$B$102,MATCH($B291,거래처마스터!$A$3:$A$102,0)),"미등록"))</f>
        <v/>
      </c>
      <c r="D291" s="7"/>
      <c r="E291" s="12" t="str">
        <f aca="false">IF($D291="","",IFERROR(INDEX(품목마스터!$B$3:$B$202,MATCH($D291,품목마스터!$A$3:$A$202,0)),"미등록품번"))</f>
        <v/>
      </c>
      <c r="F291" s="12" t="str">
        <f aca="false">IF($D291="","",IFERROR(INDEX(품목마스터!$D$3:$D$202,MATCH($D291,품목마스터!$A$3:$A$202,0)),""))</f>
        <v/>
      </c>
      <c r="G291" s="9"/>
      <c r="H291" s="9"/>
      <c r="I291" s="9"/>
      <c r="J291" s="7"/>
      <c r="K291" s="13" t="str">
        <f aca="false">IF(OR($G291="",$I291=""),"",ROUND($G291*$I291,0))</f>
        <v/>
      </c>
      <c r="L291" s="13" t="str">
        <f aca="false">IF($D291="","",IF($G291="",0,$G291)+IF($H291="",0,$H291))</f>
        <v/>
      </c>
      <c r="M291" s="7"/>
    </row>
    <row r="292" customFormat="false" ht="15" hidden="false" customHeight="true" outlineLevel="0" collapsed="false">
      <c r="A292" s="11"/>
      <c r="B292" s="7"/>
      <c r="C292" s="12" t="str">
        <f aca="false">IF($B292="","",IFERROR(INDEX(거래처마스터!$B$3:$B$102,MATCH($B292,거래처마스터!$A$3:$A$102,0)),"미등록"))</f>
        <v/>
      </c>
      <c r="D292" s="7"/>
      <c r="E292" s="12" t="str">
        <f aca="false">IF($D292="","",IFERROR(INDEX(품목마스터!$B$3:$B$202,MATCH($D292,품목마스터!$A$3:$A$202,0)),"미등록품번"))</f>
        <v/>
      </c>
      <c r="F292" s="12" t="str">
        <f aca="false">IF($D292="","",IFERROR(INDEX(품목마스터!$D$3:$D$202,MATCH($D292,품목마스터!$A$3:$A$202,0)),""))</f>
        <v/>
      </c>
      <c r="G292" s="9"/>
      <c r="H292" s="9"/>
      <c r="I292" s="9"/>
      <c r="J292" s="7"/>
      <c r="K292" s="13" t="str">
        <f aca="false">IF(OR($G292="",$I292=""),"",ROUND($G292*$I292,0))</f>
        <v/>
      </c>
      <c r="L292" s="13" t="str">
        <f aca="false">IF($D292="","",IF($G292="",0,$G292)+IF($H292="",0,$H292))</f>
        <v/>
      </c>
      <c r="M292" s="7"/>
    </row>
    <row r="293" customFormat="false" ht="15" hidden="false" customHeight="true" outlineLevel="0" collapsed="false">
      <c r="A293" s="11"/>
      <c r="B293" s="7"/>
      <c r="C293" s="12" t="str">
        <f aca="false">IF($B293="","",IFERROR(INDEX(거래처마스터!$B$3:$B$102,MATCH($B293,거래처마스터!$A$3:$A$102,0)),"미등록"))</f>
        <v/>
      </c>
      <c r="D293" s="7"/>
      <c r="E293" s="12" t="str">
        <f aca="false">IF($D293="","",IFERROR(INDEX(품목마스터!$B$3:$B$202,MATCH($D293,품목마스터!$A$3:$A$202,0)),"미등록품번"))</f>
        <v/>
      </c>
      <c r="F293" s="12" t="str">
        <f aca="false">IF($D293="","",IFERROR(INDEX(품목마스터!$D$3:$D$202,MATCH($D293,품목마스터!$A$3:$A$202,0)),""))</f>
        <v/>
      </c>
      <c r="G293" s="9"/>
      <c r="H293" s="9"/>
      <c r="I293" s="9"/>
      <c r="J293" s="7"/>
      <c r="K293" s="13" t="str">
        <f aca="false">IF(OR($G293="",$I293=""),"",ROUND($G293*$I293,0))</f>
        <v/>
      </c>
      <c r="L293" s="13" t="str">
        <f aca="false">IF($D293="","",IF($G293="",0,$G293)+IF($H293="",0,$H293))</f>
        <v/>
      </c>
      <c r="M293" s="7"/>
    </row>
    <row r="294" customFormat="false" ht="15" hidden="false" customHeight="true" outlineLevel="0" collapsed="false">
      <c r="A294" s="11"/>
      <c r="B294" s="7"/>
      <c r="C294" s="12" t="str">
        <f aca="false">IF($B294="","",IFERROR(INDEX(거래처마스터!$B$3:$B$102,MATCH($B294,거래처마스터!$A$3:$A$102,0)),"미등록"))</f>
        <v/>
      </c>
      <c r="D294" s="7"/>
      <c r="E294" s="12" t="str">
        <f aca="false">IF($D294="","",IFERROR(INDEX(품목마스터!$B$3:$B$202,MATCH($D294,품목마스터!$A$3:$A$202,0)),"미등록품번"))</f>
        <v/>
      </c>
      <c r="F294" s="12" t="str">
        <f aca="false">IF($D294="","",IFERROR(INDEX(품목마스터!$D$3:$D$202,MATCH($D294,품목마스터!$A$3:$A$202,0)),""))</f>
        <v/>
      </c>
      <c r="G294" s="9"/>
      <c r="H294" s="9"/>
      <c r="I294" s="9"/>
      <c r="J294" s="7"/>
      <c r="K294" s="13" t="str">
        <f aca="false">IF(OR($G294="",$I294=""),"",ROUND($G294*$I294,0))</f>
        <v/>
      </c>
      <c r="L294" s="13" t="str">
        <f aca="false">IF($D294="","",IF($G294="",0,$G294)+IF($H294="",0,$H294))</f>
        <v/>
      </c>
      <c r="M294" s="7"/>
    </row>
    <row r="295" customFormat="false" ht="15" hidden="false" customHeight="true" outlineLevel="0" collapsed="false">
      <c r="A295" s="11"/>
      <c r="B295" s="7"/>
      <c r="C295" s="12" t="str">
        <f aca="false">IF($B295="","",IFERROR(INDEX(거래처마스터!$B$3:$B$102,MATCH($B295,거래처마스터!$A$3:$A$102,0)),"미등록"))</f>
        <v/>
      </c>
      <c r="D295" s="7"/>
      <c r="E295" s="12" t="str">
        <f aca="false">IF($D295="","",IFERROR(INDEX(품목마스터!$B$3:$B$202,MATCH($D295,품목마스터!$A$3:$A$202,0)),"미등록품번"))</f>
        <v/>
      </c>
      <c r="F295" s="12" t="str">
        <f aca="false">IF($D295="","",IFERROR(INDEX(품목마스터!$D$3:$D$202,MATCH($D295,품목마스터!$A$3:$A$202,0)),""))</f>
        <v/>
      </c>
      <c r="G295" s="9"/>
      <c r="H295" s="9"/>
      <c r="I295" s="9"/>
      <c r="J295" s="7"/>
      <c r="K295" s="13" t="str">
        <f aca="false">IF(OR($G295="",$I295=""),"",ROUND($G295*$I295,0))</f>
        <v/>
      </c>
      <c r="L295" s="13" t="str">
        <f aca="false">IF($D295="","",IF($G295="",0,$G295)+IF($H295="",0,$H295))</f>
        <v/>
      </c>
      <c r="M295" s="7"/>
    </row>
    <row r="296" customFormat="false" ht="15" hidden="false" customHeight="true" outlineLevel="0" collapsed="false">
      <c r="A296" s="11"/>
      <c r="B296" s="7"/>
      <c r="C296" s="12" t="str">
        <f aca="false">IF($B296="","",IFERROR(INDEX(거래처마스터!$B$3:$B$102,MATCH($B296,거래처마스터!$A$3:$A$102,0)),"미등록"))</f>
        <v/>
      </c>
      <c r="D296" s="7"/>
      <c r="E296" s="12" t="str">
        <f aca="false">IF($D296="","",IFERROR(INDEX(품목마스터!$B$3:$B$202,MATCH($D296,품목마스터!$A$3:$A$202,0)),"미등록품번"))</f>
        <v/>
      </c>
      <c r="F296" s="12" t="str">
        <f aca="false">IF($D296="","",IFERROR(INDEX(품목마스터!$D$3:$D$202,MATCH($D296,품목마스터!$A$3:$A$202,0)),""))</f>
        <v/>
      </c>
      <c r="G296" s="9"/>
      <c r="H296" s="9"/>
      <c r="I296" s="9"/>
      <c r="J296" s="7"/>
      <c r="K296" s="13" t="str">
        <f aca="false">IF(OR($G296="",$I296=""),"",ROUND($G296*$I296,0))</f>
        <v/>
      </c>
      <c r="L296" s="13" t="str">
        <f aca="false">IF($D296="","",IF($G296="",0,$G296)+IF($H296="",0,$H296))</f>
        <v/>
      </c>
      <c r="M296" s="7"/>
    </row>
    <row r="297" customFormat="false" ht="15" hidden="false" customHeight="true" outlineLevel="0" collapsed="false">
      <c r="A297" s="11"/>
      <c r="B297" s="7"/>
      <c r="C297" s="12" t="str">
        <f aca="false">IF($B297="","",IFERROR(INDEX(거래처마스터!$B$3:$B$102,MATCH($B297,거래처마스터!$A$3:$A$102,0)),"미등록"))</f>
        <v/>
      </c>
      <c r="D297" s="7"/>
      <c r="E297" s="12" t="str">
        <f aca="false">IF($D297="","",IFERROR(INDEX(품목마스터!$B$3:$B$202,MATCH($D297,품목마스터!$A$3:$A$202,0)),"미등록품번"))</f>
        <v/>
      </c>
      <c r="F297" s="12" t="str">
        <f aca="false">IF($D297="","",IFERROR(INDEX(품목마스터!$D$3:$D$202,MATCH($D297,품목마스터!$A$3:$A$202,0)),""))</f>
        <v/>
      </c>
      <c r="G297" s="9"/>
      <c r="H297" s="9"/>
      <c r="I297" s="9"/>
      <c r="J297" s="7"/>
      <c r="K297" s="13" t="str">
        <f aca="false">IF(OR($G297="",$I297=""),"",ROUND($G297*$I297,0))</f>
        <v/>
      </c>
      <c r="L297" s="13" t="str">
        <f aca="false">IF($D297="","",IF($G297="",0,$G297)+IF($H297="",0,$H297))</f>
        <v/>
      </c>
      <c r="M297" s="7"/>
    </row>
    <row r="298" customFormat="false" ht="15" hidden="false" customHeight="true" outlineLevel="0" collapsed="false">
      <c r="A298" s="11"/>
      <c r="B298" s="7"/>
      <c r="C298" s="12" t="str">
        <f aca="false">IF($B298="","",IFERROR(INDEX(거래처마스터!$B$3:$B$102,MATCH($B298,거래처마스터!$A$3:$A$102,0)),"미등록"))</f>
        <v/>
      </c>
      <c r="D298" s="7"/>
      <c r="E298" s="12" t="str">
        <f aca="false">IF($D298="","",IFERROR(INDEX(품목마스터!$B$3:$B$202,MATCH($D298,품목마스터!$A$3:$A$202,0)),"미등록품번"))</f>
        <v/>
      </c>
      <c r="F298" s="12" t="str">
        <f aca="false">IF($D298="","",IFERROR(INDEX(품목마스터!$D$3:$D$202,MATCH($D298,품목마스터!$A$3:$A$202,0)),""))</f>
        <v/>
      </c>
      <c r="G298" s="9"/>
      <c r="H298" s="9"/>
      <c r="I298" s="9"/>
      <c r="J298" s="7"/>
      <c r="K298" s="13" t="str">
        <f aca="false">IF(OR($G298="",$I298=""),"",ROUND($G298*$I298,0))</f>
        <v/>
      </c>
      <c r="L298" s="13" t="str">
        <f aca="false">IF($D298="","",IF($G298="",0,$G298)+IF($H298="",0,$H298))</f>
        <v/>
      </c>
      <c r="M298" s="7"/>
    </row>
    <row r="299" customFormat="false" ht="15" hidden="false" customHeight="true" outlineLevel="0" collapsed="false">
      <c r="A299" s="11"/>
      <c r="B299" s="7"/>
      <c r="C299" s="12" t="str">
        <f aca="false">IF($B299="","",IFERROR(INDEX(거래처마스터!$B$3:$B$102,MATCH($B299,거래처마스터!$A$3:$A$102,0)),"미등록"))</f>
        <v/>
      </c>
      <c r="D299" s="7"/>
      <c r="E299" s="12" t="str">
        <f aca="false">IF($D299="","",IFERROR(INDEX(품목마스터!$B$3:$B$202,MATCH($D299,품목마스터!$A$3:$A$202,0)),"미등록품번"))</f>
        <v/>
      </c>
      <c r="F299" s="12" t="str">
        <f aca="false">IF($D299="","",IFERROR(INDEX(품목마스터!$D$3:$D$202,MATCH($D299,품목마스터!$A$3:$A$202,0)),""))</f>
        <v/>
      </c>
      <c r="G299" s="9"/>
      <c r="H299" s="9"/>
      <c r="I299" s="9"/>
      <c r="J299" s="7"/>
      <c r="K299" s="13" t="str">
        <f aca="false">IF(OR($G299="",$I299=""),"",ROUND($G299*$I299,0))</f>
        <v/>
      </c>
      <c r="L299" s="13" t="str">
        <f aca="false">IF($D299="","",IF($G299="",0,$G299)+IF($H299="",0,$H299))</f>
        <v/>
      </c>
      <c r="M299" s="7"/>
    </row>
    <row r="300" customFormat="false" ht="15" hidden="false" customHeight="true" outlineLevel="0" collapsed="false">
      <c r="A300" s="11"/>
      <c r="B300" s="7"/>
      <c r="C300" s="12" t="str">
        <f aca="false">IF($B300="","",IFERROR(INDEX(거래처마스터!$B$3:$B$102,MATCH($B300,거래처마스터!$A$3:$A$102,0)),"미등록"))</f>
        <v/>
      </c>
      <c r="D300" s="7"/>
      <c r="E300" s="12" t="str">
        <f aca="false">IF($D300="","",IFERROR(INDEX(품목마스터!$B$3:$B$202,MATCH($D300,품목마스터!$A$3:$A$202,0)),"미등록품번"))</f>
        <v/>
      </c>
      <c r="F300" s="12" t="str">
        <f aca="false">IF($D300="","",IFERROR(INDEX(품목마스터!$D$3:$D$202,MATCH($D300,품목마스터!$A$3:$A$202,0)),""))</f>
        <v/>
      </c>
      <c r="G300" s="9"/>
      <c r="H300" s="9"/>
      <c r="I300" s="9"/>
      <c r="J300" s="7"/>
      <c r="K300" s="13" t="str">
        <f aca="false">IF(OR($G300="",$I300=""),"",ROUND($G300*$I300,0))</f>
        <v/>
      </c>
      <c r="L300" s="13" t="str">
        <f aca="false">IF($D300="","",IF($G300="",0,$G300)+IF($H300="",0,$H300))</f>
        <v/>
      </c>
      <c r="M300" s="7"/>
    </row>
    <row r="301" customFormat="false" ht="15" hidden="false" customHeight="true" outlineLevel="0" collapsed="false">
      <c r="A301" s="11"/>
      <c r="B301" s="7"/>
      <c r="C301" s="12" t="str">
        <f aca="false">IF($B301="","",IFERROR(INDEX(거래처마스터!$B$3:$B$102,MATCH($B301,거래처마스터!$A$3:$A$102,0)),"미등록"))</f>
        <v/>
      </c>
      <c r="D301" s="7"/>
      <c r="E301" s="12" t="str">
        <f aca="false">IF($D301="","",IFERROR(INDEX(품목마스터!$B$3:$B$202,MATCH($D301,품목마스터!$A$3:$A$202,0)),"미등록품번"))</f>
        <v/>
      </c>
      <c r="F301" s="12" t="str">
        <f aca="false">IF($D301="","",IFERROR(INDEX(품목마스터!$D$3:$D$202,MATCH($D301,품목마스터!$A$3:$A$202,0)),""))</f>
        <v/>
      </c>
      <c r="G301" s="9"/>
      <c r="H301" s="9"/>
      <c r="I301" s="9"/>
      <c r="J301" s="7"/>
      <c r="K301" s="13" t="str">
        <f aca="false">IF(OR($G301="",$I301=""),"",ROUND($G301*$I301,0))</f>
        <v/>
      </c>
      <c r="L301" s="13" t="str">
        <f aca="false">IF($D301="","",IF($G301="",0,$G301)+IF($H301="",0,$H301))</f>
        <v/>
      </c>
      <c r="M301" s="7"/>
    </row>
    <row r="302" customFormat="false" ht="15" hidden="false" customHeight="true" outlineLevel="0" collapsed="false">
      <c r="A302" s="11"/>
      <c r="B302" s="7"/>
      <c r="C302" s="12" t="str">
        <f aca="false">IF($B302="","",IFERROR(INDEX(거래처마스터!$B$3:$B$102,MATCH($B302,거래처마스터!$A$3:$A$102,0)),"미등록"))</f>
        <v/>
      </c>
      <c r="D302" s="7"/>
      <c r="E302" s="12" t="str">
        <f aca="false">IF($D302="","",IFERROR(INDEX(품목마스터!$B$3:$B$202,MATCH($D302,품목마스터!$A$3:$A$202,0)),"미등록품번"))</f>
        <v/>
      </c>
      <c r="F302" s="12" t="str">
        <f aca="false">IF($D302="","",IFERROR(INDEX(품목마스터!$D$3:$D$202,MATCH($D302,품목마스터!$A$3:$A$202,0)),""))</f>
        <v/>
      </c>
      <c r="G302" s="9"/>
      <c r="H302" s="9"/>
      <c r="I302" s="9"/>
      <c r="J302" s="7"/>
      <c r="K302" s="13" t="str">
        <f aca="false">IF(OR($G302="",$I302=""),"",ROUND($G302*$I302,0))</f>
        <v/>
      </c>
      <c r="L302" s="13" t="str">
        <f aca="false">IF($D302="","",IF($G302="",0,$G302)+IF($H302="",0,$H302))</f>
        <v/>
      </c>
      <c r="M302" s="7"/>
    </row>
    <row r="303" customFormat="false" ht="15" hidden="false" customHeight="true" outlineLevel="0" collapsed="false">
      <c r="A303" s="11"/>
      <c r="B303" s="7"/>
      <c r="C303" s="12" t="str">
        <f aca="false">IF($B303="","",IFERROR(INDEX(거래처마스터!$B$3:$B$102,MATCH($B303,거래처마스터!$A$3:$A$102,0)),"미등록"))</f>
        <v/>
      </c>
      <c r="D303" s="7"/>
      <c r="E303" s="12" t="str">
        <f aca="false">IF($D303="","",IFERROR(INDEX(품목마스터!$B$3:$B$202,MATCH($D303,품목마스터!$A$3:$A$202,0)),"미등록품번"))</f>
        <v/>
      </c>
      <c r="F303" s="12" t="str">
        <f aca="false">IF($D303="","",IFERROR(INDEX(품목마스터!$D$3:$D$202,MATCH($D303,품목마스터!$A$3:$A$202,0)),""))</f>
        <v/>
      </c>
      <c r="G303" s="9"/>
      <c r="H303" s="9"/>
      <c r="I303" s="9"/>
      <c r="J303" s="7"/>
      <c r="K303" s="13" t="str">
        <f aca="false">IF(OR($G303="",$I303=""),"",ROUND($G303*$I303,0))</f>
        <v/>
      </c>
      <c r="L303" s="13" t="str">
        <f aca="false">IF($D303="","",IF($G303="",0,$G303)+IF($H303="",0,$H303))</f>
        <v/>
      </c>
      <c r="M303" s="7"/>
    </row>
    <row r="304" customFormat="false" ht="15" hidden="false" customHeight="true" outlineLevel="0" collapsed="false">
      <c r="A304" s="11"/>
      <c r="B304" s="7"/>
      <c r="C304" s="12" t="str">
        <f aca="false">IF($B304="","",IFERROR(INDEX(거래처마스터!$B$3:$B$102,MATCH($B304,거래처마스터!$A$3:$A$102,0)),"미등록"))</f>
        <v/>
      </c>
      <c r="D304" s="7"/>
      <c r="E304" s="12" t="str">
        <f aca="false">IF($D304="","",IFERROR(INDEX(품목마스터!$B$3:$B$202,MATCH($D304,품목마스터!$A$3:$A$202,0)),"미등록품번"))</f>
        <v/>
      </c>
      <c r="F304" s="12" t="str">
        <f aca="false">IF($D304="","",IFERROR(INDEX(품목마스터!$D$3:$D$202,MATCH($D304,품목마스터!$A$3:$A$202,0)),""))</f>
        <v/>
      </c>
      <c r="G304" s="9"/>
      <c r="H304" s="9"/>
      <c r="I304" s="9"/>
      <c r="J304" s="7"/>
      <c r="K304" s="13" t="str">
        <f aca="false">IF(OR($G304="",$I304=""),"",ROUND($G304*$I304,0))</f>
        <v/>
      </c>
      <c r="L304" s="13" t="str">
        <f aca="false">IF($D304="","",IF($G304="",0,$G304)+IF($H304="",0,$H304))</f>
        <v/>
      </c>
      <c r="M304" s="7"/>
    </row>
    <row r="305" customFormat="false" ht="15" hidden="false" customHeight="true" outlineLevel="0" collapsed="false">
      <c r="A305" s="11"/>
      <c r="B305" s="7"/>
      <c r="C305" s="12" t="str">
        <f aca="false">IF($B305="","",IFERROR(INDEX(거래처마스터!$B$3:$B$102,MATCH($B305,거래처마스터!$A$3:$A$102,0)),"미등록"))</f>
        <v/>
      </c>
      <c r="D305" s="7"/>
      <c r="E305" s="12" t="str">
        <f aca="false">IF($D305="","",IFERROR(INDEX(품목마스터!$B$3:$B$202,MATCH($D305,품목마스터!$A$3:$A$202,0)),"미등록품번"))</f>
        <v/>
      </c>
      <c r="F305" s="12" t="str">
        <f aca="false">IF($D305="","",IFERROR(INDEX(품목마스터!$D$3:$D$202,MATCH($D305,품목마스터!$A$3:$A$202,0)),""))</f>
        <v/>
      </c>
      <c r="G305" s="9"/>
      <c r="H305" s="9"/>
      <c r="I305" s="9"/>
      <c r="J305" s="7"/>
      <c r="K305" s="13" t="str">
        <f aca="false">IF(OR($G305="",$I305=""),"",ROUND($G305*$I305,0))</f>
        <v/>
      </c>
      <c r="L305" s="13" t="str">
        <f aca="false">IF($D305="","",IF($G305="",0,$G305)+IF($H305="",0,$H305))</f>
        <v/>
      </c>
      <c r="M305" s="7"/>
    </row>
    <row r="306" customFormat="false" ht="15" hidden="false" customHeight="true" outlineLevel="0" collapsed="false">
      <c r="A306" s="11"/>
      <c r="B306" s="7"/>
      <c r="C306" s="12" t="str">
        <f aca="false">IF($B306="","",IFERROR(INDEX(거래처마스터!$B$3:$B$102,MATCH($B306,거래처마스터!$A$3:$A$102,0)),"미등록"))</f>
        <v/>
      </c>
      <c r="D306" s="7"/>
      <c r="E306" s="12" t="str">
        <f aca="false">IF($D306="","",IFERROR(INDEX(품목마스터!$B$3:$B$202,MATCH($D306,품목마스터!$A$3:$A$202,0)),"미등록품번"))</f>
        <v/>
      </c>
      <c r="F306" s="12" t="str">
        <f aca="false">IF($D306="","",IFERROR(INDEX(품목마스터!$D$3:$D$202,MATCH($D306,품목마스터!$A$3:$A$202,0)),""))</f>
        <v/>
      </c>
      <c r="G306" s="9"/>
      <c r="H306" s="9"/>
      <c r="I306" s="9"/>
      <c r="J306" s="7"/>
      <c r="K306" s="13" t="str">
        <f aca="false">IF(OR($G306="",$I306=""),"",ROUND($G306*$I306,0))</f>
        <v/>
      </c>
      <c r="L306" s="13" t="str">
        <f aca="false">IF($D306="","",IF($G306="",0,$G306)+IF($H306="",0,$H306))</f>
        <v/>
      </c>
      <c r="M306" s="7"/>
    </row>
    <row r="307" customFormat="false" ht="15" hidden="false" customHeight="true" outlineLevel="0" collapsed="false">
      <c r="A307" s="11"/>
      <c r="B307" s="7"/>
      <c r="C307" s="12" t="str">
        <f aca="false">IF($B307="","",IFERROR(INDEX(거래처마스터!$B$3:$B$102,MATCH($B307,거래처마스터!$A$3:$A$102,0)),"미등록"))</f>
        <v/>
      </c>
      <c r="D307" s="7"/>
      <c r="E307" s="12" t="str">
        <f aca="false">IF($D307="","",IFERROR(INDEX(품목마스터!$B$3:$B$202,MATCH($D307,품목마스터!$A$3:$A$202,0)),"미등록품번"))</f>
        <v/>
      </c>
      <c r="F307" s="12" t="str">
        <f aca="false">IF($D307="","",IFERROR(INDEX(품목마스터!$D$3:$D$202,MATCH($D307,품목마스터!$A$3:$A$202,0)),""))</f>
        <v/>
      </c>
      <c r="G307" s="9"/>
      <c r="H307" s="9"/>
      <c r="I307" s="9"/>
      <c r="J307" s="7"/>
      <c r="K307" s="13" t="str">
        <f aca="false">IF(OR($G307="",$I307=""),"",ROUND($G307*$I307,0))</f>
        <v/>
      </c>
      <c r="L307" s="13" t="str">
        <f aca="false">IF($D307="","",IF($G307="",0,$G307)+IF($H307="",0,$H307))</f>
        <v/>
      </c>
      <c r="M307" s="7"/>
    </row>
    <row r="308" customFormat="false" ht="15" hidden="false" customHeight="true" outlineLevel="0" collapsed="false">
      <c r="A308" s="11"/>
      <c r="B308" s="7"/>
      <c r="C308" s="12" t="str">
        <f aca="false">IF($B308="","",IFERROR(INDEX(거래처마스터!$B$3:$B$102,MATCH($B308,거래처마스터!$A$3:$A$102,0)),"미등록"))</f>
        <v/>
      </c>
      <c r="D308" s="7"/>
      <c r="E308" s="12" t="str">
        <f aca="false">IF($D308="","",IFERROR(INDEX(품목마스터!$B$3:$B$202,MATCH($D308,품목마스터!$A$3:$A$202,0)),"미등록품번"))</f>
        <v/>
      </c>
      <c r="F308" s="12" t="str">
        <f aca="false">IF($D308="","",IFERROR(INDEX(품목마스터!$D$3:$D$202,MATCH($D308,품목마스터!$A$3:$A$202,0)),""))</f>
        <v/>
      </c>
      <c r="G308" s="9"/>
      <c r="H308" s="9"/>
      <c r="I308" s="9"/>
      <c r="J308" s="7"/>
      <c r="K308" s="13" t="str">
        <f aca="false">IF(OR($G308="",$I308=""),"",ROUND($G308*$I308,0))</f>
        <v/>
      </c>
      <c r="L308" s="13" t="str">
        <f aca="false">IF($D308="","",IF($G308="",0,$G308)+IF($H308="",0,$H308))</f>
        <v/>
      </c>
      <c r="M308" s="7"/>
    </row>
    <row r="309" customFormat="false" ht="15" hidden="false" customHeight="true" outlineLevel="0" collapsed="false">
      <c r="A309" s="11"/>
      <c r="B309" s="7"/>
      <c r="C309" s="12" t="str">
        <f aca="false">IF($B309="","",IFERROR(INDEX(거래처마스터!$B$3:$B$102,MATCH($B309,거래처마스터!$A$3:$A$102,0)),"미등록"))</f>
        <v/>
      </c>
      <c r="D309" s="7"/>
      <c r="E309" s="12" t="str">
        <f aca="false">IF($D309="","",IFERROR(INDEX(품목마스터!$B$3:$B$202,MATCH($D309,품목마스터!$A$3:$A$202,0)),"미등록품번"))</f>
        <v/>
      </c>
      <c r="F309" s="12" t="str">
        <f aca="false">IF($D309="","",IFERROR(INDEX(품목마스터!$D$3:$D$202,MATCH($D309,품목마스터!$A$3:$A$202,0)),""))</f>
        <v/>
      </c>
      <c r="G309" s="9"/>
      <c r="H309" s="9"/>
      <c r="I309" s="9"/>
      <c r="J309" s="7"/>
      <c r="K309" s="13" t="str">
        <f aca="false">IF(OR($G309="",$I309=""),"",ROUND($G309*$I309,0))</f>
        <v/>
      </c>
      <c r="L309" s="13" t="str">
        <f aca="false">IF($D309="","",IF($G309="",0,$G309)+IF($H309="",0,$H309))</f>
        <v/>
      </c>
      <c r="M309" s="7"/>
    </row>
    <row r="310" customFormat="false" ht="15" hidden="false" customHeight="true" outlineLevel="0" collapsed="false">
      <c r="A310" s="11"/>
      <c r="B310" s="7"/>
      <c r="C310" s="12" t="str">
        <f aca="false">IF($B310="","",IFERROR(INDEX(거래처마스터!$B$3:$B$102,MATCH($B310,거래처마스터!$A$3:$A$102,0)),"미등록"))</f>
        <v/>
      </c>
      <c r="D310" s="7"/>
      <c r="E310" s="12" t="str">
        <f aca="false">IF($D310="","",IFERROR(INDEX(품목마스터!$B$3:$B$202,MATCH($D310,품목마스터!$A$3:$A$202,0)),"미등록품번"))</f>
        <v/>
      </c>
      <c r="F310" s="12" t="str">
        <f aca="false">IF($D310="","",IFERROR(INDEX(품목마스터!$D$3:$D$202,MATCH($D310,품목마스터!$A$3:$A$202,0)),""))</f>
        <v/>
      </c>
      <c r="G310" s="9"/>
      <c r="H310" s="9"/>
      <c r="I310" s="9"/>
      <c r="J310" s="7"/>
      <c r="K310" s="13" t="str">
        <f aca="false">IF(OR($G310="",$I310=""),"",ROUND($G310*$I310,0))</f>
        <v/>
      </c>
      <c r="L310" s="13" t="str">
        <f aca="false">IF($D310="","",IF($G310="",0,$G310)+IF($H310="",0,$H310))</f>
        <v/>
      </c>
      <c r="M310" s="7"/>
    </row>
    <row r="311" customFormat="false" ht="15" hidden="false" customHeight="true" outlineLevel="0" collapsed="false">
      <c r="A311" s="11"/>
      <c r="B311" s="7"/>
      <c r="C311" s="12" t="str">
        <f aca="false">IF($B311="","",IFERROR(INDEX(거래처마스터!$B$3:$B$102,MATCH($B311,거래처마스터!$A$3:$A$102,0)),"미등록"))</f>
        <v/>
      </c>
      <c r="D311" s="7"/>
      <c r="E311" s="12" t="str">
        <f aca="false">IF($D311="","",IFERROR(INDEX(품목마스터!$B$3:$B$202,MATCH($D311,품목마스터!$A$3:$A$202,0)),"미등록품번"))</f>
        <v/>
      </c>
      <c r="F311" s="12" t="str">
        <f aca="false">IF($D311="","",IFERROR(INDEX(품목마스터!$D$3:$D$202,MATCH($D311,품목마스터!$A$3:$A$202,0)),""))</f>
        <v/>
      </c>
      <c r="G311" s="9"/>
      <c r="H311" s="9"/>
      <c r="I311" s="9"/>
      <c r="J311" s="7"/>
      <c r="K311" s="13" t="str">
        <f aca="false">IF(OR($G311="",$I311=""),"",ROUND($G311*$I311,0))</f>
        <v/>
      </c>
      <c r="L311" s="13" t="str">
        <f aca="false">IF($D311="","",IF($G311="",0,$G311)+IF($H311="",0,$H311))</f>
        <v/>
      </c>
      <c r="M311" s="7"/>
    </row>
    <row r="312" customFormat="false" ht="15" hidden="false" customHeight="true" outlineLevel="0" collapsed="false">
      <c r="A312" s="11"/>
      <c r="B312" s="7"/>
      <c r="C312" s="12" t="str">
        <f aca="false">IF($B312="","",IFERROR(INDEX(거래처마스터!$B$3:$B$102,MATCH($B312,거래처마스터!$A$3:$A$102,0)),"미등록"))</f>
        <v/>
      </c>
      <c r="D312" s="7"/>
      <c r="E312" s="12" t="str">
        <f aca="false">IF($D312="","",IFERROR(INDEX(품목마스터!$B$3:$B$202,MATCH($D312,품목마스터!$A$3:$A$202,0)),"미등록품번"))</f>
        <v/>
      </c>
      <c r="F312" s="12" t="str">
        <f aca="false">IF($D312="","",IFERROR(INDEX(품목마스터!$D$3:$D$202,MATCH($D312,품목마스터!$A$3:$A$202,0)),""))</f>
        <v/>
      </c>
      <c r="G312" s="9"/>
      <c r="H312" s="9"/>
      <c r="I312" s="9"/>
      <c r="J312" s="7"/>
      <c r="K312" s="13" t="str">
        <f aca="false">IF(OR($G312="",$I312=""),"",ROUND($G312*$I312,0))</f>
        <v/>
      </c>
      <c r="L312" s="13" t="str">
        <f aca="false">IF($D312="","",IF($G312="",0,$G312)+IF($H312="",0,$H312))</f>
        <v/>
      </c>
      <c r="M312" s="7"/>
    </row>
    <row r="313" customFormat="false" ht="15" hidden="false" customHeight="true" outlineLevel="0" collapsed="false">
      <c r="A313" s="11"/>
      <c r="B313" s="7"/>
      <c r="C313" s="12" t="str">
        <f aca="false">IF($B313="","",IFERROR(INDEX(거래처마스터!$B$3:$B$102,MATCH($B313,거래처마스터!$A$3:$A$102,0)),"미등록"))</f>
        <v/>
      </c>
      <c r="D313" s="7"/>
      <c r="E313" s="12" t="str">
        <f aca="false">IF($D313="","",IFERROR(INDEX(품목마스터!$B$3:$B$202,MATCH($D313,품목마스터!$A$3:$A$202,0)),"미등록품번"))</f>
        <v/>
      </c>
      <c r="F313" s="12" t="str">
        <f aca="false">IF($D313="","",IFERROR(INDEX(품목마스터!$D$3:$D$202,MATCH($D313,품목마스터!$A$3:$A$202,0)),""))</f>
        <v/>
      </c>
      <c r="G313" s="9"/>
      <c r="H313" s="9"/>
      <c r="I313" s="9"/>
      <c r="J313" s="7"/>
      <c r="K313" s="13" t="str">
        <f aca="false">IF(OR($G313="",$I313=""),"",ROUND($G313*$I313,0))</f>
        <v/>
      </c>
      <c r="L313" s="13" t="str">
        <f aca="false">IF($D313="","",IF($G313="",0,$G313)+IF($H313="",0,$H313))</f>
        <v/>
      </c>
      <c r="M313" s="7"/>
    </row>
    <row r="314" customFormat="false" ht="15" hidden="false" customHeight="true" outlineLevel="0" collapsed="false">
      <c r="A314" s="11"/>
      <c r="B314" s="7"/>
      <c r="C314" s="12" t="str">
        <f aca="false">IF($B314="","",IFERROR(INDEX(거래처마스터!$B$3:$B$102,MATCH($B314,거래처마스터!$A$3:$A$102,0)),"미등록"))</f>
        <v/>
      </c>
      <c r="D314" s="7"/>
      <c r="E314" s="12" t="str">
        <f aca="false">IF($D314="","",IFERROR(INDEX(품목마스터!$B$3:$B$202,MATCH($D314,품목마스터!$A$3:$A$202,0)),"미등록품번"))</f>
        <v/>
      </c>
      <c r="F314" s="12" t="str">
        <f aca="false">IF($D314="","",IFERROR(INDEX(품목마스터!$D$3:$D$202,MATCH($D314,품목마스터!$A$3:$A$202,0)),""))</f>
        <v/>
      </c>
      <c r="G314" s="9"/>
      <c r="H314" s="9"/>
      <c r="I314" s="9"/>
      <c r="J314" s="7"/>
      <c r="K314" s="13" t="str">
        <f aca="false">IF(OR($G314="",$I314=""),"",ROUND($G314*$I314,0))</f>
        <v/>
      </c>
      <c r="L314" s="13" t="str">
        <f aca="false">IF($D314="","",IF($G314="",0,$G314)+IF($H314="",0,$H314))</f>
        <v/>
      </c>
      <c r="M314" s="7"/>
    </row>
    <row r="315" customFormat="false" ht="15" hidden="false" customHeight="true" outlineLevel="0" collapsed="false">
      <c r="A315" s="11"/>
      <c r="B315" s="7"/>
      <c r="C315" s="12" t="str">
        <f aca="false">IF($B315="","",IFERROR(INDEX(거래처마스터!$B$3:$B$102,MATCH($B315,거래처마스터!$A$3:$A$102,0)),"미등록"))</f>
        <v/>
      </c>
      <c r="D315" s="7"/>
      <c r="E315" s="12" t="str">
        <f aca="false">IF($D315="","",IFERROR(INDEX(품목마스터!$B$3:$B$202,MATCH($D315,품목마스터!$A$3:$A$202,0)),"미등록품번"))</f>
        <v/>
      </c>
      <c r="F315" s="12" t="str">
        <f aca="false">IF($D315="","",IFERROR(INDEX(품목마스터!$D$3:$D$202,MATCH($D315,품목마스터!$A$3:$A$202,0)),""))</f>
        <v/>
      </c>
      <c r="G315" s="9"/>
      <c r="H315" s="9"/>
      <c r="I315" s="9"/>
      <c r="J315" s="7"/>
      <c r="K315" s="13" t="str">
        <f aca="false">IF(OR($G315="",$I315=""),"",ROUND($G315*$I315,0))</f>
        <v/>
      </c>
      <c r="L315" s="13" t="str">
        <f aca="false">IF($D315="","",IF($G315="",0,$G315)+IF($H315="",0,$H315))</f>
        <v/>
      </c>
      <c r="M315" s="7"/>
    </row>
    <row r="316" customFormat="false" ht="15" hidden="false" customHeight="true" outlineLevel="0" collapsed="false">
      <c r="A316" s="11"/>
      <c r="B316" s="7"/>
      <c r="C316" s="12" t="str">
        <f aca="false">IF($B316="","",IFERROR(INDEX(거래처마스터!$B$3:$B$102,MATCH($B316,거래처마스터!$A$3:$A$102,0)),"미등록"))</f>
        <v/>
      </c>
      <c r="D316" s="7"/>
      <c r="E316" s="12" t="str">
        <f aca="false">IF($D316="","",IFERROR(INDEX(품목마스터!$B$3:$B$202,MATCH($D316,품목마스터!$A$3:$A$202,0)),"미등록품번"))</f>
        <v/>
      </c>
      <c r="F316" s="12" t="str">
        <f aca="false">IF($D316="","",IFERROR(INDEX(품목마스터!$D$3:$D$202,MATCH($D316,품목마스터!$A$3:$A$202,0)),""))</f>
        <v/>
      </c>
      <c r="G316" s="9"/>
      <c r="H316" s="9"/>
      <c r="I316" s="9"/>
      <c r="J316" s="7"/>
      <c r="K316" s="13" t="str">
        <f aca="false">IF(OR($G316="",$I316=""),"",ROUND($G316*$I316,0))</f>
        <v/>
      </c>
      <c r="L316" s="13" t="str">
        <f aca="false">IF($D316="","",IF($G316="",0,$G316)+IF($H316="",0,$H316))</f>
        <v/>
      </c>
      <c r="M316" s="7"/>
    </row>
    <row r="317" customFormat="false" ht="15" hidden="false" customHeight="true" outlineLevel="0" collapsed="false">
      <c r="A317" s="11"/>
      <c r="B317" s="7"/>
      <c r="C317" s="12" t="str">
        <f aca="false">IF($B317="","",IFERROR(INDEX(거래처마스터!$B$3:$B$102,MATCH($B317,거래처마스터!$A$3:$A$102,0)),"미등록"))</f>
        <v/>
      </c>
      <c r="D317" s="7"/>
      <c r="E317" s="12" t="str">
        <f aca="false">IF($D317="","",IFERROR(INDEX(품목마스터!$B$3:$B$202,MATCH($D317,품목마스터!$A$3:$A$202,0)),"미등록품번"))</f>
        <v/>
      </c>
      <c r="F317" s="12" t="str">
        <f aca="false">IF($D317="","",IFERROR(INDEX(품목마스터!$D$3:$D$202,MATCH($D317,품목마스터!$A$3:$A$202,0)),""))</f>
        <v/>
      </c>
      <c r="G317" s="9"/>
      <c r="H317" s="9"/>
      <c r="I317" s="9"/>
      <c r="J317" s="7"/>
      <c r="K317" s="13" t="str">
        <f aca="false">IF(OR($G317="",$I317=""),"",ROUND($G317*$I317,0))</f>
        <v/>
      </c>
      <c r="L317" s="13" t="str">
        <f aca="false">IF($D317="","",IF($G317="",0,$G317)+IF($H317="",0,$H317))</f>
        <v/>
      </c>
      <c r="M317" s="7"/>
    </row>
    <row r="318" customFormat="false" ht="15" hidden="false" customHeight="true" outlineLevel="0" collapsed="false">
      <c r="A318" s="11"/>
      <c r="B318" s="7"/>
      <c r="C318" s="12" t="str">
        <f aca="false">IF($B318="","",IFERROR(INDEX(거래처마스터!$B$3:$B$102,MATCH($B318,거래처마스터!$A$3:$A$102,0)),"미등록"))</f>
        <v/>
      </c>
      <c r="D318" s="7"/>
      <c r="E318" s="12" t="str">
        <f aca="false">IF($D318="","",IFERROR(INDEX(품목마스터!$B$3:$B$202,MATCH($D318,품목마스터!$A$3:$A$202,0)),"미등록품번"))</f>
        <v/>
      </c>
      <c r="F318" s="12" t="str">
        <f aca="false">IF($D318="","",IFERROR(INDEX(품목마스터!$D$3:$D$202,MATCH($D318,품목마스터!$A$3:$A$202,0)),""))</f>
        <v/>
      </c>
      <c r="G318" s="9"/>
      <c r="H318" s="9"/>
      <c r="I318" s="9"/>
      <c r="J318" s="7"/>
      <c r="K318" s="13" t="str">
        <f aca="false">IF(OR($G318="",$I318=""),"",ROUND($G318*$I318,0))</f>
        <v/>
      </c>
      <c r="L318" s="13" t="str">
        <f aca="false">IF($D318="","",IF($G318="",0,$G318)+IF($H318="",0,$H318))</f>
        <v/>
      </c>
      <c r="M318" s="7"/>
    </row>
    <row r="319" customFormat="false" ht="15" hidden="false" customHeight="true" outlineLevel="0" collapsed="false">
      <c r="A319" s="11"/>
      <c r="B319" s="7"/>
      <c r="C319" s="12" t="str">
        <f aca="false">IF($B319="","",IFERROR(INDEX(거래처마스터!$B$3:$B$102,MATCH($B319,거래처마스터!$A$3:$A$102,0)),"미등록"))</f>
        <v/>
      </c>
      <c r="D319" s="7"/>
      <c r="E319" s="12" t="str">
        <f aca="false">IF($D319="","",IFERROR(INDEX(품목마스터!$B$3:$B$202,MATCH($D319,품목마스터!$A$3:$A$202,0)),"미등록품번"))</f>
        <v/>
      </c>
      <c r="F319" s="12" t="str">
        <f aca="false">IF($D319="","",IFERROR(INDEX(품목마스터!$D$3:$D$202,MATCH($D319,품목마스터!$A$3:$A$202,0)),""))</f>
        <v/>
      </c>
      <c r="G319" s="9"/>
      <c r="H319" s="9"/>
      <c r="I319" s="9"/>
      <c r="J319" s="7"/>
      <c r="K319" s="13" t="str">
        <f aca="false">IF(OR($G319="",$I319=""),"",ROUND($G319*$I319,0))</f>
        <v/>
      </c>
      <c r="L319" s="13" t="str">
        <f aca="false">IF($D319="","",IF($G319="",0,$G319)+IF($H319="",0,$H319))</f>
        <v/>
      </c>
      <c r="M319" s="7"/>
    </row>
    <row r="320" customFormat="false" ht="15" hidden="false" customHeight="true" outlineLevel="0" collapsed="false">
      <c r="A320" s="11"/>
      <c r="B320" s="7"/>
      <c r="C320" s="12" t="str">
        <f aca="false">IF($B320="","",IFERROR(INDEX(거래처마스터!$B$3:$B$102,MATCH($B320,거래처마스터!$A$3:$A$102,0)),"미등록"))</f>
        <v/>
      </c>
      <c r="D320" s="7"/>
      <c r="E320" s="12" t="str">
        <f aca="false">IF($D320="","",IFERROR(INDEX(품목마스터!$B$3:$B$202,MATCH($D320,품목마스터!$A$3:$A$202,0)),"미등록품번"))</f>
        <v/>
      </c>
      <c r="F320" s="12" t="str">
        <f aca="false">IF($D320="","",IFERROR(INDEX(품목마스터!$D$3:$D$202,MATCH($D320,품목마스터!$A$3:$A$202,0)),""))</f>
        <v/>
      </c>
      <c r="G320" s="9"/>
      <c r="H320" s="9"/>
      <c r="I320" s="9"/>
      <c r="J320" s="7"/>
      <c r="K320" s="13" t="str">
        <f aca="false">IF(OR($G320="",$I320=""),"",ROUND($G320*$I320,0))</f>
        <v/>
      </c>
      <c r="L320" s="13" t="str">
        <f aca="false">IF($D320="","",IF($G320="",0,$G320)+IF($H320="",0,$H320))</f>
        <v/>
      </c>
      <c r="M320" s="7"/>
    </row>
    <row r="321" customFormat="false" ht="15" hidden="false" customHeight="true" outlineLevel="0" collapsed="false">
      <c r="A321" s="11"/>
      <c r="B321" s="7"/>
      <c r="C321" s="12" t="str">
        <f aca="false">IF($B321="","",IFERROR(INDEX(거래처마스터!$B$3:$B$102,MATCH($B321,거래처마스터!$A$3:$A$102,0)),"미등록"))</f>
        <v/>
      </c>
      <c r="D321" s="7"/>
      <c r="E321" s="12" t="str">
        <f aca="false">IF($D321="","",IFERROR(INDEX(품목마스터!$B$3:$B$202,MATCH($D321,품목마스터!$A$3:$A$202,0)),"미등록품번"))</f>
        <v/>
      </c>
      <c r="F321" s="12" t="str">
        <f aca="false">IF($D321="","",IFERROR(INDEX(품목마스터!$D$3:$D$202,MATCH($D321,품목마스터!$A$3:$A$202,0)),""))</f>
        <v/>
      </c>
      <c r="G321" s="9"/>
      <c r="H321" s="9"/>
      <c r="I321" s="9"/>
      <c r="J321" s="7"/>
      <c r="K321" s="13" t="str">
        <f aca="false">IF(OR($G321="",$I321=""),"",ROUND($G321*$I321,0))</f>
        <v/>
      </c>
      <c r="L321" s="13" t="str">
        <f aca="false">IF($D321="","",IF($G321="",0,$G321)+IF($H321="",0,$H321))</f>
        <v/>
      </c>
      <c r="M321" s="7"/>
    </row>
    <row r="322" customFormat="false" ht="15" hidden="false" customHeight="true" outlineLevel="0" collapsed="false">
      <c r="A322" s="11"/>
      <c r="B322" s="7"/>
      <c r="C322" s="12" t="str">
        <f aca="false">IF($B322="","",IFERROR(INDEX(거래처마스터!$B$3:$B$102,MATCH($B322,거래처마스터!$A$3:$A$102,0)),"미등록"))</f>
        <v/>
      </c>
      <c r="D322" s="7"/>
      <c r="E322" s="12" t="str">
        <f aca="false">IF($D322="","",IFERROR(INDEX(품목마스터!$B$3:$B$202,MATCH($D322,품목마스터!$A$3:$A$202,0)),"미등록품번"))</f>
        <v/>
      </c>
      <c r="F322" s="12" t="str">
        <f aca="false">IF($D322="","",IFERROR(INDEX(품목마스터!$D$3:$D$202,MATCH($D322,품목마스터!$A$3:$A$202,0)),""))</f>
        <v/>
      </c>
      <c r="G322" s="9"/>
      <c r="H322" s="9"/>
      <c r="I322" s="9"/>
      <c r="J322" s="7"/>
      <c r="K322" s="13" t="str">
        <f aca="false">IF(OR($G322="",$I322=""),"",ROUND($G322*$I322,0))</f>
        <v/>
      </c>
      <c r="L322" s="13" t="str">
        <f aca="false">IF($D322="","",IF($G322="",0,$G322)+IF($H322="",0,$H322))</f>
        <v/>
      </c>
      <c r="M322" s="7"/>
    </row>
    <row r="323" customFormat="false" ht="15" hidden="false" customHeight="true" outlineLevel="0" collapsed="false">
      <c r="A323" s="11"/>
      <c r="B323" s="7"/>
      <c r="C323" s="12" t="str">
        <f aca="false">IF($B323="","",IFERROR(INDEX(거래처마스터!$B$3:$B$102,MATCH($B323,거래처마스터!$A$3:$A$102,0)),"미등록"))</f>
        <v/>
      </c>
      <c r="D323" s="7"/>
      <c r="E323" s="12" t="str">
        <f aca="false">IF($D323="","",IFERROR(INDEX(품목마스터!$B$3:$B$202,MATCH($D323,품목마스터!$A$3:$A$202,0)),"미등록품번"))</f>
        <v/>
      </c>
      <c r="F323" s="12" t="str">
        <f aca="false">IF($D323="","",IFERROR(INDEX(품목마스터!$D$3:$D$202,MATCH($D323,품목마스터!$A$3:$A$202,0)),""))</f>
        <v/>
      </c>
      <c r="G323" s="9"/>
      <c r="H323" s="9"/>
      <c r="I323" s="9"/>
      <c r="J323" s="7"/>
      <c r="K323" s="13" t="str">
        <f aca="false">IF(OR($G323="",$I323=""),"",ROUND($G323*$I323,0))</f>
        <v/>
      </c>
      <c r="L323" s="13" t="str">
        <f aca="false">IF($D323="","",IF($G323="",0,$G323)+IF($H323="",0,$H323))</f>
        <v/>
      </c>
      <c r="M323" s="7"/>
    </row>
    <row r="324" customFormat="false" ht="15" hidden="false" customHeight="true" outlineLevel="0" collapsed="false">
      <c r="A324" s="11"/>
      <c r="B324" s="7"/>
      <c r="C324" s="12" t="str">
        <f aca="false">IF($B324="","",IFERROR(INDEX(거래처마스터!$B$3:$B$102,MATCH($B324,거래처마스터!$A$3:$A$102,0)),"미등록"))</f>
        <v/>
      </c>
      <c r="D324" s="7"/>
      <c r="E324" s="12" t="str">
        <f aca="false">IF($D324="","",IFERROR(INDEX(품목마스터!$B$3:$B$202,MATCH($D324,품목마스터!$A$3:$A$202,0)),"미등록품번"))</f>
        <v/>
      </c>
      <c r="F324" s="12" t="str">
        <f aca="false">IF($D324="","",IFERROR(INDEX(품목마스터!$D$3:$D$202,MATCH($D324,품목마스터!$A$3:$A$202,0)),""))</f>
        <v/>
      </c>
      <c r="G324" s="9"/>
      <c r="H324" s="9"/>
      <c r="I324" s="9"/>
      <c r="J324" s="7"/>
      <c r="K324" s="13" t="str">
        <f aca="false">IF(OR($G324="",$I324=""),"",ROUND($G324*$I324,0))</f>
        <v/>
      </c>
      <c r="L324" s="13" t="str">
        <f aca="false">IF($D324="","",IF($G324="",0,$G324)+IF($H324="",0,$H324))</f>
        <v/>
      </c>
      <c r="M324" s="7"/>
    </row>
    <row r="325" customFormat="false" ht="15" hidden="false" customHeight="true" outlineLevel="0" collapsed="false">
      <c r="A325" s="11"/>
      <c r="B325" s="7"/>
      <c r="C325" s="12" t="str">
        <f aca="false">IF($B325="","",IFERROR(INDEX(거래처마스터!$B$3:$B$102,MATCH($B325,거래처마스터!$A$3:$A$102,0)),"미등록"))</f>
        <v/>
      </c>
      <c r="D325" s="7"/>
      <c r="E325" s="12" t="str">
        <f aca="false">IF($D325="","",IFERROR(INDEX(품목마스터!$B$3:$B$202,MATCH($D325,품목마스터!$A$3:$A$202,0)),"미등록품번"))</f>
        <v/>
      </c>
      <c r="F325" s="12" t="str">
        <f aca="false">IF($D325="","",IFERROR(INDEX(품목마스터!$D$3:$D$202,MATCH($D325,품목마스터!$A$3:$A$202,0)),""))</f>
        <v/>
      </c>
      <c r="G325" s="9"/>
      <c r="H325" s="9"/>
      <c r="I325" s="9"/>
      <c r="J325" s="7"/>
      <c r="K325" s="13" t="str">
        <f aca="false">IF(OR($G325="",$I325=""),"",ROUND($G325*$I325,0))</f>
        <v/>
      </c>
      <c r="L325" s="13" t="str">
        <f aca="false">IF($D325="","",IF($G325="",0,$G325)+IF($H325="",0,$H325))</f>
        <v/>
      </c>
      <c r="M325" s="7"/>
    </row>
    <row r="326" customFormat="false" ht="15" hidden="false" customHeight="true" outlineLevel="0" collapsed="false">
      <c r="A326" s="11"/>
      <c r="B326" s="7"/>
      <c r="C326" s="12" t="str">
        <f aca="false">IF($B326="","",IFERROR(INDEX(거래처마스터!$B$3:$B$102,MATCH($B326,거래처마스터!$A$3:$A$102,0)),"미등록"))</f>
        <v/>
      </c>
      <c r="D326" s="7"/>
      <c r="E326" s="12" t="str">
        <f aca="false">IF($D326="","",IFERROR(INDEX(품목마스터!$B$3:$B$202,MATCH($D326,품목마스터!$A$3:$A$202,0)),"미등록품번"))</f>
        <v/>
      </c>
      <c r="F326" s="12" t="str">
        <f aca="false">IF($D326="","",IFERROR(INDEX(품목마스터!$D$3:$D$202,MATCH($D326,품목마스터!$A$3:$A$202,0)),""))</f>
        <v/>
      </c>
      <c r="G326" s="9"/>
      <c r="H326" s="9"/>
      <c r="I326" s="9"/>
      <c r="J326" s="7"/>
      <c r="K326" s="13" t="str">
        <f aca="false">IF(OR($G326="",$I326=""),"",ROUND($G326*$I326,0))</f>
        <v/>
      </c>
      <c r="L326" s="13" t="str">
        <f aca="false">IF($D326="","",IF($G326="",0,$G326)+IF($H326="",0,$H326))</f>
        <v/>
      </c>
      <c r="M326" s="7"/>
    </row>
    <row r="327" customFormat="false" ht="15" hidden="false" customHeight="true" outlineLevel="0" collapsed="false">
      <c r="A327" s="11"/>
      <c r="B327" s="7"/>
      <c r="C327" s="12" t="str">
        <f aca="false">IF($B327="","",IFERROR(INDEX(거래처마스터!$B$3:$B$102,MATCH($B327,거래처마스터!$A$3:$A$102,0)),"미등록"))</f>
        <v/>
      </c>
      <c r="D327" s="7"/>
      <c r="E327" s="12" t="str">
        <f aca="false">IF($D327="","",IFERROR(INDEX(품목마스터!$B$3:$B$202,MATCH($D327,품목마스터!$A$3:$A$202,0)),"미등록품번"))</f>
        <v/>
      </c>
      <c r="F327" s="12" t="str">
        <f aca="false">IF($D327="","",IFERROR(INDEX(품목마스터!$D$3:$D$202,MATCH($D327,품목마스터!$A$3:$A$202,0)),""))</f>
        <v/>
      </c>
      <c r="G327" s="9"/>
      <c r="H327" s="9"/>
      <c r="I327" s="9"/>
      <c r="J327" s="7"/>
      <c r="K327" s="13" t="str">
        <f aca="false">IF(OR($G327="",$I327=""),"",ROUND($G327*$I327,0))</f>
        <v/>
      </c>
      <c r="L327" s="13" t="str">
        <f aca="false">IF($D327="","",IF($G327="",0,$G327)+IF($H327="",0,$H327))</f>
        <v/>
      </c>
      <c r="M327" s="7"/>
    </row>
    <row r="328" customFormat="false" ht="15" hidden="false" customHeight="true" outlineLevel="0" collapsed="false">
      <c r="A328" s="11"/>
      <c r="B328" s="7"/>
      <c r="C328" s="12" t="str">
        <f aca="false">IF($B328="","",IFERROR(INDEX(거래처마스터!$B$3:$B$102,MATCH($B328,거래처마스터!$A$3:$A$102,0)),"미등록"))</f>
        <v/>
      </c>
      <c r="D328" s="7"/>
      <c r="E328" s="12" t="str">
        <f aca="false">IF($D328="","",IFERROR(INDEX(품목마스터!$B$3:$B$202,MATCH($D328,품목마스터!$A$3:$A$202,0)),"미등록품번"))</f>
        <v/>
      </c>
      <c r="F328" s="12" t="str">
        <f aca="false">IF($D328="","",IFERROR(INDEX(품목마스터!$D$3:$D$202,MATCH($D328,품목마스터!$A$3:$A$202,0)),""))</f>
        <v/>
      </c>
      <c r="G328" s="9"/>
      <c r="H328" s="9"/>
      <c r="I328" s="9"/>
      <c r="J328" s="7"/>
      <c r="K328" s="13" t="str">
        <f aca="false">IF(OR($G328="",$I328=""),"",ROUND($G328*$I328,0))</f>
        <v/>
      </c>
      <c r="L328" s="13" t="str">
        <f aca="false">IF($D328="","",IF($G328="",0,$G328)+IF($H328="",0,$H328))</f>
        <v/>
      </c>
      <c r="M328" s="7"/>
    </row>
    <row r="329" customFormat="false" ht="15" hidden="false" customHeight="true" outlineLevel="0" collapsed="false">
      <c r="A329" s="11"/>
      <c r="B329" s="7"/>
      <c r="C329" s="12" t="str">
        <f aca="false">IF($B329="","",IFERROR(INDEX(거래처마스터!$B$3:$B$102,MATCH($B329,거래처마스터!$A$3:$A$102,0)),"미등록"))</f>
        <v/>
      </c>
      <c r="D329" s="7"/>
      <c r="E329" s="12" t="str">
        <f aca="false">IF($D329="","",IFERROR(INDEX(품목마스터!$B$3:$B$202,MATCH($D329,품목마스터!$A$3:$A$202,0)),"미등록품번"))</f>
        <v/>
      </c>
      <c r="F329" s="12" t="str">
        <f aca="false">IF($D329="","",IFERROR(INDEX(품목마스터!$D$3:$D$202,MATCH($D329,품목마스터!$A$3:$A$202,0)),""))</f>
        <v/>
      </c>
      <c r="G329" s="9"/>
      <c r="H329" s="9"/>
      <c r="I329" s="9"/>
      <c r="J329" s="7"/>
      <c r="K329" s="13" t="str">
        <f aca="false">IF(OR($G329="",$I329=""),"",ROUND($G329*$I329,0))</f>
        <v/>
      </c>
      <c r="L329" s="13" t="str">
        <f aca="false">IF($D329="","",IF($G329="",0,$G329)+IF($H329="",0,$H329))</f>
        <v/>
      </c>
      <c r="M329" s="7"/>
    </row>
    <row r="330" customFormat="false" ht="15" hidden="false" customHeight="true" outlineLevel="0" collapsed="false">
      <c r="A330" s="11"/>
      <c r="B330" s="7"/>
      <c r="C330" s="12" t="str">
        <f aca="false">IF($B330="","",IFERROR(INDEX(거래처마스터!$B$3:$B$102,MATCH($B330,거래처마스터!$A$3:$A$102,0)),"미등록"))</f>
        <v/>
      </c>
      <c r="D330" s="7"/>
      <c r="E330" s="12" t="str">
        <f aca="false">IF($D330="","",IFERROR(INDEX(품목마스터!$B$3:$B$202,MATCH($D330,품목마스터!$A$3:$A$202,0)),"미등록품번"))</f>
        <v/>
      </c>
      <c r="F330" s="12" t="str">
        <f aca="false">IF($D330="","",IFERROR(INDEX(품목마스터!$D$3:$D$202,MATCH($D330,품목마스터!$A$3:$A$202,0)),""))</f>
        <v/>
      </c>
      <c r="G330" s="9"/>
      <c r="H330" s="9"/>
      <c r="I330" s="9"/>
      <c r="J330" s="7"/>
      <c r="K330" s="13" t="str">
        <f aca="false">IF(OR($G330="",$I330=""),"",ROUND($G330*$I330,0))</f>
        <v/>
      </c>
      <c r="L330" s="13" t="str">
        <f aca="false">IF($D330="","",IF($G330="",0,$G330)+IF($H330="",0,$H330))</f>
        <v/>
      </c>
      <c r="M330" s="7"/>
    </row>
    <row r="331" customFormat="false" ht="15" hidden="false" customHeight="true" outlineLevel="0" collapsed="false">
      <c r="A331" s="11"/>
      <c r="B331" s="7"/>
      <c r="C331" s="12" t="str">
        <f aca="false">IF($B331="","",IFERROR(INDEX(거래처마스터!$B$3:$B$102,MATCH($B331,거래처마스터!$A$3:$A$102,0)),"미등록"))</f>
        <v/>
      </c>
      <c r="D331" s="7"/>
      <c r="E331" s="12" t="str">
        <f aca="false">IF($D331="","",IFERROR(INDEX(품목마스터!$B$3:$B$202,MATCH($D331,품목마스터!$A$3:$A$202,0)),"미등록품번"))</f>
        <v/>
      </c>
      <c r="F331" s="12" t="str">
        <f aca="false">IF($D331="","",IFERROR(INDEX(품목마스터!$D$3:$D$202,MATCH($D331,품목마스터!$A$3:$A$202,0)),""))</f>
        <v/>
      </c>
      <c r="G331" s="9"/>
      <c r="H331" s="9"/>
      <c r="I331" s="9"/>
      <c r="J331" s="7"/>
      <c r="K331" s="13" t="str">
        <f aca="false">IF(OR($G331="",$I331=""),"",ROUND($G331*$I331,0))</f>
        <v/>
      </c>
      <c r="L331" s="13" t="str">
        <f aca="false">IF($D331="","",IF($G331="",0,$G331)+IF($H331="",0,$H331))</f>
        <v/>
      </c>
      <c r="M331" s="7"/>
    </row>
    <row r="332" customFormat="false" ht="15" hidden="false" customHeight="true" outlineLevel="0" collapsed="false">
      <c r="A332" s="11"/>
      <c r="B332" s="7"/>
      <c r="C332" s="12" t="str">
        <f aca="false">IF($B332="","",IFERROR(INDEX(거래처마스터!$B$3:$B$102,MATCH($B332,거래처마스터!$A$3:$A$102,0)),"미등록"))</f>
        <v/>
      </c>
      <c r="D332" s="7"/>
      <c r="E332" s="12" t="str">
        <f aca="false">IF($D332="","",IFERROR(INDEX(품목마스터!$B$3:$B$202,MATCH($D332,품목마스터!$A$3:$A$202,0)),"미등록품번"))</f>
        <v/>
      </c>
      <c r="F332" s="12" t="str">
        <f aca="false">IF($D332="","",IFERROR(INDEX(품목마스터!$D$3:$D$202,MATCH($D332,품목마스터!$A$3:$A$202,0)),""))</f>
        <v/>
      </c>
      <c r="G332" s="9"/>
      <c r="H332" s="9"/>
      <c r="I332" s="9"/>
      <c r="J332" s="7"/>
      <c r="K332" s="13" t="str">
        <f aca="false">IF(OR($G332="",$I332=""),"",ROUND($G332*$I332,0))</f>
        <v/>
      </c>
      <c r="L332" s="13" t="str">
        <f aca="false">IF($D332="","",IF($G332="",0,$G332)+IF($H332="",0,$H332))</f>
        <v/>
      </c>
      <c r="M332" s="7"/>
    </row>
    <row r="333" customFormat="false" ht="15" hidden="false" customHeight="true" outlineLevel="0" collapsed="false">
      <c r="A333" s="11"/>
      <c r="B333" s="7"/>
      <c r="C333" s="12" t="str">
        <f aca="false">IF($B333="","",IFERROR(INDEX(거래처마스터!$B$3:$B$102,MATCH($B333,거래처마스터!$A$3:$A$102,0)),"미등록"))</f>
        <v/>
      </c>
      <c r="D333" s="7"/>
      <c r="E333" s="12" t="str">
        <f aca="false">IF($D333="","",IFERROR(INDEX(품목마스터!$B$3:$B$202,MATCH($D333,품목마스터!$A$3:$A$202,0)),"미등록품번"))</f>
        <v/>
      </c>
      <c r="F333" s="12" t="str">
        <f aca="false">IF($D333="","",IFERROR(INDEX(품목마스터!$D$3:$D$202,MATCH($D333,품목마스터!$A$3:$A$202,0)),""))</f>
        <v/>
      </c>
      <c r="G333" s="9"/>
      <c r="H333" s="9"/>
      <c r="I333" s="9"/>
      <c r="J333" s="7"/>
      <c r="K333" s="13" t="str">
        <f aca="false">IF(OR($G333="",$I333=""),"",ROUND($G333*$I333,0))</f>
        <v/>
      </c>
      <c r="L333" s="13" t="str">
        <f aca="false">IF($D333="","",IF($G333="",0,$G333)+IF($H333="",0,$H333))</f>
        <v/>
      </c>
      <c r="M333" s="7"/>
    </row>
    <row r="334" customFormat="false" ht="15" hidden="false" customHeight="true" outlineLevel="0" collapsed="false">
      <c r="A334" s="11"/>
      <c r="B334" s="7"/>
      <c r="C334" s="12" t="str">
        <f aca="false">IF($B334="","",IFERROR(INDEX(거래처마스터!$B$3:$B$102,MATCH($B334,거래처마스터!$A$3:$A$102,0)),"미등록"))</f>
        <v/>
      </c>
      <c r="D334" s="7"/>
      <c r="E334" s="12" t="str">
        <f aca="false">IF($D334="","",IFERROR(INDEX(품목마스터!$B$3:$B$202,MATCH($D334,품목마스터!$A$3:$A$202,0)),"미등록품번"))</f>
        <v/>
      </c>
      <c r="F334" s="12" t="str">
        <f aca="false">IF($D334="","",IFERROR(INDEX(품목마스터!$D$3:$D$202,MATCH($D334,품목마스터!$A$3:$A$202,0)),""))</f>
        <v/>
      </c>
      <c r="G334" s="9"/>
      <c r="H334" s="9"/>
      <c r="I334" s="9"/>
      <c r="J334" s="7"/>
      <c r="K334" s="13" t="str">
        <f aca="false">IF(OR($G334="",$I334=""),"",ROUND($G334*$I334,0))</f>
        <v/>
      </c>
      <c r="L334" s="13" t="str">
        <f aca="false">IF($D334="","",IF($G334="",0,$G334)+IF($H334="",0,$H334))</f>
        <v/>
      </c>
      <c r="M334" s="7"/>
    </row>
    <row r="335" customFormat="false" ht="15" hidden="false" customHeight="true" outlineLevel="0" collapsed="false">
      <c r="A335" s="11"/>
      <c r="B335" s="7"/>
      <c r="C335" s="12" t="str">
        <f aca="false">IF($B335="","",IFERROR(INDEX(거래처마스터!$B$3:$B$102,MATCH($B335,거래처마스터!$A$3:$A$102,0)),"미등록"))</f>
        <v/>
      </c>
      <c r="D335" s="7"/>
      <c r="E335" s="12" t="str">
        <f aca="false">IF($D335="","",IFERROR(INDEX(품목마스터!$B$3:$B$202,MATCH($D335,품목마스터!$A$3:$A$202,0)),"미등록품번"))</f>
        <v/>
      </c>
      <c r="F335" s="12" t="str">
        <f aca="false">IF($D335="","",IFERROR(INDEX(품목마스터!$D$3:$D$202,MATCH($D335,품목마스터!$A$3:$A$202,0)),""))</f>
        <v/>
      </c>
      <c r="G335" s="9"/>
      <c r="H335" s="9"/>
      <c r="I335" s="9"/>
      <c r="J335" s="7"/>
      <c r="K335" s="13" t="str">
        <f aca="false">IF(OR($G335="",$I335=""),"",ROUND($G335*$I335,0))</f>
        <v/>
      </c>
      <c r="L335" s="13" t="str">
        <f aca="false">IF($D335="","",IF($G335="",0,$G335)+IF($H335="",0,$H335))</f>
        <v/>
      </c>
      <c r="M335" s="7"/>
    </row>
    <row r="336" customFormat="false" ht="15" hidden="false" customHeight="true" outlineLevel="0" collapsed="false">
      <c r="A336" s="11"/>
      <c r="B336" s="7"/>
      <c r="C336" s="12" t="str">
        <f aca="false">IF($B336="","",IFERROR(INDEX(거래처마스터!$B$3:$B$102,MATCH($B336,거래처마스터!$A$3:$A$102,0)),"미등록"))</f>
        <v/>
      </c>
      <c r="D336" s="7"/>
      <c r="E336" s="12" t="str">
        <f aca="false">IF($D336="","",IFERROR(INDEX(품목마스터!$B$3:$B$202,MATCH($D336,품목마스터!$A$3:$A$202,0)),"미등록품번"))</f>
        <v/>
      </c>
      <c r="F336" s="12" t="str">
        <f aca="false">IF($D336="","",IFERROR(INDEX(품목마스터!$D$3:$D$202,MATCH($D336,품목마스터!$A$3:$A$202,0)),""))</f>
        <v/>
      </c>
      <c r="G336" s="9"/>
      <c r="H336" s="9"/>
      <c r="I336" s="9"/>
      <c r="J336" s="7"/>
      <c r="K336" s="13" t="str">
        <f aca="false">IF(OR($G336="",$I336=""),"",ROUND($G336*$I336,0))</f>
        <v/>
      </c>
      <c r="L336" s="13" t="str">
        <f aca="false">IF($D336="","",IF($G336="",0,$G336)+IF($H336="",0,$H336))</f>
        <v/>
      </c>
      <c r="M336" s="7"/>
    </row>
    <row r="337" customFormat="false" ht="15" hidden="false" customHeight="true" outlineLevel="0" collapsed="false">
      <c r="A337" s="11"/>
      <c r="B337" s="7"/>
      <c r="C337" s="12" t="str">
        <f aca="false">IF($B337="","",IFERROR(INDEX(거래처마스터!$B$3:$B$102,MATCH($B337,거래처마스터!$A$3:$A$102,0)),"미등록"))</f>
        <v/>
      </c>
      <c r="D337" s="7"/>
      <c r="E337" s="12" t="str">
        <f aca="false">IF($D337="","",IFERROR(INDEX(품목마스터!$B$3:$B$202,MATCH($D337,품목마스터!$A$3:$A$202,0)),"미등록품번"))</f>
        <v/>
      </c>
      <c r="F337" s="12" t="str">
        <f aca="false">IF($D337="","",IFERROR(INDEX(품목마스터!$D$3:$D$202,MATCH($D337,품목마스터!$A$3:$A$202,0)),""))</f>
        <v/>
      </c>
      <c r="G337" s="9"/>
      <c r="H337" s="9"/>
      <c r="I337" s="9"/>
      <c r="J337" s="7"/>
      <c r="K337" s="13" t="str">
        <f aca="false">IF(OR($G337="",$I337=""),"",ROUND($G337*$I337,0))</f>
        <v/>
      </c>
      <c r="L337" s="13" t="str">
        <f aca="false">IF($D337="","",IF($G337="",0,$G337)+IF($H337="",0,$H337))</f>
        <v/>
      </c>
      <c r="M337" s="7"/>
    </row>
    <row r="338" customFormat="false" ht="15" hidden="false" customHeight="true" outlineLevel="0" collapsed="false">
      <c r="A338" s="11"/>
      <c r="B338" s="7"/>
      <c r="C338" s="12" t="str">
        <f aca="false">IF($B338="","",IFERROR(INDEX(거래처마스터!$B$3:$B$102,MATCH($B338,거래처마스터!$A$3:$A$102,0)),"미등록"))</f>
        <v/>
      </c>
      <c r="D338" s="7"/>
      <c r="E338" s="12" t="str">
        <f aca="false">IF($D338="","",IFERROR(INDEX(품목마스터!$B$3:$B$202,MATCH($D338,품목마스터!$A$3:$A$202,0)),"미등록품번"))</f>
        <v/>
      </c>
      <c r="F338" s="12" t="str">
        <f aca="false">IF($D338="","",IFERROR(INDEX(품목마스터!$D$3:$D$202,MATCH($D338,품목마스터!$A$3:$A$202,0)),""))</f>
        <v/>
      </c>
      <c r="G338" s="9"/>
      <c r="H338" s="9"/>
      <c r="I338" s="9"/>
      <c r="J338" s="7"/>
      <c r="K338" s="13" t="str">
        <f aca="false">IF(OR($G338="",$I338=""),"",ROUND($G338*$I338,0))</f>
        <v/>
      </c>
      <c r="L338" s="13" t="str">
        <f aca="false">IF($D338="","",IF($G338="",0,$G338)+IF($H338="",0,$H338))</f>
        <v/>
      </c>
      <c r="M338" s="7"/>
    </row>
    <row r="339" customFormat="false" ht="15" hidden="false" customHeight="true" outlineLevel="0" collapsed="false">
      <c r="A339" s="11"/>
      <c r="B339" s="7"/>
      <c r="C339" s="12" t="str">
        <f aca="false">IF($B339="","",IFERROR(INDEX(거래처마스터!$B$3:$B$102,MATCH($B339,거래처마스터!$A$3:$A$102,0)),"미등록"))</f>
        <v/>
      </c>
      <c r="D339" s="7"/>
      <c r="E339" s="12" t="str">
        <f aca="false">IF($D339="","",IFERROR(INDEX(품목마스터!$B$3:$B$202,MATCH($D339,품목마스터!$A$3:$A$202,0)),"미등록품번"))</f>
        <v/>
      </c>
      <c r="F339" s="12" t="str">
        <f aca="false">IF($D339="","",IFERROR(INDEX(품목마스터!$D$3:$D$202,MATCH($D339,품목마스터!$A$3:$A$202,0)),""))</f>
        <v/>
      </c>
      <c r="G339" s="9"/>
      <c r="H339" s="9"/>
      <c r="I339" s="9"/>
      <c r="J339" s="7"/>
      <c r="K339" s="13" t="str">
        <f aca="false">IF(OR($G339="",$I339=""),"",ROUND($G339*$I339,0))</f>
        <v/>
      </c>
      <c r="L339" s="13" t="str">
        <f aca="false">IF($D339="","",IF($G339="",0,$G339)+IF($H339="",0,$H339))</f>
        <v/>
      </c>
      <c r="M339" s="7"/>
    </row>
    <row r="340" customFormat="false" ht="15" hidden="false" customHeight="true" outlineLevel="0" collapsed="false">
      <c r="A340" s="11"/>
      <c r="B340" s="7"/>
      <c r="C340" s="12" t="str">
        <f aca="false">IF($B340="","",IFERROR(INDEX(거래처마스터!$B$3:$B$102,MATCH($B340,거래처마스터!$A$3:$A$102,0)),"미등록"))</f>
        <v/>
      </c>
      <c r="D340" s="7"/>
      <c r="E340" s="12" t="str">
        <f aca="false">IF($D340="","",IFERROR(INDEX(품목마스터!$B$3:$B$202,MATCH($D340,품목마스터!$A$3:$A$202,0)),"미등록품번"))</f>
        <v/>
      </c>
      <c r="F340" s="12" t="str">
        <f aca="false">IF($D340="","",IFERROR(INDEX(품목마스터!$D$3:$D$202,MATCH($D340,품목마스터!$A$3:$A$202,0)),""))</f>
        <v/>
      </c>
      <c r="G340" s="9"/>
      <c r="H340" s="9"/>
      <c r="I340" s="9"/>
      <c r="J340" s="7"/>
      <c r="K340" s="13" t="str">
        <f aca="false">IF(OR($G340="",$I340=""),"",ROUND($G340*$I340,0))</f>
        <v/>
      </c>
      <c r="L340" s="13" t="str">
        <f aca="false">IF($D340="","",IF($G340="",0,$G340)+IF($H340="",0,$H340))</f>
        <v/>
      </c>
      <c r="M340" s="7"/>
    </row>
    <row r="341" customFormat="false" ht="15" hidden="false" customHeight="true" outlineLevel="0" collapsed="false">
      <c r="A341" s="11"/>
      <c r="B341" s="7"/>
      <c r="C341" s="12" t="str">
        <f aca="false">IF($B341="","",IFERROR(INDEX(거래처마스터!$B$3:$B$102,MATCH($B341,거래처마스터!$A$3:$A$102,0)),"미등록"))</f>
        <v/>
      </c>
      <c r="D341" s="7"/>
      <c r="E341" s="12" t="str">
        <f aca="false">IF($D341="","",IFERROR(INDEX(품목마스터!$B$3:$B$202,MATCH($D341,품목마스터!$A$3:$A$202,0)),"미등록품번"))</f>
        <v/>
      </c>
      <c r="F341" s="12" t="str">
        <f aca="false">IF($D341="","",IFERROR(INDEX(품목마스터!$D$3:$D$202,MATCH($D341,품목마스터!$A$3:$A$202,0)),""))</f>
        <v/>
      </c>
      <c r="G341" s="9"/>
      <c r="H341" s="9"/>
      <c r="I341" s="9"/>
      <c r="J341" s="7"/>
      <c r="K341" s="13" t="str">
        <f aca="false">IF(OR($G341="",$I341=""),"",ROUND($G341*$I341,0))</f>
        <v/>
      </c>
      <c r="L341" s="13" t="str">
        <f aca="false">IF($D341="","",IF($G341="",0,$G341)+IF($H341="",0,$H341))</f>
        <v/>
      </c>
      <c r="M341" s="7"/>
    </row>
    <row r="342" customFormat="false" ht="15" hidden="false" customHeight="true" outlineLevel="0" collapsed="false">
      <c r="A342" s="11"/>
      <c r="B342" s="7"/>
      <c r="C342" s="12" t="str">
        <f aca="false">IF($B342="","",IFERROR(INDEX(거래처마스터!$B$3:$B$102,MATCH($B342,거래처마스터!$A$3:$A$102,0)),"미등록"))</f>
        <v/>
      </c>
      <c r="D342" s="7"/>
      <c r="E342" s="12" t="str">
        <f aca="false">IF($D342="","",IFERROR(INDEX(품목마스터!$B$3:$B$202,MATCH($D342,품목마스터!$A$3:$A$202,0)),"미등록품번"))</f>
        <v/>
      </c>
      <c r="F342" s="12" t="str">
        <f aca="false">IF($D342="","",IFERROR(INDEX(품목마스터!$D$3:$D$202,MATCH($D342,품목마스터!$A$3:$A$202,0)),""))</f>
        <v/>
      </c>
      <c r="G342" s="9"/>
      <c r="H342" s="9"/>
      <c r="I342" s="9"/>
      <c r="J342" s="7"/>
      <c r="K342" s="13" t="str">
        <f aca="false">IF(OR($G342="",$I342=""),"",ROUND($G342*$I342,0))</f>
        <v/>
      </c>
      <c r="L342" s="13" t="str">
        <f aca="false">IF($D342="","",IF($G342="",0,$G342)+IF($H342="",0,$H342))</f>
        <v/>
      </c>
      <c r="M342" s="7"/>
    </row>
    <row r="343" customFormat="false" ht="15" hidden="false" customHeight="true" outlineLevel="0" collapsed="false">
      <c r="A343" s="11"/>
      <c r="B343" s="7"/>
      <c r="C343" s="12" t="str">
        <f aca="false">IF($B343="","",IFERROR(INDEX(거래처마스터!$B$3:$B$102,MATCH($B343,거래처마스터!$A$3:$A$102,0)),"미등록"))</f>
        <v/>
      </c>
      <c r="D343" s="7"/>
      <c r="E343" s="12" t="str">
        <f aca="false">IF($D343="","",IFERROR(INDEX(품목마스터!$B$3:$B$202,MATCH($D343,품목마스터!$A$3:$A$202,0)),"미등록품번"))</f>
        <v/>
      </c>
      <c r="F343" s="12" t="str">
        <f aca="false">IF($D343="","",IFERROR(INDEX(품목마스터!$D$3:$D$202,MATCH($D343,품목마스터!$A$3:$A$202,0)),""))</f>
        <v/>
      </c>
      <c r="G343" s="9"/>
      <c r="H343" s="9"/>
      <c r="I343" s="9"/>
      <c r="J343" s="7"/>
      <c r="K343" s="13" t="str">
        <f aca="false">IF(OR($G343="",$I343=""),"",ROUND($G343*$I343,0))</f>
        <v/>
      </c>
      <c r="L343" s="13" t="str">
        <f aca="false">IF($D343="","",IF($G343="",0,$G343)+IF($H343="",0,$H343))</f>
        <v/>
      </c>
      <c r="M343" s="7"/>
    </row>
    <row r="344" customFormat="false" ht="15" hidden="false" customHeight="true" outlineLevel="0" collapsed="false">
      <c r="A344" s="11"/>
      <c r="B344" s="7"/>
      <c r="C344" s="12" t="str">
        <f aca="false">IF($B344="","",IFERROR(INDEX(거래처마스터!$B$3:$B$102,MATCH($B344,거래처마스터!$A$3:$A$102,0)),"미등록"))</f>
        <v/>
      </c>
      <c r="D344" s="7"/>
      <c r="E344" s="12" t="str">
        <f aca="false">IF($D344="","",IFERROR(INDEX(품목마스터!$B$3:$B$202,MATCH($D344,품목마스터!$A$3:$A$202,0)),"미등록품번"))</f>
        <v/>
      </c>
      <c r="F344" s="12" t="str">
        <f aca="false">IF($D344="","",IFERROR(INDEX(품목마스터!$D$3:$D$202,MATCH($D344,품목마스터!$A$3:$A$202,0)),""))</f>
        <v/>
      </c>
      <c r="G344" s="9"/>
      <c r="H344" s="9"/>
      <c r="I344" s="9"/>
      <c r="J344" s="7"/>
      <c r="K344" s="13" t="str">
        <f aca="false">IF(OR($G344="",$I344=""),"",ROUND($G344*$I344,0))</f>
        <v/>
      </c>
      <c r="L344" s="13" t="str">
        <f aca="false">IF($D344="","",IF($G344="",0,$G344)+IF($H344="",0,$H344))</f>
        <v/>
      </c>
      <c r="M344" s="7"/>
    </row>
    <row r="345" customFormat="false" ht="15" hidden="false" customHeight="true" outlineLevel="0" collapsed="false">
      <c r="A345" s="11"/>
      <c r="B345" s="7"/>
      <c r="C345" s="12" t="str">
        <f aca="false">IF($B345="","",IFERROR(INDEX(거래처마스터!$B$3:$B$102,MATCH($B345,거래처마스터!$A$3:$A$102,0)),"미등록"))</f>
        <v/>
      </c>
      <c r="D345" s="7"/>
      <c r="E345" s="12" t="str">
        <f aca="false">IF($D345="","",IFERROR(INDEX(품목마스터!$B$3:$B$202,MATCH($D345,품목마스터!$A$3:$A$202,0)),"미등록품번"))</f>
        <v/>
      </c>
      <c r="F345" s="12" t="str">
        <f aca="false">IF($D345="","",IFERROR(INDEX(품목마스터!$D$3:$D$202,MATCH($D345,품목마스터!$A$3:$A$202,0)),""))</f>
        <v/>
      </c>
      <c r="G345" s="9"/>
      <c r="H345" s="9"/>
      <c r="I345" s="9"/>
      <c r="J345" s="7"/>
      <c r="K345" s="13" t="str">
        <f aca="false">IF(OR($G345="",$I345=""),"",ROUND($G345*$I345,0))</f>
        <v/>
      </c>
      <c r="L345" s="13" t="str">
        <f aca="false">IF($D345="","",IF($G345="",0,$G345)+IF($H345="",0,$H345))</f>
        <v/>
      </c>
      <c r="M345" s="7"/>
    </row>
    <row r="346" customFormat="false" ht="15" hidden="false" customHeight="true" outlineLevel="0" collapsed="false">
      <c r="A346" s="11"/>
      <c r="B346" s="7"/>
      <c r="C346" s="12" t="str">
        <f aca="false">IF($B346="","",IFERROR(INDEX(거래처마스터!$B$3:$B$102,MATCH($B346,거래처마스터!$A$3:$A$102,0)),"미등록"))</f>
        <v/>
      </c>
      <c r="D346" s="7"/>
      <c r="E346" s="12" t="str">
        <f aca="false">IF($D346="","",IFERROR(INDEX(품목마스터!$B$3:$B$202,MATCH($D346,품목마스터!$A$3:$A$202,0)),"미등록품번"))</f>
        <v/>
      </c>
      <c r="F346" s="12" t="str">
        <f aca="false">IF($D346="","",IFERROR(INDEX(품목마스터!$D$3:$D$202,MATCH($D346,품목마스터!$A$3:$A$202,0)),""))</f>
        <v/>
      </c>
      <c r="G346" s="9"/>
      <c r="H346" s="9"/>
      <c r="I346" s="9"/>
      <c r="J346" s="7"/>
      <c r="K346" s="13" t="str">
        <f aca="false">IF(OR($G346="",$I346=""),"",ROUND($G346*$I346,0))</f>
        <v/>
      </c>
      <c r="L346" s="13" t="str">
        <f aca="false">IF($D346="","",IF($G346="",0,$G346)+IF($H346="",0,$H346))</f>
        <v/>
      </c>
      <c r="M346" s="7"/>
    </row>
    <row r="347" customFormat="false" ht="15" hidden="false" customHeight="true" outlineLevel="0" collapsed="false">
      <c r="A347" s="11"/>
      <c r="B347" s="7"/>
      <c r="C347" s="12" t="str">
        <f aca="false">IF($B347="","",IFERROR(INDEX(거래처마스터!$B$3:$B$102,MATCH($B347,거래처마스터!$A$3:$A$102,0)),"미등록"))</f>
        <v/>
      </c>
      <c r="D347" s="7"/>
      <c r="E347" s="12" t="str">
        <f aca="false">IF($D347="","",IFERROR(INDEX(품목마스터!$B$3:$B$202,MATCH($D347,품목마스터!$A$3:$A$202,0)),"미등록품번"))</f>
        <v/>
      </c>
      <c r="F347" s="12" t="str">
        <f aca="false">IF($D347="","",IFERROR(INDEX(품목마스터!$D$3:$D$202,MATCH($D347,품목마스터!$A$3:$A$202,0)),""))</f>
        <v/>
      </c>
      <c r="G347" s="9"/>
      <c r="H347" s="9"/>
      <c r="I347" s="9"/>
      <c r="J347" s="7"/>
      <c r="K347" s="13" t="str">
        <f aca="false">IF(OR($G347="",$I347=""),"",ROUND($G347*$I347,0))</f>
        <v/>
      </c>
      <c r="L347" s="13" t="str">
        <f aca="false">IF($D347="","",IF($G347="",0,$G347)+IF($H347="",0,$H347))</f>
        <v/>
      </c>
      <c r="M347" s="7"/>
    </row>
    <row r="348" customFormat="false" ht="15" hidden="false" customHeight="true" outlineLevel="0" collapsed="false">
      <c r="A348" s="11"/>
      <c r="B348" s="7"/>
      <c r="C348" s="12" t="str">
        <f aca="false">IF($B348="","",IFERROR(INDEX(거래처마스터!$B$3:$B$102,MATCH($B348,거래처마스터!$A$3:$A$102,0)),"미등록"))</f>
        <v/>
      </c>
      <c r="D348" s="7"/>
      <c r="E348" s="12" t="str">
        <f aca="false">IF($D348="","",IFERROR(INDEX(품목마스터!$B$3:$B$202,MATCH($D348,품목마스터!$A$3:$A$202,0)),"미등록품번"))</f>
        <v/>
      </c>
      <c r="F348" s="12" t="str">
        <f aca="false">IF($D348="","",IFERROR(INDEX(품목마스터!$D$3:$D$202,MATCH($D348,품목마스터!$A$3:$A$202,0)),""))</f>
        <v/>
      </c>
      <c r="G348" s="9"/>
      <c r="H348" s="9"/>
      <c r="I348" s="9"/>
      <c r="J348" s="7"/>
      <c r="K348" s="13" t="str">
        <f aca="false">IF(OR($G348="",$I348=""),"",ROUND($G348*$I348,0))</f>
        <v/>
      </c>
      <c r="L348" s="13" t="str">
        <f aca="false">IF($D348="","",IF($G348="",0,$G348)+IF($H348="",0,$H348))</f>
        <v/>
      </c>
      <c r="M348" s="7"/>
    </row>
    <row r="349" customFormat="false" ht="15" hidden="false" customHeight="true" outlineLevel="0" collapsed="false">
      <c r="A349" s="11"/>
      <c r="B349" s="7"/>
      <c r="C349" s="12" t="str">
        <f aca="false">IF($B349="","",IFERROR(INDEX(거래처마스터!$B$3:$B$102,MATCH($B349,거래처마스터!$A$3:$A$102,0)),"미등록"))</f>
        <v/>
      </c>
      <c r="D349" s="7"/>
      <c r="E349" s="12" t="str">
        <f aca="false">IF($D349="","",IFERROR(INDEX(품목마스터!$B$3:$B$202,MATCH($D349,품목마스터!$A$3:$A$202,0)),"미등록품번"))</f>
        <v/>
      </c>
      <c r="F349" s="12" t="str">
        <f aca="false">IF($D349="","",IFERROR(INDEX(품목마스터!$D$3:$D$202,MATCH($D349,품목마스터!$A$3:$A$202,0)),""))</f>
        <v/>
      </c>
      <c r="G349" s="9"/>
      <c r="H349" s="9"/>
      <c r="I349" s="9"/>
      <c r="J349" s="7"/>
      <c r="K349" s="13" t="str">
        <f aca="false">IF(OR($G349="",$I349=""),"",ROUND($G349*$I349,0))</f>
        <v/>
      </c>
      <c r="L349" s="13" t="str">
        <f aca="false">IF($D349="","",IF($G349="",0,$G349)+IF($H349="",0,$H349))</f>
        <v/>
      </c>
      <c r="M349" s="7"/>
    </row>
    <row r="350" customFormat="false" ht="15" hidden="false" customHeight="true" outlineLevel="0" collapsed="false">
      <c r="A350" s="11"/>
      <c r="B350" s="7"/>
      <c r="C350" s="12" t="str">
        <f aca="false">IF($B350="","",IFERROR(INDEX(거래처마스터!$B$3:$B$102,MATCH($B350,거래처마스터!$A$3:$A$102,0)),"미등록"))</f>
        <v/>
      </c>
      <c r="D350" s="7"/>
      <c r="E350" s="12" t="str">
        <f aca="false">IF($D350="","",IFERROR(INDEX(품목마스터!$B$3:$B$202,MATCH($D350,품목마스터!$A$3:$A$202,0)),"미등록품번"))</f>
        <v/>
      </c>
      <c r="F350" s="12" t="str">
        <f aca="false">IF($D350="","",IFERROR(INDEX(품목마스터!$D$3:$D$202,MATCH($D350,품목마스터!$A$3:$A$202,0)),""))</f>
        <v/>
      </c>
      <c r="G350" s="9"/>
      <c r="H350" s="9"/>
      <c r="I350" s="9"/>
      <c r="J350" s="7"/>
      <c r="K350" s="13" t="str">
        <f aca="false">IF(OR($G350="",$I350=""),"",ROUND($G350*$I350,0))</f>
        <v/>
      </c>
      <c r="L350" s="13" t="str">
        <f aca="false">IF($D350="","",IF($G350="",0,$G350)+IF($H350="",0,$H350))</f>
        <v/>
      </c>
      <c r="M350" s="7"/>
    </row>
    <row r="351" customFormat="false" ht="15" hidden="false" customHeight="true" outlineLevel="0" collapsed="false">
      <c r="A351" s="11"/>
      <c r="B351" s="7"/>
      <c r="C351" s="12" t="str">
        <f aca="false">IF($B351="","",IFERROR(INDEX(거래처마스터!$B$3:$B$102,MATCH($B351,거래처마스터!$A$3:$A$102,0)),"미등록"))</f>
        <v/>
      </c>
      <c r="D351" s="7"/>
      <c r="E351" s="12" t="str">
        <f aca="false">IF($D351="","",IFERROR(INDEX(품목마스터!$B$3:$B$202,MATCH($D351,품목마스터!$A$3:$A$202,0)),"미등록품번"))</f>
        <v/>
      </c>
      <c r="F351" s="12" t="str">
        <f aca="false">IF($D351="","",IFERROR(INDEX(품목마스터!$D$3:$D$202,MATCH($D351,품목마스터!$A$3:$A$202,0)),""))</f>
        <v/>
      </c>
      <c r="G351" s="9"/>
      <c r="H351" s="9"/>
      <c r="I351" s="9"/>
      <c r="J351" s="7"/>
      <c r="K351" s="13" t="str">
        <f aca="false">IF(OR($G351="",$I351=""),"",ROUND($G351*$I351,0))</f>
        <v/>
      </c>
      <c r="L351" s="13" t="str">
        <f aca="false">IF($D351="","",IF($G351="",0,$G351)+IF($H351="",0,$H351))</f>
        <v/>
      </c>
      <c r="M351" s="7"/>
    </row>
    <row r="352" customFormat="false" ht="15" hidden="false" customHeight="true" outlineLevel="0" collapsed="false">
      <c r="A352" s="11"/>
      <c r="B352" s="7"/>
      <c r="C352" s="12" t="str">
        <f aca="false">IF($B352="","",IFERROR(INDEX(거래처마스터!$B$3:$B$102,MATCH($B352,거래처마스터!$A$3:$A$102,0)),"미등록"))</f>
        <v/>
      </c>
      <c r="D352" s="7"/>
      <c r="E352" s="12" t="str">
        <f aca="false">IF($D352="","",IFERROR(INDEX(품목마스터!$B$3:$B$202,MATCH($D352,품목마스터!$A$3:$A$202,0)),"미등록품번"))</f>
        <v/>
      </c>
      <c r="F352" s="12" t="str">
        <f aca="false">IF($D352="","",IFERROR(INDEX(품목마스터!$D$3:$D$202,MATCH($D352,품목마스터!$A$3:$A$202,0)),""))</f>
        <v/>
      </c>
      <c r="G352" s="9"/>
      <c r="H352" s="9"/>
      <c r="I352" s="9"/>
      <c r="J352" s="7"/>
      <c r="K352" s="13" t="str">
        <f aca="false">IF(OR($G352="",$I352=""),"",ROUND($G352*$I352,0))</f>
        <v/>
      </c>
      <c r="L352" s="13" t="str">
        <f aca="false">IF($D352="","",IF($G352="",0,$G352)+IF($H352="",0,$H352))</f>
        <v/>
      </c>
      <c r="M352" s="7"/>
    </row>
    <row r="353" customFormat="false" ht="15" hidden="false" customHeight="true" outlineLevel="0" collapsed="false">
      <c r="A353" s="11"/>
      <c r="B353" s="7"/>
      <c r="C353" s="12" t="str">
        <f aca="false">IF($B353="","",IFERROR(INDEX(거래처마스터!$B$3:$B$102,MATCH($B353,거래처마스터!$A$3:$A$102,0)),"미등록"))</f>
        <v/>
      </c>
      <c r="D353" s="7"/>
      <c r="E353" s="12" t="str">
        <f aca="false">IF($D353="","",IFERROR(INDEX(품목마스터!$B$3:$B$202,MATCH($D353,품목마스터!$A$3:$A$202,0)),"미등록품번"))</f>
        <v/>
      </c>
      <c r="F353" s="12" t="str">
        <f aca="false">IF($D353="","",IFERROR(INDEX(품목마스터!$D$3:$D$202,MATCH($D353,품목마스터!$A$3:$A$202,0)),""))</f>
        <v/>
      </c>
      <c r="G353" s="9"/>
      <c r="H353" s="9"/>
      <c r="I353" s="9"/>
      <c r="J353" s="7"/>
      <c r="K353" s="13" t="str">
        <f aca="false">IF(OR($G353="",$I353=""),"",ROUND($G353*$I353,0))</f>
        <v/>
      </c>
      <c r="L353" s="13" t="str">
        <f aca="false">IF($D353="","",IF($G353="",0,$G353)+IF($H353="",0,$H353))</f>
        <v/>
      </c>
      <c r="M353" s="7"/>
    </row>
    <row r="354" customFormat="false" ht="15" hidden="false" customHeight="true" outlineLevel="0" collapsed="false">
      <c r="A354" s="11"/>
      <c r="B354" s="7"/>
      <c r="C354" s="12" t="str">
        <f aca="false">IF($B354="","",IFERROR(INDEX(거래처마스터!$B$3:$B$102,MATCH($B354,거래처마스터!$A$3:$A$102,0)),"미등록"))</f>
        <v/>
      </c>
      <c r="D354" s="7"/>
      <c r="E354" s="12" t="str">
        <f aca="false">IF($D354="","",IFERROR(INDEX(품목마스터!$B$3:$B$202,MATCH($D354,품목마스터!$A$3:$A$202,0)),"미등록품번"))</f>
        <v/>
      </c>
      <c r="F354" s="12" t="str">
        <f aca="false">IF($D354="","",IFERROR(INDEX(품목마스터!$D$3:$D$202,MATCH($D354,품목마스터!$A$3:$A$202,0)),""))</f>
        <v/>
      </c>
      <c r="G354" s="9"/>
      <c r="H354" s="9"/>
      <c r="I354" s="9"/>
      <c r="J354" s="7"/>
      <c r="K354" s="13" t="str">
        <f aca="false">IF(OR($G354="",$I354=""),"",ROUND($G354*$I354,0))</f>
        <v/>
      </c>
      <c r="L354" s="13" t="str">
        <f aca="false">IF($D354="","",IF($G354="",0,$G354)+IF($H354="",0,$H354))</f>
        <v/>
      </c>
      <c r="M354" s="7"/>
    </row>
    <row r="355" customFormat="false" ht="15" hidden="false" customHeight="true" outlineLevel="0" collapsed="false">
      <c r="A355" s="11"/>
      <c r="B355" s="7"/>
      <c r="C355" s="12" t="str">
        <f aca="false">IF($B355="","",IFERROR(INDEX(거래처마스터!$B$3:$B$102,MATCH($B355,거래처마스터!$A$3:$A$102,0)),"미등록"))</f>
        <v/>
      </c>
      <c r="D355" s="7"/>
      <c r="E355" s="12" t="str">
        <f aca="false">IF($D355="","",IFERROR(INDEX(품목마스터!$B$3:$B$202,MATCH($D355,품목마스터!$A$3:$A$202,0)),"미등록품번"))</f>
        <v/>
      </c>
      <c r="F355" s="12" t="str">
        <f aca="false">IF($D355="","",IFERROR(INDEX(품목마스터!$D$3:$D$202,MATCH($D355,품목마스터!$A$3:$A$202,0)),""))</f>
        <v/>
      </c>
      <c r="G355" s="9"/>
      <c r="H355" s="9"/>
      <c r="I355" s="9"/>
      <c r="J355" s="7"/>
      <c r="K355" s="13" t="str">
        <f aca="false">IF(OR($G355="",$I355=""),"",ROUND($G355*$I355,0))</f>
        <v/>
      </c>
      <c r="L355" s="13" t="str">
        <f aca="false">IF($D355="","",IF($G355="",0,$G355)+IF($H355="",0,$H355))</f>
        <v/>
      </c>
      <c r="M355" s="7"/>
    </row>
    <row r="356" customFormat="false" ht="15" hidden="false" customHeight="true" outlineLevel="0" collapsed="false">
      <c r="A356" s="11"/>
      <c r="B356" s="7"/>
      <c r="C356" s="12" t="str">
        <f aca="false">IF($B356="","",IFERROR(INDEX(거래처마스터!$B$3:$B$102,MATCH($B356,거래처마스터!$A$3:$A$102,0)),"미등록"))</f>
        <v/>
      </c>
      <c r="D356" s="7"/>
      <c r="E356" s="12" t="str">
        <f aca="false">IF($D356="","",IFERROR(INDEX(품목마스터!$B$3:$B$202,MATCH($D356,품목마스터!$A$3:$A$202,0)),"미등록품번"))</f>
        <v/>
      </c>
      <c r="F356" s="12" t="str">
        <f aca="false">IF($D356="","",IFERROR(INDEX(품목마스터!$D$3:$D$202,MATCH($D356,품목마스터!$A$3:$A$202,0)),""))</f>
        <v/>
      </c>
      <c r="G356" s="9"/>
      <c r="H356" s="9"/>
      <c r="I356" s="9"/>
      <c r="J356" s="7"/>
      <c r="K356" s="13" t="str">
        <f aca="false">IF(OR($G356="",$I356=""),"",ROUND($G356*$I356,0))</f>
        <v/>
      </c>
      <c r="L356" s="13" t="str">
        <f aca="false">IF($D356="","",IF($G356="",0,$G356)+IF($H356="",0,$H356))</f>
        <v/>
      </c>
      <c r="M356" s="7"/>
    </row>
    <row r="357" customFormat="false" ht="15" hidden="false" customHeight="true" outlineLevel="0" collapsed="false">
      <c r="A357" s="11"/>
      <c r="B357" s="7"/>
      <c r="C357" s="12" t="str">
        <f aca="false">IF($B357="","",IFERROR(INDEX(거래처마스터!$B$3:$B$102,MATCH($B357,거래처마스터!$A$3:$A$102,0)),"미등록"))</f>
        <v/>
      </c>
      <c r="D357" s="7"/>
      <c r="E357" s="12" t="str">
        <f aca="false">IF($D357="","",IFERROR(INDEX(품목마스터!$B$3:$B$202,MATCH($D357,품목마스터!$A$3:$A$202,0)),"미등록품번"))</f>
        <v/>
      </c>
      <c r="F357" s="12" t="str">
        <f aca="false">IF($D357="","",IFERROR(INDEX(품목마스터!$D$3:$D$202,MATCH($D357,품목마스터!$A$3:$A$202,0)),""))</f>
        <v/>
      </c>
      <c r="G357" s="9"/>
      <c r="H357" s="9"/>
      <c r="I357" s="9"/>
      <c r="J357" s="7"/>
      <c r="K357" s="13" t="str">
        <f aca="false">IF(OR($G357="",$I357=""),"",ROUND($G357*$I357,0))</f>
        <v/>
      </c>
      <c r="L357" s="13" t="str">
        <f aca="false">IF($D357="","",IF($G357="",0,$G357)+IF($H357="",0,$H357))</f>
        <v/>
      </c>
      <c r="M357" s="7"/>
    </row>
    <row r="358" customFormat="false" ht="15" hidden="false" customHeight="true" outlineLevel="0" collapsed="false">
      <c r="A358" s="11"/>
      <c r="B358" s="7"/>
      <c r="C358" s="12" t="str">
        <f aca="false">IF($B358="","",IFERROR(INDEX(거래처마스터!$B$3:$B$102,MATCH($B358,거래처마스터!$A$3:$A$102,0)),"미등록"))</f>
        <v/>
      </c>
      <c r="D358" s="7"/>
      <c r="E358" s="12" t="str">
        <f aca="false">IF($D358="","",IFERROR(INDEX(품목마스터!$B$3:$B$202,MATCH($D358,품목마스터!$A$3:$A$202,0)),"미등록품번"))</f>
        <v/>
      </c>
      <c r="F358" s="12" t="str">
        <f aca="false">IF($D358="","",IFERROR(INDEX(품목마스터!$D$3:$D$202,MATCH($D358,품목마스터!$A$3:$A$202,0)),""))</f>
        <v/>
      </c>
      <c r="G358" s="9"/>
      <c r="H358" s="9"/>
      <c r="I358" s="9"/>
      <c r="J358" s="7"/>
      <c r="K358" s="13" t="str">
        <f aca="false">IF(OR($G358="",$I358=""),"",ROUND($G358*$I358,0))</f>
        <v/>
      </c>
      <c r="L358" s="13" t="str">
        <f aca="false">IF($D358="","",IF($G358="",0,$G358)+IF($H358="",0,$H358))</f>
        <v/>
      </c>
      <c r="M358" s="7"/>
    </row>
    <row r="359" customFormat="false" ht="15" hidden="false" customHeight="true" outlineLevel="0" collapsed="false">
      <c r="A359" s="11"/>
      <c r="B359" s="7"/>
      <c r="C359" s="12" t="str">
        <f aca="false">IF($B359="","",IFERROR(INDEX(거래처마스터!$B$3:$B$102,MATCH($B359,거래처마스터!$A$3:$A$102,0)),"미등록"))</f>
        <v/>
      </c>
      <c r="D359" s="7"/>
      <c r="E359" s="12" t="str">
        <f aca="false">IF($D359="","",IFERROR(INDEX(품목마스터!$B$3:$B$202,MATCH($D359,품목마스터!$A$3:$A$202,0)),"미등록품번"))</f>
        <v/>
      </c>
      <c r="F359" s="12" t="str">
        <f aca="false">IF($D359="","",IFERROR(INDEX(품목마스터!$D$3:$D$202,MATCH($D359,품목마스터!$A$3:$A$202,0)),""))</f>
        <v/>
      </c>
      <c r="G359" s="9"/>
      <c r="H359" s="9"/>
      <c r="I359" s="9"/>
      <c r="J359" s="7"/>
      <c r="K359" s="13" t="str">
        <f aca="false">IF(OR($G359="",$I359=""),"",ROUND($G359*$I359,0))</f>
        <v/>
      </c>
      <c r="L359" s="13" t="str">
        <f aca="false">IF($D359="","",IF($G359="",0,$G359)+IF($H359="",0,$H359))</f>
        <v/>
      </c>
      <c r="M359" s="7"/>
    </row>
    <row r="360" customFormat="false" ht="15" hidden="false" customHeight="true" outlineLevel="0" collapsed="false">
      <c r="A360" s="11"/>
      <c r="B360" s="7"/>
      <c r="C360" s="12" t="str">
        <f aca="false">IF($B360="","",IFERROR(INDEX(거래처마스터!$B$3:$B$102,MATCH($B360,거래처마스터!$A$3:$A$102,0)),"미등록"))</f>
        <v/>
      </c>
      <c r="D360" s="7"/>
      <c r="E360" s="12" t="str">
        <f aca="false">IF($D360="","",IFERROR(INDEX(품목마스터!$B$3:$B$202,MATCH($D360,품목마스터!$A$3:$A$202,0)),"미등록품번"))</f>
        <v/>
      </c>
      <c r="F360" s="12" t="str">
        <f aca="false">IF($D360="","",IFERROR(INDEX(품목마스터!$D$3:$D$202,MATCH($D360,품목마스터!$A$3:$A$202,0)),""))</f>
        <v/>
      </c>
      <c r="G360" s="9"/>
      <c r="H360" s="9"/>
      <c r="I360" s="9"/>
      <c r="J360" s="7"/>
      <c r="K360" s="13" t="str">
        <f aca="false">IF(OR($G360="",$I360=""),"",ROUND($G360*$I360,0))</f>
        <v/>
      </c>
      <c r="L360" s="13" t="str">
        <f aca="false">IF($D360="","",IF($G360="",0,$G360)+IF($H360="",0,$H360))</f>
        <v/>
      </c>
      <c r="M360" s="7"/>
    </row>
    <row r="361" customFormat="false" ht="15" hidden="false" customHeight="true" outlineLevel="0" collapsed="false">
      <c r="A361" s="11"/>
      <c r="B361" s="7"/>
      <c r="C361" s="12" t="str">
        <f aca="false">IF($B361="","",IFERROR(INDEX(거래처마스터!$B$3:$B$102,MATCH($B361,거래처마스터!$A$3:$A$102,0)),"미등록"))</f>
        <v/>
      </c>
      <c r="D361" s="7"/>
      <c r="E361" s="12" t="str">
        <f aca="false">IF($D361="","",IFERROR(INDEX(품목마스터!$B$3:$B$202,MATCH($D361,품목마스터!$A$3:$A$202,0)),"미등록품번"))</f>
        <v/>
      </c>
      <c r="F361" s="12" t="str">
        <f aca="false">IF($D361="","",IFERROR(INDEX(품목마스터!$D$3:$D$202,MATCH($D361,품목마스터!$A$3:$A$202,0)),""))</f>
        <v/>
      </c>
      <c r="G361" s="9"/>
      <c r="H361" s="9"/>
      <c r="I361" s="9"/>
      <c r="J361" s="7"/>
      <c r="K361" s="13" t="str">
        <f aca="false">IF(OR($G361="",$I361=""),"",ROUND($G361*$I361,0))</f>
        <v/>
      </c>
      <c r="L361" s="13" t="str">
        <f aca="false">IF($D361="","",IF($G361="",0,$G361)+IF($H361="",0,$H361))</f>
        <v/>
      </c>
      <c r="M361" s="7"/>
    </row>
    <row r="362" customFormat="false" ht="15" hidden="false" customHeight="true" outlineLevel="0" collapsed="false">
      <c r="A362" s="11"/>
      <c r="B362" s="7"/>
      <c r="C362" s="12" t="str">
        <f aca="false">IF($B362="","",IFERROR(INDEX(거래처마스터!$B$3:$B$102,MATCH($B362,거래처마스터!$A$3:$A$102,0)),"미등록"))</f>
        <v/>
      </c>
      <c r="D362" s="7"/>
      <c r="E362" s="12" t="str">
        <f aca="false">IF($D362="","",IFERROR(INDEX(품목마스터!$B$3:$B$202,MATCH($D362,품목마스터!$A$3:$A$202,0)),"미등록품번"))</f>
        <v/>
      </c>
      <c r="F362" s="12" t="str">
        <f aca="false">IF($D362="","",IFERROR(INDEX(품목마스터!$D$3:$D$202,MATCH($D362,품목마스터!$A$3:$A$202,0)),""))</f>
        <v/>
      </c>
      <c r="G362" s="9"/>
      <c r="H362" s="9"/>
      <c r="I362" s="9"/>
      <c r="J362" s="7"/>
      <c r="K362" s="13" t="str">
        <f aca="false">IF(OR($G362="",$I362=""),"",ROUND($G362*$I362,0))</f>
        <v/>
      </c>
      <c r="L362" s="13" t="str">
        <f aca="false">IF($D362="","",IF($G362="",0,$G362)+IF($H362="",0,$H362))</f>
        <v/>
      </c>
      <c r="M362" s="7"/>
    </row>
    <row r="363" customFormat="false" ht="15" hidden="false" customHeight="true" outlineLevel="0" collapsed="false">
      <c r="A363" s="11"/>
      <c r="B363" s="7"/>
      <c r="C363" s="12" t="str">
        <f aca="false">IF($B363="","",IFERROR(INDEX(거래처마스터!$B$3:$B$102,MATCH($B363,거래처마스터!$A$3:$A$102,0)),"미등록"))</f>
        <v/>
      </c>
      <c r="D363" s="7"/>
      <c r="E363" s="12" t="str">
        <f aca="false">IF($D363="","",IFERROR(INDEX(품목마스터!$B$3:$B$202,MATCH($D363,품목마스터!$A$3:$A$202,0)),"미등록품번"))</f>
        <v/>
      </c>
      <c r="F363" s="12" t="str">
        <f aca="false">IF($D363="","",IFERROR(INDEX(품목마스터!$D$3:$D$202,MATCH($D363,품목마스터!$A$3:$A$202,0)),""))</f>
        <v/>
      </c>
      <c r="G363" s="9"/>
      <c r="H363" s="9"/>
      <c r="I363" s="9"/>
      <c r="J363" s="7"/>
      <c r="K363" s="13" t="str">
        <f aca="false">IF(OR($G363="",$I363=""),"",ROUND($G363*$I363,0))</f>
        <v/>
      </c>
      <c r="L363" s="13" t="str">
        <f aca="false">IF($D363="","",IF($G363="",0,$G363)+IF($H363="",0,$H363))</f>
        <v/>
      </c>
      <c r="M363" s="7"/>
    </row>
    <row r="364" customFormat="false" ht="15" hidden="false" customHeight="true" outlineLevel="0" collapsed="false">
      <c r="A364" s="11"/>
      <c r="B364" s="7"/>
      <c r="C364" s="12" t="str">
        <f aca="false">IF($B364="","",IFERROR(INDEX(거래처마스터!$B$3:$B$102,MATCH($B364,거래처마스터!$A$3:$A$102,0)),"미등록"))</f>
        <v/>
      </c>
      <c r="D364" s="7"/>
      <c r="E364" s="12" t="str">
        <f aca="false">IF($D364="","",IFERROR(INDEX(품목마스터!$B$3:$B$202,MATCH($D364,품목마스터!$A$3:$A$202,0)),"미등록품번"))</f>
        <v/>
      </c>
      <c r="F364" s="12" t="str">
        <f aca="false">IF($D364="","",IFERROR(INDEX(품목마스터!$D$3:$D$202,MATCH($D364,품목마스터!$A$3:$A$202,0)),""))</f>
        <v/>
      </c>
      <c r="G364" s="9"/>
      <c r="H364" s="9"/>
      <c r="I364" s="9"/>
      <c r="J364" s="7"/>
      <c r="K364" s="13" t="str">
        <f aca="false">IF(OR($G364="",$I364=""),"",ROUND($G364*$I364,0))</f>
        <v/>
      </c>
      <c r="L364" s="13" t="str">
        <f aca="false">IF($D364="","",IF($G364="",0,$G364)+IF($H364="",0,$H364))</f>
        <v/>
      </c>
      <c r="M364" s="7"/>
    </row>
    <row r="365" customFormat="false" ht="15" hidden="false" customHeight="true" outlineLevel="0" collapsed="false">
      <c r="A365" s="11"/>
      <c r="B365" s="7"/>
      <c r="C365" s="12" t="str">
        <f aca="false">IF($B365="","",IFERROR(INDEX(거래처마스터!$B$3:$B$102,MATCH($B365,거래처마스터!$A$3:$A$102,0)),"미등록"))</f>
        <v/>
      </c>
      <c r="D365" s="7"/>
      <c r="E365" s="12" t="str">
        <f aca="false">IF($D365="","",IFERROR(INDEX(품목마스터!$B$3:$B$202,MATCH($D365,품목마스터!$A$3:$A$202,0)),"미등록품번"))</f>
        <v/>
      </c>
      <c r="F365" s="12" t="str">
        <f aca="false">IF($D365="","",IFERROR(INDEX(품목마스터!$D$3:$D$202,MATCH($D365,품목마스터!$A$3:$A$202,0)),""))</f>
        <v/>
      </c>
      <c r="G365" s="9"/>
      <c r="H365" s="9"/>
      <c r="I365" s="9"/>
      <c r="J365" s="7"/>
      <c r="K365" s="13" t="str">
        <f aca="false">IF(OR($G365="",$I365=""),"",ROUND($G365*$I365,0))</f>
        <v/>
      </c>
      <c r="L365" s="13" t="str">
        <f aca="false">IF($D365="","",IF($G365="",0,$G365)+IF($H365="",0,$H365))</f>
        <v/>
      </c>
      <c r="M365" s="7"/>
    </row>
    <row r="366" customFormat="false" ht="15" hidden="false" customHeight="true" outlineLevel="0" collapsed="false">
      <c r="A366" s="11"/>
      <c r="B366" s="7"/>
      <c r="C366" s="12" t="str">
        <f aca="false">IF($B366="","",IFERROR(INDEX(거래처마스터!$B$3:$B$102,MATCH($B366,거래처마스터!$A$3:$A$102,0)),"미등록"))</f>
        <v/>
      </c>
      <c r="D366" s="7"/>
      <c r="E366" s="12" t="str">
        <f aca="false">IF($D366="","",IFERROR(INDEX(품목마스터!$B$3:$B$202,MATCH($D366,품목마스터!$A$3:$A$202,0)),"미등록품번"))</f>
        <v/>
      </c>
      <c r="F366" s="12" t="str">
        <f aca="false">IF($D366="","",IFERROR(INDEX(품목마스터!$D$3:$D$202,MATCH($D366,품목마스터!$A$3:$A$202,0)),""))</f>
        <v/>
      </c>
      <c r="G366" s="9"/>
      <c r="H366" s="9"/>
      <c r="I366" s="9"/>
      <c r="J366" s="7"/>
      <c r="K366" s="13" t="str">
        <f aca="false">IF(OR($G366="",$I366=""),"",ROUND($G366*$I366,0))</f>
        <v/>
      </c>
      <c r="L366" s="13" t="str">
        <f aca="false">IF($D366="","",IF($G366="",0,$G366)+IF($H366="",0,$H366))</f>
        <v/>
      </c>
      <c r="M366" s="7"/>
    </row>
    <row r="367" customFormat="false" ht="15" hidden="false" customHeight="true" outlineLevel="0" collapsed="false">
      <c r="A367" s="11"/>
      <c r="B367" s="7"/>
      <c r="C367" s="12" t="str">
        <f aca="false">IF($B367="","",IFERROR(INDEX(거래처마스터!$B$3:$B$102,MATCH($B367,거래처마스터!$A$3:$A$102,0)),"미등록"))</f>
        <v/>
      </c>
      <c r="D367" s="7"/>
      <c r="E367" s="12" t="str">
        <f aca="false">IF($D367="","",IFERROR(INDEX(품목마스터!$B$3:$B$202,MATCH($D367,품목마스터!$A$3:$A$202,0)),"미등록품번"))</f>
        <v/>
      </c>
      <c r="F367" s="12" t="str">
        <f aca="false">IF($D367="","",IFERROR(INDEX(품목마스터!$D$3:$D$202,MATCH($D367,품목마스터!$A$3:$A$202,0)),""))</f>
        <v/>
      </c>
      <c r="G367" s="9"/>
      <c r="H367" s="9"/>
      <c r="I367" s="9"/>
      <c r="J367" s="7"/>
      <c r="K367" s="13" t="str">
        <f aca="false">IF(OR($G367="",$I367=""),"",ROUND($G367*$I367,0))</f>
        <v/>
      </c>
      <c r="L367" s="13" t="str">
        <f aca="false">IF($D367="","",IF($G367="",0,$G367)+IF($H367="",0,$H367))</f>
        <v/>
      </c>
      <c r="M367" s="7"/>
    </row>
    <row r="368" customFormat="false" ht="15" hidden="false" customHeight="true" outlineLevel="0" collapsed="false">
      <c r="A368" s="11"/>
      <c r="B368" s="7"/>
      <c r="C368" s="12" t="str">
        <f aca="false">IF($B368="","",IFERROR(INDEX(거래처마스터!$B$3:$B$102,MATCH($B368,거래처마스터!$A$3:$A$102,0)),"미등록"))</f>
        <v/>
      </c>
      <c r="D368" s="7"/>
      <c r="E368" s="12" t="str">
        <f aca="false">IF($D368="","",IFERROR(INDEX(품목마스터!$B$3:$B$202,MATCH($D368,품목마스터!$A$3:$A$202,0)),"미등록품번"))</f>
        <v/>
      </c>
      <c r="F368" s="12" t="str">
        <f aca="false">IF($D368="","",IFERROR(INDEX(품목마스터!$D$3:$D$202,MATCH($D368,품목마스터!$A$3:$A$202,0)),""))</f>
        <v/>
      </c>
      <c r="G368" s="9"/>
      <c r="H368" s="9"/>
      <c r="I368" s="9"/>
      <c r="J368" s="7"/>
      <c r="K368" s="13" t="str">
        <f aca="false">IF(OR($G368="",$I368=""),"",ROUND($G368*$I368,0))</f>
        <v/>
      </c>
      <c r="L368" s="13" t="str">
        <f aca="false">IF($D368="","",IF($G368="",0,$G368)+IF($H368="",0,$H368))</f>
        <v/>
      </c>
      <c r="M368" s="7"/>
    </row>
    <row r="369" customFormat="false" ht="15" hidden="false" customHeight="true" outlineLevel="0" collapsed="false">
      <c r="A369" s="11"/>
      <c r="B369" s="7"/>
      <c r="C369" s="12" t="str">
        <f aca="false">IF($B369="","",IFERROR(INDEX(거래처마스터!$B$3:$B$102,MATCH($B369,거래처마스터!$A$3:$A$102,0)),"미등록"))</f>
        <v/>
      </c>
      <c r="D369" s="7"/>
      <c r="E369" s="12" t="str">
        <f aca="false">IF($D369="","",IFERROR(INDEX(품목마스터!$B$3:$B$202,MATCH($D369,품목마스터!$A$3:$A$202,0)),"미등록품번"))</f>
        <v/>
      </c>
      <c r="F369" s="12" t="str">
        <f aca="false">IF($D369="","",IFERROR(INDEX(품목마스터!$D$3:$D$202,MATCH($D369,품목마스터!$A$3:$A$202,0)),""))</f>
        <v/>
      </c>
      <c r="G369" s="9"/>
      <c r="H369" s="9"/>
      <c r="I369" s="9"/>
      <c r="J369" s="7"/>
      <c r="K369" s="13" t="str">
        <f aca="false">IF(OR($G369="",$I369=""),"",ROUND($G369*$I369,0))</f>
        <v/>
      </c>
      <c r="L369" s="13" t="str">
        <f aca="false">IF($D369="","",IF($G369="",0,$G369)+IF($H369="",0,$H369))</f>
        <v/>
      </c>
      <c r="M369" s="7"/>
    </row>
    <row r="370" customFormat="false" ht="15" hidden="false" customHeight="true" outlineLevel="0" collapsed="false">
      <c r="A370" s="11"/>
      <c r="B370" s="7"/>
      <c r="C370" s="12" t="str">
        <f aca="false">IF($B370="","",IFERROR(INDEX(거래처마스터!$B$3:$B$102,MATCH($B370,거래처마스터!$A$3:$A$102,0)),"미등록"))</f>
        <v/>
      </c>
      <c r="D370" s="7"/>
      <c r="E370" s="12" t="str">
        <f aca="false">IF($D370="","",IFERROR(INDEX(품목마스터!$B$3:$B$202,MATCH($D370,품목마스터!$A$3:$A$202,0)),"미등록품번"))</f>
        <v/>
      </c>
      <c r="F370" s="12" t="str">
        <f aca="false">IF($D370="","",IFERROR(INDEX(품목마스터!$D$3:$D$202,MATCH($D370,품목마스터!$A$3:$A$202,0)),""))</f>
        <v/>
      </c>
      <c r="G370" s="9"/>
      <c r="H370" s="9"/>
      <c r="I370" s="9"/>
      <c r="J370" s="7"/>
      <c r="K370" s="13" t="str">
        <f aca="false">IF(OR($G370="",$I370=""),"",ROUND($G370*$I370,0))</f>
        <v/>
      </c>
      <c r="L370" s="13" t="str">
        <f aca="false">IF($D370="","",IF($G370="",0,$G370)+IF($H370="",0,$H370))</f>
        <v/>
      </c>
      <c r="M370" s="7"/>
    </row>
    <row r="371" customFormat="false" ht="15" hidden="false" customHeight="true" outlineLevel="0" collapsed="false">
      <c r="A371" s="11"/>
      <c r="B371" s="7"/>
      <c r="C371" s="12" t="str">
        <f aca="false">IF($B371="","",IFERROR(INDEX(거래처마스터!$B$3:$B$102,MATCH($B371,거래처마스터!$A$3:$A$102,0)),"미등록"))</f>
        <v/>
      </c>
      <c r="D371" s="7"/>
      <c r="E371" s="12" t="str">
        <f aca="false">IF($D371="","",IFERROR(INDEX(품목마스터!$B$3:$B$202,MATCH($D371,품목마스터!$A$3:$A$202,0)),"미등록품번"))</f>
        <v/>
      </c>
      <c r="F371" s="12" t="str">
        <f aca="false">IF($D371="","",IFERROR(INDEX(품목마스터!$D$3:$D$202,MATCH($D371,품목마스터!$A$3:$A$202,0)),""))</f>
        <v/>
      </c>
      <c r="G371" s="9"/>
      <c r="H371" s="9"/>
      <c r="I371" s="9"/>
      <c r="J371" s="7"/>
      <c r="K371" s="13" t="str">
        <f aca="false">IF(OR($G371="",$I371=""),"",ROUND($G371*$I371,0))</f>
        <v/>
      </c>
      <c r="L371" s="13" t="str">
        <f aca="false">IF($D371="","",IF($G371="",0,$G371)+IF($H371="",0,$H371))</f>
        <v/>
      </c>
      <c r="M371" s="7"/>
    </row>
    <row r="372" customFormat="false" ht="15" hidden="false" customHeight="true" outlineLevel="0" collapsed="false">
      <c r="A372" s="11"/>
      <c r="B372" s="7"/>
      <c r="C372" s="12" t="str">
        <f aca="false">IF($B372="","",IFERROR(INDEX(거래처마스터!$B$3:$B$102,MATCH($B372,거래처마스터!$A$3:$A$102,0)),"미등록"))</f>
        <v/>
      </c>
      <c r="D372" s="7"/>
      <c r="E372" s="12" t="str">
        <f aca="false">IF($D372="","",IFERROR(INDEX(품목마스터!$B$3:$B$202,MATCH($D372,품목마스터!$A$3:$A$202,0)),"미등록품번"))</f>
        <v/>
      </c>
      <c r="F372" s="12" t="str">
        <f aca="false">IF($D372="","",IFERROR(INDEX(품목마스터!$D$3:$D$202,MATCH($D372,품목마스터!$A$3:$A$202,0)),""))</f>
        <v/>
      </c>
      <c r="G372" s="9"/>
      <c r="H372" s="9"/>
      <c r="I372" s="9"/>
      <c r="J372" s="7"/>
      <c r="K372" s="13" t="str">
        <f aca="false">IF(OR($G372="",$I372=""),"",ROUND($G372*$I372,0))</f>
        <v/>
      </c>
      <c r="L372" s="13" t="str">
        <f aca="false">IF($D372="","",IF($G372="",0,$G372)+IF($H372="",0,$H372))</f>
        <v/>
      </c>
      <c r="M372" s="7"/>
    </row>
    <row r="373" customFormat="false" ht="15" hidden="false" customHeight="true" outlineLevel="0" collapsed="false">
      <c r="A373" s="11"/>
      <c r="B373" s="7"/>
      <c r="C373" s="12" t="str">
        <f aca="false">IF($B373="","",IFERROR(INDEX(거래처마스터!$B$3:$B$102,MATCH($B373,거래처마스터!$A$3:$A$102,0)),"미등록"))</f>
        <v/>
      </c>
      <c r="D373" s="7"/>
      <c r="E373" s="12" t="str">
        <f aca="false">IF($D373="","",IFERROR(INDEX(품목마스터!$B$3:$B$202,MATCH($D373,품목마스터!$A$3:$A$202,0)),"미등록품번"))</f>
        <v/>
      </c>
      <c r="F373" s="12" t="str">
        <f aca="false">IF($D373="","",IFERROR(INDEX(품목마스터!$D$3:$D$202,MATCH($D373,품목마스터!$A$3:$A$202,0)),""))</f>
        <v/>
      </c>
      <c r="G373" s="9"/>
      <c r="H373" s="9"/>
      <c r="I373" s="9"/>
      <c r="J373" s="7"/>
      <c r="K373" s="13" t="str">
        <f aca="false">IF(OR($G373="",$I373=""),"",ROUND($G373*$I373,0))</f>
        <v/>
      </c>
      <c r="L373" s="13" t="str">
        <f aca="false">IF($D373="","",IF($G373="",0,$G373)+IF($H373="",0,$H373))</f>
        <v/>
      </c>
      <c r="M373" s="7"/>
    </row>
    <row r="374" customFormat="false" ht="15" hidden="false" customHeight="true" outlineLevel="0" collapsed="false">
      <c r="A374" s="11"/>
      <c r="B374" s="7"/>
      <c r="C374" s="12" t="str">
        <f aca="false">IF($B374="","",IFERROR(INDEX(거래처마스터!$B$3:$B$102,MATCH($B374,거래처마스터!$A$3:$A$102,0)),"미등록"))</f>
        <v/>
      </c>
      <c r="D374" s="7"/>
      <c r="E374" s="12" t="str">
        <f aca="false">IF($D374="","",IFERROR(INDEX(품목마스터!$B$3:$B$202,MATCH($D374,품목마스터!$A$3:$A$202,0)),"미등록품번"))</f>
        <v/>
      </c>
      <c r="F374" s="12" t="str">
        <f aca="false">IF($D374="","",IFERROR(INDEX(품목마스터!$D$3:$D$202,MATCH($D374,품목마스터!$A$3:$A$202,0)),""))</f>
        <v/>
      </c>
      <c r="G374" s="9"/>
      <c r="H374" s="9"/>
      <c r="I374" s="9"/>
      <c r="J374" s="7"/>
      <c r="K374" s="13" t="str">
        <f aca="false">IF(OR($G374="",$I374=""),"",ROUND($G374*$I374,0))</f>
        <v/>
      </c>
      <c r="L374" s="13" t="str">
        <f aca="false">IF($D374="","",IF($G374="",0,$G374)+IF($H374="",0,$H374))</f>
        <v/>
      </c>
      <c r="M374" s="7"/>
    </row>
    <row r="375" customFormat="false" ht="15" hidden="false" customHeight="true" outlineLevel="0" collapsed="false">
      <c r="A375" s="11"/>
      <c r="B375" s="7"/>
      <c r="C375" s="12" t="str">
        <f aca="false">IF($B375="","",IFERROR(INDEX(거래처마스터!$B$3:$B$102,MATCH($B375,거래처마스터!$A$3:$A$102,0)),"미등록"))</f>
        <v/>
      </c>
      <c r="D375" s="7"/>
      <c r="E375" s="12" t="str">
        <f aca="false">IF($D375="","",IFERROR(INDEX(품목마스터!$B$3:$B$202,MATCH($D375,품목마스터!$A$3:$A$202,0)),"미등록품번"))</f>
        <v/>
      </c>
      <c r="F375" s="12" t="str">
        <f aca="false">IF($D375="","",IFERROR(INDEX(품목마스터!$D$3:$D$202,MATCH($D375,품목마스터!$A$3:$A$202,0)),""))</f>
        <v/>
      </c>
      <c r="G375" s="9"/>
      <c r="H375" s="9"/>
      <c r="I375" s="9"/>
      <c r="J375" s="7"/>
      <c r="K375" s="13" t="str">
        <f aca="false">IF(OR($G375="",$I375=""),"",ROUND($G375*$I375,0))</f>
        <v/>
      </c>
      <c r="L375" s="13" t="str">
        <f aca="false">IF($D375="","",IF($G375="",0,$G375)+IF($H375="",0,$H375))</f>
        <v/>
      </c>
      <c r="M375" s="7"/>
    </row>
    <row r="376" customFormat="false" ht="15" hidden="false" customHeight="true" outlineLevel="0" collapsed="false">
      <c r="A376" s="11"/>
      <c r="B376" s="7"/>
      <c r="C376" s="12" t="str">
        <f aca="false">IF($B376="","",IFERROR(INDEX(거래처마스터!$B$3:$B$102,MATCH($B376,거래처마스터!$A$3:$A$102,0)),"미등록"))</f>
        <v/>
      </c>
      <c r="D376" s="7"/>
      <c r="E376" s="12" t="str">
        <f aca="false">IF($D376="","",IFERROR(INDEX(품목마스터!$B$3:$B$202,MATCH($D376,품목마스터!$A$3:$A$202,0)),"미등록품번"))</f>
        <v/>
      </c>
      <c r="F376" s="12" t="str">
        <f aca="false">IF($D376="","",IFERROR(INDEX(품목마스터!$D$3:$D$202,MATCH($D376,품목마스터!$A$3:$A$202,0)),""))</f>
        <v/>
      </c>
      <c r="G376" s="9"/>
      <c r="H376" s="9"/>
      <c r="I376" s="9"/>
      <c r="J376" s="7"/>
      <c r="K376" s="13" t="str">
        <f aca="false">IF(OR($G376="",$I376=""),"",ROUND($G376*$I376,0))</f>
        <v/>
      </c>
      <c r="L376" s="13" t="str">
        <f aca="false">IF($D376="","",IF($G376="",0,$G376)+IF($H376="",0,$H376))</f>
        <v/>
      </c>
      <c r="M376" s="7"/>
    </row>
    <row r="377" customFormat="false" ht="15" hidden="false" customHeight="true" outlineLevel="0" collapsed="false">
      <c r="A377" s="11"/>
      <c r="B377" s="7"/>
      <c r="C377" s="12" t="str">
        <f aca="false">IF($B377="","",IFERROR(INDEX(거래처마스터!$B$3:$B$102,MATCH($B377,거래처마스터!$A$3:$A$102,0)),"미등록"))</f>
        <v/>
      </c>
      <c r="D377" s="7"/>
      <c r="E377" s="12" t="str">
        <f aca="false">IF($D377="","",IFERROR(INDEX(품목마스터!$B$3:$B$202,MATCH($D377,품목마스터!$A$3:$A$202,0)),"미등록품번"))</f>
        <v/>
      </c>
      <c r="F377" s="12" t="str">
        <f aca="false">IF($D377="","",IFERROR(INDEX(품목마스터!$D$3:$D$202,MATCH($D377,품목마스터!$A$3:$A$202,0)),""))</f>
        <v/>
      </c>
      <c r="G377" s="9"/>
      <c r="H377" s="9"/>
      <c r="I377" s="9"/>
      <c r="J377" s="7"/>
      <c r="K377" s="13" t="str">
        <f aca="false">IF(OR($G377="",$I377=""),"",ROUND($G377*$I377,0))</f>
        <v/>
      </c>
      <c r="L377" s="13" t="str">
        <f aca="false">IF($D377="","",IF($G377="",0,$G377)+IF($H377="",0,$H377))</f>
        <v/>
      </c>
      <c r="M377" s="7"/>
    </row>
    <row r="378" customFormat="false" ht="15" hidden="false" customHeight="true" outlineLevel="0" collapsed="false">
      <c r="A378" s="11"/>
      <c r="B378" s="7"/>
      <c r="C378" s="12" t="str">
        <f aca="false">IF($B378="","",IFERROR(INDEX(거래처마스터!$B$3:$B$102,MATCH($B378,거래처마스터!$A$3:$A$102,0)),"미등록"))</f>
        <v/>
      </c>
      <c r="D378" s="7"/>
      <c r="E378" s="12" t="str">
        <f aca="false">IF($D378="","",IFERROR(INDEX(품목마스터!$B$3:$B$202,MATCH($D378,품목마스터!$A$3:$A$202,0)),"미등록품번"))</f>
        <v/>
      </c>
      <c r="F378" s="12" t="str">
        <f aca="false">IF($D378="","",IFERROR(INDEX(품목마스터!$D$3:$D$202,MATCH($D378,품목마스터!$A$3:$A$202,0)),""))</f>
        <v/>
      </c>
      <c r="G378" s="9"/>
      <c r="H378" s="9"/>
      <c r="I378" s="9"/>
      <c r="J378" s="7"/>
      <c r="K378" s="13" t="str">
        <f aca="false">IF(OR($G378="",$I378=""),"",ROUND($G378*$I378,0))</f>
        <v/>
      </c>
      <c r="L378" s="13" t="str">
        <f aca="false">IF($D378="","",IF($G378="",0,$G378)+IF($H378="",0,$H378))</f>
        <v/>
      </c>
      <c r="M378" s="7"/>
    </row>
    <row r="379" customFormat="false" ht="15" hidden="false" customHeight="true" outlineLevel="0" collapsed="false">
      <c r="A379" s="11"/>
      <c r="B379" s="7"/>
      <c r="C379" s="12" t="str">
        <f aca="false">IF($B379="","",IFERROR(INDEX(거래처마스터!$B$3:$B$102,MATCH($B379,거래처마스터!$A$3:$A$102,0)),"미등록"))</f>
        <v/>
      </c>
      <c r="D379" s="7"/>
      <c r="E379" s="12" t="str">
        <f aca="false">IF($D379="","",IFERROR(INDEX(품목마스터!$B$3:$B$202,MATCH($D379,품목마스터!$A$3:$A$202,0)),"미등록품번"))</f>
        <v/>
      </c>
      <c r="F379" s="12" t="str">
        <f aca="false">IF($D379="","",IFERROR(INDEX(품목마스터!$D$3:$D$202,MATCH($D379,품목마스터!$A$3:$A$202,0)),""))</f>
        <v/>
      </c>
      <c r="G379" s="9"/>
      <c r="H379" s="9"/>
      <c r="I379" s="9"/>
      <c r="J379" s="7"/>
      <c r="K379" s="13" t="str">
        <f aca="false">IF(OR($G379="",$I379=""),"",ROUND($G379*$I379,0))</f>
        <v/>
      </c>
      <c r="L379" s="13" t="str">
        <f aca="false">IF($D379="","",IF($G379="",0,$G379)+IF($H379="",0,$H379))</f>
        <v/>
      </c>
      <c r="M379" s="7"/>
    </row>
    <row r="380" customFormat="false" ht="15" hidden="false" customHeight="true" outlineLevel="0" collapsed="false">
      <c r="A380" s="11"/>
      <c r="B380" s="7"/>
      <c r="C380" s="12" t="str">
        <f aca="false">IF($B380="","",IFERROR(INDEX(거래처마스터!$B$3:$B$102,MATCH($B380,거래처마스터!$A$3:$A$102,0)),"미등록"))</f>
        <v/>
      </c>
      <c r="D380" s="7"/>
      <c r="E380" s="12" t="str">
        <f aca="false">IF($D380="","",IFERROR(INDEX(품목마스터!$B$3:$B$202,MATCH($D380,품목마스터!$A$3:$A$202,0)),"미등록품번"))</f>
        <v/>
      </c>
      <c r="F380" s="12" t="str">
        <f aca="false">IF($D380="","",IFERROR(INDEX(품목마스터!$D$3:$D$202,MATCH($D380,품목마스터!$A$3:$A$202,0)),""))</f>
        <v/>
      </c>
      <c r="G380" s="9"/>
      <c r="H380" s="9"/>
      <c r="I380" s="9"/>
      <c r="J380" s="7"/>
      <c r="K380" s="13" t="str">
        <f aca="false">IF(OR($G380="",$I380=""),"",ROUND($G380*$I380,0))</f>
        <v/>
      </c>
      <c r="L380" s="13" t="str">
        <f aca="false">IF($D380="","",IF($G380="",0,$G380)+IF($H380="",0,$H380))</f>
        <v/>
      </c>
      <c r="M380" s="7"/>
    </row>
    <row r="381" customFormat="false" ht="15" hidden="false" customHeight="true" outlineLevel="0" collapsed="false">
      <c r="A381" s="11"/>
      <c r="B381" s="7"/>
      <c r="C381" s="12" t="str">
        <f aca="false">IF($B381="","",IFERROR(INDEX(거래처마스터!$B$3:$B$102,MATCH($B381,거래처마스터!$A$3:$A$102,0)),"미등록"))</f>
        <v/>
      </c>
      <c r="D381" s="7"/>
      <c r="E381" s="12" t="str">
        <f aca="false">IF($D381="","",IFERROR(INDEX(품목마스터!$B$3:$B$202,MATCH($D381,품목마스터!$A$3:$A$202,0)),"미등록품번"))</f>
        <v/>
      </c>
      <c r="F381" s="12" t="str">
        <f aca="false">IF($D381="","",IFERROR(INDEX(품목마스터!$D$3:$D$202,MATCH($D381,품목마스터!$A$3:$A$202,0)),""))</f>
        <v/>
      </c>
      <c r="G381" s="9"/>
      <c r="H381" s="9"/>
      <c r="I381" s="9"/>
      <c r="J381" s="7"/>
      <c r="K381" s="13" t="str">
        <f aca="false">IF(OR($G381="",$I381=""),"",ROUND($G381*$I381,0))</f>
        <v/>
      </c>
      <c r="L381" s="13" t="str">
        <f aca="false">IF($D381="","",IF($G381="",0,$G381)+IF($H381="",0,$H381))</f>
        <v/>
      </c>
      <c r="M381" s="7"/>
    </row>
    <row r="382" customFormat="false" ht="15" hidden="false" customHeight="true" outlineLevel="0" collapsed="false">
      <c r="A382" s="11"/>
      <c r="B382" s="7"/>
      <c r="C382" s="12" t="str">
        <f aca="false">IF($B382="","",IFERROR(INDEX(거래처마스터!$B$3:$B$102,MATCH($B382,거래처마스터!$A$3:$A$102,0)),"미등록"))</f>
        <v/>
      </c>
      <c r="D382" s="7"/>
      <c r="E382" s="12" t="str">
        <f aca="false">IF($D382="","",IFERROR(INDEX(품목마스터!$B$3:$B$202,MATCH($D382,품목마스터!$A$3:$A$202,0)),"미등록품번"))</f>
        <v/>
      </c>
      <c r="F382" s="12" t="str">
        <f aca="false">IF($D382="","",IFERROR(INDEX(품목마스터!$D$3:$D$202,MATCH($D382,품목마스터!$A$3:$A$202,0)),""))</f>
        <v/>
      </c>
      <c r="G382" s="9"/>
      <c r="H382" s="9"/>
      <c r="I382" s="9"/>
      <c r="J382" s="7"/>
      <c r="K382" s="13" t="str">
        <f aca="false">IF(OR($G382="",$I382=""),"",ROUND($G382*$I382,0))</f>
        <v/>
      </c>
      <c r="L382" s="13" t="str">
        <f aca="false">IF($D382="","",IF($G382="",0,$G382)+IF($H382="",0,$H382))</f>
        <v/>
      </c>
      <c r="M382" s="7"/>
    </row>
    <row r="383" customFormat="false" ht="15" hidden="false" customHeight="true" outlineLevel="0" collapsed="false">
      <c r="A383" s="11"/>
      <c r="B383" s="7"/>
      <c r="C383" s="12" t="str">
        <f aca="false">IF($B383="","",IFERROR(INDEX(거래처마스터!$B$3:$B$102,MATCH($B383,거래처마스터!$A$3:$A$102,0)),"미등록"))</f>
        <v/>
      </c>
      <c r="D383" s="7"/>
      <c r="E383" s="12" t="str">
        <f aca="false">IF($D383="","",IFERROR(INDEX(품목마스터!$B$3:$B$202,MATCH($D383,품목마스터!$A$3:$A$202,0)),"미등록품번"))</f>
        <v/>
      </c>
      <c r="F383" s="12" t="str">
        <f aca="false">IF($D383="","",IFERROR(INDEX(품목마스터!$D$3:$D$202,MATCH($D383,품목마스터!$A$3:$A$202,0)),""))</f>
        <v/>
      </c>
      <c r="G383" s="9"/>
      <c r="H383" s="9"/>
      <c r="I383" s="9"/>
      <c r="J383" s="7"/>
      <c r="K383" s="13" t="str">
        <f aca="false">IF(OR($G383="",$I383=""),"",ROUND($G383*$I383,0))</f>
        <v/>
      </c>
      <c r="L383" s="13" t="str">
        <f aca="false">IF($D383="","",IF($G383="",0,$G383)+IF($H383="",0,$H383))</f>
        <v/>
      </c>
      <c r="M383" s="7"/>
    </row>
    <row r="384" customFormat="false" ht="15" hidden="false" customHeight="true" outlineLevel="0" collapsed="false">
      <c r="A384" s="11"/>
      <c r="B384" s="7"/>
      <c r="C384" s="12" t="str">
        <f aca="false">IF($B384="","",IFERROR(INDEX(거래처마스터!$B$3:$B$102,MATCH($B384,거래처마스터!$A$3:$A$102,0)),"미등록"))</f>
        <v/>
      </c>
      <c r="D384" s="7"/>
      <c r="E384" s="12" t="str">
        <f aca="false">IF($D384="","",IFERROR(INDEX(품목마스터!$B$3:$B$202,MATCH($D384,품목마스터!$A$3:$A$202,0)),"미등록품번"))</f>
        <v/>
      </c>
      <c r="F384" s="12" t="str">
        <f aca="false">IF($D384="","",IFERROR(INDEX(품목마스터!$D$3:$D$202,MATCH($D384,품목마스터!$A$3:$A$202,0)),""))</f>
        <v/>
      </c>
      <c r="G384" s="9"/>
      <c r="H384" s="9"/>
      <c r="I384" s="9"/>
      <c r="J384" s="7"/>
      <c r="K384" s="13" t="str">
        <f aca="false">IF(OR($G384="",$I384=""),"",ROUND($G384*$I384,0))</f>
        <v/>
      </c>
      <c r="L384" s="13" t="str">
        <f aca="false">IF($D384="","",IF($G384="",0,$G384)+IF($H384="",0,$H384))</f>
        <v/>
      </c>
      <c r="M384" s="7"/>
    </row>
    <row r="385" customFormat="false" ht="15" hidden="false" customHeight="true" outlineLevel="0" collapsed="false">
      <c r="A385" s="11"/>
      <c r="B385" s="7"/>
      <c r="C385" s="12" t="str">
        <f aca="false">IF($B385="","",IFERROR(INDEX(거래처마스터!$B$3:$B$102,MATCH($B385,거래처마스터!$A$3:$A$102,0)),"미등록"))</f>
        <v/>
      </c>
      <c r="D385" s="7"/>
      <c r="E385" s="12" t="str">
        <f aca="false">IF($D385="","",IFERROR(INDEX(품목마스터!$B$3:$B$202,MATCH($D385,품목마스터!$A$3:$A$202,0)),"미등록품번"))</f>
        <v/>
      </c>
      <c r="F385" s="12" t="str">
        <f aca="false">IF($D385="","",IFERROR(INDEX(품목마스터!$D$3:$D$202,MATCH($D385,품목마스터!$A$3:$A$202,0)),""))</f>
        <v/>
      </c>
      <c r="G385" s="9"/>
      <c r="H385" s="9"/>
      <c r="I385" s="9"/>
      <c r="J385" s="7"/>
      <c r="K385" s="13" t="str">
        <f aca="false">IF(OR($G385="",$I385=""),"",ROUND($G385*$I385,0))</f>
        <v/>
      </c>
      <c r="L385" s="13" t="str">
        <f aca="false">IF($D385="","",IF($G385="",0,$G385)+IF($H385="",0,$H385))</f>
        <v/>
      </c>
      <c r="M385" s="7"/>
    </row>
    <row r="386" customFormat="false" ht="15" hidden="false" customHeight="true" outlineLevel="0" collapsed="false">
      <c r="A386" s="11"/>
      <c r="B386" s="7"/>
      <c r="C386" s="12" t="str">
        <f aca="false">IF($B386="","",IFERROR(INDEX(거래처마스터!$B$3:$B$102,MATCH($B386,거래처마스터!$A$3:$A$102,0)),"미등록"))</f>
        <v/>
      </c>
      <c r="D386" s="7"/>
      <c r="E386" s="12" t="str">
        <f aca="false">IF($D386="","",IFERROR(INDEX(품목마스터!$B$3:$B$202,MATCH($D386,품목마스터!$A$3:$A$202,0)),"미등록품번"))</f>
        <v/>
      </c>
      <c r="F386" s="12" t="str">
        <f aca="false">IF($D386="","",IFERROR(INDEX(품목마스터!$D$3:$D$202,MATCH($D386,품목마스터!$A$3:$A$202,0)),""))</f>
        <v/>
      </c>
      <c r="G386" s="9"/>
      <c r="H386" s="9"/>
      <c r="I386" s="9"/>
      <c r="J386" s="7"/>
      <c r="K386" s="13" t="str">
        <f aca="false">IF(OR($G386="",$I386=""),"",ROUND($G386*$I386,0))</f>
        <v/>
      </c>
      <c r="L386" s="13" t="str">
        <f aca="false">IF($D386="","",IF($G386="",0,$G386)+IF($H386="",0,$H386))</f>
        <v/>
      </c>
      <c r="M386" s="7"/>
    </row>
    <row r="387" customFormat="false" ht="15" hidden="false" customHeight="true" outlineLevel="0" collapsed="false">
      <c r="A387" s="11"/>
      <c r="B387" s="7"/>
      <c r="C387" s="12" t="str">
        <f aca="false">IF($B387="","",IFERROR(INDEX(거래처마스터!$B$3:$B$102,MATCH($B387,거래처마스터!$A$3:$A$102,0)),"미등록"))</f>
        <v/>
      </c>
      <c r="D387" s="7"/>
      <c r="E387" s="12" t="str">
        <f aca="false">IF($D387="","",IFERROR(INDEX(품목마스터!$B$3:$B$202,MATCH($D387,품목마스터!$A$3:$A$202,0)),"미등록품번"))</f>
        <v/>
      </c>
      <c r="F387" s="12" t="str">
        <f aca="false">IF($D387="","",IFERROR(INDEX(품목마스터!$D$3:$D$202,MATCH($D387,품목마스터!$A$3:$A$202,0)),""))</f>
        <v/>
      </c>
      <c r="G387" s="9"/>
      <c r="H387" s="9"/>
      <c r="I387" s="9"/>
      <c r="J387" s="7"/>
      <c r="K387" s="13" t="str">
        <f aca="false">IF(OR($G387="",$I387=""),"",ROUND($G387*$I387,0))</f>
        <v/>
      </c>
      <c r="L387" s="13" t="str">
        <f aca="false">IF($D387="","",IF($G387="",0,$G387)+IF($H387="",0,$H387))</f>
        <v/>
      </c>
      <c r="M387" s="7"/>
    </row>
    <row r="388" customFormat="false" ht="15" hidden="false" customHeight="true" outlineLevel="0" collapsed="false">
      <c r="A388" s="11"/>
      <c r="B388" s="7"/>
      <c r="C388" s="12" t="str">
        <f aca="false">IF($B388="","",IFERROR(INDEX(거래처마스터!$B$3:$B$102,MATCH($B388,거래처마스터!$A$3:$A$102,0)),"미등록"))</f>
        <v/>
      </c>
      <c r="D388" s="7"/>
      <c r="E388" s="12" t="str">
        <f aca="false">IF($D388="","",IFERROR(INDEX(품목마스터!$B$3:$B$202,MATCH($D388,품목마스터!$A$3:$A$202,0)),"미등록품번"))</f>
        <v/>
      </c>
      <c r="F388" s="12" t="str">
        <f aca="false">IF($D388="","",IFERROR(INDEX(품목마스터!$D$3:$D$202,MATCH($D388,품목마스터!$A$3:$A$202,0)),""))</f>
        <v/>
      </c>
      <c r="G388" s="9"/>
      <c r="H388" s="9"/>
      <c r="I388" s="9"/>
      <c r="J388" s="7"/>
      <c r="K388" s="13" t="str">
        <f aca="false">IF(OR($G388="",$I388=""),"",ROUND($G388*$I388,0))</f>
        <v/>
      </c>
      <c r="L388" s="13" t="str">
        <f aca="false">IF($D388="","",IF($G388="",0,$G388)+IF($H388="",0,$H388))</f>
        <v/>
      </c>
      <c r="M388" s="7"/>
    </row>
    <row r="389" customFormat="false" ht="15" hidden="false" customHeight="true" outlineLevel="0" collapsed="false">
      <c r="A389" s="11"/>
      <c r="B389" s="7"/>
      <c r="C389" s="12" t="str">
        <f aca="false">IF($B389="","",IFERROR(INDEX(거래처마스터!$B$3:$B$102,MATCH($B389,거래처마스터!$A$3:$A$102,0)),"미등록"))</f>
        <v/>
      </c>
      <c r="D389" s="7"/>
      <c r="E389" s="12" t="str">
        <f aca="false">IF($D389="","",IFERROR(INDEX(품목마스터!$B$3:$B$202,MATCH($D389,품목마스터!$A$3:$A$202,0)),"미등록품번"))</f>
        <v/>
      </c>
      <c r="F389" s="12" t="str">
        <f aca="false">IF($D389="","",IFERROR(INDEX(품목마스터!$D$3:$D$202,MATCH($D389,품목마스터!$A$3:$A$202,0)),""))</f>
        <v/>
      </c>
      <c r="G389" s="9"/>
      <c r="H389" s="9"/>
      <c r="I389" s="9"/>
      <c r="J389" s="7"/>
      <c r="K389" s="13" t="str">
        <f aca="false">IF(OR($G389="",$I389=""),"",ROUND($G389*$I389,0))</f>
        <v/>
      </c>
      <c r="L389" s="13" t="str">
        <f aca="false">IF($D389="","",IF($G389="",0,$G389)+IF($H389="",0,$H389))</f>
        <v/>
      </c>
      <c r="M389" s="7"/>
    </row>
    <row r="390" customFormat="false" ht="15" hidden="false" customHeight="true" outlineLevel="0" collapsed="false">
      <c r="A390" s="11"/>
      <c r="B390" s="7"/>
      <c r="C390" s="12" t="str">
        <f aca="false">IF($B390="","",IFERROR(INDEX(거래처마스터!$B$3:$B$102,MATCH($B390,거래처마스터!$A$3:$A$102,0)),"미등록"))</f>
        <v/>
      </c>
      <c r="D390" s="7"/>
      <c r="E390" s="12" t="str">
        <f aca="false">IF($D390="","",IFERROR(INDEX(품목마스터!$B$3:$B$202,MATCH($D390,품목마스터!$A$3:$A$202,0)),"미등록품번"))</f>
        <v/>
      </c>
      <c r="F390" s="12" t="str">
        <f aca="false">IF($D390="","",IFERROR(INDEX(품목마스터!$D$3:$D$202,MATCH($D390,품목마스터!$A$3:$A$202,0)),""))</f>
        <v/>
      </c>
      <c r="G390" s="9"/>
      <c r="H390" s="9"/>
      <c r="I390" s="9"/>
      <c r="J390" s="7"/>
      <c r="K390" s="13" t="str">
        <f aca="false">IF(OR($G390="",$I390=""),"",ROUND($G390*$I390,0))</f>
        <v/>
      </c>
      <c r="L390" s="13" t="str">
        <f aca="false">IF($D390="","",IF($G390="",0,$G390)+IF($H390="",0,$H390))</f>
        <v/>
      </c>
      <c r="M390" s="7"/>
    </row>
    <row r="391" customFormat="false" ht="15" hidden="false" customHeight="true" outlineLevel="0" collapsed="false">
      <c r="A391" s="11"/>
      <c r="B391" s="7"/>
      <c r="C391" s="12" t="str">
        <f aca="false">IF($B391="","",IFERROR(INDEX(거래처마스터!$B$3:$B$102,MATCH($B391,거래처마스터!$A$3:$A$102,0)),"미등록"))</f>
        <v/>
      </c>
      <c r="D391" s="7"/>
      <c r="E391" s="12" t="str">
        <f aca="false">IF($D391="","",IFERROR(INDEX(품목마스터!$B$3:$B$202,MATCH($D391,품목마스터!$A$3:$A$202,0)),"미등록품번"))</f>
        <v/>
      </c>
      <c r="F391" s="12" t="str">
        <f aca="false">IF($D391="","",IFERROR(INDEX(품목마스터!$D$3:$D$202,MATCH($D391,품목마스터!$A$3:$A$202,0)),""))</f>
        <v/>
      </c>
      <c r="G391" s="9"/>
      <c r="H391" s="9"/>
      <c r="I391" s="9"/>
      <c r="J391" s="7"/>
      <c r="K391" s="13" t="str">
        <f aca="false">IF(OR($G391="",$I391=""),"",ROUND($G391*$I391,0))</f>
        <v/>
      </c>
      <c r="L391" s="13" t="str">
        <f aca="false">IF($D391="","",IF($G391="",0,$G391)+IF($H391="",0,$H391))</f>
        <v/>
      </c>
      <c r="M391" s="7"/>
    </row>
    <row r="392" customFormat="false" ht="15" hidden="false" customHeight="true" outlineLevel="0" collapsed="false">
      <c r="A392" s="11"/>
      <c r="B392" s="7"/>
      <c r="C392" s="12" t="str">
        <f aca="false">IF($B392="","",IFERROR(INDEX(거래처마스터!$B$3:$B$102,MATCH($B392,거래처마스터!$A$3:$A$102,0)),"미등록"))</f>
        <v/>
      </c>
      <c r="D392" s="7"/>
      <c r="E392" s="12" t="str">
        <f aca="false">IF($D392="","",IFERROR(INDEX(품목마스터!$B$3:$B$202,MATCH($D392,품목마스터!$A$3:$A$202,0)),"미등록품번"))</f>
        <v/>
      </c>
      <c r="F392" s="12" t="str">
        <f aca="false">IF($D392="","",IFERROR(INDEX(품목마스터!$D$3:$D$202,MATCH($D392,품목마스터!$A$3:$A$202,0)),""))</f>
        <v/>
      </c>
      <c r="G392" s="9"/>
      <c r="H392" s="9"/>
      <c r="I392" s="9"/>
      <c r="J392" s="7"/>
      <c r="K392" s="13" t="str">
        <f aca="false">IF(OR($G392="",$I392=""),"",ROUND($G392*$I392,0))</f>
        <v/>
      </c>
      <c r="L392" s="13" t="str">
        <f aca="false">IF($D392="","",IF($G392="",0,$G392)+IF($H392="",0,$H392))</f>
        <v/>
      </c>
      <c r="M392" s="7"/>
    </row>
    <row r="393" customFormat="false" ht="15" hidden="false" customHeight="true" outlineLevel="0" collapsed="false">
      <c r="A393" s="11"/>
      <c r="B393" s="7"/>
      <c r="C393" s="12" t="str">
        <f aca="false">IF($B393="","",IFERROR(INDEX(거래처마스터!$B$3:$B$102,MATCH($B393,거래처마스터!$A$3:$A$102,0)),"미등록"))</f>
        <v/>
      </c>
      <c r="D393" s="7"/>
      <c r="E393" s="12" t="str">
        <f aca="false">IF($D393="","",IFERROR(INDEX(품목마스터!$B$3:$B$202,MATCH($D393,품목마스터!$A$3:$A$202,0)),"미등록품번"))</f>
        <v/>
      </c>
      <c r="F393" s="12" t="str">
        <f aca="false">IF($D393="","",IFERROR(INDEX(품목마스터!$D$3:$D$202,MATCH($D393,품목마스터!$A$3:$A$202,0)),""))</f>
        <v/>
      </c>
      <c r="G393" s="9"/>
      <c r="H393" s="9"/>
      <c r="I393" s="9"/>
      <c r="J393" s="7"/>
      <c r="K393" s="13" t="str">
        <f aca="false">IF(OR($G393="",$I393=""),"",ROUND($G393*$I393,0))</f>
        <v/>
      </c>
      <c r="L393" s="13" t="str">
        <f aca="false">IF($D393="","",IF($G393="",0,$G393)+IF($H393="",0,$H393))</f>
        <v/>
      </c>
      <c r="M393" s="7"/>
    </row>
    <row r="394" customFormat="false" ht="15" hidden="false" customHeight="true" outlineLevel="0" collapsed="false">
      <c r="A394" s="11"/>
      <c r="B394" s="7"/>
      <c r="C394" s="12" t="str">
        <f aca="false">IF($B394="","",IFERROR(INDEX(거래처마스터!$B$3:$B$102,MATCH($B394,거래처마스터!$A$3:$A$102,0)),"미등록"))</f>
        <v/>
      </c>
      <c r="D394" s="7"/>
      <c r="E394" s="12" t="str">
        <f aca="false">IF($D394="","",IFERROR(INDEX(품목마스터!$B$3:$B$202,MATCH($D394,품목마스터!$A$3:$A$202,0)),"미등록품번"))</f>
        <v/>
      </c>
      <c r="F394" s="12" t="str">
        <f aca="false">IF($D394="","",IFERROR(INDEX(품목마스터!$D$3:$D$202,MATCH($D394,품목마스터!$A$3:$A$202,0)),""))</f>
        <v/>
      </c>
      <c r="G394" s="9"/>
      <c r="H394" s="9"/>
      <c r="I394" s="9"/>
      <c r="J394" s="7"/>
      <c r="K394" s="13" t="str">
        <f aca="false">IF(OR($G394="",$I394=""),"",ROUND($G394*$I394,0))</f>
        <v/>
      </c>
      <c r="L394" s="13" t="str">
        <f aca="false">IF($D394="","",IF($G394="",0,$G394)+IF($H394="",0,$H394))</f>
        <v/>
      </c>
      <c r="M394" s="7"/>
    </row>
    <row r="395" customFormat="false" ht="15" hidden="false" customHeight="true" outlineLevel="0" collapsed="false">
      <c r="A395" s="11"/>
      <c r="B395" s="7"/>
      <c r="C395" s="12" t="str">
        <f aca="false">IF($B395="","",IFERROR(INDEX(거래처마스터!$B$3:$B$102,MATCH($B395,거래처마스터!$A$3:$A$102,0)),"미등록"))</f>
        <v/>
      </c>
      <c r="D395" s="7"/>
      <c r="E395" s="12" t="str">
        <f aca="false">IF($D395="","",IFERROR(INDEX(품목마스터!$B$3:$B$202,MATCH($D395,품목마스터!$A$3:$A$202,0)),"미등록품번"))</f>
        <v/>
      </c>
      <c r="F395" s="12" t="str">
        <f aca="false">IF($D395="","",IFERROR(INDEX(품목마스터!$D$3:$D$202,MATCH($D395,품목마스터!$A$3:$A$202,0)),""))</f>
        <v/>
      </c>
      <c r="G395" s="9"/>
      <c r="H395" s="9"/>
      <c r="I395" s="9"/>
      <c r="J395" s="7"/>
      <c r="K395" s="13" t="str">
        <f aca="false">IF(OR($G395="",$I395=""),"",ROUND($G395*$I395,0))</f>
        <v/>
      </c>
      <c r="L395" s="13" t="str">
        <f aca="false">IF($D395="","",IF($G395="",0,$G395)+IF($H395="",0,$H395))</f>
        <v/>
      </c>
      <c r="M395" s="7"/>
    </row>
    <row r="396" customFormat="false" ht="15" hidden="false" customHeight="true" outlineLevel="0" collapsed="false">
      <c r="A396" s="11"/>
      <c r="B396" s="7"/>
      <c r="C396" s="12" t="str">
        <f aca="false">IF($B396="","",IFERROR(INDEX(거래처마스터!$B$3:$B$102,MATCH($B396,거래처마스터!$A$3:$A$102,0)),"미등록"))</f>
        <v/>
      </c>
      <c r="D396" s="7"/>
      <c r="E396" s="12" t="str">
        <f aca="false">IF($D396="","",IFERROR(INDEX(품목마스터!$B$3:$B$202,MATCH($D396,품목마스터!$A$3:$A$202,0)),"미등록품번"))</f>
        <v/>
      </c>
      <c r="F396" s="12" t="str">
        <f aca="false">IF($D396="","",IFERROR(INDEX(품목마스터!$D$3:$D$202,MATCH($D396,품목마스터!$A$3:$A$202,0)),""))</f>
        <v/>
      </c>
      <c r="G396" s="9"/>
      <c r="H396" s="9"/>
      <c r="I396" s="9"/>
      <c r="J396" s="7"/>
      <c r="K396" s="13" t="str">
        <f aca="false">IF(OR($G396="",$I396=""),"",ROUND($G396*$I396,0))</f>
        <v/>
      </c>
      <c r="L396" s="13" t="str">
        <f aca="false">IF($D396="","",IF($G396="",0,$G396)+IF($H396="",0,$H396))</f>
        <v/>
      </c>
      <c r="M396" s="7"/>
    </row>
    <row r="397" customFormat="false" ht="15" hidden="false" customHeight="true" outlineLevel="0" collapsed="false">
      <c r="A397" s="11"/>
      <c r="B397" s="7"/>
      <c r="C397" s="12" t="str">
        <f aca="false">IF($B397="","",IFERROR(INDEX(거래처마스터!$B$3:$B$102,MATCH($B397,거래처마스터!$A$3:$A$102,0)),"미등록"))</f>
        <v/>
      </c>
      <c r="D397" s="7"/>
      <c r="E397" s="12" t="str">
        <f aca="false">IF($D397="","",IFERROR(INDEX(품목마스터!$B$3:$B$202,MATCH($D397,품목마스터!$A$3:$A$202,0)),"미등록품번"))</f>
        <v/>
      </c>
      <c r="F397" s="12" t="str">
        <f aca="false">IF($D397="","",IFERROR(INDEX(품목마스터!$D$3:$D$202,MATCH($D397,품목마스터!$A$3:$A$202,0)),""))</f>
        <v/>
      </c>
      <c r="G397" s="9"/>
      <c r="H397" s="9"/>
      <c r="I397" s="9"/>
      <c r="J397" s="7"/>
      <c r="K397" s="13" t="str">
        <f aca="false">IF(OR($G397="",$I397=""),"",ROUND($G397*$I397,0))</f>
        <v/>
      </c>
      <c r="L397" s="13" t="str">
        <f aca="false">IF($D397="","",IF($G397="",0,$G397)+IF($H397="",0,$H397))</f>
        <v/>
      </c>
      <c r="M397" s="7"/>
    </row>
    <row r="398" customFormat="false" ht="15" hidden="false" customHeight="true" outlineLevel="0" collapsed="false">
      <c r="A398" s="11"/>
      <c r="B398" s="7"/>
      <c r="C398" s="12" t="str">
        <f aca="false">IF($B398="","",IFERROR(INDEX(거래처마스터!$B$3:$B$102,MATCH($B398,거래처마스터!$A$3:$A$102,0)),"미등록"))</f>
        <v/>
      </c>
      <c r="D398" s="7"/>
      <c r="E398" s="12" t="str">
        <f aca="false">IF($D398="","",IFERROR(INDEX(품목마스터!$B$3:$B$202,MATCH($D398,품목마스터!$A$3:$A$202,0)),"미등록품번"))</f>
        <v/>
      </c>
      <c r="F398" s="12" t="str">
        <f aca="false">IF($D398="","",IFERROR(INDEX(품목마스터!$D$3:$D$202,MATCH($D398,품목마스터!$A$3:$A$202,0)),""))</f>
        <v/>
      </c>
      <c r="G398" s="9"/>
      <c r="H398" s="9"/>
      <c r="I398" s="9"/>
      <c r="J398" s="7"/>
      <c r="K398" s="13" t="str">
        <f aca="false">IF(OR($G398="",$I398=""),"",ROUND($G398*$I398,0))</f>
        <v/>
      </c>
      <c r="L398" s="13" t="str">
        <f aca="false">IF($D398="","",IF($G398="",0,$G398)+IF($H398="",0,$H398))</f>
        <v/>
      </c>
      <c r="M398" s="7"/>
    </row>
    <row r="399" customFormat="false" ht="15" hidden="false" customHeight="true" outlineLevel="0" collapsed="false">
      <c r="A399" s="11"/>
      <c r="B399" s="7"/>
      <c r="C399" s="12" t="str">
        <f aca="false">IF($B399="","",IFERROR(INDEX(거래처마스터!$B$3:$B$102,MATCH($B399,거래처마스터!$A$3:$A$102,0)),"미등록"))</f>
        <v/>
      </c>
      <c r="D399" s="7"/>
      <c r="E399" s="12" t="str">
        <f aca="false">IF($D399="","",IFERROR(INDEX(품목마스터!$B$3:$B$202,MATCH($D399,품목마스터!$A$3:$A$202,0)),"미등록품번"))</f>
        <v/>
      </c>
      <c r="F399" s="12" t="str">
        <f aca="false">IF($D399="","",IFERROR(INDEX(품목마스터!$D$3:$D$202,MATCH($D399,품목마스터!$A$3:$A$202,0)),""))</f>
        <v/>
      </c>
      <c r="G399" s="9"/>
      <c r="H399" s="9"/>
      <c r="I399" s="9"/>
      <c r="J399" s="7"/>
      <c r="K399" s="13" t="str">
        <f aca="false">IF(OR($G399="",$I399=""),"",ROUND($G399*$I399,0))</f>
        <v/>
      </c>
      <c r="L399" s="13" t="str">
        <f aca="false">IF($D399="","",IF($G399="",0,$G399)+IF($H399="",0,$H399))</f>
        <v/>
      </c>
      <c r="M399" s="7"/>
    </row>
    <row r="400" customFormat="false" ht="15" hidden="false" customHeight="true" outlineLevel="0" collapsed="false">
      <c r="A400" s="11"/>
      <c r="B400" s="7"/>
      <c r="C400" s="12" t="str">
        <f aca="false">IF($B400="","",IFERROR(INDEX(거래처마스터!$B$3:$B$102,MATCH($B400,거래처마스터!$A$3:$A$102,0)),"미등록"))</f>
        <v/>
      </c>
      <c r="D400" s="7"/>
      <c r="E400" s="12" t="str">
        <f aca="false">IF($D400="","",IFERROR(INDEX(품목마스터!$B$3:$B$202,MATCH($D400,품목마스터!$A$3:$A$202,0)),"미등록품번"))</f>
        <v/>
      </c>
      <c r="F400" s="12" t="str">
        <f aca="false">IF($D400="","",IFERROR(INDEX(품목마스터!$D$3:$D$202,MATCH($D400,품목마스터!$A$3:$A$202,0)),""))</f>
        <v/>
      </c>
      <c r="G400" s="9"/>
      <c r="H400" s="9"/>
      <c r="I400" s="9"/>
      <c r="J400" s="7"/>
      <c r="K400" s="13" t="str">
        <f aca="false">IF(OR($G400="",$I400=""),"",ROUND($G400*$I400,0))</f>
        <v/>
      </c>
      <c r="L400" s="13" t="str">
        <f aca="false">IF($D400="","",IF($G400="",0,$G400)+IF($H400="",0,$H400))</f>
        <v/>
      </c>
      <c r="M400" s="7"/>
    </row>
    <row r="401" customFormat="false" ht="15" hidden="false" customHeight="true" outlineLevel="0" collapsed="false">
      <c r="A401" s="11"/>
      <c r="B401" s="7"/>
      <c r="C401" s="12" t="str">
        <f aca="false">IF($B401="","",IFERROR(INDEX(거래처마스터!$B$3:$B$102,MATCH($B401,거래처마스터!$A$3:$A$102,0)),"미등록"))</f>
        <v/>
      </c>
      <c r="D401" s="7"/>
      <c r="E401" s="12" t="str">
        <f aca="false">IF($D401="","",IFERROR(INDEX(품목마스터!$B$3:$B$202,MATCH($D401,품목마스터!$A$3:$A$202,0)),"미등록품번"))</f>
        <v/>
      </c>
      <c r="F401" s="12" t="str">
        <f aca="false">IF($D401="","",IFERROR(INDEX(품목마스터!$D$3:$D$202,MATCH($D401,품목마스터!$A$3:$A$202,0)),""))</f>
        <v/>
      </c>
      <c r="G401" s="9"/>
      <c r="H401" s="9"/>
      <c r="I401" s="9"/>
      <c r="J401" s="7"/>
      <c r="K401" s="13" t="str">
        <f aca="false">IF(OR($G401="",$I401=""),"",ROUND($G401*$I401,0))</f>
        <v/>
      </c>
      <c r="L401" s="13" t="str">
        <f aca="false">IF($D401="","",IF($G401="",0,$G401)+IF($H401="",0,$H401))</f>
        <v/>
      </c>
      <c r="M401" s="7"/>
    </row>
    <row r="402" customFormat="false" ht="15" hidden="false" customHeight="true" outlineLevel="0" collapsed="false">
      <c r="A402" s="11"/>
      <c r="B402" s="7"/>
      <c r="C402" s="12" t="str">
        <f aca="false">IF($B402="","",IFERROR(INDEX(거래처마스터!$B$3:$B$102,MATCH($B402,거래처마스터!$A$3:$A$102,0)),"미등록"))</f>
        <v/>
      </c>
      <c r="D402" s="7"/>
      <c r="E402" s="12" t="str">
        <f aca="false">IF($D402="","",IFERROR(INDEX(품목마스터!$B$3:$B$202,MATCH($D402,품목마스터!$A$3:$A$202,0)),"미등록품번"))</f>
        <v/>
      </c>
      <c r="F402" s="12" t="str">
        <f aca="false">IF($D402="","",IFERROR(INDEX(품목마스터!$D$3:$D$202,MATCH($D402,품목마스터!$A$3:$A$202,0)),""))</f>
        <v/>
      </c>
      <c r="G402" s="9"/>
      <c r="H402" s="9"/>
      <c r="I402" s="9"/>
      <c r="J402" s="7"/>
      <c r="K402" s="13" t="str">
        <f aca="false">IF(OR($G402="",$I402=""),"",ROUND($G402*$I402,0))</f>
        <v/>
      </c>
      <c r="L402" s="13" t="str">
        <f aca="false">IF($D402="","",IF($G402="",0,$G402)+IF($H402="",0,$H402))</f>
        <v/>
      </c>
      <c r="M402" s="7"/>
    </row>
    <row r="403" customFormat="false" ht="15" hidden="false" customHeight="true" outlineLevel="0" collapsed="false">
      <c r="A403" s="11"/>
      <c r="B403" s="7"/>
      <c r="C403" s="12" t="str">
        <f aca="false">IF($B403="","",IFERROR(INDEX(거래처마스터!$B$3:$B$102,MATCH($B403,거래처마스터!$A$3:$A$102,0)),"미등록"))</f>
        <v/>
      </c>
      <c r="D403" s="7"/>
      <c r="E403" s="12" t="str">
        <f aca="false">IF($D403="","",IFERROR(INDEX(품목마스터!$B$3:$B$202,MATCH($D403,품목마스터!$A$3:$A$202,0)),"미등록품번"))</f>
        <v/>
      </c>
      <c r="F403" s="12" t="str">
        <f aca="false">IF($D403="","",IFERROR(INDEX(품목마스터!$D$3:$D$202,MATCH($D403,품목마스터!$A$3:$A$202,0)),""))</f>
        <v/>
      </c>
      <c r="G403" s="9"/>
      <c r="H403" s="9"/>
      <c r="I403" s="9"/>
      <c r="J403" s="7"/>
      <c r="K403" s="13" t="str">
        <f aca="false">IF(OR($G403="",$I403=""),"",ROUND($G403*$I403,0))</f>
        <v/>
      </c>
      <c r="L403" s="13" t="str">
        <f aca="false">IF($D403="","",IF($G403="",0,$G403)+IF($H403="",0,$H403))</f>
        <v/>
      </c>
      <c r="M403" s="7"/>
    </row>
    <row r="404" customFormat="false" ht="15" hidden="false" customHeight="true" outlineLevel="0" collapsed="false">
      <c r="A404" s="11"/>
      <c r="B404" s="7"/>
      <c r="C404" s="12" t="str">
        <f aca="false">IF($B404="","",IFERROR(INDEX(거래처마스터!$B$3:$B$102,MATCH($B404,거래처마스터!$A$3:$A$102,0)),"미등록"))</f>
        <v/>
      </c>
      <c r="D404" s="7"/>
      <c r="E404" s="12" t="str">
        <f aca="false">IF($D404="","",IFERROR(INDEX(품목마스터!$B$3:$B$202,MATCH($D404,품목마스터!$A$3:$A$202,0)),"미등록품번"))</f>
        <v/>
      </c>
      <c r="F404" s="12" t="str">
        <f aca="false">IF($D404="","",IFERROR(INDEX(품목마스터!$D$3:$D$202,MATCH($D404,품목마스터!$A$3:$A$202,0)),""))</f>
        <v/>
      </c>
      <c r="G404" s="9"/>
      <c r="H404" s="9"/>
      <c r="I404" s="9"/>
      <c r="J404" s="7"/>
      <c r="K404" s="13" t="str">
        <f aca="false">IF(OR($G404="",$I404=""),"",ROUND($G404*$I404,0))</f>
        <v/>
      </c>
      <c r="L404" s="13" t="str">
        <f aca="false">IF($D404="","",IF($G404="",0,$G404)+IF($H404="",0,$H404))</f>
        <v/>
      </c>
      <c r="M404" s="7"/>
    </row>
    <row r="405" customFormat="false" ht="15" hidden="false" customHeight="true" outlineLevel="0" collapsed="false">
      <c r="A405" s="11"/>
      <c r="B405" s="7"/>
      <c r="C405" s="12" t="str">
        <f aca="false">IF($B405="","",IFERROR(INDEX(거래처마스터!$B$3:$B$102,MATCH($B405,거래처마스터!$A$3:$A$102,0)),"미등록"))</f>
        <v/>
      </c>
      <c r="D405" s="7"/>
      <c r="E405" s="12" t="str">
        <f aca="false">IF($D405="","",IFERROR(INDEX(품목마스터!$B$3:$B$202,MATCH($D405,품목마스터!$A$3:$A$202,0)),"미등록품번"))</f>
        <v/>
      </c>
      <c r="F405" s="12" t="str">
        <f aca="false">IF($D405="","",IFERROR(INDEX(품목마스터!$D$3:$D$202,MATCH($D405,품목마스터!$A$3:$A$202,0)),""))</f>
        <v/>
      </c>
      <c r="G405" s="9"/>
      <c r="H405" s="9"/>
      <c r="I405" s="9"/>
      <c r="J405" s="7"/>
      <c r="K405" s="13" t="str">
        <f aca="false">IF(OR($G405="",$I405=""),"",ROUND($G405*$I405,0))</f>
        <v/>
      </c>
      <c r="L405" s="13" t="str">
        <f aca="false">IF($D405="","",IF($G405="",0,$G405)+IF($H405="",0,$H405))</f>
        <v/>
      </c>
      <c r="M405" s="7"/>
    </row>
    <row r="406" customFormat="false" ht="15" hidden="false" customHeight="true" outlineLevel="0" collapsed="false">
      <c r="A406" s="11"/>
      <c r="B406" s="7"/>
      <c r="C406" s="12" t="str">
        <f aca="false">IF($B406="","",IFERROR(INDEX(거래처마스터!$B$3:$B$102,MATCH($B406,거래처마스터!$A$3:$A$102,0)),"미등록"))</f>
        <v/>
      </c>
      <c r="D406" s="7"/>
      <c r="E406" s="12" t="str">
        <f aca="false">IF($D406="","",IFERROR(INDEX(품목마스터!$B$3:$B$202,MATCH($D406,품목마스터!$A$3:$A$202,0)),"미등록품번"))</f>
        <v/>
      </c>
      <c r="F406" s="12" t="str">
        <f aca="false">IF($D406="","",IFERROR(INDEX(품목마스터!$D$3:$D$202,MATCH($D406,품목마스터!$A$3:$A$202,0)),""))</f>
        <v/>
      </c>
      <c r="G406" s="9"/>
      <c r="H406" s="9"/>
      <c r="I406" s="9"/>
      <c r="J406" s="7"/>
      <c r="K406" s="13" t="str">
        <f aca="false">IF(OR($G406="",$I406=""),"",ROUND($G406*$I406,0))</f>
        <v/>
      </c>
      <c r="L406" s="13" t="str">
        <f aca="false">IF($D406="","",IF($G406="",0,$G406)+IF($H406="",0,$H406))</f>
        <v/>
      </c>
      <c r="M406" s="7"/>
    </row>
    <row r="407" customFormat="false" ht="15" hidden="false" customHeight="true" outlineLevel="0" collapsed="false">
      <c r="A407" s="11"/>
      <c r="B407" s="7"/>
      <c r="C407" s="12" t="str">
        <f aca="false">IF($B407="","",IFERROR(INDEX(거래처마스터!$B$3:$B$102,MATCH($B407,거래처마스터!$A$3:$A$102,0)),"미등록"))</f>
        <v/>
      </c>
      <c r="D407" s="7"/>
      <c r="E407" s="12" t="str">
        <f aca="false">IF($D407="","",IFERROR(INDEX(품목마스터!$B$3:$B$202,MATCH($D407,품목마스터!$A$3:$A$202,0)),"미등록품번"))</f>
        <v/>
      </c>
      <c r="F407" s="12" t="str">
        <f aca="false">IF($D407="","",IFERROR(INDEX(품목마스터!$D$3:$D$202,MATCH($D407,품목마스터!$A$3:$A$202,0)),""))</f>
        <v/>
      </c>
      <c r="G407" s="9"/>
      <c r="H407" s="9"/>
      <c r="I407" s="9"/>
      <c r="J407" s="7"/>
      <c r="K407" s="13" t="str">
        <f aca="false">IF(OR($G407="",$I407=""),"",ROUND($G407*$I407,0))</f>
        <v/>
      </c>
      <c r="L407" s="13" t="str">
        <f aca="false">IF($D407="","",IF($G407="",0,$G407)+IF($H407="",0,$H407))</f>
        <v/>
      </c>
      <c r="M407" s="7"/>
    </row>
    <row r="408" customFormat="false" ht="15" hidden="false" customHeight="true" outlineLevel="0" collapsed="false">
      <c r="A408" s="11"/>
      <c r="B408" s="7"/>
      <c r="C408" s="12" t="str">
        <f aca="false">IF($B408="","",IFERROR(INDEX(거래처마스터!$B$3:$B$102,MATCH($B408,거래처마스터!$A$3:$A$102,0)),"미등록"))</f>
        <v/>
      </c>
      <c r="D408" s="7"/>
      <c r="E408" s="12" t="str">
        <f aca="false">IF($D408="","",IFERROR(INDEX(품목마스터!$B$3:$B$202,MATCH($D408,품목마스터!$A$3:$A$202,0)),"미등록품번"))</f>
        <v/>
      </c>
      <c r="F408" s="12" t="str">
        <f aca="false">IF($D408="","",IFERROR(INDEX(품목마스터!$D$3:$D$202,MATCH($D408,품목마스터!$A$3:$A$202,0)),""))</f>
        <v/>
      </c>
      <c r="G408" s="9"/>
      <c r="H408" s="9"/>
      <c r="I408" s="9"/>
      <c r="J408" s="7"/>
      <c r="K408" s="13" t="str">
        <f aca="false">IF(OR($G408="",$I408=""),"",ROUND($G408*$I408,0))</f>
        <v/>
      </c>
      <c r="L408" s="13" t="str">
        <f aca="false">IF($D408="","",IF($G408="",0,$G408)+IF($H408="",0,$H408))</f>
        <v/>
      </c>
      <c r="M408" s="7"/>
    </row>
    <row r="409" customFormat="false" ht="15" hidden="false" customHeight="true" outlineLevel="0" collapsed="false">
      <c r="A409" s="11"/>
      <c r="B409" s="7"/>
      <c r="C409" s="12" t="str">
        <f aca="false">IF($B409="","",IFERROR(INDEX(거래처마스터!$B$3:$B$102,MATCH($B409,거래처마스터!$A$3:$A$102,0)),"미등록"))</f>
        <v/>
      </c>
      <c r="D409" s="7"/>
      <c r="E409" s="12" t="str">
        <f aca="false">IF($D409="","",IFERROR(INDEX(품목마스터!$B$3:$B$202,MATCH($D409,품목마스터!$A$3:$A$202,0)),"미등록품번"))</f>
        <v/>
      </c>
      <c r="F409" s="12" t="str">
        <f aca="false">IF($D409="","",IFERROR(INDEX(품목마스터!$D$3:$D$202,MATCH($D409,품목마스터!$A$3:$A$202,0)),""))</f>
        <v/>
      </c>
      <c r="G409" s="9"/>
      <c r="H409" s="9"/>
      <c r="I409" s="9"/>
      <c r="J409" s="7"/>
      <c r="K409" s="13" t="str">
        <f aca="false">IF(OR($G409="",$I409=""),"",ROUND($G409*$I409,0))</f>
        <v/>
      </c>
      <c r="L409" s="13" t="str">
        <f aca="false">IF($D409="","",IF($G409="",0,$G409)+IF($H409="",0,$H409))</f>
        <v/>
      </c>
      <c r="M409" s="7"/>
    </row>
    <row r="410" customFormat="false" ht="15" hidden="false" customHeight="true" outlineLevel="0" collapsed="false">
      <c r="A410" s="11"/>
      <c r="B410" s="7"/>
      <c r="C410" s="12" t="str">
        <f aca="false">IF($B410="","",IFERROR(INDEX(거래처마스터!$B$3:$B$102,MATCH($B410,거래처마스터!$A$3:$A$102,0)),"미등록"))</f>
        <v/>
      </c>
      <c r="D410" s="7"/>
      <c r="E410" s="12" t="str">
        <f aca="false">IF($D410="","",IFERROR(INDEX(품목마스터!$B$3:$B$202,MATCH($D410,품목마스터!$A$3:$A$202,0)),"미등록품번"))</f>
        <v/>
      </c>
      <c r="F410" s="12" t="str">
        <f aca="false">IF($D410="","",IFERROR(INDEX(품목마스터!$D$3:$D$202,MATCH($D410,품목마스터!$A$3:$A$202,0)),""))</f>
        <v/>
      </c>
      <c r="G410" s="9"/>
      <c r="H410" s="9"/>
      <c r="I410" s="9"/>
      <c r="J410" s="7"/>
      <c r="K410" s="13" t="str">
        <f aca="false">IF(OR($G410="",$I410=""),"",ROUND($G410*$I410,0))</f>
        <v/>
      </c>
      <c r="L410" s="13" t="str">
        <f aca="false">IF($D410="","",IF($G410="",0,$G410)+IF($H410="",0,$H410))</f>
        <v/>
      </c>
      <c r="M410" s="7"/>
    </row>
    <row r="411" customFormat="false" ht="15" hidden="false" customHeight="true" outlineLevel="0" collapsed="false">
      <c r="A411" s="11"/>
      <c r="B411" s="7"/>
      <c r="C411" s="12" t="str">
        <f aca="false">IF($B411="","",IFERROR(INDEX(거래처마스터!$B$3:$B$102,MATCH($B411,거래처마스터!$A$3:$A$102,0)),"미등록"))</f>
        <v/>
      </c>
      <c r="D411" s="7"/>
      <c r="E411" s="12" t="str">
        <f aca="false">IF($D411="","",IFERROR(INDEX(품목마스터!$B$3:$B$202,MATCH($D411,품목마스터!$A$3:$A$202,0)),"미등록품번"))</f>
        <v/>
      </c>
      <c r="F411" s="12" t="str">
        <f aca="false">IF($D411="","",IFERROR(INDEX(품목마스터!$D$3:$D$202,MATCH($D411,품목마스터!$A$3:$A$202,0)),""))</f>
        <v/>
      </c>
      <c r="G411" s="9"/>
      <c r="H411" s="9"/>
      <c r="I411" s="9"/>
      <c r="J411" s="7"/>
      <c r="K411" s="13" t="str">
        <f aca="false">IF(OR($G411="",$I411=""),"",ROUND($G411*$I411,0))</f>
        <v/>
      </c>
      <c r="L411" s="13" t="str">
        <f aca="false">IF($D411="","",IF($G411="",0,$G411)+IF($H411="",0,$H411))</f>
        <v/>
      </c>
      <c r="M411" s="7"/>
    </row>
    <row r="412" customFormat="false" ht="15" hidden="false" customHeight="true" outlineLevel="0" collapsed="false">
      <c r="A412" s="11"/>
      <c r="B412" s="7"/>
      <c r="C412" s="12" t="str">
        <f aca="false">IF($B412="","",IFERROR(INDEX(거래처마스터!$B$3:$B$102,MATCH($B412,거래처마스터!$A$3:$A$102,0)),"미등록"))</f>
        <v/>
      </c>
      <c r="D412" s="7"/>
      <c r="E412" s="12" t="str">
        <f aca="false">IF($D412="","",IFERROR(INDEX(품목마스터!$B$3:$B$202,MATCH($D412,품목마스터!$A$3:$A$202,0)),"미등록품번"))</f>
        <v/>
      </c>
      <c r="F412" s="12" t="str">
        <f aca="false">IF($D412="","",IFERROR(INDEX(품목마스터!$D$3:$D$202,MATCH($D412,품목마스터!$A$3:$A$202,0)),""))</f>
        <v/>
      </c>
      <c r="G412" s="9"/>
      <c r="H412" s="9"/>
      <c r="I412" s="9"/>
      <c r="J412" s="7"/>
      <c r="K412" s="13" t="str">
        <f aca="false">IF(OR($G412="",$I412=""),"",ROUND($G412*$I412,0))</f>
        <v/>
      </c>
      <c r="L412" s="13" t="str">
        <f aca="false">IF($D412="","",IF($G412="",0,$G412)+IF($H412="",0,$H412))</f>
        <v/>
      </c>
      <c r="M412" s="7"/>
    </row>
    <row r="413" customFormat="false" ht="15" hidden="false" customHeight="true" outlineLevel="0" collapsed="false">
      <c r="A413" s="11"/>
      <c r="B413" s="7"/>
      <c r="C413" s="12" t="str">
        <f aca="false">IF($B413="","",IFERROR(INDEX(거래처마스터!$B$3:$B$102,MATCH($B413,거래처마스터!$A$3:$A$102,0)),"미등록"))</f>
        <v/>
      </c>
      <c r="D413" s="7"/>
      <c r="E413" s="12" t="str">
        <f aca="false">IF($D413="","",IFERROR(INDEX(품목마스터!$B$3:$B$202,MATCH($D413,품목마스터!$A$3:$A$202,0)),"미등록품번"))</f>
        <v/>
      </c>
      <c r="F413" s="12" t="str">
        <f aca="false">IF($D413="","",IFERROR(INDEX(품목마스터!$D$3:$D$202,MATCH($D413,품목마스터!$A$3:$A$202,0)),""))</f>
        <v/>
      </c>
      <c r="G413" s="9"/>
      <c r="H413" s="9"/>
      <c r="I413" s="9"/>
      <c r="J413" s="7"/>
      <c r="K413" s="13" t="str">
        <f aca="false">IF(OR($G413="",$I413=""),"",ROUND($G413*$I413,0))</f>
        <v/>
      </c>
      <c r="L413" s="13" t="str">
        <f aca="false">IF($D413="","",IF($G413="",0,$G413)+IF($H413="",0,$H413))</f>
        <v/>
      </c>
      <c r="M413" s="7"/>
    </row>
    <row r="414" customFormat="false" ht="15" hidden="false" customHeight="true" outlineLevel="0" collapsed="false">
      <c r="A414" s="11"/>
      <c r="B414" s="7"/>
      <c r="C414" s="12" t="str">
        <f aca="false">IF($B414="","",IFERROR(INDEX(거래처마스터!$B$3:$B$102,MATCH($B414,거래처마스터!$A$3:$A$102,0)),"미등록"))</f>
        <v/>
      </c>
      <c r="D414" s="7"/>
      <c r="E414" s="12" t="str">
        <f aca="false">IF($D414="","",IFERROR(INDEX(품목마스터!$B$3:$B$202,MATCH($D414,품목마스터!$A$3:$A$202,0)),"미등록품번"))</f>
        <v/>
      </c>
      <c r="F414" s="12" t="str">
        <f aca="false">IF($D414="","",IFERROR(INDEX(품목마스터!$D$3:$D$202,MATCH($D414,품목마스터!$A$3:$A$202,0)),""))</f>
        <v/>
      </c>
      <c r="G414" s="9"/>
      <c r="H414" s="9"/>
      <c r="I414" s="9"/>
      <c r="J414" s="7"/>
      <c r="K414" s="13" t="str">
        <f aca="false">IF(OR($G414="",$I414=""),"",ROUND($G414*$I414,0))</f>
        <v/>
      </c>
      <c r="L414" s="13" t="str">
        <f aca="false">IF($D414="","",IF($G414="",0,$G414)+IF($H414="",0,$H414))</f>
        <v/>
      </c>
      <c r="M414" s="7"/>
    </row>
    <row r="415" customFormat="false" ht="15" hidden="false" customHeight="true" outlineLevel="0" collapsed="false">
      <c r="A415" s="11"/>
      <c r="B415" s="7"/>
      <c r="C415" s="12" t="str">
        <f aca="false">IF($B415="","",IFERROR(INDEX(거래처마스터!$B$3:$B$102,MATCH($B415,거래처마스터!$A$3:$A$102,0)),"미등록"))</f>
        <v/>
      </c>
      <c r="D415" s="7"/>
      <c r="E415" s="12" t="str">
        <f aca="false">IF($D415="","",IFERROR(INDEX(품목마스터!$B$3:$B$202,MATCH($D415,품목마스터!$A$3:$A$202,0)),"미등록품번"))</f>
        <v/>
      </c>
      <c r="F415" s="12" t="str">
        <f aca="false">IF($D415="","",IFERROR(INDEX(품목마스터!$D$3:$D$202,MATCH($D415,품목마스터!$A$3:$A$202,0)),""))</f>
        <v/>
      </c>
      <c r="G415" s="9"/>
      <c r="H415" s="9"/>
      <c r="I415" s="9"/>
      <c r="J415" s="7"/>
      <c r="K415" s="13" t="str">
        <f aca="false">IF(OR($G415="",$I415=""),"",ROUND($G415*$I415,0))</f>
        <v/>
      </c>
      <c r="L415" s="13" t="str">
        <f aca="false">IF($D415="","",IF($G415="",0,$G415)+IF($H415="",0,$H415))</f>
        <v/>
      </c>
      <c r="M415" s="7"/>
    </row>
    <row r="416" customFormat="false" ht="15" hidden="false" customHeight="true" outlineLevel="0" collapsed="false">
      <c r="A416" s="11"/>
      <c r="B416" s="7"/>
      <c r="C416" s="12" t="str">
        <f aca="false">IF($B416="","",IFERROR(INDEX(거래처마스터!$B$3:$B$102,MATCH($B416,거래처마스터!$A$3:$A$102,0)),"미등록"))</f>
        <v/>
      </c>
      <c r="D416" s="7"/>
      <c r="E416" s="12" t="str">
        <f aca="false">IF($D416="","",IFERROR(INDEX(품목마스터!$B$3:$B$202,MATCH($D416,품목마스터!$A$3:$A$202,0)),"미등록품번"))</f>
        <v/>
      </c>
      <c r="F416" s="12" t="str">
        <f aca="false">IF($D416="","",IFERROR(INDEX(품목마스터!$D$3:$D$202,MATCH($D416,품목마스터!$A$3:$A$202,0)),""))</f>
        <v/>
      </c>
      <c r="G416" s="9"/>
      <c r="H416" s="9"/>
      <c r="I416" s="9"/>
      <c r="J416" s="7"/>
      <c r="K416" s="13" t="str">
        <f aca="false">IF(OR($G416="",$I416=""),"",ROUND($G416*$I416,0))</f>
        <v/>
      </c>
      <c r="L416" s="13" t="str">
        <f aca="false">IF($D416="","",IF($G416="",0,$G416)+IF($H416="",0,$H416))</f>
        <v/>
      </c>
      <c r="M416" s="7"/>
    </row>
    <row r="417" customFormat="false" ht="15" hidden="false" customHeight="true" outlineLevel="0" collapsed="false">
      <c r="A417" s="11"/>
      <c r="B417" s="7"/>
      <c r="C417" s="12" t="str">
        <f aca="false">IF($B417="","",IFERROR(INDEX(거래처마스터!$B$3:$B$102,MATCH($B417,거래처마스터!$A$3:$A$102,0)),"미등록"))</f>
        <v/>
      </c>
      <c r="D417" s="7"/>
      <c r="E417" s="12" t="str">
        <f aca="false">IF($D417="","",IFERROR(INDEX(품목마스터!$B$3:$B$202,MATCH($D417,품목마스터!$A$3:$A$202,0)),"미등록품번"))</f>
        <v/>
      </c>
      <c r="F417" s="12" t="str">
        <f aca="false">IF($D417="","",IFERROR(INDEX(품목마스터!$D$3:$D$202,MATCH($D417,품목마스터!$A$3:$A$202,0)),""))</f>
        <v/>
      </c>
      <c r="G417" s="9"/>
      <c r="H417" s="9"/>
      <c r="I417" s="9"/>
      <c r="J417" s="7"/>
      <c r="K417" s="13" t="str">
        <f aca="false">IF(OR($G417="",$I417=""),"",ROUND($G417*$I417,0))</f>
        <v/>
      </c>
      <c r="L417" s="13" t="str">
        <f aca="false">IF($D417="","",IF($G417="",0,$G417)+IF($H417="",0,$H417))</f>
        <v/>
      </c>
      <c r="M417" s="7"/>
    </row>
    <row r="418" customFormat="false" ht="15" hidden="false" customHeight="true" outlineLevel="0" collapsed="false">
      <c r="A418" s="11"/>
      <c r="B418" s="7"/>
      <c r="C418" s="12" t="str">
        <f aca="false">IF($B418="","",IFERROR(INDEX(거래처마스터!$B$3:$B$102,MATCH($B418,거래처마스터!$A$3:$A$102,0)),"미등록"))</f>
        <v/>
      </c>
      <c r="D418" s="7"/>
      <c r="E418" s="12" t="str">
        <f aca="false">IF($D418="","",IFERROR(INDEX(품목마스터!$B$3:$B$202,MATCH($D418,품목마스터!$A$3:$A$202,0)),"미등록품번"))</f>
        <v/>
      </c>
      <c r="F418" s="12" t="str">
        <f aca="false">IF($D418="","",IFERROR(INDEX(품목마스터!$D$3:$D$202,MATCH($D418,품목마스터!$A$3:$A$202,0)),""))</f>
        <v/>
      </c>
      <c r="G418" s="9"/>
      <c r="H418" s="9"/>
      <c r="I418" s="9"/>
      <c r="J418" s="7"/>
      <c r="K418" s="13" t="str">
        <f aca="false">IF(OR($G418="",$I418=""),"",ROUND($G418*$I418,0))</f>
        <v/>
      </c>
      <c r="L418" s="13" t="str">
        <f aca="false">IF($D418="","",IF($G418="",0,$G418)+IF($H418="",0,$H418))</f>
        <v/>
      </c>
      <c r="M418" s="7"/>
    </row>
    <row r="419" customFormat="false" ht="15" hidden="false" customHeight="true" outlineLevel="0" collapsed="false">
      <c r="A419" s="11"/>
      <c r="B419" s="7"/>
      <c r="C419" s="12" t="str">
        <f aca="false">IF($B419="","",IFERROR(INDEX(거래처마스터!$B$3:$B$102,MATCH($B419,거래처마스터!$A$3:$A$102,0)),"미등록"))</f>
        <v/>
      </c>
      <c r="D419" s="7"/>
      <c r="E419" s="12" t="str">
        <f aca="false">IF($D419="","",IFERROR(INDEX(품목마스터!$B$3:$B$202,MATCH($D419,품목마스터!$A$3:$A$202,0)),"미등록품번"))</f>
        <v/>
      </c>
      <c r="F419" s="12" t="str">
        <f aca="false">IF($D419="","",IFERROR(INDEX(품목마스터!$D$3:$D$202,MATCH($D419,품목마스터!$A$3:$A$202,0)),""))</f>
        <v/>
      </c>
      <c r="G419" s="9"/>
      <c r="H419" s="9"/>
      <c r="I419" s="9"/>
      <c r="J419" s="7"/>
      <c r="K419" s="13" t="str">
        <f aca="false">IF(OR($G419="",$I419=""),"",ROUND($G419*$I419,0))</f>
        <v/>
      </c>
      <c r="L419" s="13" t="str">
        <f aca="false">IF($D419="","",IF($G419="",0,$G419)+IF($H419="",0,$H419))</f>
        <v/>
      </c>
      <c r="M419" s="7"/>
    </row>
    <row r="420" customFormat="false" ht="15" hidden="false" customHeight="true" outlineLevel="0" collapsed="false">
      <c r="A420" s="11"/>
      <c r="B420" s="7"/>
      <c r="C420" s="12" t="str">
        <f aca="false">IF($B420="","",IFERROR(INDEX(거래처마스터!$B$3:$B$102,MATCH($B420,거래처마스터!$A$3:$A$102,0)),"미등록"))</f>
        <v/>
      </c>
      <c r="D420" s="7"/>
      <c r="E420" s="12" t="str">
        <f aca="false">IF($D420="","",IFERROR(INDEX(품목마스터!$B$3:$B$202,MATCH($D420,품목마스터!$A$3:$A$202,0)),"미등록품번"))</f>
        <v/>
      </c>
      <c r="F420" s="12" t="str">
        <f aca="false">IF($D420="","",IFERROR(INDEX(품목마스터!$D$3:$D$202,MATCH($D420,품목마스터!$A$3:$A$202,0)),""))</f>
        <v/>
      </c>
      <c r="G420" s="9"/>
      <c r="H420" s="9"/>
      <c r="I420" s="9"/>
      <c r="J420" s="7"/>
      <c r="K420" s="13" t="str">
        <f aca="false">IF(OR($G420="",$I420=""),"",ROUND($G420*$I420,0))</f>
        <v/>
      </c>
      <c r="L420" s="13" t="str">
        <f aca="false">IF($D420="","",IF($G420="",0,$G420)+IF($H420="",0,$H420))</f>
        <v/>
      </c>
      <c r="M420" s="7"/>
    </row>
    <row r="421" customFormat="false" ht="15" hidden="false" customHeight="true" outlineLevel="0" collapsed="false">
      <c r="A421" s="11"/>
      <c r="B421" s="7"/>
      <c r="C421" s="12" t="str">
        <f aca="false">IF($B421="","",IFERROR(INDEX(거래처마스터!$B$3:$B$102,MATCH($B421,거래처마스터!$A$3:$A$102,0)),"미등록"))</f>
        <v/>
      </c>
      <c r="D421" s="7"/>
      <c r="E421" s="12" t="str">
        <f aca="false">IF($D421="","",IFERROR(INDEX(품목마스터!$B$3:$B$202,MATCH($D421,품목마스터!$A$3:$A$202,0)),"미등록품번"))</f>
        <v/>
      </c>
      <c r="F421" s="12" t="str">
        <f aca="false">IF($D421="","",IFERROR(INDEX(품목마스터!$D$3:$D$202,MATCH($D421,품목마스터!$A$3:$A$202,0)),""))</f>
        <v/>
      </c>
      <c r="G421" s="9"/>
      <c r="H421" s="9"/>
      <c r="I421" s="9"/>
      <c r="J421" s="7"/>
      <c r="K421" s="13" t="str">
        <f aca="false">IF(OR($G421="",$I421=""),"",ROUND($G421*$I421,0))</f>
        <v/>
      </c>
      <c r="L421" s="13" t="str">
        <f aca="false">IF($D421="","",IF($G421="",0,$G421)+IF($H421="",0,$H421))</f>
        <v/>
      </c>
      <c r="M421" s="7"/>
    </row>
    <row r="422" customFormat="false" ht="15" hidden="false" customHeight="true" outlineLevel="0" collapsed="false">
      <c r="A422" s="11"/>
      <c r="B422" s="7"/>
      <c r="C422" s="12" t="str">
        <f aca="false">IF($B422="","",IFERROR(INDEX(거래처마스터!$B$3:$B$102,MATCH($B422,거래처마스터!$A$3:$A$102,0)),"미등록"))</f>
        <v/>
      </c>
      <c r="D422" s="7"/>
      <c r="E422" s="12" t="str">
        <f aca="false">IF($D422="","",IFERROR(INDEX(품목마스터!$B$3:$B$202,MATCH($D422,품목마스터!$A$3:$A$202,0)),"미등록품번"))</f>
        <v/>
      </c>
      <c r="F422" s="12" t="str">
        <f aca="false">IF($D422="","",IFERROR(INDEX(품목마스터!$D$3:$D$202,MATCH($D422,품목마스터!$A$3:$A$202,0)),""))</f>
        <v/>
      </c>
      <c r="G422" s="9"/>
      <c r="H422" s="9"/>
      <c r="I422" s="9"/>
      <c r="J422" s="7"/>
      <c r="K422" s="13" t="str">
        <f aca="false">IF(OR($G422="",$I422=""),"",ROUND($G422*$I422,0))</f>
        <v/>
      </c>
      <c r="L422" s="13" t="str">
        <f aca="false">IF($D422="","",IF($G422="",0,$G422)+IF($H422="",0,$H422))</f>
        <v/>
      </c>
      <c r="M422" s="7"/>
    </row>
    <row r="423" customFormat="false" ht="15" hidden="false" customHeight="true" outlineLevel="0" collapsed="false">
      <c r="A423" s="11"/>
      <c r="B423" s="7"/>
      <c r="C423" s="12" t="str">
        <f aca="false">IF($B423="","",IFERROR(INDEX(거래처마스터!$B$3:$B$102,MATCH($B423,거래처마스터!$A$3:$A$102,0)),"미등록"))</f>
        <v/>
      </c>
      <c r="D423" s="7"/>
      <c r="E423" s="12" t="str">
        <f aca="false">IF($D423="","",IFERROR(INDEX(품목마스터!$B$3:$B$202,MATCH($D423,품목마스터!$A$3:$A$202,0)),"미등록품번"))</f>
        <v/>
      </c>
      <c r="F423" s="12" t="str">
        <f aca="false">IF($D423="","",IFERROR(INDEX(품목마스터!$D$3:$D$202,MATCH($D423,품목마스터!$A$3:$A$202,0)),""))</f>
        <v/>
      </c>
      <c r="G423" s="9"/>
      <c r="H423" s="9"/>
      <c r="I423" s="9"/>
      <c r="J423" s="7"/>
      <c r="K423" s="13" t="str">
        <f aca="false">IF(OR($G423="",$I423=""),"",ROUND($G423*$I423,0))</f>
        <v/>
      </c>
      <c r="L423" s="13" t="str">
        <f aca="false">IF($D423="","",IF($G423="",0,$G423)+IF($H423="",0,$H423))</f>
        <v/>
      </c>
      <c r="M423" s="7"/>
    </row>
    <row r="424" customFormat="false" ht="15" hidden="false" customHeight="true" outlineLevel="0" collapsed="false">
      <c r="A424" s="11"/>
      <c r="B424" s="7"/>
      <c r="C424" s="12" t="str">
        <f aca="false">IF($B424="","",IFERROR(INDEX(거래처마스터!$B$3:$B$102,MATCH($B424,거래처마스터!$A$3:$A$102,0)),"미등록"))</f>
        <v/>
      </c>
      <c r="D424" s="7"/>
      <c r="E424" s="12" t="str">
        <f aca="false">IF($D424="","",IFERROR(INDEX(품목마스터!$B$3:$B$202,MATCH($D424,품목마스터!$A$3:$A$202,0)),"미등록품번"))</f>
        <v/>
      </c>
      <c r="F424" s="12" t="str">
        <f aca="false">IF($D424="","",IFERROR(INDEX(품목마스터!$D$3:$D$202,MATCH($D424,품목마스터!$A$3:$A$202,0)),""))</f>
        <v/>
      </c>
      <c r="G424" s="9"/>
      <c r="H424" s="9"/>
      <c r="I424" s="9"/>
      <c r="J424" s="7"/>
      <c r="K424" s="13" t="str">
        <f aca="false">IF(OR($G424="",$I424=""),"",ROUND($G424*$I424,0))</f>
        <v/>
      </c>
      <c r="L424" s="13" t="str">
        <f aca="false">IF($D424="","",IF($G424="",0,$G424)+IF($H424="",0,$H424))</f>
        <v/>
      </c>
      <c r="M424" s="7"/>
    </row>
    <row r="425" customFormat="false" ht="15" hidden="false" customHeight="true" outlineLevel="0" collapsed="false">
      <c r="A425" s="11"/>
      <c r="B425" s="7"/>
      <c r="C425" s="12" t="str">
        <f aca="false">IF($B425="","",IFERROR(INDEX(거래처마스터!$B$3:$B$102,MATCH($B425,거래처마스터!$A$3:$A$102,0)),"미등록"))</f>
        <v/>
      </c>
      <c r="D425" s="7"/>
      <c r="E425" s="12" t="str">
        <f aca="false">IF($D425="","",IFERROR(INDEX(품목마스터!$B$3:$B$202,MATCH($D425,품목마스터!$A$3:$A$202,0)),"미등록품번"))</f>
        <v/>
      </c>
      <c r="F425" s="12" t="str">
        <f aca="false">IF($D425="","",IFERROR(INDEX(품목마스터!$D$3:$D$202,MATCH($D425,품목마스터!$A$3:$A$202,0)),""))</f>
        <v/>
      </c>
      <c r="G425" s="9"/>
      <c r="H425" s="9"/>
      <c r="I425" s="9"/>
      <c r="J425" s="7"/>
      <c r="K425" s="13" t="str">
        <f aca="false">IF(OR($G425="",$I425=""),"",ROUND($G425*$I425,0))</f>
        <v/>
      </c>
      <c r="L425" s="13" t="str">
        <f aca="false">IF($D425="","",IF($G425="",0,$G425)+IF($H425="",0,$H425))</f>
        <v/>
      </c>
      <c r="M425" s="7"/>
    </row>
    <row r="426" customFormat="false" ht="15" hidden="false" customHeight="true" outlineLevel="0" collapsed="false">
      <c r="A426" s="11"/>
      <c r="B426" s="7"/>
      <c r="C426" s="12" t="str">
        <f aca="false">IF($B426="","",IFERROR(INDEX(거래처마스터!$B$3:$B$102,MATCH($B426,거래처마스터!$A$3:$A$102,0)),"미등록"))</f>
        <v/>
      </c>
      <c r="D426" s="7"/>
      <c r="E426" s="12" t="str">
        <f aca="false">IF($D426="","",IFERROR(INDEX(품목마스터!$B$3:$B$202,MATCH($D426,품목마스터!$A$3:$A$202,0)),"미등록품번"))</f>
        <v/>
      </c>
      <c r="F426" s="12" t="str">
        <f aca="false">IF($D426="","",IFERROR(INDEX(품목마스터!$D$3:$D$202,MATCH($D426,품목마스터!$A$3:$A$202,0)),""))</f>
        <v/>
      </c>
      <c r="G426" s="9"/>
      <c r="H426" s="9"/>
      <c r="I426" s="9"/>
      <c r="J426" s="7"/>
      <c r="K426" s="13" t="str">
        <f aca="false">IF(OR($G426="",$I426=""),"",ROUND($G426*$I426,0))</f>
        <v/>
      </c>
      <c r="L426" s="13" t="str">
        <f aca="false">IF($D426="","",IF($G426="",0,$G426)+IF($H426="",0,$H426))</f>
        <v/>
      </c>
      <c r="M426" s="7"/>
    </row>
    <row r="427" customFormat="false" ht="15" hidden="false" customHeight="true" outlineLevel="0" collapsed="false">
      <c r="A427" s="11"/>
      <c r="B427" s="7"/>
      <c r="C427" s="12" t="str">
        <f aca="false">IF($B427="","",IFERROR(INDEX(거래처마스터!$B$3:$B$102,MATCH($B427,거래처마스터!$A$3:$A$102,0)),"미등록"))</f>
        <v/>
      </c>
      <c r="D427" s="7"/>
      <c r="E427" s="12" t="str">
        <f aca="false">IF($D427="","",IFERROR(INDEX(품목마스터!$B$3:$B$202,MATCH($D427,품목마스터!$A$3:$A$202,0)),"미등록품번"))</f>
        <v/>
      </c>
      <c r="F427" s="12" t="str">
        <f aca="false">IF($D427="","",IFERROR(INDEX(품목마스터!$D$3:$D$202,MATCH($D427,품목마스터!$A$3:$A$202,0)),""))</f>
        <v/>
      </c>
      <c r="G427" s="9"/>
      <c r="H427" s="9"/>
      <c r="I427" s="9"/>
      <c r="J427" s="7"/>
      <c r="K427" s="13" t="str">
        <f aca="false">IF(OR($G427="",$I427=""),"",ROUND($G427*$I427,0))</f>
        <v/>
      </c>
      <c r="L427" s="13" t="str">
        <f aca="false">IF($D427="","",IF($G427="",0,$G427)+IF($H427="",0,$H427))</f>
        <v/>
      </c>
      <c r="M427" s="7"/>
    </row>
    <row r="428" customFormat="false" ht="15" hidden="false" customHeight="true" outlineLevel="0" collapsed="false">
      <c r="A428" s="11"/>
      <c r="B428" s="7"/>
      <c r="C428" s="12" t="str">
        <f aca="false">IF($B428="","",IFERROR(INDEX(거래처마스터!$B$3:$B$102,MATCH($B428,거래처마스터!$A$3:$A$102,0)),"미등록"))</f>
        <v/>
      </c>
      <c r="D428" s="7"/>
      <c r="E428" s="12" t="str">
        <f aca="false">IF($D428="","",IFERROR(INDEX(품목마스터!$B$3:$B$202,MATCH($D428,품목마스터!$A$3:$A$202,0)),"미등록품번"))</f>
        <v/>
      </c>
      <c r="F428" s="12" t="str">
        <f aca="false">IF($D428="","",IFERROR(INDEX(품목마스터!$D$3:$D$202,MATCH($D428,품목마스터!$A$3:$A$202,0)),""))</f>
        <v/>
      </c>
      <c r="G428" s="9"/>
      <c r="H428" s="9"/>
      <c r="I428" s="9"/>
      <c r="J428" s="7"/>
      <c r="K428" s="13" t="str">
        <f aca="false">IF(OR($G428="",$I428=""),"",ROUND($G428*$I428,0))</f>
        <v/>
      </c>
      <c r="L428" s="13" t="str">
        <f aca="false">IF($D428="","",IF($G428="",0,$G428)+IF($H428="",0,$H428))</f>
        <v/>
      </c>
      <c r="M428" s="7"/>
    </row>
    <row r="429" customFormat="false" ht="15" hidden="false" customHeight="true" outlineLevel="0" collapsed="false">
      <c r="A429" s="11"/>
      <c r="B429" s="7"/>
      <c r="C429" s="12" t="str">
        <f aca="false">IF($B429="","",IFERROR(INDEX(거래처마스터!$B$3:$B$102,MATCH($B429,거래처마스터!$A$3:$A$102,0)),"미등록"))</f>
        <v/>
      </c>
      <c r="D429" s="7"/>
      <c r="E429" s="12" t="str">
        <f aca="false">IF($D429="","",IFERROR(INDEX(품목마스터!$B$3:$B$202,MATCH($D429,품목마스터!$A$3:$A$202,0)),"미등록품번"))</f>
        <v/>
      </c>
      <c r="F429" s="12" t="str">
        <f aca="false">IF($D429="","",IFERROR(INDEX(품목마스터!$D$3:$D$202,MATCH($D429,품목마스터!$A$3:$A$202,0)),""))</f>
        <v/>
      </c>
      <c r="G429" s="9"/>
      <c r="H429" s="9"/>
      <c r="I429" s="9"/>
      <c r="J429" s="7"/>
      <c r="K429" s="13" t="str">
        <f aca="false">IF(OR($G429="",$I429=""),"",ROUND($G429*$I429,0))</f>
        <v/>
      </c>
      <c r="L429" s="13" t="str">
        <f aca="false">IF($D429="","",IF($G429="",0,$G429)+IF($H429="",0,$H429))</f>
        <v/>
      </c>
      <c r="M429" s="7"/>
    </row>
    <row r="430" customFormat="false" ht="15" hidden="false" customHeight="true" outlineLevel="0" collapsed="false">
      <c r="A430" s="11"/>
      <c r="B430" s="7"/>
      <c r="C430" s="12" t="str">
        <f aca="false">IF($B430="","",IFERROR(INDEX(거래처마스터!$B$3:$B$102,MATCH($B430,거래처마스터!$A$3:$A$102,0)),"미등록"))</f>
        <v/>
      </c>
      <c r="D430" s="7"/>
      <c r="E430" s="12" t="str">
        <f aca="false">IF($D430="","",IFERROR(INDEX(품목마스터!$B$3:$B$202,MATCH($D430,품목마스터!$A$3:$A$202,0)),"미등록품번"))</f>
        <v/>
      </c>
      <c r="F430" s="12" t="str">
        <f aca="false">IF($D430="","",IFERROR(INDEX(품목마스터!$D$3:$D$202,MATCH($D430,품목마스터!$A$3:$A$202,0)),""))</f>
        <v/>
      </c>
      <c r="G430" s="9"/>
      <c r="H430" s="9"/>
      <c r="I430" s="9"/>
      <c r="J430" s="7"/>
      <c r="K430" s="13" t="str">
        <f aca="false">IF(OR($G430="",$I430=""),"",ROUND($G430*$I430,0))</f>
        <v/>
      </c>
      <c r="L430" s="13" t="str">
        <f aca="false">IF($D430="","",IF($G430="",0,$G430)+IF($H430="",0,$H430))</f>
        <v/>
      </c>
      <c r="M430" s="7"/>
    </row>
    <row r="431" customFormat="false" ht="15" hidden="false" customHeight="true" outlineLevel="0" collapsed="false">
      <c r="A431" s="11"/>
      <c r="B431" s="7"/>
      <c r="C431" s="12" t="str">
        <f aca="false">IF($B431="","",IFERROR(INDEX(거래처마스터!$B$3:$B$102,MATCH($B431,거래처마스터!$A$3:$A$102,0)),"미등록"))</f>
        <v/>
      </c>
      <c r="D431" s="7"/>
      <c r="E431" s="12" t="str">
        <f aca="false">IF($D431="","",IFERROR(INDEX(품목마스터!$B$3:$B$202,MATCH($D431,품목마스터!$A$3:$A$202,0)),"미등록품번"))</f>
        <v/>
      </c>
      <c r="F431" s="12" t="str">
        <f aca="false">IF($D431="","",IFERROR(INDEX(품목마스터!$D$3:$D$202,MATCH($D431,품목마스터!$A$3:$A$202,0)),""))</f>
        <v/>
      </c>
      <c r="G431" s="9"/>
      <c r="H431" s="9"/>
      <c r="I431" s="9"/>
      <c r="J431" s="7"/>
      <c r="K431" s="13" t="str">
        <f aca="false">IF(OR($G431="",$I431=""),"",ROUND($G431*$I431,0))</f>
        <v/>
      </c>
      <c r="L431" s="13" t="str">
        <f aca="false">IF($D431="","",IF($G431="",0,$G431)+IF($H431="",0,$H431))</f>
        <v/>
      </c>
      <c r="M431" s="7"/>
    </row>
    <row r="432" customFormat="false" ht="15" hidden="false" customHeight="true" outlineLevel="0" collapsed="false">
      <c r="A432" s="11"/>
      <c r="B432" s="7"/>
      <c r="C432" s="12" t="str">
        <f aca="false">IF($B432="","",IFERROR(INDEX(거래처마스터!$B$3:$B$102,MATCH($B432,거래처마스터!$A$3:$A$102,0)),"미등록"))</f>
        <v/>
      </c>
      <c r="D432" s="7"/>
      <c r="E432" s="12" t="str">
        <f aca="false">IF($D432="","",IFERROR(INDEX(품목마스터!$B$3:$B$202,MATCH($D432,품목마스터!$A$3:$A$202,0)),"미등록품번"))</f>
        <v/>
      </c>
      <c r="F432" s="12" t="str">
        <f aca="false">IF($D432="","",IFERROR(INDEX(품목마스터!$D$3:$D$202,MATCH($D432,품목마스터!$A$3:$A$202,0)),""))</f>
        <v/>
      </c>
      <c r="G432" s="9"/>
      <c r="H432" s="9"/>
      <c r="I432" s="9"/>
      <c r="J432" s="7"/>
      <c r="K432" s="13" t="str">
        <f aca="false">IF(OR($G432="",$I432=""),"",ROUND($G432*$I432,0))</f>
        <v/>
      </c>
      <c r="L432" s="13" t="str">
        <f aca="false">IF($D432="","",IF($G432="",0,$G432)+IF($H432="",0,$H432))</f>
        <v/>
      </c>
      <c r="M432" s="7"/>
    </row>
    <row r="433" customFormat="false" ht="15" hidden="false" customHeight="true" outlineLevel="0" collapsed="false">
      <c r="A433" s="11"/>
      <c r="B433" s="7"/>
      <c r="C433" s="12" t="str">
        <f aca="false">IF($B433="","",IFERROR(INDEX(거래처마스터!$B$3:$B$102,MATCH($B433,거래처마스터!$A$3:$A$102,0)),"미등록"))</f>
        <v/>
      </c>
      <c r="D433" s="7"/>
      <c r="E433" s="12" t="str">
        <f aca="false">IF($D433="","",IFERROR(INDEX(품목마스터!$B$3:$B$202,MATCH($D433,품목마스터!$A$3:$A$202,0)),"미등록품번"))</f>
        <v/>
      </c>
      <c r="F433" s="12" t="str">
        <f aca="false">IF($D433="","",IFERROR(INDEX(품목마스터!$D$3:$D$202,MATCH($D433,품목마스터!$A$3:$A$202,0)),""))</f>
        <v/>
      </c>
      <c r="G433" s="9"/>
      <c r="H433" s="9"/>
      <c r="I433" s="9"/>
      <c r="J433" s="7"/>
      <c r="K433" s="13" t="str">
        <f aca="false">IF(OR($G433="",$I433=""),"",ROUND($G433*$I433,0))</f>
        <v/>
      </c>
      <c r="L433" s="13" t="str">
        <f aca="false">IF($D433="","",IF($G433="",0,$G433)+IF($H433="",0,$H433))</f>
        <v/>
      </c>
      <c r="M433" s="7"/>
    </row>
    <row r="434" customFormat="false" ht="15" hidden="false" customHeight="true" outlineLevel="0" collapsed="false">
      <c r="A434" s="11"/>
      <c r="B434" s="7"/>
      <c r="C434" s="12" t="str">
        <f aca="false">IF($B434="","",IFERROR(INDEX(거래처마스터!$B$3:$B$102,MATCH($B434,거래처마스터!$A$3:$A$102,0)),"미등록"))</f>
        <v/>
      </c>
      <c r="D434" s="7"/>
      <c r="E434" s="12" t="str">
        <f aca="false">IF($D434="","",IFERROR(INDEX(품목마스터!$B$3:$B$202,MATCH($D434,품목마스터!$A$3:$A$202,0)),"미등록품번"))</f>
        <v/>
      </c>
      <c r="F434" s="12" t="str">
        <f aca="false">IF($D434="","",IFERROR(INDEX(품목마스터!$D$3:$D$202,MATCH($D434,품목마스터!$A$3:$A$202,0)),""))</f>
        <v/>
      </c>
      <c r="G434" s="9"/>
      <c r="H434" s="9"/>
      <c r="I434" s="9"/>
      <c r="J434" s="7"/>
      <c r="K434" s="13" t="str">
        <f aca="false">IF(OR($G434="",$I434=""),"",ROUND($G434*$I434,0))</f>
        <v/>
      </c>
      <c r="L434" s="13" t="str">
        <f aca="false">IF($D434="","",IF($G434="",0,$G434)+IF($H434="",0,$H434))</f>
        <v/>
      </c>
      <c r="M434" s="7"/>
    </row>
    <row r="435" customFormat="false" ht="15" hidden="false" customHeight="true" outlineLevel="0" collapsed="false">
      <c r="A435" s="11"/>
      <c r="B435" s="7"/>
      <c r="C435" s="12" t="str">
        <f aca="false">IF($B435="","",IFERROR(INDEX(거래처마스터!$B$3:$B$102,MATCH($B435,거래처마스터!$A$3:$A$102,0)),"미등록"))</f>
        <v/>
      </c>
      <c r="D435" s="7"/>
      <c r="E435" s="12" t="str">
        <f aca="false">IF($D435="","",IFERROR(INDEX(품목마스터!$B$3:$B$202,MATCH($D435,품목마스터!$A$3:$A$202,0)),"미등록품번"))</f>
        <v/>
      </c>
      <c r="F435" s="12" t="str">
        <f aca="false">IF($D435="","",IFERROR(INDEX(품목마스터!$D$3:$D$202,MATCH($D435,품목마스터!$A$3:$A$202,0)),""))</f>
        <v/>
      </c>
      <c r="G435" s="9"/>
      <c r="H435" s="9"/>
      <c r="I435" s="9"/>
      <c r="J435" s="7"/>
      <c r="K435" s="13" t="str">
        <f aca="false">IF(OR($G435="",$I435=""),"",ROUND($G435*$I435,0))</f>
        <v/>
      </c>
      <c r="L435" s="13" t="str">
        <f aca="false">IF($D435="","",IF($G435="",0,$G435)+IF($H435="",0,$H435))</f>
        <v/>
      </c>
      <c r="M435" s="7"/>
    </row>
    <row r="436" customFormat="false" ht="15" hidden="false" customHeight="true" outlineLevel="0" collapsed="false">
      <c r="A436" s="11"/>
      <c r="B436" s="7"/>
      <c r="C436" s="12" t="str">
        <f aca="false">IF($B436="","",IFERROR(INDEX(거래처마스터!$B$3:$B$102,MATCH($B436,거래처마스터!$A$3:$A$102,0)),"미등록"))</f>
        <v/>
      </c>
      <c r="D436" s="7"/>
      <c r="E436" s="12" t="str">
        <f aca="false">IF($D436="","",IFERROR(INDEX(품목마스터!$B$3:$B$202,MATCH($D436,품목마스터!$A$3:$A$202,0)),"미등록품번"))</f>
        <v/>
      </c>
      <c r="F436" s="12" t="str">
        <f aca="false">IF($D436="","",IFERROR(INDEX(품목마스터!$D$3:$D$202,MATCH($D436,품목마스터!$A$3:$A$202,0)),""))</f>
        <v/>
      </c>
      <c r="G436" s="9"/>
      <c r="H436" s="9"/>
      <c r="I436" s="9"/>
      <c r="J436" s="7"/>
      <c r="K436" s="13" t="str">
        <f aca="false">IF(OR($G436="",$I436=""),"",ROUND($G436*$I436,0))</f>
        <v/>
      </c>
      <c r="L436" s="13" t="str">
        <f aca="false">IF($D436="","",IF($G436="",0,$G436)+IF($H436="",0,$H436))</f>
        <v/>
      </c>
      <c r="M436" s="7"/>
    </row>
    <row r="437" customFormat="false" ht="15" hidden="false" customHeight="true" outlineLevel="0" collapsed="false">
      <c r="A437" s="11"/>
      <c r="B437" s="7"/>
      <c r="C437" s="12" t="str">
        <f aca="false">IF($B437="","",IFERROR(INDEX(거래처마스터!$B$3:$B$102,MATCH($B437,거래처마스터!$A$3:$A$102,0)),"미등록"))</f>
        <v/>
      </c>
      <c r="D437" s="7"/>
      <c r="E437" s="12" t="str">
        <f aca="false">IF($D437="","",IFERROR(INDEX(품목마스터!$B$3:$B$202,MATCH($D437,품목마스터!$A$3:$A$202,0)),"미등록품번"))</f>
        <v/>
      </c>
      <c r="F437" s="12" t="str">
        <f aca="false">IF($D437="","",IFERROR(INDEX(품목마스터!$D$3:$D$202,MATCH($D437,품목마스터!$A$3:$A$202,0)),""))</f>
        <v/>
      </c>
      <c r="G437" s="9"/>
      <c r="H437" s="9"/>
      <c r="I437" s="9"/>
      <c r="J437" s="7"/>
      <c r="K437" s="13" t="str">
        <f aca="false">IF(OR($G437="",$I437=""),"",ROUND($G437*$I437,0))</f>
        <v/>
      </c>
      <c r="L437" s="13" t="str">
        <f aca="false">IF($D437="","",IF($G437="",0,$G437)+IF($H437="",0,$H437))</f>
        <v/>
      </c>
      <c r="M437" s="7"/>
    </row>
    <row r="438" customFormat="false" ht="15" hidden="false" customHeight="true" outlineLevel="0" collapsed="false">
      <c r="A438" s="11"/>
      <c r="B438" s="7"/>
      <c r="C438" s="12" t="str">
        <f aca="false">IF($B438="","",IFERROR(INDEX(거래처마스터!$B$3:$B$102,MATCH($B438,거래처마스터!$A$3:$A$102,0)),"미등록"))</f>
        <v/>
      </c>
      <c r="D438" s="7"/>
      <c r="E438" s="12" t="str">
        <f aca="false">IF($D438="","",IFERROR(INDEX(품목마스터!$B$3:$B$202,MATCH($D438,품목마스터!$A$3:$A$202,0)),"미등록품번"))</f>
        <v/>
      </c>
      <c r="F438" s="12" t="str">
        <f aca="false">IF($D438="","",IFERROR(INDEX(품목마스터!$D$3:$D$202,MATCH($D438,품목마스터!$A$3:$A$202,0)),""))</f>
        <v/>
      </c>
      <c r="G438" s="9"/>
      <c r="H438" s="9"/>
      <c r="I438" s="9"/>
      <c r="J438" s="7"/>
      <c r="K438" s="13" t="str">
        <f aca="false">IF(OR($G438="",$I438=""),"",ROUND($G438*$I438,0))</f>
        <v/>
      </c>
      <c r="L438" s="13" t="str">
        <f aca="false">IF($D438="","",IF($G438="",0,$G438)+IF($H438="",0,$H438))</f>
        <v/>
      </c>
      <c r="M438" s="7"/>
    </row>
    <row r="439" customFormat="false" ht="15" hidden="false" customHeight="true" outlineLevel="0" collapsed="false">
      <c r="A439" s="11"/>
      <c r="B439" s="7"/>
      <c r="C439" s="12" t="str">
        <f aca="false">IF($B439="","",IFERROR(INDEX(거래처마스터!$B$3:$B$102,MATCH($B439,거래처마스터!$A$3:$A$102,0)),"미등록"))</f>
        <v/>
      </c>
      <c r="D439" s="7"/>
      <c r="E439" s="12" t="str">
        <f aca="false">IF($D439="","",IFERROR(INDEX(품목마스터!$B$3:$B$202,MATCH($D439,품목마스터!$A$3:$A$202,0)),"미등록품번"))</f>
        <v/>
      </c>
      <c r="F439" s="12" t="str">
        <f aca="false">IF($D439="","",IFERROR(INDEX(품목마스터!$D$3:$D$202,MATCH($D439,품목마스터!$A$3:$A$202,0)),""))</f>
        <v/>
      </c>
      <c r="G439" s="9"/>
      <c r="H439" s="9"/>
      <c r="I439" s="9"/>
      <c r="J439" s="7"/>
      <c r="K439" s="13" t="str">
        <f aca="false">IF(OR($G439="",$I439=""),"",ROUND($G439*$I439,0))</f>
        <v/>
      </c>
      <c r="L439" s="13" t="str">
        <f aca="false">IF($D439="","",IF($G439="",0,$G439)+IF($H439="",0,$H439))</f>
        <v/>
      </c>
      <c r="M439" s="7"/>
    </row>
    <row r="440" customFormat="false" ht="15" hidden="false" customHeight="true" outlineLevel="0" collapsed="false">
      <c r="A440" s="11"/>
      <c r="B440" s="7"/>
      <c r="C440" s="12" t="str">
        <f aca="false">IF($B440="","",IFERROR(INDEX(거래처마스터!$B$3:$B$102,MATCH($B440,거래처마스터!$A$3:$A$102,0)),"미등록"))</f>
        <v/>
      </c>
      <c r="D440" s="7"/>
      <c r="E440" s="12" t="str">
        <f aca="false">IF($D440="","",IFERROR(INDEX(품목마스터!$B$3:$B$202,MATCH($D440,품목마스터!$A$3:$A$202,0)),"미등록품번"))</f>
        <v/>
      </c>
      <c r="F440" s="12" t="str">
        <f aca="false">IF($D440="","",IFERROR(INDEX(품목마스터!$D$3:$D$202,MATCH($D440,품목마스터!$A$3:$A$202,0)),""))</f>
        <v/>
      </c>
      <c r="G440" s="9"/>
      <c r="H440" s="9"/>
      <c r="I440" s="9"/>
      <c r="J440" s="7"/>
      <c r="K440" s="13" t="str">
        <f aca="false">IF(OR($G440="",$I440=""),"",ROUND($G440*$I440,0))</f>
        <v/>
      </c>
      <c r="L440" s="13" t="str">
        <f aca="false">IF($D440="","",IF($G440="",0,$G440)+IF($H440="",0,$H440))</f>
        <v/>
      </c>
      <c r="M440" s="7"/>
    </row>
    <row r="441" customFormat="false" ht="15" hidden="false" customHeight="true" outlineLevel="0" collapsed="false">
      <c r="A441" s="11"/>
      <c r="B441" s="7"/>
      <c r="C441" s="12" t="str">
        <f aca="false">IF($B441="","",IFERROR(INDEX(거래처마스터!$B$3:$B$102,MATCH($B441,거래처마스터!$A$3:$A$102,0)),"미등록"))</f>
        <v/>
      </c>
      <c r="D441" s="7"/>
      <c r="E441" s="12" t="str">
        <f aca="false">IF($D441="","",IFERROR(INDEX(품목마스터!$B$3:$B$202,MATCH($D441,품목마스터!$A$3:$A$202,0)),"미등록품번"))</f>
        <v/>
      </c>
      <c r="F441" s="12" t="str">
        <f aca="false">IF($D441="","",IFERROR(INDEX(품목마스터!$D$3:$D$202,MATCH($D441,품목마스터!$A$3:$A$202,0)),""))</f>
        <v/>
      </c>
      <c r="G441" s="9"/>
      <c r="H441" s="9"/>
      <c r="I441" s="9"/>
      <c r="J441" s="7"/>
      <c r="K441" s="13" t="str">
        <f aca="false">IF(OR($G441="",$I441=""),"",ROUND($G441*$I441,0))</f>
        <v/>
      </c>
      <c r="L441" s="13" t="str">
        <f aca="false">IF($D441="","",IF($G441="",0,$G441)+IF($H441="",0,$H441))</f>
        <v/>
      </c>
      <c r="M441" s="7"/>
    </row>
    <row r="442" customFormat="false" ht="15" hidden="false" customHeight="true" outlineLevel="0" collapsed="false">
      <c r="A442" s="11"/>
      <c r="B442" s="7"/>
      <c r="C442" s="12" t="str">
        <f aca="false">IF($B442="","",IFERROR(INDEX(거래처마스터!$B$3:$B$102,MATCH($B442,거래처마스터!$A$3:$A$102,0)),"미등록"))</f>
        <v/>
      </c>
      <c r="D442" s="7"/>
      <c r="E442" s="12" t="str">
        <f aca="false">IF($D442="","",IFERROR(INDEX(품목마스터!$B$3:$B$202,MATCH($D442,품목마스터!$A$3:$A$202,0)),"미등록품번"))</f>
        <v/>
      </c>
      <c r="F442" s="12" t="str">
        <f aca="false">IF($D442="","",IFERROR(INDEX(품목마스터!$D$3:$D$202,MATCH($D442,품목마스터!$A$3:$A$202,0)),""))</f>
        <v/>
      </c>
      <c r="G442" s="9"/>
      <c r="H442" s="9"/>
      <c r="I442" s="9"/>
      <c r="J442" s="7"/>
      <c r="K442" s="13" t="str">
        <f aca="false">IF(OR($G442="",$I442=""),"",ROUND($G442*$I442,0))</f>
        <v/>
      </c>
      <c r="L442" s="13" t="str">
        <f aca="false">IF($D442="","",IF($G442="",0,$G442)+IF($H442="",0,$H442))</f>
        <v/>
      </c>
      <c r="M442" s="7"/>
    </row>
    <row r="443" customFormat="false" ht="15" hidden="false" customHeight="true" outlineLevel="0" collapsed="false">
      <c r="A443" s="11"/>
      <c r="B443" s="7"/>
      <c r="C443" s="12" t="str">
        <f aca="false">IF($B443="","",IFERROR(INDEX(거래처마스터!$B$3:$B$102,MATCH($B443,거래처마스터!$A$3:$A$102,0)),"미등록"))</f>
        <v/>
      </c>
      <c r="D443" s="7"/>
      <c r="E443" s="12" t="str">
        <f aca="false">IF($D443="","",IFERROR(INDEX(품목마스터!$B$3:$B$202,MATCH($D443,품목마스터!$A$3:$A$202,0)),"미등록품번"))</f>
        <v/>
      </c>
      <c r="F443" s="12" t="str">
        <f aca="false">IF($D443="","",IFERROR(INDEX(품목마스터!$D$3:$D$202,MATCH($D443,품목마스터!$A$3:$A$202,0)),""))</f>
        <v/>
      </c>
      <c r="G443" s="9"/>
      <c r="H443" s="9"/>
      <c r="I443" s="9"/>
      <c r="J443" s="7"/>
      <c r="K443" s="13" t="str">
        <f aca="false">IF(OR($G443="",$I443=""),"",ROUND($G443*$I443,0))</f>
        <v/>
      </c>
      <c r="L443" s="13" t="str">
        <f aca="false">IF($D443="","",IF($G443="",0,$G443)+IF($H443="",0,$H443))</f>
        <v/>
      </c>
      <c r="M443" s="7"/>
    </row>
    <row r="444" customFormat="false" ht="15" hidden="false" customHeight="true" outlineLevel="0" collapsed="false">
      <c r="A444" s="11"/>
      <c r="B444" s="7"/>
      <c r="C444" s="12" t="str">
        <f aca="false">IF($B444="","",IFERROR(INDEX(거래처마스터!$B$3:$B$102,MATCH($B444,거래처마스터!$A$3:$A$102,0)),"미등록"))</f>
        <v/>
      </c>
      <c r="D444" s="7"/>
      <c r="E444" s="12" t="str">
        <f aca="false">IF($D444="","",IFERROR(INDEX(품목마스터!$B$3:$B$202,MATCH($D444,품목마스터!$A$3:$A$202,0)),"미등록품번"))</f>
        <v/>
      </c>
      <c r="F444" s="12" t="str">
        <f aca="false">IF($D444="","",IFERROR(INDEX(품목마스터!$D$3:$D$202,MATCH($D444,품목마스터!$A$3:$A$202,0)),""))</f>
        <v/>
      </c>
      <c r="G444" s="9"/>
      <c r="H444" s="9"/>
      <c r="I444" s="9"/>
      <c r="J444" s="7"/>
      <c r="K444" s="13" t="str">
        <f aca="false">IF(OR($G444="",$I444=""),"",ROUND($G444*$I444,0))</f>
        <v/>
      </c>
      <c r="L444" s="13" t="str">
        <f aca="false">IF($D444="","",IF($G444="",0,$G444)+IF($H444="",0,$H444))</f>
        <v/>
      </c>
      <c r="M444" s="7"/>
    </row>
    <row r="445" customFormat="false" ht="15" hidden="false" customHeight="true" outlineLevel="0" collapsed="false">
      <c r="A445" s="11"/>
      <c r="B445" s="7"/>
      <c r="C445" s="12" t="str">
        <f aca="false">IF($B445="","",IFERROR(INDEX(거래처마스터!$B$3:$B$102,MATCH($B445,거래처마스터!$A$3:$A$102,0)),"미등록"))</f>
        <v/>
      </c>
      <c r="D445" s="7"/>
      <c r="E445" s="12" t="str">
        <f aca="false">IF($D445="","",IFERROR(INDEX(품목마스터!$B$3:$B$202,MATCH($D445,품목마스터!$A$3:$A$202,0)),"미등록품번"))</f>
        <v/>
      </c>
      <c r="F445" s="12" t="str">
        <f aca="false">IF($D445="","",IFERROR(INDEX(품목마스터!$D$3:$D$202,MATCH($D445,품목마스터!$A$3:$A$202,0)),""))</f>
        <v/>
      </c>
      <c r="G445" s="9"/>
      <c r="H445" s="9"/>
      <c r="I445" s="9"/>
      <c r="J445" s="7"/>
      <c r="K445" s="13" t="str">
        <f aca="false">IF(OR($G445="",$I445=""),"",ROUND($G445*$I445,0))</f>
        <v/>
      </c>
      <c r="L445" s="13" t="str">
        <f aca="false">IF($D445="","",IF($G445="",0,$G445)+IF($H445="",0,$H445))</f>
        <v/>
      </c>
      <c r="M445" s="7"/>
    </row>
    <row r="446" customFormat="false" ht="15" hidden="false" customHeight="true" outlineLevel="0" collapsed="false">
      <c r="A446" s="11"/>
      <c r="B446" s="7"/>
      <c r="C446" s="12" t="str">
        <f aca="false">IF($B446="","",IFERROR(INDEX(거래처마스터!$B$3:$B$102,MATCH($B446,거래처마스터!$A$3:$A$102,0)),"미등록"))</f>
        <v/>
      </c>
      <c r="D446" s="7"/>
      <c r="E446" s="12" t="str">
        <f aca="false">IF($D446="","",IFERROR(INDEX(품목마스터!$B$3:$B$202,MATCH($D446,품목마스터!$A$3:$A$202,0)),"미등록품번"))</f>
        <v/>
      </c>
      <c r="F446" s="12" t="str">
        <f aca="false">IF($D446="","",IFERROR(INDEX(품목마스터!$D$3:$D$202,MATCH($D446,품목마스터!$A$3:$A$202,0)),""))</f>
        <v/>
      </c>
      <c r="G446" s="9"/>
      <c r="H446" s="9"/>
      <c r="I446" s="9"/>
      <c r="J446" s="7"/>
      <c r="K446" s="13" t="str">
        <f aca="false">IF(OR($G446="",$I446=""),"",ROUND($G446*$I446,0))</f>
        <v/>
      </c>
      <c r="L446" s="13" t="str">
        <f aca="false">IF($D446="","",IF($G446="",0,$G446)+IF($H446="",0,$H446))</f>
        <v/>
      </c>
      <c r="M446" s="7"/>
    </row>
    <row r="447" customFormat="false" ht="15" hidden="false" customHeight="true" outlineLevel="0" collapsed="false">
      <c r="A447" s="11"/>
      <c r="B447" s="7"/>
      <c r="C447" s="12" t="str">
        <f aca="false">IF($B447="","",IFERROR(INDEX(거래처마스터!$B$3:$B$102,MATCH($B447,거래처마스터!$A$3:$A$102,0)),"미등록"))</f>
        <v/>
      </c>
      <c r="D447" s="7"/>
      <c r="E447" s="12" t="str">
        <f aca="false">IF($D447="","",IFERROR(INDEX(품목마스터!$B$3:$B$202,MATCH($D447,품목마스터!$A$3:$A$202,0)),"미등록품번"))</f>
        <v/>
      </c>
      <c r="F447" s="12" t="str">
        <f aca="false">IF($D447="","",IFERROR(INDEX(품목마스터!$D$3:$D$202,MATCH($D447,품목마스터!$A$3:$A$202,0)),""))</f>
        <v/>
      </c>
      <c r="G447" s="9"/>
      <c r="H447" s="9"/>
      <c r="I447" s="9"/>
      <c r="J447" s="7"/>
      <c r="K447" s="13" t="str">
        <f aca="false">IF(OR($G447="",$I447=""),"",ROUND($G447*$I447,0))</f>
        <v/>
      </c>
      <c r="L447" s="13" t="str">
        <f aca="false">IF($D447="","",IF($G447="",0,$G447)+IF($H447="",0,$H447))</f>
        <v/>
      </c>
      <c r="M447" s="7"/>
    </row>
    <row r="448" customFormat="false" ht="15" hidden="false" customHeight="true" outlineLevel="0" collapsed="false">
      <c r="A448" s="11"/>
      <c r="B448" s="7"/>
      <c r="C448" s="12" t="str">
        <f aca="false">IF($B448="","",IFERROR(INDEX(거래처마스터!$B$3:$B$102,MATCH($B448,거래처마스터!$A$3:$A$102,0)),"미등록"))</f>
        <v/>
      </c>
      <c r="D448" s="7"/>
      <c r="E448" s="12" t="str">
        <f aca="false">IF($D448="","",IFERROR(INDEX(품목마스터!$B$3:$B$202,MATCH($D448,품목마스터!$A$3:$A$202,0)),"미등록품번"))</f>
        <v/>
      </c>
      <c r="F448" s="12" t="str">
        <f aca="false">IF($D448="","",IFERROR(INDEX(품목마스터!$D$3:$D$202,MATCH($D448,품목마스터!$A$3:$A$202,0)),""))</f>
        <v/>
      </c>
      <c r="G448" s="9"/>
      <c r="H448" s="9"/>
      <c r="I448" s="9"/>
      <c r="J448" s="7"/>
      <c r="K448" s="13" t="str">
        <f aca="false">IF(OR($G448="",$I448=""),"",ROUND($G448*$I448,0))</f>
        <v/>
      </c>
      <c r="L448" s="13" t="str">
        <f aca="false">IF($D448="","",IF($G448="",0,$G448)+IF($H448="",0,$H448))</f>
        <v/>
      </c>
      <c r="M448" s="7"/>
    </row>
    <row r="449" customFormat="false" ht="15" hidden="false" customHeight="true" outlineLevel="0" collapsed="false">
      <c r="A449" s="11"/>
      <c r="B449" s="7"/>
      <c r="C449" s="12" t="str">
        <f aca="false">IF($B449="","",IFERROR(INDEX(거래처마스터!$B$3:$B$102,MATCH($B449,거래처마스터!$A$3:$A$102,0)),"미등록"))</f>
        <v/>
      </c>
      <c r="D449" s="7"/>
      <c r="E449" s="12" t="str">
        <f aca="false">IF($D449="","",IFERROR(INDEX(품목마스터!$B$3:$B$202,MATCH($D449,품목마스터!$A$3:$A$202,0)),"미등록품번"))</f>
        <v/>
      </c>
      <c r="F449" s="12" t="str">
        <f aca="false">IF($D449="","",IFERROR(INDEX(품목마스터!$D$3:$D$202,MATCH($D449,품목마스터!$A$3:$A$202,0)),""))</f>
        <v/>
      </c>
      <c r="G449" s="9"/>
      <c r="H449" s="9"/>
      <c r="I449" s="9"/>
      <c r="J449" s="7"/>
      <c r="K449" s="13" t="str">
        <f aca="false">IF(OR($G449="",$I449=""),"",ROUND($G449*$I449,0))</f>
        <v/>
      </c>
      <c r="L449" s="13" t="str">
        <f aca="false">IF($D449="","",IF($G449="",0,$G449)+IF($H449="",0,$H449))</f>
        <v/>
      </c>
      <c r="M449" s="7"/>
    </row>
    <row r="450" customFormat="false" ht="15" hidden="false" customHeight="true" outlineLevel="0" collapsed="false">
      <c r="A450" s="11"/>
      <c r="B450" s="7"/>
      <c r="C450" s="12" t="str">
        <f aca="false">IF($B450="","",IFERROR(INDEX(거래처마스터!$B$3:$B$102,MATCH($B450,거래처마스터!$A$3:$A$102,0)),"미등록"))</f>
        <v/>
      </c>
      <c r="D450" s="7"/>
      <c r="E450" s="12" t="str">
        <f aca="false">IF($D450="","",IFERROR(INDEX(품목마스터!$B$3:$B$202,MATCH($D450,품목마스터!$A$3:$A$202,0)),"미등록품번"))</f>
        <v/>
      </c>
      <c r="F450" s="12" t="str">
        <f aca="false">IF($D450="","",IFERROR(INDEX(품목마스터!$D$3:$D$202,MATCH($D450,품목마스터!$A$3:$A$202,0)),""))</f>
        <v/>
      </c>
      <c r="G450" s="9"/>
      <c r="H450" s="9"/>
      <c r="I450" s="9"/>
      <c r="J450" s="7"/>
      <c r="K450" s="13" t="str">
        <f aca="false">IF(OR($G450="",$I450=""),"",ROUND($G450*$I450,0))</f>
        <v/>
      </c>
      <c r="L450" s="13" t="str">
        <f aca="false">IF($D450="","",IF($G450="",0,$G450)+IF($H450="",0,$H450))</f>
        <v/>
      </c>
      <c r="M450" s="7"/>
    </row>
    <row r="451" customFormat="false" ht="15" hidden="false" customHeight="true" outlineLevel="0" collapsed="false">
      <c r="A451" s="11"/>
      <c r="B451" s="7"/>
      <c r="C451" s="12" t="str">
        <f aca="false">IF($B451="","",IFERROR(INDEX(거래처마스터!$B$3:$B$102,MATCH($B451,거래처마스터!$A$3:$A$102,0)),"미등록"))</f>
        <v/>
      </c>
      <c r="D451" s="7"/>
      <c r="E451" s="12" t="str">
        <f aca="false">IF($D451="","",IFERROR(INDEX(품목마스터!$B$3:$B$202,MATCH($D451,품목마스터!$A$3:$A$202,0)),"미등록품번"))</f>
        <v/>
      </c>
      <c r="F451" s="12" t="str">
        <f aca="false">IF($D451="","",IFERROR(INDEX(품목마스터!$D$3:$D$202,MATCH($D451,품목마스터!$A$3:$A$202,0)),""))</f>
        <v/>
      </c>
      <c r="G451" s="9"/>
      <c r="H451" s="9"/>
      <c r="I451" s="9"/>
      <c r="J451" s="7"/>
      <c r="K451" s="13" t="str">
        <f aca="false">IF(OR($G451="",$I451=""),"",ROUND($G451*$I451,0))</f>
        <v/>
      </c>
      <c r="L451" s="13" t="str">
        <f aca="false">IF($D451="","",IF($G451="",0,$G451)+IF($H451="",0,$H451))</f>
        <v/>
      </c>
      <c r="M451" s="7"/>
    </row>
    <row r="452" customFormat="false" ht="15" hidden="false" customHeight="true" outlineLevel="0" collapsed="false">
      <c r="A452" s="11"/>
      <c r="B452" s="7"/>
      <c r="C452" s="12" t="str">
        <f aca="false">IF($B452="","",IFERROR(INDEX(거래처마스터!$B$3:$B$102,MATCH($B452,거래처마스터!$A$3:$A$102,0)),"미등록"))</f>
        <v/>
      </c>
      <c r="D452" s="7"/>
      <c r="E452" s="12" t="str">
        <f aca="false">IF($D452="","",IFERROR(INDEX(품목마스터!$B$3:$B$202,MATCH($D452,품목마스터!$A$3:$A$202,0)),"미등록품번"))</f>
        <v/>
      </c>
      <c r="F452" s="12" t="str">
        <f aca="false">IF($D452="","",IFERROR(INDEX(품목마스터!$D$3:$D$202,MATCH($D452,품목마스터!$A$3:$A$202,0)),""))</f>
        <v/>
      </c>
      <c r="G452" s="9"/>
      <c r="H452" s="9"/>
      <c r="I452" s="9"/>
      <c r="J452" s="7"/>
      <c r="K452" s="13" t="str">
        <f aca="false">IF(OR($G452="",$I452=""),"",ROUND($G452*$I452,0))</f>
        <v/>
      </c>
      <c r="L452" s="13" t="str">
        <f aca="false">IF($D452="","",IF($G452="",0,$G452)+IF($H452="",0,$H452))</f>
        <v/>
      </c>
      <c r="M452" s="7"/>
    </row>
    <row r="453" customFormat="false" ht="15" hidden="false" customHeight="true" outlineLevel="0" collapsed="false">
      <c r="A453" s="11"/>
      <c r="B453" s="7"/>
      <c r="C453" s="12" t="str">
        <f aca="false">IF($B453="","",IFERROR(INDEX(거래처마스터!$B$3:$B$102,MATCH($B453,거래처마스터!$A$3:$A$102,0)),"미등록"))</f>
        <v/>
      </c>
      <c r="D453" s="7"/>
      <c r="E453" s="12" t="str">
        <f aca="false">IF($D453="","",IFERROR(INDEX(품목마스터!$B$3:$B$202,MATCH($D453,품목마스터!$A$3:$A$202,0)),"미등록품번"))</f>
        <v/>
      </c>
      <c r="F453" s="12" t="str">
        <f aca="false">IF($D453="","",IFERROR(INDEX(품목마스터!$D$3:$D$202,MATCH($D453,품목마스터!$A$3:$A$202,0)),""))</f>
        <v/>
      </c>
      <c r="G453" s="9"/>
      <c r="H453" s="9"/>
      <c r="I453" s="9"/>
      <c r="J453" s="7"/>
      <c r="K453" s="13" t="str">
        <f aca="false">IF(OR($G453="",$I453=""),"",ROUND($G453*$I453,0))</f>
        <v/>
      </c>
      <c r="L453" s="13" t="str">
        <f aca="false">IF($D453="","",IF($G453="",0,$G453)+IF($H453="",0,$H453))</f>
        <v/>
      </c>
      <c r="M453" s="7"/>
    </row>
    <row r="454" customFormat="false" ht="15" hidden="false" customHeight="true" outlineLevel="0" collapsed="false">
      <c r="A454" s="11"/>
      <c r="B454" s="7"/>
      <c r="C454" s="12" t="str">
        <f aca="false">IF($B454="","",IFERROR(INDEX(거래처마스터!$B$3:$B$102,MATCH($B454,거래처마스터!$A$3:$A$102,0)),"미등록"))</f>
        <v/>
      </c>
      <c r="D454" s="7"/>
      <c r="E454" s="12" t="str">
        <f aca="false">IF($D454="","",IFERROR(INDEX(품목마스터!$B$3:$B$202,MATCH($D454,품목마스터!$A$3:$A$202,0)),"미등록품번"))</f>
        <v/>
      </c>
      <c r="F454" s="12" t="str">
        <f aca="false">IF($D454="","",IFERROR(INDEX(품목마스터!$D$3:$D$202,MATCH($D454,품목마스터!$A$3:$A$202,0)),""))</f>
        <v/>
      </c>
      <c r="G454" s="9"/>
      <c r="H454" s="9"/>
      <c r="I454" s="9"/>
      <c r="J454" s="7"/>
      <c r="K454" s="13" t="str">
        <f aca="false">IF(OR($G454="",$I454=""),"",ROUND($G454*$I454,0))</f>
        <v/>
      </c>
      <c r="L454" s="13" t="str">
        <f aca="false">IF($D454="","",IF($G454="",0,$G454)+IF($H454="",0,$H454))</f>
        <v/>
      </c>
      <c r="M454" s="7"/>
    </row>
    <row r="455" customFormat="false" ht="15" hidden="false" customHeight="true" outlineLevel="0" collapsed="false">
      <c r="A455" s="11"/>
      <c r="B455" s="7"/>
      <c r="C455" s="12" t="str">
        <f aca="false">IF($B455="","",IFERROR(INDEX(거래처마스터!$B$3:$B$102,MATCH($B455,거래처마스터!$A$3:$A$102,0)),"미등록"))</f>
        <v/>
      </c>
      <c r="D455" s="7"/>
      <c r="E455" s="12" t="str">
        <f aca="false">IF($D455="","",IFERROR(INDEX(품목마스터!$B$3:$B$202,MATCH($D455,품목마스터!$A$3:$A$202,0)),"미등록품번"))</f>
        <v/>
      </c>
      <c r="F455" s="12" t="str">
        <f aca="false">IF($D455="","",IFERROR(INDEX(품목마스터!$D$3:$D$202,MATCH($D455,품목마스터!$A$3:$A$202,0)),""))</f>
        <v/>
      </c>
      <c r="G455" s="9"/>
      <c r="H455" s="9"/>
      <c r="I455" s="9"/>
      <c r="J455" s="7"/>
      <c r="K455" s="13" t="str">
        <f aca="false">IF(OR($G455="",$I455=""),"",ROUND($G455*$I455,0))</f>
        <v/>
      </c>
      <c r="L455" s="13" t="str">
        <f aca="false">IF($D455="","",IF($G455="",0,$G455)+IF($H455="",0,$H455))</f>
        <v/>
      </c>
      <c r="M455" s="7"/>
    </row>
    <row r="456" customFormat="false" ht="15" hidden="false" customHeight="true" outlineLevel="0" collapsed="false">
      <c r="A456" s="11"/>
      <c r="B456" s="7"/>
      <c r="C456" s="12" t="str">
        <f aca="false">IF($B456="","",IFERROR(INDEX(거래처마스터!$B$3:$B$102,MATCH($B456,거래처마스터!$A$3:$A$102,0)),"미등록"))</f>
        <v/>
      </c>
      <c r="D456" s="7"/>
      <c r="E456" s="12" t="str">
        <f aca="false">IF($D456="","",IFERROR(INDEX(품목마스터!$B$3:$B$202,MATCH($D456,품목마스터!$A$3:$A$202,0)),"미등록품번"))</f>
        <v/>
      </c>
      <c r="F456" s="12" t="str">
        <f aca="false">IF($D456="","",IFERROR(INDEX(품목마스터!$D$3:$D$202,MATCH($D456,품목마스터!$A$3:$A$202,0)),""))</f>
        <v/>
      </c>
      <c r="G456" s="9"/>
      <c r="H456" s="9"/>
      <c r="I456" s="9"/>
      <c r="J456" s="7"/>
      <c r="K456" s="13" t="str">
        <f aca="false">IF(OR($G456="",$I456=""),"",ROUND($G456*$I456,0))</f>
        <v/>
      </c>
      <c r="L456" s="13" t="str">
        <f aca="false">IF($D456="","",IF($G456="",0,$G456)+IF($H456="",0,$H456))</f>
        <v/>
      </c>
      <c r="M456" s="7"/>
    </row>
    <row r="457" customFormat="false" ht="15" hidden="false" customHeight="true" outlineLevel="0" collapsed="false">
      <c r="A457" s="11"/>
      <c r="B457" s="7"/>
      <c r="C457" s="12" t="str">
        <f aca="false">IF($B457="","",IFERROR(INDEX(거래처마스터!$B$3:$B$102,MATCH($B457,거래처마스터!$A$3:$A$102,0)),"미등록"))</f>
        <v/>
      </c>
      <c r="D457" s="7"/>
      <c r="E457" s="12" t="str">
        <f aca="false">IF($D457="","",IFERROR(INDEX(품목마스터!$B$3:$B$202,MATCH($D457,품목마스터!$A$3:$A$202,0)),"미등록품번"))</f>
        <v/>
      </c>
      <c r="F457" s="12" t="str">
        <f aca="false">IF($D457="","",IFERROR(INDEX(품목마스터!$D$3:$D$202,MATCH($D457,품목마스터!$A$3:$A$202,0)),""))</f>
        <v/>
      </c>
      <c r="G457" s="9"/>
      <c r="H457" s="9"/>
      <c r="I457" s="9"/>
      <c r="J457" s="7"/>
      <c r="K457" s="13" t="str">
        <f aca="false">IF(OR($G457="",$I457=""),"",ROUND($G457*$I457,0))</f>
        <v/>
      </c>
      <c r="L457" s="13" t="str">
        <f aca="false">IF($D457="","",IF($G457="",0,$G457)+IF($H457="",0,$H457))</f>
        <v/>
      </c>
      <c r="M457" s="7"/>
    </row>
    <row r="458" customFormat="false" ht="15" hidden="false" customHeight="true" outlineLevel="0" collapsed="false">
      <c r="A458" s="11"/>
      <c r="B458" s="7"/>
      <c r="C458" s="12" t="str">
        <f aca="false">IF($B458="","",IFERROR(INDEX(거래처마스터!$B$3:$B$102,MATCH($B458,거래처마스터!$A$3:$A$102,0)),"미등록"))</f>
        <v/>
      </c>
      <c r="D458" s="7"/>
      <c r="E458" s="12" t="str">
        <f aca="false">IF($D458="","",IFERROR(INDEX(품목마스터!$B$3:$B$202,MATCH($D458,품목마스터!$A$3:$A$202,0)),"미등록품번"))</f>
        <v/>
      </c>
      <c r="F458" s="12" t="str">
        <f aca="false">IF($D458="","",IFERROR(INDEX(품목마스터!$D$3:$D$202,MATCH($D458,품목마스터!$A$3:$A$202,0)),""))</f>
        <v/>
      </c>
      <c r="G458" s="9"/>
      <c r="H458" s="9"/>
      <c r="I458" s="9"/>
      <c r="J458" s="7"/>
      <c r="K458" s="13" t="str">
        <f aca="false">IF(OR($G458="",$I458=""),"",ROUND($G458*$I458,0))</f>
        <v/>
      </c>
      <c r="L458" s="13" t="str">
        <f aca="false">IF($D458="","",IF($G458="",0,$G458)+IF($H458="",0,$H458))</f>
        <v/>
      </c>
      <c r="M458" s="7"/>
    </row>
    <row r="459" customFormat="false" ht="15" hidden="false" customHeight="true" outlineLevel="0" collapsed="false">
      <c r="A459" s="11"/>
      <c r="B459" s="7"/>
      <c r="C459" s="12" t="str">
        <f aca="false">IF($B459="","",IFERROR(INDEX(거래처마스터!$B$3:$B$102,MATCH($B459,거래처마스터!$A$3:$A$102,0)),"미등록"))</f>
        <v/>
      </c>
      <c r="D459" s="7"/>
      <c r="E459" s="12" t="str">
        <f aca="false">IF($D459="","",IFERROR(INDEX(품목마스터!$B$3:$B$202,MATCH($D459,품목마스터!$A$3:$A$202,0)),"미등록품번"))</f>
        <v/>
      </c>
      <c r="F459" s="12" t="str">
        <f aca="false">IF($D459="","",IFERROR(INDEX(품목마스터!$D$3:$D$202,MATCH($D459,품목마스터!$A$3:$A$202,0)),""))</f>
        <v/>
      </c>
      <c r="G459" s="9"/>
      <c r="H459" s="9"/>
      <c r="I459" s="9"/>
      <c r="J459" s="7"/>
      <c r="K459" s="13" t="str">
        <f aca="false">IF(OR($G459="",$I459=""),"",ROUND($G459*$I459,0))</f>
        <v/>
      </c>
      <c r="L459" s="13" t="str">
        <f aca="false">IF($D459="","",IF($G459="",0,$G459)+IF($H459="",0,$H459))</f>
        <v/>
      </c>
      <c r="M459" s="7"/>
    </row>
    <row r="460" customFormat="false" ht="15" hidden="false" customHeight="true" outlineLevel="0" collapsed="false">
      <c r="A460" s="11"/>
      <c r="B460" s="7"/>
      <c r="C460" s="12" t="str">
        <f aca="false">IF($B460="","",IFERROR(INDEX(거래처마스터!$B$3:$B$102,MATCH($B460,거래처마스터!$A$3:$A$102,0)),"미등록"))</f>
        <v/>
      </c>
      <c r="D460" s="7"/>
      <c r="E460" s="12" t="str">
        <f aca="false">IF($D460="","",IFERROR(INDEX(품목마스터!$B$3:$B$202,MATCH($D460,품목마스터!$A$3:$A$202,0)),"미등록품번"))</f>
        <v/>
      </c>
      <c r="F460" s="12" t="str">
        <f aca="false">IF($D460="","",IFERROR(INDEX(품목마스터!$D$3:$D$202,MATCH($D460,품목마스터!$A$3:$A$202,0)),""))</f>
        <v/>
      </c>
      <c r="G460" s="9"/>
      <c r="H460" s="9"/>
      <c r="I460" s="9"/>
      <c r="J460" s="7"/>
      <c r="K460" s="13" t="str">
        <f aca="false">IF(OR($G460="",$I460=""),"",ROUND($G460*$I460,0))</f>
        <v/>
      </c>
      <c r="L460" s="13" t="str">
        <f aca="false">IF($D460="","",IF($G460="",0,$G460)+IF($H460="",0,$H460))</f>
        <v/>
      </c>
      <c r="M460" s="7"/>
    </row>
    <row r="461" customFormat="false" ht="15" hidden="false" customHeight="true" outlineLevel="0" collapsed="false">
      <c r="A461" s="11"/>
      <c r="B461" s="7"/>
      <c r="C461" s="12" t="str">
        <f aca="false">IF($B461="","",IFERROR(INDEX(거래처마스터!$B$3:$B$102,MATCH($B461,거래처마스터!$A$3:$A$102,0)),"미등록"))</f>
        <v/>
      </c>
      <c r="D461" s="7"/>
      <c r="E461" s="12" t="str">
        <f aca="false">IF($D461="","",IFERROR(INDEX(품목마스터!$B$3:$B$202,MATCH($D461,품목마스터!$A$3:$A$202,0)),"미등록품번"))</f>
        <v/>
      </c>
      <c r="F461" s="12" t="str">
        <f aca="false">IF($D461="","",IFERROR(INDEX(품목마스터!$D$3:$D$202,MATCH($D461,품목마스터!$A$3:$A$202,0)),""))</f>
        <v/>
      </c>
      <c r="G461" s="9"/>
      <c r="H461" s="9"/>
      <c r="I461" s="9"/>
      <c r="J461" s="7"/>
      <c r="K461" s="13" t="str">
        <f aca="false">IF(OR($G461="",$I461=""),"",ROUND($G461*$I461,0))</f>
        <v/>
      </c>
      <c r="L461" s="13" t="str">
        <f aca="false">IF($D461="","",IF($G461="",0,$G461)+IF($H461="",0,$H461))</f>
        <v/>
      </c>
      <c r="M461" s="7"/>
    </row>
    <row r="462" customFormat="false" ht="15" hidden="false" customHeight="true" outlineLevel="0" collapsed="false">
      <c r="A462" s="11"/>
      <c r="B462" s="7"/>
      <c r="C462" s="12" t="str">
        <f aca="false">IF($B462="","",IFERROR(INDEX(거래처마스터!$B$3:$B$102,MATCH($B462,거래처마스터!$A$3:$A$102,0)),"미등록"))</f>
        <v/>
      </c>
      <c r="D462" s="7"/>
      <c r="E462" s="12" t="str">
        <f aca="false">IF($D462="","",IFERROR(INDEX(품목마스터!$B$3:$B$202,MATCH($D462,품목마스터!$A$3:$A$202,0)),"미등록품번"))</f>
        <v/>
      </c>
      <c r="F462" s="12" t="str">
        <f aca="false">IF($D462="","",IFERROR(INDEX(품목마스터!$D$3:$D$202,MATCH($D462,품목마스터!$A$3:$A$202,0)),""))</f>
        <v/>
      </c>
      <c r="G462" s="9"/>
      <c r="H462" s="9"/>
      <c r="I462" s="9"/>
      <c r="J462" s="7"/>
      <c r="K462" s="13" t="str">
        <f aca="false">IF(OR($G462="",$I462=""),"",ROUND($G462*$I462,0))</f>
        <v/>
      </c>
      <c r="L462" s="13" t="str">
        <f aca="false">IF($D462="","",IF($G462="",0,$G462)+IF($H462="",0,$H462))</f>
        <v/>
      </c>
      <c r="M462" s="7"/>
    </row>
    <row r="463" customFormat="false" ht="15" hidden="false" customHeight="true" outlineLevel="0" collapsed="false">
      <c r="A463" s="11"/>
      <c r="B463" s="7"/>
      <c r="C463" s="12" t="str">
        <f aca="false">IF($B463="","",IFERROR(INDEX(거래처마스터!$B$3:$B$102,MATCH($B463,거래처마스터!$A$3:$A$102,0)),"미등록"))</f>
        <v/>
      </c>
      <c r="D463" s="7"/>
      <c r="E463" s="12" t="str">
        <f aca="false">IF($D463="","",IFERROR(INDEX(품목마스터!$B$3:$B$202,MATCH($D463,품목마스터!$A$3:$A$202,0)),"미등록품번"))</f>
        <v/>
      </c>
      <c r="F463" s="12" t="str">
        <f aca="false">IF($D463="","",IFERROR(INDEX(품목마스터!$D$3:$D$202,MATCH($D463,품목마스터!$A$3:$A$202,0)),""))</f>
        <v/>
      </c>
      <c r="G463" s="9"/>
      <c r="H463" s="9"/>
      <c r="I463" s="9"/>
      <c r="J463" s="7"/>
      <c r="K463" s="13" t="str">
        <f aca="false">IF(OR($G463="",$I463=""),"",ROUND($G463*$I463,0))</f>
        <v/>
      </c>
      <c r="L463" s="13" t="str">
        <f aca="false">IF($D463="","",IF($G463="",0,$G463)+IF($H463="",0,$H463))</f>
        <v/>
      </c>
      <c r="M463" s="7"/>
    </row>
    <row r="464" customFormat="false" ht="15" hidden="false" customHeight="true" outlineLevel="0" collapsed="false">
      <c r="A464" s="11"/>
      <c r="B464" s="7"/>
      <c r="C464" s="12" t="str">
        <f aca="false">IF($B464="","",IFERROR(INDEX(거래처마스터!$B$3:$B$102,MATCH($B464,거래처마스터!$A$3:$A$102,0)),"미등록"))</f>
        <v/>
      </c>
      <c r="D464" s="7"/>
      <c r="E464" s="12" t="str">
        <f aca="false">IF($D464="","",IFERROR(INDEX(품목마스터!$B$3:$B$202,MATCH($D464,품목마스터!$A$3:$A$202,0)),"미등록품번"))</f>
        <v/>
      </c>
      <c r="F464" s="12" t="str">
        <f aca="false">IF($D464="","",IFERROR(INDEX(품목마스터!$D$3:$D$202,MATCH($D464,품목마스터!$A$3:$A$202,0)),""))</f>
        <v/>
      </c>
      <c r="G464" s="9"/>
      <c r="H464" s="9"/>
      <c r="I464" s="9"/>
      <c r="J464" s="7"/>
      <c r="K464" s="13" t="str">
        <f aca="false">IF(OR($G464="",$I464=""),"",ROUND($G464*$I464,0))</f>
        <v/>
      </c>
      <c r="L464" s="13" t="str">
        <f aca="false">IF($D464="","",IF($G464="",0,$G464)+IF($H464="",0,$H464))</f>
        <v/>
      </c>
      <c r="M464" s="7"/>
    </row>
    <row r="465" customFormat="false" ht="15" hidden="false" customHeight="true" outlineLevel="0" collapsed="false">
      <c r="A465" s="11"/>
      <c r="B465" s="7"/>
      <c r="C465" s="12" t="str">
        <f aca="false">IF($B465="","",IFERROR(INDEX(거래처마스터!$B$3:$B$102,MATCH($B465,거래처마스터!$A$3:$A$102,0)),"미등록"))</f>
        <v/>
      </c>
      <c r="D465" s="7"/>
      <c r="E465" s="12" t="str">
        <f aca="false">IF($D465="","",IFERROR(INDEX(품목마스터!$B$3:$B$202,MATCH($D465,품목마스터!$A$3:$A$202,0)),"미등록품번"))</f>
        <v/>
      </c>
      <c r="F465" s="12" t="str">
        <f aca="false">IF($D465="","",IFERROR(INDEX(품목마스터!$D$3:$D$202,MATCH($D465,품목마스터!$A$3:$A$202,0)),""))</f>
        <v/>
      </c>
      <c r="G465" s="9"/>
      <c r="H465" s="9"/>
      <c r="I465" s="9"/>
      <c r="J465" s="7"/>
      <c r="K465" s="13" t="str">
        <f aca="false">IF(OR($G465="",$I465=""),"",ROUND($G465*$I465,0))</f>
        <v/>
      </c>
      <c r="L465" s="13" t="str">
        <f aca="false">IF($D465="","",IF($G465="",0,$G465)+IF($H465="",0,$H465))</f>
        <v/>
      </c>
      <c r="M465" s="7"/>
    </row>
    <row r="466" customFormat="false" ht="15" hidden="false" customHeight="true" outlineLevel="0" collapsed="false">
      <c r="A466" s="11"/>
      <c r="B466" s="7"/>
      <c r="C466" s="12" t="str">
        <f aca="false">IF($B466="","",IFERROR(INDEX(거래처마스터!$B$3:$B$102,MATCH($B466,거래처마스터!$A$3:$A$102,0)),"미등록"))</f>
        <v/>
      </c>
      <c r="D466" s="7"/>
      <c r="E466" s="12" t="str">
        <f aca="false">IF($D466="","",IFERROR(INDEX(품목마스터!$B$3:$B$202,MATCH($D466,품목마스터!$A$3:$A$202,0)),"미등록품번"))</f>
        <v/>
      </c>
      <c r="F466" s="12" t="str">
        <f aca="false">IF($D466="","",IFERROR(INDEX(품목마스터!$D$3:$D$202,MATCH($D466,품목마스터!$A$3:$A$202,0)),""))</f>
        <v/>
      </c>
      <c r="G466" s="9"/>
      <c r="H466" s="9"/>
      <c r="I466" s="9"/>
      <c r="J466" s="7"/>
      <c r="K466" s="13" t="str">
        <f aca="false">IF(OR($G466="",$I466=""),"",ROUND($G466*$I466,0))</f>
        <v/>
      </c>
      <c r="L466" s="13" t="str">
        <f aca="false">IF($D466="","",IF($G466="",0,$G466)+IF($H466="",0,$H466))</f>
        <v/>
      </c>
      <c r="M466" s="7"/>
    </row>
    <row r="467" customFormat="false" ht="15" hidden="false" customHeight="true" outlineLevel="0" collapsed="false">
      <c r="A467" s="11"/>
      <c r="B467" s="7"/>
      <c r="C467" s="12" t="str">
        <f aca="false">IF($B467="","",IFERROR(INDEX(거래처마스터!$B$3:$B$102,MATCH($B467,거래처마스터!$A$3:$A$102,0)),"미등록"))</f>
        <v/>
      </c>
      <c r="D467" s="7"/>
      <c r="E467" s="12" t="str">
        <f aca="false">IF($D467="","",IFERROR(INDEX(품목마스터!$B$3:$B$202,MATCH($D467,품목마스터!$A$3:$A$202,0)),"미등록품번"))</f>
        <v/>
      </c>
      <c r="F467" s="12" t="str">
        <f aca="false">IF($D467="","",IFERROR(INDEX(품목마스터!$D$3:$D$202,MATCH($D467,품목마스터!$A$3:$A$202,0)),""))</f>
        <v/>
      </c>
      <c r="G467" s="9"/>
      <c r="H467" s="9"/>
      <c r="I467" s="9"/>
      <c r="J467" s="7"/>
      <c r="K467" s="13" t="str">
        <f aca="false">IF(OR($G467="",$I467=""),"",ROUND($G467*$I467,0))</f>
        <v/>
      </c>
      <c r="L467" s="13" t="str">
        <f aca="false">IF($D467="","",IF($G467="",0,$G467)+IF($H467="",0,$H467))</f>
        <v/>
      </c>
      <c r="M467" s="7"/>
    </row>
    <row r="468" customFormat="false" ht="15" hidden="false" customHeight="true" outlineLevel="0" collapsed="false">
      <c r="A468" s="11"/>
      <c r="B468" s="7"/>
      <c r="C468" s="12" t="str">
        <f aca="false">IF($B468="","",IFERROR(INDEX(거래처마스터!$B$3:$B$102,MATCH($B468,거래처마스터!$A$3:$A$102,0)),"미등록"))</f>
        <v/>
      </c>
      <c r="D468" s="7"/>
      <c r="E468" s="12" t="str">
        <f aca="false">IF($D468="","",IFERROR(INDEX(품목마스터!$B$3:$B$202,MATCH($D468,품목마스터!$A$3:$A$202,0)),"미등록품번"))</f>
        <v/>
      </c>
      <c r="F468" s="12" t="str">
        <f aca="false">IF($D468="","",IFERROR(INDEX(품목마스터!$D$3:$D$202,MATCH($D468,품목마스터!$A$3:$A$202,0)),""))</f>
        <v/>
      </c>
      <c r="G468" s="9"/>
      <c r="H468" s="9"/>
      <c r="I468" s="9"/>
      <c r="J468" s="7"/>
      <c r="K468" s="13" t="str">
        <f aca="false">IF(OR($G468="",$I468=""),"",ROUND($G468*$I468,0))</f>
        <v/>
      </c>
      <c r="L468" s="13" t="str">
        <f aca="false">IF($D468="","",IF($G468="",0,$G468)+IF($H468="",0,$H468))</f>
        <v/>
      </c>
      <c r="M468" s="7"/>
    </row>
    <row r="469" customFormat="false" ht="15" hidden="false" customHeight="true" outlineLevel="0" collapsed="false">
      <c r="A469" s="11"/>
      <c r="B469" s="7"/>
      <c r="C469" s="12" t="str">
        <f aca="false">IF($B469="","",IFERROR(INDEX(거래처마스터!$B$3:$B$102,MATCH($B469,거래처마스터!$A$3:$A$102,0)),"미등록"))</f>
        <v/>
      </c>
      <c r="D469" s="7"/>
      <c r="E469" s="12" t="str">
        <f aca="false">IF($D469="","",IFERROR(INDEX(품목마스터!$B$3:$B$202,MATCH($D469,품목마스터!$A$3:$A$202,0)),"미등록품번"))</f>
        <v/>
      </c>
      <c r="F469" s="12" t="str">
        <f aca="false">IF($D469="","",IFERROR(INDEX(품목마스터!$D$3:$D$202,MATCH($D469,품목마스터!$A$3:$A$202,0)),""))</f>
        <v/>
      </c>
      <c r="G469" s="9"/>
      <c r="H469" s="9"/>
      <c r="I469" s="9"/>
      <c r="J469" s="7"/>
      <c r="K469" s="13" t="str">
        <f aca="false">IF(OR($G469="",$I469=""),"",ROUND($G469*$I469,0))</f>
        <v/>
      </c>
      <c r="L469" s="13" t="str">
        <f aca="false">IF($D469="","",IF($G469="",0,$G469)+IF($H469="",0,$H469))</f>
        <v/>
      </c>
      <c r="M469" s="7"/>
    </row>
    <row r="470" customFormat="false" ht="15" hidden="false" customHeight="true" outlineLevel="0" collapsed="false">
      <c r="A470" s="11"/>
      <c r="B470" s="7"/>
      <c r="C470" s="12" t="str">
        <f aca="false">IF($B470="","",IFERROR(INDEX(거래처마스터!$B$3:$B$102,MATCH($B470,거래처마스터!$A$3:$A$102,0)),"미등록"))</f>
        <v/>
      </c>
      <c r="D470" s="7"/>
      <c r="E470" s="12" t="str">
        <f aca="false">IF($D470="","",IFERROR(INDEX(품목마스터!$B$3:$B$202,MATCH($D470,품목마스터!$A$3:$A$202,0)),"미등록품번"))</f>
        <v/>
      </c>
      <c r="F470" s="12" t="str">
        <f aca="false">IF($D470="","",IFERROR(INDEX(품목마스터!$D$3:$D$202,MATCH($D470,품목마스터!$A$3:$A$202,0)),""))</f>
        <v/>
      </c>
      <c r="G470" s="9"/>
      <c r="H470" s="9"/>
      <c r="I470" s="9"/>
      <c r="J470" s="7"/>
      <c r="K470" s="13" t="str">
        <f aca="false">IF(OR($G470="",$I470=""),"",ROUND($G470*$I470,0))</f>
        <v/>
      </c>
      <c r="L470" s="13" t="str">
        <f aca="false">IF($D470="","",IF($G470="",0,$G470)+IF($H470="",0,$H470))</f>
        <v/>
      </c>
      <c r="M470" s="7"/>
    </row>
    <row r="471" customFormat="false" ht="15" hidden="false" customHeight="true" outlineLevel="0" collapsed="false">
      <c r="A471" s="11"/>
      <c r="B471" s="7"/>
      <c r="C471" s="12" t="str">
        <f aca="false">IF($B471="","",IFERROR(INDEX(거래처마스터!$B$3:$B$102,MATCH($B471,거래처마스터!$A$3:$A$102,0)),"미등록"))</f>
        <v/>
      </c>
      <c r="D471" s="7"/>
      <c r="E471" s="12" t="str">
        <f aca="false">IF($D471="","",IFERROR(INDEX(품목마스터!$B$3:$B$202,MATCH($D471,품목마스터!$A$3:$A$202,0)),"미등록품번"))</f>
        <v/>
      </c>
      <c r="F471" s="12" t="str">
        <f aca="false">IF($D471="","",IFERROR(INDEX(품목마스터!$D$3:$D$202,MATCH($D471,품목마스터!$A$3:$A$202,0)),""))</f>
        <v/>
      </c>
      <c r="G471" s="9"/>
      <c r="H471" s="9"/>
      <c r="I471" s="9"/>
      <c r="J471" s="7"/>
      <c r="K471" s="13" t="str">
        <f aca="false">IF(OR($G471="",$I471=""),"",ROUND($G471*$I471,0))</f>
        <v/>
      </c>
      <c r="L471" s="13" t="str">
        <f aca="false">IF($D471="","",IF($G471="",0,$G471)+IF($H471="",0,$H471))</f>
        <v/>
      </c>
      <c r="M471" s="7"/>
    </row>
    <row r="472" customFormat="false" ht="15" hidden="false" customHeight="true" outlineLevel="0" collapsed="false">
      <c r="A472" s="11"/>
      <c r="B472" s="7"/>
      <c r="C472" s="12" t="str">
        <f aca="false">IF($B472="","",IFERROR(INDEX(거래처마스터!$B$3:$B$102,MATCH($B472,거래처마스터!$A$3:$A$102,0)),"미등록"))</f>
        <v/>
      </c>
      <c r="D472" s="7"/>
      <c r="E472" s="12" t="str">
        <f aca="false">IF($D472="","",IFERROR(INDEX(품목마스터!$B$3:$B$202,MATCH($D472,품목마스터!$A$3:$A$202,0)),"미등록품번"))</f>
        <v/>
      </c>
      <c r="F472" s="12" t="str">
        <f aca="false">IF($D472="","",IFERROR(INDEX(품목마스터!$D$3:$D$202,MATCH($D472,품목마스터!$A$3:$A$202,0)),""))</f>
        <v/>
      </c>
      <c r="G472" s="9"/>
      <c r="H472" s="9"/>
      <c r="I472" s="9"/>
      <c r="J472" s="7"/>
      <c r="K472" s="13" t="str">
        <f aca="false">IF(OR($G472="",$I472=""),"",ROUND($G472*$I472,0))</f>
        <v/>
      </c>
      <c r="L472" s="13" t="str">
        <f aca="false">IF($D472="","",IF($G472="",0,$G472)+IF($H472="",0,$H472))</f>
        <v/>
      </c>
      <c r="M472" s="7"/>
    </row>
    <row r="473" customFormat="false" ht="15" hidden="false" customHeight="true" outlineLevel="0" collapsed="false">
      <c r="A473" s="11"/>
      <c r="B473" s="7"/>
      <c r="C473" s="12" t="str">
        <f aca="false">IF($B473="","",IFERROR(INDEX(거래처마스터!$B$3:$B$102,MATCH($B473,거래처마스터!$A$3:$A$102,0)),"미등록"))</f>
        <v/>
      </c>
      <c r="D473" s="7"/>
      <c r="E473" s="12" t="str">
        <f aca="false">IF($D473="","",IFERROR(INDEX(품목마스터!$B$3:$B$202,MATCH($D473,품목마스터!$A$3:$A$202,0)),"미등록품번"))</f>
        <v/>
      </c>
      <c r="F473" s="12" t="str">
        <f aca="false">IF($D473="","",IFERROR(INDEX(품목마스터!$D$3:$D$202,MATCH($D473,품목마스터!$A$3:$A$202,0)),""))</f>
        <v/>
      </c>
      <c r="G473" s="9"/>
      <c r="H473" s="9"/>
      <c r="I473" s="9"/>
      <c r="J473" s="7"/>
      <c r="K473" s="13" t="str">
        <f aca="false">IF(OR($G473="",$I473=""),"",ROUND($G473*$I473,0))</f>
        <v/>
      </c>
      <c r="L473" s="13" t="str">
        <f aca="false">IF($D473="","",IF($G473="",0,$G473)+IF($H473="",0,$H473))</f>
        <v/>
      </c>
      <c r="M473" s="7"/>
    </row>
    <row r="474" customFormat="false" ht="15" hidden="false" customHeight="true" outlineLevel="0" collapsed="false">
      <c r="A474" s="11"/>
      <c r="B474" s="7"/>
      <c r="C474" s="12" t="str">
        <f aca="false">IF($B474="","",IFERROR(INDEX(거래처마스터!$B$3:$B$102,MATCH($B474,거래처마스터!$A$3:$A$102,0)),"미등록"))</f>
        <v/>
      </c>
      <c r="D474" s="7"/>
      <c r="E474" s="12" t="str">
        <f aca="false">IF($D474="","",IFERROR(INDEX(품목마스터!$B$3:$B$202,MATCH($D474,품목마스터!$A$3:$A$202,0)),"미등록품번"))</f>
        <v/>
      </c>
      <c r="F474" s="12" t="str">
        <f aca="false">IF($D474="","",IFERROR(INDEX(품목마스터!$D$3:$D$202,MATCH($D474,품목마스터!$A$3:$A$202,0)),""))</f>
        <v/>
      </c>
      <c r="G474" s="9"/>
      <c r="H474" s="9"/>
      <c r="I474" s="9"/>
      <c r="J474" s="7"/>
      <c r="K474" s="13" t="str">
        <f aca="false">IF(OR($G474="",$I474=""),"",ROUND($G474*$I474,0))</f>
        <v/>
      </c>
      <c r="L474" s="13" t="str">
        <f aca="false">IF($D474="","",IF($G474="",0,$G474)+IF($H474="",0,$H474))</f>
        <v/>
      </c>
      <c r="M474" s="7"/>
    </row>
    <row r="475" customFormat="false" ht="15" hidden="false" customHeight="true" outlineLevel="0" collapsed="false">
      <c r="A475" s="11"/>
      <c r="B475" s="7"/>
      <c r="C475" s="12" t="str">
        <f aca="false">IF($B475="","",IFERROR(INDEX(거래처마스터!$B$3:$B$102,MATCH($B475,거래처마스터!$A$3:$A$102,0)),"미등록"))</f>
        <v/>
      </c>
      <c r="D475" s="7"/>
      <c r="E475" s="12" t="str">
        <f aca="false">IF($D475="","",IFERROR(INDEX(품목마스터!$B$3:$B$202,MATCH($D475,품목마스터!$A$3:$A$202,0)),"미등록품번"))</f>
        <v/>
      </c>
      <c r="F475" s="12" t="str">
        <f aca="false">IF($D475="","",IFERROR(INDEX(품목마스터!$D$3:$D$202,MATCH($D475,품목마스터!$A$3:$A$202,0)),""))</f>
        <v/>
      </c>
      <c r="G475" s="9"/>
      <c r="H475" s="9"/>
      <c r="I475" s="9"/>
      <c r="J475" s="7"/>
      <c r="K475" s="13" t="str">
        <f aca="false">IF(OR($G475="",$I475=""),"",ROUND($G475*$I475,0))</f>
        <v/>
      </c>
      <c r="L475" s="13" t="str">
        <f aca="false">IF($D475="","",IF($G475="",0,$G475)+IF($H475="",0,$H475))</f>
        <v/>
      </c>
      <c r="M475" s="7"/>
    </row>
    <row r="476" customFormat="false" ht="15" hidden="false" customHeight="true" outlineLevel="0" collapsed="false">
      <c r="A476" s="11"/>
      <c r="B476" s="7"/>
      <c r="C476" s="12" t="str">
        <f aca="false">IF($B476="","",IFERROR(INDEX(거래처마스터!$B$3:$B$102,MATCH($B476,거래처마스터!$A$3:$A$102,0)),"미등록"))</f>
        <v/>
      </c>
      <c r="D476" s="7"/>
      <c r="E476" s="12" t="str">
        <f aca="false">IF($D476="","",IFERROR(INDEX(품목마스터!$B$3:$B$202,MATCH($D476,품목마스터!$A$3:$A$202,0)),"미등록품번"))</f>
        <v/>
      </c>
      <c r="F476" s="12" t="str">
        <f aca="false">IF($D476="","",IFERROR(INDEX(품목마스터!$D$3:$D$202,MATCH($D476,품목마스터!$A$3:$A$202,0)),""))</f>
        <v/>
      </c>
      <c r="G476" s="9"/>
      <c r="H476" s="9"/>
      <c r="I476" s="9"/>
      <c r="J476" s="7"/>
      <c r="K476" s="13" t="str">
        <f aca="false">IF(OR($G476="",$I476=""),"",ROUND($G476*$I476,0))</f>
        <v/>
      </c>
      <c r="L476" s="13" t="str">
        <f aca="false">IF($D476="","",IF($G476="",0,$G476)+IF($H476="",0,$H476))</f>
        <v/>
      </c>
      <c r="M476" s="7"/>
    </row>
    <row r="477" customFormat="false" ht="15" hidden="false" customHeight="true" outlineLevel="0" collapsed="false">
      <c r="A477" s="11"/>
      <c r="B477" s="7"/>
      <c r="C477" s="12" t="str">
        <f aca="false">IF($B477="","",IFERROR(INDEX(거래처마스터!$B$3:$B$102,MATCH($B477,거래처마스터!$A$3:$A$102,0)),"미등록"))</f>
        <v/>
      </c>
      <c r="D477" s="7"/>
      <c r="E477" s="12" t="str">
        <f aca="false">IF($D477="","",IFERROR(INDEX(품목마스터!$B$3:$B$202,MATCH($D477,품목마스터!$A$3:$A$202,0)),"미등록품번"))</f>
        <v/>
      </c>
      <c r="F477" s="12" t="str">
        <f aca="false">IF($D477="","",IFERROR(INDEX(품목마스터!$D$3:$D$202,MATCH($D477,품목마스터!$A$3:$A$202,0)),""))</f>
        <v/>
      </c>
      <c r="G477" s="9"/>
      <c r="H477" s="9"/>
      <c r="I477" s="9"/>
      <c r="J477" s="7"/>
      <c r="K477" s="13" t="str">
        <f aca="false">IF(OR($G477="",$I477=""),"",ROUND($G477*$I477,0))</f>
        <v/>
      </c>
      <c r="L477" s="13" t="str">
        <f aca="false">IF($D477="","",IF($G477="",0,$G477)+IF($H477="",0,$H477))</f>
        <v/>
      </c>
      <c r="M477" s="7"/>
    </row>
    <row r="478" customFormat="false" ht="15" hidden="false" customHeight="true" outlineLevel="0" collapsed="false">
      <c r="A478" s="11"/>
      <c r="B478" s="7"/>
      <c r="C478" s="12" t="str">
        <f aca="false">IF($B478="","",IFERROR(INDEX(거래처마스터!$B$3:$B$102,MATCH($B478,거래처마스터!$A$3:$A$102,0)),"미등록"))</f>
        <v/>
      </c>
      <c r="D478" s="7"/>
      <c r="E478" s="12" t="str">
        <f aca="false">IF($D478="","",IFERROR(INDEX(품목마스터!$B$3:$B$202,MATCH($D478,품목마스터!$A$3:$A$202,0)),"미등록품번"))</f>
        <v/>
      </c>
      <c r="F478" s="12" t="str">
        <f aca="false">IF($D478="","",IFERROR(INDEX(품목마스터!$D$3:$D$202,MATCH($D478,품목마스터!$A$3:$A$202,0)),""))</f>
        <v/>
      </c>
      <c r="G478" s="9"/>
      <c r="H478" s="9"/>
      <c r="I478" s="9"/>
      <c r="J478" s="7"/>
      <c r="K478" s="13" t="str">
        <f aca="false">IF(OR($G478="",$I478=""),"",ROUND($G478*$I478,0))</f>
        <v/>
      </c>
      <c r="L478" s="13" t="str">
        <f aca="false">IF($D478="","",IF($G478="",0,$G478)+IF($H478="",0,$H478))</f>
        <v/>
      </c>
      <c r="M478" s="7"/>
    </row>
    <row r="479" customFormat="false" ht="15" hidden="false" customHeight="true" outlineLevel="0" collapsed="false">
      <c r="A479" s="11"/>
      <c r="B479" s="7"/>
      <c r="C479" s="12" t="str">
        <f aca="false">IF($B479="","",IFERROR(INDEX(거래처마스터!$B$3:$B$102,MATCH($B479,거래처마스터!$A$3:$A$102,0)),"미등록"))</f>
        <v/>
      </c>
      <c r="D479" s="7"/>
      <c r="E479" s="12" t="str">
        <f aca="false">IF($D479="","",IFERROR(INDEX(품목마스터!$B$3:$B$202,MATCH($D479,품목마스터!$A$3:$A$202,0)),"미등록품번"))</f>
        <v/>
      </c>
      <c r="F479" s="12" t="str">
        <f aca="false">IF($D479="","",IFERROR(INDEX(품목마스터!$D$3:$D$202,MATCH($D479,품목마스터!$A$3:$A$202,0)),""))</f>
        <v/>
      </c>
      <c r="G479" s="9"/>
      <c r="H479" s="9"/>
      <c r="I479" s="9"/>
      <c r="J479" s="7"/>
      <c r="K479" s="13" t="str">
        <f aca="false">IF(OR($G479="",$I479=""),"",ROUND($G479*$I479,0))</f>
        <v/>
      </c>
      <c r="L479" s="13" t="str">
        <f aca="false">IF($D479="","",IF($G479="",0,$G479)+IF($H479="",0,$H479))</f>
        <v/>
      </c>
      <c r="M479" s="7"/>
    </row>
    <row r="480" customFormat="false" ht="15" hidden="false" customHeight="true" outlineLevel="0" collapsed="false">
      <c r="A480" s="11"/>
      <c r="B480" s="7"/>
      <c r="C480" s="12" t="str">
        <f aca="false">IF($B480="","",IFERROR(INDEX(거래처마스터!$B$3:$B$102,MATCH($B480,거래처마스터!$A$3:$A$102,0)),"미등록"))</f>
        <v/>
      </c>
      <c r="D480" s="7"/>
      <c r="E480" s="12" t="str">
        <f aca="false">IF($D480="","",IFERROR(INDEX(품목마스터!$B$3:$B$202,MATCH($D480,품목마스터!$A$3:$A$202,0)),"미등록품번"))</f>
        <v/>
      </c>
      <c r="F480" s="12" t="str">
        <f aca="false">IF($D480="","",IFERROR(INDEX(품목마스터!$D$3:$D$202,MATCH($D480,품목마스터!$A$3:$A$202,0)),""))</f>
        <v/>
      </c>
      <c r="G480" s="9"/>
      <c r="H480" s="9"/>
      <c r="I480" s="9"/>
      <c r="J480" s="7"/>
      <c r="K480" s="13" t="str">
        <f aca="false">IF(OR($G480="",$I480=""),"",ROUND($G480*$I480,0))</f>
        <v/>
      </c>
      <c r="L480" s="13" t="str">
        <f aca="false">IF($D480="","",IF($G480="",0,$G480)+IF($H480="",0,$H480))</f>
        <v/>
      </c>
      <c r="M480" s="7"/>
    </row>
    <row r="481" customFormat="false" ht="15" hidden="false" customHeight="true" outlineLevel="0" collapsed="false">
      <c r="A481" s="11"/>
      <c r="B481" s="7"/>
      <c r="C481" s="12" t="str">
        <f aca="false">IF($B481="","",IFERROR(INDEX(거래처마스터!$B$3:$B$102,MATCH($B481,거래처마스터!$A$3:$A$102,0)),"미등록"))</f>
        <v/>
      </c>
      <c r="D481" s="7"/>
      <c r="E481" s="12" t="str">
        <f aca="false">IF($D481="","",IFERROR(INDEX(품목마스터!$B$3:$B$202,MATCH($D481,품목마스터!$A$3:$A$202,0)),"미등록품번"))</f>
        <v/>
      </c>
      <c r="F481" s="12" t="str">
        <f aca="false">IF($D481="","",IFERROR(INDEX(품목마스터!$D$3:$D$202,MATCH($D481,품목마스터!$A$3:$A$202,0)),""))</f>
        <v/>
      </c>
      <c r="G481" s="9"/>
      <c r="H481" s="9"/>
      <c r="I481" s="9"/>
      <c r="J481" s="7"/>
      <c r="K481" s="13" t="str">
        <f aca="false">IF(OR($G481="",$I481=""),"",ROUND($G481*$I481,0))</f>
        <v/>
      </c>
      <c r="L481" s="13" t="str">
        <f aca="false">IF($D481="","",IF($G481="",0,$G481)+IF($H481="",0,$H481))</f>
        <v/>
      </c>
      <c r="M481" s="7"/>
    </row>
    <row r="482" customFormat="false" ht="15" hidden="false" customHeight="true" outlineLevel="0" collapsed="false">
      <c r="A482" s="11"/>
      <c r="B482" s="7"/>
      <c r="C482" s="12" t="str">
        <f aca="false">IF($B482="","",IFERROR(INDEX(거래처마스터!$B$3:$B$102,MATCH($B482,거래처마스터!$A$3:$A$102,0)),"미등록"))</f>
        <v/>
      </c>
      <c r="D482" s="7"/>
      <c r="E482" s="12" t="str">
        <f aca="false">IF($D482="","",IFERROR(INDEX(품목마스터!$B$3:$B$202,MATCH($D482,품목마스터!$A$3:$A$202,0)),"미등록품번"))</f>
        <v/>
      </c>
      <c r="F482" s="12" t="str">
        <f aca="false">IF($D482="","",IFERROR(INDEX(품목마스터!$D$3:$D$202,MATCH($D482,품목마스터!$A$3:$A$202,0)),""))</f>
        <v/>
      </c>
      <c r="G482" s="9"/>
      <c r="H482" s="9"/>
      <c r="I482" s="9"/>
      <c r="J482" s="7"/>
      <c r="K482" s="13" t="str">
        <f aca="false">IF(OR($G482="",$I482=""),"",ROUND($G482*$I482,0))</f>
        <v/>
      </c>
      <c r="L482" s="13" t="str">
        <f aca="false">IF($D482="","",IF($G482="",0,$G482)+IF($H482="",0,$H482))</f>
        <v/>
      </c>
      <c r="M482" s="7"/>
    </row>
    <row r="483" customFormat="false" ht="15" hidden="false" customHeight="true" outlineLevel="0" collapsed="false">
      <c r="A483" s="11"/>
      <c r="B483" s="7"/>
      <c r="C483" s="12" t="str">
        <f aca="false">IF($B483="","",IFERROR(INDEX(거래처마스터!$B$3:$B$102,MATCH($B483,거래처마스터!$A$3:$A$102,0)),"미등록"))</f>
        <v/>
      </c>
      <c r="D483" s="7"/>
      <c r="E483" s="12" t="str">
        <f aca="false">IF($D483="","",IFERROR(INDEX(품목마스터!$B$3:$B$202,MATCH($D483,품목마스터!$A$3:$A$202,0)),"미등록품번"))</f>
        <v/>
      </c>
      <c r="F483" s="12" t="str">
        <f aca="false">IF($D483="","",IFERROR(INDEX(품목마스터!$D$3:$D$202,MATCH($D483,품목마스터!$A$3:$A$202,0)),""))</f>
        <v/>
      </c>
      <c r="G483" s="9"/>
      <c r="H483" s="9"/>
      <c r="I483" s="9"/>
      <c r="J483" s="7"/>
      <c r="K483" s="13" t="str">
        <f aca="false">IF(OR($G483="",$I483=""),"",ROUND($G483*$I483,0))</f>
        <v/>
      </c>
      <c r="L483" s="13" t="str">
        <f aca="false">IF($D483="","",IF($G483="",0,$G483)+IF($H483="",0,$H483))</f>
        <v/>
      </c>
      <c r="M483" s="7"/>
    </row>
    <row r="484" customFormat="false" ht="15" hidden="false" customHeight="true" outlineLevel="0" collapsed="false">
      <c r="A484" s="11"/>
      <c r="B484" s="7"/>
      <c r="C484" s="12" t="str">
        <f aca="false">IF($B484="","",IFERROR(INDEX(거래처마스터!$B$3:$B$102,MATCH($B484,거래처마스터!$A$3:$A$102,0)),"미등록"))</f>
        <v/>
      </c>
      <c r="D484" s="7"/>
      <c r="E484" s="12" t="str">
        <f aca="false">IF($D484="","",IFERROR(INDEX(품목마스터!$B$3:$B$202,MATCH($D484,품목마스터!$A$3:$A$202,0)),"미등록품번"))</f>
        <v/>
      </c>
      <c r="F484" s="12" t="str">
        <f aca="false">IF($D484="","",IFERROR(INDEX(품목마스터!$D$3:$D$202,MATCH($D484,품목마스터!$A$3:$A$202,0)),""))</f>
        <v/>
      </c>
      <c r="G484" s="9"/>
      <c r="H484" s="9"/>
      <c r="I484" s="9"/>
      <c r="J484" s="7"/>
      <c r="K484" s="13" t="str">
        <f aca="false">IF(OR($G484="",$I484=""),"",ROUND($G484*$I484,0))</f>
        <v/>
      </c>
      <c r="L484" s="13" t="str">
        <f aca="false">IF($D484="","",IF($G484="",0,$G484)+IF($H484="",0,$H484))</f>
        <v/>
      </c>
      <c r="M484" s="7"/>
    </row>
    <row r="485" customFormat="false" ht="15" hidden="false" customHeight="true" outlineLevel="0" collapsed="false">
      <c r="A485" s="11"/>
      <c r="B485" s="7"/>
      <c r="C485" s="12" t="str">
        <f aca="false">IF($B485="","",IFERROR(INDEX(거래처마스터!$B$3:$B$102,MATCH($B485,거래처마스터!$A$3:$A$102,0)),"미등록"))</f>
        <v/>
      </c>
      <c r="D485" s="7"/>
      <c r="E485" s="12" t="str">
        <f aca="false">IF($D485="","",IFERROR(INDEX(품목마스터!$B$3:$B$202,MATCH($D485,품목마스터!$A$3:$A$202,0)),"미등록품번"))</f>
        <v/>
      </c>
      <c r="F485" s="12" t="str">
        <f aca="false">IF($D485="","",IFERROR(INDEX(품목마스터!$D$3:$D$202,MATCH($D485,품목마스터!$A$3:$A$202,0)),""))</f>
        <v/>
      </c>
      <c r="G485" s="9"/>
      <c r="H485" s="9"/>
      <c r="I485" s="9"/>
      <c r="J485" s="7"/>
      <c r="K485" s="13" t="str">
        <f aca="false">IF(OR($G485="",$I485=""),"",ROUND($G485*$I485,0))</f>
        <v/>
      </c>
      <c r="L485" s="13" t="str">
        <f aca="false">IF($D485="","",IF($G485="",0,$G485)+IF($H485="",0,$H485))</f>
        <v/>
      </c>
      <c r="M485" s="7"/>
    </row>
    <row r="486" customFormat="false" ht="15" hidden="false" customHeight="true" outlineLevel="0" collapsed="false">
      <c r="A486" s="11"/>
      <c r="B486" s="7"/>
      <c r="C486" s="12" t="str">
        <f aca="false">IF($B486="","",IFERROR(INDEX(거래처마스터!$B$3:$B$102,MATCH($B486,거래처마스터!$A$3:$A$102,0)),"미등록"))</f>
        <v/>
      </c>
      <c r="D486" s="7"/>
      <c r="E486" s="12" t="str">
        <f aca="false">IF($D486="","",IFERROR(INDEX(품목마스터!$B$3:$B$202,MATCH($D486,품목마스터!$A$3:$A$202,0)),"미등록품번"))</f>
        <v/>
      </c>
      <c r="F486" s="12" t="str">
        <f aca="false">IF($D486="","",IFERROR(INDEX(품목마스터!$D$3:$D$202,MATCH($D486,품목마스터!$A$3:$A$202,0)),""))</f>
        <v/>
      </c>
      <c r="G486" s="9"/>
      <c r="H486" s="9"/>
      <c r="I486" s="9"/>
      <c r="J486" s="7"/>
      <c r="K486" s="13" t="str">
        <f aca="false">IF(OR($G486="",$I486=""),"",ROUND($G486*$I486,0))</f>
        <v/>
      </c>
      <c r="L486" s="13" t="str">
        <f aca="false">IF($D486="","",IF($G486="",0,$G486)+IF($H486="",0,$H486))</f>
        <v/>
      </c>
      <c r="M486" s="7"/>
    </row>
    <row r="487" customFormat="false" ht="15" hidden="false" customHeight="true" outlineLevel="0" collapsed="false">
      <c r="A487" s="11"/>
      <c r="B487" s="7"/>
      <c r="C487" s="12" t="str">
        <f aca="false">IF($B487="","",IFERROR(INDEX(거래처마스터!$B$3:$B$102,MATCH($B487,거래처마스터!$A$3:$A$102,0)),"미등록"))</f>
        <v/>
      </c>
      <c r="D487" s="7"/>
      <c r="E487" s="12" t="str">
        <f aca="false">IF($D487="","",IFERROR(INDEX(품목마스터!$B$3:$B$202,MATCH($D487,품목마스터!$A$3:$A$202,0)),"미등록품번"))</f>
        <v/>
      </c>
      <c r="F487" s="12" t="str">
        <f aca="false">IF($D487="","",IFERROR(INDEX(품목마스터!$D$3:$D$202,MATCH($D487,품목마스터!$A$3:$A$202,0)),""))</f>
        <v/>
      </c>
      <c r="G487" s="9"/>
      <c r="H487" s="9"/>
      <c r="I487" s="9"/>
      <c r="J487" s="7"/>
      <c r="K487" s="13" t="str">
        <f aca="false">IF(OR($G487="",$I487=""),"",ROUND($G487*$I487,0))</f>
        <v/>
      </c>
      <c r="L487" s="13" t="str">
        <f aca="false">IF($D487="","",IF($G487="",0,$G487)+IF($H487="",0,$H487))</f>
        <v/>
      </c>
      <c r="M487" s="7"/>
    </row>
    <row r="488" customFormat="false" ht="15" hidden="false" customHeight="true" outlineLevel="0" collapsed="false">
      <c r="A488" s="11"/>
      <c r="B488" s="7"/>
      <c r="C488" s="12" t="str">
        <f aca="false">IF($B488="","",IFERROR(INDEX(거래처마스터!$B$3:$B$102,MATCH($B488,거래처마스터!$A$3:$A$102,0)),"미등록"))</f>
        <v/>
      </c>
      <c r="D488" s="7"/>
      <c r="E488" s="12" t="str">
        <f aca="false">IF($D488="","",IFERROR(INDEX(품목마스터!$B$3:$B$202,MATCH($D488,품목마스터!$A$3:$A$202,0)),"미등록품번"))</f>
        <v/>
      </c>
      <c r="F488" s="12" t="str">
        <f aca="false">IF($D488="","",IFERROR(INDEX(품목마스터!$D$3:$D$202,MATCH($D488,품목마스터!$A$3:$A$202,0)),""))</f>
        <v/>
      </c>
      <c r="G488" s="9"/>
      <c r="H488" s="9"/>
      <c r="I488" s="9"/>
      <c r="J488" s="7"/>
      <c r="K488" s="13" t="str">
        <f aca="false">IF(OR($G488="",$I488=""),"",ROUND($G488*$I488,0))</f>
        <v/>
      </c>
      <c r="L488" s="13" t="str">
        <f aca="false">IF($D488="","",IF($G488="",0,$G488)+IF($H488="",0,$H488))</f>
        <v/>
      </c>
      <c r="M488" s="7"/>
    </row>
    <row r="489" customFormat="false" ht="15" hidden="false" customHeight="true" outlineLevel="0" collapsed="false">
      <c r="A489" s="11"/>
      <c r="B489" s="7"/>
      <c r="C489" s="12" t="str">
        <f aca="false">IF($B489="","",IFERROR(INDEX(거래처마스터!$B$3:$B$102,MATCH($B489,거래처마스터!$A$3:$A$102,0)),"미등록"))</f>
        <v/>
      </c>
      <c r="D489" s="7"/>
      <c r="E489" s="12" t="str">
        <f aca="false">IF($D489="","",IFERROR(INDEX(품목마스터!$B$3:$B$202,MATCH($D489,품목마스터!$A$3:$A$202,0)),"미등록품번"))</f>
        <v/>
      </c>
      <c r="F489" s="12" t="str">
        <f aca="false">IF($D489="","",IFERROR(INDEX(품목마스터!$D$3:$D$202,MATCH($D489,품목마스터!$A$3:$A$202,0)),""))</f>
        <v/>
      </c>
      <c r="G489" s="9"/>
      <c r="H489" s="9"/>
      <c r="I489" s="9"/>
      <c r="J489" s="7"/>
      <c r="K489" s="13" t="str">
        <f aca="false">IF(OR($G489="",$I489=""),"",ROUND($G489*$I489,0))</f>
        <v/>
      </c>
      <c r="L489" s="13" t="str">
        <f aca="false">IF($D489="","",IF($G489="",0,$G489)+IF($H489="",0,$H489))</f>
        <v/>
      </c>
      <c r="M489" s="7"/>
    </row>
    <row r="490" customFormat="false" ht="15" hidden="false" customHeight="true" outlineLevel="0" collapsed="false">
      <c r="A490" s="11"/>
      <c r="B490" s="7"/>
      <c r="C490" s="12" t="str">
        <f aca="false">IF($B490="","",IFERROR(INDEX(거래처마스터!$B$3:$B$102,MATCH($B490,거래처마스터!$A$3:$A$102,0)),"미등록"))</f>
        <v/>
      </c>
      <c r="D490" s="7"/>
      <c r="E490" s="12" t="str">
        <f aca="false">IF($D490="","",IFERROR(INDEX(품목마스터!$B$3:$B$202,MATCH($D490,품목마스터!$A$3:$A$202,0)),"미등록품번"))</f>
        <v/>
      </c>
      <c r="F490" s="12" t="str">
        <f aca="false">IF($D490="","",IFERROR(INDEX(품목마스터!$D$3:$D$202,MATCH($D490,품목마스터!$A$3:$A$202,0)),""))</f>
        <v/>
      </c>
      <c r="G490" s="9"/>
      <c r="H490" s="9"/>
      <c r="I490" s="9"/>
      <c r="J490" s="7"/>
      <c r="K490" s="13" t="str">
        <f aca="false">IF(OR($G490="",$I490=""),"",ROUND($G490*$I490,0))</f>
        <v/>
      </c>
      <c r="L490" s="13" t="str">
        <f aca="false">IF($D490="","",IF($G490="",0,$G490)+IF($H490="",0,$H490))</f>
        <v/>
      </c>
      <c r="M490" s="7"/>
    </row>
    <row r="491" customFormat="false" ht="15" hidden="false" customHeight="true" outlineLevel="0" collapsed="false">
      <c r="A491" s="11"/>
      <c r="B491" s="7"/>
      <c r="C491" s="12" t="str">
        <f aca="false">IF($B491="","",IFERROR(INDEX(거래처마스터!$B$3:$B$102,MATCH($B491,거래처마스터!$A$3:$A$102,0)),"미등록"))</f>
        <v/>
      </c>
      <c r="D491" s="7"/>
      <c r="E491" s="12" t="str">
        <f aca="false">IF($D491="","",IFERROR(INDEX(품목마스터!$B$3:$B$202,MATCH($D491,품목마스터!$A$3:$A$202,0)),"미등록품번"))</f>
        <v/>
      </c>
      <c r="F491" s="12" t="str">
        <f aca="false">IF($D491="","",IFERROR(INDEX(품목마스터!$D$3:$D$202,MATCH($D491,품목마스터!$A$3:$A$202,0)),""))</f>
        <v/>
      </c>
      <c r="G491" s="9"/>
      <c r="H491" s="9"/>
      <c r="I491" s="9"/>
      <c r="J491" s="7"/>
      <c r="K491" s="13" t="str">
        <f aca="false">IF(OR($G491="",$I491=""),"",ROUND($G491*$I491,0))</f>
        <v/>
      </c>
      <c r="L491" s="13" t="str">
        <f aca="false">IF($D491="","",IF($G491="",0,$G491)+IF($H491="",0,$H491))</f>
        <v/>
      </c>
      <c r="M491" s="7"/>
    </row>
    <row r="492" customFormat="false" ht="15" hidden="false" customHeight="true" outlineLevel="0" collapsed="false">
      <c r="A492" s="11"/>
      <c r="B492" s="7"/>
      <c r="C492" s="12" t="str">
        <f aca="false">IF($B492="","",IFERROR(INDEX(거래처마스터!$B$3:$B$102,MATCH($B492,거래처마스터!$A$3:$A$102,0)),"미등록"))</f>
        <v/>
      </c>
      <c r="D492" s="7"/>
      <c r="E492" s="12" t="str">
        <f aca="false">IF($D492="","",IFERROR(INDEX(품목마스터!$B$3:$B$202,MATCH($D492,품목마스터!$A$3:$A$202,0)),"미등록품번"))</f>
        <v/>
      </c>
      <c r="F492" s="12" t="str">
        <f aca="false">IF($D492="","",IFERROR(INDEX(품목마스터!$D$3:$D$202,MATCH($D492,품목마스터!$A$3:$A$202,0)),""))</f>
        <v/>
      </c>
      <c r="G492" s="9"/>
      <c r="H492" s="9"/>
      <c r="I492" s="9"/>
      <c r="J492" s="7"/>
      <c r="K492" s="13" t="str">
        <f aca="false">IF(OR($G492="",$I492=""),"",ROUND($G492*$I492,0))</f>
        <v/>
      </c>
      <c r="L492" s="13" t="str">
        <f aca="false">IF($D492="","",IF($G492="",0,$G492)+IF($H492="",0,$H492))</f>
        <v/>
      </c>
      <c r="M492" s="7"/>
    </row>
    <row r="493" customFormat="false" ht="15" hidden="false" customHeight="true" outlineLevel="0" collapsed="false">
      <c r="A493" s="11"/>
      <c r="B493" s="7"/>
      <c r="C493" s="12" t="str">
        <f aca="false">IF($B493="","",IFERROR(INDEX(거래처마스터!$B$3:$B$102,MATCH($B493,거래처마스터!$A$3:$A$102,0)),"미등록"))</f>
        <v/>
      </c>
      <c r="D493" s="7"/>
      <c r="E493" s="12" t="str">
        <f aca="false">IF($D493="","",IFERROR(INDEX(품목마스터!$B$3:$B$202,MATCH($D493,품목마스터!$A$3:$A$202,0)),"미등록품번"))</f>
        <v/>
      </c>
      <c r="F493" s="12" t="str">
        <f aca="false">IF($D493="","",IFERROR(INDEX(품목마스터!$D$3:$D$202,MATCH($D493,품목마스터!$A$3:$A$202,0)),""))</f>
        <v/>
      </c>
      <c r="G493" s="9"/>
      <c r="H493" s="9"/>
      <c r="I493" s="9"/>
      <c r="J493" s="7"/>
      <c r="K493" s="13" t="str">
        <f aca="false">IF(OR($G493="",$I493=""),"",ROUND($G493*$I493,0))</f>
        <v/>
      </c>
      <c r="L493" s="13" t="str">
        <f aca="false">IF($D493="","",IF($G493="",0,$G493)+IF($H493="",0,$H493))</f>
        <v/>
      </c>
      <c r="M493" s="7"/>
    </row>
    <row r="494" customFormat="false" ht="15" hidden="false" customHeight="true" outlineLevel="0" collapsed="false">
      <c r="A494" s="11"/>
      <c r="B494" s="7"/>
      <c r="C494" s="12" t="str">
        <f aca="false">IF($B494="","",IFERROR(INDEX(거래처마스터!$B$3:$B$102,MATCH($B494,거래처마스터!$A$3:$A$102,0)),"미등록"))</f>
        <v/>
      </c>
      <c r="D494" s="7"/>
      <c r="E494" s="12" t="str">
        <f aca="false">IF($D494="","",IFERROR(INDEX(품목마스터!$B$3:$B$202,MATCH($D494,품목마스터!$A$3:$A$202,0)),"미등록품번"))</f>
        <v/>
      </c>
      <c r="F494" s="12" t="str">
        <f aca="false">IF($D494="","",IFERROR(INDEX(품목마스터!$D$3:$D$202,MATCH($D494,품목마스터!$A$3:$A$202,0)),""))</f>
        <v/>
      </c>
      <c r="G494" s="9"/>
      <c r="H494" s="9"/>
      <c r="I494" s="9"/>
      <c r="J494" s="7"/>
      <c r="K494" s="13" t="str">
        <f aca="false">IF(OR($G494="",$I494=""),"",ROUND($G494*$I494,0))</f>
        <v/>
      </c>
      <c r="L494" s="13" t="str">
        <f aca="false">IF($D494="","",IF($G494="",0,$G494)+IF($H494="",0,$H494))</f>
        <v/>
      </c>
      <c r="M494" s="7"/>
    </row>
    <row r="495" customFormat="false" ht="15" hidden="false" customHeight="true" outlineLevel="0" collapsed="false">
      <c r="A495" s="11"/>
      <c r="B495" s="7"/>
      <c r="C495" s="12" t="str">
        <f aca="false">IF($B495="","",IFERROR(INDEX(거래처마스터!$B$3:$B$102,MATCH($B495,거래처마스터!$A$3:$A$102,0)),"미등록"))</f>
        <v/>
      </c>
      <c r="D495" s="7"/>
      <c r="E495" s="12" t="str">
        <f aca="false">IF($D495="","",IFERROR(INDEX(품목마스터!$B$3:$B$202,MATCH($D495,품목마스터!$A$3:$A$202,0)),"미등록품번"))</f>
        <v/>
      </c>
      <c r="F495" s="12" t="str">
        <f aca="false">IF($D495="","",IFERROR(INDEX(품목마스터!$D$3:$D$202,MATCH($D495,품목마스터!$A$3:$A$202,0)),""))</f>
        <v/>
      </c>
      <c r="G495" s="9"/>
      <c r="H495" s="9"/>
      <c r="I495" s="9"/>
      <c r="J495" s="7"/>
      <c r="K495" s="13" t="str">
        <f aca="false">IF(OR($G495="",$I495=""),"",ROUND($G495*$I495,0))</f>
        <v/>
      </c>
      <c r="L495" s="13" t="str">
        <f aca="false">IF($D495="","",IF($G495="",0,$G495)+IF($H495="",0,$H495))</f>
        <v/>
      </c>
      <c r="M495" s="7"/>
    </row>
    <row r="496" customFormat="false" ht="15" hidden="false" customHeight="true" outlineLevel="0" collapsed="false">
      <c r="A496" s="11"/>
      <c r="B496" s="7"/>
      <c r="C496" s="12" t="str">
        <f aca="false">IF($B496="","",IFERROR(INDEX(거래처마스터!$B$3:$B$102,MATCH($B496,거래처마스터!$A$3:$A$102,0)),"미등록"))</f>
        <v/>
      </c>
      <c r="D496" s="7"/>
      <c r="E496" s="12" t="str">
        <f aca="false">IF($D496="","",IFERROR(INDEX(품목마스터!$B$3:$B$202,MATCH($D496,품목마스터!$A$3:$A$202,0)),"미등록품번"))</f>
        <v/>
      </c>
      <c r="F496" s="12" t="str">
        <f aca="false">IF($D496="","",IFERROR(INDEX(품목마스터!$D$3:$D$202,MATCH($D496,품목마스터!$A$3:$A$202,0)),""))</f>
        <v/>
      </c>
      <c r="G496" s="9"/>
      <c r="H496" s="9"/>
      <c r="I496" s="9"/>
      <c r="J496" s="7"/>
      <c r="K496" s="13" t="str">
        <f aca="false">IF(OR($G496="",$I496=""),"",ROUND($G496*$I496,0))</f>
        <v/>
      </c>
      <c r="L496" s="13" t="str">
        <f aca="false">IF($D496="","",IF($G496="",0,$G496)+IF($H496="",0,$H496))</f>
        <v/>
      </c>
      <c r="M496" s="7"/>
    </row>
    <row r="497" customFormat="false" ht="15" hidden="false" customHeight="true" outlineLevel="0" collapsed="false">
      <c r="A497" s="11"/>
      <c r="B497" s="7"/>
      <c r="C497" s="12" t="str">
        <f aca="false">IF($B497="","",IFERROR(INDEX(거래처마스터!$B$3:$B$102,MATCH($B497,거래처마스터!$A$3:$A$102,0)),"미등록"))</f>
        <v/>
      </c>
      <c r="D497" s="7"/>
      <c r="E497" s="12" t="str">
        <f aca="false">IF($D497="","",IFERROR(INDEX(품목마스터!$B$3:$B$202,MATCH($D497,품목마스터!$A$3:$A$202,0)),"미등록품번"))</f>
        <v/>
      </c>
      <c r="F497" s="12" t="str">
        <f aca="false">IF($D497="","",IFERROR(INDEX(품목마스터!$D$3:$D$202,MATCH($D497,품목마스터!$A$3:$A$202,0)),""))</f>
        <v/>
      </c>
      <c r="G497" s="9"/>
      <c r="H497" s="9"/>
      <c r="I497" s="9"/>
      <c r="J497" s="7"/>
      <c r="K497" s="13" t="str">
        <f aca="false">IF(OR($G497="",$I497=""),"",ROUND($G497*$I497,0))</f>
        <v/>
      </c>
      <c r="L497" s="13" t="str">
        <f aca="false">IF($D497="","",IF($G497="",0,$G497)+IF($H497="",0,$H497))</f>
        <v/>
      </c>
      <c r="M497" s="7"/>
    </row>
    <row r="498" customFormat="false" ht="15" hidden="false" customHeight="true" outlineLevel="0" collapsed="false">
      <c r="A498" s="11"/>
      <c r="B498" s="7"/>
      <c r="C498" s="12" t="str">
        <f aca="false">IF($B498="","",IFERROR(INDEX(거래처마스터!$B$3:$B$102,MATCH($B498,거래처마스터!$A$3:$A$102,0)),"미등록"))</f>
        <v/>
      </c>
      <c r="D498" s="7"/>
      <c r="E498" s="12" t="str">
        <f aca="false">IF($D498="","",IFERROR(INDEX(품목마스터!$B$3:$B$202,MATCH($D498,품목마스터!$A$3:$A$202,0)),"미등록품번"))</f>
        <v/>
      </c>
      <c r="F498" s="12" t="str">
        <f aca="false">IF($D498="","",IFERROR(INDEX(품목마스터!$D$3:$D$202,MATCH($D498,품목마스터!$A$3:$A$202,0)),""))</f>
        <v/>
      </c>
      <c r="G498" s="9"/>
      <c r="H498" s="9"/>
      <c r="I498" s="9"/>
      <c r="J498" s="7"/>
      <c r="K498" s="13" t="str">
        <f aca="false">IF(OR($G498="",$I498=""),"",ROUND($G498*$I498,0))</f>
        <v/>
      </c>
      <c r="L498" s="13" t="str">
        <f aca="false">IF($D498="","",IF($G498="",0,$G498)+IF($H498="",0,$H498))</f>
        <v/>
      </c>
      <c r="M498" s="7"/>
    </row>
    <row r="499" customFormat="false" ht="15" hidden="false" customHeight="true" outlineLevel="0" collapsed="false">
      <c r="A499" s="11"/>
      <c r="B499" s="7"/>
      <c r="C499" s="12" t="str">
        <f aca="false">IF($B499="","",IFERROR(INDEX(거래처마스터!$B$3:$B$102,MATCH($B499,거래처마스터!$A$3:$A$102,0)),"미등록"))</f>
        <v/>
      </c>
      <c r="D499" s="7"/>
      <c r="E499" s="12" t="str">
        <f aca="false">IF($D499="","",IFERROR(INDEX(품목마스터!$B$3:$B$202,MATCH($D499,품목마스터!$A$3:$A$202,0)),"미등록품번"))</f>
        <v/>
      </c>
      <c r="F499" s="12" t="str">
        <f aca="false">IF($D499="","",IFERROR(INDEX(품목마스터!$D$3:$D$202,MATCH($D499,품목마스터!$A$3:$A$202,0)),""))</f>
        <v/>
      </c>
      <c r="G499" s="9"/>
      <c r="H499" s="9"/>
      <c r="I499" s="9"/>
      <c r="J499" s="7"/>
      <c r="K499" s="13" t="str">
        <f aca="false">IF(OR($G499="",$I499=""),"",ROUND($G499*$I499,0))</f>
        <v/>
      </c>
      <c r="L499" s="13" t="str">
        <f aca="false">IF($D499="","",IF($G499="",0,$G499)+IF($H499="",0,$H499))</f>
        <v/>
      </c>
      <c r="M499" s="7"/>
    </row>
    <row r="500" customFormat="false" ht="15" hidden="false" customHeight="true" outlineLevel="0" collapsed="false">
      <c r="A500" s="11"/>
      <c r="B500" s="7"/>
      <c r="C500" s="12" t="str">
        <f aca="false">IF($B500="","",IFERROR(INDEX(거래처마스터!$B$3:$B$102,MATCH($B500,거래처마스터!$A$3:$A$102,0)),"미등록"))</f>
        <v/>
      </c>
      <c r="D500" s="7"/>
      <c r="E500" s="12" t="str">
        <f aca="false">IF($D500="","",IFERROR(INDEX(품목마스터!$B$3:$B$202,MATCH($D500,품목마스터!$A$3:$A$202,0)),"미등록품번"))</f>
        <v/>
      </c>
      <c r="F500" s="12" t="str">
        <f aca="false">IF($D500="","",IFERROR(INDEX(품목마스터!$D$3:$D$202,MATCH($D500,품목마스터!$A$3:$A$202,0)),""))</f>
        <v/>
      </c>
      <c r="G500" s="9"/>
      <c r="H500" s="9"/>
      <c r="I500" s="9"/>
      <c r="J500" s="7"/>
      <c r="K500" s="13" t="str">
        <f aca="false">IF(OR($G500="",$I500=""),"",ROUND($G500*$I500,0))</f>
        <v/>
      </c>
      <c r="L500" s="13" t="str">
        <f aca="false">IF($D500="","",IF($G500="",0,$G500)+IF($H500="",0,$H500))</f>
        <v/>
      </c>
      <c r="M500" s="7"/>
    </row>
    <row r="501" customFormat="false" ht="15" hidden="false" customHeight="true" outlineLevel="0" collapsed="false">
      <c r="A501" s="11"/>
      <c r="B501" s="7"/>
      <c r="C501" s="12" t="str">
        <f aca="false">IF($B501="","",IFERROR(INDEX(거래처마스터!$B$3:$B$102,MATCH($B501,거래처마스터!$A$3:$A$102,0)),"미등록"))</f>
        <v/>
      </c>
      <c r="D501" s="7"/>
      <c r="E501" s="12" t="str">
        <f aca="false">IF($D501="","",IFERROR(INDEX(품목마스터!$B$3:$B$202,MATCH($D501,품목마스터!$A$3:$A$202,0)),"미등록품번"))</f>
        <v/>
      </c>
      <c r="F501" s="12" t="str">
        <f aca="false">IF($D501="","",IFERROR(INDEX(품목마스터!$D$3:$D$202,MATCH($D501,품목마스터!$A$3:$A$202,0)),""))</f>
        <v/>
      </c>
      <c r="G501" s="9"/>
      <c r="H501" s="9"/>
      <c r="I501" s="9"/>
      <c r="J501" s="7"/>
      <c r="K501" s="13" t="str">
        <f aca="false">IF(OR($G501="",$I501=""),"",ROUND($G501*$I501,0))</f>
        <v/>
      </c>
      <c r="L501" s="13" t="str">
        <f aca="false">IF($D501="","",IF($G501="",0,$G501)+IF($H501="",0,$H501))</f>
        <v/>
      </c>
      <c r="M501" s="7"/>
    </row>
    <row r="502" customFormat="false" ht="15" hidden="false" customHeight="true" outlineLevel="0" collapsed="false">
      <c r="A502" s="11"/>
      <c r="B502" s="7"/>
      <c r="C502" s="12" t="str">
        <f aca="false">IF($B502="","",IFERROR(INDEX(거래처마스터!$B$3:$B$102,MATCH($B502,거래처마스터!$A$3:$A$102,0)),"미등록"))</f>
        <v/>
      </c>
      <c r="D502" s="7"/>
      <c r="E502" s="12" t="str">
        <f aca="false">IF($D502="","",IFERROR(INDEX(품목마스터!$B$3:$B$202,MATCH($D502,품목마스터!$A$3:$A$202,0)),"미등록품번"))</f>
        <v/>
      </c>
      <c r="F502" s="12" t="str">
        <f aca="false">IF($D502="","",IFERROR(INDEX(품목마스터!$D$3:$D$202,MATCH($D502,품목마스터!$A$3:$A$202,0)),""))</f>
        <v/>
      </c>
      <c r="G502" s="9"/>
      <c r="H502" s="9"/>
      <c r="I502" s="9"/>
      <c r="J502" s="7"/>
      <c r="K502" s="13" t="str">
        <f aca="false">IF(OR($G502="",$I502=""),"",ROUND($G502*$I502,0))</f>
        <v/>
      </c>
      <c r="L502" s="13" t="str">
        <f aca="false">IF($D502="","",IF($G502="",0,$G502)+IF($H502="",0,$H502))</f>
        <v/>
      </c>
      <c r="M502" s="7"/>
    </row>
    <row r="503" customFormat="false" ht="15" hidden="false" customHeight="true" outlineLevel="0" collapsed="false">
      <c r="A503" s="11"/>
      <c r="B503" s="7"/>
      <c r="C503" s="12" t="str">
        <f aca="false">IF($B503="","",IFERROR(INDEX(거래처마스터!$B$3:$B$102,MATCH($B503,거래처마스터!$A$3:$A$102,0)),"미등록"))</f>
        <v/>
      </c>
      <c r="D503" s="7"/>
      <c r="E503" s="12" t="str">
        <f aca="false">IF($D503="","",IFERROR(INDEX(품목마스터!$B$3:$B$202,MATCH($D503,품목마스터!$A$3:$A$202,0)),"미등록품번"))</f>
        <v/>
      </c>
      <c r="F503" s="12" t="str">
        <f aca="false">IF($D503="","",IFERROR(INDEX(품목마스터!$D$3:$D$202,MATCH($D503,품목마스터!$A$3:$A$202,0)),""))</f>
        <v/>
      </c>
      <c r="G503" s="9"/>
      <c r="H503" s="9"/>
      <c r="I503" s="9"/>
      <c r="J503" s="7"/>
      <c r="K503" s="13" t="str">
        <f aca="false">IF(OR($G503="",$I503=""),"",ROUND($G503*$I503,0))</f>
        <v/>
      </c>
      <c r="L503" s="13" t="str">
        <f aca="false">IF($D503="","",IF($G503="",0,$G503)+IF($H503="",0,$H503))</f>
        <v/>
      </c>
      <c r="M503" s="7"/>
    </row>
    <row r="504" customFormat="false" ht="15" hidden="false" customHeight="true" outlineLevel="0" collapsed="false">
      <c r="A504" s="11"/>
      <c r="B504" s="7"/>
      <c r="C504" s="12" t="str">
        <f aca="false">IF($B504="","",IFERROR(INDEX(거래처마스터!$B$3:$B$102,MATCH($B504,거래처마스터!$A$3:$A$102,0)),"미등록"))</f>
        <v/>
      </c>
      <c r="D504" s="7"/>
      <c r="E504" s="12" t="str">
        <f aca="false">IF($D504="","",IFERROR(INDEX(품목마스터!$B$3:$B$202,MATCH($D504,품목마스터!$A$3:$A$202,0)),"미등록품번"))</f>
        <v/>
      </c>
      <c r="F504" s="12" t="str">
        <f aca="false">IF($D504="","",IFERROR(INDEX(품목마스터!$D$3:$D$202,MATCH($D504,품목마스터!$A$3:$A$202,0)),""))</f>
        <v/>
      </c>
      <c r="G504" s="9"/>
      <c r="H504" s="9"/>
      <c r="I504" s="9"/>
      <c r="J504" s="7"/>
      <c r="K504" s="13" t="str">
        <f aca="false">IF(OR($G504="",$I504=""),"",ROUND($G504*$I504,0))</f>
        <v/>
      </c>
      <c r="L504" s="13" t="str">
        <f aca="false">IF($D504="","",IF($G504="",0,$G504)+IF($H504="",0,$H504))</f>
        <v/>
      </c>
      <c r="M504" s="7"/>
    </row>
    <row r="505" customFormat="false" ht="15" hidden="false" customHeight="true" outlineLevel="0" collapsed="false">
      <c r="A505" s="11"/>
      <c r="B505" s="7"/>
      <c r="C505" s="12" t="str">
        <f aca="false">IF($B505="","",IFERROR(INDEX(거래처마스터!$B$3:$B$102,MATCH($B505,거래처마스터!$A$3:$A$102,0)),"미등록"))</f>
        <v/>
      </c>
      <c r="D505" s="7"/>
      <c r="E505" s="12" t="str">
        <f aca="false">IF($D505="","",IFERROR(INDEX(품목마스터!$B$3:$B$202,MATCH($D505,품목마스터!$A$3:$A$202,0)),"미등록품번"))</f>
        <v/>
      </c>
      <c r="F505" s="12" t="str">
        <f aca="false">IF($D505="","",IFERROR(INDEX(품목마스터!$D$3:$D$202,MATCH($D505,품목마스터!$A$3:$A$202,0)),""))</f>
        <v/>
      </c>
      <c r="G505" s="9"/>
      <c r="H505" s="9"/>
      <c r="I505" s="9"/>
      <c r="J505" s="7"/>
      <c r="K505" s="13" t="str">
        <f aca="false">IF(OR($G505="",$I505=""),"",ROUND($G505*$I505,0))</f>
        <v/>
      </c>
      <c r="L505" s="13" t="str">
        <f aca="false">IF($D505="","",IF($G505="",0,$G505)+IF($H505="",0,$H505))</f>
        <v/>
      </c>
      <c r="M505" s="7"/>
    </row>
    <row r="506" customFormat="false" ht="15" hidden="false" customHeight="true" outlineLevel="0" collapsed="false">
      <c r="A506" s="11"/>
      <c r="B506" s="7"/>
      <c r="C506" s="12" t="str">
        <f aca="false">IF($B506="","",IFERROR(INDEX(거래처마스터!$B$3:$B$102,MATCH($B506,거래처마스터!$A$3:$A$102,0)),"미등록"))</f>
        <v/>
      </c>
      <c r="D506" s="7"/>
      <c r="E506" s="12" t="str">
        <f aca="false">IF($D506="","",IFERROR(INDEX(품목마스터!$B$3:$B$202,MATCH($D506,품목마스터!$A$3:$A$202,0)),"미등록품번"))</f>
        <v/>
      </c>
      <c r="F506" s="12" t="str">
        <f aca="false">IF($D506="","",IFERROR(INDEX(품목마스터!$D$3:$D$202,MATCH($D506,품목마스터!$A$3:$A$202,0)),""))</f>
        <v/>
      </c>
      <c r="G506" s="9"/>
      <c r="H506" s="9"/>
      <c r="I506" s="9"/>
      <c r="J506" s="7"/>
      <c r="K506" s="13" t="str">
        <f aca="false">IF(OR($G506="",$I506=""),"",ROUND($G506*$I506,0))</f>
        <v/>
      </c>
      <c r="L506" s="13" t="str">
        <f aca="false">IF($D506="","",IF($G506="",0,$G506)+IF($H506="",0,$H506))</f>
        <v/>
      </c>
      <c r="M506" s="7"/>
    </row>
    <row r="507" customFormat="false" ht="15" hidden="false" customHeight="true" outlineLevel="0" collapsed="false">
      <c r="A507" s="11"/>
      <c r="B507" s="7"/>
      <c r="C507" s="12" t="str">
        <f aca="false">IF($B507="","",IFERROR(INDEX(거래처마스터!$B$3:$B$102,MATCH($B507,거래처마스터!$A$3:$A$102,0)),"미등록"))</f>
        <v/>
      </c>
      <c r="D507" s="7"/>
      <c r="E507" s="12" t="str">
        <f aca="false">IF($D507="","",IFERROR(INDEX(품목마스터!$B$3:$B$202,MATCH($D507,품목마스터!$A$3:$A$202,0)),"미등록품번"))</f>
        <v/>
      </c>
      <c r="F507" s="12" t="str">
        <f aca="false">IF($D507="","",IFERROR(INDEX(품목마스터!$D$3:$D$202,MATCH($D507,품목마스터!$A$3:$A$202,0)),""))</f>
        <v/>
      </c>
      <c r="G507" s="9"/>
      <c r="H507" s="9"/>
      <c r="I507" s="9"/>
      <c r="J507" s="7"/>
      <c r="K507" s="13" t="str">
        <f aca="false">IF(OR($G507="",$I507=""),"",ROUND($G507*$I507,0))</f>
        <v/>
      </c>
      <c r="L507" s="13" t="str">
        <f aca="false">IF($D507="","",IF($G507="",0,$G507)+IF($H507="",0,$H507))</f>
        <v/>
      </c>
      <c r="M507" s="7"/>
    </row>
    <row r="508" customFormat="false" ht="15" hidden="false" customHeight="true" outlineLevel="0" collapsed="false">
      <c r="A508" s="11"/>
      <c r="B508" s="7"/>
      <c r="C508" s="12" t="str">
        <f aca="false">IF($B508="","",IFERROR(INDEX(거래처마스터!$B$3:$B$102,MATCH($B508,거래처마스터!$A$3:$A$102,0)),"미등록"))</f>
        <v/>
      </c>
      <c r="D508" s="7"/>
      <c r="E508" s="12" t="str">
        <f aca="false">IF($D508="","",IFERROR(INDEX(품목마스터!$B$3:$B$202,MATCH($D508,품목마스터!$A$3:$A$202,0)),"미등록품번"))</f>
        <v/>
      </c>
      <c r="F508" s="12" t="str">
        <f aca="false">IF($D508="","",IFERROR(INDEX(품목마스터!$D$3:$D$202,MATCH($D508,품목마스터!$A$3:$A$202,0)),""))</f>
        <v/>
      </c>
      <c r="G508" s="9"/>
      <c r="H508" s="9"/>
      <c r="I508" s="9"/>
      <c r="J508" s="7"/>
      <c r="K508" s="13" t="str">
        <f aca="false">IF(OR($G508="",$I508=""),"",ROUND($G508*$I508,0))</f>
        <v/>
      </c>
      <c r="L508" s="13" t="str">
        <f aca="false">IF($D508="","",IF($G508="",0,$G508)+IF($H508="",0,$H508))</f>
        <v/>
      </c>
      <c r="M508" s="7"/>
    </row>
    <row r="509" customFormat="false" ht="15" hidden="false" customHeight="true" outlineLevel="0" collapsed="false">
      <c r="A509" s="11"/>
      <c r="B509" s="7"/>
      <c r="C509" s="12" t="str">
        <f aca="false">IF($B509="","",IFERROR(INDEX(거래처마스터!$B$3:$B$102,MATCH($B509,거래처마스터!$A$3:$A$102,0)),"미등록"))</f>
        <v/>
      </c>
      <c r="D509" s="7"/>
      <c r="E509" s="12" t="str">
        <f aca="false">IF($D509="","",IFERROR(INDEX(품목마스터!$B$3:$B$202,MATCH($D509,품목마스터!$A$3:$A$202,0)),"미등록품번"))</f>
        <v/>
      </c>
      <c r="F509" s="12" t="str">
        <f aca="false">IF($D509="","",IFERROR(INDEX(품목마스터!$D$3:$D$202,MATCH($D509,품목마스터!$A$3:$A$202,0)),""))</f>
        <v/>
      </c>
      <c r="G509" s="9"/>
      <c r="H509" s="9"/>
      <c r="I509" s="9"/>
      <c r="J509" s="7"/>
      <c r="K509" s="13" t="str">
        <f aca="false">IF(OR($G509="",$I509=""),"",ROUND($G509*$I509,0))</f>
        <v/>
      </c>
      <c r="L509" s="13" t="str">
        <f aca="false">IF($D509="","",IF($G509="",0,$G509)+IF($H509="",0,$H509))</f>
        <v/>
      </c>
      <c r="M509" s="7"/>
    </row>
    <row r="510" customFormat="false" ht="15" hidden="false" customHeight="true" outlineLevel="0" collapsed="false">
      <c r="A510" s="11"/>
      <c r="B510" s="7"/>
      <c r="C510" s="12" t="str">
        <f aca="false">IF($B510="","",IFERROR(INDEX(거래처마스터!$B$3:$B$102,MATCH($B510,거래처마스터!$A$3:$A$102,0)),"미등록"))</f>
        <v/>
      </c>
      <c r="D510" s="7"/>
      <c r="E510" s="12" t="str">
        <f aca="false">IF($D510="","",IFERROR(INDEX(품목마스터!$B$3:$B$202,MATCH($D510,품목마스터!$A$3:$A$202,0)),"미등록품번"))</f>
        <v/>
      </c>
      <c r="F510" s="12" t="str">
        <f aca="false">IF($D510="","",IFERROR(INDEX(품목마스터!$D$3:$D$202,MATCH($D510,품목마스터!$A$3:$A$202,0)),""))</f>
        <v/>
      </c>
      <c r="G510" s="9"/>
      <c r="H510" s="9"/>
      <c r="I510" s="9"/>
      <c r="J510" s="7"/>
      <c r="K510" s="13" t="str">
        <f aca="false">IF(OR($G510="",$I510=""),"",ROUND($G510*$I510,0))</f>
        <v/>
      </c>
      <c r="L510" s="13" t="str">
        <f aca="false">IF($D510="","",IF($G510="",0,$G510)+IF($H510="",0,$H510))</f>
        <v/>
      </c>
      <c r="M510" s="7"/>
    </row>
    <row r="511" customFormat="false" ht="15" hidden="false" customHeight="true" outlineLevel="0" collapsed="false">
      <c r="A511" s="11"/>
      <c r="B511" s="7"/>
      <c r="C511" s="12" t="str">
        <f aca="false">IF($B511="","",IFERROR(INDEX(거래처마스터!$B$3:$B$102,MATCH($B511,거래처마스터!$A$3:$A$102,0)),"미등록"))</f>
        <v/>
      </c>
      <c r="D511" s="7"/>
      <c r="E511" s="12" t="str">
        <f aca="false">IF($D511="","",IFERROR(INDEX(품목마스터!$B$3:$B$202,MATCH($D511,품목마스터!$A$3:$A$202,0)),"미등록품번"))</f>
        <v/>
      </c>
      <c r="F511" s="12" t="str">
        <f aca="false">IF($D511="","",IFERROR(INDEX(품목마스터!$D$3:$D$202,MATCH($D511,품목마스터!$A$3:$A$202,0)),""))</f>
        <v/>
      </c>
      <c r="G511" s="9"/>
      <c r="H511" s="9"/>
      <c r="I511" s="9"/>
      <c r="J511" s="7"/>
      <c r="K511" s="13" t="str">
        <f aca="false">IF(OR($G511="",$I511=""),"",ROUND($G511*$I511,0))</f>
        <v/>
      </c>
      <c r="L511" s="13" t="str">
        <f aca="false">IF($D511="","",IF($G511="",0,$G511)+IF($H511="",0,$H511))</f>
        <v/>
      </c>
      <c r="M511" s="7"/>
    </row>
    <row r="512" customFormat="false" ht="15" hidden="false" customHeight="true" outlineLevel="0" collapsed="false">
      <c r="A512" s="11"/>
      <c r="B512" s="7"/>
      <c r="C512" s="12" t="str">
        <f aca="false">IF($B512="","",IFERROR(INDEX(거래처마스터!$B$3:$B$102,MATCH($B512,거래처마스터!$A$3:$A$102,0)),"미등록"))</f>
        <v/>
      </c>
      <c r="D512" s="7"/>
      <c r="E512" s="12" t="str">
        <f aca="false">IF($D512="","",IFERROR(INDEX(품목마스터!$B$3:$B$202,MATCH($D512,품목마스터!$A$3:$A$202,0)),"미등록품번"))</f>
        <v/>
      </c>
      <c r="F512" s="12" t="str">
        <f aca="false">IF($D512="","",IFERROR(INDEX(품목마스터!$D$3:$D$202,MATCH($D512,품목마스터!$A$3:$A$202,0)),""))</f>
        <v/>
      </c>
      <c r="G512" s="9"/>
      <c r="H512" s="9"/>
      <c r="I512" s="9"/>
      <c r="J512" s="7"/>
      <c r="K512" s="13" t="str">
        <f aca="false">IF(OR($G512="",$I512=""),"",ROUND($G512*$I512,0))</f>
        <v/>
      </c>
      <c r="L512" s="13" t="str">
        <f aca="false">IF($D512="","",IF($G512="",0,$G512)+IF($H512="",0,$H512))</f>
        <v/>
      </c>
      <c r="M512" s="7"/>
    </row>
    <row r="513" customFormat="false" ht="15" hidden="false" customHeight="true" outlineLevel="0" collapsed="false">
      <c r="A513" s="11"/>
      <c r="B513" s="7"/>
      <c r="C513" s="12" t="str">
        <f aca="false">IF($B513="","",IFERROR(INDEX(거래처마스터!$B$3:$B$102,MATCH($B513,거래처마스터!$A$3:$A$102,0)),"미등록"))</f>
        <v/>
      </c>
      <c r="D513" s="7"/>
      <c r="E513" s="12" t="str">
        <f aca="false">IF($D513="","",IFERROR(INDEX(품목마스터!$B$3:$B$202,MATCH($D513,품목마스터!$A$3:$A$202,0)),"미등록품번"))</f>
        <v/>
      </c>
      <c r="F513" s="12" t="str">
        <f aca="false">IF($D513="","",IFERROR(INDEX(품목마스터!$D$3:$D$202,MATCH($D513,품목마스터!$A$3:$A$202,0)),""))</f>
        <v/>
      </c>
      <c r="G513" s="9"/>
      <c r="H513" s="9"/>
      <c r="I513" s="9"/>
      <c r="J513" s="7"/>
      <c r="K513" s="13" t="str">
        <f aca="false">IF(OR($G513="",$I513=""),"",ROUND($G513*$I513,0))</f>
        <v/>
      </c>
      <c r="L513" s="13" t="str">
        <f aca="false">IF($D513="","",IF($G513="",0,$G513)+IF($H513="",0,$H513))</f>
        <v/>
      </c>
      <c r="M513" s="7"/>
    </row>
    <row r="514" customFormat="false" ht="15" hidden="false" customHeight="true" outlineLevel="0" collapsed="false">
      <c r="A514" s="11"/>
      <c r="B514" s="7"/>
      <c r="C514" s="12" t="str">
        <f aca="false">IF($B514="","",IFERROR(INDEX(거래처마스터!$B$3:$B$102,MATCH($B514,거래처마스터!$A$3:$A$102,0)),"미등록"))</f>
        <v/>
      </c>
      <c r="D514" s="7"/>
      <c r="E514" s="12" t="str">
        <f aca="false">IF($D514="","",IFERROR(INDEX(품목마스터!$B$3:$B$202,MATCH($D514,품목마스터!$A$3:$A$202,0)),"미등록품번"))</f>
        <v/>
      </c>
      <c r="F514" s="12" t="str">
        <f aca="false">IF($D514="","",IFERROR(INDEX(품목마스터!$D$3:$D$202,MATCH($D514,품목마스터!$A$3:$A$202,0)),""))</f>
        <v/>
      </c>
      <c r="G514" s="9"/>
      <c r="H514" s="9"/>
      <c r="I514" s="9"/>
      <c r="J514" s="7"/>
      <c r="K514" s="13" t="str">
        <f aca="false">IF(OR($G514="",$I514=""),"",ROUND($G514*$I514,0))</f>
        <v/>
      </c>
      <c r="L514" s="13" t="str">
        <f aca="false">IF($D514="","",IF($G514="",0,$G514)+IF($H514="",0,$H514))</f>
        <v/>
      </c>
      <c r="M514" s="7"/>
    </row>
    <row r="515" customFormat="false" ht="15" hidden="false" customHeight="true" outlineLevel="0" collapsed="false">
      <c r="A515" s="11"/>
      <c r="B515" s="7"/>
      <c r="C515" s="12" t="str">
        <f aca="false">IF($B515="","",IFERROR(INDEX(거래처마스터!$B$3:$B$102,MATCH($B515,거래처마스터!$A$3:$A$102,0)),"미등록"))</f>
        <v/>
      </c>
      <c r="D515" s="7"/>
      <c r="E515" s="12" t="str">
        <f aca="false">IF($D515="","",IFERROR(INDEX(품목마스터!$B$3:$B$202,MATCH($D515,품목마스터!$A$3:$A$202,0)),"미등록품번"))</f>
        <v/>
      </c>
      <c r="F515" s="12" t="str">
        <f aca="false">IF($D515="","",IFERROR(INDEX(품목마스터!$D$3:$D$202,MATCH($D515,품목마스터!$A$3:$A$202,0)),""))</f>
        <v/>
      </c>
      <c r="G515" s="9"/>
      <c r="H515" s="9"/>
      <c r="I515" s="9"/>
      <c r="J515" s="7"/>
      <c r="K515" s="13" t="str">
        <f aca="false">IF(OR($G515="",$I515=""),"",ROUND($G515*$I515,0))</f>
        <v/>
      </c>
      <c r="L515" s="13" t="str">
        <f aca="false">IF($D515="","",IF($G515="",0,$G515)+IF($H515="",0,$H515))</f>
        <v/>
      </c>
      <c r="M515" s="7"/>
    </row>
    <row r="516" customFormat="false" ht="15" hidden="false" customHeight="true" outlineLevel="0" collapsed="false">
      <c r="A516" s="11"/>
      <c r="B516" s="7"/>
      <c r="C516" s="12" t="str">
        <f aca="false">IF($B516="","",IFERROR(INDEX(거래처마스터!$B$3:$B$102,MATCH($B516,거래처마스터!$A$3:$A$102,0)),"미등록"))</f>
        <v/>
      </c>
      <c r="D516" s="7"/>
      <c r="E516" s="12" t="str">
        <f aca="false">IF($D516="","",IFERROR(INDEX(품목마스터!$B$3:$B$202,MATCH($D516,품목마스터!$A$3:$A$202,0)),"미등록품번"))</f>
        <v/>
      </c>
      <c r="F516" s="12" t="str">
        <f aca="false">IF($D516="","",IFERROR(INDEX(품목마스터!$D$3:$D$202,MATCH($D516,품목마스터!$A$3:$A$202,0)),""))</f>
        <v/>
      </c>
      <c r="G516" s="9"/>
      <c r="H516" s="9"/>
      <c r="I516" s="9"/>
      <c r="J516" s="7"/>
      <c r="K516" s="13" t="str">
        <f aca="false">IF(OR($G516="",$I516=""),"",ROUND($G516*$I516,0))</f>
        <v/>
      </c>
      <c r="L516" s="13" t="str">
        <f aca="false">IF($D516="","",IF($G516="",0,$G516)+IF($H516="",0,$H516))</f>
        <v/>
      </c>
      <c r="M516" s="7"/>
    </row>
    <row r="517" customFormat="false" ht="15" hidden="false" customHeight="true" outlineLevel="0" collapsed="false">
      <c r="A517" s="11"/>
      <c r="B517" s="7"/>
      <c r="C517" s="12" t="str">
        <f aca="false">IF($B517="","",IFERROR(INDEX(거래처마스터!$B$3:$B$102,MATCH($B517,거래처마스터!$A$3:$A$102,0)),"미등록"))</f>
        <v/>
      </c>
      <c r="D517" s="7"/>
      <c r="E517" s="12" t="str">
        <f aca="false">IF($D517="","",IFERROR(INDEX(품목마스터!$B$3:$B$202,MATCH($D517,품목마스터!$A$3:$A$202,0)),"미등록품번"))</f>
        <v/>
      </c>
      <c r="F517" s="12" t="str">
        <f aca="false">IF($D517="","",IFERROR(INDEX(품목마스터!$D$3:$D$202,MATCH($D517,품목마스터!$A$3:$A$202,0)),""))</f>
        <v/>
      </c>
      <c r="G517" s="9"/>
      <c r="H517" s="9"/>
      <c r="I517" s="9"/>
      <c r="J517" s="7"/>
      <c r="K517" s="13" t="str">
        <f aca="false">IF(OR($G517="",$I517=""),"",ROUND($G517*$I517,0))</f>
        <v/>
      </c>
      <c r="L517" s="13" t="str">
        <f aca="false">IF($D517="","",IF($G517="",0,$G517)+IF($H517="",0,$H517))</f>
        <v/>
      </c>
      <c r="M517" s="7"/>
    </row>
    <row r="518" customFormat="false" ht="15" hidden="false" customHeight="true" outlineLevel="0" collapsed="false">
      <c r="A518" s="11"/>
      <c r="B518" s="7"/>
      <c r="C518" s="12" t="str">
        <f aca="false">IF($B518="","",IFERROR(INDEX(거래처마스터!$B$3:$B$102,MATCH($B518,거래처마스터!$A$3:$A$102,0)),"미등록"))</f>
        <v/>
      </c>
      <c r="D518" s="7"/>
      <c r="E518" s="12" t="str">
        <f aca="false">IF($D518="","",IFERROR(INDEX(품목마스터!$B$3:$B$202,MATCH($D518,품목마스터!$A$3:$A$202,0)),"미등록품번"))</f>
        <v/>
      </c>
      <c r="F518" s="12" t="str">
        <f aca="false">IF($D518="","",IFERROR(INDEX(품목마스터!$D$3:$D$202,MATCH($D518,품목마스터!$A$3:$A$202,0)),""))</f>
        <v/>
      </c>
      <c r="G518" s="9"/>
      <c r="H518" s="9"/>
      <c r="I518" s="9"/>
      <c r="J518" s="7"/>
      <c r="K518" s="13" t="str">
        <f aca="false">IF(OR($G518="",$I518=""),"",ROUND($G518*$I518,0))</f>
        <v/>
      </c>
      <c r="L518" s="13" t="str">
        <f aca="false">IF($D518="","",IF($G518="",0,$G518)+IF($H518="",0,$H518))</f>
        <v/>
      </c>
      <c r="M518" s="7"/>
    </row>
    <row r="519" customFormat="false" ht="15" hidden="false" customHeight="true" outlineLevel="0" collapsed="false">
      <c r="A519" s="11"/>
      <c r="B519" s="7"/>
      <c r="C519" s="12" t="str">
        <f aca="false">IF($B519="","",IFERROR(INDEX(거래처마스터!$B$3:$B$102,MATCH($B519,거래처마스터!$A$3:$A$102,0)),"미등록"))</f>
        <v/>
      </c>
      <c r="D519" s="7"/>
      <c r="E519" s="12" t="str">
        <f aca="false">IF($D519="","",IFERROR(INDEX(품목마스터!$B$3:$B$202,MATCH($D519,품목마스터!$A$3:$A$202,0)),"미등록품번"))</f>
        <v/>
      </c>
      <c r="F519" s="12" t="str">
        <f aca="false">IF($D519="","",IFERROR(INDEX(품목마스터!$D$3:$D$202,MATCH($D519,품목마스터!$A$3:$A$202,0)),""))</f>
        <v/>
      </c>
      <c r="G519" s="9"/>
      <c r="H519" s="9"/>
      <c r="I519" s="9"/>
      <c r="J519" s="7"/>
      <c r="K519" s="13" t="str">
        <f aca="false">IF(OR($G519="",$I519=""),"",ROUND($G519*$I519,0))</f>
        <v/>
      </c>
      <c r="L519" s="13" t="str">
        <f aca="false">IF($D519="","",IF($G519="",0,$G519)+IF($H519="",0,$H519))</f>
        <v/>
      </c>
      <c r="M519" s="7"/>
    </row>
    <row r="520" customFormat="false" ht="15" hidden="false" customHeight="true" outlineLevel="0" collapsed="false">
      <c r="A520" s="11"/>
      <c r="B520" s="7"/>
      <c r="C520" s="12" t="str">
        <f aca="false">IF($B520="","",IFERROR(INDEX(거래처마스터!$B$3:$B$102,MATCH($B520,거래처마스터!$A$3:$A$102,0)),"미등록"))</f>
        <v/>
      </c>
      <c r="D520" s="7"/>
      <c r="E520" s="12" t="str">
        <f aca="false">IF($D520="","",IFERROR(INDEX(품목마스터!$B$3:$B$202,MATCH($D520,품목마스터!$A$3:$A$202,0)),"미등록품번"))</f>
        <v/>
      </c>
      <c r="F520" s="12" t="str">
        <f aca="false">IF($D520="","",IFERROR(INDEX(품목마스터!$D$3:$D$202,MATCH($D520,품목마스터!$A$3:$A$202,0)),""))</f>
        <v/>
      </c>
      <c r="G520" s="9"/>
      <c r="H520" s="9"/>
      <c r="I520" s="9"/>
      <c r="J520" s="7"/>
      <c r="K520" s="13" t="str">
        <f aca="false">IF(OR($G520="",$I520=""),"",ROUND($G520*$I520,0))</f>
        <v/>
      </c>
      <c r="L520" s="13" t="str">
        <f aca="false">IF($D520="","",IF($G520="",0,$G520)+IF($H520="",0,$H520))</f>
        <v/>
      </c>
      <c r="M520" s="7"/>
    </row>
    <row r="521" customFormat="false" ht="15" hidden="false" customHeight="true" outlineLevel="0" collapsed="false">
      <c r="A521" s="11"/>
      <c r="B521" s="7"/>
      <c r="C521" s="12" t="str">
        <f aca="false">IF($B521="","",IFERROR(INDEX(거래처마스터!$B$3:$B$102,MATCH($B521,거래처마스터!$A$3:$A$102,0)),"미등록"))</f>
        <v/>
      </c>
      <c r="D521" s="7"/>
      <c r="E521" s="12" t="str">
        <f aca="false">IF($D521="","",IFERROR(INDEX(품목마스터!$B$3:$B$202,MATCH($D521,품목마스터!$A$3:$A$202,0)),"미등록품번"))</f>
        <v/>
      </c>
      <c r="F521" s="12" t="str">
        <f aca="false">IF($D521="","",IFERROR(INDEX(품목마스터!$D$3:$D$202,MATCH($D521,품목마스터!$A$3:$A$202,0)),""))</f>
        <v/>
      </c>
      <c r="G521" s="9"/>
      <c r="H521" s="9"/>
      <c r="I521" s="9"/>
      <c r="J521" s="7"/>
      <c r="K521" s="13" t="str">
        <f aca="false">IF(OR($G521="",$I521=""),"",ROUND($G521*$I521,0))</f>
        <v/>
      </c>
      <c r="L521" s="13" t="str">
        <f aca="false">IF($D521="","",IF($G521="",0,$G521)+IF($H521="",0,$H521))</f>
        <v/>
      </c>
      <c r="M521" s="7"/>
    </row>
    <row r="522" customFormat="false" ht="15" hidden="false" customHeight="true" outlineLevel="0" collapsed="false">
      <c r="A522" s="11"/>
      <c r="B522" s="7"/>
      <c r="C522" s="12" t="str">
        <f aca="false">IF($B522="","",IFERROR(INDEX(거래처마스터!$B$3:$B$102,MATCH($B522,거래처마스터!$A$3:$A$102,0)),"미등록"))</f>
        <v/>
      </c>
      <c r="D522" s="7"/>
      <c r="E522" s="12" t="str">
        <f aca="false">IF($D522="","",IFERROR(INDEX(품목마스터!$B$3:$B$202,MATCH($D522,품목마스터!$A$3:$A$202,0)),"미등록품번"))</f>
        <v/>
      </c>
      <c r="F522" s="12" t="str">
        <f aca="false">IF($D522="","",IFERROR(INDEX(품목마스터!$D$3:$D$202,MATCH($D522,품목마스터!$A$3:$A$202,0)),""))</f>
        <v/>
      </c>
      <c r="G522" s="9"/>
      <c r="H522" s="9"/>
      <c r="I522" s="9"/>
      <c r="J522" s="7"/>
      <c r="K522" s="13" t="str">
        <f aca="false">IF(OR($G522="",$I522=""),"",ROUND($G522*$I522,0))</f>
        <v/>
      </c>
      <c r="L522" s="13" t="str">
        <f aca="false">IF($D522="","",IF($G522="",0,$G522)+IF($H522="",0,$H522))</f>
        <v/>
      </c>
      <c r="M522" s="7"/>
    </row>
    <row r="523" customFormat="false" ht="15" hidden="false" customHeight="true" outlineLevel="0" collapsed="false">
      <c r="A523" s="11"/>
      <c r="B523" s="7"/>
      <c r="C523" s="12" t="str">
        <f aca="false">IF($B523="","",IFERROR(INDEX(거래처마스터!$B$3:$B$102,MATCH($B523,거래처마스터!$A$3:$A$102,0)),"미등록"))</f>
        <v/>
      </c>
      <c r="D523" s="7"/>
      <c r="E523" s="12" t="str">
        <f aca="false">IF($D523="","",IFERROR(INDEX(품목마스터!$B$3:$B$202,MATCH($D523,품목마스터!$A$3:$A$202,0)),"미등록품번"))</f>
        <v/>
      </c>
      <c r="F523" s="12" t="str">
        <f aca="false">IF($D523="","",IFERROR(INDEX(품목마스터!$D$3:$D$202,MATCH($D523,품목마스터!$A$3:$A$202,0)),""))</f>
        <v/>
      </c>
      <c r="G523" s="9"/>
      <c r="H523" s="9"/>
      <c r="I523" s="9"/>
      <c r="J523" s="7"/>
      <c r="K523" s="13" t="str">
        <f aca="false">IF(OR($G523="",$I523=""),"",ROUND($G523*$I523,0))</f>
        <v/>
      </c>
      <c r="L523" s="13" t="str">
        <f aca="false">IF($D523="","",IF($G523="",0,$G523)+IF($H523="",0,$H523))</f>
        <v/>
      </c>
      <c r="M523" s="7"/>
    </row>
    <row r="524" customFormat="false" ht="15" hidden="false" customHeight="true" outlineLevel="0" collapsed="false">
      <c r="A524" s="11"/>
      <c r="B524" s="7"/>
      <c r="C524" s="12" t="str">
        <f aca="false">IF($B524="","",IFERROR(INDEX(거래처마스터!$B$3:$B$102,MATCH($B524,거래처마스터!$A$3:$A$102,0)),"미등록"))</f>
        <v/>
      </c>
      <c r="D524" s="7"/>
      <c r="E524" s="12" t="str">
        <f aca="false">IF($D524="","",IFERROR(INDEX(품목마스터!$B$3:$B$202,MATCH($D524,품목마스터!$A$3:$A$202,0)),"미등록품번"))</f>
        <v/>
      </c>
      <c r="F524" s="12" t="str">
        <f aca="false">IF($D524="","",IFERROR(INDEX(품목마스터!$D$3:$D$202,MATCH($D524,품목마스터!$A$3:$A$202,0)),""))</f>
        <v/>
      </c>
      <c r="G524" s="9"/>
      <c r="H524" s="9"/>
      <c r="I524" s="9"/>
      <c r="J524" s="7"/>
      <c r="K524" s="13" t="str">
        <f aca="false">IF(OR($G524="",$I524=""),"",ROUND($G524*$I524,0))</f>
        <v/>
      </c>
      <c r="L524" s="13" t="str">
        <f aca="false">IF($D524="","",IF($G524="",0,$G524)+IF($H524="",0,$H524))</f>
        <v/>
      </c>
      <c r="M524" s="7"/>
    </row>
    <row r="525" customFormat="false" ht="15" hidden="false" customHeight="true" outlineLevel="0" collapsed="false">
      <c r="A525" s="11"/>
      <c r="B525" s="7"/>
      <c r="C525" s="12" t="str">
        <f aca="false">IF($B525="","",IFERROR(INDEX(거래처마스터!$B$3:$B$102,MATCH($B525,거래처마스터!$A$3:$A$102,0)),"미등록"))</f>
        <v/>
      </c>
      <c r="D525" s="7"/>
      <c r="E525" s="12" t="str">
        <f aca="false">IF($D525="","",IFERROR(INDEX(품목마스터!$B$3:$B$202,MATCH($D525,품목마스터!$A$3:$A$202,0)),"미등록품번"))</f>
        <v/>
      </c>
      <c r="F525" s="12" t="str">
        <f aca="false">IF($D525="","",IFERROR(INDEX(품목마스터!$D$3:$D$202,MATCH($D525,품목마스터!$A$3:$A$202,0)),""))</f>
        <v/>
      </c>
      <c r="G525" s="9"/>
      <c r="H525" s="9"/>
      <c r="I525" s="9"/>
      <c r="J525" s="7"/>
      <c r="K525" s="13" t="str">
        <f aca="false">IF(OR($G525="",$I525=""),"",ROUND($G525*$I525,0))</f>
        <v/>
      </c>
      <c r="L525" s="13" t="str">
        <f aca="false">IF($D525="","",IF($G525="",0,$G525)+IF($H525="",0,$H525))</f>
        <v/>
      </c>
      <c r="M525" s="7"/>
    </row>
    <row r="526" customFormat="false" ht="15" hidden="false" customHeight="true" outlineLevel="0" collapsed="false">
      <c r="A526" s="11"/>
      <c r="B526" s="7"/>
      <c r="C526" s="12" t="str">
        <f aca="false">IF($B526="","",IFERROR(INDEX(거래처마스터!$B$3:$B$102,MATCH($B526,거래처마스터!$A$3:$A$102,0)),"미등록"))</f>
        <v/>
      </c>
      <c r="D526" s="7"/>
      <c r="E526" s="12" t="str">
        <f aca="false">IF($D526="","",IFERROR(INDEX(품목마스터!$B$3:$B$202,MATCH($D526,품목마스터!$A$3:$A$202,0)),"미등록품번"))</f>
        <v/>
      </c>
      <c r="F526" s="12" t="str">
        <f aca="false">IF($D526="","",IFERROR(INDEX(품목마스터!$D$3:$D$202,MATCH($D526,품목마스터!$A$3:$A$202,0)),""))</f>
        <v/>
      </c>
      <c r="G526" s="9"/>
      <c r="H526" s="9"/>
      <c r="I526" s="9"/>
      <c r="J526" s="7"/>
      <c r="K526" s="13" t="str">
        <f aca="false">IF(OR($G526="",$I526=""),"",ROUND($G526*$I526,0))</f>
        <v/>
      </c>
      <c r="L526" s="13" t="str">
        <f aca="false">IF($D526="","",IF($G526="",0,$G526)+IF($H526="",0,$H526))</f>
        <v/>
      </c>
      <c r="M526" s="7"/>
    </row>
    <row r="527" customFormat="false" ht="15" hidden="false" customHeight="true" outlineLevel="0" collapsed="false">
      <c r="A527" s="11"/>
      <c r="B527" s="7"/>
      <c r="C527" s="12" t="str">
        <f aca="false">IF($B527="","",IFERROR(INDEX(거래처마스터!$B$3:$B$102,MATCH($B527,거래처마스터!$A$3:$A$102,0)),"미등록"))</f>
        <v/>
      </c>
      <c r="D527" s="7"/>
      <c r="E527" s="12" t="str">
        <f aca="false">IF($D527="","",IFERROR(INDEX(품목마스터!$B$3:$B$202,MATCH($D527,품목마스터!$A$3:$A$202,0)),"미등록품번"))</f>
        <v/>
      </c>
      <c r="F527" s="12" t="str">
        <f aca="false">IF($D527="","",IFERROR(INDEX(품목마스터!$D$3:$D$202,MATCH($D527,품목마스터!$A$3:$A$202,0)),""))</f>
        <v/>
      </c>
      <c r="G527" s="9"/>
      <c r="H527" s="9"/>
      <c r="I527" s="9"/>
      <c r="J527" s="7"/>
      <c r="K527" s="13" t="str">
        <f aca="false">IF(OR($G527="",$I527=""),"",ROUND($G527*$I527,0))</f>
        <v/>
      </c>
      <c r="L527" s="13" t="str">
        <f aca="false">IF($D527="","",IF($G527="",0,$G527)+IF($H527="",0,$H527))</f>
        <v/>
      </c>
      <c r="M527" s="7"/>
    </row>
    <row r="528" customFormat="false" ht="15" hidden="false" customHeight="true" outlineLevel="0" collapsed="false">
      <c r="A528" s="11"/>
      <c r="B528" s="7"/>
      <c r="C528" s="12" t="str">
        <f aca="false">IF($B528="","",IFERROR(INDEX(거래처마스터!$B$3:$B$102,MATCH($B528,거래처마스터!$A$3:$A$102,0)),"미등록"))</f>
        <v/>
      </c>
      <c r="D528" s="7"/>
      <c r="E528" s="12" t="str">
        <f aca="false">IF($D528="","",IFERROR(INDEX(품목마스터!$B$3:$B$202,MATCH($D528,품목마스터!$A$3:$A$202,0)),"미등록품번"))</f>
        <v/>
      </c>
      <c r="F528" s="12" t="str">
        <f aca="false">IF($D528="","",IFERROR(INDEX(품목마스터!$D$3:$D$202,MATCH($D528,품목마스터!$A$3:$A$202,0)),""))</f>
        <v/>
      </c>
      <c r="G528" s="9"/>
      <c r="H528" s="9"/>
      <c r="I528" s="9"/>
      <c r="J528" s="7"/>
      <c r="K528" s="13" t="str">
        <f aca="false">IF(OR($G528="",$I528=""),"",ROUND($G528*$I528,0))</f>
        <v/>
      </c>
      <c r="L528" s="13" t="str">
        <f aca="false">IF($D528="","",IF($G528="",0,$G528)+IF($H528="",0,$H528))</f>
        <v/>
      </c>
      <c r="M528" s="7"/>
    </row>
    <row r="529" customFormat="false" ht="15" hidden="false" customHeight="true" outlineLevel="0" collapsed="false">
      <c r="A529" s="11"/>
      <c r="B529" s="7"/>
      <c r="C529" s="12" t="str">
        <f aca="false">IF($B529="","",IFERROR(INDEX(거래처마스터!$B$3:$B$102,MATCH($B529,거래처마스터!$A$3:$A$102,0)),"미등록"))</f>
        <v/>
      </c>
      <c r="D529" s="7"/>
      <c r="E529" s="12" t="str">
        <f aca="false">IF($D529="","",IFERROR(INDEX(품목마스터!$B$3:$B$202,MATCH($D529,품목마스터!$A$3:$A$202,0)),"미등록품번"))</f>
        <v/>
      </c>
      <c r="F529" s="12" t="str">
        <f aca="false">IF($D529="","",IFERROR(INDEX(품목마스터!$D$3:$D$202,MATCH($D529,품목마스터!$A$3:$A$202,0)),""))</f>
        <v/>
      </c>
      <c r="G529" s="9"/>
      <c r="H529" s="9"/>
      <c r="I529" s="9"/>
      <c r="J529" s="7"/>
      <c r="K529" s="13" t="str">
        <f aca="false">IF(OR($G529="",$I529=""),"",ROUND($G529*$I529,0))</f>
        <v/>
      </c>
      <c r="L529" s="13" t="str">
        <f aca="false">IF($D529="","",IF($G529="",0,$G529)+IF($H529="",0,$H529))</f>
        <v/>
      </c>
      <c r="M529" s="7"/>
    </row>
    <row r="530" customFormat="false" ht="15" hidden="false" customHeight="true" outlineLevel="0" collapsed="false">
      <c r="A530" s="11"/>
      <c r="B530" s="7"/>
      <c r="C530" s="12" t="str">
        <f aca="false">IF($B530="","",IFERROR(INDEX(거래처마스터!$B$3:$B$102,MATCH($B530,거래처마스터!$A$3:$A$102,0)),"미등록"))</f>
        <v/>
      </c>
      <c r="D530" s="7"/>
      <c r="E530" s="12" t="str">
        <f aca="false">IF($D530="","",IFERROR(INDEX(품목마스터!$B$3:$B$202,MATCH($D530,품목마스터!$A$3:$A$202,0)),"미등록품번"))</f>
        <v/>
      </c>
      <c r="F530" s="12" t="str">
        <f aca="false">IF($D530="","",IFERROR(INDEX(품목마스터!$D$3:$D$202,MATCH($D530,품목마스터!$A$3:$A$202,0)),""))</f>
        <v/>
      </c>
      <c r="G530" s="9"/>
      <c r="H530" s="9"/>
      <c r="I530" s="9"/>
      <c r="J530" s="7"/>
      <c r="K530" s="13" t="str">
        <f aca="false">IF(OR($G530="",$I530=""),"",ROUND($G530*$I530,0))</f>
        <v/>
      </c>
      <c r="L530" s="13" t="str">
        <f aca="false">IF($D530="","",IF($G530="",0,$G530)+IF($H530="",0,$H530))</f>
        <v/>
      </c>
      <c r="M530" s="7"/>
    </row>
    <row r="531" customFormat="false" ht="15" hidden="false" customHeight="true" outlineLevel="0" collapsed="false">
      <c r="A531" s="11"/>
      <c r="B531" s="7"/>
      <c r="C531" s="12" t="str">
        <f aca="false">IF($B531="","",IFERROR(INDEX(거래처마스터!$B$3:$B$102,MATCH($B531,거래처마스터!$A$3:$A$102,0)),"미등록"))</f>
        <v/>
      </c>
      <c r="D531" s="7"/>
      <c r="E531" s="12" t="str">
        <f aca="false">IF($D531="","",IFERROR(INDEX(품목마스터!$B$3:$B$202,MATCH($D531,품목마스터!$A$3:$A$202,0)),"미등록품번"))</f>
        <v/>
      </c>
      <c r="F531" s="12" t="str">
        <f aca="false">IF($D531="","",IFERROR(INDEX(품목마스터!$D$3:$D$202,MATCH($D531,품목마스터!$A$3:$A$202,0)),""))</f>
        <v/>
      </c>
      <c r="G531" s="9"/>
      <c r="H531" s="9"/>
      <c r="I531" s="9"/>
      <c r="J531" s="7"/>
      <c r="K531" s="13" t="str">
        <f aca="false">IF(OR($G531="",$I531=""),"",ROUND($G531*$I531,0))</f>
        <v/>
      </c>
      <c r="L531" s="13" t="str">
        <f aca="false">IF($D531="","",IF($G531="",0,$G531)+IF($H531="",0,$H531))</f>
        <v/>
      </c>
      <c r="M531" s="7"/>
    </row>
    <row r="532" customFormat="false" ht="15" hidden="false" customHeight="true" outlineLevel="0" collapsed="false">
      <c r="A532" s="11"/>
      <c r="B532" s="7"/>
      <c r="C532" s="12" t="str">
        <f aca="false">IF($B532="","",IFERROR(INDEX(거래처마스터!$B$3:$B$102,MATCH($B532,거래처마스터!$A$3:$A$102,0)),"미등록"))</f>
        <v/>
      </c>
      <c r="D532" s="7"/>
      <c r="E532" s="12" t="str">
        <f aca="false">IF($D532="","",IFERROR(INDEX(품목마스터!$B$3:$B$202,MATCH($D532,품목마스터!$A$3:$A$202,0)),"미등록품번"))</f>
        <v/>
      </c>
      <c r="F532" s="12" t="str">
        <f aca="false">IF($D532="","",IFERROR(INDEX(품목마스터!$D$3:$D$202,MATCH($D532,품목마스터!$A$3:$A$202,0)),""))</f>
        <v/>
      </c>
      <c r="G532" s="9"/>
      <c r="H532" s="9"/>
      <c r="I532" s="9"/>
      <c r="J532" s="7"/>
      <c r="K532" s="13" t="str">
        <f aca="false">IF(OR($G532="",$I532=""),"",ROUND($G532*$I532,0))</f>
        <v/>
      </c>
      <c r="L532" s="13" t="str">
        <f aca="false">IF($D532="","",IF($G532="",0,$G532)+IF($H532="",0,$H532))</f>
        <v/>
      </c>
      <c r="M532" s="7"/>
    </row>
    <row r="533" customFormat="false" ht="15" hidden="false" customHeight="true" outlineLevel="0" collapsed="false">
      <c r="A533" s="11"/>
      <c r="B533" s="7"/>
      <c r="C533" s="12" t="str">
        <f aca="false">IF($B533="","",IFERROR(INDEX(거래처마스터!$B$3:$B$102,MATCH($B533,거래처마스터!$A$3:$A$102,0)),"미등록"))</f>
        <v/>
      </c>
      <c r="D533" s="7"/>
      <c r="E533" s="12" t="str">
        <f aca="false">IF($D533="","",IFERROR(INDEX(품목마스터!$B$3:$B$202,MATCH($D533,품목마스터!$A$3:$A$202,0)),"미등록품번"))</f>
        <v/>
      </c>
      <c r="F533" s="12" t="str">
        <f aca="false">IF($D533="","",IFERROR(INDEX(품목마스터!$D$3:$D$202,MATCH($D533,품목마스터!$A$3:$A$202,0)),""))</f>
        <v/>
      </c>
      <c r="G533" s="9"/>
      <c r="H533" s="9"/>
      <c r="I533" s="9"/>
      <c r="J533" s="7"/>
      <c r="K533" s="13" t="str">
        <f aca="false">IF(OR($G533="",$I533=""),"",ROUND($G533*$I533,0))</f>
        <v/>
      </c>
      <c r="L533" s="13" t="str">
        <f aca="false">IF($D533="","",IF($G533="",0,$G533)+IF($H533="",0,$H533))</f>
        <v/>
      </c>
      <c r="M533" s="7"/>
    </row>
    <row r="534" customFormat="false" ht="15" hidden="false" customHeight="true" outlineLevel="0" collapsed="false">
      <c r="A534" s="11"/>
      <c r="B534" s="7"/>
      <c r="C534" s="12" t="str">
        <f aca="false">IF($B534="","",IFERROR(INDEX(거래처마스터!$B$3:$B$102,MATCH($B534,거래처마스터!$A$3:$A$102,0)),"미등록"))</f>
        <v/>
      </c>
      <c r="D534" s="7"/>
      <c r="E534" s="12" t="str">
        <f aca="false">IF($D534="","",IFERROR(INDEX(품목마스터!$B$3:$B$202,MATCH($D534,품목마스터!$A$3:$A$202,0)),"미등록품번"))</f>
        <v/>
      </c>
      <c r="F534" s="12" t="str">
        <f aca="false">IF($D534="","",IFERROR(INDEX(품목마스터!$D$3:$D$202,MATCH($D534,품목마스터!$A$3:$A$202,0)),""))</f>
        <v/>
      </c>
      <c r="G534" s="9"/>
      <c r="H534" s="9"/>
      <c r="I534" s="9"/>
      <c r="J534" s="7"/>
      <c r="K534" s="13" t="str">
        <f aca="false">IF(OR($G534="",$I534=""),"",ROUND($G534*$I534,0))</f>
        <v/>
      </c>
      <c r="L534" s="13" t="str">
        <f aca="false">IF($D534="","",IF($G534="",0,$G534)+IF($H534="",0,$H534))</f>
        <v/>
      </c>
      <c r="M534" s="7"/>
    </row>
    <row r="535" customFormat="false" ht="15" hidden="false" customHeight="true" outlineLevel="0" collapsed="false">
      <c r="A535" s="11"/>
      <c r="B535" s="7"/>
      <c r="C535" s="12" t="str">
        <f aca="false">IF($B535="","",IFERROR(INDEX(거래처마스터!$B$3:$B$102,MATCH($B535,거래처마스터!$A$3:$A$102,0)),"미등록"))</f>
        <v/>
      </c>
      <c r="D535" s="7"/>
      <c r="E535" s="12" t="str">
        <f aca="false">IF($D535="","",IFERROR(INDEX(품목마스터!$B$3:$B$202,MATCH($D535,품목마스터!$A$3:$A$202,0)),"미등록품번"))</f>
        <v/>
      </c>
      <c r="F535" s="12" t="str">
        <f aca="false">IF($D535="","",IFERROR(INDEX(품목마스터!$D$3:$D$202,MATCH($D535,품목마스터!$A$3:$A$202,0)),""))</f>
        <v/>
      </c>
      <c r="G535" s="9"/>
      <c r="H535" s="9"/>
      <c r="I535" s="9"/>
      <c r="J535" s="7"/>
      <c r="K535" s="13" t="str">
        <f aca="false">IF(OR($G535="",$I535=""),"",ROUND($G535*$I535,0))</f>
        <v/>
      </c>
      <c r="L535" s="13" t="str">
        <f aca="false">IF($D535="","",IF($G535="",0,$G535)+IF($H535="",0,$H535))</f>
        <v/>
      </c>
      <c r="M535" s="7"/>
    </row>
    <row r="536" customFormat="false" ht="15" hidden="false" customHeight="true" outlineLevel="0" collapsed="false">
      <c r="A536" s="11"/>
      <c r="B536" s="7"/>
      <c r="C536" s="12" t="str">
        <f aca="false">IF($B536="","",IFERROR(INDEX(거래처마스터!$B$3:$B$102,MATCH($B536,거래처마스터!$A$3:$A$102,0)),"미등록"))</f>
        <v/>
      </c>
      <c r="D536" s="7"/>
      <c r="E536" s="12" t="str">
        <f aca="false">IF($D536="","",IFERROR(INDEX(품목마스터!$B$3:$B$202,MATCH($D536,품목마스터!$A$3:$A$202,0)),"미등록품번"))</f>
        <v/>
      </c>
      <c r="F536" s="12" t="str">
        <f aca="false">IF($D536="","",IFERROR(INDEX(품목마스터!$D$3:$D$202,MATCH($D536,품목마스터!$A$3:$A$202,0)),""))</f>
        <v/>
      </c>
      <c r="G536" s="9"/>
      <c r="H536" s="9"/>
      <c r="I536" s="9"/>
      <c r="J536" s="7"/>
      <c r="K536" s="13" t="str">
        <f aca="false">IF(OR($G536="",$I536=""),"",ROUND($G536*$I536,0))</f>
        <v/>
      </c>
      <c r="L536" s="13" t="str">
        <f aca="false">IF($D536="","",IF($G536="",0,$G536)+IF($H536="",0,$H536))</f>
        <v/>
      </c>
      <c r="M536" s="7"/>
    </row>
    <row r="537" customFormat="false" ht="15" hidden="false" customHeight="true" outlineLevel="0" collapsed="false">
      <c r="A537" s="11"/>
      <c r="B537" s="7"/>
      <c r="C537" s="12" t="str">
        <f aca="false">IF($B537="","",IFERROR(INDEX(거래처마스터!$B$3:$B$102,MATCH($B537,거래처마스터!$A$3:$A$102,0)),"미등록"))</f>
        <v/>
      </c>
      <c r="D537" s="7"/>
      <c r="E537" s="12" t="str">
        <f aca="false">IF($D537="","",IFERROR(INDEX(품목마스터!$B$3:$B$202,MATCH($D537,품목마스터!$A$3:$A$202,0)),"미등록품번"))</f>
        <v/>
      </c>
      <c r="F537" s="12" t="str">
        <f aca="false">IF($D537="","",IFERROR(INDEX(품목마스터!$D$3:$D$202,MATCH($D537,품목마스터!$A$3:$A$202,0)),""))</f>
        <v/>
      </c>
      <c r="G537" s="9"/>
      <c r="H537" s="9"/>
      <c r="I537" s="9"/>
      <c r="J537" s="7"/>
      <c r="K537" s="13" t="str">
        <f aca="false">IF(OR($G537="",$I537=""),"",ROUND($G537*$I537,0))</f>
        <v/>
      </c>
      <c r="L537" s="13" t="str">
        <f aca="false">IF($D537="","",IF($G537="",0,$G537)+IF($H537="",0,$H537))</f>
        <v/>
      </c>
      <c r="M537" s="7"/>
    </row>
    <row r="538" customFormat="false" ht="15" hidden="false" customHeight="true" outlineLevel="0" collapsed="false">
      <c r="A538" s="11"/>
      <c r="B538" s="7"/>
      <c r="C538" s="12" t="str">
        <f aca="false">IF($B538="","",IFERROR(INDEX(거래처마스터!$B$3:$B$102,MATCH($B538,거래처마스터!$A$3:$A$102,0)),"미등록"))</f>
        <v/>
      </c>
      <c r="D538" s="7"/>
      <c r="E538" s="12" t="str">
        <f aca="false">IF($D538="","",IFERROR(INDEX(품목마스터!$B$3:$B$202,MATCH($D538,품목마스터!$A$3:$A$202,0)),"미등록품번"))</f>
        <v/>
      </c>
      <c r="F538" s="12" t="str">
        <f aca="false">IF($D538="","",IFERROR(INDEX(품목마스터!$D$3:$D$202,MATCH($D538,품목마스터!$A$3:$A$202,0)),""))</f>
        <v/>
      </c>
      <c r="G538" s="9"/>
      <c r="H538" s="9"/>
      <c r="I538" s="9"/>
      <c r="J538" s="7"/>
      <c r="K538" s="13" t="str">
        <f aca="false">IF(OR($G538="",$I538=""),"",ROUND($G538*$I538,0))</f>
        <v/>
      </c>
      <c r="L538" s="13" t="str">
        <f aca="false">IF($D538="","",IF($G538="",0,$G538)+IF($H538="",0,$H538))</f>
        <v/>
      </c>
      <c r="M538" s="7"/>
    </row>
    <row r="539" customFormat="false" ht="15" hidden="false" customHeight="true" outlineLevel="0" collapsed="false">
      <c r="A539" s="11"/>
      <c r="B539" s="7"/>
      <c r="C539" s="12" t="str">
        <f aca="false">IF($B539="","",IFERROR(INDEX(거래처마스터!$B$3:$B$102,MATCH($B539,거래처마스터!$A$3:$A$102,0)),"미등록"))</f>
        <v/>
      </c>
      <c r="D539" s="7"/>
      <c r="E539" s="12" t="str">
        <f aca="false">IF($D539="","",IFERROR(INDEX(품목마스터!$B$3:$B$202,MATCH($D539,품목마스터!$A$3:$A$202,0)),"미등록품번"))</f>
        <v/>
      </c>
      <c r="F539" s="12" t="str">
        <f aca="false">IF($D539="","",IFERROR(INDEX(품목마스터!$D$3:$D$202,MATCH($D539,품목마스터!$A$3:$A$202,0)),""))</f>
        <v/>
      </c>
      <c r="G539" s="9"/>
      <c r="H539" s="9"/>
      <c r="I539" s="9"/>
      <c r="J539" s="7"/>
      <c r="K539" s="13" t="str">
        <f aca="false">IF(OR($G539="",$I539=""),"",ROUND($G539*$I539,0))</f>
        <v/>
      </c>
      <c r="L539" s="13" t="str">
        <f aca="false">IF($D539="","",IF($G539="",0,$G539)+IF($H539="",0,$H539))</f>
        <v/>
      </c>
      <c r="M539" s="7"/>
    </row>
    <row r="540" customFormat="false" ht="15" hidden="false" customHeight="true" outlineLevel="0" collapsed="false">
      <c r="A540" s="11"/>
      <c r="B540" s="7"/>
      <c r="C540" s="12" t="str">
        <f aca="false">IF($B540="","",IFERROR(INDEX(거래처마스터!$B$3:$B$102,MATCH($B540,거래처마스터!$A$3:$A$102,0)),"미등록"))</f>
        <v/>
      </c>
      <c r="D540" s="7"/>
      <c r="E540" s="12" t="str">
        <f aca="false">IF($D540="","",IFERROR(INDEX(품목마스터!$B$3:$B$202,MATCH($D540,품목마스터!$A$3:$A$202,0)),"미등록품번"))</f>
        <v/>
      </c>
      <c r="F540" s="12" t="str">
        <f aca="false">IF($D540="","",IFERROR(INDEX(품목마스터!$D$3:$D$202,MATCH($D540,품목마스터!$A$3:$A$202,0)),""))</f>
        <v/>
      </c>
      <c r="G540" s="9"/>
      <c r="H540" s="9"/>
      <c r="I540" s="9"/>
      <c r="J540" s="7"/>
      <c r="K540" s="13" t="str">
        <f aca="false">IF(OR($G540="",$I540=""),"",ROUND($G540*$I540,0))</f>
        <v/>
      </c>
      <c r="L540" s="13" t="str">
        <f aca="false">IF($D540="","",IF($G540="",0,$G540)+IF($H540="",0,$H540))</f>
        <v/>
      </c>
      <c r="M540" s="7"/>
    </row>
    <row r="541" customFormat="false" ht="15" hidden="false" customHeight="true" outlineLevel="0" collapsed="false">
      <c r="A541" s="11"/>
      <c r="B541" s="7"/>
      <c r="C541" s="12" t="str">
        <f aca="false">IF($B541="","",IFERROR(INDEX(거래처마스터!$B$3:$B$102,MATCH($B541,거래처마스터!$A$3:$A$102,0)),"미등록"))</f>
        <v/>
      </c>
      <c r="D541" s="7"/>
      <c r="E541" s="12" t="str">
        <f aca="false">IF($D541="","",IFERROR(INDEX(품목마스터!$B$3:$B$202,MATCH($D541,품목마스터!$A$3:$A$202,0)),"미등록품번"))</f>
        <v/>
      </c>
      <c r="F541" s="12" t="str">
        <f aca="false">IF($D541="","",IFERROR(INDEX(품목마스터!$D$3:$D$202,MATCH($D541,품목마스터!$A$3:$A$202,0)),""))</f>
        <v/>
      </c>
      <c r="G541" s="9"/>
      <c r="H541" s="9"/>
      <c r="I541" s="9"/>
      <c r="J541" s="7"/>
      <c r="K541" s="13" t="str">
        <f aca="false">IF(OR($G541="",$I541=""),"",ROUND($G541*$I541,0))</f>
        <v/>
      </c>
      <c r="L541" s="13" t="str">
        <f aca="false">IF($D541="","",IF($G541="",0,$G541)+IF($H541="",0,$H541))</f>
        <v/>
      </c>
      <c r="M541" s="7"/>
    </row>
    <row r="542" customFormat="false" ht="15" hidden="false" customHeight="true" outlineLevel="0" collapsed="false">
      <c r="A542" s="11"/>
      <c r="B542" s="7"/>
      <c r="C542" s="12" t="str">
        <f aca="false">IF($B542="","",IFERROR(INDEX(거래처마스터!$B$3:$B$102,MATCH($B542,거래처마스터!$A$3:$A$102,0)),"미등록"))</f>
        <v/>
      </c>
      <c r="D542" s="7"/>
      <c r="E542" s="12" t="str">
        <f aca="false">IF($D542="","",IFERROR(INDEX(품목마스터!$B$3:$B$202,MATCH($D542,품목마스터!$A$3:$A$202,0)),"미등록품번"))</f>
        <v/>
      </c>
      <c r="F542" s="12" t="str">
        <f aca="false">IF($D542="","",IFERROR(INDEX(품목마스터!$D$3:$D$202,MATCH($D542,품목마스터!$A$3:$A$202,0)),""))</f>
        <v/>
      </c>
      <c r="G542" s="9"/>
      <c r="H542" s="9"/>
      <c r="I542" s="9"/>
      <c r="J542" s="7"/>
      <c r="K542" s="13" t="str">
        <f aca="false">IF(OR($G542="",$I542=""),"",ROUND($G542*$I542,0))</f>
        <v/>
      </c>
      <c r="L542" s="13" t="str">
        <f aca="false">IF($D542="","",IF($G542="",0,$G542)+IF($H542="",0,$H542))</f>
        <v/>
      </c>
      <c r="M542" s="7"/>
    </row>
    <row r="543" customFormat="false" ht="15" hidden="false" customHeight="true" outlineLevel="0" collapsed="false">
      <c r="A543" s="11"/>
      <c r="B543" s="7"/>
      <c r="C543" s="12" t="str">
        <f aca="false">IF($B543="","",IFERROR(INDEX(거래처마스터!$B$3:$B$102,MATCH($B543,거래처마스터!$A$3:$A$102,0)),"미등록"))</f>
        <v/>
      </c>
      <c r="D543" s="7"/>
      <c r="E543" s="12" t="str">
        <f aca="false">IF($D543="","",IFERROR(INDEX(품목마스터!$B$3:$B$202,MATCH($D543,품목마스터!$A$3:$A$202,0)),"미등록품번"))</f>
        <v/>
      </c>
      <c r="F543" s="12" t="str">
        <f aca="false">IF($D543="","",IFERROR(INDEX(품목마스터!$D$3:$D$202,MATCH($D543,품목마스터!$A$3:$A$202,0)),""))</f>
        <v/>
      </c>
      <c r="G543" s="9"/>
      <c r="H543" s="9"/>
      <c r="I543" s="9"/>
      <c r="J543" s="7"/>
      <c r="K543" s="13" t="str">
        <f aca="false">IF(OR($G543="",$I543=""),"",ROUND($G543*$I543,0))</f>
        <v/>
      </c>
      <c r="L543" s="13" t="str">
        <f aca="false">IF($D543="","",IF($G543="",0,$G543)+IF($H543="",0,$H543))</f>
        <v/>
      </c>
      <c r="M543" s="7"/>
    </row>
    <row r="544" customFormat="false" ht="15" hidden="false" customHeight="true" outlineLevel="0" collapsed="false">
      <c r="A544" s="11"/>
      <c r="B544" s="7"/>
      <c r="C544" s="12" t="str">
        <f aca="false">IF($B544="","",IFERROR(INDEX(거래처마스터!$B$3:$B$102,MATCH($B544,거래처마스터!$A$3:$A$102,0)),"미등록"))</f>
        <v/>
      </c>
      <c r="D544" s="7"/>
      <c r="E544" s="12" t="str">
        <f aca="false">IF($D544="","",IFERROR(INDEX(품목마스터!$B$3:$B$202,MATCH($D544,품목마스터!$A$3:$A$202,0)),"미등록품번"))</f>
        <v/>
      </c>
      <c r="F544" s="12" t="str">
        <f aca="false">IF($D544="","",IFERROR(INDEX(품목마스터!$D$3:$D$202,MATCH($D544,품목마스터!$A$3:$A$202,0)),""))</f>
        <v/>
      </c>
      <c r="G544" s="9"/>
      <c r="H544" s="9"/>
      <c r="I544" s="9"/>
      <c r="J544" s="7"/>
      <c r="K544" s="13" t="str">
        <f aca="false">IF(OR($G544="",$I544=""),"",ROUND($G544*$I544,0))</f>
        <v/>
      </c>
      <c r="L544" s="13" t="str">
        <f aca="false">IF($D544="","",IF($G544="",0,$G544)+IF($H544="",0,$H544))</f>
        <v/>
      </c>
      <c r="M544" s="7"/>
    </row>
    <row r="545" customFormat="false" ht="15" hidden="false" customHeight="true" outlineLevel="0" collapsed="false">
      <c r="A545" s="11"/>
      <c r="B545" s="7"/>
      <c r="C545" s="12" t="str">
        <f aca="false">IF($B545="","",IFERROR(INDEX(거래처마스터!$B$3:$B$102,MATCH($B545,거래처마스터!$A$3:$A$102,0)),"미등록"))</f>
        <v/>
      </c>
      <c r="D545" s="7"/>
      <c r="E545" s="12" t="str">
        <f aca="false">IF($D545="","",IFERROR(INDEX(품목마스터!$B$3:$B$202,MATCH($D545,품목마스터!$A$3:$A$202,0)),"미등록품번"))</f>
        <v/>
      </c>
      <c r="F545" s="12" t="str">
        <f aca="false">IF($D545="","",IFERROR(INDEX(품목마스터!$D$3:$D$202,MATCH($D545,품목마스터!$A$3:$A$202,0)),""))</f>
        <v/>
      </c>
      <c r="G545" s="9"/>
      <c r="H545" s="9"/>
      <c r="I545" s="9"/>
      <c r="J545" s="7"/>
      <c r="K545" s="13" t="str">
        <f aca="false">IF(OR($G545="",$I545=""),"",ROUND($G545*$I545,0))</f>
        <v/>
      </c>
      <c r="L545" s="13" t="str">
        <f aca="false">IF($D545="","",IF($G545="",0,$G545)+IF($H545="",0,$H545))</f>
        <v/>
      </c>
      <c r="M545" s="7"/>
    </row>
    <row r="546" customFormat="false" ht="15" hidden="false" customHeight="true" outlineLevel="0" collapsed="false">
      <c r="A546" s="11"/>
      <c r="B546" s="7"/>
      <c r="C546" s="12" t="str">
        <f aca="false">IF($B546="","",IFERROR(INDEX(거래처마스터!$B$3:$B$102,MATCH($B546,거래처마스터!$A$3:$A$102,0)),"미등록"))</f>
        <v/>
      </c>
      <c r="D546" s="7"/>
      <c r="E546" s="12" t="str">
        <f aca="false">IF($D546="","",IFERROR(INDEX(품목마스터!$B$3:$B$202,MATCH($D546,품목마스터!$A$3:$A$202,0)),"미등록품번"))</f>
        <v/>
      </c>
      <c r="F546" s="12" t="str">
        <f aca="false">IF($D546="","",IFERROR(INDEX(품목마스터!$D$3:$D$202,MATCH($D546,품목마스터!$A$3:$A$202,0)),""))</f>
        <v/>
      </c>
      <c r="G546" s="9"/>
      <c r="H546" s="9"/>
      <c r="I546" s="9"/>
      <c r="J546" s="7"/>
      <c r="K546" s="13" t="str">
        <f aca="false">IF(OR($G546="",$I546=""),"",ROUND($G546*$I546,0))</f>
        <v/>
      </c>
      <c r="L546" s="13" t="str">
        <f aca="false">IF($D546="","",IF($G546="",0,$G546)+IF($H546="",0,$H546))</f>
        <v/>
      </c>
      <c r="M546" s="7"/>
    </row>
    <row r="547" customFormat="false" ht="15" hidden="false" customHeight="true" outlineLevel="0" collapsed="false">
      <c r="A547" s="11"/>
      <c r="B547" s="7"/>
      <c r="C547" s="12" t="str">
        <f aca="false">IF($B547="","",IFERROR(INDEX(거래처마스터!$B$3:$B$102,MATCH($B547,거래처마스터!$A$3:$A$102,0)),"미등록"))</f>
        <v/>
      </c>
      <c r="D547" s="7"/>
      <c r="E547" s="12" t="str">
        <f aca="false">IF($D547="","",IFERROR(INDEX(품목마스터!$B$3:$B$202,MATCH($D547,품목마스터!$A$3:$A$202,0)),"미등록품번"))</f>
        <v/>
      </c>
      <c r="F547" s="12" t="str">
        <f aca="false">IF($D547="","",IFERROR(INDEX(품목마스터!$D$3:$D$202,MATCH($D547,품목마스터!$A$3:$A$202,0)),""))</f>
        <v/>
      </c>
      <c r="G547" s="9"/>
      <c r="H547" s="9"/>
      <c r="I547" s="9"/>
      <c r="J547" s="7"/>
      <c r="K547" s="13" t="str">
        <f aca="false">IF(OR($G547="",$I547=""),"",ROUND($G547*$I547,0))</f>
        <v/>
      </c>
      <c r="L547" s="13" t="str">
        <f aca="false">IF($D547="","",IF($G547="",0,$G547)+IF($H547="",0,$H547))</f>
        <v/>
      </c>
      <c r="M547" s="7"/>
    </row>
    <row r="548" customFormat="false" ht="15" hidden="false" customHeight="true" outlineLevel="0" collapsed="false">
      <c r="A548" s="11"/>
      <c r="B548" s="7"/>
      <c r="C548" s="12" t="str">
        <f aca="false">IF($B548="","",IFERROR(INDEX(거래처마스터!$B$3:$B$102,MATCH($B548,거래처마스터!$A$3:$A$102,0)),"미등록"))</f>
        <v/>
      </c>
      <c r="D548" s="7"/>
      <c r="E548" s="12" t="str">
        <f aca="false">IF($D548="","",IFERROR(INDEX(품목마스터!$B$3:$B$202,MATCH($D548,품목마스터!$A$3:$A$202,0)),"미등록품번"))</f>
        <v/>
      </c>
      <c r="F548" s="12" t="str">
        <f aca="false">IF($D548="","",IFERROR(INDEX(품목마스터!$D$3:$D$202,MATCH($D548,품목마스터!$A$3:$A$202,0)),""))</f>
        <v/>
      </c>
      <c r="G548" s="9"/>
      <c r="H548" s="9"/>
      <c r="I548" s="9"/>
      <c r="J548" s="7"/>
      <c r="K548" s="13" t="str">
        <f aca="false">IF(OR($G548="",$I548=""),"",ROUND($G548*$I548,0))</f>
        <v/>
      </c>
      <c r="L548" s="13" t="str">
        <f aca="false">IF($D548="","",IF($G548="",0,$G548)+IF($H548="",0,$H548))</f>
        <v/>
      </c>
      <c r="M548" s="7"/>
    </row>
    <row r="549" customFormat="false" ht="15" hidden="false" customHeight="true" outlineLevel="0" collapsed="false">
      <c r="A549" s="11"/>
      <c r="B549" s="7"/>
      <c r="C549" s="12" t="str">
        <f aca="false">IF($B549="","",IFERROR(INDEX(거래처마스터!$B$3:$B$102,MATCH($B549,거래처마스터!$A$3:$A$102,0)),"미등록"))</f>
        <v/>
      </c>
      <c r="D549" s="7"/>
      <c r="E549" s="12" t="str">
        <f aca="false">IF($D549="","",IFERROR(INDEX(품목마스터!$B$3:$B$202,MATCH($D549,품목마스터!$A$3:$A$202,0)),"미등록품번"))</f>
        <v/>
      </c>
      <c r="F549" s="12" t="str">
        <f aca="false">IF($D549="","",IFERROR(INDEX(품목마스터!$D$3:$D$202,MATCH($D549,품목마스터!$A$3:$A$202,0)),""))</f>
        <v/>
      </c>
      <c r="G549" s="9"/>
      <c r="H549" s="9"/>
      <c r="I549" s="9"/>
      <c r="J549" s="7"/>
      <c r="K549" s="13" t="str">
        <f aca="false">IF(OR($G549="",$I549=""),"",ROUND($G549*$I549,0))</f>
        <v/>
      </c>
      <c r="L549" s="13" t="str">
        <f aca="false">IF($D549="","",IF($G549="",0,$G549)+IF($H549="",0,$H549))</f>
        <v/>
      </c>
      <c r="M549" s="7"/>
    </row>
    <row r="550" customFormat="false" ht="15" hidden="false" customHeight="true" outlineLevel="0" collapsed="false">
      <c r="A550" s="11"/>
      <c r="B550" s="7"/>
      <c r="C550" s="12" t="str">
        <f aca="false">IF($B550="","",IFERROR(INDEX(거래처마스터!$B$3:$B$102,MATCH($B550,거래처마스터!$A$3:$A$102,0)),"미등록"))</f>
        <v/>
      </c>
      <c r="D550" s="7"/>
      <c r="E550" s="12" t="str">
        <f aca="false">IF($D550="","",IFERROR(INDEX(품목마스터!$B$3:$B$202,MATCH($D550,품목마스터!$A$3:$A$202,0)),"미등록품번"))</f>
        <v/>
      </c>
      <c r="F550" s="12" t="str">
        <f aca="false">IF($D550="","",IFERROR(INDEX(품목마스터!$D$3:$D$202,MATCH($D550,품목마스터!$A$3:$A$202,0)),""))</f>
        <v/>
      </c>
      <c r="G550" s="9"/>
      <c r="H550" s="9"/>
      <c r="I550" s="9"/>
      <c r="J550" s="7"/>
      <c r="K550" s="13" t="str">
        <f aca="false">IF(OR($G550="",$I550=""),"",ROUND($G550*$I550,0))</f>
        <v/>
      </c>
      <c r="L550" s="13" t="str">
        <f aca="false">IF($D550="","",IF($G550="",0,$G550)+IF($H550="",0,$H550))</f>
        <v/>
      </c>
      <c r="M550" s="7"/>
    </row>
    <row r="551" customFormat="false" ht="15" hidden="false" customHeight="true" outlineLevel="0" collapsed="false">
      <c r="A551" s="11"/>
      <c r="B551" s="7"/>
      <c r="C551" s="12" t="str">
        <f aca="false">IF($B551="","",IFERROR(INDEX(거래처마스터!$B$3:$B$102,MATCH($B551,거래처마스터!$A$3:$A$102,0)),"미등록"))</f>
        <v/>
      </c>
      <c r="D551" s="7"/>
      <c r="E551" s="12" t="str">
        <f aca="false">IF($D551="","",IFERROR(INDEX(품목마스터!$B$3:$B$202,MATCH($D551,품목마스터!$A$3:$A$202,0)),"미등록품번"))</f>
        <v/>
      </c>
      <c r="F551" s="12" t="str">
        <f aca="false">IF($D551="","",IFERROR(INDEX(품목마스터!$D$3:$D$202,MATCH($D551,품목마스터!$A$3:$A$202,0)),""))</f>
        <v/>
      </c>
      <c r="G551" s="9"/>
      <c r="H551" s="9"/>
      <c r="I551" s="9"/>
      <c r="J551" s="7"/>
      <c r="K551" s="13" t="str">
        <f aca="false">IF(OR($G551="",$I551=""),"",ROUND($G551*$I551,0))</f>
        <v/>
      </c>
      <c r="L551" s="13" t="str">
        <f aca="false">IF($D551="","",IF($G551="",0,$G551)+IF($H551="",0,$H551))</f>
        <v/>
      </c>
      <c r="M551" s="7"/>
    </row>
    <row r="552" customFormat="false" ht="15" hidden="false" customHeight="true" outlineLevel="0" collapsed="false">
      <c r="A552" s="11"/>
      <c r="B552" s="7"/>
      <c r="C552" s="12" t="str">
        <f aca="false">IF($B552="","",IFERROR(INDEX(거래처마스터!$B$3:$B$102,MATCH($B552,거래처마스터!$A$3:$A$102,0)),"미등록"))</f>
        <v/>
      </c>
      <c r="D552" s="7"/>
      <c r="E552" s="12" t="str">
        <f aca="false">IF($D552="","",IFERROR(INDEX(품목마스터!$B$3:$B$202,MATCH($D552,품목마스터!$A$3:$A$202,0)),"미등록품번"))</f>
        <v/>
      </c>
      <c r="F552" s="12" t="str">
        <f aca="false">IF($D552="","",IFERROR(INDEX(품목마스터!$D$3:$D$202,MATCH($D552,품목마스터!$A$3:$A$202,0)),""))</f>
        <v/>
      </c>
      <c r="G552" s="9"/>
      <c r="H552" s="9"/>
      <c r="I552" s="9"/>
      <c r="J552" s="7"/>
      <c r="K552" s="13" t="str">
        <f aca="false">IF(OR($G552="",$I552=""),"",ROUND($G552*$I552,0))</f>
        <v/>
      </c>
      <c r="L552" s="13" t="str">
        <f aca="false">IF($D552="","",IF($G552="",0,$G552)+IF($H552="",0,$H552))</f>
        <v/>
      </c>
      <c r="M552" s="7"/>
    </row>
    <row r="553" customFormat="false" ht="15" hidden="false" customHeight="true" outlineLevel="0" collapsed="false">
      <c r="A553" s="11"/>
      <c r="B553" s="7"/>
      <c r="C553" s="12" t="str">
        <f aca="false">IF($B553="","",IFERROR(INDEX(거래처마스터!$B$3:$B$102,MATCH($B553,거래처마스터!$A$3:$A$102,0)),"미등록"))</f>
        <v/>
      </c>
      <c r="D553" s="7"/>
      <c r="E553" s="12" t="str">
        <f aca="false">IF($D553="","",IFERROR(INDEX(품목마스터!$B$3:$B$202,MATCH($D553,품목마스터!$A$3:$A$202,0)),"미등록품번"))</f>
        <v/>
      </c>
      <c r="F553" s="12" t="str">
        <f aca="false">IF($D553="","",IFERROR(INDEX(품목마스터!$D$3:$D$202,MATCH($D553,품목마스터!$A$3:$A$202,0)),""))</f>
        <v/>
      </c>
      <c r="G553" s="9"/>
      <c r="H553" s="9"/>
      <c r="I553" s="9"/>
      <c r="J553" s="7"/>
      <c r="K553" s="13" t="str">
        <f aca="false">IF(OR($G553="",$I553=""),"",ROUND($G553*$I553,0))</f>
        <v/>
      </c>
      <c r="L553" s="13" t="str">
        <f aca="false">IF($D553="","",IF($G553="",0,$G553)+IF($H553="",0,$H553))</f>
        <v/>
      </c>
      <c r="M553" s="7"/>
    </row>
    <row r="554" customFormat="false" ht="15" hidden="false" customHeight="true" outlineLevel="0" collapsed="false">
      <c r="A554" s="11"/>
      <c r="B554" s="7"/>
      <c r="C554" s="12" t="str">
        <f aca="false">IF($B554="","",IFERROR(INDEX(거래처마스터!$B$3:$B$102,MATCH($B554,거래처마스터!$A$3:$A$102,0)),"미등록"))</f>
        <v/>
      </c>
      <c r="D554" s="7"/>
      <c r="E554" s="12" t="str">
        <f aca="false">IF($D554="","",IFERROR(INDEX(품목마스터!$B$3:$B$202,MATCH($D554,품목마스터!$A$3:$A$202,0)),"미등록품번"))</f>
        <v/>
      </c>
      <c r="F554" s="12" t="str">
        <f aca="false">IF($D554="","",IFERROR(INDEX(품목마스터!$D$3:$D$202,MATCH($D554,품목마스터!$A$3:$A$202,0)),""))</f>
        <v/>
      </c>
      <c r="G554" s="9"/>
      <c r="H554" s="9"/>
      <c r="I554" s="9"/>
      <c r="J554" s="7"/>
      <c r="K554" s="13" t="str">
        <f aca="false">IF(OR($G554="",$I554=""),"",ROUND($G554*$I554,0))</f>
        <v/>
      </c>
      <c r="L554" s="13" t="str">
        <f aca="false">IF($D554="","",IF($G554="",0,$G554)+IF($H554="",0,$H554))</f>
        <v/>
      </c>
      <c r="M554" s="7"/>
    </row>
    <row r="555" customFormat="false" ht="15" hidden="false" customHeight="true" outlineLevel="0" collapsed="false">
      <c r="A555" s="11"/>
      <c r="B555" s="7"/>
      <c r="C555" s="12" t="str">
        <f aca="false">IF($B555="","",IFERROR(INDEX(거래처마스터!$B$3:$B$102,MATCH($B555,거래처마스터!$A$3:$A$102,0)),"미등록"))</f>
        <v/>
      </c>
      <c r="D555" s="7"/>
      <c r="E555" s="12" t="str">
        <f aca="false">IF($D555="","",IFERROR(INDEX(품목마스터!$B$3:$B$202,MATCH($D555,품목마스터!$A$3:$A$202,0)),"미등록품번"))</f>
        <v/>
      </c>
      <c r="F555" s="12" t="str">
        <f aca="false">IF($D555="","",IFERROR(INDEX(품목마스터!$D$3:$D$202,MATCH($D555,품목마스터!$A$3:$A$202,0)),""))</f>
        <v/>
      </c>
      <c r="G555" s="9"/>
      <c r="H555" s="9"/>
      <c r="I555" s="9"/>
      <c r="J555" s="7"/>
      <c r="K555" s="13" t="str">
        <f aca="false">IF(OR($G555="",$I555=""),"",ROUND($G555*$I555,0))</f>
        <v/>
      </c>
      <c r="L555" s="13" t="str">
        <f aca="false">IF($D555="","",IF($G555="",0,$G555)+IF($H555="",0,$H555))</f>
        <v/>
      </c>
      <c r="M555" s="7"/>
    </row>
    <row r="556" customFormat="false" ht="15" hidden="false" customHeight="true" outlineLevel="0" collapsed="false">
      <c r="A556" s="11"/>
      <c r="B556" s="7"/>
      <c r="C556" s="12" t="str">
        <f aca="false">IF($B556="","",IFERROR(INDEX(거래처마스터!$B$3:$B$102,MATCH($B556,거래처마스터!$A$3:$A$102,0)),"미등록"))</f>
        <v/>
      </c>
      <c r="D556" s="7"/>
      <c r="E556" s="12" t="str">
        <f aca="false">IF($D556="","",IFERROR(INDEX(품목마스터!$B$3:$B$202,MATCH($D556,품목마스터!$A$3:$A$202,0)),"미등록품번"))</f>
        <v/>
      </c>
      <c r="F556" s="12" t="str">
        <f aca="false">IF($D556="","",IFERROR(INDEX(품목마스터!$D$3:$D$202,MATCH($D556,품목마스터!$A$3:$A$202,0)),""))</f>
        <v/>
      </c>
      <c r="G556" s="9"/>
      <c r="H556" s="9"/>
      <c r="I556" s="9"/>
      <c r="J556" s="7"/>
      <c r="K556" s="13" t="str">
        <f aca="false">IF(OR($G556="",$I556=""),"",ROUND($G556*$I556,0))</f>
        <v/>
      </c>
      <c r="L556" s="13" t="str">
        <f aca="false">IF($D556="","",IF($G556="",0,$G556)+IF($H556="",0,$H556))</f>
        <v/>
      </c>
      <c r="M556" s="7"/>
    </row>
    <row r="557" customFormat="false" ht="15" hidden="false" customHeight="true" outlineLevel="0" collapsed="false">
      <c r="A557" s="11"/>
      <c r="B557" s="7"/>
      <c r="C557" s="12" t="str">
        <f aca="false">IF($B557="","",IFERROR(INDEX(거래처마스터!$B$3:$B$102,MATCH($B557,거래처마스터!$A$3:$A$102,0)),"미등록"))</f>
        <v/>
      </c>
      <c r="D557" s="7"/>
      <c r="E557" s="12" t="str">
        <f aca="false">IF($D557="","",IFERROR(INDEX(품목마스터!$B$3:$B$202,MATCH($D557,품목마스터!$A$3:$A$202,0)),"미등록품번"))</f>
        <v/>
      </c>
      <c r="F557" s="12" t="str">
        <f aca="false">IF($D557="","",IFERROR(INDEX(품목마스터!$D$3:$D$202,MATCH($D557,품목마스터!$A$3:$A$202,0)),""))</f>
        <v/>
      </c>
      <c r="G557" s="9"/>
      <c r="H557" s="9"/>
      <c r="I557" s="9"/>
      <c r="J557" s="7"/>
      <c r="K557" s="13" t="str">
        <f aca="false">IF(OR($G557="",$I557=""),"",ROUND($G557*$I557,0))</f>
        <v/>
      </c>
      <c r="L557" s="13" t="str">
        <f aca="false">IF($D557="","",IF($G557="",0,$G557)+IF($H557="",0,$H557))</f>
        <v/>
      </c>
      <c r="M557" s="7"/>
    </row>
    <row r="558" customFormat="false" ht="15" hidden="false" customHeight="true" outlineLevel="0" collapsed="false">
      <c r="A558" s="11"/>
      <c r="B558" s="7"/>
      <c r="C558" s="12" t="str">
        <f aca="false">IF($B558="","",IFERROR(INDEX(거래처마스터!$B$3:$B$102,MATCH($B558,거래처마스터!$A$3:$A$102,0)),"미등록"))</f>
        <v/>
      </c>
      <c r="D558" s="7"/>
      <c r="E558" s="12" t="str">
        <f aca="false">IF($D558="","",IFERROR(INDEX(품목마스터!$B$3:$B$202,MATCH($D558,품목마스터!$A$3:$A$202,0)),"미등록품번"))</f>
        <v/>
      </c>
      <c r="F558" s="12" t="str">
        <f aca="false">IF($D558="","",IFERROR(INDEX(품목마스터!$D$3:$D$202,MATCH($D558,품목마스터!$A$3:$A$202,0)),""))</f>
        <v/>
      </c>
      <c r="G558" s="9"/>
      <c r="H558" s="9"/>
      <c r="I558" s="9"/>
      <c r="J558" s="7"/>
      <c r="K558" s="13" t="str">
        <f aca="false">IF(OR($G558="",$I558=""),"",ROUND($G558*$I558,0))</f>
        <v/>
      </c>
      <c r="L558" s="13" t="str">
        <f aca="false">IF($D558="","",IF($G558="",0,$G558)+IF($H558="",0,$H558))</f>
        <v/>
      </c>
      <c r="M558" s="7"/>
    </row>
    <row r="559" customFormat="false" ht="15" hidden="false" customHeight="true" outlineLevel="0" collapsed="false">
      <c r="A559" s="11"/>
      <c r="B559" s="7"/>
      <c r="C559" s="12" t="str">
        <f aca="false">IF($B559="","",IFERROR(INDEX(거래처마스터!$B$3:$B$102,MATCH($B559,거래처마스터!$A$3:$A$102,0)),"미등록"))</f>
        <v/>
      </c>
      <c r="D559" s="7"/>
      <c r="E559" s="12" t="str">
        <f aca="false">IF($D559="","",IFERROR(INDEX(품목마스터!$B$3:$B$202,MATCH($D559,품목마스터!$A$3:$A$202,0)),"미등록품번"))</f>
        <v/>
      </c>
      <c r="F559" s="12" t="str">
        <f aca="false">IF($D559="","",IFERROR(INDEX(품목마스터!$D$3:$D$202,MATCH($D559,품목마스터!$A$3:$A$202,0)),""))</f>
        <v/>
      </c>
      <c r="G559" s="9"/>
      <c r="H559" s="9"/>
      <c r="I559" s="9"/>
      <c r="J559" s="7"/>
      <c r="K559" s="13" t="str">
        <f aca="false">IF(OR($G559="",$I559=""),"",ROUND($G559*$I559,0))</f>
        <v/>
      </c>
      <c r="L559" s="13" t="str">
        <f aca="false">IF($D559="","",IF($G559="",0,$G559)+IF($H559="",0,$H559))</f>
        <v/>
      </c>
      <c r="M559" s="7"/>
    </row>
    <row r="560" customFormat="false" ht="15" hidden="false" customHeight="true" outlineLevel="0" collapsed="false">
      <c r="A560" s="11"/>
      <c r="B560" s="7"/>
      <c r="C560" s="12" t="str">
        <f aca="false">IF($B560="","",IFERROR(INDEX(거래처마스터!$B$3:$B$102,MATCH($B560,거래처마스터!$A$3:$A$102,0)),"미등록"))</f>
        <v/>
      </c>
      <c r="D560" s="7"/>
      <c r="E560" s="12" t="str">
        <f aca="false">IF($D560="","",IFERROR(INDEX(품목마스터!$B$3:$B$202,MATCH($D560,품목마스터!$A$3:$A$202,0)),"미등록품번"))</f>
        <v/>
      </c>
      <c r="F560" s="12" t="str">
        <f aca="false">IF($D560="","",IFERROR(INDEX(품목마스터!$D$3:$D$202,MATCH($D560,품목마스터!$A$3:$A$202,0)),""))</f>
        <v/>
      </c>
      <c r="G560" s="9"/>
      <c r="H560" s="9"/>
      <c r="I560" s="9"/>
      <c r="J560" s="7"/>
      <c r="K560" s="13" t="str">
        <f aca="false">IF(OR($G560="",$I560=""),"",ROUND($G560*$I560,0))</f>
        <v/>
      </c>
      <c r="L560" s="13" t="str">
        <f aca="false">IF($D560="","",IF($G560="",0,$G560)+IF($H560="",0,$H560))</f>
        <v/>
      </c>
      <c r="M560" s="7"/>
    </row>
    <row r="561" customFormat="false" ht="15" hidden="false" customHeight="true" outlineLevel="0" collapsed="false">
      <c r="A561" s="11"/>
      <c r="B561" s="7"/>
      <c r="C561" s="12" t="str">
        <f aca="false">IF($B561="","",IFERROR(INDEX(거래처마스터!$B$3:$B$102,MATCH($B561,거래처마스터!$A$3:$A$102,0)),"미등록"))</f>
        <v/>
      </c>
      <c r="D561" s="7"/>
      <c r="E561" s="12" t="str">
        <f aca="false">IF($D561="","",IFERROR(INDEX(품목마스터!$B$3:$B$202,MATCH($D561,품목마스터!$A$3:$A$202,0)),"미등록품번"))</f>
        <v/>
      </c>
      <c r="F561" s="12" t="str">
        <f aca="false">IF($D561="","",IFERROR(INDEX(품목마스터!$D$3:$D$202,MATCH($D561,품목마스터!$A$3:$A$202,0)),""))</f>
        <v/>
      </c>
      <c r="G561" s="9"/>
      <c r="H561" s="9"/>
      <c r="I561" s="9"/>
      <c r="J561" s="7"/>
      <c r="K561" s="13" t="str">
        <f aca="false">IF(OR($G561="",$I561=""),"",ROUND($G561*$I561,0))</f>
        <v/>
      </c>
      <c r="L561" s="13" t="str">
        <f aca="false">IF($D561="","",IF($G561="",0,$G561)+IF($H561="",0,$H561))</f>
        <v/>
      </c>
      <c r="M561" s="7"/>
    </row>
    <row r="562" customFormat="false" ht="15" hidden="false" customHeight="true" outlineLevel="0" collapsed="false">
      <c r="A562" s="11"/>
      <c r="B562" s="7"/>
      <c r="C562" s="12" t="str">
        <f aca="false">IF($B562="","",IFERROR(INDEX(거래처마스터!$B$3:$B$102,MATCH($B562,거래처마스터!$A$3:$A$102,0)),"미등록"))</f>
        <v/>
      </c>
      <c r="D562" s="7"/>
      <c r="E562" s="12" t="str">
        <f aca="false">IF($D562="","",IFERROR(INDEX(품목마스터!$B$3:$B$202,MATCH($D562,품목마스터!$A$3:$A$202,0)),"미등록품번"))</f>
        <v/>
      </c>
      <c r="F562" s="12" t="str">
        <f aca="false">IF($D562="","",IFERROR(INDEX(품목마스터!$D$3:$D$202,MATCH($D562,품목마스터!$A$3:$A$202,0)),""))</f>
        <v/>
      </c>
      <c r="G562" s="9"/>
      <c r="H562" s="9"/>
      <c r="I562" s="9"/>
      <c r="J562" s="7"/>
      <c r="K562" s="13" t="str">
        <f aca="false">IF(OR($G562="",$I562=""),"",ROUND($G562*$I562,0))</f>
        <v/>
      </c>
      <c r="L562" s="13" t="str">
        <f aca="false">IF($D562="","",IF($G562="",0,$G562)+IF($H562="",0,$H562))</f>
        <v/>
      </c>
      <c r="M562" s="7"/>
    </row>
    <row r="563" customFormat="false" ht="15" hidden="false" customHeight="true" outlineLevel="0" collapsed="false">
      <c r="A563" s="11"/>
      <c r="B563" s="7"/>
      <c r="C563" s="12" t="str">
        <f aca="false">IF($B563="","",IFERROR(INDEX(거래처마스터!$B$3:$B$102,MATCH($B563,거래처마스터!$A$3:$A$102,0)),"미등록"))</f>
        <v/>
      </c>
      <c r="D563" s="7"/>
      <c r="E563" s="12" t="str">
        <f aca="false">IF($D563="","",IFERROR(INDEX(품목마스터!$B$3:$B$202,MATCH($D563,품목마스터!$A$3:$A$202,0)),"미등록품번"))</f>
        <v/>
      </c>
      <c r="F563" s="12" t="str">
        <f aca="false">IF($D563="","",IFERROR(INDEX(품목마스터!$D$3:$D$202,MATCH($D563,품목마스터!$A$3:$A$202,0)),""))</f>
        <v/>
      </c>
      <c r="G563" s="9"/>
      <c r="H563" s="9"/>
      <c r="I563" s="9"/>
      <c r="J563" s="7"/>
      <c r="K563" s="13" t="str">
        <f aca="false">IF(OR($G563="",$I563=""),"",ROUND($G563*$I563,0))</f>
        <v/>
      </c>
      <c r="L563" s="13" t="str">
        <f aca="false">IF($D563="","",IF($G563="",0,$G563)+IF($H563="",0,$H563))</f>
        <v/>
      </c>
      <c r="M563" s="7"/>
    </row>
    <row r="564" customFormat="false" ht="15" hidden="false" customHeight="true" outlineLevel="0" collapsed="false">
      <c r="A564" s="11"/>
      <c r="B564" s="7"/>
      <c r="C564" s="12" t="str">
        <f aca="false">IF($B564="","",IFERROR(INDEX(거래처마스터!$B$3:$B$102,MATCH($B564,거래처마스터!$A$3:$A$102,0)),"미등록"))</f>
        <v/>
      </c>
      <c r="D564" s="7"/>
      <c r="E564" s="12" t="str">
        <f aca="false">IF($D564="","",IFERROR(INDEX(품목마스터!$B$3:$B$202,MATCH($D564,품목마스터!$A$3:$A$202,0)),"미등록품번"))</f>
        <v/>
      </c>
      <c r="F564" s="12" t="str">
        <f aca="false">IF($D564="","",IFERROR(INDEX(품목마스터!$D$3:$D$202,MATCH($D564,품목마스터!$A$3:$A$202,0)),""))</f>
        <v/>
      </c>
      <c r="G564" s="9"/>
      <c r="H564" s="9"/>
      <c r="I564" s="9"/>
      <c r="J564" s="7"/>
      <c r="K564" s="13" t="str">
        <f aca="false">IF(OR($G564="",$I564=""),"",ROUND($G564*$I564,0))</f>
        <v/>
      </c>
      <c r="L564" s="13" t="str">
        <f aca="false">IF($D564="","",IF($G564="",0,$G564)+IF($H564="",0,$H564))</f>
        <v/>
      </c>
      <c r="M564" s="7"/>
    </row>
    <row r="565" customFormat="false" ht="15" hidden="false" customHeight="true" outlineLevel="0" collapsed="false">
      <c r="A565" s="11"/>
      <c r="B565" s="7"/>
      <c r="C565" s="12" t="str">
        <f aca="false">IF($B565="","",IFERROR(INDEX(거래처마스터!$B$3:$B$102,MATCH($B565,거래처마스터!$A$3:$A$102,0)),"미등록"))</f>
        <v/>
      </c>
      <c r="D565" s="7"/>
      <c r="E565" s="12" t="str">
        <f aca="false">IF($D565="","",IFERROR(INDEX(품목마스터!$B$3:$B$202,MATCH($D565,품목마스터!$A$3:$A$202,0)),"미등록품번"))</f>
        <v/>
      </c>
      <c r="F565" s="12" t="str">
        <f aca="false">IF($D565="","",IFERROR(INDEX(품목마스터!$D$3:$D$202,MATCH($D565,품목마스터!$A$3:$A$202,0)),""))</f>
        <v/>
      </c>
      <c r="G565" s="9"/>
      <c r="H565" s="9"/>
      <c r="I565" s="9"/>
      <c r="J565" s="7"/>
      <c r="K565" s="13" t="str">
        <f aca="false">IF(OR($G565="",$I565=""),"",ROUND($G565*$I565,0))</f>
        <v/>
      </c>
      <c r="L565" s="13" t="str">
        <f aca="false">IF($D565="","",IF($G565="",0,$G565)+IF($H565="",0,$H565))</f>
        <v/>
      </c>
      <c r="M565" s="7"/>
    </row>
    <row r="566" customFormat="false" ht="15" hidden="false" customHeight="true" outlineLevel="0" collapsed="false">
      <c r="A566" s="11"/>
      <c r="B566" s="7"/>
      <c r="C566" s="12" t="str">
        <f aca="false">IF($B566="","",IFERROR(INDEX(거래처마스터!$B$3:$B$102,MATCH($B566,거래처마스터!$A$3:$A$102,0)),"미등록"))</f>
        <v/>
      </c>
      <c r="D566" s="7"/>
      <c r="E566" s="12" t="str">
        <f aca="false">IF($D566="","",IFERROR(INDEX(품목마스터!$B$3:$B$202,MATCH($D566,품목마스터!$A$3:$A$202,0)),"미등록품번"))</f>
        <v/>
      </c>
      <c r="F566" s="12" t="str">
        <f aca="false">IF($D566="","",IFERROR(INDEX(품목마스터!$D$3:$D$202,MATCH($D566,품목마스터!$A$3:$A$202,0)),""))</f>
        <v/>
      </c>
      <c r="G566" s="9"/>
      <c r="H566" s="9"/>
      <c r="I566" s="9"/>
      <c r="J566" s="7"/>
      <c r="K566" s="13" t="str">
        <f aca="false">IF(OR($G566="",$I566=""),"",ROUND($G566*$I566,0))</f>
        <v/>
      </c>
      <c r="L566" s="13" t="str">
        <f aca="false">IF($D566="","",IF($G566="",0,$G566)+IF($H566="",0,$H566))</f>
        <v/>
      </c>
      <c r="M566" s="7"/>
    </row>
    <row r="567" customFormat="false" ht="15" hidden="false" customHeight="true" outlineLevel="0" collapsed="false">
      <c r="A567" s="11"/>
      <c r="B567" s="7"/>
      <c r="C567" s="12" t="str">
        <f aca="false">IF($B567="","",IFERROR(INDEX(거래처마스터!$B$3:$B$102,MATCH($B567,거래처마스터!$A$3:$A$102,0)),"미등록"))</f>
        <v/>
      </c>
      <c r="D567" s="7"/>
      <c r="E567" s="12" t="str">
        <f aca="false">IF($D567="","",IFERROR(INDEX(품목마스터!$B$3:$B$202,MATCH($D567,품목마스터!$A$3:$A$202,0)),"미등록품번"))</f>
        <v/>
      </c>
      <c r="F567" s="12" t="str">
        <f aca="false">IF($D567="","",IFERROR(INDEX(품목마스터!$D$3:$D$202,MATCH($D567,품목마스터!$A$3:$A$202,0)),""))</f>
        <v/>
      </c>
      <c r="G567" s="9"/>
      <c r="H567" s="9"/>
      <c r="I567" s="9"/>
      <c r="J567" s="7"/>
      <c r="K567" s="13" t="str">
        <f aca="false">IF(OR($G567="",$I567=""),"",ROUND($G567*$I567,0))</f>
        <v/>
      </c>
      <c r="L567" s="13" t="str">
        <f aca="false">IF($D567="","",IF($G567="",0,$G567)+IF($H567="",0,$H567))</f>
        <v/>
      </c>
      <c r="M567" s="7"/>
    </row>
    <row r="568" customFormat="false" ht="15" hidden="false" customHeight="true" outlineLevel="0" collapsed="false">
      <c r="A568" s="11"/>
      <c r="B568" s="7"/>
      <c r="C568" s="12" t="str">
        <f aca="false">IF($B568="","",IFERROR(INDEX(거래처마스터!$B$3:$B$102,MATCH($B568,거래처마스터!$A$3:$A$102,0)),"미등록"))</f>
        <v/>
      </c>
      <c r="D568" s="7"/>
      <c r="E568" s="12" t="str">
        <f aca="false">IF($D568="","",IFERROR(INDEX(품목마스터!$B$3:$B$202,MATCH($D568,품목마스터!$A$3:$A$202,0)),"미등록품번"))</f>
        <v/>
      </c>
      <c r="F568" s="12" t="str">
        <f aca="false">IF($D568="","",IFERROR(INDEX(품목마스터!$D$3:$D$202,MATCH($D568,품목마스터!$A$3:$A$202,0)),""))</f>
        <v/>
      </c>
      <c r="G568" s="9"/>
      <c r="H568" s="9"/>
      <c r="I568" s="9"/>
      <c r="J568" s="7"/>
      <c r="K568" s="13" t="str">
        <f aca="false">IF(OR($G568="",$I568=""),"",ROUND($G568*$I568,0))</f>
        <v/>
      </c>
      <c r="L568" s="13" t="str">
        <f aca="false">IF($D568="","",IF($G568="",0,$G568)+IF($H568="",0,$H568))</f>
        <v/>
      </c>
      <c r="M568" s="7"/>
    </row>
    <row r="569" customFormat="false" ht="15" hidden="false" customHeight="true" outlineLevel="0" collapsed="false">
      <c r="A569" s="11"/>
      <c r="B569" s="7"/>
      <c r="C569" s="12" t="str">
        <f aca="false">IF($B569="","",IFERROR(INDEX(거래처마스터!$B$3:$B$102,MATCH($B569,거래처마스터!$A$3:$A$102,0)),"미등록"))</f>
        <v/>
      </c>
      <c r="D569" s="7"/>
      <c r="E569" s="12" t="str">
        <f aca="false">IF($D569="","",IFERROR(INDEX(품목마스터!$B$3:$B$202,MATCH($D569,품목마스터!$A$3:$A$202,0)),"미등록품번"))</f>
        <v/>
      </c>
      <c r="F569" s="12" t="str">
        <f aca="false">IF($D569="","",IFERROR(INDEX(품목마스터!$D$3:$D$202,MATCH($D569,품목마스터!$A$3:$A$202,0)),""))</f>
        <v/>
      </c>
      <c r="G569" s="9"/>
      <c r="H569" s="9"/>
      <c r="I569" s="9"/>
      <c r="J569" s="7"/>
      <c r="K569" s="13" t="str">
        <f aca="false">IF(OR($G569="",$I569=""),"",ROUND($G569*$I569,0))</f>
        <v/>
      </c>
      <c r="L569" s="13" t="str">
        <f aca="false">IF($D569="","",IF($G569="",0,$G569)+IF($H569="",0,$H569))</f>
        <v/>
      </c>
      <c r="M569" s="7"/>
    </row>
    <row r="570" customFormat="false" ht="15" hidden="false" customHeight="true" outlineLevel="0" collapsed="false">
      <c r="A570" s="11"/>
      <c r="B570" s="7"/>
      <c r="C570" s="12" t="str">
        <f aca="false">IF($B570="","",IFERROR(INDEX(거래처마스터!$B$3:$B$102,MATCH($B570,거래처마스터!$A$3:$A$102,0)),"미등록"))</f>
        <v/>
      </c>
      <c r="D570" s="7"/>
      <c r="E570" s="12" t="str">
        <f aca="false">IF($D570="","",IFERROR(INDEX(품목마스터!$B$3:$B$202,MATCH($D570,품목마스터!$A$3:$A$202,0)),"미등록품번"))</f>
        <v/>
      </c>
      <c r="F570" s="12" t="str">
        <f aca="false">IF($D570="","",IFERROR(INDEX(품목마스터!$D$3:$D$202,MATCH($D570,품목마스터!$A$3:$A$202,0)),""))</f>
        <v/>
      </c>
      <c r="G570" s="9"/>
      <c r="H570" s="9"/>
      <c r="I570" s="9"/>
      <c r="J570" s="7"/>
      <c r="K570" s="13" t="str">
        <f aca="false">IF(OR($G570="",$I570=""),"",ROUND($G570*$I570,0))</f>
        <v/>
      </c>
      <c r="L570" s="13" t="str">
        <f aca="false">IF($D570="","",IF($G570="",0,$G570)+IF($H570="",0,$H570))</f>
        <v/>
      </c>
      <c r="M570" s="7"/>
    </row>
    <row r="571" customFormat="false" ht="15" hidden="false" customHeight="true" outlineLevel="0" collapsed="false">
      <c r="A571" s="11"/>
      <c r="B571" s="7"/>
      <c r="C571" s="12" t="str">
        <f aca="false">IF($B571="","",IFERROR(INDEX(거래처마스터!$B$3:$B$102,MATCH($B571,거래처마스터!$A$3:$A$102,0)),"미등록"))</f>
        <v/>
      </c>
      <c r="D571" s="7"/>
      <c r="E571" s="12" t="str">
        <f aca="false">IF($D571="","",IFERROR(INDEX(품목마스터!$B$3:$B$202,MATCH($D571,품목마스터!$A$3:$A$202,0)),"미등록품번"))</f>
        <v/>
      </c>
      <c r="F571" s="12" t="str">
        <f aca="false">IF($D571="","",IFERROR(INDEX(품목마스터!$D$3:$D$202,MATCH($D571,품목마스터!$A$3:$A$202,0)),""))</f>
        <v/>
      </c>
      <c r="G571" s="9"/>
      <c r="H571" s="9"/>
      <c r="I571" s="9"/>
      <c r="J571" s="7"/>
      <c r="K571" s="13" t="str">
        <f aca="false">IF(OR($G571="",$I571=""),"",ROUND($G571*$I571,0))</f>
        <v/>
      </c>
      <c r="L571" s="13" t="str">
        <f aca="false">IF($D571="","",IF($G571="",0,$G571)+IF($H571="",0,$H571))</f>
        <v/>
      </c>
      <c r="M571" s="7"/>
    </row>
    <row r="572" customFormat="false" ht="15" hidden="false" customHeight="true" outlineLevel="0" collapsed="false">
      <c r="A572" s="11"/>
      <c r="B572" s="7"/>
      <c r="C572" s="12" t="str">
        <f aca="false">IF($B572="","",IFERROR(INDEX(거래처마스터!$B$3:$B$102,MATCH($B572,거래처마스터!$A$3:$A$102,0)),"미등록"))</f>
        <v/>
      </c>
      <c r="D572" s="7"/>
      <c r="E572" s="12" t="str">
        <f aca="false">IF($D572="","",IFERROR(INDEX(품목마스터!$B$3:$B$202,MATCH($D572,품목마스터!$A$3:$A$202,0)),"미등록품번"))</f>
        <v/>
      </c>
      <c r="F572" s="12" t="str">
        <f aca="false">IF($D572="","",IFERROR(INDEX(품목마스터!$D$3:$D$202,MATCH($D572,품목마스터!$A$3:$A$202,0)),""))</f>
        <v/>
      </c>
      <c r="G572" s="9"/>
      <c r="H572" s="9"/>
      <c r="I572" s="9"/>
      <c r="J572" s="7"/>
      <c r="K572" s="13" t="str">
        <f aca="false">IF(OR($G572="",$I572=""),"",ROUND($G572*$I572,0))</f>
        <v/>
      </c>
      <c r="L572" s="13" t="str">
        <f aca="false">IF($D572="","",IF($G572="",0,$G572)+IF($H572="",0,$H572))</f>
        <v/>
      </c>
      <c r="M572" s="7"/>
    </row>
    <row r="573" customFormat="false" ht="15" hidden="false" customHeight="true" outlineLevel="0" collapsed="false">
      <c r="A573" s="11"/>
      <c r="B573" s="7"/>
      <c r="C573" s="12" t="str">
        <f aca="false">IF($B573="","",IFERROR(INDEX(거래처마스터!$B$3:$B$102,MATCH($B573,거래처마스터!$A$3:$A$102,0)),"미등록"))</f>
        <v/>
      </c>
      <c r="D573" s="7"/>
      <c r="E573" s="12" t="str">
        <f aca="false">IF($D573="","",IFERROR(INDEX(품목마스터!$B$3:$B$202,MATCH($D573,품목마스터!$A$3:$A$202,0)),"미등록품번"))</f>
        <v/>
      </c>
      <c r="F573" s="12" t="str">
        <f aca="false">IF($D573="","",IFERROR(INDEX(품목마스터!$D$3:$D$202,MATCH($D573,품목마스터!$A$3:$A$202,0)),""))</f>
        <v/>
      </c>
      <c r="G573" s="9"/>
      <c r="H573" s="9"/>
      <c r="I573" s="9"/>
      <c r="J573" s="7"/>
      <c r="K573" s="13" t="str">
        <f aca="false">IF(OR($G573="",$I573=""),"",ROUND($G573*$I573,0))</f>
        <v/>
      </c>
      <c r="L573" s="13" t="str">
        <f aca="false">IF($D573="","",IF($G573="",0,$G573)+IF($H573="",0,$H573))</f>
        <v/>
      </c>
      <c r="M573" s="7"/>
    </row>
    <row r="574" customFormat="false" ht="15" hidden="false" customHeight="true" outlineLevel="0" collapsed="false">
      <c r="A574" s="11"/>
      <c r="B574" s="7"/>
      <c r="C574" s="12" t="str">
        <f aca="false">IF($B574="","",IFERROR(INDEX(거래처마스터!$B$3:$B$102,MATCH($B574,거래처마스터!$A$3:$A$102,0)),"미등록"))</f>
        <v/>
      </c>
      <c r="D574" s="7"/>
      <c r="E574" s="12" t="str">
        <f aca="false">IF($D574="","",IFERROR(INDEX(품목마스터!$B$3:$B$202,MATCH($D574,품목마스터!$A$3:$A$202,0)),"미등록품번"))</f>
        <v/>
      </c>
      <c r="F574" s="12" t="str">
        <f aca="false">IF($D574="","",IFERROR(INDEX(품목마스터!$D$3:$D$202,MATCH($D574,품목마스터!$A$3:$A$202,0)),""))</f>
        <v/>
      </c>
      <c r="G574" s="9"/>
      <c r="H574" s="9"/>
      <c r="I574" s="9"/>
      <c r="J574" s="7"/>
      <c r="K574" s="13" t="str">
        <f aca="false">IF(OR($G574="",$I574=""),"",ROUND($G574*$I574,0))</f>
        <v/>
      </c>
      <c r="L574" s="13" t="str">
        <f aca="false">IF($D574="","",IF($G574="",0,$G574)+IF($H574="",0,$H574))</f>
        <v/>
      </c>
      <c r="M574" s="7"/>
    </row>
    <row r="575" customFormat="false" ht="15" hidden="false" customHeight="true" outlineLevel="0" collapsed="false">
      <c r="A575" s="11"/>
      <c r="B575" s="7"/>
      <c r="C575" s="12" t="str">
        <f aca="false">IF($B575="","",IFERROR(INDEX(거래처마스터!$B$3:$B$102,MATCH($B575,거래처마스터!$A$3:$A$102,0)),"미등록"))</f>
        <v/>
      </c>
      <c r="D575" s="7"/>
      <c r="E575" s="12" t="str">
        <f aca="false">IF($D575="","",IFERROR(INDEX(품목마스터!$B$3:$B$202,MATCH($D575,품목마스터!$A$3:$A$202,0)),"미등록품번"))</f>
        <v/>
      </c>
      <c r="F575" s="12" t="str">
        <f aca="false">IF($D575="","",IFERROR(INDEX(품목마스터!$D$3:$D$202,MATCH($D575,품목마스터!$A$3:$A$202,0)),""))</f>
        <v/>
      </c>
      <c r="G575" s="9"/>
      <c r="H575" s="9"/>
      <c r="I575" s="9"/>
      <c r="J575" s="7"/>
      <c r="K575" s="13" t="str">
        <f aca="false">IF(OR($G575="",$I575=""),"",ROUND($G575*$I575,0))</f>
        <v/>
      </c>
      <c r="L575" s="13" t="str">
        <f aca="false">IF($D575="","",IF($G575="",0,$G575)+IF($H575="",0,$H575))</f>
        <v/>
      </c>
      <c r="M575" s="7"/>
    </row>
    <row r="576" customFormat="false" ht="15" hidden="false" customHeight="true" outlineLevel="0" collapsed="false">
      <c r="A576" s="11"/>
      <c r="B576" s="7"/>
      <c r="C576" s="12" t="str">
        <f aca="false">IF($B576="","",IFERROR(INDEX(거래처마스터!$B$3:$B$102,MATCH($B576,거래처마스터!$A$3:$A$102,0)),"미등록"))</f>
        <v/>
      </c>
      <c r="D576" s="7"/>
      <c r="E576" s="12" t="str">
        <f aca="false">IF($D576="","",IFERROR(INDEX(품목마스터!$B$3:$B$202,MATCH($D576,품목마스터!$A$3:$A$202,0)),"미등록품번"))</f>
        <v/>
      </c>
      <c r="F576" s="12" t="str">
        <f aca="false">IF($D576="","",IFERROR(INDEX(품목마스터!$D$3:$D$202,MATCH($D576,품목마스터!$A$3:$A$202,0)),""))</f>
        <v/>
      </c>
      <c r="G576" s="9"/>
      <c r="H576" s="9"/>
      <c r="I576" s="9"/>
      <c r="J576" s="7"/>
      <c r="K576" s="13" t="str">
        <f aca="false">IF(OR($G576="",$I576=""),"",ROUND($G576*$I576,0))</f>
        <v/>
      </c>
      <c r="L576" s="13" t="str">
        <f aca="false">IF($D576="","",IF($G576="",0,$G576)+IF($H576="",0,$H576))</f>
        <v/>
      </c>
      <c r="M576" s="7"/>
    </row>
    <row r="577" customFormat="false" ht="15" hidden="false" customHeight="true" outlineLevel="0" collapsed="false">
      <c r="A577" s="11"/>
      <c r="B577" s="7"/>
      <c r="C577" s="12" t="str">
        <f aca="false">IF($B577="","",IFERROR(INDEX(거래처마스터!$B$3:$B$102,MATCH($B577,거래처마스터!$A$3:$A$102,0)),"미등록"))</f>
        <v/>
      </c>
      <c r="D577" s="7"/>
      <c r="E577" s="12" t="str">
        <f aca="false">IF($D577="","",IFERROR(INDEX(품목마스터!$B$3:$B$202,MATCH($D577,품목마스터!$A$3:$A$202,0)),"미등록품번"))</f>
        <v/>
      </c>
      <c r="F577" s="12" t="str">
        <f aca="false">IF($D577="","",IFERROR(INDEX(품목마스터!$D$3:$D$202,MATCH($D577,품목마스터!$A$3:$A$202,0)),""))</f>
        <v/>
      </c>
      <c r="G577" s="9"/>
      <c r="H577" s="9"/>
      <c r="I577" s="9"/>
      <c r="J577" s="7"/>
      <c r="K577" s="13" t="str">
        <f aca="false">IF(OR($G577="",$I577=""),"",ROUND($G577*$I577,0))</f>
        <v/>
      </c>
      <c r="L577" s="13" t="str">
        <f aca="false">IF($D577="","",IF($G577="",0,$G577)+IF($H577="",0,$H577))</f>
        <v/>
      </c>
      <c r="M577" s="7"/>
    </row>
    <row r="578" customFormat="false" ht="15" hidden="false" customHeight="true" outlineLevel="0" collapsed="false">
      <c r="A578" s="11"/>
      <c r="B578" s="7"/>
      <c r="C578" s="12" t="str">
        <f aca="false">IF($B578="","",IFERROR(INDEX(거래처마스터!$B$3:$B$102,MATCH($B578,거래처마스터!$A$3:$A$102,0)),"미등록"))</f>
        <v/>
      </c>
      <c r="D578" s="7"/>
      <c r="E578" s="12" t="str">
        <f aca="false">IF($D578="","",IFERROR(INDEX(품목마스터!$B$3:$B$202,MATCH($D578,품목마스터!$A$3:$A$202,0)),"미등록품번"))</f>
        <v/>
      </c>
      <c r="F578" s="12" t="str">
        <f aca="false">IF($D578="","",IFERROR(INDEX(품목마스터!$D$3:$D$202,MATCH($D578,품목마스터!$A$3:$A$202,0)),""))</f>
        <v/>
      </c>
      <c r="G578" s="9"/>
      <c r="H578" s="9"/>
      <c r="I578" s="9"/>
      <c r="J578" s="7"/>
      <c r="K578" s="13" t="str">
        <f aca="false">IF(OR($G578="",$I578=""),"",ROUND($G578*$I578,0))</f>
        <v/>
      </c>
      <c r="L578" s="13" t="str">
        <f aca="false">IF($D578="","",IF($G578="",0,$G578)+IF($H578="",0,$H578))</f>
        <v/>
      </c>
      <c r="M578" s="7"/>
    </row>
    <row r="579" customFormat="false" ht="15" hidden="false" customHeight="true" outlineLevel="0" collapsed="false">
      <c r="A579" s="11"/>
      <c r="B579" s="7"/>
      <c r="C579" s="12" t="str">
        <f aca="false">IF($B579="","",IFERROR(INDEX(거래처마스터!$B$3:$B$102,MATCH($B579,거래처마스터!$A$3:$A$102,0)),"미등록"))</f>
        <v/>
      </c>
      <c r="D579" s="7"/>
      <c r="E579" s="12" t="str">
        <f aca="false">IF($D579="","",IFERROR(INDEX(품목마스터!$B$3:$B$202,MATCH($D579,품목마스터!$A$3:$A$202,0)),"미등록품번"))</f>
        <v/>
      </c>
      <c r="F579" s="12" t="str">
        <f aca="false">IF($D579="","",IFERROR(INDEX(품목마스터!$D$3:$D$202,MATCH($D579,품목마스터!$A$3:$A$202,0)),""))</f>
        <v/>
      </c>
      <c r="G579" s="9"/>
      <c r="H579" s="9"/>
      <c r="I579" s="9"/>
      <c r="J579" s="7"/>
      <c r="K579" s="13" t="str">
        <f aca="false">IF(OR($G579="",$I579=""),"",ROUND($G579*$I579,0))</f>
        <v/>
      </c>
      <c r="L579" s="13" t="str">
        <f aca="false">IF($D579="","",IF($G579="",0,$G579)+IF($H579="",0,$H579))</f>
        <v/>
      </c>
      <c r="M579" s="7"/>
    </row>
    <row r="580" customFormat="false" ht="15" hidden="false" customHeight="true" outlineLevel="0" collapsed="false">
      <c r="A580" s="11"/>
      <c r="B580" s="7"/>
      <c r="C580" s="12" t="str">
        <f aca="false">IF($B580="","",IFERROR(INDEX(거래처마스터!$B$3:$B$102,MATCH($B580,거래처마스터!$A$3:$A$102,0)),"미등록"))</f>
        <v/>
      </c>
      <c r="D580" s="7"/>
      <c r="E580" s="12" t="str">
        <f aca="false">IF($D580="","",IFERROR(INDEX(품목마스터!$B$3:$B$202,MATCH($D580,품목마스터!$A$3:$A$202,0)),"미등록품번"))</f>
        <v/>
      </c>
      <c r="F580" s="12" t="str">
        <f aca="false">IF($D580="","",IFERROR(INDEX(품목마스터!$D$3:$D$202,MATCH($D580,품목마스터!$A$3:$A$202,0)),""))</f>
        <v/>
      </c>
      <c r="G580" s="9"/>
      <c r="H580" s="9"/>
      <c r="I580" s="9"/>
      <c r="J580" s="7"/>
      <c r="K580" s="13" t="str">
        <f aca="false">IF(OR($G580="",$I580=""),"",ROUND($G580*$I580,0))</f>
        <v/>
      </c>
      <c r="L580" s="13" t="str">
        <f aca="false">IF($D580="","",IF($G580="",0,$G580)+IF($H580="",0,$H580))</f>
        <v/>
      </c>
      <c r="M580" s="7"/>
    </row>
    <row r="581" customFormat="false" ht="15" hidden="false" customHeight="true" outlineLevel="0" collapsed="false">
      <c r="A581" s="11"/>
      <c r="B581" s="7"/>
      <c r="C581" s="12" t="str">
        <f aca="false">IF($B581="","",IFERROR(INDEX(거래처마스터!$B$3:$B$102,MATCH($B581,거래처마스터!$A$3:$A$102,0)),"미등록"))</f>
        <v/>
      </c>
      <c r="D581" s="7"/>
      <c r="E581" s="12" t="str">
        <f aca="false">IF($D581="","",IFERROR(INDEX(품목마스터!$B$3:$B$202,MATCH($D581,품목마스터!$A$3:$A$202,0)),"미등록품번"))</f>
        <v/>
      </c>
      <c r="F581" s="12" t="str">
        <f aca="false">IF($D581="","",IFERROR(INDEX(품목마스터!$D$3:$D$202,MATCH($D581,품목마스터!$A$3:$A$202,0)),""))</f>
        <v/>
      </c>
      <c r="G581" s="9"/>
      <c r="H581" s="9"/>
      <c r="I581" s="9"/>
      <c r="J581" s="7"/>
      <c r="K581" s="13" t="str">
        <f aca="false">IF(OR($G581="",$I581=""),"",ROUND($G581*$I581,0))</f>
        <v/>
      </c>
      <c r="L581" s="13" t="str">
        <f aca="false">IF($D581="","",IF($G581="",0,$G581)+IF($H581="",0,$H581))</f>
        <v/>
      </c>
      <c r="M581" s="7"/>
    </row>
    <row r="582" customFormat="false" ht="15" hidden="false" customHeight="true" outlineLevel="0" collapsed="false">
      <c r="A582" s="11"/>
      <c r="B582" s="7"/>
      <c r="C582" s="12" t="str">
        <f aca="false">IF($B582="","",IFERROR(INDEX(거래처마스터!$B$3:$B$102,MATCH($B582,거래처마스터!$A$3:$A$102,0)),"미등록"))</f>
        <v/>
      </c>
      <c r="D582" s="7"/>
      <c r="E582" s="12" t="str">
        <f aca="false">IF($D582="","",IFERROR(INDEX(품목마스터!$B$3:$B$202,MATCH($D582,품목마스터!$A$3:$A$202,0)),"미등록품번"))</f>
        <v/>
      </c>
      <c r="F582" s="12" t="str">
        <f aca="false">IF($D582="","",IFERROR(INDEX(품목마스터!$D$3:$D$202,MATCH($D582,품목마스터!$A$3:$A$202,0)),""))</f>
        <v/>
      </c>
      <c r="G582" s="9"/>
      <c r="H582" s="9"/>
      <c r="I582" s="9"/>
      <c r="J582" s="7"/>
      <c r="K582" s="13" t="str">
        <f aca="false">IF(OR($G582="",$I582=""),"",ROUND($G582*$I582,0))</f>
        <v/>
      </c>
      <c r="L582" s="13" t="str">
        <f aca="false">IF($D582="","",IF($G582="",0,$G582)+IF($H582="",0,$H582))</f>
        <v/>
      </c>
      <c r="M582" s="7"/>
    </row>
    <row r="583" customFormat="false" ht="15" hidden="false" customHeight="true" outlineLevel="0" collapsed="false">
      <c r="A583" s="11"/>
      <c r="B583" s="7"/>
      <c r="C583" s="12" t="str">
        <f aca="false">IF($B583="","",IFERROR(INDEX(거래처마스터!$B$3:$B$102,MATCH($B583,거래처마스터!$A$3:$A$102,0)),"미등록"))</f>
        <v/>
      </c>
      <c r="D583" s="7"/>
      <c r="E583" s="12" t="str">
        <f aca="false">IF($D583="","",IFERROR(INDEX(품목마스터!$B$3:$B$202,MATCH($D583,품목마스터!$A$3:$A$202,0)),"미등록품번"))</f>
        <v/>
      </c>
      <c r="F583" s="12" t="str">
        <f aca="false">IF($D583="","",IFERROR(INDEX(품목마스터!$D$3:$D$202,MATCH($D583,품목마스터!$A$3:$A$202,0)),""))</f>
        <v/>
      </c>
      <c r="G583" s="9"/>
      <c r="H583" s="9"/>
      <c r="I583" s="9"/>
      <c r="J583" s="7"/>
      <c r="K583" s="13" t="str">
        <f aca="false">IF(OR($G583="",$I583=""),"",ROUND($G583*$I583,0))</f>
        <v/>
      </c>
      <c r="L583" s="13" t="str">
        <f aca="false">IF($D583="","",IF($G583="",0,$G583)+IF($H583="",0,$H583))</f>
        <v/>
      </c>
      <c r="M583" s="7"/>
    </row>
    <row r="584" customFormat="false" ht="15" hidden="false" customHeight="true" outlineLevel="0" collapsed="false">
      <c r="A584" s="11"/>
      <c r="B584" s="7"/>
      <c r="C584" s="12" t="str">
        <f aca="false">IF($B584="","",IFERROR(INDEX(거래처마스터!$B$3:$B$102,MATCH($B584,거래처마스터!$A$3:$A$102,0)),"미등록"))</f>
        <v/>
      </c>
      <c r="D584" s="7"/>
      <c r="E584" s="12" t="str">
        <f aca="false">IF($D584="","",IFERROR(INDEX(품목마스터!$B$3:$B$202,MATCH($D584,품목마스터!$A$3:$A$202,0)),"미등록품번"))</f>
        <v/>
      </c>
      <c r="F584" s="12" t="str">
        <f aca="false">IF($D584="","",IFERROR(INDEX(품목마스터!$D$3:$D$202,MATCH($D584,품목마스터!$A$3:$A$202,0)),""))</f>
        <v/>
      </c>
      <c r="G584" s="9"/>
      <c r="H584" s="9"/>
      <c r="I584" s="9"/>
      <c r="J584" s="7"/>
      <c r="K584" s="13" t="str">
        <f aca="false">IF(OR($G584="",$I584=""),"",ROUND($G584*$I584,0))</f>
        <v/>
      </c>
      <c r="L584" s="13" t="str">
        <f aca="false">IF($D584="","",IF($G584="",0,$G584)+IF($H584="",0,$H584))</f>
        <v/>
      </c>
      <c r="M584" s="7"/>
    </row>
    <row r="585" customFormat="false" ht="15" hidden="false" customHeight="true" outlineLevel="0" collapsed="false">
      <c r="A585" s="11"/>
      <c r="B585" s="7"/>
      <c r="C585" s="12" t="str">
        <f aca="false">IF($B585="","",IFERROR(INDEX(거래처마스터!$B$3:$B$102,MATCH($B585,거래처마스터!$A$3:$A$102,0)),"미등록"))</f>
        <v/>
      </c>
      <c r="D585" s="7"/>
      <c r="E585" s="12" t="str">
        <f aca="false">IF($D585="","",IFERROR(INDEX(품목마스터!$B$3:$B$202,MATCH($D585,품목마스터!$A$3:$A$202,0)),"미등록품번"))</f>
        <v/>
      </c>
      <c r="F585" s="12" t="str">
        <f aca="false">IF($D585="","",IFERROR(INDEX(품목마스터!$D$3:$D$202,MATCH($D585,품목마스터!$A$3:$A$202,0)),""))</f>
        <v/>
      </c>
      <c r="G585" s="9"/>
      <c r="H585" s="9"/>
      <c r="I585" s="9"/>
      <c r="J585" s="7"/>
      <c r="K585" s="13" t="str">
        <f aca="false">IF(OR($G585="",$I585=""),"",ROUND($G585*$I585,0))</f>
        <v/>
      </c>
      <c r="L585" s="13" t="str">
        <f aca="false">IF($D585="","",IF($G585="",0,$G585)+IF($H585="",0,$H585))</f>
        <v/>
      </c>
      <c r="M585" s="7"/>
    </row>
    <row r="586" customFormat="false" ht="15" hidden="false" customHeight="true" outlineLevel="0" collapsed="false">
      <c r="A586" s="11"/>
      <c r="B586" s="7"/>
      <c r="C586" s="12" t="str">
        <f aca="false">IF($B586="","",IFERROR(INDEX(거래처마스터!$B$3:$B$102,MATCH($B586,거래처마스터!$A$3:$A$102,0)),"미등록"))</f>
        <v/>
      </c>
      <c r="D586" s="7"/>
      <c r="E586" s="12" t="str">
        <f aca="false">IF($D586="","",IFERROR(INDEX(품목마스터!$B$3:$B$202,MATCH($D586,품목마스터!$A$3:$A$202,0)),"미등록품번"))</f>
        <v/>
      </c>
      <c r="F586" s="12" t="str">
        <f aca="false">IF($D586="","",IFERROR(INDEX(품목마스터!$D$3:$D$202,MATCH($D586,품목마스터!$A$3:$A$202,0)),""))</f>
        <v/>
      </c>
      <c r="G586" s="9"/>
      <c r="H586" s="9"/>
      <c r="I586" s="9"/>
      <c r="J586" s="7"/>
      <c r="K586" s="13" t="str">
        <f aca="false">IF(OR($G586="",$I586=""),"",ROUND($G586*$I586,0))</f>
        <v/>
      </c>
      <c r="L586" s="13" t="str">
        <f aca="false">IF($D586="","",IF($G586="",0,$G586)+IF($H586="",0,$H586))</f>
        <v/>
      </c>
      <c r="M586" s="7"/>
    </row>
    <row r="587" customFormat="false" ht="15" hidden="false" customHeight="true" outlineLevel="0" collapsed="false">
      <c r="A587" s="11"/>
      <c r="B587" s="7"/>
      <c r="C587" s="12" t="str">
        <f aca="false">IF($B587="","",IFERROR(INDEX(거래처마스터!$B$3:$B$102,MATCH($B587,거래처마스터!$A$3:$A$102,0)),"미등록"))</f>
        <v/>
      </c>
      <c r="D587" s="7"/>
      <c r="E587" s="12" t="str">
        <f aca="false">IF($D587="","",IFERROR(INDEX(품목마스터!$B$3:$B$202,MATCH($D587,품목마스터!$A$3:$A$202,0)),"미등록품번"))</f>
        <v/>
      </c>
      <c r="F587" s="12" t="str">
        <f aca="false">IF($D587="","",IFERROR(INDEX(품목마스터!$D$3:$D$202,MATCH($D587,품목마스터!$A$3:$A$202,0)),""))</f>
        <v/>
      </c>
      <c r="G587" s="9"/>
      <c r="H587" s="9"/>
      <c r="I587" s="9"/>
      <c r="J587" s="7"/>
      <c r="K587" s="13" t="str">
        <f aca="false">IF(OR($G587="",$I587=""),"",ROUND($G587*$I587,0))</f>
        <v/>
      </c>
      <c r="L587" s="13" t="str">
        <f aca="false">IF($D587="","",IF($G587="",0,$G587)+IF($H587="",0,$H587))</f>
        <v/>
      </c>
      <c r="M587" s="7"/>
    </row>
    <row r="588" customFormat="false" ht="15" hidden="false" customHeight="true" outlineLevel="0" collapsed="false">
      <c r="A588" s="11"/>
      <c r="B588" s="7"/>
      <c r="C588" s="12" t="str">
        <f aca="false">IF($B588="","",IFERROR(INDEX(거래처마스터!$B$3:$B$102,MATCH($B588,거래처마스터!$A$3:$A$102,0)),"미등록"))</f>
        <v/>
      </c>
      <c r="D588" s="7"/>
      <c r="E588" s="12" t="str">
        <f aca="false">IF($D588="","",IFERROR(INDEX(품목마스터!$B$3:$B$202,MATCH($D588,품목마스터!$A$3:$A$202,0)),"미등록품번"))</f>
        <v/>
      </c>
      <c r="F588" s="12" t="str">
        <f aca="false">IF($D588="","",IFERROR(INDEX(품목마스터!$D$3:$D$202,MATCH($D588,품목마스터!$A$3:$A$202,0)),""))</f>
        <v/>
      </c>
      <c r="G588" s="9"/>
      <c r="H588" s="9"/>
      <c r="I588" s="9"/>
      <c r="J588" s="7"/>
      <c r="K588" s="13" t="str">
        <f aca="false">IF(OR($G588="",$I588=""),"",ROUND($G588*$I588,0))</f>
        <v/>
      </c>
      <c r="L588" s="13" t="str">
        <f aca="false">IF($D588="","",IF($G588="",0,$G588)+IF($H588="",0,$H588))</f>
        <v/>
      </c>
      <c r="M588" s="7"/>
    </row>
    <row r="589" customFormat="false" ht="15" hidden="false" customHeight="true" outlineLevel="0" collapsed="false">
      <c r="A589" s="11"/>
      <c r="B589" s="7"/>
      <c r="C589" s="12" t="str">
        <f aca="false">IF($B589="","",IFERROR(INDEX(거래처마스터!$B$3:$B$102,MATCH($B589,거래처마스터!$A$3:$A$102,0)),"미등록"))</f>
        <v/>
      </c>
      <c r="D589" s="7"/>
      <c r="E589" s="12" t="str">
        <f aca="false">IF($D589="","",IFERROR(INDEX(품목마스터!$B$3:$B$202,MATCH($D589,품목마스터!$A$3:$A$202,0)),"미등록품번"))</f>
        <v/>
      </c>
      <c r="F589" s="12" t="str">
        <f aca="false">IF($D589="","",IFERROR(INDEX(품목마스터!$D$3:$D$202,MATCH($D589,품목마스터!$A$3:$A$202,0)),""))</f>
        <v/>
      </c>
      <c r="G589" s="9"/>
      <c r="H589" s="9"/>
      <c r="I589" s="9"/>
      <c r="J589" s="7"/>
      <c r="K589" s="13" t="str">
        <f aca="false">IF(OR($G589="",$I589=""),"",ROUND($G589*$I589,0))</f>
        <v/>
      </c>
      <c r="L589" s="13" t="str">
        <f aca="false">IF($D589="","",IF($G589="",0,$G589)+IF($H589="",0,$H589))</f>
        <v/>
      </c>
      <c r="M589" s="7"/>
    </row>
    <row r="590" customFormat="false" ht="15" hidden="false" customHeight="true" outlineLevel="0" collapsed="false">
      <c r="A590" s="11"/>
      <c r="B590" s="7"/>
      <c r="C590" s="12" t="str">
        <f aca="false">IF($B590="","",IFERROR(INDEX(거래처마스터!$B$3:$B$102,MATCH($B590,거래처마스터!$A$3:$A$102,0)),"미등록"))</f>
        <v/>
      </c>
      <c r="D590" s="7"/>
      <c r="E590" s="12" t="str">
        <f aca="false">IF($D590="","",IFERROR(INDEX(품목마스터!$B$3:$B$202,MATCH($D590,품목마스터!$A$3:$A$202,0)),"미등록품번"))</f>
        <v/>
      </c>
      <c r="F590" s="12" t="str">
        <f aca="false">IF($D590="","",IFERROR(INDEX(품목마스터!$D$3:$D$202,MATCH($D590,품목마스터!$A$3:$A$202,0)),""))</f>
        <v/>
      </c>
      <c r="G590" s="9"/>
      <c r="H590" s="9"/>
      <c r="I590" s="9"/>
      <c r="J590" s="7"/>
      <c r="K590" s="13" t="str">
        <f aca="false">IF(OR($G590="",$I590=""),"",ROUND($G590*$I590,0))</f>
        <v/>
      </c>
      <c r="L590" s="13" t="str">
        <f aca="false">IF($D590="","",IF($G590="",0,$G590)+IF($H590="",0,$H590))</f>
        <v/>
      </c>
      <c r="M590" s="7"/>
    </row>
    <row r="591" customFormat="false" ht="15" hidden="false" customHeight="true" outlineLevel="0" collapsed="false">
      <c r="A591" s="11"/>
      <c r="B591" s="7"/>
      <c r="C591" s="12" t="str">
        <f aca="false">IF($B591="","",IFERROR(INDEX(거래처마스터!$B$3:$B$102,MATCH($B591,거래처마스터!$A$3:$A$102,0)),"미등록"))</f>
        <v/>
      </c>
      <c r="D591" s="7"/>
      <c r="E591" s="12" t="str">
        <f aca="false">IF($D591="","",IFERROR(INDEX(품목마스터!$B$3:$B$202,MATCH($D591,품목마스터!$A$3:$A$202,0)),"미등록품번"))</f>
        <v/>
      </c>
      <c r="F591" s="12" t="str">
        <f aca="false">IF($D591="","",IFERROR(INDEX(품목마스터!$D$3:$D$202,MATCH($D591,품목마스터!$A$3:$A$202,0)),""))</f>
        <v/>
      </c>
      <c r="G591" s="9"/>
      <c r="H591" s="9"/>
      <c r="I591" s="9"/>
      <c r="J591" s="7"/>
      <c r="K591" s="13" t="str">
        <f aca="false">IF(OR($G591="",$I591=""),"",ROUND($G591*$I591,0))</f>
        <v/>
      </c>
      <c r="L591" s="13" t="str">
        <f aca="false">IF($D591="","",IF($G591="",0,$G591)+IF($H591="",0,$H591))</f>
        <v/>
      </c>
      <c r="M591" s="7"/>
    </row>
    <row r="592" customFormat="false" ht="15" hidden="false" customHeight="true" outlineLevel="0" collapsed="false">
      <c r="A592" s="11"/>
      <c r="B592" s="7"/>
      <c r="C592" s="12" t="str">
        <f aca="false">IF($B592="","",IFERROR(INDEX(거래처마스터!$B$3:$B$102,MATCH($B592,거래처마스터!$A$3:$A$102,0)),"미등록"))</f>
        <v/>
      </c>
      <c r="D592" s="7"/>
      <c r="E592" s="12" t="str">
        <f aca="false">IF($D592="","",IFERROR(INDEX(품목마스터!$B$3:$B$202,MATCH($D592,품목마스터!$A$3:$A$202,0)),"미등록품번"))</f>
        <v/>
      </c>
      <c r="F592" s="12" t="str">
        <f aca="false">IF($D592="","",IFERROR(INDEX(품목마스터!$D$3:$D$202,MATCH($D592,품목마스터!$A$3:$A$202,0)),""))</f>
        <v/>
      </c>
      <c r="G592" s="9"/>
      <c r="H592" s="9"/>
      <c r="I592" s="9"/>
      <c r="J592" s="7"/>
      <c r="K592" s="13" t="str">
        <f aca="false">IF(OR($G592="",$I592=""),"",ROUND($G592*$I592,0))</f>
        <v/>
      </c>
      <c r="L592" s="13" t="str">
        <f aca="false">IF($D592="","",IF($G592="",0,$G592)+IF($H592="",0,$H592))</f>
        <v/>
      </c>
      <c r="M592" s="7"/>
    </row>
    <row r="593" customFormat="false" ht="15" hidden="false" customHeight="true" outlineLevel="0" collapsed="false">
      <c r="A593" s="11"/>
      <c r="B593" s="7"/>
      <c r="C593" s="12" t="str">
        <f aca="false">IF($B593="","",IFERROR(INDEX(거래처마스터!$B$3:$B$102,MATCH($B593,거래처마스터!$A$3:$A$102,0)),"미등록"))</f>
        <v/>
      </c>
      <c r="D593" s="7"/>
      <c r="E593" s="12" t="str">
        <f aca="false">IF($D593="","",IFERROR(INDEX(품목마스터!$B$3:$B$202,MATCH($D593,품목마스터!$A$3:$A$202,0)),"미등록품번"))</f>
        <v/>
      </c>
      <c r="F593" s="12" t="str">
        <f aca="false">IF($D593="","",IFERROR(INDEX(품목마스터!$D$3:$D$202,MATCH($D593,품목마스터!$A$3:$A$202,0)),""))</f>
        <v/>
      </c>
      <c r="G593" s="9"/>
      <c r="H593" s="9"/>
      <c r="I593" s="9"/>
      <c r="J593" s="7"/>
      <c r="K593" s="13" t="str">
        <f aca="false">IF(OR($G593="",$I593=""),"",ROUND($G593*$I593,0))</f>
        <v/>
      </c>
      <c r="L593" s="13" t="str">
        <f aca="false">IF($D593="","",IF($G593="",0,$G593)+IF($H593="",0,$H593))</f>
        <v/>
      </c>
      <c r="M593" s="7"/>
    </row>
    <row r="594" customFormat="false" ht="15" hidden="false" customHeight="true" outlineLevel="0" collapsed="false">
      <c r="A594" s="11"/>
      <c r="B594" s="7"/>
      <c r="C594" s="12" t="str">
        <f aca="false">IF($B594="","",IFERROR(INDEX(거래처마스터!$B$3:$B$102,MATCH($B594,거래처마스터!$A$3:$A$102,0)),"미등록"))</f>
        <v/>
      </c>
      <c r="D594" s="7"/>
      <c r="E594" s="12" t="str">
        <f aca="false">IF($D594="","",IFERROR(INDEX(품목마스터!$B$3:$B$202,MATCH($D594,품목마스터!$A$3:$A$202,0)),"미등록품번"))</f>
        <v/>
      </c>
      <c r="F594" s="12" t="str">
        <f aca="false">IF($D594="","",IFERROR(INDEX(품목마스터!$D$3:$D$202,MATCH($D594,품목마스터!$A$3:$A$202,0)),""))</f>
        <v/>
      </c>
      <c r="G594" s="9"/>
      <c r="H594" s="9"/>
      <c r="I594" s="9"/>
      <c r="J594" s="7"/>
      <c r="K594" s="13" t="str">
        <f aca="false">IF(OR($G594="",$I594=""),"",ROUND($G594*$I594,0))</f>
        <v/>
      </c>
      <c r="L594" s="13" t="str">
        <f aca="false">IF($D594="","",IF($G594="",0,$G594)+IF($H594="",0,$H594))</f>
        <v/>
      </c>
      <c r="M594" s="7"/>
    </row>
    <row r="595" customFormat="false" ht="15" hidden="false" customHeight="true" outlineLevel="0" collapsed="false">
      <c r="A595" s="11"/>
      <c r="B595" s="7"/>
      <c r="C595" s="12" t="str">
        <f aca="false">IF($B595="","",IFERROR(INDEX(거래처마스터!$B$3:$B$102,MATCH($B595,거래처마스터!$A$3:$A$102,0)),"미등록"))</f>
        <v/>
      </c>
      <c r="D595" s="7"/>
      <c r="E595" s="12" t="str">
        <f aca="false">IF($D595="","",IFERROR(INDEX(품목마스터!$B$3:$B$202,MATCH($D595,품목마스터!$A$3:$A$202,0)),"미등록품번"))</f>
        <v/>
      </c>
      <c r="F595" s="12" t="str">
        <f aca="false">IF($D595="","",IFERROR(INDEX(품목마스터!$D$3:$D$202,MATCH($D595,품목마스터!$A$3:$A$202,0)),""))</f>
        <v/>
      </c>
      <c r="G595" s="9"/>
      <c r="H595" s="9"/>
      <c r="I595" s="9"/>
      <c r="J595" s="7"/>
      <c r="K595" s="13" t="str">
        <f aca="false">IF(OR($G595="",$I595=""),"",ROUND($G595*$I595,0))</f>
        <v/>
      </c>
      <c r="L595" s="13" t="str">
        <f aca="false">IF($D595="","",IF($G595="",0,$G595)+IF($H595="",0,$H595))</f>
        <v/>
      </c>
      <c r="M595" s="7"/>
    </row>
    <row r="596" customFormat="false" ht="15" hidden="false" customHeight="true" outlineLevel="0" collapsed="false">
      <c r="A596" s="11"/>
      <c r="B596" s="7"/>
      <c r="C596" s="12" t="str">
        <f aca="false">IF($B596="","",IFERROR(INDEX(거래처마스터!$B$3:$B$102,MATCH($B596,거래처마스터!$A$3:$A$102,0)),"미등록"))</f>
        <v/>
      </c>
      <c r="D596" s="7"/>
      <c r="E596" s="12" t="str">
        <f aca="false">IF($D596="","",IFERROR(INDEX(품목마스터!$B$3:$B$202,MATCH($D596,품목마스터!$A$3:$A$202,0)),"미등록품번"))</f>
        <v/>
      </c>
      <c r="F596" s="12" t="str">
        <f aca="false">IF($D596="","",IFERROR(INDEX(품목마스터!$D$3:$D$202,MATCH($D596,품목마스터!$A$3:$A$202,0)),""))</f>
        <v/>
      </c>
      <c r="G596" s="9"/>
      <c r="H596" s="9"/>
      <c r="I596" s="9"/>
      <c r="J596" s="7"/>
      <c r="K596" s="13" t="str">
        <f aca="false">IF(OR($G596="",$I596=""),"",ROUND($G596*$I596,0))</f>
        <v/>
      </c>
      <c r="L596" s="13" t="str">
        <f aca="false">IF($D596="","",IF($G596="",0,$G596)+IF($H596="",0,$H596))</f>
        <v/>
      </c>
      <c r="M596" s="7"/>
    </row>
    <row r="597" customFormat="false" ht="15" hidden="false" customHeight="true" outlineLevel="0" collapsed="false">
      <c r="A597" s="11"/>
      <c r="B597" s="7"/>
      <c r="C597" s="12" t="str">
        <f aca="false">IF($B597="","",IFERROR(INDEX(거래처마스터!$B$3:$B$102,MATCH($B597,거래처마스터!$A$3:$A$102,0)),"미등록"))</f>
        <v/>
      </c>
      <c r="D597" s="7"/>
      <c r="E597" s="12" t="str">
        <f aca="false">IF($D597="","",IFERROR(INDEX(품목마스터!$B$3:$B$202,MATCH($D597,품목마스터!$A$3:$A$202,0)),"미등록품번"))</f>
        <v/>
      </c>
      <c r="F597" s="12" t="str">
        <f aca="false">IF($D597="","",IFERROR(INDEX(품목마스터!$D$3:$D$202,MATCH($D597,품목마스터!$A$3:$A$202,0)),""))</f>
        <v/>
      </c>
      <c r="G597" s="9"/>
      <c r="H597" s="9"/>
      <c r="I597" s="9"/>
      <c r="J597" s="7"/>
      <c r="K597" s="13" t="str">
        <f aca="false">IF(OR($G597="",$I597=""),"",ROUND($G597*$I597,0))</f>
        <v/>
      </c>
      <c r="L597" s="13" t="str">
        <f aca="false">IF($D597="","",IF($G597="",0,$G597)+IF($H597="",0,$H597))</f>
        <v/>
      </c>
      <c r="M597" s="7"/>
    </row>
    <row r="598" customFormat="false" ht="15" hidden="false" customHeight="true" outlineLevel="0" collapsed="false">
      <c r="A598" s="11"/>
      <c r="B598" s="7"/>
      <c r="C598" s="12" t="str">
        <f aca="false">IF($B598="","",IFERROR(INDEX(거래처마스터!$B$3:$B$102,MATCH($B598,거래처마스터!$A$3:$A$102,0)),"미등록"))</f>
        <v/>
      </c>
      <c r="D598" s="7"/>
      <c r="E598" s="12" t="str">
        <f aca="false">IF($D598="","",IFERROR(INDEX(품목마스터!$B$3:$B$202,MATCH($D598,품목마스터!$A$3:$A$202,0)),"미등록품번"))</f>
        <v/>
      </c>
      <c r="F598" s="12" t="str">
        <f aca="false">IF($D598="","",IFERROR(INDEX(품목마스터!$D$3:$D$202,MATCH($D598,품목마스터!$A$3:$A$202,0)),""))</f>
        <v/>
      </c>
      <c r="G598" s="9"/>
      <c r="H598" s="9"/>
      <c r="I598" s="9"/>
      <c r="J598" s="7"/>
      <c r="K598" s="13" t="str">
        <f aca="false">IF(OR($G598="",$I598=""),"",ROUND($G598*$I598,0))</f>
        <v/>
      </c>
      <c r="L598" s="13" t="str">
        <f aca="false">IF($D598="","",IF($G598="",0,$G598)+IF($H598="",0,$H598))</f>
        <v/>
      </c>
      <c r="M598" s="7"/>
    </row>
    <row r="599" customFormat="false" ht="15" hidden="false" customHeight="true" outlineLevel="0" collapsed="false">
      <c r="A599" s="11"/>
      <c r="B599" s="7"/>
      <c r="C599" s="12" t="str">
        <f aca="false">IF($B599="","",IFERROR(INDEX(거래처마스터!$B$3:$B$102,MATCH($B599,거래처마스터!$A$3:$A$102,0)),"미등록"))</f>
        <v/>
      </c>
      <c r="D599" s="7"/>
      <c r="E599" s="12" t="str">
        <f aca="false">IF($D599="","",IFERROR(INDEX(품목마스터!$B$3:$B$202,MATCH($D599,품목마스터!$A$3:$A$202,0)),"미등록품번"))</f>
        <v/>
      </c>
      <c r="F599" s="12" t="str">
        <f aca="false">IF($D599="","",IFERROR(INDEX(품목마스터!$D$3:$D$202,MATCH($D599,품목마스터!$A$3:$A$202,0)),""))</f>
        <v/>
      </c>
      <c r="G599" s="9"/>
      <c r="H599" s="9"/>
      <c r="I599" s="9"/>
      <c r="J599" s="7"/>
      <c r="K599" s="13" t="str">
        <f aca="false">IF(OR($G599="",$I599=""),"",ROUND($G599*$I599,0))</f>
        <v/>
      </c>
      <c r="L599" s="13" t="str">
        <f aca="false">IF($D599="","",IF($G599="",0,$G599)+IF($H599="",0,$H599))</f>
        <v/>
      </c>
      <c r="M599" s="7"/>
    </row>
    <row r="600" customFormat="false" ht="15" hidden="false" customHeight="true" outlineLevel="0" collapsed="false">
      <c r="A600" s="11"/>
      <c r="B600" s="7"/>
      <c r="C600" s="12" t="str">
        <f aca="false">IF($B600="","",IFERROR(INDEX(거래처마스터!$B$3:$B$102,MATCH($B600,거래처마스터!$A$3:$A$102,0)),"미등록"))</f>
        <v/>
      </c>
      <c r="D600" s="7"/>
      <c r="E600" s="12" t="str">
        <f aca="false">IF($D600="","",IFERROR(INDEX(품목마스터!$B$3:$B$202,MATCH($D600,품목마스터!$A$3:$A$202,0)),"미등록품번"))</f>
        <v/>
      </c>
      <c r="F600" s="12" t="str">
        <f aca="false">IF($D600="","",IFERROR(INDEX(품목마스터!$D$3:$D$202,MATCH($D600,품목마스터!$A$3:$A$202,0)),""))</f>
        <v/>
      </c>
      <c r="G600" s="9"/>
      <c r="H600" s="9"/>
      <c r="I600" s="9"/>
      <c r="J600" s="7"/>
      <c r="K600" s="13" t="str">
        <f aca="false">IF(OR($G600="",$I600=""),"",ROUND($G600*$I600,0))</f>
        <v/>
      </c>
      <c r="L600" s="13" t="str">
        <f aca="false">IF($D600="","",IF($G600="",0,$G600)+IF($H600="",0,$H600))</f>
        <v/>
      </c>
      <c r="M600" s="7"/>
    </row>
    <row r="601" customFormat="false" ht="15" hidden="false" customHeight="true" outlineLevel="0" collapsed="false">
      <c r="A601" s="11"/>
      <c r="B601" s="7"/>
      <c r="C601" s="12" t="str">
        <f aca="false">IF($B601="","",IFERROR(INDEX(거래처마스터!$B$3:$B$102,MATCH($B601,거래처마스터!$A$3:$A$102,0)),"미등록"))</f>
        <v/>
      </c>
      <c r="D601" s="7"/>
      <c r="E601" s="12" t="str">
        <f aca="false">IF($D601="","",IFERROR(INDEX(품목마스터!$B$3:$B$202,MATCH($D601,품목마스터!$A$3:$A$202,0)),"미등록품번"))</f>
        <v/>
      </c>
      <c r="F601" s="12" t="str">
        <f aca="false">IF($D601="","",IFERROR(INDEX(품목마스터!$D$3:$D$202,MATCH($D601,품목마스터!$A$3:$A$202,0)),""))</f>
        <v/>
      </c>
      <c r="G601" s="9"/>
      <c r="H601" s="9"/>
      <c r="I601" s="9"/>
      <c r="J601" s="7"/>
      <c r="K601" s="13" t="str">
        <f aca="false">IF(OR($G601="",$I601=""),"",ROUND($G601*$I601,0))</f>
        <v/>
      </c>
      <c r="L601" s="13" t="str">
        <f aca="false">IF($D601="","",IF($G601="",0,$G601)+IF($H601="",0,$H601))</f>
        <v/>
      </c>
      <c r="M601" s="7"/>
    </row>
    <row r="602" customFormat="false" ht="15" hidden="false" customHeight="true" outlineLevel="0" collapsed="false">
      <c r="A602" s="11"/>
      <c r="B602" s="7"/>
      <c r="C602" s="12" t="str">
        <f aca="false">IF($B602="","",IFERROR(INDEX(거래처마스터!$B$3:$B$102,MATCH($B602,거래처마스터!$A$3:$A$102,0)),"미등록"))</f>
        <v/>
      </c>
      <c r="D602" s="7"/>
      <c r="E602" s="12" t="str">
        <f aca="false">IF($D602="","",IFERROR(INDEX(품목마스터!$B$3:$B$202,MATCH($D602,품목마스터!$A$3:$A$202,0)),"미등록품번"))</f>
        <v/>
      </c>
      <c r="F602" s="12" t="str">
        <f aca="false">IF($D602="","",IFERROR(INDEX(품목마스터!$D$3:$D$202,MATCH($D602,품목마스터!$A$3:$A$202,0)),""))</f>
        <v/>
      </c>
      <c r="G602" s="9"/>
      <c r="H602" s="9"/>
      <c r="I602" s="9"/>
      <c r="J602" s="7"/>
      <c r="K602" s="13" t="str">
        <f aca="false">IF(OR($G602="",$I602=""),"",ROUND($G602*$I602,0))</f>
        <v/>
      </c>
      <c r="L602" s="13" t="str">
        <f aca="false">IF($D602="","",IF($G602="",0,$G602)+IF($H602="",0,$H602))</f>
        <v/>
      </c>
      <c r="M602" s="7"/>
    </row>
    <row r="603" customFormat="false" ht="15" hidden="false" customHeight="true" outlineLevel="0" collapsed="false">
      <c r="A603" s="11"/>
      <c r="B603" s="7"/>
      <c r="C603" s="12" t="str">
        <f aca="false">IF($B603="","",IFERROR(INDEX(거래처마스터!$B$3:$B$102,MATCH($B603,거래처마스터!$A$3:$A$102,0)),"미등록"))</f>
        <v/>
      </c>
      <c r="D603" s="7"/>
      <c r="E603" s="12" t="str">
        <f aca="false">IF($D603="","",IFERROR(INDEX(품목마스터!$B$3:$B$202,MATCH($D603,품목마스터!$A$3:$A$202,0)),"미등록품번"))</f>
        <v/>
      </c>
      <c r="F603" s="12" t="str">
        <f aca="false">IF($D603="","",IFERROR(INDEX(품목마스터!$D$3:$D$202,MATCH($D603,품목마스터!$A$3:$A$202,0)),""))</f>
        <v/>
      </c>
      <c r="G603" s="9"/>
      <c r="H603" s="9"/>
      <c r="I603" s="9"/>
      <c r="J603" s="7"/>
      <c r="K603" s="13" t="str">
        <f aca="false">IF(OR($G603="",$I603=""),"",ROUND($G603*$I603,0))</f>
        <v/>
      </c>
      <c r="L603" s="13" t="str">
        <f aca="false">IF($D603="","",IF($G603="",0,$G603)+IF($H603="",0,$H603))</f>
        <v/>
      </c>
      <c r="M603" s="7"/>
    </row>
    <row r="604" customFormat="false" ht="15" hidden="false" customHeight="true" outlineLevel="0" collapsed="false">
      <c r="A604" s="11"/>
      <c r="B604" s="7"/>
      <c r="C604" s="12" t="str">
        <f aca="false">IF($B604="","",IFERROR(INDEX(거래처마스터!$B$3:$B$102,MATCH($B604,거래처마스터!$A$3:$A$102,0)),"미등록"))</f>
        <v/>
      </c>
      <c r="D604" s="7"/>
      <c r="E604" s="12" t="str">
        <f aca="false">IF($D604="","",IFERROR(INDEX(품목마스터!$B$3:$B$202,MATCH($D604,품목마스터!$A$3:$A$202,0)),"미등록품번"))</f>
        <v/>
      </c>
      <c r="F604" s="12" t="str">
        <f aca="false">IF($D604="","",IFERROR(INDEX(품목마스터!$D$3:$D$202,MATCH($D604,품목마스터!$A$3:$A$202,0)),""))</f>
        <v/>
      </c>
      <c r="G604" s="9"/>
      <c r="H604" s="9"/>
      <c r="I604" s="9"/>
      <c r="J604" s="7"/>
      <c r="K604" s="13" t="str">
        <f aca="false">IF(OR($G604="",$I604=""),"",ROUND($G604*$I604,0))</f>
        <v/>
      </c>
      <c r="L604" s="13" t="str">
        <f aca="false">IF($D604="","",IF($G604="",0,$G604)+IF($H604="",0,$H604))</f>
        <v/>
      </c>
      <c r="M604" s="7"/>
    </row>
    <row r="605" customFormat="false" ht="15" hidden="false" customHeight="true" outlineLevel="0" collapsed="false">
      <c r="A605" s="11"/>
      <c r="B605" s="7"/>
      <c r="C605" s="12" t="str">
        <f aca="false">IF($B605="","",IFERROR(INDEX(거래처마스터!$B$3:$B$102,MATCH($B605,거래처마스터!$A$3:$A$102,0)),"미등록"))</f>
        <v/>
      </c>
      <c r="D605" s="7"/>
      <c r="E605" s="12" t="str">
        <f aca="false">IF($D605="","",IFERROR(INDEX(품목마스터!$B$3:$B$202,MATCH($D605,품목마스터!$A$3:$A$202,0)),"미등록품번"))</f>
        <v/>
      </c>
      <c r="F605" s="12" t="str">
        <f aca="false">IF($D605="","",IFERROR(INDEX(품목마스터!$D$3:$D$202,MATCH($D605,품목마스터!$A$3:$A$202,0)),""))</f>
        <v/>
      </c>
      <c r="G605" s="9"/>
      <c r="H605" s="9"/>
      <c r="I605" s="9"/>
      <c r="J605" s="7"/>
      <c r="K605" s="13" t="str">
        <f aca="false">IF(OR($G605="",$I605=""),"",ROUND($G605*$I605,0))</f>
        <v/>
      </c>
      <c r="L605" s="13" t="str">
        <f aca="false">IF($D605="","",IF($G605="",0,$G605)+IF($H605="",0,$H605))</f>
        <v/>
      </c>
      <c r="M605" s="7"/>
    </row>
    <row r="606" customFormat="false" ht="15" hidden="false" customHeight="true" outlineLevel="0" collapsed="false">
      <c r="A606" s="11"/>
      <c r="B606" s="7"/>
      <c r="C606" s="12" t="str">
        <f aca="false">IF($B606="","",IFERROR(INDEX(거래처마스터!$B$3:$B$102,MATCH($B606,거래처마스터!$A$3:$A$102,0)),"미등록"))</f>
        <v/>
      </c>
      <c r="D606" s="7"/>
      <c r="E606" s="12" t="str">
        <f aca="false">IF($D606="","",IFERROR(INDEX(품목마스터!$B$3:$B$202,MATCH($D606,품목마스터!$A$3:$A$202,0)),"미등록품번"))</f>
        <v/>
      </c>
      <c r="F606" s="12" t="str">
        <f aca="false">IF($D606="","",IFERROR(INDEX(품목마스터!$D$3:$D$202,MATCH($D606,품목마스터!$A$3:$A$202,0)),""))</f>
        <v/>
      </c>
      <c r="G606" s="9"/>
      <c r="H606" s="9"/>
      <c r="I606" s="9"/>
      <c r="J606" s="7"/>
      <c r="K606" s="13" t="str">
        <f aca="false">IF(OR($G606="",$I606=""),"",ROUND($G606*$I606,0))</f>
        <v/>
      </c>
      <c r="L606" s="13" t="str">
        <f aca="false">IF($D606="","",IF($G606="",0,$G606)+IF($H606="",0,$H606))</f>
        <v/>
      </c>
      <c r="M606" s="7"/>
    </row>
    <row r="607" customFormat="false" ht="15" hidden="false" customHeight="true" outlineLevel="0" collapsed="false">
      <c r="A607" s="11"/>
      <c r="B607" s="7"/>
      <c r="C607" s="12" t="str">
        <f aca="false">IF($B607="","",IFERROR(INDEX(거래처마스터!$B$3:$B$102,MATCH($B607,거래처마스터!$A$3:$A$102,0)),"미등록"))</f>
        <v/>
      </c>
      <c r="D607" s="7"/>
      <c r="E607" s="12" t="str">
        <f aca="false">IF($D607="","",IFERROR(INDEX(품목마스터!$B$3:$B$202,MATCH($D607,품목마스터!$A$3:$A$202,0)),"미등록품번"))</f>
        <v/>
      </c>
      <c r="F607" s="12" t="str">
        <f aca="false">IF($D607="","",IFERROR(INDEX(품목마스터!$D$3:$D$202,MATCH($D607,품목마스터!$A$3:$A$202,0)),""))</f>
        <v/>
      </c>
      <c r="G607" s="9"/>
      <c r="H607" s="9"/>
      <c r="I607" s="9"/>
      <c r="J607" s="7"/>
      <c r="K607" s="13" t="str">
        <f aca="false">IF(OR($G607="",$I607=""),"",ROUND($G607*$I607,0))</f>
        <v/>
      </c>
      <c r="L607" s="13" t="str">
        <f aca="false">IF($D607="","",IF($G607="",0,$G607)+IF($H607="",0,$H607))</f>
        <v/>
      </c>
      <c r="M607" s="7"/>
    </row>
    <row r="608" customFormat="false" ht="15" hidden="false" customHeight="true" outlineLevel="0" collapsed="false">
      <c r="A608" s="11"/>
      <c r="B608" s="7"/>
      <c r="C608" s="12" t="str">
        <f aca="false">IF($B608="","",IFERROR(INDEX(거래처마스터!$B$3:$B$102,MATCH($B608,거래처마스터!$A$3:$A$102,0)),"미등록"))</f>
        <v/>
      </c>
      <c r="D608" s="7"/>
      <c r="E608" s="12" t="str">
        <f aca="false">IF($D608="","",IFERROR(INDEX(품목마스터!$B$3:$B$202,MATCH($D608,품목마스터!$A$3:$A$202,0)),"미등록품번"))</f>
        <v/>
      </c>
      <c r="F608" s="12" t="str">
        <f aca="false">IF($D608="","",IFERROR(INDEX(품목마스터!$D$3:$D$202,MATCH($D608,품목마스터!$A$3:$A$202,0)),""))</f>
        <v/>
      </c>
      <c r="G608" s="9"/>
      <c r="H608" s="9"/>
      <c r="I608" s="9"/>
      <c r="J608" s="7"/>
      <c r="K608" s="13" t="str">
        <f aca="false">IF(OR($G608="",$I608=""),"",ROUND($G608*$I608,0))</f>
        <v/>
      </c>
      <c r="L608" s="13" t="str">
        <f aca="false">IF($D608="","",IF($G608="",0,$G608)+IF($H608="",0,$H608))</f>
        <v/>
      </c>
      <c r="M608" s="7"/>
    </row>
    <row r="609" customFormat="false" ht="15" hidden="false" customHeight="true" outlineLevel="0" collapsed="false">
      <c r="A609" s="11"/>
      <c r="B609" s="7"/>
      <c r="C609" s="12" t="str">
        <f aca="false">IF($B609="","",IFERROR(INDEX(거래처마스터!$B$3:$B$102,MATCH($B609,거래처마스터!$A$3:$A$102,0)),"미등록"))</f>
        <v/>
      </c>
      <c r="D609" s="7"/>
      <c r="E609" s="12" t="str">
        <f aca="false">IF($D609="","",IFERROR(INDEX(품목마스터!$B$3:$B$202,MATCH($D609,품목마스터!$A$3:$A$202,0)),"미등록품번"))</f>
        <v/>
      </c>
      <c r="F609" s="12" t="str">
        <f aca="false">IF($D609="","",IFERROR(INDEX(품목마스터!$D$3:$D$202,MATCH($D609,품목마스터!$A$3:$A$202,0)),""))</f>
        <v/>
      </c>
      <c r="G609" s="9"/>
      <c r="H609" s="9"/>
      <c r="I609" s="9"/>
      <c r="J609" s="7"/>
      <c r="K609" s="13" t="str">
        <f aca="false">IF(OR($G609="",$I609=""),"",ROUND($G609*$I609,0))</f>
        <v/>
      </c>
      <c r="L609" s="13" t="str">
        <f aca="false">IF($D609="","",IF($G609="",0,$G609)+IF($H609="",0,$H609))</f>
        <v/>
      </c>
      <c r="M609" s="7"/>
    </row>
    <row r="610" customFormat="false" ht="15" hidden="false" customHeight="true" outlineLevel="0" collapsed="false">
      <c r="A610" s="11"/>
      <c r="B610" s="7"/>
      <c r="C610" s="12" t="str">
        <f aca="false">IF($B610="","",IFERROR(INDEX(거래처마스터!$B$3:$B$102,MATCH($B610,거래처마스터!$A$3:$A$102,0)),"미등록"))</f>
        <v/>
      </c>
      <c r="D610" s="7"/>
      <c r="E610" s="12" t="str">
        <f aca="false">IF($D610="","",IFERROR(INDEX(품목마스터!$B$3:$B$202,MATCH($D610,품목마스터!$A$3:$A$202,0)),"미등록품번"))</f>
        <v/>
      </c>
      <c r="F610" s="12" t="str">
        <f aca="false">IF($D610="","",IFERROR(INDEX(품목마스터!$D$3:$D$202,MATCH($D610,품목마스터!$A$3:$A$202,0)),""))</f>
        <v/>
      </c>
      <c r="G610" s="9"/>
      <c r="H610" s="9"/>
      <c r="I610" s="9"/>
      <c r="J610" s="7"/>
      <c r="K610" s="13" t="str">
        <f aca="false">IF(OR($G610="",$I610=""),"",ROUND($G610*$I610,0))</f>
        <v/>
      </c>
      <c r="L610" s="13" t="str">
        <f aca="false">IF($D610="","",IF($G610="",0,$G610)+IF($H610="",0,$H610))</f>
        <v/>
      </c>
      <c r="M610" s="7"/>
    </row>
    <row r="611" customFormat="false" ht="15" hidden="false" customHeight="true" outlineLevel="0" collapsed="false">
      <c r="A611" s="11"/>
      <c r="B611" s="7"/>
      <c r="C611" s="12" t="str">
        <f aca="false">IF($B611="","",IFERROR(INDEX(거래처마스터!$B$3:$B$102,MATCH($B611,거래처마스터!$A$3:$A$102,0)),"미등록"))</f>
        <v/>
      </c>
      <c r="D611" s="7"/>
      <c r="E611" s="12" t="str">
        <f aca="false">IF($D611="","",IFERROR(INDEX(품목마스터!$B$3:$B$202,MATCH($D611,품목마스터!$A$3:$A$202,0)),"미등록품번"))</f>
        <v/>
      </c>
      <c r="F611" s="12" t="str">
        <f aca="false">IF($D611="","",IFERROR(INDEX(품목마스터!$D$3:$D$202,MATCH($D611,품목마스터!$A$3:$A$202,0)),""))</f>
        <v/>
      </c>
      <c r="G611" s="9"/>
      <c r="H611" s="9"/>
      <c r="I611" s="9"/>
      <c r="J611" s="7"/>
      <c r="K611" s="13" t="str">
        <f aca="false">IF(OR($G611="",$I611=""),"",ROUND($G611*$I611,0))</f>
        <v/>
      </c>
      <c r="L611" s="13" t="str">
        <f aca="false">IF($D611="","",IF($G611="",0,$G611)+IF($H611="",0,$H611))</f>
        <v/>
      </c>
      <c r="M611" s="7"/>
    </row>
    <row r="612" customFormat="false" ht="15" hidden="false" customHeight="true" outlineLevel="0" collapsed="false">
      <c r="A612" s="11"/>
      <c r="B612" s="7"/>
      <c r="C612" s="12" t="str">
        <f aca="false">IF($B612="","",IFERROR(INDEX(거래처마스터!$B$3:$B$102,MATCH($B612,거래처마스터!$A$3:$A$102,0)),"미등록"))</f>
        <v/>
      </c>
      <c r="D612" s="7"/>
      <c r="E612" s="12" t="str">
        <f aca="false">IF($D612="","",IFERROR(INDEX(품목마스터!$B$3:$B$202,MATCH($D612,품목마스터!$A$3:$A$202,0)),"미등록품번"))</f>
        <v/>
      </c>
      <c r="F612" s="12" t="str">
        <f aca="false">IF($D612="","",IFERROR(INDEX(품목마스터!$D$3:$D$202,MATCH($D612,품목마스터!$A$3:$A$202,0)),""))</f>
        <v/>
      </c>
      <c r="G612" s="9"/>
      <c r="H612" s="9"/>
      <c r="I612" s="9"/>
      <c r="J612" s="7"/>
      <c r="K612" s="13" t="str">
        <f aca="false">IF(OR($G612="",$I612=""),"",ROUND($G612*$I612,0))</f>
        <v/>
      </c>
      <c r="L612" s="13" t="str">
        <f aca="false">IF($D612="","",IF($G612="",0,$G612)+IF($H612="",0,$H612))</f>
        <v/>
      </c>
      <c r="M612" s="7"/>
    </row>
    <row r="613" customFormat="false" ht="15" hidden="false" customHeight="true" outlineLevel="0" collapsed="false">
      <c r="A613" s="11"/>
      <c r="B613" s="7"/>
      <c r="C613" s="12" t="str">
        <f aca="false">IF($B613="","",IFERROR(INDEX(거래처마스터!$B$3:$B$102,MATCH($B613,거래처마스터!$A$3:$A$102,0)),"미등록"))</f>
        <v/>
      </c>
      <c r="D613" s="7"/>
      <c r="E613" s="12" t="str">
        <f aca="false">IF($D613="","",IFERROR(INDEX(품목마스터!$B$3:$B$202,MATCH($D613,품목마스터!$A$3:$A$202,0)),"미등록품번"))</f>
        <v/>
      </c>
      <c r="F613" s="12" t="str">
        <f aca="false">IF($D613="","",IFERROR(INDEX(품목마스터!$D$3:$D$202,MATCH($D613,품목마스터!$A$3:$A$202,0)),""))</f>
        <v/>
      </c>
      <c r="G613" s="9"/>
      <c r="H613" s="9"/>
      <c r="I613" s="9"/>
      <c r="J613" s="7"/>
      <c r="K613" s="13" t="str">
        <f aca="false">IF(OR($G613="",$I613=""),"",ROUND($G613*$I613,0))</f>
        <v/>
      </c>
      <c r="L613" s="13" t="str">
        <f aca="false">IF($D613="","",IF($G613="",0,$G613)+IF($H613="",0,$H613))</f>
        <v/>
      </c>
      <c r="M613" s="7"/>
    </row>
    <row r="614" customFormat="false" ht="15" hidden="false" customHeight="true" outlineLevel="0" collapsed="false">
      <c r="A614" s="11"/>
      <c r="B614" s="7"/>
      <c r="C614" s="12" t="str">
        <f aca="false">IF($B614="","",IFERROR(INDEX(거래처마스터!$B$3:$B$102,MATCH($B614,거래처마스터!$A$3:$A$102,0)),"미등록"))</f>
        <v/>
      </c>
      <c r="D614" s="7"/>
      <c r="E614" s="12" t="str">
        <f aca="false">IF($D614="","",IFERROR(INDEX(품목마스터!$B$3:$B$202,MATCH($D614,품목마스터!$A$3:$A$202,0)),"미등록품번"))</f>
        <v/>
      </c>
      <c r="F614" s="12" t="str">
        <f aca="false">IF($D614="","",IFERROR(INDEX(품목마스터!$D$3:$D$202,MATCH($D614,품목마스터!$A$3:$A$202,0)),""))</f>
        <v/>
      </c>
      <c r="G614" s="9"/>
      <c r="H614" s="9"/>
      <c r="I614" s="9"/>
      <c r="J614" s="7"/>
      <c r="K614" s="13" t="str">
        <f aca="false">IF(OR($G614="",$I614=""),"",ROUND($G614*$I614,0))</f>
        <v/>
      </c>
      <c r="L614" s="13" t="str">
        <f aca="false">IF($D614="","",IF($G614="",0,$G614)+IF($H614="",0,$H614))</f>
        <v/>
      </c>
      <c r="M614" s="7"/>
    </row>
    <row r="615" customFormat="false" ht="15" hidden="false" customHeight="true" outlineLevel="0" collapsed="false">
      <c r="A615" s="11"/>
      <c r="B615" s="7"/>
      <c r="C615" s="12" t="str">
        <f aca="false">IF($B615="","",IFERROR(INDEX(거래처마스터!$B$3:$B$102,MATCH($B615,거래처마스터!$A$3:$A$102,0)),"미등록"))</f>
        <v/>
      </c>
      <c r="D615" s="7"/>
      <c r="E615" s="12" t="str">
        <f aca="false">IF($D615="","",IFERROR(INDEX(품목마스터!$B$3:$B$202,MATCH($D615,품목마스터!$A$3:$A$202,0)),"미등록품번"))</f>
        <v/>
      </c>
      <c r="F615" s="12" t="str">
        <f aca="false">IF($D615="","",IFERROR(INDEX(품목마스터!$D$3:$D$202,MATCH($D615,품목마스터!$A$3:$A$202,0)),""))</f>
        <v/>
      </c>
      <c r="G615" s="9"/>
      <c r="H615" s="9"/>
      <c r="I615" s="9"/>
      <c r="J615" s="7"/>
      <c r="K615" s="13" t="str">
        <f aca="false">IF(OR($G615="",$I615=""),"",ROUND($G615*$I615,0))</f>
        <v/>
      </c>
      <c r="L615" s="13" t="str">
        <f aca="false">IF($D615="","",IF($G615="",0,$G615)+IF($H615="",0,$H615))</f>
        <v/>
      </c>
      <c r="M615" s="7"/>
    </row>
    <row r="616" customFormat="false" ht="15" hidden="false" customHeight="true" outlineLevel="0" collapsed="false">
      <c r="A616" s="11"/>
      <c r="B616" s="7"/>
      <c r="C616" s="12" t="str">
        <f aca="false">IF($B616="","",IFERROR(INDEX(거래처마스터!$B$3:$B$102,MATCH($B616,거래처마스터!$A$3:$A$102,0)),"미등록"))</f>
        <v/>
      </c>
      <c r="D616" s="7"/>
      <c r="E616" s="12" t="str">
        <f aca="false">IF($D616="","",IFERROR(INDEX(품목마스터!$B$3:$B$202,MATCH($D616,품목마스터!$A$3:$A$202,0)),"미등록품번"))</f>
        <v/>
      </c>
      <c r="F616" s="12" t="str">
        <f aca="false">IF($D616="","",IFERROR(INDEX(품목마스터!$D$3:$D$202,MATCH($D616,품목마스터!$A$3:$A$202,0)),""))</f>
        <v/>
      </c>
      <c r="G616" s="9"/>
      <c r="H616" s="9"/>
      <c r="I616" s="9"/>
      <c r="J616" s="7"/>
      <c r="K616" s="13" t="str">
        <f aca="false">IF(OR($G616="",$I616=""),"",ROUND($G616*$I616,0))</f>
        <v/>
      </c>
      <c r="L616" s="13" t="str">
        <f aca="false">IF($D616="","",IF($G616="",0,$G616)+IF($H616="",0,$H616))</f>
        <v/>
      </c>
      <c r="M616" s="7"/>
    </row>
    <row r="617" customFormat="false" ht="15" hidden="false" customHeight="true" outlineLevel="0" collapsed="false">
      <c r="A617" s="11"/>
      <c r="B617" s="7"/>
      <c r="C617" s="12" t="str">
        <f aca="false">IF($B617="","",IFERROR(INDEX(거래처마스터!$B$3:$B$102,MATCH($B617,거래처마스터!$A$3:$A$102,0)),"미등록"))</f>
        <v/>
      </c>
      <c r="D617" s="7"/>
      <c r="E617" s="12" t="str">
        <f aca="false">IF($D617="","",IFERROR(INDEX(품목마스터!$B$3:$B$202,MATCH($D617,품목마스터!$A$3:$A$202,0)),"미등록품번"))</f>
        <v/>
      </c>
      <c r="F617" s="12" t="str">
        <f aca="false">IF($D617="","",IFERROR(INDEX(품목마스터!$D$3:$D$202,MATCH($D617,품목마스터!$A$3:$A$202,0)),""))</f>
        <v/>
      </c>
      <c r="G617" s="9"/>
      <c r="H617" s="9"/>
      <c r="I617" s="9"/>
      <c r="J617" s="7"/>
      <c r="K617" s="13" t="str">
        <f aca="false">IF(OR($G617="",$I617=""),"",ROUND($G617*$I617,0))</f>
        <v/>
      </c>
      <c r="L617" s="13" t="str">
        <f aca="false">IF($D617="","",IF($G617="",0,$G617)+IF($H617="",0,$H617))</f>
        <v/>
      </c>
      <c r="M617" s="7"/>
    </row>
    <row r="618" customFormat="false" ht="15" hidden="false" customHeight="true" outlineLevel="0" collapsed="false">
      <c r="A618" s="11"/>
      <c r="B618" s="7"/>
      <c r="C618" s="12" t="str">
        <f aca="false">IF($B618="","",IFERROR(INDEX(거래처마스터!$B$3:$B$102,MATCH($B618,거래처마스터!$A$3:$A$102,0)),"미등록"))</f>
        <v/>
      </c>
      <c r="D618" s="7"/>
      <c r="E618" s="12" t="str">
        <f aca="false">IF($D618="","",IFERROR(INDEX(품목마스터!$B$3:$B$202,MATCH($D618,품목마스터!$A$3:$A$202,0)),"미등록품번"))</f>
        <v/>
      </c>
      <c r="F618" s="12" t="str">
        <f aca="false">IF($D618="","",IFERROR(INDEX(품목마스터!$D$3:$D$202,MATCH($D618,품목마스터!$A$3:$A$202,0)),""))</f>
        <v/>
      </c>
      <c r="G618" s="9"/>
      <c r="H618" s="9"/>
      <c r="I618" s="9"/>
      <c r="J618" s="7"/>
      <c r="K618" s="13" t="str">
        <f aca="false">IF(OR($G618="",$I618=""),"",ROUND($G618*$I618,0))</f>
        <v/>
      </c>
      <c r="L618" s="13" t="str">
        <f aca="false">IF($D618="","",IF($G618="",0,$G618)+IF($H618="",0,$H618))</f>
        <v/>
      </c>
      <c r="M618" s="7"/>
    </row>
    <row r="619" customFormat="false" ht="15" hidden="false" customHeight="true" outlineLevel="0" collapsed="false">
      <c r="A619" s="11"/>
      <c r="B619" s="7"/>
      <c r="C619" s="12" t="str">
        <f aca="false">IF($B619="","",IFERROR(INDEX(거래처마스터!$B$3:$B$102,MATCH($B619,거래처마스터!$A$3:$A$102,0)),"미등록"))</f>
        <v/>
      </c>
      <c r="D619" s="7"/>
      <c r="E619" s="12" t="str">
        <f aca="false">IF($D619="","",IFERROR(INDEX(품목마스터!$B$3:$B$202,MATCH($D619,품목마스터!$A$3:$A$202,0)),"미등록품번"))</f>
        <v/>
      </c>
      <c r="F619" s="12" t="str">
        <f aca="false">IF($D619="","",IFERROR(INDEX(품목마스터!$D$3:$D$202,MATCH($D619,품목마스터!$A$3:$A$202,0)),""))</f>
        <v/>
      </c>
      <c r="G619" s="9"/>
      <c r="H619" s="9"/>
      <c r="I619" s="9"/>
      <c r="J619" s="7"/>
      <c r="K619" s="13" t="str">
        <f aca="false">IF(OR($G619="",$I619=""),"",ROUND($G619*$I619,0))</f>
        <v/>
      </c>
      <c r="L619" s="13" t="str">
        <f aca="false">IF($D619="","",IF($G619="",0,$G619)+IF($H619="",0,$H619))</f>
        <v/>
      </c>
      <c r="M619" s="7"/>
    </row>
    <row r="620" customFormat="false" ht="15" hidden="false" customHeight="true" outlineLevel="0" collapsed="false">
      <c r="A620" s="11"/>
      <c r="B620" s="7"/>
      <c r="C620" s="12" t="str">
        <f aca="false">IF($B620="","",IFERROR(INDEX(거래처마스터!$B$3:$B$102,MATCH($B620,거래처마스터!$A$3:$A$102,0)),"미등록"))</f>
        <v/>
      </c>
      <c r="D620" s="7"/>
      <c r="E620" s="12" t="str">
        <f aca="false">IF($D620="","",IFERROR(INDEX(품목마스터!$B$3:$B$202,MATCH($D620,품목마스터!$A$3:$A$202,0)),"미등록품번"))</f>
        <v/>
      </c>
      <c r="F620" s="12" t="str">
        <f aca="false">IF($D620="","",IFERROR(INDEX(품목마스터!$D$3:$D$202,MATCH($D620,품목마스터!$A$3:$A$202,0)),""))</f>
        <v/>
      </c>
      <c r="G620" s="9"/>
      <c r="H620" s="9"/>
      <c r="I620" s="9"/>
      <c r="J620" s="7"/>
      <c r="K620" s="13" t="str">
        <f aca="false">IF(OR($G620="",$I620=""),"",ROUND($G620*$I620,0))</f>
        <v/>
      </c>
      <c r="L620" s="13" t="str">
        <f aca="false">IF($D620="","",IF($G620="",0,$G620)+IF($H620="",0,$H620))</f>
        <v/>
      </c>
      <c r="M620" s="7"/>
    </row>
    <row r="621" customFormat="false" ht="15" hidden="false" customHeight="true" outlineLevel="0" collapsed="false">
      <c r="A621" s="11"/>
      <c r="B621" s="7"/>
      <c r="C621" s="12" t="str">
        <f aca="false">IF($B621="","",IFERROR(INDEX(거래처마스터!$B$3:$B$102,MATCH($B621,거래처마스터!$A$3:$A$102,0)),"미등록"))</f>
        <v/>
      </c>
      <c r="D621" s="7"/>
      <c r="E621" s="12" t="str">
        <f aca="false">IF($D621="","",IFERROR(INDEX(품목마스터!$B$3:$B$202,MATCH($D621,품목마스터!$A$3:$A$202,0)),"미등록품번"))</f>
        <v/>
      </c>
      <c r="F621" s="12" t="str">
        <f aca="false">IF($D621="","",IFERROR(INDEX(품목마스터!$D$3:$D$202,MATCH($D621,품목마스터!$A$3:$A$202,0)),""))</f>
        <v/>
      </c>
      <c r="G621" s="9"/>
      <c r="H621" s="9"/>
      <c r="I621" s="9"/>
      <c r="J621" s="7"/>
      <c r="K621" s="13" t="str">
        <f aca="false">IF(OR($G621="",$I621=""),"",ROUND($G621*$I621,0))</f>
        <v/>
      </c>
      <c r="L621" s="13" t="str">
        <f aca="false">IF($D621="","",IF($G621="",0,$G621)+IF($H621="",0,$H621))</f>
        <v/>
      </c>
      <c r="M621" s="7"/>
    </row>
    <row r="622" customFormat="false" ht="15" hidden="false" customHeight="true" outlineLevel="0" collapsed="false">
      <c r="A622" s="11"/>
      <c r="B622" s="7"/>
      <c r="C622" s="12" t="str">
        <f aca="false">IF($B622="","",IFERROR(INDEX(거래처마스터!$B$3:$B$102,MATCH($B622,거래처마스터!$A$3:$A$102,0)),"미등록"))</f>
        <v/>
      </c>
      <c r="D622" s="7"/>
      <c r="E622" s="12" t="str">
        <f aca="false">IF($D622="","",IFERROR(INDEX(품목마스터!$B$3:$B$202,MATCH($D622,품목마스터!$A$3:$A$202,0)),"미등록품번"))</f>
        <v/>
      </c>
      <c r="F622" s="12" t="str">
        <f aca="false">IF($D622="","",IFERROR(INDEX(품목마스터!$D$3:$D$202,MATCH($D622,품목마스터!$A$3:$A$202,0)),""))</f>
        <v/>
      </c>
      <c r="G622" s="9"/>
      <c r="H622" s="9"/>
      <c r="I622" s="9"/>
      <c r="J622" s="7"/>
      <c r="K622" s="13" t="str">
        <f aca="false">IF(OR($G622="",$I622=""),"",ROUND($G622*$I622,0))</f>
        <v/>
      </c>
      <c r="L622" s="13" t="str">
        <f aca="false">IF($D622="","",IF($G622="",0,$G622)+IF($H622="",0,$H622))</f>
        <v/>
      </c>
      <c r="M622" s="7"/>
    </row>
    <row r="623" customFormat="false" ht="15" hidden="false" customHeight="true" outlineLevel="0" collapsed="false">
      <c r="A623" s="11"/>
      <c r="B623" s="7"/>
      <c r="C623" s="12" t="str">
        <f aca="false">IF($B623="","",IFERROR(INDEX(거래처마스터!$B$3:$B$102,MATCH($B623,거래처마스터!$A$3:$A$102,0)),"미등록"))</f>
        <v/>
      </c>
      <c r="D623" s="7"/>
      <c r="E623" s="12" t="str">
        <f aca="false">IF($D623="","",IFERROR(INDEX(품목마스터!$B$3:$B$202,MATCH($D623,품목마스터!$A$3:$A$202,0)),"미등록품번"))</f>
        <v/>
      </c>
      <c r="F623" s="12" t="str">
        <f aca="false">IF($D623="","",IFERROR(INDEX(품목마스터!$D$3:$D$202,MATCH($D623,품목마스터!$A$3:$A$202,0)),""))</f>
        <v/>
      </c>
      <c r="G623" s="9"/>
      <c r="H623" s="9"/>
      <c r="I623" s="9"/>
      <c r="J623" s="7"/>
      <c r="K623" s="13" t="str">
        <f aca="false">IF(OR($G623="",$I623=""),"",ROUND($G623*$I623,0))</f>
        <v/>
      </c>
      <c r="L623" s="13" t="str">
        <f aca="false">IF($D623="","",IF($G623="",0,$G623)+IF($H623="",0,$H623))</f>
        <v/>
      </c>
      <c r="M623" s="7"/>
    </row>
    <row r="624" customFormat="false" ht="15" hidden="false" customHeight="true" outlineLevel="0" collapsed="false">
      <c r="A624" s="11"/>
      <c r="B624" s="7"/>
      <c r="C624" s="12" t="str">
        <f aca="false">IF($B624="","",IFERROR(INDEX(거래처마스터!$B$3:$B$102,MATCH($B624,거래처마스터!$A$3:$A$102,0)),"미등록"))</f>
        <v/>
      </c>
      <c r="D624" s="7"/>
      <c r="E624" s="12" t="str">
        <f aca="false">IF($D624="","",IFERROR(INDEX(품목마스터!$B$3:$B$202,MATCH($D624,품목마스터!$A$3:$A$202,0)),"미등록품번"))</f>
        <v/>
      </c>
      <c r="F624" s="12" t="str">
        <f aca="false">IF($D624="","",IFERROR(INDEX(품목마스터!$D$3:$D$202,MATCH($D624,품목마스터!$A$3:$A$202,0)),""))</f>
        <v/>
      </c>
      <c r="G624" s="9"/>
      <c r="H624" s="9"/>
      <c r="I624" s="9"/>
      <c r="J624" s="7"/>
      <c r="K624" s="13" t="str">
        <f aca="false">IF(OR($G624="",$I624=""),"",ROUND($G624*$I624,0))</f>
        <v/>
      </c>
      <c r="L624" s="13" t="str">
        <f aca="false">IF($D624="","",IF($G624="",0,$G624)+IF($H624="",0,$H624))</f>
        <v/>
      </c>
      <c r="M624" s="7"/>
    </row>
    <row r="625" customFormat="false" ht="15" hidden="false" customHeight="true" outlineLevel="0" collapsed="false">
      <c r="A625" s="11"/>
      <c r="B625" s="7"/>
      <c r="C625" s="12" t="str">
        <f aca="false">IF($B625="","",IFERROR(INDEX(거래처마스터!$B$3:$B$102,MATCH($B625,거래처마스터!$A$3:$A$102,0)),"미등록"))</f>
        <v/>
      </c>
      <c r="D625" s="7"/>
      <c r="E625" s="12" t="str">
        <f aca="false">IF($D625="","",IFERROR(INDEX(품목마스터!$B$3:$B$202,MATCH($D625,품목마스터!$A$3:$A$202,0)),"미등록품번"))</f>
        <v/>
      </c>
      <c r="F625" s="12" t="str">
        <f aca="false">IF($D625="","",IFERROR(INDEX(품목마스터!$D$3:$D$202,MATCH($D625,품목마스터!$A$3:$A$202,0)),""))</f>
        <v/>
      </c>
      <c r="G625" s="9"/>
      <c r="H625" s="9"/>
      <c r="I625" s="9"/>
      <c r="J625" s="7"/>
      <c r="K625" s="13" t="str">
        <f aca="false">IF(OR($G625="",$I625=""),"",ROUND($G625*$I625,0))</f>
        <v/>
      </c>
      <c r="L625" s="13" t="str">
        <f aca="false">IF($D625="","",IF($G625="",0,$G625)+IF($H625="",0,$H625))</f>
        <v/>
      </c>
      <c r="M625" s="7"/>
    </row>
    <row r="626" customFormat="false" ht="15" hidden="false" customHeight="true" outlineLevel="0" collapsed="false">
      <c r="A626" s="11"/>
      <c r="B626" s="7"/>
      <c r="C626" s="12" t="str">
        <f aca="false">IF($B626="","",IFERROR(INDEX(거래처마스터!$B$3:$B$102,MATCH($B626,거래처마스터!$A$3:$A$102,0)),"미등록"))</f>
        <v/>
      </c>
      <c r="D626" s="7"/>
      <c r="E626" s="12" t="str">
        <f aca="false">IF($D626="","",IFERROR(INDEX(품목마스터!$B$3:$B$202,MATCH($D626,품목마스터!$A$3:$A$202,0)),"미등록품번"))</f>
        <v/>
      </c>
      <c r="F626" s="12" t="str">
        <f aca="false">IF($D626="","",IFERROR(INDEX(품목마스터!$D$3:$D$202,MATCH($D626,품목마스터!$A$3:$A$202,0)),""))</f>
        <v/>
      </c>
      <c r="G626" s="9"/>
      <c r="H626" s="9"/>
      <c r="I626" s="9"/>
      <c r="J626" s="7"/>
      <c r="K626" s="13" t="str">
        <f aca="false">IF(OR($G626="",$I626=""),"",ROUND($G626*$I626,0))</f>
        <v/>
      </c>
      <c r="L626" s="13" t="str">
        <f aca="false">IF($D626="","",IF($G626="",0,$G626)+IF($H626="",0,$H626))</f>
        <v/>
      </c>
      <c r="M626" s="7"/>
    </row>
    <row r="627" customFormat="false" ht="15" hidden="false" customHeight="true" outlineLevel="0" collapsed="false">
      <c r="A627" s="11"/>
      <c r="B627" s="7"/>
      <c r="C627" s="12" t="str">
        <f aca="false">IF($B627="","",IFERROR(INDEX(거래처마스터!$B$3:$B$102,MATCH($B627,거래처마스터!$A$3:$A$102,0)),"미등록"))</f>
        <v/>
      </c>
      <c r="D627" s="7"/>
      <c r="E627" s="12" t="str">
        <f aca="false">IF($D627="","",IFERROR(INDEX(품목마스터!$B$3:$B$202,MATCH($D627,품목마스터!$A$3:$A$202,0)),"미등록품번"))</f>
        <v/>
      </c>
      <c r="F627" s="12" t="str">
        <f aca="false">IF($D627="","",IFERROR(INDEX(품목마스터!$D$3:$D$202,MATCH($D627,품목마스터!$A$3:$A$202,0)),""))</f>
        <v/>
      </c>
      <c r="G627" s="9"/>
      <c r="H627" s="9"/>
      <c r="I627" s="9"/>
      <c r="J627" s="7"/>
      <c r="K627" s="13" t="str">
        <f aca="false">IF(OR($G627="",$I627=""),"",ROUND($G627*$I627,0))</f>
        <v/>
      </c>
      <c r="L627" s="13" t="str">
        <f aca="false">IF($D627="","",IF($G627="",0,$G627)+IF($H627="",0,$H627))</f>
        <v/>
      </c>
      <c r="M627" s="7"/>
    </row>
    <row r="628" customFormat="false" ht="15" hidden="false" customHeight="true" outlineLevel="0" collapsed="false">
      <c r="A628" s="11"/>
      <c r="B628" s="7"/>
      <c r="C628" s="12" t="str">
        <f aca="false">IF($B628="","",IFERROR(INDEX(거래처마스터!$B$3:$B$102,MATCH($B628,거래처마스터!$A$3:$A$102,0)),"미등록"))</f>
        <v/>
      </c>
      <c r="D628" s="7"/>
      <c r="E628" s="12" t="str">
        <f aca="false">IF($D628="","",IFERROR(INDEX(품목마스터!$B$3:$B$202,MATCH($D628,품목마스터!$A$3:$A$202,0)),"미등록품번"))</f>
        <v/>
      </c>
      <c r="F628" s="12" t="str">
        <f aca="false">IF($D628="","",IFERROR(INDEX(품목마스터!$D$3:$D$202,MATCH($D628,품목마스터!$A$3:$A$202,0)),""))</f>
        <v/>
      </c>
      <c r="G628" s="9"/>
      <c r="H628" s="9"/>
      <c r="I628" s="9"/>
      <c r="J628" s="7"/>
      <c r="K628" s="13" t="str">
        <f aca="false">IF(OR($G628="",$I628=""),"",ROUND($G628*$I628,0))</f>
        <v/>
      </c>
      <c r="L628" s="13" t="str">
        <f aca="false">IF($D628="","",IF($G628="",0,$G628)+IF($H628="",0,$H628))</f>
        <v/>
      </c>
      <c r="M628" s="7"/>
    </row>
    <row r="629" customFormat="false" ht="15" hidden="false" customHeight="true" outlineLevel="0" collapsed="false">
      <c r="A629" s="11"/>
      <c r="B629" s="7"/>
      <c r="C629" s="12" t="str">
        <f aca="false">IF($B629="","",IFERROR(INDEX(거래처마스터!$B$3:$B$102,MATCH($B629,거래처마스터!$A$3:$A$102,0)),"미등록"))</f>
        <v/>
      </c>
      <c r="D629" s="7"/>
      <c r="E629" s="12" t="str">
        <f aca="false">IF($D629="","",IFERROR(INDEX(품목마스터!$B$3:$B$202,MATCH($D629,품목마스터!$A$3:$A$202,0)),"미등록품번"))</f>
        <v/>
      </c>
      <c r="F629" s="12" t="str">
        <f aca="false">IF($D629="","",IFERROR(INDEX(품목마스터!$D$3:$D$202,MATCH($D629,품목마스터!$A$3:$A$202,0)),""))</f>
        <v/>
      </c>
      <c r="G629" s="9"/>
      <c r="H629" s="9"/>
      <c r="I629" s="9"/>
      <c r="J629" s="7"/>
      <c r="K629" s="13" t="str">
        <f aca="false">IF(OR($G629="",$I629=""),"",ROUND($G629*$I629,0))</f>
        <v/>
      </c>
      <c r="L629" s="13" t="str">
        <f aca="false">IF($D629="","",IF($G629="",0,$G629)+IF($H629="",0,$H629))</f>
        <v/>
      </c>
      <c r="M629" s="7"/>
    </row>
    <row r="630" customFormat="false" ht="15" hidden="false" customHeight="true" outlineLevel="0" collapsed="false">
      <c r="A630" s="11"/>
      <c r="B630" s="7"/>
      <c r="C630" s="12" t="str">
        <f aca="false">IF($B630="","",IFERROR(INDEX(거래처마스터!$B$3:$B$102,MATCH($B630,거래처마스터!$A$3:$A$102,0)),"미등록"))</f>
        <v/>
      </c>
      <c r="D630" s="7"/>
      <c r="E630" s="12" t="str">
        <f aca="false">IF($D630="","",IFERROR(INDEX(품목마스터!$B$3:$B$202,MATCH($D630,품목마스터!$A$3:$A$202,0)),"미등록품번"))</f>
        <v/>
      </c>
      <c r="F630" s="12" t="str">
        <f aca="false">IF($D630="","",IFERROR(INDEX(품목마스터!$D$3:$D$202,MATCH($D630,품목마스터!$A$3:$A$202,0)),""))</f>
        <v/>
      </c>
      <c r="G630" s="9"/>
      <c r="H630" s="9"/>
      <c r="I630" s="9"/>
      <c r="J630" s="7"/>
      <c r="K630" s="13" t="str">
        <f aca="false">IF(OR($G630="",$I630=""),"",ROUND($G630*$I630,0))</f>
        <v/>
      </c>
      <c r="L630" s="13" t="str">
        <f aca="false">IF($D630="","",IF($G630="",0,$G630)+IF($H630="",0,$H630))</f>
        <v/>
      </c>
      <c r="M630" s="7"/>
    </row>
    <row r="631" customFormat="false" ht="15" hidden="false" customHeight="true" outlineLevel="0" collapsed="false">
      <c r="A631" s="11"/>
      <c r="B631" s="7"/>
      <c r="C631" s="12" t="str">
        <f aca="false">IF($B631="","",IFERROR(INDEX(거래처마스터!$B$3:$B$102,MATCH($B631,거래처마스터!$A$3:$A$102,0)),"미등록"))</f>
        <v/>
      </c>
      <c r="D631" s="7"/>
      <c r="E631" s="12" t="str">
        <f aca="false">IF($D631="","",IFERROR(INDEX(품목마스터!$B$3:$B$202,MATCH($D631,품목마스터!$A$3:$A$202,0)),"미등록품번"))</f>
        <v/>
      </c>
      <c r="F631" s="12" t="str">
        <f aca="false">IF($D631="","",IFERROR(INDEX(품목마스터!$D$3:$D$202,MATCH($D631,품목마스터!$A$3:$A$202,0)),""))</f>
        <v/>
      </c>
      <c r="G631" s="9"/>
      <c r="H631" s="9"/>
      <c r="I631" s="9"/>
      <c r="J631" s="7"/>
      <c r="K631" s="13" t="str">
        <f aca="false">IF(OR($G631="",$I631=""),"",ROUND($G631*$I631,0))</f>
        <v/>
      </c>
      <c r="L631" s="13" t="str">
        <f aca="false">IF($D631="","",IF($G631="",0,$G631)+IF($H631="",0,$H631))</f>
        <v/>
      </c>
      <c r="M631" s="7"/>
    </row>
    <row r="632" customFormat="false" ht="15" hidden="false" customHeight="true" outlineLevel="0" collapsed="false">
      <c r="A632" s="11"/>
      <c r="B632" s="7"/>
      <c r="C632" s="12" t="str">
        <f aca="false">IF($B632="","",IFERROR(INDEX(거래처마스터!$B$3:$B$102,MATCH($B632,거래처마스터!$A$3:$A$102,0)),"미등록"))</f>
        <v/>
      </c>
      <c r="D632" s="7"/>
      <c r="E632" s="12" t="str">
        <f aca="false">IF($D632="","",IFERROR(INDEX(품목마스터!$B$3:$B$202,MATCH($D632,품목마스터!$A$3:$A$202,0)),"미등록품번"))</f>
        <v/>
      </c>
      <c r="F632" s="12" t="str">
        <f aca="false">IF($D632="","",IFERROR(INDEX(품목마스터!$D$3:$D$202,MATCH($D632,품목마스터!$A$3:$A$202,0)),""))</f>
        <v/>
      </c>
      <c r="G632" s="9"/>
      <c r="H632" s="9"/>
      <c r="I632" s="9"/>
      <c r="J632" s="7"/>
      <c r="K632" s="13" t="str">
        <f aca="false">IF(OR($G632="",$I632=""),"",ROUND($G632*$I632,0))</f>
        <v/>
      </c>
      <c r="L632" s="13" t="str">
        <f aca="false">IF($D632="","",IF($G632="",0,$G632)+IF($H632="",0,$H632))</f>
        <v/>
      </c>
      <c r="M632" s="7"/>
    </row>
    <row r="633" customFormat="false" ht="15" hidden="false" customHeight="true" outlineLevel="0" collapsed="false">
      <c r="A633" s="11"/>
      <c r="B633" s="7"/>
      <c r="C633" s="12" t="str">
        <f aca="false">IF($B633="","",IFERROR(INDEX(거래처마스터!$B$3:$B$102,MATCH($B633,거래처마스터!$A$3:$A$102,0)),"미등록"))</f>
        <v/>
      </c>
      <c r="D633" s="7"/>
      <c r="E633" s="12" t="str">
        <f aca="false">IF($D633="","",IFERROR(INDEX(품목마스터!$B$3:$B$202,MATCH($D633,품목마스터!$A$3:$A$202,0)),"미등록품번"))</f>
        <v/>
      </c>
      <c r="F633" s="12" t="str">
        <f aca="false">IF($D633="","",IFERROR(INDEX(품목마스터!$D$3:$D$202,MATCH($D633,품목마스터!$A$3:$A$202,0)),""))</f>
        <v/>
      </c>
      <c r="G633" s="9"/>
      <c r="H633" s="9"/>
      <c r="I633" s="9"/>
      <c r="J633" s="7"/>
      <c r="K633" s="13" t="str">
        <f aca="false">IF(OR($G633="",$I633=""),"",ROUND($G633*$I633,0))</f>
        <v/>
      </c>
      <c r="L633" s="13" t="str">
        <f aca="false">IF($D633="","",IF($G633="",0,$G633)+IF($H633="",0,$H633))</f>
        <v/>
      </c>
      <c r="M633" s="7"/>
    </row>
    <row r="634" customFormat="false" ht="15" hidden="false" customHeight="true" outlineLevel="0" collapsed="false">
      <c r="A634" s="11"/>
      <c r="B634" s="7"/>
      <c r="C634" s="12" t="str">
        <f aca="false">IF($B634="","",IFERROR(INDEX(거래처마스터!$B$3:$B$102,MATCH($B634,거래처마스터!$A$3:$A$102,0)),"미등록"))</f>
        <v/>
      </c>
      <c r="D634" s="7"/>
      <c r="E634" s="12" t="str">
        <f aca="false">IF($D634="","",IFERROR(INDEX(품목마스터!$B$3:$B$202,MATCH($D634,품목마스터!$A$3:$A$202,0)),"미등록품번"))</f>
        <v/>
      </c>
      <c r="F634" s="12" t="str">
        <f aca="false">IF($D634="","",IFERROR(INDEX(품목마스터!$D$3:$D$202,MATCH($D634,품목마스터!$A$3:$A$202,0)),""))</f>
        <v/>
      </c>
      <c r="G634" s="9"/>
      <c r="H634" s="9"/>
      <c r="I634" s="9"/>
      <c r="J634" s="7"/>
      <c r="K634" s="13" t="str">
        <f aca="false">IF(OR($G634="",$I634=""),"",ROUND($G634*$I634,0))</f>
        <v/>
      </c>
      <c r="L634" s="13" t="str">
        <f aca="false">IF($D634="","",IF($G634="",0,$G634)+IF($H634="",0,$H634))</f>
        <v/>
      </c>
      <c r="M634" s="7"/>
    </row>
    <row r="635" customFormat="false" ht="15" hidden="false" customHeight="true" outlineLevel="0" collapsed="false">
      <c r="A635" s="11"/>
      <c r="B635" s="7"/>
      <c r="C635" s="12" t="str">
        <f aca="false">IF($B635="","",IFERROR(INDEX(거래처마스터!$B$3:$B$102,MATCH($B635,거래처마스터!$A$3:$A$102,0)),"미등록"))</f>
        <v/>
      </c>
      <c r="D635" s="7"/>
      <c r="E635" s="12" t="str">
        <f aca="false">IF($D635="","",IFERROR(INDEX(품목마스터!$B$3:$B$202,MATCH($D635,품목마스터!$A$3:$A$202,0)),"미등록품번"))</f>
        <v/>
      </c>
      <c r="F635" s="12" t="str">
        <f aca="false">IF($D635="","",IFERROR(INDEX(품목마스터!$D$3:$D$202,MATCH($D635,품목마스터!$A$3:$A$202,0)),""))</f>
        <v/>
      </c>
      <c r="G635" s="9"/>
      <c r="H635" s="9"/>
      <c r="I635" s="9"/>
      <c r="J635" s="7"/>
      <c r="K635" s="13" t="str">
        <f aca="false">IF(OR($G635="",$I635=""),"",ROUND($G635*$I635,0))</f>
        <v/>
      </c>
      <c r="L635" s="13" t="str">
        <f aca="false">IF($D635="","",IF($G635="",0,$G635)+IF($H635="",0,$H635))</f>
        <v/>
      </c>
      <c r="M635" s="7"/>
    </row>
    <row r="636" customFormat="false" ht="15" hidden="false" customHeight="true" outlineLevel="0" collapsed="false">
      <c r="A636" s="11"/>
      <c r="B636" s="7"/>
      <c r="C636" s="12" t="str">
        <f aca="false">IF($B636="","",IFERROR(INDEX(거래처마스터!$B$3:$B$102,MATCH($B636,거래처마스터!$A$3:$A$102,0)),"미등록"))</f>
        <v/>
      </c>
      <c r="D636" s="7"/>
      <c r="E636" s="12" t="str">
        <f aca="false">IF($D636="","",IFERROR(INDEX(품목마스터!$B$3:$B$202,MATCH($D636,품목마스터!$A$3:$A$202,0)),"미등록품번"))</f>
        <v/>
      </c>
      <c r="F636" s="12" t="str">
        <f aca="false">IF($D636="","",IFERROR(INDEX(품목마스터!$D$3:$D$202,MATCH($D636,품목마스터!$A$3:$A$202,0)),""))</f>
        <v/>
      </c>
      <c r="G636" s="9"/>
      <c r="H636" s="9"/>
      <c r="I636" s="9"/>
      <c r="J636" s="7"/>
      <c r="K636" s="13" t="str">
        <f aca="false">IF(OR($G636="",$I636=""),"",ROUND($G636*$I636,0))</f>
        <v/>
      </c>
      <c r="L636" s="13" t="str">
        <f aca="false">IF($D636="","",IF($G636="",0,$G636)+IF($H636="",0,$H636))</f>
        <v/>
      </c>
      <c r="M636" s="7"/>
    </row>
    <row r="637" customFormat="false" ht="15" hidden="false" customHeight="true" outlineLevel="0" collapsed="false">
      <c r="A637" s="11"/>
      <c r="B637" s="7"/>
      <c r="C637" s="12" t="str">
        <f aca="false">IF($B637="","",IFERROR(INDEX(거래처마스터!$B$3:$B$102,MATCH($B637,거래처마스터!$A$3:$A$102,0)),"미등록"))</f>
        <v/>
      </c>
      <c r="D637" s="7"/>
      <c r="E637" s="12" t="str">
        <f aca="false">IF($D637="","",IFERROR(INDEX(품목마스터!$B$3:$B$202,MATCH($D637,품목마스터!$A$3:$A$202,0)),"미등록품번"))</f>
        <v/>
      </c>
      <c r="F637" s="12" t="str">
        <f aca="false">IF($D637="","",IFERROR(INDEX(품목마스터!$D$3:$D$202,MATCH($D637,품목마스터!$A$3:$A$202,0)),""))</f>
        <v/>
      </c>
      <c r="G637" s="9"/>
      <c r="H637" s="9"/>
      <c r="I637" s="9"/>
      <c r="J637" s="7"/>
      <c r="K637" s="13" t="str">
        <f aca="false">IF(OR($G637="",$I637=""),"",ROUND($G637*$I637,0))</f>
        <v/>
      </c>
      <c r="L637" s="13" t="str">
        <f aca="false">IF($D637="","",IF($G637="",0,$G637)+IF($H637="",0,$H637))</f>
        <v/>
      </c>
      <c r="M637" s="7"/>
    </row>
    <row r="638" customFormat="false" ht="15" hidden="false" customHeight="true" outlineLevel="0" collapsed="false">
      <c r="A638" s="11"/>
      <c r="B638" s="7"/>
      <c r="C638" s="12" t="str">
        <f aca="false">IF($B638="","",IFERROR(INDEX(거래처마스터!$B$3:$B$102,MATCH($B638,거래처마스터!$A$3:$A$102,0)),"미등록"))</f>
        <v/>
      </c>
      <c r="D638" s="7"/>
      <c r="E638" s="12" t="str">
        <f aca="false">IF($D638="","",IFERROR(INDEX(품목마스터!$B$3:$B$202,MATCH($D638,품목마스터!$A$3:$A$202,0)),"미등록품번"))</f>
        <v/>
      </c>
      <c r="F638" s="12" t="str">
        <f aca="false">IF($D638="","",IFERROR(INDEX(품목마스터!$D$3:$D$202,MATCH($D638,품목마스터!$A$3:$A$202,0)),""))</f>
        <v/>
      </c>
      <c r="G638" s="9"/>
      <c r="H638" s="9"/>
      <c r="I638" s="9"/>
      <c r="J638" s="7"/>
      <c r="K638" s="13" t="str">
        <f aca="false">IF(OR($G638="",$I638=""),"",ROUND($G638*$I638,0))</f>
        <v/>
      </c>
      <c r="L638" s="13" t="str">
        <f aca="false">IF($D638="","",IF($G638="",0,$G638)+IF($H638="",0,$H638))</f>
        <v/>
      </c>
      <c r="M638" s="7"/>
    </row>
    <row r="639" customFormat="false" ht="15" hidden="false" customHeight="true" outlineLevel="0" collapsed="false">
      <c r="A639" s="11"/>
      <c r="B639" s="7"/>
      <c r="C639" s="12" t="str">
        <f aca="false">IF($B639="","",IFERROR(INDEX(거래처마스터!$B$3:$B$102,MATCH($B639,거래처마스터!$A$3:$A$102,0)),"미등록"))</f>
        <v/>
      </c>
      <c r="D639" s="7"/>
      <c r="E639" s="12" t="str">
        <f aca="false">IF($D639="","",IFERROR(INDEX(품목마스터!$B$3:$B$202,MATCH($D639,품목마스터!$A$3:$A$202,0)),"미등록품번"))</f>
        <v/>
      </c>
      <c r="F639" s="12" t="str">
        <f aca="false">IF($D639="","",IFERROR(INDEX(품목마스터!$D$3:$D$202,MATCH($D639,품목마스터!$A$3:$A$202,0)),""))</f>
        <v/>
      </c>
      <c r="G639" s="9"/>
      <c r="H639" s="9"/>
      <c r="I639" s="9"/>
      <c r="J639" s="7"/>
      <c r="K639" s="13" t="str">
        <f aca="false">IF(OR($G639="",$I639=""),"",ROUND($G639*$I639,0))</f>
        <v/>
      </c>
      <c r="L639" s="13" t="str">
        <f aca="false">IF($D639="","",IF($G639="",0,$G639)+IF($H639="",0,$H639))</f>
        <v/>
      </c>
      <c r="M639" s="7"/>
    </row>
    <row r="640" customFormat="false" ht="15" hidden="false" customHeight="true" outlineLevel="0" collapsed="false">
      <c r="A640" s="11"/>
      <c r="B640" s="7"/>
      <c r="C640" s="12" t="str">
        <f aca="false">IF($B640="","",IFERROR(INDEX(거래처마스터!$B$3:$B$102,MATCH($B640,거래처마스터!$A$3:$A$102,0)),"미등록"))</f>
        <v/>
      </c>
      <c r="D640" s="7"/>
      <c r="E640" s="12" t="str">
        <f aca="false">IF($D640="","",IFERROR(INDEX(품목마스터!$B$3:$B$202,MATCH($D640,품목마스터!$A$3:$A$202,0)),"미등록품번"))</f>
        <v/>
      </c>
      <c r="F640" s="12" t="str">
        <f aca="false">IF($D640="","",IFERROR(INDEX(품목마스터!$D$3:$D$202,MATCH($D640,품목마스터!$A$3:$A$202,0)),""))</f>
        <v/>
      </c>
      <c r="G640" s="9"/>
      <c r="H640" s="9"/>
      <c r="I640" s="9"/>
      <c r="J640" s="7"/>
      <c r="K640" s="13" t="str">
        <f aca="false">IF(OR($G640="",$I640=""),"",ROUND($G640*$I640,0))</f>
        <v/>
      </c>
      <c r="L640" s="13" t="str">
        <f aca="false">IF($D640="","",IF($G640="",0,$G640)+IF($H640="",0,$H640))</f>
        <v/>
      </c>
      <c r="M640" s="7"/>
    </row>
    <row r="641" customFormat="false" ht="15" hidden="false" customHeight="true" outlineLevel="0" collapsed="false">
      <c r="A641" s="11"/>
      <c r="B641" s="7"/>
      <c r="C641" s="12" t="str">
        <f aca="false">IF($B641="","",IFERROR(INDEX(거래처마스터!$B$3:$B$102,MATCH($B641,거래처마스터!$A$3:$A$102,0)),"미등록"))</f>
        <v/>
      </c>
      <c r="D641" s="7"/>
      <c r="E641" s="12" t="str">
        <f aca="false">IF($D641="","",IFERROR(INDEX(품목마스터!$B$3:$B$202,MATCH($D641,품목마스터!$A$3:$A$202,0)),"미등록품번"))</f>
        <v/>
      </c>
      <c r="F641" s="12" t="str">
        <f aca="false">IF($D641="","",IFERROR(INDEX(품목마스터!$D$3:$D$202,MATCH($D641,품목마스터!$A$3:$A$202,0)),""))</f>
        <v/>
      </c>
      <c r="G641" s="9"/>
      <c r="H641" s="9"/>
      <c r="I641" s="9"/>
      <c r="J641" s="7"/>
      <c r="K641" s="13" t="str">
        <f aca="false">IF(OR($G641="",$I641=""),"",ROUND($G641*$I641,0))</f>
        <v/>
      </c>
      <c r="L641" s="13" t="str">
        <f aca="false">IF($D641="","",IF($G641="",0,$G641)+IF($H641="",0,$H641))</f>
        <v/>
      </c>
      <c r="M641" s="7"/>
    </row>
    <row r="642" customFormat="false" ht="15" hidden="false" customHeight="true" outlineLevel="0" collapsed="false">
      <c r="A642" s="11"/>
      <c r="B642" s="7"/>
      <c r="C642" s="12" t="str">
        <f aca="false">IF($B642="","",IFERROR(INDEX(거래처마스터!$B$3:$B$102,MATCH($B642,거래처마스터!$A$3:$A$102,0)),"미등록"))</f>
        <v/>
      </c>
      <c r="D642" s="7"/>
      <c r="E642" s="12" t="str">
        <f aca="false">IF($D642="","",IFERROR(INDEX(품목마스터!$B$3:$B$202,MATCH($D642,품목마스터!$A$3:$A$202,0)),"미등록품번"))</f>
        <v/>
      </c>
      <c r="F642" s="12" t="str">
        <f aca="false">IF($D642="","",IFERROR(INDEX(품목마스터!$D$3:$D$202,MATCH($D642,품목마스터!$A$3:$A$202,0)),""))</f>
        <v/>
      </c>
      <c r="G642" s="9"/>
      <c r="H642" s="9"/>
      <c r="I642" s="9"/>
      <c r="J642" s="7"/>
      <c r="K642" s="13" t="str">
        <f aca="false">IF(OR($G642="",$I642=""),"",ROUND($G642*$I642,0))</f>
        <v/>
      </c>
      <c r="L642" s="13" t="str">
        <f aca="false">IF($D642="","",IF($G642="",0,$G642)+IF($H642="",0,$H642))</f>
        <v/>
      </c>
      <c r="M642" s="7"/>
    </row>
    <row r="643" customFormat="false" ht="15" hidden="false" customHeight="true" outlineLevel="0" collapsed="false">
      <c r="A643" s="11"/>
      <c r="B643" s="7"/>
      <c r="C643" s="12" t="str">
        <f aca="false">IF($B643="","",IFERROR(INDEX(거래처마스터!$B$3:$B$102,MATCH($B643,거래처마스터!$A$3:$A$102,0)),"미등록"))</f>
        <v/>
      </c>
      <c r="D643" s="7"/>
      <c r="E643" s="12" t="str">
        <f aca="false">IF($D643="","",IFERROR(INDEX(품목마스터!$B$3:$B$202,MATCH($D643,품목마스터!$A$3:$A$202,0)),"미등록품번"))</f>
        <v/>
      </c>
      <c r="F643" s="12" t="str">
        <f aca="false">IF($D643="","",IFERROR(INDEX(품목마스터!$D$3:$D$202,MATCH($D643,품목마스터!$A$3:$A$202,0)),""))</f>
        <v/>
      </c>
      <c r="G643" s="9"/>
      <c r="H643" s="9"/>
      <c r="I643" s="9"/>
      <c r="J643" s="7"/>
      <c r="K643" s="13" t="str">
        <f aca="false">IF(OR($G643="",$I643=""),"",ROUND($G643*$I643,0))</f>
        <v/>
      </c>
      <c r="L643" s="13" t="str">
        <f aca="false">IF($D643="","",IF($G643="",0,$G643)+IF($H643="",0,$H643))</f>
        <v/>
      </c>
      <c r="M643" s="7"/>
    </row>
    <row r="644" customFormat="false" ht="15" hidden="false" customHeight="true" outlineLevel="0" collapsed="false">
      <c r="A644" s="11"/>
      <c r="B644" s="7"/>
      <c r="C644" s="12" t="str">
        <f aca="false">IF($B644="","",IFERROR(INDEX(거래처마스터!$B$3:$B$102,MATCH($B644,거래처마스터!$A$3:$A$102,0)),"미등록"))</f>
        <v/>
      </c>
      <c r="D644" s="7"/>
      <c r="E644" s="12" t="str">
        <f aca="false">IF($D644="","",IFERROR(INDEX(품목마스터!$B$3:$B$202,MATCH($D644,품목마스터!$A$3:$A$202,0)),"미등록품번"))</f>
        <v/>
      </c>
      <c r="F644" s="12" t="str">
        <f aca="false">IF($D644="","",IFERROR(INDEX(품목마스터!$D$3:$D$202,MATCH($D644,품목마스터!$A$3:$A$202,0)),""))</f>
        <v/>
      </c>
      <c r="G644" s="9"/>
      <c r="H644" s="9"/>
      <c r="I644" s="9"/>
      <c r="J644" s="7"/>
      <c r="K644" s="13" t="str">
        <f aca="false">IF(OR($G644="",$I644=""),"",ROUND($G644*$I644,0))</f>
        <v/>
      </c>
      <c r="L644" s="13" t="str">
        <f aca="false">IF($D644="","",IF($G644="",0,$G644)+IF($H644="",0,$H644))</f>
        <v/>
      </c>
      <c r="M644" s="7"/>
    </row>
    <row r="645" customFormat="false" ht="15" hidden="false" customHeight="true" outlineLevel="0" collapsed="false">
      <c r="A645" s="11"/>
      <c r="B645" s="7"/>
      <c r="C645" s="12" t="str">
        <f aca="false">IF($B645="","",IFERROR(INDEX(거래처마스터!$B$3:$B$102,MATCH($B645,거래처마스터!$A$3:$A$102,0)),"미등록"))</f>
        <v/>
      </c>
      <c r="D645" s="7"/>
      <c r="E645" s="12" t="str">
        <f aca="false">IF($D645="","",IFERROR(INDEX(품목마스터!$B$3:$B$202,MATCH($D645,품목마스터!$A$3:$A$202,0)),"미등록품번"))</f>
        <v/>
      </c>
      <c r="F645" s="12" t="str">
        <f aca="false">IF($D645="","",IFERROR(INDEX(품목마스터!$D$3:$D$202,MATCH($D645,품목마스터!$A$3:$A$202,0)),""))</f>
        <v/>
      </c>
      <c r="G645" s="9"/>
      <c r="H645" s="9"/>
      <c r="I645" s="9"/>
      <c r="J645" s="7"/>
      <c r="K645" s="13" t="str">
        <f aca="false">IF(OR($G645="",$I645=""),"",ROUND($G645*$I645,0))</f>
        <v/>
      </c>
      <c r="L645" s="13" t="str">
        <f aca="false">IF($D645="","",IF($G645="",0,$G645)+IF($H645="",0,$H645))</f>
        <v/>
      </c>
      <c r="M645" s="7"/>
    </row>
    <row r="646" customFormat="false" ht="15" hidden="false" customHeight="true" outlineLevel="0" collapsed="false">
      <c r="A646" s="11"/>
      <c r="B646" s="7"/>
      <c r="C646" s="12" t="str">
        <f aca="false">IF($B646="","",IFERROR(INDEX(거래처마스터!$B$3:$B$102,MATCH($B646,거래처마스터!$A$3:$A$102,0)),"미등록"))</f>
        <v/>
      </c>
      <c r="D646" s="7"/>
      <c r="E646" s="12" t="str">
        <f aca="false">IF($D646="","",IFERROR(INDEX(품목마스터!$B$3:$B$202,MATCH($D646,품목마스터!$A$3:$A$202,0)),"미등록품번"))</f>
        <v/>
      </c>
      <c r="F646" s="12" t="str">
        <f aca="false">IF($D646="","",IFERROR(INDEX(품목마스터!$D$3:$D$202,MATCH($D646,품목마스터!$A$3:$A$202,0)),""))</f>
        <v/>
      </c>
      <c r="G646" s="9"/>
      <c r="H646" s="9"/>
      <c r="I646" s="9"/>
      <c r="J646" s="7"/>
      <c r="K646" s="13" t="str">
        <f aca="false">IF(OR($G646="",$I646=""),"",ROUND($G646*$I646,0))</f>
        <v/>
      </c>
      <c r="L646" s="13" t="str">
        <f aca="false">IF($D646="","",IF($G646="",0,$G646)+IF($H646="",0,$H646))</f>
        <v/>
      </c>
      <c r="M646" s="7"/>
    </row>
    <row r="647" customFormat="false" ht="15" hidden="false" customHeight="true" outlineLevel="0" collapsed="false">
      <c r="A647" s="11"/>
      <c r="B647" s="7"/>
      <c r="C647" s="12" t="str">
        <f aca="false">IF($B647="","",IFERROR(INDEX(거래처마스터!$B$3:$B$102,MATCH($B647,거래처마스터!$A$3:$A$102,0)),"미등록"))</f>
        <v/>
      </c>
      <c r="D647" s="7"/>
      <c r="E647" s="12" t="str">
        <f aca="false">IF($D647="","",IFERROR(INDEX(품목마스터!$B$3:$B$202,MATCH($D647,품목마스터!$A$3:$A$202,0)),"미등록품번"))</f>
        <v/>
      </c>
      <c r="F647" s="12" t="str">
        <f aca="false">IF($D647="","",IFERROR(INDEX(품목마스터!$D$3:$D$202,MATCH($D647,품목마스터!$A$3:$A$202,0)),""))</f>
        <v/>
      </c>
      <c r="G647" s="9"/>
      <c r="H647" s="9"/>
      <c r="I647" s="9"/>
      <c r="J647" s="7"/>
      <c r="K647" s="13" t="str">
        <f aca="false">IF(OR($G647="",$I647=""),"",ROUND($G647*$I647,0))</f>
        <v/>
      </c>
      <c r="L647" s="13" t="str">
        <f aca="false">IF($D647="","",IF($G647="",0,$G647)+IF($H647="",0,$H647))</f>
        <v/>
      </c>
      <c r="M647" s="7"/>
    </row>
    <row r="648" customFormat="false" ht="15" hidden="false" customHeight="true" outlineLevel="0" collapsed="false">
      <c r="A648" s="11"/>
      <c r="B648" s="7"/>
      <c r="C648" s="12" t="str">
        <f aca="false">IF($B648="","",IFERROR(INDEX(거래처마스터!$B$3:$B$102,MATCH($B648,거래처마스터!$A$3:$A$102,0)),"미등록"))</f>
        <v/>
      </c>
      <c r="D648" s="7"/>
      <c r="E648" s="12" t="str">
        <f aca="false">IF($D648="","",IFERROR(INDEX(품목마스터!$B$3:$B$202,MATCH($D648,품목마스터!$A$3:$A$202,0)),"미등록품번"))</f>
        <v/>
      </c>
      <c r="F648" s="12" t="str">
        <f aca="false">IF($D648="","",IFERROR(INDEX(품목마스터!$D$3:$D$202,MATCH($D648,품목마스터!$A$3:$A$202,0)),""))</f>
        <v/>
      </c>
      <c r="G648" s="9"/>
      <c r="H648" s="9"/>
      <c r="I648" s="9"/>
      <c r="J648" s="7"/>
      <c r="K648" s="13" t="str">
        <f aca="false">IF(OR($G648="",$I648=""),"",ROUND($G648*$I648,0))</f>
        <v/>
      </c>
      <c r="L648" s="13" t="str">
        <f aca="false">IF($D648="","",IF($G648="",0,$G648)+IF($H648="",0,$H648))</f>
        <v/>
      </c>
      <c r="M648" s="7"/>
    </row>
    <row r="649" customFormat="false" ht="15" hidden="false" customHeight="true" outlineLevel="0" collapsed="false">
      <c r="A649" s="11"/>
      <c r="B649" s="7"/>
      <c r="C649" s="12" t="str">
        <f aca="false">IF($B649="","",IFERROR(INDEX(거래처마스터!$B$3:$B$102,MATCH($B649,거래처마스터!$A$3:$A$102,0)),"미등록"))</f>
        <v/>
      </c>
      <c r="D649" s="7"/>
      <c r="E649" s="12" t="str">
        <f aca="false">IF($D649="","",IFERROR(INDEX(품목마스터!$B$3:$B$202,MATCH($D649,품목마스터!$A$3:$A$202,0)),"미등록품번"))</f>
        <v/>
      </c>
      <c r="F649" s="12" t="str">
        <f aca="false">IF($D649="","",IFERROR(INDEX(품목마스터!$D$3:$D$202,MATCH($D649,품목마스터!$A$3:$A$202,0)),""))</f>
        <v/>
      </c>
      <c r="G649" s="9"/>
      <c r="H649" s="9"/>
      <c r="I649" s="9"/>
      <c r="J649" s="7"/>
      <c r="K649" s="13" t="str">
        <f aca="false">IF(OR($G649="",$I649=""),"",ROUND($G649*$I649,0))</f>
        <v/>
      </c>
      <c r="L649" s="13" t="str">
        <f aca="false">IF($D649="","",IF($G649="",0,$G649)+IF($H649="",0,$H649))</f>
        <v/>
      </c>
      <c r="M649" s="7"/>
    </row>
    <row r="650" customFormat="false" ht="15" hidden="false" customHeight="true" outlineLevel="0" collapsed="false">
      <c r="A650" s="11"/>
      <c r="B650" s="7"/>
      <c r="C650" s="12" t="str">
        <f aca="false">IF($B650="","",IFERROR(INDEX(거래처마스터!$B$3:$B$102,MATCH($B650,거래처마스터!$A$3:$A$102,0)),"미등록"))</f>
        <v/>
      </c>
      <c r="D650" s="7"/>
      <c r="E650" s="12" t="str">
        <f aca="false">IF($D650="","",IFERROR(INDEX(품목마스터!$B$3:$B$202,MATCH($D650,품목마스터!$A$3:$A$202,0)),"미등록품번"))</f>
        <v/>
      </c>
      <c r="F650" s="12" t="str">
        <f aca="false">IF($D650="","",IFERROR(INDEX(품목마스터!$D$3:$D$202,MATCH($D650,품목마스터!$A$3:$A$202,0)),""))</f>
        <v/>
      </c>
      <c r="G650" s="9"/>
      <c r="H650" s="9"/>
      <c r="I650" s="9"/>
      <c r="J650" s="7"/>
      <c r="K650" s="13" t="str">
        <f aca="false">IF(OR($G650="",$I650=""),"",ROUND($G650*$I650,0))</f>
        <v/>
      </c>
      <c r="L650" s="13" t="str">
        <f aca="false">IF($D650="","",IF($G650="",0,$G650)+IF($H650="",0,$H650))</f>
        <v/>
      </c>
      <c r="M650" s="7"/>
    </row>
    <row r="651" customFormat="false" ht="15" hidden="false" customHeight="true" outlineLevel="0" collapsed="false">
      <c r="A651" s="11"/>
      <c r="B651" s="7"/>
      <c r="C651" s="12" t="str">
        <f aca="false">IF($B651="","",IFERROR(INDEX(거래처마스터!$B$3:$B$102,MATCH($B651,거래처마스터!$A$3:$A$102,0)),"미등록"))</f>
        <v/>
      </c>
      <c r="D651" s="7"/>
      <c r="E651" s="12" t="str">
        <f aca="false">IF($D651="","",IFERROR(INDEX(품목마스터!$B$3:$B$202,MATCH($D651,품목마스터!$A$3:$A$202,0)),"미등록품번"))</f>
        <v/>
      </c>
      <c r="F651" s="12" t="str">
        <f aca="false">IF($D651="","",IFERROR(INDEX(품목마스터!$D$3:$D$202,MATCH($D651,품목마스터!$A$3:$A$202,0)),""))</f>
        <v/>
      </c>
      <c r="G651" s="9"/>
      <c r="H651" s="9"/>
      <c r="I651" s="9"/>
      <c r="J651" s="7"/>
      <c r="K651" s="13" t="str">
        <f aca="false">IF(OR($G651="",$I651=""),"",ROUND($G651*$I651,0))</f>
        <v/>
      </c>
      <c r="L651" s="13" t="str">
        <f aca="false">IF($D651="","",IF($G651="",0,$G651)+IF($H651="",0,$H651))</f>
        <v/>
      </c>
      <c r="M651" s="7"/>
    </row>
    <row r="652" customFormat="false" ht="15" hidden="false" customHeight="true" outlineLevel="0" collapsed="false">
      <c r="A652" s="11"/>
      <c r="B652" s="7"/>
      <c r="C652" s="12" t="str">
        <f aca="false">IF($B652="","",IFERROR(INDEX(거래처마스터!$B$3:$B$102,MATCH($B652,거래처마스터!$A$3:$A$102,0)),"미등록"))</f>
        <v/>
      </c>
      <c r="D652" s="7"/>
      <c r="E652" s="12" t="str">
        <f aca="false">IF($D652="","",IFERROR(INDEX(품목마스터!$B$3:$B$202,MATCH($D652,품목마스터!$A$3:$A$202,0)),"미등록품번"))</f>
        <v/>
      </c>
      <c r="F652" s="12" t="str">
        <f aca="false">IF($D652="","",IFERROR(INDEX(품목마스터!$D$3:$D$202,MATCH($D652,품목마스터!$A$3:$A$202,0)),""))</f>
        <v/>
      </c>
      <c r="G652" s="9"/>
      <c r="H652" s="9"/>
      <c r="I652" s="9"/>
      <c r="J652" s="7"/>
      <c r="K652" s="13" t="str">
        <f aca="false">IF(OR($G652="",$I652=""),"",ROUND($G652*$I652,0))</f>
        <v/>
      </c>
      <c r="L652" s="13" t="str">
        <f aca="false">IF($D652="","",IF($G652="",0,$G652)+IF($H652="",0,$H652))</f>
        <v/>
      </c>
      <c r="M652" s="7"/>
    </row>
    <row r="653" customFormat="false" ht="15" hidden="false" customHeight="true" outlineLevel="0" collapsed="false">
      <c r="A653" s="11"/>
      <c r="B653" s="7"/>
      <c r="C653" s="12" t="str">
        <f aca="false">IF($B653="","",IFERROR(INDEX(거래처마스터!$B$3:$B$102,MATCH($B653,거래처마스터!$A$3:$A$102,0)),"미등록"))</f>
        <v/>
      </c>
      <c r="D653" s="7"/>
      <c r="E653" s="12" t="str">
        <f aca="false">IF($D653="","",IFERROR(INDEX(품목마스터!$B$3:$B$202,MATCH($D653,품목마스터!$A$3:$A$202,0)),"미등록품번"))</f>
        <v/>
      </c>
      <c r="F653" s="12" t="str">
        <f aca="false">IF($D653="","",IFERROR(INDEX(품목마스터!$D$3:$D$202,MATCH($D653,품목마스터!$A$3:$A$202,0)),""))</f>
        <v/>
      </c>
      <c r="G653" s="9"/>
      <c r="H653" s="9"/>
      <c r="I653" s="9"/>
      <c r="J653" s="7"/>
      <c r="K653" s="13" t="str">
        <f aca="false">IF(OR($G653="",$I653=""),"",ROUND($G653*$I653,0))</f>
        <v/>
      </c>
      <c r="L653" s="13" t="str">
        <f aca="false">IF($D653="","",IF($G653="",0,$G653)+IF($H653="",0,$H653))</f>
        <v/>
      </c>
      <c r="M653" s="7"/>
    </row>
    <row r="654" customFormat="false" ht="15" hidden="false" customHeight="true" outlineLevel="0" collapsed="false">
      <c r="A654" s="11"/>
      <c r="B654" s="7"/>
      <c r="C654" s="12" t="str">
        <f aca="false">IF($B654="","",IFERROR(INDEX(거래처마스터!$B$3:$B$102,MATCH($B654,거래처마스터!$A$3:$A$102,0)),"미등록"))</f>
        <v/>
      </c>
      <c r="D654" s="7"/>
      <c r="E654" s="12" t="str">
        <f aca="false">IF($D654="","",IFERROR(INDEX(품목마스터!$B$3:$B$202,MATCH($D654,품목마스터!$A$3:$A$202,0)),"미등록품번"))</f>
        <v/>
      </c>
      <c r="F654" s="12" t="str">
        <f aca="false">IF($D654="","",IFERROR(INDEX(품목마스터!$D$3:$D$202,MATCH($D654,품목마스터!$A$3:$A$202,0)),""))</f>
        <v/>
      </c>
      <c r="G654" s="9"/>
      <c r="H654" s="9"/>
      <c r="I654" s="9"/>
      <c r="J654" s="7"/>
      <c r="K654" s="13" t="str">
        <f aca="false">IF(OR($G654="",$I654=""),"",ROUND($G654*$I654,0))</f>
        <v/>
      </c>
      <c r="L654" s="13" t="str">
        <f aca="false">IF($D654="","",IF($G654="",0,$G654)+IF($H654="",0,$H654))</f>
        <v/>
      </c>
      <c r="M654" s="7"/>
    </row>
    <row r="655" customFormat="false" ht="15" hidden="false" customHeight="true" outlineLevel="0" collapsed="false">
      <c r="A655" s="11"/>
      <c r="B655" s="7"/>
      <c r="C655" s="12" t="str">
        <f aca="false">IF($B655="","",IFERROR(INDEX(거래처마스터!$B$3:$B$102,MATCH($B655,거래처마스터!$A$3:$A$102,0)),"미등록"))</f>
        <v/>
      </c>
      <c r="D655" s="7"/>
      <c r="E655" s="12" t="str">
        <f aca="false">IF($D655="","",IFERROR(INDEX(품목마스터!$B$3:$B$202,MATCH($D655,품목마스터!$A$3:$A$202,0)),"미등록품번"))</f>
        <v/>
      </c>
      <c r="F655" s="12" t="str">
        <f aca="false">IF($D655="","",IFERROR(INDEX(품목마스터!$D$3:$D$202,MATCH($D655,품목마스터!$A$3:$A$202,0)),""))</f>
        <v/>
      </c>
      <c r="G655" s="9"/>
      <c r="H655" s="9"/>
      <c r="I655" s="9"/>
      <c r="J655" s="7"/>
      <c r="K655" s="13" t="str">
        <f aca="false">IF(OR($G655="",$I655=""),"",ROUND($G655*$I655,0))</f>
        <v/>
      </c>
      <c r="L655" s="13" t="str">
        <f aca="false">IF($D655="","",IF($G655="",0,$G655)+IF($H655="",0,$H655))</f>
        <v/>
      </c>
      <c r="M655" s="7"/>
    </row>
    <row r="656" customFormat="false" ht="15" hidden="false" customHeight="true" outlineLevel="0" collapsed="false">
      <c r="A656" s="11"/>
      <c r="B656" s="7"/>
      <c r="C656" s="12" t="str">
        <f aca="false">IF($B656="","",IFERROR(INDEX(거래처마스터!$B$3:$B$102,MATCH($B656,거래처마스터!$A$3:$A$102,0)),"미등록"))</f>
        <v/>
      </c>
      <c r="D656" s="7"/>
      <c r="E656" s="12" t="str">
        <f aca="false">IF($D656="","",IFERROR(INDEX(품목마스터!$B$3:$B$202,MATCH($D656,품목마스터!$A$3:$A$202,0)),"미등록품번"))</f>
        <v/>
      </c>
      <c r="F656" s="12" t="str">
        <f aca="false">IF($D656="","",IFERROR(INDEX(품목마스터!$D$3:$D$202,MATCH($D656,품목마스터!$A$3:$A$202,0)),""))</f>
        <v/>
      </c>
      <c r="G656" s="9"/>
      <c r="H656" s="9"/>
      <c r="I656" s="9"/>
      <c r="J656" s="7"/>
      <c r="K656" s="13" t="str">
        <f aca="false">IF(OR($G656="",$I656=""),"",ROUND($G656*$I656,0))</f>
        <v/>
      </c>
      <c r="L656" s="13" t="str">
        <f aca="false">IF($D656="","",IF($G656="",0,$G656)+IF($H656="",0,$H656))</f>
        <v/>
      </c>
      <c r="M656" s="7"/>
    </row>
    <row r="657" customFormat="false" ht="15" hidden="false" customHeight="true" outlineLevel="0" collapsed="false">
      <c r="A657" s="11"/>
      <c r="B657" s="7"/>
      <c r="C657" s="12" t="str">
        <f aca="false">IF($B657="","",IFERROR(INDEX(거래처마스터!$B$3:$B$102,MATCH($B657,거래처마스터!$A$3:$A$102,0)),"미등록"))</f>
        <v/>
      </c>
      <c r="D657" s="7"/>
      <c r="E657" s="12" t="str">
        <f aca="false">IF($D657="","",IFERROR(INDEX(품목마스터!$B$3:$B$202,MATCH($D657,품목마스터!$A$3:$A$202,0)),"미등록품번"))</f>
        <v/>
      </c>
      <c r="F657" s="12" t="str">
        <f aca="false">IF($D657="","",IFERROR(INDEX(품목마스터!$D$3:$D$202,MATCH($D657,품목마스터!$A$3:$A$202,0)),""))</f>
        <v/>
      </c>
      <c r="G657" s="9"/>
      <c r="H657" s="9"/>
      <c r="I657" s="9"/>
      <c r="J657" s="7"/>
      <c r="K657" s="13" t="str">
        <f aca="false">IF(OR($G657="",$I657=""),"",ROUND($G657*$I657,0))</f>
        <v/>
      </c>
      <c r="L657" s="13" t="str">
        <f aca="false">IF($D657="","",IF($G657="",0,$G657)+IF($H657="",0,$H657))</f>
        <v/>
      </c>
      <c r="M657" s="7"/>
    </row>
    <row r="658" customFormat="false" ht="15" hidden="false" customHeight="true" outlineLevel="0" collapsed="false">
      <c r="A658" s="11"/>
      <c r="B658" s="7"/>
      <c r="C658" s="12" t="str">
        <f aca="false">IF($B658="","",IFERROR(INDEX(거래처마스터!$B$3:$B$102,MATCH($B658,거래처마스터!$A$3:$A$102,0)),"미등록"))</f>
        <v/>
      </c>
      <c r="D658" s="7"/>
      <c r="E658" s="12" t="str">
        <f aca="false">IF($D658="","",IFERROR(INDEX(품목마스터!$B$3:$B$202,MATCH($D658,품목마스터!$A$3:$A$202,0)),"미등록품번"))</f>
        <v/>
      </c>
      <c r="F658" s="12" t="str">
        <f aca="false">IF($D658="","",IFERROR(INDEX(품목마스터!$D$3:$D$202,MATCH($D658,품목마스터!$A$3:$A$202,0)),""))</f>
        <v/>
      </c>
      <c r="G658" s="9"/>
      <c r="H658" s="9"/>
      <c r="I658" s="9"/>
      <c r="J658" s="7"/>
      <c r="K658" s="13" t="str">
        <f aca="false">IF(OR($G658="",$I658=""),"",ROUND($G658*$I658,0))</f>
        <v/>
      </c>
      <c r="L658" s="13" t="str">
        <f aca="false">IF($D658="","",IF($G658="",0,$G658)+IF($H658="",0,$H658))</f>
        <v/>
      </c>
      <c r="M658" s="7"/>
    </row>
    <row r="659" customFormat="false" ht="15" hidden="false" customHeight="true" outlineLevel="0" collapsed="false">
      <c r="A659" s="11"/>
      <c r="B659" s="7"/>
      <c r="C659" s="12" t="str">
        <f aca="false">IF($B659="","",IFERROR(INDEX(거래처마스터!$B$3:$B$102,MATCH($B659,거래처마스터!$A$3:$A$102,0)),"미등록"))</f>
        <v/>
      </c>
      <c r="D659" s="7"/>
      <c r="E659" s="12" t="str">
        <f aca="false">IF($D659="","",IFERROR(INDEX(품목마스터!$B$3:$B$202,MATCH($D659,품목마스터!$A$3:$A$202,0)),"미등록품번"))</f>
        <v/>
      </c>
      <c r="F659" s="12" t="str">
        <f aca="false">IF($D659="","",IFERROR(INDEX(품목마스터!$D$3:$D$202,MATCH($D659,품목마스터!$A$3:$A$202,0)),""))</f>
        <v/>
      </c>
      <c r="G659" s="9"/>
      <c r="H659" s="9"/>
      <c r="I659" s="9"/>
      <c r="J659" s="7"/>
      <c r="K659" s="13" t="str">
        <f aca="false">IF(OR($G659="",$I659=""),"",ROUND($G659*$I659,0))</f>
        <v/>
      </c>
      <c r="L659" s="13" t="str">
        <f aca="false">IF($D659="","",IF($G659="",0,$G659)+IF($H659="",0,$H659))</f>
        <v/>
      </c>
      <c r="M659" s="7"/>
    </row>
    <row r="660" customFormat="false" ht="15" hidden="false" customHeight="true" outlineLevel="0" collapsed="false">
      <c r="A660" s="11"/>
      <c r="B660" s="7"/>
      <c r="C660" s="12" t="str">
        <f aca="false">IF($B660="","",IFERROR(INDEX(거래처마스터!$B$3:$B$102,MATCH($B660,거래처마스터!$A$3:$A$102,0)),"미등록"))</f>
        <v/>
      </c>
      <c r="D660" s="7"/>
      <c r="E660" s="12" t="str">
        <f aca="false">IF($D660="","",IFERROR(INDEX(품목마스터!$B$3:$B$202,MATCH($D660,품목마스터!$A$3:$A$202,0)),"미등록품번"))</f>
        <v/>
      </c>
      <c r="F660" s="12" t="str">
        <f aca="false">IF($D660="","",IFERROR(INDEX(품목마스터!$D$3:$D$202,MATCH($D660,품목마스터!$A$3:$A$202,0)),""))</f>
        <v/>
      </c>
      <c r="G660" s="9"/>
      <c r="H660" s="9"/>
      <c r="I660" s="9"/>
      <c r="J660" s="7"/>
      <c r="K660" s="13" t="str">
        <f aca="false">IF(OR($G660="",$I660=""),"",ROUND($G660*$I660,0))</f>
        <v/>
      </c>
      <c r="L660" s="13" t="str">
        <f aca="false">IF($D660="","",IF($G660="",0,$G660)+IF($H660="",0,$H660))</f>
        <v/>
      </c>
      <c r="M660" s="7"/>
    </row>
    <row r="661" customFormat="false" ht="15" hidden="false" customHeight="true" outlineLevel="0" collapsed="false">
      <c r="A661" s="11"/>
      <c r="B661" s="7"/>
      <c r="C661" s="12" t="str">
        <f aca="false">IF($B661="","",IFERROR(INDEX(거래처마스터!$B$3:$B$102,MATCH($B661,거래처마스터!$A$3:$A$102,0)),"미등록"))</f>
        <v/>
      </c>
      <c r="D661" s="7"/>
      <c r="E661" s="12" t="str">
        <f aca="false">IF($D661="","",IFERROR(INDEX(품목마스터!$B$3:$B$202,MATCH($D661,품목마스터!$A$3:$A$202,0)),"미등록품번"))</f>
        <v/>
      </c>
      <c r="F661" s="12" t="str">
        <f aca="false">IF($D661="","",IFERROR(INDEX(품목마스터!$D$3:$D$202,MATCH($D661,품목마스터!$A$3:$A$202,0)),""))</f>
        <v/>
      </c>
      <c r="G661" s="9"/>
      <c r="H661" s="9"/>
      <c r="I661" s="9"/>
      <c r="J661" s="7"/>
      <c r="K661" s="13" t="str">
        <f aca="false">IF(OR($G661="",$I661=""),"",ROUND($G661*$I661,0))</f>
        <v/>
      </c>
      <c r="L661" s="13" t="str">
        <f aca="false">IF($D661="","",IF($G661="",0,$G661)+IF($H661="",0,$H661))</f>
        <v/>
      </c>
      <c r="M661" s="7"/>
    </row>
    <row r="662" customFormat="false" ht="15" hidden="false" customHeight="true" outlineLevel="0" collapsed="false">
      <c r="A662" s="11"/>
      <c r="B662" s="7"/>
      <c r="C662" s="12" t="str">
        <f aca="false">IF($B662="","",IFERROR(INDEX(거래처마스터!$B$3:$B$102,MATCH($B662,거래처마스터!$A$3:$A$102,0)),"미등록"))</f>
        <v/>
      </c>
      <c r="D662" s="7"/>
      <c r="E662" s="12" t="str">
        <f aca="false">IF($D662="","",IFERROR(INDEX(품목마스터!$B$3:$B$202,MATCH($D662,품목마스터!$A$3:$A$202,0)),"미등록품번"))</f>
        <v/>
      </c>
      <c r="F662" s="12" t="str">
        <f aca="false">IF($D662="","",IFERROR(INDEX(품목마스터!$D$3:$D$202,MATCH($D662,품목마스터!$A$3:$A$202,0)),""))</f>
        <v/>
      </c>
      <c r="G662" s="9"/>
      <c r="H662" s="9"/>
      <c r="I662" s="9"/>
      <c r="J662" s="7"/>
      <c r="K662" s="13" t="str">
        <f aca="false">IF(OR($G662="",$I662=""),"",ROUND($G662*$I662,0))</f>
        <v/>
      </c>
      <c r="L662" s="13" t="str">
        <f aca="false">IF($D662="","",IF($G662="",0,$G662)+IF($H662="",0,$H662))</f>
        <v/>
      </c>
      <c r="M662" s="7"/>
    </row>
    <row r="663" customFormat="false" ht="15" hidden="false" customHeight="true" outlineLevel="0" collapsed="false">
      <c r="A663" s="11"/>
      <c r="B663" s="7"/>
      <c r="C663" s="12" t="str">
        <f aca="false">IF($B663="","",IFERROR(INDEX(거래처마스터!$B$3:$B$102,MATCH($B663,거래처마스터!$A$3:$A$102,0)),"미등록"))</f>
        <v/>
      </c>
      <c r="D663" s="7"/>
      <c r="E663" s="12" t="str">
        <f aca="false">IF($D663="","",IFERROR(INDEX(품목마스터!$B$3:$B$202,MATCH($D663,품목마스터!$A$3:$A$202,0)),"미등록품번"))</f>
        <v/>
      </c>
      <c r="F663" s="12" t="str">
        <f aca="false">IF($D663="","",IFERROR(INDEX(품목마스터!$D$3:$D$202,MATCH($D663,품목마스터!$A$3:$A$202,0)),""))</f>
        <v/>
      </c>
      <c r="G663" s="9"/>
      <c r="H663" s="9"/>
      <c r="I663" s="9"/>
      <c r="J663" s="7"/>
      <c r="K663" s="13" t="str">
        <f aca="false">IF(OR($G663="",$I663=""),"",ROUND($G663*$I663,0))</f>
        <v/>
      </c>
      <c r="L663" s="13" t="str">
        <f aca="false">IF($D663="","",IF($G663="",0,$G663)+IF($H663="",0,$H663))</f>
        <v/>
      </c>
      <c r="M663" s="7"/>
    </row>
    <row r="664" customFormat="false" ht="15" hidden="false" customHeight="true" outlineLevel="0" collapsed="false">
      <c r="A664" s="11"/>
      <c r="B664" s="7"/>
      <c r="C664" s="12" t="str">
        <f aca="false">IF($B664="","",IFERROR(INDEX(거래처마스터!$B$3:$B$102,MATCH($B664,거래처마스터!$A$3:$A$102,0)),"미등록"))</f>
        <v/>
      </c>
      <c r="D664" s="7"/>
      <c r="E664" s="12" t="str">
        <f aca="false">IF($D664="","",IFERROR(INDEX(품목마스터!$B$3:$B$202,MATCH($D664,품목마스터!$A$3:$A$202,0)),"미등록품번"))</f>
        <v/>
      </c>
      <c r="F664" s="12" t="str">
        <f aca="false">IF($D664="","",IFERROR(INDEX(품목마스터!$D$3:$D$202,MATCH($D664,품목마스터!$A$3:$A$202,0)),""))</f>
        <v/>
      </c>
      <c r="G664" s="9"/>
      <c r="H664" s="9"/>
      <c r="I664" s="9"/>
      <c r="J664" s="7"/>
      <c r="K664" s="13" t="str">
        <f aca="false">IF(OR($G664="",$I664=""),"",ROUND($G664*$I664,0))</f>
        <v/>
      </c>
      <c r="L664" s="13" t="str">
        <f aca="false">IF($D664="","",IF($G664="",0,$G664)+IF($H664="",0,$H664))</f>
        <v/>
      </c>
      <c r="M664" s="7"/>
    </row>
    <row r="665" customFormat="false" ht="15" hidden="false" customHeight="true" outlineLevel="0" collapsed="false">
      <c r="A665" s="11"/>
      <c r="B665" s="7"/>
      <c r="C665" s="12" t="str">
        <f aca="false">IF($B665="","",IFERROR(INDEX(거래처마스터!$B$3:$B$102,MATCH($B665,거래처마스터!$A$3:$A$102,0)),"미등록"))</f>
        <v/>
      </c>
      <c r="D665" s="7"/>
      <c r="E665" s="12" t="str">
        <f aca="false">IF($D665="","",IFERROR(INDEX(품목마스터!$B$3:$B$202,MATCH($D665,품목마스터!$A$3:$A$202,0)),"미등록품번"))</f>
        <v/>
      </c>
      <c r="F665" s="12" t="str">
        <f aca="false">IF($D665="","",IFERROR(INDEX(품목마스터!$D$3:$D$202,MATCH($D665,품목마스터!$A$3:$A$202,0)),""))</f>
        <v/>
      </c>
      <c r="G665" s="9"/>
      <c r="H665" s="9"/>
      <c r="I665" s="9"/>
      <c r="J665" s="7"/>
      <c r="K665" s="13" t="str">
        <f aca="false">IF(OR($G665="",$I665=""),"",ROUND($G665*$I665,0))</f>
        <v/>
      </c>
      <c r="L665" s="13" t="str">
        <f aca="false">IF($D665="","",IF($G665="",0,$G665)+IF($H665="",0,$H665))</f>
        <v/>
      </c>
      <c r="M665" s="7"/>
    </row>
    <row r="666" customFormat="false" ht="15" hidden="false" customHeight="true" outlineLevel="0" collapsed="false">
      <c r="A666" s="11"/>
      <c r="B666" s="7"/>
      <c r="C666" s="12" t="str">
        <f aca="false">IF($B666="","",IFERROR(INDEX(거래처마스터!$B$3:$B$102,MATCH($B666,거래처마스터!$A$3:$A$102,0)),"미등록"))</f>
        <v/>
      </c>
      <c r="D666" s="7"/>
      <c r="E666" s="12" t="str">
        <f aca="false">IF($D666="","",IFERROR(INDEX(품목마스터!$B$3:$B$202,MATCH($D666,품목마스터!$A$3:$A$202,0)),"미등록품번"))</f>
        <v/>
      </c>
      <c r="F666" s="12" t="str">
        <f aca="false">IF($D666="","",IFERROR(INDEX(품목마스터!$D$3:$D$202,MATCH($D666,품목마스터!$A$3:$A$202,0)),""))</f>
        <v/>
      </c>
      <c r="G666" s="9"/>
      <c r="H666" s="9"/>
      <c r="I666" s="9"/>
      <c r="J666" s="7"/>
      <c r="K666" s="13" t="str">
        <f aca="false">IF(OR($G666="",$I666=""),"",ROUND($G666*$I666,0))</f>
        <v/>
      </c>
      <c r="L666" s="13" t="str">
        <f aca="false">IF($D666="","",IF($G666="",0,$G666)+IF($H666="",0,$H666))</f>
        <v/>
      </c>
      <c r="M666" s="7"/>
    </row>
    <row r="667" customFormat="false" ht="15" hidden="false" customHeight="true" outlineLevel="0" collapsed="false">
      <c r="A667" s="11"/>
      <c r="B667" s="7"/>
      <c r="C667" s="12" t="str">
        <f aca="false">IF($B667="","",IFERROR(INDEX(거래처마스터!$B$3:$B$102,MATCH($B667,거래처마스터!$A$3:$A$102,0)),"미등록"))</f>
        <v/>
      </c>
      <c r="D667" s="7"/>
      <c r="E667" s="12" t="str">
        <f aca="false">IF($D667="","",IFERROR(INDEX(품목마스터!$B$3:$B$202,MATCH($D667,품목마스터!$A$3:$A$202,0)),"미등록품번"))</f>
        <v/>
      </c>
      <c r="F667" s="12" t="str">
        <f aca="false">IF($D667="","",IFERROR(INDEX(품목마스터!$D$3:$D$202,MATCH($D667,품목마스터!$A$3:$A$202,0)),""))</f>
        <v/>
      </c>
      <c r="G667" s="9"/>
      <c r="H667" s="9"/>
      <c r="I667" s="9"/>
      <c r="J667" s="7"/>
      <c r="K667" s="13" t="str">
        <f aca="false">IF(OR($G667="",$I667=""),"",ROUND($G667*$I667,0))</f>
        <v/>
      </c>
      <c r="L667" s="13" t="str">
        <f aca="false">IF($D667="","",IF($G667="",0,$G667)+IF($H667="",0,$H667))</f>
        <v/>
      </c>
      <c r="M667" s="7"/>
    </row>
    <row r="668" customFormat="false" ht="15" hidden="false" customHeight="true" outlineLevel="0" collapsed="false">
      <c r="A668" s="11"/>
      <c r="B668" s="7"/>
      <c r="C668" s="12" t="str">
        <f aca="false">IF($B668="","",IFERROR(INDEX(거래처마스터!$B$3:$B$102,MATCH($B668,거래처마스터!$A$3:$A$102,0)),"미등록"))</f>
        <v/>
      </c>
      <c r="D668" s="7"/>
      <c r="E668" s="12" t="str">
        <f aca="false">IF($D668="","",IFERROR(INDEX(품목마스터!$B$3:$B$202,MATCH($D668,품목마스터!$A$3:$A$202,0)),"미등록품번"))</f>
        <v/>
      </c>
      <c r="F668" s="12" t="str">
        <f aca="false">IF($D668="","",IFERROR(INDEX(품목마스터!$D$3:$D$202,MATCH($D668,품목마스터!$A$3:$A$202,0)),""))</f>
        <v/>
      </c>
      <c r="G668" s="9"/>
      <c r="H668" s="9"/>
      <c r="I668" s="9"/>
      <c r="J668" s="7"/>
      <c r="K668" s="13" t="str">
        <f aca="false">IF(OR($G668="",$I668=""),"",ROUND($G668*$I668,0))</f>
        <v/>
      </c>
      <c r="L668" s="13" t="str">
        <f aca="false">IF($D668="","",IF($G668="",0,$G668)+IF($H668="",0,$H668))</f>
        <v/>
      </c>
      <c r="M668" s="7"/>
    </row>
    <row r="669" customFormat="false" ht="15" hidden="false" customHeight="true" outlineLevel="0" collapsed="false">
      <c r="A669" s="11"/>
      <c r="B669" s="7"/>
      <c r="C669" s="12" t="str">
        <f aca="false">IF($B669="","",IFERROR(INDEX(거래처마스터!$B$3:$B$102,MATCH($B669,거래처마스터!$A$3:$A$102,0)),"미등록"))</f>
        <v/>
      </c>
      <c r="D669" s="7"/>
      <c r="E669" s="12" t="str">
        <f aca="false">IF($D669="","",IFERROR(INDEX(품목마스터!$B$3:$B$202,MATCH($D669,품목마스터!$A$3:$A$202,0)),"미등록품번"))</f>
        <v/>
      </c>
      <c r="F669" s="12" t="str">
        <f aca="false">IF($D669="","",IFERROR(INDEX(품목마스터!$D$3:$D$202,MATCH($D669,품목마스터!$A$3:$A$202,0)),""))</f>
        <v/>
      </c>
      <c r="G669" s="9"/>
      <c r="H669" s="9"/>
      <c r="I669" s="9"/>
      <c r="J669" s="7"/>
      <c r="K669" s="13" t="str">
        <f aca="false">IF(OR($G669="",$I669=""),"",ROUND($G669*$I669,0))</f>
        <v/>
      </c>
      <c r="L669" s="13" t="str">
        <f aca="false">IF($D669="","",IF($G669="",0,$G669)+IF($H669="",0,$H669))</f>
        <v/>
      </c>
      <c r="M669" s="7"/>
    </row>
    <row r="670" customFormat="false" ht="15" hidden="false" customHeight="true" outlineLevel="0" collapsed="false">
      <c r="A670" s="11"/>
      <c r="B670" s="7"/>
      <c r="C670" s="12" t="str">
        <f aca="false">IF($B670="","",IFERROR(INDEX(거래처마스터!$B$3:$B$102,MATCH($B670,거래처마스터!$A$3:$A$102,0)),"미등록"))</f>
        <v/>
      </c>
      <c r="D670" s="7"/>
      <c r="E670" s="12" t="str">
        <f aca="false">IF($D670="","",IFERROR(INDEX(품목마스터!$B$3:$B$202,MATCH($D670,품목마스터!$A$3:$A$202,0)),"미등록품번"))</f>
        <v/>
      </c>
      <c r="F670" s="12" t="str">
        <f aca="false">IF($D670="","",IFERROR(INDEX(품목마스터!$D$3:$D$202,MATCH($D670,품목마스터!$A$3:$A$202,0)),""))</f>
        <v/>
      </c>
      <c r="G670" s="9"/>
      <c r="H670" s="9"/>
      <c r="I670" s="9"/>
      <c r="J670" s="7"/>
      <c r="K670" s="13" t="str">
        <f aca="false">IF(OR($G670="",$I670=""),"",ROUND($G670*$I670,0))</f>
        <v/>
      </c>
      <c r="L670" s="13" t="str">
        <f aca="false">IF($D670="","",IF($G670="",0,$G670)+IF($H670="",0,$H670))</f>
        <v/>
      </c>
      <c r="M670" s="7"/>
    </row>
    <row r="671" customFormat="false" ht="15" hidden="false" customHeight="true" outlineLevel="0" collapsed="false">
      <c r="A671" s="11"/>
      <c r="B671" s="7"/>
      <c r="C671" s="12" t="str">
        <f aca="false">IF($B671="","",IFERROR(INDEX(거래처마스터!$B$3:$B$102,MATCH($B671,거래처마스터!$A$3:$A$102,0)),"미등록"))</f>
        <v/>
      </c>
      <c r="D671" s="7"/>
      <c r="E671" s="12" t="str">
        <f aca="false">IF($D671="","",IFERROR(INDEX(품목마스터!$B$3:$B$202,MATCH($D671,품목마스터!$A$3:$A$202,0)),"미등록품번"))</f>
        <v/>
      </c>
      <c r="F671" s="12" t="str">
        <f aca="false">IF($D671="","",IFERROR(INDEX(품목마스터!$D$3:$D$202,MATCH($D671,품목마스터!$A$3:$A$202,0)),""))</f>
        <v/>
      </c>
      <c r="G671" s="9"/>
      <c r="H671" s="9"/>
      <c r="I671" s="9"/>
      <c r="J671" s="7"/>
      <c r="K671" s="13" t="str">
        <f aca="false">IF(OR($G671="",$I671=""),"",ROUND($G671*$I671,0))</f>
        <v/>
      </c>
      <c r="L671" s="13" t="str">
        <f aca="false">IF($D671="","",IF($G671="",0,$G671)+IF($H671="",0,$H671))</f>
        <v/>
      </c>
      <c r="M671" s="7"/>
    </row>
    <row r="672" customFormat="false" ht="15" hidden="false" customHeight="true" outlineLevel="0" collapsed="false">
      <c r="A672" s="11"/>
      <c r="B672" s="7"/>
      <c r="C672" s="12" t="str">
        <f aca="false">IF($B672="","",IFERROR(INDEX(거래처마스터!$B$3:$B$102,MATCH($B672,거래처마스터!$A$3:$A$102,0)),"미등록"))</f>
        <v/>
      </c>
      <c r="D672" s="7"/>
      <c r="E672" s="12" t="str">
        <f aca="false">IF($D672="","",IFERROR(INDEX(품목마스터!$B$3:$B$202,MATCH($D672,품목마스터!$A$3:$A$202,0)),"미등록품번"))</f>
        <v/>
      </c>
      <c r="F672" s="12" t="str">
        <f aca="false">IF($D672="","",IFERROR(INDEX(품목마스터!$D$3:$D$202,MATCH($D672,품목마스터!$A$3:$A$202,0)),""))</f>
        <v/>
      </c>
      <c r="G672" s="9"/>
      <c r="H672" s="9"/>
      <c r="I672" s="9"/>
      <c r="J672" s="7"/>
      <c r="K672" s="13" t="str">
        <f aca="false">IF(OR($G672="",$I672=""),"",ROUND($G672*$I672,0))</f>
        <v/>
      </c>
      <c r="L672" s="13" t="str">
        <f aca="false">IF($D672="","",IF($G672="",0,$G672)+IF($H672="",0,$H672))</f>
        <v/>
      </c>
      <c r="M672" s="7"/>
    </row>
    <row r="673" customFormat="false" ht="15" hidden="false" customHeight="true" outlineLevel="0" collapsed="false">
      <c r="A673" s="11"/>
      <c r="B673" s="7"/>
      <c r="C673" s="12" t="str">
        <f aca="false">IF($B673="","",IFERROR(INDEX(거래처마스터!$B$3:$B$102,MATCH($B673,거래처마스터!$A$3:$A$102,0)),"미등록"))</f>
        <v/>
      </c>
      <c r="D673" s="7"/>
      <c r="E673" s="12" t="str">
        <f aca="false">IF($D673="","",IFERROR(INDEX(품목마스터!$B$3:$B$202,MATCH($D673,품목마스터!$A$3:$A$202,0)),"미등록품번"))</f>
        <v/>
      </c>
      <c r="F673" s="12" t="str">
        <f aca="false">IF($D673="","",IFERROR(INDEX(품목마스터!$D$3:$D$202,MATCH($D673,품목마스터!$A$3:$A$202,0)),""))</f>
        <v/>
      </c>
      <c r="G673" s="9"/>
      <c r="H673" s="9"/>
      <c r="I673" s="9"/>
      <c r="J673" s="7"/>
      <c r="K673" s="13" t="str">
        <f aca="false">IF(OR($G673="",$I673=""),"",ROUND($G673*$I673,0))</f>
        <v/>
      </c>
      <c r="L673" s="13" t="str">
        <f aca="false">IF($D673="","",IF($G673="",0,$G673)+IF($H673="",0,$H673))</f>
        <v/>
      </c>
      <c r="M673" s="7"/>
    </row>
    <row r="674" customFormat="false" ht="15" hidden="false" customHeight="true" outlineLevel="0" collapsed="false">
      <c r="A674" s="11"/>
      <c r="B674" s="7"/>
      <c r="C674" s="12" t="str">
        <f aca="false">IF($B674="","",IFERROR(INDEX(거래처마스터!$B$3:$B$102,MATCH($B674,거래처마스터!$A$3:$A$102,0)),"미등록"))</f>
        <v/>
      </c>
      <c r="D674" s="7"/>
      <c r="E674" s="12" t="str">
        <f aca="false">IF($D674="","",IFERROR(INDEX(품목마스터!$B$3:$B$202,MATCH($D674,품목마스터!$A$3:$A$202,0)),"미등록품번"))</f>
        <v/>
      </c>
      <c r="F674" s="12" t="str">
        <f aca="false">IF($D674="","",IFERROR(INDEX(품목마스터!$D$3:$D$202,MATCH($D674,품목마스터!$A$3:$A$202,0)),""))</f>
        <v/>
      </c>
      <c r="G674" s="9"/>
      <c r="H674" s="9"/>
      <c r="I674" s="9"/>
      <c r="J674" s="7"/>
      <c r="K674" s="13" t="str">
        <f aca="false">IF(OR($G674="",$I674=""),"",ROUND($G674*$I674,0))</f>
        <v/>
      </c>
      <c r="L674" s="13" t="str">
        <f aca="false">IF($D674="","",IF($G674="",0,$G674)+IF($H674="",0,$H674))</f>
        <v/>
      </c>
      <c r="M674" s="7"/>
    </row>
    <row r="675" customFormat="false" ht="15" hidden="false" customHeight="true" outlineLevel="0" collapsed="false">
      <c r="A675" s="11"/>
      <c r="B675" s="7"/>
      <c r="C675" s="12" t="str">
        <f aca="false">IF($B675="","",IFERROR(INDEX(거래처마스터!$B$3:$B$102,MATCH($B675,거래처마스터!$A$3:$A$102,0)),"미등록"))</f>
        <v/>
      </c>
      <c r="D675" s="7"/>
      <c r="E675" s="12" t="str">
        <f aca="false">IF($D675="","",IFERROR(INDEX(품목마스터!$B$3:$B$202,MATCH($D675,품목마스터!$A$3:$A$202,0)),"미등록품번"))</f>
        <v/>
      </c>
      <c r="F675" s="12" t="str">
        <f aca="false">IF($D675="","",IFERROR(INDEX(품목마스터!$D$3:$D$202,MATCH($D675,품목마스터!$A$3:$A$202,0)),""))</f>
        <v/>
      </c>
      <c r="G675" s="9"/>
      <c r="H675" s="9"/>
      <c r="I675" s="9"/>
      <c r="J675" s="7"/>
      <c r="K675" s="13" t="str">
        <f aca="false">IF(OR($G675="",$I675=""),"",ROUND($G675*$I675,0))</f>
        <v/>
      </c>
      <c r="L675" s="13" t="str">
        <f aca="false">IF($D675="","",IF($G675="",0,$G675)+IF($H675="",0,$H675))</f>
        <v/>
      </c>
      <c r="M675" s="7"/>
    </row>
    <row r="676" customFormat="false" ht="15" hidden="false" customHeight="true" outlineLevel="0" collapsed="false">
      <c r="A676" s="11"/>
      <c r="B676" s="7"/>
      <c r="C676" s="12" t="str">
        <f aca="false">IF($B676="","",IFERROR(INDEX(거래처마스터!$B$3:$B$102,MATCH($B676,거래처마스터!$A$3:$A$102,0)),"미등록"))</f>
        <v/>
      </c>
      <c r="D676" s="7"/>
      <c r="E676" s="12" t="str">
        <f aca="false">IF($D676="","",IFERROR(INDEX(품목마스터!$B$3:$B$202,MATCH($D676,품목마스터!$A$3:$A$202,0)),"미등록품번"))</f>
        <v/>
      </c>
      <c r="F676" s="12" t="str">
        <f aca="false">IF($D676="","",IFERROR(INDEX(품목마스터!$D$3:$D$202,MATCH($D676,품목마스터!$A$3:$A$202,0)),""))</f>
        <v/>
      </c>
      <c r="G676" s="9"/>
      <c r="H676" s="9"/>
      <c r="I676" s="9"/>
      <c r="J676" s="7"/>
      <c r="K676" s="13" t="str">
        <f aca="false">IF(OR($G676="",$I676=""),"",ROUND($G676*$I676,0))</f>
        <v/>
      </c>
      <c r="L676" s="13" t="str">
        <f aca="false">IF($D676="","",IF($G676="",0,$G676)+IF($H676="",0,$H676))</f>
        <v/>
      </c>
      <c r="M676" s="7"/>
    </row>
    <row r="677" customFormat="false" ht="15" hidden="false" customHeight="true" outlineLevel="0" collapsed="false">
      <c r="A677" s="11"/>
      <c r="B677" s="7"/>
      <c r="C677" s="12" t="str">
        <f aca="false">IF($B677="","",IFERROR(INDEX(거래처마스터!$B$3:$B$102,MATCH($B677,거래처마스터!$A$3:$A$102,0)),"미등록"))</f>
        <v/>
      </c>
      <c r="D677" s="7"/>
      <c r="E677" s="12" t="str">
        <f aca="false">IF($D677="","",IFERROR(INDEX(품목마스터!$B$3:$B$202,MATCH($D677,품목마스터!$A$3:$A$202,0)),"미등록품번"))</f>
        <v/>
      </c>
      <c r="F677" s="12" t="str">
        <f aca="false">IF($D677="","",IFERROR(INDEX(품목마스터!$D$3:$D$202,MATCH($D677,품목마스터!$A$3:$A$202,0)),""))</f>
        <v/>
      </c>
      <c r="G677" s="9"/>
      <c r="H677" s="9"/>
      <c r="I677" s="9"/>
      <c r="J677" s="7"/>
      <c r="K677" s="13" t="str">
        <f aca="false">IF(OR($G677="",$I677=""),"",ROUND($G677*$I677,0))</f>
        <v/>
      </c>
      <c r="L677" s="13" t="str">
        <f aca="false">IF($D677="","",IF($G677="",0,$G677)+IF($H677="",0,$H677))</f>
        <v/>
      </c>
      <c r="M677" s="7"/>
    </row>
    <row r="678" customFormat="false" ht="15" hidden="false" customHeight="true" outlineLevel="0" collapsed="false">
      <c r="A678" s="11"/>
      <c r="B678" s="7"/>
      <c r="C678" s="12" t="str">
        <f aca="false">IF($B678="","",IFERROR(INDEX(거래처마스터!$B$3:$B$102,MATCH($B678,거래처마스터!$A$3:$A$102,0)),"미등록"))</f>
        <v/>
      </c>
      <c r="D678" s="7"/>
      <c r="E678" s="12" t="str">
        <f aca="false">IF($D678="","",IFERROR(INDEX(품목마스터!$B$3:$B$202,MATCH($D678,품목마스터!$A$3:$A$202,0)),"미등록품번"))</f>
        <v/>
      </c>
      <c r="F678" s="12" t="str">
        <f aca="false">IF($D678="","",IFERROR(INDEX(품목마스터!$D$3:$D$202,MATCH($D678,품목마스터!$A$3:$A$202,0)),""))</f>
        <v/>
      </c>
      <c r="G678" s="9"/>
      <c r="H678" s="9"/>
      <c r="I678" s="9"/>
      <c r="J678" s="7"/>
      <c r="K678" s="13" t="str">
        <f aca="false">IF(OR($G678="",$I678=""),"",ROUND($G678*$I678,0))</f>
        <v/>
      </c>
      <c r="L678" s="13" t="str">
        <f aca="false">IF($D678="","",IF($G678="",0,$G678)+IF($H678="",0,$H678))</f>
        <v/>
      </c>
      <c r="M678" s="7"/>
    </row>
    <row r="679" customFormat="false" ht="15" hidden="false" customHeight="true" outlineLevel="0" collapsed="false">
      <c r="A679" s="11"/>
      <c r="B679" s="7"/>
      <c r="C679" s="12" t="str">
        <f aca="false">IF($B679="","",IFERROR(INDEX(거래처마스터!$B$3:$B$102,MATCH($B679,거래처마스터!$A$3:$A$102,0)),"미등록"))</f>
        <v/>
      </c>
      <c r="D679" s="7"/>
      <c r="E679" s="12" t="str">
        <f aca="false">IF($D679="","",IFERROR(INDEX(품목마스터!$B$3:$B$202,MATCH($D679,품목마스터!$A$3:$A$202,0)),"미등록품번"))</f>
        <v/>
      </c>
      <c r="F679" s="12" t="str">
        <f aca="false">IF($D679="","",IFERROR(INDEX(품목마스터!$D$3:$D$202,MATCH($D679,품목마스터!$A$3:$A$202,0)),""))</f>
        <v/>
      </c>
      <c r="G679" s="9"/>
      <c r="H679" s="9"/>
      <c r="I679" s="9"/>
      <c r="J679" s="7"/>
      <c r="K679" s="13" t="str">
        <f aca="false">IF(OR($G679="",$I679=""),"",ROUND($G679*$I679,0))</f>
        <v/>
      </c>
      <c r="L679" s="13" t="str">
        <f aca="false">IF($D679="","",IF($G679="",0,$G679)+IF($H679="",0,$H679))</f>
        <v/>
      </c>
      <c r="M679" s="7"/>
    </row>
    <row r="680" customFormat="false" ht="15" hidden="false" customHeight="true" outlineLevel="0" collapsed="false">
      <c r="A680" s="11"/>
      <c r="B680" s="7"/>
      <c r="C680" s="12" t="str">
        <f aca="false">IF($B680="","",IFERROR(INDEX(거래처마스터!$B$3:$B$102,MATCH($B680,거래처마스터!$A$3:$A$102,0)),"미등록"))</f>
        <v/>
      </c>
      <c r="D680" s="7"/>
      <c r="E680" s="12" t="str">
        <f aca="false">IF($D680="","",IFERROR(INDEX(품목마스터!$B$3:$B$202,MATCH($D680,품목마스터!$A$3:$A$202,0)),"미등록품번"))</f>
        <v/>
      </c>
      <c r="F680" s="12" t="str">
        <f aca="false">IF($D680="","",IFERROR(INDEX(품목마스터!$D$3:$D$202,MATCH($D680,품목마스터!$A$3:$A$202,0)),""))</f>
        <v/>
      </c>
      <c r="G680" s="9"/>
      <c r="H680" s="9"/>
      <c r="I680" s="9"/>
      <c r="J680" s="7"/>
      <c r="K680" s="13" t="str">
        <f aca="false">IF(OR($G680="",$I680=""),"",ROUND($G680*$I680,0))</f>
        <v/>
      </c>
      <c r="L680" s="13" t="str">
        <f aca="false">IF($D680="","",IF($G680="",0,$G680)+IF($H680="",0,$H680))</f>
        <v/>
      </c>
      <c r="M680" s="7"/>
    </row>
    <row r="681" customFormat="false" ht="15" hidden="false" customHeight="true" outlineLevel="0" collapsed="false">
      <c r="A681" s="11"/>
      <c r="B681" s="7"/>
      <c r="C681" s="12" t="str">
        <f aca="false">IF($B681="","",IFERROR(INDEX(거래처마스터!$B$3:$B$102,MATCH($B681,거래처마스터!$A$3:$A$102,0)),"미등록"))</f>
        <v/>
      </c>
      <c r="D681" s="7"/>
      <c r="E681" s="12" t="str">
        <f aca="false">IF($D681="","",IFERROR(INDEX(품목마스터!$B$3:$B$202,MATCH($D681,품목마스터!$A$3:$A$202,0)),"미등록품번"))</f>
        <v/>
      </c>
      <c r="F681" s="12" t="str">
        <f aca="false">IF($D681="","",IFERROR(INDEX(품목마스터!$D$3:$D$202,MATCH($D681,품목마스터!$A$3:$A$202,0)),""))</f>
        <v/>
      </c>
      <c r="G681" s="9"/>
      <c r="H681" s="9"/>
      <c r="I681" s="9"/>
      <c r="J681" s="7"/>
      <c r="K681" s="13" t="str">
        <f aca="false">IF(OR($G681="",$I681=""),"",ROUND($G681*$I681,0))</f>
        <v/>
      </c>
      <c r="L681" s="13" t="str">
        <f aca="false">IF($D681="","",IF($G681="",0,$G681)+IF($H681="",0,$H681))</f>
        <v/>
      </c>
      <c r="M681" s="7"/>
    </row>
    <row r="682" customFormat="false" ht="15" hidden="false" customHeight="true" outlineLevel="0" collapsed="false">
      <c r="A682" s="11"/>
      <c r="B682" s="7"/>
      <c r="C682" s="12" t="str">
        <f aca="false">IF($B682="","",IFERROR(INDEX(거래처마스터!$B$3:$B$102,MATCH($B682,거래처마스터!$A$3:$A$102,0)),"미등록"))</f>
        <v/>
      </c>
      <c r="D682" s="7"/>
      <c r="E682" s="12" t="str">
        <f aca="false">IF($D682="","",IFERROR(INDEX(품목마스터!$B$3:$B$202,MATCH($D682,품목마스터!$A$3:$A$202,0)),"미등록품번"))</f>
        <v/>
      </c>
      <c r="F682" s="12" t="str">
        <f aca="false">IF($D682="","",IFERROR(INDEX(품목마스터!$D$3:$D$202,MATCH($D682,품목마스터!$A$3:$A$202,0)),""))</f>
        <v/>
      </c>
      <c r="G682" s="9"/>
      <c r="H682" s="9"/>
      <c r="I682" s="9"/>
      <c r="J682" s="7"/>
      <c r="K682" s="13" t="str">
        <f aca="false">IF(OR($G682="",$I682=""),"",ROUND($G682*$I682,0))</f>
        <v/>
      </c>
      <c r="L682" s="13" t="str">
        <f aca="false">IF($D682="","",IF($G682="",0,$G682)+IF($H682="",0,$H682))</f>
        <v/>
      </c>
      <c r="M682" s="7"/>
    </row>
    <row r="683" customFormat="false" ht="15" hidden="false" customHeight="true" outlineLevel="0" collapsed="false">
      <c r="A683" s="11"/>
      <c r="B683" s="7"/>
      <c r="C683" s="12" t="str">
        <f aca="false">IF($B683="","",IFERROR(INDEX(거래처마스터!$B$3:$B$102,MATCH($B683,거래처마스터!$A$3:$A$102,0)),"미등록"))</f>
        <v/>
      </c>
      <c r="D683" s="7"/>
      <c r="E683" s="12" t="str">
        <f aca="false">IF($D683="","",IFERROR(INDEX(품목마스터!$B$3:$B$202,MATCH($D683,품목마스터!$A$3:$A$202,0)),"미등록품번"))</f>
        <v/>
      </c>
      <c r="F683" s="12" t="str">
        <f aca="false">IF($D683="","",IFERROR(INDEX(품목마스터!$D$3:$D$202,MATCH($D683,품목마스터!$A$3:$A$202,0)),""))</f>
        <v/>
      </c>
      <c r="G683" s="9"/>
      <c r="H683" s="9"/>
      <c r="I683" s="9"/>
      <c r="J683" s="7"/>
      <c r="K683" s="13" t="str">
        <f aca="false">IF(OR($G683="",$I683=""),"",ROUND($G683*$I683,0))</f>
        <v/>
      </c>
      <c r="L683" s="13" t="str">
        <f aca="false">IF($D683="","",IF($G683="",0,$G683)+IF($H683="",0,$H683))</f>
        <v/>
      </c>
      <c r="M683" s="7"/>
    </row>
    <row r="684" customFormat="false" ht="15" hidden="false" customHeight="true" outlineLevel="0" collapsed="false">
      <c r="A684" s="11"/>
      <c r="B684" s="7"/>
      <c r="C684" s="12" t="str">
        <f aca="false">IF($B684="","",IFERROR(INDEX(거래처마스터!$B$3:$B$102,MATCH($B684,거래처마스터!$A$3:$A$102,0)),"미등록"))</f>
        <v/>
      </c>
      <c r="D684" s="7"/>
      <c r="E684" s="12" t="str">
        <f aca="false">IF($D684="","",IFERROR(INDEX(품목마스터!$B$3:$B$202,MATCH($D684,품목마스터!$A$3:$A$202,0)),"미등록품번"))</f>
        <v/>
      </c>
      <c r="F684" s="12" t="str">
        <f aca="false">IF($D684="","",IFERROR(INDEX(품목마스터!$D$3:$D$202,MATCH($D684,품목마스터!$A$3:$A$202,0)),""))</f>
        <v/>
      </c>
      <c r="G684" s="9"/>
      <c r="H684" s="9"/>
      <c r="I684" s="9"/>
      <c r="J684" s="7"/>
      <c r="K684" s="13" t="str">
        <f aca="false">IF(OR($G684="",$I684=""),"",ROUND($G684*$I684,0))</f>
        <v/>
      </c>
      <c r="L684" s="13" t="str">
        <f aca="false">IF($D684="","",IF($G684="",0,$G684)+IF($H684="",0,$H684))</f>
        <v/>
      </c>
      <c r="M684" s="7"/>
    </row>
    <row r="685" customFormat="false" ht="15" hidden="false" customHeight="true" outlineLevel="0" collapsed="false">
      <c r="A685" s="11"/>
      <c r="B685" s="7"/>
      <c r="C685" s="12" t="str">
        <f aca="false">IF($B685="","",IFERROR(INDEX(거래처마스터!$B$3:$B$102,MATCH($B685,거래처마스터!$A$3:$A$102,0)),"미등록"))</f>
        <v/>
      </c>
      <c r="D685" s="7"/>
      <c r="E685" s="12" t="str">
        <f aca="false">IF($D685="","",IFERROR(INDEX(품목마스터!$B$3:$B$202,MATCH($D685,품목마스터!$A$3:$A$202,0)),"미등록품번"))</f>
        <v/>
      </c>
      <c r="F685" s="12" t="str">
        <f aca="false">IF($D685="","",IFERROR(INDEX(품목마스터!$D$3:$D$202,MATCH($D685,품목마스터!$A$3:$A$202,0)),""))</f>
        <v/>
      </c>
      <c r="G685" s="9"/>
      <c r="H685" s="9"/>
      <c r="I685" s="9"/>
      <c r="J685" s="7"/>
      <c r="K685" s="13" t="str">
        <f aca="false">IF(OR($G685="",$I685=""),"",ROUND($G685*$I685,0))</f>
        <v/>
      </c>
      <c r="L685" s="13" t="str">
        <f aca="false">IF($D685="","",IF($G685="",0,$G685)+IF($H685="",0,$H685))</f>
        <v/>
      </c>
      <c r="M685" s="7"/>
    </row>
    <row r="686" customFormat="false" ht="15" hidden="false" customHeight="true" outlineLevel="0" collapsed="false">
      <c r="A686" s="11"/>
      <c r="B686" s="7"/>
      <c r="C686" s="12" t="str">
        <f aca="false">IF($B686="","",IFERROR(INDEX(거래처마스터!$B$3:$B$102,MATCH($B686,거래처마스터!$A$3:$A$102,0)),"미등록"))</f>
        <v/>
      </c>
      <c r="D686" s="7"/>
      <c r="E686" s="12" t="str">
        <f aca="false">IF($D686="","",IFERROR(INDEX(품목마스터!$B$3:$B$202,MATCH($D686,품목마스터!$A$3:$A$202,0)),"미등록품번"))</f>
        <v/>
      </c>
      <c r="F686" s="12" t="str">
        <f aca="false">IF($D686="","",IFERROR(INDEX(품목마스터!$D$3:$D$202,MATCH($D686,품목마스터!$A$3:$A$202,0)),""))</f>
        <v/>
      </c>
      <c r="G686" s="9"/>
      <c r="H686" s="9"/>
      <c r="I686" s="9"/>
      <c r="J686" s="7"/>
      <c r="K686" s="13" t="str">
        <f aca="false">IF(OR($G686="",$I686=""),"",ROUND($G686*$I686,0))</f>
        <v/>
      </c>
      <c r="L686" s="13" t="str">
        <f aca="false">IF($D686="","",IF($G686="",0,$G686)+IF($H686="",0,$H686))</f>
        <v/>
      </c>
      <c r="M686" s="7"/>
    </row>
    <row r="687" customFormat="false" ht="15" hidden="false" customHeight="true" outlineLevel="0" collapsed="false">
      <c r="A687" s="11"/>
      <c r="B687" s="7"/>
      <c r="C687" s="12" t="str">
        <f aca="false">IF($B687="","",IFERROR(INDEX(거래처마스터!$B$3:$B$102,MATCH($B687,거래처마스터!$A$3:$A$102,0)),"미등록"))</f>
        <v/>
      </c>
      <c r="D687" s="7"/>
      <c r="E687" s="12" t="str">
        <f aca="false">IF($D687="","",IFERROR(INDEX(품목마스터!$B$3:$B$202,MATCH($D687,품목마스터!$A$3:$A$202,0)),"미등록품번"))</f>
        <v/>
      </c>
      <c r="F687" s="12" t="str">
        <f aca="false">IF($D687="","",IFERROR(INDEX(품목마스터!$D$3:$D$202,MATCH($D687,품목마스터!$A$3:$A$202,0)),""))</f>
        <v/>
      </c>
      <c r="G687" s="9"/>
      <c r="H687" s="9"/>
      <c r="I687" s="9"/>
      <c r="J687" s="7"/>
      <c r="K687" s="13" t="str">
        <f aca="false">IF(OR($G687="",$I687=""),"",ROUND($G687*$I687,0))</f>
        <v/>
      </c>
      <c r="L687" s="13" t="str">
        <f aca="false">IF($D687="","",IF($G687="",0,$G687)+IF($H687="",0,$H687))</f>
        <v/>
      </c>
      <c r="M687" s="7"/>
    </row>
    <row r="688" customFormat="false" ht="15" hidden="false" customHeight="true" outlineLevel="0" collapsed="false">
      <c r="A688" s="11"/>
      <c r="B688" s="7"/>
      <c r="C688" s="12" t="str">
        <f aca="false">IF($B688="","",IFERROR(INDEX(거래처마스터!$B$3:$B$102,MATCH($B688,거래처마스터!$A$3:$A$102,0)),"미등록"))</f>
        <v/>
      </c>
      <c r="D688" s="7"/>
      <c r="E688" s="12" t="str">
        <f aca="false">IF($D688="","",IFERROR(INDEX(품목마스터!$B$3:$B$202,MATCH($D688,품목마스터!$A$3:$A$202,0)),"미등록품번"))</f>
        <v/>
      </c>
      <c r="F688" s="12" t="str">
        <f aca="false">IF($D688="","",IFERROR(INDEX(품목마스터!$D$3:$D$202,MATCH($D688,품목마스터!$A$3:$A$202,0)),""))</f>
        <v/>
      </c>
      <c r="G688" s="9"/>
      <c r="H688" s="9"/>
      <c r="I688" s="9"/>
      <c r="J688" s="7"/>
      <c r="K688" s="13" t="str">
        <f aca="false">IF(OR($G688="",$I688=""),"",ROUND($G688*$I688,0))</f>
        <v/>
      </c>
      <c r="L688" s="13" t="str">
        <f aca="false">IF($D688="","",IF($G688="",0,$G688)+IF($H688="",0,$H688))</f>
        <v/>
      </c>
      <c r="M688" s="7"/>
    </row>
    <row r="689" customFormat="false" ht="15" hidden="false" customHeight="true" outlineLevel="0" collapsed="false">
      <c r="A689" s="11"/>
      <c r="B689" s="7"/>
      <c r="C689" s="12" t="str">
        <f aca="false">IF($B689="","",IFERROR(INDEX(거래처마스터!$B$3:$B$102,MATCH($B689,거래처마스터!$A$3:$A$102,0)),"미등록"))</f>
        <v/>
      </c>
      <c r="D689" s="7"/>
      <c r="E689" s="12" t="str">
        <f aca="false">IF($D689="","",IFERROR(INDEX(품목마스터!$B$3:$B$202,MATCH($D689,품목마스터!$A$3:$A$202,0)),"미등록품번"))</f>
        <v/>
      </c>
      <c r="F689" s="12" t="str">
        <f aca="false">IF($D689="","",IFERROR(INDEX(품목마스터!$D$3:$D$202,MATCH($D689,품목마스터!$A$3:$A$202,0)),""))</f>
        <v/>
      </c>
      <c r="G689" s="9"/>
      <c r="H689" s="9"/>
      <c r="I689" s="9"/>
      <c r="J689" s="7"/>
      <c r="K689" s="13" t="str">
        <f aca="false">IF(OR($G689="",$I689=""),"",ROUND($G689*$I689,0))</f>
        <v/>
      </c>
      <c r="L689" s="13" t="str">
        <f aca="false">IF($D689="","",IF($G689="",0,$G689)+IF($H689="",0,$H689))</f>
        <v/>
      </c>
      <c r="M689" s="7"/>
    </row>
    <row r="690" customFormat="false" ht="15" hidden="false" customHeight="true" outlineLevel="0" collapsed="false">
      <c r="A690" s="11"/>
      <c r="B690" s="7"/>
      <c r="C690" s="12" t="str">
        <f aca="false">IF($B690="","",IFERROR(INDEX(거래처마스터!$B$3:$B$102,MATCH($B690,거래처마스터!$A$3:$A$102,0)),"미등록"))</f>
        <v/>
      </c>
      <c r="D690" s="7"/>
      <c r="E690" s="12" t="str">
        <f aca="false">IF($D690="","",IFERROR(INDEX(품목마스터!$B$3:$B$202,MATCH($D690,품목마스터!$A$3:$A$202,0)),"미등록품번"))</f>
        <v/>
      </c>
      <c r="F690" s="12" t="str">
        <f aca="false">IF($D690="","",IFERROR(INDEX(품목마스터!$D$3:$D$202,MATCH($D690,품목마스터!$A$3:$A$202,0)),""))</f>
        <v/>
      </c>
      <c r="G690" s="9"/>
      <c r="H690" s="9"/>
      <c r="I690" s="9"/>
      <c r="J690" s="7"/>
      <c r="K690" s="13" t="str">
        <f aca="false">IF(OR($G690="",$I690=""),"",ROUND($G690*$I690,0))</f>
        <v/>
      </c>
      <c r="L690" s="13" t="str">
        <f aca="false">IF($D690="","",IF($G690="",0,$G690)+IF($H690="",0,$H690))</f>
        <v/>
      </c>
      <c r="M690" s="7"/>
    </row>
    <row r="691" customFormat="false" ht="15" hidden="false" customHeight="true" outlineLevel="0" collapsed="false">
      <c r="A691" s="11"/>
      <c r="B691" s="7"/>
      <c r="C691" s="12" t="str">
        <f aca="false">IF($B691="","",IFERROR(INDEX(거래처마스터!$B$3:$B$102,MATCH($B691,거래처마스터!$A$3:$A$102,0)),"미등록"))</f>
        <v/>
      </c>
      <c r="D691" s="7"/>
      <c r="E691" s="12" t="str">
        <f aca="false">IF($D691="","",IFERROR(INDEX(품목마스터!$B$3:$B$202,MATCH($D691,품목마스터!$A$3:$A$202,0)),"미등록품번"))</f>
        <v/>
      </c>
      <c r="F691" s="12" t="str">
        <f aca="false">IF($D691="","",IFERROR(INDEX(품목마스터!$D$3:$D$202,MATCH($D691,품목마스터!$A$3:$A$202,0)),""))</f>
        <v/>
      </c>
      <c r="G691" s="9"/>
      <c r="H691" s="9"/>
      <c r="I691" s="9"/>
      <c r="J691" s="7"/>
      <c r="K691" s="13" t="str">
        <f aca="false">IF(OR($G691="",$I691=""),"",ROUND($G691*$I691,0))</f>
        <v/>
      </c>
      <c r="L691" s="13" t="str">
        <f aca="false">IF($D691="","",IF($G691="",0,$G691)+IF($H691="",0,$H691))</f>
        <v/>
      </c>
      <c r="M691" s="7"/>
    </row>
    <row r="692" customFormat="false" ht="15" hidden="false" customHeight="true" outlineLevel="0" collapsed="false">
      <c r="A692" s="11"/>
      <c r="B692" s="7"/>
      <c r="C692" s="12" t="str">
        <f aca="false">IF($B692="","",IFERROR(INDEX(거래처마스터!$B$3:$B$102,MATCH($B692,거래처마스터!$A$3:$A$102,0)),"미등록"))</f>
        <v/>
      </c>
      <c r="D692" s="7"/>
      <c r="E692" s="12" t="str">
        <f aca="false">IF($D692="","",IFERROR(INDEX(품목마스터!$B$3:$B$202,MATCH($D692,품목마스터!$A$3:$A$202,0)),"미등록품번"))</f>
        <v/>
      </c>
      <c r="F692" s="12" t="str">
        <f aca="false">IF($D692="","",IFERROR(INDEX(품목마스터!$D$3:$D$202,MATCH($D692,품목마스터!$A$3:$A$202,0)),""))</f>
        <v/>
      </c>
      <c r="G692" s="9"/>
      <c r="H692" s="9"/>
      <c r="I692" s="9"/>
      <c r="J692" s="7"/>
      <c r="K692" s="13" t="str">
        <f aca="false">IF(OR($G692="",$I692=""),"",ROUND($G692*$I692,0))</f>
        <v/>
      </c>
      <c r="L692" s="13" t="str">
        <f aca="false">IF($D692="","",IF($G692="",0,$G692)+IF($H692="",0,$H692))</f>
        <v/>
      </c>
      <c r="M692" s="7"/>
    </row>
    <row r="693" customFormat="false" ht="15" hidden="false" customHeight="true" outlineLevel="0" collapsed="false">
      <c r="A693" s="11"/>
      <c r="B693" s="7"/>
      <c r="C693" s="12" t="str">
        <f aca="false">IF($B693="","",IFERROR(INDEX(거래처마스터!$B$3:$B$102,MATCH($B693,거래처마스터!$A$3:$A$102,0)),"미등록"))</f>
        <v/>
      </c>
      <c r="D693" s="7"/>
      <c r="E693" s="12" t="str">
        <f aca="false">IF($D693="","",IFERROR(INDEX(품목마스터!$B$3:$B$202,MATCH($D693,품목마스터!$A$3:$A$202,0)),"미등록품번"))</f>
        <v/>
      </c>
      <c r="F693" s="12" t="str">
        <f aca="false">IF($D693="","",IFERROR(INDEX(품목마스터!$D$3:$D$202,MATCH($D693,품목마스터!$A$3:$A$202,0)),""))</f>
        <v/>
      </c>
      <c r="G693" s="9"/>
      <c r="H693" s="9"/>
      <c r="I693" s="9"/>
      <c r="J693" s="7"/>
      <c r="K693" s="13" t="str">
        <f aca="false">IF(OR($G693="",$I693=""),"",ROUND($G693*$I693,0))</f>
        <v/>
      </c>
      <c r="L693" s="13" t="str">
        <f aca="false">IF($D693="","",IF($G693="",0,$G693)+IF($H693="",0,$H693))</f>
        <v/>
      </c>
      <c r="M693" s="7"/>
    </row>
    <row r="694" customFormat="false" ht="15" hidden="false" customHeight="true" outlineLevel="0" collapsed="false">
      <c r="A694" s="11"/>
      <c r="B694" s="7"/>
      <c r="C694" s="12" t="str">
        <f aca="false">IF($B694="","",IFERROR(INDEX(거래처마스터!$B$3:$B$102,MATCH($B694,거래처마스터!$A$3:$A$102,0)),"미등록"))</f>
        <v/>
      </c>
      <c r="D694" s="7"/>
      <c r="E694" s="12" t="str">
        <f aca="false">IF($D694="","",IFERROR(INDEX(품목마스터!$B$3:$B$202,MATCH($D694,품목마스터!$A$3:$A$202,0)),"미등록품번"))</f>
        <v/>
      </c>
      <c r="F694" s="12" t="str">
        <f aca="false">IF($D694="","",IFERROR(INDEX(품목마스터!$D$3:$D$202,MATCH($D694,품목마스터!$A$3:$A$202,0)),""))</f>
        <v/>
      </c>
      <c r="G694" s="9"/>
      <c r="H694" s="9"/>
      <c r="I694" s="9"/>
      <c r="J694" s="7"/>
      <c r="K694" s="13" t="str">
        <f aca="false">IF(OR($G694="",$I694=""),"",ROUND($G694*$I694,0))</f>
        <v/>
      </c>
      <c r="L694" s="13" t="str">
        <f aca="false">IF($D694="","",IF($G694="",0,$G694)+IF($H694="",0,$H694))</f>
        <v/>
      </c>
      <c r="M694" s="7"/>
    </row>
    <row r="695" customFormat="false" ht="15" hidden="false" customHeight="true" outlineLevel="0" collapsed="false">
      <c r="A695" s="11"/>
      <c r="B695" s="7"/>
      <c r="C695" s="12" t="str">
        <f aca="false">IF($B695="","",IFERROR(INDEX(거래처마스터!$B$3:$B$102,MATCH($B695,거래처마스터!$A$3:$A$102,0)),"미등록"))</f>
        <v/>
      </c>
      <c r="D695" s="7"/>
      <c r="E695" s="12" t="str">
        <f aca="false">IF($D695="","",IFERROR(INDEX(품목마스터!$B$3:$B$202,MATCH($D695,품목마스터!$A$3:$A$202,0)),"미등록품번"))</f>
        <v/>
      </c>
      <c r="F695" s="12" t="str">
        <f aca="false">IF($D695="","",IFERROR(INDEX(품목마스터!$D$3:$D$202,MATCH($D695,품목마스터!$A$3:$A$202,0)),""))</f>
        <v/>
      </c>
      <c r="G695" s="9"/>
      <c r="H695" s="9"/>
      <c r="I695" s="9"/>
      <c r="J695" s="7"/>
      <c r="K695" s="13" t="str">
        <f aca="false">IF(OR($G695="",$I695=""),"",ROUND($G695*$I695,0))</f>
        <v/>
      </c>
      <c r="L695" s="13" t="str">
        <f aca="false">IF($D695="","",IF($G695="",0,$G695)+IF($H695="",0,$H695))</f>
        <v/>
      </c>
      <c r="M695" s="7"/>
    </row>
    <row r="696" customFormat="false" ht="15" hidden="false" customHeight="true" outlineLevel="0" collapsed="false">
      <c r="A696" s="11"/>
      <c r="B696" s="7"/>
      <c r="C696" s="12" t="str">
        <f aca="false">IF($B696="","",IFERROR(INDEX(거래처마스터!$B$3:$B$102,MATCH($B696,거래처마스터!$A$3:$A$102,0)),"미등록"))</f>
        <v/>
      </c>
      <c r="D696" s="7"/>
      <c r="E696" s="12" t="str">
        <f aca="false">IF($D696="","",IFERROR(INDEX(품목마스터!$B$3:$B$202,MATCH($D696,품목마스터!$A$3:$A$202,0)),"미등록품번"))</f>
        <v/>
      </c>
      <c r="F696" s="12" t="str">
        <f aca="false">IF($D696="","",IFERROR(INDEX(품목마스터!$D$3:$D$202,MATCH($D696,품목마스터!$A$3:$A$202,0)),""))</f>
        <v/>
      </c>
      <c r="G696" s="9"/>
      <c r="H696" s="9"/>
      <c r="I696" s="9"/>
      <c r="J696" s="7"/>
      <c r="K696" s="13" t="str">
        <f aca="false">IF(OR($G696="",$I696=""),"",ROUND($G696*$I696,0))</f>
        <v/>
      </c>
      <c r="L696" s="13" t="str">
        <f aca="false">IF($D696="","",IF($G696="",0,$G696)+IF($H696="",0,$H696))</f>
        <v/>
      </c>
      <c r="M696" s="7"/>
    </row>
    <row r="697" customFormat="false" ht="15" hidden="false" customHeight="true" outlineLevel="0" collapsed="false">
      <c r="A697" s="11"/>
      <c r="B697" s="7"/>
      <c r="C697" s="12" t="str">
        <f aca="false">IF($B697="","",IFERROR(INDEX(거래처마스터!$B$3:$B$102,MATCH($B697,거래처마스터!$A$3:$A$102,0)),"미등록"))</f>
        <v/>
      </c>
      <c r="D697" s="7"/>
      <c r="E697" s="12" t="str">
        <f aca="false">IF($D697="","",IFERROR(INDEX(품목마스터!$B$3:$B$202,MATCH($D697,품목마스터!$A$3:$A$202,0)),"미등록품번"))</f>
        <v/>
      </c>
      <c r="F697" s="12" t="str">
        <f aca="false">IF($D697="","",IFERROR(INDEX(품목마스터!$D$3:$D$202,MATCH($D697,품목마스터!$A$3:$A$202,0)),""))</f>
        <v/>
      </c>
      <c r="G697" s="9"/>
      <c r="H697" s="9"/>
      <c r="I697" s="9"/>
      <c r="J697" s="7"/>
      <c r="K697" s="13" t="str">
        <f aca="false">IF(OR($G697="",$I697=""),"",ROUND($G697*$I697,0))</f>
        <v/>
      </c>
      <c r="L697" s="13" t="str">
        <f aca="false">IF($D697="","",IF($G697="",0,$G697)+IF($H697="",0,$H697))</f>
        <v/>
      </c>
      <c r="M697" s="7"/>
    </row>
    <row r="698" customFormat="false" ht="15" hidden="false" customHeight="true" outlineLevel="0" collapsed="false">
      <c r="A698" s="11"/>
      <c r="B698" s="7"/>
      <c r="C698" s="12" t="str">
        <f aca="false">IF($B698="","",IFERROR(INDEX(거래처마스터!$B$3:$B$102,MATCH($B698,거래처마스터!$A$3:$A$102,0)),"미등록"))</f>
        <v/>
      </c>
      <c r="D698" s="7"/>
      <c r="E698" s="12" t="str">
        <f aca="false">IF($D698="","",IFERROR(INDEX(품목마스터!$B$3:$B$202,MATCH($D698,품목마스터!$A$3:$A$202,0)),"미등록품번"))</f>
        <v/>
      </c>
      <c r="F698" s="12" t="str">
        <f aca="false">IF($D698="","",IFERROR(INDEX(품목마스터!$D$3:$D$202,MATCH($D698,품목마스터!$A$3:$A$202,0)),""))</f>
        <v/>
      </c>
      <c r="G698" s="9"/>
      <c r="H698" s="9"/>
      <c r="I698" s="9"/>
      <c r="J698" s="7"/>
      <c r="K698" s="13" t="str">
        <f aca="false">IF(OR($G698="",$I698=""),"",ROUND($G698*$I698,0))</f>
        <v/>
      </c>
      <c r="L698" s="13" t="str">
        <f aca="false">IF($D698="","",IF($G698="",0,$G698)+IF($H698="",0,$H698))</f>
        <v/>
      </c>
      <c r="M698" s="7"/>
    </row>
    <row r="699" customFormat="false" ht="15" hidden="false" customHeight="true" outlineLevel="0" collapsed="false">
      <c r="A699" s="11"/>
      <c r="B699" s="7"/>
      <c r="C699" s="12" t="str">
        <f aca="false">IF($B699="","",IFERROR(INDEX(거래처마스터!$B$3:$B$102,MATCH($B699,거래처마스터!$A$3:$A$102,0)),"미등록"))</f>
        <v/>
      </c>
      <c r="D699" s="7"/>
      <c r="E699" s="12" t="str">
        <f aca="false">IF($D699="","",IFERROR(INDEX(품목마스터!$B$3:$B$202,MATCH($D699,품목마스터!$A$3:$A$202,0)),"미등록품번"))</f>
        <v/>
      </c>
      <c r="F699" s="12" t="str">
        <f aca="false">IF($D699="","",IFERROR(INDEX(품목마스터!$D$3:$D$202,MATCH($D699,품목마스터!$A$3:$A$202,0)),""))</f>
        <v/>
      </c>
      <c r="G699" s="9"/>
      <c r="H699" s="9"/>
      <c r="I699" s="9"/>
      <c r="J699" s="7"/>
      <c r="K699" s="13" t="str">
        <f aca="false">IF(OR($G699="",$I699=""),"",ROUND($G699*$I699,0))</f>
        <v/>
      </c>
      <c r="L699" s="13" t="str">
        <f aca="false">IF($D699="","",IF($G699="",0,$G699)+IF($H699="",0,$H699))</f>
        <v/>
      </c>
      <c r="M699" s="7"/>
    </row>
    <row r="700" customFormat="false" ht="15" hidden="false" customHeight="true" outlineLevel="0" collapsed="false">
      <c r="A700" s="11"/>
      <c r="B700" s="7"/>
      <c r="C700" s="12" t="str">
        <f aca="false">IF($B700="","",IFERROR(INDEX(거래처마스터!$B$3:$B$102,MATCH($B700,거래처마스터!$A$3:$A$102,0)),"미등록"))</f>
        <v/>
      </c>
      <c r="D700" s="7"/>
      <c r="E700" s="12" t="str">
        <f aca="false">IF($D700="","",IFERROR(INDEX(품목마스터!$B$3:$B$202,MATCH($D700,품목마스터!$A$3:$A$202,0)),"미등록품번"))</f>
        <v/>
      </c>
      <c r="F700" s="12" t="str">
        <f aca="false">IF($D700="","",IFERROR(INDEX(품목마스터!$D$3:$D$202,MATCH($D700,품목마스터!$A$3:$A$202,0)),""))</f>
        <v/>
      </c>
      <c r="G700" s="9"/>
      <c r="H700" s="9"/>
      <c r="I700" s="9"/>
      <c r="J700" s="7"/>
      <c r="K700" s="13" t="str">
        <f aca="false">IF(OR($G700="",$I700=""),"",ROUND($G700*$I700,0))</f>
        <v/>
      </c>
      <c r="L700" s="13" t="str">
        <f aca="false">IF($D700="","",IF($G700="",0,$G700)+IF($H700="",0,$H700))</f>
        <v/>
      </c>
      <c r="M700" s="7"/>
    </row>
    <row r="701" customFormat="false" ht="15" hidden="false" customHeight="true" outlineLevel="0" collapsed="false">
      <c r="A701" s="11"/>
      <c r="B701" s="7"/>
      <c r="C701" s="12" t="str">
        <f aca="false">IF($B701="","",IFERROR(INDEX(거래처마스터!$B$3:$B$102,MATCH($B701,거래처마스터!$A$3:$A$102,0)),"미등록"))</f>
        <v/>
      </c>
      <c r="D701" s="7"/>
      <c r="E701" s="12" t="str">
        <f aca="false">IF($D701="","",IFERROR(INDEX(품목마스터!$B$3:$B$202,MATCH($D701,품목마스터!$A$3:$A$202,0)),"미등록품번"))</f>
        <v/>
      </c>
      <c r="F701" s="12" t="str">
        <f aca="false">IF($D701="","",IFERROR(INDEX(품목마스터!$D$3:$D$202,MATCH($D701,품목마스터!$A$3:$A$202,0)),""))</f>
        <v/>
      </c>
      <c r="G701" s="9"/>
      <c r="H701" s="9"/>
      <c r="I701" s="9"/>
      <c r="J701" s="7"/>
      <c r="K701" s="13" t="str">
        <f aca="false">IF(OR($G701="",$I701=""),"",ROUND($G701*$I701,0))</f>
        <v/>
      </c>
      <c r="L701" s="13" t="str">
        <f aca="false">IF($D701="","",IF($G701="",0,$G701)+IF($H701="",0,$H701))</f>
        <v/>
      </c>
      <c r="M701" s="7"/>
    </row>
    <row r="702" customFormat="false" ht="15" hidden="false" customHeight="true" outlineLevel="0" collapsed="false">
      <c r="A702" s="11"/>
      <c r="B702" s="7"/>
      <c r="C702" s="12" t="str">
        <f aca="false">IF($B702="","",IFERROR(INDEX(거래처마스터!$B$3:$B$102,MATCH($B702,거래처마스터!$A$3:$A$102,0)),"미등록"))</f>
        <v/>
      </c>
      <c r="D702" s="7"/>
      <c r="E702" s="12" t="str">
        <f aca="false">IF($D702="","",IFERROR(INDEX(품목마스터!$B$3:$B$202,MATCH($D702,품목마스터!$A$3:$A$202,0)),"미등록품번"))</f>
        <v/>
      </c>
      <c r="F702" s="12" t="str">
        <f aca="false">IF($D702="","",IFERROR(INDEX(품목마스터!$D$3:$D$202,MATCH($D702,품목마스터!$A$3:$A$202,0)),""))</f>
        <v/>
      </c>
      <c r="G702" s="9"/>
      <c r="H702" s="9"/>
      <c r="I702" s="9"/>
      <c r="J702" s="7"/>
      <c r="K702" s="13" t="str">
        <f aca="false">IF(OR($G702="",$I702=""),"",ROUND($G702*$I702,0))</f>
        <v/>
      </c>
      <c r="L702" s="13" t="str">
        <f aca="false">IF($D702="","",IF($G702="",0,$G702)+IF($H702="",0,$H702))</f>
        <v/>
      </c>
      <c r="M702" s="7"/>
    </row>
    <row r="703" customFormat="false" ht="15" hidden="false" customHeight="true" outlineLevel="0" collapsed="false">
      <c r="A703" s="11"/>
      <c r="B703" s="7"/>
      <c r="C703" s="12" t="str">
        <f aca="false">IF($B703="","",IFERROR(INDEX(거래처마스터!$B$3:$B$102,MATCH($B703,거래처마스터!$A$3:$A$102,0)),"미등록"))</f>
        <v/>
      </c>
      <c r="D703" s="7"/>
      <c r="E703" s="12" t="str">
        <f aca="false">IF($D703="","",IFERROR(INDEX(품목마스터!$B$3:$B$202,MATCH($D703,품목마스터!$A$3:$A$202,0)),"미등록품번"))</f>
        <v/>
      </c>
      <c r="F703" s="12" t="str">
        <f aca="false">IF($D703="","",IFERROR(INDEX(품목마스터!$D$3:$D$202,MATCH($D703,품목마스터!$A$3:$A$202,0)),""))</f>
        <v/>
      </c>
      <c r="G703" s="9"/>
      <c r="H703" s="9"/>
      <c r="I703" s="9"/>
      <c r="J703" s="7"/>
      <c r="K703" s="13" t="str">
        <f aca="false">IF(OR($G703="",$I703=""),"",ROUND($G703*$I703,0))</f>
        <v/>
      </c>
      <c r="L703" s="13" t="str">
        <f aca="false">IF($D703="","",IF($G703="",0,$G703)+IF($H703="",0,$H703))</f>
        <v/>
      </c>
      <c r="M703" s="7"/>
    </row>
    <row r="704" customFormat="false" ht="15" hidden="false" customHeight="true" outlineLevel="0" collapsed="false">
      <c r="A704" s="11"/>
      <c r="B704" s="7"/>
      <c r="C704" s="12" t="str">
        <f aca="false">IF($B704="","",IFERROR(INDEX(거래처마스터!$B$3:$B$102,MATCH($B704,거래처마스터!$A$3:$A$102,0)),"미등록"))</f>
        <v/>
      </c>
      <c r="D704" s="7"/>
      <c r="E704" s="12" t="str">
        <f aca="false">IF($D704="","",IFERROR(INDEX(품목마스터!$B$3:$B$202,MATCH($D704,품목마스터!$A$3:$A$202,0)),"미등록품번"))</f>
        <v/>
      </c>
      <c r="F704" s="12" t="str">
        <f aca="false">IF($D704="","",IFERROR(INDEX(품목마스터!$D$3:$D$202,MATCH($D704,품목마스터!$A$3:$A$202,0)),""))</f>
        <v/>
      </c>
      <c r="G704" s="9"/>
      <c r="H704" s="9"/>
      <c r="I704" s="9"/>
      <c r="J704" s="7"/>
      <c r="K704" s="13" t="str">
        <f aca="false">IF(OR($G704="",$I704=""),"",ROUND($G704*$I704,0))</f>
        <v/>
      </c>
      <c r="L704" s="13" t="str">
        <f aca="false">IF($D704="","",IF($G704="",0,$G704)+IF($H704="",0,$H704))</f>
        <v/>
      </c>
      <c r="M704" s="7"/>
    </row>
    <row r="705" customFormat="false" ht="15" hidden="false" customHeight="true" outlineLevel="0" collapsed="false">
      <c r="A705" s="11"/>
      <c r="B705" s="7"/>
      <c r="C705" s="12" t="str">
        <f aca="false">IF($B705="","",IFERROR(INDEX(거래처마스터!$B$3:$B$102,MATCH($B705,거래처마스터!$A$3:$A$102,0)),"미등록"))</f>
        <v/>
      </c>
      <c r="D705" s="7"/>
      <c r="E705" s="12" t="str">
        <f aca="false">IF($D705="","",IFERROR(INDEX(품목마스터!$B$3:$B$202,MATCH($D705,품목마스터!$A$3:$A$202,0)),"미등록품번"))</f>
        <v/>
      </c>
      <c r="F705" s="12" t="str">
        <f aca="false">IF($D705="","",IFERROR(INDEX(품목마스터!$D$3:$D$202,MATCH($D705,품목마스터!$A$3:$A$202,0)),""))</f>
        <v/>
      </c>
      <c r="G705" s="9"/>
      <c r="H705" s="9"/>
      <c r="I705" s="9"/>
      <c r="J705" s="7"/>
      <c r="K705" s="13" t="str">
        <f aca="false">IF(OR($G705="",$I705=""),"",ROUND($G705*$I705,0))</f>
        <v/>
      </c>
      <c r="L705" s="13" t="str">
        <f aca="false">IF($D705="","",IF($G705="",0,$G705)+IF($H705="",0,$H705))</f>
        <v/>
      </c>
      <c r="M705" s="7"/>
    </row>
    <row r="706" customFormat="false" ht="15" hidden="false" customHeight="true" outlineLevel="0" collapsed="false">
      <c r="A706" s="11"/>
      <c r="B706" s="7"/>
      <c r="C706" s="12" t="str">
        <f aca="false">IF($B706="","",IFERROR(INDEX(거래처마스터!$B$3:$B$102,MATCH($B706,거래처마스터!$A$3:$A$102,0)),"미등록"))</f>
        <v/>
      </c>
      <c r="D706" s="7"/>
      <c r="E706" s="12" t="str">
        <f aca="false">IF($D706="","",IFERROR(INDEX(품목마스터!$B$3:$B$202,MATCH($D706,품목마스터!$A$3:$A$202,0)),"미등록품번"))</f>
        <v/>
      </c>
      <c r="F706" s="12" t="str">
        <f aca="false">IF($D706="","",IFERROR(INDEX(품목마스터!$D$3:$D$202,MATCH($D706,품목마스터!$A$3:$A$202,0)),""))</f>
        <v/>
      </c>
      <c r="G706" s="9"/>
      <c r="H706" s="9"/>
      <c r="I706" s="9"/>
      <c r="J706" s="7"/>
      <c r="K706" s="13" t="str">
        <f aca="false">IF(OR($G706="",$I706=""),"",ROUND($G706*$I706,0))</f>
        <v/>
      </c>
      <c r="L706" s="13" t="str">
        <f aca="false">IF($D706="","",IF($G706="",0,$G706)+IF($H706="",0,$H706))</f>
        <v/>
      </c>
      <c r="M706" s="7"/>
    </row>
    <row r="707" customFormat="false" ht="15" hidden="false" customHeight="true" outlineLevel="0" collapsed="false">
      <c r="A707" s="11"/>
      <c r="B707" s="7"/>
      <c r="C707" s="12" t="str">
        <f aca="false">IF($B707="","",IFERROR(INDEX(거래처마스터!$B$3:$B$102,MATCH($B707,거래처마스터!$A$3:$A$102,0)),"미등록"))</f>
        <v/>
      </c>
      <c r="D707" s="7"/>
      <c r="E707" s="12" t="str">
        <f aca="false">IF($D707="","",IFERROR(INDEX(품목마스터!$B$3:$B$202,MATCH($D707,품목마스터!$A$3:$A$202,0)),"미등록품번"))</f>
        <v/>
      </c>
      <c r="F707" s="12" t="str">
        <f aca="false">IF($D707="","",IFERROR(INDEX(품목마스터!$D$3:$D$202,MATCH($D707,품목마스터!$A$3:$A$202,0)),""))</f>
        <v/>
      </c>
      <c r="G707" s="9"/>
      <c r="H707" s="9"/>
      <c r="I707" s="9"/>
      <c r="J707" s="7"/>
      <c r="K707" s="13" t="str">
        <f aca="false">IF(OR($G707="",$I707=""),"",ROUND($G707*$I707,0))</f>
        <v/>
      </c>
      <c r="L707" s="13" t="str">
        <f aca="false">IF($D707="","",IF($G707="",0,$G707)+IF($H707="",0,$H707))</f>
        <v/>
      </c>
      <c r="M707" s="7"/>
    </row>
    <row r="708" customFormat="false" ht="15" hidden="false" customHeight="true" outlineLevel="0" collapsed="false">
      <c r="A708" s="11"/>
      <c r="B708" s="7"/>
      <c r="C708" s="12" t="str">
        <f aca="false">IF($B708="","",IFERROR(INDEX(거래처마스터!$B$3:$B$102,MATCH($B708,거래처마스터!$A$3:$A$102,0)),"미등록"))</f>
        <v/>
      </c>
      <c r="D708" s="7"/>
      <c r="E708" s="12" t="str">
        <f aca="false">IF($D708="","",IFERROR(INDEX(품목마스터!$B$3:$B$202,MATCH($D708,품목마스터!$A$3:$A$202,0)),"미등록품번"))</f>
        <v/>
      </c>
      <c r="F708" s="12" t="str">
        <f aca="false">IF($D708="","",IFERROR(INDEX(품목마스터!$D$3:$D$202,MATCH($D708,품목마스터!$A$3:$A$202,0)),""))</f>
        <v/>
      </c>
      <c r="G708" s="9"/>
      <c r="H708" s="9"/>
      <c r="I708" s="9"/>
      <c r="J708" s="7"/>
      <c r="K708" s="13" t="str">
        <f aca="false">IF(OR($G708="",$I708=""),"",ROUND($G708*$I708,0))</f>
        <v/>
      </c>
      <c r="L708" s="13" t="str">
        <f aca="false">IF($D708="","",IF($G708="",0,$G708)+IF($H708="",0,$H708))</f>
        <v/>
      </c>
      <c r="M708" s="7"/>
    </row>
    <row r="709" customFormat="false" ht="15" hidden="false" customHeight="true" outlineLevel="0" collapsed="false">
      <c r="A709" s="11"/>
      <c r="B709" s="7"/>
      <c r="C709" s="12" t="str">
        <f aca="false">IF($B709="","",IFERROR(INDEX(거래처마스터!$B$3:$B$102,MATCH($B709,거래처마스터!$A$3:$A$102,0)),"미등록"))</f>
        <v/>
      </c>
      <c r="D709" s="7"/>
      <c r="E709" s="12" t="str">
        <f aca="false">IF($D709="","",IFERROR(INDEX(품목마스터!$B$3:$B$202,MATCH($D709,품목마스터!$A$3:$A$202,0)),"미등록품번"))</f>
        <v/>
      </c>
      <c r="F709" s="12" t="str">
        <f aca="false">IF($D709="","",IFERROR(INDEX(품목마스터!$D$3:$D$202,MATCH($D709,품목마스터!$A$3:$A$202,0)),""))</f>
        <v/>
      </c>
      <c r="G709" s="9"/>
      <c r="H709" s="9"/>
      <c r="I709" s="9"/>
      <c r="J709" s="7"/>
      <c r="K709" s="13" t="str">
        <f aca="false">IF(OR($G709="",$I709=""),"",ROUND($G709*$I709,0))</f>
        <v/>
      </c>
      <c r="L709" s="13" t="str">
        <f aca="false">IF($D709="","",IF($G709="",0,$G709)+IF($H709="",0,$H709))</f>
        <v/>
      </c>
      <c r="M709" s="7"/>
    </row>
    <row r="710" customFormat="false" ht="15" hidden="false" customHeight="true" outlineLevel="0" collapsed="false">
      <c r="A710" s="11"/>
      <c r="B710" s="7"/>
      <c r="C710" s="12" t="str">
        <f aca="false">IF($B710="","",IFERROR(INDEX(거래처마스터!$B$3:$B$102,MATCH($B710,거래처마스터!$A$3:$A$102,0)),"미등록"))</f>
        <v/>
      </c>
      <c r="D710" s="7"/>
      <c r="E710" s="12" t="str">
        <f aca="false">IF($D710="","",IFERROR(INDEX(품목마스터!$B$3:$B$202,MATCH($D710,품목마스터!$A$3:$A$202,0)),"미등록품번"))</f>
        <v/>
      </c>
      <c r="F710" s="12" t="str">
        <f aca="false">IF($D710="","",IFERROR(INDEX(품목마스터!$D$3:$D$202,MATCH($D710,품목마스터!$A$3:$A$202,0)),""))</f>
        <v/>
      </c>
      <c r="G710" s="9"/>
      <c r="H710" s="9"/>
      <c r="I710" s="9"/>
      <c r="J710" s="7"/>
      <c r="K710" s="13" t="str">
        <f aca="false">IF(OR($G710="",$I710=""),"",ROUND($G710*$I710,0))</f>
        <v/>
      </c>
      <c r="L710" s="13" t="str">
        <f aca="false">IF($D710="","",IF($G710="",0,$G710)+IF($H710="",0,$H710))</f>
        <v/>
      </c>
      <c r="M710" s="7"/>
    </row>
    <row r="711" customFormat="false" ht="15" hidden="false" customHeight="true" outlineLevel="0" collapsed="false">
      <c r="A711" s="11"/>
      <c r="B711" s="7"/>
      <c r="C711" s="12" t="str">
        <f aca="false">IF($B711="","",IFERROR(INDEX(거래처마스터!$B$3:$B$102,MATCH($B711,거래처마스터!$A$3:$A$102,0)),"미등록"))</f>
        <v/>
      </c>
      <c r="D711" s="7"/>
      <c r="E711" s="12" t="str">
        <f aca="false">IF($D711="","",IFERROR(INDEX(품목마스터!$B$3:$B$202,MATCH($D711,품목마스터!$A$3:$A$202,0)),"미등록품번"))</f>
        <v/>
      </c>
      <c r="F711" s="12" t="str">
        <f aca="false">IF($D711="","",IFERROR(INDEX(품목마스터!$D$3:$D$202,MATCH($D711,품목마스터!$A$3:$A$202,0)),""))</f>
        <v/>
      </c>
      <c r="G711" s="9"/>
      <c r="H711" s="9"/>
      <c r="I711" s="9"/>
      <c r="J711" s="7"/>
      <c r="K711" s="13" t="str">
        <f aca="false">IF(OR($G711="",$I711=""),"",ROUND($G711*$I711,0))</f>
        <v/>
      </c>
      <c r="L711" s="13" t="str">
        <f aca="false">IF($D711="","",IF($G711="",0,$G711)+IF($H711="",0,$H711))</f>
        <v/>
      </c>
      <c r="M711" s="7"/>
    </row>
    <row r="712" customFormat="false" ht="15" hidden="false" customHeight="true" outlineLevel="0" collapsed="false">
      <c r="A712" s="11"/>
      <c r="B712" s="7"/>
      <c r="C712" s="12" t="str">
        <f aca="false">IF($B712="","",IFERROR(INDEX(거래처마스터!$B$3:$B$102,MATCH($B712,거래처마스터!$A$3:$A$102,0)),"미등록"))</f>
        <v/>
      </c>
      <c r="D712" s="7"/>
      <c r="E712" s="12" t="str">
        <f aca="false">IF($D712="","",IFERROR(INDEX(품목마스터!$B$3:$B$202,MATCH($D712,품목마스터!$A$3:$A$202,0)),"미등록품번"))</f>
        <v/>
      </c>
      <c r="F712" s="12" t="str">
        <f aca="false">IF($D712="","",IFERROR(INDEX(품목마스터!$D$3:$D$202,MATCH($D712,품목마스터!$A$3:$A$202,0)),""))</f>
        <v/>
      </c>
      <c r="G712" s="9"/>
      <c r="H712" s="9"/>
      <c r="I712" s="9"/>
      <c r="J712" s="7"/>
      <c r="K712" s="13" t="str">
        <f aca="false">IF(OR($G712="",$I712=""),"",ROUND($G712*$I712,0))</f>
        <v/>
      </c>
      <c r="L712" s="13" t="str">
        <f aca="false">IF($D712="","",IF($G712="",0,$G712)+IF($H712="",0,$H712))</f>
        <v/>
      </c>
      <c r="M712" s="7"/>
    </row>
    <row r="713" customFormat="false" ht="15" hidden="false" customHeight="true" outlineLevel="0" collapsed="false">
      <c r="A713" s="11"/>
      <c r="B713" s="7"/>
      <c r="C713" s="12" t="str">
        <f aca="false">IF($B713="","",IFERROR(INDEX(거래처마스터!$B$3:$B$102,MATCH($B713,거래처마스터!$A$3:$A$102,0)),"미등록"))</f>
        <v/>
      </c>
      <c r="D713" s="7"/>
      <c r="E713" s="12" t="str">
        <f aca="false">IF($D713="","",IFERROR(INDEX(품목마스터!$B$3:$B$202,MATCH($D713,품목마스터!$A$3:$A$202,0)),"미등록품번"))</f>
        <v/>
      </c>
      <c r="F713" s="12" t="str">
        <f aca="false">IF($D713="","",IFERROR(INDEX(품목마스터!$D$3:$D$202,MATCH($D713,품목마스터!$A$3:$A$202,0)),""))</f>
        <v/>
      </c>
      <c r="G713" s="9"/>
      <c r="H713" s="9"/>
      <c r="I713" s="9"/>
      <c r="J713" s="7"/>
      <c r="K713" s="13" t="str">
        <f aca="false">IF(OR($G713="",$I713=""),"",ROUND($G713*$I713,0))</f>
        <v/>
      </c>
      <c r="L713" s="13" t="str">
        <f aca="false">IF($D713="","",IF($G713="",0,$G713)+IF($H713="",0,$H713))</f>
        <v/>
      </c>
      <c r="M713" s="7"/>
    </row>
    <row r="714" customFormat="false" ht="15" hidden="false" customHeight="true" outlineLevel="0" collapsed="false">
      <c r="A714" s="11"/>
      <c r="B714" s="7"/>
      <c r="C714" s="12" t="str">
        <f aca="false">IF($B714="","",IFERROR(INDEX(거래처마스터!$B$3:$B$102,MATCH($B714,거래처마스터!$A$3:$A$102,0)),"미등록"))</f>
        <v/>
      </c>
      <c r="D714" s="7"/>
      <c r="E714" s="12" t="str">
        <f aca="false">IF($D714="","",IFERROR(INDEX(품목마스터!$B$3:$B$202,MATCH($D714,품목마스터!$A$3:$A$202,0)),"미등록품번"))</f>
        <v/>
      </c>
      <c r="F714" s="12" t="str">
        <f aca="false">IF($D714="","",IFERROR(INDEX(품목마스터!$D$3:$D$202,MATCH($D714,품목마스터!$A$3:$A$202,0)),""))</f>
        <v/>
      </c>
      <c r="G714" s="9"/>
      <c r="H714" s="9"/>
      <c r="I714" s="9"/>
      <c r="J714" s="7"/>
      <c r="K714" s="13" t="str">
        <f aca="false">IF(OR($G714="",$I714=""),"",ROUND($G714*$I714,0))</f>
        <v/>
      </c>
      <c r="L714" s="13" t="str">
        <f aca="false">IF($D714="","",IF($G714="",0,$G714)+IF($H714="",0,$H714))</f>
        <v/>
      </c>
      <c r="M714" s="7"/>
    </row>
    <row r="715" customFormat="false" ht="15" hidden="false" customHeight="true" outlineLevel="0" collapsed="false">
      <c r="A715" s="11"/>
      <c r="B715" s="7"/>
      <c r="C715" s="12" t="str">
        <f aca="false">IF($B715="","",IFERROR(INDEX(거래처마스터!$B$3:$B$102,MATCH($B715,거래처마스터!$A$3:$A$102,0)),"미등록"))</f>
        <v/>
      </c>
      <c r="D715" s="7"/>
      <c r="E715" s="12" t="str">
        <f aca="false">IF($D715="","",IFERROR(INDEX(품목마스터!$B$3:$B$202,MATCH($D715,품목마스터!$A$3:$A$202,0)),"미등록품번"))</f>
        <v/>
      </c>
      <c r="F715" s="12" t="str">
        <f aca="false">IF($D715="","",IFERROR(INDEX(품목마스터!$D$3:$D$202,MATCH($D715,품목마스터!$A$3:$A$202,0)),""))</f>
        <v/>
      </c>
      <c r="G715" s="9"/>
      <c r="H715" s="9"/>
      <c r="I715" s="9"/>
      <c r="J715" s="7"/>
      <c r="K715" s="13" t="str">
        <f aca="false">IF(OR($G715="",$I715=""),"",ROUND($G715*$I715,0))</f>
        <v/>
      </c>
      <c r="L715" s="13" t="str">
        <f aca="false">IF($D715="","",IF($G715="",0,$G715)+IF($H715="",0,$H715))</f>
        <v/>
      </c>
      <c r="M715" s="7"/>
    </row>
    <row r="716" customFormat="false" ht="15" hidden="false" customHeight="true" outlineLevel="0" collapsed="false">
      <c r="A716" s="11"/>
      <c r="B716" s="7"/>
      <c r="C716" s="12" t="str">
        <f aca="false">IF($B716="","",IFERROR(INDEX(거래처마스터!$B$3:$B$102,MATCH($B716,거래처마스터!$A$3:$A$102,0)),"미등록"))</f>
        <v/>
      </c>
      <c r="D716" s="7"/>
      <c r="E716" s="12" t="str">
        <f aca="false">IF($D716="","",IFERROR(INDEX(품목마스터!$B$3:$B$202,MATCH($D716,품목마스터!$A$3:$A$202,0)),"미등록품번"))</f>
        <v/>
      </c>
      <c r="F716" s="12" t="str">
        <f aca="false">IF($D716="","",IFERROR(INDEX(품목마스터!$D$3:$D$202,MATCH($D716,품목마스터!$A$3:$A$202,0)),""))</f>
        <v/>
      </c>
      <c r="G716" s="9"/>
      <c r="H716" s="9"/>
      <c r="I716" s="9"/>
      <c r="J716" s="7"/>
      <c r="K716" s="13" t="str">
        <f aca="false">IF(OR($G716="",$I716=""),"",ROUND($G716*$I716,0))</f>
        <v/>
      </c>
      <c r="L716" s="13" t="str">
        <f aca="false">IF($D716="","",IF($G716="",0,$G716)+IF($H716="",0,$H716))</f>
        <v/>
      </c>
      <c r="M716" s="7"/>
    </row>
    <row r="717" customFormat="false" ht="15" hidden="false" customHeight="true" outlineLevel="0" collapsed="false">
      <c r="A717" s="11"/>
      <c r="B717" s="7"/>
      <c r="C717" s="12" t="str">
        <f aca="false">IF($B717="","",IFERROR(INDEX(거래처마스터!$B$3:$B$102,MATCH($B717,거래처마스터!$A$3:$A$102,0)),"미등록"))</f>
        <v/>
      </c>
      <c r="D717" s="7"/>
      <c r="E717" s="12" t="str">
        <f aca="false">IF($D717="","",IFERROR(INDEX(품목마스터!$B$3:$B$202,MATCH($D717,품목마스터!$A$3:$A$202,0)),"미등록품번"))</f>
        <v/>
      </c>
      <c r="F717" s="12" t="str">
        <f aca="false">IF($D717="","",IFERROR(INDEX(품목마스터!$D$3:$D$202,MATCH($D717,품목마스터!$A$3:$A$202,0)),""))</f>
        <v/>
      </c>
      <c r="G717" s="9"/>
      <c r="H717" s="9"/>
      <c r="I717" s="9"/>
      <c r="J717" s="7"/>
      <c r="K717" s="13" t="str">
        <f aca="false">IF(OR($G717="",$I717=""),"",ROUND($G717*$I717,0))</f>
        <v/>
      </c>
      <c r="L717" s="13" t="str">
        <f aca="false">IF($D717="","",IF($G717="",0,$G717)+IF($H717="",0,$H717))</f>
        <v/>
      </c>
      <c r="M717" s="7"/>
    </row>
    <row r="718" customFormat="false" ht="15" hidden="false" customHeight="true" outlineLevel="0" collapsed="false">
      <c r="A718" s="11"/>
      <c r="B718" s="7"/>
      <c r="C718" s="12" t="str">
        <f aca="false">IF($B718="","",IFERROR(INDEX(거래처마스터!$B$3:$B$102,MATCH($B718,거래처마스터!$A$3:$A$102,0)),"미등록"))</f>
        <v/>
      </c>
      <c r="D718" s="7"/>
      <c r="E718" s="12" t="str">
        <f aca="false">IF($D718="","",IFERROR(INDEX(품목마스터!$B$3:$B$202,MATCH($D718,품목마스터!$A$3:$A$202,0)),"미등록품번"))</f>
        <v/>
      </c>
      <c r="F718" s="12" t="str">
        <f aca="false">IF($D718="","",IFERROR(INDEX(품목마스터!$D$3:$D$202,MATCH($D718,품목마스터!$A$3:$A$202,0)),""))</f>
        <v/>
      </c>
      <c r="G718" s="9"/>
      <c r="H718" s="9"/>
      <c r="I718" s="9"/>
      <c r="J718" s="7"/>
      <c r="K718" s="13" t="str">
        <f aca="false">IF(OR($G718="",$I718=""),"",ROUND($G718*$I718,0))</f>
        <v/>
      </c>
      <c r="L718" s="13" t="str">
        <f aca="false">IF($D718="","",IF($G718="",0,$G718)+IF($H718="",0,$H718))</f>
        <v/>
      </c>
      <c r="M718" s="7"/>
    </row>
    <row r="719" customFormat="false" ht="15" hidden="false" customHeight="true" outlineLevel="0" collapsed="false">
      <c r="A719" s="11"/>
      <c r="B719" s="7"/>
      <c r="C719" s="12" t="str">
        <f aca="false">IF($B719="","",IFERROR(INDEX(거래처마스터!$B$3:$B$102,MATCH($B719,거래처마스터!$A$3:$A$102,0)),"미등록"))</f>
        <v/>
      </c>
      <c r="D719" s="7"/>
      <c r="E719" s="12" t="str">
        <f aca="false">IF($D719="","",IFERROR(INDEX(품목마스터!$B$3:$B$202,MATCH($D719,품목마스터!$A$3:$A$202,0)),"미등록품번"))</f>
        <v/>
      </c>
      <c r="F719" s="12" t="str">
        <f aca="false">IF($D719="","",IFERROR(INDEX(품목마스터!$D$3:$D$202,MATCH($D719,품목마스터!$A$3:$A$202,0)),""))</f>
        <v/>
      </c>
      <c r="G719" s="9"/>
      <c r="H719" s="9"/>
      <c r="I719" s="9"/>
      <c r="J719" s="7"/>
      <c r="K719" s="13" t="str">
        <f aca="false">IF(OR($G719="",$I719=""),"",ROUND($G719*$I719,0))</f>
        <v/>
      </c>
      <c r="L719" s="13" t="str">
        <f aca="false">IF($D719="","",IF($G719="",0,$G719)+IF($H719="",0,$H719))</f>
        <v/>
      </c>
      <c r="M719" s="7"/>
    </row>
    <row r="720" customFormat="false" ht="15" hidden="false" customHeight="true" outlineLevel="0" collapsed="false">
      <c r="A720" s="11"/>
      <c r="B720" s="7"/>
      <c r="C720" s="12" t="str">
        <f aca="false">IF($B720="","",IFERROR(INDEX(거래처마스터!$B$3:$B$102,MATCH($B720,거래처마스터!$A$3:$A$102,0)),"미등록"))</f>
        <v/>
      </c>
      <c r="D720" s="7"/>
      <c r="E720" s="12" t="str">
        <f aca="false">IF($D720="","",IFERROR(INDEX(품목마스터!$B$3:$B$202,MATCH($D720,품목마스터!$A$3:$A$202,0)),"미등록품번"))</f>
        <v/>
      </c>
      <c r="F720" s="12" t="str">
        <f aca="false">IF($D720="","",IFERROR(INDEX(품목마스터!$D$3:$D$202,MATCH($D720,품목마스터!$A$3:$A$202,0)),""))</f>
        <v/>
      </c>
      <c r="G720" s="9"/>
      <c r="H720" s="9"/>
      <c r="I720" s="9"/>
      <c r="J720" s="7"/>
      <c r="K720" s="13" t="str">
        <f aca="false">IF(OR($G720="",$I720=""),"",ROUND($G720*$I720,0))</f>
        <v/>
      </c>
      <c r="L720" s="13" t="str">
        <f aca="false">IF($D720="","",IF($G720="",0,$G720)+IF($H720="",0,$H720))</f>
        <v/>
      </c>
      <c r="M720" s="7"/>
    </row>
    <row r="721" customFormat="false" ht="15" hidden="false" customHeight="true" outlineLevel="0" collapsed="false">
      <c r="A721" s="11"/>
      <c r="B721" s="7"/>
      <c r="C721" s="12" t="str">
        <f aca="false">IF($B721="","",IFERROR(INDEX(거래처마스터!$B$3:$B$102,MATCH($B721,거래처마스터!$A$3:$A$102,0)),"미등록"))</f>
        <v/>
      </c>
      <c r="D721" s="7"/>
      <c r="E721" s="12" t="str">
        <f aca="false">IF($D721="","",IFERROR(INDEX(품목마스터!$B$3:$B$202,MATCH($D721,품목마스터!$A$3:$A$202,0)),"미등록품번"))</f>
        <v/>
      </c>
      <c r="F721" s="12" t="str">
        <f aca="false">IF($D721="","",IFERROR(INDEX(품목마스터!$D$3:$D$202,MATCH($D721,품목마스터!$A$3:$A$202,0)),""))</f>
        <v/>
      </c>
      <c r="G721" s="9"/>
      <c r="H721" s="9"/>
      <c r="I721" s="9"/>
      <c r="J721" s="7"/>
      <c r="K721" s="13" t="str">
        <f aca="false">IF(OR($G721="",$I721=""),"",ROUND($G721*$I721,0))</f>
        <v/>
      </c>
      <c r="L721" s="13" t="str">
        <f aca="false">IF($D721="","",IF($G721="",0,$G721)+IF($H721="",0,$H721))</f>
        <v/>
      </c>
      <c r="M721" s="7"/>
    </row>
    <row r="722" customFormat="false" ht="15" hidden="false" customHeight="true" outlineLevel="0" collapsed="false">
      <c r="A722" s="11"/>
      <c r="B722" s="7"/>
      <c r="C722" s="12" t="str">
        <f aca="false">IF($B722="","",IFERROR(INDEX(거래처마스터!$B$3:$B$102,MATCH($B722,거래처마스터!$A$3:$A$102,0)),"미등록"))</f>
        <v/>
      </c>
      <c r="D722" s="7"/>
      <c r="E722" s="12" t="str">
        <f aca="false">IF($D722="","",IFERROR(INDEX(품목마스터!$B$3:$B$202,MATCH($D722,품목마스터!$A$3:$A$202,0)),"미등록품번"))</f>
        <v/>
      </c>
      <c r="F722" s="12" t="str">
        <f aca="false">IF($D722="","",IFERROR(INDEX(품목마스터!$D$3:$D$202,MATCH($D722,품목마스터!$A$3:$A$202,0)),""))</f>
        <v/>
      </c>
      <c r="G722" s="9"/>
      <c r="H722" s="9"/>
      <c r="I722" s="9"/>
      <c r="J722" s="7"/>
      <c r="K722" s="13" t="str">
        <f aca="false">IF(OR($G722="",$I722=""),"",ROUND($G722*$I722,0))</f>
        <v/>
      </c>
      <c r="L722" s="13" t="str">
        <f aca="false">IF($D722="","",IF($G722="",0,$G722)+IF($H722="",0,$H722))</f>
        <v/>
      </c>
      <c r="M722" s="7"/>
    </row>
    <row r="723" customFormat="false" ht="15" hidden="false" customHeight="true" outlineLevel="0" collapsed="false">
      <c r="A723" s="11"/>
      <c r="B723" s="7"/>
      <c r="C723" s="12" t="str">
        <f aca="false">IF($B723="","",IFERROR(INDEX(거래처마스터!$B$3:$B$102,MATCH($B723,거래처마스터!$A$3:$A$102,0)),"미등록"))</f>
        <v/>
      </c>
      <c r="D723" s="7"/>
      <c r="E723" s="12" t="str">
        <f aca="false">IF($D723="","",IFERROR(INDEX(품목마스터!$B$3:$B$202,MATCH($D723,품목마스터!$A$3:$A$202,0)),"미등록품번"))</f>
        <v/>
      </c>
      <c r="F723" s="12" t="str">
        <f aca="false">IF($D723="","",IFERROR(INDEX(품목마스터!$D$3:$D$202,MATCH($D723,품목마스터!$A$3:$A$202,0)),""))</f>
        <v/>
      </c>
      <c r="G723" s="9"/>
      <c r="H723" s="9"/>
      <c r="I723" s="9"/>
      <c r="J723" s="7"/>
      <c r="K723" s="13" t="str">
        <f aca="false">IF(OR($G723="",$I723=""),"",ROUND($G723*$I723,0))</f>
        <v/>
      </c>
      <c r="L723" s="13" t="str">
        <f aca="false">IF($D723="","",IF($G723="",0,$G723)+IF($H723="",0,$H723))</f>
        <v/>
      </c>
      <c r="M723" s="7"/>
    </row>
    <row r="724" customFormat="false" ht="15" hidden="false" customHeight="true" outlineLevel="0" collapsed="false">
      <c r="A724" s="11"/>
      <c r="B724" s="7"/>
      <c r="C724" s="12" t="str">
        <f aca="false">IF($B724="","",IFERROR(INDEX(거래처마스터!$B$3:$B$102,MATCH($B724,거래처마스터!$A$3:$A$102,0)),"미등록"))</f>
        <v/>
      </c>
      <c r="D724" s="7"/>
      <c r="E724" s="12" t="str">
        <f aca="false">IF($D724="","",IFERROR(INDEX(품목마스터!$B$3:$B$202,MATCH($D724,품목마스터!$A$3:$A$202,0)),"미등록품번"))</f>
        <v/>
      </c>
      <c r="F724" s="12" t="str">
        <f aca="false">IF($D724="","",IFERROR(INDEX(품목마스터!$D$3:$D$202,MATCH($D724,품목마스터!$A$3:$A$202,0)),""))</f>
        <v/>
      </c>
      <c r="G724" s="9"/>
      <c r="H724" s="9"/>
      <c r="I724" s="9"/>
      <c r="J724" s="7"/>
      <c r="K724" s="13" t="str">
        <f aca="false">IF(OR($G724="",$I724=""),"",ROUND($G724*$I724,0))</f>
        <v/>
      </c>
      <c r="L724" s="13" t="str">
        <f aca="false">IF($D724="","",IF($G724="",0,$G724)+IF($H724="",0,$H724))</f>
        <v/>
      </c>
      <c r="M724" s="7"/>
    </row>
    <row r="725" customFormat="false" ht="15" hidden="false" customHeight="true" outlineLevel="0" collapsed="false">
      <c r="A725" s="11"/>
      <c r="B725" s="7"/>
      <c r="C725" s="12" t="str">
        <f aca="false">IF($B725="","",IFERROR(INDEX(거래처마스터!$B$3:$B$102,MATCH($B725,거래처마스터!$A$3:$A$102,0)),"미등록"))</f>
        <v/>
      </c>
      <c r="D725" s="7"/>
      <c r="E725" s="12" t="str">
        <f aca="false">IF($D725="","",IFERROR(INDEX(품목마스터!$B$3:$B$202,MATCH($D725,품목마스터!$A$3:$A$202,0)),"미등록품번"))</f>
        <v/>
      </c>
      <c r="F725" s="12" t="str">
        <f aca="false">IF($D725="","",IFERROR(INDEX(품목마스터!$D$3:$D$202,MATCH($D725,품목마스터!$A$3:$A$202,0)),""))</f>
        <v/>
      </c>
      <c r="G725" s="9"/>
      <c r="H725" s="9"/>
      <c r="I725" s="9"/>
      <c r="J725" s="7"/>
      <c r="K725" s="13" t="str">
        <f aca="false">IF(OR($G725="",$I725=""),"",ROUND($G725*$I725,0))</f>
        <v/>
      </c>
      <c r="L725" s="13" t="str">
        <f aca="false">IF($D725="","",IF($G725="",0,$G725)+IF($H725="",0,$H725))</f>
        <v/>
      </c>
      <c r="M725" s="7"/>
    </row>
    <row r="726" customFormat="false" ht="15" hidden="false" customHeight="true" outlineLevel="0" collapsed="false">
      <c r="A726" s="11"/>
      <c r="B726" s="7"/>
      <c r="C726" s="12" t="str">
        <f aca="false">IF($B726="","",IFERROR(INDEX(거래처마스터!$B$3:$B$102,MATCH($B726,거래처마스터!$A$3:$A$102,0)),"미등록"))</f>
        <v/>
      </c>
      <c r="D726" s="7"/>
      <c r="E726" s="12" t="str">
        <f aca="false">IF($D726="","",IFERROR(INDEX(품목마스터!$B$3:$B$202,MATCH($D726,품목마스터!$A$3:$A$202,0)),"미등록품번"))</f>
        <v/>
      </c>
      <c r="F726" s="12" t="str">
        <f aca="false">IF($D726="","",IFERROR(INDEX(품목마스터!$D$3:$D$202,MATCH($D726,품목마스터!$A$3:$A$202,0)),""))</f>
        <v/>
      </c>
      <c r="G726" s="9"/>
      <c r="H726" s="9"/>
      <c r="I726" s="9"/>
      <c r="J726" s="7"/>
      <c r="K726" s="13" t="str">
        <f aca="false">IF(OR($G726="",$I726=""),"",ROUND($G726*$I726,0))</f>
        <v/>
      </c>
      <c r="L726" s="13" t="str">
        <f aca="false">IF($D726="","",IF($G726="",0,$G726)+IF($H726="",0,$H726))</f>
        <v/>
      </c>
      <c r="M726" s="7"/>
    </row>
    <row r="727" customFormat="false" ht="15" hidden="false" customHeight="true" outlineLevel="0" collapsed="false">
      <c r="A727" s="11"/>
      <c r="B727" s="7"/>
      <c r="C727" s="12" t="str">
        <f aca="false">IF($B727="","",IFERROR(INDEX(거래처마스터!$B$3:$B$102,MATCH($B727,거래처마스터!$A$3:$A$102,0)),"미등록"))</f>
        <v/>
      </c>
      <c r="D727" s="7"/>
      <c r="E727" s="12" t="str">
        <f aca="false">IF($D727="","",IFERROR(INDEX(품목마스터!$B$3:$B$202,MATCH($D727,품목마스터!$A$3:$A$202,0)),"미등록품번"))</f>
        <v/>
      </c>
      <c r="F727" s="12" t="str">
        <f aca="false">IF($D727="","",IFERROR(INDEX(품목마스터!$D$3:$D$202,MATCH($D727,품목마스터!$A$3:$A$202,0)),""))</f>
        <v/>
      </c>
      <c r="G727" s="9"/>
      <c r="H727" s="9"/>
      <c r="I727" s="9"/>
      <c r="J727" s="7"/>
      <c r="K727" s="13" t="str">
        <f aca="false">IF(OR($G727="",$I727=""),"",ROUND($G727*$I727,0))</f>
        <v/>
      </c>
      <c r="L727" s="13" t="str">
        <f aca="false">IF($D727="","",IF($G727="",0,$G727)+IF($H727="",0,$H727))</f>
        <v/>
      </c>
      <c r="M727" s="7"/>
    </row>
    <row r="728" customFormat="false" ht="15" hidden="false" customHeight="true" outlineLevel="0" collapsed="false">
      <c r="A728" s="11"/>
      <c r="B728" s="7"/>
      <c r="C728" s="12" t="str">
        <f aca="false">IF($B728="","",IFERROR(INDEX(거래처마스터!$B$3:$B$102,MATCH($B728,거래처마스터!$A$3:$A$102,0)),"미등록"))</f>
        <v/>
      </c>
      <c r="D728" s="7"/>
      <c r="E728" s="12" t="str">
        <f aca="false">IF($D728="","",IFERROR(INDEX(품목마스터!$B$3:$B$202,MATCH($D728,품목마스터!$A$3:$A$202,0)),"미등록품번"))</f>
        <v/>
      </c>
      <c r="F728" s="12" t="str">
        <f aca="false">IF($D728="","",IFERROR(INDEX(품목마스터!$D$3:$D$202,MATCH($D728,품목마스터!$A$3:$A$202,0)),""))</f>
        <v/>
      </c>
      <c r="G728" s="9"/>
      <c r="H728" s="9"/>
      <c r="I728" s="9"/>
      <c r="J728" s="7"/>
      <c r="K728" s="13" t="str">
        <f aca="false">IF(OR($G728="",$I728=""),"",ROUND($G728*$I728,0))</f>
        <v/>
      </c>
      <c r="L728" s="13" t="str">
        <f aca="false">IF($D728="","",IF($G728="",0,$G728)+IF($H728="",0,$H728))</f>
        <v/>
      </c>
      <c r="M728" s="7"/>
    </row>
    <row r="729" customFormat="false" ht="15" hidden="false" customHeight="true" outlineLevel="0" collapsed="false">
      <c r="A729" s="11"/>
      <c r="B729" s="7"/>
      <c r="C729" s="12" t="str">
        <f aca="false">IF($B729="","",IFERROR(INDEX(거래처마스터!$B$3:$B$102,MATCH($B729,거래처마스터!$A$3:$A$102,0)),"미등록"))</f>
        <v/>
      </c>
      <c r="D729" s="7"/>
      <c r="E729" s="12" t="str">
        <f aca="false">IF($D729="","",IFERROR(INDEX(품목마스터!$B$3:$B$202,MATCH($D729,품목마스터!$A$3:$A$202,0)),"미등록품번"))</f>
        <v/>
      </c>
      <c r="F729" s="12" t="str">
        <f aca="false">IF($D729="","",IFERROR(INDEX(품목마스터!$D$3:$D$202,MATCH($D729,품목마스터!$A$3:$A$202,0)),""))</f>
        <v/>
      </c>
      <c r="G729" s="9"/>
      <c r="H729" s="9"/>
      <c r="I729" s="9"/>
      <c r="J729" s="7"/>
      <c r="K729" s="13" t="str">
        <f aca="false">IF(OR($G729="",$I729=""),"",ROUND($G729*$I729,0))</f>
        <v/>
      </c>
      <c r="L729" s="13" t="str">
        <f aca="false">IF($D729="","",IF($G729="",0,$G729)+IF($H729="",0,$H729))</f>
        <v/>
      </c>
      <c r="M729" s="7"/>
    </row>
    <row r="730" customFormat="false" ht="15" hidden="false" customHeight="true" outlineLevel="0" collapsed="false">
      <c r="A730" s="11"/>
      <c r="B730" s="7"/>
      <c r="C730" s="12" t="str">
        <f aca="false">IF($B730="","",IFERROR(INDEX(거래처마스터!$B$3:$B$102,MATCH($B730,거래처마스터!$A$3:$A$102,0)),"미등록"))</f>
        <v/>
      </c>
      <c r="D730" s="7"/>
      <c r="E730" s="12" t="str">
        <f aca="false">IF($D730="","",IFERROR(INDEX(품목마스터!$B$3:$B$202,MATCH($D730,품목마스터!$A$3:$A$202,0)),"미등록품번"))</f>
        <v/>
      </c>
      <c r="F730" s="12" t="str">
        <f aca="false">IF($D730="","",IFERROR(INDEX(품목마스터!$D$3:$D$202,MATCH($D730,품목마스터!$A$3:$A$202,0)),""))</f>
        <v/>
      </c>
      <c r="G730" s="9"/>
      <c r="H730" s="9"/>
      <c r="I730" s="9"/>
      <c r="J730" s="7"/>
      <c r="K730" s="13" t="str">
        <f aca="false">IF(OR($G730="",$I730=""),"",ROUND($G730*$I730,0))</f>
        <v/>
      </c>
      <c r="L730" s="13" t="str">
        <f aca="false">IF($D730="","",IF($G730="",0,$G730)+IF($H730="",0,$H730))</f>
        <v/>
      </c>
      <c r="M730" s="7"/>
    </row>
    <row r="731" customFormat="false" ht="15" hidden="false" customHeight="true" outlineLevel="0" collapsed="false">
      <c r="A731" s="11"/>
      <c r="B731" s="7"/>
      <c r="C731" s="12" t="str">
        <f aca="false">IF($B731="","",IFERROR(INDEX(거래처마스터!$B$3:$B$102,MATCH($B731,거래처마스터!$A$3:$A$102,0)),"미등록"))</f>
        <v/>
      </c>
      <c r="D731" s="7"/>
      <c r="E731" s="12" t="str">
        <f aca="false">IF($D731="","",IFERROR(INDEX(품목마스터!$B$3:$B$202,MATCH($D731,품목마스터!$A$3:$A$202,0)),"미등록품번"))</f>
        <v/>
      </c>
      <c r="F731" s="12" t="str">
        <f aca="false">IF($D731="","",IFERROR(INDEX(품목마스터!$D$3:$D$202,MATCH($D731,품목마스터!$A$3:$A$202,0)),""))</f>
        <v/>
      </c>
      <c r="G731" s="9"/>
      <c r="H731" s="9"/>
      <c r="I731" s="9"/>
      <c r="J731" s="7"/>
      <c r="K731" s="13" t="str">
        <f aca="false">IF(OR($G731="",$I731=""),"",ROUND($G731*$I731,0))</f>
        <v/>
      </c>
      <c r="L731" s="13" t="str">
        <f aca="false">IF($D731="","",IF($G731="",0,$G731)+IF($H731="",0,$H731))</f>
        <v/>
      </c>
      <c r="M731" s="7"/>
    </row>
    <row r="732" customFormat="false" ht="15" hidden="false" customHeight="true" outlineLevel="0" collapsed="false">
      <c r="A732" s="11"/>
      <c r="B732" s="7"/>
      <c r="C732" s="12" t="str">
        <f aca="false">IF($B732="","",IFERROR(INDEX(거래처마스터!$B$3:$B$102,MATCH($B732,거래처마스터!$A$3:$A$102,0)),"미등록"))</f>
        <v/>
      </c>
      <c r="D732" s="7"/>
      <c r="E732" s="12" t="str">
        <f aca="false">IF($D732="","",IFERROR(INDEX(품목마스터!$B$3:$B$202,MATCH($D732,품목마스터!$A$3:$A$202,0)),"미등록품번"))</f>
        <v/>
      </c>
      <c r="F732" s="12" t="str">
        <f aca="false">IF($D732="","",IFERROR(INDEX(품목마스터!$D$3:$D$202,MATCH($D732,품목마스터!$A$3:$A$202,0)),""))</f>
        <v/>
      </c>
      <c r="G732" s="9"/>
      <c r="H732" s="9"/>
      <c r="I732" s="9"/>
      <c r="J732" s="7"/>
      <c r="K732" s="13" t="str">
        <f aca="false">IF(OR($G732="",$I732=""),"",ROUND($G732*$I732,0))</f>
        <v/>
      </c>
      <c r="L732" s="13" t="str">
        <f aca="false">IF($D732="","",IF($G732="",0,$G732)+IF($H732="",0,$H732))</f>
        <v/>
      </c>
      <c r="M732" s="7"/>
    </row>
    <row r="733" customFormat="false" ht="15" hidden="false" customHeight="true" outlineLevel="0" collapsed="false">
      <c r="A733" s="11"/>
      <c r="B733" s="7"/>
      <c r="C733" s="12" t="str">
        <f aca="false">IF($B733="","",IFERROR(INDEX(거래처마스터!$B$3:$B$102,MATCH($B733,거래처마스터!$A$3:$A$102,0)),"미등록"))</f>
        <v/>
      </c>
      <c r="D733" s="7"/>
      <c r="E733" s="12" t="str">
        <f aca="false">IF($D733="","",IFERROR(INDEX(품목마스터!$B$3:$B$202,MATCH($D733,품목마스터!$A$3:$A$202,0)),"미등록품번"))</f>
        <v/>
      </c>
      <c r="F733" s="12" t="str">
        <f aca="false">IF($D733="","",IFERROR(INDEX(품목마스터!$D$3:$D$202,MATCH($D733,품목마스터!$A$3:$A$202,0)),""))</f>
        <v/>
      </c>
      <c r="G733" s="9"/>
      <c r="H733" s="9"/>
      <c r="I733" s="9"/>
      <c r="J733" s="7"/>
      <c r="K733" s="13" t="str">
        <f aca="false">IF(OR($G733="",$I733=""),"",ROUND($G733*$I733,0))</f>
        <v/>
      </c>
      <c r="L733" s="13" t="str">
        <f aca="false">IF($D733="","",IF($G733="",0,$G733)+IF($H733="",0,$H733))</f>
        <v/>
      </c>
      <c r="M733" s="7"/>
    </row>
    <row r="734" customFormat="false" ht="15" hidden="false" customHeight="true" outlineLevel="0" collapsed="false">
      <c r="A734" s="11"/>
      <c r="B734" s="7"/>
      <c r="C734" s="12" t="str">
        <f aca="false">IF($B734="","",IFERROR(INDEX(거래처마스터!$B$3:$B$102,MATCH($B734,거래처마스터!$A$3:$A$102,0)),"미등록"))</f>
        <v/>
      </c>
      <c r="D734" s="7"/>
      <c r="E734" s="12" t="str">
        <f aca="false">IF($D734="","",IFERROR(INDEX(품목마스터!$B$3:$B$202,MATCH($D734,품목마스터!$A$3:$A$202,0)),"미등록품번"))</f>
        <v/>
      </c>
      <c r="F734" s="12" t="str">
        <f aca="false">IF($D734="","",IFERROR(INDEX(품목마스터!$D$3:$D$202,MATCH($D734,품목마스터!$A$3:$A$202,0)),""))</f>
        <v/>
      </c>
      <c r="G734" s="9"/>
      <c r="H734" s="9"/>
      <c r="I734" s="9"/>
      <c r="J734" s="7"/>
      <c r="K734" s="13" t="str">
        <f aca="false">IF(OR($G734="",$I734=""),"",ROUND($G734*$I734,0))</f>
        <v/>
      </c>
      <c r="L734" s="13" t="str">
        <f aca="false">IF($D734="","",IF($G734="",0,$G734)+IF($H734="",0,$H734))</f>
        <v/>
      </c>
      <c r="M734" s="7"/>
    </row>
    <row r="735" customFormat="false" ht="15" hidden="false" customHeight="true" outlineLevel="0" collapsed="false">
      <c r="A735" s="11"/>
      <c r="B735" s="7"/>
      <c r="C735" s="12" t="str">
        <f aca="false">IF($B735="","",IFERROR(INDEX(거래처마스터!$B$3:$B$102,MATCH($B735,거래처마스터!$A$3:$A$102,0)),"미등록"))</f>
        <v/>
      </c>
      <c r="D735" s="7"/>
      <c r="E735" s="12" t="str">
        <f aca="false">IF($D735="","",IFERROR(INDEX(품목마스터!$B$3:$B$202,MATCH($D735,품목마스터!$A$3:$A$202,0)),"미등록품번"))</f>
        <v/>
      </c>
      <c r="F735" s="12" t="str">
        <f aca="false">IF($D735="","",IFERROR(INDEX(품목마스터!$D$3:$D$202,MATCH($D735,품목마스터!$A$3:$A$202,0)),""))</f>
        <v/>
      </c>
      <c r="G735" s="9"/>
      <c r="H735" s="9"/>
      <c r="I735" s="9"/>
      <c r="J735" s="7"/>
      <c r="K735" s="13" t="str">
        <f aca="false">IF(OR($G735="",$I735=""),"",ROUND($G735*$I735,0))</f>
        <v/>
      </c>
      <c r="L735" s="13" t="str">
        <f aca="false">IF($D735="","",IF($G735="",0,$G735)+IF($H735="",0,$H735))</f>
        <v/>
      </c>
      <c r="M735" s="7"/>
    </row>
    <row r="736" customFormat="false" ht="15" hidden="false" customHeight="true" outlineLevel="0" collapsed="false">
      <c r="A736" s="11"/>
      <c r="B736" s="7"/>
      <c r="C736" s="12" t="str">
        <f aca="false">IF($B736="","",IFERROR(INDEX(거래처마스터!$B$3:$B$102,MATCH($B736,거래처마스터!$A$3:$A$102,0)),"미등록"))</f>
        <v/>
      </c>
      <c r="D736" s="7"/>
      <c r="E736" s="12" t="str">
        <f aca="false">IF($D736="","",IFERROR(INDEX(품목마스터!$B$3:$B$202,MATCH($D736,품목마스터!$A$3:$A$202,0)),"미등록품번"))</f>
        <v/>
      </c>
      <c r="F736" s="12" t="str">
        <f aca="false">IF($D736="","",IFERROR(INDEX(품목마스터!$D$3:$D$202,MATCH($D736,품목마스터!$A$3:$A$202,0)),""))</f>
        <v/>
      </c>
      <c r="G736" s="9"/>
      <c r="H736" s="9"/>
      <c r="I736" s="9"/>
      <c r="J736" s="7"/>
      <c r="K736" s="13" t="str">
        <f aca="false">IF(OR($G736="",$I736=""),"",ROUND($G736*$I736,0))</f>
        <v/>
      </c>
      <c r="L736" s="13" t="str">
        <f aca="false">IF($D736="","",IF($G736="",0,$G736)+IF($H736="",0,$H736))</f>
        <v/>
      </c>
      <c r="M736" s="7"/>
    </row>
    <row r="737" customFormat="false" ht="15" hidden="false" customHeight="true" outlineLevel="0" collapsed="false">
      <c r="A737" s="11"/>
      <c r="B737" s="7"/>
      <c r="C737" s="12" t="str">
        <f aca="false">IF($B737="","",IFERROR(INDEX(거래처마스터!$B$3:$B$102,MATCH($B737,거래처마스터!$A$3:$A$102,0)),"미등록"))</f>
        <v/>
      </c>
      <c r="D737" s="7"/>
      <c r="E737" s="12" t="str">
        <f aca="false">IF($D737="","",IFERROR(INDEX(품목마스터!$B$3:$B$202,MATCH($D737,품목마스터!$A$3:$A$202,0)),"미등록품번"))</f>
        <v/>
      </c>
      <c r="F737" s="12" t="str">
        <f aca="false">IF($D737="","",IFERROR(INDEX(품목마스터!$D$3:$D$202,MATCH($D737,품목마스터!$A$3:$A$202,0)),""))</f>
        <v/>
      </c>
      <c r="G737" s="9"/>
      <c r="H737" s="9"/>
      <c r="I737" s="9"/>
      <c r="J737" s="7"/>
      <c r="K737" s="13" t="str">
        <f aca="false">IF(OR($G737="",$I737=""),"",ROUND($G737*$I737,0))</f>
        <v/>
      </c>
      <c r="L737" s="13" t="str">
        <f aca="false">IF($D737="","",IF($G737="",0,$G737)+IF($H737="",0,$H737))</f>
        <v/>
      </c>
      <c r="M737" s="7"/>
    </row>
    <row r="738" customFormat="false" ht="15" hidden="false" customHeight="true" outlineLevel="0" collapsed="false">
      <c r="A738" s="11"/>
      <c r="B738" s="7"/>
      <c r="C738" s="12" t="str">
        <f aca="false">IF($B738="","",IFERROR(INDEX(거래처마스터!$B$3:$B$102,MATCH($B738,거래처마스터!$A$3:$A$102,0)),"미등록"))</f>
        <v/>
      </c>
      <c r="D738" s="7"/>
      <c r="E738" s="12" t="str">
        <f aca="false">IF($D738="","",IFERROR(INDEX(품목마스터!$B$3:$B$202,MATCH($D738,품목마스터!$A$3:$A$202,0)),"미등록품번"))</f>
        <v/>
      </c>
      <c r="F738" s="12" t="str">
        <f aca="false">IF($D738="","",IFERROR(INDEX(품목마스터!$D$3:$D$202,MATCH($D738,품목마스터!$A$3:$A$202,0)),""))</f>
        <v/>
      </c>
      <c r="G738" s="9"/>
      <c r="H738" s="9"/>
      <c r="I738" s="9"/>
      <c r="J738" s="7"/>
      <c r="K738" s="13" t="str">
        <f aca="false">IF(OR($G738="",$I738=""),"",ROUND($G738*$I738,0))</f>
        <v/>
      </c>
      <c r="L738" s="13" t="str">
        <f aca="false">IF($D738="","",IF($G738="",0,$G738)+IF($H738="",0,$H738))</f>
        <v/>
      </c>
      <c r="M738" s="7"/>
    </row>
    <row r="739" customFormat="false" ht="15" hidden="false" customHeight="true" outlineLevel="0" collapsed="false">
      <c r="A739" s="11"/>
      <c r="B739" s="7"/>
      <c r="C739" s="12" t="str">
        <f aca="false">IF($B739="","",IFERROR(INDEX(거래처마스터!$B$3:$B$102,MATCH($B739,거래처마스터!$A$3:$A$102,0)),"미등록"))</f>
        <v/>
      </c>
      <c r="D739" s="7"/>
      <c r="E739" s="12" t="str">
        <f aca="false">IF($D739="","",IFERROR(INDEX(품목마스터!$B$3:$B$202,MATCH($D739,품목마스터!$A$3:$A$202,0)),"미등록품번"))</f>
        <v/>
      </c>
      <c r="F739" s="12" t="str">
        <f aca="false">IF($D739="","",IFERROR(INDEX(품목마스터!$D$3:$D$202,MATCH($D739,품목마스터!$A$3:$A$202,0)),""))</f>
        <v/>
      </c>
      <c r="G739" s="9"/>
      <c r="H739" s="9"/>
      <c r="I739" s="9"/>
      <c r="J739" s="7"/>
      <c r="K739" s="13" t="str">
        <f aca="false">IF(OR($G739="",$I739=""),"",ROUND($G739*$I739,0))</f>
        <v/>
      </c>
      <c r="L739" s="13" t="str">
        <f aca="false">IF($D739="","",IF($G739="",0,$G739)+IF($H739="",0,$H739))</f>
        <v/>
      </c>
      <c r="M739" s="7"/>
    </row>
    <row r="740" customFormat="false" ht="15" hidden="false" customHeight="true" outlineLevel="0" collapsed="false">
      <c r="A740" s="11"/>
      <c r="B740" s="7"/>
      <c r="C740" s="12" t="str">
        <f aca="false">IF($B740="","",IFERROR(INDEX(거래처마스터!$B$3:$B$102,MATCH($B740,거래처마스터!$A$3:$A$102,0)),"미등록"))</f>
        <v/>
      </c>
      <c r="D740" s="7"/>
      <c r="E740" s="12" t="str">
        <f aca="false">IF($D740="","",IFERROR(INDEX(품목마스터!$B$3:$B$202,MATCH($D740,품목마스터!$A$3:$A$202,0)),"미등록품번"))</f>
        <v/>
      </c>
      <c r="F740" s="12" t="str">
        <f aca="false">IF($D740="","",IFERROR(INDEX(품목마스터!$D$3:$D$202,MATCH($D740,품목마스터!$A$3:$A$202,0)),""))</f>
        <v/>
      </c>
      <c r="G740" s="9"/>
      <c r="H740" s="9"/>
      <c r="I740" s="9"/>
      <c r="J740" s="7"/>
      <c r="K740" s="13" t="str">
        <f aca="false">IF(OR($G740="",$I740=""),"",ROUND($G740*$I740,0))</f>
        <v/>
      </c>
      <c r="L740" s="13" t="str">
        <f aca="false">IF($D740="","",IF($G740="",0,$G740)+IF($H740="",0,$H740))</f>
        <v/>
      </c>
      <c r="M740" s="7"/>
    </row>
    <row r="741" customFormat="false" ht="15" hidden="false" customHeight="true" outlineLevel="0" collapsed="false">
      <c r="A741" s="11"/>
      <c r="B741" s="7"/>
      <c r="C741" s="12" t="str">
        <f aca="false">IF($B741="","",IFERROR(INDEX(거래처마스터!$B$3:$B$102,MATCH($B741,거래처마스터!$A$3:$A$102,0)),"미등록"))</f>
        <v/>
      </c>
      <c r="D741" s="7"/>
      <c r="E741" s="12" t="str">
        <f aca="false">IF($D741="","",IFERROR(INDEX(품목마스터!$B$3:$B$202,MATCH($D741,품목마스터!$A$3:$A$202,0)),"미등록품번"))</f>
        <v/>
      </c>
      <c r="F741" s="12" t="str">
        <f aca="false">IF($D741="","",IFERROR(INDEX(품목마스터!$D$3:$D$202,MATCH($D741,품목마스터!$A$3:$A$202,0)),""))</f>
        <v/>
      </c>
      <c r="G741" s="9"/>
      <c r="H741" s="9"/>
      <c r="I741" s="9"/>
      <c r="J741" s="7"/>
      <c r="K741" s="13" t="str">
        <f aca="false">IF(OR($G741="",$I741=""),"",ROUND($G741*$I741,0))</f>
        <v/>
      </c>
      <c r="L741" s="13" t="str">
        <f aca="false">IF($D741="","",IF($G741="",0,$G741)+IF($H741="",0,$H741))</f>
        <v/>
      </c>
      <c r="M741" s="7"/>
    </row>
    <row r="742" customFormat="false" ht="15" hidden="false" customHeight="true" outlineLevel="0" collapsed="false">
      <c r="A742" s="11"/>
      <c r="B742" s="7"/>
      <c r="C742" s="12" t="str">
        <f aca="false">IF($B742="","",IFERROR(INDEX(거래처마스터!$B$3:$B$102,MATCH($B742,거래처마스터!$A$3:$A$102,0)),"미등록"))</f>
        <v/>
      </c>
      <c r="D742" s="7"/>
      <c r="E742" s="12" t="str">
        <f aca="false">IF($D742="","",IFERROR(INDEX(품목마스터!$B$3:$B$202,MATCH($D742,품목마스터!$A$3:$A$202,0)),"미등록품번"))</f>
        <v/>
      </c>
      <c r="F742" s="12" t="str">
        <f aca="false">IF($D742="","",IFERROR(INDEX(품목마스터!$D$3:$D$202,MATCH($D742,품목마스터!$A$3:$A$202,0)),""))</f>
        <v/>
      </c>
      <c r="G742" s="9"/>
      <c r="H742" s="9"/>
      <c r="I742" s="9"/>
      <c r="J742" s="7"/>
      <c r="K742" s="13" t="str">
        <f aca="false">IF(OR($G742="",$I742=""),"",ROUND($G742*$I742,0))</f>
        <v/>
      </c>
      <c r="L742" s="13" t="str">
        <f aca="false">IF($D742="","",IF($G742="",0,$G742)+IF($H742="",0,$H742))</f>
        <v/>
      </c>
      <c r="M742" s="7"/>
    </row>
    <row r="743" customFormat="false" ht="15" hidden="false" customHeight="true" outlineLevel="0" collapsed="false">
      <c r="A743" s="11"/>
      <c r="B743" s="7"/>
      <c r="C743" s="12" t="str">
        <f aca="false">IF($B743="","",IFERROR(INDEX(거래처마스터!$B$3:$B$102,MATCH($B743,거래처마스터!$A$3:$A$102,0)),"미등록"))</f>
        <v/>
      </c>
      <c r="D743" s="7"/>
      <c r="E743" s="12" t="str">
        <f aca="false">IF($D743="","",IFERROR(INDEX(품목마스터!$B$3:$B$202,MATCH($D743,품목마스터!$A$3:$A$202,0)),"미등록품번"))</f>
        <v/>
      </c>
      <c r="F743" s="12" t="str">
        <f aca="false">IF($D743="","",IFERROR(INDEX(품목마스터!$D$3:$D$202,MATCH($D743,품목마스터!$A$3:$A$202,0)),""))</f>
        <v/>
      </c>
      <c r="G743" s="9"/>
      <c r="H743" s="9"/>
      <c r="I743" s="9"/>
      <c r="J743" s="7"/>
      <c r="K743" s="13" t="str">
        <f aca="false">IF(OR($G743="",$I743=""),"",ROUND($G743*$I743,0))</f>
        <v/>
      </c>
      <c r="L743" s="13" t="str">
        <f aca="false">IF($D743="","",IF($G743="",0,$G743)+IF($H743="",0,$H743))</f>
        <v/>
      </c>
      <c r="M743" s="7"/>
    </row>
    <row r="744" customFormat="false" ht="15" hidden="false" customHeight="true" outlineLevel="0" collapsed="false">
      <c r="A744" s="11"/>
      <c r="B744" s="7"/>
      <c r="C744" s="12" t="str">
        <f aca="false">IF($B744="","",IFERROR(INDEX(거래처마스터!$B$3:$B$102,MATCH($B744,거래처마스터!$A$3:$A$102,0)),"미등록"))</f>
        <v/>
      </c>
      <c r="D744" s="7"/>
      <c r="E744" s="12" t="str">
        <f aca="false">IF($D744="","",IFERROR(INDEX(품목마스터!$B$3:$B$202,MATCH($D744,품목마스터!$A$3:$A$202,0)),"미등록품번"))</f>
        <v/>
      </c>
      <c r="F744" s="12" t="str">
        <f aca="false">IF($D744="","",IFERROR(INDEX(품목마스터!$D$3:$D$202,MATCH($D744,품목마스터!$A$3:$A$202,0)),""))</f>
        <v/>
      </c>
      <c r="G744" s="9"/>
      <c r="H744" s="9"/>
      <c r="I744" s="9"/>
      <c r="J744" s="7"/>
      <c r="K744" s="13" t="str">
        <f aca="false">IF(OR($G744="",$I744=""),"",ROUND($G744*$I744,0))</f>
        <v/>
      </c>
      <c r="L744" s="13" t="str">
        <f aca="false">IF($D744="","",IF($G744="",0,$G744)+IF($H744="",0,$H744))</f>
        <v/>
      </c>
      <c r="M744" s="7"/>
    </row>
    <row r="745" customFormat="false" ht="15" hidden="false" customHeight="true" outlineLevel="0" collapsed="false">
      <c r="A745" s="11"/>
      <c r="B745" s="7"/>
      <c r="C745" s="12" t="str">
        <f aca="false">IF($B745="","",IFERROR(INDEX(거래처마스터!$B$3:$B$102,MATCH($B745,거래처마스터!$A$3:$A$102,0)),"미등록"))</f>
        <v/>
      </c>
      <c r="D745" s="7"/>
      <c r="E745" s="12" t="str">
        <f aca="false">IF($D745="","",IFERROR(INDEX(품목마스터!$B$3:$B$202,MATCH($D745,품목마스터!$A$3:$A$202,0)),"미등록품번"))</f>
        <v/>
      </c>
      <c r="F745" s="12" t="str">
        <f aca="false">IF($D745="","",IFERROR(INDEX(품목마스터!$D$3:$D$202,MATCH($D745,품목마스터!$A$3:$A$202,0)),""))</f>
        <v/>
      </c>
      <c r="G745" s="9"/>
      <c r="H745" s="9"/>
      <c r="I745" s="9"/>
      <c r="J745" s="7"/>
      <c r="K745" s="13" t="str">
        <f aca="false">IF(OR($G745="",$I745=""),"",ROUND($G745*$I745,0))</f>
        <v/>
      </c>
      <c r="L745" s="13" t="str">
        <f aca="false">IF($D745="","",IF($G745="",0,$G745)+IF($H745="",0,$H745))</f>
        <v/>
      </c>
      <c r="M745" s="7"/>
    </row>
    <row r="746" customFormat="false" ht="15" hidden="false" customHeight="true" outlineLevel="0" collapsed="false">
      <c r="A746" s="11"/>
      <c r="B746" s="7"/>
      <c r="C746" s="12" t="str">
        <f aca="false">IF($B746="","",IFERROR(INDEX(거래처마스터!$B$3:$B$102,MATCH($B746,거래처마스터!$A$3:$A$102,0)),"미등록"))</f>
        <v/>
      </c>
      <c r="D746" s="7"/>
      <c r="E746" s="12" t="str">
        <f aca="false">IF($D746="","",IFERROR(INDEX(품목마스터!$B$3:$B$202,MATCH($D746,품목마스터!$A$3:$A$202,0)),"미등록품번"))</f>
        <v/>
      </c>
      <c r="F746" s="12" t="str">
        <f aca="false">IF($D746="","",IFERROR(INDEX(품목마스터!$D$3:$D$202,MATCH($D746,품목마스터!$A$3:$A$202,0)),""))</f>
        <v/>
      </c>
      <c r="G746" s="9"/>
      <c r="H746" s="9"/>
      <c r="I746" s="9"/>
      <c r="J746" s="7"/>
      <c r="K746" s="13" t="str">
        <f aca="false">IF(OR($G746="",$I746=""),"",ROUND($G746*$I746,0))</f>
        <v/>
      </c>
      <c r="L746" s="13" t="str">
        <f aca="false">IF($D746="","",IF($G746="",0,$G746)+IF($H746="",0,$H746))</f>
        <v/>
      </c>
      <c r="M746" s="7"/>
    </row>
    <row r="747" customFormat="false" ht="15" hidden="false" customHeight="true" outlineLevel="0" collapsed="false">
      <c r="A747" s="11"/>
      <c r="B747" s="7"/>
      <c r="C747" s="12" t="str">
        <f aca="false">IF($B747="","",IFERROR(INDEX(거래처마스터!$B$3:$B$102,MATCH($B747,거래처마스터!$A$3:$A$102,0)),"미등록"))</f>
        <v/>
      </c>
      <c r="D747" s="7"/>
      <c r="E747" s="12" t="str">
        <f aca="false">IF($D747="","",IFERROR(INDEX(품목마스터!$B$3:$B$202,MATCH($D747,품목마스터!$A$3:$A$202,0)),"미등록품번"))</f>
        <v/>
      </c>
      <c r="F747" s="12" t="str">
        <f aca="false">IF($D747="","",IFERROR(INDEX(품목마스터!$D$3:$D$202,MATCH($D747,품목마스터!$A$3:$A$202,0)),""))</f>
        <v/>
      </c>
      <c r="G747" s="9"/>
      <c r="H747" s="9"/>
      <c r="I747" s="9"/>
      <c r="J747" s="7"/>
      <c r="K747" s="13" t="str">
        <f aca="false">IF(OR($G747="",$I747=""),"",ROUND($G747*$I747,0))</f>
        <v/>
      </c>
      <c r="L747" s="13" t="str">
        <f aca="false">IF($D747="","",IF($G747="",0,$G747)+IF($H747="",0,$H747))</f>
        <v/>
      </c>
      <c r="M747" s="7"/>
    </row>
    <row r="748" customFormat="false" ht="15" hidden="false" customHeight="true" outlineLevel="0" collapsed="false">
      <c r="A748" s="11"/>
      <c r="B748" s="7"/>
      <c r="C748" s="12" t="str">
        <f aca="false">IF($B748="","",IFERROR(INDEX(거래처마스터!$B$3:$B$102,MATCH($B748,거래처마스터!$A$3:$A$102,0)),"미등록"))</f>
        <v/>
      </c>
      <c r="D748" s="7"/>
      <c r="E748" s="12" t="str">
        <f aca="false">IF($D748="","",IFERROR(INDEX(품목마스터!$B$3:$B$202,MATCH($D748,품목마스터!$A$3:$A$202,0)),"미등록품번"))</f>
        <v/>
      </c>
      <c r="F748" s="12" t="str">
        <f aca="false">IF($D748="","",IFERROR(INDEX(품목마스터!$D$3:$D$202,MATCH($D748,품목마스터!$A$3:$A$202,0)),""))</f>
        <v/>
      </c>
      <c r="G748" s="9"/>
      <c r="H748" s="9"/>
      <c r="I748" s="9"/>
      <c r="J748" s="7"/>
      <c r="K748" s="13" t="str">
        <f aca="false">IF(OR($G748="",$I748=""),"",ROUND($G748*$I748,0))</f>
        <v/>
      </c>
      <c r="L748" s="13" t="str">
        <f aca="false">IF($D748="","",IF($G748="",0,$G748)+IF($H748="",0,$H748))</f>
        <v/>
      </c>
      <c r="M748" s="7"/>
    </row>
    <row r="749" customFormat="false" ht="15" hidden="false" customHeight="true" outlineLevel="0" collapsed="false">
      <c r="A749" s="11"/>
      <c r="B749" s="7"/>
      <c r="C749" s="12" t="str">
        <f aca="false">IF($B749="","",IFERROR(INDEX(거래처마스터!$B$3:$B$102,MATCH($B749,거래처마스터!$A$3:$A$102,0)),"미등록"))</f>
        <v/>
      </c>
      <c r="D749" s="7"/>
      <c r="E749" s="12" t="str">
        <f aca="false">IF($D749="","",IFERROR(INDEX(품목마스터!$B$3:$B$202,MATCH($D749,품목마스터!$A$3:$A$202,0)),"미등록품번"))</f>
        <v/>
      </c>
      <c r="F749" s="12" t="str">
        <f aca="false">IF($D749="","",IFERROR(INDEX(품목마스터!$D$3:$D$202,MATCH($D749,품목마스터!$A$3:$A$202,0)),""))</f>
        <v/>
      </c>
      <c r="G749" s="9"/>
      <c r="H749" s="9"/>
      <c r="I749" s="9"/>
      <c r="J749" s="7"/>
      <c r="K749" s="13" t="str">
        <f aca="false">IF(OR($G749="",$I749=""),"",ROUND($G749*$I749,0))</f>
        <v/>
      </c>
      <c r="L749" s="13" t="str">
        <f aca="false">IF($D749="","",IF($G749="",0,$G749)+IF($H749="",0,$H749))</f>
        <v/>
      </c>
      <c r="M749" s="7"/>
    </row>
    <row r="750" customFormat="false" ht="15" hidden="false" customHeight="true" outlineLevel="0" collapsed="false">
      <c r="A750" s="11"/>
      <c r="B750" s="7"/>
      <c r="C750" s="12" t="str">
        <f aca="false">IF($B750="","",IFERROR(INDEX(거래처마스터!$B$3:$B$102,MATCH($B750,거래처마스터!$A$3:$A$102,0)),"미등록"))</f>
        <v/>
      </c>
      <c r="D750" s="7"/>
      <c r="E750" s="12" t="str">
        <f aca="false">IF($D750="","",IFERROR(INDEX(품목마스터!$B$3:$B$202,MATCH($D750,품목마스터!$A$3:$A$202,0)),"미등록품번"))</f>
        <v/>
      </c>
      <c r="F750" s="12" t="str">
        <f aca="false">IF($D750="","",IFERROR(INDEX(품목마스터!$D$3:$D$202,MATCH($D750,품목마스터!$A$3:$A$202,0)),""))</f>
        <v/>
      </c>
      <c r="G750" s="9"/>
      <c r="H750" s="9"/>
      <c r="I750" s="9"/>
      <c r="J750" s="7"/>
      <c r="K750" s="13" t="str">
        <f aca="false">IF(OR($G750="",$I750=""),"",ROUND($G750*$I750,0))</f>
        <v/>
      </c>
      <c r="L750" s="13" t="str">
        <f aca="false">IF($D750="","",IF($G750="",0,$G750)+IF($H750="",0,$H750))</f>
        <v/>
      </c>
      <c r="M750" s="7"/>
    </row>
    <row r="751" customFormat="false" ht="15" hidden="false" customHeight="true" outlineLevel="0" collapsed="false">
      <c r="A751" s="11"/>
      <c r="B751" s="7"/>
      <c r="C751" s="12" t="str">
        <f aca="false">IF($B751="","",IFERROR(INDEX(거래처마스터!$B$3:$B$102,MATCH($B751,거래처마스터!$A$3:$A$102,0)),"미등록"))</f>
        <v/>
      </c>
      <c r="D751" s="7"/>
      <c r="E751" s="12" t="str">
        <f aca="false">IF($D751="","",IFERROR(INDEX(품목마스터!$B$3:$B$202,MATCH($D751,품목마스터!$A$3:$A$202,0)),"미등록품번"))</f>
        <v/>
      </c>
      <c r="F751" s="12" t="str">
        <f aca="false">IF($D751="","",IFERROR(INDEX(품목마스터!$D$3:$D$202,MATCH($D751,품목마스터!$A$3:$A$202,0)),""))</f>
        <v/>
      </c>
      <c r="G751" s="9"/>
      <c r="H751" s="9"/>
      <c r="I751" s="9"/>
      <c r="J751" s="7"/>
      <c r="K751" s="13" t="str">
        <f aca="false">IF(OR($G751="",$I751=""),"",ROUND($G751*$I751,0))</f>
        <v/>
      </c>
      <c r="L751" s="13" t="str">
        <f aca="false">IF($D751="","",IF($G751="",0,$G751)+IF($H751="",0,$H751))</f>
        <v/>
      </c>
      <c r="M751" s="7"/>
    </row>
    <row r="752" customFormat="false" ht="15" hidden="false" customHeight="true" outlineLevel="0" collapsed="false">
      <c r="A752" s="11"/>
      <c r="B752" s="7"/>
      <c r="C752" s="12" t="str">
        <f aca="false">IF($B752="","",IFERROR(INDEX(거래처마스터!$B$3:$B$102,MATCH($B752,거래처마스터!$A$3:$A$102,0)),"미등록"))</f>
        <v/>
      </c>
      <c r="D752" s="7"/>
      <c r="E752" s="12" t="str">
        <f aca="false">IF($D752="","",IFERROR(INDEX(품목마스터!$B$3:$B$202,MATCH($D752,품목마스터!$A$3:$A$202,0)),"미등록품번"))</f>
        <v/>
      </c>
      <c r="F752" s="12" t="str">
        <f aca="false">IF($D752="","",IFERROR(INDEX(품목마스터!$D$3:$D$202,MATCH($D752,품목마스터!$A$3:$A$202,0)),""))</f>
        <v/>
      </c>
      <c r="G752" s="9"/>
      <c r="H752" s="9"/>
      <c r="I752" s="9"/>
      <c r="J752" s="7"/>
      <c r="K752" s="13" t="str">
        <f aca="false">IF(OR($G752="",$I752=""),"",ROUND($G752*$I752,0))</f>
        <v/>
      </c>
      <c r="L752" s="13" t="str">
        <f aca="false">IF($D752="","",IF($G752="",0,$G752)+IF($H752="",0,$H752))</f>
        <v/>
      </c>
      <c r="M752" s="7"/>
    </row>
    <row r="753" customFormat="false" ht="15" hidden="false" customHeight="true" outlineLevel="0" collapsed="false">
      <c r="A753" s="11"/>
      <c r="B753" s="7"/>
      <c r="C753" s="12" t="str">
        <f aca="false">IF($B753="","",IFERROR(INDEX(거래처마스터!$B$3:$B$102,MATCH($B753,거래처마스터!$A$3:$A$102,0)),"미등록"))</f>
        <v/>
      </c>
      <c r="D753" s="7"/>
      <c r="E753" s="12" t="str">
        <f aca="false">IF($D753="","",IFERROR(INDEX(품목마스터!$B$3:$B$202,MATCH($D753,품목마스터!$A$3:$A$202,0)),"미등록품번"))</f>
        <v/>
      </c>
      <c r="F753" s="12" t="str">
        <f aca="false">IF($D753="","",IFERROR(INDEX(품목마스터!$D$3:$D$202,MATCH($D753,품목마스터!$A$3:$A$202,0)),""))</f>
        <v/>
      </c>
      <c r="G753" s="9"/>
      <c r="H753" s="9"/>
      <c r="I753" s="9"/>
      <c r="J753" s="7"/>
      <c r="K753" s="13" t="str">
        <f aca="false">IF(OR($G753="",$I753=""),"",ROUND($G753*$I753,0))</f>
        <v/>
      </c>
      <c r="L753" s="13" t="str">
        <f aca="false">IF($D753="","",IF($G753="",0,$G753)+IF($H753="",0,$H753))</f>
        <v/>
      </c>
      <c r="M753" s="7"/>
    </row>
    <row r="754" customFormat="false" ht="15" hidden="false" customHeight="true" outlineLevel="0" collapsed="false">
      <c r="A754" s="11"/>
      <c r="B754" s="7"/>
      <c r="C754" s="12" t="str">
        <f aca="false">IF($B754="","",IFERROR(INDEX(거래처마스터!$B$3:$B$102,MATCH($B754,거래처마스터!$A$3:$A$102,0)),"미등록"))</f>
        <v/>
      </c>
      <c r="D754" s="7"/>
      <c r="E754" s="12" t="str">
        <f aca="false">IF($D754="","",IFERROR(INDEX(품목마스터!$B$3:$B$202,MATCH($D754,품목마스터!$A$3:$A$202,0)),"미등록품번"))</f>
        <v/>
      </c>
      <c r="F754" s="12" t="str">
        <f aca="false">IF($D754="","",IFERROR(INDEX(품목마스터!$D$3:$D$202,MATCH($D754,품목마스터!$A$3:$A$202,0)),""))</f>
        <v/>
      </c>
      <c r="G754" s="9"/>
      <c r="H754" s="9"/>
      <c r="I754" s="9"/>
      <c r="J754" s="7"/>
      <c r="K754" s="13" t="str">
        <f aca="false">IF(OR($G754="",$I754=""),"",ROUND($G754*$I754,0))</f>
        <v/>
      </c>
      <c r="L754" s="13" t="str">
        <f aca="false">IF($D754="","",IF($G754="",0,$G754)+IF($H754="",0,$H754))</f>
        <v/>
      </c>
      <c r="M754" s="7"/>
    </row>
    <row r="755" customFormat="false" ht="15" hidden="false" customHeight="true" outlineLevel="0" collapsed="false">
      <c r="A755" s="11"/>
      <c r="B755" s="7"/>
      <c r="C755" s="12" t="str">
        <f aca="false">IF($B755="","",IFERROR(INDEX(거래처마스터!$B$3:$B$102,MATCH($B755,거래처마스터!$A$3:$A$102,0)),"미등록"))</f>
        <v/>
      </c>
      <c r="D755" s="7"/>
      <c r="E755" s="12" t="str">
        <f aca="false">IF($D755="","",IFERROR(INDEX(품목마스터!$B$3:$B$202,MATCH($D755,품목마스터!$A$3:$A$202,0)),"미등록품번"))</f>
        <v/>
      </c>
      <c r="F755" s="12" t="str">
        <f aca="false">IF($D755="","",IFERROR(INDEX(품목마스터!$D$3:$D$202,MATCH($D755,품목마스터!$A$3:$A$202,0)),""))</f>
        <v/>
      </c>
      <c r="G755" s="9"/>
      <c r="H755" s="9"/>
      <c r="I755" s="9"/>
      <c r="J755" s="7"/>
      <c r="K755" s="13" t="str">
        <f aca="false">IF(OR($G755="",$I755=""),"",ROUND($G755*$I755,0))</f>
        <v/>
      </c>
      <c r="L755" s="13" t="str">
        <f aca="false">IF($D755="","",IF($G755="",0,$G755)+IF($H755="",0,$H755))</f>
        <v/>
      </c>
      <c r="M755" s="7"/>
    </row>
    <row r="756" customFormat="false" ht="15" hidden="false" customHeight="true" outlineLevel="0" collapsed="false">
      <c r="A756" s="11"/>
      <c r="B756" s="7"/>
      <c r="C756" s="12" t="str">
        <f aca="false">IF($B756="","",IFERROR(INDEX(거래처마스터!$B$3:$B$102,MATCH($B756,거래처마스터!$A$3:$A$102,0)),"미등록"))</f>
        <v/>
      </c>
      <c r="D756" s="7"/>
      <c r="E756" s="12" t="str">
        <f aca="false">IF($D756="","",IFERROR(INDEX(품목마스터!$B$3:$B$202,MATCH($D756,품목마스터!$A$3:$A$202,0)),"미등록품번"))</f>
        <v/>
      </c>
      <c r="F756" s="12" t="str">
        <f aca="false">IF($D756="","",IFERROR(INDEX(품목마스터!$D$3:$D$202,MATCH($D756,품목마스터!$A$3:$A$202,0)),""))</f>
        <v/>
      </c>
      <c r="G756" s="9"/>
      <c r="H756" s="9"/>
      <c r="I756" s="9"/>
      <c r="J756" s="7"/>
      <c r="K756" s="13" t="str">
        <f aca="false">IF(OR($G756="",$I756=""),"",ROUND($G756*$I756,0))</f>
        <v/>
      </c>
      <c r="L756" s="13" t="str">
        <f aca="false">IF($D756="","",IF($G756="",0,$G756)+IF($H756="",0,$H756))</f>
        <v/>
      </c>
      <c r="M756" s="7"/>
    </row>
    <row r="757" customFormat="false" ht="15" hidden="false" customHeight="true" outlineLevel="0" collapsed="false">
      <c r="A757" s="11"/>
      <c r="B757" s="7"/>
      <c r="C757" s="12" t="str">
        <f aca="false">IF($B757="","",IFERROR(INDEX(거래처마스터!$B$3:$B$102,MATCH($B757,거래처마스터!$A$3:$A$102,0)),"미등록"))</f>
        <v/>
      </c>
      <c r="D757" s="7"/>
      <c r="E757" s="12" t="str">
        <f aca="false">IF($D757="","",IFERROR(INDEX(품목마스터!$B$3:$B$202,MATCH($D757,품목마스터!$A$3:$A$202,0)),"미등록품번"))</f>
        <v/>
      </c>
      <c r="F757" s="12" t="str">
        <f aca="false">IF($D757="","",IFERROR(INDEX(품목마스터!$D$3:$D$202,MATCH($D757,품목마스터!$A$3:$A$202,0)),""))</f>
        <v/>
      </c>
      <c r="G757" s="9"/>
      <c r="H757" s="9"/>
      <c r="I757" s="9"/>
      <c r="J757" s="7"/>
      <c r="K757" s="13" t="str">
        <f aca="false">IF(OR($G757="",$I757=""),"",ROUND($G757*$I757,0))</f>
        <v/>
      </c>
      <c r="L757" s="13" t="str">
        <f aca="false">IF($D757="","",IF($G757="",0,$G757)+IF($H757="",0,$H757))</f>
        <v/>
      </c>
      <c r="M757" s="7"/>
    </row>
    <row r="758" customFormat="false" ht="15" hidden="false" customHeight="true" outlineLevel="0" collapsed="false">
      <c r="A758" s="11"/>
      <c r="B758" s="7"/>
      <c r="C758" s="12" t="str">
        <f aca="false">IF($B758="","",IFERROR(INDEX(거래처마스터!$B$3:$B$102,MATCH($B758,거래처마스터!$A$3:$A$102,0)),"미등록"))</f>
        <v/>
      </c>
      <c r="D758" s="7"/>
      <c r="E758" s="12" t="str">
        <f aca="false">IF($D758="","",IFERROR(INDEX(품목마스터!$B$3:$B$202,MATCH($D758,품목마스터!$A$3:$A$202,0)),"미등록품번"))</f>
        <v/>
      </c>
      <c r="F758" s="12" t="str">
        <f aca="false">IF($D758="","",IFERROR(INDEX(품목마스터!$D$3:$D$202,MATCH($D758,품목마스터!$A$3:$A$202,0)),""))</f>
        <v/>
      </c>
      <c r="G758" s="9"/>
      <c r="H758" s="9"/>
      <c r="I758" s="9"/>
      <c r="J758" s="7"/>
      <c r="K758" s="13" t="str">
        <f aca="false">IF(OR($G758="",$I758=""),"",ROUND($G758*$I758,0))</f>
        <v/>
      </c>
      <c r="L758" s="13" t="str">
        <f aca="false">IF($D758="","",IF($G758="",0,$G758)+IF($H758="",0,$H758))</f>
        <v/>
      </c>
      <c r="M758" s="7"/>
    </row>
    <row r="759" customFormat="false" ht="15" hidden="false" customHeight="true" outlineLevel="0" collapsed="false">
      <c r="A759" s="11"/>
      <c r="B759" s="7"/>
      <c r="C759" s="12" t="str">
        <f aca="false">IF($B759="","",IFERROR(INDEX(거래처마스터!$B$3:$B$102,MATCH($B759,거래처마스터!$A$3:$A$102,0)),"미등록"))</f>
        <v/>
      </c>
      <c r="D759" s="7"/>
      <c r="E759" s="12" t="str">
        <f aca="false">IF($D759="","",IFERROR(INDEX(품목마스터!$B$3:$B$202,MATCH($D759,품목마스터!$A$3:$A$202,0)),"미등록품번"))</f>
        <v/>
      </c>
      <c r="F759" s="12" t="str">
        <f aca="false">IF($D759="","",IFERROR(INDEX(품목마스터!$D$3:$D$202,MATCH($D759,품목마스터!$A$3:$A$202,0)),""))</f>
        <v/>
      </c>
      <c r="G759" s="9"/>
      <c r="H759" s="9"/>
      <c r="I759" s="9"/>
      <c r="J759" s="7"/>
      <c r="K759" s="13" t="str">
        <f aca="false">IF(OR($G759="",$I759=""),"",ROUND($G759*$I759,0))</f>
        <v/>
      </c>
      <c r="L759" s="13" t="str">
        <f aca="false">IF($D759="","",IF($G759="",0,$G759)+IF($H759="",0,$H759))</f>
        <v/>
      </c>
      <c r="M759" s="7"/>
    </row>
    <row r="760" customFormat="false" ht="15" hidden="false" customHeight="true" outlineLevel="0" collapsed="false">
      <c r="A760" s="11"/>
      <c r="B760" s="7"/>
      <c r="C760" s="12" t="str">
        <f aca="false">IF($B760="","",IFERROR(INDEX(거래처마스터!$B$3:$B$102,MATCH($B760,거래처마스터!$A$3:$A$102,0)),"미등록"))</f>
        <v/>
      </c>
      <c r="D760" s="7"/>
      <c r="E760" s="12" t="str">
        <f aca="false">IF($D760="","",IFERROR(INDEX(품목마스터!$B$3:$B$202,MATCH($D760,품목마스터!$A$3:$A$202,0)),"미등록품번"))</f>
        <v/>
      </c>
      <c r="F760" s="12" t="str">
        <f aca="false">IF($D760="","",IFERROR(INDEX(품목마스터!$D$3:$D$202,MATCH($D760,품목마스터!$A$3:$A$202,0)),""))</f>
        <v/>
      </c>
      <c r="G760" s="9"/>
      <c r="H760" s="9"/>
      <c r="I760" s="9"/>
      <c r="J760" s="7"/>
      <c r="K760" s="13" t="str">
        <f aca="false">IF(OR($G760="",$I760=""),"",ROUND($G760*$I760,0))</f>
        <v/>
      </c>
      <c r="L760" s="13" t="str">
        <f aca="false">IF($D760="","",IF($G760="",0,$G760)+IF($H760="",0,$H760))</f>
        <v/>
      </c>
      <c r="M760" s="7"/>
    </row>
    <row r="761" customFormat="false" ht="15" hidden="false" customHeight="true" outlineLevel="0" collapsed="false">
      <c r="A761" s="11"/>
      <c r="B761" s="7"/>
      <c r="C761" s="12" t="str">
        <f aca="false">IF($B761="","",IFERROR(INDEX(거래처마스터!$B$3:$B$102,MATCH($B761,거래처마스터!$A$3:$A$102,0)),"미등록"))</f>
        <v/>
      </c>
      <c r="D761" s="7"/>
      <c r="E761" s="12" t="str">
        <f aca="false">IF($D761="","",IFERROR(INDEX(품목마스터!$B$3:$B$202,MATCH($D761,품목마스터!$A$3:$A$202,0)),"미등록품번"))</f>
        <v/>
      </c>
      <c r="F761" s="12" t="str">
        <f aca="false">IF($D761="","",IFERROR(INDEX(품목마스터!$D$3:$D$202,MATCH($D761,품목마스터!$A$3:$A$202,0)),""))</f>
        <v/>
      </c>
      <c r="G761" s="9"/>
      <c r="H761" s="9"/>
      <c r="I761" s="9"/>
      <c r="J761" s="7"/>
      <c r="K761" s="13" t="str">
        <f aca="false">IF(OR($G761="",$I761=""),"",ROUND($G761*$I761,0))</f>
        <v/>
      </c>
      <c r="L761" s="13" t="str">
        <f aca="false">IF($D761="","",IF($G761="",0,$G761)+IF($H761="",0,$H761))</f>
        <v/>
      </c>
      <c r="M761" s="7"/>
    </row>
    <row r="762" customFormat="false" ht="15" hidden="false" customHeight="true" outlineLevel="0" collapsed="false">
      <c r="A762" s="11"/>
      <c r="B762" s="7"/>
      <c r="C762" s="12" t="str">
        <f aca="false">IF($B762="","",IFERROR(INDEX(거래처마스터!$B$3:$B$102,MATCH($B762,거래처마스터!$A$3:$A$102,0)),"미등록"))</f>
        <v/>
      </c>
      <c r="D762" s="7"/>
      <c r="E762" s="12" t="str">
        <f aca="false">IF($D762="","",IFERROR(INDEX(품목마스터!$B$3:$B$202,MATCH($D762,품목마스터!$A$3:$A$202,0)),"미등록품번"))</f>
        <v/>
      </c>
      <c r="F762" s="12" t="str">
        <f aca="false">IF($D762="","",IFERROR(INDEX(품목마스터!$D$3:$D$202,MATCH($D762,품목마스터!$A$3:$A$202,0)),""))</f>
        <v/>
      </c>
      <c r="G762" s="9"/>
      <c r="H762" s="9"/>
      <c r="I762" s="9"/>
      <c r="J762" s="7"/>
      <c r="K762" s="13" t="str">
        <f aca="false">IF(OR($G762="",$I762=""),"",ROUND($G762*$I762,0))</f>
        <v/>
      </c>
      <c r="L762" s="13" t="str">
        <f aca="false">IF($D762="","",IF($G762="",0,$G762)+IF($H762="",0,$H762))</f>
        <v/>
      </c>
      <c r="M762" s="7"/>
    </row>
    <row r="763" customFormat="false" ht="15" hidden="false" customHeight="true" outlineLevel="0" collapsed="false">
      <c r="A763" s="11"/>
      <c r="B763" s="7"/>
      <c r="C763" s="12" t="str">
        <f aca="false">IF($B763="","",IFERROR(INDEX(거래처마스터!$B$3:$B$102,MATCH($B763,거래처마스터!$A$3:$A$102,0)),"미등록"))</f>
        <v/>
      </c>
      <c r="D763" s="7"/>
      <c r="E763" s="12" t="str">
        <f aca="false">IF($D763="","",IFERROR(INDEX(품목마스터!$B$3:$B$202,MATCH($D763,품목마스터!$A$3:$A$202,0)),"미등록품번"))</f>
        <v/>
      </c>
      <c r="F763" s="12" t="str">
        <f aca="false">IF($D763="","",IFERROR(INDEX(품목마스터!$D$3:$D$202,MATCH($D763,품목마스터!$A$3:$A$202,0)),""))</f>
        <v/>
      </c>
      <c r="G763" s="9"/>
      <c r="H763" s="9"/>
      <c r="I763" s="9"/>
      <c r="J763" s="7"/>
      <c r="K763" s="13" t="str">
        <f aca="false">IF(OR($G763="",$I763=""),"",ROUND($G763*$I763,0))</f>
        <v/>
      </c>
      <c r="L763" s="13" t="str">
        <f aca="false">IF($D763="","",IF($G763="",0,$G763)+IF($H763="",0,$H763))</f>
        <v/>
      </c>
      <c r="M763" s="7"/>
    </row>
    <row r="764" customFormat="false" ht="15" hidden="false" customHeight="true" outlineLevel="0" collapsed="false">
      <c r="A764" s="11"/>
      <c r="B764" s="7"/>
      <c r="C764" s="12" t="str">
        <f aca="false">IF($B764="","",IFERROR(INDEX(거래처마스터!$B$3:$B$102,MATCH($B764,거래처마스터!$A$3:$A$102,0)),"미등록"))</f>
        <v/>
      </c>
      <c r="D764" s="7"/>
      <c r="E764" s="12" t="str">
        <f aca="false">IF($D764="","",IFERROR(INDEX(품목마스터!$B$3:$B$202,MATCH($D764,품목마스터!$A$3:$A$202,0)),"미등록품번"))</f>
        <v/>
      </c>
      <c r="F764" s="12" t="str">
        <f aca="false">IF($D764="","",IFERROR(INDEX(품목마스터!$D$3:$D$202,MATCH($D764,품목마스터!$A$3:$A$202,0)),""))</f>
        <v/>
      </c>
      <c r="G764" s="9"/>
      <c r="H764" s="9"/>
      <c r="I764" s="9"/>
      <c r="J764" s="7"/>
      <c r="K764" s="13" t="str">
        <f aca="false">IF(OR($G764="",$I764=""),"",ROUND($G764*$I764,0))</f>
        <v/>
      </c>
      <c r="L764" s="13" t="str">
        <f aca="false">IF($D764="","",IF($G764="",0,$G764)+IF($H764="",0,$H764))</f>
        <v/>
      </c>
      <c r="M764" s="7"/>
    </row>
    <row r="765" customFormat="false" ht="15" hidden="false" customHeight="true" outlineLevel="0" collapsed="false">
      <c r="A765" s="11"/>
      <c r="B765" s="7"/>
      <c r="C765" s="12" t="str">
        <f aca="false">IF($B765="","",IFERROR(INDEX(거래처마스터!$B$3:$B$102,MATCH($B765,거래처마스터!$A$3:$A$102,0)),"미등록"))</f>
        <v/>
      </c>
      <c r="D765" s="7"/>
      <c r="E765" s="12" t="str">
        <f aca="false">IF($D765="","",IFERROR(INDEX(품목마스터!$B$3:$B$202,MATCH($D765,품목마스터!$A$3:$A$202,0)),"미등록품번"))</f>
        <v/>
      </c>
      <c r="F765" s="12" t="str">
        <f aca="false">IF($D765="","",IFERROR(INDEX(품목마스터!$D$3:$D$202,MATCH($D765,품목마스터!$A$3:$A$202,0)),""))</f>
        <v/>
      </c>
      <c r="G765" s="9"/>
      <c r="H765" s="9"/>
      <c r="I765" s="9"/>
      <c r="J765" s="7"/>
      <c r="K765" s="13" t="str">
        <f aca="false">IF(OR($G765="",$I765=""),"",ROUND($G765*$I765,0))</f>
        <v/>
      </c>
      <c r="L765" s="13" t="str">
        <f aca="false">IF($D765="","",IF($G765="",0,$G765)+IF($H765="",0,$H765))</f>
        <v/>
      </c>
      <c r="M765" s="7"/>
    </row>
    <row r="766" customFormat="false" ht="15" hidden="false" customHeight="true" outlineLevel="0" collapsed="false">
      <c r="A766" s="11"/>
      <c r="B766" s="7"/>
      <c r="C766" s="12" t="str">
        <f aca="false">IF($B766="","",IFERROR(INDEX(거래처마스터!$B$3:$B$102,MATCH($B766,거래처마스터!$A$3:$A$102,0)),"미등록"))</f>
        <v/>
      </c>
      <c r="D766" s="7"/>
      <c r="E766" s="12" t="str">
        <f aca="false">IF($D766="","",IFERROR(INDEX(품목마스터!$B$3:$B$202,MATCH($D766,품목마스터!$A$3:$A$202,0)),"미등록품번"))</f>
        <v/>
      </c>
      <c r="F766" s="12" t="str">
        <f aca="false">IF($D766="","",IFERROR(INDEX(품목마스터!$D$3:$D$202,MATCH($D766,품목마스터!$A$3:$A$202,0)),""))</f>
        <v/>
      </c>
      <c r="G766" s="9"/>
      <c r="H766" s="9"/>
      <c r="I766" s="9"/>
      <c r="J766" s="7"/>
      <c r="K766" s="13" t="str">
        <f aca="false">IF(OR($G766="",$I766=""),"",ROUND($G766*$I766,0))</f>
        <v/>
      </c>
      <c r="L766" s="13" t="str">
        <f aca="false">IF($D766="","",IF($G766="",0,$G766)+IF($H766="",0,$H766))</f>
        <v/>
      </c>
      <c r="M766" s="7"/>
    </row>
    <row r="767" customFormat="false" ht="15" hidden="false" customHeight="true" outlineLevel="0" collapsed="false">
      <c r="A767" s="11"/>
      <c r="B767" s="7"/>
      <c r="C767" s="12" t="str">
        <f aca="false">IF($B767="","",IFERROR(INDEX(거래처마스터!$B$3:$B$102,MATCH($B767,거래처마스터!$A$3:$A$102,0)),"미등록"))</f>
        <v/>
      </c>
      <c r="D767" s="7"/>
      <c r="E767" s="12" t="str">
        <f aca="false">IF($D767="","",IFERROR(INDEX(품목마스터!$B$3:$B$202,MATCH($D767,품목마스터!$A$3:$A$202,0)),"미등록품번"))</f>
        <v/>
      </c>
      <c r="F767" s="12" t="str">
        <f aca="false">IF($D767="","",IFERROR(INDEX(품목마스터!$D$3:$D$202,MATCH($D767,품목마스터!$A$3:$A$202,0)),""))</f>
        <v/>
      </c>
      <c r="G767" s="9"/>
      <c r="H767" s="9"/>
      <c r="I767" s="9"/>
      <c r="J767" s="7"/>
      <c r="K767" s="13" t="str">
        <f aca="false">IF(OR($G767="",$I767=""),"",ROUND($G767*$I767,0))</f>
        <v/>
      </c>
      <c r="L767" s="13" t="str">
        <f aca="false">IF($D767="","",IF($G767="",0,$G767)+IF($H767="",0,$H767))</f>
        <v/>
      </c>
      <c r="M767" s="7"/>
    </row>
    <row r="768" customFormat="false" ht="15" hidden="false" customHeight="true" outlineLevel="0" collapsed="false">
      <c r="A768" s="11"/>
      <c r="B768" s="7"/>
      <c r="C768" s="12" t="str">
        <f aca="false">IF($B768="","",IFERROR(INDEX(거래처마스터!$B$3:$B$102,MATCH($B768,거래처마스터!$A$3:$A$102,0)),"미등록"))</f>
        <v/>
      </c>
      <c r="D768" s="7"/>
      <c r="E768" s="12" t="str">
        <f aca="false">IF($D768="","",IFERROR(INDEX(품목마스터!$B$3:$B$202,MATCH($D768,품목마스터!$A$3:$A$202,0)),"미등록품번"))</f>
        <v/>
      </c>
      <c r="F768" s="12" t="str">
        <f aca="false">IF($D768="","",IFERROR(INDEX(품목마스터!$D$3:$D$202,MATCH($D768,품목마스터!$A$3:$A$202,0)),""))</f>
        <v/>
      </c>
      <c r="G768" s="9"/>
      <c r="H768" s="9"/>
      <c r="I768" s="9"/>
      <c r="J768" s="7"/>
      <c r="K768" s="13" t="str">
        <f aca="false">IF(OR($G768="",$I768=""),"",ROUND($G768*$I768,0))</f>
        <v/>
      </c>
      <c r="L768" s="13" t="str">
        <f aca="false">IF($D768="","",IF($G768="",0,$G768)+IF($H768="",0,$H768))</f>
        <v/>
      </c>
      <c r="M768" s="7"/>
    </row>
    <row r="769" customFormat="false" ht="15" hidden="false" customHeight="true" outlineLevel="0" collapsed="false">
      <c r="A769" s="11"/>
      <c r="B769" s="7"/>
      <c r="C769" s="12" t="str">
        <f aca="false">IF($B769="","",IFERROR(INDEX(거래처마스터!$B$3:$B$102,MATCH($B769,거래처마스터!$A$3:$A$102,0)),"미등록"))</f>
        <v/>
      </c>
      <c r="D769" s="7"/>
      <c r="E769" s="12" t="str">
        <f aca="false">IF($D769="","",IFERROR(INDEX(품목마스터!$B$3:$B$202,MATCH($D769,품목마스터!$A$3:$A$202,0)),"미등록품번"))</f>
        <v/>
      </c>
      <c r="F769" s="12" t="str">
        <f aca="false">IF($D769="","",IFERROR(INDEX(품목마스터!$D$3:$D$202,MATCH($D769,품목마스터!$A$3:$A$202,0)),""))</f>
        <v/>
      </c>
      <c r="G769" s="9"/>
      <c r="H769" s="9"/>
      <c r="I769" s="9"/>
      <c r="J769" s="7"/>
      <c r="K769" s="13" t="str">
        <f aca="false">IF(OR($G769="",$I769=""),"",ROUND($G769*$I769,0))</f>
        <v/>
      </c>
      <c r="L769" s="13" t="str">
        <f aca="false">IF($D769="","",IF($G769="",0,$G769)+IF($H769="",0,$H769))</f>
        <v/>
      </c>
      <c r="M769" s="7"/>
    </row>
    <row r="770" customFormat="false" ht="15" hidden="false" customHeight="true" outlineLevel="0" collapsed="false">
      <c r="A770" s="11"/>
      <c r="B770" s="7"/>
      <c r="C770" s="12" t="str">
        <f aca="false">IF($B770="","",IFERROR(INDEX(거래처마스터!$B$3:$B$102,MATCH($B770,거래처마스터!$A$3:$A$102,0)),"미등록"))</f>
        <v/>
      </c>
      <c r="D770" s="7"/>
      <c r="E770" s="12" t="str">
        <f aca="false">IF($D770="","",IFERROR(INDEX(품목마스터!$B$3:$B$202,MATCH($D770,품목마스터!$A$3:$A$202,0)),"미등록품번"))</f>
        <v/>
      </c>
      <c r="F770" s="12" t="str">
        <f aca="false">IF($D770="","",IFERROR(INDEX(품목마스터!$D$3:$D$202,MATCH($D770,품목마스터!$A$3:$A$202,0)),""))</f>
        <v/>
      </c>
      <c r="G770" s="9"/>
      <c r="H770" s="9"/>
      <c r="I770" s="9"/>
      <c r="J770" s="7"/>
      <c r="K770" s="13" t="str">
        <f aca="false">IF(OR($G770="",$I770=""),"",ROUND($G770*$I770,0))</f>
        <v/>
      </c>
      <c r="L770" s="13" t="str">
        <f aca="false">IF($D770="","",IF($G770="",0,$G770)+IF($H770="",0,$H770))</f>
        <v/>
      </c>
      <c r="M770" s="7"/>
    </row>
    <row r="771" customFormat="false" ht="15" hidden="false" customHeight="true" outlineLevel="0" collapsed="false">
      <c r="A771" s="11"/>
      <c r="B771" s="7"/>
      <c r="C771" s="12" t="str">
        <f aca="false">IF($B771="","",IFERROR(INDEX(거래처마스터!$B$3:$B$102,MATCH($B771,거래처마스터!$A$3:$A$102,0)),"미등록"))</f>
        <v/>
      </c>
      <c r="D771" s="7"/>
      <c r="E771" s="12" t="str">
        <f aca="false">IF($D771="","",IFERROR(INDEX(품목마스터!$B$3:$B$202,MATCH($D771,품목마스터!$A$3:$A$202,0)),"미등록품번"))</f>
        <v/>
      </c>
      <c r="F771" s="12" t="str">
        <f aca="false">IF($D771="","",IFERROR(INDEX(품목마스터!$D$3:$D$202,MATCH($D771,품목마스터!$A$3:$A$202,0)),""))</f>
        <v/>
      </c>
      <c r="G771" s="9"/>
      <c r="H771" s="9"/>
      <c r="I771" s="9"/>
      <c r="J771" s="7"/>
      <c r="K771" s="13" t="str">
        <f aca="false">IF(OR($G771="",$I771=""),"",ROUND($G771*$I771,0))</f>
        <v/>
      </c>
      <c r="L771" s="13" t="str">
        <f aca="false">IF($D771="","",IF($G771="",0,$G771)+IF($H771="",0,$H771))</f>
        <v/>
      </c>
      <c r="M771" s="7"/>
    </row>
    <row r="772" customFormat="false" ht="15" hidden="false" customHeight="true" outlineLevel="0" collapsed="false">
      <c r="A772" s="11"/>
      <c r="B772" s="7"/>
      <c r="C772" s="12" t="str">
        <f aca="false">IF($B772="","",IFERROR(INDEX(거래처마스터!$B$3:$B$102,MATCH($B772,거래처마스터!$A$3:$A$102,0)),"미등록"))</f>
        <v/>
      </c>
      <c r="D772" s="7"/>
      <c r="E772" s="12" t="str">
        <f aca="false">IF($D772="","",IFERROR(INDEX(품목마스터!$B$3:$B$202,MATCH($D772,품목마스터!$A$3:$A$202,0)),"미등록품번"))</f>
        <v/>
      </c>
      <c r="F772" s="12" t="str">
        <f aca="false">IF($D772="","",IFERROR(INDEX(품목마스터!$D$3:$D$202,MATCH($D772,품목마스터!$A$3:$A$202,0)),""))</f>
        <v/>
      </c>
      <c r="G772" s="9"/>
      <c r="H772" s="9"/>
      <c r="I772" s="9"/>
      <c r="J772" s="7"/>
      <c r="K772" s="13" t="str">
        <f aca="false">IF(OR($G772="",$I772=""),"",ROUND($G772*$I772,0))</f>
        <v/>
      </c>
      <c r="L772" s="13" t="str">
        <f aca="false">IF($D772="","",IF($G772="",0,$G772)+IF($H772="",0,$H772))</f>
        <v/>
      </c>
      <c r="M772" s="7"/>
    </row>
    <row r="773" customFormat="false" ht="15" hidden="false" customHeight="true" outlineLevel="0" collapsed="false">
      <c r="A773" s="11"/>
      <c r="B773" s="7"/>
      <c r="C773" s="12" t="str">
        <f aca="false">IF($B773="","",IFERROR(INDEX(거래처마스터!$B$3:$B$102,MATCH($B773,거래처마스터!$A$3:$A$102,0)),"미등록"))</f>
        <v/>
      </c>
      <c r="D773" s="7"/>
      <c r="E773" s="12" t="str">
        <f aca="false">IF($D773="","",IFERROR(INDEX(품목마스터!$B$3:$B$202,MATCH($D773,품목마스터!$A$3:$A$202,0)),"미등록품번"))</f>
        <v/>
      </c>
      <c r="F773" s="12" t="str">
        <f aca="false">IF($D773="","",IFERROR(INDEX(품목마스터!$D$3:$D$202,MATCH($D773,품목마스터!$A$3:$A$202,0)),""))</f>
        <v/>
      </c>
      <c r="G773" s="9"/>
      <c r="H773" s="9"/>
      <c r="I773" s="9"/>
      <c r="J773" s="7"/>
      <c r="K773" s="13" t="str">
        <f aca="false">IF(OR($G773="",$I773=""),"",ROUND($G773*$I773,0))</f>
        <v/>
      </c>
      <c r="L773" s="13" t="str">
        <f aca="false">IF($D773="","",IF($G773="",0,$G773)+IF($H773="",0,$H773))</f>
        <v/>
      </c>
      <c r="M773" s="7"/>
    </row>
    <row r="774" customFormat="false" ht="15" hidden="false" customHeight="true" outlineLevel="0" collapsed="false">
      <c r="A774" s="11"/>
      <c r="B774" s="7"/>
      <c r="C774" s="12" t="str">
        <f aca="false">IF($B774="","",IFERROR(INDEX(거래처마스터!$B$3:$B$102,MATCH($B774,거래처마스터!$A$3:$A$102,0)),"미등록"))</f>
        <v/>
      </c>
      <c r="D774" s="7"/>
      <c r="E774" s="12" t="str">
        <f aca="false">IF($D774="","",IFERROR(INDEX(품목마스터!$B$3:$B$202,MATCH($D774,품목마스터!$A$3:$A$202,0)),"미등록품번"))</f>
        <v/>
      </c>
      <c r="F774" s="12" t="str">
        <f aca="false">IF($D774="","",IFERROR(INDEX(품목마스터!$D$3:$D$202,MATCH($D774,품목마스터!$A$3:$A$202,0)),""))</f>
        <v/>
      </c>
      <c r="G774" s="9"/>
      <c r="H774" s="9"/>
      <c r="I774" s="9"/>
      <c r="J774" s="7"/>
      <c r="K774" s="13" t="str">
        <f aca="false">IF(OR($G774="",$I774=""),"",ROUND($G774*$I774,0))</f>
        <v/>
      </c>
      <c r="L774" s="13" t="str">
        <f aca="false">IF($D774="","",IF($G774="",0,$G774)+IF($H774="",0,$H774))</f>
        <v/>
      </c>
      <c r="M774" s="7"/>
    </row>
    <row r="775" customFormat="false" ht="15" hidden="false" customHeight="true" outlineLevel="0" collapsed="false">
      <c r="A775" s="11"/>
      <c r="B775" s="7"/>
      <c r="C775" s="12" t="str">
        <f aca="false">IF($B775="","",IFERROR(INDEX(거래처마스터!$B$3:$B$102,MATCH($B775,거래처마스터!$A$3:$A$102,0)),"미등록"))</f>
        <v/>
      </c>
      <c r="D775" s="7"/>
      <c r="E775" s="12" t="str">
        <f aca="false">IF($D775="","",IFERROR(INDEX(품목마스터!$B$3:$B$202,MATCH($D775,품목마스터!$A$3:$A$202,0)),"미등록품번"))</f>
        <v/>
      </c>
      <c r="F775" s="12" t="str">
        <f aca="false">IF($D775="","",IFERROR(INDEX(품목마스터!$D$3:$D$202,MATCH($D775,품목마스터!$A$3:$A$202,0)),""))</f>
        <v/>
      </c>
      <c r="G775" s="9"/>
      <c r="H775" s="9"/>
      <c r="I775" s="9"/>
      <c r="J775" s="7"/>
      <c r="K775" s="13" t="str">
        <f aca="false">IF(OR($G775="",$I775=""),"",ROUND($G775*$I775,0))</f>
        <v/>
      </c>
      <c r="L775" s="13" t="str">
        <f aca="false">IF($D775="","",IF($G775="",0,$G775)+IF($H775="",0,$H775))</f>
        <v/>
      </c>
      <c r="M775" s="7"/>
    </row>
    <row r="776" customFormat="false" ht="15" hidden="false" customHeight="true" outlineLevel="0" collapsed="false">
      <c r="A776" s="11"/>
      <c r="B776" s="7"/>
      <c r="C776" s="12" t="str">
        <f aca="false">IF($B776="","",IFERROR(INDEX(거래처마스터!$B$3:$B$102,MATCH($B776,거래처마스터!$A$3:$A$102,0)),"미등록"))</f>
        <v/>
      </c>
      <c r="D776" s="7"/>
      <c r="E776" s="12" t="str">
        <f aca="false">IF($D776="","",IFERROR(INDEX(품목마스터!$B$3:$B$202,MATCH($D776,품목마스터!$A$3:$A$202,0)),"미등록품번"))</f>
        <v/>
      </c>
      <c r="F776" s="12" t="str">
        <f aca="false">IF($D776="","",IFERROR(INDEX(품목마스터!$D$3:$D$202,MATCH($D776,품목마스터!$A$3:$A$202,0)),""))</f>
        <v/>
      </c>
      <c r="G776" s="9"/>
      <c r="H776" s="9"/>
      <c r="I776" s="9"/>
      <c r="J776" s="7"/>
      <c r="K776" s="13" t="str">
        <f aca="false">IF(OR($G776="",$I776=""),"",ROUND($G776*$I776,0))</f>
        <v/>
      </c>
      <c r="L776" s="13" t="str">
        <f aca="false">IF($D776="","",IF($G776="",0,$G776)+IF($H776="",0,$H776))</f>
        <v/>
      </c>
      <c r="M776" s="7"/>
    </row>
    <row r="777" customFormat="false" ht="15" hidden="false" customHeight="true" outlineLevel="0" collapsed="false">
      <c r="A777" s="11"/>
      <c r="B777" s="7"/>
      <c r="C777" s="12" t="str">
        <f aca="false">IF($B777="","",IFERROR(INDEX(거래처마스터!$B$3:$B$102,MATCH($B777,거래처마스터!$A$3:$A$102,0)),"미등록"))</f>
        <v/>
      </c>
      <c r="D777" s="7"/>
      <c r="E777" s="12" t="str">
        <f aca="false">IF($D777="","",IFERROR(INDEX(품목마스터!$B$3:$B$202,MATCH($D777,품목마스터!$A$3:$A$202,0)),"미등록품번"))</f>
        <v/>
      </c>
      <c r="F777" s="12" t="str">
        <f aca="false">IF($D777="","",IFERROR(INDEX(품목마스터!$D$3:$D$202,MATCH($D777,품목마스터!$A$3:$A$202,0)),""))</f>
        <v/>
      </c>
      <c r="G777" s="9"/>
      <c r="H777" s="9"/>
      <c r="I777" s="9"/>
      <c r="J777" s="7"/>
      <c r="K777" s="13" t="str">
        <f aca="false">IF(OR($G777="",$I777=""),"",ROUND($G777*$I777,0))</f>
        <v/>
      </c>
      <c r="L777" s="13" t="str">
        <f aca="false">IF($D777="","",IF($G777="",0,$G777)+IF($H777="",0,$H777))</f>
        <v/>
      </c>
      <c r="M777" s="7"/>
    </row>
    <row r="778" customFormat="false" ht="15" hidden="false" customHeight="true" outlineLevel="0" collapsed="false">
      <c r="A778" s="11"/>
      <c r="B778" s="7"/>
      <c r="C778" s="12" t="str">
        <f aca="false">IF($B778="","",IFERROR(INDEX(거래처마스터!$B$3:$B$102,MATCH($B778,거래처마스터!$A$3:$A$102,0)),"미등록"))</f>
        <v/>
      </c>
      <c r="D778" s="7"/>
      <c r="E778" s="12" t="str">
        <f aca="false">IF($D778="","",IFERROR(INDEX(품목마스터!$B$3:$B$202,MATCH($D778,품목마스터!$A$3:$A$202,0)),"미등록품번"))</f>
        <v/>
      </c>
      <c r="F778" s="12" t="str">
        <f aca="false">IF($D778="","",IFERROR(INDEX(품목마스터!$D$3:$D$202,MATCH($D778,품목마스터!$A$3:$A$202,0)),""))</f>
        <v/>
      </c>
      <c r="G778" s="9"/>
      <c r="H778" s="9"/>
      <c r="I778" s="9"/>
      <c r="J778" s="7"/>
      <c r="K778" s="13" t="str">
        <f aca="false">IF(OR($G778="",$I778=""),"",ROUND($G778*$I778,0))</f>
        <v/>
      </c>
      <c r="L778" s="13" t="str">
        <f aca="false">IF($D778="","",IF($G778="",0,$G778)+IF($H778="",0,$H778))</f>
        <v/>
      </c>
      <c r="M778" s="7"/>
    </row>
    <row r="779" customFormat="false" ht="15" hidden="false" customHeight="true" outlineLevel="0" collapsed="false">
      <c r="A779" s="11"/>
      <c r="B779" s="7"/>
      <c r="C779" s="12" t="str">
        <f aca="false">IF($B779="","",IFERROR(INDEX(거래처마스터!$B$3:$B$102,MATCH($B779,거래처마스터!$A$3:$A$102,0)),"미등록"))</f>
        <v/>
      </c>
      <c r="D779" s="7"/>
      <c r="E779" s="12" t="str">
        <f aca="false">IF($D779="","",IFERROR(INDEX(품목마스터!$B$3:$B$202,MATCH($D779,품목마스터!$A$3:$A$202,0)),"미등록품번"))</f>
        <v/>
      </c>
      <c r="F779" s="12" t="str">
        <f aca="false">IF($D779="","",IFERROR(INDEX(품목마스터!$D$3:$D$202,MATCH($D779,품목마스터!$A$3:$A$202,0)),""))</f>
        <v/>
      </c>
      <c r="G779" s="9"/>
      <c r="H779" s="9"/>
      <c r="I779" s="9"/>
      <c r="J779" s="7"/>
      <c r="K779" s="13" t="str">
        <f aca="false">IF(OR($G779="",$I779=""),"",ROUND($G779*$I779,0))</f>
        <v/>
      </c>
      <c r="L779" s="13" t="str">
        <f aca="false">IF($D779="","",IF($G779="",0,$G779)+IF($H779="",0,$H779))</f>
        <v/>
      </c>
      <c r="M779" s="7"/>
    </row>
    <row r="780" customFormat="false" ht="15" hidden="false" customHeight="true" outlineLevel="0" collapsed="false">
      <c r="A780" s="11"/>
      <c r="B780" s="7"/>
      <c r="C780" s="12" t="str">
        <f aca="false">IF($B780="","",IFERROR(INDEX(거래처마스터!$B$3:$B$102,MATCH($B780,거래처마스터!$A$3:$A$102,0)),"미등록"))</f>
        <v/>
      </c>
      <c r="D780" s="7"/>
      <c r="E780" s="12" t="str">
        <f aca="false">IF($D780="","",IFERROR(INDEX(품목마스터!$B$3:$B$202,MATCH($D780,품목마스터!$A$3:$A$202,0)),"미등록품번"))</f>
        <v/>
      </c>
      <c r="F780" s="12" t="str">
        <f aca="false">IF($D780="","",IFERROR(INDEX(품목마스터!$D$3:$D$202,MATCH($D780,품목마스터!$A$3:$A$202,0)),""))</f>
        <v/>
      </c>
      <c r="G780" s="9"/>
      <c r="H780" s="9"/>
      <c r="I780" s="9"/>
      <c r="J780" s="7"/>
      <c r="K780" s="13" t="str">
        <f aca="false">IF(OR($G780="",$I780=""),"",ROUND($G780*$I780,0))</f>
        <v/>
      </c>
      <c r="L780" s="13" t="str">
        <f aca="false">IF($D780="","",IF($G780="",0,$G780)+IF($H780="",0,$H780))</f>
        <v/>
      </c>
      <c r="M780" s="7"/>
    </row>
    <row r="781" customFormat="false" ht="15" hidden="false" customHeight="true" outlineLevel="0" collapsed="false">
      <c r="A781" s="11"/>
      <c r="B781" s="7"/>
      <c r="C781" s="12" t="str">
        <f aca="false">IF($B781="","",IFERROR(INDEX(거래처마스터!$B$3:$B$102,MATCH($B781,거래처마스터!$A$3:$A$102,0)),"미등록"))</f>
        <v/>
      </c>
      <c r="D781" s="7"/>
      <c r="E781" s="12" t="str">
        <f aca="false">IF($D781="","",IFERROR(INDEX(품목마스터!$B$3:$B$202,MATCH($D781,품목마스터!$A$3:$A$202,0)),"미등록품번"))</f>
        <v/>
      </c>
      <c r="F781" s="12" t="str">
        <f aca="false">IF($D781="","",IFERROR(INDEX(품목마스터!$D$3:$D$202,MATCH($D781,품목마스터!$A$3:$A$202,0)),""))</f>
        <v/>
      </c>
      <c r="G781" s="9"/>
      <c r="H781" s="9"/>
      <c r="I781" s="9"/>
      <c r="J781" s="7"/>
      <c r="K781" s="13" t="str">
        <f aca="false">IF(OR($G781="",$I781=""),"",ROUND($G781*$I781,0))</f>
        <v/>
      </c>
      <c r="L781" s="13" t="str">
        <f aca="false">IF($D781="","",IF($G781="",0,$G781)+IF($H781="",0,$H781))</f>
        <v/>
      </c>
      <c r="M781" s="7"/>
    </row>
    <row r="782" customFormat="false" ht="15" hidden="false" customHeight="true" outlineLevel="0" collapsed="false">
      <c r="A782" s="11"/>
      <c r="B782" s="7"/>
      <c r="C782" s="12" t="str">
        <f aca="false">IF($B782="","",IFERROR(INDEX(거래처마스터!$B$3:$B$102,MATCH($B782,거래처마스터!$A$3:$A$102,0)),"미등록"))</f>
        <v/>
      </c>
      <c r="D782" s="7"/>
      <c r="E782" s="12" t="str">
        <f aca="false">IF($D782="","",IFERROR(INDEX(품목마스터!$B$3:$B$202,MATCH($D782,품목마스터!$A$3:$A$202,0)),"미등록품번"))</f>
        <v/>
      </c>
      <c r="F782" s="12" t="str">
        <f aca="false">IF($D782="","",IFERROR(INDEX(품목마스터!$D$3:$D$202,MATCH($D782,품목마스터!$A$3:$A$202,0)),""))</f>
        <v/>
      </c>
      <c r="G782" s="9"/>
      <c r="H782" s="9"/>
      <c r="I782" s="9"/>
      <c r="J782" s="7"/>
      <c r="K782" s="13" t="str">
        <f aca="false">IF(OR($G782="",$I782=""),"",ROUND($G782*$I782,0))</f>
        <v/>
      </c>
      <c r="L782" s="13" t="str">
        <f aca="false">IF($D782="","",IF($G782="",0,$G782)+IF($H782="",0,$H782))</f>
        <v/>
      </c>
      <c r="M782" s="7"/>
    </row>
    <row r="783" customFormat="false" ht="15" hidden="false" customHeight="true" outlineLevel="0" collapsed="false">
      <c r="A783" s="11"/>
      <c r="B783" s="7"/>
      <c r="C783" s="12" t="str">
        <f aca="false">IF($B783="","",IFERROR(INDEX(거래처마스터!$B$3:$B$102,MATCH($B783,거래처마스터!$A$3:$A$102,0)),"미등록"))</f>
        <v/>
      </c>
      <c r="D783" s="7"/>
      <c r="E783" s="12" t="str">
        <f aca="false">IF($D783="","",IFERROR(INDEX(품목마스터!$B$3:$B$202,MATCH($D783,품목마스터!$A$3:$A$202,0)),"미등록품번"))</f>
        <v/>
      </c>
      <c r="F783" s="12" t="str">
        <f aca="false">IF($D783="","",IFERROR(INDEX(품목마스터!$D$3:$D$202,MATCH($D783,품목마스터!$A$3:$A$202,0)),""))</f>
        <v/>
      </c>
      <c r="G783" s="9"/>
      <c r="H783" s="9"/>
      <c r="I783" s="9"/>
      <c r="J783" s="7"/>
      <c r="K783" s="13" t="str">
        <f aca="false">IF(OR($G783="",$I783=""),"",ROUND($G783*$I783,0))</f>
        <v/>
      </c>
      <c r="L783" s="13" t="str">
        <f aca="false">IF($D783="","",IF($G783="",0,$G783)+IF($H783="",0,$H783))</f>
        <v/>
      </c>
      <c r="M783" s="7"/>
    </row>
    <row r="784" customFormat="false" ht="15" hidden="false" customHeight="true" outlineLevel="0" collapsed="false">
      <c r="A784" s="11"/>
      <c r="B784" s="7"/>
      <c r="C784" s="12" t="str">
        <f aca="false">IF($B784="","",IFERROR(INDEX(거래처마스터!$B$3:$B$102,MATCH($B784,거래처마스터!$A$3:$A$102,0)),"미등록"))</f>
        <v/>
      </c>
      <c r="D784" s="7"/>
      <c r="E784" s="12" t="str">
        <f aca="false">IF($D784="","",IFERROR(INDEX(품목마스터!$B$3:$B$202,MATCH($D784,품목마스터!$A$3:$A$202,0)),"미등록품번"))</f>
        <v/>
      </c>
      <c r="F784" s="12" t="str">
        <f aca="false">IF($D784="","",IFERROR(INDEX(품목마스터!$D$3:$D$202,MATCH($D784,품목마스터!$A$3:$A$202,0)),""))</f>
        <v/>
      </c>
      <c r="G784" s="9"/>
      <c r="H784" s="9"/>
      <c r="I784" s="9"/>
      <c r="J784" s="7"/>
      <c r="K784" s="13" t="str">
        <f aca="false">IF(OR($G784="",$I784=""),"",ROUND($G784*$I784,0))</f>
        <v/>
      </c>
      <c r="L784" s="13" t="str">
        <f aca="false">IF($D784="","",IF($G784="",0,$G784)+IF($H784="",0,$H784))</f>
        <v/>
      </c>
      <c r="M784" s="7"/>
    </row>
    <row r="785" customFormat="false" ht="15" hidden="false" customHeight="true" outlineLevel="0" collapsed="false">
      <c r="A785" s="11"/>
      <c r="B785" s="7"/>
      <c r="C785" s="12" t="str">
        <f aca="false">IF($B785="","",IFERROR(INDEX(거래처마스터!$B$3:$B$102,MATCH($B785,거래처마스터!$A$3:$A$102,0)),"미등록"))</f>
        <v/>
      </c>
      <c r="D785" s="7"/>
      <c r="E785" s="12" t="str">
        <f aca="false">IF($D785="","",IFERROR(INDEX(품목마스터!$B$3:$B$202,MATCH($D785,품목마스터!$A$3:$A$202,0)),"미등록품번"))</f>
        <v/>
      </c>
      <c r="F785" s="12" t="str">
        <f aca="false">IF($D785="","",IFERROR(INDEX(품목마스터!$D$3:$D$202,MATCH($D785,품목마스터!$A$3:$A$202,0)),""))</f>
        <v/>
      </c>
      <c r="G785" s="9"/>
      <c r="H785" s="9"/>
      <c r="I785" s="9"/>
      <c r="J785" s="7"/>
      <c r="K785" s="13" t="str">
        <f aca="false">IF(OR($G785="",$I785=""),"",ROUND($G785*$I785,0))</f>
        <v/>
      </c>
      <c r="L785" s="13" t="str">
        <f aca="false">IF($D785="","",IF($G785="",0,$G785)+IF($H785="",0,$H785))</f>
        <v/>
      </c>
      <c r="M785" s="7"/>
    </row>
    <row r="786" customFormat="false" ht="15" hidden="false" customHeight="true" outlineLevel="0" collapsed="false">
      <c r="A786" s="11"/>
      <c r="B786" s="7"/>
      <c r="C786" s="12" t="str">
        <f aca="false">IF($B786="","",IFERROR(INDEX(거래처마스터!$B$3:$B$102,MATCH($B786,거래처마스터!$A$3:$A$102,0)),"미등록"))</f>
        <v/>
      </c>
      <c r="D786" s="7"/>
      <c r="E786" s="12" t="str">
        <f aca="false">IF($D786="","",IFERROR(INDEX(품목마스터!$B$3:$B$202,MATCH($D786,품목마스터!$A$3:$A$202,0)),"미등록품번"))</f>
        <v/>
      </c>
      <c r="F786" s="12" t="str">
        <f aca="false">IF($D786="","",IFERROR(INDEX(품목마스터!$D$3:$D$202,MATCH($D786,품목마스터!$A$3:$A$202,0)),""))</f>
        <v/>
      </c>
      <c r="G786" s="9"/>
      <c r="H786" s="9"/>
      <c r="I786" s="9"/>
      <c r="J786" s="7"/>
      <c r="K786" s="13" t="str">
        <f aca="false">IF(OR($G786="",$I786=""),"",ROUND($G786*$I786,0))</f>
        <v/>
      </c>
      <c r="L786" s="13" t="str">
        <f aca="false">IF($D786="","",IF($G786="",0,$G786)+IF($H786="",0,$H786))</f>
        <v/>
      </c>
      <c r="M786" s="7"/>
    </row>
    <row r="787" customFormat="false" ht="15" hidden="false" customHeight="true" outlineLevel="0" collapsed="false">
      <c r="A787" s="11"/>
      <c r="B787" s="7"/>
      <c r="C787" s="12" t="str">
        <f aca="false">IF($B787="","",IFERROR(INDEX(거래처마스터!$B$3:$B$102,MATCH($B787,거래처마스터!$A$3:$A$102,0)),"미등록"))</f>
        <v/>
      </c>
      <c r="D787" s="7"/>
      <c r="E787" s="12" t="str">
        <f aca="false">IF($D787="","",IFERROR(INDEX(품목마스터!$B$3:$B$202,MATCH($D787,품목마스터!$A$3:$A$202,0)),"미등록품번"))</f>
        <v/>
      </c>
      <c r="F787" s="12" t="str">
        <f aca="false">IF($D787="","",IFERROR(INDEX(품목마스터!$D$3:$D$202,MATCH($D787,품목마스터!$A$3:$A$202,0)),""))</f>
        <v/>
      </c>
      <c r="G787" s="9"/>
      <c r="H787" s="9"/>
      <c r="I787" s="9"/>
      <c r="J787" s="7"/>
      <c r="K787" s="13" t="str">
        <f aca="false">IF(OR($G787="",$I787=""),"",ROUND($G787*$I787,0))</f>
        <v/>
      </c>
      <c r="L787" s="13" t="str">
        <f aca="false">IF($D787="","",IF($G787="",0,$G787)+IF($H787="",0,$H787))</f>
        <v/>
      </c>
      <c r="M787" s="7"/>
    </row>
    <row r="788" customFormat="false" ht="15" hidden="false" customHeight="true" outlineLevel="0" collapsed="false">
      <c r="A788" s="11"/>
      <c r="B788" s="7"/>
      <c r="C788" s="12" t="str">
        <f aca="false">IF($B788="","",IFERROR(INDEX(거래처마스터!$B$3:$B$102,MATCH($B788,거래처마스터!$A$3:$A$102,0)),"미등록"))</f>
        <v/>
      </c>
      <c r="D788" s="7"/>
      <c r="E788" s="12" t="str">
        <f aca="false">IF($D788="","",IFERROR(INDEX(품목마스터!$B$3:$B$202,MATCH($D788,품목마스터!$A$3:$A$202,0)),"미등록품번"))</f>
        <v/>
      </c>
      <c r="F788" s="12" t="str">
        <f aca="false">IF($D788="","",IFERROR(INDEX(품목마스터!$D$3:$D$202,MATCH($D788,품목마스터!$A$3:$A$202,0)),""))</f>
        <v/>
      </c>
      <c r="G788" s="9"/>
      <c r="H788" s="9"/>
      <c r="I788" s="9"/>
      <c r="J788" s="7"/>
      <c r="K788" s="13" t="str">
        <f aca="false">IF(OR($G788="",$I788=""),"",ROUND($G788*$I788,0))</f>
        <v/>
      </c>
      <c r="L788" s="13" t="str">
        <f aca="false">IF($D788="","",IF($G788="",0,$G788)+IF($H788="",0,$H788))</f>
        <v/>
      </c>
      <c r="M788" s="7"/>
    </row>
    <row r="789" customFormat="false" ht="15" hidden="false" customHeight="true" outlineLevel="0" collapsed="false">
      <c r="A789" s="11"/>
      <c r="B789" s="7"/>
      <c r="C789" s="12" t="str">
        <f aca="false">IF($B789="","",IFERROR(INDEX(거래처마스터!$B$3:$B$102,MATCH($B789,거래처마스터!$A$3:$A$102,0)),"미등록"))</f>
        <v/>
      </c>
      <c r="D789" s="7"/>
      <c r="E789" s="12" t="str">
        <f aca="false">IF($D789="","",IFERROR(INDEX(품목마스터!$B$3:$B$202,MATCH($D789,품목마스터!$A$3:$A$202,0)),"미등록품번"))</f>
        <v/>
      </c>
      <c r="F789" s="12" t="str">
        <f aca="false">IF($D789="","",IFERROR(INDEX(품목마스터!$D$3:$D$202,MATCH($D789,품목마스터!$A$3:$A$202,0)),""))</f>
        <v/>
      </c>
      <c r="G789" s="9"/>
      <c r="H789" s="9"/>
      <c r="I789" s="9"/>
      <c r="J789" s="7"/>
      <c r="K789" s="13" t="str">
        <f aca="false">IF(OR($G789="",$I789=""),"",ROUND($G789*$I789,0))</f>
        <v/>
      </c>
      <c r="L789" s="13" t="str">
        <f aca="false">IF($D789="","",IF($G789="",0,$G789)+IF($H789="",0,$H789))</f>
        <v/>
      </c>
      <c r="M789" s="7"/>
    </row>
    <row r="790" customFormat="false" ht="15" hidden="false" customHeight="true" outlineLevel="0" collapsed="false">
      <c r="A790" s="11"/>
      <c r="B790" s="7"/>
      <c r="C790" s="12" t="str">
        <f aca="false">IF($B790="","",IFERROR(INDEX(거래처마스터!$B$3:$B$102,MATCH($B790,거래처마스터!$A$3:$A$102,0)),"미등록"))</f>
        <v/>
      </c>
      <c r="D790" s="7"/>
      <c r="E790" s="12" t="str">
        <f aca="false">IF($D790="","",IFERROR(INDEX(품목마스터!$B$3:$B$202,MATCH($D790,품목마스터!$A$3:$A$202,0)),"미등록품번"))</f>
        <v/>
      </c>
      <c r="F790" s="12" t="str">
        <f aca="false">IF($D790="","",IFERROR(INDEX(품목마스터!$D$3:$D$202,MATCH($D790,품목마스터!$A$3:$A$202,0)),""))</f>
        <v/>
      </c>
      <c r="G790" s="9"/>
      <c r="H790" s="9"/>
      <c r="I790" s="9"/>
      <c r="J790" s="7"/>
      <c r="K790" s="13" t="str">
        <f aca="false">IF(OR($G790="",$I790=""),"",ROUND($G790*$I790,0))</f>
        <v/>
      </c>
      <c r="L790" s="13" t="str">
        <f aca="false">IF($D790="","",IF($G790="",0,$G790)+IF($H790="",0,$H790))</f>
        <v/>
      </c>
      <c r="M790" s="7"/>
    </row>
    <row r="791" customFormat="false" ht="15" hidden="false" customHeight="true" outlineLevel="0" collapsed="false">
      <c r="A791" s="11"/>
      <c r="B791" s="7"/>
      <c r="C791" s="12" t="str">
        <f aca="false">IF($B791="","",IFERROR(INDEX(거래처마스터!$B$3:$B$102,MATCH($B791,거래처마스터!$A$3:$A$102,0)),"미등록"))</f>
        <v/>
      </c>
      <c r="D791" s="7"/>
      <c r="E791" s="12" t="str">
        <f aca="false">IF($D791="","",IFERROR(INDEX(품목마스터!$B$3:$B$202,MATCH($D791,품목마스터!$A$3:$A$202,0)),"미등록품번"))</f>
        <v/>
      </c>
      <c r="F791" s="12" t="str">
        <f aca="false">IF($D791="","",IFERROR(INDEX(품목마스터!$D$3:$D$202,MATCH($D791,품목마스터!$A$3:$A$202,0)),""))</f>
        <v/>
      </c>
      <c r="G791" s="9"/>
      <c r="H791" s="9"/>
      <c r="I791" s="9"/>
      <c r="J791" s="7"/>
      <c r="K791" s="13" t="str">
        <f aca="false">IF(OR($G791="",$I791=""),"",ROUND($G791*$I791,0))</f>
        <v/>
      </c>
      <c r="L791" s="13" t="str">
        <f aca="false">IF($D791="","",IF($G791="",0,$G791)+IF($H791="",0,$H791))</f>
        <v/>
      </c>
      <c r="M791" s="7"/>
    </row>
    <row r="792" customFormat="false" ht="15" hidden="false" customHeight="true" outlineLevel="0" collapsed="false">
      <c r="A792" s="11"/>
      <c r="B792" s="7"/>
      <c r="C792" s="12" t="str">
        <f aca="false">IF($B792="","",IFERROR(INDEX(거래처마스터!$B$3:$B$102,MATCH($B792,거래처마스터!$A$3:$A$102,0)),"미등록"))</f>
        <v/>
      </c>
      <c r="D792" s="7"/>
      <c r="E792" s="12" t="str">
        <f aca="false">IF($D792="","",IFERROR(INDEX(품목마스터!$B$3:$B$202,MATCH($D792,품목마스터!$A$3:$A$202,0)),"미등록품번"))</f>
        <v/>
      </c>
      <c r="F792" s="12" t="str">
        <f aca="false">IF($D792="","",IFERROR(INDEX(품목마스터!$D$3:$D$202,MATCH($D792,품목마스터!$A$3:$A$202,0)),""))</f>
        <v/>
      </c>
      <c r="G792" s="9"/>
      <c r="H792" s="9"/>
      <c r="I792" s="9"/>
      <c r="J792" s="7"/>
      <c r="K792" s="13" t="str">
        <f aca="false">IF(OR($G792="",$I792=""),"",ROUND($G792*$I792,0))</f>
        <v/>
      </c>
      <c r="L792" s="13" t="str">
        <f aca="false">IF($D792="","",IF($G792="",0,$G792)+IF($H792="",0,$H792))</f>
        <v/>
      </c>
      <c r="M792" s="7"/>
    </row>
    <row r="793" customFormat="false" ht="15" hidden="false" customHeight="true" outlineLevel="0" collapsed="false">
      <c r="A793" s="11"/>
      <c r="B793" s="7"/>
      <c r="C793" s="12" t="str">
        <f aca="false">IF($B793="","",IFERROR(INDEX(거래처마스터!$B$3:$B$102,MATCH($B793,거래처마스터!$A$3:$A$102,0)),"미등록"))</f>
        <v/>
      </c>
      <c r="D793" s="7"/>
      <c r="E793" s="12" t="str">
        <f aca="false">IF($D793="","",IFERROR(INDEX(품목마스터!$B$3:$B$202,MATCH($D793,품목마스터!$A$3:$A$202,0)),"미등록품번"))</f>
        <v/>
      </c>
      <c r="F793" s="12" t="str">
        <f aca="false">IF($D793="","",IFERROR(INDEX(품목마스터!$D$3:$D$202,MATCH($D793,품목마스터!$A$3:$A$202,0)),""))</f>
        <v/>
      </c>
      <c r="G793" s="9"/>
      <c r="H793" s="9"/>
      <c r="I793" s="9"/>
      <c r="J793" s="7"/>
      <c r="K793" s="13" t="str">
        <f aca="false">IF(OR($G793="",$I793=""),"",ROUND($G793*$I793,0))</f>
        <v/>
      </c>
      <c r="L793" s="13" t="str">
        <f aca="false">IF($D793="","",IF($G793="",0,$G793)+IF($H793="",0,$H793))</f>
        <v/>
      </c>
      <c r="M793" s="7"/>
    </row>
    <row r="794" customFormat="false" ht="15" hidden="false" customHeight="true" outlineLevel="0" collapsed="false">
      <c r="A794" s="11"/>
      <c r="B794" s="7"/>
      <c r="C794" s="12" t="str">
        <f aca="false">IF($B794="","",IFERROR(INDEX(거래처마스터!$B$3:$B$102,MATCH($B794,거래처마스터!$A$3:$A$102,0)),"미등록"))</f>
        <v/>
      </c>
      <c r="D794" s="7"/>
      <c r="E794" s="12" t="str">
        <f aca="false">IF($D794="","",IFERROR(INDEX(품목마스터!$B$3:$B$202,MATCH($D794,품목마스터!$A$3:$A$202,0)),"미등록품번"))</f>
        <v/>
      </c>
      <c r="F794" s="12" t="str">
        <f aca="false">IF($D794="","",IFERROR(INDEX(품목마스터!$D$3:$D$202,MATCH($D794,품목마스터!$A$3:$A$202,0)),""))</f>
        <v/>
      </c>
      <c r="G794" s="9"/>
      <c r="H794" s="9"/>
      <c r="I794" s="9"/>
      <c r="J794" s="7"/>
      <c r="K794" s="13" t="str">
        <f aca="false">IF(OR($G794="",$I794=""),"",ROUND($G794*$I794,0))</f>
        <v/>
      </c>
      <c r="L794" s="13" t="str">
        <f aca="false">IF($D794="","",IF($G794="",0,$G794)+IF($H794="",0,$H794))</f>
        <v/>
      </c>
      <c r="M794" s="7"/>
    </row>
    <row r="795" customFormat="false" ht="15" hidden="false" customHeight="true" outlineLevel="0" collapsed="false">
      <c r="A795" s="11"/>
      <c r="B795" s="7"/>
      <c r="C795" s="12" t="str">
        <f aca="false">IF($B795="","",IFERROR(INDEX(거래처마스터!$B$3:$B$102,MATCH($B795,거래처마스터!$A$3:$A$102,0)),"미등록"))</f>
        <v/>
      </c>
      <c r="D795" s="7"/>
      <c r="E795" s="12" t="str">
        <f aca="false">IF($D795="","",IFERROR(INDEX(품목마스터!$B$3:$B$202,MATCH($D795,품목마스터!$A$3:$A$202,0)),"미등록품번"))</f>
        <v/>
      </c>
      <c r="F795" s="12" t="str">
        <f aca="false">IF($D795="","",IFERROR(INDEX(품목마스터!$D$3:$D$202,MATCH($D795,품목마스터!$A$3:$A$202,0)),""))</f>
        <v/>
      </c>
      <c r="G795" s="9"/>
      <c r="H795" s="9"/>
      <c r="I795" s="9"/>
      <c r="J795" s="7"/>
      <c r="K795" s="13" t="str">
        <f aca="false">IF(OR($G795="",$I795=""),"",ROUND($G795*$I795,0))</f>
        <v/>
      </c>
      <c r="L795" s="13" t="str">
        <f aca="false">IF($D795="","",IF($G795="",0,$G795)+IF($H795="",0,$H795))</f>
        <v/>
      </c>
      <c r="M795" s="7"/>
    </row>
    <row r="796" customFormat="false" ht="15" hidden="false" customHeight="true" outlineLevel="0" collapsed="false">
      <c r="A796" s="11"/>
      <c r="B796" s="7"/>
      <c r="C796" s="12" t="str">
        <f aca="false">IF($B796="","",IFERROR(INDEX(거래처마스터!$B$3:$B$102,MATCH($B796,거래처마스터!$A$3:$A$102,0)),"미등록"))</f>
        <v/>
      </c>
      <c r="D796" s="7"/>
      <c r="E796" s="12" t="str">
        <f aca="false">IF($D796="","",IFERROR(INDEX(품목마스터!$B$3:$B$202,MATCH($D796,품목마스터!$A$3:$A$202,0)),"미등록품번"))</f>
        <v/>
      </c>
      <c r="F796" s="12" t="str">
        <f aca="false">IF($D796="","",IFERROR(INDEX(품목마스터!$D$3:$D$202,MATCH($D796,품목마스터!$A$3:$A$202,0)),""))</f>
        <v/>
      </c>
      <c r="G796" s="9"/>
      <c r="H796" s="9"/>
      <c r="I796" s="9"/>
      <c r="J796" s="7"/>
      <c r="K796" s="13" t="str">
        <f aca="false">IF(OR($G796="",$I796=""),"",ROUND($G796*$I796,0))</f>
        <v/>
      </c>
      <c r="L796" s="13" t="str">
        <f aca="false">IF($D796="","",IF($G796="",0,$G796)+IF($H796="",0,$H796))</f>
        <v/>
      </c>
      <c r="M796" s="7"/>
    </row>
    <row r="797" customFormat="false" ht="15" hidden="false" customHeight="true" outlineLevel="0" collapsed="false">
      <c r="A797" s="11"/>
      <c r="B797" s="7"/>
      <c r="C797" s="12" t="str">
        <f aca="false">IF($B797="","",IFERROR(INDEX(거래처마스터!$B$3:$B$102,MATCH($B797,거래처마스터!$A$3:$A$102,0)),"미등록"))</f>
        <v/>
      </c>
      <c r="D797" s="7"/>
      <c r="E797" s="12" t="str">
        <f aca="false">IF($D797="","",IFERROR(INDEX(품목마스터!$B$3:$B$202,MATCH($D797,품목마스터!$A$3:$A$202,0)),"미등록품번"))</f>
        <v/>
      </c>
      <c r="F797" s="12" t="str">
        <f aca="false">IF($D797="","",IFERROR(INDEX(품목마스터!$D$3:$D$202,MATCH($D797,품목마스터!$A$3:$A$202,0)),""))</f>
        <v/>
      </c>
      <c r="G797" s="9"/>
      <c r="H797" s="9"/>
      <c r="I797" s="9"/>
      <c r="J797" s="7"/>
      <c r="K797" s="13" t="str">
        <f aca="false">IF(OR($G797="",$I797=""),"",ROUND($G797*$I797,0))</f>
        <v/>
      </c>
      <c r="L797" s="13" t="str">
        <f aca="false">IF($D797="","",IF($G797="",0,$G797)+IF($H797="",0,$H797))</f>
        <v/>
      </c>
      <c r="M797" s="7"/>
    </row>
    <row r="798" customFormat="false" ht="15" hidden="false" customHeight="true" outlineLevel="0" collapsed="false">
      <c r="A798" s="11"/>
      <c r="B798" s="7"/>
      <c r="C798" s="12" t="str">
        <f aca="false">IF($B798="","",IFERROR(INDEX(거래처마스터!$B$3:$B$102,MATCH($B798,거래처마스터!$A$3:$A$102,0)),"미등록"))</f>
        <v/>
      </c>
      <c r="D798" s="7"/>
      <c r="E798" s="12" t="str">
        <f aca="false">IF($D798="","",IFERROR(INDEX(품목마스터!$B$3:$B$202,MATCH($D798,품목마스터!$A$3:$A$202,0)),"미등록품번"))</f>
        <v/>
      </c>
      <c r="F798" s="12" t="str">
        <f aca="false">IF($D798="","",IFERROR(INDEX(품목마스터!$D$3:$D$202,MATCH($D798,품목마스터!$A$3:$A$202,0)),""))</f>
        <v/>
      </c>
      <c r="G798" s="9"/>
      <c r="H798" s="9"/>
      <c r="I798" s="9"/>
      <c r="J798" s="7"/>
      <c r="K798" s="13" t="str">
        <f aca="false">IF(OR($G798="",$I798=""),"",ROUND($G798*$I798,0))</f>
        <v/>
      </c>
      <c r="L798" s="13" t="str">
        <f aca="false">IF($D798="","",IF($G798="",0,$G798)+IF($H798="",0,$H798))</f>
        <v/>
      </c>
      <c r="M798" s="7"/>
    </row>
    <row r="799" customFormat="false" ht="15" hidden="false" customHeight="true" outlineLevel="0" collapsed="false">
      <c r="A799" s="11"/>
      <c r="B799" s="7"/>
      <c r="C799" s="12" t="str">
        <f aca="false">IF($B799="","",IFERROR(INDEX(거래처마스터!$B$3:$B$102,MATCH($B799,거래처마스터!$A$3:$A$102,0)),"미등록"))</f>
        <v/>
      </c>
      <c r="D799" s="7"/>
      <c r="E799" s="12" t="str">
        <f aca="false">IF($D799="","",IFERROR(INDEX(품목마스터!$B$3:$B$202,MATCH($D799,품목마스터!$A$3:$A$202,0)),"미등록품번"))</f>
        <v/>
      </c>
      <c r="F799" s="12" t="str">
        <f aca="false">IF($D799="","",IFERROR(INDEX(품목마스터!$D$3:$D$202,MATCH($D799,품목마스터!$A$3:$A$202,0)),""))</f>
        <v/>
      </c>
      <c r="G799" s="9"/>
      <c r="H799" s="9"/>
      <c r="I799" s="9"/>
      <c r="J799" s="7"/>
      <c r="K799" s="13" t="str">
        <f aca="false">IF(OR($G799="",$I799=""),"",ROUND($G799*$I799,0))</f>
        <v/>
      </c>
      <c r="L799" s="13" t="str">
        <f aca="false">IF($D799="","",IF($G799="",0,$G799)+IF($H799="",0,$H799))</f>
        <v/>
      </c>
      <c r="M799" s="7"/>
    </row>
    <row r="800" customFormat="false" ht="15" hidden="false" customHeight="true" outlineLevel="0" collapsed="false">
      <c r="A800" s="11"/>
      <c r="B800" s="7"/>
      <c r="C800" s="12" t="str">
        <f aca="false">IF($B800="","",IFERROR(INDEX(거래처마스터!$B$3:$B$102,MATCH($B800,거래처마스터!$A$3:$A$102,0)),"미등록"))</f>
        <v/>
      </c>
      <c r="D800" s="7"/>
      <c r="E800" s="12" t="str">
        <f aca="false">IF($D800="","",IFERROR(INDEX(품목마스터!$B$3:$B$202,MATCH($D800,품목마스터!$A$3:$A$202,0)),"미등록품번"))</f>
        <v/>
      </c>
      <c r="F800" s="12" t="str">
        <f aca="false">IF($D800="","",IFERROR(INDEX(품목마스터!$D$3:$D$202,MATCH($D800,품목마스터!$A$3:$A$202,0)),""))</f>
        <v/>
      </c>
      <c r="G800" s="9"/>
      <c r="H800" s="9"/>
      <c r="I800" s="9"/>
      <c r="J800" s="7"/>
      <c r="K800" s="13" t="str">
        <f aca="false">IF(OR($G800="",$I800=""),"",ROUND($G800*$I800,0))</f>
        <v/>
      </c>
      <c r="L800" s="13" t="str">
        <f aca="false">IF($D800="","",IF($G800="",0,$G800)+IF($H800="",0,$H800))</f>
        <v/>
      </c>
      <c r="M800" s="7"/>
    </row>
    <row r="801" customFormat="false" ht="15" hidden="false" customHeight="true" outlineLevel="0" collapsed="false">
      <c r="A801" s="11"/>
      <c r="B801" s="7"/>
      <c r="C801" s="12" t="str">
        <f aca="false">IF($B801="","",IFERROR(INDEX(거래처마스터!$B$3:$B$102,MATCH($B801,거래처마스터!$A$3:$A$102,0)),"미등록"))</f>
        <v/>
      </c>
      <c r="D801" s="7"/>
      <c r="E801" s="12" t="str">
        <f aca="false">IF($D801="","",IFERROR(INDEX(품목마스터!$B$3:$B$202,MATCH($D801,품목마스터!$A$3:$A$202,0)),"미등록품번"))</f>
        <v/>
      </c>
      <c r="F801" s="12" t="str">
        <f aca="false">IF($D801="","",IFERROR(INDEX(품목마스터!$D$3:$D$202,MATCH($D801,품목마스터!$A$3:$A$202,0)),""))</f>
        <v/>
      </c>
      <c r="G801" s="9"/>
      <c r="H801" s="9"/>
      <c r="I801" s="9"/>
      <c r="J801" s="7"/>
      <c r="K801" s="13" t="str">
        <f aca="false">IF(OR($G801="",$I801=""),"",ROUND($G801*$I801,0))</f>
        <v/>
      </c>
      <c r="L801" s="13" t="str">
        <f aca="false">IF($D801="","",IF($G801="",0,$G801)+IF($H801="",0,$H801))</f>
        <v/>
      </c>
      <c r="M801" s="7"/>
    </row>
    <row r="802" customFormat="false" ht="15" hidden="false" customHeight="true" outlineLevel="0" collapsed="false">
      <c r="A802" s="11"/>
      <c r="B802" s="7"/>
      <c r="C802" s="12" t="str">
        <f aca="false">IF($B802="","",IFERROR(INDEX(거래처마스터!$B$3:$B$102,MATCH($B802,거래처마스터!$A$3:$A$102,0)),"미등록"))</f>
        <v/>
      </c>
      <c r="D802" s="7"/>
      <c r="E802" s="12" t="str">
        <f aca="false">IF($D802="","",IFERROR(INDEX(품목마스터!$B$3:$B$202,MATCH($D802,품목마스터!$A$3:$A$202,0)),"미등록품번"))</f>
        <v/>
      </c>
      <c r="F802" s="12" t="str">
        <f aca="false">IF($D802="","",IFERROR(INDEX(품목마스터!$D$3:$D$202,MATCH($D802,품목마스터!$A$3:$A$202,0)),""))</f>
        <v/>
      </c>
      <c r="G802" s="9"/>
      <c r="H802" s="9"/>
      <c r="I802" s="9"/>
      <c r="J802" s="7"/>
      <c r="K802" s="13" t="str">
        <f aca="false">IF(OR($G802="",$I802=""),"",ROUND($G802*$I802,0))</f>
        <v/>
      </c>
      <c r="L802" s="13" t="str">
        <f aca="false">IF($D802="","",IF($G802="",0,$G802)+IF($H802="",0,$H802))</f>
        <v/>
      </c>
      <c r="M802" s="7"/>
    </row>
  </sheetData>
  <mergeCells count="1">
    <mergeCell ref="A1:M1"/>
  </mergeCells>
  <conditionalFormatting sqref="A3:M802">
    <cfRule type="expression" priority="2" aboveAverage="0" equalAverage="0" bottom="0" percent="0" rank="0" text="" dxfId="0">
      <formula>$H3&gt;0</formula>
    </cfRule>
  </conditionalFormatting>
  <dataValidations count="3">
    <dataValidation allowBlank="true" errorStyle="stop" operator="between" showDropDown="false" showErrorMessage="false" showInputMessage="false" sqref="B3:B802" type="list">
      <formula1>거래처마스터!$A$3:$A$102</formula1>
      <formula2>0</formula2>
    </dataValidation>
    <dataValidation allowBlank="true" errorStyle="stop" operator="between" showDropDown="false" showErrorMessage="false" showInputMessage="false" sqref="D3:D802" type="list">
      <formula1>품목마스터!$A$3:$A$202</formula1>
      <formula2>0</formula2>
    </dataValidation>
    <dataValidation allowBlank="true" errorStyle="stop" operator="between" showDropDown="false" showErrorMessage="false" showInputMessage="false" sqref="J3:J802" type="list">
      <formula1>"정상,행사,인상"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34"/>
  </cols>
  <sheetData>
    <row r="1" customFormat="false" ht="25.5" hidden="false" customHeight="true" outlineLevel="0" collapsed="false">
      <c r="A1" s="2" t="s">
        <v>71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6" t="s">
        <v>72</v>
      </c>
      <c r="B2" s="6" t="s">
        <v>27</v>
      </c>
      <c r="C2" s="10" t="s">
        <v>60</v>
      </c>
      <c r="D2" s="6" t="s">
        <v>73</v>
      </c>
      <c r="E2" s="6" t="s">
        <v>74</v>
      </c>
      <c r="F2" s="6" t="s">
        <v>75</v>
      </c>
    </row>
    <row r="3" customFormat="false" ht="15" hidden="false" customHeight="true" outlineLevel="0" collapsed="false">
      <c r="A3" s="11" t="n">
        <v>46269</v>
      </c>
      <c r="B3" s="7" t="inlineStr">
        <is>
          <t>P002</t>
        </is>
      </c>
      <c r="C3" s="12" t="str">
        <f aca="false">IF($B3="","",IFERROR(INDEX(품목마스터!$B$3:$B$202,MATCH($B3,품목마스터!$A$3:$A$202,0)),"미등록품번"))</f>
        <v>홍삼정 240g</v>
      </c>
      <c r="D3" s="7" t="inlineStr">
        <is>
          <t>파손</t>
        </is>
      </c>
      <c r="E3" s="14" t="n">
        <v>-3</v>
      </c>
      <c r="F3" s="7" t="inlineStr">
        <is>
          <t>운반 중 파손</t>
        </is>
      </c>
    </row>
    <row r="4" customFormat="false" ht="15" hidden="false" customHeight="true" outlineLevel="0" collapsed="false">
      <c r="A4" s="11" t="n">
        <v>46272</v>
      </c>
      <c r="B4" s="7" t="inlineStr">
        <is>
          <t>P001</t>
        </is>
      </c>
      <c r="C4" s="12" t="str">
        <f aca="false">IF($B4="","",IFERROR(INDEX(품목마스터!$B$3:$B$202,MATCH($B4,품목마스터!$A$3:$A$202,0)),"미등록품번"))</f>
        <v>홍삼즙 30포</v>
      </c>
      <c r="D4" s="7" t="inlineStr">
        <is>
          <t>샘플</t>
        </is>
      </c>
      <c r="E4" s="14" t="n">
        <v>-5</v>
      </c>
      <c r="F4" s="7" t="inlineStr">
        <is>
          <t>신규 거래처 샘플 제공</t>
        </is>
      </c>
    </row>
    <row r="5" customFormat="false" ht="15" hidden="false" customHeight="true" outlineLevel="0" collapsed="false">
      <c r="A5" s="11" t="n">
        <v>46275</v>
      </c>
      <c r="B5" s="7" t="inlineStr">
        <is>
          <t>P003</t>
        </is>
      </c>
      <c r="C5" s="12" t="str">
        <f aca="false">IF($B5="","",IFERROR(INDEX(품목마스터!$B$3:$B$202,MATCH($B5,품목마스터!$A$3:$A$202,0)),"미등록품번"))</f>
        <v>선물세트 A</v>
      </c>
      <c r="D5" s="7" t="inlineStr">
        <is>
          <t>반품입고</t>
        </is>
      </c>
      <c r="E5" s="14" t="n">
        <v>2</v>
      </c>
      <c r="F5" s="7" t="inlineStr">
        <is>
          <t>대리점 반품 입고</t>
        </is>
      </c>
    </row>
    <row r="6" customFormat="false" ht="15" hidden="false" customHeight="true" outlineLevel="0" collapsed="false">
      <c r="A6" s="11"/>
      <c r="B6" s="7"/>
      <c r="C6" s="12" t="str">
        <f aca="false">IF($B6="","",IFERROR(INDEX(품목마스터!$B$3:$B$202,MATCH($B6,품목마스터!$A$3:$A$202,0)),"미등록품번"))</f>
        <v/>
      </c>
      <c r="D6" s="7"/>
      <c r="E6" s="14"/>
      <c r="F6" s="7"/>
    </row>
    <row r="7" customFormat="false" ht="15" hidden="false" customHeight="true" outlineLevel="0" collapsed="false">
      <c r="A7" s="11"/>
      <c r="B7" s="7"/>
      <c r="C7" s="12" t="str">
        <f aca="false">IF($B7="","",IFERROR(INDEX(품목마스터!$B$3:$B$202,MATCH($B7,품목마스터!$A$3:$A$202,0)),"미등록품번"))</f>
        <v/>
      </c>
      <c r="D7" s="7"/>
      <c r="E7" s="14"/>
      <c r="F7" s="7"/>
    </row>
    <row r="8" customFormat="false" ht="15" hidden="false" customHeight="true" outlineLevel="0" collapsed="false">
      <c r="A8" s="11"/>
      <c r="B8" s="7"/>
      <c r="C8" s="12" t="str">
        <f aca="false">IF($B8="","",IFERROR(INDEX(품목마스터!$B$3:$B$202,MATCH($B8,품목마스터!$A$3:$A$202,0)),"미등록품번"))</f>
        <v/>
      </c>
      <c r="D8" s="7"/>
      <c r="E8" s="14"/>
      <c r="F8" s="7"/>
    </row>
    <row r="9" customFormat="false" ht="15" hidden="false" customHeight="true" outlineLevel="0" collapsed="false">
      <c r="A9" s="11"/>
      <c r="B9" s="7"/>
      <c r="C9" s="12" t="str">
        <f aca="false">IF($B9="","",IFERROR(INDEX(품목마스터!$B$3:$B$202,MATCH($B9,품목마스터!$A$3:$A$202,0)),"미등록품번"))</f>
        <v/>
      </c>
      <c r="D9" s="7"/>
      <c r="E9" s="14"/>
      <c r="F9" s="7"/>
    </row>
    <row r="10" customFormat="false" ht="15" hidden="false" customHeight="true" outlineLevel="0" collapsed="false">
      <c r="A10" s="11"/>
      <c r="B10" s="7"/>
      <c r="C10" s="12" t="str">
        <f aca="false">IF($B10="","",IFERROR(INDEX(품목마스터!$B$3:$B$202,MATCH($B10,품목마스터!$A$3:$A$202,0)),"미등록품번"))</f>
        <v/>
      </c>
      <c r="D10" s="7"/>
      <c r="E10" s="14"/>
      <c r="F10" s="7"/>
    </row>
    <row r="11" customFormat="false" ht="15" hidden="false" customHeight="true" outlineLevel="0" collapsed="false">
      <c r="A11" s="11"/>
      <c r="B11" s="7"/>
      <c r="C11" s="12" t="str">
        <f aca="false">IF($B11="","",IFERROR(INDEX(품목마스터!$B$3:$B$202,MATCH($B11,품목마스터!$A$3:$A$202,0)),"미등록품번"))</f>
        <v/>
      </c>
      <c r="D11" s="7"/>
      <c r="E11" s="14"/>
      <c r="F11" s="7"/>
    </row>
    <row r="12" customFormat="false" ht="15" hidden="false" customHeight="true" outlineLevel="0" collapsed="false">
      <c r="A12" s="11"/>
      <c r="B12" s="7"/>
      <c r="C12" s="12" t="str">
        <f aca="false">IF($B12="","",IFERROR(INDEX(품목마스터!$B$3:$B$202,MATCH($B12,품목마스터!$A$3:$A$202,0)),"미등록품번"))</f>
        <v/>
      </c>
      <c r="D12" s="7"/>
      <c r="E12" s="14"/>
      <c r="F12" s="7"/>
    </row>
    <row r="13" customFormat="false" ht="15" hidden="false" customHeight="true" outlineLevel="0" collapsed="false">
      <c r="A13" s="11"/>
      <c r="B13" s="7"/>
      <c r="C13" s="12" t="str">
        <f aca="false">IF($B13="","",IFERROR(INDEX(품목마스터!$B$3:$B$202,MATCH($B13,품목마스터!$A$3:$A$202,0)),"미등록품번"))</f>
        <v/>
      </c>
      <c r="D13" s="7"/>
      <c r="E13" s="14"/>
      <c r="F13" s="7"/>
    </row>
    <row r="14" customFormat="false" ht="15" hidden="false" customHeight="true" outlineLevel="0" collapsed="false">
      <c r="A14" s="11"/>
      <c r="B14" s="7"/>
      <c r="C14" s="12" t="str">
        <f aca="false">IF($B14="","",IFERROR(INDEX(품목마스터!$B$3:$B$202,MATCH($B14,품목마스터!$A$3:$A$202,0)),"미등록품번"))</f>
        <v/>
      </c>
      <c r="D14" s="7"/>
      <c r="E14" s="14"/>
      <c r="F14" s="7"/>
    </row>
    <row r="15" customFormat="false" ht="15" hidden="false" customHeight="true" outlineLevel="0" collapsed="false">
      <c r="A15" s="11"/>
      <c r="B15" s="7"/>
      <c r="C15" s="12" t="str">
        <f aca="false">IF($B15="","",IFERROR(INDEX(품목마스터!$B$3:$B$202,MATCH($B15,품목마스터!$A$3:$A$202,0)),"미등록품번"))</f>
        <v/>
      </c>
      <c r="D15" s="7"/>
      <c r="E15" s="14"/>
      <c r="F15" s="7"/>
    </row>
    <row r="16" customFormat="false" ht="15" hidden="false" customHeight="true" outlineLevel="0" collapsed="false">
      <c r="A16" s="11"/>
      <c r="B16" s="7"/>
      <c r="C16" s="12" t="str">
        <f aca="false">IF($B16="","",IFERROR(INDEX(품목마스터!$B$3:$B$202,MATCH($B16,품목마스터!$A$3:$A$202,0)),"미등록품번"))</f>
        <v/>
      </c>
      <c r="D16" s="7"/>
      <c r="E16" s="14"/>
      <c r="F16" s="7"/>
    </row>
    <row r="17" customFormat="false" ht="15" hidden="false" customHeight="true" outlineLevel="0" collapsed="false">
      <c r="A17" s="11"/>
      <c r="B17" s="7"/>
      <c r="C17" s="12" t="str">
        <f aca="false">IF($B17="","",IFERROR(INDEX(품목마스터!$B$3:$B$202,MATCH($B17,품목마스터!$A$3:$A$202,0)),"미등록품번"))</f>
        <v/>
      </c>
      <c r="D17" s="7"/>
      <c r="E17" s="14"/>
      <c r="F17" s="7"/>
    </row>
    <row r="18" customFormat="false" ht="15" hidden="false" customHeight="true" outlineLevel="0" collapsed="false">
      <c r="A18" s="11"/>
      <c r="B18" s="7"/>
      <c r="C18" s="12" t="str">
        <f aca="false">IF($B18="","",IFERROR(INDEX(품목마스터!$B$3:$B$202,MATCH($B18,품목마스터!$A$3:$A$202,0)),"미등록품번"))</f>
        <v/>
      </c>
      <c r="D18" s="7"/>
      <c r="E18" s="14"/>
      <c r="F18" s="7"/>
    </row>
    <row r="19" customFormat="false" ht="15" hidden="false" customHeight="true" outlineLevel="0" collapsed="false">
      <c r="A19" s="11"/>
      <c r="B19" s="7"/>
      <c r="C19" s="12" t="str">
        <f aca="false">IF($B19="","",IFERROR(INDEX(품목마스터!$B$3:$B$202,MATCH($B19,품목마스터!$A$3:$A$202,0)),"미등록품번"))</f>
        <v/>
      </c>
      <c r="D19" s="7"/>
      <c r="E19" s="14"/>
      <c r="F19" s="7"/>
    </row>
    <row r="20" customFormat="false" ht="15" hidden="false" customHeight="true" outlineLevel="0" collapsed="false">
      <c r="A20" s="11"/>
      <c r="B20" s="7"/>
      <c r="C20" s="12" t="str">
        <f aca="false">IF($B20="","",IFERROR(INDEX(품목마스터!$B$3:$B$202,MATCH($B20,품목마스터!$A$3:$A$202,0)),"미등록품번"))</f>
        <v/>
      </c>
      <c r="D20" s="7"/>
      <c r="E20" s="14"/>
      <c r="F20" s="7"/>
    </row>
    <row r="21" customFormat="false" ht="15" hidden="false" customHeight="true" outlineLevel="0" collapsed="false">
      <c r="A21" s="11"/>
      <c r="B21" s="7"/>
      <c r="C21" s="12" t="str">
        <f aca="false">IF($B21="","",IFERROR(INDEX(품목마스터!$B$3:$B$202,MATCH($B21,품목마스터!$A$3:$A$202,0)),"미등록품번"))</f>
        <v/>
      </c>
      <c r="D21" s="7"/>
      <c r="E21" s="14"/>
      <c r="F21" s="7"/>
    </row>
    <row r="22" customFormat="false" ht="15" hidden="false" customHeight="true" outlineLevel="0" collapsed="false">
      <c r="A22" s="11"/>
      <c r="B22" s="7"/>
      <c r="C22" s="12" t="str">
        <f aca="false">IF($B22="","",IFERROR(INDEX(품목마스터!$B$3:$B$202,MATCH($B22,품목마스터!$A$3:$A$202,0)),"미등록품번"))</f>
        <v/>
      </c>
      <c r="D22" s="7"/>
      <c r="E22" s="14"/>
      <c r="F22" s="7"/>
    </row>
    <row r="23" customFormat="false" ht="15" hidden="false" customHeight="true" outlineLevel="0" collapsed="false">
      <c r="A23" s="11"/>
      <c r="B23" s="7"/>
      <c r="C23" s="12" t="str">
        <f aca="false">IF($B23="","",IFERROR(INDEX(품목마스터!$B$3:$B$202,MATCH($B23,품목마스터!$A$3:$A$202,0)),"미등록품번"))</f>
        <v/>
      </c>
      <c r="D23" s="7"/>
      <c r="E23" s="14"/>
      <c r="F23" s="7"/>
    </row>
    <row r="24" customFormat="false" ht="15" hidden="false" customHeight="true" outlineLevel="0" collapsed="false">
      <c r="A24" s="11"/>
      <c r="B24" s="7"/>
      <c r="C24" s="12" t="str">
        <f aca="false">IF($B24="","",IFERROR(INDEX(품목마스터!$B$3:$B$202,MATCH($B24,품목마스터!$A$3:$A$202,0)),"미등록품번"))</f>
        <v/>
      </c>
      <c r="D24" s="7"/>
      <c r="E24" s="14"/>
      <c r="F24" s="7"/>
    </row>
    <row r="25" customFormat="false" ht="15" hidden="false" customHeight="true" outlineLevel="0" collapsed="false">
      <c r="A25" s="11"/>
      <c r="B25" s="7"/>
      <c r="C25" s="12" t="str">
        <f aca="false">IF($B25="","",IFERROR(INDEX(품목마스터!$B$3:$B$202,MATCH($B25,품목마스터!$A$3:$A$202,0)),"미등록품번"))</f>
        <v/>
      </c>
      <c r="D25" s="7"/>
      <c r="E25" s="14"/>
      <c r="F25" s="7"/>
    </row>
    <row r="26" customFormat="false" ht="15" hidden="false" customHeight="true" outlineLevel="0" collapsed="false">
      <c r="A26" s="11"/>
      <c r="B26" s="7"/>
      <c r="C26" s="12" t="str">
        <f aca="false">IF($B26="","",IFERROR(INDEX(품목마스터!$B$3:$B$202,MATCH($B26,품목마스터!$A$3:$A$202,0)),"미등록품번"))</f>
        <v/>
      </c>
      <c r="D26" s="7"/>
      <c r="E26" s="14"/>
      <c r="F26" s="7"/>
    </row>
    <row r="27" customFormat="false" ht="15" hidden="false" customHeight="true" outlineLevel="0" collapsed="false">
      <c r="A27" s="11"/>
      <c r="B27" s="7"/>
      <c r="C27" s="12" t="str">
        <f aca="false">IF($B27="","",IFERROR(INDEX(품목마스터!$B$3:$B$202,MATCH($B27,품목마스터!$A$3:$A$202,0)),"미등록품번"))</f>
        <v/>
      </c>
      <c r="D27" s="7"/>
      <c r="E27" s="14"/>
      <c r="F27" s="7"/>
    </row>
    <row r="28" customFormat="false" ht="15" hidden="false" customHeight="true" outlineLevel="0" collapsed="false">
      <c r="A28" s="11"/>
      <c r="B28" s="7"/>
      <c r="C28" s="12" t="str">
        <f aca="false">IF($B28="","",IFERROR(INDEX(품목마스터!$B$3:$B$202,MATCH($B28,품목마스터!$A$3:$A$202,0)),"미등록품번"))</f>
        <v/>
      </c>
      <c r="D28" s="7"/>
      <c r="E28" s="14"/>
      <c r="F28" s="7"/>
    </row>
    <row r="29" customFormat="false" ht="15" hidden="false" customHeight="true" outlineLevel="0" collapsed="false">
      <c r="A29" s="11"/>
      <c r="B29" s="7"/>
      <c r="C29" s="12" t="str">
        <f aca="false">IF($B29="","",IFERROR(INDEX(품목마스터!$B$3:$B$202,MATCH($B29,품목마스터!$A$3:$A$202,0)),"미등록품번"))</f>
        <v/>
      </c>
      <c r="D29" s="7"/>
      <c r="E29" s="14"/>
      <c r="F29" s="7"/>
    </row>
    <row r="30" customFormat="false" ht="15" hidden="false" customHeight="true" outlineLevel="0" collapsed="false">
      <c r="A30" s="11"/>
      <c r="B30" s="7"/>
      <c r="C30" s="12" t="str">
        <f aca="false">IF($B30="","",IFERROR(INDEX(품목마스터!$B$3:$B$202,MATCH($B30,품목마스터!$A$3:$A$202,0)),"미등록품번"))</f>
        <v/>
      </c>
      <c r="D30" s="7"/>
      <c r="E30" s="14"/>
      <c r="F30" s="7"/>
    </row>
    <row r="31" customFormat="false" ht="15" hidden="false" customHeight="true" outlineLevel="0" collapsed="false">
      <c r="A31" s="11"/>
      <c r="B31" s="7"/>
      <c r="C31" s="12" t="str">
        <f aca="false">IF($B31="","",IFERROR(INDEX(품목마스터!$B$3:$B$202,MATCH($B31,품목마스터!$A$3:$A$202,0)),"미등록품번"))</f>
        <v/>
      </c>
      <c r="D31" s="7"/>
      <c r="E31" s="14"/>
      <c r="F31" s="7"/>
    </row>
    <row r="32" customFormat="false" ht="15" hidden="false" customHeight="true" outlineLevel="0" collapsed="false">
      <c r="A32" s="11"/>
      <c r="B32" s="7"/>
      <c r="C32" s="12" t="str">
        <f aca="false">IF($B32="","",IFERROR(INDEX(품목마스터!$B$3:$B$202,MATCH($B32,품목마스터!$A$3:$A$202,0)),"미등록품번"))</f>
        <v/>
      </c>
      <c r="D32" s="7"/>
      <c r="E32" s="14"/>
      <c r="F32" s="7"/>
    </row>
    <row r="33" customFormat="false" ht="15" hidden="false" customHeight="true" outlineLevel="0" collapsed="false">
      <c r="A33" s="11"/>
      <c r="B33" s="7"/>
      <c r="C33" s="12" t="str">
        <f aca="false">IF($B33="","",IFERROR(INDEX(품목마스터!$B$3:$B$202,MATCH($B33,품목마스터!$A$3:$A$202,0)),"미등록품번"))</f>
        <v/>
      </c>
      <c r="D33" s="7"/>
      <c r="E33" s="14"/>
      <c r="F33" s="7"/>
    </row>
    <row r="34" customFormat="false" ht="15" hidden="false" customHeight="true" outlineLevel="0" collapsed="false">
      <c r="A34" s="11"/>
      <c r="B34" s="7"/>
      <c r="C34" s="12" t="str">
        <f aca="false">IF($B34="","",IFERROR(INDEX(품목마스터!$B$3:$B$202,MATCH($B34,품목마스터!$A$3:$A$202,0)),"미등록품번"))</f>
        <v/>
      </c>
      <c r="D34" s="7"/>
      <c r="E34" s="14"/>
      <c r="F34" s="7"/>
    </row>
    <row r="35" customFormat="false" ht="15" hidden="false" customHeight="true" outlineLevel="0" collapsed="false">
      <c r="A35" s="11"/>
      <c r="B35" s="7"/>
      <c r="C35" s="12" t="str">
        <f aca="false">IF($B35="","",IFERROR(INDEX(품목마스터!$B$3:$B$202,MATCH($B35,품목마스터!$A$3:$A$202,0)),"미등록품번"))</f>
        <v/>
      </c>
      <c r="D35" s="7"/>
      <c r="E35" s="14"/>
      <c r="F35" s="7"/>
    </row>
    <row r="36" customFormat="false" ht="15" hidden="false" customHeight="true" outlineLevel="0" collapsed="false">
      <c r="A36" s="11"/>
      <c r="B36" s="7"/>
      <c r="C36" s="12" t="str">
        <f aca="false">IF($B36="","",IFERROR(INDEX(품목마스터!$B$3:$B$202,MATCH($B36,품목마스터!$A$3:$A$202,0)),"미등록품번"))</f>
        <v/>
      </c>
      <c r="D36" s="7"/>
      <c r="E36" s="14"/>
      <c r="F36" s="7"/>
    </row>
    <row r="37" customFormat="false" ht="15" hidden="false" customHeight="true" outlineLevel="0" collapsed="false">
      <c r="A37" s="11"/>
      <c r="B37" s="7"/>
      <c r="C37" s="12" t="str">
        <f aca="false">IF($B37="","",IFERROR(INDEX(품목마스터!$B$3:$B$202,MATCH($B37,품목마스터!$A$3:$A$202,0)),"미등록품번"))</f>
        <v/>
      </c>
      <c r="D37" s="7"/>
      <c r="E37" s="14"/>
      <c r="F37" s="7"/>
    </row>
    <row r="38" customFormat="false" ht="15" hidden="false" customHeight="true" outlineLevel="0" collapsed="false">
      <c r="A38" s="11"/>
      <c r="B38" s="7"/>
      <c r="C38" s="12" t="str">
        <f aca="false">IF($B38="","",IFERROR(INDEX(품목마스터!$B$3:$B$202,MATCH($B38,품목마스터!$A$3:$A$202,0)),"미등록품번"))</f>
        <v/>
      </c>
      <c r="D38" s="7"/>
      <c r="E38" s="14"/>
      <c r="F38" s="7"/>
    </row>
    <row r="39" customFormat="false" ht="15" hidden="false" customHeight="true" outlineLevel="0" collapsed="false">
      <c r="A39" s="11"/>
      <c r="B39" s="7"/>
      <c r="C39" s="12" t="str">
        <f aca="false">IF($B39="","",IFERROR(INDEX(품목마스터!$B$3:$B$202,MATCH($B39,품목마스터!$A$3:$A$202,0)),"미등록품번"))</f>
        <v/>
      </c>
      <c r="D39" s="7"/>
      <c r="E39" s="14"/>
      <c r="F39" s="7"/>
    </row>
    <row r="40" customFormat="false" ht="15" hidden="false" customHeight="true" outlineLevel="0" collapsed="false">
      <c r="A40" s="11"/>
      <c r="B40" s="7"/>
      <c r="C40" s="12" t="str">
        <f aca="false">IF($B40="","",IFERROR(INDEX(품목마스터!$B$3:$B$202,MATCH($B40,품목마스터!$A$3:$A$202,0)),"미등록품번"))</f>
        <v/>
      </c>
      <c r="D40" s="7"/>
      <c r="E40" s="14"/>
      <c r="F40" s="7"/>
    </row>
    <row r="41" customFormat="false" ht="15" hidden="false" customHeight="true" outlineLevel="0" collapsed="false">
      <c r="A41" s="11"/>
      <c r="B41" s="7"/>
      <c r="C41" s="12" t="str">
        <f aca="false">IF($B41="","",IFERROR(INDEX(품목마스터!$B$3:$B$202,MATCH($B41,품목마스터!$A$3:$A$202,0)),"미등록품번"))</f>
        <v/>
      </c>
      <c r="D41" s="7"/>
      <c r="E41" s="14"/>
      <c r="F41" s="7"/>
    </row>
    <row r="42" customFormat="false" ht="15" hidden="false" customHeight="true" outlineLevel="0" collapsed="false">
      <c r="A42" s="11"/>
      <c r="B42" s="7"/>
      <c r="C42" s="12" t="str">
        <f aca="false">IF($B42="","",IFERROR(INDEX(품목마스터!$B$3:$B$202,MATCH($B42,품목마스터!$A$3:$A$202,0)),"미등록품번"))</f>
        <v/>
      </c>
      <c r="D42" s="7"/>
      <c r="E42" s="14"/>
      <c r="F42" s="7"/>
    </row>
    <row r="43" customFormat="false" ht="15" hidden="false" customHeight="true" outlineLevel="0" collapsed="false">
      <c r="A43" s="11"/>
      <c r="B43" s="7"/>
      <c r="C43" s="12" t="str">
        <f aca="false">IF($B43="","",IFERROR(INDEX(품목마스터!$B$3:$B$202,MATCH($B43,품목마스터!$A$3:$A$202,0)),"미등록품번"))</f>
        <v/>
      </c>
      <c r="D43" s="7"/>
      <c r="E43" s="14"/>
      <c r="F43" s="7"/>
    </row>
    <row r="44" customFormat="false" ht="15" hidden="false" customHeight="true" outlineLevel="0" collapsed="false">
      <c r="A44" s="11"/>
      <c r="B44" s="7"/>
      <c r="C44" s="12" t="str">
        <f aca="false">IF($B44="","",IFERROR(INDEX(품목마스터!$B$3:$B$202,MATCH($B44,품목마스터!$A$3:$A$202,0)),"미등록품번"))</f>
        <v/>
      </c>
      <c r="D44" s="7"/>
      <c r="E44" s="14"/>
      <c r="F44" s="7"/>
    </row>
    <row r="45" customFormat="false" ht="15" hidden="false" customHeight="true" outlineLevel="0" collapsed="false">
      <c r="A45" s="11"/>
      <c r="B45" s="7"/>
      <c r="C45" s="12" t="str">
        <f aca="false">IF($B45="","",IFERROR(INDEX(품목마스터!$B$3:$B$202,MATCH($B45,품목마스터!$A$3:$A$202,0)),"미등록품번"))</f>
        <v/>
      </c>
      <c r="D45" s="7"/>
      <c r="E45" s="14"/>
      <c r="F45" s="7"/>
    </row>
    <row r="46" customFormat="false" ht="15" hidden="false" customHeight="true" outlineLevel="0" collapsed="false">
      <c r="A46" s="11"/>
      <c r="B46" s="7"/>
      <c r="C46" s="12" t="str">
        <f aca="false">IF($B46="","",IFERROR(INDEX(품목마스터!$B$3:$B$202,MATCH($B46,품목마스터!$A$3:$A$202,0)),"미등록품번"))</f>
        <v/>
      </c>
      <c r="D46" s="7"/>
      <c r="E46" s="14"/>
      <c r="F46" s="7"/>
    </row>
    <row r="47" customFormat="false" ht="15" hidden="false" customHeight="true" outlineLevel="0" collapsed="false">
      <c r="A47" s="11"/>
      <c r="B47" s="7"/>
      <c r="C47" s="12" t="str">
        <f aca="false">IF($B47="","",IFERROR(INDEX(품목마스터!$B$3:$B$202,MATCH($B47,품목마스터!$A$3:$A$202,0)),"미등록품번"))</f>
        <v/>
      </c>
      <c r="D47" s="7"/>
      <c r="E47" s="14"/>
      <c r="F47" s="7"/>
    </row>
    <row r="48" customFormat="false" ht="15" hidden="false" customHeight="true" outlineLevel="0" collapsed="false">
      <c r="A48" s="11"/>
      <c r="B48" s="7"/>
      <c r="C48" s="12" t="str">
        <f aca="false">IF($B48="","",IFERROR(INDEX(품목마스터!$B$3:$B$202,MATCH($B48,품목마스터!$A$3:$A$202,0)),"미등록품번"))</f>
        <v/>
      </c>
      <c r="D48" s="7"/>
      <c r="E48" s="14"/>
      <c r="F48" s="7"/>
    </row>
    <row r="49" customFormat="false" ht="15" hidden="false" customHeight="true" outlineLevel="0" collapsed="false">
      <c r="A49" s="11"/>
      <c r="B49" s="7"/>
      <c r="C49" s="12" t="str">
        <f aca="false">IF($B49="","",IFERROR(INDEX(품목마스터!$B$3:$B$202,MATCH($B49,품목마스터!$A$3:$A$202,0)),"미등록품번"))</f>
        <v/>
      </c>
      <c r="D49" s="7"/>
      <c r="E49" s="14"/>
      <c r="F49" s="7"/>
    </row>
    <row r="50" customFormat="false" ht="15" hidden="false" customHeight="true" outlineLevel="0" collapsed="false">
      <c r="A50" s="11"/>
      <c r="B50" s="7"/>
      <c r="C50" s="12" t="str">
        <f aca="false">IF($B50="","",IFERROR(INDEX(품목마스터!$B$3:$B$202,MATCH($B50,품목마스터!$A$3:$A$202,0)),"미등록품번"))</f>
        <v/>
      </c>
      <c r="D50" s="7"/>
      <c r="E50" s="14"/>
      <c r="F50" s="7"/>
    </row>
    <row r="51" customFormat="false" ht="15" hidden="false" customHeight="true" outlineLevel="0" collapsed="false">
      <c r="A51" s="11"/>
      <c r="B51" s="7"/>
      <c r="C51" s="12" t="str">
        <f aca="false">IF($B51="","",IFERROR(INDEX(품목마스터!$B$3:$B$202,MATCH($B51,품목마스터!$A$3:$A$202,0)),"미등록품번"))</f>
        <v/>
      </c>
      <c r="D51" s="7"/>
      <c r="E51" s="14"/>
      <c r="F51" s="7"/>
    </row>
    <row r="52" customFormat="false" ht="15" hidden="false" customHeight="true" outlineLevel="0" collapsed="false">
      <c r="A52" s="11"/>
      <c r="B52" s="7"/>
      <c r="C52" s="12" t="str">
        <f aca="false">IF($B52="","",IFERROR(INDEX(품목마스터!$B$3:$B$202,MATCH($B52,품목마스터!$A$3:$A$202,0)),"미등록품번"))</f>
        <v/>
      </c>
      <c r="D52" s="7"/>
      <c r="E52" s="14"/>
      <c r="F52" s="7"/>
    </row>
    <row r="53" customFormat="false" ht="15" hidden="false" customHeight="true" outlineLevel="0" collapsed="false">
      <c r="A53" s="11"/>
      <c r="B53" s="7"/>
      <c r="C53" s="12" t="str">
        <f aca="false">IF($B53="","",IFERROR(INDEX(품목마스터!$B$3:$B$202,MATCH($B53,품목마스터!$A$3:$A$202,0)),"미등록품번"))</f>
        <v/>
      </c>
      <c r="D53" s="7"/>
      <c r="E53" s="14"/>
      <c r="F53" s="7"/>
    </row>
    <row r="54" customFormat="false" ht="15" hidden="false" customHeight="true" outlineLevel="0" collapsed="false">
      <c r="A54" s="11"/>
      <c r="B54" s="7"/>
      <c r="C54" s="12" t="str">
        <f aca="false">IF($B54="","",IFERROR(INDEX(품목마스터!$B$3:$B$202,MATCH($B54,품목마스터!$A$3:$A$202,0)),"미등록품번"))</f>
        <v/>
      </c>
      <c r="D54" s="7"/>
      <c r="E54" s="14"/>
      <c r="F54" s="7"/>
    </row>
    <row r="55" customFormat="false" ht="15" hidden="false" customHeight="true" outlineLevel="0" collapsed="false">
      <c r="A55" s="11"/>
      <c r="B55" s="7"/>
      <c r="C55" s="12" t="str">
        <f aca="false">IF($B55="","",IFERROR(INDEX(품목마스터!$B$3:$B$202,MATCH($B55,품목마스터!$A$3:$A$202,0)),"미등록품번"))</f>
        <v/>
      </c>
      <c r="D55" s="7"/>
      <c r="E55" s="14"/>
      <c r="F55" s="7"/>
    </row>
    <row r="56" customFormat="false" ht="15" hidden="false" customHeight="true" outlineLevel="0" collapsed="false">
      <c r="A56" s="11"/>
      <c r="B56" s="7"/>
      <c r="C56" s="12" t="str">
        <f aca="false">IF($B56="","",IFERROR(INDEX(품목마스터!$B$3:$B$202,MATCH($B56,품목마스터!$A$3:$A$202,0)),"미등록품번"))</f>
        <v/>
      </c>
      <c r="D56" s="7"/>
      <c r="E56" s="14"/>
      <c r="F56" s="7"/>
    </row>
    <row r="57" customFormat="false" ht="15" hidden="false" customHeight="true" outlineLevel="0" collapsed="false">
      <c r="A57" s="11"/>
      <c r="B57" s="7"/>
      <c r="C57" s="12" t="str">
        <f aca="false">IF($B57="","",IFERROR(INDEX(품목마스터!$B$3:$B$202,MATCH($B57,품목마스터!$A$3:$A$202,0)),"미등록품번"))</f>
        <v/>
      </c>
      <c r="D57" s="7"/>
      <c r="E57" s="14"/>
      <c r="F57" s="7"/>
    </row>
    <row r="58" customFormat="false" ht="15" hidden="false" customHeight="true" outlineLevel="0" collapsed="false">
      <c r="A58" s="11"/>
      <c r="B58" s="7"/>
      <c r="C58" s="12" t="str">
        <f aca="false">IF($B58="","",IFERROR(INDEX(품목마스터!$B$3:$B$202,MATCH($B58,품목마스터!$A$3:$A$202,0)),"미등록품번"))</f>
        <v/>
      </c>
      <c r="D58" s="7"/>
      <c r="E58" s="14"/>
      <c r="F58" s="7"/>
    </row>
    <row r="59" customFormat="false" ht="15" hidden="false" customHeight="true" outlineLevel="0" collapsed="false">
      <c r="A59" s="11"/>
      <c r="B59" s="7"/>
      <c r="C59" s="12" t="str">
        <f aca="false">IF($B59="","",IFERROR(INDEX(품목마스터!$B$3:$B$202,MATCH($B59,품목마스터!$A$3:$A$202,0)),"미등록품번"))</f>
        <v/>
      </c>
      <c r="D59" s="7"/>
      <c r="E59" s="14"/>
      <c r="F59" s="7"/>
    </row>
    <row r="60" customFormat="false" ht="15" hidden="false" customHeight="true" outlineLevel="0" collapsed="false">
      <c r="A60" s="11"/>
      <c r="B60" s="7"/>
      <c r="C60" s="12" t="str">
        <f aca="false">IF($B60="","",IFERROR(INDEX(품목마스터!$B$3:$B$202,MATCH($B60,품목마스터!$A$3:$A$202,0)),"미등록품번"))</f>
        <v/>
      </c>
      <c r="D60" s="7"/>
      <c r="E60" s="14"/>
      <c r="F60" s="7"/>
    </row>
    <row r="61" customFormat="false" ht="15" hidden="false" customHeight="true" outlineLevel="0" collapsed="false">
      <c r="A61" s="11"/>
      <c r="B61" s="7"/>
      <c r="C61" s="12" t="str">
        <f aca="false">IF($B61="","",IFERROR(INDEX(품목마스터!$B$3:$B$202,MATCH($B61,품목마스터!$A$3:$A$202,0)),"미등록품번"))</f>
        <v/>
      </c>
      <c r="D61" s="7"/>
      <c r="E61" s="14"/>
      <c r="F61" s="7"/>
    </row>
    <row r="62" customFormat="false" ht="15" hidden="false" customHeight="true" outlineLevel="0" collapsed="false">
      <c r="A62" s="11"/>
      <c r="B62" s="7"/>
      <c r="C62" s="12" t="str">
        <f aca="false">IF($B62="","",IFERROR(INDEX(품목마스터!$B$3:$B$202,MATCH($B62,품목마스터!$A$3:$A$202,0)),"미등록품번"))</f>
        <v/>
      </c>
      <c r="D62" s="7"/>
      <c r="E62" s="14"/>
      <c r="F62" s="7"/>
    </row>
    <row r="63" customFormat="false" ht="15" hidden="false" customHeight="true" outlineLevel="0" collapsed="false">
      <c r="A63" s="11"/>
      <c r="B63" s="7"/>
      <c r="C63" s="12" t="str">
        <f aca="false">IF($B63="","",IFERROR(INDEX(품목마스터!$B$3:$B$202,MATCH($B63,품목마스터!$A$3:$A$202,0)),"미등록품번"))</f>
        <v/>
      </c>
      <c r="D63" s="7"/>
      <c r="E63" s="14"/>
      <c r="F63" s="7"/>
    </row>
    <row r="64" customFormat="false" ht="15" hidden="false" customHeight="true" outlineLevel="0" collapsed="false">
      <c r="A64" s="11"/>
      <c r="B64" s="7"/>
      <c r="C64" s="12" t="str">
        <f aca="false">IF($B64="","",IFERROR(INDEX(품목마스터!$B$3:$B$202,MATCH($B64,품목마스터!$A$3:$A$202,0)),"미등록품번"))</f>
        <v/>
      </c>
      <c r="D64" s="7"/>
      <c r="E64" s="14"/>
      <c r="F64" s="7"/>
    </row>
    <row r="65" customFormat="false" ht="15" hidden="false" customHeight="true" outlineLevel="0" collapsed="false">
      <c r="A65" s="11"/>
      <c r="B65" s="7"/>
      <c r="C65" s="12" t="str">
        <f aca="false">IF($B65="","",IFERROR(INDEX(품목마스터!$B$3:$B$202,MATCH($B65,품목마스터!$A$3:$A$202,0)),"미등록품번"))</f>
        <v/>
      </c>
      <c r="D65" s="7"/>
      <c r="E65" s="14"/>
      <c r="F65" s="7"/>
    </row>
    <row r="66" customFormat="false" ht="15" hidden="false" customHeight="true" outlineLevel="0" collapsed="false">
      <c r="A66" s="11"/>
      <c r="B66" s="7"/>
      <c r="C66" s="12" t="str">
        <f aca="false">IF($B66="","",IFERROR(INDEX(품목마스터!$B$3:$B$202,MATCH($B66,품목마스터!$A$3:$A$202,0)),"미등록품번"))</f>
        <v/>
      </c>
      <c r="D66" s="7"/>
      <c r="E66" s="14"/>
      <c r="F66" s="7"/>
    </row>
    <row r="67" customFormat="false" ht="15" hidden="false" customHeight="true" outlineLevel="0" collapsed="false">
      <c r="A67" s="11"/>
      <c r="B67" s="7"/>
      <c r="C67" s="12" t="str">
        <f aca="false">IF($B67="","",IFERROR(INDEX(품목마스터!$B$3:$B$202,MATCH($B67,품목마스터!$A$3:$A$202,0)),"미등록품번"))</f>
        <v/>
      </c>
      <c r="D67" s="7"/>
      <c r="E67" s="14"/>
      <c r="F67" s="7"/>
    </row>
    <row r="68" customFormat="false" ht="15" hidden="false" customHeight="true" outlineLevel="0" collapsed="false">
      <c r="A68" s="11"/>
      <c r="B68" s="7"/>
      <c r="C68" s="12" t="str">
        <f aca="false">IF($B68="","",IFERROR(INDEX(품목마스터!$B$3:$B$202,MATCH($B68,품목마스터!$A$3:$A$202,0)),"미등록품번"))</f>
        <v/>
      </c>
      <c r="D68" s="7"/>
      <c r="E68" s="14"/>
      <c r="F68" s="7"/>
    </row>
    <row r="69" customFormat="false" ht="15" hidden="false" customHeight="true" outlineLevel="0" collapsed="false">
      <c r="A69" s="11"/>
      <c r="B69" s="7"/>
      <c r="C69" s="12" t="str">
        <f aca="false">IF($B69="","",IFERROR(INDEX(품목마스터!$B$3:$B$202,MATCH($B69,품목마스터!$A$3:$A$202,0)),"미등록품번"))</f>
        <v/>
      </c>
      <c r="D69" s="7"/>
      <c r="E69" s="14"/>
      <c r="F69" s="7"/>
    </row>
    <row r="70" customFormat="false" ht="15" hidden="false" customHeight="true" outlineLevel="0" collapsed="false">
      <c r="A70" s="11"/>
      <c r="B70" s="7"/>
      <c r="C70" s="12" t="str">
        <f aca="false">IF($B70="","",IFERROR(INDEX(품목마스터!$B$3:$B$202,MATCH($B70,품목마스터!$A$3:$A$202,0)),"미등록품번"))</f>
        <v/>
      </c>
      <c r="D70" s="7"/>
      <c r="E70" s="14"/>
      <c r="F70" s="7"/>
    </row>
    <row r="71" customFormat="false" ht="15" hidden="false" customHeight="true" outlineLevel="0" collapsed="false">
      <c r="A71" s="11"/>
      <c r="B71" s="7"/>
      <c r="C71" s="12" t="str">
        <f aca="false">IF($B71="","",IFERROR(INDEX(품목마스터!$B$3:$B$202,MATCH($B71,품목마스터!$A$3:$A$202,0)),"미등록품번"))</f>
        <v/>
      </c>
      <c r="D71" s="7"/>
      <c r="E71" s="14"/>
      <c r="F71" s="7"/>
    </row>
    <row r="72" customFormat="false" ht="15" hidden="false" customHeight="true" outlineLevel="0" collapsed="false">
      <c r="A72" s="11"/>
      <c r="B72" s="7"/>
      <c r="C72" s="12" t="str">
        <f aca="false">IF($B72="","",IFERROR(INDEX(품목마스터!$B$3:$B$202,MATCH($B72,품목마스터!$A$3:$A$202,0)),"미등록품번"))</f>
        <v/>
      </c>
      <c r="D72" s="7"/>
      <c r="E72" s="14"/>
      <c r="F72" s="7"/>
    </row>
    <row r="73" customFormat="false" ht="15" hidden="false" customHeight="true" outlineLevel="0" collapsed="false">
      <c r="A73" s="11"/>
      <c r="B73" s="7"/>
      <c r="C73" s="12" t="str">
        <f aca="false">IF($B73="","",IFERROR(INDEX(품목마스터!$B$3:$B$202,MATCH($B73,품목마스터!$A$3:$A$202,0)),"미등록품번"))</f>
        <v/>
      </c>
      <c r="D73" s="7"/>
      <c r="E73" s="14"/>
      <c r="F73" s="7"/>
    </row>
    <row r="74" customFormat="false" ht="15" hidden="false" customHeight="true" outlineLevel="0" collapsed="false">
      <c r="A74" s="11"/>
      <c r="B74" s="7"/>
      <c r="C74" s="12" t="str">
        <f aca="false">IF($B74="","",IFERROR(INDEX(품목마스터!$B$3:$B$202,MATCH($B74,품목마스터!$A$3:$A$202,0)),"미등록품번"))</f>
        <v/>
      </c>
      <c r="D74" s="7"/>
      <c r="E74" s="14"/>
      <c r="F74" s="7"/>
    </row>
    <row r="75" customFormat="false" ht="15" hidden="false" customHeight="true" outlineLevel="0" collapsed="false">
      <c r="A75" s="11"/>
      <c r="B75" s="7"/>
      <c r="C75" s="12" t="str">
        <f aca="false">IF($B75="","",IFERROR(INDEX(품목마스터!$B$3:$B$202,MATCH($B75,품목마스터!$A$3:$A$202,0)),"미등록품번"))</f>
        <v/>
      </c>
      <c r="D75" s="7"/>
      <c r="E75" s="14"/>
      <c r="F75" s="7"/>
    </row>
    <row r="76" customFormat="false" ht="15" hidden="false" customHeight="true" outlineLevel="0" collapsed="false">
      <c r="A76" s="11"/>
      <c r="B76" s="7"/>
      <c r="C76" s="12" t="str">
        <f aca="false">IF($B76="","",IFERROR(INDEX(품목마스터!$B$3:$B$202,MATCH($B76,품목마스터!$A$3:$A$202,0)),"미등록품번"))</f>
        <v/>
      </c>
      <c r="D76" s="7"/>
      <c r="E76" s="14"/>
      <c r="F76" s="7"/>
    </row>
    <row r="77" customFormat="false" ht="15" hidden="false" customHeight="true" outlineLevel="0" collapsed="false">
      <c r="A77" s="11"/>
      <c r="B77" s="7"/>
      <c r="C77" s="12" t="str">
        <f aca="false">IF($B77="","",IFERROR(INDEX(품목마스터!$B$3:$B$202,MATCH($B77,품목마스터!$A$3:$A$202,0)),"미등록품번"))</f>
        <v/>
      </c>
      <c r="D77" s="7"/>
      <c r="E77" s="14"/>
      <c r="F77" s="7"/>
    </row>
    <row r="78" customFormat="false" ht="15" hidden="false" customHeight="true" outlineLevel="0" collapsed="false">
      <c r="A78" s="11"/>
      <c r="B78" s="7"/>
      <c r="C78" s="12" t="str">
        <f aca="false">IF($B78="","",IFERROR(INDEX(품목마스터!$B$3:$B$202,MATCH($B78,품목마스터!$A$3:$A$202,0)),"미등록품번"))</f>
        <v/>
      </c>
      <c r="D78" s="7"/>
      <c r="E78" s="14"/>
      <c r="F78" s="7"/>
    </row>
    <row r="79" customFormat="false" ht="15" hidden="false" customHeight="true" outlineLevel="0" collapsed="false">
      <c r="A79" s="11"/>
      <c r="B79" s="7"/>
      <c r="C79" s="12" t="str">
        <f aca="false">IF($B79="","",IFERROR(INDEX(품목마스터!$B$3:$B$202,MATCH($B79,품목마스터!$A$3:$A$202,0)),"미등록품번"))</f>
        <v/>
      </c>
      <c r="D79" s="7"/>
      <c r="E79" s="14"/>
      <c r="F79" s="7"/>
    </row>
    <row r="80" customFormat="false" ht="15" hidden="false" customHeight="true" outlineLevel="0" collapsed="false">
      <c r="A80" s="11"/>
      <c r="B80" s="7"/>
      <c r="C80" s="12" t="str">
        <f aca="false">IF($B80="","",IFERROR(INDEX(품목마스터!$B$3:$B$202,MATCH($B80,품목마스터!$A$3:$A$202,0)),"미등록품번"))</f>
        <v/>
      </c>
      <c r="D80" s="7"/>
      <c r="E80" s="14"/>
      <c r="F80" s="7"/>
    </row>
    <row r="81" customFormat="false" ht="15" hidden="false" customHeight="true" outlineLevel="0" collapsed="false">
      <c r="A81" s="11"/>
      <c r="B81" s="7"/>
      <c r="C81" s="12" t="str">
        <f aca="false">IF($B81="","",IFERROR(INDEX(품목마스터!$B$3:$B$202,MATCH($B81,품목마스터!$A$3:$A$202,0)),"미등록품번"))</f>
        <v/>
      </c>
      <c r="D81" s="7"/>
      <c r="E81" s="14"/>
      <c r="F81" s="7"/>
    </row>
    <row r="82" customFormat="false" ht="15" hidden="false" customHeight="true" outlineLevel="0" collapsed="false">
      <c r="A82" s="11"/>
      <c r="B82" s="7"/>
      <c r="C82" s="12" t="str">
        <f aca="false">IF($B82="","",IFERROR(INDEX(품목마스터!$B$3:$B$202,MATCH($B82,품목마스터!$A$3:$A$202,0)),"미등록품번"))</f>
        <v/>
      </c>
      <c r="D82" s="7"/>
      <c r="E82" s="14"/>
      <c r="F82" s="7"/>
    </row>
    <row r="83" customFormat="false" ht="15" hidden="false" customHeight="true" outlineLevel="0" collapsed="false">
      <c r="A83" s="11"/>
      <c r="B83" s="7"/>
      <c r="C83" s="12" t="str">
        <f aca="false">IF($B83="","",IFERROR(INDEX(품목마스터!$B$3:$B$202,MATCH($B83,품목마스터!$A$3:$A$202,0)),"미등록품번"))</f>
        <v/>
      </c>
      <c r="D83" s="7"/>
      <c r="E83" s="14"/>
      <c r="F83" s="7"/>
    </row>
    <row r="84" customFormat="false" ht="15" hidden="false" customHeight="true" outlineLevel="0" collapsed="false">
      <c r="A84" s="11"/>
      <c r="B84" s="7"/>
      <c r="C84" s="12" t="str">
        <f aca="false">IF($B84="","",IFERROR(INDEX(품목마스터!$B$3:$B$202,MATCH($B84,품목마스터!$A$3:$A$202,0)),"미등록품번"))</f>
        <v/>
      </c>
      <c r="D84" s="7"/>
      <c r="E84" s="14"/>
      <c r="F84" s="7"/>
    </row>
    <row r="85" customFormat="false" ht="15" hidden="false" customHeight="true" outlineLevel="0" collapsed="false">
      <c r="A85" s="11"/>
      <c r="B85" s="7"/>
      <c r="C85" s="12" t="str">
        <f aca="false">IF($B85="","",IFERROR(INDEX(품목마스터!$B$3:$B$202,MATCH($B85,품목마스터!$A$3:$A$202,0)),"미등록품번"))</f>
        <v/>
      </c>
      <c r="D85" s="7"/>
      <c r="E85" s="14"/>
      <c r="F85" s="7"/>
    </row>
    <row r="86" customFormat="false" ht="15" hidden="false" customHeight="true" outlineLevel="0" collapsed="false">
      <c r="A86" s="11"/>
      <c r="B86" s="7"/>
      <c r="C86" s="12" t="str">
        <f aca="false">IF($B86="","",IFERROR(INDEX(품목마스터!$B$3:$B$202,MATCH($B86,품목마스터!$A$3:$A$202,0)),"미등록품번"))</f>
        <v/>
      </c>
      <c r="D86" s="7"/>
      <c r="E86" s="14"/>
      <c r="F86" s="7"/>
    </row>
    <row r="87" customFormat="false" ht="15" hidden="false" customHeight="true" outlineLevel="0" collapsed="false">
      <c r="A87" s="11"/>
      <c r="B87" s="7"/>
      <c r="C87" s="12" t="str">
        <f aca="false">IF($B87="","",IFERROR(INDEX(품목마스터!$B$3:$B$202,MATCH($B87,품목마스터!$A$3:$A$202,0)),"미등록품번"))</f>
        <v/>
      </c>
      <c r="D87" s="7"/>
      <c r="E87" s="14"/>
      <c r="F87" s="7"/>
    </row>
    <row r="88" customFormat="false" ht="15" hidden="false" customHeight="true" outlineLevel="0" collapsed="false">
      <c r="A88" s="11"/>
      <c r="B88" s="7"/>
      <c r="C88" s="12" t="str">
        <f aca="false">IF($B88="","",IFERROR(INDEX(품목마스터!$B$3:$B$202,MATCH($B88,품목마스터!$A$3:$A$202,0)),"미등록품번"))</f>
        <v/>
      </c>
      <c r="D88" s="7"/>
      <c r="E88" s="14"/>
      <c r="F88" s="7"/>
    </row>
    <row r="89" customFormat="false" ht="15" hidden="false" customHeight="true" outlineLevel="0" collapsed="false">
      <c r="A89" s="11"/>
      <c r="B89" s="7"/>
      <c r="C89" s="12" t="str">
        <f aca="false">IF($B89="","",IFERROR(INDEX(품목마스터!$B$3:$B$202,MATCH($B89,품목마스터!$A$3:$A$202,0)),"미등록품번"))</f>
        <v/>
      </c>
      <c r="D89" s="7"/>
      <c r="E89" s="14"/>
      <c r="F89" s="7"/>
    </row>
    <row r="90" customFormat="false" ht="15" hidden="false" customHeight="true" outlineLevel="0" collapsed="false">
      <c r="A90" s="11"/>
      <c r="B90" s="7"/>
      <c r="C90" s="12" t="str">
        <f aca="false">IF($B90="","",IFERROR(INDEX(품목마스터!$B$3:$B$202,MATCH($B90,품목마스터!$A$3:$A$202,0)),"미등록품번"))</f>
        <v/>
      </c>
      <c r="D90" s="7"/>
      <c r="E90" s="14"/>
      <c r="F90" s="7"/>
    </row>
    <row r="91" customFormat="false" ht="15" hidden="false" customHeight="true" outlineLevel="0" collapsed="false">
      <c r="A91" s="11"/>
      <c r="B91" s="7"/>
      <c r="C91" s="12" t="str">
        <f aca="false">IF($B91="","",IFERROR(INDEX(품목마스터!$B$3:$B$202,MATCH($B91,품목마스터!$A$3:$A$202,0)),"미등록품번"))</f>
        <v/>
      </c>
      <c r="D91" s="7"/>
      <c r="E91" s="14"/>
      <c r="F91" s="7"/>
    </row>
    <row r="92" customFormat="false" ht="15" hidden="false" customHeight="true" outlineLevel="0" collapsed="false">
      <c r="A92" s="11"/>
      <c r="B92" s="7"/>
      <c r="C92" s="12" t="str">
        <f aca="false">IF($B92="","",IFERROR(INDEX(품목마스터!$B$3:$B$202,MATCH($B92,품목마스터!$A$3:$A$202,0)),"미등록품번"))</f>
        <v/>
      </c>
      <c r="D92" s="7"/>
      <c r="E92" s="14"/>
      <c r="F92" s="7"/>
    </row>
    <row r="93" customFormat="false" ht="15" hidden="false" customHeight="true" outlineLevel="0" collapsed="false">
      <c r="A93" s="11"/>
      <c r="B93" s="7"/>
      <c r="C93" s="12" t="str">
        <f aca="false">IF($B93="","",IFERROR(INDEX(품목마스터!$B$3:$B$202,MATCH($B93,품목마스터!$A$3:$A$202,0)),"미등록품번"))</f>
        <v/>
      </c>
      <c r="D93" s="7"/>
      <c r="E93" s="14"/>
      <c r="F93" s="7"/>
    </row>
    <row r="94" customFormat="false" ht="15" hidden="false" customHeight="true" outlineLevel="0" collapsed="false">
      <c r="A94" s="11"/>
      <c r="B94" s="7"/>
      <c r="C94" s="12" t="str">
        <f aca="false">IF($B94="","",IFERROR(INDEX(품목마스터!$B$3:$B$202,MATCH($B94,품목마스터!$A$3:$A$202,0)),"미등록품번"))</f>
        <v/>
      </c>
      <c r="D94" s="7"/>
      <c r="E94" s="14"/>
      <c r="F94" s="7"/>
    </row>
    <row r="95" customFormat="false" ht="15" hidden="false" customHeight="true" outlineLevel="0" collapsed="false">
      <c r="A95" s="11"/>
      <c r="B95" s="7"/>
      <c r="C95" s="12" t="str">
        <f aca="false">IF($B95="","",IFERROR(INDEX(품목마스터!$B$3:$B$202,MATCH($B95,품목마스터!$A$3:$A$202,0)),"미등록품번"))</f>
        <v/>
      </c>
      <c r="D95" s="7"/>
      <c r="E95" s="14"/>
      <c r="F95" s="7"/>
    </row>
    <row r="96" customFormat="false" ht="15" hidden="false" customHeight="true" outlineLevel="0" collapsed="false">
      <c r="A96" s="11"/>
      <c r="B96" s="7"/>
      <c r="C96" s="12" t="str">
        <f aca="false">IF($B96="","",IFERROR(INDEX(품목마스터!$B$3:$B$202,MATCH($B96,품목마스터!$A$3:$A$202,0)),"미등록품번"))</f>
        <v/>
      </c>
      <c r="D96" s="7"/>
      <c r="E96" s="14"/>
      <c r="F96" s="7"/>
    </row>
    <row r="97" customFormat="false" ht="15" hidden="false" customHeight="true" outlineLevel="0" collapsed="false">
      <c r="A97" s="11"/>
      <c r="B97" s="7"/>
      <c r="C97" s="12" t="str">
        <f aca="false">IF($B97="","",IFERROR(INDEX(품목마스터!$B$3:$B$202,MATCH($B97,품목마스터!$A$3:$A$202,0)),"미등록품번"))</f>
        <v/>
      </c>
      <c r="D97" s="7"/>
      <c r="E97" s="14"/>
      <c r="F97" s="7"/>
    </row>
    <row r="98" customFormat="false" ht="15" hidden="false" customHeight="true" outlineLevel="0" collapsed="false">
      <c r="A98" s="11"/>
      <c r="B98" s="7"/>
      <c r="C98" s="12" t="str">
        <f aca="false">IF($B98="","",IFERROR(INDEX(품목마스터!$B$3:$B$202,MATCH($B98,품목마스터!$A$3:$A$202,0)),"미등록품번"))</f>
        <v/>
      </c>
      <c r="D98" s="7"/>
      <c r="E98" s="14"/>
      <c r="F98" s="7"/>
    </row>
    <row r="99" customFormat="false" ht="15" hidden="false" customHeight="true" outlineLevel="0" collapsed="false">
      <c r="A99" s="11"/>
      <c r="B99" s="7"/>
      <c r="C99" s="12" t="str">
        <f aca="false">IF($B99="","",IFERROR(INDEX(품목마스터!$B$3:$B$202,MATCH($B99,품목마스터!$A$3:$A$202,0)),"미등록품번"))</f>
        <v/>
      </c>
      <c r="D99" s="7"/>
      <c r="E99" s="14"/>
      <c r="F99" s="7"/>
    </row>
    <row r="100" customFormat="false" ht="15" hidden="false" customHeight="true" outlineLevel="0" collapsed="false">
      <c r="A100" s="11"/>
      <c r="B100" s="7"/>
      <c r="C100" s="12" t="str">
        <f aca="false">IF($B100="","",IFERROR(INDEX(품목마스터!$B$3:$B$202,MATCH($B100,품목마스터!$A$3:$A$202,0)),"미등록품번"))</f>
        <v/>
      </c>
      <c r="D100" s="7"/>
      <c r="E100" s="14"/>
      <c r="F100" s="7"/>
    </row>
    <row r="101" customFormat="false" ht="15" hidden="false" customHeight="true" outlineLevel="0" collapsed="false">
      <c r="A101" s="11"/>
      <c r="B101" s="7"/>
      <c r="C101" s="12" t="str">
        <f aca="false">IF($B101="","",IFERROR(INDEX(품목마스터!$B$3:$B$202,MATCH($B101,품목마스터!$A$3:$A$202,0)),"미등록품번"))</f>
        <v/>
      </c>
      <c r="D101" s="7"/>
      <c r="E101" s="14"/>
      <c r="F101" s="7"/>
    </row>
    <row r="102" customFormat="false" ht="15" hidden="false" customHeight="true" outlineLevel="0" collapsed="false">
      <c r="A102" s="11"/>
      <c r="B102" s="7"/>
      <c r="C102" s="12" t="str">
        <f aca="false">IF($B102="","",IFERROR(INDEX(품목마스터!$B$3:$B$202,MATCH($B102,품목마스터!$A$3:$A$202,0)),"미등록품번"))</f>
        <v/>
      </c>
      <c r="D102" s="7"/>
      <c r="E102" s="14"/>
      <c r="F102" s="7"/>
    </row>
    <row r="103" customFormat="false" ht="15" hidden="false" customHeight="true" outlineLevel="0" collapsed="false">
      <c r="A103" s="11"/>
      <c r="B103" s="7"/>
      <c r="C103" s="12" t="str">
        <f aca="false">IF($B103="","",IFERROR(INDEX(품목마스터!$B$3:$B$202,MATCH($B103,품목마스터!$A$3:$A$202,0)),"미등록품번"))</f>
        <v/>
      </c>
      <c r="D103" s="7"/>
      <c r="E103" s="14"/>
      <c r="F103" s="7"/>
    </row>
    <row r="104" customFormat="false" ht="15" hidden="false" customHeight="true" outlineLevel="0" collapsed="false">
      <c r="A104" s="11"/>
      <c r="B104" s="7"/>
      <c r="C104" s="12" t="str">
        <f aca="false">IF($B104="","",IFERROR(INDEX(품목마스터!$B$3:$B$202,MATCH($B104,품목마스터!$A$3:$A$202,0)),"미등록품번"))</f>
        <v/>
      </c>
      <c r="D104" s="7"/>
      <c r="E104" s="14"/>
      <c r="F104" s="7"/>
    </row>
    <row r="105" customFormat="false" ht="15" hidden="false" customHeight="true" outlineLevel="0" collapsed="false">
      <c r="A105" s="11"/>
      <c r="B105" s="7"/>
      <c r="C105" s="12" t="str">
        <f aca="false">IF($B105="","",IFERROR(INDEX(품목마스터!$B$3:$B$202,MATCH($B105,품목마스터!$A$3:$A$202,0)),"미등록품번"))</f>
        <v/>
      </c>
      <c r="D105" s="7"/>
      <c r="E105" s="14"/>
      <c r="F105" s="7"/>
    </row>
    <row r="106" customFormat="false" ht="15" hidden="false" customHeight="true" outlineLevel="0" collapsed="false">
      <c r="A106" s="11"/>
      <c r="B106" s="7"/>
      <c r="C106" s="12" t="str">
        <f aca="false">IF($B106="","",IFERROR(INDEX(품목마스터!$B$3:$B$202,MATCH($B106,품목마스터!$A$3:$A$202,0)),"미등록품번"))</f>
        <v/>
      </c>
      <c r="D106" s="7"/>
      <c r="E106" s="14"/>
      <c r="F106" s="7"/>
    </row>
    <row r="107" customFormat="false" ht="15" hidden="false" customHeight="true" outlineLevel="0" collapsed="false">
      <c r="A107" s="11"/>
      <c r="B107" s="7"/>
      <c r="C107" s="12" t="str">
        <f aca="false">IF($B107="","",IFERROR(INDEX(품목마스터!$B$3:$B$202,MATCH($B107,품목마스터!$A$3:$A$202,0)),"미등록품번"))</f>
        <v/>
      </c>
      <c r="D107" s="7"/>
      <c r="E107" s="14"/>
      <c r="F107" s="7"/>
    </row>
    <row r="108" customFormat="false" ht="15" hidden="false" customHeight="true" outlineLevel="0" collapsed="false">
      <c r="A108" s="11"/>
      <c r="B108" s="7"/>
      <c r="C108" s="12" t="str">
        <f aca="false">IF($B108="","",IFERROR(INDEX(품목마스터!$B$3:$B$202,MATCH($B108,품목마스터!$A$3:$A$202,0)),"미등록품번"))</f>
        <v/>
      </c>
      <c r="D108" s="7"/>
      <c r="E108" s="14"/>
      <c r="F108" s="7"/>
    </row>
    <row r="109" customFormat="false" ht="15" hidden="false" customHeight="true" outlineLevel="0" collapsed="false">
      <c r="A109" s="11"/>
      <c r="B109" s="7"/>
      <c r="C109" s="12" t="str">
        <f aca="false">IF($B109="","",IFERROR(INDEX(품목마스터!$B$3:$B$202,MATCH($B109,품목마스터!$A$3:$A$202,0)),"미등록품번"))</f>
        <v/>
      </c>
      <c r="D109" s="7"/>
      <c r="E109" s="14"/>
      <c r="F109" s="7"/>
    </row>
    <row r="110" customFormat="false" ht="15" hidden="false" customHeight="true" outlineLevel="0" collapsed="false">
      <c r="A110" s="11"/>
      <c r="B110" s="7"/>
      <c r="C110" s="12" t="str">
        <f aca="false">IF($B110="","",IFERROR(INDEX(품목마스터!$B$3:$B$202,MATCH($B110,품목마스터!$A$3:$A$202,0)),"미등록품번"))</f>
        <v/>
      </c>
      <c r="D110" s="7"/>
      <c r="E110" s="14"/>
      <c r="F110" s="7"/>
    </row>
    <row r="111" customFormat="false" ht="15" hidden="false" customHeight="true" outlineLevel="0" collapsed="false">
      <c r="A111" s="11"/>
      <c r="B111" s="7"/>
      <c r="C111" s="12" t="str">
        <f aca="false">IF($B111="","",IFERROR(INDEX(품목마스터!$B$3:$B$202,MATCH($B111,품목마스터!$A$3:$A$202,0)),"미등록품번"))</f>
        <v/>
      </c>
      <c r="D111" s="7"/>
      <c r="E111" s="14"/>
      <c r="F111" s="7"/>
    </row>
    <row r="112" customFormat="false" ht="15" hidden="false" customHeight="true" outlineLevel="0" collapsed="false">
      <c r="A112" s="11"/>
      <c r="B112" s="7"/>
      <c r="C112" s="12" t="str">
        <f aca="false">IF($B112="","",IFERROR(INDEX(품목마스터!$B$3:$B$202,MATCH($B112,품목마스터!$A$3:$A$202,0)),"미등록품번"))</f>
        <v/>
      </c>
      <c r="D112" s="7"/>
      <c r="E112" s="14"/>
      <c r="F112" s="7"/>
    </row>
    <row r="113" customFormat="false" ht="15" hidden="false" customHeight="true" outlineLevel="0" collapsed="false">
      <c r="A113" s="11"/>
      <c r="B113" s="7"/>
      <c r="C113" s="12" t="str">
        <f aca="false">IF($B113="","",IFERROR(INDEX(품목마스터!$B$3:$B$202,MATCH($B113,품목마스터!$A$3:$A$202,0)),"미등록품번"))</f>
        <v/>
      </c>
      <c r="D113" s="7"/>
      <c r="E113" s="14"/>
      <c r="F113" s="7"/>
    </row>
    <row r="114" customFormat="false" ht="15" hidden="false" customHeight="true" outlineLevel="0" collapsed="false">
      <c r="A114" s="11"/>
      <c r="B114" s="7"/>
      <c r="C114" s="12" t="str">
        <f aca="false">IF($B114="","",IFERROR(INDEX(품목마스터!$B$3:$B$202,MATCH($B114,품목마스터!$A$3:$A$202,0)),"미등록품번"))</f>
        <v/>
      </c>
      <c r="D114" s="7"/>
      <c r="E114" s="14"/>
      <c r="F114" s="7"/>
    </row>
    <row r="115" customFormat="false" ht="15" hidden="false" customHeight="true" outlineLevel="0" collapsed="false">
      <c r="A115" s="11"/>
      <c r="B115" s="7"/>
      <c r="C115" s="12" t="str">
        <f aca="false">IF($B115="","",IFERROR(INDEX(품목마스터!$B$3:$B$202,MATCH($B115,품목마스터!$A$3:$A$202,0)),"미등록품번"))</f>
        <v/>
      </c>
      <c r="D115" s="7"/>
      <c r="E115" s="14"/>
      <c r="F115" s="7"/>
    </row>
    <row r="116" customFormat="false" ht="15" hidden="false" customHeight="true" outlineLevel="0" collapsed="false">
      <c r="A116" s="11"/>
      <c r="B116" s="7"/>
      <c r="C116" s="12" t="str">
        <f aca="false">IF($B116="","",IFERROR(INDEX(품목마스터!$B$3:$B$202,MATCH($B116,품목마스터!$A$3:$A$202,0)),"미등록품번"))</f>
        <v/>
      </c>
      <c r="D116" s="7"/>
      <c r="E116" s="14"/>
      <c r="F116" s="7"/>
    </row>
    <row r="117" customFormat="false" ht="15" hidden="false" customHeight="true" outlineLevel="0" collapsed="false">
      <c r="A117" s="11"/>
      <c r="B117" s="7"/>
      <c r="C117" s="12" t="str">
        <f aca="false">IF($B117="","",IFERROR(INDEX(품목마스터!$B$3:$B$202,MATCH($B117,품목마스터!$A$3:$A$202,0)),"미등록품번"))</f>
        <v/>
      </c>
      <c r="D117" s="7"/>
      <c r="E117" s="14"/>
      <c r="F117" s="7"/>
    </row>
    <row r="118" customFormat="false" ht="15" hidden="false" customHeight="true" outlineLevel="0" collapsed="false">
      <c r="A118" s="11"/>
      <c r="B118" s="7"/>
      <c r="C118" s="12" t="str">
        <f aca="false">IF($B118="","",IFERROR(INDEX(품목마스터!$B$3:$B$202,MATCH($B118,품목마스터!$A$3:$A$202,0)),"미등록품번"))</f>
        <v/>
      </c>
      <c r="D118" s="7"/>
      <c r="E118" s="14"/>
      <c r="F118" s="7"/>
    </row>
    <row r="119" customFormat="false" ht="15" hidden="false" customHeight="true" outlineLevel="0" collapsed="false">
      <c r="A119" s="11"/>
      <c r="B119" s="7"/>
      <c r="C119" s="12" t="str">
        <f aca="false">IF($B119="","",IFERROR(INDEX(품목마스터!$B$3:$B$202,MATCH($B119,품목마스터!$A$3:$A$202,0)),"미등록품번"))</f>
        <v/>
      </c>
      <c r="D119" s="7"/>
      <c r="E119" s="14"/>
      <c r="F119" s="7"/>
    </row>
    <row r="120" customFormat="false" ht="15" hidden="false" customHeight="true" outlineLevel="0" collapsed="false">
      <c r="A120" s="11"/>
      <c r="B120" s="7"/>
      <c r="C120" s="12" t="str">
        <f aca="false">IF($B120="","",IFERROR(INDEX(품목마스터!$B$3:$B$202,MATCH($B120,품목마스터!$A$3:$A$202,0)),"미등록품번"))</f>
        <v/>
      </c>
      <c r="D120" s="7"/>
      <c r="E120" s="14"/>
      <c r="F120" s="7"/>
    </row>
    <row r="121" customFormat="false" ht="15" hidden="false" customHeight="true" outlineLevel="0" collapsed="false">
      <c r="A121" s="11"/>
      <c r="B121" s="7"/>
      <c r="C121" s="12" t="str">
        <f aca="false">IF($B121="","",IFERROR(INDEX(품목마스터!$B$3:$B$202,MATCH($B121,품목마스터!$A$3:$A$202,0)),"미등록품번"))</f>
        <v/>
      </c>
      <c r="D121" s="7"/>
      <c r="E121" s="14"/>
      <c r="F121" s="7"/>
    </row>
    <row r="122" customFormat="false" ht="15" hidden="false" customHeight="true" outlineLevel="0" collapsed="false">
      <c r="A122" s="11"/>
      <c r="B122" s="7"/>
      <c r="C122" s="12" t="str">
        <f aca="false">IF($B122="","",IFERROR(INDEX(품목마스터!$B$3:$B$202,MATCH($B122,품목마스터!$A$3:$A$202,0)),"미등록품번"))</f>
        <v/>
      </c>
      <c r="D122" s="7"/>
      <c r="E122" s="14"/>
      <c r="F122" s="7"/>
    </row>
    <row r="123" customFormat="false" ht="15" hidden="false" customHeight="true" outlineLevel="0" collapsed="false">
      <c r="A123" s="11"/>
      <c r="B123" s="7"/>
      <c r="C123" s="12" t="str">
        <f aca="false">IF($B123="","",IFERROR(INDEX(품목마스터!$B$3:$B$202,MATCH($B123,품목마스터!$A$3:$A$202,0)),"미등록품번"))</f>
        <v/>
      </c>
      <c r="D123" s="7"/>
      <c r="E123" s="14"/>
      <c r="F123" s="7"/>
    </row>
    <row r="124" customFormat="false" ht="15" hidden="false" customHeight="true" outlineLevel="0" collapsed="false">
      <c r="A124" s="11"/>
      <c r="B124" s="7"/>
      <c r="C124" s="12" t="str">
        <f aca="false">IF($B124="","",IFERROR(INDEX(품목마스터!$B$3:$B$202,MATCH($B124,품목마스터!$A$3:$A$202,0)),"미등록품번"))</f>
        <v/>
      </c>
      <c r="D124" s="7"/>
      <c r="E124" s="14"/>
      <c r="F124" s="7"/>
    </row>
    <row r="125" customFormat="false" ht="15" hidden="false" customHeight="true" outlineLevel="0" collapsed="false">
      <c r="A125" s="11"/>
      <c r="B125" s="7"/>
      <c r="C125" s="12" t="str">
        <f aca="false">IF($B125="","",IFERROR(INDEX(품목마스터!$B$3:$B$202,MATCH($B125,품목마스터!$A$3:$A$202,0)),"미등록품번"))</f>
        <v/>
      </c>
      <c r="D125" s="7"/>
      <c r="E125" s="14"/>
      <c r="F125" s="7"/>
    </row>
    <row r="126" customFormat="false" ht="15" hidden="false" customHeight="true" outlineLevel="0" collapsed="false">
      <c r="A126" s="11"/>
      <c r="B126" s="7"/>
      <c r="C126" s="12" t="str">
        <f aca="false">IF($B126="","",IFERROR(INDEX(품목마스터!$B$3:$B$202,MATCH($B126,품목마스터!$A$3:$A$202,0)),"미등록품번"))</f>
        <v/>
      </c>
      <c r="D126" s="7"/>
      <c r="E126" s="14"/>
      <c r="F126" s="7"/>
    </row>
    <row r="127" customFormat="false" ht="15" hidden="false" customHeight="true" outlineLevel="0" collapsed="false">
      <c r="A127" s="11"/>
      <c r="B127" s="7"/>
      <c r="C127" s="12" t="str">
        <f aca="false">IF($B127="","",IFERROR(INDEX(품목마스터!$B$3:$B$202,MATCH($B127,품목마스터!$A$3:$A$202,0)),"미등록품번"))</f>
        <v/>
      </c>
      <c r="D127" s="7"/>
      <c r="E127" s="14"/>
      <c r="F127" s="7"/>
    </row>
    <row r="128" customFormat="false" ht="15" hidden="false" customHeight="true" outlineLevel="0" collapsed="false">
      <c r="A128" s="11"/>
      <c r="B128" s="7"/>
      <c r="C128" s="12" t="str">
        <f aca="false">IF($B128="","",IFERROR(INDEX(품목마스터!$B$3:$B$202,MATCH($B128,품목마스터!$A$3:$A$202,0)),"미등록품번"))</f>
        <v/>
      </c>
      <c r="D128" s="7"/>
      <c r="E128" s="14"/>
      <c r="F128" s="7"/>
    </row>
    <row r="129" customFormat="false" ht="15" hidden="false" customHeight="true" outlineLevel="0" collapsed="false">
      <c r="A129" s="11"/>
      <c r="B129" s="7"/>
      <c r="C129" s="12" t="str">
        <f aca="false">IF($B129="","",IFERROR(INDEX(품목마스터!$B$3:$B$202,MATCH($B129,품목마스터!$A$3:$A$202,0)),"미등록품번"))</f>
        <v/>
      </c>
      <c r="D129" s="7"/>
      <c r="E129" s="14"/>
      <c r="F129" s="7"/>
    </row>
    <row r="130" customFormat="false" ht="15" hidden="false" customHeight="true" outlineLevel="0" collapsed="false">
      <c r="A130" s="11"/>
      <c r="B130" s="7"/>
      <c r="C130" s="12" t="str">
        <f aca="false">IF($B130="","",IFERROR(INDEX(품목마스터!$B$3:$B$202,MATCH($B130,품목마스터!$A$3:$A$202,0)),"미등록품번"))</f>
        <v/>
      </c>
      <c r="D130" s="7"/>
      <c r="E130" s="14"/>
      <c r="F130" s="7"/>
    </row>
    <row r="131" customFormat="false" ht="15" hidden="false" customHeight="true" outlineLevel="0" collapsed="false">
      <c r="A131" s="11"/>
      <c r="B131" s="7"/>
      <c r="C131" s="12" t="str">
        <f aca="false">IF($B131="","",IFERROR(INDEX(품목마스터!$B$3:$B$202,MATCH($B131,품목마스터!$A$3:$A$202,0)),"미등록품번"))</f>
        <v/>
      </c>
      <c r="D131" s="7"/>
      <c r="E131" s="14"/>
      <c r="F131" s="7"/>
    </row>
    <row r="132" customFormat="false" ht="15" hidden="false" customHeight="true" outlineLevel="0" collapsed="false">
      <c r="A132" s="11"/>
      <c r="B132" s="7"/>
      <c r="C132" s="12" t="str">
        <f aca="false">IF($B132="","",IFERROR(INDEX(품목마스터!$B$3:$B$202,MATCH($B132,품목마스터!$A$3:$A$202,0)),"미등록품번"))</f>
        <v/>
      </c>
      <c r="D132" s="7"/>
      <c r="E132" s="14"/>
      <c r="F132" s="7"/>
    </row>
    <row r="133" customFormat="false" ht="15" hidden="false" customHeight="true" outlineLevel="0" collapsed="false">
      <c r="A133" s="11"/>
      <c r="B133" s="7"/>
      <c r="C133" s="12" t="str">
        <f aca="false">IF($B133="","",IFERROR(INDEX(품목마스터!$B$3:$B$202,MATCH($B133,품목마스터!$A$3:$A$202,0)),"미등록품번"))</f>
        <v/>
      </c>
      <c r="D133" s="7"/>
      <c r="E133" s="14"/>
      <c r="F133" s="7"/>
    </row>
    <row r="134" customFormat="false" ht="15" hidden="false" customHeight="true" outlineLevel="0" collapsed="false">
      <c r="A134" s="11"/>
      <c r="B134" s="7"/>
      <c r="C134" s="12" t="str">
        <f aca="false">IF($B134="","",IFERROR(INDEX(품목마스터!$B$3:$B$202,MATCH($B134,품목마스터!$A$3:$A$202,0)),"미등록품번"))</f>
        <v/>
      </c>
      <c r="D134" s="7"/>
      <c r="E134" s="14"/>
      <c r="F134" s="7"/>
    </row>
    <row r="135" customFormat="false" ht="15" hidden="false" customHeight="true" outlineLevel="0" collapsed="false">
      <c r="A135" s="11"/>
      <c r="B135" s="7"/>
      <c r="C135" s="12" t="str">
        <f aca="false">IF($B135="","",IFERROR(INDEX(품목마스터!$B$3:$B$202,MATCH($B135,품목마스터!$A$3:$A$202,0)),"미등록품번"))</f>
        <v/>
      </c>
      <c r="D135" s="7"/>
      <c r="E135" s="14"/>
      <c r="F135" s="7"/>
    </row>
    <row r="136" customFormat="false" ht="15" hidden="false" customHeight="true" outlineLevel="0" collapsed="false">
      <c r="A136" s="11"/>
      <c r="B136" s="7"/>
      <c r="C136" s="12" t="str">
        <f aca="false">IF($B136="","",IFERROR(INDEX(품목마스터!$B$3:$B$202,MATCH($B136,품목마스터!$A$3:$A$202,0)),"미등록품번"))</f>
        <v/>
      </c>
      <c r="D136" s="7"/>
      <c r="E136" s="14"/>
      <c r="F136" s="7"/>
    </row>
    <row r="137" customFormat="false" ht="15" hidden="false" customHeight="true" outlineLevel="0" collapsed="false">
      <c r="A137" s="11"/>
      <c r="B137" s="7"/>
      <c r="C137" s="12" t="str">
        <f aca="false">IF($B137="","",IFERROR(INDEX(품목마스터!$B$3:$B$202,MATCH($B137,품목마스터!$A$3:$A$202,0)),"미등록품번"))</f>
        <v/>
      </c>
      <c r="D137" s="7"/>
      <c r="E137" s="14"/>
      <c r="F137" s="7"/>
    </row>
    <row r="138" customFormat="false" ht="15" hidden="false" customHeight="true" outlineLevel="0" collapsed="false">
      <c r="A138" s="11"/>
      <c r="B138" s="7"/>
      <c r="C138" s="12" t="str">
        <f aca="false">IF($B138="","",IFERROR(INDEX(품목마스터!$B$3:$B$202,MATCH($B138,품목마스터!$A$3:$A$202,0)),"미등록품번"))</f>
        <v/>
      </c>
      <c r="D138" s="7"/>
      <c r="E138" s="14"/>
      <c r="F138" s="7"/>
    </row>
    <row r="139" customFormat="false" ht="15" hidden="false" customHeight="true" outlineLevel="0" collapsed="false">
      <c r="A139" s="11"/>
      <c r="B139" s="7"/>
      <c r="C139" s="12" t="str">
        <f aca="false">IF($B139="","",IFERROR(INDEX(품목마스터!$B$3:$B$202,MATCH($B139,품목마스터!$A$3:$A$202,0)),"미등록품번"))</f>
        <v/>
      </c>
      <c r="D139" s="7"/>
      <c r="E139" s="14"/>
      <c r="F139" s="7"/>
    </row>
    <row r="140" customFormat="false" ht="15" hidden="false" customHeight="true" outlineLevel="0" collapsed="false">
      <c r="A140" s="11"/>
      <c r="B140" s="7"/>
      <c r="C140" s="12" t="str">
        <f aca="false">IF($B140="","",IFERROR(INDEX(품목마스터!$B$3:$B$202,MATCH($B140,품목마스터!$A$3:$A$202,0)),"미등록품번"))</f>
        <v/>
      </c>
      <c r="D140" s="7"/>
      <c r="E140" s="14"/>
      <c r="F140" s="7"/>
    </row>
    <row r="141" customFormat="false" ht="15" hidden="false" customHeight="true" outlineLevel="0" collapsed="false">
      <c r="A141" s="11"/>
      <c r="B141" s="7"/>
      <c r="C141" s="12" t="str">
        <f aca="false">IF($B141="","",IFERROR(INDEX(품목마스터!$B$3:$B$202,MATCH($B141,품목마스터!$A$3:$A$202,0)),"미등록품번"))</f>
        <v/>
      </c>
      <c r="D141" s="7"/>
      <c r="E141" s="14"/>
      <c r="F141" s="7"/>
    </row>
    <row r="142" customFormat="false" ht="15" hidden="false" customHeight="true" outlineLevel="0" collapsed="false">
      <c r="A142" s="11"/>
      <c r="B142" s="7"/>
      <c r="C142" s="12" t="str">
        <f aca="false">IF($B142="","",IFERROR(INDEX(품목마스터!$B$3:$B$202,MATCH($B142,품목마스터!$A$3:$A$202,0)),"미등록품번"))</f>
        <v/>
      </c>
      <c r="D142" s="7"/>
      <c r="E142" s="14"/>
      <c r="F142" s="7"/>
    </row>
    <row r="143" customFormat="false" ht="15" hidden="false" customHeight="true" outlineLevel="0" collapsed="false">
      <c r="A143" s="11"/>
      <c r="B143" s="7"/>
      <c r="C143" s="12" t="str">
        <f aca="false">IF($B143="","",IFERROR(INDEX(품목마스터!$B$3:$B$202,MATCH($B143,품목마스터!$A$3:$A$202,0)),"미등록품번"))</f>
        <v/>
      </c>
      <c r="D143" s="7"/>
      <c r="E143" s="14"/>
      <c r="F143" s="7"/>
    </row>
    <row r="144" customFormat="false" ht="15" hidden="false" customHeight="true" outlineLevel="0" collapsed="false">
      <c r="A144" s="11"/>
      <c r="B144" s="7"/>
      <c r="C144" s="12" t="str">
        <f aca="false">IF($B144="","",IFERROR(INDEX(품목마스터!$B$3:$B$202,MATCH($B144,품목마스터!$A$3:$A$202,0)),"미등록품번"))</f>
        <v/>
      </c>
      <c r="D144" s="7"/>
      <c r="E144" s="14"/>
      <c r="F144" s="7"/>
    </row>
    <row r="145" customFormat="false" ht="15" hidden="false" customHeight="true" outlineLevel="0" collapsed="false">
      <c r="A145" s="11"/>
      <c r="B145" s="7"/>
      <c r="C145" s="12" t="str">
        <f aca="false">IF($B145="","",IFERROR(INDEX(품목마스터!$B$3:$B$202,MATCH($B145,품목마스터!$A$3:$A$202,0)),"미등록품번"))</f>
        <v/>
      </c>
      <c r="D145" s="7"/>
      <c r="E145" s="14"/>
      <c r="F145" s="7"/>
    </row>
    <row r="146" customFormat="false" ht="15" hidden="false" customHeight="true" outlineLevel="0" collapsed="false">
      <c r="A146" s="11"/>
      <c r="B146" s="7"/>
      <c r="C146" s="12" t="str">
        <f aca="false">IF($B146="","",IFERROR(INDEX(품목마스터!$B$3:$B$202,MATCH($B146,품목마스터!$A$3:$A$202,0)),"미등록품번"))</f>
        <v/>
      </c>
      <c r="D146" s="7"/>
      <c r="E146" s="14"/>
      <c r="F146" s="7"/>
    </row>
    <row r="147" customFormat="false" ht="15" hidden="false" customHeight="true" outlineLevel="0" collapsed="false">
      <c r="A147" s="11"/>
      <c r="B147" s="7"/>
      <c r="C147" s="12" t="str">
        <f aca="false">IF($B147="","",IFERROR(INDEX(품목마스터!$B$3:$B$202,MATCH($B147,품목마스터!$A$3:$A$202,0)),"미등록품번"))</f>
        <v/>
      </c>
      <c r="D147" s="7"/>
      <c r="E147" s="14"/>
      <c r="F147" s="7"/>
    </row>
    <row r="148" customFormat="false" ht="15" hidden="false" customHeight="true" outlineLevel="0" collapsed="false">
      <c r="A148" s="11"/>
      <c r="B148" s="7"/>
      <c r="C148" s="12" t="str">
        <f aca="false">IF($B148="","",IFERROR(INDEX(품목마스터!$B$3:$B$202,MATCH($B148,품목마스터!$A$3:$A$202,0)),"미등록품번"))</f>
        <v/>
      </c>
      <c r="D148" s="7"/>
      <c r="E148" s="14"/>
      <c r="F148" s="7"/>
    </row>
    <row r="149" customFormat="false" ht="15" hidden="false" customHeight="true" outlineLevel="0" collapsed="false">
      <c r="A149" s="11"/>
      <c r="B149" s="7"/>
      <c r="C149" s="12" t="str">
        <f aca="false">IF($B149="","",IFERROR(INDEX(품목마스터!$B$3:$B$202,MATCH($B149,품목마스터!$A$3:$A$202,0)),"미등록품번"))</f>
        <v/>
      </c>
      <c r="D149" s="7"/>
      <c r="E149" s="14"/>
      <c r="F149" s="7"/>
    </row>
    <row r="150" customFormat="false" ht="15" hidden="false" customHeight="true" outlineLevel="0" collapsed="false">
      <c r="A150" s="11"/>
      <c r="B150" s="7"/>
      <c r="C150" s="12" t="str">
        <f aca="false">IF($B150="","",IFERROR(INDEX(품목마스터!$B$3:$B$202,MATCH($B150,품목마스터!$A$3:$A$202,0)),"미등록품번"))</f>
        <v/>
      </c>
      <c r="D150" s="7"/>
      <c r="E150" s="14"/>
      <c r="F150" s="7"/>
    </row>
    <row r="151" customFormat="false" ht="15" hidden="false" customHeight="true" outlineLevel="0" collapsed="false">
      <c r="A151" s="11"/>
      <c r="B151" s="7"/>
      <c r="C151" s="12" t="str">
        <f aca="false">IF($B151="","",IFERROR(INDEX(품목마스터!$B$3:$B$202,MATCH($B151,품목마스터!$A$3:$A$202,0)),"미등록품번"))</f>
        <v/>
      </c>
      <c r="D151" s="7"/>
      <c r="E151" s="14"/>
      <c r="F151" s="7"/>
    </row>
    <row r="152" customFormat="false" ht="15" hidden="false" customHeight="true" outlineLevel="0" collapsed="false">
      <c r="A152" s="11"/>
      <c r="B152" s="7"/>
      <c r="C152" s="12" t="str">
        <f aca="false">IF($B152="","",IFERROR(INDEX(품목마스터!$B$3:$B$202,MATCH($B152,품목마스터!$A$3:$A$202,0)),"미등록품번"))</f>
        <v/>
      </c>
      <c r="D152" s="7"/>
      <c r="E152" s="14"/>
      <c r="F152" s="7"/>
    </row>
    <row r="153" customFormat="false" ht="15" hidden="false" customHeight="true" outlineLevel="0" collapsed="false">
      <c r="A153" s="11"/>
      <c r="B153" s="7"/>
      <c r="C153" s="12" t="str">
        <f aca="false">IF($B153="","",IFERROR(INDEX(품목마스터!$B$3:$B$202,MATCH($B153,품목마스터!$A$3:$A$202,0)),"미등록품번"))</f>
        <v/>
      </c>
      <c r="D153" s="7"/>
      <c r="E153" s="14"/>
      <c r="F153" s="7"/>
    </row>
    <row r="154" customFormat="false" ht="15" hidden="false" customHeight="true" outlineLevel="0" collapsed="false">
      <c r="A154" s="11"/>
      <c r="B154" s="7"/>
      <c r="C154" s="12" t="str">
        <f aca="false">IF($B154="","",IFERROR(INDEX(품목마스터!$B$3:$B$202,MATCH($B154,품목마스터!$A$3:$A$202,0)),"미등록품번"))</f>
        <v/>
      </c>
      <c r="D154" s="7"/>
      <c r="E154" s="14"/>
      <c r="F154" s="7"/>
    </row>
    <row r="155" customFormat="false" ht="15" hidden="false" customHeight="true" outlineLevel="0" collapsed="false">
      <c r="A155" s="11"/>
      <c r="B155" s="7"/>
      <c r="C155" s="12" t="str">
        <f aca="false">IF($B155="","",IFERROR(INDEX(품목마스터!$B$3:$B$202,MATCH($B155,품목마스터!$A$3:$A$202,0)),"미등록품번"))</f>
        <v/>
      </c>
      <c r="D155" s="7"/>
      <c r="E155" s="14"/>
      <c r="F155" s="7"/>
    </row>
    <row r="156" customFormat="false" ht="15" hidden="false" customHeight="true" outlineLevel="0" collapsed="false">
      <c r="A156" s="11"/>
      <c r="B156" s="7"/>
      <c r="C156" s="12" t="str">
        <f aca="false">IF($B156="","",IFERROR(INDEX(품목마스터!$B$3:$B$202,MATCH($B156,품목마스터!$A$3:$A$202,0)),"미등록품번"))</f>
        <v/>
      </c>
      <c r="D156" s="7"/>
      <c r="E156" s="14"/>
      <c r="F156" s="7"/>
    </row>
    <row r="157" customFormat="false" ht="15" hidden="false" customHeight="true" outlineLevel="0" collapsed="false">
      <c r="A157" s="11"/>
      <c r="B157" s="7"/>
      <c r="C157" s="12" t="str">
        <f aca="false">IF($B157="","",IFERROR(INDEX(품목마스터!$B$3:$B$202,MATCH($B157,품목마스터!$A$3:$A$202,0)),"미등록품번"))</f>
        <v/>
      </c>
      <c r="D157" s="7"/>
      <c r="E157" s="14"/>
      <c r="F157" s="7"/>
    </row>
    <row r="158" customFormat="false" ht="15" hidden="false" customHeight="true" outlineLevel="0" collapsed="false">
      <c r="A158" s="11"/>
      <c r="B158" s="7"/>
      <c r="C158" s="12" t="str">
        <f aca="false">IF($B158="","",IFERROR(INDEX(품목마스터!$B$3:$B$202,MATCH($B158,품목마스터!$A$3:$A$202,0)),"미등록품번"))</f>
        <v/>
      </c>
      <c r="D158" s="7"/>
      <c r="E158" s="14"/>
      <c r="F158" s="7"/>
    </row>
    <row r="159" customFormat="false" ht="15" hidden="false" customHeight="true" outlineLevel="0" collapsed="false">
      <c r="A159" s="11"/>
      <c r="B159" s="7"/>
      <c r="C159" s="12" t="str">
        <f aca="false">IF($B159="","",IFERROR(INDEX(품목마스터!$B$3:$B$202,MATCH($B159,품목마스터!$A$3:$A$202,0)),"미등록품번"))</f>
        <v/>
      </c>
      <c r="D159" s="7"/>
      <c r="E159" s="14"/>
      <c r="F159" s="7"/>
    </row>
    <row r="160" customFormat="false" ht="15" hidden="false" customHeight="true" outlineLevel="0" collapsed="false">
      <c r="A160" s="11"/>
      <c r="B160" s="7"/>
      <c r="C160" s="12" t="str">
        <f aca="false">IF($B160="","",IFERROR(INDEX(품목마스터!$B$3:$B$202,MATCH($B160,품목마스터!$A$3:$A$202,0)),"미등록품번"))</f>
        <v/>
      </c>
      <c r="D160" s="7"/>
      <c r="E160" s="14"/>
      <c r="F160" s="7"/>
    </row>
    <row r="161" customFormat="false" ht="15" hidden="false" customHeight="true" outlineLevel="0" collapsed="false">
      <c r="A161" s="11"/>
      <c r="B161" s="7"/>
      <c r="C161" s="12" t="str">
        <f aca="false">IF($B161="","",IFERROR(INDEX(품목마스터!$B$3:$B$202,MATCH($B161,품목마스터!$A$3:$A$202,0)),"미등록품번"))</f>
        <v/>
      </c>
      <c r="D161" s="7"/>
      <c r="E161" s="14"/>
      <c r="F161" s="7"/>
    </row>
    <row r="162" customFormat="false" ht="15" hidden="false" customHeight="true" outlineLevel="0" collapsed="false">
      <c r="A162" s="11"/>
      <c r="B162" s="7"/>
      <c r="C162" s="12" t="str">
        <f aca="false">IF($B162="","",IFERROR(INDEX(품목마스터!$B$3:$B$202,MATCH($B162,품목마스터!$A$3:$A$202,0)),"미등록품번"))</f>
        <v/>
      </c>
      <c r="D162" s="7"/>
      <c r="E162" s="14"/>
      <c r="F162" s="7"/>
    </row>
    <row r="163" customFormat="false" ht="15" hidden="false" customHeight="true" outlineLevel="0" collapsed="false">
      <c r="A163" s="11"/>
      <c r="B163" s="7"/>
      <c r="C163" s="12" t="str">
        <f aca="false">IF($B163="","",IFERROR(INDEX(품목마스터!$B$3:$B$202,MATCH($B163,품목마스터!$A$3:$A$202,0)),"미등록품번"))</f>
        <v/>
      </c>
      <c r="D163" s="7"/>
      <c r="E163" s="14"/>
      <c r="F163" s="7"/>
    </row>
    <row r="164" customFormat="false" ht="15" hidden="false" customHeight="true" outlineLevel="0" collapsed="false">
      <c r="A164" s="11"/>
      <c r="B164" s="7"/>
      <c r="C164" s="12" t="str">
        <f aca="false">IF($B164="","",IFERROR(INDEX(품목마스터!$B$3:$B$202,MATCH($B164,품목마스터!$A$3:$A$202,0)),"미등록품번"))</f>
        <v/>
      </c>
      <c r="D164" s="7"/>
      <c r="E164" s="14"/>
      <c r="F164" s="7"/>
    </row>
    <row r="165" customFormat="false" ht="15" hidden="false" customHeight="true" outlineLevel="0" collapsed="false">
      <c r="A165" s="11"/>
      <c r="B165" s="7"/>
      <c r="C165" s="12" t="str">
        <f aca="false">IF($B165="","",IFERROR(INDEX(품목마스터!$B$3:$B$202,MATCH($B165,품목마스터!$A$3:$A$202,0)),"미등록품번"))</f>
        <v/>
      </c>
      <c r="D165" s="7"/>
      <c r="E165" s="14"/>
      <c r="F165" s="7"/>
    </row>
    <row r="166" customFormat="false" ht="15" hidden="false" customHeight="true" outlineLevel="0" collapsed="false">
      <c r="A166" s="11"/>
      <c r="B166" s="7"/>
      <c r="C166" s="12" t="str">
        <f aca="false">IF($B166="","",IFERROR(INDEX(품목마스터!$B$3:$B$202,MATCH($B166,품목마스터!$A$3:$A$202,0)),"미등록품번"))</f>
        <v/>
      </c>
      <c r="D166" s="7"/>
      <c r="E166" s="14"/>
      <c r="F166" s="7"/>
    </row>
    <row r="167" customFormat="false" ht="15" hidden="false" customHeight="true" outlineLevel="0" collapsed="false">
      <c r="A167" s="11"/>
      <c r="B167" s="7"/>
      <c r="C167" s="12" t="str">
        <f aca="false">IF($B167="","",IFERROR(INDEX(품목마스터!$B$3:$B$202,MATCH($B167,품목마스터!$A$3:$A$202,0)),"미등록품번"))</f>
        <v/>
      </c>
      <c r="D167" s="7"/>
      <c r="E167" s="14"/>
      <c r="F167" s="7"/>
    </row>
    <row r="168" customFormat="false" ht="15" hidden="false" customHeight="true" outlineLevel="0" collapsed="false">
      <c r="A168" s="11"/>
      <c r="B168" s="7"/>
      <c r="C168" s="12" t="str">
        <f aca="false">IF($B168="","",IFERROR(INDEX(품목마스터!$B$3:$B$202,MATCH($B168,품목마스터!$A$3:$A$202,0)),"미등록품번"))</f>
        <v/>
      </c>
      <c r="D168" s="7"/>
      <c r="E168" s="14"/>
      <c r="F168" s="7"/>
    </row>
    <row r="169" customFormat="false" ht="15" hidden="false" customHeight="true" outlineLevel="0" collapsed="false">
      <c r="A169" s="11"/>
      <c r="B169" s="7"/>
      <c r="C169" s="12" t="str">
        <f aca="false">IF($B169="","",IFERROR(INDEX(품목마스터!$B$3:$B$202,MATCH($B169,품목마스터!$A$3:$A$202,0)),"미등록품번"))</f>
        <v/>
      </c>
      <c r="D169" s="7"/>
      <c r="E169" s="14"/>
      <c r="F169" s="7"/>
    </row>
    <row r="170" customFormat="false" ht="15" hidden="false" customHeight="true" outlineLevel="0" collapsed="false">
      <c r="A170" s="11"/>
      <c r="B170" s="7"/>
      <c r="C170" s="12" t="str">
        <f aca="false">IF($B170="","",IFERROR(INDEX(품목마스터!$B$3:$B$202,MATCH($B170,품목마스터!$A$3:$A$202,0)),"미등록품번"))</f>
        <v/>
      </c>
      <c r="D170" s="7"/>
      <c r="E170" s="14"/>
      <c r="F170" s="7"/>
    </row>
    <row r="171" customFormat="false" ht="15" hidden="false" customHeight="true" outlineLevel="0" collapsed="false">
      <c r="A171" s="11"/>
      <c r="B171" s="7"/>
      <c r="C171" s="12" t="str">
        <f aca="false">IF($B171="","",IFERROR(INDEX(품목마스터!$B$3:$B$202,MATCH($B171,품목마스터!$A$3:$A$202,0)),"미등록품번"))</f>
        <v/>
      </c>
      <c r="D171" s="7"/>
      <c r="E171" s="14"/>
      <c r="F171" s="7"/>
    </row>
    <row r="172" customFormat="false" ht="15" hidden="false" customHeight="true" outlineLevel="0" collapsed="false">
      <c r="A172" s="11"/>
      <c r="B172" s="7"/>
      <c r="C172" s="12" t="str">
        <f aca="false">IF($B172="","",IFERROR(INDEX(품목마스터!$B$3:$B$202,MATCH($B172,품목마스터!$A$3:$A$202,0)),"미등록품번"))</f>
        <v/>
      </c>
      <c r="D172" s="7"/>
      <c r="E172" s="14"/>
      <c r="F172" s="7"/>
    </row>
    <row r="173" customFormat="false" ht="15" hidden="false" customHeight="true" outlineLevel="0" collapsed="false">
      <c r="A173" s="11"/>
      <c r="B173" s="7"/>
      <c r="C173" s="12" t="str">
        <f aca="false">IF($B173="","",IFERROR(INDEX(품목마스터!$B$3:$B$202,MATCH($B173,품목마스터!$A$3:$A$202,0)),"미등록품번"))</f>
        <v/>
      </c>
      <c r="D173" s="7"/>
      <c r="E173" s="14"/>
      <c r="F173" s="7"/>
    </row>
    <row r="174" customFormat="false" ht="15" hidden="false" customHeight="true" outlineLevel="0" collapsed="false">
      <c r="A174" s="11"/>
      <c r="B174" s="7"/>
      <c r="C174" s="12" t="str">
        <f aca="false">IF($B174="","",IFERROR(INDEX(품목마스터!$B$3:$B$202,MATCH($B174,품목마스터!$A$3:$A$202,0)),"미등록품번"))</f>
        <v/>
      </c>
      <c r="D174" s="7"/>
      <c r="E174" s="14"/>
      <c r="F174" s="7"/>
    </row>
    <row r="175" customFormat="false" ht="15" hidden="false" customHeight="true" outlineLevel="0" collapsed="false">
      <c r="A175" s="11"/>
      <c r="B175" s="7"/>
      <c r="C175" s="12" t="str">
        <f aca="false">IF($B175="","",IFERROR(INDEX(품목마스터!$B$3:$B$202,MATCH($B175,품목마스터!$A$3:$A$202,0)),"미등록품번"))</f>
        <v/>
      </c>
      <c r="D175" s="7"/>
      <c r="E175" s="14"/>
      <c r="F175" s="7"/>
    </row>
    <row r="176" customFormat="false" ht="15" hidden="false" customHeight="true" outlineLevel="0" collapsed="false">
      <c r="A176" s="11"/>
      <c r="B176" s="7"/>
      <c r="C176" s="12" t="str">
        <f aca="false">IF($B176="","",IFERROR(INDEX(품목마스터!$B$3:$B$202,MATCH($B176,품목마스터!$A$3:$A$202,0)),"미등록품번"))</f>
        <v/>
      </c>
      <c r="D176" s="7"/>
      <c r="E176" s="14"/>
      <c r="F176" s="7"/>
    </row>
    <row r="177" customFormat="false" ht="15" hidden="false" customHeight="true" outlineLevel="0" collapsed="false">
      <c r="A177" s="11"/>
      <c r="B177" s="7"/>
      <c r="C177" s="12" t="str">
        <f aca="false">IF($B177="","",IFERROR(INDEX(품목마스터!$B$3:$B$202,MATCH($B177,품목마스터!$A$3:$A$202,0)),"미등록품번"))</f>
        <v/>
      </c>
      <c r="D177" s="7"/>
      <c r="E177" s="14"/>
      <c r="F177" s="7"/>
    </row>
    <row r="178" customFormat="false" ht="15" hidden="false" customHeight="true" outlineLevel="0" collapsed="false">
      <c r="A178" s="11"/>
      <c r="B178" s="7"/>
      <c r="C178" s="12" t="str">
        <f aca="false">IF($B178="","",IFERROR(INDEX(품목마스터!$B$3:$B$202,MATCH($B178,품목마스터!$A$3:$A$202,0)),"미등록품번"))</f>
        <v/>
      </c>
      <c r="D178" s="7"/>
      <c r="E178" s="14"/>
      <c r="F178" s="7"/>
    </row>
    <row r="179" customFormat="false" ht="15" hidden="false" customHeight="true" outlineLevel="0" collapsed="false">
      <c r="A179" s="11"/>
      <c r="B179" s="7"/>
      <c r="C179" s="12" t="str">
        <f aca="false">IF($B179="","",IFERROR(INDEX(품목마스터!$B$3:$B$202,MATCH($B179,품목마스터!$A$3:$A$202,0)),"미등록품번"))</f>
        <v/>
      </c>
      <c r="D179" s="7"/>
      <c r="E179" s="14"/>
      <c r="F179" s="7"/>
    </row>
    <row r="180" customFormat="false" ht="15" hidden="false" customHeight="true" outlineLevel="0" collapsed="false">
      <c r="A180" s="11"/>
      <c r="B180" s="7"/>
      <c r="C180" s="12" t="str">
        <f aca="false">IF($B180="","",IFERROR(INDEX(품목마스터!$B$3:$B$202,MATCH($B180,품목마스터!$A$3:$A$202,0)),"미등록품번"))</f>
        <v/>
      </c>
      <c r="D180" s="7"/>
      <c r="E180" s="14"/>
      <c r="F180" s="7"/>
    </row>
    <row r="181" customFormat="false" ht="15" hidden="false" customHeight="true" outlineLevel="0" collapsed="false">
      <c r="A181" s="11"/>
      <c r="B181" s="7"/>
      <c r="C181" s="12" t="str">
        <f aca="false">IF($B181="","",IFERROR(INDEX(품목마스터!$B$3:$B$202,MATCH($B181,품목마스터!$A$3:$A$202,0)),"미등록품번"))</f>
        <v/>
      </c>
      <c r="D181" s="7"/>
      <c r="E181" s="14"/>
      <c r="F181" s="7"/>
    </row>
    <row r="182" customFormat="false" ht="15" hidden="false" customHeight="true" outlineLevel="0" collapsed="false">
      <c r="A182" s="11"/>
      <c r="B182" s="7"/>
      <c r="C182" s="12" t="str">
        <f aca="false">IF($B182="","",IFERROR(INDEX(품목마스터!$B$3:$B$202,MATCH($B182,품목마스터!$A$3:$A$202,0)),"미등록품번"))</f>
        <v/>
      </c>
      <c r="D182" s="7"/>
      <c r="E182" s="14"/>
      <c r="F182" s="7"/>
    </row>
    <row r="183" customFormat="false" ht="15" hidden="false" customHeight="true" outlineLevel="0" collapsed="false">
      <c r="A183" s="11"/>
      <c r="B183" s="7"/>
      <c r="C183" s="12" t="str">
        <f aca="false">IF($B183="","",IFERROR(INDEX(품목마스터!$B$3:$B$202,MATCH($B183,품목마스터!$A$3:$A$202,0)),"미등록품번"))</f>
        <v/>
      </c>
      <c r="D183" s="7"/>
      <c r="E183" s="14"/>
      <c r="F183" s="7"/>
    </row>
    <row r="184" customFormat="false" ht="15" hidden="false" customHeight="true" outlineLevel="0" collapsed="false">
      <c r="A184" s="11"/>
      <c r="B184" s="7"/>
      <c r="C184" s="12" t="str">
        <f aca="false">IF($B184="","",IFERROR(INDEX(품목마스터!$B$3:$B$202,MATCH($B184,품목마스터!$A$3:$A$202,0)),"미등록품번"))</f>
        <v/>
      </c>
      <c r="D184" s="7"/>
      <c r="E184" s="14"/>
      <c r="F184" s="7"/>
    </row>
    <row r="185" customFormat="false" ht="15" hidden="false" customHeight="true" outlineLevel="0" collapsed="false">
      <c r="A185" s="11"/>
      <c r="B185" s="7"/>
      <c r="C185" s="12" t="str">
        <f aca="false">IF($B185="","",IFERROR(INDEX(품목마스터!$B$3:$B$202,MATCH($B185,품목마스터!$A$3:$A$202,0)),"미등록품번"))</f>
        <v/>
      </c>
      <c r="D185" s="7"/>
      <c r="E185" s="14"/>
      <c r="F185" s="7"/>
    </row>
    <row r="186" customFormat="false" ht="15" hidden="false" customHeight="true" outlineLevel="0" collapsed="false">
      <c r="A186" s="11"/>
      <c r="B186" s="7"/>
      <c r="C186" s="12" t="str">
        <f aca="false">IF($B186="","",IFERROR(INDEX(품목마스터!$B$3:$B$202,MATCH($B186,품목마스터!$A$3:$A$202,0)),"미등록품번"))</f>
        <v/>
      </c>
      <c r="D186" s="7"/>
      <c r="E186" s="14"/>
      <c r="F186" s="7"/>
    </row>
    <row r="187" customFormat="false" ht="15" hidden="false" customHeight="true" outlineLevel="0" collapsed="false">
      <c r="A187" s="11"/>
      <c r="B187" s="7"/>
      <c r="C187" s="12" t="str">
        <f aca="false">IF($B187="","",IFERROR(INDEX(품목마스터!$B$3:$B$202,MATCH($B187,품목마스터!$A$3:$A$202,0)),"미등록품번"))</f>
        <v/>
      </c>
      <c r="D187" s="7"/>
      <c r="E187" s="14"/>
      <c r="F187" s="7"/>
    </row>
    <row r="188" customFormat="false" ht="15" hidden="false" customHeight="true" outlineLevel="0" collapsed="false">
      <c r="A188" s="11"/>
      <c r="B188" s="7"/>
      <c r="C188" s="12" t="str">
        <f aca="false">IF($B188="","",IFERROR(INDEX(품목마스터!$B$3:$B$202,MATCH($B188,품목마스터!$A$3:$A$202,0)),"미등록품번"))</f>
        <v/>
      </c>
      <c r="D188" s="7"/>
      <c r="E188" s="14"/>
      <c r="F188" s="7"/>
    </row>
    <row r="189" customFormat="false" ht="15" hidden="false" customHeight="true" outlineLevel="0" collapsed="false">
      <c r="A189" s="11"/>
      <c r="B189" s="7"/>
      <c r="C189" s="12" t="str">
        <f aca="false">IF($B189="","",IFERROR(INDEX(품목마스터!$B$3:$B$202,MATCH($B189,품목마스터!$A$3:$A$202,0)),"미등록품번"))</f>
        <v/>
      </c>
      <c r="D189" s="7"/>
      <c r="E189" s="14"/>
      <c r="F189" s="7"/>
    </row>
    <row r="190" customFormat="false" ht="15" hidden="false" customHeight="true" outlineLevel="0" collapsed="false">
      <c r="A190" s="11"/>
      <c r="B190" s="7"/>
      <c r="C190" s="12" t="str">
        <f aca="false">IF($B190="","",IFERROR(INDEX(품목마스터!$B$3:$B$202,MATCH($B190,품목마스터!$A$3:$A$202,0)),"미등록품번"))</f>
        <v/>
      </c>
      <c r="D190" s="7"/>
      <c r="E190" s="14"/>
      <c r="F190" s="7"/>
    </row>
    <row r="191" customFormat="false" ht="15" hidden="false" customHeight="true" outlineLevel="0" collapsed="false">
      <c r="A191" s="11"/>
      <c r="B191" s="7"/>
      <c r="C191" s="12" t="str">
        <f aca="false">IF($B191="","",IFERROR(INDEX(품목마스터!$B$3:$B$202,MATCH($B191,품목마스터!$A$3:$A$202,0)),"미등록품번"))</f>
        <v/>
      </c>
      <c r="D191" s="7"/>
      <c r="E191" s="14"/>
      <c r="F191" s="7"/>
    </row>
    <row r="192" customFormat="false" ht="15" hidden="false" customHeight="true" outlineLevel="0" collapsed="false">
      <c r="A192" s="11"/>
      <c r="B192" s="7"/>
      <c r="C192" s="12" t="str">
        <f aca="false">IF($B192="","",IFERROR(INDEX(품목마스터!$B$3:$B$202,MATCH($B192,품목마스터!$A$3:$A$202,0)),"미등록품번"))</f>
        <v/>
      </c>
      <c r="D192" s="7"/>
      <c r="E192" s="14"/>
      <c r="F192" s="7"/>
    </row>
    <row r="193" customFormat="false" ht="15" hidden="false" customHeight="true" outlineLevel="0" collapsed="false">
      <c r="A193" s="11"/>
      <c r="B193" s="7"/>
      <c r="C193" s="12" t="str">
        <f aca="false">IF($B193="","",IFERROR(INDEX(품목마스터!$B$3:$B$202,MATCH($B193,품목마스터!$A$3:$A$202,0)),"미등록품번"))</f>
        <v/>
      </c>
      <c r="D193" s="7"/>
      <c r="E193" s="14"/>
      <c r="F193" s="7"/>
    </row>
    <row r="194" customFormat="false" ht="15" hidden="false" customHeight="true" outlineLevel="0" collapsed="false">
      <c r="A194" s="11"/>
      <c r="B194" s="7"/>
      <c r="C194" s="12" t="str">
        <f aca="false">IF($B194="","",IFERROR(INDEX(품목마스터!$B$3:$B$202,MATCH($B194,품목마스터!$A$3:$A$202,0)),"미등록품번"))</f>
        <v/>
      </c>
      <c r="D194" s="7"/>
      <c r="E194" s="14"/>
      <c r="F194" s="7"/>
    </row>
    <row r="195" customFormat="false" ht="15" hidden="false" customHeight="true" outlineLevel="0" collapsed="false">
      <c r="A195" s="11"/>
      <c r="B195" s="7"/>
      <c r="C195" s="12" t="str">
        <f aca="false">IF($B195="","",IFERROR(INDEX(품목마스터!$B$3:$B$202,MATCH($B195,품목마스터!$A$3:$A$202,0)),"미등록품번"))</f>
        <v/>
      </c>
      <c r="D195" s="7"/>
      <c r="E195" s="14"/>
      <c r="F195" s="7"/>
    </row>
    <row r="196" customFormat="false" ht="15" hidden="false" customHeight="true" outlineLevel="0" collapsed="false">
      <c r="A196" s="11"/>
      <c r="B196" s="7"/>
      <c r="C196" s="12" t="str">
        <f aca="false">IF($B196="","",IFERROR(INDEX(품목마스터!$B$3:$B$202,MATCH($B196,품목마스터!$A$3:$A$202,0)),"미등록품번"))</f>
        <v/>
      </c>
      <c r="D196" s="7"/>
      <c r="E196" s="14"/>
      <c r="F196" s="7"/>
    </row>
    <row r="197" customFormat="false" ht="15" hidden="false" customHeight="true" outlineLevel="0" collapsed="false">
      <c r="A197" s="11"/>
      <c r="B197" s="7"/>
      <c r="C197" s="12" t="str">
        <f aca="false">IF($B197="","",IFERROR(INDEX(품목마스터!$B$3:$B$202,MATCH($B197,품목마스터!$A$3:$A$202,0)),"미등록품번"))</f>
        <v/>
      </c>
      <c r="D197" s="7"/>
      <c r="E197" s="14"/>
      <c r="F197" s="7"/>
    </row>
    <row r="198" customFormat="false" ht="15" hidden="false" customHeight="true" outlineLevel="0" collapsed="false">
      <c r="A198" s="11"/>
      <c r="B198" s="7"/>
      <c r="C198" s="12" t="str">
        <f aca="false">IF($B198="","",IFERROR(INDEX(품목마스터!$B$3:$B$202,MATCH($B198,품목마스터!$A$3:$A$202,0)),"미등록품번"))</f>
        <v/>
      </c>
      <c r="D198" s="7"/>
      <c r="E198" s="14"/>
      <c r="F198" s="7"/>
    </row>
    <row r="199" customFormat="false" ht="15" hidden="false" customHeight="true" outlineLevel="0" collapsed="false">
      <c r="A199" s="11"/>
      <c r="B199" s="7"/>
      <c r="C199" s="12" t="str">
        <f aca="false">IF($B199="","",IFERROR(INDEX(품목마스터!$B$3:$B$202,MATCH($B199,품목마스터!$A$3:$A$202,0)),"미등록품번"))</f>
        <v/>
      </c>
      <c r="D199" s="7"/>
      <c r="E199" s="14"/>
      <c r="F199" s="7"/>
    </row>
    <row r="200" customFormat="false" ht="15" hidden="false" customHeight="true" outlineLevel="0" collapsed="false">
      <c r="A200" s="11"/>
      <c r="B200" s="7"/>
      <c r="C200" s="12" t="str">
        <f aca="false">IF($B200="","",IFERROR(INDEX(품목마스터!$B$3:$B$202,MATCH($B200,품목마스터!$A$3:$A$202,0)),"미등록품번"))</f>
        <v/>
      </c>
      <c r="D200" s="7"/>
      <c r="E200" s="14"/>
      <c r="F200" s="7"/>
    </row>
    <row r="201" customFormat="false" ht="15" hidden="false" customHeight="true" outlineLevel="0" collapsed="false">
      <c r="A201" s="11"/>
      <c r="B201" s="7"/>
      <c r="C201" s="12" t="str">
        <f aca="false">IF($B201="","",IFERROR(INDEX(품목마스터!$B$3:$B$202,MATCH($B201,품목마스터!$A$3:$A$202,0)),"미등록품번"))</f>
        <v/>
      </c>
      <c r="D201" s="7"/>
      <c r="E201" s="14"/>
      <c r="F201" s="7"/>
    </row>
    <row r="202" customFormat="false" ht="15" hidden="false" customHeight="true" outlineLevel="0" collapsed="false">
      <c r="A202" s="11"/>
      <c r="B202" s="7"/>
      <c r="C202" s="12" t="str">
        <f aca="false">IF($B202="","",IFERROR(INDEX(품목마스터!$B$3:$B$202,MATCH($B202,품목마스터!$A$3:$A$202,0)),"미등록품번"))</f>
        <v/>
      </c>
      <c r="D202" s="7"/>
      <c r="E202" s="14"/>
      <c r="F202" s="7"/>
    </row>
    <row r="203" customFormat="false" ht="15" hidden="false" customHeight="true" outlineLevel="0" collapsed="false">
      <c r="A203" s="11"/>
      <c r="B203" s="7"/>
      <c r="C203" s="12" t="str">
        <f aca="false">IF($B203="","",IFERROR(INDEX(품목마스터!$B$3:$B$202,MATCH($B203,품목마스터!$A$3:$A$202,0)),"미등록품번"))</f>
        <v/>
      </c>
      <c r="D203" s="7"/>
      <c r="E203" s="14"/>
      <c r="F203" s="7"/>
    </row>
    <row r="204" customFormat="false" ht="15" hidden="false" customHeight="true" outlineLevel="0" collapsed="false">
      <c r="A204" s="11"/>
      <c r="B204" s="7"/>
      <c r="C204" s="12" t="str">
        <f aca="false">IF($B204="","",IFERROR(INDEX(품목마스터!$B$3:$B$202,MATCH($B204,품목마스터!$A$3:$A$202,0)),"미등록품번"))</f>
        <v/>
      </c>
      <c r="D204" s="7"/>
      <c r="E204" s="14"/>
      <c r="F204" s="7"/>
    </row>
    <row r="205" customFormat="false" ht="15" hidden="false" customHeight="true" outlineLevel="0" collapsed="false">
      <c r="A205" s="11"/>
      <c r="B205" s="7"/>
      <c r="C205" s="12" t="str">
        <f aca="false">IF($B205="","",IFERROR(INDEX(품목마스터!$B$3:$B$202,MATCH($B205,품목마스터!$A$3:$A$202,0)),"미등록품번"))</f>
        <v/>
      </c>
      <c r="D205" s="7"/>
      <c r="E205" s="14"/>
      <c r="F205" s="7"/>
    </row>
    <row r="206" customFormat="false" ht="15" hidden="false" customHeight="true" outlineLevel="0" collapsed="false">
      <c r="A206" s="11"/>
      <c r="B206" s="7"/>
      <c r="C206" s="12" t="str">
        <f aca="false">IF($B206="","",IFERROR(INDEX(품목마스터!$B$3:$B$202,MATCH($B206,품목마스터!$A$3:$A$202,0)),"미등록품번"))</f>
        <v/>
      </c>
      <c r="D206" s="7"/>
      <c r="E206" s="14"/>
      <c r="F206" s="7"/>
    </row>
    <row r="207" customFormat="false" ht="15" hidden="false" customHeight="true" outlineLevel="0" collapsed="false">
      <c r="A207" s="11"/>
      <c r="B207" s="7"/>
      <c r="C207" s="12" t="str">
        <f aca="false">IF($B207="","",IFERROR(INDEX(품목마스터!$B$3:$B$202,MATCH($B207,품목마스터!$A$3:$A$202,0)),"미등록품번"))</f>
        <v/>
      </c>
      <c r="D207" s="7"/>
      <c r="E207" s="14"/>
      <c r="F207" s="7"/>
    </row>
    <row r="208" customFormat="false" ht="15" hidden="false" customHeight="true" outlineLevel="0" collapsed="false">
      <c r="A208" s="11"/>
      <c r="B208" s="7"/>
      <c r="C208" s="12" t="str">
        <f aca="false">IF($B208="","",IFERROR(INDEX(품목마스터!$B$3:$B$202,MATCH($B208,품목마스터!$A$3:$A$202,0)),"미등록품번"))</f>
        <v/>
      </c>
      <c r="D208" s="7"/>
      <c r="E208" s="14"/>
      <c r="F208" s="7"/>
    </row>
    <row r="209" customFormat="false" ht="15" hidden="false" customHeight="true" outlineLevel="0" collapsed="false">
      <c r="A209" s="11"/>
      <c r="B209" s="7"/>
      <c r="C209" s="12" t="str">
        <f aca="false">IF($B209="","",IFERROR(INDEX(품목마스터!$B$3:$B$202,MATCH($B209,품목마스터!$A$3:$A$202,0)),"미등록품번"))</f>
        <v/>
      </c>
      <c r="D209" s="7"/>
      <c r="E209" s="14"/>
      <c r="F209" s="7"/>
    </row>
    <row r="210" customFormat="false" ht="15" hidden="false" customHeight="true" outlineLevel="0" collapsed="false">
      <c r="A210" s="11"/>
      <c r="B210" s="7"/>
      <c r="C210" s="12" t="str">
        <f aca="false">IF($B210="","",IFERROR(INDEX(품목마스터!$B$3:$B$202,MATCH($B210,품목마스터!$A$3:$A$202,0)),"미등록품번"))</f>
        <v/>
      </c>
      <c r="D210" s="7"/>
      <c r="E210" s="14"/>
      <c r="F210" s="7"/>
    </row>
    <row r="211" customFormat="false" ht="15" hidden="false" customHeight="true" outlineLevel="0" collapsed="false">
      <c r="A211" s="11"/>
      <c r="B211" s="7"/>
      <c r="C211" s="12" t="str">
        <f aca="false">IF($B211="","",IFERROR(INDEX(품목마스터!$B$3:$B$202,MATCH($B211,품목마스터!$A$3:$A$202,0)),"미등록품번"))</f>
        <v/>
      </c>
      <c r="D211" s="7"/>
      <c r="E211" s="14"/>
      <c r="F211" s="7"/>
    </row>
    <row r="212" customFormat="false" ht="15" hidden="false" customHeight="true" outlineLevel="0" collapsed="false">
      <c r="A212" s="11"/>
      <c r="B212" s="7"/>
      <c r="C212" s="12" t="str">
        <f aca="false">IF($B212="","",IFERROR(INDEX(품목마스터!$B$3:$B$202,MATCH($B212,품목마스터!$A$3:$A$202,0)),"미등록품번"))</f>
        <v/>
      </c>
      <c r="D212" s="7"/>
      <c r="E212" s="14"/>
      <c r="F212" s="7"/>
    </row>
    <row r="213" customFormat="false" ht="15" hidden="false" customHeight="true" outlineLevel="0" collapsed="false">
      <c r="A213" s="11"/>
      <c r="B213" s="7"/>
      <c r="C213" s="12" t="str">
        <f aca="false">IF($B213="","",IFERROR(INDEX(품목마스터!$B$3:$B$202,MATCH($B213,품목마스터!$A$3:$A$202,0)),"미등록품번"))</f>
        <v/>
      </c>
      <c r="D213" s="7"/>
      <c r="E213" s="14"/>
      <c r="F213" s="7"/>
    </row>
    <row r="214" customFormat="false" ht="15" hidden="false" customHeight="true" outlineLevel="0" collapsed="false">
      <c r="A214" s="11"/>
      <c r="B214" s="7"/>
      <c r="C214" s="12" t="str">
        <f aca="false">IF($B214="","",IFERROR(INDEX(품목마스터!$B$3:$B$202,MATCH($B214,품목마스터!$A$3:$A$202,0)),"미등록품번"))</f>
        <v/>
      </c>
      <c r="D214" s="7"/>
      <c r="E214" s="14"/>
      <c r="F214" s="7"/>
    </row>
    <row r="215" customFormat="false" ht="15" hidden="false" customHeight="true" outlineLevel="0" collapsed="false">
      <c r="A215" s="11"/>
      <c r="B215" s="7"/>
      <c r="C215" s="12" t="str">
        <f aca="false">IF($B215="","",IFERROR(INDEX(품목마스터!$B$3:$B$202,MATCH($B215,품목마스터!$A$3:$A$202,0)),"미등록품번"))</f>
        <v/>
      </c>
      <c r="D215" s="7"/>
      <c r="E215" s="14"/>
      <c r="F215" s="7"/>
    </row>
    <row r="216" customFormat="false" ht="15" hidden="false" customHeight="true" outlineLevel="0" collapsed="false">
      <c r="A216" s="11"/>
      <c r="B216" s="7"/>
      <c r="C216" s="12" t="str">
        <f aca="false">IF($B216="","",IFERROR(INDEX(품목마스터!$B$3:$B$202,MATCH($B216,품목마스터!$A$3:$A$202,0)),"미등록품번"))</f>
        <v/>
      </c>
      <c r="D216" s="7"/>
      <c r="E216" s="14"/>
      <c r="F216" s="7"/>
    </row>
    <row r="217" customFormat="false" ht="15" hidden="false" customHeight="true" outlineLevel="0" collapsed="false">
      <c r="A217" s="11"/>
      <c r="B217" s="7"/>
      <c r="C217" s="12" t="str">
        <f aca="false">IF($B217="","",IFERROR(INDEX(품목마스터!$B$3:$B$202,MATCH($B217,품목마스터!$A$3:$A$202,0)),"미등록품번"))</f>
        <v/>
      </c>
      <c r="D217" s="7"/>
      <c r="E217" s="14"/>
      <c r="F217" s="7"/>
    </row>
    <row r="218" customFormat="false" ht="15" hidden="false" customHeight="true" outlineLevel="0" collapsed="false">
      <c r="A218" s="11"/>
      <c r="B218" s="7"/>
      <c r="C218" s="12" t="str">
        <f aca="false">IF($B218="","",IFERROR(INDEX(품목마스터!$B$3:$B$202,MATCH($B218,품목마스터!$A$3:$A$202,0)),"미등록품번"))</f>
        <v/>
      </c>
      <c r="D218" s="7"/>
      <c r="E218" s="14"/>
      <c r="F218" s="7"/>
    </row>
    <row r="219" customFormat="false" ht="15" hidden="false" customHeight="true" outlineLevel="0" collapsed="false">
      <c r="A219" s="11"/>
      <c r="B219" s="7"/>
      <c r="C219" s="12" t="str">
        <f aca="false">IF($B219="","",IFERROR(INDEX(품목마스터!$B$3:$B$202,MATCH($B219,품목마스터!$A$3:$A$202,0)),"미등록품번"))</f>
        <v/>
      </c>
      <c r="D219" s="7"/>
      <c r="E219" s="14"/>
      <c r="F219" s="7"/>
    </row>
    <row r="220" customFormat="false" ht="15" hidden="false" customHeight="true" outlineLevel="0" collapsed="false">
      <c r="A220" s="11"/>
      <c r="B220" s="7"/>
      <c r="C220" s="12" t="str">
        <f aca="false">IF($B220="","",IFERROR(INDEX(품목마스터!$B$3:$B$202,MATCH($B220,품목마스터!$A$3:$A$202,0)),"미등록품번"))</f>
        <v/>
      </c>
      <c r="D220" s="7"/>
      <c r="E220" s="14"/>
      <c r="F220" s="7"/>
    </row>
    <row r="221" customFormat="false" ht="15" hidden="false" customHeight="true" outlineLevel="0" collapsed="false">
      <c r="A221" s="11"/>
      <c r="B221" s="7"/>
      <c r="C221" s="12" t="str">
        <f aca="false">IF($B221="","",IFERROR(INDEX(품목마스터!$B$3:$B$202,MATCH($B221,품목마스터!$A$3:$A$202,0)),"미등록품번"))</f>
        <v/>
      </c>
      <c r="D221" s="7"/>
      <c r="E221" s="14"/>
      <c r="F221" s="7"/>
    </row>
    <row r="222" customFormat="false" ht="15" hidden="false" customHeight="true" outlineLevel="0" collapsed="false">
      <c r="A222" s="11"/>
      <c r="B222" s="7"/>
      <c r="C222" s="12" t="str">
        <f aca="false">IF($B222="","",IFERROR(INDEX(품목마스터!$B$3:$B$202,MATCH($B222,품목마스터!$A$3:$A$202,0)),"미등록품번"))</f>
        <v/>
      </c>
      <c r="D222" s="7"/>
      <c r="E222" s="14"/>
      <c r="F222" s="7"/>
    </row>
    <row r="223" customFormat="false" ht="15" hidden="false" customHeight="true" outlineLevel="0" collapsed="false">
      <c r="A223" s="11"/>
      <c r="B223" s="7"/>
      <c r="C223" s="12" t="str">
        <f aca="false">IF($B223="","",IFERROR(INDEX(품목마스터!$B$3:$B$202,MATCH($B223,품목마스터!$A$3:$A$202,0)),"미등록품번"))</f>
        <v/>
      </c>
      <c r="D223" s="7"/>
      <c r="E223" s="14"/>
      <c r="F223" s="7"/>
    </row>
    <row r="224" customFormat="false" ht="15" hidden="false" customHeight="true" outlineLevel="0" collapsed="false">
      <c r="A224" s="11"/>
      <c r="B224" s="7"/>
      <c r="C224" s="12" t="str">
        <f aca="false">IF($B224="","",IFERROR(INDEX(품목마스터!$B$3:$B$202,MATCH($B224,품목마스터!$A$3:$A$202,0)),"미등록품번"))</f>
        <v/>
      </c>
      <c r="D224" s="7"/>
      <c r="E224" s="14"/>
      <c r="F224" s="7"/>
    </row>
    <row r="225" customFormat="false" ht="15" hidden="false" customHeight="true" outlineLevel="0" collapsed="false">
      <c r="A225" s="11"/>
      <c r="B225" s="7"/>
      <c r="C225" s="12" t="str">
        <f aca="false">IF($B225="","",IFERROR(INDEX(품목마스터!$B$3:$B$202,MATCH($B225,품목마스터!$A$3:$A$202,0)),"미등록품번"))</f>
        <v/>
      </c>
      <c r="D225" s="7"/>
      <c r="E225" s="14"/>
      <c r="F225" s="7"/>
    </row>
    <row r="226" customFormat="false" ht="15" hidden="false" customHeight="true" outlineLevel="0" collapsed="false">
      <c r="A226" s="11"/>
      <c r="B226" s="7"/>
      <c r="C226" s="12" t="str">
        <f aca="false">IF($B226="","",IFERROR(INDEX(품목마스터!$B$3:$B$202,MATCH($B226,품목마스터!$A$3:$A$202,0)),"미등록품번"))</f>
        <v/>
      </c>
      <c r="D226" s="7"/>
      <c r="E226" s="14"/>
      <c r="F226" s="7"/>
    </row>
    <row r="227" customFormat="false" ht="15" hidden="false" customHeight="true" outlineLevel="0" collapsed="false">
      <c r="A227" s="11"/>
      <c r="B227" s="7"/>
      <c r="C227" s="12" t="str">
        <f aca="false">IF($B227="","",IFERROR(INDEX(품목마스터!$B$3:$B$202,MATCH($B227,품목마스터!$A$3:$A$202,0)),"미등록품번"))</f>
        <v/>
      </c>
      <c r="D227" s="7"/>
      <c r="E227" s="14"/>
      <c r="F227" s="7"/>
    </row>
    <row r="228" customFormat="false" ht="15" hidden="false" customHeight="true" outlineLevel="0" collapsed="false">
      <c r="A228" s="11"/>
      <c r="B228" s="7"/>
      <c r="C228" s="12" t="str">
        <f aca="false">IF($B228="","",IFERROR(INDEX(품목마스터!$B$3:$B$202,MATCH($B228,품목마스터!$A$3:$A$202,0)),"미등록품번"))</f>
        <v/>
      </c>
      <c r="D228" s="7"/>
      <c r="E228" s="14"/>
      <c r="F228" s="7"/>
    </row>
    <row r="229" customFormat="false" ht="15" hidden="false" customHeight="true" outlineLevel="0" collapsed="false">
      <c r="A229" s="11"/>
      <c r="B229" s="7"/>
      <c r="C229" s="12" t="str">
        <f aca="false">IF($B229="","",IFERROR(INDEX(품목마스터!$B$3:$B$202,MATCH($B229,품목마스터!$A$3:$A$202,0)),"미등록품번"))</f>
        <v/>
      </c>
      <c r="D229" s="7"/>
      <c r="E229" s="14"/>
      <c r="F229" s="7"/>
    </row>
    <row r="230" customFormat="false" ht="15" hidden="false" customHeight="true" outlineLevel="0" collapsed="false">
      <c r="A230" s="11"/>
      <c r="B230" s="7"/>
      <c r="C230" s="12" t="str">
        <f aca="false">IF($B230="","",IFERROR(INDEX(품목마스터!$B$3:$B$202,MATCH($B230,품목마스터!$A$3:$A$202,0)),"미등록품번"))</f>
        <v/>
      </c>
      <c r="D230" s="7"/>
      <c r="E230" s="14"/>
      <c r="F230" s="7"/>
    </row>
    <row r="231" customFormat="false" ht="15" hidden="false" customHeight="true" outlineLevel="0" collapsed="false">
      <c r="A231" s="11"/>
      <c r="B231" s="7"/>
      <c r="C231" s="12" t="str">
        <f aca="false">IF($B231="","",IFERROR(INDEX(품목마스터!$B$3:$B$202,MATCH($B231,품목마스터!$A$3:$A$202,0)),"미등록품번"))</f>
        <v/>
      </c>
      <c r="D231" s="7"/>
      <c r="E231" s="14"/>
      <c r="F231" s="7"/>
    </row>
    <row r="232" customFormat="false" ht="15" hidden="false" customHeight="true" outlineLevel="0" collapsed="false">
      <c r="A232" s="11"/>
      <c r="B232" s="7"/>
      <c r="C232" s="12" t="str">
        <f aca="false">IF($B232="","",IFERROR(INDEX(품목마스터!$B$3:$B$202,MATCH($B232,품목마스터!$A$3:$A$202,0)),"미등록품번"))</f>
        <v/>
      </c>
      <c r="D232" s="7"/>
      <c r="E232" s="14"/>
      <c r="F232" s="7"/>
    </row>
    <row r="233" customFormat="false" ht="15" hidden="false" customHeight="true" outlineLevel="0" collapsed="false">
      <c r="A233" s="11"/>
      <c r="B233" s="7"/>
      <c r="C233" s="12" t="str">
        <f aca="false">IF($B233="","",IFERROR(INDEX(품목마스터!$B$3:$B$202,MATCH($B233,품목마스터!$A$3:$A$202,0)),"미등록품번"))</f>
        <v/>
      </c>
      <c r="D233" s="7"/>
      <c r="E233" s="14"/>
      <c r="F233" s="7"/>
    </row>
    <row r="234" customFormat="false" ht="15" hidden="false" customHeight="true" outlineLevel="0" collapsed="false">
      <c r="A234" s="11"/>
      <c r="B234" s="7"/>
      <c r="C234" s="12" t="str">
        <f aca="false">IF($B234="","",IFERROR(INDEX(품목마스터!$B$3:$B$202,MATCH($B234,품목마스터!$A$3:$A$202,0)),"미등록품번"))</f>
        <v/>
      </c>
      <c r="D234" s="7"/>
      <c r="E234" s="14"/>
      <c r="F234" s="7"/>
    </row>
    <row r="235" customFormat="false" ht="15" hidden="false" customHeight="true" outlineLevel="0" collapsed="false">
      <c r="A235" s="11"/>
      <c r="B235" s="7"/>
      <c r="C235" s="12" t="str">
        <f aca="false">IF($B235="","",IFERROR(INDEX(품목마스터!$B$3:$B$202,MATCH($B235,품목마스터!$A$3:$A$202,0)),"미등록품번"))</f>
        <v/>
      </c>
      <c r="D235" s="7"/>
      <c r="E235" s="14"/>
      <c r="F235" s="7"/>
    </row>
    <row r="236" customFormat="false" ht="15" hidden="false" customHeight="true" outlineLevel="0" collapsed="false">
      <c r="A236" s="11"/>
      <c r="B236" s="7"/>
      <c r="C236" s="12" t="str">
        <f aca="false">IF($B236="","",IFERROR(INDEX(품목마스터!$B$3:$B$202,MATCH($B236,품목마스터!$A$3:$A$202,0)),"미등록품번"))</f>
        <v/>
      </c>
      <c r="D236" s="7"/>
      <c r="E236" s="14"/>
      <c r="F236" s="7"/>
    </row>
    <row r="237" customFormat="false" ht="15" hidden="false" customHeight="true" outlineLevel="0" collapsed="false">
      <c r="A237" s="11"/>
      <c r="B237" s="7"/>
      <c r="C237" s="12" t="str">
        <f aca="false">IF($B237="","",IFERROR(INDEX(품목마스터!$B$3:$B$202,MATCH($B237,품목마스터!$A$3:$A$202,0)),"미등록품번"))</f>
        <v/>
      </c>
      <c r="D237" s="7"/>
      <c r="E237" s="14"/>
      <c r="F237" s="7"/>
    </row>
    <row r="238" customFormat="false" ht="15" hidden="false" customHeight="true" outlineLevel="0" collapsed="false">
      <c r="A238" s="11"/>
      <c r="B238" s="7"/>
      <c r="C238" s="12" t="str">
        <f aca="false">IF($B238="","",IFERROR(INDEX(품목마스터!$B$3:$B$202,MATCH($B238,품목마스터!$A$3:$A$202,0)),"미등록품번"))</f>
        <v/>
      </c>
      <c r="D238" s="7"/>
      <c r="E238" s="14"/>
      <c r="F238" s="7"/>
    </row>
    <row r="239" customFormat="false" ht="15" hidden="false" customHeight="true" outlineLevel="0" collapsed="false">
      <c r="A239" s="11"/>
      <c r="B239" s="7"/>
      <c r="C239" s="12" t="str">
        <f aca="false">IF($B239="","",IFERROR(INDEX(품목마스터!$B$3:$B$202,MATCH($B239,품목마스터!$A$3:$A$202,0)),"미등록품번"))</f>
        <v/>
      </c>
      <c r="D239" s="7"/>
      <c r="E239" s="14"/>
      <c r="F239" s="7"/>
    </row>
    <row r="240" customFormat="false" ht="15" hidden="false" customHeight="true" outlineLevel="0" collapsed="false">
      <c r="A240" s="11"/>
      <c r="B240" s="7"/>
      <c r="C240" s="12" t="str">
        <f aca="false">IF($B240="","",IFERROR(INDEX(품목마스터!$B$3:$B$202,MATCH($B240,품목마스터!$A$3:$A$202,0)),"미등록품번"))</f>
        <v/>
      </c>
      <c r="D240" s="7"/>
      <c r="E240" s="14"/>
      <c r="F240" s="7"/>
    </row>
    <row r="241" customFormat="false" ht="15" hidden="false" customHeight="true" outlineLevel="0" collapsed="false">
      <c r="A241" s="11"/>
      <c r="B241" s="7"/>
      <c r="C241" s="12" t="str">
        <f aca="false">IF($B241="","",IFERROR(INDEX(품목마스터!$B$3:$B$202,MATCH($B241,품목마스터!$A$3:$A$202,0)),"미등록품번"))</f>
        <v/>
      </c>
      <c r="D241" s="7"/>
      <c r="E241" s="14"/>
      <c r="F241" s="7"/>
    </row>
    <row r="242" customFormat="false" ht="15" hidden="false" customHeight="true" outlineLevel="0" collapsed="false">
      <c r="A242" s="11"/>
      <c r="B242" s="7"/>
      <c r="C242" s="12" t="str">
        <f aca="false">IF($B242="","",IFERROR(INDEX(품목마스터!$B$3:$B$202,MATCH($B242,품목마스터!$A$3:$A$202,0)),"미등록품번"))</f>
        <v/>
      </c>
      <c r="D242" s="7"/>
      <c r="E242" s="14"/>
      <c r="F242" s="7"/>
    </row>
    <row r="243" customFormat="false" ht="15" hidden="false" customHeight="true" outlineLevel="0" collapsed="false">
      <c r="A243" s="11"/>
      <c r="B243" s="7"/>
      <c r="C243" s="12" t="str">
        <f aca="false">IF($B243="","",IFERROR(INDEX(품목마스터!$B$3:$B$202,MATCH($B243,품목마스터!$A$3:$A$202,0)),"미등록품번"))</f>
        <v/>
      </c>
      <c r="D243" s="7"/>
      <c r="E243" s="14"/>
      <c r="F243" s="7"/>
    </row>
    <row r="244" customFormat="false" ht="15" hidden="false" customHeight="true" outlineLevel="0" collapsed="false">
      <c r="A244" s="11"/>
      <c r="B244" s="7"/>
      <c r="C244" s="12" t="str">
        <f aca="false">IF($B244="","",IFERROR(INDEX(품목마스터!$B$3:$B$202,MATCH($B244,품목마스터!$A$3:$A$202,0)),"미등록품번"))</f>
        <v/>
      </c>
      <c r="D244" s="7"/>
      <c r="E244" s="14"/>
      <c r="F244" s="7"/>
    </row>
    <row r="245" customFormat="false" ht="15" hidden="false" customHeight="true" outlineLevel="0" collapsed="false">
      <c r="A245" s="11"/>
      <c r="B245" s="7"/>
      <c r="C245" s="12" t="str">
        <f aca="false">IF($B245="","",IFERROR(INDEX(품목마스터!$B$3:$B$202,MATCH($B245,품목마스터!$A$3:$A$202,0)),"미등록품번"))</f>
        <v/>
      </c>
      <c r="D245" s="7"/>
      <c r="E245" s="14"/>
      <c r="F245" s="7"/>
    </row>
    <row r="246" customFormat="false" ht="15" hidden="false" customHeight="true" outlineLevel="0" collapsed="false">
      <c r="A246" s="11"/>
      <c r="B246" s="7"/>
      <c r="C246" s="12" t="str">
        <f aca="false">IF($B246="","",IFERROR(INDEX(품목마스터!$B$3:$B$202,MATCH($B246,품목마스터!$A$3:$A$202,0)),"미등록품번"))</f>
        <v/>
      </c>
      <c r="D246" s="7"/>
      <c r="E246" s="14"/>
      <c r="F246" s="7"/>
    </row>
    <row r="247" customFormat="false" ht="15" hidden="false" customHeight="true" outlineLevel="0" collapsed="false">
      <c r="A247" s="11"/>
      <c r="B247" s="7"/>
      <c r="C247" s="12" t="str">
        <f aca="false">IF($B247="","",IFERROR(INDEX(품목마스터!$B$3:$B$202,MATCH($B247,품목마스터!$A$3:$A$202,0)),"미등록품번"))</f>
        <v/>
      </c>
      <c r="D247" s="7"/>
      <c r="E247" s="14"/>
      <c r="F247" s="7"/>
    </row>
    <row r="248" customFormat="false" ht="15" hidden="false" customHeight="true" outlineLevel="0" collapsed="false">
      <c r="A248" s="11"/>
      <c r="B248" s="7"/>
      <c r="C248" s="12" t="str">
        <f aca="false">IF($B248="","",IFERROR(INDEX(품목마스터!$B$3:$B$202,MATCH($B248,품목마스터!$A$3:$A$202,0)),"미등록품번"))</f>
        <v/>
      </c>
      <c r="D248" s="7"/>
      <c r="E248" s="14"/>
      <c r="F248" s="7"/>
    </row>
    <row r="249" customFormat="false" ht="15" hidden="false" customHeight="true" outlineLevel="0" collapsed="false">
      <c r="A249" s="11"/>
      <c r="B249" s="7"/>
      <c r="C249" s="12" t="str">
        <f aca="false">IF($B249="","",IFERROR(INDEX(품목마스터!$B$3:$B$202,MATCH($B249,품목마스터!$A$3:$A$202,0)),"미등록품번"))</f>
        <v/>
      </c>
      <c r="D249" s="7"/>
      <c r="E249" s="14"/>
      <c r="F249" s="7"/>
    </row>
    <row r="250" customFormat="false" ht="15" hidden="false" customHeight="true" outlineLevel="0" collapsed="false">
      <c r="A250" s="11"/>
      <c r="B250" s="7"/>
      <c r="C250" s="12" t="str">
        <f aca="false">IF($B250="","",IFERROR(INDEX(품목마스터!$B$3:$B$202,MATCH($B250,품목마스터!$A$3:$A$202,0)),"미등록품번"))</f>
        <v/>
      </c>
      <c r="D250" s="7"/>
      <c r="E250" s="14"/>
      <c r="F250" s="7"/>
    </row>
    <row r="251" customFormat="false" ht="15" hidden="false" customHeight="true" outlineLevel="0" collapsed="false">
      <c r="A251" s="11"/>
      <c r="B251" s="7"/>
      <c r="C251" s="12" t="str">
        <f aca="false">IF($B251="","",IFERROR(INDEX(품목마스터!$B$3:$B$202,MATCH($B251,품목마스터!$A$3:$A$202,0)),"미등록품번"))</f>
        <v/>
      </c>
      <c r="D251" s="7"/>
      <c r="E251" s="14"/>
      <c r="F251" s="7"/>
    </row>
    <row r="252" customFormat="false" ht="15" hidden="false" customHeight="true" outlineLevel="0" collapsed="false">
      <c r="A252" s="11"/>
      <c r="B252" s="7"/>
      <c r="C252" s="12" t="str">
        <f aca="false">IF($B252="","",IFERROR(INDEX(품목마스터!$B$3:$B$202,MATCH($B252,품목마스터!$A$3:$A$202,0)),"미등록품번"))</f>
        <v/>
      </c>
      <c r="D252" s="7"/>
      <c r="E252" s="14"/>
      <c r="F252" s="7"/>
    </row>
    <row r="253" customFormat="false" ht="15" hidden="false" customHeight="true" outlineLevel="0" collapsed="false">
      <c r="A253" s="11"/>
      <c r="B253" s="7"/>
      <c r="C253" s="12" t="str">
        <f aca="false">IF($B253="","",IFERROR(INDEX(품목마스터!$B$3:$B$202,MATCH($B253,품목마스터!$A$3:$A$202,0)),"미등록품번"))</f>
        <v/>
      </c>
      <c r="D253" s="7"/>
      <c r="E253" s="14"/>
      <c r="F253" s="7"/>
    </row>
    <row r="254" customFormat="false" ht="15" hidden="false" customHeight="true" outlineLevel="0" collapsed="false">
      <c r="A254" s="11"/>
      <c r="B254" s="7"/>
      <c r="C254" s="12" t="str">
        <f aca="false">IF($B254="","",IFERROR(INDEX(품목마스터!$B$3:$B$202,MATCH($B254,품목마스터!$A$3:$A$202,0)),"미등록품번"))</f>
        <v/>
      </c>
      <c r="D254" s="7"/>
      <c r="E254" s="14"/>
      <c r="F254" s="7"/>
    </row>
    <row r="255" customFormat="false" ht="15" hidden="false" customHeight="true" outlineLevel="0" collapsed="false">
      <c r="A255" s="11"/>
      <c r="B255" s="7"/>
      <c r="C255" s="12" t="str">
        <f aca="false">IF($B255="","",IFERROR(INDEX(품목마스터!$B$3:$B$202,MATCH($B255,품목마스터!$A$3:$A$202,0)),"미등록품번"))</f>
        <v/>
      </c>
      <c r="D255" s="7"/>
      <c r="E255" s="14"/>
      <c r="F255" s="7"/>
    </row>
    <row r="256" customFormat="false" ht="15" hidden="false" customHeight="true" outlineLevel="0" collapsed="false">
      <c r="A256" s="11"/>
      <c r="B256" s="7"/>
      <c r="C256" s="12" t="str">
        <f aca="false">IF($B256="","",IFERROR(INDEX(품목마스터!$B$3:$B$202,MATCH($B256,품목마스터!$A$3:$A$202,0)),"미등록품번"))</f>
        <v/>
      </c>
      <c r="D256" s="7"/>
      <c r="E256" s="14"/>
      <c r="F256" s="7"/>
    </row>
    <row r="257" customFormat="false" ht="15" hidden="false" customHeight="true" outlineLevel="0" collapsed="false">
      <c r="A257" s="11"/>
      <c r="B257" s="7"/>
      <c r="C257" s="12" t="str">
        <f aca="false">IF($B257="","",IFERROR(INDEX(품목마스터!$B$3:$B$202,MATCH($B257,품목마스터!$A$3:$A$202,0)),"미등록품번"))</f>
        <v/>
      </c>
      <c r="D257" s="7"/>
      <c r="E257" s="14"/>
      <c r="F257" s="7"/>
    </row>
    <row r="258" customFormat="false" ht="15" hidden="false" customHeight="true" outlineLevel="0" collapsed="false">
      <c r="A258" s="11"/>
      <c r="B258" s="7"/>
      <c r="C258" s="12" t="str">
        <f aca="false">IF($B258="","",IFERROR(INDEX(품목마스터!$B$3:$B$202,MATCH($B258,품목마스터!$A$3:$A$202,0)),"미등록품번"))</f>
        <v/>
      </c>
      <c r="D258" s="7"/>
      <c r="E258" s="14"/>
      <c r="F258" s="7"/>
    </row>
    <row r="259" customFormat="false" ht="15" hidden="false" customHeight="true" outlineLevel="0" collapsed="false">
      <c r="A259" s="11"/>
      <c r="B259" s="7"/>
      <c r="C259" s="12" t="str">
        <f aca="false">IF($B259="","",IFERROR(INDEX(품목마스터!$B$3:$B$202,MATCH($B259,품목마스터!$A$3:$A$202,0)),"미등록품번"))</f>
        <v/>
      </c>
      <c r="D259" s="7"/>
      <c r="E259" s="14"/>
      <c r="F259" s="7"/>
    </row>
    <row r="260" customFormat="false" ht="15" hidden="false" customHeight="true" outlineLevel="0" collapsed="false">
      <c r="A260" s="11"/>
      <c r="B260" s="7"/>
      <c r="C260" s="12" t="str">
        <f aca="false">IF($B260="","",IFERROR(INDEX(품목마스터!$B$3:$B$202,MATCH($B260,품목마스터!$A$3:$A$202,0)),"미등록품번"))</f>
        <v/>
      </c>
      <c r="D260" s="7"/>
      <c r="E260" s="14"/>
      <c r="F260" s="7"/>
    </row>
    <row r="261" customFormat="false" ht="15" hidden="false" customHeight="true" outlineLevel="0" collapsed="false">
      <c r="A261" s="11"/>
      <c r="B261" s="7"/>
      <c r="C261" s="12" t="str">
        <f aca="false">IF($B261="","",IFERROR(INDEX(품목마스터!$B$3:$B$202,MATCH($B261,품목마스터!$A$3:$A$202,0)),"미등록품번"))</f>
        <v/>
      </c>
      <c r="D261" s="7"/>
      <c r="E261" s="14"/>
      <c r="F261" s="7"/>
    </row>
    <row r="262" customFormat="false" ht="15" hidden="false" customHeight="true" outlineLevel="0" collapsed="false">
      <c r="A262" s="11"/>
      <c r="B262" s="7"/>
      <c r="C262" s="12" t="str">
        <f aca="false">IF($B262="","",IFERROR(INDEX(품목마스터!$B$3:$B$202,MATCH($B262,품목마스터!$A$3:$A$202,0)),"미등록품번"))</f>
        <v/>
      </c>
      <c r="D262" s="7"/>
      <c r="E262" s="14"/>
      <c r="F262" s="7"/>
    </row>
    <row r="263" customFormat="false" ht="15" hidden="false" customHeight="true" outlineLevel="0" collapsed="false">
      <c r="A263" s="11"/>
      <c r="B263" s="7"/>
      <c r="C263" s="12" t="str">
        <f aca="false">IF($B263="","",IFERROR(INDEX(품목마스터!$B$3:$B$202,MATCH($B263,품목마스터!$A$3:$A$202,0)),"미등록품번"))</f>
        <v/>
      </c>
      <c r="D263" s="7"/>
      <c r="E263" s="14"/>
      <c r="F263" s="7"/>
    </row>
    <row r="264" customFormat="false" ht="15" hidden="false" customHeight="true" outlineLevel="0" collapsed="false">
      <c r="A264" s="11"/>
      <c r="B264" s="7"/>
      <c r="C264" s="12" t="str">
        <f aca="false">IF($B264="","",IFERROR(INDEX(품목마스터!$B$3:$B$202,MATCH($B264,품목마스터!$A$3:$A$202,0)),"미등록품번"))</f>
        <v/>
      </c>
      <c r="D264" s="7"/>
      <c r="E264" s="14"/>
      <c r="F264" s="7"/>
    </row>
    <row r="265" customFormat="false" ht="15" hidden="false" customHeight="true" outlineLevel="0" collapsed="false">
      <c r="A265" s="11"/>
      <c r="B265" s="7"/>
      <c r="C265" s="12" t="str">
        <f aca="false">IF($B265="","",IFERROR(INDEX(품목마스터!$B$3:$B$202,MATCH($B265,품목마스터!$A$3:$A$202,0)),"미등록품번"))</f>
        <v/>
      </c>
      <c r="D265" s="7"/>
      <c r="E265" s="14"/>
      <c r="F265" s="7"/>
    </row>
    <row r="266" customFormat="false" ht="15" hidden="false" customHeight="true" outlineLevel="0" collapsed="false">
      <c r="A266" s="11"/>
      <c r="B266" s="7"/>
      <c r="C266" s="12" t="str">
        <f aca="false">IF($B266="","",IFERROR(INDEX(품목마스터!$B$3:$B$202,MATCH($B266,품목마스터!$A$3:$A$202,0)),"미등록품번"))</f>
        <v/>
      </c>
      <c r="D266" s="7"/>
      <c r="E266" s="14"/>
      <c r="F266" s="7"/>
    </row>
    <row r="267" customFormat="false" ht="15" hidden="false" customHeight="true" outlineLevel="0" collapsed="false">
      <c r="A267" s="11"/>
      <c r="B267" s="7"/>
      <c r="C267" s="12" t="str">
        <f aca="false">IF($B267="","",IFERROR(INDEX(품목마스터!$B$3:$B$202,MATCH($B267,품목마스터!$A$3:$A$202,0)),"미등록품번"))</f>
        <v/>
      </c>
      <c r="D267" s="7"/>
      <c r="E267" s="14"/>
      <c r="F267" s="7"/>
    </row>
    <row r="268" customFormat="false" ht="15" hidden="false" customHeight="true" outlineLevel="0" collapsed="false">
      <c r="A268" s="11"/>
      <c r="B268" s="7"/>
      <c r="C268" s="12" t="str">
        <f aca="false">IF($B268="","",IFERROR(INDEX(품목마스터!$B$3:$B$202,MATCH($B268,품목마스터!$A$3:$A$202,0)),"미등록품번"))</f>
        <v/>
      </c>
      <c r="D268" s="7"/>
      <c r="E268" s="14"/>
      <c r="F268" s="7"/>
    </row>
    <row r="269" customFormat="false" ht="15" hidden="false" customHeight="true" outlineLevel="0" collapsed="false">
      <c r="A269" s="11"/>
      <c r="B269" s="7"/>
      <c r="C269" s="12" t="str">
        <f aca="false">IF($B269="","",IFERROR(INDEX(품목마스터!$B$3:$B$202,MATCH($B269,품목마스터!$A$3:$A$202,0)),"미등록품번"))</f>
        <v/>
      </c>
      <c r="D269" s="7"/>
      <c r="E269" s="14"/>
      <c r="F269" s="7"/>
    </row>
    <row r="270" customFormat="false" ht="15" hidden="false" customHeight="true" outlineLevel="0" collapsed="false">
      <c r="A270" s="11"/>
      <c r="B270" s="7"/>
      <c r="C270" s="12" t="str">
        <f aca="false">IF($B270="","",IFERROR(INDEX(품목마스터!$B$3:$B$202,MATCH($B270,품목마스터!$A$3:$A$202,0)),"미등록품번"))</f>
        <v/>
      </c>
      <c r="D270" s="7"/>
      <c r="E270" s="14"/>
      <c r="F270" s="7"/>
    </row>
    <row r="271" customFormat="false" ht="15" hidden="false" customHeight="true" outlineLevel="0" collapsed="false">
      <c r="A271" s="11"/>
      <c r="B271" s="7"/>
      <c r="C271" s="12" t="str">
        <f aca="false">IF($B271="","",IFERROR(INDEX(품목마스터!$B$3:$B$202,MATCH($B271,품목마스터!$A$3:$A$202,0)),"미등록품번"))</f>
        <v/>
      </c>
      <c r="D271" s="7"/>
      <c r="E271" s="14"/>
      <c r="F271" s="7"/>
    </row>
    <row r="272" customFormat="false" ht="15" hidden="false" customHeight="true" outlineLevel="0" collapsed="false">
      <c r="A272" s="11"/>
      <c r="B272" s="7"/>
      <c r="C272" s="12" t="str">
        <f aca="false">IF($B272="","",IFERROR(INDEX(품목마스터!$B$3:$B$202,MATCH($B272,품목마스터!$A$3:$A$202,0)),"미등록품번"))</f>
        <v/>
      </c>
      <c r="D272" s="7"/>
      <c r="E272" s="14"/>
      <c r="F272" s="7"/>
    </row>
    <row r="273" customFormat="false" ht="15" hidden="false" customHeight="true" outlineLevel="0" collapsed="false">
      <c r="A273" s="11"/>
      <c r="B273" s="7"/>
      <c r="C273" s="12" t="str">
        <f aca="false">IF($B273="","",IFERROR(INDEX(품목마스터!$B$3:$B$202,MATCH($B273,품목마스터!$A$3:$A$202,0)),"미등록품번"))</f>
        <v/>
      </c>
      <c r="D273" s="7"/>
      <c r="E273" s="14"/>
      <c r="F273" s="7"/>
    </row>
    <row r="274" customFormat="false" ht="15" hidden="false" customHeight="true" outlineLevel="0" collapsed="false">
      <c r="A274" s="11"/>
      <c r="B274" s="7"/>
      <c r="C274" s="12" t="str">
        <f aca="false">IF($B274="","",IFERROR(INDEX(품목마스터!$B$3:$B$202,MATCH($B274,품목마스터!$A$3:$A$202,0)),"미등록품번"))</f>
        <v/>
      </c>
      <c r="D274" s="7"/>
      <c r="E274" s="14"/>
      <c r="F274" s="7"/>
    </row>
    <row r="275" customFormat="false" ht="15" hidden="false" customHeight="true" outlineLevel="0" collapsed="false">
      <c r="A275" s="11"/>
      <c r="B275" s="7"/>
      <c r="C275" s="12" t="str">
        <f aca="false">IF($B275="","",IFERROR(INDEX(품목마스터!$B$3:$B$202,MATCH($B275,품목마스터!$A$3:$A$202,0)),"미등록품번"))</f>
        <v/>
      </c>
      <c r="D275" s="7"/>
      <c r="E275" s="14"/>
      <c r="F275" s="7"/>
    </row>
    <row r="276" customFormat="false" ht="15" hidden="false" customHeight="true" outlineLevel="0" collapsed="false">
      <c r="A276" s="11"/>
      <c r="B276" s="7"/>
      <c r="C276" s="12" t="str">
        <f aca="false">IF($B276="","",IFERROR(INDEX(품목마스터!$B$3:$B$202,MATCH($B276,품목마스터!$A$3:$A$202,0)),"미등록품번"))</f>
        <v/>
      </c>
      <c r="D276" s="7"/>
      <c r="E276" s="14"/>
      <c r="F276" s="7"/>
    </row>
    <row r="277" customFormat="false" ht="15" hidden="false" customHeight="true" outlineLevel="0" collapsed="false">
      <c r="A277" s="11"/>
      <c r="B277" s="7"/>
      <c r="C277" s="12" t="str">
        <f aca="false">IF($B277="","",IFERROR(INDEX(품목마스터!$B$3:$B$202,MATCH($B277,품목마스터!$A$3:$A$202,0)),"미등록품번"))</f>
        <v/>
      </c>
      <c r="D277" s="7"/>
      <c r="E277" s="14"/>
      <c r="F277" s="7"/>
    </row>
    <row r="278" customFormat="false" ht="15" hidden="false" customHeight="true" outlineLevel="0" collapsed="false">
      <c r="A278" s="11"/>
      <c r="B278" s="7"/>
      <c r="C278" s="12" t="str">
        <f aca="false">IF($B278="","",IFERROR(INDEX(품목마스터!$B$3:$B$202,MATCH($B278,품목마스터!$A$3:$A$202,0)),"미등록품번"))</f>
        <v/>
      </c>
      <c r="D278" s="7"/>
      <c r="E278" s="14"/>
      <c r="F278" s="7"/>
    </row>
    <row r="279" customFormat="false" ht="15" hidden="false" customHeight="true" outlineLevel="0" collapsed="false">
      <c r="A279" s="11"/>
      <c r="B279" s="7"/>
      <c r="C279" s="12" t="str">
        <f aca="false">IF($B279="","",IFERROR(INDEX(품목마스터!$B$3:$B$202,MATCH($B279,품목마스터!$A$3:$A$202,0)),"미등록품번"))</f>
        <v/>
      </c>
      <c r="D279" s="7"/>
      <c r="E279" s="14"/>
      <c r="F279" s="7"/>
    </row>
    <row r="280" customFormat="false" ht="15" hidden="false" customHeight="true" outlineLevel="0" collapsed="false">
      <c r="A280" s="11"/>
      <c r="B280" s="7"/>
      <c r="C280" s="12" t="str">
        <f aca="false">IF($B280="","",IFERROR(INDEX(품목마스터!$B$3:$B$202,MATCH($B280,품목마스터!$A$3:$A$202,0)),"미등록품번"))</f>
        <v/>
      </c>
      <c r="D280" s="7"/>
      <c r="E280" s="14"/>
      <c r="F280" s="7"/>
    </row>
    <row r="281" customFormat="false" ht="15" hidden="false" customHeight="true" outlineLevel="0" collapsed="false">
      <c r="A281" s="11"/>
      <c r="B281" s="7"/>
      <c r="C281" s="12" t="str">
        <f aca="false">IF($B281="","",IFERROR(INDEX(품목마스터!$B$3:$B$202,MATCH($B281,품목마스터!$A$3:$A$202,0)),"미등록품번"))</f>
        <v/>
      </c>
      <c r="D281" s="7"/>
      <c r="E281" s="14"/>
      <c r="F281" s="7"/>
    </row>
    <row r="282" customFormat="false" ht="15" hidden="false" customHeight="true" outlineLevel="0" collapsed="false">
      <c r="A282" s="11"/>
      <c r="B282" s="7"/>
      <c r="C282" s="12" t="str">
        <f aca="false">IF($B282="","",IFERROR(INDEX(품목마스터!$B$3:$B$202,MATCH($B282,품목마스터!$A$3:$A$202,0)),"미등록품번"))</f>
        <v/>
      </c>
      <c r="D282" s="7"/>
      <c r="E282" s="14"/>
      <c r="F282" s="7"/>
    </row>
    <row r="283" customFormat="false" ht="15" hidden="false" customHeight="true" outlineLevel="0" collapsed="false">
      <c r="A283" s="11"/>
      <c r="B283" s="7"/>
      <c r="C283" s="12" t="str">
        <f aca="false">IF($B283="","",IFERROR(INDEX(품목마스터!$B$3:$B$202,MATCH($B283,품목마스터!$A$3:$A$202,0)),"미등록품번"))</f>
        <v/>
      </c>
      <c r="D283" s="7"/>
      <c r="E283" s="14"/>
      <c r="F283" s="7"/>
    </row>
    <row r="284" customFormat="false" ht="15" hidden="false" customHeight="true" outlineLevel="0" collapsed="false">
      <c r="A284" s="11"/>
      <c r="B284" s="7"/>
      <c r="C284" s="12" t="str">
        <f aca="false">IF($B284="","",IFERROR(INDEX(품목마스터!$B$3:$B$202,MATCH($B284,품목마스터!$A$3:$A$202,0)),"미등록품번"))</f>
        <v/>
      </c>
      <c r="D284" s="7"/>
      <c r="E284" s="14"/>
      <c r="F284" s="7"/>
    </row>
    <row r="285" customFormat="false" ht="15" hidden="false" customHeight="true" outlineLevel="0" collapsed="false">
      <c r="A285" s="11"/>
      <c r="B285" s="7"/>
      <c r="C285" s="12" t="str">
        <f aca="false">IF($B285="","",IFERROR(INDEX(품목마스터!$B$3:$B$202,MATCH($B285,품목마스터!$A$3:$A$202,0)),"미등록품번"))</f>
        <v/>
      </c>
      <c r="D285" s="7"/>
      <c r="E285" s="14"/>
      <c r="F285" s="7"/>
    </row>
    <row r="286" customFormat="false" ht="15" hidden="false" customHeight="true" outlineLevel="0" collapsed="false">
      <c r="A286" s="11"/>
      <c r="B286" s="7"/>
      <c r="C286" s="12" t="str">
        <f aca="false">IF($B286="","",IFERROR(INDEX(품목마스터!$B$3:$B$202,MATCH($B286,품목마스터!$A$3:$A$202,0)),"미등록품번"))</f>
        <v/>
      </c>
      <c r="D286" s="7"/>
      <c r="E286" s="14"/>
      <c r="F286" s="7"/>
    </row>
    <row r="287" customFormat="false" ht="15" hidden="false" customHeight="true" outlineLevel="0" collapsed="false">
      <c r="A287" s="11"/>
      <c r="B287" s="7"/>
      <c r="C287" s="12" t="str">
        <f aca="false">IF($B287="","",IFERROR(INDEX(품목마스터!$B$3:$B$202,MATCH($B287,품목마스터!$A$3:$A$202,0)),"미등록품번"))</f>
        <v/>
      </c>
      <c r="D287" s="7"/>
      <c r="E287" s="14"/>
      <c r="F287" s="7"/>
    </row>
    <row r="288" customFormat="false" ht="15" hidden="false" customHeight="true" outlineLevel="0" collapsed="false">
      <c r="A288" s="11"/>
      <c r="B288" s="7"/>
      <c r="C288" s="12" t="str">
        <f aca="false">IF($B288="","",IFERROR(INDEX(품목마스터!$B$3:$B$202,MATCH($B288,품목마스터!$A$3:$A$202,0)),"미등록품번"))</f>
        <v/>
      </c>
      <c r="D288" s="7"/>
      <c r="E288" s="14"/>
      <c r="F288" s="7"/>
    </row>
    <row r="289" customFormat="false" ht="15" hidden="false" customHeight="true" outlineLevel="0" collapsed="false">
      <c r="A289" s="11"/>
      <c r="B289" s="7"/>
      <c r="C289" s="12" t="str">
        <f aca="false">IF($B289="","",IFERROR(INDEX(품목마스터!$B$3:$B$202,MATCH($B289,품목마스터!$A$3:$A$202,0)),"미등록품번"))</f>
        <v/>
      </c>
      <c r="D289" s="7"/>
      <c r="E289" s="14"/>
      <c r="F289" s="7"/>
    </row>
    <row r="290" customFormat="false" ht="15" hidden="false" customHeight="true" outlineLevel="0" collapsed="false">
      <c r="A290" s="11"/>
      <c r="B290" s="7"/>
      <c r="C290" s="12" t="str">
        <f aca="false">IF($B290="","",IFERROR(INDEX(품목마스터!$B$3:$B$202,MATCH($B290,품목마스터!$A$3:$A$202,0)),"미등록품번"))</f>
        <v/>
      </c>
      <c r="D290" s="7"/>
      <c r="E290" s="14"/>
      <c r="F290" s="7"/>
    </row>
    <row r="291" customFormat="false" ht="15" hidden="false" customHeight="true" outlineLevel="0" collapsed="false">
      <c r="A291" s="11"/>
      <c r="B291" s="7"/>
      <c r="C291" s="12" t="str">
        <f aca="false">IF($B291="","",IFERROR(INDEX(품목마스터!$B$3:$B$202,MATCH($B291,품목마스터!$A$3:$A$202,0)),"미등록품번"))</f>
        <v/>
      </c>
      <c r="D291" s="7"/>
      <c r="E291" s="14"/>
      <c r="F291" s="7"/>
    </row>
    <row r="292" customFormat="false" ht="15" hidden="false" customHeight="true" outlineLevel="0" collapsed="false">
      <c r="A292" s="11"/>
      <c r="B292" s="7"/>
      <c r="C292" s="12" t="str">
        <f aca="false">IF($B292="","",IFERROR(INDEX(품목마스터!$B$3:$B$202,MATCH($B292,품목마스터!$A$3:$A$202,0)),"미등록품번"))</f>
        <v/>
      </c>
      <c r="D292" s="7"/>
      <c r="E292" s="14"/>
      <c r="F292" s="7"/>
    </row>
    <row r="293" customFormat="false" ht="15" hidden="false" customHeight="true" outlineLevel="0" collapsed="false">
      <c r="A293" s="11"/>
      <c r="B293" s="7"/>
      <c r="C293" s="12" t="str">
        <f aca="false">IF($B293="","",IFERROR(INDEX(품목마스터!$B$3:$B$202,MATCH($B293,품목마스터!$A$3:$A$202,0)),"미등록품번"))</f>
        <v/>
      </c>
      <c r="D293" s="7"/>
      <c r="E293" s="14"/>
      <c r="F293" s="7"/>
    </row>
    <row r="294" customFormat="false" ht="15" hidden="false" customHeight="true" outlineLevel="0" collapsed="false">
      <c r="A294" s="11"/>
      <c r="B294" s="7"/>
      <c r="C294" s="12" t="str">
        <f aca="false">IF($B294="","",IFERROR(INDEX(품목마스터!$B$3:$B$202,MATCH($B294,품목마스터!$A$3:$A$202,0)),"미등록품번"))</f>
        <v/>
      </c>
      <c r="D294" s="7"/>
      <c r="E294" s="14"/>
      <c r="F294" s="7"/>
    </row>
    <row r="295" customFormat="false" ht="15" hidden="false" customHeight="true" outlineLevel="0" collapsed="false">
      <c r="A295" s="11"/>
      <c r="B295" s="7"/>
      <c r="C295" s="12" t="str">
        <f aca="false">IF($B295="","",IFERROR(INDEX(품목마스터!$B$3:$B$202,MATCH($B295,품목마스터!$A$3:$A$202,0)),"미등록품번"))</f>
        <v/>
      </c>
      <c r="D295" s="7"/>
      <c r="E295" s="14"/>
      <c r="F295" s="7"/>
    </row>
    <row r="296" customFormat="false" ht="15" hidden="false" customHeight="true" outlineLevel="0" collapsed="false">
      <c r="A296" s="11"/>
      <c r="B296" s="7"/>
      <c r="C296" s="12" t="str">
        <f aca="false">IF($B296="","",IFERROR(INDEX(품목마스터!$B$3:$B$202,MATCH($B296,품목마스터!$A$3:$A$202,0)),"미등록품번"))</f>
        <v/>
      </c>
      <c r="D296" s="7"/>
      <c r="E296" s="14"/>
      <c r="F296" s="7"/>
    </row>
    <row r="297" customFormat="false" ht="15" hidden="false" customHeight="true" outlineLevel="0" collapsed="false">
      <c r="A297" s="11"/>
      <c r="B297" s="7"/>
      <c r="C297" s="12" t="str">
        <f aca="false">IF($B297="","",IFERROR(INDEX(품목마스터!$B$3:$B$202,MATCH($B297,품목마스터!$A$3:$A$202,0)),"미등록품번"))</f>
        <v/>
      </c>
      <c r="D297" s="7"/>
      <c r="E297" s="14"/>
      <c r="F297" s="7"/>
    </row>
    <row r="298" customFormat="false" ht="15" hidden="false" customHeight="true" outlineLevel="0" collapsed="false">
      <c r="A298" s="11"/>
      <c r="B298" s="7"/>
      <c r="C298" s="12" t="str">
        <f aca="false">IF($B298="","",IFERROR(INDEX(품목마스터!$B$3:$B$202,MATCH($B298,품목마스터!$A$3:$A$202,0)),"미등록품번"))</f>
        <v/>
      </c>
      <c r="D298" s="7"/>
      <c r="E298" s="14"/>
      <c r="F298" s="7"/>
    </row>
    <row r="299" customFormat="false" ht="15" hidden="false" customHeight="true" outlineLevel="0" collapsed="false">
      <c r="A299" s="11"/>
      <c r="B299" s="7"/>
      <c r="C299" s="12" t="str">
        <f aca="false">IF($B299="","",IFERROR(INDEX(품목마스터!$B$3:$B$202,MATCH($B299,품목마스터!$A$3:$A$202,0)),"미등록품번"))</f>
        <v/>
      </c>
      <c r="D299" s="7"/>
      <c r="E299" s="14"/>
      <c r="F299" s="7"/>
    </row>
    <row r="300" customFormat="false" ht="15" hidden="false" customHeight="true" outlineLevel="0" collapsed="false">
      <c r="A300" s="11"/>
      <c r="B300" s="7"/>
      <c r="C300" s="12" t="str">
        <f aca="false">IF($B300="","",IFERROR(INDEX(품목마스터!$B$3:$B$202,MATCH($B300,품목마스터!$A$3:$A$202,0)),"미등록품번"))</f>
        <v/>
      </c>
      <c r="D300" s="7"/>
      <c r="E300" s="14"/>
      <c r="F300" s="7"/>
    </row>
    <row r="301" customFormat="false" ht="15" hidden="false" customHeight="true" outlineLevel="0" collapsed="false">
      <c r="A301" s="11"/>
      <c r="B301" s="7"/>
      <c r="C301" s="12" t="str">
        <f aca="false">IF($B301="","",IFERROR(INDEX(품목마스터!$B$3:$B$202,MATCH($B301,품목마스터!$A$3:$A$202,0)),"미등록품번"))</f>
        <v/>
      </c>
      <c r="D301" s="7"/>
      <c r="E301" s="14"/>
      <c r="F301" s="7"/>
    </row>
    <row r="302" customFormat="false" ht="15" hidden="false" customHeight="true" outlineLevel="0" collapsed="false">
      <c r="A302" s="11"/>
      <c r="B302" s="7"/>
      <c r="C302" s="12" t="str">
        <f aca="false">IF($B302="","",IFERROR(INDEX(품목마스터!$B$3:$B$202,MATCH($B302,품목마스터!$A$3:$A$202,0)),"미등록품번"))</f>
        <v/>
      </c>
      <c r="D302" s="7"/>
      <c r="E302" s="14"/>
      <c r="F302" s="7"/>
    </row>
    <row r="304" customFormat="false" ht="15" hidden="false" customHeight="true" outlineLevel="0" collapsed="false">
      <c r="A304" s="5" t="s">
        <v>76</v>
      </c>
    </row>
  </sheetData>
  <mergeCells count="1">
    <mergeCell ref="A1:F1"/>
  </mergeCells>
  <dataValidations count="2">
    <dataValidation allowBlank="true" errorStyle="stop" operator="between" showDropDown="false" showErrorMessage="false" showInputMessage="false" sqref="B3:B302" type="list">
      <formula1>품목마스터!$A$3:$A$202</formula1>
      <formula2>0</formula2>
    </dataValidation>
    <dataValidation allowBlank="true" errorStyle="stop" operator="between" showDropDown="false" showErrorMessage="false" showInputMessage="false" sqref="D3:D302" type="list">
      <formula1>"반품입고,파손,샘플,실사보정,기타"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9" min="7" style="1" width="12"/>
    <col collapsed="false" customWidth="true" hidden="false" outlineLevel="0" max="10" min="10" style="1" width="13"/>
    <col collapsed="false" customWidth="true" hidden="false" outlineLevel="0" max="11" min="11" style="1" width="16"/>
  </cols>
  <sheetData>
    <row r="1" customFormat="false" ht="25.5" hidden="false" customHeight="true" outlineLevel="0" collapsed="false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true" outlineLevel="0" collapsed="false">
      <c r="A3" s="3" t="s">
        <v>78</v>
      </c>
      <c r="B3" s="4" t="s">
        <v>79</v>
      </c>
      <c r="C3" s="5" t="s">
        <v>80</v>
      </c>
    </row>
    <row r="5" customFormat="false" ht="15" hidden="false" customHeight="true" outlineLevel="0" collapsed="false">
      <c r="A5" s="6" t="s">
        <v>27</v>
      </c>
      <c r="B5" s="6" t="s">
        <v>28</v>
      </c>
      <c r="C5" s="6" t="s">
        <v>30</v>
      </c>
      <c r="D5" s="6" t="s">
        <v>31</v>
      </c>
      <c r="E5" s="6" t="s">
        <v>81</v>
      </c>
      <c r="F5" s="6" t="s">
        <v>82</v>
      </c>
      <c r="G5" s="6" t="s">
        <v>83</v>
      </c>
      <c r="H5" s="6" t="s">
        <v>84</v>
      </c>
      <c r="I5" s="6" t="s">
        <v>85</v>
      </c>
      <c r="J5" s="6" t="s">
        <v>86</v>
      </c>
      <c r="K5" s="6" t="s">
        <v>87</v>
      </c>
    </row>
    <row r="6" customFormat="false" ht="15" hidden="false" customHeight="true" outlineLevel="0" collapsed="false">
      <c r="A6" s="12" t="str">
        <f aca="false">IF(품목마스터!$A3="","",품목마스터!$A3)</f>
        <v>P001</v>
      </c>
      <c r="B6" s="12" t="str">
        <f aca="false">IF($A6="","",품목마스터!$B3)</f>
        <v>홍삼즙 30포</v>
      </c>
      <c r="C6" s="12" t="str">
        <f aca="false">IF($A6="","",품목마스터!$D3)</f>
        <v>박스</v>
      </c>
      <c r="D6" s="13" t="n">
        <f aca="false">IF($A6="","",IF(품목마스터!$E3="",0,품목마스터!$E3))</f>
        <v>120</v>
      </c>
      <c r="E6" s="13" t="n">
        <f aca="false">IF($A6="","",SUMIFS(검수내역!$G$3:$G$802,검수내역!$D$3:$D$802,$A6))</f>
        <v>200</v>
      </c>
      <c r="F6" s="13" t="n">
        <f aca="false">IF($A6="","",SUMIFS(출고내역!$G$3:$G$802,출고내역!$D$3:$D$802,$A6))</f>
        <v>140</v>
      </c>
      <c r="G6" s="13" t="n">
        <f aca="false">IF($A6="","",SUMIFS(출고내역!$H$3:$H$802,출고내역!$D$3:$D$802,$A6))</f>
        <v>7</v>
      </c>
      <c r="H6" s="13" t="n">
        <f aca="false">IF($A6="","",$F6+$G6)</f>
        <v>147</v>
      </c>
      <c r="I6" s="13" t="n">
        <f aca="false">IF($A6="","",SUMIFS(재고조정!$E$3:$E$302,재고조정!$B$3:$B$302,$A6))</f>
        <v>-5</v>
      </c>
      <c r="J6" s="13" t="n">
        <f aca="false">IF($A6="","",$D6+$E6-$H6+$I6)</f>
        <v>168</v>
      </c>
      <c r="K6" s="13" t="n">
        <f aca="false">IF($A6="","",SUMIFS(출고내역!$K$3:$K$802,출고내역!$D$3:$D$802,$A6))</f>
        <v>3080000</v>
      </c>
    </row>
    <row r="7" customFormat="false" ht="15" hidden="false" customHeight="true" outlineLevel="0" collapsed="false">
      <c r="A7" s="12" t="str">
        <f aca="false">IF(품목마스터!$A4="","",품목마스터!$A4)</f>
        <v>P002</v>
      </c>
      <c r="B7" s="12" t="str">
        <f aca="false">IF($A7="","",품목마스터!$B4)</f>
        <v>홍삼정 240g</v>
      </c>
      <c r="C7" s="12" t="str">
        <f aca="false">IF($A7="","",품목마스터!$D4)</f>
        <v>EA</v>
      </c>
      <c r="D7" s="13" t="n">
        <f aca="false">IF($A7="","",IF(품목마스터!$E4="",0,품목마스터!$E4))</f>
        <v>80</v>
      </c>
      <c r="E7" s="13" t="n">
        <f aca="false">IF($A7="","",SUMIFS(검수내역!$G$3:$G$802,검수내역!$D$3:$D$802,$A7))</f>
        <v>120</v>
      </c>
      <c r="F7" s="13" t="n">
        <f aca="false">IF($A7="","",SUMIFS(출고내역!$G$3:$G$802,출고내역!$D$3:$D$802,$A7))</f>
        <v>40</v>
      </c>
      <c r="G7" s="13" t="n">
        <f aca="false">IF($A7="","",SUMIFS(출고내역!$H$3:$H$802,출고내역!$D$3:$D$802,$A7))</f>
        <v>2</v>
      </c>
      <c r="H7" s="13" t="n">
        <f aca="false">IF($A7="","",$F7+$G7)</f>
        <v>42</v>
      </c>
      <c r="I7" s="13" t="n">
        <f aca="false">IF($A7="","",SUMIFS(재고조정!$E$3:$E$302,재고조정!$B$3:$B$302,$A7))</f>
        <v>-3</v>
      </c>
      <c r="J7" s="13" t="n">
        <f aca="false">IF($A7="","",$D7+$E7-$H7+$I7)</f>
        <v>155</v>
      </c>
      <c r="K7" s="13" t="n">
        <f aca="false">IF($A7="","",SUMIFS(출고내역!$K$3:$K$802,출고내역!$D$3:$D$802,$A7))</f>
        <v>1240000</v>
      </c>
    </row>
    <row r="8" customFormat="false" ht="15" hidden="false" customHeight="true" outlineLevel="0" collapsed="false">
      <c r="A8" s="12" t="str">
        <f aca="false">IF(품목마스터!$A5="","",품목마스터!$A5)</f>
        <v>P003</v>
      </c>
      <c r="B8" s="12" t="str">
        <f aca="false">IF($A8="","",품목마스터!$B5)</f>
        <v>선물세트 A</v>
      </c>
      <c r="C8" s="12" t="str">
        <f aca="false">IF($A8="","",품목마스터!$D5)</f>
        <v>SET</v>
      </c>
      <c r="D8" s="13" t="n">
        <f aca="false">IF($A8="","",IF(품목마스터!$E5="",0,품목마스터!$E5))</f>
        <v>40</v>
      </c>
      <c r="E8" s="13" t="n">
        <f aca="false">IF($A8="","",SUMIFS(검수내역!$G$3:$G$802,검수내역!$D$3:$D$802,$A8))</f>
        <v>60</v>
      </c>
      <c r="F8" s="13" t="n">
        <f aca="false">IF($A8="","",SUMIFS(출고내역!$G$3:$G$802,출고내역!$D$3:$D$802,$A8))</f>
        <v>25</v>
      </c>
      <c r="G8" s="13" t="n">
        <f aca="false">IF($A8="","",SUMIFS(출고내역!$H$3:$H$802,출고내역!$D$3:$D$802,$A8))</f>
        <v>0</v>
      </c>
      <c r="H8" s="13" t="n">
        <f aca="false">IF($A8="","",$F8+$G8)</f>
        <v>25</v>
      </c>
      <c r="I8" s="13" t="n">
        <f aca="false">IF($A8="","",SUMIFS(재고조정!$E$3:$E$302,재고조정!$B$3:$B$302,$A8))</f>
        <v>2</v>
      </c>
      <c r="J8" s="13" t="n">
        <f aca="false">IF($A8="","",$D8+$E8-$H8+$I8)</f>
        <v>77</v>
      </c>
      <c r="K8" s="13" t="n">
        <f aca="false">IF($A8="","",SUMIFS(출고내역!$K$3:$K$802,출고내역!$D$3:$D$802,$A8))</f>
        <v>1550000</v>
      </c>
    </row>
    <row r="9" customFormat="false" ht="15" hidden="false" customHeight="true" outlineLevel="0" collapsed="false">
      <c r="A9" s="12" t="str">
        <f aca="false">IF(품목마스터!$A6="","",품목마스터!$A6)</f>
        <v/>
      </c>
      <c r="B9" s="12" t="str">
        <f aca="false">IF($A9="","",품목마스터!$B6)</f>
        <v/>
      </c>
      <c r="C9" s="12" t="str">
        <f aca="false">IF($A9="","",품목마스터!$D6)</f>
        <v/>
      </c>
      <c r="D9" s="13" t="str">
        <f aca="false">IF($A9="","",IF(품목마스터!$E6="",0,품목마스터!$E6))</f>
        <v/>
      </c>
      <c r="E9" s="13" t="str">
        <f aca="false">IF($A9="","",SUMIFS(검수내역!$G$3:$G$802,검수내역!$D$3:$D$802,$A9))</f>
        <v/>
      </c>
      <c r="F9" s="13" t="str">
        <f aca="false">IF($A9="","",SUMIFS(출고내역!$G$3:$G$802,출고내역!$D$3:$D$802,$A9))</f>
        <v/>
      </c>
      <c r="G9" s="13" t="str">
        <f aca="false">IF($A9="","",SUMIFS(출고내역!$H$3:$H$802,출고내역!$D$3:$D$802,$A9))</f>
        <v/>
      </c>
      <c r="H9" s="13" t="str">
        <f aca="false">IF($A9="","",$F9+$G9)</f>
        <v/>
      </c>
      <c r="I9" s="13" t="str">
        <f aca="false">IF($A9="","",SUMIFS(재고조정!$E$3:$E$302,재고조정!$B$3:$B$302,$A9))</f>
        <v/>
      </c>
      <c r="J9" s="13" t="str">
        <f aca="false">IF($A9="","",$D9+$E9-$H9+$I9)</f>
        <v/>
      </c>
      <c r="K9" s="13" t="str">
        <f aca="false">IF($A9="","",SUMIFS(출고내역!$K$3:$K$802,출고내역!$D$3:$D$802,$A9))</f>
        <v/>
      </c>
    </row>
    <row r="10" customFormat="false" ht="15" hidden="false" customHeight="true" outlineLevel="0" collapsed="false">
      <c r="A10" s="12" t="str">
        <f aca="false">IF(품목마스터!$A7="","",품목마스터!$A7)</f>
        <v/>
      </c>
      <c r="B10" s="12" t="str">
        <f aca="false">IF($A10="","",품목마스터!$B7)</f>
        <v/>
      </c>
      <c r="C10" s="12" t="str">
        <f aca="false">IF($A10="","",품목마스터!$D7)</f>
        <v/>
      </c>
      <c r="D10" s="13" t="str">
        <f aca="false">IF($A10="","",IF(품목마스터!$E7="",0,품목마스터!$E7))</f>
        <v/>
      </c>
      <c r="E10" s="13" t="str">
        <f aca="false">IF($A10="","",SUMIFS(검수내역!$G$3:$G$802,검수내역!$D$3:$D$802,$A10))</f>
        <v/>
      </c>
      <c r="F10" s="13" t="str">
        <f aca="false">IF($A10="","",SUMIFS(출고내역!$G$3:$G$802,출고내역!$D$3:$D$802,$A10))</f>
        <v/>
      </c>
      <c r="G10" s="13" t="str">
        <f aca="false">IF($A10="","",SUMIFS(출고내역!$H$3:$H$802,출고내역!$D$3:$D$802,$A10))</f>
        <v/>
      </c>
      <c r="H10" s="13" t="str">
        <f aca="false">IF($A10="","",$F10+$G10)</f>
        <v/>
      </c>
      <c r="I10" s="13" t="str">
        <f aca="false">IF($A10="","",SUMIFS(재고조정!$E$3:$E$302,재고조정!$B$3:$B$302,$A10))</f>
        <v/>
      </c>
      <c r="J10" s="13" t="str">
        <f aca="false">IF($A10="","",$D10+$E10-$H10+$I10)</f>
        <v/>
      </c>
      <c r="K10" s="13" t="str">
        <f aca="false">IF($A10="","",SUMIFS(출고내역!$K$3:$K$802,출고내역!$D$3:$D$802,$A10))</f>
        <v/>
      </c>
    </row>
    <row r="11" customFormat="false" ht="15" hidden="false" customHeight="true" outlineLevel="0" collapsed="false">
      <c r="A11" s="12" t="str">
        <f aca="false">IF(품목마스터!$A8="","",품목마스터!$A8)</f>
        <v/>
      </c>
      <c r="B11" s="12" t="str">
        <f aca="false">IF($A11="","",품목마스터!$B8)</f>
        <v/>
      </c>
      <c r="C11" s="12" t="str">
        <f aca="false">IF($A11="","",품목마스터!$D8)</f>
        <v/>
      </c>
      <c r="D11" s="13" t="str">
        <f aca="false">IF($A11="","",IF(품목마스터!$E8="",0,품목마스터!$E8))</f>
        <v/>
      </c>
      <c r="E11" s="13" t="str">
        <f aca="false">IF($A11="","",SUMIFS(검수내역!$G$3:$G$802,검수내역!$D$3:$D$802,$A11))</f>
        <v/>
      </c>
      <c r="F11" s="13" t="str">
        <f aca="false">IF($A11="","",SUMIFS(출고내역!$G$3:$G$802,출고내역!$D$3:$D$802,$A11))</f>
        <v/>
      </c>
      <c r="G11" s="13" t="str">
        <f aca="false">IF($A11="","",SUMIFS(출고내역!$H$3:$H$802,출고내역!$D$3:$D$802,$A11))</f>
        <v/>
      </c>
      <c r="H11" s="13" t="str">
        <f aca="false">IF($A11="","",$F11+$G11)</f>
        <v/>
      </c>
      <c r="I11" s="13" t="str">
        <f aca="false">IF($A11="","",SUMIFS(재고조정!$E$3:$E$302,재고조정!$B$3:$B$302,$A11))</f>
        <v/>
      </c>
      <c r="J11" s="13" t="str">
        <f aca="false">IF($A11="","",$D11+$E11-$H11+$I11)</f>
        <v/>
      </c>
      <c r="K11" s="13" t="str">
        <f aca="false">IF($A11="","",SUMIFS(출고내역!$K$3:$K$802,출고내역!$D$3:$D$802,$A11))</f>
        <v/>
      </c>
    </row>
    <row r="12" customFormat="false" ht="15" hidden="false" customHeight="true" outlineLevel="0" collapsed="false">
      <c r="A12" s="12" t="str">
        <f aca="false">IF(품목마스터!$A9="","",품목마스터!$A9)</f>
        <v/>
      </c>
      <c r="B12" s="12" t="str">
        <f aca="false">IF($A12="","",품목마스터!$B9)</f>
        <v/>
      </c>
      <c r="C12" s="12" t="str">
        <f aca="false">IF($A12="","",품목마스터!$D9)</f>
        <v/>
      </c>
      <c r="D12" s="13" t="str">
        <f aca="false">IF($A12="","",IF(품목마스터!$E9="",0,품목마스터!$E9))</f>
        <v/>
      </c>
      <c r="E12" s="13" t="str">
        <f aca="false">IF($A12="","",SUMIFS(검수내역!$G$3:$G$802,검수내역!$D$3:$D$802,$A12))</f>
        <v/>
      </c>
      <c r="F12" s="13" t="str">
        <f aca="false">IF($A12="","",SUMIFS(출고내역!$G$3:$G$802,출고내역!$D$3:$D$802,$A12))</f>
        <v/>
      </c>
      <c r="G12" s="13" t="str">
        <f aca="false">IF($A12="","",SUMIFS(출고내역!$H$3:$H$802,출고내역!$D$3:$D$802,$A12))</f>
        <v/>
      </c>
      <c r="H12" s="13" t="str">
        <f aca="false">IF($A12="","",$F12+$G12)</f>
        <v/>
      </c>
      <c r="I12" s="13" t="str">
        <f aca="false">IF($A12="","",SUMIFS(재고조정!$E$3:$E$302,재고조정!$B$3:$B$302,$A12))</f>
        <v/>
      </c>
      <c r="J12" s="13" t="str">
        <f aca="false">IF($A12="","",$D12+$E12-$H12+$I12)</f>
        <v/>
      </c>
      <c r="K12" s="13" t="str">
        <f aca="false">IF($A12="","",SUMIFS(출고내역!$K$3:$K$802,출고내역!$D$3:$D$802,$A12))</f>
        <v/>
      </c>
    </row>
    <row r="13" customFormat="false" ht="15" hidden="false" customHeight="true" outlineLevel="0" collapsed="false">
      <c r="A13" s="12" t="str">
        <f aca="false">IF(품목마스터!$A10="","",품목마스터!$A10)</f>
        <v/>
      </c>
      <c r="B13" s="12" t="str">
        <f aca="false">IF($A13="","",품목마스터!$B10)</f>
        <v/>
      </c>
      <c r="C13" s="12" t="str">
        <f aca="false">IF($A13="","",품목마스터!$D10)</f>
        <v/>
      </c>
      <c r="D13" s="13" t="str">
        <f aca="false">IF($A13="","",IF(품목마스터!$E10="",0,품목마스터!$E10))</f>
        <v/>
      </c>
      <c r="E13" s="13" t="str">
        <f aca="false">IF($A13="","",SUMIFS(검수내역!$G$3:$G$802,검수내역!$D$3:$D$802,$A13))</f>
        <v/>
      </c>
      <c r="F13" s="13" t="str">
        <f aca="false">IF($A13="","",SUMIFS(출고내역!$G$3:$G$802,출고내역!$D$3:$D$802,$A13))</f>
        <v/>
      </c>
      <c r="G13" s="13" t="str">
        <f aca="false">IF($A13="","",SUMIFS(출고내역!$H$3:$H$802,출고내역!$D$3:$D$802,$A13))</f>
        <v/>
      </c>
      <c r="H13" s="13" t="str">
        <f aca="false">IF($A13="","",$F13+$G13)</f>
        <v/>
      </c>
      <c r="I13" s="13" t="str">
        <f aca="false">IF($A13="","",SUMIFS(재고조정!$E$3:$E$302,재고조정!$B$3:$B$302,$A13))</f>
        <v/>
      </c>
      <c r="J13" s="13" t="str">
        <f aca="false">IF($A13="","",$D13+$E13-$H13+$I13)</f>
        <v/>
      </c>
      <c r="K13" s="13" t="str">
        <f aca="false">IF($A13="","",SUMIFS(출고내역!$K$3:$K$802,출고내역!$D$3:$D$802,$A13))</f>
        <v/>
      </c>
    </row>
    <row r="14" customFormat="false" ht="15" hidden="false" customHeight="true" outlineLevel="0" collapsed="false">
      <c r="A14" s="12" t="str">
        <f aca="false">IF(품목마스터!$A11="","",품목마스터!$A11)</f>
        <v/>
      </c>
      <c r="B14" s="12" t="str">
        <f aca="false">IF($A14="","",품목마스터!$B11)</f>
        <v/>
      </c>
      <c r="C14" s="12" t="str">
        <f aca="false">IF($A14="","",품목마스터!$D11)</f>
        <v/>
      </c>
      <c r="D14" s="13" t="str">
        <f aca="false">IF($A14="","",IF(품목마스터!$E11="",0,품목마스터!$E11))</f>
        <v/>
      </c>
      <c r="E14" s="13" t="str">
        <f aca="false">IF($A14="","",SUMIFS(검수내역!$G$3:$G$802,검수내역!$D$3:$D$802,$A14))</f>
        <v/>
      </c>
      <c r="F14" s="13" t="str">
        <f aca="false">IF($A14="","",SUMIFS(출고내역!$G$3:$G$802,출고내역!$D$3:$D$802,$A14))</f>
        <v/>
      </c>
      <c r="G14" s="13" t="str">
        <f aca="false">IF($A14="","",SUMIFS(출고내역!$H$3:$H$802,출고내역!$D$3:$D$802,$A14))</f>
        <v/>
      </c>
      <c r="H14" s="13" t="str">
        <f aca="false">IF($A14="","",$F14+$G14)</f>
        <v/>
      </c>
      <c r="I14" s="13" t="str">
        <f aca="false">IF($A14="","",SUMIFS(재고조정!$E$3:$E$302,재고조정!$B$3:$B$302,$A14))</f>
        <v/>
      </c>
      <c r="J14" s="13" t="str">
        <f aca="false">IF($A14="","",$D14+$E14-$H14+$I14)</f>
        <v/>
      </c>
      <c r="K14" s="13" t="str">
        <f aca="false">IF($A14="","",SUMIFS(출고내역!$K$3:$K$802,출고내역!$D$3:$D$802,$A14))</f>
        <v/>
      </c>
    </row>
    <row r="15" customFormat="false" ht="15" hidden="false" customHeight="true" outlineLevel="0" collapsed="false">
      <c r="A15" s="12" t="str">
        <f aca="false">IF(품목마스터!$A12="","",품목마스터!$A12)</f>
        <v/>
      </c>
      <c r="B15" s="12" t="str">
        <f aca="false">IF($A15="","",품목마스터!$B12)</f>
        <v/>
      </c>
      <c r="C15" s="12" t="str">
        <f aca="false">IF($A15="","",품목마스터!$D12)</f>
        <v/>
      </c>
      <c r="D15" s="13" t="str">
        <f aca="false">IF($A15="","",IF(품목마스터!$E12="",0,품목마스터!$E12))</f>
        <v/>
      </c>
      <c r="E15" s="13" t="str">
        <f aca="false">IF($A15="","",SUMIFS(검수내역!$G$3:$G$802,검수내역!$D$3:$D$802,$A15))</f>
        <v/>
      </c>
      <c r="F15" s="13" t="str">
        <f aca="false">IF($A15="","",SUMIFS(출고내역!$G$3:$G$802,출고내역!$D$3:$D$802,$A15))</f>
        <v/>
      </c>
      <c r="G15" s="13" t="str">
        <f aca="false">IF($A15="","",SUMIFS(출고내역!$H$3:$H$802,출고내역!$D$3:$D$802,$A15))</f>
        <v/>
      </c>
      <c r="H15" s="13" t="str">
        <f aca="false">IF($A15="","",$F15+$G15)</f>
        <v/>
      </c>
      <c r="I15" s="13" t="str">
        <f aca="false">IF($A15="","",SUMIFS(재고조정!$E$3:$E$302,재고조정!$B$3:$B$302,$A15))</f>
        <v/>
      </c>
      <c r="J15" s="13" t="str">
        <f aca="false">IF($A15="","",$D15+$E15-$H15+$I15)</f>
        <v/>
      </c>
      <c r="K15" s="13" t="str">
        <f aca="false">IF($A15="","",SUMIFS(출고내역!$K$3:$K$802,출고내역!$D$3:$D$802,$A15))</f>
        <v/>
      </c>
    </row>
    <row r="16" customFormat="false" ht="15" hidden="false" customHeight="true" outlineLevel="0" collapsed="false">
      <c r="A16" s="12" t="str">
        <f aca="false">IF(품목마스터!$A13="","",품목마스터!$A13)</f>
        <v/>
      </c>
      <c r="B16" s="12" t="str">
        <f aca="false">IF($A16="","",품목마스터!$B13)</f>
        <v/>
      </c>
      <c r="C16" s="12" t="str">
        <f aca="false">IF($A16="","",품목마스터!$D13)</f>
        <v/>
      </c>
      <c r="D16" s="13" t="str">
        <f aca="false">IF($A16="","",IF(품목마스터!$E13="",0,품목마스터!$E13))</f>
        <v/>
      </c>
      <c r="E16" s="13" t="str">
        <f aca="false">IF($A16="","",SUMIFS(검수내역!$G$3:$G$802,검수내역!$D$3:$D$802,$A16))</f>
        <v/>
      </c>
      <c r="F16" s="13" t="str">
        <f aca="false">IF($A16="","",SUMIFS(출고내역!$G$3:$G$802,출고내역!$D$3:$D$802,$A16))</f>
        <v/>
      </c>
      <c r="G16" s="13" t="str">
        <f aca="false">IF($A16="","",SUMIFS(출고내역!$H$3:$H$802,출고내역!$D$3:$D$802,$A16))</f>
        <v/>
      </c>
      <c r="H16" s="13" t="str">
        <f aca="false">IF($A16="","",$F16+$G16)</f>
        <v/>
      </c>
      <c r="I16" s="13" t="str">
        <f aca="false">IF($A16="","",SUMIFS(재고조정!$E$3:$E$302,재고조정!$B$3:$B$302,$A16))</f>
        <v/>
      </c>
      <c r="J16" s="13" t="str">
        <f aca="false">IF($A16="","",$D16+$E16-$H16+$I16)</f>
        <v/>
      </c>
      <c r="K16" s="13" t="str">
        <f aca="false">IF($A16="","",SUMIFS(출고내역!$K$3:$K$802,출고내역!$D$3:$D$802,$A16))</f>
        <v/>
      </c>
    </row>
    <row r="17" customFormat="false" ht="15" hidden="false" customHeight="true" outlineLevel="0" collapsed="false">
      <c r="A17" s="12" t="str">
        <f aca="false">IF(품목마스터!$A14="","",품목마스터!$A14)</f>
        <v/>
      </c>
      <c r="B17" s="12" t="str">
        <f aca="false">IF($A17="","",품목마스터!$B14)</f>
        <v/>
      </c>
      <c r="C17" s="12" t="str">
        <f aca="false">IF($A17="","",품목마스터!$D14)</f>
        <v/>
      </c>
      <c r="D17" s="13" t="str">
        <f aca="false">IF($A17="","",IF(품목마스터!$E14="",0,품목마스터!$E14))</f>
        <v/>
      </c>
      <c r="E17" s="13" t="str">
        <f aca="false">IF($A17="","",SUMIFS(검수내역!$G$3:$G$802,검수내역!$D$3:$D$802,$A17))</f>
        <v/>
      </c>
      <c r="F17" s="13" t="str">
        <f aca="false">IF($A17="","",SUMIFS(출고내역!$G$3:$G$802,출고내역!$D$3:$D$802,$A17))</f>
        <v/>
      </c>
      <c r="G17" s="13" t="str">
        <f aca="false">IF($A17="","",SUMIFS(출고내역!$H$3:$H$802,출고내역!$D$3:$D$802,$A17))</f>
        <v/>
      </c>
      <c r="H17" s="13" t="str">
        <f aca="false">IF($A17="","",$F17+$G17)</f>
        <v/>
      </c>
      <c r="I17" s="13" t="str">
        <f aca="false">IF($A17="","",SUMIFS(재고조정!$E$3:$E$302,재고조정!$B$3:$B$302,$A17))</f>
        <v/>
      </c>
      <c r="J17" s="13" t="str">
        <f aca="false">IF($A17="","",$D17+$E17-$H17+$I17)</f>
        <v/>
      </c>
      <c r="K17" s="13" t="str">
        <f aca="false">IF($A17="","",SUMIFS(출고내역!$K$3:$K$802,출고내역!$D$3:$D$802,$A17))</f>
        <v/>
      </c>
    </row>
    <row r="18" customFormat="false" ht="15" hidden="false" customHeight="true" outlineLevel="0" collapsed="false">
      <c r="A18" s="12" t="str">
        <f aca="false">IF(품목마스터!$A15="","",품목마스터!$A15)</f>
        <v/>
      </c>
      <c r="B18" s="12" t="str">
        <f aca="false">IF($A18="","",품목마스터!$B15)</f>
        <v/>
      </c>
      <c r="C18" s="12" t="str">
        <f aca="false">IF($A18="","",품목마스터!$D15)</f>
        <v/>
      </c>
      <c r="D18" s="13" t="str">
        <f aca="false">IF($A18="","",IF(품목마스터!$E15="",0,품목마스터!$E15))</f>
        <v/>
      </c>
      <c r="E18" s="13" t="str">
        <f aca="false">IF($A18="","",SUMIFS(검수내역!$G$3:$G$802,검수내역!$D$3:$D$802,$A18))</f>
        <v/>
      </c>
      <c r="F18" s="13" t="str">
        <f aca="false">IF($A18="","",SUMIFS(출고내역!$G$3:$G$802,출고내역!$D$3:$D$802,$A18))</f>
        <v/>
      </c>
      <c r="G18" s="13" t="str">
        <f aca="false">IF($A18="","",SUMIFS(출고내역!$H$3:$H$802,출고내역!$D$3:$D$802,$A18))</f>
        <v/>
      </c>
      <c r="H18" s="13" t="str">
        <f aca="false">IF($A18="","",$F18+$G18)</f>
        <v/>
      </c>
      <c r="I18" s="13" t="str">
        <f aca="false">IF($A18="","",SUMIFS(재고조정!$E$3:$E$302,재고조정!$B$3:$B$302,$A18))</f>
        <v/>
      </c>
      <c r="J18" s="13" t="str">
        <f aca="false">IF($A18="","",$D18+$E18-$H18+$I18)</f>
        <v/>
      </c>
      <c r="K18" s="13" t="str">
        <f aca="false">IF($A18="","",SUMIFS(출고내역!$K$3:$K$802,출고내역!$D$3:$D$802,$A18))</f>
        <v/>
      </c>
    </row>
    <row r="19" customFormat="false" ht="15" hidden="false" customHeight="true" outlineLevel="0" collapsed="false">
      <c r="A19" s="12" t="str">
        <f aca="false">IF(품목마스터!$A16="","",품목마스터!$A16)</f>
        <v/>
      </c>
      <c r="B19" s="12" t="str">
        <f aca="false">IF($A19="","",품목마스터!$B16)</f>
        <v/>
      </c>
      <c r="C19" s="12" t="str">
        <f aca="false">IF($A19="","",품목마스터!$D16)</f>
        <v/>
      </c>
      <c r="D19" s="13" t="str">
        <f aca="false">IF($A19="","",IF(품목마스터!$E16="",0,품목마스터!$E16))</f>
        <v/>
      </c>
      <c r="E19" s="13" t="str">
        <f aca="false">IF($A19="","",SUMIFS(검수내역!$G$3:$G$802,검수내역!$D$3:$D$802,$A19))</f>
        <v/>
      </c>
      <c r="F19" s="13" t="str">
        <f aca="false">IF($A19="","",SUMIFS(출고내역!$G$3:$G$802,출고내역!$D$3:$D$802,$A19))</f>
        <v/>
      </c>
      <c r="G19" s="13" t="str">
        <f aca="false">IF($A19="","",SUMIFS(출고내역!$H$3:$H$802,출고내역!$D$3:$D$802,$A19))</f>
        <v/>
      </c>
      <c r="H19" s="13" t="str">
        <f aca="false">IF($A19="","",$F19+$G19)</f>
        <v/>
      </c>
      <c r="I19" s="13" t="str">
        <f aca="false">IF($A19="","",SUMIFS(재고조정!$E$3:$E$302,재고조정!$B$3:$B$302,$A19))</f>
        <v/>
      </c>
      <c r="J19" s="13" t="str">
        <f aca="false">IF($A19="","",$D19+$E19-$H19+$I19)</f>
        <v/>
      </c>
      <c r="K19" s="13" t="str">
        <f aca="false">IF($A19="","",SUMIFS(출고내역!$K$3:$K$802,출고내역!$D$3:$D$802,$A19))</f>
        <v/>
      </c>
    </row>
    <row r="20" customFormat="false" ht="15" hidden="false" customHeight="true" outlineLevel="0" collapsed="false">
      <c r="A20" s="12" t="str">
        <f aca="false">IF(품목마스터!$A17="","",품목마스터!$A17)</f>
        <v/>
      </c>
      <c r="B20" s="12" t="str">
        <f aca="false">IF($A20="","",품목마스터!$B17)</f>
        <v/>
      </c>
      <c r="C20" s="12" t="str">
        <f aca="false">IF($A20="","",품목마스터!$D17)</f>
        <v/>
      </c>
      <c r="D20" s="13" t="str">
        <f aca="false">IF($A20="","",IF(품목마스터!$E17="",0,품목마스터!$E17))</f>
        <v/>
      </c>
      <c r="E20" s="13" t="str">
        <f aca="false">IF($A20="","",SUMIFS(검수내역!$G$3:$G$802,검수내역!$D$3:$D$802,$A20))</f>
        <v/>
      </c>
      <c r="F20" s="13" t="str">
        <f aca="false">IF($A20="","",SUMIFS(출고내역!$G$3:$G$802,출고내역!$D$3:$D$802,$A20))</f>
        <v/>
      </c>
      <c r="G20" s="13" t="str">
        <f aca="false">IF($A20="","",SUMIFS(출고내역!$H$3:$H$802,출고내역!$D$3:$D$802,$A20))</f>
        <v/>
      </c>
      <c r="H20" s="13" t="str">
        <f aca="false">IF($A20="","",$F20+$G20)</f>
        <v/>
      </c>
      <c r="I20" s="13" t="str">
        <f aca="false">IF($A20="","",SUMIFS(재고조정!$E$3:$E$302,재고조정!$B$3:$B$302,$A20))</f>
        <v/>
      </c>
      <c r="J20" s="13" t="str">
        <f aca="false">IF($A20="","",$D20+$E20-$H20+$I20)</f>
        <v/>
      </c>
      <c r="K20" s="13" t="str">
        <f aca="false">IF($A20="","",SUMIFS(출고내역!$K$3:$K$802,출고내역!$D$3:$D$802,$A20))</f>
        <v/>
      </c>
    </row>
    <row r="21" customFormat="false" ht="15" hidden="false" customHeight="true" outlineLevel="0" collapsed="false">
      <c r="A21" s="12" t="str">
        <f aca="false">IF(품목마스터!$A18="","",품목마스터!$A18)</f>
        <v/>
      </c>
      <c r="B21" s="12" t="str">
        <f aca="false">IF($A21="","",품목마스터!$B18)</f>
        <v/>
      </c>
      <c r="C21" s="12" t="str">
        <f aca="false">IF($A21="","",품목마스터!$D18)</f>
        <v/>
      </c>
      <c r="D21" s="13" t="str">
        <f aca="false">IF($A21="","",IF(품목마스터!$E18="",0,품목마스터!$E18))</f>
        <v/>
      </c>
      <c r="E21" s="13" t="str">
        <f aca="false">IF($A21="","",SUMIFS(검수내역!$G$3:$G$802,검수내역!$D$3:$D$802,$A21))</f>
        <v/>
      </c>
      <c r="F21" s="13" t="str">
        <f aca="false">IF($A21="","",SUMIFS(출고내역!$G$3:$G$802,출고내역!$D$3:$D$802,$A21))</f>
        <v/>
      </c>
      <c r="G21" s="13" t="str">
        <f aca="false">IF($A21="","",SUMIFS(출고내역!$H$3:$H$802,출고내역!$D$3:$D$802,$A21))</f>
        <v/>
      </c>
      <c r="H21" s="13" t="str">
        <f aca="false">IF($A21="","",$F21+$G21)</f>
        <v/>
      </c>
      <c r="I21" s="13" t="str">
        <f aca="false">IF($A21="","",SUMIFS(재고조정!$E$3:$E$302,재고조정!$B$3:$B$302,$A21))</f>
        <v/>
      </c>
      <c r="J21" s="13" t="str">
        <f aca="false">IF($A21="","",$D21+$E21-$H21+$I21)</f>
        <v/>
      </c>
      <c r="K21" s="13" t="str">
        <f aca="false">IF($A21="","",SUMIFS(출고내역!$K$3:$K$802,출고내역!$D$3:$D$802,$A21))</f>
        <v/>
      </c>
    </row>
    <row r="22" customFormat="false" ht="15" hidden="false" customHeight="true" outlineLevel="0" collapsed="false">
      <c r="A22" s="12" t="str">
        <f aca="false">IF(품목마스터!$A19="","",품목마스터!$A19)</f>
        <v/>
      </c>
      <c r="B22" s="12" t="str">
        <f aca="false">IF($A22="","",품목마스터!$B19)</f>
        <v/>
      </c>
      <c r="C22" s="12" t="str">
        <f aca="false">IF($A22="","",품목마스터!$D19)</f>
        <v/>
      </c>
      <c r="D22" s="13" t="str">
        <f aca="false">IF($A22="","",IF(품목마스터!$E19="",0,품목마스터!$E19))</f>
        <v/>
      </c>
      <c r="E22" s="13" t="str">
        <f aca="false">IF($A22="","",SUMIFS(검수내역!$G$3:$G$802,검수내역!$D$3:$D$802,$A22))</f>
        <v/>
      </c>
      <c r="F22" s="13" t="str">
        <f aca="false">IF($A22="","",SUMIFS(출고내역!$G$3:$G$802,출고내역!$D$3:$D$802,$A22))</f>
        <v/>
      </c>
      <c r="G22" s="13" t="str">
        <f aca="false">IF($A22="","",SUMIFS(출고내역!$H$3:$H$802,출고내역!$D$3:$D$802,$A22))</f>
        <v/>
      </c>
      <c r="H22" s="13" t="str">
        <f aca="false">IF($A22="","",$F22+$G22)</f>
        <v/>
      </c>
      <c r="I22" s="13" t="str">
        <f aca="false">IF($A22="","",SUMIFS(재고조정!$E$3:$E$302,재고조정!$B$3:$B$302,$A22))</f>
        <v/>
      </c>
      <c r="J22" s="13" t="str">
        <f aca="false">IF($A22="","",$D22+$E22-$H22+$I22)</f>
        <v/>
      </c>
      <c r="K22" s="13" t="str">
        <f aca="false">IF($A22="","",SUMIFS(출고내역!$K$3:$K$802,출고내역!$D$3:$D$802,$A22))</f>
        <v/>
      </c>
    </row>
    <row r="23" customFormat="false" ht="15" hidden="false" customHeight="true" outlineLevel="0" collapsed="false">
      <c r="A23" s="12" t="str">
        <f aca="false">IF(품목마스터!$A20="","",품목마스터!$A20)</f>
        <v/>
      </c>
      <c r="B23" s="12" t="str">
        <f aca="false">IF($A23="","",품목마스터!$B20)</f>
        <v/>
      </c>
      <c r="C23" s="12" t="str">
        <f aca="false">IF($A23="","",품목마스터!$D20)</f>
        <v/>
      </c>
      <c r="D23" s="13" t="str">
        <f aca="false">IF($A23="","",IF(품목마스터!$E20="",0,품목마스터!$E20))</f>
        <v/>
      </c>
      <c r="E23" s="13" t="str">
        <f aca="false">IF($A23="","",SUMIFS(검수내역!$G$3:$G$802,검수내역!$D$3:$D$802,$A23))</f>
        <v/>
      </c>
      <c r="F23" s="13" t="str">
        <f aca="false">IF($A23="","",SUMIFS(출고내역!$G$3:$G$802,출고내역!$D$3:$D$802,$A23))</f>
        <v/>
      </c>
      <c r="G23" s="13" t="str">
        <f aca="false">IF($A23="","",SUMIFS(출고내역!$H$3:$H$802,출고내역!$D$3:$D$802,$A23))</f>
        <v/>
      </c>
      <c r="H23" s="13" t="str">
        <f aca="false">IF($A23="","",$F23+$G23)</f>
        <v/>
      </c>
      <c r="I23" s="13" t="str">
        <f aca="false">IF($A23="","",SUMIFS(재고조정!$E$3:$E$302,재고조정!$B$3:$B$302,$A23))</f>
        <v/>
      </c>
      <c r="J23" s="13" t="str">
        <f aca="false">IF($A23="","",$D23+$E23-$H23+$I23)</f>
        <v/>
      </c>
      <c r="K23" s="13" t="str">
        <f aca="false">IF($A23="","",SUMIFS(출고내역!$K$3:$K$802,출고내역!$D$3:$D$802,$A23))</f>
        <v/>
      </c>
    </row>
    <row r="24" customFormat="false" ht="15" hidden="false" customHeight="true" outlineLevel="0" collapsed="false">
      <c r="A24" s="12" t="str">
        <f aca="false">IF(품목마스터!$A21="","",품목마스터!$A21)</f>
        <v/>
      </c>
      <c r="B24" s="12" t="str">
        <f aca="false">IF($A24="","",품목마스터!$B21)</f>
        <v/>
      </c>
      <c r="C24" s="12" t="str">
        <f aca="false">IF($A24="","",품목마스터!$D21)</f>
        <v/>
      </c>
      <c r="D24" s="13" t="str">
        <f aca="false">IF($A24="","",IF(품목마스터!$E21="",0,품목마스터!$E21))</f>
        <v/>
      </c>
      <c r="E24" s="13" t="str">
        <f aca="false">IF($A24="","",SUMIFS(검수내역!$G$3:$G$802,검수내역!$D$3:$D$802,$A24))</f>
        <v/>
      </c>
      <c r="F24" s="13" t="str">
        <f aca="false">IF($A24="","",SUMIFS(출고내역!$G$3:$G$802,출고내역!$D$3:$D$802,$A24))</f>
        <v/>
      </c>
      <c r="G24" s="13" t="str">
        <f aca="false">IF($A24="","",SUMIFS(출고내역!$H$3:$H$802,출고내역!$D$3:$D$802,$A24))</f>
        <v/>
      </c>
      <c r="H24" s="13" t="str">
        <f aca="false">IF($A24="","",$F24+$G24)</f>
        <v/>
      </c>
      <c r="I24" s="13" t="str">
        <f aca="false">IF($A24="","",SUMIFS(재고조정!$E$3:$E$302,재고조정!$B$3:$B$302,$A24))</f>
        <v/>
      </c>
      <c r="J24" s="13" t="str">
        <f aca="false">IF($A24="","",$D24+$E24-$H24+$I24)</f>
        <v/>
      </c>
      <c r="K24" s="13" t="str">
        <f aca="false">IF($A24="","",SUMIFS(출고내역!$K$3:$K$802,출고내역!$D$3:$D$802,$A24))</f>
        <v/>
      </c>
    </row>
    <row r="25" customFormat="false" ht="15" hidden="false" customHeight="true" outlineLevel="0" collapsed="false">
      <c r="A25" s="12" t="str">
        <f aca="false">IF(품목마스터!$A22="","",품목마스터!$A22)</f>
        <v/>
      </c>
      <c r="B25" s="12" t="str">
        <f aca="false">IF($A25="","",품목마스터!$B22)</f>
        <v/>
      </c>
      <c r="C25" s="12" t="str">
        <f aca="false">IF($A25="","",품목마스터!$D22)</f>
        <v/>
      </c>
      <c r="D25" s="13" t="str">
        <f aca="false">IF($A25="","",IF(품목마스터!$E22="",0,품목마스터!$E22))</f>
        <v/>
      </c>
      <c r="E25" s="13" t="str">
        <f aca="false">IF($A25="","",SUMIFS(검수내역!$G$3:$G$802,검수내역!$D$3:$D$802,$A25))</f>
        <v/>
      </c>
      <c r="F25" s="13" t="str">
        <f aca="false">IF($A25="","",SUMIFS(출고내역!$G$3:$G$802,출고내역!$D$3:$D$802,$A25))</f>
        <v/>
      </c>
      <c r="G25" s="13" t="str">
        <f aca="false">IF($A25="","",SUMIFS(출고내역!$H$3:$H$802,출고내역!$D$3:$D$802,$A25))</f>
        <v/>
      </c>
      <c r="H25" s="13" t="str">
        <f aca="false">IF($A25="","",$F25+$G25)</f>
        <v/>
      </c>
      <c r="I25" s="13" t="str">
        <f aca="false">IF($A25="","",SUMIFS(재고조정!$E$3:$E$302,재고조정!$B$3:$B$302,$A25))</f>
        <v/>
      </c>
      <c r="J25" s="13" t="str">
        <f aca="false">IF($A25="","",$D25+$E25-$H25+$I25)</f>
        <v/>
      </c>
      <c r="K25" s="13" t="str">
        <f aca="false">IF($A25="","",SUMIFS(출고내역!$K$3:$K$802,출고내역!$D$3:$D$802,$A25))</f>
        <v/>
      </c>
    </row>
    <row r="26" customFormat="false" ht="15" hidden="false" customHeight="true" outlineLevel="0" collapsed="false">
      <c r="A26" s="12" t="str">
        <f aca="false">IF(품목마스터!$A23="","",품목마스터!$A23)</f>
        <v/>
      </c>
      <c r="B26" s="12" t="str">
        <f aca="false">IF($A26="","",품목마스터!$B23)</f>
        <v/>
      </c>
      <c r="C26" s="12" t="str">
        <f aca="false">IF($A26="","",품목마스터!$D23)</f>
        <v/>
      </c>
      <c r="D26" s="13" t="str">
        <f aca="false">IF($A26="","",IF(품목마스터!$E23="",0,품목마스터!$E23))</f>
        <v/>
      </c>
      <c r="E26" s="13" t="str">
        <f aca="false">IF($A26="","",SUMIFS(검수내역!$G$3:$G$802,검수내역!$D$3:$D$802,$A26))</f>
        <v/>
      </c>
      <c r="F26" s="13" t="str">
        <f aca="false">IF($A26="","",SUMIFS(출고내역!$G$3:$G$802,출고내역!$D$3:$D$802,$A26))</f>
        <v/>
      </c>
      <c r="G26" s="13" t="str">
        <f aca="false">IF($A26="","",SUMIFS(출고내역!$H$3:$H$802,출고내역!$D$3:$D$802,$A26))</f>
        <v/>
      </c>
      <c r="H26" s="13" t="str">
        <f aca="false">IF($A26="","",$F26+$G26)</f>
        <v/>
      </c>
      <c r="I26" s="13" t="str">
        <f aca="false">IF($A26="","",SUMIFS(재고조정!$E$3:$E$302,재고조정!$B$3:$B$302,$A26))</f>
        <v/>
      </c>
      <c r="J26" s="13" t="str">
        <f aca="false">IF($A26="","",$D26+$E26-$H26+$I26)</f>
        <v/>
      </c>
      <c r="K26" s="13" t="str">
        <f aca="false">IF($A26="","",SUMIFS(출고내역!$K$3:$K$802,출고내역!$D$3:$D$802,$A26))</f>
        <v/>
      </c>
    </row>
    <row r="27" customFormat="false" ht="15" hidden="false" customHeight="true" outlineLevel="0" collapsed="false">
      <c r="A27" s="12" t="str">
        <f aca="false">IF(품목마스터!$A24="","",품목마스터!$A24)</f>
        <v/>
      </c>
      <c r="B27" s="12" t="str">
        <f aca="false">IF($A27="","",품목마스터!$B24)</f>
        <v/>
      </c>
      <c r="C27" s="12" t="str">
        <f aca="false">IF($A27="","",품목마스터!$D24)</f>
        <v/>
      </c>
      <c r="D27" s="13" t="str">
        <f aca="false">IF($A27="","",IF(품목마스터!$E24="",0,품목마스터!$E24))</f>
        <v/>
      </c>
      <c r="E27" s="13" t="str">
        <f aca="false">IF($A27="","",SUMIFS(검수내역!$G$3:$G$802,검수내역!$D$3:$D$802,$A27))</f>
        <v/>
      </c>
      <c r="F27" s="13" t="str">
        <f aca="false">IF($A27="","",SUMIFS(출고내역!$G$3:$G$802,출고내역!$D$3:$D$802,$A27))</f>
        <v/>
      </c>
      <c r="G27" s="13" t="str">
        <f aca="false">IF($A27="","",SUMIFS(출고내역!$H$3:$H$802,출고내역!$D$3:$D$802,$A27))</f>
        <v/>
      </c>
      <c r="H27" s="13" t="str">
        <f aca="false">IF($A27="","",$F27+$G27)</f>
        <v/>
      </c>
      <c r="I27" s="13" t="str">
        <f aca="false">IF($A27="","",SUMIFS(재고조정!$E$3:$E$302,재고조정!$B$3:$B$302,$A27))</f>
        <v/>
      </c>
      <c r="J27" s="13" t="str">
        <f aca="false">IF($A27="","",$D27+$E27-$H27+$I27)</f>
        <v/>
      </c>
      <c r="K27" s="13" t="str">
        <f aca="false">IF($A27="","",SUMIFS(출고내역!$K$3:$K$802,출고내역!$D$3:$D$802,$A27))</f>
        <v/>
      </c>
    </row>
    <row r="28" customFormat="false" ht="15" hidden="false" customHeight="true" outlineLevel="0" collapsed="false">
      <c r="A28" s="12" t="str">
        <f aca="false">IF(품목마스터!$A25="","",품목마스터!$A25)</f>
        <v/>
      </c>
      <c r="B28" s="12" t="str">
        <f aca="false">IF($A28="","",품목마스터!$B25)</f>
        <v/>
      </c>
      <c r="C28" s="12" t="str">
        <f aca="false">IF($A28="","",품목마스터!$D25)</f>
        <v/>
      </c>
      <c r="D28" s="13" t="str">
        <f aca="false">IF($A28="","",IF(품목마스터!$E25="",0,품목마스터!$E25))</f>
        <v/>
      </c>
      <c r="E28" s="13" t="str">
        <f aca="false">IF($A28="","",SUMIFS(검수내역!$G$3:$G$802,검수내역!$D$3:$D$802,$A28))</f>
        <v/>
      </c>
      <c r="F28" s="13" t="str">
        <f aca="false">IF($A28="","",SUMIFS(출고내역!$G$3:$G$802,출고내역!$D$3:$D$802,$A28))</f>
        <v/>
      </c>
      <c r="G28" s="13" t="str">
        <f aca="false">IF($A28="","",SUMIFS(출고내역!$H$3:$H$802,출고내역!$D$3:$D$802,$A28))</f>
        <v/>
      </c>
      <c r="H28" s="13" t="str">
        <f aca="false">IF($A28="","",$F28+$G28)</f>
        <v/>
      </c>
      <c r="I28" s="13" t="str">
        <f aca="false">IF($A28="","",SUMIFS(재고조정!$E$3:$E$302,재고조정!$B$3:$B$302,$A28))</f>
        <v/>
      </c>
      <c r="J28" s="13" t="str">
        <f aca="false">IF($A28="","",$D28+$E28-$H28+$I28)</f>
        <v/>
      </c>
      <c r="K28" s="13" t="str">
        <f aca="false">IF($A28="","",SUMIFS(출고내역!$K$3:$K$802,출고내역!$D$3:$D$802,$A28))</f>
        <v/>
      </c>
    </row>
    <row r="29" customFormat="false" ht="15" hidden="false" customHeight="true" outlineLevel="0" collapsed="false">
      <c r="A29" s="12" t="str">
        <f aca="false">IF(품목마스터!$A26="","",품목마스터!$A26)</f>
        <v/>
      </c>
      <c r="B29" s="12" t="str">
        <f aca="false">IF($A29="","",품목마스터!$B26)</f>
        <v/>
      </c>
      <c r="C29" s="12" t="str">
        <f aca="false">IF($A29="","",품목마스터!$D26)</f>
        <v/>
      </c>
      <c r="D29" s="13" t="str">
        <f aca="false">IF($A29="","",IF(품목마스터!$E26="",0,품목마스터!$E26))</f>
        <v/>
      </c>
      <c r="E29" s="13" t="str">
        <f aca="false">IF($A29="","",SUMIFS(검수내역!$G$3:$G$802,검수내역!$D$3:$D$802,$A29))</f>
        <v/>
      </c>
      <c r="F29" s="13" t="str">
        <f aca="false">IF($A29="","",SUMIFS(출고내역!$G$3:$G$802,출고내역!$D$3:$D$802,$A29))</f>
        <v/>
      </c>
      <c r="G29" s="13" t="str">
        <f aca="false">IF($A29="","",SUMIFS(출고내역!$H$3:$H$802,출고내역!$D$3:$D$802,$A29))</f>
        <v/>
      </c>
      <c r="H29" s="13" t="str">
        <f aca="false">IF($A29="","",$F29+$G29)</f>
        <v/>
      </c>
      <c r="I29" s="13" t="str">
        <f aca="false">IF($A29="","",SUMIFS(재고조정!$E$3:$E$302,재고조정!$B$3:$B$302,$A29))</f>
        <v/>
      </c>
      <c r="J29" s="13" t="str">
        <f aca="false">IF($A29="","",$D29+$E29-$H29+$I29)</f>
        <v/>
      </c>
      <c r="K29" s="13" t="str">
        <f aca="false">IF($A29="","",SUMIFS(출고내역!$K$3:$K$802,출고내역!$D$3:$D$802,$A29))</f>
        <v/>
      </c>
    </row>
    <row r="30" customFormat="false" ht="15" hidden="false" customHeight="true" outlineLevel="0" collapsed="false">
      <c r="A30" s="12" t="str">
        <f aca="false">IF(품목마스터!$A27="","",품목마스터!$A27)</f>
        <v/>
      </c>
      <c r="B30" s="12" t="str">
        <f aca="false">IF($A30="","",품목마스터!$B27)</f>
        <v/>
      </c>
      <c r="C30" s="12" t="str">
        <f aca="false">IF($A30="","",품목마스터!$D27)</f>
        <v/>
      </c>
      <c r="D30" s="13" t="str">
        <f aca="false">IF($A30="","",IF(품목마스터!$E27="",0,품목마스터!$E27))</f>
        <v/>
      </c>
      <c r="E30" s="13" t="str">
        <f aca="false">IF($A30="","",SUMIFS(검수내역!$G$3:$G$802,검수내역!$D$3:$D$802,$A30))</f>
        <v/>
      </c>
      <c r="F30" s="13" t="str">
        <f aca="false">IF($A30="","",SUMIFS(출고내역!$G$3:$G$802,출고내역!$D$3:$D$802,$A30))</f>
        <v/>
      </c>
      <c r="G30" s="13" t="str">
        <f aca="false">IF($A30="","",SUMIFS(출고내역!$H$3:$H$802,출고내역!$D$3:$D$802,$A30))</f>
        <v/>
      </c>
      <c r="H30" s="13" t="str">
        <f aca="false">IF($A30="","",$F30+$G30)</f>
        <v/>
      </c>
      <c r="I30" s="13" t="str">
        <f aca="false">IF($A30="","",SUMIFS(재고조정!$E$3:$E$302,재고조정!$B$3:$B$302,$A30))</f>
        <v/>
      </c>
      <c r="J30" s="13" t="str">
        <f aca="false">IF($A30="","",$D30+$E30-$H30+$I30)</f>
        <v/>
      </c>
      <c r="K30" s="13" t="str">
        <f aca="false">IF($A30="","",SUMIFS(출고내역!$K$3:$K$802,출고내역!$D$3:$D$802,$A30))</f>
        <v/>
      </c>
    </row>
    <row r="31" customFormat="false" ht="15" hidden="false" customHeight="true" outlineLevel="0" collapsed="false">
      <c r="A31" s="12" t="str">
        <f aca="false">IF(품목마스터!$A28="","",품목마스터!$A28)</f>
        <v/>
      </c>
      <c r="B31" s="12" t="str">
        <f aca="false">IF($A31="","",품목마스터!$B28)</f>
        <v/>
      </c>
      <c r="C31" s="12" t="str">
        <f aca="false">IF($A31="","",품목마스터!$D28)</f>
        <v/>
      </c>
      <c r="D31" s="13" t="str">
        <f aca="false">IF($A31="","",IF(품목마스터!$E28="",0,품목마스터!$E28))</f>
        <v/>
      </c>
      <c r="E31" s="13" t="str">
        <f aca="false">IF($A31="","",SUMIFS(검수내역!$G$3:$G$802,검수내역!$D$3:$D$802,$A31))</f>
        <v/>
      </c>
      <c r="F31" s="13" t="str">
        <f aca="false">IF($A31="","",SUMIFS(출고내역!$G$3:$G$802,출고내역!$D$3:$D$802,$A31))</f>
        <v/>
      </c>
      <c r="G31" s="13" t="str">
        <f aca="false">IF($A31="","",SUMIFS(출고내역!$H$3:$H$802,출고내역!$D$3:$D$802,$A31))</f>
        <v/>
      </c>
      <c r="H31" s="13" t="str">
        <f aca="false">IF($A31="","",$F31+$G31)</f>
        <v/>
      </c>
      <c r="I31" s="13" t="str">
        <f aca="false">IF($A31="","",SUMIFS(재고조정!$E$3:$E$302,재고조정!$B$3:$B$302,$A31))</f>
        <v/>
      </c>
      <c r="J31" s="13" t="str">
        <f aca="false">IF($A31="","",$D31+$E31-$H31+$I31)</f>
        <v/>
      </c>
      <c r="K31" s="13" t="str">
        <f aca="false">IF($A31="","",SUMIFS(출고내역!$K$3:$K$802,출고내역!$D$3:$D$802,$A31))</f>
        <v/>
      </c>
    </row>
    <row r="32" customFormat="false" ht="15" hidden="false" customHeight="true" outlineLevel="0" collapsed="false">
      <c r="A32" s="12" t="str">
        <f aca="false">IF(품목마스터!$A29="","",품목마스터!$A29)</f>
        <v/>
      </c>
      <c r="B32" s="12" t="str">
        <f aca="false">IF($A32="","",품목마스터!$B29)</f>
        <v/>
      </c>
      <c r="C32" s="12" t="str">
        <f aca="false">IF($A32="","",품목마스터!$D29)</f>
        <v/>
      </c>
      <c r="D32" s="13" t="str">
        <f aca="false">IF($A32="","",IF(품목마스터!$E29="",0,품목마스터!$E29))</f>
        <v/>
      </c>
      <c r="E32" s="13" t="str">
        <f aca="false">IF($A32="","",SUMIFS(검수내역!$G$3:$G$802,검수내역!$D$3:$D$802,$A32))</f>
        <v/>
      </c>
      <c r="F32" s="13" t="str">
        <f aca="false">IF($A32="","",SUMIFS(출고내역!$G$3:$G$802,출고내역!$D$3:$D$802,$A32))</f>
        <v/>
      </c>
      <c r="G32" s="13" t="str">
        <f aca="false">IF($A32="","",SUMIFS(출고내역!$H$3:$H$802,출고내역!$D$3:$D$802,$A32))</f>
        <v/>
      </c>
      <c r="H32" s="13" t="str">
        <f aca="false">IF($A32="","",$F32+$G32)</f>
        <v/>
      </c>
      <c r="I32" s="13" t="str">
        <f aca="false">IF($A32="","",SUMIFS(재고조정!$E$3:$E$302,재고조정!$B$3:$B$302,$A32))</f>
        <v/>
      </c>
      <c r="J32" s="13" t="str">
        <f aca="false">IF($A32="","",$D32+$E32-$H32+$I32)</f>
        <v/>
      </c>
      <c r="K32" s="13" t="str">
        <f aca="false">IF($A32="","",SUMIFS(출고내역!$K$3:$K$802,출고내역!$D$3:$D$802,$A32))</f>
        <v/>
      </c>
    </row>
    <row r="33" customFormat="false" ht="15" hidden="false" customHeight="true" outlineLevel="0" collapsed="false">
      <c r="A33" s="12" t="str">
        <f aca="false">IF(품목마스터!$A30="","",품목마스터!$A30)</f>
        <v/>
      </c>
      <c r="B33" s="12" t="str">
        <f aca="false">IF($A33="","",품목마스터!$B30)</f>
        <v/>
      </c>
      <c r="C33" s="12" t="str">
        <f aca="false">IF($A33="","",품목마스터!$D30)</f>
        <v/>
      </c>
      <c r="D33" s="13" t="str">
        <f aca="false">IF($A33="","",IF(품목마스터!$E30="",0,품목마스터!$E30))</f>
        <v/>
      </c>
      <c r="E33" s="13" t="str">
        <f aca="false">IF($A33="","",SUMIFS(검수내역!$G$3:$G$802,검수내역!$D$3:$D$802,$A33))</f>
        <v/>
      </c>
      <c r="F33" s="13" t="str">
        <f aca="false">IF($A33="","",SUMIFS(출고내역!$G$3:$G$802,출고내역!$D$3:$D$802,$A33))</f>
        <v/>
      </c>
      <c r="G33" s="13" t="str">
        <f aca="false">IF($A33="","",SUMIFS(출고내역!$H$3:$H$802,출고내역!$D$3:$D$802,$A33))</f>
        <v/>
      </c>
      <c r="H33" s="13" t="str">
        <f aca="false">IF($A33="","",$F33+$G33)</f>
        <v/>
      </c>
      <c r="I33" s="13" t="str">
        <f aca="false">IF($A33="","",SUMIFS(재고조정!$E$3:$E$302,재고조정!$B$3:$B$302,$A33))</f>
        <v/>
      </c>
      <c r="J33" s="13" t="str">
        <f aca="false">IF($A33="","",$D33+$E33-$H33+$I33)</f>
        <v/>
      </c>
      <c r="K33" s="13" t="str">
        <f aca="false">IF($A33="","",SUMIFS(출고내역!$K$3:$K$802,출고내역!$D$3:$D$802,$A33))</f>
        <v/>
      </c>
    </row>
    <row r="34" customFormat="false" ht="15" hidden="false" customHeight="true" outlineLevel="0" collapsed="false">
      <c r="A34" s="12" t="str">
        <f aca="false">IF(품목마스터!$A31="","",품목마스터!$A31)</f>
        <v/>
      </c>
      <c r="B34" s="12" t="str">
        <f aca="false">IF($A34="","",품목마스터!$B31)</f>
        <v/>
      </c>
      <c r="C34" s="12" t="str">
        <f aca="false">IF($A34="","",품목마스터!$D31)</f>
        <v/>
      </c>
      <c r="D34" s="13" t="str">
        <f aca="false">IF($A34="","",IF(품목마스터!$E31="",0,품목마스터!$E31))</f>
        <v/>
      </c>
      <c r="E34" s="13" t="str">
        <f aca="false">IF($A34="","",SUMIFS(검수내역!$G$3:$G$802,검수내역!$D$3:$D$802,$A34))</f>
        <v/>
      </c>
      <c r="F34" s="13" t="str">
        <f aca="false">IF($A34="","",SUMIFS(출고내역!$G$3:$G$802,출고내역!$D$3:$D$802,$A34))</f>
        <v/>
      </c>
      <c r="G34" s="13" t="str">
        <f aca="false">IF($A34="","",SUMIFS(출고내역!$H$3:$H$802,출고내역!$D$3:$D$802,$A34))</f>
        <v/>
      </c>
      <c r="H34" s="13" t="str">
        <f aca="false">IF($A34="","",$F34+$G34)</f>
        <v/>
      </c>
      <c r="I34" s="13" t="str">
        <f aca="false">IF($A34="","",SUMIFS(재고조정!$E$3:$E$302,재고조정!$B$3:$B$302,$A34))</f>
        <v/>
      </c>
      <c r="J34" s="13" t="str">
        <f aca="false">IF($A34="","",$D34+$E34-$H34+$I34)</f>
        <v/>
      </c>
      <c r="K34" s="13" t="str">
        <f aca="false">IF($A34="","",SUMIFS(출고내역!$K$3:$K$802,출고내역!$D$3:$D$802,$A34))</f>
        <v/>
      </c>
    </row>
    <row r="35" customFormat="false" ht="15" hidden="false" customHeight="true" outlineLevel="0" collapsed="false">
      <c r="A35" s="12" t="str">
        <f aca="false">IF(품목마스터!$A32="","",품목마스터!$A32)</f>
        <v/>
      </c>
      <c r="B35" s="12" t="str">
        <f aca="false">IF($A35="","",품목마스터!$B32)</f>
        <v/>
      </c>
      <c r="C35" s="12" t="str">
        <f aca="false">IF($A35="","",품목마스터!$D32)</f>
        <v/>
      </c>
      <c r="D35" s="13" t="str">
        <f aca="false">IF($A35="","",IF(품목마스터!$E32="",0,품목마스터!$E32))</f>
        <v/>
      </c>
      <c r="E35" s="13" t="str">
        <f aca="false">IF($A35="","",SUMIFS(검수내역!$G$3:$G$802,검수내역!$D$3:$D$802,$A35))</f>
        <v/>
      </c>
      <c r="F35" s="13" t="str">
        <f aca="false">IF($A35="","",SUMIFS(출고내역!$G$3:$G$802,출고내역!$D$3:$D$802,$A35))</f>
        <v/>
      </c>
      <c r="G35" s="13" t="str">
        <f aca="false">IF($A35="","",SUMIFS(출고내역!$H$3:$H$802,출고내역!$D$3:$D$802,$A35))</f>
        <v/>
      </c>
      <c r="H35" s="13" t="str">
        <f aca="false">IF($A35="","",$F35+$G35)</f>
        <v/>
      </c>
      <c r="I35" s="13" t="str">
        <f aca="false">IF($A35="","",SUMIFS(재고조정!$E$3:$E$302,재고조정!$B$3:$B$302,$A35))</f>
        <v/>
      </c>
      <c r="J35" s="13" t="str">
        <f aca="false">IF($A35="","",$D35+$E35-$H35+$I35)</f>
        <v/>
      </c>
      <c r="K35" s="13" t="str">
        <f aca="false">IF($A35="","",SUMIFS(출고내역!$K$3:$K$802,출고내역!$D$3:$D$802,$A35))</f>
        <v/>
      </c>
    </row>
    <row r="36" customFormat="false" ht="15" hidden="false" customHeight="true" outlineLevel="0" collapsed="false">
      <c r="A36" s="12" t="str">
        <f aca="false">IF(품목마스터!$A33="","",품목마스터!$A33)</f>
        <v/>
      </c>
      <c r="B36" s="12" t="str">
        <f aca="false">IF($A36="","",품목마스터!$B33)</f>
        <v/>
      </c>
      <c r="C36" s="12" t="str">
        <f aca="false">IF($A36="","",품목마스터!$D33)</f>
        <v/>
      </c>
      <c r="D36" s="13" t="str">
        <f aca="false">IF($A36="","",IF(품목마스터!$E33="",0,품목마스터!$E33))</f>
        <v/>
      </c>
      <c r="E36" s="13" t="str">
        <f aca="false">IF($A36="","",SUMIFS(검수내역!$G$3:$G$802,검수내역!$D$3:$D$802,$A36))</f>
        <v/>
      </c>
      <c r="F36" s="13" t="str">
        <f aca="false">IF($A36="","",SUMIFS(출고내역!$G$3:$G$802,출고내역!$D$3:$D$802,$A36))</f>
        <v/>
      </c>
      <c r="G36" s="13" t="str">
        <f aca="false">IF($A36="","",SUMIFS(출고내역!$H$3:$H$802,출고내역!$D$3:$D$802,$A36))</f>
        <v/>
      </c>
      <c r="H36" s="13" t="str">
        <f aca="false">IF($A36="","",$F36+$G36)</f>
        <v/>
      </c>
      <c r="I36" s="13" t="str">
        <f aca="false">IF($A36="","",SUMIFS(재고조정!$E$3:$E$302,재고조정!$B$3:$B$302,$A36))</f>
        <v/>
      </c>
      <c r="J36" s="13" t="str">
        <f aca="false">IF($A36="","",$D36+$E36-$H36+$I36)</f>
        <v/>
      </c>
      <c r="K36" s="13" t="str">
        <f aca="false">IF($A36="","",SUMIFS(출고내역!$K$3:$K$802,출고내역!$D$3:$D$802,$A36))</f>
        <v/>
      </c>
    </row>
    <row r="37" customFormat="false" ht="15" hidden="false" customHeight="true" outlineLevel="0" collapsed="false">
      <c r="A37" s="12" t="str">
        <f aca="false">IF(품목마스터!$A34="","",품목마스터!$A34)</f>
        <v/>
      </c>
      <c r="B37" s="12" t="str">
        <f aca="false">IF($A37="","",품목마스터!$B34)</f>
        <v/>
      </c>
      <c r="C37" s="12" t="str">
        <f aca="false">IF($A37="","",품목마스터!$D34)</f>
        <v/>
      </c>
      <c r="D37" s="13" t="str">
        <f aca="false">IF($A37="","",IF(품목마스터!$E34="",0,품목마스터!$E34))</f>
        <v/>
      </c>
      <c r="E37" s="13" t="str">
        <f aca="false">IF($A37="","",SUMIFS(검수내역!$G$3:$G$802,검수내역!$D$3:$D$802,$A37))</f>
        <v/>
      </c>
      <c r="F37" s="13" t="str">
        <f aca="false">IF($A37="","",SUMIFS(출고내역!$G$3:$G$802,출고내역!$D$3:$D$802,$A37))</f>
        <v/>
      </c>
      <c r="G37" s="13" t="str">
        <f aca="false">IF($A37="","",SUMIFS(출고내역!$H$3:$H$802,출고내역!$D$3:$D$802,$A37))</f>
        <v/>
      </c>
      <c r="H37" s="13" t="str">
        <f aca="false">IF($A37="","",$F37+$G37)</f>
        <v/>
      </c>
      <c r="I37" s="13" t="str">
        <f aca="false">IF($A37="","",SUMIFS(재고조정!$E$3:$E$302,재고조정!$B$3:$B$302,$A37))</f>
        <v/>
      </c>
      <c r="J37" s="13" t="str">
        <f aca="false">IF($A37="","",$D37+$E37-$H37+$I37)</f>
        <v/>
      </c>
      <c r="K37" s="13" t="str">
        <f aca="false">IF($A37="","",SUMIFS(출고내역!$K$3:$K$802,출고내역!$D$3:$D$802,$A37))</f>
        <v/>
      </c>
    </row>
    <row r="38" customFormat="false" ht="15" hidden="false" customHeight="true" outlineLevel="0" collapsed="false">
      <c r="A38" s="12" t="str">
        <f aca="false">IF(품목마스터!$A35="","",품목마스터!$A35)</f>
        <v/>
      </c>
      <c r="B38" s="12" t="str">
        <f aca="false">IF($A38="","",품목마스터!$B35)</f>
        <v/>
      </c>
      <c r="C38" s="12" t="str">
        <f aca="false">IF($A38="","",품목마스터!$D35)</f>
        <v/>
      </c>
      <c r="D38" s="13" t="str">
        <f aca="false">IF($A38="","",IF(품목마스터!$E35="",0,품목마스터!$E35))</f>
        <v/>
      </c>
      <c r="E38" s="13" t="str">
        <f aca="false">IF($A38="","",SUMIFS(검수내역!$G$3:$G$802,검수내역!$D$3:$D$802,$A38))</f>
        <v/>
      </c>
      <c r="F38" s="13" t="str">
        <f aca="false">IF($A38="","",SUMIFS(출고내역!$G$3:$G$802,출고내역!$D$3:$D$802,$A38))</f>
        <v/>
      </c>
      <c r="G38" s="13" t="str">
        <f aca="false">IF($A38="","",SUMIFS(출고내역!$H$3:$H$802,출고내역!$D$3:$D$802,$A38))</f>
        <v/>
      </c>
      <c r="H38" s="13" t="str">
        <f aca="false">IF($A38="","",$F38+$G38)</f>
        <v/>
      </c>
      <c r="I38" s="13" t="str">
        <f aca="false">IF($A38="","",SUMIFS(재고조정!$E$3:$E$302,재고조정!$B$3:$B$302,$A38))</f>
        <v/>
      </c>
      <c r="J38" s="13" t="str">
        <f aca="false">IF($A38="","",$D38+$E38-$H38+$I38)</f>
        <v/>
      </c>
      <c r="K38" s="13" t="str">
        <f aca="false">IF($A38="","",SUMIFS(출고내역!$K$3:$K$802,출고내역!$D$3:$D$802,$A38))</f>
        <v/>
      </c>
    </row>
    <row r="39" customFormat="false" ht="15" hidden="false" customHeight="true" outlineLevel="0" collapsed="false">
      <c r="A39" s="12" t="str">
        <f aca="false">IF(품목마스터!$A36="","",품목마스터!$A36)</f>
        <v/>
      </c>
      <c r="B39" s="12" t="str">
        <f aca="false">IF($A39="","",품목마스터!$B36)</f>
        <v/>
      </c>
      <c r="C39" s="12" t="str">
        <f aca="false">IF($A39="","",품목마스터!$D36)</f>
        <v/>
      </c>
      <c r="D39" s="13" t="str">
        <f aca="false">IF($A39="","",IF(품목마스터!$E36="",0,품목마스터!$E36))</f>
        <v/>
      </c>
      <c r="E39" s="13" t="str">
        <f aca="false">IF($A39="","",SUMIFS(검수내역!$G$3:$G$802,검수내역!$D$3:$D$802,$A39))</f>
        <v/>
      </c>
      <c r="F39" s="13" t="str">
        <f aca="false">IF($A39="","",SUMIFS(출고내역!$G$3:$G$802,출고내역!$D$3:$D$802,$A39))</f>
        <v/>
      </c>
      <c r="G39" s="13" t="str">
        <f aca="false">IF($A39="","",SUMIFS(출고내역!$H$3:$H$802,출고내역!$D$3:$D$802,$A39))</f>
        <v/>
      </c>
      <c r="H39" s="13" t="str">
        <f aca="false">IF($A39="","",$F39+$G39)</f>
        <v/>
      </c>
      <c r="I39" s="13" t="str">
        <f aca="false">IF($A39="","",SUMIFS(재고조정!$E$3:$E$302,재고조정!$B$3:$B$302,$A39))</f>
        <v/>
      </c>
      <c r="J39" s="13" t="str">
        <f aca="false">IF($A39="","",$D39+$E39-$H39+$I39)</f>
        <v/>
      </c>
      <c r="K39" s="13" t="str">
        <f aca="false">IF($A39="","",SUMIFS(출고내역!$K$3:$K$802,출고내역!$D$3:$D$802,$A39))</f>
        <v/>
      </c>
    </row>
    <row r="40" customFormat="false" ht="15" hidden="false" customHeight="true" outlineLevel="0" collapsed="false">
      <c r="A40" s="12" t="str">
        <f aca="false">IF(품목마스터!$A37="","",품목마스터!$A37)</f>
        <v/>
      </c>
      <c r="B40" s="12" t="str">
        <f aca="false">IF($A40="","",품목마스터!$B37)</f>
        <v/>
      </c>
      <c r="C40" s="12" t="str">
        <f aca="false">IF($A40="","",품목마스터!$D37)</f>
        <v/>
      </c>
      <c r="D40" s="13" t="str">
        <f aca="false">IF($A40="","",IF(품목마스터!$E37="",0,품목마스터!$E37))</f>
        <v/>
      </c>
      <c r="E40" s="13" t="str">
        <f aca="false">IF($A40="","",SUMIFS(검수내역!$G$3:$G$802,검수내역!$D$3:$D$802,$A40))</f>
        <v/>
      </c>
      <c r="F40" s="13" t="str">
        <f aca="false">IF($A40="","",SUMIFS(출고내역!$G$3:$G$802,출고내역!$D$3:$D$802,$A40))</f>
        <v/>
      </c>
      <c r="G40" s="13" t="str">
        <f aca="false">IF($A40="","",SUMIFS(출고내역!$H$3:$H$802,출고내역!$D$3:$D$802,$A40))</f>
        <v/>
      </c>
      <c r="H40" s="13" t="str">
        <f aca="false">IF($A40="","",$F40+$G40)</f>
        <v/>
      </c>
      <c r="I40" s="13" t="str">
        <f aca="false">IF($A40="","",SUMIFS(재고조정!$E$3:$E$302,재고조정!$B$3:$B$302,$A40))</f>
        <v/>
      </c>
      <c r="J40" s="13" t="str">
        <f aca="false">IF($A40="","",$D40+$E40-$H40+$I40)</f>
        <v/>
      </c>
      <c r="K40" s="13" t="str">
        <f aca="false">IF($A40="","",SUMIFS(출고내역!$K$3:$K$802,출고내역!$D$3:$D$802,$A40))</f>
        <v/>
      </c>
    </row>
    <row r="41" customFormat="false" ht="15" hidden="false" customHeight="true" outlineLevel="0" collapsed="false">
      <c r="A41" s="12" t="str">
        <f aca="false">IF(품목마스터!$A38="","",품목마스터!$A38)</f>
        <v/>
      </c>
      <c r="B41" s="12" t="str">
        <f aca="false">IF($A41="","",품목마스터!$B38)</f>
        <v/>
      </c>
      <c r="C41" s="12" t="str">
        <f aca="false">IF($A41="","",품목마스터!$D38)</f>
        <v/>
      </c>
      <c r="D41" s="13" t="str">
        <f aca="false">IF($A41="","",IF(품목마스터!$E38="",0,품목마스터!$E38))</f>
        <v/>
      </c>
      <c r="E41" s="13" t="str">
        <f aca="false">IF($A41="","",SUMIFS(검수내역!$G$3:$G$802,검수내역!$D$3:$D$802,$A41))</f>
        <v/>
      </c>
      <c r="F41" s="13" t="str">
        <f aca="false">IF($A41="","",SUMIFS(출고내역!$G$3:$G$802,출고내역!$D$3:$D$802,$A41))</f>
        <v/>
      </c>
      <c r="G41" s="13" t="str">
        <f aca="false">IF($A41="","",SUMIFS(출고내역!$H$3:$H$802,출고내역!$D$3:$D$802,$A41))</f>
        <v/>
      </c>
      <c r="H41" s="13" t="str">
        <f aca="false">IF($A41="","",$F41+$G41)</f>
        <v/>
      </c>
      <c r="I41" s="13" t="str">
        <f aca="false">IF($A41="","",SUMIFS(재고조정!$E$3:$E$302,재고조정!$B$3:$B$302,$A41))</f>
        <v/>
      </c>
      <c r="J41" s="13" t="str">
        <f aca="false">IF($A41="","",$D41+$E41-$H41+$I41)</f>
        <v/>
      </c>
      <c r="K41" s="13" t="str">
        <f aca="false">IF($A41="","",SUMIFS(출고내역!$K$3:$K$802,출고내역!$D$3:$D$802,$A41))</f>
        <v/>
      </c>
    </row>
    <row r="42" customFormat="false" ht="15" hidden="false" customHeight="true" outlineLevel="0" collapsed="false">
      <c r="A42" s="12" t="str">
        <f aca="false">IF(품목마스터!$A39="","",품목마스터!$A39)</f>
        <v/>
      </c>
      <c r="B42" s="12" t="str">
        <f aca="false">IF($A42="","",품목마스터!$B39)</f>
        <v/>
      </c>
      <c r="C42" s="12" t="str">
        <f aca="false">IF($A42="","",품목마스터!$D39)</f>
        <v/>
      </c>
      <c r="D42" s="13" t="str">
        <f aca="false">IF($A42="","",IF(품목마스터!$E39="",0,품목마스터!$E39))</f>
        <v/>
      </c>
      <c r="E42" s="13" t="str">
        <f aca="false">IF($A42="","",SUMIFS(검수내역!$G$3:$G$802,검수내역!$D$3:$D$802,$A42))</f>
        <v/>
      </c>
      <c r="F42" s="13" t="str">
        <f aca="false">IF($A42="","",SUMIFS(출고내역!$G$3:$G$802,출고내역!$D$3:$D$802,$A42))</f>
        <v/>
      </c>
      <c r="G42" s="13" t="str">
        <f aca="false">IF($A42="","",SUMIFS(출고내역!$H$3:$H$802,출고내역!$D$3:$D$802,$A42))</f>
        <v/>
      </c>
      <c r="H42" s="13" t="str">
        <f aca="false">IF($A42="","",$F42+$G42)</f>
        <v/>
      </c>
      <c r="I42" s="13" t="str">
        <f aca="false">IF($A42="","",SUMIFS(재고조정!$E$3:$E$302,재고조정!$B$3:$B$302,$A42))</f>
        <v/>
      </c>
      <c r="J42" s="13" t="str">
        <f aca="false">IF($A42="","",$D42+$E42-$H42+$I42)</f>
        <v/>
      </c>
      <c r="K42" s="13" t="str">
        <f aca="false">IF($A42="","",SUMIFS(출고내역!$K$3:$K$802,출고내역!$D$3:$D$802,$A42))</f>
        <v/>
      </c>
    </row>
    <row r="43" customFormat="false" ht="15" hidden="false" customHeight="true" outlineLevel="0" collapsed="false">
      <c r="A43" s="12" t="str">
        <f aca="false">IF(품목마스터!$A40="","",품목마스터!$A40)</f>
        <v/>
      </c>
      <c r="B43" s="12" t="str">
        <f aca="false">IF($A43="","",품목마스터!$B40)</f>
        <v/>
      </c>
      <c r="C43" s="12" t="str">
        <f aca="false">IF($A43="","",품목마스터!$D40)</f>
        <v/>
      </c>
      <c r="D43" s="13" t="str">
        <f aca="false">IF($A43="","",IF(품목마스터!$E40="",0,품목마스터!$E40))</f>
        <v/>
      </c>
      <c r="E43" s="13" t="str">
        <f aca="false">IF($A43="","",SUMIFS(검수내역!$G$3:$G$802,검수내역!$D$3:$D$802,$A43))</f>
        <v/>
      </c>
      <c r="F43" s="13" t="str">
        <f aca="false">IF($A43="","",SUMIFS(출고내역!$G$3:$G$802,출고내역!$D$3:$D$802,$A43))</f>
        <v/>
      </c>
      <c r="G43" s="13" t="str">
        <f aca="false">IF($A43="","",SUMIFS(출고내역!$H$3:$H$802,출고내역!$D$3:$D$802,$A43))</f>
        <v/>
      </c>
      <c r="H43" s="13" t="str">
        <f aca="false">IF($A43="","",$F43+$G43)</f>
        <v/>
      </c>
      <c r="I43" s="13" t="str">
        <f aca="false">IF($A43="","",SUMIFS(재고조정!$E$3:$E$302,재고조정!$B$3:$B$302,$A43))</f>
        <v/>
      </c>
      <c r="J43" s="13" t="str">
        <f aca="false">IF($A43="","",$D43+$E43-$H43+$I43)</f>
        <v/>
      </c>
      <c r="K43" s="13" t="str">
        <f aca="false">IF($A43="","",SUMIFS(출고내역!$K$3:$K$802,출고내역!$D$3:$D$802,$A43))</f>
        <v/>
      </c>
    </row>
    <row r="44" customFormat="false" ht="15" hidden="false" customHeight="true" outlineLevel="0" collapsed="false">
      <c r="A44" s="12" t="str">
        <f aca="false">IF(품목마스터!$A41="","",품목마스터!$A41)</f>
        <v/>
      </c>
      <c r="B44" s="12" t="str">
        <f aca="false">IF($A44="","",품목마스터!$B41)</f>
        <v/>
      </c>
      <c r="C44" s="12" t="str">
        <f aca="false">IF($A44="","",품목마스터!$D41)</f>
        <v/>
      </c>
      <c r="D44" s="13" t="str">
        <f aca="false">IF($A44="","",IF(품목마스터!$E41="",0,품목마스터!$E41))</f>
        <v/>
      </c>
      <c r="E44" s="13" t="str">
        <f aca="false">IF($A44="","",SUMIFS(검수내역!$G$3:$G$802,검수내역!$D$3:$D$802,$A44))</f>
        <v/>
      </c>
      <c r="F44" s="13" t="str">
        <f aca="false">IF($A44="","",SUMIFS(출고내역!$G$3:$G$802,출고내역!$D$3:$D$802,$A44))</f>
        <v/>
      </c>
      <c r="G44" s="13" t="str">
        <f aca="false">IF($A44="","",SUMIFS(출고내역!$H$3:$H$802,출고내역!$D$3:$D$802,$A44))</f>
        <v/>
      </c>
      <c r="H44" s="13" t="str">
        <f aca="false">IF($A44="","",$F44+$G44)</f>
        <v/>
      </c>
      <c r="I44" s="13" t="str">
        <f aca="false">IF($A44="","",SUMIFS(재고조정!$E$3:$E$302,재고조정!$B$3:$B$302,$A44))</f>
        <v/>
      </c>
      <c r="J44" s="13" t="str">
        <f aca="false">IF($A44="","",$D44+$E44-$H44+$I44)</f>
        <v/>
      </c>
      <c r="K44" s="13" t="str">
        <f aca="false">IF($A44="","",SUMIFS(출고내역!$K$3:$K$802,출고내역!$D$3:$D$802,$A44))</f>
        <v/>
      </c>
    </row>
    <row r="45" customFormat="false" ht="15" hidden="false" customHeight="true" outlineLevel="0" collapsed="false">
      <c r="A45" s="12" t="str">
        <f aca="false">IF(품목마스터!$A42="","",품목마스터!$A42)</f>
        <v/>
      </c>
      <c r="B45" s="12" t="str">
        <f aca="false">IF($A45="","",품목마스터!$B42)</f>
        <v/>
      </c>
      <c r="C45" s="12" t="str">
        <f aca="false">IF($A45="","",품목마스터!$D42)</f>
        <v/>
      </c>
      <c r="D45" s="13" t="str">
        <f aca="false">IF($A45="","",IF(품목마스터!$E42="",0,품목마스터!$E42))</f>
        <v/>
      </c>
      <c r="E45" s="13" t="str">
        <f aca="false">IF($A45="","",SUMIFS(검수내역!$G$3:$G$802,검수내역!$D$3:$D$802,$A45))</f>
        <v/>
      </c>
      <c r="F45" s="13" t="str">
        <f aca="false">IF($A45="","",SUMIFS(출고내역!$G$3:$G$802,출고내역!$D$3:$D$802,$A45))</f>
        <v/>
      </c>
      <c r="G45" s="13" t="str">
        <f aca="false">IF($A45="","",SUMIFS(출고내역!$H$3:$H$802,출고내역!$D$3:$D$802,$A45))</f>
        <v/>
      </c>
      <c r="H45" s="13" t="str">
        <f aca="false">IF($A45="","",$F45+$G45)</f>
        <v/>
      </c>
      <c r="I45" s="13" t="str">
        <f aca="false">IF($A45="","",SUMIFS(재고조정!$E$3:$E$302,재고조정!$B$3:$B$302,$A45))</f>
        <v/>
      </c>
      <c r="J45" s="13" t="str">
        <f aca="false">IF($A45="","",$D45+$E45-$H45+$I45)</f>
        <v/>
      </c>
      <c r="K45" s="13" t="str">
        <f aca="false">IF($A45="","",SUMIFS(출고내역!$K$3:$K$802,출고내역!$D$3:$D$802,$A45))</f>
        <v/>
      </c>
    </row>
    <row r="46" customFormat="false" ht="15" hidden="false" customHeight="true" outlineLevel="0" collapsed="false">
      <c r="A46" s="12" t="str">
        <f aca="false">IF(품목마스터!$A43="","",품목마스터!$A43)</f>
        <v/>
      </c>
      <c r="B46" s="12" t="str">
        <f aca="false">IF($A46="","",품목마스터!$B43)</f>
        <v/>
      </c>
      <c r="C46" s="12" t="str">
        <f aca="false">IF($A46="","",품목마스터!$D43)</f>
        <v/>
      </c>
      <c r="D46" s="13" t="str">
        <f aca="false">IF($A46="","",IF(품목마스터!$E43="",0,품목마스터!$E43))</f>
        <v/>
      </c>
      <c r="E46" s="13" t="str">
        <f aca="false">IF($A46="","",SUMIFS(검수내역!$G$3:$G$802,검수내역!$D$3:$D$802,$A46))</f>
        <v/>
      </c>
      <c r="F46" s="13" t="str">
        <f aca="false">IF($A46="","",SUMIFS(출고내역!$G$3:$G$802,출고내역!$D$3:$D$802,$A46))</f>
        <v/>
      </c>
      <c r="G46" s="13" t="str">
        <f aca="false">IF($A46="","",SUMIFS(출고내역!$H$3:$H$802,출고내역!$D$3:$D$802,$A46))</f>
        <v/>
      </c>
      <c r="H46" s="13" t="str">
        <f aca="false">IF($A46="","",$F46+$G46)</f>
        <v/>
      </c>
      <c r="I46" s="13" t="str">
        <f aca="false">IF($A46="","",SUMIFS(재고조정!$E$3:$E$302,재고조정!$B$3:$B$302,$A46))</f>
        <v/>
      </c>
      <c r="J46" s="13" t="str">
        <f aca="false">IF($A46="","",$D46+$E46-$H46+$I46)</f>
        <v/>
      </c>
      <c r="K46" s="13" t="str">
        <f aca="false">IF($A46="","",SUMIFS(출고내역!$K$3:$K$802,출고내역!$D$3:$D$802,$A46))</f>
        <v/>
      </c>
    </row>
    <row r="47" customFormat="false" ht="15" hidden="false" customHeight="true" outlineLevel="0" collapsed="false">
      <c r="A47" s="12" t="str">
        <f aca="false">IF(품목마스터!$A44="","",품목마스터!$A44)</f>
        <v/>
      </c>
      <c r="B47" s="12" t="str">
        <f aca="false">IF($A47="","",품목마스터!$B44)</f>
        <v/>
      </c>
      <c r="C47" s="12" t="str">
        <f aca="false">IF($A47="","",품목마스터!$D44)</f>
        <v/>
      </c>
      <c r="D47" s="13" t="str">
        <f aca="false">IF($A47="","",IF(품목마스터!$E44="",0,품목마스터!$E44))</f>
        <v/>
      </c>
      <c r="E47" s="13" t="str">
        <f aca="false">IF($A47="","",SUMIFS(검수내역!$G$3:$G$802,검수내역!$D$3:$D$802,$A47))</f>
        <v/>
      </c>
      <c r="F47" s="13" t="str">
        <f aca="false">IF($A47="","",SUMIFS(출고내역!$G$3:$G$802,출고내역!$D$3:$D$802,$A47))</f>
        <v/>
      </c>
      <c r="G47" s="13" t="str">
        <f aca="false">IF($A47="","",SUMIFS(출고내역!$H$3:$H$802,출고내역!$D$3:$D$802,$A47))</f>
        <v/>
      </c>
      <c r="H47" s="13" t="str">
        <f aca="false">IF($A47="","",$F47+$G47)</f>
        <v/>
      </c>
      <c r="I47" s="13" t="str">
        <f aca="false">IF($A47="","",SUMIFS(재고조정!$E$3:$E$302,재고조정!$B$3:$B$302,$A47))</f>
        <v/>
      </c>
      <c r="J47" s="13" t="str">
        <f aca="false">IF($A47="","",$D47+$E47-$H47+$I47)</f>
        <v/>
      </c>
      <c r="K47" s="13" t="str">
        <f aca="false">IF($A47="","",SUMIFS(출고내역!$K$3:$K$802,출고내역!$D$3:$D$802,$A47))</f>
        <v/>
      </c>
    </row>
    <row r="48" customFormat="false" ht="15" hidden="false" customHeight="true" outlineLevel="0" collapsed="false">
      <c r="A48" s="12" t="str">
        <f aca="false">IF(품목마스터!$A45="","",품목마스터!$A45)</f>
        <v/>
      </c>
      <c r="B48" s="12" t="str">
        <f aca="false">IF($A48="","",품목마스터!$B45)</f>
        <v/>
      </c>
      <c r="C48" s="12" t="str">
        <f aca="false">IF($A48="","",품목마스터!$D45)</f>
        <v/>
      </c>
      <c r="D48" s="13" t="str">
        <f aca="false">IF($A48="","",IF(품목마스터!$E45="",0,품목마스터!$E45))</f>
        <v/>
      </c>
      <c r="E48" s="13" t="str">
        <f aca="false">IF($A48="","",SUMIFS(검수내역!$G$3:$G$802,검수내역!$D$3:$D$802,$A48))</f>
        <v/>
      </c>
      <c r="F48" s="13" t="str">
        <f aca="false">IF($A48="","",SUMIFS(출고내역!$G$3:$G$802,출고내역!$D$3:$D$802,$A48))</f>
        <v/>
      </c>
      <c r="G48" s="13" t="str">
        <f aca="false">IF($A48="","",SUMIFS(출고내역!$H$3:$H$802,출고내역!$D$3:$D$802,$A48))</f>
        <v/>
      </c>
      <c r="H48" s="13" t="str">
        <f aca="false">IF($A48="","",$F48+$G48)</f>
        <v/>
      </c>
      <c r="I48" s="13" t="str">
        <f aca="false">IF($A48="","",SUMIFS(재고조정!$E$3:$E$302,재고조정!$B$3:$B$302,$A48))</f>
        <v/>
      </c>
      <c r="J48" s="13" t="str">
        <f aca="false">IF($A48="","",$D48+$E48-$H48+$I48)</f>
        <v/>
      </c>
      <c r="K48" s="13" t="str">
        <f aca="false">IF($A48="","",SUMIFS(출고내역!$K$3:$K$802,출고내역!$D$3:$D$802,$A48))</f>
        <v/>
      </c>
    </row>
    <row r="49" customFormat="false" ht="15" hidden="false" customHeight="true" outlineLevel="0" collapsed="false">
      <c r="A49" s="12" t="str">
        <f aca="false">IF(품목마스터!$A46="","",품목마스터!$A46)</f>
        <v/>
      </c>
      <c r="B49" s="12" t="str">
        <f aca="false">IF($A49="","",품목마스터!$B46)</f>
        <v/>
      </c>
      <c r="C49" s="12" t="str">
        <f aca="false">IF($A49="","",품목마스터!$D46)</f>
        <v/>
      </c>
      <c r="D49" s="13" t="str">
        <f aca="false">IF($A49="","",IF(품목마스터!$E46="",0,품목마스터!$E46))</f>
        <v/>
      </c>
      <c r="E49" s="13" t="str">
        <f aca="false">IF($A49="","",SUMIFS(검수내역!$G$3:$G$802,검수내역!$D$3:$D$802,$A49))</f>
        <v/>
      </c>
      <c r="F49" s="13" t="str">
        <f aca="false">IF($A49="","",SUMIFS(출고내역!$G$3:$G$802,출고내역!$D$3:$D$802,$A49))</f>
        <v/>
      </c>
      <c r="G49" s="13" t="str">
        <f aca="false">IF($A49="","",SUMIFS(출고내역!$H$3:$H$802,출고내역!$D$3:$D$802,$A49))</f>
        <v/>
      </c>
      <c r="H49" s="13" t="str">
        <f aca="false">IF($A49="","",$F49+$G49)</f>
        <v/>
      </c>
      <c r="I49" s="13" t="str">
        <f aca="false">IF($A49="","",SUMIFS(재고조정!$E$3:$E$302,재고조정!$B$3:$B$302,$A49))</f>
        <v/>
      </c>
      <c r="J49" s="13" t="str">
        <f aca="false">IF($A49="","",$D49+$E49-$H49+$I49)</f>
        <v/>
      </c>
      <c r="K49" s="13" t="str">
        <f aca="false">IF($A49="","",SUMIFS(출고내역!$K$3:$K$802,출고내역!$D$3:$D$802,$A49))</f>
        <v/>
      </c>
    </row>
    <row r="50" customFormat="false" ht="15" hidden="false" customHeight="true" outlineLevel="0" collapsed="false">
      <c r="A50" s="12" t="str">
        <f aca="false">IF(품목마스터!$A47="","",품목마스터!$A47)</f>
        <v/>
      </c>
      <c r="B50" s="12" t="str">
        <f aca="false">IF($A50="","",품목마스터!$B47)</f>
        <v/>
      </c>
      <c r="C50" s="12" t="str">
        <f aca="false">IF($A50="","",품목마스터!$D47)</f>
        <v/>
      </c>
      <c r="D50" s="13" t="str">
        <f aca="false">IF($A50="","",IF(품목마스터!$E47="",0,품목마스터!$E47))</f>
        <v/>
      </c>
      <c r="E50" s="13" t="str">
        <f aca="false">IF($A50="","",SUMIFS(검수내역!$G$3:$G$802,검수내역!$D$3:$D$802,$A50))</f>
        <v/>
      </c>
      <c r="F50" s="13" t="str">
        <f aca="false">IF($A50="","",SUMIFS(출고내역!$G$3:$G$802,출고내역!$D$3:$D$802,$A50))</f>
        <v/>
      </c>
      <c r="G50" s="13" t="str">
        <f aca="false">IF($A50="","",SUMIFS(출고내역!$H$3:$H$802,출고내역!$D$3:$D$802,$A50))</f>
        <v/>
      </c>
      <c r="H50" s="13" t="str">
        <f aca="false">IF($A50="","",$F50+$G50)</f>
        <v/>
      </c>
      <c r="I50" s="13" t="str">
        <f aca="false">IF($A50="","",SUMIFS(재고조정!$E$3:$E$302,재고조정!$B$3:$B$302,$A50))</f>
        <v/>
      </c>
      <c r="J50" s="13" t="str">
        <f aca="false">IF($A50="","",$D50+$E50-$H50+$I50)</f>
        <v/>
      </c>
      <c r="K50" s="13" t="str">
        <f aca="false">IF($A50="","",SUMIFS(출고내역!$K$3:$K$802,출고내역!$D$3:$D$802,$A50))</f>
        <v/>
      </c>
    </row>
    <row r="51" customFormat="false" ht="15" hidden="false" customHeight="true" outlineLevel="0" collapsed="false">
      <c r="A51" s="12" t="str">
        <f aca="false">IF(품목마스터!$A48="","",품목마스터!$A48)</f>
        <v/>
      </c>
      <c r="B51" s="12" t="str">
        <f aca="false">IF($A51="","",품목마스터!$B48)</f>
        <v/>
      </c>
      <c r="C51" s="12" t="str">
        <f aca="false">IF($A51="","",품목마스터!$D48)</f>
        <v/>
      </c>
      <c r="D51" s="13" t="str">
        <f aca="false">IF($A51="","",IF(품목마스터!$E48="",0,품목마스터!$E48))</f>
        <v/>
      </c>
      <c r="E51" s="13" t="str">
        <f aca="false">IF($A51="","",SUMIFS(검수내역!$G$3:$G$802,검수내역!$D$3:$D$802,$A51))</f>
        <v/>
      </c>
      <c r="F51" s="13" t="str">
        <f aca="false">IF($A51="","",SUMIFS(출고내역!$G$3:$G$802,출고내역!$D$3:$D$802,$A51))</f>
        <v/>
      </c>
      <c r="G51" s="13" t="str">
        <f aca="false">IF($A51="","",SUMIFS(출고내역!$H$3:$H$802,출고내역!$D$3:$D$802,$A51))</f>
        <v/>
      </c>
      <c r="H51" s="13" t="str">
        <f aca="false">IF($A51="","",$F51+$G51)</f>
        <v/>
      </c>
      <c r="I51" s="13" t="str">
        <f aca="false">IF($A51="","",SUMIFS(재고조정!$E$3:$E$302,재고조정!$B$3:$B$302,$A51))</f>
        <v/>
      </c>
      <c r="J51" s="13" t="str">
        <f aca="false">IF($A51="","",$D51+$E51-$H51+$I51)</f>
        <v/>
      </c>
      <c r="K51" s="13" t="str">
        <f aca="false">IF($A51="","",SUMIFS(출고내역!$K$3:$K$802,출고내역!$D$3:$D$802,$A51))</f>
        <v/>
      </c>
    </row>
    <row r="52" customFormat="false" ht="15" hidden="false" customHeight="true" outlineLevel="0" collapsed="false">
      <c r="A52" s="12" t="str">
        <f aca="false">IF(품목마스터!$A49="","",품목마스터!$A49)</f>
        <v/>
      </c>
      <c r="B52" s="12" t="str">
        <f aca="false">IF($A52="","",품목마스터!$B49)</f>
        <v/>
      </c>
      <c r="C52" s="12" t="str">
        <f aca="false">IF($A52="","",품목마스터!$D49)</f>
        <v/>
      </c>
      <c r="D52" s="13" t="str">
        <f aca="false">IF($A52="","",IF(품목마스터!$E49="",0,품목마스터!$E49))</f>
        <v/>
      </c>
      <c r="E52" s="13" t="str">
        <f aca="false">IF($A52="","",SUMIFS(검수내역!$G$3:$G$802,검수내역!$D$3:$D$802,$A52))</f>
        <v/>
      </c>
      <c r="F52" s="13" t="str">
        <f aca="false">IF($A52="","",SUMIFS(출고내역!$G$3:$G$802,출고내역!$D$3:$D$802,$A52))</f>
        <v/>
      </c>
      <c r="G52" s="13" t="str">
        <f aca="false">IF($A52="","",SUMIFS(출고내역!$H$3:$H$802,출고내역!$D$3:$D$802,$A52))</f>
        <v/>
      </c>
      <c r="H52" s="13" t="str">
        <f aca="false">IF($A52="","",$F52+$G52)</f>
        <v/>
      </c>
      <c r="I52" s="13" t="str">
        <f aca="false">IF($A52="","",SUMIFS(재고조정!$E$3:$E$302,재고조정!$B$3:$B$302,$A52))</f>
        <v/>
      </c>
      <c r="J52" s="13" t="str">
        <f aca="false">IF($A52="","",$D52+$E52-$H52+$I52)</f>
        <v/>
      </c>
      <c r="K52" s="13" t="str">
        <f aca="false">IF($A52="","",SUMIFS(출고내역!$K$3:$K$802,출고내역!$D$3:$D$802,$A52))</f>
        <v/>
      </c>
    </row>
    <row r="53" customFormat="false" ht="15" hidden="false" customHeight="true" outlineLevel="0" collapsed="false">
      <c r="A53" s="12" t="str">
        <f aca="false">IF(품목마스터!$A50="","",품목마스터!$A50)</f>
        <v/>
      </c>
      <c r="B53" s="12" t="str">
        <f aca="false">IF($A53="","",품목마스터!$B50)</f>
        <v/>
      </c>
      <c r="C53" s="12" t="str">
        <f aca="false">IF($A53="","",품목마스터!$D50)</f>
        <v/>
      </c>
      <c r="D53" s="13" t="str">
        <f aca="false">IF($A53="","",IF(품목마스터!$E50="",0,품목마스터!$E50))</f>
        <v/>
      </c>
      <c r="E53" s="13" t="str">
        <f aca="false">IF($A53="","",SUMIFS(검수내역!$G$3:$G$802,검수내역!$D$3:$D$802,$A53))</f>
        <v/>
      </c>
      <c r="F53" s="13" t="str">
        <f aca="false">IF($A53="","",SUMIFS(출고내역!$G$3:$G$802,출고내역!$D$3:$D$802,$A53))</f>
        <v/>
      </c>
      <c r="G53" s="13" t="str">
        <f aca="false">IF($A53="","",SUMIFS(출고내역!$H$3:$H$802,출고내역!$D$3:$D$802,$A53))</f>
        <v/>
      </c>
      <c r="H53" s="13" t="str">
        <f aca="false">IF($A53="","",$F53+$G53)</f>
        <v/>
      </c>
      <c r="I53" s="13" t="str">
        <f aca="false">IF($A53="","",SUMIFS(재고조정!$E$3:$E$302,재고조정!$B$3:$B$302,$A53))</f>
        <v/>
      </c>
      <c r="J53" s="13" t="str">
        <f aca="false">IF($A53="","",$D53+$E53-$H53+$I53)</f>
        <v/>
      </c>
      <c r="K53" s="13" t="str">
        <f aca="false">IF($A53="","",SUMIFS(출고내역!$K$3:$K$802,출고내역!$D$3:$D$802,$A53))</f>
        <v/>
      </c>
    </row>
    <row r="54" customFormat="false" ht="15" hidden="false" customHeight="true" outlineLevel="0" collapsed="false">
      <c r="A54" s="12" t="str">
        <f aca="false">IF(품목마스터!$A51="","",품목마스터!$A51)</f>
        <v/>
      </c>
      <c r="B54" s="12" t="str">
        <f aca="false">IF($A54="","",품목마스터!$B51)</f>
        <v/>
      </c>
      <c r="C54" s="12" t="str">
        <f aca="false">IF($A54="","",품목마스터!$D51)</f>
        <v/>
      </c>
      <c r="D54" s="13" t="str">
        <f aca="false">IF($A54="","",IF(품목마스터!$E51="",0,품목마스터!$E51))</f>
        <v/>
      </c>
      <c r="E54" s="13" t="str">
        <f aca="false">IF($A54="","",SUMIFS(검수내역!$G$3:$G$802,검수내역!$D$3:$D$802,$A54))</f>
        <v/>
      </c>
      <c r="F54" s="13" t="str">
        <f aca="false">IF($A54="","",SUMIFS(출고내역!$G$3:$G$802,출고내역!$D$3:$D$802,$A54))</f>
        <v/>
      </c>
      <c r="G54" s="13" t="str">
        <f aca="false">IF($A54="","",SUMIFS(출고내역!$H$3:$H$802,출고내역!$D$3:$D$802,$A54))</f>
        <v/>
      </c>
      <c r="H54" s="13" t="str">
        <f aca="false">IF($A54="","",$F54+$G54)</f>
        <v/>
      </c>
      <c r="I54" s="13" t="str">
        <f aca="false">IF($A54="","",SUMIFS(재고조정!$E$3:$E$302,재고조정!$B$3:$B$302,$A54))</f>
        <v/>
      </c>
      <c r="J54" s="13" t="str">
        <f aca="false">IF($A54="","",$D54+$E54-$H54+$I54)</f>
        <v/>
      </c>
      <c r="K54" s="13" t="str">
        <f aca="false">IF($A54="","",SUMIFS(출고내역!$K$3:$K$802,출고내역!$D$3:$D$802,$A54))</f>
        <v/>
      </c>
    </row>
    <row r="55" customFormat="false" ht="15" hidden="false" customHeight="true" outlineLevel="0" collapsed="false">
      <c r="A55" s="12" t="str">
        <f aca="false">IF(품목마스터!$A52="","",품목마스터!$A52)</f>
        <v/>
      </c>
      <c r="B55" s="12" t="str">
        <f aca="false">IF($A55="","",품목마스터!$B52)</f>
        <v/>
      </c>
      <c r="C55" s="12" t="str">
        <f aca="false">IF($A55="","",품목마스터!$D52)</f>
        <v/>
      </c>
      <c r="D55" s="13" t="str">
        <f aca="false">IF($A55="","",IF(품목마스터!$E52="",0,품목마스터!$E52))</f>
        <v/>
      </c>
      <c r="E55" s="13" t="str">
        <f aca="false">IF($A55="","",SUMIFS(검수내역!$G$3:$G$802,검수내역!$D$3:$D$802,$A55))</f>
        <v/>
      </c>
      <c r="F55" s="13" t="str">
        <f aca="false">IF($A55="","",SUMIFS(출고내역!$G$3:$G$802,출고내역!$D$3:$D$802,$A55))</f>
        <v/>
      </c>
      <c r="G55" s="13" t="str">
        <f aca="false">IF($A55="","",SUMIFS(출고내역!$H$3:$H$802,출고내역!$D$3:$D$802,$A55))</f>
        <v/>
      </c>
      <c r="H55" s="13" t="str">
        <f aca="false">IF($A55="","",$F55+$G55)</f>
        <v/>
      </c>
      <c r="I55" s="13" t="str">
        <f aca="false">IF($A55="","",SUMIFS(재고조정!$E$3:$E$302,재고조정!$B$3:$B$302,$A55))</f>
        <v/>
      </c>
      <c r="J55" s="13" t="str">
        <f aca="false">IF($A55="","",$D55+$E55-$H55+$I55)</f>
        <v/>
      </c>
      <c r="K55" s="13" t="str">
        <f aca="false">IF($A55="","",SUMIFS(출고내역!$K$3:$K$802,출고내역!$D$3:$D$802,$A55))</f>
        <v/>
      </c>
    </row>
    <row r="56" customFormat="false" ht="15" hidden="false" customHeight="true" outlineLevel="0" collapsed="false">
      <c r="A56" s="12" t="str">
        <f aca="false">IF(품목마스터!$A53="","",품목마스터!$A53)</f>
        <v/>
      </c>
      <c r="B56" s="12" t="str">
        <f aca="false">IF($A56="","",품목마스터!$B53)</f>
        <v/>
      </c>
      <c r="C56" s="12" t="str">
        <f aca="false">IF($A56="","",품목마스터!$D53)</f>
        <v/>
      </c>
      <c r="D56" s="13" t="str">
        <f aca="false">IF($A56="","",IF(품목마스터!$E53="",0,품목마스터!$E53))</f>
        <v/>
      </c>
      <c r="E56" s="13" t="str">
        <f aca="false">IF($A56="","",SUMIFS(검수내역!$G$3:$G$802,검수내역!$D$3:$D$802,$A56))</f>
        <v/>
      </c>
      <c r="F56" s="13" t="str">
        <f aca="false">IF($A56="","",SUMIFS(출고내역!$G$3:$G$802,출고내역!$D$3:$D$802,$A56))</f>
        <v/>
      </c>
      <c r="G56" s="13" t="str">
        <f aca="false">IF($A56="","",SUMIFS(출고내역!$H$3:$H$802,출고내역!$D$3:$D$802,$A56))</f>
        <v/>
      </c>
      <c r="H56" s="13" t="str">
        <f aca="false">IF($A56="","",$F56+$G56)</f>
        <v/>
      </c>
      <c r="I56" s="13" t="str">
        <f aca="false">IF($A56="","",SUMIFS(재고조정!$E$3:$E$302,재고조정!$B$3:$B$302,$A56))</f>
        <v/>
      </c>
      <c r="J56" s="13" t="str">
        <f aca="false">IF($A56="","",$D56+$E56-$H56+$I56)</f>
        <v/>
      </c>
      <c r="K56" s="13" t="str">
        <f aca="false">IF($A56="","",SUMIFS(출고내역!$K$3:$K$802,출고내역!$D$3:$D$802,$A56))</f>
        <v/>
      </c>
    </row>
    <row r="57" customFormat="false" ht="15" hidden="false" customHeight="true" outlineLevel="0" collapsed="false">
      <c r="A57" s="12" t="str">
        <f aca="false">IF(품목마스터!$A54="","",품목마스터!$A54)</f>
        <v/>
      </c>
      <c r="B57" s="12" t="str">
        <f aca="false">IF($A57="","",품목마스터!$B54)</f>
        <v/>
      </c>
      <c r="C57" s="12" t="str">
        <f aca="false">IF($A57="","",품목마스터!$D54)</f>
        <v/>
      </c>
      <c r="D57" s="13" t="str">
        <f aca="false">IF($A57="","",IF(품목마스터!$E54="",0,품목마스터!$E54))</f>
        <v/>
      </c>
      <c r="E57" s="13" t="str">
        <f aca="false">IF($A57="","",SUMIFS(검수내역!$G$3:$G$802,검수내역!$D$3:$D$802,$A57))</f>
        <v/>
      </c>
      <c r="F57" s="13" t="str">
        <f aca="false">IF($A57="","",SUMIFS(출고내역!$G$3:$G$802,출고내역!$D$3:$D$802,$A57))</f>
        <v/>
      </c>
      <c r="G57" s="13" t="str">
        <f aca="false">IF($A57="","",SUMIFS(출고내역!$H$3:$H$802,출고내역!$D$3:$D$802,$A57))</f>
        <v/>
      </c>
      <c r="H57" s="13" t="str">
        <f aca="false">IF($A57="","",$F57+$G57)</f>
        <v/>
      </c>
      <c r="I57" s="13" t="str">
        <f aca="false">IF($A57="","",SUMIFS(재고조정!$E$3:$E$302,재고조정!$B$3:$B$302,$A57))</f>
        <v/>
      </c>
      <c r="J57" s="13" t="str">
        <f aca="false">IF($A57="","",$D57+$E57-$H57+$I57)</f>
        <v/>
      </c>
      <c r="K57" s="13" t="str">
        <f aca="false">IF($A57="","",SUMIFS(출고내역!$K$3:$K$802,출고내역!$D$3:$D$802,$A57))</f>
        <v/>
      </c>
    </row>
    <row r="58" customFormat="false" ht="15" hidden="false" customHeight="true" outlineLevel="0" collapsed="false">
      <c r="A58" s="12" t="str">
        <f aca="false">IF(품목마스터!$A55="","",품목마스터!$A55)</f>
        <v/>
      </c>
      <c r="B58" s="12" t="str">
        <f aca="false">IF($A58="","",품목마스터!$B55)</f>
        <v/>
      </c>
      <c r="C58" s="12" t="str">
        <f aca="false">IF($A58="","",품목마스터!$D55)</f>
        <v/>
      </c>
      <c r="D58" s="13" t="str">
        <f aca="false">IF($A58="","",IF(품목마스터!$E55="",0,품목마스터!$E55))</f>
        <v/>
      </c>
      <c r="E58" s="13" t="str">
        <f aca="false">IF($A58="","",SUMIFS(검수내역!$G$3:$G$802,검수내역!$D$3:$D$802,$A58))</f>
        <v/>
      </c>
      <c r="F58" s="13" t="str">
        <f aca="false">IF($A58="","",SUMIFS(출고내역!$G$3:$G$802,출고내역!$D$3:$D$802,$A58))</f>
        <v/>
      </c>
      <c r="G58" s="13" t="str">
        <f aca="false">IF($A58="","",SUMIFS(출고내역!$H$3:$H$802,출고내역!$D$3:$D$802,$A58))</f>
        <v/>
      </c>
      <c r="H58" s="13" t="str">
        <f aca="false">IF($A58="","",$F58+$G58)</f>
        <v/>
      </c>
      <c r="I58" s="13" t="str">
        <f aca="false">IF($A58="","",SUMIFS(재고조정!$E$3:$E$302,재고조정!$B$3:$B$302,$A58))</f>
        <v/>
      </c>
      <c r="J58" s="13" t="str">
        <f aca="false">IF($A58="","",$D58+$E58-$H58+$I58)</f>
        <v/>
      </c>
      <c r="K58" s="13" t="str">
        <f aca="false">IF($A58="","",SUMIFS(출고내역!$K$3:$K$802,출고내역!$D$3:$D$802,$A58))</f>
        <v/>
      </c>
    </row>
    <row r="59" customFormat="false" ht="15" hidden="false" customHeight="true" outlineLevel="0" collapsed="false">
      <c r="A59" s="12" t="str">
        <f aca="false">IF(품목마스터!$A56="","",품목마스터!$A56)</f>
        <v/>
      </c>
      <c r="B59" s="12" t="str">
        <f aca="false">IF($A59="","",품목마스터!$B56)</f>
        <v/>
      </c>
      <c r="C59" s="12" t="str">
        <f aca="false">IF($A59="","",품목마스터!$D56)</f>
        <v/>
      </c>
      <c r="D59" s="13" t="str">
        <f aca="false">IF($A59="","",IF(품목마스터!$E56="",0,품목마스터!$E56))</f>
        <v/>
      </c>
      <c r="E59" s="13" t="str">
        <f aca="false">IF($A59="","",SUMIFS(검수내역!$G$3:$G$802,검수내역!$D$3:$D$802,$A59))</f>
        <v/>
      </c>
      <c r="F59" s="13" t="str">
        <f aca="false">IF($A59="","",SUMIFS(출고내역!$G$3:$G$802,출고내역!$D$3:$D$802,$A59))</f>
        <v/>
      </c>
      <c r="G59" s="13" t="str">
        <f aca="false">IF($A59="","",SUMIFS(출고내역!$H$3:$H$802,출고내역!$D$3:$D$802,$A59))</f>
        <v/>
      </c>
      <c r="H59" s="13" t="str">
        <f aca="false">IF($A59="","",$F59+$G59)</f>
        <v/>
      </c>
      <c r="I59" s="13" t="str">
        <f aca="false">IF($A59="","",SUMIFS(재고조정!$E$3:$E$302,재고조정!$B$3:$B$302,$A59))</f>
        <v/>
      </c>
      <c r="J59" s="13" t="str">
        <f aca="false">IF($A59="","",$D59+$E59-$H59+$I59)</f>
        <v/>
      </c>
      <c r="K59" s="13" t="str">
        <f aca="false">IF($A59="","",SUMIFS(출고내역!$K$3:$K$802,출고내역!$D$3:$D$802,$A59))</f>
        <v/>
      </c>
    </row>
    <row r="60" customFormat="false" ht="15" hidden="false" customHeight="true" outlineLevel="0" collapsed="false">
      <c r="A60" s="12" t="str">
        <f aca="false">IF(품목마스터!$A57="","",품목마스터!$A57)</f>
        <v/>
      </c>
      <c r="B60" s="12" t="str">
        <f aca="false">IF($A60="","",품목마스터!$B57)</f>
        <v/>
      </c>
      <c r="C60" s="12" t="str">
        <f aca="false">IF($A60="","",품목마스터!$D57)</f>
        <v/>
      </c>
      <c r="D60" s="13" t="str">
        <f aca="false">IF($A60="","",IF(품목마스터!$E57="",0,품목마스터!$E57))</f>
        <v/>
      </c>
      <c r="E60" s="13" t="str">
        <f aca="false">IF($A60="","",SUMIFS(검수내역!$G$3:$G$802,검수내역!$D$3:$D$802,$A60))</f>
        <v/>
      </c>
      <c r="F60" s="13" t="str">
        <f aca="false">IF($A60="","",SUMIFS(출고내역!$G$3:$G$802,출고내역!$D$3:$D$802,$A60))</f>
        <v/>
      </c>
      <c r="G60" s="13" t="str">
        <f aca="false">IF($A60="","",SUMIFS(출고내역!$H$3:$H$802,출고내역!$D$3:$D$802,$A60))</f>
        <v/>
      </c>
      <c r="H60" s="13" t="str">
        <f aca="false">IF($A60="","",$F60+$G60)</f>
        <v/>
      </c>
      <c r="I60" s="13" t="str">
        <f aca="false">IF($A60="","",SUMIFS(재고조정!$E$3:$E$302,재고조정!$B$3:$B$302,$A60))</f>
        <v/>
      </c>
      <c r="J60" s="13" t="str">
        <f aca="false">IF($A60="","",$D60+$E60-$H60+$I60)</f>
        <v/>
      </c>
      <c r="K60" s="13" t="str">
        <f aca="false">IF($A60="","",SUMIFS(출고내역!$K$3:$K$802,출고내역!$D$3:$D$802,$A60))</f>
        <v/>
      </c>
    </row>
    <row r="61" customFormat="false" ht="15" hidden="false" customHeight="true" outlineLevel="0" collapsed="false">
      <c r="A61" s="12" t="str">
        <f aca="false">IF(품목마스터!$A58="","",품목마스터!$A58)</f>
        <v/>
      </c>
      <c r="B61" s="12" t="str">
        <f aca="false">IF($A61="","",품목마스터!$B58)</f>
        <v/>
      </c>
      <c r="C61" s="12" t="str">
        <f aca="false">IF($A61="","",품목마스터!$D58)</f>
        <v/>
      </c>
      <c r="D61" s="13" t="str">
        <f aca="false">IF($A61="","",IF(품목마스터!$E58="",0,품목마스터!$E58))</f>
        <v/>
      </c>
      <c r="E61" s="13" t="str">
        <f aca="false">IF($A61="","",SUMIFS(검수내역!$G$3:$G$802,검수내역!$D$3:$D$802,$A61))</f>
        <v/>
      </c>
      <c r="F61" s="13" t="str">
        <f aca="false">IF($A61="","",SUMIFS(출고내역!$G$3:$G$802,출고내역!$D$3:$D$802,$A61))</f>
        <v/>
      </c>
      <c r="G61" s="13" t="str">
        <f aca="false">IF($A61="","",SUMIFS(출고내역!$H$3:$H$802,출고내역!$D$3:$D$802,$A61))</f>
        <v/>
      </c>
      <c r="H61" s="13" t="str">
        <f aca="false">IF($A61="","",$F61+$G61)</f>
        <v/>
      </c>
      <c r="I61" s="13" t="str">
        <f aca="false">IF($A61="","",SUMIFS(재고조정!$E$3:$E$302,재고조정!$B$3:$B$302,$A61))</f>
        <v/>
      </c>
      <c r="J61" s="13" t="str">
        <f aca="false">IF($A61="","",$D61+$E61-$H61+$I61)</f>
        <v/>
      </c>
      <c r="K61" s="13" t="str">
        <f aca="false">IF($A61="","",SUMIFS(출고내역!$K$3:$K$802,출고내역!$D$3:$D$802,$A61))</f>
        <v/>
      </c>
    </row>
    <row r="62" customFormat="false" ht="15" hidden="false" customHeight="true" outlineLevel="0" collapsed="false">
      <c r="A62" s="12" t="str">
        <f aca="false">IF(품목마스터!$A59="","",품목마스터!$A59)</f>
        <v/>
      </c>
      <c r="B62" s="12" t="str">
        <f aca="false">IF($A62="","",품목마스터!$B59)</f>
        <v/>
      </c>
      <c r="C62" s="12" t="str">
        <f aca="false">IF($A62="","",품목마스터!$D59)</f>
        <v/>
      </c>
      <c r="D62" s="13" t="str">
        <f aca="false">IF($A62="","",IF(품목마스터!$E59="",0,품목마스터!$E59))</f>
        <v/>
      </c>
      <c r="E62" s="13" t="str">
        <f aca="false">IF($A62="","",SUMIFS(검수내역!$G$3:$G$802,검수내역!$D$3:$D$802,$A62))</f>
        <v/>
      </c>
      <c r="F62" s="13" t="str">
        <f aca="false">IF($A62="","",SUMIFS(출고내역!$G$3:$G$802,출고내역!$D$3:$D$802,$A62))</f>
        <v/>
      </c>
      <c r="G62" s="13" t="str">
        <f aca="false">IF($A62="","",SUMIFS(출고내역!$H$3:$H$802,출고내역!$D$3:$D$802,$A62))</f>
        <v/>
      </c>
      <c r="H62" s="13" t="str">
        <f aca="false">IF($A62="","",$F62+$G62)</f>
        <v/>
      </c>
      <c r="I62" s="13" t="str">
        <f aca="false">IF($A62="","",SUMIFS(재고조정!$E$3:$E$302,재고조정!$B$3:$B$302,$A62))</f>
        <v/>
      </c>
      <c r="J62" s="13" t="str">
        <f aca="false">IF($A62="","",$D62+$E62-$H62+$I62)</f>
        <v/>
      </c>
      <c r="K62" s="13" t="str">
        <f aca="false">IF($A62="","",SUMIFS(출고내역!$K$3:$K$802,출고내역!$D$3:$D$802,$A62))</f>
        <v/>
      </c>
    </row>
    <row r="63" customFormat="false" ht="15" hidden="false" customHeight="true" outlineLevel="0" collapsed="false">
      <c r="A63" s="12" t="str">
        <f aca="false">IF(품목마스터!$A60="","",품목마스터!$A60)</f>
        <v/>
      </c>
      <c r="B63" s="12" t="str">
        <f aca="false">IF($A63="","",품목마스터!$B60)</f>
        <v/>
      </c>
      <c r="C63" s="12" t="str">
        <f aca="false">IF($A63="","",품목마스터!$D60)</f>
        <v/>
      </c>
      <c r="D63" s="13" t="str">
        <f aca="false">IF($A63="","",IF(품목마스터!$E60="",0,품목마스터!$E60))</f>
        <v/>
      </c>
      <c r="E63" s="13" t="str">
        <f aca="false">IF($A63="","",SUMIFS(검수내역!$G$3:$G$802,검수내역!$D$3:$D$802,$A63))</f>
        <v/>
      </c>
      <c r="F63" s="13" t="str">
        <f aca="false">IF($A63="","",SUMIFS(출고내역!$G$3:$G$802,출고내역!$D$3:$D$802,$A63))</f>
        <v/>
      </c>
      <c r="G63" s="13" t="str">
        <f aca="false">IF($A63="","",SUMIFS(출고내역!$H$3:$H$802,출고내역!$D$3:$D$802,$A63))</f>
        <v/>
      </c>
      <c r="H63" s="13" t="str">
        <f aca="false">IF($A63="","",$F63+$G63)</f>
        <v/>
      </c>
      <c r="I63" s="13" t="str">
        <f aca="false">IF($A63="","",SUMIFS(재고조정!$E$3:$E$302,재고조정!$B$3:$B$302,$A63))</f>
        <v/>
      </c>
      <c r="J63" s="13" t="str">
        <f aca="false">IF($A63="","",$D63+$E63-$H63+$I63)</f>
        <v/>
      </c>
      <c r="K63" s="13" t="str">
        <f aca="false">IF($A63="","",SUMIFS(출고내역!$K$3:$K$802,출고내역!$D$3:$D$802,$A63))</f>
        <v/>
      </c>
    </row>
    <row r="64" customFormat="false" ht="15" hidden="false" customHeight="true" outlineLevel="0" collapsed="false">
      <c r="A64" s="12" t="str">
        <f aca="false">IF(품목마스터!$A61="","",품목마스터!$A61)</f>
        <v/>
      </c>
      <c r="B64" s="12" t="str">
        <f aca="false">IF($A64="","",품목마스터!$B61)</f>
        <v/>
      </c>
      <c r="C64" s="12" t="str">
        <f aca="false">IF($A64="","",품목마스터!$D61)</f>
        <v/>
      </c>
      <c r="D64" s="13" t="str">
        <f aca="false">IF($A64="","",IF(품목마스터!$E61="",0,품목마스터!$E61))</f>
        <v/>
      </c>
      <c r="E64" s="13" t="str">
        <f aca="false">IF($A64="","",SUMIFS(검수내역!$G$3:$G$802,검수내역!$D$3:$D$802,$A64))</f>
        <v/>
      </c>
      <c r="F64" s="13" t="str">
        <f aca="false">IF($A64="","",SUMIFS(출고내역!$G$3:$G$802,출고내역!$D$3:$D$802,$A64))</f>
        <v/>
      </c>
      <c r="G64" s="13" t="str">
        <f aca="false">IF($A64="","",SUMIFS(출고내역!$H$3:$H$802,출고내역!$D$3:$D$802,$A64))</f>
        <v/>
      </c>
      <c r="H64" s="13" t="str">
        <f aca="false">IF($A64="","",$F64+$G64)</f>
        <v/>
      </c>
      <c r="I64" s="13" t="str">
        <f aca="false">IF($A64="","",SUMIFS(재고조정!$E$3:$E$302,재고조정!$B$3:$B$302,$A64))</f>
        <v/>
      </c>
      <c r="J64" s="13" t="str">
        <f aca="false">IF($A64="","",$D64+$E64-$H64+$I64)</f>
        <v/>
      </c>
      <c r="K64" s="13" t="str">
        <f aca="false">IF($A64="","",SUMIFS(출고내역!$K$3:$K$802,출고내역!$D$3:$D$802,$A64))</f>
        <v/>
      </c>
    </row>
    <row r="65" customFormat="false" ht="15" hidden="false" customHeight="true" outlineLevel="0" collapsed="false">
      <c r="A65" s="12" t="str">
        <f aca="false">IF(품목마스터!$A62="","",품목마스터!$A62)</f>
        <v/>
      </c>
      <c r="B65" s="12" t="str">
        <f aca="false">IF($A65="","",품목마스터!$B62)</f>
        <v/>
      </c>
      <c r="C65" s="12" t="str">
        <f aca="false">IF($A65="","",품목마스터!$D62)</f>
        <v/>
      </c>
      <c r="D65" s="13" t="str">
        <f aca="false">IF($A65="","",IF(품목마스터!$E62="",0,품목마스터!$E62))</f>
        <v/>
      </c>
      <c r="E65" s="13" t="str">
        <f aca="false">IF($A65="","",SUMIFS(검수내역!$G$3:$G$802,검수내역!$D$3:$D$802,$A65))</f>
        <v/>
      </c>
      <c r="F65" s="13" t="str">
        <f aca="false">IF($A65="","",SUMIFS(출고내역!$G$3:$G$802,출고내역!$D$3:$D$802,$A65))</f>
        <v/>
      </c>
      <c r="G65" s="13" t="str">
        <f aca="false">IF($A65="","",SUMIFS(출고내역!$H$3:$H$802,출고내역!$D$3:$D$802,$A65))</f>
        <v/>
      </c>
      <c r="H65" s="13" t="str">
        <f aca="false">IF($A65="","",$F65+$G65)</f>
        <v/>
      </c>
      <c r="I65" s="13" t="str">
        <f aca="false">IF($A65="","",SUMIFS(재고조정!$E$3:$E$302,재고조정!$B$3:$B$302,$A65))</f>
        <v/>
      </c>
      <c r="J65" s="13" t="str">
        <f aca="false">IF($A65="","",$D65+$E65-$H65+$I65)</f>
        <v/>
      </c>
      <c r="K65" s="13" t="str">
        <f aca="false">IF($A65="","",SUMIFS(출고내역!$K$3:$K$802,출고내역!$D$3:$D$802,$A65))</f>
        <v/>
      </c>
    </row>
    <row r="66" customFormat="false" ht="15" hidden="false" customHeight="true" outlineLevel="0" collapsed="false">
      <c r="A66" s="12" t="str">
        <f aca="false">IF(품목마스터!$A63="","",품목마스터!$A63)</f>
        <v/>
      </c>
      <c r="B66" s="12" t="str">
        <f aca="false">IF($A66="","",품목마스터!$B63)</f>
        <v/>
      </c>
      <c r="C66" s="12" t="str">
        <f aca="false">IF($A66="","",품목마스터!$D63)</f>
        <v/>
      </c>
      <c r="D66" s="13" t="str">
        <f aca="false">IF($A66="","",IF(품목마스터!$E63="",0,품목마스터!$E63))</f>
        <v/>
      </c>
      <c r="E66" s="13" t="str">
        <f aca="false">IF($A66="","",SUMIFS(검수내역!$G$3:$G$802,검수내역!$D$3:$D$802,$A66))</f>
        <v/>
      </c>
      <c r="F66" s="13" t="str">
        <f aca="false">IF($A66="","",SUMIFS(출고내역!$G$3:$G$802,출고내역!$D$3:$D$802,$A66))</f>
        <v/>
      </c>
      <c r="G66" s="13" t="str">
        <f aca="false">IF($A66="","",SUMIFS(출고내역!$H$3:$H$802,출고내역!$D$3:$D$802,$A66))</f>
        <v/>
      </c>
      <c r="H66" s="13" t="str">
        <f aca="false">IF($A66="","",$F66+$G66)</f>
        <v/>
      </c>
      <c r="I66" s="13" t="str">
        <f aca="false">IF($A66="","",SUMIFS(재고조정!$E$3:$E$302,재고조정!$B$3:$B$302,$A66))</f>
        <v/>
      </c>
      <c r="J66" s="13" t="str">
        <f aca="false">IF($A66="","",$D66+$E66-$H66+$I66)</f>
        <v/>
      </c>
      <c r="K66" s="13" t="str">
        <f aca="false">IF($A66="","",SUMIFS(출고내역!$K$3:$K$802,출고내역!$D$3:$D$802,$A66))</f>
        <v/>
      </c>
    </row>
    <row r="67" customFormat="false" ht="15" hidden="false" customHeight="true" outlineLevel="0" collapsed="false">
      <c r="A67" s="12" t="str">
        <f aca="false">IF(품목마스터!$A64="","",품목마스터!$A64)</f>
        <v/>
      </c>
      <c r="B67" s="12" t="str">
        <f aca="false">IF($A67="","",품목마스터!$B64)</f>
        <v/>
      </c>
      <c r="C67" s="12" t="str">
        <f aca="false">IF($A67="","",품목마스터!$D64)</f>
        <v/>
      </c>
      <c r="D67" s="13" t="str">
        <f aca="false">IF($A67="","",IF(품목마스터!$E64="",0,품목마스터!$E64))</f>
        <v/>
      </c>
      <c r="E67" s="13" t="str">
        <f aca="false">IF($A67="","",SUMIFS(검수내역!$G$3:$G$802,검수내역!$D$3:$D$802,$A67))</f>
        <v/>
      </c>
      <c r="F67" s="13" t="str">
        <f aca="false">IF($A67="","",SUMIFS(출고내역!$G$3:$G$802,출고내역!$D$3:$D$802,$A67))</f>
        <v/>
      </c>
      <c r="G67" s="13" t="str">
        <f aca="false">IF($A67="","",SUMIFS(출고내역!$H$3:$H$802,출고내역!$D$3:$D$802,$A67))</f>
        <v/>
      </c>
      <c r="H67" s="13" t="str">
        <f aca="false">IF($A67="","",$F67+$G67)</f>
        <v/>
      </c>
      <c r="I67" s="13" t="str">
        <f aca="false">IF($A67="","",SUMIFS(재고조정!$E$3:$E$302,재고조정!$B$3:$B$302,$A67))</f>
        <v/>
      </c>
      <c r="J67" s="13" t="str">
        <f aca="false">IF($A67="","",$D67+$E67-$H67+$I67)</f>
        <v/>
      </c>
      <c r="K67" s="13" t="str">
        <f aca="false">IF($A67="","",SUMIFS(출고내역!$K$3:$K$802,출고내역!$D$3:$D$802,$A67))</f>
        <v/>
      </c>
    </row>
    <row r="68" customFormat="false" ht="15" hidden="false" customHeight="true" outlineLevel="0" collapsed="false">
      <c r="A68" s="12" t="str">
        <f aca="false">IF(품목마스터!$A65="","",품목마스터!$A65)</f>
        <v/>
      </c>
      <c r="B68" s="12" t="str">
        <f aca="false">IF($A68="","",품목마스터!$B65)</f>
        <v/>
      </c>
      <c r="C68" s="12" t="str">
        <f aca="false">IF($A68="","",품목마스터!$D65)</f>
        <v/>
      </c>
      <c r="D68" s="13" t="str">
        <f aca="false">IF($A68="","",IF(품목마스터!$E65="",0,품목마스터!$E65))</f>
        <v/>
      </c>
      <c r="E68" s="13" t="str">
        <f aca="false">IF($A68="","",SUMIFS(검수내역!$G$3:$G$802,검수내역!$D$3:$D$802,$A68))</f>
        <v/>
      </c>
      <c r="F68" s="13" t="str">
        <f aca="false">IF($A68="","",SUMIFS(출고내역!$G$3:$G$802,출고내역!$D$3:$D$802,$A68))</f>
        <v/>
      </c>
      <c r="G68" s="13" t="str">
        <f aca="false">IF($A68="","",SUMIFS(출고내역!$H$3:$H$802,출고내역!$D$3:$D$802,$A68))</f>
        <v/>
      </c>
      <c r="H68" s="13" t="str">
        <f aca="false">IF($A68="","",$F68+$G68)</f>
        <v/>
      </c>
      <c r="I68" s="13" t="str">
        <f aca="false">IF($A68="","",SUMIFS(재고조정!$E$3:$E$302,재고조정!$B$3:$B$302,$A68))</f>
        <v/>
      </c>
      <c r="J68" s="13" t="str">
        <f aca="false">IF($A68="","",$D68+$E68-$H68+$I68)</f>
        <v/>
      </c>
      <c r="K68" s="13" t="str">
        <f aca="false">IF($A68="","",SUMIFS(출고내역!$K$3:$K$802,출고내역!$D$3:$D$802,$A68))</f>
        <v/>
      </c>
    </row>
    <row r="69" customFormat="false" ht="15" hidden="false" customHeight="true" outlineLevel="0" collapsed="false">
      <c r="A69" s="12" t="str">
        <f aca="false">IF(품목마스터!$A66="","",품목마스터!$A66)</f>
        <v/>
      </c>
      <c r="B69" s="12" t="str">
        <f aca="false">IF($A69="","",품목마스터!$B66)</f>
        <v/>
      </c>
      <c r="C69" s="12" t="str">
        <f aca="false">IF($A69="","",품목마스터!$D66)</f>
        <v/>
      </c>
      <c r="D69" s="13" t="str">
        <f aca="false">IF($A69="","",IF(품목마스터!$E66="",0,품목마스터!$E66))</f>
        <v/>
      </c>
      <c r="E69" s="13" t="str">
        <f aca="false">IF($A69="","",SUMIFS(검수내역!$G$3:$G$802,검수내역!$D$3:$D$802,$A69))</f>
        <v/>
      </c>
      <c r="F69" s="13" t="str">
        <f aca="false">IF($A69="","",SUMIFS(출고내역!$G$3:$G$802,출고내역!$D$3:$D$802,$A69))</f>
        <v/>
      </c>
      <c r="G69" s="13" t="str">
        <f aca="false">IF($A69="","",SUMIFS(출고내역!$H$3:$H$802,출고내역!$D$3:$D$802,$A69))</f>
        <v/>
      </c>
      <c r="H69" s="13" t="str">
        <f aca="false">IF($A69="","",$F69+$G69)</f>
        <v/>
      </c>
      <c r="I69" s="13" t="str">
        <f aca="false">IF($A69="","",SUMIFS(재고조정!$E$3:$E$302,재고조정!$B$3:$B$302,$A69))</f>
        <v/>
      </c>
      <c r="J69" s="13" t="str">
        <f aca="false">IF($A69="","",$D69+$E69-$H69+$I69)</f>
        <v/>
      </c>
      <c r="K69" s="13" t="str">
        <f aca="false">IF($A69="","",SUMIFS(출고내역!$K$3:$K$802,출고내역!$D$3:$D$802,$A69))</f>
        <v/>
      </c>
    </row>
    <row r="70" customFormat="false" ht="15" hidden="false" customHeight="true" outlineLevel="0" collapsed="false">
      <c r="A70" s="12" t="str">
        <f aca="false">IF(품목마스터!$A67="","",품목마스터!$A67)</f>
        <v/>
      </c>
      <c r="B70" s="12" t="str">
        <f aca="false">IF($A70="","",품목마스터!$B67)</f>
        <v/>
      </c>
      <c r="C70" s="12" t="str">
        <f aca="false">IF($A70="","",품목마스터!$D67)</f>
        <v/>
      </c>
      <c r="D70" s="13" t="str">
        <f aca="false">IF($A70="","",IF(품목마스터!$E67="",0,품목마스터!$E67))</f>
        <v/>
      </c>
      <c r="E70" s="13" t="str">
        <f aca="false">IF($A70="","",SUMIFS(검수내역!$G$3:$G$802,검수내역!$D$3:$D$802,$A70))</f>
        <v/>
      </c>
      <c r="F70" s="13" t="str">
        <f aca="false">IF($A70="","",SUMIFS(출고내역!$G$3:$G$802,출고내역!$D$3:$D$802,$A70))</f>
        <v/>
      </c>
      <c r="G70" s="13" t="str">
        <f aca="false">IF($A70="","",SUMIFS(출고내역!$H$3:$H$802,출고내역!$D$3:$D$802,$A70))</f>
        <v/>
      </c>
      <c r="H70" s="13" t="str">
        <f aca="false">IF($A70="","",$F70+$G70)</f>
        <v/>
      </c>
      <c r="I70" s="13" t="str">
        <f aca="false">IF($A70="","",SUMIFS(재고조정!$E$3:$E$302,재고조정!$B$3:$B$302,$A70))</f>
        <v/>
      </c>
      <c r="J70" s="13" t="str">
        <f aca="false">IF($A70="","",$D70+$E70-$H70+$I70)</f>
        <v/>
      </c>
      <c r="K70" s="13" t="str">
        <f aca="false">IF($A70="","",SUMIFS(출고내역!$K$3:$K$802,출고내역!$D$3:$D$802,$A70))</f>
        <v/>
      </c>
    </row>
    <row r="71" customFormat="false" ht="15" hidden="false" customHeight="true" outlineLevel="0" collapsed="false">
      <c r="A71" s="12" t="str">
        <f aca="false">IF(품목마스터!$A68="","",품목마스터!$A68)</f>
        <v/>
      </c>
      <c r="B71" s="12" t="str">
        <f aca="false">IF($A71="","",품목마스터!$B68)</f>
        <v/>
      </c>
      <c r="C71" s="12" t="str">
        <f aca="false">IF($A71="","",품목마스터!$D68)</f>
        <v/>
      </c>
      <c r="D71" s="13" t="str">
        <f aca="false">IF($A71="","",IF(품목마스터!$E68="",0,품목마스터!$E68))</f>
        <v/>
      </c>
      <c r="E71" s="13" t="str">
        <f aca="false">IF($A71="","",SUMIFS(검수내역!$G$3:$G$802,검수내역!$D$3:$D$802,$A71))</f>
        <v/>
      </c>
      <c r="F71" s="13" t="str">
        <f aca="false">IF($A71="","",SUMIFS(출고내역!$G$3:$G$802,출고내역!$D$3:$D$802,$A71))</f>
        <v/>
      </c>
      <c r="G71" s="13" t="str">
        <f aca="false">IF($A71="","",SUMIFS(출고내역!$H$3:$H$802,출고내역!$D$3:$D$802,$A71))</f>
        <v/>
      </c>
      <c r="H71" s="13" t="str">
        <f aca="false">IF($A71="","",$F71+$G71)</f>
        <v/>
      </c>
      <c r="I71" s="13" t="str">
        <f aca="false">IF($A71="","",SUMIFS(재고조정!$E$3:$E$302,재고조정!$B$3:$B$302,$A71))</f>
        <v/>
      </c>
      <c r="J71" s="13" t="str">
        <f aca="false">IF($A71="","",$D71+$E71-$H71+$I71)</f>
        <v/>
      </c>
      <c r="K71" s="13" t="str">
        <f aca="false">IF($A71="","",SUMIFS(출고내역!$K$3:$K$802,출고내역!$D$3:$D$802,$A71))</f>
        <v/>
      </c>
    </row>
    <row r="72" customFormat="false" ht="15" hidden="false" customHeight="true" outlineLevel="0" collapsed="false">
      <c r="A72" s="12" t="str">
        <f aca="false">IF(품목마스터!$A69="","",품목마스터!$A69)</f>
        <v/>
      </c>
      <c r="B72" s="12" t="str">
        <f aca="false">IF($A72="","",품목마스터!$B69)</f>
        <v/>
      </c>
      <c r="C72" s="12" t="str">
        <f aca="false">IF($A72="","",품목마스터!$D69)</f>
        <v/>
      </c>
      <c r="D72" s="13" t="str">
        <f aca="false">IF($A72="","",IF(품목마스터!$E69="",0,품목마스터!$E69))</f>
        <v/>
      </c>
      <c r="E72" s="13" t="str">
        <f aca="false">IF($A72="","",SUMIFS(검수내역!$G$3:$G$802,검수내역!$D$3:$D$802,$A72))</f>
        <v/>
      </c>
      <c r="F72" s="13" t="str">
        <f aca="false">IF($A72="","",SUMIFS(출고내역!$G$3:$G$802,출고내역!$D$3:$D$802,$A72))</f>
        <v/>
      </c>
      <c r="G72" s="13" t="str">
        <f aca="false">IF($A72="","",SUMIFS(출고내역!$H$3:$H$802,출고내역!$D$3:$D$802,$A72))</f>
        <v/>
      </c>
      <c r="H72" s="13" t="str">
        <f aca="false">IF($A72="","",$F72+$G72)</f>
        <v/>
      </c>
      <c r="I72" s="13" t="str">
        <f aca="false">IF($A72="","",SUMIFS(재고조정!$E$3:$E$302,재고조정!$B$3:$B$302,$A72))</f>
        <v/>
      </c>
      <c r="J72" s="13" t="str">
        <f aca="false">IF($A72="","",$D72+$E72-$H72+$I72)</f>
        <v/>
      </c>
      <c r="K72" s="13" t="str">
        <f aca="false">IF($A72="","",SUMIFS(출고내역!$K$3:$K$802,출고내역!$D$3:$D$802,$A72))</f>
        <v/>
      </c>
    </row>
    <row r="73" customFormat="false" ht="15" hidden="false" customHeight="true" outlineLevel="0" collapsed="false">
      <c r="A73" s="12" t="str">
        <f aca="false">IF(품목마스터!$A70="","",품목마스터!$A70)</f>
        <v/>
      </c>
      <c r="B73" s="12" t="str">
        <f aca="false">IF($A73="","",품목마스터!$B70)</f>
        <v/>
      </c>
      <c r="C73" s="12" t="str">
        <f aca="false">IF($A73="","",품목마스터!$D70)</f>
        <v/>
      </c>
      <c r="D73" s="13" t="str">
        <f aca="false">IF($A73="","",IF(품목마스터!$E70="",0,품목마스터!$E70))</f>
        <v/>
      </c>
      <c r="E73" s="13" t="str">
        <f aca="false">IF($A73="","",SUMIFS(검수내역!$G$3:$G$802,검수내역!$D$3:$D$802,$A73))</f>
        <v/>
      </c>
      <c r="F73" s="13" t="str">
        <f aca="false">IF($A73="","",SUMIFS(출고내역!$G$3:$G$802,출고내역!$D$3:$D$802,$A73))</f>
        <v/>
      </c>
      <c r="G73" s="13" t="str">
        <f aca="false">IF($A73="","",SUMIFS(출고내역!$H$3:$H$802,출고내역!$D$3:$D$802,$A73))</f>
        <v/>
      </c>
      <c r="H73" s="13" t="str">
        <f aca="false">IF($A73="","",$F73+$G73)</f>
        <v/>
      </c>
      <c r="I73" s="13" t="str">
        <f aca="false">IF($A73="","",SUMIFS(재고조정!$E$3:$E$302,재고조정!$B$3:$B$302,$A73))</f>
        <v/>
      </c>
      <c r="J73" s="13" t="str">
        <f aca="false">IF($A73="","",$D73+$E73-$H73+$I73)</f>
        <v/>
      </c>
      <c r="K73" s="13" t="str">
        <f aca="false">IF($A73="","",SUMIFS(출고내역!$K$3:$K$802,출고내역!$D$3:$D$802,$A73))</f>
        <v/>
      </c>
    </row>
    <row r="74" customFormat="false" ht="15" hidden="false" customHeight="true" outlineLevel="0" collapsed="false">
      <c r="A74" s="12" t="str">
        <f aca="false">IF(품목마스터!$A71="","",품목마스터!$A71)</f>
        <v/>
      </c>
      <c r="B74" s="12" t="str">
        <f aca="false">IF($A74="","",품목마스터!$B71)</f>
        <v/>
      </c>
      <c r="C74" s="12" t="str">
        <f aca="false">IF($A74="","",품목마스터!$D71)</f>
        <v/>
      </c>
      <c r="D74" s="13" t="str">
        <f aca="false">IF($A74="","",IF(품목마스터!$E71="",0,품목마스터!$E71))</f>
        <v/>
      </c>
      <c r="E74" s="13" t="str">
        <f aca="false">IF($A74="","",SUMIFS(검수내역!$G$3:$G$802,검수내역!$D$3:$D$802,$A74))</f>
        <v/>
      </c>
      <c r="F74" s="13" t="str">
        <f aca="false">IF($A74="","",SUMIFS(출고내역!$G$3:$G$802,출고내역!$D$3:$D$802,$A74))</f>
        <v/>
      </c>
      <c r="G74" s="13" t="str">
        <f aca="false">IF($A74="","",SUMIFS(출고내역!$H$3:$H$802,출고내역!$D$3:$D$802,$A74))</f>
        <v/>
      </c>
      <c r="H74" s="13" t="str">
        <f aca="false">IF($A74="","",$F74+$G74)</f>
        <v/>
      </c>
      <c r="I74" s="13" t="str">
        <f aca="false">IF($A74="","",SUMIFS(재고조정!$E$3:$E$302,재고조정!$B$3:$B$302,$A74))</f>
        <v/>
      </c>
      <c r="J74" s="13" t="str">
        <f aca="false">IF($A74="","",$D74+$E74-$H74+$I74)</f>
        <v/>
      </c>
      <c r="K74" s="13" t="str">
        <f aca="false">IF($A74="","",SUMIFS(출고내역!$K$3:$K$802,출고내역!$D$3:$D$802,$A74))</f>
        <v/>
      </c>
    </row>
    <row r="75" customFormat="false" ht="15" hidden="false" customHeight="true" outlineLevel="0" collapsed="false">
      <c r="A75" s="12" t="str">
        <f aca="false">IF(품목마스터!$A72="","",품목마스터!$A72)</f>
        <v/>
      </c>
      <c r="B75" s="12" t="str">
        <f aca="false">IF($A75="","",품목마스터!$B72)</f>
        <v/>
      </c>
      <c r="C75" s="12" t="str">
        <f aca="false">IF($A75="","",품목마스터!$D72)</f>
        <v/>
      </c>
      <c r="D75" s="13" t="str">
        <f aca="false">IF($A75="","",IF(품목마스터!$E72="",0,품목마스터!$E72))</f>
        <v/>
      </c>
      <c r="E75" s="13" t="str">
        <f aca="false">IF($A75="","",SUMIFS(검수내역!$G$3:$G$802,검수내역!$D$3:$D$802,$A75))</f>
        <v/>
      </c>
      <c r="F75" s="13" t="str">
        <f aca="false">IF($A75="","",SUMIFS(출고내역!$G$3:$G$802,출고내역!$D$3:$D$802,$A75))</f>
        <v/>
      </c>
      <c r="G75" s="13" t="str">
        <f aca="false">IF($A75="","",SUMIFS(출고내역!$H$3:$H$802,출고내역!$D$3:$D$802,$A75))</f>
        <v/>
      </c>
      <c r="H75" s="13" t="str">
        <f aca="false">IF($A75="","",$F75+$G75)</f>
        <v/>
      </c>
      <c r="I75" s="13" t="str">
        <f aca="false">IF($A75="","",SUMIFS(재고조정!$E$3:$E$302,재고조정!$B$3:$B$302,$A75))</f>
        <v/>
      </c>
      <c r="J75" s="13" t="str">
        <f aca="false">IF($A75="","",$D75+$E75-$H75+$I75)</f>
        <v/>
      </c>
      <c r="K75" s="13" t="str">
        <f aca="false">IF($A75="","",SUMIFS(출고내역!$K$3:$K$802,출고내역!$D$3:$D$802,$A75))</f>
        <v/>
      </c>
    </row>
    <row r="76" customFormat="false" ht="15" hidden="false" customHeight="true" outlineLevel="0" collapsed="false">
      <c r="A76" s="12" t="str">
        <f aca="false">IF(품목마스터!$A73="","",품목마스터!$A73)</f>
        <v/>
      </c>
      <c r="B76" s="12" t="str">
        <f aca="false">IF($A76="","",품목마스터!$B73)</f>
        <v/>
      </c>
      <c r="C76" s="12" t="str">
        <f aca="false">IF($A76="","",품목마스터!$D73)</f>
        <v/>
      </c>
      <c r="D76" s="13" t="str">
        <f aca="false">IF($A76="","",IF(품목마스터!$E73="",0,품목마스터!$E73))</f>
        <v/>
      </c>
      <c r="E76" s="13" t="str">
        <f aca="false">IF($A76="","",SUMIFS(검수내역!$G$3:$G$802,검수내역!$D$3:$D$802,$A76))</f>
        <v/>
      </c>
      <c r="F76" s="13" t="str">
        <f aca="false">IF($A76="","",SUMIFS(출고내역!$G$3:$G$802,출고내역!$D$3:$D$802,$A76))</f>
        <v/>
      </c>
      <c r="G76" s="13" t="str">
        <f aca="false">IF($A76="","",SUMIFS(출고내역!$H$3:$H$802,출고내역!$D$3:$D$802,$A76))</f>
        <v/>
      </c>
      <c r="H76" s="13" t="str">
        <f aca="false">IF($A76="","",$F76+$G76)</f>
        <v/>
      </c>
      <c r="I76" s="13" t="str">
        <f aca="false">IF($A76="","",SUMIFS(재고조정!$E$3:$E$302,재고조정!$B$3:$B$302,$A76))</f>
        <v/>
      </c>
      <c r="J76" s="13" t="str">
        <f aca="false">IF($A76="","",$D76+$E76-$H76+$I76)</f>
        <v/>
      </c>
      <c r="K76" s="13" t="str">
        <f aca="false">IF($A76="","",SUMIFS(출고내역!$K$3:$K$802,출고내역!$D$3:$D$802,$A76))</f>
        <v/>
      </c>
    </row>
    <row r="77" customFormat="false" ht="15" hidden="false" customHeight="true" outlineLevel="0" collapsed="false">
      <c r="A77" s="12" t="str">
        <f aca="false">IF(품목마스터!$A74="","",품목마스터!$A74)</f>
        <v/>
      </c>
      <c r="B77" s="12" t="str">
        <f aca="false">IF($A77="","",품목마스터!$B74)</f>
        <v/>
      </c>
      <c r="C77" s="12" t="str">
        <f aca="false">IF($A77="","",품목마스터!$D74)</f>
        <v/>
      </c>
      <c r="D77" s="13" t="str">
        <f aca="false">IF($A77="","",IF(품목마스터!$E74="",0,품목마스터!$E74))</f>
        <v/>
      </c>
      <c r="E77" s="13" t="str">
        <f aca="false">IF($A77="","",SUMIFS(검수내역!$G$3:$G$802,검수내역!$D$3:$D$802,$A77))</f>
        <v/>
      </c>
      <c r="F77" s="13" t="str">
        <f aca="false">IF($A77="","",SUMIFS(출고내역!$G$3:$G$802,출고내역!$D$3:$D$802,$A77))</f>
        <v/>
      </c>
      <c r="G77" s="13" t="str">
        <f aca="false">IF($A77="","",SUMIFS(출고내역!$H$3:$H$802,출고내역!$D$3:$D$802,$A77))</f>
        <v/>
      </c>
      <c r="H77" s="13" t="str">
        <f aca="false">IF($A77="","",$F77+$G77)</f>
        <v/>
      </c>
      <c r="I77" s="13" t="str">
        <f aca="false">IF($A77="","",SUMIFS(재고조정!$E$3:$E$302,재고조정!$B$3:$B$302,$A77))</f>
        <v/>
      </c>
      <c r="J77" s="13" t="str">
        <f aca="false">IF($A77="","",$D77+$E77-$H77+$I77)</f>
        <v/>
      </c>
      <c r="K77" s="13" t="str">
        <f aca="false">IF($A77="","",SUMIFS(출고내역!$K$3:$K$802,출고내역!$D$3:$D$802,$A77))</f>
        <v/>
      </c>
    </row>
    <row r="78" customFormat="false" ht="15" hidden="false" customHeight="true" outlineLevel="0" collapsed="false">
      <c r="A78" s="12" t="str">
        <f aca="false">IF(품목마스터!$A75="","",품목마스터!$A75)</f>
        <v/>
      </c>
      <c r="B78" s="12" t="str">
        <f aca="false">IF($A78="","",품목마스터!$B75)</f>
        <v/>
      </c>
      <c r="C78" s="12" t="str">
        <f aca="false">IF($A78="","",품목마스터!$D75)</f>
        <v/>
      </c>
      <c r="D78" s="13" t="str">
        <f aca="false">IF($A78="","",IF(품목마스터!$E75="",0,품목마스터!$E75))</f>
        <v/>
      </c>
      <c r="E78" s="13" t="str">
        <f aca="false">IF($A78="","",SUMIFS(검수내역!$G$3:$G$802,검수내역!$D$3:$D$802,$A78))</f>
        <v/>
      </c>
      <c r="F78" s="13" t="str">
        <f aca="false">IF($A78="","",SUMIFS(출고내역!$G$3:$G$802,출고내역!$D$3:$D$802,$A78))</f>
        <v/>
      </c>
      <c r="G78" s="13" t="str">
        <f aca="false">IF($A78="","",SUMIFS(출고내역!$H$3:$H$802,출고내역!$D$3:$D$802,$A78))</f>
        <v/>
      </c>
      <c r="H78" s="13" t="str">
        <f aca="false">IF($A78="","",$F78+$G78)</f>
        <v/>
      </c>
      <c r="I78" s="13" t="str">
        <f aca="false">IF($A78="","",SUMIFS(재고조정!$E$3:$E$302,재고조정!$B$3:$B$302,$A78))</f>
        <v/>
      </c>
      <c r="J78" s="13" t="str">
        <f aca="false">IF($A78="","",$D78+$E78-$H78+$I78)</f>
        <v/>
      </c>
      <c r="K78" s="13" t="str">
        <f aca="false">IF($A78="","",SUMIFS(출고내역!$K$3:$K$802,출고내역!$D$3:$D$802,$A78))</f>
        <v/>
      </c>
    </row>
    <row r="79" customFormat="false" ht="15" hidden="false" customHeight="true" outlineLevel="0" collapsed="false">
      <c r="A79" s="12" t="str">
        <f aca="false">IF(품목마스터!$A76="","",품목마스터!$A76)</f>
        <v/>
      </c>
      <c r="B79" s="12" t="str">
        <f aca="false">IF($A79="","",품목마스터!$B76)</f>
        <v/>
      </c>
      <c r="C79" s="12" t="str">
        <f aca="false">IF($A79="","",품목마스터!$D76)</f>
        <v/>
      </c>
      <c r="D79" s="13" t="str">
        <f aca="false">IF($A79="","",IF(품목마스터!$E76="",0,품목마스터!$E76))</f>
        <v/>
      </c>
      <c r="E79" s="13" t="str">
        <f aca="false">IF($A79="","",SUMIFS(검수내역!$G$3:$G$802,검수내역!$D$3:$D$802,$A79))</f>
        <v/>
      </c>
      <c r="F79" s="13" t="str">
        <f aca="false">IF($A79="","",SUMIFS(출고내역!$G$3:$G$802,출고내역!$D$3:$D$802,$A79))</f>
        <v/>
      </c>
      <c r="G79" s="13" t="str">
        <f aca="false">IF($A79="","",SUMIFS(출고내역!$H$3:$H$802,출고내역!$D$3:$D$802,$A79))</f>
        <v/>
      </c>
      <c r="H79" s="13" t="str">
        <f aca="false">IF($A79="","",$F79+$G79)</f>
        <v/>
      </c>
      <c r="I79" s="13" t="str">
        <f aca="false">IF($A79="","",SUMIFS(재고조정!$E$3:$E$302,재고조정!$B$3:$B$302,$A79))</f>
        <v/>
      </c>
      <c r="J79" s="13" t="str">
        <f aca="false">IF($A79="","",$D79+$E79-$H79+$I79)</f>
        <v/>
      </c>
      <c r="K79" s="13" t="str">
        <f aca="false">IF($A79="","",SUMIFS(출고내역!$K$3:$K$802,출고내역!$D$3:$D$802,$A79))</f>
        <v/>
      </c>
    </row>
    <row r="80" customFormat="false" ht="15" hidden="false" customHeight="true" outlineLevel="0" collapsed="false">
      <c r="A80" s="12" t="str">
        <f aca="false">IF(품목마스터!$A77="","",품목마스터!$A77)</f>
        <v/>
      </c>
      <c r="B80" s="12" t="str">
        <f aca="false">IF($A80="","",품목마스터!$B77)</f>
        <v/>
      </c>
      <c r="C80" s="12" t="str">
        <f aca="false">IF($A80="","",품목마스터!$D77)</f>
        <v/>
      </c>
      <c r="D80" s="13" t="str">
        <f aca="false">IF($A80="","",IF(품목마스터!$E77="",0,품목마스터!$E77))</f>
        <v/>
      </c>
      <c r="E80" s="13" t="str">
        <f aca="false">IF($A80="","",SUMIFS(검수내역!$G$3:$G$802,검수내역!$D$3:$D$802,$A80))</f>
        <v/>
      </c>
      <c r="F80" s="13" t="str">
        <f aca="false">IF($A80="","",SUMIFS(출고내역!$G$3:$G$802,출고내역!$D$3:$D$802,$A80))</f>
        <v/>
      </c>
      <c r="G80" s="13" t="str">
        <f aca="false">IF($A80="","",SUMIFS(출고내역!$H$3:$H$802,출고내역!$D$3:$D$802,$A80))</f>
        <v/>
      </c>
      <c r="H80" s="13" t="str">
        <f aca="false">IF($A80="","",$F80+$G80)</f>
        <v/>
      </c>
      <c r="I80" s="13" t="str">
        <f aca="false">IF($A80="","",SUMIFS(재고조정!$E$3:$E$302,재고조정!$B$3:$B$302,$A80))</f>
        <v/>
      </c>
      <c r="J80" s="13" t="str">
        <f aca="false">IF($A80="","",$D80+$E80-$H80+$I80)</f>
        <v/>
      </c>
      <c r="K80" s="13" t="str">
        <f aca="false">IF($A80="","",SUMIFS(출고내역!$K$3:$K$802,출고내역!$D$3:$D$802,$A80))</f>
        <v/>
      </c>
    </row>
    <row r="81" customFormat="false" ht="15" hidden="false" customHeight="true" outlineLevel="0" collapsed="false">
      <c r="A81" s="12" t="str">
        <f aca="false">IF(품목마스터!$A78="","",품목마스터!$A78)</f>
        <v/>
      </c>
      <c r="B81" s="12" t="str">
        <f aca="false">IF($A81="","",품목마스터!$B78)</f>
        <v/>
      </c>
      <c r="C81" s="12" t="str">
        <f aca="false">IF($A81="","",품목마스터!$D78)</f>
        <v/>
      </c>
      <c r="D81" s="13" t="str">
        <f aca="false">IF($A81="","",IF(품목마스터!$E78="",0,품목마스터!$E78))</f>
        <v/>
      </c>
      <c r="E81" s="13" t="str">
        <f aca="false">IF($A81="","",SUMIFS(검수내역!$G$3:$G$802,검수내역!$D$3:$D$802,$A81))</f>
        <v/>
      </c>
      <c r="F81" s="13" t="str">
        <f aca="false">IF($A81="","",SUMIFS(출고내역!$G$3:$G$802,출고내역!$D$3:$D$802,$A81))</f>
        <v/>
      </c>
      <c r="G81" s="13" t="str">
        <f aca="false">IF($A81="","",SUMIFS(출고내역!$H$3:$H$802,출고내역!$D$3:$D$802,$A81))</f>
        <v/>
      </c>
      <c r="H81" s="13" t="str">
        <f aca="false">IF($A81="","",$F81+$G81)</f>
        <v/>
      </c>
      <c r="I81" s="13" t="str">
        <f aca="false">IF($A81="","",SUMIFS(재고조정!$E$3:$E$302,재고조정!$B$3:$B$302,$A81))</f>
        <v/>
      </c>
      <c r="J81" s="13" t="str">
        <f aca="false">IF($A81="","",$D81+$E81-$H81+$I81)</f>
        <v/>
      </c>
      <c r="K81" s="13" t="str">
        <f aca="false">IF($A81="","",SUMIFS(출고내역!$K$3:$K$802,출고내역!$D$3:$D$802,$A81))</f>
        <v/>
      </c>
    </row>
    <row r="82" customFormat="false" ht="15" hidden="false" customHeight="true" outlineLevel="0" collapsed="false">
      <c r="A82" s="12" t="str">
        <f aca="false">IF(품목마스터!$A79="","",품목마스터!$A79)</f>
        <v/>
      </c>
      <c r="B82" s="12" t="str">
        <f aca="false">IF($A82="","",품목마스터!$B79)</f>
        <v/>
      </c>
      <c r="C82" s="12" t="str">
        <f aca="false">IF($A82="","",품목마스터!$D79)</f>
        <v/>
      </c>
      <c r="D82" s="13" t="str">
        <f aca="false">IF($A82="","",IF(품목마스터!$E79="",0,품목마스터!$E79))</f>
        <v/>
      </c>
      <c r="E82" s="13" t="str">
        <f aca="false">IF($A82="","",SUMIFS(검수내역!$G$3:$G$802,검수내역!$D$3:$D$802,$A82))</f>
        <v/>
      </c>
      <c r="F82" s="13" t="str">
        <f aca="false">IF($A82="","",SUMIFS(출고내역!$G$3:$G$802,출고내역!$D$3:$D$802,$A82))</f>
        <v/>
      </c>
      <c r="G82" s="13" t="str">
        <f aca="false">IF($A82="","",SUMIFS(출고내역!$H$3:$H$802,출고내역!$D$3:$D$802,$A82))</f>
        <v/>
      </c>
      <c r="H82" s="13" t="str">
        <f aca="false">IF($A82="","",$F82+$G82)</f>
        <v/>
      </c>
      <c r="I82" s="13" t="str">
        <f aca="false">IF($A82="","",SUMIFS(재고조정!$E$3:$E$302,재고조정!$B$3:$B$302,$A82))</f>
        <v/>
      </c>
      <c r="J82" s="13" t="str">
        <f aca="false">IF($A82="","",$D82+$E82-$H82+$I82)</f>
        <v/>
      </c>
      <c r="K82" s="13" t="str">
        <f aca="false">IF($A82="","",SUMIFS(출고내역!$K$3:$K$802,출고내역!$D$3:$D$802,$A82))</f>
        <v/>
      </c>
    </row>
    <row r="83" customFormat="false" ht="15" hidden="false" customHeight="true" outlineLevel="0" collapsed="false">
      <c r="A83" s="12" t="str">
        <f aca="false">IF(품목마스터!$A80="","",품목마스터!$A80)</f>
        <v/>
      </c>
      <c r="B83" s="12" t="str">
        <f aca="false">IF($A83="","",품목마스터!$B80)</f>
        <v/>
      </c>
      <c r="C83" s="12" t="str">
        <f aca="false">IF($A83="","",품목마스터!$D80)</f>
        <v/>
      </c>
      <c r="D83" s="13" t="str">
        <f aca="false">IF($A83="","",IF(품목마스터!$E80="",0,품목마스터!$E80))</f>
        <v/>
      </c>
      <c r="E83" s="13" t="str">
        <f aca="false">IF($A83="","",SUMIFS(검수내역!$G$3:$G$802,검수내역!$D$3:$D$802,$A83))</f>
        <v/>
      </c>
      <c r="F83" s="13" t="str">
        <f aca="false">IF($A83="","",SUMIFS(출고내역!$G$3:$G$802,출고내역!$D$3:$D$802,$A83))</f>
        <v/>
      </c>
      <c r="G83" s="13" t="str">
        <f aca="false">IF($A83="","",SUMIFS(출고내역!$H$3:$H$802,출고내역!$D$3:$D$802,$A83))</f>
        <v/>
      </c>
      <c r="H83" s="13" t="str">
        <f aca="false">IF($A83="","",$F83+$G83)</f>
        <v/>
      </c>
      <c r="I83" s="13" t="str">
        <f aca="false">IF($A83="","",SUMIFS(재고조정!$E$3:$E$302,재고조정!$B$3:$B$302,$A83))</f>
        <v/>
      </c>
      <c r="J83" s="13" t="str">
        <f aca="false">IF($A83="","",$D83+$E83-$H83+$I83)</f>
        <v/>
      </c>
      <c r="K83" s="13" t="str">
        <f aca="false">IF($A83="","",SUMIFS(출고내역!$K$3:$K$802,출고내역!$D$3:$D$802,$A83))</f>
        <v/>
      </c>
    </row>
    <row r="84" customFormat="false" ht="15" hidden="false" customHeight="true" outlineLevel="0" collapsed="false">
      <c r="A84" s="12" t="str">
        <f aca="false">IF(품목마스터!$A81="","",품목마스터!$A81)</f>
        <v/>
      </c>
      <c r="B84" s="12" t="str">
        <f aca="false">IF($A84="","",품목마스터!$B81)</f>
        <v/>
      </c>
      <c r="C84" s="12" t="str">
        <f aca="false">IF($A84="","",품목마스터!$D81)</f>
        <v/>
      </c>
      <c r="D84" s="13" t="str">
        <f aca="false">IF($A84="","",IF(품목마스터!$E81="",0,품목마스터!$E81))</f>
        <v/>
      </c>
      <c r="E84" s="13" t="str">
        <f aca="false">IF($A84="","",SUMIFS(검수내역!$G$3:$G$802,검수내역!$D$3:$D$802,$A84))</f>
        <v/>
      </c>
      <c r="F84" s="13" t="str">
        <f aca="false">IF($A84="","",SUMIFS(출고내역!$G$3:$G$802,출고내역!$D$3:$D$802,$A84))</f>
        <v/>
      </c>
      <c r="G84" s="13" t="str">
        <f aca="false">IF($A84="","",SUMIFS(출고내역!$H$3:$H$802,출고내역!$D$3:$D$802,$A84))</f>
        <v/>
      </c>
      <c r="H84" s="13" t="str">
        <f aca="false">IF($A84="","",$F84+$G84)</f>
        <v/>
      </c>
      <c r="I84" s="13" t="str">
        <f aca="false">IF($A84="","",SUMIFS(재고조정!$E$3:$E$302,재고조정!$B$3:$B$302,$A84))</f>
        <v/>
      </c>
      <c r="J84" s="13" t="str">
        <f aca="false">IF($A84="","",$D84+$E84-$H84+$I84)</f>
        <v/>
      </c>
      <c r="K84" s="13" t="str">
        <f aca="false">IF($A84="","",SUMIFS(출고내역!$K$3:$K$802,출고내역!$D$3:$D$802,$A84))</f>
        <v/>
      </c>
    </row>
    <row r="85" customFormat="false" ht="15" hidden="false" customHeight="true" outlineLevel="0" collapsed="false">
      <c r="A85" s="12" t="str">
        <f aca="false">IF(품목마스터!$A82="","",품목마스터!$A82)</f>
        <v/>
      </c>
      <c r="B85" s="12" t="str">
        <f aca="false">IF($A85="","",품목마스터!$B82)</f>
        <v/>
      </c>
      <c r="C85" s="12" t="str">
        <f aca="false">IF($A85="","",품목마스터!$D82)</f>
        <v/>
      </c>
      <c r="D85" s="13" t="str">
        <f aca="false">IF($A85="","",IF(품목마스터!$E82="",0,품목마스터!$E82))</f>
        <v/>
      </c>
      <c r="E85" s="13" t="str">
        <f aca="false">IF($A85="","",SUMIFS(검수내역!$G$3:$G$802,검수내역!$D$3:$D$802,$A85))</f>
        <v/>
      </c>
      <c r="F85" s="13" t="str">
        <f aca="false">IF($A85="","",SUMIFS(출고내역!$G$3:$G$802,출고내역!$D$3:$D$802,$A85))</f>
        <v/>
      </c>
      <c r="G85" s="13" t="str">
        <f aca="false">IF($A85="","",SUMIFS(출고내역!$H$3:$H$802,출고내역!$D$3:$D$802,$A85))</f>
        <v/>
      </c>
      <c r="H85" s="13" t="str">
        <f aca="false">IF($A85="","",$F85+$G85)</f>
        <v/>
      </c>
      <c r="I85" s="13" t="str">
        <f aca="false">IF($A85="","",SUMIFS(재고조정!$E$3:$E$302,재고조정!$B$3:$B$302,$A85))</f>
        <v/>
      </c>
      <c r="J85" s="13" t="str">
        <f aca="false">IF($A85="","",$D85+$E85-$H85+$I85)</f>
        <v/>
      </c>
      <c r="K85" s="13" t="str">
        <f aca="false">IF($A85="","",SUMIFS(출고내역!$K$3:$K$802,출고내역!$D$3:$D$802,$A85))</f>
        <v/>
      </c>
    </row>
    <row r="86" customFormat="false" ht="15" hidden="false" customHeight="true" outlineLevel="0" collapsed="false">
      <c r="A86" s="12" t="str">
        <f aca="false">IF(품목마스터!$A83="","",품목마스터!$A83)</f>
        <v/>
      </c>
      <c r="B86" s="12" t="str">
        <f aca="false">IF($A86="","",품목마스터!$B83)</f>
        <v/>
      </c>
      <c r="C86" s="12" t="str">
        <f aca="false">IF($A86="","",품목마스터!$D83)</f>
        <v/>
      </c>
      <c r="D86" s="13" t="str">
        <f aca="false">IF($A86="","",IF(품목마스터!$E83="",0,품목마스터!$E83))</f>
        <v/>
      </c>
      <c r="E86" s="13" t="str">
        <f aca="false">IF($A86="","",SUMIFS(검수내역!$G$3:$G$802,검수내역!$D$3:$D$802,$A86))</f>
        <v/>
      </c>
      <c r="F86" s="13" t="str">
        <f aca="false">IF($A86="","",SUMIFS(출고내역!$G$3:$G$802,출고내역!$D$3:$D$802,$A86))</f>
        <v/>
      </c>
      <c r="G86" s="13" t="str">
        <f aca="false">IF($A86="","",SUMIFS(출고내역!$H$3:$H$802,출고내역!$D$3:$D$802,$A86))</f>
        <v/>
      </c>
      <c r="H86" s="13" t="str">
        <f aca="false">IF($A86="","",$F86+$G86)</f>
        <v/>
      </c>
      <c r="I86" s="13" t="str">
        <f aca="false">IF($A86="","",SUMIFS(재고조정!$E$3:$E$302,재고조정!$B$3:$B$302,$A86))</f>
        <v/>
      </c>
      <c r="J86" s="13" t="str">
        <f aca="false">IF($A86="","",$D86+$E86-$H86+$I86)</f>
        <v/>
      </c>
      <c r="K86" s="13" t="str">
        <f aca="false">IF($A86="","",SUMIFS(출고내역!$K$3:$K$802,출고내역!$D$3:$D$802,$A86))</f>
        <v/>
      </c>
    </row>
    <row r="87" customFormat="false" ht="15" hidden="false" customHeight="true" outlineLevel="0" collapsed="false">
      <c r="A87" s="12" t="str">
        <f aca="false">IF(품목마스터!$A84="","",품목마스터!$A84)</f>
        <v/>
      </c>
      <c r="B87" s="12" t="str">
        <f aca="false">IF($A87="","",품목마스터!$B84)</f>
        <v/>
      </c>
      <c r="C87" s="12" t="str">
        <f aca="false">IF($A87="","",품목마스터!$D84)</f>
        <v/>
      </c>
      <c r="D87" s="13" t="str">
        <f aca="false">IF($A87="","",IF(품목마스터!$E84="",0,품목마스터!$E84))</f>
        <v/>
      </c>
      <c r="E87" s="13" t="str">
        <f aca="false">IF($A87="","",SUMIFS(검수내역!$G$3:$G$802,검수내역!$D$3:$D$802,$A87))</f>
        <v/>
      </c>
      <c r="F87" s="13" t="str">
        <f aca="false">IF($A87="","",SUMIFS(출고내역!$G$3:$G$802,출고내역!$D$3:$D$802,$A87))</f>
        <v/>
      </c>
      <c r="G87" s="13" t="str">
        <f aca="false">IF($A87="","",SUMIFS(출고내역!$H$3:$H$802,출고내역!$D$3:$D$802,$A87))</f>
        <v/>
      </c>
      <c r="H87" s="13" t="str">
        <f aca="false">IF($A87="","",$F87+$G87)</f>
        <v/>
      </c>
      <c r="I87" s="13" t="str">
        <f aca="false">IF($A87="","",SUMIFS(재고조정!$E$3:$E$302,재고조정!$B$3:$B$302,$A87))</f>
        <v/>
      </c>
      <c r="J87" s="13" t="str">
        <f aca="false">IF($A87="","",$D87+$E87-$H87+$I87)</f>
        <v/>
      </c>
      <c r="K87" s="13" t="str">
        <f aca="false">IF($A87="","",SUMIFS(출고내역!$K$3:$K$802,출고내역!$D$3:$D$802,$A87))</f>
        <v/>
      </c>
    </row>
    <row r="88" customFormat="false" ht="15" hidden="false" customHeight="true" outlineLevel="0" collapsed="false">
      <c r="A88" s="12" t="str">
        <f aca="false">IF(품목마스터!$A85="","",품목마스터!$A85)</f>
        <v/>
      </c>
      <c r="B88" s="12" t="str">
        <f aca="false">IF($A88="","",품목마스터!$B85)</f>
        <v/>
      </c>
      <c r="C88" s="12" t="str">
        <f aca="false">IF($A88="","",품목마스터!$D85)</f>
        <v/>
      </c>
      <c r="D88" s="13" t="str">
        <f aca="false">IF($A88="","",IF(품목마스터!$E85="",0,품목마스터!$E85))</f>
        <v/>
      </c>
      <c r="E88" s="13" t="str">
        <f aca="false">IF($A88="","",SUMIFS(검수내역!$G$3:$G$802,검수내역!$D$3:$D$802,$A88))</f>
        <v/>
      </c>
      <c r="F88" s="13" t="str">
        <f aca="false">IF($A88="","",SUMIFS(출고내역!$G$3:$G$802,출고내역!$D$3:$D$802,$A88))</f>
        <v/>
      </c>
      <c r="G88" s="13" t="str">
        <f aca="false">IF($A88="","",SUMIFS(출고내역!$H$3:$H$802,출고내역!$D$3:$D$802,$A88))</f>
        <v/>
      </c>
      <c r="H88" s="13" t="str">
        <f aca="false">IF($A88="","",$F88+$G88)</f>
        <v/>
      </c>
      <c r="I88" s="13" t="str">
        <f aca="false">IF($A88="","",SUMIFS(재고조정!$E$3:$E$302,재고조정!$B$3:$B$302,$A88))</f>
        <v/>
      </c>
      <c r="J88" s="13" t="str">
        <f aca="false">IF($A88="","",$D88+$E88-$H88+$I88)</f>
        <v/>
      </c>
      <c r="K88" s="13" t="str">
        <f aca="false">IF($A88="","",SUMIFS(출고내역!$K$3:$K$802,출고내역!$D$3:$D$802,$A88))</f>
        <v/>
      </c>
    </row>
    <row r="89" customFormat="false" ht="15" hidden="false" customHeight="true" outlineLevel="0" collapsed="false">
      <c r="A89" s="12" t="str">
        <f aca="false">IF(품목마스터!$A86="","",품목마스터!$A86)</f>
        <v/>
      </c>
      <c r="B89" s="12" t="str">
        <f aca="false">IF($A89="","",품목마스터!$B86)</f>
        <v/>
      </c>
      <c r="C89" s="12" t="str">
        <f aca="false">IF($A89="","",품목마스터!$D86)</f>
        <v/>
      </c>
      <c r="D89" s="13" t="str">
        <f aca="false">IF($A89="","",IF(품목마스터!$E86="",0,품목마스터!$E86))</f>
        <v/>
      </c>
      <c r="E89" s="13" t="str">
        <f aca="false">IF($A89="","",SUMIFS(검수내역!$G$3:$G$802,검수내역!$D$3:$D$802,$A89))</f>
        <v/>
      </c>
      <c r="F89" s="13" t="str">
        <f aca="false">IF($A89="","",SUMIFS(출고내역!$G$3:$G$802,출고내역!$D$3:$D$802,$A89))</f>
        <v/>
      </c>
      <c r="G89" s="13" t="str">
        <f aca="false">IF($A89="","",SUMIFS(출고내역!$H$3:$H$802,출고내역!$D$3:$D$802,$A89))</f>
        <v/>
      </c>
      <c r="H89" s="13" t="str">
        <f aca="false">IF($A89="","",$F89+$G89)</f>
        <v/>
      </c>
      <c r="I89" s="13" t="str">
        <f aca="false">IF($A89="","",SUMIFS(재고조정!$E$3:$E$302,재고조정!$B$3:$B$302,$A89))</f>
        <v/>
      </c>
      <c r="J89" s="13" t="str">
        <f aca="false">IF($A89="","",$D89+$E89-$H89+$I89)</f>
        <v/>
      </c>
      <c r="K89" s="13" t="str">
        <f aca="false">IF($A89="","",SUMIFS(출고내역!$K$3:$K$802,출고내역!$D$3:$D$802,$A89))</f>
        <v/>
      </c>
    </row>
    <row r="90" customFormat="false" ht="15" hidden="false" customHeight="true" outlineLevel="0" collapsed="false">
      <c r="A90" s="12" t="str">
        <f aca="false">IF(품목마스터!$A87="","",품목마스터!$A87)</f>
        <v/>
      </c>
      <c r="B90" s="12" t="str">
        <f aca="false">IF($A90="","",품목마스터!$B87)</f>
        <v/>
      </c>
      <c r="C90" s="12" t="str">
        <f aca="false">IF($A90="","",품목마스터!$D87)</f>
        <v/>
      </c>
      <c r="D90" s="13" t="str">
        <f aca="false">IF($A90="","",IF(품목마스터!$E87="",0,품목마스터!$E87))</f>
        <v/>
      </c>
      <c r="E90" s="13" t="str">
        <f aca="false">IF($A90="","",SUMIFS(검수내역!$G$3:$G$802,검수내역!$D$3:$D$802,$A90))</f>
        <v/>
      </c>
      <c r="F90" s="13" t="str">
        <f aca="false">IF($A90="","",SUMIFS(출고내역!$G$3:$G$802,출고내역!$D$3:$D$802,$A90))</f>
        <v/>
      </c>
      <c r="G90" s="13" t="str">
        <f aca="false">IF($A90="","",SUMIFS(출고내역!$H$3:$H$802,출고내역!$D$3:$D$802,$A90))</f>
        <v/>
      </c>
      <c r="H90" s="13" t="str">
        <f aca="false">IF($A90="","",$F90+$G90)</f>
        <v/>
      </c>
      <c r="I90" s="13" t="str">
        <f aca="false">IF($A90="","",SUMIFS(재고조정!$E$3:$E$302,재고조정!$B$3:$B$302,$A90))</f>
        <v/>
      </c>
      <c r="J90" s="13" t="str">
        <f aca="false">IF($A90="","",$D90+$E90-$H90+$I90)</f>
        <v/>
      </c>
      <c r="K90" s="13" t="str">
        <f aca="false">IF($A90="","",SUMIFS(출고내역!$K$3:$K$802,출고내역!$D$3:$D$802,$A90))</f>
        <v/>
      </c>
    </row>
    <row r="91" customFormat="false" ht="15" hidden="false" customHeight="true" outlineLevel="0" collapsed="false">
      <c r="A91" s="12" t="str">
        <f aca="false">IF(품목마스터!$A88="","",품목마스터!$A88)</f>
        <v/>
      </c>
      <c r="B91" s="12" t="str">
        <f aca="false">IF($A91="","",품목마스터!$B88)</f>
        <v/>
      </c>
      <c r="C91" s="12" t="str">
        <f aca="false">IF($A91="","",품목마스터!$D88)</f>
        <v/>
      </c>
      <c r="D91" s="13" t="str">
        <f aca="false">IF($A91="","",IF(품목마스터!$E88="",0,품목마스터!$E88))</f>
        <v/>
      </c>
      <c r="E91" s="13" t="str">
        <f aca="false">IF($A91="","",SUMIFS(검수내역!$G$3:$G$802,검수내역!$D$3:$D$802,$A91))</f>
        <v/>
      </c>
      <c r="F91" s="13" t="str">
        <f aca="false">IF($A91="","",SUMIFS(출고내역!$G$3:$G$802,출고내역!$D$3:$D$802,$A91))</f>
        <v/>
      </c>
      <c r="G91" s="13" t="str">
        <f aca="false">IF($A91="","",SUMIFS(출고내역!$H$3:$H$802,출고내역!$D$3:$D$802,$A91))</f>
        <v/>
      </c>
      <c r="H91" s="13" t="str">
        <f aca="false">IF($A91="","",$F91+$G91)</f>
        <v/>
      </c>
      <c r="I91" s="13" t="str">
        <f aca="false">IF($A91="","",SUMIFS(재고조정!$E$3:$E$302,재고조정!$B$3:$B$302,$A91))</f>
        <v/>
      </c>
      <c r="J91" s="13" t="str">
        <f aca="false">IF($A91="","",$D91+$E91-$H91+$I91)</f>
        <v/>
      </c>
      <c r="K91" s="13" t="str">
        <f aca="false">IF($A91="","",SUMIFS(출고내역!$K$3:$K$802,출고내역!$D$3:$D$802,$A91))</f>
        <v/>
      </c>
    </row>
    <row r="92" customFormat="false" ht="15" hidden="false" customHeight="true" outlineLevel="0" collapsed="false">
      <c r="A92" s="12" t="str">
        <f aca="false">IF(품목마스터!$A89="","",품목마스터!$A89)</f>
        <v/>
      </c>
      <c r="B92" s="12" t="str">
        <f aca="false">IF($A92="","",품목마스터!$B89)</f>
        <v/>
      </c>
      <c r="C92" s="12" t="str">
        <f aca="false">IF($A92="","",품목마스터!$D89)</f>
        <v/>
      </c>
      <c r="D92" s="13" t="str">
        <f aca="false">IF($A92="","",IF(품목마스터!$E89="",0,품목마스터!$E89))</f>
        <v/>
      </c>
      <c r="E92" s="13" t="str">
        <f aca="false">IF($A92="","",SUMIFS(검수내역!$G$3:$G$802,검수내역!$D$3:$D$802,$A92))</f>
        <v/>
      </c>
      <c r="F92" s="13" t="str">
        <f aca="false">IF($A92="","",SUMIFS(출고내역!$G$3:$G$802,출고내역!$D$3:$D$802,$A92))</f>
        <v/>
      </c>
      <c r="G92" s="13" t="str">
        <f aca="false">IF($A92="","",SUMIFS(출고내역!$H$3:$H$802,출고내역!$D$3:$D$802,$A92))</f>
        <v/>
      </c>
      <c r="H92" s="13" t="str">
        <f aca="false">IF($A92="","",$F92+$G92)</f>
        <v/>
      </c>
      <c r="I92" s="13" t="str">
        <f aca="false">IF($A92="","",SUMIFS(재고조정!$E$3:$E$302,재고조정!$B$3:$B$302,$A92))</f>
        <v/>
      </c>
      <c r="J92" s="13" t="str">
        <f aca="false">IF($A92="","",$D92+$E92-$H92+$I92)</f>
        <v/>
      </c>
      <c r="K92" s="13" t="str">
        <f aca="false">IF($A92="","",SUMIFS(출고내역!$K$3:$K$802,출고내역!$D$3:$D$802,$A92))</f>
        <v/>
      </c>
    </row>
    <row r="93" customFormat="false" ht="15" hidden="false" customHeight="true" outlineLevel="0" collapsed="false">
      <c r="A93" s="12" t="str">
        <f aca="false">IF(품목마스터!$A90="","",품목마스터!$A90)</f>
        <v/>
      </c>
      <c r="B93" s="12" t="str">
        <f aca="false">IF($A93="","",품목마스터!$B90)</f>
        <v/>
      </c>
      <c r="C93" s="12" t="str">
        <f aca="false">IF($A93="","",품목마스터!$D90)</f>
        <v/>
      </c>
      <c r="D93" s="13" t="str">
        <f aca="false">IF($A93="","",IF(품목마스터!$E90="",0,품목마스터!$E90))</f>
        <v/>
      </c>
      <c r="E93" s="13" t="str">
        <f aca="false">IF($A93="","",SUMIFS(검수내역!$G$3:$G$802,검수내역!$D$3:$D$802,$A93))</f>
        <v/>
      </c>
      <c r="F93" s="13" t="str">
        <f aca="false">IF($A93="","",SUMIFS(출고내역!$G$3:$G$802,출고내역!$D$3:$D$802,$A93))</f>
        <v/>
      </c>
      <c r="G93" s="13" t="str">
        <f aca="false">IF($A93="","",SUMIFS(출고내역!$H$3:$H$802,출고내역!$D$3:$D$802,$A93))</f>
        <v/>
      </c>
      <c r="H93" s="13" t="str">
        <f aca="false">IF($A93="","",$F93+$G93)</f>
        <v/>
      </c>
      <c r="I93" s="13" t="str">
        <f aca="false">IF($A93="","",SUMIFS(재고조정!$E$3:$E$302,재고조정!$B$3:$B$302,$A93))</f>
        <v/>
      </c>
      <c r="J93" s="13" t="str">
        <f aca="false">IF($A93="","",$D93+$E93-$H93+$I93)</f>
        <v/>
      </c>
      <c r="K93" s="13" t="str">
        <f aca="false">IF($A93="","",SUMIFS(출고내역!$K$3:$K$802,출고내역!$D$3:$D$802,$A93))</f>
        <v/>
      </c>
    </row>
    <row r="94" customFormat="false" ht="15" hidden="false" customHeight="true" outlineLevel="0" collapsed="false">
      <c r="A94" s="12" t="str">
        <f aca="false">IF(품목마스터!$A91="","",품목마스터!$A91)</f>
        <v/>
      </c>
      <c r="B94" s="12" t="str">
        <f aca="false">IF($A94="","",품목마스터!$B91)</f>
        <v/>
      </c>
      <c r="C94" s="12" t="str">
        <f aca="false">IF($A94="","",품목마스터!$D91)</f>
        <v/>
      </c>
      <c r="D94" s="13" t="str">
        <f aca="false">IF($A94="","",IF(품목마스터!$E91="",0,품목마스터!$E91))</f>
        <v/>
      </c>
      <c r="E94" s="13" t="str">
        <f aca="false">IF($A94="","",SUMIFS(검수내역!$G$3:$G$802,검수내역!$D$3:$D$802,$A94))</f>
        <v/>
      </c>
      <c r="F94" s="13" t="str">
        <f aca="false">IF($A94="","",SUMIFS(출고내역!$G$3:$G$802,출고내역!$D$3:$D$802,$A94))</f>
        <v/>
      </c>
      <c r="G94" s="13" t="str">
        <f aca="false">IF($A94="","",SUMIFS(출고내역!$H$3:$H$802,출고내역!$D$3:$D$802,$A94))</f>
        <v/>
      </c>
      <c r="H94" s="13" t="str">
        <f aca="false">IF($A94="","",$F94+$G94)</f>
        <v/>
      </c>
      <c r="I94" s="13" t="str">
        <f aca="false">IF($A94="","",SUMIFS(재고조정!$E$3:$E$302,재고조정!$B$3:$B$302,$A94))</f>
        <v/>
      </c>
      <c r="J94" s="13" t="str">
        <f aca="false">IF($A94="","",$D94+$E94-$H94+$I94)</f>
        <v/>
      </c>
      <c r="K94" s="13" t="str">
        <f aca="false">IF($A94="","",SUMIFS(출고내역!$K$3:$K$802,출고내역!$D$3:$D$802,$A94))</f>
        <v/>
      </c>
    </row>
    <row r="95" customFormat="false" ht="15" hidden="false" customHeight="true" outlineLevel="0" collapsed="false">
      <c r="A95" s="12" t="str">
        <f aca="false">IF(품목마스터!$A92="","",품목마스터!$A92)</f>
        <v/>
      </c>
      <c r="B95" s="12" t="str">
        <f aca="false">IF($A95="","",품목마스터!$B92)</f>
        <v/>
      </c>
      <c r="C95" s="12" t="str">
        <f aca="false">IF($A95="","",품목마스터!$D92)</f>
        <v/>
      </c>
      <c r="D95" s="13" t="str">
        <f aca="false">IF($A95="","",IF(품목마스터!$E92="",0,품목마스터!$E92))</f>
        <v/>
      </c>
      <c r="E95" s="13" t="str">
        <f aca="false">IF($A95="","",SUMIFS(검수내역!$G$3:$G$802,검수내역!$D$3:$D$802,$A95))</f>
        <v/>
      </c>
      <c r="F95" s="13" t="str">
        <f aca="false">IF($A95="","",SUMIFS(출고내역!$G$3:$G$802,출고내역!$D$3:$D$802,$A95))</f>
        <v/>
      </c>
      <c r="G95" s="13" t="str">
        <f aca="false">IF($A95="","",SUMIFS(출고내역!$H$3:$H$802,출고내역!$D$3:$D$802,$A95))</f>
        <v/>
      </c>
      <c r="H95" s="13" t="str">
        <f aca="false">IF($A95="","",$F95+$G95)</f>
        <v/>
      </c>
      <c r="I95" s="13" t="str">
        <f aca="false">IF($A95="","",SUMIFS(재고조정!$E$3:$E$302,재고조정!$B$3:$B$302,$A95))</f>
        <v/>
      </c>
      <c r="J95" s="13" t="str">
        <f aca="false">IF($A95="","",$D95+$E95-$H95+$I95)</f>
        <v/>
      </c>
      <c r="K95" s="13" t="str">
        <f aca="false">IF($A95="","",SUMIFS(출고내역!$K$3:$K$802,출고내역!$D$3:$D$802,$A95))</f>
        <v/>
      </c>
    </row>
    <row r="96" customFormat="false" ht="15" hidden="false" customHeight="true" outlineLevel="0" collapsed="false">
      <c r="A96" s="12" t="str">
        <f aca="false">IF(품목마스터!$A93="","",품목마스터!$A93)</f>
        <v/>
      </c>
      <c r="B96" s="12" t="str">
        <f aca="false">IF($A96="","",품목마스터!$B93)</f>
        <v/>
      </c>
      <c r="C96" s="12" t="str">
        <f aca="false">IF($A96="","",품목마스터!$D93)</f>
        <v/>
      </c>
      <c r="D96" s="13" t="str">
        <f aca="false">IF($A96="","",IF(품목마스터!$E93="",0,품목마스터!$E93))</f>
        <v/>
      </c>
      <c r="E96" s="13" t="str">
        <f aca="false">IF($A96="","",SUMIFS(검수내역!$G$3:$G$802,검수내역!$D$3:$D$802,$A96))</f>
        <v/>
      </c>
      <c r="F96" s="13" t="str">
        <f aca="false">IF($A96="","",SUMIFS(출고내역!$G$3:$G$802,출고내역!$D$3:$D$802,$A96))</f>
        <v/>
      </c>
      <c r="G96" s="13" t="str">
        <f aca="false">IF($A96="","",SUMIFS(출고내역!$H$3:$H$802,출고내역!$D$3:$D$802,$A96))</f>
        <v/>
      </c>
      <c r="H96" s="13" t="str">
        <f aca="false">IF($A96="","",$F96+$G96)</f>
        <v/>
      </c>
      <c r="I96" s="13" t="str">
        <f aca="false">IF($A96="","",SUMIFS(재고조정!$E$3:$E$302,재고조정!$B$3:$B$302,$A96))</f>
        <v/>
      </c>
      <c r="J96" s="13" t="str">
        <f aca="false">IF($A96="","",$D96+$E96-$H96+$I96)</f>
        <v/>
      </c>
      <c r="K96" s="13" t="str">
        <f aca="false">IF($A96="","",SUMIFS(출고내역!$K$3:$K$802,출고내역!$D$3:$D$802,$A96))</f>
        <v/>
      </c>
    </row>
    <row r="97" customFormat="false" ht="15" hidden="false" customHeight="true" outlineLevel="0" collapsed="false">
      <c r="A97" s="12" t="str">
        <f aca="false">IF(품목마스터!$A94="","",품목마스터!$A94)</f>
        <v/>
      </c>
      <c r="B97" s="12" t="str">
        <f aca="false">IF($A97="","",품목마스터!$B94)</f>
        <v/>
      </c>
      <c r="C97" s="12" t="str">
        <f aca="false">IF($A97="","",품목마스터!$D94)</f>
        <v/>
      </c>
      <c r="D97" s="13" t="str">
        <f aca="false">IF($A97="","",IF(품목마스터!$E94="",0,품목마스터!$E94))</f>
        <v/>
      </c>
      <c r="E97" s="13" t="str">
        <f aca="false">IF($A97="","",SUMIFS(검수내역!$G$3:$G$802,검수내역!$D$3:$D$802,$A97))</f>
        <v/>
      </c>
      <c r="F97" s="13" t="str">
        <f aca="false">IF($A97="","",SUMIFS(출고내역!$G$3:$G$802,출고내역!$D$3:$D$802,$A97))</f>
        <v/>
      </c>
      <c r="G97" s="13" t="str">
        <f aca="false">IF($A97="","",SUMIFS(출고내역!$H$3:$H$802,출고내역!$D$3:$D$802,$A97))</f>
        <v/>
      </c>
      <c r="H97" s="13" t="str">
        <f aca="false">IF($A97="","",$F97+$G97)</f>
        <v/>
      </c>
      <c r="I97" s="13" t="str">
        <f aca="false">IF($A97="","",SUMIFS(재고조정!$E$3:$E$302,재고조정!$B$3:$B$302,$A97))</f>
        <v/>
      </c>
      <c r="J97" s="13" t="str">
        <f aca="false">IF($A97="","",$D97+$E97-$H97+$I97)</f>
        <v/>
      </c>
      <c r="K97" s="13" t="str">
        <f aca="false">IF($A97="","",SUMIFS(출고내역!$K$3:$K$802,출고내역!$D$3:$D$802,$A97))</f>
        <v/>
      </c>
    </row>
    <row r="98" customFormat="false" ht="15" hidden="false" customHeight="true" outlineLevel="0" collapsed="false">
      <c r="A98" s="12" t="str">
        <f aca="false">IF(품목마스터!$A95="","",품목마스터!$A95)</f>
        <v/>
      </c>
      <c r="B98" s="12" t="str">
        <f aca="false">IF($A98="","",품목마스터!$B95)</f>
        <v/>
      </c>
      <c r="C98" s="12" t="str">
        <f aca="false">IF($A98="","",품목마스터!$D95)</f>
        <v/>
      </c>
      <c r="D98" s="13" t="str">
        <f aca="false">IF($A98="","",IF(품목마스터!$E95="",0,품목마스터!$E95))</f>
        <v/>
      </c>
      <c r="E98" s="13" t="str">
        <f aca="false">IF($A98="","",SUMIFS(검수내역!$G$3:$G$802,검수내역!$D$3:$D$802,$A98))</f>
        <v/>
      </c>
      <c r="F98" s="13" t="str">
        <f aca="false">IF($A98="","",SUMIFS(출고내역!$G$3:$G$802,출고내역!$D$3:$D$802,$A98))</f>
        <v/>
      </c>
      <c r="G98" s="13" t="str">
        <f aca="false">IF($A98="","",SUMIFS(출고내역!$H$3:$H$802,출고내역!$D$3:$D$802,$A98))</f>
        <v/>
      </c>
      <c r="H98" s="13" t="str">
        <f aca="false">IF($A98="","",$F98+$G98)</f>
        <v/>
      </c>
      <c r="I98" s="13" t="str">
        <f aca="false">IF($A98="","",SUMIFS(재고조정!$E$3:$E$302,재고조정!$B$3:$B$302,$A98))</f>
        <v/>
      </c>
      <c r="J98" s="13" t="str">
        <f aca="false">IF($A98="","",$D98+$E98-$H98+$I98)</f>
        <v/>
      </c>
      <c r="K98" s="13" t="str">
        <f aca="false">IF($A98="","",SUMIFS(출고내역!$K$3:$K$802,출고내역!$D$3:$D$802,$A98))</f>
        <v/>
      </c>
    </row>
    <row r="99" customFormat="false" ht="15" hidden="false" customHeight="true" outlineLevel="0" collapsed="false">
      <c r="A99" s="12" t="str">
        <f aca="false">IF(품목마스터!$A96="","",품목마스터!$A96)</f>
        <v/>
      </c>
      <c r="B99" s="12" t="str">
        <f aca="false">IF($A99="","",품목마스터!$B96)</f>
        <v/>
      </c>
      <c r="C99" s="12" t="str">
        <f aca="false">IF($A99="","",품목마스터!$D96)</f>
        <v/>
      </c>
      <c r="D99" s="13" t="str">
        <f aca="false">IF($A99="","",IF(품목마스터!$E96="",0,품목마스터!$E96))</f>
        <v/>
      </c>
      <c r="E99" s="13" t="str">
        <f aca="false">IF($A99="","",SUMIFS(검수내역!$G$3:$G$802,검수내역!$D$3:$D$802,$A99))</f>
        <v/>
      </c>
      <c r="F99" s="13" t="str">
        <f aca="false">IF($A99="","",SUMIFS(출고내역!$G$3:$G$802,출고내역!$D$3:$D$802,$A99))</f>
        <v/>
      </c>
      <c r="G99" s="13" t="str">
        <f aca="false">IF($A99="","",SUMIFS(출고내역!$H$3:$H$802,출고내역!$D$3:$D$802,$A99))</f>
        <v/>
      </c>
      <c r="H99" s="13" t="str">
        <f aca="false">IF($A99="","",$F99+$G99)</f>
        <v/>
      </c>
      <c r="I99" s="13" t="str">
        <f aca="false">IF($A99="","",SUMIFS(재고조정!$E$3:$E$302,재고조정!$B$3:$B$302,$A99))</f>
        <v/>
      </c>
      <c r="J99" s="13" t="str">
        <f aca="false">IF($A99="","",$D99+$E99-$H99+$I99)</f>
        <v/>
      </c>
      <c r="K99" s="13" t="str">
        <f aca="false">IF($A99="","",SUMIFS(출고내역!$K$3:$K$802,출고내역!$D$3:$D$802,$A99))</f>
        <v/>
      </c>
    </row>
    <row r="100" customFormat="false" ht="15" hidden="false" customHeight="true" outlineLevel="0" collapsed="false">
      <c r="A100" s="12" t="str">
        <f aca="false">IF(품목마스터!$A97="","",품목마스터!$A97)</f>
        <v/>
      </c>
      <c r="B100" s="12" t="str">
        <f aca="false">IF($A100="","",품목마스터!$B97)</f>
        <v/>
      </c>
      <c r="C100" s="12" t="str">
        <f aca="false">IF($A100="","",품목마스터!$D97)</f>
        <v/>
      </c>
      <c r="D100" s="13" t="str">
        <f aca="false">IF($A100="","",IF(품목마스터!$E97="",0,품목마스터!$E97))</f>
        <v/>
      </c>
      <c r="E100" s="13" t="str">
        <f aca="false">IF($A100="","",SUMIFS(검수내역!$G$3:$G$802,검수내역!$D$3:$D$802,$A100))</f>
        <v/>
      </c>
      <c r="F100" s="13" t="str">
        <f aca="false">IF($A100="","",SUMIFS(출고내역!$G$3:$G$802,출고내역!$D$3:$D$802,$A100))</f>
        <v/>
      </c>
      <c r="G100" s="13" t="str">
        <f aca="false">IF($A100="","",SUMIFS(출고내역!$H$3:$H$802,출고내역!$D$3:$D$802,$A100))</f>
        <v/>
      </c>
      <c r="H100" s="13" t="str">
        <f aca="false">IF($A100="","",$F100+$G100)</f>
        <v/>
      </c>
      <c r="I100" s="13" t="str">
        <f aca="false">IF($A100="","",SUMIFS(재고조정!$E$3:$E$302,재고조정!$B$3:$B$302,$A100))</f>
        <v/>
      </c>
      <c r="J100" s="13" t="str">
        <f aca="false">IF($A100="","",$D100+$E100-$H100+$I100)</f>
        <v/>
      </c>
      <c r="K100" s="13" t="str">
        <f aca="false">IF($A100="","",SUMIFS(출고내역!$K$3:$K$802,출고내역!$D$3:$D$802,$A100))</f>
        <v/>
      </c>
    </row>
    <row r="101" customFormat="false" ht="15" hidden="false" customHeight="true" outlineLevel="0" collapsed="false">
      <c r="A101" s="12" t="str">
        <f aca="false">IF(품목마스터!$A98="","",품목마스터!$A98)</f>
        <v/>
      </c>
      <c r="B101" s="12" t="str">
        <f aca="false">IF($A101="","",품목마스터!$B98)</f>
        <v/>
      </c>
      <c r="C101" s="12" t="str">
        <f aca="false">IF($A101="","",품목마스터!$D98)</f>
        <v/>
      </c>
      <c r="D101" s="13" t="str">
        <f aca="false">IF($A101="","",IF(품목마스터!$E98="",0,품목마스터!$E98))</f>
        <v/>
      </c>
      <c r="E101" s="13" t="str">
        <f aca="false">IF($A101="","",SUMIFS(검수내역!$G$3:$G$802,검수내역!$D$3:$D$802,$A101))</f>
        <v/>
      </c>
      <c r="F101" s="13" t="str">
        <f aca="false">IF($A101="","",SUMIFS(출고내역!$G$3:$G$802,출고내역!$D$3:$D$802,$A101))</f>
        <v/>
      </c>
      <c r="G101" s="13" t="str">
        <f aca="false">IF($A101="","",SUMIFS(출고내역!$H$3:$H$802,출고내역!$D$3:$D$802,$A101))</f>
        <v/>
      </c>
      <c r="H101" s="13" t="str">
        <f aca="false">IF($A101="","",$F101+$G101)</f>
        <v/>
      </c>
      <c r="I101" s="13" t="str">
        <f aca="false">IF($A101="","",SUMIFS(재고조정!$E$3:$E$302,재고조정!$B$3:$B$302,$A101))</f>
        <v/>
      </c>
      <c r="J101" s="13" t="str">
        <f aca="false">IF($A101="","",$D101+$E101-$H101+$I101)</f>
        <v/>
      </c>
      <c r="K101" s="13" t="str">
        <f aca="false">IF($A101="","",SUMIFS(출고내역!$K$3:$K$802,출고내역!$D$3:$D$802,$A101))</f>
        <v/>
      </c>
    </row>
    <row r="102" customFormat="false" ht="15" hidden="false" customHeight="true" outlineLevel="0" collapsed="false">
      <c r="A102" s="12" t="str">
        <f aca="false">IF(품목마스터!$A99="","",품목마스터!$A99)</f>
        <v/>
      </c>
      <c r="B102" s="12" t="str">
        <f aca="false">IF($A102="","",품목마스터!$B99)</f>
        <v/>
      </c>
      <c r="C102" s="12" t="str">
        <f aca="false">IF($A102="","",품목마스터!$D99)</f>
        <v/>
      </c>
      <c r="D102" s="13" t="str">
        <f aca="false">IF($A102="","",IF(품목마스터!$E99="",0,품목마스터!$E99))</f>
        <v/>
      </c>
      <c r="E102" s="13" t="str">
        <f aca="false">IF($A102="","",SUMIFS(검수내역!$G$3:$G$802,검수내역!$D$3:$D$802,$A102))</f>
        <v/>
      </c>
      <c r="F102" s="13" t="str">
        <f aca="false">IF($A102="","",SUMIFS(출고내역!$G$3:$G$802,출고내역!$D$3:$D$802,$A102))</f>
        <v/>
      </c>
      <c r="G102" s="13" t="str">
        <f aca="false">IF($A102="","",SUMIFS(출고내역!$H$3:$H$802,출고내역!$D$3:$D$802,$A102))</f>
        <v/>
      </c>
      <c r="H102" s="13" t="str">
        <f aca="false">IF($A102="","",$F102+$G102)</f>
        <v/>
      </c>
      <c r="I102" s="13" t="str">
        <f aca="false">IF($A102="","",SUMIFS(재고조정!$E$3:$E$302,재고조정!$B$3:$B$302,$A102))</f>
        <v/>
      </c>
      <c r="J102" s="13" t="str">
        <f aca="false">IF($A102="","",$D102+$E102-$H102+$I102)</f>
        <v/>
      </c>
      <c r="K102" s="13" t="str">
        <f aca="false">IF($A102="","",SUMIFS(출고내역!$K$3:$K$802,출고내역!$D$3:$D$802,$A102))</f>
        <v/>
      </c>
    </row>
    <row r="103" customFormat="false" ht="15" hidden="false" customHeight="true" outlineLevel="0" collapsed="false">
      <c r="A103" s="12" t="str">
        <f aca="false">IF(품목마스터!$A100="","",품목마스터!$A100)</f>
        <v/>
      </c>
      <c r="B103" s="12" t="str">
        <f aca="false">IF($A103="","",품목마스터!$B100)</f>
        <v/>
      </c>
      <c r="C103" s="12" t="str">
        <f aca="false">IF($A103="","",품목마스터!$D100)</f>
        <v/>
      </c>
      <c r="D103" s="13" t="str">
        <f aca="false">IF($A103="","",IF(품목마스터!$E100="",0,품목마스터!$E100))</f>
        <v/>
      </c>
      <c r="E103" s="13" t="str">
        <f aca="false">IF($A103="","",SUMIFS(검수내역!$G$3:$G$802,검수내역!$D$3:$D$802,$A103))</f>
        <v/>
      </c>
      <c r="F103" s="13" t="str">
        <f aca="false">IF($A103="","",SUMIFS(출고내역!$G$3:$G$802,출고내역!$D$3:$D$802,$A103))</f>
        <v/>
      </c>
      <c r="G103" s="13" t="str">
        <f aca="false">IF($A103="","",SUMIFS(출고내역!$H$3:$H$802,출고내역!$D$3:$D$802,$A103))</f>
        <v/>
      </c>
      <c r="H103" s="13" t="str">
        <f aca="false">IF($A103="","",$F103+$G103)</f>
        <v/>
      </c>
      <c r="I103" s="13" t="str">
        <f aca="false">IF($A103="","",SUMIFS(재고조정!$E$3:$E$302,재고조정!$B$3:$B$302,$A103))</f>
        <v/>
      </c>
      <c r="J103" s="13" t="str">
        <f aca="false">IF($A103="","",$D103+$E103-$H103+$I103)</f>
        <v/>
      </c>
      <c r="K103" s="13" t="str">
        <f aca="false">IF($A103="","",SUMIFS(출고내역!$K$3:$K$802,출고내역!$D$3:$D$802,$A103))</f>
        <v/>
      </c>
    </row>
    <row r="104" customFormat="false" ht="15" hidden="false" customHeight="true" outlineLevel="0" collapsed="false">
      <c r="A104" s="12" t="str">
        <f aca="false">IF(품목마스터!$A101="","",품목마스터!$A101)</f>
        <v/>
      </c>
      <c r="B104" s="12" t="str">
        <f aca="false">IF($A104="","",품목마스터!$B101)</f>
        <v/>
      </c>
      <c r="C104" s="12" t="str">
        <f aca="false">IF($A104="","",품목마스터!$D101)</f>
        <v/>
      </c>
      <c r="D104" s="13" t="str">
        <f aca="false">IF($A104="","",IF(품목마스터!$E101="",0,품목마스터!$E101))</f>
        <v/>
      </c>
      <c r="E104" s="13" t="str">
        <f aca="false">IF($A104="","",SUMIFS(검수내역!$G$3:$G$802,검수내역!$D$3:$D$802,$A104))</f>
        <v/>
      </c>
      <c r="F104" s="13" t="str">
        <f aca="false">IF($A104="","",SUMIFS(출고내역!$G$3:$G$802,출고내역!$D$3:$D$802,$A104))</f>
        <v/>
      </c>
      <c r="G104" s="13" t="str">
        <f aca="false">IF($A104="","",SUMIFS(출고내역!$H$3:$H$802,출고내역!$D$3:$D$802,$A104))</f>
        <v/>
      </c>
      <c r="H104" s="13" t="str">
        <f aca="false">IF($A104="","",$F104+$G104)</f>
        <v/>
      </c>
      <c r="I104" s="13" t="str">
        <f aca="false">IF($A104="","",SUMIFS(재고조정!$E$3:$E$302,재고조정!$B$3:$B$302,$A104))</f>
        <v/>
      </c>
      <c r="J104" s="13" t="str">
        <f aca="false">IF($A104="","",$D104+$E104-$H104+$I104)</f>
        <v/>
      </c>
      <c r="K104" s="13" t="str">
        <f aca="false">IF($A104="","",SUMIFS(출고내역!$K$3:$K$802,출고내역!$D$3:$D$802,$A104))</f>
        <v/>
      </c>
    </row>
    <row r="105" customFormat="false" ht="15" hidden="false" customHeight="true" outlineLevel="0" collapsed="false">
      <c r="A105" s="12" t="str">
        <f aca="false">IF(품목마스터!$A102="","",품목마스터!$A102)</f>
        <v/>
      </c>
      <c r="B105" s="12" t="str">
        <f aca="false">IF($A105="","",품목마스터!$B102)</f>
        <v/>
      </c>
      <c r="C105" s="12" t="str">
        <f aca="false">IF($A105="","",품목마스터!$D102)</f>
        <v/>
      </c>
      <c r="D105" s="13" t="str">
        <f aca="false">IF($A105="","",IF(품목마스터!$E102="",0,품목마스터!$E102))</f>
        <v/>
      </c>
      <c r="E105" s="13" t="str">
        <f aca="false">IF($A105="","",SUMIFS(검수내역!$G$3:$G$802,검수내역!$D$3:$D$802,$A105))</f>
        <v/>
      </c>
      <c r="F105" s="13" t="str">
        <f aca="false">IF($A105="","",SUMIFS(출고내역!$G$3:$G$802,출고내역!$D$3:$D$802,$A105))</f>
        <v/>
      </c>
      <c r="G105" s="13" t="str">
        <f aca="false">IF($A105="","",SUMIFS(출고내역!$H$3:$H$802,출고내역!$D$3:$D$802,$A105))</f>
        <v/>
      </c>
      <c r="H105" s="13" t="str">
        <f aca="false">IF($A105="","",$F105+$G105)</f>
        <v/>
      </c>
      <c r="I105" s="13" t="str">
        <f aca="false">IF($A105="","",SUMIFS(재고조정!$E$3:$E$302,재고조정!$B$3:$B$302,$A105))</f>
        <v/>
      </c>
      <c r="J105" s="13" t="str">
        <f aca="false">IF($A105="","",$D105+$E105-$H105+$I105)</f>
        <v/>
      </c>
      <c r="K105" s="13" t="str">
        <f aca="false">IF($A105="","",SUMIFS(출고내역!$K$3:$K$802,출고내역!$D$3:$D$802,$A105))</f>
        <v/>
      </c>
    </row>
    <row r="106" customFormat="false" ht="15" hidden="false" customHeight="true" outlineLevel="0" collapsed="false">
      <c r="A106" s="12" t="str">
        <f aca="false">IF(품목마스터!$A103="","",품목마스터!$A103)</f>
        <v/>
      </c>
      <c r="B106" s="12" t="str">
        <f aca="false">IF($A106="","",품목마스터!$B103)</f>
        <v/>
      </c>
      <c r="C106" s="12" t="str">
        <f aca="false">IF($A106="","",품목마스터!$D103)</f>
        <v/>
      </c>
      <c r="D106" s="13" t="str">
        <f aca="false">IF($A106="","",IF(품목마스터!$E103="",0,품목마스터!$E103))</f>
        <v/>
      </c>
      <c r="E106" s="13" t="str">
        <f aca="false">IF($A106="","",SUMIFS(검수내역!$G$3:$G$802,검수내역!$D$3:$D$802,$A106))</f>
        <v/>
      </c>
      <c r="F106" s="13" t="str">
        <f aca="false">IF($A106="","",SUMIFS(출고내역!$G$3:$G$802,출고내역!$D$3:$D$802,$A106))</f>
        <v/>
      </c>
      <c r="G106" s="13" t="str">
        <f aca="false">IF($A106="","",SUMIFS(출고내역!$H$3:$H$802,출고내역!$D$3:$D$802,$A106))</f>
        <v/>
      </c>
      <c r="H106" s="13" t="str">
        <f aca="false">IF($A106="","",$F106+$G106)</f>
        <v/>
      </c>
      <c r="I106" s="13" t="str">
        <f aca="false">IF($A106="","",SUMIFS(재고조정!$E$3:$E$302,재고조정!$B$3:$B$302,$A106))</f>
        <v/>
      </c>
      <c r="J106" s="13" t="str">
        <f aca="false">IF($A106="","",$D106+$E106-$H106+$I106)</f>
        <v/>
      </c>
      <c r="K106" s="13" t="str">
        <f aca="false">IF($A106="","",SUMIFS(출고내역!$K$3:$K$802,출고내역!$D$3:$D$802,$A106))</f>
        <v/>
      </c>
    </row>
    <row r="107" customFormat="false" ht="15" hidden="false" customHeight="true" outlineLevel="0" collapsed="false">
      <c r="A107" s="12" t="str">
        <f aca="false">IF(품목마스터!$A104="","",품목마스터!$A104)</f>
        <v/>
      </c>
      <c r="B107" s="12" t="str">
        <f aca="false">IF($A107="","",품목마스터!$B104)</f>
        <v/>
      </c>
      <c r="C107" s="12" t="str">
        <f aca="false">IF($A107="","",품목마스터!$D104)</f>
        <v/>
      </c>
      <c r="D107" s="13" t="str">
        <f aca="false">IF($A107="","",IF(품목마스터!$E104="",0,품목마스터!$E104))</f>
        <v/>
      </c>
      <c r="E107" s="13" t="str">
        <f aca="false">IF($A107="","",SUMIFS(검수내역!$G$3:$G$802,검수내역!$D$3:$D$802,$A107))</f>
        <v/>
      </c>
      <c r="F107" s="13" t="str">
        <f aca="false">IF($A107="","",SUMIFS(출고내역!$G$3:$G$802,출고내역!$D$3:$D$802,$A107))</f>
        <v/>
      </c>
      <c r="G107" s="13" t="str">
        <f aca="false">IF($A107="","",SUMIFS(출고내역!$H$3:$H$802,출고내역!$D$3:$D$802,$A107))</f>
        <v/>
      </c>
      <c r="H107" s="13" t="str">
        <f aca="false">IF($A107="","",$F107+$G107)</f>
        <v/>
      </c>
      <c r="I107" s="13" t="str">
        <f aca="false">IF($A107="","",SUMIFS(재고조정!$E$3:$E$302,재고조정!$B$3:$B$302,$A107))</f>
        <v/>
      </c>
      <c r="J107" s="13" t="str">
        <f aca="false">IF($A107="","",$D107+$E107-$H107+$I107)</f>
        <v/>
      </c>
      <c r="K107" s="13" t="str">
        <f aca="false">IF($A107="","",SUMIFS(출고내역!$K$3:$K$802,출고내역!$D$3:$D$802,$A107))</f>
        <v/>
      </c>
    </row>
    <row r="108" customFormat="false" ht="15" hidden="false" customHeight="true" outlineLevel="0" collapsed="false">
      <c r="A108" s="12" t="str">
        <f aca="false">IF(품목마스터!$A105="","",품목마스터!$A105)</f>
        <v/>
      </c>
      <c r="B108" s="12" t="str">
        <f aca="false">IF($A108="","",품목마스터!$B105)</f>
        <v/>
      </c>
      <c r="C108" s="12" t="str">
        <f aca="false">IF($A108="","",품목마스터!$D105)</f>
        <v/>
      </c>
      <c r="D108" s="13" t="str">
        <f aca="false">IF($A108="","",IF(품목마스터!$E105="",0,품목마스터!$E105))</f>
        <v/>
      </c>
      <c r="E108" s="13" t="str">
        <f aca="false">IF($A108="","",SUMIFS(검수내역!$G$3:$G$802,검수내역!$D$3:$D$802,$A108))</f>
        <v/>
      </c>
      <c r="F108" s="13" t="str">
        <f aca="false">IF($A108="","",SUMIFS(출고내역!$G$3:$G$802,출고내역!$D$3:$D$802,$A108))</f>
        <v/>
      </c>
      <c r="G108" s="13" t="str">
        <f aca="false">IF($A108="","",SUMIFS(출고내역!$H$3:$H$802,출고내역!$D$3:$D$802,$A108))</f>
        <v/>
      </c>
      <c r="H108" s="13" t="str">
        <f aca="false">IF($A108="","",$F108+$G108)</f>
        <v/>
      </c>
      <c r="I108" s="13" t="str">
        <f aca="false">IF($A108="","",SUMIFS(재고조정!$E$3:$E$302,재고조정!$B$3:$B$302,$A108))</f>
        <v/>
      </c>
      <c r="J108" s="13" t="str">
        <f aca="false">IF($A108="","",$D108+$E108-$H108+$I108)</f>
        <v/>
      </c>
      <c r="K108" s="13" t="str">
        <f aca="false">IF($A108="","",SUMIFS(출고내역!$K$3:$K$802,출고내역!$D$3:$D$802,$A108))</f>
        <v/>
      </c>
    </row>
    <row r="109" customFormat="false" ht="15" hidden="false" customHeight="true" outlineLevel="0" collapsed="false">
      <c r="A109" s="12" t="str">
        <f aca="false">IF(품목마스터!$A106="","",품목마스터!$A106)</f>
        <v/>
      </c>
      <c r="B109" s="12" t="str">
        <f aca="false">IF($A109="","",품목마스터!$B106)</f>
        <v/>
      </c>
      <c r="C109" s="12" t="str">
        <f aca="false">IF($A109="","",품목마스터!$D106)</f>
        <v/>
      </c>
      <c r="D109" s="13" t="str">
        <f aca="false">IF($A109="","",IF(품목마스터!$E106="",0,품목마스터!$E106))</f>
        <v/>
      </c>
      <c r="E109" s="13" t="str">
        <f aca="false">IF($A109="","",SUMIFS(검수내역!$G$3:$G$802,검수내역!$D$3:$D$802,$A109))</f>
        <v/>
      </c>
      <c r="F109" s="13" t="str">
        <f aca="false">IF($A109="","",SUMIFS(출고내역!$G$3:$G$802,출고내역!$D$3:$D$802,$A109))</f>
        <v/>
      </c>
      <c r="G109" s="13" t="str">
        <f aca="false">IF($A109="","",SUMIFS(출고내역!$H$3:$H$802,출고내역!$D$3:$D$802,$A109))</f>
        <v/>
      </c>
      <c r="H109" s="13" t="str">
        <f aca="false">IF($A109="","",$F109+$G109)</f>
        <v/>
      </c>
      <c r="I109" s="13" t="str">
        <f aca="false">IF($A109="","",SUMIFS(재고조정!$E$3:$E$302,재고조정!$B$3:$B$302,$A109))</f>
        <v/>
      </c>
      <c r="J109" s="13" t="str">
        <f aca="false">IF($A109="","",$D109+$E109-$H109+$I109)</f>
        <v/>
      </c>
      <c r="K109" s="13" t="str">
        <f aca="false">IF($A109="","",SUMIFS(출고내역!$K$3:$K$802,출고내역!$D$3:$D$802,$A109))</f>
        <v/>
      </c>
    </row>
    <row r="110" customFormat="false" ht="15" hidden="false" customHeight="true" outlineLevel="0" collapsed="false">
      <c r="A110" s="12" t="str">
        <f aca="false">IF(품목마스터!$A107="","",품목마스터!$A107)</f>
        <v/>
      </c>
      <c r="B110" s="12" t="str">
        <f aca="false">IF($A110="","",품목마스터!$B107)</f>
        <v/>
      </c>
      <c r="C110" s="12" t="str">
        <f aca="false">IF($A110="","",품목마스터!$D107)</f>
        <v/>
      </c>
      <c r="D110" s="13" t="str">
        <f aca="false">IF($A110="","",IF(품목마스터!$E107="",0,품목마스터!$E107))</f>
        <v/>
      </c>
      <c r="E110" s="13" t="str">
        <f aca="false">IF($A110="","",SUMIFS(검수내역!$G$3:$G$802,검수내역!$D$3:$D$802,$A110))</f>
        <v/>
      </c>
      <c r="F110" s="13" t="str">
        <f aca="false">IF($A110="","",SUMIFS(출고내역!$G$3:$G$802,출고내역!$D$3:$D$802,$A110))</f>
        <v/>
      </c>
      <c r="G110" s="13" t="str">
        <f aca="false">IF($A110="","",SUMIFS(출고내역!$H$3:$H$802,출고내역!$D$3:$D$802,$A110))</f>
        <v/>
      </c>
      <c r="H110" s="13" t="str">
        <f aca="false">IF($A110="","",$F110+$G110)</f>
        <v/>
      </c>
      <c r="I110" s="13" t="str">
        <f aca="false">IF($A110="","",SUMIFS(재고조정!$E$3:$E$302,재고조정!$B$3:$B$302,$A110))</f>
        <v/>
      </c>
      <c r="J110" s="13" t="str">
        <f aca="false">IF($A110="","",$D110+$E110-$H110+$I110)</f>
        <v/>
      </c>
      <c r="K110" s="13" t="str">
        <f aca="false">IF($A110="","",SUMIFS(출고내역!$K$3:$K$802,출고내역!$D$3:$D$802,$A110))</f>
        <v/>
      </c>
    </row>
    <row r="111" customFormat="false" ht="15" hidden="false" customHeight="true" outlineLevel="0" collapsed="false">
      <c r="A111" s="12" t="str">
        <f aca="false">IF(품목마스터!$A108="","",품목마스터!$A108)</f>
        <v/>
      </c>
      <c r="B111" s="12" t="str">
        <f aca="false">IF($A111="","",품목마스터!$B108)</f>
        <v/>
      </c>
      <c r="C111" s="12" t="str">
        <f aca="false">IF($A111="","",품목마스터!$D108)</f>
        <v/>
      </c>
      <c r="D111" s="13" t="str">
        <f aca="false">IF($A111="","",IF(품목마스터!$E108="",0,품목마스터!$E108))</f>
        <v/>
      </c>
      <c r="E111" s="13" t="str">
        <f aca="false">IF($A111="","",SUMIFS(검수내역!$G$3:$G$802,검수내역!$D$3:$D$802,$A111))</f>
        <v/>
      </c>
      <c r="F111" s="13" t="str">
        <f aca="false">IF($A111="","",SUMIFS(출고내역!$G$3:$G$802,출고내역!$D$3:$D$802,$A111))</f>
        <v/>
      </c>
      <c r="G111" s="13" t="str">
        <f aca="false">IF($A111="","",SUMIFS(출고내역!$H$3:$H$802,출고내역!$D$3:$D$802,$A111))</f>
        <v/>
      </c>
      <c r="H111" s="13" t="str">
        <f aca="false">IF($A111="","",$F111+$G111)</f>
        <v/>
      </c>
      <c r="I111" s="13" t="str">
        <f aca="false">IF($A111="","",SUMIFS(재고조정!$E$3:$E$302,재고조정!$B$3:$B$302,$A111))</f>
        <v/>
      </c>
      <c r="J111" s="13" t="str">
        <f aca="false">IF($A111="","",$D111+$E111-$H111+$I111)</f>
        <v/>
      </c>
      <c r="K111" s="13" t="str">
        <f aca="false">IF($A111="","",SUMIFS(출고내역!$K$3:$K$802,출고내역!$D$3:$D$802,$A111))</f>
        <v/>
      </c>
    </row>
    <row r="112" customFormat="false" ht="15" hidden="false" customHeight="true" outlineLevel="0" collapsed="false">
      <c r="A112" s="12" t="str">
        <f aca="false">IF(품목마스터!$A109="","",품목마스터!$A109)</f>
        <v/>
      </c>
      <c r="B112" s="12" t="str">
        <f aca="false">IF($A112="","",품목마스터!$B109)</f>
        <v/>
      </c>
      <c r="C112" s="12" t="str">
        <f aca="false">IF($A112="","",품목마스터!$D109)</f>
        <v/>
      </c>
      <c r="D112" s="13" t="str">
        <f aca="false">IF($A112="","",IF(품목마스터!$E109="",0,품목마스터!$E109))</f>
        <v/>
      </c>
      <c r="E112" s="13" t="str">
        <f aca="false">IF($A112="","",SUMIFS(검수내역!$G$3:$G$802,검수내역!$D$3:$D$802,$A112))</f>
        <v/>
      </c>
      <c r="F112" s="13" t="str">
        <f aca="false">IF($A112="","",SUMIFS(출고내역!$G$3:$G$802,출고내역!$D$3:$D$802,$A112))</f>
        <v/>
      </c>
      <c r="G112" s="13" t="str">
        <f aca="false">IF($A112="","",SUMIFS(출고내역!$H$3:$H$802,출고내역!$D$3:$D$802,$A112))</f>
        <v/>
      </c>
      <c r="H112" s="13" t="str">
        <f aca="false">IF($A112="","",$F112+$G112)</f>
        <v/>
      </c>
      <c r="I112" s="13" t="str">
        <f aca="false">IF($A112="","",SUMIFS(재고조정!$E$3:$E$302,재고조정!$B$3:$B$302,$A112))</f>
        <v/>
      </c>
      <c r="J112" s="13" t="str">
        <f aca="false">IF($A112="","",$D112+$E112-$H112+$I112)</f>
        <v/>
      </c>
      <c r="K112" s="13" t="str">
        <f aca="false">IF($A112="","",SUMIFS(출고내역!$K$3:$K$802,출고내역!$D$3:$D$802,$A112))</f>
        <v/>
      </c>
    </row>
    <row r="113" customFormat="false" ht="15" hidden="false" customHeight="true" outlineLevel="0" collapsed="false">
      <c r="A113" s="12" t="str">
        <f aca="false">IF(품목마스터!$A110="","",품목마스터!$A110)</f>
        <v/>
      </c>
      <c r="B113" s="12" t="str">
        <f aca="false">IF($A113="","",품목마스터!$B110)</f>
        <v/>
      </c>
      <c r="C113" s="12" t="str">
        <f aca="false">IF($A113="","",품목마스터!$D110)</f>
        <v/>
      </c>
      <c r="D113" s="13" t="str">
        <f aca="false">IF($A113="","",IF(품목마스터!$E110="",0,품목마스터!$E110))</f>
        <v/>
      </c>
      <c r="E113" s="13" t="str">
        <f aca="false">IF($A113="","",SUMIFS(검수내역!$G$3:$G$802,검수내역!$D$3:$D$802,$A113))</f>
        <v/>
      </c>
      <c r="F113" s="13" t="str">
        <f aca="false">IF($A113="","",SUMIFS(출고내역!$G$3:$G$802,출고내역!$D$3:$D$802,$A113))</f>
        <v/>
      </c>
      <c r="G113" s="13" t="str">
        <f aca="false">IF($A113="","",SUMIFS(출고내역!$H$3:$H$802,출고내역!$D$3:$D$802,$A113))</f>
        <v/>
      </c>
      <c r="H113" s="13" t="str">
        <f aca="false">IF($A113="","",$F113+$G113)</f>
        <v/>
      </c>
      <c r="I113" s="13" t="str">
        <f aca="false">IF($A113="","",SUMIFS(재고조정!$E$3:$E$302,재고조정!$B$3:$B$302,$A113))</f>
        <v/>
      </c>
      <c r="J113" s="13" t="str">
        <f aca="false">IF($A113="","",$D113+$E113-$H113+$I113)</f>
        <v/>
      </c>
      <c r="K113" s="13" t="str">
        <f aca="false">IF($A113="","",SUMIFS(출고내역!$K$3:$K$802,출고내역!$D$3:$D$802,$A113))</f>
        <v/>
      </c>
    </row>
    <row r="114" customFormat="false" ht="15" hidden="false" customHeight="true" outlineLevel="0" collapsed="false">
      <c r="A114" s="12" t="str">
        <f aca="false">IF(품목마스터!$A111="","",품목마스터!$A111)</f>
        <v/>
      </c>
      <c r="B114" s="12" t="str">
        <f aca="false">IF($A114="","",품목마스터!$B111)</f>
        <v/>
      </c>
      <c r="C114" s="12" t="str">
        <f aca="false">IF($A114="","",품목마스터!$D111)</f>
        <v/>
      </c>
      <c r="D114" s="13" t="str">
        <f aca="false">IF($A114="","",IF(품목마스터!$E111="",0,품목마스터!$E111))</f>
        <v/>
      </c>
      <c r="E114" s="13" t="str">
        <f aca="false">IF($A114="","",SUMIFS(검수내역!$G$3:$G$802,검수내역!$D$3:$D$802,$A114))</f>
        <v/>
      </c>
      <c r="F114" s="13" t="str">
        <f aca="false">IF($A114="","",SUMIFS(출고내역!$G$3:$G$802,출고내역!$D$3:$D$802,$A114))</f>
        <v/>
      </c>
      <c r="G114" s="13" t="str">
        <f aca="false">IF($A114="","",SUMIFS(출고내역!$H$3:$H$802,출고내역!$D$3:$D$802,$A114))</f>
        <v/>
      </c>
      <c r="H114" s="13" t="str">
        <f aca="false">IF($A114="","",$F114+$G114)</f>
        <v/>
      </c>
      <c r="I114" s="13" t="str">
        <f aca="false">IF($A114="","",SUMIFS(재고조정!$E$3:$E$302,재고조정!$B$3:$B$302,$A114))</f>
        <v/>
      </c>
      <c r="J114" s="13" t="str">
        <f aca="false">IF($A114="","",$D114+$E114-$H114+$I114)</f>
        <v/>
      </c>
      <c r="K114" s="13" t="str">
        <f aca="false">IF($A114="","",SUMIFS(출고내역!$K$3:$K$802,출고내역!$D$3:$D$802,$A114))</f>
        <v/>
      </c>
    </row>
    <row r="115" customFormat="false" ht="15" hidden="false" customHeight="true" outlineLevel="0" collapsed="false">
      <c r="A115" s="12" t="str">
        <f aca="false">IF(품목마스터!$A112="","",품목마스터!$A112)</f>
        <v/>
      </c>
      <c r="B115" s="12" t="str">
        <f aca="false">IF($A115="","",품목마스터!$B112)</f>
        <v/>
      </c>
      <c r="C115" s="12" t="str">
        <f aca="false">IF($A115="","",품목마스터!$D112)</f>
        <v/>
      </c>
      <c r="D115" s="13" t="str">
        <f aca="false">IF($A115="","",IF(품목마스터!$E112="",0,품목마스터!$E112))</f>
        <v/>
      </c>
      <c r="E115" s="13" t="str">
        <f aca="false">IF($A115="","",SUMIFS(검수내역!$G$3:$G$802,검수내역!$D$3:$D$802,$A115))</f>
        <v/>
      </c>
      <c r="F115" s="13" t="str">
        <f aca="false">IF($A115="","",SUMIFS(출고내역!$G$3:$G$802,출고내역!$D$3:$D$802,$A115))</f>
        <v/>
      </c>
      <c r="G115" s="13" t="str">
        <f aca="false">IF($A115="","",SUMIFS(출고내역!$H$3:$H$802,출고내역!$D$3:$D$802,$A115))</f>
        <v/>
      </c>
      <c r="H115" s="13" t="str">
        <f aca="false">IF($A115="","",$F115+$G115)</f>
        <v/>
      </c>
      <c r="I115" s="13" t="str">
        <f aca="false">IF($A115="","",SUMIFS(재고조정!$E$3:$E$302,재고조정!$B$3:$B$302,$A115))</f>
        <v/>
      </c>
      <c r="J115" s="13" t="str">
        <f aca="false">IF($A115="","",$D115+$E115-$H115+$I115)</f>
        <v/>
      </c>
      <c r="K115" s="13" t="str">
        <f aca="false">IF($A115="","",SUMIFS(출고내역!$K$3:$K$802,출고내역!$D$3:$D$802,$A115))</f>
        <v/>
      </c>
    </row>
    <row r="116" customFormat="false" ht="15" hidden="false" customHeight="true" outlineLevel="0" collapsed="false">
      <c r="A116" s="12" t="str">
        <f aca="false">IF(품목마스터!$A113="","",품목마스터!$A113)</f>
        <v/>
      </c>
      <c r="B116" s="12" t="str">
        <f aca="false">IF($A116="","",품목마스터!$B113)</f>
        <v/>
      </c>
      <c r="C116" s="12" t="str">
        <f aca="false">IF($A116="","",품목마스터!$D113)</f>
        <v/>
      </c>
      <c r="D116" s="13" t="str">
        <f aca="false">IF($A116="","",IF(품목마스터!$E113="",0,품목마스터!$E113))</f>
        <v/>
      </c>
      <c r="E116" s="13" t="str">
        <f aca="false">IF($A116="","",SUMIFS(검수내역!$G$3:$G$802,검수내역!$D$3:$D$802,$A116))</f>
        <v/>
      </c>
      <c r="F116" s="13" t="str">
        <f aca="false">IF($A116="","",SUMIFS(출고내역!$G$3:$G$802,출고내역!$D$3:$D$802,$A116))</f>
        <v/>
      </c>
      <c r="G116" s="13" t="str">
        <f aca="false">IF($A116="","",SUMIFS(출고내역!$H$3:$H$802,출고내역!$D$3:$D$802,$A116))</f>
        <v/>
      </c>
      <c r="H116" s="13" t="str">
        <f aca="false">IF($A116="","",$F116+$G116)</f>
        <v/>
      </c>
      <c r="I116" s="13" t="str">
        <f aca="false">IF($A116="","",SUMIFS(재고조정!$E$3:$E$302,재고조정!$B$3:$B$302,$A116))</f>
        <v/>
      </c>
      <c r="J116" s="13" t="str">
        <f aca="false">IF($A116="","",$D116+$E116-$H116+$I116)</f>
        <v/>
      </c>
      <c r="K116" s="13" t="str">
        <f aca="false">IF($A116="","",SUMIFS(출고내역!$K$3:$K$802,출고내역!$D$3:$D$802,$A116))</f>
        <v/>
      </c>
    </row>
    <row r="117" customFormat="false" ht="15" hidden="false" customHeight="true" outlineLevel="0" collapsed="false">
      <c r="A117" s="12" t="str">
        <f aca="false">IF(품목마스터!$A114="","",품목마스터!$A114)</f>
        <v/>
      </c>
      <c r="B117" s="12" t="str">
        <f aca="false">IF($A117="","",품목마스터!$B114)</f>
        <v/>
      </c>
      <c r="C117" s="12" t="str">
        <f aca="false">IF($A117="","",품목마스터!$D114)</f>
        <v/>
      </c>
      <c r="D117" s="13" t="str">
        <f aca="false">IF($A117="","",IF(품목마스터!$E114="",0,품목마스터!$E114))</f>
        <v/>
      </c>
      <c r="E117" s="13" t="str">
        <f aca="false">IF($A117="","",SUMIFS(검수내역!$G$3:$G$802,검수내역!$D$3:$D$802,$A117))</f>
        <v/>
      </c>
      <c r="F117" s="13" t="str">
        <f aca="false">IF($A117="","",SUMIFS(출고내역!$G$3:$G$802,출고내역!$D$3:$D$802,$A117))</f>
        <v/>
      </c>
      <c r="G117" s="13" t="str">
        <f aca="false">IF($A117="","",SUMIFS(출고내역!$H$3:$H$802,출고내역!$D$3:$D$802,$A117))</f>
        <v/>
      </c>
      <c r="H117" s="13" t="str">
        <f aca="false">IF($A117="","",$F117+$G117)</f>
        <v/>
      </c>
      <c r="I117" s="13" t="str">
        <f aca="false">IF($A117="","",SUMIFS(재고조정!$E$3:$E$302,재고조정!$B$3:$B$302,$A117))</f>
        <v/>
      </c>
      <c r="J117" s="13" t="str">
        <f aca="false">IF($A117="","",$D117+$E117-$H117+$I117)</f>
        <v/>
      </c>
      <c r="K117" s="13" t="str">
        <f aca="false">IF($A117="","",SUMIFS(출고내역!$K$3:$K$802,출고내역!$D$3:$D$802,$A117))</f>
        <v/>
      </c>
    </row>
    <row r="118" customFormat="false" ht="15" hidden="false" customHeight="true" outlineLevel="0" collapsed="false">
      <c r="A118" s="12" t="str">
        <f aca="false">IF(품목마스터!$A115="","",품목마스터!$A115)</f>
        <v/>
      </c>
      <c r="B118" s="12" t="str">
        <f aca="false">IF($A118="","",품목마스터!$B115)</f>
        <v/>
      </c>
      <c r="C118" s="12" t="str">
        <f aca="false">IF($A118="","",품목마스터!$D115)</f>
        <v/>
      </c>
      <c r="D118" s="13" t="str">
        <f aca="false">IF($A118="","",IF(품목마스터!$E115="",0,품목마스터!$E115))</f>
        <v/>
      </c>
      <c r="E118" s="13" t="str">
        <f aca="false">IF($A118="","",SUMIFS(검수내역!$G$3:$G$802,검수내역!$D$3:$D$802,$A118))</f>
        <v/>
      </c>
      <c r="F118" s="13" t="str">
        <f aca="false">IF($A118="","",SUMIFS(출고내역!$G$3:$G$802,출고내역!$D$3:$D$802,$A118))</f>
        <v/>
      </c>
      <c r="G118" s="13" t="str">
        <f aca="false">IF($A118="","",SUMIFS(출고내역!$H$3:$H$802,출고내역!$D$3:$D$802,$A118))</f>
        <v/>
      </c>
      <c r="H118" s="13" t="str">
        <f aca="false">IF($A118="","",$F118+$G118)</f>
        <v/>
      </c>
      <c r="I118" s="13" t="str">
        <f aca="false">IF($A118="","",SUMIFS(재고조정!$E$3:$E$302,재고조정!$B$3:$B$302,$A118))</f>
        <v/>
      </c>
      <c r="J118" s="13" t="str">
        <f aca="false">IF($A118="","",$D118+$E118-$H118+$I118)</f>
        <v/>
      </c>
      <c r="K118" s="13" t="str">
        <f aca="false">IF($A118="","",SUMIFS(출고내역!$K$3:$K$802,출고내역!$D$3:$D$802,$A118))</f>
        <v/>
      </c>
    </row>
    <row r="119" customFormat="false" ht="15" hidden="false" customHeight="true" outlineLevel="0" collapsed="false">
      <c r="A119" s="12" t="str">
        <f aca="false">IF(품목마스터!$A116="","",품목마스터!$A116)</f>
        <v/>
      </c>
      <c r="B119" s="12" t="str">
        <f aca="false">IF($A119="","",품목마스터!$B116)</f>
        <v/>
      </c>
      <c r="C119" s="12" t="str">
        <f aca="false">IF($A119="","",품목마스터!$D116)</f>
        <v/>
      </c>
      <c r="D119" s="13" t="str">
        <f aca="false">IF($A119="","",IF(품목마스터!$E116="",0,품목마스터!$E116))</f>
        <v/>
      </c>
      <c r="E119" s="13" t="str">
        <f aca="false">IF($A119="","",SUMIFS(검수내역!$G$3:$G$802,검수내역!$D$3:$D$802,$A119))</f>
        <v/>
      </c>
      <c r="F119" s="13" t="str">
        <f aca="false">IF($A119="","",SUMIFS(출고내역!$G$3:$G$802,출고내역!$D$3:$D$802,$A119))</f>
        <v/>
      </c>
      <c r="G119" s="13" t="str">
        <f aca="false">IF($A119="","",SUMIFS(출고내역!$H$3:$H$802,출고내역!$D$3:$D$802,$A119))</f>
        <v/>
      </c>
      <c r="H119" s="13" t="str">
        <f aca="false">IF($A119="","",$F119+$G119)</f>
        <v/>
      </c>
      <c r="I119" s="13" t="str">
        <f aca="false">IF($A119="","",SUMIFS(재고조정!$E$3:$E$302,재고조정!$B$3:$B$302,$A119))</f>
        <v/>
      </c>
      <c r="J119" s="13" t="str">
        <f aca="false">IF($A119="","",$D119+$E119-$H119+$I119)</f>
        <v/>
      </c>
      <c r="K119" s="13" t="str">
        <f aca="false">IF($A119="","",SUMIFS(출고내역!$K$3:$K$802,출고내역!$D$3:$D$802,$A119))</f>
        <v/>
      </c>
    </row>
    <row r="120" customFormat="false" ht="15" hidden="false" customHeight="true" outlineLevel="0" collapsed="false">
      <c r="A120" s="12" t="str">
        <f aca="false">IF(품목마스터!$A117="","",품목마스터!$A117)</f>
        <v/>
      </c>
      <c r="B120" s="12" t="str">
        <f aca="false">IF($A120="","",품목마스터!$B117)</f>
        <v/>
      </c>
      <c r="C120" s="12" t="str">
        <f aca="false">IF($A120="","",품목마스터!$D117)</f>
        <v/>
      </c>
      <c r="D120" s="13" t="str">
        <f aca="false">IF($A120="","",IF(품목마스터!$E117="",0,품목마스터!$E117))</f>
        <v/>
      </c>
      <c r="E120" s="13" t="str">
        <f aca="false">IF($A120="","",SUMIFS(검수내역!$G$3:$G$802,검수내역!$D$3:$D$802,$A120))</f>
        <v/>
      </c>
      <c r="F120" s="13" t="str">
        <f aca="false">IF($A120="","",SUMIFS(출고내역!$G$3:$G$802,출고내역!$D$3:$D$802,$A120))</f>
        <v/>
      </c>
      <c r="G120" s="13" t="str">
        <f aca="false">IF($A120="","",SUMIFS(출고내역!$H$3:$H$802,출고내역!$D$3:$D$802,$A120))</f>
        <v/>
      </c>
      <c r="H120" s="13" t="str">
        <f aca="false">IF($A120="","",$F120+$G120)</f>
        <v/>
      </c>
      <c r="I120" s="13" t="str">
        <f aca="false">IF($A120="","",SUMIFS(재고조정!$E$3:$E$302,재고조정!$B$3:$B$302,$A120))</f>
        <v/>
      </c>
      <c r="J120" s="13" t="str">
        <f aca="false">IF($A120="","",$D120+$E120-$H120+$I120)</f>
        <v/>
      </c>
      <c r="K120" s="13" t="str">
        <f aca="false">IF($A120="","",SUMIFS(출고내역!$K$3:$K$802,출고내역!$D$3:$D$802,$A120))</f>
        <v/>
      </c>
    </row>
    <row r="121" customFormat="false" ht="15" hidden="false" customHeight="true" outlineLevel="0" collapsed="false">
      <c r="A121" s="12" t="str">
        <f aca="false">IF(품목마스터!$A118="","",품목마스터!$A118)</f>
        <v/>
      </c>
      <c r="B121" s="12" t="str">
        <f aca="false">IF($A121="","",품목마스터!$B118)</f>
        <v/>
      </c>
      <c r="C121" s="12" t="str">
        <f aca="false">IF($A121="","",품목마스터!$D118)</f>
        <v/>
      </c>
      <c r="D121" s="13" t="str">
        <f aca="false">IF($A121="","",IF(품목마스터!$E118="",0,품목마스터!$E118))</f>
        <v/>
      </c>
      <c r="E121" s="13" t="str">
        <f aca="false">IF($A121="","",SUMIFS(검수내역!$G$3:$G$802,검수내역!$D$3:$D$802,$A121))</f>
        <v/>
      </c>
      <c r="F121" s="13" t="str">
        <f aca="false">IF($A121="","",SUMIFS(출고내역!$G$3:$G$802,출고내역!$D$3:$D$802,$A121))</f>
        <v/>
      </c>
      <c r="G121" s="13" t="str">
        <f aca="false">IF($A121="","",SUMIFS(출고내역!$H$3:$H$802,출고내역!$D$3:$D$802,$A121))</f>
        <v/>
      </c>
      <c r="H121" s="13" t="str">
        <f aca="false">IF($A121="","",$F121+$G121)</f>
        <v/>
      </c>
      <c r="I121" s="13" t="str">
        <f aca="false">IF($A121="","",SUMIFS(재고조정!$E$3:$E$302,재고조정!$B$3:$B$302,$A121))</f>
        <v/>
      </c>
      <c r="J121" s="13" t="str">
        <f aca="false">IF($A121="","",$D121+$E121-$H121+$I121)</f>
        <v/>
      </c>
      <c r="K121" s="13" t="str">
        <f aca="false">IF($A121="","",SUMIFS(출고내역!$K$3:$K$802,출고내역!$D$3:$D$802,$A121))</f>
        <v/>
      </c>
    </row>
    <row r="122" customFormat="false" ht="15" hidden="false" customHeight="true" outlineLevel="0" collapsed="false">
      <c r="A122" s="12" t="str">
        <f aca="false">IF(품목마스터!$A119="","",품목마스터!$A119)</f>
        <v/>
      </c>
      <c r="B122" s="12" t="str">
        <f aca="false">IF($A122="","",품목마스터!$B119)</f>
        <v/>
      </c>
      <c r="C122" s="12" t="str">
        <f aca="false">IF($A122="","",품목마스터!$D119)</f>
        <v/>
      </c>
      <c r="D122" s="13" t="str">
        <f aca="false">IF($A122="","",IF(품목마스터!$E119="",0,품목마스터!$E119))</f>
        <v/>
      </c>
      <c r="E122" s="13" t="str">
        <f aca="false">IF($A122="","",SUMIFS(검수내역!$G$3:$G$802,검수내역!$D$3:$D$802,$A122))</f>
        <v/>
      </c>
      <c r="F122" s="13" t="str">
        <f aca="false">IF($A122="","",SUMIFS(출고내역!$G$3:$G$802,출고내역!$D$3:$D$802,$A122))</f>
        <v/>
      </c>
      <c r="G122" s="13" t="str">
        <f aca="false">IF($A122="","",SUMIFS(출고내역!$H$3:$H$802,출고내역!$D$3:$D$802,$A122))</f>
        <v/>
      </c>
      <c r="H122" s="13" t="str">
        <f aca="false">IF($A122="","",$F122+$G122)</f>
        <v/>
      </c>
      <c r="I122" s="13" t="str">
        <f aca="false">IF($A122="","",SUMIFS(재고조정!$E$3:$E$302,재고조정!$B$3:$B$302,$A122))</f>
        <v/>
      </c>
      <c r="J122" s="13" t="str">
        <f aca="false">IF($A122="","",$D122+$E122-$H122+$I122)</f>
        <v/>
      </c>
      <c r="K122" s="13" t="str">
        <f aca="false">IF($A122="","",SUMIFS(출고내역!$K$3:$K$802,출고내역!$D$3:$D$802,$A122))</f>
        <v/>
      </c>
    </row>
    <row r="123" customFormat="false" ht="15" hidden="false" customHeight="true" outlineLevel="0" collapsed="false">
      <c r="A123" s="12" t="str">
        <f aca="false">IF(품목마스터!$A120="","",품목마스터!$A120)</f>
        <v/>
      </c>
      <c r="B123" s="12" t="str">
        <f aca="false">IF($A123="","",품목마스터!$B120)</f>
        <v/>
      </c>
      <c r="C123" s="12" t="str">
        <f aca="false">IF($A123="","",품목마스터!$D120)</f>
        <v/>
      </c>
      <c r="D123" s="13" t="str">
        <f aca="false">IF($A123="","",IF(품목마스터!$E120="",0,품목마스터!$E120))</f>
        <v/>
      </c>
      <c r="E123" s="13" t="str">
        <f aca="false">IF($A123="","",SUMIFS(검수내역!$G$3:$G$802,검수내역!$D$3:$D$802,$A123))</f>
        <v/>
      </c>
      <c r="F123" s="13" t="str">
        <f aca="false">IF($A123="","",SUMIFS(출고내역!$G$3:$G$802,출고내역!$D$3:$D$802,$A123))</f>
        <v/>
      </c>
      <c r="G123" s="13" t="str">
        <f aca="false">IF($A123="","",SUMIFS(출고내역!$H$3:$H$802,출고내역!$D$3:$D$802,$A123))</f>
        <v/>
      </c>
      <c r="H123" s="13" t="str">
        <f aca="false">IF($A123="","",$F123+$G123)</f>
        <v/>
      </c>
      <c r="I123" s="13" t="str">
        <f aca="false">IF($A123="","",SUMIFS(재고조정!$E$3:$E$302,재고조정!$B$3:$B$302,$A123))</f>
        <v/>
      </c>
      <c r="J123" s="13" t="str">
        <f aca="false">IF($A123="","",$D123+$E123-$H123+$I123)</f>
        <v/>
      </c>
      <c r="K123" s="13" t="str">
        <f aca="false">IF($A123="","",SUMIFS(출고내역!$K$3:$K$802,출고내역!$D$3:$D$802,$A123))</f>
        <v/>
      </c>
    </row>
    <row r="124" customFormat="false" ht="15" hidden="false" customHeight="true" outlineLevel="0" collapsed="false">
      <c r="A124" s="12" t="str">
        <f aca="false">IF(품목마스터!$A121="","",품목마스터!$A121)</f>
        <v/>
      </c>
      <c r="B124" s="12" t="str">
        <f aca="false">IF($A124="","",품목마스터!$B121)</f>
        <v/>
      </c>
      <c r="C124" s="12" t="str">
        <f aca="false">IF($A124="","",품목마스터!$D121)</f>
        <v/>
      </c>
      <c r="D124" s="13" t="str">
        <f aca="false">IF($A124="","",IF(품목마스터!$E121="",0,품목마스터!$E121))</f>
        <v/>
      </c>
      <c r="E124" s="13" t="str">
        <f aca="false">IF($A124="","",SUMIFS(검수내역!$G$3:$G$802,검수내역!$D$3:$D$802,$A124))</f>
        <v/>
      </c>
      <c r="F124" s="13" t="str">
        <f aca="false">IF($A124="","",SUMIFS(출고내역!$G$3:$G$802,출고내역!$D$3:$D$802,$A124))</f>
        <v/>
      </c>
      <c r="G124" s="13" t="str">
        <f aca="false">IF($A124="","",SUMIFS(출고내역!$H$3:$H$802,출고내역!$D$3:$D$802,$A124))</f>
        <v/>
      </c>
      <c r="H124" s="13" t="str">
        <f aca="false">IF($A124="","",$F124+$G124)</f>
        <v/>
      </c>
      <c r="I124" s="13" t="str">
        <f aca="false">IF($A124="","",SUMIFS(재고조정!$E$3:$E$302,재고조정!$B$3:$B$302,$A124))</f>
        <v/>
      </c>
      <c r="J124" s="13" t="str">
        <f aca="false">IF($A124="","",$D124+$E124-$H124+$I124)</f>
        <v/>
      </c>
      <c r="K124" s="13" t="str">
        <f aca="false">IF($A124="","",SUMIFS(출고내역!$K$3:$K$802,출고내역!$D$3:$D$802,$A124))</f>
        <v/>
      </c>
    </row>
    <row r="125" customFormat="false" ht="15" hidden="false" customHeight="true" outlineLevel="0" collapsed="false">
      <c r="A125" s="12" t="str">
        <f aca="false">IF(품목마스터!$A122="","",품목마스터!$A122)</f>
        <v/>
      </c>
      <c r="B125" s="12" t="str">
        <f aca="false">IF($A125="","",품목마스터!$B122)</f>
        <v/>
      </c>
      <c r="C125" s="12" t="str">
        <f aca="false">IF($A125="","",품목마스터!$D122)</f>
        <v/>
      </c>
      <c r="D125" s="13" t="str">
        <f aca="false">IF($A125="","",IF(품목마스터!$E122="",0,품목마스터!$E122))</f>
        <v/>
      </c>
      <c r="E125" s="13" t="str">
        <f aca="false">IF($A125="","",SUMIFS(검수내역!$G$3:$G$802,검수내역!$D$3:$D$802,$A125))</f>
        <v/>
      </c>
      <c r="F125" s="13" t="str">
        <f aca="false">IF($A125="","",SUMIFS(출고내역!$G$3:$G$802,출고내역!$D$3:$D$802,$A125))</f>
        <v/>
      </c>
      <c r="G125" s="13" t="str">
        <f aca="false">IF($A125="","",SUMIFS(출고내역!$H$3:$H$802,출고내역!$D$3:$D$802,$A125))</f>
        <v/>
      </c>
      <c r="H125" s="13" t="str">
        <f aca="false">IF($A125="","",$F125+$G125)</f>
        <v/>
      </c>
      <c r="I125" s="13" t="str">
        <f aca="false">IF($A125="","",SUMIFS(재고조정!$E$3:$E$302,재고조정!$B$3:$B$302,$A125))</f>
        <v/>
      </c>
      <c r="J125" s="13" t="str">
        <f aca="false">IF($A125="","",$D125+$E125-$H125+$I125)</f>
        <v/>
      </c>
      <c r="K125" s="13" t="str">
        <f aca="false">IF($A125="","",SUMIFS(출고내역!$K$3:$K$802,출고내역!$D$3:$D$802,$A125))</f>
        <v/>
      </c>
    </row>
    <row r="126" customFormat="false" ht="15" hidden="false" customHeight="true" outlineLevel="0" collapsed="false">
      <c r="A126" s="12" t="str">
        <f aca="false">IF(품목마스터!$A123="","",품목마스터!$A123)</f>
        <v/>
      </c>
      <c r="B126" s="12" t="str">
        <f aca="false">IF($A126="","",품목마스터!$B123)</f>
        <v/>
      </c>
      <c r="C126" s="12" t="str">
        <f aca="false">IF($A126="","",품목마스터!$D123)</f>
        <v/>
      </c>
      <c r="D126" s="13" t="str">
        <f aca="false">IF($A126="","",IF(품목마스터!$E123="",0,품목마스터!$E123))</f>
        <v/>
      </c>
      <c r="E126" s="13" t="str">
        <f aca="false">IF($A126="","",SUMIFS(검수내역!$G$3:$G$802,검수내역!$D$3:$D$802,$A126))</f>
        <v/>
      </c>
      <c r="F126" s="13" t="str">
        <f aca="false">IF($A126="","",SUMIFS(출고내역!$G$3:$G$802,출고내역!$D$3:$D$802,$A126))</f>
        <v/>
      </c>
      <c r="G126" s="13" t="str">
        <f aca="false">IF($A126="","",SUMIFS(출고내역!$H$3:$H$802,출고내역!$D$3:$D$802,$A126))</f>
        <v/>
      </c>
      <c r="H126" s="13" t="str">
        <f aca="false">IF($A126="","",$F126+$G126)</f>
        <v/>
      </c>
      <c r="I126" s="13" t="str">
        <f aca="false">IF($A126="","",SUMIFS(재고조정!$E$3:$E$302,재고조정!$B$3:$B$302,$A126))</f>
        <v/>
      </c>
      <c r="J126" s="13" t="str">
        <f aca="false">IF($A126="","",$D126+$E126-$H126+$I126)</f>
        <v/>
      </c>
      <c r="K126" s="13" t="str">
        <f aca="false">IF($A126="","",SUMIFS(출고내역!$K$3:$K$802,출고내역!$D$3:$D$802,$A126))</f>
        <v/>
      </c>
    </row>
    <row r="127" customFormat="false" ht="15" hidden="false" customHeight="true" outlineLevel="0" collapsed="false">
      <c r="A127" s="12" t="str">
        <f aca="false">IF(품목마스터!$A124="","",품목마스터!$A124)</f>
        <v/>
      </c>
      <c r="B127" s="12" t="str">
        <f aca="false">IF($A127="","",품목마스터!$B124)</f>
        <v/>
      </c>
      <c r="C127" s="12" t="str">
        <f aca="false">IF($A127="","",품목마스터!$D124)</f>
        <v/>
      </c>
      <c r="D127" s="13" t="str">
        <f aca="false">IF($A127="","",IF(품목마스터!$E124="",0,품목마스터!$E124))</f>
        <v/>
      </c>
      <c r="E127" s="13" t="str">
        <f aca="false">IF($A127="","",SUMIFS(검수내역!$G$3:$G$802,검수내역!$D$3:$D$802,$A127))</f>
        <v/>
      </c>
      <c r="F127" s="13" t="str">
        <f aca="false">IF($A127="","",SUMIFS(출고내역!$G$3:$G$802,출고내역!$D$3:$D$802,$A127))</f>
        <v/>
      </c>
      <c r="G127" s="13" t="str">
        <f aca="false">IF($A127="","",SUMIFS(출고내역!$H$3:$H$802,출고내역!$D$3:$D$802,$A127))</f>
        <v/>
      </c>
      <c r="H127" s="13" t="str">
        <f aca="false">IF($A127="","",$F127+$G127)</f>
        <v/>
      </c>
      <c r="I127" s="13" t="str">
        <f aca="false">IF($A127="","",SUMIFS(재고조정!$E$3:$E$302,재고조정!$B$3:$B$302,$A127))</f>
        <v/>
      </c>
      <c r="J127" s="13" t="str">
        <f aca="false">IF($A127="","",$D127+$E127-$H127+$I127)</f>
        <v/>
      </c>
      <c r="K127" s="13" t="str">
        <f aca="false">IF($A127="","",SUMIFS(출고내역!$K$3:$K$802,출고내역!$D$3:$D$802,$A127))</f>
        <v/>
      </c>
    </row>
    <row r="128" customFormat="false" ht="15" hidden="false" customHeight="true" outlineLevel="0" collapsed="false">
      <c r="A128" s="12" t="str">
        <f aca="false">IF(품목마스터!$A125="","",품목마스터!$A125)</f>
        <v/>
      </c>
      <c r="B128" s="12" t="str">
        <f aca="false">IF($A128="","",품목마스터!$B125)</f>
        <v/>
      </c>
      <c r="C128" s="12" t="str">
        <f aca="false">IF($A128="","",품목마스터!$D125)</f>
        <v/>
      </c>
      <c r="D128" s="13" t="str">
        <f aca="false">IF($A128="","",IF(품목마스터!$E125="",0,품목마스터!$E125))</f>
        <v/>
      </c>
      <c r="E128" s="13" t="str">
        <f aca="false">IF($A128="","",SUMIFS(검수내역!$G$3:$G$802,검수내역!$D$3:$D$802,$A128))</f>
        <v/>
      </c>
      <c r="F128" s="13" t="str">
        <f aca="false">IF($A128="","",SUMIFS(출고내역!$G$3:$G$802,출고내역!$D$3:$D$802,$A128))</f>
        <v/>
      </c>
      <c r="G128" s="13" t="str">
        <f aca="false">IF($A128="","",SUMIFS(출고내역!$H$3:$H$802,출고내역!$D$3:$D$802,$A128))</f>
        <v/>
      </c>
      <c r="H128" s="13" t="str">
        <f aca="false">IF($A128="","",$F128+$G128)</f>
        <v/>
      </c>
      <c r="I128" s="13" t="str">
        <f aca="false">IF($A128="","",SUMIFS(재고조정!$E$3:$E$302,재고조정!$B$3:$B$302,$A128))</f>
        <v/>
      </c>
      <c r="J128" s="13" t="str">
        <f aca="false">IF($A128="","",$D128+$E128-$H128+$I128)</f>
        <v/>
      </c>
      <c r="K128" s="13" t="str">
        <f aca="false">IF($A128="","",SUMIFS(출고내역!$K$3:$K$802,출고내역!$D$3:$D$802,$A128))</f>
        <v/>
      </c>
    </row>
    <row r="129" customFormat="false" ht="15" hidden="false" customHeight="true" outlineLevel="0" collapsed="false">
      <c r="A129" s="12" t="str">
        <f aca="false">IF(품목마스터!$A126="","",품목마스터!$A126)</f>
        <v/>
      </c>
      <c r="B129" s="12" t="str">
        <f aca="false">IF($A129="","",품목마스터!$B126)</f>
        <v/>
      </c>
      <c r="C129" s="12" t="str">
        <f aca="false">IF($A129="","",품목마스터!$D126)</f>
        <v/>
      </c>
      <c r="D129" s="13" t="str">
        <f aca="false">IF($A129="","",IF(품목마스터!$E126="",0,품목마스터!$E126))</f>
        <v/>
      </c>
      <c r="E129" s="13" t="str">
        <f aca="false">IF($A129="","",SUMIFS(검수내역!$G$3:$G$802,검수내역!$D$3:$D$802,$A129))</f>
        <v/>
      </c>
      <c r="F129" s="13" t="str">
        <f aca="false">IF($A129="","",SUMIFS(출고내역!$G$3:$G$802,출고내역!$D$3:$D$802,$A129))</f>
        <v/>
      </c>
      <c r="G129" s="13" t="str">
        <f aca="false">IF($A129="","",SUMIFS(출고내역!$H$3:$H$802,출고내역!$D$3:$D$802,$A129))</f>
        <v/>
      </c>
      <c r="H129" s="13" t="str">
        <f aca="false">IF($A129="","",$F129+$G129)</f>
        <v/>
      </c>
      <c r="I129" s="13" t="str">
        <f aca="false">IF($A129="","",SUMIFS(재고조정!$E$3:$E$302,재고조정!$B$3:$B$302,$A129))</f>
        <v/>
      </c>
      <c r="J129" s="13" t="str">
        <f aca="false">IF($A129="","",$D129+$E129-$H129+$I129)</f>
        <v/>
      </c>
      <c r="K129" s="13" t="str">
        <f aca="false">IF($A129="","",SUMIFS(출고내역!$K$3:$K$802,출고내역!$D$3:$D$802,$A129))</f>
        <v/>
      </c>
    </row>
    <row r="130" customFormat="false" ht="15" hidden="false" customHeight="true" outlineLevel="0" collapsed="false">
      <c r="A130" s="12" t="str">
        <f aca="false">IF(품목마스터!$A127="","",품목마스터!$A127)</f>
        <v/>
      </c>
      <c r="B130" s="12" t="str">
        <f aca="false">IF($A130="","",품목마스터!$B127)</f>
        <v/>
      </c>
      <c r="C130" s="12" t="str">
        <f aca="false">IF($A130="","",품목마스터!$D127)</f>
        <v/>
      </c>
      <c r="D130" s="13" t="str">
        <f aca="false">IF($A130="","",IF(품목마스터!$E127="",0,품목마스터!$E127))</f>
        <v/>
      </c>
      <c r="E130" s="13" t="str">
        <f aca="false">IF($A130="","",SUMIFS(검수내역!$G$3:$G$802,검수내역!$D$3:$D$802,$A130))</f>
        <v/>
      </c>
      <c r="F130" s="13" t="str">
        <f aca="false">IF($A130="","",SUMIFS(출고내역!$G$3:$G$802,출고내역!$D$3:$D$802,$A130))</f>
        <v/>
      </c>
      <c r="G130" s="13" t="str">
        <f aca="false">IF($A130="","",SUMIFS(출고내역!$H$3:$H$802,출고내역!$D$3:$D$802,$A130))</f>
        <v/>
      </c>
      <c r="H130" s="13" t="str">
        <f aca="false">IF($A130="","",$F130+$G130)</f>
        <v/>
      </c>
      <c r="I130" s="13" t="str">
        <f aca="false">IF($A130="","",SUMIFS(재고조정!$E$3:$E$302,재고조정!$B$3:$B$302,$A130))</f>
        <v/>
      </c>
      <c r="J130" s="13" t="str">
        <f aca="false">IF($A130="","",$D130+$E130-$H130+$I130)</f>
        <v/>
      </c>
      <c r="K130" s="13" t="str">
        <f aca="false">IF($A130="","",SUMIFS(출고내역!$K$3:$K$802,출고내역!$D$3:$D$802,$A130))</f>
        <v/>
      </c>
    </row>
    <row r="131" customFormat="false" ht="15" hidden="false" customHeight="true" outlineLevel="0" collapsed="false">
      <c r="A131" s="12" t="str">
        <f aca="false">IF(품목마스터!$A128="","",품목마스터!$A128)</f>
        <v/>
      </c>
      <c r="B131" s="12" t="str">
        <f aca="false">IF($A131="","",품목마스터!$B128)</f>
        <v/>
      </c>
      <c r="C131" s="12" t="str">
        <f aca="false">IF($A131="","",품목마스터!$D128)</f>
        <v/>
      </c>
      <c r="D131" s="13" t="str">
        <f aca="false">IF($A131="","",IF(품목마스터!$E128="",0,품목마스터!$E128))</f>
        <v/>
      </c>
      <c r="E131" s="13" t="str">
        <f aca="false">IF($A131="","",SUMIFS(검수내역!$G$3:$G$802,검수내역!$D$3:$D$802,$A131))</f>
        <v/>
      </c>
      <c r="F131" s="13" t="str">
        <f aca="false">IF($A131="","",SUMIFS(출고내역!$G$3:$G$802,출고내역!$D$3:$D$802,$A131))</f>
        <v/>
      </c>
      <c r="G131" s="13" t="str">
        <f aca="false">IF($A131="","",SUMIFS(출고내역!$H$3:$H$802,출고내역!$D$3:$D$802,$A131))</f>
        <v/>
      </c>
      <c r="H131" s="13" t="str">
        <f aca="false">IF($A131="","",$F131+$G131)</f>
        <v/>
      </c>
      <c r="I131" s="13" t="str">
        <f aca="false">IF($A131="","",SUMIFS(재고조정!$E$3:$E$302,재고조정!$B$3:$B$302,$A131))</f>
        <v/>
      </c>
      <c r="J131" s="13" t="str">
        <f aca="false">IF($A131="","",$D131+$E131-$H131+$I131)</f>
        <v/>
      </c>
      <c r="K131" s="13" t="str">
        <f aca="false">IF($A131="","",SUMIFS(출고내역!$K$3:$K$802,출고내역!$D$3:$D$802,$A131))</f>
        <v/>
      </c>
    </row>
    <row r="132" customFormat="false" ht="15" hidden="false" customHeight="true" outlineLevel="0" collapsed="false">
      <c r="A132" s="12" t="str">
        <f aca="false">IF(품목마스터!$A129="","",품목마스터!$A129)</f>
        <v/>
      </c>
      <c r="B132" s="12" t="str">
        <f aca="false">IF($A132="","",품목마스터!$B129)</f>
        <v/>
      </c>
      <c r="C132" s="12" t="str">
        <f aca="false">IF($A132="","",품목마스터!$D129)</f>
        <v/>
      </c>
      <c r="D132" s="13" t="str">
        <f aca="false">IF($A132="","",IF(품목마스터!$E129="",0,품목마스터!$E129))</f>
        <v/>
      </c>
      <c r="E132" s="13" t="str">
        <f aca="false">IF($A132="","",SUMIFS(검수내역!$G$3:$G$802,검수내역!$D$3:$D$802,$A132))</f>
        <v/>
      </c>
      <c r="F132" s="13" t="str">
        <f aca="false">IF($A132="","",SUMIFS(출고내역!$G$3:$G$802,출고내역!$D$3:$D$802,$A132))</f>
        <v/>
      </c>
      <c r="G132" s="13" t="str">
        <f aca="false">IF($A132="","",SUMIFS(출고내역!$H$3:$H$802,출고내역!$D$3:$D$802,$A132))</f>
        <v/>
      </c>
      <c r="H132" s="13" t="str">
        <f aca="false">IF($A132="","",$F132+$G132)</f>
        <v/>
      </c>
      <c r="I132" s="13" t="str">
        <f aca="false">IF($A132="","",SUMIFS(재고조정!$E$3:$E$302,재고조정!$B$3:$B$302,$A132))</f>
        <v/>
      </c>
      <c r="J132" s="13" t="str">
        <f aca="false">IF($A132="","",$D132+$E132-$H132+$I132)</f>
        <v/>
      </c>
      <c r="K132" s="13" t="str">
        <f aca="false">IF($A132="","",SUMIFS(출고내역!$K$3:$K$802,출고내역!$D$3:$D$802,$A132))</f>
        <v/>
      </c>
    </row>
    <row r="133" customFormat="false" ht="15" hidden="false" customHeight="true" outlineLevel="0" collapsed="false">
      <c r="A133" s="12" t="str">
        <f aca="false">IF(품목마스터!$A130="","",품목마스터!$A130)</f>
        <v/>
      </c>
      <c r="B133" s="12" t="str">
        <f aca="false">IF($A133="","",품목마스터!$B130)</f>
        <v/>
      </c>
      <c r="C133" s="12" t="str">
        <f aca="false">IF($A133="","",품목마스터!$D130)</f>
        <v/>
      </c>
      <c r="D133" s="13" t="str">
        <f aca="false">IF($A133="","",IF(품목마스터!$E130="",0,품목마스터!$E130))</f>
        <v/>
      </c>
      <c r="E133" s="13" t="str">
        <f aca="false">IF($A133="","",SUMIFS(검수내역!$G$3:$G$802,검수내역!$D$3:$D$802,$A133))</f>
        <v/>
      </c>
      <c r="F133" s="13" t="str">
        <f aca="false">IF($A133="","",SUMIFS(출고내역!$G$3:$G$802,출고내역!$D$3:$D$802,$A133))</f>
        <v/>
      </c>
      <c r="G133" s="13" t="str">
        <f aca="false">IF($A133="","",SUMIFS(출고내역!$H$3:$H$802,출고내역!$D$3:$D$802,$A133))</f>
        <v/>
      </c>
      <c r="H133" s="13" t="str">
        <f aca="false">IF($A133="","",$F133+$G133)</f>
        <v/>
      </c>
      <c r="I133" s="13" t="str">
        <f aca="false">IF($A133="","",SUMIFS(재고조정!$E$3:$E$302,재고조정!$B$3:$B$302,$A133))</f>
        <v/>
      </c>
      <c r="J133" s="13" t="str">
        <f aca="false">IF($A133="","",$D133+$E133-$H133+$I133)</f>
        <v/>
      </c>
      <c r="K133" s="13" t="str">
        <f aca="false">IF($A133="","",SUMIFS(출고내역!$K$3:$K$802,출고내역!$D$3:$D$802,$A133))</f>
        <v/>
      </c>
    </row>
    <row r="134" customFormat="false" ht="15" hidden="false" customHeight="true" outlineLevel="0" collapsed="false">
      <c r="A134" s="12" t="str">
        <f aca="false">IF(품목마스터!$A131="","",품목마스터!$A131)</f>
        <v/>
      </c>
      <c r="B134" s="12" t="str">
        <f aca="false">IF($A134="","",품목마스터!$B131)</f>
        <v/>
      </c>
      <c r="C134" s="12" t="str">
        <f aca="false">IF($A134="","",품목마스터!$D131)</f>
        <v/>
      </c>
      <c r="D134" s="13" t="str">
        <f aca="false">IF($A134="","",IF(품목마스터!$E131="",0,품목마스터!$E131))</f>
        <v/>
      </c>
      <c r="E134" s="13" t="str">
        <f aca="false">IF($A134="","",SUMIFS(검수내역!$G$3:$G$802,검수내역!$D$3:$D$802,$A134))</f>
        <v/>
      </c>
      <c r="F134" s="13" t="str">
        <f aca="false">IF($A134="","",SUMIFS(출고내역!$G$3:$G$802,출고내역!$D$3:$D$802,$A134))</f>
        <v/>
      </c>
      <c r="G134" s="13" t="str">
        <f aca="false">IF($A134="","",SUMIFS(출고내역!$H$3:$H$802,출고내역!$D$3:$D$802,$A134))</f>
        <v/>
      </c>
      <c r="H134" s="13" t="str">
        <f aca="false">IF($A134="","",$F134+$G134)</f>
        <v/>
      </c>
      <c r="I134" s="13" t="str">
        <f aca="false">IF($A134="","",SUMIFS(재고조정!$E$3:$E$302,재고조정!$B$3:$B$302,$A134))</f>
        <v/>
      </c>
      <c r="J134" s="13" t="str">
        <f aca="false">IF($A134="","",$D134+$E134-$H134+$I134)</f>
        <v/>
      </c>
      <c r="K134" s="13" t="str">
        <f aca="false">IF($A134="","",SUMIFS(출고내역!$K$3:$K$802,출고내역!$D$3:$D$802,$A134))</f>
        <v/>
      </c>
    </row>
    <row r="135" customFormat="false" ht="15" hidden="false" customHeight="true" outlineLevel="0" collapsed="false">
      <c r="A135" s="12" t="str">
        <f aca="false">IF(품목마스터!$A132="","",품목마스터!$A132)</f>
        <v/>
      </c>
      <c r="B135" s="12" t="str">
        <f aca="false">IF($A135="","",품목마스터!$B132)</f>
        <v/>
      </c>
      <c r="C135" s="12" t="str">
        <f aca="false">IF($A135="","",품목마스터!$D132)</f>
        <v/>
      </c>
      <c r="D135" s="13" t="str">
        <f aca="false">IF($A135="","",IF(품목마스터!$E132="",0,품목마스터!$E132))</f>
        <v/>
      </c>
      <c r="E135" s="13" t="str">
        <f aca="false">IF($A135="","",SUMIFS(검수내역!$G$3:$G$802,검수내역!$D$3:$D$802,$A135))</f>
        <v/>
      </c>
      <c r="F135" s="13" t="str">
        <f aca="false">IF($A135="","",SUMIFS(출고내역!$G$3:$G$802,출고내역!$D$3:$D$802,$A135))</f>
        <v/>
      </c>
      <c r="G135" s="13" t="str">
        <f aca="false">IF($A135="","",SUMIFS(출고내역!$H$3:$H$802,출고내역!$D$3:$D$802,$A135))</f>
        <v/>
      </c>
      <c r="H135" s="13" t="str">
        <f aca="false">IF($A135="","",$F135+$G135)</f>
        <v/>
      </c>
      <c r="I135" s="13" t="str">
        <f aca="false">IF($A135="","",SUMIFS(재고조정!$E$3:$E$302,재고조정!$B$3:$B$302,$A135))</f>
        <v/>
      </c>
      <c r="J135" s="13" t="str">
        <f aca="false">IF($A135="","",$D135+$E135-$H135+$I135)</f>
        <v/>
      </c>
      <c r="K135" s="13" t="str">
        <f aca="false">IF($A135="","",SUMIFS(출고내역!$K$3:$K$802,출고내역!$D$3:$D$802,$A135))</f>
        <v/>
      </c>
    </row>
    <row r="136" customFormat="false" ht="15" hidden="false" customHeight="true" outlineLevel="0" collapsed="false">
      <c r="A136" s="12" t="str">
        <f aca="false">IF(품목마스터!$A133="","",품목마스터!$A133)</f>
        <v/>
      </c>
      <c r="B136" s="12" t="str">
        <f aca="false">IF($A136="","",품목마스터!$B133)</f>
        <v/>
      </c>
      <c r="C136" s="12" t="str">
        <f aca="false">IF($A136="","",품목마스터!$D133)</f>
        <v/>
      </c>
      <c r="D136" s="13" t="str">
        <f aca="false">IF($A136="","",IF(품목마스터!$E133="",0,품목마스터!$E133))</f>
        <v/>
      </c>
      <c r="E136" s="13" t="str">
        <f aca="false">IF($A136="","",SUMIFS(검수내역!$G$3:$G$802,검수내역!$D$3:$D$802,$A136))</f>
        <v/>
      </c>
      <c r="F136" s="13" t="str">
        <f aca="false">IF($A136="","",SUMIFS(출고내역!$G$3:$G$802,출고내역!$D$3:$D$802,$A136))</f>
        <v/>
      </c>
      <c r="G136" s="13" t="str">
        <f aca="false">IF($A136="","",SUMIFS(출고내역!$H$3:$H$802,출고내역!$D$3:$D$802,$A136))</f>
        <v/>
      </c>
      <c r="H136" s="13" t="str">
        <f aca="false">IF($A136="","",$F136+$G136)</f>
        <v/>
      </c>
      <c r="I136" s="13" t="str">
        <f aca="false">IF($A136="","",SUMIFS(재고조정!$E$3:$E$302,재고조정!$B$3:$B$302,$A136))</f>
        <v/>
      </c>
      <c r="J136" s="13" t="str">
        <f aca="false">IF($A136="","",$D136+$E136-$H136+$I136)</f>
        <v/>
      </c>
      <c r="K136" s="13" t="str">
        <f aca="false">IF($A136="","",SUMIFS(출고내역!$K$3:$K$802,출고내역!$D$3:$D$802,$A136))</f>
        <v/>
      </c>
    </row>
    <row r="137" customFormat="false" ht="15" hidden="false" customHeight="true" outlineLevel="0" collapsed="false">
      <c r="A137" s="12" t="str">
        <f aca="false">IF(품목마스터!$A134="","",품목마스터!$A134)</f>
        <v/>
      </c>
      <c r="B137" s="12" t="str">
        <f aca="false">IF($A137="","",품목마스터!$B134)</f>
        <v/>
      </c>
      <c r="C137" s="12" t="str">
        <f aca="false">IF($A137="","",품목마스터!$D134)</f>
        <v/>
      </c>
      <c r="D137" s="13" t="str">
        <f aca="false">IF($A137="","",IF(품목마스터!$E134="",0,품목마스터!$E134))</f>
        <v/>
      </c>
      <c r="E137" s="13" t="str">
        <f aca="false">IF($A137="","",SUMIFS(검수내역!$G$3:$G$802,검수내역!$D$3:$D$802,$A137))</f>
        <v/>
      </c>
      <c r="F137" s="13" t="str">
        <f aca="false">IF($A137="","",SUMIFS(출고내역!$G$3:$G$802,출고내역!$D$3:$D$802,$A137))</f>
        <v/>
      </c>
      <c r="G137" s="13" t="str">
        <f aca="false">IF($A137="","",SUMIFS(출고내역!$H$3:$H$802,출고내역!$D$3:$D$802,$A137))</f>
        <v/>
      </c>
      <c r="H137" s="13" t="str">
        <f aca="false">IF($A137="","",$F137+$G137)</f>
        <v/>
      </c>
      <c r="I137" s="13" t="str">
        <f aca="false">IF($A137="","",SUMIFS(재고조정!$E$3:$E$302,재고조정!$B$3:$B$302,$A137))</f>
        <v/>
      </c>
      <c r="J137" s="13" t="str">
        <f aca="false">IF($A137="","",$D137+$E137-$H137+$I137)</f>
        <v/>
      </c>
      <c r="K137" s="13" t="str">
        <f aca="false">IF($A137="","",SUMIFS(출고내역!$K$3:$K$802,출고내역!$D$3:$D$802,$A137))</f>
        <v/>
      </c>
    </row>
    <row r="138" customFormat="false" ht="15" hidden="false" customHeight="true" outlineLevel="0" collapsed="false">
      <c r="A138" s="12" t="str">
        <f aca="false">IF(품목마스터!$A135="","",품목마스터!$A135)</f>
        <v/>
      </c>
      <c r="B138" s="12" t="str">
        <f aca="false">IF($A138="","",품목마스터!$B135)</f>
        <v/>
      </c>
      <c r="C138" s="12" t="str">
        <f aca="false">IF($A138="","",품목마스터!$D135)</f>
        <v/>
      </c>
      <c r="D138" s="13" t="str">
        <f aca="false">IF($A138="","",IF(품목마스터!$E135="",0,품목마스터!$E135))</f>
        <v/>
      </c>
      <c r="E138" s="13" t="str">
        <f aca="false">IF($A138="","",SUMIFS(검수내역!$G$3:$G$802,검수내역!$D$3:$D$802,$A138))</f>
        <v/>
      </c>
      <c r="F138" s="13" t="str">
        <f aca="false">IF($A138="","",SUMIFS(출고내역!$G$3:$G$802,출고내역!$D$3:$D$802,$A138))</f>
        <v/>
      </c>
      <c r="G138" s="13" t="str">
        <f aca="false">IF($A138="","",SUMIFS(출고내역!$H$3:$H$802,출고내역!$D$3:$D$802,$A138))</f>
        <v/>
      </c>
      <c r="H138" s="13" t="str">
        <f aca="false">IF($A138="","",$F138+$G138)</f>
        <v/>
      </c>
      <c r="I138" s="13" t="str">
        <f aca="false">IF($A138="","",SUMIFS(재고조정!$E$3:$E$302,재고조정!$B$3:$B$302,$A138))</f>
        <v/>
      </c>
      <c r="J138" s="13" t="str">
        <f aca="false">IF($A138="","",$D138+$E138-$H138+$I138)</f>
        <v/>
      </c>
      <c r="K138" s="13" t="str">
        <f aca="false">IF($A138="","",SUMIFS(출고내역!$K$3:$K$802,출고내역!$D$3:$D$802,$A138))</f>
        <v/>
      </c>
    </row>
    <row r="139" customFormat="false" ht="15" hidden="false" customHeight="true" outlineLevel="0" collapsed="false">
      <c r="A139" s="12" t="str">
        <f aca="false">IF(품목마스터!$A136="","",품목마스터!$A136)</f>
        <v/>
      </c>
      <c r="B139" s="12" t="str">
        <f aca="false">IF($A139="","",품목마스터!$B136)</f>
        <v/>
      </c>
      <c r="C139" s="12" t="str">
        <f aca="false">IF($A139="","",품목마스터!$D136)</f>
        <v/>
      </c>
      <c r="D139" s="13" t="str">
        <f aca="false">IF($A139="","",IF(품목마스터!$E136="",0,품목마스터!$E136))</f>
        <v/>
      </c>
      <c r="E139" s="13" t="str">
        <f aca="false">IF($A139="","",SUMIFS(검수내역!$G$3:$G$802,검수내역!$D$3:$D$802,$A139))</f>
        <v/>
      </c>
      <c r="F139" s="13" t="str">
        <f aca="false">IF($A139="","",SUMIFS(출고내역!$G$3:$G$802,출고내역!$D$3:$D$802,$A139))</f>
        <v/>
      </c>
      <c r="G139" s="13" t="str">
        <f aca="false">IF($A139="","",SUMIFS(출고내역!$H$3:$H$802,출고내역!$D$3:$D$802,$A139))</f>
        <v/>
      </c>
      <c r="H139" s="13" t="str">
        <f aca="false">IF($A139="","",$F139+$G139)</f>
        <v/>
      </c>
      <c r="I139" s="13" t="str">
        <f aca="false">IF($A139="","",SUMIFS(재고조정!$E$3:$E$302,재고조정!$B$3:$B$302,$A139))</f>
        <v/>
      </c>
      <c r="J139" s="13" t="str">
        <f aca="false">IF($A139="","",$D139+$E139-$H139+$I139)</f>
        <v/>
      </c>
      <c r="K139" s="13" t="str">
        <f aca="false">IF($A139="","",SUMIFS(출고내역!$K$3:$K$802,출고내역!$D$3:$D$802,$A139))</f>
        <v/>
      </c>
    </row>
    <row r="140" customFormat="false" ht="15" hidden="false" customHeight="true" outlineLevel="0" collapsed="false">
      <c r="A140" s="12" t="str">
        <f aca="false">IF(품목마스터!$A137="","",품목마스터!$A137)</f>
        <v/>
      </c>
      <c r="B140" s="12" t="str">
        <f aca="false">IF($A140="","",품목마스터!$B137)</f>
        <v/>
      </c>
      <c r="C140" s="12" t="str">
        <f aca="false">IF($A140="","",품목마스터!$D137)</f>
        <v/>
      </c>
      <c r="D140" s="13" t="str">
        <f aca="false">IF($A140="","",IF(품목마스터!$E137="",0,품목마스터!$E137))</f>
        <v/>
      </c>
      <c r="E140" s="13" t="str">
        <f aca="false">IF($A140="","",SUMIFS(검수내역!$G$3:$G$802,검수내역!$D$3:$D$802,$A140))</f>
        <v/>
      </c>
      <c r="F140" s="13" t="str">
        <f aca="false">IF($A140="","",SUMIFS(출고내역!$G$3:$G$802,출고내역!$D$3:$D$802,$A140))</f>
        <v/>
      </c>
      <c r="G140" s="13" t="str">
        <f aca="false">IF($A140="","",SUMIFS(출고내역!$H$3:$H$802,출고내역!$D$3:$D$802,$A140))</f>
        <v/>
      </c>
      <c r="H140" s="13" t="str">
        <f aca="false">IF($A140="","",$F140+$G140)</f>
        <v/>
      </c>
      <c r="I140" s="13" t="str">
        <f aca="false">IF($A140="","",SUMIFS(재고조정!$E$3:$E$302,재고조정!$B$3:$B$302,$A140))</f>
        <v/>
      </c>
      <c r="J140" s="13" t="str">
        <f aca="false">IF($A140="","",$D140+$E140-$H140+$I140)</f>
        <v/>
      </c>
      <c r="K140" s="13" t="str">
        <f aca="false">IF($A140="","",SUMIFS(출고내역!$K$3:$K$802,출고내역!$D$3:$D$802,$A140))</f>
        <v/>
      </c>
    </row>
    <row r="141" customFormat="false" ht="15" hidden="false" customHeight="true" outlineLevel="0" collapsed="false">
      <c r="A141" s="12" t="str">
        <f aca="false">IF(품목마스터!$A138="","",품목마스터!$A138)</f>
        <v/>
      </c>
      <c r="B141" s="12" t="str">
        <f aca="false">IF($A141="","",품목마스터!$B138)</f>
        <v/>
      </c>
      <c r="C141" s="12" t="str">
        <f aca="false">IF($A141="","",품목마스터!$D138)</f>
        <v/>
      </c>
      <c r="D141" s="13" t="str">
        <f aca="false">IF($A141="","",IF(품목마스터!$E138="",0,품목마스터!$E138))</f>
        <v/>
      </c>
      <c r="E141" s="13" t="str">
        <f aca="false">IF($A141="","",SUMIFS(검수내역!$G$3:$G$802,검수내역!$D$3:$D$802,$A141))</f>
        <v/>
      </c>
      <c r="F141" s="13" t="str">
        <f aca="false">IF($A141="","",SUMIFS(출고내역!$G$3:$G$802,출고내역!$D$3:$D$802,$A141))</f>
        <v/>
      </c>
      <c r="G141" s="13" t="str">
        <f aca="false">IF($A141="","",SUMIFS(출고내역!$H$3:$H$802,출고내역!$D$3:$D$802,$A141))</f>
        <v/>
      </c>
      <c r="H141" s="13" t="str">
        <f aca="false">IF($A141="","",$F141+$G141)</f>
        <v/>
      </c>
      <c r="I141" s="13" t="str">
        <f aca="false">IF($A141="","",SUMIFS(재고조정!$E$3:$E$302,재고조정!$B$3:$B$302,$A141))</f>
        <v/>
      </c>
      <c r="J141" s="13" t="str">
        <f aca="false">IF($A141="","",$D141+$E141-$H141+$I141)</f>
        <v/>
      </c>
      <c r="K141" s="13" t="str">
        <f aca="false">IF($A141="","",SUMIFS(출고내역!$K$3:$K$802,출고내역!$D$3:$D$802,$A141))</f>
        <v/>
      </c>
    </row>
    <row r="142" customFormat="false" ht="15" hidden="false" customHeight="true" outlineLevel="0" collapsed="false">
      <c r="A142" s="12" t="str">
        <f aca="false">IF(품목마스터!$A139="","",품목마스터!$A139)</f>
        <v/>
      </c>
      <c r="B142" s="12" t="str">
        <f aca="false">IF($A142="","",품목마스터!$B139)</f>
        <v/>
      </c>
      <c r="C142" s="12" t="str">
        <f aca="false">IF($A142="","",품목마스터!$D139)</f>
        <v/>
      </c>
      <c r="D142" s="13" t="str">
        <f aca="false">IF($A142="","",IF(품목마스터!$E139="",0,품목마스터!$E139))</f>
        <v/>
      </c>
      <c r="E142" s="13" t="str">
        <f aca="false">IF($A142="","",SUMIFS(검수내역!$G$3:$G$802,검수내역!$D$3:$D$802,$A142))</f>
        <v/>
      </c>
      <c r="F142" s="13" t="str">
        <f aca="false">IF($A142="","",SUMIFS(출고내역!$G$3:$G$802,출고내역!$D$3:$D$802,$A142))</f>
        <v/>
      </c>
      <c r="G142" s="13" t="str">
        <f aca="false">IF($A142="","",SUMIFS(출고내역!$H$3:$H$802,출고내역!$D$3:$D$802,$A142))</f>
        <v/>
      </c>
      <c r="H142" s="13" t="str">
        <f aca="false">IF($A142="","",$F142+$G142)</f>
        <v/>
      </c>
      <c r="I142" s="13" t="str">
        <f aca="false">IF($A142="","",SUMIFS(재고조정!$E$3:$E$302,재고조정!$B$3:$B$302,$A142))</f>
        <v/>
      </c>
      <c r="J142" s="13" t="str">
        <f aca="false">IF($A142="","",$D142+$E142-$H142+$I142)</f>
        <v/>
      </c>
      <c r="K142" s="13" t="str">
        <f aca="false">IF($A142="","",SUMIFS(출고내역!$K$3:$K$802,출고내역!$D$3:$D$802,$A142))</f>
        <v/>
      </c>
    </row>
    <row r="143" customFormat="false" ht="15" hidden="false" customHeight="true" outlineLevel="0" collapsed="false">
      <c r="A143" s="12" t="str">
        <f aca="false">IF(품목마스터!$A140="","",품목마스터!$A140)</f>
        <v/>
      </c>
      <c r="B143" s="12" t="str">
        <f aca="false">IF($A143="","",품목마스터!$B140)</f>
        <v/>
      </c>
      <c r="C143" s="12" t="str">
        <f aca="false">IF($A143="","",품목마스터!$D140)</f>
        <v/>
      </c>
      <c r="D143" s="13" t="str">
        <f aca="false">IF($A143="","",IF(품목마스터!$E140="",0,품목마스터!$E140))</f>
        <v/>
      </c>
      <c r="E143" s="13" t="str">
        <f aca="false">IF($A143="","",SUMIFS(검수내역!$G$3:$G$802,검수내역!$D$3:$D$802,$A143))</f>
        <v/>
      </c>
      <c r="F143" s="13" t="str">
        <f aca="false">IF($A143="","",SUMIFS(출고내역!$G$3:$G$802,출고내역!$D$3:$D$802,$A143))</f>
        <v/>
      </c>
      <c r="G143" s="13" t="str">
        <f aca="false">IF($A143="","",SUMIFS(출고내역!$H$3:$H$802,출고내역!$D$3:$D$802,$A143))</f>
        <v/>
      </c>
      <c r="H143" s="13" t="str">
        <f aca="false">IF($A143="","",$F143+$G143)</f>
        <v/>
      </c>
      <c r="I143" s="13" t="str">
        <f aca="false">IF($A143="","",SUMIFS(재고조정!$E$3:$E$302,재고조정!$B$3:$B$302,$A143))</f>
        <v/>
      </c>
      <c r="J143" s="13" t="str">
        <f aca="false">IF($A143="","",$D143+$E143-$H143+$I143)</f>
        <v/>
      </c>
      <c r="K143" s="13" t="str">
        <f aca="false">IF($A143="","",SUMIFS(출고내역!$K$3:$K$802,출고내역!$D$3:$D$802,$A143))</f>
        <v/>
      </c>
    </row>
    <row r="144" customFormat="false" ht="15" hidden="false" customHeight="true" outlineLevel="0" collapsed="false">
      <c r="A144" s="12" t="str">
        <f aca="false">IF(품목마스터!$A141="","",품목마스터!$A141)</f>
        <v/>
      </c>
      <c r="B144" s="12" t="str">
        <f aca="false">IF($A144="","",품목마스터!$B141)</f>
        <v/>
      </c>
      <c r="C144" s="12" t="str">
        <f aca="false">IF($A144="","",품목마스터!$D141)</f>
        <v/>
      </c>
      <c r="D144" s="13" t="str">
        <f aca="false">IF($A144="","",IF(품목마스터!$E141="",0,품목마스터!$E141))</f>
        <v/>
      </c>
      <c r="E144" s="13" t="str">
        <f aca="false">IF($A144="","",SUMIFS(검수내역!$G$3:$G$802,검수내역!$D$3:$D$802,$A144))</f>
        <v/>
      </c>
      <c r="F144" s="13" t="str">
        <f aca="false">IF($A144="","",SUMIFS(출고내역!$G$3:$G$802,출고내역!$D$3:$D$802,$A144))</f>
        <v/>
      </c>
      <c r="G144" s="13" t="str">
        <f aca="false">IF($A144="","",SUMIFS(출고내역!$H$3:$H$802,출고내역!$D$3:$D$802,$A144))</f>
        <v/>
      </c>
      <c r="H144" s="13" t="str">
        <f aca="false">IF($A144="","",$F144+$G144)</f>
        <v/>
      </c>
      <c r="I144" s="13" t="str">
        <f aca="false">IF($A144="","",SUMIFS(재고조정!$E$3:$E$302,재고조정!$B$3:$B$302,$A144))</f>
        <v/>
      </c>
      <c r="J144" s="13" t="str">
        <f aca="false">IF($A144="","",$D144+$E144-$H144+$I144)</f>
        <v/>
      </c>
      <c r="K144" s="13" t="str">
        <f aca="false">IF($A144="","",SUMIFS(출고내역!$K$3:$K$802,출고내역!$D$3:$D$802,$A144))</f>
        <v/>
      </c>
    </row>
    <row r="145" customFormat="false" ht="15" hidden="false" customHeight="true" outlineLevel="0" collapsed="false">
      <c r="A145" s="12" t="str">
        <f aca="false">IF(품목마스터!$A142="","",품목마스터!$A142)</f>
        <v/>
      </c>
      <c r="B145" s="12" t="str">
        <f aca="false">IF($A145="","",품목마스터!$B142)</f>
        <v/>
      </c>
      <c r="C145" s="12" t="str">
        <f aca="false">IF($A145="","",품목마스터!$D142)</f>
        <v/>
      </c>
      <c r="D145" s="13" t="str">
        <f aca="false">IF($A145="","",IF(품목마스터!$E142="",0,품목마스터!$E142))</f>
        <v/>
      </c>
      <c r="E145" s="13" t="str">
        <f aca="false">IF($A145="","",SUMIFS(검수내역!$G$3:$G$802,검수내역!$D$3:$D$802,$A145))</f>
        <v/>
      </c>
      <c r="F145" s="13" t="str">
        <f aca="false">IF($A145="","",SUMIFS(출고내역!$G$3:$G$802,출고내역!$D$3:$D$802,$A145))</f>
        <v/>
      </c>
      <c r="G145" s="13" t="str">
        <f aca="false">IF($A145="","",SUMIFS(출고내역!$H$3:$H$802,출고내역!$D$3:$D$802,$A145))</f>
        <v/>
      </c>
      <c r="H145" s="13" t="str">
        <f aca="false">IF($A145="","",$F145+$G145)</f>
        <v/>
      </c>
      <c r="I145" s="13" t="str">
        <f aca="false">IF($A145="","",SUMIFS(재고조정!$E$3:$E$302,재고조정!$B$3:$B$302,$A145))</f>
        <v/>
      </c>
      <c r="J145" s="13" t="str">
        <f aca="false">IF($A145="","",$D145+$E145-$H145+$I145)</f>
        <v/>
      </c>
      <c r="K145" s="13" t="str">
        <f aca="false">IF($A145="","",SUMIFS(출고내역!$K$3:$K$802,출고내역!$D$3:$D$802,$A145))</f>
        <v/>
      </c>
    </row>
    <row r="146" customFormat="false" ht="15" hidden="false" customHeight="true" outlineLevel="0" collapsed="false">
      <c r="A146" s="12" t="str">
        <f aca="false">IF(품목마스터!$A143="","",품목마스터!$A143)</f>
        <v/>
      </c>
      <c r="B146" s="12" t="str">
        <f aca="false">IF($A146="","",품목마스터!$B143)</f>
        <v/>
      </c>
      <c r="C146" s="12" t="str">
        <f aca="false">IF($A146="","",품목마스터!$D143)</f>
        <v/>
      </c>
      <c r="D146" s="13" t="str">
        <f aca="false">IF($A146="","",IF(품목마스터!$E143="",0,품목마스터!$E143))</f>
        <v/>
      </c>
      <c r="E146" s="13" t="str">
        <f aca="false">IF($A146="","",SUMIFS(검수내역!$G$3:$G$802,검수내역!$D$3:$D$802,$A146))</f>
        <v/>
      </c>
      <c r="F146" s="13" t="str">
        <f aca="false">IF($A146="","",SUMIFS(출고내역!$G$3:$G$802,출고내역!$D$3:$D$802,$A146))</f>
        <v/>
      </c>
      <c r="G146" s="13" t="str">
        <f aca="false">IF($A146="","",SUMIFS(출고내역!$H$3:$H$802,출고내역!$D$3:$D$802,$A146))</f>
        <v/>
      </c>
      <c r="H146" s="13" t="str">
        <f aca="false">IF($A146="","",$F146+$G146)</f>
        <v/>
      </c>
      <c r="I146" s="13" t="str">
        <f aca="false">IF($A146="","",SUMIFS(재고조정!$E$3:$E$302,재고조정!$B$3:$B$302,$A146))</f>
        <v/>
      </c>
      <c r="J146" s="13" t="str">
        <f aca="false">IF($A146="","",$D146+$E146-$H146+$I146)</f>
        <v/>
      </c>
      <c r="K146" s="13" t="str">
        <f aca="false">IF($A146="","",SUMIFS(출고내역!$K$3:$K$802,출고내역!$D$3:$D$802,$A146))</f>
        <v/>
      </c>
    </row>
    <row r="147" customFormat="false" ht="15" hidden="false" customHeight="true" outlineLevel="0" collapsed="false">
      <c r="A147" s="12" t="str">
        <f aca="false">IF(품목마스터!$A144="","",품목마스터!$A144)</f>
        <v/>
      </c>
      <c r="B147" s="12" t="str">
        <f aca="false">IF($A147="","",품목마스터!$B144)</f>
        <v/>
      </c>
      <c r="C147" s="12" t="str">
        <f aca="false">IF($A147="","",품목마스터!$D144)</f>
        <v/>
      </c>
      <c r="D147" s="13" t="str">
        <f aca="false">IF($A147="","",IF(품목마스터!$E144="",0,품목마스터!$E144))</f>
        <v/>
      </c>
      <c r="E147" s="13" t="str">
        <f aca="false">IF($A147="","",SUMIFS(검수내역!$G$3:$G$802,검수내역!$D$3:$D$802,$A147))</f>
        <v/>
      </c>
      <c r="F147" s="13" t="str">
        <f aca="false">IF($A147="","",SUMIFS(출고내역!$G$3:$G$802,출고내역!$D$3:$D$802,$A147))</f>
        <v/>
      </c>
      <c r="G147" s="13" t="str">
        <f aca="false">IF($A147="","",SUMIFS(출고내역!$H$3:$H$802,출고내역!$D$3:$D$802,$A147))</f>
        <v/>
      </c>
      <c r="H147" s="13" t="str">
        <f aca="false">IF($A147="","",$F147+$G147)</f>
        <v/>
      </c>
      <c r="I147" s="13" t="str">
        <f aca="false">IF($A147="","",SUMIFS(재고조정!$E$3:$E$302,재고조정!$B$3:$B$302,$A147))</f>
        <v/>
      </c>
      <c r="J147" s="13" t="str">
        <f aca="false">IF($A147="","",$D147+$E147-$H147+$I147)</f>
        <v/>
      </c>
      <c r="K147" s="13" t="str">
        <f aca="false">IF($A147="","",SUMIFS(출고내역!$K$3:$K$802,출고내역!$D$3:$D$802,$A147))</f>
        <v/>
      </c>
    </row>
    <row r="148" customFormat="false" ht="15" hidden="false" customHeight="true" outlineLevel="0" collapsed="false">
      <c r="A148" s="12" t="str">
        <f aca="false">IF(품목마스터!$A145="","",품목마스터!$A145)</f>
        <v/>
      </c>
      <c r="B148" s="12" t="str">
        <f aca="false">IF($A148="","",품목마스터!$B145)</f>
        <v/>
      </c>
      <c r="C148" s="12" t="str">
        <f aca="false">IF($A148="","",품목마스터!$D145)</f>
        <v/>
      </c>
      <c r="D148" s="13" t="str">
        <f aca="false">IF($A148="","",IF(품목마스터!$E145="",0,품목마스터!$E145))</f>
        <v/>
      </c>
      <c r="E148" s="13" t="str">
        <f aca="false">IF($A148="","",SUMIFS(검수내역!$G$3:$G$802,검수내역!$D$3:$D$802,$A148))</f>
        <v/>
      </c>
      <c r="F148" s="13" t="str">
        <f aca="false">IF($A148="","",SUMIFS(출고내역!$G$3:$G$802,출고내역!$D$3:$D$802,$A148))</f>
        <v/>
      </c>
      <c r="G148" s="13" t="str">
        <f aca="false">IF($A148="","",SUMIFS(출고내역!$H$3:$H$802,출고내역!$D$3:$D$802,$A148))</f>
        <v/>
      </c>
      <c r="H148" s="13" t="str">
        <f aca="false">IF($A148="","",$F148+$G148)</f>
        <v/>
      </c>
      <c r="I148" s="13" t="str">
        <f aca="false">IF($A148="","",SUMIFS(재고조정!$E$3:$E$302,재고조정!$B$3:$B$302,$A148))</f>
        <v/>
      </c>
      <c r="J148" s="13" t="str">
        <f aca="false">IF($A148="","",$D148+$E148-$H148+$I148)</f>
        <v/>
      </c>
      <c r="K148" s="13" t="str">
        <f aca="false">IF($A148="","",SUMIFS(출고내역!$K$3:$K$802,출고내역!$D$3:$D$802,$A148))</f>
        <v/>
      </c>
    </row>
    <row r="149" customFormat="false" ht="15" hidden="false" customHeight="true" outlineLevel="0" collapsed="false">
      <c r="A149" s="12" t="str">
        <f aca="false">IF(품목마스터!$A146="","",품목마스터!$A146)</f>
        <v/>
      </c>
      <c r="B149" s="12" t="str">
        <f aca="false">IF($A149="","",품목마스터!$B146)</f>
        <v/>
      </c>
      <c r="C149" s="12" t="str">
        <f aca="false">IF($A149="","",품목마스터!$D146)</f>
        <v/>
      </c>
      <c r="D149" s="13" t="str">
        <f aca="false">IF($A149="","",IF(품목마스터!$E146="",0,품목마스터!$E146))</f>
        <v/>
      </c>
      <c r="E149" s="13" t="str">
        <f aca="false">IF($A149="","",SUMIFS(검수내역!$G$3:$G$802,검수내역!$D$3:$D$802,$A149))</f>
        <v/>
      </c>
      <c r="F149" s="13" t="str">
        <f aca="false">IF($A149="","",SUMIFS(출고내역!$G$3:$G$802,출고내역!$D$3:$D$802,$A149))</f>
        <v/>
      </c>
      <c r="G149" s="13" t="str">
        <f aca="false">IF($A149="","",SUMIFS(출고내역!$H$3:$H$802,출고내역!$D$3:$D$802,$A149))</f>
        <v/>
      </c>
      <c r="H149" s="13" t="str">
        <f aca="false">IF($A149="","",$F149+$G149)</f>
        <v/>
      </c>
      <c r="I149" s="13" t="str">
        <f aca="false">IF($A149="","",SUMIFS(재고조정!$E$3:$E$302,재고조정!$B$3:$B$302,$A149))</f>
        <v/>
      </c>
      <c r="J149" s="13" t="str">
        <f aca="false">IF($A149="","",$D149+$E149-$H149+$I149)</f>
        <v/>
      </c>
      <c r="K149" s="13" t="str">
        <f aca="false">IF($A149="","",SUMIFS(출고내역!$K$3:$K$802,출고내역!$D$3:$D$802,$A149))</f>
        <v/>
      </c>
    </row>
    <row r="150" customFormat="false" ht="15" hidden="false" customHeight="true" outlineLevel="0" collapsed="false">
      <c r="A150" s="12" t="str">
        <f aca="false">IF(품목마스터!$A147="","",품목마스터!$A147)</f>
        <v/>
      </c>
      <c r="B150" s="12" t="str">
        <f aca="false">IF($A150="","",품목마스터!$B147)</f>
        <v/>
      </c>
      <c r="C150" s="12" t="str">
        <f aca="false">IF($A150="","",품목마스터!$D147)</f>
        <v/>
      </c>
      <c r="D150" s="13" t="str">
        <f aca="false">IF($A150="","",IF(품목마스터!$E147="",0,품목마스터!$E147))</f>
        <v/>
      </c>
      <c r="E150" s="13" t="str">
        <f aca="false">IF($A150="","",SUMIFS(검수내역!$G$3:$G$802,검수내역!$D$3:$D$802,$A150))</f>
        <v/>
      </c>
      <c r="F150" s="13" t="str">
        <f aca="false">IF($A150="","",SUMIFS(출고내역!$G$3:$G$802,출고내역!$D$3:$D$802,$A150))</f>
        <v/>
      </c>
      <c r="G150" s="13" t="str">
        <f aca="false">IF($A150="","",SUMIFS(출고내역!$H$3:$H$802,출고내역!$D$3:$D$802,$A150))</f>
        <v/>
      </c>
      <c r="H150" s="13" t="str">
        <f aca="false">IF($A150="","",$F150+$G150)</f>
        <v/>
      </c>
      <c r="I150" s="13" t="str">
        <f aca="false">IF($A150="","",SUMIFS(재고조정!$E$3:$E$302,재고조정!$B$3:$B$302,$A150))</f>
        <v/>
      </c>
      <c r="J150" s="13" t="str">
        <f aca="false">IF($A150="","",$D150+$E150-$H150+$I150)</f>
        <v/>
      </c>
      <c r="K150" s="13" t="str">
        <f aca="false">IF($A150="","",SUMIFS(출고내역!$K$3:$K$802,출고내역!$D$3:$D$802,$A150))</f>
        <v/>
      </c>
    </row>
    <row r="151" customFormat="false" ht="15" hidden="false" customHeight="true" outlineLevel="0" collapsed="false">
      <c r="A151" s="12" t="str">
        <f aca="false">IF(품목마스터!$A148="","",품목마스터!$A148)</f>
        <v/>
      </c>
      <c r="B151" s="12" t="str">
        <f aca="false">IF($A151="","",품목마스터!$B148)</f>
        <v/>
      </c>
      <c r="C151" s="12" t="str">
        <f aca="false">IF($A151="","",품목마스터!$D148)</f>
        <v/>
      </c>
      <c r="D151" s="13" t="str">
        <f aca="false">IF($A151="","",IF(품목마스터!$E148="",0,품목마스터!$E148))</f>
        <v/>
      </c>
      <c r="E151" s="13" t="str">
        <f aca="false">IF($A151="","",SUMIFS(검수내역!$G$3:$G$802,검수내역!$D$3:$D$802,$A151))</f>
        <v/>
      </c>
      <c r="F151" s="13" t="str">
        <f aca="false">IF($A151="","",SUMIFS(출고내역!$G$3:$G$802,출고내역!$D$3:$D$802,$A151))</f>
        <v/>
      </c>
      <c r="G151" s="13" t="str">
        <f aca="false">IF($A151="","",SUMIFS(출고내역!$H$3:$H$802,출고내역!$D$3:$D$802,$A151))</f>
        <v/>
      </c>
      <c r="H151" s="13" t="str">
        <f aca="false">IF($A151="","",$F151+$G151)</f>
        <v/>
      </c>
      <c r="I151" s="13" t="str">
        <f aca="false">IF($A151="","",SUMIFS(재고조정!$E$3:$E$302,재고조정!$B$3:$B$302,$A151))</f>
        <v/>
      </c>
      <c r="J151" s="13" t="str">
        <f aca="false">IF($A151="","",$D151+$E151-$H151+$I151)</f>
        <v/>
      </c>
      <c r="K151" s="13" t="str">
        <f aca="false">IF($A151="","",SUMIFS(출고내역!$K$3:$K$802,출고내역!$D$3:$D$802,$A151))</f>
        <v/>
      </c>
    </row>
    <row r="152" customFormat="false" ht="15" hidden="false" customHeight="true" outlineLevel="0" collapsed="false">
      <c r="A152" s="12" t="str">
        <f aca="false">IF(품목마스터!$A149="","",품목마스터!$A149)</f>
        <v/>
      </c>
      <c r="B152" s="12" t="str">
        <f aca="false">IF($A152="","",품목마스터!$B149)</f>
        <v/>
      </c>
      <c r="C152" s="12" t="str">
        <f aca="false">IF($A152="","",품목마스터!$D149)</f>
        <v/>
      </c>
      <c r="D152" s="13" t="str">
        <f aca="false">IF($A152="","",IF(품목마스터!$E149="",0,품목마스터!$E149))</f>
        <v/>
      </c>
      <c r="E152" s="13" t="str">
        <f aca="false">IF($A152="","",SUMIFS(검수내역!$G$3:$G$802,검수내역!$D$3:$D$802,$A152))</f>
        <v/>
      </c>
      <c r="F152" s="13" t="str">
        <f aca="false">IF($A152="","",SUMIFS(출고내역!$G$3:$G$802,출고내역!$D$3:$D$802,$A152))</f>
        <v/>
      </c>
      <c r="G152" s="13" t="str">
        <f aca="false">IF($A152="","",SUMIFS(출고내역!$H$3:$H$802,출고내역!$D$3:$D$802,$A152))</f>
        <v/>
      </c>
      <c r="H152" s="13" t="str">
        <f aca="false">IF($A152="","",$F152+$G152)</f>
        <v/>
      </c>
      <c r="I152" s="13" t="str">
        <f aca="false">IF($A152="","",SUMIFS(재고조정!$E$3:$E$302,재고조정!$B$3:$B$302,$A152))</f>
        <v/>
      </c>
      <c r="J152" s="13" t="str">
        <f aca="false">IF($A152="","",$D152+$E152-$H152+$I152)</f>
        <v/>
      </c>
      <c r="K152" s="13" t="str">
        <f aca="false">IF($A152="","",SUMIFS(출고내역!$K$3:$K$802,출고내역!$D$3:$D$802,$A152))</f>
        <v/>
      </c>
    </row>
    <row r="153" customFormat="false" ht="15" hidden="false" customHeight="true" outlineLevel="0" collapsed="false">
      <c r="A153" s="12" t="str">
        <f aca="false">IF(품목마스터!$A150="","",품목마스터!$A150)</f>
        <v/>
      </c>
      <c r="B153" s="12" t="str">
        <f aca="false">IF($A153="","",품목마스터!$B150)</f>
        <v/>
      </c>
      <c r="C153" s="12" t="str">
        <f aca="false">IF($A153="","",품목마스터!$D150)</f>
        <v/>
      </c>
      <c r="D153" s="13" t="str">
        <f aca="false">IF($A153="","",IF(품목마스터!$E150="",0,품목마스터!$E150))</f>
        <v/>
      </c>
      <c r="E153" s="13" t="str">
        <f aca="false">IF($A153="","",SUMIFS(검수내역!$G$3:$G$802,검수내역!$D$3:$D$802,$A153))</f>
        <v/>
      </c>
      <c r="F153" s="13" t="str">
        <f aca="false">IF($A153="","",SUMIFS(출고내역!$G$3:$G$802,출고내역!$D$3:$D$802,$A153))</f>
        <v/>
      </c>
      <c r="G153" s="13" t="str">
        <f aca="false">IF($A153="","",SUMIFS(출고내역!$H$3:$H$802,출고내역!$D$3:$D$802,$A153))</f>
        <v/>
      </c>
      <c r="H153" s="13" t="str">
        <f aca="false">IF($A153="","",$F153+$G153)</f>
        <v/>
      </c>
      <c r="I153" s="13" t="str">
        <f aca="false">IF($A153="","",SUMIFS(재고조정!$E$3:$E$302,재고조정!$B$3:$B$302,$A153))</f>
        <v/>
      </c>
      <c r="J153" s="13" t="str">
        <f aca="false">IF($A153="","",$D153+$E153-$H153+$I153)</f>
        <v/>
      </c>
      <c r="K153" s="13" t="str">
        <f aca="false">IF($A153="","",SUMIFS(출고내역!$K$3:$K$802,출고내역!$D$3:$D$802,$A153))</f>
        <v/>
      </c>
    </row>
    <row r="154" customFormat="false" ht="15" hidden="false" customHeight="true" outlineLevel="0" collapsed="false">
      <c r="A154" s="12" t="str">
        <f aca="false">IF(품목마스터!$A151="","",품목마스터!$A151)</f>
        <v/>
      </c>
      <c r="B154" s="12" t="str">
        <f aca="false">IF($A154="","",품목마스터!$B151)</f>
        <v/>
      </c>
      <c r="C154" s="12" t="str">
        <f aca="false">IF($A154="","",품목마스터!$D151)</f>
        <v/>
      </c>
      <c r="D154" s="13" t="str">
        <f aca="false">IF($A154="","",IF(품목마스터!$E151="",0,품목마스터!$E151))</f>
        <v/>
      </c>
      <c r="E154" s="13" t="str">
        <f aca="false">IF($A154="","",SUMIFS(검수내역!$G$3:$G$802,검수내역!$D$3:$D$802,$A154))</f>
        <v/>
      </c>
      <c r="F154" s="13" t="str">
        <f aca="false">IF($A154="","",SUMIFS(출고내역!$G$3:$G$802,출고내역!$D$3:$D$802,$A154))</f>
        <v/>
      </c>
      <c r="G154" s="13" t="str">
        <f aca="false">IF($A154="","",SUMIFS(출고내역!$H$3:$H$802,출고내역!$D$3:$D$802,$A154))</f>
        <v/>
      </c>
      <c r="H154" s="13" t="str">
        <f aca="false">IF($A154="","",$F154+$G154)</f>
        <v/>
      </c>
      <c r="I154" s="13" t="str">
        <f aca="false">IF($A154="","",SUMIFS(재고조정!$E$3:$E$302,재고조정!$B$3:$B$302,$A154))</f>
        <v/>
      </c>
      <c r="J154" s="13" t="str">
        <f aca="false">IF($A154="","",$D154+$E154-$H154+$I154)</f>
        <v/>
      </c>
      <c r="K154" s="13" t="str">
        <f aca="false">IF($A154="","",SUMIFS(출고내역!$K$3:$K$802,출고내역!$D$3:$D$802,$A154))</f>
        <v/>
      </c>
    </row>
    <row r="155" customFormat="false" ht="15" hidden="false" customHeight="true" outlineLevel="0" collapsed="false">
      <c r="A155" s="12" t="str">
        <f aca="false">IF(품목마스터!$A152="","",품목마스터!$A152)</f>
        <v/>
      </c>
      <c r="B155" s="12" t="str">
        <f aca="false">IF($A155="","",품목마스터!$B152)</f>
        <v/>
      </c>
      <c r="C155" s="12" t="str">
        <f aca="false">IF($A155="","",품목마스터!$D152)</f>
        <v/>
      </c>
      <c r="D155" s="13" t="str">
        <f aca="false">IF($A155="","",IF(품목마스터!$E152="",0,품목마스터!$E152))</f>
        <v/>
      </c>
      <c r="E155" s="13" t="str">
        <f aca="false">IF($A155="","",SUMIFS(검수내역!$G$3:$G$802,검수내역!$D$3:$D$802,$A155))</f>
        <v/>
      </c>
      <c r="F155" s="13" t="str">
        <f aca="false">IF($A155="","",SUMIFS(출고내역!$G$3:$G$802,출고내역!$D$3:$D$802,$A155))</f>
        <v/>
      </c>
      <c r="G155" s="13" t="str">
        <f aca="false">IF($A155="","",SUMIFS(출고내역!$H$3:$H$802,출고내역!$D$3:$D$802,$A155))</f>
        <v/>
      </c>
      <c r="H155" s="13" t="str">
        <f aca="false">IF($A155="","",$F155+$G155)</f>
        <v/>
      </c>
      <c r="I155" s="13" t="str">
        <f aca="false">IF($A155="","",SUMIFS(재고조정!$E$3:$E$302,재고조정!$B$3:$B$302,$A155))</f>
        <v/>
      </c>
      <c r="J155" s="13" t="str">
        <f aca="false">IF($A155="","",$D155+$E155-$H155+$I155)</f>
        <v/>
      </c>
      <c r="K155" s="13" t="str">
        <f aca="false">IF($A155="","",SUMIFS(출고내역!$K$3:$K$802,출고내역!$D$3:$D$802,$A155))</f>
        <v/>
      </c>
    </row>
    <row r="156" customFormat="false" ht="15" hidden="false" customHeight="true" outlineLevel="0" collapsed="false">
      <c r="A156" s="12" t="str">
        <f aca="false">IF(품목마스터!$A153="","",품목마스터!$A153)</f>
        <v/>
      </c>
      <c r="B156" s="12" t="str">
        <f aca="false">IF($A156="","",품목마스터!$B153)</f>
        <v/>
      </c>
      <c r="C156" s="12" t="str">
        <f aca="false">IF($A156="","",품목마스터!$D153)</f>
        <v/>
      </c>
      <c r="D156" s="13" t="str">
        <f aca="false">IF($A156="","",IF(품목마스터!$E153="",0,품목마스터!$E153))</f>
        <v/>
      </c>
      <c r="E156" s="13" t="str">
        <f aca="false">IF($A156="","",SUMIFS(검수내역!$G$3:$G$802,검수내역!$D$3:$D$802,$A156))</f>
        <v/>
      </c>
      <c r="F156" s="13" t="str">
        <f aca="false">IF($A156="","",SUMIFS(출고내역!$G$3:$G$802,출고내역!$D$3:$D$802,$A156))</f>
        <v/>
      </c>
      <c r="G156" s="13" t="str">
        <f aca="false">IF($A156="","",SUMIFS(출고내역!$H$3:$H$802,출고내역!$D$3:$D$802,$A156))</f>
        <v/>
      </c>
      <c r="H156" s="13" t="str">
        <f aca="false">IF($A156="","",$F156+$G156)</f>
        <v/>
      </c>
      <c r="I156" s="13" t="str">
        <f aca="false">IF($A156="","",SUMIFS(재고조정!$E$3:$E$302,재고조정!$B$3:$B$302,$A156))</f>
        <v/>
      </c>
      <c r="J156" s="13" t="str">
        <f aca="false">IF($A156="","",$D156+$E156-$H156+$I156)</f>
        <v/>
      </c>
      <c r="K156" s="13" t="str">
        <f aca="false">IF($A156="","",SUMIFS(출고내역!$K$3:$K$802,출고내역!$D$3:$D$802,$A156))</f>
        <v/>
      </c>
    </row>
    <row r="157" customFormat="false" ht="15" hidden="false" customHeight="true" outlineLevel="0" collapsed="false">
      <c r="A157" s="12" t="str">
        <f aca="false">IF(품목마스터!$A154="","",품목마스터!$A154)</f>
        <v/>
      </c>
      <c r="B157" s="12" t="str">
        <f aca="false">IF($A157="","",품목마스터!$B154)</f>
        <v/>
      </c>
      <c r="C157" s="12" t="str">
        <f aca="false">IF($A157="","",품목마스터!$D154)</f>
        <v/>
      </c>
      <c r="D157" s="13" t="str">
        <f aca="false">IF($A157="","",IF(품목마스터!$E154="",0,품목마스터!$E154))</f>
        <v/>
      </c>
      <c r="E157" s="13" t="str">
        <f aca="false">IF($A157="","",SUMIFS(검수내역!$G$3:$G$802,검수내역!$D$3:$D$802,$A157))</f>
        <v/>
      </c>
      <c r="F157" s="13" t="str">
        <f aca="false">IF($A157="","",SUMIFS(출고내역!$G$3:$G$802,출고내역!$D$3:$D$802,$A157))</f>
        <v/>
      </c>
      <c r="G157" s="13" t="str">
        <f aca="false">IF($A157="","",SUMIFS(출고내역!$H$3:$H$802,출고내역!$D$3:$D$802,$A157))</f>
        <v/>
      </c>
      <c r="H157" s="13" t="str">
        <f aca="false">IF($A157="","",$F157+$G157)</f>
        <v/>
      </c>
      <c r="I157" s="13" t="str">
        <f aca="false">IF($A157="","",SUMIFS(재고조정!$E$3:$E$302,재고조정!$B$3:$B$302,$A157))</f>
        <v/>
      </c>
      <c r="J157" s="13" t="str">
        <f aca="false">IF($A157="","",$D157+$E157-$H157+$I157)</f>
        <v/>
      </c>
      <c r="K157" s="13" t="str">
        <f aca="false">IF($A157="","",SUMIFS(출고내역!$K$3:$K$802,출고내역!$D$3:$D$802,$A157))</f>
        <v/>
      </c>
    </row>
    <row r="158" customFormat="false" ht="15" hidden="false" customHeight="true" outlineLevel="0" collapsed="false">
      <c r="A158" s="12" t="str">
        <f aca="false">IF(품목마스터!$A155="","",품목마스터!$A155)</f>
        <v/>
      </c>
      <c r="B158" s="12" t="str">
        <f aca="false">IF($A158="","",품목마스터!$B155)</f>
        <v/>
      </c>
      <c r="C158" s="12" t="str">
        <f aca="false">IF($A158="","",품목마스터!$D155)</f>
        <v/>
      </c>
      <c r="D158" s="13" t="str">
        <f aca="false">IF($A158="","",IF(품목마스터!$E155="",0,품목마스터!$E155))</f>
        <v/>
      </c>
      <c r="E158" s="13" t="str">
        <f aca="false">IF($A158="","",SUMIFS(검수내역!$G$3:$G$802,검수내역!$D$3:$D$802,$A158))</f>
        <v/>
      </c>
      <c r="F158" s="13" t="str">
        <f aca="false">IF($A158="","",SUMIFS(출고내역!$G$3:$G$802,출고내역!$D$3:$D$802,$A158))</f>
        <v/>
      </c>
      <c r="G158" s="13" t="str">
        <f aca="false">IF($A158="","",SUMIFS(출고내역!$H$3:$H$802,출고내역!$D$3:$D$802,$A158))</f>
        <v/>
      </c>
      <c r="H158" s="13" t="str">
        <f aca="false">IF($A158="","",$F158+$G158)</f>
        <v/>
      </c>
      <c r="I158" s="13" t="str">
        <f aca="false">IF($A158="","",SUMIFS(재고조정!$E$3:$E$302,재고조정!$B$3:$B$302,$A158))</f>
        <v/>
      </c>
      <c r="J158" s="13" t="str">
        <f aca="false">IF($A158="","",$D158+$E158-$H158+$I158)</f>
        <v/>
      </c>
      <c r="K158" s="13" t="str">
        <f aca="false">IF($A158="","",SUMIFS(출고내역!$K$3:$K$802,출고내역!$D$3:$D$802,$A158))</f>
        <v/>
      </c>
    </row>
    <row r="159" customFormat="false" ht="15" hidden="false" customHeight="true" outlineLevel="0" collapsed="false">
      <c r="A159" s="12" t="str">
        <f aca="false">IF(품목마스터!$A156="","",품목마스터!$A156)</f>
        <v/>
      </c>
      <c r="B159" s="12" t="str">
        <f aca="false">IF($A159="","",품목마스터!$B156)</f>
        <v/>
      </c>
      <c r="C159" s="12" t="str">
        <f aca="false">IF($A159="","",품목마스터!$D156)</f>
        <v/>
      </c>
      <c r="D159" s="13" t="str">
        <f aca="false">IF($A159="","",IF(품목마스터!$E156="",0,품목마스터!$E156))</f>
        <v/>
      </c>
      <c r="E159" s="13" t="str">
        <f aca="false">IF($A159="","",SUMIFS(검수내역!$G$3:$G$802,검수내역!$D$3:$D$802,$A159))</f>
        <v/>
      </c>
      <c r="F159" s="13" t="str">
        <f aca="false">IF($A159="","",SUMIFS(출고내역!$G$3:$G$802,출고내역!$D$3:$D$802,$A159))</f>
        <v/>
      </c>
      <c r="G159" s="13" t="str">
        <f aca="false">IF($A159="","",SUMIFS(출고내역!$H$3:$H$802,출고내역!$D$3:$D$802,$A159))</f>
        <v/>
      </c>
      <c r="H159" s="13" t="str">
        <f aca="false">IF($A159="","",$F159+$G159)</f>
        <v/>
      </c>
      <c r="I159" s="13" t="str">
        <f aca="false">IF($A159="","",SUMIFS(재고조정!$E$3:$E$302,재고조정!$B$3:$B$302,$A159))</f>
        <v/>
      </c>
      <c r="J159" s="13" t="str">
        <f aca="false">IF($A159="","",$D159+$E159-$H159+$I159)</f>
        <v/>
      </c>
      <c r="K159" s="13" t="str">
        <f aca="false">IF($A159="","",SUMIFS(출고내역!$K$3:$K$802,출고내역!$D$3:$D$802,$A159))</f>
        <v/>
      </c>
    </row>
    <row r="160" customFormat="false" ht="15" hidden="false" customHeight="true" outlineLevel="0" collapsed="false">
      <c r="A160" s="12" t="str">
        <f aca="false">IF(품목마스터!$A157="","",품목마스터!$A157)</f>
        <v/>
      </c>
      <c r="B160" s="12" t="str">
        <f aca="false">IF($A160="","",품목마스터!$B157)</f>
        <v/>
      </c>
      <c r="C160" s="12" t="str">
        <f aca="false">IF($A160="","",품목마스터!$D157)</f>
        <v/>
      </c>
      <c r="D160" s="13" t="str">
        <f aca="false">IF($A160="","",IF(품목마스터!$E157="",0,품목마스터!$E157))</f>
        <v/>
      </c>
      <c r="E160" s="13" t="str">
        <f aca="false">IF($A160="","",SUMIFS(검수내역!$G$3:$G$802,검수내역!$D$3:$D$802,$A160))</f>
        <v/>
      </c>
      <c r="F160" s="13" t="str">
        <f aca="false">IF($A160="","",SUMIFS(출고내역!$G$3:$G$802,출고내역!$D$3:$D$802,$A160))</f>
        <v/>
      </c>
      <c r="G160" s="13" t="str">
        <f aca="false">IF($A160="","",SUMIFS(출고내역!$H$3:$H$802,출고내역!$D$3:$D$802,$A160))</f>
        <v/>
      </c>
      <c r="H160" s="13" t="str">
        <f aca="false">IF($A160="","",$F160+$G160)</f>
        <v/>
      </c>
      <c r="I160" s="13" t="str">
        <f aca="false">IF($A160="","",SUMIFS(재고조정!$E$3:$E$302,재고조정!$B$3:$B$302,$A160))</f>
        <v/>
      </c>
      <c r="J160" s="13" t="str">
        <f aca="false">IF($A160="","",$D160+$E160-$H160+$I160)</f>
        <v/>
      </c>
      <c r="K160" s="13" t="str">
        <f aca="false">IF($A160="","",SUMIFS(출고내역!$K$3:$K$802,출고내역!$D$3:$D$802,$A160))</f>
        <v/>
      </c>
    </row>
    <row r="161" customFormat="false" ht="15" hidden="false" customHeight="true" outlineLevel="0" collapsed="false">
      <c r="A161" s="12" t="str">
        <f aca="false">IF(품목마스터!$A158="","",품목마스터!$A158)</f>
        <v/>
      </c>
      <c r="B161" s="12" t="str">
        <f aca="false">IF($A161="","",품목마스터!$B158)</f>
        <v/>
      </c>
      <c r="C161" s="12" t="str">
        <f aca="false">IF($A161="","",품목마스터!$D158)</f>
        <v/>
      </c>
      <c r="D161" s="13" t="str">
        <f aca="false">IF($A161="","",IF(품목마스터!$E158="",0,품목마스터!$E158))</f>
        <v/>
      </c>
      <c r="E161" s="13" t="str">
        <f aca="false">IF($A161="","",SUMIFS(검수내역!$G$3:$G$802,검수내역!$D$3:$D$802,$A161))</f>
        <v/>
      </c>
      <c r="F161" s="13" t="str">
        <f aca="false">IF($A161="","",SUMIFS(출고내역!$G$3:$G$802,출고내역!$D$3:$D$802,$A161))</f>
        <v/>
      </c>
      <c r="G161" s="13" t="str">
        <f aca="false">IF($A161="","",SUMIFS(출고내역!$H$3:$H$802,출고내역!$D$3:$D$802,$A161))</f>
        <v/>
      </c>
      <c r="H161" s="13" t="str">
        <f aca="false">IF($A161="","",$F161+$G161)</f>
        <v/>
      </c>
      <c r="I161" s="13" t="str">
        <f aca="false">IF($A161="","",SUMIFS(재고조정!$E$3:$E$302,재고조정!$B$3:$B$302,$A161))</f>
        <v/>
      </c>
      <c r="J161" s="13" t="str">
        <f aca="false">IF($A161="","",$D161+$E161-$H161+$I161)</f>
        <v/>
      </c>
      <c r="K161" s="13" t="str">
        <f aca="false">IF($A161="","",SUMIFS(출고내역!$K$3:$K$802,출고내역!$D$3:$D$802,$A161))</f>
        <v/>
      </c>
    </row>
    <row r="162" customFormat="false" ht="15" hidden="false" customHeight="true" outlineLevel="0" collapsed="false">
      <c r="A162" s="12" t="str">
        <f aca="false">IF(품목마스터!$A159="","",품목마스터!$A159)</f>
        <v/>
      </c>
      <c r="B162" s="12" t="str">
        <f aca="false">IF($A162="","",품목마스터!$B159)</f>
        <v/>
      </c>
      <c r="C162" s="12" t="str">
        <f aca="false">IF($A162="","",품목마스터!$D159)</f>
        <v/>
      </c>
      <c r="D162" s="13" t="str">
        <f aca="false">IF($A162="","",IF(품목마스터!$E159="",0,품목마스터!$E159))</f>
        <v/>
      </c>
      <c r="E162" s="13" t="str">
        <f aca="false">IF($A162="","",SUMIFS(검수내역!$G$3:$G$802,검수내역!$D$3:$D$802,$A162))</f>
        <v/>
      </c>
      <c r="F162" s="13" t="str">
        <f aca="false">IF($A162="","",SUMIFS(출고내역!$G$3:$G$802,출고내역!$D$3:$D$802,$A162))</f>
        <v/>
      </c>
      <c r="G162" s="13" t="str">
        <f aca="false">IF($A162="","",SUMIFS(출고내역!$H$3:$H$802,출고내역!$D$3:$D$802,$A162))</f>
        <v/>
      </c>
      <c r="H162" s="13" t="str">
        <f aca="false">IF($A162="","",$F162+$G162)</f>
        <v/>
      </c>
      <c r="I162" s="13" t="str">
        <f aca="false">IF($A162="","",SUMIFS(재고조정!$E$3:$E$302,재고조정!$B$3:$B$302,$A162))</f>
        <v/>
      </c>
      <c r="J162" s="13" t="str">
        <f aca="false">IF($A162="","",$D162+$E162-$H162+$I162)</f>
        <v/>
      </c>
      <c r="K162" s="13" t="str">
        <f aca="false">IF($A162="","",SUMIFS(출고내역!$K$3:$K$802,출고내역!$D$3:$D$802,$A162))</f>
        <v/>
      </c>
    </row>
    <row r="163" customFormat="false" ht="15" hidden="false" customHeight="true" outlineLevel="0" collapsed="false">
      <c r="A163" s="12" t="str">
        <f aca="false">IF(품목마스터!$A160="","",품목마스터!$A160)</f>
        <v/>
      </c>
      <c r="B163" s="12" t="str">
        <f aca="false">IF($A163="","",품목마스터!$B160)</f>
        <v/>
      </c>
      <c r="C163" s="12" t="str">
        <f aca="false">IF($A163="","",품목마스터!$D160)</f>
        <v/>
      </c>
      <c r="D163" s="13" t="str">
        <f aca="false">IF($A163="","",IF(품목마스터!$E160="",0,품목마스터!$E160))</f>
        <v/>
      </c>
      <c r="E163" s="13" t="str">
        <f aca="false">IF($A163="","",SUMIFS(검수내역!$G$3:$G$802,검수내역!$D$3:$D$802,$A163))</f>
        <v/>
      </c>
      <c r="F163" s="13" t="str">
        <f aca="false">IF($A163="","",SUMIFS(출고내역!$G$3:$G$802,출고내역!$D$3:$D$802,$A163))</f>
        <v/>
      </c>
      <c r="G163" s="13" t="str">
        <f aca="false">IF($A163="","",SUMIFS(출고내역!$H$3:$H$802,출고내역!$D$3:$D$802,$A163))</f>
        <v/>
      </c>
      <c r="H163" s="13" t="str">
        <f aca="false">IF($A163="","",$F163+$G163)</f>
        <v/>
      </c>
      <c r="I163" s="13" t="str">
        <f aca="false">IF($A163="","",SUMIFS(재고조정!$E$3:$E$302,재고조정!$B$3:$B$302,$A163))</f>
        <v/>
      </c>
      <c r="J163" s="13" t="str">
        <f aca="false">IF($A163="","",$D163+$E163-$H163+$I163)</f>
        <v/>
      </c>
      <c r="K163" s="13" t="str">
        <f aca="false">IF($A163="","",SUMIFS(출고내역!$K$3:$K$802,출고내역!$D$3:$D$802,$A163))</f>
        <v/>
      </c>
    </row>
    <row r="164" customFormat="false" ht="15" hidden="false" customHeight="true" outlineLevel="0" collapsed="false">
      <c r="A164" s="12" t="str">
        <f aca="false">IF(품목마스터!$A161="","",품목마스터!$A161)</f>
        <v/>
      </c>
      <c r="B164" s="12" t="str">
        <f aca="false">IF($A164="","",품목마스터!$B161)</f>
        <v/>
      </c>
      <c r="C164" s="12" t="str">
        <f aca="false">IF($A164="","",품목마스터!$D161)</f>
        <v/>
      </c>
      <c r="D164" s="13" t="str">
        <f aca="false">IF($A164="","",IF(품목마스터!$E161="",0,품목마스터!$E161))</f>
        <v/>
      </c>
      <c r="E164" s="13" t="str">
        <f aca="false">IF($A164="","",SUMIFS(검수내역!$G$3:$G$802,검수내역!$D$3:$D$802,$A164))</f>
        <v/>
      </c>
      <c r="F164" s="13" t="str">
        <f aca="false">IF($A164="","",SUMIFS(출고내역!$G$3:$G$802,출고내역!$D$3:$D$802,$A164))</f>
        <v/>
      </c>
      <c r="G164" s="13" t="str">
        <f aca="false">IF($A164="","",SUMIFS(출고내역!$H$3:$H$802,출고내역!$D$3:$D$802,$A164))</f>
        <v/>
      </c>
      <c r="H164" s="13" t="str">
        <f aca="false">IF($A164="","",$F164+$G164)</f>
        <v/>
      </c>
      <c r="I164" s="13" t="str">
        <f aca="false">IF($A164="","",SUMIFS(재고조정!$E$3:$E$302,재고조정!$B$3:$B$302,$A164))</f>
        <v/>
      </c>
      <c r="J164" s="13" t="str">
        <f aca="false">IF($A164="","",$D164+$E164-$H164+$I164)</f>
        <v/>
      </c>
      <c r="K164" s="13" t="str">
        <f aca="false">IF($A164="","",SUMIFS(출고내역!$K$3:$K$802,출고내역!$D$3:$D$802,$A164))</f>
        <v/>
      </c>
    </row>
    <row r="165" customFormat="false" ht="15" hidden="false" customHeight="true" outlineLevel="0" collapsed="false">
      <c r="A165" s="12" t="str">
        <f aca="false">IF(품목마스터!$A162="","",품목마스터!$A162)</f>
        <v/>
      </c>
      <c r="B165" s="12" t="str">
        <f aca="false">IF($A165="","",품목마스터!$B162)</f>
        <v/>
      </c>
      <c r="C165" s="12" t="str">
        <f aca="false">IF($A165="","",품목마스터!$D162)</f>
        <v/>
      </c>
      <c r="D165" s="13" t="str">
        <f aca="false">IF($A165="","",IF(품목마스터!$E162="",0,품목마스터!$E162))</f>
        <v/>
      </c>
      <c r="E165" s="13" t="str">
        <f aca="false">IF($A165="","",SUMIFS(검수내역!$G$3:$G$802,검수내역!$D$3:$D$802,$A165))</f>
        <v/>
      </c>
      <c r="F165" s="13" t="str">
        <f aca="false">IF($A165="","",SUMIFS(출고내역!$G$3:$G$802,출고내역!$D$3:$D$802,$A165))</f>
        <v/>
      </c>
      <c r="G165" s="13" t="str">
        <f aca="false">IF($A165="","",SUMIFS(출고내역!$H$3:$H$802,출고내역!$D$3:$D$802,$A165))</f>
        <v/>
      </c>
      <c r="H165" s="13" t="str">
        <f aca="false">IF($A165="","",$F165+$G165)</f>
        <v/>
      </c>
      <c r="I165" s="13" t="str">
        <f aca="false">IF($A165="","",SUMIFS(재고조정!$E$3:$E$302,재고조정!$B$3:$B$302,$A165))</f>
        <v/>
      </c>
      <c r="J165" s="13" t="str">
        <f aca="false">IF($A165="","",$D165+$E165-$H165+$I165)</f>
        <v/>
      </c>
      <c r="K165" s="13" t="str">
        <f aca="false">IF($A165="","",SUMIFS(출고내역!$K$3:$K$802,출고내역!$D$3:$D$802,$A165))</f>
        <v/>
      </c>
    </row>
    <row r="166" customFormat="false" ht="15" hidden="false" customHeight="true" outlineLevel="0" collapsed="false">
      <c r="A166" s="12" t="str">
        <f aca="false">IF(품목마스터!$A163="","",품목마스터!$A163)</f>
        <v/>
      </c>
      <c r="B166" s="12" t="str">
        <f aca="false">IF($A166="","",품목마스터!$B163)</f>
        <v/>
      </c>
      <c r="C166" s="12" t="str">
        <f aca="false">IF($A166="","",품목마스터!$D163)</f>
        <v/>
      </c>
      <c r="D166" s="13" t="str">
        <f aca="false">IF($A166="","",IF(품목마스터!$E163="",0,품목마스터!$E163))</f>
        <v/>
      </c>
      <c r="E166" s="13" t="str">
        <f aca="false">IF($A166="","",SUMIFS(검수내역!$G$3:$G$802,검수내역!$D$3:$D$802,$A166))</f>
        <v/>
      </c>
      <c r="F166" s="13" t="str">
        <f aca="false">IF($A166="","",SUMIFS(출고내역!$G$3:$G$802,출고내역!$D$3:$D$802,$A166))</f>
        <v/>
      </c>
      <c r="G166" s="13" t="str">
        <f aca="false">IF($A166="","",SUMIFS(출고내역!$H$3:$H$802,출고내역!$D$3:$D$802,$A166))</f>
        <v/>
      </c>
      <c r="H166" s="13" t="str">
        <f aca="false">IF($A166="","",$F166+$G166)</f>
        <v/>
      </c>
      <c r="I166" s="13" t="str">
        <f aca="false">IF($A166="","",SUMIFS(재고조정!$E$3:$E$302,재고조정!$B$3:$B$302,$A166))</f>
        <v/>
      </c>
      <c r="J166" s="13" t="str">
        <f aca="false">IF($A166="","",$D166+$E166-$H166+$I166)</f>
        <v/>
      </c>
      <c r="K166" s="13" t="str">
        <f aca="false">IF($A166="","",SUMIFS(출고내역!$K$3:$K$802,출고내역!$D$3:$D$802,$A166))</f>
        <v/>
      </c>
    </row>
    <row r="167" customFormat="false" ht="15" hidden="false" customHeight="true" outlineLevel="0" collapsed="false">
      <c r="A167" s="12" t="str">
        <f aca="false">IF(품목마스터!$A164="","",품목마스터!$A164)</f>
        <v/>
      </c>
      <c r="B167" s="12" t="str">
        <f aca="false">IF($A167="","",품목마스터!$B164)</f>
        <v/>
      </c>
      <c r="C167" s="12" t="str">
        <f aca="false">IF($A167="","",품목마스터!$D164)</f>
        <v/>
      </c>
      <c r="D167" s="13" t="str">
        <f aca="false">IF($A167="","",IF(품목마스터!$E164="",0,품목마스터!$E164))</f>
        <v/>
      </c>
      <c r="E167" s="13" t="str">
        <f aca="false">IF($A167="","",SUMIFS(검수내역!$G$3:$G$802,검수내역!$D$3:$D$802,$A167))</f>
        <v/>
      </c>
      <c r="F167" s="13" t="str">
        <f aca="false">IF($A167="","",SUMIFS(출고내역!$G$3:$G$802,출고내역!$D$3:$D$802,$A167))</f>
        <v/>
      </c>
      <c r="G167" s="13" t="str">
        <f aca="false">IF($A167="","",SUMIFS(출고내역!$H$3:$H$802,출고내역!$D$3:$D$802,$A167))</f>
        <v/>
      </c>
      <c r="H167" s="13" t="str">
        <f aca="false">IF($A167="","",$F167+$G167)</f>
        <v/>
      </c>
      <c r="I167" s="13" t="str">
        <f aca="false">IF($A167="","",SUMIFS(재고조정!$E$3:$E$302,재고조정!$B$3:$B$302,$A167))</f>
        <v/>
      </c>
      <c r="J167" s="13" t="str">
        <f aca="false">IF($A167="","",$D167+$E167-$H167+$I167)</f>
        <v/>
      </c>
      <c r="K167" s="13" t="str">
        <f aca="false">IF($A167="","",SUMIFS(출고내역!$K$3:$K$802,출고내역!$D$3:$D$802,$A167))</f>
        <v/>
      </c>
    </row>
    <row r="168" customFormat="false" ht="15" hidden="false" customHeight="true" outlineLevel="0" collapsed="false">
      <c r="A168" s="12" t="str">
        <f aca="false">IF(품목마스터!$A165="","",품목마스터!$A165)</f>
        <v/>
      </c>
      <c r="B168" s="12" t="str">
        <f aca="false">IF($A168="","",품목마스터!$B165)</f>
        <v/>
      </c>
      <c r="C168" s="12" t="str">
        <f aca="false">IF($A168="","",품목마스터!$D165)</f>
        <v/>
      </c>
      <c r="D168" s="13" t="str">
        <f aca="false">IF($A168="","",IF(품목마스터!$E165="",0,품목마스터!$E165))</f>
        <v/>
      </c>
      <c r="E168" s="13" t="str">
        <f aca="false">IF($A168="","",SUMIFS(검수내역!$G$3:$G$802,검수내역!$D$3:$D$802,$A168))</f>
        <v/>
      </c>
      <c r="F168" s="13" t="str">
        <f aca="false">IF($A168="","",SUMIFS(출고내역!$G$3:$G$802,출고내역!$D$3:$D$802,$A168))</f>
        <v/>
      </c>
      <c r="G168" s="13" t="str">
        <f aca="false">IF($A168="","",SUMIFS(출고내역!$H$3:$H$802,출고내역!$D$3:$D$802,$A168))</f>
        <v/>
      </c>
      <c r="H168" s="13" t="str">
        <f aca="false">IF($A168="","",$F168+$G168)</f>
        <v/>
      </c>
      <c r="I168" s="13" t="str">
        <f aca="false">IF($A168="","",SUMIFS(재고조정!$E$3:$E$302,재고조정!$B$3:$B$302,$A168))</f>
        <v/>
      </c>
      <c r="J168" s="13" t="str">
        <f aca="false">IF($A168="","",$D168+$E168-$H168+$I168)</f>
        <v/>
      </c>
      <c r="K168" s="13" t="str">
        <f aca="false">IF($A168="","",SUMIFS(출고내역!$K$3:$K$802,출고내역!$D$3:$D$802,$A168))</f>
        <v/>
      </c>
    </row>
    <row r="169" customFormat="false" ht="15" hidden="false" customHeight="true" outlineLevel="0" collapsed="false">
      <c r="A169" s="12" t="str">
        <f aca="false">IF(품목마스터!$A166="","",품목마스터!$A166)</f>
        <v/>
      </c>
      <c r="B169" s="12" t="str">
        <f aca="false">IF($A169="","",품목마스터!$B166)</f>
        <v/>
      </c>
      <c r="C169" s="12" t="str">
        <f aca="false">IF($A169="","",품목마스터!$D166)</f>
        <v/>
      </c>
      <c r="D169" s="13" t="str">
        <f aca="false">IF($A169="","",IF(품목마스터!$E166="",0,품목마스터!$E166))</f>
        <v/>
      </c>
      <c r="E169" s="13" t="str">
        <f aca="false">IF($A169="","",SUMIFS(검수내역!$G$3:$G$802,검수내역!$D$3:$D$802,$A169))</f>
        <v/>
      </c>
      <c r="F169" s="13" t="str">
        <f aca="false">IF($A169="","",SUMIFS(출고내역!$G$3:$G$802,출고내역!$D$3:$D$802,$A169))</f>
        <v/>
      </c>
      <c r="G169" s="13" t="str">
        <f aca="false">IF($A169="","",SUMIFS(출고내역!$H$3:$H$802,출고내역!$D$3:$D$802,$A169))</f>
        <v/>
      </c>
      <c r="H169" s="13" t="str">
        <f aca="false">IF($A169="","",$F169+$G169)</f>
        <v/>
      </c>
      <c r="I169" s="13" t="str">
        <f aca="false">IF($A169="","",SUMIFS(재고조정!$E$3:$E$302,재고조정!$B$3:$B$302,$A169))</f>
        <v/>
      </c>
      <c r="J169" s="13" t="str">
        <f aca="false">IF($A169="","",$D169+$E169-$H169+$I169)</f>
        <v/>
      </c>
      <c r="K169" s="13" t="str">
        <f aca="false">IF($A169="","",SUMIFS(출고내역!$K$3:$K$802,출고내역!$D$3:$D$802,$A169))</f>
        <v/>
      </c>
    </row>
    <row r="170" customFormat="false" ht="15" hidden="false" customHeight="true" outlineLevel="0" collapsed="false">
      <c r="A170" s="12" t="str">
        <f aca="false">IF(품목마스터!$A167="","",품목마스터!$A167)</f>
        <v/>
      </c>
      <c r="B170" s="12" t="str">
        <f aca="false">IF($A170="","",품목마스터!$B167)</f>
        <v/>
      </c>
      <c r="C170" s="12" t="str">
        <f aca="false">IF($A170="","",품목마스터!$D167)</f>
        <v/>
      </c>
      <c r="D170" s="13" t="str">
        <f aca="false">IF($A170="","",IF(품목마스터!$E167="",0,품목마스터!$E167))</f>
        <v/>
      </c>
      <c r="E170" s="13" t="str">
        <f aca="false">IF($A170="","",SUMIFS(검수내역!$G$3:$G$802,검수내역!$D$3:$D$802,$A170))</f>
        <v/>
      </c>
      <c r="F170" s="13" t="str">
        <f aca="false">IF($A170="","",SUMIFS(출고내역!$G$3:$G$802,출고내역!$D$3:$D$802,$A170))</f>
        <v/>
      </c>
      <c r="G170" s="13" t="str">
        <f aca="false">IF($A170="","",SUMIFS(출고내역!$H$3:$H$802,출고내역!$D$3:$D$802,$A170))</f>
        <v/>
      </c>
      <c r="H170" s="13" t="str">
        <f aca="false">IF($A170="","",$F170+$G170)</f>
        <v/>
      </c>
      <c r="I170" s="13" t="str">
        <f aca="false">IF($A170="","",SUMIFS(재고조정!$E$3:$E$302,재고조정!$B$3:$B$302,$A170))</f>
        <v/>
      </c>
      <c r="J170" s="13" t="str">
        <f aca="false">IF($A170="","",$D170+$E170-$H170+$I170)</f>
        <v/>
      </c>
      <c r="K170" s="13" t="str">
        <f aca="false">IF($A170="","",SUMIFS(출고내역!$K$3:$K$802,출고내역!$D$3:$D$802,$A170))</f>
        <v/>
      </c>
    </row>
    <row r="171" customFormat="false" ht="15" hidden="false" customHeight="true" outlineLevel="0" collapsed="false">
      <c r="A171" s="12" t="str">
        <f aca="false">IF(품목마스터!$A168="","",품목마스터!$A168)</f>
        <v/>
      </c>
      <c r="B171" s="12" t="str">
        <f aca="false">IF($A171="","",품목마스터!$B168)</f>
        <v/>
      </c>
      <c r="C171" s="12" t="str">
        <f aca="false">IF($A171="","",품목마스터!$D168)</f>
        <v/>
      </c>
      <c r="D171" s="13" t="str">
        <f aca="false">IF($A171="","",IF(품목마스터!$E168="",0,품목마스터!$E168))</f>
        <v/>
      </c>
      <c r="E171" s="13" t="str">
        <f aca="false">IF($A171="","",SUMIFS(검수내역!$G$3:$G$802,검수내역!$D$3:$D$802,$A171))</f>
        <v/>
      </c>
      <c r="F171" s="13" t="str">
        <f aca="false">IF($A171="","",SUMIFS(출고내역!$G$3:$G$802,출고내역!$D$3:$D$802,$A171))</f>
        <v/>
      </c>
      <c r="G171" s="13" t="str">
        <f aca="false">IF($A171="","",SUMIFS(출고내역!$H$3:$H$802,출고내역!$D$3:$D$802,$A171))</f>
        <v/>
      </c>
      <c r="H171" s="13" t="str">
        <f aca="false">IF($A171="","",$F171+$G171)</f>
        <v/>
      </c>
      <c r="I171" s="13" t="str">
        <f aca="false">IF($A171="","",SUMIFS(재고조정!$E$3:$E$302,재고조정!$B$3:$B$302,$A171))</f>
        <v/>
      </c>
      <c r="J171" s="13" t="str">
        <f aca="false">IF($A171="","",$D171+$E171-$H171+$I171)</f>
        <v/>
      </c>
      <c r="K171" s="13" t="str">
        <f aca="false">IF($A171="","",SUMIFS(출고내역!$K$3:$K$802,출고내역!$D$3:$D$802,$A171))</f>
        <v/>
      </c>
    </row>
    <row r="172" customFormat="false" ht="15" hidden="false" customHeight="true" outlineLevel="0" collapsed="false">
      <c r="A172" s="12" t="str">
        <f aca="false">IF(품목마스터!$A169="","",품목마스터!$A169)</f>
        <v/>
      </c>
      <c r="B172" s="12" t="str">
        <f aca="false">IF($A172="","",품목마스터!$B169)</f>
        <v/>
      </c>
      <c r="C172" s="12" t="str">
        <f aca="false">IF($A172="","",품목마스터!$D169)</f>
        <v/>
      </c>
      <c r="D172" s="13" t="str">
        <f aca="false">IF($A172="","",IF(품목마스터!$E169="",0,품목마스터!$E169))</f>
        <v/>
      </c>
      <c r="E172" s="13" t="str">
        <f aca="false">IF($A172="","",SUMIFS(검수내역!$G$3:$G$802,검수내역!$D$3:$D$802,$A172))</f>
        <v/>
      </c>
      <c r="F172" s="13" t="str">
        <f aca="false">IF($A172="","",SUMIFS(출고내역!$G$3:$G$802,출고내역!$D$3:$D$802,$A172))</f>
        <v/>
      </c>
      <c r="G172" s="13" t="str">
        <f aca="false">IF($A172="","",SUMIFS(출고내역!$H$3:$H$802,출고내역!$D$3:$D$802,$A172))</f>
        <v/>
      </c>
      <c r="H172" s="13" t="str">
        <f aca="false">IF($A172="","",$F172+$G172)</f>
        <v/>
      </c>
      <c r="I172" s="13" t="str">
        <f aca="false">IF($A172="","",SUMIFS(재고조정!$E$3:$E$302,재고조정!$B$3:$B$302,$A172))</f>
        <v/>
      </c>
      <c r="J172" s="13" t="str">
        <f aca="false">IF($A172="","",$D172+$E172-$H172+$I172)</f>
        <v/>
      </c>
      <c r="K172" s="13" t="str">
        <f aca="false">IF($A172="","",SUMIFS(출고내역!$K$3:$K$802,출고내역!$D$3:$D$802,$A172))</f>
        <v/>
      </c>
    </row>
    <row r="173" customFormat="false" ht="15" hidden="false" customHeight="true" outlineLevel="0" collapsed="false">
      <c r="A173" s="12" t="str">
        <f aca="false">IF(품목마스터!$A170="","",품목마스터!$A170)</f>
        <v/>
      </c>
      <c r="B173" s="12" t="str">
        <f aca="false">IF($A173="","",품목마스터!$B170)</f>
        <v/>
      </c>
      <c r="C173" s="12" t="str">
        <f aca="false">IF($A173="","",품목마스터!$D170)</f>
        <v/>
      </c>
      <c r="D173" s="13" t="str">
        <f aca="false">IF($A173="","",IF(품목마스터!$E170="",0,품목마스터!$E170))</f>
        <v/>
      </c>
      <c r="E173" s="13" t="str">
        <f aca="false">IF($A173="","",SUMIFS(검수내역!$G$3:$G$802,검수내역!$D$3:$D$802,$A173))</f>
        <v/>
      </c>
      <c r="F173" s="13" t="str">
        <f aca="false">IF($A173="","",SUMIFS(출고내역!$G$3:$G$802,출고내역!$D$3:$D$802,$A173))</f>
        <v/>
      </c>
      <c r="G173" s="13" t="str">
        <f aca="false">IF($A173="","",SUMIFS(출고내역!$H$3:$H$802,출고내역!$D$3:$D$802,$A173))</f>
        <v/>
      </c>
      <c r="H173" s="13" t="str">
        <f aca="false">IF($A173="","",$F173+$G173)</f>
        <v/>
      </c>
      <c r="I173" s="13" t="str">
        <f aca="false">IF($A173="","",SUMIFS(재고조정!$E$3:$E$302,재고조정!$B$3:$B$302,$A173))</f>
        <v/>
      </c>
      <c r="J173" s="13" t="str">
        <f aca="false">IF($A173="","",$D173+$E173-$H173+$I173)</f>
        <v/>
      </c>
      <c r="K173" s="13" t="str">
        <f aca="false">IF($A173="","",SUMIFS(출고내역!$K$3:$K$802,출고내역!$D$3:$D$802,$A173))</f>
        <v/>
      </c>
    </row>
    <row r="174" customFormat="false" ht="15" hidden="false" customHeight="true" outlineLevel="0" collapsed="false">
      <c r="A174" s="12" t="str">
        <f aca="false">IF(품목마스터!$A171="","",품목마스터!$A171)</f>
        <v/>
      </c>
      <c r="B174" s="12" t="str">
        <f aca="false">IF($A174="","",품목마스터!$B171)</f>
        <v/>
      </c>
      <c r="C174" s="12" t="str">
        <f aca="false">IF($A174="","",품목마스터!$D171)</f>
        <v/>
      </c>
      <c r="D174" s="13" t="str">
        <f aca="false">IF($A174="","",IF(품목마스터!$E171="",0,품목마스터!$E171))</f>
        <v/>
      </c>
      <c r="E174" s="13" t="str">
        <f aca="false">IF($A174="","",SUMIFS(검수내역!$G$3:$G$802,검수내역!$D$3:$D$802,$A174))</f>
        <v/>
      </c>
      <c r="F174" s="13" t="str">
        <f aca="false">IF($A174="","",SUMIFS(출고내역!$G$3:$G$802,출고내역!$D$3:$D$802,$A174))</f>
        <v/>
      </c>
      <c r="G174" s="13" t="str">
        <f aca="false">IF($A174="","",SUMIFS(출고내역!$H$3:$H$802,출고내역!$D$3:$D$802,$A174))</f>
        <v/>
      </c>
      <c r="H174" s="13" t="str">
        <f aca="false">IF($A174="","",$F174+$G174)</f>
        <v/>
      </c>
      <c r="I174" s="13" t="str">
        <f aca="false">IF($A174="","",SUMIFS(재고조정!$E$3:$E$302,재고조정!$B$3:$B$302,$A174))</f>
        <v/>
      </c>
      <c r="J174" s="13" t="str">
        <f aca="false">IF($A174="","",$D174+$E174-$H174+$I174)</f>
        <v/>
      </c>
      <c r="K174" s="13" t="str">
        <f aca="false">IF($A174="","",SUMIFS(출고내역!$K$3:$K$802,출고내역!$D$3:$D$802,$A174))</f>
        <v/>
      </c>
    </row>
    <row r="175" customFormat="false" ht="15" hidden="false" customHeight="true" outlineLevel="0" collapsed="false">
      <c r="A175" s="12" t="str">
        <f aca="false">IF(품목마스터!$A172="","",품목마스터!$A172)</f>
        <v/>
      </c>
      <c r="B175" s="12" t="str">
        <f aca="false">IF($A175="","",품목마스터!$B172)</f>
        <v/>
      </c>
      <c r="C175" s="12" t="str">
        <f aca="false">IF($A175="","",품목마스터!$D172)</f>
        <v/>
      </c>
      <c r="D175" s="13" t="str">
        <f aca="false">IF($A175="","",IF(품목마스터!$E172="",0,품목마스터!$E172))</f>
        <v/>
      </c>
      <c r="E175" s="13" t="str">
        <f aca="false">IF($A175="","",SUMIFS(검수내역!$G$3:$G$802,검수내역!$D$3:$D$802,$A175))</f>
        <v/>
      </c>
      <c r="F175" s="13" t="str">
        <f aca="false">IF($A175="","",SUMIFS(출고내역!$G$3:$G$802,출고내역!$D$3:$D$802,$A175))</f>
        <v/>
      </c>
      <c r="G175" s="13" t="str">
        <f aca="false">IF($A175="","",SUMIFS(출고내역!$H$3:$H$802,출고내역!$D$3:$D$802,$A175))</f>
        <v/>
      </c>
      <c r="H175" s="13" t="str">
        <f aca="false">IF($A175="","",$F175+$G175)</f>
        <v/>
      </c>
      <c r="I175" s="13" t="str">
        <f aca="false">IF($A175="","",SUMIFS(재고조정!$E$3:$E$302,재고조정!$B$3:$B$302,$A175))</f>
        <v/>
      </c>
      <c r="J175" s="13" t="str">
        <f aca="false">IF($A175="","",$D175+$E175-$H175+$I175)</f>
        <v/>
      </c>
      <c r="K175" s="13" t="str">
        <f aca="false">IF($A175="","",SUMIFS(출고내역!$K$3:$K$802,출고내역!$D$3:$D$802,$A175))</f>
        <v/>
      </c>
    </row>
    <row r="176" customFormat="false" ht="15" hidden="false" customHeight="true" outlineLevel="0" collapsed="false">
      <c r="A176" s="12" t="str">
        <f aca="false">IF(품목마스터!$A173="","",품목마스터!$A173)</f>
        <v/>
      </c>
      <c r="B176" s="12" t="str">
        <f aca="false">IF($A176="","",품목마스터!$B173)</f>
        <v/>
      </c>
      <c r="C176" s="12" t="str">
        <f aca="false">IF($A176="","",품목마스터!$D173)</f>
        <v/>
      </c>
      <c r="D176" s="13" t="str">
        <f aca="false">IF($A176="","",IF(품목마스터!$E173="",0,품목마스터!$E173))</f>
        <v/>
      </c>
      <c r="E176" s="13" t="str">
        <f aca="false">IF($A176="","",SUMIFS(검수내역!$G$3:$G$802,검수내역!$D$3:$D$802,$A176))</f>
        <v/>
      </c>
      <c r="F176" s="13" t="str">
        <f aca="false">IF($A176="","",SUMIFS(출고내역!$G$3:$G$802,출고내역!$D$3:$D$802,$A176))</f>
        <v/>
      </c>
      <c r="G176" s="13" t="str">
        <f aca="false">IF($A176="","",SUMIFS(출고내역!$H$3:$H$802,출고내역!$D$3:$D$802,$A176))</f>
        <v/>
      </c>
      <c r="H176" s="13" t="str">
        <f aca="false">IF($A176="","",$F176+$G176)</f>
        <v/>
      </c>
      <c r="I176" s="13" t="str">
        <f aca="false">IF($A176="","",SUMIFS(재고조정!$E$3:$E$302,재고조정!$B$3:$B$302,$A176))</f>
        <v/>
      </c>
      <c r="J176" s="13" t="str">
        <f aca="false">IF($A176="","",$D176+$E176-$H176+$I176)</f>
        <v/>
      </c>
      <c r="K176" s="13" t="str">
        <f aca="false">IF($A176="","",SUMIFS(출고내역!$K$3:$K$802,출고내역!$D$3:$D$802,$A176))</f>
        <v/>
      </c>
    </row>
    <row r="177" customFormat="false" ht="15" hidden="false" customHeight="true" outlineLevel="0" collapsed="false">
      <c r="A177" s="12" t="str">
        <f aca="false">IF(품목마스터!$A174="","",품목마스터!$A174)</f>
        <v/>
      </c>
      <c r="B177" s="12" t="str">
        <f aca="false">IF($A177="","",품목마스터!$B174)</f>
        <v/>
      </c>
      <c r="C177" s="12" t="str">
        <f aca="false">IF($A177="","",품목마스터!$D174)</f>
        <v/>
      </c>
      <c r="D177" s="13" t="str">
        <f aca="false">IF($A177="","",IF(품목마스터!$E174="",0,품목마스터!$E174))</f>
        <v/>
      </c>
      <c r="E177" s="13" t="str">
        <f aca="false">IF($A177="","",SUMIFS(검수내역!$G$3:$G$802,검수내역!$D$3:$D$802,$A177))</f>
        <v/>
      </c>
      <c r="F177" s="13" t="str">
        <f aca="false">IF($A177="","",SUMIFS(출고내역!$G$3:$G$802,출고내역!$D$3:$D$802,$A177))</f>
        <v/>
      </c>
      <c r="G177" s="13" t="str">
        <f aca="false">IF($A177="","",SUMIFS(출고내역!$H$3:$H$802,출고내역!$D$3:$D$802,$A177))</f>
        <v/>
      </c>
      <c r="H177" s="13" t="str">
        <f aca="false">IF($A177="","",$F177+$G177)</f>
        <v/>
      </c>
      <c r="I177" s="13" t="str">
        <f aca="false">IF($A177="","",SUMIFS(재고조정!$E$3:$E$302,재고조정!$B$3:$B$302,$A177))</f>
        <v/>
      </c>
      <c r="J177" s="13" t="str">
        <f aca="false">IF($A177="","",$D177+$E177-$H177+$I177)</f>
        <v/>
      </c>
      <c r="K177" s="13" t="str">
        <f aca="false">IF($A177="","",SUMIFS(출고내역!$K$3:$K$802,출고내역!$D$3:$D$802,$A177))</f>
        <v/>
      </c>
    </row>
    <row r="178" customFormat="false" ht="15" hidden="false" customHeight="true" outlineLevel="0" collapsed="false">
      <c r="A178" s="12" t="str">
        <f aca="false">IF(품목마스터!$A175="","",품목마스터!$A175)</f>
        <v/>
      </c>
      <c r="B178" s="12" t="str">
        <f aca="false">IF($A178="","",품목마스터!$B175)</f>
        <v/>
      </c>
      <c r="C178" s="12" t="str">
        <f aca="false">IF($A178="","",품목마스터!$D175)</f>
        <v/>
      </c>
      <c r="D178" s="13" t="str">
        <f aca="false">IF($A178="","",IF(품목마스터!$E175="",0,품목마스터!$E175))</f>
        <v/>
      </c>
      <c r="E178" s="13" t="str">
        <f aca="false">IF($A178="","",SUMIFS(검수내역!$G$3:$G$802,검수내역!$D$3:$D$802,$A178))</f>
        <v/>
      </c>
      <c r="F178" s="13" t="str">
        <f aca="false">IF($A178="","",SUMIFS(출고내역!$G$3:$G$802,출고내역!$D$3:$D$802,$A178))</f>
        <v/>
      </c>
      <c r="G178" s="13" t="str">
        <f aca="false">IF($A178="","",SUMIFS(출고내역!$H$3:$H$802,출고내역!$D$3:$D$802,$A178))</f>
        <v/>
      </c>
      <c r="H178" s="13" t="str">
        <f aca="false">IF($A178="","",$F178+$G178)</f>
        <v/>
      </c>
      <c r="I178" s="13" t="str">
        <f aca="false">IF($A178="","",SUMIFS(재고조정!$E$3:$E$302,재고조정!$B$3:$B$302,$A178))</f>
        <v/>
      </c>
      <c r="J178" s="13" t="str">
        <f aca="false">IF($A178="","",$D178+$E178-$H178+$I178)</f>
        <v/>
      </c>
      <c r="K178" s="13" t="str">
        <f aca="false">IF($A178="","",SUMIFS(출고내역!$K$3:$K$802,출고내역!$D$3:$D$802,$A178))</f>
        <v/>
      </c>
    </row>
    <row r="179" customFormat="false" ht="15" hidden="false" customHeight="true" outlineLevel="0" collapsed="false">
      <c r="A179" s="12" t="str">
        <f aca="false">IF(품목마스터!$A176="","",품목마스터!$A176)</f>
        <v/>
      </c>
      <c r="B179" s="12" t="str">
        <f aca="false">IF($A179="","",품목마스터!$B176)</f>
        <v/>
      </c>
      <c r="C179" s="12" t="str">
        <f aca="false">IF($A179="","",품목마스터!$D176)</f>
        <v/>
      </c>
      <c r="D179" s="13" t="str">
        <f aca="false">IF($A179="","",IF(품목마스터!$E176="",0,품목마스터!$E176))</f>
        <v/>
      </c>
      <c r="E179" s="13" t="str">
        <f aca="false">IF($A179="","",SUMIFS(검수내역!$G$3:$G$802,검수내역!$D$3:$D$802,$A179))</f>
        <v/>
      </c>
      <c r="F179" s="13" t="str">
        <f aca="false">IF($A179="","",SUMIFS(출고내역!$G$3:$G$802,출고내역!$D$3:$D$802,$A179))</f>
        <v/>
      </c>
      <c r="G179" s="13" t="str">
        <f aca="false">IF($A179="","",SUMIFS(출고내역!$H$3:$H$802,출고내역!$D$3:$D$802,$A179))</f>
        <v/>
      </c>
      <c r="H179" s="13" t="str">
        <f aca="false">IF($A179="","",$F179+$G179)</f>
        <v/>
      </c>
      <c r="I179" s="13" t="str">
        <f aca="false">IF($A179="","",SUMIFS(재고조정!$E$3:$E$302,재고조정!$B$3:$B$302,$A179))</f>
        <v/>
      </c>
      <c r="J179" s="13" t="str">
        <f aca="false">IF($A179="","",$D179+$E179-$H179+$I179)</f>
        <v/>
      </c>
      <c r="K179" s="13" t="str">
        <f aca="false">IF($A179="","",SUMIFS(출고내역!$K$3:$K$802,출고내역!$D$3:$D$802,$A179))</f>
        <v/>
      </c>
    </row>
    <row r="180" customFormat="false" ht="15" hidden="false" customHeight="true" outlineLevel="0" collapsed="false">
      <c r="A180" s="12" t="str">
        <f aca="false">IF(품목마스터!$A177="","",품목마스터!$A177)</f>
        <v/>
      </c>
      <c r="B180" s="12" t="str">
        <f aca="false">IF($A180="","",품목마스터!$B177)</f>
        <v/>
      </c>
      <c r="C180" s="12" t="str">
        <f aca="false">IF($A180="","",품목마스터!$D177)</f>
        <v/>
      </c>
      <c r="D180" s="13" t="str">
        <f aca="false">IF($A180="","",IF(품목마스터!$E177="",0,품목마스터!$E177))</f>
        <v/>
      </c>
      <c r="E180" s="13" t="str">
        <f aca="false">IF($A180="","",SUMIFS(검수내역!$G$3:$G$802,검수내역!$D$3:$D$802,$A180))</f>
        <v/>
      </c>
      <c r="F180" s="13" t="str">
        <f aca="false">IF($A180="","",SUMIFS(출고내역!$G$3:$G$802,출고내역!$D$3:$D$802,$A180))</f>
        <v/>
      </c>
      <c r="G180" s="13" t="str">
        <f aca="false">IF($A180="","",SUMIFS(출고내역!$H$3:$H$802,출고내역!$D$3:$D$802,$A180))</f>
        <v/>
      </c>
      <c r="H180" s="13" t="str">
        <f aca="false">IF($A180="","",$F180+$G180)</f>
        <v/>
      </c>
      <c r="I180" s="13" t="str">
        <f aca="false">IF($A180="","",SUMIFS(재고조정!$E$3:$E$302,재고조정!$B$3:$B$302,$A180))</f>
        <v/>
      </c>
      <c r="J180" s="13" t="str">
        <f aca="false">IF($A180="","",$D180+$E180-$H180+$I180)</f>
        <v/>
      </c>
      <c r="K180" s="13" t="str">
        <f aca="false">IF($A180="","",SUMIFS(출고내역!$K$3:$K$802,출고내역!$D$3:$D$802,$A180))</f>
        <v/>
      </c>
    </row>
    <row r="181" customFormat="false" ht="15" hidden="false" customHeight="true" outlineLevel="0" collapsed="false">
      <c r="A181" s="12" t="str">
        <f aca="false">IF(품목마스터!$A178="","",품목마스터!$A178)</f>
        <v/>
      </c>
      <c r="B181" s="12" t="str">
        <f aca="false">IF($A181="","",품목마스터!$B178)</f>
        <v/>
      </c>
      <c r="C181" s="12" t="str">
        <f aca="false">IF($A181="","",품목마스터!$D178)</f>
        <v/>
      </c>
      <c r="D181" s="13" t="str">
        <f aca="false">IF($A181="","",IF(품목마스터!$E178="",0,품목마스터!$E178))</f>
        <v/>
      </c>
      <c r="E181" s="13" t="str">
        <f aca="false">IF($A181="","",SUMIFS(검수내역!$G$3:$G$802,검수내역!$D$3:$D$802,$A181))</f>
        <v/>
      </c>
      <c r="F181" s="13" t="str">
        <f aca="false">IF($A181="","",SUMIFS(출고내역!$G$3:$G$802,출고내역!$D$3:$D$802,$A181))</f>
        <v/>
      </c>
      <c r="G181" s="13" t="str">
        <f aca="false">IF($A181="","",SUMIFS(출고내역!$H$3:$H$802,출고내역!$D$3:$D$802,$A181))</f>
        <v/>
      </c>
      <c r="H181" s="13" t="str">
        <f aca="false">IF($A181="","",$F181+$G181)</f>
        <v/>
      </c>
      <c r="I181" s="13" t="str">
        <f aca="false">IF($A181="","",SUMIFS(재고조정!$E$3:$E$302,재고조정!$B$3:$B$302,$A181))</f>
        <v/>
      </c>
      <c r="J181" s="13" t="str">
        <f aca="false">IF($A181="","",$D181+$E181-$H181+$I181)</f>
        <v/>
      </c>
      <c r="K181" s="13" t="str">
        <f aca="false">IF($A181="","",SUMIFS(출고내역!$K$3:$K$802,출고내역!$D$3:$D$802,$A181))</f>
        <v/>
      </c>
    </row>
    <row r="182" customFormat="false" ht="15" hidden="false" customHeight="true" outlineLevel="0" collapsed="false">
      <c r="A182" s="12" t="str">
        <f aca="false">IF(품목마스터!$A179="","",품목마스터!$A179)</f>
        <v/>
      </c>
      <c r="B182" s="12" t="str">
        <f aca="false">IF($A182="","",품목마스터!$B179)</f>
        <v/>
      </c>
      <c r="C182" s="12" t="str">
        <f aca="false">IF($A182="","",품목마스터!$D179)</f>
        <v/>
      </c>
      <c r="D182" s="13" t="str">
        <f aca="false">IF($A182="","",IF(품목마스터!$E179="",0,품목마스터!$E179))</f>
        <v/>
      </c>
      <c r="E182" s="13" t="str">
        <f aca="false">IF($A182="","",SUMIFS(검수내역!$G$3:$G$802,검수내역!$D$3:$D$802,$A182))</f>
        <v/>
      </c>
      <c r="F182" s="13" t="str">
        <f aca="false">IF($A182="","",SUMIFS(출고내역!$G$3:$G$802,출고내역!$D$3:$D$802,$A182))</f>
        <v/>
      </c>
      <c r="G182" s="13" t="str">
        <f aca="false">IF($A182="","",SUMIFS(출고내역!$H$3:$H$802,출고내역!$D$3:$D$802,$A182))</f>
        <v/>
      </c>
      <c r="H182" s="13" t="str">
        <f aca="false">IF($A182="","",$F182+$G182)</f>
        <v/>
      </c>
      <c r="I182" s="13" t="str">
        <f aca="false">IF($A182="","",SUMIFS(재고조정!$E$3:$E$302,재고조정!$B$3:$B$302,$A182))</f>
        <v/>
      </c>
      <c r="J182" s="13" t="str">
        <f aca="false">IF($A182="","",$D182+$E182-$H182+$I182)</f>
        <v/>
      </c>
      <c r="K182" s="13" t="str">
        <f aca="false">IF($A182="","",SUMIFS(출고내역!$K$3:$K$802,출고내역!$D$3:$D$802,$A182))</f>
        <v/>
      </c>
    </row>
    <row r="183" customFormat="false" ht="15" hidden="false" customHeight="true" outlineLevel="0" collapsed="false">
      <c r="A183" s="12" t="str">
        <f aca="false">IF(품목마스터!$A180="","",품목마스터!$A180)</f>
        <v/>
      </c>
      <c r="B183" s="12" t="str">
        <f aca="false">IF($A183="","",품목마스터!$B180)</f>
        <v/>
      </c>
      <c r="C183" s="12" t="str">
        <f aca="false">IF($A183="","",품목마스터!$D180)</f>
        <v/>
      </c>
      <c r="D183" s="13" t="str">
        <f aca="false">IF($A183="","",IF(품목마스터!$E180="",0,품목마스터!$E180))</f>
        <v/>
      </c>
      <c r="E183" s="13" t="str">
        <f aca="false">IF($A183="","",SUMIFS(검수내역!$G$3:$G$802,검수내역!$D$3:$D$802,$A183))</f>
        <v/>
      </c>
      <c r="F183" s="13" t="str">
        <f aca="false">IF($A183="","",SUMIFS(출고내역!$G$3:$G$802,출고내역!$D$3:$D$802,$A183))</f>
        <v/>
      </c>
      <c r="G183" s="13" t="str">
        <f aca="false">IF($A183="","",SUMIFS(출고내역!$H$3:$H$802,출고내역!$D$3:$D$802,$A183))</f>
        <v/>
      </c>
      <c r="H183" s="13" t="str">
        <f aca="false">IF($A183="","",$F183+$G183)</f>
        <v/>
      </c>
      <c r="I183" s="13" t="str">
        <f aca="false">IF($A183="","",SUMIFS(재고조정!$E$3:$E$302,재고조정!$B$3:$B$302,$A183))</f>
        <v/>
      </c>
      <c r="J183" s="13" t="str">
        <f aca="false">IF($A183="","",$D183+$E183-$H183+$I183)</f>
        <v/>
      </c>
      <c r="K183" s="13" t="str">
        <f aca="false">IF($A183="","",SUMIFS(출고내역!$K$3:$K$802,출고내역!$D$3:$D$802,$A183))</f>
        <v/>
      </c>
    </row>
    <row r="184" customFormat="false" ht="15" hidden="false" customHeight="true" outlineLevel="0" collapsed="false">
      <c r="A184" s="12" t="str">
        <f aca="false">IF(품목마스터!$A181="","",품목마스터!$A181)</f>
        <v/>
      </c>
      <c r="B184" s="12" t="str">
        <f aca="false">IF($A184="","",품목마스터!$B181)</f>
        <v/>
      </c>
      <c r="C184" s="12" t="str">
        <f aca="false">IF($A184="","",품목마스터!$D181)</f>
        <v/>
      </c>
      <c r="D184" s="13" t="str">
        <f aca="false">IF($A184="","",IF(품목마스터!$E181="",0,품목마스터!$E181))</f>
        <v/>
      </c>
      <c r="E184" s="13" t="str">
        <f aca="false">IF($A184="","",SUMIFS(검수내역!$G$3:$G$802,검수내역!$D$3:$D$802,$A184))</f>
        <v/>
      </c>
      <c r="F184" s="13" t="str">
        <f aca="false">IF($A184="","",SUMIFS(출고내역!$G$3:$G$802,출고내역!$D$3:$D$802,$A184))</f>
        <v/>
      </c>
      <c r="G184" s="13" t="str">
        <f aca="false">IF($A184="","",SUMIFS(출고내역!$H$3:$H$802,출고내역!$D$3:$D$802,$A184))</f>
        <v/>
      </c>
      <c r="H184" s="13" t="str">
        <f aca="false">IF($A184="","",$F184+$G184)</f>
        <v/>
      </c>
      <c r="I184" s="13" t="str">
        <f aca="false">IF($A184="","",SUMIFS(재고조정!$E$3:$E$302,재고조정!$B$3:$B$302,$A184))</f>
        <v/>
      </c>
      <c r="J184" s="13" t="str">
        <f aca="false">IF($A184="","",$D184+$E184-$H184+$I184)</f>
        <v/>
      </c>
      <c r="K184" s="13" t="str">
        <f aca="false">IF($A184="","",SUMIFS(출고내역!$K$3:$K$802,출고내역!$D$3:$D$802,$A184))</f>
        <v/>
      </c>
    </row>
    <row r="185" customFormat="false" ht="15" hidden="false" customHeight="true" outlineLevel="0" collapsed="false">
      <c r="A185" s="12" t="str">
        <f aca="false">IF(품목마스터!$A182="","",품목마스터!$A182)</f>
        <v/>
      </c>
      <c r="B185" s="12" t="str">
        <f aca="false">IF($A185="","",품목마스터!$B182)</f>
        <v/>
      </c>
      <c r="C185" s="12" t="str">
        <f aca="false">IF($A185="","",품목마스터!$D182)</f>
        <v/>
      </c>
      <c r="D185" s="13" t="str">
        <f aca="false">IF($A185="","",IF(품목마스터!$E182="",0,품목마스터!$E182))</f>
        <v/>
      </c>
      <c r="E185" s="13" t="str">
        <f aca="false">IF($A185="","",SUMIFS(검수내역!$G$3:$G$802,검수내역!$D$3:$D$802,$A185))</f>
        <v/>
      </c>
      <c r="F185" s="13" t="str">
        <f aca="false">IF($A185="","",SUMIFS(출고내역!$G$3:$G$802,출고내역!$D$3:$D$802,$A185))</f>
        <v/>
      </c>
      <c r="G185" s="13" t="str">
        <f aca="false">IF($A185="","",SUMIFS(출고내역!$H$3:$H$802,출고내역!$D$3:$D$802,$A185))</f>
        <v/>
      </c>
      <c r="H185" s="13" t="str">
        <f aca="false">IF($A185="","",$F185+$G185)</f>
        <v/>
      </c>
      <c r="I185" s="13" t="str">
        <f aca="false">IF($A185="","",SUMIFS(재고조정!$E$3:$E$302,재고조정!$B$3:$B$302,$A185))</f>
        <v/>
      </c>
      <c r="J185" s="13" t="str">
        <f aca="false">IF($A185="","",$D185+$E185-$H185+$I185)</f>
        <v/>
      </c>
      <c r="K185" s="13" t="str">
        <f aca="false">IF($A185="","",SUMIFS(출고내역!$K$3:$K$802,출고내역!$D$3:$D$802,$A185))</f>
        <v/>
      </c>
    </row>
    <row r="186" customFormat="false" ht="15" hidden="false" customHeight="true" outlineLevel="0" collapsed="false">
      <c r="A186" s="12" t="str">
        <f aca="false">IF(품목마스터!$A183="","",품목마스터!$A183)</f>
        <v/>
      </c>
      <c r="B186" s="12" t="str">
        <f aca="false">IF($A186="","",품목마스터!$B183)</f>
        <v/>
      </c>
      <c r="C186" s="12" t="str">
        <f aca="false">IF($A186="","",품목마스터!$D183)</f>
        <v/>
      </c>
      <c r="D186" s="13" t="str">
        <f aca="false">IF($A186="","",IF(품목마스터!$E183="",0,품목마스터!$E183))</f>
        <v/>
      </c>
      <c r="E186" s="13" t="str">
        <f aca="false">IF($A186="","",SUMIFS(검수내역!$G$3:$G$802,검수내역!$D$3:$D$802,$A186))</f>
        <v/>
      </c>
      <c r="F186" s="13" t="str">
        <f aca="false">IF($A186="","",SUMIFS(출고내역!$G$3:$G$802,출고내역!$D$3:$D$802,$A186))</f>
        <v/>
      </c>
      <c r="G186" s="13" t="str">
        <f aca="false">IF($A186="","",SUMIFS(출고내역!$H$3:$H$802,출고내역!$D$3:$D$802,$A186))</f>
        <v/>
      </c>
      <c r="H186" s="13" t="str">
        <f aca="false">IF($A186="","",$F186+$G186)</f>
        <v/>
      </c>
      <c r="I186" s="13" t="str">
        <f aca="false">IF($A186="","",SUMIFS(재고조정!$E$3:$E$302,재고조정!$B$3:$B$302,$A186))</f>
        <v/>
      </c>
      <c r="J186" s="13" t="str">
        <f aca="false">IF($A186="","",$D186+$E186-$H186+$I186)</f>
        <v/>
      </c>
      <c r="K186" s="13" t="str">
        <f aca="false">IF($A186="","",SUMIFS(출고내역!$K$3:$K$802,출고내역!$D$3:$D$802,$A186))</f>
        <v/>
      </c>
    </row>
    <row r="187" customFormat="false" ht="15" hidden="false" customHeight="true" outlineLevel="0" collapsed="false">
      <c r="A187" s="12" t="str">
        <f aca="false">IF(품목마스터!$A184="","",품목마스터!$A184)</f>
        <v/>
      </c>
      <c r="B187" s="12" t="str">
        <f aca="false">IF($A187="","",품목마스터!$B184)</f>
        <v/>
      </c>
      <c r="C187" s="12" t="str">
        <f aca="false">IF($A187="","",품목마스터!$D184)</f>
        <v/>
      </c>
      <c r="D187" s="13" t="str">
        <f aca="false">IF($A187="","",IF(품목마스터!$E184="",0,품목마스터!$E184))</f>
        <v/>
      </c>
      <c r="E187" s="13" t="str">
        <f aca="false">IF($A187="","",SUMIFS(검수내역!$G$3:$G$802,검수내역!$D$3:$D$802,$A187))</f>
        <v/>
      </c>
      <c r="F187" s="13" t="str">
        <f aca="false">IF($A187="","",SUMIFS(출고내역!$G$3:$G$802,출고내역!$D$3:$D$802,$A187))</f>
        <v/>
      </c>
      <c r="G187" s="13" t="str">
        <f aca="false">IF($A187="","",SUMIFS(출고내역!$H$3:$H$802,출고내역!$D$3:$D$802,$A187))</f>
        <v/>
      </c>
      <c r="H187" s="13" t="str">
        <f aca="false">IF($A187="","",$F187+$G187)</f>
        <v/>
      </c>
      <c r="I187" s="13" t="str">
        <f aca="false">IF($A187="","",SUMIFS(재고조정!$E$3:$E$302,재고조정!$B$3:$B$302,$A187))</f>
        <v/>
      </c>
      <c r="J187" s="13" t="str">
        <f aca="false">IF($A187="","",$D187+$E187-$H187+$I187)</f>
        <v/>
      </c>
      <c r="K187" s="13" t="str">
        <f aca="false">IF($A187="","",SUMIFS(출고내역!$K$3:$K$802,출고내역!$D$3:$D$802,$A187))</f>
        <v/>
      </c>
    </row>
    <row r="188" customFormat="false" ht="15" hidden="false" customHeight="true" outlineLevel="0" collapsed="false">
      <c r="A188" s="12" t="str">
        <f aca="false">IF(품목마스터!$A185="","",품목마스터!$A185)</f>
        <v/>
      </c>
      <c r="B188" s="12" t="str">
        <f aca="false">IF($A188="","",품목마스터!$B185)</f>
        <v/>
      </c>
      <c r="C188" s="12" t="str">
        <f aca="false">IF($A188="","",품목마스터!$D185)</f>
        <v/>
      </c>
      <c r="D188" s="13" t="str">
        <f aca="false">IF($A188="","",IF(품목마스터!$E185="",0,품목마스터!$E185))</f>
        <v/>
      </c>
      <c r="E188" s="13" t="str">
        <f aca="false">IF($A188="","",SUMIFS(검수내역!$G$3:$G$802,검수내역!$D$3:$D$802,$A188))</f>
        <v/>
      </c>
      <c r="F188" s="13" t="str">
        <f aca="false">IF($A188="","",SUMIFS(출고내역!$G$3:$G$802,출고내역!$D$3:$D$802,$A188))</f>
        <v/>
      </c>
      <c r="G188" s="13" t="str">
        <f aca="false">IF($A188="","",SUMIFS(출고내역!$H$3:$H$802,출고내역!$D$3:$D$802,$A188))</f>
        <v/>
      </c>
      <c r="H188" s="13" t="str">
        <f aca="false">IF($A188="","",$F188+$G188)</f>
        <v/>
      </c>
      <c r="I188" s="13" t="str">
        <f aca="false">IF($A188="","",SUMIFS(재고조정!$E$3:$E$302,재고조정!$B$3:$B$302,$A188))</f>
        <v/>
      </c>
      <c r="J188" s="13" t="str">
        <f aca="false">IF($A188="","",$D188+$E188-$H188+$I188)</f>
        <v/>
      </c>
      <c r="K188" s="13" t="str">
        <f aca="false">IF($A188="","",SUMIFS(출고내역!$K$3:$K$802,출고내역!$D$3:$D$802,$A188))</f>
        <v/>
      </c>
    </row>
    <row r="189" customFormat="false" ht="15" hidden="false" customHeight="true" outlineLevel="0" collapsed="false">
      <c r="A189" s="12" t="str">
        <f aca="false">IF(품목마스터!$A186="","",품목마스터!$A186)</f>
        <v/>
      </c>
      <c r="B189" s="12" t="str">
        <f aca="false">IF($A189="","",품목마스터!$B186)</f>
        <v/>
      </c>
      <c r="C189" s="12" t="str">
        <f aca="false">IF($A189="","",품목마스터!$D186)</f>
        <v/>
      </c>
      <c r="D189" s="13" t="str">
        <f aca="false">IF($A189="","",IF(품목마스터!$E186="",0,품목마스터!$E186))</f>
        <v/>
      </c>
      <c r="E189" s="13" t="str">
        <f aca="false">IF($A189="","",SUMIFS(검수내역!$G$3:$G$802,검수내역!$D$3:$D$802,$A189))</f>
        <v/>
      </c>
      <c r="F189" s="13" t="str">
        <f aca="false">IF($A189="","",SUMIFS(출고내역!$G$3:$G$802,출고내역!$D$3:$D$802,$A189))</f>
        <v/>
      </c>
      <c r="G189" s="13" t="str">
        <f aca="false">IF($A189="","",SUMIFS(출고내역!$H$3:$H$802,출고내역!$D$3:$D$802,$A189))</f>
        <v/>
      </c>
      <c r="H189" s="13" t="str">
        <f aca="false">IF($A189="","",$F189+$G189)</f>
        <v/>
      </c>
      <c r="I189" s="13" t="str">
        <f aca="false">IF($A189="","",SUMIFS(재고조정!$E$3:$E$302,재고조정!$B$3:$B$302,$A189))</f>
        <v/>
      </c>
      <c r="J189" s="13" t="str">
        <f aca="false">IF($A189="","",$D189+$E189-$H189+$I189)</f>
        <v/>
      </c>
      <c r="K189" s="13" t="str">
        <f aca="false">IF($A189="","",SUMIFS(출고내역!$K$3:$K$802,출고내역!$D$3:$D$802,$A189))</f>
        <v/>
      </c>
    </row>
    <row r="190" customFormat="false" ht="15" hidden="false" customHeight="true" outlineLevel="0" collapsed="false">
      <c r="A190" s="12" t="str">
        <f aca="false">IF(품목마스터!$A187="","",품목마스터!$A187)</f>
        <v/>
      </c>
      <c r="B190" s="12" t="str">
        <f aca="false">IF($A190="","",품목마스터!$B187)</f>
        <v/>
      </c>
      <c r="C190" s="12" t="str">
        <f aca="false">IF($A190="","",품목마스터!$D187)</f>
        <v/>
      </c>
      <c r="D190" s="13" t="str">
        <f aca="false">IF($A190="","",IF(품목마스터!$E187="",0,품목마스터!$E187))</f>
        <v/>
      </c>
      <c r="E190" s="13" t="str">
        <f aca="false">IF($A190="","",SUMIFS(검수내역!$G$3:$G$802,검수내역!$D$3:$D$802,$A190))</f>
        <v/>
      </c>
      <c r="F190" s="13" t="str">
        <f aca="false">IF($A190="","",SUMIFS(출고내역!$G$3:$G$802,출고내역!$D$3:$D$802,$A190))</f>
        <v/>
      </c>
      <c r="G190" s="13" t="str">
        <f aca="false">IF($A190="","",SUMIFS(출고내역!$H$3:$H$802,출고내역!$D$3:$D$802,$A190))</f>
        <v/>
      </c>
      <c r="H190" s="13" t="str">
        <f aca="false">IF($A190="","",$F190+$G190)</f>
        <v/>
      </c>
      <c r="I190" s="13" t="str">
        <f aca="false">IF($A190="","",SUMIFS(재고조정!$E$3:$E$302,재고조정!$B$3:$B$302,$A190))</f>
        <v/>
      </c>
      <c r="J190" s="13" t="str">
        <f aca="false">IF($A190="","",$D190+$E190-$H190+$I190)</f>
        <v/>
      </c>
      <c r="K190" s="13" t="str">
        <f aca="false">IF($A190="","",SUMIFS(출고내역!$K$3:$K$802,출고내역!$D$3:$D$802,$A190))</f>
        <v/>
      </c>
    </row>
    <row r="191" customFormat="false" ht="15" hidden="false" customHeight="true" outlineLevel="0" collapsed="false">
      <c r="A191" s="12" t="str">
        <f aca="false">IF(품목마스터!$A188="","",품목마스터!$A188)</f>
        <v/>
      </c>
      <c r="B191" s="12" t="str">
        <f aca="false">IF($A191="","",품목마스터!$B188)</f>
        <v/>
      </c>
      <c r="C191" s="12" t="str">
        <f aca="false">IF($A191="","",품목마스터!$D188)</f>
        <v/>
      </c>
      <c r="D191" s="13" t="str">
        <f aca="false">IF($A191="","",IF(품목마스터!$E188="",0,품목마스터!$E188))</f>
        <v/>
      </c>
      <c r="E191" s="13" t="str">
        <f aca="false">IF($A191="","",SUMIFS(검수내역!$G$3:$G$802,검수내역!$D$3:$D$802,$A191))</f>
        <v/>
      </c>
      <c r="F191" s="13" t="str">
        <f aca="false">IF($A191="","",SUMIFS(출고내역!$G$3:$G$802,출고내역!$D$3:$D$802,$A191))</f>
        <v/>
      </c>
      <c r="G191" s="13" t="str">
        <f aca="false">IF($A191="","",SUMIFS(출고내역!$H$3:$H$802,출고내역!$D$3:$D$802,$A191))</f>
        <v/>
      </c>
      <c r="H191" s="13" t="str">
        <f aca="false">IF($A191="","",$F191+$G191)</f>
        <v/>
      </c>
      <c r="I191" s="13" t="str">
        <f aca="false">IF($A191="","",SUMIFS(재고조정!$E$3:$E$302,재고조정!$B$3:$B$302,$A191))</f>
        <v/>
      </c>
      <c r="J191" s="13" t="str">
        <f aca="false">IF($A191="","",$D191+$E191-$H191+$I191)</f>
        <v/>
      </c>
      <c r="K191" s="13" t="str">
        <f aca="false">IF($A191="","",SUMIFS(출고내역!$K$3:$K$802,출고내역!$D$3:$D$802,$A191))</f>
        <v/>
      </c>
    </row>
    <row r="192" customFormat="false" ht="15" hidden="false" customHeight="true" outlineLevel="0" collapsed="false">
      <c r="A192" s="12" t="str">
        <f aca="false">IF(품목마스터!$A189="","",품목마스터!$A189)</f>
        <v/>
      </c>
      <c r="B192" s="12" t="str">
        <f aca="false">IF($A192="","",품목마스터!$B189)</f>
        <v/>
      </c>
      <c r="C192" s="12" t="str">
        <f aca="false">IF($A192="","",품목마스터!$D189)</f>
        <v/>
      </c>
      <c r="D192" s="13" t="str">
        <f aca="false">IF($A192="","",IF(품목마스터!$E189="",0,품목마스터!$E189))</f>
        <v/>
      </c>
      <c r="E192" s="13" t="str">
        <f aca="false">IF($A192="","",SUMIFS(검수내역!$G$3:$G$802,검수내역!$D$3:$D$802,$A192))</f>
        <v/>
      </c>
      <c r="F192" s="13" t="str">
        <f aca="false">IF($A192="","",SUMIFS(출고내역!$G$3:$G$802,출고내역!$D$3:$D$802,$A192))</f>
        <v/>
      </c>
      <c r="G192" s="13" t="str">
        <f aca="false">IF($A192="","",SUMIFS(출고내역!$H$3:$H$802,출고내역!$D$3:$D$802,$A192))</f>
        <v/>
      </c>
      <c r="H192" s="13" t="str">
        <f aca="false">IF($A192="","",$F192+$G192)</f>
        <v/>
      </c>
      <c r="I192" s="13" t="str">
        <f aca="false">IF($A192="","",SUMIFS(재고조정!$E$3:$E$302,재고조정!$B$3:$B$302,$A192))</f>
        <v/>
      </c>
      <c r="J192" s="13" t="str">
        <f aca="false">IF($A192="","",$D192+$E192-$H192+$I192)</f>
        <v/>
      </c>
      <c r="K192" s="13" t="str">
        <f aca="false">IF($A192="","",SUMIFS(출고내역!$K$3:$K$802,출고내역!$D$3:$D$802,$A192))</f>
        <v/>
      </c>
    </row>
    <row r="193" customFormat="false" ht="15" hidden="false" customHeight="true" outlineLevel="0" collapsed="false">
      <c r="A193" s="12" t="str">
        <f aca="false">IF(품목마스터!$A190="","",품목마스터!$A190)</f>
        <v/>
      </c>
      <c r="B193" s="12" t="str">
        <f aca="false">IF($A193="","",품목마스터!$B190)</f>
        <v/>
      </c>
      <c r="C193" s="12" t="str">
        <f aca="false">IF($A193="","",품목마스터!$D190)</f>
        <v/>
      </c>
      <c r="D193" s="13" t="str">
        <f aca="false">IF($A193="","",IF(품목마스터!$E190="",0,품목마스터!$E190))</f>
        <v/>
      </c>
      <c r="E193" s="13" t="str">
        <f aca="false">IF($A193="","",SUMIFS(검수내역!$G$3:$G$802,검수내역!$D$3:$D$802,$A193))</f>
        <v/>
      </c>
      <c r="F193" s="13" t="str">
        <f aca="false">IF($A193="","",SUMIFS(출고내역!$G$3:$G$802,출고내역!$D$3:$D$802,$A193))</f>
        <v/>
      </c>
      <c r="G193" s="13" t="str">
        <f aca="false">IF($A193="","",SUMIFS(출고내역!$H$3:$H$802,출고내역!$D$3:$D$802,$A193))</f>
        <v/>
      </c>
      <c r="H193" s="13" t="str">
        <f aca="false">IF($A193="","",$F193+$G193)</f>
        <v/>
      </c>
      <c r="I193" s="13" t="str">
        <f aca="false">IF($A193="","",SUMIFS(재고조정!$E$3:$E$302,재고조정!$B$3:$B$302,$A193))</f>
        <v/>
      </c>
      <c r="J193" s="13" t="str">
        <f aca="false">IF($A193="","",$D193+$E193-$H193+$I193)</f>
        <v/>
      </c>
      <c r="K193" s="13" t="str">
        <f aca="false">IF($A193="","",SUMIFS(출고내역!$K$3:$K$802,출고내역!$D$3:$D$802,$A193))</f>
        <v/>
      </c>
    </row>
    <row r="194" customFormat="false" ht="15" hidden="false" customHeight="true" outlineLevel="0" collapsed="false">
      <c r="A194" s="12" t="str">
        <f aca="false">IF(품목마스터!$A191="","",품목마스터!$A191)</f>
        <v/>
      </c>
      <c r="B194" s="12" t="str">
        <f aca="false">IF($A194="","",품목마스터!$B191)</f>
        <v/>
      </c>
      <c r="C194" s="12" t="str">
        <f aca="false">IF($A194="","",품목마스터!$D191)</f>
        <v/>
      </c>
      <c r="D194" s="13" t="str">
        <f aca="false">IF($A194="","",IF(품목마스터!$E191="",0,품목마스터!$E191))</f>
        <v/>
      </c>
      <c r="E194" s="13" t="str">
        <f aca="false">IF($A194="","",SUMIFS(검수내역!$G$3:$G$802,검수내역!$D$3:$D$802,$A194))</f>
        <v/>
      </c>
      <c r="F194" s="13" t="str">
        <f aca="false">IF($A194="","",SUMIFS(출고내역!$G$3:$G$802,출고내역!$D$3:$D$802,$A194))</f>
        <v/>
      </c>
      <c r="G194" s="13" t="str">
        <f aca="false">IF($A194="","",SUMIFS(출고내역!$H$3:$H$802,출고내역!$D$3:$D$802,$A194))</f>
        <v/>
      </c>
      <c r="H194" s="13" t="str">
        <f aca="false">IF($A194="","",$F194+$G194)</f>
        <v/>
      </c>
      <c r="I194" s="13" t="str">
        <f aca="false">IF($A194="","",SUMIFS(재고조정!$E$3:$E$302,재고조정!$B$3:$B$302,$A194))</f>
        <v/>
      </c>
      <c r="J194" s="13" t="str">
        <f aca="false">IF($A194="","",$D194+$E194-$H194+$I194)</f>
        <v/>
      </c>
      <c r="K194" s="13" t="str">
        <f aca="false">IF($A194="","",SUMIFS(출고내역!$K$3:$K$802,출고내역!$D$3:$D$802,$A194))</f>
        <v/>
      </c>
    </row>
    <row r="195" customFormat="false" ht="15" hidden="false" customHeight="true" outlineLevel="0" collapsed="false">
      <c r="A195" s="12" t="str">
        <f aca="false">IF(품목마스터!$A192="","",품목마스터!$A192)</f>
        <v/>
      </c>
      <c r="B195" s="12" t="str">
        <f aca="false">IF($A195="","",품목마스터!$B192)</f>
        <v/>
      </c>
      <c r="C195" s="12" t="str">
        <f aca="false">IF($A195="","",품목마스터!$D192)</f>
        <v/>
      </c>
      <c r="D195" s="13" t="str">
        <f aca="false">IF($A195="","",IF(품목마스터!$E192="",0,품목마스터!$E192))</f>
        <v/>
      </c>
      <c r="E195" s="13" t="str">
        <f aca="false">IF($A195="","",SUMIFS(검수내역!$G$3:$G$802,검수내역!$D$3:$D$802,$A195))</f>
        <v/>
      </c>
      <c r="F195" s="13" t="str">
        <f aca="false">IF($A195="","",SUMIFS(출고내역!$G$3:$G$802,출고내역!$D$3:$D$802,$A195))</f>
        <v/>
      </c>
      <c r="G195" s="13" t="str">
        <f aca="false">IF($A195="","",SUMIFS(출고내역!$H$3:$H$802,출고내역!$D$3:$D$802,$A195))</f>
        <v/>
      </c>
      <c r="H195" s="13" t="str">
        <f aca="false">IF($A195="","",$F195+$G195)</f>
        <v/>
      </c>
      <c r="I195" s="13" t="str">
        <f aca="false">IF($A195="","",SUMIFS(재고조정!$E$3:$E$302,재고조정!$B$3:$B$302,$A195))</f>
        <v/>
      </c>
      <c r="J195" s="13" t="str">
        <f aca="false">IF($A195="","",$D195+$E195-$H195+$I195)</f>
        <v/>
      </c>
      <c r="K195" s="13" t="str">
        <f aca="false">IF($A195="","",SUMIFS(출고내역!$K$3:$K$802,출고내역!$D$3:$D$802,$A195))</f>
        <v/>
      </c>
    </row>
    <row r="196" customFormat="false" ht="15" hidden="false" customHeight="true" outlineLevel="0" collapsed="false">
      <c r="A196" s="12" t="str">
        <f aca="false">IF(품목마스터!$A193="","",품목마스터!$A193)</f>
        <v/>
      </c>
      <c r="B196" s="12" t="str">
        <f aca="false">IF($A196="","",품목마스터!$B193)</f>
        <v/>
      </c>
      <c r="C196" s="12" t="str">
        <f aca="false">IF($A196="","",품목마스터!$D193)</f>
        <v/>
      </c>
      <c r="D196" s="13" t="str">
        <f aca="false">IF($A196="","",IF(품목마스터!$E193="",0,품목마스터!$E193))</f>
        <v/>
      </c>
      <c r="E196" s="13" t="str">
        <f aca="false">IF($A196="","",SUMIFS(검수내역!$G$3:$G$802,검수내역!$D$3:$D$802,$A196))</f>
        <v/>
      </c>
      <c r="F196" s="13" t="str">
        <f aca="false">IF($A196="","",SUMIFS(출고내역!$G$3:$G$802,출고내역!$D$3:$D$802,$A196))</f>
        <v/>
      </c>
      <c r="G196" s="13" t="str">
        <f aca="false">IF($A196="","",SUMIFS(출고내역!$H$3:$H$802,출고내역!$D$3:$D$802,$A196))</f>
        <v/>
      </c>
      <c r="H196" s="13" t="str">
        <f aca="false">IF($A196="","",$F196+$G196)</f>
        <v/>
      </c>
      <c r="I196" s="13" t="str">
        <f aca="false">IF($A196="","",SUMIFS(재고조정!$E$3:$E$302,재고조정!$B$3:$B$302,$A196))</f>
        <v/>
      </c>
      <c r="J196" s="13" t="str">
        <f aca="false">IF($A196="","",$D196+$E196-$H196+$I196)</f>
        <v/>
      </c>
      <c r="K196" s="13" t="str">
        <f aca="false">IF($A196="","",SUMIFS(출고내역!$K$3:$K$802,출고내역!$D$3:$D$802,$A196))</f>
        <v/>
      </c>
    </row>
    <row r="197" customFormat="false" ht="15" hidden="false" customHeight="true" outlineLevel="0" collapsed="false">
      <c r="A197" s="12" t="str">
        <f aca="false">IF(품목마스터!$A194="","",품목마스터!$A194)</f>
        <v/>
      </c>
      <c r="B197" s="12" t="str">
        <f aca="false">IF($A197="","",품목마스터!$B194)</f>
        <v/>
      </c>
      <c r="C197" s="12" t="str">
        <f aca="false">IF($A197="","",품목마스터!$D194)</f>
        <v/>
      </c>
      <c r="D197" s="13" t="str">
        <f aca="false">IF($A197="","",IF(품목마스터!$E194="",0,품목마스터!$E194))</f>
        <v/>
      </c>
      <c r="E197" s="13" t="str">
        <f aca="false">IF($A197="","",SUMIFS(검수내역!$G$3:$G$802,검수내역!$D$3:$D$802,$A197))</f>
        <v/>
      </c>
      <c r="F197" s="13" t="str">
        <f aca="false">IF($A197="","",SUMIFS(출고내역!$G$3:$G$802,출고내역!$D$3:$D$802,$A197))</f>
        <v/>
      </c>
      <c r="G197" s="13" t="str">
        <f aca="false">IF($A197="","",SUMIFS(출고내역!$H$3:$H$802,출고내역!$D$3:$D$802,$A197))</f>
        <v/>
      </c>
      <c r="H197" s="13" t="str">
        <f aca="false">IF($A197="","",$F197+$G197)</f>
        <v/>
      </c>
      <c r="I197" s="13" t="str">
        <f aca="false">IF($A197="","",SUMIFS(재고조정!$E$3:$E$302,재고조정!$B$3:$B$302,$A197))</f>
        <v/>
      </c>
      <c r="J197" s="13" t="str">
        <f aca="false">IF($A197="","",$D197+$E197-$H197+$I197)</f>
        <v/>
      </c>
      <c r="K197" s="13" t="str">
        <f aca="false">IF($A197="","",SUMIFS(출고내역!$K$3:$K$802,출고내역!$D$3:$D$802,$A197))</f>
        <v/>
      </c>
    </row>
    <row r="198" customFormat="false" ht="15" hidden="false" customHeight="true" outlineLevel="0" collapsed="false">
      <c r="A198" s="12" t="str">
        <f aca="false">IF(품목마스터!$A195="","",품목마스터!$A195)</f>
        <v/>
      </c>
      <c r="B198" s="12" t="str">
        <f aca="false">IF($A198="","",품목마스터!$B195)</f>
        <v/>
      </c>
      <c r="C198" s="12" t="str">
        <f aca="false">IF($A198="","",품목마스터!$D195)</f>
        <v/>
      </c>
      <c r="D198" s="13" t="str">
        <f aca="false">IF($A198="","",IF(품목마스터!$E195="",0,품목마스터!$E195))</f>
        <v/>
      </c>
      <c r="E198" s="13" t="str">
        <f aca="false">IF($A198="","",SUMIFS(검수내역!$G$3:$G$802,검수내역!$D$3:$D$802,$A198))</f>
        <v/>
      </c>
      <c r="F198" s="13" t="str">
        <f aca="false">IF($A198="","",SUMIFS(출고내역!$G$3:$G$802,출고내역!$D$3:$D$802,$A198))</f>
        <v/>
      </c>
      <c r="G198" s="13" t="str">
        <f aca="false">IF($A198="","",SUMIFS(출고내역!$H$3:$H$802,출고내역!$D$3:$D$802,$A198))</f>
        <v/>
      </c>
      <c r="H198" s="13" t="str">
        <f aca="false">IF($A198="","",$F198+$G198)</f>
        <v/>
      </c>
      <c r="I198" s="13" t="str">
        <f aca="false">IF($A198="","",SUMIFS(재고조정!$E$3:$E$302,재고조정!$B$3:$B$302,$A198))</f>
        <v/>
      </c>
      <c r="J198" s="13" t="str">
        <f aca="false">IF($A198="","",$D198+$E198-$H198+$I198)</f>
        <v/>
      </c>
      <c r="K198" s="13" t="str">
        <f aca="false">IF($A198="","",SUMIFS(출고내역!$K$3:$K$802,출고내역!$D$3:$D$802,$A198))</f>
        <v/>
      </c>
    </row>
    <row r="199" customFormat="false" ht="15" hidden="false" customHeight="true" outlineLevel="0" collapsed="false">
      <c r="A199" s="12" t="str">
        <f aca="false">IF(품목마스터!$A196="","",품목마스터!$A196)</f>
        <v/>
      </c>
      <c r="B199" s="12" t="str">
        <f aca="false">IF($A199="","",품목마스터!$B196)</f>
        <v/>
      </c>
      <c r="C199" s="12" t="str">
        <f aca="false">IF($A199="","",품목마스터!$D196)</f>
        <v/>
      </c>
      <c r="D199" s="13" t="str">
        <f aca="false">IF($A199="","",IF(품목마스터!$E196="",0,품목마스터!$E196))</f>
        <v/>
      </c>
      <c r="E199" s="13" t="str">
        <f aca="false">IF($A199="","",SUMIFS(검수내역!$G$3:$G$802,검수내역!$D$3:$D$802,$A199))</f>
        <v/>
      </c>
      <c r="F199" s="13" t="str">
        <f aca="false">IF($A199="","",SUMIFS(출고내역!$G$3:$G$802,출고내역!$D$3:$D$802,$A199))</f>
        <v/>
      </c>
      <c r="G199" s="13" t="str">
        <f aca="false">IF($A199="","",SUMIFS(출고내역!$H$3:$H$802,출고내역!$D$3:$D$802,$A199))</f>
        <v/>
      </c>
      <c r="H199" s="13" t="str">
        <f aca="false">IF($A199="","",$F199+$G199)</f>
        <v/>
      </c>
      <c r="I199" s="13" t="str">
        <f aca="false">IF($A199="","",SUMIFS(재고조정!$E$3:$E$302,재고조정!$B$3:$B$302,$A199))</f>
        <v/>
      </c>
      <c r="J199" s="13" t="str">
        <f aca="false">IF($A199="","",$D199+$E199-$H199+$I199)</f>
        <v/>
      </c>
      <c r="K199" s="13" t="str">
        <f aca="false">IF($A199="","",SUMIFS(출고내역!$K$3:$K$802,출고내역!$D$3:$D$802,$A199))</f>
        <v/>
      </c>
    </row>
    <row r="200" customFormat="false" ht="15" hidden="false" customHeight="true" outlineLevel="0" collapsed="false">
      <c r="A200" s="12" t="str">
        <f aca="false">IF(품목마스터!$A197="","",품목마스터!$A197)</f>
        <v/>
      </c>
      <c r="B200" s="12" t="str">
        <f aca="false">IF($A200="","",품목마스터!$B197)</f>
        <v/>
      </c>
      <c r="C200" s="12" t="str">
        <f aca="false">IF($A200="","",품목마스터!$D197)</f>
        <v/>
      </c>
      <c r="D200" s="13" t="str">
        <f aca="false">IF($A200="","",IF(품목마스터!$E197="",0,품목마스터!$E197))</f>
        <v/>
      </c>
      <c r="E200" s="13" t="str">
        <f aca="false">IF($A200="","",SUMIFS(검수내역!$G$3:$G$802,검수내역!$D$3:$D$802,$A200))</f>
        <v/>
      </c>
      <c r="F200" s="13" t="str">
        <f aca="false">IF($A200="","",SUMIFS(출고내역!$G$3:$G$802,출고내역!$D$3:$D$802,$A200))</f>
        <v/>
      </c>
      <c r="G200" s="13" t="str">
        <f aca="false">IF($A200="","",SUMIFS(출고내역!$H$3:$H$802,출고내역!$D$3:$D$802,$A200))</f>
        <v/>
      </c>
      <c r="H200" s="13" t="str">
        <f aca="false">IF($A200="","",$F200+$G200)</f>
        <v/>
      </c>
      <c r="I200" s="13" t="str">
        <f aca="false">IF($A200="","",SUMIFS(재고조정!$E$3:$E$302,재고조정!$B$3:$B$302,$A200))</f>
        <v/>
      </c>
      <c r="J200" s="13" t="str">
        <f aca="false">IF($A200="","",$D200+$E200-$H200+$I200)</f>
        <v/>
      </c>
      <c r="K200" s="13" t="str">
        <f aca="false">IF($A200="","",SUMIFS(출고내역!$K$3:$K$802,출고내역!$D$3:$D$802,$A200))</f>
        <v/>
      </c>
    </row>
    <row r="201" customFormat="false" ht="15" hidden="false" customHeight="true" outlineLevel="0" collapsed="false">
      <c r="A201" s="12" t="str">
        <f aca="false">IF(품목마스터!$A198="","",품목마스터!$A198)</f>
        <v/>
      </c>
      <c r="B201" s="12" t="str">
        <f aca="false">IF($A201="","",품목마스터!$B198)</f>
        <v/>
      </c>
      <c r="C201" s="12" t="str">
        <f aca="false">IF($A201="","",품목마스터!$D198)</f>
        <v/>
      </c>
      <c r="D201" s="13" t="str">
        <f aca="false">IF($A201="","",IF(품목마스터!$E198="",0,품목마스터!$E198))</f>
        <v/>
      </c>
      <c r="E201" s="13" t="str">
        <f aca="false">IF($A201="","",SUMIFS(검수내역!$G$3:$G$802,검수내역!$D$3:$D$802,$A201))</f>
        <v/>
      </c>
      <c r="F201" s="13" t="str">
        <f aca="false">IF($A201="","",SUMIFS(출고내역!$G$3:$G$802,출고내역!$D$3:$D$802,$A201))</f>
        <v/>
      </c>
      <c r="G201" s="13" t="str">
        <f aca="false">IF($A201="","",SUMIFS(출고내역!$H$3:$H$802,출고내역!$D$3:$D$802,$A201))</f>
        <v/>
      </c>
      <c r="H201" s="13" t="str">
        <f aca="false">IF($A201="","",$F201+$G201)</f>
        <v/>
      </c>
      <c r="I201" s="13" t="str">
        <f aca="false">IF($A201="","",SUMIFS(재고조정!$E$3:$E$302,재고조정!$B$3:$B$302,$A201))</f>
        <v/>
      </c>
      <c r="J201" s="13" t="str">
        <f aca="false">IF($A201="","",$D201+$E201-$H201+$I201)</f>
        <v/>
      </c>
      <c r="K201" s="13" t="str">
        <f aca="false">IF($A201="","",SUMIFS(출고내역!$K$3:$K$802,출고내역!$D$3:$D$802,$A201))</f>
        <v/>
      </c>
    </row>
    <row r="202" customFormat="false" ht="15" hidden="false" customHeight="true" outlineLevel="0" collapsed="false">
      <c r="A202" s="12" t="str">
        <f aca="false">IF(품목마스터!$A199="","",품목마스터!$A199)</f>
        <v/>
      </c>
      <c r="B202" s="12" t="str">
        <f aca="false">IF($A202="","",품목마스터!$B199)</f>
        <v/>
      </c>
      <c r="C202" s="12" t="str">
        <f aca="false">IF($A202="","",품목마스터!$D199)</f>
        <v/>
      </c>
      <c r="D202" s="13" t="str">
        <f aca="false">IF($A202="","",IF(품목마스터!$E199="",0,품목마스터!$E199))</f>
        <v/>
      </c>
      <c r="E202" s="13" t="str">
        <f aca="false">IF($A202="","",SUMIFS(검수내역!$G$3:$G$802,검수내역!$D$3:$D$802,$A202))</f>
        <v/>
      </c>
      <c r="F202" s="13" t="str">
        <f aca="false">IF($A202="","",SUMIFS(출고내역!$G$3:$G$802,출고내역!$D$3:$D$802,$A202))</f>
        <v/>
      </c>
      <c r="G202" s="13" t="str">
        <f aca="false">IF($A202="","",SUMIFS(출고내역!$H$3:$H$802,출고내역!$D$3:$D$802,$A202))</f>
        <v/>
      </c>
      <c r="H202" s="13" t="str">
        <f aca="false">IF($A202="","",$F202+$G202)</f>
        <v/>
      </c>
      <c r="I202" s="13" t="str">
        <f aca="false">IF($A202="","",SUMIFS(재고조정!$E$3:$E$302,재고조정!$B$3:$B$302,$A202))</f>
        <v/>
      </c>
      <c r="J202" s="13" t="str">
        <f aca="false">IF($A202="","",$D202+$E202-$H202+$I202)</f>
        <v/>
      </c>
      <c r="K202" s="13" t="str">
        <f aca="false">IF($A202="","",SUMIFS(출고내역!$K$3:$K$802,출고내역!$D$3:$D$802,$A202))</f>
        <v/>
      </c>
    </row>
    <row r="203" customFormat="false" ht="15" hidden="false" customHeight="true" outlineLevel="0" collapsed="false">
      <c r="A203" s="12" t="str">
        <f aca="false">IF(품목마스터!$A200="","",품목마스터!$A200)</f>
        <v/>
      </c>
      <c r="B203" s="12" t="str">
        <f aca="false">IF($A203="","",품목마스터!$B200)</f>
        <v/>
      </c>
      <c r="C203" s="12" t="str">
        <f aca="false">IF($A203="","",품목마스터!$D200)</f>
        <v/>
      </c>
      <c r="D203" s="13" t="str">
        <f aca="false">IF($A203="","",IF(품목마스터!$E200="",0,품목마스터!$E200))</f>
        <v/>
      </c>
      <c r="E203" s="13" t="str">
        <f aca="false">IF($A203="","",SUMIFS(검수내역!$G$3:$G$802,검수내역!$D$3:$D$802,$A203))</f>
        <v/>
      </c>
      <c r="F203" s="13" t="str">
        <f aca="false">IF($A203="","",SUMIFS(출고내역!$G$3:$G$802,출고내역!$D$3:$D$802,$A203))</f>
        <v/>
      </c>
      <c r="G203" s="13" t="str">
        <f aca="false">IF($A203="","",SUMIFS(출고내역!$H$3:$H$802,출고내역!$D$3:$D$802,$A203))</f>
        <v/>
      </c>
      <c r="H203" s="13" t="str">
        <f aca="false">IF($A203="","",$F203+$G203)</f>
        <v/>
      </c>
      <c r="I203" s="13" t="str">
        <f aca="false">IF($A203="","",SUMIFS(재고조정!$E$3:$E$302,재고조정!$B$3:$B$302,$A203))</f>
        <v/>
      </c>
      <c r="J203" s="13" t="str">
        <f aca="false">IF($A203="","",$D203+$E203-$H203+$I203)</f>
        <v/>
      </c>
      <c r="K203" s="13" t="str">
        <f aca="false">IF($A203="","",SUMIFS(출고내역!$K$3:$K$802,출고내역!$D$3:$D$802,$A203))</f>
        <v/>
      </c>
    </row>
    <row r="204" customFormat="false" ht="15" hidden="false" customHeight="true" outlineLevel="0" collapsed="false">
      <c r="A204" s="12" t="str">
        <f aca="false">IF(품목마스터!$A201="","",품목마스터!$A201)</f>
        <v/>
      </c>
      <c r="B204" s="12" t="str">
        <f aca="false">IF($A204="","",품목마스터!$B201)</f>
        <v/>
      </c>
      <c r="C204" s="12" t="str">
        <f aca="false">IF($A204="","",품목마스터!$D201)</f>
        <v/>
      </c>
      <c r="D204" s="13" t="str">
        <f aca="false">IF($A204="","",IF(품목마스터!$E201="",0,품목마스터!$E201))</f>
        <v/>
      </c>
      <c r="E204" s="13" t="str">
        <f aca="false">IF($A204="","",SUMIFS(검수내역!$G$3:$G$802,검수내역!$D$3:$D$802,$A204))</f>
        <v/>
      </c>
      <c r="F204" s="13" t="str">
        <f aca="false">IF($A204="","",SUMIFS(출고내역!$G$3:$G$802,출고내역!$D$3:$D$802,$A204))</f>
        <v/>
      </c>
      <c r="G204" s="13" t="str">
        <f aca="false">IF($A204="","",SUMIFS(출고내역!$H$3:$H$802,출고내역!$D$3:$D$802,$A204))</f>
        <v/>
      </c>
      <c r="H204" s="13" t="str">
        <f aca="false">IF($A204="","",$F204+$G204)</f>
        <v/>
      </c>
      <c r="I204" s="13" t="str">
        <f aca="false">IF($A204="","",SUMIFS(재고조정!$E$3:$E$302,재고조정!$B$3:$B$302,$A204))</f>
        <v/>
      </c>
      <c r="J204" s="13" t="str">
        <f aca="false">IF($A204="","",$D204+$E204-$H204+$I204)</f>
        <v/>
      </c>
      <c r="K204" s="13" t="str">
        <f aca="false">IF($A204="","",SUMIFS(출고내역!$K$3:$K$802,출고내역!$D$3:$D$802,$A204))</f>
        <v/>
      </c>
    </row>
    <row r="205" customFormat="false" ht="15" hidden="false" customHeight="true" outlineLevel="0" collapsed="false">
      <c r="A205" s="12" t="str">
        <f aca="false">IF(품목마스터!$A202="","",품목마스터!$A202)</f>
        <v/>
      </c>
      <c r="B205" s="12" t="str">
        <f aca="false">IF($A205="","",품목마스터!$B202)</f>
        <v/>
      </c>
      <c r="C205" s="12" t="str">
        <f aca="false">IF($A205="","",품목마스터!$D202)</f>
        <v/>
      </c>
      <c r="D205" s="13" t="str">
        <f aca="false">IF($A205="","",IF(품목마스터!$E202="",0,품목마스터!$E202))</f>
        <v/>
      </c>
      <c r="E205" s="13" t="str">
        <f aca="false">IF($A205="","",SUMIFS(검수내역!$G$3:$G$802,검수내역!$D$3:$D$802,$A205))</f>
        <v/>
      </c>
      <c r="F205" s="13" t="str">
        <f aca="false">IF($A205="","",SUMIFS(출고내역!$G$3:$G$802,출고내역!$D$3:$D$802,$A205))</f>
        <v/>
      </c>
      <c r="G205" s="13" t="str">
        <f aca="false">IF($A205="","",SUMIFS(출고내역!$H$3:$H$802,출고내역!$D$3:$D$802,$A205))</f>
        <v/>
      </c>
      <c r="H205" s="13" t="str">
        <f aca="false">IF($A205="","",$F205+$G205)</f>
        <v/>
      </c>
      <c r="I205" s="13" t="str">
        <f aca="false">IF($A205="","",SUMIFS(재고조정!$E$3:$E$302,재고조정!$B$3:$B$302,$A205))</f>
        <v/>
      </c>
      <c r="J205" s="13" t="str">
        <f aca="false">IF($A205="","",$D205+$E205-$H205+$I205)</f>
        <v/>
      </c>
      <c r="K205" s="13" t="str">
        <f aca="false">IF($A205="","",SUMIFS(출고내역!$K$3:$K$802,출고내역!$D$3:$D$802,$A205))</f>
        <v/>
      </c>
    </row>
    <row r="207" customFormat="false" ht="15" hidden="false" customHeight="true" outlineLevel="0" collapsed="false">
      <c r="B207" s="15" t="s">
        <v>88</v>
      </c>
      <c r="D207" s="16" t="n">
        <f aca="false">SUM(D6:D205)</f>
        <v>240</v>
      </c>
      <c r="E207" s="16" t="n">
        <f aca="false">SUM(E6:E205)</f>
        <v>380</v>
      </c>
      <c r="F207" s="16" t="n">
        <f aca="false">SUM(F6:F205)</f>
        <v>205</v>
      </c>
      <c r="G207" s="16" t="n">
        <f aca="false">SUM(G6:G205)</f>
        <v>9</v>
      </c>
      <c r="H207" s="16" t="n">
        <f aca="false">SUM(H6:H205)</f>
        <v>214</v>
      </c>
      <c r="I207" s="16" t="n">
        <f aca="false">SUM(I6:I205)</f>
        <v>-6</v>
      </c>
      <c r="J207" s="16" t="n">
        <f aca="false">SUM(J6:J205)</f>
        <v>400</v>
      </c>
      <c r="K207" s="16" t="n">
        <f aca="false">SUM(K6:K205)</f>
        <v>5870000</v>
      </c>
    </row>
    <row r="209" customFormat="false" ht="15" hidden="false" customHeight="true" outlineLevel="0" collapsed="false">
      <c r="A209" s="5" t="s">
        <v>89</v>
      </c>
    </row>
  </sheetData>
  <mergeCells count="1">
    <mergeCell ref="A1:K1"/>
  </mergeCells>
  <conditionalFormatting sqref="A6:K205">
    <cfRule type="expression" priority="2" aboveAverage="0" equalAverage="0" bottom="0" percent="0" rank="0" text="" dxfId="1">
      <formula>AND($A6&lt;&gt;"",$J6&lt;0)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6" min="6" style="1" width="11"/>
    <col collapsed="false" customWidth="true" hidden="false" outlineLevel="0" max="7" min="7" style="1" width="16"/>
  </cols>
  <sheetData>
    <row r="1" customFormat="false" ht="36" hidden="false" customHeight="true" outlineLevel="0" collapsed="false">
      <c r="A1" s="17" t="s">
        <v>90</v>
      </c>
      <c r="B1" s="17"/>
      <c r="C1" s="17"/>
      <c r="D1" s="17"/>
      <c r="E1" s="17"/>
      <c r="F1" s="17"/>
      <c r="G1" s="17"/>
    </row>
    <row r="3" customFormat="false" ht="15" hidden="false" customHeight="true" outlineLevel="0" collapsed="false">
      <c r="A3" s="3" t="s">
        <v>46</v>
      </c>
      <c r="B3" s="18" t="s">
        <v>49</v>
      </c>
      <c r="C3" s="19" t="str">
        <f aca="false">IFERROR(INDEX(거래처마스터!$B$3:$B$102,MATCH($B$3,거래처마스터!$A$3:$A$102,0)),"")</f>
        <v>○○대리점</v>
      </c>
      <c r="E3" s="3" t="s">
        <v>91</v>
      </c>
      <c r="F3" s="20" t="n">
        <f aca="true">TODAY()</f>
        <v>46279</v>
      </c>
    </row>
    <row r="5" customFormat="false" ht="15" hidden="false" customHeight="true" outlineLevel="0" collapsed="false">
      <c r="A5" s="19" t="s">
        <v>92</v>
      </c>
    </row>
    <row r="6" customFormat="false" ht="15" hidden="false" customHeight="true" outlineLevel="0" collapsed="false">
      <c r="A6" s="15" t="s">
        <v>93</v>
      </c>
      <c r="B6" s="21" t="n">
        <f aca="false">COUNTIFS(검수내역!$B$3:$B$802,$B$3)</f>
        <v>0</v>
      </c>
    </row>
    <row r="7" customFormat="false" ht="15" hidden="false" customHeight="true" outlineLevel="0" collapsed="false">
      <c r="A7" s="15" t="s">
        <v>94</v>
      </c>
      <c r="B7" s="22" t="n">
        <f aca="false">SUMIFS(검수내역!$I$3:$I$802,검수내역!$B$3:$B$802,$B$3)</f>
        <v>0</v>
      </c>
    </row>
    <row r="8" customFormat="false" ht="15" hidden="false" customHeight="true" outlineLevel="0" collapsed="false">
      <c r="A8" s="15" t="s">
        <v>95</v>
      </c>
      <c r="B8" s="21" t="n">
        <f aca="false">COUNTIFS(출고내역!$B$3:$B$802,$B$3)</f>
        <v>3</v>
      </c>
    </row>
    <row r="9" customFormat="false" ht="15" hidden="false" customHeight="true" outlineLevel="0" collapsed="false">
      <c r="A9" s="15" t="s">
        <v>96</v>
      </c>
      <c r="B9" s="22" t="n">
        <f aca="false">SUMIFS(출고내역!$K$3:$K$802,출고내역!$B$3:$B$802,$B$3)</f>
        <v>4630000</v>
      </c>
    </row>
    <row r="10" customFormat="false" ht="15" hidden="false" customHeight="true" outlineLevel="0" collapsed="false">
      <c r="A10" s="15" t="s">
        <v>97</v>
      </c>
      <c r="B10" s="22" t="n">
        <f aca="false">SUMIFS(출고내역!$H$3:$H$802,출고내역!$B$3:$B$802,$B$3)</f>
        <v>7</v>
      </c>
    </row>
    <row r="12" customFormat="false" ht="15" hidden="false" customHeight="true" outlineLevel="0" collapsed="false">
      <c r="A12" s="6" t="s">
        <v>27</v>
      </c>
      <c r="B12" s="6" t="s">
        <v>28</v>
      </c>
      <c r="C12" s="6" t="s">
        <v>30</v>
      </c>
      <c r="D12" s="6" t="s">
        <v>62</v>
      </c>
      <c r="E12" s="6" t="s">
        <v>82</v>
      </c>
      <c r="F12" s="6" t="s">
        <v>68</v>
      </c>
      <c r="G12" s="6" t="s">
        <v>87</v>
      </c>
    </row>
    <row r="13" customFormat="false" ht="15" hidden="false" customHeight="true" outlineLevel="0" collapsed="false">
      <c r="A13" s="12" t="str">
        <f aca="false">IF(품목마스터!$A3="","",품목마스터!$A3)</f>
        <v>P001</v>
      </c>
      <c r="B13" s="12" t="str">
        <f aca="false">IF($A13="","",품목마스터!$B3)</f>
        <v>홍삼즙 30포</v>
      </c>
      <c r="C13" s="12" t="str">
        <f aca="false">IF($A13="","",품목마스터!$D3)</f>
        <v>박스</v>
      </c>
      <c r="D13" s="13" t="n">
        <f aca="false">IF($A13="","",SUMIFS(검수내역!$G$3:$G$802,검수내역!$D$3:$D$802,$A13,검수내역!$B$3:$B$802,$B$3))</f>
        <v>0</v>
      </c>
      <c r="E13" s="13" t="n">
        <f aca="false">IF($A13="","",SUMIFS(출고내역!$G$3:$G$802,출고내역!$D$3:$D$802,$A13,출고내역!$B$3:$B$802,$B$3))</f>
        <v>140</v>
      </c>
      <c r="F13" s="13" t="n">
        <f aca="false">IF($A13="","",SUMIFS(출고내역!$H$3:$H$802,출고내역!$D$3:$D$802,$A13,출고내역!$B$3:$B$802,$B$3))</f>
        <v>7</v>
      </c>
      <c r="G13" s="13" t="n">
        <f aca="false">IF($A13="","",SUMIFS(출고내역!$K$3:$K$802,출고내역!$D$3:$D$802,$A13,출고내역!$B$3:$B$802,$B$3))</f>
        <v>3080000</v>
      </c>
    </row>
    <row r="14" customFormat="false" ht="15" hidden="false" customHeight="true" outlineLevel="0" collapsed="false">
      <c r="A14" s="12" t="str">
        <f aca="false">IF(품목마스터!$A4="","",품목마스터!$A4)</f>
        <v>P002</v>
      </c>
      <c r="B14" s="12" t="str">
        <f aca="false">IF($A14="","",품목마스터!$B4)</f>
        <v>홍삼정 240g</v>
      </c>
      <c r="C14" s="12" t="str">
        <f aca="false">IF($A14="","",품목마스터!$D4)</f>
        <v>EA</v>
      </c>
      <c r="D14" s="13" t="n">
        <f aca="false">IF($A14="","",SUMIFS(검수내역!$G$3:$G$802,검수내역!$D$3:$D$802,$A14,검수내역!$B$3:$B$802,$B$3))</f>
        <v>0</v>
      </c>
      <c r="E14" s="13" t="n">
        <f aca="false">IF($A14="","",SUMIFS(출고내역!$G$3:$G$802,출고내역!$D$3:$D$802,$A14,출고내역!$B$3:$B$802,$B$3))</f>
        <v>0</v>
      </c>
      <c r="F14" s="13" t="n">
        <f aca="false">IF($A14="","",SUMIFS(출고내역!$H$3:$H$802,출고내역!$D$3:$D$802,$A14,출고내역!$B$3:$B$802,$B$3))</f>
        <v>0</v>
      </c>
      <c r="G14" s="13" t="n">
        <f aca="false">IF($A14="","",SUMIFS(출고내역!$K$3:$K$802,출고내역!$D$3:$D$802,$A14,출고내역!$B$3:$B$802,$B$3))</f>
        <v>0</v>
      </c>
    </row>
    <row r="15" customFormat="false" ht="15" hidden="false" customHeight="true" outlineLevel="0" collapsed="false">
      <c r="A15" s="12" t="str">
        <f aca="false">IF(품목마스터!$A5="","",품목마스터!$A5)</f>
        <v>P003</v>
      </c>
      <c r="B15" s="12" t="str">
        <f aca="false">IF($A15="","",품목마스터!$B5)</f>
        <v>선물세트 A</v>
      </c>
      <c r="C15" s="12" t="str">
        <f aca="false">IF($A15="","",품목마스터!$D5)</f>
        <v>SET</v>
      </c>
      <c r="D15" s="13" t="n">
        <f aca="false">IF($A15="","",SUMIFS(검수내역!$G$3:$G$802,검수내역!$D$3:$D$802,$A15,검수내역!$B$3:$B$802,$B$3))</f>
        <v>0</v>
      </c>
      <c r="E15" s="13" t="n">
        <f aca="false">IF($A15="","",SUMIFS(출고내역!$G$3:$G$802,출고내역!$D$3:$D$802,$A15,출고내역!$B$3:$B$802,$B$3))</f>
        <v>25</v>
      </c>
      <c r="F15" s="13" t="n">
        <f aca="false">IF($A15="","",SUMIFS(출고내역!$H$3:$H$802,출고내역!$D$3:$D$802,$A15,출고내역!$B$3:$B$802,$B$3))</f>
        <v>0</v>
      </c>
      <c r="G15" s="13" t="n">
        <f aca="false">IF($A15="","",SUMIFS(출고내역!$K$3:$K$802,출고내역!$D$3:$D$802,$A15,출고내역!$B$3:$B$802,$B$3))</f>
        <v>1550000</v>
      </c>
    </row>
    <row r="16" customFormat="false" ht="15" hidden="false" customHeight="true" outlineLevel="0" collapsed="false">
      <c r="A16" s="12" t="str">
        <f aca="false">IF(품목마스터!$A6="","",품목마스터!$A6)</f>
        <v/>
      </c>
      <c r="B16" s="12" t="str">
        <f aca="false">IF($A16="","",품목마스터!$B6)</f>
        <v/>
      </c>
      <c r="C16" s="12" t="str">
        <f aca="false">IF($A16="","",품목마스터!$D6)</f>
        <v/>
      </c>
      <c r="D16" s="13" t="str">
        <f aca="false">IF($A16="","",SUMIFS(검수내역!$G$3:$G$802,검수내역!$D$3:$D$802,$A16,검수내역!$B$3:$B$802,$B$3))</f>
        <v/>
      </c>
      <c r="E16" s="13" t="str">
        <f aca="false">IF($A16="","",SUMIFS(출고내역!$G$3:$G$802,출고내역!$D$3:$D$802,$A16,출고내역!$B$3:$B$802,$B$3))</f>
        <v/>
      </c>
      <c r="F16" s="13" t="str">
        <f aca="false">IF($A16="","",SUMIFS(출고내역!$H$3:$H$802,출고내역!$D$3:$D$802,$A16,출고내역!$B$3:$B$802,$B$3))</f>
        <v/>
      </c>
      <c r="G16" s="13" t="str">
        <f aca="false">IF($A16="","",SUMIFS(출고내역!$K$3:$K$802,출고내역!$D$3:$D$802,$A16,출고내역!$B$3:$B$802,$B$3))</f>
        <v/>
      </c>
    </row>
    <row r="17" customFormat="false" ht="15" hidden="false" customHeight="true" outlineLevel="0" collapsed="false">
      <c r="A17" s="12" t="str">
        <f aca="false">IF(품목마스터!$A7="","",품목마스터!$A7)</f>
        <v/>
      </c>
      <c r="B17" s="12" t="str">
        <f aca="false">IF($A17="","",품목마스터!$B7)</f>
        <v/>
      </c>
      <c r="C17" s="12" t="str">
        <f aca="false">IF($A17="","",품목마스터!$D7)</f>
        <v/>
      </c>
      <c r="D17" s="13" t="str">
        <f aca="false">IF($A17="","",SUMIFS(검수내역!$G$3:$G$802,검수내역!$D$3:$D$802,$A17,검수내역!$B$3:$B$802,$B$3))</f>
        <v/>
      </c>
      <c r="E17" s="13" t="str">
        <f aca="false">IF($A17="","",SUMIFS(출고내역!$G$3:$G$802,출고내역!$D$3:$D$802,$A17,출고내역!$B$3:$B$802,$B$3))</f>
        <v/>
      </c>
      <c r="F17" s="13" t="str">
        <f aca="false">IF($A17="","",SUMIFS(출고내역!$H$3:$H$802,출고내역!$D$3:$D$802,$A17,출고내역!$B$3:$B$802,$B$3))</f>
        <v/>
      </c>
      <c r="G17" s="13" t="str">
        <f aca="false">IF($A17="","",SUMIFS(출고내역!$K$3:$K$802,출고내역!$D$3:$D$802,$A17,출고내역!$B$3:$B$802,$B$3))</f>
        <v/>
      </c>
    </row>
    <row r="18" customFormat="false" ht="15" hidden="false" customHeight="true" outlineLevel="0" collapsed="false">
      <c r="A18" s="12" t="str">
        <f aca="false">IF(품목마스터!$A8="","",품목마스터!$A8)</f>
        <v/>
      </c>
      <c r="B18" s="12" t="str">
        <f aca="false">IF($A18="","",품목마스터!$B8)</f>
        <v/>
      </c>
      <c r="C18" s="12" t="str">
        <f aca="false">IF($A18="","",품목마스터!$D8)</f>
        <v/>
      </c>
      <c r="D18" s="13" t="str">
        <f aca="false">IF($A18="","",SUMIFS(검수내역!$G$3:$G$802,검수내역!$D$3:$D$802,$A18,검수내역!$B$3:$B$802,$B$3))</f>
        <v/>
      </c>
      <c r="E18" s="13" t="str">
        <f aca="false">IF($A18="","",SUMIFS(출고내역!$G$3:$G$802,출고내역!$D$3:$D$802,$A18,출고내역!$B$3:$B$802,$B$3))</f>
        <v/>
      </c>
      <c r="F18" s="13" t="str">
        <f aca="false">IF($A18="","",SUMIFS(출고내역!$H$3:$H$802,출고내역!$D$3:$D$802,$A18,출고내역!$B$3:$B$802,$B$3))</f>
        <v/>
      </c>
      <c r="G18" s="13" t="str">
        <f aca="false">IF($A18="","",SUMIFS(출고내역!$K$3:$K$802,출고내역!$D$3:$D$802,$A18,출고내역!$B$3:$B$802,$B$3))</f>
        <v/>
      </c>
    </row>
    <row r="19" customFormat="false" ht="15" hidden="false" customHeight="true" outlineLevel="0" collapsed="false">
      <c r="A19" s="12" t="str">
        <f aca="false">IF(품목마스터!$A9="","",품목마스터!$A9)</f>
        <v/>
      </c>
      <c r="B19" s="12" t="str">
        <f aca="false">IF($A19="","",품목마스터!$B9)</f>
        <v/>
      </c>
      <c r="C19" s="12" t="str">
        <f aca="false">IF($A19="","",품목마스터!$D9)</f>
        <v/>
      </c>
      <c r="D19" s="13" t="str">
        <f aca="false">IF($A19="","",SUMIFS(검수내역!$G$3:$G$802,검수내역!$D$3:$D$802,$A19,검수내역!$B$3:$B$802,$B$3))</f>
        <v/>
      </c>
      <c r="E19" s="13" t="str">
        <f aca="false">IF($A19="","",SUMIFS(출고내역!$G$3:$G$802,출고내역!$D$3:$D$802,$A19,출고내역!$B$3:$B$802,$B$3))</f>
        <v/>
      </c>
      <c r="F19" s="13" t="str">
        <f aca="false">IF($A19="","",SUMIFS(출고내역!$H$3:$H$802,출고내역!$D$3:$D$802,$A19,출고내역!$B$3:$B$802,$B$3))</f>
        <v/>
      </c>
      <c r="G19" s="13" t="str">
        <f aca="false">IF($A19="","",SUMIFS(출고내역!$K$3:$K$802,출고내역!$D$3:$D$802,$A19,출고내역!$B$3:$B$802,$B$3))</f>
        <v/>
      </c>
    </row>
    <row r="20" customFormat="false" ht="15" hidden="false" customHeight="true" outlineLevel="0" collapsed="false">
      <c r="A20" s="12" t="str">
        <f aca="false">IF(품목마스터!$A10="","",품목마스터!$A10)</f>
        <v/>
      </c>
      <c r="B20" s="12" t="str">
        <f aca="false">IF($A20="","",품목마스터!$B10)</f>
        <v/>
      </c>
      <c r="C20" s="12" t="str">
        <f aca="false">IF($A20="","",품목마스터!$D10)</f>
        <v/>
      </c>
      <c r="D20" s="13" t="str">
        <f aca="false">IF($A20="","",SUMIFS(검수내역!$G$3:$G$802,검수내역!$D$3:$D$802,$A20,검수내역!$B$3:$B$802,$B$3))</f>
        <v/>
      </c>
      <c r="E20" s="13" t="str">
        <f aca="false">IF($A20="","",SUMIFS(출고내역!$G$3:$G$802,출고내역!$D$3:$D$802,$A20,출고내역!$B$3:$B$802,$B$3))</f>
        <v/>
      </c>
      <c r="F20" s="13" t="str">
        <f aca="false">IF($A20="","",SUMIFS(출고내역!$H$3:$H$802,출고내역!$D$3:$D$802,$A20,출고내역!$B$3:$B$802,$B$3))</f>
        <v/>
      </c>
      <c r="G20" s="13" t="str">
        <f aca="false">IF($A20="","",SUMIFS(출고내역!$K$3:$K$802,출고내역!$D$3:$D$802,$A20,출고내역!$B$3:$B$802,$B$3))</f>
        <v/>
      </c>
    </row>
    <row r="21" customFormat="false" ht="15" hidden="false" customHeight="true" outlineLevel="0" collapsed="false">
      <c r="A21" s="12" t="str">
        <f aca="false">IF(품목마스터!$A11="","",품목마스터!$A11)</f>
        <v/>
      </c>
      <c r="B21" s="12" t="str">
        <f aca="false">IF($A21="","",품목마스터!$B11)</f>
        <v/>
      </c>
      <c r="C21" s="12" t="str">
        <f aca="false">IF($A21="","",품목마스터!$D11)</f>
        <v/>
      </c>
      <c r="D21" s="13" t="str">
        <f aca="false">IF($A21="","",SUMIFS(검수내역!$G$3:$G$802,검수내역!$D$3:$D$802,$A21,검수내역!$B$3:$B$802,$B$3))</f>
        <v/>
      </c>
      <c r="E21" s="13" t="str">
        <f aca="false">IF($A21="","",SUMIFS(출고내역!$G$3:$G$802,출고내역!$D$3:$D$802,$A21,출고내역!$B$3:$B$802,$B$3))</f>
        <v/>
      </c>
      <c r="F21" s="13" t="str">
        <f aca="false">IF($A21="","",SUMIFS(출고내역!$H$3:$H$802,출고내역!$D$3:$D$802,$A21,출고내역!$B$3:$B$802,$B$3))</f>
        <v/>
      </c>
      <c r="G21" s="13" t="str">
        <f aca="false">IF($A21="","",SUMIFS(출고내역!$K$3:$K$802,출고내역!$D$3:$D$802,$A21,출고내역!$B$3:$B$802,$B$3))</f>
        <v/>
      </c>
    </row>
    <row r="22" customFormat="false" ht="15" hidden="false" customHeight="true" outlineLevel="0" collapsed="false">
      <c r="A22" s="12" t="str">
        <f aca="false">IF(품목마스터!$A12="","",품목마스터!$A12)</f>
        <v/>
      </c>
      <c r="B22" s="12" t="str">
        <f aca="false">IF($A22="","",품목마스터!$B12)</f>
        <v/>
      </c>
      <c r="C22" s="12" t="str">
        <f aca="false">IF($A22="","",품목마스터!$D12)</f>
        <v/>
      </c>
      <c r="D22" s="13" t="str">
        <f aca="false">IF($A22="","",SUMIFS(검수내역!$G$3:$G$802,검수내역!$D$3:$D$802,$A22,검수내역!$B$3:$B$802,$B$3))</f>
        <v/>
      </c>
      <c r="E22" s="13" t="str">
        <f aca="false">IF($A22="","",SUMIFS(출고내역!$G$3:$G$802,출고내역!$D$3:$D$802,$A22,출고내역!$B$3:$B$802,$B$3))</f>
        <v/>
      </c>
      <c r="F22" s="13" t="str">
        <f aca="false">IF($A22="","",SUMIFS(출고내역!$H$3:$H$802,출고내역!$D$3:$D$802,$A22,출고내역!$B$3:$B$802,$B$3))</f>
        <v/>
      </c>
      <c r="G22" s="13" t="str">
        <f aca="false">IF($A22="","",SUMIFS(출고내역!$K$3:$K$802,출고내역!$D$3:$D$802,$A22,출고내역!$B$3:$B$802,$B$3))</f>
        <v/>
      </c>
    </row>
    <row r="23" customFormat="false" ht="15" hidden="false" customHeight="true" outlineLevel="0" collapsed="false">
      <c r="A23" s="12" t="str">
        <f aca="false">IF(품목마스터!$A13="","",품목마스터!$A13)</f>
        <v/>
      </c>
      <c r="B23" s="12" t="str">
        <f aca="false">IF($A23="","",품목마스터!$B13)</f>
        <v/>
      </c>
      <c r="C23" s="12" t="str">
        <f aca="false">IF($A23="","",품목마스터!$D13)</f>
        <v/>
      </c>
      <c r="D23" s="13" t="str">
        <f aca="false">IF($A23="","",SUMIFS(검수내역!$G$3:$G$802,검수내역!$D$3:$D$802,$A23,검수내역!$B$3:$B$802,$B$3))</f>
        <v/>
      </c>
      <c r="E23" s="13" t="str">
        <f aca="false">IF($A23="","",SUMIFS(출고내역!$G$3:$G$802,출고내역!$D$3:$D$802,$A23,출고내역!$B$3:$B$802,$B$3))</f>
        <v/>
      </c>
      <c r="F23" s="13" t="str">
        <f aca="false">IF($A23="","",SUMIFS(출고내역!$H$3:$H$802,출고내역!$D$3:$D$802,$A23,출고내역!$B$3:$B$802,$B$3))</f>
        <v/>
      </c>
      <c r="G23" s="13" t="str">
        <f aca="false">IF($A23="","",SUMIFS(출고내역!$K$3:$K$802,출고내역!$D$3:$D$802,$A23,출고내역!$B$3:$B$802,$B$3))</f>
        <v/>
      </c>
    </row>
    <row r="24" customFormat="false" ht="15" hidden="false" customHeight="true" outlineLevel="0" collapsed="false">
      <c r="A24" s="12" t="str">
        <f aca="false">IF(품목마스터!$A14="","",품목마스터!$A14)</f>
        <v/>
      </c>
      <c r="B24" s="12" t="str">
        <f aca="false">IF($A24="","",품목마스터!$B14)</f>
        <v/>
      </c>
      <c r="C24" s="12" t="str">
        <f aca="false">IF($A24="","",품목마스터!$D14)</f>
        <v/>
      </c>
      <c r="D24" s="13" t="str">
        <f aca="false">IF($A24="","",SUMIFS(검수내역!$G$3:$G$802,검수내역!$D$3:$D$802,$A24,검수내역!$B$3:$B$802,$B$3))</f>
        <v/>
      </c>
      <c r="E24" s="13" t="str">
        <f aca="false">IF($A24="","",SUMIFS(출고내역!$G$3:$G$802,출고내역!$D$3:$D$802,$A24,출고내역!$B$3:$B$802,$B$3))</f>
        <v/>
      </c>
      <c r="F24" s="13" t="str">
        <f aca="false">IF($A24="","",SUMIFS(출고내역!$H$3:$H$802,출고내역!$D$3:$D$802,$A24,출고내역!$B$3:$B$802,$B$3))</f>
        <v/>
      </c>
      <c r="G24" s="13" t="str">
        <f aca="false">IF($A24="","",SUMIFS(출고내역!$K$3:$K$802,출고내역!$D$3:$D$802,$A24,출고내역!$B$3:$B$802,$B$3))</f>
        <v/>
      </c>
    </row>
    <row r="25" customFormat="false" ht="15" hidden="false" customHeight="true" outlineLevel="0" collapsed="false">
      <c r="A25" s="12" t="str">
        <f aca="false">IF(품목마스터!$A15="","",품목마스터!$A15)</f>
        <v/>
      </c>
      <c r="B25" s="12" t="str">
        <f aca="false">IF($A25="","",품목마스터!$B15)</f>
        <v/>
      </c>
      <c r="C25" s="12" t="str">
        <f aca="false">IF($A25="","",품목마스터!$D15)</f>
        <v/>
      </c>
      <c r="D25" s="13" t="str">
        <f aca="false">IF($A25="","",SUMIFS(검수내역!$G$3:$G$802,검수내역!$D$3:$D$802,$A25,검수내역!$B$3:$B$802,$B$3))</f>
        <v/>
      </c>
      <c r="E25" s="13" t="str">
        <f aca="false">IF($A25="","",SUMIFS(출고내역!$G$3:$G$802,출고내역!$D$3:$D$802,$A25,출고내역!$B$3:$B$802,$B$3))</f>
        <v/>
      </c>
      <c r="F25" s="13" t="str">
        <f aca="false">IF($A25="","",SUMIFS(출고내역!$H$3:$H$802,출고내역!$D$3:$D$802,$A25,출고내역!$B$3:$B$802,$B$3))</f>
        <v/>
      </c>
      <c r="G25" s="13" t="str">
        <f aca="false">IF($A25="","",SUMIFS(출고내역!$K$3:$K$802,출고내역!$D$3:$D$802,$A25,출고내역!$B$3:$B$802,$B$3))</f>
        <v/>
      </c>
    </row>
    <row r="26" customFormat="false" ht="15" hidden="false" customHeight="true" outlineLevel="0" collapsed="false">
      <c r="A26" s="12" t="str">
        <f aca="false">IF(품목마스터!$A16="","",품목마스터!$A16)</f>
        <v/>
      </c>
      <c r="B26" s="12" t="str">
        <f aca="false">IF($A26="","",품목마스터!$B16)</f>
        <v/>
      </c>
      <c r="C26" s="12" t="str">
        <f aca="false">IF($A26="","",품목마스터!$D16)</f>
        <v/>
      </c>
      <c r="D26" s="13" t="str">
        <f aca="false">IF($A26="","",SUMIFS(검수내역!$G$3:$G$802,검수내역!$D$3:$D$802,$A26,검수내역!$B$3:$B$802,$B$3))</f>
        <v/>
      </c>
      <c r="E26" s="13" t="str">
        <f aca="false">IF($A26="","",SUMIFS(출고내역!$G$3:$G$802,출고내역!$D$3:$D$802,$A26,출고내역!$B$3:$B$802,$B$3))</f>
        <v/>
      </c>
      <c r="F26" s="13" t="str">
        <f aca="false">IF($A26="","",SUMIFS(출고내역!$H$3:$H$802,출고내역!$D$3:$D$802,$A26,출고내역!$B$3:$B$802,$B$3))</f>
        <v/>
      </c>
      <c r="G26" s="13" t="str">
        <f aca="false">IF($A26="","",SUMIFS(출고내역!$K$3:$K$802,출고내역!$D$3:$D$802,$A26,출고내역!$B$3:$B$802,$B$3))</f>
        <v/>
      </c>
    </row>
    <row r="27" customFormat="false" ht="15" hidden="false" customHeight="true" outlineLevel="0" collapsed="false">
      <c r="A27" s="12" t="str">
        <f aca="false">IF(품목마스터!$A17="","",품목마스터!$A17)</f>
        <v/>
      </c>
      <c r="B27" s="12" t="str">
        <f aca="false">IF($A27="","",품목마스터!$B17)</f>
        <v/>
      </c>
      <c r="C27" s="12" t="str">
        <f aca="false">IF($A27="","",품목마스터!$D17)</f>
        <v/>
      </c>
      <c r="D27" s="13" t="str">
        <f aca="false">IF($A27="","",SUMIFS(검수내역!$G$3:$G$802,검수내역!$D$3:$D$802,$A27,검수내역!$B$3:$B$802,$B$3))</f>
        <v/>
      </c>
      <c r="E27" s="13" t="str">
        <f aca="false">IF($A27="","",SUMIFS(출고내역!$G$3:$G$802,출고내역!$D$3:$D$802,$A27,출고내역!$B$3:$B$802,$B$3))</f>
        <v/>
      </c>
      <c r="F27" s="13" t="str">
        <f aca="false">IF($A27="","",SUMIFS(출고내역!$H$3:$H$802,출고내역!$D$3:$D$802,$A27,출고내역!$B$3:$B$802,$B$3))</f>
        <v/>
      </c>
      <c r="G27" s="13" t="str">
        <f aca="false">IF($A27="","",SUMIFS(출고내역!$K$3:$K$802,출고내역!$D$3:$D$802,$A27,출고내역!$B$3:$B$802,$B$3))</f>
        <v/>
      </c>
    </row>
    <row r="28" customFormat="false" ht="15" hidden="false" customHeight="true" outlineLevel="0" collapsed="false">
      <c r="A28" s="12" t="str">
        <f aca="false">IF(품목마스터!$A18="","",품목마스터!$A18)</f>
        <v/>
      </c>
      <c r="B28" s="12" t="str">
        <f aca="false">IF($A28="","",품목마스터!$B18)</f>
        <v/>
      </c>
      <c r="C28" s="12" t="str">
        <f aca="false">IF($A28="","",품목마스터!$D18)</f>
        <v/>
      </c>
      <c r="D28" s="13" t="str">
        <f aca="false">IF($A28="","",SUMIFS(검수내역!$G$3:$G$802,검수내역!$D$3:$D$802,$A28,검수내역!$B$3:$B$802,$B$3))</f>
        <v/>
      </c>
      <c r="E28" s="13" t="str">
        <f aca="false">IF($A28="","",SUMIFS(출고내역!$G$3:$G$802,출고내역!$D$3:$D$802,$A28,출고내역!$B$3:$B$802,$B$3))</f>
        <v/>
      </c>
      <c r="F28" s="13" t="str">
        <f aca="false">IF($A28="","",SUMIFS(출고내역!$H$3:$H$802,출고내역!$D$3:$D$802,$A28,출고내역!$B$3:$B$802,$B$3))</f>
        <v/>
      </c>
      <c r="G28" s="13" t="str">
        <f aca="false">IF($A28="","",SUMIFS(출고내역!$K$3:$K$802,출고내역!$D$3:$D$802,$A28,출고내역!$B$3:$B$802,$B$3))</f>
        <v/>
      </c>
    </row>
    <row r="29" customFormat="false" ht="15" hidden="false" customHeight="true" outlineLevel="0" collapsed="false">
      <c r="A29" s="12" t="str">
        <f aca="false">IF(품목마스터!$A19="","",품목마스터!$A19)</f>
        <v/>
      </c>
      <c r="B29" s="12" t="str">
        <f aca="false">IF($A29="","",품목마스터!$B19)</f>
        <v/>
      </c>
      <c r="C29" s="12" t="str">
        <f aca="false">IF($A29="","",품목마스터!$D19)</f>
        <v/>
      </c>
      <c r="D29" s="13" t="str">
        <f aca="false">IF($A29="","",SUMIFS(검수내역!$G$3:$G$802,검수내역!$D$3:$D$802,$A29,검수내역!$B$3:$B$802,$B$3))</f>
        <v/>
      </c>
      <c r="E29" s="13" t="str">
        <f aca="false">IF($A29="","",SUMIFS(출고내역!$G$3:$G$802,출고내역!$D$3:$D$802,$A29,출고내역!$B$3:$B$802,$B$3))</f>
        <v/>
      </c>
      <c r="F29" s="13" t="str">
        <f aca="false">IF($A29="","",SUMIFS(출고내역!$H$3:$H$802,출고내역!$D$3:$D$802,$A29,출고내역!$B$3:$B$802,$B$3))</f>
        <v/>
      </c>
      <c r="G29" s="13" t="str">
        <f aca="false">IF($A29="","",SUMIFS(출고내역!$K$3:$K$802,출고내역!$D$3:$D$802,$A29,출고내역!$B$3:$B$802,$B$3))</f>
        <v/>
      </c>
    </row>
    <row r="30" customFormat="false" ht="15" hidden="false" customHeight="true" outlineLevel="0" collapsed="false">
      <c r="A30" s="12" t="str">
        <f aca="false">IF(품목마스터!$A20="","",품목마스터!$A20)</f>
        <v/>
      </c>
      <c r="B30" s="12" t="str">
        <f aca="false">IF($A30="","",품목마스터!$B20)</f>
        <v/>
      </c>
      <c r="C30" s="12" t="str">
        <f aca="false">IF($A30="","",품목마스터!$D20)</f>
        <v/>
      </c>
      <c r="D30" s="13" t="str">
        <f aca="false">IF($A30="","",SUMIFS(검수내역!$G$3:$G$802,검수내역!$D$3:$D$802,$A30,검수내역!$B$3:$B$802,$B$3))</f>
        <v/>
      </c>
      <c r="E30" s="13" t="str">
        <f aca="false">IF($A30="","",SUMIFS(출고내역!$G$3:$G$802,출고내역!$D$3:$D$802,$A30,출고내역!$B$3:$B$802,$B$3))</f>
        <v/>
      </c>
      <c r="F30" s="13" t="str">
        <f aca="false">IF($A30="","",SUMIFS(출고내역!$H$3:$H$802,출고내역!$D$3:$D$802,$A30,출고내역!$B$3:$B$802,$B$3))</f>
        <v/>
      </c>
      <c r="G30" s="13" t="str">
        <f aca="false">IF($A30="","",SUMIFS(출고내역!$K$3:$K$802,출고내역!$D$3:$D$802,$A30,출고내역!$B$3:$B$802,$B$3))</f>
        <v/>
      </c>
    </row>
    <row r="31" customFormat="false" ht="15" hidden="false" customHeight="true" outlineLevel="0" collapsed="false">
      <c r="A31" s="12" t="str">
        <f aca="false">IF(품목마스터!$A21="","",품목마스터!$A21)</f>
        <v/>
      </c>
      <c r="B31" s="12" t="str">
        <f aca="false">IF($A31="","",품목마스터!$B21)</f>
        <v/>
      </c>
      <c r="C31" s="12" t="str">
        <f aca="false">IF($A31="","",품목마스터!$D21)</f>
        <v/>
      </c>
      <c r="D31" s="13" t="str">
        <f aca="false">IF($A31="","",SUMIFS(검수내역!$G$3:$G$802,검수내역!$D$3:$D$802,$A31,검수내역!$B$3:$B$802,$B$3))</f>
        <v/>
      </c>
      <c r="E31" s="13" t="str">
        <f aca="false">IF($A31="","",SUMIFS(출고내역!$G$3:$G$802,출고내역!$D$3:$D$802,$A31,출고내역!$B$3:$B$802,$B$3))</f>
        <v/>
      </c>
      <c r="F31" s="13" t="str">
        <f aca="false">IF($A31="","",SUMIFS(출고내역!$H$3:$H$802,출고내역!$D$3:$D$802,$A31,출고내역!$B$3:$B$802,$B$3))</f>
        <v/>
      </c>
      <c r="G31" s="13" t="str">
        <f aca="false">IF($A31="","",SUMIFS(출고내역!$K$3:$K$802,출고내역!$D$3:$D$802,$A31,출고내역!$B$3:$B$802,$B$3))</f>
        <v/>
      </c>
    </row>
    <row r="32" customFormat="false" ht="15" hidden="false" customHeight="true" outlineLevel="0" collapsed="false">
      <c r="A32" s="12" t="str">
        <f aca="false">IF(품목마스터!$A22="","",품목마스터!$A22)</f>
        <v/>
      </c>
      <c r="B32" s="12" t="str">
        <f aca="false">IF($A32="","",품목마스터!$B22)</f>
        <v/>
      </c>
      <c r="C32" s="12" t="str">
        <f aca="false">IF($A32="","",품목마스터!$D22)</f>
        <v/>
      </c>
      <c r="D32" s="13" t="str">
        <f aca="false">IF($A32="","",SUMIFS(검수내역!$G$3:$G$802,검수내역!$D$3:$D$802,$A32,검수내역!$B$3:$B$802,$B$3))</f>
        <v/>
      </c>
      <c r="E32" s="13" t="str">
        <f aca="false">IF($A32="","",SUMIFS(출고내역!$G$3:$G$802,출고내역!$D$3:$D$802,$A32,출고내역!$B$3:$B$802,$B$3))</f>
        <v/>
      </c>
      <c r="F32" s="13" t="str">
        <f aca="false">IF($A32="","",SUMIFS(출고내역!$H$3:$H$802,출고내역!$D$3:$D$802,$A32,출고내역!$B$3:$B$802,$B$3))</f>
        <v/>
      </c>
      <c r="G32" s="13" t="str">
        <f aca="false">IF($A32="","",SUMIFS(출고내역!$K$3:$K$802,출고내역!$D$3:$D$802,$A32,출고내역!$B$3:$B$802,$B$3))</f>
        <v/>
      </c>
    </row>
    <row r="33" customFormat="false" ht="15" hidden="false" customHeight="true" outlineLevel="0" collapsed="false">
      <c r="A33" s="12" t="str">
        <f aca="false">IF(품목마스터!$A23="","",품목마스터!$A23)</f>
        <v/>
      </c>
      <c r="B33" s="12" t="str">
        <f aca="false">IF($A33="","",품목마스터!$B23)</f>
        <v/>
      </c>
      <c r="C33" s="12" t="str">
        <f aca="false">IF($A33="","",품목마스터!$D23)</f>
        <v/>
      </c>
      <c r="D33" s="13" t="str">
        <f aca="false">IF($A33="","",SUMIFS(검수내역!$G$3:$G$802,검수내역!$D$3:$D$802,$A33,검수내역!$B$3:$B$802,$B$3))</f>
        <v/>
      </c>
      <c r="E33" s="13" t="str">
        <f aca="false">IF($A33="","",SUMIFS(출고내역!$G$3:$G$802,출고내역!$D$3:$D$802,$A33,출고내역!$B$3:$B$802,$B$3))</f>
        <v/>
      </c>
      <c r="F33" s="13" t="str">
        <f aca="false">IF($A33="","",SUMIFS(출고내역!$H$3:$H$802,출고내역!$D$3:$D$802,$A33,출고내역!$B$3:$B$802,$B$3))</f>
        <v/>
      </c>
      <c r="G33" s="13" t="str">
        <f aca="false">IF($A33="","",SUMIFS(출고내역!$K$3:$K$802,출고내역!$D$3:$D$802,$A33,출고내역!$B$3:$B$802,$B$3))</f>
        <v/>
      </c>
    </row>
    <row r="34" customFormat="false" ht="15" hidden="false" customHeight="true" outlineLevel="0" collapsed="false">
      <c r="A34" s="12" t="str">
        <f aca="false">IF(품목마스터!$A24="","",품목마스터!$A24)</f>
        <v/>
      </c>
      <c r="B34" s="12" t="str">
        <f aca="false">IF($A34="","",품목마스터!$B24)</f>
        <v/>
      </c>
      <c r="C34" s="12" t="str">
        <f aca="false">IF($A34="","",품목마스터!$D24)</f>
        <v/>
      </c>
      <c r="D34" s="13" t="str">
        <f aca="false">IF($A34="","",SUMIFS(검수내역!$G$3:$G$802,검수내역!$D$3:$D$802,$A34,검수내역!$B$3:$B$802,$B$3))</f>
        <v/>
      </c>
      <c r="E34" s="13" t="str">
        <f aca="false">IF($A34="","",SUMIFS(출고내역!$G$3:$G$802,출고내역!$D$3:$D$802,$A34,출고내역!$B$3:$B$802,$B$3))</f>
        <v/>
      </c>
      <c r="F34" s="13" t="str">
        <f aca="false">IF($A34="","",SUMIFS(출고내역!$H$3:$H$802,출고내역!$D$3:$D$802,$A34,출고내역!$B$3:$B$802,$B$3))</f>
        <v/>
      </c>
      <c r="G34" s="13" t="str">
        <f aca="false">IF($A34="","",SUMIFS(출고내역!$K$3:$K$802,출고내역!$D$3:$D$802,$A34,출고내역!$B$3:$B$802,$B$3))</f>
        <v/>
      </c>
    </row>
    <row r="35" customFormat="false" ht="15" hidden="false" customHeight="true" outlineLevel="0" collapsed="false">
      <c r="A35" s="12" t="str">
        <f aca="false">IF(품목마스터!$A25="","",품목마스터!$A25)</f>
        <v/>
      </c>
      <c r="B35" s="12" t="str">
        <f aca="false">IF($A35="","",품목마스터!$B25)</f>
        <v/>
      </c>
      <c r="C35" s="12" t="str">
        <f aca="false">IF($A35="","",품목마스터!$D25)</f>
        <v/>
      </c>
      <c r="D35" s="13" t="str">
        <f aca="false">IF($A35="","",SUMIFS(검수내역!$G$3:$G$802,검수내역!$D$3:$D$802,$A35,검수내역!$B$3:$B$802,$B$3))</f>
        <v/>
      </c>
      <c r="E35" s="13" t="str">
        <f aca="false">IF($A35="","",SUMIFS(출고내역!$G$3:$G$802,출고내역!$D$3:$D$802,$A35,출고내역!$B$3:$B$802,$B$3))</f>
        <v/>
      </c>
      <c r="F35" s="13" t="str">
        <f aca="false">IF($A35="","",SUMIFS(출고내역!$H$3:$H$802,출고내역!$D$3:$D$802,$A35,출고내역!$B$3:$B$802,$B$3))</f>
        <v/>
      </c>
      <c r="G35" s="13" t="str">
        <f aca="false">IF($A35="","",SUMIFS(출고내역!$K$3:$K$802,출고내역!$D$3:$D$802,$A35,출고내역!$B$3:$B$802,$B$3))</f>
        <v/>
      </c>
    </row>
    <row r="36" customFormat="false" ht="15" hidden="false" customHeight="true" outlineLevel="0" collapsed="false">
      <c r="A36" s="12" t="str">
        <f aca="false">IF(품목마스터!$A26="","",품목마스터!$A26)</f>
        <v/>
      </c>
      <c r="B36" s="12" t="str">
        <f aca="false">IF($A36="","",품목마스터!$B26)</f>
        <v/>
      </c>
      <c r="C36" s="12" t="str">
        <f aca="false">IF($A36="","",품목마스터!$D26)</f>
        <v/>
      </c>
      <c r="D36" s="13" t="str">
        <f aca="false">IF($A36="","",SUMIFS(검수내역!$G$3:$G$802,검수내역!$D$3:$D$802,$A36,검수내역!$B$3:$B$802,$B$3))</f>
        <v/>
      </c>
      <c r="E36" s="13" t="str">
        <f aca="false">IF($A36="","",SUMIFS(출고내역!$G$3:$G$802,출고내역!$D$3:$D$802,$A36,출고내역!$B$3:$B$802,$B$3))</f>
        <v/>
      </c>
      <c r="F36" s="13" t="str">
        <f aca="false">IF($A36="","",SUMIFS(출고내역!$H$3:$H$802,출고내역!$D$3:$D$802,$A36,출고내역!$B$3:$B$802,$B$3))</f>
        <v/>
      </c>
      <c r="G36" s="13" t="str">
        <f aca="false">IF($A36="","",SUMIFS(출고내역!$K$3:$K$802,출고내역!$D$3:$D$802,$A36,출고내역!$B$3:$B$802,$B$3))</f>
        <v/>
      </c>
    </row>
    <row r="37" customFormat="false" ht="15" hidden="false" customHeight="true" outlineLevel="0" collapsed="false">
      <c r="A37" s="12" t="str">
        <f aca="false">IF(품목마스터!$A27="","",품목마스터!$A27)</f>
        <v/>
      </c>
      <c r="B37" s="12" t="str">
        <f aca="false">IF($A37="","",품목마스터!$B27)</f>
        <v/>
      </c>
      <c r="C37" s="12" t="str">
        <f aca="false">IF($A37="","",품목마스터!$D27)</f>
        <v/>
      </c>
      <c r="D37" s="13" t="str">
        <f aca="false">IF($A37="","",SUMIFS(검수내역!$G$3:$G$802,검수내역!$D$3:$D$802,$A37,검수내역!$B$3:$B$802,$B$3))</f>
        <v/>
      </c>
      <c r="E37" s="13" t="str">
        <f aca="false">IF($A37="","",SUMIFS(출고내역!$G$3:$G$802,출고내역!$D$3:$D$802,$A37,출고내역!$B$3:$B$802,$B$3))</f>
        <v/>
      </c>
      <c r="F37" s="13" t="str">
        <f aca="false">IF($A37="","",SUMIFS(출고내역!$H$3:$H$802,출고내역!$D$3:$D$802,$A37,출고내역!$B$3:$B$802,$B$3))</f>
        <v/>
      </c>
      <c r="G37" s="13" t="str">
        <f aca="false">IF($A37="","",SUMIFS(출고내역!$K$3:$K$802,출고내역!$D$3:$D$802,$A37,출고내역!$B$3:$B$802,$B$3))</f>
        <v/>
      </c>
    </row>
    <row r="38" customFormat="false" ht="15" hidden="false" customHeight="true" outlineLevel="0" collapsed="false">
      <c r="A38" s="12" t="str">
        <f aca="false">IF(품목마스터!$A28="","",품목마스터!$A28)</f>
        <v/>
      </c>
      <c r="B38" s="12" t="str">
        <f aca="false">IF($A38="","",품목마스터!$B28)</f>
        <v/>
      </c>
      <c r="C38" s="12" t="str">
        <f aca="false">IF($A38="","",품목마스터!$D28)</f>
        <v/>
      </c>
      <c r="D38" s="13" t="str">
        <f aca="false">IF($A38="","",SUMIFS(검수내역!$G$3:$G$802,검수내역!$D$3:$D$802,$A38,검수내역!$B$3:$B$802,$B$3))</f>
        <v/>
      </c>
      <c r="E38" s="13" t="str">
        <f aca="false">IF($A38="","",SUMIFS(출고내역!$G$3:$G$802,출고내역!$D$3:$D$802,$A38,출고내역!$B$3:$B$802,$B$3))</f>
        <v/>
      </c>
      <c r="F38" s="13" t="str">
        <f aca="false">IF($A38="","",SUMIFS(출고내역!$H$3:$H$802,출고내역!$D$3:$D$802,$A38,출고내역!$B$3:$B$802,$B$3))</f>
        <v/>
      </c>
      <c r="G38" s="13" t="str">
        <f aca="false">IF($A38="","",SUMIFS(출고내역!$K$3:$K$802,출고내역!$D$3:$D$802,$A38,출고내역!$B$3:$B$802,$B$3))</f>
        <v/>
      </c>
    </row>
    <row r="39" customFormat="false" ht="15" hidden="false" customHeight="true" outlineLevel="0" collapsed="false">
      <c r="A39" s="12" t="str">
        <f aca="false">IF(품목마스터!$A29="","",품목마스터!$A29)</f>
        <v/>
      </c>
      <c r="B39" s="12" t="str">
        <f aca="false">IF($A39="","",품목마스터!$B29)</f>
        <v/>
      </c>
      <c r="C39" s="12" t="str">
        <f aca="false">IF($A39="","",품목마스터!$D29)</f>
        <v/>
      </c>
      <c r="D39" s="13" t="str">
        <f aca="false">IF($A39="","",SUMIFS(검수내역!$G$3:$G$802,검수내역!$D$3:$D$802,$A39,검수내역!$B$3:$B$802,$B$3))</f>
        <v/>
      </c>
      <c r="E39" s="13" t="str">
        <f aca="false">IF($A39="","",SUMIFS(출고내역!$G$3:$G$802,출고내역!$D$3:$D$802,$A39,출고내역!$B$3:$B$802,$B$3))</f>
        <v/>
      </c>
      <c r="F39" s="13" t="str">
        <f aca="false">IF($A39="","",SUMIFS(출고내역!$H$3:$H$802,출고내역!$D$3:$D$802,$A39,출고내역!$B$3:$B$802,$B$3))</f>
        <v/>
      </c>
      <c r="G39" s="13" t="str">
        <f aca="false">IF($A39="","",SUMIFS(출고내역!$K$3:$K$802,출고내역!$D$3:$D$802,$A39,출고내역!$B$3:$B$802,$B$3))</f>
        <v/>
      </c>
    </row>
    <row r="40" customFormat="false" ht="15" hidden="false" customHeight="true" outlineLevel="0" collapsed="false">
      <c r="A40" s="12" t="str">
        <f aca="false">IF(품목마스터!$A30="","",품목마스터!$A30)</f>
        <v/>
      </c>
      <c r="B40" s="12" t="str">
        <f aca="false">IF($A40="","",품목마스터!$B30)</f>
        <v/>
      </c>
      <c r="C40" s="12" t="str">
        <f aca="false">IF($A40="","",품목마스터!$D30)</f>
        <v/>
      </c>
      <c r="D40" s="13" t="str">
        <f aca="false">IF($A40="","",SUMIFS(검수내역!$G$3:$G$802,검수내역!$D$3:$D$802,$A40,검수내역!$B$3:$B$802,$B$3))</f>
        <v/>
      </c>
      <c r="E40" s="13" t="str">
        <f aca="false">IF($A40="","",SUMIFS(출고내역!$G$3:$G$802,출고내역!$D$3:$D$802,$A40,출고내역!$B$3:$B$802,$B$3))</f>
        <v/>
      </c>
      <c r="F40" s="13" t="str">
        <f aca="false">IF($A40="","",SUMIFS(출고내역!$H$3:$H$802,출고내역!$D$3:$D$802,$A40,출고내역!$B$3:$B$802,$B$3))</f>
        <v/>
      </c>
      <c r="G40" s="13" t="str">
        <f aca="false">IF($A40="","",SUMIFS(출고내역!$K$3:$K$802,출고내역!$D$3:$D$802,$A40,출고내역!$B$3:$B$802,$B$3))</f>
        <v/>
      </c>
    </row>
    <row r="41" customFormat="false" ht="15" hidden="false" customHeight="true" outlineLevel="0" collapsed="false">
      <c r="A41" s="12" t="str">
        <f aca="false">IF(품목마스터!$A31="","",품목마스터!$A31)</f>
        <v/>
      </c>
      <c r="B41" s="12" t="str">
        <f aca="false">IF($A41="","",품목마스터!$B31)</f>
        <v/>
      </c>
      <c r="C41" s="12" t="str">
        <f aca="false">IF($A41="","",품목마스터!$D31)</f>
        <v/>
      </c>
      <c r="D41" s="13" t="str">
        <f aca="false">IF($A41="","",SUMIFS(검수내역!$G$3:$G$802,검수내역!$D$3:$D$802,$A41,검수내역!$B$3:$B$802,$B$3))</f>
        <v/>
      </c>
      <c r="E41" s="13" t="str">
        <f aca="false">IF($A41="","",SUMIFS(출고내역!$G$3:$G$802,출고내역!$D$3:$D$802,$A41,출고내역!$B$3:$B$802,$B$3))</f>
        <v/>
      </c>
      <c r="F41" s="13" t="str">
        <f aca="false">IF($A41="","",SUMIFS(출고내역!$H$3:$H$802,출고내역!$D$3:$D$802,$A41,출고내역!$B$3:$B$802,$B$3))</f>
        <v/>
      </c>
      <c r="G41" s="13" t="str">
        <f aca="false">IF($A41="","",SUMIFS(출고내역!$K$3:$K$802,출고내역!$D$3:$D$802,$A41,출고내역!$B$3:$B$802,$B$3))</f>
        <v/>
      </c>
    </row>
    <row r="42" customFormat="false" ht="15" hidden="false" customHeight="true" outlineLevel="0" collapsed="false">
      <c r="A42" s="12" t="str">
        <f aca="false">IF(품목마스터!$A32="","",품목마스터!$A32)</f>
        <v/>
      </c>
      <c r="B42" s="12" t="str">
        <f aca="false">IF($A42="","",품목마스터!$B32)</f>
        <v/>
      </c>
      <c r="C42" s="12" t="str">
        <f aca="false">IF($A42="","",품목마스터!$D32)</f>
        <v/>
      </c>
      <c r="D42" s="13" t="str">
        <f aca="false">IF($A42="","",SUMIFS(검수내역!$G$3:$G$802,검수내역!$D$3:$D$802,$A42,검수내역!$B$3:$B$802,$B$3))</f>
        <v/>
      </c>
      <c r="E42" s="13" t="str">
        <f aca="false">IF($A42="","",SUMIFS(출고내역!$G$3:$G$802,출고내역!$D$3:$D$802,$A42,출고내역!$B$3:$B$802,$B$3))</f>
        <v/>
      </c>
      <c r="F42" s="13" t="str">
        <f aca="false">IF($A42="","",SUMIFS(출고내역!$H$3:$H$802,출고내역!$D$3:$D$802,$A42,출고내역!$B$3:$B$802,$B$3))</f>
        <v/>
      </c>
      <c r="G42" s="13" t="str">
        <f aca="false">IF($A42="","",SUMIFS(출고내역!$K$3:$K$802,출고내역!$D$3:$D$802,$A42,출고내역!$B$3:$B$802,$B$3))</f>
        <v/>
      </c>
    </row>
    <row r="43" customFormat="false" ht="15" hidden="false" customHeight="true" outlineLevel="0" collapsed="false">
      <c r="B43" s="23" t="s">
        <v>88</v>
      </c>
      <c r="D43" s="24" t="n">
        <f aca="false">SUM(D13:D42)</f>
        <v>0</v>
      </c>
      <c r="E43" s="24" t="n">
        <f aca="false">SUM(E13:E42)</f>
        <v>165</v>
      </c>
      <c r="F43" s="24" t="n">
        <f aca="false">SUM(F13:F42)</f>
        <v>7</v>
      </c>
      <c r="G43" s="24" t="n">
        <f aca="false">SUM(G13:G42)</f>
        <v>4630000</v>
      </c>
    </row>
    <row r="45" customFormat="false" ht="15" hidden="false" customHeight="true" outlineLevel="0" collapsed="false">
      <c r="A45" s="5" t="s">
        <v>98</v>
      </c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B3" type="list">
      <formula1>거래처마스터!$A$3:$A$102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2" t="s">
        <v>99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100</v>
      </c>
      <c r="B3" s="25" t="n">
        <v>2026</v>
      </c>
    </row>
    <row r="5" customFormat="false" ht="15" hidden="false" customHeight="true" outlineLevel="0" collapsed="false">
      <c r="A5" s="6" t="s">
        <v>101</v>
      </c>
      <c r="B5" s="6" t="s">
        <v>62</v>
      </c>
      <c r="C5" s="6" t="s">
        <v>102</v>
      </c>
      <c r="D5" s="6" t="s">
        <v>82</v>
      </c>
      <c r="E5" s="6" t="s">
        <v>83</v>
      </c>
      <c r="F5" s="6" t="s">
        <v>84</v>
      </c>
      <c r="G5" s="6" t="s">
        <v>87</v>
      </c>
    </row>
    <row r="6" customFormat="false" ht="15" hidden="false" customHeight="true" outlineLevel="0" collapsed="false">
      <c r="A6" s="26" t="n">
        <v>1</v>
      </c>
      <c r="B6" s="27" t="n">
        <f aca="false">SUMIFS(검수내역!$G$3:$G$802,검수내역!$A$3:$A$802,"&gt;="&amp;DATE($B$3,1,1),검수내역!$A$3:$A$802,"&lt;="&amp;EOMONTH(DATE($B$3,1,1),0))</f>
        <v>0</v>
      </c>
      <c r="C6" s="27" t="n">
        <f aca="false">SUMIFS(검수내역!$I$3:$I$802,검수내역!$A$3:$A$802,"&gt;="&amp;DATE($B$3,1,1),검수내역!$A$3:$A$802,"&lt;="&amp;EOMONTH(DATE($B$3,1,1),0))</f>
        <v>0</v>
      </c>
      <c r="D6" s="27" t="n">
        <f aca="false">SUMIFS(출고내역!$G$3:$G$802,출고내역!$A$3:$A$802,"&gt;="&amp;DATE($B$3,1,1),출고내역!$A$3:$A$802,"&lt;="&amp;EOMONTH(DATE($B$3,1,1),0))</f>
        <v>0</v>
      </c>
      <c r="E6" s="27" t="n">
        <f aca="false">SUMIFS(출고내역!$H$3:$H$802,출고내역!$A$3:$A$802,"&gt;="&amp;DATE($B$3,1,1),출고내역!$A$3:$A$802,"&lt;="&amp;EOMONTH(DATE($B$3,1,1),0))</f>
        <v>0</v>
      </c>
      <c r="F6" s="27" t="n">
        <f aca="false">$D6+$E6</f>
        <v>0</v>
      </c>
      <c r="G6" s="27" t="n">
        <f aca="false">SUMIFS(출고내역!$K$3:$K$802,출고내역!$A$3:$A$802,"&gt;="&amp;DATE($B$3,1,1),출고내역!$A$3:$A$802,"&lt;="&amp;EOMONTH(DATE($B$3,1,1),0))</f>
        <v>0</v>
      </c>
    </row>
    <row r="7" customFormat="false" ht="15" hidden="false" customHeight="true" outlineLevel="0" collapsed="false">
      <c r="A7" s="26" t="n">
        <v>2</v>
      </c>
      <c r="B7" s="27" t="n">
        <f aca="false">SUMIFS(검수내역!$G$3:$G$802,검수내역!$A$3:$A$802,"&gt;="&amp;DATE($B$3,2,1),검수내역!$A$3:$A$802,"&lt;="&amp;EOMONTH(DATE($B$3,2,1),0))</f>
        <v>0</v>
      </c>
      <c r="C7" s="27" t="n">
        <f aca="false">SUMIFS(검수내역!$I$3:$I$802,검수내역!$A$3:$A$802,"&gt;="&amp;DATE($B$3,2,1),검수내역!$A$3:$A$802,"&lt;="&amp;EOMONTH(DATE($B$3,2,1),0))</f>
        <v>0</v>
      </c>
      <c r="D7" s="27" t="n">
        <f aca="false">SUMIFS(출고내역!$G$3:$G$802,출고내역!$A$3:$A$802,"&gt;="&amp;DATE($B$3,2,1),출고내역!$A$3:$A$802,"&lt;="&amp;EOMONTH(DATE($B$3,2,1),0))</f>
        <v>0</v>
      </c>
      <c r="E7" s="27" t="n">
        <f aca="false">SUMIFS(출고내역!$H$3:$H$802,출고내역!$A$3:$A$802,"&gt;="&amp;DATE($B$3,2,1),출고내역!$A$3:$A$802,"&lt;="&amp;EOMONTH(DATE($B$3,2,1),0))</f>
        <v>0</v>
      </c>
      <c r="F7" s="27" t="n">
        <f aca="false">$D7+$E7</f>
        <v>0</v>
      </c>
      <c r="G7" s="27" t="n">
        <f aca="false">SUMIFS(출고내역!$K$3:$K$802,출고내역!$A$3:$A$802,"&gt;="&amp;DATE($B$3,2,1),출고내역!$A$3:$A$802,"&lt;="&amp;EOMONTH(DATE($B$3,2,1),0))</f>
        <v>0</v>
      </c>
    </row>
    <row r="8" customFormat="false" ht="15" hidden="false" customHeight="true" outlineLevel="0" collapsed="false">
      <c r="A8" s="26" t="n">
        <v>3</v>
      </c>
      <c r="B8" s="27" t="n">
        <f aca="false">SUMIFS(검수내역!$G$3:$G$802,검수내역!$A$3:$A$802,"&gt;="&amp;DATE($B$3,3,1),검수내역!$A$3:$A$802,"&lt;="&amp;EOMONTH(DATE($B$3,3,1),0))</f>
        <v>0</v>
      </c>
      <c r="C8" s="27" t="n">
        <f aca="false">SUMIFS(검수내역!$I$3:$I$802,검수내역!$A$3:$A$802,"&gt;="&amp;DATE($B$3,3,1),검수내역!$A$3:$A$802,"&lt;="&amp;EOMONTH(DATE($B$3,3,1),0))</f>
        <v>0</v>
      </c>
      <c r="D8" s="27" t="n">
        <f aca="false">SUMIFS(출고내역!$G$3:$G$802,출고내역!$A$3:$A$802,"&gt;="&amp;DATE($B$3,3,1),출고내역!$A$3:$A$802,"&lt;="&amp;EOMONTH(DATE($B$3,3,1),0))</f>
        <v>0</v>
      </c>
      <c r="E8" s="27" t="n">
        <f aca="false">SUMIFS(출고내역!$H$3:$H$802,출고내역!$A$3:$A$802,"&gt;="&amp;DATE($B$3,3,1),출고내역!$A$3:$A$802,"&lt;="&amp;EOMONTH(DATE($B$3,3,1),0))</f>
        <v>0</v>
      </c>
      <c r="F8" s="27" t="n">
        <f aca="false">$D8+$E8</f>
        <v>0</v>
      </c>
      <c r="G8" s="27" t="n">
        <f aca="false">SUMIFS(출고내역!$K$3:$K$802,출고내역!$A$3:$A$802,"&gt;="&amp;DATE($B$3,3,1),출고내역!$A$3:$A$802,"&lt;="&amp;EOMONTH(DATE($B$3,3,1),0))</f>
        <v>0</v>
      </c>
    </row>
    <row r="9" customFormat="false" ht="15" hidden="false" customHeight="true" outlineLevel="0" collapsed="false">
      <c r="A9" s="26" t="n">
        <v>4</v>
      </c>
      <c r="B9" s="27" t="n">
        <f aca="false">SUMIFS(검수내역!$G$3:$G$802,검수내역!$A$3:$A$802,"&gt;="&amp;DATE($B$3,4,1),검수내역!$A$3:$A$802,"&lt;="&amp;EOMONTH(DATE($B$3,4,1),0))</f>
        <v>0</v>
      </c>
      <c r="C9" s="27" t="n">
        <f aca="false">SUMIFS(검수내역!$I$3:$I$802,검수내역!$A$3:$A$802,"&gt;="&amp;DATE($B$3,4,1),검수내역!$A$3:$A$802,"&lt;="&amp;EOMONTH(DATE($B$3,4,1),0))</f>
        <v>0</v>
      </c>
      <c r="D9" s="27" t="n">
        <f aca="false">SUMIFS(출고내역!$G$3:$G$802,출고내역!$A$3:$A$802,"&gt;="&amp;DATE($B$3,4,1),출고내역!$A$3:$A$802,"&lt;="&amp;EOMONTH(DATE($B$3,4,1),0))</f>
        <v>0</v>
      </c>
      <c r="E9" s="27" t="n">
        <f aca="false">SUMIFS(출고내역!$H$3:$H$802,출고내역!$A$3:$A$802,"&gt;="&amp;DATE($B$3,4,1),출고내역!$A$3:$A$802,"&lt;="&amp;EOMONTH(DATE($B$3,4,1),0))</f>
        <v>0</v>
      </c>
      <c r="F9" s="27" t="n">
        <f aca="false">$D9+$E9</f>
        <v>0</v>
      </c>
      <c r="G9" s="27" t="n">
        <f aca="false">SUMIFS(출고내역!$K$3:$K$802,출고내역!$A$3:$A$802,"&gt;="&amp;DATE($B$3,4,1),출고내역!$A$3:$A$802,"&lt;="&amp;EOMONTH(DATE($B$3,4,1),0))</f>
        <v>0</v>
      </c>
    </row>
    <row r="10" customFormat="false" ht="15" hidden="false" customHeight="true" outlineLevel="0" collapsed="false">
      <c r="A10" s="26" t="n">
        <v>5</v>
      </c>
      <c r="B10" s="27" t="n">
        <f aca="false">SUMIFS(검수내역!$G$3:$G$802,검수내역!$A$3:$A$802,"&gt;="&amp;DATE($B$3,5,1),검수내역!$A$3:$A$802,"&lt;="&amp;EOMONTH(DATE($B$3,5,1),0))</f>
        <v>0</v>
      </c>
      <c r="C10" s="27" t="n">
        <f aca="false">SUMIFS(검수내역!$I$3:$I$802,검수내역!$A$3:$A$802,"&gt;="&amp;DATE($B$3,5,1),검수내역!$A$3:$A$802,"&lt;="&amp;EOMONTH(DATE($B$3,5,1),0))</f>
        <v>0</v>
      </c>
      <c r="D10" s="27" t="n">
        <f aca="false">SUMIFS(출고내역!$G$3:$G$802,출고내역!$A$3:$A$802,"&gt;="&amp;DATE($B$3,5,1),출고내역!$A$3:$A$802,"&lt;="&amp;EOMONTH(DATE($B$3,5,1),0))</f>
        <v>0</v>
      </c>
      <c r="E10" s="27" t="n">
        <f aca="false">SUMIFS(출고내역!$H$3:$H$802,출고내역!$A$3:$A$802,"&gt;="&amp;DATE($B$3,5,1),출고내역!$A$3:$A$802,"&lt;="&amp;EOMONTH(DATE($B$3,5,1),0))</f>
        <v>0</v>
      </c>
      <c r="F10" s="27" t="n">
        <f aca="false">$D10+$E10</f>
        <v>0</v>
      </c>
      <c r="G10" s="27" t="n">
        <f aca="false">SUMIFS(출고내역!$K$3:$K$802,출고내역!$A$3:$A$802,"&gt;="&amp;DATE($B$3,5,1),출고내역!$A$3:$A$802,"&lt;="&amp;EOMONTH(DATE($B$3,5,1),0))</f>
        <v>0</v>
      </c>
    </row>
    <row r="11" customFormat="false" ht="15" hidden="false" customHeight="true" outlineLevel="0" collapsed="false">
      <c r="A11" s="26" t="n">
        <v>6</v>
      </c>
      <c r="B11" s="27" t="n">
        <f aca="false">SUMIFS(검수내역!$G$3:$G$802,검수내역!$A$3:$A$802,"&gt;="&amp;DATE($B$3,6,1),검수내역!$A$3:$A$802,"&lt;="&amp;EOMONTH(DATE($B$3,6,1),0))</f>
        <v>0</v>
      </c>
      <c r="C11" s="27" t="n">
        <f aca="false">SUMIFS(검수내역!$I$3:$I$802,검수내역!$A$3:$A$802,"&gt;="&amp;DATE($B$3,6,1),검수내역!$A$3:$A$802,"&lt;="&amp;EOMONTH(DATE($B$3,6,1),0))</f>
        <v>0</v>
      </c>
      <c r="D11" s="27" t="n">
        <f aca="false">SUMIFS(출고내역!$G$3:$G$802,출고내역!$A$3:$A$802,"&gt;="&amp;DATE($B$3,6,1),출고내역!$A$3:$A$802,"&lt;="&amp;EOMONTH(DATE($B$3,6,1),0))</f>
        <v>0</v>
      </c>
      <c r="E11" s="27" t="n">
        <f aca="false">SUMIFS(출고내역!$H$3:$H$802,출고내역!$A$3:$A$802,"&gt;="&amp;DATE($B$3,6,1),출고내역!$A$3:$A$802,"&lt;="&amp;EOMONTH(DATE($B$3,6,1),0))</f>
        <v>0</v>
      </c>
      <c r="F11" s="27" t="n">
        <f aca="false">$D11+$E11</f>
        <v>0</v>
      </c>
      <c r="G11" s="27" t="n">
        <f aca="false">SUMIFS(출고내역!$K$3:$K$802,출고내역!$A$3:$A$802,"&gt;="&amp;DATE($B$3,6,1),출고내역!$A$3:$A$802,"&lt;="&amp;EOMONTH(DATE($B$3,6,1),0))</f>
        <v>0</v>
      </c>
    </row>
    <row r="12" customFormat="false" ht="15" hidden="false" customHeight="true" outlineLevel="0" collapsed="false">
      <c r="A12" s="26" t="n">
        <v>7</v>
      </c>
      <c r="B12" s="27" t="n">
        <f aca="false">SUMIFS(검수내역!$G$3:$G$802,검수내역!$A$3:$A$802,"&gt;="&amp;DATE($B$3,7,1),검수내역!$A$3:$A$802,"&lt;="&amp;EOMONTH(DATE($B$3,7,1),0))</f>
        <v>0</v>
      </c>
      <c r="C12" s="27" t="n">
        <f aca="false">SUMIFS(검수내역!$I$3:$I$802,검수내역!$A$3:$A$802,"&gt;="&amp;DATE($B$3,7,1),검수내역!$A$3:$A$802,"&lt;="&amp;EOMONTH(DATE($B$3,7,1),0))</f>
        <v>0</v>
      </c>
      <c r="D12" s="27" t="n">
        <f aca="false">SUMIFS(출고내역!$G$3:$G$802,출고내역!$A$3:$A$802,"&gt;="&amp;DATE($B$3,7,1),출고내역!$A$3:$A$802,"&lt;="&amp;EOMONTH(DATE($B$3,7,1),0))</f>
        <v>0</v>
      </c>
      <c r="E12" s="27" t="n">
        <f aca="false">SUMIFS(출고내역!$H$3:$H$802,출고내역!$A$3:$A$802,"&gt;="&amp;DATE($B$3,7,1),출고내역!$A$3:$A$802,"&lt;="&amp;EOMONTH(DATE($B$3,7,1),0))</f>
        <v>0</v>
      </c>
      <c r="F12" s="27" t="n">
        <f aca="false">$D12+$E12</f>
        <v>0</v>
      </c>
      <c r="G12" s="27" t="n">
        <f aca="false">SUMIFS(출고내역!$K$3:$K$802,출고내역!$A$3:$A$802,"&gt;="&amp;DATE($B$3,7,1),출고내역!$A$3:$A$802,"&lt;="&amp;EOMONTH(DATE($B$3,7,1),0))</f>
        <v>0</v>
      </c>
    </row>
    <row r="13" customFormat="false" ht="15" hidden="false" customHeight="true" outlineLevel="0" collapsed="false">
      <c r="A13" s="26" t="n">
        <v>8</v>
      </c>
      <c r="B13" s="27" t="n">
        <f aca="false">SUMIFS(검수내역!$G$3:$G$802,검수내역!$A$3:$A$802,"&gt;="&amp;DATE($B$3,8,1),검수내역!$A$3:$A$802,"&lt;="&amp;EOMONTH(DATE($B$3,8,1),0))</f>
        <v>0</v>
      </c>
      <c r="C13" s="27" t="n">
        <f aca="false">SUMIFS(검수내역!$I$3:$I$802,검수내역!$A$3:$A$802,"&gt;="&amp;DATE($B$3,8,1),검수내역!$A$3:$A$802,"&lt;="&amp;EOMONTH(DATE($B$3,8,1),0))</f>
        <v>0</v>
      </c>
      <c r="D13" s="27" t="n">
        <f aca="false">SUMIFS(출고내역!$G$3:$G$802,출고내역!$A$3:$A$802,"&gt;="&amp;DATE($B$3,8,1),출고내역!$A$3:$A$802,"&lt;="&amp;EOMONTH(DATE($B$3,8,1),0))</f>
        <v>0</v>
      </c>
      <c r="E13" s="27" t="n">
        <f aca="false">SUMIFS(출고내역!$H$3:$H$802,출고내역!$A$3:$A$802,"&gt;="&amp;DATE($B$3,8,1),출고내역!$A$3:$A$802,"&lt;="&amp;EOMONTH(DATE($B$3,8,1),0))</f>
        <v>0</v>
      </c>
      <c r="F13" s="27" t="n">
        <f aca="false">$D13+$E13</f>
        <v>0</v>
      </c>
      <c r="G13" s="27" t="n">
        <f aca="false">SUMIFS(출고내역!$K$3:$K$802,출고내역!$A$3:$A$802,"&gt;="&amp;DATE($B$3,8,1),출고내역!$A$3:$A$802,"&lt;="&amp;EOMONTH(DATE($B$3,8,1),0))</f>
        <v>0</v>
      </c>
    </row>
    <row r="14" customFormat="false" ht="15" hidden="false" customHeight="true" outlineLevel="0" collapsed="false">
      <c r="A14" s="26" t="n">
        <v>9</v>
      </c>
      <c r="B14" s="27" t="n">
        <f aca="false">SUMIFS(검수내역!$G$3:$G$802,검수내역!$A$3:$A$802,"&gt;="&amp;DATE($B$3,9,1),검수내역!$A$3:$A$802,"&lt;="&amp;EOMONTH(DATE($B$3,9,1),0))</f>
        <v>380</v>
      </c>
      <c r="C14" s="27" t="n">
        <f aca="false">SUMIFS(검수내역!$I$3:$I$802,검수내역!$A$3:$A$802,"&gt;="&amp;DATE($B$3,9,1),검수내역!$A$3:$A$802,"&lt;="&amp;EOMONTH(DATE($B$3,9,1),0))</f>
        <v>9840000</v>
      </c>
      <c r="D14" s="27" t="n">
        <f aca="false">SUMIFS(출고내역!$G$3:$G$802,출고내역!$A$3:$A$802,"&gt;="&amp;DATE($B$3,9,1),출고내역!$A$3:$A$802,"&lt;="&amp;EOMONTH(DATE($B$3,9,1),0))</f>
        <v>205</v>
      </c>
      <c r="E14" s="27" t="n">
        <f aca="false">SUMIFS(출고내역!$H$3:$H$802,출고내역!$A$3:$A$802,"&gt;="&amp;DATE($B$3,9,1),출고내역!$A$3:$A$802,"&lt;="&amp;EOMONTH(DATE($B$3,9,1),0))</f>
        <v>9</v>
      </c>
      <c r="F14" s="27" t="n">
        <f aca="false">$D14+$E14</f>
        <v>214</v>
      </c>
      <c r="G14" s="27" t="n">
        <f aca="false">SUMIFS(출고내역!$K$3:$K$802,출고내역!$A$3:$A$802,"&gt;="&amp;DATE($B$3,9,1),출고내역!$A$3:$A$802,"&lt;="&amp;EOMONTH(DATE($B$3,9,1),0))</f>
        <v>5870000</v>
      </c>
    </row>
    <row r="15" customFormat="false" ht="15" hidden="false" customHeight="true" outlineLevel="0" collapsed="false">
      <c r="A15" s="26" t="n">
        <v>10</v>
      </c>
      <c r="B15" s="27" t="n">
        <f aca="false">SUMIFS(검수내역!$G$3:$G$802,검수내역!$A$3:$A$802,"&gt;="&amp;DATE($B$3,10,1),검수내역!$A$3:$A$802,"&lt;="&amp;EOMONTH(DATE($B$3,10,1),0))</f>
        <v>0</v>
      </c>
      <c r="C15" s="27" t="n">
        <f aca="false">SUMIFS(검수내역!$I$3:$I$802,검수내역!$A$3:$A$802,"&gt;="&amp;DATE($B$3,10,1),검수내역!$A$3:$A$802,"&lt;="&amp;EOMONTH(DATE($B$3,10,1),0))</f>
        <v>0</v>
      </c>
      <c r="D15" s="27" t="n">
        <f aca="false">SUMIFS(출고내역!$G$3:$G$802,출고내역!$A$3:$A$802,"&gt;="&amp;DATE($B$3,10,1),출고내역!$A$3:$A$802,"&lt;="&amp;EOMONTH(DATE($B$3,10,1),0))</f>
        <v>0</v>
      </c>
      <c r="E15" s="27" t="n">
        <f aca="false">SUMIFS(출고내역!$H$3:$H$802,출고내역!$A$3:$A$802,"&gt;="&amp;DATE($B$3,10,1),출고내역!$A$3:$A$802,"&lt;="&amp;EOMONTH(DATE($B$3,10,1),0))</f>
        <v>0</v>
      </c>
      <c r="F15" s="27" t="n">
        <f aca="false">$D15+$E15</f>
        <v>0</v>
      </c>
      <c r="G15" s="27" t="n">
        <f aca="false">SUMIFS(출고내역!$K$3:$K$802,출고내역!$A$3:$A$802,"&gt;="&amp;DATE($B$3,10,1),출고내역!$A$3:$A$802,"&lt;="&amp;EOMONTH(DATE($B$3,10,1),0))</f>
        <v>0</v>
      </c>
    </row>
    <row r="16" customFormat="false" ht="15" hidden="false" customHeight="true" outlineLevel="0" collapsed="false">
      <c r="A16" s="26" t="n">
        <v>11</v>
      </c>
      <c r="B16" s="27" t="n">
        <f aca="false">SUMIFS(검수내역!$G$3:$G$802,검수내역!$A$3:$A$802,"&gt;="&amp;DATE($B$3,11,1),검수내역!$A$3:$A$802,"&lt;="&amp;EOMONTH(DATE($B$3,11,1),0))</f>
        <v>0</v>
      </c>
      <c r="C16" s="27" t="n">
        <f aca="false">SUMIFS(검수내역!$I$3:$I$802,검수내역!$A$3:$A$802,"&gt;="&amp;DATE($B$3,11,1),검수내역!$A$3:$A$802,"&lt;="&amp;EOMONTH(DATE($B$3,11,1),0))</f>
        <v>0</v>
      </c>
      <c r="D16" s="27" t="n">
        <f aca="false">SUMIFS(출고내역!$G$3:$G$802,출고내역!$A$3:$A$802,"&gt;="&amp;DATE($B$3,11,1),출고내역!$A$3:$A$802,"&lt;="&amp;EOMONTH(DATE($B$3,11,1),0))</f>
        <v>0</v>
      </c>
      <c r="E16" s="27" t="n">
        <f aca="false">SUMIFS(출고내역!$H$3:$H$802,출고내역!$A$3:$A$802,"&gt;="&amp;DATE($B$3,11,1),출고내역!$A$3:$A$802,"&lt;="&amp;EOMONTH(DATE($B$3,11,1),0))</f>
        <v>0</v>
      </c>
      <c r="F16" s="27" t="n">
        <f aca="false">$D16+$E16</f>
        <v>0</v>
      </c>
      <c r="G16" s="27" t="n">
        <f aca="false">SUMIFS(출고내역!$K$3:$K$802,출고내역!$A$3:$A$802,"&gt;="&amp;DATE($B$3,11,1),출고내역!$A$3:$A$802,"&lt;="&amp;EOMONTH(DATE($B$3,11,1),0))</f>
        <v>0</v>
      </c>
    </row>
    <row r="17" customFormat="false" ht="15" hidden="false" customHeight="true" outlineLevel="0" collapsed="false">
      <c r="A17" s="26" t="n">
        <v>12</v>
      </c>
      <c r="B17" s="27" t="n">
        <f aca="false">SUMIFS(검수내역!$G$3:$G$802,검수내역!$A$3:$A$802,"&gt;="&amp;DATE($B$3,12,1),검수내역!$A$3:$A$802,"&lt;="&amp;EOMONTH(DATE($B$3,12,1),0))</f>
        <v>0</v>
      </c>
      <c r="C17" s="27" t="n">
        <f aca="false">SUMIFS(검수내역!$I$3:$I$802,검수내역!$A$3:$A$802,"&gt;="&amp;DATE($B$3,12,1),검수내역!$A$3:$A$802,"&lt;="&amp;EOMONTH(DATE($B$3,12,1),0))</f>
        <v>0</v>
      </c>
      <c r="D17" s="27" t="n">
        <f aca="false">SUMIFS(출고내역!$G$3:$G$802,출고내역!$A$3:$A$802,"&gt;="&amp;DATE($B$3,12,1),출고내역!$A$3:$A$802,"&lt;="&amp;EOMONTH(DATE($B$3,12,1),0))</f>
        <v>0</v>
      </c>
      <c r="E17" s="27" t="n">
        <f aca="false">SUMIFS(출고내역!$H$3:$H$802,출고내역!$A$3:$A$802,"&gt;="&amp;DATE($B$3,12,1),출고내역!$A$3:$A$802,"&lt;="&amp;EOMONTH(DATE($B$3,12,1),0))</f>
        <v>0</v>
      </c>
      <c r="F17" s="27" t="n">
        <f aca="false">$D17+$E17</f>
        <v>0</v>
      </c>
      <c r="G17" s="27" t="n">
        <f aca="false">SUMIFS(출고내역!$K$3:$K$802,출고내역!$A$3:$A$802,"&gt;="&amp;DATE($B$3,12,1),출고내역!$A$3:$A$802,"&lt;="&amp;EOMONTH(DATE($B$3,12,1),0))</f>
        <v>0</v>
      </c>
    </row>
    <row r="18" customFormat="false" ht="15" hidden="false" customHeight="true" outlineLevel="0" collapsed="false">
      <c r="A18" s="28" t="s">
        <v>88</v>
      </c>
      <c r="B18" s="29" t="n">
        <f aca="false">SUM(B6:B17)</f>
        <v>380</v>
      </c>
      <c r="C18" s="29" t="n">
        <f aca="false">SUM(C6:C17)</f>
        <v>9840000</v>
      </c>
      <c r="D18" s="29" t="n">
        <f aca="false">SUM(D6:D17)</f>
        <v>205</v>
      </c>
      <c r="E18" s="29" t="n">
        <f aca="false">SUM(E6:E17)</f>
        <v>9</v>
      </c>
      <c r="F18" s="29" t="n">
        <f aca="false">SUM(F6:F17)</f>
        <v>214</v>
      </c>
      <c r="G18" s="29" t="n">
        <f aca="false">SUM(G6:G17)</f>
        <v>5870000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2026-09-13T10:49:49Z</dcterms:created>
  <dc:creator>openpyxl</dc:creator>
  <dc:description/>
  <dc:language>en-US</dc:language>
  <cp:lastModifiedBy/>
  <dcterms:modified xsi:type="dcterms:W3CDTF">2026-09-13T14:21:45Z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